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1.vml" ContentType="application/vnd.openxmlformats-officedocument.vmlDrawing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NEL COMPRAS" sheetId="1" state="visible" r:id="rId3"/>
    <sheet name="PRECIO MEDIO" sheetId="2" state="visible" r:id="rId4"/>
    <sheet name="COMPRAS" sheetId="3" state="visible" r:id="rId5"/>
    <sheet name="PROVEEDORES" sheetId="4" state="visible" r:id="rId6"/>
    <sheet name="PRODUCTOS" sheetId="5" state="visible" r:id="rId7"/>
    <sheet name="CLIENTES" sheetId="6" state="visible" r:id="rId8"/>
    <sheet name="AGENCIAS" sheetId="7" state="visible" r:id="rId9"/>
    <sheet name="ZONAS Y TIPOS PESCA" sheetId="8" state="visible" r:id="rId10"/>
    <sheet name="LOCALIDADES SUPER" sheetId="9" state="visible" r:id="rId11"/>
    <sheet name="LISTA PRECIOS" sheetId="10" state="visible" r:id="rId12"/>
  </sheets>
  <definedNames>
    <definedName function="false" hidden="true" localSheetId="5" name="_xlnm._FilterDatabase" vbProcedure="false">CLIENTES!$A$2:$J$501</definedName>
    <definedName function="false" hidden="true" localSheetId="2" name="_xlnm._FilterDatabase" vbProcedure="false">COMPRAS!$A$2:$Q$4997</definedName>
    <definedName function="false" hidden="false" localSheetId="8" name="_xlnm.Print_Area" vbProcedure="false">'LOCALIDADES SUPER'!$A$1:$C$16</definedName>
    <definedName function="false" hidden="false" localSheetId="1" name="_xlnm.Print_Area" vbProcedure="false">'PRECIO MEDIO'!$A$1:$H$167</definedName>
    <definedName function="false" hidden="true" localSheetId="1" name="_xlnm._FilterDatabase" vbProcedure="false">'PRECIO MEDIO'!$A$9:$G$168</definedName>
    <definedName function="false" hidden="true" localSheetId="4" name="_xlnm._FilterDatabase" vbProcedure="false">PRODUCTOS!$A$2:$C$300</definedName>
    <definedName function="false" hidden="true" localSheetId="3" name="_xlnm._FilterDatabase" vbProcedure="false">PROVEEDORES!$A$2:$D$201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4" authorId="0">
      <text>
        <r>
          <rPr>
            <sz val="10"/>
            <rFont val="Arial"/>
            <family val="2"/>
          </rPr>
          <t xml:space="preserve">Valor manual, no calculado por compras (ya era así en el archivo original).</t>
        </r>
      </text>
    </comment>
  </commentList>
</comments>
</file>

<file path=xl/sharedStrings.xml><?xml version="1.0" encoding="utf-8"?>
<sst xmlns="http://schemas.openxmlformats.org/spreadsheetml/2006/main" count="8506" uniqueCount="1752">
  <si>
    <t xml:space="preserve">PANEL DE COMPRAS -- MARINAFISK PESCADOS</t>
  </si>
  <si>
    <t xml:space="preserve">AUX PROVEEDORES (no borrar)</t>
  </si>
  <si>
    <t xml:space="preserve">-- TODOS LOS PROVEEDORES --</t>
  </si>
  <si>
    <t xml:space="preserve">AUX PRODUCTOS (no borrar)</t>
  </si>
  <si>
    <t xml:space="preserve">-- TODOS LOS ARTICULOS --</t>
  </si>
  <si>
    <t xml:space="preserve">AUX SELECTOR (no borrar)</t>
  </si>
  <si>
    <t xml:space="preserve">Se actualiza solo con las compras registradas en la hoja COMPRAS -- no hay que tocar nada a mano.</t>
  </si>
  <si>
    <t xml:space="preserve">Filtrar por fecha -- Desde:</t>
  </si>
  <si>
    <t xml:space="preserve">Hasta:</t>
  </si>
  <si>
    <t xml:space="preserve">(vacio = todas las fechas)</t>
  </si>
  <si>
    <t xml:space="preserve">TOP 15 PROVEEDORES -- MAS KILOS COMPRADOS</t>
  </si>
  <si>
    <t xml:space="preserve">TOP 15 PROVEEDORES -- MAS IMPORTE COMPRADO</t>
  </si>
  <si>
    <t xml:space="preserve">#</t>
  </si>
  <si>
    <t xml:space="preserve">Proveedor</t>
  </si>
  <si>
    <t xml:space="preserve">Kilos</t>
  </si>
  <si>
    <t xml:space="preserve">Importe</t>
  </si>
  <si>
    <t xml:space="preserve">TOP 15 PRODUCTOS -- MAS KILOS COMPRADOS</t>
  </si>
  <si>
    <t xml:space="preserve">TOP 15 PRODUCTOS -- MAS IMPORTE COMPRADO</t>
  </si>
  <si>
    <t xml:space="preserve">Producto</t>
  </si>
  <si>
    <t xml:space="preserve">QUE LE COMPRAMOS A CADA PROVEEDOR</t>
  </si>
  <si>
    <t xml:space="preserve">Elige un proveedor:</t>
  </si>
  <si>
    <t xml:space="preserve">Y tambien un articulo (opcional):</t>
  </si>
  <si>
    <t xml:space="preserve">(vacio = todos los articulos de ese proveedor)</t>
  </si>
  <si>
    <t xml:space="preserve">TOP 10 PRODUCTOS COMPRADOS A ESTE PROVEEDOR</t>
  </si>
  <si>
    <t xml:space="preserve">RESULTADO PARA ESOS FILTROS EXACTOS (proveedor + articulo + fechas)</t>
  </si>
  <si>
    <t xml:space="preserve">Total kilos comprados:</t>
  </si>
  <si>
    <t xml:space="preserve">Total importe comprado:</t>
  </si>
  <si>
    <t xml:space="preserve">Numero de compras (lineas):</t>
  </si>
  <si>
    <t xml:space="preserve">Precio medio pagado (EUR/kg):</t>
  </si>
  <si>
    <t xml:space="preserve">MARINAFISK PESCADOS, S.A. — PRECIO MEDIO DE COMPRA POR ARTÍCULO</t>
  </si>
  <si>
    <t xml:space="preserve">FILTROS — Selecciona artículo y/o rango de fechas. Los resultados se actualizan automáticamente.</t>
  </si>
  <si>
    <t xml:space="preserve">COD ARTÍCULO</t>
  </si>
  <si>
    <t xml:space="preserve">DESCRIPCIÓN</t>
  </si>
  <si>
    <t xml:space="preserve">FECHA DESDE</t>
  </si>
  <si>
    <t xml:space="preserve">FECHA HASTA</t>
  </si>
  <si>
    <t xml:space="preserve">← Rellena el código de artículo (amarillo) y/o fechas. Deja vacío para ver todos.</t>
  </si>
  <si>
    <t xml:space="preserve">CÓD. DETECTADO:</t>
  </si>
  <si>
    <t xml:space="preserve">← Escribe el código o el nombre del pescado en la casilla amarilla de arriba</t>
  </si>
  <si>
    <t xml:space="preserve">RESUMEN DEL PERÍODO SELECCIONADO</t>
  </si>
  <si>
    <t xml:space="preserve">TOTAL KG</t>
  </si>
  <si>
    <t xml:space="preserve">TOTAL BASE IMP REAL</t>
  </si>
  <si>
    <t xml:space="preserve">TOTAL BASE IMP. REAL</t>
  </si>
  <si>
    <t xml:space="preserve">PRECIO MEDIO €/KG</t>
  </si>
  <si>
    <t xml:space="preserve">Nº COMPRAS</t>
  </si>
  <si>
    <t xml:space="preserve">¿TIENE COMPRAS?</t>
  </si>
  <si>
    <t xml:space="preserve">TOTAL KG REAL (si hubo mermas, opcional)</t>
  </si>
  <si>
    <t xml:space="preserve">💡 Filtra por artículo en A4 y/o fechas en C4-D4. Luego usa el AUTOFILTRO en columna G para ver solo los artículos con compras (SI).</t>
  </si>
  <si>
    <t xml:space="preserve">CHIC</t>
  </si>
  <si>
    <t xml:space="preserve">CHICHARRO</t>
  </si>
  <si>
    <t xml:space="preserve">LIRI</t>
  </si>
  <si>
    <t xml:space="preserve">LIRIO</t>
  </si>
  <si>
    <t xml:space="preserve">VERD</t>
  </si>
  <si>
    <t xml:space="preserve">VERDEL</t>
  </si>
  <si>
    <t xml:space="preserve">C255P</t>
  </si>
  <si>
    <t xml:space="preserve">CABRAS PÑA</t>
  </si>
  <si>
    <t xml:space="preserve">CHOC</t>
  </si>
  <si>
    <t xml:space="preserve">CHOCOS</t>
  </si>
  <si>
    <t xml:space="preserve">PION</t>
  </si>
  <si>
    <t xml:space="preserve">PIONS</t>
  </si>
  <si>
    <t xml:space="preserve">RAPN</t>
  </si>
  <si>
    <t xml:space="preserve">RAPE NEGRO</t>
  </si>
  <si>
    <t xml:space="preserve">RAPB</t>
  </si>
  <si>
    <t xml:space="preserve">RAPE BLANCO</t>
  </si>
  <si>
    <t xml:space="preserve">SARG</t>
  </si>
  <si>
    <t xml:space="preserve">SARGO</t>
  </si>
  <si>
    <t xml:space="preserve">C650</t>
  </si>
  <si>
    <t xml:space="preserve">ABADEJO RIA (POL)</t>
  </si>
  <si>
    <t xml:space="preserve">C620</t>
  </si>
  <si>
    <t xml:space="preserve">ACEDIA (CET)</t>
  </si>
  <si>
    <t xml:space="preserve">C2555</t>
  </si>
  <si>
    <t xml:space="preserve">ALFONDIGA/RUBIO/ESCACHO (GUU)</t>
  </si>
  <si>
    <t xml:space="preserve">C3972</t>
  </si>
  <si>
    <t xml:space="preserve">ATUN PATUDO (BET)</t>
  </si>
  <si>
    <t xml:space="preserve">C8020</t>
  </si>
  <si>
    <t xml:space="preserve">FILETE DE BACALO (COD)</t>
  </si>
  <si>
    <t xml:space="preserve">C802</t>
  </si>
  <si>
    <t xml:space="preserve">BACALAO FRESCO (COD)</t>
  </si>
  <si>
    <t xml:space="preserve">C8021</t>
  </si>
  <si>
    <t xml:space="preserve">COCOCHAS DE BACALAO (COD)</t>
  </si>
  <si>
    <t xml:space="preserve">C1546</t>
  </si>
  <si>
    <t xml:space="preserve">BERTORELLA ROCA (FOR)</t>
  </si>
  <si>
    <t xml:space="preserve">C1545</t>
  </si>
  <si>
    <t xml:space="preserve">BERTORELLA (FOR)</t>
  </si>
  <si>
    <t xml:space="preserve">C365</t>
  </si>
  <si>
    <t xml:space="preserve">BESUGO (BSR)</t>
  </si>
  <si>
    <t xml:space="preserve">C562</t>
  </si>
  <si>
    <t xml:space="preserve">BICUDO/ALIGOTE (SBA)</t>
  </si>
  <si>
    <t xml:space="preserve">C601</t>
  </si>
  <si>
    <t xml:space="preserve">BOGAVANTE CANADIENSE CHIX (LBA)</t>
  </si>
  <si>
    <t xml:space="preserve">C3979</t>
  </si>
  <si>
    <t xml:space="preserve">BONITO DEL NORTE 5/7</t>
  </si>
  <si>
    <t xml:space="preserve">C397</t>
  </si>
  <si>
    <t xml:space="preserve">BONITO DEL NORTE 10+</t>
  </si>
  <si>
    <t xml:space="preserve">C387</t>
  </si>
  <si>
    <t xml:space="preserve">BOQUERON/ BOCARTE/ ANCHOA (ANE)</t>
  </si>
  <si>
    <t xml:space="preserve">C822</t>
  </si>
  <si>
    <t xml:space="preserve">BUEY FRANCES (CRE)</t>
  </si>
  <si>
    <t xml:space="preserve">C395</t>
  </si>
  <si>
    <t xml:space="preserve">CABALL/ SARDA/ VERDEL (MAC)</t>
  </si>
  <si>
    <t xml:space="preserve">C2550</t>
  </si>
  <si>
    <t xml:space="preserve">CABRACHO/ ESCARAPOTE (RSE)</t>
  </si>
  <si>
    <t xml:space="preserve">C2552</t>
  </si>
  <si>
    <t xml:space="preserve">CABRACHO DE FONDO (TJX)</t>
  </si>
  <si>
    <t xml:space="preserve">C255</t>
  </si>
  <si>
    <t xml:space="preserve">CABRAS/ GALLINETA (BRF)</t>
  </si>
  <si>
    <t xml:space="preserve">C258</t>
  </si>
  <si>
    <t xml:space="preserve">CABRILLAS/ SERRANO (CBR)</t>
  </si>
  <si>
    <t xml:space="preserve">C710</t>
  </si>
  <si>
    <t xml:space="preserve">CALAAMR COMUN (SQR)</t>
  </si>
  <si>
    <t xml:space="preserve">C730</t>
  </si>
  <si>
    <t xml:space="preserve">CALAMAR PATAGONICO (SQP)</t>
  </si>
  <si>
    <t xml:space="preserve">C720</t>
  </si>
  <si>
    <t xml:space="preserve">CALAMAR VETADO/ FORBES (SQF)</t>
  </si>
  <si>
    <t xml:space="preserve">C823</t>
  </si>
  <si>
    <t xml:space="preserve">CENTOLLA/ CENTOLLO (SCR)</t>
  </si>
  <si>
    <t xml:space="preserve">C396</t>
  </si>
  <si>
    <t xml:space="preserve">CHICHARRO/ JUREL/ XURELO (HOM)</t>
  </si>
  <si>
    <t xml:space="preserve">C4301</t>
  </si>
  <si>
    <t xml:space="preserve">CHOPAS (BRB)</t>
  </si>
  <si>
    <t xml:space="preserve">C2008</t>
  </si>
  <si>
    <t xml:space="preserve">CIGALAS EN COLAS</t>
  </si>
  <si>
    <t xml:space="preserve">C2101</t>
  </si>
  <si>
    <t xml:space="preserve">CIGALA "1" (NEP)</t>
  </si>
  <si>
    <t xml:space="preserve">C2004</t>
  </si>
  <si>
    <t xml:space="preserve">CIGALA "2" (NEP)</t>
  </si>
  <si>
    <t xml:space="preserve">C2104</t>
  </si>
  <si>
    <t xml:space="preserve">CIGALA "3P" (NEP)</t>
  </si>
  <si>
    <t xml:space="preserve">C2105</t>
  </si>
  <si>
    <t xml:space="preserve">CIGALA "3X" (NEP)</t>
  </si>
  <si>
    <t xml:space="preserve">C2103</t>
  </si>
  <si>
    <t xml:space="preserve">CIGALA "3" (NEP)</t>
  </si>
  <si>
    <t xml:space="preserve">C2100</t>
  </si>
  <si>
    <t xml:space="preserve">CIGALA "0" (NEP)</t>
  </si>
  <si>
    <t xml:space="preserve">C410</t>
  </si>
  <si>
    <t xml:space="preserve">CINTAS/ PEZ CINTA (CBC)</t>
  </si>
  <si>
    <t xml:space="preserve">C250</t>
  </si>
  <si>
    <t xml:space="preserve">CONGRIO 10+  (COE)</t>
  </si>
  <si>
    <t xml:space="preserve">C2507</t>
  </si>
  <si>
    <t xml:space="preserve">CONGRIO 7/10 (COE)</t>
  </si>
  <si>
    <t xml:space="preserve">C2505</t>
  </si>
  <si>
    <t xml:space="preserve">CONGRIO 5/07 (COE)</t>
  </si>
  <si>
    <t xml:space="preserve">C6530</t>
  </si>
  <si>
    <t xml:space="preserve">CORENO/ MENDO (WYT)</t>
  </si>
  <si>
    <t xml:space="preserve">C6301</t>
  </si>
  <si>
    <t xml:space="preserve">CORUXO/ SOLLO/ REMOL (BLL)</t>
  </si>
  <si>
    <t xml:space="preserve">C561</t>
  </si>
  <si>
    <t xml:space="preserve">DENTON (DEC)</t>
  </si>
  <si>
    <t xml:space="preserve">C3500</t>
  </si>
  <si>
    <t xml:space="preserve">DORADA SALVAJE (SBG)</t>
  </si>
  <si>
    <t xml:space="preserve">C867</t>
  </si>
  <si>
    <t xml:space="preserve">ERIZO DE MAR (URM)</t>
  </si>
  <si>
    <t xml:space="preserve">C2566</t>
  </si>
  <si>
    <t xml:space="preserve">ESCACHO/ ARETE/ RUBIO (GUR)</t>
  </si>
  <si>
    <t xml:space="preserve">C495</t>
  </si>
  <si>
    <t xml:space="preserve">ESCARPON/ DRAGON</t>
  </si>
  <si>
    <t xml:space="preserve">C214</t>
  </si>
  <si>
    <t xml:space="preserve">FANECA (BIB)</t>
  </si>
  <si>
    <t xml:space="preserve">C420</t>
  </si>
  <si>
    <t xml:space="preserve">GALLANO/ REI (USI)</t>
  </si>
  <si>
    <t xml:space="preserve">C269</t>
  </si>
  <si>
    <t xml:space="preserve">GALLINETA NORTE OCEANICA (FILETES)</t>
  </si>
  <si>
    <t xml:space="preserve">C270</t>
  </si>
  <si>
    <t xml:space="preserve">GALLO</t>
  </si>
  <si>
    <t xml:space="preserve">C271</t>
  </si>
  <si>
    <t xml:space="preserve">GALLO RIA/ RAPANTE/ MEIGA (MEG)</t>
  </si>
  <si>
    <t xml:space="preserve">C5310</t>
  </si>
  <si>
    <t xml:space="preserve">GATA/ GALLUDO (QUB)</t>
  </si>
  <si>
    <t xml:space="preserve">C116</t>
  </si>
  <si>
    <t xml:space="preserve">HUEVAS DE MERLUZA</t>
  </si>
  <si>
    <t xml:space="preserve">C3968</t>
  </si>
  <si>
    <t xml:space="preserve">JURELA BLANCA (HMY)</t>
  </si>
  <si>
    <t xml:space="preserve">C740</t>
  </si>
  <si>
    <t xml:space="preserve">CALAMAR CALIFORNIA</t>
  </si>
  <si>
    <t xml:space="preserve">C7582</t>
  </si>
  <si>
    <t xml:space="preserve">PANPANO/ RUFO IMPERIO</t>
  </si>
  <si>
    <t xml:space="preserve">C998</t>
  </si>
  <si>
    <t xml:space="preserve">JURELO MEDITERRANEO</t>
  </si>
  <si>
    <t xml:space="preserve">C640</t>
  </si>
  <si>
    <t xml:space="preserve">LENGUADO RIA (SOL)</t>
  </si>
  <si>
    <t xml:space="preserve">C221</t>
  </si>
  <si>
    <t xml:space="preserve">LIRIO/ BACALADILLA/ PERLA (WHB)</t>
  </si>
  <si>
    <t xml:space="preserve">C220</t>
  </si>
  <si>
    <t xml:space="preserve">LIRIO EN FILETES</t>
  </si>
  <si>
    <t xml:space="preserve">C336</t>
  </si>
  <si>
    <t xml:space="preserve">LUBINA RIA/ ROBALIZA (BSS)</t>
  </si>
  <si>
    <t xml:space="preserve">C3110</t>
  </si>
  <si>
    <t xml:space="preserve">MACHOS/ REYES/ ALFONSINOS (BYS)</t>
  </si>
  <si>
    <t xml:space="preserve">C755</t>
  </si>
  <si>
    <t xml:space="preserve">MARAGOTA/ PINTO (USB)</t>
  </si>
  <si>
    <t xml:space="preserve">C1400</t>
  </si>
  <si>
    <t xml:space="preserve">MERLUZA AMERICANA/ CARIOCA BOSTON (HKS)</t>
  </si>
  <si>
    <t xml:space="preserve">C1250</t>
  </si>
  <si>
    <t xml:space="preserve">MERLUZA DEL CABO (HKC)</t>
  </si>
  <si>
    <t xml:space="preserve">C1730</t>
  </si>
  <si>
    <t xml:space="preserve">MERLUZA EUROPEA ARRASTRE (HKE)</t>
  </si>
  <si>
    <t xml:space="preserve">C17308</t>
  </si>
  <si>
    <t xml:space="preserve">MERLUZA EUROPEA ARRASTRE (HKE) 800/1000</t>
  </si>
  <si>
    <t xml:space="preserve">C17301</t>
  </si>
  <si>
    <t xml:space="preserve">MERLUZA EUROPEA ARRASTRE (HKE) 1000/1250</t>
  </si>
  <si>
    <t xml:space="preserve">C17301+</t>
  </si>
  <si>
    <t xml:space="preserve">MERLUZA EUROPEA ARRASTRE (HKE) 1250/1500</t>
  </si>
  <si>
    <t xml:space="preserve">C173015</t>
  </si>
  <si>
    <t xml:space="preserve">MERLUZA EUROPEA ARRASTRE (HKE) 1500/2000</t>
  </si>
  <si>
    <t xml:space="preserve">C173020</t>
  </si>
  <si>
    <t xml:space="preserve">MERLUZA EUROPEA ARRASTRE (HKE) 2000/2500</t>
  </si>
  <si>
    <t xml:space="preserve">C169</t>
  </si>
  <si>
    <t xml:space="preserve">MERLUZA EUROPEA GDA (HKE)</t>
  </si>
  <si>
    <t xml:space="preserve">C1750</t>
  </si>
  <si>
    <t xml:space="preserve">MERLUZA EUROPEA PAREJA (HKE)</t>
  </si>
  <si>
    <t xml:space="preserve">C1206</t>
  </si>
  <si>
    <t xml:space="preserve">MERLUZA EUROPEA PINCHO</t>
  </si>
  <si>
    <t xml:space="preserve">C12068</t>
  </si>
  <si>
    <t xml:space="preserve">C12061</t>
  </si>
  <si>
    <t xml:space="preserve">C12061+</t>
  </si>
  <si>
    <t xml:space="preserve">C120615</t>
  </si>
  <si>
    <t xml:space="preserve">C120620</t>
  </si>
  <si>
    <t xml:space="preserve">C1300</t>
  </si>
  <si>
    <t xml:space="preserve">MERLUZA EUROPEA PINCHO COSTA</t>
  </si>
  <si>
    <t xml:space="preserve">C13004</t>
  </si>
  <si>
    <t xml:space="preserve">C13006</t>
  </si>
  <si>
    <t xml:space="preserve">MERLUZA EUROPEA PINCHO COSTA 600</t>
  </si>
  <si>
    <t xml:space="preserve">C13008</t>
  </si>
  <si>
    <t xml:space="preserve">MERLUZA EUROPEA PINCHO COSTA 800</t>
  </si>
  <si>
    <t xml:space="preserve">C13001</t>
  </si>
  <si>
    <t xml:space="preserve">MERLUZA EUROPEA PINCHO COSTA 1000</t>
  </si>
  <si>
    <t xml:space="preserve">C13001+</t>
  </si>
  <si>
    <t xml:space="preserve">MERLUZA EUROPEA PINCHO COSTA 1,251,5</t>
  </si>
  <si>
    <t xml:space="preserve">C130015</t>
  </si>
  <si>
    <t xml:space="preserve">MERLUZA EUROPEA PINCHO COSTA 1,5/2</t>
  </si>
  <si>
    <t xml:space="preserve">C130020</t>
  </si>
  <si>
    <t xml:space="preserve">MERLUZA EUROPEA PINCHO COSTA 2+</t>
  </si>
  <si>
    <t xml:space="preserve">C130025</t>
  </si>
  <si>
    <t xml:space="preserve">C130030</t>
  </si>
  <si>
    <t xml:space="preserve">C1401</t>
  </si>
  <si>
    <t xml:space="preserve">MERLUZA EUROPEA VOLANTA COSTA</t>
  </si>
  <si>
    <t xml:space="preserve">C1444</t>
  </si>
  <si>
    <t xml:space="preserve">MERLUZA EUROPEA VOLANTA</t>
  </si>
  <si>
    <t xml:space="preserve">C1446</t>
  </si>
  <si>
    <t xml:space="preserve">C1448</t>
  </si>
  <si>
    <t xml:space="preserve">C1441</t>
  </si>
  <si>
    <t xml:space="preserve">MERLUZA EUROPEA VOLANTA COSTA 1/1,25</t>
  </si>
  <si>
    <t xml:space="preserve">C144+</t>
  </si>
  <si>
    <t xml:space="preserve">C14415</t>
  </si>
  <si>
    <t xml:space="preserve">C14420</t>
  </si>
  <si>
    <t xml:space="preserve">C14425</t>
  </si>
  <si>
    <t xml:space="preserve">C14430</t>
  </si>
  <si>
    <t xml:space="preserve">C142</t>
  </si>
  <si>
    <t xml:space="preserve">MERLUZA EUROPEA VOLANTA DIA</t>
  </si>
  <si>
    <t xml:space="preserve">C1428</t>
  </si>
  <si>
    <t xml:space="preserve">MERLUZA EUROPEA VOLANTA ALTURA</t>
  </si>
  <si>
    <t xml:space="preserve">C1421</t>
  </si>
  <si>
    <t xml:space="preserve">C1421+</t>
  </si>
  <si>
    <t xml:space="preserve">C14215</t>
  </si>
  <si>
    <t xml:space="preserve">C1422</t>
  </si>
  <si>
    <t xml:space="preserve">C14225</t>
  </si>
  <si>
    <t xml:space="preserve">C14230</t>
  </si>
  <si>
    <t xml:space="preserve">C751</t>
  </si>
  <si>
    <t xml:space="preserve">MERO AMERICANO/ CHERNA (WRF)</t>
  </si>
  <si>
    <t xml:space="preserve">C752</t>
  </si>
  <si>
    <t xml:space="preserve">MERO AMERICANO (WRF)</t>
  </si>
  <si>
    <t xml:space="preserve">C750</t>
  </si>
  <si>
    <t xml:space="preserve">MERO COMUN GENERICO (GPX)</t>
  </si>
  <si>
    <t xml:space="preserve">C4081</t>
  </si>
  <si>
    <t xml:space="preserve">MORENA COMIN (MMH)</t>
  </si>
  <si>
    <t xml:space="preserve">C675</t>
  </si>
  <si>
    <t xml:space="preserve">MUJEL/ MUGIL/ MUNXE/ MUXE (MUF)</t>
  </si>
  <si>
    <t xml:space="preserve">C288</t>
  </si>
  <si>
    <t xml:space="preserve">PALO/ PEZ PALO/ MARUCA AZUL (BLI)</t>
  </si>
  <si>
    <t xml:space="preserve">C560</t>
  </si>
  <si>
    <t xml:space="preserve">PARGO (RPG)</t>
  </si>
  <si>
    <t xml:space="preserve">C9860</t>
  </si>
  <si>
    <t xml:space="preserve">PEON/ PION (ATP)</t>
  </si>
  <si>
    <t xml:space="preserve">C9861</t>
  </si>
  <si>
    <t xml:space="preserve">PEON DE ALTURA (ARY)</t>
  </si>
  <si>
    <t xml:space="preserve">C869</t>
  </si>
  <si>
    <t xml:space="preserve">PERCEBE (PCB)</t>
  </si>
  <si>
    <t xml:space="preserve">C191</t>
  </si>
  <si>
    <t xml:space="preserve">MERLUZA EUROPEA/ FINA DIA</t>
  </si>
  <si>
    <t xml:space="preserve">C3600</t>
  </si>
  <si>
    <t xml:space="preserve">PEZ BALLESTA/ PEIXE RONDADOR (TRG)</t>
  </si>
  <si>
    <t xml:space="preserve">C811</t>
  </si>
  <si>
    <t xml:space="preserve">PEZ ESPADA (SWO)</t>
  </si>
  <si>
    <t xml:space="preserve">C211</t>
  </si>
  <si>
    <t xml:space="preserve">POTA (SQI)</t>
  </si>
  <si>
    <t xml:space="preserve">C212</t>
  </si>
  <si>
    <t xml:space="preserve">POTA VOLADORA COMUN (SQM)</t>
  </si>
  <si>
    <t xml:space="preserve">C892</t>
  </si>
  <si>
    <t xml:space="preserve">PULPO (OCC)</t>
  </si>
  <si>
    <t xml:space="preserve">C5250</t>
  </si>
  <si>
    <t xml:space="preserve">RAPE BLANCO DIA (MON)</t>
  </si>
  <si>
    <t xml:space="preserve">C516</t>
  </si>
  <si>
    <t xml:space="preserve">HUESOS DE RAPE (MON)</t>
  </si>
  <si>
    <t xml:space="preserve">C5262</t>
  </si>
  <si>
    <t xml:space="preserve">RAPE BLANCO RASCO (MON)</t>
  </si>
  <si>
    <t xml:space="preserve">C5260</t>
  </si>
  <si>
    <t xml:space="preserve">RAPE BLANCO ARRASTRE (MON)</t>
  </si>
  <si>
    <t xml:space="preserve">C5240</t>
  </si>
  <si>
    <t xml:space="preserve">RAPE NEGRO (ANK)</t>
  </si>
  <si>
    <t xml:space="preserve">C3061</t>
  </si>
  <si>
    <t xml:space="preserve">RAYA ROCAROSA (RJH)</t>
  </si>
  <si>
    <t xml:space="preserve">C3062</t>
  </si>
  <si>
    <t xml:space="preserve">RAYA COLORADA (RJE)</t>
  </si>
  <si>
    <t xml:space="preserve">C3060</t>
  </si>
  <si>
    <t xml:space="preserve">RAYA COMUN ALAS</t>
  </si>
  <si>
    <t xml:space="preserve">C306</t>
  </si>
  <si>
    <t xml:space="preserve">RAYA SPP (SKA)</t>
  </si>
  <si>
    <t xml:space="preserve">C630</t>
  </si>
  <si>
    <t xml:space="preserve">RODABALLO (TUR)</t>
  </si>
  <si>
    <t xml:space="preserve">C7599</t>
  </si>
  <si>
    <t xml:space="preserve">SABLE BLANCO (SFS)</t>
  </si>
  <si>
    <t xml:space="preserve">C770</t>
  </si>
  <si>
    <t xml:space="preserve">SABOGA/ SALEMA/ SALMA (SLM)</t>
  </si>
  <si>
    <t xml:space="preserve">C900</t>
  </si>
  <si>
    <t xml:space="preserve">SALMON (SAL)</t>
  </si>
  <si>
    <t xml:space="preserve">C340</t>
  </si>
  <si>
    <t xml:space="preserve">SALMONETE</t>
  </si>
  <si>
    <t xml:space="preserve">C341</t>
  </si>
  <si>
    <t xml:space="preserve">SALMONETE ROCA (MUR)</t>
  </si>
  <si>
    <t xml:space="preserve">C8560</t>
  </si>
  <si>
    <t xml:space="preserve">SAN MARTIÑOS/ SAN PEDROS (JOD)</t>
  </si>
  <si>
    <t xml:space="preserve">C440</t>
  </si>
  <si>
    <t xml:space="preserve">FILETE DE PLATIJA (FLE)</t>
  </si>
  <si>
    <t xml:space="preserve">C391</t>
  </si>
  <si>
    <t xml:space="preserve">FILETE DE SARDINA (PIL)</t>
  </si>
  <si>
    <t xml:space="preserve">C390</t>
  </si>
  <si>
    <t xml:space="preserve">SARDINA    (PIL)</t>
  </si>
  <si>
    <t xml:space="preserve">C430</t>
  </si>
  <si>
    <t xml:space="preserve">SARGO RIA (SWA)</t>
  </si>
  <si>
    <t xml:space="preserve">C431</t>
  </si>
  <si>
    <t xml:space="preserve">SARGO ESCAMUDO (CTB)</t>
  </si>
  <si>
    <t xml:space="preserve">C704</t>
  </si>
  <si>
    <t xml:space="preserve">SEPA/ CHOCO/ JIBIA (CTC)</t>
  </si>
  <si>
    <t xml:space="preserve">C999</t>
  </si>
  <si>
    <t xml:space="preserve">VARIADO PEQUEÑO</t>
  </si>
  <si>
    <t xml:space="preserve">C2560</t>
  </si>
  <si>
    <t xml:space="preserve">VIEJA COLORADA (PRR)</t>
  </si>
  <si>
    <t xml:space="preserve">C3111</t>
  </si>
  <si>
    <t xml:space="preserve">VIRREY/ PALOMETA ROJA</t>
  </si>
  <si>
    <t xml:space="preserve">C2551</t>
  </si>
  <si>
    <t xml:space="preserve">VISPOS/ ESCORPORAS</t>
  </si>
  <si>
    <t xml:space="preserve">N PARTIDA</t>
  </si>
  <si>
    <t xml:space="preserve">FECHA</t>
  </si>
  <si>
    <t xml:space="preserve">ALB PROV</t>
  </si>
  <si>
    <t xml:space="preserve">COD PROV</t>
  </si>
  <si>
    <t xml:space="preserve">PROVEEDOR</t>
  </si>
  <si>
    <t xml:space="preserve">OP 2%</t>
  </si>
  <si>
    <t xml:space="preserve">COD PROD</t>
  </si>
  <si>
    <t xml:space="preserve">DESCRIPCION</t>
  </si>
  <si>
    <t xml:space="preserve">CAJAS</t>
  </si>
  <si>
    <t xml:space="preserve">KILOS</t>
  </si>
  <si>
    <t xml:space="preserve">EUR/KG</t>
  </si>
  <si>
    <t xml:space="preserve">BASE IMP ZARAGOZA</t>
  </si>
  <si>
    <t xml:space="preserve">BASE IMP ZGZ + IVA</t>
  </si>
  <si>
    <t xml:space="preserve">2% OP</t>
  </si>
  <si>
    <t xml:space="preserve">BASE IMP REAL</t>
  </si>
  <si>
    <t xml:space="preserve">IVA 10%</t>
  </si>
  <si>
    <t xml:space="preserve">TOTAL FACT</t>
  </si>
  <si>
    <t xml:space="preserve">CONTROL</t>
  </si>
  <si>
    <t xml:space="preserve">s</t>
  </si>
  <si>
    <t xml:space="preserve">26SM/2328</t>
  </si>
  <si>
    <t xml:space="preserve">26SM/2329</t>
  </si>
  <si>
    <t xml:space="preserve">26SM/2330</t>
  </si>
  <si>
    <t xml:space="preserve">PV3/3311</t>
  </si>
  <si>
    <t xml:space="preserve">C2106</t>
  </si>
  <si>
    <t xml:space="preserve">528/1206</t>
  </si>
  <si>
    <t xml:space="preserve">S</t>
  </si>
  <si>
    <t xml:space="preserve">528/1506</t>
  </si>
  <si>
    <t xml:space="preserve">C144</t>
  </si>
  <si>
    <t xml:space="preserve">50A/3543</t>
  </si>
  <si>
    <t xml:space="preserve">50A-3552</t>
  </si>
  <si>
    <t xml:space="preserve">528/1606</t>
  </si>
  <si>
    <t xml:space="preserve">1160/2026</t>
  </si>
  <si>
    <t xml:space="preserve">528/1806</t>
  </si>
  <si>
    <t xml:space="preserve">PERFECTO MONTERO</t>
  </si>
  <si>
    <t xml:space="preserve">528/1906</t>
  </si>
  <si>
    <t xml:space="preserve">SUBASTAS RIVERA S.L.</t>
  </si>
  <si>
    <t xml:space="preserve">MERLUZA EUROPEA ARRASTRE (HKE) </t>
  </si>
  <si>
    <t xml:space="preserve">SONIA VENTAS S.L</t>
  </si>
  <si>
    <t xml:space="preserve">PACO MOINELO</t>
  </si>
  <si>
    <t xml:space="preserve">SUBASTAS CORUÑA S.L.</t>
  </si>
  <si>
    <t xml:space="preserve">JOSE LUIS CORREA KESSLER S.L.</t>
  </si>
  <si>
    <t xml:space="preserve">N</t>
  </si>
  <si>
    <t xml:space="preserve">COPESA</t>
  </si>
  <si>
    <t xml:space="preserve">01 11235</t>
  </si>
  <si>
    <t xml:space="preserve">ABRGO NORTE S.L.</t>
  </si>
  <si>
    <t xml:space="preserve">RAYA COMUN ALAS </t>
  </si>
  <si>
    <t xml:space="preserve">SCANFISK SEAFFOD S,L</t>
  </si>
  <si>
    <t xml:space="preserve">AZORFISK UNIPERSONAL LDA</t>
  </si>
  <si>
    <t xml:space="preserve">528/2306</t>
  </si>
  <si>
    <t xml:space="preserve">528/2206</t>
  </si>
  <si>
    <t xml:space="preserve">SO37098</t>
  </si>
  <si>
    <t xml:space="preserve">AV3/799</t>
  </si>
  <si>
    <t xml:space="preserve">AV3/3798</t>
  </si>
  <si>
    <t xml:space="preserve">528/2406</t>
  </si>
  <si>
    <t xml:space="preserve">2469/2026</t>
  </si>
  <si>
    <t xml:space="preserve">06 5006</t>
  </si>
  <si>
    <t xml:space="preserve">06 4986</t>
  </si>
  <si>
    <t xml:space="preserve">F 6520</t>
  </si>
  <si>
    <t xml:space="preserve">26SM/2616</t>
  </si>
  <si>
    <t xml:space="preserve">26SM/2605</t>
  </si>
  <si>
    <t xml:space="preserve">26SM/2604</t>
  </si>
  <si>
    <t xml:space="preserve">F 6508</t>
  </si>
  <si>
    <t xml:space="preserve">F FA.26SM/2697</t>
  </si>
  <si>
    <t xml:space="preserve">FA.26SM/2698</t>
  </si>
  <si>
    <t xml:space="preserve">FA.26SM/2713</t>
  </si>
  <si>
    <t xml:space="preserve">FA.26SM/2735</t>
  </si>
  <si>
    <t xml:space="preserve">FA.26SM/2734</t>
  </si>
  <si>
    <t xml:space="preserve">1742/2026</t>
  </si>
  <si>
    <t xml:space="preserve">C880</t>
  </si>
  <si>
    <t xml:space="preserve">FA26SM/2757</t>
  </si>
  <si>
    <t xml:space="preserve">26sm-2795</t>
  </si>
  <si>
    <t xml:space="preserve">528-0607</t>
  </si>
  <si>
    <t xml:space="preserve">6800/2026</t>
  </si>
  <si>
    <t xml:space="preserve">SO37446</t>
  </si>
  <si>
    <t xml:space="preserve">AV3/4076</t>
  </si>
  <si>
    <t xml:space="preserve">528/0707</t>
  </si>
  <si>
    <t xml:space="preserve">528-0707</t>
  </si>
  <si>
    <t xml:space="preserve">6850/2026</t>
  </si>
  <si>
    <t xml:space="preserve">SO37499</t>
  </si>
  <si>
    <t xml:space="preserve">FRA 110</t>
  </si>
  <si>
    <t xml:space="preserve">01-12519</t>
  </si>
  <si>
    <t xml:space="preserve">2026/324</t>
  </si>
  <si>
    <t xml:space="preserve">2690/2026</t>
  </si>
  <si>
    <t xml:space="preserve">AV3/4140</t>
  </si>
  <si>
    <t xml:space="preserve">C1200</t>
  </si>
  <si>
    <t xml:space="preserve">NADA</t>
  </si>
  <si>
    <t xml:space="preserve">528-0807</t>
  </si>
  <si>
    <t xml:space="preserve">50A-3662</t>
  </si>
  <si>
    <t xml:space="preserve">FRA 26SM/2840</t>
  </si>
  <si>
    <t xml:space="preserve">6900-2026</t>
  </si>
  <si>
    <t xml:space="preserve">1406/2026</t>
  </si>
  <si>
    <t xml:space="preserve">01-12488</t>
  </si>
  <si>
    <t xml:space="preserve">01-12600</t>
  </si>
  <si>
    <t xml:space="preserve">01-12626</t>
  </si>
  <si>
    <t xml:space="preserve">01-12645</t>
  </si>
  <si>
    <t xml:space="preserve">50A-3669</t>
  </si>
  <si>
    <t xml:space="preserve">528-0907</t>
  </si>
  <si>
    <t xml:space="preserve">XESTION NOVA LONXA RIVEIRA S.L.</t>
  </si>
  <si>
    <t xml:space="preserve">1482/2026</t>
  </si>
  <si>
    <t xml:space="preserve">AV3/4148</t>
  </si>
  <si>
    <t xml:space="preserve">01-12764</t>
  </si>
  <si>
    <t xml:space="preserve">528-1007</t>
  </si>
  <si>
    <t xml:space="preserve">7027/2026</t>
  </si>
  <si>
    <t xml:space="preserve">01-12795</t>
  </si>
  <si>
    <t xml:space="preserve">01-12821</t>
  </si>
  <si>
    <t xml:space="preserve">FA26SM/2880</t>
  </si>
  <si>
    <t xml:space="preserve">FA26SM/2888</t>
  </si>
  <si>
    <t xml:space="preserve">A26/7560</t>
  </si>
  <si>
    <t xml:space="preserve">AV3/4175</t>
  </si>
  <si>
    <t xml:space="preserve">AV3/4176</t>
  </si>
  <si>
    <t xml:space="preserve">AV3/4177</t>
  </si>
  <si>
    <t xml:space="preserve">528/1307</t>
  </si>
  <si>
    <t xml:space="preserve">C398</t>
  </si>
  <si>
    <t xml:space="preserve">SO37594</t>
  </si>
  <si>
    <t xml:space="preserve">01-12925</t>
  </si>
  <si>
    <t xml:space="preserve">01-12946</t>
  </si>
  <si>
    <t xml:space="preserve">01-12942</t>
  </si>
  <si>
    <t xml:space="preserve">7111/2026</t>
  </si>
  <si>
    <t xml:space="preserve">PV3/3986</t>
  </si>
  <si>
    <t xml:space="preserve">528/1407</t>
  </si>
  <si>
    <t xml:space="preserve">7191/2026</t>
  </si>
  <si>
    <t xml:space="preserve">7191/206</t>
  </si>
  <si>
    <t xml:space="preserve">SO37643</t>
  </si>
  <si>
    <t xml:space="preserve">PV3/4018</t>
  </si>
  <si>
    <t xml:space="preserve">PV3/4019</t>
  </si>
  <si>
    <t xml:space="preserve">01-13083</t>
  </si>
  <si>
    <t xml:space="preserve">2793/2026</t>
  </si>
  <si>
    <t xml:space="preserve">528/1507</t>
  </si>
  <si>
    <t xml:space="preserve">01-13115</t>
  </si>
  <si>
    <t xml:space="preserve">01-13139</t>
  </si>
  <si>
    <t xml:space="preserve">1532/2026</t>
  </si>
  <si>
    <t xml:space="preserve">1926-2026</t>
  </si>
  <si>
    <t xml:space="preserve">AV3/4287</t>
  </si>
  <si>
    <t xml:space="preserve">528/1607</t>
  </si>
  <si>
    <t xml:space="preserve">SO37725</t>
  </si>
  <si>
    <t xml:space="preserve">528-1707</t>
  </si>
  <si>
    <t xml:space="preserve">01-13338</t>
  </si>
  <si>
    <t xml:space="preserve">10449</t>
  </si>
  <si>
    <t xml:space="preserve">06-5796</t>
  </si>
  <si>
    <t xml:space="preserve">NON CHEGOU</t>
  </si>
  <si>
    <t xml:space="preserve">50A-3710</t>
  </si>
  <si>
    <t xml:space="preserve">01-13365</t>
  </si>
  <si>
    <t xml:space="preserve">01-13397</t>
  </si>
  <si>
    <t xml:space="preserve">01-13418</t>
  </si>
  <si>
    <t xml:space="preserve">AV3/4340</t>
  </si>
  <si>
    <t xml:space="preserve">1977/2026</t>
  </si>
  <si>
    <t xml:space="preserve">528/2007</t>
  </si>
  <si>
    <t xml:space="preserve">fra 7821</t>
  </si>
  <si>
    <t xml:space="preserve">7462/2026</t>
  </si>
  <si>
    <t xml:space="preserve">01 13497</t>
  </si>
  <si>
    <t xml:space="preserve">01 13515</t>
  </si>
  <si>
    <t xml:space="preserve">FA26SM/3034</t>
  </si>
  <si>
    <t xml:space="preserve">2004/2026</t>
  </si>
  <si>
    <t xml:space="preserve">PV3/4143</t>
  </si>
  <si>
    <t xml:space="preserve">528/2107</t>
  </si>
  <si>
    <t xml:space="preserve">50A-3717</t>
  </si>
  <si>
    <t xml:space="preserve">01 13572</t>
  </si>
  <si>
    <t xml:space="preserve">01-13637</t>
  </si>
  <si>
    <t xml:space="preserve">FA26SM/3061</t>
  </si>
  <si>
    <t xml:space="preserve">FA26SM/3062</t>
  </si>
  <si>
    <t xml:space="preserve">SO37778</t>
  </si>
  <si>
    <t xml:space="preserve">1554/2026</t>
  </si>
  <si>
    <t xml:space="preserve">2024/2026</t>
  </si>
  <si>
    <t xml:space="preserve">2928/2026</t>
  </si>
  <si>
    <t xml:space="preserve">AV3/4401</t>
  </si>
  <si>
    <t xml:space="preserve">AV3-4402</t>
  </si>
  <si>
    <t xml:space="preserve">AV3/4403</t>
  </si>
  <si>
    <t xml:space="preserve">528/2207</t>
  </si>
  <si>
    <t xml:space="preserve">50A-3721</t>
  </si>
  <si>
    <t xml:space="preserve">01 13702</t>
  </si>
  <si>
    <t xml:space="preserve">A 12202</t>
  </si>
  <si>
    <t xml:space="preserve">SO37814</t>
  </si>
  <si>
    <t xml:space="preserve">2042/2026</t>
  </si>
  <si>
    <t xml:space="preserve">AV3/4429</t>
  </si>
  <si>
    <t xml:space="preserve">528-2307</t>
  </si>
  <si>
    <t xml:space="preserve">7637/2026</t>
  </si>
  <si>
    <t xml:space="preserve">SO37839</t>
  </si>
  <si>
    <t xml:space="preserve">SO37909</t>
  </si>
  <si>
    <t xml:space="preserve">01 13831</t>
  </si>
  <si>
    <t xml:space="preserve">A 12433</t>
  </si>
  <si>
    <t xml:space="preserve">01 13922</t>
  </si>
  <si>
    <t xml:space="preserve">50A-3743</t>
  </si>
  <si>
    <t xml:space="preserve">A26/8143</t>
  </si>
  <si>
    <t xml:space="preserve">290-2026</t>
  </si>
  <si>
    <t xml:space="preserve">2994/2026</t>
  </si>
  <si>
    <t xml:space="preserve">AV3-4478</t>
  </si>
  <si>
    <t xml:space="preserve">AV-34479</t>
  </si>
  <si>
    <t xml:space="preserve">528/2707</t>
  </si>
  <si>
    <t xml:space="preserve">1593/2026</t>
  </si>
  <si>
    <t xml:space="preserve">01 14055</t>
  </si>
  <si>
    <t xml:space="preserve">01 14088</t>
  </si>
  <si>
    <t xml:space="preserve">2120/2026</t>
  </si>
  <si>
    <t xml:space="preserve">2026/426</t>
  </si>
  <si>
    <t xml:space="preserve">528-2807</t>
  </si>
  <si>
    <t xml:space="preserve">7771/2026</t>
  </si>
  <si>
    <t xml:space="preserve">SO37910</t>
  </si>
  <si>
    <t xml:space="preserve">01 14150</t>
  </si>
  <si>
    <t xml:space="preserve">01 14200</t>
  </si>
  <si>
    <t xml:space="preserve">PV1/19356</t>
  </si>
  <si>
    <t xml:space="preserve">PV1/19659</t>
  </si>
  <si>
    <t xml:space="preserve">AV3/4527</t>
  </si>
  <si>
    <t xml:space="preserve">AV3/4526</t>
  </si>
  <si>
    <t xml:space="preserve">3034/2026</t>
  </si>
  <si>
    <t xml:space="preserve">2145/2026</t>
  </si>
  <si>
    <t xml:space="preserve">528/2907</t>
  </si>
  <si>
    <t xml:space="preserve">50A-3754</t>
  </si>
  <si>
    <t xml:space="preserve">7866/2026</t>
  </si>
  <si>
    <t xml:space="preserve">SO37940</t>
  </si>
  <si>
    <t xml:space="preserve">1616/2026</t>
  </si>
  <si>
    <t xml:space="preserve">AV1-18325</t>
  </si>
  <si>
    <t xml:space="preserve">AV3/4556</t>
  </si>
  <si>
    <t xml:space="preserve">2171/2026</t>
  </si>
  <si>
    <t xml:space="preserve">528-3007</t>
  </si>
  <si>
    <t xml:space="preserve">7973/2026</t>
  </si>
  <si>
    <t xml:space="preserve">01 14519</t>
  </si>
  <si>
    <t xml:space="preserve">8001/2026</t>
  </si>
  <si>
    <t xml:space="preserve">50A-3782</t>
  </si>
  <si>
    <t xml:space="preserve">FRA 126</t>
  </si>
  <si>
    <t xml:space="preserve">A26-8453</t>
  </si>
  <si>
    <t xml:space="preserve">01 14556 + 14535</t>
  </si>
  <si>
    <t xml:space="preserve">AV3-4615</t>
  </si>
  <si>
    <t xml:space="preserve">AV3-4616</t>
  </si>
  <si>
    <t xml:space="preserve">AV3-4617</t>
  </si>
  <si>
    <t xml:space="preserve">528-0308</t>
  </si>
  <si>
    <t xml:space="preserve">8092-2026</t>
  </si>
  <si>
    <t xml:space="preserve">SO37982</t>
  </si>
  <si>
    <t xml:space="preserve">A 13071</t>
  </si>
  <si>
    <t xml:space="preserve">01-14612</t>
  </si>
  <si>
    <t xml:space="preserve">01-14721</t>
  </si>
  <si>
    <t xml:space="preserve">01-14675</t>
  </si>
  <si>
    <t xml:space="preserve">2026/461</t>
  </si>
  <si>
    <t xml:space="preserve">AV3-4636</t>
  </si>
  <si>
    <t xml:space="preserve">AV3-4637</t>
  </si>
  <si>
    <t xml:space="preserve">528/0408</t>
  </si>
  <si>
    <t xml:space="preserve">fa 26sm/3364</t>
  </si>
  <si>
    <t xml:space="preserve">01-14861</t>
  </si>
  <si>
    <t xml:space="preserve">01-14785</t>
  </si>
  <si>
    <t xml:space="preserve">8160-2026</t>
  </si>
  <si>
    <t xml:space="preserve">1642/2026</t>
  </si>
  <si>
    <t xml:space="preserve">AV3-4678</t>
  </si>
  <si>
    <t xml:space="preserve">528-0508</t>
  </si>
  <si>
    <t xml:space="preserve">C2245</t>
  </si>
  <si>
    <t xml:space="preserve">8215/2026</t>
  </si>
  <si>
    <t xml:space="preserve">1652-2026</t>
  </si>
  <si>
    <t xml:space="preserve">A26-4845</t>
  </si>
  <si>
    <t xml:space="preserve">01-14901</t>
  </si>
  <si>
    <t xml:space="preserve">AV3/4707</t>
  </si>
  <si>
    <t xml:space="preserve">AV3/4708</t>
  </si>
  <si>
    <t xml:space="preserve">AV3/4709</t>
  </si>
  <si>
    <t xml:space="preserve">PV1/20454</t>
  </si>
  <si>
    <t xml:space="preserve">11484</t>
  </si>
  <si>
    <t xml:space="preserve">06-6448</t>
  </si>
  <si>
    <t xml:space="preserve">9478</t>
  </si>
  <si>
    <t xml:space="preserve">19011</t>
  </si>
  <si>
    <t xml:space="preserve">21928</t>
  </si>
  <si>
    <t xml:space="preserve">8276/2026</t>
  </si>
  <si>
    <t xml:space="preserve">528-0608</t>
  </si>
  <si>
    <t xml:space="preserve">50A-3789</t>
  </si>
  <si>
    <t xml:space="preserve">A26/4847</t>
  </si>
  <si>
    <t xml:space="preserve">11559</t>
  </si>
  <si>
    <t xml:space="preserve">8315/2026</t>
  </si>
  <si>
    <t xml:space="preserve">34904</t>
  </si>
  <si>
    <t xml:space="preserve">19173</t>
  </si>
  <si>
    <t xml:space="preserve">21988</t>
  </si>
  <si>
    <t xml:space="preserve">19228</t>
  </si>
  <si>
    <t xml:space="preserve">528/0708</t>
  </si>
  <si>
    <t xml:space="preserve">8669</t>
  </si>
  <si>
    <t xml:space="preserve">11601</t>
  </si>
  <si>
    <t xml:space="preserve">22095</t>
  </si>
  <si>
    <t xml:space="preserve">01-15096</t>
  </si>
  <si>
    <t xml:space="preserve">01-15177</t>
  </si>
  <si>
    <t xml:space="preserve">50A-3802</t>
  </si>
  <si>
    <t xml:space="preserve">AV3/4743</t>
  </si>
  <si>
    <t xml:space="preserve">AV3/4744</t>
  </si>
  <si>
    <t xml:space="preserve">AV3/4745</t>
  </si>
  <si>
    <t xml:space="preserve">A26/8796</t>
  </si>
  <si>
    <t xml:space="preserve">528/2026</t>
  </si>
  <si>
    <t xml:space="preserve">¿?</t>
  </si>
  <si>
    <t xml:space="preserve">11625</t>
  </si>
  <si>
    <t xml:space="preserve">9582</t>
  </si>
  <si>
    <t xml:space="preserve">35005</t>
  </si>
  <si>
    <t xml:space="preserve">19257</t>
  </si>
  <si>
    <t xml:space="preserve">22334</t>
  </si>
  <si>
    <t xml:space="preserve">SO38055</t>
  </si>
  <si>
    <t xml:space="preserve">1674/2026</t>
  </si>
  <si>
    <t xml:space="preserve">01-15293</t>
  </si>
  <si>
    <t xml:space="preserve">AV/4801</t>
  </si>
  <si>
    <t xml:space="preserve">A26/4853</t>
  </si>
  <si>
    <t xml:space="preserve">19370</t>
  </si>
  <si>
    <t xml:space="preserve">528-1108</t>
  </si>
  <si>
    <t xml:space="preserve">528/1208</t>
  </si>
  <si>
    <t xml:space="preserve">C3973</t>
  </si>
  <si>
    <t xml:space="preserve">11731</t>
  </si>
  <si>
    <t xml:space="preserve">35095</t>
  </si>
  <si>
    <t xml:space="preserve">8815</t>
  </si>
  <si>
    <t xml:space="preserve">22392</t>
  </si>
  <si>
    <t xml:space="preserve">SO38080</t>
  </si>
  <si>
    <t xml:space="preserve">1689/2026</t>
  </si>
  <si>
    <t xml:space="preserve">01-15396</t>
  </si>
  <si>
    <t xml:space="preserve">AV3/4825</t>
  </si>
  <si>
    <t xml:space="preserve">AV3-4826</t>
  </si>
  <si>
    <t xml:space="preserve">11858</t>
  </si>
  <si>
    <t xml:space="preserve">35265</t>
  </si>
  <si>
    <t xml:space="preserve">19498</t>
  </si>
  <si>
    <t xml:space="preserve">22676</t>
  </si>
  <si>
    <t xml:space="preserve">SO38109</t>
  </si>
  <si>
    <t xml:space="preserve">1713/2026</t>
  </si>
  <si>
    <t xml:space="preserve">A26/2786</t>
  </si>
  <si>
    <t xml:space="preserve">50A-3820</t>
  </si>
  <si>
    <t xml:space="preserve">528-1308</t>
  </si>
  <si>
    <t xml:space="preserve">11958</t>
  </si>
  <si>
    <t xml:space="preserve">8995</t>
  </si>
  <si>
    <t xml:space="preserve">06-6716</t>
  </si>
  <si>
    <t xml:space="preserve">9839</t>
  </si>
  <si>
    <t xml:space="preserve">19743</t>
  </si>
  <si>
    <t xml:space="preserve">22703</t>
  </si>
  <si>
    <t xml:space="preserve">8585/2026</t>
  </si>
  <si>
    <t xml:space="preserve">AV3/4877</t>
  </si>
  <si>
    <t xml:space="preserve">528-1408</t>
  </si>
  <si>
    <t xml:space="preserve">19912</t>
  </si>
  <si>
    <t xml:space="preserve">11986</t>
  </si>
  <si>
    <t xml:space="preserve">8624/2026</t>
  </si>
  <si>
    <t xml:space="preserve">AV3/4905</t>
  </si>
  <si>
    <t xml:space="preserve">AV3/4906</t>
  </si>
  <si>
    <t xml:space="preserve">A26-9041</t>
  </si>
  <si>
    <t xml:space="preserve">01-15657</t>
  </si>
  <si>
    <t xml:space="preserve">01-15642</t>
  </si>
  <si>
    <t xml:space="preserve">528/1708</t>
  </si>
  <si>
    <t xml:space="preserve">19921</t>
  </si>
  <si>
    <t xml:space="preserve">12022</t>
  </si>
  <si>
    <t xml:space="preserve">8662/2026</t>
  </si>
  <si>
    <t xml:space="preserve">9110</t>
  </si>
  <si>
    <t xml:space="preserve">9901</t>
  </si>
  <si>
    <t xml:space="preserve">22920</t>
  </si>
  <si>
    <t xml:space="preserve">01-15730</t>
  </si>
  <si>
    <t xml:space="preserve">01-15767</t>
  </si>
  <si>
    <t xml:space="preserve">01-15785</t>
  </si>
  <si>
    <t xml:space="preserve">AV3/4937</t>
  </si>
  <si>
    <t xml:space="preserve">AV3/4936</t>
  </si>
  <si>
    <t xml:space="preserve">A26-9104</t>
  </si>
  <si>
    <t xml:space="preserve">5a-3833</t>
  </si>
  <si>
    <t xml:space="preserve">528-1808</t>
  </si>
  <si>
    <t xml:space="preserve">12166</t>
  </si>
  <si>
    <t xml:space="preserve">23009</t>
  </si>
  <si>
    <t xml:space="preserve">1750/2026</t>
  </si>
  <si>
    <t xml:space="preserve">A26/9153</t>
  </si>
  <si>
    <t xml:space="preserve">01 15845</t>
  </si>
  <si>
    <t xml:space="preserve">AV3/4965</t>
  </si>
  <si>
    <t xml:space="preserve">AV3/4966</t>
  </si>
  <si>
    <t xml:space="preserve">AV3/4967</t>
  </si>
  <si>
    <t xml:space="preserve">50A-3836</t>
  </si>
  <si>
    <t xml:space="preserve">A26/4855</t>
  </si>
  <si>
    <t xml:space="preserve">son do día 13-08-26</t>
  </si>
  <si>
    <t xml:space="preserve">FA 26SM/3617</t>
  </si>
  <si>
    <t xml:space="preserve">528/1908</t>
  </si>
  <si>
    <t xml:space="preserve">12236</t>
  </si>
  <si>
    <t xml:space="preserve">8798/2026</t>
  </si>
  <si>
    <t xml:space="preserve">10071</t>
  </si>
  <si>
    <t xml:space="preserve">35681</t>
  </si>
  <si>
    <t xml:space="preserve">20033</t>
  </si>
  <si>
    <t xml:space="preserve">23186</t>
  </si>
  <si>
    <t xml:space="preserve">01-16017</t>
  </si>
  <si>
    <t xml:space="preserve">01-16025</t>
  </si>
  <si>
    <t xml:space="preserve">AV3/5001</t>
  </si>
  <si>
    <t xml:space="preserve">AV3/5002</t>
  </si>
  <si>
    <t xml:space="preserve">AV3/5003</t>
  </si>
  <si>
    <t xml:space="preserve">260262684</t>
  </si>
  <si>
    <t xml:space="preserve">528/2008</t>
  </si>
  <si>
    <t xml:space="preserve">20217</t>
  </si>
  <si>
    <t xml:space="preserve">23346</t>
  </si>
  <si>
    <t xml:space="preserve">12423</t>
  </si>
  <si>
    <t xml:space="preserve">10140</t>
  </si>
  <si>
    <t xml:space="preserve">6-6893</t>
  </si>
  <si>
    <t xml:space="preserve">2/2026/559</t>
  </si>
  <si>
    <t xml:space="preserve">AV3/5026</t>
  </si>
  <si>
    <t xml:space="preserve">528/2108</t>
  </si>
  <si>
    <t xml:space="preserve">12490</t>
  </si>
  <si>
    <t xml:space="preserve">35855</t>
  </si>
  <si>
    <t xml:space="preserve">20326</t>
  </si>
  <si>
    <t xml:space="preserve">23463</t>
  </si>
  <si>
    <t xml:space="preserve">26SM/3674</t>
  </si>
  <si>
    <t xml:space="preserve">01-16178</t>
  </si>
  <si>
    <t xml:space="preserve">01-16236</t>
  </si>
  <si>
    <t xml:space="preserve">01-16264</t>
  </si>
  <si>
    <t xml:space="preserve">A14670</t>
  </si>
  <si>
    <t xml:space="preserve">A26/9356</t>
  </si>
  <si>
    <t xml:space="preserve">50A-3859</t>
  </si>
  <si>
    <t xml:space="preserve">AV3/5069</t>
  </si>
  <si>
    <t xml:space="preserve">AV3/5060</t>
  </si>
  <si>
    <t xml:space="preserve">AV3/5061</t>
  </si>
  <si>
    <t xml:space="preserve">PV1/22018</t>
  </si>
  <si>
    <t xml:space="preserve">AV3/5101</t>
  </si>
  <si>
    <t xml:space="preserve">01-16277</t>
  </si>
  <si>
    <t xml:space="preserve">528/2408</t>
  </si>
  <si>
    <t xml:space="preserve">8983/2026</t>
  </si>
  <si>
    <t xml:space="preserve">12590</t>
  </si>
  <si>
    <t xml:space="preserve">9551</t>
  </si>
  <si>
    <t xml:space="preserve">35936</t>
  </si>
  <si>
    <t xml:space="preserve">20589</t>
  </si>
  <si>
    <t xml:space="preserve">23547</t>
  </si>
  <si>
    <t xml:space="preserve">A26/9413</t>
  </si>
  <si>
    <t xml:space="preserve">26SM/3703</t>
  </si>
  <si>
    <t xml:space="preserve">A26/4856</t>
  </si>
  <si>
    <t xml:space="preserve">260264271</t>
  </si>
  <si>
    <t xml:space="preserve">528/2508</t>
  </si>
  <si>
    <t xml:space="preserve">7647</t>
  </si>
  <si>
    <t xml:space="preserve">20708</t>
  </si>
  <si>
    <t xml:space="preserve">12635</t>
  </si>
  <si>
    <t xml:space="preserve">SO38212</t>
  </si>
  <si>
    <t xml:space="preserve">23736</t>
  </si>
  <si>
    <t xml:space="preserve">A26/9470</t>
  </si>
  <si>
    <t xml:space="preserve">3563/2026</t>
  </si>
  <si>
    <t xml:space="preserve">9042/2026</t>
  </si>
  <si>
    <t xml:space="preserve">AV3/5136</t>
  </si>
  <si>
    <t xml:space="preserve">AV3/5137</t>
  </si>
  <si>
    <t xml:space="preserve">528/2608</t>
  </si>
  <si>
    <t xml:space="preserve">12751</t>
  </si>
  <si>
    <t xml:space="preserve">A 14909</t>
  </si>
  <si>
    <t xml:space="preserve">23846</t>
  </si>
  <si>
    <t xml:space="preserve">01-16610</t>
  </si>
  <si>
    <t xml:space="preserve">1817/2026</t>
  </si>
  <si>
    <t xml:space="preserve">PV3/4952</t>
  </si>
  <si>
    <t xml:space="preserve">PV3/4974</t>
  </si>
  <si>
    <t xml:space="preserve">F/017689</t>
  </si>
  <si>
    <t xml:space="preserve">528-2708</t>
  </si>
  <si>
    <t xml:space="preserve">12926</t>
  </si>
  <si>
    <t xml:space="preserve">9093/2026</t>
  </si>
  <si>
    <t xml:space="preserve">9693</t>
  </si>
  <si>
    <t xml:space="preserve">10453</t>
  </si>
  <si>
    <t xml:space="preserve">FRA 10503</t>
  </si>
  <si>
    <t xml:space="preserve">21091</t>
  </si>
  <si>
    <t xml:space="preserve">23986</t>
  </si>
  <si>
    <t xml:space="preserve">01-16711</t>
  </si>
  <si>
    <t xml:space="preserve">2114177</t>
  </si>
  <si>
    <t xml:space="preserve">AV3-5205</t>
  </si>
  <si>
    <t xml:space="preserve">528/2808</t>
  </si>
  <si>
    <t xml:space="preserve">21250</t>
  </si>
  <si>
    <t xml:space="preserve">24117</t>
  </si>
  <si>
    <t xml:space="preserve">12961</t>
  </si>
  <si>
    <t xml:space="preserve">A26/9627</t>
  </si>
  <si>
    <t xml:space="preserve">01-167889</t>
  </si>
  <si>
    <t xml:space="preserve">01-16831</t>
  </si>
  <si>
    <t xml:space="preserve">AV3/5238</t>
  </si>
  <si>
    <t xml:space="preserve">AV3/5239</t>
  </si>
  <si>
    <t xml:space="preserve">10435</t>
  </si>
  <si>
    <t xml:space="preserve">528-3108</t>
  </si>
  <si>
    <t xml:space="preserve">21288</t>
  </si>
  <si>
    <t xml:space="preserve">40436</t>
  </si>
  <si>
    <t xml:space="preserve">13045</t>
  </si>
  <si>
    <t xml:space="preserve">36377</t>
  </si>
  <si>
    <t xml:space="preserve">24249</t>
  </si>
  <si>
    <t xml:space="preserve">1840/2026</t>
  </si>
  <si>
    <t xml:space="preserve">01-16983</t>
  </si>
  <si>
    <t xml:space="preserve">01-17001</t>
  </si>
  <si>
    <t xml:space="preserve">SO38263</t>
  </si>
  <si>
    <t xml:space="preserve">AV3/5267</t>
  </si>
  <si>
    <t xml:space="preserve">PV3/5053</t>
  </si>
  <si>
    <t xml:space="preserve">AV3/5295</t>
  </si>
  <si>
    <t xml:space="preserve">528/0109</t>
  </si>
  <si>
    <t xml:space="preserve">FRA A26-2790</t>
  </si>
  <si>
    <t xml:space="preserve">21371</t>
  </si>
  <si>
    <t xml:space="preserve">13127</t>
  </si>
  <si>
    <t xml:space="preserve">9274/2026</t>
  </si>
  <si>
    <t xml:space="preserve">1856-2026</t>
  </si>
  <si>
    <t xml:space="preserve">01-17110</t>
  </si>
  <si>
    <t xml:space="preserve">3677/2026</t>
  </si>
  <si>
    <t xml:space="preserve">10437</t>
  </si>
  <si>
    <t xml:space="preserve">A26/4864</t>
  </si>
  <si>
    <t xml:space="preserve">528-0209</t>
  </si>
  <si>
    <t xml:space="preserve">21557</t>
  </si>
  <si>
    <t xml:space="preserve">13207</t>
  </si>
  <si>
    <t xml:space="preserve">9356/2026</t>
  </si>
  <si>
    <t xml:space="preserve">9953</t>
  </si>
  <si>
    <t xml:space="preserve">36593</t>
  </si>
  <si>
    <t xml:space="preserve">A 15405</t>
  </si>
  <si>
    <t xml:space="preserve">24537</t>
  </si>
  <si>
    <t xml:space="preserve">1915-2026</t>
  </si>
  <si>
    <t xml:space="preserve">SO38303</t>
  </si>
  <si>
    <t xml:space="preserve">01-17179</t>
  </si>
  <si>
    <t xml:space="preserve">01-17258</t>
  </si>
  <si>
    <t xml:space="preserve">A26/9793</t>
  </si>
  <si>
    <t xml:space="preserve">528-0309</t>
  </si>
  <si>
    <t xml:space="preserve">A26/4876</t>
  </si>
  <si>
    <t xml:space="preserve">9444/2026</t>
  </si>
  <si>
    <t xml:space="preserve">10002</t>
  </si>
  <si>
    <t xml:space="preserve">36675</t>
  </si>
  <si>
    <t xml:space="preserve">24542</t>
  </si>
  <si>
    <t xml:space="preserve">7961</t>
  </si>
  <si>
    <t xml:space="preserve">2026/636</t>
  </si>
  <si>
    <t xml:space="preserve">AV3-5333</t>
  </si>
  <si>
    <t xml:space="preserve">528-0409</t>
  </si>
  <si>
    <t xml:space="preserve">13408</t>
  </si>
  <si>
    <t xml:space="preserve">36761</t>
  </si>
  <si>
    <t xml:space="preserve">21818</t>
  </si>
  <si>
    <t xml:space="preserve">24703</t>
  </si>
  <si>
    <t xml:space="preserve">21844</t>
  </si>
  <si>
    <t xml:space="preserve">01-17422</t>
  </si>
  <si>
    <t xml:space="preserve">13475</t>
  </si>
  <si>
    <t xml:space="preserve">21828</t>
  </si>
  <si>
    <t xml:space="preserve">AV3-5370</t>
  </si>
  <si>
    <t xml:space="preserve">528/0709</t>
  </si>
  <si>
    <t xml:space="preserve">13555</t>
  </si>
  <si>
    <t xml:space="preserve">10191</t>
  </si>
  <si>
    <t xml:space="preserve">36868</t>
  </si>
  <si>
    <t xml:space="preserve">21892</t>
  </si>
  <si>
    <t xml:space="preserve">260267684</t>
  </si>
  <si>
    <t xml:space="preserve">01-17628</t>
  </si>
  <si>
    <t xml:space="preserve">PV3-5203</t>
  </si>
  <si>
    <t xml:space="preserve">528-0809</t>
  </si>
  <si>
    <t xml:space="preserve">13715</t>
  </si>
  <si>
    <t xml:space="preserve">10252</t>
  </si>
  <si>
    <t xml:space="preserve">10903</t>
  </si>
  <si>
    <t xml:space="preserve">24922</t>
  </si>
  <si>
    <t xml:space="preserve">9649/2026</t>
  </si>
  <si>
    <t xml:space="preserve">2056-2026</t>
  </si>
  <si>
    <t xml:space="preserve">SO38380</t>
  </si>
  <si>
    <t xml:space="preserve">3806/2026</t>
  </si>
  <si>
    <t xml:space="preserve">A26/10045</t>
  </si>
  <si>
    <t xml:space="preserve">22036</t>
  </si>
  <si>
    <t xml:space="preserve">01-17749</t>
  </si>
  <si>
    <t xml:space="preserve">A26/4892</t>
  </si>
  <si>
    <t xml:space="preserve">AV3/5428</t>
  </si>
  <si>
    <t xml:space="preserve">PV3/5221</t>
  </si>
  <si>
    <t xml:space="preserve">AV3/5429</t>
  </si>
  <si>
    <t xml:space="preserve">01-17790</t>
  </si>
  <si>
    <t xml:space="preserve">22073</t>
  </si>
  <si>
    <t xml:space="preserve">01-17855</t>
  </si>
  <si>
    <t xml:space="preserve">13737</t>
  </si>
  <si>
    <t xml:space="preserve">8095</t>
  </si>
  <si>
    <t xml:space="preserve">10299</t>
  </si>
  <si>
    <t xml:space="preserve">10973</t>
  </si>
  <si>
    <t xml:space="preserve">25063</t>
  </si>
  <si>
    <t xml:space="preserve">SO38391</t>
  </si>
  <si>
    <t xml:space="preserve">AV3/5453</t>
  </si>
  <si>
    <t xml:space="preserve">AV3/5454</t>
  </si>
  <si>
    <t xml:space="preserve">TOTALES</t>
  </si>
  <si>
    <t xml:space="preserve">MARINAFISK PESCADOS, S.A. — BASE DE DATOS PROVEEDORES</t>
  </si>
  <si>
    <t xml:space="preserve">CODIGO</t>
  </si>
  <si>
    <t xml:space="preserve">NOMBRE PROVEEDOR</t>
  </si>
  <si>
    <t xml:space="preserve">OP 2% (S/N)</t>
  </si>
  <si>
    <t xml:space="preserve">NOTAS</t>
  </si>
  <si>
    <t xml:space="preserve">CODIGO | NOMBRE (para busqueda)</t>
  </si>
  <si>
    <t xml:space="preserve">Subasta lonja Coruna</t>
  </si>
  <si>
    <t xml:space="preserve">ANGELITA VILLAR</t>
  </si>
  <si>
    <t xml:space="preserve">MANUEL CEBREIRA MELLA</t>
  </si>
  <si>
    <t xml:space="preserve">Externo</t>
  </si>
  <si>
    <t xml:space="preserve">COTON Y SANCHEZ S.L.</t>
  </si>
  <si>
    <t xml:space="preserve">PESCADOS CORCUBION</t>
  </si>
  <si>
    <t xml:space="preserve">PESCADOS ILLANES S.L.</t>
  </si>
  <si>
    <t xml:space="preserve">MAR BERMEO S.L.</t>
  </si>
  <si>
    <t xml:space="preserve">DOMAR CORUÑA S.L</t>
  </si>
  <si>
    <t xml:space="preserve">FORO-MAREE</t>
  </si>
  <si>
    <t xml:space="preserve">PEIXES E MARISCOS ANEIROS S.L.</t>
  </si>
  <si>
    <t xml:space="preserve">PORTABALES S.L.</t>
  </si>
  <si>
    <t xml:space="preserve">PESCADOS MANUELA GARCIA S.L</t>
  </si>
  <si>
    <t xml:space="preserve">MARLEDICIA S.L</t>
  </si>
  <si>
    <t xml:space="preserve">PESCADOS OCEANO ATLANTICO S.L.</t>
  </si>
  <si>
    <t xml:space="preserve">ACERGA </t>
  </si>
  <si>
    <t xml:space="preserve">BRISAMAR</t>
  </si>
  <si>
    <t xml:space="preserve">DA LONXA O PRATO</t>
  </si>
  <si>
    <t xml:space="preserve">PESCADOS ERNESTO Y MARIA S.L.</t>
  </si>
  <si>
    <t xml:space="preserve">ANGELPESCA S.L.</t>
  </si>
  <si>
    <t xml:space="preserve">CASIMIRO PEREZ RODRIGUEZ</t>
  </si>
  <si>
    <t xml:space="preserve">PETACA CHICO S.L.</t>
  </si>
  <si>
    <t xml:space="preserve">PESCADO JAMARDO S.L</t>
  </si>
  <si>
    <t xml:space="preserve">MAR IMPORT VENTA S.L.</t>
  </si>
  <si>
    <t xml:space="preserve">SUBASTAS CEBREIRA S.L.</t>
  </si>
  <si>
    <t xml:space="preserve">PESCADO Y MARISCOS ADELAIDA S.L.</t>
  </si>
  <si>
    <t xml:space="preserve">PESCADOS CHEMAER S.L.</t>
  </si>
  <si>
    <t xml:space="preserve">PESLEIRAS S.L.</t>
  </si>
  <si>
    <t xml:space="preserve">VELOMAR S.L.</t>
  </si>
  <si>
    <t xml:space="preserve">NOVOMA DE CELEIRO S.L</t>
  </si>
  <si>
    <t xml:space="preserve">SANTIAGO MONTENEGRO CAMPOS S.L.</t>
  </si>
  <si>
    <t xml:space="preserve">GRUPO ENVIMAR NW S.L.</t>
  </si>
  <si>
    <t xml:space="preserve">SUBASTAS DE ATLANTICO S.L</t>
  </si>
  <si>
    <t xml:space="preserve">FURIC MAREE</t>
  </si>
  <si>
    <t xml:space="preserve">URK-EXPORT B.V</t>
  </si>
  <si>
    <t xml:space="preserve">CENOR QUEIJO CORUÑA</t>
  </si>
  <si>
    <t xml:space="preserve">SANCHEZ LOPEZ MIGUEL</t>
  </si>
  <si>
    <t xml:space="preserve">AITORPESCA S.L.</t>
  </si>
  <si>
    <t xml:space="preserve">FRANCISCO JAVIER ARROJO SOUTO</t>
  </si>
  <si>
    <t xml:space="preserve">BARROS PESCAGALICIA, S.L.</t>
  </si>
  <si>
    <t xml:space="preserve">LURDES MARIÑO, S.L.</t>
  </si>
  <si>
    <t xml:space="preserve">MARINAFISK PESCADOS, S.A. — BASE DE DATOS PRODUCTOS</t>
  </si>
  <si>
    <t xml:space="preserve">TIPO</t>
  </si>
  <si>
    <t xml:space="preserve">CODIGO | DESCRIPCION (para busqueda)</t>
  </si>
  <si>
    <t xml:space="preserve">MOSTRAR EN LISTA</t>
  </si>
  <si>
    <t xml:space="preserve">ORDEN FRESCO (auto)</t>
  </si>
  <si>
    <t xml:space="preserve">ORDEN OTROS (auto)</t>
  </si>
  <si>
    <t xml:space="preserve">COSTE</t>
  </si>
  <si>
    <t xml:space="preserve">PVP1</t>
  </si>
  <si>
    <t xml:space="preserve">PVP2</t>
  </si>
  <si>
    <t xml:space="preserve">PVP3</t>
  </si>
  <si>
    <t xml:space="preserve">PRODUCTO PERMANENTE</t>
  </si>
  <si>
    <t xml:space="preserve">ÚLTIMA FECHA COMPRA (auto)</t>
  </si>
  <si>
    <t xml:space="preserve">FECHA REF. COSTE (auto)</t>
  </si>
  <si>
    <t xml:space="preserve">NOMBRE CIENTIFICO</t>
  </si>
  <si>
    <t xml:space="preserve">ZONA FAO</t>
  </si>
  <si>
    <t xml:space="preserve">SUBZONA</t>
  </si>
  <si>
    <t xml:space="preserve">ARTE DE PESCA</t>
  </si>
  <si>
    <t xml:space="preserve">BARCO</t>
  </si>
  <si>
    <t xml:space="preserve">PESO ETIQUETA</t>
  </si>
  <si>
    <t xml:space="preserve">CALIBRE</t>
  </si>
  <si>
    <t xml:space="preserve">MODO DE PRESENTACION</t>
  </si>
  <si>
    <t xml:space="preserve">FORMA DE OBTENCION</t>
  </si>
  <si>
    <t xml:space="preserve">PVP1 MANUAL (opcional)</t>
  </si>
  <si>
    <t xml:space="preserve">PVP2 MANUAL (opcional)</t>
  </si>
  <si>
    <t xml:space="preserve">FRESCO</t>
  </si>
  <si>
    <t xml:space="preserve">Pollachius pollachius</t>
  </si>
  <si>
    <t xml:space="preserve">FAO 27</t>
  </si>
  <si>
    <t xml:space="preserve">VIII C</t>
  </si>
  <si>
    <t xml:space="preserve">SEDALES Y ANZUELOS</t>
  </si>
  <si>
    <t xml:space="preserve">VARIOS BARCOS</t>
  </si>
  <si>
    <t xml:space="preserve">3</t>
  </si>
  <si>
    <t xml:space="preserve">C/C</t>
  </si>
  <si>
    <t xml:space="preserve">CAPTURADO</t>
  </si>
  <si>
    <t xml:space="preserve">Dicologlossa cuneata</t>
  </si>
  <si>
    <t xml:space="preserve">REDES DE ENMALLE</t>
  </si>
  <si>
    <t xml:space="preserve">Chelidonichthys lucerna</t>
  </si>
  <si>
    <t xml:space="preserve">ARRASTRE</t>
  </si>
  <si>
    <t xml:space="preserve">Thunnus obesus</t>
  </si>
  <si>
    <t xml:space="preserve">Gadus morhua</t>
  </si>
  <si>
    <t xml:space="preserve">C802 </t>
  </si>
  <si>
    <t xml:space="preserve">Phycis phycis</t>
  </si>
  <si>
    <t xml:space="preserve">BERTORELLA (GFB)</t>
  </si>
  <si>
    <t xml:space="preserve">Phycis Blennoides</t>
  </si>
  <si>
    <t xml:space="preserve">Pagellus bogaraveo</t>
  </si>
  <si>
    <t xml:space="preserve">Pagellus acarne</t>
  </si>
  <si>
    <t xml:space="preserve">Homarus americanus</t>
  </si>
  <si>
    <t xml:space="preserve">MARISQUEO</t>
  </si>
  <si>
    <t xml:space="preserve">Thunnus alalunga</t>
  </si>
  <si>
    <t xml:space="preserve">Engraulis encrasicolus</t>
  </si>
  <si>
    <t xml:space="preserve">REDES DE CERCO</t>
  </si>
  <si>
    <t xml:space="preserve">Cancer pagurus</t>
  </si>
  <si>
    <t xml:space="preserve">Scomber scombrus</t>
  </si>
  <si>
    <t xml:space="preserve">Scorpaena scrofa</t>
  </si>
  <si>
    <t xml:space="preserve">Trachyscorpia cristulata</t>
  </si>
  <si>
    <t xml:space="preserve">Helicolenus dactylopterus</t>
  </si>
  <si>
    <t xml:space="preserve">Serranus cabrilla</t>
  </si>
  <si>
    <t xml:space="preserve">Loligo vulgaris</t>
  </si>
  <si>
    <t xml:space="preserve">ELABORADO</t>
  </si>
  <si>
    <t xml:space="preserve">Doryteuthis gahi</t>
  </si>
  <si>
    <t xml:space="preserve">Loligo forbesii</t>
  </si>
  <si>
    <t xml:space="preserve">MARISCO</t>
  </si>
  <si>
    <t xml:space="preserve">Maja squinado</t>
  </si>
  <si>
    <t xml:space="preserve">Trachurus trachurus</t>
  </si>
  <si>
    <t xml:space="preserve">Spondyliosoma cantharus</t>
  </si>
  <si>
    <t xml:space="preserve">CIGALAS EN COLAS </t>
  </si>
  <si>
    <t xml:space="preserve">Nephrops norvegicus</t>
  </si>
  <si>
    <t xml:space="preserve">Cepola macrophthalma</t>
  </si>
  <si>
    <t xml:space="preserve">Conger conger</t>
  </si>
  <si>
    <t xml:space="preserve">Glyptocephalus cynoglossus</t>
  </si>
  <si>
    <t xml:space="preserve">Scophthalmus rhombus</t>
  </si>
  <si>
    <t xml:space="preserve">Dentex dentex</t>
  </si>
  <si>
    <t xml:space="preserve">Sparus aurata</t>
  </si>
  <si>
    <t xml:space="preserve">Paracentrotus lividus</t>
  </si>
  <si>
    <t xml:space="preserve">Chelidonichthys cuculus</t>
  </si>
  <si>
    <t xml:space="preserve">Trachinus draco</t>
  </si>
  <si>
    <t xml:space="preserve">Trisopterus luscus</t>
  </si>
  <si>
    <t xml:space="preserve">Labrus mixtus</t>
  </si>
  <si>
    <t xml:space="preserve">Sebastes mentella</t>
  </si>
  <si>
    <t xml:space="preserve">GALLO </t>
  </si>
  <si>
    <t xml:space="preserve">Lepidorhombus whiffiagonis</t>
  </si>
  <si>
    <t xml:space="preserve">Squalus blainville</t>
  </si>
  <si>
    <t xml:space="preserve">HUEVAS DE MERLUZA </t>
  </si>
  <si>
    <t xml:space="preserve">Merluccius merluccius</t>
  </si>
  <si>
    <t xml:space="preserve">Caranx rhonchus</t>
  </si>
  <si>
    <t xml:space="preserve">Doryteuthis opalescens</t>
  </si>
  <si>
    <t xml:space="preserve">Schedophilus ovalis</t>
  </si>
  <si>
    <t xml:space="preserve">Trachurus mediterraneus</t>
  </si>
  <si>
    <t xml:space="preserve">Solea solea</t>
  </si>
  <si>
    <t xml:space="preserve">Micromesistius poutassou</t>
  </si>
  <si>
    <t xml:space="preserve">Dicentrarchus labrax</t>
  </si>
  <si>
    <t xml:space="preserve">Beryx splendens</t>
  </si>
  <si>
    <t xml:space="preserve">Labrus bergylta</t>
  </si>
  <si>
    <t xml:space="preserve">Merluccius capensis</t>
  </si>
  <si>
    <t xml:space="preserve">MERLUZA EUROPEA PINCHO COSTA 400</t>
  </si>
  <si>
    <t xml:space="preserve">MERLUZA EUROPEA PINCHO COSTA 2,5+</t>
  </si>
  <si>
    <t xml:space="preserve">VIIIc</t>
  </si>
  <si>
    <t xml:space="preserve">MERLUZA EUROPEA VOLANTA COSTA 600/800</t>
  </si>
  <si>
    <t xml:space="preserve">MERLUZA EUROPEA VOLANTA COSTA 800/1000</t>
  </si>
  <si>
    <t xml:space="preserve">MERLUZA EUROPEA VOLANTA COSTA 1,25/1,5</t>
  </si>
  <si>
    <t xml:space="preserve">VIIb, VIIg, VIIj</t>
  </si>
  <si>
    <t xml:space="preserve">MERLUZA EUROPEA BAKA DIA TDA</t>
  </si>
  <si>
    <t xml:space="preserve">MERLUZA EUROPEA BAKA DIA GDA</t>
  </si>
  <si>
    <t xml:space="preserve">Polyprion americanus</t>
  </si>
  <si>
    <t xml:space="preserve">Epinephelus spp</t>
  </si>
  <si>
    <t xml:space="preserve">Muraena helena</t>
  </si>
  <si>
    <t xml:space="preserve">Mugil cephalus</t>
  </si>
  <si>
    <t xml:space="preserve">Molva dypterygia</t>
  </si>
  <si>
    <t xml:space="preserve">Pagrus pagrus</t>
  </si>
  <si>
    <t xml:space="preserve">Atherina presbyter</t>
  </si>
  <si>
    <t xml:space="preserve">Argentina sphyraena</t>
  </si>
  <si>
    <t xml:space="preserve">Pollicipes pollicipes</t>
  </si>
  <si>
    <t xml:space="preserve">MERLUZA EUROPEA/ FINA DIA </t>
  </si>
  <si>
    <t xml:space="preserve">Balistes capriscus</t>
  </si>
  <si>
    <t xml:space="preserve">Xiphias gladius</t>
  </si>
  <si>
    <t xml:space="preserve">Illex coindetii</t>
  </si>
  <si>
    <t xml:space="preserve">Todarodes sagittatus</t>
  </si>
  <si>
    <t xml:space="preserve">Octopus vulgaris</t>
  </si>
  <si>
    <t xml:space="preserve">Lophius piscatorius</t>
  </si>
  <si>
    <t xml:space="preserve">Lophius budegassa</t>
  </si>
  <si>
    <t xml:space="preserve">Raja brachyura</t>
  </si>
  <si>
    <t xml:space="preserve">Raja microocellata</t>
  </si>
  <si>
    <t xml:space="preserve">RAYA COMUN (ALAS)</t>
  </si>
  <si>
    <t xml:space="preserve">Raja spp</t>
  </si>
  <si>
    <t xml:space="preserve">Scophthalmus maximus</t>
  </si>
  <si>
    <t xml:space="preserve">Lepidopus caudatus</t>
  </si>
  <si>
    <t xml:space="preserve">Sarpa salpa</t>
  </si>
  <si>
    <t xml:space="preserve">Salmo salar</t>
  </si>
  <si>
    <t xml:space="preserve">CRIA</t>
  </si>
  <si>
    <t xml:space="preserve">Mullus surmuletus</t>
  </si>
  <si>
    <t xml:space="preserve">Zeus faber</t>
  </si>
  <si>
    <t xml:space="preserve">Platichthys flesus</t>
  </si>
  <si>
    <t xml:space="preserve">Sardina pilchardus</t>
  </si>
  <si>
    <t xml:space="preserve">Diplodus sargus</t>
  </si>
  <si>
    <t xml:space="preserve">Diplodus vulgaris</t>
  </si>
  <si>
    <t xml:space="preserve">Sepia officinalis</t>
  </si>
  <si>
    <t xml:space="preserve">Sparisoma cretense</t>
  </si>
  <si>
    <t xml:space="preserve">Beryx decadactylus</t>
  </si>
  <si>
    <t xml:space="preserve">Scorpaena spp</t>
  </si>
  <si>
    <t xml:space="preserve">MEJILLON SACO</t>
  </si>
  <si>
    <t xml:space="preserve">Mytilus galloprovincialis</t>
  </si>
  <si>
    <t xml:space="preserve">MERLUZA BAKA DIA</t>
  </si>
  <si>
    <t xml:space="preserve">BONITO DEL NORTE  +10 (ALB)</t>
  </si>
  <si>
    <t xml:space="preserve">ATUN ROJO (BFT)</t>
  </si>
  <si>
    <t xml:space="preserve">Thunnus Thynnus</t>
  </si>
  <si>
    <t xml:space="preserve">IX A</t>
  </si>
  <si>
    <t xml:space="preserve">CERCO</t>
  </si>
  <si>
    <t xml:space="preserve">C3087</t>
  </si>
  <si>
    <t xml:space="preserve">C3088</t>
  </si>
  <si>
    <t xml:space="preserve">C3089</t>
  </si>
  <si>
    <t xml:space="preserve">C3090</t>
  </si>
  <si>
    <t xml:space="preserve">C3091</t>
  </si>
  <si>
    <t xml:space="preserve">C3092</t>
  </si>
  <si>
    <t xml:space="preserve">C3093</t>
  </si>
  <si>
    <t xml:space="preserve">C3094</t>
  </si>
  <si>
    <t xml:space="preserve">C3095</t>
  </si>
  <si>
    <t xml:space="preserve">C3096</t>
  </si>
  <si>
    <t xml:space="preserve">C3097</t>
  </si>
  <si>
    <t xml:space="preserve">C3098</t>
  </si>
  <si>
    <t xml:space="preserve">C3099</t>
  </si>
  <si>
    <t xml:space="preserve">C3100</t>
  </si>
  <si>
    <t xml:space="preserve">C3101</t>
  </si>
  <si>
    <t xml:space="preserve">C3102</t>
  </si>
  <si>
    <t xml:space="preserve">C3103</t>
  </si>
  <si>
    <t xml:space="preserve">C3104</t>
  </si>
  <si>
    <t xml:space="preserve">C3105</t>
  </si>
  <si>
    <t xml:space="preserve">ALCRIQUE-PAPARDA-AGULLA-AGUJA</t>
  </si>
  <si>
    <t xml:space="preserve">MARINAFISK PESCADOS, S.A. — BASE DE DATOS CLIENTES</t>
  </si>
  <si>
    <t xml:space="preserve">NOMBRE / RAZON SOCIAL</t>
  </si>
  <si>
    <t xml:space="preserve">CIF/NIF</t>
  </si>
  <si>
    <t xml:space="preserve">DIRECCION</t>
  </si>
  <si>
    <t xml:space="preserve">C.P.</t>
  </si>
  <si>
    <t xml:space="preserve">POBLACION</t>
  </si>
  <si>
    <t xml:space="preserve">PROVINCIA</t>
  </si>
  <si>
    <t xml:space="preserve">TELEFONO</t>
  </si>
  <si>
    <t xml:space="preserve">FORMA PAGO</t>
  </si>
  <si>
    <t xml:space="preserve">AGENCIA HABITUAL</t>
  </si>
  <si>
    <t xml:space="preserve">50000</t>
  </si>
  <si>
    <t xml:space="preserve">FACTURA SIMPLIFICADA/CONTADOS</t>
  </si>
  <si>
    <t xml:space="preserve">CONTADO</t>
  </si>
  <si>
    <t xml:space="preserve">50001</t>
  </si>
  <si>
    <t xml:space="preserve">GRUPO SCANFISK SEAFOOD, S.A</t>
  </si>
  <si>
    <t xml:space="preserve">A5089742</t>
  </si>
  <si>
    <t xml:space="preserve">CTRA COGULLADA 65</t>
  </si>
  <si>
    <t xml:space="preserve">ZARAGOZA</t>
  </si>
  <si>
    <t xml:space="preserve">TRANSFRIO</t>
  </si>
  <si>
    <t xml:space="preserve">50003</t>
  </si>
  <si>
    <t xml:space="preserve">PESCADOS VALDIZARBE, S.L.</t>
  </si>
  <si>
    <t xml:space="preserve">50005</t>
  </si>
  <si>
    <t xml:space="preserve">MARTINEZ DE QUEL, S.L.</t>
  </si>
  <si>
    <t xml:space="preserve">50009</t>
  </si>
  <si>
    <t xml:space="preserve">PESCADOS MAÑERO, S.L.</t>
  </si>
  <si>
    <t xml:space="preserve">B50696707</t>
  </si>
  <si>
    <t xml:space="preserve">POLIG TARAZONA 8</t>
  </si>
  <si>
    <t xml:space="preserve">TARAZONA</t>
  </si>
  <si>
    <t xml:space="preserve">50010</t>
  </si>
  <si>
    <t xml:space="preserve">SCANFISK SEAFOOD, S.L.</t>
  </si>
  <si>
    <t xml:space="preserve">50013</t>
  </si>
  <si>
    <t xml:space="preserve">MIELES ANTA SL</t>
  </si>
  <si>
    <t xml:space="preserve">50023</t>
  </si>
  <si>
    <t xml:space="preserve">COTON Y SANCHEZ, S.L.</t>
  </si>
  <si>
    <t xml:space="preserve">50105</t>
  </si>
  <si>
    <t xml:space="preserve">FRESHMAR ARANDA, S.L.</t>
  </si>
  <si>
    <t xml:space="preserve">B09258484</t>
  </si>
  <si>
    <t xml:space="preserve">AVD MURILLO 9 BAJO</t>
  </si>
  <si>
    <t xml:space="preserve">ARANDA DEL DUERO</t>
  </si>
  <si>
    <t xml:space="preserve">BURGOS</t>
  </si>
  <si>
    <t xml:space="preserve">OLANO</t>
  </si>
  <si>
    <t xml:space="preserve">50106</t>
  </si>
  <si>
    <t xml:space="preserve">PESCADOS NORTE DE EXTREMADURA, S.L.</t>
  </si>
  <si>
    <t xml:space="preserve">B10254811</t>
  </si>
  <si>
    <t xml:space="preserve">CRRTA TRUJILLO 6</t>
  </si>
  <si>
    <t xml:space="preserve">PLASENCIA</t>
  </si>
  <si>
    <t xml:space="preserve">CACERES</t>
  </si>
  <si>
    <t xml:space="preserve">50114</t>
  </si>
  <si>
    <t xml:space="preserve">PESCA IRUÑA, S.L.</t>
  </si>
  <si>
    <t xml:space="preserve">B31458813</t>
  </si>
  <si>
    <t xml:space="preserve">POL INDTAL AGUSTINOS</t>
  </si>
  <si>
    <t xml:space="preserve">ORCOYEN</t>
  </si>
  <si>
    <t xml:space="preserve">PAMPLONA</t>
  </si>
  <si>
    <t xml:space="preserve">50120</t>
  </si>
  <si>
    <t xml:space="preserve">CENTRAL BURGALESA DE PESCADOS, S.L.</t>
  </si>
  <si>
    <t xml:space="preserve">50128</t>
  </si>
  <si>
    <t xml:space="preserve">CIGURRIA O CAMPO SL</t>
  </si>
  <si>
    <t xml:space="preserve">50132</t>
  </si>
  <si>
    <t xml:space="preserve">MARIA ROSA AMURRIO AGUIÑO</t>
  </si>
  <si>
    <t xml:space="preserve">50142</t>
  </si>
  <si>
    <t xml:space="preserve">PESCADOS G. GIMENO, S.L.</t>
  </si>
  <si>
    <t xml:space="preserve">B26388132</t>
  </si>
  <si>
    <t xml:space="preserve">PG CANTABRIA AV MENDAVIA 11 N 4</t>
  </si>
  <si>
    <t xml:space="preserve">LOGROÑO</t>
  </si>
  <si>
    <t xml:space="preserve">LA RIOJA</t>
  </si>
  <si>
    <t xml:space="preserve">50153</t>
  </si>
  <si>
    <t xml:space="preserve">GUILLERMO BRAVO ILLANA</t>
  </si>
  <si>
    <t xml:space="preserve">13160576E</t>
  </si>
  <si>
    <t xml:space="preserve">C/ESTEBAN GRANADO 44</t>
  </si>
  <si>
    <t xml:space="preserve">50163</t>
  </si>
  <si>
    <t xml:space="preserve">MARTA VARONA PEREZ</t>
  </si>
  <si>
    <t xml:space="preserve">13157966B</t>
  </si>
  <si>
    <t xml:space="preserve">C/CERVANTES 20 4 C</t>
  </si>
  <si>
    <t xml:space="preserve">50170</t>
  </si>
  <si>
    <t xml:space="preserve">B.C.N. DE PEIXOS, S.L.</t>
  </si>
  <si>
    <t xml:space="preserve">B64179419</t>
  </si>
  <si>
    <t xml:space="preserve">CASILLA 53 MERCABARNA</t>
  </si>
  <si>
    <t xml:space="preserve">BARCELONA</t>
  </si>
  <si>
    <t xml:space="preserve">649 297305</t>
  </si>
  <si>
    <t xml:space="preserve">KARTING</t>
  </si>
  <si>
    <t xml:space="preserve">50172</t>
  </si>
  <si>
    <t xml:space="preserve">PESC. JULIA RUIZ BEDARONA</t>
  </si>
  <si>
    <t xml:space="preserve">A01027630</t>
  </si>
  <si>
    <t xml:space="preserve">C/ARRUIRDIÑA 4</t>
  </si>
  <si>
    <t xml:space="preserve">JUNDIZ</t>
  </si>
  <si>
    <t xml:space="preserve">VITORIA</t>
  </si>
  <si>
    <t xml:space="preserve">50194</t>
  </si>
  <si>
    <t xml:space="preserve">PESCADOS HERMANOS SAINZ, S.L.</t>
  </si>
  <si>
    <t xml:space="preserve">B95109351</t>
  </si>
  <si>
    <t xml:space="preserve">MERCABILBAO 117/119</t>
  </si>
  <si>
    <t xml:space="preserve">BASAURI</t>
  </si>
  <si>
    <t xml:space="preserve">BIZKAIA</t>
  </si>
  <si>
    <t xml:space="preserve">50196</t>
  </si>
  <si>
    <t xml:space="preserve">FELMAR PESCADOS Y MARISCOS, S.L.</t>
  </si>
  <si>
    <t xml:space="preserve">B47523212</t>
  </si>
  <si>
    <t xml:space="preserve">C/ MANTEIRA 9 LOCAL 1</t>
  </si>
  <si>
    <t xml:space="preserve">VALLADOLID</t>
  </si>
  <si>
    <t xml:space="preserve">50203</t>
  </si>
  <si>
    <t xml:space="preserve">PESCADOS CORCUBION SL</t>
  </si>
  <si>
    <t xml:space="preserve">50204</t>
  </si>
  <si>
    <t xml:space="preserve">JOSE LLOBELL, S.L.</t>
  </si>
  <si>
    <t xml:space="preserve">B53452397</t>
  </si>
  <si>
    <t xml:space="preserve">PARTIDA MADRIGUERES 14 B</t>
  </si>
  <si>
    <t xml:space="preserve">DENIA</t>
  </si>
  <si>
    <t xml:space="preserve">ALICANTE</t>
  </si>
  <si>
    <t xml:space="preserve">50223</t>
  </si>
  <si>
    <t xml:space="preserve">RAMON FERNANDEZ CASTRO</t>
  </si>
  <si>
    <t xml:space="preserve">50225</t>
  </si>
  <si>
    <t xml:space="preserve">CALIMAX, S.L.</t>
  </si>
  <si>
    <t xml:space="preserve">B07071483</t>
  </si>
  <si>
    <t xml:space="preserve">CTA EIVISSA/SANT ANTONI (SANT JOSEP)</t>
  </si>
  <si>
    <t xml:space="preserve">ST SOSEPH</t>
  </si>
  <si>
    <t xml:space="preserve">ISLAS BALEARES</t>
  </si>
  <si>
    <t xml:space="preserve">50240</t>
  </si>
  <si>
    <t xml:space="preserve">PESCADOS SANZ, S.L.</t>
  </si>
  <si>
    <t xml:space="preserve">B33789173</t>
  </si>
  <si>
    <t xml:space="preserve">MUELLE RENDIELLO S/N EL MUSEL</t>
  </si>
  <si>
    <t xml:space="preserve">GIJON</t>
  </si>
  <si>
    <t xml:space="preserve">ASTURIAS</t>
  </si>
  <si>
    <t xml:space="preserve">50257</t>
  </si>
  <si>
    <t xml:space="preserve">PESCACANT, S.L.</t>
  </si>
  <si>
    <t xml:space="preserve">B39577440</t>
  </si>
  <si>
    <t xml:space="preserve">PEÑACASTILLO</t>
  </si>
  <si>
    <t xml:space="preserve">SANTANDER</t>
  </si>
  <si>
    <t xml:space="preserve">CANTABRIA</t>
  </si>
  <si>
    <t xml:space="preserve">50262</t>
  </si>
  <si>
    <t xml:space="preserve">POMONA - (TERRE AZUR)</t>
  </si>
  <si>
    <t xml:space="preserve">PAU CEDEX (FRANCIA) BP 37541 64075</t>
  </si>
  <si>
    <t xml:space="preserve">FRANCIA</t>
  </si>
  <si>
    <t xml:space="preserve">50265</t>
  </si>
  <si>
    <t xml:space="preserve">XUTIPESCA, S.L.</t>
  </si>
  <si>
    <t xml:space="preserve">50275</t>
  </si>
  <si>
    <t xml:space="preserve">ALVARO VIDAL PORTA, S.L.</t>
  </si>
  <si>
    <t xml:space="preserve">B25307232</t>
  </si>
  <si>
    <t xml:space="preserve">C/ENRIC DE CANCER 21 LC 1</t>
  </si>
  <si>
    <t xml:space="preserve">TARREGA</t>
  </si>
  <si>
    <t xml:space="preserve">LLEIDA</t>
  </si>
  <si>
    <t xml:space="preserve">50276</t>
  </si>
  <si>
    <t xml:space="preserve">PESCADOS EDUARDO RIVERO, S.C.</t>
  </si>
  <si>
    <t xml:space="preserve">J3966300</t>
  </si>
  <si>
    <t xml:space="preserve">JOAQUIN SALAS 6 MODULO 16</t>
  </si>
  <si>
    <t xml:space="preserve">50281</t>
  </si>
  <si>
    <t xml:space="preserve">DISHOSPAC, S.L.</t>
  </si>
  <si>
    <t xml:space="preserve">B33395872</t>
  </si>
  <si>
    <t xml:space="preserve">AQV TORRELAVEGA 25</t>
  </si>
  <si>
    <t xml:space="preserve">OVIEDO</t>
  </si>
  <si>
    <t xml:space="preserve">50300</t>
  </si>
  <si>
    <t xml:space="preserve">ABREGO NORTE, S.L.L.</t>
  </si>
  <si>
    <t xml:space="preserve">50303</t>
  </si>
  <si>
    <t xml:space="preserve">PESCADOS Y MARISCOS ALBA, S.L.</t>
  </si>
  <si>
    <t xml:space="preserve">50307</t>
  </si>
  <si>
    <t xml:space="preserve">FROIZ MAR, S.A.</t>
  </si>
  <si>
    <t xml:space="preserve">A36469237</t>
  </si>
  <si>
    <t xml:space="preserve">LOURIDO 15</t>
  </si>
  <si>
    <t xml:space="preserve">POIO</t>
  </si>
  <si>
    <t xml:space="preserve">PONTEVEDRA</t>
  </si>
  <si>
    <t xml:space="preserve">50324</t>
  </si>
  <si>
    <t xml:space="preserve">PESCALLEIDA, S.L.</t>
  </si>
  <si>
    <t xml:space="preserve">B25062852</t>
  </si>
  <si>
    <t xml:space="preserve">PG IND EL SEGRE P 414 N 11/13</t>
  </si>
  <si>
    <t xml:space="preserve">50340</t>
  </si>
  <si>
    <t xml:space="preserve">PORTABALES, S.L.</t>
  </si>
  <si>
    <t xml:space="preserve">50346</t>
  </si>
  <si>
    <t xml:space="preserve">PESCADOS Y MARISCOS BRAVOMAR, SLU</t>
  </si>
  <si>
    <t xml:space="preserve">50350</t>
  </si>
  <si>
    <t xml:space="preserve">PESCADOS MARTIN SANCHEZ, S.L.</t>
  </si>
  <si>
    <t xml:space="preserve">50352</t>
  </si>
  <si>
    <t xml:space="preserve">CALAFEISH, S.L.</t>
  </si>
  <si>
    <t xml:space="preserve">50356</t>
  </si>
  <si>
    <t xml:space="preserve">PESCAVINA, S.L.</t>
  </si>
  <si>
    <t xml:space="preserve">B12028882</t>
  </si>
  <si>
    <t xml:space="preserve">LONJA DE PESCADOS 6/7</t>
  </si>
  <si>
    <t xml:space="preserve">NAVE OLANO</t>
  </si>
  <si>
    <t xml:space="preserve">50365</t>
  </si>
  <si>
    <t xml:space="preserve">SUBASTAS CORUÑA, S.L.</t>
  </si>
  <si>
    <t xml:space="preserve">50369</t>
  </si>
  <si>
    <t xml:space="preserve">CONGELADOS BASILIO, S.A.</t>
  </si>
  <si>
    <t xml:space="preserve">A33501545</t>
  </si>
  <si>
    <t xml:space="preserve">POLG IND PUENTA NORA E 1</t>
  </si>
  <si>
    <t xml:space="preserve">LUGONES</t>
  </si>
  <si>
    <t xml:space="preserve">50372</t>
  </si>
  <si>
    <t xml:space="preserve">GARCIDEN, S.L.</t>
  </si>
  <si>
    <t xml:space="preserve">50379</t>
  </si>
  <si>
    <t xml:space="preserve">PEIXE ARTABRO, S.L.</t>
  </si>
  <si>
    <t xml:space="preserve">50380</t>
  </si>
  <si>
    <t xml:space="preserve">IÑAKI SARASOLA, S.L.</t>
  </si>
  <si>
    <t xml:space="preserve">50383</t>
  </si>
  <si>
    <t xml:space="preserve">PESCADOS OROL, S.L.</t>
  </si>
  <si>
    <t xml:space="preserve">50394</t>
  </si>
  <si>
    <t xml:space="preserve">PESCADOS DAVID CASTEL, S.L.</t>
  </si>
  <si>
    <t xml:space="preserve">B57996472</t>
  </si>
  <si>
    <t xml:space="preserve">CARDENAL ROSESELL 1 NAVE 6/2</t>
  </si>
  <si>
    <t xml:space="preserve">PALMA DE MALLORCA</t>
  </si>
  <si>
    <t xml:space="preserve">BALEARES</t>
  </si>
  <si>
    <t xml:space="preserve">50402</t>
  </si>
  <si>
    <t xml:space="preserve">PACO MOINELO, S.L.</t>
  </si>
  <si>
    <t xml:space="preserve">50416</t>
  </si>
  <si>
    <t xml:space="preserve">PESCADOS DAVID SALA BLANES, S.L.</t>
  </si>
  <si>
    <t xml:space="preserve">50419</t>
  </si>
  <si>
    <t xml:space="preserve">MAPESCA, S.A.</t>
  </si>
  <si>
    <t xml:space="preserve">50422</t>
  </si>
  <si>
    <t xml:space="preserve">HERMANOS BANDO STOS. ALIMENTICIOS</t>
  </si>
  <si>
    <t xml:space="preserve">50427</t>
  </si>
  <si>
    <t xml:space="preserve">NOVAFICA, S.A.</t>
  </si>
  <si>
    <t xml:space="preserve">50429</t>
  </si>
  <si>
    <t xml:space="preserve">SUSANA GALLO BERMEJO</t>
  </si>
  <si>
    <t xml:space="preserve">50430</t>
  </si>
  <si>
    <t xml:space="preserve">PESCADOS GJA PAMPLONA, S.L.</t>
  </si>
  <si>
    <t xml:space="preserve">50432</t>
  </si>
  <si>
    <t xml:space="preserve">PESCADOS Y M. DE LA MAR AL PLATO, SL</t>
  </si>
  <si>
    <t xml:space="preserve">50433</t>
  </si>
  <si>
    <t xml:space="preserve">CAPTURAS DEL CANTABRICO, S.L.</t>
  </si>
  <si>
    <t xml:space="preserve">50436</t>
  </si>
  <si>
    <t xml:space="preserve">CETAREA SALMANTINA, S.L.</t>
  </si>
  <si>
    <t xml:space="preserve">50442</t>
  </si>
  <si>
    <t xml:space="preserve">CONSIGNACIONES DEL MAR, S.A.</t>
  </si>
  <si>
    <t xml:space="preserve">50444</t>
  </si>
  <si>
    <t xml:space="preserve">CES CONSIGNACIONES, S.A.</t>
  </si>
  <si>
    <t xml:space="preserve">50445</t>
  </si>
  <si>
    <t xml:space="preserve">BOCACENTRAL IBERICA, S.L.</t>
  </si>
  <si>
    <t xml:space="preserve">50447</t>
  </si>
  <si>
    <t xml:space="preserve">PESCADOS CORO, S.L.</t>
  </si>
  <si>
    <t xml:space="preserve">50448</t>
  </si>
  <si>
    <t xml:space="preserve">PESCAPROA PESCADOS Y MARISCOS, S.L.</t>
  </si>
  <si>
    <t xml:space="preserve">50456</t>
  </si>
  <si>
    <t xml:space="preserve">ALIMENTOS CONGELADOS CANTABRICO, SL</t>
  </si>
  <si>
    <t xml:space="preserve">50462</t>
  </si>
  <si>
    <t xml:space="preserve">ISAAC FERNANDE AZCONA</t>
  </si>
  <si>
    <t xml:space="preserve">50463</t>
  </si>
  <si>
    <t xml:space="preserve">MANUEL FARIÑA ANDRADE</t>
  </si>
  <si>
    <t xml:space="preserve">50464</t>
  </si>
  <si>
    <t xml:space="preserve">PESCADOS ANA SELECCION, S.L.</t>
  </si>
  <si>
    <t xml:space="preserve">50465</t>
  </si>
  <si>
    <t xml:space="preserve">FRIME, S.A.U</t>
  </si>
  <si>
    <t xml:space="preserve">50466</t>
  </si>
  <si>
    <t xml:space="preserve">KAZAEDER, S.L.</t>
  </si>
  <si>
    <t xml:space="preserve">B95523791</t>
  </si>
  <si>
    <t xml:space="preserve">Barrio Ibarreta, 1 - Mercabilbao, P.108</t>
  </si>
  <si>
    <t xml:space="preserve">675327036</t>
  </si>
  <si>
    <t xml:space="preserve">50467</t>
  </si>
  <si>
    <t xml:space="preserve">LESEMAR, S.A</t>
  </si>
  <si>
    <t xml:space="preserve">ES89-0081-0215-21-0001206922</t>
  </si>
  <si>
    <t xml:space="preserve">Mercan del Peix, P 68-69 Mercabarna</t>
  </si>
  <si>
    <t xml:space="preserve">933363112, 933363004</t>
  </si>
  <si>
    <t xml:space="preserve">50468</t>
  </si>
  <si>
    <t xml:space="preserve">PRODUCTOS ALIMENTICIOS LAYMAR, S.L.</t>
  </si>
  <si>
    <t xml:space="preserve">B8610029</t>
  </si>
  <si>
    <t xml:space="preserve">C/San Juan, 28 - Estacion, 28803 Alcala de Henares - Madrid</t>
  </si>
  <si>
    <t xml:space="preserve">620232420, 600899798</t>
  </si>
  <si>
    <t xml:space="preserve">50469</t>
  </si>
  <si>
    <t xml:space="preserve">PESCADOS BENASUR, S.L.</t>
  </si>
  <si>
    <t xml:space="preserve">B93035798</t>
  </si>
  <si>
    <t xml:space="preserve">29580 Cartama - Malaga</t>
  </si>
  <si>
    <t xml:space="preserve">687906648</t>
  </si>
  <si>
    <t xml:space="preserve">50470</t>
  </si>
  <si>
    <t xml:space="preserve">PESCADOS DE LA IGLESIA, S.A.</t>
  </si>
  <si>
    <t xml:space="preserve">A78618428</t>
  </si>
  <si>
    <t xml:space="preserve">Mercamadrid, Ptos 24-26-27, 28053 Madrid</t>
  </si>
  <si>
    <t xml:space="preserve">915070640</t>
  </si>
  <si>
    <t xml:space="preserve">50471</t>
  </si>
  <si>
    <t xml:space="preserve">DA LONXA AO PRATO, S.L.</t>
  </si>
  <si>
    <t xml:space="preserve">B70601588</t>
  </si>
  <si>
    <t xml:space="preserve">Porto Pesqueiro Nova Loxna, 6 s/n, 15960 Ribeira - A Coruña</t>
  </si>
  <si>
    <t xml:space="preserve">621258652</t>
  </si>
  <si>
    <t xml:space="preserve">50472</t>
  </si>
  <si>
    <t xml:space="preserve">ANNAPAU 2001, S.L.</t>
  </si>
  <si>
    <t xml:space="preserve">B62543988</t>
  </si>
  <si>
    <t xml:space="preserve">C/ Prat de la Riba, 6, 15960 Alella - Barcelona</t>
  </si>
  <si>
    <t xml:space="preserve">932626460</t>
  </si>
  <si>
    <t xml:space="preserve">50473</t>
  </si>
  <si>
    <t xml:space="preserve">SILVAFRESH, S.L.</t>
  </si>
  <si>
    <t xml:space="preserve">B36664106</t>
  </si>
  <si>
    <t xml:space="preserve">Porto Pesqueiro-Nova Loxna Alt.P51, 36202 Vigo - Pontevedra</t>
  </si>
  <si>
    <t xml:space="preserve">986822652, 986822653</t>
  </si>
  <si>
    <t xml:space="preserve">50474</t>
  </si>
  <si>
    <t xml:space="preserve">PESC. Y MARIS. A BEIRAS DO MAR, SLU</t>
  </si>
  <si>
    <t xml:space="preserve">B99394033</t>
  </si>
  <si>
    <t xml:space="preserve">Mercazaragoza-Nave Pescados, P.17, 50014 Zaragoza</t>
  </si>
  <si>
    <t xml:space="preserve">976471720</t>
  </si>
  <si>
    <t xml:space="preserve">50475</t>
  </si>
  <si>
    <t xml:space="preserve">IGNACIO RUFO ARBIDE EGUILEGOR</t>
  </si>
  <si>
    <t xml:space="preserve">15926924E</t>
  </si>
  <si>
    <t xml:space="preserve">Mercado de la Bretxa, P.9, 2003 Donostia - Guipuzkoa</t>
  </si>
  <si>
    <t xml:space="preserve">680135524</t>
  </si>
  <si>
    <t xml:space="preserve">50476</t>
  </si>
  <si>
    <t xml:space="preserve">LAMARE16, S.L.</t>
  </si>
  <si>
    <t xml:space="preserve">C/Santo Domingo, 2 - Entresuelo, 36204 Vigo - Pontevedra</t>
  </si>
  <si>
    <t xml:space="preserve">605184971</t>
  </si>
  <si>
    <t xml:space="preserve">50477</t>
  </si>
  <si>
    <t xml:space="preserve">BELLAPESCA EUROPA, S.L.</t>
  </si>
  <si>
    <t xml:space="preserve">B13849245</t>
  </si>
  <si>
    <t xml:space="preserve">CTA en Corts, 231-Mercavalencia N.6, 48013 Valencia</t>
  </si>
  <si>
    <t xml:space="preserve">682470912, 620959037</t>
  </si>
  <si>
    <t xml:space="preserve">50478</t>
  </si>
  <si>
    <t xml:space="preserve">PEIXOS ARNAU, S.L.L</t>
  </si>
  <si>
    <t xml:space="preserve">B09575887</t>
  </si>
  <si>
    <t xml:space="preserve">C/Bonaventura Carreras, 7, 17255 Begur - Girona</t>
  </si>
  <si>
    <t xml:space="preserve">972306865, 619627991</t>
  </si>
  <si>
    <t xml:space="preserve">50479</t>
  </si>
  <si>
    <t xml:space="preserve">TEJEDOR MARISC I PEIX, S.L.</t>
  </si>
  <si>
    <t xml:space="preserve">B55087480</t>
  </si>
  <si>
    <t xml:space="preserve">Av.Catalunya,s/n-Mercat Municipal C, 17230 Palamos - Girona</t>
  </si>
  <si>
    <t xml:space="preserve">699077792</t>
  </si>
  <si>
    <t xml:space="preserve">50480</t>
  </si>
  <si>
    <t xml:space="preserve">JOSE MARTINEZ SEGORBE, S.L.</t>
  </si>
  <si>
    <t xml:space="preserve">B14430359</t>
  </si>
  <si>
    <t xml:space="preserve">Av. Lonjas-Marca Cordoba-Pescado 7, 14010 Cordoba</t>
  </si>
  <si>
    <t xml:space="preserve">957751633</t>
  </si>
  <si>
    <t xml:space="preserve">50481</t>
  </si>
  <si>
    <t xml:space="preserve">PEIXATERIES F. RIBERA, S.L.</t>
  </si>
  <si>
    <t xml:space="preserve">B66918640</t>
  </si>
  <si>
    <t xml:space="preserve">C/Mallorca, 133-157-Mercat Ninot, 08036 Barcelona</t>
  </si>
  <si>
    <t xml:space="preserve">637853006</t>
  </si>
  <si>
    <t xml:space="preserve">50482</t>
  </si>
  <si>
    <t xml:space="preserve">ARRAINKO, S.L.</t>
  </si>
  <si>
    <t xml:space="preserve">B48256754</t>
  </si>
  <si>
    <t xml:space="preserve">Carrer Jaume Torrens, 20-BJ, 48970 Basauri - Bizkaia</t>
  </si>
  <si>
    <t xml:space="preserve">944485510, 620025924</t>
  </si>
  <si>
    <t xml:space="preserve">50484</t>
  </si>
  <si>
    <t xml:space="preserve">DIALPESCA CASTELLANOS, S.A.</t>
  </si>
  <si>
    <t xml:space="preserve">A86738440</t>
  </si>
  <si>
    <t xml:space="preserve">Ctra Fon Den Cort-231, Nave PEC:18, 07108 Valencia</t>
  </si>
  <si>
    <t xml:space="preserve">646479242</t>
  </si>
  <si>
    <t xml:space="preserve">50485</t>
  </si>
  <si>
    <t xml:space="preserve">PRODUCTOS DEL MAR PABLOS, S.L.</t>
  </si>
  <si>
    <t xml:space="preserve">B88210364</t>
  </si>
  <si>
    <t xml:space="preserve">Mercamadrid, ALM 80-82-84, 28053 Madrid</t>
  </si>
  <si>
    <t xml:space="preserve">915070348, 647646715</t>
  </si>
  <si>
    <t xml:space="preserve">50486</t>
  </si>
  <si>
    <t xml:space="preserve">SACHAFISH, S.L.L</t>
  </si>
  <si>
    <t xml:space="preserve">B83984187</t>
  </si>
  <si>
    <t xml:space="preserve">Mercamadrid, Nave Pescados, 78, 28053 Madrid</t>
  </si>
  <si>
    <t xml:space="preserve">917869010, 647646715</t>
  </si>
  <si>
    <t xml:space="preserve">50487</t>
  </si>
  <si>
    <t xml:space="preserve">VELOMAR PESCA, S.L.</t>
  </si>
  <si>
    <t xml:space="preserve">B16961138</t>
  </si>
  <si>
    <t xml:space="preserve">Lonxa Grandes Peixes, OF 5, 36201 Vigo - Pontevedra</t>
  </si>
  <si>
    <t xml:space="preserve">667567133, 613021956</t>
  </si>
  <si>
    <t xml:space="preserve">50488</t>
  </si>
  <si>
    <t xml:space="preserve">LAS HIJAS DEL CAPITAN, S.L.</t>
  </si>
  <si>
    <t xml:space="preserve">B67694976</t>
  </si>
  <si>
    <t xml:space="preserve">Mercagranada-Nave Pescados, P.0-P-1, 18600 Granada</t>
  </si>
  <si>
    <t xml:space="preserve">50489</t>
  </si>
  <si>
    <t xml:space="preserve">GARCIMAR, S.L. (B)</t>
  </si>
  <si>
    <t xml:space="preserve">B08057531</t>
  </si>
  <si>
    <t xml:space="preserve">Calle Gravina, 56 - Entresuelo, 43004 Tarragona</t>
  </si>
  <si>
    <t xml:space="preserve">977240412, 617679312</t>
  </si>
  <si>
    <t xml:space="preserve">50490</t>
  </si>
  <si>
    <t xml:space="preserve">VELADAME, S.L.</t>
  </si>
  <si>
    <t xml:space="preserve">B09249251</t>
  </si>
  <si>
    <t xml:space="preserve">Av.Andalucia-Mercasevilla-N.19, 41020 Sevilla</t>
  </si>
  <si>
    <t xml:space="preserve">954522387, 617679312</t>
  </si>
  <si>
    <t xml:space="preserve">50491</t>
  </si>
  <si>
    <t xml:space="preserve">HERMANOS TAMARGO, S.L.</t>
  </si>
  <si>
    <t xml:space="preserve">B20081766</t>
  </si>
  <si>
    <t xml:space="preserve">Merca Oiartzun, P.20-PG Aranguren, 20180 Oiartzun - Guipuzkoa</t>
  </si>
  <si>
    <t xml:space="preserve">943493269, 943493271</t>
  </si>
  <si>
    <t xml:space="preserve">50492</t>
  </si>
  <si>
    <t xml:space="preserve">PESCADOS Y MARISCOS EASO, S.L.</t>
  </si>
  <si>
    <t xml:space="preserve">B09843434</t>
  </si>
  <si>
    <t xml:space="preserve">PG Txinguriri, 15, 20017 Herrera - Donostia - Vizcaia</t>
  </si>
  <si>
    <t xml:space="preserve">943392357</t>
  </si>
  <si>
    <t xml:space="preserve">50493</t>
  </si>
  <si>
    <t xml:space="preserve">JOSE MARIA FREIRE RAMA</t>
  </si>
  <si>
    <t xml:space="preserve">ES09023882263706000006937</t>
  </si>
  <si>
    <t xml:space="preserve">Cornido, 15293 Carnota</t>
  </si>
  <si>
    <t xml:space="preserve">943393577</t>
  </si>
  <si>
    <t xml:space="preserve">50494</t>
  </si>
  <si>
    <t xml:space="preserve">PESCADOS Y MARISCOS EL TIMI, S.L.U</t>
  </si>
  <si>
    <t xml:space="preserve">B19628544</t>
  </si>
  <si>
    <t xml:space="preserve">Riofrio - Loja, 18313 Granada</t>
  </si>
  <si>
    <t xml:space="preserve">50495</t>
  </si>
  <si>
    <t xml:space="preserve">AGUSTIN CADILLO PEREZ (BOHAR)</t>
  </si>
  <si>
    <t xml:space="preserve">52930007S</t>
  </si>
  <si>
    <t xml:space="preserve">Rua Carlos Casares, 2, 15960 Ribeira - Coruña</t>
  </si>
  <si>
    <t xml:space="preserve">50496</t>
  </si>
  <si>
    <t xml:space="preserve">MARE NOSTRUM 37.1, S.L.</t>
  </si>
  <si>
    <t xml:space="preserve">B10811180</t>
  </si>
  <si>
    <t xml:space="preserve">Longitudinal, 8-Mercabarna, 08040 Barcelona</t>
  </si>
  <si>
    <t xml:space="preserve">50497</t>
  </si>
  <si>
    <t xml:space="preserve">PESCADOS MARYMAR, S.L.</t>
  </si>
  <si>
    <t xml:space="preserve">Francisco de Cossio, 16-5°E, 29004 Malaga</t>
  </si>
  <si>
    <t xml:space="preserve">607532564</t>
  </si>
  <si>
    <t xml:space="preserve">50498</t>
  </si>
  <si>
    <t xml:space="preserve">PESCADOS FISMAR, S.L.</t>
  </si>
  <si>
    <t xml:space="preserve">B37374220</t>
  </si>
  <si>
    <t xml:space="preserve">Pol.Montalvo III-Cavertical, 4°n1, 37188 Carbajosa de la Sagrada-Salamanca</t>
  </si>
  <si>
    <t xml:space="preserve">678887946, 672193829</t>
  </si>
  <si>
    <t xml:space="preserve">50499</t>
  </si>
  <si>
    <t xml:space="preserve">EUROFISH LO&amp;DI</t>
  </si>
  <si>
    <t xml:space="preserve">B86597531</t>
  </si>
  <si>
    <t xml:space="preserve">Av. Los Rosales, 90, 28935 Mostoles - Madrid</t>
  </si>
  <si>
    <t xml:space="preserve">911922274</t>
  </si>
  <si>
    <t xml:space="preserve">50500</t>
  </si>
  <si>
    <t xml:space="preserve">JOSE ANTONIO SIMO, S.L.</t>
  </si>
  <si>
    <t xml:space="preserve">B12091 82</t>
  </si>
  <si>
    <t xml:space="preserve">PG Ind. El Collet - P.203, 12580 Benicarlo - Castello</t>
  </si>
  <si>
    <t xml:space="preserve">964480508</t>
  </si>
  <si>
    <t xml:space="preserve">50501</t>
  </si>
  <si>
    <t xml:space="preserve">TATJER TORRA, MARIA TERESA</t>
  </si>
  <si>
    <t xml:space="preserve">77113469N</t>
  </si>
  <si>
    <t xml:space="preserve">D.Doctor Fleming, 13, 08560 Manlleu - Barcelona</t>
  </si>
  <si>
    <t xml:space="preserve">637748440</t>
  </si>
  <si>
    <t xml:space="preserve">50502</t>
  </si>
  <si>
    <t xml:space="preserve">TONI MORAL LIRIO</t>
  </si>
  <si>
    <t xml:space="preserve">50503</t>
  </si>
  <si>
    <t xml:space="preserve">JUAN ANTONIO GONZALEZ GONZALEZ</t>
  </si>
  <si>
    <t xml:space="preserve">50504</t>
  </si>
  <si>
    <t xml:space="preserve">PESCADOS LA CARIHUELA, S.L.</t>
  </si>
  <si>
    <t xml:space="preserve">50505</t>
  </si>
  <si>
    <t xml:space="preserve">ENCHENTA, S.L.</t>
  </si>
  <si>
    <t xml:space="preserve">50506</t>
  </si>
  <si>
    <t xml:space="preserve">GRUPO ENVIMAR NW, S.L.</t>
  </si>
  <si>
    <t xml:space="preserve">50507</t>
  </si>
  <si>
    <t xml:space="preserve">QUEIRUGA TRIÑANES, JESUS</t>
  </si>
  <si>
    <t xml:space="preserve">76967578X</t>
  </si>
  <si>
    <t xml:space="preserve">C/Visitacion, 21-1°A, 15970 Porto do Son - A Coruña</t>
  </si>
  <si>
    <t xml:space="preserve">50509</t>
  </si>
  <si>
    <t xml:space="preserve">PESCADOS TEMIR, S.A.</t>
  </si>
  <si>
    <t xml:space="preserve">B56993181</t>
  </si>
  <si>
    <t xml:space="preserve">Pg. Ind. c/Gustave Eiffel, 145, 33211 Gijon - Asturias</t>
  </si>
  <si>
    <t xml:space="preserve">988211013</t>
  </si>
  <si>
    <t xml:space="preserve">50510</t>
  </si>
  <si>
    <t xml:space="preserve">EL CORTE INGLES, S.A.</t>
  </si>
  <si>
    <t xml:space="preserve">A28017895</t>
  </si>
  <si>
    <t xml:space="preserve">Mercabarna-Mercat Peix, cas.47-48, 08040 Barcelona</t>
  </si>
  <si>
    <t xml:space="preserve">932630044</t>
  </si>
  <si>
    <t xml:space="preserve">50511</t>
  </si>
  <si>
    <t xml:space="preserve">ISIDRO PEREZ IGLESIAS</t>
  </si>
  <si>
    <t xml:space="preserve">ISIDRO 52451245K</t>
  </si>
  <si>
    <t xml:space="preserve">Rua do Norte,24, 15959 Palmeira - Riveira</t>
  </si>
  <si>
    <t xml:space="preserve">666233375</t>
  </si>
  <si>
    <t xml:space="preserve">50512</t>
  </si>
  <si>
    <t xml:space="preserve">AVILES MANEIRO, GASPAR</t>
  </si>
  <si>
    <t xml:space="preserve">33239097A</t>
  </si>
  <si>
    <t xml:space="preserve">LG Da Igrexa, 30-A Insua, 15979 Baroña - Porto do Son</t>
  </si>
  <si>
    <t xml:space="preserve">50513</t>
  </si>
  <si>
    <t xml:space="preserve">TEMBRA VILANOVA, CONSTANTINO</t>
  </si>
  <si>
    <t xml:space="preserve">76467686T</t>
  </si>
  <si>
    <t xml:space="preserve">Av. de Lugo, 167-4°, 15703 Santiago de Compostela</t>
  </si>
  <si>
    <t xml:space="preserve">981862234</t>
  </si>
  <si>
    <t xml:space="preserve">50514</t>
  </si>
  <si>
    <t xml:space="preserve">ANGELPESCA, S.L.</t>
  </si>
  <si>
    <t xml:space="preserve">B15770266</t>
  </si>
  <si>
    <t xml:space="preserve">Lonxa remodelada Porto Riveira, D-29, 15590 Riveira - A Coruña</t>
  </si>
  <si>
    <t xml:space="preserve">629873311</t>
  </si>
  <si>
    <t xml:space="preserve">50515</t>
  </si>
  <si>
    <t xml:space="preserve">ABDERITANS FISH, S.L.</t>
  </si>
  <si>
    <t xml:space="preserve">B19575190</t>
  </si>
  <si>
    <t xml:space="preserve">C/Natalio Rivas, 108-Bajo E, 04770 Adra - Almeria</t>
  </si>
  <si>
    <t xml:space="preserve">640350451, 640074167</t>
  </si>
  <si>
    <t xml:space="preserve">50516</t>
  </si>
  <si>
    <t xml:space="preserve">RUSTI 2005, S.L.</t>
  </si>
  <si>
    <t xml:space="preserve">ES38018208430501 0510090</t>
  </si>
  <si>
    <t xml:space="preserve">CR Nou de Puigpedro,30, 17230 Palamos - Girona</t>
  </si>
  <si>
    <t xml:space="preserve">604131275</t>
  </si>
  <si>
    <t xml:space="preserve">50517</t>
  </si>
  <si>
    <t xml:space="preserve">PESCADOS ROMERO SANCHEZ, S.L.</t>
  </si>
  <si>
    <t xml:space="preserve">B98292659</t>
  </si>
  <si>
    <t xml:space="preserve">Cortes,231-Mercavalencia-Pescados 10, 46013 Valencia</t>
  </si>
  <si>
    <t xml:space="preserve">50519</t>
  </si>
  <si>
    <t xml:space="preserve">PESCADOS Y MARISCOS ADELAIDA, S.L.</t>
  </si>
  <si>
    <t xml:space="preserve">B95719746</t>
  </si>
  <si>
    <t xml:space="preserve">Cleonor Ruicabado, 39700 Castro Urdiales - Cantabria</t>
  </si>
  <si>
    <t xml:space="preserve">50520</t>
  </si>
  <si>
    <t xml:space="preserve">GARCIMAR, S.L. (M)</t>
  </si>
  <si>
    <t xml:space="preserve">C/Gravina, 56-Entresuelo, 43004 Tarragona</t>
  </si>
  <si>
    <t xml:space="preserve">50521</t>
  </si>
  <si>
    <t xml:space="preserve">ISMAEL PRIETO RIVERA</t>
  </si>
  <si>
    <t xml:space="preserve">79336260Z</t>
  </si>
  <si>
    <t xml:space="preserve">Av. Castelao, 38-1°, 15350 Cedeira - A Coruña</t>
  </si>
  <si>
    <t xml:space="preserve">50522</t>
  </si>
  <si>
    <t xml:space="preserve">NOVOMAR DE CELEIRO, S.L.</t>
  </si>
  <si>
    <t xml:space="preserve">B27239565</t>
  </si>
  <si>
    <t xml:space="preserve">Muelle Pesquero, Alm.29, 27850 Celeiro - Viveiro</t>
  </si>
  <si>
    <t xml:space="preserve">982563322</t>
  </si>
  <si>
    <t xml:space="preserve">50523</t>
  </si>
  <si>
    <t xml:space="preserve">PEIXOS MAYOL MESQUIDA</t>
  </si>
  <si>
    <t xml:space="preserve">B57627549</t>
  </si>
  <si>
    <t xml:space="preserve">Gremi Teixedors, 14-PG Son Castello, 07009 Palma Mallorca - Illes Balears</t>
  </si>
  <si>
    <t xml:space="preserve">971666456, 971751324</t>
  </si>
  <si>
    <t xml:space="preserve">50524</t>
  </si>
  <si>
    <t xml:space="preserve">OCEA SOURCING</t>
  </si>
  <si>
    <t xml:space="preserve">+33-673702515</t>
  </si>
  <si>
    <t xml:space="preserve">67 Quai des Magasins de Maree, 56100 Lorient - Francia</t>
  </si>
  <si>
    <t xml:space="preserve">50525</t>
  </si>
  <si>
    <t xml:space="preserve">LA CARIHUELA GESTION PESCADERIAS, SL</t>
  </si>
  <si>
    <t xml:space="preserve">B75357707</t>
  </si>
  <si>
    <t xml:space="preserve">Mercacordoba-Av Lonjas, M.15-16-17, 14010 Cordoba</t>
  </si>
  <si>
    <t xml:space="preserve">957456125</t>
  </si>
  <si>
    <t xml:space="preserve">50526</t>
  </si>
  <si>
    <t xml:space="preserve">ANCORA FISH, S.L.</t>
  </si>
  <si>
    <t xml:space="preserve">B56775711</t>
  </si>
  <si>
    <t xml:space="preserve">PG.Emp. Guadial-c/Rosalia Acuña, 21, 41830 Huevar de Aljarafe - Sevilla</t>
  </si>
  <si>
    <t xml:space="preserve">692023687</t>
  </si>
  <si>
    <t xml:space="preserve">50527</t>
  </si>
  <si>
    <t xml:space="preserve">PESCADOS MORENOS SL</t>
  </si>
  <si>
    <t xml:space="preserve">B13118195</t>
  </si>
  <si>
    <t xml:space="preserve">Poligono Alces, c/Malvasia 13/157, Ciudad Real</t>
  </si>
  <si>
    <t xml:space="preserve">50528</t>
  </si>
  <si>
    <t xml:space="preserve">GIALMAR - PRODUTOS ALIMENTARES</t>
  </si>
  <si>
    <t xml:space="preserve">503018520 PT</t>
  </si>
  <si>
    <t xml:space="preserve">Rua Vinha do Marques N1, Botulho - Portugal</t>
  </si>
  <si>
    <t xml:space="preserve">50529</t>
  </si>
  <si>
    <t xml:space="preserve">PETACA CHICO SL</t>
  </si>
  <si>
    <t xml:space="preserve">B11293990</t>
  </si>
  <si>
    <t xml:space="preserve">Zona Franca-PG Ind. Lobita N21-23, 11140 Conil de la Frontera - Cadiz</t>
  </si>
  <si>
    <t xml:space="preserve">50530</t>
  </si>
  <si>
    <t xml:space="preserve">PESCADOS BARTOLOME JIMENEZ SL</t>
  </si>
  <si>
    <t xml:space="preserve">ES420049247312 74779614</t>
  </si>
  <si>
    <t xml:space="preserve">Citraña Nave 4.2-P.I.Zabal Bajo, 11300 La Linea de la Concepcion, Cadiz</t>
  </si>
  <si>
    <t xml:space="preserve">956765254</t>
  </si>
  <si>
    <t xml:space="preserve">50531</t>
  </si>
  <si>
    <t xml:space="preserve">EUROFISH ROQUETAS, S.L.</t>
  </si>
  <si>
    <t xml:space="preserve">B04717153</t>
  </si>
  <si>
    <t xml:space="preserve">Calle Encofradores, 20, 04740 Roquetas de Mar - Almeria</t>
  </si>
  <si>
    <t xml:space="preserve">950324960</t>
  </si>
  <si>
    <t xml:space="preserve">50532</t>
  </si>
  <si>
    <t xml:space="preserve">GUSTAVO MOLINA PANTOJA</t>
  </si>
  <si>
    <t xml:space="preserve">06263353J</t>
  </si>
  <si>
    <t xml:space="preserve">C/Soledad, 8, 13610 Campo de Criptana - Ciudad Real</t>
  </si>
  <si>
    <t xml:space="preserve">606352563</t>
  </si>
  <si>
    <t xml:space="preserve">50533</t>
  </si>
  <si>
    <t xml:space="preserve">PESCADOS ASUN, S.L.</t>
  </si>
  <si>
    <t xml:space="preserve">B84599943</t>
  </si>
  <si>
    <t xml:space="preserve">C/Laurel, 41, 28522 Rivas Vaciamadrid</t>
  </si>
  <si>
    <t xml:space="preserve">351913143022</t>
  </si>
  <si>
    <t xml:space="preserve">50534</t>
  </si>
  <si>
    <t xml:space="preserve">VARZIMAR LDA</t>
  </si>
  <si>
    <t xml:space="preserve">50168016 PT</t>
  </si>
  <si>
    <t xml:space="preserve">Rua Anton Lopes Pereira Cadedo,115, 4480 Vila do Conde - Portugal</t>
  </si>
  <si>
    <t xml:space="preserve">50535</t>
  </si>
  <si>
    <t xml:space="preserve">MARISCOS COMESAÑA, S.L.</t>
  </si>
  <si>
    <t xml:space="preserve">B36759932</t>
  </si>
  <si>
    <t xml:space="preserve">Puerto Marin - Dep. Exportadores, 50, 36900 Marin - Pontevedra</t>
  </si>
  <si>
    <t xml:space="preserve">687522301</t>
  </si>
  <si>
    <t xml:space="preserve">50536</t>
  </si>
  <si>
    <t xml:space="preserve">CONGELADOS FRIPERGA, S.L.</t>
  </si>
  <si>
    <t xml:space="preserve">B21025846</t>
  </si>
  <si>
    <t xml:space="preserve">C/Angostura, 50, 21410 Isla Cristina - Huelva</t>
  </si>
  <si>
    <t xml:space="preserve">50537</t>
  </si>
  <si>
    <t xml:space="preserve">PEIXES NIKI, S.L.</t>
  </si>
  <si>
    <t xml:space="preserve">50538</t>
  </si>
  <si>
    <t xml:space="preserve">PESCADOS VICENTE SELECCION, S.L.</t>
  </si>
  <si>
    <t xml:space="preserve">50542</t>
  </si>
  <si>
    <t xml:space="preserve">EL ECONOMATO DE CUEVAS</t>
  </si>
  <si>
    <t xml:space="preserve">A08484107</t>
  </si>
  <si>
    <t xml:space="preserve">PI Ciudad Transporte-P E1-F1, 32901 San Cibrado das Viñas - Ourense</t>
  </si>
  <si>
    <t xml:space="preserve">50903</t>
  </si>
  <si>
    <t xml:space="preserve">OLANO LOGISTICA DEL MAR SL</t>
  </si>
  <si>
    <t xml:space="preserve">B75193847</t>
  </si>
  <si>
    <t xml:space="preserve">Antxotxioi Kalea 11, 20305 Irun</t>
  </si>
  <si>
    <t xml:space="preserve">51000</t>
  </si>
  <si>
    <t xml:space="preserve">OLANO SEAFOOD IBERICA, S.A.</t>
  </si>
  <si>
    <t xml:space="preserve">A20204483</t>
  </si>
  <si>
    <t xml:space="preserve">C/Antxontxipi, 11-Zaisa 3, 20305 Irun</t>
  </si>
  <si>
    <t xml:space="preserve">943639017</t>
  </si>
  <si>
    <t xml:space="preserve">PESCADOS RUBEN VARELA</t>
  </si>
  <si>
    <t xml:space="preserve">B90243619</t>
  </si>
  <si>
    <t xml:space="preserve">Auto.Sevilla-Malaga, K1-NAV PES.15, 41020 Sevilla</t>
  </si>
  <si>
    <t xml:space="preserve">SEVILLA</t>
  </si>
  <si>
    <t xml:space="preserve">BRISMAR CORUÑA, S.L.</t>
  </si>
  <si>
    <t xml:space="preserve">B72577984</t>
  </si>
  <si>
    <t xml:space="preserve">Miguel Azaña, 68 - 1º C</t>
  </si>
  <si>
    <t xml:space="preserve">Coruña</t>
  </si>
  <si>
    <t xml:space="preserve">Manuel Azaña, 68 - 1º E (Lonxa Coruña - alm 37-38)</t>
  </si>
  <si>
    <t xml:space="preserve">MARINAFISK — AGENCIAS DE TRANSPORTE</t>
  </si>
  <si>
    <t xml:space="preserve">NOMBRE AGENCIA</t>
  </si>
  <si>
    <t xml:space="preserve">1</t>
  </si>
  <si>
    <t xml:space="preserve">2</t>
  </si>
  <si>
    <t xml:space="preserve">4</t>
  </si>
  <si>
    <t xml:space="preserve">MOUZO</t>
  </si>
  <si>
    <t xml:space="preserve">5</t>
  </si>
  <si>
    <t xml:space="preserve">FARIÑA</t>
  </si>
  <si>
    <t xml:space="preserve">MARINAFISK — ZONAS DE PESCA Y TIPOS DE PESCA</t>
  </si>
  <si>
    <t xml:space="preserve">COD ZONA</t>
  </si>
  <si>
    <t xml:space="preserve">ZONA DE PESCA</t>
  </si>
  <si>
    <t xml:space="preserve">COD TIPO</t>
  </si>
  <si>
    <t xml:space="preserve">TIPO DE PESCA</t>
  </si>
  <si>
    <t xml:space="preserve">Z01</t>
  </si>
  <si>
    <t xml:space="preserve">VIIIC</t>
  </si>
  <si>
    <t xml:space="preserve">T01</t>
  </si>
  <si>
    <t xml:space="preserve">REDES DE ARRASTRE</t>
  </si>
  <si>
    <t xml:space="preserve">Z02</t>
  </si>
  <si>
    <t xml:space="preserve">T02</t>
  </si>
  <si>
    <t xml:space="preserve">Z03</t>
  </si>
  <si>
    <t xml:space="preserve">T03</t>
  </si>
  <si>
    <t xml:space="preserve">Z04</t>
  </si>
  <si>
    <t xml:space="preserve">T04</t>
  </si>
  <si>
    <t xml:space="preserve">Z05</t>
  </si>
  <si>
    <t xml:space="preserve">VIIC</t>
  </si>
  <si>
    <t xml:space="preserve">T05</t>
  </si>
  <si>
    <t xml:space="preserve">Z06</t>
  </si>
  <si>
    <t xml:space="preserve">T06</t>
  </si>
  <si>
    <t xml:space="preserve">Z07</t>
  </si>
  <si>
    <t xml:space="preserve">T07</t>
  </si>
  <si>
    <t xml:space="preserve">Z08</t>
  </si>
  <si>
    <t xml:space="preserve">T08</t>
  </si>
  <si>
    <t xml:space="preserve">CULTIVO</t>
  </si>
  <si>
    <t xml:space="preserve">Z09</t>
  </si>
  <si>
    <t xml:space="preserve">T09</t>
  </si>
  <si>
    <t xml:space="preserve">ANZUELOS Y SEDALES</t>
  </si>
  <si>
    <t xml:space="preserve">Z10</t>
  </si>
  <si>
    <t xml:space="preserve">T10</t>
  </si>
  <si>
    <t xml:space="preserve">Z11</t>
  </si>
  <si>
    <t xml:space="preserve">T11</t>
  </si>
  <si>
    <t xml:space="preserve">Z12</t>
  </si>
  <si>
    <t xml:space="preserve">T12</t>
  </si>
  <si>
    <t xml:space="preserve">Z13</t>
  </si>
  <si>
    <t xml:space="preserve">T13</t>
  </si>
  <si>
    <t xml:space="preserve">Z14</t>
  </si>
  <si>
    <t xml:space="preserve">T14</t>
  </si>
  <si>
    <t xml:space="preserve">Z15</t>
  </si>
  <si>
    <t xml:space="preserve">T15</t>
  </si>
  <si>
    <t xml:space="preserve">Z16</t>
  </si>
  <si>
    <t xml:space="preserve">Z17</t>
  </si>
  <si>
    <t xml:space="preserve">Z18</t>
  </si>
  <si>
    <t xml:space="preserve">Z19</t>
  </si>
  <si>
    <t xml:space="preserve">Z20</t>
  </si>
  <si>
    <t xml:space="preserve">Z21</t>
  </si>
  <si>
    <t xml:space="preserve">Z22</t>
  </si>
  <si>
    <t xml:space="preserve">Z23</t>
  </si>
  <si>
    <t xml:space="preserve">Z24</t>
  </si>
  <si>
    <t xml:space="preserve">Z25</t>
  </si>
  <si>
    <t xml:space="preserve">Rellena los nombres de las zonas y tipos de pesca en las columnas en blanco</t>
  </si>
  <si>
    <t xml:space="preserve">MARINAFISK — LOCALIDADES SUPERMERCADO</t>
  </si>
  <si>
    <t xml:space="preserve">NOMBRE / LOCALIDAD</t>
  </si>
  <si>
    <t xml:space="preserve">S01</t>
  </si>
  <si>
    <t xml:space="preserve">ALCAMPO ZARAGOZA</t>
  </si>
  <si>
    <t xml:space="preserve">Zaragoza</t>
  </si>
  <si>
    <t xml:space="preserve">S02</t>
  </si>
  <si>
    <t xml:space="preserve">ALCAMPO MADRID</t>
  </si>
  <si>
    <t xml:space="preserve">Madrid</t>
  </si>
  <si>
    <t xml:space="preserve">S03</t>
  </si>
  <si>
    <t xml:space="preserve">ALCAMPO VILLANUBLA</t>
  </si>
  <si>
    <t xml:space="preserve">Villanubla</t>
  </si>
  <si>
    <t xml:space="preserve">S04</t>
  </si>
  <si>
    <t xml:space="preserve">ALCAMPO BARCELONA</t>
  </si>
  <si>
    <t xml:space="preserve">Barcelona</t>
  </si>
  <si>
    <t xml:space="preserve">S05</t>
  </si>
  <si>
    <t xml:space="preserve">ALCAMPO MIRANDA</t>
  </si>
  <si>
    <t xml:space="preserve">Miranda</t>
  </si>
  <si>
    <t xml:space="preserve">S06</t>
  </si>
  <si>
    <t xml:space="preserve">ALCAMPO VIGO</t>
  </si>
  <si>
    <t xml:space="preserve">Vigo</t>
  </si>
  <si>
    <t xml:space="preserve">S07</t>
  </si>
  <si>
    <t xml:space="preserve">ECOMORA</t>
  </si>
  <si>
    <t xml:space="preserve">S08</t>
  </si>
  <si>
    <t xml:space="preserve">MARINA FISK CORUÑA</t>
  </si>
  <si>
    <t xml:space="preserve">Zaragoza Almacen</t>
  </si>
  <si>
    <t xml:space="preserve">S09</t>
  </si>
  <si>
    <t xml:space="preserve">AHORRAMAS</t>
  </si>
  <si>
    <t xml:space="preserve">S10</t>
  </si>
  <si>
    <t xml:space="preserve">ALCAMPO - ASTURIAS</t>
  </si>
  <si>
    <t xml:space="preserve">Asturias</t>
  </si>
  <si>
    <t xml:space="preserve">S11</t>
  </si>
  <si>
    <t xml:space="preserve">TORIODIS - LEON</t>
  </si>
  <si>
    <t xml:space="preserve">LEON</t>
  </si>
  <si>
    <t xml:space="preserve">MARINAFISK PESCADOS, S.A.  -  LISTA DE PRECIOS</t>
  </si>
  <si>
    <t xml:space="preserve">FECHA: 26/05/2026   (Ocultar columnas COD y EXIST antes de enviar al cliente)</t>
  </si>
  <si>
    <t xml:space="preserve">COD</t>
  </si>
  <si>
    <t xml:space="preserve">FRESCOS / COMPRA DEL DÍA</t>
  </si>
  <si>
    <t xml:space="preserve">ELABORADOS / ATÍPICOS / MARISCOS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</si>
</sst>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/mm/yyyy"/>
    <numFmt numFmtId="166" formatCode="#,##0.0&quot; kg&quot;"/>
    <numFmt numFmtId="167" formatCode="#,##0.00&quot; €&quot;"/>
    <numFmt numFmtId="168" formatCode="#,##0"/>
    <numFmt numFmtId="169" formatCode="#,##0.000&quot; €/kg&quot;"/>
    <numFmt numFmtId="170" formatCode="m/d/yyyy"/>
    <numFmt numFmtId="171" formatCode="#,##0.00"/>
    <numFmt numFmtId="172" formatCode="#,##0.000"/>
    <numFmt numFmtId="173" formatCode="@"/>
    <numFmt numFmtId="174" formatCode="0"/>
    <numFmt numFmtId="175" formatCode="_-* #,##0.00&quot; €&quot;_-;\-* #,##0.00&quot; €&quot;_-;_-* \-??&quot; €&quot;_-;_-@_-"/>
    <numFmt numFmtId="176" formatCode="General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8"/>
      <color rgb="FF99999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FFFFFF"/>
      <name val="Arial"/>
      <family val="2"/>
      <charset val="1"/>
    </font>
    <font>
      <i val="true"/>
      <sz val="9"/>
      <color rgb="FF1F4E79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color rgb="FF1F4E79"/>
      <name val="Arial"/>
      <family val="2"/>
      <charset val="1"/>
    </font>
    <font>
      <sz val="9"/>
      <name val="Arial"/>
      <family val="2"/>
      <charset val="1"/>
    </font>
    <font>
      <i val="true"/>
      <sz val="8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1F4E79"/>
      <name val="Arial"/>
      <family val="2"/>
      <charset val="1"/>
    </font>
    <font>
      <b val="true"/>
      <sz val="11"/>
      <color rgb="FF1F4E79"/>
      <name val="Arial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name val="Arial"/>
      <family val="2"/>
      <charset val="1"/>
    </font>
    <font>
      <b val="true"/>
      <sz val="9"/>
      <color rgb="FF375623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9"/>
      <color rgb="FF0070C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7030A0"/>
      <name val="Arial"/>
      <family val="2"/>
      <charset val="1"/>
    </font>
    <font>
      <sz val="9"/>
      <color theme="1"/>
      <name val="Arial"/>
      <family val="2"/>
      <charset val="1"/>
    </font>
    <font>
      <b val="true"/>
      <sz val="10"/>
      <color rgb="FF7030A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375623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FF0000"/>
      <name val="Arial"/>
      <family val="2"/>
      <charset val="1"/>
    </font>
    <font>
      <sz val="11"/>
      <color rgb="FF000000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1"/>
      <name val="Cambria"/>
      <family val="1"/>
      <charset val="1"/>
    </font>
    <font>
      <b val="true"/>
      <i val="true"/>
      <sz val="11"/>
      <color rgb="FF888888"/>
      <name val="Cambria"/>
      <family val="1"/>
      <charset val="1"/>
    </font>
    <font>
      <sz val="10"/>
      <name val="Arial"/>
      <family val="2"/>
    </font>
    <font>
      <i val="true"/>
      <sz val="9"/>
      <color rgb="FF595959"/>
      <name val="Arial"/>
      <family val="2"/>
      <charset val="1"/>
    </font>
    <font>
      <b val="true"/>
      <sz val="9"/>
      <color rgb="FFC55A11"/>
      <name val="Arial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3CD"/>
      </patternFill>
    </fill>
    <fill>
      <patternFill patternType="solid">
        <fgColor rgb="FFF2F2F2"/>
        <bgColor rgb="FFFDEADA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C6D9F1"/>
      </patternFill>
    </fill>
    <fill>
      <patternFill patternType="solid">
        <fgColor rgb="FF2E75B6"/>
        <bgColor rgb="FF0070C0"/>
      </patternFill>
    </fill>
    <fill>
      <patternFill patternType="solid">
        <fgColor rgb="FFFFC000"/>
        <bgColor rgb="FFFFFF00"/>
      </patternFill>
    </fill>
    <fill>
      <patternFill patternType="solid">
        <fgColor rgb="FFFFF3CD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A9D18E"/>
      </patternFill>
    </fill>
    <fill>
      <patternFill patternType="solid">
        <fgColor theme="0" tint="-0.15"/>
        <bgColor rgb="FFE2CFED"/>
      </patternFill>
    </fill>
    <fill>
      <patternFill patternType="solid">
        <fgColor rgb="FFE2CFED"/>
        <bgColor rgb="FFD9D9D9"/>
      </patternFill>
    </fill>
    <fill>
      <patternFill patternType="solid">
        <fgColor rgb="FFFCE4D6"/>
        <bgColor rgb="FFFDEADA"/>
      </patternFill>
    </fill>
    <fill>
      <patternFill patternType="solid">
        <fgColor theme="3" tint="0.7998"/>
        <bgColor rgb="FFBDD7EE"/>
      </patternFill>
    </fill>
    <fill>
      <patternFill patternType="solid">
        <fgColor theme="5" tint="0.7998"/>
        <bgColor rgb="FFFCE4D6"/>
      </patternFill>
    </fill>
    <fill>
      <patternFill patternType="solid">
        <fgColor theme="6" tint="0.5996"/>
        <bgColor rgb="FFD9D9D9"/>
      </patternFill>
    </fill>
    <fill>
      <patternFill patternType="solid">
        <fgColor rgb="FFFFFF00"/>
        <bgColor rgb="FFFFC000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FF7F00"/>
        <bgColor rgb="FFBF8F0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595959"/>
      </patternFill>
    </fill>
    <fill>
      <patternFill patternType="solid">
        <fgColor rgb="FFC0C0C0"/>
        <bgColor rgb="FFB3B3B3"/>
      </patternFill>
    </fill>
    <fill>
      <patternFill patternType="solid">
        <fgColor theme="9" tint="0.7998"/>
        <bgColor rgb="FFFCE4D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3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7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2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11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23" fillId="1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1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9" fillId="1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29" fillId="1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3" fontId="29" fillId="1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1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2" fillId="6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33" fillId="1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3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33" fillId="4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3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34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1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9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33" fillId="4" borderId="4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71" fontId="32" fillId="1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3" fillId="6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3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4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3" fillId="1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3" fillId="11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2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30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9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3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33" fillId="11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33" fillId="11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3" fillId="11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23" fillId="19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3" fillId="1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33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3" fillId="11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6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7" fillId="1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39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3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3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3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40" fillId="4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41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33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33" fillId="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1" fontId="32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3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8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1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2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20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8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7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10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3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4" borderId="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4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33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1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6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7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0" fillId="2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0" fillId="2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48" fillId="1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1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8" fillId="2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23" fillId="2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4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6" fontId="0" fillId="2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E2CFED"/>
          <bgColor rgb="FF000000"/>
        </patternFill>
      </fill>
    </dxf>
    <dxf>
      <fill>
        <patternFill patternType="solid">
          <fgColor rgb="FFF2DCDB"/>
          <bgColor rgb="FF000000"/>
        </patternFill>
      </fill>
    </dxf>
    <dxf>
      <fill>
        <patternFill patternType="solid">
          <fgColor rgb="FFD7E4BD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00B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DEADA"/>
      <rgbColor rgb="FFC00000"/>
      <rgbColor rgb="FF008000"/>
      <rgbColor rgb="FF000080"/>
      <rgbColor rgb="FF548235"/>
      <rgbColor rgb="FF800080"/>
      <rgbColor rgb="FF00B050"/>
      <rgbColor rgb="FFC0C0C0"/>
      <rgbColor rgb="FF888888"/>
      <rgbColor rgb="FFA9D18E"/>
      <rgbColor rgb="FF7030A0"/>
      <rgbColor rgb="FFFFF3CD"/>
      <rgbColor rgb="FFE2EFDA"/>
      <rgbColor rgb="FF660066"/>
      <rgbColor rgb="FFD9D9D9"/>
      <rgbColor rgb="FF0070C0"/>
      <rgbColor rgb="FFC6D9F1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FCE4D6"/>
      <rgbColor rgb="FFF2F2F2"/>
      <rgbColor rgb="FFC6EFCE"/>
      <rgbColor rgb="FFFFEB9C"/>
      <rgbColor rgb="FFBDD7EE"/>
      <rgbColor rgb="FFE2CFED"/>
      <rgbColor rgb="FFB3B3B3"/>
      <rgbColor rgb="FFF2DCDB"/>
      <rgbColor rgb="FF2E75B6"/>
      <rgbColor rgb="FFD7E4BD"/>
      <rgbColor rgb="FF92D050"/>
      <rgbColor rgb="FFFFC000"/>
      <rgbColor rgb="FFBF8F00"/>
      <rgbColor rgb="FFFF7F00"/>
      <rgbColor rgb="FF595959"/>
      <rgbColor rgb="FF999999"/>
      <rgbColor rgb="FF003366"/>
      <rgbColor rgb="FF2E7D32"/>
      <rgbColor rgb="FF003300"/>
      <rgbColor rgb="FF375623"/>
      <rgbColor rgb="FFC55A11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Kilos comprados por proveedor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'PANEL COMPRAS'!C6</c:f>
              <c:strCache>
                <c:ptCount val="1"/>
                <c:pt idx="0">
                  <c:v>Kilos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COMPRAS'!$B$7:$B$21</c:f>
              <c:strCache>
                <c:ptCount val="15"/>
                <c:pt idx="0">
                  <c:v>XESTION NOVA LONXA RIVEIRA S.L.</c:v>
                </c:pt>
                <c:pt idx="1">
                  <c:v>SUBASTAS CORUÑA S.L.</c:v>
                </c:pt>
                <c:pt idx="2">
                  <c:v>COPESA</c:v>
                </c:pt>
                <c:pt idx="3">
                  <c:v>JOSE LUIS CORREA KESSLER S.L.</c:v>
                </c:pt>
                <c:pt idx="4">
                  <c:v>ACERGA </c:v>
                </c:pt>
                <c:pt idx="5">
                  <c:v>SUBASTAS DE ATLANTICO S.L</c:v>
                </c:pt>
                <c:pt idx="6">
                  <c:v>SUBASTAS RIVERA S.L.</c:v>
                </c:pt>
                <c:pt idx="7">
                  <c:v>SCANFISK SEAFFOD S,L</c:v>
                </c:pt>
                <c:pt idx="8">
                  <c:v>SONIA VENTAS S.L</c:v>
                </c:pt>
                <c:pt idx="9">
                  <c:v>PERFECTO MONTERO</c:v>
                </c:pt>
                <c:pt idx="10">
                  <c:v>PACO MOINELO</c:v>
                </c:pt>
                <c:pt idx="11">
                  <c:v>LURDES MARIÑO, S.L.</c:v>
                </c:pt>
                <c:pt idx="12">
                  <c:v>PESCADOS ILLANES S.L.</c:v>
                </c:pt>
                <c:pt idx="13">
                  <c:v>ANGELPESCA S.L.</c:v>
                </c:pt>
                <c:pt idx="14">
                  <c:v>PESCADO Y MARISCOS ADELAIDA S.L.</c:v>
                </c:pt>
              </c:strCache>
            </c:strRef>
          </c:cat>
          <c:val>
            <c:numRef>
              <c:f>'PANEL COMPRAS'!$C$7:$C$21</c:f>
              <c:numCache>
                <c:formatCode>#,##0.0" kg"</c:formatCode>
                <c:ptCount val="15"/>
                <c:pt idx="0">
                  <c:v>41663.771</c:v>
                </c:pt>
                <c:pt idx="1">
                  <c:v>18832.8</c:v>
                </c:pt>
                <c:pt idx="2">
                  <c:v>18026.85</c:v>
                </c:pt>
                <c:pt idx="3">
                  <c:v>15321</c:v>
                </c:pt>
                <c:pt idx="4">
                  <c:v>13166</c:v>
                </c:pt>
                <c:pt idx="5">
                  <c:v>9861.3</c:v>
                </c:pt>
                <c:pt idx="6">
                  <c:v>9601.75</c:v>
                </c:pt>
                <c:pt idx="7">
                  <c:v>4941.7</c:v>
                </c:pt>
                <c:pt idx="8">
                  <c:v>4675.7</c:v>
                </c:pt>
                <c:pt idx="9">
                  <c:v>2834.25</c:v>
                </c:pt>
                <c:pt idx="10">
                  <c:v>1761.55</c:v>
                </c:pt>
                <c:pt idx="11">
                  <c:v>1215</c:v>
                </c:pt>
                <c:pt idx="12">
                  <c:v>1083.6</c:v>
                </c:pt>
                <c:pt idx="13">
                  <c:v>1030</c:v>
                </c:pt>
                <c:pt idx="14">
                  <c:v>937.74</c:v>
                </c:pt>
              </c:numCache>
            </c:numRef>
          </c:val>
        </c:ser>
        <c:gapWidth val="150"/>
        <c:overlap val="0"/>
        <c:axId val="8322383"/>
        <c:axId val="99069100"/>
      </c:barChart>
      <c:catAx>
        <c:axId val="832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69100"/>
        <c:crosses val="autoZero"/>
        <c:auto val="1"/>
        <c:lblAlgn val="ctr"/>
        <c:lblOffset val="100"/>
        <c:noMultiLvlLbl val="0"/>
      </c:catAx>
      <c:valAx>
        <c:axId val="990691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&quot; kg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23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Importe comprado por proveedor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'PANEL COMPRAS'!G6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COMPRAS'!$F$7:$F$21</c:f>
              <c:strCache>
                <c:ptCount val="15"/>
                <c:pt idx="0">
                  <c:v>XESTION NOVA LONXA RIVEIRA S.L.</c:v>
                </c:pt>
                <c:pt idx="1">
                  <c:v>COPESA</c:v>
                </c:pt>
                <c:pt idx="2">
                  <c:v>SUBASTAS RIVERA S.L.</c:v>
                </c:pt>
                <c:pt idx="3">
                  <c:v>SCANFISK SEAFFOD S,L</c:v>
                </c:pt>
                <c:pt idx="4">
                  <c:v>SUBASTAS CORUÑA S.L.</c:v>
                </c:pt>
                <c:pt idx="5">
                  <c:v>JOSE LUIS CORREA KESSLER S.L.</c:v>
                </c:pt>
                <c:pt idx="6">
                  <c:v>SONIA VENTAS S.L</c:v>
                </c:pt>
                <c:pt idx="7">
                  <c:v>SUBASTAS DE ATLANTICO S.L</c:v>
                </c:pt>
                <c:pt idx="8">
                  <c:v>ACERGA </c:v>
                </c:pt>
                <c:pt idx="9">
                  <c:v>PERFECTO MONTERO</c:v>
                </c:pt>
                <c:pt idx="10">
                  <c:v>AZORFISK UNIPERSONAL LDA</c:v>
                </c:pt>
                <c:pt idx="11">
                  <c:v>FURIC MAREE</c:v>
                </c:pt>
                <c:pt idx="12">
                  <c:v>PACO MOINELO</c:v>
                </c:pt>
                <c:pt idx="13">
                  <c:v>PESCADO Y MARISCOS ADELAIDA S.L.</c:v>
                </c:pt>
                <c:pt idx="14">
                  <c:v>PESCADOS ILLANES S.L.</c:v>
                </c:pt>
              </c:strCache>
            </c:strRef>
          </c:cat>
          <c:val>
            <c:numRef>
              <c:f>'PANEL COMPRAS'!$G$7:$G$21</c:f>
              <c:numCache>
                <c:formatCode>#,##0.00" €"</c:formatCode>
                <c:ptCount val="15"/>
                <c:pt idx="0">
                  <c:v>101872.87281</c:v>
                </c:pt>
                <c:pt idx="1">
                  <c:v>81085.3233</c:v>
                </c:pt>
                <c:pt idx="2">
                  <c:v>43626.3996</c:v>
                </c:pt>
                <c:pt idx="3">
                  <c:v>35388.74</c:v>
                </c:pt>
                <c:pt idx="4">
                  <c:v>35085.68205</c:v>
                </c:pt>
                <c:pt idx="5">
                  <c:v>31840.2</c:v>
                </c:pt>
                <c:pt idx="6">
                  <c:v>29402.4945</c:v>
                </c:pt>
                <c:pt idx="7">
                  <c:v>24987.66165</c:v>
                </c:pt>
                <c:pt idx="8">
                  <c:v>20065.7868</c:v>
                </c:pt>
                <c:pt idx="9">
                  <c:v>15098.97585</c:v>
                </c:pt>
                <c:pt idx="10">
                  <c:v>14685.925</c:v>
                </c:pt>
                <c:pt idx="11">
                  <c:v>14000.16</c:v>
                </c:pt>
                <c:pt idx="12">
                  <c:v>10973.98875</c:v>
                </c:pt>
                <c:pt idx="13">
                  <c:v>5474.4725</c:v>
                </c:pt>
                <c:pt idx="14">
                  <c:v>4802.8434</c:v>
                </c:pt>
              </c:numCache>
            </c:numRef>
          </c:val>
        </c:ser>
        <c:gapWidth val="150"/>
        <c:overlap val="0"/>
        <c:axId val="87934476"/>
        <c:axId val="5043414"/>
      </c:barChart>
      <c:catAx>
        <c:axId val="879344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3414"/>
        <c:crosses val="autoZero"/>
        <c:auto val="1"/>
        <c:lblAlgn val="ctr"/>
        <c:lblOffset val="100"/>
        <c:noMultiLvlLbl val="0"/>
      </c:catAx>
      <c:valAx>
        <c:axId val="504341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344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Kilos comprados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'PANEL COMPRAS'!C25</c:f>
              <c:strCache>
                <c:ptCount val="1"/>
                <c:pt idx="0">
                  <c:v>Kilos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COMPRAS'!$B$26:$B$40</c:f>
              <c:strCache>
                <c:ptCount val="15"/>
                <c:pt idx="0">
                  <c:v>BOQUERON/ BOCARTE/ ANCHOA (ANE)</c:v>
                </c:pt>
                <c:pt idx="1">
                  <c:v>LIRIO/ BACALADILLA/ PERLA (WHB)</c:v>
                </c:pt>
                <c:pt idx="2">
                  <c:v>RAPE BLANCO RASCO (MON)</c:v>
                </c:pt>
                <c:pt idx="3">
                  <c:v>MERLUZA EUROPEA/ FINA DIA </c:v>
                </c:pt>
                <c:pt idx="4">
                  <c:v>VARIADO PEQUEÑO</c:v>
                </c:pt>
                <c:pt idx="5">
                  <c:v>BONITO DEL NORTE 5/7</c:v>
                </c:pt>
                <c:pt idx="6">
                  <c:v>MERLUZA EUROPEA ARRASTRE (HKE) </c:v>
                </c:pt>
                <c:pt idx="7">
                  <c:v>CABALL/ SARDA/ VERDEL (MAC)</c:v>
                </c:pt>
                <c:pt idx="8">
                  <c:v>MERLUZA EUROPEA PINCHO COSTA 800</c:v>
                </c:pt>
                <c:pt idx="9">
                  <c:v>RAPE NEGRO (ANK)</c:v>
                </c:pt>
                <c:pt idx="10">
                  <c:v>MERLUZA EUROPEA PINCHO COSTA</c:v>
                </c:pt>
                <c:pt idx="11">
                  <c:v>CONGRIO 10+  (COE)</c:v>
                </c:pt>
                <c:pt idx="12">
                  <c:v>RAYA SPP (SKA)</c:v>
                </c:pt>
                <c:pt idx="13">
                  <c:v>MERLUZA EUROPEA VOLANTA ALTURA</c:v>
                </c:pt>
                <c:pt idx="14">
                  <c:v>RAPE BLANCO DIA (MON)</c:v>
                </c:pt>
              </c:strCache>
            </c:strRef>
          </c:cat>
          <c:val>
            <c:numRef>
              <c:f>'PANEL COMPRAS'!$C$26:$C$40</c:f>
              <c:numCache>
                <c:formatCode>#,##0.0" kg"</c:formatCode>
                <c:ptCount val="15"/>
                <c:pt idx="0">
                  <c:v>48607</c:v>
                </c:pt>
                <c:pt idx="1">
                  <c:v>32511.65</c:v>
                </c:pt>
                <c:pt idx="2">
                  <c:v>7149.7</c:v>
                </c:pt>
                <c:pt idx="3">
                  <c:v>5733.75</c:v>
                </c:pt>
                <c:pt idx="4">
                  <c:v>4046.25</c:v>
                </c:pt>
                <c:pt idx="5">
                  <c:v>3944.05</c:v>
                </c:pt>
                <c:pt idx="6">
                  <c:v>3583.45</c:v>
                </c:pt>
                <c:pt idx="7">
                  <c:v>3290.95</c:v>
                </c:pt>
                <c:pt idx="8">
                  <c:v>2398.55</c:v>
                </c:pt>
                <c:pt idx="9">
                  <c:v>2166.3</c:v>
                </c:pt>
                <c:pt idx="10">
                  <c:v>2084.85</c:v>
                </c:pt>
                <c:pt idx="11">
                  <c:v>1969</c:v>
                </c:pt>
                <c:pt idx="12">
                  <c:v>1919.75</c:v>
                </c:pt>
                <c:pt idx="13">
                  <c:v>1914.5</c:v>
                </c:pt>
                <c:pt idx="14">
                  <c:v>1902.75</c:v>
                </c:pt>
              </c:numCache>
            </c:numRef>
          </c:val>
        </c:ser>
        <c:gapWidth val="150"/>
        <c:overlap val="0"/>
        <c:axId val="41535106"/>
        <c:axId val="35447476"/>
      </c:barChart>
      <c:catAx>
        <c:axId val="415351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447476"/>
        <c:crosses val="autoZero"/>
        <c:auto val="1"/>
        <c:lblAlgn val="ctr"/>
        <c:lblOffset val="100"/>
        <c:noMultiLvlLbl val="0"/>
      </c:catAx>
      <c:valAx>
        <c:axId val="354474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&quot; kg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351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Importe comprado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'PANEL COMPRAS'!G25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COMPRAS'!$F$26:$F$40</c:f>
              <c:strCache>
                <c:ptCount val="15"/>
                <c:pt idx="0">
                  <c:v>BOQUERON/ BOCARTE/ ANCHOA (ANE)</c:v>
                </c:pt>
                <c:pt idx="1">
                  <c:v>LIRIO/ BACALADILLA/ PERLA (WHB)</c:v>
                </c:pt>
                <c:pt idx="2">
                  <c:v>RAPE BLANCO RASCO (MON)</c:v>
                </c:pt>
                <c:pt idx="3">
                  <c:v>BONITO DEL NORTE 5/7</c:v>
                </c:pt>
                <c:pt idx="4">
                  <c:v>MERLUZA EUROPEA VOLANTA ALTURA</c:v>
                </c:pt>
                <c:pt idx="5">
                  <c:v>MERLUZA EUROPEA/ FINA DIA </c:v>
                </c:pt>
                <c:pt idx="6">
                  <c:v>LUBINA RIA/ ROBALIZA (BSS)</c:v>
                </c:pt>
                <c:pt idx="7">
                  <c:v>MERLUZA EUROPEA PINCHO COSTA 800</c:v>
                </c:pt>
                <c:pt idx="8">
                  <c:v>MERLUZA EUROPEA PINCHO COSTA</c:v>
                </c:pt>
                <c:pt idx="9">
                  <c:v>CABALL/ SARDA/ VERDEL (MAC)</c:v>
                </c:pt>
                <c:pt idx="10">
                  <c:v>RAPE BLANCO DIA (MON)</c:v>
                </c:pt>
                <c:pt idx="11">
                  <c:v>MERLUZA EUROPEA ARRASTRE (HKE) </c:v>
                </c:pt>
                <c:pt idx="12">
                  <c:v>BESUGO (BSR)</c:v>
                </c:pt>
                <c:pt idx="13">
                  <c:v>SAN MARTIÑOS/ SAN PEDROS (JOD)</c:v>
                </c:pt>
                <c:pt idx="14">
                  <c:v>RAPE NEGRO (ANK)</c:v>
                </c:pt>
              </c:strCache>
            </c:strRef>
          </c:cat>
          <c:val>
            <c:numRef>
              <c:f>'PANEL COMPRAS'!$G$26:$G$40</c:f>
              <c:numCache>
                <c:formatCode>#,##0.00" €"</c:formatCode>
                <c:ptCount val="15"/>
                <c:pt idx="0">
                  <c:v>74198.6628</c:v>
                </c:pt>
                <c:pt idx="1">
                  <c:v>57717.35916</c:v>
                </c:pt>
                <c:pt idx="2">
                  <c:v>47464.017</c:v>
                </c:pt>
                <c:pt idx="3">
                  <c:v>19023.42975</c:v>
                </c:pt>
                <c:pt idx="4">
                  <c:v>16611.44</c:v>
                </c:pt>
                <c:pt idx="5">
                  <c:v>16382.4072</c:v>
                </c:pt>
                <c:pt idx="6">
                  <c:v>16171.0834</c:v>
                </c:pt>
                <c:pt idx="7">
                  <c:v>13944.35595</c:v>
                </c:pt>
                <c:pt idx="8">
                  <c:v>13017.6429</c:v>
                </c:pt>
                <c:pt idx="9">
                  <c:v>12989.6699</c:v>
                </c:pt>
                <c:pt idx="10">
                  <c:v>11377.2921</c:v>
                </c:pt>
                <c:pt idx="11">
                  <c:v>11270.29875</c:v>
                </c:pt>
                <c:pt idx="12">
                  <c:v>11163.7981</c:v>
                </c:pt>
                <c:pt idx="13">
                  <c:v>10363.49</c:v>
                </c:pt>
                <c:pt idx="14">
                  <c:v>10128.4674</c:v>
                </c:pt>
              </c:numCache>
            </c:numRef>
          </c:val>
        </c:ser>
        <c:gapWidth val="150"/>
        <c:overlap val="0"/>
        <c:axId val="91421739"/>
        <c:axId val="69901758"/>
      </c:barChart>
      <c:catAx>
        <c:axId val="914217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901758"/>
        <c:crosses val="autoZero"/>
        <c:auto val="1"/>
        <c:lblAlgn val="ctr"/>
        <c:lblOffset val="100"/>
        <c:noMultiLvlLbl val="0"/>
      </c:catAx>
      <c:valAx>
        <c:axId val="699017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&quot; €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4217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Kilos comprados a este proveedor,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'PANEL COMPRAS'!C48</c:f>
              <c:strCache>
                <c:ptCount val="1"/>
                <c:pt idx="0">
                  <c:v>Kilos</c:v>
                </c:pt>
              </c:strCache>
            </c:strRef>
          </c:tx>
          <c:spPr>
            <a:solidFill>
              <a:srgbClr val="7030a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'PANEL COMPRAS'!$B$49:$B$58</c:f>
              <c:strCache>
                <c:ptCount val="10"/>
                <c:pt idx="0">
                  <c:v>BOQUERON/ BOCARTE/ ANCHOA (ANE)</c:v>
                </c:pt>
                <c:pt idx="1">
                  <c:v>LIRIO/ BACALADILLA/ PERLA (WHB)</c:v>
                </c:pt>
                <c:pt idx="2">
                  <c:v>RAPE BLANCO RASCO (MON)</c:v>
                </c:pt>
                <c:pt idx="3">
                  <c:v>MERLUZA EUROPEA/ FINA DIA </c:v>
                </c:pt>
                <c:pt idx="4">
                  <c:v>VARIADO PEQUEÑO</c:v>
                </c:pt>
                <c:pt idx="5">
                  <c:v>BONITO DEL NORTE 5/7</c:v>
                </c:pt>
                <c:pt idx="6">
                  <c:v>MERLUZA EUROPEA ARRASTRE (HKE) </c:v>
                </c:pt>
                <c:pt idx="7">
                  <c:v>CABALL/ SARDA/ VERDEL (MAC)</c:v>
                </c:pt>
                <c:pt idx="8">
                  <c:v>MERLUZA EUROPEA PINCHO COSTA 800</c:v>
                </c:pt>
                <c:pt idx="9">
                  <c:v>RAPE NEGRO (ANK)</c:v>
                </c:pt>
              </c:strCache>
            </c:strRef>
          </c:cat>
          <c:val>
            <c:numRef>
              <c:f>'PANEL COMPRAS'!$C$49:$C$58</c:f>
              <c:numCache>
                <c:formatCode>#,##0.0" kg"</c:formatCode>
                <c:ptCount val="10"/>
                <c:pt idx="0">
                  <c:v>48607</c:v>
                </c:pt>
                <c:pt idx="1">
                  <c:v>32511.65</c:v>
                </c:pt>
                <c:pt idx="2">
                  <c:v>7149.7</c:v>
                </c:pt>
                <c:pt idx="3">
                  <c:v>5733.75</c:v>
                </c:pt>
                <c:pt idx="4">
                  <c:v>4046.25</c:v>
                </c:pt>
                <c:pt idx="5">
                  <c:v>3944.05</c:v>
                </c:pt>
                <c:pt idx="6">
                  <c:v>3583.45</c:v>
                </c:pt>
                <c:pt idx="7">
                  <c:v>3290.95</c:v>
                </c:pt>
                <c:pt idx="8">
                  <c:v>2398.55</c:v>
                </c:pt>
                <c:pt idx="9">
                  <c:v>2166.3</c:v>
                </c:pt>
              </c:numCache>
            </c:numRef>
          </c:val>
        </c:ser>
        <c:gapWidth val="150"/>
        <c:overlap val="0"/>
        <c:axId val="57447222"/>
        <c:axId val="75860616"/>
      </c:barChart>
      <c:catAx>
        <c:axId val="574472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60616"/>
        <c:crosses val="autoZero"/>
        <c:auto val="1"/>
        <c:lblAlgn val="ctr"/>
        <c:lblOffset val="100"/>
        <c:noMultiLvlLbl val="0"/>
      </c:catAx>
      <c:valAx>
        <c:axId val="758606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&quot; kg&quot;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472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9</xdr:row>
      <xdr:rowOff>0</xdr:rowOff>
    </xdr:from>
    <xdr:to>
      <xdr:col>31</xdr:col>
      <xdr:colOff>364680</xdr:colOff>
      <xdr:row>25</xdr:row>
      <xdr:rowOff>182160</xdr:rowOff>
    </xdr:to>
    <xdr:graphicFrame>
      <xdr:nvGraphicFramePr>
        <xdr:cNvPr id="0" name="Chart 1"/>
        <xdr:cNvGraphicFramePr/>
      </xdr:nvGraphicFramePr>
      <xdr:xfrm>
        <a:off x="9069840" y="19908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31</xdr:col>
      <xdr:colOff>364680</xdr:colOff>
      <xdr:row>50</xdr:row>
      <xdr:rowOff>20160</xdr:rowOff>
    </xdr:to>
    <xdr:graphicFrame>
      <xdr:nvGraphicFramePr>
        <xdr:cNvPr id="1" name="Chart 2"/>
        <xdr:cNvGraphicFramePr/>
      </xdr:nvGraphicFramePr>
      <xdr:xfrm>
        <a:off x="9069840" y="67626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59</xdr:row>
      <xdr:rowOff>0</xdr:rowOff>
    </xdr:from>
    <xdr:to>
      <xdr:col>31</xdr:col>
      <xdr:colOff>364680</xdr:colOff>
      <xdr:row>76</xdr:row>
      <xdr:rowOff>1080</xdr:rowOff>
    </xdr:to>
    <xdr:graphicFrame>
      <xdr:nvGraphicFramePr>
        <xdr:cNvPr id="2" name="Chart 3"/>
        <xdr:cNvGraphicFramePr/>
      </xdr:nvGraphicFramePr>
      <xdr:xfrm>
        <a:off x="9069840" y="116967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84</xdr:row>
      <xdr:rowOff>0</xdr:rowOff>
    </xdr:from>
    <xdr:to>
      <xdr:col>31</xdr:col>
      <xdr:colOff>364680</xdr:colOff>
      <xdr:row>101</xdr:row>
      <xdr:rowOff>1080</xdr:rowOff>
    </xdr:to>
    <xdr:graphicFrame>
      <xdr:nvGraphicFramePr>
        <xdr:cNvPr id="3" name="Chart 4"/>
        <xdr:cNvGraphicFramePr/>
      </xdr:nvGraphicFramePr>
      <xdr:xfrm>
        <a:off x="9069840" y="164592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109</xdr:row>
      <xdr:rowOff>0</xdr:rowOff>
    </xdr:from>
    <xdr:to>
      <xdr:col>31</xdr:col>
      <xdr:colOff>364680</xdr:colOff>
      <xdr:row>126</xdr:row>
      <xdr:rowOff>1080</xdr:rowOff>
    </xdr:to>
    <xdr:graphicFrame>
      <xdr:nvGraphicFramePr>
        <xdr:cNvPr id="4" name="Chart 5"/>
        <xdr:cNvGraphicFramePr/>
      </xdr:nvGraphicFramePr>
      <xdr:xfrm>
        <a:off x="9069840" y="212216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Z2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3"/>
    <col collapsed="false" customWidth="true" hidden="false" outlineLevel="0" max="4" min="4" style="1" width="15"/>
    <col collapsed="false" customWidth="true" hidden="false" outlineLevel="0" max="5" min="5" style="1" width="4"/>
    <col collapsed="false" customWidth="true" hidden="false" outlineLevel="0" max="6" min="6" style="1" width="34"/>
    <col collapsed="false" customWidth="true" hidden="false" outlineLevel="0" max="7" min="7" style="1" width="13"/>
    <col collapsed="false" customWidth="true" hidden="false" outlineLevel="0" max="8" min="8" style="1" width="3"/>
    <col collapsed="false" customWidth="false" hidden="true" outlineLevel="0" max="22" min="14" style="1" width="8.7"/>
    <col collapsed="false" customWidth="false" hidden="true" outlineLevel="0" max="26" min="24" style="1" width="8.7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3" t="s">
        <v>1</v>
      </c>
      <c r="O1" s="1" t="s">
        <v>2</v>
      </c>
      <c r="S1" s="3" t="s">
        <v>3</v>
      </c>
      <c r="T1" s="1" t="s">
        <v>4</v>
      </c>
      <c r="X1" s="3" t="s">
        <v>5</v>
      </c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1" t="n">
        <f aca="false">PROVEEDORES!A3</f>
        <v>50001</v>
      </c>
      <c r="O2" s="1" t="str">
        <f aca="false">PROVEEDORES!B3</f>
        <v>COPESA</v>
      </c>
      <c r="P2" s="1" t="n">
        <f aca="false">IF(N2&lt;&gt;"",SUMIFS(COMPRAS!$J$3:$J$4997,COMPRAS!$D$3:$D$4997,N2,COMPRAS!$B$3:$B$4997,"&gt;="&amp;IF($C$4="",DATE(1900,1,1),$C$4),COMPRAS!$B$3:$B$4997,"&lt;="&amp;IF($F$4="",DATE(2999,12,31),$F$4)),0)</f>
        <v>18026.85</v>
      </c>
      <c r="Q2" s="1" t="n">
        <f aca="false">IF(N2&lt;&gt;"",SUMIFS(COMPRAS!$O$3:$O$4997,COMPRAS!$D$3:$D$4997,N2,COMPRAS!$B$3:$B$4997,"&gt;="&amp;IF($C$4="",DATE(1900,1,1),$C$4),COMPRAS!$B$3:$B$4997,"&lt;="&amp;IF($F$4="",DATE(2999,12,31),$F$4)),0)</f>
        <v>81085.3233</v>
      </c>
      <c r="S2" s="1" t="n">
        <f aca="false">PRODUCTOS!A3</f>
        <v>0</v>
      </c>
      <c r="T2" s="1" t="n">
        <f aca="false">PRODUCTOS!B3</f>
        <v>0</v>
      </c>
      <c r="U2" s="1" t="n">
        <f aca="false">IF(S2&lt;&gt;"",SUMIFS(COMPRAS!$J$3:$J$4997,COMPRAS!$G$3:$G$4997,S2,COMPRAS!$B$3:$B$4997,"&gt;="&amp;IF($C$4="",DATE(1900,1,1),$C$4),COMPRAS!$B$3:$B$4997,"&lt;="&amp;IF($F$4="",DATE(2999,12,31),$F$4)),0)</f>
        <v>0</v>
      </c>
      <c r="V2" s="1" t="n">
        <f aca="false">IF(S2&lt;&gt;"",SUMIFS(COMPRAS!$O$3:$O$4997,COMPRAS!$G$3:$G$4997,S2,COMPRAS!$B$3:$B$4997,"&gt;="&amp;IF($C$4="",DATE(1900,1,1),$C$4),COMPRAS!$B$3:$B$4997,"&lt;="&amp;IF($F$4="",DATE(2999,12,31),$F$4)),0)</f>
        <v>0</v>
      </c>
      <c r="X2" s="1" t="str">
        <f aca="false">IF($B$45="-- TODOS LOS PROVEEDORES --","TODOS",IFERROR(INDEX($N$1:$N$206,MATCH($B$45,$O$1:$O$206,0)),""))</f>
        <v>TODOS</v>
      </c>
      <c r="Y2" s="1" t="n">
        <f aca="false">IF($X$2="TODOS",U2,IF(S2&lt;&gt;"",SUMIFS(COMPRAS!$J$3:$J$4997,COMPRAS!$G$3:$G$4997,S2,COMPRAS!$D$3:$D$4997,$X$2,COMPRAS!$B$3:$B$4997,"&gt;="&amp;IF($C$4="",DATE(1900,1,1),$C$4),COMPRAS!$B$3:$B$4997,"&lt;="&amp;IF($F$4="",DATE(2999,12,31),$F$4)),0))</f>
        <v>0</v>
      </c>
      <c r="Z2" s="1" t="n">
        <f aca="false">IF($X$2="TODOS",V2,IF(S2&lt;&gt;"",SUMIFS(COMPRAS!$O$3:$O$4997,COMPRAS!$G$3:$G$4997,S2,COMPRAS!$D$3:$D$4997,$X$2,COMPRAS!$B$3:$B$4997,"&gt;="&amp;IF($C$4="",DATE(1900,1,1),$C$4),COMPRAS!$B$3:$B$4997,"&lt;="&amp;IF($F$4="",DATE(2999,12,31),$F$4)),0))</f>
        <v>0</v>
      </c>
    </row>
    <row r="3" customFormat="false" ht="18" hidden="false" customHeight="true" outlineLevel="0" collapsed="false">
      <c r="A3" s="4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N3" s="1" t="n">
        <f aca="false">PROVEEDORES!A4</f>
        <v>50010</v>
      </c>
      <c r="O3" s="1" t="str">
        <f aca="false">PROVEEDORES!B4</f>
        <v>PERFECTO MONTERO</v>
      </c>
      <c r="P3" s="1" t="n">
        <f aca="false">IF(N3&lt;&gt;"",SUMIFS(COMPRAS!$J$3:$J$4997,COMPRAS!$D$3:$D$4997,N3,COMPRAS!$B$3:$B$4997,"&gt;="&amp;IF($C$4="",DATE(1900,1,1),$C$4),COMPRAS!$B$3:$B$4997,"&lt;="&amp;IF($F$4="",DATE(2999,12,31),$F$4)),0)</f>
        <v>2834.25</v>
      </c>
      <c r="Q3" s="1" t="n">
        <f aca="false">IF(N3&lt;&gt;"",SUMIFS(COMPRAS!$O$3:$O$4997,COMPRAS!$D$3:$D$4997,N3,COMPRAS!$B$3:$B$4997,"&gt;="&amp;IF($C$4="",DATE(1900,1,1),$C$4),COMPRAS!$B$3:$B$4997,"&lt;="&amp;IF($F$4="",DATE(2999,12,31),$F$4)),0)</f>
        <v>15098.97585</v>
      </c>
      <c r="S3" s="1" t="n">
        <f aca="false">PRODUCTOS!A4</f>
        <v>0</v>
      </c>
      <c r="T3" s="1" t="n">
        <f aca="false">PRODUCTOS!B4</f>
        <v>0</v>
      </c>
      <c r="U3" s="1" t="n">
        <f aca="false">IF(S3&lt;&gt;"",SUMIFS(COMPRAS!$J$3:$J$4997,COMPRAS!$G$3:$G$4997,S3,COMPRAS!$B$3:$B$4997,"&gt;="&amp;IF($C$4="",DATE(1900,1,1),$C$4),COMPRAS!$B$3:$B$4997,"&lt;="&amp;IF($F$4="",DATE(2999,12,31),$F$4)),0)</f>
        <v>0</v>
      </c>
      <c r="V3" s="1" t="n">
        <f aca="false">IF(S3&lt;&gt;"",SUMIFS(COMPRAS!$O$3:$O$4997,COMPRAS!$G$3:$G$4997,S3,COMPRAS!$B$3:$B$4997,"&gt;="&amp;IF($C$4="",DATE(1900,1,1),$C$4),COMPRAS!$B$3:$B$4997,"&lt;="&amp;IF($F$4="",DATE(2999,12,31),$F$4)),0)</f>
        <v>0</v>
      </c>
      <c r="X3" s="1" t="str">
        <f aca="false">IF(OR($B$46="",$B$46="-- TODOS LOS ARTICULOS --"),"*",IFERROR(INDEX($S$1:$S$231,MATCH($B$46,$T$1:$T$231,0)),"*"))</f>
        <v>*</v>
      </c>
      <c r="Y3" s="1" t="n">
        <f aca="false">IF($X$2="TODOS",U3,IF(S3&lt;&gt;"",SUMIFS(COMPRAS!$J$3:$J$4997,COMPRAS!$G$3:$G$4997,S3,COMPRAS!$D$3:$D$4997,$X$2,COMPRAS!$B$3:$B$4997,"&gt;="&amp;IF($C$4="",DATE(1900,1,1),$C$4),COMPRAS!$B$3:$B$4997,"&lt;="&amp;IF($F$4="",DATE(2999,12,31),$F$4)),0))</f>
        <v>0</v>
      </c>
      <c r="Z3" s="1" t="n">
        <f aca="false">IF($X$2="TODOS",V3,IF(S3&lt;&gt;"",SUMIFS(COMPRAS!$O$3:$O$4997,COMPRAS!$G$3:$G$4997,S3,COMPRAS!$D$3:$D$4997,$X$2,COMPRAS!$B$3:$B$4997,"&gt;="&amp;IF($C$4="",DATE(1900,1,1),$C$4),COMPRAS!$B$3:$B$4997,"&lt;="&amp;IF($F$4="",DATE(2999,12,31),$F$4)),0))</f>
        <v>0</v>
      </c>
    </row>
    <row r="4" customFormat="false" ht="19.5" hidden="false" customHeight="true" outlineLevel="0" collapsed="false">
      <c r="A4" s="5" t="s">
        <v>7</v>
      </c>
      <c r="C4" s="6"/>
      <c r="E4" s="5" t="s">
        <v>8</v>
      </c>
      <c r="F4" s="6"/>
      <c r="H4" s="7" t="s">
        <v>9</v>
      </c>
      <c r="N4" s="1" t="n">
        <f aca="false">PROVEEDORES!A5</f>
        <v>50019</v>
      </c>
      <c r="O4" s="1" t="str">
        <f aca="false">PROVEEDORES!B5</f>
        <v>ANGELITA VILLAR</v>
      </c>
      <c r="P4" s="1" t="n">
        <f aca="false">IF(N4&lt;&gt;"",SUMIFS(COMPRAS!$J$3:$J$4997,COMPRAS!$D$3:$D$4997,N4,COMPRAS!$B$3:$B$4997,"&gt;="&amp;IF($C$4="",DATE(1900,1,1),$C$4),COMPRAS!$B$3:$B$4997,"&lt;="&amp;IF($F$4="",DATE(2999,12,31),$F$4)),0)</f>
        <v>205.1</v>
      </c>
      <c r="Q4" s="1" t="n">
        <f aca="false">IF(N4&lt;&gt;"",SUMIFS(COMPRAS!$O$3:$O$4997,COMPRAS!$D$3:$D$4997,N4,COMPRAS!$B$3:$B$4997,"&gt;="&amp;IF($C$4="",DATE(1900,1,1),$C$4),COMPRAS!$B$3:$B$4997,"&lt;="&amp;IF($F$4="",DATE(2999,12,31),$F$4)),0)</f>
        <v>1402.2348</v>
      </c>
      <c r="S4" s="1" t="n">
        <f aca="false">PRODUCTOS!A5</f>
        <v>0</v>
      </c>
      <c r="T4" s="1" t="n">
        <f aca="false">PRODUCTOS!B5</f>
        <v>0</v>
      </c>
      <c r="U4" s="1" t="n">
        <f aca="false">IF(S4&lt;&gt;"",SUMIFS(COMPRAS!$J$3:$J$4997,COMPRAS!$G$3:$G$4997,S4,COMPRAS!$B$3:$B$4997,"&gt;="&amp;IF($C$4="",DATE(1900,1,1),$C$4),COMPRAS!$B$3:$B$4997,"&lt;="&amp;IF($F$4="",DATE(2999,12,31),$F$4)),0)</f>
        <v>0</v>
      </c>
      <c r="V4" s="1" t="n">
        <f aca="false">IF(S4&lt;&gt;"",SUMIFS(COMPRAS!$O$3:$O$4997,COMPRAS!$G$3:$G$4997,S4,COMPRAS!$B$3:$B$4997,"&gt;="&amp;IF($C$4="",DATE(1900,1,1),$C$4),COMPRAS!$B$3:$B$4997,"&lt;="&amp;IF($F$4="",DATE(2999,12,31),$F$4)),0)</f>
        <v>0</v>
      </c>
      <c r="Y4" s="1" t="n">
        <f aca="false">IF($X$2="TODOS",U4,IF(S4&lt;&gt;"",SUMIFS(COMPRAS!$J$3:$J$4997,COMPRAS!$G$3:$G$4997,S4,COMPRAS!$D$3:$D$4997,$X$2,COMPRAS!$B$3:$B$4997,"&gt;="&amp;IF($C$4="",DATE(1900,1,1),$C$4),COMPRAS!$B$3:$B$4997,"&lt;="&amp;IF($F$4="",DATE(2999,12,31),$F$4)),0))</f>
        <v>0</v>
      </c>
      <c r="Z4" s="1" t="n">
        <f aca="false">IF($X$2="TODOS",V4,IF(S4&lt;&gt;"",SUMIFS(COMPRAS!$O$3:$O$4997,COMPRAS!$G$3:$G$4997,S4,COMPRAS!$D$3:$D$4997,$X$2,COMPRAS!$B$3:$B$4997,"&gt;="&amp;IF($C$4="",DATE(1900,1,1),$C$4),COMPRAS!$B$3:$B$4997,"&lt;="&amp;IF($F$4="",DATE(2999,12,31),$F$4)),0))</f>
        <v>0</v>
      </c>
    </row>
    <row r="5" customFormat="false" ht="15.75" hidden="false" customHeight="true" outlineLevel="0" collapsed="false">
      <c r="A5" s="8" t="s">
        <v>10</v>
      </c>
      <c r="E5" s="8" t="s">
        <v>11</v>
      </c>
      <c r="N5" s="1" t="n">
        <f aca="false">PROVEEDORES!A6</f>
        <v>50020</v>
      </c>
      <c r="O5" s="1" t="str">
        <f aca="false">PROVEEDORES!B6</f>
        <v>PACO MOINELO</v>
      </c>
      <c r="P5" s="1" t="n">
        <f aca="false">IF(N5&lt;&gt;"",SUMIFS(COMPRAS!$J$3:$J$4997,COMPRAS!$D$3:$D$4997,N5,COMPRAS!$B$3:$B$4997,"&gt;="&amp;IF($C$4="",DATE(1900,1,1),$C$4),COMPRAS!$B$3:$B$4997,"&lt;="&amp;IF($F$4="",DATE(2999,12,31),$F$4)),0)</f>
        <v>1761.55</v>
      </c>
      <c r="Q5" s="1" t="n">
        <f aca="false">IF(N5&lt;&gt;"",SUMIFS(COMPRAS!$O$3:$O$4997,COMPRAS!$D$3:$D$4997,N5,COMPRAS!$B$3:$B$4997,"&gt;="&amp;IF($C$4="",DATE(1900,1,1),$C$4),COMPRAS!$B$3:$B$4997,"&lt;="&amp;IF($F$4="",DATE(2999,12,31),$F$4)),0)</f>
        <v>10973.98875</v>
      </c>
      <c r="S5" s="1" t="n">
        <f aca="false">PRODUCTOS!A6</f>
        <v>0</v>
      </c>
      <c r="T5" s="1" t="n">
        <f aca="false">PRODUCTOS!B6</f>
        <v>0</v>
      </c>
      <c r="U5" s="1" t="n">
        <f aca="false">IF(S5&lt;&gt;"",SUMIFS(COMPRAS!$J$3:$J$4997,COMPRAS!$G$3:$G$4997,S5,COMPRAS!$B$3:$B$4997,"&gt;="&amp;IF($C$4="",DATE(1900,1,1),$C$4),COMPRAS!$B$3:$B$4997,"&lt;="&amp;IF($F$4="",DATE(2999,12,31),$F$4)),0)</f>
        <v>0</v>
      </c>
      <c r="V5" s="1" t="n">
        <f aca="false">IF(S5&lt;&gt;"",SUMIFS(COMPRAS!$O$3:$O$4997,COMPRAS!$G$3:$G$4997,S5,COMPRAS!$B$3:$B$4997,"&gt;="&amp;IF($C$4="",DATE(1900,1,1),$C$4),COMPRAS!$B$3:$B$4997,"&lt;="&amp;IF($F$4="",DATE(2999,12,31),$F$4)),0)</f>
        <v>0</v>
      </c>
      <c r="Y5" s="1" t="n">
        <f aca="false">IF($X$2="TODOS",U5,IF(S5&lt;&gt;"",SUMIFS(COMPRAS!$J$3:$J$4997,COMPRAS!$G$3:$G$4997,S5,COMPRAS!$D$3:$D$4997,$X$2,COMPRAS!$B$3:$B$4997,"&gt;="&amp;IF($C$4="",DATE(1900,1,1),$C$4),COMPRAS!$B$3:$B$4997,"&lt;="&amp;IF($F$4="",DATE(2999,12,31),$F$4)),0))</f>
        <v>0</v>
      </c>
      <c r="Z5" s="1" t="n">
        <f aca="false">IF($X$2="TODOS",V5,IF(S5&lt;&gt;"",SUMIFS(COMPRAS!$O$3:$O$4997,COMPRAS!$G$3:$G$4997,S5,COMPRAS!$D$3:$D$4997,$X$2,COMPRAS!$B$3:$B$4997,"&gt;="&amp;IF($C$4="",DATE(1900,1,1),$C$4),COMPRAS!$B$3:$B$4997,"&lt;="&amp;IF($F$4="",DATE(2999,12,31),$F$4)),0))</f>
        <v>0</v>
      </c>
    </row>
    <row r="6" customFormat="false" ht="15" hidden="false" customHeight="true" outlineLevel="0" collapsed="false">
      <c r="A6" s="9" t="s">
        <v>12</v>
      </c>
      <c r="B6" s="10" t="s">
        <v>13</v>
      </c>
      <c r="C6" s="9" t="s">
        <v>14</v>
      </c>
      <c r="E6" s="9" t="s">
        <v>12</v>
      </c>
      <c r="F6" s="10" t="s">
        <v>13</v>
      </c>
      <c r="G6" s="9" t="s">
        <v>15</v>
      </c>
      <c r="N6" s="1" t="n">
        <f aca="false">PROVEEDORES!A7</f>
        <v>50034</v>
      </c>
      <c r="O6" s="1" t="str">
        <f aca="false">PROVEEDORES!B7</f>
        <v>MANUEL CEBREIRA MELLA</v>
      </c>
      <c r="P6" s="1" t="n">
        <f aca="false">IF(N6&lt;&gt;"",SUMIFS(COMPRAS!$J$3:$J$4997,COMPRAS!$D$3:$D$4997,N6,COMPRAS!$B$3:$B$4997,"&gt;="&amp;IF($C$4="",DATE(1900,1,1),$C$4),COMPRAS!$B$3:$B$4997,"&lt;="&amp;IF($F$4="",DATE(2999,12,31),$F$4)),0)</f>
        <v>0</v>
      </c>
      <c r="Q6" s="1" t="n">
        <f aca="false">IF(N6&lt;&gt;"",SUMIFS(COMPRAS!$O$3:$O$4997,COMPRAS!$D$3:$D$4997,N6,COMPRAS!$B$3:$B$4997,"&gt;="&amp;IF($C$4="",DATE(1900,1,1),$C$4),COMPRAS!$B$3:$B$4997,"&lt;="&amp;IF($F$4="",DATE(2999,12,31),$F$4)),0)</f>
        <v>0</v>
      </c>
      <c r="S6" s="1" t="n">
        <f aca="false">PRODUCTOS!A7</f>
        <v>0</v>
      </c>
      <c r="T6" s="1" t="n">
        <f aca="false">PRODUCTOS!B7</f>
        <v>0</v>
      </c>
      <c r="U6" s="1" t="n">
        <f aca="false">IF(S6&lt;&gt;"",SUMIFS(COMPRAS!$J$3:$J$4997,COMPRAS!$G$3:$G$4997,S6,COMPRAS!$B$3:$B$4997,"&gt;="&amp;IF($C$4="",DATE(1900,1,1),$C$4),COMPRAS!$B$3:$B$4997,"&lt;="&amp;IF($F$4="",DATE(2999,12,31),$F$4)),0)</f>
        <v>0</v>
      </c>
      <c r="V6" s="1" t="n">
        <f aca="false">IF(S6&lt;&gt;"",SUMIFS(COMPRAS!$O$3:$O$4997,COMPRAS!$G$3:$G$4997,S6,COMPRAS!$B$3:$B$4997,"&gt;="&amp;IF($C$4="",DATE(1900,1,1),$C$4),COMPRAS!$B$3:$B$4997,"&lt;="&amp;IF($F$4="",DATE(2999,12,31),$F$4)),0)</f>
        <v>0</v>
      </c>
      <c r="Y6" s="1" t="n">
        <f aca="false">IF($X$2="TODOS",U6,IF(S6&lt;&gt;"",SUMIFS(COMPRAS!$J$3:$J$4997,COMPRAS!$G$3:$G$4997,S6,COMPRAS!$D$3:$D$4997,$X$2,COMPRAS!$B$3:$B$4997,"&gt;="&amp;IF($C$4="",DATE(1900,1,1),$C$4),COMPRAS!$B$3:$B$4997,"&lt;="&amp;IF($F$4="",DATE(2999,12,31),$F$4)),0))</f>
        <v>0</v>
      </c>
      <c r="Z6" s="1" t="n">
        <f aca="false">IF($X$2="TODOS",V6,IF(S6&lt;&gt;"",SUMIFS(COMPRAS!$O$3:$O$4997,COMPRAS!$G$3:$G$4997,S6,COMPRAS!$D$3:$D$4997,$X$2,COMPRAS!$B$3:$B$4997,"&gt;="&amp;IF($C$4="",DATE(1900,1,1),$C$4),COMPRAS!$B$3:$B$4997,"&lt;="&amp;IF($F$4="",DATE(2999,12,31),$F$4)),0))</f>
        <v>0</v>
      </c>
    </row>
    <row r="7" customFormat="false" ht="15" hidden="false" customHeight="true" outlineLevel="0" collapsed="false">
      <c r="A7" s="11" t="n">
        <v>1</v>
      </c>
      <c r="B7" s="12" t="str">
        <f aca="false">IFERROR(INDEX($O$2:$O$206,MATCH(LARGE($P$2:$P$206,1),$P$2:$P$206,0)),"")</f>
        <v>XESTION NOVA LONXA RIVEIRA S.L.</v>
      </c>
      <c r="C7" s="13" t="n">
        <f aca="false">IFERROR(LARGE($P$2:$P$206,1),0)</f>
        <v>41663.771</v>
      </c>
      <c r="E7" s="11" t="n">
        <v>1</v>
      </c>
      <c r="F7" s="12" t="str">
        <f aca="false">IFERROR(INDEX($O$2:$O$206,MATCH(LARGE($Q$2:$Q$206,1),$Q$2:$Q$206,0)),"")</f>
        <v>XESTION NOVA LONXA RIVEIRA S.L.</v>
      </c>
      <c r="G7" s="14" t="n">
        <f aca="false">IFERROR(LARGE($Q$2:$Q$206,1),0)</f>
        <v>101872.87281</v>
      </c>
      <c r="N7" s="1" t="n">
        <f aca="false">PROVEEDORES!A8</f>
        <v>50035</v>
      </c>
      <c r="O7" s="1" t="str">
        <f aca="false">PROVEEDORES!B8</f>
        <v>SCANFISK SEAFFOD S,L</v>
      </c>
      <c r="P7" s="1" t="n">
        <f aca="false">IF(N7&lt;&gt;"",SUMIFS(COMPRAS!$J$3:$J$4997,COMPRAS!$D$3:$D$4997,N7,COMPRAS!$B$3:$B$4997,"&gt;="&amp;IF($C$4="",DATE(1900,1,1),$C$4),COMPRAS!$B$3:$B$4997,"&lt;="&amp;IF($F$4="",DATE(2999,12,31),$F$4)),0)</f>
        <v>4941.7</v>
      </c>
      <c r="Q7" s="1" t="n">
        <f aca="false">IF(N7&lt;&gt;"",SUMIFS(COMPRAS!$O$3:$O$4997,COMPRAS!$D$3:$D$4997,N7,COMPRAS!$B$3:$B$4997,"&gt;="&amp;IF($C$4="",DATE(1900,1,1),$C$4),COMPRAS!$B$3:$B$4997,"&lt;="&amp;IF($F$4="",DATE(2999,12,31),$F$4)),0)</f>
        <v>35388.74</v>
      </c>
      <c r="S7" s="1" t="n">
        <f aca="false">PRODUCTOS!A8</f>
        <v>0</v>
      </c>
      <c r="T7" s="1" t="n">
        <f aca="false">PRODUCTOS!B8</f>
        <v>0</v>
      </c>
      <c r="U7" s="1" t="n">
        <f aca="false">IF(S7&lt;&gt;"",SUMIFS(COMPRAS!$J$3:$J$4997,COMPRAS!$G$3:$G$4997,S7,COMPRAS!$B$3:$B$4997,"&gt;="&amp;IF($C$4="",DATE(1900,1,1),$C$4),COMPRAS!$B$3:$B$4997,"&lt;="&amp;IF($F$4="",DATE(2999,12,31),$F$4)),0)</f>
        <v>0</v>
      </c>
      <c r="V7" s="1" t="n">
        <f aca="false">IF(S7&lt;&gt;"",SUMIFS(COMPRAS!$O$3:$O$4997,COMPRAS!$G$3:$G$4997,S7,COMPRAS!$B$3:$B$4997,"&gt;="&amp;IF($C$4="",DATE(1900,1,1),$C$4),COMPRAS!$B$3:$B$4997,"&lt;="&amp;IF($F$4="",DATE(2999,12,31),$F$4)),0)</f>
        <v>0</v>
      </c>
      <c r="Y7" s="1" t="n">
        <f aca="false">IF($X$2="TODOS",U7,IF(S7&lt;&gt;"",SUMIFS(COMPRAS!$J$3:$J$4997,COMPRAS!$G$3:$G$4997,S7,COMPRAS!$D$3:$D$4997,$X$2,COMPRAS!$B$3:$B$4997,"&gt;="&amp;IF($C$4="",DATE(1900,1,1),$C$4),COMPRAS!$B$3:$B$4997,"&lt;="&amp;IF($F$4="",DATE(2999,12,31),$F$4)),0))</f>
        <v>0</v>
      </c>
      <c r="Z7" s="1" t="n">
        <f aca="false">IF($X$2="TODOS",V7,IF(S7&lt;&gt;"",SUMIFS(COMPRAS!$O$3:$O$4997,COMPRAS!$G$3:$G$4997,S7,COMPRAS!$D$3:$D$4997,$X$2,COMPRAS!$B$3:$B$4997,"&gt;="&amp;IF($C$4="",DATE(1900,1,1),$C$4),COMPRAS!$B$3:$B$4997,"&lt;="&amp;IF($F$4="",DATE(2999,12,31),$F$4)),0))</f>
        <v>0</v>
      </c>
    </row>
    <row r="8" customFormat="false" ht="15" hidden="false" customHeight="true" outlineLevel="0" collapsed="false">
      <c r="A8" s="15" t="n">
        <v>2</v>
      </c>
      <c r="B8" s="16" t="str">
        <f aca="false">IFERROR(INDEX($O$2:$O$206,MATCH(LARGE($P$2:$P$206,2),$P$2:$P$206,0)),"")</f>
        <v>SUBASTAS CORUÑA S.L.</v>
      </c>
      <c r="C8" s="17" t="n">
        <f aca="false">IFERROR(LARGE($P$2:$P$206,2),0)</f>
        <v>18832.8</v>
      </c>
      <c r="E8" s="15" t="n">
        <v>2</v>
      </c>
      <c r="F8" s="16" t="str">
        <f aca="false">IFERROR(INDEX($O$2:$O$206,MATCH(LARGE($Q$2:$Q$206,2),$Q$2:$Q$206,0)),"")</f>
        <v>COPESA</v>
      </c>
      <c r="G8" s="18" t="n">
        <f aca="false">IFERROR(LARGE($Q$2:$Q$206,2),0)</f>
        <v>81085.3233</v>
      </c>
      <c r="N8" s="1" t="n">
        <f aca="false">PROVEEDORES!A9</f>
        <v>50048</v>
      </c>
      <c r="O8" s="1" t="str">
        <f aca="false">PROVEEDORES!B9</f>
        <v>JOSE LUIS CORREA KESSLER S.L.</v>
      </c>
      <c r="P8" s="1" t="n">
        <f aca="false">IF(N8&lt;&gt;"",SUMIFS(COMPRAS!$J$3:$J$4997,COMPRAS!$D$3:$D$4997,N8,COMPRAS!$B$3:$B$4997,"&gt;="&amp;IF($C$4="",DATE(1900,1,1),$C$4),COMPRAS!$B$3:$B$4997,"&lt;="&amp;IF($F$4="",DATE(2999,12,31),$F$4)),0)</f>
        <v>15321</v>
      </c>
      <c r="Q8" s="1" t="n">
        <f aca="false">IF(N8&lt;&gt;"",SUMIFS(COMPRAS!$O$3:$O$4997,COMPRAS!$D$3:$D$4997,N8,COMPRAS!$B$3:$B$4997,"&gt;="&amp;IF($C$4="",DATE(1900,1,1),$C$4),COMPRAS!$B$3:$B$4997,"&lt;="&amp;IF($F$4="",DATE(2999,12,31),$F$4)),0)</f>
        <v>31840.2</v>
      </c>
      <c r="S8" s="1" t="n">
        <f aca="false">PRODUCTOS!A9</f>
        <v>0</v>
      </c>
      <c r="T8" s="1" t="n">
        <f aca="false">PRODUCTOS!B9</f>
        <v>0</v>
      </c>
      <c r="U8" s="1" t="n">
        <f aca="false">IF(S8&lt;&gt;"",SUMIFS(COMPRAS!$J$3:$J$4997,COMPRAS!$G$3:$G$4997,S8,COMPRAS!$B$3:$B$4997,"&gt;="&amp;IF($C$4="",DATE(1900,1,1),$C$4),COMPRAS!$B$3:$B$4997,"&lt;="&amp;IF($F$4="",DATE(2999,12,31),$F$4)),0)</f>
        <v>0</v>
      </c>
      <c r="V8" s="1" t="n">
        <f aca="false">IF(S8&lt;&gt;"",SUMIFS(COMPRAS!$O$3:$O$4997,COMPRAS!$G$3:$G$4997,S8,COMPRAS!$B$3:$B$4997,"&gt;="&amp;IF($C$4="",DATE(1900,1,1),$C$4),COMPRAS!$B$3:$B$4997,"&lt;="&amp;IF($F$4="",DATE(2999,12,31),$F$4)),0)</f>
        <v>0</v>
      </c>
      <c r="Y8" s="1" t="n">
        <f aca="false">IF($X$2="TODOS",U8,IF(S8&lt;&gt;"",SUMIFS(COMPRAS!$J$3:$J$4997,COMPRAS!$G$3:$G$4997,S8,COMPRAS!$D$3:$D$4997,$X$2,COMPRAS!$B$3:$B$4997,"&gt;="&amp;IF($C$4="",DATE(1900,1,1),$C$4),COMPRAS!$B$3:$B$4997,"&lt;="&amp;IF($F$4="",DATE(2999,12,31),$F$4)),0))</f>
        <v>0</v>
      </c>
      <c r="Z8" s="1" t="n">
        <f aca="false">IF($X$2="TODOS",V8,IF(S8&lt;&gt;"",SUMIFS(COMPRAS!$O$3:$O$4997,COMPRAS!$G$3:$G$4997,S8,COMPRAS!$D$3:$D$4997,$X$2,COMPRAS!$B$3:$B$4997,"&gt;="&amp;IF($C$4="",DATE(1900,1,1),$C$4),COMPRAS!$B$3:$B$4997,"&lt;="&amp;IF($F$4="",DATE(2999,12,31),$F$4)),0))</f>
        <v>0</v>
      </c>
    </row>
    <row r="9" customFormat="false" ht="15" hidden="false" customHeight="true" outlineLevel="0" collapsed="false">
      <c r="A9" s="11" t="n">
        <v>3</v>
      </c>
      <c r="B9" s="12" t="str">
        <f aca="false">IFERROR(INDEX($O$2:$O$206,MATCH(LARGE($P$2:$P$206,3),$P$2:$P$206,0)),"")</f>
        <v>COPESA</v>
      </c>
      <c r="C9" s="13" t="n">
        <f aca="false">IFERROR(LARGE($P$2:$P$206,3),0)</f>
        <v>18026.85</v>
      </c>
      <c r="E9" s="11" t="n">
        <v>3</v>
      </c>
      <c r="F9" s="12" t="str">
        <f aca="false">IFERROR(INDEX($O$2:$O$206,MATCH(LARGE($Q$2:$Q$206,3),$Q$2:$Q$206,0)),"")</f>
        <v>SUBASTAS RIVERA S.L.</v>
      </c>
      <c r="G9" s="14" t="n">
        <f aca="false">IFERROR(LARGE($Q$2:$Q$206,3),0)</f>
        <v>43626.3996</v>
      </c>
      <c r="N9" s="1" t="n">
        <f aca="false">PROVEEDORES!A10</f>
        <v>50056</v>
      </c>
      <c r="O9" s="1" t="str">
        <f aca="false">PROVEEDORES!B10</f>
        <v>COTON Y SANCHEZ S.L.</v>
      </c>
      <c r="P9" s="1" t="n">
        <f aca="false">IF(N9&lt;&gt;"",SUMIFS(COMPRAS!$J$3:$J$4997,COMPRAS!$D$3:$D$4997,N9,COMPRAS!$B$3:$B$4997,"&gt;="&amp;IF($C$4="",DATE(1900,1,1),$C$4),COMPRAS!$B$3:$B$4997,"&lt;="&amp;IF($F$4="",DATE(2999,12,31),$F$4)),0)</f>
        <v>36</v>
      </c>
      <c r="Q9" s="1" t="n">
        <f aca="false">IF(N9&lt;&gt;"",SUMIFS(COMPRAS!$O$3:$O$4997,COMPRAS!$D$3:$D$4997,N9,COMPRAS!$B$3:$B$4997,"&gt;="&amp;IF($C$4="",DATE(1900,1,1),$C$4),COMPRAS!$B$3:$B$4997,"&lt;="&amp;IF($F$4="",DATE(2999,12,31),$F$4)),0)</f>
        <v>100.8</v>
      </c>
      <c r="S9" s="1" t="n">
        <f aca="false">PRODUCTOS!A10</f>
        <v>0</v>
      </c>
      <c r="T9" s="1" t="n">
        <f aca="false">PRODUCTOS!B10</f>
        <v>0</v>
      </c>
      <c r="U9" s="1" t="n">
        <f aca="false">IF(S9&lt;&gt;"",SUMIFS(COMPRAS!$J$3:$J$4997,COMPRAS!$G$3:$G$4997,S9,COMPRAS!$B$3:$B$4997,"&gt;="&amp;IF($C$4="",DATE(1900,1,1),$C$4),COMPRAS!$B$3:$B$4997,"&lt;="&amp;IF($F$4="",DATE(2999,12,31),$F$4)),0)</f>
        <v>0</v>
      </c>
      <c r="V9" s="1" t="n">
        <f aca="false">IF(S9&lt;&gt;"",SUMIFS(COMPRAS!$O$3:$O$4997,COMPRAS!$G$3:$G$4997,S9,COMPRAS!$B$3:$B$4997,"&gt;="&amp;IF($C$4="",DATE(1900,1,1),$C$4),COMPRAS!$B$3:$B$4997,"&lt;="&amp;IF($F$4="",DATE(2999,12,31),$F$4)),0)</f>
        <v>0</v>
      </c>
      <c r="Y9" s="1" t="n">
        <f aca="false">IF($X$2="TODOS",U9,IF(S9&lt;&gt;"",SUMIFS(COMPRAS!$J$3:$J$4997,COMPRAS!$G$3:$G$4997,S9,COMPRAS!$D$3:$D$4997,$X$2,COMPRAS!$B$3:$B$4997,"&gt;="&amp;IF($C$4="",DATE(1900,1,1),$C$4),COMPRAS!$B$3:$B$4997,"&lt;="&amp;IF($F$4="",DATE(2999,12,31),$F$4)),0))</f>
        <v>0</v>
      </c>
      <c r="Z9" s="1" t="n">
        <f aca="false">IF($X$2="TODOS",V9,IF(S9&lt;&gt;"",SUMIFS(COMPRAS!$O$3:$O$4997,COMPRAS!$G$3:$G$4997,S9,COMPRAS!$D$3:$D$4997,$X$2,COMPRAS!$B$3:$B$4997,"&gt;="&amp;IF($C$4="",DATE(1900,1,1),$C$4),COMPRAS!$B$3:$B$4997,"&lt;="&amp;IF($F$4="",DATE(2999,12,31),$F$4)),0))</f>
        <v>0</v>
      </c>
    </row>
    <row r="10" customFormat="false" ht="15" hidden="false" customHeight="true" outlineLevel="0" collapsed="false">
      <c r="A10" s="15" t="n">
        <v>4</v>
      </c>
      <c r="B10" s="16" t="str">
        <f aca="false">IFERROR(INDEX($O$2:$O$206,MATCH(LARGE($P$2:$P$206,4),$P$2:$P$206,0)),"")</f>
        <v>JOSE LUIS CORREA KESSLER S.L.</v>
      </c>
      <c r="C10" s="17" t="n">
        <f aca="false">IFERROR(LARGE($P$2:$P$206,4),0)</f>
        <v>15321</v>
      </c>
      <c r="E10" s="15" t="n">
        <v>4</v>
      </c>
      <c r="F10" s="16" t="str">
        <f aca="false">IFERROR(INDEX($O$2:$O$206,MATCH(LARGE($Q$2:$Q$206,4),$Q$2:$Q$206,0)),"")</f>
        <v>SCANFISK SEAFFOD S,L</v>
      </c>
      <c r="G10" s="18" t="n">
        <f aca="false">IFERROR(LARGE($Q$2:$Q$206,4),0)</f>
        <v>35388.74</v>
      </c>
      <c r="N10" s="1" t="n">
        <f aca="false">PROVEEDORES!A11</f>
        <v>50064</v>
      </c>
      <c r="O10" s="1" t="str">
        <f aca="false">PROVEEDORES!B11</f>
        <v>PESCADOS CORCUBION</v>
      </c>
      <c r="P10" s="1" t="n">
        <f aca="false">IF(N10&lt;&gt;"",SUMIFS(COMPRAS!$J$3:$J$4997,COMPRAS!$D$3:$D$4997,N10,COMPRAS!$B$3:$B$4997,"&gt;="&amp;IF($C$4="",DATE(1900,1,1),$C$4),COMPRAS!$B$3:$B$4997,"&lt;="&amp;IF($F$4="",DATE(2999,12,31),$F$4)),0)</f>
        <v>0</v>
      </c>
      <c r="Q10" s="1" t="n">
        <f aca="false">IF(N10&lt;&gt;"",SUMIFS(COMPRAS!$O$3:$O$4997,COMPRAS!$D$3:$D$4997,N10,COMPRAS!$B$3:$B$4997,"&gt;="&amp;IF($C$4="",DATE(1900,1,1),$C$4),COMPRAS!$B$3:$B$4997,"&lt;="&amp;IF($F$4="",DATE(2999,12,31),$F$4)),0)</f>
        <v>0</v>
      </c>
      <c r="S10" s="1" t="n">
        <f aca="false">PRODUCTOS!A11</f>
        <v>0</v>
      </c>
      <c r="T10" s="1" t="n">
        <f aca="false">PRODUCTOS!B11</f>
        <v>0</v>
      </c>
      <c r="U10" s="1" t="n">
        <f aca="false">IF(S10&lt;&gt;"",SUMIFS(COMPRAS!$J$3:$J$4997,COMPRAS!$G$3:$G$4997,S10,COMPRAS!$B$3:$B$4997,"&gt;="&amp;IF($C$4="",DATE(1900,1,1),$C$4),COMPRAS!$B$3:$B$4997,"&lt;="&amp;IF($F$4="",DATE(2999,12,31),$F$4)),0)</f>
        <v>0</v>
      </c>
      <c r="V10" s="1" t="n">
        <f aca="false">IF(S10&lt;&gt;"",SUMIFS(COMPRAS!$O$3:$O$4997,COMPRAS!$G$3:$G$4997,S10,COMPRAS!$B$3:$B$4997,"&gt;="&amp;IF($C$4="",DATE(1900,1,1),$C$4),COMPRAS!$B$3:$B$4997,"&lt;="&amp;IF($F$4="",DATE(2999,12,31),$F$4)),0)</f>
        <v>0</v>
      </c>
      <c r="Y10" s="1" t="n">
        <f aca="false">IF($X$2="TODOS",U10,IF(S10&lt;&gt;"",SUMIFS(COMPRAS!$J$3:$J$4997,COMPRAS!$G$3:$G$4997,S10,COMPRAS!$D$3:$D$4997,$X$2,COMPRAS!$B$3:$B$4997,"&gt;="&amp;IF($C$4="",DATE(1900,1,1),$C$4),COMPRAS!$B$3:$B$4997,"&lt;="&amp;IF($F$4="",DATE(2999,12,31),$F$4)),0))</f>
        <v>0</v>
      </c>
      <c r="Z10" s="1" t="n">
        <f aca="false">IF($X$2="TODOS",V10,IF(S10&lt;&gt;"",SUMIFS(COMPRAS!$O$3:$O$4997,COMPRAS!$G$3:$G$4997,S10,COMPRAS!$D$3:$D$4997,$X$2,COMPRAS!$B$3:$B$4997,"&gt;="&amp;IF($C$4="",DATE(1900,1,1),$C$4),COMPRAS!$B$3:$B$4997,"&lt;="&amp;IF($F$4="",DATE(2999,12,31),$F$4)),0))</f>
        <v>0</v>
      </c>
    </row>
    <row r="11" customFormat="false" ht="15" hidden="false" customHeight="true" outlineLevel="0" collapsed="false">
      <c r="A11" s="11" t="n">
        <v>5</v>
      </c>
      <c r="B11" s="12" t="str">
        <f aca="false">IFERROR(INDEX($O$2:$O$206,MATCH(LARGE($P$2:$P$206,5),$P$2:$P$206,0)),"")</f>
        <v>ACERGA </v>
      </c>
      <c r="C11" s="13" t="n">
        <f aca="false">IFERROR(LARGE($P$2:$P$206,5),0)</f>
        <v>13166</v>
      </c>
      <c r="E11" s="11" t="n">
        <v>5</v>
      </c>
      <c r="F11" s="12" t="str">
        <f aca="false">IFERROR(INDEX($O$2:$O$206,MATCH(LARGE($Q$2:$Q$206,5),$Q$2:$Q$206,0)),"")</f>
        <v>SUBASTAS CORUÑA S.L.</v>
      </c>
      <c r="G11" s="14" t="n">
        <f aca="false">IFERROR(LARGE($Q$2:$Q$206,5),0)</f>
        <v>35085.68205</v>
      </c>
      <c r="N11" s="1" t="n">
        <f aca="false">PROVEEDORES!A12</f>
        <v>50069</v>
      </c>
      <c r="O11" s="1" t="str">
        <f aca="false">PROVEEDORES!B12</f>
        <v>PESCADOS ILLANES S.L.</v>
      </c>
      <c r="P11" s="1" t="n">
        <f aca="false">IF(N11&lt;&gt;"",SUMIFS(COMPRAS!$J$3:$J$4997,COMPRAS!$D$3:$D$4997,N11,COMPRAS!$B$3:$B$4997,"&gt;="&amp;IF($C$4="",DATE(1900,1,1),$C$4),COMPRAS!$B$3:$B$4997,"&lt;="&amp;IF($F$4="",DATE(2999,12,31),$F$4)),0)</f>
        <v>1083.6</v>
      </c>
      <c r="Q11" s="1" t="n">
        <f aca="false">IF(N11&lt;&gt;"",SUMIFS(COMPRAS!$O$3:$O$4997,COMPRAS!$D$3:$D$4997,N11,COMPRAS!$B$3:$B$4997,"&gt;="&amp;IF($C$4="",DATE(1900,1,1),$C$4),COMPRAS!$B$3:$B$4997,"&lt;="&amp;IF($F$4="",DATE(2999,12,31),$F$4)),0)</f>
        <v>4802.8434</v>
      </c>
      <c r="S11" s="1" t="str">
        <f aca="false">PRODUCTOS!A12</f>
        <v>C650</v>
      </c>
      <c r="T11" s="1" t="str">
        <f aca="false">PRODUCTOS!B12</f>
        <v>ABADEJO RIA (POL)</v>
      </c>
      <c r="U11" s="1" t="n">
        <f aca="false">IF(S11&lt;&gt;"",SUMIFS(COMPRAS!$J$3:$J$4997,COMPRAS!$G$3:$G$4997,S11,COMPRAS!$B$3:$B$4997,"&gt;="&amp;IF($C$4="",DATE(1900,1,1),$C$4),COMPRAS!$B$3:$B$4997,"&lt;="&amp;IF($F$4="",DATE(2999,12,31),$F$4)),0)</f>
        <v>0</v>
      </c>
      <c r="V11" s="1" t="n">
        <f aca="false">IF(S11&lt;&gt;"",SUMIFS(COMPRAS!$O$3:$O$4997,COMPRAS!$G$3:$G$4997,S11,COMPRAS!$B$3:$B$4997,"&gt;="&amp;IF($C$4="",DATE(1900,1,1),$C$4),COMPRAS!$B$3:$B$4997,"&lt;="&amp;IF($F$4="",DATE(2999,12,31),$F$4)),0)</f>
        <v>0</v>
      </c>
      <c r="Y11" s="1" t="n">
        <f aca="false">IF($X$2="TODOS",U11,IF(S11&lt;&gt;"",SUMIFS(COMPRAS!$J$3:$J$4997,COMPRAS!$G$3:$G$4997,S11,COMPRAS!$D$3:$D$4997,$X$2,COMPRAS!$B$3:$B$4997,"&gt;="&amp;IF($C$4="",DATE(1900,1,1),$C$4),COMPRAS!$B$3:$B$4997,"&lt;="&amp;IF($F$4="",DATE(2999,12,31),$F$4)),0))</f>
        <v>0</v>
      </c>
      <c r="Z11" s="1" t="n">
        <f aca="false">IF($X$2="TODOS",V11,IF(S11&lt;&gt;"",SUMIFS(COMPRAS!$O$3:$O$4997,COMPRAS!$G$3:$G$4997,S11,COMPRAS!$D$3:$D$4997,$X$2,COMPRAS!$B$3:$B$4997,"&gt;="&amp;IF($C$4="",DATE(1900,1,1),$C$4),COMPRAS!$B$3:$B$4997,"&lt;="&amp;IF($F$4="",DATE(2999,12,31),$F$4)),0))</f>
        <v>0</v>
      </c>
    </row>
    <row r="12" customFormat="false" ht="15" hidden="false" customHeight="true" outlineLevel="0" collapsed="false">
      <c r="A12" s="15" t="n">
        <v>6</v>
      </c>
      <c r="B12" s="16" t="str">
        <f aca="false">IFERROR(INDEX($O$2:$O$206,MATCH(LARGE($P$2:$P$206,6),$P$2:$P$206,0)),"")</f>
        <v>SUBASTAS DE ATLANTICO S.L</v>
      </c>
      <c r="C12" s="17" t="n">
        <f aca="false">IFERROR(LARGE($P$2:$P$206,6),0)</f>
        <v>9861.3</v>
      </c>
      <c r="E12" s="15" t="n">
        <v>6</v>
      </c>
      <c r="F12" s="16" t="str">
        <f aca="false">IFERROR(INDEX($O$2:$O$206,MATCH(LARGE($Q$2:$Q$206,6),$Q$2:$Q$206,0)),"")</f>
        <v>JOSE LUIS CORREA KESSLER S.L.</v>
      </c>
      <c r="G12" s="18" t="n">
        <f aca="false">IFERROR(LARGE($Q$2:$Q$206,6),0)</f>
        <v>31840.2</v>
      </c>
      <c r="N12" s="1" t="n">
        <f aca="false">PROVEEDORES!A13</f>
        <v>50106</v>
      </c>
      <c r="O12" s="1" t="str">
        <f aca="false">PROVEEDORES!B13</f>
        <v>SONIA VENTAS S.L</v>
      </c>
      <c r="P12" s="1" t="n">
        <f aca="false">IF(N12&lt;&gt;"",SUMIFS(COMPRAS!$J$3:$J$4997,COMPRAS!$D$3:$D$4997,N12,COMPRAS!$B$3:$B$4997,"&gt;="&amp;IF($C$4="",DATE(1900,1,1),$C$4),COMPRAS!$B$3:$B$4997,"&lt;="&amp;IF($F$4="",DATE(2999,12,31),$F$4)),0)</f>
        <v>4675.7</v>
      </c>
      <c r="Q12" s="1" t="n">
        <f aca="false">IF(N12&lt;&gt;"",SUMIFS(COMPRAS!$O$3:$O$4997,COMPRAS!$D$3:$D$4997,N12,COMPRAS!$B$3:$B$4997,"&gt;="&amp;IF($C$4="",DATE(1900,1,1),$C$4),COMPRAS!$B$3:$B$4997,"&lt;="&amp;IF($F$4="",DATE(2999,12,31),$F$4)),0)</f>
        <v>29402.4945</v>
      </c>
      <c r="S12" s="1" t="str">
        <f aca="false">PRODUCTOS!A13</f>
        <v>C620</v>
      </c>
      <c r="T12" s="1" t="str">
        <f aca="false">PRODUCTOS!B13</f>
        <v>ACEDIA (CET)</v>
      </c>
      <c r="U12" s="1" t="n">
        <f aca="false">IF(S12&lt;&gt;"",SUMIFS(COMPRAS!$J$3:$J$4997,COMPRAS!$G$3:$G$4997,S12,COMPRAS!$B$3:$B$4997,"&gt;="&amp;IF($C$4="",DATE(1900,1,1),$C$4),COMPRAS!$B$3:$B$4997,"&lt;="&amp;IF($F$4="",DATE(2999,12,31),$F$4)),0)</f>
        <v>0</v>
      </c>
      <c r="V12" s="1" t="n">
        <f aca="false">IF(S12&lt;&gt;"",SUMIFS(COMPRAS!$O$3:$O$4997,COMPRAS!$G$3:$G$4997,S12,COMPRAS!$B$3:$B$4997,"&gt;="&amp;IF($C$4="",DATE(1900,1,1),$C$4),COMPRAS!$B$3:$B$4997,"&lt;="&amp;IF($F$4="",DATE(2999,12,31),$F$4)),0)</f>
        <v>0</v>
      </c>
      <c r="Y12" s="1" t="n">
        <f aca="false">IF($X$2="TODOS",U12,IF(S12&lt;&gt;"",SUMIFS(COMPRAS!$J$3:$J$4997,COMPRAS!$G$3:$G$4997,S12,COMPRAS!$D$3:$D$4997,$X$2,COMPRAS!$B$3:$B$4997,"&gt;="&amp;IF($C$4="",DATE(1900,1,1),$C$4),COMPRAS!$B$3:$B$4997,"&lt;="&amp;IF($F$4="",DATE(2999,12,31),$F$4)),0))</f>
        <v>0</v>
      </c>
      <c r="Z12" s="1" t="n">
        <f aca="false">IF($X$2="TODOS",V12,IF(S12&lt;&gt;"",SUMIFS(COMPRAS!$O$3:$O$4997,COMPRAS!$G$3:$G$4997,S12,COMPRAS!$D$3:$D$4997,$X$2,COMPRAS!$B$3:$B$4997,"&gt;="&amp;IF($C$4="",DATE(1900,1,1),$C$4),COMPRAS!$B$3:$B$4997,"&lt;="&amp;IF($F$4="",DATE(2999,12,31),$F$4)),0))</f>
        <v>0</v>
      </c>
    </row>
    <row r="13" customFormat="false" ht="15" hidden="false" customHeight="true" outlineLevel="0" collapsed="false">
      <c r="A13" s="11" t="n">
        <v>7</v>
      </c>
      <c r="B13" s="12" t="str">
        <f aca="false">IFERROR(INDEX($O$2:$O$206,MATCH(LARGE($P$2:$P$206,7),$P$2:$P$206,0)),"")</f>
        <v>SUBASTAS RIVERA S.L.</v>
      </c>
      <c r="C13" s="13" t="n">
        <f aca="false">IFERROR(LARGE($P$2:$P$206,7),0)</f>
        <v>9601.75</v>
      </c>
      <c r="E13" s="11" t="n">
        <v>7</v>
      </c>
      <c r="F13" s="12" t="str">
        <f aca="false">IFERROR(INDEX($O$2:$O$206,MATCH(LARGE($Q$2:$Q$206,7),$Q$2:$Q$206,0)),"")</f>
        <v>SONIA VENTAS S.L</v>
      </c>
      <c r="G13" s="14" t="n">
        <f aca="false">IFERROR(LARGE($Q$2:$Q$206,7),0)</f>
        <v>29402.4945</v>
      </c>
      <c r="N13" s="1" t="n">
        <f aca="false">PROVEEDORES!A14</f>
        <v>50146</v>
      </c>
      <c r="O13" s="1" t="str">
        <f aca="false">PROVEEDORES!B14</f>
        <v>MAR BERMEO S.L.</v>
      </c>
      <c r="P13" s="1" t="n">
        <f aca="false">IF(N13&lt;&gt;"",SUMIFS(COMPRAS!$J$3:$J$4997,COMPRAS!$D$3:$D$4997,N13,COMPRAS!$B$3:$B$4997,"&gt;="&amp;IF($C$4="",DATE(1900,1,1),$C$4),COMPRAS!$B$3:$B$4997,"&lt;="&amp;IF($F$4="",DATE(2999,12,31),$F$4)),0)</f>
        <v>803.65</v>
      </c>
      <c r="Q13" s="1" t="n">
        <f aca="false">IF(N13&lt;&gt;"",SUMIFS(COMPRAS!$O$3:$O$4997,COMPRAS!$D$3:$D$4997,N13,COMPRAS!$B$3:$B$4997,"&gt;="&amp;IF($C$4="",DATE(1900,1,1),$C$4),COMPRAS!$B$3:$B$4997,"&lt;="&amp;IF($F$4="",DATE(2999,12,31),$F$4)),0)</f>
        <v>1788.1212</v>
      </c>
      <c r="S13" s="1" t="str">
        <f aca="false">PRODUCTOS!A14</f>
        <v>C2555</v>
      </c>
      <c r="T13" s="1" t="str">
        <f aca="false">PRODUCTOS!B14</f>
        <v>ALFONDIGA/RUBIO/ESCACHO (GUU)</v>
      </c>
      <c r="U13" s="1" t="n">
        <f aca="false">IF(S13&lt;&gt;"",SUMIFS(COMPRAS!$J$3:$J$4997,COMPRAS!$G$3:$G$4997,S13,COMPRAS!$B$3:$B$4997,"&gt;="&amp;IF($C$4="",DATE(1900,1,1),$C$4),COMPRAS!$B$3:$B$4997,"&lt;="&amp;IF($F$4="",DATE(2999,12,31),$F$4)),0)</f>
        <v>26.95</v>
      </c>
      <c r="V13" s="1" t="n">
        <f aca="false">IF(S13&lt;&gt;"",SUMIFS(COMPRAS!$O$3:$O$4997,COMPRAS!$G$3:$G$4997,S13,COMPRAS!$B$3:$B$4997,"&gt;="&amp;IF($C$4="",DATE(1900,1,1),$C$4),COMPRAS!$B$3:$B$4997,"&lt;="&amp;IF($F$4="",DATE(2999,12,31),$F$4)),0)</f>
        <v>40.6215</v>
      </c>
      <c r="Y13" s="1" t="n">
        <f aca="false">IF($X$2="TODOS",U13,IF(S13&lt;&gt;"",SUMIFS(COMPRAS!$J$3:$J$4997,COMPRAS!$G$3:$G$4997,S13,COMPRAS!$D$3:$D$4997,$X$2,COMPRAS!$B$3:$B$4997,"&gt;="&amp;IF($C$4="",DATE(1900,1,1),$C$4),COMPRAS!$B$3:$B$4997,"&lt;="&amp;IF($F$4="",DATE(2999,12,31),$F$4)),0))</f>
        <v>26.95</v>
      </c>
      <c r="Z13" s="1" t="n">
        <f aca="false">IF($X$2="TODOS",V13,IF(S13&lt;&gt;"",SUMIFS(COMPRAS!$O$3:$O$4997,COMPRAS!$G$3:$G$4997,S13,COMPRAS!$D$3:$D$4997,$X$2,COMPRAS!$B$3:$B$4997,"&gt;="&amp;IF($C$4="",DATE(1900,1,1),$C$4),COMPRAS!$B$3:$B$4997,"&lt;="&amp;IF($F$4="",DATE(2999,12,31),$F$4)),0))</f>
        <v>40.6215</v>
      </c>
    </row>
    <row r="14" customFormat="false" ht="15" hidden="false" customHeight="true" outlineLevel="0" collapsed="false">
      <c r="A14" s="15" t="n">
        <v>8</v>
      </c>
      <c r="B14" s="16" t="str">
        <f aca="false">IFERROR(INDEX($O$2:$O$206,MATCH(LARGE($P$2:$P$206,8),$P$2:$P$206,0)),"")</f>
        <v>SCANFISK SEAFFOD S,L</v>
      </c>
      <c r="C14" s="17" t="n">
        <f aca="false">IFERROR(LARGE($P$2:$P$206,8),0)</f>
        <v>4941.7</v>
      </c>
      <c r="E14" s="15" t="n">
        <v>8</v>
      </c>
      <c r="F14" s="16" t="str">
        <f aca="false">IFERROR(INDEX($O$2:$O$206,MATCH(LARGE($Q$2:$Q$206,8),$Q$2:$Q$206,0)),"")</f>
        <v>SUBASTAS DE ATLANTICO S.L</v>
      </c>
      <c r="G14" s="18" t="n">
        <f aca="false">IFERROR(LARGE($Q$2:$Q$206,8),0)</f>
        <v>24987.66165</v>
      </c>
      <c r="N14" s="1" t="n">
        <f aca="false">PROVEEDORES!A15</f>
        <v>50152</v>
      </c>
      <c r="O14" s="1" t="str">
        <f aca="false">PROVEEDORES!B15</f>
        <v>DOMAR CORUÑA S.L</v>
      </c>
      <c r="P14" s="1" t="n">
        <f aca="false">IF(N14&lt;&gt;"",SUMIFS(COMPRAS!$J$3:$J$4997,COMPRAS!$D$3:$D$4997,N14,COMPRAS!$B$3:$B$4997,"&gt;="&amp;IF($C$4="",DATE(1900,1,1),$C$4),COMPRAS!$B$3:$B$4997,"&lt;="&amp;IF($F$4="",DATE(2999,12,31),$F$4)),0)</f>
        <v>68</v>
      </c>
      <c r="Q14" s="1" t="n">
        <f aca="false">IF(N14&lt;&gt;"",SUMIFS(COMPRAS!$O$3:$O$4997,COMPRAS!$D$3:$D$4997,N14,COMPRAS!$B$3:$B$4997,"&gt;="&amp;IF($C$4="",DATE(1900,1,1),$C$4),COMPRAS!$B$3:$B$4997,"&lt;="&amp;IF($F$4="",DATE(2999,12,31),$F$4)),0)</f>
        <v>1200</v>
      </c>
      <c r="S14" s="1" t="str">
        <f aca="false">PRODUCTOS!A15</f>
        <v>C3972</v>
      </c>
      <c r="T14" s="1" t="str">
        <f aca="false">PRODUCTOS!B15</f>
        <v>ATUN PATUDO (BET)</v>
      </c>
      <c r="U14" s="1" t="n">
        <f aca="false">IF(S14&lt;&gt;"",SUMIFS(COMPRAS!$J$3:$J$4997,COMPRAS!$G$3:$G$4997,S14,COMPRAS!$B$3:$B$4997,"&gt;="&amp;IF($C$4="",DATE(1900,1,1),$C$4),COMPRAS!$B$3:$B$4997,"&lt;="&amp;IF($F$4="",DATE(2999,12,31),$F$4)),0)</f>
        <v>0</v>
      </c>
      <c r="V14" s="1" t="n">
        <f aca="false">IF(S14&lt;&gt;"",SUMIFS(COMPRAS!$O$3:$O$4997,COMPRAS!$G$3:$G$4997,S14,COMPRAS!$B$3:$B$4997,"&gt;="&amp;IF($C$4="",DATE(1900,1,1),$C$4),COMPRAS!$B$3:$B$4997,"&lt;="&amp;IF($F$4="",DATE(2999,12,31),$F$4)),0)</f>
        <v>0</v>
      </c>
      <c r="Y14" s="1" t="n">
        <f aca="false">IF($X$2="TODOS",U14,IF(S14&lt;&gt;"",SUMIFS(COMPRAS!$J$3:$J$4997,COMPRAS!$G$3:$G$4997,S14,COMPRAS!$D$3:$D$4997,$X$2,COMPRAS!$B$3:$B$4997,"&gt;="&amp;IF($C$4="",DATE(1900,1,1),$C$4),COMPRAS!$B$3:$B$4997,"&lt;="&amp;IF($F$4="",DATE(2999,12,31),$F$4)),0))</f>
        <v>0</v>
      </c>
      <c r="Z14" s="1" t="n">
        <f aca="false">IF($X$2="TODOS",V14,IF(S14&lt;&gt;"",SUMIFS(COMPRAS!$O$3:$O$4997,COMPRAS!$G$3:$G$4997,S14,COMPRAS!$D$3:$D$4997,$X$2,COMPRAS!$B$3:$B$4997,"&gt;="&amp;IF($C$4="",DATE(1900,1,1),$C$4),COMPRAS!$B$3:$B$4997,"&lt;="&amp;IF($F$4="",DATE(2999,12,31),$F$4)),0))</f>
        <v>0</v>
      </c>
    </row>
    <row r="15" customFormat="false" ht="15" hidden="false" customHeight="true" outlineLevel="0" collapsed="false">
      <c r="A15" s="11" t="n">
        <v>9</v>
      </c>
      <c r="B15" s="12" t="str">
        <f aca="false">IFERROR(INDEX($O$2:$O$206,MATCH(LARGE($P$2:$P$206,9),$P$2:$P$206,0)),"")</f>
        <v>SONIA VENTAS S.L</v>
      </c>
      <c r="C15" s="13" t="n">
        <f aca="false">IFERROR(LARGE($P$2:$P$206,9),0)</f>
        <v>4675.7</v>
      </c>
      <c r="E15" s="11" t="n">
        <v>9</v>
      </c>
      <c r="F15" s="12" t="str">
        <f aca="false">IFERROR(INDEX($O$2:$O$206,MATCH(LARGE($Q$2:$Q$206,9),$Q$2:$Q$206,0)),"")</f>
        <v>ACERGA </v>
      </c>
      <c r="G15" s="14" t="n">
        <f aca="false">IFERROR(LARGE($Q$2:$Q$206,9),0)</f>
        <v>20065.7868</v>
      </c>
      <c r="N15" s="1" t="n">
        <f aca="false">PROVEEDORES!A16</f>
        <v>50158</v>
      </c>
      <c r="O15" s="1" t="str">
        <f aca="false">PROVEEDORES!B16</f>
        <v>FORO-MAREE</v>
      </c>
      <c r="P15" s="1" t="n">
        <f aca="false">IF(N15&lt;&gt;"",SUMIFS(COMPRAS!$J$3:$J$4997,COMPRAS!$D$3:$D$4997,N15,COMPRAS!$B$3:$B$4997,"&gt;="&amp;IF($C$4="",DATE(1900,1,1),$C$4),COMPRAS!$B$3:$B$4997,"&lt;="&amp;IF($F$4="",DATE(2999,12,31),$F$4)),0)</f>
        <v>0</v>
      </c>
      <c r="Q15" s="1" t="n">
        <f aca="false">IF(N15&lt;&gt;"",SUMIFS(COMPRAS!$O$3:$O$4997,COMPRAS!$D$3:$D$4997,N15,COMPRAS!$B$3:$B$4997,"&gt;="&amp;IF($C$4="",DATE(1900,1,1),$C$4),COMPRAS!$B$3:$B$4997,"&lt;="&amp;IF($F$4="",DATE(2999,12,31),$F$4)),0)</f>
        <v>0</v>
      </c>
      <c r="S15" s="1" t="str">
        <f aca="false">PRODUCTOS!A16</f>
        <v>C8020</v>
      </c>
      <c r="T15" s="1" t="str">
        <f aca="false">PRODUCTOS!B16</f>
        <v>FILETE DE BACALO (COD)</v>
      </c>
      <c r="U15" s="1" t="n">
        <f aca="false">IF(S15&lt;&gt;"",SUMIFS(COMPRAS!$J$3:$J$4997,COMPRAS!$G$3:$G$4997,S15,COMPRAS!$B$3:$B$4997,"&gt;="&amp;IF($C$4="",DATE(1900,1,1),$C$4),COMPRAS!$B$3:$B$4997,"&lt;="&amp;IF($F$4="",DATE(2999,12,31),$F$4)),0)</f>
        <v>0</v>
      </c>
      <c r="V15" s="1" t="n">
        <f aca="false">IF(S15&lt;&gt;"",SUMIFS(COMPRAS!$O$3:$O$4997,COMPRAS!$G$3:$G$4997,S15,COMPRAS!$B$3:$B$4997,"&gt;="&amp;IF($C$4="",DATE(1900,1,1),$C$4),COMPRAS!$B$3:$B$4997,"&lt;="&amp;IF($F$4="",DATE(2999,12,31),$F$4)),0)</f>
        <v>0</v>
      </c>
      <c r="Y15" s="1" t="n">
        <f aca="false">IF($X$2="TODOS",U15,IF(S15&lt;&gt;"",SUMIFS(COMPRAS!$J$3:$J$4997,COMPRAS!$G$3:$G$4997,S15,COMPRAS!$D$3:$D$4997,$X$2,COMPRAS!$B$3:$B$4997,"&gt;="&amp;IF($C$4="",DATE(1900,1,1),$C$4),COMPRAS!$B$3:$B$4997,"&lt;="&amp;IF($F$4="",DATE(2999,12,31),$F$4)),0))</f>
        <v>0</v>
      </c>
      <c r="Z15" s="1" t="n">
        <f aca="false">IF($X$2="TODOS",V15,IF(S15&lt;&gt;"",SUMIFS(COMPRAS!$O$3:$O$4997,COMPRAS!$G$3:$G$4997,S15,COMPRAS!$D$3:$D$4997,$X$2,COMPRAS!$B$3:$B$4997,"&gt;="&amp;IF($C$4="",DATE(1900,1,1),$C$4),COMPRAS!$B$3:$B$4997,"&lt;="&amp;IF($F$4="",DATE(2999,12,31),$F$4)),0))</f>
        <v>0</v>
      </c>
    </row>
    <row r="16" customFormat="false" ht="15" hidden="false" customHeight="true" outlineLevel="0" collapsed="false">
      <c r="A16" s="15" t="n">
        <v>10</v>
      </c>
      <c r="B16" s="16" t="str">
        <f aca="false">IFERROR(INDEX($O$2:$O$206,MATCH(LARGE($P$2:$P$206,10),$P$2:$P$206,0)),"")</f>
        <v>PERFECTO MONTERO</v>
      </c>
      <c r="C16" s="17" t="n">
        <f aca="false">IFERROR(LARGE($P$2:$P$206,10),0)</f>
        <v>2834.25</v>
      </c>
      <c r="E16" s="15" t="n">
        <v>10</v>
      </c>
      <c r="F16" s="16" t="str">
        <f aca="false">IFERROR(INDEX($O$2:$O$206,MATCH(LARGE($Q$2:$Q$206,10),$Q$2:$Q$206,0)),"")</f>
        <v>PERFECTO MONTERO</v>
      </c>
      <c r="G16" s="18" t="n">
        <f aca="false">IFERROR(LARGE($Q$2:$Q$206,10),0)</f>
        <v>15098.97585</v>
      </c>
      <c r="N16" s="1" t="n">
        <f aca="false">PROVEEDORES!A17</f>
        <v>50160</v>
      </c>
      <c r="O16" s="1" t="str">
        <f aca="false">PROVEEDORES!B17</f>
        <v>SUBASTAS CORUÑA S.L.</v>
      </c>
      <c r="P16" s="1" t="n">
        <f aca="false">IF(N16&lt;&gt;"",SUMIFS(COMPRAS!$J$3:$J$4997,COMPRAS!$D$3:$D$4997,N16,COMPRAS!$B$3:$B$4997,"&gt;="&amp;IF($C$4="",DATE(1900,1,1),$C$4),COMPRAS!$B$3:$B$4997,"&lt;="&amp;IF($F$4="",DATE(2999,12,31),$F$4)),0)</f>
        <v>18832.8</v>
      </c>
      <c r="Q16" s="1" t="n">
        <f aca="false">IF(N16&lt;&gt;"",SUMIFS(COMPRAS!$O$3:$O$4997,COMPRAS!$D$3:$D$4997,N16,COMPRAS!$B$3:$B$4997,"&gt;="&amp;IF($C$4="",DATE(1900,1,1),$C$4),COMPRAS!$B$3:$B$4997,"&lt;="&amp;IF($F$4="",DATE(2999,12,31),$F$4)),0)</f>
        <v>35085.68205</v>
      </c>
      <c r="S16" s="1" t="str">
        <f aca="false">PRODUCTOS!A17</f>
        <v>C802 </v>
      </c>
      <c r="T16" s="1" t="str">
        <f aca="false">PRODUCTOS!B17</f>
        <v>BACALAO FRESCO (COD)</v>
      </c>
      <c r="U16" s="1" t="n">
        <f aca="false">IF(S16&lt;&gt;"",SUMIFS(COMPRAS!$J$3:$J$4997,COMPRAS!$G$3:$G$4997,S16,COMPRAS!$B$3:$B$4997,"&gt;="&amp;IF($C$4="",DATE(1900,1,1),$C$4),COMPRAS!$B$3:$B$4997,"&lt;="&amp;IF($F$4="",DATE(2999,12,31),$F$4)),0)</f>
        <v>0</v>
      </c>
      <c r="V16" s="1" t="n">
        <f aca="false">IF(S16&lt;&gt;"",SUMIFS(COMPRAS!$O$3:$O$4997,COMPRAS!$G$3:$G$4997,S16,COMPRAS!$B$3:$B$4997,"&gt;="&amp;IF($C$4="",DATE(1900,1,1),$C$4),COMPRAS!$B$3:$B$4997,"&lt;="&amp;IF($F$4="",DATE(2999,12,31),$F$4)),0)</f>
        <v>0</v>
      </c>
      <c r="Y16" s="1" t="n">
        <f aca="false">IF($X$2="TODOS",U16,IF(S16&lt;&gt;"",SUMIFS(COMPRAS!$J$3:$J$4997,COMPRAS!$G$3:$G$4997,S16,COMPRAS!$D$3:$D$4997,$X$2,COMPRAS!$B$3:$B$4997,"&gt;="&amp;IF($C$4="",DATE(1900,1,1),$C$4),COMPRAS!$B$3:$B$4997,"&lt;="&amp;IF($F$4="",DATE(2999,12,31),$F$4)),0))</f>
        <v>0</v>
      </c>
      <c r="Z16" s="1" t="n">
        <f aca="false">IF($X$2="TODOS",V16,IF(S16&lt;&gt;"",SUMIFS(COMPRAS!$O$3:$O$4997,COMPRAS!$G$3:$G$4997,S16,COMPRAS!$D$3:$D$4997,$X$2,COMPRAS!$B$3:$B$4997,"&gt;="&amp;IF($C$4="",DATE(1900,1,1),$C$4),COMPRAS!$B$3:$B$4997,"&lt;="&amp;IF($F$4="",DATE(2999,12,31),$F$4)),0))</f>
        <v>0</v>
      </c>
    </row>
    <row r="17" customFormat="false" ht="15" hidden="false" customHeight="true" outlineLevel="0" collapsed="false">
      <c r="A17" s="11" t="n">
        <v>11</v>
      </c>
      <c r="B17" s="12" t="str">
        <f aca="false">IFERROR(INDEX($O$2:$O$206,MATCH(LARGE($P$2:$P$206,11),$P$2:$P$206,0)),"")</f>
        <v>PACO MOINELO</v>
      </c>
      <c r="C17" s="13" t="n">
        <f aca="false">IFERROR(LARGE($P$2:$P$206,11),0)</f>
        <v>1761.55</v>
      </c>
      <c r="E17" s="11" t="n">
        <v>11</v>
      </c>
      <c r="F17" s="12" t="str">
        <f aca="false">IFERROR(INDEX($O$2:$O$206,MATCH(LARGE($Q$2:$Q$206,11),$Q$2:$Q$206,0)),"")</f>
        <v>AZORFISK UNIPERSONAL LDA</v>
      </c>
      <c r="G17" s="14" t="n">
        <f aca="false">IFERROR(LARGE($Q$2:$Q$206,11),0)</f>
        <v>14685.925</v>
      </c>
      <c r="N17" s="1" t="n">
        <f aca="false">PROVEEDORES!A18</f>
        <v>50163</v>
      </c>
      <c r="O17" s="1" t="str">
        <f aca="false">PROVEEDORES!B18</f>
        <v>SUBASTAS RIVERA S.L.</v>
      </c>
      <c r="P17" s="1" t="n">
        <f aca="false">IF(N17&lt;&gt;"",SUMIFS(COMPRAS!$J$3:$J$4997,COMPRAS!$D$3:$D$4997,N17,COMPRAS!$B$3:$B$4997,"&gt;="&amp;IF($C$4="",DATE(1900,1,1),$C$4),COMPRAS!$B$3:$B$4997,"&lt;="&amp;IF($F$4="",DATE(2999,12,31),$F$4)),0)</f>
        <v>9601.75</v>
      </c>
      <c r="Q17" s="1" t="n">
        <f aca="false">IF(N17&lt;&gt;"",SUMIFS(COMPRAS!$O$3:$O$4997,COMPRAS!$D$3:$D$4997,N17,COMPRAS!$B$3:$B$4997,"&gt;="&amp;IF($C$4="",DATE(1900,1,1),$C$4),COMPRAS!$B$3:$B$4997,"&lt;="&amp;IF($F$4="",DATE(2999,12,31),$F$4)),0)</f>
        <v>43626.3996</v>
      </c>
      <c r="S17" s="1" t="str">
        <f aca="false">PRODUCTOS!A18</f>
        <v>C8021</v>
      </c>
      <c r="T17" s="1" t="str">
        <f aca="false">PRODUCTOS!B18</f>
        <v>COCOCHAS DE BACALAO (COD)</v>
      </c>
      <c r="U17" s="1" t="n">
        <f aca="false">IF(S17&lt;&gt;"",SUMIFS(COMPRAS!$J$3:$J$4997,COMPRAS!$G$3:$G$4997,S17,COMPRAS!$B$3:$B$4997,"&gt;="&amp;IF($C$4="",DATE(1900,1,1),$C$4),COMPRAS!$B$3:$B$4997,"&lt;="&amp;IF($F$4="",DATE(2999,12,31),$F$4)),0)</f>
        <v>0</v>
      </c>
      <c r="V17" s="1" t="n">
        <f aca="false">IF(S17&lt;&gt;"",SUMIFS(COMPRAS!$O$3:$O$4997,COMPRAS!$G$3:$G$4997,S17,COMPRAS!$B$3:$B$4997,"&gt;="&amp;IF($C$4="",DATE(1900,1,1),$C$4),COMPRAS!$B$3:$B$4997,"&lt;="&amp;IF($F$4="",DATE(2999,12,31),$F$4)),0)</f>
        <v>0</v>
      </c>
      <c r="Y17" s="1" t="n">
        <f aca="false">IF($X$2="TODOS",U17,IF(S17&lt;&gt;"",SUMIFS(COMPRAS!$J$3:$J$4997,COMPRAS!$G$3:$G$4997,S17,COMPRAS!$D$3:$D$4997,$X$2,COMPRAS!$B$3:$B$4997,"&gt;="&amp;IF($C$4="",DATE(1900,1,1),$C$4),COMPRAS!$B$3:$B$4997,"&lt;="&amp;IF($F$4="",DATE(2999,12,31),$F$4)),0))</f>
        <v>0</v>
      </c>
      <c r="Z17" s="1" t="n">
        <f aca="false">IF($X$2="TODOS",V17,IF(S17&lt;&gt;"",SUMIFS(COMPRAS!$O$3:$O$4997,COMPRAS!$G$3:$G$4997,S17,COMPRAS!$D$3:$D$4997,$X$2,COMPRAS!$B$3:$B$4997,"&gt;="&amp;IF($C$4="",DATE(1900,1,1),$C$4),COMPRAS!$B$3:$B$4997,"&lt;="&amp;IF($F$4="",DATE(2999,12,31),$F$4)),0))</f>
        <v>0</v>
      </c>
    </row>
    <row r="18" customFormat="false" ht="15" hidden="false" customHeight="true" outlineLevel="0" collapsed="false">
      <c r="A18" s="15" t="n">
        <v>12</v>
      </c>
      <c r="B18" s="16" t="str">
        <f aca="false">IFERROR(INDEX($O$2:$O$206,MATCH(LARGE($P$2:$P$206,12),$P$2:$P$206,0)),"")</f>
        <v>LURDES MARIÑO, S.L.</v>
      </c>
      <c r="C18" s="17" t="n">
        <f aca="false">IFERROR(LARGE($P$2:$P$206,12),0)</f>
        <v>1215</v>
      </c>
      <c r="E18" s="15" t="n">
        <v>12</v>
      </c>
      <c r="F18" s="16" t="str">
        <f aca="false">IFERROR(INDEX($O$2:$O$206,MATCH(LARGE($Q$2:$Q$206,12),$Q$2:$Q$206,0)),"")</f>
        <v>FURIC MAREE</v>
      </c>
      <c r="G18" s="18" t="n">
        <f aca="false">IFERROR(LARGE($Q$2:$Q$206,12),0)</f>
        <v>14000.16</v>
      </c>
      <c r="N18" s="1" t="n">
        <f aca="false">PROVEEDORES!A19</f>
        <v>50164</v>
      </c>
      <c r="O18" s="1" t="str">
        <f aca="false">PROVEEDORES!B19</f>
        <v>ABRGO NORTE S.L.</v>
      </c>
      <c r="P18" s="1" t="n">
        <f aca="false">IF(N18&lt;&gt;"",SUMIFS(COMPRAS!$J$3:$J$4997,COMPRAS!$D$3:$D$4997,N18,COMPRAS!$B$3:$B$4997,"&gt;="&amp;IF($C$4="",DATE(1900,1,1),$C$4),COMPRAS!$B$3:$B$4997,"&lt;="&amp;IF($F$4="",DATE(2999,12,31),$F$4)),0)</f>
        <v>240</v>
      </c>
      <c r="Q18" s="1" t="n">
        <f aca="false">IF(N18&lt;&gt;"",SUMIFS(COMPRAS!$O$3:$O$4997,COMPRAS!$D$3:$D$4997,N18,COMPRAS!$B$3:$B$4997,"&gt;="&amp;IF($C$4="",DATE(1900,1,1),$C$4),COMPRAS!$B$3:$B$4997,"&lt;="&amp;IF($F$4="",DATE(2999,12,31),$F$4)),0)</f>
        <v>2027.5</v>
      </c>
      <c r="S18" s="1" t="str">
        <f aca="false">PRODUCTOS!A19</f>
        <v>C1546</v>
      </c>
      <c r="T18" s="1" t="str">
        <f aca="false">PRODUCTOS!B19</f>
        <v>BERTORELLA ROCA (FOR)</v>
      </c>
      <c r="U18" s="1" t="n">
        <f aca="false">IF(S18&lt;&gt;"",SUMIFS(COMPRAS!$J$3:$J$4997,COMPRAS!$G$3:$G$4997,S18,COMPRAS!$B$3:$B$4997,"&gt;="&amp;IF($C$4="",DATE(1900,1,1),$C$4),COMPRAS!$B$3:$B$4997,"&lt;="&amp;IF($F$4="",DATE(2999,12,31),$F$4)),0)</f>
        <v>444.75</v>
      </c>
      <c r="V18" s="1" t="n">
        <f aca="false">IF(S18&lt;&gt;"",SUMIFS(COMPRAS!$O$3:$O$4997,COMPRAS!$G$3:$G$4997,S18,COMPRAS!$B$3:$B$4997,"&gt;="&amp;IF($C$4="",DATE(1900,1,1),$C$4),COMPRAS!$B$3:$B$4997,"&lt;="&amp;IF($F$4="",DATE(2999,12,31),$F$4)),0)</f>
        <v>1315.29</v>
      </c>
      <c r="Y18" s="1" t="n">
        <f aca="false">IF($X$2="TODOS",U18,IF(S18&lt;&gt;"",SUMIFS(COMPRAS!$J$3:$J$4997,COMPRAS!$G$3:$G$4997,S18,COMPRAS!$D$3:$D$4997,$X$2,COMPRAS!$B$3:$B$4997,"&gt;="&amp;IF($C$4="",DATE(1900,1,1),$C$4),COMPRAS!$B$3:$B$4997,"&lt;="&amp;IF($F$4="",DATE(2999,12,31),$F$4)),0))</f>
        <v>444.75</v>
      </c>
      <c r="Z18" s="1" t="n">
        <f aca="false">IF($X$2="TODOS",V18,IF(S18&lt;&gt;"",SUMIFS(COMPRAS!$O$3:$O$4997,COMPRAS!$G$3:$G$4997,S18,COMPRAS!$D$3:$D$4997,$X$2,COMPRAS!$B$3:$B$4997,"&gt;="&amp;IF($C$4="",DATE(1900,1,1),$C$4),COMPRAS!$B$3:$B$4997,"&lt;="&amp;IF($F$4="",DATE(2999,12,31),$F$4)),0))</f>
        <v>1315.29</v>
      </c>
    </row>
    <row r="19" customFormat="false" ht="15" hidden="false" customHeight="true" outlineLevel="0" collapsed="false">
      <c r="A19" s="11" t="n">
        <v>13</v>
      </c>
      <c r="B19" s="12" t="str">
        <f aca="false">IFERROR(INDEX($O$2:$O$206,MATCH(LARGE($P$2:$P$206,13),$P$2:$P$206,0)),"")</f>
        <v>PESCADOS ILLANES S.L.</v>
      </c>
      <c r="C19" s="13" t="n">
        <f aca="false">IFERROR(LARGE($P$2:$P$206,13),0)</f>
        <v>1083.6</v>
      </c>
      <c r="E19" s="11" t="n">
        <v>13</v>
      </c>
      <c r="F19" s="12" t="str">
        <f aca="false">IFERROR(INDEX($O$2:$O$206,MATCH(LARGE($Q$2:$Q$206,13),$Q$2:$Q$206,0)),"")</f>
        <v>PACO MOINELO</v>
      </c>
      <c r="G19" s="14" t="n">
        <f aca="false">IFERROR(LARGE($Q$2:$Q$206,13),0)</f>
        <v>10973.98875</v>
      </c>
      <c r="N19" s="1" t="n">
        <f aca="false">PROVEEDORES!A20</f>
        <v>50190</v>
      </c>
      <c r="O19" s="1" t="str">
        <f aca="false">PROVEEDORES!B20</f>
        <v>PEIXES E MARISCOS ANEIROS S.L.</v>
      </c>
      <c r="P19" s="1" t="n">
        <f aca="false">IF(N19&lt;&gt;"",SUMIFS(COMPRAS!$J$3:$J$4997,COMPRAS!$D$3:$D$4997,N19,COMPRAS!$B$3:$B$4997,"&gt;="&amp;IF($C$4="",DATE(1900,1,1),$C$4),COMPRAS!$B$3:$B$4997,"&lt;="&amp;IF($F$4="",DATE(2999,12,31),$F$4)),0)</f>
        <v>0</v>
      </c>
      <c r="Q19" s="1" t="n">
        <f aca="false">IF(N19&lt;&gt;"",SUMIFS(COMPRAS!$O$3:$O$4997,COMPRAS!$D$3:$D$4997,N19,COMPRAS!$B$3:$B$4997,"&gt;="&amp;IF($C$4="",DATE(1900,1,1),$C$4),COMPRAS!$B$3:$B$4997,"&lt;="&amp;IF($F$4="",DATE(2999,12,31),$F$4)),0)</f>
        <v>0</v>
      </c>
      <c r="S19" s="1" t="str">
        <f aca="false">PRODUCTOS!A20</f>
        <v>C1545</v>
      </c>
      <c r="T19" s="1" t="str">
        <f aca="false">PRODUCTOS!B20</f>
        <v>BERTORELLA (GFB)</v>
      </c>
      <c r="U19" s="1" t="n">
        <f aca="false">IF(S19&lt;&gt;"",SUMIFS(COMPRAS!$J$3:$J$4997,COMPRAS!$G$3:$G$4997,S19,COMPRAS!$B$3:$B$4997,"&gt;="&amp;IF($C$4="",DATE(1900,1,1),$C$4),COMPRAS!$B$3:$B$4997,"&lt;="&amp;IF($F$4="",DATE(2999,12,31),$F$4)),0)</f>
        <v>1068.5</v>
      </c>
      <c r="V19" s="1" t="n">
        <f aca="false">IF(S19&lt;&gt;"",SUMIFS(COMPRAS!$O$3:$O$4997,COMPRAS!$G$3:$G$4997,S19,COMPRAS!$B$3:$B$4997,"&gt;="&amp;IF($C$4="",DATE(1900,1,1),$C$4),COMPRAS!$B$3:$B$4997,"&lt;="&amp;IF($F$4="",DATE(2999,12,31),$F$4)),0)</f>
        <v>3366.663</v>
      </c>
      <c r="Y19" s="1" t="n">
        <f aca="false">IF($X$2="TODOS",U19,IF(S19&lt;&gt;"",SUMIFS(COMPRAS!$J$3:$J$4997,COMPRAS!$G$3:$G$4997,S19,COMPRAS!$D$3:$D$4997,$X$2,COMPRAS!$B$3:$B$4997,"&gt;="&amp;IF($C$4="",DATE(1900,1,1),$C$4),COMPRAS!$B$3:$B$4997,"&lt;="&amp;IF($F$4="",DATE(2999,12,31),$F$4)),0))</f>
        <v>1068.5</v>
      </c>
      <c r="Z19" s="1" t="n">
        <f aca="false">IF($X$2="TODOS",V19,IF(S19&lt;&gt;"",SUMIFS(COMPRAS!$O$3:$O$4997,COMPRAS!$G$3:$G$4997,S19,COMPRAS!$D$3:$D$4997,$X$2,COMPRAS!$B$3:$B$4997,"&gt;="&amp;IF($C$4="",DATE(1900,1,1),$C$4),COMPRAS!$B$3:$B$4997,"&lt;="&amp;IF($F$4="",DATE(2999,12,31),$F$4)),0))</f>
        <v>3366.663</v>
      </c>
    </row>
    <row r="20" customFormat="false" ht="15" hidden="false" customHeight="true" outlineLevel="0" collapsed="false">
      <c r="A20" s="15" t="n">
        <v>14</v>
      </c>
      <c r="B20" s="16" t="str">
        <f aca="false">IFERROR(INDEX($O$2:$O$206,MATCH(LARGE($P$2:$P$206,14),$P$2:$P$206,0)),"")</f>
        <v>ANGELPESCA S.L.</v>
      </c>
      <c r="C20" s="17" t="n">
        <f aca="false">IFERROR(LARGE($P$2:$P$206,14),0)</f>
        <v>1030</v>
      </c>
      <c r="E20" s="15" t="n">
        <v>14</v>
      </c>
      <c r="F20" s="16" t="str">
        <f aca="false">IFERROR(INDEX($O$2:$O$206,MATCH(LARGE($Q$2:$Q$206,14),$Q$2:$Q$206,0)),"")</f>
        <v>PESCADO Y MARISCOS ADELAIDA S.L.</v>
      </c>
      <c r="G20" s="18" t="n">
        <f aca="false">IFERROR(LARGE($Q$2:$Q$206,14),0)</f>
        <v>5474.4725</v>
      </c>
      <c r="N20" s="1" t="n">
        <f aca="false">PROVEEDORES!A21</f>
        <v>50196</v>
      </c>
      <c r="O20" s="1" t="str">
        <f aca="false">PROVEEDORES!B21</f>
        <v>PORTABALES S.L.</v>
      </c>
      <c r="P20" s="1" t="n">
        <f aca="false">IF(N20&lt;&gt;"",SUMIFS(COMPRAS!$J$3:$J$4997,COMPRAS!$D$3:$D$4997,N20,COMPRAS!$B$3:$B$4997,"&gt;="&amp;IF($C$4="",DATE(1900,1,1),$C$4),COMPRAS!$B$3:$B$4997,"&lt;="&amp;IF($F$4="",DATE(2999,12,31),$F$4)),0)</f>
        <v>10</v>
      </c>
      <c r="Q20" s="1" t="n">
        <f aca="false">IF(N20&lt;&gt;"",SUMIFS(COMPRAS!$O$3:$O$4997,COMPRAS!$D$3:$D$4997,N20,COMPRAS!$B$3:$B$4997,"&gt;="&amp;IF($C$4="",DATE(1900,1,1),$C$4),COMPRAS!$B$3:$B$4997,"&lt;="&amp;IF($F$4="",DATE(2999,12,31),$F$4)),0)</f>
        <v>30</v>
      </c>
      <c r="S20" s="1" t="str">
        <f aca="false">PRODUCTOS!A21</f>
        <v>C365</v>
      </c>
      <c r="T20" s="1" t="str">
        <f aca="false">PRODUCTOS!B21</f>
        <v>BESUGO (BSR)</v>
      </c>
      <c r="U20" s="1" t="n">
        <f aca="false">IF(S20&lt;&gt;"",SUMIFS(COMPRAS!$J$3:$J$4997,COMPRAS!$G$3:$G$4997,S20,COMPRAS!$B$3:$B$4997,"&gt;="&amp;IF($C$4="",DATE(1900,1,1),$C$4),COMPRAS!$B$3:$B$4997,"&lt;="&amp;IF($F$4="",DATE(2999,12,31),$F$4)),0)</f>
        <v>358.1</v>
      </c>
      <c r="V20" s="1" t="n">
        <f aca="false">IF(S20&lt;&gt;"",SUMIFS(COMPRAS!$O$3:$O$4997,COMPRAS!$G$3:$G$4997,S20,COMPRAS!$B$3:$B$4997,"&gt;="&amp;IF($C$4="",DATE(1900,1,1),$C$4),COMPRAS!$B$3:$B$4997,"&lt;="&amp;IF($F$4="",DATE(2999,12,31),$F$4)),0)</f>
        <v>11163.7981</v>
      </c>
      <c r="Y20" s="1" t="n">
        <f aca="false">IF($X$2="TODOS",U20,IF(S20&lt;&gt;"",SUMIFS(COMPRAS!$J$3:$J$4997,COMPRAS!$G$3:$G$4997,S20,COMPRAS!$D$3:$D$4997,$X$2,COMPRAS!$B$3:$B$4997,"&gt;="&amp;IF($C$4="",DATE(1900,1,1),$C$4),COMPRAS!$B$3:$B$4997,"&lt;="&amp;IF($F$4="",DATE(2999,12,31),$F$4)),0))</f>
        <v>358.1</v>
      </c>
      <c r="Z20" s="1" t="n">
        <f aca="false">IF($X$2="TODOS",V20,IF(S20&lt;&gt;"",SUMIFS(COMPRAS!$O$3:$O$4997,COMPRAS!$G$3:$G$4997,S20,COMPRAS!$D$3:$D$4997,$X$2,COMPRAS!$B$3:$B$4997,"&gt;="&amp;IF($C$4="",DATE(1900,1,1),$C$4),COMPRAS!$B$3:$B$4997,"&lt;="&amp;IF($F$4="",DATE(2999,12,31),$F$4)),0))</f>
        <v>11163.7981</v>
      </c>
    </row>
    <row r="21" customFormat="false" ht="15" hidden="false" customHeight="true" outlineLevel="0" collapsed="false">
      <c r="A21" s="11" t="n">
        <v>15</v>
      </c>
      <c r="B21" s="12" t="str">
        <f aca="false">IFERROR(INDEX($O$2:$O$206,MATCH(LARGE($P$2:$P$206,15),$P$2:$P$206,0)),"")</f>
        <v>PESCADO Y MARISCOS ADELAIDA S.L.</v>
      </c>
      <c r="C21" s="13" t="n">
        <f aca="false">IFERROR(LARGE($P$2:$P$206,15),0)</f>
        <v>937.74</v>
      </c>
      <c r="E21" s="11" t="n">
        <v>15</v>
      </c>
      <c r="F21" s="12" t="str">
        <f aca="false">IFERROR(INDEX($O$2:$O$206,MATCH(LARGE($Q$2:$Q$206,15),$Q$2:$Q$206,0)),"")</f>
        <v>PESCADOS ILLANES S.L.</v>
      </c>
      <c r="G21" s="14" t="n">
        <f aca="false">IFERROR(LARGE($Q$2:$Q$206,15),0)</f>
        <v>4802.8434</v>
      </c>
      <c r="N21" s="1" t="n">
        <f aca="false">PROVEEDORES!A22</f>
        <v>50201</v>
      </c>
      <c r="O21" s="1" t="str">
        <f aca="false">PROVEEDORES!B22</f>
        <v>PESCADOS MANUELA GARCIA S.L</v>
      </c>
      <c r="P21" s="1" t="n">
        <f aca="false">IF(N21&lt;&gt;"",SUMIFS(COMPRAS!$J$3:$J$4997,COMPRAS!$D$3:$D$4997,N21,COMPRAS!$B$3:$B$4997,"&gt;="&amp;IF($C$4="",DATE(1900,1,1),$C$4),COMPRAS!$B$3:$B$4997,"&lt;="&amp;IF($F$4="",DATE(2999,12,31),$F$4)),0)</f>
        <v>0</v>
      </c>
      <c r="Q21" s="1" t="n">
        <f aca="false">IF(N21&lt;&gt;"",SUMIFS(COMPRAS!$O$3:$O$4997,COMPRAS!$D$3:$D$4997,N21,COMPRAS!$B$3:$B$4997,"&gt;="&amp;IF($C$4="",DATE(1900,1,1),$C$4),COMPRAS!$B$3:$B$4997,"&lt;="&amp;IF($F$4="",DATE(2999,12,31),$F$4)),0)</f>
        <v>0</v>
      </c>
      <c r="S21" s="1" t="str">
        <f aca="false">PRODUCTOS!A22</f>
        <v>C562</v>
      </c>
      <c r="T21" s="1" t="str">
        <f aca="false">PRODUCTOS!B22</f>
        <v>BICUDO/ALIGOTE (SBA)</v>
      </c>
      <c r="U21" s="1" t="n">
        <f aca="false">IF(S21&lt;&gt;"",SUMIFS(COMPRAS!$J$3:$J$4997,COMPRAS!$G$3:$G$4997,S21,COMPRAS!$B$3:$B$4997,"&gt;="&amp;IF($C$4="",DATE(1900,1,1),$C$4),COMPRAS!$B$3:$B$4997,"&lt;="&amp;IF($F$4="",DATE(2999,12,31),$F$4)),0)</f>
        <v>64.85</v>
      </c>
      <c r="V21" s="1" t="n">
        <f aca="false">IF(S21&lt;&gt;"",SUMIFS(COMPRAS!$O$3:$O$4997,COMPRAS!$G$3:$G$4997,S21,COMPRAS!$B$3:$B$4997,"&gt;="&amp;IF($C$4="",DATE(1900,1,1),$C$4),COMPRAS!$B$3:$B$4997,"&lt;="&amp;IF($F$4="",DATE(2999,12,31),$F$4)),0)</f>
        <v>398.1621</v>
      </c>
      <c r="Y21" s="1" t="n">
        <f aca="false">IF($X$2="TODOS",U21,IF(S21&lt;&gt;"",SUMIFS(COMPRAS!$J$3:$J$4997,COMPRAS!$G$3:$G$4997,S21,COMPRAS!$D$3:$D$4997,$X$2,COMPRAS!$B$3:$B$4997,"&gt;="&amp;IF($C$4="",DATE(1900,1,1),$C$4),COMPRAS!$B$3:$B$4997,"&lt;="&amp;IF($F$4="",DATE(2999,12,31),$F$4)),0))</f>
        <v>64.85</v>
      </c>
      <c r="Z21" s="1" t="n">
        <f aca="false">IF($X$2="TODOS",V21,IF(S21&lt;&gt;"",SUMIFS(COMPRAS!$O$3:$O$4997,COMPRAS!$G$3:$G$4997,S21,COMPRAS!$D$3:$D$4997,$X$2,COMPRAS!$B$3:$B$4997,"&gt;="&amp;IF($C$4="",DATE(1900,1,1),$C$4),COMPRAS!$B$3:$B$4997,"&lt;="&amp;IF($F$4="",DATE(2999,12,31),$F$4)),0))</f>
        <v>398.1621</v>
      </c>
    </row>
    <row r="22" customFormat="false" ht="15" hidden="false" customHeight="true" outlineLevel="0" collapsed="false">
      <c r="N22" s="1" t="n">
        <f aca="false">PROVEEDORES!A23</f>
        <v>50207</v>
      </c>
      <c r="O22" s="1" t="str">
        <f aca="false">PROVEEDORES!B23</f>
        <v>MARLEDICIA S.L</v>
      </c>
      <c r="P22" s="1" t="n">
        <f aca="false">IF(N22&lt;&gt;"",SUMIFS(COMPRAS!$J$3:$J$4997,COMPRAS!$D$3:$D$4997,N22,COMPRAS!$B$3:$B$4997,"&gt;="&amp;IF($C$4="",DATE(1900,1,1),$C$4),COMPRAS!$B$3:$B$4997,"&lt;="&amp;IF($F$4="",DATE(2999,12,31),$F$4)),0)</f>
        <v>11.5</v>
      </c>
      <c r="Q22" s="1" t="n">
        <f aca="false">IF(N22&lt;&gt;"",SUMIFS(COMPRAS!$O$3:$O$4997,COMPRAS!$D$3:$D$4997,N22,COMPRAS!$B$3:$B$4997,"&gt;="&amp;IF($C$4="",DATE(1900,1,1),$C$4),COMPRAS!$B$3:$B$4997,"&lt;="&amp;IF($F$4="",DATE(2999,12,31),$F$4)),0)</f>
        <v>39.882</v>
      </c>
      <c r="S22" s="1" t="str">
        <f aca="false">PRODUCTOS!A23</f>
        <v>C601</v>
      </c>
      <c r="T22" s="1" t="str">
        <f aca="false">PRODUCTOS!B23</f>
        <v>BOGAVANTE CANADIENSE CHIX (LBA)</v>
      </c>
      <c r="U22" s="1" t="n">
        <f aca="false">IF(S22&lt;&gt;"",SUMIFS(COMPRAS!$J$3:$J$4997,COMPRAS!$G$3:$G$4997,S22,COMPRAS!$B$3:$B$4997,"&gt;="&amp;IF($C$4="",DATE(1900,1,1),$C$4),COMPRAS!$B$3:$B$4997,"&lt;="&amp;IF($F$4="",DATE(2999,12,31),$F$4)),0)</f>
        <v>0</v>
      </c>
      <c r="V22" s="1" t="n">
        <f aca="false">IF(S22&lt;&gt;"",SUMIFS(COMPRAS!$O$3:$O$4997,COMPRAS!$G$3:$G$4997,S22,COMPRAS!$B$3:$B$4997,"&gt;="&amp;IF($C$4="",DATE(1900,1,1),$C$4),COMPRAS!$B$3:$B$4997,"&lt;="&amp;IF($F$4="",DATE(2999,12,31),$F$4)),0)</f>
        <v>0</v>
      </c>
      <c r="Y22" s="1" t="n">
        <f aca="false">IF($X$2="TODOS",U22,IF(S22&lt;&gt;"",SUMIFS(COMPRAS!$J$3:$J$4997,COMPRAS!$G$3:$G$4997,S22,COMPRAS!$D$3:$D$4997,$X$2,COMPRAS!$B$3:$B$4997,"&gt;="&amp;IF($C$4="",DATE(1900,1,1),$C$4),COMPRAS!$B$3:$B$4997,"&lt;="&amp;IF($F$4="",DATE(2999,12,31),$F$4)),0))</f>
        <v>0</v>
      </c>
      <c r="Z22" s="1" t="n">
        <f aca="false">IF($X$2="TODOS",V22,IF(S22&lt;&gt;"",SUMIFS(COMPRAS!$O$3:$O$4997,COMPRAS!$G$3:$G$4997,S22,COMPRAS!$D$3:$D$4997,$X$2,COMPRAS!$B$3:$B$4997,"&gt;="&amp;IF($C$4="",DATE(1900,1,1),$C$4),COMPRAS!$B$3:$B$4997,"&lt;="&amp;IF($F$4="",DATE(2999,12,31),$F$4)),0))</f>
        <v>0</v>
      </c>
    </row>
    <row r="23" customFormat="false" ht="15" hidden="false" customHeight="true" outlineLevel="0" collapsed="false">
      <c r="N23" s="1" t="n">
        <f aca="false">PROVEEDORES!A24</f>
        <v>50213</v>
      </c>
      <c r="O23" s="1" t="str">
        <f aca="false">PROVEEDORES!B24</f>
        <v>PESCADOS OCEANO ATLANTICO S.L.</v>
      </c>
      <c r="P23" s="1" t="n">
        <f aca="false">IF(N23&lt;&gt;"",SUMIFS(COMPRAS!$J$3:$J$4997,COMPRAS!$D$3:$D$4997,N23,COMPRAS!$B$3:$B$4997,"&gt;="&amp;IF($C$4="",DATE(1900,1,1),$C$4),COMPRAS!$B$3:$B$4997,"&lt;="&amp;IF($F$4="",DATE(2999,12,31),$F$4)),0)</f>
        <v>36</v>
      </c>
      <c r="Q23" s="1" t="n">
        <f aca="false">IF(N23&lt;&gt;"",SUMIFS(COMPRAS!$O$3:$O$4997,COMPRAS!$D$3:$D$4997,N23,COMPRAS!$B$3:$B$4997,"&gt;="&amp;IF($C$4="",DATE(1900,1,1),$C$4),COMPRAS!$B$3:$B$4997,"&lt;="&amp;IF($F$4="",DATE(2999,12,31),$F$4)),0)</f>
        <v>108</v>
      </c>
      <c r="S23" s="1" t="str">
        <f aca="false">PRODUCTOS!A24</f>
        <v>C3979</v>
      </c>
      <c r="T23" s="1" t="str">
        <f aca="false">PRODUCTOS!B24</f>
        <v>BONITO DEL NORTE 5/7</v>
      </c>
      <c r="U23" s="1" t="n">
        <f aca="false">IF(S23&lt;&gt;"",SUMIFS(COMPRAS!$J$3:$J$4997,COMPRAS!$G$3:$G$4997,S23,COMPRAS!$B$3:$B$4997,"&gt;="&amp;IF($C$4="",DATE(1900,1,1),$C$4),COMPRAS!$B$3:$B$4997,"&lt;="&amp;IF($F$4="",DATE(2999,12,31),$F$4)),0)</f>
        <v>898.25</v>
      </c>
      <c r="V23" s="1" t="n">
        <f aca="false">IF(S23&lt;&gt;"",SUMIFS(COMPRAS!$O$3:$O$4997,COMPRAS!$G$3:$G$4997,S23,COMPRAS!$B$3:$B$4997,"&gt;="&amp;IF($C$4="",DATE(1900,1,1),$C$4),COMPRAS!$B$3:$B$4997,"&lt;="&amp;IF($F$4="",DATE(2999,12,31),$F$4)),0)</f>
        <v>3933.46425</v>
      </c>
      <c r="Y23" s="1" t="n">
        <f aca="false">IF($X$2="TODOS",U23,IF(S23&lt;&gt;"",SUMIFS(COMPRAS!$J$3:$J$4997,COMPRAS!$G$3:$G$4997,S23,COMPRAS!$D$3:$D$4997,$X$2,COMPRAS!$B$3:$B$4997,"&gt;="&amp;IF($C$4="",DATE(1900,1,1),$C$4),COMPRAS!$B$3:$B$4997,"&lt;="&amp;IF($F$4="",DATE(2999,12,31),$F$4)),0))</f>
        <v>898.25</v>
      </c>
      <c r="Z23" s="1" t="n">
        <f aca="false">IF($X$2="TODOS",V23,IF(S23&lt;&gt;"",SUMIFS(COMPRAS!$O$3:$O$4997,COMPRAS!$G$3:$G$4997,S23,COMPRAS!$D$3:$D$4997,$X$2,COMPRAS!$B$3:$B$4997,"&gt;="&amp;IF($C$4="",DATE(1900,1,1),$C$4),COMPRAS!$B$3:$B$4997,"&lt;="&amp;IF($F$4="",DATE(2999,12,31),$F$4)),0))</f>
        <v>3933.46425</v>
      </c>
    </row>
    <row r="24" customFormat="false" ht="15.75" hidden="false" customHeight="true" outlineLevel="0" collapsed="false">
      <c r="A24" s="8" t="s">
        <v>16</v>
      </c>
      <c r="E24" s="8" t="s">
        <v>17</v>
      </c>
      <c r="N24" s="1" t="n">
        <f aca="false">PROVEEDORES!A25</f>
        <v>50218</v>
      </c>
      <c r="O24" s="1" t="str">
        <f aca="false">PROVEEDORES!B25</f>
        <v>ACERGA </v>
      </c>
      <c r="P24" s="1" t="n">
        <f aca="false">IF(N24&lt;&gt;"",SUMIFS(COMPRAS!$J$3:$J$4997,COMPRAS!$D$3:$D$4997,N24,COMPRAS!$B$3:$B$4997,"&gt;="&amp;IF($C$4="",DATE(1900,1,1),$C$4),COMPRAS!$B$3:$B$4997,"&lt;="&amp;IF($F$4="",DATE(2999,12,31),$F$4)),0)</f>
        <v>13166</v>
      </c>
      <c r="Q24" s="1" t="n">
        <f aca="false">IF(N24&lt;&gt;"",SUMIFS(COMPRAS!$O$3:$O$4997,COMPRAS!$D$3:$D$4997,N24,COMPRAS!$B$3:$B$4997,"&gt;="&amp;IF($C$4="",DATE(1900,1,1),$C$4),COMPRAS!$B$3:$B$4997,"&lt;="&amp;IF($F$4="",DATE(2999,12,31),$F$4)),0)</f>
        <v>20065.7868</v>
      </c>
      <c r="S24" s="1" t="str">
        <f aca="false">PRODUCTOS!A25</f>
        <v>C397</v>
      </c>
      <c r="T24" s="1" t="str">
        <f aca="false">PRODUCTOS!B25</f>
        <v>BONITO DEL NORTE 5/7</v>
      </c>
      <c r="U24" s="1" t="n">
        <f aca="false">IF(S24&lt;&gt;"",SUMIFS(COMPRAS!$J$3:$J$4997,COMPRAS!$G$3:$G$4997,S24,COMPRAS!$B$3:$B$4997,"&gt;="&amp;IF($C$4="",DATE(1900,1,1),$C$4),COMPRAS!$B$3:$B$4997,"&lt;="&amp;IF($F$4="",DATE(2999,12,31),$F$4)),0)</f>
        <v>3944.05</v>
      </c>
      <c r="V24" s="1" t="n">
        <f aca="false">IF(S24&lt;&gt;"",SUMIFS(COMPRAS!$O$3:$O$4997,COMPRAS!$G$3:$G$4997,S24,COMPRAS!$B$3:$B$4997,"&gt;="&amp;IF($C$4="",DATE(1900,1,1),$C$4),COMPRAS!$B$3:$B$4997,"&lt;="&amp;IF($F$4="",DATE(2999,12,31),$F$4)),0)</f>
        <v>19023.42975</v>
      </c>
      <c r="Y24" s="1" t="n">
        <f aca="false">IF($X$2="TODOS",U24,IF(S24&lt;&gt;"",SUMIFS(COMPRAS!$J$3:$J$4997,COMPRAS!$G$3:$G$4997,S24,COMPRAS!$D$3:$D$4997,$X$2,COMPRAS!$B$3:$B$4997,"&gt;="&amp;IF($C$4="",DATE(1900,1,1),$C$4),COMPRAS!$B$3:$B$4997,"&lt;="&amp;IF($F$4="",DATE(2999,12,31),$F$4)),0))</f>
        <v>3944.05</v>
      </c>
      <c r="Z24" s="1" t="n">
        <f aca="false">IF($X$2="TODOS",V24,IF(S24&lt;&gt;"",SUMIFS(COMPRAS!$O$3:$O$4997,COMPRAS!$G$3:$G$4997,S24,COMPRAS!$D$3:$D$4997,$X$2,COMPRAS!$B$3:$B$4997,"&gt;="&amp;IF($C$4="",DATE(1900,1,1),$C$4),COMPRAS!$B$3:$B$4997,"&lt;="&amp;IF($F$4="",DATE(2999,12,31),$F$4)),0))</f>
        <v>19023.42975</v>
      </c>
    </row>
    <row r="25" customFormat="false" ht="15" hidden="false" customHeight="true" outlineLevel="0" collapsed="false">
      <c r="A25" s="9" t="s">
        <v>12</v>
      </c>
      <c r="B25" s="10" t="s">
        <v>18</v>
      </c>
      <c r="C25" s="9" t="s">
        <v>14</v>
      </c>
      <c r="E25" s="9" t="s">
        <v>12</v>
      </c>
      <c r="F25" s="10" t="s">
        <v>18</v>
      </c>
      <c r="G25" s="9" t="s">
        <v>15</v>
      </c>
      <c r="N25" s="1" t="n">
        <f aca="false">PROVEEDORES!A26</f>
        <v>50227</v>
      </c>
      <c r="O25" s="1" t="str">
        <f aca="false">PROVEEDORES!B26</f>
        <v>BRISAMAR</v>
      </c>
      <c r="P25" s="1" t="n">
        <f aca="false">IF(N25&lt;&gt;"",SUMIFS(COMPRAS!$J$3:$J$4997,COMPRAS!$D$3:$D$4997,N25,COMPRAS!$B$3:$B$4997,"&gt;="&amp;IF($C$4="",DATE(1900,1,1),$C$4),COMPRAS!$B$3:$B$4997,"&lt;="&amp;IF($F$4="",DATE(2999,12,31),$F$4)),0)</f>
        <v>0</v>
      </c>
      <c r="Q25" s="1" t="n">
        <f aca="false">IF(N25&lt;&gt;"",SUMIFS(COMPRAS!$O$3:$O$4997,COMPRAS!$D$3:$D$4997,N25,COMPRAS!$B$3:$B$4997,"&gt;="&amp;IF($C$4="",DATE(1900,1,1),$C$4),COMPRAS!$B$3:$B$4997,"&lt;="&amp;IF($F$4="",DATE(2999,12,31),$F$4)),0)</f>
        <v>0</v>
      </c>
      <c r="S25" s="1" t="str">
        <f aca="false">PRODUCTOS!A26</f>
        <v>C387</v>
      </c>
      <c r="T25" s="1" t="str">
        <f aca="false">PRODUCTOS!B26</f>
        <v>BOQUERON/ BOCARTE/ ANCHOA (ANE)</v>
      </c>
      <c r="U25" s="1" t="n">
        <f aca="false">IF(S25&lt;&gt;"",SUMIFS(COMPRAS!$J$3:$J$4997,COMPRAS!$G$3:$G$4997,S25,COMPRAS!$B$3:$B$4997,"&gt;="&amp;IF($C$4="",DATE(1900,1,1),$C$4),COMPRAS!$B$3:$B$4997,"&lt;="&amp;IF($F$4="",DATE(2999,12,31),$F$4)),0)</f>
        <v>48607</v>
      </c>
      <c r="V25" s="1" t="n">
        <f aca="false">IF(S25&lt;&gt;"",SUMIFS(COMPRAS!$O$3:$O$4997,COMPRAS!$G$3:$G$4997,S25,COMPRAS!$B$3:$B$4997,"&gt;="&amp;IF($C$4="",DATE(1900,1,1),$C$4),COMPRAS!$B$3:$B$4997,"&lt;="&amp;IF($F$4="",DATE(2999,12,31),$F$4)),0)</f>
        <v>74198.6628</v>
      </c>
      <c r="Y25" s="1" t="n">
        <f aca="false">IF($X$2="TODOS",U25,IF(S25&lt;&gt;"",SUMIFS(COMPRAS!$J$3:$J$4997,COMPRAS!$G$3:$G$4997,S25,COMPRAS!$D$3:$D$4997,$X$2,COMPRAS!$B$3:$B$4997,"&gt;="&amp;IF($C$4="",DATE(1900,1,1),$C$4),COMPRAS!$B$3:$B$4997,"&lt;="&amp;IF($F$4="",DATE(2999,12,31),$F$4)),0))</f>
        <v>48607</v>
      </c>
      <c r="Z25" s="1" t="n">
        <f aca="false">IF($X$2="TODOS",V25,IF(S25&lt;&gt;"",SUMIFS(COMPRAS!$O$3:$O$4997,COMPRAS!$G$3:$G$4997,S25,COMPRAS!$D$3:$D$4997,$X$2,COMPRAS!$B$3:$B$4997,"&gt;="&amp;IF($C$4="",DATE(1900,1,1),$C$4),COMPRAS!$B$3:$B$4997,"&lt;="&amp;IF($F$4="",DATE(2999,12,31),$F$4)),0))</f>
        <v>74198.6628</v>
      </c>
    </row>
    <row r="26" customFormat="false" ht="15" hidden="false" customHeight="true" outlineLevel="0" collapsed="false">
      <c r="A26" s="11" t="n">
        <v>1</v>
      </c>
      <c r="B26" s="12" t="str">
        <f aca="false">IFERROR(INDEX($T$2:$T$231,MATCH(LARGE($U$2:$U$231,1),$U$2:$U$231,0)),"")</f>
        <v>BOQUERON/ BOCARTE/ ANCHOA (ANE)</v>
      </c>
      <c r="C26" s="13" t="n">
        <f aca="false">IFERROR(LARGE($U$2:$U$231,1),0)</f>
        <v>48607</v>
      </c>
      <c r="E26" s="11" t="n">
        <v>1</v>
      </c>
      <c r="F26" s="12" t="str">
        <f aca="false">IFERROR(INDEX($T$2:$T$231,MATCH(LARGE($V$2:$V$231,1),$V$2:$V$231,0)),"")</f>
        <v>BOQUERON/ BOCARTE/ ANCHOA (ANE)</v>
      </c>
      <c r="G26" s="14" t="n">
        <f aca="false">IFERROR(LARGE($V$2:$V$231,1),0)</f>
        <v>74198.6628</v>
      </c>
      <c r="N26" s="1" t="n">
        <f aca="false">PROVEEDORES!A27</f>
        <v>50229</v>
      </c>
      <c r="O26" s="1" t="str">
        <f aca="false">PROVEEDORES!B27</f>
        <v>DA LONXA O PRATO</v>
      </c>
      <c r="P26" s="1" t="n">
        <f aca="false">IF(N26&lt;&gt;"",SUMIFS(COMPRAS!$J$3:$J$4997,COMPRAS!$D$3:$D$4997,N26,COMPRAS!$B$3:$B$4997,"&gt;="&amp;IF($C$4="",DATE(1900,1,1),$C$4),COMPRAS!$B$3:$B$4997,"&lt;="&amp;IF($F$4="",DATE(2999,12,31),$F$4)),0)</f>
        <v>0</v>
      </c>
      <c r="Q26" s="1" t="n">
        <f aca="false">IF(N26&lt;&gt;"",SUMIFS(COMPRAS!$O$3:$O$4997,COMPRAS!$D$3:$D$4997,N26,COMPRAS!$B$3:$B$4997,"&gt;="&amp;IF($C$4="",DATE(1900,1,1),$C$4),COMPRAS!$B$3:$B$4997,"&lt;="&amp;IF($F$4="",DATE(2999,12,31),$F$4)),0)</f>
        <v>0</v>
      </c>
      <c r="S26" s="1" t="str">
        <f aca="false">PRODUCTOS!A27</f>
        <v>C822</v>
      </c>
      <c r="T26" s="1" t="str">
        <f aca="false">PRODUCTOS!B27</f>
        <v>BUEY FRANCES (CRE)</v>
      </c>
      <c r="U26" s="1" t="n">
        <f aca="false">IF(S26&lt;&gt;"",SUMIFS(COMPRAS!$J$3:$J$4997,COMPRAS!$G$3:$G$4997,S26,COMPRAS!$B$3:$B$4997,"&gt;="&amp;IF($C$4="",DATE(1900,1,1),$C$4),COMPRAS!$B$3:$B$4997,"&lt;="&amp;IF($F$4="",DATE(2999,12,31),$F$4)),0)</f>
        <v>0</v>
      </c>
      <c r="V26" s="1" t="n">
        <f aca="false">IF(S26&lt;&gt;"",SUMIFS(COMPRAS!$O$3:$O$4997,COMPRAS!$G$3:$G$4997,S26,COMPRAS!$B$3:$B$4997,"&gt;="&amp;IF($C$4="",DATE(1900,1,1),$C$4),COMPRAS!$B$3:$B$4997,"&lt;="&amp;IF($F$4="",DATE(2999,12,31),$F$4)),0)</f>
        <v>0</v>
      </c>
      <c r="Y26" s="1" t="n">
        <f aca="false">IF($X$2="TODOS",U26,IF(S26&lt;&gt;"",SUMIFS(COMPRAS!$J$3:$J$4997,COMPRAS!$G$3:$G$4997,S26,COMPRAS!$D$3:$D$4997,$X$2,COMPRAS!$B$3:$B$4997,"&gt;="&amp;IF($C$4="",DATE(1900,1,1),$C$4),COMPRAS!$B$3:$B$4997,"&lt;="&amp;IF($F$4="",DATE(2999,12,31),$F$4)),0))</f>
        <v>0</v>
      </c>
      <c r="Z26" s="1" t="n">
        <f aca="false">IF($X$2="TODOS",V26,IF(S26&lt;&gt;"",SUMIFS(COMPRAS!$O$3:$O$4997,COMPRAS!$G$3:$G$4997,S26,COMPRAS!$D$3:$D$4997,$X$2,COMPRAS!$B$3:$B$4997,"&gt;="&amp;IF($C$4="",DATE(1900,1,1),$C$4),COMPRAS!$B$3:$B$4997,"&lt;="&amp;IF($F$4="",DATE(2999,12,31),$F$4)),0))</f>
        <v>0</v>
      </c>
    </row>
    <row r="27" customFormat="false" ht="15" hidden="false" customHeight="true" outlineLevel="0" collapsed="false">
      <c r="A27" s="15" t="n">
        <v>2</v>
      </c>
      <c r="B27" s="16" t="str">
        <f aca="false">IFERROR(INDEX($T$2:$T$231,MATCH(LARGE($U$2:$U$231,2),$U$2:$U$231,0)),"")</f>
        <v>LIRIO/ BACALADILLA/ PERLA (WHB)</v>
      </c>
      <c r="C27" s="17" t="n">
        <f aca="false">IFERROR(LARGE($U$2:$U$231,2),0)</f>
        <v>32511.65</v>
      </c>
      <c r="E27" s="15" t="n">
        <v>2</v>
      </c>
      <c r="F27" s="16" t="str">
        <f aca="false">IFERROR(INDEX($T$2:$T$231,MATCH(LARGE($V$2:$V$231,2),$V$2:$V$231,0)),"")</f>
        <v>LIRIO/ BACALADILLA/ PERLA (WHB)</v>
      </c>
      <c r="G27" s="18" t="n">
        <f aca="false">IFERROR(LARGE($V$2:$V$231,2),0)</f>
        <v>57717.35916</v>
      </c>
      <c r="N27" s="1" t="n">
        <f aca="false">PROVEEDORES!A28</f>
        <v>50231</v>
      </c>
      <c r="O27" s="1" t="str">
        <f aca="false">PROVEEDORES!B28</f>
        <v>PESCADOS ERNESTO Y MARIA S.L.</v>
      </c>
      <c r="P27" s="1" t="n">
        <f aca="false">IF(N27&lt;&gt;"",SUMIFS(COMPRAS!$J$3:$J$4997,COMPRAS!$D$3:$D$4997,N27,COMPRAS!$B$3:$B$4997,"&gt;="&amp;IF($C$4="",DATE(1900,1,1),$C$4),COMPRAS!$B$3:$B$4997,"&lt;="&amp;IF($F$4="",DATE(2999,12,31),$F$4)),0)</f>
        <v>0</v>
      </c>
      <c r="Q27" s="1" t="n">
        <f aca="false">IF(N27&lt;&gt;"",SUMIFS(COMPRAS!$O$3:$O$4997,COMPRAS!$D$3:$D$4997,N27,COMPRAS!$B$3:$B$4997,"&gt;="&amp;IF($C$4="",DATE(1900,1,1),$C$4),COMPRAS!$B$3:$B$4997,"&lt;="&amp;IF($F$4="",DATE(2999,12,31),$F$4)),0)</f>
        <v>0</v>
      </c>
      <c r="S27" s="1" t="str">
        <f aca="false">PRODUCTOS!A28</f>
        <v>C395</v>
      </c>
      <c r="T27" s="1" t="str">
        <f aca="false">PRODUCTOS!B28</f>
        <v>CABALL/ SARDA/ VERDEL (MAC)</v>
      </c>
      <c r="U27" s="1" t="n">
        <f aca="false">IF(S27&lt;&gt;"",SUMIFS(COMPRAS!$J$3:$J$4997,COMPRAS!$G$3:$G$4997,S27,COMPRAS!$B$3:$B$4997,"&gt;="&amp;IF($C$4="",DATE(1900,1,1),$C$4),COMPRAS!$B$3:$B$4997,"&lt;="&amp;IF($F$4="",DATE(2999,12,31),$F$4)),0)</f>
        <v>3290.95</v>
      </c>
      <c r="V27" s="1" t="n">
        <f aca="false">IF(S27&lt;&gt;"",SUMIFS(COMPRAS!$O$3:$O$4997,COMPRAS!$G$3:$G$4997,S27,COMPRAS!$B$3:$B$4997,"&gt;="&amp;IF($C$4="",DATE(1900,1,1),$C$4),COMPRAS!$B$3:$B$4997,"&lt;="&amp;IF($F$4="",DATE(2999,12,31),$F$4)),0)</f>
        <v>12989.6699</v>
      </c>
      <c r="Y27" s="1" t="n">
        <f aca="false">IF($X$2="TODOS",U27,IF(S27&lt;&gt;"",SUMIFS(COMPRAS!$J$3:$J$4997,COMPRAS!$G$3:$G$4997,S27,COMPRAS!$D$3:$D$4997,$X$2,COMPRAS!$B$3:$B$4997,"&gt;="&amp;IF($C$4="",DATE(1900,1,1),$C$4),COMPRAS!$B$3:$B$4997,"&lt;="&amp;IF($F$4="",DATE(2999,12,31),$F$4)),0))</f>
        <v>3290.95</v>
      </c>
      <c r="Z27" s="1" t="n">
        <f aca="false">IF($X$2="TODOS",V27,IF(S27&lt;&gt;"",SUMIFS(COMPRAS!$O$3:$O$4997,COMPRAS!$G$3:$G$4997,S27,COMPRAS!$D$3:$D$4997,$X$2,COMPRAS!$B$3:$B$4997,"&gt;="&amp;IF($C$4="",DATE(1900,1,1),$C$4),COMPRAS!$B$3:$B$4997,"&lt;="&amp;IF($F$4="",DATE(2999,12,31),$F$4)),0))</f>
        <v>12989.6699</v>
      </c>
    </row>
    <row r="28" customFormat="false" ht="15" hidden="false" customHeight="true" outlineLevel="0" collapsed="false">
      <c r="A28" s="11" t="n">
        <v>3</v>
      </c>
      <c r="B28" s="12" t="str">
        <f aca="false">IFERROR(INDEX($T$2:$T$231,MATCH(LARGE($U$2:$U$231,3),$U$2:$U$231,0)),"")</f>
        <v>RAPE BLANCO RASCO (MON)</v>
      </c>
      <c r="C28" s="13" t="n">
        <f aca="false">IFERROR(LARGE($U$2:$U$231,3),0)</f>
        <v>7149.7</v>
      </c>
      <c r="E28" s="11" t="n">
        <v>3</v>
      </c>
      <c r="F28" s="12" t="str">
        <f aca="false">IFERROR(INDEX($T$2:$T$231,MATCH(LARGE($V$2:$V$231,3),$V$2:$V$231,0)),"")</f>
        <v>RAPE BLANCO RASCO (MON)</v>
      </c>
      <c r="G28" s="14" t="n">
        <f aca="false">IFERROR(LARGE($V$2:$V$231,3),0)</f>
        <v>47464.017</v>
      </c>
      <c r="N28" s="1" t="n">
        <f aca="false">PROVEEDORES!A29</f>
        <v>50232</v>
      </c>
      <c r="O28" s="1" t="str">
        <f aca="false">PROVEEDORES!B29</f>
        <v>XESTION NOVA LONXA RIVEIRA S.L.</v>
      </c>
      <c r="P28" s="1" t="n">
        <f aca="false">IF(N28&lt;&gt;"",SUMIFS(COMPRAS!$J$3:$J$4997,COMPRAS!$D$3:$D$4997,N28,COMPRAS!$B$3:$B$4997,"&gt;="&amp;IF($C$4="",DATE(1900,1,1),$C$4),COMPRAS!$B$3:$B$4997,"&lt;="&amp;IF($F$4="",DATE(2999,12,31),$F$4)),0)</f>
        <v>41663.771</v>
      </c>
      <c r="Q28" s="1" t="n">
        <f aca="false">IF(N28&lt;&gt;"",SUMIFS(COMPRAS!$O$3:$O$4997,COMPRAS!$D$3:$D$4997,N28,COMPRAS!$B$3:$B$4997,"&gt;="&amp;IF($C$4="",DATE(1900,1,1),$C$4),COMPRAS!$B$3:$B$4997,"&lt;="&amp;IF($F$4="",DATE(2999,12,31),$F$4)),0)</f>
        <v>101872.87281</v>
      </c>
      <c r="S28" s="1" t="str">
        <f aca="false">PRODUCTOS!A29</f>
        <v>C2550</v>
      </c>
      <c r="T28" s="1" t="str">
        <f aca="false">PRODUCTOS!B29</f>
        <v>CABRACHO/ ESCARAPOTE (RSE)</v>
      </c>
      <c r="U28" s="1" t="n">
        <f aca="false">IF(S28&lt;&gt;"",SUMIFS(COMPRAS!$J$3:$J$4997,COMPRAS!$G$3:$G$4997,S28,COMPRAS!$B$3:$B$4997,"&gt;="&amp;IF($C$4="",DATE(1900,1,1),$C$4),COMPRAS!$B$3:$B$4997,"&lt;="&amp;IF($F$4="",DATE(2999,12,31),$F$4)),0)</f>
        <v>382.5</v>
      </c>
      <c r="V28" s="1" t="n">
        <f aca="false">IF(S28&lt;&gt;"",SUMIFS(COMPRAS!$O$3:$O$4997,COMPRAS!$G$3:$G$4997,S28,COMPRAS!$B$3:$B$4997,"&gt;="&amp;IF($C$4="",DATE(1900,1,1),$C$4),COMPRAS!$B$3:$B$4997,"&lt;="&amp;IF($F$4="",DATE(2999,12,31),$F$4)),0)</f>
        <v>3663.77625</v>
      </c>
      <c r="Y28" s="1" t="n">
        <f aca="false">IF($X$2="TODOS",U28,IF(S28&lt;&gt;"",SUMIFS(COMPRAS!$J$3:$J$4997,COMPRAS!$G$3:$G$4997,S28,COMPRAS!$D$3:$D$4997,$X$2,COMPRAS!$B$3:$B$4997,"&gt;="&amp;IF($C$4="",DATE(1900,1,1),$C$4),COMPRAS!$B$3:$B$4997,"&lt;="&amp;IF($F$4="",DATE(2999,12,31),$F$4)),0))</f>
        <v>382.5</v>
      </c>
      <c r="Z28" s="1" t="n">
        <f aca="false">IF($X$2="TODOS",V28,IF(S28&lt;&gt;"",SUMIFS(COMPRAS!$O$3:$O$4997,COMPRAS!$G$3:$G$4997,S28,COMPRAS!$D$3:$D$4997,$X$2,COMPRAS!$B$3:$B$4997,"&gt;="&amp;IF($C$4="",DATE(1900,1,1),$C$4),COMPRAS!$B$3:$B$4997,"&lt;="&amp;IF($F$4="",DATE(2999,12,31),$F$4)),0))</f>
        <v>3663.77625</v>
      </c>
    </row>
    <row r="29" customFormat="false" ht="15" hidden="false" customHeight="true" outlineLevel="0" collapsed="false">
      <c r="A29" s="15" t="n">
        <v>4</v>
      </c>
      <c r="B29" s="16" t="str">
        <f aca="false">IFERROR(INDEX($T$2:$T$231,MATCH(LARGE($U$2:$U$231,4),$U$2:$U$231,0)),"")</f>
        <v>MERLUZA EUROPEA/ FINA DIA </v>
      </c>
      <c r="C29" s="17" t="n">
        <f aca="false">IFERROR(LARGE($U$2:$U$231,4),0)</f>
        <v>5733.75</v>
      </c>
      <c r="E29" s="15" t="n">
        <v>4</v>
      </c>
      <c r="F29" s="16" t="str">
        <f aca="false">IFERROR(INDEX($T$2:$T$231,MATCH(LARGE($V$2:$V$231,4),$V$2:$V$231,0)),"")</f>
        <v>BONITO DEL NORTE 5/7</v>
      </c>
      <c r="G29" s="18" t="n">
        <f aca="false">IFERROR(LARGE($V$2:$V$231,4),0)</f>
        <v>19023.42975</v>
      </c>
      <c r="N29" s="1" t="n">
        <f aca="false">PROVEEDORES!A30</f>
        <v>50233</v>
      </c>
      <c r="O29" s="1" t="str">
        <f aca="false">PROVEEDORES!B30</f>
        <v>ANGELPESCA S.L.</v>
      </c>
      <c r="P29" s="1" t="n">
        <f aca="false">IF(N29&lt;&gt;"",SUMIFS(COMPRAS!$J$3:$J$4997,COMPRAS!$D$3:$D$4997,N29,COMPRAS!$B$3:$B$4997,"&gt;="&amp;IF($C$4="",DATE(1900,1,1),$C$4),COMPRAS!$B$3:$B$4997,"&lt;="&amp;IF($F$4="",DATE(2999,12,31),$F$4)),0)</f>
        <v>1030</v>
      </c>
      <c r="Q29" s="1" t="n">
        <f aca="false">IF(N29&lt;&gt;"",SUMIFS(COMPRAS!$O$3:$O$4997,COMPRAS!$D$3:$D$4997,N29,COMPRAS!$B$3:$B$4997,"&gt;="&amp;IF($C$4="",DATE(1900,1,1),$C$4),COMPRAS!$B$3:$B$4997,"&lt;="&amp;IF($F$4="",DATE(2999,12,31),$F$4)),0)</f>
        <v>1871.86</v>
      </c>
      <c r="S29" s="1" t="str">
        <f aca="false">PRODUCTOS!A30</f>
        <v>C2552</v>
      </c>
      <c r="T29" s="1" t="str">
        <f aca="false">PRODUCTOS!B30</f>
        <v>CABRACHO DE FONDO (TJX)</v>
      </c>
      <c r="U29" s="1" t="n">
        <f aca="false">IF(S29&lt;&gt;"",SUMIFS(COMPRAS!$J$3:$J$4997,COMPRAS!$G$3:$G$4997,S29,COMPRAS!$B$3:$B$4997,"&gt;="&amp;IF($C$4="",DATE(1900,1,1),$C$4),COMPRAS!$B$3:$B$4997,"&lt;="&amp;IF($F$4="",DATE(2999,12,31),$F$4)),0)</f>
        <v>28.3</v>
      </c>
      <c r="V29" s="1" t="n">
        <f aca="false">IF(S29&lt;&gt;"",SUMIFS(COMPRAS!$O$3:$O$4997,COMPRAS!$G$3:$G$4997,S29,COMPRAS!$B$3:$B$4997,"&gt;="&amp;IF($C$4="",DATE(1900,1,1),$C$4),COMPRAS!$B$3:$B$4997,"&lt;="&amp;IF($F$4="",DATE(2999,12,31),$F$4)),0)</f>
        <v>144.33</v>
      </c>
      <c r="Y29" s="1" t="n">
        <f aca="false">IF($X$2="TODOS",U29,IF(S29&lt;&gt;"",SUMIFS(COMPRAS!$J$3:$J$4997,COMPRAS!$G$3:$G$4997,S29,COMPRAS!$D$3:$D$4997,$X$2,COMPRAS!$B$3:$B$4997,"&gt;="&amp;IF($C$4="",DATE(1900,1,1),$C$4),COMPRAS!$B$3:$B$4997,"&lt;="&amp;IF($F$4="",DATE(2999,12,31),$F$4)),0))</f>
        <v>28.3</v>
      </c>
      <c r="Z29" s="1" t="n">
        <f aca="false">IF($X$2="TODOS",V29,IF(S29&lt;&gt;"",SUMIFS(COMPRAS!$O$3:$O$4997,COMPRAS!$G$3:$G$4997,S29,COMPRAS!$D$3:$D$4997,$X$2,COMPRAS!$B$3:$B$4997,"&gt;="&amp;IF($C$4="",DATE(1900,1,1),$C$4),COMPRAS!$B$3:$B$4997,"&lt;="&amp;IF($F$4="",DATE(2999,12,31),$F$4)),0))</f>
        <v>144.33</v>
      </c>
    </row>
    <row r="30" customFormat="false" ht="15" hidden="false" customHeight="true" outlineLevel="0" collapsed="false">
      <c r="A30" s="11" t="n">
        <v>5</v>
      </c>
      <c r="B30" s="12" t="str">
        <f aca="false">IFERROR(INDEX($T$2:$T$231,MATCH(LARGE($U$2:$U$231,5),$U$2:$U$231,0)),"")</f>
        <v>VARIADO PEQUEÑO</v>
      </c>
      <c r="C30" s="13" t="n">
        <f aca="false">IFERROR(LARGE($U$2:$U$231,5),0)</f>
        <v>4046.25</v>
      </c>
      <c r="E30" s="11" t="n">
        <v>5</v>
      </c>
      <c r="F30" s="12" t="str">
        <f aca="false">IFERROR(INDEX($T$2:$T$231,MATCH(LARGE($V$2:$V$231,5),$V$2:$V$231,0)),"")</f>
        <v>MERLUZA EUROPEA VOLANTA ALTURA</v>
      </c>
      <c r="G30" s="14" t="n">
        <f aca="false">IFERROR(LARGE($V$2:$V$231,5),0)</f>
        <v>16611.44</v>
      </c>
      <c r="N30" s="1" t="n">
        <f aca="false">PROVEEDORES!A31</f>
        <v>50235</v>
      </c>
      <c r="O30" s="1" t="str">
        <f aca="false">PROVEEDORES!B31</f>
        <v>MANUEL CEBREIRA MELLA</v>
      </c>
      <c r="P30" s="1" t="n">
        <f aca="false">IF(N30&lt;&gt;"",SUMIFS(COMPRAS!$J$3:$J$4997,COMPRAS!$D$3:$D$4997,N30,COMPRAS!$B$3:$B$4997,"&gt;="&amp;IF($C$4="",DATE(1900,1,1),$C$4),COMPRAS!$B$3:$B$4997,"&lt;="&amp;IF($F$4="",DATE(2999,12,31),$F$4)),0)</f>
        <v>0</v>
      </c>
      <c r="Q30" s="1" t="n">
        <f aca="false">IF(N30&lt;&gt;"",SUMIFS(COMPRAS!$O$3:$O$4997,COMPRAS!$D$3:$D$4997,N30,COMPRAS!$B$3:$B$4997,"&gt;="&amp;IF($C$4="",DATE(1900,1,1),$C$4),COMPRAS!$B$3:$B$4997,"&lt;="&amp;IF($F$4="",DATE(2999,12,31),$F$4)),0)</f>
        <v>0</v>
      </c>
      <c r="S30" s="1" t="str">
        <f aca="false">PRODUCTOS!A31</f>
        <v>C255</v>
      </c>
      <c r="T30" s="1" t="str">
        <f aca="false">PRODUCTOS!B31</f>
        <v>CABRAS/ GALLINETA (BRF)</v>
      </c>
      <c r="U30" s="1" t="n">
        <f aca="false">IF(S30&lt;&gt;"",SUMIFS(COMPRAS!$J$3:$J$4997,COMPRAS!$G$3:$G$4997,S30,COMPRAS!$B$3:$B$4997,"&gt;="&amp;IF($C$4="",DATE(1900,1,1),$C$4),COMPRAS!$B$3:$B$4997,"&lt;="&amp;IF($F$4="",DATE(2999,12,31),$F$4)),0)</f>
        <v>1265.3</v>
      </c>
      <c r="V30" s="1" t="n">
        <f aca="false">IF(S30&lt;&gt;"",SUMIFS(COMPRAS!$O$3:$O$4997,COMPRAS!$G$3:$G$4997,S30,COMPRAS!$B$3:$B$4997,"&gt;="&amp;IF($C$4="",DATE(1900,1,1),$C$4),COMPRAS!$B$3:$B$4997,"&lt;="&amp;IF($F$4="",DATE(2999,12,31),$F$4)),0)</f>
        <v>8640.44305</v>
      </c>
      <c r="Y30" s="1" t="n">
        <f aca="false">IF($X$2="TODOS",U30,IF(S30&lt;&gt;"",SUMIFS(COMPRAS!$J$3:$J$4997,COMPRAS!$G$3:$G$4997,S30,COMPRAS!$D$3:$D$4997,$X$2,COMPRAS!$B$3:$B$4997,"&gt;="&amp;IF($C$4="",DATE(1900,1,1),$C$4),COMPRAS!$B$3:$B$4997,"&lt;="&amp;IF($F$4="",DATE(2999,12,31),$F$4)),0))</f>
        <v>1265.3</v>
      </c>
      <c r="Z30" s="1" t="n">
        <f aca="false">IF($X$2="TODOS",V30,IF(S30&lt;&gt;"",SUMIFS(COMPRAS!$O$3:$O$4997,COMPRAS!$G$3:$G$4997,S30,COMPRAS!$D$3:$D$4997,$X$2,COMPRAS!$B$3:$B$4997,"&gt;="&amp;IF($C$4="",DATE(1900,1,1),$C$4),COMPRAS!$B$3:$B$4997,"&lt;="&amp;IF($F$4="",DATE(2999,12,31),$F$4)),0))</f>
        <v>8640.44305</v>
      </c>
    </row>
    <row r="31" customFormat="false" ht="15" hidden="false" customHeight="true" outlineLevel="0" collapsed="false">
      <c r="A31" s="15" t="n">
        <v>6</v>
      </c>
      <c r="B31" s="16" t="str">
        <f aca="false">IFERROR(INDEX($T$2:$T$231,MATCH(LARGE($U$2:$U$231,6),$U$2:$U$231,0)),"")</f>
        <v>BONITO DEL NORTE 5/7</v>
      </c>
      <c r="C31" s="17" t="n">
        <f aca="false">IFERROR(LARGE($U$2:$U$231,6),0)</f>
        <v>3944.05</v>
      </c>
      <c r="E31" s="15" t="n">
        <v>6</v>
      </c>
      <c r="F31" s="16" t="str">
        <f aca="false">IFERROR(INDEX($T$2:$T$231,MATCH(LARGE($V$2:$V$231,6),$V$2:$V$231,0)),"")</f>
        <v>MERLUZA EUROPEA/ FINA DIA </v>
      </c>
      <c r="G31" s="18" t="n">
        <f aca="false">IFERROR(LARGE($V$2:$V$231,6),0)</f>
        <v>16382.4072</v>
      </c>
      <c r="N31" s="1" t="n">
        <f aca="false">PROVEEDORES!A32</f>
        <v>50236</v>
      </c>
      <c r="O31" s="1" t="str">
        <f aca="false">PROVEEDORES!B32</f>
        <v>CASIMIRO PEREZ RODRIGUEZ</v>
      </c>
      <c r="P31" s="1" t="n">
        <f aca="false">IF(N31&lt;&gt;"",SUMIFS(COMPRAS!$J$3:$J$4997,COMPRAS!$D$3:$D$4997,N31,COMPRAS!$B$3:$B$4997,"&gt;="&amp;IF($C$4="",DATE(1900,1,1),$C$4),COMPRAS!$B$3:$B$4997,"&lt;="&amp;IF($F$4="",DATE(2999,12,31),$F$4)),0)</f>
        <v>0</v>
      </c>
      <c r="Q31" s="1" t="n">
        <f aca="false">IF(N31&lt;&gt;"",SUMIFS(COMPRAS!$O$3:$O$4997,COMPRAS!$D$3:$D$4997,N31,COMPRAS!$B$3:$B$4997,"&gt;="&amp;IF($C$4="",DATE(1900,1,1),$C$4),COMPRAS!$B$3:$B$4997,"&lt;="&amp;IF($F$4="",DATE(2999,12,31),$F$4)),0)</f>
        <v>0</v>
      </c>
      <c r="S31" s="1" t="str">
        <f aca="false">PRODUCTOS!A32</f>
        <v>C258</v>
      </c>
      <c r="T31" s="1" t="str">
        <f aca="false">PRODUCTOS!B32</f>
        <v>CABRILLAS/ SERRANO (CBR)</v>
      </c>
      <c r="U31" s="1" t="n">
        <f aca="false">IF(S31&lt;&gt;"",SUMIFS(COMPRAS!$J$3:$J$4997,COMPRAS!$G$3:$G$4997,S31,COMPRAS!$B$3:$B$4997,"&gt;="&amp;IF($C$4="",DATE(1900,1,1),$C$4),COMPRAS!$B$3:$B$4997,"&lt;="&amp;IF($F$4="",DATE(2999,12,31),$F$4)),0)</f>
        <v>0</v>
      </c>
      <c r="V31" s="1" t="n">
        <f aca="false">IF(S31&lt;&gt;"",SUMIFS(COMPRAS!$O$3:$O$4997,COMPRAS!$G$3:$G$4997,S31,COMPRAS!$B$3:$B$4997,"&gt;="&amp;IF($C$4="",DATE(1900,1,1),$C$4),COMPRAS!$B$3:$B$4997,"&lt;="&amp;IF($F$4="",DATE(2999,12,31),$F$4)),0)</f>
        <v>0</v>
      </c>
      <c r="Y31" s="1" t="n">
        <f aca="false">IF($X$2="TODOS",U31,IF(S31&lt;&gt;"",SUMIFS(COMPRAS!$J$3:$J$4997,COMPRAS!$G$3:$G$4997,S31,COMPRAS!$D$3:$D$4997,$X$2,COMPRAS!$B$3:$B$4997,"&gt;="&amp;IF($C$4="",DATE(1900,1,1),$C$4),COMPRAS!$B$3:$B$4997,"&lt;="&amp;IF($F$4="",DATE(2999,12,31),$F$4)),0))</f>
        <v>0</v>
      </c>
      <c r="Z31" s="1" t="n">
        <f aca="false">IF($X$2="TODOS",V31,IF(S31&lt;&gt;"",SUMIFS(COMPRAS!$O$3:$O$4997,COMPRAS!$G$3:$G$4997,S31,COMPRAS!$D$3:$D$4997,$X$2,COMPRAS!$B$3:$B$4997,"&gt;="&amp;IF($C$4="",DATE(1900,1,1),$C$4),COMPRAS!$B$3:$B$4997,"&lt;="&amp;IF($F$4="",DATE(2999,12,31),$F$4)),0))</f>
        <v>0</v>
      </c>
    </row>
    <row r="32" customFormat="false" ht="15" hidden="false" customHeight="true" outlineLevel="0" collapsed="false">
      <c r="A32" s="11" t="n">
        <v>7</v>
      </c>
      <c r="B32" s="12" t="str">
        <f aca="false">IFERROR(INDEX($T$2:$T$231,MATCH(LARGE($U$2:$U$231,7),$U$2:$U$231,0)),"")</f>
        <v>MERLUZA EUROPEA ARRASTRE (HKE) </v>
      </c>
      <c r="C32" s="13" t="n">
        <f aca="false">IFERROR(LARGE($U$2:$U$231,7),0)</f>
        <v>3583.45</v>
      </c>
      <c r="E32" s="11" t="n">
        <v>7</v>
      </c>
      <c r="F32" s="12" t="str">
        <f aca="false">IFERROR(INDEX($T$2:$T$231,MATCH(LARGE($V$2:$V$231,7),$V$2:$V$231,0)),"")</f>
        <v>LUBINA RIA/ ROBALIZA (BSS)</v>
      </c>
      <c r="G32" s="14" t="n">
        <f aca="false">IFERROR(LARGE($V$2:$V$231,7),0)</f>
        <v>16171.0834</v>
      </c>
      <c r="N32" s="1" t="n">
        <f aca="false">PROVEEDORES!A33</f>
        <v>50509</v>
      </c>
      <c r="O32" s="1" t="str">
        <f aca="false">PROVEEDORES!B33</f>
        <v>AZORFISK UNIPERSONAL LDA</v>
      </c>
      <c r="P32" s="1" t="n">
        <f aca="false">IF(N32&lt;&gt;"",SUMIFS(COMPRAS!$J$3:$J$4997,COMPRAS!$D$3:$D$4997,N32,COMPRAS!$B$3:$B$4997,"&gt;="&amp;IF($C$4="",DATE(1900,1,1),$C$4),COMPRAS!$B$3:$B$4997,"&lt;="&amp;IF($F$4="",DATE(2999,12,31),$F$4)),0)</f>
        <v>479.4</v>
      </c>
      <c r="Q32" s="1" t="n">
        <f aca="false">IF(N32&lt;&gt;"",SUMIFS(COMPRAS!$O$3:$O$4997,COMPRAS!$D$3:$D$4997,N32,COMPRAS!$B$3:$B$4997,"&gt;="&amp;IF($C$4="",DATE(1900,1,1),$C$4),COMPRAS!$B$3:$B$4997,"&lt;="&amp;IF($F$4="",DATE(2999,12,31),$F$4)),0)</f>
        <v>14685.925</v>
      </c>
      <c r="S32" s="1" t="str">
        <f aca="false">PRODUCTOS!A33</f>
        <v>C710</v>
      </c>
      <c r="T32" s="1" t="str">
        <f aca="false">PRODUCTOS!B33</f>
        <v>CALAAMR COMUN (SQR)</v>
      </c>
      <c r="U32" s="1" t="n">
        <f aca="false">IF(S32&lt;&gt;"",SUMIFS(COMPRAS!$J$3:$J$4997,COMPRAS!$G$3:$G$4997,S32,COMPRAS!$B$3:$B$4997,"&gt;="&amp;IF($C$4="",DATE(1900,1,1),$C$4),COMPRAS!$B$3:$B$4997,"&lt;="&amp;IF($F$4="",DATE(2999,12,31),$F$4)),0)</f>
        <v>113.7</v>
      </c>
      <c r="V32" s="1" t="n">
        <f aca="false">IF(S32&lt;&gt;"",SUMIFS(COMPRAS!$O$3:$O$4997,COMPRAS!$G$3:$G$4997,S32,COMPRAS!$B$3:$B$4997,"&gt;="&amp;IF($C$4="",DATE(1900,1,1),$C$4),COMPRAS!$B$3:$B$4997,"&lt;="&amp;IF($F$4="",DATE(2999,12,31),$F$4)),0)</f>
        <v>1882.135</v>
      </c>
      <c r="Y32" s="1" t="n">
        <f aca="false">IF($X$2="TODOS",U32,IF(S32&lt;&gt;"",SUMIFS(COMPRAS!$J$3:$J$4997,COMPRAS!$G$3:$G$4997,S32,COMPRAS!$D$3:$D$4997,$X$2,COMPRAS!$B$3:$B$4997,"&gt;="&amp;IF($C$4="",DATE(1900,1,1),$C$4),COMPRAS!$B$3:$B$4997,"&lt;="&amp;IF($F$4="",DATE(2999,12,31),$F$4)),0))</f>
        <v>113.7</v>
      </c>
      <c r="Z32" s="1" t="n">
        <f aca="false">IF($X$2="TODOS",V32,IF(S32&lt;&gt;"",SUMIFS(COMPRAS!$O$3:$O$4997,COMPRAS!$G$3:$G$4997,S32,COMPRAS!$D$3:$D$4997,$X$2,COMPRAS!$B$3:$B$4997,"&gt;="&amp;IF($C$4="",DATE(1900,1,1),$C$4),COMPRAS!$B$3:$B$4997,"&lt;="&amp;IF($F$4="",DATE(2999,12,31),$F$4)),0))</f>
        <v>1882.135</v>
      </c>
    </row>
    <row r="33" customFormat="false" ht="15" hidden="false" customHeight="true" outlineLevel="0" collapsed="false">
      <c r="A33" s="15" t="n">
        <v>8</v>
      </c>
      <c r="B33" s="16" t="str">
        <f aca="false">IFERROR(INDEX($T$2:$T$231,MATCH(LARGE($U$2:$U$231,8),$U$2:$U$231,0)),"")</f>
        <v>CABALL/ SARDA/ VERDEL (MAC)</v>
      </c>
      <c r="C33" s="17" t="n">
        <f aca="false">IFERROR(LARGE($U$2:$U$231,8),0)</f>
        <v>3290.95</v>
      </c>
      <c r="E33" s="15" t="n">
        <v>8</v>
      </c>
      <c r="F33" s="16" t="str">
        <f aca="false">IFERROR(INDEX($T$2:$T$231,MATCH(LARGE($V$2:$V$231,8),$V$2:$V$231,0)),"")</f>
        <v>MERLUZA EUROPEA PINCHO COSTA 800</v>
      </c>
      <c r="G33" s="18" t="n">
        <f aca="false">IFERROR(LARGE($V$2:$V$231,8),0)</f>
        <v>13944.35595</v>
      </c>
      <c r="N33" s="1" t="n">
        <f aca="false">PROVEEDORES!A34</f>
        <v>50510</v>
      </c>
      <c r="O33" s="1" t="str">
        <f aca="false">PROVEEDORES!B34</f>
        <v>PETACA CHICO S.L.</v>
      </c>
      <c r="P33" s="1" t="n">
        <f aca="false">IF(N33&lt;&gt;"",SUMIFS(COMPRAS!$J$3:$J$4997,COMPRAS!$D$3:$D$4997,N33,COMPRAS!$B$3:$B$4997,"&gt;="&amp;IF($C$4="",DATE(1900,1,1),$C$4),COMPRAS!$B$3:$B$4997,"&lt;="&amp;IF($F$4="",DATE(2999,12,31),$F$4)),0)</f>
        <v>126.7</v>
      </c>
      <c r="Q33" s="1" t="n">
        <f aca="false">IF(N33&lt;&gt;"",SUMIFS(COMPRAS!$O$3:$O$4997,COMPRAS!$D$3:$D$4997,N33,COMPRAS!$B$3:$B$4997,"&gt;="&amp;IF($C$4="",DATE(1900,1,1),$C$4),COMPRAS!$B$3:$B$4997,"&lt;="&amp;IF($F$4="",DATE(2999,12,31),$F$4)),0)</f>
        <v>2416.09</v>
      </c>
      <c r="S33" s="1" t="str">
        <f aca="false">PRODUCTOS!A34</f>
        <v>C730</v>
      </c>
      <c r="T33" s="1" t="str">
        <f aca="false">PRODUCTOS!B34</f>
        <v>CALAMAR PATAGONICO (SQP)</v>
      </c>
      <c r="U33" s="1" t="n">
        <f aca="false">IF(S33&lt;&gt;"",SUMIFS(COMPRAS!$J$3:$J$4997,COMPRAS!$G$3:$G$4997,S33,COMPRAS!$B$3:$B$4997,"&gt;="&amp;IF($C$4="",DATE(1900,1,1),$C$4),COMPRAS!$B$3:$B$4997,"&lt;="&amp;IF($F$4="",DATE(2999,12,31),$F$4)),0)</f>
        <v>0</v>
      </c>
      <c r="V33" s="1" t="n">
        <f aca="false">IF(S33&lt;&gt;"",SUMIFS(COMPRAS!$O$3:$O$4997,COMPRAS!$G$3:$G$4997,S33,COMPRAS!$B$3:$B$4997,"&gt;="&amp;IF($C$4="",DATE(1900,1,1),$C$4),COMPRAS!$B$3:$B$4997,"&lt;="&amp;IF($F$4="",DATE(2999,12,31),$F$4)),0)</f>
        <v>0</v>
      </c>
      <c r="Y33" s="1" t="n">
        <f aca="false">IF($X$2="TODOS",U33,IF(S33&lt;&gt;"",SUMIFS(COMPRAS!$J$3:$J$4997,COMPRAS!$G$3:$G$4997,S33,COMPRAS!$D$3:$D$4997,$X$2,COMPRAS!$B$3:$B$4997,"&gt;="&amp;IF($C$4="",DATE(1900,1,1),$C$4),COMPRAS!$B$3:$B$4997,"&lt;="&amp;IF($F$4="",DATE(2999,12,31),$F$4)),0))</f>
        <v>0</v>
      </c>
      <c r="Z33" s="1" t="n">
        <f aca="false">IF($X$2="TODOS",V33,IF(S33&lt;&gt;"",SUMIFS(COMPRAS!$O$3:$O$4997,COMPRAS!$G$3:$G$4997,S33,COMPRAS!$D$3:$D$4997,$X$2,COMPRAS!$B$3:$B$4997,"&gt;="&amp;IF($C$4="",DATE(1900,1,1),$C$4),COMPRAS!$B$3:$B$4997,"&lt;="&amp;IF($F$4="",DATE(2999,12,31),$F$4)),0))</f>
        <v>0</v>
      </c>
    </row>
    <row r="34" customFormat="false" ht="15" hidden="false" customHeight="true" outlineLevel="0" collapsed="false">
      <c r="A34" s="11" t="n">
        <v>9</v>
      </c>
      <c r="B34" s="12" t="str">
        <f aca="false">IFERROR(INDEX($T$2:$T$231,MATCH(LARGE($U$2:$U$231,9),$U$2:$U$231,0)),"")</f>
        <v>MERLUZA EUROPEA PINCHO COSTA 800</v>
      </c>
      <c r="C34" s="13" t="n">
        <f aca="false">IFERROR(LARGE($U$2:$U$231,9),0)</f>
        <v>2398.55</v>
      </c>
      <c r="E34" s="11" t="n">
        <v>9</v>
      </c>
      <c r="F34" s="12" t="str">
        <f aca="false">IFERROR(INDEX($T$2:$T$231,MATCH(LARGE($V$2:$V$231,9),$V$2:$V$231,0)),"")</f>
        <v>MERLUZA EUROPEA PINCHO COSTA</v>
      </c>
      <c r="G34" s="14" t="n">
        <f aca="false">IFERROR(LARGE($V$2:$V$231,9),0)</f>
        <v>13017.6429</v>
      </c>
      <c r="N34" s="1" t="n">
        <f aca="false">PROVEEDORES!A35</f>
        <v>50511</v>
      </c>
      <c r="O34" s="1" t="str">
        <f aca="false">PROVEEDORES!B35</f>
        <v>PESCADO JAMARDO S.L</v>
      </c>
      <c r="P34" s="1" t="n">
        <f aca="false">IF(N34&lt;&gt;"",SUMIFS(COMPRAS!$J$3:$J$4997,COMPRAS!$D$3:$D$4997,N34,COMPRAS!$B$3:$B$4997,"&gt;="&amp;IF($C$4="",DATE(1900,1,1),$C$4),COMPRAS!$B$3:$B$4997,"&lt;="&amp;IF($F$4="",DATE(2999,12,31),$F$4)),0)</f>
        <v>0</v>
      </c>
      <c r="Q34" s="1" t="n">
        <f aca="false">IF(N34&lt;&gt;"",SUMIFS(COMPRAS!$O$3:$O$4997,COMPRAS!$D$3:$D$4997,N34,COMPRAS!$B$3:$B$4997,"&gt;="&amp;IF($C$4="",DATE(1900,1,1),$C$4),COMPRAS!$B$3:$B$4997,"&lt;="&amp;IF($F$4="",DATE(2999,12,31),$F$4)),0)</f>
        <v>0</v>
      </c>
      <c r="S34" s="1" t="str">
        <f aca="false">PRODUCTOS!A35</f>
        <v>C720</v>
      </c>
      <c r="T34" s="1" t="str">
        <f aca="false">PRODUCTOS!B35</f>
        <v>CALAMAR VETADO/ FORBES (SQF)</v>
      </c>
      <c r="U34" s="1" t="n">
        <f aca="false">IF(S34&lt;&gt;"",SUMIFS(COMPRAS!$J$3:$J$4997,COMPRAS!$G$3:$G$4997,S34,COMPRAS!$B$3:$B$4997,"&gt;="&amp;IF($C$4="",DATE(1900,1,1),$C$4),COMPRAS!$B$3:$B$4997,"&lt;="&amp;IF($F$4="",DATE(2999,12,31),$F$4)),0)</f>
        <v>59.7</v>
      </c>
      <c r="V34" s="1" t="n">
        <f aca="false">IF(S34&lt;&gt;"",SUMIFS(COMPRAS!$O$3:$O$4997,COMPRAS!$G$3:$G$4997,S34,COMPRAS!$B$3:$B$4997,"&gt;="&amp;IF($C$4="",DATE(1900,1,1),$C$4),COMPRAS!$B$3:$B$4997,"&lt;="&amp;IF($F$4="",DATE(2999,12,31),$F$4)),0)</f>
        <v>1008.2</v>
      </c>
      <c r="Y34" s="1" t="n">
        <f aca="false">IF($X$2="TODOS",U34,IF(S34&lt;&gt;"",SUMIFS(COMPRAS!$J$3:$J$4997,COMPRAS!$G$3:$G$4997,S34,COMPRAS!$D$3:$D$4997,$X$2,COMPRAS!$B$3:$B$4997,"&gt;="&amp;IF($C$4="",DATE(1900,1,1),$C$4),COMPRAS!$B$3:$B$4997,"&lt;="&amp;IF($F$4="",DATE(2999,12,31),$F$4)),0))</f>
        <v>59.7</v>
      </c>
      <c r="Z34" s="1" t="n">
        <f aca="false">IF($X$2="TODOS",V34,IF(S34&lt;&gt;"",SUMIFS(COMPRAS!$O$3:$O$4997,COMPRAS!$G$3:$G$4997,S34,COMPRAS!$D$3:$D$4997,$X$2,COMPRAS!$B$3:$B$4997,"&gt;="&amp;IF($C$4="",DATE(1900,1,1),$C$4),COMPRAS!$B$3:$B$4997,"&lt;="&amp;IF($F$4="",DATE(2999,12,31),$F$4)),0))</f>
        <v>1008.2</v>
      </c>
    </row>
    <row r="35" customFormat="false" ht="15" hidden="false" customHeight="true" outlineLevel="0" collapsed="false">
      <c r="A35" s="15" t="n">
        <v>10</v>
      </c>
      <c r="B35" s="16" t="str">
        <f aca="false">IFERROR(INDEX($T$2:$T$231,MATCH(LARGE($U$2:$U$231,10),$U$2:$U$231,0)),"")</f>
        <v>RAPE NEGRO (ANK)</v>
      </c>
      <c r="C35" s="17" t="n">
        <f aca="false">IFERROR(LARGE($U$2:$U$231,10),0)</f>
        <v>2166.3</v>
      </c>
      <c r="E35" s="15" t="n">
        <v>10</v>
      </c>
      <c r="F35" s="16" t="str">
        <f aca="false">IFERROR(INDEX($T$2:$T$231,MATCH(LARGE($V$2:$V$231,10),$V$2:$V$231,0)),"")</f>
        <v>CABALL/ SARDA/ VERDEL (MAC)</v>
      </c>
      <c r="G35" s="18" t="n">
        <f aca="false">IFERROR(LARGE($V$2:$V$231,10),0)</f>
        <v>12989.6699</v>
      </c>
      <c r="N35" s="1" t="n">
        <f aca="false">PROVEEDORES!A36</f>
        <v>50512</v>
      </c>
      <c r="O35" s="1" t="str">
        <f aca="false">PROVEEDORES!B36</f>
        <v>MAR IMPORT VENTA S.L.</v>
      </c>
      <c r="P35" s="1" t="n">
        <f aca="false">IF(N35&lt;&gt;"",SUMIFS(COMPRAS!$J$3:$J$4997,COMPRAS!$D$3:$D$4997,N35,COMPRAS!$B$3:$B$4997,"&gt;="&amp;IF($C$4="",DATE(1900,1,1),$C$4),COMPRAS!$B$3:$B$4997,"&lt;="&amp;IF($F$4="",DATE(2999,12,31),$F$4)),0)</f>
        <v>0</v>
      </c>
      <c r="Q35" s="1" t="n">
        <f aca="false">IF(N35&lt;&gt;"",SUMIFS(COMPRAS!$O$3:$O$4997,COMPRAS!$D$3:$D$4997,N35,COMPRAS!$B$3:$B$4997,"&gt;="&amp;IF($C$4="",DATE(1900,1,1),$C$4),COMPRAS!$B$3:$B$4997,"&lt;="&amp;IF($F$4="",DATE(2999,12,31),$F$4)),0)</f>
        <v>0</v>
      </c>
      <c r="S35" s="1" t="str">
        <f aca="false">PRODUCTOS!A36</f>
        <v>C823</v>
      </c>
      <c r="T35" s="1" t="str">
        <f aca="false">PRODUCTOS!B36</f>
        <v>CENTOLLA/ CENTOLLO (SCR)</v>
      </c>
      <c r="U35" s="1" t="n">
        <f aca="false">IF(S35&lt;&gt;"",SUMIFS(COMPRAS!$J$3:$J$4997,COMPRAS!$G$3:$G$4997,S35,COMPRAS!$B$3:$B$4997,"&gt;="&amp;IF($C$4="",DATE(1900,1,1),$C$4),COMPRAS!$B$3:$B$4997,"&lt;="&amp;IF($F$4="",DATE(2999,12,31),$F$4)),0)</f>
        <v>0</v>
      </c>
      <c r="V35" s="1" t="n">
        <f aca="false">IF(S35&lt;&gt;"",SUMIFS(COMPRAS!$O$3:$O$4997,COMPRAS!$G$3:$G$4997,S35,COMPRAS!$B$3:$B$4997,"&gt;="&amp;IF($C$4="",DATE(1900,1,1),$C$4),COMPRAS!$B$3:$B$4997,"&lt;="&amp;IF($F$4="",DATE(2999,12,31),$F$4)),0)</f>
        <v>0</v>
      </c>
      <c r="Y35" s="1" t="n">
        <f aca="false">IF($X$2="TODOS",U35,IF(S35&lt;&gt;"",SUMIFS(COMPRAS!$J$3:$J$4997,COMPRAS!$G$3:$G$4997,S35,COMPRAS!$D$3:$D$4997,$X$2,COMPRAS!$B$3:$B$4997,"&gt;="&amp;IF($C$4="",DATE(1900,1,1),$C$4),COMPRAS!$B$3:$B$4997,"&lt;="&amp;IF($F$4="",DATE(2999,12,31),$F$4)),0))</f>
        <v>0</v>
      </c>
      <c r="Z35" s="1" t="n">
        <f aca="false">IF($X$2="TODOS",V35,IF(S35&lt;&gt;"",SUMIFS(COMPRAS!$O$3:$O$4997,COMPRAS!$G$3:$G$4997,S35,COMPRAS!$D$3:$D$4997,$X$2,COMPRAS!$B$3:$B$4997,"&gt;="&amp;IF($C$4="",DATE(1900,1,1),$C$4),COMPRAS!$B$3:$B$4997,"&lt;="&amp;IF($F$4="",DATE(2999,12,31),$F$4)),0))</f>
        <v>0</v>
      </c>
    </row>
    <row r="36" customFormat="false" ht="15" hidden="false" customHeight="true" outlineLevel="0" collapsed="false">
      <c r="A36" s="11" t="n">
        <v>11</v>
      </c>
      <c r="B36" s="12" t="str">
        <f aca="false">IFERROR(INDEX($T$2:$T$231,MATCH(LARGE($U$2:$U$231,11),$U$2:$U$231,0)),"")</f>
        <v>MERLUZA EUROPEA PINCHO COSTA</v>
      </c>
      <c r="C36" s="13" t="n">
        <f aca="false">IFERROR(LARGE($U$2:$U$231,11),0)</f>
        <v>2084.85</v>
      </c>
      <c r="E36" s="11" t="n">
        <v>11</v>
      </c>
      <c r="F36" s="12" t="str">
        <f aca="false">IFERROR(INDEX($T$2:$T$231,MATCH(LARGE($V$2:$V$231,11),$V$2:$V$231,0)),"")</f>
        <v>RAPE BLANCO DIA (MON)</v>
      </c>
      <c r="G36" s="14" t="n">
        <f aca="false">IFERROR(LARGE($V$2:$V$231,11),0)</f>
        <v>11377.2921</v>
      </c>
      <c r="N36" s="1" t="n">
        <f aca="false">PROVEEDORES!A37</f>
        <v>50513</v>
      </c>
      <c r="O36" s="1" t="str">
        <f aca="false">PROVEEDORES!B37</f>
        <v>SUBASTAS CEBREIRA S.L.</v>
      </c>
      <c r="P36" s="1" t="n">
        <f aca="false">IF(N36&lt;&gt;"",SUMIFS(COMPRAS!$J$3:$J$4997,COMPRAS!$D$3:$D$4997,N36,COMPRAS!$B$3:$B$4997,"&gt;="&amp;IF($C$4="",DATE(1900,1,1),$C$4),COMPRAS!$B$3:$B$4997,"&lt;="&amp;IF($F$4="",DATE(2999,12,31),$F$4)),0)</f>
        <v>0</v>
      </c>
      <c r="Q36" s="1" t="n">
        <f aca="false">IF(N36&lt;&gt;"",SUMIFS(COMPRAS!$O$3:$O$4997,COMPRAS!$D$3:$D$4997,N36,COMPRAS!$B$3:$B$4997,"&gt;="&amp;IF($C$4="",DATE(1900,1,1),$C$4),COMPRAS!$B$3:$B$4997,"&lt;="&amp;IF($F$4="",DATE(2999,12,31),$F$4)),0)</f>
        <v>0</v>
      </c>
      <c r="S36" s="1" t="str">
        <f aca="false">PRODUCTOS!A37</f>
        <v>C396</v>
      </c>
      <c r="T36" s="1" t="str">
        <f aca="false">PRODUCTOS!B37</f>
        <v>CHICHARRO/ JUREL/ XURELO (HOM)</v>
      </c>
      <c r="U36" s="1" t="n">
        <f aca="false">IF(S36&lt;&gt;"",SUMIFS(COMPRAS!$J$3:$J$4997,COMPRAS!$G$3:$G$4997,S36,COMPRAS!$B$3:$B$4997,"&gt;="&amp;IF($C$4="",DATE(1900,1,1),$C$4),COMPRAS!$B$3:$B$4997,"&lt;="&amp;IF($F$4="",DATE(2999,12,31),$F$4)),0)</f>
        <v>728.1</v>
      </c>
      <c r="V36" s="1" t="n">
        <f aca="false">IF(S36&lt;&gt;"",SUMIFS(COMPRAS!$O$3:$O$4997,COMPRAS!$G$3:$G$4997,S36,COMPRAS!$B$3:$B$4997,"&gt;="&amp;IF($C$4="",DATE(1900,1,1),$C$4),COMPRAS!$B$3:$B$4997,"&lt;="&amp;IF($F$4="",DATE(2999,12,31),$F$4)),0)</f>
        <v>1233.6198</v>
      </c>
      <c r="Y36" s="1" t="n">
        <f aca="false">IF($X$2="TODOS",U36,IF(S36&lt;&gt;"",SUMIFS(COMPRAS!$J$3:$J$4997,COMPRAS!$G$3:$G$4997,S36,COMPRAS!$D$3:$D$4997,$X$2,COMPRAS!$B$3:$B$4997,"&gt;="&amp;IF($C$4="",DATE(1900,1,1),$C$4),COMPRAS!$B$3:$B$4997,"&lt;="&amp;IF($F$4="",DATE(2999,12,31),$F$4)),0))</f>
        <v>728.1</v>
      </c>
      <c r="Z36" s="1" t="n">
        <f aca="false">IF($X$2="TODOS",V36,IF(S36&lt;&gt;"",SUMIFS(COMPRAS!$O$3:$O$4997,COMPRAS!$G$3:$G$4997,S36,COMPRAS!$D$3:$D$4997,$X$2,COMPRAS!$B$3:$B$4997,"&gt;="&amp;IF($C$4="",DATE(1900,1,1),$C$4),COMPRAS!$B$3:$B$4997,"&lt;="&amp;IF($F$4="",DATE(2999,12,31),$F$4)),0))</f>
        <v>1233.6198</v>
      </c>
    </row>
    <row r="37" customFormat="false" ht="15" hidden="false" customHeight="true" outlineLevel="0" collapsed="false">
      <c r="A37" s="15" t="n">
        <v>12</v>
      </c>
      <c r="B37" s="16" t="str">
        <f aca="false">IFERROR(INDEX($T$2:$T$231,MATCH(LARGE($U$2:$U$231,12),$U$2:$U$231,0)),"")</f>
        <v>CONGRIO 10+  (COE)</v>
      </c>
      <c r="C37" s="17" t="n">
        <f aca="false">IFERROR(LARGE($U$2:$U$231,12),0)</f>
        <v>1969</v>
      </c>
      <c r="E37" s="15" t="n">
        <v>12</v>
      </c>
      <c r="F37" s="16" t="str">
        <f aca="false">IFERROR(INDEX($T$2:$T$231,MATCH(LARGE($V$2:$V$231,12),$V$2:$V$231,0)),"")</f>
        <v>MERLUZA EUROPEA ARRASTRE (HKE) </v>
      </c>
      <c r="G37" s="18" t="n">
        <f aca="false">IFERROR(LARGE($V$2:$V$231,12),0)</f>
        <v>11270.29875</v>
      </c>
      <c r="N37" s="1" t="n">
        <f aca="false">PROVEEDORES!A38</f>
        <v>50514</v>
      </c>
      <c r="O37" s="1" t="str">
        <f aca="false">PROVEEDORES!B38</f>
        <v>PESCADO Y MARISCOS ADELAIDA S.L.</v>
      </c>
      <c r="P37" s="1" t="n">
        <f aca="false">IF(N37&lt;&gt;"",SUMIFS(COMPRAS!$J$3:$J$4997,COMPRAS!$D$3:$D$4997,N37,COMPRAS!$B$3:$B$4997,"&gt;="&amp;IF($C$4="",DATE(1900,1,1),$C$4),COMPRAS!$B$3:$B$4997,"&lt;="&amp;IF($F$4="",DATE(2999,12,31),$F$4)),0)</f>
        <v>937.74</v>
      </c>
      <c r="Q37" s="1" t="n">
        <f aca="false">IF(N37&lt;&gt;"",SUMIFS(COMPRAS!$O$3:$O$4997,COMPRAS!$D$3:$D$4997,N37,COMPRAS!$B$3:$B$4997,"&gt;="&amp;IF($C$4="",DATE(1900,1,1),$C$4),COMPRAS!$B$3:$B$4997,"&lt;="&amp;IF($F$4="",DATE(2999,12,31),$F$4)),0)</f>
        <v>5474.4725</v>
      </c>
      <c r="S37" s="1" t="str">
        <f aca="false">PRODUCTOS!A38</f>
        <v>C4301</v>
      </c>
      <c r="T37" s="1" t="str">
        <f aca="false">PRODUCTOS!B38</f>
        <v>CHOPAS (BRB)</v>
      </c>
      <c r="U37" s="1" t="n">
        <f aca="false">IF(S37&lt;&gt;"",SUMIFS(COMPRAS!$J$3:$J$4997,COMPRAS!$G$3:$G$4997,S37,COMPRAS!$B$3:$B$4997,"&gt;="&amp;IF($C$4="",DATE(1900,1,1),$C$4),COMPRAS!$B$3:$B$4997,"&lt;="&amp;IF($F$4="",DATE(2999,12,31),$F$4)),0)</f>
        <v>0</v>
      </c>
      <c r="V37" s="1" t="n">
        <f aca="false">IF(S37&lt;&gt;"",SUMIFS(COMPRAS!$O$3:$O$4997,COMPRAS!$G$3:$G$4997,S37,COMPRAS!$B$3:$B$4997,"&gt;="&amp;IF($C$4="",DATE(1900,1,1),$C$4),COMPRAS!$B$3:$B$4997,"&lt;="&amp;IF($F$4="",DATE(2999,12,31),$F$4)),0)</f>
        <v>0</v>
      </c>
      <c r="Y37" s="1" t="n">
        <f aca="false">IF($X$2="TODOS",U37,IF(S37&lt;&gt;"",SUMIFS(COMPRAS!$J$3:$J$4997,COMPRAS!$G$3:$G$4997,S37,COMPRAS!$D$3:$D$4997,$X$2,COMPRAS!$B$3:$B$4997,"&gt;="&amp;IF($C$4="",DATE(1900,1,1),$C$4),COMPRAS!$B$3:$B$4997,"&lt;="&amp;IF($F$4="",DATE(2999,12,31),$F$4)),0))</f>
        <v>0</v>
      </c>
      <c r="Z37" s="1" t="n">
        <f aca="false">IF($X$2="TODOS",V37,IF(S37&lt;&gt;"",SUMIFS(COMPRAS!$O$3:$O$4997,COMPRAS!$G$3:$G$4997,S37,COMPRAS!$D$3:$D$4997,$X$2,COMPRAS!$B$3:$B$4997,"&gt;="&amp;IF($C$4="",DATE(1900,1,1),$C$4),COMPRAS!$B$3:$B$4997,"&lt;="&amp;IF($F$4="",DATE(2999,12,31),$F$4)),0))</f>
        <v>0</v>
      </c>
    </row>
    <row r="38" customFormat="false" ht="15" hidden="false" customHeight="true" outlineLevel="0" collapsed="false">
      <c r="A38" s="11" t="n">
        <v>13</v>
      </c>
      <c r="B38" s="12" t="str">
        <f aca="false">IFERROR(INDEX($T$2:$T$231,MATCH(LARGE($U$2:$U$231,13),$U$2:$U$231,0)),"")</f>
        <v>RAYA SPP (SKA)</v>
      </c>
      <c r="C38" s="13" t="n">
        <f aca="false">IFERROR(LARGE($U$2:$U$231,13),0)</f>
        <v>1919.75</v>
      </c>
      <c r="E38" s="11" t="n">
        <v>13</v>
      </c>
      <c r="F38" s="12" t="str">
        <f aca="false">IFERROR(INDEX($T$2:$T$231,MATCH(LARGE($V$2:$V$231,13),$V$2:$V$231,0)),"")</f>
        <v>BESUGO (BSR)</v>
      </c>
      <c r="G38" s="14" t="n">
        <f aca="false">IFERROR(LARGE($V$2:$V$231,13),0)</f>
        <v>11163.7981</v>
      </c>
      <c r="N38" s="1" t="n">
        <f aca="false">PROVEEDORES!A39</f>
        <v>50515</v>
      </c>
      <c r="O38" s="1" t="str">
        <f aca="false">PROVEEDORES!B39</f>
        <v>PESCADOS CHEMAER S.L.</v>
      </c>
      <c r="P38" s="1" t="n">
        <f aca="false">IF(N38&lt;&gt;"",SUMIFS(COMPRAS!$J$3:$J$4997,COMPRAS!$D$3:$D$4997,N38,COMPRAS!$B$3:$B$4997,"&gt;="&amp;IF($C$4="",DATE(1900,1,1),$C$4),COMPRAS!$B$3:$B$4997,"&lt;="&amp;IF($F$4="",DATE(2999,12,31),$F$4)),0)</f>
        <v>0</v>
      </c>
      <c r="Q38" s="1" t="n">
        <f aca="false">IF(N38&lt;&gt;"",SUMIFS(COMPRAS!$O$3:$O$4997,COMPRAS!$D$3:$D$4997,N38,COMPRAS!$B$3:$B$4997,"&gt;="&amp;IF($C$4="",DATE(1900,1,1),$C$4),COMPRAS!$B$3:$B$4997,"&lt;="&amp;IF($F$4="",DATE(2999,12,31),$F$4)),0)</f>
        <v>0</v>
      </c>
      <c r="S38" s="1" t="str">
        <f aca="false">PRODUCTOS!A39</f>
        <v>C2008</v>
      </c>
      <c r="T38" s="1" t="str">
        <f aca="false">PRODUCTOS!B39</f>
        <v>CIGALAS EN COLAS </v>
      </c>
      <c r="U38" s="1" t="n">
        <f aca="false">IF(S38&lt;&gt;"",SUMIFS(COMPRAS!$J$3:$J$4997,COMPRAS!$G$3:$G$4997,S38,COMPRAS!$B$3:$B$4997,"&gt;="&amp;IF($C$4="",DATE(1900,1,1),$C$4),COMPRAS!$B$3:$B$4997,"&lt;="&amp;IF($F$4="",DATE(2999,12,31),$F$4)),0)</f>
        <v>0</v>
      </c>
      <c r="V38" s="1" t="n">
        <f aca="false">IF(S38&lt;&gt;"",SUMIFS(COMPRAS!$O$3:$O$4997,COMPRAS!$G$3:$G$4997,S38,COMPRAS!$B$3:$B$4997,"&gt;="&amp;IF($C$4="",DATE(1900,1,1),$C$4),COMPRAS!$B$3:$B$4997,"&lt;="&amp;IF($F$4="",DATE(2999,12,31),$F$4)),0)</f>
        <v>0</v>
      </c>
      <c r="Y38" s="1" t="n">
        <f aca="false">IF($X$2="TODOS",U38,IF(S38&lt;&gt;"",SUMIFS(COMPRAS!$J$3:$J$4997,COMPRAS!$G$3:$G$4997,S38,COMPRAS!$D$3:$D$4997,$X$2,COMPRAS!$B$3:$B$4997,"&gt;="&amp;IF($C$4="",DATE(1900,1,1),$C$4),COMPRAS!$B$3:$B$4997,"&lt;="&amp;IF($F$4="",DATE(2999,12,31),$F$4)),0))</f>
        <v>0</v>
      </c>
      <c r="Z38" s="1" t="n">
        <f aca="false">IF($X$2="TODOS",V38,IF(S38&lt;&gt;"",SUMIFS(COMPRAS!$O$3:$O$4997,COMPRAS!$G$3:$G$4997,S38,COMPRAS!$D$3:$D$4997,$X$2,COMPRAS!$B$3:$B$4997,"&gt;="&amp;IF($C$4="",DATE(1900,1,1),$C$4),COMPRAS!$B$3:$B$4997,"&lt;="&amp;IF($F$4="",DATE(2999,12,31),$F$4)),0))</f>
        <v>0</v>
      </c>
    </row>
    <row r="39" customFormat="false" ht="15" hidden="false" customHeight="true" outlineLevel="0" collapsed="false">
      <c r="A39" s="15" t="n">
        <v>14</v>
      </c>
      <c r="B39" s="16" t="str">
        <f aca="false">IFERROR(INDEX($T$2:$T$231,MATCH(LARGE($U$2:$U$231,14),$U$2:$U$231,0)),"")</f>
        <v>MERLUZA EUROPEA VOLANTA ALTURA</v>
      </c>
      <c r="C39" s="17" t="n">
        <f aca="false">IFERROR(LARGE($U$2:$U$231,14),0)</f>
        <v>1914.5</v>
      </c>
      <c r="E39" s="15" t="n">
        <v>14</v>
      </c>
      <c r="F39" s="16" t="str">
        <f aca="false">IFERROR(INDEX($T$2:$T$231,MATCH(LARGE($V$2:$V$231,14),$V$2:$V$231,0)),"")</f>
        <v>SAN MARTIÑOS/ SAN PEDROS (JOD)</v>
      </c>
      <c r="G39" s="18" t="n">
        <f aca="false">IFERROR(LARGE($V$2:$V$231,14),0)</f>
        <v>10363.49</v>
      </c>
      <c r="N39" s="1" t="n">
        <f aca="false">PROVEEDORES!A40</f>
        <v>50516</v>
      </c>
      <c r="O39" s="1" t="str">
        <f aca="false">PROVEEDORES!B40</f>
        <v>PESLEIRAS S.L.</v>
      </c>
      <c r="P39" s="1" t="n">
        <f aca="false">IF(N39&lt;&gt;"",SUMIFS(COMPRAS!$J$3:$J$4997,COMPRAS!$D$3:$D$4997,N39,COMPRAS!$B$3:$B$4997,"&gt;="&amp;IF($C$4="",DATE(1900,1,1),$C$4),COMPRAS!$B$3:$B$4997,"&lt;="&amp;IF($F$4="",DATE(2999,12,31),$F$4)),0)</f>
        <v>0</v>
      </c>
      <c r="Q39" s="1" t="n">
        <f aca="false">IF(N39&lt;&gt;"",SUMIFS(COMPRAS!$O$3:$O$4997,COMPRAS!$D$3:$D$4997,N39,COMPRAS!$B$3:$B$4997,"&gt;="&amp;IF($C$4="",DATE(1900,1,1),$C$4),COMPRAS!$B$3:$B$4997,"&lt;="&amp;IF($F$4="",DATE(2999,12,31),$F$4)),0)</f>
        <v>0</v>
      </c>
      <c r="S39" s="1" t="str">
        <f aca="false">PRODUCTOS!A40</f>
        <v>C2101</v>
      </c>
      <c r="T39" s="1" t="str">
        <f aca="false">PRODUCTOS!B40</f>
        <v>CIGALA "1" (NEP)</v>
      </c>
      <c r="U39" s="1" t="n">
        <f aca="false">IF(S39&lt;&gt;"",SUMIFS(COMPRAS!$J$3:$J$4997,COMPRAS!$G$3:$G$4997,S39,COMPRAS!$B$3:$B$4997,"&gt;="&amp;IF($C$4="",DATE(1900,1,1),$C$4),COMPRAS!$B$3:$B$4997,"&lt;="&amp;IF($F$4="",DATE(2999,12,31),$F$4)),0)</f>
        <v>0</v>
      </c>
      <c r="V39" s="1" t="n">
        <f aca="false">IF(S39&lt;&gt;"",SUMIFS(COMPRAS!$O$3:$O$4997,COMPRAS!$G$3:$G$4997,S39,COMPRAS!$B$3:$B$4997,"&gt;="&amp;IF($C$4="",DATE(1900,1,1),$C$4),COMPRAS!$B$3:$B$4997,"&lt;="&amp;IF($F$4="",DATE(2999,12,31),$F$4)),0)</f>
        <v>0</v>
      </c>
      <c r="Y39" s="1" t="n">
        <f aca="false">IF($X$2="TODOS",U39,IF(S39&lt;&gt;"",SUMIFS(COMPRAS!$J$3:$J$4997,COMPRAS!$G$3:$G$4997,S39,COMPRAS!$D$3:$D$4997,$X$2,COMPRAS!$B$3:$B$4997,"&gt;="&amp;IF($C$4="",DATE(1900,1,1),$C$4),COMPRAS!$B$3:$B$4997,"&lt;="&amp;IF($F$4="",DATE(2999,12,31),$F$4)),0))</f>
        <v>0</v>
      </c>
      <c r="Z39" s="1" t="n">
        <f aca="false">IF($X$2="TODOS",V39,IF(S39&lt;&gt;"",SUMIFS(COMPRAS!$O$3:$O$4997,COMPRAS!$G$3:$G$4997,S39,COMPRAS!$D$3:$D$4997,$X$2,COMPRAS!$B$3:$B$4997,"&gt;="&amp;IF($C$4="",DATE(1900,1,1),$C$4),COMPRAS!$B$3:$B$4997,"&lt;="&amp;IF($F$4="",DATE(2999,12,31),$F$4)),0))</f>
        <v>0</v>
      </c>
    </row>
    <row r="40" customFormat="false" ht="15" hidden="false" customHeight="true" outlineLevel="0" collapsed="false">
      <c r="A40" s="11" t="n">
        <v>15</v>
      </c>
      <c r="B40" s="12" t="str">
        <f aca="false">IFERROR(INDEX($T$2:$T$231,MATCH(LARGE($U$2:$U$231,15),$U$2:$U$231,0)),"")</f>
        <v>RAPE BLANCO DIA (MON)</v>
      </c>
      <c r="C40" s="13" t="n">
        <f aca="false">IFERROR(LARGE($U$2:$U$231,15),0)</f>
        <v>1902.75</v>
      </c>
      <c r="E40" s="11" t="n">
        <v>15</v>
      </c>
      <c r="F40" s="12" t="str">
        <f aca="false">IFERROR(INDEX($T$2:$T$231,MATCH(LARGE($V$2:$V$231,15),$V$2:$V$231,0)),"")</f>
        <v>RAPE NEGRO (ANK)</v>
      </c>
      <c r="G40" s="14" t="n">
        <f aca="false">IFERROR(LARGE($V$2:$V$231,15),0)</f>
        <v>10128.4674</v>
      </c>
      <c r="N40" s="1" t="n">
        <f aca="false">PROVEEDORES!A41</f>
        <v>50517</v>
      </c>
      <c r="O40" s="1" t="str">
        <f aca="false">PROVEEDORES!B41</f>
        <v>VELOMAR S.L.</v>
      </c>
      <c r="P40" s="1" t="n">
        <f aca="false">IF(N40&lt;&gt;"",SUMIFS(COMPRAS!$J$3:$J$4997,COMPRAS!$D$3:$D$4997,N40,COMPRAS!$B$3:$B$4997,"&gt;="&amp;IF($C$4="",DATE(1900,1,1),$C$4),COMPRAS!$B$3:$B$4997,"&lt;="&amp;IF($F$4="",DATE(2999,12,31),$F$4)),0)</f>
        <v>0</v>
      </c>
      <c r="Q40" s="1" t="n">
        <f aca="false">IF(N40&lt;&gt;"",SUMIFS(COMPRAS!$O$3:$O$4997,COMPRAS!$D$3:$D$4997,N40,COMPRAS!$B$3:$B$4997,"&gt;="&amp;IF($C$4="",DATE(1900,1,1),$C$4),COMPRAS!$B$3:$B$4997,"&lt;="&amp;IF($F$4="",DATE(2999,12,31),$F$4)),0)</f>
        <v>0</v>
      </c>
      <c r="S40" s="1" t="str">
        <f aca="false">PRODUCTOS!A41</f>
        <v>C2004</v>
      </c>
      <c r="T40" s="1" t="str">
        <f aca="false">PRODUCTOS!B41</f>
        <v>CIGALA "2" (NEP)</v>
      </c>
      <c r="U40" s="1" t="n">
        <f aca="false">IF(S40&lt;&gt;"",SUMIFS(COMPRAS!$J$3:$J$4997,COMPRAS!$G$3:$G$4997,S40,COMPRAS!$B$3:$B$4997,"&gt;="&amp;IF($C$4="",DATE(1900,1,1),$C$4),COMPRAS!$B$3:$B$4997,"&lt;="&amp;IF($F$4="",DATE(2999,12,31),$F$4)),0)</f>
        <v>0</v>
      </c>
      <c r="V40" s="1" t="n">
        <f aca="false">IF(S40&lt;&gt;"",SUMIFS(COMPRAS!$O$3:$O$4997,COMPRAS!$G$3:$G$4997,S40,COMPRAS!$B$3:$B$4997,"&gt;="&amp;IF($C$4="",DATE(1900,1,1),$C$4),COMPRAS!$B$3:$B$4997,"&lt;="&amp;IF($F$4="",DATE(2999,12,31),$F$4)),0)</f>
        <v>0</v>
      </c>
      <c r="Y40" s="1" t="n">
        <f aca="false">IF($X$2="TODOS",U40,IF(S40&lt;&gt;"",SUMIFS(COMPRAS!$J$3:$J$4997,COMPRAS!$G$3:$G$4997,S40,COMPRAS!$D$3:$D$4997,$X$2,COMPRAS!$B$3:$B$4997,"&gt;="&amp;IF($C$4="",DATE(1900,1,1),$C$4),COMPRAS!$B$3:$B$4997,"&lt;="&amp;IF($F$4="",DATE(2999,12,31),$F$4)),0))</f>
        <v>0</v>
      </c>
      <c r="Z40" s="1" t="n">
        <f aca="false">IF($X$2="TODOS",V40,IF(S40&lt;&gt;"",SUMIFS(COMPRAS!$O$3:$O$4997,COMPRAS!$G$3:$G$4997,S40,COMPRAS!$D$3:$D$4997,$X$2,COMPRAS!$B$3:$B$4997,"&gt;="&amp;IF($C$4="",DATE(1900,1,1),$C$4),COMPRAS!$B$3:$B$4997,"&lt;="&amp;IF($F$4="",DATE(2999,12,31),$F$4)),0))</f>
        <v>0</v>
      </c>
    </row>
    <row r="41" customFormat="false" ht="15" hidden="false" customHeight="true" outlineLevel="0" collapsed="false">
      <c r="N41" s="1" t="n">
        <f aca="false">PROVEEDORES!A42</f>
        <v>50518</v>
      </c>
      <c r="O41" s="1" t="str">
        <f aca="false">PROVEEDORES!B42</f>
        <v>NOVOMA DE CELEIRO S.L</v>
      </c>
      <c r="P41" s="1" t="n">
        <f aca="false">IF(N41&lt;&gt;"",SUMIFS(COMPRAS!$J$3:$J$4997,COMPRAS!$D$3:$D$4997,N41,COMPRAS!$B$3:$B$4997,"&gt;="&amp;IF($C$4="",DATE(1900,1,1),$C$4),COMPRAS!$B$3:$B$4997,"&lt;="&amp;IF($F$4="",DATE(2999,12,31),$F$4)),0)</f>
        <v>0</v>
      </c>
      <c r="Q41" s="1" t="n">
        <f aca="false">IF(N41&lt;&gt;"",SUMIFS(COMPRAS!$O$3:$O$4997,COMPRAS!$D$3:$D$4997,N41,COMPRAS!$B$3:$B$4997,"&gt;="&amp;IF($C$4="",DATE(1900,1,1),$C$4),COMPRAS!$B$3:$B$4997,"&lt;="&amp;IF($F$4="",DATE(2999,12,31),$F$4)),0)</f>
        <v>0</v>
      </c>
      <c r="S41" s="1" t="str">
        <f aca="false">PRODUCTOS!A42</f>
        <v>C2104</v>
      </c>
      <c r="T41" s="1" t="str">
        <f aca="false">PRODUCTOS!B42</f>
        <v>CIGALA "3P" (NEP)</v>
      </c>
      <c r="U41" s="1" t="n">
        <f aca="false">IF(S41&lt;&gt;"",SUMIFS(COMPRAS!$J$3:$J$4997,COMPRAS!$G$3:$G$4997,S41,COMPRAS!$B$3:$B$4997,"&gt;="&amp;IF($C$4="",DATE(1900,1,1),$C$4),COMPRAS!$B$3:$B$4997,"&lt;="&amp;IF($F$4="",DATE(2999,12,31),$F$4)),0)</f>
        <v>48</v>
      </c>
      <c r="V41" s="1" t="n">
        <f aca="false">IF(S41&lt;&gt;"",SUMIFS(COMPRAS!$O$3:$O$4997,COMPRAS!$G$3:$G$4997,S41,COMPRAS!$B$3:$B$4997,"&gt;="&amp;IF($C$4="",DATE(1900,1,1),$C$4),COMPRAS!$B$3:$B$4997,"&lt;="&amp;IF($F$4="",DATE(2999,12,31),$F$4)),0)</f>
        <v>840</v>
      </c>
      <c r="Y41" s="1" t="n">
        <f aca="false">IF($X$2="TODOS",U41,IF(S41&lt;&gt;"",SUMIFS(COMPRAS!$J$3:$J$4997,COMPRAS!$G$3:$G$4997,S41,COMPRAS!$D$3:$D$4997,$X$2,COMPRAS!$B$3:$B$4997,"&gt;="&amp;IF($C$4="",DATE(1900,1,1),$C$4),COMPRAS!$B$3:$B$4997,"&lt;="&amp;IF($F$4="",DATE(2999,12,31),$F$4)),0))</f>
        <v>48</v>
      </c>
      <c r="Z41" s="1" t="n">
        <f aca="false">IF($X$2="TODOS",V41,IF(S41&lt;&gt;"",SUMIFS(COMPRAS!$O$3:$O$4997,COMPRAS!$G$3:$G$4997,S41,COMPRAS!$D$3:$D$4997,$X$2,COMPRAS!$B$3:$B$4997,"&gt;="&amp;IF($C$4="",DATE(1900,1,1),$C$4),COMPRAS!$B$3:$B$4997,"&lt;="&amp;IF($F$4="",DATE(2999,12,31),$F$4)),0))</f>
        <v>840</v>
      </c>
    </row>
    <row r="42" customFormat="false" ht="15" hidden="false" customHeight="true" outlineLevel="0" collapsed="false">
      <c r="N42" s="1" t="n">
        <f aca="false">PROVEEDORES!A43</f>
        <v>50519</v>
      </c>
      <c r="O42" s="1" t="str">
        <f aca="false">PROVEEDORES!B43</f>
        <v>SANTIAGO MONTENEGRO CAMPOS S.L.</v>
      </c>
      <c r="P42" s="1" t="n">
        <f aca="false">IF(N42&lt;&gt;"",SUMIFS(COMPRAS!$J$3:$J$4997,COMPRAS!$D$3:$D$4997,N42,COMPRAS!$B$3:$B$4997,"&gt;="&amp;IF($C$4="",DATE(1900,1,1),$C$4),COMPRAS!$B$3:$B$4997,"&lt;="&amp;IF($F$4="",DATE(2999,12,31),$F$4)),0)</f>
        <v>0</v>
      </c>
      <c r="Q42" s="1" t="n">
        <f aca="false">IF(N42&lt;&gt;"",SUMIFS(COMPRAS!$O$3:$O$4997,COMPRAS!$D$3:$D$4997,N42,COMPRAS!$B$3:$B$4997,"&gt;="&amp;IF($C$4="",DATE(1900,1,1),$C$4),COMPRAS!$B$3:$B$4997,"&lt;="&amp;IF($F$4="",DATE(2999,12,31),$F$4)),0)</f>
        <v>0</v>
      </c>
      <c r="S42" s="1" t="str">
        <f aca="false">PRODUCTOS!A43</f>
        <v>C2105</v>
      </c>
      <c r="T42" s="1" t="str">
        <f aca="false">PRODUCTOS!B43</f>
        <v>CIGALA "3X" (NEP)</v>
      </c>
      <c r="U42" s="1" t="n">
        <f aca="false">IF(S42&lt;&gt;"",SUMIFS(COMPRAS!$J$3:$J$4997,COMPRAS!$G$3:$G$4997,S42,COMPRAS!$B$3:$B$4997,"&gt;="&amp;IF($C$4="",DATE(1900,1,1),$C$4),COMPRAS!$B$3:$B$4997,"&lt;="&amp;IF($F$4="",DATE(2999,12,31),$F$4)),0)</f>
        <v>0</v>
      </c>
      <c r="V42" s="1" t="n">
        <f aca="false">IF(S42&lt;&gt;"",SUMIFS(COMPRAS!$O$3:$O$4997,COMPRAS!$G$3:$G$4997,S42,COMPRAS!$B$3:$B$4997,"&gt;="&amp;IF($C$4="",DATE(1900,1,1),$C$4),COMPRAS!$B$3:$B$4997,"&lt;="&amp;IF($F$4="",DATE(2999,12,31),$F$4)),0)</f>
        <v>0</v>
      </c>
      <c r="Y42" s="1" t="n">
        <f aca="false">IF($X$2="TODOS",U42,IF(S42&lt;&gt;"",SUMIFS(COMPRAS!$J$3:$J$4997,COMPRAS!$G$3:$G$4997,S42,COMPRAS!$D$3:$D$4997,$X$2,COMPRAS!$B$3:$B$4997,"&gt;="&amp;IF($C$4="",DATE(1900,1,1),$C$4),COMPRAS!$B$3:$B$4997,"&lt;="&amp;IF($F$4="",DATE(2999,12,31),$F$4)),0))</f>
        <v>0</v>
      </c>
      <c r="Z42" s="1" t="n">
        <f aca="false">IF($X$2="TODOS",V42,IF(S42&lt;&gt;"",SUMIFS(COMPRAS!$O$3:$O$4997,COMPRAS!$G$3:$G$4997,S42,COMPRAS!$D$3:$D$4997,$X$2,COMPRAS!$B$3:$B$4997,"&gt;="&amp;IF($C$4="",DATE(1900,1,1),$C$4),COMPRAS!$B$3:$B$4997,"&lt;="&amp;IF($F$4="",DATE(2999,12,31),$F$4)),0))</f>
        <v>0</v>
      </c>
    </row>
    <row r="43" customFormat="false" ht="15" hidden="false" customHeight="true" outlineLevel="0" collapsed="false">
      <c r="A43" s="19" t="s">
        <v>19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N43" s="1" t="n">
        <f aca="false">PROVEEDORES!A44</f>
        <v>50520</v>
      </c>
      <c r="O43" s="1" t="str">
        <f aca="false">PROVEEDORES!B44</f>
        <v>GRUPO ENVIMAR NW S.L.</v>
      </c>
      <c r="P43" s="1" t="n">
        <f aca="false">IF(N43&lt;&gt;"",SUMIFS(COMPRAS!$J$3:$J$4997,COMPRAS!$D$3:$D$4997,N43,COMPRAS!$B$3:$B$4997,"&gt;="&amp;IF($C$4="",DATE(1900,1,1),$C$4),COMPRAS!$B$3:$B$4997,"&lt;="&amp;IF($F$4="",DATE(2999,12,31),$F$4)),0)</f>
        <v>0</v>
      </c>
      <c r="Q43" s="1" t="n">
        <f aca="false">IF(N43&lt;&gt;"",SUMIFS(COMPRAS!$O$3:$O$4997,COMPRAS!$D$3:$D$4997,N43,COMPRAS!$B$3:$B$4997,"&gt;="&amp;IF($C$4="",DATE(1900,1,1),$C$4),COMPRAS!$B$3:$B$4997,"&lt;="&amp;IF($F$4="",DATE(2999,12,31),$F$4)),0)</f>
        <v>0</v>
      </c>
      <c r="S43" s="1" t="str">
        <f aca="false">PRODUCTOS!A44</f>
        <v>C2103</v>
      </c>
      <c r="T43" s="1" t="str">
        <f aca="false">PRODUCTOS!B44</f>
        <v>CIGALA "3" (NEP)</v>
      </c>
      <c r="U43" s="1" t="n">
        <f aca="false">IF(S43&lt;&gt;"",SUMIFS(COMPRAS!$J$3:$J$4997,COMPRAS!$G$3:$G$4997,S43,COMPRAS!$B$3:$B$4997,"&gt;="&amp;IF($C$4="",DATE(1900,1,1),$C$4),COMPRAS!$B$3:$B$4997,"&lt;="&amp;IF($F$4="",DATE(2999,12,31),$F$4)),0)</f>
        <v>20</v>
      </c>
      <c r="V43" s="1" t="n">
        <f aca="false">IF(S43&lt;&gt;"",SUMIFS(COMPRAS!$O$3:$O$4997,COMPRAS!$G$3:$G$4997,S43,COMPRAS!$B$3:$B$4997,"&gt;="&amp;IF($C$4="",DATE(1900,1,1),$C$4),COMPRAS!$B$3:$B$4997,"&lt;="&amp;IF($F$4="",DATE(2999,12,31),$F$4)),0)</f>
        <v>360</v>
      </c>
      <c r="Y43" s="1" t="n">
        <f aca="false">IF($X$2="TODOS",U43,IF(S43&lt;&gt;"",SUMIFS(COMPRAS!$J$3:$J$4997,COMPRAS!$G$3:$G$4997,S43,COMPRAS!$D$3:$D$4997,$X$2,COMPRAS!$B$3:$B$4997,"&gt;="&amp;IF($C$4="",DATE(1900,1,1),$C$4),COMPRAS!$B$3:$B$4997,"&lt;="&amp;IF($F$4="",DATE(2999,12,31),$F$4)),0))</f>
        <v>20</v>
      </c>
      <c r="Z43" s="1" t="n">
        <f aca="false">IF($X$2="TODOS",V43,IF(S43&lt;&gt;"",SUMIFS(COMPRAS!$O$3:$O$4997,COMPRAS!$G$3:$G$4997,S43,COMPRAS!$D$3:$D$4997,$X$2,COMPRAS!$B$3:$B$4997,"&gt;="&amp;IF($C$4="",DATE(1900,1,1),$C$4),COMPRAS!$B$3:$B$4997,"&lt;="&amp;IF($F$4="",DATE(2999,12,31),$F$4)),0))</f>
        <v>360</v>
      </c>
    </row>
    <row r="44" customFormat="false" ht="15" hidden="false" customHeight="true" outlineLevel="0" collapsed="false">
      <c r="N44" s="1" t="n">
        <f aca="false">PROVEEDORES!A45</f>
        <v>50521</v>
      </c>
      <c r="O44" s="1" t="str">
        <f aca="false">PROVEEDORES!B45</f>
        <v>SUBASTAS DE ATLANTICO S.L</v>
      </c>
      <c r="P44" s="1" t="n">
        <f aca="false">IF(N44&lt;&gt;"",SUMIFS(COMPRAS!$J$3:$J$4997,COMPRAS!$D$3:$D$4997,N44,COMPRAS!$B$3:$B$4997,"&gt;="&amp;IF($C$4="",DATE(1900,1,1),$C$4),COMPRAS!$B$3:$B$4997,"&lt;="&amp;IF($F$4="",DATE(2999,12,31),$F$4)),0)</f>
        <v>9861.3</v>
      </c>
      <c r="Q44" s="1" t="n">
        <f aca="false">IF(N44&lt;&gt;"",SUMIFS(COMPRAS!$O$3:$O$4997,COMPRAS!$D$3:$D$4997,N44,COMPRAS!$B$3:$B$4997,"&gt;="&amp;IF($C$4="",DATE(1900,1,1),$C$4),COMPRAS!$B$3:$B$4997,"&lt;="&amp;IF($F$4="",DATE(2999,12,31),$F$4)),0)</f>
        <v>24987.66165</v>
      </c>
      <c r="S44" s="1" t="str">
        <f aca="false">PRODUCTOS!A45</f>
        <v>C2100</v>
      </c>
      <c r="T44" s="1" t="str">
        <f aca="false">PRODUCTOS!B45</f>
        <v>CIGALA "0" (NEP)</v>
      </c>
      <c r="U44" s="1" t="n">
        <f aca="false">IF(S44&lt;&gt;"",SUMIFS(COMPRAS!$J$3:$J$4997,COMPRAS!$G$3:$G$4997,S44,COMPRAS!$B$3:$B$4997,"&gt;="&amp;IF($C$4="",DATE(1900,1,1),$C$4),COMPRAS!$B$3:$B$4997,"&lt;="&amp;IF($F$4="",DATE(2999,12,31),$F$4)),0)</f>
        <v>0</v>
      </c>
      <c r="V44" s="1" t="n">
        <f aca="false">IF(S44&lt;&gt;"",SUMIFS(COMPRAS!$O$3:$O$4997,COMPRAS!$G$3:$G$4997,S44,COMPRAS!$B$3:$B$4997,"&gt;="&amp;IF($C$4="",DATE(1900,1,1),$C$4),COMPRAS!$B$3:$B$4997,"&lt;="&amp;IF($F$4="",DATE(2999,12,31),$F$4)),0)</f>
        <v>0</v>
      </c>
      <c r="Y44" s="1" t="n">
        <f aca="false">IF($X$2="TODOS",U44,IF(S44&lt;&gt;"",SUMIFS(COMPRAS!$J$3:$J$4997,COMPRAS!$G$3:$G$4997,S44,COMPRAS!$D$3:$D$4997,$X$2,COMPRAS!$B$3:$B$4997,"&gt;="&amp;IF($C$4="",DATE(1900,1,1),$C$4),COMPRAS!$B$3:$B$4997,"&lt;="&amp;IF($F$4="",DATE(2999,12,31),$F$4)),0))</f>
        <v>0</v>
      </c>
      <c r="Z44" s="1" t="n">
        <f aca="false">IF($X$2="TODOS",V44,IF(S44&lt;&gt;"",SUMIFS(COMPRAS!$O$3:$O$4997,COMPRAS!$G$3:$G$4997,S44,COMPRAS!$D$3:$D$4997,$X$2,COMPRAS!$B$3:$B$4997,"&gt;="&amp;IF($C$4="",DATE(1900,1,1),$C$4),COMPRAS!$B$3:$B$4997,"&lt;="&amp;IF($F$4="",DATE(2999,12,31),$F$4)),0))</f>
        <v>0</v>
      </c>
    </row>
    <row r="45" customFormat="false" ht="21.75" hidden="false" customHeight="true" outlineLevel="0" collapsed="false">
      <c r="A45" s="5" t="s">
        <v>20</v>
      </c>
      <c r="B45" s="20" t="s">
        <v>2</v>
      </c>
      <c r="C45" s="20"/>
      <c r="D45" s="20"/>
      <c r="E45" s="20"/>
      <c r="N45" s="1" t="n">
        <f aca="false">PROVEEDORES!A46</f>
        <v>50525</v>
      </c>
      <c r="O45" s="1" t="str">
        <f aca="false">PROVEEDORES!B46</f>
        <v>FURIC MAREE</v>
      </c>
      <c r="P45" s="1" t="n">
        <f aca="false">IF(N45&lt;&gt;"",SUMIFS(COMPRAS!$J$3:$J$4997,COMPRAS!$D$3:$D$4997,N45,COMPRAS!$B$3:$B$4997,"&gt;="&amp;IF($C$4="",DATE(1900,1,1),$C$4),COMPRAS!$B$3:$B$4997,"&lt;="&amp;IF($F$4="",DATE(2999,12,31),$F$4)),0)</f>
        <v>649.4</v>
      </c>
      <c r="Q45" s="1" t="n">
        <f aca="false">IF(N45&lt;&gt;"",SUMIFS(COMPRAS!$O$3:$O$4997,COMPRAS!$D$3:$D$4997,N45,COMPRAS!$B$3:$B$4997,"&gt;="&amp;IF($C$4="",DATE(1900,1,1),$C$4),COMPRAS!$B$3:$B$4997,"&lt;="&amp;IF($F$4="",DATE(2999,12,31),$F$4)),0)</f>
        <v>14000.16</v>
      </c>
      <c r="S45" s="1" t="str">
        <f aca="false">PRODUCTOS!A46</f>
        <v>C410</v>
      </c>
      <c r="T45" s="1" t="str">
        <f aca="false">PRODUCTOS!B46</f>
        <v>CINTAS/ PEZ CINTA (CBC)</v>
      </c>
      <c r="U45" s="1" t="n">
        <f aca="false">IF(S45&lt;&gt;"",SUMIFS(COMPRAS!$J$3:$J$4997,COMPRAS!$G$3:$G$4997,S45,COMPRAS!$B$3:$B$4997,"&gt;="&amp;IF($C$4="",DATE(1900,1,1),$C$4),COMPRAS!$B$3:$B$4997,"&lt;="&amp;IF($F$4="",DATE(2999,12,31),$F$4)),0)</f>
        <v>595.85</v>
      </c>
      <c r="V45" s="1" t="n">
        <f aca="false">IF(S45&lt;&gt;"",SUMIFS(COMPRAS!$O$3:$O$4997,COMPRAS!$G$3:$G$4997,S45,COMPRAS!$B$3:$B$4997,"&gt;="&amp;IF($C$4="",DATE(1900,1,1),$C$4),COMPRAS!$B$3:$B$4997,"&lt;="&amp;IF($F$4="",DATE(2999,12,31),$F$4)),0)</f>
        <v>1436.72425</v>
      </c>
      <c r="Y45" s="1" t="n">
        <f aca="false">IF($X$2="TODOS",U45,IF(S45&lt;&gt;"",SUMIFS(COMPRAS!$J$3:$J$4997,COMPRAS!$G$3:$G$4997,S45,COMPRAS!$D$3:$D$4997,$X$2,COMPRAS!$B$3:$B$4997,"&gt;="&amp;IF($C$4="",DATE(1900,1,1),$C$4),COMPRAS!$B$3:$B$4997,"&lt;="&amp;IF($F$4="",DATE(2999,12,31),$F$4)),0))</f>
        <v>595.85</v>
      </c>
      <c r="Z45" s="1" t="n">
        <f aca="false">IF($X$2="TODOS",V45,IF(S45&lt;&gt;"",SUMIFS(COMPRAS!$O$3:$O$4997,COMPRAS!$G$3:$G$4997,S45,COMPRAS!$D$3:$D$4997,$X$2,COMPRAS!$B$3:$B$4997,"&gt;="&amp;IF($C$4="",DATE(1900,1,1),$C$4),COMPRAS!$B$3:$B$4997,"&lt;="&amp;IF($F$4="",DATE(2999,12,31),$F$4)),0))</f>
        <v>1436.72425</v>
      </c>
    </row>
    <row r="46" customFormat="false" ht="21.75" hidden="false" customHeight="true" outlineLevel="0" collapsed="false">
      <c r="A46" s="5" t="s">
        <v>21</v>
      </c>
      <c r="B46" s="20" t="s">
        <v>4</v>
      </c>
      <c r="C46" s="20"/>
      <c r="D46" s="20"/>
      <c r="E46" s="20"/>
      <c r="F46" s="7" t="s">
        <v>22</v>
      </c>
      <c r="N46" s="1" t="n">
        <f aca="false">PROVEEDORES!A47</f>
        <v>50523</v>
      </c>
      <c r="O46" s="1" t="str">
        <f aca="false">PROVEEDORES!B47</f>
        <v>URK-EXPORT B.V</v>
      </c>
      <c r="P46" s="1" t="n">
        <f aca="false">IF(N46&lt;&gt;"",SUMIFS(COMPRAS!$J$3:$J$4997,COMPRAS!$D$3:$D$4997,N46,COMPRAS!$B$3:$B$4997,"&gt;="&amp;IF($C$4="",DATE(1900,1,1),$C$4),COMPRAS!$B$3:$B$4997,"&lt;="&amp;IF($F$4="",DATE(2999,12,31),$F$4)),0)</f>
        <v>0</v>
      </c>
      <c r="Q46" s="1" t="n">
        <f aca="false">IF(N46&lt;&gt;"",SUMIFS(COMPRAS!$O$3:$O$4997,COMPRAS!$D$3:$D$4997,N46,COMPRAS!$B$3:$B$4997,"&gt;="&amp;IF($C$4="",DATE(1900,1,1),$C$4),COMPRAS!$B$3:$B$4997,"&lt;="&amp;IF($F$4="",DATE(2999,12,31),$F$4)),0)</f>
        <v>0</v>
      </c>
      <c r="S46" s="1" t="str">
        <f aca="false">PRODUCTOS!A47</f>
        <v>C250</v>
      </c>
      <c r="T46" s="1" t="str">
        <f aca="false">PRODUCTOS!B47</f>
        <v>CONGRIO 10+  (COE)</v>
      </c>
      <c r="U46" s="1" t="n">
        <f aca="false">IF(S46&lt;&gt;"",SUMIFS(COMPRAS!$J$3:$J$4997,COMPRAS!$G$3:$G$4997,S46,COMPRAS!$B$3:$B$4997,"&gt;="&amp;IF($C$4="",DATE(1900,1,1),$C$4),COMPRAS!$B$3:$B$4997,"&lt;="&amp;IF($F$4="",DATE(2999,12,31),$F$4)),0)</f>
        <v>1969</v>
      </c>
      <c r="V46" s="1" t="n">
        <f aca="false">IF(S46&lt;&gt;"",SUMIFS(COMPRAS!$O$3:$O$4997,COMPRAS!$G$3:$G$4997,S46,COMPRAS!$B$3:$B$4997,"&gt;="&amp;IF($C$4="",DATE(1900,1,1),$C$4),COMPRAS!$B$3:$B$4997,"&lt;="&amp;IF($F$4="",DATE(2999,12,31),$F$4)),0)</f>
        <v>7145.91825</v>
      </c>
      <c r="Y46" s="1" t="n">
        <f aca="false">IF($X$2="TODOS",U46,IF(S46&lt;&gt;"",SUMIFS(COMPRAS!$J$3:$J$4997,COMPRAS!$G$3:$G$4997,S46,COMPRAS!$D$3:$D$4997,$X$2,COMPRAS!$B$3:$B$4997,"&gt;="&amp;IF($C$4="",DATE(1900,1,1),$C$4),COMPRAS!$B$3:$B$4997,"&lt;="&amp;IF($F$4="",DATE(2999,12,31),$F$4)),0))</f>
        <v>1969</v>
      </c>
      <c r="Z46" s="1" t="n">
        <f aca="false">IF($X$2="TODOS",V46,IF(S46&lt;&gt;"",SUMIFS(COMPRAS!$O$3:$O$4997,COMPRAS!$G$3:$G$4997,S46,COMPRAS!$D$3:$D$4997,$X$2,COMPRAS!$B$3:$B$4997,"&gt;="&amp;IF($C$4="",DATE(1900,1,1),$C$4),COMPRAS!$B$3:$B$4997,"&lt;="&amp;IF($F$4="",DATE(2999,12,31),$F$4)),0))</f>
        <v>7145.91825</v>
      </c>
    </row>
    <row r="47" customFormat="false" ht="15" hidden="false" customHeight="true" outlineLevel="0" collapsed="false">
      <c r="A47" s="8" t="s">
        <v>23</v>
      </c>
      <c r="N47" s="1" t="n">
        <f aca="false">PROVEEDORES!A48</f>
        <v>50522</v>
      </c>
      <c r="O47" s="1" t="str">
        <f aca="false">PROVEEDORES!B48</f>
        <v>CENOR QUEIJO CORUÑA</v>
      </c>
      <c r="P47" s="1" t="n">
        <f aca="false">IF(N47&lt;&gt;"",SUMIFS(COMPRAS!$J$3:$J$4997,COMPRAS!$D$3:$D$4997,N47,COMPRAS!$B$3:$B$4997,"&gt;="&amp;IF($C$4="",DATE(1900,1,1),$C$4),COMPRAS!$B$3:$B$4997,"&lt;="&amp;IF($F$4="",DATE(2999,12,31),$F$4)),0)</f>
        <v>0</v>
      </c>
      <c r="Q47" s="1" t="n">
        <f aca="false">IF(N47&lt;&gt;"",SUMIFS(COMPRAS!$O$3:$O$4997,COMPRAS!$D$3:$D$4997,N47,COMPRAS!$B$3:$B$4997,"&gt;="&amp;IF($C$4="",DATE(1900,1,1),$C$4),COMPRAS!$B$3:$B$4997,"&lt;="&amp;IF($F$4="",DATE(2999,12,31),$F$4)),0)</f>
        <v>0</v>
      </c>
      <c r="S47" s="1" t="str">
        <f aca="false">PRODUCTOS!A48</f>
        <v>C2507</v>
      </c>
      <c r="T47" s="1" t="str">
        <f aca="false">PRODUCTOS!B48</f>
        <v>CONGRIO 7/10 (COE)</v>
      </c>
      <c r="U47" s="1" t="n">
        <f aca="false">IF(S47&lt;&gt;"",SUMIFS(COMPRAS!$J$3:$J$4997,COMPRAS!$G$3:$G$4997,S47,COMPRAS!$B$3:$B$4997,"&gt;="&amp;IF($C$4="",DATE(1900,1,1),$C$4),COMPRAS!$B$3:$B$4997,"&lt;="&amp;IF($F$4="",DATE(2999,12,31),$F$4)),0)</f>
        <v>72.5</v>
      </c>
      <c r="V47" s="1" t="n">
        <f aca="false">IF(S47&lt;&gt;"",SUMIFS(COMPRAS!$O$3:$O$4997,COMPRAS!$G$3:$G$4997,S47,COMPRAS!$B$3:$B$4997,"&gt;="&amp;IF($C$4="",DATE(1900,1,1),$C$4),COMPRAS!$B$3:$B$4997,"&lt;="&amp;IF($F$4="",DATE(2999,12,31),$F$4)),0)</f>
        <v>198.45375</v>
      </c>
      <c r="Y47" s="1" t="n">
        <f aca="false">IF($X$2="TODOS",U47,IF(S47&lt;&gt;"",SUMIFS(COMPRAS!$J$3:$J$4997,COMPRAS!$G$3:$G$4997,S47,COMPRAS!$D$3:$D$4997,$X$2,COMPRAS!$B$3:$B$4997,"&gt;="&amp;IF($C$4="",DATE(1900,1,1),$C$4),COMPRAS!$B$3:$B$4997,"&lt;="&amp;IF($F$4="",DATE(2999,12,31),$F$4)),0))</f>
        <v>72.5</v>
      </c>
      <c r="Z47" s="1" t="n">
        <f aca="false">IF($X$2="TODOS",V47,IF(S47&lt;&gt;"",SUMIFS(COMPRAS!$O$3:$O$4997,COMPRAS!$G$3:$G$4997,S47,COMPRAS!$D$3:$D$4997,$X$2,COMPRAS!$B$3:$B$4997,"&gt;="&amp;IF($C$4="",DATE(1900,1,1),$C$4),COMPRAS!$B$3:$B$4997,"&lt;="&amp;IF($F$4="",DATE(2999,12,31),$F$4)),0))</f>
        <v>198.45375</v>
      </c>
    </row>
    <row r="48" customFormat="false" ht="15" hidden="false" customHeight="true" outlineLevel="0" collapsed="false">
      <c r="A48" s="9" t="s">
        <v>12</v>
      </c>
      <c r="B48" s="10" t="s">
        <v>18</v>
      </c>
      <c r="C48" s="9" t="s">
        <v>14</v>
      </c>
      <c r="D48" s="9" t="s">
        <v>15</v>
      </c>
      <c r="N48" s="1" t="n">
        <f aca="false">PROVEEDORES!A49</f>
        <v>50531</v>
      </c>
      <c r="O48" s="1" t="str">
        <f aca="false">PROVEEDORES!B49</f>
        <v>SANCHEZ LOPEZ MIGUEL</v>
      </c>
      <c r="P48" s="1" t="n">
        <f aca="false">IF(N48&lt;&gt;"",SUMIFS(COMPRAS!$J$3:$J$4997,COMPRAS!$D$3:$D$4997,N48,COMPRAS!$B$3:$B$4997,"&gt;="&amp;IF($C$4="",DATE(1900,1,1),$C$4),COMPRAS!$B$3:$B$4997,"&lt;="&amp;IF($F$4="",DATE(2999,12,31),$F$4)),0)</f>
        <v>386</v>
      </c>
      <c r="Q48" s="1" t="n">
        <f aca="false">IF(N48&lt;&gt;"",SUMIFS(COMPRAS!$O$3:$O$4997,COMPRAS!$D$3:$D$4997,N48,COMPRAS!$B$3:$B$4997,"&gt;="&amp;IF($C$4="",DATE(1900,1,1),$C$4),COMPRAS!$B$3:$B$4997,"&lt;="&amp;IF($F$4="",DATE(2999,12,31),$F$4)),0)</f>
        <v>1288.6</v>
      </c>
      <c r="S48" s="1" t="str">
        <f aca="false">PRODUCTOS!A49</f>
        <v>C2505</v>
      </c>
      <c r="T48" s="1" t="str">
        <f aca="false">PRODUCTOS!B49</f>
        <v>CONGRIO 5/07 (COE)</v>
      </c>
      <c r="U48" s="1" t="n">
        <f aca="false">IF(S48&lt;&gt;"",SUMIFS(COMPRAS!$J$3:$J$4997,COMPRAS!$G$3:$G$4997,S48,COMPRAS!$B$3:$B$4997,"&gt;="&amp;IF($C$4="",DATE(1900,1,1),$C$4),COMPRAS!$B$3:$B$4997,"&lt;="&amp;IF($F$4="",DATE(2999,12,31),$F$4)),0)</f>
        <v>22.75</v>
      </c>
      <c r="V48" s="1" t="n">
        <f aca="false">IF(S48&lt;&gt;"",SUMIFS(COMPRAS!$O$3:$O$4997,COMPRAS!$G$3:$G$4997,S48,COMPRAS!$B$3:$B$4997,"&gt;="&amp;IF($C$4="",DATE(1900,1,1),$C$4),COMPRAS!$B$3:$B$4997,"&lt;="&amp;IF($F$4="",DATE(2999,12,31),$F$4)),0)</f>
        <v>64.974</v>
      </c>
      <c r="Y48" s="1" t="n">
        <f aca="false">IF($X$2="TODOS",U48,IF(S48&lt;&gt;"",SUMIFS(COMPRAS!$J$3:$J$4997,COMPRAS!$G$3:$G$4997,S48,COMPRAS!$D$3:$D$4997,$X$2,COMPRAS!$B$3:$B$4997,"&gt;="&amp;IF($C$4="",DATE(1900,1,1),$C$4),COMPRAS!$B$3:$B$4997,"&lt;="&amp;IF($F$4="",DATE(2999,12,31),$F$4)),0))</f>
        <v>22.75</v>
      </c>
      <c r="Z48" s="1" t="n">
        <f aca="false">IF($X$2="TODOS",V48,IF(S48&lt;&gt;"",SUMIFS(COMPRAS!$O$3:$O$4997,COMPRAS!$G$3:$G$4997,S48,COMPRAS!$D$3:$D$4997,$X$2,COMPRAS!$B$3:$B$4997,"&gt;="&amp;IF($C$4="",DATE(1900,1,1),$C$4),COMPRAS!$B$3:$B$4997,"&lt;="&amp;IF($F$4="",DATE(2999,12,31),$F$4)),0))</f>
        <v>64.974</v>
      </c>
    </row>
    <row r="49" customFormat="false" ht="15" hidden="false" customHeight="true" outlineLevel="0" collapsed="false">
      <c r="A49" s="11" t="n">
        <v>1</v>
      </c>
      <c r="B49" s="12" t="str">
        <f aca="false">IFERROR(INDEX($T$2:$T$231,MATCH(LARGE($Y$2:$Y$231,1),$Y$2:$Y$231,0)),"")</f>
        <v>BOQUERON/ BOCARTE/ ANCHOA (ANE)</v>
      </c>
      <c r="C49" s="13" t="n">
        <f aca="false">IFERROR(LARGE($Y$2:$Y$231,1),0)</f>
        <v>48607</v>
      </c>
      <c r="D49" s="14" t="n">
        <f aca="false">IFERROR(INDEX($Z$2:$Z$231,MATCH(LARGE($Y$2:$Y$231,1),$Y$2:$Y$231,0)),0)</f>
        <v>74198.6628</v>
      </c>
      <c r="N49" s="1" t="n">
        <f aca="false">PROVEEDORES!A50</f>
        <v>50532</v>
      </c>
      <c r="O49" s="1" t="str">
        <f aca="false">PROVEEDORES!B50</f>
        <v>AITORPESCA S.L.</v>
      </c>
      <c r="P49" s="1" t="n">
        <f aca="false">IF(N49&lt;&gt;"",SUMIFS(COMPRAS!$J$3:$J$4997,COMPRAS!$D$3:$D$4997,N49,COMPRAS!$B$3:$B$4997,"&gt;="&amp;IF($C$4="",DATE(1900,1,1),$C$4),COMPRAS!$B$3:$B$4997,"&lt;="&amp;IF($F$4="",DATE(2999,12,31),$F$4)),0)</f>
        <v>172</v>
      </c>
      <c r="Q49" s="1" t="n">
        <f aca="false">IF(N49&lt;&gt;"",SUMIFS(COMPRAS!$O$3:$O$4997,COMPRAS!$D$3:$D$4997,N49,COMPRAS!$B$3:$B$4997,"&gt;="&amp;IF($C$4="",DATE(1900,1,1),$C$4),COMPRAS!$B$3:$B$4997,"&lt;="&amp;IF($F$4="",DATE(2999,12,31),$F$4)),0)</f>
        <v>758.8</v>
      </c>
      <c r="S49" s="1" t="str">
        <f aca="false">PRODUCTOS!A50</f>
        <v>C6530</v>
      </c>
      <c r="T49" s="1" t="str">
        <f aca="false">PRODUCTOS!B50</f>
        <v>CORENO/ MENDO (WYT)</v>
      </c>
      <c r="U49" s="1" t="n">
        <f aca="false">IF(S49&lt;&gt;"",SUMIFS(COMPRAS!$J$3:$J$4997,COMPRAS!$G$3:$G$4997,S49,COMPRAS!$B$3:$B$4997,"&gt;="&amp;IF($C$4="",DATE(1900,1,1),$C$4),COMPRAS!$B$3:$B$4997,"&lt;="&amp;IF($F$4="",DATE(2999,12,31),$F$4)),0)</f>
        <v>0</v>
      </c>
      <c r="V49" s="1" t="n">
        <f aca="false">IF(S49&lt;&gt;"",SUMIFS(COMPRAS!$O$3:$O$4997,COMPRAS!$G$3:$G$4997,S49,COMPRAS!$B$3:$B$4997,"&gt;="&amp;IF($C$4="",DATE(1900,1,1),$C$4),COMPRAS!$B$3:$B$4997,"&lt;="&amp;IF($F$4="",DATE(2999,12,31),$F$4)),0)</f>
        <v>0</v>
      </c>
      <c r="Y49" s="1" t="n">
        <f aca="false">IF($X$2="TODOS",U49,IF(S49&lt;&gt;"",SUMIFS(COMPRAS!$J$3:$J$4997,COMPRAS!$G$3:$G$4997,S49,COMPRAS!$D$3:$D$4997,$X$2,COMPRAS!$B$3:$B$4997,"&gt;="&amp;IF($C$4="",DATE(1900,1,1),$C$4),COMPRAS!$B$3:$B$4997,"&lt;="&amp;IF($F$4="",DATE(2999,12,31),$F$4)),0))</f>
        <v>0</v>
      </c>
      <c r="Z49" s="1" t="n">
        <f aca="false">IF($X$2="TODOS",V49,IF(S49&lt;&gt;"",SUMIFS(COMPRAS!$O$3:$O$4997,COMPRAS!$G$3:$G$4997,S49,COMPRAS!$D$3:$D$4997,$X$2,COMPRAS!$B$3:$B$4997,"&gt;="&amp;IF($C$4="",DATE(1900,1,1),$C$4),COMPRAS!$B$3:$B$4997,"&lt;="&amp;IF($F$4="",DATE(2999,12,31),$F$4)),0))</f>
        <v>0</v>
      </c>
    </row>
    <row r="50" customFormat="false" ht="15" hidden="false" customHeight="true" outlineLevel="0" collapsed="false">
      <c r="A50" s="15" t="n">
        <v>2</v>
      </c>
      <c r="B50" s="16" t="str">
        <f aca="false">IFERROR(INDEX($T$2:$T$231,MATCH(LARGE($Y$2:$Y$231,2),$Y$2:$Y$231,0)),"")</f>
        <v>LIRIO/ BACALADILLA/ PERLA (WHB)</v>
      </c>
      <c r="C50" s="17" t="n">
        <f aca="false">IFERROR(LARGE($Y$2:$Y$231,2),0)</f>
        <v>32511.65</v>
      </c>
      <c r="D50" s="18" t="n">
        <f aca="false">IFERROR(INDEX($Z$2:$Z$231,MATCH(LARGE($Y$2:$Y$231,2),$Y$2:$Y$231,0)),0)</f>
        <v>57717.35916</v>
      </c>
      <c r="N50" s="1" t="n">
        <f aca="false">PROVEEDORES!A51</f>
        <v>50193</v>
      </c>
      <c r="O50" s="1" t="str">
        <f aca="false">PROVEEDORES!B51</f>
        <v>FRANCISCO JAVIER ARROJO SOUTO</v>
      </c>
      <c r="P50" s="1" t="n">
        <f aca="false">IF(N50&lt;&gt;"",SUMIFS(COMPRAS!$J$3:$J$4997,COMPRAS!$D$3:$D$4997,N50,COMPRAS!$B$3:$B$4997,"&gt;="&amp;IF($C$4="",DATE(1900,1,1),$C$4),COMPRAS!$B$3:$B$4997,"&lt;="&amp;IF($F$4="",DATE(2999,12,31),$F$4)),0)</f>
        <v>180</v>
      </c>
      <c r="Q50" s="1" t="n">
        <f aca="false">IF(N50&lt;&gt;"",SUMIFS(COMPRAS!$O$3:$O$4997,COMPRAS!$D$3:$D$4997,N50,COMPRAS!$B$3:$B$4997,"&gt;="&amp;IF($C$4="",DATE(1900,1,1),$C$4),COMPRAS!$B$3:$B$4997,"&lt;="&amp;IF($F$4="",DATE(2999,12,31),$F$4)),0)</f>
        <v>417.6</v>
      </c>
      <c r="S50" s="1" t="str">
        <f aca="false">PRODUCTOS!A51</f>
        <v>C6301</v>
      </c>
      <c r="T50" s="1" t="str">
        <f aca="false">PRODUCTOS!B51</f>
        <v>CORUXO/ SOLLO/ REMOL (BLL)</v>
      </c>
      <c r="U50" s="1" t="n">
        <f aca="false">IF(S50&lt;&gt;"",SUMIFS(COMPRAS!$J$3:$J$4997,COMPRAS!$G$3:$G$4997,S50,COMPRAS!$B$3:$B$4997,"&gt;="&amp;IF($C$4="",DATE(1900,1,1),$C$4),COMPRAS!$B$3:$B$4997,"&lt;="&amp;IF($F$4="",DATE(2999,12,31),$F$4)),0)</f>
        <v>46.4</v>
      </c>
      <c r="V50" s="1" t="n">
        <f aca="false">IF(S50&lt;&gt;"",SUMIFS(COMPRAS!$O$3:$O$4997,COMPRAS!$G$3:$G$4997,S50,COMPRAS!$B$3:$B$4997,"&gt;="&amp;IF($C$4="",DATE(1900,1,1),$C$4),COMPRAS!$B$3:$B$4997,"&lt;="&amp;IF($F$4="",DATE(2999,12,31),$F$4)),0)</f>
        <v>1095.62</v>
      </c>
      <c r="Y50" s="1" t="n">
        <f aca="false">IF($X$2="TODOS",U50,IF(S50&lt;&gt;"",SUMIFS(COMPRAS!$J$3:$J$4997,COMPRAS!$G$3:$G$4997,S50,COMPRAS!$D$3:$D$4997,$X$2,COMPRAS!$B$3:$B$4997,"&gt;="&amp;IF($C$4="",DATE(1900,1,1),$C$4),COMPRAS!$B$3:$B$4997,"&lt;="&amp;IF($F$4="",DATE(2999,12,31),$F$4)),0))</f>
        <v>46.4</v>
      </c>
      <c r="Z50" s="1" t="n">
        <f aca="false">IF($X$2="TODOS",V50,IF(S50&lt;&gt;"",SUMIFS(COMPRAS!$O$3:$O$4997,COMPRAS!$G$3:$G$4997,S50,COMPRAS!$D$3:$D$4997,$X$2,COMPRAS!$B$3:$B$4997,"&gt;="&amp;IF($C$4="",DATE(1900,1,1),$C$4),COMPRAS!$B$3:$B$4997,"&lt;="&amp;IF($F$4="",DATE(2999,12,31),$F$4)),0))</f>
        <v>1095.62</v>
      </c>
    </row>
    <row r="51" customFormat="false" ht="15" hidden="false" customHeight="true" outlineLevel="0" collapsed="false">
      <c r="A51" s="11" t="n">
        <v>3</v>
      </c>
      <c r="B51" s="12" t="str">
        <f aca="false">IFERROR(INDEX($T$2:$T$231,MATCH(LARGE($Y$2:$Y$231,3),$Y$2:$Y$231,0)),"")</f>
        <v>RAPE BLANCO RASCO (MON)</v>
      </c>
      <c r="C51" s="13" t="n">
        <f aca="false">IFERROR(LARGE($Y$2:$Y$231,3),0)</f>
        <v>7149.7</v>
      </c>
      <c r="D51" s="14" t="n">
        <f aca="false">IFERROR(INDEX($Z$2:$Z$231,MATCH(LARGE($Y$2:$Y$231,3),$Y$2:$Y$231,0)),0)</f>
        <v>47464.017</v>
      </c>
      <c r="N51" s="1" t="n">
        <f aca="false">PROVEEDORES!A52</f>
        <v>50526</v>
      </c>
      <c r="O51" s="1" t="str">
        <f aca="false">PROVEEDORES!B52</f>
        <v>BARROS PESCAGALICIA, S.L.</v>
      </c>
      <c r="P51" s="1" t="n">
        <f aca="false">IF(N51&lt;&gt;"",SUMIFS(COMPRAS!$J$3:$J$4997,COMPRAS!$D$3:$D$4997,N51,COMPRAS!$B$3:$B$4997,"&gt;="&amp;IF($C$4="",DATE(1900,1,1),$C$4),COMPRAS!$B$3:$B$4997,"&lt;="&amp;IF($F$4="",DATE(2999,12,31),$F$4)),0)</f>
        <v>111</v>
      </c>
      <c r="Q51" s="1" t="n">
        <f aca="false">IF(N51&lt;&gt;"",SUMIFS(COMPRAS!$O$3:$O$4997,COMPRAS!$D$3:$D$4997,N51,COMPRAS!$B$3:$B$4997,"&gt;="&amp;IF($C$4="",DATE(1900,1,1),$C$4),COMPRAS!$B$3:$B$4997,"&lt;="&amp;IF($F$4="",DATE(2999,12,31),$F$4)),0)</f>
        <v>438.5</v>
      </c>
      <c r="S51" s="1" t="str">
        <f aca="false">PRODUCTOS!A52</f>
        <v>C561</v>
      </c>
      <c r="T51" s="1" t="str">
        <f aca="false">PRODUCTOS!B52</f>
        <v>DENTON (DEC)</v>
      </c>
      <c r="U51" s="1" t="n">
        <f aca="false">IF(S51&lt;&gt;"",SUMIFS(COMPRAS!$J$3:$J$4997,COMPRAS!$G$3:$G$4997,S51,COMPRAS!$B$3:$B$4997,"&gt;="&amp;IF($C$4="",DATE(1900,1,1),$C$4),COMPRAS!$B$3:$B$4997,"&lt;="&amp;IF($F$4="",DATE(2999,12,31),$F$4)),0)</f>
        <v>0</v>
      </c>
      <c r="V51" s="1" t="n">
        <f aca="false">IF(S51&lt;&gt;"",SUMIFS(COMPRAS!$O$3:$O$4997,COMPRAS!$G$3:$G$4997,S51,COMPRAS!$B$3:$B$4997,"&gt;="&amp;IF($C$4="",DATE(1900,1,1),$C$4),COMPRAS!$B$3:$B$4997,"&lt;="&amp;IF($F$4="",DATE(2999,12,31),$F$4)),0)</f>
        <v>0</v>
      </c>
      <c r="Y51" s="1" t="n">
        <f aca="false">IF($X$2="TODOS",U51,IF(S51&lt;&gt;"",SUMIFS(COMPRAS!$J$3:$J$4997,COMPRAS!$G$3:$G$4997,S51,COMPRAS!$D$3:$D$4997,$X$2,COMPRAS!$B$3:$B$4997,"&gt;="&amp;IF($C$4="",DATE(1900,1,1),$C$4),COMPRAS!$B$3:$B$4997,"&lt;="&amp;IF($F$4="",DATE(2999,12,31),$F$4)),0))</f>
        <v>0</v>
      </c>
      <c r="Z51" s="1" t="n">
        <f aca="false">IF($X$2="TODOS",V51,IF(S51&lt;&gt;"",SUMIFS(COMPRAS!$O$3:$O$4997,COMPRAS!$G$3:$G$4997,S51,COMPRAS!$D$3:$D$4997,$X$2,COMPRAS!$B$3:$B$4997,"&gt;="&amp;IF($C$4="",DATE(1900,1,1),$C$4),COMPRAS!$B$3:$B$4997,"&lt;="&amp;IF($F$4="",DATE(2999,12,31),$F$4)),0))</f>
        <v>0</v>
      </c>
    </row>
    <row r="52" customFormat="false" ht="15" hidden="false" customHeight="true" outlineLevel="0" collapsed="false">
      <c r="A52" s="15" t="n">
        <v>4</v>
      </c>
      <c r="B52" s="16" t="str">
        <f aca="false">IFERROR(INDEX($T$2:$T$231,MATCH(LARGE($Y$2:$Y$231,4),$Y$2:$Y$231,0)),"")</f>
        <v>MERLUZA EUROPEA/ FINA DIA </v>
      </c>
      <c r="C52" s="17" t="n">
        <f aca="false">IFERROR(LARGE($Y$2:$Y$231,4),0)</f>
        <v>5733.75</v>
      </c>
      <c r="D52" s="18" t="n">
        <f aca="false">IFERROR(INDEX($Z$2:$Z$231,MATCH(LARGE($Y$2:$Y$231,4),$Y$2:$Y$231,0)),0)</f>
        <v>16382.4072</v>
      </c>
      <c r="N52" s="1" t="n">
        <f aca="false">PROVEEDORES!A53</f>
        <v>50533</v>
      </c>
      <c r="O52" s="1" t="str">
        <f aca="false">PROVEEDORES!B53</f>
        <v>LURDES MARIÑO, S.L.</v>
      </c>
      <c r="P52" s="1" t="n">
        <f aca="false">IF(N52&lt;&gt;"",SUMIFS(COMPRAS!$J$3:$J$4997,COMPRAS!$D$3:$D$4997,N52,COMPRAS!$B$3:$B$4997,"&gt;="&amp;IF($C$4="",DATE(1900,1,1),$C$4),COMPRAS!$B$3:$B$4997,"&lt;="&amp;IF($F$4="",DATE(2999,12,31),$F$4)),0)</f>
        <v>1215</v>
      </c>
      <c r="Q52" s="1" t="n">
        <f aca="false">IF(N52&lt;&gt;"",SUMIFS(COMPRAS!$O$3:$O$4997,COMPRAS!$D$3:$D$4997,N52,COMPRAS!$B$3:$B$4997,"&gt;="&amp;IF($C$4="",DATE(1900,1,1),$C$4),COMPRAS!$B$3:$B$4997,"&lt;="&amp;IF($F$4="",DATE(2999,12,31),$F$4)),0)</f>
        <v>1701</v>
      </c>
      <c r="S52" s="1" t="str">
        <f aca="false">PRODUCTOS!A53</f>
        <v>C3500</v>
      </c>
      <c r="T52" s="1" t="str">
        <f aca="false">PRODUCTOS!B53</f>
        <v>DORADA SALVAJE (SBG)</v>
      </c>
      <c r="U52" s="1" t="n">
        <f aca="false">IF(S52&lt;&gt;"",SUMIFS(COMPRAS!$J$3:$J$4997,COMPRAS!$G$3:$G$4997,S52,COMPRAS!$B$3:$B$4997,"&gt;="&amp;IF($C$4="",DATE(1900,1,1),$C$4),COMPRAS!$B$3:$B$4997,"&lt;="&amp;IF($F$4="",DATE(2999,12,31),$F$4)),0)</f>
        <v>0</v>
      </c>
      <c r="V52" s="1" t="n">
        <f aca="false">IF(S52&lt;&gt;"",SUMIFS(COMPRAS!$O$3:$O$4997,COMPRAS!$G$3:$G$4997,S52,COMPRAS!$B$3:$B$4997,"&gt;="&amp;IF($C$4="",DATE(1900,1,1),$C$4),COMPRAS!$B$3:$B$4997,"&lt;="&amp;IF($F$4="",DATE(2999,12,31),$F$4)),0)</f>
        <v>0</v>
      </c>
      <c r="Y52" s="1" t="n">
        <f aca="false">IF($X$2="TODOS",U52,IF(S52&lt;&gt;"",SUMIFS(COMPRAS!$J$3:$J$4997,COMPRAS!$G$3:$G$4997,S52,COMPRAS!$D$3:$D$4997,$X$2,COMPRAS!$B$3:$B$4997,"&gt;="&amp;IF($C$4="",DATE(1900,1,1),$C$4),COMPRAS!$B$3:$B$4997,"&lt;="&amp;IF($F$4="",DATE(2999,12,31),$F$4)),0))</f>
        <v>0</v>
      </c>
      <c r="Z52" s="1" t="n">
        <f aca="false">IF($X$2="TODOS",V52,IF(S52&lt;&gt;"",SUMIFS(COMPRAS!$O$3:$O$4997,COMPRAS!$G$3:$G$4997,S52,COMPRAS!$D$3:$D$4997,$X$2,COMPRAS!$B$3:$B$4997,"&gt;="&amp;IF($C$4="",DATE(1900,1,1),$C$4),COMPRAS!$B$3:$B$4997,"&lt;="&amp;IF($F$4="",DATE(2999,12,31),$F$4)),0))</f>
        <v>0</v>
      </c>
    </row>
    <row r="53" customFormat="false" ht="15" hidden="false" customHeight="true" outlineLevel="0" collapsed="false">
      <c r="A53" s="11" t="n">
        <v>5</v>
      </c>
      <c r="B53" s="12" t="str">
        <f aca="false">IFERROR(INDEX($T$2:$T$231,MATCH(LARGE($Y$2:$Y$231,5),$Y$2:$Y$231,0)),"")</f>
        <v>VARIADO PEQUEÑO</v>
      </c>
      <c r="C53" s="13" t="n">
        <f aca="false">IFERROR(LARGE($Y$2:$Y$231,5),0)</f>
        <v>4046.25</v>
      </c>
      <c r="D53" s="14" t="n">
        <f aca="false">IFERROR(INDEX($Z$2:$Z$231,MATCH(LARGE($Y$2:$Y$231,5),$Y$2:$Y$231,0)),0)</f>
        <v>2670.7653</v>
      </c>
      <c r="N53" s="1" t="n">
        <f aca="false">PROVEEDORES!A54</f>
        <v>0</v>
      </c>
      <c r="O53" s="1" t="n">
        <f aca="false">PROVEEDORES!B54</f>
        <v>0</v>
      </c>
      <c r="P53" s="1" t="n">
        <f aca="false">IF(N53&lt;&gt;"",SUMIFS(COMPRAS!$J$3:$J$4997,COMPRAS!$D$3:$D$4997,N53,COMPRAS!$B$3:$B$4997,"&gt;="&amp;IF($C$4="",DATE(1900,1,1),$C$4),COMPRAS!$B$3:$B$4997,"&lt;="&amp;IF($F$4="",DATE(2999,12,31),$F$4)),0)</f>
        <v>0</v>
      </c>
      <c r="Q53" s="1" t="n">
        <f aca="false">IF(N53&lt;&gt;"",SUMIFS(COMPRAS!$O$3:$O$4997,COMPRAS!$D$3:$D$4997,N53,COMPRAS!$B$3:$B$4997,"&gt;="&amp;IF($C$4="",DATE(1900,1,1),$C$4),COMPRAS!$B$3:$B$4997,"&lt;="&amp;IF($F$4="",DATE(2999,12,31),$F$4)),0)</f>
        <v>0</v>
      </c>
      <c r="S53" s="1" t="str">
        <f aca="false">PRODUCTOS!A54</f>
        <v>C867</v>
      </c>
      <c r="T53" s="1" t="str">
        <f aca="false">PRODUCTOS!B54</f>
        <v>ERIZO DE MAR (URM)</v>
      </c>
      <c r="U53" s="1" t="n">
        <f aca="false">IF(S53&lt;&gt;"",SUMIFS(COMPRAS!$J$3:$J$4997,COMPRAS!$G$3:$G$4997,S53,COMPRAS!$B$3:$B$4997,"&gt;="&amp;IF($C$4="",DATE(1900,1,1),$C$4),COMPRAS!$B$3:$B$4997,"&lt;="&amp;IF($F$4="",DATE(2999,12,31),$F$4)),0)</f>
        <v>0</v>
      </c>
      <c r="V53" s="1" t="n">
        <f aca="false">IF(S53&lt;&gt;"",SUMIFS(COMPRAS!$O$3:$O$4997,COMPRAS!$G$3:$G$4997,S53,COMPRAS!$B$3:$B$4997,"&gt;="&amp;IF($C$4="",DATE(1900,1,1),$C$4),COMPRAS!$B$3:$B$4997,"&lt;="&amp;IF($F$4="",DATE(2999,12,31),$F$4)),0)</f>
        <v>0</v>
      </c>
      <c r="Y53" s="1" t="n">
        <f aca="false">IF($X$2="TODOS",U53,IF(S53&lt;&gt;"",SUMIFS(COMPRAS!$J$3:$J$4997,COMPRAS!$G$3:$G$4997,S53,COMPRAS!$D$3:$D$4997,$X$2,COMPRAS!$B$3:$B$4997,"&gt;="&amp;IF($C$4="",DATE(1900,1,1),$C$4),COMPRAS!$B$3:$B$4997,"&lt;="&amp;IF($F$4="",DATE(2999,12,31),$F$4)),0))</f>
        <v>0</v>
      </c>
      <c r="Z53" s="1" t="n">
        <f aca="false">IF($X$2="TODOS",V53,IF(S53&lt;&gt;"",SUMIFS(COMPRAS!$O$3:$O$4997,COMPRAS!$G$3:$G$4997,S53,COMPRAS!$D$3:$D$4997,$X$2,COMPRAS!$B$3:$B$4997,"&gt;="&amp;IF($C$4="",DATE(1900,1,1),$C$4),COMPRAS!$B$3:$B$4997,"&lt;="&amp;IF($F$4="",DATE(2999,12,31),$F$4)),0))</f>
        <v>0</v>
      </c>
    </row>
    <row r="54" customFormat="false" ht="15" hidden="false" customHeight="true" outlineLevel="0" collapsed="false">
      <c r="A54" s="15" t="n">
        <v>6</v>
      </c>
      <c r="B54" s="16" t="str">
        <f aca="false">IFERROR(INDEX($T$2:$T$231,MATCH(LARGE($Y$2:$Y$231,6),$Y$2:$Y$231,0)),"")</f>
        <v>BONITO DEL NORTE 5/7</v>
      </c>
      <c r="C54" s="17" t="n">
        <f aca="false">IFERROR(LARGE($Y$2:$Y$231,6),0)</f>
        <v>3944.05</v>
      </c>
      <c r="D54" s="18" t="n">
        <f aca="false">IFERROR(INDEX($Z$2:$Z$231,MATCH(LARGE($Y$2:$Y$231,6),$Y$2:$Y$231,0)),0)</f>
        <v>19023.42975</v>
      </c>
      <c r="N54" s="1" t="n">
        <f aca="false">PROVEEDORES!A55</f>
        <v>0</v>
      </c>
      <c r="O54" s="1" t="n">
        <f aca="false">PROVEEDORES!B55</f>
        <v>0</v>
      </c>
      <c r="P54" s="1" t="n">
        <f aca="false">IF(N54&lt;&gt;"",SUMIFS(COMPRAS!$J$3:$J$4997,COMPRAS!$D$3:$D$4997,N54,COMPRAS!$B$3:$B$4997,"&gt;="&amp;IF($C$4="",DATE(1900,1,1),$C$4),COMPRAS!$B$3:$B$4997,"&lt;="&amp;IF($F$4="",DATE(2999,12,31),$F$4)),0)</f>
        <v>0</v>
      </c>
      <c r="Q54" s="1" t="n">
        <f aca="false">IF(N54&lt;&gt;"",SUMIFS(COMPRAS!$O$3:$O$4997,COMPRAS!$D$3:$D$4997,N54,COMPRAS!$B$3:$B$4997,"&gt;="&amp;IF($C$4="",DATE(1900,1,1),$C$4),COMPRAS!$B$3:$B$4997,"&lt;="&amp;IF($F$4="",DATE(2999,12,31),$F$4)),0)</f>
        <v>0</v>
      </c>
      <c r="S54" s="1" t="str">
        <f aca="false">PRODUCTOS!A55</f>
        <v>C2566</v>
      </c>
      <c r="T54" s="1" t="str">
        <f aca="false">PRODUCTOS!B55</f>
        <v>ESCACHO/ ARETE/ RUBIO (GUR)</v>
      </c>
      <c r="U54" s="1" t="n">
        <f aca="false">IF(S54&lt;&gt;"",SUMIFS(COMPRAS!$J$3:$J$4997,COMPRAS!$G$3:$G$4997,S54,COMPRAS!$B$3:$B$4997,"&gt;="&amp;IF($C$4="",DATE(1900,1,1),$C$4),COMPRAS!$B$3:$B$4997,"&lt;="&amp;IF($F$4="",DATE(2999,12,31),$F$4)),0)</f>
        <v>951.6</v>
      </c>
      <c r="V54" s="1" t="n">
        <f aca="false">IF(S54&lt;&gt;"",SUMIFS(COMPRAS!$O$3:$O$4997,COMPRAS!$G$3:$G$4997,S54,COMPRAS!$B$3:$B$4997,"&gt;="&amp;IF($C$4="",DATE(1900,1,1),$C$4),COMPRAS!$B$3:$B$4997,"&lt;="&amp;IF($F$4="",DATE(2999,12,31),$F$4)),0)</f>
        <v>472.75725</v>
      </c>
      <c r="Y54" s="1" t="n">
        <f aca="false">IF($X$2="TODOS",U54,IF(S54&lt;&gt;"",SUMIFS(COMPRAS!$J$3:$J$4997,COMPRAS!$G$3:$G$4997,S54,COMPRAS!$D$3:$D$4997,$X$2,COMPRAS!$B$3:$B$4997,"&gt;="&amp;IF($C$4="",DATE(1900,1,1),$C$4),COMPRAS!$B$3:$B$4997,"&lt;="&amp;IF($F$4="",DATE(2999,12,31),$F$4)),0))</f>
        <v>951.6</v>
      </c>
      <c r="Z54" s="1" t="n">
        <f aca="false">IF($X$2="TODOS",V54,IF(S54&lt;&gt;"",SUMIFS(COMPRAS!$O$3:$O$4997,COMPRAS!$G$3:$G$4997,S54,COMPRAS!$D$3:$D$4997,$X$2,COMPRAS!$B$3:$B$4997,"&gt;="&amp;IF($C$4="",DATE(1900,1,1),$C$4),COMPRAS!$B$3:$B$4997,"&lt;="&amp;IF($F$4="",DATE(2999,12,31),$F$4)),0))</f>
        <v>472.75725</v>
      </c>
    </row>
    <row r="55" customFormat="false" ht="15" hidden="false" customHeight="true" outlineLevel="0" collapsed="false">
      <c r="A55" s="11" t="n">
        <v>7</v>
      </c>
      <c r="B55" s="12" t="str">
        <f aca="false">IFERROR(INDEX($T$2:$T$231,MATCH(LARGE($Y$2:$Y$231,7),$Y$2:$Y$231,0)),"")</f>
        <v>MERLUZA EUROPEA ARRASTRE (HKE) </v>
      </c>
      <c r="C55" s="13" t="n">
        <f aca="false">IFERROR(LARGE($Y$2:$Y$231,7),0)</f>
        <v>3583.45</v>
      </c>
      <c r="D55" s="14" t="n">
        <f aca="false">IFERROR(INDEX($Z$2:$Z$231,MATCH(LARGE($Y$2:$Y$231,7),$Y$2:$Y$231,0)),0)</f>
        <v>11270.29875</v>
      </c>
      <c r="N55" s="1" t="n">
        <f aca="false">PROVEEDORES!A56</f>
        <v>0</v>
      </c>
      <c r="O55" s="1" t="n">
        <f aca="false">PROVEEDORES!B56</f>
        <v>0</v>
      </c>
      <c r="P55" s="1" t="n">
        <f aca="false">IF(N55&lt;&gt;"",SUMIFS(COMPRAS!$J$3:$J$4997,COMPRAS!$D$3:$D$4997,N55,COMPRAS!$B$3:$B$4997,"&gt;="&amp;IF($C$4="",DATE(1900,1,1),$C$4),COMPRAS!$B$3:$B$4997,"&lt;="&amp;IF($F$4="",DATE(2999,12,31),$F$4)),0)</f>
        <v>0</v>
      </c>
      <c r="Q55" s="1" t="n">
        <f aca="false">IF(N55&lt;&gt;"",SUMIFS(COMPRAS!$O$3:$O$4997,COMPRAS!$D$3:$D$4997,N55,COMPRAS!$B$3:$B$4997,"&gt;="&amp;IF($C$4="",DATE(1900,1,1),$C$4),COMPRAS!$B$3:$B$4997,"&lt;="&amp;IF($F$4="",DATE(2999,12,31),$F$4)),0)</f>
        <v>0</v>
      </c>
      <c r="S55" s="1" t="str">
        <f aca="false">PRODUCTOS!A56</f>
        <v>C495</v>
      </c>
      <c r="T55" s="1" t="str">
        <f aca="false">PRODUCTOS!B56</f>
        <v>ESCARPON/ DRAGON</v>
      </c>
      <c r="U55" s="1" t="n">
        <f aca="false">IF(S55&lt;&gt;"",SUMIFS(COMPRAS!$J$3:$J$4997,COMPRAS!$G$3:$G$4997,S55,COMPRAS!$B$3:$B$4997,"&gt;="&amp;IF($C$4="",DATE(1900,1,1),$C$4),COMPRAS!$B$3:$B$4997,"&lt;="&amp;IF($F$4="",DATE(2999,12,31),$F$4)),0)</f>
        <v>0</v>
      </c>
      <c r="V55" s="1" t="n">
        <f aca="false">IF(S55&lt;&gt;"",SUMIFS(COMPRAS!$O$3:$O$4997,COMPRAS!$G$3:$G$4997,S55,COMPRAS!$B$3:$B$4997,"&gt;="&amp;IF($C$4="",DATE(1900,1,1),$C$4),COMPRAS!$B$3:$B$4997,"&lt;="&amp;IF($F$4="",DATE(2999,12,31),$F$4)),0)</f>
        <v>0</v>
      </c>
      <c r="Y55" s="1" t="n">
        <f aca="false">IF($X$2="TODOS",U55,IF(S55&lt;&gt;"",SUMIFS(COMPRAS!$J$3:$J$4997,COMPRAS!$G$3:$G$4997,S55,COMPRAS!$D$3:$D$4997,$X$2,COMPRAS!$B$3:$B$4997,"&gt;="&amp;IF($C$4="",DATE(1900,1,1),$C$4),COMPRAS!$B$3:$B$4997,"&lt;="&amp;IF($F$4="",DATE(2999,12,31),$F$4)),0))</f>
        <v>0</v>
      </c>
      <c r="Z55" s="1" t="n">
        <f aca="false">IF($X$2="TODOS",V55,IF(S55&lt;&gt;"",SUMIFS(COMPRAS!$O$3:$O$4997,COMPRAS!$G$3:$G$4997,S55,COMPRAS!$D$3:$D$4997,$X$2,COMPRAS!$B$3:$B$4997,"&gt;="&amp;IF($C$4="",DATE(1900,1,1),$C$4),COMPRAS!$B$3:$B$4997,"&lt;="&amp;IF($F$4="",DATE(2999,12,31),$F$4)),0))</f>
        <v>0</v>
      </c>
    </row>
    <row r="56" customFormat="false" ht="15" hidden="false" customHeight="true" outlineLevel="0" collapsed="false">
      <c r="A56" s="15" t="n">
        <v>8</v>
      </c>
      <c r="B56" s="16" t="str">
        <f aca="false">IFERROR(INDEX($T$2:$T$231,MATCH(LARGE($Y$2:$Y$231,8),$Y$2:$Y$231,0)),"")</f>
        <v>CABALL/ SARDA/ VERDEL (MAC)</v>
      </c>
      <c r="C56" s="17" t="n">
        <f aca="false">IFERROR(LARGE($Y$2:$Y$231,8),0)</f>
        <v>3290.95</v>
      </c>
      <c r="D56" s="18" t="n">
        <f aca="false">IFERROR(INDEX($Z$2:$Z$231,MATCH(LARGE($Y$2:$Y$231,8),$Y$2:$Y$231,0)),0)</f>
        <v>12989.6699</v>
      </c>
      <c r="N56" s="1" t="n">
        <f aca="false">PROVEEDORES!A57</f>
        <v>0</v>
      </c>
      <c r="O56" s="1" t="n">
        <f aca="false">PROVEEDORES!B57</f>
        <v>0</v>
      </c>
      <c r="P56" s="1" t="n">
        <f aca="false">IF(N56&lt;&gt;"",SUMIFS(COMPRAS!$J$3:$J$4997,COMPRAS!$D$3:$D$4997,N56,COMPRAS!$B$3:$B$4997,"&gt;="&amp;IF($C$4="",DATE(1900,1,1),$C$4),COMPRAS!$B$3:$B$4997,"&lt;="&amp;IF($F$4="",DATE(2999,12,31),$F$4)),0)</f>
        <v>0</v>
      </c>
      <c r="Q56" s="1" t="n">
        <f aca="false">IF(N56&lt;&gt;"",SUMIFS(COMPRAS!$O$3:$O$4997,COMPRAS!$D$3:$D$4997,N56,COMPRAS!$B$3:$B$4997,"&gt;="&amp;IF($C$4="",DATE(1900,1,1),$C$4),COMPRAS!$B$3:$B$4997,"&lt;="&amp;IF($F$4="",DATE(2999,12,31),$F$4)),0)</f>
        <v>0</v>
      </c>
      <c r="S56" s="1" t="str">
        <f aca="false">PRODUCTOS!A57</f>
        <v>C214</v>
      </c>
      <c r="T56" s="1" t="str">
        <f aca="false">PRODUCTOS!B57</f>
        <v>FANECA (BIB)</v>
      </c>
      <c r="U56" s="1" t="n">
        <f aca="false">IF(S56&lt;&gt;"",SUMIFS(COMPRAS!$J$3:$J$4997,COMPRAS!$G$3:$G$4997,S56,COMPRAS!$B$3:$B$4997,"&gt;="&amp;IF($C$4="",DATE(1900,1,1),$C$4),COMPRAS!$B$3:$B$4997,"&lt;="&amp;IF($F$4="",DATE(2999,12,31),$F$4)),0)</f>
        <v>29.5</v>
      </c>
      <c r="V56" s="1" t="n">
        <f aca="false">IF(S56&lt;&gt;"",SUMIFS(COMPRAS!$O$3:$O$4997,COMPRAS!$G$3:$G$4997,S56,COMPRAS!$B$3:$B$4997,"&gt;="&amp;IF($C$4="",DATE(1900,1,1),$C$4),COMPRAS!$B$3:$B$4997,"&lt;="&amp;IF($F$4="",DATE(2999,12,31),$F$4)),0)</f>
        <v>37.577</v>
      </c>
      <c r="Y56" s="1" t="n">
        <f aca="false">IF($X$2="TODOS",U56,IF(S56&lt;&gt;"",SUMIFS(COMPRAS!$J$3:$J$4997,COMPRAS!$G$3:$G$4997,S56,COMPRAS!$D$3:$D$4997,$X$2,COMPRAS!$B$3:$B$4997,"&gt;="&amp;IF($C$4="",DATE(1900,1,1),$C$4),COMPRAS!$B$3:$B$4997,"&lt;="&amp;IF($F$4="",DATE(2999,12,31),$F$4)),0))</f>
        <v>29.5</v>
      </c>
      <c r="Z56" s="1" t="n">
        <f aca="false">IF($X$2="TODOS",V56,IF(S56&lt;&gt;"",SUMIFS(COMPRAS!$O$3:$O$4997,COMPRAS!$G$3:$G$4997,S56,COMPRAS!$D$3:$D$4997,$X$2,COMPRAS!$B$3:$B$4997,"&gt;="&amp;IF($C$4="",DATE(1900,1,1),$C$4),COMPRAS!$B$3:$B$4997,"&lt;="&amp;IF($F$4="",DATE(2999,12,31),$F$4)),0))</f>
        <v>37.577</v>
      </c>
    </row>
    <row r="57" customFormat="false" ht="15" hidden="false" customHeight="true" outlineLevel="0" collapsed="false">
      <c r="A57" s="11" t="n">
        <v>9</v>
      </c>
      <c r="B57" s="12" t="str">
        <f aca="false">IFERROR(INDEX($T$2:$T$231,MATCH(LARGE($Y$2:$Y$231,9),$Y$2:$Y$231,0)),"")</f>
        <v>MERLUZA EUROPEA PINCHO COSTA 800</v>
      </c>
      <c r="C57" s="13" t="n">
        <f aca="false">IFERROR(LARGE($Y$2:$Y$231,9),0)</f>
        <v>2398.55</v>
      </c>
      <c r="D57" s="14" t="n">
        <f aca="false">IFERROR(INDEX($Z$2:$Z$231,MATCH(LARGE($Y$2:$Y$231,9),$Y$2:$Y$231,0)),0)</f>
        <v>13944.35595</v>
      </c>
      <c r="N57" s="1" t="n">
        <f aca="false">PROVEEDORES!A58</f>
        <v>0</v>
      </c>
      <c r="O57" s="1" t="n">
        <f aca="false">PROVEEDORES!B58</f>
        <v>0</v>
      </c>
      <c r="P57" s="1" t="n">
        <f aca="false">IF(N57&lt;&gt;"",SUMIFS(COMPRAS!$J$3:$J$4997,COMPRAS!$D$3:$D$4997,N57,COMPRAS!$B$3:$B$4997,"&gt;="&amp;IF($C$4="",DATE(1900,1,1),$C$4),COMPRAS!$B$3:$B$4997,"&lt;="&amp;IF($F$4="",DATE(2999,12,31),$F$4)),0)</f>
        <v>0</v>
      </c>
      <c r="Q57" s="1" t="n">
        <f aca="false">IF(N57&lt;&gt;"",SUMIFS(COMPRAS!$O$3:$O$4997,COMPRAS!$D$3:$D$4997,N57,COMPRAS!$B$3:$B$4997,"&gt;="&amp;IF($C$4="",DATE(1900,1,1),$C$4),COMPRAS!$B$3:$B$4997,"&lt;="&amp;IF($F$4="",DATE(2999,12,31),$F$4)),0)</f>
        <v>0</v>
      </c>
      <c r="S57" s="1" t="str">
        <f aca="false">PRODUCTOS!A58</f>
        <v>C420</v>
      </c>
      <c r="T57" s="1" t="str">
        <f aca="false">PRODUCTOS!B58</f>
        <v>GALLANO/ REI (USI)</v>
      </c>
      <c r="U57" s="1" t="n">
        <f aca="false">IF(S57&lt;&gt;"",SUMIFS(COMPRAS!$J$3:$J$4997,COMPRAS!$G$3:$G$4997,S57,COMPRAS!$B$3:$B$4997,"&gt;="&amp;IF($C$4="",DATE(1900,1,1),$C$4),COMPRAS!$B$3:$B$4997,"&lt;="&amp;IF($F$4="",DATE(2999,12,31),$F$4)),0)</f>
        <v>0</v>
      </c>
      <c r="V57" s="1" t="n">
        <f aca="false">IF(S57&lt;&gt;"",SUMIFS(COMPRAS!$O$3:$O$4997,COMPRAS!$G$3:$G$4997,S57,COMPRAS!$B$3:$B$4997,"&gt;="&amp;IF($C$4="",DATE(1900,1,1),$C$4),COMPRAS!$B$3:$B$4997,"&lt;="&amp;IF($F$4="",DATE(2999,12,31),$F$4)),0)</f>
        <v>0</v>
      </c>
      <c r="Y57" s="1" t="n">
        <f aca="false">IF($X$2="TODOS",U57,IF(S57&lt;&gt;"",SUMIFS(COMPRAS!$J$3:$J$4997,COMPRAS!$G$3:$G$4997,S57,COMPRAS!$D$3:$D$4997,$X$2,COMPRAS!$B$3:$B$4997,"&gt;="&amp;IF($C$4="",DATE(1900,1,1),$C$4),COMPRAS!$B$3:$B$4997,"&lt;="&amp;IF($F$4="",DATE(2999,12,31),$F$4)),0))</f>
        <v>0</v>
      </c>
      <c r="Z57" s="1" t="n">
        <f aca="false">IF($X$2="TODOS",V57,IF(S57&lt;&gt;"",SUMIFS(COMPRAS!$O$3:$O$4997,COMPRAS!$G$3:$G$4997,S57,COMPRAS!$D$3:$D$4997,$X$2,COMPRAS!$B$3:$B$4997,"&gt;="&amp;IF($C$4="",DATE(1900,1,1),$C$4),COMPRAS!$B$3:$B$4997,"&lt;="&amp;IF($F$4="",DATE(2999,12,31),$F$4)),0))</f>
        <v>0</v>
      </c>
    </row>
    <row r="58" customFormat="false" ht="15" hidden="false" customHeight="true" outlineLevel="0" collapsed="false">
      <c r="A58" s="15" t="n">
        <v>10</v>
      </c>
      <c r="B58" s="16" t="str">
        <f aca="false">IFERROR(INDEX($T$2:$T$231,MATCH(LARGE($Y$2:$Y$231,10),$Y$2:$Y$231,0)),"")</f>
        <v>RAPE NEGRO (ANK)</v>
      </c>
      <c r="C58" s="17" t="n">
        <f aca="false">IFERROR(LARGE($Y$2:$Y$231,10),0)</f>
        <v>2166.3</v>
      </c>
      <c r="D58" s="18" t="n">
        <f aca="false">IFERROR(INDEX($Z$2:$Z$231,MATCH(LARGE($Y$2:$Y$231,10),$Y$2:$Y$231,0)),0)</f>
        <v>10128.4674</v>
      </c>
      <c r="N58" s="1" t="n">
        <f aca="false">PROVEEDORES!A59</f>
        <v>0</v>
      </c>
      <c r="O58" s="1" t="n">
        <f aca="false">PROVEEDORES!B59</f>
        <v>0</v>
      </c>
      <c r="P58" s="1" t="n">
        <f aca="false">IF(N58&lt;&gt;"",SUMIFS(COMPRAS!$J$3:$J$4997,COMPRAS!$D$3:$D$4997,N58,COMPRAS!$B$3:$B$4997,"&gt;="&amp;IF($C$4="",DATE(1900,1,1),$C$4),COMPRAS!$B$3:$B$4997,"&lt;="&amp;IF($F$4="",DATE(2999,12,31),$F$4)),0)</f>
        <v>0</v>
      </c>
      <c r="Q58" s="1" t="n">
        <f aca="false">IF(N58&lt;&gt;"",SUMIFS(COMPRAS!$O$3:$O$4997,COMPRAS!$D$3:$D$4997,N58,COMPRAS!$B$3:$B$4997,"&gt;="&amp;IF($C$4="",DATE(1900,1,1),$C$4),COMPRAS!$B$3:$B$4997,"&lt;="&amp;IF($F$4="",DATE(2999,12,31),$F$4)),0)</f>
        <v>0</v>
      </c>
      <c r="S58" s="1" t="str">
        <f aca="false">PRODUCTOS!A59</f>
        <v>C269</v>
      </c>
      <c r="T58" s="1" t="str">
        <f aca="false">PRODUCTOS!B59</f>
        <v>GALLINETA NORTE OCEANICA (FILETES)</v>
      </c>
      <c r="U58" s="1" t="n">
        <f aca="false">IF(S58&lt;&gt;"",SUMIFS(COMPRAS!$J$3:$J$4997,COMPRAS!$G$3:$G$4997,S58,COMPRAS!$B$3:$B$4997,"&gt;="&amp;IF($C$4="",DATE(1900,1,1),$C$4),COMPRAS!$B$3:$B$4997,"&lt;="&amp;IF($F$4="",DATE(2999,12,31),$F$4)),0)</f>
        <v>0</v>
      </c>
      <c r="V58" s="1" t="n">
        <f aca="false">IF(S58&lt;&gt;"",SUMIFS(COMPRAS!$O$3:$O$4997,COMPRAS!$G$3:$G$4997,S58,COMPRAS!$B$3:$B$4997,"&gt;="&amp;IF($C$4="",DATE(1900,1,1),$C$4),COMPRAS!$B$3:$B$4997,"&lt;="&amp;IF($F$4="",DATE(2999,12,31),$F$4)),0)</f>
        <v>0</v>
      </c>
      <c r="Y58" s="1" t="n">
        <f aca="false">IF($X$2="TODOS",U58,IF(S58&lt;&gt;"",SUMIFS(COMPRAS!$J$3:$J$4997,COMPRAS!$G$3:$G$4997,S58,COMPRAS!$D$3:$D$4997,$X$2,COMPRAS!$B$3:$B$4997,"&gt;="&amp;IF($C$4="",DATE(1900,1,1),$C$4),COMPRAS!$B$3:$B$4997,"&lt;="&amp;IF($F$4="",DATE(2999,12,31),$F$4)),0))</f>
        <v>0</v>
      </c>
      <c r="Z58" s="1" t="n">
        <f aca="false">IF($X$2="TODOS",V58,IF(S58&lt;&gt;"",SUMIFS(COMPRAS!$O$3:$O$4997,COMPRAS!$G$3:$G$4997,S58,COMPRAS!$D$3:$D$4997,$X$2,COMPRAS!$B$3:$B$4997,"&gt;="&amp;IF($C$4="",DATE(1900,1,1),$C$4),COMPRAS!$B$3:$B$4997,"&lt;="&amp;IF($F$4="",DATE(2999,12,31),$F$4)),0))</f>
        <v>0</v>
      </c>
    </row>
    <row r="59" customFormat="false" ht="15" hidden="false" customHeight="true" outlineLevel="0" collapsed="false">
      <c r="N59" s="1" t="n">
        <f aca="false">PROVEEDORES!A60</f>
        <v>0</v>
      </c>
      <c r="O59" s="1" t="n">
        <f aca="false">PROVEEDORES!B60</f>
        <v>0</v>
      </c>
      <c r="P59" s="1" t="n">
        <f aca="false">IF(N59&lt;&gt;"",SUMIFS(COMPRAS!$J$3:$J$4997,COMPRAS!$D$3:$D$4997,N59,COMPRAS!$B$3:$B$4997,"&gt;="&amp;IF($C$4="",DATE(1900,1,1),$C$4),COMPRAS!$B$3:$B$4997,"&lt;="&amp;IF($F$4="",DATE(2999,12,31),$F$4)),0)</f>
        <v>0</v>
      </c>
      <c r="Q59" s="1" t="n">
        <f aca="false">IF(N59&lt;&gt;"",SUMIFS(COMPRAS!$O$3:$O$4997,COMPRAS!$D$3:$D$4997,N59,COMPRAS!$B$3:$B$4997,"&gt;="&amp;IF($C$4="",DATE(1900,1,1),$C$4),COMPRAS!$B$3:$B$4997,"&lt;="&amp;IF($F$4="",DATE(2999,12,31),$F$4)),0)</f>
        <v>0</v>
      </c>
      <c r="S59" s="1" t="str">
        <f aca="false">PRODUCTOS!A60</f>
        <v>C270</v>
      </c>
      <c r="T59" s="1" t="str">
        <f aca="false">PRODUCTOS!B60</f>
        <v>GALLO </v>
      </c>
      <c r="U59" s="1" t="n">
        <f aca="false">IF(S59&lt;&gt;"",SUMIFS(COMPRAS!$J$3:$J$4997,COMPRAS!$G$3:$G$4997,S59,COMPRAS!$B$3:$B$4997,"&gt;="&amp;IF($C$4="",DATE(1900,1,1),$C$4),COMPRAS!$B$3:$B$4997,"&lt;="&amp;IF($F$4="",DATE(2999,12,31),$F$4)),0)</f>
        <v>18.5</v>
      </c>
      <c r="V59" s="1" t="n">
        <f aca="false">IF(S59&lt;&gt;"",SUMIFS(COMPRAS!$O$3:$O$4997,COMPRAS!$G$3:$G$4997,S59,COMPRAS!$B$3:$B$4997,"&gt;="&amp;IF($C$4="",DATE(1900,1,1),$C$4),COMPRAS!$B$3:$B$4997,"&lt;="&amp;IF($F$4="",DATE(2999,12,31),$F$4)),0)</f>
        <v>112.71</v>
      </c>
      <c r="Y59" s="1" t="n">
        <f aca="false">IF($X$2="TODOS",U59,IF(S59&lt;&gt;"",SUMIFS(COMPRAS!$J$3:$J$4997,COMPRAS!$G$3:$G$4997,S59,COMPRAS!$D$3:$D$4997,$X$2,COMPRAS!$B$3:$B$4997,"&gt;="&amp;IF($C$4="",DATE(1900,1,1),$C$4),COMPRAS!$B$3:$B$4997,"&lt;="&amp;IF($F$4="",DATE(2999,12,31),$F$4)),0))</f>
        <v>18.5</v>
      </c>
      <c r="Z59" s="1" t="n">
        <f aca="false">IF($X$2="TODOS",V59,IF(S59&lt;&gt;"",SUMIFS(COMPRAS!$O$3:$O$4997,COMPRAS!$G$3:$G$4997,S59,COMPRAS!$D$3:$D$4997,$X$2,COMPRAS!$B$3:$B$4997,"&gt;="&amp;IF($C$4="",DATE(1900,1,1),$C$4),COMPRAS!$B$3:$B$4997,"&lt;="&amp;IF($F$4="",DATE(2999,12,31),$F$4)),0))</f>
        <v>112.71</v>
      </c>
    </row>
    <row r="60" customFormat="false" ht="15" hidden="false" customHeight="true" outlineLevel="0" collapsed="false">
      <c r="N60" s="1" t="n">
        <f aca="false">PROVEEDORES!A61</f>
        <v>0</v>
      </c>
      <c r="O60" s="1" t="n">
        <f aca="false">PROVEEDORES!B61</f>
        <v>0</v>
      </c>
      <c r="P60" s="1" t="n">
        <f aca="false">IF(N60&lt;&gt;"",SUMIFS(COMPRAS!$J$3:$J$4997,COMPRAS!$D$3:$D$4997,N60,COMPRAS!$B$3:$B$4997,"&gt;="&amp;IF($C$4="",DATE(1900,1,1),$C$4),COMPRAS!$B$3:$B$4997,"&lt;="&amp;IF($F$4="",DATE(2999,12,31),$F$4)),0)</f>
        <v>0</v>
      </c>
      <c r="Q60" s="1" t="n">
        <f aca="false">IF(N60&lt;&gt;"",SUMIFS(COMPRAS!$O$3:$O$4997,COMPRAS!$D$3:$D$4997,N60,COMPRAS!$B$3:$B$4997,"&gt;="&amp;IF($C$4="",DATE(1900,1,1),$C$4),COMPRAS!$B$3:$B$4997,"&lt;="&amp;IF($F$4="",DATE(2999,12,31),$F$4)),0)</f>
        <v>0</v>
      </c>
      <c r="S60" s="1" t="str">
        <f aca="false">PRODUCTOS!A61</f>
        <v>C271</v>
      </c>
      <c r="T60" s="1" t="str">
        <f aca="false">PRODUCTOS!B61</f>
        <v>GALLO RIA/ RAPANTE/ MEIGA (MEG)</v>
      </c>
      <c r="U60" s="1" t="n">
        <f aca="false">IF(S60&lt;&gt;"",SUMIFS(COMPRAS!$J$3:$J$4997,COMPRAS!$G$3:$G$4997,S60,COMPRAS!$B$3:$B$4997,"&gt;="&amp;IF($C$4="",DATE(1900,1,1),$C$4),COMPRAS!$B$3:$B$4997,"&lt;="&amp;IF($F$4="",DATE(2999,12,31),$F$4)),0)</f>
        <v>0</v>
      </c>
      <c r="V60" s="1" t="n">
        <f aca="false">IF(S60&lt;&gt;"",SUMIFS(COMPRAS!$O$3:$O$4997,COMPRAS!$G$3:$G$4997,S60,COMPRAS!$B$3:$B$4997,"&gt;="&amp;IF($C$4="",DATE(1900,1,1),$C$4),COMPRAS!$B$3:$B$4997,"&lt;="&amp;IF($F$4="",DATE(2999,12,31),$F$4)),0)</f>
        <v>0</v>
      </c>
      <c r="Y60" s="1" t="n">
        <f aca="false">IF($X$2="TODOS",U60,IF(S60&lt;&gt;"",SUMIFS(COMPRAS!$J$3:$J$4997,COMPRAS!$G$3:$G$4997,S60,COMPRAS!$D$3:$D$4997,$X$2,COMPRAS!$B$3:$B$4997,"&gt;="&amp;IF($C$4="",DATE(1900,1,1),$C$4),COMPRAS!$B$3:$B$4997,"&lt;="&amp;IF($F$4="",DATE(2999,12,31),$F$4)),0))</f>
        <v>0</v>
      </c>
      <c r="Z60" s="1" t="n">
        <f aca="false">IF($X$2="TODOS",V60,IF(S60&lt;&gt;"",SUMIFS(COMPRAS!$O$3:$O$4997,COMPRAS!$G$3:$G$4997,S60,COMPRAS!$D$3:$D$4997,$X$2,COMPRAS!$B$3:$B$4997,"&gt;="&amp;IF($C$4="",DATE(1900,1,1),$C$4),COMPRAS!$B$3:$B$4997,"&lt;="&amp;IF($F$4="",DATE(2999,12,31),$F$4)),0))</f>
        <v>0</v>
      </c>
    </row>
    <row r="61" customFormat="false" ht="15" hidden="false" customHeight="true" outlineLevel="0" collapsed="false">
      <c r="A61" s="19" t="s">
        <v>24</v>
      </c>
      <c r="B61" s="19"/>
      <c r="C61" s="19"/>
      <c r="D61" s="19"/>
      <c r="E61" s="19"/>
      <c r="F61" s="19"/>
      <c r="G61" s="19"/>
      <c r="H61" s="19"/>
      <c r="N61" s="1" t="n">
        <f aca="false">PROVEEDORES!A62</f>
        <v>0</v>
      </c>
      <c r="O61" s="1" t="n">
        <f aca="false">PROVEEDORES!B62</f>
        <v>0</v>
      </c>
      <c r="P61" s="1" t="n">
        <f aca="false">IF(N61&lt;&gt;"",SUMIFS(COMPRAS!$J$3:$J$4997,COMPRAS!$D$3:$D$4997,N61,COMPRAS!$B$3:$B$4997,"&gt;="&amp;IF($C$4="",DATE(1900,1,1),$C$4),COMPRAS!$B$3:$B$4997,"&lt;="&amp;IF($F$4="",DATE(2999,12,31),$F$4)),0)</f>
        <v>0</v>
      </c>
      <c r="Q61" s="1" t="n">
        <f aca="false">IF(N61&lt;&gt;"",SUMIFS(COMPRAS!$O$3:$O$4997,COMPRAS!$D$3:$D$4997,N61,COMPRAS!$B$3:$B$4997,"&gt;="&amp;IF($C$4="",DATE(1900,1,1),$C$4),COMPRAS!$B$3:$B$4997,"&lt;="&amp;IF($F$4="",DATE(2999,12,31),$F$4)),0)</f>
        <v>0</v>
      </c>
      <c r="S61" s="1" t="str">
        <f aca="false">PRODUCTOS!A62</f>
        <v>C5310</v>
      </c>
      <c r="T61" s="1" t="str">
        <f aca="false">PRODUCTOS!B62</f>
        <v>GATA/ GALLUDO (QUB)</v>
      </c>
      <c r="U61" s="1" t="n">
        <f aca="false">IF(S61&lt;&gt;"",SUMIFS(COMPRAS!$J$3:$J$4997,COMPRAS!$G$3:$G$4997,S61,COMPRAS!$B$3:$B$4997,"&gt;="&amp;IF($C$4="",DATE(1900,1,1),$C$4),COMPRAS!$B$3:$B$4997,"&lt;="&amp;IF($F$4="",DATE(2999,12,31),$F$4)),0)</f>
        <v>0</v>
      </c>
      <c r="V61" s="1" t="n">
        <f aca="false">IF(S61&lt;&gt;"",SUMIFS(COMPRAS!$O$3:$O$4997,COMPRAS!$G$3:$G$4997,S61,COMPRAS!$B$3:$B$4997,"&gt;="&amp;IF($C$4="",DATE(1900,1,1),$C$4),COMPRAS!$B$3:$B$4997,"&lt;="&amp;IF($F$4="",DATE(2999,12,31),$F$4)),0)</f>
        <v>0</v>
      </c>
      <c r="Y61" s="1" t="n">
        <f aca="false">IF($X$2="TODOS",U61,IF(S61&lt;&gt;"",SUMIFS(COMPRAS!$J$3:$J$4997,COMPRAS!$G$3:$G$4997,S61,COMPRAS!$D$3:$D$4997,$X$2,COMPRAS!$B$3:$B$4997,"&gt;="&amp;IF($C$4="",DATE(1900,1,1),$C$4),COMPRAS!$B$3:$B$4997,"&lt;="&amp;IF($F$4="",DATE(2999,12,31),$F$4)),0))</f>
        <v>0</v>
      </c>
      <c r="Z61" s="1" t="n">
        <f aca="false">IF($X$2="TODOS",V61,IF(S61&lt;&gt;"",SUMIFS(COMPRAS!$O$3:$O$4997,COMPRAS!$G$3:$G$4997,S61,COMPRAS!$D$3:$D$4997,$X$2,COMPRAS!$B$3:$B$4997,"&gt;="&amp;IF($C$4="",DATE(1900,1,1),$C$4),COMPRAS!$B$3:$B$4997,"&lt;="&amp;IF($F$4="",DATE(2999,12,31),$F$4)),0))</f>
        <v>0</v>
      </c>
    </row>
    <row r="62" customFormat="false" ht="15" hidden="false" customHeight="true" outlineLevel="0" collapsed="false">
      <c r="A62" s="21" t="s">
        <v>25</v>
      </c>
      <c r="B62" s="21"/>
      <c r="D62" s="22" t="n">
        <f aca="false">IF($X$2="TODOS",SUMIFS(COMPRAS!$J$3:$J$4997,COMPRAS!$G$3:$G$4997,$X$3,COMPRAS!$B$3:$B$4997,"&gt;="&amp;IF($C$4="",DATE(1900,1,1),$C$4),COMPRAS!$B$3:$B$4997,"&lt;="&amp;IF($F$4="",DATE(2999,12,31),$F$4)),SUMIFS(COMPRAS!$J$3:$J$4997,COMPRAS!$D$3:$D$4997,$X$2,COMPRAS!$G$3:$G$4997,$X$3,COMPRAS!$B$3:$B$4997,"&gt;="&amp;IF($C$4="",DATE(1900,1,1),$C$4),COMPRAS!$B$3:$B$4997,"&lt;="&amp;IF($F$4="",DATE(2999,12,31),$F$4)))</f>
        <v>148467.761</v>
      </c>
      <c r="E62" s="22"/>
      <c r="F62" s="22"/>
      <c r="N62" s="1" t="n">
        <f aca="false">PROVEEDORES!A63</f>
        <v>0</v>
      </c>
      <c r="O62" s="1" t="n">
        <f aca="false">PROVEEDORES!B63</f>
        <v>0</v>
      </c>
      <c r="P62" s="1" t="n">
        <f aca="false">IF(N62&lt;&gt;"",SUMIFS(COMPRAS!$J$3:$J$4997,COMPRAS!$D$3:$D$4997,N62,COMPRAS!$B$3:$B$4997,"&gt;="&amp;IF($C$4="",DATE(1900,1,1),$C$4),COMPRAS!$B$3:$B$4997,"&lt;="&amp;IF($F$4="",DATE(2999,12,31),$F$4)),0)</f>
        <v>0</v>
      </c>
      <c r="Q62" s="1" t="n">
        <f aca="false">IF(N62&lt;&gt;"",SUMIFS(COMPRAS!$O$3:$O$4997,COMPRAS!$D$3:$D$4997,N62,COMPRAS!$B$3:$B$4997,"&gt;="&amp;IF($C$4="",DATE(1900,1,1),$C$4),COMPRAS!$B$3:$B$4997,"&lt;="&amp;IF($F$4="",DATE(2999,12,31),$F$4)),0)</f>
        <v>0</v>
      </c>
      <c r="S62" s="1" t="str">
        <f aca="false">PRODUCTOS!A63</f>
        <v>C116</v>
      </c>
      <c r="T62" s="1" t="str">
        <f aca="false">PRODUCTOS!B63</f>
        <v>HUEVAS DE MERLUZA </v>
      </c>
      <c r="U62" s="1" t="n">
        <f aca="false">IF(S62&lt;&gt;"",SUMIFS(COMPRAS!$J$3:$J$4997,COMPRAS!$G$3:$G$4997,S62,COMPRAS!$B$3:$B$4997,"&gt;="&amp;IF($C$4="",DATE(1900,1,1),$C$4),COMPRAS!$B$3:$B$4997,"&lt;="&amp;IF($F$4="",DATE(2999,12,31),$F$4)),0)</f>
        <v>56.5</v>
      </c>
      <c r="V62" s="1" t="n">
        <f aca="false">IF(S62&lt;&gt;"",SUMIFS(COMPRAS!$O$3:$O$4997,COMPRAS!$G$3:$G$4997,S62,COMPRAS!$B$3:$B$4997,"&gt;="&amp;IF($C$4="",DATE(1900,1,1),$C$4),COMPRAS!$B$3:$B$4997,"&lt;="&amp;IF($F$4="",DATE(2999,12,31),$F$4)),0)</f>
        <v>771.12</v>
      </c>
      <c r="Y62" s="1" t="n">
        <f aca="false">IF($X$2="TODOS",U62,IF(S62&lt;&gt;"",SUMIFS(COMPRAS!$J$3:$J$4997,COMPRAS!$G$3:$G$4997,S62,COMPRAS!$D$3:$D$4997,$X$2,COMPRAS!$B$3:$B$4997,"&gt;="&amp;IF($C$4="",DATE(1900,1,1),$C$4),COMPRAS!$B$3:$B$4997,"&lt;="&amp;IF($F$4="",DATE(2999,12,31),$F$4)),0))</f>
        <v>56.5</v>
      </c>
      <c r="Z62" s="1" t="n">
        <f aca="false">IF($X$2="TODOS",V62,IF(S62&lt;&gt;"",SUMIFS(COMPRAS!$O$3:$O$4997,COMPRAS!$G$3:$G$4997,S62,COMPRAS!$D$3:$D$4997,$X$2,COMPRAS!$B$3:$B$4997,"&gt;="&amp;IF($C$4="",DATE(1900,1,1),$C$4),COMPRAS!$B$3:$B$4997,"&lt;="&amp;IF($F$4="",DATE(2999,12,31),$F$4)),0))</f>
        <v>771.12</v>
      </c>
    </row>
    <row r="63" customFormat="false" ht="15" hidden="false" customHeight="true" outlineLevel="0" collapsed="false">
      <c r="A63" s="21" t="s">
        <v>26</v>
      </c>
      <c r="B63" s="21"/>
      <c r="D63" s="23" t="n">
        <f aca="false">IF($X$2="TODOS",SUMIFS(COMPRAS!$O$3:$O$4997,COMPRAS!$G$3:$G$4997,$X$3,COMPRAS!$B$3:$B$4997,"&gt;="&amp;IF($C$4="",DATE(1900,1,1),$C$4),COMPRAS!$B$3:$B$4997,"&lt;="&amp;IF($F$4="",DATE(2999,12,31),$F$4)),SUMIFS(COMPRAS!$O$3:$O$4997,COMPRAS!$D$3:$D$4997,$X$2,COMPRAS!$G$3:$G$4997,$X$3,COMPRAS!$B$3:$B$4997,"&gt;="&amp;IF($C$4="",DATE(1900,1,1),$C$4),COMPRAS!$B$3:$B$4997,"&lt;="&amp;IF($F$4="",DATE(2999,12,31),$F$4)))</f>
        <v>483980.51421</v>
      </c>
      <c r="E63" s="23"/>
      <c r="F63" s="23"/>
      <c r="N63" s="1" t="n">
        <f aca="false">PROVEEDORES!A64</f>
        <v>0</v>
      </c>
      <c r="O63" s="1" t="n">
        <f aca="false">PROVEEDORES!B64</f>
        <v>0</v>
      </c>
      <c r="P63" s="1" t="n">
        <f aca="false">IF(N63&lt;&gt;"",SUMIFS(COMPRAS!$J$3:$J$4997,COMPRAS!$D$3:$D$4997,N63,COMPRAS!$B$3:$B$4997,"&gt;="&amp;IF($C$4="",DATE(1900,1,1),$C$4),COMPRAS!$B$3:$B$4997,"&lt;="&amp;IF($F$4="",DATE(2999,12,31),$F$4)),0)</f>
        <v>0</v>
      </c>
      <c r="Q63" s="1" t="n">
        <f aca="false">IF(N63&lt;&gt;"",SUMIFS(COMPRAS!$O$3:$O$4997,COMPRAS!$D$3:$D$4997,N63,COMPRAS!$B$3:$B$4997,"&gt;="&amp;IF($C$4="",DATE(1900,1,1),$C$4),COMPRAS!$B$3:$B$4997,"&lt;="&amp;IF($F$4="",DATE(2999,12,31),$F$4)),0)</f>
        <v>0</v>
      </c>
      <c r="S63" s="1" t="str">
        <f aca="false">PRODUCTOS!A64</f>
        <v>C3968</v>
      </c>
      <c r="T63" s="1" t="str">
        <f aca="false">PRODUCTOS!B64</f>
        <v>JURELA BLANCA (HMY)</v>
      </c>
      <c r="U63" s="1" t="n">
        <f aca="false">IF(S63&lt;&gt;"",SUMIFS(COMPRAS!$J$3:$J$4997,COMPRAS!$G$3:$G$4997,S63,COMPRAS!$B$3:$B$4997,"&gt;="&amp;IF($C$4="",DATE(1900,1,1),$C$4),COMPRAS!$B$3:$B$4997,"&lt;="&amp;IF($F$4="",DATE(2999,12,31),$F$4)),0)</f>
        <v>4.5</v>
      </c>
      <c r="V63" s="1" t="n">
        <f aca="false">IF(S63&lt;&gt;"",SUMIFS(COMPRAS!$O$3:$O$4997,COMPRAS!$G$3:$G$4997,S63,COMPRAS!$B$3:$B$4997,"&gt;="&amp;IF($C$4="",DATE(1900,1,1),$C$4),COMPRAS!$B$3:$B$4997,"&lt;="&amp;IF($F$4="",DATE(2999,12,31),$F$4)),0)</f>
        <v>35.343</v>
      </c>
      <c r="Y63" s="1" t="n">
        <f aca="false">IF($X$2="TODOS",U63,IF(S63&lt;&gt;"",SUMIFS(COMPRAS!$J$3:$J$4997,COMPRAS!$G$3:$G$4997,S63,COMPRAS!$D$3:$D$4997,$X$2,COMPRAS!$B$3:$B$4997,"&gt;="&amp;IF($C$4="",DATE(1900,1,1),$C$4),COMPRAS!$B$3:$B$4997,"&lt;="&amp;IF($F$4="",DATE(2999,12,31),$F$4)),0))</f>
        <v>4.5</v>
      </c>
      <c r="Z63" s="1" t="n">
        <f aca="false">IF($X$2="TODOS",V63,IF(S63&lt;&gt;"",SUMIFS(COMPRAS!$O$3:$O$4997,COMPRAS!$G$3:$G$4997,S63,COMPRAS!$D$3:$D$4997,$X$2,COMPRAS!$B$3:$B$4997,"&gt;="&amp;IF($C$4="",DATE(1900,1,1),$C$4),COMPRAS!$B$3:$B$4997,"&lt;="&amp;IF($F$4="",DATE(2999,12,31),$F$4)),0))</f>
        <v>35.343</v>
      </c>
    </row>
    <row r="64" customFormat="false" ht="15" hidden="false" customHeight="true" outlineLevel="0" collapsed="false">
      <c r="A64" s="21" t="s">
        <v>27</v>
      </c>
      <c r="B64" s="21"/>
      <c r="D64" s="24" t="n">
        <f aca="false">IF($X$2="TODOS",COUNTIFS(COMPRAS!$G$3:$G$4997,$X$3,COMPRAS!$B$3:$B$4997,"&gt;="&amp;IF($C$4="",DATE(1900,1,1),$C$4),COMPRAS!$B$3:$B$4997,"&lt;="&amp;IF($F$4="",DATE(2999,12,31),$F$4)),COUNTIFS(COMPRAS!$D$3:$D$4997,$X$2,COMPRAS!$G$3:$G$4997,$X$3,COMPRAS!$B$3:$B$4997,"&gt;="&amp;IF($C$4="",DATE(1900,1,1),$C$4),COMPRAS!$B$3:$B$4997,"&lt;="&amp;IF($F$4="",DATE(2999,12,31),$F$4)))</f>
        <v>2086</v>
      </c>
      <c r="E64" s="24"/>
      <c r="F64" s="24"/>
      <c r="N64" s="1" t="n">
        <f aca="false">PROVEEDORES!A65</f>
        <v>0</v>
      </c>
      <c r="O64" s="1" t="n">
        <f aca="false">PROVEEDORES!B65</f>
        <v>0</v>
      </c>
      <c r="P64" s="1" t="n">
        <f aca="false">IF(N64&lt;&gt;"",SUMIFS(COMPRAS!$J$3:$J$4997,COMPRAS!$D$3:$D$4997,N64,COMPRAS!$B$3:$B$4997,"&gt;="&amp;IF($C$4="",DATE(1900,1,1),$C$4),COMPRAS!$B$3:$B$4997,"&lt;="&amp;IF($F$4="",DATE(2999,12,31),$F$4)),0)</f>
        <v>0</v>
      </c>
      <c r="Q64" s="1" t="n">
        <f aca="false">IF(N64&lt;&gt;"",SUMIFS(COMPRAS!$O$3:$O$4997,COMPRAS!$D$3:$D$4997,N64,COMPRAS!$B$3:$B$4997,"&gt;="&amp;IF($C$4="",DATE(1900,1,1),$C$4),COMPRAS!$B$3:$B$4997,"&lt;="&amp;IF($F$4="",DATE(2999,12,31),$F$4)),0)</f>
        <v>0</v>
      </c>
      <c r="S64" s="1" t="str">
        <f aca="false">PRODUCTOS!A65</f>
        <v>C740</v>
      </c>
      <c r="T64" s="1" t="str">
        <f aca="false">PRODUCTOS!B65</f>
        <v>CALAMAR CALIFORNIA</v>
      </c>
      <c r="U64" s="1" t="n">
        <f aca="false">IF(S64&lt;&gt;"",SUMIFS(COMPRAS!$J$3:$J$4997,COMPRAS!$G$3:$G$4997,S64,COMPRAS!$B$3:$B$4997,"&gt;="&amp;IF($C$4="",DATE(1900,1,1),$C$4),COMPRAS!$B$3:$B$4997,"&lt;="&amp;IF($F$4="",DATE(2999,12,31),$F$4)),0)</f>
        <v>0</v>
      </c>
      <c r="V64" s="1" t="n">
        <f aca="false">IF(S64&lt;&gt;"",SUMIFS(COMPRAS!$O$3:$O$4997,COMPRAS!$G$3:$G$4997,S64,COMPRAS!$B$3:$B$4997,"&gt;="&amp;IF($C$4="",DATE(1900,1,1),$C$4),COMPRAS!$B$3:$B$4997,"&lt;="&amp;IF($F$4="",DATE(2999,12,31),$F$4)),0)</f>
        <v>0</v>
      </c>
      <c r="Y64" s="1" t="n">
        <f aca="false">IF($X$2="TODOS",U64,IF(S64&lt;&gt;"",SUMIFS(COMPRAS!$J$3:$J$4997,COMPRAS!$G$3:$G$4997,S64,COMPRAS!$D$3:$D$4997,$X$2,COMPRAS!$B$3:$B$4997,"&gt;="&amp;IF($C$4="",DATE(1900,1,1),$C$4),COMPRAS!$B$3:$B$4997,"&lt;="&amp;IF($F$4="",DATE(2999,12,31),$F$4)),0))</f>
        <v>0</v>
      </c>
      <c r="Z64" s="1" t="n">
        <f aca="false">IF($X$2="TODOS",V64,IF(S64&lt;&gt;"",SUMIFS(COMPRAS!$O$3:$O$4997,COMPRAS!$G$3:$G$4997,S64,COMPRAS!$D$3:$D$4997,$X$2,COMPRAS!$B$3:$B$4997,"&gt;="&amp;IF($C$4="",DATE(1900,1,1),$C$4),COMPRAS!$B$3:$B$4997,"&lt;="&amp;IF($F$4="",DATE(2999,12,31),$F$4)),0))</f>
        <v>0</v>
      </c>
    </row>
    <row r="65" customFormat="false" ht="15" hidden="false" customHeight="true" outlineLevel="0" collapsed="false">
      <c r="A65" s="21" t="s">
        <v>28</v>
      </c>
      <c r="B65" s="21"/>
      <c r="D65" s="25" t="n">
        <f aca="false">IFERROR(D63/D62,0)</f>
        <v>3.25983574447519</v>
      </c>
      <c r="E65" s="25"/>
      <c r="F65" s="25"/>
      <c r="N65" s="1" t="n">
        <f aca="false">PROVEEDORES!A66</f>
        <v>0</v>
      </c>
      <c r="O65" s="1" t="n">
        <f aca="false">PROVEEDORES!B66</f>
        <v>0</v>
      </c>
      <c r="P65" s="1" t="n">
        <f aca="false">IF(N65&lt;&gt;"",SUMIFS(COMPRAS!$J$3:$J$4997,COMPRAS!$D$3:$D$4997,N65,COMPRAS!$B$3:$B$4997,"&gt;="&amp;IF($C$4="",DATE(1900,1,1),$C$4),COMPRAS!$B$3:$B$4997,"&lt;="&amp;IF($F$4="",DATE(2999,12,31),$F$4)),0)</f>
        <v>0</v>
      </c>
      <c r="Q65" s="1" t="n">
        <f aca="false">IF(N65&lt;&gt;"",SUMIFS(COMPRAS!$O$3:$O$4997,COMPRAS!$D$3:$D$4997,N65,COMPRAS!$B$3:$B$4997,"&gt;="&amp;IF($C$4="",DATE(1900,1,1),$C$4),COMPRAS!$B$3:$B$4997,"&lt;="&amp;IF($F$4="",DATE(2999,12,31),$F$4)),0)</f>
        <v>0</v>
      </c>
      <c r="S65" s="1" t="str">
        <f aca="false">PRODUCTOS!A66</f>
        <v>C7582</v>
      </c>
      <c r="T65" s="1" t="str">
        <f aca="false">PRODUCTOS!B66</f>
        <v>PANPANO/ RUFO IMPERIO</v>
      </c>
      <c r="U65" s="1" t="n">
        <f aca="false">IF(S65&lt;&gt;"",SUMIFS(COMPRAS!$J$3:$J$4997,COMPRAS!$G$3:$G$4997,S65,COMPRAS!$B$3:$B$4997,"&gt;="&amp;IF($C$4="",DATE(1900,1,1),$C$4),COMPRAS!$B$3:$B$4997,"&lt;="&amp;IF($F$4="",DATE(2999,12,31),$F$4)),0)</f>
        <v>0</v>
      </c>
      <c r="V65" s="1" t="n">
        <f aca="false">IF(S65&lt;&gt;"",SUMIFS(COMPRAS!$O$3:$O$4997,COMPRAS!$G$3:$G$4997,S65,COMPRAS!$B$3:$B$4997,"&gt;="&amp;IF($C$4="",DATE(1900,1,1),$C$4),COMPRAS!$B$3:$B$4997,"&lt;="&amp;IF($F$4="",DATE(2999,12,31),$F$4)),0)</f>
        <v>0</v>
      </c>
      <c r="Y65" s="1" t="n">
        <f aca="false">IF($X$2="TODOS",U65,IF(S65&lt;&gt;"",SUMIFS(COMPRAS!$J$3:$J$4997,COMPRAS!$G$3:$G$4997,S65,COMPRAS!$D$3:$D$4997,$X$2,COMPRAS!$B$3:$B$4997,"&gt;="&amp;IF($C$4="",DATE(1900,1,1),$C$4),COMPRAS!$B$3:$B$4997,"&lt;="&amp;IF($F$4="",DATE(2999,12,31),$F$4)),0))</f>
        <v>0</v>
      </c>
      <c r="Z65" s="1" t="n">
        <f aca="false">IF($X$2="TODOS",V65,IF(S65&lt;&gt;"",SUMIFS(COMPRAS!$O$3:$O$4997,COMPRAS!$G$3:$G$4997,S65,COMPRAS!$D$3:$D$4997,$X$2,COMPRAS!$B$3:$B$4997,"&gt;="&amp;IF($C$4="",DATE(1900,1,1),$C$4),COMPRAS!$B$3:$B$4997,"&lt;="&amp;IF($F$4="",DATE(2999,12,31),$F$4)),0))</f>
        <v>0</v>
      </c>
    </row>
    <row r="66" customFormat="false" ht="15" hidden="false" customHeight="true" outlineLevel="0" collapsed="false">
      <c r="N66" s="1" t="n">
        <f aca="false">PROVEEDORES!A67</f>
        <v>0</v>
      </c>
      <c r="O66" s="1" t="n">
        <f aca="false">PROVEEDORES!B67</f>
        <v>0</v>
      </c>
      <c r="P66" s="1" t="n">
        <f aca="false">IF(N66&lt;&gt;"",SUMIFS(COMPRAS!$J$3:$J$4997,COMPRAS!$D$3:$D$4997,N66,COMPRAS!$B$3:$B$4997,"&gt;="&amp;IF($C$4="",DATE(1900,1,1),$C$4),COMPRAS!$B$3:$B$4997,"&lt;="&amp;IF($F$4="",DATE(2999,12,31),$F$4)),0)</f>
        <v>0</v>
      </c>
      <c r="Q66" s="1" t="n">
        <f aca="false">IF(N66&lt;&gt;"",SUMIFS(COMPRAS!$O$3:$O$4997,COMPRAS!$D$3:$D$4997,N66,COMPRAS!$B$3:$B$4997,"&gt;="&amp;IF($C$4="",DATE(1900,1,1),$C$4),COMPRAS!$B$3:$B$4997,"&lt;="&amp;IF($F$4="",DATE(2999,12,31),$F$4)),0)</f>
        <v>0</v>
      </c>
      <c r="S66" s="1" t="str">
        <f aca="false">PRODUCTOS!A67</f>
        <v>C998</v>
      </c>
      <c r="T66" s="1" t="str">
        <f aca="false">PRODUCTOS!B67</f>
        <v>JURELO MEDITERRANEO</v>
      </c>
      <c r="U66" s="1" t="n">
        <f aca="false">IF(S66&lt;&gt;"",SUMIFS(COMPRAS!$J$3:$J$4997,COMPRAS!$G$3:$G$4997,S66,COMPRAS!$B$3:$B$4997,"&gt;="&amp;IF($C$4="",DATE(1900,1,1),$C$4),COMPRAS!$B$3:$B$4997,"&lt;="&amp;IF($F$4="",DATE(2999,12,31),$F$4)),0)</f>
        <v>47</v>
      </c>
      <c r="V66" s="1" t="n">
        <f aca="false">IF(S66&lt;&gt;"",SUMIFS(COMPRAS!$O$3:$O$4997,COMPRAS!$G$3:$G$4997,S66,COMPRAS!$B$3:$B$4997,"&gt;="&amp;IF($C$4="",DATE(1900,1,1),$C$4),COMPRAS!$B$3:$B$4997,"&lt;="&amp;IF($F$4="",DATE(2999,12,31),$F$4)),0)</f>
        <v>210.987</v>
      </c>
      <c r="Y66" s="1" t="n">
        <f aca="false">IF($X$2="TODOS",U66,IF(S66&lt;&gt;"",SUMIFS(COMPRAS!$J$3:$J$4997,COMPRAS!$G$3:$G$4997,S66,COMPRAS!$D$3:$D$4997,$X$2,COMPRAS!$B$3:$B$4997,"&gt;="&amp;IF($C$4="",DATE(1900,1,1),$C$4),COMPRAS!$B$3:$B$4997,"&lt;="&amp;IF($F$4="",DATE(2999,12,31),$F$4)),0))</f>
        <v>47</v>
      </c>
      <c r="Z66" s="1" t="n">
        <f aca="false">IF($X$2="TODOS",V66,IF(S66&lt;&gt;"",SUMIFS(COMPRAS!$O$3:$O$4997,COMPRAS!$G$3:$G$4997,S66,COMPRAS!$D$3:$D$4997,$X$2,COMPRAS!$B$3:$B$4997,"&gt;="&amp;IF($C$4="",DATE(1900,1,1),$C$4),COMPRAS!$B$3:$B$4997,"&lt;="&amp;IF($F$4="",DATE(2999,12,31),$F$4)),0))</f>
        <v>210.987</v>
      </c>
    </row>
    <row r="67" customFormat="false" ht="15" hidden="false" customHeight="true" outlineLevel="0" collapsed="false">
      <c r="N67" s="1" t="n">
        <f aca="false">PROVEEDORES!A68</f>
        <v>0</v>
      </c>
      <c r="O67" s="1" t="n">
        <f aca="false">PROVEEDORES!B68</f>
        <v>0</v>
      </c>
      <c r="P67" s="1" t="n">
        <f aca="false">IF(N67&lt;&gt;"",SUMIFS(COMPRAS!$J$3:$J$4997,COMPRAS!$D$3:$D$4997,N67,COMPRAS!$B$3:$B$4997,"&gt;="&amp;IF($C$4="",DATE(1900,1,1),$C$4),COMPRAS!$B$3:$B$4997,"&lt;="&amp;IF($F$4="",DATE(2999,12,31),$F$4)),0)</f>
        <v>0</v>
      </c>
      <c r="Q67" s="1" t="n">
        <f aca="false">IF(N67&lt;&gt;"",SUMIFS(COMPRAS!$O$3:$O$4997,COMPRAS!$D$3:$D$4997,N67,COMPRAS!$B$3:$B$4997,"&gt;="&amp;IF($C$4="",DATE(1900,1,1),$C$4),COMPRAS!$B$3:$B$4997,"&lt;="&amp;IF($F$4="",DATE(2999,12,31),$F$4)),0)</f>
        <v>0</v>
      </c>
      <c r="S67" s="1" t="str">
        <f aca="false">PRODUCTOS!A68</f>
        <v>C640</v>
      </c>
      <c r="T67" s="1" t="str">
        <f aca="false">PRODUCTOS!B68</f>
        <v>LENGUADO RIA (SOL)</v>
      </c>
      <c r="U67" s="1" t="n">
        <f aca="false">IF(S67&lt;&gt;"",SUMIFS(COMPRAS!$J$3:$J$4997,COMPRAS!$G$3:$G$4997,S67,COMPRAS!$B$3:$B$4997,"&gt;="&amp;IF($C$4="",DATE(1900,1,1),$C$4),COMPRAS!$B$3:$B$4997,"&lt;="&amp;IF($F$4="",DATE(2999,12,31),$F$4)),0)</f>
        <v>68.55</v>
      </c>
      <c r="V67" s="1" t="n">
        <f aca="false">IF(S67&lt;&gt;"",SUMIFS(COMPRAS!$O$3:$O$4997,COMPRAS!$G$3:$G$4997,S67,COMPRAS!$B$3:$B$4997,"&gt;="&amp;IF($C$4="",DATE(1900,1,1),$C$4),COMPRAS!$B$3:$B$4997,"&lt;="&amp;IF($F$4="",DATE(2999,12,31),$F$4)),0)</f>
        <v>2118.1626</v>
      </c>
      <c r="Y67" s="1" t="n">
        <f aca="false">IF($X$2="TODOS",U67,IF(S67&lt;&gt;"",SUMIFS(COMPRAS!$J$3:$J$4997,COMPRAS!$G$3:$G$4997,S67,COMPRAS!$D$3:$D$4997,$X$2,COMPRAS!$B$3:$B$4997,"&gt;="&amp;IF($C$4="",DATE(1900,1,1),$C$4),COMPRAS!$B$3:$B$4997,"&lt;="&amp;IF($F$4="",DATE(2999,12,31),$F$4)),0))</f>
        <v>68.55</v>
      </c>
      <c r="Z67" s="1" t="n">
        <f aca="false">IF($X$2="TODOS",V67,IF(S67&lt;&gt;"",SUMIFS(COMPRAS!$O$3:$O$4997,COMPRAS!$G$3:$G$4997,S67,COMPRAS!$D$3:$D$4997,$X$2,COMPRAS!$B$3:$B$4997,"&gt;="&amp;IF($C$4="",DATE(1900,1,1),$C$4),COMPRAS!$B$3:$B$4997,"&lt;="&amp;IF($F$4="",DATE(2999,12,31),$F$4)),0))</f>
        <v>2118.1626</v>
      </c>
    </row>
    <row r="68" customFormat="false" ht="15" hidden="false" customHeight="true" outlineLevel="0" collapsed="false">
      <c r="N68" s="1" t="n">
        <f aca="false">PROVEEDORES!A69</f>
        <v>0</v>
      </c>
      <c r="O68" s="1" t="n">
        <f aca="false">PROVEEDORES!B69</f>
        <v>0</v>
      </c>
      <c r="P68" s="1" t="n">
        <f aca="false">IF(N68&lt;&gt;"",SUMIFS(COMPRAS!$J$3:$J$4997,COMPRAS!$D$3:$D$4997,N68,COMPRAS!$B$3:$B$4997,"&gt;="&amp;IF($C$4="",DATE(1900,1,1),$C$4),COMPRAS!$B$3:$B$4997,"&lt;="&amp;IF($F$4="",DATE(2999,12,31),$F$4)),0)</f>
        <v>0</v>
      </c>
      <c r="Q68" s="1" t="n">
        <f aca="false">IF(N68&lt;&gt;"",SUMIFS(COMPRAS!$O$3:$O$4997,COMPRAS!$D$3:$D$4997,N68,COMPRAS!$B$3:$B$4997,"&gt;="&amp;IF($C$4="",DATE(1900,1,1),$C$4),COMPRAS!$B$3:$B$4997,"&lt;="&amp;IF($F$4="",DATE(2999,12,31),$F$4)),0)</f>
        <v>0</v>
      </c>
      <c r="S68" s="1" t="str">
        <f aca="false">PRODUCTOS!A69</f>
        <v>C221</v>
      </c>
      <c r="T68" s="1" t="str">
        <f aca="false">PRODUCTOS!B69</f>
        <v>LIRIO/ BACALADILLA/ PERLA (WHB)</v>
      </c>
      <c r="U68" s="1" t="n">
        <f aca="false">IF(S68&lt;&gt;"",SUMIFS(COMPRAS!$J$3:$J$4997,COMPRAS!$G$3:$G$4997,S68,COMPRAS!$B$3:$B$4997,"&gt;="&amp;IF($C$4="",DATE(1900,1,1),$C$4),COMPRAS!$B$3:$B$4997,"&lt;="&amp;IF($F$4="",DATE(2999,12,31),$F$4)),0)</f>
        <v>32511.65</v>
      </c>
      <c r="V68" s="1" t="n">
        <f aca="false">IF(S68&lt;&gt;"",SUMIFS(COMPRAS!$O$3:$O$4997,COMPRAS!$G$3:$G$4997,S68,COMPRAS!$B$3:$B$4997,"&gt;="&amp;IF($C$4="",DATE(1900,1,1),$C$4),COMPRAS!$B$3:$B$4997,"&lt;="&amp;IF($F$4="",DATE(2999,12,31),$F$4)),0)</f>
        <v>57717.35916</v>
      </c>
      <c r="Y68" s="1" t="n">
        <f aca="false">IF($X$2="TODOS",U68,IF(S68&lt;&gt;"",SUMIFS(COMPRAS!$J$3:$J$4997,COMPRAS!$G$3:$G$4997,S68,COMPRAS!$D$3:$D$4997,$X$2,COMPRAS!$B$3:$B$4997,"&gt;="&amp;IF($C$4="",DATE(1900,1,1),$C$4),COMPRAS!$B$3:$B$4997,"&lt;="&amp;IF($F$4="",DATE(2999,12,31),$F$4)),0))</f>
        <v>32511.65</v>
      </c>
      <c r="Z68" s="1" t="n">
        <f aca="false">IF($X$2="TODOS",V68,IF(S68&lt;&gt;"",SUMIFS(COMPRAS!$O$3:$O$4997,COMPRAS!$G$3:$G$4997,S68,COMPRAS!$D$3:$D$4997,$X$2,COMPRAS!$B$3:$B$4997,"&gt;="&amp;IF($C$4="",DATE(1900,1,1),$C$4),COMPRAS!$B$3:$B$4997,"&lt;="&amp;IF($F$4="",DATE(2999,12,31),$F$4)),0))</f>
        <v>57717.35916</v>
      </c>
    </row>
    <row r="69" customFormat="false" ht="15" hidden="false" customHeight="true" outlineLevel="0" collapsed="false">
      <c r="N69" s="1" t="n">
        <f aca="false">PROVEEDORES!A70</f>
        <v>0</v>
      </c>
      <c r="O69" s="1" t="n">
        <f aca="false">PROVEEDORES!B70</f>
        <v>0</v>
      </c>
      <c r="P69" s="1" t="n">
        <f aca="false">IF(N69&lt;&gt;"",SUMIFS(COMPRAS!$J$3:$J$4997,COMPRAS!$D$3:$D$4997,N69,COMPRAS!$B$3:$B$4997,"&gt;="&amp;IF($C$4="",DATE(1900,1,1),$C$4),COMPRAS!$B$3:$B$4997,"&lt;="&amp;IF($F$4="",DATE(2999,12,31),$F$4)),0)</f>
        <v>0</v>
      </c>
      <c r="Q69" s="1" t="n">
        <f aca="false">IF(N69&lt;&gt;"",SUMIFS(COMPRAS!$O$3:$O$4997,COMPRAS!$D$3:$D$4997,N69,COMPRAS!$B$3:$B$4997,"&gt;="&amp;IF($C$4="",DATE(1900,1,1),$C$4),COMPRAS!$B$3:$B$4997,"&lt;="&amp;IF($F$4="",DATE(2999,12,31),$F$4)),0)</f>
        <v>0</v>
      </c>
      <c r="S69" s="1" t="str">
        <f aca="false">PRODUCTOS!A70</f>
        <v>C220</v>
      </c>
      <c r="T69" s="1" t="str">
        <f aca="false">PRODUCTOS!B70</f>
        <v>LIRIO EN FILETES</v>
      </c>
      <c r="U69" s="1" t="n">
        <f aca="false">IF(S69&lt;&gt;"",SUMIFS(COMPRAS!$J$3:$J$4997,COMPRAS!$G$3:$G$4997,S69,COMPRAS!$B$3:$B$4997,"&gt;="&amp;IF($C$4="",DATE(1900,1,1),$C$4),COMPRAS!$B$3:$B$4997,"&lt;="&amp;IF($F$4="",DATE(2999,12,31),$F$4)),0)</f>
        <v>202</v>
      </c>
      <c r="V69" s="1" t="n">
        <f aca="false">IF(S69&lt;&gt;"",SUMIFS(COMPRAS!$O$3:$O$4997,COMPRAS!$G$3:$G$4997,S69,COMPRAS!$B$3:$B$4997,"&gt;="&amp;IF($C$4="",DATE(1900,1,1),$C$4),COMPRAS!$B$3:$B$4997,"&lt;="&amp;IF($F$4="",DATE(2999,12,31),$F$4)),0)</f>
        <v>893.8</v>
      </c>
      <c r="Y69" s="1" t="n">
        <f aca="false">IF($X$2="TODOS",U69,IF(S69&lt;&gt;"",SUMIFS(COMPRAS!$J$3:$J$4997,COMPRAS!$G$3:$G$4997,S69,COMPRAS!$D$3:$D$4997,$X$2,COMPRAS!$B$3:$B$4997,"&gt;="&amp;IF($C$4="",DATE(1900,1,1),$C$4),COMPRAS!$B$3:$B$4997,"&lt;="&amp;IF($F$4="",DATE(2999,12,31),$F$4)),0))</f>
        <v>202</v>
      </c>
      <c r="Z69" s="1" t="n">
        <f aca="false">IF($X$2="TODOS",V69,IF(S69&lt;&gt;"",SUMIFS(COMPRAS!$O$3:$O$4997,COMPRAS!$G$3:$G$4997,S69,COMPRAS!$D$3:$D$4997,$X$2,COMPRAS!$B$3:$B$4997,"&gt;="&amp;IF($C$4="",DATE(1900,1,1),$C$4),COMPRAS!$B$3:$B$4997,"&lt;="&amp;IF($F$4="",DATE(2999,12,31),$F$4)),0))</f>
        <v>893.8</v>
      </c>
    </row>
    <row r="70" customFormat="false" ht="15" hidden="false" customHeight="true" outlineLevel="0" collapsed="false">
      <c r="N70" s="1" t="n">
        <f aca="false">PROVEEDORES!A71</f>
        <v>0</v>
      </c>
      <c r="O70" s="1" t="n">
        <f aca="false">PROVEEDORES!B71</f>
        <v>0</v>
      </c>
      <c r="P70" s="1" t="n">
        <f aca="false">IF(N70&lt;&gt;"",SUMIFS(COMPRAS!$J$3:$J$4997,COMPRAS!$D$3:$D$4997,N70,COMPRAS!$B$3:$B$4997,"&gt;="&amp;IF($C$4="",DATE(1900,1,1),$C$4),COMPRAS!$B$3:$B$4997,"&lt;="&amp;IF($F$4="",DATE(2999,12,31),$F$4)),0)</f>
        <v>0</v>
      </c>
      <c r="Q70" s="1" t="n">
        <f aca="false">IF(N70&lt;&gt;"",SUMIFS(COMPRAS!$O$3:$O$4997,COMPRAS!$D$3:$D$4997,N70,COMPRAS!$B$3:$B$4997,"&gt;="&amp;IF($C$4="",DATE(1900,1,1),$C$4),COMPRAS!$B$3:$B$4997,"&lt;="&amp;IF($F$4="",DATE(2999,12,31),$F$4)),0)</f>
        <v>0</v>
      </c>
      <c r="S70" s="1" t="str">
        <f aca="false">PRODUCTOS!A71</f>
        <v>C336</v>
      </c>
      <c r="T70" s="1" t="str">
        <f aca="false">PRODUCTOS!B71</f>
        <v>LUBINA RIA/ ROBALIZA (BSS)</v>
      </c>
      <c r="U70" s="1" t="n">
        <f aca="false">IF(S70&lt;&gt;"",SUMIFS(COMPRAS!$J$3:$J$4997,COMPRAS!$G$3:$G$4997,S70,COMPRAS!$B$3:$B$4997,"&gt;="&amp;IF($C$4="",DATE(1900,1,1),$C$4),COMPRAS!$B$3:$B$4997,"&lt;="&amp;IF($F$4="",DATE(2999,12,31),$F$4)),0)</f>
        <v>867.14</v>
      </c>
      <c r="V70" s="1" t="n">
        <f aca="false">IF(S70&lt;&gt;"",SUMIFS(COMPRAS!$O$3:$O$4997,COMPRAS!$G$3:$G$4997,S70,COMPRAS!$B$3:$B$4997,"&gt;="&amp;IF($C$4="",DATE(1900,1,1),$C$4),COMPRAS!$B$3:$B$4997,"&lt;="&amp;IF($F$4="",DATE(2999,12,31),$F$4)),0)</f>
        <v>16171.0834</v>
      </c>
      <c r="Y70" s="1" t="n">
        <f aca="false">IF($X$2="TODOS",U70,IF(S70&lt;&gt;"",SUMIFS(COMPRAS!$J$3:$J$4997,COMPRAS!$G$3:$G$4997,S70,COMPRAS!$D$3:$D$4997,$X$2,COMPRAS!$B$3:$B$4997,"&gt;="&amp;IF($C$4="",DATE(1900,1,1),$C$4),COMPRAS!$B$3:$B$4997,"&lt;="&amp;IF($F$4="",DATE(2999,12,31),$F$4)),0))</f>
        <v>867.14</v>
      </c>
      <c r="Z70" s="1" t="n">
        <f aca="false">IF($X$2="TODOS",V70,IF(S70&lt;&gt;"",SUMIFS(COMPRAS!$O$3:$O$4997,COMPRAS!$G$3:$G$4997,S70,COMPRAS!$D$3:$D$4997,$X$2,COMPRAS!$B$3:$B$4997,"&gt;="&amp;IF($C$4="",DATE(1900,1,1),$C$4),COMPRAS!$B$3:$B$4997,"&lt;="&amp;IF($F$4="",DATE(2999,12,31),$F$4)),0))</f>
        <v>16171.0834</v>
      </c>
    </row>
    <row r="71" customFormat="false" ht="15" hidden="false" customHeight="true" outlineLevel="0" collapsed="false">
      <c r="N71" s="1" t="n">
        <f aca="false">PROVEEDORES!A72</f>
        <v>0</v>
      </c>
      <c r="O71" s="1" t="n">
        <f aca="false">PROVEEDORES!B72</f>
        <v>0</v>
      </c>
      <c r="P71" s="1" t="n">
        <f aca="false">IF(N71&lt;&gt;"",SUMIFS(COMPRAS!$J$3:$J$4997,COMPRAS!$D$3:$D$4997,N71,COMPRAS!$B$3:$B$4997,"&gt;="&amp;IF($C$4="",DATE(1900,1,1),$C$4),COMPRAS!$B$3:$B$4997,"&lt;="&amp;IF($F$4="",DATE(2999,12,31),$F$4)),0)</f>
        <v>0</v>
      </c>
      <c r="Q71" s="1" t="n">
        <f aca="false">IF(N71&lt;&gt;"",SUMIFS(COMPRAS!$O$3:$O$4997,COMPRAS!$D$3:$D$4997,N71,COMPRAS!$B$3:$B$4997,"&gt;="&amp;IF($C$4="",DATE(1900,1,1),$C$4),COMPRAS!$B$3:$B$4997,"&lt;="&amp;IF($F$4="",DATE(2999,12,31),$F$4)),0)</f>
        <v>0</v>
      </c>
      <c r="S71" s="1" t="str">
        <f aca="false">PRODUCTOS!A72</f>
        <v>C3110</v>
      </c>
      <c r="T71" s="1" t="str">
        <f aca="false">PRODUCTOS!B72</f>
        <v>MACHOS/ REYES/ ALFONSINOS (BYS)</v>
      </c>
      <c r="U71" s="1" t="n">
        <f aca="false">IF(S71&lt;&gt;"",SUMIFS(COMPRAS!$J$3:$J$4997,COMPRAS!$G$3:$G$4997,S71,COMPRAS!$B$3:$B$4997,"&gt;="&amp;IF($C$4="",DATE(1900,1,1),$C$4),COMPRAS!$B$3:$B$4997,"&lt;="&amp;IF($F$4="",DATE(2999,12,31),$F$4)),0)</f>
        <v>71.8</v>
      </c>
      <c r="V71" s="1" t="n">
        <f aca="false">IF(S71&lt;&gt;"",SUMIFS(COMPRAS!$O$3:$O$4997,COMPRAS!$G$3:$G$4997,S71,COMPRAS!$B$3:$B$4997,"&gt;="&amp;IF($C$4="",DATE(1900,1,1),$C$4),COMPRAS!$B$3:$B$4997,"&lt;="&amp;IF($F$4="",DATE(2999,12,31),$F$4)),0)</f>
        <v>1298.1965</v>
      </c>
      <c r="Y71" s="1" t="n">
        <f aca="false">IF($X$2="TODOS",U71,IF(S71&lt;&gt;"",SUMIFS(COMPRAS!$J$3:$J$4997,COMPRAS!$G$3:$G$4997,S71,COMPRAS!$D$3:$D$4997,$X$2,COMPRAS!$B$3:$B$4997,"&gt;="&amp;IF($C$4="",DATE(1900,1,1),$C$4),COMPRAS!$B$3:$B$4997,"&lt;="&amp;IF($F$4="",DATE(2999,12,31),$F$4)),0))</f>
        <v>71.8</v>
      </c>
      <c r="Z71" s="1" t="n">
        <f aca="false">IF($X$2="TODOS",V71,IF(S71&lt;&gt;"",SUMIFS(COMPRAS!$O$3:$O$4997,COMPRAS!$G$3:$G$4997,S71,COMPRAS!$D$3:$D$4997,$X$2,COMPRAS!$B$3:$B$4997,"&gt;="&amp;IF($C$4="",DATE(1900,1,1),$C$4),COMPRAS!$B$3:$B$4997,"&lt;="&amp;IF($F$4="",DATE(2999,12,31),$F$4)),0))</f>
        <v>1298.1965</v>
      </c>
    </row>
    <row r="72" customFormat="false" ht="15" hidden="false" customHeight="true" outlineLevel="0" collapsed="false">
      <c r="N72" s="1" t="n">
        <f aca="false">PROVEEDORES!A73</f>
        <v>0</v>
      </c>
      <c r="O72" s="1" t="n">
        <f aca="false">PROVEEDORES!B73</f>
        <v>0</v>
      </c>
      <c r="P72" s="1" t="n">
        <f aca="false">IF(N72&lt;&gt;"",SUMIFS(COMPRAS!$J$3:$J$4997,COMPRAS!$D$3:$D$4997,N72,COMPRAS!$B$3:$B$4997,"&gt;="&amp;IF($C$4="",DATE(1900,1,1),$C$4),COMPRAS!$B$3:$B$4997,"&lt;="&amp;IF($F$4="",DATE(2999,12,31),$F$4)),0)</f>
        <v>0</v>
      </c>
      <c r="Q72" s="1" t="n">
        <f aca="false">IF(N72&lt;&gt;"",SUMIFS(COMPRAS!$O$3:$O$4997,COMPRAS!$D$3:$D$4997,N72,COMPRAS!$B$3:$B$4997,"&gt;="&amp;IF($C$4="",DATE(1900,1,1),$C$4),COMPRAS!$B$3:$B$4997,"&lt;="&amp;IF($F$4="",DATE(2999,12,31),$F$4)),0)</f>
        <v>0</v>
      </c>
      <c r="S72" s="1" t="str">
        <f aca="false">PRODUCTOS!A73</f>
        <v>C755</v>
      </c>
      <c r="T72" s="1" t="str">
        <f aca="false">PRODUCTOS!B73</f>
        <v>MARAGOTA/ PINTO (USB)</v>
      </c>
      <c r="U72" s="1" t="n">
        <f aca="false">IF(S72&lt;&gt;"",SUMIFS(COMPRAS!$J$3:$J$4997,COMPRAS!$G$3:$G$4997,S72,COMPRAS!$B$3:$B$4997,"&gt;="&amp;IF($C$4="",DATE(1900,1,1),$C$4),COMPRAS!$B$3:$B$4997,"&lt;="&amp;IF($F$4="",DATE(2999,12,31),$F$4)),0)</f>
        <v>0</v>
      </c>
      <c r="V72" s="1" t="n">
        <f aca="false">IF(S72&lt;&gt;"",SUMIFS(COMPRAS!$O$3:$O$4997,COMPRAS!$G$3:$G$4997,S72,COMPRAS!$B$3:$B$4997,"&gt;="&amp;IF($C$4="",DATE(1900,1,1),$C$4),COMPRAS!$B$3:$B$4997,"&lt;="&amp;IF($F$4="",DATE(2999,12,31),$F$4)),0)</f>
        <v>0</v>
      </c>
      <c r="Y72" s="1" t="n">
        <f aca="false">IF($X$2="TODOS",U72,IF(S72&lt;&gt;"",SUMIFS(COMPRAS!$J$3:$J$4997,COMPRAS!$G$3:$G$4997,S72,COMPRAS!$D$3:$D$4997,$X$2,COMPRAS!$B$3:$B$4997,"&gt;="&amp;IF($C$4="",DATE(1900,1,1),$C$4),COMPRAS!$B$3:$B$4997,"&lt;="&amp;IF($F$4="",DATE(2999,12,31),$F$4)),0))</f>
        <v>0</v>
      </c>
      <c r="Z72" s="1" t="n">
        <f aca="false">IF($X$2="TODOS",V72,IF(S72&lt;&gt;"",SUMIFS(COMPRAS!$O$3:$O$4997,COMPRAS!$G$3:$G$4997,S72,COMPRAS!$D$3:$D$4997,$X$2,COMPRAS!$B$3:$B$4997,"&gt;="&amp;IF($C$4="",DATE(1900,1,1),$C$4),COMPRAS!$B$3:$B$4997,"&lt;="&amp;IF($F$4="",DATE(2999,12,31),$F$4)),0))</f>
        <v>0</v>
      </c>
    </row>
    <row r="73" customFormat="false" ht="15" hidden="false" customHeight="true" outlineLevel="0" collapsed="false">
      <c r="N73" s="1" t="n">
        <f aca="false">PROVEEDORES!A74</f>
        <v>0</v>
      </c>
      <c r="O73" s="1" t="n">
        <f aca="false">PROVEEDORES!B74</f>
        <v>0</v>
      </c>
      <c r="P73" s="1" t="n">
        <f aca="false">IF(N73&lt;&gt;"",SUMIFS(COMPRAS!$J$3:$J$4997,COMPRAS!$D$3:$D$4997,N73,COMPRAS!$B$3:$B$4997,"&gt;="&amp;IF($C$4="",DATE(1900,1,1),$C$4),COMPRAS!$B$3:$B$4997,"&lt;="&amp;IF($F$4="",DATE(2999,12,31),$F$4)),0)</f>
        <v>0</v>
      </c>
      <c r="Q73" s="1" t="n">
        <f aca="false">IF(N73&lt;&gt;"",SUMIFS(COMPRAS!$O$3:$O$4997,COMPRAS!$D$3:$D$4997,N73,COMPRAS!$B$3:$B$4997,"&gt;="&amp;IF($C$4="",DATE(1900,1,1),$C$4),COMPRAS!$B$3:$B$4997,"&lt;="&amp;IF($F$4="",DATE(2999,12,31),$F$4)),0)</f>
        <v>0</v>
      </c>
      <c r="S73" s="1" t="str">
        <f aca="false">PRODUCTOS!A74</f>
        <v>C1400</v>
      </c>
      <c r="T73" s="1" t="str">
        <f aca="false">PRODUCTOS!B74</f>
        <v>MERLUZA AMERICANA/ CARIOCA BOSTON (HKS)</v>
      </c>
      <c r="U73" s="1" t="n">
        <f aca="false">IF(S73&lt;&gt;"",SUMIFS(COMPRAS!$J$3:$J$4997,COMPRAS!$G$3:$G$4997,S73,COMPRAS!$B$3:$B$4997,"&gt;="&amp;IF($C$4="",DATE(1900,1,1),$C$4),COMPRAS!$B$3:$B$4997,"&lt;="&amp;IF($F$4="",DATE(2999,12,31),$F$4)),0)</f>
        <v>0</v>
      </c>
      <c r="V73" s="1" t="n">
        <f aca="false">IF(S73&lt;&gt;"",SUMIFS(COMPRAS!$O$3:$O$4997,COMPRAS!$G$3:$G$4997,S73,COMPRAS!$B$3:$B$4997,"&gt;="&amp;IF($C$4="",DATE(1900,1,1),$C$4),COMPRAS!$B$3:$B$4997,"&lt;="&amp;IF($F$4="",DATE(2999,12,31),$F$4)),0)</f>
        <v>0</v>
      </c>
      <c r="Y73" s="1" t="n">
        <f aca="false">IF($X$2="TODOS",U73,IF(S73&lt;&gt;"",SUMIFS(COMPRAS!$J$3:$J$4997,COMPRAS!$G$3:$G$4997,S73,COMPRAS!$D$3:$D$4997,$X$2,COMPRAS!$B$3:$B$4997,"&gt;="&amp;IF($C$4="",DATE(1900,1,1),$C$4),COMPRAS!$B$3:$B$4997,"&lt;="&amp;IF($F$4="",DATE(2999,12,31),$F$4)),0))</f>
        <v>0</v>
      </c>
      <c r="Z73" s="1" t="n">
        <f aca="false">IF($X$2="TODOS",V73,IF(S73&lt;&gt;"",SUMIFS(COMPRAS!$O$3:$O$4997,COMPRAS!$G$3:$G$4997,S73,COMPRAS!$D$3:$D$4997,$X$2,COMPRAS!$B$3:$B$4997,"&gt;="&amp;IF($C$4="",DATE(1900,1,1),$C$4),COMPRAS!$B$3:$B$4997,"&lt;="&amp;IF($F$4="",DATE(2999,12,31),$F$4)),0))</f>
        <v>0</v>
      </c>
    </row>
    <row r="74" customFormat="false" ht="15" hidden="false" customHeight="true" outlineLevel="0" collapsed="false">
      <c r="N74" s="1" t="n">
        <f aca="false">PROVEEDORES!A75</f>
        <v>0</v>
      </c>
      <c r="O74" s="1" t="n">
        <f aca="false">PROVEEDORES!B75</f>
        <v>0</v>
      </c>
      <c r="P74" s="1" t="n">
        <f aca="false">IF(N74&lt;&gt;"",SUMIFS(COMPRAS!$J$3:$J$4997,COMPRAS!$D$3:$D$4997,N74,COMPRAS!$B$3:$B$4997,"&gt;="&amp;IF($C$4="",DATE(1900,1,1),$C$4),COMPRAS!$B$3:$B$4997,"&lt;="&amp;IF($F$4="",DATE(2999,12,31),$F$4)),0)</f>
        <v>0</v>
      </c>
      <c r="Q74" s="1" t="n">
        <f aca="false">IF(N74&lt;&gt;"",SUMIFS(COMPRAS!$O$3:$O$4997,COMPRAS!$D$3:$D$4997,N74,COMPRAS!$B$3:$B$4997,"&gt;="&amp;IF($C$4="",DATE(1900,1,1),$C$4),COMPRAS!$B$3:$B$4997,"&lt;="&amp;IF($F$4="",DATE(2999,12,31),$F$4)),0)</f>
        <v>0</v>
      </c>
      <c r="S74" s="1" t="str">
        <f aca="false">PRODUCTOS!A75</f>
        <v>C1250</v>
      </c>
      <c r="T74" s="1" t="str">
        <f aca="false">PRODUCTOS!B75</f>
        <v>MERLUZA DEL CABO (HKC)</v>
      </c>
      <c r="U74" s="1" t="n">
        <f aca="false">IF(S74&lt;&gt;"",SUMIFS(COMPRAS!$J$3:$J$4997,COMPRAS!$G$3:$G$4997,S74,COMPRAS!$B$3:$B$4997,"&gt;="&amp;IF($C$4="",DATE(1900,1,1),$C$4),COMPRAS!$B$3:$B$4997,"&lt;="&amp;IF($F$4="",DATE(2999,12,31),$F$4)),0)</f>
        <v>0</v>
      </c>
      <c r="V74" s="1" t="n">
        <f aca="false">IF(S74&lt;&gt;"",SUMIFS(COMPRAS!$O$3:$O$4997,COMPRAS!$G$3:$G$4997,S74,COMPRAS!$B$3:$B$4997,"&gt;="&amp;IF($C$4="",DATE(1900,1,1),$C$4),COMPRAS!$B$3:$B$4997,"&lt;="&amp;IF($F$4="",DATE(2999,12,31),$F$4)),0)</f>
        <v>0</v>
      </c>
      <c r="Y74" s="1" t="n">
        <f aca="false">IF($X$2="TODOS",U74,IF(S74&lt;&gt;"",SUMIFS(COMPRAS!$J$3:$J$4997,COMPRAS!$G$3:$G$4997,S74,COMPRAS!$D$3:$D$4997,$X$2,COMPRAS!$B$3:$B$4997,"&gt;="&amp;IF($C$4="",DATE(1900,1,1),$C$4),COMPRAS!$B$3:$B$4997,"&lt;="&amp;IF($F$4="",DATE(2999,12,31),$F$4)),0))</f>
        <v>0</v>
      </c>
      <c r="Z74" s="1" t="n">
        <f aca="false">IF($X$2="TODOS",V74,IF(S74&lt;&gt;"",SUMIFS(COMPRAS!$O$3:$O$4997,COMPRAS!$G$3:$G$4997,S74,COMPRAS!$D$3:$D$4997,$X$2,COMPRAS!$B$3:$B$4997,"&gt;="&amp;IF($C$4="",DATE(1900,1,1),$C$4),COMPRAS!$B$3:$B$4997,"&lt;="&amp;IF($F$4="",DATE(2999,12,31),$F$4)),0))</f>
        <v>0</v>
      </c>
    </row>
    <row r="75" customFormat="false" ht="15" hidden="false" customHeight="true" outlineLevel="0" collapsed="false">
      <c r="N75" s="1" t="n">
        <f aca="false">PROVEEDORES!A76</f>
        <v>0</v>
      </c>
      <c r="O75" s="1" t="n">
        <f aca="false">PROVEEDORES!B76</f>
        <v>0</v>
      </c>
      <c r="P75" s="1" t="n">
        <f aca="false">IF(N75&lt;&gt;"",SUMIFS(COMPRAS!$J$3:$J$4997,COMPRAS!$D$3:$D$4997,N75,COMPRAS!$B$3:$B$4997,"&gt;="&amp;IF($C$4="",DATE(1900,1,1),$C$4),COMPRAS!$B$3:$B$4997,"&lt;="&amp;IF($F$4="",DATE(2999,12,31),$F$4)),0)</f>
        <v>0</v>
      </c>
      <c r="Q75" s="1" t="n">
        <f aca="false">IF(N75&lt;&gt;"",SUMIFS(COMPRAS!$O$3:$O$4997,COMPRAS!$D$3:$D$4997,N75,COMPRAS!$B$3:$B$4997,"&gt;="&amp;IF($C$4="",DATE(1900,1,1),$C$4),COMPRAS!$B$3:$B$4997,"&lt;="&amp;IF($F$4="",DATE(2999,12,31),$F$4)),0)</f>
        <v>0</v>
      </c>
      <c r="S75" s="1" t="str">
        <f aca="false">PRODUCTOS!A76</f>
        <v>C1730</v>
      </c>
      <c r="T75" s="1" t="str">
        <f aca="false">PRODUCTOS!B76</f>
        <v>MERLUZA EUROPEA ARRASTRE (HKE) </v>
      </c>
      <c r="U75" s="1" t="n">
        <f aca="false">IF(S75&lt;&gt;"",SUMIFS(COMPRAS!$J$3:$J$4997,COMPRAS!$G$3:$G$4997,S75,COMPRAS!$B$3:$B$4997,"&gt;="&amp;IF($C$4="",DATE(1900,1,1),$C$4),COMPRAS!$B$3:$B$4997,"&lt;="&amp;IF($F$4="",DATE(2999,12,31),$F$4)),0)</f>
        <v>3583.45</v>
      </c>
      <c r="V75" s="1" t="n">
        <f aca="false">IF(S75&lt;&gt;"",SUMIFS(COMPRAS!$O$3:$O$4997,COMPRAS!$G$3:$G$4997,S75,COMPRAS!$B$3:$B$4997,"&gt;="&amp;IF($C$4="",DATE(1900,1,1),$C$4),COMPRAS!$B$3:$B$4997,"&lt;="&amp;IF($F$4="",DATE(2999,12,31),$F$4)),0)</f>
        <v>11270.29875</v>
      </c>
      <c r="Y75" s="1" t="n">
        <f aca="false">IF($X$2="TODOS",U75,IF(S75&lt;&gt;"",SUMIFS(COMPRAS!$J$3:$J$4997,COMPRAS!$G$3:$G$4997,S75,COMPRAS!$D$3:$D$4997,$X$2,COMPRAS!$B$3:$B$4997,"&gt;="&amp;IF($C$4="",DATE(1900,1,1),$C$4),COMPRAS!$B$3:$B$4997,"&lt;="&amp;IF($F$4="",DATE(2999,12,31),$F$4)),0))</f>
        <v>3583.45</v>
      </c>
      <c r="Z75" s="1" t="n">
        <f aca="false">IF($X$2="TODOS",V75,IF(S75&lt;&gt;"",SUMIFS(COMPRAS!$O$3:$O$4997,COMPRAS!$G$3:$G$4997,S75,COMPRAS!$D$3:$D$4997,$X$2,COMPRAS!$B$3:$B$4997,"&gt;="&amp;IF($C$4="",DATE(1900,1,1),$C$4),COMPRAS!$B$3:$B$4997,"&lt;="&amp;IF($F$4="",DATE(2999,12,31),$F$4)),0))</f>
        <v>11270.29875</v>
      </c>
    </row>
    <row r="76" customFormat="false" ht="15" hidden="false" customHeight="true" outlineLevel="0" collapsed="false">
      <c r="N76" s="1" t="n">
        <f aca="false">PROVEEDORES!A77</f>
        <v>0</v>
      </c>
      <c r="O76" s="1" t="n">
        <f aca="false">PROVEEDORES!B77</f>
        <v>0</v>
      </c>
      <c r="P76" s="1" t="n">
        <f aca="false">IF(N76&lt;&gt;"",SUMIFS(COMPRAS!$J$3:$J$4997,COMPRAS!$D$3:$D$4997,N76,COMPRAS!$B$3:$B$4997,"&gt;="&amp;IF($C$4="",DATE(1900,1,1),$C$4),COMPRAS!$B$3:$B$4997,"&lt;="&amp;IF($F$4="",DATE(2999,12,31),$F$4)),0)</f>
        <v>0</v>
      </c>
      <c r="Q76" s="1" t="n">
        <f aca="false">IF(N76&lt;&gt;"",SUMIFS(COMPRAS!$O$3:$O$4997,COMPRAS!$D$3:$D$4997,N76,COMPRAS!$B$3:$B$4997,"&gt;="&amp;IF($C$4="",DATE(1900,1,1),$C$4),COMPRAS!$B$3:$B$4997,"&lt;="&amp;IF($F$4="",DATE(2999,12,31),$F$4)),0)</f>
        <v>0</v>
      </c>
      <c r="S76" s="1" t="str">
        <f aca="false">PRODUCTOS!A77</f>
        <v>C17308</v>
      </c>
      <c r="T76" s="1" t="str">
        <f aca="false">PRODUCTOS!B77</f>
        <v>MERLUZA EUROPEA ARRASTRE (HKE) 800/1000</v>
      </c>
      <c r="U76" s="1" t="n">
        <f aca="false">IF(S76&lt;&gt;"",SUMIFS(COMPRAS!$J$3:$J$4997,COMPRAS!$G$3:$G$4997,S76,COMPRAS!$B$3:$B$4997,"&gt;="&amp;IF($C$4="",DATE(1900,1,1),$C$4),COMPRAS!$B$3:$B$4997,"&lt;="&amp;IF($F$4="",DATE(2999,12,31),$F$4)),0)</f>
        <v>0</v>
      </c>
      <c r="V76" s="1" t="n">
        <f aca="false">IF(S76&lt;&gt;"",SUMIFS(COMPRAS!$O$3:$O$4997,COMPRAS!$G$3:$G$4997,S76,COMPRAS!$B$3:$B$4997,"&gt;="&amp;IF($C$4="",DATE(1900,1,1),$C$4),COMPRAS!$B$3:$B$4997,"&lt;="&amp;IF($F$4="",DATE(2999,12,31),$F$4)),0)</f>
        <v>0</v>
      </c>
      <c r="Y76" s="1" t="n">
        <f aca="false">IF($X$2="TODOS",U76,IF(S76&lt;&gt;"",SUMIFS(COMPRAS!$J$3:$J$4997,COMPRAS!$G$3:$G$4997,S76,COMPRAS!$D$3:$D$4997,$X$2,COMPRAS!$B$3:$B$4997,"&gt;="&amp;IF($C$4="",DATE(1900,1,1),$C$4),COMPRAS!$B$3:$B$4997,"&lt;="&amp;IF($F$4="",DATE(2999,12,31),$F$4)),0))</f>
        <v>0</v>
      </c>
      <c r="Z76" s="1" t="n">
        <f aca="false">IF($X$2="TODOS",V76,IF(S76&lt;&gt;"",SUMIFS(COMPRAS!$O$3:$O$4997,COMPRAS!$G$3:$G$4997,S76,COMPRAS!$D$3:$D$4997,$X$2,COMPRAS!$B$3:$B$4997,"&gt;="&amp;IF($C$4="",DATE(1900,1,1),$C$4),COMPRAS!$B$3:$B$4997,"&lt;="&amp;IF($F$4="",DATE(2999,12,31),$F$4)),0))</f>
        <v>0</v>
      </c>
    </row>
    <row r="77" customFormat="false" ht="15" hidden="false" customHeight="true" outlineLevel="0" collapsed="false">
      <c r="N77" s="1" t="n">
        <f aca="false">PROVEEDORES!A78</f>
        <v>0</v>
      </c>
      <c r="O77" s="1" t="n">
        <f aca="false">PROVEEDORES!B78</f>
        <v>0</v>
      </c>
      <c r="P77" s="1" t="n">
        <f aca="false">IF(N77&lt;&gt;"",SUMIFS(COMPRAS!$J$3:$J$4997,COMPRAS!$D$3:$D$4997,N77,COMPRAS!$B$3:$B$4997,"&gt;="&amp;IF($C$4="",DATE(1900,1,1),$C$4),COMPRAS!$B$3:$B$4997,"&lt;="&amp;IF($F$4="",DATE(2999,12,31),$F$4)),0)</f>
        <v>0</v>
      </c>
      <c r="Q77" s="1" t="n">
        <f aca="false">IF(N77&lt;&gt;"",SUMIFS(COMPRAS!$O$3:$O$4997,COMPRAS!$D$3:$D$4997,N77,COMPRAS!$B$3:$B$4997,"&gt;="&amp;IF($C$4="",DATE(1900,1,1),$C$4),COMPRAS!$B$3:$B$4997,"&lt;="&amp;IF($F$4="",DATE(2999,12,31),$F$4)),0)</f>
        <v>0</v>
      </c>
      <c r="S77" s="1" t="str">
        <f aca="false">PRODUCTOS!A78</f>
        <v>C17301</v>
      </c>
      <c r="T77" s="1" t="str">
        <f aca="false">PRODUCTOS!B78</f>
        <v>MERLUZA EUROPEA ARRASTRE (HKE) 1000/1250</v>
      </c>
      <c r="U77" s="1" t="n">
        <f aca="false">IF(S77&lt;&gt;"",SUMIFS(COMPRAS!$J$3:$J$4997,COMPRAS!$G$3:$G$4997,S77,COMPRAS!$B$3:$B$4997,"&gt;="&amp;IF($C$4="",DATE(1900,1,1),$C$4),COMPRAS!$B$3:$B$4997,"&lt;="&amp;IF($F$4="",DATE(2999,12,31),$F$4)),0)</f>
        <v>0</v>
      </c>
      <c r="V77" s="1" t="n">
        <f aca="false">IF(S77&lt;&gt;"",SUMIFS(COMPRAS!$O$3:$O$4997,COMPRAS!$G$3:$G$4997,S77,COMPRAS!$B$3:$B$4997,"&gt;="&amp;IF($C$4="",DATE(1900,1,1),$C$4),COMPRAS!$B$3:$B$4997,"&lt;="&amp;IF($F$4="",DATE(2999,12,31),$F$4)),0)</f>
        <v>0</v>
      </c>
      <c r="Y77" s="1" t="n">
        <f aca="false">IF($X$2="TODOS",U77,IF(S77&lt;&gt;"",SUMIFS(COMPRAS!$J$3:$J$4997,COMPRAS!$G$3:$G$4997,S77,COMPRAS!$D$3:$D$4997,$X$2,COMPRAS!$B$3:$B$4997,"&gt;="&amp;IF($C$4="",DATE(1900,1,1),$C$4),COMPRAS!$B$3:$B$4997,"&lt;="&amp;IF($F$4="",DATE(2999,12,31),$F$4)),0))</f>
        <v>0</v>
      </c>
      <c r="Z77" s="1" t="n">
        <f aca="false">IF($X$2="TODOS",V77,IF(S77&lt;&gt;"",SUMIFS(COMPRAS!$O$3:$O$4997,COMPRAS!$G$3:$G$4997,S77,COMPRAS!$D$3:$D$4997,$X$2,COMPRAS!$B$3:$B$4997,"&gt;="&amp;IF($C$4="",DATE(1900,1,1),$C$4),COMPRAS!$B$3:$B$4997,"&lt;="&amp;IF($F$4="",DATE(2999,12,31),$F$4)),0))</f>
        <v>0</v>
      </c>
    </row>
    <row r="78" customFormat="false" ht="15" hidden="false" customHeight="true" outlineLevel="0" collapsed="false">
      <c r="N78" s="1" t="n">
        <f aca="false">PROVEEDORES!A79</f>
        <v>0</v>
      </c>
      <c r="O78" s="1" t="n">
        <f aca="false">PROVEEDORES!B79</f>
        <v>0</v>
      </c>
      <c r="P78" s="1" t="n">
        <f aca="false">IF(N78&lt;&gt;"",SUMIFS(COMPRAS!$J$3:$J$4997,COMPRAS!$D$3:$D$4997,N78,COMPRAS!$B$3:$B$4997,"&gt;="&amp;IF($C$4="",DATE(1900,1,1),$C$4),COMPRAS!$B$3:$B$4997,"&lt;="&amp;IF($F$4="",DATE(2999,12,31),$F$4)),0)</f>
        <v>0</v>
      </c>
      <c r="Q78" s="1" t="n">
        <f aca="false">IF(N78&lt;&gt;"",SUMIFS(COMPRAS!$O$3:$O$4997,COMPRAS!$D$3:$D$4997,N78,COMPRAS!$B$3:$B$4997,"&gt;="&amp;IF($C$4="",DATE(1900,1,1),$C$4),COMPRAS!$B$3:$B$4997,"&lt;="&amp;IF($F$4="",DATE(2999,12,31),$F$4)),0)</f>
        <v>0</v>
      </c>
      <c r="S78" s="1" t="str">
        <f aca="false">PRODUCTOS!A79</f>
        <v>C17301+</v>
      </c>
      <c r="T78" s="1" t="str">
        <f aca="false">PRODUCTOS!B79</f>
        <v>MERLUZA EUROPEA ARRASTRE (HKE) 1250/1500</v>
      </c>
      <c r="U78" s="1" t="n">
        <f aca="false">IF(S78&lt;&gt;"",SUMIFS(COMPRAS!$J$3:$J$4997,COMPRAS!$G$3:$G$4997,S78,COMPRAS!$B$3:$B$4997,"&gt;="&amp;IF($C$4="",DATE(1900,1,1),$C$4),COMPRAS!$B$3:$B$4997,"&lt;="&amp;IF($F$4="",DATE(2999,12,31),$F$4)),0)</f>
        <v>0</v>
      </c>
      <c r="V78" s="1" t="n">
        <f aca="false">IF(S78&lt;&gt;"",SUMIFS(COMPRAS!$O$3:$O$4997,COMPRAS!$G$3:$G$4997,S78,COMPRAS!$B$3:$B$4997,"&gt;="&amp;IF($C$4="",DATE(1900,1,1),$C$4),COMPRAS!$B$3:$B$4997,"&lt;="&amp;IF($F$4="",DATE(2999,12,31),$F$4)),0)</f>
        <v>0</v>
      </c>
      <c r="Y78" s="1" t="n">
        <f aca="false">IF($X$2="TODOS",U78,IF(S78&lt;&gt;"",SUMIFS(COMPRAS!$J$3:$J$4997,COMPRAS!$G$3:$G$4997,S78,COMPRAS!$D$3:$D$4997,$X$2,COMPRAS!$B$3:$B$4997,"&gt;="&amp;IF($C$4="",DATE(1900,1,1),$C$4),COMPRAS!$B$3:$B$4997,"&lt;="&amp;IF($F$4="",DATE(2999,12,31),$F$4)),0))</f>
        <v>0</v>
      </c>
      <c r="Z78" s="1" t="n">
        <f aca="false">IF($X$2="TODOS",V78,IF(S78&lt;&gt;"",SUMIFS(COMPRAS!$O$3:$O$4997,COMPRAS!$G$3:$G$4997,S78,COMPRAS!$D$3:$D$4997,$X$2,COMPRAS!$B$3:$B$4997,"&gt;="&amp;IF($C$4="",DATE(1900,1,1),$C$4),COMPRAS!$B$3:$B$4997,"&lt;="&amp;IF($F$4="",DATE(2999,12,31),$F$4)),0))</f>
        <v>0</v>
      </c>
    </row>
    <row r="79" customFormat="false" ht="15" hidden="false" customHeight="true" outlineLevel="0" collapsed="false">
      <c r="N79" s="1" t="n">
        <f aca="false">PROVEEDORES!A80</f>
        <v>0</v>
      </c>
      <c r="O79" s="1" t="n">
        <f aca="false">PROVEEDORES!B80</f>
        <v>0</v>
      </c>
      <c r="P79" s="1" t="n">
        <f aca="false">IF(N79&lt;&gt;"",SUMIFS(COMPRAS!$J$3:$J$4997,COMPRAS!$D$3:$D$4997,N79,COMPRAS!$B$3:$B$4997,"&gt;="&amp;IF($C$4="",DATE(1900,1,1),$C$4),COMPRAS!$B$3:$B$4997,"&lt;="&amp;IF($F$4="",DATE(2999,12,31),$F$4)),0)</f>
        <v>0</v>
      </c>
      <c r="Q79" s="1" t="n">
        <f aca="false">IF(N79&lt;&gt;"",SUMIFS(COMPRAS!$O$3:$O$4997,COMPRAS!$D$3:$D$4997,N79,COMPRAS!$B$3:$B$4997,"&gt;="&amp;IF($C$4="",DATE(1900,1,1),$C$4),COMPRAS!$B$3:$B$4997,"&lt;="&amp;IF($F$4="",DATE(2999,12,31),$F$4)),0)</f>
        <v>0</v>
      </c>
      <c r="S79" s="1" t="str">
        <f aca="false">PRODUCTOS!A80</f>
        <v>C173015</v>
      </c>
      <c r="T79" s="1" t="str">
        <f aca="false">PRODUCTOS!B80</f>
        <v>MERLUZA EUROPEA ARRASTRE (HKE) 1500/2000</v>
      </c>
      <c r="U79" s="1" t="n">
        <f aca="false">IF(S79&lt;&gt;"",SUMIFS(COMPRAS!$J$3:$J$4997,COMPRAS!$G$3:$G$4997,S79,COMPRAS!$B$3:$B$4997,"&gt;="&amp;IF($C$4="",DATE(1900,1,1),$C$4),COMPRAS!$B$3:$B$4997,"&lt;="&amp;IF($F$4="",DATE(2999,12,31),$F$4)),0)</f>
        <v>0</v>
      </c>
      <c r="V79" s="1" t="n">
        <f aca="false">IF(S79&lt;&gt;"",SUMIFS(COMPRAS!$O$3:$O$4997,COMPRAS!$G$3:$G$4997,S79,COMPRAS!$B$3:$B$4997,"&gt;="&amp;IF($C$4="",DATE(1900,1,1),$C$4),COMPRAS!$B$3:$B$4997,"&lt;="&amp;IF($F$4="",DATE(2999,12,31),$F$4)),0)</f>
        <v>0</v>
      </c>
      <c r="Y79" s="1" t="n">
        <f aca="false">IF($X$2="TODOS",U79,IF(S79&lt;&gt;"",SUMIFS(COMPRAS!$J$3:$J$4997,COMPRAS!$G$3:$G$4997,S79,COMPRAS!$D$3:$D$4997,$X$2,COMPRAS!$B$3:$B$4997,"&gt;="&amp;IF($C$4="",DATE(1900,1,1),$C$4),COMPRAS!$B$3:$B$4997,"&lt;="&amp;IF($F$4="",DATE(2999,12,31),$F$4)),0))</f>
        <v>0</v>
      </c>
      <c r="Z79" s="1" t="n">
        <f aca="false">IF($X$2="TODOS",V79,IF(S79&lt;&gt;"",SUMIFS(COMPRAS!$O$3:$O$4997,COMPRAS!$G$3:$G$4997,S79,COMPRAS!$D$3:$D$4997,$X$2,COMPRAS!$B$3:$B$4997,"&gt;="&amp;IF($C$4="",DATE(1900,1,1),$C$4),COMPRAS!$B$3:$B$4997,"&lt;="&amp;IF($F$4="",DATE(2999,12,31),$F$4)),0))</f>
        <v>0</v>
      </c>
    </row>
    <row r="80" customFormat="false" ht="15" hidden="false" customHeight="true" outlineLevel="0" collapsed="false">
      <c r="N80" s="1" t="n">
        <f aca="false">PROVEEDORES!A81</f>
        <v>0</v>
      </c>
      <c r="O80" s="1" t="n">
        <f aca="false">PROVEEDORES!B81</f>
        <v>0</v>
      </c>
      <c r="P80" s="1" t="n">
        <f aca="false">IF(N80&lt;&gt;"",SUMIFS(COMPRAS!$J$3:$J$4997,COMPRAS!$D$3:$D$4997,N80,COMPRAS!$B$3:$B$4997,"&gt;="&amp;IF($C$4="",DATE(1900,1,1),$C$4),COMPRAS!$B$3:$B$4997,"&lt;="&amp;IF($F$4="",DATE(2999,12,31),$F$4)),0)</f>
        <v>0</v>
      </c>
      <c r="Q80" s="1" t="n">
        <f aca="false">IF(N80&lt;&gt;"",SUMIFS(COMPRAS!$O$3:$O$4997,COMPRAS!$D$3:$D$4997,N80,COMPRAS!$B$3:$B$4997,"&gt;="&amp;IF($C$4="",DATE(1900,1,1),$C$4),COMPRAS!$B$3:$B$4997,"&lt;="&amp;IF($F$4="",DATE(2999,12,31),$F$4)),0)</f>
        <v>0</v>
      </c>
      <c r="S80" s="1" t="str">
        <f aca="false">PRODUCTOS!A81</f>
        <v>C173020</v>
      </c>
      <c r="T80" s="1" t="str">
        <f aca="false">PRODUCTOS!B81</f>
        <v>MERLUZA EUROPEA ARRASTRE (HKE) 2000/2500</v>
      </c>
      <c r="U80" s="1" t="n">
        <f aca="false">IF(S80&lt;&gt;"",SUMIFS(COMPRAS!$J$3:$J$4997,COMPRAS!$G$3:$G$4997,S80,COMPRAS!$B$3:$B$4997,"&gt;="&amp;IF($C$4="",DATE(1900,1,1),$C$4),COMPRAS!$B$3:$B$4997,"&lt;="&amp;IF($F$4="",DATE(2999,12,31),$F$4)),0)</f>
        <v>0</v>
      </c>
      <c r="V80" s="1" t="n">
        <f aca="false">IF(S80&lt;&gt;"",SUMIFS(COMPRAS!$O$3:$O$4997,COMPRAS!$G$3:$G$4997,S80,COMPRAS!$B$3:$B$4997,"&gt;="&amp;IF($C$4="",DATE(1900,1,1),$C$4),COMPRAS!$B$3:$B$4997,"&lt;="&amp;IF($F$4="",DATE(2999,12,31),$F$4)),0)</f>
        <v>0</v>
      </c>
      <c r="Y80" s="1" t="n">
        <f aca="false">IF($X$2="TODOS",U80,IF(S80&lt;&gt;"",SUMIFS(COMPRAS!$J$3:$J$4997,COMPRAS!$G$3:$G$4997,S80,COMPRAS!$D$3:$D$4997,$X$2,COMPRAS!$B$3:$B$4997,"&gt;="&amp;IF($C$4="",DATE(1900,1,1),$C$4),COMPRAS!$B$3:$B$4997,"&lt;="&amp;IF($F$4="",DATE(2999,12,31),$F$4)),0))</f>
        <v>0</v>
      </c>
      <c r="Z80" s="1" t="n">
        <f aca="false">IF($X$2="TODOS",V80,IF(S80&lt;&gt;"",SUMIFS(COMPRAS!$O$3:$O$4997,COMPRAS!$G$3:$G$4997,S80,COMPRAS!$D$3:$D$4997,$X$2,COMPRAS!$B$3:$B$4997,"&gt;="&amp;IF($C$4="",DATE(1900,1,1),$C$4),COMPRAS!$B$3:$B$4997,"&lt;="&amp;IF($F$4="",DATE(2999,12,31),$F$4)),0))</f>
        <v>0</v>
      </c>
    </row>
    <row r="81" customFormat="false" ht="15" hidden="false" customHeight="true" outlineLevel="0" collapsed="false">
      <c r="N81" s="1" t="n">
        <f aca="false">PROVEEDORES!A82</f>
        <v>0</v>
      </c>
      <c r="O81" s="1" t="n">
        <f aca="false">PROVEEDORES!B82</f>
        <v>0</v>
      </c>
      <c r="P81" s="1" t="n">
        <f aca="false">IF(N81&lt;&gt;"",SUMIFS(COMPRAS!$J$3:$J$4997,COMPRAS!$D$3:$D$4997,N81,COMPRAS!$B$3:$B$4997,"&gt;="&amp;IF($C$4="",DATE(1900,1,1),$C$4),COMPRAS!$B$3:$B$4997,"&lt;="&amp;IF($F$4="",DATE(2999,12,31),$F$4)),0)</f>
        <v>0</v>
      </c>
      <c r="Q81" s="1" t="n">
        <f aca="false">IF(N81&lt;&gt;"",SUMIFS(COMPRAS!$O$3:$O$4997,COMPRAS!$D$3:$D$4997,N81,COMPRAS!$B$3:$B$4997,"&gt;="&amp;IF($C$4="",DATE(1900,1,1),$C$4),COMPRAS!$B$3:$B$4997,"&lt;="&amp;IF($F$4="",DATE(2999,12,31),$F$4)),0)</f>
        <v>0</v>
      </c>
      <c r="S81" s="1" t="str">
        <f aca="false">PRODUCTOS!A82</f>
        <v>C169</v>
      </c>
      <c r="T81" s="1" t="str">
        <f aca="false">PRODUCTOS!B82</f>
        <v>MERLUZA EUROPEA GDA (HKE)</v>
      </c>
      <c r="U81" s="1" t="n">
        <f aca="false">IF(S81&lt;&gt;"",SUMIFS(COMPRAS!$J$3:$J$4997,COMPRAS!$G$3:$G$4997,S81,COMPRAS!$B$3:$B$4997,"&gt;="&amp;IF($C$4="",DATE(1900,1,1),$C$4),COMPRAS!$B$3:$B$4997,"&lt;="&amp;IF($F$4="",DATE(2999,12,31),$F$4)),0)</f>
        <v>59.45</v>
      </c>
      <c r="V81" s="1" t="n">
        <f aca="false">IF(S81&lt;&gt;"",SUMIFS(COMPRAS!$O$3:$O$4997,COMPRAS!$G$3:$G$4997,S81,COMPRAS!$B$3:$B$4997,"&gt;="&amp;IF($C$4="",DATE(1900,1,1),$C$4),COMPRAS!$B$3:$B$4997,"&lt;="&amp;IF($F$4="",DATE(2999,12,31),$F$4)),0)</f>
        <v>659.328</v>
      </c>
      <c r="Y81" s="1" t="n">
        <f aca="false">IF($X$2="TODOS",U81,IF(S81&lt;&gt;"",SUMIFS(COMPRAS!$J$3:$J$4997,COMPRAS!$G$3:$G$4997,S81,COMPRAS!$D$3:$D$4997,$X$2,COMPRAS!$B$3:$B$4997,"&gt;="&amp;IF($C$4="",DATE(1900,1,1),$C$4),COMPRAS!$B$3:$B$4997,"&lt;="&amp;IF($F$4="",DATE(2999,12,31),$F$4)),0))</f>
        <v>59.45</v>
      </c>
      <c r="Z81" s="1" t="n">
        <f aca="false">IF($X$2="TODOS",V81,IF(S81&lt;&gt;"",SUMIFS(COMPRAS!$O$3:$O$4997,COMPRAS!$G$3:$G$4997,S81,COMPRAS!$D$3:$D$4997,$X$2,COMPRAS!$B$3:$B$4997,"&gt;="&amp;IF($C$4="",DATE(1900,1,1),$C$4),COMPRAS!$B$3:$B$4997,"&lt;="&amp;IF($F$4="",DATE(2999,12,31),$F$4)),0))</f>
        <v>659.328</v>
      </c>
    </row>
    <row r="82" customFormat="false" ht="15" hidden="false" customHeight="true" outlineLevel="0" collapsed="false">
      <c r="N82" s="1" t="n">
        <f aca="false">PROVEEDORES!A83</f>
        <v>0</v>
      </c>
      <c r="O82" s="1" t="n">
        <f aca="false">PROVEEDORES!B83</f>
        <v>0</v>
      </c>
      <c r="P82" s="1" t="n">
        <f aca="false">IF(N82&lt;&gt;"",SUMIFS(COMPRAS!$J$3:$J$4997,COMPRAS!$D$3:$D$4997,N82,COMPRAS!$B$3:$B$4997,"&gt;="&amp;IF($C$4="",DATE(1900,1,1),$C$4),COMPRAS!$B$3:$B$4997,"&lt;="&amp;IF($F$4="",DATE(2999,12,31),$F$4)),0)</f>
        <v>0</v>
      </c>
      <c r="Q82" s="1" t="n">
        <f aca="false">IF(N82&lt;&gt;"",SUMIFS(COMPRAS!$O$3:$O$4997,COMPRAS!$D$3:$D$4997,N82,COMPRAS!$B$3:$B$4997,"&gt;="&amp;IF($C$4="",DATE(1900,1,1),$C$4),COMPRAS!$B$3:$B$4997,"&lt;="&amp;IF($F$4="",DATE(2999,12,31),$F$4)),0)</f>
        <v>0</v>
      </c>
      <c r="S82" s="1" t="str">
        <f aca="false">PRODUCTOS!A83</f>
        <v>C1750</v>
      </c>
      <c r="T82" s="1" t="str">
        <f aca="false">PRODUCTOS!B83</f>
        <v>MERLUZA EUROPEA PAREJA (HKE)</v>
      </c>
      <c r="U82" s="1" t="n">
        <f aca="false">IF(S82&lt;&gt;"",SUMIFS(COMPRAS!$J$3:$J$4997,COMPRAS!$G$3:$G$4997,S82,COMPRAS!$B$3:$B$4997,"&gt;="&amp;IF($C$4="",DATE(1900,1,1),$C$4),COMPRAS!$B$3:$B$4997,"&lt;="&amp;IF($F$4="",DATE(2999,12,31),$F$4)),0)</f>
        <v>503.05</v>
      </c>
      <c r="V82" s="1" t="n">
        <f aca="false">IF(S82&lt;&gt;"",SUMIFS(COMPRAS!$O$3:$O$4997,COMPRAS!$G$3:$G$4997,S82,COMPRAS!$B$3:$B$4997,"&gt;="&amp;IF($C$4="",DATE(1900,1,1),$C$4),COMPRAS!$B$3:$B$4997,"&lt;="&amp;IF($F$4="",DATE(2999,12,31),$F$4)),0)</f>
        <v>1190.6307</v>
      </c>
      <c r="Y82" s="1" t="n">
        <f aca="false">IF($X$2="TODOS",U82,IF(S82&lt;&gt;"",SUMIFS(COMPRAS!$J$3:$J$4997,COMPRAS!$G$3:$G$4997,S82,COMPRAS!$D$3:$D$4997,$X$2,COMPRAS!$B$3:$B$4997,"&gt;="&amp;IF($C$4="",DATE(1900,1,1),$C$4),COMPRAS!$B$3:$B$4997,"&lt;="&amp;IF($F$4="",DATE(2999,12,31),$F$4)),0))</f>
        <v>503.05</v>
      </c>
      <c r="Z82" s="1" t="n">
        <f aca="false">IF($X$2="TODOS",V82,IF(S82&lt;&gt;"",SUMIFS(COMPRAS!$O$3:$O$4997,COMPRAS!$G$3:$G$4997,S82,COMPRAS!$D$3:$D$4997,$X$2,COMPRAS!$B$3:$B$4997,"&gt;="&amp;IF($C$4="",DATE(1900,1,1),$C$4),COMPRAS!$B$3:$B$4997,"&lt;="&amp;IF($F$4="",DATE(2999,12,31),$F$4)),0))</f>
        <v>1190.6307</v>
      </c>
    </row>
    <row r="83" customFormat="false" ht="15" hidden="false" customHeight="true" outlineLevel="0" collapsed="false">
      <c r="N83" s="1" t="n">
        <f aca="false">PROVEEDORES!A84</f>
        <v>0</v>
      </c>
      <c r="O83" s="1" t="n">
        <f aca="false">PROVEEDORES!B84</f>
        <v>0</v>
      </c>
      <c r="P83" s="1" t="n">
        <f aca="false">IF(N83&lt;&gt;"",SUMIFS(COMPRAS!$J$3:$J$4997,COMPRAS!$D$3:$D$4997,N83,COMPRAS!$B$3:$B$4997,"&gt;="&amp;IF($C$4="",DATE(1900,1,1),$C$4),COMPRAS!$B$3:$B$4997,"&lt;="&amp;IF($F$4="",DATE(2999,12,31),$F$4)),0)</f>
        <v>0</v>
      </c>
      <c r="Q83" s="1" t="n">
        <f aca="false">IF(N83&lt;&gt;"",SUMIFS(COMPRAS!$O$3:$O$4997,COMPRAS!$D$3:$D$4997,N83,COMPRAS!$B$3:$B$4997,"&gt;="&amp;IF($C$4="",DATE(1900,1,1),$C$4),COMPRAS!$B$3:$B$4997,"&lt;="&amp;IF($F$4="",DATE(2999,12,31),$F$4)),0)</f>
        <v>0</v>
      </c>
      <c r="S83" s="1" t="str">
        <f aca="false">PRODUCTOS!A84</f>
        <v>C1206</v>
      </c>
      <c r="T83" s="1" t="str">
        <f aca="false">PRODUCTOS!B84</f>
        <v>MERLUZA EUROPEA PINCHO</v>
      </c>
      <c r="U83" s="1" t="n">
        <f aca="false">IF(S83&lt;&gt;"",SUMIFS(COMPRAS!$J$3:$J$4997,COMPRAS!$G$3:$G$4997,S83,COMPRAS!$B$3:$B$4997,"&gt;="&amp;IF($C$4="",DATE(1900,1,1),$C$4),COMPRAS!$B$3:$B$4997,"&lt;="&amp;IF($F$4="",DATE(2999,12,31),$F$4)),0)</f>
        <v>1202.15</v>
      </c>
      <c r="V83" s="1" t="n">
        <f aca="false">IF(S83&lt;&gt;"",SUMIFS(COMPRAS!$O$3:$O$4997,COMPRAS!$G$3:$G$4997,S83,COMPRAS!$B$3:$B$4997,"&gt;="&amp;IF($C$4="",DATE(1900,1,1),$C$4),COMPRAS!$B$3:$B$4997,"&lt;="&amp;IF($F$4="",DATE(2999,12,31),$F$4)),0)</f>
        <v>7464.2654</v>
      </c>
      <c r="Y83" s="1" t="n">
        <f aca="false">IF($X$2="TODOS",U83,IF(S83&lt;&gt;"",SUMIFS(COMPRAS!$J$3:$J$4997,COMPRAS!$G$3:$G$4997,S83,COMPRAS!$D$3:$D$4997,$X$2,COMPRAS!$B$3:$B$4997,"&gt;="&amp;IF($C$4="",DATE(1900,1,1),$C$4),COMPRAS!$B$3:$B$4997,"&lt;="&amp;IF($F$4="",DATE(2999,12,31),$F$4)),0))</f>
        <v>1202.15</v>
      </c>
      <c r="Z83" s="1" t="n">
        <f aca="false">IF($X$2="TODOS",V83,IF(S83&lt;&gt;"",SUMIFS(COMPRAS!$O$3:$O$4997,COMPRAS!$G$3:$G$4997,S83,COMPRAS!$D$3:$D$4997,$X$2,COMPRAS!$B$3:$B$4997,"&gt;="&amp;IF($C$4="",DATE(1900,1,1),$C$4),COMPRAS!$B$3:$B$4997,"&lt;="&amp;IF($F$4="",DATE(2999,12,31),$F$4)),0))</f>
        <v>7464.2654</v>
      </c>
    </row>
    <row r="84" customFormat="false" ht="15" hidden="false" customHeight="true" outlineLevel="0" collapsed="false">
      <c r="N84" s="1" t="n">
        <f aca="false">PROVEEDORES!A85</f>
        <v>0</v>
      </c>
      <c r="O84" s="1" t="n">
        <f aca="false">PROVEEDORES!B85</f>
        <v>0</v>
      </c>
      <c r="P84" s="1" t="n">
        <f aca="false">IF(N84&lt;&gt;"",SUMIFS(COMPRAS!$J$3:$J$4997,COMPRAS!$D$3:$D$4997,N84,COMPRAS!$B$3:$B$4997,"&gt;="&amp;IF($C$4="",DATE(1900,1,1),$C$4),COMPRAS!$B$3:$B$4997,"&lt;="&amp;IF($F$4="",DATE(2999,12,31),$F$4)),0)</f>
        <v>0</v>
      </c>
      <c r="Q84" s="1" t="n">
        <f aca="false">IF(N84&lt;&gt;"",SUMIFS(COMPRAS!$O$3:$O$4997,COMPRAS!$D$3:$D$4997,N84,COMPRAS!$B$3:$B$4997,"&gt;="&amp;IF($C$4="",DATE(1900,1,1),$C$4),COMPRAS!$B$3:$B$4997,"&lt;="&amp;IF($F$4="",DATE(2999,12,31),$F$4)),0)</f>
        <v>0</v>
      </c>
      <c r="S84" s="1" t="str">
        <f aca="false">PRODUCTOS!A85</f>
        <v>C12068</v>
      </c>
      <c r="T84" s="1" t="str">
        <f aca="false">PRODUCTOS!B85</f>
        <v>MERLUZA EUROPEA PINCHO</v>
      </c>
      <c r="U84" s="1" t="n">
        <f aca="false">IF(S84&lt;&gt;"",SUMIFS(COMPRAS!$J$3:$J$4997,COMPRAS!$G$3:$G$4997,S84,COMPRAS!$B$3:$B$4997,"&gt;="&amp;IF($C$4="",DATE(1900,1,1),$C$4),COMPRAS!$B$3:$B$4997,"&lt;="&amp;IF($F$4="",DATE(2999,12,31),$F$4)),0)</f>
        <v>107.7</v>
      </c>
      <c r="V84" s="1" t="n">
        <f aca="false">IF(S84&lt;&gt;"",SUMIFS(COMPRAS!$O$3:$O$4997,COMPRAS!$G$3:$G$4997,S84,COMPRAS!$B$3:$B$4997,"&gt;="&amp;IF($C$4="",DATE(1900,1,1),$C$4),COMPRAS!$B$3:$B$4997,"&lt;="&amp;IF($F$4="",DATE(2999,12,31),$F$4)),0)</f>
        <v>812.245</v>
      </c>
      <c r="Y84" s="1" t="n">
        <f aca="false">IF($X$2="TODOS",U84,IF(S84&lt;&gt;"",SUMIFS(COMPRAS!$J$3:$J$4997,COMPRAS!$G$3:$G$4997,S84,COMPRAS!$D$3:$D$4997,$X$2,COMPRAS!$B$3:$B$4997,"&gt;="&amp;IF($C$4="",DATE(1900,1,1),$C$4),COMPRAS!$B$3:$B$4997,"&lt;="&amp;IF($F$4="",DATE(2999,12,31),$F$4)),0))</f>
        <v>107.7</v>
      </c>
      <c r="Z84" s="1" t="n">
        <f aca="false">IF($X$2="TODOS",V84,IF(S84&lt;&gt;"",SUMIFS(COMPRAS!$O$3:$O$4997,COMPRAS!$G$3:$G$4997,S84,COMPRAS!$D$3:$D$4997,$X$2,COMPRAS!$B$3:$B$4997,"&gt;="&amp;IF($C$4="",DATE(1900,1,1),$C$4),COMPRAS!$B$3:$B$4997,"&lt;="&amp;IF($F$4="",DATE(2999,12,31),$F$4)),0))</f>
        <v>812.245</v>
      </c>
    </row>
    <row r="85" customFormat="false" ht="15" hidden="false" customHeight="true" outlineLevel="0" collapsed="false">
      <c r="N85" s="1" t="n">
        <f aca="false">PROVEEDORES!A86</f>
        <v>0</v>
      </c>
      <c r="O85" s="1" t="n">
        <f aca="false">PROVEEDORES!B86</f>
        <v>0</v>
      </c>
      <c r="P85" s="1" t="n">
        <f aca="false">IF(N85&lt;&gt;"",SUMIFS(COMPRAS!$J$3:$J$4997,COMPRAS!$D$3:$D$4997,N85,COMPRAS!$B$3:$B$4997,"&gt;="&amp;IF($C$4="",DATE(1900,1,1),$C$4),COMPRAS!$B$3:$B$4997,"&lt;="&amp;IF($F$4="",DATE(2999,12,31),$F$4)),0)</f>
        <v>0</v>
      </c>
      <c r="Q85" s="1" t="n">
        <f aca="false">IF(N85&lt;&gt;"",SUMIFS(COMPRAS!$O$3:$O$4997,COMPRAS!$D$3:$D$4997,N85,COMPRAS!$B$3:$B$4997,"&gt;="&amp;IF($C$4="",DATE(1900,1,1),$C$4),COMPRAS!$B$3:$B$4997,"&lt;="&amp;IF($F$4="",DATE(2999,12,31),$F$4)),0)</f>
        <v>0</v>
      </c>
      <c r="S85" s="1" t="str">
        <f aca="false">PRODUCTOS!A86</f>
        <v>C12061</v>
      </c>
      <c r="T85" s="1" t="str">
        <f aca="false">PRODUCTOS!B86</f>
        <v>MERLUZA EUROPEA PINCHO</v>
      </c>
      <c r="U85" s="1" t="n">
        <f aca="false">IF(S85&lt;&gt;"",SUMIFS(COMPRAS!$J$3:$J$4997,COMPRAS!$G$3:$G$4997,S85,COMPRAS!$B$3:$B$4997,"&gt;="&amp;IF($C$4="",DATE(1900,1,1),$C$4),COMPRAS!$B$3:$B$4997,"&lt;="&amp;IF($F$4="",DATE(2999,12,31),$F$4)),0)</f>
        <v>0</v>
      </c>
      <c r="V85" s="1" t="n">
        <f aca="false">IF(S85&lt;&gt;"",SUMIFS(COMPRAS!$O$3:$O$4997,COMPRAS!$G$3:$G$4997,S85,COMPRAS!$B$3:$B$4997,"&gt;="&amp;IF($C$4="",DATE(1900,1,1),$C$4),COMPRAS!$B$3:$B$4997,"&lt;="&amp;IF($F$4="",DATE(2999,12,31),$F$4)),0)</f>
        <v>0</v>
      </c>
      <c r="Y85" s="1" t="n">
        <f aca="false">IF($X$2="TODOS",U85,IF(S85&lt;&gt;"",SUMIFS(COMPRAS!$J$3:$J$4997,COMPRAS!$G$3:$G$4997,S85,COMPRAS!$D$3:$D$4997,$X$2,COMPRAS!$B$3:$B$4997,"&gt;="&amp;IF($C$4="",DATE(1900,1,1),$C$4),COMPRAS!$B$3:$B$4997,"&lt;="&amp;IF($F$4="",DATE(2999,12,31),$F$4)),0))</f>
        <v>0</v>
      </c>
      <c r="Z85" s="1" t="n">
        <f aca="false">IF($X$2="TODOS",V85,IF(S85&lt;&gt;"",SUMIFS(COMPRAS!$O$3:$O$4997,COMPRAS!$G$3:$G$4997,S85,COMPRAS!$D$3:$D$4997,$X$2,COMPRAS!$B$3:$B$4997,"&gt;="&amp;IF($C$4="",DATE(1900,1,1),$C$4),COMPRAS!$B$3:$B$4997,"&lt;="&amp;IF($F$4="",DATE(2999,12,31),$F$4)),0))</f>
        <v>0</v>
      </c>
    </row>
    <row r="86" customFormat="false" ht="15" hidden="false" customHeight="true" outlineLevel="0" collapsed="false">
      <c r="N86" s="1" t="n">
        <f aca="false">PROVEEDORES!A87</f>
        <v>0</v>
      </c>
      <c r="O86" s="1" t="n">
        <f aca="false">PROVEEDORES!B87</f>
        <v>0</v>
      </c>
      <c r="P86" s="1" t="n">
        <f aca="false">IF(N86&lt;&gt;"",SUMIFS(COMPRAS!$J$3:$J$4997,COMPRAS!$D$3:$D$4997,N86,COMPRAS!$B$3:$B$4997,"&gt;="&amp;IF($C$4="",DATE(1900,1,1),$C$4),COMPRAS!$B$3:$B$4997,"&lt;="&amp;IF($F$4="",DATE(2999,12,31),$F$4)),0)</f>
        <v>0</v>
      </c>
      <c r="Q86" s="1" t="n">
        <f aca="false">IF(N86&lt;&gt;"",SUMIFS(COMPRAS!$O$3:$O$4997,COMPRAS!$D$3:$D$4997,N86,COMPRAS!$B$3:$B$4997,"&gt;="&amp;IF($C$4="",DATE(1900,1,1),$C$4),COMPRAS!$B$3:$B$4997,"&lt;="&amp;IF($F$4="",DATE(2999,12,31),$F$4)),0)</f>
        <v>0</v>
      </c>
      <c r="S86" s="1" t="str">
        <f aca="false">PRODUCTOS!A87</f>
        <v>C12061+</v>
      </c>
      <c r="T86" s="1" t="str">
        <f aca="false">PRODUCTOS!B87</f>
        <v>MERLUZA EUROPEA PINCHO</v>
      </c>
      <c r="U86" s="1" t="n">
        <f aca="false">IF(S86&lt;&gt;"",SUMIFS(COMPRAS!$J$3:$J$4997,COMPRAS!$G$3:$G$4997,S86,COMPRAS!$B$3:$B$4997,"&gt;="&amp;IF($C$4="",DATE(1900,1,1),$C$4),COMPRAS!$B$3:$B$4997,"&lt;="&amp;IF($F$4="",DATE(2999,12,31),$F$4)),0)</f>
        <v>0</v>
      </c>
      <c r="V86" s="1" t="n">
        <f aca="false">IF(S86&lt;&gt;"",SUMIFS(COMPRAS!$O$3:$O$4997,COMPRAS!$G$3:$G$4997,S86,COMPRAS!$B$3:$B$4997,"&gt;="&amp;IF($C$4="",DATE(1900,1,1),$C$4),COMPRAS!$B$3:$B$4997,"&lt;="&amp;IF($F$4="",DATE(2999,12,31),$F$4)),0)</f>
        <v>0</v>
      </c>
      <c r="Y86" s="1" t="n">
        <f aca="false">IF($X$2="TODOS",U86,IF(S86&lt;&gt;"",SUMIFS(COMPRAS!$J$3:$J$4997,COMPRAS!$G$3:$G$4997,S86,COMPRAS!$D$3:$D$4997,$X$2,COMPRAS!$B$3:$B$4997,"&gt;="&amp;IF($C$4="",DATE(1900,1,1),$C$4),COMPRAS!$B$3:$B$4997,"&lt;="&amp;IF($F$4="",DATE(2999,12,31),$F$4)),0))</f>
        <v>0</v>
      </c>
      <c r="Z86" s="1" t="n">
        <f aca="false">IF($X$2="TODOS",V86,IF(S86&lt;&gt;"",SUMIFS(COMPRAS!$O$3:$O$4997,COMPRAS!$G$3:$G$4997,S86,COMPRAS!$D$3:$D$4997,$X$2,COMPRAS!$B$3:$B$4997,"&gt;="&amp;IF($C$4="",DATE(1900,1,1),$C$4),COMPRAS!$B$3:$B$4997,"&lt;="&amp;IF($F$4="",DATE(2999,12,31),$F$4)),0))</f>
        <v>0</v>
      </c>
    </row>
    <row r="87" customFormat="false" ht="15" hidden="false" customHeight="true" outlineLevel="0" collapsed="false">
      <c r="N87" s="1" t="n">
        <f aca="false">PROVEEDORES!A88</f>
        <v>0</v>
      </c>
      <c r="O87" s="1" t="n">
        <f aca="false">PROVEEDORES!B88</f>
        <v>0</v>
      </c>
      <c r="P87" s="1" t="n">
        <f aca="false">IF(N87&lt;&gt;"",SUMIFS(COMPRAS!$J$3:$J$4997,COMPRAS!$D$3:$D$4997,N87,COMPRAS!$B$3:$B$4997,"&gt;="&amp;IF($C$4="",DATE(1900,1,1),$C$4),COMPRAS!$B$3:$B$4997,"&lt;="&amp;IF($F$4="",DATE(2999,12,31),$F$4)),0)</f>
        <v>0</v>
      </c>
      <c r="Q87" s="1" t="n">
        <f aca="false">IF(N87&lt;&gt;"",SUMIFS(COMPRAS!$O$3:$O$4997,COMPRAS!$D$3:$D$4997,N87,COMPRAS!$B$3:$B$4997,"&gt;="&amp;IF($C$4="",DATE(1900,1,1),$C$4),COMPRAS!$B$3:$B$4997,"&lt;="&amp;IF($F$4="",DATE(2999,12,31),$F$4)),0)</f>
        <v>0</v>
      </c>
      <c r="S87" s="1" t="str">
        <f aca="false">PRODUCTOS!A88</f>
        <v>C120615</v>
      </c>
      <c r="T87" s="1" t="str">
        <f aca="false">PRODUCTOS!B88</f>
        <v>MERLUZA EUROPEA PINCHO</v>
      </c>
      <c r="U87" s="1" t="n">
        <f aca="false">IF(S87&lt;&gt;"",SUMIFS(COMPRAS!$J$3:$J$4997,COMPRAS!$G$3:$G$4997,S87,COMPRAS!$B$3:$B$4997,"&gt;="&amp;IF($C$4="",DATE(1900,1,1),$C$4),COMPRAS!$B$3:$B$4997,"&lt;="&amp;IF($F$4="",DATE(2999,12,31),$F$4)),0)</f>
        <v>0</v>
      </c>
      <c r="V87" s="1" t="n">
        <f aca="false">IF(S87&lt;&gt;"",SUMIFS(COMPRAS!$O$3:$O$4997,COMPRAS!$G$3:$G$4997,S87,COMPRAS!$B$3:$B$4997,"&gt;="&amp;IF($C$4="",DATE(1900,1,1),$C$4),COMPRAS!$B$3:$B$4997,"&lt;="&amp;IF($F$4="",DATE(2999,12,31),$F$4)),0)</f>
        <v>0</v>
      </c>
      <c r="Y87" s="1" t="n">
        <f aca="false">IF($X$2="TODOS",U87,IF(S87&lt;&gt;"",SUMIFS(COMPRAS!$J$3:$J$4997,COMPRAS!$G$3:$G$4997,S87,COMPRAS!$D$3:$D$4997,$X$2,COMPRAS!$B$3:$B$4997,"&gt;="&amp;IF($C$4="",DATE(1900,1,1),$C$4),COMPRAS!$B$3:$B$4997,"&lt;="&amp;IF($F$4="",DATE(2999,12,31),$F$4)),0))</f>
        <v>0</v>
      </c>
      <c r="Z87" s="1" t="n">
        <f aca="false">IF($X$2="TODOS",V87,IF(S87&lt;&gt;"",SUMIFS(COMPRAS!$O$3:$O$4997,COMPRAS!$G$3:$G$4997,S87,COMPRAS!$D$3:$D$4997,$X$2,COMPRAS!$B$3:$B$4997,"&gt;="&amp;IF($C$4="",DATE(1900,1,1),$C$4),COMPRAS!$B$3:$B$4997,"&lt;="&amp;IF($F$4="",DATE(2999,12,31),$F$4)),0))</f>
        <v>0</v>
      </c>
    </row>
    <row r="88" customFormat="false" ht="15" hidden="false" customHeight="true" outlineLevel="0" collapsed="false">
      <c r="N88" s="1" t="n">
        <f aca="false">PROVEEDORES!A89</f>
        <v>0</v>
      </c>
      <c r="O88" s="1" t="n">
        <f aca="false">PROVEEDORES!B89</f>
        <v>0</v>
      </c>
      <c r="P88" s="1" t="n">
        <f aca="false">IF(N88&lt;&gt;"",SUMIFS(COMPRAS!$J$3:$J$4997,COMPRAS!$D$3:$D$4997,N88,COMPRAS!$B$3:$B$4997,"&gt;="&amp;IF($C$4="",DATE(1900,1,1),$C$4),COMPRAS!$B$3:$B$4997,"&lt;="&amp;IF($F$4="",DATE(2999,12,31),$F$4)),0)</f>
        <v>0</v>
      </c>
      <c r="Q88" s="1" t="n">
        <f aca="false">IF(N88&lt;&gt;"",SUMIFS(COMPRAS!$O$3:$O$4997,COMPRAS!$D$3:$D$4997,N88,COMPRAS!$B$3:$B$4997,"&gt;="&amp;IF($C$4="",DATE(1900,1,1),$C$4),COMPRAS!$B$3:$B$4997,"&lt;="&amp;IF($F$4="",DATE(2999,12,31),$F$4)),0)</f>
        <v>0</v>
      </c>
      <c r="S88" s="1" t="str">
        <f aca="false">PRODUCTOS!A89</f>
        <v>C120620</v>
      </c>
      <c r="T88" s="1" t="str">
        <f aca="false">PRODUCTOS!B89</f>
        <v>MERLUZA EUROPEA PINCHO</v>
      </c>
      <c r="U88" s="1" t="n">
        <f aca="false">IF(S88&lt;&gt;"",SUMIFS(COMPRAS!$J$3:$J$4997,COMPRAS!$G$3:$G$4997,S88,COMPRAS!$B$3:$B$4997,"&gt;="&amp;IF($C$4="",DATE(1900,1,1),$C$4),COMPRAS!$B$3:$B$4997,"&lt;="&amp;IF($F$4="",DATE(2999,12,31),$F$4)),0)</f>
        <v>0</v>
      </c>
      <c r="V88" s="1" t="n">
        <f aca="false">IF(S88&lt;&gt;"",SUMIFS(COMPRAS!$O$3:$O$4997,COMPRAS!$G$3:$G$4997,S88,COMPRAS!$B$3:$B$4997,"&gt;="&amp;IF($C$4="",DATE(1900,1,1),$C$4),COMPRAS!$B$3:$B$4997,"&lt;="&amp;IF($F$4="",DATE(2999,12,31),$F$4)),0)</f>
        <v>0</v>
      </c>
      <c r="Y88" s="1" t="n">
        <f aca="false">IF($X$2="TODOS",U88,IF(S88&lt;&gt;"",SUMIFS(COMPRAS!$J$3:$J$4997,COMPRAS!$G$3:$G$4997,S88,COMPRAS!$D$3:$D$4997,$X$2,COMPRAS!$B$3:$B$4997,"&gt;="&amp;IF($C$4="",DATE(1900,1,1),$C$4),COMPRAS!$B$3:$B$4997,"&lt;="&amp;IF($F$4="",DATE(2999,12,31),$F$4)),0))</f>
        <v>0</v>
      </c>
      <c r="Z88" s="1" t="n">
        <f aca="false">IF($X$2="TODOS",V88,IF(S88&lt;&gt;"",SUMIFS(COMPRAS!$O$3:$O$4997,COMPRAS!$G$3:$G$4997,S88,COMPRAS!$D$3:$D$4997,$X$2,COMPRAS!$B$3:$B$4997,"&gt;="&amp;IF($C$4="",DATE(1900,1,1),$C$4),COMPRAS!$B$3:$B$4997,"&lt;="&amp;IF($F$4="",DATE(2999,12,31),$F$4)),0))</f>
        <v>0</v>
      </c>
    </row>
    <row r="89" customFormat="false" ht="15" hidden="false" customHeight="true" outlineLevel="0" collapsed="false">
      <c r="N89" s="1" t="n">
        <f aca="false">PROVEEDORES!A90</f>
        <v>0</v>
      </c>
      <c r="O89" s="1" t="n">
        <f aca="false">PROVEEDORES!B90</f>
        <v>0</v>
      </c>
      <c r="P89" s="1" t="n">
        <f aca="false">IF(N89&lt;&gt;"",SUMIFS(COMPRAS!$J$3:$J$4997,COMPRAS!$D$3:$D$4997,N89,COMPRAS!$B$3:$B$4997,"&gt;="&amp;IF($C$4="",DATE(1900,1,1),$C$4),COMPRAS!$B$3:$B$4997,"&lt;="&amp;IF($F$4="",DATE(2999,12,31),$F$4)),0)</f>
        <v>0</v>
      </c>
      <c r="Q89" s="1" t="n">
        <f aca="false">IF(N89&lt;&gt;"",SUMIFS(COMPRAS!$O$3:$O$4997,COMPRAS!$D$3:$D$4997,N89,COMPRAS!$B$3:$B$4997,"&gt;="&amp;IF($C$4="",DATE(1900,1,1),$C$4),COMPRAS!$B$3:$B$4997,"&lt;="&amp;IF($F$4="",DATE(2999,12,31),$F$4)),0)</f>
        <v>0</v>
      </c>
      <c r="S89" s="1" t="str">
        <f aca="false">PRODUCTOS!A90</f>
        <v>C1300</v>
      </c>
      <c r="T89" s="1" t="str">
        <f aca="false">PRODUCTOS!B90</f>
        <v>MERLUZA EUROPEA PINCHO COSTA</v>
      </c>
      <c r="U89" s="1" t="n">
        <f aca="false">IF(S89&lt;&gt;"",SUMIFS(COMPRAS!$J$3:$J$4997,COMPRAS!$G$3:$G$4997,S89,COMPRAS!$B$3:$B$4997,"&gt;="&amp;IF($C$4="",DATE(1900,1,1),$C$4),COMPRAS!$B$3:$B$4997,"&lt;="&amp;IF($F$4="",DATE(2999,12,31),$F$4)),0)</f>
        <v>2084.85</v>
      </c>
      <c r="V89" s="1" t="n">
        <f aca="false">IF(S89&lt;&gt;"",SUMIFS(COMPRAS!$O$3:$O$4997,COMPRAS!$G$3:$G$4997,S89,COMPRAS!$B$3:$B$4997,"&gt;="&amp;IF($C$4="",DATE(1900,1,1),$C$4),COMPRAS!$B$3:$B$4997,"&lt;="&amp;IF($F$4="",DATE(2999,12,31),$F$4)),0)</f>
        <v>13017.6429</v>
      </c>
      <c r="Y89" s="1" t="n">
        <f aca="false">IF($X$2="TODOS",U89,IF(S89&lt;&gt;"",SUMIFS(COMPRAS!$J$3:$J$4997,COMPRAS!$G$3:$G$4997,S89,COMPRAS!$D$3:$D$4997,$X$2,COMPRAS!$B$3:$B$4997,"&gt;="&amp;IF($C$4="",DATE(1900,1,1),$C$4),COMPRAS!$B$3:$B$4997,"&lt;="&amp;IF($F$4="",DATE(2999,12,31),$F$4)),0))</f>
        <v>2084.85</v>
      </c>
      <c r="Z89" s="1" t="n">
        <f aca="false">IF($X$2="TODOS",V89,IF(S89&lt;&gt;"",SUMIFS(COMPRAS!$O$3:$O$4997,COMPRAS!$G$3:$G$4997,S89,COMPRAS!$D$3:$D$4997,$X$2,COMPRAS!$B$3:$B$4997,"&gt;="&amp;IF($C$4="",DATE(1900,1,1),$C$4),COMPRAS!$B$3:$B$4997,"&lt;="&amp;IF($F$4="",DATE(2999,12,31),$F$4)),0))</f>
        <v>13017.6429</v>
      </c>
    </row>
    <row r="90" customFormat="false" ht="15" hidden="false" customHeight="true" outlineLevel="0" collapsed="false">
      <c r="N90" s="1" t="n">
        <f aca="false">PROVEEDORES!A91</f>
        <v>0</v>
      </c>
      <c r="O90" s="1" t="n">
        <f aca="false">PROVEEDORES!B91</f>
        <v>0</v>
      </c>
      <c r="P90" s="1" t="n">
        <f aca="false">IF(N90&lt;&gt;"",SUMIFS(COMPRAS!$J$3:$J$4997,COMPRAS!$D$3:$D$4997,N90,COMPRAS!$B$3:$B$4997,"&gt;="&amp;IF($C$4="",DATE(1900,1,1),$C$4),COMPRAS!$B$3:$B$4997,"&lt;="&amp;IF($F$4="",DATE(2999,12,31),$F$4)),0)</f>
        <v>0</v>
      </c>
      <c r="Q90" s="1" t="n">
        <f aca="false">IF(N90&lt;&gt;"",SUMIFS(COMPRAS!$O$3:$O$4997,COMPRAS!$D$3:$D$4997,N90,COMPRAS!$B$3:$B$4997,"&gt;="&amp;IF($C$4="",DATE(1900,1,1),$C$4),COMPRAS!$B$3:$B$4997,"&lt;="&amp;IF($F$4="",DATE(2999,12,31),$F$4)),0)</f>
        <v>0</v>
      </c>
      <c r="S90" s="1" t="str">
        <f aca="false">PRODUCTOS!A91</f>
        <v>C13004</v>
      </c>
      <c r="T90" s="1" t="str">
        <f aca="false">PRODUCTOS!B91</f>
        <v>MERLUZA EUROPEA PINCHO COSTA 400</v>
      </c>
      <c r="U90" s="1" t="n">
        <f aca="false">IF(S90&lt;&gt;"",SUMIFS(COMPRAS!$J$3:$J$4997,COMPRAS!$G$3:$G$4997,S90,COMPRAS!$B$3:$B$4997,"&gt;="&amp;IF($C$4="",DATE(1900,1,1),$C$4),COMPRAS!$B$3:$B$4997,"&lt;="&amp;IF($F$4="",DATE(2999,12,31),$F$4)),0)</f>
        <v>0</v>
      </c>
      <c r="V90" s="1" t="n">
        <f aca="false">IF(S90&lt;&gt;"",SUMIFS(COMPRAS!$O$3:$O$4997,COMPRAS!$G$3:$G$4997,S90,COMPRAS!$B$3:$B$4997,"&gt;="&amp;IF($C$4="",DATE(1900,1,1),$C$4),COMPRAS!$B$3:$B$4997,"&lt;="&amp;IF($F$4="",DATE(2999,12,31),$F$4)),0)</f>
        <v>0</v>
      </c>
      <c r="Y90" s="1" t="n">
        <f aca="false">IF($X$2="TODOS",U90,IF(S90&lt;&gt;"",SUMIFS(COMPRAS!$J$3:$J$4997,COMPRAS!$G$3:$G$4997,S90,COMPRAS!$D$3:$D$4997,$X$2,COMPRAS!$B$3:$B$4997,"&gt;="&amp;IF($C$4="",DATE(1900,1,1),$C$4),COMPRAS!$B$3:$B$4997,"&lt;="&amp;IF($F$4="",DATE(2999,12,31),$F$4)),0))</f>
        <v>0</v>
      </c>
      <c r="Z90" s="1" t="n">
        <f aca="false">IF($X$2="TODOS",V90,IF(S90&lt;&gt;"",SUMIFS(COMPRAS!$O$3:$O$4997,COMPRAS!$G$3:$G$4997,S90,COMPRAS!$D$3:$D$4997,$X$2,COMPRAS!$B$3:$B$4997,"&gt;="&amp;IF($C$4="",DATE(1900,1,1),$C$4),COMPRAS!$B$3:$B$4997,"&lt;="&amp;IF($F$4="",DATE(2999,12,31),$F$4)),0))</f>
        <v>0</v>
      </c>
    </row>
    <row r="91" customFormat="false" ht="15" hidden="false" customHeight="true" outlineLevel="0" collapsed="false">
      <c r="N91" s="1" t="n">
        <f aca="false">PROVEEDORES!A92</f>
        <v>0</v>
      </c>
      <c r="O91" s="1" t="n">
        <f aca="false">PROVEEDORES!B92</f>
        <v>0</v>
      </c>
      <c r="P91" s="1" t="n">
        <f aca="false">IF(N91&lt;&gt;"",SUMIFS(COMPRAS!$J$3:$J$4997,COMPRAS!$D$3:$D$4997,N91,COMPRAS!$B$3:$B$4997,"&gt;="&amp;IF($C$4="",DATE(1900,1,1),$C$4),COMPRAS!$B$3:$B$4997,"&lt;="&amp;IF($F$4="",DATE(2999,12,31),$F$4)),0)</f>
        <v>0</v>
      </c>
      <c r="Q91" s="1" t="n">
        <f aca="false">IF(N91&lt;&gt;"",SUMIFS(COMPRAS!$O$3:$O$4997,COMPRAS!$D$3:$D$4997,N91,COMPRAS!$B$3:$B$4997,"&gt;="&amp;IF($C$4="",DATE(1900,1,1),$C$4),COMPRAS!$B$3:$B$4997,"&lt;="&amp;IF($F$4="",DATE(2999,12,31),$F$4)),0)</f>
        <v>0</v>
      </c>
      <c r="S91" s="1" t="str">
        <f aca="false">PRODUCTOS!A92</f>
        <v>C13006</v>
      </c>
      <c r="T91" s="1" t="str">
        <f aca="false">PRODUCTOS!B92</f>
        <v>MERLUZA EUROPEA PINCHO COSTA 600</v>
      </c>
      <c r="U91" s="1" t="n">
        <f aca="false">IF(S91&lt;&gt;"",SUMIFS(COMPRAS!$J$3:$J$4997,COMPRAS!$G$3:$G$4997,S91,COMPRAS!$B$3:$B$4997,"&gt;="&amp;IF($C$4="",DATE(1900,1,1),$C$4),COMPRAS!$B$3:$B$4997,"&lt;="&amp;IF($F$4="",DATE(2999,12,31),$F$4)),0)</f>
        <v>312.5</v>
      </c>
      <c r="V91" s="1" t="n">
        <f aca="false">IF(S91&lt;&gt;"",SUMIFS(COMPRAS!$O$3:$O$4997,COMPRAS!$G$3:$G$4997,S91,COMPRAS!$B$3:$B$4997,"&gt;="&amp;IF($C$4="",DATE(1900,1,1),$C$4),COMPRAS!$B$3:$B$4997,"&lt;="&amp;IF($F$4="",DATE(2999,12,31),$F$4)),0)</f>
        <v>929.9085</v>
      </c>
      <c r="Y91" s="1" t="n">
        <f aca="false">IF($X$2="TODOS",U91,IF(S91&lt;&gt;"",SUMIFS(COMPRAS!$J$3:$J$4997,COMPRAS!$G$3:$G$4997,S91,COMPRAS!$D$3:$D$4997,$X$2,COMPRAS!$B$3:$B$4997,"&gt;="&amp;IF($C$4="",DATE(1900,1,1),$C$4),COMPRAS!$B$3:$B$4997,"&lt;="&amp;IF($F$4="",DATE(2999,12,31),$F$4)),0))</f>
        <v>312.5</v>
      </c>
      <c r="Z91" s="1" t="n">
        <f aca="false">IF($X$2="TODOS",V91,IF(S91&lt;&gt;"",SUMIFS(COMPRAS!$O$3:$O$4997,COMPRAS!$G$3:$G$4997,S91,COMPRAS!$D$3:$D$4997,$X$2,COMPRAS!$B$3:$B$4997,"&gt;="&amp;IF($C$4="",DATE(1900,1,1),$C$4),COMPRAS!$B$3:$B$4997,"&lt;="&amp;IF($F$4="",DATE(2999,12,31),$F$4)),0))</f>
        <v>929.9085</v>
      </c>
    </row>
    <row r="92" customFormat="false" ht="15" hidden="false" customHeight="true" outlineLevel="0" collapsed="false">
      <c r="N92" s="1" t="n">
        <f aca="false">PROVEEDORES!A93</f>
        <v>0</v>
      </c>
      <c r="O92" s="1" t="n">
        <f aca="false">PROVEEDORES!B93</f>
        <v>0</v>
      </c>
      <c r="P92" s="1" t="n">
        <f aca="false">IF(N92&lt;&gt;"",SUMIFS(COMPRAS!$J$3:$J$4997,COMPRAS!$D$3:$D$4997,N92,COMPRAS!$B$3:$B$4997,"&gt;="&amp;IF($C$4="",DATE(1900,1,1),$C$4),COMPRAS!$B$3:$B$4997,"&lt;="&amp;IF($F$4="",DATE(2999,12,31),$F$4)),0)</f>
        <v>0</v>
      </c>
      <c r="Q92" s="1" t="n">
        <f aca="false">IF(N92&lt;&gt;"",SUMIFS(COMPRAS!$O$3:$O$4997,COMPRAS!$D$3:$D$4997,N92,COMPRAS!$B$3:$B$4997,"&gt;="&amp;IF($C$4="",DATE(1900,1,1),$C$4),COMPRAS!$B$3:$B$4997,"&lt;="&amp;IF($F$4="",DATE(2999,12,31),$F$4)),0)</f>
        <v>0</v>
      </c>
      <c r="S92" s="1" t="str">
        <f aca="false">PRODUCTOS!A93</f>
        <v>C13008</v>
      </c>
      <c r="T92" s="1" t="str">
        <f aca="false">PRODUCTOS!B93</f>
        <v>MERLUZA EUROPEA PINCHO COSTA 800</v>
      </c>
      <c r="U92" s="1" t="n">
        <f aca="false">IF(S92&lt;&gt;"",SUMIFS(COMPRAS!$J$3:$J$4997,COMPRAS!$G$3:$G$4997,S92,COMPRAS!$B$3:$B$4997,"&gt;="&amp;IF($C$4="",DATE(1900,1,1),$C$4),COMPRAS!$B$3:$B$4997,"&lt;="&amp;IF($F$4="",DATE(2999,12,31),$F$4)),0)</f>
        <v>2398.55</v>
      </c>
      <c r="V92" s="1" t="n">
        <f aca="false">IF(S92&lt;&gt;"",SUMIFS(COMPRAS!$O$3:$O$4997,COMPRAS!$G$3:$G$4997,S92,COMPRAS!$B$3:$B$4997,"&gt;="&amp;IF($C$4="",DATE(1900,1,1),$C$4),COMPRAS!$B$3:$B$4997,"&lt;="&amp;IF($F$4="",DATE(2999,12,31),$F$4)),0)</f>
        <v>13944.35595</v>
      </c>
      <c r="Y92" s="1" t="n">
        <f aca="false">IF($X$2="TODOS",U92,IF(S92&lt;&gt;"",SUMIFS(COMPRAS!$J$3:$J$4997,COMPRAS!$G$3:$G$4997,S92,COMPRAS!$D$3:$D$4997,$X$2,COMPRAS!$B$3:$B$4997,"&gt;="&amp;IF($C$4="",DATE(1900,1,1),$C$4),COMPRAS!$B$3:$B$4997,"&lt;="&amp;IF($F$4="",DATE(2999,12,31),$F$4)),0))</f>
        <v>2398.55</v>
      </c>
      <c r="Z92" s="1" t="n">
        <f aca="false">IF($X$2="TODOS",V92,IF(S92&lt;&gt;"",SUMIFS(COMPRAS!$O$3:$O$4997,COMPRAS!$G$3:$G$4997,S92,COMPRAS!$D$3:$D$4997,$X$2,COMPRAS!$B$3:$B$4997,"&gt;="&amp;IF($C$4="",DATE(1900,1,1),$C$4),COMPRAS!$B$3:$B$4997,"&lt;="&amp;IF($F$4="",DATE(2999,12,31),$F$4)),0))</f>
        <v>13944.35595</v>
      </c>
    </row>
    <row r="93" customFormat="false" ht="15" hidden="false" customHeight="true" outlineLevel="0" collapsed="false">
      <c r="N93" s="1" t="n">
        <f aca="false">PROVEEDORES!A94</f>
        <v>0</v>
      </c>
      <c r="O93" s="1" t="n">
        <f aca="false">PROVEEDORES!B94</f>
        <v>0</v>
      </c>
      <c r="P93" s="1" t="n">
        <f aca="false">IF(N93&lt;&gt;"",SUMIFS(COMPRAS!$J$3:$J$4997,COMPRAS!$D$3:$D$4997,N93,COMPRAS!$B$3:$B$4997,"&gt;="&amp;IF($C$4="",DATE(1900,1,1),$C$4),COMPRAS!$B$3:$B$4997,"&lt;="&amp;IF($F$4="",DATE(2999,12,31),$F$4)),0)</f>
        <v>0</v>
      </c>
      <c r="Q93" s="1" t="n">
        <f aca="false">IF(N93&lt;&gt;"",SUMIFS(COMPRAS!$O$3:$O$4997,COMPRAS!$D$3:$D$4997,N93,COMPRAS!$B$3:$B$4997,"&gt;="&amp;IF($C$4="",DATE(1900,1,1),$C$4),COMPRAS!$B$3:$B$4997,"&lt;="&amp;IF($F$4="",DATE(2999,12,31),$F$4)),0)</f>
        <v>0</v>
      </c>
      <c r="S93" s="1" t="str">
        <f aca="false">PRODUCTOS!A94</f>
        <v>C13001</v>
      </c>
      <c r="T93" s="1" t="str">
        <f aca="false">PRODUCTOS!B94</f>
        <v>MERLUZA EUROPEA PINCHO COSTA 1000</v>
      </c>
      <c r="U93" s="1" t="n">
        <f aca="false">IF(S93&lt;&gt;"",SUMIFS(COMPRAS!$J$3:$J$4997,COMPRAS!$G$3:$G$4997,S93,COMPRAS!$B$3:$B$4997,"&gt;="&amp;IF($C$4="",DATE(1900,1,1),$C$4),COMPRAS!$B$3:$B$4997,"&lt;="&amp;IF($F$4="",DATE(2999,12,31),$F$4)),0)</f>
        <v>1028.25</v>
      </c>
      <c r="V93" s="1" t="n">
        <f aca="false">IF(S93&lt;&gt;"",SUMIFS(COMPRAS!$O$3:$O$4997,COMPRAS!$G$3:$G$4997,S93,COMPRAS!$B$3:$B$4997,"&gt;="&amp;IF($C$4="",DATE(1900,1,1),$C$4),COMPRAS!$B$3:$B$4997,"&lt;="&amp;IF($F$4="",DATE(2999,12,31),$F$4)),0)</f>
        <v>6741.945</v>
      </c>
      <c r="Y93" s="1" t="n">
        <f aca="false">IF($X$2="TODOS",U93,IF(S93&lt;&gt;"",SUMIFS(COMPRAS!$J$3:$J$4997,COMPRAS!$G$3:$G$4997,S93,COMPRAS!$D$3:$D$4997,$X$2,COMPRAS!$B$3:$B$4997,"&gt;="&amp;IF($C$4="",DATE(1900,1,1),$C$4),COMPRAS!$B$3:$B$4997,"&lt;="&amp;IF($F$4="",DATE(2999,12,31),$F$4)),0))</f>
        <v>1028.25</v>
      </c>
      <c r="Z93" s="1" t="n">
        <f aca="false">IF($X$2="TODOS",V93,IF(S93&lt;&gt;"",SUMIFS(COMPRAS!$O$3:$O$4997,COMPRAS!$G$3:$G$4997,S93,COMPRAS!$D$3:$D$4997,$X$2,COMPRAS!$B$3:$B$4997,"&gt;="&amp;IF($C$4="",DATE(1900,1,1),$C$4),COMPRAS!$B$3:$B$4997,"&lt;="&amp;IF($F$4="",DATE(2999,12,31),$F$4)),0))</f>
        <v>6741.945</v>
      </c>
    </row>
    <row r="94" customFormat="false" ht="15" hidden="false" customHeight="true" outlineLevel="0" collapsed="false">
      <c r="N94" s="1" t="n">
        <f aca="false">PROVEEDORES!A95</f>
        <v>0</v>
      </c>
      <c r="O94" s="1" t="n">
        <f aca="false">PROVEEDORES!B95</f>
        <v>0</v>
      </c>
      <c r="P94" s="1" t="n">
        <f aca="false">IF(N94&lt;&gt;"",SUMIFS(COMPRAS!$J$3:$J$4997,COMPRAS!$D$3:$D$4997,N94,COMPRAS!$B$3:$B$4997,"&gt;="&amp;IF($C$4="",DATE(1900,1,1),$C$4),COMPRAS!$B$3:$B$4997,"&lt;="&amp;IF($F$4="",DATE(2999,12,31),$F$4)),0)</f>
        <v>0</v>
      </c>
      <c r="Q94" s="1" t="n">
        <f aca="false">IF(N94&lt;&gt;"",SUMIFS(COMPRAS!$O$3:$O$4997,COMPRAS!$D$3:$D$4997,N94,COMPRAS!$B$3:$B$4997,"&gt;="&amp;IF($C$4="",DATE(1900,1,1),$C$4),COMPRAS!$B$3:$B$4997,"&lt;="&amp;IF($F$4="",DATE(2999,12,31),$F$4)),0)</f>
        <v>0</v>
      </c>
      <c r="S94" s="1" t="str">
        <f aca="false">PRODUCTOS!A95</f>
        <v>C13001+</v>
      </c>
      <c r="T94" s="1" t="str">
        <f aca="false">PRODUCTOS!B95</f>
        <v>MERLUZA EUROPEA PINCHO COSTA 1,251,5</v>
      </c>
      <c r="U94" s="1" t="n">
        <f aca="false">IF(S94&lt;&gt;"",SUMIFS(COMPRAS!$J$3:$J$4997,COMPRAS!$G$3:$G$4997,S94,COMPRAS!$B$3:$B$4997,"&gt;="&amp;IF($C$4="",DATE(1900,1,1),$C$4),COMPRAS!$B$3:$B$4997,"&lt;="&amp;IF($F$4="",DATE(2999,12,31),$F$4)),0)</f>
        <v>75.25</v>
      </c>
      <c r="V94" s="1" t="n">
        <f aca="false">IF(S94&lt;&gt;"",SUMIFS(COMPRAS!$O$3:$O$4997,COMPRAS!$G$3:$G$4997,S94,COMPRAS!$B$3:$B$4997,"&gt;="&amp;IF($C$4="",DATE(1900,1,1),$C$4),COMPRAS!$B$3:$B$4997,"&lt;="&amp;IF($F$4="",DATE(2999,12,31),$F$4)),0)</f>
        <v>594.2265</v>
      </c>
      <c r="Y94" s="1" t="n">
        <f aca="false">IF($X$2="TODOS",U94,IF(S94&lt;&gt;"",SUMIFS(COMPRAS!$J$3:$J$4997,COMPRAS!$G$3:$G$4997,S94,COMPRAS!$D$3:$D$4997,$X$2,COMPRAS!$B$3:$B$4997,"&gt;="&amp;IF($C$4="",DATE(1900,1,1),$C$4),COMPRAS!$B$3:$B$4997,"&lt;="&amp;IF($F$4="",DATE(2999,12,31),$F$4)),0))</f>
        <v>75.25</v>
      </c>
      <c r="Z94" s="1" t="n">
        <f aca="false">IF($X$2="TODOS",V94,IF(S94&lt;&gt;"",SUMIFS(COMPRAS!$O$3:$O$4997,COMPRAS!$G$3:$G$4997,S94,COMPRAS!$D$3:$D$4997,$X$2,COMPRAS!$B$3:$B$4997,"&gt;="&amp;IF($C$4="",DATE(1900,1,1),$C$4),COMPRAS!$B$3:$B$4997,"&lt;="&amp;IF($F$4="",DATE(2999,12,31),$F$4)),0))</f>
        <v>594.2265</v>
      </c>
    </row>
    <row r="95" customFormat="false" ht="15" hidden="false" customHeight="true" outlineLevel="0" collapsed="false">
      <c r="N95" s="1" t="n">
        <f aca="false">PROVEEDORES!A96</f>
        <v>0</v>
      </c>
      <c r="O95" s="1" t="n">
        <f aca="false">PROVEEDORES!B96</f>
        <v>0</v>
      </c>
      <c r="P95" s="1" t="n">
        <f aca="false">IF(N95&lt;&gt;"",SUMIFS(COMPRAS!$J$3:$J$4997,COMPRAS!$D$3:$D$4997,N95,COMPRAS!$B$3:$B$4997,"&gt;="&amp;IF($C$4="",DATE(1900,1,1),$C$4),COMPRAS!$B$3:$B$4997,"&lt;="&amp;IF($F$4="",DATE(2999,12,31),$F$4)),0)</f>
        <v>0</v>
      </c>
      <c r="Q95" s="1" t="n">
        <f aca="false">IF(N95&lt;&gt;"",SUMIFS(COMPRAS!$O$3:$O$4997,COMPRAS!$D$3:$D$4997,N95,COMPRAS!$B$3:$B$4997,"&gt;="&amp;IF($C$4="",DATE(1900,1,1),$C$4),COMPRAS!$B$3:$B$4997,"&lt;="&amp;IF($F$4="",DATE(2999,12,31),$F$4)),0)</f>
        <v>0</v>
      </c>
      <c r="S95" s="1" t="str">
        <f aca="false">PRODUCTOS!A96</f>
        <v>C130015</v>
      </c>
      <c r="T95" s="1" t="str">
        <f aca="false">PRODUCTOS!B96</f>
        <v>MERLUZA EUROPEA PINCHO COSTA 1,5/2</v>
      </c>
      <c r="U95" s="1" t="n">
        <f aca="false">IF(S95&lt;&gt;"",SUMIFS(COMPRAS!$J$3:$J$4997,COMPRAS!$G$3:$G$4997,S95,COMPRAS!$B$3:$B$4997,"&gt;="&amp;IF($C$4="",DATE(1900,1,1),$C$4),COMPRAS!$B$3:$B$4997,"&lt;="&amp;IF($F$4="",DATE(2999,12,31),$F$4)),0)</f>
        <v>427.8</v>
      </c>
      <c r="V95" s="1" t="n">
        <f aca="false">IF(S95&lt;&gt;"",SUMIFS(COMPRAS!$O$3:$O$4997,COMPRAS!$G$3:$G$4997,S95,COMPRAS!$B$3:$B$4997,"&gt;="&amp;IF($C$4="",DATE(1900,1,1),$C$4),COMPRAS!$B$3:$B$4997,"&lt;="&amp;IF($F$4="",DATE(2999,12,31),$F$4)),0)</f>
        <v>4509.8841</v>
      </c>
      <c r="Y95" s="1" t="n">
        <f aca="false">IF($X$2="TODOS",U95,IF(S95&lt;&gt;"",SUMIFS(COMPRAS!$J$3:$J$4997,COMPRAS!$G$3:$G$4997,S95,COMPRAS!$D$3:$D$4997,$X$2,COMPRAS!$B$3:$B$4997,"&gt;="&amp;IF($C$4="",DATE(1900,1,1),$C$4),COMPRAS!$B$3:$B$4997,"&lt;="&amp;IF($F$4="",DATE(2999,12,31),$F$4)),0))</f>
        <v>427.8</v>
      </c>
      <c r="Z95" s="1" t="n">
        <f aca="false">IF($X$2="TODOS",V95,IF(S95&lt;&gt;"",SUMIFS(COMPRAS!$O$3:$O$4997,COMPRAS!$G$3:$G$4997,S95,COMPRAS!$D$3:$D$4997,$X$2,COMPRAS!$B$3:$B$4997,"&gt;="&amp;IF($C$4="",DATE(1900,1,1),$C$4),COMPRAS!$B$3:$B$4997,"&lt;="&amp;IF($F$4="",DATE(2999,12,31),$F$4)),0))</f>
        <v>4509.8841</v>
      </c>
    </row>
    <row r="96" customFormat="false" ht="15" hidden="false" customHeight="true" outlineLevel="0" collapsed="false">
      <c r="N96" s="1" t="n">
        <f aca="false">PROVEEDORES!A97</f>
        <v>0</v>
      </c>
      <c r="O96" s="1" t="n">
        <f aca="false">PROVEEDORES!B97</f>
        <v>0</v>
      </c>
      <c r="P96" s="1" t="n">
        <f aca="false">IF(N96&lt;&gt;"",SUMIFS(COMPRAS!$J$3:$J$4997,COMPRAS!$D$3:$D$4997,N96,COMPRAS!$B$3:$B$4997,"&gt;="&amp;IF($C$4="",DATE(1900,1,1),$C$4),COMPRAS!$B$3:$B$4997,"&lt;="&amp;IF($F$4="",DATE(2999,12,31),$F$4)),0)</f>
        <v>0</v>
      </c>
      <c r="Q96" s="1" t="n">
        <f aca="false">IF(N96&lt;&gt;"",SUMIFS(COMPRAS!$O$3:$O$4997,COMPRAS!$D$3:$D$4997,N96,COMPRAS!$B$3:$B$4997,"&gt;="&amp;IF($C$4="",DATE(1900,1,1),$C$4),COMPRAS!$B$3:$B$4997,"&lt;="&amp;IF($F$4="",DATE(2999,12,31),$F$4)),0)</f>
        <v>0</v>
      </c>
      <c r="S96" s="1" t="str">
        <f aca="false">PRODUCTOS!A97</f>
        <v>C130020</v>
      </c>
      <c r="T96" s="1" t="str">
        <f aca="false">PRODUCTOS!B97</f>
        <v>MERLUZA EUROPEA PINCHO COSTA 2+</v>
      </c>
      <c r="U96" s="1" t="n">
        <f aca="false">IF(S96&lt;&gt;"",SUMIFS(COMPRAS!$J$3:$J$4997,COMPRAS!$G$3:$G$4997,S96,COMPRAS!$B$3:$B$4997,"&gt;="&amp;IF($C$4="",DATE(1900,1,1),$C$4),COMPRAS!$B$3:$B$4997,"&lt;="&amp;IF($F$4="",DATE(2999,12,31),$F$4)),0)</f>
        <v>115.65</v>
      </c>
      <c r="V96" s="1" t="n">
        <f aca="false">IF(S96&lt;&gt;"",SUMIFS(COMPRAS!$O$3:$O$4997,COMPRAS!$G$3:$G$4997,S96,COMPRAS!$B$3:$B$4997,"&gt;="&amp;IF($C$4="",DATE(1900,1,1),$C$4),COMPRAS!$B$3:$B$4997,"&lt;="&amp;IF($F$4="",DATE(2999,12,31),$F$4)),0)</f>
        <v>1389.495</v>
      </c>
      <c r="Y96" s="1" t="n">
        <f aca="false">IF($X$2="TODOS",U96,IF(S96&lt;&gt;"",SUMIFS(COMPRAS!$J$3:$J$4997,COMPRAS!$G$3:$G$4997,S96,COMPRAS!$D$3:$D$4997,$X$2,COMPRAS!$B$3:$B$4997,"&gt;="&amp;IF($C$4="",DATE(1900,1,1),$C$4),COMPRAS!$B$3:$B$4997,"&lt;="&amp;IF($F$4="",DATE(2999,12,31),$F$4)),0))</f>
        <v>115.65</v>
      </c>
      <c r="Z96" s="1" t="n">
        <f aca="false">IF($X$2="TODOS",V96,IF(S96&lt;&gt;"",SUMIFS(COMPRAS!$O$3:$O$4997,COMPRAS!$G$3:$G$4997,S96,COMPRAS!$D$3:$D$4997,$X$2,COMPRAS!$B$3:$B$4997,"&gt;="&amp;IF($C$4="",DATE(1900,1,1),$C$4),COMPRAS!$B$3:$B$4997,"&lt;="&amp;IF($F$4="",DATE(2999,12,31),$F$4)),0))</f>
        <v>1389.495</v>
      </c>
    </row>
    <row r="97" customFormat="false" ht="15" hidden="false" customHeight="true" outlineLevel="0" collapsed="false">
      <c r="N97" s="1" t="n">
        <f aca="false">PROVEEDORES!A98</f>
        <v>0</v>
      </c>
      <c r="O97" s="1" t="n">
        <f aca="false">PROVEEDORES!B98</f>
        <v>0</v>
      </c>
      <c r="P97" s="1" t="n">
        <f aca="false">IF(N97&lt;&gt;"",SUMIFS(COMPRAS!$J$3:$J$4997,COMPRAS!$D$3:$D$4997,N97,COMPRAS!$B$3:$B$4997,"&gt;="&amp;IF($C$4="",DATE(1900,1,1),$C$4),COMPRAS!$B$3:$B$4997,"&lt;="&amp;IF($F$4="",DATE(2999,12,31),$F$4)),0)</f>
        <v>0</v>
      </c>
      <c r="Q97" s="1" t="n">
        <f aca="false">IF(N97&lt;&gt;"",SUMIFS(COMPRAS!$O$3:$O$4997,COMPRAS!$D$3:$D$4997,N97,COMPRAS!$B$3:$B$4997,"&gt;="&amp;IF($C$4="",DATE(1900,1,1),$C$4),COMPRAS!$B$3:$B$4997,"&lt;="&amp;IF($F$4="",DATE(2999,12,31),$F$4)),0)</f>
        <v>0</v>
      </c>
      <c r="S97" s="1" t="str">
        <f aca="false">PRODUCTOS!A98</f>
        <v>C130025</v>
      </c>
      <c r="T97" s="1" t="str">
        <f aca="false">PRODUCTOS!B98</f>
        <v>MERLUZA EUROPEA PINCHO COSTA 2,5+</v>
      </c>
      <c r="U97" s="1" t="n">
        <f aca="false">IF(S97&lt;&gt;"",SUMIFS(COMPRAS!$J$3:$J$4997,COMPRAS!$G$3:$G$4997,S97,COMPRAS!$B$3:$B$4997,"&gt;="&amp;IF($C$4="",DATE(1900,1,1),$C$4),COMPRAS!$B$3:$B$4997,"&lt;="&amp;IF($F$4="",DATE(2999,12,31),$F$4)),0)</f>
        <v>191</v>
      </c>
      <c r="V97" s="1" t="n">
        <f aca="false">IF(S97&lt;&gt;"",SUMIFS(COMPRAS!$O$3:$O$4997,COMPRAS!$G$3:$G$4997,S97,COMPRAS!$B$3:$B$4997,"&gt;="&amp;IF($C$4="",DATE(1900,1,1),$C$4),COMPRAS!$B$3:$B$4997,"&lt;="&amp;IF($F$4="",DATE(2999,12,31),$F$4)),0)</f>
        <v>2591.225</v>
      </c>
      <c r="Y97" s="1" t="n">
        <f aca="false">IF($X$2="TODOS",U97,IF(S97&lt;&gt;"",SUMIFS(COMPRAS!$J$3:$J$4997,COMPRAS!$G$3:$G$4997,S97,COMPRAS!$D$3:$D$4997,$X$2,COMPRAS!$B$3:$B$4997,"&gt;="&amp;IF($C$4="",DATE(1900,1,1),$C$4),COMPRAS!$B$3:$B$4997,"&lt;="&amp;IF($F$4="",DATE(2999,12,31),$F$4)),0))</f>
        <v>191</v>
      </c>
      <c r="Z97" s="1" t="n">
        <f aca="false">IF($X$2="TODOS",V97,IF(S97&lt;&gt;"",SUMIFS(COMPRAS!$O$3:$O$4997,COMPRAS!$G$3:$G$4997,S97,COMPRAS!$D$3:$D$4997,$X$2,COMPRAS!$B$3:$B$4997,"&gt;="&amp;IF($C$4="",DATE(1900,1,1),$C$4),COMPRAS!$B$3:$B$4997,"&lt;="&amp;IF($F$4="",DATE(2999,12,31),$F$4)),0))</f>
        <v>2591.225</v>
      </c>
    </row>
    <row r="98" customFormat="false" ht="15" hidden="false" customHeight="true" outlineLevel="0" collapsed="false">
      <c r="N98" s="1" t="n">
        <f aca="false">PROVEEDORES!A99</f>
        <v>0</v>
      </c>
      <c r="O98" s="1" t="n">
        <f aca="false">PROVEEDORES!B99</f>
        <v>0</v>
      </c>
      <c r="P98" s="1" t="n">
        <f aca="false">IF(N98&lt;&gt;"",SUMIFS(COMPRAS!$J$3:$J$4997,COMPRAS!$D$3:$D$4997,N98,COMPRAS!$B$3:$B$4997,"&gt;="&amp;IF($C$4="",DATE(1900,1,1),$C$4),COMPRAS!$B$3:$B$4997,"&lt;="&amp;IF($F$4="",DATE(2999,12,31),$F$4)),0)</f>
        <v>0</v>
      </c>
      <c r="Q98" s="1" t="n">
        <f aca="false">IF(N98&lt;&gt;"",SUMIFS(COMPRAS!$O$3:$O$4997,COMPRAS!$D$3:$D$4997,N98,COMPRAS!$B$3:$B$4997,"&gt;="&amp;IF($C$4="",DATE(1900,1,1),$C$4),COMPRAS!$B$3:$B$4997,"&lt;="&amp;IF($F$4="",DATE(2999,12,31),$F$4)),0)</f>
        <v>0</v>
      </c>
      <c r="S98" s="1" t="str">
        <f aca="false">PRODUCTOS!A99</f>
        <v>C130030</v>
      </c>
      <c r="T98" s="1" t="str">
        <f aca="false">PRODUCTOS!B99</f>
        <v>MERLUZA EUROPEA PINCHO COSTA</v>
      </c>
      <c r="U98" s="1" t="n">
        <f aca="false">IF(S98&lt;&gt;"",SUMIFS(COMPRAS!$J$3:$J$4997,COMPRAS!$G$3:$G$4997,S98,COMPRAS!$B$3:$B$4997,"&gt;="&amp;IF($C$4="",DATE(1900,1,1),$C$4),COMPRAS!$B$3:$B$4997,"&lt;="&amp;IF($F$4="",DATE(2999,12,31),$F$4)),0)</f>
        <v>0</v>
      </c>
      <c r="V98" s="1" t="n">
        <f aca="false">IF(S98&lt;&gt;"",SUMIFS(COMPRAS!$O$3:$O$4997,COMPRAS!$G$3:$G$4997,S98,COMPRAS!$B$3:$B$4997,"&gt;="&amp;IF($C$4="",DATE(1900,1,1),$C$4),COMPRAS!$B$3:$B$4997,"&lt;="&amp;IF($F$4="",DATE(2999,12,31),$F$4)),0)</f>
        <v>0</v>
      </c>
      <c r="Y98" s="1" t="n">
        <f aca="false">IF($X$2="TODOS",U98,IF(S98&lt;&gt;"",SUMIFS(COMPRAS!$J$3:$J$4997,COMPRAS!$G$3:$G$4997,S98,COMPRAS!$D$3:$D$4997,$X$2,COMPRAS!$B$3:$B$4997,"&gt;="&amp;IF($C$4="",DATE(1900,1,1),$C$4),COMPRAS!$B$3:$B$4997,"&lt;="&amp;IF($F$4="",DATE(2999,12,31),$F$4)),0))</f>
        <v>0</v>
      </c>
      <c r="Z98" s="1" t="n">
        <f aca="false">IF($X$2="TODOS",V98,IF(S98&lt;&gt;"",SUMIFS(COMPRAS!$O$3:$O$4997,COMPRAS!$G$3:$G$4997,S98,COMPRAS!$D$3:$D$4997,$X$2,COMPRAS!$B$3:$B$4997,"&gt;="&amp;IF($C$4="",DATE(1900,1,1),$C$4),COMPRAS!$B$3:$B$4997,"&lt;="&amp;IF($F$4="",DATE(2999,12,31),$F$4)),0))</f>
        <v>0</v>
      </c>
    </row>
    <row r="99" customFormat="false" ht="15" hidden="false" customHeight="true" outlineLevel="0" collapsed="false">
      <c r="N99" s="1" t="n">
        <f aca="false">PROVEEDORES!A100</f>
        <v>0</v>
      </c>
      <c r="O99" s="1" t="n">
        <f aca="false">PROVEEDORES!B100</f>
        <v>0</v>
      </c>
      <c r="P99" s="1" t="n">
        <f aca="false">IF(N99&lt;&gt;"",SUMIFS(COMPRAS!$J$3:$J$4997,COMPRAS!$D$3:$D$4997,N99,COMPRAS!$B$3:$B$4997,"&gt;="&amp;IF($C$4="",DATE(1900,1,1),$C$4),COMPRAS!$B$3:$B$4997,"&lt;="&amp;IF($F$4="",DATE(2999,12,31),$F$4)),0)</f>
        <v>0</v>
      </c>
      <c r="Q99" s="1" t="n">
        <f aca="false">IF(N99&lt;&gt;"",SUMIFS(COMPRAS!$O$3:$O$4997,COMPRAS!$D$3:$D$4997,N99,COMPRAS!$B$3:$B$4997,"&gt;="&amp;IF($C$4="",DATE(1900,1,1),$C$4),COMPRAS!$B$3:$B$4997,"&lt;="&amp;IF($F$4="",DATE(2999,12,31),$F$4)),0)</f>
        <v>0</v>
      </c>
      <c r="S99" s="1" t="str">
        <f aca="false">PRODUCTOS!A100</f>
        <v>C1401</v>
      </c>
      <c r="T99" s="1" t="str">
        <f aca="false">PRODUCTOS!B100</f>
        <v>MERLUZA EUROPEA VOLANTA COSTA</v>
      </c>
      <c r="U99" s="1" t="n">
        <f aca="false">IF(S99&lt;&gt;"",SUMIFS(COMPRAS!$J$3:$J$4997,COMPRAS!$G$3:$G$4997,S99,COMPRAS!$B$3:$B$4997,"&gt;="&amp;IF($C$4="",DATE(1900,1,1),$C$4),COMPRAS!$B$3:$B$4997,"&lt;="&amp;IF($F$4="",DATE(2999,12,31),$F$4)),0)</f>
        <v>1847.5</v>
      </c>
      <c r="V99" s="1" t="n">
        <f aca="false">IF(S99&lt;&gt;"",SUMIFS(COMPRAS!$O$3:$O$4997,COMPRAS!$G$3:$G$4997,S99,COMPRAS!$B$3:$B$4997,"&gt;="&amp;IF($C$4="",DATE(1900,1,1),$C$4),COMPRAS!$B$3:$B$4997,"&lt;="&amp;IF($F$4="",DATE(2999,12,31),$F$4)),0)</f>
        <v>9924.99584</v>
      </c>
      <c r="Y99" s="1" t="n">
        <f aca="false">IF($X$2="TODOS",U99,IF(S99&lt;&gt;"",SUMIFS(COMPRAS!$J$3:$J$4997,COMPRAS!$G$3:$G$4997,S99,COMPRAS!$D$3:$D$4997,$X$2,COMPRAS!$B$3:$B$4997,"&gt;="&amp;IF($C$4="",DATE(1900,1,1),$C$4),COMPRAS!$B$3:$B$4997,"&lt;="&amp;IF($F$4="",DATE(2999,12,31),$F$4)),0))</f>
        <v>1847.5</v>
      </c>
      <c r="Z99" s="1" t="n">
        <f aca="false">IF($X$2="TODOS",V99,IF(S99&lt;&gt;"",SUMIFS(COMPRAS!$O$3:$O$4997,COMPRAS!$G$3:$G$4997,S99,COMPRAS!$D$3:$D$4997,$X$2,COMPRAS!$B$3:$B$4997,"&gt;="&amp;IF($C$4="",DATE(1900,1,1),$C$4),COMPRAS!$B$3:$B$4997,"&lt;="&amp;IF($F$4="",DATE(2999,12,31),$F$4)),0))</f>
        <v>9924.99584</v>
      </c>
    </row>
    <row r="100" customFormat="false" ht="15" hidden="false" customHeight="true" outlineLevel="0" collapsed="false">
      <c r="N100" s="1" t="n">
        <f aca="false">PROVEEDORES!A101</f>
        <v>0</v>
      </c>
      <c r="O100" s="1" t="n">
        <f aca="false">PROVEEDORES!B101</f>
        <v>0</v>
      </c>
      <c r="P100" s="1" t="n">
        <f aca="false">IF(N100&lt;&gt;"",SUMIFS(COMPRAS!$J$3:$J$4997,COMPRAS!$D$3:$D$4997,N100,COMPRAS!$B$3:$B$4997,"&gt;="&amp;IF($C$4="",DATE(1900,1,1),$C$4),COMPRAS!$B$3:$B$4997,"&lt;="&amp;IF($F$4="",DATE(2999,12,31),$F$4)),0)</f>
        <v>0</v>
      </c>
      <c r="Q100" s="1" t="n">
        <f aca="false">IF(N100&lt;&gt;"",SUMIFS(COMPRAS!$O$3:$O$4997,COMPRAS!$D$3:$D$4997,N100,COMPRAS!$B$3:$B$4997,"&gt;="&amp;IF($C$4="",DATE(1900,1,1),$C$4),COMPRAS!$B$3:$B$4997,"&lt;="&amp;IF($F$4="",DATE(2999,12,31),$F$4)),0)</f>
        <v>0</v>
      </c>
      <c r="S100" s="1" t="str">
        <f aca="false">PRODUCTOS!A101</f>
        <v>C1444</v>
      </c>
      <c r="T100" s="1" t="str">
        <f aca="false">PRODUCTOS!B101</f>
        <v>MERLUZA EUROPEA VOLANTA COSTA</v>
      </c>
      <c r="U100" s="1" t="n">
        <f aca="false">IF(S100&lt;&gt;"",SUMIFS(COMPRAS!$J$3:$J$4997,COMPRAS!$G$3:$G$4997,S100,COMPRAS!$B$3:$B$4997,"&gt;="&amp;IF($C$4="",DATE(1900,1,1),$C$4),COMPRAS!$B$3:$B$4997,"&lt;="&amp;IF($F$4="",DATE(2999,12,31),$F$4)),0)</f>
        <v>282.55</v>
      </c>
      <c r="V100" s="1" t="n">
        <f aca="false">IF(S100&lt;&gt;"",SUMIFS(COMPRAS!$O$3:$O$4997,COMPRAS!$G$3:$G$4997,S100,COMPRAS!$B$3:$B$4997,"&gt;="&amp;IF($C$4="",DATE(1900,1,1),$C$4),COMPRAS!$B$3:$B$4997,"&lt;="&amp;IF($F$4="",DATE(2999,12,31),$F$4)),0)</f>
        <v>2176.018</v>
      </c>
      <c r="Y100" s="1" t="n">
        <f aca="false">IF($X$2="TODOS",U100,IF(S100&lt;&gt;"",SUMIFS(COMPRAS!$J$3:$J$4997,COMPRAS!$G$3:$G$4997,S100,COMPRAS!$D$3:$D$4997,$X$2,COMPRAS!$B$3:$B$4997,"&gt;="&amp;IF($C$4="",DATE(1900,1,1),$C$4),COMPRAS!$B$3:$B$4997,"&lt;="&amp;IF($F$4="",DATE(2999,12,31),$F$4)),0))</f>
        <v>282.55</v>
      </c>
      <c r="Z100" s="1" t="n">
        <f aca="false">IF($X$2="TODOS",V100,IF(S100&lt;&gt;"",SUMIFS(COMPRAS!$O$3:$O$4997,COMPRAS!$G$3:$G$4997,S100,COMPRAS!$D$3:$D$4997,$X$2,COMPRAS!$B$3:$B$4997,"&gt;="&amp;IF($C$4="",DATE(1900,1,1),$C$4),COMPRAS!$B$3:$B$4997,"&lt;="&amp;IF($F$4="",DATE(2999,12,31),$F$4)),0))</f>
        <v>2176.018</v>
      </c>
    </row>
    <row r="101" customFormat="false" ht="15" hidden="false" customHeight="true" outlineLevel="0" collapsed="false">
      <c r="N101" s="1" t="n">
        <f aca="false">PROVEEDORES!A102</f>
        <v>0</v>
      </c>
      <c r="O101" s="1" t="n">
        <f aca="false">PROVEEDORES!B102</f>
        <v>0</v>
      </c>
      <c r="P101" s="1" t="n">
        <f aca="false">IF(N101&lt;&gt;"",SUMIFS(COMPRAS!$J$3:$J$4997,COMPRAS!$D$3:$D$4997,N101,COMPRAS!$B$3:$B$4997,"&gt;="&amp;IF($C$4="",DATE(1900,1,1),$C$4),COMPRAS!$B$3:$B$4997,"&lt;="&amp;IF($F$4="",DATE(2999,12,31),$F$4)),0)</f>
        <v>0</v>
      </c>
      <c r="Q101" s="1" t="n">
        <f aca="false">IF(N101&lt;&gt;"",SUMIFS(COMPRAS!$O$3:$O$4997,COMPRAS!$D$3:$D$4997,N101,COMPRAS!$B$3:$B$4997,"&gt;="&amp;IF($C$4="",DATE(1900,1,1),$C$4),COMPRAS!$B$3:$B$4997,"&lt;="&amp;IF($F$4="",DATE(2999,12,31),$F$4)),0)</f>
        <v>0</v>
      </c>
      <c r="S101" s="1" t="str">
        <f aca="false">PRODUCTOS!A102</f>
        <v>C1446</v>
      </c>
      <c r="T101" s="1" t="str">
        <f aca="false">PRODUCTOS!B102</f>
        <v>MERLUZA EUROPEA VOLANTA COSTA 600/800</v>
      </c>
      <c r="U101" s="1" t="n">
        <f aca="false">IF(S101&lt;&gt;"",SUMIFS(COMPRAS!$J$3:$J$4997,COMPRAS!$G$3:$G$4997,S101,COMPRAS!$B$3:$B$4997,"&gt;="&amp;IF($C$4="",DATE(1900,1,1),$C$4),COMPRAS!$B$3:$B$4997,"&lt;="&amp;IF($F$4="",DATE(2999,12,31),$F$4)),0)</f>
        <v>0</v>
      </c>
      <c r="V101" s="1" t="n">
        <f aca="false">IF(S101&lt;&gt;"",SUMIFS(COMPRAS!$O$3:$O$4997,COMPRAS!$G$3:$G$4997,S101,COMPRAS!$B$3:$B$4997,"&gt;="&amp;IF($C$4="",DATE(1900,1,1),$C$4),COMPRAS!$B$3:$B$4997,"&lt;="&amp;IF($F$4="",DATE(2999,12,31),$F$4)),0)</f>
        <v>0</v>
      </c>
      <c r="Y101" s="1" t="n">
        <f aca="false">IF($X$2="TODOS",U101,IF(S101&lt;&gt;"",SUMIFS(COMPRAS!$J$3:$J$4997,COMPRAS!$G$3:$G$4997,S101,COMPRAS!$D$3:$D$4997,$X$2,COMPRAS!$B$3:$B$4997,"&gt;="&amp;IF($C$4="",DATE(1900,1,1),$C$4),COMPRAS!$B$3:$B$4997,"&lt;="&amp;IF($F$4="",DATE(2999,12,31),$F$4)),0))</f>
        <v>0</v>
      </c>
      <c r="Z101" s="1" t="n">
        <f aca="false">IF($X$2="TODOS",V101,IF(S101&lt;&gt;"",SUMIFS(COMPRAS!$O$3:$O$4997,COMPRAS!$G$3:$G$4997,S101,COMPRAS!$D$3:$D$4997,$X$2,COMPRAS!$B$3:$B$4997,"&gt;="&amp;IF($C$4="",DATE(1900,1,1),$C$4),COMPRAS!$B$3:$B$4997,"&lt;="&amp;IF($F$4="",DATE(2999,12,31),$F$4)),0))</f>
        <v>0</v>
      </c>
    </row>
    <row r="102" customFormat="false" ht="15" hidden="false" customHeight="true" outlineLevel="0" collapsed="false">
      <c r="N102" s="1" t="n">
        <f aca="false">PROVEEDORES!A103</f>
        <v>0</v>
      </c>
      <c r="O102" s="1" t="n">
        <f aca="false">PROVEEDORES!B103</f>
        <v>0</v>
      </c>
      <c r="P102" s="1" t="n">
        <f aca="false">IF(N102&lt;&gt;"",SUMIFS(COMPRAS!$J$3:$J$4997,COMPRAS!$D$3:$D$4997,N102,COMPRAS!$B$3:$B$4997,"&gt;="&amp;IF($C$4="",DATE(1900,1,1),$C$4),COMPRAS!$B$3:$B$4997,"&lt;="&amp;IF($F$4="",DATE(2999,12,31),$F$4)),0)</f>
        <v>0</v>
      </c>
      <c r="Q102" s="1" t="n">
        <f aca="false">IF(N102&lt;&gt;"",SUMIFS(COMPRAS!$O$3:$O$4997,COMPRAS!$D$3:$D$4997,N102,COMPRAS!$B$3:$B$4997,"&gt;="&amp;IF($C$4="",DATE(1900,1,1),$C$4),COMPRAS!$B$3:$B$4997,"&lt;="&amp;IF($F$4="",DATE(2999,12,31),$F$4)),0)</f>
        <v>0</v>
      </c>
      <c r="S102" s="1" t="str">
        <f aca="false">PRODUCTOS!A103</f>
        <v>C1448</v>
      </c>
      <c r="T102" s="1" t="str">
        <f aca="false">PRODUCTOS!B103</f>
        <v>MERLUZA EUROPEA VOLANTA COSTA 800/1000</v>
      </c>
      <c r="U102" s="1" t="n">
        <f aca="false">IF(S102&lt;&gt;"",SUMIFS(COMPRAS!$J$3:$J$4997,COMPRAS!$G$3:$G$4997,S102,COMPRAS!$B$3:$B$4997,"&gt;="&amp;IF($C$4="",DATE(1900,1,1),$C$4),COMPRAS!$B$3:$B$4997,"&lt;="&amp;IF($F$4="",DATE(2999,12,31),$F$4)),0)</f>
        <v>70</v>
      </c>
      <c r="V102" s="1" t="n">
        <f aca="false">IF(S102&lt;&gt;"",SUMIFS(COMPRAS!$O$3:$O$4997,COMPRAS!$G$3:$G$4997,S102,COMPRAS!$B$3:$B$4997,"&gt;="&amp;IF($C$4="",DATE(1900,1,1),$C$4),COMPRAS!$B$3:$B$4997,"&lt;="&amp;IF($F$4="",DATE(2999,12,31),$F$4)),0)</f>
        <v>278.46</v>
      </c>
      <c r="Y102" s="1" t="n">
        <f aca="false">IF($X$2="TODOS",U102,IF(S102&lt;&gt;"",SUMIFS(COMPRAS!$J$3:$J$4997,COMPRAS!$G$3:$G$4997,S102,COMPRAS!$D$3:$D$4997,$X$2,COMPRAS!$B$3:$B$4997,"&gt;="&amp;IF($C$4="",DATE(1900,1,1),$C$4),COMPRAS!$B$3:$B$4997,"&lt;="&amp;IF($F$4="",DATE(2999,12,31),$F$4)),0))</f>
        <v>70</v>
      </c>
      <c r="Z102" s="1" t="n">
        <f aca="false">IF($X$2="TODOS",V102,IF(S102&lt;&gt;"",SUMIFS(COMPRAS!$O$3:$O$4997,COMPRAS!$G$3:$G$4997,S102,COMPRAS!$D$3:$D$4997,$X$2,COMPRAS!$B$3:$B$4997,"&gt;="&amp;IF($C$4="",DATE(1900,1,1),$C$4),COMPRAS!$B$3:$B$4997,"&lt;="&amp;IF($F$4="",DATE(2999,12,31),$F$4)),0))</f>
        <v>278.46</v>
      </c>
    </row>
    <row r="103" customFormat="false" ht="15" hidden="false" customHeight="true" outlineLevel="0" collapsed="false">
      <c r="N103" s="1" t="n">
        <f aca="false">PROVEEDORES!A104</f>
        <v>0</v>
      </c>
      <c r="O103" s="1" t="n">
        <f aca="false">PROVEEDORES!B104</f>
        <v>0</v>
      </c>
      <c r="P103" s="1" t="n">
        <f aca="false">IF(N103&lt;&gt;"",SUMIFS(COMPRAS!$J$3:$J$4997,COMPRAS!$D$3:$D$4997,N103,COMPRAS!$B$3:$B$4997,"&gt;="&amp;IF($C$4="",DATE(1900,1,1),$C$4),COMPRAS!$B$3:$B$4997,"&lt;="&amp;IF($F$4="",DATE(2999,12,31),$F$4)),0)</f>
        <v>0</v>
      </c>
      <c r="Q103" s="1" t="n">
        <f aca="false">IF(N103&lt;&gt;"",SUMIFS(COMPRAS!$O$3:$O$4997,COMPRAS!$D$3:$D$4997,N103,COMPRAS!$B$3:$B$4997,"&gt;="&amp;IF($C$4="",DATE(1900,1,1),$C$4),COMPRAS!$B$3:$B$4997,"&lt;="&amp;IF($F$4="",DATE(2999,12,31),$F$4)),0)</f>
        <v>0</v>
      </c>
      <c r="S103" s="1" t="str">
        <f aca="false">PRODUCTOS!A104</f>
        <v>C14415</v>
      </c>
      <c r="T103" s="1" t="str">
        <f aca="false">PRODUCTOS!B104</f>
        <v>MERLUZA EUROPEA VOLANTA COSTA 1/1,25</v>
      </c>
      <c r="U103" s="1" t="n">
        <f aca="false">IF(S103&lt;&gt;"",SUMIFS(COMPRAS!$J$3:$J$4997,COMPRAS!$G$3:$G$4997,S103,COMPRAS!$B$3:$B$4997,"&gt;="&amp;IF($C$4="",DATE(1900,1,1),$C$4),COMPRAS!$B$3:$B$4997,"&lt;="&amp;IF($F$4="",DATE(2999,12,31),$F$4)),0)</f>
        <v>85.75</v>
      </c>
      <c r="V103" s="1" t="n">
        <f aca="false">IF(S103&lt;&gt;"",SUMIFS(COMPRAS!$O$3:$O$4997,COMPRAS!$G$3:$G$4997,S103,COMPRAS!$B$3:$B$4997,"&gt;="&amp;IF($C$4="",DATE(1900,1,1),$C$4),COMPRAS!$B$3:$B$4997,"&lt;="&amp;IF($F$4="",DATE(2999,12,31),$F$4)),0)</f>
        <v>441.8385</v>
      </c>
      <c r="Y103" s="1" t="n">
        <f aca="false">IF($X$2="TODOS",U103,IF(S103&lt;&gt;"",SUMIFS(COMPRAS!$J$3:$J$4997,COMPRAS!$G$3:$G$4997,S103,COMPRAS!$D$3:$D$4997,$X$2,COMPRAS!$B$3:$B$4997,"&gt;="&amp;IF($C$4="",DATE(1900,1,1),$C$4),COMPRAS!$B$3:$B$4997,"&lt;="&amp;IF($F$4="",DATE(2999,12,31),$F$4)),0))</f>
        <v>85.75</v>
      </c>
      <c r="Z103" s="1" t="n">
        <f aca="false">IF($X$2="TODOS",V103,IF(S103&lt;&gt;"",SUMIFS(COMPRAS!$O$3:$O$4997,COMPRAS!$G$3:$G$4997,S103,COMPRAS!$D$3:$D$4997,$X$2,COMPRAS!$B$3:$B$4997,"&gt;="&amp;IF($C$4="",DATE(1900,1,1),$C$4),COMPRAS!$B$3:$B$4997,"&lt;="&amp;IF($F$4="",DATE(2999,12,31),$F$4)),0))</f>
        <v>441.8385</v>
      </c>
    </row>
    <row r="104" customFormat="false" ht="15" hidden="false" customHeight="true" outlineLevel="0" collapsed="false">
      <c r="N104" s="1" t="n">
        <f aca="false">PROVEEDORES!A105</f>
        <v>0</v>
      </c>
      <c r="O104" s="1" t="n">
        <f aca="false">PROVEEDORES!B105</f>
        <v>0</v>
      </c>
      <c r="P104" s="1" t="n">
        <f aca="false">IF(N104&lt;&gt;"",SUMIFS(COMPRAS!$J$3:$J$4997,COMPRAS!$D$3:$D$4997,N104,COMPRAS!$B$3:$B$4997,"&gt;="&amp;IF($C$4="",DATE(1900,1,1),$C$4),COMPRAS!$B$3:$B$4997,"&lt;="&amp;IF($F$4="",DATE(2999,12,31),$F$4)),0)</f>
        <v>0</v>
      </c>
      <c r="Q104" s="1" t="n">
        <f aca="false">IF(N104&lt;&gt;"",SUMIFS(COMPRAS!$O$3:$O$4997,COMPRAS!$D$3:$D$4997,N104,COMPRAS!$B$3:$B$4997,"&gt;="&amp;IF($C$4="",DATE(1900,1,1),$C$4),COMPRAS!$B$3:$B$4997,"&lt;="&amp;IF($F$4="",DATE(2999,12,31),$F$4)),0)</f>
        <v>0</v>
      </c>
      <c r="S104" s="1" t="str">
        <f aca="false">PRODUCTOS!A105</f>
        <v>C144+</v>
      </c>
      <c r="T104" s="1" t="str">
        <f aca="false">PRODUCTOS!B105</f>
        <v>MERLUZA EUROPEA VOLANTA COSTA 1,25/1,5</v>
      </c>
      <c r="U104" s="1" t="n">
        <f aca="false">IF(S104&lt;&gt;"",SUMIFS(COMPRAS!$J$3:$J$4997,COMPRAS!$G$3:$G$4997,S104,COMPRAS!$B$3:$B$4997,"&gt;="&amp;IF($C$4="",DATE(1900,1,1),$C$4),COMPRAS!$B$3:$B$4997,"&lt;="&amp;IF($F$4="",DATE(2999,12,31),$F$4)),0)</f>
        <v>43</v>
      </c>
      <c r="V104" s="1" t="n">
        <f aca="false">IF(S104&lt;&gt;"",SUMIFS(COMPRAS!$O$3:$O$4997,COMPRAS!$G$3:$G$4997,S104,COMPRAS!$B$3:$B$4997,"&gt;="&amp;IF($C$4="",DATE(1900,1,1),$C$4),COMPRAS!$B$3:$B$4997,"&lt;="&amp;IF($F$4="",DATE(2999,12,31),$F$4)),0)</f>
        <v>235.60725</v>
      </c>
      <c r="Y104" s="1" t="n">
        <f aca="false">IF($X$2="TODOS",U104,IF(S104&lt;&gt;"",SUMIFS(COMPRAS!$J$3:$J$4997,COMPRAS!$G$3:$G$4997,S104,COMPRAS!$D$3:$D$4997,$X$2,COMPRAS!$B$3:$B$4997,"&gt;="&amp;IF($C$4="",DATE(1900,1,1),$C$4),COMPRAS!$B$3:$B$4997,"&lt;="&amp;IF($F$4="",DATE(2999,12,31),$F$4)),0))</f>
        <v>43</v>
      </c>
      <c r="Z104" s="1" t="n">
        <f aca="false">IF($X$2="TODOS",V104,IF(S104&lt;&gt;"",SUMIFS(COMPRAS!$O$3:$O$4997,COMPRAS!$G$3:$G$4997,S104,COMPRAS!$D$3:$D$4997,$X$2,COMPRAS!$B$3:$B$4997,"&gt;="&amp;IF($C$4="",DATE(1900,1,1),$C$4),COMPRAS!$B$3:$B$4997,"&lt;="&amp;IF($F$4="",DATE(2999,12,31),$F$4)),0))</f>
        <v>235.60725</v>
      </c>
    </row>
    <row r="105" customFormat="false" ht="15" hidden="false" customHeight="true" outlineLevel="0" collapsed="false">
      <c r="N105" s="1" t="n">
        <f aca="false">PROVEEDORES!A106</f>
        <v>0</v>
      </c>
      <c r="O105" s="1" t="n">
        <f aca="false">PROVEEDORES!B106</f>
        <v>0</v>
      </c>
      <c r="P105" s="1" t="n">
        <f aca="false">IF(N105&lt;&gt;"",SUMIFS(COMPRAS!$J$3:$J$4997,COMPRAS!$D$3:$D$4997,N105,COMPRAS!$B$3:$B$4997,"&gt;="&amp;IF($C$4="",DATE(1900,1,1),$C$4),COMPRAS!$B$3:$B$4997,"&lt;="&amp;IF($F$4="",DATE(2999,12,31),$F$4)),0)</f>
        <v>0</v>
      </c>
      <c r="Q105" s="1" t="n">
        <f aca="false">IF(N105&lt;&gt;"",SUMIFS(COMPRAS!$O$3:$O$4997,COMPRAS!$D$3:$D$4997,N105,COMPRAS!$B$3:$B$4997,"&gt;="&amp;IF($C$4="",DATE(1900,1,1),$C$4),COMPRAS!$B$3:$B$4997,"&lt;="&amp;IF($F$4="",DATE(2999,12,31),$F$4)),0)</f>
        <v>0</v>
      </c>
      <c r="S105" s="1" t="n">
        <f aca="false">PRODUCTOS!A106</f>
        <v>14441</v>
      </c>
      <c r="T105" s="1" t="str">
        <f aca="false">PRODUCTOS!B106</f>
        <v>MERLUZA EUROPEA VOLANTA</v>
      </c>
      <c r="U105" s="1" t="n">
        <f aca="false">IF(S105&lt;&gt;"",SUMIFS(COMPRAS!$J$3:$J$4997,COMPRAS!$G$3:$G$4997,S105,COMPRAS!$B$3:$B$4997,"&gt;="&amp;IF($C$4="",DATE(1900,1,1),$C$4),COMPRAS!$B$3:$B$4997,"&lt;="&amp;IF($F$4="",DATE(2999,12,31),$F$4)),0)</f>
        <v>0</v>
      </c>
      <c r="V105" s="1" t="n">
        <f aca="false">IF(S105&lt;&gt;"",SUMIFS(COMPRAS!$O$3:$O$4997,COMPRAS!$G$3:$G$4997,S105,COMPRAS!$B$3:$B$4997,"&gt;="&amp;IF($C$4="",DATE(1900,1,1),$C$4),COMPRAS!$B$3:$B$4997,"&lt;="&amp;IF($F$4="",DATE(2999,12,31),$F$4)),0)</f>
        <v>0</v>
      </c>
      <c r="Y105" s="1" t="n">
        <f aca="false">IF($X$2="TODOS",U105,IF(S105&lt;&gt;"",SUMIFS(COMPRAS!$J$3:$J$4997,COMPRAS!$G$3:$G$4997,S105,COMPRAS!$D$3:$D$4997,$X$2,COMPRAS!$B$3:$B$4997,"&gt;="&amp;IF($C$4="",DATE(1900,1,1),$C$4),COMPRAS!$B$3:$B$4997,"&lt;="&amp;IF($F$4="",DATE(2999,12,31),$F$4)),0))</f>
        <v>0</v>
      </c>
      <c r="Z105" s="1" t="n">
        <f aca="false">IF($X$2="TODOS",V105,IF(S105&lt;&gt;"",SUMIFS(COMPRAS!$O$3:$O$4997,COMPRAS!$G$3:$G$4997,S105,COMPRAS!$D$3:$D$4997,$X$2,COMPRAS!$B$3:$B$4997,"&gt;="&amp;IF($C$4="",DATE(1900,1,1),$C$4),COMPRAS!$B$3:$B$4997,"&lt;="&amp;IF($F$4="",DATE(2999,12,31),$F$4)),0))</f>
        <v>0</v>
      </c>
    </row>
    <row r="106" customFormat="false" ht="15" hidden="false" customHeight="true" outlineLevel="0" collapsed="false">
      <c r="N106" s="1" t="n">
        <f aca="false">PROVEEDORES!A107</f>
        <v>0</v>
      </c>
      <c r="O106" s="1" t="n">
        <f aca="false">PROVEEDORES!B107</f>
        <v>0</v>
      </c>
      <c r="P106" s="1" t="n">
        <f aca="false">IF(N106&lt;&gt;"",SUMIFS(COMPRAS!$J$3:$J$4997,COMPRAS!$D$3:$D$4997,N106,COMPRAS!$B$3:$B$4997,"&gt;="&amp;IF($C$4="",DATE(1900,1,1),$C$4),COMPRAS!$B$3:$B$4997,"&lt;="&amp;IF($F$4="",DATE(2999,12,31),$F$4)),0)</f>
        <v>0</v>
      </c>
      <c r="Q106" s="1" t="n">
        <f aca="false">IF(N106&lt;&gt;"",SUMIFS(COMPRAS!$O$3:$O$4997,COMPRAS!$D$3:$D$4997,N106,COMPRAS!$B$3:$B$4997,"&gt;="&amp;IF($C$4="",DATE(1900,1,1),$C$4),COMPRAS!$B$3:$B$4997,"&lt;="&amp;IF($F$4="",DATE(2999,12,31),$F$4)),0)</f>
        <v>0</v>
      </c>
      <c r="S106" s="1" t="str">
        <f aca="false">PRODUCTOS!A107</f>
        <v>C14420</v>
      </c>
      <c r="T106" s="1" t="str">
        <f aca="false">PRODUCTOS!B107</f>
        <v>MERLUZA EUROPEA BAKA DIA TDA</v>
      </c>
      <c r="U106" s="1" t="n">
        <f aca="false">IF(S106&lt;&gt;"",SUMIFS(COMPRAS!$J$3:$J$4997,COMPRAS!$G$3:$G$4997,S106,COMPRAS!$B$3:$B$4997,"&gt;="&amp;IF($C$4="",DATE(1900,1,1),$C$4),COMPRAS!$B$3:$B$4997,"&lt;="&amp;IF($F$4="",DATE(2999,12,31),$F$4)),0)</f>
        <v>0</v>
      </c>
      <c r="V106" s="1" t="n">
        <f aca="false">IF(S106&lt;&gt;"",SUMIFS(COMPRAS!$O$3:$O$4997,COMPRAS!$G$3:$G$4997,S106,COMPRAS!$B$3:$B$4997,"&gt;="&amp;IF($C$4="",DATE(1900,1,1),$C$4),COMPRAS!$B$3:$B$4997,"&lt;="&amp;IF($F$4="",DATE(2999,12,31),$F$4)),0)</f>
        <v>0</v>
      </c>
      <c r="Y106" s="1" t="n">
        <f aca="false">IF($X$2="TODOS",U106,IF(S106&lt;&gt;"",SUMIFS(COMPRAS!$J$3:$J$4997,COMPRAS!$G$3:$G$4997,S106,COMPRAS!$D$3:$D$4997,$X$2,COMPRAS!$B$3:$B$4997,"&gt;="&amp;IF($C$4="",DATE(1900,1,1),$C$4),COMPRAS!$B$3:$B$4997,"&lt;="&amp;IF($F$4="",DATE(2999,12,31),$F$4)),0))</f>
        <v>0</v>
      </c>
      <c r="Z106" s="1" t="n">
        <f aca="false">IF($X$2="TODOS",V106,IF(S106&lt;&gt;"",SUMIFS(COMPRAS!$O$3:$O$4997,COMPRAS!$G$3:$G$4997,S106,COMPRAS!$D$3:$D$4997,$X$2,COMPRAS!$B$3:$B$4997,"&gt;="&amp;IF($C$4="",DATE(1900,1,1),$C$4),COMPRAS!$B$3:$B$4997,"&lt;="&amp;IF($F$4="",DATE(2999,12,31),$F$4)),0))</f>
        <v>0</v>
      </c>
    </row>
    <row r="107" customFormat="false" ht="15" hidden="false" customHeight="true" outlineLevel="0" collapsed="false">
      <c r="N107" s="1" t="n">
        <f aca="false">PROVEEDORES!A108</f>
        <v>0</v>
      </c>
      <c r="O107" s="1" t="n">
        <f aca="false">PROVEEDORES!B108</f>
        <v>0</v>
      </c>
      <c r="P107" s="1" t="n">
        <f aca="false">IF(N107&lt;&gt;"",SUMIFS(COMPRAS!$J$3:$J$4997,COMPRAS!$D$3:$D$4997,N107,COMPRAS!$B$3:$B$4997,"&gt;="&amp;IF($C$4="",DATE(1900,1,1),$C$4),COMPRAS!$B$3:$B$4997,"&lt;="&amp;IF($F$4="",DATE(2999,12,31),$F$4)),0)</f>
        <v>0</v>
      </c>
      <c r="Q107" s="1" t="n">
        <f aca="false">IF(N107&lt;&gt;"",SUMIFS(COMPRAS!$O$3:$O$4997,COMPRAS!$D$3:$D$4997,N107,COMPRAS!$B$3:$B$4997,"&gt;="&amp;IF($C$4="",DATE(1900,1,1),$C$4),COMPRAS!$B$3:$B$4997,"&lt;="&amp;IF($F$4="",DATE(2999,12,31),$F$4)),0)</f>
        <v>0</v>
      </c>
      <c r="S107" s="1" t="str">
        <f aca="false">PRODUCTOS!A108</f>
        <v>C14425</v>
      </c>
      <c r="T107" s="1" t="str">
        <f aca="false">PRODUCTOS!B108</f>
        <v>MERLUZA EUROPEA BAKA DIA GDA</v>
      </c>
      <c r="U107" s="1" t="n">
        <f aca="false">IF(S107&lt;&gt;"",SUMIFS(COMPRAS!$J$3:$J$4997,COMPRAS!$G$3:$G$4997,S107,COMPRAS!$B$3:$B$4997,"&gt;="&amp;IF($C$4="",DATE(1900,1,1),$C$4),COMPRAS!$B$3:$B$4997,"&lt;="&amp;IF($F$4="",DATE(2999,12,31),$F$4)),0)</f>
        <v>0</v>
      </c>
      <c r="V107" s="1" t="n">
        <f aca="false">IF(S107&lt;&gt;"",SUMIFS(COMPRAS!$O$3:$O$4997,COMPRAS!$G$3:$G$4997,S107,COMPRAS!$B$3:$B$4997,"&gt;="&amp;IF($C$4="",DATE(1900,1,1),$C$4),COMPRAS!$B$3:$B$4997,"&lt;="&amp;IF($F$4="",DATE(2999,12,31),$F$4)),0)</f>
        <v>0</v>
      </c>
      <c r="Y107" s="1" t="n">
        <f aca="false">IF($X$2="TODOS",U107,IF(S107&lt;&gt;"",SUMIFS(COMPRAS!$J$3:$J$4997,COMPRAS!$G$3:$G$4997,S107,COMPRAS!$D$3:$D$4997,$X$2,COMPRAS!$B$3:$B$4997,"&gt;="&amp;IF($C$4="",DATE(1900,1,1),$C$4),COMPRAS!$B$3:$B$4997,"&lt;="&amp;IF($F$4="",DATE(2999,12,31),$F$4)),0))</f>
        <v>0</v>
      </c>
      <c r="Z107" s="1" t="n">
        <f aca="false">IF($X$2="TODOS",V107,IF(S107&lt;&gt;"",SUMIFS(COMPRAS!$O$3:$O$4997,COMPRAS!$G$3:$G$4997,S107,COMPRAS!$D$3:$D$4997,$X$2,COMPRAS!$B$3:$B$4997,"&gt;="&amp;IF($C$4="",DATE(1900,1,1),$C$4),COMPRAS!$B$3:$B$4997,"&lt;="&amp;IF($F$4="",DATE(2999,12,31),$F$4)),0))</f>
        <v>0</v>
      </c>
    </row>
    <row r="108" customFormat="false" ht="15" hidden="false" customHeight="true" outlineLevel="0" collapsed="false">
      <c r="N108" s="1" t="n">
        <f aca="false">PROVEEDORES!A109</f>
        <v>0</v>
      </c>
      <c r="O108" s="1" t="n">
        <f aca="false">PROVEEDORES!B109</f>
        <v>0</v>
      </c>
      <c r="P108" s="1" t="n">
        <f aca="false">IF(N108&lt;&gt;"",SUMIFS(COMPRAS!$J$3:$J$4997,COMPRAS!$D$3:$D$4997,N108,COMPRAS!$B$3:$B$4997,"&gt;="&amp;IF($C$4="",DATE(1900,1,1),$C$4),COMPRAS!$B$3:$B$4997,"&lt;="&amp;IF($F$4="",DATE(2999,12,31),$F$4)),0)</f>
        <v>0</v>
      </c>
      <c r="Q108" s="1" t="n">
        <f aca="false">IF(N108&lt;&gt;"",SUMIFS(COMPRAS!$O$3:$O$4997,COMPRAS!$D$3:$D$4997,N108,COMPRAS!$B$3:$B$4997,"&gt;="&amp;IF($C$4="",DATE(1900,1,1),$C$4),COMPRAS!$B$3:$B$4997,"&lt;="&amp;IF($F$4="",DATE(2999,12,31),$F$4)),0)</f>
        <v>0</v>
      </c>
      <c r="S108" s="1" t="str">
        <f aca="false">PRODUCTOS!A109</f>
        <v>C14430</v>
      </c>
      <c r="T108" s="1" t="str">
        <f aca="false">PRODUCTOS!B109</f>
        <v>MERLUZA EUROPEA VOLANTA</v>
      </c>
      <c r="U108" s="1" t="n">
        <f aca="false">IF(S108&lt;&gt;"",SUMIFS(COMPRAS!$J$3:$J$4997,COMPRAS!$G$3:$G$4997,S108,COMPRAS!$B$3:$B$4997,"&gt;="&amp;IF($C$4="",DATE(1900,1,1),$C$4),COMPRAS!$B$3:$B$4997,"&lt;="&amp;IF($F$4="",DATE(2999,12,31),$F$4)),0)</f>
        <v>0</v>
      </c>
      <c r="V108" s="1" t="n">
        <f aca="false">IF(S108&lt;&gt;"",SUMIFS(COMPRAS!$O$3:$O$4997,COMPRAS!$G$3:$G$4997,S108,COMPRAS!$B$3:$B$4997,"&gt;="&amp;IF($C$4="",DATE(1900,1,1),$C$4),COMPRAS!$B$3:$B$4997,"&lt;="&amp;IF($F$4="",DATE(2999,12,31),$F$4)),0)</f>
        <v>0</v>
      </c>
      <c r="Y108" s="1" t="n">
        <f aca="false">IF($X$2="TODOS",U108,IF(S108&lt;&gt;"",SUMIFS(COMPRAS!$J$3:$J$4997,COMPRAS!$G$3:$G$4997,S108,COMPRAS!$D$3:$D$4997,$X$2,COMPRAS!$B$3:$B$4997,"&gt;="&amp;IF($C$4="",DATE(1900,1,1),$C$4),COMPRAS!$B$3:$B$4997,"&lt;="&amp;IF($F$4="",DATE(2999,12,31),$F$4)),0))</f>
        <v>0</v>
      </c>
      <c r="Z108" s="1" t="n">
        <f aca="false">IF($X$2="TODOS",V108,IF(S108&lt;&gt;"",SUMIFS(COMPRAS!$O$3:$O$4997,COMPRAS!$G$3:$G$4997,S108,COMPRAS!$D$3:$D$4997,$X$2,COMPRAS!$B$3:$B$4997,"&gt;="&amp;IF($C$4="",DATE(1900,1,1),$C$4),COMPRAS!$B$3:$B$4997,"&lt;="&amp;IF($F$4="",DATE(2999,12,31),$F$4)),0))</f>
        <v>0</v>
      </c>
    </row>
    <row r="109" customFormat="false" ht="15" hidden="false" customHeight="true" outlineLevel="0" collapsed="false">
      <c r="N109" s="1" t="n">
        <f aca="false">PROVEEDORES!A110</f>
        <v>0</v>
      </c>
      <c r="O109" s="1" t="n">
        <f aca="false">PROVEEDORES!B110</f>
        <v>0</v>
      </c>
      <c r="P109" s="1" t="n">
        <f aca="false">IF(N109&lt;&gt;"",SUMIFS(COMPRAS!$J$3:$J$4997,COMPRAS!$D$3:$D$4997,N109,COMPRAS!$B$3:$B$4997,"&gt;="&amp;IF($C$4="",DATE(1900,1,1),$C$4),COMPRAS!$B$3:$B$4997,"&lt;="&amp;IF($F$4="",DATE(2999,12,31),$F$4)),0)</f>
        <v>0</v>
      </c>
      <c r="Q109" s="1" t="n">
        <f aca="false">IF(N109&lt;&gt;"",SUMIFS(COMPRAS!$O$3:$O$4997,COMPRAS!$D$3:$D$4997,N109,COMPRAS!$B$3:$B$4997,"&gt;="&amp;IF($C$4="",DATE(1900,1,1),$C$4),COMPRAS!$B$3:$B$4997,"&lt;="&amp;IF($F$4="",DATE(2999,12,31),$F$4)),0)</f>
        <v>0</v>
      </c>
      <c r="S109" s="1" t="str">
        <f aca="false">PRODUCTOS!A110</f>
        <v>C142</v>
      </c>
      <c r="T109" s="1" t="str">
        <f aca="false">PRODUCTOS!B110</f>
        <v>MERLUZA EUROPEA VOLANTA ALTURA</v>
      </c>
      <c r="U109" s="1" t="n">
        <f aca="false">IF(S109&lt;&gt;"",SUMIFS(COMPRAS!$J$3:$J$4997,COMPRAS!$G$3:$G$4997,S109,COMPRAS!$B$3:$B$4997,"&gt;="&amp;IF($C$4="",DATE(1900,1,1),$C$4),COMPRAS!$B$3:$B$4997,"&lt;="&amp;IF($F$4="",DATE(2999,12,31),$F$4)),0)</f>
        <v>1914.5</v>
      </c>
      <c r="V109" s="1" t="n">
        <f aca="false">IF(S109&lt;&gt;"",SUMIFS(COMPRAS!$O$3:$O$4997,COMPRAS!$G$3:$G$4997,S109,COMPRAS!$B$3:$B$4997,"&gt;="&amp;IF($C$4="",DATE(1900,1,1),$C$4),COMPRAS!$B$3:$B$4997,"&lt;="&amp;IF($F$4="",DATE(2999,12,31),$F$4)),0)</f>
        <v>16611.44</v>
      </c>
      <c r="Y109" s="1" t="n">
        <f aca="false">IF($X$2="TODOS",U109,IF(S109&lt;&gt;"",SUMIFS(COMPRAS!$J$3:$J$4997,COMPRAS!$G$3:$G$4997,S109,COMPRAS!$D$3:$D$4997,$X$2,COMPRAS!$B$3:$B$4997,"&gt;="&amp;IF($C$4="",DATE(1900,1,1),$C$4),COMPRAS!$B$3:$B$4997,"&lt;="&amp;IF($F$4="",DATE(2999,12,31),$F$4)),0))</f>
        <v>1914.5</v>
      </c>
      <c r="Z109" s="1" t="n">
        <f aca="false">IF($X$2="TODOS",V109,IF(S109&lt;&gt;"",SUMIFS(COMPRAS!$O$3:$O$4997,COMPRAS!$G$3:$G$4997,S109,COMPRAS!$D$3:$D$4997,$X$2,COMPRAS!$B$3:$B$4997,"&gt;="&amp;IF($C$4="",DATE(1900,1,1),$C$4),COMPRAS!$B$3:$B$4997,"&lt;="&amp;IF($F$4="",DATE(2999,12,31),$F$4)),0))</f>
        <v>16611.44</v>
      </c>
    </row>
    <row r="110" customFormat="false" ht="15" hidden="false" customHeight="true" outlineLevel="0" collapsed="false">
      <c r="N110" s="1" t="n">
        <f aca="false">PROVEEDORES!A111</f>
        <v>0</v>
      </c>
      <c r="O110" s="1" t="n">
        <f aca="false">PROVEEDORES!B111</f>
        <v>0</v>
      </c>
      <c r="P110" s="1" t="n">
        <f aca="false">IF(N110&lt;&gt;"",SUMIFS(COMPRAS!$J$3:$J$4997,COMPRAS!$D$3:$D$4997,N110,COMPRAS!$B$3:$B$4997,"&gt;="&amp;IF($C$4="",DATE(1900,1,1),$C$4),COMPRAS!$B$3:$B$4997,"&lt;="&amp;IF($F$4="",DATE(2999,12,31),$F$4)),0)</f>
        <v>0</v>
      </c>
      <c r="Q110" s="1" t="n">
        <f aca="false">IF(N110&lt;&gt;"",SUMIFS(COMPRAS!$O$3:$O$4997,COMPRAS!$D$3:$D$4997,N110,COMPRAS!$B$3:$B$4997,"&gt;="&amp;IF($C$4="",DATE(1900,1,1),$C$4),COMPRAS!$B$3:$B$4997,"&lt;="&amp;IF($F$4="",DATE(2999,12,31),$F$4)),0)</f>
        <v>0</v>
      </c>
      <c r="S110" s="1" t="str">
        <f aca="false">PRODUCTOS!A111</f>
        <v>C1428</v>
      </c>
      <c r="T110" s="1" t="str">
        <f aca="false">PRODUCTOS!B111</f>
        <v>MERLUZA EUROPEA VOLANTA ALTURA</v>
      </c>
      <c r="U110" s="1" t="n">
        <f aca="false">IF(S110&lt;&gt;"",SUMIFS(COMPRAS!$J$3:$J$4997,COMPRAS!$G$3:$G$4997,S110,COMPRAS!$B$3:$B$4997,"&gt;="&amp;IF($C$4="",DATE(1900,1,1),$C$4),COMPRAS!$B$3:$B$4997,"&lt;="&amp;IF($F$4="",DATE(2999,12,31),$F$4)),0)</f>
        <v>0</v>
      </c>
      <c r="V110" s="1" t="n">
        <f aca="false">IF(S110&lt;&gt;"",SUMIFS(COMPRAS!$O$3:$O$4997,COMPRAS!$G$3:$G$4997,S110,COMPRAS!$B$3:$B$4997,"&gt;="&amp;IF($C$4="",DATE(1900,1,1),$C$4),COMPRAS!$B$3:$B$4997,"&lt;="&amp;IF($F$4="",DATE(2999,12,31),$F$4)),0)</f>
        <v>0</v>
      </c>
      <c r="Y110" s="1" t="n">
        <f aca="false">IF($X$2="TODOS",U110,IF(S110&lt;&gt;"",SUMIFS(COMPRAS!$J$3:$J$4997,COMPRAS!$G$3:$G$4997,S110,COMPRAS!$D$3:$D$4997,$X$2,COMPRAS!$B$3:$B$4997,"&gt;="&amp;IF($C$4="",DATE(1900,1,1),$C$4),COMPRAS!$B$3:$B$4997,"&lt;="&amp;IF($F$4="",DATE(2999,12,31),$F$4)),0))</f>
        <v>0</v>
      </c>
      <c r="Z110" s="1" t="n">
        <f aca="false">IF($X$2="TODOS",V110,IF(S110&lt;&gt;"",SUMIFS(COMPRAS!$O$3:$O$4997,COMPRAS!$G$3:$G$4997,S110,COMPRAS!$D$3:$D$4997,$X$2,COMPRAS!$B$3:$B$4997,"&gt;="&amp;IF($C$4="",DATE(1900,1,1),$C$4),COMPRAS!$B$3:$B$4997,"&lt;="&amp;IF($F$4="",DATE(2999,12,31),$F$4)),0))</f>
        <v>0</v>
      </c>
    </row>
    <row r="111" customFormat="false" ht="15" hidden="false" customHeight="true" outlineLevel="0" collapsed="false">
      <c r="N111" s="1" t="n">
        <f aca="false">PROVEEDORES!A112</f>
        <v>0</v>
      </c>
      <c r="O111" s="1" t="n">
        <f aca="false">PROVEEDORES!B112</f>
        <v>0</v>
      </c>
      <c r="P111" s="1" t="n">
        <f aca="false">IF(N111&lt;&gt;"",SUMIFS(COMPRAS!$J$3:$J$4997,COMPRAS!$D$3:$D$4997,N111,COMPRAS!$B$3:$B$4997,"&gt;="&amp;IF($C$4="",DATE(1900,1,1),$C$4),COMPRAS!$B$3:$B$4997,"&lt;="&amp;IF($F$4="",DATE(2999,12,31),$F$4)),0)</f>
        <v>0</v>
      </c>
      <c r="Q111" s="1" t="n">
        <f aca="false">IF(N111&lt;&gt;"",SUMIFS(COMPRAS!$O$3:$O$4997,COMPRAS!$D$3:$D$4997,N111,COMPRAS!$B$3:$B$4997,"&gt;="&amp;IF($C$4="",DATE(1900,1,1),$C$4),COMPRAS!$B$3:$B$4997,"&lt;="&amp;IF($F$4="",DATE(2999,12,31),$F$4)),0)</f>
        <v>0</v>
      </c>
      <c r="S111" s="1" t="str">
        <f aca="false">PRODUCTOS!A112</f>
        <v>C1421</v>
      </c>
      <c r="T111" s="1" t="str">
        <f aca="false">PRODUCTOS!B112</f>
        <v>MERLUZA EUROPEA VOLANTA ALTURA</v>
      </c>
      <c r="U111" s="1" t="n">
        <f aca="false">IF(S111&lt;&gt;"",SUMIFS(COMPRAS!$J$3:$J$4997,COMPRAS!$G$3:$G$4997,S111,COMPRAS!$B$3:$B$4997,"&gt;="&amp;IF($C$4="",DATE(1900,1,1),$C$4),COMPRAS!$B$3:$B$4997,"&lt;="&amp;IF($F$4="",DATE(2999,12,31),$F$4)),0)</f>
        <v>0</v>
      </c>
      <c r="V111" s="1" t="n">
        <f aca="false">IF(S111&lt;&gt;"",SUMIFS(COMPRAS!$O$3:$O$4997,COMPRAS!$G$3:$G$4997,S111,COMPRAS!$B$3:$B$4997,"&gt;="&amp;IF($C$4="",DATE(1900,1,1),$C$4),COMPRAS!$B$3:$B$4997,"&lt;="&amp;IF($F$4="",DATE(2999,12,31),$F$4)),0)</f>
        <v>0</v>
      </c>
      <c r="Y111" s="1" t="n">
        <f aca="false">IF($X$2="TODOS",U111,IF(S111&lt;&gt;"",SUMIFS(COMPRAS!$J$3:$J$4997,COMPRAS!$G$3:$G$4997,S111,COMPRAS!$D$3:$D$4997,$X$2,COMPRAS!$B$3:$B$4997,"&gt;="&amp;IF($C$4="",DATE(1900,1,1),$C$4),COMPRAS!$B$3:$B$4997,"&lt;="&amp;IF($F$4="",DATE(2999,12,31),$F$4)),0))</f>
        <v>0</v>
      </c>
      <c r="Z111" s="1" t="n">
        <f aca="false">IF($X$2="TODOS",V111,IF(S111&lt;&gt;"",SUMIFS(COMPRAS!$O$3:$O$4997,COMPRAS!$G$3:$G$4997,S111,COMPRAS!$D$3:$D$4997,$X$2,COMPRAS!$B$3:$B$4997,"&gt;="&amp;IF($C$4="",DATE(1900,1,1),$C$4),COMPRAS!$B$3:$B$4997,"&lt;="&amp;IF($F$4="",DATE(2999,12,31),$F$4)),0))</f>
        <v>0</v>
      </c>
    </row>
    <row r="112" customFormat="false" ht="15" hidden="false" customHeight="true" outlineLevel="0" collapsed="false">
      <c r="N112" s="1" t="n">
        <f aca="false">PROVEEDORES!A113</f>
        <v>0</v>
      </c>
      <c r="O112" s="1" t="n">
        <f aca="false">PROVEEDORES!B113</f>
        <v>0</v>
      </c>
      <c r="P112" s="1" t="n">
        <f aca="false">IF(N112&lt;&gt;"",SUMIFS(COMPRAS!$J$3:$J$4997,COMPRAS!$D$3:$D$4997,N112,COMPRAS!$B$3:$B$4997,"&gt;="&amp;IF($C$4="",DATE(1900,1,1),$C$4),COMPRAS!$B$3:$B$4997,"&lt;="&amp;IF($F$4="",DATE(2999,12,31),$F$4)),0)</f>
        <v>0</v>
      </c>
      <c r="Q112" s="1" t="n">
        <f aca="false">IF(N112&lt;&gt;"",SUMIFS(COMPRAS!$O$3:$O$4997,COMPRAS!$D$3:$D$4997,N112,COMPRAS!$B$3:$B$4997,"&gt;="&amp;IF($C$4="",DATE(1900,1,1),$C$4),COMPRAS!$B$3:$B$4997,"&lt;="&amp;IF($F$4="",DATE(2999,12,31),$F$4)),0)</f>
        <v>0</v>
      </c>
      <c r="S112" s="1" t="str">
        <f aca="false">PRODUCTOS!A113</f>
        <v>C1421+</v>
      </c>
      <c r="T112" s="1" t="str">
        <f aca="false">PRODUCTOS!B113</f>
        <v>MERLUZA EUROPEA VOLANTA ALTURA</v>
      </c>
      <c r="U112" s="1" t="n">
        <f aca="false">IF(S112&lt;&gt;"",SUMIFS(COMPRAS!$J$3:$J$4997,COMPRAS!$G$3:$G$4997,S112,COMPRAS!$B$3:$B$4997,"&gt;="&amp;IF($C$4="",DATE(1900,1,1),$C$4),COMPRAS!$B$3:$B$4997,"&lt;="&amp;IF($F$4="",DATE(2999,12,31),$F$4)),0)</f>
        <v>0</v>
      </c>
      <c r="V112" s="1" t="n">
        <f aca="false">IF(S112&lt;&gt;"",SUMIFS(COMPRAS!$O$3:$O$4997,COMPRAS!$G$3:$G$4997,S112,COMPRAS!$B$3:$B$4997,"&gt;="&amp;IF($C$4="",DATE(1900,1,1),$C$4),COMPRAS!$B$3:$B$4997,"&lt;="&amp;IF($F$4="",DATE(2999,12,31),$F$4)),0)</f>
        <v>0</v>
      </c>
      <c r="Y112" s="1" t="n">
        <f aca="false">IF($X$2="TODOS",U112,IF(S112&lt;&gt;"",SUMIFS(COMPRAS!$J$3:$J$4997,COMPRAS!$G$3:$G$4997,S112,COMPRAS!$D$3:$D$4997,$X$2,COMPRAS!$B$3:$B$4997,"&gt;="&amp;IF($C$4="",DATE(1900,1,1),$C$4),COMPRAS!$B$3:$B$4997,"&lt;="&amp;IF($F$4="",DATE(2999,12,31),$F$4)),0))</f>
        <v>0</v>
      </c>
      <c r="Z112" s="1" t="n">
        <f aca="false">IF($X$2="TODOS",V112,IF(S112&lt;&gt;"",SUMIFS(COMPRAS!$O$3:$O$4997,COMPRAS!$G$3:$G$4997,S112,COMPRAS!$D$3:$D$4997,$X$2,COMPRAS!$B$3:$B$4997,"&gt;="&amp;IF($C$4="",DATE(1900,1,1),$C$4),COMPRAS!$B$3:$B$4997,"&lt;="&amp;IF($F$4="",DATE(2999,12,31),$F$4)),0))</f>
        <v>0</v>
      </c>
    </row>
    <row r="113" customFormat="false" ht="15" hidden="false" customHeight="true" outlineLevel="0" collapsed="false">
      <c r="N113" s="1" t="n">
        <f aca="false">PROVEEDORES!A114</f>
        <v>0</v>
      </c>
      <c r="O113" s="1" t="n">
        <f aca="false">PROVEEDORES!B114</f>
        <v>0</v>
      </c>
      <c r="P113" s="1" t="n">
        <f aca="false">IF(N113&lt;&gt;"",SUMIFS(COMPRAS!$J$3:$J$4997,COMPRAS!$D$3:$D$4997,N113,COMPRAS!$B$3:$B$4997,"&gt;="&amp;IF($C$4="",DATE(1900,1,1),$C$4),COMPRAS!$B$3:$B$4997,"&lt;="&amp;IF($F$4="",DATE(2999,12,31),$F$4)),0)</f>
        <v>0</v>
      </c>
      <c r="Q113" s="1" t="n">
        <f aca="false">IF(N113&lt;&gt;"",SUMIFS(COMPRAS!$O$3:$O$4997,COMPRAS!$D$3:$D$4997,N113,COMPRAS!$B$3:$B$4997,"&gt;="&amp;IF($C$4="",DATE(1900,1,1),$C$4),COMPRAS!$B$3:$B$4997,"&lt;="&amp;IF($F$4="",DATE(2999,12,31),$F$4)),0)</f>
        <v>0</v>
      </c>
      <c r="S113" s="1" t="str">
        <f aca="false">PRODUCTOS!A114</f>
        <v>C14215</v>
      </c>
      <c r="T113" s="1" t="str">
        <f aca="false">PRODUCTOS!B114</f>
        <v>MERLUZA EUROPEA VOLANTA ALTURA</v>
      </c>
      <c r="U113" s="1" t="n">
        <f aca="false">IF(S113&lt;&gt;"",SUMIFS(COMPRAS!$J$3:$J$4997,COMPRAS!$G$3:$G$4997,S113,COMPRAS!$B$3:$B$4997,"&gt;="&amp;IF($C$4="",DATE(1900,1,1),$C$4),COMPRAS!$B$3:$B$4997,"&lt;="&amp;IF($F$4="",DATE(2999,12,31),$F$4)),0)</f>
        <v>0</v>
      </c>
      <c r="V113" s="1" t="n">
        <f aca="false">IF(S113&lt;&gt;"",SUMIFS(COMPRAS!$O$3:$O$4997,COMPRAS!$G$3:$G$4997,S113,COMPRAS!$B$3:$B$4997,"&gt;="&amp;IF($C$4="",DATE(1900,1,1),$C$4),COMPRAS!$B$3:$B$4997,"&lt;="&amp;IF($F$4="",DATE(2999,12,31),$F$4)),0)</f>
        <v>0</v>
      </c>
      <c r="Y113" s="1" t="n">
        <f aca="false">IF($X$2="TODOS",U113,IF(S113&lt;&gt;"",SUMIFS(COMPRAS!$J$3:$J$4997,COMPRAS!$G$3:$G$4997,S113,COMPRAS!$D$3:$D$4997,$X$2,COMPRAS!$B$3:$B$4997,"&gt;="&amp;IF($C$4="",DATE(1900,1,1),$C$4),COMPRAS!$B$3:$B$4997,"&lt;="&amp;IF($F$4="",DATE(2999,12,31),$F$4)),0))</f>
        <v>0</v>
      </c>
      <c r="Z113" s="1" t="n">
        <f aca="false">IF($X$2="TODOS",V113,IF(S113&lt;&gt;"",SUMIFS(COMPRAS!$O$3:$O$4997,COMPRAS!$G$3:$G$4997,S113,COMPRAS!$D$3:$D$4997,$X$2,COMPRAS!$B$3:$B$4997,"&gt;="&amp;IF($C$4="",DATE(1900,1,1),$C$4),COMPRAS!$B$3:$B$4997,"&lt;="&amp;IF($F$4="",DATE(2999,12,31),$F$4)),0))</f>
        <v>0</v>
      </c>
    </row>
    <row r="114" customFormat="false" ht="15" hidden="false" customHeight="true" outlineLevel="0" collapsed="false">
      <c r="N114" s="1" t="n">
        <f aca="false">PROVEEDORES!A115</f>
        <v>0</v>
      </c>
      <c r="O114" s="1" t="n">
        <f aca="false">PROVEEDORES!B115</f>
        <v>0</v>
      </c>
      <c r="P114" s="1" t="n">
        <f aca="false">IF(N114&lt;&gt;"",SUMIFS(COMPRAS!$J$3:$J$4997,COMPRAS!$D$3:$D$4997,N114,COMPRAS!$B$3:$B$4997,"&gt;="&amp;IF($C$4="",DATE(1900,1,1),$C$4),COMPRAS!$B$3:$B$4997,"&lt;="&amp;IF($F$4="",DATE(2999,12,31),$F$4)),0)</f>
        <v>0</v>
      </c>
      <c r="Q114" s="1" t="n">
        <f aca="false">IF(N114&lt;&gt;"",SUMIFS(COMPRAS!$O$3:$O$4997,COMPRAS!$D$3:$D$4997,N114,COMPRAS!$B$3:$B$4997,"&gt;="&amp;IF($C$4="",DATE(1900,1,1),$C$4),COMPRAS!$B$3:$B$4997,"&lt;="&amp;IF($F$4="",DATE(2999,12,31),$F$4)),0)</f>
        <v>0</v>
      </c>
      <c r="S114" s="1" t="str">
        <f aca="false">PRODUCTOS!A115</f>
        <v>C1422</v>
      </c>
      <c r="T114" s="1" t="str">
        <f aca="false">PRODUCTOS!B115</f>
        <v>MERLUZA EUROPEA VOLANTA ALTURA</v>
      </c>
      <c r="U114" s="1" t="n">
        <f aca="false">IF(S114&lt;&gt;"",SUMIFS(COMPRAS!$J$3:$J$4997,COMPRAS!$G$3:$G$4997,S114,COMPRAS!$B$3:$B$4997,"&gt;="&amp;IF($C$4="",DATE(1900,1,1),$C$4),COMPRAS!$B$3:$B$4997,"&lt;="&amp;IF($F$4="",DATE(2999,12,31),$F$4)),0)</f>
        <v>0</v>
      </c>
      <c r="V114" s="1" t="n">
        <f aca="false">IF(S114&lt;&gt;"",SUMIFS(COMPRAS!$O$3:$O$4997,COMPRAS!$G$3:$G$4997,S114,COMPRAS!$B$3:$B$4997,"&gt;="&amp;IF($C$4="",DATE(1900,1,1),$C$4),COMPRAS!$B$3:$B$4997,"&lt;="&amp;IF($F$4="",DATE(2999,12,31),$F$4)),0)</f>
        <v>0</v>
      </c>
      <c r="Y114" s="1" t="n">
        <f aca="false">IF($X$2="TODOS",U114,IF(S114&lt;&gt;"",SUMIFS(COMPRAS!$J$3:$J$4997,COMPRAS!$G$3:$G$4997,S114,COMPRAS!$D$3:$D$4997,$X$2,COMPRAS!$B$3:$B$4997,"&gt;="&amp;IF($C$4="",DATE(1900,1,1),$C$4),COMPRAS!$B$3:$B$4997,"&lt;="&amp;IF($F$4="",DATE(2999,12,31),$F$4)),0))</f>
        <v>0</v>
      </c>
      <c r="Z114" s="1" t="n">
        <f aca="false">IF($X$2="TODOS",V114,IF(S114&lt;&gt;"",SUMIFS(COMPRAS!$O$3:$O$4997,COMPRAS!$G$3:$G$4997,S114,COMPRAS!$D$3:$D$4997,$X$2,COMPRAS!$B$3:$B$4997,"&gt;="&amp;IF($C$4="",DATE(1900,1,1),$C$4),COMPRAS!$B$3:$B$4997,"&lt;="&amp;IF($F$4="",DATE(2999,12,31),$F$4)),0))</f>
        <v>0</v>
      </c>
    </row>
    <row r="115" customFormat="false" ht="15" hidden="false" customHeight="true" outlineLevel="0" collapsed="false">
      <c r="N115" s="1" t="n">
        <f aca="false">PROVEEDORES!A116</f>
        <v>0</v>
      </c>
      <c r="O115" s="1" t="n">
        <f aca="false">PROVEEDORES!B116</f>
        <v>0</v>
      </c>
      <c r="P115" s="1" t="n">
        <f aca="false">IF(N115&lt;&gt;"",SUMIFS(COMPRAS!$J$3:$J$4997,COMPRAS!$D$3:$D$4997,N115,COMPRAS!$B$3:$B$4997,"&gt;="&amp;IF($C$4="",DATE(1900,1,1),$C$4),COMPRAS!$B$3:$B$4997,"&lt;="&amp;IF($F$4="",DATE(2999,12,31),$F$4)),0)</f>
        <v>0</v>
      </c>
      <c r="Q115" s="1" t="n">
        <f aca="false">IF(N115&lt;&gt;"",SUMIFS(COMPRAS!$O$3:$O$4997,COMPRAS!$D$3:$D$4997,N115,COMPRAS!$B$3:$B$4997,"&gt;="&amp;IF($C$4="",DATE(1900,1,1),$C$4),COMPRAS!$B$3:$B$4997,"&lt;="&amp;IF($F$4="",DATE(2999,12,31),$F$4)),0)</f>
        <v>0</v>
      </c>
      <c r="S115" s="1" t="str">
        <f aca="false">PRODUCTOS!A116</f>
        <v>C14225</v>
      </c>
      <c r="T115" s="1" t="str">
        <f aca="false">PRODUCTOS!B116</f>
        <v>MERLUZA EUROPEA VOLANTA ALTURA</v>
      </c>
      <c r="U115" s="1" t="n">
        <f aca="false">IF(S115&lt;&gt;"",SUMIFS(COMPRAS!$J$3:$J$4997,COMPRAS!$G$3:$G$4997,S115,COMPRAS!$B$3:$B$4997,"&gt;="&amp;IF($C$4="",DATE(1900,1,1),$C$4),COMPRAS!$B$3:$B$4997,"&lt;="&amp;IF($F$4="",DATE(2999,12,31),$F$4)),0)</f>
        <v>0</v>
      </c>
      <c r="V115" s="1" t="n">
        <f aca="false">IF(S115&lt;&gt;"",SUMIFS(COMPRAS!$O$3:$O$4997,COMPRAS!$G$3:$G$4997,S115,COMPRAS!$B$3:$B$4997,"&gt;="&amp;IF($C$4="",DATE(1900,1,1),$C$4),COMPRAS!$B$3:$B$4997,"&lt;="&amp;IF($F$4="",DATE(2999,12,31),$F$4)),0)</f>
        <v>0</v>
      </c>
      <c r="Y115" s="1" t="n">
        <f aca="false">IF($X$2="TODOS",U115,IF(S115&lt;&gt;"",SUMIFS(COMPRAS!$J$3:$J$4997,COMPRAS!$G$3:$G$4997,S115,COMPRAS!$D$3:$D$4997,$X$2,COMPRAS!$B$3:$B$4997,"&gt;="&amp;IF($C$4="",DATE(1900,1,1),$C$4),COMPRAS!$B$3:$B$4997,"&lt;="&amp;IF($F$4="",DATE(2999,12,31),$F$4)),0))</f>
        <v>0</v>
      </c>
      <c r="Z115" s="1" t="n">
        <f aca="false">IF($X$2="TODOS",V115,IF(S115&lt;&gt;"",SUMIFS(COMPRAS!$O$3:$O$4997,COMPRAS!$G$3:$G$4997,S115,COMPRAS!$D$3:$D$4997,$X$2,COMPRAS!$B$3:$B$4997,"&gt;="&amp;IF($C$4="",DATE(1900,1,1),$C$4),COMPRAS!$B$3:$B$4997,"&lt;="&amp;IF($F$4="",DATE(2999,12,31),$F$4)),0))</f>
        <v>0</v>
      </c>
    </row>
    <row r="116" customFormat="false" ht="15" hidden="false" customHeight="true" outlineLevel="0" collapsed="false">
      <c r="N116" s="1" t="n">
        <f aca="false">PROVEEDORES!A117</f>
        <v>0</v>
      </c>
      <c r="O116" s="1" t="n">
        <f aca="false">PROVEEDORES!B117</f>
        <v>0</v>
      </c>
      <c r="P116" s="1" t="n">
        <f aca="false">IF(N116&lt;&gt;"",SUMIFS(COMPRAS!$J$3:$J$4997,COMPRAS!$D$3:$D$4997,N116,COMPRAS!$B$3:$B$4997,"&gt;="&amp;IF($C$4="",DATE(1900,1,1),$C$4),COMPRAS!$B$3:$B$4997,"&lt;="&amp;IF($F$4="",DATE(2999,12,31),$F$4)),0)</f>
        <v>0</v>
      </c>
      <c r="Q116" s="1" t="n">
        <f aca="false">IF(N116&lt;&gt;"",SUMIFS(COMPRAS!$O$3:$O$4997,COMPRAS!$D$3:$D$4997,N116,COMPRAS!$B$3:$B$4997,"&gt;="&amp;IF($C$4="",DATE(1900,1,1),$C$4),COMPRAS!$B$3:$B$4997,"&lt;="&amp;IF($F$4="",DATE(2999,12,31),$F$4)),0)</f>
        <v>0</v>
      </c>
      <c r="S116" s="1" t="str">
        <f aca="false">PRODUCTOS!A117</f>
        <v>C14230</v>
      </c>
      <c r="T116" s="1" t="str">
        <f aca="false">PRODUCTOS!B117</f>
        <v>MERLUZA EUROPEA VOLANTA ALTURA</v>
      </c>
      <c r="U116" s="1" t="n">
        <f aca="false">IF(S116&lt;&gt;"",SUMIFS(COMPRAS!$J$3:$J$4997,COMPRAS!$G$3:$G$4997,S116,COMPRAS!$B$3:$B$4997,"&gt;="&amp;IF($C$4="",DATE(1900,1,1),$C$4),COMPRAS!$B$3:$B$4997,"&lt;="&amp;IF($F$4="",DATE(2999,12,31),$F$4)),0)</f>
        <v>0</v>
      </c>
      <c r="V116" s="1" t="n">
        <f aca="false">IF(S116&lt;&gt;"",SUMIFS(COMPRAS!$O$3:$O$4997,COMPRAS!$G$3:$G$4997,S116,COMPRAS!$B$3:$B$4997,"&gt;="&amp;IF($C$4="",DATE(1900,1,1),$C$4),COMPRAS!$B$3:$B$4997,"&lt;="&amp;IF($F$4="",DATE(2999,12,31),$F$4)),0)</f>
        <v>0</v>
      </c>
      <c r="Y116" s="1" t="n">
        <f aca="false">IF($X$2="TODOS",U116,IF(S116&lt;&gt;"",SUMIFS(COMPRAS!$J$3:$J$4997,COMPRAS!$G$3:$G$4997,S116,COMPRAS!$D$3:$D$4997,$X$2,COMPRAS!$B$3:$B$4997,"&gt;="&amp;IF($C$4="",DATE(1900,1,1),$C$4),COMPRAS!$B$3:$B$4997,"&lt;="&amp;IF($F$4="",DATE(2999,12,31),$F$4)),0))</f>
        <v>0</v>
      </c>
      <c r="Z116" s="1" t="n">
        <f aca="false">IF($X$2="TODOS",V116,IF(S116&lt;&gt;"",SUMIFS(COMPRAS!$O$3:$O$4997,COMPRAS!$G$3:$G$4997,S116,COMPRAS!$D$3:$D$4997,$X$2,COMPRAS!$B$3:$B$4997,"&gt;="&amp;IF($C$4="",DATE(1900,1,1),$C$4),COMPRAS!$B$3:$B$4997,"&lt;="&amp;IF($F$4="",DATE(2999,12,31),$F$4)),0))</f>
        <v>0</v>
      </c>
    </row>
    <row r="117" customFormat="false" ht="15" hidden="false" customHeight="true" outlineLevel="0" collapsed="false">
      <c r="N117" s="1" t="n">
        <f aca="false">PROVEEDORES!A118</f>
        <v>0</v>
      </c>
      <c r="O117" s="1" t="n">
        <f aca="false">PROVEEDORES!B118</f>
        <v>0</v>
      </c>
      <c r="P117" s="1" t="n">
        <f aca="false">IF(N117&lt;&gt;"",SUMIFS(COMPRAS!$J$3:$J$4997,COMPRAS!$D$3:$D$4997,N117,COMPRAS!$B$3:$B$4997,"&gt;="&amp;IF($C$4="",DATE(1900,1,1),$C$4),COMPRAS!$B$3:$B$4997,"&lt;="&amp;IF($F$4="",DATE(2999,12,31),$F$4)),0)</f>
        <v>0</v>
      </c>
      <c r="Q117" s="1" t="n">
        <f aca="false">IF(N117&lt;&gt;"",SUMIFS(COMPRAS!$O$3:$O$4997,COMPRAS!$D$3:$D$4997,N117,COMPRAS!$B$3:$B$4997,"&gt;="&amp;IF($C$4="",DATE(1900,1,1),$C$4),COMPRAS!$B$3:$B$4997,"&lt;="&amp;IF($F$4="",DATE(2999,12,31),$F$4)),0)</f>
        <v>0</v>
      </c>
      <c r="S117" s="1" t="str">
        <f aca="false">PRODUCTOS!A118</f>
        <v>C751</v>
      </c>
      <c r="T117" s="1" t="str">
        <f aca="false">PRODUCTOS!B118</f>
        <v>MERO AMERICANO/ CHERNA (WRF)</v>
      </c>
      <c r="U117" s="1" t="n">
        <f aca="false">IF(S117&lt;&gt;"",SUMIFS(COMPRAS!$J$3:$J$4997,COMPRAS!$G$3:$G$4997,S117,COMPRAS!$B$3:$B$4997,"&gt;="&amp;IF($C$4="",DATE(1900,1,1),$C$4),COMPRAS!$B$3:$B$4997,"&lt;="&amp;IF($F$4="",DATE(2999,12,31),$F$4)),0)</f>
        <v>31.4</v>
      </c>
      <c r="V117" s="1" t="n">
        <f aca="false">IF(S117&lt;&gt;"",SUMIFS(COMPRAS!$O$3:$O$4997,COMPRAS!$G$3:$G$4997,S117,COMPRAS!$B$3:$B$4997,"&gt;="&amp;IF($C$4="",DATE(1900,1,1),$C$4),COMPRAS!$B$3:$B$4997,"&lt;="&amp;IF($F$4="",DATE(2999,12,31),$F$4)),0)</f>
        <v>800.7</v>
      </c>
      <c r="Y117" s="1" t="n">
        <f aca="false">IF($X$2="TODOS",U117,IF(S117&lt;&gt;"",SUMIFS(COMPRAS!$J$3:$J$4997,COMPRAS!$G$3:$G$4997,S117,COMPRAS!$D$3:$D$4997,$X$2,COMPRAS!$B$3:$B$4997,"&gt;="&amp;IF($C$4="",DATE(1900,1,1),$C$4),COMPRAS!$B$3:$B$4997,"&lt;="&amp;IF($F$4="",DATE(2999,12,31),$F$4)),0))</f>
        <v>31.4</v>
      </c>
      <c r="Z117" s="1" t="n">
        <f aca="false">IF($X$2="TODOS",V117,IF(S117&lt;&gt;"",SUMIFS(COMPRAS!$O$3:$O$4997,COMPRAS!$G$3:$G$4997,S117,COMPRAS!$D$3:$D$4997,$X$2,COMPRAS!$B$3:$B$4997,"&gt;="&amp;IF($C$4="",DATE(1900,1,1),$C$4),COMPRAS!$B$3:$B$4997,"&lt;="&amp;IF($F$4="",DATE(2999,12,31),$F$4)),0))</f>
        <v>800.7</v>
      </c>
    </row>
    <row r="118" customFormat="false" ht="15" hidden="false" customHeight="true" outlineLevel="0" collapsed="false">
      <c r="N118" s="1" t="n">
        <f aca="false">PROVEEDORES!A119</f>
        <v>0</v>
      </c>
      <c r="O118" s="1" t="n">
        <f aca="false">PROVEEDORES!B119</f>
        <v>0</v>
      </c>
      <c r="P118" s="1" t="n">
        <f aca="false">IF(N118&lt;&gt;"",SUMIFS(COMPRAS!$J$3:$J$4997,COMPRAS!$D$3:$D$4997,N118,COMPRAS!$B$3:$B$4997,"&gt;="&amp;IF($C$4="",DATE(1900,1,1),$C$4),COMPRAS!$B$3:$B$4997,"&lt;="&amp;IF($F$4="",DATE(2999,12,31),$F$4)),0)</f>
        <v>0</v>
      </c>
      <c r="Q118" s="1" t="n">
        <f aca="false">IF(N118&lt;&gt;"",SUMIFS(COMPRAS!$O$3:$O$4997,COMPRAS!$D$3:$D$4997,N118,COMPRAS!$B$3:$B$4997,"&gt;="&amp;IF($C$4="",DATE(1900,1,1),$C$4),COMPRAS!$B$3:$B$4997,"&lt;="&amp;IF($F$4="",DATE(2999,12,31),$F$4)),0)</f>
        <v>0</v>
      </c>
      <c r="S118" s="1" t="str">
        <f aca="false">PRODUCTOS!A119</f>
        <v>C752</v>
      </c>
      <c r="T118" s="1" t="str">
        <f aca="false">PRODUCTOS!B119</f>
        <v>MERO AMERICANO (WRF)</v>
      </c>
      <c r="U118" s="1" t="n">
        <f aca="false">IF(S118&lt;&gt;"",SUMIFS(COMPRAS!$J$3:$J$4997,COMPRAS!$G$3:$G$4997,S118,COMPRAS!$B$3:$B$4997,"&gt;="&amp;IF($C$4="",DATE(1900,1,1),$C$4),COMPRAS!$B$3:$B$4997,"&lt;="&amp;IF($F$4="",DATE(2999,12,31),$F$4)),0)</f>
        <v>0</v>
      </c>
      <c r="V118" s="1" t="n">
        <f aca="false">IF(S118&lt;&gt;"",SUMIFS(COMPRAS!$O$3:$O$4997,COMPRAS!$G$3:$G$4997,S118,COMPRAS!$B$3:$B$4997,"&gt;="&amp;IF($C$4="",DATE(1900,1,1),$C$4),COMPRAS!$B$3:$B$4997,"&lt;="&amp;IF($F$4="",DATE(2999,12,31),$F$4)),0)</f>
        <v>0</v>
      </c>
      <c r="Y118" s="1" t="n">
        <f aca="false">IF($X$2="TODOS",U118,IF(S118&lt;&gt;"",SUMIFS(COMPRAS!$J$3:$J$4997,COMPRAS!$G$3:$G$4997,S118,COMPRAS!$D$3:$D$4997,$X$2,COMPRAS!$B$3:$B$4997,"&gt;="&amp;IF($C$4="",DATE(1900,1,1),$C$4),COMPRAS!$B$3:$B$4997,"&lt;="&amp;IF($F$4="",DATE(2999,12,31),$F$4)),0))</f>
        <v>0</v>
      </c>
      <c r="Z118" s="1" t="n">
        <f aca="false">IF($X$2="TODOS",V118,IF(S118&lt;&gt;"",SUMIFS(COMPRAS!$O$3:$O$4997,COMPRAS!$G$3:$G$4997,S118,COMPRAS!$D$3:$D$4997,$X$2,COMPRAS!$B$3:$B$4997,"&gt;="&amp;IF($C$4="",DATE(1900,1,1),$C$4),COMPRAS!$B$3:$B$4997,"&lt;="&amp;IF($F$4="",DATE(2999,12,31),$F$4)),0))</f>
        <v>0</v>
      </c>
    </row>
    <row r="119" customFormat="false" ht="15" hidden="false" customHeight="true" outlineLevel="0" collapsed="false">
      <c r="N119" s="1" t="n">
        <f aca="false">PROVEEDORES!A120</f>
        <v>0</v>
      </c>
      <c r="O119" s="1" t="n">
        <f aca="false">PROVEEDORES!B120</f>
        <v>0</v>
      </c>
      <c r="P119" s="1" t="n">
        <f aca="false">IF(N119&lt;&gt;"",SUMIFS(COMPRAS!$J$3:$J$4997,COMPRAS!$D$3:$D$4997,N119,COMPRAS!$B$3:$B$4997,"&gt;="&amp;IF($C$4="",DATE(1900,1,1),$C$4),COMPRAS!$B$3:$B$4997,"&lt;="&amp;IF($F$4="",DATE(2999,12,31),$F$4)),0)</f>
        <v>0</v>
      </c>
      <c r="Q119" s="1" t="n">
        <f aca="false">IF(N119&lt;&gt;"",SUMIFS(COMPRAS!$O$3:$O$4997,COMPRAS!$D$3:$D$4997,N119,COMPRAS!$B$3:$B$4997,"&gt;="&amp;IF($C$4="",DATE(1900,1,1),$C$4),COMPRAS!$B$3:$B$4997,"&lt;="&amp;IF($F$4="",DATE(2999,12,31),$F$4)),0)</f>
        <v>0</v>
      </c>
      <c r="S119" s="1" t="str">
        <f aca="false">PRODUCTOS!A120</f>
        <v>C750</v>
      </c>
      <c r="T119" s="1" t="str">
        <f aca="false">PRODUCTOS!B120</f>
        <v>MERO COMUN GENERICO (GPX)</v>
      </c>
      <c r="U119" s="1" t="n">
        <f aca="false">IF(S119&lt;&gt;"",SUMIFS(COMPRAS!$J$3:$J$4997,COMPRAS!$G$3:$G$4997,S119,COMPRAS!$B$3:$B$4997,"&gt;="&amp;IF($C$4="",DATE(1900,1,1),$C$4),COMPRAS!$B$3:$B$4997,"&lt;="&amp;IF($F$4="",DATE(2999,12,31),$F$4)),0)</f>
        <v>19.1</v>
      </c>
      <c r="V119" s="1" t="n">
        <f aca="false">IF(S119&lt;&gt;"",SUMIFS(COMPRAS!$O$3:$O$4997,COMPRAS!$G$3:$G$4997,S119,COMPRAS!$B$3:$B$4997,"&gt;="&amp;IF($C$4="",DATE(1900,1,1),$C$4),COMPRAS!$B$3:$B$4997,"&lt;="&amp;IF($F$4="",DATE(2999,12,31),$F$4)),0)</f>
        <v>473.68</v>
      </c>
      <c r="Y119" s="1" t="n">
        <f aca="false">IF($X$2="TODOS",U119,IF(S119&lt;&gt;"",SUMIFS(COMPRAS!$J$3:$J$4997,COMPRAS!$G$3:$G$4997,S119,COMPRAS!$D$3:$D$4997,$X$2,COMPRAS!$B$3:$B$4997,"&gt;="&amp;IF($C$4="",DATE(1900,1,1),$C$4),COMPRAS!$B$3:$B$4997,"&lt;="&amp;IF($F$4="",DATE(2999,12,31),$F$4)),0))</f>
        <v>19.1</v>
      </c>
      <c r="Z119" s="1" t="n">
        <f aca="false">IF($X$2="TODOS",V119,IF(S119&lt;&gt;"",SUMIFS(COMPRAS!$O$3:$O$4997,COMPRAS!$G$3:$G$4997,S119,COMPRAS!$D$3:$D$4997,$X$2,COMPRAS!$B$3:$B$4997,"&gt;="&amp;IF($C$4="",DATE(1900,1,1),$C$4),COMPRAS!$B$3:$B$4997,"&lt;="&amp;IF($F$4="",DATE(2999,12,31),$F$4)),0))</f>
        <v>473.68</v>
      </c>
    </row>
    <row r="120" customFormat="false" ht="15" hidden="false" customHeight="true" outlineLevel="0" collapsed="false">
      <c r="N120" s="1" t="n">
        <f aca="false">PROVEEDORES!A121</f>
        <v>0</v>
      </c>
      <c r="O120" s="1" t="n">
        <f aca="false">PROVEEDORES!B121</f>
        <v>0</v>
      </c>
      <c r="P120" s="1" t="n">
        <f aca="false">IF(N120&lt;&gt;"",SUMIFS(COMPRAS!$J$3:$J$4997,COMPRAS!$D$3:$D$4997,N120,COMPRAS!$B$3:$B$4997,"&gt;="&amp;IF($C$4="",DATE(1900,1,1),$C$4),COMPRAS!$B$3:$B$4997,"&lt;="&amp;IF($F$4="",DATE(2999,12,31),$F$4)),0)</f>
        <v>0</v>
      </c>
      <c r="Q120" s="1" t="n">
        <f aca="false">IF(N120&lt;&gt;"",SUMIFS(COMPRAS!$O$3:$O$4997,COMPRAS!$D$3:$D$4997,N120,COMPRAS!$B$3:$B$4997,"&gt;="&amp;IF($C$4="",DATE(1900,1,1),$C$4),COMPRAS!$B$3:$B$4997,"&lt;="&amp;IF($F$4="",DATE(2999,12,31),$F$4)),0)</f>
        <v>0</v>
      </c>
      <c r="S120" s="1" t="str">
        <f aca="false">PRODUCTOS!A121</f>
        <v>C4081</v>
      </c>
      <c r="T120" s="1" t="str">
        <f aca="false">PRODUCTOS!B121</f>
        <v>MORENA COMIN (MMH)</v>
      </c>
      <c r="U120" s="1" t="n">
        <f aca="false">IF(S120&lt;&gt;"",SUMIFS(COMPRAS!$J$3:$J$4997,COMPRAS!$G$3:$G$4997,S120,COMPRAS!$B$3:$B$4997,"&gt;="&amp;IF($C$4="",DATE(1900,1,1),$C$4),COMPRAS!$B$3:$B$4997,"&lt;="&amp;IF($F$4="",DATE(2999,12,31),$F$4)),0)</f>
        <v>0</v>
      </c>
      <c r="V120" s="1" t="n">
        <f aca="false">IF(S120&lt;&gt;"",SUMIFS(COMPRAS!$O$3:$O$4997,COMPRAS!$G$3:$G$4997,S120,COMPRAS!$B$3:$B$4997,"&gt;="&amp;IF($C$4="",DATE(1900,1,1),$C$4),COMPRAS!$B$3:$B$4997,"&lt;="&amp;IF($F$4="",DATE(2999,12,31),$F$4)),0)</f>
        <v>0</v>
      </c>
      <c r="Y120" s="1" t="n">
        <f aca="false">IF($X$2="TODOS",U120,IF(S120&lt;&gt;"",SUMIFS(COMPRAS!$J$3:$J$4997,COMPRAS!$G$3:$G$4997,S120,COMPRAS!$D$3:$D$4997,$X$2,COMPRAS!$B$3:$B$4997,"&gt;="&amp;IF($C$4="",DATE(1900,1,1),$C$4),COMPRAS!$B$3:$B$4997,"&lt;="&amp;IF($F$4="",DATE(2999,12,31),$F$4)),0))</f>
        <v>0</v>
      </c>
      <c r="Z120" s="1" t="n">
        <f aca="false">IF($X$2="TODOS",V120,IF(S120&lt;&gt;"",SUMIFS(COMPRAS!$O$3:$O$4997,COMPRAS!$G$3:$G$4997,S120,COMPRAS!$D$3:$D$4997,$X$2,COMPRAS!$B$3:$B$4997,"&gt;="&amp;IF($C$4="",DATE(1900,1,1),$C$4),COMPRAS!$B$3:$B$4997,"&lt;="&amp;IF($F$4="",DATE(2999,12,31),$F$4)),0))</f>
        <v>0</v>
      </c>
    </row>
    <row r="121" customFormat="false" ht="15" hidden="false" customHeight="true" outlineLevel="0" collapsed="false">
      <c r="N121" s="1" t="n">
        <f aca="false">PROVEEDORES!A122</f>
        <v>0</v>
      </c>
      <c r="O121" s="1" t="n">
        <f aca="false">PROVEEDORES!B122</f>
        <v>0</v>
      </c>
      <c r="P121" s="1" t="n">
        <f aca="false">IF(N121&lt;&gt;"",SUMIFS(COMPRAS!$J$3:$J$4997,COMPRAS!$D$3:$D$4997,N121,COMPRAS!$B$3:$B$4997,"&gt;="&amp;IF($C$4="",DATE(1900,1,1),$C$4),COMPRAS!$B$3:$B$4997,"&lt;="&amp;IF($F$4="",DATE(2999,12,31),$F$4)),0)</f>
        <v>0</v>
      </c>
      <c r="Q121" s="1" t="n">
        <f aca="false">IF(N121&lt;&gt;"",SUMIFS(COMPRAS!$O$3:$O$4997,COMPRAS!$D$3:$D$4997,N121,COMPRAS!$B$3:$B$4997,"&gt;="&amp;IF($C$4="",DATE(1900,1,1),$C$4),COMPRAS!$B$3:$B$4997,"&lt;="&amp;IF($F$4="",DATE(2999,12,31),$F$4)),0)</f>
        <v>0</v>
      </c>
      <c r="S121" s="1" t="str">
        <f aca="false">PRODUCTOS!A122</f>
        <v>C675</v>
      </c>
      <c r="T121" s="1" t="str">
        <f aca="false">PRODUCTOS!B122</f>
        <v>MUJEL/ MUGIL/ MUNXE/ MUXE (MUF)</v>
      </c>
      <c r="U121" s="1" t="n">
        <f aca="false">IF(S121&lt;&gt;"",SUMIFS(COMPRAS!$J$3:$J$4997,COMPRAS!$G$3:$G$4997,S121,COMPRAS!$B$3:$B$4997,"&gt;="&amp;IF($C$4="",DATE(1900,1,1),$C$4),COMPRAS!$B$3:$B$4997,"&lt;="&amp;IF($F$4="",DATE(2999,12,31),$F$4)),0)</f>
        <v>0</v>
      </c>
      <c r="V121" s="1" t="n">
        <f aca="false">IF(S121&lt;&gt;"",SUMIFS(COMPRAS!$O$3:$O$4997,COMPRAS!$G$3:$G$4997,S121,COMPRAS!$B$3:$B$4997,"&gt;="&amp;IF($C$4="",DATE(1900,1,1),$C$4),COMPRAS!$B$3:$B$4997,"&lt;="&amp;IF($F$4="",DATE(2999,12,31),$F$4)),0)</f>
        <v>0</v>
      </c>
      <c r="Y121" s="1" t="n">
        <f aca="false">IF($X$2="TODOS",U121,IF(S121&lt;&gt;"",SUMIFS(COMPRAS!$J$3:$J$4997,COMPRAS!$G$3:$G$4997,S121,COMPRAS!$D$3:$D$4997,$X$2,COMPRAS!$B$3:$B$4997,"&gt;="&amp;IF($C$4="",DATE(1900,1,1),$C$4),COMPRAS!$B$3:$B$4997,"&lt;="&amp;IF($F$4="",DATE(2999,12,31),$F$4)),0))</f>
        <v>0</v>
      </c>
      <c r="Z121" s="1" t="n">
        <f aca="false">IF($X$2="TODOS",V121,IF(S121&lt;&gt;"",SUMIFS(COMPRAS!$O$3:$O$4997,COMPRAS!$G$3:$G$4997,S121,COMPRAS!$D$3:$D$4997,$X$2,COMPRAS!$B$3:$B$4997,"&gt;="&amp;IF($C$4="",DATE(1900,1,1),$C$4),COMPRAS!$B$3:$B$4997,"&lt;="&amp;IF($F$4="",DATE(2999,12,31),$F$4)),0))</f>
        <v>0</v>
      </c>
    </row>
    <row r="122" customFormat="false" ht="15" hidden="false" customHeight="true" outlineLevel="0" collapsed="false">
      <c r="N122" s="1" t="n">
        <f aca="false">PROVEEDORES!A123</f>
        <v>0</v>
      </c>
      <c r="O122" s="1" t="n">
        <f aca="false">PROVEEDORES!B123</f>
        <v>0</v>
      </c>
      <c r="P122" s="1" t="n">
        <f aca="false">IF(N122&lt;&gt;"",SUMIFS(COMPRAS!$J$3:$J$4997,COMPRAS!$D$3:$D$4997,N122,COMPRAS!$B$3:$B$4997,"&gt;="&amp;IF($C$4="",DATE(1900,1,1),$C$4),COMPRAS!$B$3:$B$4997,"&lt;="&amp;IF($F$4="",DATE(2999,12,31),$F$4)),0)</f>
        <v>0</v>
      </c>
      <c r="Q122" s="1" t="n">
        <f aca="false">IF(N122&lt;&gt;"",SUMIFS(COMPRAS!$O$3:$O$4997,COMPRAS!$D$3:$D$4997,N122,COMPRAS!$B$3:$B$4997,"&gt;="&amp;IF($C$4="",DATE(1900,1,1),$C$4),COMPRAS!$B$3:$B$4997,"&lt;="&amp;IF($F$4="",DATE(2999,12,31),$F$4)),0)</f>
        <v>0</v>
      </c>
      <c r="S122" s="1" t="str">
        <f aca="false">PRODUCTOS!A123</f>
        <v>C288</v>
      </c>
      <c r="T122" s="1" t="str">
        <f aca="false">PRODUCTOS!B123</f>
        <v>PALO/ PEZ PALO/ MARUCA AZUL (BLI)</v>
      </c>
      <c r="U122" s="1" t="n">
        <f aca="false">IF(S122&lt;&gt;"",SUMIFS(COMPRAS!$J$3:$J$4997,COMPRAS!$G$3:$G$4997,S122,COMPRAS!$B$3:$B$4997,"&gt;="&amp;IF($C$4="",DATE(1900,1,1),$C$4),COMPRAS!$B$3:$B$4997,"&lt;="&amp;IF($F$4="",DATE(2999,12,31),$F$4)),0)</f>
        <v>0</v>
      </c>
      <c r="V122" s="1" t="n">
        <f aca="false">IF(S122&lt;&gt;"",SUMIFS(COMPRAS!$O$3:$O$4997,COMPRAS!$G$3:$G$4997,S122,COMPRAS!$B$3:$B$4997,"&gt;="&amp;IF($C$4="",DATE(1900,1,1),$C$4),COMPRAS!$B$3:$B$4997,"&lt;="&amp;IF($F$4="",DATE(2999,12,31),$F$4)),0)</f>
        <v>0</v>
      </c>
      <c r="Y122" s="1" t="n">
        <f aca="false">IF($X$2="TODOS",U122,IF(S122&lt;&gt;"",SUMIFS(COMPRAS!$J$3:$J$4997,COMPRAS!$G$3:$G$4997,S122,COMPRAS!$D$3:$D$4997,$X$2,COMPRAS!$B$3:$B$4997,"&gt;="&amp;IF($C$4="",DATE(1900,1,1),$C$4),COMPRAS!$B$3:$B$4997,"&lt;="&amp;IF($F$4="",DATE(2999,12,31),$F$4)),0))</f>
        <v>0</v>
      </c>
      <c r="Z122" s="1" t="n">
        <f aca="false">IF($X$2="TODOS",V122,IF(S122&lt;&gt;"",SUMIFS(COMPRAS!$O$3:$O$4997,COMPRAS!$G$3:$G$4997,S122,COMPRAS!$D$3:$D$4997,$X$2,COMPRAS!$B$3:$B$4997,"&gt;="&amp;IF($C$4="",DATE(1900,1,1),$C$4),COMPRAS!$B$3:$B$4997,"&lt;="&amp;IF($F$4="",DATE(2999,12,31),$F$4)),0))</f>
        <v>0</v>
      </c>
    </row>
    <row r="123" customFormat="false" ht="15" hidden="false" customHeight="true" outlineLevel="0" collapsed="false">
      <c r="N123" s="1" t="n">
        <f aca="false">PROVEEDORES!A124</f>
        <v>0</v>
      </c>
      <c r="O123" s="1" t="n">
        <f aca="false">PROVEEDORES!B124</f>
        <v>0</v>
      </c>
      <c r="P123" s="1" t="n">
        <f aca="false">IF(N123&lt;&gt;"",SUMIFS(COMPRAS!$J$3:$J$4997,COMPRAS!$D$3:$D$4997,N123,COMPRAS!$B$3:$B$4997,"&gt;="&amp;IF($C$4="",DATE(1900,1,1),$C$4),COMPRAS!$B$3:$B$4997,"&lt;="&amp;IF($F$4="",DATE(2999,12,31),$F$4)),0)</f>
        <v>0</v>
      </c>
      <c r="Q123" s="1" t="n">
        <f aca="false">IF(N123&lt;&gt;"",SUMIFS(COMPRAS!$O$3:$O$4997,COMPRAS!$D$3:$D$4997,N123,COMPRAS!$B$3:$B$4997,"&gt;="&amp;IF($C$4="",DATE(1900,1,1),$C$4),COMPRAS!$B$3:$B$4997,"&lt;="&amp;IF($F$4="",DATE(2999,12,31),$F$4)),0)</f>
        <v>0</v>
      </c>
      <c r="S123" s="1" t="str">
        <f aca="false">PRODUCTOS!A124</f>
        <v>C560</v>
      </c>
      <c r="T123" s="1" t="str">
        <f aca="false">PRODUCTOS!B124</f>
        <v>PARGO (RPG)</v>
      </c>
      <c r="U123" s="1" t="n">
        <f aca="false">IF(S123&lt;&gt;"",SUMIFS(COMPRAS!$J$3:$J$4997,COMPRAS!$G$3:$G$4997,S123,COMPRAS!$B$3:$B$4997,"&gt;="&amp;IF($C$4="",DATE(1900,1,1),$C$4),COMPRAS!$B$3:$B$4997,"&lt;="&amp;IF($F$4="",DATE(2999,12,31),$F$4)),0)</f>
        <v>0.6</v>
      </c>
      <c r="V123" s="1" t="n">
        <f aca="false">IF(S123&lt;&gt;"",SUMIFS(COMPRAS!$O$3:$O$4997,COMPRAS!$G$3:$G$4997,S123,COMPRAS!$B$3:$B$4997,"&gt;="&amp;IF($C$4="",DATE(1900,1,1),$C$4),COMPRAS!$B$3:$B$4997,"&lt;="&amp;IF($F$4="",DATE(2999,12,31),$F$4)),0)</f>
        <v>0</v>
      </c>
      <c r="Y123" s="1" t="n">
        <f aca="false">IF($X$2="TODOS",U123,IF(S123&lt;&gt;"",SUMIFS(COMPRAS!$J$3:$J$4997,COMPRAS!$G$3:$G$4997,S123,COMPRAS!$D$3:$D$4997,$X$2,COMPRAS!$B$3:$B$4997,"&gt;="&amp;IF($C$4="",DATE(1900,1,1),$C$4),COMPRAS!$B$3:$B$4997,"&lt;="&amp;IF($F$4="",DATE(2999,12,31),$F$4)),0))</f>
        <v>0.6</v>
      </c>
      <c r="Z123" s="1" t="n">
        <f aca="false">IF($X$2="TODOS",V123,IF(S123&lt;&gt;"",SUMIFS(COMPRAS!$O$3:$O$4997,COMPRAS!$G$3:$G$4997,S123,COMPRAS!$D$3:$D$4997,$X$2,COMPRAS!$B$3:$B$4997,"&gt;="&amp;IF($C$4="",DATE(1900,1,1),$C$4),COMPRAS!$B$3:$B$4997,"&lt;="&amp;IF($F$4="",DATE(2999,12,31),$F$4)),0))</f>
        <v>0</v>
      </c>
    </row>
    <row r="124" customFormat="false" ht="15" hidden="false" customHeight="true" outlineLevel="0" collapsed="false">
      <c r="N124" s="1" t="n">
        <f aca="false">PROVEEDORES!A125</f>
        <v>0</v>
      </c>
      <c r="O124" s="1" t="n">
        <f aca="false">PROVEEDORES!B125</f>
        <v>0</v>
      </c>
      <c r="P124" s="1" t="n">
        <f aca="false">IF(N124&lt;&gt;"",SUMIFS(COMPRAS!$J$3:$J$4997,COMPRAS!$D$3:$D$4997,N124,COMPRAS!$B$3:$B$4997,"&gt;="&amp;IF($C$4="",DATE(1900,1,1),$C$4),COMPRAS!$B$3:$B$4997,"&lt;="&amp;IF($F$4="",DATE(2999,12,31),$F$4)),0)</f>
        <v>0</v>
      </c>
      <c r="Q124" s="1" t="n">
        <f aca="false">IF(N124&lt;&gt;"",SUMIFS(COMPRAS!$O$3:$O$4997,COMPRAS!$D$3:$D$4997,N124,COMPRAS!$B$3:$B$4997,"&gt;="&amp;IF($C$4="",DATE(1900,1,1),$C$4),COMPRAS!$B$3:$B$4997,"&lt;="&amp;IF($F$4="",DATE(2999,12,31),$F$4)),0)</f>
        <v>0</v>
      </c>
      <c r="S124" s="1" t="str">
        <f aca="false">PRODUCTOS!A125</f>
        <v>C9860</v>
      </c>
      <c r="T124" s="1" t="str">
        <f aca="false">PRODUCTOS!B125</f>
        <v>PEON/ PION (ATP)</v>
      </c>
      <c r="U124" s="1" t="n">
        <f aca="false">IF(S124&lt;&gt;"",SUMIFS(COMPRAS!$J$3:$J$4997,COMPRAS!$G$3:$G$4997,S124,COMPRAS!$B$3:$B$4997,"&gt;="&amp;IF($C$4="",DATE(1900,1,1),$C$4),COMPRAS!$B$3:$B$4997,"&lt;="&amp;IF($F$4="",DATE(2999,12,31),$F$4)),0)</f>
        <v>1575.45</v>
      </c>
      <c r="V124" s="1" t="n">
        <f aca="false">IF(S124&lt;&gt;"",SUMIFS(COMPRAS!$O$3:$O$4997,COMPRAS!$G$3:$G$4997,S124,COMPRAS!$B$3:$B$4997,"&gt;="&amp;IF($C$4="",DATE(1900,1,1),$C$4),COMPRAS!$B$3:$B$4997,"&lt;="&amp;IF($F$4="",DATE(2999,12,31),$F$4)),0)</f>
        <v>6088.06815</v>
      </c>
      <c r="Y124" s="1" t="n">
        <f aca="false">IF($X$2="TODOS",U124,IF(S124&lt;&gt;"",SUMIFS(COMPRAS!$J$3:$J$4997,COMPRAS!$G$3:$G$4997,S124,COMPRAS!$D$3:$D$4997,$X$2,COMPRAS!$B$3:$B$4997,"&gt;="&amp;IF($C$4="",DATE(1900,1,1),$C$4),COMPRAS!$B$3:$B$4997,"&lt;="&amp;IF($F$4="",DATE(2999,12,31),$F$4)),0))</f>
        <v>1575.45</v>
      </c>
      <c r="Z124" s="1" t="n">
        <f aca="false">IF($X$2="TODOS",V124,IF(S124&lt;&gt;"",SUMIFS(COMPRAS!$O$3:$O$4997,COMPRAS!$G$3:$G$4997,S124,COMPRAS!$D$3:$D$4997,$X$2,COMPRAS!$B$3:$B$4997,"&gt;="&amp;IF($C$4="",DATE(1900,1,1),$C$4),COMPRAS!$B$3:$B$4997,"&lt;="&amp;IF($F$4="",DATE(2999,12,31),$F$4)),0))</f>
        <v>6088.06815</v>
      </c>
    </row>
    <row r="125" customFormat="false" ht="15" hidden="false" customHeight="true" outlineLevel="0" collapsed="false">
      <c r="N125" s="1" t="n">
        <f aca="false">PROVEEDORES!A126</f>
        <v>0</v>
      </c>
      <c r="O125" s="1" t="n">
        <f aca="false">PROVEEDORES!B126</f>
        <v>0</v>
      </c>
      <c r="P125" s="1" t="n">
        <f aca="false">IF(N125&lt;&gt;"",SUMIFS(COMPRAS!$J$3:$J$4997,COMPRAS!$D$3:$D$4997,N125,COMPRAS!$B$3:$B$4997,"&gt;="&amp;IF($C$4="",DATE(1900,1,1),$C$4),COMPRAS!$B$3:$B$4997,"&lt;="&amp;IF($F$4="",DATE(2999,12,31),$F$4)),0)</f>
        <v>0</v>
      </c>
      <c r="Q125" s="1" t="n">
        <f aca="false">IF(N125&lt;&gt;"",SUMIFS(COMPRAS!$O$3:$O$4997,COMPRAS!$D$3:$D$4997,N125,COMPRAS!$B$3:$B$4997,"&gt;="&amp;IF($C$4="",DATE(1900,1,1),$C$4),COMPRAS!$B$3:$B$4997,"&lt;="&amp;IF($F$4="",DATE(2999,12,31),$F$4)),0)</f>
        <v>0</v>
      </c>
      <c r="S125" s="1" t="str">
        <f aca="false">PRODUCTOS!A126</f>
        <v>C9861</v>
      </c>
      <c r="T125" s="1" t="str">
        <f aca="false">PRODUCTOS!B126</f>
        <v>PEON DE ALTURA (ARY)</v>
      </c>
      <c r="U125" s="1" t="n">
        <f aca="false">IF(S125&lt;&gt;"",SUMIFS(COMPRAS!$J$3:$J$4997,COMPRAS!$G$3:$G$4997,S125,COMPRAS!$B$3:$B$4997,"&gt;="&amp;IF($C$4="",DATE(1900,1,1),$C$4),COMPRAS!$B$3:$B$4997,"&lt;="&amp;IF($F$4="",DATE(2999,12,31),$F$4)),0)</f>
        <v>0</v>
      </c>
      <c r="V125" s="1" t="n">
        <f aca="false">IF(S125&lt;&gt;"",SUMIFS(COMPRAS!$O$3:$O$4997,COMPRAS!$G$3:$G$4997,S125,COMPRAS!$B$3:$B$4997,"&gt;="&amp;IF($C$4="",DATE(1900,1,1),$C$4),COMPRAS!$B$3:$B$4997,"&lt;="&amp;IF($F$4="",DATE(2999,12,31),$F$4)),0)</f>
        <v>0</v>
      </c>
      <c r="Y125" s="1" t="n">
        <f aca="false">IF($X$2="TODOS",U125,IF(S125&lt;&gt;"",SUMIFS(COMPRAS!$J$3:$J$4997,COMPRAS!$G$3:$G$4997,S125,COMPRAS!$D$3:$D$4997,$X$2,COMPRAS!$B$3:$B$4997,"&gt;="&amp;IF($C$4="",DATE(1900,1,1),$C$4),COMPRAS!$B$3:$B$4997,"&lt;="&amp;IF($F$4="",DATE(2999,12,31),$F$4)),0))</f>
        <v>0</v>
      </c>
      <c r="Z125" s="1" t="n">
        <f aca="false">IF($X$2="TODOS",V125,IF(S125&lt;&gt;"",SUMIFS(COMPRAS!$O$3:$O$4997,COMPRAS!$G$3:$G$4997,S125,COMPRAS!$D$3:$D$4997,$X$2,COMPRAS!$B$3:$B$4997,"&gt;="&amp;IF($C$4="",DATE(1900,1,1),$C$4),COMPRAS!$B$3:$B$4997,"&lt;="&amp;IF($F$4="",DATE(2999,12,31),$F$4)),0))</f>
        <v>0</v>
      </c>
    </row>
    <row r="126" customFormat="false" ht="15" hidden="false" customHeight="true" outlineLevel="0" collapsed="false">
      <c r="N126" s="1" t="n">
        <f aca="false">PROVEEDORES!A127</f>
        <v>0</v>
      </c>
      <c r="O126" s="1" t="n">
        <f aca="false">PROVEEDORES!B127</f>
        <v>0</v>
      </c>
      <c r="P126" s="1" t="n">
        <f aca="false">IF(N126&lt;&gt;"",SUMIFS(COMPRAS!$J$3:$J$4997,COMPRAS!$D$3:$D$4997,N126,COMPRAS!$B$3:$B$4997,"&gt;="&amp;IF($C$4="",DATE(1900,1,1),$C$4),COMPRAS!$B$3:$B$4997,"&lt;="&amp;IF($F$4="",DATE(2999,12,31),$F$4)),0)</f>
        <v>0</v>
      </c>
      <c r="Q126" s="1" t="n">
        <f aca="false">IF(N126&lt;&gt;"",SUMIFS(COMPRAS!$O$3:$O$4997,COMPRAS!$D$3:$D$4997,N126,COMPRAS!$B$3:$B$4997,"&gt;="&amp;IF($C$4="",DATE(1900,1,1),$C$4),COMPRAS!$B$3:$B$4997,"&lt;="&amp;IF($F$4="",DATE(2999,12,31),$F$4)),0)</f>
        <v>0</v>
      </c>
      <c r="S126" s="1" t="str">
        <f aca="false">PRODUCTOS!A127</f>
        <v>C869</v>
      </c>
      <c r="T126" s="1" t="str">
        <f aca="false">PRODUCTOS!B127</f>
        <v>PERCEBE (PCB)</v>
      </c>
      <c r="U126" s="1" t="n">
        <f aca="false">IF(S126&lt;&gt;"",SUMIFS(COMPRAS!$J$3:$J$4997,COMPRAS!$G$3:$G$4997,S126,COMPRAS!$B$3:$B$4997,"&gt;="&amp;IF($C$4="",DATE(1900,1,1),$C$4),COMPRAS!$B$3:$B$4997,"&lt;="&amp;IF($F$4="",DATE(2999,12,31),$F$4)),0)</f>
        <v>0</v>
      </c>
      <c r="V126" s="1" t="n">
        <f aca="false">IF(S126&lt;&gt;"",SUMIFS(COMPRAS!$O$3:$O$4997,COMPRAS!$G$3:$G$4997,S126,COMPRAS!$B$3:$B$4997,"&gt;="&amp;IF($C$4="",DATE(1900,1,1),$C$4),COMPRAS!$B$3:$B$4997,"&lt;="&amp;IF($F$4="",DATE(2999,12,31),$F$4)),0)</f>
        <v>0</v>
      </c>
      <c r="Y126" s="1" t="n">
        <f aca="false">IF($X$2="TODOS",U126,IF(S126&lt;&gt;"",SUMIFS(COMPRAS!$J$3:$J$4997,COMPRAS!$G$3:$G$4997,S126,COMPRAS!$D$3:$D$4997,$X$2,COMPRAS!$B$3:$B$4997,"&gt;="&amp;IF($C$4="",DATE(1900,1,1),$C$4),COMPRAS!$B$3:$B$4997,"&lt;="&amp;IF($F$4="",DATE(2999,12,31),$F$4)),0))</f>
        <v>0</v>
      </c>
      <c r="Z126" s="1" t="n">
        <f aca="false">IF($X$2="TODOS",V126,IF(S126&lt;&gt;"",SUMIFS(COMPRAS!$O$3:$O$4997,COMPRAS!$G$3:$G$4997,S126,COMPRAS!$D$3:$D$4997,$X$2,COMPRAS!$B$3:$B$4997,"&gt;="&amp;IF($C$4="",DATE(1900,1,1),$C$4),COMPRAS!$B$3:$B$4997,"&lt;="&amp;IF($F$4="",DATE(2999,12,31),$F$4)),0))</f>
        <v>0</v>
      </c>
    </row>
    <row r="127" customFormat="false" ht="15" hidden="false" customHeight="true" outlineLevel="0" collapsed="false">
      <c r="N127" s="1" t="n">
        <f aca="false">PROVEEDORES!A128</f>
        <v>0</v>
      </c>
      <c r="O127" s="1" t="n">
        <f aca="false">PROVEEDORES!B128</f>
        <v>0</v>
      </c>
      <c r="P127" s="1" t="n">
        <f aca="false">IF(N127&lt;&gt;"",SUMIFS(COMPRAS!$J$3:$J$4997,COMPRAS!$D$3:$D$4997,N127,COMPRAS!$B$3:$B$4997,"&gt;="&amp;IF($C$4="",DATE(1900,1,1),$C$4),COMPRAS!$B$3:$B$4997,"&lt;="&amp;IF($F$4="",DATE(2999,12,31),$F$4)),0)</f>
        <v>0</v>
      </c>
      <c r="Q127" s="1" t="n">
        <f aca="false">IF(N127&lt;&gt;"",SUMIFS(COMPRAS!$O$3:$O$4997,COMPRAS!$D$3:$D$4997,N127,COMPRAS!$B$3:$B$4997,"&gt;="&amp;IF($C$4="",DATE(1900,1,1),$C$4),COMPRAS!$B$3:$B$4997,"&lt;="&amp;IF($F$4="",DATE(2999,12,31),$F$4)),0)</f>
        <v>0</v>
      </c>
      <c r="S127" s="1" t="str">
        <f aca="false">PRODUCTOS!A128</f>
        <v>C191</v>
      </c>
      <c r="T127" s="1" t="str">
        <f aca="false">PRODUCTOS!B128</f>
        <v>MERLUZA EUROPEA/ FINA DIA </v>
      </c>
      <c r="U127" s="1" t="n">
        <f aca="false">IF(S127&lt;&gt;"",SUMIFS(COMPRAS!$J$3:$J$4997,COMPRAS!$G$3:$G$4997,S127,COMPRAS!$B$3:$B$4997,"&gt;="&amp;IF($C$4="",DATE(1900,1,1),$C$4),COMPRAS!$B$3:$B$4997,"&lt;="&amp;IF($F$4="",DATE(2999,12,31),$F$4)),0)</f>
        <v>5733.75</v>
      </c>
      <c r="V127" s="1" t="n">
        <f aca="false">IF(S127&lt;&gt;"",SUMIFS(COMPRAS!$O$3:$O$4997,COMPRAS!$G$3:$G$4997,S127,COMPRAS!$B$3:$B$4997,"&gt;="&amp;IF($C$4="",DATE(1900,1,1),$C$4),COMPRAS!$B$3:$B$4997,"&lt;="&amp;IF($F$4="",DATE(2999,12,31),$F$4)),0)</f>
        <v>16382.4072</v>
      </c>
      <c r="Y127" s="1" t="n">
        <f aca="false">IF($X$2="TODOS",U127,IF(S127&lt;&gt;"",SUMIFS(COMPRAS!$J$3:$J$4997,COMPRAS!$G$3:$G$4997,S127,COMPRAS!$D$3:$D$4997,$X$2,COMPRAS!$B$3:$B$4997,"&gt;="&amp;IF($C$4="",DATE(1900,1,1),$C$4),COMPRAS!$B$3:$B$4997,"&lt;="&amp;IF($F$4="",DATE(2999,12,31),$F$4)),0))</f>
        <v>5733.75</v>
      </c>
      <c r="Z127" s="1" t="n">
        <f aca="false">IF($X$2="TODOS",V127,IF(S127&lt;&gt;"",SUMIFS(COMPRAS!$O$3:$O$4997,COMPRAS!$G$3:$G$4997,S127,COMPRAS!$D$3:$D$4997,$X$2,COMPRAS!$B$3:$B$4997,"&gt;="&amp;IF($C$4="",DATE(1900,1,1),$C$4),COMPRAS!$B$3:$B$4997,"&lt;="&amp;IF($F$4="",DATE(2999,12,31),$F$4)),0))</f>
        <v>16382.4072</v>
      </c>
    </row>
    <row r="128" customFormat="false" ht="15" hidden="false" customHeight="true" outlineLevel="0" collapsed="false">
      <c r="N128" s="1" t="n">
        <f aca="false">PROVEEDORES!A129</f>
        <v>0</v>
      </c>
      <c r="O128" s="1" t="n">
        <f aca="false">PROVEEDORES!B129</f>
        <v>0</v>
      </c>
      <c r="P128" s="1" t="n">
        <f aca="false">IF(N128&lt;&gt;"",SUMIFS(COMPRAS!$J$3:$J$4997,COMPRAS!$D$3:$D$4997,N128,COMPRAS!$B$3:$B$4997,"&gt;="&amp;IF($C$4="",DATE(1900,1,1),$C$4),COMPRAS!$B$3:$B$4997,"&lt;="&amp;IF($F$4="",DATE(2999,12,31),$F$4)),0)</f>
        <v>0</v>
      </c>
      <c r="Q128" s="1" t="n">
        <f aca="false">IF(N128&lt;&gt;"",SUMIFS(COMPRAS!$O$3:$O$4997,COMPRAS!$D$3:$D$4997,N128,COMPRAS!$B$3:$B$4997,"&gt;="&amp;IF($C$4="",DATE(1900,1,1),$C$4),COMPRAS!$B$3:$B$4997,"&lt;="&amp;IF($F$4="",DATE(2999,12,31),$F$4)),0)</f>
        <v>0</v>
      </c>
      <c r="S128" s="1" t="str">
        <f aca="false">PRODUCTOS!A129</f>
        <v>C3600</v>
      </c>
      <c r="T128" s="1" t="str">
        <f aca="false">PRODUCTOS!B129</f>
        <v>PEZ BALLESTA/ PEIXE RONDADOR (TRG)</v>
      </c>
      <c r="U128" s="1" t="n">
        <f aca="false">IF(S128&lt;&gt;"",SUMIFS(COMPRAS!$J$3:$J$4997,COMPRAS!$G$3:$G$4997,S128,COMPRAS!$B$3:$B$4997,"&gt;="&amp;IF($C$4="",DATE(1900,1,1),$C$4),COMPRAS!$B$3:$B$4997,"&lt;="&amp;IF($F$4="",DATE(2999,12,31),$F$4)),0)</f>
        <v>0</v>
      </c>
      <c r="V128" s="1" t="n">
        <f aca="false">IF(S128&lt;&gt;"",SUMIFS(COMPRAS!$O$3:$O$4997,COMPRAS!$G$3:$G$4997,S128,COMPRAS!$B$3:$B$4997,"&gt;="&amp;IF($C$4="",DATE(1900,1,1),$C$4),COMPRAS!$B$3:$B$4997,"&lt;="&amp;IF($F$4="",DATE(2999,12,31),$F$4)),0)</f>
        <v>0</v>
      </c>
      <c r="Y128" s="1" t="n">
        <f aca="false">IF($X$2="TODOS",U128,IF(S128&lt;&gt;"",SUMIFS(COMPRAS!$J$3:$J$4997,COMPRAS!$G$3:$G$4997,S128,COMPRAS!$D$3:$D$4997,$X$2,COMPRAS!$B$3:$B$4997,"&gt;="&amp;IF($C$4="",DATE(1900,1,1),$C$4),COMPRAS!$B$3:$B$4997,"&lt;="&amp;IF($F$4="",DATE(2999,12,31),$F$4)),0))</f>
        <v>0</v>
      </c>
      <c r="Z128" s="1" t="n">
        <f aca="false">IF($X$2="TODOS",V128,IF(S128&lt;&gt;"",SUMIFS(COMPRAS!$O$3:$O$4997,COMPRAS!$G$3:$G$4997,S128,COMPRAS!$D$3:$D$4997,$X$2,COMPRAS!$B$3:$B$4997,"&gt;="&amp;IF($C$4="",DATE(1900,1,1),$C$4),COMPRAS!$B$3:$B$4997,"&lt;="&amp;IF($F$4="",DATE(2999,12,31),$F$4)),0))</f>
        <v>0</v>
      </c>
    </row>
    <row r="129" customFormat="false" ht="15" hidden="false" customHeight="true" outlineLevel="0" collapsed="false">
      <c r="N129" s="1" t="n">
        <f aca="false">PROVEEDORES!A130</f>
        <v>0</v>
      </c>
      <c r="O129" s="1" t="n">
        <f aca="false">PROVEEDORES!B130</f>
        <v>0</v>
      </c>
      <c r="P129" s="1" t="n">
        <f aca="false">IF(N129&lt;&gt;"",SUMIFS(COMPRAS!$J$3:$J$4997,COMPRAS!$D$3:$D$4997,N129,COMPRAS!$B$3:$B$4997,"&gt;="&amp;IF($C$4="",DATE(1900,1,1),$C$4),COMPRAS!$B$3:$B$4997,"&lt;="&amp;IF($F$4="",DATE(2999,12,31),$F$4)),0)</f>
        <v>0</v>
      </c>
      <c r="Q129" s="1" t="n">
        <f aca="false">IF(N129&lt;&gt;"",SUMIFS(COMPRAS!$O$3:$O$4997,COMPRAS!$D$3:$D$4997,N129,COMPRAS!$B$3:$B$4997,"&gt;="&amp;IF($C$4="",DATE(1900,1,1),$C$4),COMPRAS!$B$3:$B$4997,"&lt;="&amp;IF($F$4="",DATE(2999,12,31),$F$4)),0)</f>
        <v>0</v>
      </c>
      <c r="S129" s="1" t="str">
        <f aca="false">PRODUCTOS!A130</f>
        <v>C811</v>
      </c>
      <c r="T129" s="1" t="str">
        <f aca="false">PRODUCTOS!B130</f>
        <v>PEZ ESPADA (SWO)</v>
      </c>
      <c r="U129" s="1" t="n">
        <f aca="false">IF(S129&lt;&gt;"",SUMIFS(COMPRAS!$J$3:$J$4997,COMPRAS!$G$3:$G$4997,S129,COMPRAS!$B$3:$B$4997,"&gt;="&amp;IF($C$4="",DATE(1900,1,1),$C$4),COMPRAS!$B$3:$B$4997,"&lt;="&amp;IF($F$4="",DATE(2999,12,31),$F$4)),0)</f>
        <v>0</v>
      </c>
      <c r="V129" s="1" t="n">
        <f aca="false">IF(S129&lt;&gt;"",SUMIFS(COMPRAS!$O$3:$O$4997,COMPRAS!$G$3:$G$4997,S129,COMPRAS!$B$3:$B$4997,"&gt;="&amp;IF($C$4="",DATE(1900,1,1),$C$4),COMPRAS!$B$3:$B$4997,"&lt;="&amp;IF($F$4="",DATE(2999,12,31),$F$4)),0)</f>
        <v>0</v>
      </c>
      <c r="Y129" s="1" t="n">
        <f aca="false">IF($X$2="TODOS",U129,IF(S129&lt;&gt;"",SUMIFS(COMPRAS!$J$3:$J$4997,COMPRAS!$G$3:$G$4997,S129,COMPRAS!$D$3:$D$4997,$X$2,COMPRAS!$B$3:$B$4997,"&gt;="&amp;IF($C$4="",DATE(1900,1,1),$C$4),COMPRAS!$B$3:$B$4997,"&lt;="&amp;IF($F$4="",DATE(2999,12,31),$F$4)),0))</f>
        <v>0</v>
      </c>
      <c r="Z129" s="1" t="n">
        <f aca="false">IF($X$2="TODOS",V129,IF(S129&lt;&gt;"",SUMIFS(COMPRAS!$O$3:$O$4997,COMPRAS!$G$3:$G$4997,S129,COMPRAS!$D$3:$D$4997,$X$2,COMPRAS!$B$3:$B$4997,"&gt;="&amp;IF($C$4="",DATE(1900,1,1),$C$4),COMPRAS!$B$3:$B$4997,"&lt;="&amp;IF($F$4="",DATE(2999,12,31),$F$4)),0))</f>
        <v>0</v>
      </c>
    </row>
    <row r="130" customFormat="false" ht="15" hidden="false" customHeight="true" outlineLevel="0" collapsed="false">
      <c r="N130" s="1" t="n">
        <f aca="false">PROVEEDORES!A131</f>
        <v>0</v>
      </c>
      <c r="O130" s="1" t="n">
        <f aca="false">PROVEEDORES!B131</f>
        <v>0</v>
      </c>
      <c r="P130" s="1" t="n">
        <f aca="false">IF(N130&lt;&gt;"",SUMIFS(COMPRAS!$J$3:$J$4997,COMPRAS!$D$3:$D$4997,N130,COMPRAS!$B$3:$B$4997,"&gt;="&amp;IF($C$4="",DATE(1900,1,1),$C$4),COMPRAS!$B$3:$B$4997,"&lt;="&amp;IF($F$4="",DATE(2999,12,31),$F$4)),0)</f>
        <v>0</v>
      </c>
      <c r="Q130" s="1" t="n">
        <f aca="false">IF(N130&lt;&gt;"",SUMIFS(COMPRAS!$O$3:$O$4997,COMPRAS!$D$3:$D$4997,N130,COMPRAS!$B$3:$B$4997,"&gt;="&amp;IF($C$4="",DATE(1900,1,1),$C$4),COMPRAS!$B$3:$B$4997,"&lt;="&amp;IF($F$4="",DATE(2999,12,31),$F$4)),0)</f>
        <v>0</v>
      </c>
      <c r="S130" s="1" t="str">
        <f aca="false">PRODUCTOS!A131</f>
        <v>C211</v>
      </c>
      <c r="T130" s="1" t="str">
        <f aca="false">PRODUCTOS!B131</f>
        <v>POTA (SQI)</v>
      </c>
      <c r="U130" s="1" t="n">
        <f aca="false">IF(S130&lt;&gt;"",SUMIFS(COMPRAS!$J$3:$J$4997,COMPRAS!$G$3:$G$4997,S130,COMPRAS!$B$3:$B$4997,"&gt;="&amp;IF($C$4="",DATE(1900,1,1),$C$4),COMPRAS!$B$3:$B$4997,"&lt;="&amp;IF($F$4="",DATE(2999,12,31),$F$4)),0)</f>
        <v>60</v>
      </c>
      <c r="V130" s="1" t="n">
        <f aca="false">IF(S130&lt;&gt;"",SUMIFS(COMPRAS!$O$3:$O$4997,COMPRAS!$G$3:$G$4997,S130,COMPRAS!$B$3:$B$4997,"&gt;="&amp;IF($C$4="",DATE(1900,1,1),$C$4),COMPRAS!$B$3:$B$4997,"&lt;="&amp;IF($F$4="",DATE(2999,12,31),$F$4)),0)</f>
        <v>205.5</v>
      </c>
      <c r="Y130" s="1" t="n">
        <f aca="false">IF($X$2="TODOS",U130,IF(S130&lt;&gt;"",SUMIFS(COMPRAS!$J$3:$J$4997,COMPRAS!$G$3:$G$4997,S130,COMPRAS!$D$3:$D$4997,$X$2,COMPRAS!$B$3:$B$4997,"&gt;="&amp;IF($C$4="",DATE(1900,1,1),$C$4),COMPRAS!$B$3:$B$4997,"&lt;="&amp;IF($F$4="",DATE(2999,12,31),$F$4)),0))</f>
        <v>60</v>
      </c>
      <c r="Z130" s="1" t="n">
        <f aca="false">IF($X$2="TODOS",V130,IF(S130&lt;&gt;"",SUMIFS(COMPRAS!$O$3:$O$4997,COMPRAS!$G$3:$G$4997,S130,COMPRAS!$D$3:$D$4997,$X$2,COMPRAS!$B$3:$B$4997,"&gt;="&amp;IF($C$4="",DATE(1900,1,1),$C$4),COMPRAS!$B$3:$B$4997,"&lt;="&amp;IF($F$4="",DATE(2999,12,31),$F$4)),0))</f>
        <v>205.5</v>
      </c>
    </row>
    <row r="131" customFormat="false" ht="15" hidden="false" customHeight="true" outlineLevel="0" collapsed="false">
      <c r="N131" s="1" t="n">
        <f aca="false">PROVEEDORES!A132</f>
        <v>0</v>
      </c>
      <c r="O131" s="1" t="n">
        <f aca="false">PROVEEDORES!B132</f>
        <v>0</v>
      </c>
      <c r="P131" s="1" t="n">
        <f aca="false">IF(N131&lt;&gt;"",SUMIFS(COMPRAS!$J$3:$J$4997,COMPRAS!$D$3:$D$4997,N131,COMPRAS!$B$3:$B$4997,"&gt;="&amp;IF($C$4="",DATE(1900,1,1),$C$4),COMPRAS!$B$3:$B$4997,"&lt;="&amp;IF($F$4="",DATE(2999,12,31),$F$4)),0)</f>
        <v>0</v>
      </c>
      <c r="Q131" s="1" t="n">
        <f aca="false">IF(N131&lt;&gt;"",SUMIFS(COMPRAS!$O$3:$O$4997,COMPRAS!$D$3:$D$4997,N131,COMPRAS!$B$3:$B$4997,"&gt;="&amp;IF($C$4="",DATE(1900,1,1),$C$4),COMPRAS!$B$3:$B$4997,"&lt;="&amp;IF($F$4="",DATE(2999,12,31),$F$4)),0)</f>
        <v>0</v>
      </c>
      <c r="S131" s="1" t="str">
        <f aca="false">PRODUCTOS!A132</f>
        <v>C212</v>
      </c>
      <c r="T131" s="1" t="str">
        <f aca="false">PRODUCTOS!B132</f>
        <v>POTA VOLADORA COMUN (SQM)</v>
      </c>
      <c r="U131" s="1" t="n">
        <f aca="false">IF(S131&lt;&gt;"",SUMIFS(COMPRAS!$J$3:$J$4997,COMPRAS!$G$3:$G$4997,S131,COMPRAS!$B$3:$B$4997,"&gt;="&amp;IF($C$4="",DATE(1900,1,1),$C$4),COMPRAS!$B$3:$B$4997,"&lt;="&amp;IF($F$4="",DATE(2999,12,31),$F$4)),0)</f>
        <v>0</v>
      </c>
      <c r="V131" s="1" t="n">
        <f aca="false">IF(S131&lt;&gt;"",SUMIFS(COMPRAS!$O$3:$O$4997,COMPRAS!$G$3:$G$4997,S131,COMPRAS!$B$3:$B$4997,"&gt;="&amp;IF($C$4="",DATE(1900,1,1),$C$4),COMPRAS!$B$3:$B$4997,"&lt;="&amp;IF($F$4="",DATE(2999,12,31),$F$4)),0)</f>
        <v>0</v>
      </c>
      <c r="Y131" s="1" t="n">
        <f aca="false">IF($X$2="TODOS",U131,IF(S131&lt;&gt;"",SUMIFS(COMPRAS!$J$3:$J$4997,COMPRAS!$G$3:$G$4997,S131,COMPRAS!$D$3:$D$4997,$X$2,COMPRAS!$B$3:$B$4997,"&gt;="&amp;IF($C$4="",DATE(1900,1,1),$C$4),COMPRAS!$B$3:$B$4997,"&lt;="&amp;IF($F$4="",DATE(2999,12,31),$F$4)),0))</f>
        <v>0</v>
      </c>
      <c r="Z131" s="1" t="n">
        <f aca="false">IF($X$2="TODOS",V131,IF(S131&lt;&gt;"",SUMIFS(COMPRAS!$O$3:$O$4997,COMPRAS!$G$3:$G$4997,S131,COMPRAS!$D$3:$D$4997,$X$2,COMPRAS!$B$3:$B$4997,"&gt;="&amp;IF($C$4="",DATE(1900,1,1),$C$4),COMPRAS!$B$3:$B$4997,"&lt;="&amp;IF($F$4="",DATE(2999,12,31),$F$4)),0))</f>
        <v>0</v>
      </c>
    </row>
    <row r="132" customFormat="false" ht="15" hidden="false" customHeight="true" outlineLevel="0" collapsed="false">
      <c r="N132" s="1" t="n">
        <f aca="false">PROVEEDORES!A133</f>
        <v>0</v>
      </c>
      <c r="O132" s="1" t="n">
        <f aca="false">PROVEEDORES!B133</f>
        <v>0</v>
      </c>
      <c r="P132" s="1" t="n">
        <f aca="false">IF(N132&lt;&gt;"",SUMIFS(COMPRAS!$J$3:$J$4997,COMPRAS!$D$3:$D$4997,N132,COMPRAS!$B$3:$B$4997,"&gt;="&amp;IF($C$4="",DATE(1900,1,1),$C$4),COMPRAS!$B$3:$B$4997,"&lt;="&amp;IF($F$4="",DATE(2999,12,31),$F$4)),0)</f>
        <v>0</v>
      </c>
      <c r="Q132" s="1" t="n">
        <f aca="false">IF(N132&lt;&gt;"",SUMIFS(COMPRAS!$O$3:$O$4997,COMPRAS!$D$3:$D$4997,N132,COMPRAS!$B$3:$B$4997,"&gt;="&amp;IF($C$4="",DATE(1900,1,1),$C$4),COMPRAS!$B$3:$B$4997,"&lt;="&amp;IF($F$4="",DATE(2999,12,31),$F$4)),0)</f>
        <v>0</v>
      </c>
      <c r="S132" s="1" t="str">
        <f aca="false">PRODUCTOS!A133</f>
        <v>C892</v>
      </c>
      <c r="T132" s="1" t="str">
        <f aca="false">PRODUCTOS!B133</f>
        <v>PULPO (OCC)</v>
      </c>
      <c r="U132" s="1" t="n">
        <f aca="false">IF(S132&lt;&gt;"",SUMIFS(COMPRAS!$J$3:$J$4997,COMPRAS!$G$3:$G$4997,S132,COMPRAS!$B$3:$B$4997,"&gt;="&amp;IF($C$4="",DATE(1900,1,1),$C$4),COMPRAS!$B$3:$B$4997,"&lt;="&amp;IF($F$4="",DATE(2999,12,31),$F$4)),0)</f>
        <v>0</v>
      </c>
      <c r="V132" s="1" t="n">
        <f aca="false">IF(S132&lt;&gt;"",SUMIFS(COMPRAS!$O$3:$O$4997,COMPRAS!$G$3:$G$4997,S132,COMPRAS!$B$3:$B$4997,"&gt;="&amp;IF($C$4="",DATE(1900,1,1),$C$4),COMPRAS!$B$3:$B$4997,"&lt;="&amp;IF($F$4="",DATE(2999,12,31),$F$4)),0)</f>
        <v>0</v>
      </c>
      <c r="Y132" s="1" t="n">
        <f aca="false">IF($X$2="TODOS",U132,IF(S132&lt;&gt;"",SUMIFS(COMPRAS!$J$3:$J$4997,COMPRAS!$G$3:$G$4997,S132,COMPRAS!$D$3:$D$4997,$X$2,COMPRAS!$B$3:$B$4997,"&gt;="&amp;IF($C$4="",DATE(1900,1,1),$C$4),COMPRAS!$B$3:$B$4997,"&lt;="&amp;IF($F$4="",DATE(2999,12,31),$F$4)),0))</f>
        <v>0</v>
      </c>
      <c r="Z132" s="1" t="n">
        <f aca="false">IF($X$2="TODOS",V132,IF(S132&lt;&gt;"",SUMIFS(COMPRAS!$O$3:$O$4997,COMPRAS!$G$3:$G$4997,S132,COMPRAS!$D$3:$D$4997,$X$2,COMPRAS!$B$3:$B$4997,"&gt;="&amp;IF($C$4="",DATE(1900,1,1),$C$4),COMPRAS!$B$3:$B$4997,"&lt;="&amp;IF($F$4="",DATE(2999,12,31),$F$4)),0))</f>
        <v>0</v>
      </c>
    </row>
    <row r="133" customFormat="false" ht="15" hidden="false" customHeight="true" outlineLevel="0" collapsed="false">
      <c r="N133" s="1" t="n">
        <f aca="false">PROVEEDORES!A134</f>
        <v>0</v>
      </c>
      <c r="O133" s="1" t="n">
        <f aca="false">PROVEEDORES!B134</f>
        <v>0</v>
      </c>
      <c r="P133" s="1" t="n">
        <f aca="false">IF(N133&lt;&gt;"",SUMIFS(COMPRAS!$J$3:$J$4997,COMPRAS!$D$3:$D$4997,N133,COMPRAS!$B$3:$B$4997,"&gt;="&amp;IF($C$4="",DATE(1900,1,1),$C$4),COMPRAS!$B$3:$B$4997,"&lt;="&amp;IF($F$4="",DATE(2999,12,31),$F$4)),0)</f>
        <v>0</v>
      </c>
      <c r="Q133" s="1" t="n">
        <f aca="false">IF(N133&lt;&gt;"",SUMIFS(COMPRAS!$O$3:$O$4997,COMPRAS!$D$3:$D$4997,N133,COMPRAS!$B$3:$B$4997,"&gt;="&amp;IF($C$4="",DATE(1900,1,1),$C$4),COMPRAS!$B$3:$B$4997,"&lt;="&amp;IF($F$4="",DATE(2999,12,31),$F$4)),0)</f>
        <v>0</v>
      </c>
      <c r="S133" s="1" t="str">
        <f aca="false">PRODUCTOS!A134</f>
        <v>C5250</v>
      </c>
      <c r="T133" s="1" t="str">
        <f aca="false">PRODUCTOS!B134</f>
        <v>RAPE BLANCO DIA (MON)</v>
      </c>
      <c r="U133" s="1" t="n">
        <f aca="false">IF(S133&lt;&gt;"",SUMIFS(COMPRAS!$J$3:$J$4997,COMPRAS!$G$3:$G$4997,S133,COMPRAS!$B$3:$B$4997,"&gt;="&amp;IF($C$4="",DATE(1900,1,1),$C$4),COMPRAS!$B$3:$B$4997,"&lt;="&amp;IF($F$4="",DATE(2999,12,31),$F$4)),0)</f>
        <v>1902.75</v>
      </c>
      <c r="V133" s="1" t="n">
        <f aca="false">IF(S133&lt;&gt;"",SUMIFS(COMPRAS!$O$3:$O$4997,COMPRAS!$G$3:$G$4997,S133,COMPRAS!$B$3:$B$4997,"&gt;="&amp;IF($C$4="",DATE(1900,1,1),$C$4),COMPRAS!$B$3:$B$4997,"&lt;="&amp;IF($F$4="",DATE(2999,12,31),$F$4)),0)</f>
        <v>11377.2921</v>
      </c>
      <c r="Y133" s="1" t="n">
        <f aca="false">IF($X$2="TODOS",U133,IF(S133&lt;&gt;"",SUMIFS(COMPRAS!$J$3:$J$4997,COMPRAS!$G$3:$G$4997,S133,COMPRAS!$D$3:$D$4997,$X$2,COMPRAS!$B$3:$B$4997,"&gt;="&amp;IF($C$4="",DATE(1900,1,1),$C$4),COMPRAS!$B$3:$B$4997,"&lt;="&amp;IF($F$4="",DATE(2999,12,31),$F$4)),0))</f>
        <v>1902.75</v>
      </c>
      <c r="Z133" s="1" t="n">
        <f aca="false">IF($X$2="TODOS",V133,IF(S133&lt;&gt;"",SUMIFS(COMPRAS!$O$3:$O$4997,COMPRAS!$G$3:$G$4997,S133,COMPRAS!$D$3:$D$4997,$X$2,COMPRAS!$B$3:$B$4997,"&gt;="&amp;IF($C$4="",DATE(1900,1,1),$C$4),COMPRAS!$B$3:$B$4997,"&lt;="&amp;IF($F$4="",DATE(2999,12,31),$F$4)),0))</f>
        <v>11377.2921</v>
      </c>
    </row>
    <row r="134" customFormat="false" ht="15" hidden="false" customHeight="true" outlineLevel="0" collapsed="false">
      <c r="N134" s="1" t="n">
        <f aca="false">PROVEEDORES!A135</f>
        <v>0</v>
      </c>
      <c r="O134" s="1" t="n">
        <f aca="false">PROVEEDORES!B135</f>
        <v>0</v>
      </c>
      <c r="P134" s="1" t="n">
        <f aca="false">IF(N134&lt;&gt;"",SUMIFS(COMPRAS!$J$3:$J$4997,COMPRAS!$D$3:$D$4997,N134,COMPRAS!$B$3:$B$4997,"&gt;="&amp;IF($C$4="",DATE(1900,1,1),$C$4),COMPRAS!$B$3:$B$4997,"&lt;="&amp;IF($F$4="",DATE(2999,12,31),$F$4)),0)</f>
        <v>0</v>
      </c>
      <c r="Q134" s="1" t="n">
        <f aca="false">IF(N134&lt;&gt;"",SUMIFS(COMPRAS!$O$3:$O$4997,COMPRAS!$D$3:$D$4997,N134,COMPRAS!$B$3:$B$4997,"&gt;="&amp;IF($C$4="",DATE(1900,1,1),$C$4),COMPRAS!$B$3:$B$4997,"&lt;="&amp;IF($F$4="",DATE(2999,12,31),$F$4)),0)</f>
        <v>0</v>
      </c>
      <c r="S134" s="1" t="str">
        <f aca="false">PRODUCTOS!A135</f>
        <v>C516</v>
      </c>
      <c r="T134" s="1" t="str">
        <f aca="false">PRODUCTOS!B135</f>
        <v>HUESOS DE RAPE (MON)</v>
      </c>
      <c r="U134" s="1" t="n">
        <f aca="false">IF(S134&lt;&gt;"",SUMIFS(COMPRAS!$J$3:$J$4997,COMPRAS!$G$3:$G$4997,S134,COMPRAS!$B$3:$B$4997,"&gt;="&amp;IF($C$4="",DATE(1900,1,1),$C$4),COMPRAS!$B$3:$B$4997,"&lt;="&amp;IF($F$4="",DATE(2999,12,31),$F$4)),0)</f>
        <v>111</v>
      </c>
      <c r="V134" s="1" t="n">
        <f aca="false">IF(S134&lt;&gt;"",SUMIFS(COMPRAS!$O$3:$O$4997,COMPRAS!$G$3:$G$4997,S134,COMPRAS!$B$3:$B$4997,"&gt;="&amp;IF($C$4="",DATE(1900,1,1),$C$4),COMPRAS!$B$3:$B$4997,"&lt;="&amp;IF($F$4="",DATE(2999,12,31),$F$4)),0)</f>
        <v>438.5</v>
      </c>
      <c r="Y134" s="1" t="n">
        <f aca="false">IF($X$2="TODOS",U134,IF(S134&lt;&gt;"",SUMIFS(COMPRAS!$J$3:$J$4997,COMPRAS!$G$3:$G$4997,S134,COMPRAS!$D$3:$D$4997,$X$2,COMPRAS!$B$3:$B$4997,"&gt;="&amp;IF($C$4="",DATE(1900,1,1),$C$4),COMPRAS!$B$3:$B$4997,"&lt;="&amp;IF($F$4="",DATE(2999,12,31),$F$4)),0))</f>
        <v>111</v>
      </c>
      <c r="Z134" s="1" t="n">
        <f aca="false">IF($X$2="TODOS",V134,IF(S134&lt;&gt;"",SUMIFS(COMPRAS!$O$3:$O$4997,COMPRAS!$G$3:$G$4997,S134,COMPRAS!$D$3:$D$4997,$X$2,COMPRAS!$B$3:$B$4997,"&gt;="&amp;IF($C$4="",DATE(1900,1,1),$C$4),COMPRAS!$B$3:$B$4997,"&lt;="&amp;IF($F$4="",DATE(2999,12,31),$F$4)),0))</f>
        <v>438.5</v>
      </c>
    </row>
    <row r="135" customFormat="false" ht="15" hidden="false" customHeight="true" outlineLevel="0" collapsed="false">
      <c r="N135" s="1" t="n">
        <f aca="false">PROVEEDORES!A136</f>
        <v>0</v>
      </c>
      <c r="O135" s="1" t="n">
        <f aca="false">PROVEEDORES!B136</f>
        <v>0</v>
      </c>
      <c r="P135" s="1" t="n">
        <f aca="false">IF(N135&lt;&gt;"",SUMIFS(COMPRAS!$J$3:$J$4997,COMPRAS!$D$3:$D$4997,N135,COMPRAS!$B$3:$B$4997,"&gt;="&amp;IF($C$4="",DATE(1900,1,1),$C$4),COMPRAS!$B$3:$B$4997,"&lt;="&amp;IF($F$4="",DATE(2999,12,31),$F$4)),0)</f>
        <v>0</v>
      </c>
      <c r="Q135" s="1" t="n">
        <f aca="false">IF(N135&lt;&gt;"",SUMIFS(COMPRAS!$O$3:$O$4997,COMPRAS!$D$3:$D$4997,N135,COMPRAS!$B$3:$B$4997,"&gt;="&amp;IF($C$4="",DATE(1900,1,1),$C$4),COMPRAS!$B$3:$B$4997,"&lt;="&amp;IF($F$4="",DATE(2999,12,31),$F$4)),0)</f>
        <v>0</v>
      </c>
      <c r="S135" s="1" t="str">
        <f aca="false">PRODUCTOS!A136</f>
        <v>C5262</v>
      </c>
      <c r="T135" s="1" t="str">
        <f aca="false">PRODUCTOS!B136</f>
        <v>RAPE BLANCO RASCO (MON)</v>
      </c>
      <c r="U135" s="1" t="n">
        <f aca="false">IF(S135&lt;&gt;"",SUMIFS(COMPRAS!$J$3:$J$4997,COMPRAS!$G$3:$G$4997,S135,COMPRAS!$B$3:$B$4997,"&gt;="&amp;IF($C$4="",DATE(1900,1,1),$C$4),COMPRAS!$B$3:$B$4997,"&lt;="&amp;IF($F$4="",DATE(2999,12,31),$F$4)),0)</f>
        <v>7149.7</v>
      </c>
      <c r="V135" s="1" t="n">
        <f aca="false">IF(S135&lt;&gt;"",SUMIFS(COMPRAS!$O$3:$O$4997,COMPRAS!$G$3:$G$4997,S135,COMPRAS!$B$3:$B$4997,"&gt;="&amp;IF($C$4="",DATE(1900,1,1),$C$4),COMPRAS!$B$3:$B$4997,"&lt;="&amp;IF($F$4="",DATE(2999,12,31),$F$4)),0)</f>
        <v>47464.017</v>
      </c>
      <c r="Y135" s="1" t="n">
        <f aca="false">IF($X$2="TODOS",U135,IF(S135&lt;&gt;"",SUMIFS(COMPRAS!$J$3:$J$4997,COMPRAS!$G$3:$G$4997,S135,COMPRAS!$D$3:$D$4997,$X$2,COMPRAS!$B$3:$B$4997,"&gt;="&amp;IF($C$4="",DATE(1900,1,1),$C$4),COMPRAS!$B$3:$B$4997,"&lt;="&amp;IF($F$4="",DATE(2999,12,31),$F$4)),0))</f>
        <v>7149.7</v>
      </c>
      <c r="Z135" s="1" t="n">
        <f aca="false">IF($X$2="TODOS",V135,IF(S135&lt;&gt;"",SUMIFS(COMPRAS!$O$3:$O$4997,COMPRAS!$G$3:$G$4997,S135,COMPRAS!$D$3:$D$4997,$X$2,COMPRAS!$B$3:$B$4997,"&gt;="&amp;IF($C$4="",DATE(1900,1,1),$C$4),COMPRAS!$B$3:$B$4997,"&lt;="&amp;IF($F$4="",DATE(2999,12,31),$F$4)),0))</f>
        <v>47464.017</v>
      </c>
    </row>
    <row r="136" customFormat="false" ht="15" hidden="false" customHeight="true" outlineLevel="0" collapsed="false">
      <c r="N136" s="1" t="n">
        <f aca="false">PROVEEDORES!A137</f>
        <v>0</v>
      </c>
      <c r="O136" s="1" t="n">
        <f aca="false">PROVEEDORES!B137</f>
        <v>0</v>
      </c>
      <c r="P136" s="1" t="n">
        <f aca="false">IF(N136&lt;&gt;"",SUMIFS(COMPRAS!$J$3:$J$4997,COMPRAS!$D$3:$D$4997,N136,COMPRAS!$B$3:$B$4997,"&gt;="&amp;IF($C$4="",DATE(1900,1,1),$C$4),COMPRAS!$B$3:$B$4997,"&lt;="&amp;IF($F$4="",DATE(2999,12,31),$F$4)),0)</f>
        <v>0</v>
      </c>
      <c r="Q136" s="1" t="n">
        <f aca="false">IF(N136&lt;&gt;"",SUMIFS(COMPRAS!$O$3:$O$4997,COMPRAS!$D$3:$D$4997,N136,COMPRAS!$B$3:$B$4997,"&gt;="&amp;IF($C$4="",DATE(1900,1,1),$C$4),COMPRAS!$B$3:$B$4997,"&lt;="&amp;IF($F$4="",DATE(2999,12,31),$F$4)),0)</f>
        <v>0</v>
      </c>
      <c r="S136" s="1" t="str">
        <f aca="false">PRODUCTOS!A137</f>
        <v>C5260</v>
      </c>
      <c r="T136" s="1" t="str">
        <f aca="false">PRODUCTOS!B137</f>
        <v>RAPE BLANCO ARRASTRE (MON)</v>
      </c>
      <c r="U136" s="1" t="n">
        <f aca="false">IF(S136&lt;&gt;"",SUMIFS(COMPRAS!$J$3:$J$4997,COMPRAS!$G$3:$G$4997,S136,COMPRAS!$B$3:$B$4997,"&gt;="&amp;IF($C$4="",DATE(1900,1,1),$C$4),COMPRAS!$B$3:$B$4997,"&lt;="&amp;IF($F$4="",DATE(2999,12,31),$F$4)),0)</f>
        <v>480.75</v>
      </c>
      <c r="V136" s="1" t="n">
        <f aca="false">IF(S136&lt;&gt;"",SUMIFS(COMPRAS!$O$3:$O$4997,COMPRAS!$G$3:$G$4997,S136,COMPRAS!$B$3:$B$4997,"&gt;="&amp;IF($C$4="",DATE(1900,1,1),$C$4),COMPRAS!$B$3:$B$4997,"&lt;="&amp;IF($F$4="",DATE(2999,12,31),$F$4)),0)</f>
        <v>2201.4915</v>
      </c>
      <c r="Y136" s="1" t="n">
        <f aca="false">IF($X$2="TODOS",U136,IF(S136&lt;&gt;"",SUMIFS(COMPRAS!$J$3:$J$4997,COMPRAS!$G$3:$G$4997,S136,COMPRAS!$D$3:$D$4997,$X$2,COMPRAS!$B$3:$B$4997,"&gt;="&amp;IF($C$4="",DATE(1900,1,1),$C$4),COMPRAS!$B$3:$B$4997,"&lt;="&amp;IF($F$4="",DATE(2999,12,31),$F$4)),0))</f>
        <v>480.75</v>
      </c>
      <c r="Z136" s="1" t="n">
        <f aca="false">IF($X$2="TODOS",V136,IF(S136&lt;&gt;"",SUMIFS(COMPRAS!$O$3:$O$4997,COMPRAS!$G$3:$G$4997,S136,COMPRAS!$D$3:$D$4997,$X$2,COMPRAS!$B$3:$B$4997,"&gt;="&amp;IF($C$4="",DATE(1900,1,1),$C$4),COMPRAS!$B$3:$B$4997,"&lt;="&amp;IF($F$4="",DATE(2999,12,31),$F$4)),0))</f>
        <v>2201.4915</v>
      </c>
    </row>
    <row r="137" customFormat="false" ht="15" hidden="false" customHeight="true" outlineLevel="0" collapsed="false">
      <c r="N137" s="1" t="n">
        <f aca="false">PROVEEDORES!A138</f>
        <v>0</v>
      </c>
      <c r="O137" s="1" t="n">
        <f aca="false">PROVEEDORES!B138</f>
        <v>0</v>
      </c>
      <c r="P137" s="1" t="n">
        <f aca="false">IF(N137&lt;&gt;"",SUMIFS(COMPRAS!$J$3:$J$4997,COMPRAS!$D$3:$D$4997,N137,COMPRAS!$B$3:$B$4997,"&gt;="&amp;IF($C$4="",DATE(1900,1,1),$C$4),COMPRAS!$B$3:$B$4997,"&lt;="&amp;IF($F$4="",DATE(2999,12,31),$F$4)),0)</f>
        <v>0</v>
      </c>
      <c r="Q137" s="1" t="n">
        <f aca="false">IF(N137&lt;&gt;"",SUMIFS(COMPRAS!$O$3:$O$4997,COMPRAS!$D$3:$D$4997,N137,COMPRAS!$B$3:$B$4997,"&gt;="&amp;IF($C$4="",DATE(1900,1,1),$C$4),COMPRAS!$B$3:$B$4997,"&lt;="&amp;IF($F$4="",DATE(2999,12,31),$F$4)),0)</f>
        <v>0</v>
      </c>
      <c r="S137" s="1" t="str">
        <f aca="false">PRODUCTOS!A138</f>
        <v>C5240</v>
      </c>
      <c r="T137" s="1" t="str">
        <f aca="false">PRODUCTOS!B138</f>
        <v>RAPE NEGRO (ANK)</v>
      </c>
      <c r="U137" s="1" t="n">
        <f aca="false">IF(S137&lt;&gt;"",SUMIFS(COMPRAS!$J$3:$J$4997,COMPRAS!$G$3:$G$4997,S137,COMPRAS!$B$3:$B$4997,"&gt;="&amp;IF($C$4="",DATE(1900,1,1),$C$4),COMPRAS!$B$3:$B$4997,"&lt;="&amp;IF($F$4="",DATE(2999,12,31),$F$4)),0)</f>
        <v>2166.3</v>
      </c>
      <c r="V137" s="1" t="n">
        <f aca="false">IF(S137&lt;&gt;"",SUMIFS(COMPRAS!$O$3:$O$4997,COMPRAS!$G$3:$G$4997,S137,COMPRAS!$B$3:$B$4997,"&gt;="&amp;IF($C$4="",DATE(1900,1,1),$C$4),COMPRAS!$B$3:$B$4997,"&lt;="&amp;IF($F$4="",DATE(2999,12,31),$F$4)),0)</f>
        <v>10128.4674</v>
      </c>
      <c r="Y137" s="1" t="n">
        <f aca="false">IF($X$2="TODOS",U137,IF(S137&lt;&gt;"",SUMIFS(COMPRAS!$J$3:$J$4997,COMPRAS!$G$3:$G$4997,S137,COMPRAS!$D$3:$D$4997,$X$2,COMPRAS!$B$3:$B$4997,"&gt;="&amp;IF($C$4="",DATE(1900,1,1),$C$4),COMPRAS!$B$3:$B$4997,"&lt;="&amp;IF($F$4="",DATE(2999,12,31),$F$4)),0))</f>
        <v>2166.3</v>
      </c>
      <c r="Z137" s="1" t="n">
        <f aca="false">IF($X$2="TODOS",V137,IF(S137&lt;&gt;"",SUMIFS(COMPRAS!$O$3:$O$4997,COMPRAS!$G$3:$G$4997,S137,COMPRAS!$D$3:$D$4997,$X$2,COMPRAS!$B$3:$B$4997,"&gt;="&amp;IF($C$4="",DATE(1900,1,1),$C$4),COMPRAS!$B$3:$B$4997,"&lt;="&amp;IF($F$4="",DATE(2999,12,31),$F$4)),0))</f>
        <v>10128.4674</v>
      </c>
    </row>
    <row r="138" customFormat="false" ht="15" hidden="false" customHeight="true" outlineLevel="0" collapsed="false">
      <c r="N138" s="1" t="n">
        <f aca="false">PROVEEDORES!A139</f>
        <v>0</v>
      </c>
      <c r="O138" s="1" t="n">
        <f aca="false">PROVEEDORES!B139</f>
        <v>0</v>
      </c>
      <c r="P138" s="1" t="n">
        <f aca="false">IF(N138&lt;&gt;"",SUMIFS(COMPRAS!$J$3:$J$4997,COMPRAS!$D$3:$D$4997,N138,COMPRAS!$B$3:$B$4997,"&gt;="&amp;IF($C$4="",DATE(1900,1,1),$C$4),COMPRAS!$B$3:$B$4997,"&lt;="&amp;IF($F$4="",DATE(2999,12,31),$F$4)),0)</f>
        <v>0</v>
      </c>
      <c r="Q138" s="1" t="n">
        <f aca="false">IF(N138&lt;&gt;"",SUMIFS(COMPRAS!$O$3:$O$4997,COMPRAS!$D$3:$D$4997,N138,COMPRAS!$B$3:$B$4997,"&gt;="&amp;IF($C$4="",DATE(1900,1,1),$C$4),COMPRAS!$B$3:$B$4997,"&lt;="&amp;IF($F$4="",DATE(2999,12,31),$F$4)),0)</f>
        <v>0</v>
      </c>
      <c r="S138" s="1" t="str">
        <f aca="false">PRODUCTOS!A139</f>
        <v>C3061</v>
      </c>
      <c r="T138" s="1" t="str">
        <f aca="false">PRODUCTOS!B139</f>
        <v>RAYA ROCAROSA (RJH)</v>
      </c>
      <c r="U138" s="1" t="n">
        <f aca="false">IF(S138&lt;&gt;"",SUMIFS(COMPRAS!$J$3:$J$4997,COMPRAS!$G$3:$G$4997,S138,COMPRAS!$B$3:$B$4997,"&gt;="&amp;IF($C$4="",DATE(1900,1,1),$C$4),COMPRAS!$B$3:$B$4997,"&lt;="&amp;IF($F$4="",DATE(2999,12,31),$F$4)),0)</f>
        <v>0</v>
      </c>
      <c r="V138" s="1" t="n">
        <f aca="false">IF(S138&lt;&gt;"",SUMIFS(COMPRAS!$O$3:$O$4997,COMPRAS!$G$3:$G$4997,S138,COMPRAS!$B$3:$B$4997,"&gt;="&amp;IF($C$4="",DATE(1900,1,1),$C$4),COMPRAS!$B$3:$B$4997,"&lt;="&amp;IF($F$4="",DATE(2999,12,31),$F$4)),0)</f>
        <v>0</v>
      </c>
      <c r="Y138" s="1" t="n">
        <f aca="false">IF($X$2="TODOS",U138,IF(S138&lt;&gt;"",SUMIFS(COMPRAS!$J$3:$J$4997,COMPRAS!$G$3:$G$4997,S138,COMPRAS!$D$3:$D$4997,$X$2,COMPRAS!$B$3:$B$4997,"&gt;="&amp;IF($C$4="",DATE(1900,1,1),$C$4),COMPRAS!$B$3:$B$4997,"&lt;="&amp;IF($F$4="",DATE(2999,12,31),$F$4)),0))</f>
        <v>0</v>
      </c>
      <c r="Z138" s="1" t="n">
        <f aca="false">IF($X$2="TODOS",V138,IF(S138&lt;&gt;"",SUMIFS(COMPRAS!$O$3:$O$4997,COMPRAS!$G$3:$G$4997,S138,COMPRAS!$D$3:$D$4997,$X$2,COMPRAS!$B$3:$B$4997,"&gt;="&amp;IF($C$4="",DATE(1900,1,1),$C$4),COMPRAS!$B$3:$B$4997,"&lt;="&amp;IF($F$4="",DATE(2999,12,31),$F$4)),0))</f>
        <v>0</v>
      </c>
    </row>
    <row r="139" customFormat="false" ht="15" hidden="false" customHeight="true" outlineLevel="0" collapsed="false">
      <c r="N139" s="1" t="n">
        <f aca="false">PROVEEDORES!A140</f>
        <v>0</v>
      </c>
      <c r="O139" s="1" t="n">
        <f aca="false">PROVEEDORES!B140</f>
        <v>0</v>
      </c>
      <c r="P139" s="1" t="n">
        <f aca="false">IF(N139&lt;&gt;"",SUMIFS(COMPRAS!$J$3:$J$4997,COMPRAS!$D$3:$D$4997,N139,COMPRAS!$B$3:$B$4997,"&gt;="&amp;IF($C$4="",DATE(1900,1,1),$C$4),COMPRAS!$B$3:$B$4997,"&lt;="&amp;IF($F$4="",DATE(2999,12,31),$F$4)),0)</f>
        <v>0</v>
      </c>
      <c r="Q139" s="1" t="n">
        <f aca="false">IF(N139&lt;&gt;"",SUMIFS(COMPRAS!$O$3:$O$4997,COMPRAS!$D$3:$D$4997,N139,COMPRAS!$B$3:$B$4997,"&gt;="&amp;IF($C$4="",DATE(1900,1,1),$C$4),COMPRAS!$B$3:$B$4997,"&lt;="&amp;IF($F$4="",DATE(2999,12,31),$F$4)),0)</f>
        <v>0</v>
      </c>
      <c r="S139" s="1" t="str">
        <f aca="false">PRODUCTOS!A140</f>
        <v>C3062</v>
      </c>
      <c r="T139" s="1" t="str">
        <f aca="false">PRODUCTOS!B140</f>
        <v>RAYA COLORADA (RJE)</v>
      </c>
      <c r="U139" s="1" t="n">
        <f aca="false">IF(S139&lt;&gt;"",SUMIFS(COMPRAS!$J$3:$J$4997,COMPRAS!$G$3:$G$4997,S139,COMPRAS!$B$3:$B$4997,"&gt;="&amp;IF($C$4="",DATE(1900,1,1),$C$4),COMPRAS!$B$3:$B$4997,"&lt;="&amp;IF($F$4="",DATE(2999,12,31),$F$4)),0)</f>
        <v>0</v>
      </c>
      <c r="V139" s="1" t="n">
        <f aca="false">IF(S139&lt;&gt;"",SUMIFS(COMPRAS!$O$3:$O$4997,COMPRAS!$G$3:$G$4997,S139,COMPRAS!$B$3:$B$4997,"&gt;="&amp;IF($C$4="",DATE(1900,1,1),$C$4),COMPRAS!$B$3:$B$4997,"&lt;="&amp;IF($F$4="",DATE(2999,12,31),$F$4)),0)</f>
        <v>0</v>
      </c>
      <c r="Y139" s="1" t="n">
        <f aca="false">IF($X$2="TODOS",U139,IF(S139&lt;&gt;"",SUMIFS(COMPRAS!$J$3:$J$4997,COMPRAS!$G$3:$G$4997,S139,COMPRAS!$D$3:$D$4997,$X$2,COMPRAS!$B$3:$B$4997,"&gt;="&amp;IF($C$4="",DATE(1900,1,1),$C$4),COMPRAS!$B$3:$B$4997,"&lt;="&amp;IF($F$4="",DATE(2999,12,31),$F$4)),0))</f>
        <v>0</v>
      </c>
      <c r="Z139" s="1" t="n">
        <f aca="false">IF($X$2="TODOS",V139,IF(S139&lt;&gt;"",SUMIFS(COMPRAS!$O$3:$O$4997,COMPRAS!$G$3:$G$4997,S139,COMPRAS!$D$3:$D$4997,$X$2,COMPRAS!$B$3:$B$4997,"&gt;="&amp;IF($C$4="",DATE(1900,1,1),$C$4),COMPRAS!$B$3:$B$4997,"&lt;="&amp;IF($F$4="",DATE(2999,12,31),$F$4)),0))</f>
        <v>0</v>
      </c>
    </row>
    <row r="140" customFormat="false" ht="15" hidden="false" customHeight="true" outlineLevel="0" collapsed="false">
      <c r="N140" s="1" t="n">
        <f aca="false">PROVEEDORES!A141</f>
        <v>0</v>
      </c>
      <c r="O140" s="1" t="n">
        <f aca="false">PROVEEDORES!B141</f>
        <v>0</v>
      </c>
      <c r="P140" s="1" t="n">
        <f aca="false">IF(N140&lt;&gt;"",SUMIFS(COMPRAS!$J$3:$J$4997,COMPRAS!$D$3:$D$4997,N140,COMPRAS!$B$3:$B$4997,"&gt;="&amp;IF($C$4="",DATE(1900,1,1),$C$4),COMPRAS!$B$3:$B$4997,"&lt;="&amp;IF($F$4="",DATE(2999,12,31),$F$4)),0)</f>
        <v>0</v>
      </c>
      <c r="Q140" s="1" t="n">
        <f aca="false">IF(N140&lt;&gt;"",SUMIFS(COMPRAS!$O$3:$O$4997,COMPRAS!$D$3:$D$4997,N140,COMPRAS!$B$3:$B$4997,"&gt;="&amp;IF($C$4="",DATE(1900,1,1),$C$4),COMPRAS!$B$3:$B$4997,"&lt;="&amp;IF($F$4="",DATE(2999,12,31),$F$4)),0)</f>
        <v>0</v>
      </c>
      <c r="S140" s="1" t="str">
        <f aca="false">PRODUCTOS!A141</f>
        <v>C3060</v>
      </c>
      <c r="T140" s="1" t="str">
        <f aca="false">PRODUCTOS!B141</f>
        <v>RAYA COMUN (ALAS)</v>
      </c>
      <c r="U140" s="1" t="n">
        <f aca="false">IF(S140&lt;&gt;"",SUMIFS(COMPRAS!$J$3:$J$4997,COMPRAS!$G$3:$G$4997,S140,COMPRAS!$B$3:$B$4997,"&gt;="&amp;IF($C$4="",DATE(1900,1,1),$C$4),COMPRAS!$B$3:$B$4997,"&lt;="&amp;IF($F$4="",DATE(2999,12,31),$F$4)),0)</f>
        <v>731.921</v>
      </c>
      <c r="V140" s="1" t="n">
        <f aca="false">IF(S140&lt;&gt;"",SUMIFS(COMPRAS!$O$3:$O$4997,COMPRAS!$G$3:$G$4997,S140,COMPRAS!$B$3:$B$4997,"&gt;="&amp;IF($C$4="",DATE(1900,1,1),$C$4),COMPRAS!$B$3:$B$4997,"&lt;="&amp;IF($F$4="",DATE(2999,12,31),$F$4)),0)</f>
        <v>2866.09912</v>
      </c>
      <c r="Y140" s="1" t="n">
        <f aca="false">IF($X$2="TODOS",U140,IF(S140&lt;&gt;"",SUMIFS(COMPRAS!$J$3:$J$4997,COMPRAS!$G$3:$G$4997,S140,COMPRAS!$D$3:$D$4997,$X$2,COMPRAS!$B$3:$B$4997,"&gt;="&amp;IF($C$4="",DATE(1900,1,1),$C$4),COMPRAS!$B$3:$B$4997,"&lt;="&amp;IF($F$4="",DATE(2999,12,31),$F$4)),0))</f>
        <v>731.921</v>
      </c>
      <c r="Z140" s="1" t="n">
        <f aca="false">IF($X$2="TODOS",V140,IF(S140&lt;&gt;"",SUMIFS(COMPRAS!$O$3:$O$4997,COMPRAS!$G$3:$G$4997,S140,COMPRAS!$D$3:$D$4997,$X$2,COMPRAS!$B$3:$B$4997,"&gt;="&amp;IF($C$4="",DATE(1900,1,1),$C$4),COMPRAS!$B$3:$B$4997,"&lt;="&amp;IF($F$4="",DATE(2999,12,31),$F$4)),0))</f>
        <v>2866.09912</v>
      </c>
    </row>
    <row r="141" customFormat="false" ht="15" hidden="false" customHeight="true" outlineLevel="0" collapsed="false">
      <c r="N141" s="1" t="n">
        <f aca="false">PROVEEDORES!A142</f>
        <v>0</v>
      </c>
      <c r="O141" s="1" t="n">
        <f aca="false">PROVEEDORES!B142</f>
        <v>0</v>
      </c>
      <c r="P141" s="1" t="n">
        <f aca="false">IF(N141&lt;&gt;"",SUMIFS(COMPRAS!$J$3:$J$4997,COMPRAS!$D$3:$D$4997,N141,COMPRAS!$B$3:$B$4997,"&gt;="&amp;IF($C$4="",DATE(1900,1,1),$C$4),COMPRAS!$B$3:$B$4997,"&lt;="&amp;IF($F$4="",DATE(2999,12,31),$F$4)),0)</f>
        <v>0</v>
      </c>
      <c r="Q141" s="1" t="n">
        <f aca="false">IF(N141&lt;&gt;"",SUMIFS(COMPRAS!$O$3:$O$4997,COMPRAS!$D$3:$D$4997,N141,COMPRAS!$B$3:$B$4997,"&gt;="&amp;IF($C$4="",DATE(1900,1,1),$C$4),COMPRAS!$B$3:$B$4997,"&lt;="&amp;IF($F$4="",DATE(2999,12,31),$F$4)),0)</f>
        <v>0</v>
      </c>
      <c r="S141" s="1" t="str">
        <f aca="false">PRODUCTOS!A142</f>
        <v>C306</v>
      </c>
      <c r="T141" s="1" t="str">
        <f aca="false">PRODUCTOS!B142</f>
        <v>RAYA SPP (SKA)</v>
      </c>
      <c r="U141" s="1" t="n">
        <f aca="false">IF(S141&lt;&gt;"",SUMIFS(COMPRAS!$J$3:$J$4997,COMPRAS!$G$3:$G$4997,S141,COMPRAS!$B$3:$B$4997,"&gt;="&amp;IF($C$4="",DATE(1900,1,1),$C$4),COMPRAS!$B$3:$B$4997,"&lt;="&amp;IF($F$4="",DATE(2999,12,31),$F$4)),0)</f>
        <v>1919.75</v>
      </c>
      <c r="V141" s="1" t="n">
        <f aca="false">IF(S141&lt;&gt;"",SUMIFS(COMPRAS!$O$3:$O$4997,COMPRAS!$G$3:$G$4997,S141,COMPRAS!$B$3:$B$4997,"&gt;="&amp;IF($C$4="",DATE(1900,1,1),$C$4),COMPRAS!$B$3:$B$4997,"&lt;="&amp;IF($F$4="",DATE(2999,12,31),$F$4)),0)</f>
        <v>3789.99819</v>
      </c>
      <c r="Y141" s="1" t="n">
        <f aca="false">IF($X$2="TODOS",U141,IF(S141&lt;&gt;"",SUMIFS(COMPRAS!$J$3:$J$4997,COMPRAS!$G$3:$G$4997,S141,COMPRAS!$D$3:$D$4997,$X$2,COMPRAS!$B$3:$B$4997,"&gt;="&amp;IF($C$4="",DATE(1900,1,1),$C$4),COMPRAS!$B$3:$B$4997,"&lt;="&amp;IF($F$4="",DATE(2999,12,31),$F$4)),0))</f>
        <v>1919.75</v>
      </c>
      <c r="Z141" s="1" t="n">
        <f aca="false">IF($X$2="TODOS",V141,IF(S141&lt;&gt;"",SUMIFS(COMPRAS!$O$3:$O$4997,COMPRAS!$G$3:$G$4997,S141,COMPRAS!$D$3:$D$4997,$X$2,COMPRAS!$B$3:$B$4997,"&gt;="&amp;IF($C$4="",DATE(1900,1,1),$C$4),COMPRAS!$B$3:$B$4997,"&lt;="&amp;IF($F$4="",DATE(2999,12,31),$F$4)),0))</f>
        <v>3789.99819</v>
      </c>
    </row>
    <row r="142" customFormat="false" ht="15" hidden="false" customHeight="true" outlineLevel="0" collapsed="false">
      <c r="N142" s="1" t="n">
        <f aca="false">PROVEEDORES!A143</f>
        <v>0</v>
      </c>
      <c r="O142" s="1" t="n">
        <f aca="false">PROVEEDORES!B143</f>
        <v>0</v>
      </c>
      <c r="P142" s="1" t="n">
        <f aca="false">IF(N142&lt;&gt;"",SUMIFS(COMPRAS!$J$3:$J$4997,COMPRAS!$D$3:$D$4997,N142,COMPRAS!$B$3:$B$4997,"&gt;="&amp;IF($C$4="",DATE(1900,1,1),$C$4),COMPRAS!$B$3:$B$4997,"&lt;="&amp;IF($F$4="",DATE(2999,12,31),$F$4)),0)</f>
        <v>0</v>
      </c>
      <c r="Q142" s="1" t="n">
        <f aca="false">IF(N142&lt;&gt;"",SUMIFS(COMPRAS!$O$3:$O$4997,COMPRAS!$D$3:$D$4997,N142,COMPRAS!$B$3:$B$4997,"&gt;="&amp;IF($C$4="",DATE(1900,1,1),$C$4),COMPRAS!$B$3:$B$4997,"&lt;="&amp;IF($F$4="",DATE(2999,12,31),$F$4)),0)</f>
        <v>0</v>
      </c>
      <c r="S142" s="1" t="str">
        <f aca="false">PRODUCTOS!A143</f>
        <v>C630</v>
      </c>
      <c r="T142" s="1" t="str">
        <f aca="false">PRODUCTOS!B143</f>
        <v>RODABALLO (TUR)</v>
      </c>
      <c r="U142" s="1" t="n">
        <f aca="false">IF(S142&lt;&gt;"",SUMIFS(COMPRAS!$J$3:$J$4997,COMPRAS!$G$3:$G$4997,S142,COMPRAS!$B$3:$B$4997,"&gt;="&amp;IF($C$4="",DATE(1900,1,1),$C$4),COMPRAS!$B$3:$B$4997,"&lt;="&amp;IF($F$4="",DATE(2999,12,31),$F$4)),0)</f>
        <v>64.8</v>
      </c>
      <c r="V142" s="1" t="n">
        <f aca="false">IF(S142&lt;&gt;"",SUMIFS(COMPRAS!$O$3:$O$4997,COMPRAS!$G$3:$G$4997,S142,COMPRAS!$B$3:$B$4997,"&gt;="&amp;IF($C$4="",DATE(1900,1,1),$C$4),COMPRAS!$B$3:$B$4997,"&lt;="&amp;IF($F$4="",DATE(2999,12,31),$F$4)),0)</f>
        <v>1588.82</v>
      </c>
      <c r="Y142" s="1" t="n">
        <f aca="false">IF($X$2="TODOS",U142,IF(S142&lt;&gt;"",SUMIFS(COMPRAS!$J$3:$J$4997,COMPRAS!$G$3:$G$4997,S142,COMPRAS!$D$3:$D$4997,$X$2,COMPRAS!$B$3:$B$4997,"&gt;="&amp;IF($C$4="",DATE(1900,1,1),$C$4),COMPRAS!$B$3:$B$4997,"&lt;="&amp;IF($F$4="",DATE(2999,12,31),$F$4)),0))</f>
        <v>64.8</v>
      </c>
      <c r="Z142" s="1" t="n">
        <f aca="false">IF($X$2="TODOS",V142,IF(S142&lt;&gt;"",SUMIFS(COMPRAS!$O$3:$O$4997,COMPRAS!$G$3:$G$4997,S142,COMPRAS!$D$3:$D$4997,$X$2,COMPRAS!$B$3:$B$4997,"&gt;="&amp;IF($C$4="",DATE(1900,1,1),$C$4),COMPRAS!$B$3:$B$4997,"&lt;="&amp;IF($F$4="",DATE(2999,12,31),$F$4)),0))</f>
        <v>1588.82</v>
      </c>
    </row>
    <row r="143" customFormat="false" ht="15" hidden="false" customHeight="true" outlineLevel="0" collapsed="false">
      <c r="N143" s="1" t="n">
        <f aca="false">PROVEEDORES!A144</f>
        <v>0</v>
      </c>
      <c r="O143" s="1" t="n">
        <f aca="false">PROVEEDORES!B144</f>
        <v>0</v>
      </c>
      <c r="P143" s="1" t="n">
        <f aca="false">IF(N143&lt;&gt;"",SUMIFS(COMPRAS!$J$3:$J$4997,COMPRAS!$D$3:$D$4997,N143,COMPRAS!$B$3:$B$4997,"&gt;="&amp;IF($C$4="",DATE(1900,1,1),$C$4),COMPRAS!$B$3:$B$4997,"&lt;="&amp;IF($F$4="",DATE(2999,12,31),$F$4)),0)</f>
        <v>0</v>
      </c>
      <c r="Q143" s="1" t="n">
        <f aca="false">IF(N143&lt;&gt;"",SUMIFS(COMPRAS!$O$3:$O$4997,COMPRAS!$D$3:$D$4997,N143,COMPRAS!$B$3:$B$4997,"&gt;="&amp;IF($C$4="",DATE(1900,1,1),$C$4),COMPRAS!$B$3:$B$4997,"&lt;="&amp;IF($F$4="",DATE(2999,12,31),$F$4)),0)</f>
        <v>0</v>
      </c>
      <c r="S143" s="1" t="str">
        <f aca="false">PRODUCTOS!A144</f>
        <v>C7599</v>
      </c>
      <c r="T143" s="1" t="str">
        <f aca="false">PRODUCTOS!B144</f>
        <v>SABLE BLANCO (SFS)</v>
      </c>
      <c r="U143" s="1" t="n">
        <f aca="false">IF(S143&lt;&gt;"",SUMIFS(COMPRAS!$J$3:$J$4997,COMPRAS!$G$3:$G$4997,S143,COMPRAS!$B$3:$B$4997,"&gt;="&amp;IF($C$4="",DATE(1900,1,1),$C$4),COMPRAS!$B$3:$B$4997,"&lt;="&amp;IF($F$4="",DATE(2999,12,31),$F$4)),0)</f>
        <v>23.5</v>
      </c>
      <c r="V143" s="1" t="n">
        <f aca="false">IF(S143&lt;&gt;"",SUMIFS(COMPRAS!$O$3:$O$4997,COMPRAS!$G$3:$G$4997,S143,COMPRAS!$B$3:$B$4997,"&gt;="&amp;IF($C$4="",DATE(1900,1,1),$C$4),COMPRAS!$B$3:$B$4997,"&lt;="&amp;IF($F$4="",DATE(2999,12,31),$F$4)),0)</f>
        <v>66.4785</v>
      </c>
      <c r="Y143" s="1" t="n">
        <f aca="false">IF($X$2="TODOS",U143,IF(S143&lt;&gt;"",SUMIFS(COMPRAS!$J$3:$J$4997,COMPRAS!$G$3:$G$4997,S143,COMPRAS!$D$3:$D$4997,$X$2,COMPRAS!$B$3:$B$4997,"&gt;="&amp;IF($C$4="",DATE(1900,1,1),$C$4),COMPRAS!$B$3:$B$4997,"&lt;="&amp;IF($F$4="",DATE(2999,12,31),$F$4)),0))</f>
        <v>23.5</v>
      </c>
      <c r="Z143" s="1" t="n">
        <f aca="false">IF($X$2="TODOS",V143,IF(S143&lt;&gt;"",SUMIFS(COMPRAS!$O$3:$O$4997,COMPRAS!$G$3:$G$4997,S143,COMPRAS!$D$3:$D$4997,$X$2,COMPRAS!$B$3:$B$4997,"&gt;="&amp;IF($C$4="",DATE(1900,1,1),$C$4),COMPRAS!$B$3:$B$4997,"&lt;="&amp;IF($F$4="",DATE(2999,12,31),$F$4)),0))</f>
        <v>66.4785</v>
      </c>
    </row>
    <row r="144" customFormat="false" ht="15" hidden="false" customHeight="true" outlineLevel="0" collapsed="false">
      <c r="N144" s="1" t="n">
        <f aca="false">PROVEEDORES!A145</f>
        <v>0</v>
      </c>
      <c r="O144" s="1" t="n">
        <f aca="false">PROVEEDORES!B145</f>
        <v>0</v>
      </c>
      <c r="P144" s="1" t="n">
        <f aca="false">IF(N144&lt;&gt;"",SUMIFS(COMPRAS!$J$3:$J$4997,COMPRAS!$D$3:$D$4997,N144,COMPRAS!$B$3:$B$4997,"&gt;="&amp;IF($C$4="",DATE(1900,1,1),$C$4),COMPRAS!$B$3:$B$4997,"&lt;="&amp;IF($F$4="",DATE(2999,12,31),$F$4)),0)</f>
        <v>0</v>
      </c>
      <c r="Q144" s="1" t="n">
        <f aca="false">IF(N144&lt;&gt;"",SUMIFS(COMPRAS!$O$3:$O$4997,COMPRAS!$D$3:$D$4997,N144,COMPRAS!$B$3:$B$4997,"&gt;="&amp;IF($C$4="",DATE(1900,1,1),$C$4),COMPRAS!$B$3:$B$4997,"&lt;="&amp;IF($F$4="",DATE(2999,12,31),$F$4)),0)</f>
        <v>0</v>
      </c>
      <c r="S144" s="1" t="str">
        <f aca="false">PRODUCTOS!A145</f>
        <v>C770</v>
      </c>
      <c r="T144" s="1" t="str">
        <f aca="false">PRODUCTOS!B145</f>
        <v>SABOGA/ SALEMA/ SALMA (SLM)</v>
      </c>
      <c r="U144" s="1" t="n">
        <f aca="false">IF(S144&lt;&gt;"",SUMIFS(COMPRAS!$J$3:$J$4997,COMPRAS!$G$3:$G$4997,S144,COMPRAS!$B$3:$B$4997,"&gt;="&amp;IF($C$4="",DATE(1900,1,1),$C$4),COMPRAS!$B$3:$B$4997,"&lt;="&amp;IF($F$4="",DATE(2999,12,31),$F$4)),0)</f>
        <v>331.8</v>
      </c>
      <c r="V144" s="1" t="n">
        <f aca="false">IF(S144&lt;&gt;"",SUMIFS(COMPRAS!$O$3:$O$4997,COMPRAS!$G$3:$G$4997,S144,COMPRAS!$B$3:$B$4997,"&gt;="&amp;IF($C$4="",DATE(1900,1,1),$C$4),COMPRAS!$B$3:$B$4997,"&lt;="&amp;IF($F$4="",DATE(2999,12,31),$F$4)),0)</f>
        <v>297.0036</v>
      </c>
      <c r="Y144" s="1" t="n">
        <f aca="false">IF($X$2="TODOS",U144,IF(S144&lt;&gt;"",SUMIFS(COMPRAS!$J$3:$J$4997,COMPRAS!$G$3:$G$4997,S144,COMPRAS!$D$3:$D$4997,$X$2,COMPRAS!$B$3:$B$4997,"&gt;="&amp;IF($C$4="",DATE(1900,1,1),$C$4),COMPRAS!$B$3:$B$4997,"&lt;="&amp;IF($F$4="",DATE(2999,12,31),$F$4)),0))</f>
        <v>331.8</v>
      </c>
      <c r="Z144" s="1" t="n">
        <f aca="false">IF($X$2="TODOS",V144,IF(S144&lt;&gt;"",SUMIFS(COMPRAS!$O$3:$O$4997,COMPRAS!$G$3:$G$4997,S144,COMPRAS!$D$3:$D$4997,$X$2,COMPRAS!$B$3:$B$4997,"&gt;="&amp;IF($C$4="",DATE(1900,1,1),$C$4),COMPRAS!$B$3:$B$4997,"&lt;="&amp;IF($F$4="",DATE(2999,12,31),$F$4)),0))</f>
        <v>297.0036</v>
      </c>
    </row>
    <row r="145" customFormat="false" ht="15" hidden="false" customHeight="true" outlineLevel="0" collapsed="false">
      <c r="N145" s="1" t="n">
        <f aca="false">PROVEEDORES!A146</f>
        <v>0</v>
      </c>
      <c r="O145" s="1" t="n">
        <f aca="false">PROVEEDORES!B146</f>
        <v>0</v>
      </c>
      <c r="P145" s="1" t="n">
        <f aca="false">IF(N145&lt;&gt;"",SUMIFS(COMPRAS!$J$3:$J$4997,COMPRAS!$D$3:$D$4997,N145,COMPRAS!$B$3:$B$4997,"&gt;="&amp;IF($C$4="",DATE(1900,1,1),$C$4),COMPRAS!$B$3:$B$4997,"&lt;="&amp;IF($F$4="",DATE(2999,12,31),$F$4)),0)</f>
        <v>0</v>
      </c>
      <c r="Q145" s="1" t="n">
        <f aca="false">IF(N145&lt;&gt;"",SUMIFS(COMPRAS!$O$3:$O$4997,COMPRAS!$D$3:$D$4997,N145,COMPRAS!$B$3:$B$4997,"&gt;="&amp;IF($C$4="",DATE(1900,1,1),$C$4),COMPRAS!$B$3:$B$4997,"&lt;="&amp;IF($F$4="",DATE(2999,12,31),$F$4)),0)</f>
        <v>0</v>
      </c>
      <c r="S145" s="1" t="str">
        <f aca="false">PRODUCTOS!A146</f>
        <v>C900</v>
      </c>
      <c r="T145" s="1" t="str">
        <f aca="false">PRODUCTOS!B146</f>
        <v>SALMON (SAL)</v>
      </c>
      <c r="U145" s="1" t="n">
        <f aca="false">IF(S145&lt;&gt;"",SUMIFS(COMPRAS!$J$3:$J$4997,COMPRAS!$G$3:$G$4997,S145,COMPRAS!$B$3:$B$4997,"&gt;="&amp;IF($C$4="",DATE(1900,1,1),$C$4),COMPRAS!$B$3:$B$4997,"&lt;="&amp;IF($F$4="",DATE(2999,12,31),$F$4)),0)</f>
        <v>0</v>
      </c>
      <c r="V145" s="1" t="n">
        <f aca="false">IF(S145&lt;&gt;"",SUMIFS(COMPRAS!$O$3:$O$4997,COMPRAS!$G$3:$G$4997,S145,COMPRAS!$B$3:$B$4997,"&gt;="&amp;IF($C$4="",DATE(1900,1,1),$C$4),COMPRAS!$B$3:$B$4997,"&lt;="&amp;IF($F$4="",DATE(2999,12,31),$F$4)),0)</f>
        <v>0</v>
      </c>
      <c r="Y145" s="1" t="n">
        <f aca="false">IF($X$2="TODOS",U145,IF(S145&lt;&gt;"",SUMIFS(COMPRAS!$J$3:$J$4997,COMPRAS!$G$3:$G$4997,S145,COMPRAS!$D$3:$D$4997,$X$2,COMPRAS!$B$3:$B$4997,"&gt;="&amp;IF($C$4="",DATE(1900,1,1),$C$4),COMPRAS!$B$3:$B$4997,"&lt;="&amp;IF($F$4="",DATE(2999,12,31),$F$4)),0))</f>
        <v>0</v>
      </c>
      <c r="Z145" s="1" t="n">
        <f aca="false">IF($X$2="TODOS",V145,IF(S145&lt;&gt;"",SUMIFS(COMPRAS!$O$3:$O$4997,COMPRAS!$G$3:$G$4997,S145,COMPRAS!$D$3:$D$4997,$X$2,COMPRAS!$B$3:$B$4997,"&gt;="&amp;IF($C$4="",DATE(1900,1,1),$C$4),COMPRAS!$B$3:$B$4997,"&lt;="&amp;IF($F$4="",DATE(2999,12,31),$F$4)),0))</f>
        <v>0</v>
      </c>
    </row>
    <row r="146" customFormat="false" ht="15" hidden="false" customHeight="true" outlineLevel="0" collapsed="false">
      <c r="N146" s="1" t="n">
        <f aca="false">PROVEEDORES!A147</f>
        <v>0</v>
      </c>
      <c r="O146" s="1" t="n">
        <f aca="false">PROVEEDORES!B147</f>
        <v>0</v>
      </c>
      <c r="P146" s="1" t="n">
        <f aca="false">IF(N146&lt;&gt;"",SUMIFS(COMPRAS!$J$3:$J$4997,COMPRAS!$D$3:$D$4997,N146,COMPRAS!$B$3:$B$4997,"&gt;="&amp;IF($C$4="",DATE(1900,1,1),$C$4),COMPRAS!$B$3:$B$4997,"&lt;="&amp;IF($F$4="",DATE(2999,12,31),$F$4)),0)</f>
        <v>0</v>
      </c>
      <c r="Q146" s="1" t="n">
        <f aca="false">IF(N146&lt;&gt;"",SUMIFS(COMPRAS!$O$3:$O$4997,COMPRAS!$D$3:$D$4997,N146,COMPRAS!$B$3:$B$4997,"&gt;="&amp;IF($C$4="",DATE(1900,1,1),$C$4),COMPRAS!$B$3:$B$4997,"&lt;="&amp;IF($F$4="",DATE(2999,12,31),$F$4)),0)</f>
        <v>0</v>
      </c>
      <c r="S146" s="1" t="str">
        <f aca="false">PRODUCTOS!A147</f>
        <v>C340</v>
      </c>
      <c r="T146" s="1" t="str">
        <f aca="false">PRODUCTOS!B147</f>
        <v>SALMONETE</v>
      </c>
      <c r="U146" s="1" t="n">
        <f aca="false">IF(S146&lt;&gt;"",SUMIFS(COMPRAS!$J$3:$J$4997,COMPRAS!$G$3:$G$4997,S146,COMPRAS!$B$3:$B$4997,"&gt;="&amp;IF($C$4="",DATE(1900,1,1),$C$4),COMPRAS!$B$3:$B$4997,"&lt;="&amp;IF($F$4="",DATE(2999,12,31),$F$4)),0)</f>
        <v>4.9</v>
      </c>
      <c r="V146" s="1" t="n">
        <f aca="false">IF(S146&lt;&gt;"",SUMIFS(COMPRAS!$O$3:$O$4997,COMPRAS!$G$3:$G$4997,S146,COMPRAS!$B$3:$B$4997,"&gt;="&amp;IF($C$4="",DATE(1900,1,1),$C$4),COMPRAS!$B$3:$B$4997,"&lt;="&amp;IF($F$4="",DATE(2999,12,31),$F$4)),0)</f>
        <v>59.1906</v>
      </c>
      <c r="Y146" s="1" t="n">
        <f aca="false">IF($X$2="TODOS",U146,IF(S146&lt;&gt;"",SUMIFS(COMPRAS!$J$3:$J$4997,COMPRAS!$G$3:$G$4997,S146,COMPRAS!$D$3:$D$4997,$X$2,COMPRAS!$B$3:$B$4997,"&gt;="&amp;IF($C$4="",DATE(1900,1,1),$C$4),COMPRAS!$B$3:$B$4997,"&lt;="&amp;IF($F$4="",DATE(2999,12,31),$F$4)),0))</f>
        <v>4.9</v>
      </c>
      <c r="Z146" s="1" t="n">
        <f aca="false">IF($X$2="TODOS",V146,IF(S146&lt;&gt;"",SUMIFS(COMPRAS!$O$3:$O$4997,COMPRAS!$G$3:$G$4997,S146,COMPRAS!$D$3:$D$4997,$X$2,COMPRAS!$B$3:$B$4997,"&gt;="&amp;IF($C$4="",DATE(1900,1,1),$C$4),COMPRAS!$B$3:$B$4997,"&lt;="&amp;IF($F$4="",DATE(2999,12,31),$F$4)),0))</f>
        <v>59.1906</v>
      </c>
    </row>
    <row r="147" customFormat="false" ht="15" hidden="false" customHeight="true" outlineLevel="0" collapsed="false">
      <c r="N147" s="1" t="n">
        <f aca="false">PROVEEDORES!A148</f>
        <v>0</v>
      </c>
      <c r="O147" s="1" t="n">
        <f aca="false">PROVEEDORES!B148</f>
        <v>0</v>
      </c>
      <c r="P147" s="1" t="n">
        <f aca="false">IF(N147&lt;&gt;"",SUMIFS(COMPRAS!$J$3:$J$4997,COMPRAS!$D$3:$D$4997,N147,COMPRAS!$B$3:$B$4997,"&gt;="&amp;IF($C$4="",DATE(1900,1,1),$C$4),COMPRAS!$B$3:$B$4997,"&lt;="&amp;IF($F$4="",DATE(2999,12,31),$F$4)),0)</f>
        <v>0</v>
      </c>
      <c r="Q147" s="1" t="n">
        <f aca="false">IF(N147&lt;&gt;"",SUMIFS(COMPRAS!$O$3:$O$4997,COMPRAS!$D$3:$D$4997,N147,COMPRAS!$B$3:$B$4997,"&gt;="&amp;IF($C$4="",DATE(1900,1,1),$C$4),COMPRAS!$B$3:$B$4997,"&lt;="&amp;IF($F$4="",DATE(2999,12,31),$F$4)),0)</f>
        <v>0</v>
      </c>
      <c r="S147" s="1" t="str">
        <f aca="false">PRODUCTOS!A148</f>
        <v>C341</v>
      </c>
      <c r="T147" s="1" t="str">
        <f aca="false">PRODUCTOS!B148</f>
        <v>SALMONETE ROCA (MUR)</v>
      </c>
      <c r="U147" s="1" t="n">
        <f aca="false">IF(S147&lt;&gt;"",SUMIFS(COMPRAS!$J$3:$J$4997,COMPRAS!$G$3:$G$4997,S147,COMPRAS!$B$3:$B$4997,"&gt;="&amp;IF($C$4="",DATE(1900,1,1),$C$4),COMPRAS!$B$3:$B$4997,"&lt;="&amp;IF($F$4="",DATE(2999,12,31),$F$4)),0)</f>
        <v>317.35</v>
      </c>
      <c r="V147" s="1" t="n">
        <f aca="false">IF(S147&lt;&gt;"",SUMIFS(COMPRAS!$O$3:$O$4997,COMPRAS!$G$3:$G$4997,S147,COMPRAS!$B$3:$B$4997,"&gt;="&amp;IF($C$4="",DATE(1900,1,1),$C$4),COMPRAS!$B$3:$B$4997,"&lt;="&amp;IF($F$4="",DATE(2999,12,31),$F$4)),0)</f>
        <v>4831.3655</v>
      </c>
      <c r="Y147" s="1" t="n">
        <f aca="false">IF($X$2="TODOS",U147,IF(S147&lt;&gt;"",SUMIFS(COMPRAS!$J$3:$J$4997,COMPRAS!$G$3:$G$4997,S147,COMPRAS!$D$3:$D$4997,$X$2,COMPRAS!$B$3:$B$4997,"&gt;="&amp;IF($C$4="",DATE(1900,1,1),$C$4),COMPRAS!$B$3:$B$4997,"&lt;="&amp;IF($F$4="",DATE(2999,12,31),$F$4)),0))</f>
        <v>317.35</v>
      </c>
      <c r="Z147" s="1" t="n">
        <f aca="false">IF($X$2="TODOS",V147,IF(S147&lt;&gt;"",SUMIFS(COMPRAS!$O$3:$O$4997,COMPRAS!$G$3:$G$4997,S147,COMPRAS!$D$3:$D$4997,$X$2,COMPRAS!$B$3:$B$4997,"&gt;="&amp;IF($C$4="",DATE(1900,1,1),$C$4),COMPRAS!$B$3:$B$4997,"&lt;="&amp;IF($F$4="",DATE(2999,12,31),$F$4)),0))</f>
        <v>4831.3655</v>
      </c>
    </row>
    <row r="148" customFormat="false" ht="15" hidden="false" customHeight="true" outlineLevel="0" collapsed="false">
      <c r="N148" s="1" t="n">
        <f aca="false">PROVEEDORES!A149</f>
        <v>0</v>
      </c>
      <c r="O148" s="1" t="n">
        <f aca="false">PROVEEDORES!B149</f>
        <v>0</v>
      </c>
      <c r="P148" s="1" t="n">
        <f aca="false">IF(N148&lt;&gt;"",SUMIFS(COMPRAS!$J$3:$J$4997,COMPRAS!$D$3:$D$4997,N148,COMPRAS!$B$3:$B$4997,"&gt;="&amp;IF($C$4="",DATE(1900,1,1),$C$4),COMPRAS!$B$3:$B$4997,"&lt;="&amp;IF($F$4="",DATE(2999,12,31),$F$4)),0)</f>
        <v>0</v>
      </c>
      <c r="Q148" s="1" t="n">
        <f aca="false">IF(N148&lt;&gt;"",SUMIFS(COMPRAS!$O$3:$O$4997,COMPRAS!$D$3:$D$4997,N148,COMPRAS!$B$3:$B$4997,"&gt;="&amp;IF($C$4="",DATE(1900,1,1),$C$4),COMPRAS!$B$3:$B$4997,"&lt;="&amp;IF($F$4="",DATE(2999,12,31),$F$4)),0)</f>
        <v>0</v>
      </c>
      <c r="S148" s="1" t="str">
        <f aca="false">PRODUCTOS!A149</f>
        <v>C8560</v>
      </c>
      <c r="T148" s="1" t="str">
        <f aca="false">PRODUCTOS!B149</f>
        <v>SAN MARTIÑOS/ SAN PEDROS (JOD)</v>
      </c>
      <c r="U148" s="1" t="n">
        <f aca="false">IF(S148&lt;&gt;"",SUMIFS(COMPRAS!$J$3:$J$4997,COMPRAS!$G$3:$G$4997,S148,COMPRAS!$B$3:$B$4997,"&gt;="&amp;IF($C$4="",DATE(1900,1,1),$C$4),COMPRAS!$B$3:$B$4997,"&lt;="&amp;IF($F$4="",DATE(2999,12,31),$F$4)),0)</f>
        <v>477</v>
      </c>
      <c r="V148" s="1" t="n">
        <f aca="false">IF(S148&lt;&gt;"",SUMIFS(COMPRAS!$O$3:$O$4997,COMPRAS!$G$3:$G$4997,S148,COMPRAS!$B$3:$B$4997,"&gt;="&amp;IF($C$4="",DATE(1900,1,1),$C$4),COMPRAS!$B$3:$B$4997,"&lt;="&amp;IF($F$4="",DATE(2999,12,31),$F$4)),0)</f>
        <v>10363.49</v>
      </c>
      <c r="Y148" s="1" t="n">
        <f aca="false">IF($X$2="TODOS",U148,IF(S148&lt;&gt;"",SUMIFS(COMPRAS!$J$3:$J$4997,COMPRAS!$G$3:$G$4997,S148,COMPRAS!$D$3:$D$4997,$X$2,COMPRAS!$B$3:$B$4997,"&gt;="&amp;IF($C$4="",DATE(1900,1,1),$C$4),COMPRAS!$B$3:$B$4997,"&lt;="&amp;IF($F$4="",DATE(2999,12,31),$F$4)),0))</f>
        <v>477</v>
      </c>
      <c r="Z148" s="1" t="n">
        <f aca="false">IF($X$2="TODOS",V148,IF(S148&lt;&gt;"",SUMIFS(COMPRAS!$O$3:$O$4997,COMPRAS!$G$3:$G$4997,S148,COMPRAS!$D$3:$D$4997,$X$2,COMPRAS!$B$3:$B$4997,"&gt;="&amp;IF($C$4="",DATE(1900,1,1),$C$4),COMPRAS!$B$3:$B$4997,"&lt;="&amp;IF($F$4="",DATE(2999,12,31),$F$4)),0))</f>
        <v>10363.49</v>
      </c>
    </row>
    <row r="149" customFormat="false" ht="15" hidden="false" customHeight="true" outlineLevel="0" collapsed="false">
      <c r="N149" s="1" t="n">
        <f aca="false">PROVEEDORES!A150</f>
        <v>0</v>
      </c>
      <c r="O149" s="1" t="n">
        <f aca="false">PROVEEDORES!B150</f>
        <v>0</v>
      </c>
      <c r="P149" s="1" t="n">
        <f aca="false">IF(N149&lt;&gt;"",SUMIFS(COMPRAS!$J$3:$J$4997,COMPRAS!$D$3:$D$4997,N149,COMPRAS!$B$3:$B$4997,"&gt;="&amp;IF($C$4="",DATE(1900,1,1),$C$4),COMPRAS!$B$3:$B$4997,"&lt;="&amp;IF($F$4="",DATE(2999,12,31),$F$4)),0)</f>
        <v>0</v>
      </c>
      <c r="Q149" s="1" t="n">
        <f aca="false">IF(N149&lt;&gt;"",SUMIFS(COMPRAS!$O$3:$O$4997,COMPRAS!$D$3:$D$4997,N149,COMPRAS!$B$3:$B$4997,"&gt;="&amp;IF($C$4="",DATE(1900,1,1),$C$4),COMPRAS!$B$3:$B$4997,"&lt;="&amp;IF($F$4="",DATE(2999,12,31),$F$4)),0)</f>
        <v>0</v>
      </c>
      <c r="S149" s="1" t="str">
        <f aca="false">PRODUCTOS!A150</f>
        <v>C440</v>
      </c>
      <c r="T149" s="1" t="str">
        <f aca="false">PRODUCTOS!B150</f>
        <v>FILETE DE PLATIJA (FLE)</v>
      </c>
      <c r="U149" s="1" t="n">
        <f aca="false">IF(S149&lt;&gt;"",SUMIFS(COMPRAS!$J$3:$J$4997,COMPRAS!$G$3:$G$4997,S149,COMPRAS!$B$3:$B$4997,"&gt;="&amp;IF($C$4="",DATE(1900,1,1),$C$4),COMPRAS!$B$3:$B$4997,"&lt;="&amp;IF($F$4="",DATE(2999,12,31),$F$4)),0)</f>
        <v>0</v>
      </c>
      <c r="V149" s="1" t="n">
        <f aca="false">IF(S149&lt;&gt;"",SUMIFS(COMPRAS!$O$3:$O$4997,COMPRAS!$G$3:$G$4997,S149,COMPRAS!$B$3:$B$4997,"&gt;="&amp;IF($C$4="",DATE(1900,1,1),$C$4),COMPRAS!$B$3:$B$4997,"&lt;="&amp;IF($F$4="",DATE(2999,12,31),$F$4)),0)</f>
        <v>0</v>
      </c>
      <c r="Y149" s="1" t="n">
        <f aca="false">IF($X$2="TODOS",U149,IF(S149&lt;&gt;"",SUMIFS(COMPRAS!$J$3:$J$4997,COMPRAS!$G$3:$G$4997,S149,COMPRAS!$D$3:$D$4997,$X$2,COMPRAS!$B$3:$B$4997,"&gt;="&amp;IF($C$4="",DATE(1900,1,1),$C$4),COMPRAS!$B$3:$B$4997,"&lt;="&amp;IF($F$4="",DATE(2999,12,31),$F$4)),0))</f>
        <v>0</v>
      </c>
      <c r="Z149" s="1" t="n">
        <f aca="false">IF($X$2="TODOS",V149,IF(S149&lt;&gt;"",SUMIFS(COMPRAS!$O$3:$O$4997,COMPRAS!$G$3:$G$4997,S149,COMPRAS!$D$3:$D$4997,$X$2,COMPRAS!$B$3:$B$4997,"&gt;="&amp;IF($C$4="",DATE(1900,1,1),$C$4),COMPRAS!$B$3:$B$4997,"&lt;="&amp;IF($F$4="",DATE(2999,12,31),$F$4)),0))</f>
        <v>0</v>
      </c>
    </row>
    <row r="150" customFormat="false" ht="15" hidden="false" customHeight="true" outlineLevel="0" collapsed="false">
      <c r="N150" s="1" t="n">
        <f aca="false">PROVEEDORES!A151</f>
        <v>0</v>
      </c>
      <c r="O150" s="1" t="n">
        <f aca="false">PROVEEDORES!B151</f>
        <v>0</v>
      </c>
      <c r="P150" s="1" t="n">
        <f aca="false">IF(N150&lt;&gt;"",SUMIFS(COMPRAS!$J$3:$J$4997,COMPRAS!$D$3:$D$4997,N150,COMPRAS!$B$3:$B$4997,"&gt;="&amp;IF($C$4="",DATE(1900,1,1),$C$4),COMPRAS!$B$3:$B$4997,"&lt;="&amp;IF($F$4="",DATE(2999,12,31),$F$4)),0)</f>
        <v>0</v>
      </c>
      <c r="Q150" s="1" t="n">
        <f aca="false">IF(N150&lt;&gt;"",SUMIFS(COMPRAS!$O$3:$O$4997,COMPRAS!$D$3:$D$4997,N150,COMPRAS!$B$3:$B$4997,"&gt;="&amp;IF($C$4="",DATE(1900,1,1),$C$4),COMPRAS!$B$3:$B$4997,"&lt;="&amp;IF($F$4="",DATE(2999,12,31),$F$4)),0)</f>
        <v>0</v>
      </c>
      <c r="S150" s="1" t="str">
        <f aca="false">PRODUCTOS!A151</f>
        <v>C391</v>
      </c>
      <c r="T150" s="1" t="str">
        <f aca="false">PRODUCTOS!B151</f>
        <v>FILETE DE SARDINA (PIL)</v>
      </c>
      <c r="U150" s="1" t="n">
        <f aca="false">IF(S150&lt;&gt;"",SUMIFS(COMPRAS!$J$3:$J$4997,COMPRAS!$G$3:$G$4997,S150,COMPRAS!$B$3:$B$4997,"&gt;="&amp;IF($C$4="",DATE(1900,1,1),$C$4),COMPRAS!$B$3:$B$4997,"&lt;="&amp;IF($F$4="",DATE(2999,12,31),$F$4)),0)</f>
        <v>0</v>
      </c>
      <c r="V150" s="1" t="n">
        <f aca="false">IF(S150&lt;&gt;"",SUMIFS(COMPRAS!$O$3:$O$4997,COMPRAS!$G$3:$G$4997,S150,COMPRAS!$B$3:$B$4997,"&gt;="&amp;IF($C$4="",DATE(1900,1,1),$C$4),COMPRAS!$B$3:$B$4997,"&lt;="&amp;IF($F$4="",DATE(2999,12,31),$F$4)),0)</f>
        <v>0</v>
      </c>
      <c r="Y150" s="1" t="n">
        <f aca="false">IF($X$2="TODOS",U150,IF(S150&lt;&gt;"",SUMIFS(COMPRAS!$J$3:$J$4997,COMPRAS!$G$3:$G$4997,S150,COMPRAS!$D$3:$D$4997,$X$2,COMPRAS!$B$3:$B$4997,"&gt;="&amp;IF($C$4="",DATE(1900,1,1),$C$4),COMPRAS!$B$3:$B$4997,"&lt;="&amp;IF($F$4="",DATE(2999,12,31),$F$4)),0))</f>
        <v>0</v>
      </c>
      <c r="Z150" s="1" t="n">
        <f aca="false">IF($X$2="TODOS",V150,IF(S150&lt;&gt;"",SUMIFS(COMPRAS!$O$3:$O$4997,COMPRAS!$G$3:$G$4997,S150,COMPRAS!$D$3:$D$4997,$X$2,COMPRAS!$B$3:$B$4997,"&gt;="&amp;IF($C$4="",DATE(1900,1,1),$C$4),COMPRAS!$B$3:$B$4997,"&lt;="&amp;IF($F$4="",DATE(2999,12,31),$F$4)),0))</f>
        <v>0</v>
      </c>
    </row>
    <row r="151" customFormat="false" ht="15" hidden="false" customHeight="true" outlineLevel="0" collapsed="false">
      <c r="N151" s="1" t="n">
        <f aca="false">PROVEEDORES!A152</f>
        <v>0</v>
      </c>
      <c r="O151" s="1" t="n">
        <f aca="false">PROVEEDORES!B152</f>
        <v>0</v>
      </c>
      <c r="P151" s="1" t="n">
        <f aca="false">IF(N151&lt;&gt;"",SUMIFS(COMPRAS!$J$3:$J$4997,COMPRAS!$D$3:$D$4997,N151,COMPRAS!$B$3:$B$4997,"&gt;="&amp;IF($C$4="",DATE(1900,1,1),$C$4),COMPRAS!$B$3:$B$4997,"&lt;="&amp;IF($F$4="",DATE(2999,12,31),$F$4)),0)</f>
        <v>0</v>
      </c>
      <c r="Q151" s="1" t="n">
        <f aca="false">IF(N151&lt;&gt;"",SUMIFS(COMPRAS!$O$3:$O$4997,COMPRAS!$D$3:$D$4997,N151,COMPRAS!$B$3:$B$4997,"&gt;="&amp;IF($C$4="",DATE(1900,1,1),$C$4),COMPRAS!$B$3:$B$4997,"&lt;="&amp;IF($F$4="",DATE(2999,12,31),$F$4)),0)</f>
        <v>0</v>
      </c>
      <c r="S151" s="1" t="str">
        <f aca="false">PRODUCTOS!A152</f>
        <v>C390</v>
      </c>
      <c r="T151" s="1" t="str">
        <f aca="false">PRODUCTOS!B152</f>
        <v>SARDINA    (PIL)</v>
      </c>
      <c r="U151" s="1" t="n">
        <f aca="false">IF(S151&lt;&gt;"",SUMIFS(COMPRAS!$J$3:$J$4997,COMPRAS!$G$3:$G$4997,S151,COMPRAS!$B$3:$B$4997,"&gt;="&amp;IF($C$4="",DATE(1900,1,1),$C$4),COMPRAS!$B$3:$B$4997,"&lt;="&amp;IF($F$4="",DATE(2999,12,31),$F$4)),0)</f>
        <v>1733.75</v>
      </c>
      <c r="V151" s="1" t="n">
        <f aca="false">IF(S151&lt;&gt;"",SUMIFS(COMPRAS!$O$3:$O$4997,COMPRAS!$G$3:$G$4997,S151,COMPRAS!$B$3:$B$4997,"&gt;="&amp;IF($C$4="",DATE(1900,1,1),$C$4),COMPRAS!$B$3:$B$4997,"&lt;="&amp;IF($F$4="",DATE(2999,12,31),$F$4)),0)</f>
        <v>4463.02035</v>
      </c>
      <c r="Y151" s="1" t="n">
        <f aca="false">IF($X$2="TODOS",U151,IF(S151&lt;&gt;"",SUMIFS(COMPRAS!$J$3:$J$4997,COMPRAS!$G$3:$G$4997,S151,COMPRAS!$D$3:$D$4997,$X$2,COMPRAS!$B$3:$B$4997,"&gt;="&amp;IF($C$4="",DATE(1900,1,1),$C$4),COMPRAS!$B$3:$B$4997,"&lt;="&amp;IF($F$4="",DATE(2999,12,31),$F$4)),0))</f>
        <v>1733.75</v>
      </c>
      <c r="Z151" s="1" t="n">
        <f aca="false">IF($X$2="TODOS",V151,IF(S151&lt;&gt;"",SUMIFS(COMPRAS!$O$3:$O$4997,COMPRAS!$G$3:$G$4997,S151,COMPRAS!$D$3:$D$4997,$X$2,COMPRAS!$B$3:$B$4997,"&gt;="&amp;IF($C$4="",DATE(1900,1,1),$C$4),COMPRAS!$B$3:$B$4997,"&lt;="&amp;IF($F$4="",DATE(2999,12,31),$F$4)),0))</f>
        <v>4463.02035</v>
      </c>
    </row>
    <row r="152" customFormat="false" ht="15" hidden="false" customHeight="true" outlineLevel="0" collapsed="false">
      <c r="N152" s="1" t="n">
        <f aca="false">PROVEEDORES!A153</f>
        <v>0</v>
      </c>
      <c r="O152" s="1" t="n">
        <f aca="false">PROVEEDORES!B153</f>
        <v>0</v>
      </c>
      <c r="P152" s="1" t="n">
        <f aca="false">IF(N152&lt;&gt;"",SUMIFS(COMPRAS!$J$3:$J$4997,COMPRAS!$D$3:$D$4997,N152,COMPRAS!$B$3:$B$4997,"&gt;="&amp;IF($C$4="",DATE(1900,1,1),$C$4),COMPRAS!$B$3:$B$4997,"&lt;="&amp;IF($F$4="",DATE(2999,12,31),$F$4)),0)</f>
        <v>0</v>
      </c>
      <c r="Q152" s="1" t="n">
        <f aca="false">IF(N152&lt;&gt;"",SUMIFS(COMPRAS!$O$3:$O$4997,COMPRAS!$D$3:$D$4997,N152,COMPRAS!$B$3:$B$4997,"&gt;="&amp;IF($C$4="",DATE(1900,1,1),$C$4),COMPRAS!$B$3:$B$4997,"&lt;="&amp;IF($F$4="",DATE(2999,12,31),$F$4)),0)</f>
        <v>0</v>
      </c>
      <c r="S152" s="1" t="str">
        <f aca="false">PRODUCTOS!A153</f>
        <v>C430</v>
      </c>
      <c r="T152" s="1" t="str">
        <f aca="false">PRODUCTOS!B153</f>
        <v>SARGO RIA (SWA)</v>
      </c>
      <c r="U152" s="1" t="n">
        <f aca="false">IF(S152&lt;&gt;"",SUMIFS(COMPRAS!$J$3:$J$4997,COMPRAS!$G$3:$G$4997,S152,COMPRAS!$B$3:$B$4997,"&gt;="&amp;IF($C$4="",DATE(1900,1,1),$C$4),COMPRAS!$B$3:$B$4997,"&lt;="&amp;IF($F$4="",DATE(2999,12,31),$F$4)),0)</f>
        <v>543.45</v>
      </c>
      <c r="V152" s="1" t="n">
        <f aca="false">IF(S152&lt;&gt;"",SUMIFS(COMPRAS!$O$3:$O$4997,COMPRAS!$G$3:$G$4997,S152,COMPRAS!$B$3:$B$4997,"&gt;="&amp;IF($C$4="",DATE(1900,1,1),$C$4),COMPRAS!$B$3:$B$4997,"&lt;="&amp;IF($F$4="",DATE(2999,12,31),$F$4)),0)</f>
        <v>6929.0696</v>
      </c>
      <c r="Y152" s="1" t="n">
        <f aca="false">IF($X$2="TODOS",U152,IF(S152&lt;&gt;"",SUMIFS(COMPRAS!$J$3:$J$4997,COMPRAS!$G$3:$G$4997,S152,COMPRAS!$D$3:$D$4997,$X$2,COMPRAS!$B$3:$B$4997,"&gt;="&amp;IF($C$4="",DATE(1900,1,1),$C$4),COMPRAS!$B$3:$B$4997,"&lt;="&amp;IF($F$4="",DATE(2999,12,31),$F$4)),0))</f>
        <v>543.45</v>
      </c>
      <c r="Z152" s="1" t="n">
        <f aca="false">IF($X$2="TODOS",V152,IF(S152&lt;&gt;"",SUMIFS(COMPRAS!$O$3:$O$4997,COMPRAS!$G$3:$G$4997,S152,COMPRAS!$D$3:$D$4997,$X$2,COMPRAS!$B$3:$B$4997,"&gt;="&amp;IF($C$4="",DATE(1900,1,1),$C$4),COMPRAS!$B$3:$B$4997,"&lt;="&amp;IF($F$4="",DATE(2999,12,31),$F$4)),0))</f>
        <v>6929.0696</v>
      </c>
    </row>
    <row r="153" customFormat="false" ht="15" hidden="false" customHeight="true" outlineLevel="0" collapsed="false">
      <c r="N153" s="1" t="n">
        <f aca="false">PROVEEDORES!A154</f>
        <v>0</v>
      </c>
      <c r="O153" s="1" t="n">
        <f aca="false">PROVEEDORES!B154</f>
        <v>0</v>
      </c>
      <c r="P153" s="1" t="n">
        <f aca="false">IF(N153&lt;&gt;"",SUMIFS(COMPRAS!$J$3:$J$4997,COMPRAS!$D$3:$D$4997,N153,COMPRAS!$B$3:$B$4997,"&gt;="&amp;IF($C$4="",DATE(1900,1,1),$C$4),COMPRAS!$B$3:$B$4997,"&lt;="&amp;IF($F$4="",DATE(2999,12,31),$F$4)),0)</f>
        <v>0</v>
      </c>
      <c r="Q153" s="1" t="n">
        <f aca="false">IF(N153&lt;&gt;"",SUMIFS(COMPRAS!$O$3:$O$4997,COMPRAS!$D$3:$D$4997,N153,COMPRAS!$B$3:$B$4997,"&gt;="&amp;IF($C$4="",DATE(1900,1,1),$C$4),COMPRAS!$B$3:$B$4997,"&lt;="&amp;IF($F$4="",DATE(2999,12,31),$F$4)),0)</f>
        <v>0</v>
      </c>
      <c r="S153" s="1" t="str">
        <f aca="false">PRODUCTOS!A154</f>
        <v>C431</v>
      </c>
      <c r="T153" s="1" t="str">
        <f aca="false">PRODUCTOS!B154</f>
        <v>SARGO ESCAMUDO (CTB)</v>
      </c>
      <c r="U153" s="1" t="n">
        <f aca="false">IF(S153&lt;&gt;"",SUMIFS(COMPRAS!$J$3:$J$4997,COMPRAS!$G$3:$G$4997,S153,COMPRAS!$B$3:$B$4997,"&gt;="&amp;IF($C$4="",DATE(1900,1,1),$C$4),COMPRAS!$B$3:$B$4997,"&lt;="&amp;IF($F$4="",DATE(2999,12,31),$F$4)),0)</f>
        <v>101.6</v>
      </c>
      <c r="V153" s="1" t="n">
        <f aca="false">IF(S153&lt;&gt;"",SUMIFS(COMPRAS!$O$3:$O$4997,COMPRAS!$G$3:$G$4997,S153,COMPRAS!$B$3:$B$4997,"&gt;="&amp;IF($C$4="",DATE(1900,1,1),$C$4),COMPRAS!$B$3:$B$4997,"&lt;="&amp;IF($F$4="",DATE(2999,12,31),$F$4)),0)</f>
        <v>621.792</v>
      </c>
      <c r="Y153" s="1" t="n">
        <f aca="false">IF($X$2="TODOS",U153,IF(S153&lt;&gt;"",SUMIFS(COMPRAS!$J$3:$J$4997,COMPRAS!$G$3:$G$4997,S153,COMPRAS!$D$3:$D$4997,$X$2,COMPRAS!$B$3:$B$4997,"&gt;="&amp;IF($C$4="",DATE(1900,1,1),$C$4),COMPRAS!$B$3:$B$4997,"&lt;="&amp;IF($F$4="",DATE(2999,12,31),$F$4)),0))</f>
        <v>101.6</v>
      </c>
      <c r="Z153" s="1" t="n">
        <f aca="false">IF($X$2="TODOS",V153,IF(S153&lt;&gt;"",SUMIFS(COMPRAS!$O$3:$O$4997,COMPRAS!$G$3:$G$4997,S153,COMPRAS!$D$3:$D$4997,$X$2,COMPRAS!$B$3:$B$4997,"&gt;="&amp;IF($C$4="",DATE(1900,1,1),$C$4),COMPRAS!$B$3:$B$4997,"&lt;="&amp;IF($F$4="",DATE(2999,12,31),$F$4)),0))</f>
        <v>621.792</v>
      </c>
    </row>
    <row r="154" customFormat="false" ht="15" hidden="false" customHeight="true" outlineLevel="0" collapsed="false">
      <c r="N154" s="1" t="n">
        <f aca="false">PROVEEDORES!A155</f>
        <v>0</v>
      </c>
      <c r="O154" s="1" t="n">
        <f aca="false">PROVEEDORES!B155</f>
        <v>0</v>
      </c>
      <c r="P154" s="1" t="n">
        <f aca="false">IF(N154&lt;&gt;"",SUMIFS(COMPRAS!$J$3:$J$4997,COMPRAS!$D$3:$D$4997,N154,COMPRAS!$B$3:$B$4997,"&gt;="&amp;IF($C$4="",DATE(1900,1,1),$C$4),COMPRAS!$B$3:$B$4997,"&lt;="&amp;IF($F$4="",DATE(2999,12,31),$F$4)),0)</f>
        <v>0</v>
      </c>
      <c r="Q154" s="1" t="n">
        <f aca="false">IF(N154&lt;&gt;"",SUMIFS(COMPRAS!$O$3:$O$4997,COMPRAS!$D$3:$D$4997,N154,COMPRAS!$B$3:$B$4997,"&gt;="&amp;IF($C$4="",DATE(1900,1,1),$C$4),COMPRAS!$B$3:$B$4997,"&lt;="&amp;IF($F$4="",DATE(2999,12,31),$F$4)),0)</f>
        <v>0</v>
      </c>
      <c r="S154" s="1" t="str">
        <f aca="false">PRODUCTOS!A155</f>
        <v>C704</v>
      </c>
      <c r="T154" s="1" t="str">
        <f aca="false">PRODUCTOS!B155</f>
        <v>SEPA/ CHOCO/ JIBIA (CTC)</v>
      </c>
      <c r="U154" s="1" t="n">
        <f aca="false">IF(S154&lt;&gt;"",SUMIFS(COMPRAS!$J$3:$J$4997,COMPRAS!$G$3:$G$4997,S154,COMPRAS!$B$3:$B$4997,"&gt;="&amp;IF($C$4="",DATE(1900,1,1),$C$4),COMPRAS!$B$3:$B$4997,"&lt;="&amp;IF($F$4="",DATE(2999,12,31),$F$4)),0)</f>
        <v>156.4</v>
      </c>
      <c r="V154" s="1" t="n">
        <f aca="false">IF(S154&lt;&gt;"",SUMIFS(COMPRAS!$O$3:$O$4997,COMPRAS!$G$3:$G$4997,S154,COMPRAS!$B$3:$B$4997,"&gt;="&amp;IF($C$4="",DATE(1900,1,1),$C$4),COMPRAS!$B$3:$B$4997,"&lt;="&amp;IF($F$4="",DATE(2999,12,31),$F$4)),0)</f>
        <v>1595.28</v>
      </c>
      <c r="Y154" s="1" t="n">
        <f aca="false">IF($X$2="TODOS",U154,IF(S154&lt;&gt;"",SUMIFS(COMPRAS!$J$3:$J$4997,COMPRAS!$G$3:$G$4997,S154,COMPRAS!$D$3:$D$4997,$X$2,COMPRAS!$B$3:$B$4997,"&gt;="&amp;IF($C$4="",DATE(1900,1,1),$C$4),COMPRAS!$B$3:$B$4997,"&lt;="&amp;IF($F$4="",DATE(2999,12,31),$F$4)),0))</f>
        <v>156.4</v>
      </c>
      <c r="Z154" s="1" t="n">
        <f aca="false">IF($X$2="TODOS",V154,IF(S154&lt;&gt;"",SUMIFS(COMPRAS!$O$3:$O$4997,COMPRAS!$G$3:$G$4997,S154,COMPRAS!$D$3:$D$4997,$X$2,COMPRAS!$B$3:$B$4997,"&gt;="&amp;IF($C$4="",DATE(1900,1,1),$C$4),COMPRAS!$B$3:$B$4997,"&lt;="&amp;IF($F$4="",DATE(2999,12,31),$F$4)),0))</f>
        <v>1595.28</v>
      </c>
    </row>
    <row r="155" customFormat="false" ht="15" hidden="false" customHeight="true" outlineLevel="0" collapsed="false">
      <c r="N155" s="1" t="n">
        <f aca="false">PROVEEDORES!A156</f>
        <v>0</v>
      </c>
      <c r="O155" s="1" t="n">
        <f aca="false">PROVEEDORES!B156</f>
        <v>0</v>
      </c>
      <c r="P155" s="1" t="n">
        <f aca="false">IF(N155&lt;&gt;"",SUMIFS(COMPRAS!$J$3:$J$4997,COMPRAS!$D$3:$D$4997,N155,COMPRAS!$B$3:$B$4997,"&gt;="&amp;IF($C$4="",DATE(1900,1,1),$C$4),COMPRAS!$B$3:$B$4997,"&lt;="&amp;IF($F$4="",DATE(2999,12,31),$F$4)),0)</f>
        <v>0</v>
      </c>
      <c r="Q155" s="1" t="n">
        <f aca="false">IF(N155&lt;&gt;"",SUMIFS(COMPRAS!$O$3:$O$4997,COMPRAS!$D$3:$D$4997,N155,COMPRAS!$B$3:$B$4997,"&gt;="&amp;IF($C$4="",DATE(1900,1,1),$C$4),COMPRAS!$B$3:$B$4997,"&lt;="&amp;IF($F$4="",DATE(2999,12,31),$F$4)),0)</f>
        <v>0</v>
      </c>
      <c r="S155" s="1" t="str">
        <f aca="false">PRODUCTOS!A156</f>
        <v>C999</v>
      </c>
      <c r="T155" s="1" t="str">
        <f aca="false">PRODUCTOS!B156</f>
        <v>VARIADO PEQUEÑO</v>
      </c>
      <c r="U155" s="1" t="n">
        <f aca="false">IF(S155&lt;&gt;"",SUMIFS(COMPRAS!$J$3:$J$4997,COMPRAS!$G$3:$G$4997,S155,COMPRAS!$B$3:$B$4997,"&gt;="&amp;IF($C$4="",DATE(1900,1,1),$C$4),COMPRAS!$B$3:$B$4997,"&lt;="&amp;IF($F$4="",DATE(2999,12,31),$F$4)),0)</f>
        <v>4046.25</v>
      </c>
      <c r="V155" s="1" t="n">
        <f aca="false">IF(S155&lt;&gt;"",SUMIFS(COMPRAS!$O$3:$O$4997,COMPRAS!$G$3:$G$4997,S155,COMPRAS!$B$3:$B$4997,"&gt;="&amp;IF($C$4="",DATE(1900,1,1),$C$4),COMPRAS!$B$3:$B$4997,"&lt;="&amp;IF($F$4="",DATE(2999,12,31),$F$4)),0)</f>
        <v>2670.7653</v>
      </c>
      <c r="Y155" s="1" t="n">
        <f aca="false">IF($X$2="TODOS",U155,IF(S155&lt;&gt;"",SUMIFS(COMPRAS!$J$3:$J$4997,COMPRAS!$G$3:$G$4997,S155,COMPRAS!$D$3:$D$4997,$X$2,COMPRAS!$B$3:$B$4997,"&gt;="&amp;IF($C$4="",DATE(1900,1,1),$C$4),COMPRAS!$B$3:$B$4997,"&lt;="&amp;IF($F$4="",DATE(2999,12,31),$F$4)),0))</f>
        <v>4046.25</v>
      </c>
      <c r="Z155" s="1" t="n">
        <f aca="false">IF($X$2="TODOS",V155,IF(S155&lt;&gt;"",SUMIFS(COMPRAS!$O$3:$O$4997,COMPRAS!$G$3:$G$4997,S155,COMPRAS!$D$3:$D$4997,$X$2,COMPRAS!$B$3:$B$4997,"&gt;="&amp;IF($C$4="",DATE(1900,1,1),$C$4),COMPRAS!$B$3:$B$4997,"&lt;="&amp;IF($F$4="",DATE(2999,12,31),$F$4)),0))</f>
        <v>2670.7653</v>
      </c>
    </row>
    <row r="156" customFormat="false" ht="15" hidden="false" customHeight="true" outlineLevel="0" collapsed="false">
      <c r="N156" s="1" t="n">
        <f aca="false">PROVEEDORES!A157</f>
        <v>0</v>
      </c>
      <c r="O156" s="1" t="n">
        <f aca="false">PROVEEDORES!B157</f>
        <v>0</v>
      </c>
      <c r="P156" s="1" t="n">
        <f aca="false">IF(N156&lt;&gt;"",SUMIFS(COMPRAS!$J$3:$J$4997,COMPRAS!$D$3:$D$4997,N156,COMPRAS!$B$3:$B$4997,"&gt;="&amp;IF($C$4="",DATE(1900,1,1),$C$4),COMPRAS!$B$3:$B$4997,"&lt;="&amp;IF($F$4="",DATE(2999,12,31),$F$4)),0)</f>
        <v>0</v>
      </c>
      <c r="Q156" s="1" t="n">
        <f aca="false">IF(N156&lt;&gt;"",SUMIFS(COMPRAS!$O$3:$O$4997,COMPRAS!$D$3:$D$4997,N156,COMPRAS!$B$3:$B$4997,"&gt;="&amp;IF($C$4="",DATE(1900,1,1),$C$4),COMPRAS!$B$3:$B$4997,"&lt;="&amp;IF($F$4="",DATE(2999,12,31),$F$4)),0)</f>
        <v>0</v>
      </c>
      <c r="S156" s="1" t="str">
        <f aca="false">PRODUCTOS!A157</f>
        <v>C2560</v>
      </c>
      <c r="T156" s="1" t="str">
        <f aca="false">PRODUCTOS!B157</f>
        <v>VIEJA COLORADA (PRR)</v>
      </c>
      <c r="U156" s="1" t="n">
        <f aca="false">IF(S156&lt;&gt;"",SUMIFS(COMPRAS!$J$3:$J$4997,COMPRAS!$G$3:$G$4997,S156,COMPRAS!$B$3:$B$4997,"&gt;="&amp;IF($C$4="",DATE(1900,1,1),$C$4),COMPRAS!$B$3:$B$4997,"&lt;="&amp;IF($F$4="",DATE(2999,12,31),$F$4)),0)</f>
        <v>56.6</v>
      </c>
      <c r="V156" s="1" t="n">
        <f aca="false">IF(S156&lt;&gt;"",SUMIFS(COMPRAS!$O$3:$O$4997,COMPRAS!$G$3:$G$4997,S156,COMPRAS!$B$3:$B$4997,"&gt;="&amp;IF($C$4="",DATE(1900,1,1),$C$4),COMPRAS!$B$3:$B$4997,"&lt;="&amp;IF($F$4="",DATE(2999,12,31),$F$4)),0)</f>
        <v>602.95</v>
      </c>
      <c r="Y156" s="1" t="n">
        <f aca="false">IF($X$2="TODOS",U156,IF(S156&lt;&gt;"",SUMIFS(COMPRAS!$J$3:$J$4997,COMPRAS!$G$3:$G$4997,S156,COMPRAS!$D$3:$D$4997,$X$2,COMPRAS!$B$3:$B$4997,"&gt;="&amp;IF($C$4="",DATE(1900,1,1),$C$4),COMPRAS!$B$3:$B$4997,"&lt;="&amp;IF($F$4="",DATE(2999,12,31),$F$4)),0))</f>
        <v>56.6</v>
      </c>
      <c r="Z156" s="1" t="n">
        <f aca="false">IF($X$2="TODOS",V156,IF(S156&lt;&gt;"",SUMIFS(COMPRAS!$O$3:$O$4997,COMPRAS!$G$3:$G$4997,S156,COMPRAS!$D$3:$D$4997,$X$2,COMPRAS!$B$3:$B$4997,"&gt;="&amp;IF($C$4="",DATE(1900,1,1),$C$4),COMPRAS!$B$3:$B$4997,"&lt;="&amp;IF($F$4="",DATE(2999,12,31),$F$4)),0))</f>
        <v>602.95</v>
      </c>
    </row>
    <row r="157" customFormat="false" ht="15" hidden="false" customHeight="true" outlineLevel="0" collapsed="false">
      <c r="N157" s="1" t="n">
        <f aca="false">PROVEEDORES!A158</f>
        <v>0</v>
      </c>
      <c r="O157" s="1" t="n">
        <f aca="false">PROVEEDORES!B158</f>
        <v>0</v>
      </c>
      <c r="P157" s="1" t="n">
        <f aca="false">IF(N157&lt;&gt;"",SUMIFS(COMPRAS!$J$3:$J$4997,COMPRAS!$D$3:$D$4997,N157,COMPRAS!$B$3:$B$4997,"&gt;="&amp;IF($C$4="",DATE(1900,1,1),$C$4),COMPRAS!$B$3:$B$4997,"&lt;="&amp;IF($F$4="",DATE(2999,12,31),$F$4)),0)</f>
        <v>0</v>
      </c>
      <c r="Q157" s="1" t="n">
        <f aca="false">IF(N157&lt;&gt;"",SUMIFS(COMPRAS!$O$3:$O$4997,COMPRAS!$D$3:$D$4997,N157,COMPRAS!$B$3:$B$4997,"&gt;="&amp;IF($C$4="",DATE(1900,1,1),$C$4),COMPRAS!$B$3:$B$4997,"&lt;="&amp;IF($F$4="",DATE(2999,12,31),$F$4)),0)</f>
        <v>0</v>
      </c>
      <c r="S157" s="1" t="str">
        <f aca="false">PRODUCTOS!A158</f>
        <v>C3111</v>
      </c>
      <c r="T157" s="1" t="str">
        <f aca="false">PRODUCTOS!B158</f>
        <v>VIRREY/ PALOMETA ROJA</v>
      </c>
      <c r="U157" s="1" t="n">
        <f aca="false">IF(S157&lt;&gt;"",SUMIFS(COMPRAS!$J$3:$J$4997,COMPRAS!$G$3:$G$4997,S157,COMPRAS!$B$3:$B$4997,"&gt;="&amp;IF($C$4="",DATE(1900,1,1),$C$4),COMPRAS!$B$3:$B$4997,"&lt;="&amp;IF($F$4="",DATE(2999,12,31),$F$4)),0)</f>
        <v>101.4</v>
      </c>
      <c r="V157" s="1" t="n">
        <f aca="false">IF(S157&lt;&gt;"",SUMIFS(COMPRAS!$O$3:$O$4997,COMPRAS!$G$3:$G$4997,S157,COMPRAS!$B$3:$B$4997,"&gt;="&amp;IF($C$4="",DATE(1900,1,1),$C$4),COMPRAS!$B$3:$B$4997,"&lt;="&amp;IF($F$4="",DATE(2999,12,31),$F$4)),0)</f>
        <v>6139.36</v>
      </c>
      <c r="Y157" s="1" t="n">
        <f aca="false">IF($X$2="TODOS",U157,IF(S157&lt;&gt;"",SUMIFS(COMPRAS!$J$3:$J$4997,COMPRAS!$G$3:$G$4997,S157,COMPRAS!$D$3:$D$4997,$X$2,COMPRAS!$B$3:$B$4997,"&gt;="&amp;IF($C$4="",DATE(1900,1,1),$C$4),COMPRAS!$B$3:$B$4997,"&lt;="&amp;IF($F$4="",DATE(2999,12,31),$F$4)),0))</f>
        <v>101.4</v>
      </c>
      <c r="Z157" s="1" t="n">
        <f aca="false">IF($X$2="TODOS",V157,IF(S157&lt;&gt;"",SUMIFS(COMPRAS!$O$3:$O$4997,COMPRAS!$G$3:$G$4997,S157,COMPRAS!$D$3:$D$4997,$X$2,COMPRAS!$B$3:$B$4997,"&gt;="&amp;IF($C$4="",DATE(1900,1,1),$C$4),COMPRAS!$B$3:$B$4997,"&lt;="&amp;IF($F$4="",DATE(2999,12,31),$F$4)),0))</f>
        <v>6139.36</v>
      </c>
    </row>
    <row r="158" customFormat="false" ht="15" hidden="false" customHeight="true" outlineLevel="0" collapsed="false">
      <c r="N158" s="1" t="n">
        <f aca="false">PROVEEDORES!A159</f>
        <v>0</v>
      </c>
      <c r="O158" s="1" t="n">
        <f aca="false">PROVEEDORES!B159</f>
        <v>0</v>
      </c>
      <c r="P158" s="1" t="n">
        <f aca="false">IF(N158&lt;&gt;"",SUMIFS(COMPRAS!$J$3:$J$4997,COMPRAS!$D$3:$D$4997,N158,COMPRAS!$B$3:$B$4997,"&gt;="&amp;IF($C$4="",DATE(1900,1,1),$C$4),COMPRAS!$B$3:$B$4997,"&lt;="&amp;IF($F$4="",DATE(2999,12,31),$F$4)),0)</f>
        <v>0</v>
      </c>
      <c r="Q158" s="1" t="n">
        <f aca="false">IF(N158&lt;&gt;"",SUMIFS(COMPRAS!$O$3:$O$4997,COMPRAS!$D$3:$D$4997,N158,COMPRAS!$B$3:$B$4997,"&gt;="&amp;IF($C$4="",DATE(1900,1,1),$C$4),COMPRAS!$B$3:$B$4997,"&lt;="&amp;IF($F$4="",DATE(2999,12,31),$F$4)),0)</f>
        <v>0</v>
      </c>
      <c r="S158" s="1" t="str">
        <f aca="false">PRODUCTOS!A159</f>
        <v>C2551</v>
      </c>
      <c r="T158" s="1" t="str">
        <f aca="false">PRODUCTOS!B159</f>
        <v>VISPOS/ ESCORPORAS</v>
      </c>
      <c r="U158" s="1" t="n">
        <f aca="false">IF(S158&lt;&gt;"",SUMIFS(COMPRAS!$J$3:$J$4997,COMPRAS!$G$3:$G$4997,S158,COMPRAS!$B$3:$B$4997,"&gt;="&amp;IF($C$4="",DATE(1900,1,1),$C$4),COMPRAS!$B$3:$B$4997,"&lt;="&amp;IF($F$4="",DATE(2999,12,31),$F$4)),0)</f>
        <v>12.75</v>
      </c>
      <c r="V158" s="1" t="n">
        <f aca="false">IF(S158&lt;&gt;"",SUMIFS(COMPRAS!$O$3:$O$4997,COMPRAS!$G$3:$G$4997,S158,COMPRAS!$B$3:$B$4997,"&gt;="&amp;IF($C$4="",DATE(1900,1,1),$C$4),COMPRAS!$B$3:$B$4997,"&lt;="&amp;IF($F$4="",DATE(2999,12,31),$F$4)),0)</f>
        <v>91.035</v>
      </c>
      <c r="Y158" s="1" t="n">
        <f aca="false">IF($X$2="TODOS",U158,IF(S158&lt;&gt;"",SUMIFS(COMPRAS!$J$3:$J$4997,COMPRAS!$G$3:$G$4997,S158,COMPRAS!$D$3:$D$4997,$X$2,COMPRAS!$B$3:$B$4997,"&gt;="&amp;IF($C$4="",DATE(1900,1,1),$C$4),COMPRAS!$B$3:$B$4997,"&lt;="&amp;IF($F$4="",DATE(2999,12,31),$F$4)),0))</f>
        <v>12.75</v>
      </c>
      <c r="Z158" s="1" t="n">
        <f aca="false">IF($X$2="TODOS",V158,IF(S158&lt;&gt;"",SUMIFS(COMPRAS!$O$3:$O$4997,COMPRAS!$G$3:$G$4997,S158,COMPRAS!$D$3:$D$4997,$X$2,COMPRAS!$B$3:$B$4997,"&gt;="&amp;IF($C$4="",DATE(1900,1,1),$C$4),COMPRAS!$B$3:$B$4997,"&lt;="&amp;IF($F$4="",DATE(2999,12,31),$F$4)),0))</f>
        <v>91.035</v>
      </c>
    </row>
    <row r="159" customFormat="false" ht="15" hidden="false" customHeight="true" outlineLevel="0" collapsed="false">
      <c r="N159" s="1" t="n">
        <f aca="false">PROVEEDORES!A160</f>
        <v>0</v>
      </c>
      <c r="O159" s="1" t="n">
        <f aca="false">PROVEEDORES!B160</f>
        <v>0</v>
      </c>
      <c r="P159" s="1" t="n">
        <f aca="false">IF(N159&lt;&gt;"",SUMIFS(COMPRAS!$J$3:$J$4997,COMPRAS!$D$3:$D$4997,N159,COMPRAS!$B$3:$B$4997,"&gt;="&amp;IF($C$4="",DATE(1900,1,1),$C$4),COMPRAS!$B$3:$B$4997,"&lt;="&amp;IF($F$4="",DATE(2999,12,31),$F$4)),0)</f>
        <v>0</v>
      </c>
      <c r="Q159" s="1" t="n">
        <f aca="false">IF(N159&lt;&gt;"",SUMIFS(COMPRAS!$O$3:$O$4997,COMPRAS!$D$3:$D$4997,N159,COMPRAS!$B$3:$B$4997,"&gt;="&amp;IF($C$4="",DATE(1900,1,1),$C$4),COMPRAS!$B$3:$B$4997,"&lt;="&amp;IF($F$4="",DATE(2999,12,31),$F$4)),0)</f>
        <v>0</v>
      </c>
      <c r="S159" s="1" t="str">
        <f aca="false">PRODUCTOS!A160</f>
        <v>C255P</v>
      </c>
      <c r="T159" s="1" t="str">
        <f aca="false">PRODUCTOS!B160</f>
        <v>CABRAS PÑA</v>
      </c>
      <c r="U159" s="1" t="n">
        <f aca="false">IF(S159&lt;&gt;"",SUMIFS(COMPRAS!$J$3:$J$4997,COMPRAS!$G$3:$G$4997,S159,COMPRAS!$B$3:$B$4997,"&gt;="&amp;IF($C$4="",DATE(1900,1,1),$C$4),COMPRAS!$B$3:$B$4997,"&lt;="&amp;IF($F$4="",DATE(2999,12,31),$F$4)),0)</f>
        <v>304.75</v>
      </c>
      <c r="V159" s="1" t="n">
        <f aca="false">IF(S159&lt;&gt;"",SUMIFS(COMPRAS!$O$3:$O$4997,COMPRAS!$G$3:$G$4997,S159,COMPRAS!$B$3:$B$4997,"&gt;="&amp;IF($C$4="",DATE(1900,1,1),$C$4),COMPRAS!$B$3:$B$4997,"&lt;="&amp;IF($F$4="",DATE(2999,12,31),$F$4)),0)</f>
        <v>624.5613</v>
      </c>
      <c r="Y159" s="1" t="n">
        <f aca="false">IF($X$2="TODOS",U159,IF(S159&lt;&gt;"",SUMIFS(COMPRAS!$J$3:$J$4997,COMPRAS!$G$3:$G$4997,S159,COMPRAS!$D$3:$D$4997,$X$2,COMPRAS!$B$3:$B$4997,"&gt;="&amp;IF($C$4="",DATE(1900,1,1),$C$4),COMPRAS!$B$3:$B$4997,"&lt;="&amp;IF($F$4="",DATE(2999,12,31),$F$4)),0))</f>
        <v>304.75</v>
      </c>
      <c r="Z159" s="1" t="n">
        <f aca="false">IF($X$2="TODOS",V159,IF(S159&lt;&gt;"",SUMIFS(COMPRAS!$O$3:$O$4997,COMPRAS!$G$3:$G$4997,S159,COMPRAS!$D$3:$D$4997,$X$2,COMPRAS!$B$3:$B$4997,"&gt;="&amp;IF($C$4="",DATE(1900,1,1),$C$4),COMPRAS!$B$3:$B$4997,"&lt;="&amp;IF($F$4="",DATE(2999,12,31),$F$4)),0))</f>
        <v>624.5613</v>
      </c>
    </row>
    <row r="160" customFormat="false" ht="15" hidden="false" customHeight="true" outlineLevel="0" collapsed="false">
      <c r="N160" s="1" t="n">
        <f aca="false">PROVEEDORES!A161</f>
        <v>0</v>
      </c>
      <c r="O160" s="1" t="n">
        <f aca="false">PROVEEDORES!B161</f>
        <v>0</v>
      </c>
      <c r="P160" s="1" t="n">
        <f aca="false">IF(N160&lt;&gt;"",SUMIFS(COMPRAS!$J$3:$J$4997,COMPRAS!$D$3:$D$4997,N160,COMPRAS!$B$3:$B$4997,"&gt;="&amp;IF($C$4="",DATE(1900,1,1),$C$4),COMPRAS!$B$3:$B$4997,"&lt;="&amp;IF($F$4="",DATE(2999,12,31),$F$4)),0)</f>
        <v>0</v>
      </c>
      <c r="Q160" s="1" t="n">
        <f aca="false">IF(N160&lt;&gt;"",SUMIFS(COMPRAS!$O$3:$O$4997,COMPRAS!$D$3:$D$4997,N160,COMPRAS!$B$3:$B$4997,"&gt;="&amp;IF($C$4="",DATE(1900,1,1),$C$4),COMPRAS!$B$3:$B$4997,"&lt;="&amp;IF($F$4="",DATE(2999,12,31),$F$4)),0)</f>
        <v>0</v>
      </c>
      <c r="S160" s="1" t="str">
        <f aca="false">PRODUCTOS!A161</f>
        <v>C880</v>
      </c>
      <c r="T160" s="1" t="str">
        <f aca="false">PRODUCTOS!B161</f>
        <v>MEJILLON SACO</v>
      </c>
      <c r="U160" s="1" t="n">
        <f aca="false">IF(S160&lt;&gt;"",SUMIFS(COMPRAS!$J$3:$J$4997,COMPRAS!$G$3:$G$4997,S160,COMPRAS!$B$3:$B$4997,"&gt;="&amp;IF($C$4="",DATE(1900,1,1),$C$4),COMPRAS!$B$3:$B$4997,"&lt;="&amp;IF($F$4="",DATE(2999,12,31),$F$4)),0)</f>
        <v>1215</v>
      </c>
      <c r="V160" s="1" t="n">
        <f aca="false">IF(S160&lt;&gt;"",SUMIFS(COMPRAS!$O$3:$O$4997,COMPRAS!$G$3:$G$4997,S160,COMPRAS!$B$3:$B$4997,"&gt;="&amp;IF($C$4="",DATE(1900,1,1),$C$4),COMPRAS!$B$3:$B$4997,"&lt;="&amp;IF($F$4="",DATE(2999,12,31),$F$4)),0)</f>
        <v>1701</v>
      </c>
      <c r="Y160" s="1" t="n">
        <f aca="false">IF($X$2="TODOS",U160,IF(S160&lt;&gt;"",SUMIFS(COMPRAS!$J$3:$J$4997,COMPRAS!$G$3:$G$4997,S160,COMPRAS!$D$3:$D$4997,$X$2,COMPRAS!$B$3:$B$4997,"&gt;="&amp;IF($C$4="",DATE(1900,1,1),$C$4),COMPRAS!$B$3:$B$4997,"&lt;="&amp;IF($F$4="",DATE(2999,12,31),$F$4)),0))</f>
        <v>1215</v>
      </c>
      <c r="Z160" s="1" t="n">
        <f aca="false">IF($X$2="TODOS",V160,IF(S160&lt;&gt;"",SUMIFS(COMPRAS!$O$3:$O$4997,COMPRAS!$G$3:$G$4997,S160,COMPRAS!$D$3:$D$4997,$X$2,COMPRAS!$B$3:$B$4997,"&gt;="&amp;IF($C$4="",DATE(1900,1,1),$C$4),COMPRAS!$B$3:$B$4997,"&lt;="&amp;IF($F$4="",DATE(2999,12,31),$F$4)),0))</f>
        <v>1701</v>
      </c>
    </row>
    <row r="161" customFormat="false" ht="15" hidden="false" customHeight="true" outlineLevel="0" collapsed="false">
      <c r="N161" s="1" t="n">
        <f aca="false">PROVEEDORES!A162</f>
        <v>0</v>
      </c>
      <c r="O161" s="1" t="n">
        <f aca="false">PROVEEDORES!B162</f>
        <v>0</v>
      </c>
      <c r="P161" s="1" t="n">
        <f aca="false">IF(N161&lt;&gt;"",SUMIFS(COMPRAS!$J$3:$J$4997,COMPRAS!$D$3:$D$4997,N161,COMPRAS!$B$3:$B$4997,"&gt;="&amp;IF($C$4="",DATE(1900,1,1),$C$4),COMPRAS!$B$3:$B$4997,"&lt;="&amp;IF($F$4="",DATE(2999,12,31),$F$4)),0)</f>
        <v>0</v>
      </c>
      <c r="Q161" s="1" t="n">
        <f aca="false">IF(N161&lt;&gt;"",SUMIFS(COMPRAS!$O$3:$O$4997,COMPRAS!$D$3:$D$4997,N161,COMPRAS!$B$3:$B$4997,"&gt;="&amp;IF($C$4="",DATE(1900,1,1),$C$4),COMPRAS!$B$3:$B$4997,"&lt;="&amp;IF($F$4="",DATE(2999,12,31),$F$4)),0)</f>
        <v>0</v>
      </c>
      <c r="S161" s="1" t="str">
        <f aca="false">PRODUCTOS!A162</f>
        <v>C144</v>
      </c>
      <c r="T161" s="1" t="str">
        <f aca="false">PRODUCTOS!B162</f>
        <v>MERLUZA BAKA DIA</v>
      </c>
      <c r="U161" s="1" t="n">
        <f aca="false">IF(S161&lt;&gt;"",SUMIFS(COMPRAS!$J$3:$J$4997,COMPRAS!$G$3:$G$4997,S161,COMPRAS!$B$3:$B$4997,"&gt;="&amp;IF($C$4="",DATE(1900,1,1),$C$4),COMPRAS!$B$3:$B$4997,"&lt;="&amp;IF($F$4="",DATE(2999,12,31),$F$4)),0)</f>
        <v>747.75</v>
      </c>
      <c r="V161" s="1" t="n">
        <f aca="false">IF(S161&lt;&gt;"",SUMIFS(COMPRAS!$O$3:$O$4997,COMPRAS!$G$3:$G$4997,S161,COMPRAS!$B$3:$B$4997,"&gt;="&amp;IF($C$4="",DATE(1900,1,1),$C$4),COMPRAS!$B$3:$B$4997,"&lt;="&amp;IF($F$4="",DATE(2999,12,31),$F$4)),0)</f>
        <v>3529.781</v>
      </c>
      <c r="Y161" s="1" t="n">
        <f aca="false">IF($X$2="TODOS",U161,IF(S161&lt;&gt;"",SUMIFS(COMPRAS!$J$3:$J$4997,COMPRAS!$G$3:$G$4997,S161,COMPRAS!$D$3:$D$4997,$X$2,COMPRAS!$B$3:$B$4997,"&gt;="&amp;IF($C$4="",DATE(1900,1,1),$C$4),COMPRAS!$B$3:$B$4997,"&lt;="&amp;IF($F$4="",DATE(2999,12,31),$F$4)),0))</f>
        <v>747.75</v>
      </c>
      <c r="Z161" s="1" t="n">
        <f aca="false">IF($X$2="TODOS",V161,IF(S161&lt;&gt;"",SUMIFS(COMPRAS!$O$3:$O$4997,COMPRAS!$G$3:$G$4997,S161,COMPRAS!$D$3:$D$4997,$X$2,COMPRAS!$B$3:$B$4997,"&gt;="&amp;IF($C$4="",DATE(1900,1,1),$C$4),COMPRAS!$B$3:$B$4997,"&lt;="&amp;IF($F$4="",DATE(2999,12,31),$F$4)),0))</f>
        <v>3529.781</v>
      </c>
    </row>
    <row r="162" customFormat="false" ht="15" hidden="false" customHeight="true" outlineLevel="0" collapsed="false">
      <c r="N162" s="1" t="n">
        <f aca="false">PROVEEDORES!A163</f>
        <v>0</v>
      </c>
      <c r="O162" s="1" t="n">
        <f aca="false">PROVEEDORES!B163</f>
        <v>0</v>
      </c>
      <c r="P162" s="1" t="n">
        <f aca="false">IF(N162&lt;&gt;"",SUMIFS(COMPRAS!$J$3:$J$4997,COMPRAS!$D$3:$D$4997,N162,COMPRAS!$B$3:$B$4997,"&gt;="&amp;IF($C$4="",DATE(1900,1,1),$C$4),COMPRAS!$B$3:$B$4997,"&lt;="&amp;IF($F$4="",DATE(2999,12,31),$F$4)),0)</f>
        <v>0</v>
      </c>
      <c r="Q162" s="1" t="n">
        <f aca="false">IF(N162&lt;&gt;"",SUMIFS(COMPRAS!$O$3:$O$4997,COMPRAS!$D$3:$D$4997,N162,COMPRAS!$B$3:$B$4997,"&gt;="&amp;IF($C$4="",DATE(1900,1,1),$C$4),COMPRAS!$B$3:$B$4997,"&lt;="&amp;IF($F$4="",DATE(2999,12,31),$F$4)),0)</f>
        <v>0</v>
      </c>
      <c r="S162" s="1" t="str">
        <f aca="false">PRODUCTOS!A163</f>
        <v>C398</v>
      </c>
      <c r="T162" s="1" t="str">
        <f aca="false">PRODUCTOS!B163</f>
        <v>BONITO DEL NORTE  +10 (ALB)</v>
      </c>
      <c r="U162" s="1" t="n">
        <f aca="false">IF(S162&lt;&gt;"",SUMIFS(COMPRAS!$J$3:$J$4997,COMPRAS!$G$3:$G$4997,S162,COMPRAS!$B$3:$B$4997,"&gt;="&amp;IF($C$4="",DATE(1900,1,1),$C$4),COMPRAS!$B$3:$B$4997,"&lt;="&amp;IF($F$4="",DATE(2999,12,31),$F$4)),0)</f>
        <v>764.75</v>
      </c>
      <c r="V162" s="1" t="n">
        <f aca="false">IF(S162&lt;&gt;"",SUMIFS(COMPRAS!$O$3:$O$4997,COMPRAS!$G$3:$G$4997,S162,COMPRAS!$B$3:$B$4997,"&gt;="&amp;IF($C$4="",DATE(1900,1,1),$C$4),COMPRAS!$B$3:$B$4997,"&lt;="&amp;IF($F$4="",DATE(2999,12,31),$F$4)),0)</f>
        <v>3884.19075</v>
      </c>
      <c r="Y162" s="1" t="n">
        <f aca="false">IF($X$2="TODOS",U162,IF(S162&lt;&gt;"",SUMIFS(COMPRAS!$J$3:$J$4997,COMPRAS!$G$3:$G$4997,S162,COMPRAS!$D$3:$D$4997,$X$2,COMPRAS!$B$3:$B$4997,"&gt;="&amp;IF($C$4="",DATE(1900,1,1),$C$4),COMPRAS!$B$3:$B$4997,"&lt;="&amp;IF($F$4="",DATE(2999,12,31),$F$4)),0))</f>
        <v>764.75</v>
      </c>
      <c r="Z162" s="1" t="n">
        <f aca="false">IF($X$2="TODOS",V162,IF(S162&lt;&gt;"",SUMIFS(COMPRAS!$O$3:$O$4997,COMPRAS!$G$3:$G$4997,S162,COMPRAS!$D$3:$D$4997,$X$2,COMPRAS!$B$3:$B$4997,"&gt;="&amp;IF($C$4="",DATE(1900,1,1),$C$4),COMPRAS!$B$3:$B$4997,"&lt;="&amp;IF($F$4="",DATE(2999,12,31),$F$4)),0))</f>
        <v>3884.19075</v>
      </c>
    </row>
    <row r="163" customFormat="false" ht="15" hidden="false" customHeight="true" outlineLevel="0" collapsed="false">
      <c r="N163" s="1" t="n">
        <f aca="false">PROVEEDORES!A164</f>
        <v>0</v>
      </c>
      <c r="O163" s="1" t="n">
        <f aca="false">PROVEEDORES!B164</f>
        <v>0</v>
      </c>
      <c r="P163" s="1" t="n">
        <f aca="false">IF(N163&lt;&gt;"",SUMIFS(COMPRAS!$J$3:$J$4997,COMPRAS!$D$3:$D$4997,N163,COMPRAS!$B$3:$B$4997,"&gt;="&amp;IF($C$4="",DATE(1900,1,1),$C$4),COMPRAS!$B$3:$B$4997,"&lt;="&amp;IF($F$4="",DATE(2999,12,31),$F$4)),0)</f>
        <v>0</v>
      </c>
      <c r="Q163" s="1" t="n">
        <f aca="false">IF(N163&lt;&gt;"",SUMIFS(COMPRAS!$O$3:$O$4997,COMPRAS!$D$3:$D$4997,N163,COMPRAS!$B$3:$B$4997,"&gt;="&amp;IF($C$4="",DATE(1900,1,1),$C$4),COMPRAS!$B$3:$B$4997,"&lt;="&amp;IF($F$4="",DATE(2999,12,31),$F$4)),0)</f>
        <v>0</v>
      </c>
      <c r="S163" s="1" t="str">
        <f aca="false">PRODUCTOS!A164</f>
        <v>C3973</v>
      </c>
      <c r="T163" s="1" t="str">
        <f aca="false">PRODUCTOS!B164</f>
        <v>ATUN ROJO (BFT)</v>
      </c>
      <c r="U163" s="1" t="n">
        <f aca="false">IF(S163&lt;&gt;"",SUMIFS(COMPRAS!$J$3:$J$4997,COMPRAS!$G$3:$G$4997,S163,COMPRAS!$B$3:$B$4997,"&gt;="&amp;IF($C$4="",DATE(1900,1,1),$C$4),COMPRAS!$B$3:$B$4997,"&lt;="&amp;IF($F$4="",DATE(2999,12,31),$F$4)),0)</f>
        <v>235</v>
      </c>
      <c r="V163" s="1" t="n">
        <f aca="false">IF(S163&lt;&gt;"",SUMIFS(COMPRAS!$O$3:$O$4997,COMPRAS!$G$3:$G$4997,S163,COMPRAS!$B$3:$B$4997,"&gt;="&amp;IF($C$4="",DATE(1900,1,1),$C$4),COMPRAS!$B$3:$B$4997,"&lt;="&amp;IF($F$4="",DATE(2999,12,31),$F$4)),0)</f>
        <v>2444.94</v>
      </c>
      <c r="Y163" s="1" t="n">
        <f aca="false">IF($X$2="TODOS",U163,IF(S163&lt;&gt;"",SUMIFS(COMPRAS!$J$3:$J$4997,COMPRAS!$G$3:$G$4997,S163,COMPRAS!$D$3:$D$4997,$X$2,COMPRAS!$B$3:$B$4997,"&gt;="&amp;IF($C$4="",DATE(1900,1,1),$C$4),COMPRAS!$B$3:$B$4997,"&lt;="&amp;IF($F$4="",DATE(2999,12,31),$F$4)),0))</f>
        <v>235</v>
      </c>
      <c r="Z163" s="1" t="n">
        <f aca="false">IF($X$2="TODOS",V163,IF(S163&lt;&gt;"",SUMIFS(COMPRAS!$O$3:$O$4997,COMPRAS!$G$3:$G$4997,S163,COMPRAS!$D$3:$D$4997,$X$2,COMPRAS!$B$3:$B$4997,"&gt;="&amp;IF($C$4="",DATE(1900,1,1),$C$4),COMPRAS!$B$3:$B$4997,"&lt;="&amp;IF($F$4="",DATE(2999,12,31),$F$4)),0))</f>
        <v>2444.94</v>
      </c>
    </row>
    <row r="164" customFormat="false" ht="15" hidden="false" customHeight="true" outlineLevel="0" collapsed="false">
      <c r="N164" s="1" t="n">
        <f aca="false">PROVEEDORES!A165</f>
        <v>0</v>
      </c>
      <c r="O164" s="1" t="n">
        <f aca="false">PROVEEDORES!B165</f>
        <v>0</v>
      </c>
      <c r="P164" s="1" t="n">
        <f aca="false">IF(N164&lt;&gt;"",SUMIFS(COMPRAS!$J$3:$J$4997,COMPRAS!$D$3:$D$4997,N164,COMPRAS!$B$3:$B$4997,"&gt;="&amp;IF($C$4="",DATE(1900,1,1),$C$4),COMPRAS!$B$3:$B$4997,"&lt;="&amp;IF($F$4="",DATE(2999,12,31),$F$4)),0)</f>
        <v>0</v>
      </c>
      <c r="Q164" s="1" t="n">
        <f aca="false">IF(N164&lt;&gt;"",SUMIFS(COMPRAS!$O$3:$O$4997,COMPRAS!$D$3:$D$4997,N164,COMPRAS!$B$3:$B$4997,"&gt;="&amp;IF($C$4="",DATE(1900,1,1),$C$4),COMPRAS!$B$3:$B$4997,"&lt;="&amp;IF($F$4="",DATE(2999,12,31),$F$4)),0)</f>
        <v>0</v>
      </c>
      <c r="S164" s="1" t="str">
        <f aca="false">PRODUCTOS!A165</f>
        <v>C3087</v>
      </c>
      <c r="T164" s="1" t="n">
        <f aca="false">PRODUCTOS!B165</f>
        <v>0</v>
      </c>
      <c r="U164" s="1" t="n">
        <f aca="false">IF(S164&lt;&gt;"",SUMIFS(COMPRAS!$J$3:$J$4997,COMPRAS!$G$3:$G$4997,S164,COMPRAS!$B$3:$B$4997,"&gt;="&amp;IF($C$4="",DATE(1900,1,1),$C$4),COMPRAS!$B$3:$B$4997,"&lt;="&amp;IF($F$4="",DATE(2999,12,31),$F$4)),0)</f>
        <v>0</v>
      </c>
      <c r="V164" s="1" t="n">
        <f aca="false">IF(S164&lt;&gt;"",SUMIFS(COMPRAS!$O$3:$O$4997,COMPRAS!$G$3:$G$4997,S164,COMPRAS!$B$3:$B$4997,"&gt;="&amp;IF($C$4="",DATE(1900,1,1),$C$4),COMPRAS!$B$3:$B$4997,"&lt;="&amp;IF($F$4="",DATE(2999,12,31),$F$4)),0)</f>
        <v>0</v>
      </c>
      <c r="Y164" s="1" t="n">
        <f aca="false">IF($X$2="TODOS",U164,IF(S164&lt;&gt;"",SUMIFS(COMPRAS!$J$3:$J$4997,COMPRAS!$G$3:$G$4997,S164,COMPRAS!$D$3:$D$4997,$X$2,COMPRAS!$B$3:$B$4997,"&gt;="&amp;IF($C$4="",DATE(1900,1,1),$C$4),COMPRAS!$B$3:$B$4997,"&lt;="&amp;IF($F$4="",DATE(2999,12,31),$F$4)),0))</f>
        <v>0</v>
      </c>
      <c r="Z164" s="1" t="n">
        <f aca="false">IF($X$2="TODOS",V164,IF(S164&lt;&gt;"",SUMIFS(COMPRAS!$O$3:$O$4997,COMPRAS!$G$3:$G$4997,S164,COMPRAS!$D$3:$D$4997,$X$2,COMPRAS!$B$3:$B$4997,"&gt;="&amp;IF($C$4="",DATE(1900,1,1),$C$4),COMPRAS!$B$3:$B$4997,"&lt;="&amp;IF($F$4="",DATE(2999,12,31),$F$4)),0))</f>
        <v>0</v>
      </c>
    </row>
    <row r="165" customFormat="false" ht="15" hidden="false" customHeight="true" outlineLevel="0" collapsed="false">
      <c r="N165" s="1" t="n">
        <f aca="false">PROVEEDORES!A166</f>
        <v>0</v>
      </c>
      <c r="O165" s="1" t="n">
        <f aca="false">PROVEEDORES!B166</f>
        <v>0</v>
      </c>
      <c r="P165" s="1" t="n">
        <f aca="false">IF(N165&lt;&gt;"",SUMIFS(COMPRAS!$J$3:$J$4997,COMPRAS!$D$3:$D$4997,N165,COMPRAS!$B$3:$B$4997,"&gt;="&amp;IF($C$4="",DATE(1900,1,1),$C$4),COMPRAS!$B$3:$B$4997,"&lt;="&amp;IF($F$4="",DATE(2999,12,31),$F$4)),0)</f>
        <v>0</v>
      </c>
      <c r="Q165" s="1" t="n">
        <f aca="false">IF(N165&lt;&gt;"",SUMIFS(COMPRAS!$O$3:$O$4997,COMPRAS!$D$3:$D$4997,N165,COMPRAS!$B$3:$B$4997,"&gt;="&amp;IF($C$4="",DATE(1900,1,1),$C$4),COMPRAS!$B$3:$B$4997,"&lt;="&amp;IF($F$4="",DATE(2999,12,31),$F$4)),0)</f>
        <v>0</v>
      </c>
      <c r="S165" s="1" t="str">
        <f aca="false">PRODUCTOS!A166</f>
        <v>C3088</v>
      </c>
      <c r="T165" s="1" t="n">
        <f aca="false">PRODUCTOS!B166</f>
        <v>0</v>
      </c>
      <c r="U165" s="1" t="n">
        <f aca="false">IF(S165&lt;&gt;"",SUMIFS(COMPRAS!$J$3:$J$4997,COMPRAS!$G$3:$G$4997,S165,COMPRAS!$B$3:$B$4997,"&gt;="&amp;IF($C$4="",DATE(1900,1,1),$C$4),COMPRAS!$B$3:$B$4997,"&lt;="&amp;IF($F$4="",DATE(2999,12,31),$F$4)),0)</f>
        <v>0</v>
      </c>
      <c r="V165" s="1" t="n">
        <f aca="false">IF(S165&lt;&gt;"",SUMIFS(COMPRAS!$O$3:$O$4997,COMPRAS!$G$3:$G$4997,S165,COMPRAS!$B$3:$B$4997,"&gt;="&amp;IF($C$4="",DATE(1900,1,1),$C$4),COMPRAS!$B$3:$B$4997,"&lt;="&amp;IF($F$4="",DATE(2999,12,31),$F$4)),0)</f>
        <v>0</v>
      </c>
      <c r="Y165" s="1" t="n">
        <f aca="false">IF($X$2="TODOS",U165,IF(S165&lt;&gt;"",SUMIFS(COMPRAS!$J$3:$J$4997,COMPRAS!$G$3:$G$4997,S165,COMPRAS!$D$3:$D$4997,$X$2,COMPRAS!$B$3:$B$4997,"&gt;="&amp;IF($C$4="",DATE(1900,1,1),$C$4),COMPRAS!$B$3:$B$4997,"&lt;="&amp;IF($F$4="",DATE(2999,12,31),$F$4)),0))</f>
        <v>0</v>
      </c>
      <c r="Z165" s="1" t="n">
        <f aca="false">IF($X$2="TODOS",V165,IF(S165&lt;&gt;"",SUMIFS(COMPRAS!$O$3:$O$4997,COMPRAS!$G$3:$G$4997,S165,COMPRAS!$D$3:$D$4997,$X$2,COMPRAS!$B$3:$B$4997,"&gt;="&amp;IF($C$4="",DATE(1900,1,1),$C$4),COMPRAS!$B$3:$B$4997,"&lt;="&amp;IF($F$4="",DATE(2999,12,31),$F$4)),0))</f>
        <v>0</v>
      </c>
    </row>
    <row r="166" customFormat="false" ht="15" hidden="false" customHeight="true" outlineLevel="0" collapsed="false">
      <c r="N166" s="1" t="n">
        <f aca="false">PROVEEDORES!A167</f>
        <v>0</v>
      </c>
      <c r="O166" s="1" t="n">
        <f aca="false">PROVEEDORES!B167</f>
        <v>0</v>
      </c>
      <c r="P166" s="1" t="n">
        <f aca="false">IF(N166&lt;&gt;"",SUMIFS(COMPRAS!$J$3:$J$4997,COMPRAS!$D$3:$D$4997,N166,COMPRAS!$B$3:$B$4997,"&gt;="&amp;IF($C$4="",DATE(1900,1,1),$C$4),COMPRAS!$B$3:$B$4997,"&lt;="&amp;IF($F$4="",DATE(2999,12,31),$F$4)),0)</f>
        <v>0</v>
      </c>
      <c r="Q166" s="1" t="n">
        <f aca="false">IF(N166&lt;&gt;"",SUMIFS(COMPRAS!$O$3:$O$4997,COMPRAS!$D$3:$D$4997,N166,COMPRAS!$B$3:$B$4997,"&gt;="&amp;IF($C$4="",DATE(1900,1,1),$C$4),COMPRAS!$B$3:$B$4997,"&lt;="&amp;IF($F$4="",DATE(2999,12,31),$F$4)),0)</f>
        <v>0</v>
      </c>
      <c r="S166" s="1" t="str">
        <f aca="false">PRODUCTOS!A167</f>
        <v>C3089</v>
      </c>
      <c r="T166" s="1" t="n">
        <f aca="false">PRODUCTOS!B167</f>
        <v>0</v>
      </c>
      <c r="U166" s="1" t="n">
        <f aca="false">IF(S166&lt;&gt;"",SUMIFS(COMPRAS!$J$3:$J$4997,COMPRAS!$G$3:$G$4997,S166,COMPRAS!$B$3:$B$4997,"&gt;="&amp;IF($C$4="",DATE(1900,1,1),$C$4),COMPRAS!$B$3:$B$4997,"&lt;="&amp;IF($F$4="",DATE(2999,12,31),$F$4)),0)</f>
        <v>0</v>
      </c>
      <c r="V166" s="1" t="n">
        <f aca="false">IF(S166&lt;&gt;"",SUMIFS(COMPRAS!$O$3:$O$4997,COMPRAS!$G$3:$G$4997,S166,COMPRAS!$B$3:$B$4997,"&gt;="&amp;IF($C$4="",DATE(1900,1,1),$C$4),COMPRAS!$B$3:$B$4997,"&lt;="&amp;IF($F$4="",DATE(2999,12,31),$F$4)),0)</f>
        <v>0</v>
      </c>
      <c r="Y166" s="1" t="n">
        <f aca="false">IF($X$2="TODOS",U166,IF(S166&lt;&gt;"",SUMIFS(COMPRAS!$J$3:$J$4997,COMPRAS!$G$3:$G$4997,S166,COMPRAS!$D$3:$D$4997,$X$2,COMPRAS!$B$3:$B$4997,"&gt;="&amp;IF($C$4="",DATE(1900,1,1),$C$4),COMPRAS!$B$3:$B$4997,"&lt;="&amp;IF($F$4="",DATE(2999,12,31),$F$4)),0))</f>
        <v>0</v>
      </c>
      <c r="Z166" s="1" t="n">
        <f aca="false">IF($X$2="TODOS",V166,IF(S166&lt;&gt;"",SUMIFS(COMPRAS!$O$3:$O$4997,COMPRAS!$G$3:$G$4997,S166,COMPRAS!$D$3:$D$4997,$X$2,COMPRAS!$B$3:$B$4997,"&gt;="&amp;IF($C$4="",DATE(1900,1,1),$C$4),COMPRAS!$B$3:$B$4997,"&lt;="&amp;IF($F$4="",DATE(2999,12,31),$F$4)),0))</f>
        <v>0</v>
      </c>
    </row>
    <row r="167" customFormat="false" ht="15" hidden="false" customHeight="true" outlineLevel="0" collapsed="false">
      <c r="N167" s="1" t="n">
        <f aca="false">PROVEEDORES!A168</f>
        <v>0</v>
      </c>
      <c r="O167" s="1" t="n">
        <f aca="false">PROVEEDORES!B168</f>
        <v>0</v>
      </c>
      <c r="P167" s="1" t="n">
        <f aca="false">IF(N167&lt;&gt;"",SUMIFS(COMPRAS!$J$3:$J$4997,COMPRAS!$D$3:$D$4997,N167,COMPRAS!$B$3:$B$4997,"&gt;="&amp;IF($C$4="",DATE(1900,1,1),$C$4),COMPRAS!$B$3:$B$4997,"&lt;="&amp;IF($F$4="",DATE(2999,12,31),$F$4)),0)</f>
        <v>0</v>
      </c>
      <c r="Q167" s="1" t="n">
        <f aca="false">IF(N167&lt;&gt;"",SUMIFS(COMPRAS!$O$3:$O$4997,COMPRAS!$D$3:$D$4997,N167,COMPRAS!$B$3:$B$4997,"&gt;="&amp;IF($C$4="",DATE(1900,1,1),$C$4),COMPRAS!$B$3:$B$4997,"&lt;="&amp;IF($F$4="",DATE(2999,12,31),$F$4)),0)</f>
        <v>0</v>
      </c>
      <c r="S167" s="1" t="str">
        <f aca="false">PRODUCTOS!A168</f>
        <v>C3090</v>
      </c>
      <c r="T167" s="1" t="n">
        <f aca="false">PRODUCTOS!B168</f>
        <v>0</v>
      </c>
      <c r="U167" s="1" t="n">
        <f aca="false">IF(S167&lt;&gt;"",SUMIFS(COMPRAS!$J$3:$J$4997,COMPRAS!$G$3:$G$4997,S167,COMPRAS!$B$3:$B$4997,"&gt;="&amp;IF($C$4="",DATE(1900,1,1),$C$4),COMPRAS!$B$3:$B$4997,"&lt;="&amp;IF($F$4="",DATE(2999,12,31),$F$4)),0)</f>
        <v>0</v>
      </c>
      <c r="V167" s="1" t="n">
        <f aca="false">IF(S167&lt;&gt;"",SUMIFS(COMPRAS!$O$3:$O$4997,COMPRAS!$G$3:$G$4997,S167,COMPRAS!$B$3:$B$4997,"&gt;="&amp;IF($C$4="",DATE(1900,1,1),$C$4),COMPRAS!$B$3:$B$4997,"&lt;="&amp;IF($F$4="",DATE(2999,12,31),$F$4)),0)</f>
        <v>0</v>
      </c>
      <c r="Y167" s="1" t="n">
        <f aca="false">IF($X$2="TODOS",U167,IF(S167&lt;&gt;"",SUMIFS(COMPRAS!$J$3:$J$4997,COMPRAS!$G$3:$G$4997,S167,COMPRAS!$D$3:$D$4997,$X$2,COMPRAS!$B$3:$B$4997,"&gt;="&amp;IF($C$4="",DATE(1900,1,1),$C$4),COMPRAS!$B$3:$B$4997,"&lt;="&amp;IF($F$4="",DATE(2999,12,31),$F$4)),0))</f>
        <v>0</v>
      </c>
      <c r="Z167" s="1" t="n">
        <f aca="false">IF($X$2="TODOS",V167,IF(S167&lt;&gt;"",SUMIFS(COMPRAS!$O$3:$O$4997,COMPRAS!$G$3:$G$4997,S167,COMPRAS!$D$3:$D$4997,$X$2,COMPRAS!$B$3:$B$4997,"&gt;="&amp;IF($C$4="",DATE(1900,1,1),$C$4),COMPRAS!$B$3:$B$4997,"&lt;="&amp;IF($F$4="",DATE(2999,12,31),$F$4)),0))</f>
        <v>0</v>
      </c>
    </row>
    <row r="168" customFormat="false" ht="15" hidden="false" customHeight="true" outlineLevel="0" collapsed="false">
      <c r="N168" s="1" t="n">
        <f aca="false">PROVEEDORES!A169</f>
        <v>0</v>
      </c>
      <c r="O168" s="1" t="n">
        <f aca="false">PROVEEDORES!B169</f>
        <v>0</v>
      </c>
      <c r="P168" s="1" t="n">
        <f aca="false">IF(N168&lt;&gt;"",SUMIFS(COMPRAS!$J$3:$J$4997,COMPRAS!$D$3:$D$4997,N168,COMPRAS!$B$3:$B$4997,"&gt;="&amp;IF($C$4="",DATE(1900,1,1),$C$4),COMPRAS!$B$3:$B$4997,"&lt;="&amp;IF($F$4="",DATE(2999,12,31),$F$4)),0)</f>
        <v>0</v>
      </c>
      <c r="Q168" s="1" t="n">
        <f aca="false">IF(N168&lt;&gt;"",SUMIFS(COMPRAS!$O$3:$O$4997,COMPRAS!$D$3:$D$4997,N168,COMPRAS!$B$3:$B$4997,"&gt;="&amp;IF($C$4="",DATE(1900,1,1),$C$4),COMPRAS!$B$3:$B$4997,"&lt;="&amp;IF($F$4="",DATE(2999,12,31),$F$4)),0)</f>
        <v>0</v>
      </c>
      <c r="S168" s="1" t="str">
        <f aca="false">PRODUCTOS!A169</f>
        <v>C3091</v>
      </c>
      <c r="T168" s="1" t="n">
        <f aca="false">PRODUCTOS!B169</f>
        <v>0</v>
      </c>
      <c r="U168" s="1" t="n">
        <f aca="false">IF(S168&lt;&gt;"",SUMIFS(COMPRAS!$J$3:$J$4997,COMPRAS!$G$3:$G$4997,S168,COMPRAS!$B$3:$B$4997,"&gt;="&amp;IF($C$4="",DATE(1900,1,1),$C$4),COMPRAS!$B$3:$B$4997,"&lt;="&amp;IF($F$4="",DATE(2999,12,31),$F$4)),0)</f>
        <v>0</v>
      </c>
      <c r="V168" s="1" t="n">
        <f aca="false">IF(S168&lt;&gt;"",SUMIFS(COMPRAS!$O$3:$O$4997,COMPRAS!$G$3:$G$4997,S168,COMPRAS!$B$3:$B$4997,"&gt;="&amp;IF($C$4="",DATE(1900,1,1),$C$4),COMPRAS!$B$3:$B$4997,"&lt;="&amp;IF($F$4="",DATE(2999,12,31),$F$4)),0)</f>
        <v>0</v>
      </c>
      <c r="Y168" s="1" t="n">
        <f aca="false">IF($X$2="TODOS",U168,IF(S168&lt;&gt;"",SUMIFS(COMPRAS!$J$3:$J$4997,COMPRAS!$G$3:$G$4997,S168,COMPRAS!$D$3:$D$4997,$X$2,COMPRAS!$B$3:$B$4997,"&gt;="&amp;IF($C$4="",DATE(1900,1,1),$C$4),COMPRAS!$B$3:$B$4997,"&lt;="&amp;IF($F$4="",DATE(2999,12,31),$F$4)),0))</f>
        <v>0</v>
      </c>
      <c r="Z168" s="1" t="n">
        <f aca="false">IF($X$2="TODOS",V168,IF(S168&lt;&gt;"",SUMIFS(COMPRAS!$O$3:$O$4997,COMPRAS!$G$3:$G$4997,S168,COMPRAS!$D$3:$D$4997,$X$2,COMPRAS!$B$3:$B$4997,"&gt;="&amp;IF($C$4="",DATE(1900,1,1),$C$4),COMPRAS!$B$3:$B$4997,"&lt;="&amp;IF($F$4="",DATE(2999,12,31),$F$4)),0))</f>
        <v>0</v>
      </c>
    </row>
    <row r="169" customFormat="false" ht="15" hidden="false" customHeight="true" outlineLevel="0" collapsed="false">
      <c r="N169" s="1" t="n">
        <f aca="false">PROVEEDORES!A170</f>
        <v>0</v>
      </c>
      <c r="O169" s="1" t="n">
        <f aca="false">PROVEEDORES!B170</f>
        <v>0</v>
      </c>
      <c r="P169" s="1" t="n">
        <f aca="false">IF(N169&lt;&gt;"",SUMIFS(COMPRAS!$J$3:$J$4997,COMPRAS!$D$3:$D$4997,N169,COMPRAS!$B$3:$B$4997,"&gt;="&amp;IF($C$4="",DATE(1900,1,1),$C$4),COMPRAS!$B$3:$B$4997,"&lt;="&amp;IF($F$4="",DATE(2999,12,31),$F$4)),0)</f>
        <v>0</v>
      </c>
      <c r="Q169" s="1" t="n">
        <f aca="false">IF(N169&lt;&gt;"",SUMIFS(COMPRAS!$O$3:$O$4997,COMPRAS!$D$3:$D$4997,N169,COMPRAS!$B$3:$B$4997,"&gt;="&amp;IF($C$4="",DATE(1900,1,1),$C$4),COMPRAS!$B$3:$B$4997,"&lt;="&amp;IF($F$4="",DATE(2999,12,31),$F$4)),0)</f>
        <v>0</v>
      </c>
      <c r="S169" s="1" t="str">
        <f aca="false">PRODUCTOS!A170</f>
        <v>C3092</v>
      </c>
      <c r="T169" s="1" t="n">
        <f aca="false">PRODUCTOS!B170</f>
        <v>0</v>
      </c>
      <c r="U169" s="1" t="n">
        <f aca="false">IF(S169&lt;&gt;"",SUMIFS(COMPRAS!$J$3:$J$4997,COMPRAS!$G$3:$G$4997,S169,COMPRAS!$B$3:$B$4997,"&gt;="&amp;IF($C$4="",DATE(1900,1,1),$C$4),COMPRAS!$B$3:$B$4997,"&lt;="&amp;IF($F$4="",DATE(2999,12,31),$F$4)),0)</f>
        <v>0</v>
      </c>
      <c r="V169" s="1" t="n">
        <f aca="false">IF(S169&lt;&gt;"",SUMIFS(COMPRAS!$O$3:$O$4997,COMPRAS!$G$3:$G$4997,S169,COMPRAS!$B$3:$B$4997,"&gt;="&amp;IF($C$4="",DATE(1900,1,1),$C$4),COMPRAS!$B$3:$B$4997,"&lt;="&amp;IF($F$4="",DATE(2999,12,31),$F$4)),0)</f>
        <v>0</v>
      </c>
      <c r="Y169" s="1" t="n">
        <f aca="false">IF($X$2="TODOS",U169,IF(S169&lt;&gt;"",SUMIFS(COMPRAS!$J$3:$J$4997,COMPRAS!$G$3:$G$4997,S169,COMPRAS!$D$3:$D$4997,$X$2,COMPRAS!$B$3:$B$4997,"&gt;="&amp;IF($C$4="",DATE(1900,1,1),$C$4),COMPRAS!$B$3:$B$4997,"&lt;="&amp;IF($F$4="",DATE(2999,12,31),$F$4)),0))</f>
        <v>0</v>
      </c>
      <c r="Z169" s="1" t="n">
        <f aca="false">IF($X$2="TODOS",V169,IF(S169&lt;&gt;"",SUMIFS(COMPRAS!$O$3:$O$4997,COMPRAS!$G$3:$G$4997,S169,COMPRAS!$D$3:$D$4997,$X$2,COMPRAS!$B$3:$B$4997,"&gt;="&amp;IF($C$4="",DATE(1900,1,1),$C$4),COMPRAS!$B$3:$B$4997,"&lt;="&amp;IF($F$4="",DATE(2999,12,31),$F$4)),0))</f>
        <v>0</v>
      </c>
    </row>
    <row r="170" customFormat="false" ht="15" hidden="false" customHeight="true" outlineLevel="0" collapsed="false">
      <c r="N170" s="1" t="n">
        <f aca="false">PROVEEDORES!A171</f>
        <v>0</v>
      </c>
      <c r="O170" s="1" t="n">
        <f aca="false">PROVEEDORES!B171</f>
        <v>0</v>
      </c>
      <c r="P170" s="1" t="n">
        <f aca="false">IF(N170&lt;&gt;"",SUMIFS(COMPRAS!$J$3:$J$4997,COMPRAS!$D$3:$D$4997,N170,COMPRAS!$B$3:$B$4997,"&gt;="&amp;IF($C$4="",DATE(1900,1,1),$C$4),COMPRAS!$B$3:$B$4997,"&lt;="&amp;IF($F$4="",DATE(2999,12,31),$F$4)),0)</f>
        <v>0</v>
      </c>
      <c r="Q170" s="1" t="n">
        <f aca="false">IF(N170&lt;&gt;"",SUMIFS(COMPRAS!$O$3:$O$4997,COMPRAS!$D$3:$D$4997,N170,COMPRAS!$B$3:$B$4997,"&gt;="&amp;IF($C$4="",DATE(1900,1,1),$C$4),COMPRAS!$B$3:$B$4997,"&lt;="&amp;IF($F$4="",DATE(2999,12,31),$F$4)),0)</f>
        <v>0</v>
      </c>
      <c r="S170" s="1" t="str">
        <f aca="false">PRODUCTOS!A171</f>
        <v>C3093</v>
      </c>
      <c r="T170" s="1" t="n">
        <f aca="false">PRODUCTOS!B171</f>
        <v>0</v>
      </c>
      <c r="U170" s="1" t="n">
        <f aca="false">IF(S170&lt;&gt;"",SUMIFS(COMPRAS!$J$3:$J$4997,COMPRAS!$G$3:$G$4997,S170,COMPRAS!$B$3:$B$4997,"&gt;="&amp;IF($C$4="",DATE(1900,1,1),$C$4),COMPRAS!$B$3:$B$4997,"&lt;="&amp;IF($F$4="",DATE(2999,12,31),$F$4)),0)</f>
        <v>0</v>
      </c>
      <c r="V170" s="1" t="n">
        <f aca="false">IF(S170&lt;&gt;"",SUMIFS(COMPRAS!$O$3:$O$4997,COMPRAS!$G$3:$G$4997,S170,COMPRAS!$B$3:$B$4997,"&gt;="&amp;IF($C$4="",DATE(1900,1,1),$C$4),COMPRAS!$B$3:$B$4997,"&lt;="&amp;IF($F$4="",DATE(2999,12,31),$F$4)),0)</f>
        <v>0</v>
      </c>
      <c r="Y170" s="1" t="n">
        <f aca="false">IF($X$2="TODOS",U170,IF(S170&lt;&gt;"",SUMIFS(COMPRAS!$J$3:$J$4997,COMPRAS!$G$3:$G$4997,S170,COMPRAS!$D$3:$D$4997,$X$2,COMPRAS!$B$3:$B$4997,"&gt;="&amp;IF($C$4="",DATE(1900,1,1),$C$4),COMPRAS!$B$3:$B$4997,"&lt;="&amp;IF($F$4="",DATE(2999,12,31),$F$4)),0))</f>
        <v>0</v>
      </c>
      <c r="Z170" s="1" t="n">
        <f aca="false">IF($X$2="TODOS",V170,IF(S170&lt;&gt;"",SUMIFS(COMPRAS!$O$3:$O$4997,COMPRAS!$G$3:$G$4997,S170,COMPRAS!$D$3:$D$4997,$X$2,COMPRAS!$B$3:$B$4997,"&gt;="&amp;IF($C$4="",DATE(1900,1,1),$C$4),COMPRAS!$B$3:$B$4997,"&lt;="&amp;IF($F$4="",DATE(2999,12,31),$F$4)),0))</f>
        <v>0</v>
      </c>
    </row>
    <row r="171" customFormat="false" ht="15" hidden="false" customHeight="true" outlineLevel="0" collapsed="false">
      <c r="N171" s="1" t="n">
        <f aca="false">PROVEEDORES!A172</f>
        <v>0</v>
      </c>
      <c r="O171" s="1" t="n">
        <f aca="false">PROVEEDORES!B172</f>
        <v>0</v>
      </c>
      <c r="P171" s="1" t="n">
        <f aca="false">IF(N171&lt;&gt;"",SUMIFS(COMPRAS!$J$3:$J$4997,COMPRAS!$D$3:$D$4997,N171,COMPRAS!$B$3:$B$4997,"&gt;="&amp;IF($C$4="",DATE(1900,1,1),$C$4),COMPRAS!$B$3:$B$4997,"&lt;="&amp;IF($F$4="",DATE(2999,12,31),$F$4)),0)</f>
        <v>0</v>
      </c>
      <c r="Q171" s="1" t="n">
        <f aca="false">IF(N171&lt;&gt;"",SUMIFS(COMPRAS!$O$3:$O$4997,COMPRAS!$D$3:$D$4997,N171,COMPRAS!$B$3:$B$4997,"&gt;="&amp;IF($C$4="",DATE(1900,1,1),$C$4),COMPRAS!$B$3:$B$4997,"&lt;="&amp;IF($F$4="",DATE(2999,12,31),$F$4)),0)</f>
        <v>0</v>
      </c>
      <c r="S171" s="1" t="str">
        <f aca="false">PRODUCTOS!A172</f>
        <v>C3094</v>
      </c>
      <c r="T171" s="1" t="n">
        <f aca="false">PRODUCTOS!B172</f>
        <v>0</v>
      </c>
      <c r="U171" s="1" t="n">
        <f aca="false">IF(S171&lt;&gt;"",SUMIFS(COMPRAS!$J$3:$J$4997,COMPRAS!$G$3:$G$4997,S171,COMPRAS!$B$3:$B$4997,"&gt;="&amp;IF($C$4="",DATE(1900,1,1),$C$4),COMPRAS!$B$3:$B$4997,"&lt;="&amp;IF($F$4="",DATE(2999,12,31),$F$4)),0)</f>
        <v>0</v>
      </c>
      <c r="V171" s="1" t="n">
        <f aca="false">IF(S171&lt;&gt;"",SUMIFS(COMPRAS!$O$3:$O$4997,COMPRAS!$G$3:$G$4997,S171,COMPRAS!$B$3:$B$4997,"&gt;="&amp;IF($C$4="",DATE(1900,1,1),$C$4),COMPRAS!$B$3:$B$4997,"&lt;="&amp;IF($F$4="",DATE(2999,12,31),$F$4)),0)</f>
        <v>0</v>
      </c>
      <c r="Y171" s="1" t="n">
        <f aca="false">IF($X$2="TODOS",U171,IF(S171&lt;&gt;"",SUMIFS(COMPRAS!$J$3:$J$4997,COMPRAS!$G$3:$G$4997,S171,COMPRAS!$D$3:$D$4997,$X$2,COMPRAS!$B$3:$B$4997,"&gt;="&amp;IF($C$4="",DATE(1900,1,1),$C$4),COMPRAS!$B$3:$B$4997,"&lt;="&amp;IF($F$4="",DATE(2999,12,31),$F$4)),0))</f>
        <v>0</v>
      </c>
      <c r="Z171" s="1" t="n">
        <f aca="false">IF($X$2="TODOS",V171,IF(S171&lt;&gt;"",SUMIFS(COMPRAS!$O$3:$O$4997,COMPRAS!$G$3:$G$4997,S171,COMPRAS!$D$3:$D$4997,$X$2,COMPRAS!$B$3:$B$4997,"&gt;="&amp;IF($C$4="",DATE(1900,1,1),$C$4),COMPRAS!$B$3:$B$4997,"&lt;="&amp;IF($F$4="",DATE(2999,12,31),$F$4)),0))</f>
        <v>0</v>
      </c>
    </row>
    <row r="172" customFormat="false" ht="15" hidden="false" customHeight="true" outlineLevel="0" collapsed="false">
      <c r="N172" s="1" t="n">
        <f aca="false">PROVEEDORES!A173</f>
        <v>0</v>
      </c>
      <c r="O172" s="1" t="n">
        <f aca="false">PROVEEDORES!B173</f>
        <v>0</v>
      </c>
      <c r="P172" s="1" t="n">
        <f aca="false">IF(N172&lt;&gt;"",SUMIFS(COMPRAS!$J$3:$J$4997,COMPRAS!$D$3:$D$4997,N172,COMPRAS!$B$3:$B$4997,"&gt;="&amp;IF($C$4="",DATE(1900,1,1),$C$4),COMPRAS!$B$3:$B$4997,"&lt;="&amp;IF($F$4="",DATE(2999,12,31),$F$4)),0)</f>
        <v>0</v>
      </c>
      <c r="Q172" s="1" t="n">
        <f aca="false">IF(N172&lt;&gt;"",SUMIFS(COMPRAS!$O$3:$O$4997,COMPRAS!$D$3:$D$4997,N172,COMPRAS!$B$3:$B$4997,"&gt;="&amp;IF($C$4="",DATE(1900,1,1),$C$4),COMPRAS!$B$3:$B$4997,"&lt;="&amp;IF($F$4="",DATE(2999,12,31),$F$4)),0)</f>
        <v>0</v>
      </c>
      <c r="S172" s="1" t="str">
        <f aca="false">PRODUCTOS!A173</f>
        <v>C3095</v>
      </c>
      <c r="T172" s="1" t="n">
        <f aca="false">PRODUCTOS!B173</f>
        <v>0</v>
      </c>
      <c r="U172" s="1" t="n">
        <f aca="false">IF(S172&lt;&gt;"",SUMIFS(COMPRAS!$J$3:$J$4997,COMPRAS!$G$3:$G$4997,S172,COMPRAS!$B$3:$B$4997,"&gt;="&amp;IF($C$4="",DATE(1900,1,1),$C$4),COMPRAS!$B$3:$B$4997,"&lt;="&amp;IF($F$4="",DATE(2999,12,31),$F$4)),0)</f>
        <v>0</v>
      </c>
      <c r="V172" s="1" t="n">
        <f aca="false">IF(S172&lt;&gt;"",SUMIFS(COMPRAS!$O$3:$O$4997,COMPRAS!$G$3:$G$4997,S172,COMPRAS!$B$3:$B$4997,"&gt;="&amp;IF($C$4="",DATE(1900,1,1),$C$4),COMPRAS!$B$3:$B$4997,"&lt;="&amp;IF($F$4="",DATE(2999,12,31),$F$4)),0)</f>
        <v>0</v>
      </c>
      <c r="Y172" s="1" t="n">
        <f aca="false">IF($X$2="TODOS",U172,IF(S172&lt;&gt;"",SUMIFS(COMPRAS!$J$3:$J$4997,COMPRAS!$G$3:$G$4997,S172,COMPRAS!$D$3:$D$4997,$X$2,COMPRAS!$B$3:$B$4997,"&gt;="&amp;IF($C$4="",DATE(1900,1,1),$C$4),COMPRAS!$B$3:$B$4997,"&lt;="&amp;IF($F$4="",DATE(2999,12,31),$F$4)),0))</f>
        <v>0</v>
      </c>
      <c r="Z172" s="1" t="n">
        <f aca="false">IF($X$2="TODOS",V172,IF(S172&lt;&gt;"",SUMIFS(COMPRAS!$O$3:$O$4997,COMPRAS!$G$3:$G$4997,S172,COMPRAS!$D$3:$D$4997,$X$2,COMPRAS!$B$3:$B$4997,"&gt;="&amp;IF($C$4="",DATE(1900,1,1),$C$4),COMPRAS!$B$3:$B$4997,"&lt;="&amp;IF($F$4="",DATE(2999,12,31),$F$4)),0))</f>
        <v>0</v>
      </c>
    </row>
    <row r="173" customFormat="false" ht="15" hidden="false" customHeight="true" outlineLevel="0" collapsed="false">
      <c r="N173" s="1" t="n">
        <f aca="false">PROVEEDORES!A174</f>
        <v>0</v>
      </c>
      <c r="O173" s="1" t="n">
        <f aca="false">PROVEEDORES!B174</f>
        <v>0</v>
      </c>
      <c r="P173" s="1" t="n">
        <f aca="false">IF(N173&lt;&gt;"",SUMIFS(COMPRAS!$J$3:$J$4997,COMPRAS!$D$3:$D$4997,N173,COMPRAS!$B$3:$B$4997,"&gt;="&amp;IF($C$4="",DATE(1900,1,1),$C$4),COMPRAS!$B$3:$B$4997,"&lt;="&amp;IF($F$4="",DATE(2999,12,31),$F$4)),0)</f>
        <v>0</v>
      </c>
      <c r="Q173" s="1" t="n">
        <f aca="false">IF(N173&lt;&gt;"",SUMIFS(COMPRAS!$O$3:$O$4997,COMPRAS!$D$3:$D$4997,N173,COMPRAS!$B$3:$B$4997,"&gt;="&amp;IF($C$4="",DATE(1900,1,1),$C$4),COMPRAS!$B$3:$B$4997,"&lt;="&amp;IF($F$4="",DATE(2999,12,31),$F$4)),0)</f>
        <v>0</v>
      </c>
      <c r="S173" s="1" t="str">
        <f aca="false">PRODUCTOS!A174</f>
        <v>C3096</v>
      </c>
      <c r="T173" s="1" t="n">
        <f aca="false">PRODUCTOS!B174</f>
        <v>0</v>
      </c>
      <c r="U173" s="1" t="n">
        <f aca="false">IF(S173&lt;&gt;"",SUMIFS(COMPRAS!$J$3:$J$4997,COMPRAS!$G$3:$G$4997,S173,COMPRAS!$B$3:$B$4997,"&gt;="&amp;IF($C$4="",DATE(1900,1,1),$C$4),COMPRAS!$B$3:$B$4997,"&lt;="&amp;IF($F$4="",DATE(2999,12,31),$F$4)),0)</f>
        <v>0</v>
      </c>
      <c r="V173" s="1" t="n">
        <f aca="false">IF(S173&lt;&gt;"",SUMIFS(COMPRAS!$O$3:$O$4997,COMPRAS!$G$3:$G$4997,S173,COMPRAS!$B$3:$B$4997,"&gt;="&amp;IF($C$4="",DATE(1900,1,1),$C$4),COMPRAS!$B$3:$B$4997,"&lt;="&amp;IF($F$4="",DATE(2999,12,31),$F$4)),0)</f>
        <v>0</v>
      </c>
      <c r="Y173" s="1" t="n">
        <f aca="false">IF($X$2="TODOS",U173,IF(S173&lt;&gt;"",SUMIFS(COMPRAS!$J$3:$J$4997,COMPRAS!$G$3:$G$4997,S173,COMPRAS!$D$3:$D$4997,$X$2,COMPRAS!$B$3:$B$4997,"&gt;="&amp;IF($C$4="",DATE(1900,1,1),$C$4),COMPRAS!$B$3:$B$4997,"&lt;="&amp;IF($F$4="",DATE(2999,12,31),$F$4)),0))</f>
        <v>0</v>
      </c>
      <c r="Z173" s="1" t="n">
        <f aca="false">IF($X$2="TODOS",V173,IF(S173&lt;&gt;"",SUMIFS(COMPRAS!$O$3:$O$4997,COMPRAS!$G$3:$G$4997,S173,COMPRAS!$D$3:$D$4997,$X$2,COMPRAS!$B$3:$B$4997,"&gt;="&amp;IF($C$4="",DATE(1900,1,1),$C$4),COMPRAS!$B$3:$B$4997,"&lt;="&amp;IF($F$4="",DATE(2999,12,31),$F$4)),0))</f>
        <v>0</v>
      </c>
    </row>
    <row r="174" customFormat="false" ht="15" hidden="false" customHeight="true" outlineLevel="0" collapsed="false">
      <c r="N174" s="1" t="n">
        <f aca="false">PROVEEDORES!A175</f>
        <v>0</v>
      </c>
      <c r="O174" s="1" t="n">
        <f aca="false">PROVEEDORES!B175</f>
        <v>0</v>
      </c>
      <c r="P174" s="1" t="n">
        <f aca="false">IF(N174&lt;&gt;"",SUMIFS(COMPRAS!$J$3:$J$4997,COMPRAS!$D$3:$D$4997,N174,COMPRAS!$B$3:$B$4997,"&gt;="&amp;IF($C$4="",DATE(1900,1,1),$C$4),COMPRAS!$B$3:$B$4997,"&lt;="&amp;IF($F$4="",DATE(2999,12,31),$F$4)),0)</f>
        <v>0</v>
      </c>
      <c r="Q174" s="1" t="n">
        <f aca="false">IF(N174&lt;&gt;"",SUMIFS(COMPRAS!$O$3:$O$4997,COMPRAS!$D$3:$D$4997,N174,COMPRAS!$B$3:$B$4997,"&gt;="&amp;IF($C$4="",DATE(1900,1,1),$C$4),COMPRAS!$B$3:$B$4997,"&lt;="&amp;IF($F$4="",DATE(2999,12,31),$F$4)),0)</f>
        <v>0</v>
      </c>
      <c r="S174" s="1" t="str">
        <f aca="false">PRODUCTOS!A175</f>
        <v>C3097</v>
      </c>
      <c r="T174" s="1" t="n">
        <f aca="false">PRODUCTOS!B175</f>
        <v>0</v>
      </c>
      <c r="U174" s="1" t="n">
        <f aca="false">IF(S174&lt;&gt;"",SUMIFS(COMPRAS!$J$3:$J$4997,COMPRAS!$G$3:$G$4997,S174,COMPRAS!$B$3:$B$4997,"&gt;="&amp;IF($C$4="",DATE(1900,1,1),$C$4),COMPRAS!$B$3:$B$4997,"&lt;="&amp;IF($F$4="",DATE(2999,12,31),$F$4)),0)</f>
        <v>0</v>
      </c>
      <c r="V174" s="1" t="n">
        <f aca="false">IF(S174&lt;&gt;"",SUMIFS(COMPRAS!$O$3:$O$4997,COMPRAS!$G$3:$G$4997,S174,COMPRAS!$B$3:$B$4997,"&gt;="&amp;IF($C$4="",DATE(1900,1,1),$C$4),COMPRAS!$B$3:$B$4997,"&lt;="&amp;IF($F$4="",DATE(2999,12,31),$F$4)),0)</f>
        <v>0</v>
      </c>
      <c r="Y174" s="1" t="n">
        <f aca="false">IF($X$2="TODOS",U174,IF(S174&lt;&gt;"",SUMIFS(COMPRAS!$J$3:$J$4997,COMPRAS!$G$3:$G$4997,S174,COMPRAS!$D$3:$D$4997,$X$2,COMPRAS!$B$3:$B$4997,"&gt;="&amp;IF($C$4="",DATE(1900,1,1),$C$4),COMPRAS!$B$3:$B$4997,"&lt;="&amp;IF($F$4="",DATE(2999,12,31),$F$4)),0))</f>
        <v>0</v>
      </c>
      <c r="Z174" s="1" t="n">
        <f aca="false">IF($X$2="TODOS",V174,IF(S174&lt;&gt;"",SUMIFS(COMPRAS!$O$3:$O$4997,COMPRAS!$G$3:$G$4997,S174,COMPRAS!$D$3:$D$4997,$X$2,COMPRAS!$B$3:$B$4997,"&gt;="&amp;IF($C$4="",DATE(1900,1,1),$C$4),COMPRAS!$B$3:$B$4997,"&lt;="&amp;IF($F$4="",DATE(2999,12,31),$F$4)),0))</f>
        <v>0</v>
      </c>
    </row>
    <row r="175" customFormat="false" ht="15" hidden="false" customHeight="true" outlineLevel="0" collapsed="false">
      <c r="N175" s="1" t="n">
        <f aca="false">PROVEEDORES!A176</f>
        <v>0</v>
      </c>
      <c r="O175" s="1" t="n">
        <f aca="false">PROVEEDORES!B176</f>
        <v>0</v>
      </c>
      <c r="P175" s="1" t="n">
        <f aca="false">IF(N175&lt;&gt;"",SUMIFS(COMPRAS!$J$3:$J$4997,COMPRAS!$D$3:$D$4997,N175,COMPRAS!$B$3:$B$4997,"&gt;="&amp;IF($C$4="",DATE(1900,1,1),$C$4),COMPRAS!$B$3:$B$4997,"&lt;="&amp;IF($F$4="",DATE(2999,12,31),$F$4)),0)</f>
        <v>0</v>
      </c>
      <c r="Q175" s="1" t="n">
        <f aca="false">IF(N175&lt;&gt;"",SUMIFS(COMPRAS!$O$3:$O$4997,COMPRAS!$D$3:$D$4997,N175,COMPRAS!$B$3:$B$4997,"&gt;="&amp;IF($C$4="",DATE(1900,1,1),$C$4),COMPRAS!$B$3:$B$4997,"&lt;="&amp;IF($F$4="",DATE(2999,12,31),$F$4)),0)</f>
        <v>0</v>
      </c>
      <c r="S175" s="1" t="str">
        <f aca="false">PRODUCTOS!A176</f>
        <v>C3098</v>
      </c>
      <c r="T175" s="1" t="n">
        <f aca="false">PRODUCTOS!B176</f>
        <v>0</v>
      </c>
      <c r="U175" s="1" t="n">
        <f aca="false">IF(S175&lt;&gt;"",SUMIFS(COMPRAS!$J$3:$J$4997,COMPRAS!$G$3:$G$4997,S175,COMPRAS!$B$3:$B$4997,"&gt;="&amp;IF($C$4="",DATE(1900,1,1),$C$4),COMPRAS!$B$3:$B$4997,"&lt;="&amp;IF($F$4="",DATE(2999,12,31),$F$4)),0)</f>
        <v>0</v>
      </c>
      <c r="V175" s="1" t="n">
        <f aca="false">IF(S175&lt;&gt;"",SUMIFS(COMPRAS!$O$3:$O$4997,COMPRAS!$G$3:$G$4997,S175,COMPRAS!$B$3:$B$4997,"&gt;="&amp;IF($C$4="",DATE(1900,1,1),$C$4),COMPRAS!$B$3:$B$4997,"&lt;="&amp;IF($F$4="",DATE(2999,12,31),$F$4)),0)</f>
        <v>0</v>
      </c>
      <c r="Y175" s="1" t="n">
        <f aca="false">IF($X$2="TODOS",U175,IF(S175&lt;&gt;"",SUMIFS(COMPRAS!$J$3:$J$4997,COMPRAS!$G$3:$G$4997,S175,COMPRAS!$D$3:$D$4997,$X$2,COMPRAS!$B$3:$B$4997,"&gt;="&amp;IF($C$4="",DATE(1900,1,1),$C$4),COMPRAS!$B$3:$B$4997,"&lt;="&amp;IF($F$4="",DATE(2999,12,31),$F$4)),0))</f>
        <v>0</v>
      </c>
      <c r="Z175" s="1" t="n">
        <f aca="false">IF($X$2="TODOS",V175,IF(S175&lt;&gt;"",SUMIFS(COMPRAS!$O$3:$O$4997,COMPRAS!$G$3:$G$4997,S175,COMPRAS!$D$3:$D$4997,$X$2,COMPRAS!$B$3:$B$4997,"&gt;="&amp;IF($C$4="",DATE(1900,1,1),$C$4),COMPRAS!$B$3:$B$4997,"&lt;="&amp;IF($F$4="",DATE(2999,12,31),$F$4)),0))</f>
        <v>0</v>
      </c>
    </row>
    <row r="176" customFormat="false" ht="15" hidden="false" customHeight="true" outlineLevel="0" collapsed="false">
      <c r="N176" s="1" t="n">
        <f aca="false">PROVEEDORES!A177</f>
        <v>0</v>
      </c>
      <c r="O176" s="1" t="n">
        <f aca="false">PROVEEDORES!B177</f>
        <v>0</v>
      </c>
      <c r="P176" s="1" t="n">
        <f aca="false">IF(N176&lt;&gt;"",SUMIFS(COMPRAS!$J$3:$J$4997,COMPRAS!$D$3:$D$4997,N176,COMPRAS!$B$3:$B$4997,"&gt;="&amp;IF($C$4="",DATE(1900,1,1),$C$4),COMPRAS!$B$3:$B$4997,"&lt;="&amp;IF($F$4="",DATE(2999,12,31),$F$4)),0)</f>
        <v>0</v>
      </c>
      <c r="Q176" s="1" t="n">
        <f aca="false">IF(N176&lt;&gt;"",SUMIFS(COMPRAS!$O$3:$O$4997,COMPRAS!$D$3:$D$4997,N176,COMPRAS!$B$3:$B$4997,"&gt;="&amp;IF($C$4="",DATE(1900,1,1),$C$4),COMPRAS!$B$3:$B$4997,"&lt;="&amp;IF($F$4="",DATE(2999,12,31),$F$4)),0)</f>
        <v>0</v>
      </c>
      <c r="S176" s="1" t="str">
        <f aca="false">PRODUCTOS!A177</f>
        <v>C3099</v>
      </c>
      <c r="T176" s="1" t="n">
        <f aca="false">PRODUCTOS!B177</f>
        <v>0</v>
      </c>
      <c r="U176" s="1" t="n">
        <f aca="false">IF(S176&lt;&gt;"",SUMIFS(COMPRAS!$J$3:$J$4997,COMPRAS!$G$3:$G$4997,S176,COMPRAS!$B$3:$B$4997,"&gt;="&amp;IF($C$4="",DATE(1900,1,1),$C$4),COMPRAS!$B$3:$B$4997,"&lt;="&amp;IF($F$4="",DATE(2999,12,31),$F$4)),0)</f>
        <v>0</v>
      </c>
      <c r="V176" s="1" t="n">
        <f aca="false">IF(S176&lt;&gt;"",SUMIFS(COMPRAS!$O$3:$O$4997,COMPRAS!$G$3:$G$4997,S176,COMPRAS!$B$3:$B$4997,"&gt;="&amp;IF($C$4="",DATE(1900,1,1),$C$4),COMPRAS!$B$3:$B$4997,"&lt;="&amp;IF($F$4="",DATE(2999,12,31),$F$4)),0)</f>
        <v>0</v>
      </c>
      <c r="Y176" s="1" t="n">
        <f aca="false">IF($X$2="TODOS",U176,IF(S176&lt;&gt;"",SUMIFS(COMPRAS!$J$3:$J$4997,COMPRAS!$G$3:$G$4997,S176,COMPRAS!$D$3:$D$4997,$X$2,COMPRAS!$B$3:$B$4997,"&gt;="&amp;IF($C$4="",DATE(1900,1,1),$C$4),COMPRAS!$B$3:$B$4997,"&lt;="&amp;IF($F$4="",DATE(2999,12,31),$F$4)),0))</f>
        <v>0</v>
      </c>
      <c r="Z176" s="1" t="n">
        <f aca="false">IF($X$2="TODOS",V176,IF(S176&lt;&gt;"",SUMIFS(COMPRAS!$O$3:$O$4997,COMPRAS!$G$3:$G$4997,S176,COMPRAS!$D$3:$D$4997,$X$2,COMPRAS!$B$3:$B$4997,"&gt;="&amp;IF($C$4="",DATE(1900,1,1),$C$4),COMPRAS!$B$3:$B$4997,"&lt;="&amp;IF($F$4="",DATE(2999,12,31),$F$4)),0))</f>
        <v>0</v>
      </c>
    </row>
    <row r="177" customFormat="false" ht="15" hidden="false" customHeight="true" outlineLevel="0" collapsed="false">
      <c r="N177" s="1" t="n">
        <f aca="false">PROVEEDORES!A178</f>
        <v>0</v>
      </c>
      <c r="O177" s="1" t="n">
        <f aca="false">PROVEEDORES!B178</f>
        <v>0</v>
      </c>
      <c r="P177" s="1" t="n">
        <f aca="false">IF(N177&lt;&gt;"",SUMIFS(COMPRAS!$J$3:$J$4997,COMPRAS!$D$3:$D$4997,N177,COMPRAS!$B$3:$B$4997,"&gt;="&amp;IF($C$4="",DATE(1900,1,1),$C$4),COMPRAS!$B$3:$B$4997,"&lt;="&amp;IF($F$4="",DATE(2999,12,31),$F$4)),0)</f>
        <v>0</v>
      </c>
      <c r="Q177" s="1" t="n">
        <f aca="false">IF(N177&lt;&gt;"",SUMIFS(COMPRAS!$O$3:$O$4997,COMPRAS!$D$3:$D$4997,N177,COMPRAS!$B$3:$B$4997,"&gt;="&amp;IF($C$4="",DATE(1900,1,1),$C$4),COMPRAS!$B$3:$B$4997,"&lt;="&amp;IF($F$4="",DATE(2999,12,31),$F$4)),0)</f>
        <v>0</v>
      </c>
      <c r="S177" s="1" t="str">
        <f aca="false">PRODUCTOS!A178</f>
        <v>C3100</v>
      </c>
      <c r="T177" s="1" t="n">
        <f aca="false">PRODUCTOS!B178</f>
        <v>0</v>
      </c>
      <c r="U177" s="1" t="n">
        <f aca="false">IF(S177&lt;&gt;"",SUMIFS(COMPRAS!$J$3:$J$4997,COMPRAS!$G$3:$G$4997,S177,COMPRAS!$B$3:$B$4997,"&gt;="&amp;IF($C$4="",DATE(1900,1,1),$C$4),COMPRAS!$B$3:$B$4997,"&lt;="&amp;IF($F$4="",DATE(2999,12,31),$F$4)),0)</f>
        <v>0</v>
      </c>
      <c r="V177" s="1" t="n">
        <f aca="false">IF(S177&lt;&gt;"",SUMIFS(COMPRAS!$O$3:$O$4997,COMPRAS!$G$3:$G$4997,S177,COMPRAS!$B$3:$B$4997,"&gt;="&amp;IF($C$4="",DATE(1900,1,1),$C$4),COMPRAS!$B$3:$B$4997,"&lt;="&amp;IF($F$4="",DATE(2999,12,31),$F$4)),0)</f>
        <v>0</v>
      </c>
      <c r="Y177" s="1" t="n">
        <f aca="false">IF($X$2="TODOS",U177,IF(S177&lt;&gt;"",SUMIFS(COMPRAS!$J$3:$J$4997,COMPRAS!$G$3:$G$4997,S177,COMPRAS!$D$3:$D$4997,$X$2,COMPRAS!$B$3:$B$4997,"&gt;="&amp;IF($C$4="",DATE(1900,1,1),$C$4),COMPRAS!$B$3:$B$4997,"&lt;="&amp;IF($F$4="",DATE(2999,12,31),$F$4)),0))</f>
        <v>0</v>
      </c>
      <c r="Z177" s="1" t="n">
        <f aca="false">IF($X$2="TODOS",V177,IF(S177&lt;&gt;"",SUMIFS(COMPRAS!$O$3:$O$4997,COMPRAS!$G$3:$G$4997,S177,COMPRAS!$D$3:$D$4997,$X$2,COMPRAS!$B$3:$B$4997,"&gt;="&amp;IF($C$4="",DATE(1900,1,1),$C$4),COMPRAS!$B$3:$B$4997,"&lt;="&amp;IF($F$4="",DATE(2999,12,31),$F$4)),0))</f>
        <v>0</v>
      </c>
    </row>
    <row r="178" customFormat="false" ht="15" hidden="false" customHeight="true" outlineLevel="0" collapsed="false">
      <c r="N178" s="1" t="n">
        <f aca="false">PROVEEDORES!A179</f>
        <v>0</v>
      </c>
      <c r="O178" s="1" t="n">
        <f aca="false">PROVEEDORES!B179</f>
        <v>0</v>
      </c>
      <c r="P178" s="1" t="n">
        <f aca="false">IF(N178&lt;&gt;"",SUMIFS(COMPRAS!$J$3:$J$4997,COMPRAS!$D$3:$D$4997,N178,COMPRAS!$B$3:$B$4997,"&gt;="&amp;IF($C$4="",DATE(1900,1,1),$C$4),COMPRAS!$B$3:$B$4997,"&lt;="&amp;IF($F$4="",DATE(2999,12,31),$F$4)),0)</f>
        <v>0</v>
      </c>
      <c r="Q178" s="1" t="n">
        <f aca="false">IF(N178&lt;&gt;"",SUMIFS(COMPRAS!$O$3:$O$4997,COMPRAS!$D$3:$D$4997,N178,COMPRAS!$B$3:$B$4997,"&gt;="&amp;IF($C$4="",DATE(1900,1,1),$C$4),COMPRAS!$B$3:$B$4997,"&lt;="&amp;IF($F$4="",DATE(2999,12,31),$F$4)),0)</f>
        <v>0</v>
      </c>
      <c r="S178" s="1" t="str">
        <f aca="false">PRODUCTOS!A179</f>
        <v>C3101</v>
      </c>
      <c r="T178" s="1" t="n">
        <f aca="false">PRODUCTOS!B179</f>
        <v>0</v>
      </c>
      <c r="U178" s="1" t="n">
        <f aca="false">IF(S178&lt;&gt;"",SUMIFS(COMPRAS!$J$3:$J$4997,COMPRAS!$G$3:$G$4997,S178,COMPRAS!$B$3:$B$4997,"&gt;="&amp;IF($C$4="",DATE(1900,1,1),$C$4),COMPRAS!$B$3:$B$4997,"&lt;="&amp;IF($F$4="",DATE(2999,12,31),$F$4)),0)</f>
        <v>0</v>
      </c>
      <c r="V178" s="1" t="n">
        <f aca="false">IF(S178&lt;&gt;"",SUMIFS(COMPRAS!$O$3:$O$4997,COMPRAS!$G$3:$G$4997,S178,COMPRAS!$B$3:$B$4997,"&gt;="&amp;IF($C$4="",DATE(1900,1,1),$C$4),COMPRAS!$B$3:$B$4997,"&lt;="&amp;IF($F$4="",DATE(2999,12,31),$F$4)),0)</f>
        <v>0</v>
      </c>
      <c r="Y178" s="1" t="n">
        <f aca="false">IF($X$2="TODOS",U178,IF(S178&lt;&gt;"",SUMIFS(COMPRAS!$J$3:$J$4997,COMPRAS!$G$3:$G$4997,S178,COMPRAS!$D$3:$D$4997,$X$2,COMPRAS!$B$3:$B$4997,"&gt;="&amp;IF($C$4="",DATE(1900,1,1),$C$4),COMPRAS!$B$3:$B$4997,"&lt;="&amp;IF($F$4="",DATE(2999,12,31),$F$4)),0))</f>
        <v>0</v>
      </c>
      <c r="Z178" s="1" t="n">
        <f aca="false">IF($X$2="TODOS",V178,IF(S178&lt;&gt;"",SUMIFS(COMPRAS!$O$3:$O$4997,COMPRAS!$G$3:$G$4997,S178,COMPRAS!$D$3:$D$4997,$X$2,COMPRAS!$B$3:$B$4997,"&gt;="&amp;IF($C$4="",DATE(1900,1,1),$C$4),COMPRAS!$B$3:$B$4997,"&lt;="&amp;IF($F$4="",DATE(2999,12,31),$F$4)),0))</f>
        <v>0</v>
      </c>
    </row>
    <row r="179" customFormat="false" ht="15" hidden="false" customHeight="true" outlineLevel="0" collapsed="false">
      <c r="N179" s="1" t="n">
        <f aca="false">PROVEEDORES!A180</f>
        <v>0</v>
      </c>
      <c r="O179" s="1" t="n">
        <f aca="false">PROVEEDORES!B180</f>
        <v>0</v>
      </c>
      <c r="P179" s="1" t="n">
        <f aca="false">IF(N179&lt;&gt;"",SUMIFS(COMPRAS!$J$3:$J$4997,COMPRAS!$D$3:$D$4997,N179,COMPRAS!$B$3:$B$4997,"&gt;="&amp;IF($C$4="",DATE(1900,1,1),$C$4),COMPRAS!$B$3:$B$4997,"&lt;="&amp;IF($F$4="",DATE(2999,12,31),$F$4)),0)</f>
        <v>0</v>
      </c>
      <c r="Q179" s="1" t="n">
        <f aca="false">IF(N179&lt;&gt;"",SUMIFS(COMPRAS!$O$3:$O$4997,COMPRAS!$D$3:$D$4997,N179,COMPRAS!$B$3:$B$4997,"&gt;="&amp;IF($C$4="",DATE(1900,1,1),$C$4),COMPRAS!$B$3:$B$4997,"&lt;="&amp;IF($F$4="",DATE(2999,12,31),$F$4)),0)</f>
        <v>0</v>
      </c>
      <c r="S179" s="1" t="str">
        <f aca="false">PRODUCTOS!A180</f>
        <v>C3102</v>
      </c>
      <c r="T179" s="1" t="n">
        <f aca="false">PRODUCTOS!B180</f>
        <v>0</v>
      </c>
      <c r="U179" s="1" t="n">
        <f aca="false">IF(S179&lt;&gt;"",SUMIFS(COMPRAS!$J$3:$J$4997,COMPRAS!$G$3:$G$4997,S179,COMPRAS!$B$3:$B$4997,"&gt;="&amp;IF($C$4="",DATE(1900,1,1),$C$4),COMPRAS!$B$3:$B$4997,"&lt;="&amp;IF($F$4="",DATE(2999,12,31),$F$4)),0)</f>
        <v>0</v>
      </c>
      <c r="V179" s="1" t="n">
        <f aca="false">IF(S179&lt;&gt;"",SUMIFS(COMPRAS!$O$3:$O$4997,COMPRAS!$G$3:$G$4997,S179,COMPRAS!$B$3:$B$4997,"&gt;="&amp;IF($C$4="",DATE(1900,1,1),$C$4),COMPRAS!$B$3:$B$4997,"&lt;="&amp;IF($F$4="",DATE(2999,12,31),$F$4)),0)</f>
        <v>0</v>
      </c>
      <c r="Y179" s="1" t="n">
        <f aca="false">IF($X$2="TODOS",U179,IF(S179&lt;&gt;"",SUMIFS(COMPRAS!$J$3:$J$4997,COMPRAS!$G$3:$G$4997,S179,COMPRAS!$D$3:$D$4997,$X$2,COMPRAS!$B$3:$B$4997,"&gt;="&amp;IF($C$4="",DATE(1900,1,1),$C$4),COMPRAS!$B$3:$B$4997,"&lt;="&amp;IF($F$4="",DATE(2999,12,31),$F$4)),0))</f>
        <v>0</v>
      </c>
      <c r="Z179" s="1" t="n">
        <f aca="false">IF($X$2="TODOS",V179,IF(S179&lt;&gt;"",SUMIFS(COMPRAS!$O$3:$O$4997,COMPRAS!$G$3:$G$4997,S179,COMPRAS!$D$3:$D$4997,$X$2,COMPRAS!$B$3:$B$4997,"&gt;="&amp;IF($C$4="",DATE(1900,1,1),$C$4),COMPRAS!$B$3:$B$4997,"&lt;="&amp;IF($F$4="",DATE(2999,12,31),$F$4)),0))</f>
        <v>0</v>
      </c>
    </row>
    <row r="180" customFormat="false" ht="15" hidden="false" customHeight="true" outlineLevel="0" collapsed="false">
      <c r="N180" s="1" t="n">
        <f aca="false">PROVEEDORES!A181</f>
        <v>0</v>
      </c>
      <c r="O180" s="1" t="n">
        <f aca="false">PROVEEDORES!B181</f>
        <v>0</v>
      </c>
      <c r="P180" s="1" t="n">
        <f aca="false">IF(N180&lt;&gt;"",SUMIFS(COMPRAS!$J$3:$J$4997,COMPRAS!$D$3:$D$4997,N180,COMPRAS!$B$3:$B$4997,"&gt;="&amp;IF($C$4="",DATE(1900,1,1),$C$4),COMPRAS!$B$3:$B$4997,"&lt;="&amp;IF($F$4="",DATE(2999,12,31),$F$4)),0)</f>
        <v>0</v>
      </c>
      <c r="Q180" s="1" t="n">
        <f aca="false">IF(N180&lt;&gt;"",SUMIFS(COMPRAS!$O$3:$O$4997,COMPRAS!$D$3:$D$4997,N180,COMPRAS!$B$3:$B$4997,"&gt;="&amp;IF($C$4="",DATE(1900,1,1),$C$4),COMPRAS!$B$3:$B$4997,"&lt;="&amp;IF($F$4="",DATE(2999,12,31),$F$4)),0)</f>
        <v>0</v>
      </c>
      <c r="S180" s="1" t="str">
        <f aca="false">PRODUCTOS!A181</f>
        <v>C3103</v>
      </c>
      <c r="T180" s="1" t="n">
        <f aca="false">PRODUCTOS!B181</f>
        <v>0</v>
      </c>
      <c r="U180" s="1" t="n">
        <f aca="false">IF(S180&lt;&gt;"",SUMIFS(COMPRAS!$J$3:$J$4997,COMPRAS!$G$3:$G$4997,S180,COMPRAS!$B$3:$B$4997,"&gt;="&amp;IF($C$4="",DATE(1900,1,1),$C$4),COMPRAS!$B$3:$B$4997,"&lt;="&amp;IF($F$4="",DATE(2999,12,31),$F$4)),0)</f>
        <v>0</v>
      </c>
      <c r="V180" s="1" t="n">
        <f aca="false">IF(S180&lt;&gt;"",SUMIFS(COMPRAS!$O$3:$O$4997,COMPRAS!$G$3:$G$4997,S180,COMPRAS!$B$3:$B$4997,"&gt;="&amp;IF($C$4="",DATE(1900,1,1),$C$4),COMPRAS!$B$3:$B$4997,"&lt;="&amp;IF($F$4="",DATE(2999,12,31),$F$4)),0)</f>
        <v>0</v>
      </c>
      <c r="Y180" s="1" t="n">
        <f aca="false">IF($X$2="TODOS",U180,IF(S180&lt;&gt;"",SUMIFS(COMPRAS!$J$3:$J$4997,COMPRAS!$G$3:$G$4997,S180,COMPRAS!$D$3:$D$4997,$X$2,COMPRAS!$B$3:$B$4997,"&gt;="&amp;IF($C$4="",DATE(1900,1,1),$C$4),COMPRAS!$B$3:$B$4997,"&lt;="&amp;IF($F$4="",DATE(2999,12,31),$F$4)),0))</f>
        <v>0</v>
      </c>
      <c r="Z180" s="1" t="n">
        <f aca="false">IF($X$2="TODOS",V180,IF(S180&lt;&gt;"",SUMIFS(COMPRAS!$O$3:$O$4997,COMPRAS!$G$3:$G$4997,S180,COMPRAS!$D$3:$D$4997,$X$2,COMPRAS!$B$3:$B$4997,"&gt;="&amp;IF($C$4="",DATE(1900,1,1),$C$4),COMPRAS!$B$3:$B$4997,"&lt;="&amp;IF($F$4="",DATE(2999,12,31),$F$4)),0))</f>
        <v>0</v>
      </c>
    </row>
    <row r="181" customFormat="false" ht="15" hidden="false" customHeight="true" outlineLevel="0" collapsed="false">
      <c r="N181" s="1" t="n">
        <f aca="false">PROVEEDORES!A182</f>
        <v>0</v>
      </c>
      <c r="O181" s="1" t="n">
        <f aca="false">PROVEEDORES!B182</f>
        <v>0</v>
      </c>
      <c r="P181" s="1" t="n">
        <f aca="false">IF(N181&lt;&gt;"",SUMIFS(COMPRAS!$J$3:$J$4997,COMPRAS!$D$3:$D$4997,N181,COMPRAS!$B$3:$B$4997,"&gt;="&amp;IF($C$4="",DATE(1900,1,1),$C$4),COMPRAS!$B$3:$B$4997,"&lt;="&amp;IF($F$4="",DATE(2999,12,31),$F$4)),0)</f>
        <v>0</v>
      </c>
      <c r="Q181" s="1" t="n">
        <f aca="false">IF(N181&lt;&gt;"",SUMIFS(COMPRAS!$O$3:$O$4997,COMPRAS!$D$3:$D$4997,N181,COMPRAS!$B$3:$B$4997,"&gt;="&amp;IF($C$4="",DATE(1900,1,1),$C$4),COMPRAS!$B$3:$B$4997,"&lt;="&amp;IF($F$4="",DATE(2999,12,31),$F$4)),0)</f>
        <v>0</v>
      </c>
      <c r="S181" s="1" t="str">
        <f aca="false">PRODUCTOS!A182</f>
        <v>C3104</v>
      </c>
      <c r="T181" s="1" t="n">
        <f aca="false">PRODUCTOS!B182</f>
        <v>0</v>
      </c>
      <c r="U181" s="1" t="n">
        <f aca="false">IF(S181&lt;&gt;"",SUMIFS(COMPRAS!$J$3:$J$4997,COMPRAS!$G$3:$G$4997,S181,COMPRAS!$B$3:$B$4997,"&gt;="&amp;IF($C$4="",DATE(1900,1,1),$C$4),COMPRAS!$B$3:$B$4997,"&lt;="&amp;IF($F$4="",DATE(2999,12,31),$F$4)),0)</f>
        <v>0</v>
      </c>
      <c r="V181" s="1" t="n">
        <f aca="false">IF(S181&lt;&gt;"",SUMIFS(COMPRAS!$O$3:$O$4997,COMPRAS!$G$3:$G$4997,S181,COMPRAS!$B$3:$B$4997,"&gt;="&amp;IF($C$4="",DATE(1900,1,1),$C$4),COMPRAS!$B$3:$B$4997,"&lt;="&amp;IF($F$4="",DATE(2999,12,31),$F$4)),0)</f>
        <v>0</v>
      </c>
      <c r="Y181" s="1" t="n">
        <f aca="false">IF($X$2="TODOS",U181,IF(S181&lt;&gt;"",SUMIFS(COMPRAS!$J$3:$J$4997,COMPRAS!$G$3:$G$4997,S181,COMPRAS!$D$3:$D$4997,$X$2,COMPRAS!$B$3:$B$4997,"&gt;="&amp;IF($C$4="",DATE(1900,1,1),$C$4),COMPRAS!$B$3:$B$4997,"&lt;="&amp;IF($F$4="",DATE(2999,12,31),$F$4)),0))</f>
        <v>0</v>
      </c>
      <c r="Z181" s="1" t="n">
        <f aca="false">IF($X$2="TODOS",V181,IF(S181&lt;&gt;"",SUMIFS(COMPRAS!$O$3:$O$4997,COMPRAS!$G$3:$G$4997,S181,COMPRAS!$D$3:$D$4997,$X$2,COMPRAS!$B$3:$B$4997,"&gt;="&amp;IF($C$4="",DATE(1900,1,1),$C$4),COMPRAS!$B$3:$B$4997,"&lt;="&amp;IF($F$4="",DATE(2999,12,31),$F$4)),0))</f>
        <v>0</v>
      </c>
    </row>
    <row r="182" customFormat="false" ht="15" hidden="false" customHeight="true" outlineLevel="0" collapsed="false">
      <c r="N182" s="1" t="n">
        <f aca="false">PROVEEDORES!A183</f>
        <v>0</v>
      </c>
      <c r="O182" s="1" t="n">
        <f aca="false">PROVEEDORES!B183</f>
        <v>0</v>
      </c>
      <c r="P182" s="1" t="n">
        <f aca="false">IF(N182&lt;&gt;"",SUMIFS(COMPRAS!$J$3:$J$4997,COMPRAS!$D$3:$D$4997,N182,COMPRAS!$B$3:$B$4997,"&gt;="&amp;IF($C$4="",DATE(1900,1,1),$C$4),COMPRAS!$B$3:$B$4997,"&lt;="&amp;IF($F$4="",DATE(2999,12,31),$F$4)),0)</f>
        <v>0</v>
      </c>
      <c r="Q182" s="1" t="n">
        <f aca="false">IF(N182&lt;&gt;"",SUMIFS(COMPRAS!$O$3:$O$4997,COMPRAS!$D$3:$D$4997,N182,COMPRAS!$B$3:$B$4997,"&gt;="&amp;IF($C$4="",DATE(1900,1,1),$C$4),COMPRAS!$B$3:$B$4997,"&lt;="&amp;IF($F$4="",DATE(2999,12,31),$F$4)),0)</f>
        <v>0</v>
      </c>
      <c r="S182" s="1" t="str">
        <f aca="false">PRODUCTOS!A183</f>
        <v>C3105</v>
      </c>
      <c r="T182" s="1" t="n">
        <f aca="false">PRODUCTOS!B183</f>
        <v>0</v>
      </c>
      <c r="U182" s="1" t="n">
        <f aca="false">IF(S182&lt;&gt;"",SUMIFS(COMPRAS!$J$3:$J$4997,COMPRAS!$G$3:$G$4997,S182,COMPRAS!$B$3:$B$4997,"&gt;="&amp;IF($C$4="",DATE(1900,1,1),$C$4),COMPRAS!$B$3:$B$4997,"&lt;="&amp;IF($F$4="",DATE(2999,12,31),$F$4)),0)</f>
        <v>0</v>
      </c>
      <c r="V182" s="1" t="n">
        <f aca="false">IF(S182&lt;&gt;"",SUMIFS(COMPRAS!$O$3:$O$4997,COMPRAS!$G$3:$G$4997,S182,COMPRAS!$B$3:$B$4997,"&gt;="&amp;IF($C$4="",DATE(1900,1,1),$C$4),COMPRAS!$B$3:$B$4997,"&lt;="&amp;IF($F$4="",DATE(2999,12,31),$F$4)),0)</f>
        <v>0</v>
      </c>
      <c r="Y182" s="1" t="n">
        <f aca="false">IF($X$2="TODOS",U182,IF(S182&lt;&gt;"",SUMIFS(COMPRAS!$J$3:$J$4997,COMPRAS!$G$3:$G$4997,S182,COMPRAS!$D$3:$D$4997,$X$2,COMPRAS!$B$3:$B$4997,"&gt;="&amp;IF($C$4="",DATE(1900,1,1),$C$4),COMPRAS!$B$3:$B$4997,"&lt;="&amp;IF($F$4="",DATE(2999,12,31),$F$4)),0))</f>
        <v>0</v>
      </c>
      <c r="Z182" s="1" t="n">
        <f aca="false">IF($X$2="TODOS",V182,IF(S182&lt;&gt;"",SUMIFS(COMPRAS!$O$3:$O$4997,COMPRAS!$G$3:$G$4997,S182,COMPRAS!$D$3:$D$4997,$X$2,COMPRAS!$B$3:$B$4997,"&gt;="&amp;IF($C$4="",DATE(1900,1,1),$C$4),COMPRAS!$B$3:$B$4997,"&lt;="&amp;IF($F$4="",DATE(2999,12,31),$F$4)),0))</f>
        <v>0</v>
      </c>
    </row>
    <row r="183" customFormat="false" ht="15" hidden="false" customHeight="true" outlineLevel="0" collapsed="false">
      <c r="N183" s="1" t="n">
        <f aca="false">PROVEEDORES!A184</f>
        <v>0</v>
      </c>
      <c r="O183" s="1" t="n">
        <f aca="false">PROVEEDORES!B184</f>
        <v>0</v>
      </c>
      <c r="P183" s="1" t="n">
        <f aca="false">IF(N183&lt;&gt;"",SUMIFS(COMPRAS!$J$3:$J$4997,COMPRAS!$D$3:$D$4997,N183,COMPRAS!$B$3:$B$4997,"&gt;="&amp;IF($C$4="",DATE(1900,1,1),$C$4),COMPRAS!$B$3:$B$4997,"&lt;="&amp;IF($F$4="",DATE(2999,12,31),$F$4)),0)</f>
        <v>0</v>
      </c>
      <c r="Q183" s="1" t="n">
        <f aca="false">IF(N183&lt;&gt;"",SUMIFS(COMPRAS!$O$3:$O$4997,COMPRAS!$D$3:$D$4997,N183,COMPRAS!$B$3:$B$4997,"&gt;="&amp;IF($C$4="",DATE(1900,1,1),$C$4),COMPRAS!$B$3:$B$4997,"&lt;="&amp;IF($F$4="",DATE(2999,12,31),$F$4)),0)</f>
        <v>0</v>
      </c>
      <c r="S183" s="1" t="str">
        <f aca="false">PRODUCTOS!A184</f>
        <v>C2245</v>
      </c>
      <c r="T183" s="1" t="str">
        <f aca="false">PRODUCTOS!B184</f>
        <v>ALCRIQUE-PAPARDA-AGULLA-AGUJA</v>
      </c>
      <c r="U183" s="1" t="n">
        <f aca="false">IF(S183&lt;&gt;"",SUMIFS(COMPRAS!$J$3:$J$4997,COMPRAS!$G$3:$G$4997,S183,COMPRAS!$B$3:$B$4997,"&gt;="&amp;IF($C$4="",DATE(1900,1,1),$C$4),COMPRAS!$B$3:$B$4997,"&lt;="&amp;IF($F$4="",DATE(2999,12,31),$F$4)),0)</f>
        <v>86</v>
      </c>
      <c r="V183" s="1" t="n">
        <f aca="false">IF(S183&lt;&gt;"",SUMIFS(COMPRAS!$O$3:$O$4997,COMPRAS!$G$3:$G$4997,S183,COMPRAS!$B$3:$B$4997,"&gt;="&amp;IF($C$4="",DATE(1900,1,1),$C$4),COMPRAS!$B$3:$B$4997,"&lt;="&amp;IF($F$4="",DATE(2999,12,31),$F$4)),0)</f>
        <v>100.878</v>
      </c>
      <c r="Y183" s="1" t="n">
        <f aca="false">IF($X$2="TODOS",U183,IF(S183&lt;&gt;"",SUMIFS(COMPRAS!$J$3:$J$4997,COMPRAS!$G$3:$G$4997,S183,COMPRAS!$D$3:$D$4997,$X$2,COMPRAS!$B$3:$B$4997,"&gt;="&amp;IF($C$4="",DATE(1900,1,1),$C$4),COMPRAS!$B$3:$B$4997,"&lt;="&amp;IF($F$4="",DATE(2999,12,31),$F$4)),0))</f>
        <v>86</v>
      </c>
      <c r="Z183" s="1" t="n">
        <f aca="false">IF($X$2="TODOS",V183,IF(S183&lt;&gt;"",SUMIFS(COMPRAS!$O$3:$O$4997,COMPRAS!$G$3:$G$4997,S183,COMPRAS!$D$3:$D$4997,$X$2,COMPRAS!$B$3:$B$4997,"&gt;="&amp;IF($C$4="",DATE(1900,1,1),$C$4),COMPRAS!$B$3:$B$4997,"&lt;="&amp;IF($F$4="",DATE(2999,12,31),$F$4)),0))</f>
        <v>100.878</v>
      </c>
    </row>
    <row r="184" customFormat="false" ht="15" hidden="false" customHeight="true" outlineLevel="0" collapsed="false">
      <c r="N184" s="1" t="n">
        <f aca="false">PROVEEDORES!A185</f>
        <v>0</v>
      </c>
      <c r="O184" s="1" t="n">
        <f aca="false">PROVEEDORES!B185</f>
        <v>0</v>
      </c>
      <c r="P184" s="1" t="n">
        <f aca="false">IF(N184&lt;&gt;"",SUMIFS(COMPRAS!$J$3:$J$4997,COMPRAS!$D$3:$D$4997,N184,COMPRAS!$B$3:$B$4997,"&gt;="&amp;IF($C$4="",DATE(1900,1,1),$C$4),COMPRAS!$B$3:$B$4997,"&lt;="&amp;IF($F$4="",DATE(2999,12,31),$F$4)),0)</f>
        <v>0</v>
      </c>
      <c r="Q184" s="1" t="n">
        <f aca="false">IF(N184&lt;&gt;"",SUMIFS(COMPRAS!$O$3:$O$4997,COMPRAS!$D$3:$D$4997,N184,COMPRAS!$B$3:$B$4997,"&gt;="&amp;IF($C$4="",DATE(1900,1,1),$C$4),COMPRAS!$B$3:$B$4997,"&lt;="&amp;IF($F$4="",DATE(2999,12,31),$F$4)),0)</f>
        <v>0</v>
      </c>
      <c r="S184" s="1" t="n">
        <f aca="false">PRODUCTOS!A185</f>
        <v>0</v>
      </c>
      <c r="T184" s="1" t="n">
        <f aca="false">PRODUCTOS!B185</f>
        <v>0</v>
      </c>
      <c r="U184" s="1" t="n">
        <f aca="false">IF(S184&lt;&gt;"",SUMIFS(COMPRAS!$J$3:$J$4997,COMPRAS!$G$3:$G$4997,S184,COMPRAS!$B$3:$B$4997,"&gt;="&amp;IF($C$4="",DATE(1900,1,1),$C$4),COMPRAS!$B$3:$B$4997,"&lt;="&amp;IF($F$4="",DATE(2999,12,31),$F$4)),0)</f>
        <v>0</v>
      </c>
      <c r="V184" s="1" t="n">
        <f aca="false">IF(S184&lt;&gt;"",SUMIFS(COMPRAS!$O$3:$O$4997,COMPRAS!$G$3:$G$4997,S184,COMPRAS!$B$3:$B$4997,"&gt;="&amp;IF($C$4="",DATE(1900,1,1),$C$4),COMPRAS!$B$3:$B$4997,"&lt;="&amp;IF($F$4="",DATE(2999,12,31),$F$4)),0)</f>
        <v>0</v>
      </c>
      <c r="Y184" s="1" t="n">
        <f aca="false">IF($X$2="TODOS",U184,IF(S184&lt;&gt;"",SUMIFS(COMPRAS!$J$3:$J$4997,COMPRAS!$G$3:$G$4997,S184,COMPRAS!$D$3:$D$4997,$X$2,COMPRAS!$B$3:$B$4997,"&gt;="&amp;IF($C$4="",DATE(1900,1,1),$C$4),COMPRAS!$B$3:$B$4997,"&lt;="&amp;IF($F$4="",DATE(2999,12,31),$F$4)),0))</f>
        <v>0</v>
      </c>
      <c r="Z184" s="1" t="n">
        <f aca="false">IF($X$2="TODOS",V184,IF(S184&lt;&gt;"",SUMIFS(COMPRAS!$O$3:$O$4997,COMPRAS!$G$3:$G$4997,S184,COMPRAS!$D$3:$D$4997,$X$2,COMPRAS!$B$3:$B$4997,"&gt;="&amp;IF($C$4="",DATE(1900,1,1),$C$4),COMPRAS!$B$3:$B$4997,"&lt;="&amp;IF($F$4="",DATE(2999,12,31),$F$4)),0))</f>
        <v>0</v>
      </c>
    </row>
    <row r="185" customFormat="false" ht="15" hidden="false" customHeight="true" outlineLevel="0" collapsed="false">
      <c r="N185" s="1" t="n">
        <f aca="false">PROVEEDORES!A186</f>
        <v>0</v>
      </c>
      <c r="O185" s="1" t="n">
        <f aca="false">PROVEEDORES!B186</f>
        <v>0</v>
      </c>
      <c r="P185" s="1" t="n">
        <f aca="false">IF(N185&lt;&gt;"",SUMIFS(COMPRAS!$J$3:$J$4997,COMPRAS!$D$3:$D$4997,N185,COMPRAS!$B$3:$B$4997,"&gt;="&amp;IF($C$4="",DATE(1900,1,1),$C$4),COMPRAS!$B$3:$B$4997,"&lt;="&amp;IF($F$4="",DATE(2999,12,31),$F$4)),0)</f>
        <v>0</v>
      </c>
      <c r="Q185" s="1" t="n">
        <f aca="false">IF(N185&lt;&gt;"",SUMIFS(COMPRAS!$O$3:$O$4997,COMPRAS!$D$3:$D$4997,N185,COMPRAS!$B$3:$B$4997,"&gt;="&amp;IF($C$4="",DATE(1900,1,1),$C$4),COMPRAS!$B$3:$B$4997,"&lt;="&amp;IF($F$4="",DATE(2999,12,31),$F$4)),0)</f>
        <v>0</v>
      </c>
      <c r="S185" s="1" t="n">
        <f aca="false">PRODUCTOS!A186</f>
        <v>0</v>
      </c>
      <c r="T185" s="1" t="n">
        <f aca="false">PRODUCTOS!B186</f>
        <v>0</v>
      </c>
      <c r="U185" s="1" t="n">
        <f aca="false">IF(S185&lt;&gt;"",SUMIFS(COMPRAS!$J$3:$J$4997,COMPRAS!$G$3:$G$4997,S185,COMPRAS!$B$3:$B$4997,"&gt;="&amp;IF($C$4="",DATE(1900,1,1),$C$4),COMPRAS!$B$3:$B$4997,"&lt;="&amp;IF($F$4="",DATE(2999,12,31),$F$4)),0)</f>
        <v>0</v>
      </c>
      <c r="V185" s="1" t="n">
        <f aca="false">IF(S185&lt;&gt;"",SUMIFS(COMPRAS!$O$3:$O$4997,COMPRAS!$G$3:$G$4997,S185,COMPRAS!$B$3:$B$4997,"&gt;="&amp;IF($C$4="",DATE(1900,1,1),$C$4),COMPRAS!$B$3:$B$4997,"&lt;="&amp;IF($F$4="",DATE(2999,12,31),$F$4)),0)</f>
        <v>0</v>
      </c>
      <c r="Y185" s="1" t="n">
        <f aca="false">IF($X$2="TODOS",U185,IF(S185&lt;&gt;"",SUMIFS(COMPRAS!$J$3:$J$4997,COMPRAS!$G$3:$G$4997,S185,COMPRAS!$D$3:$D$4997,$X$2,COMPRAS!$B$3:$B$4997,"&gt;="&amp;IF($C$4="",DATE(1900,1,1),$C$4),COMPRAS!$B$3:$B$4997,"&lt;="&amp;IF($F$4="",DATE(2999,12,31),$F$4)),0))</f>
        <v>0</v>
      </c>
      <c r="Z185" s="1" t="n">
        <f aca="false">IF($X$2="TODOS",V185,IF(S185&lt;&gt;"",SUMIFS(COMPRAS!$O$3:$O$4997,COMPRAS!$G$3:$G$4997,S185,COMPRAS!$D$3:$D$4997,$X$2,COMPRAS!$B$3:$B$4997,"&gt;="&amp;IF($C$4="",DATE(1900,1,1),$C$4),COMPRAS!$B$3:$B$4997,"&lt;="&amp;IF($F$4="",DATE(2999,12,31),$F$4)),0))</f>
        <v>0</v>
      </c>
    </row>
    <row r="186" customFormat="false" ht="15" hidden="false" customHeight="true" outlineLevel="0" collapsed="false">
      <c r="N186" s="1" t="n">
        <f aca="false">PROVEEDORES!A187</f>
        <v>0</v>
      </c>
      <c r="O186" s="1" t="n">
        <f aca="false">PROVEEDORES!B187</f>
        <v>0</v>
      </c>
      <c r="P186" s="1" t="n">
        <f aca="false">IF(N186&lt;&gt;"",SUMIFS(COMPRAS!$J$3:$J$4997,COMPRAS!$D$3:$D$4997,N186,COMPRAS!$B$3:$B$4997,"&gt;="&amp;IF($C$4="",DATE(1900,1,1),$C$4),COMPRAS!$B$3:$B$4997,"&lt;="&amp;IF($F$4="",DATE(2999,12,31),$F$4)),0)</f>
        <v>0</v>
      </c>
      <c r="Q186" s="1" t="n">
        <f aca="false">IF(N186&lt;&gt;"",SUMIFS(COMPRAS!$O$3:$O$4997,COMPRAS!$D$3:$D$4997,N186,COMPRAS!$B$3:$B$4997,"&gt;="&amp;IF($C$4="",DATE(1900,1,1),$C$4),COMPRAS!$B$3:$B$4997,"&lt;="&amp;IF($F$4="",DATE(2999,12,31),$F$4)),0)</f>
        <v>0</v>
      </c>
      <c r="S186" s="1" t="n">
        <f aca="false">PRODUCTOS!A187</f>
        <v>0</v>
      </c>
      <c r="T186" s="1" t="n">
        <f aca="false">PRODUCTOS!B187</f>
        <v>0</v>
      </c>
      <c r="U186" s="1" t="n">
        <f aca="false">IF(S186&lt;&gt;"",SUMIFS(COMPRAS!$J$3:$J$4997,COMPRAS!$G$3:$G$4997,S186,COMPRAS!$B$3:$B$4997,"&gt;="&amp;IF($C$4="",DATE(1900,1,1),$C$4),COMPRAS!$B$3:$B$4997,"&lt;="&amp;IF($F$4="",DATE(2999,12,31),$F$4)),0)</f>
        <v>0</v>
      </c>
      <c r="V186" s="1" t="n">
        <f aca="false">IF(S186&lt;&gt;"",SUMIFS(COMPRAS!$O$3:$O$4997,COMPRAS!$G$3:$G$4997,S186,COMPRAS!$B$3:$B$4997,"&gt;="&amp;IF($C$4="",DATE(1900,1,1),$C$4),COMPRAS!$B$3:$B$4997,"&lt;="&amp;IF($F$4="",DATE(2999,12,31),$F$4)),0)</f>
        <v>0</v>
      </c>
      <c r="Y186" s="1" t="n">
        <f aca="false">IF($X$2="TODOS",U186,IF(S186&lt;&gt;"",SUMIFS(COMPRAS!$J$3:$J$4997,COMPRAS!$G$3:$G$4997,S186,COMPRAS!$D$3:$D$4997,$X$2,COMPRAS!$B$3:$B$4997,"&gt;="&amp;IF($C$4="",DATE(1900,1,1),$C$4),COMPRAS!$B$3:$B$4997,"&lt;="&amp;IF($F$4="",DATE(2999,12,31),$F$4)),0))</f>
        <v>0</v>
      </c>
      <c r="Z186" s="1" t="n">
        <f aca="false">IF($X$2="TODOS",V186,IF(S186&lt;&gt;"",SUMIFS(COMPRAS!$O$3:$O$4997,COMPRAS!$G$3:$G$4997,S186,COMPRAS!$D$3:$D$4997,$X$2,COMPRAS!$B$3:$B$4997,"&gt;="&amp;IF($C$4="",DATE(1900,1,1),$C$4),COMPRAS!$B$3:$B$4997,"&lt;="&amp;IF($F$4="",DATE(2999,12,31),$F$4)),0))</f>
        <v>0</v>
      </c>
    </row>
    <row r="187" customFormat="false" ht="15" hidden="false" customHeight="true" outlineLevel="0" collapsed="false">
      <c r="N187" s="1" t="n">
        <f aca="false">PROVEEDORES!A188</f>
        <v>0</v>
      </c>
      <c r="O187" s="1" t="n">
        <f aca="false">PROVEEDORES!B188</f>
        <v>0</v>
      </c>
      <c r="P187" s="1" t="n">
        <f aca="false">IF(N187&lt;&gt;"",SUMIFS(COMPRAS!$J$3:$J$4997,COMPRAS!$D$3:$D$4997,N187,COMPRAS!$B$3:$B$4997,"&gt;="&amp;IF($C$4="",DATE(1900,1,1),$C$4),COMPRAS!$B$3:$B$4997,"&lt;="&amp;IF($F$4="",DATE(2999,12,31),$F$4)),0)</f>
        <v>0</v>
      </c>
      <c r="Q187" s="1" t="n">
        <f aca="false">IF(N187&lt;&gt;"",SUMIFS(COMPRAS!$O$3:$O$4997,COMPRAS!$D$3:$D$4997,N187,COMPRAS!$B$3:$B$4997,"&gt;="&amp;IF($C$4="",DATE(1900,1,1),$C$4),COMPRAS!$B$3:$B$4997,"&lt;="&amp;IF($F$4="",DATE(2999,12,31),$F$4)),0)</f>
        <v>0</v>
      </c>
      <c r="S187" s="1" t="n">
        <f aca="false">PRODUCTOS!A188</f>
        <v>0</v>
      </c>
      <c r="T187" s="1" t="n">
        <f aca="false">PRODUCTOS!B188</f>
        <v>0</v>
      </c>
      <c r="U187" s="1" t="n">
        <f aca="false">IF(S187&lt;&gt;"",SUMIFS(COMPRAS!$J$3:$J$4997,COMPRAS!$G$3:$G$4997,S187,COMPRAS!$B$3:$B$4997,"&gt;="&amp;IF($C$4="",DATE(1900,1,1),$C$4),COMPRAS!$B$3:$B$4997,"&lt;="&amp;IF($F$4="",DATE(2999,12,31),$F$4)),0)</f>
        <v>0</v>
      </c>
      <c r="V187" s="1" t="n">
        <f aca="false">IF(S187&lt;&gt;"",SUMIFS(COMPRAS!$O$3:$O$4997,COMPRAS!$G$3:$G$4997,S187,COMPRAS!$B$3:$B$4997,"&gt;="&amp;IF($C$4="",DATE(1900,1,1),$C$4),COMPRAS!$B$3:$B$4997,"&lt;="&amp;IF($F$4="",DATE(2999,12,31),$F$4)),0)</f>
        <v>0</v>
      </c>
      <c r="Y187" s="1" t="n">
        <f aca="false">IF($X$2="TODOS",U187,IF(S187&lt;&gt;"",SUMIFS(COMPRAS!$J$3:$J$4997,COMPRAS!$G$3:$G$4997,S187,COMPRAS!$D$3:$D$4997,$X$2,COMPRAS!$B$3:$B$4997,"&gt;="&amp;IF($C$4="",DATE(1900,1,1),$C$4),COMPRAS!$B$3:$B$4997,"&lt;="&amp;IF($F$4="",DATE(2999,12,31),$F$4)),0))</f>
        <v>0</v>
      </c>
      <c r="Z187" s="1" t="n">
        <f aca="false">IF($X$2="TODOS",V187,IF(S187&lt;&gt;"",SUMIFS(COMPRAS!$O$3:$O$4997,COMPRAS!$G$3:$G$4997,S187,COMPRAS!$D$3:$D$4997,$X$2,COMPRAS!$B$3:$B$4997,"&gt;="&amp;IF($C$4="",DATE(1900,1,1),$C$4),COMPRAS!$B$3:$B$4997,"&lt;="&amp;IF($F$4="",DATE(2999,12,31),$F$4)),0))</f>
        <v>0</v>
      </c>
    </row>
    <row r="188" customFormat="false" ht="15" hidden="false" customHeight="true" outlineLevel="0" collapsed="false">
      <c r="N188" s="1" t="n">
        <f aca="false">PROVEEDORES!A189</f>
        <v>0</v>
      </c>
      <c r="O188" s="1" t="n">
        <f aca="false">PROVEEDORES!B189</f>
        <v>0</v>
      </c>
      <c r="P188" s="1" t="n">
        <f aca="false">IF(N188&lt;&gt;"",SUMIFS(COMPRAS!$J$3:$J$4997,COMPRAS!$D$3:$D$4997,N188,COMPRAS!$B$3:$B$4997,"&gt;="&amp;IF($C$4="",DATE(1900,1,1),$C$4),COMPRAS!$B$3:$B$4997,"&lt;="&amp;IF($F$4="",DATE(2999,12,31),$F$4)),0)</f>
        <v>0</v>
      </c>
      <c r="Q188" s="1" t="n">
        <f aca="false">IF(N188&lt;&gt;"",SUMIFS(COMPRAS!$O$3:$O$4997,COMPRAS!$D$3:$D$4997,N188,COMPRAS!$B$3:$B$4997,"&gt;="&amp;IF($C$4="",DATE(1900,1,1),$C$4),COMPRAS!$B$3:$B$4997,"&lt;="&amp;IF($F$4="",DATE(2999,12,31),$F$4)),0)</f>
        <v>0</v>
      </c>
      <c r="S188" s="1" t="n">
        <f aca="false">PRODUCTOS!A189</f>
        <v>0</v>
      </c>
      <c r="T188" s="1" t="n">
        <f aca="false">PRODUCTOS!B189</f>
        <v>0</v>
      </c>
      <c r="U188" s="1" t="n">
        <f aca="false">IF(S188&lt;&gt;"",SUMIFS(COMPRAS!$J$3:$J$4997,COMPRAS!$G$3:$G$4997,S188,COMPRAS!$B$3:$B$4997,"&gt;="&amp;IF($C$4="",DATE(1900,1,1),$C$4),COMPRAS!$B$3:$B$4997,"&lt;="&amp;IF($F$4="",DATE(2999,12,31),$F$4)),0)</f>
        <v>0</v>
      </c>
      <c r="V188" s="1" t="n">
        <f aca="false">IF(S188&lt;&gt;"",SUMIFS(COMPRAS!$O$3:$O$4997,COMPRAS!$G$3:$G$4997,S188,COMPRAS!$B$3:$B$4997,"&gt;="&amp;IF($C$4="",DATE(1900,1,1),$C$4),COMPRAS!$B$3:$B$4997,"&lt;="&amp;IF($F$4="",DATE(2999,12,31),$F$4)),0)</f>
        <v>0</v>
      </c>
      <c r="Y188" s="1" t="n">
        <f aca="false">IF($X$2="TODOS",U188,IF(S188&lt;&gt;"",SUMIFS(COMPRAS!$J$3:$J$4997,COMPRAS!$G$3:$G$4997,S188,COMPRAS!$D$3:$D$4997,$X$2,COMPRAS!$B$3:$B$4997,"&gt;="&amp;IF($C$4="",DATE(1900,1,1),$C$4),COMPRAS!$B$3:$B$4997,"&lt;="&amp;IF($F$4="",DATE(2999,12,31),$F$4)),0))</f>
        <v>0</v>
      </c>
      <c r="Z188" s="1" t="n">
        <f aca="false">IF($X$2="TODOS",V188,IF(S188&lt;&gt;"",SUMIFS(COMPRAS!$O$3:$O$4997,COMPRAS!$G$3:$G$4997,S188,COMPRAS!$D$3:$D$4997,$X$2,COMPRAS!$B$3:$B$4997,"&gt;="&amp;IF($C$4="",DATE(1900,1,1),$C$4),COMPRAS!$B$3:$B$4997,"&lt;="&amp;IF($F$4="",DATE(2999,12,31),$F$4)),0))</f>
        <v>0</v>
      </c>
    </row>
    <row r="189" customFormat="false" ht="15" hidden="false" customHeight="true" outlineLevel="0" collapsed="false">
      <c r="N189" s="1" t="n">
        <f aca="false">PROVEEDORES!A190</f>
        <v>0</v>
      </c>
      <c r="O189" s="1" t="n">
        <f aca="false">PROVEEDORES!B190</f>
        <v>0</v>
      </c>
      <c r="P189" s="1" t="n">
        <f aca="false">IF(N189&lt;&gt;"",SUMIFS(COMPRAS!$J$3:$J$4997,COMPRAS!$D$3:$D$4997,N189,COMPRAS!$B$3:$B$4997,"&gt;="&amp;IF($C$4="",DATE(1900,1,1),$C$4),COMPRAS!$B$3:$B$4997,"&lt;="&amp;IF($F$4="",DATE(2999,12,31),$F$4)),0)</f>
        <v>0</v>
      </c>
      <c r="Q189" s="1" t="n">
        <f aca="false">IF(N189&lt;&gt;"",SUMIFS(COMPRAS!$O$3:$O$4997,COMPRAS!$D$3:$D$4997,N189,COMPRAS!$B$3:$B$4997,"&gt;="&amp;IF($C$4="",DATE(1900,1,1),$C$4),COMPRAS!$B$3:$B$4997,"&lt;="&amp;IF($F$4="",DATE(2999,12,31),$F$4)),0)</f>
        <v>0</v>
      </c>
      <c r="S189" s="1" t="n">
        <f aca="false">PRODUCTOS!A190</f>
        <v>0</v>
      </c>
      <c r="T189" s="1" t="n">
        <f aca="false">PRODUCTOS!B190</f>
        <v>0</v>
      </c>
      <c r="U189" s="1" t="n">
        <f aca="false">IF(S189&lt;&gt;"",SUMIFS(COMPRAS!$J$3:$J$4997,COMPRAS!$G$3:$G$4997,S189,COMPRAS!$B$3:$B$4997,"&gt;="&amp;IF($C$4="",DATE(1900,1,1),$C$4),COMPRAS!$B$3:$B$4997,"&lt;="&amp;IF($F$4="",DATE(2999,12,31),$F$4)),0)</f>
        <v>0</v>
      </c>
      <c r="V189" s="1" t="n">
        <f aca="false">IF(S189&lt;&gt;"",SUMIFS(COMPRAS!$O$3:$O$4997,COMPRAS!$G$3:$G$4997,S189,COMPRAS!$B$3:$B$4997,"&gt;="&amp;IF($C$4="",DATE(1900,1,1),$C$4),COMPRAS!$B$3:$B$4997,"&lt;="&amp;IF($F$4="",DATE(2999,12,31),$F$4)),0)</f>
        <v>0</v>
      </c>
      <c r="Y189" s="1" t="n">
        <f aca="false">IF($X$2="TODOS",U189,IF(S189&lt;&gt;"",SUMIFS(COMPRAS!$J$3:$J$4997,COMPRAS!$G$3:$G$4997,S189,COMPRAS!$D$3:$D$4997,$X$2,COMPRAS!$B$3:$B$4997,"&gt;="&amp;IF($C$4="",DATE(1900,1,1),$C$4),COMPRAS!$B$3:$B$4997,"&lt;="&amp;IF($F$4="",DATE(2999,12,31),$F$4)),0))</f>
        <v>0</v>
      </c>
      <c r="Z189" s="1" t="n">
        <f aca="false">IF($X$2="TODOS",V189,IF(S189&lt;&gt;"",SUMIFS(COMPRAS!$O$3:$O$4997,COMPRAS!$G$3:$G$4997,S189,COMPRAS!$D$3:$D$4997,$X$2,COMPRAS!$B$3:$B$4997,"&gt;="&amp;IF($C$4="",DATE(1900,1,1),$C$4),COMPRAS!$B$3:$B$4997,"&lt;="&amp;IF($F$4="",DATE(2999,12,31),$F$4)),0))</f>
        <v>0</v>
      </c>
    </row>
    <row r="190" customFormat="false" ht="15" hidden="false" customHeight="true" outlineLevel="0" collapsed="false">
      <c r="N190" s="1" t="n">
        <f aca="false">PROVEEDORES!A191</f>
        <v>0</v>
      </c>
      <c r="O190" s="1" t="n">
        <f aca="false">PROVEEDORES!B191</f>
        <v>0</v>
      </c>
      <c r="P190" s="1" t="n">
        <f aca="false">IF(N190&lt;&gt;"",SUMIFS(COMPRAS!$J$3:$J$4997,COMPRAS!$D$3:$D$4997,N190,COMPRAS!$B$3:$B$4997,"&gt;="&amp;IF($C$4="",DATE(1900,1,1),$C$4),COMPRAS!$B$3:$B$4997,"&lt;="&amp;IF($F$4="",DATE(2999,12,31),$F$4)),0)</f>
        <v>0</v>
      </c>
      <c r="Q190" s="1" t="n">
        <f aca="false">IF(N190&lt;&gt;"",SUMIFS(COMPRAS!$O$3:$O$4997,COMPRAS!$D$3:$D$4997,N190,COMPRAS!$B$3:$B$4997,"&gt;="&amp;IF($C$4="",DATE(1900,1,1),$C$4),COMPRAS!$B$3:$B$4997,"&lt;="&amp;IF($F$4="",DATE(2999,12,31),$F$4)),0)</f>
        <v>0</v>
      </c>
      <c r="S190" s="1" t="n">
        <f aca="false">PRODUCTOS!A191</f>
        <v>0</v>
      </c>
      <c r="T190" s="1" t="n">
        <f aca="false">PRODUCTOS!B191</f>
        <v>0</v>
      </c>
      <c r="U190" s="1" t="n">
        <f aca="false">IF(S190&lt;&gt;"",SUMIFS(COMPRAS!$J$3:$J$4997,COMPRAS!$G$3:$G$4997,S190,COMPRAS!$B$3:$B$4997,"&gt;="&amp;IF($C$4="",DATE(1900,1,1),$C$4),COMPRAS!$B$3:$B$4997,"&lt;="&amp;IF($F$4="",DATE(2999,12,31),$F$4)),0)</f>
        <v>0</v>
      </c>
      <c r="V190" s="1" t="n">
        <f aca="false">IF(S190&lt;&gt;"",SUMIFS(COMPRAS!$O$3:$O$4997,COMPRAS!$G$3:$G$4997,S190,COMPRAS!$B$3:$B$4997,"&gt;="&amp;IF($C$4="",DATE(1900,1,1),$C$4),COMPRAS!$B$3:$B$4997,"&lt;="&amp;IF($F$4="",DATE(2999,12,31),$F$4)),0)</f>
        <v>0</v>
      </c>
      <c r="Y190" s="1" t="n">
        <f aca="false">IF($X$2="TODOS",U190,IF(S190&lt;&gt;"",SUMIFS(COMPRAS!$J$3:$J$4997,COMPRAS!$G$3:$G$4997,S190,COMPRAS!$D$3:$D$4997,$X$2,COMPRAS!$B$3:$B$4997,"&gt;="&amp;IF($C$4="",DATE(1900,1,1),$C$4),COMPRAS!$B$3:$B$4997,"&lt;="&amp;IF($F$4="",DATE(2999,12,31),$F$4)),0))</f>
        <v>0</v>
      </c>
      <c r="Z190" s="1" t="n">
        <f aca="false">IF($X$2="TODOS",V190,IF(S190&lt;&gt;"",SUMIFS(COMPRAS!$O$3:$O$4997,COMPRAS!$G$3:$G$4997,S190,COMPRAS!$D$3:$D$4997,$X$2,COMPRAS!$B$3:$B$4997,"&gt;="&amp;IF($C$4="",DATE(1900,1,1),$C$4),COMPRAS!$B$3:$B$4997,"&lt;="&amp;IF($F$4="",DATE(2999,12,31),$F$4)),0))</f>
        <v>0</v>
      </c>
    </row>
    <row r="191" customFormat="false" ht="15" hidden="false" customHeight="true" outlineLevel="0" collapsed="false">
      <c r="N191" s="1" t="n">
        <f aca="false">PROVEEDORES!A192</f>
        <v>0</v>
      </c>
      <c r="O191" s="1" t="n">
        <f aca="false">PROVEEDORES!B192</f>
        <v>0</v>
      </c>
      <c r="P191" s="1" t="n">
        <f aca="false">IF(N191&lt;&gt;"",SUMIFS(COMPRAS!$J$3:$J$4997,COMPRAS!$D$3:$D$4997,N191,COMPRAS!$B$3:$B$4997,"&gt;="&amp;IF($C$4="",DATE(1900,1,1),$C$4),COMPRAS!$B$3:$B$4997,"&lt;="&amp;IF($F$4="",DATE(2999,12,31),$F$4)),0)</f>
        <v>0</v>
      </c>
      <c r="Q191" s="1" t="n">
        <f aca="false">IF(N191&lt;&gt;"",SUMIFS(COMPRAS!$O$3:$O$4997,COMPRAS!$D$3:$D$4997,N191,COMPRAS!$B$3:$B$4997,"&gt;="&amp;IF($C$4="",DATE(1900,1,1),$C$4),COMPRAS!$B$3:$B$4997,"&lt;="&amp;IF($F$4="",DATE(2999,12,31),$F$4)),0)</f>
        <v>0</v>
      </c>
      <c r="S191" s="1" t="n">
        <f aca="false">PRODUCTOS!A192</f>
        <v>0</v>
      </c>
      <c r="T191" s="1" t="n">
        <f aca="false">PRODUCTOS!B192</f>
        <v>0</v>
      </c>
      <c r="U191" s="1" t="n">
        <f aca="false">IF(S191&lt;&gt;"",SUMIFS(COMPRAS!$J$3:$J$4997,COMPRAS!$G$3:$G$4997,S191,COMPRAS!$B$3:$B$4997,"&gt;="&amp;IF($C$4="",DATE(1900,1,1),$C$4),COMPRAS!$B$3:$B$4997,"&lt;="&amp;IF($F$4="",DATE(2999,12,31),$F$4)),0)</f>
        <v>0</v>
      </c>
      <c r="V191" s="1" t="n">
        <f aca="false">IF(S191&lt;&gt;"",SUMIFS(COMPRAS!$O$3:$O$4997,COMPRAS!$G$3:$G$4997,S191,COMPRAS!$B$3:$B$4997,"&gt;="&amp;IF($C$4="",DATE(1900,1,1),$C$4),COMPRAS!$B$3:$B$4997,"&lt;="&amp;IF($F$4="",DATE(2999,12,31),$F$4)),0)</f>
        <v>0</v>
      </c>
      <c r="Y191" s="1" t="n">
        <f aca="false">IF($X$2="TODOS",U191,IF(S191&lt;&gt;"",SUMIFS(COMPRAS!$J$3:$J$4997,COMPRAS!$G$3:$G$4997,S191,COMPRAS!$D$3:$D$4997,$X$2,COMPRAS!$B$3:$B$4997,"&gt;="&amp;IF($C$4="",DATE(1900,1,1),$C$4),COMPRAS!$B$3:$B$4997,"&lt;="&amp;IF($F$4="",DATE(2999,12,31),$F$4)),0))</f>
        <v>0</v>
      </c>
      <c r="Z191" s="1" t="n">
        <f aca="false">IF($X$2="TODOS",V191,IF(S191&lt;&gt;"",SUMIFS(COMPRAS!$O$3:$O$4997,COMPRAS!$G$3:$G$4997,S191,COMPRAS!$D$3:$D$4997,$X$2,COMPRAS!$B$3:$B$4997,"&gt;="&amp;IF($C$4="",DATE(1900,1,1),$C$4),COMPRAS!$B$3:$B$4997,"&lt;="&amp;IF($F$4="",DATE(2999,12,31),$F$4)),0))</f>
        <v>0</v>
      </c>
    </row>
    <row r="192" customFormat="false" ht="15" hidden="false" customHeight="true" outlineLevel="0" collapsed="false">
      <c r="N192" s="1" t="n">
        <f aca="false">PROVEEDORES!A193</f>
        <v>0</v>
      </c>
      <c r="O192" s="1" t="n">
        <f aca="false">PROVEEDORES!B193</f>
        <v>0</v>
      </c>
      <c r="P192" s="1" t="n">
        <f aca="false">IF(N192&lt;&gt;"",SUMIFS(COMPRAS!$J$3:$J$4997,COMPRAS!$D$3:$D$4997,N192,COMPRAS!$B$3:$B$4997,"&gt;="&amp;IF($C$4="",DATE(1900,1,1),$C$4),COMPRAS!$B$3:$B$4997,"&lt;="&amp;IF($F$4="",DATE(2999,12,31),$F$4)),0)</f>
        <v>0</v>
      </c>
      <c r="Q192" s="1" t="n">
        <f aca="false">IF(N192&lt;&gt;"",SUMIFS(COMPRAS!$O$3:$O$4997,COMPRAS!$D$3:$D$4997,N192,COMPRAS!$B$3:$B$4997,"&gt;="&amp;IF($C$4="",DATE(1900,1,1),$C$4),COMPRAS!$B$3:$B$4997,"&lt;="&amp;IF($F$4="",DATE(2999,12,31),$F$4)),0)</f>
        <v>0</v>
      </c>
      <c r="S192" s="1" t="n">
        <f aca="false">PRODUCTOS!A193</f>
        <v>0</v>
      </c>
      <c r="T192" s="1" t="n">
        <f aca="false">PRODUCTOS!B193</f>
        <v>0</v>
      </c>
      <c r="U192" s="1" t="n">
        <f aca="false">IF(S192&lt;&gt;"",SUMIFS(COMPRAS!$J$3:$J$4997,COMPRAS!$G$3:$G$4997,S192,COMPRAS!$B$3:$B$4997,"&gt;="&amp;IF($C$4="",DATE(1900,1,1),$C$4),COMPRAS!$B$3:$B$4997,"&lt;="&amp;IF($F$4="",DATE(2999,12,31),$F$4)),0)</f>
        <v>0</v>
      </c>
      <c r="V192" s="1" t="n">
        <f aca="false">IF(S192&lt;&gt;"",SUMIFS(COMPRAS!$O$3:$O$4997,COMPRAS!$G$3:$G$4997,S192,COMPRAS!$B$3:$B$4997,"&gt;="&amp;IF($C$4="",DATE(1900,1,1),$C$4),COMPRAS!$B$3:$B$4997,"&lt;="&amp;IF($F$4="",DATE(2999,12,31),$F$4)),0)</f>
        <v>0</v>
      </c>
      <c r="Y192" s="1" t="n">
        <f aca="false">IF($X$2="TODOS",U192,IF(S192&lt;&gt;"",SUMIFS(COMPRAS!$J$3:$J$4997,COMPRAS!$G$3:$G$4997,S192,COMPRAS!$D$3:$D$4997,$X$2,COMPRAS!$B$3:$B$4997,"&gt;="&amp;IF($C$4="",DATE(1900,1,1),$C$4),COMPRAS!$B$3:$B$4997,"&lt;="&amp;IF($F$4="",DATE(2999,12,31),$F$4)),0))</f>
        <v>0</v>
      </c>
      <c r="Z192" s="1" t="n">
        <f aca="false">IF($X$2="TODOS",V192,IF(S192&lt;&gt;"",SUMIFS(COMPRAS!$O$3:$O$4997,COMPRAS!$G$3:$G$4997,S192,COMPRAS!$D$3:$D$4997,$X$2,COMPRAS!$B$3:$B$4997,"&gt;="&amp;IF($C$4="",DATE(1900,1,1),$C$4),COMPRAS!$B$3:$B$4997,"&lt;="&amp;IF($F$4="",DATE(2999,12,31),$F$4)),0))</f>
        <v>0</v>
      </c>
    </row>
    <row r="193" customFormat="false" ht="15" hidden="false" customHeight="true" outlineLevel="0" collapsed="false">
      <c r="N193" s="1" t="n">
        <f aca="false">PROVEEDORES!A194</f>
        <v>0</v>
      </c>
      <c r="O193" s="1" t="n">
        <f aca="false">PROVEEDORES!B194</f>
        <v>0</v>
      </c>
      <c r="P193" s="1" t="n">
        <f aca="false">IF(N193&lt;&gt;"",SUMIFS(COMPRAS!$J$3:$J$4997,COMPRAS!$D$3:$D$4997,N193,COMPRAS!$B$3:$B$4997,"&gt;="&amp;IF($C$4="",DATE(1900,1,1),$C$4),COMPRAS!$B$3:$B$4997,"&lt;="&amp;IF($F$4="",DATE(2999,12,31),$F$4)),0)</f>
        <v>0</v>
      </c>
      <c r="Q193" s="1" t="n">
        <f aca="false">IF(N193&lt;&gt;"",SUMIFS(COMPRAS!$O$3:$O$4997,COMPRAS!$D$3:$D$4997,N193,COMPRAS!$B$3:$B$4997,"&gt;="&amp;IF($C$4="",DATE(1900,1,1),$C$4),COMPRAS!$B$3:$B$4997,"&lt;="&amp;IF($F$4="",DATE(2999,12,31),$F$4)),0)</f>
        <v>0</v>
      </c>
      <c r="S193" s="1" t="n">
        <f aca="false">PRODUCTOS!A194</f>
        <v>0</v>
      </c>
      <c r="T193" s="1" t="n">
        <f aca="false">PRODUCTOS!B194</f>
        <v>0</v>
      </c>
      <c r="U193" s="1" t="n">
        <f aca="false">IF(S193&lt;&gt;"",SUMIFS(COMPRAS!$J$3:$J$4997,COMPRAS!$G$3:$G$4997,S193,COMPRAS!$B$3:$B$4997,"&gt;="&amp;IF($C$4="",DATE(1900,1,1),$C$4),COMPRAS!$B$3:$B$4997,"&lt;="&amp;IF($F$4="",DATE(2999,12,31),$F$4)),0)</f>
        <v>0</v>
      </c>
      <c r="V193" s="1" t="n">
        <f aca="false">IF(S193&lt;&gt;"",SUMIFS(COMPRAS!$O$3:$O$4997,COMPRAS!$G$3:$G$4997,S193,COMPRAS!$B$3:$B$4997,"&gt;="&amp;IF($C$4="",DATE(1900,1,1),$C$4),COMPRAS!$B$3:$B$4997,"&lt;="&amp;IF($F$4="",DATE(2999,12,31),$F$4)),0)</f>
        <v>0</v>
      </c>
      <c r="Y193" s="1" t="n">
        <f aca="false">IF($X$2="TODOS",U193,IF(S193&lt;&gt;"",SUMIFS(COMPRAS!$J$3:$J$4997,COMPRAS!$G$3:$G$4997,S193,COMPRAS!$D$3:$D$4997,$X$2,COMPRAS!$B$3:$B$4997,"&gt;="&amp;IF($C$4="",DATE(1900,1,1),$C$4),COMPRAS!$B$3:$B$4997,"&lt;="&amp;IF($F$4="",DATE(2999,12,31),$F$4)),0))</f>
        <v>0</v>
      </c>
      <c r="Z193" s="1" t="n">
        <f aca="false">IF($X$2="TODOS",V193,IF(S193&lt;&gt;"",SUMIFS(COMPRAS!$O$3:$O$4997,COMPRAS!$G$3:$G$4997,S193,COMPRAS!$D$3:$D$4997,$X$2,COMPRAS!$B$3:$B$4997,"&gt;="&amp;IF($C$4="",DATE(1900,1,1),$C$4),COMPRAS!$B$3:$B$4997,"&lt;="&amp;IF($F$4="",DATE(2999,12,31),$F$4)),0))</f>
        <v>0</v>
      </c>
    </row>
    <row r="194" customFormat="false" ht="15" hidden="false" customHeight="true" outlineLevel="0" collapsed="false">
      <c r="N194" s="1" t="n">
        <f aca="false">PROVEEDORES!A195</f>
        <v>0</v>
      </c>
      <c r="O194" s="1" t="n">
        <f aca="false">PROVEEDORES!B195</f>
        <v>0</v>
      </c>
      <c r="P194" s="1" t="n">
        <f aca="false">IF(N194&lt;&gt;"",SUMIFS(COMPRAS!$J$3:$J$4997,COMPRAS!$D$3:$D$4997,N194,COMPRAS!$B$3:$B$4997,"&gt;="&amp;IF($C$4="",DATE(1900,1,1),$C$4),COMPRAS!$B$3:$B$4997,"&lt;="&amp;IF($F$4="",DATE(2999,12,31),$F$4)),0)</f>
        <v>0</v>
      </c>
      <c r="Q194" s="1" t="n">
        <f aca="false">IF(N194&lt;&gt;"",SUMIFS(COMPRAS!$O$3:$O$4997,COMPRAS!$D$3:$D$4997,N194,COMPRAS!$B$3:$B$4997,"&gt;="&amp;IF($C$4="",DATE(1900,1,1),$C$4),COMPRAS!$B$3:$B$4997,"&lt;="&amp;IF($F$4="",DATE(2999,12,31),$F$4)),0)</f>
        <v>0</v>
      </c>
      <c r="S194" s="1" t="n">
        <f aca="false">PRODUCTOS!A195</f>
        <v>0</v>
      </c>
      <c r="T194" s="1" t="n">
        <f aca="false">PRODUCTOS!B195</f>
        <v>0</v>
      </c>
      <c r="U194" s="1" t="n">
        <f aca="false">IF(S194&lt;&gt;"",SUMIFS(COMPRAS!$J$3:$J$4997,COMPRAS!$G$3:$G$4997,S194,COMPRAS!$B$3:$B$4997,"&gt;="&amp;IF($C$4="",DATE(1900,1,1),$C$4),COMPRAS!$B$3:$B$4997,"&lt;="&amp;IF($F$4="",DATE(2999,12,31),$F$4)),0)</f>
        <v>0</v>
      </c>
      <c r="V194" s="1" t="n">
        <f aca="false">IF(S194&lt;&gt;"",SUMIFS(COMPRAS!$O$3:$O$4997,COMPRAS!$G$3:$G$4997,S194,COMPRAS!$B$3:$B$4997,"&gt;="&amp;IF($C$4="",DATE(1900,1,1),$C$4),COMPRAS!$B$3:$B$4997,"&lt;="&amp;IF($F$4="",DATE(2999,12,31),$F$4)),0)</f>
        <v>0</v>
      </c>
      <c r="Y194" s="1" t="n">
        <f aca="false">IF($X$2="TODOS",U194,IF(S194&lt;&gt;"",SUMIFS(COMPRAS!$J$3:$J$4997,COMPRAS!$G$3:$G$4997,S194,COMPRAS!$D$3:$D$4997,$X$2,COMPRAS!$B$3:$B$4997,"&gt;="&amp;IF($C$4="",DATE(1900,1,1),$C$4),COMPRAS!$B$3:$B$4997,"&lt;="&amp;IF($F$4="",DATE(2999,12,31),$F$4)),0))</f>
        <v>0</v>
      </c>
      <c r="Z194" s="1" t="n">
        <f aca="false">IF($X$2="TODOS",V194,IF(S194&lt;&gt;"",SUMIFS(COMPRAS!$O$3:$O$4997,COMPRAS!$G$3:$G$4997,S194,COMPRAS!$D$3:$D$4997,$X$2,COMPRAS!$B$3:$B$4997,"&gt;="&amp;IF($C$4="",DATE(1900,1,1),$C$4),COMPRAS!$B$3:$B$4997,"&lt;="&amp;IF($F$4="",DATE(2999,12,31),$F$4)),0))</f>
        <v>0</v>
      </c>
    </row>
    <row r="195" customFormat="false" ht="15" hidden="false" customHeight="true" outlineLevel="0" collapsed="false">
      <c r="N195" s="1" t="n">
        <f aca="false">PROVEEDORES!A196</f>
        <v>0</v>
      </c>
      <c r="O195" s="1" t="n">
        <f aca="false">PROVEEDORES!B196</f>
        <v>0</v>
      </c>
      <c r="P195" s="1" t="n">
        <f aca="false">IF(N195&lt;&gt;"",SUMIFS(COMPRAS!$J$3:$J$4997,COMPRAS!$D$3:$D$4997,N195,COMPRAS!$B$3:$B$4997,"&gt;="&amp;IF($C$4="",DATE(1900,1,1),$C$4),COMPRAS!$B$3:$B$4997,"&lt;="&amp;IF($F$4="",DATE(2999,12,31),$F$4)),0)</f>
        <v>0</v>
      </c>
      <c r="Q195" s="1" t="n">
        <f aca="false">IF(N195&lt;&gt;"",SUMIFS(COMPRAS!$O$3:$O$4997,COMPRAS!$D$3:$D$4997,N195,COMPRAS!$B$3:$B$4997,"&gt;="&amp;IF($C$4="",DATE(1900,1,1),$C$4),COMPRAS!$B$3:$B$4997,"&lt;="&amp;IF($F$4="",DATE(2999,12,31),$F$4)),0)</f>
        <v>0</v>
      </c>
      <c r="S195" s="1" t="n">
        <f aca="false">PRODUCTOS!A196</f>
        <v>0</v>
      </c>
      <c r="T195" s="1" t="n">
        <f aca="false">PRODUCTOS!B196</f>
        <v>0</v>
      </c>
      <c r="U195" s="1" t="n">
        <f aca="false">IF(S195&lt;&gt;"",SUMIFS(COMPRAS!$J$3:$J$4997,COMPRAS!$G$3:$G$4997,S195,COMPRAS!$B$3:$B$4997,"&gt;="&amp;IF($C$4="",DATE(1900,1,1),$C$4),COMPRAS!$B$3:$B$4997,"&lt;="&amp;IF($F$4="",DATE(2999,12,31),$F$4)),0)</f>
        <v>0</v>
      </c>
      <c r="V195" s="1" t="n">
        <f aca="false">IF(S195&lt;&gt;"",SUMIFS(COMPRAS!$O$3:$O$4997,COMPRAS!$G$3:$G$4997,S195,COMPRAS!$B$3:$B$4997,"&gt;="&amp;IF($C$4="",DATE(1900,1,1),$C$4),COMPRAS!$B$3:$B$4997,"&lt;="&amp;IF($F$4="",DATE(2999,12,31),$F$4)),0)</f>
        <v>0</v>
      </c>
      <c r="Y195" s="1" t="n">
        <f aca="false">IF($X$2="TODOS",U195,IF(S195&lt;&gt;"",SUMIFS(COMPRAS!$J$3:$J$4997,COMPRAS!$G$3:$G$4997,S195,COMPRAS!$D$3:$D$4997,$X$2,COMPRAS!$B$3:$B$4997,"&gt;="&amp;IF($C$4="",DATE(1900,1,1),$C$4),COMPRAS!$B$3:$B$4997,"&lt;="&amp;IF($F$4="",DATE(2999,12,31),$F$4)),0))</f>
        <v>0</v>
      </c>
      <c r="Z195" s="1" t="n">
        <f aca="false">IF($X$2="TODOS",V195,IF(S195&lt;&gt;"",SUMIFS(COMPRAS!$O$3:$O$4997,COMPRAS!$G$3:$G$4997,S195,COMPRAS!$D$3:$D$4997,$X$2,COMPRAS!$B$3:$B$4997,"&gt;="&amp;IF($C$4="",DATE(1900,1,1),$C$4),COMPRAS!$B$3:$B$4997,"&lt;="&amp;IF($F$4="",DATE(2999,12,31),$F$4)),0))</f>
        <v>0</v>
      </c>
    </row>
    <row r="196" customFormat="false" ht="15" hidden="false" customHeight="true" outlineLevel="0" collapsed="false">
      <c r="N196" s="1" t="n">
        <f aca="false">PROVEEDORES!A197</f>
        <v>0</v>
      </c>
      <c r="O196" s="1" t="n">
        <f aca="false">PROVEEDORES!B197</f>
        <v>0</v>
      </c>
      <c r="P196" s="1" t="n">
        <f aca="false">IF(N196&lt;&gt;"",SUMIFS(COMPRAS!$J$3:$J$4997,COMPRAS!$D$3:$D$4997,N196,COMPRAS!$B$3:$B$4997,"&gt;="&amp;IF($C$4="",DATE(1900,1,1),$C$4),COMPRAS!$B$3:$B$4997,"&lt;="&amp;IF($F$4="",DATE(2999,12,31),$F$4)),0)</f>
        <v>0</v>
      </c>
      <c r="Q196" s="1" t="n">
        <f aca="false">IF(N196&lt;&gt;"",SUMIFS(COMPRAS!$O$3:$O$4997,COMPRAS!$D$3:$D$4997,N196,COMPRAS!$B$3:$B$4997,"&gt;="&amp;IF($C$4="",DATE(1900,1,1),$C$4),COMPRAS!$B$3:$B$4997,"&lt;="&amp;IF($F$4="",DATE(2999,12,31),$F$4)),0)</f>
        <v>0</v>
      </c>
      <c r="S196" s="1" t="n">
        <f aca="false">PRODUCTOS!A197</f>
        <v>0</v>
      </c>
      <c r="T196" s="1" t="n">
        <f aca="false">PRODUCTOS!B197</f>
        <v>0</v>
      </c>
      <c r="U196" s="1" t="n">
        <f aca="false">IF(S196&lt;&gt;"",SUMIFS(COMPRAS!$J$3:$J$4997,COMPRAS!$G$3:$G$4997,S196,COMPRAS!$B$3:$B$4997,"&gt;="&amp;IF($C$4="",DATE(1900,1,1),$C$4),COMPRAS!$B$3:$B$4997,"&lt;="&amp;IF($F$4="",DATE(2999,12,31),$F$4)),0)</f>
        <v>0</v>
      </c>
      <c r="V196" s="1" t="n">
        <f aca="false">IF(S196&lt;&gt;"",SUMIFS(COMPRAS!$O$3:$O$4997,COMPRAS!$G$3:$G$4997,S196,COMPRAS!$B$3:$B$4997,"&gt;="&amp;IF($C$4="",DATE(1900,1,1),$C$4),COMPRAS!$B$3:$B$4997,"&lt;="&amp;IF($F$4="",DATE(2999,12,31),$F$4)),0)</f>
        <v>0</v>
      </c>
      <c r="Y196" s="1" t="n">
        <f aca="false">IF($X$2="TODOS",U196,IF(S196&lt;&gt;"",SUMIFS(COMPRAS!$J$3:$J$4997,COMPRAS!$G$3:$G$4997,S196,COMPRAS!$D$3:$D$4997,$X$2,COMPRAS!$B$3:$B$4997,"&gt;="&amp;IF($C$4="",DATE(1900,1,1),$C$4),COMPRAS!$B$3:$B$4997,"&lt;="&amp;IF($F$4="",DATE(2999,12,31),$F$4)),0))</f>
        <v>0</v>
      </c>
      <c r="Z196" s="1" t="n">
        <f aca="false">IF($X$2="TODOS",V196,IF(S196&lt;&gt;"",SUMIFS(COMPRAS!$O$3:$O$4997,COMPRAS!$G$3:$G$4997,S196,COMPRAS!$D$3:$D$4997,$X$2,COMPRAS!$B$3:$B$4997,"&gt;="&amp;IF($C$4="",DATE(1900,1,1),$C$4),COMPRAS!$B$3:$B$4997,"&lt;="&amp;IF($F$4="",DATE(2999,12,31),$F$4)),0))</f>
        <v>0</v>
      </c>
    </row>
    <row r="197" customFormat="false" ht="15" hidden="false" customHeight="true" outlineLevel="0" collapsed="false">
      <c r="N197" s="1" t="n">
        <f aca="false">PROVEEDORES!A198</f>
        <v>0</v>
      </c>
      <c r="O197" s="1" t="n">
        <f aca="false">PROVEEDORES!B198</f>
        <v>0</v>
      </c>
      <c r="P197" s="1" t="n">
        <f aca="false">IF(N197&lt;&gt;"",SUMIFS(COMPRAS!$J$3:$J$4997,COMPRAS!$D$3:$D$4997,N197,COMPRAS!$B$3:$B$4997,"&gt;="&amp;IF($C$4="",DATE(1900,1,1),$C$4),COMPRAS!$B$3:$B$4997,"&lt;="&amp;IF($F$4="",DATE(2999,12,31),$F$4)),0)</f>
        <v>0</v>
      </c>
      <c r="Q197" s="1" t="n">
        <f aca="false">IF(N197&lt;&gt;"",SUMIFS(COMPRAS!$O$3:$O$4997,COMPRAS!$D$3:$D$4997,N197,COMPRAS!$B$3:$B$4997,"&gt;="&amp;IF($C$4="",DATE(1900,1,1),$C$4),COMPRAS!$B$3:$B$4997,"&lt;="&amp;IF($F$4="",DATE(2999,12,31),$F$4)),0)</f>
        <v>0</v>
      </c>
      <c r="S197" s="1" t="n">
        <f aca="false">PRODUCTOS!A198</f>
        <v>0</v>
      </c>
      <c r="T197" s="1" t="n">
        <f aca="false">PRODUCTOS!B198</f>
        <v>0</v>
      </c>
      <c r="U197" s="1" t="n">
        <f aca="false">IF(S197&lt;&gt;"",SUMIFS(COMPRAS!$J$3:$J$4997,COMPRAS!$G$3:$G$4997,S197,COMPRAS!$B$3:$B$4997,"&gt;="&amp;IF($C$4="",DATE(1900,1,1),$C$4),COMPRAS!$B$3:$B$4997,"&lt;="&amp;IF($F$4="",DATE(2999,12,31),$F$4)),0)</f>
        <v>0</v>
      </c>
      <c r="V197" s="1" t="n">
        <f aca="false">IF(S197&lt;&gt;"",SUMIFS(COMPRAS!$O$3:$O$4997,COMPRAS!$G$3:$G$4997,S197,COMPRAS!$B$3:$B$4997,"&gt;="&amp;IF($C$4="",DATE(1900,1,1),$C$4),COMPRAS!$B$3:$B$4997,"&lt;="&amp;IF($F$4="",DATE(2999,12,31),$F$4)),0)</f>
        <v>0</v>
      </c>
      <c r="Y197" s="1" t="n">
        <f aca="false">IF($X$2="TODOS",U197,IF(S197&lt;&gt;"",SUMIFS(COMPRAS!$J$3:$J$4997,COMPRAS!$G$3:$G$4997,S197,COMPRAS!$D$3:$D$4997,$X$2,COMPRAS!$B$3:$B$4997,"&gt;="&amp;IF($C$4="",DATE(1900,1,1),$C$4),COMPRAS!$B$3:$B$4997,"&lt;="&amp;IF($F$4="",DATE(2999,12,31),$F$4)),0))</f>
        <v>0</v>
      </c>
      <c r="Z197" s="1" t="n">
        <f aca="false">IF($X$2="TODOS",V197,IF(S197&lt;&gt;"",SUMIFS(COMPRAS!$O$3:$O$4997,COMPRAS!$G$3:$G$4997,S197,COMPRAS!$D$3:$D$4997,$X$2,COMPRAS!$B$3:$B$4997,"&gt;="&amp;IF($C$4="",DATE(1900,1,1),$C$4),COMPRAS!$B$3:$B$4997,"&lt;="&amp;IF($F$4="",DATE(2999,12,31),$F$4)),0))</f>
        <v>0</v>
      </c>
    </row>
    <row r="198" customFormat="false" ht="15" hidden="false" customHeight="true" outlineLevel="0" collapsed="false">
      <c r="N198" s="1" t="n">
        <f aca="false">PROVEEDORES!A199</f>
        <v>0</v>
      </c>
      <c r="O198" s="1" t="n">
        <f aca="false">PROVEEDORES!B199</f>
        <v>0</v>
      </c>
      <c r="P198" s="1" t="n">
        <f aca="false">IF(N198&lt;&gt;"",SUMIFS(COMPRAS!$J$3:$J$4997,COMPRAS!$D$3:$D$4997,N198,COMPRAS!$B$3:$B$4997,"&gt;="&amp;IF($C$4="",DATE(1900,1,1),$C$4),COMPRAS!$B$3:$B$4997,"&lt;="&amp;IF($F$4="",DATE(2999,12,31),$F$4)),0)</f>
        <v>0</v>
      </c>
      <c r="Q198" s="1" t="n">
        <f aca="false">IF(N198&lt;&gt;"",SUMIFS(COMPRAS!$O$3:$O$4997,COMPRAS!$D$3:$D$4997,N198,COMPRAS!$B$3:$B$4997,"&gt;="&amp;IF($C$4="",DATE(1900,1,1),$C$4),COMPRAS!$B$3:$B$4997,"&lt;="&amp;IF($F$4="",DATE(2999,12,31),$F$4)),0)</f>
        <v>0</v>
      </c>
      <c r="S198" s="1" t="n">
        <f aca="false">PRODUCTOS!A199</f>
        <v>0</v>
      </c>
      <c r="T198" s="1" t="n">
        <f aca="false">PRODUCTOS!B199</f>
        <v>0</v>
      </c>
      <c r="U198" s="1" t="n">
        <f aca="false">IF(S198&lt;&gt;"",SUMIFS(COMPRAS!$J$3:$J$4997,COMPRAS!$G$3:$G$4997,S198,COMPRAS!$B$3:$B$4997,"&gt;="&amp;IF($C$4="",DATE(1900,1,1),$C$4),COMPRAS!$B$3:$B$4997,"&lt;="&amp;IF($F$4="",DATE(2999,12,31),$F$4)),0)</f>
        <v>0</v>
      </c>
      <c r="V198" s="1" t="n">
        <f aca="false">IF(S198&lt;&gt;"",SUMIFS(COMPRAS!$O$3:$O$4997,COMPRAS!$G$3:$G$4997,S198,COMPRAS!$B$3:$B$4997,"&gt;="&amp;IF($C$4="",DATE(1900,1,1),$C$4),COMPRAS!$B$3:$B$4997,"&lt;="&amp;IF($F$4="",DATE(2999,12,31),$F$4)),0)</f>
        <v>0</v>
      </c>
      <c r="Y198" s="1" t="n">
        <f aca="false">IF($X$2="TODOS",U198,IF(S198&lt;&gt;"",SUMIFS(COMPRAS!$J$3:$J$4997,COMPRAS!$G$3:$G$4997,S198,COMPRAS!$D$3:$D$4997,$X$2,COMPRAS!$B$3:$B$4997,"&gt;="&amp;IF($C$4="",DATE(1900,1,1),$C$4),COMPRAS!$B$3:$B$4997,"&lt;="&amp;IF($F$4="",DATE(2999,12,31),$F$4)),0))</f>
        <v>0</v>
      </c>
      <c r="Z198" s="1" t="n">
        <f aca="false">IF($X$2="TODOS",V198,IF(S198&lt;&gt;"",SUMIFS(COMPRAS!$O$3:$O$4997,COMPRAS!$G$3:$G$4997,S198,COMPRAS!$D$3:$D$4997,$X$2,COMPRAS!$B$3:$B$4997,"&gt;="&amp;IF($C$4="",DATE(1900,1,1),$C$4),COMPRAS!$B$3:$B$4997,"&lt;="&amp;IF($F$4="",DATE(2999,12,31),$F$4)),0))</f>
        <v>0</v>
      </c>
    </row>
    <row r="199" customFormat="false" ht="15" hidden="false" customHeight="true" outlineLevel="0" collapsed="false">
      <c r="N199" s="1" t="n">
        <f aca="false">PROVEEDORES!A200</f>
        <v>0</v>
      </c>
      <c r="O199" s="1" t="n">
        <f aca="false">PROVEEDORES!B200</f>
        <v>0</v>
      </c>
      <c r="P199" s="1" t="n">
        <f aca="false">IF(N199&lt;&gt;"",SUMIFS(COMPRAS!$J$3:$J$4997,COMPRAS!$D$3:$D$4997,N199,COMPRAS!$B$3:$B$4997,"&gt;="&amp;IF($C$4="",DATE(1900,1,1),$C$4),COMPRAS!$B$3:$B$4997,"&lt;="&amp;IF($F$4="",DATE(2999,12,31),$F$4)),0)</f>
        <v>0</v>
      </c>
      <c r="Q199" s="1" t="n">
        <f aca="false">IF(N199&lt;&gt;"",SUMIFS(COMPRAS!$O$3:$O$4997,COMPRAS!$D$3:$D$4997,N199,COMPRAS!$B$3:$B$4997,"&gt;="&amp;IF($C$4="",DATE(1900,1,1),$C$4),COMPRAS!$B$3:$B$4997,"&lt;="&amp;IF($F$4="",DATE(2999,12,31),$F$4)),0)</f>
        <v>0</v>
      </c>
      <c r="S199" s="1" t="n">
        <f aca="false">PRODUCTOS!A200</f>
        <v>0</v>
      </c>
      <c r="T199" s="1" t="n">
        <f aca="false">PRODUCTOS!B200</f>
        <v>0</v>
      </c>
      <c r="U199" s="1" t="n">
        <f aca="false">IF(S199&lt;&gt;"",SUMIFS(COMPRAS!$J$3:$J$4997,COMPRAS!$G$3:$G$4997,S199,COMPRAS!$B$3:$B$4997,"&gt;="&amp;IF($C$4="",DATE(1900,1,1),$C$4),COMPRAS!$B$3:$B$4997,"&lt;="&amp;IF($F$4="",DATE(2999,12,31),$F$4)),0)</f>
        <v>0</v>
      </c>
      <c r="V199" s="1" t="n">
        <f aca="false">IF(S199&lt;&gt;"",SUMIFS(COMPRAS!$O$3:$O$4997,COMPRAS!$G$3:$G$4997,S199,COMPRAS!$B$3:$B$4997,"&gt;="&amp;IF($C$4="",DATE(1900,1,1),$C$4),COMPRAS!$B$3:$B$4997,"&lt;="&amp;IF($F$4="",DATE(2999,12,31),$F$4)),0)</f>
        <v>0</v>
      </c>
      <c r="Y199" s="1" t="n">
        <f aca="false">IF($X$2="TODOS",U199,IF(S199&lt;&gt;"",SUMIFS(COMPRAS!$J$3:$J$4997,COMPRAS!$G$3:$G$4997,S199,COMPRAS!$D$3:$D$4997,$X$2,COMPRAS!$B$3:$B$4997,"&gt;="&amp;IF($C$4="",DATE(1900,1,1),$C$4),COMPRAS!$B$3:$B$4997,"&lt;="&amp;IF($F$4="",DATE(2999,12,31),$F$4)),0))</f>
        <v>0</v>
      </c>
      <c r="Z199" s="1" t="n">
        <f aca="false">IF($X$2="TODOS",V199,IF(S199&lt;&gt;"",SUMIFS(COMPRAS!$O$3:$O$4997,COMPRAS!$G$3:$G$4997,S199,COMPRAS!$D$3:$D$4997,$X$2,COMPRAS!$B$3:$B$4997,"&gt;="&amp;IF($C$4="",DATE(1900,1,1),$C$4),COMPRAS!$B$3:$B$4997,"&lt;="&amp;IF($F$4="",DATE(2999,12,31),$F$4)),0))</f>
        <v>0</v>
      </c>
    </row>
    <row r="200" customFormat="false" ht="15" hidden="false" customHeight="true" outlineLevel="0" collapsed="false">
      <c r="N200" s="1" t="n">
        <f aca="false">PROVEEDORES!A201</f>
        <v>0</v>
      </c>
      <c r="O200" s="1" t="n">
        <f aca="false">PROVEEDORES!B201</f>
        <v>0</v>
      </c>
      <c r="P200" s="1" t="n">
        <f aca="false">IF(N200&lt;&gt;"",SUMIFS(COMPRAS!$J$3:$J$4997,COMPRAS!$D$3:$D$4997,N200,COMPRAS!$B$3:$B$4997,"&gt;="&amp;IF($C$4="",DATE(1900,1,1),$C$4),COMPRAS!$B$3:$B$4997,"&lt;="&amp;IF($F$4="",DATE(2999,12,31),$F$4)),0)</f>
        <v>0</v>
      </c>
      <c r="Q200" s="1" t="n">
        <f aca="false">IF(N200&lt;&gt;"",SUMIFS(COMPRAS!$O$3:$O$4997,COMPRAS!$D$3:$D$4997,N200,COMPRAS!$B$3:$B$4997,"&gt;="&amp;IF($C$4="",DATE(1900,1,1),$C$4),COMPRAS!$B$3:$B$4997,"&lt;="&amp;IF($F$4="",DATE(2999,12,31),$F$4)),0)</f>
        <v>0</v>
      </c>
      <c r="S200" s="1" t="n">
        <f aca="false">PRODUCTOS!A201</f>
        <v>0</v>
      </c>
      <c r="T200" s="1" t="n">
        <f aca="false">PRODUCTOS!B201</f>
        <v>0</v>
      </c>
      <c r="U200" s="1" t="n">
        <f aca="false">IF(S200&lt;&gt;"",SUMIFS(COMPRAS!$J$3:$J$4997,COMPRAS!$G$3:$G$4997,S200,COMPRAS!$B$3:$B$4997,"&gt;="&amp;IF($C$4="",DATE(1900,1,1),$C$4),COMPRAS!$B$3:$B$4997,"&lt;="&amp;IF($F$4="",DATE(2999,12,31),$F$4)),0)</f>
        <v>0</v>
      </c>
      <c r="V200" s="1" t="n">
        <f aca="false">IF(S200&lt;&gt;"",SUMIFS(COMPRAS!$O$3:$O$4997,COMPRAS!$G$3:$G$4997,S200,COMPRAS!$B$3:$B$4997,"&gt;="&amp;IF($C$4="",DATE(1900,1,1),$C$4),COMPRAS!$B$3:$B$4997,"&lt;="&amp;IF($F$4="",DATE(2999,12,31),$F$4)),0)</f>
        <v>0</v>
      </c>
      <c r="Y200" s="1" t="n">
        <f aca="false">IF($X$2="TODOS",U200,IF(S200&lt;&gt;"",SUMIFS(COMPRAS!$J$3:$J$4997,COMPRAS!$G$3:$G$4997,S200,COMPRAS!$D$3:$D$4997,$X$2,COMPRAS!$B$3:$B$4997,"&gt;="&amp;IF($C$4="",DATE(1900,1,1),$C$4),COMPRAS!$B$3:$B$4997,"&lt;="&amp;IF($F$4="",DATE(2999,12,31),$F$4)),0))</f>
        <v>0</v>
      </c>
      <c r="Z200" s="1" t="n">
        <f aca="false">IF($X$2="TODOS",V200,IF(S200&lt;&gt;"",SUMIFS(COMPRAS!$O$3:$O$4997,COMPRAS!$G$3:$G$4997,S200,COMPRAS!$D$3:$D$4997,$X$2,COMPRAS!$B$3:$B$4997,"&gt;="&amp;IF($C$4="",DATE(1900,1,1),$C$4),COMPRAS!$B$3:$B$4997,"&lt;="&amp;IF($F$4="",DATE(2999,12,31),$F$4)),0))</f>
        <v>0</v>
      </c>
    </row>
    <row r="201" customFormat="false" ht="15" hidden="false" customHeight="true" outlineLevel="0" collapsed="false">
      <c r="N201" s="1" t="n">
        <f aca="false">PROVEEDORES!A202</f>
        <v>0</v>
      </c>
      <c r="O201" s="1" t="n">
        <f aca="false">PROVEEDORES!B202</f>
        <v>0</v>
      </c>
      <c r="P201" s="1" t="n">
        <f aca="false">IF(N201&lt;&gt;"",SUMIFS(COMPRAS!$J$3:$J$4997,COMPRAS!$D$3:$D$4997,N201,COMPRAS!$B$3:$B$4997,"&gt;="&amp;IF($C$4="",DATE(1900,1,1),$C$4),COMPRAS!$B$3:$B$4997,"&lt;="&amp;IF($F$4="",DATE(2999,12,31),$F$4)),0)</f>
        <v>0</v>
      </c>
      <c r="Q201" s="1" t="n">
        <f aca="false">IF(N201&lt;&gt;"",SUMIFS(COMPRAS!$O$3:$O$4997,COMPRAS!$D$3:$D$4997,N201,COMPRAS!$B$3:$B$4997,"&gt;="&amp;IF($C$4="",DATE(1900,1,1),$C$4),COMPRAS!$B$3:$B$4997,"&lt;="&amp;IF($F$4="",DATE(2999,12,31),$F$4)),0)</f>
        <v>0</v>
      </c>
      <c r="S201" s="1" t="n">
        <f aca="false">PRODUCTOS!A202</f>
        <v>0</v>
      </c>
      <c r="T201" s="1" t="n">
        <f aca="false">PRODUCTOS!B202</f>
        <v>0</v>
      </c>
      <c r="U201" s="1" t="n">
        <f aca="false">IF(S201&lt;&gt;"",SUMIFS(COMPRAS!$J$3:$J$4997,COMPRAS!$G$3:$G$4997,S201,COMPRAS!$B$3:$B$4997,"&gt;="&amp;IF($C$4="",DATE(1900,1,1),$C$4),COMPRAS!$B$3:$B$4997,"&lt;="&amp;IF($F$4="",DATE(2999,12,31),$F$4)),0)</f>
        <v>0</v>
      </c>
      <c r="V201" s="1" t="n">
        <f aca="false">IF(S201&lt;&gt;"",SUMIFS(COMPRAS!$O$3:$O$4997,COMPRAS!$G$3:$G$4997,S201,COMPRAS!$B$3:$B$4997,"&gt;="&amp;IF($C$4="",DATE(1900,1,1),$C$4),COMPRAS!$B$3:$B$4997,"&lt;="&amp;IF($F$4="",DATE(2999,12,31),$F$4)),0)</f>
        <v>0</v>
      </c>
      <c r="Y201" s="1" t="n">
        <f aca="false">IF($X$2="TODOS",U201,IF(S201&lt;&gt;"",SUMIFS(COMPRAS!$J$3:$J$4997,COMPRAS!$G$3:$G$4997,S201,COMPRAS!$D$3:$D$4997,$X$2,COMPRAS!$B$3:$B$4997,"&gt;="&amp;IF($C$4="",DATE(1900,1,1),$C$4),COMPRAS!$B$3:$B$4997,"&lt;="&amp;IF($F$4="",DATE(2999,12,31),$F$4)),0))</f>
        <v>0</v>
      </c>
      <c r="Z201" s="1" t="n">
        <f aca="false">IF($X$2="TODOS",V201,IF(S201&lt;&gt;"",SUMIFS(COMPRAS!$O$3:$O$4997,COMPRAS!$G$3:$G$4997,S201,COMPRAS!$D$3:$D$4997,$X$2,COMPRAS!$B$3:$B$4997,"&gt;="&amp;IF($C$4="",DATE(1900,1,1),$C$4),COMPRAS!$B$3:$B$4997,"&lt;="&amp;IF($F$4="",DATE(2999,12,31),$F$4)),0))</f>
        <v>0</v>
      </c>
    </row>
    <row r="202" customFormat="false" ht="15" hidden="false" customHeight="true" outlineLevel="0" collapsed="false">
      <c r="N202" s="1" t="n">
        <f aca="false">PROVEEDORES!A203</f>
        <v>0</v>
      </c>
      <c r="O202" s="1" t="n">
        <f aca="false">PROVEEDORES!B203</f>
        <v>0</v>
      </c>
      <c r="P202" s="1" t="n">
        <f aca="false">IF(N202&lt;&gt;"",SUMIFS(COMPRAS!$J$3:$J$4997,COMPRAS!$D$3:$D$4997,N202,COMPRAS!$B$3:$B$4997,"&gt;="&amp;IF($C$4="",DATE(1900,1,1),$C$4),COMPRAS!$B$3:$B$4997,"&lt;="&amp;IF($F$4="",DATE(2999,12,31),$F$4)),0)</f>
        <v>0</v>
      </c>
      <c r="Q202" s="1" t="n">
        <f aca="false">IF(N202&lt;&gt;"",SUMIFS(COMPRAS!$O$3:$O$4997,COMPRAS!$D$3:$D$4997,N202,COMPRAS!$B$3:$B$4997,"&gt;="&amp;IF($C$4="",DATE(1900,1,1),$C$4),COMPRAS!$B$3:$B$4997,"&lt;="&amp;IF($F$4="",DATE(2999,12,31),$F$4)),0)</f>
        <v>0</v>
      </c>
      <c r="S202" s="1" t="n">
        <f aca="false">PRODUCTOS!A203</f>
        <v>0</v>
      </c>
      <c r="T202" s="1" t="n">
        <f aca="false">PRODUCTOS!B203</f>
        <v>0</v>
      </c>
      <c r="U202" s="1" t="n">
        <f aca="false">IF(S202&lt;&gt;"",SUMIFS(COMPRAS!$J$3:$J$4997,COMPRAS!$G$3:$G$4997,S202,COMPRAS!$B$3:$B$4997,"&gt;="&amp;IF($C$4="",DATE(1900,1,1),$C$4),COMPRAS!$B$3:$B$4997,"&lt;="&amp;IF($F$4="",DATE(2999,12,31),$F$4)),0)</f>
        <v>0</v>
      </c>
      <c r="V202" s="1" t="n">
        <f aca="false">IF(S202&lt;&gt;"",SUMIFS(COMPRAS!$O$3:$O$4997,COMPRAS!$G$3:$G$4997,S202,COMPRAS!$B$3:$B$4997,"&gt;="&amp;IF($C$4="",DATE(1900,1,1),$C$4),COMPRAS!$B$3:$B$4997,"&lt;="&amp;IF($F$4="",DATE(2999,12,31),$F$4)),0)</f>
        <v>0</v>
      </c>
      <c r="Y202" s="1" t="n">
        <f aca="false">IF($X$2="TODOS",U202,IF(S202&lt;&gt;"",SUMIFS(COMPRAS!$J$3:$J$4997,COMPRAS!$G$3:$G$4997,S202,COMPRAS!$D$3:$D$4997,$X$2,COMPRAS!$B$3:$B$4997,"&gt;="&amp;IF($C$4="",DATE(1900,1,1),$C$4),COMPRAS!$B$3:$B$4997,"&lt;="&amp;IF($F$4="",DATE(2999,12,31),$F$4)),0))</f>
        <v>0</v>
      </c>
      <c r="Z202" s="1" t="n">
        <f aca="false">IF($X$2="TODOS",V202,IF(S202&lt;&gt;"",SUMIFS(COMPRAS!$O$3:$O$4997,COMPRAS!$G$3:$G$4997,S202,COMPRAS!$D$3:$D$4997,$X$2,COMPRAS!$B$3:$B$4997,"&gt;="&amp;IF($C$4="",DATE(1900,1,1),$C$4),COMPRAS!$B$3:$B$4997,"&lt;="&amp;IF($F$4="",DATE(2999,12,31),$F$4)),0))</f>
        <v>0</v>
      </c>
    </row>
    <row r="203" customFormat="false" ht="15" hidden="false" customHeight="true" outlineLevel="0" collapsed="false">
      <c r="N203" s="1" t="n">
        <f aca="false">PROVEEDORES!A204</f>
        <v>0</v>
      </c>
      <c r="O203" s="1" t="n">
        <f aca="false">PROVEEDORES!B204</f>
        <v>0</v>
      </c>
      <c r="P203" s="1" t="n">
        <f aca="false">IF(N203&lt;&gt;"",SUMIFS(COMPRAS!$J$3:$J$4997,COMPRAS!$D$3:$D$4997,N203,COMPRAS!$B$3:$B$4997,"&gt;="&amp;IF($C$4="",DATE(1900,1,1),$C$4),COMPRAS!$B$3:$B$4997,"&lt;="&amp;IF($F$4="",DATE(2999,12,31),$F$4)),0)</f>
        <v>0</v>
      </c>
      <c r="Q203" s="1" t="n">
        <f aca="false">IF(N203&lt;&gt;"",SUMIFS(COMPRAS!$O$3:$O$4997,COMPRAS!$D$3:$D$4997,N203,COMPRAS!$B$3:$B$4997,"&gt;="&amp;IF($C$4="",DATE(1900,1,1),$C$4),COMPRAS!$B$3:$B$4997,"&lt;="&amp;IF($F$4="",DATE(2999,12,31),$F$4)),0)</f>
        <v>0</v>
      </c>
      <c r="S203" s="1" t="n">
        <f aca="false">PRODUCTOS!A204</f>
        <v>0</v>
      </c>
      <c r="T203" s="1" t="n">
        <f aca="false">PRODUCTOS!B204</f>
        <v>0</v>
      </c>
      <c r="U203" s="1" t="n">
        <f aca="false">IF(S203&lt;&gt;"",SUMIFS(COMPRAS!$J$3:$J$4997,COMPRAS!$G$3:$G$4997,S203,COMPRAS!$B$3:$B$4997,"&gt;="&amp;IF($C$4="",DATE(1900,1,1),$C$4),COMPRAS!$B$3:$B$4997,"&lt;="&amp;IF($F$4="",DATE(2999,12,31),$F$4)),0)</f>
        <v>0</v>
      </c>
      <c r="V203" s="1" t="n">
        <f aca="false">IF(S203&lt;&gt;"",SUMIFS(COMPRAS!$O$3:$O$4997,COMPRAS!$G$3:$G$4997,S203,COMPRAS!$B$3:$B$4997,"&gt;="&amp;IF($C$4="",DATE(1900,1,1),$C$4),COMPRAS!$B$3:$B$4997,"&lt;="&amp;IF($F$4="",DATE(2999,12,31),$F$4)),0)</f>
        <v>0</v>
      </c>
      <c r="Y203" s="1" t="n">
        <f aca="false">IF($X$2="TODOS",U203,IF(S203&lt;&gt;"",SUMIFS(COMPRAS!$J$3:$J$4997,COMPRAS!$G$3:$G$4997,S203,COMPRAS!$D$3:$D$4997,$X$2,COMPRAS!$B$3:$B$4997,"&gt;="&amp;IF($C$4="",DATE(1900,1,1),$C$4),COMPRAS!$B$3:$B$4997,"&lt;="&amp;IF($F$4="",DATE(2999,12,31),$F$4)),0))</f>
        <v>0</v>
      </c>
      <c r="Z203" s="1" t="n">
        <f aca="false">IF($X$2="TODOS",V203,IF(S203&lt;&gt;"",SUMIFS(COMPRAS!$O$3:$O$4997,COMPRAS!$G$3:$G$4997,S203,COMPRAS!$D$3:$D$4997,$X$2,COMPRAS!$B$3:$B$4997,"&gt;="&amp;IF($C$4="",DATE(1900,1,1),$C$4),COMPRAS!$B$3:$B$4997,"&lt;="&amp;IF($F$4="",DATE(2999,12,31),$F$4)),0))</f>
        <v>0</v>
      </c>
    </row>
    <row r="204" customFormat="false" ht="15" hidden="false" customHeight="true" outlineLevel="0" collapsed="false">
      <c r="N204" s="1" t="n">
        <f aca="false">PROVEEDORES!A205</f>
        <v>0</v>
      </c>
      <c r="O204" s="1" t="n">
        <f aca="false">PROVEEDORES!B205</f>
        <v>0</v>
      </c>
      <c r="P204" s="1" t="n">
        <f aca="false">IF(N204&lt;&gt;"",SUMIFS(COMPRAS!$J$3:$J$4997,COMPRAS!$D$3:$D$4997,N204,COMPRAS!$B$3:$B$4997,"&gt;="&amp;IF($C$4="",DATE(1900,1,1),$C$4),COMPRAS!$B$3:$B$4997,"&lt;="&amp;IF($F$4="",DATE(2999,12,31),$F$4)),0)</f>
        <v>0</v>
      </c>
      <c r="Q204" s="1" t="n">
        <f aca="false">IF(N204&lt;&gt;"",SUMIFS(COMPRAS!$O$3:$O$4997,COMPRAS!$D$3:$D$4997,N204,COMPRAS!$B$3:$B$4997,"&gt;="&amp;IF($C$4="",DATE(1900,1,1),$C$4),COMPRAS!$B$3:$B$4997,"&lt;="&amp;IF($F$4="",DATE(2999,12,31),$F$4)),0)</f>
        <v>0</v>
      </c>
      <c r="S204" s="1" t="n">
        <f aca="false">PRODUCTOS!A205</f>
        <v>0</v>
      </c>
      <c r="T204" s="1" t="n">
        <f aca="false">PRODUCTOS!B205</f>
        <v>0</v>
      </c>
      <c r="U204" s="1" t="n">
        <f aca="false">IF(S204&lt;&gt;"",SUMIFS(COMPRAS!$J$3:$J$4997,COMPRAS!$G$3:$G$4997,S204,COMPRAS!$B$3:$B$4997,"&gt;="&amp;IF($C$4="",DATE(1900,1,1),$C$4),COMPRAS!$B$3:$B$4997,"&lt;="&amp;IF($F$4="",DATE(2999,12,31),$F$4)),0)</f>
        <v>0</v>
      </c>
      <c r="V204" s="1" t="n">
        <f aca="false">IF(S204&lt;&gt;"",SUMIFS(COMPRAS!$O$3:$O$4997,COMPRAS!$G$3:$G$4997,S204,COMPRAS!$B$3:$B$4997,"&gt;="&amp;IF($C$4="",DATE(1900,1,1),$C$4),COMPRAS!$B$3:$B$4997,"&lt;="&amp;IF($F$4="",DATE(2999,12,31),$F$4)),0)</f>
        <v>0</v>
      </c>
      <c r="Y204" s="1" t="n">
        <f aca="false">IF($X$2="TODOS",U204,IF(S204&lt;&gt;"",SUMIFS(COMPRAS!$J$3:$J$4997,COMPRAS!$G$3:$G$4997,S204,COMPRAS!$D$3:$D$4997,$X$2,COMPRAS!$B$3:$B$4997,"&gt;="&amp;IF($C$4="",DATE(1900,1,1),$C$4),COMPRAS!$B$3:$B$4997,"&lt;="&amp;IF($F$4="",DATE(2999,12,31),$F$4)),0))</f>
        <v>0</v>
      </c>
      <c r="Z204" s="1" t="n">
        <f aca="false">IF($X$2="TODOS",V204,IF(S204&lt;&gt;"",SUMIFS(COMPRAS!$O$3:$O$4997,COMPRAS!$G$3:$G$4997,S204,COMPRAS!$D$3:$D$4997,$X$2,COMPRAS!$B$3:$B$4997,"&gt;="&amp;IF($C$4="",DATE(1900,1,1),$C$4),COMPRAS!$B$3:$B$4997,"&lt;="&amp;IF($F$4="",DATE(2999,12,31),$F$4)),0))</f>
        <v>0</v>
      </c>
    </row>
    <row r="205" customFormat="false" ht="15" hidden="false" customHeight="true" outlineLevel="0" collapsed="false">
      <c r="N205" s="1" t="n">
        <f aca="false">PROVEEDORES!A206</f>
        <v>0</v>
      </c>
      <c r="O205" s="1" t="n">
        <f aca="false">PROVEEDORES!B206</f>
        <v>0</v>
      </c>
      <c r="P205" s="1" t="n">
        <f aca="false">IF(N205&lt;&gt;"",SUMIFS(COMPRAS!$J$3:$J$4997,COMPRAS!$D$3:$D$4997,N205,COMPRAS!$B$3:$B$4997,"&gt;="&amp;IF($C$4="",DATE(1900,1,1),$C$4),COMPRAS!$B$3:$B$4997,"&lt;="&amp;IF($F$4="",DATE(2999,12,31),$F$4)),0)</f>
        <v>0</v>
      </c>
      <c r="Q205" s="1" t="n">
        <f aca="false">IF(N205&lt;&gt;"",SUMIFS(COMPRAS!$O$3:$O$4997,COMPRAS!$D$3:$D$4997,N205,COMPRAS!$B$3:$B$4997,"&gt;="&amp;IF($C$4="",DATE(1900,1,1),$C$4),COMPRAS!$B$3:$B$4997,"&lt;="&amp;IF($F$4="",DATE(2999,12,31),$F$4)),0)</f>
        <v>0</v>
      </c>
      <c r="S205" s="1" t="n">
        <f aca="false">PRODUCTOS!A206</f>
        <v>0</v>
      </c>
      <c r="T205" s="1" t="n">
        <f aca="false">PRODUCTOS!B206</f>
        <v>0</v>
      </c>
      <c r="U205" s="1" t="n">
        <f aca="false">IF(S205&lt;&gt;"",SUMIFS(COMPRAS!$J$3:$J$4997,COMPRAS!$G$3:$G$4997,S205,COMPRAS!$B$3:$B$4997,"&gt;="&amp;IF($C$4="",DATE(1900,1,1),$C$4),COMPRAS!$B$3:$B$4997,"&lt;="&amp;IF($F$4="",DATE(2999,12,31),$F$4)),0)</f>
        <v>0</v>
      </c>
      <c r="V205" s="1" t="n">
        <f aca="false">IF(S205&lt;&gt;"",SUMIFS(COMPRAS!$O$3:$O$4997,COMPRAS!$G$3:$G$4997,S205,COMPRAS!$B$3:$B$4997,"&gt;="&amp;IF($C$4="",DATE(1900,1,1),$C$4),COMPRAS!$B$3:$B$4997,"&lt;="&amp;IF($F$4="",DATE(2999,12,31),$F$4)),0)</f>
        <v>0</v>
      </c>
      <c r="Y205" s="1" t="n">
        <f aca="false">IF($X$2="TODOS",U205,IF(S205&lt;&gt;"",SUMIFS(COMPRAS!$J$3:$J$4997,COMPRAS!$G$3:$G$4997,S205,COMPRAS!$D$3:$D$4997,$X$2,COMPRAS!$B$3:$B$4997,"&gt;="&amp;IF($C$4="",DATE(1900,1,1),$C$4),COMPRAS!$B$3:$B$4997,"&lt;="&amp;IF($F$4="",DATE(2999,12,31),$F$4)),0))</f>
        <v>0</v>
      </c>
      <c r="Z205" s="1" t="n">
        <f aca="false">IF($X$2="TODOS",V205,IF(S205&lt;&gt;"",SUMIFS(COMPRAS!$O$3:$O$4997,COMPRAS!$G$3:$G$4997,S205,COMPRAS!$D$3:$D$4997,$X$2,COMPRAS!$B$3:$B$4997,"&gt;="&amp;IF($C$4="",DATE(1900,1,1),$C$4),COMPRAS!$B$3:$B$4997,"&lt;="&amp;IF($F$4="",DATE(2999,12,31),$F$4)),0))</f>
        <v>0</v>
      </c>
    </row>
    <row r="206" customFormat="false" ht="15" hidden="false" customHeight="true" outlineLevel="0" collapsed="false">
      <c r="N206" s="1" t="n">
        <f aca="false">PROVEEDORES!A207</f>
        <v>0</v>
      </c>
      <c r="O206" s="1" t="n">
        <f aca="false">PROVEEDORES!B207</f>
        <v>0</v>
      </c>
      <c r="P206" s="1" t="n">
        <f aca="false">IF(N206&lt;&gt;"",SUMIFS(COMPRAS!$J$3:$J$4997,COMPRAS!$D$3:$D$4997,N206,COMPRAS!$B$3:$B$4997,"&gt;="&amp;IF($C$4="",DATE(1900,1,1),$C$4),COMPRAS!$B$3:$B$4997,"&lt;="&amp;IF($F$4="",DATE(2999,12,31),$F$4)),0)</f>
        <v>0</v>
      </c>
      <c r="Q206" s="1" t="n">
        <f aca="false">IF(N206&lt;&gt;"",SUMIFS(COMPRAS!$O$3:$O$4997,COMPRAS!$D$3:$D$4997,N206,COMPRAS!$B$3:$B$4997,"&gt;="&amp;IF($C$4="",DATE(1900,1,1),$C$4),COMPRAS!$B$3:$B$4997,"&lt;="&amp;IF($F$4="",DATE(2999,12,31),$F$4)),0)</f>
        <v>0</v>
      </c>
      <c r="S206" s="1" t="n">
        <f aca="false">PRODUCTOS!A207</f>
        <v>0</v>
      </c>
      <c r="T206" s="1" t="n">
        <f aca="false">PRODUCTOS!B207</f>
        <v>0</v>
      </c>
      <c r="U206" s="1" t="n">
        <f aca="false">IF(S206&lt;&gt;"",SUMIFS(COMPRAS!$J$3:$J$4997,COMPRAS!$G$3:$G$4997,S206,COMPRAS!$B$3:$B$4997,"&gt;="&amp;IF($C$4="",DATE(1900,1,1),$C$4),COMPRAS!$B$3:$B$4997,"&lt;="&amp;IF($F$4="",DATE(2999,12,31),$F$4)),0)</f>
        <v>0</v>
      </c>
      <c r="V206" s="1" t="n">
        <f aca="false">IF(S206&lt;&gt;"",SUMIFS(COMPRAS!$O$3:$O$4997,COMPRAS!$G$3:$G$4997,S206,COMPRAS!$B$3:$B$4997,"&gt;="&amp;IF($C$4="",DATE(1900,1,1),$C$4),COMPRAS!$B$3:$B$4997,"&lt;="&amp;IF($F$4="",DATE(2999,12,31),$F$4)),0)</f>
        <v>0</v>
      </c>
      <c r="Y206" s="1" t="n">
        <f aca="false">IF($X$2="TODOS",U206,IF(S206&lt;&gt;"",SUMIFS(COMPRAS!$J$3:$J$4997,COMPRAS!$G$3:$G$4997,S206,COMPRAS!$D$3:$D$4997,$X$2,COMPRAS!$B$3:$B$4997,"&gt;="&amp;IF($C$4="",DATE(1900,1,1),$C$4),COMPRAS!$B$3:$B$4997,"&lt;="&amp;IF($F$4="",DATE(2999,12,31),$F$4)),0))</f>
        <v>0</v>
      </c>
      <c r="Z206" s="1" t="n">
        <f aca="false">IF($X$2="TODOS",V206,IF(S206&lt;&gt;"",SUMIFS(COMPRAS!$O$3:$O$4997,COMPRAS!$G$3:$G$4997,S206,COMPRAS!$D$3:$D$4997,$X$2,COMPRAS!$B$3:$B$4997,"&gt;="&amp;IF($C$4="",DATE(1900,1,1),$C$4),COMPRAS!$B$3:$B$4997,"&lt;="&amp;IF($F$4="",DATE(2999,12,31),$F$4)),0))</f>
        <v>0</v>
      </c>
    </row>
    <row r="207" customFormat="false" ht="15" hidden="false" customHeight="true" outlineLevel="0" collapsed="false">
      <c r="S207" s="1" t="n">
        <f aca="false">PRODUCTOS!A208</f>
        <v>0</v>
      </c>
      <c r="T207" s="1" t="n">
        <f aca="false">PRODUCTOS!B208</f>
        <v>0</v>
      </c>
      <c r="U207" s="1" t="n">
        <f aca="false">IF(S207&lt;&gt;"",SUMIFS(COMPRAS!$J$3:$J$4997,COMPRAS!$G$3:$G$4997,S207,COMPRAS!$B$3:$B$4997,"&gt;="&amp;IF($C$4="",DATE(1900,1,1),$C$4),COMPRAS!$B$3:$B$4997,"&lt;="&amp;IF($F$4="",DATE(2999,12,31),$F$4)),0)</f>
        <v>0</v>
      </c>
      <c r="V207" s="1" t="n">
        <f aca="false">IF(S207&lt;&gt;"",SUMIFS(COMPRAS!$O$3:$O$4997,COMPRAS!$G$3:$G$4997,S207,COMPRAS!$B$3:$B$4997,"&gt;="&amp;IF($C$4="",DATE(1900,1,1),$C$4),COMPRAS!$B$3:$B$4997,"&lt;="&amp;IF($F$4="",DATE(2999,12,31),$F$4)),0)</f>
        <v>0</v>
      </c>
      <c r="Y207" s="1" t="n">
        <f aca="false">IF($X$2="TODOS",U207,IF(S207&lt;&gt;"",SUMIFS(COMPRAS!$J$3:$J$4997,COMPRAS!$G$3:$G$4997,S207,COMPRAS!$D$3:$D$4997,$X$2,COMPRAS!$B$3:$B$4997,"&gt;="&amp;IF($C$4="",DATE(1900,1,1),$C$4),COMPRAS!$B$3:$B$4997,"&lt;="&amp;IF($F$4="",DATE(2999,12,31),$F$4)),0))</f>
        <v>0</v>
      </c>
      <c r="Z207" s="1" t="n">
        <f aca="false">IF($X$2="TODOS",V207,IF(S207&lt;&gt;"",SUMIFS(COMPRAS!$O$3:$O$4997,COMPRAS!$G$3:$G$4997,S207,COMPRAS!$D$3:$D$4997,$X$2,COMPRAS!$B$3:$B$4997,"&gt;="&amp;IF($C$4="",DATE(1900,1,1),$C$4),COMPRAS!$B$3:$B$4997,"&lt;="&amp;IF($F$4="",DATE(2999,12,31),$F$4)),0))</f>
        <v>0</v>
      </c>
    </row>
    <row r="208" customFormat="false" ht="15" hidden="false" customHeight="true" outlineLevel="0" collapsed="false">
      <c r="S208" s="1" t="n">
        <f aca="false">PRODUCTOS!A209</f>
        <v>0</v>
      </c>
      <c r="T208" s="1" t="n">
        <f aca="false">PRODUCTOS!B209</f>
        <v>0</v>
      </c>
      <c r="U208" s="1" t="n">
        <f aca="false">IF(S208&lt;&gt;"",SUMIFS(COMPRAS!$J$3:$J$4997,COMPRAS!$G$3:$G$4997,S208,COMPRAS!$B$3:$B$4997,"&gt;="&amp;IF($C$4="",DATE(1900,1,1),$C$4),COMPRAS!$B$3:$B$4997,"&lt;="&amp;IF($F$4="",DATE(2999,12,31),$F$4)),0)</f>
        <v>0</v>
      </c>
      <c r="V208" s="1" t="n">
        <f aca="false">IF(S208&lt;&gt;"",SUMIFS(COMPRAS!$O$3:$O$4997,COMPRAS!$G$3:$G$4997,S208,COMPRAS!$B$3:$B$4997,"&gt;="&amp;IF($C$4="",DATE(1900,1,1),$C$4),COMPRAS!$B$3:$B$4997,"&lt;="&amp;IF($F$4="",DATE(2999,12,31),$F$4)),0)</f>
        <v>0</v>
      </c>
      <c r="Y208" s="1" t="n">
        <f aca="false">IF($X$2="TODOS",U208,IF(S208&lt;&gt;"",SUMIFS(COMPRAS!$J$3:$J$4997,COMPRAS!$G$3:$G$4997,S208,COMPRAS!$D$3:$D$4997,$X$2,COMPRAS!$B$3:$B$4997,"&gt;="&amp;IF($C$4="",DATE(1900,1,1),$C$4),COMPRAS!$B$3:$B$4997,"&lt;="&amp;IF($F$4="",DATE(2999,12,31),$F$4)),0))</f>
        <v>0</v>
      </c>
      <c r="Z208" s="1" t="n">
        <f aca="false">IF($X$2="TODOS",V208,IF(S208&lt;&gt;"",SUMIFS(COMPRAS!$O$3:$O$4997,COMPRAS!$G$3:$G$4997,S208,COMPRAS!$D$3:$D$4997,$X$2,COMPRAS!$B$3:$B$4997,"&gt;="&amp;IF($C$4="",DATE(1900,1,1),$C$4),COMPRAS!$B$3:$B$4997,"&lt;="&amp;IF($F$4="",DATE(2999,12,31),$F$4)),0))</f>
        <v>0</v>
      </c>
    </row>
    <row r="209" customFormat="false" ht="15" hidden="false" customHeight="true" outlineLevel="0" collapsed="false">
      <c r="S209" s="1" t="n">
        <f aca="false">PRODUCTOS!A210</f>
        <v>0</v>
      </c>
      <c r="T209" s="1" t="n">
        <f aca="false">PRODUCTOS!B210</f>
        <v>0</v>
      </c>
      <c r="U209" s="1" t="n">
        <f aca="false">IF(S209&lt;&gt;"",SUMIFS(COMPRAS!$J$3:$J$4997,COMPRAS!$G$3:$G$4997,S209,COMPRAS!$B$3:$B$4997,"&gt;="&amp;IF($C$4="",DATE(1900,1,1),$C$4),COMPRAS!$B$3:$B$4997,"&lt;="&amp;IF($F$4="",DATE(2999,12,31),$F$4)),0)</f>
        <v>0</v>
      </c>
      <c r="V209" s="1" t="n">
        <f aca="false">IF(S209&lt;&gt;"",SUMIFS(COMPRAS!$O$3:$O$4997,COMPRAS!$G$3:$G$4997,S209,COMPRAS!$B$3:$B$4997,"&gt;="&amp;IF($C$4="",DATE(1900,1,1),$C$4),COMPRAS!$B$3:$B$4997,"&lt;="&amp;IF($F$4="",DATE(2999,12,31),$F$4)),0)</f>
        <v>0</v>
      </c>
      <c r="Y209" s="1" t="n">
        <f aca="false">IF($X$2="TODOS",U209,IF(S209&lt;&gt;"",SUMIFS(COMPRAS!$J$3:$J$4997,COMPRAS!$G$3:$G$4997,S209,COMPRAS!$D$3:$D$4997,$X$2,COMPRAS!$B$3:$B$4997,"&gt;="&amp;IF($C$4="",DATE(1900,1,1),$C$4),COMPRAS!$B$3:$B$4997,"&lt;="&amp;IF($F$4="",DATE(2999,12,31),$F$4)),0))</f>
        <v>0</v>
      </c>
      <c r="Z209" s="1" t="n">
        <f aca="false">IF($X$2="TODOS",V209,IF(S209&lt;&gt;"",SUMIFS(COMPRAS!$O$3:$O$4997,COMPRAS!$G$3:$G$4997,S209,COMPRAS!$D$3:$D$4997,$X$2,COMPRAS!$B$3:$B$4997,"&gt;="&amp;IF($C$4="",DATE(1900,1,1),$C$4),COMPRAS!$B$3:$B$4997,"&lt;="&amp;IF($F$4="",DATE(2999,12,31),$F$4)),0))</f>
        <v>0</v>
      </c>
    </row>
    <row r="210" customFormat="false" ht="15" hidden="false" customHeight="true" outlineLevel="0" collapsed="false">
      <c r="S210" s="1" t="n">
        <f aca="false">PRODUCTOS!A211</f>
        <v>0</v>
      </c>
      <c r="T210" s="1" t="n">
        <f aca="false">PRODUCTOS!B211</f>
        <v>0</v>
      </c>
      <c r="U210" s="1" t="n">
        <f aca="false">IF(S210&lt;&gt;"",SUMIFS(COMPRAS!$J$3:$J$4997,COMPRAS!$G$3:$G$4997,S210,COMPRAS!$B$3:$B$4997,"&gt;="&amp;IF($C$4="",DATE(1900,1,1),$C$4),COMPRAS!$B$3:$B$4997,"&lt;="&amp;IF($F$4="",DATE(2999,12,31),$F$4)),0)</f>
        <v>0</v>
      </c>
      <c r="V210" s="1" t="n">
        <f aca="false">IF(S210&lt;&gt;"",SUMIFS(COMPRAS!$O$3:$O$4997,COMPRAS!$G$3:$G$4997,S210,COMPRAS!$B$3:$B$4997,"&gt;="&amp;IF($C$4="",DATE(1900,1,1),$C$4),COMPRAS!$B$3:$B$4997,"&lt;="&amp;IF($F$4="",DATE(2999,12,31),$F$4)),0)</f>
        <v>0</v>
      </c>
      <c r="Y210" s="1" t="n">
        <f aca="false">IF($X$2="TODOS",U210,IF(S210&lt;&gt;"",SUMIFS(COMPRAS!$J$3:$J$4997,COMPRAS!$G$3:$G$4997,S210,COMPRAS!$D$3:$D$4997,$X$2,COMPRAS!$B$3:$B$4997,"&gt;="&amp;IF($C$4="",DATE(1900,1,1),$C$4),COMPRAS!$B$3:$B$4997,"&lt;="&amp;IF($F$4="",DATE(2999,12,31),$F$4)),0))</f>
        <v>0</v>
      </c>
      <c r="Z210" s="1" t="n">
        <f aca="false">IF($X$2="TODOS",V210,IF(S210&lt;&gt;"",SUMIFS(COMPRAS!$O$3:$O$4997,COMPRAS!$G$3:$G$4997,S210,COMPRAS!$D$3:$D$4997,$X$2,COMPRAS!$B$3:$B$4997,"&gt;="&amp;IF($C$4="",DATE(1900,1,1),$C$4),COMPRAS!$B$3:$B$4997,"&lt;="&amp;IF($F$4="",DATE(2999,12,31),$F$4)),0))</f>
        <v>0</v>
      </c>
    </row>
    <row r="211" customFormat="false" ht="15" hidden="false" customHeight="true" outlineLevel="0" collapsed="false">
      <c r="S211" s="1" t="n">
        <f aca="false">PRODUCTOS!A212</f>
        <v>0</v>
      </c>
      <c r="T211" s="1" t="n">
        <f aca="false">PRODUCTOS!B212</f>
        <v>0</v>
      </c>
      <c r="U211" s="1" t="n">
        <f aca="false">IF(S211&lt;&gt;"",SUMIFS(COMPRAS!$J$3:$J$4997,COMPRAS!$G$3:$G$4997,S211,COMPRAS!$B$3:$B$4997,"&gt;="&amp;IF($C$4="",DATE(1900,1,1),$C$4),COMPRAS!$B$3:$B$4997,"&lt;="&amp;IF($F$4="",DATE(2999,12,31),$F$4)),0)</f>
        <v>0</v>
      </c>
      <c r="V211" s="1" t="n">
        <f aca="false">IF(S211&lt;&gt;"",SUMIFS(COMPRAS!$O$3:$O$4997,COMPRAS!$G$3:$G$4997,S211,COMPRAS!$B$3:$B$4997,"&gt;="&amp;IF($C$4="",DATE(1900,1,1),$C$4),COMPRAS!$B$3:$B$4997,"&lt;="&amp;IF($F$4="",DATE(2999,12,31),$F$4)),0)</f>
        <v>0</v>
      </c>
      <c r="Y211" s="1" t="n">
        <f aca="false">IF($X$2="TODOS",U211,IF(S211&lt;&gt;"",SUMIFS(COMPRAS!$J$3:$J$4997,COMPRAS!$G$3:$G$4997,S211,COMPRAS!$D$3:$D$4997,$X$2,COMPRAS!$B$3:$B$4997,"&gt;="&amp;IF($C$4="",DATE(1900,1,1),$C$4),COMPRAS!$B$3:$B$4997,"&lt;="&amp;IF($F$4="",DATE(2999,12,31),$F$4)),0))</f>
        <v>0</v>
      </c>
      <c r="Z211" s="1" t="n">
        <f aca="false">IF($X$2="TODOS",V211,IF(S211&lt;&gt;"",SUMIFS(COMPRAS!$O$3:$O$4997,COMPRAS!$G$3:$G$4997,S211,COMPRAS!$D$3:$D$4997,$X$2,COMPRAS!$B$3:$B$4997,"&gt;="&amp;IF($C$4="",DATE(1900,1,1),$C$4),COMPRAS!$B$3:$B$4997,"&lt;="&amp;IF($F$4="",DATE(2999,12,31),$F$4)),0))</f>
        <v>0</v>
      </c>
    </row>
    <row r="212" customFormat="false" ht="15" hidden="false" customHeight="true" outlineLevel="0" collapsed="false">
      <c r="S212" s="1" t="n">
        <f aca="false">PRODUCTOS!A213</f>
        <v>0</v>
      </c>
      <c r="T212" s="1" t="n">
        <f aca="false">PRODUCTOS!B213</f>
        <v>0</v>
      </c>
      <c r="U212" s="1" t="n">
        <f aca="false">IF(S212&lt;&gt;"",SUMIFS(COMPRAS!$J$3:$J$4997,COMPRAS!$G$3:$G$4997,S212,COMPRAS!$B$3:$B$4997,"&gt;="&amp;IF($C$4="",DATE(1900,1,1),$C$4),COMPRAS!$B$3:$B$4997,"&lt;="&amp;IF($F$4="",DATE(2999,12,31),$F$4)),0)</f>
        <v>0</v>
      </c>
      <c r="V212" s="1" t="n">
        <f aca="false">IF(S212&lt;&gt;"",SUMIFS(COMPRAS!$O$3:$O$4997,COMPRAS!$G$3:$G$4997,S212,COMPRAS!$B$3:$B$4997,"&gt;="&amp;IF($C$4="",DATE(1900,1,1),$C$4),COMPRAS!$B$3:$B$4997,"&lt;="&amp;IF($F$4="",DATE(2999,12,31),$F$4)),0)</f>
        <v>0</v>
      </c>
      <c r="Y212" s="1" t="n">
        <f aca="false">IF($X$2="TODOS",U212,IF(S212&lt;&gt;"",SUMIFS(COMPRAS!$J$3:$J$4997,COMPRAS!$G$3:$G$4997,S212,COMPRAS!$D$3:$D$4997,$X$2,COMPRAS!$B$3:$B$4997,"&gt;="&amp;IF($C$4="",DATE(1900,1,1),$C$4),COMPRAS!$B$3:$B$4997,"&lt;="&amp;IF($F$4="",DATE(2999,12,31),$F$4)),0))</f>
        <v>0</v>
      </c>
      <c r="Z212" s="1" t="n">
        <f aca="false">IF($X$2="TODOS",V212,IF(S212&lt;&gt;"",SUMIFS(COMPRAS!$O$3:$O$4997,COMPRAS!$G$3:$G$4997,S212,COMPRAS!$D$3:$D$4997,$X$2,COMPRAS!$B$3:$B$4997,"&gt;="&amp;IF($C$4="",DATE(1900,1,1),$C$4),COMPRAS!$B$3:$B$4997,"&lt;="&amp;IF($F$4="",DATE(2999,12,31),$F$4)),0))</f>
        <v>0</v>
      </c>
    </row>
    <row r="213" customFormat="false" ht="15" hidden="false" customHeight="true" outlineLevel="0" collapsed="false">
      <c r="S213" s="1" t="n">
        <f aca="false">PRODUCTOS!A214</f>
        <v>0</v>
      </c>
      <c r="T213" s="1" t="n">
        <f aca="false">PRODUCTOS!B214</f>
        <v>0</v>
      </c>
      <c r="U213" s="1" t="n">
        <f aca="false">IF(S213&lt;&gt;"",SUMIFS(COMPRAS!$J$3:$J$4997,COMPRAS!$G$3:$G$4997,S213,COMPRAS!$B$3:$B$4997,"&gt;="&amp;IF($C$4="",DATE(1900,1,1),$C$4),COMPRAS!$B$3:$B$4997,"&lt;="&amp;IF($F$4="",DATE(2999,12,31),$F$4)),0)</f>
        <v>0</v>
      </c>
      <c r="V213" s="1" t="n">
        <f aca="false">IF(S213&lt;&gt;"",SUMIFS(COMPRAS!$O$3:$O$4997,COMPRAS!$G$3:$G$4997,S213,COMPRAS!$B$3:$B$4997,"&gt;="&amp;IF($C$4="",DATE(1900,1,1),$C$4),COMPRAS!$B$3:$B$4997,"&lt;="&amp;IF($F$4="",DATE(2999,12,31),$F$4)),0)</f>
        <v>0</v>
      </c>
      <c r="Y213" s="1" t="n">
        <f aca="false">IF($X$2="TODOS",U213,IF(S213&lt;&gt;"",SUMIFS(COMPRAS!$J$3:$J$4997,COMPRAS!$G$3:$G$4997,S213,COMPRAS!$D$3:$D$4997,$X$2,COMPRAS!$B$3:$B$4997,"&gt;="&amp;IF($C$4="",DATE(1900,1,1),$C$4),COMPRAS!$B$3:$B$4997,"&lt;="&amp;IF($F$4="",DATE(2999,12,31),$F$4)),0))</f>
        <v>0</v>
      </c>
      <c r="Z213" s="1" t="n">
        <f aca="false">IF($X$2="TODOS",V213,IF(S213&lt;&gt;"",SUMIFS(COMPRAS!$O$3:$O$4997,COMPRAS!$G$3:$G$4997,S213,COMPRAS!$D$3:$D$4997,$X$2,COMPRAS!$B$3:$B$4997,"&gt;="&amp;IF($C$4="",DATE(1900,1,1),$C$4),COMPRAS!$B$3:$B$4997,"&lt;="&amp;IF($F$4="",DATE(2999,12,31),$F$4)),0))</f>
        <v>0</v>
      </c>
    </row>
    <row r="214" customFormat="false" ht="15" hidden="false" customHeight="true" outlineLevel="0" collapsed="false">
      <c r="S214" s="1" t="n">
        <f aca="false">PRODUCTOS!A215</f>
        <v>0</v>
      </c>
      <c r="T214" s="1" t="n">
        <f aca="false">PRODUCTOS!B215</f>
        <v>0</v>
      </c>
      <c r="U214" s="1" t="n">
        <f aca="false">IF(S214&lt;&gt;"",SUMIFS(COMPRAS!$J$3:$J$4997,COMPRAS!$G$3:$G$4997,S214,COMPRAS!$B$3:$B$4997,"&gt;="&amp;IF($C$4="",DATE(1900,1,1),$C$4),COMPRAS!$B$3:$B$4997,"&lt;="&amp;IF($F$4="",DATE(2999,12,31),$F$4)),0)</f>
        <v>0</v>
      </c>
      <c r="V214" s="1" t="n">
        <f aca="false">IF(S214&lt;&gt;"",SUMIFS(COMPRAS!$O$3:$O$4997,COMPRAS!$G$3:$G$4997,S214,COMPRAS!$B$3:$B$4997,"&gt;="&amp;IF($C$4="",DATE(1900,1,1),$C$4),COMPRAS!$B$3:$B$4997,"&lt;="&amp;IF($F$4="",DATE(2999,12,31),$F$4)),0)</f>
        <v>0</v>
      </c>
      <c r="Y214" s="1" t="n">
        <f aca="false">IF($X$2="TODOS",U214,IF(S214&lt;&gt;"",SUMIFS(COMPRAS!$J$3:$J$4997,COMPRAS!$G$3:$G$4997,S214,COMPRAS!$D$3:$D$4997,$X$2,COMPRAS!$B$3:$B$4997,"&gt;="&amp;IF($C$4="",DATE(1900,1,1),$C$4),COMPRAS!$B$3:$B$4997,"&lt;="&amp;IF($F$4="",DATE(2999,12,31),$F$4)),0))</f>
        <v>0</v>
      </c>
      <c r="Z214" s="1" t="n">
        <f aca="false">IF($X$2="TODOS",V214,IF(S214&lt;&gt;"",SUMIFS(COMPRAS!$O$3:$O$4997,COMPRAS!$G$3:$G$4997,S214,COMPRAS!$D$3:$D$4997,$X$2,COMPRAS!$B$3:$B$4997,"&gt;="&amp;IF($C$4="",DATE(1900,1,1),$C$4),COMPRAS!$B$3:$B$4997,"&lt;="&amp;IF($F$4="",DATE(2999,12,31),$F$4)),0))</f>
        <v>0</v>
      </c>
    </row>
    <row r="215" customFormat="false" ht="15" hidden="false" customHeight="true" outlineLevel="0" collapsed="false">
      <c r="S215" s="1" t="n">
        <f aca="false">PRODUCTOS!A216</f>
        <v>0</v>
      </c>
      <c r="T215" s="1" t="n">
        <f aca="false">PRODUCTOS!B216</f>
        <v>0</v>
      </c>
      <c r="U215" s="1" t="n">
        <f aca="false">IF(S215&lt;&gt;"",SUMIFS(COMPRAS!$J$3:$J$4997,COMPRAS!$G$3:$G$4997,S215,COMPRAS!$B$3:$B$4997,"&gt;="&amp;IF($C$4="",DATE(1900,1,1),$C$4),COMPRAS!$B$3:$B$4997,"&lt;="&amp;IF($F$4="",DATE(2999,12,31),$F$4)),0)</f>
        <v>0</v>
      </c>
      <c r="V215" s="1" t="n">
        <f aca="false">IF(S215&lt;&gt;"",SUMIFS(COMPRAS!$O$3:$O$4997,COMPRAS!$G$3:$G$4997,S215,COMPRAS!$B$3:$B$4997,"&gt;="&amp;IF($C$4="",DATE(1900,1,1),$C$4),COMPRAS!$B$3:$B$4997,"&lt;="&amp;IF($F$4="",DATE(2999,12,31),$F$4)),0)</f>
        <v>0</v>
      </c>
      <c r="Y215" s="1" t="n">
        <f aca="false">IF($X$2="TODOS",U215,IF(S215&lt;&gt;"",SUMIFS(COMPRAS!$J$3:$J$4997,COMPRAS!$G$3:$G$4997,S215,COMPRAS!$D$3:$D$4997,$X$2,COMPRAS!$B$3:$B$4997,"&gt;="&amp;IF($C$4="",DATE(1900,1,1),$C$4),COMPRAS!$B$3:$B$4997,"&lt;="&amp;IF($F$4="",DATE(2999,12,31),$F$4)),0))</f>
        <v>0</v>
      </c>
      <c r="Z215" s="1" t="n">
        <f aca="false">IF($X$2="TODOS",V215,IF(S215&lt;&gt;"",SUMIFS(COMPRAS!$O$3:$O$4997,COMPRAS!$G$3:$G$4997,S215,COMPRAS!$D$3:$D$4997,$X$2,COMPRAS!$B$3:$B$4997,"&gt;="&amp;IF($C$4="",DATE(1900,1,1),$C$4),COMPRAS!$B$3:$B$4997,"&lt;="&amp;IF($F$4="",DATE(2999,12,31),$F$4)),0))</f>
        <v>0</v>
      </c>
    </row>
    <row r="216" customFormat="false" ht="15" hidden="false" customHeight="true" outlineLevel="0" collapsed="false">
      <c r="S216" s="1" t="n">
        <f aca="false">PRODUCTOS!A217</f>
        <v>0</v>
      </c>
      <c r="T216" s="1" t="n">
        <f aca="false">PRODUCTOS!B217</f>
        <v>0</v>
      </c>
      <c r="U216" s="1" t="n">
        <f aca="false">IF(S216&lt;&gt;"",SUMIFS(COMPRAS!$J$3:$J$4997,COMPRAS!$G$3:$G$4997,S216,COMPRAS!$B$3:$B$4997,"&gt;="&amp;IF($C$4="",DATE(1900,1,1),$C$4),COMPRAS!$B$3:$B$4997,"&lt;="&amp;IF($F$4="",DATE(2999,12,31),$F$4)),0)</f>
        <v>0</v>
      </c>
      <c r="V216" s="1" t="n">
        <f aca="false">IF(S216&lt;&gt;"",SUMIFS(COMPRAS!$O$3:$O$4997,COMPRAS!$G$3:$G$4997,S216,COMPRAS!$B$3:$B$4997,"&gt;="&amp;IF($C$4="",DATE(1900,1,1),$C$4),COMPRAS!$B$3:$B$4997,"&lt;="&amp;IF($F$4="",DATE(2999,12,31),$F$4)),0)</f>
        <v>0</v>
      </c>
      <c r="Y216" s="1" t="n">
        <f aca="false">IF($X$2="TODOS",U216,IF(S216&lt;&gt;"",SUMIFS(COMPRAS!$J$3:$J$4997,COMPRAS!$G$3:$G$4997,S216,COMPRAS!$D$3:$D$4997,$X$2,COMPRAS!$B$3:$B$4997,"&gt;="&amp;IF($C$4="",DATE(1900,1,1),$C$4),COMPRAS!$B$3:$B$4997,"&lt;="&amp;IF($F$4="",DATE(2999,12,31),$F$4)),0))</f>
        <v>0</v>
      </c>
      <c r="Z216" s="1" t="n">
        <f aca="false">IF($X$2="TODOS",V216,IF(S216&lt;&gt;"",SUMIFS(COMPRAS!$O$3:$O$4997,COMPRAS!$G$3:$G$4997,S216,COMPRAS!$D$3:$D$4997,$X$2,COMPRAS!$B$3:$B$4997,"&gt;="&amp;IF($C$4="",DATE(1900,1,1),$C$4),COMPRAS!$B$3:$B$4997,"&lt;="&amp;IF($F$4="",DATE(2999,12,31),$F$4)),0))</f>
        <v>0</v>
      </c>
    </row>
    <row r="217" customFormat="false" ht="15" hidden="false" customHeight="true" outlineLevel="0" collapsed="false">
      <c r="S217" s="1" t="n">
        <f aca="false">PRODUCTOS!A218</f>
        <v>0</v>
      </c>
      <c r="T217" s="1" t="n">
        <f aca="false">PRODUCTOS!B218</f>
        <v>0</v>
      </c>
      <c r="U217" s="1" t="n">
        <f aca="false">IF(S217&lt;&gt;"",SUMIFS(COMPRAS!$J$3:$J$4997,COMPRAS!$G$3:$G$4997,S217,COMPRAS!$B$3:$B$4997,"&gt;="&amp;IF($C$4="",DATE(1900,1,1),$C$4),COMPRAS!$B$3:$B$4997,"&lt;="&amp;IF($F$4="",DATE(2999,12,31),$F$4)),0)</f>
        <v>0</v>
      </c>
      <c r="V217" s="1" t="n">
        <f aca="false">IF(S217&lt;&gt;"",SUMIFS(COMPRAS!$O$3:$O$4997,COMPRAS!$G$3:$G$4997,S217,COMPRAS!$B$3:$B$4997,"&gt;="&amp;IF($C$4="",DATE(1900,1,1),$C$4),COMPRAS!$B$3:$B$4997,"&lt;="&amp;IF($F$4="",DATE(2999,12,31),$F$4)),0)</f>
        <v>0</v>
      </c>
      <c r="Y217" s="1" t="n">
        <f aca="false">IF($X$2="TODOS",U217,IF(S217&lt;&gt;"",SUMIFS(COMPRAS!$J$3:$J$4997,COMPRAS!$G$3:$G$4997,S217,COMPRAS!$D$3:$D$4997,$X$2,COMPRAS!$B$3:$B$4997,"&gt;="&amp;IF($C$4="",DATE(1900,1,1),$C$4),COMPRAS!$B$3:$B$4997,"&lt;="&amp;IF($F$4="",DATE(2999,12,31),$F$4)),0))</f>
        <v>0</v>
      </c>
      <c r="Z217" s="1" t="n">
        <f aca="false">IF($X$2="TODOS",V217,IF(S217&lt;&gt;"",SUMIFS(COMPRAS!$O$3:$O$4997,COMPRAS!$G$3:$G$4997,S217,COMPRAS!$D$3:$D$4997,$X$2,COMPRAS!$B$3:$B$4997,"&gt;="&amp;IF($C$4="",DATE(1900,1,1),$C$4),COMPRAS!$B$3:$B$4997,"&lt;="&amp;IF($F$4="",DATE(2999,12,31),$F$4)),0))</f>
        <v>0</v>
      </c>
    </row>
    <row r="218" customFormat="false" ht="15" hidden="false" customHeight="true" outlineLevel="0" collapsed="false">
      <c r="S218" s="1" t="n">
        <f aca="false">PRODUCTOS!A219</f>
        <v>0</v>
      </c>
      <c r="T218" s="1" t="n">
        <f aca="false">PRODUCTOS!B219</f>
        <v>0</v>
      </c>
      <c r="U218" s="1" t="n">
        <f aca="false">IF(S218&lt;&gt;"",SUMIFS(COMPRAS!$J$3:$J$4997,COMPRAS!$G$3:$G$4997,S218,COMPRAS!$B$3:$B$4997,"&gt;="&amp;IF($C$4="",DATE(1900,1,1),$C$4),COMPRAS!$B$3:$B$4997,"&lt;="&amp;IF($F$4="",DATE(2999,12,31),$F$4)),0)</f>
        <v>0</v>
      </c>
      <c r="V218" s="1" t="n">
        <f aca="false">IF(S218&lt;&gt;"",SUMIFS(COMPRAS!$O$3:$O$4997,COMPRAS!$G$3:$G$4997,S218,COMPRAS!$B$3:$B$4997,"&gt;="&amp;IF($C$4="",DATE(1900,1,1),$C$4),COMPRAS!$B$3:$B$4997,"&lt;="&amp;IF($F$4="",DATE(2999,12,31),$F$4)),0)</f>
        <v>0</v>
      </c>
      <c r="Y218" s="1" t="n">
        <f aca="false">IF($X$2="TODOS",U218,IF(S218&lt;&gt;"",SUMIFS(COMPRAS!$J$3:$J$4997,COMPRAS!$G$3:$G$4997,S218,COMPRAS!$D$3:$D$4997,$X$2,COMPRAS!$B$3:$B$4997,"&gt;="&amp;IF($C$4="",DATE(1900,1,1),$C$4),COMPRAS!$B$3:$B$4997,"&lt;="&amp;IF($F$4="",DATE(2999,12,31),$F$4)),0))</f>
        <v>0</v>
      </c>
      <c r="Z218" s="1" t="n">
        <f aca="false">IF($X$2="TODOS",V218,IF(S218&lt;&gt;"",SUMIFS(COMPRAS!$O$3:$O$4997,COMPRAS!$G$3:$G$4997,S218,COMPRAS!$D$3:$D$4997,$X$2,COMPRAS!$B$3:$B$4997,"&gt;="&amp;IF($C$4="",DATE(1900,1,1),$C$4),COMPRAS!$B$3:$B$4997,"&lt;="&amp;IF($F$4="",DATE(2999,12,31),$F$4)),0))</f>
        <v>0</v>
      </c>
    </row>
    <row r="219" customFormat="false" ht="15" hidden="false" customHeight="true" outlineLevel="0" collapsed="false">
      <c r="S219" s="1" t="n">
        <f aca="false">PRODUCTOS!A220</f>
        <v>0</v>
      </c>
      <c r="T219" s="1" t="n">
        <f aca="false">PRODUCTOS!B220</f>
        <v>0</v>
      </c>
      <c r="U219" s="1" t="n">
        <f aca="false">IF(S219&lt;&gt;"",SUMIFS(COMPRAS!$J$3:$J$4997,COMPRAS!$G$3:$G$4997,S219,COMPRAS!$B$3:$B$4997,"&gt;="&amp;IF($C$4="",DATE(1900,1,1),$C$4),COMPRAS!$B$3:$B$4997,"&lt;="&amp;IF($F$4="",DATE(2999,12,31),$F$4)),0)</f>
        <v>0</v>
      </c>
      <c r="V219" s="1" t="n">
        <f aca="false">IF(S219&lt;&gt;"",SUMIFS(COMPRAS!$O$3:$O$4997,COMPRAS!$G$3:$G$4997,S219,COMPRAS!$B$3:$B$4997,"&gt;="&amp;IF($C$4="",DATE(1900,1,1),$C$4),COMPRAS!$B$3:$B$4997,"&lt;="&amp;IF($F$4="",DATE(2999,12,31),$F$4)),0)</f>
        <v>0</v>
      </c>
      <c r="Y219" s="1" t="n">
        <f aca="false">IF($X$2="TODOS",U219,IF(S219&lt;&gt;"",SUMIFS(COMPRAS!$J$3:$J$4997,COMPRAS!$G$3:$G$4997,S219,COMPRAS!$D$3:$D$4997,$X$2,COMPRAS!$B$3:$B$4997,"&gt;="&amp;IF($C$4="",DATE(1900,1,1),$C$4),COMPRAS!$B$3:$B$4997,"&lt;="&amp;IF($F$4="",DATE(2999,12,31),$F$4)),0))</f>
        <v>0</v>
      </c>
      <c r="Z219" s="1" t="n">
        <f aca="false">IF($X$2="TODOS",V219,IF(S219&lt;&gt;"",SUMIFS(COMPRAS!$O$3:$O$4997,COMPRAS!$G$3:$G$4997,S219,COMPRAS!$D$3:$D$4997,$X$2,COMPRAS!$B$3:$B$4997,"&gt;="&amp;IF($C$4="",DATE(1900,1,1),$C$4),COMPRAS!$B$3:$B$4997,"&lt;="&amp;IF($F$4="",DATE(2999,12,31),$F$4)),0))</f>
        <v>0</v>
      </c>
    </row>
    <row r="220" customFormat="false" ht="15" hidden="false" customHeight="true" outlineLevel="0" collapsed="false">
      <c r="S220" s="1" t="n">
        <f aca="false">PRODUCTOS!A221</f>
        <v>0</v>
      </c>
      <c r="T220" s="1" t="n">
        <f aca="false">PRODUCTOS!B221</f>
        <v>0</v>
      </c>
      <c r="U220" s="1" t="n">
        <f aca="false">IF(S220&lt;&gt;"",SUMIFS(COMPRAS!$J$3:$J$4997,COMPRAS!$G$3:$G$4997,S220,COMPRAS!$B$3:$B$4997,"&gt;="&amp;IF($C$4="",DATE(1900,1,1),$C$4),COMPRAS!$B$3:$B$4997,"&lt;="&amp;IF($F$4="",DATE(2999,12,31),$F$4)),0)</f>
        <v>0</v>
      </c>
      <c r="V220" s="1" t="n">
        <f aca="false">IF(S220&lt;&gt;"",SUMIFS(COMPRAS!$O$3:$O$4997,COMPRAS!$G$3:$G$4997,S220,COMPRAS!$B$3:$B$4997,"&gt;="&amp;IF($C$4="",DATE(1900,1,1),$C$4),COMPRAS!$B$3:$B$4997,"&lt;="&amp;IF($F$4="",DATE(2999,12,31),$F$4)),0)</f>
        <v>0</v>
      </c>
      <c r="Y220" s="1" t="n">
        <f aca="false">IF($X$2="TODOS",U220,IF(S220&lt;&gt;"",SUMIFS(COMPRAS!$J$3:$J$4997,COMPRAS!$G$3:$G$4997,S220,COMPRAS!$D$3:$D$4997,$X$2,COMPRAS!$B$3:$B$4997,"&gt;="&amp;IF($C$4="",DATE(1900,1,1),$C$4),COMPRAS!$B$3:$B$4997,"&lt;="&amp;IF($F$4="",DATE(2999,12,31),$F$4)),0))</f>
        <v>0</v>
      </c>
      <c r="Z220" s="1" t="n">
        <f aca="false">IF($X$2="TODOS",V220,IF(S220&lt;&gt;"",SUMIFS(COMPRAS!$O$3:$O$4997,COMPRAS!$G$3:$G$4997,S220,COMPRAS!$D$3:$D$4997,$X$2,COMPRAS!$B$3:$B$4997,"&gt;="&amp;IF($C$4="",DATE(1900,1,1),$C$4),COMPRAS!$B$3:$B$4997,"&lt;="&amp;IF($F$4="",DATE(2999,12,31),$F$4)),0))</f>
        <v>0</v>
      </c>
    </row>
    <row r="221" customFormat="false" ht="15" hidden="false" customHeight="true" outlineLevel="0" collapsed="false">
      <c r="S221" s="1" t="n">
        <f aca="false">PRODUCTOS!A222</f>
        <v>0</v>
      </c>
      <c r="T221" s="1" t="n">
        <f aca="false">PRODUCTOS!B222</f>
        <v>0</v>
      </c>
      <c r="U221" s="1" t="n">
        <f aca="false">IF(S221&lt;&gt;"",SUMIFS(COMPRAS!$J$3:$J$4997,COMPRAS!$G$3:$G$4997,S221,COMPRAS!$B$3:$B$4997,"&gt;="&amp;IF($C$4="",DATE(1900,1,1),$C$4),COMPRAS!$B$3:$B$4997,"&lt;="&amp;IF($F$4="",DATE(2999,12,31),$F$4)),0)</f>
        <v>0</v>
      </c>
      <c r="V221" s="1" t="n">
        <f aca="false">IF(S221&lt;&gt;"",SUMIFS(COMPRAS!$O$3:$O$4997,COMPRAS!$G$3:$G$4997,S221,COMPRAS!$B$3:$B$4997,"&gt;="&amp;IF($C$4="",DATE(1900,1,1),$C$4),COMPRAS!$B$3:$B$4997,"&lt;="&amp;IF($F$4="",DATE(2999,12,31),$F$4)),0)</f>
        <v>0</v>
      </c>
      <c r="Y221" s="1" t="n">
        <f aca="false">IF($X$2="TODOS",U221,IF(S221&lt;&gt;"",SUMIFS(COMPRAS!$J$3:$J$4997,COMPRAS!$G$3:$G$4997,S221,COMPRAS!$D$3:$D$4997,$X$2,COMPRAS!$B$3:$B$4997,"&gt;="&amp;IF($C$4="",DATE(1900,1,1),$C$4),COMPRAS!$B$3:$B$4997,"&lt;="&amp;IF($F$4="",DATE(2999,12,31),$F$4)),0))</f>
        <v>0</v>
      </c>
      <c r="Z221" s="1" t="n">
        <f aca="false">IF($X$2="TODOS",V221,IF(S221&lt;&gt;"",SUMIFS(COMPRAS!$O$3:$O$4997,COMPRAS!$G$3:$G$4997,S221,COMPRAS!$D$3:$D$4997,$X$2,COMPRAS!$B$3:$B$4997,"&gt;="&amp;IF($C$4="",DATE(1900,1,1),$C$4),COMPRAS!$B$3:$B$4997,"&lt;="&amp;IF($F$4="",DATE(2999,12,31),$F$4)),0))</f>
        <v>0</v>
      </c>
    </row>
    <row r="222" customFormat="false" ht="15" hidden="false" customHeight="true" outlineLevel="0" collapsed="false">
      <c r="S222" s="1" t="n">
        <f aca="false">PRODUCTOS!A223</f>
        <v>0</v>
      </c>
      <c r="T222" s="1" t="n">
        <f aca="false">PRODUCTOS!B223</f>
        <v>0</v>
      </c>
      <c r="U222" s="1" t="n">
        <f aca="false">IF(S222&lt;&gt;"",SUMIFS(COMPRAS!$J$3:$J$4997,COMPRAS!$G$3:$G$4997,S222,COMPRAS!$B$3:$B$4997,"&gt;="&amp;IF($C$4="",DATE(1900,1,1),$C$4),COMPRAS!$B$3:$B$4997,"&lt;="&amp;IF($F$4="",DATE(2999,12,31),$F$4)),0)</f>
        <v>0</v>
      </c>
      <c r="V222" s="1" t="n">
        <f aca="false">IF(S222&lt;&gt;"",SUMIFS(COMPRAS!$O$3:$O$4997,COMPRAS!$G$3:$G$4997,S222,COMPRAS!$B$3:$B$4997,"&gt;="&amp;IF($C$4="",DATE(1900,1,1),$C$4),COMPRAS!$B$3:$B$4997,"&lt;="&amp;IF($F$4="",DATE(2999,12,31),$F$4)),0)</f>
        <v>0</v>
      </c>
      <c r="Y222" s="1" t="n">
        <f aca="false">IF($X$2="TODOS",U222,IF(S222&lt;&gt;"",SUMIFS(COMPRAS!$J$3:$J$4997,COMPRAS!$G$3:$G$4997,S222,COMPRAS!$D$3:$D$4997,$X$2,COMPRAS!$B$3:$B$4997,"&gt;="&amp;IF($C$4="",DATE(1900,1,1),$C$4),COMPRAS!$B$3:$B$4997,"&lt;="&amp;IF($F$4="",DATE(2999,12,31),$F$4)),0))</f>
        <v>0</v>
      </c>
      <c r="Z222" s="1" t="n">
        <f aca="false">IF($X$2="TODOS",V222,IF(S222&lt;&gt;"",SUMIFS(COMPRAS!$O$3:$O$4997,COMPRAS!$G$3:$G$4997,S222,COMPRAS!$D$3:$D$4997,$X$2,COMPRAS!$B$3:$B$4997,"&gt;="&amp;IF($C$4="",DATE(1900,1,1),$C$4),COMPRAS!$B$3:$B$4997,"&lt;="&amp;IF($F$4="",DATE(2999,12,31),$F$4)),0))</f>
        <v>0</v>
      </c>
    </row>
    <row r="223" customFormat="false" ht="15" hidden="false" customHeight="true" outlineLevel="0" collapsed="false">
      <c r="S223" s="1" t="n">
        <f aca="false">PRODUCTOS!A224</f>
        <v>0</v>
      </c>
      <c r="T223" s="1" t="n">
        <f aca="false">PRODUCTOS!B224</f>
        <v>0</v>
      </c>
      <c r="U223" s="1" t="n">
        <f aca="false">IF(S223&lt;&gt;"",SUMIFS(COMPRAS!$J$3:$J$4997,COMPRAS!$G$3:$G$4997,S223,COMPRAS!$B$3:$B$4997,"&gt;="&amp;IF($C$4="",DATE(1900,1,1),$C$4),COMPRAS!$B$3:$B$4997,"&lt;="&amp;IF($F$4="",DATE(2999,12,31),$F$4)),0)</f>
        <v>0</v>
      </c>
      <c r="V223" s="1" t="n">
        <f aca="false">IF(S223&lt;&gt;"",SUMIFS(COMPRAS!$O$3:$O$4997,COMPRAS!$G$3:$G$4997,S223,COMPRAS!$B$3:$B$4997,"&gt;="&amp;IF($C$4="",DATE(1900,1,1),$C$4),COMPRAS!$B$3:$B$4997,"&lt;="&amp;IF($F$4="",DATE(2999,12,31),$F$4)),0)</f>
        <v>0</v>
      </c>
      <c r="Y223" s="1" t="n">
        <f aca="false">IF($X$2="TODOS",U223,IF(S223&lt;&gt;"",SUMIFS(COMPRAS!$J$3:$J$4997,COMPRAS!$G$3:$G$4997,S223,COMPRAS!$D$3:$D$4997,$X$2,COMPRAS!$B$3:$B$4997,"&gt;="&amp;IF($C$4="",DATE(1900,1,1),$C$4),COMPRAS!$B$3:$B$4997,"&lt;="&amp;IF($F$4="",DATE(2999,12,31),$F$4)),0))</f>
        <v>0</v>
      </c>
      <c r="Z223" s="1" t="n">
        <f aca="false">IF($X$2="TODOS",V223,IF(S223&lt;&gt;"",SUMIFS(COMPRAS!$O$3:$O$4997,COMPRAS!$G$3:$G$4997,S223,COMPRAS!$D$3:$D$4997,$X$2,COMPRAS!$B$3:$B$4997,"&gt;="&amp;IF($C$4="",DATE(1900,1,1),$C$4),COMPRAS!$B$3:$B$4997,"&lt;="&amp;IF($F$4="",DATE(2999,12,31),$F$4)),0))</f>
        <v>0</v>
      </c>
    </row>
    <row r="224" customFormat="false" ht="15" hidden="false" customHeight="true" outlineLevel="0" collapsed="false">
      <c r="S224" s="1" t="n">
        <f aca="false">PRODUCTOS!A225</f>
        <v>0</v>
      </c>
      <c r="T224" s="1" t="n">
        <f aca="false">PRODUCTOS!B225</f>
        <v>0</v>
      </c>
      <c r="U224" s="1" t="n">
        <f aca="false">IF(S224&lt;&gt;"",SUMIFS(COMPRAS!$J$3:$J$4997,COMPRAS!$G$3:$G$4997,S224,COMPRAS!$B$3:$B$4997,"&gt;="&amp;IF($C$4="",DATE(1900,1,1),$C$4),COMPRAS!$B$3:$B$4997,"&lt;="&amp;IF($F$4="",DATE(2999,12,31),$F$4)),0)</f>
        <v>0</v>
      </c>
      <c r="V224" s="1" t="n">
        <f aca="false">IF(S224&lt;&gt;"",SUMIFS(COMPRAS!$O$3:$O$4997,COMPRAS!$G$3:$G$4997,S224,COMPRAS!$B$3:$B$4997,"&gt;="&amp;IF($C$4="",DATE(1900,1,1),$C$4),COMPRAS!$B$3:$B$4997,"&lt;="&amp;IF($F$4="",DATE(2999,12,31),$F$4)),0)</f>
        <v>0</v>
      </c>
      <c r="Y224" s="1" t="n">
        <f aca="false">IF($X$2="TODOS",U224,IF(S224&lt;&gt;"",SUMIFS(COMPRAS!$J$3:$J$4997,COMPRAS!$G$3:$G$4997,S224,COMPRAS!$D$3:$D$4997,$X$2,COMPRAS!$B$3:$B$4997,"&gt;="&amp;IF($C$4="",DATE(1900,1,1),$C$4),COMPRAS!$B$3:$B$4997,"&lt;="&amp;IF($F$4="",DATE(2999,12,31),$F$4)),0))</f>
        <v>0</v>
      </c>
      <c r="Z224" s="1" t="n">
        <f aca="false">IF($X$2="TODOS",V224,IF(S224&lt;&gt;"",SUMIFS(COMPRAS!$O$3:$O$4997,COMPRAS!$G$3:$G$4997,S224,COMPRAS!$D$3:$D$4997,$X$2,COMPRAS!$B$3:$B$4997,"&gt;="&amp;IF($C$4="",DATE(1900,1,1),$C$4),COMPRAS!$B$3:$B$4997,"&lt;="&amp;IF($F$4="",DATE(2999,12,31),$F$4)),0))</f>
        <v>0</v>
      </c>
    </row>
    <row r="225" customFormat="false" ht="15" hidden="false" customHeight="true" outlineLevel="0" collapsed="false">
      <c r="S225" s="1" t="n">
        <f aca="false">PRODUCTOS!A226</f>
        <v>0</v>
      </c>
      <c r="T225" s="1" t="n">
        <f aca="false">PRODUCTOS!B226</f>
        <v>0</v>
      </c>
      <c r="U225" s="1" t="n">
        <f aca="false">IF(S225&lt;&gt;"",SUMIFS(COMPRAS!$J$3:$J$4997,COMPRAS!$G$3:$G$4997,S225,COMPRAS!$B$3:$B$4997,"&gt;="&amp;IF($C$4="",DATE(1900,1,1),$C$4),COMPRAS!$B$3:$B$4997,"&lt;="&amp;IF($F$4="",DATE(2999,12,31),$F$4)),0)</f>
        <v>0</v>
      </c>
      <c r="V225" s="1" t="n">
        <f aca="false">IF(S225&lt;&gt;"",SUMIFS(COMPRAS!$O$3:$O$4997,COMPRAS!$G$3:$G$4997,S225,COMPRAS!$B$3:$B$4997,"&gt;="&amp;IF($C$4="",DATE(1900,1,1),$C$4),COMPRAS!$B$3:$B$4997,"&lt;="&amp;IF($F$4="",DATE(2999,12,31),$F$4)),0)</f>
        <v>0</v>
      </c>
      <c r="Y225" s="1" t="n">
        <f aca="false">IF($X$2="TODOS",U225,IF(S225&lt;&gt;"",SUMIFS(COMPRAS!$J$3:$J$4997,COMPRAS!$G$3:$G$4997,S225,COMPRAS!$D$3:$D$4997,$X$2,COMPRAS!$B$3:$B$4997,"&gt;="&amp;IF($C$4="",DATE(1900,1,1),$C$4),COMPRAS!$B$3:$B$4997,"&lt;="&amp;IF($F$4="",DATE(2999,12,31),$F$4)),0))</f>
        <v>0</v>
      </c>
      <c r="Z225" s="1" t="n">
        <f aca="false">IF($X$2="TODOS",V225,IF(S225&lt;&gt;"",SUMIFS(COMPRAS!$O$3:$O$4997,COMPRAS!$G$3:$G$4997,S225,COMPRAS!$D$3:$D$4997,$X$2,COMPRAS!$B$3:$B$4997,"&gt;="&amp;IF($C$4="",DATE(1900,1,1),$C$4),COMPRAS!$B$3:$B$4997,"&lt;="&amp;IF($F$4="",DATE(2999,12,31),$F$4)),0))</f>
        <v>0</v>
      </c>
    </row>
    <row r="226" customFormat="false" ht="15" hidden="false" customHeight="true" outlineLevel="0" collapsed="false">
      <c r="S226" s="1" t="n">
        <f aca="false">PRODUCTOS!A227</f>
        <v>0</v>
      </c>
      <c r="T226" s="1" t="n">
        <f aca="false">PRODUCTOS!B227</f>
        <v>0</v>
      </c>
      <c r="U226" s="1" t="n">
        <f aca="false">IF(S226&lt;&gt;"",SUMIFS(COMPRAS!$J$3:$J$4997,COMPRAS!$G$3:$G$4997,S226,COMPRAS!$B$3:$B$4997,"&gt;="&amp;IF($C$4="",DATE(1900,1,1),$C$4),COMPRAS!$B$3:$B$4997,"&lt;="&amp;IF($F$4="",DATE(2999,12,31),$F$4)),0)</f>
        <v>0</v>
      </c>
      <c r="V226" s="1" t="n">
        <f aca="false">IF(S226&lt;&gt;"",SUMIFS(COMPRAS!$O$3:$O$4997,COMPRAS!$G$3:$G$4997,S226,COMPRAS!$B$3:$B$4997,"&gt;="&amp;IF($C$4="",DATE(1900,1,1),$C$4),COMPRAS!$B$3:$B$4997,"&lt;="&amp;IF($F$4="",DATE(2999,12,31),$F$4)),0)</f>
        <v>0</v>
      </c>
      <c r="Y226" s="1" t="n">
        <f aca="false">IF($X$2="TODOS",U226,IF(S226&lt;&gt;"",SUMIFS(COMPRAS!$J$3:$J$4997,COMPRAS!$G$3:$G$4997,S226,COMPRAS!$D$3:$D$4997,$X$2,COMPRAS!$B$3:$B$4997,"&gt;="&amp;IF($C$4="",DATE(1900,1,1),$C$4),COMPRAS!$B$3:$B$4997,"&lt;="&amp;IF($F$4="",DATE(2999,12,31),$F$4)),0))</f>
        <v>0</v>
      </c>
      <c r="Z226" s="1" t="n">
        <f aca="false">IF($X$2="TODOS",V226,IF(S226&lt;&gt;"",SUMIFS(COMPRAS!$O$3:$O$4997,COMPRAS!$G$3:$G$4997,S226,COMPRAS!$D$3:$D$4997,$X$2,COMPRAS!$B$3:$B$4997,"&gt;="&amp;IF($C$4="",DATE(1900,1,1),$C$4),COMPRAS!$B$3:$B$4997,"&lt;="&amp;IF($F$4="",DATE(2999,12,31),$F$4)),0))</f>
        <v>0</v>
      </c>
    </row>
    <row r="227" customFormat="false" ht="15" hidden="false" customHeight="true" outlineLevel="0" collapsed="false">
      <c r="S227" s="1" t="n">
        <f aca="false">PRODUCTOS!A228</f>
        <v>0</v>
      </c>
      <c r="T227" s="1" t="n">
        <f aca="false">PRODUCTOS!B228</f>
        <v>0</v>
      </c>
      <c r="U227" s="1" t="n">
        <f aca="false">IF(S227&lt;&gt;"",SUMIFS(COMPRAS!$J$3:$J$4997,COMPRAS!$G$3:$G$4997,S227,COMPRAS!$B$3:$B$4997,"&gt;="&amp;IF($C$4="",DATE(1900,1,1),$C$4),COMPRAS!$B$3:$B$4997,"&lt;="&amp;IF($F$4="",DATE(2999,12,31),$F$4)),0)</f>
        <v>0</v>
      </c>
      <c r="V227" s="1" t="n">
        <f aca="false">IF(S227&lt;&gt;"",SUMIFS(COMPRAS!$O$3:$O$4997,COMPRAS!$G$3:$G$4997,S227,COMPRAS!$B$3:$B$4997,"&gt;="&amp;IF($C$4="",DATE(1900,1,1),$C$4),COMPRAS!$B$3:$B$4997,"&lt;="&amp;IF($F$4="",DATE(2999,12,31),$F$4)),0)</f>
        <v>0</v>
      </c>
      <c r="Y227" s="1" t="n">
        <f aca="false">IF($X$2="TODOS",U227,IF(S227&lt;&gt;"",SUMIFS(COMPRAS!$J$3:$J$4997,COMPRAS!$G$3:$G$4997,S227,COMPRAS!$D$3:$D$4997,$X$2,COMPRAS!$B$3:$B$4997,"&gt;="&amp;IF($C$4="",DATE(1900,1,1),$C$4),COMPRAS!$B$3:$B$4997,"&lt;="&amp;IF($F$4="",DATE(2999,12,31),$F$4)),0))</f>
        <v>0</v>
      </c>
      <c r="Z227" s="1" t="n">
        <f aca="false">IF($X$2="TODOS",V227,IF(S227&lt;&gt;"",SUMIFS(COMPRAS!$O$3:$O$4997,COMPRAS!$G$3:$G$4997,S227,COMPRAS!$D$3:$D$4997,$X$2,COMPRAS!$B$3:$B$4997,"&gt;="&amp;IF($C$4="",DATE(1900,1,1),$C$4),COMPRAS!$B$3:$B$4997,"&lt;="&amp;IF($F$4="",DATE(2999,12,31),$F$4)),0))</f>
        <v>0</v>
      </c>
    </row>
    <row r="228" customFormat="false" ht="15" hidden="false" customHeight="true" outlineLevel="0" collapsed="false">
      <c r="S228" s="1" t="n">
        <f aca="false">PRODUCTOS!A229</f>
        <v>0</v>
      </c>
      <c r="T228" s="1" t="n">
        <f aca="false">PRODUCTOS!B229</f>
        <v>0</v>
      </c>
      <c r="U228" s="1" t="n">
        <f aca="false">IF(S228&lt;&gt;"",SUMIFS(COMPRAS!$J$3:$J$4997,COMPRAS!$G$3:$G$4997,S228,COMPRAS!$B$3:$B$4997,"&gt;="&amp;IF($C$4="",DATE(1900,1,1),$C$4),COMPRAS!$B$3:$B$4997,"&lt;="&amp;IF($F$4="",DATE(2999,12,31),$F$4)),0)</f>
        <v>0</v>
      </c>
      <c r="V228" s="1" t="n">
        <f aca="false">IF(S228&lt;&gt;"",SUMIFS(COMPRAS!$O$3:$O$4997,COMPRAS!$G$3:$G$4997,S228,COMPRAS!$B$3:$B$4997,"&gt;="&amp;IF($C$4="",DATE(1900,1,1),$C$4),COMPRAS!$B$3:$B$4997,"&lt;="&amp;IF($F$4="",DATE(2999,12,31),$F$4)),0)</f>
        <v>0</v>
      </c>
      <c r="Y228" s="1" t="n">
        <f aca="false">IF($X$2="TODOS",U228,IF(S228&lt;&gt;"",SUMIFS(COMPRAS!$J$3:$J$4997,COMPRAS!$G$3:$G$4997,S228,COMPRAS!$D$3:$D$4997,$X$2,COMPRAS!$B$3:$B$4997,"&gt;="&amp;IF($C$4="",DATE(1900,1,1),$C$4),COMPRAS!$B$3:$B$4997,"&lt;="&amp;IF($F$4="",DATE(2999,12,31),$F$4)),0))</f>
        <v>0</v>
      </c>
      <c r="Z228" s="1" t="n">
        <f aca="false">IF($X$2="TODOS",V228,IF(S228&lt;&gt;"",SUMIFS(COMPRAS!$O$3:$O$4997,COMPRAS!$G$3:$G$4997,S228,COMPRAS!$D$3:$D$4997,$X$2,COMPRAS!$B$3:$B$4997,"&gt;="&amp;IF($C$4="",DATE(1900,1,1),$C$4),COMPRAS!$B$3:$B$4997,"&lt;="&amp;IF($F$4="",DATE(2999,12,31),$F$4)),0))</f>
        <v>0</v>
      </c>
    </row>
    <row r="229" customFormat="false" ht="15" hidden="false" customHeight="true" outlineLevel="0" collapsed="false">
      <c r="S229" s="1" t="n">
        <f aca="false">PRODUCTOS!A230</f>
        <v>0</v>
      </c>
      <c r="T229" s="1" t="n">
        <f aca="false">PRODUCTOS!B230</f>
        <v>0</v>
      </c>
      <c r="U229" s="1" t="n">
        <f aca="false">IF(S229&lt;&gt;"",SUMIFS(COMPRAS!$J$3:$J$4997,COMPRAS!$G$3:$G$4997,S229,COMPRAS!$B$3:$B$4997,"&gt;="&amp;IF($C$4="",DATE(1900,1,1),$C$4),COMPRAS!$B$3:$B$4997,"&lt;="&amp;IF($F$4="",DATE(2999,12,31),$F$4)),0)</f>
        <v>0</v>
      </c>
      <c r="V229" s="1" t="n">
        <f aca="false">IF(S229&lt;&gt;"",SUMIFS(COMPRAS!$O$3:$O$4997,COMPRAS!$G$3:$G$4997,S229,COMPRAS!$B$3:$B$4997,"&gt;="&amp;IF($C$4="",DATE(1900,1,1),$C$4),COMPRAS!$B$3:$B$4997,"&lt;="&amp;IF($F$4="",DATE(2999,12,31),$F$4)),0)</f>
        <v>0</v>
      </c>
      <c r="Y229" s="1" t="n">
        <f aca="false">IF($X$2="TODOS",U229,IF(S229&lt;&gt;"",SUMIFS(COMPRAS!$J$3:$J$4997,COMPRAS!$G$3:$G$4997,S229,COMPRAS!$D$3:$D$4997,$X$2,COMPRAS!$B$3:$B$4997,"&gt;="&amp;IF($C$4="",DATE(1900,1,1),$C$4),COMPRAS!$B$3:$B$4997,"&lt;="&amp;IF($F$4="",DATE(2999,12,31),$F$4)),0))</f>
        <v>0</v>
      </c>
      <c r="Z229" s="1" t="n">
        <f aca="false">IF($X$2="TODOS",V229,IF(S229&lt;&gt;"",SUMIFS(COMPRAS!$O$3:$O$4997,COMPRAS!$G$3:$G$4997,S229,COMPRAS!$D$3:$D$4997,$X$2,COMPRAS!$B$3:$B$4997,"&gt;="&amp;IF($C$4="",DATE(1900,1,1),$C$4),COMPRAS!$B$3:$B$4997,"&lt;="&amp;IF($F$4="",DATE(2999,12,31),$F$4)),0))</f>
        <v>0</v>
      </c>
    </row>
    <row r="230" customFormat="false" ht="15" hidden="false" customHeight="true" outlineLevel="0" collapsed="false">
      <c r="S230" s="1" t="n">
        <f aca="false">PRODUCTOS!A231</f>
        <v>0</v>
      </c>
      <c r="T230" s="1" t="n">
        <f aca="false">PRODUCTOS!B231</f>
        <v>0</v>
      </c>
      <c r="U230" s="1" t="n">
        <f aca="false">IF(S230&lt;&gt;"",SUMIFS(COMPRAS!$J$3:$J$4997,COMPRAS!$G$3:$G$4997,S230,COMPRAS!$B$3:$B$4997,"&gt;="&amp;IF($C$4="",DATE(1900,1,1),$C$4),COMPRAS!$B$3:$B$4997,"&lt;="&amp;IF($F$4="",DATE(2999,12,31),$F$4)),0)</f>
        <v>0</v>
      </c>
      <c r="V230" s="1" t="n">
        <f aca="false">IF(S230&lt;&gt;"",SUMIFS(COMPRAS!$O$3:$O$4997,COMPRAS!$G$3:$G$4997,S230,COMPRAS!$B$3:$B$4997,"&gt;="&amp;IF($C$4="",DATE(1900,1,1),$C$4),COMPRAS!$B$3:$B$4997,"&lt;="&amp;IF($F$4="",DATE(2999,12,31),$F$4)),0)</f>
        <v>0</v>
      </c>
      <c r="Y230" s="1" t="n">
        <f aca="false">IF($X$2="TODOS",U230,IF(S230&lt;&gt;"",SUMIFS(COMPRAS!$J$3:$J$4997,COMPRAS!$G$3:$G$4997,S230,COMPRAS!$D$3:$D$4997,$X$2,COMPRAS!$B$3:$B$4997,"&gt;="&amp;IF($C$4="",DATE(1900,1,1),$C$4),COMPRAS!$B$3:$B$4997,"&lt;="&amp;IF($F$4="",DATE(2999,12,31),$F$4)),0))</f>
        <v>0</v>
      </c>
      <c r="Z230" s="1" t="n">
        <f aca="false">IF($X$2="TODOS",V230,IF(S230&lt;&gt;"",SUMIFS(COMPRAS!$O$3:$O$4997,COMPRAS!$G$3:$G$4997,S230,COMPRAS!$D$3:$D$4997,$X$2,COMPRAS!$B$3:$B$4997,"&gt;="&amp;IF($C$4="",DATE(1900,1,1),$C$4),COMPRAS!$B$3:$B$4997,"&lt;="&amp;IF($F$4="",DATE(2999,12,31),$F$4)),0))</f>
        <v>0</v>
      </c>
    </row>
    <row r="231" customFormat="false" ht="15" hidden="false" customHeight="true" outlineLevel="0" collapsed="false">
      <c r="S231" s="1" t="n">
        <f aca="false">PRODUCTOS!A232</f>
        <v>0</v>
      </c>
      <c r="T231" s="1" t="n">
        <f aca="false">PRODUCTOS!B232</f>
        <v>0</v>
      </c>
      <c r="U231" s="1" t="n">
        <f aca="false">IF(S231&lt;&gt;"",SUMIFS(COMPRAS!$J$3:$J$4997,COMPRAS!$G$3:$G$4997,S231,COMPRAS!$B$3:$B$4997,"&gt;="&amp;IF($C$4="",DATE(1900,1,1),$C$4),COMPRAS!$B$3:$B$4997,"&lt;="&amp;IF($F$4="",DATE(2999,12,31),$F$4)),0)</f>
        <v>0</v>
      </c>
      <c r="V231" s="1" t="n">
        <f aca="false">IF(S231&lt;&gt;"",SUMIFS(COMPRAS!$O$3:$O$4997,COMPRAS!$G$3:$G$4997,S231,COMPRAS!$B$3:$B$4997,"&gt;="&amp;IF($C$4="",DATE(1900,1,1),$C$4),COMPRAS!$B$3:$B$4997,"&lt;="&amp;IF($F$4="",DATE(2999,12,31),$F$4)),0)</f>
        <v>0</v>
      </c>
      <c r="Y231" s="1" t="n">
        <f aca="false">IF($X$2="TODOS",U231,IF(S231&lt;&gt;"",SUMIFS(COMPRAS!$J$3:$J$4997,COMPRAS!$G$3:$G$4997,S231,COMPRAS!$D$3:$D$4997,$X$2,COMPRAS!$B$3:$B$4997,"&gt;="&amp;IF($C$4="",DATE(1900,1,1),$C$4),COMPRAS!$B$3:$B$4997,"&lt;="&amp;IF($F$4="",DATE(2999,12,31),$F$4)),0))</f>
        <v>0</v>
      </c>
      <c r="Z231" s="1" t="n">
        <f aca="false">IF($X$2="TODOS",V231,IF(S231&lt;&gt;"",SUMIFS(COMPRAS!$O$3:$O$4997,COMPRAS!$G$3:$G$4997,S231,COMPRAS!$D$3:$D$4997,$X$2,COMPRAS!$B$3:$B$4997,"&gt;="&amp;IF($C$4="",DATE(1900,1,1),$C$4),COMPRAS!$B$3:$B$4997,"&lt;="&amp;IF($F$4="",DATE(2999,12,31),$F$4)),0))</f>
        <v>0</v>
      </c>
    </row>
  </sheetData>
  <mergeCells count="14">
    <mergeCell ref="A1:L2"/>
    <mergeCell ref="A3:L3"/>
    <mergeCell ref="A43:L43"/>
    <mergeCell ref="B45:E45"/>
    <mergeCell ref="B46:E46"/>
    <mergeCell ref="A61:H61"/>
    <mergeCell ref="A62:B62"/>
    <mergeCell ref="D62:F62"/>
    <mergeCell ref="A63:B63"/>
    <mergeCell ref="D63:F63"/>
    <mergeCell ref="A64:B64"/>
    <mergeCell ref="D64:F64"/>
    <mergeCell ref="A65:B65"/>
    <mergeCell ref="D65:F65"/>
  </mergeCells>
  <dataValidations count="2">
    <dataValidation allowBlank="false" error="Elige un proveedor de la lista." errorStyle="stop" errorTitle="Proveedor no válido" operator="between" showDropDown="false" showErrorMessage="true" showInputMessage="false" sqref="B45" type="list">
      <formula1>'PANEL COMPRAS'!$O$1:$O$206</formula1>
      <formula2>0</formula2>
    </dataValidation>
    <dataValidation allowBlank="true" error="Elige un articulo de la lista, o &quot;TODOS&quot;." errorStyle="stop" errorTitle="Articulo no valido" operator="between" showDropDown="false" showErrorMessage="true" showInputMessage="false" sqref="B46" type="list">
      <formula1>'PANEL COMPRAS'!$T$1:$T$231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31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pane xSplit="0" ySplit="10" topLeftCell="A55" activePane="bottomLeft" state="frozen"/>
      <selection pane="topLeft" activeCell="A1" activeCellId="0" sqref="A1"/>
      <selection pane="bottomLeft" activeCell="B9" activeCellId="0" sqref="B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7.86"/>
    <col collapsed="false" customWidth="true" hidden="false" outlineLevel="0" max="2" min="2" style="1" width="42.14"/>
    <col collapsed="false" customWidth="true" hidden="false" outlineLevel="0" max="3" min="3" style="1" width="14"/>
    <col collapsed="false" customWidth="true" hidden="false" outlineLevel="0" max="4" min="4" style="1" width="19.71"/>
    <col collapsed="false" customWidth="true" hidden="false" outlineLevel="0" max="6" min="5" style="1" width="19.57"/>
    <col collapsed="false" customWidth="true" hidden="false" outlineLevel="0" max="7" min="7" style="1" width="18.71"/>
    <col collapsed="false" customWidth="true" hidden="false" outlineLevel="0" max="8" min="8" style="1" width="18"/>
  </cols>
  <sheetData>
    <row r="1" customFormat="false" ht="25.5" hidden="false" customHeight="true" outlineLevel="0" collapsed="false">
      <c r="A1" s="26" t="s">
        <v>29</v>
      </c>
      <c r="B1" s="26"/>
      <c r="C1" s="26"/>
      <c r="D1" s="26"/>
      <c r="E1" s="26"/>
      <c r="F1" s="26"/>
      <c r="G1" s="26"/>
    </row>
    <row r="2" customFormat="false" ht="15.75" hidden="false" customHeight="true" outlineLevel="0" collapsed="false">
      <c r="A2" s="27" t="s">
        <v>30</v>
      </c>
      <c r="B2" s="27"/>
      <c r="C2" s="27"/>
      <c r="D2" s="27"/>
      <c r="E2" s="27"/>
      <c r="F2" s="27"/>
      <c r="G2" s="27"/>
    </row>
    <row r="3" customFormat="false" ht="18" hidden="false" customHeight="true" outlineLevel="0" collapsed="false">
      <c r="A3" s="28" t="s">
        <v>31</v>
      </c>
      <c r="B3" s="28" t="s">
        <v>32</v>
      </c>
      <c r="C3" s="28" t="s">
        <v>33</v>
      </c>
      <c r="D3" s="28" t="s">
        <v>34</v>
      </c>
      <c r="E3" s="29"/>
      <c r="F3" s="29"/>
      <c r="G3" s="29"/>
    </row>
    <row r="4" customFormat="false" ht="19.5" hidden="false" customHeight="true" outlineLevel="0" collapsed="false">
      <c r="A4" s="30"/>
      <c r="B4" s="31" t="str">
        <f aca="false">IF(A4&lt;&gt;"",IFERROR(VLOOKUP(B5,PRODUCTOS!$A:$B,2,0),""),"")</f>
        <v/>
      </c>
      <c r="C4" s="32" t="n">
        <v>46276</v>
      </c>
      <c r="D4" s="32" t="n">
        <v>46276</v>
      </c>
      <c r="E4" s="33" t="s">
        <v>35</v>
      </c>
      <c r="F4" s="33"/>
      <c r="G4" s="33"/>
    </row>
    <row r="5" customFormat="false" ht="7.5" hidden="true" customHeight="true" outlineLevel="0" collapsed="false">
      <c r="A5" s="34" t="s">
        <v>36</v>
      </c>
      <c r="B5" s="31" t="str">
        <f aca="false">IF(A4="","",IFERROR(INDEX(PRODUCTOS!$A:$A,MATCH(A4,PRODUCTOS!$A:$A,0)),IFERROR(INDEX(PRODUCTOS!$A:$A,MATCH("*"&amp;A4&amp;"*",PRODUCTOS!$B:$B,0)),A4)))</f>
        <v/>
      </c>
      <c r="C5" s="34" t="s">
        <v>37</v>
      </c>
      <c r="D5" s="35"/>
      <c r="E5" s="35"/>
      <c r="F5" s="35"/>
      <c r="G5" s="35"/>
    </row>
    <row r="6" customFormat="false" ht="21.75" hidden="false" customHeight="true" outlineLevel="0" collapsed="false">
      <c r="A6" s="36" t="s">
        <v>38</v>
      </c>
      <c r="B6" s="36"/>
      <c r="C6" s="36"/>
      <c r="D6" s="28" t="s">
        <v>39</v>
      </c>
      <c r="E6" s="28" t="s">
        <v>39</v>
      </c>
      <c r="F6" s="28" t="s">
        <v>40</v>
      </c>
      <c r="G6" s="29"/>
    </row>
    <row r="7" customFormat="false" ht="21.75" hidden="false" customHeight="true" outlineLevel="0" collapsed="false">
      <c r="A7" s="37" t="str">
        <f aca="false">IF(A4&lt;&gt;"",B4,"TODOS LOS ARTÍCULOS")</f>
        <v>TODOS LOS ARTÍCULOS</v>
      </c>
      <c r="B7" s="37"/>
      <c r="C7" s="37"/>
      <c r="D7" s="38" t="n">
        <f aca="false">SUMPRODUCT((IF(B5="",1,COMPRAS!$G$3:$G$4997=B5))*(IF(C4="",1,COMPRAS!$B$3:$B$4997&gt;=C4))*(IF(D4="",1,COMPRAS!$B$3:$B$4997&lt;=D4))*(COMPRAS!$J$3:$J$4997))</f>
        <v>455.75</v>
      </c>
      <c r="E7" s="38" t="n">
        <f aca="false">IF(AND($C$4="",$D$4=""),SUMIFS(COMPRAS!$J$3:$J$4997,COMPRAS!$G$3:$G$4997,IF($B$5="","&lt;&gt;",$B$5)),SUMIFS(COMPRAS!$J$3:$J$4997,COMPRAS!$G$3:$G$4997,IF($B$5="","&lt;&gt;",$B$5),COMPRAS!$B$3:$B$4997,"&gt;="&amp;$C$4,COMPRAS!$B$3:$B$4997,"&lt;="&amp;$D$4))</f>
        <v>455.75</v>
      </c>
      <c r="F7" s="38" t="n">
        <f aca="false">IF(AND($C$4="",$D$4=""),SUMIFS(COMPRAS!$O$3:$O$4997,COMPRAS!$G$3:$G$4997,IF($B$5="","&lt;&gt;",$B$5)),SUMIFS(COMPRAS!$O$3:$O$4997,COMPRAS!$G$3:$G$4997,IF($B$5="","&lt;&gt;",$B$5),COMPRAS!$B$3:$B$4997,"&gt;="&amp;$C$4,COMPRAS!$B$3:$B$4997,"&lt;="&amp;$D$4))</f>
        <v>1235.1435</v>
      </c>
      <c r="G7" s="39"/>
    </row>
    <row r="8" customFormat="false" ht="6" hidden="true" customHeight="true" outlineLevel="0" collapsed="false">
      <c r="A8" s="40"/>
      <c r="B8" s="40"/>
      <c r="C8" s="40"/>
      <c r="D8" s="40"/>
      <c r="E8" s="40"/>
      <c r="F8" s="40"/>
      <c r="G8" s="40"/>
    </row>
    <row r="9" customFormat="false" ht="34.5" hidden="false" customHeight="true" outlineLevel="0" collapsed="false">
      <c r="A9" s="41" t="s">
        <v>31</v>
      </c>
      <c r="B9" s="41" t="s">
        <v>32</v>
      </c>
      <c r="C9" s="42" t="s">
        <v>39</v>
      </c>
      <c r="D9" s="42" t="s">
        <v>41</v>
      </c>
      <c r="E9" s="42" t="s">
        <v>42</v>
      </c>
      <c r="F9" s="42" t="s">
        <v>43</v>
      </c>
      <c r="G9" s="42" t="s">
        <v>44</v>
      </c>
      <c r="H9" s="43" t="s">
        <v>45</v>
      </c>
    </row>
    <row r="10" customFormat="false" ht="15.75" hidden="true" customHeight="true" outlineLevel="0" collapsed="false">
      <c r="A10" s="44" t="s">
        <v>46</v>
      </c>
      <c r="B10" s="44"/>
      <c r="C10" s="44"/>
      <c r="D10" s="44"/>
      <c r="E10" s="44"/>
      <c r="F10" s="44"/>
      <c r="G10" s="44"/>
    </row>
    <row r="11" customFormat="false" ht="15" hidden="true" customHeight="true" outlineLevel="0" collapsed="false">
      <c r="A11" s="45" t="s">
        <v>47</v>
      </c>
      <c r="B11" s="46" t="s">
        <v>48</v>
      </c>
      <c r="C11" s="47" t="n">
        <f aca="false">IF(AND($C$4="",$D$4=""),SUMIFS(COMPRAS!$J$3:$J$4997,COMPRAS!$G$3:$G$4997,A11),SUMIFS(COMPRAS!$J$3:$J$4997,COMPRAS!$G$3:$G$4997,A11,COMPRAS!$B$3:$B$4997,"&gt;="&amp;$C$4,COMPRAS!$B$3:$B$4997,"&lt;="&amp;$D$4))</f>
        <v>0</v>
      </c>
      <c r="D11" s="47" t="n">
        <f aca="false">IF(AND($C$4="",$D$4=""),SUMIFS(COMPRAS!$O$3:$O$4997,COMPRAS!$G$3:$G$4997,A11),SUMIFS(COMPRAS!$O$3:$O$4997,COMPRAS!$G$3:$G$4997,A11,COMPRAS!$B$3:$B$4997,"&gt;="&amp;$C$4,COMPRAS!$B$3:$B$4997,"&lt;="&amp;$D$4))</f>
        <v>0</v>
      </c>
      <c r="E11" s="48" t="str">
        <f aca="false">IF(C11&gt;0,D11/IF(H11&lt;&gt;"",H11,C11),"")</f>
        <v/>
      </c>
      <c r="F11" s="49" t="n">
        <f aca="false">IF(AND($C$4="",$D$4=""),COUNTIF(COMPRAS!$G$3:$G$4997,A11),COUNTIFS(COMPRAS!$G$3:$G$4997,A11,COMPRAS!$B$3:$B$4997,"&gt;="&amp;$C$4,COMPRAS!$B$3:$B$4997,"&lt;="&amp;$D$4))</f>
        <v>0</v>
      </c>
      <c r="G11" s="50" t="str">
        <f aca="false">IF(C11&gt;0,"SI","")</f>
        <v/>
      </c>
      <c r="H11" s="47"/>
    </row>
    <row r="12" customFormat="false" ht="15" hidden="true" customHeight="true" outlineLevel="0" collapsed="false">
      <c r="A12" s="51" t="s">
        <v>49</v>
      </c>
      <c r="B12" s="52" t="s">
        <v>50</v>
      </c>
      <c r="C12" s="53" t="n">
        <f aca="false">IF(AND($C$4="",$D$4=""),SUMIFS(COMPRAS!$J$3:$J$4997,COMPRAS!$G$3:$G$4997,A12),SUMIFS(COMPRAS!$J$3:$J$4997,COMPRAS!$G$3:$G$4997,A12,COMPRAS!$B$3:$B$4997,"&gt;="&amp;$C$4,COMPRAS!$B$3:$B$4997,"&lt;="&amp;$D$4))</f>
        <v>0</v>
      </c>
      <c r="D12" s="53" t="n">
        <f aca="false">IF(AND($C$4="",$D$4=""),SUMIFS(COMPRAS!$O$3:$O$4997,COMPRAS!$G$3:$G$4997,A12),SUMIFS(COMPRAS!$O$3:$O$4997,COMPRAS!$G$3:$G$4997,A12,COMPRAS!$B$3:$B$4997,"&gt;="&amp;$C$4,COMPRAS!$B$3:$B$4997,"&lt;="&amp;$D$4))</f>
        <v>0</v>
      </c>
      <c r="E12" s="48" t="str">
        <f aca="false">IF(C12&gt;0,D12/IF(H12&lt;&gt;"",H12,C12),"")</f>
        <v/>
      </c>
      <c r="F12" s="54" t="n">
        <f aca="false">IF(AND($C$4="",$D$4=""),COUNTIF(COMPRAS!$G$3:$G$4997,A12),COUNTIFS(COMPRAS!$G$3:$G$4997,A12,COMPRAS!$B$3:$B$4997,"&gt;="&amp;$C$4,COMPRAS!$B$3:$B$4997,"&lt;="&amp;$D$4))</f>
        <v>0</v>
      </c>
      <c r="G12" s="55" t="str">
        <f aca="false">IF(C12&gt;0,"SI","")</f>
        <v/>
      </c>
      <c r="H12" s="47"/>
    </row>
    <row r="13" customFormat="false" ht="15" hidden="true" customHeight="true" outlineLevel="0" collapsed="false">
      <c r="A13" s="45" t="s">
        <v>51</v>
      </c>
      <c r="B13" s="46" t="s">
        <v>52</v>
      </c>
      <c r="C13" s="47" t="n">
        <f aca="false">IF(AND($C$4="",$D$4=""),SUMIFS(COMPRAS!$J$3:$J$4997,COMPRAS!$G$3:$G$4997,A13),SUMIFS(COMPRAS!$J$3:$J$4997,COMPRAS!$G$3:$G$4997,A13,COMPRAS!$B$3:$B$4997,"&gt;="&amp;$C$4,COMPRAS!$B$3:$B$4997,"&lt;="&amp;$D$4))</f>
        <v>0</v>
      </c>
      <c r="D13" s="47" t="n">
        <f aca="false">IF(AND($C$4="",$D$4=""),SUMIFS(COMPRAS!$O$3:$O$4997,COMPRAS!$G$3:$G$4997,A13),SUMIFS(COMPRAS!$O$3:$O$4997,COMPRAS!$G$3:$G$4997,A13,COMPRAS!$B$3:$B$4997,"&gt;="&amp;$C$4,COMPRAS!$B$3:$B$4997,"&lt;="&amp;$D$4))</f>
        <v>0</v>
      </c>
      <c r="E13" s="48" t="str">
        <f aca="false">IF(C13&gt;0,D13/IF(H13&lt;&gt;"",H13,C13),"")</f>
        <v/>
      </c>
      <c r="F13" s="49" t="n">
        <f aca="false">IF(AND($C$4="",$D$4=""),COUNTIF(COMPRAS!$G$3:$G$4997,A13),COUNTIFS(COMPRAS!$G$3:$G$4997,A13,COMPRAS!$B$3:$B$4997,"&gt;="&amp;$C$4,COMPRAS!$B$3:$B$4997,"&lt;="&amp;$D$4))</f>
        <v>0</v>
      </c>
      <c r="G13" s="50" t="str">
        <f aca="false">IF(C13&gt;0,"SI","")</f>
        <v/>
      </c>
      <c r="H13" s="47"/>
    </row>
    <row r="14" customFormat="false" ht="15" hidden="true" customHeight="true" outlineLevel="0" collapsed="false">
      <c r="A14" s="51" t="s">
        <v>53</v>
      </c>
      <c r="B14" s="52" t="s">
        <v>54</v>
      </c>
      <c r="C14" s="53" t="n">
        <f aca="false">IF(AND($C$4="",$D$4=""),SUMIFS(COMPRAS!$J$3:$J$4997,COMPRAS!$G$3:$G$4997,A14),SUMIFS(COMPRAS!$J$3:$J$4997,COMPRAS!$G$3:$G$4997,A14,COMPRAS!$B$3:$B$4997,"&gt;="&amp;$C$4,COMPRAS!$B$3:$B$4997,"&lt;="&amp;$D$4))</f>
        <v>0</v>
      </c>
      <c r="D14" s="53" t="n">
        <f aca="false">IF(AND($C$4="",$D$4=""),SUMIFS(COMPRAS!$O$3:$O$4997,COMPRAS!$G$3:$G$4997,A14),SUMIFS(COMPRAS!$O$3:$O$4997,COMPRAS!$G$3:$G$4997,A14,COMPRAS!$B$3:$B$4997,"&gt;="&amp;$C$4,COMPRAS!$B$3:$B$4997,"&lt;="&amp;$D$4))</f>
        <v>0</v>
      </c>
      <c r="E14" s="48" t="str">
        <f aca="false">IF(C14&gt;0,D14/IF(H14&lt;&gt;"",H14,C14),"")</f>
        <v/>
      </c>
      <c r="F14" s="54" t="n">
        <f aca="false">IF(AND($C$4="",$D$4=""),COUNTIF(COMPRAS!$G$3:$G$4997,A14),COUNTIFS(COMPRAS!$G$3:$G$4997,A14,COMPRAS!$B$3:$B$4997,"&gt;="&amp;$C$4,COMPRAS!$B$3:$B$4997,"&lt;="&amp;$D$4))</f>
        <v>0</v>
      </c>
      <c r="G14" s="55" t="str">
        <f aca="false">IF(C14&gt;0,"SI","")</f>
        <v/>
      </c>
      <c r="H14" s="47"/>
    </row>
    <row r="15" customFormat="false" ht="15" hidden="true" customHeight="true" outlineLevel="0" collapsed="false">
      <c r="A15" s="45" t="s">
        <v>55</v>
      </c>
      <c r="B15" s="46" t="s">
        <v>56</v>
      </c>
      <c r="C15" s="47" t="n">
        <f aca="false">IF(AND($C$4="",$D$4=""),SUMIFS(COMPRAS!$J$3:$J$4997,COMPRAS!$G$3:$G$4997,A15),SUMIFS(COMPRAS!$J$3:$J$4997,COMPRAS!$G$3:$G$4997,A15,COMPRAS!$B$3:$B$4997,"&gt;="&amp;$C$4,COMPRAS!$B$3:$B$4997,"&lt;="&amp;$D$4))</f>
        <v>0</v>
      </c>
      <c r="D15" s="47" t="n">
        <f aca="false">IF(AND($C$4="",$D$4=""),SUMIFS(COMPRAS!$O$3:$O$4997,COMPRAS!$G$3:$G$4997,A15),SUMIFS(COMPRAS!$O$3:$O$4997,COMPRAS!$G$3:$G$4997,A15,COMPRAS!$B$3:$B$4997,"&gt;="&amp;$C$4,COMPRAS!$B$3:$B$4997,"&lt;="&amp;$D$4))</f>
        <v>0</v>
      </c>
      <c r="E15" s="48" t="str">
        <f aca="false">IF(C15&gt;0,D15/IF(H15&lt;&gt;"",H15,C15),"")</f>
        <v/>
      </c>
      <c r="F15" s="49" t="n">
        <f aca="false">IF(AND($C$4="",$D$4=""),COUNTIF(COMPRAS!$G$3:$G$4997,A15),COUNTIFS(COMPRAS!$G$3:$G$4997,A15,COMPRAS!$B$3:$B$4997,"&gt;="&amp;$C$4,COMPRAS!$B$3:$B$4997,"&lt;="&amp;$D$4))</f>
        <v>0</v>
      </c>
      <c r="G15" s="50" t="str">
        <f aca="false">IF(C15&gt;0,"SI","")</f>
        <v/>
      </c>
      <c r="H15" s="47"/>
    </row>
    <row r="16" customFormat="false" ht="15" hidden="true" customHeight="true" outlineLevel="0" collapsed="false">
      <c r="A16" s="51" t="s">
        <v>57</v>
      </c>
      <c r="B16" s="52" t="s">
        <v>58</v>
      </c>
      <c r="C16" s="53" t="n">
        <f aca="false">IF(AND($C$4="",$D$4=""),SUMIFS(COMPRAS!$J$3:$J$4997,COMPRAS!$G$3:$G$4997,A16),SUMIFS(COMPRAS!$J$3:$J$4997,COMPRAS!$G$3:$G$4997,A16,COMPRAS!$B$3:$B$4997,"&gt;="&amp;$C$4,COMPRAS!$B$3:$B$4997,"&lt;="&amp;$D$4))</f>
        <v>0</v>
      </c>
      <c r="D16" s="53" t="n">
        <f aca="false">IF(AND($C$4="",$D$4=""),SUMIFS(COMPRAS!$O$3:$O$4997,COMPRAS!$G$3:$G$4997,A16),SUMIFS(COMPRAS!$O$3:$O$4997,COMPRAS!$G$3:$G$4997,A16,COMPRAS!$B$3:$B$4997,"&gt;="&amp;$C$4,COMPRAS!$B$3:$B$4997,"&lt;="&amp;$D$4))</f>
        <v>0</v>
      </c>
      <c r="E16" s="48" t="str">
        <f aca="false">IF(C16&gt;0,D16/IF(H16&lt;&gt;"",H16,C16),"")</f>
        <v/>
      </c>
      <c r="F16" s="54" t="n">
        <f aca="false">IF(AND($C$4="",$D$4=""),COUNTIF(COMPRAS!$G$3:$G$4997,A16),COUNTIFS(COMPRAS!$G$3:$G$4997,A16,COMPRAS!$B$3:$B$4997,"&gt;="&amp;$C$4,COMPRAS!$B$3:$B$4997,"&lt;="&amp;$D$4))</f>
        <v>0</v>
      </c>
      <c r="G16" s="55" t="str">
        <f aca="false">IF(C16&gt;0,"SI","")</f>
        <v/>
      </c>
      <c r="H16" s="47"/>
    </row>
    <row r="17" customFormat="false" ht="15" hidden="true" customHeight="true" outlineLevel="0" collapsed="false">
      <c r="A17" s="45" t="s">
        <v>59</v>
      </c>
      <c r="B17" s="46" t="s">
        <v>60</v>
      </c>
      <c r="C17" s="47" t="n">
        <f aca="false">IF(AND($C$4="",$D$4=""),SUMIFS(COMPRAS!$J$3:$J$4997,COMPRAS!$G$3:$G$4997,A17),SUMIFS(COMPRAS!$J$3:$J$4997,COMPRAS!$G$3:$G$4997,A17,COMPRAS!$B$3:$B$4997,"&gt;="&amp;$C$4,COMPRAS!$B$3:$B$4997,"&lt;="&amp;$D$4))</f>
        <v>0</v>
      </c>
      <c r="D17" s="47" t="n">
        <f aca="false">IF(AND($C$4="",$D$4=""),SUMIFS(COMPRAS!$O$3:$O$4997,COMPRAS!$G$3:$G$4997,A17),SUMIFS(COMPRAS!$O$3:$O$4997,COMPRAS!$G$3:$G$4997,A17,COMPRAS!$B$3:$B$4997,"&gt;="&amp;$C$4,COMPRAS!$B$3:$B$4997,"&lt;="&amp;$D$4))</f>
        <v>0</v>
      </c>
      <c r="E17" s="48" t="str">
        <f aca="false">IF(C17&gt;0,D17/IF(H17&lt;&gt;"",H17,C17),"")</f>
        <v/>
      </c>
      <c r="F17" s="49" t="n">
        <f aca="false">IF(AND($C$4="",$D$4=""),COUNTIF(COMPRAS!$G$3:$G$4997,A17),COUNTIFS(COMPRAS!$G$3:$G$4997,A17,COMPRAS!$B$3:$B$4997,"&gt;="&amp;$C$4,COMPRAS!$B$3:$B$4997,"&lt;="&amp;$D$4))</f>
        <v>0</v>
      </c>
      <c r="G17" s="50" t="str">
        <f aca="false">IF(C17&gt;0,"SI","")</f>
        <v/>
      </c>
      <c r="H17" s="47"/>
    </row>
    <row r="18" customFormat="false" ht="15" hidden="true" customHeight="true" outlineLevel="0" collapsed="false">
      <c r="A18" s="51" t="s">
        <v>61</v>
      </c>
      <c r="B18" s="52" t="s">
        <v>62</v>
      </c>
      <c r="C18" s="53" t="n">
        <f aca="false">IF(AND($C$4="",$D$4=""),SUMIFS(COMPRAS!$J$3:$J$4997,COMPRAS!$G$3:$G$4997,A18),SUMIFS(COMPRAS!$J$3:$J$4997,COMPRAS!$G$3:$G$4997,A18,COMPRAS!$B$3:$B$4997,"&gt;="&amp;$C$4,COMPRAS!$B$3:$B$4997,"&lt;="&amp;$D$4))</f>
        <v>0</v>
      </c>
      <c r="D18" s="53" t="n">
        <f aca="false">IF(AND($C$4="",$D$4=""),SUMIFS(COMPRAS!$O$3:$O$4997,COMPRAS!$G$3:$G$4997,A18),SUMIFS(COMPRAS!$O$3:$O$4997,COMPRAS!$G$3:$G$4997,A18,COMPRAS!$B$3:$B$4997,"&gt;="&amp;$C$4,COMPRAS!$B$3:$B$4997,"&lt;="&amp;$D$4))</f>
        <v>0</v>
      </c>
      <c r="E18" s="48" t="str">
        <f aca="false">IF(C18&gt;0,D18/IF(H18&lt;&gt;"",H18,C18),"")</f>
        <v/>
      </c>
      <c r="F18" s="54" t="n">
        <f aca="false">IF(AND($C$4="",$D$4=""),COUNTIF(COMPRAS!$G$3:$G$4997,A18),COUNTIFS(COMPRAS!$G$3:$G$4997,A18,COMPRAS!$B$3:$B$4997,"&gt;="&amp;$C$4,COMPRAS!$B$3:$B$4997,"&lt;="&amp;$D$4))</f>
        <v>0</v>
      </c>
      <c r="G18" s="55" t="str">
        <f aca="false">IF(C18&gt;0,"SI","")</f>
        <v/>
      </c>
      <c r="H18" s="47"/>
    </row>
    <row r="19" customFormat="false" ht="15" hidden="true" customHeight="true" outlineLevel="0" collapsed="false">
      <c r="A19" s="45" t="s">
        <v>63</v>
      </c>
      <c r="B19" s="46" t="s">
        <v>64</v>
      </c>
      <c r="C19" s="47" t="n">
        <f aca="false">IF(AND($C$4="",$D$4=""),SUMIFS(COMPRAS!$J$3:$J$4997,COMPRAS!$G$3:$G$4997,A19),SUMIFS(COMPRAS!$J$3:$J$4997,COMPRAS!$G$3:$G$4997,A19,COMPRAS!$B$3:$B$4997,"&gt;="&amp;$C$4,COMPRAS!$B$3:$B$4997,"&lt;="&amp;$D$4))</f>
        <v>0</v>
      </c>
      <c r="D19" s="47" t="n">
        <f aca="false">IF(AND($C$4="",$D$4=""),SUMIFS(COMPRAS!$O$3:$O$4997,COMPRAS!$G$3:$G$4997,A19),SUMIFS(COMPRAS!$O$3:$O$4997,COMPRAS!$G$3:$G$4997,A19,COMPRAS!$B$3:$B$4997,"&gt;="&amp;$C$4,COMPRAS!$B$3:$B$4997,"&lt;="&amp;$D$4))</f>
        <v>0</v>
      </c>
      <c r="E19" s="48" t="str">
        <f aca="false">IF(C19&gt;0,D19/IF(H19&lt;&gt;"",H19,C19),"")</f>
        <v/>
      </c>
      <c r="F19" s="49" t="n">
        <f aca="false">IF(AND($C$4="",$D$4=""),COUNTIF(COMPRAS!$G$3:$G$4997,A19),COUNTIFS(COMPRAS!$G$3:$G$4997,A19,COMPRAS!$B$3:$B$4997,"&gt;="&amp;$C$4,COMPRAS!$B$3:$B$4997,"&lt;="&amp;$D$4))</f>
        <v>0</v>
      </c>
      <c r="G19" s="50" t="str">
        <f aca="false">IF(C19&gt;0,"SI","")</f>
        <v/>
      </c>
      <c r="H19" s="47"/>
    </row>
    <row r="20" customFormat="false" ht="15" hidden="true" customHeight="true" outlineLevel="0" collapsed="false">
      <c r="A20" s="51" t="s">
        <v>65</v>
      </c>
      <c r="B20" s="52" t="s">
        <v>66</v>
      </c>
      <c r="C20" s="53" t="n">
        <f aca="false">IF(AND($C$4="",$D$4=""),SUMIFS(COMPRAS!$J$3:$J$4997,COMPRAS!$G$3:$G$4997,A20),SUMIFS(COMPRAS!$J$3:$J$4997,COMPRAS!$G$3:$G$4997,A20,COMPRAS!$B$3:$B$4997,"&gt;="&amp;$C$4,COMPRAS!$B$3:$B$4997,"&lt;="&amp;$D$4))</f>
        <v>0</v>
      </c>
      <c r="D20" s="53" t="n">
        <f aca="false">IF(AND($C$4="",$D$4=""),SUMIFS(COMPRAS!$O$3:$O$4997,COMPRAS!$G$3:$G$4997,A20),SUMIFS(COMPRAS!$O$3:$O$4997,COMPRAS!$G$3:$G$4997,A20,COMPRAS!$B$3:$B$4997,"&gt;="&amp;$C$4,COMPRAS!$B$3:$B$4997,"&lt;="&amp;$D$4))</f>
        <v>0</v>
      </c>
      <c r="E20" s="48" t="str">
        <f aca="false">IF(C20&gt;0,D20/IF(H20&lt;&gt;"",H20,C20),"")</f>
        <v/>
      </c>
      <c r="F20" s="54" t="n">
        <f aca="false">IF(AND($C$4="",$D$4=""),COUNTIF(COMPRAS!$G$3:$G$4997,A20),COUNTIFS(COMPRAS!$G$3:$G$4997,A20,COMPRAS!$B$3:$B$4997,"&gt;="&amp;$C$4,COMPRAS!$B$3:$B$4997,"&lt;="&amp;$D$4))</f>
        <v>0</v>
      </c>
      <c r="G20" s="55" t="str">
        <f aca="false">IF(C20&gt;0,"SI","")</f>
        <v/>
      </c>
      <c r="H20" s="47"/>
    </row>
    <row r="21" customFormat="false" ht="15" hidden="true" customHeight="true" outlineLevel="0" collapsed="false">
      <c r="A21" s="45" t="s">
        <v>67</v>
      </c>
      <c r="B21" s="46" t="s">
        <v>68</v>
      </c>
      <c r="C21" s="47" t="n">
        <f aca="false">IF(AND($C$4="",$D$4=""),SUMIFS(COMPRAS!$J$3:$J$4997,COMPRAS!$G$3:$G$4997,A21),SUMIFS(COMPRAS!$J$3:$J$4997,COMPRAS!$G$3:$G$4997,A21,COMPRAS!$B$3:$B$4997,"&gt;="&amp;$C$4,COMPRAS!$B$3:$B$4997,"&lt;="&amp;$D$4))</f>
        <v>0</v>
      </c>
      <c r="D21" s="47" t="n">
        <f aca="false">IF(AND($C$4="",$D$4=""),SUMIFS(COMPRAS!$O$3:$O$4997,COMPRAS!$G$3:$G$4997,A21),SUMIFS(COMPRAS!$O$3:$O$4997,COMPRAS!$G$3:$G$4997,A21,COMPRAS!$B$3:$B$4997,"&gt;="&amp;$C$4,COMPRAS!$B$3:$B$4997,"&lt;="&amp;$D$4))</f>
        <v>0</v>
      </c>
      <c r="E21" s="48" t="str">
        <f aca="false">IF(C21&gt;0,D21/IF(H21&lt;&gt;"",H21,C21),"")</f>
        <v/>
      </c>
      <c r="F21" s="49" t="n">
        <f aca="false">IF(AND($C$4="",$D$4=""),COUNTIF(COMPRAS!$G$3:$G$4997,A21),COUNTIFS(COMPRAS!$G$3:$G$4997,A21,COMPRAS!$B$3:$B$4997,"&gt;="&amp;$C$4,COMPRAS!$B$3:$B$4997,"&lt;="&amp;$D$4))</f>
        <v>0</v>
      </c>
      <c r="G21" s="50" t="str">
        <f aca="false">IF(C21&gt;0,"SI","")</f>
        <v/>
      </c>
      <c r="H21" s="47"/>
    </row>
    <row r="22" customFormat="false" ht="15" hidden="true" customHeight="true" outlineLevel="0" collapsed="false">
      <c r="A22" s="51" t="s">
        <v>69</v>
      </c>
      <c r="B22" s="52" t="s">
        <v>70</v>
      </c>
      <c r="C22" s="53" t="n">
        <f aca="false">IF(AND($C$4="",$D$4=""),SUMIFS(COMPRAS!$J$3:$J$4997,COMPRAS!$G$3:$G$4997,A22),SUMIFS(COMPRAS!$J$3:$J$4997,COMPRAS!$G$3:$G$4997,A22,COMPRAS!$B$3:$B$4997,"&gt;="&amp;$C$4,COMPRAS!$B$3:$B$4997,"&lt;="&amp;$D$4))</f>
        <v>0</v>
      </c>
      <c r="D22" s="53" t="n">
        <f aca="false">IF(AND($C$4="",$D$4=""),SUMIFS(COMPRAS!$O$3:$O$4997,COMPRAS!$G$3:$G$4997,A22),SUMIFS(COMPRAS!$O$3:$O$4997,COMPRAS!$G$3:$G$4997,A22,COMPRAS!$B$3:$B$4997,"&gt;="&amp;$C$4,COMPRAS!$B$3:$B$4997,"&lt;="&amp;$D$4))</f>
        <v>0</v>
      </c>
      <c r="E22" s="48" t="str">
        <f aca="false">IF(C22&gt;0,D22/IF(H22&lt;&gt;"",H22,C22),"")</f>
        <v/>
      </c>
      <c r="F22" s="54" t="n">
        <f aca="false">IF(AND($C$4="",$D$4=""),COUNTIF(COMPRAS!$G$3:$G$4997,A22),COUNTIFS(COMPRAS!$G$3:$G$4997,A22,COMPRAS!$B$3:$B$4997,"&gt;="&amp;$C$4,COMPRAS!$B$3:$B$4997,"&lt;="&amp;$D$4))</f>
        <v>0</v>
      </c>
      <c r="G22" s="55" t="str">
        <f aca="false">IF(C22&gt;0,"SI","")</f>
        <v/>
      </c>
      <c r="H22" s="47"/>
    </row>
    <row r="23" customFormat="false" ht="15" hidden="true" customHeight="true" outlineLevel="0" collapsed="false">
      <c r="A23" s="45" t="s">
        <v>71</v>
      </c>
      <c r="B23" s="46" t="s">
        <v>72</v>
      </c>
      <c r="C23" s="47" t="n">
        <f aca="false">IF(AND($C$4="",$D$4=""),SUMIFS(COMPRAS!$J$3:$J$4997,COMPRAS!$G$3:$G$4997,A23),SUMIFS(COMPRAS!$J$3:$J$4997,COMPRAS!$G$3:$G$4997,A23,COMPRAS!$B$3:$B$4997,"&gt;="&amp;$C$4,COMPRAS!$B$3:$B$4997,"&lt;="&amp;$D$4))</f>
        <v>0</v>
      </c>
      <c r="D23" s="47" t="n">
        <f aca="false">IF(AND($C$4="",$D$4=""),SUMIFS(COMPRAS!$O$3:$O$4997,COMPRAS!$G$3:$G$4997,A23),SUMIFS(COMPRAS!$O$3:$O$4997,COMPRAS!$G$3:$G$4997,A23,COMPRAS!$B$3:$B$4997,"&gt;="&amp;$C$4,COMPRAS!$B$3:$B$4997,"&lt;="&amp;$D$4))</f>
        <v>0</v>
      </c>
      <c r="E23" s="48" t="str">
        <f aca="false">IF(C23&gt;0,D23/IF(H23&lt;&gt;"",H23,C23),"")</f>
        <v/>
      </c>
      <c r="F23" s="49" t="n">
        <f aca="false">IF(AND($C$4="",$D$4=""),COUNTIF(COMPRAS!$G$3:$G$4997,A23),COUNTIFS(COMPRAS!$G$3:$G$4997,A23,COMPRAS!$B$3:$B$4997,"&gt;="&amp;$C$4,COMPRAS!$B$3:$B$4997,"&lt;="&amp;$D$4))</f>
        <v>0</v>
      </c>
      <c r="G23" s="50" t="str">
        <f aca="false">IF(C23&gt;0,"SI","")</f>
        <v/>
      </c>
      <c r="H23" s="47"/>
    </row>
    <row r="24" customFormat="false" ht="15" hidden="true" customHeight="true" outlineLevel="0" collapsed="false">
      <c r="A24" s="51" t="s">
        <v>73</v>
      </c>
      <c r="B24" s="52" t="s">
        <v>74</v>
      </c>
      <c r="C24" s="53" t="n">
        <f aca="false">IF(AND($C$4="",$D$4=""),SUMIFS(COMPRAS!$J$3:$J$4997,COMPRAS!$G$3:$G$4997,A24),SUMIFS(COMPRAS!$J$3:$J$4997,COMPRAS!$G$3:$G$4997,A24,COMPRAS!$B$3:$B$4997,"&gt;="&amp;$C$4,COMPRAS!$B$3:$B$4997,"&lt;="&amp;$D$4))</f>
        <v>0</v>
      </c>
      <c r="D24" s="53" t="n">
        <f aca="false">IF(AND($C$4="",$D$4=""),SUMIFS(COMPRAS!$O$3:$O$4997,COMPRAS!$G$3:$G$4997,A24),SUMIFS(COMPRAS!$O$3:$O$4997,COMPRAS!$G$3:$G$4997,A24,COMPRAS!$B$3:$B$4997,"&gt;="&amp;$C$4,COMPRAS!$B$3:$B$4997,"&lt;="&amp;$D$4))</f>
        <v>0</v>
      </c>
      <c r="E24" s="48" t="str">
        <f aca="false">IF(C24&gt;0,D24/IF(H24&lt;&gt;"",H24,C24),"")</f>
        <v/>
      </c>
      <c r="F24" s="54" t="n">
        <f aca="false">IF(AND($C$4="",$D$4=""),COUNTIF(COMPRAS!$G$3:$G$4997,A24),COUNTIFS(COMPRAS!$G$3:$G$4997,A24,COMPRAS!$B$3:$B$4997,"&gt;="&amp;$C$4,COMPRAS!$B$3:$B$4997,"&lt;="&amp;$D$4))</f>
        <v>0</v>
      </c>
      <c r="G24" s="55" t="str">
        <f aca="false">IF(C24&gt;0,"SI","")</f>
        <v/>
      </c>
      <c r="H24" s="47"/>
    </row>
    <row r="25" customFormat="false" ht="15" hidden="true" customHeight="true" outlineLevel="0" collapsed="false">
      <c r="A25" s="45" t="s">
        <v>75</v>
      </c>
      <c r="B25" s="46" t="s">
        <v>76</v>
      </c>
      <c r="C25" s="47" t="n">
        <f aca="false">IF(AND($C$4="",$D$4=""),SUMIFS(COMPRAS!$J$3:$J$4997,COMPRAS!$G$3:$G$4997,A25),SUMIFS(COMPRAS!$J$3:$J$4997,COMPRAS!$G$3:$G$4997,A25,COMPRAS!$B$3:$B$4997,"&gt;="&amp;$C$4,COMPRAS!$B$3:$B$4997,"&lt;="&amp;$D$4))</f>
        <v>0</v>
      </c>
      <c r="D25" s="47" t="n">
        <f aca="false">IF(AND($C$4="",$D$4=""),SUMIFS(COMPRAS!$O$3:$O$4997,COMPRAS!$G$3:$G$4997,A25),SUMIFS(COMPRAS!$O$3:$O$4997,COMPRAS!$G$3:$G$4997,A25,COMPRAS!$B$3:$B$4997,"&gt;="&amp;$C$4,COMPRAS!$B$3:$B$4997,"&lt;="&amp;$D$4))</f>
        <v>0</v>
      </c>
      <c r="E25" s="48" t="str">
        <f aca="false">IF(C25&gt;0,D25/IF(H25&lt;&gt;"",H25,C25),"")</f>
        <v/>
      </c>
      <c r="F25" s="49" t="n">
        <f aca="false">IF(AND($C$4="",$D$4=""),COUNTIF(COMPRAS!$G$3:$G$4997,A25),COUNTIFS(COMPRAS!$G$3:$G$4997,A25,COMPRAS!$B$3:$B$4997,"&gt;="&amp;$C$4,COMPRAS!$B$3:$B$4997,"&lt;="&amp;$D$4))</f>
        <v>0</v>
      </c>
      <c r="G25" s="50" t="str">
        <f aca="false">IF(C25&gt;0,"SI","")</f>
        <v/>
      </c>
      <c r="H25" s="47"/>
    </row>
    <row r="26" customFormat="false" ht="15" hidden="true" customHeight="true" outlineLevel="0" collapsed="false">
      <c r="A26" s="51" t="s">
        <v>77</v>
      </c>
      <c r="B26" s="52" t="s">
        <v>78</v>
      </c>
      <c r="C26" s="53" t="n">
        <f aca="false">IF(AND($C$4="",$D$4=""),SUMIFS(COMPRAS!$J$3:$J$4997,COMPRAS!$G$3:$G$4997,A26),SUMIFS(COMPRAS!$J$3:$J$4997,COMPRAS!$G$3:$G$4997,A26,COMPRAS!$B$3:$B$4997,"&gt;="&amp;$C$4,COMPRAS!$B$3:$B$4997,"&lt;="&amp;$D$4))</f>
        <v>0</v>
      </c>
      <c r="D26" s="53" t="n">
        <f aca="false">IF(AND($C$4="",$D$4=""),SUMIFS(COMPRAS!$O$3:$O$4997,COMPRAS!$G$3:$G$4997,A26),SUMIFS(COMPRAS!$O$3:$O$4997,COMPRAS!$G$3:$G$4997,A26,COMPRAS!$B$3:$B$4997,"&gt;="&amp;$C$4,COMPRAS!$B$3:$B$4997,"&lt;="&amp;$D$4))</f>
        <v>0</v>
      </c>
      <c r="E26" s="48" t="str">
        <f aca="false">IF(C26&gt;0,D26/IF(H26&lt;&gt;"",H26,C26),"")</f>
        <v/>
      </c>
      <c r="F26" s="54" t="n">
        <f aca="false">IF(AND($C$4="",$D$4=""),COUNTIF(COMPRAS!$G$3:$G$4997,A26),COUNTIFS(COMPRAS!$G$3:$G$4997,A26,COMPRAS!$B$3:$B$4997,"&gt;="&amp;$C$4,COMPRAS!$B$3:$B$4997,"&lt;="&amp;$D$4))</f>
        <v>0</v>
      </c>
      <c r="G26" s="55" t="str">
        <f aca="false">IF(C26&gt;0,"SI","")</f>
        <v/>
      </c>
      <c r="H26" s="47"/>
    </row>
    <row r="27" customFormat="false" ht="15" hidden="true" customHeight="true" outlineLevel="0" collapsed="false">
      <c r="A27" s="45" t="s">
        <v>79</v>
      </c>
      <c r="B27" s="46" t="s">
        <v>80</v>
      </c>
      <c r="C27" s="47" t="n">
        <f aca="false">IF(AND($C$4="",$D$4=""),SUMIFS(COMPRAS!$J$3:$J$4997,COMPRAS!$G$3:$G$4997,A27),SUMIFS(COMPRAS!$J$3:$J$4997,COMPRAS!$G$3:$G$4997,A27,COMPRAS!$B$3:$B$4997,"&gt;="&amp;$C$4,COMPRAS!$B$3:$B$4997,"&lt;="&amp;$D$4))</f>
        <v>0</v>
      </c>
      <c r="D27" s="47" t="n">
        <f aca="false">IF(AND($C$4="",$D$4=""),SUMIFS(COMPRAS!$O$3:$O$4997,COMPRAS!$G$3:$G$4997,A27),SUMIFS(COMPRAS!$O$3:$O$4997,COMPRAS!$G$3:$G$4997,A27,COMPRAS!$B$3:$B$4997,"&gt;="&amp;$C$4,COMPRAS!$B$3:$B$4997,"&lt;="&amp;$D$4))</f>
        <v>0</v>
      </c>
      <c r="E27" s="48" t="str">
        <f aca="false">IF(C27&gt;0,D27/IF(H27&lt;&gt;"",H27,C27),"")</f>
        <v/>
      </c>
      <c r="F27" s="49" t="n">
        <f aca="false">IF(AND($C$4="",$D$4=""),COUNTIF(COMPRAS!$G$3:$G$4997,A27),COUNTIFS(COMPRAS!$G$3:$G$4997,A27,COMPRAS!$B$3:$B$4997,"&gt;="&amp;$C$4,COMPRAS!$B$3:$B$4997,"&lt;="&amp;$D$4))</f>
        <v>0</v>
      </c>
      <c r="G27" s="50" t="str">
        <f aca="false">IF(C27&gt;0,"SI","")</f>
        <v/>
      </c>
      <c r="H27" s="47"/>
    </row>
    <row r="28" customFormat="false" ht="15" hidden="true" customHeight="true" outlineLevel="0" collapsed="false">
      <c r="A28" s="51" t="s">
        <v>81</v>
      </c>
      <c r="B28" s="52" t="s">
        <v>82</v>
      </c>
      <c r="C28" s="53" t="n">
        <f aca="false">IF(AND($C$4="",$D$4=""),SUMIFS(COMPRAS!$J$3:$J$4997,COMPRAS!$G$3:$G$4997,A28),SUMIFS(COMPRAS!$J$3:$J$4997,COMPRAS!$G$3:$G$4997,A28,COMPRAS!$B$3:$B$4997,"&gt;="&amp;$C$4,COMPRAS!$B$3:$B$4997,"&lt;="&amp;$D$4))</f>
        <v>0</v>
      </c>
      <c r="D28" s="53" t="n">
        <f aca="false">IF(AND($C$4="",$D$4=""),SUMIFS(COMPRAS!$O$3:$O$4997,COMPRAS!$G$3:$G$4997,A28),SUMIFS(COMPRAS!$O$3:$O$4997,COMPRAS!$G$3:$G$4997,A28,COMPRAS!$B$3:$B$4997,"&gt;="&amp;$C$4,COMPRAS!$B$3:$B$4997,"&lt;="&amp;$D$4))</f>
        <v>0</v>
      </c>
      <c r="E28" s="48" t="str">
        <f aca="false">IF(C28&gt;0,D28/IF(H28&lt;&gt;"",H28,C28),"")</f>
        <v/>
      </c>
      <c r="F28" s="54" t="n">
        <f aca="false">IF(AND($C$4="",$D$4=""),COUNTIF(COMPRAS!$G$3:$G$4997,A28),COUNTIFS(COMPRAS!$G$3:$G$4997,A28,COMPRAS!$B$3:$B$4997,"&gt;="&amp;$C$4,COMPRAS!$B$3:$B$4997,"&lt;="&amp;$D$4))</f>
        <v>0</v>
      </c>
      <c r="G28" s="55" t="str">
        <f aca="false">IF(C28&gt;0,"SI","")</f>
        <v/>
      </c>
      <c r="H28" s="47"/>
    </row>
    <row r="29" customFormat="false" ht="15" hidden="true" customHeight="true" outlineLevel="0" collapsed="false">
      <c r="A29" s="45" t="s">
        <v>83</v>
      </c>
      <c r="B29" s="46" t="s">
        <v>84</v>
      </c>
      <c r="C29" s="56" t="n">
        <f aca="false">IF(AND($C$4="",$D$4=""),SUMIFS(COMPRAS!$J$3:$J$4997,COMPRAS!$G$3:$G$4997,A29),SUMIFS(COMPRAS!$J$3:$J$4997,COMPRAS!$G$3:$G$4997,A29,COMPRAS!$B$3:$B$4997,"&gt;="&amp;$C$4,COMPRAS!$B$3:$B$4997,"&lt;="&amp;$D$4))</f>
        <v>0</v>
      </c>
      <c r="D29" s="47" t="n">
        <f aca="false">IF(AND($C$4="",$D$4=""),SUMIFS(COMPRAS!$O$3:$O$4997,COMPRAS!$G$3:$G$4997,A29),SUMIFS(COMPRAS!$O$3:$O$4997,COMPRAS!$G$3:$G$4997,A29,COMPRAS!$B$3:$B$4997,"&gt;="&amp;$C$4,COMPRAS!$B$3:$B$4997,"&lt;="&amp;$D$4))</f>
        <v>0</v>
      </c>
      <c r="E29" s="48" t="str">
        <f aca="false">IF(C29&gt;0,D29/IF(H29&lt;&gt;"",H29,C29),"")</f>
        <v/>
      </c>
      <c r="F29" s="49" t="n">
        <f aca="false">IF(AND($C$4="",$D$4=""),COUNTIF(COMPRAS!$G$3:$G$4997,A29),COUNTIFS(COMPRAS!$G$3:$G$4997,A29,COMPRAS!$B$3:$B$4997,"&gt;="&amp;$C$4,COMPRAS!$B$3:$B$4997,"&lt;="&amp;$D$4))</f>
        <v>0</v>
      </c>
      <c r="G29" s="50" t="str">
        <f aca="false">IF(C29&gt;0,"SI","")</f>
        <v/>
      </c>
      <c r="H29" s="47"/>
    </row>
    <row r="30" customFormat="false" ht="15" hidden="true" customHeight="true" outlineLevel="0" collapsed="false">
      <c r="A30" s="51" t="s">
        <v>85</v>
      </c>
      <c r="B30" s="52" t="s">
        <v>86</v>
      </c>
      <c r="C30" s="53" t="n">
        <f aca="false">IF(AND($C$4="",$D$4=""),SUMIFS(COMPRAS!$J$3:$J$4997,COMPRAS!$G$3:$G$4997,A30),SUMIFS(COMPRAS!$J$3:$J$4997,COMPRAS!$G$3:$G$4997,A30,COMPRAS!$B$3:$B$4997,"&gt;="&amp;$C$4,COMPRAS!$B$3:$B$4997,"&lt;="&amp;$D$4))</f>
        <v>0</v>
      </c>
      <c r="D30" s="53" t="n">
        <f aca="false">IF(AND($C$4="",$D$4=""),SUMIFS(COMPRAS!$O$3:$O$4997,COMPRAS!$G$3:$G$4997,A30),SUMIFS(COMPRAS!$O$3:$O$4997,COMPRAS!$G$3:$G$4997,A30,COMPRAS!$B$3:$B$4997,"&gt;="&amp;$C$4,COMPRAS!$B$3:$B$4997,"&lt;="&amp;$D$4))</f>
        <v>0</v>
      </c>
      <c r="E30" s="48" t="str">
        <f aca="false">IF(C30&gt;0,D30/IF(H30&lt;&gt;"",H30,C30),"")</f>
        <v/>
      </c>
      <c r="F30" s="54" t="n">
        <f aca="false">IF(AND($C$4="",$D$4=""),COUNTIF(COMPRAS!$G$3:$G$4997,A30),COUNTIFS(COMPRAS!$G$3:$G$4997,A30,COMPRAS!$B$3:$B$4997,"&gt;="&amp;$C$4,COMPRAS!$B$3:$B$4997,"&lt;="&amp;$D$4))</f>
        <v>0</v>
      </c>
      <c r="G30" s="55" t="str">
        <f aca="false">IF(C30&gt;0,"SI","")</f>
        <v/>
      </c>
      <c r="H30" s="47"/>
    </row>
    <row r="31" customFormat="false" ht="15" hidden="true" customHeight="true" outlineLevel="0" collapsed="false">
      <c r="A31" s="45" t="s">
        <v>87</v>
      </c>
      <c r="B31" s="46" t="s">
        <v>88</v>
      </c>
      <c r="C31" s="47" t="n">
        <f aca="false">IF(AND($C$4="",$D$4=""),SUMIFS(COMPRAS!$J$3:$J$4997,COMPRAS!$G$3:$G$4997,A31),SUMIFS(COMPRAS!$J$3:$J$4997,COMPRAS!$G$3:$G$4997,A31,COMPRAS!$B$3:$B$4997,"&gt;="&amp;$C$4,COMPRAS!$B$3:$B$4997,"&lt;="&amp;$D$4))</f>
        <v>0</v>
      </c>
      <c r="D31" s="47" t="n">
        <f aca="false">IF(AND($C$4="",$D$4=""),SUMIFS(COMPRAS!$O$3:$O$4997,COMPRAS!$G$3:$G$4997,A31),SUMIFS(COMPRAS!$O$3:$O$4997,COMPRAS!$G$3:$G$4997,A31,COMPRAS!$B$3:$B$4997,"&gt;="&amp;$C$4,COMPRAS!$B$3:$B$4997,"&lt;="&amp;$D$4))</f>
        <v>0</v>
      </c>
      <c r="E31" s="48" t="str">
        <f aca="false">IF(C31&gt;0,D31/IF(H31&lt;&gt;"",H31,C31),"")</f>
        <v/>
      </c>
      <c r="F31" s="49" t="n">
        <f aca="false">IF(AND($C$4="",$D$4=""),COUNTIF(COMPRAS!$G$3:$G$4997,A31),COUNTIFS(COMPRAS!$G$3:$G$4997,A31,COMPRAS!$B$3:$B$4997,"&gt;="&amp;$C$4,COMPRAS!$B$3:$B$4997,"&lt;="&amp;$D$4))</f>
        <v>0</v>
      </c>
      <c r="G31" s="50" t="str">
        <f aca="false">IF(C31&gt;0,"SI","")</f>
        <v/>
      </c>
      <c r="H31" s="47"/>
    </row>
    <row r="32" customFormat="false" ht="15" hidden="true" customHeight="true" outlineLevel="0" collapsed="false">
      <c r="A32" s="51" t="s">
        <v>89</v>
      </c>
      <c r="B32" s="52" t="s">
        <v>90</v>
      </c>
      <c r="C32" s="53" t="n">
        <f aca="false">IF(AND($C$4="",$D$4=""),SUMIFS(COMPRAS!$J$3:$J$4997,COMPRAS!$G$3:$G$4997,A32),SUMIFS(COMPRAS!$J$3:$J$4997,COMPRAS!$G$3:$G$4997,A32,COMPRAS!$B$3:$B$4997,"&gt;="&amp;$C$4,COMPRAS!$B$3:$B$4997,"&lt;="&amp;$D$4))</f>
        <v>0</v>
      </c>
      <c r="D32" s="53" t="n">
        <f aca="false">IF(AND($C$4="",$D$4=""),SUMIFS(COMPRAS!$O$3:$O$4997,COMPRAS!$G$3:$G$4997,A32),SUMIFS(COMPRAS!$O$3:$O$4997,COMPRAS!$G$3:$G$4997,A32,COMPRAS!$B$3:$B$4997,"&gt;="&amp;$C$4,COMPRAS!$B$3:$B$4997,"&lt;="&amp;$D$4))</f>
        <v>0</v>
      </c>
      <c r="E32" s="48" t="str">
        <f aca="false">IF(C32&gt;0,D32/IF(H32&lt;&gt;"",H32,C32),"")</f>
        <v/>
      </c>
      <c r="F32" s="54" t="n">
        <f aca="false">IF(AND($C$4="",$D$4=""),COUNTIF(COMPRAS!$G$3:$G$4997,A32),COUNTIFS(COMPRAS!$G$3:$G$4997,A32,COMPRAS!$B$3:$B$4997,"&gt;="&amp;$C$4,COMPRAS!$B$3:$B$4997,"&lt;="&amp;$D$4))</f>
        <v>0</v>
      </c>
      <c r="G32" s="55" t="str">
        <f aca="false">IF(C32&gt;0,"SI","")</f>
        <v/>
      </c>
      <c r="H32" s="47"/>
    </row>
    <row r="33" customFormat="false" ht="15" hidden="true" customHeight="true" outlineLevel="0" collapsed="false">
      <c r="A33" s="45" t="s">
        <v>91</v>
      </c>
      <c r="B33" s="46" t="s">
        <v>92</v>
      </c>
      <c r="C33" s="47" t="n">
        <f aca="false">IF(AND($C$4="",$D$4=""),SUMIFS(COMPRAS!$J$3:$J$4997,COMPRAS!$G$3:$G$4997,A33),SUMIFS(COMPRAS!$J$3:$J$4997,COMPRAS!$G$3:$G$4997,A33,COMPRAS!$B$3:$B$4997,"&gt;="&amp;$C$4,COMPRAS!$B$3:$B$4997,"&lt;="&amp;$D$4))</f>
        <v>0</v>
      </c>
      <c r="D33" s="47" t="n">
        <f aca="false">IF(AND($C$4="",$D$4=""),SUMIFS(COMPRAS!$O$3:$O$4997,COMPRAS!$G$3:$G$4997,A33),SUMIFS(COMPRAS!$O$3:$O$4997,COMPRAS!$G$3:$G$4997,A33,COMPRAS!$B$3:$B$4997,"&gt;="&amp;$C$4,COMPRAS!$B$3:$B$4997,"&lt;="&amp;$D$4))</f>
        <v>0</v>
      </c>
      <c r="E33" s="48" t="str">
        <f aca="false">IF(C33&gt;0,D33/IF(H33&lt;&gt;"",H33,C33),"")</f>
        <v/>
      </c>
      <c r="F33" s="49" t="n">
        <f aca="false">IF(AND($C$4="",$D$4=""),COUNTIF(COMPRAS!$G$3:$G$4997,A33),COUNTIFS(COMPRAS!$G$3:$G$4997,A33,COMPRAS!$B$3:$B$4997,"&gt;="&amp;$C$4,COMPRAS!$B$3:$B$4997,"&lt;="&amp;$D$4))</f>
        <v>0</v>
      </c>
      <c r="G33" s="50" t="str">
        <f aca="false">IF(C33&gt;0,"SI","")</f>
        <v/>
      </c>
      <c r="H33" s="47"/>
    </row>
    <row r="34" customFormat="false" ht="15" hidden="true" customHeight="true" outlineLevel="0" collapsed="false">
      <c r="A34" s="51" t="s">
        <v>93</v>
      </c>
      <c r="B34" s="52" t="s">
        <v>94</v>
      </c>
      <c r="C34" s="53" t="n">
        <f aca="false">IF(AND($C$4="",$D$4=""),SUMIFS(COMPRAS!$J$3:$J$4997,COMPRAS!$G$3:$G$4997,A34),SUMIFS(COMPRAS!$J$3:$J$4997,COMPRAS!$G$3:$G$4997,A34,COMPRAS!$B$3:$B$4997,"&gt;="&amp;$C$4,COMPRAS!$B$3:$B$4997,"&lt;="&amp;$D$4))</f>
        <v>0</v>
      </c>
      <c r="D34" s="53" t="n">
        <f aca="false">IF(AND($C$4="",$D$4=""),SUMIFS(COMPRAS!$O$3:$O$4997,COMPRAS!$G$3:$G$4997,A34),SUMIFS(COMPRAS!$O$3:$O$4997,COMPRAS!$G$3:$G$4997,A34,COMPRAS!$B$3:$B$4997,"&gt;="&amp;$C$4,COMPRAS!$B$3:$B$4997,"&lt;="&amp;$D$4))</f>
        <v>0</v>
      </c>
      <c r="E34" s="48" t="str">
        <f aca="false">IF(C34&gt;0,D34/IF(H34&lt;&gt;"",H34,C34),"")</f>
        <v/>
      </c>
      <c r="F34" s="54" t="n">
        <f aca="false">IF(AND($C$4="",$D$4=""),COUNTIF(COMPRAS!$G$3:$G$4997,A34),COUNTIFS(COMPRAS!$G$3:$G$4997,A34,COMPRAS!$B$3:$B$4997,"&gt;="&amp;$C$4,COMPRAS!$B$3:$B$4997,"&lt;="&amp;$D$4))</f>
        <v>0</v>
      </c>
      <c r="G34" s="55" t="str">
        <f aca="false">IF(C34&gt;0,"SI","")</f>
        <v/>
      </c>
      <c r="H34" s="47"/>
    </row>
    <row r="35" customFormat="false" ht="15" hidden="true" customHeight="true" outlineLevel="0" collapsed="false">
      <c r="A35" s="45" t="s">
        <v>95</v>
      </c>
      <c r="B35" s="46" t="s">
        <v>96</v>
      </c>
      <c r="C35" s="47" t="n">
        <f aca="false">IF(AND($C$4="",$D$4=""),SUMIFS(COMPRAS!$J$3:$J$4997,COMPRAS!$G$3:$G$4997,A35),SUMIFS(COMPRAS!$J$3:$J$4997,COMPRAS!$G$3:$G$4997,A35,COMPRAS!$B$3:$B$4997,"&gt;="&amp;$C$4,COMPRAS!$B$3:$B$4997,"&lt;="&amp;$D$4))</f>
        <v>0</v>
      </c>
      <c r="D35" s="47" t="n">
        <f aca="false">IF(AND($C$4="",$D$4=""),SUMIFS(COMPRAS!$O$3:$O$4997,COMPRAS!$G$3:$G$4997,A35),SUMIFS(COMPRAS!$O$3:$O$4997,COMPRAS!$G$3:$G$4997,A35,COMPRAS!$B$3:$B$4997,"&gt;="&amp;$C$4,COMPRAS!$B$3:$B$4997,"&lt;="&amp;$D$4))</f>
        <v>0</v>
      </c>
      <c r="E35" s="48" t="str">
        <f aca="false">IF(C35&gt;0,D35/IF(H35&lt;&gt;"",H35,C35),"")</f>
        <v/>
      </c>
      <c r="F35" s="49" t="n">
        <f aca="false">IF(AND($C$4="",$D$4=""),COUNTIF(COMPRAS!$G$3:$G$4997,A35),COUNTIFS(COMPRAS!$G$3:$G$4997,A35,COMPRAS!$B$3:$B$4997,"&gt;="&amp;$C$4,COMPRAS!$B$3:$B$4997,"&lt;="&amp;$D$4))</f>
        <v>0</v>
      </c>
      <c r="G35" s="50" t="str">
        <f aca="false">IF(C35&gt;0,"SI","")</f>
        <v/>
      </c>
      <c r="H35" s="47"/>
    </row>
    <row r="36" customFormat="false" ht="15" hidden="true" customHeight="true" outlineLevel="0" collapsed="false">
      <c r="A36" s="51" t="s">
        <v>97</v>
      </c>
      <c r="B36" s="52" t="s">
        <v>98</v>
      </c>
      <c r="C36" s="53" t="n">
        <f aca="false">IF(AND($C$4="",$D$4=""),SUMIFS(COMPRAS!$J$3:$J$4997,COMPRAS!$G$3:$G$4997,A36),SUMIFS(COMPRAS!$J$3:$J$4997,COMPRAS!$G$3:$G$4997,A36,COMPRAS!$B$3:$B$4997,"&gt;="&amp;$C$4,COMPRAS!$B$3:$B$4997,"&lt;="&amp;$D$4))</f>
        <v>0</v>
      </c>
      <c r="D36" s="53" t="n">
        <f aca="false">IF(AND($C$4="",$D$4=""),SUMIFS(COMPRAS!$O$3:$O$4997,COMPRAS!$G$3:$G$4997,A36),SUMIFS(COMPRAS!$O$3:$O$4997,COMPRAS!$G$3:$G$4997,A36,COMPRAS!$B$3:$B$4997,"&gt;="&amp;$C$4,COMPRAS!$B$3:$B$4997,"&lt;="&amp;$D$4))</f>
        <v>0</v>
      </c>
      <c r="E36" s="48" t="str">
        <f aca="false">IF(C36&gt;0,D36/IF(H36&lt;&gt;"",H36,C36),"")</f>
        <v/>
      </c>
      <c r="F36" s="54" t="n">
        <f aca="false">IF(AND($C$4="",$D$4=""),COUNTIF(COMPRAS!$G$3:$G$4997,A36),COUNTIFS(COMPRAS!$G$3:$G$4997,A36,COMPRAS!$B$3:$B$4997,"&gt;="&amp;$C$4,COMPRAS!$B$3:$B$4997,"&lt;="&amp;$D$4))</f>
        <v>0</v>
      </c>
      <c r="G36" s="55" t="str">
        <f aca="false">IF(C36&gt;0,"SI","")</f>
        <v/>
      </c>
      <c r="H36" s="47"/>
    </row>
    <row r="37" customFormat="false" ht="15" hidden="true" customHeight="true" outlineLevel="0" collapsed="false">
      <c r="A37" s="45" t="s">
        <v>99</v>
      </c>
      <c r="B37" s="46" t="s">
        <v>100</v>
      </c>
      <c r="C37" s="47" t="n">
        <f aca="false">IF(AND($C$4="",$D$4=""),SUMIFS(COMPRAS!$J$3:$J$4997,COMPRAS!$G$3:$G$4997,A37),SUMIFS(COMPRAS!$J$3:$J$4997,COMPRAS!$G$3:$G$4997,A37,COMPRAS!$B$3:$B$4997,"&gt;="&amp;$C$4,COMPRAS!$B$3:$B$4997,"&lt;="&amp;$D$4))</f>
        <v>0</v>
      </c>
      <c r="D37" s="47" t="n">
        <f aca="false">IF(AND($C$4="",$D$4=""),SUMIFS(COMPRAS!$O$3:$O$4997,COMPRAS!$G$3:$G$4997,A37),SUMIFS(COMPRAS!$O$3:$O$4997,COMPRAS!$G$3:$G$4997,A37,COMPRAS!$B$3:$B$4997,"&gt;="&amp;$C$4,COMPRAS!$B$3:$B$4997,"&lt;="&amp;$D$4))</f>
        <v>0</v>
      </c>
      <c r="E37" s="48" t="str">
        <f aca="false">IF(C37&gt;0,D37/IF(H37&lt;&gt;"",H37,C37),"")</f>
        <v/>
      </c>
      <c r="F37" s="49" t="n">
        <f aca="false">IF(AND($C$4="",$D$4=""),COUNTIF(COMPRAS!$G$3:$G$4997,A37),COUNTIFS(COMPRAS!$G$3:$G$4997,A37,COMPRAS!$B$3:$B$4997,"&gt;="&amp;$C$4,COMPRAS!$B$3:$B$4997,"&lt;="&amp;$D$4))</f>
        <v>0</v>
      </c>
      <c r="G37" s="50" t="str">
        <f aca="false">IF(C37&gt;0,"SI","")</f>
        <v/>
      </c>
      <c r="H37" s="47"/>
    </row>
    <row r="38" customFormat="false" ht="15" hidden="true" customHeight="true" outlineLevel="0" collapsed="false">
      <c r="A38" s="51" t="s">
        <v>101</v>
      </c>
      <c r="B38" s="52" t="s">
        <v>102</v>
      </c>
      <c r="C38" s="53" t="n">
        <f aca="false">IF(AND($C$4="",$D$4=""),SUMIFS(COMPRAS!$J$3:$J$4997,COMPRAS!$G$3:$G$4997,A38),SUMIFS(COMPRAS!$J$3:$J$4997,COMPRAS!$G$3:$G$4997,A38,COMPRAS!$B$3:$B$4997,"&gt;="&amp;$C$4,COMPRAS!$B$3:$B$4997,"&lt;="&amp;$D$4))</f>
        <v>0</v>
      </c>
      <c r="D38" s="53" t="n">
        <f aca="false">IF(AND($C$4="",$D$4=""),SUMIFS(COMPRAS!$O$3:$O$4997,COMPRAS!$G$3:$G$4997,A38),SUMIFS(COMPRAS!$O$3:$O$4997,COMPRAS!$G$3:$G$4997,A38,COMPRAS!$B$3:$B$4997,"&gt;="&amp;$C$4,COMPRAS!$B$3:$B$4997,"&lt;="&amp;$D$4))</f>
        <v>0</v>
      </c>
      <c r="E38" s="48" t="str">
        <f aca="false">IF(C38&gt;0,D38/IF(H38&lt;&gt;"",H38,C38),"")</f>
        <v/>
      </c>
      <c r="F38" s="54" t="n">
        <f aca="false">IF(AND($C$4="",$D$4=""),COUNTIF(COMPRAS!$G$3:$G$4997,A38),COUNTIFS(COMPRAS!$G$3:$G$4997,A38,COMPRAS!$B$3:$B$4997,"&gt;="&amp;$C$4,COMPRAS!$B$3:$B$4997,"&lt;="&amp;$D$4))</f>
        <v>0</v>
      </c>
      <c r="G38" s="55" t="str">
        <f aca="false">IF(C38&gt;0,"SI","")</f>
        <v/>
      </c>
      <c r="H38" s="47"/>
    </row>
    <row r="39" customFormat="false" ht="15" hidden="true" customHeight="true" outlineLevel="0" collapsed="false">
      <c r="A39" s="45" t="s">
        <v>103</v>
      </c>
      <c r="B39" s="46" t="s">
        <v>104</v>
      </c>
      <c r="C39" s="57" t="n">
        <f aca="false">IF(AND($C$4="",$D$4=""),SUMIFS(COMPRAS!$J$3:$J$4997,COMPRAS!$G$3:$G$4997,A39),SUMIFS(COMPRAS!$J$3:$J$4997,COMPRAS!$G$3:$G$4997,A39,COMPRAS!$B$3:$B$4997,"&gt;="&amp;$C$4,COMPRAS!$B$3:$B$4997,"&lt;="&amp;$D$4))</f>
        <v>0</v>
      </c>
      <c r="D39" s="47" t="n">
        <f aca="false">IF(AND($C$4="",$D$4=""),SUMIFS(COMPRAS!$O$3:$O$4997,COMPRAS!$G$3:$G$4997,A39),SUMIFS(COMPRAS!$O$3:$O$4997,COMPRAS!$G$3:$G$4997,A39,COMPRAS!$B$3:$B$4997,"&gt;="&amp;$C$4,COMPRAS!$B$3:$B$4997,"&lt;="&amp;$D$4))</f>
        <v>0</v>
      </c>
      <c r="E39" s="48" t="str">
        <f aca="false">IF(C39&gt;0,D39/IF(H39&lt;&gt;"",H39,C39),"")</f>
        <v/>
      </c>
      <c r="F39" s="49" t="n">
        <f aca="false">IF(AND($C$4="",$D$4=""),COUNTIF(COMPRAS!$G$3:$G$4997,A39),COUNTIFS(COMPRAS!$G$3:$G$4997,A39,COMPRAS!$B$3:$B$4997,"&gt;="&amp;$C$4,COMPRAS!$B$3:$B$4997,"&lt;="&amp;$D$4))</f>
        <v>0</v>
      </c>
      <c r="G39" s="50" t="str">
        <f aca="false">IF(C39&gt;0,"SI","")</f>
        <v/>
      </c>
      <c r="H39" s="47"/>
    </row>
    <row r="40" customFormat="false" ht="15" hidden="true" customHeight="true" outlineLevel="0" collapsed="false">
      <c r="A40" s="51" t="s">
        <v>105</v>
      </c>
      <c r="B40" s="52" t="s">
        <v>106</v>
      </c>
      <c r="C40" s="53" t="n">
        <f aca="false">IF(AND($C$4="",$D$4=""),SUMIFS(COMPRAS!$J$3:$J$4997,COMPRAS!$G$3:$G$4997,A40),SUMIFS(COMPRAS!$J$3:$J$4997,COMPRAS!$G$3:$G$4997,A40,COMPRAS!$B$3:$B$4997,"&gt;="&amp;$C$4,COMPRAS!$B$3:$B$4997,"&lt;="&amp;$D$4))</f>
        <v>0</v>
      </c>
      <c r="D40" s="53" t="n">
        <f aca="false">IF(AND($C$4="",$D$4=""),SUMIFS(COMPRAS!$O$3:$O$4997,COMPRAS!$G$3:$G$4997,A40),SUMIFS(COMPRAS!$O$3:$O$4997,COMPRAS!$G$3:$G$4997,A40,COMPRAS!$B$3:$B$4997,"&gt;="&amp;$C$4,COMPRAS!$B$3:$B$4997,"&lt;="&amp;$D$4))</f>
        <v>0</v>
      </c>
      <c r="E40" s="48" t="str">
        <f aca="false">IF(C40&gt;0,D40/IF(H40&lt;&gt;"",H40,C40),"")</f>
        <v/>
      </c>
      <c r="F40" s="54" t="n">
        <f aca="false">IF(AND($C$4="",$D$4=""),COUNTIF(COMPRAS!$G$3:$G$4997,A40),COUNTIFS(COMPRAS!$G$3:$G$4997,A40,COMPRAS!$B$3:$B$4997,"&gt;="&amp;$C$4,COMPRAS!$B$3:$B$4997,"&lt;="&amp;$D$4))</f>
        <v>0</v>
      </c>
      <c r="G40" s="55" t="str">
        <f aca="false">IF(C40&gt;0,"SI","")</f>
        <v/>
      </c>
      <c r="H40" s="47"/>
    </row>
    <row r="41" customFormat="false" ht="15" hidden="true" customHeight="true" outlineLevel="0" collapsed="false">
      <c r="A41" s="45" t="s">
        <v>107</v>
      </c>
      <c r="B41" s="46" t="s">
        <v>108</v>
      </c>
      <c r="C41" s="47" t="n">
        <f aca="false">IF(AND($C$4="",$D$4=""),SUMIFS(COMPRAS!$J$3:$J$4997,COMPRAS!$G$3:$G$4997,A41),SUMIFS(COMPRAS!$J$3:$J$4997,COMPRAS!$G$3:$G$4997,A41,COMPRAS!$B$3:$B$4997,"&gt;="&amp;$C$4,COMPRAS!$B$3:$B$4997,"&lt;="&amp;$D$4))</f>
        <v>0</v>
      </c>
      <c r="D41" s="47" t="n">
        <f aca="false">IF(AND($C$4="",$D$4=""),SUMIFS(COMPRAS!$O$3:$O$4997,COMPRAS!$G$3:$G$4997,A41),SUMIFS(COMPRAS!$O$3:$O$4997,COMPRAS!$G$3:$G$4997,A41,COMPRAS!$B$3:$B$4997,"&gt;="&amp;$C$4,COMPRAS!$B$3:$B$4997,"&lt;="&amp;$D$4))</f>
        <v>0</v>
      </c>
      <c r="E41" s="48" t="str">
        <f aca="false">IF(C41&gt;0,D41/IF(H41&lt;&gt;"",H41,C41),"")</f>
        <v/>
      </c>
      <c r="F41" s="49" t="n">
        <f aca="false">IF(AND($C$4="",$D$4=""),COUNTIF(COMPRAS!$G$3:$G$4997,A41),COUNTIFS(COMPRAS!$G$3:$G$4997,A41,COMPRAS!$B$3:$B$4997,"&gt;="&amp;$C$4,COMPRAS!$B$3:$B$4997,"&lt;="&amp;$D$4))</f>
        <v>0</v>
      </c>
      <c r="G41" s="50" t="str">
        <f aca="false">IF(C41&gt;0,"SI","")</f>
        <v/>
      </c>
      <c r="H41" s="47"/>
    </row>
    <row r="42" customFormat="false" ht="15" hidden="true" customHeight="true" outlineLevel="0" collapsed="false">
      <c r="A42" s="51" t="s">
        <v>109</v>
      </c>
      <c r="B42" s="52" t="s">
        <v>110</v>
      </c>
      <c r="C42" s="53" t="n">
        <f aca="false">IF(AND($C$4="",$D$4=""),SUMIFS(COMPRAS!$J$3:$J$4997,COMPRAS!$G$3:$G$4997,A42),SUMIFS(COMPRAS!$J$3:$J$4997,COMPRAS!$G$3:$G$4997,A42,COMPRAS!$B$3:$B$4997,"&gt;="&amp;$C$4,COMPRAS!$B$3:$B$4997,"&lt;="&amp;$D$4))</f>
        <v>0</v>
      </c>
      <c r="D42" s="53" t="n">
        <f aca="false">IF(AND($C$4="",$D$4=""),SUMIFS(COMPRAS!$O$3:$O$4997,COMPRAS!$G$3:$G$4997,A42),SUMIFS(COMPRAS!$O$3:$O$4997,COMPRAS!$G$3:$G$4997,A42,COMPRAS!$B$3:$B$4997,"&gt;="&amp;$C$4,COMPRAS!$B$3:$B$4997,"&lt;="&amp;$D$4))</f>
        <v>0</v>
      </c>
      <c r="E42" s="48" t="str">
        <f aca="false">IF(C42&gt;0,D42/IF(H42&lt;&gt;"",H42,C42),"")</f>
        <v/>
      </c>
      <c r="F42" s="54" t="n">
        <f aca="false">IF(AND($C$4="",$D$4=""),COUNTIF(COMPRAS!$G$3:$G$4997,A42),COUNTIFS(COMPRAS!$G$3:$G$4997,A42,COMPRAS!$B$3:$B$4997,"&gt;="&amp;$C$4,COMPRAS!$B$3:$B$4997,"&lt;="&amp;$D$4))</f>
        <v>0</v>
      </c>
      <c r="G42" s="55" t="str">
        <f aca="false">IF(C42&gt;0,"SI","")</f>
        <v/>
      </c>
      <c r="H42" s="47"/>
    </row>
    <row r="43" customFormat="false" ht="15" hidden="true" customHeight="true" outlineLevel="0" collapsed="false">
      <c r="A43" s="45" t="s">
        <v>111</v>
      </c>
      <c r="B43" s="46" t="s">
        <v>112</v>
      </c>
      <c r="C43" s="47" t="n">
        <f aca="false">IF(AND($C$4="",$D$4=""),SUMIFS(COMPRAS!$J$3:$J$4997,COMPRAS!$G$3:$G$4997,A43),SUMIFS(COMPRAS!$J$3:$J$4997,COMPRAS!$G$3:$G$4997,A43,COMPRAS!$B$3:$B$4997,"&gt;="&amp;$C$4,COMPRAS!$B$3:$B$4997,"&lt;="&amp;$D$4))</f>
        <v>0</v>
      </c>
      <c r="D43" s="47" t="n">
        <f aca="false">IF(AND($C$4="",$D$4=""),SUMIFS(COMPRAS!$O$3:$O$4997,COMPRAS!$G$3:$G$4997,A43),SUMIFS(COMPRAS!$O$3:$O$4997,COMPRAS!$G$3:$G$4997,A43,COMPRAS!$B$3:$B$4997,"&gt;="&amp;$C$4,COMPRAS!$B$3:$B$4997,"&lt;="&amp;$D$4))</f>
        <v>0</v>
      </c>
      <c r="E43" s="48" t="str">
        <f aca="false">IF(C43&gt;0,D43/IF(H43&lt;&gt;"",H43,C43),"")</f>
        <v/>
      </c>
      <c r="F43" s="49" t="n">
        <f aca="false">IF(AND($C$4="",$D$4=""),COUNTIF(COMPRAS!$G$3:$G$4997,A43),COUNTIFS(COMPRAS!$G$3:$G$4997,A43,COMPRAS!$B$3:$B$4997,"&gt;="&amp;$C$4,COMPRAS!$B$3:$B$4997,"&lt;="&amp;$D$4))</f>
        <v>0</v>
      </c>
      <c r="G43" s="50" t="str">
        <f aca="false">IF(C43&gt;0,"SI","")</f>
        <v/>
      </c>
      <c r="H43" s="47"/>
    </row>
    <row r="44" customFormat="false" ht="15" hidden="true" customHeight="true" outlineLevel="0" collapsed="false">
      <c r="A44" s="51" t="s">
        <v>113</v>
      </c>
      <c r="B44" s="52" t="s">
        <v>114</v>
      </c>
      <c r="C44" s="53" t="n">
        <f aca="false">IF(AND($C$4="",$D$4=""),SUMIFS(COMPRAS!$J$3:$J$4997,COMPRAS!$G$3:$G$4997,A44),SUMIFS(COMPRAS!$J$3:$J$4997,COMPRAS!$G$3:$G$4997,A44,COMPRAS!$B$3:$B$4997,"&gt;="&amp;$C$4,COMPRAS!$B$3:$B$4997,"&lt;="&amp;$D$4))</f>
        <v>0</v>
      </c>
      <c r="D44" s="53" t="n">
        <f aca="false">IF(AND($C$4="",$D$4=""),SUMIFS(COMPRAS!$O$3:$O$4997,COMPRAS!$G$3:$G$4997,A44),SUMIFS(COMPRAS!$O$3:$O$4997,COMPRAS!$G$3:$G$4997,A44,COMPRAS!$B$3:$B$4997,"&gt;="&amp;$C$4,COMPRAS!$B$3:$B$4997,"&lt;="&amp;$D$4))</f>
        <v>0</v>
      </c>
      <c r="E44" s="48" t="str">
        <f aca="false">IF(C44&gt;0,D44/IF(H44&lt;&gt;"",H44,C44),"")</f>
        <v/>
      </c>
      <c r="F44" s="54" t="n">
        <f aca="false">IF(AND($C$4="",$D$4=""),COUNTIF(COMPRAS!$G$3:$G$4997,A44),COUNTIFS(COMPRAS!$G$3:$G$4997,A44,COMPRAS!$B$3:$B$4997,"&gt;="&amp;$C$4,COMPRAS!$B$3:$B$4997,"&lt;="&amp;$D$4))</f>
        <v>0</v>
      </c>
      <c r="G44" s="55" t="str">
        <f aca="false">IF(C44&gt;0,"SI","")</f>
        <v/>
      </c>
      <c r="H44" s="47"/>
    </row>
    <row r="45" customFormat="false" ht="15" hidden="true" customHeight="true" outlineLevel="0" collapsed="false">
      <c r="A45" s="45" t="s">
        <v>115</v>
      </c>
      <c r="B45" s="46" t="s">
        <v>116</v>
      </c>
      <c r="C45" s="47" t="n">
        <f aca="false">IF(AND($C$4="",$D$4=""),SUMIFS(COMPRAS!$J$3:$J$4997,COMPRAS!$G$3:$G$4997,A45),SUMIFS(COMPRAS!$J$3:$J$4997,COMPRAS!$G$3:$G$4997,A45,COMPRAS!$B$3:$B$4997,"&gt;="&amp;$C$4,COMPRAS!$B$3:$B$4997,"&lt;="&amp;$D$4))</f>
        <v>0</v>
      </c>
      <c r="D45" s="47" t="n">
        <f aca="false">IF(AND($C$4="",$D$4=""),SUMIFS(COMPRAS!$O$3:$O$4997,COMPRAS!$G$3:$G$4997,A45),SUMIFS(COMPRAS!$O$3:$O$4997,COMPRAS!$G$3:$G$4997,A45,COMPRAS!$B$3:$B$4997,"&gt;="&amp;$C$4,COMPRAS!$B$3:$B$4997,"&lt;="&amp;$D$4))</f>
        <v>0</v>
      </c>
      <c r="E45" s="48" t="str">
        <f aca="false">IF(C45&gt;0,D45/IF(H45&lt;&gt;"",H45,C45),"")</f>
        <v/>
      </c>
      <c r="F45" s="49" t="n">
        <f aca="false">IF(AND($C$4="",$D$4=""),COUNTIF(COMPRAS!$G$3:$G$4997,A45),COUNTIFS(COMPRAS!$G$3:$G$4997,A45,COMPRAS!$B$3:$B$4997,"&gt;="&amp;$C$4,COMPRAS!$B$3:$B$4997,"&lt;="&amp;$D$4))</f>
        <v>0</v>
      </c>
      <c r="G45" s="50" t="str">
        <f aca="false">IF(C45&gt;0,"SI","")</f>
        <v/>
      </c>
      <c r="H45" s="47"/>
    </row>
    <row r="46" customFormat="false" ht="15" hidden="true" customHeight="true" outlineLevel="0" collapsed="false">
      <c r="A46" s="51" t="s">
        <v>117</v>
      </c>
      <c r="B46" s="52" t="s">
        <v>118</v>
      </c>
      <c r="C46" s="53" t="n">
        <f aca="false">IF(AND($C$4="",$D$4=""),SUMIFS(COMPRAS!$J$3:$J$4997,COMPRAS!$G$3:$G$4997,A46),SUMIFS(COMPRAS!$J$3:$J$4997,COMPRAS!$G$3:$G$4997,A46,COMPRAS!$B$3:$B$4997,"&gt;="&amp;$C$4,COMPRAS!$B$3:$B$4997,"&lt;="&amp;$D$4))</f>
        <v>0</v>
      </c>
      <c r="D46" s="53" t="n">
        <f aca="false">IF(AND($C$4="",$D$4=""),SUMIFS(COMPRAS!$O$3:$O$4997,COMPRAS!$G$3:$G$4997,A46),SUMIFS(COMPRAS!$O$3:$O$4997,COMPRAS!$G$3:$G$4997,A46,COMPRAS!$B$3:$B$4997,"&gt;="&amp;$C$4,COMPRAS!$B$3:$B$4997,"&lt;="&amp;$D$4))</f>
        <v>0</v>
      </c>
      <c r="E46" s="48" t="str">
        <f aca="false">IF(C46&gt;0,D46/IF(H46&lt;&gt;"",H46,C46),"")</f>
        <v/>
      </c>
      <c r="F46" s="54" t="n">
        <f aca="false">IF(AND($C$4="",$D$4=""),COUNTIF(COMPRAS!$G$3:$G$4997,A46),COUNTIFS(COMPRAS!$G$3:$G$4997,A46,COMPRAS!$B$3:$B$4997,"&gt;="&amp;$C$4,COMPRAS!$B$3:$B$4997,"&lt;="&amp;$D$4))</f>
        <v>0</v>
      </c>
      <c r="G46" s="55" t="str">
        <f aca="false">IF(C46&gt;0,"SI","")</f>
        <v/>
      </c>
      <c r="H46" s="47"/>
    </row>
    <row r="47" customFormat="false" ht="15" hidden="true" customHeight="true" outlineLevel="0" collapsed="false">
      <c r="A47" s="45" t="s">
        <v>119</v>
      </c>
      <c r="B47" s="46" t="s">
        <v>120</v>
      </c>
      <c r="C47" s="47" t="n">
        <f aca="false">IF(AND($C$4="",$D$4=""),SUMIFS(COMPRAS!$J$3:$J$4997,COMPRAS!$G$3:$G$4997,A47),SUMIFS(COMPRAS!$J$3:$J$4997,COMPRAS!$G$3:$G$4997,A47,COMPRAS!$B$3:$B$4997,"&gt;="&amp;$C$4,COMPRAS!$B$3:$B$4997,"&lt;="&amp;$D$4))</f>
        <v>0</v>
      </c>
      <c r="D47" s="47" t="n">
        <f aca="false">IF(AND($C$4="",$D$4=""),SUMIFS(COMPRAS!$O$3:$O$4997,COMPRAS!$G$3:$G$4997,A47),SUMIFS(COMPRAS!$O$3:$O$4997,COMPRAS!$G$3:$G$4997,A47,COMPRAS!$B$3:$B$4997,"&gt;="&amp;$C$4,COMPRAS!$B$3:$B$4997,"&lt;="&amp;$D$4))</f>
        <v>0</v>
      </c>
      <c r="E47" s="48" t="str">
        <f aca="false">IF(C47&gt;0,D47/IF(H47&lt;&gt;"",H47,C47),"")</f>
        <v/>
      </c>
      <c r="F47" s="49" t="n">
        <f aca="false">IF(AND($C$4="",$D$4=""),COUNTIF(COMPRAS!$G$3:$G$4997,A47),COUNTIFS(COMPRAS!$G$3:$G$4997,A47,COMPRAS!$B$3:$B$4997,"&gt;="&amp;$C$4,COMPRAS!$B$3:$B$4997,"&lt;="&amp;$D$4))</f>
        <v>0</v>
      </c>
      <c r="G47" s="50" t="str">
        <f aca="false">IF(C47&gt;0,"SI","")</f>
        <v/>
      </c>
      <c r="H47" s="47"/>
    </row>
    <row r="48" customFormat="false" ht="15" hidden="true" customHeight="true" outlineLevel="0" collapsed="false">
      <c r="A48" s="51" t="s">
        <v>121</v>
      </c>
      <c r="B48" s="52" t="s">
        <v>122</v>
      </c>
      <c r="C48" s="53" t="n">
        <f aca="false">IF(AND($C$4="",$D$4=""),SUMIFS(COMPRAS!$J$3:$J$4997,COMPRAS!$G$3:$G$4997,A48),SUMIFS(COMPRAS!$J$3:$J$4997,COMPRAS!$G$3:$G$4997,A48,COMPRAS!$B$3:$B$4997,"&gt;="&amp;$C$4,COMPRAS!$B$3:$B$4997,"&lt;="&amp;$D$4))</f>
        <v>0</v>
      </c>
      <c r="D48" s="53" t="n">
        <f aca="false">IF(AND($C$4="",$D$4=""),SUMIFS(COMPRAS!$O$3:$O$4997,COMPRAS!$G$3:$G$4997,A48),SUMIFS(COMPRAS!$O$3:$O$4997,COMPRAS!$G$3:$G$4997,A48,COMPRAS!$B$3:$B$4997,"&gt;="&amp;$C$4,COMPRAS!$B$3:$B$4997,"&lt;="&amp;$D$4))</f>
        <v>0</v>
      </c>
      <c r="E48" s="48" t="str">
        <f aca="false">IF(C48&gt;0,D48/IF(H48&lt;&gt;"",H48,C48),"")</f>
        <v/>
      </c>
      <c r="F48" s="54" t="n">
        <f aca="false">IF(AND($C$4="",$D$4=""),COUNTIF(COMPRAS!$G$3:$G$4997,A48),COUNTIFS(COMPRAS!$G$3:$G$4997,A48,COMPRAS!$B$3:$B$4997,"&gt;="&amp;$C$4,COMPRAS!$B$3:$B$4997,"&lt;="&amp;$D$4))</f>
        <v>0</v>
      </c>
      <c r="G48" s="55" t="str">
        <f aca="false">IF(C48&gt;0,"SI","")</f>
        <v/>
      </c>
      <c r="H48" s="47"/>
    </row>
    <row r="49" customFormat="false" ht="15" hidden="true" customHeight="true" outlineLevel="0" collapsed="false">
      <c r="A49" s="45" t="s">
        <v>123</v>
      </c>
      <c r="B49" s="46" t="s">
        <v>124</v>
      </c>
      <c r="C49" s="47" t="n">
        <f aca="false">IF(AND($C$4="",$D$4=""),SUMIFS(COMPRAS!$J$3:$J$4997,COMPRAS!$G$3:$G$4997,A49),SUMIFS(COMPRAS!$J$3:$J$4997,COMPRAS!$G$3:$G$4997,A49,COMPRAS!$B$3:$B$4997,"&gt;="&amp;$C$4,COMPRAS!$B$3:$B$4997,"&lt;="&amp;$D$4))</f>
        <v>0</v>
      </c>
      <c r="D49" s="47" t="n">
        <f aca="false">IF(AND($C$4="",$D$4=""),SUMIFS(COMPRAS!$O$3:$O$4997,COMPRAS!$G$3:$G$4997,A49),SUMIFS(COMPRAS!$O$3:$O$4997,COMPRAS!$G$3:$G$4997,A49,COMPRAS!$B$3:$B$4997,"&gt;="&amp;$C$4,COMPRAS!$B$3:$B$4997,"&lt;="&amp;$D$4))</f>
        <v>0</v>
      </c>
      <c r="E49" s="48" t="str">
        <f aca="false">IF(C49&gt;0,D49/IF(H49&lt;&gt;"",H49,C49),"")</f>
        <v/>
      </c>
      <c r="F49" s="49" t="n">
        <f aca="false">IF(AND($C$4="",$D$4=""),COUNTIF(COMPRAS!$G$3:$G$4997,A49),COUNTIFS(COMPRAS!$G$3:$G$4997,A49,COMPRAS!$B$3:$B$4997,"&gt;="&amp;$C$4,COMPRAS!$B$3:$B$4997,"&lt;="&amp;$D$4))</f>
        <v>0</v>
      </c>
      <c r="G49" s="50" t="str">
        <f aca="false">IF(C49&gt;0,"SI","")</f>
        <v/>
      </c>
      <c r="H49" s="47"/>
    </row>
    <row r="50" customFormat="false" ht="15" hidden="true" customHeight="true" outlineLevel="0" collapsed="false">
      <c r="A50" s="51" t="s">
        <v>125</v>
      </c>
      <c r="B50" s="52" t="s">
        <v>126</v>
      </c>
      <c r="C50" s="53" t="n">
        <f aca="false">IF(AND($C$4="",$D$4=""),SUMIFS(COMPRAS!$J$3:$J$4997,COMPRAS!$G$3:$G$4997,A50),SUMIFS(COMPRAS!$J$3:$J$4997,COMPRAS!$G$3:$G$4997,A50,COMPRAS!$B$3:$B$4997,"&gt;="&amp;$C$4,COMPRAS!$B$3:$B$4997,"&lt;="&amp;$D$4))</f>
        <v>0</v>
      </c>
      <c r="D50" s="53" t="n">
        <f aca="false">IF(AND($C$4="",$D$4=""),SUMIFS(COMPRAS!$O$3:$O$4997,COMPRAS!$G$3:$G$4997,A50),SUMIFS(COMPRAS!$O$3:$O$4997,COMPRAS!$G$3:$G$4997,A50,COMPRAS!$B$3:$B$4997,"&gt;="&amp;$C$4,COMPRAS!$B$3:$B$4997,"&lt;="&amp;$D$4))</f>
        <v>0</v>
      </c>
      <c r="E50" s="48" t="str">
        <f aca="false">IF(C50&gt;0,D50/IF(H50&lt;&gt;"",H50,C50),"")</f>
        <v/>
      </c>
      <c r="F50" s="54" t="n">
        <f aca="false">IF(AND($C$4="",$D$4=""),COUNTIF(COMPRAS!$G$3:$G$4997,A50),COUNTIFS(COMPRAS!$G$3:$G$4997,A50,COMPRAS!$B$3:$B$4997,"&gt;="&amp;$C$4,COMPRAS!$B$3:$B$4997,"&lt;="&amp;$D$4))</f>
        <v>0</v>
      </c>
      <c r="G50" s="55" t="str">
        <f aca="false">IF(C50&gt;0,"SI","")</f>
        <v/>
      </c>
      <c r="H50" s="47"/>
    </row>
    <row r="51" customFormat="false" ht="15" hidden="true" customHeight="true" outlineLevel="0" collapsed="false">
      <c r="A51" s="45" t="s">
        <v>127</v>
      </c>
      <c r="B51" s="46" t="s">
        <v>128</v>
      </c>
      <c r="C51" s="47" t="n">
        <f aca="false">IF(AND($C$4="",$D$4=""),SUMIFS(COMPRAS!$J$3:$J$4997,COMPRAS!$G$3:$G$4997,A51),SUMIFS(COMPRAS!$J$3:$J$4997,COMPRAS!$G$3:$G$4997,A51,COMPRAS!$B$3:$B$4997,"&gt;="&amp;$C$4,COMPRAS!$B$3:$B$4997,"&lt;="&amp;$D$4))</f>
        <v>0</v>
      </c>
      <c r="D51" s="47" t="n">
        <f aca="false">IF(AND($C$4="",$D$4=""),SUMIFS(COMPRAS!$O$3:$O$4997,COMPRAS!$G$3:$G$4997,A51),SUMIFS(COMPRAS!$O$3:$O$4997,COMPRAS!$G$3:$G$4997,A51,COMPRAS!$B$3:$B$4997,"&gt;="&amp;$C$4,COMPRAS!$B$3:$B$4997,"&lt;="&amp;$D$4))</f>
        <v>0</v>
      </c>
      <c r="E51" s="48" t="str">
        <f aca="false">IF(C51&gt;0,D51/IF(H51&lt;&gt;"",H51,C51),"")</f>
        <v/>
      </c>
      <c r="F51" s="49" t="n">
        <f aca="false">IF(AND($C$4="",$D$4=""),COUNTIF(COMPRAS!$G$3:$G$4997,A51),COUNTIFS(COMPRAS!$G$3:$G$4997,A51,COMPRAS!$B$3:$B$4997,"&gt;="&amp;$C$4,COMPRAS!$B$3:$B$4997,"&lt;="&amp;$D$4))</f>
        <v>0</v>
      </c>
      <c r="G51" s="50" t="str">
        <f aca="false">IF(C51&gt;0,"SI","")</f>
        <v/>
      </c>
      <c r="H51" s="47"/>
    </row>
    <row r="52" customFormat="false" ht="15" hidden="true" customHeight="true" outlineLevel="0" collapsed="false">
      <c r="A52" s="51" t="s">
        <v>129</v>
      </c>
      <c r="B52" s="52" t="s">
        <v>130</v>
      </c>
      <c r="C52" s="53" t="n">
        <f aca="false">IF(AND($C$4="",$D$4=""),SUMIFS(COMPRAS!$J$3:$J$4997,COMPRAS!$G$3:$G$4997,A52),SUMIFS(COMPRAS!$J$3:$J$4997,COMPRAS!$G$3:$G$4997,A52,COMPRAS!$B$3:$B$4997,"&gt;="&amp;$C$4,COMPRAS!$B$3:$B$4997,"&lt;="&amp;$D$4))</f>
        <v>0</v>
      </c>
      <c r="D52" s="53" t="n">
        <f aca="false">IF(AND($C$4="",$D$4=""),SUMIFS(COMPRAS!$O$3:$O$4997,COMPRAS!$G$3:$G$4997,A52),SUMIFS(COMPRAS!$O$3:$O$4997,COMPRAS!$G$3:$G$4997,A52,COMPRAS!$B$3:$B$4997,"&gt;="&amp;$C$4,COMPRAS!$B$3:$B$4997,"&lt;="&amp;$D$4))</f>
        <v>0</v>
      </c>
      <c r="E52" s="48" t="str">
        <f aca="false">IF(C52&gt;0,D52/IF(H52&lt;&gt;"",H52,C52),"")</f>
        <v/>
      </c>
      <c r="F52" s="54" t="n">
        <f aca="false">IF(AND($C$4="",$D$4=""),COUNTIF(COMPRAS!$G$3:$G$4997,A52),COUNTIFS(COMPRAS!$G$3:$G$4997,A52,COMPRAS!$B$3:$B$4997,"&gt;="&amp;$C$4,COMPRAS!$B$3:$B$4997,"&lt;="&amp;$D$4))</f>
        <v>0</v>
      </c>
      <c r="G52" s="55" t="str">
        <f aca="false">IF(C52&gt;0,"SI","")</f>
        <v/>
      </c>
      <c r="H52" s="47"/>
    </row>
    <row r="53" customFormat="false" ht="15" hidden="true" customHeight="true" outlineLevel="0" collapsed="false">
      <c r="A53" s="45" t="s">
        <v>131</v>
      </c>
      <c r="B53" s="46" t="s">
        <v>132</v>
      </c>
      <c r="C53" s="47" t="n">
        <f aca="false">IF(AND($C$4="",$D$4=""),SUMIFS(COMPRAS!$J$3:$J$4997,COMPRAS!$G$3:$G$4997,A53),SUMIFS(COMPRAS!$J$3:$J$4997,COMPRAS!$G$3:$G$4997,A53,COMPRAS!$B$3:$B$4997,"&gt;="&amp;$C$4,COMPRAS!$B$3:$B$4997,"&lt;="&amp;$D$4))</f>
        <v>0</v>
      </c>
      <c r="D53" s="47" t="n">
        <f aca="false">IF(AND($C$4="",$D$4=""),SUMIFS(COMPRAS!$O$3:$O$4997,COMPRAS!$G$3:$G$4997,A53),SUMIFS(COMPRAS!$O$3:$O$4997,COMPRAS!$G$3:$G$4997,A53,COMPRAS!$B$3:$B$4997,"&gt;="&amp;$C$4,COMPRAS!$B$3:$B$4997,"&lt;="&amp;$D$4))</f>
        <v>0</v>
      </c>
      <c r="E53" s="48" t="str">
        <f aca="false">IF(C53&gt;0,D53/IF(H53&lt;&gt;"",H53,C53),"")</f>
        <v/>
      </c>
      <c r="F53" s="49" t="n">
        <f aca="false">IF(AND($C$4="",$D$4=""),COUNTIF(COMPRAS!$G$3:$G$4997,A53),COUNTIFS(COMPRAS!$G$3:$G$4997,A53,COMPRAS!$B$3:$B$4997,"&gt;="&amp;$C$4,COMPRAS!$B$3:$B$4997,"&lt;="&amp;$D$4))</f>
        <v>0</v>
      </c>
      <c r="G53" s="50" t="str">
        <f aca="false">IF(C53&gt;0,"SI","")</f>
        <v/>
      </c>
      <c r="H53" s="47"/>
    </row>
    <row r="54" customFormat="false" ht="15" hidden="true" customHeight="true" outlineLevel="0" collapsed="false">
      <c r="A54" s="51" t="s">
        <v>133</v>
      </c>
      <c r="B54" s="52" t="s">
        <v>134</v>
      </c>
      <c r="C54" s="53" t="n">
        <v>145</v>
      </c>
      <c r="D54" s="53" t="n">
        <f aca="false">IF(AND($C$4="",$D$4=""),SUMIFS(COMPRAS!$O$3:$O$4997,COMPRAS!$G$3:$G$4997,A54),SUMIFS(COMPRAS!$O$3:$O$4997,COMPRAS!$G$3:$G$4997,A54,COMPRAS!$B$3:$B$4997,"&gt;="&amp;$C$4,COMPRAS!$B$3:$B$4997,"&lt;="&amp;$D$4))</f>
        <v>237.7875</v>
      </c>
      <c r="E54" s="48" t="n">
        <f aca="false">IF(C54&gt;0,D54/IF(H54&lt;&gt;"",H54,C54),"")</f>
        <v>1.63991379310345</v>
      </c>
      <c r="F54" s="54" t="n">
        <f aca="false">IF(AND($C$4="",$D$4=""),COUNTIF(COMPRAS!$G$3:$G$4997,A54),COUNTIFS(COMPRAS!$G$3:$G$4997,A54,COMPRAS!$B$3:$B$4997,"&gt;="&amp;$C$4,COMPRAS!$B$3:$B$4997,"&lt;="&amp;$D$4))</f>
        <v>1</v>
      </c>
      <c r="G54" s="58"/>
      <c r="H54" s="47"/>
    </row>
    <row r="55" customFormat="false" ht="15" hidden="false" customHeight="true" outlineLevel="0" collapsed="false">
      <c r="A55" s="45" t="s">
        <v>135</v>
      </c>
      <c r="B55" s="46" t="s">
        <v>136</v>
      </c>
      <c r="C55" s="57" t="n">
        <f aca="false">IF(AND($C$4="",$D$4=""),SUMIFS(COMPRAS!$J$3:$J$4997,COMPRAS!$G$3:$G$4997,A55),SUMIFS(COMPRAS!$J$3:$J$4997,COMPRAS!$G$3:$G$4997,A55,COMPRAS!$B$3:$B$4997,"&gt;="&amp;$C$4,COMPRAS!$B$3:$B$4997,"&lt;="&amp;$D$4))</f>
        <v>50</v>
      </c>
      <c r="D55" s="57" t="n">
        <f aca="false">IF(AND($C$4="",$D$4=""),SUMIFS(COMPRAS!$O$3:$O$4997,COMPRAS!$G$3:$G$4997,A55),SUMIFS(COMPRAS!$O$3:$O$4997,COMPRAS!$G$3:$G$4997,A55,COMPRAS!$B$3:$B$4997,"&gt;="&amp;$C$4,COMPRAS!$B$3:$B$4997,"&lt;="&amp;$D$4))</f>
        <v>196.095</v>
      </c>
      <c r="E55" s="48" t="n">
        <f aca="false">IF(C55&gt;0,D55/IF(H55&lt;&gt;"",H55,C55),"")</f>
        <v>3.9219</v>
      </c>
      <c r="F55" s="49" t="n">
        <f aca="false">IF(AND($C$4="",$D$4=""),COUNTIF(COMPRAS!$G$3:$G$4997,A55),COUNTIFS(COMPRAS!$G$3:$G$4997,A55,COMPRAS!$B$3:$B$4997,"&gt;="&amp;$C$4,COMPRAS!$B$3:$B$4997,"&lt;="&amp;$D$4))</f>
        <v>3</v>
      </c>
      <c r="G55" s="50" t="str">
        <f aca="false">IF(C55&gt;0,"SI","")</f>
        <v>SI</v>
      </c>
      <c r="H55" s="47"/>
    </row>
    <row r="56" customFormat="false" ht="15" hidden="true" customHeight="true" outlineLevel="0" collapsed="false">
      <c r="A56" s="51" t="s">
        <v>137</v>
      </c>
      <c r="B56" s="52" t="s">
        <v>138</v>
      </c>
      <c r="C56" s="57" t="n">
        <f aca="false">IF(AND($C$4="",$D$4=""),SUMIFS(COMPRAS!$J$3:$J$4997,COMPRAS!$G$3:$G$4997,A56),SUMIFS(COMPRAS!$J$3:$J$4997,COMPRAS!$G$3:$G$4997,A56,COMPRAS!$B$3:$B$4997,"&gt;="&amp;$C$4,COMPRAS!$B$3:$B$4997,"&lt;="&amp;$D$4))</f>
        <v>0</v>
      </c>
      <c r="D56" s="57" t="n">
        <f aca="false">IF(AND($C$4="",$D$4=""),SUMIFS(COMPRAS!$O$3:$O$4997,COMPRAS!$G$3:$G$4997,A56),SUMIFS(COMPRAS!$O$3:$O$4997,COMPRAS!$G$3:$G$4997,A56,COMPRAS!$B$3:$B$4997,"&gt;="&amp;$C$4,COMPRAS!$B$3:$B$4997,"&lt;="&amp;$D$4))</f>
        <v>0</v>
      </c>
      <c r="E56" s="48" t="str">
        <f aca="false">IF(C56&gt;0,D56/IF(H56&lt;&gt;"",H56,C56),"")</f>
        <v/>
      </c>
      <c r="F56" s="54" t="n">
        <f aca="false">IF(AND($C$4="",$D$4=""),COUNTIF(COMPRAS!$G$3:$G$4997,A56),COUNTIFS(COMPRAS!$G$3:$G$4997,A56,COMPRAS!$B$3:$B$4997,"&gt;="&amp;$C$4,COMPRAS!$B$3:$B$4997,"&lt;="&amp;$D$4))</f>
        <v>0</v>
      </c>
      <c r="G56" s="55" t="str">
        <f aca="false">IF(C56&gt;0,"SI","")</f>
        <v/>
      </c>
      <c r="H56" s="47" t="n">
        <v>46.7</v>
      </c>
    </row>
    <row r="57" customFormat="false" ht="15" hidden="true" customHeight="true" outlineLevel="0" collapsed="false">
      <c r="A57" s="45" t="s">
        <v>139</v>
      </c>
      <c r="B57" s="46" t="s">
        <v>140</v>
      </c>
      <c r="C57" s="57" t="n">
        <f aca="false">IF(AND($C$4="",$D$4=""),SUMIFS(COMPRAS!$J$3:$J$4997,COMPRAS!$G$3:$G$4997,A57),SUMIFS(COMPRAS!$J$3:$J$4997,COMPRAS!$G$3:$G$4997,A57,COMPRAS!$B$3:$B$4997,"&gt;="&amp;$C$4,COMPRAS!$B$3:$B$4997,"&lt;="&amp;$D$4))</f>
        <v>0</v>
      </c>
      <c r="D57" s="57" t="n">
        <f aca="false">IF(AND($C$4="",$D$4=""),SUMIFS(COMPRAS!$O$3:$O$4997,COMPRAS!$G$3:$G$4997,A57),SUMIFS(COMPRAS!$O$3:$O$4997,COMPRAS!$G$3:$G$4997,A57,COMPRAS!$B$3:$B$4997,"&gt;="&amp;$C$4,COMPRAS!$B$3:$B$4997,"&lt;="&amp;$D$4))</f>
        <v>0</v>
      </c>
      <c r="E57" s="48" t="str">
        <f aca="false">IF(C57&gt;0,D57/IF(H57&lt;&gt;"",H57,C57),"")</f>
        <v/>
      </c>
      <c r="F57" s="49" t="n">
        <f aca="false">IF(AND($C$4="",$D$4=""),COUNTIF(COMPRAS!$G$3:$G$4997,A57),COUNTIFS(COMPRAS!$G$3:$G$4997,A57,COMPRAS!$B$3:$B$4997,"&gt;="&amp;$C$4,COMPRAS!$B$3:$B$4997,"&lt;="&amp;$D$4))</f>
        <v>0</v>
      </c>
      <c r="G57" s="50" t="str">
        <f aca="false">IF(C57&gt;0,"SI","")</f>
        <v/>
      </c>
      <c r="H57" s="47"/>
    </row>
    <row r="58" customFormat="false" ht="15" hidden="true" customHeight="true" outlineLevel="0" collapsed="false">
      <c r="A58" s="51" t="s">
        <v>141</v>
      </c>
      <c r="B58" s="52" t="s">
        <v>142</v>
      </c>
      <c r="C58" s="53" t="n">
        <f aca="false">IF(AND($C$4="",$D$4=""),SUMIFS(COMPRAS!$J$3:$J$4997,COMPRAS!$G$3:$G$4997,A58),SUMIFS(COMPRAS!$J$3:$J$4997,COMPRAS!$G$3:$G$4997,A58,COMPRAS!$B$3:$B$4997,"&gt;="&amp;$C$4,COMPRAS!$B$3:$B$4997,"&lt;="&amp;$D$4))</f>
        <v>0</v>
      </c>
      <c r="D58" s="53" t="n">
        <f aca="false">IF(AND($C$4="",$D$4=""),SUMIFS(COMPRAS!$O$3:$O$4997,COMPRAS!$G$3:$G$4997,A58),SUMIFS(COMPRAS!$O$3:$O$4997,COMPRAS!$G$3:$G$4997,A58,COMPRAS!$B$3:$B$4997,"&gt;="&amp;$C$4,COMPRAS!$B$3:$B$4997,"&lt;="&amp;$D$4))</f>
        <v>0</v>
      </c>
      <c r="E58" s="48" t="str">
        <f aca="false">IF(C58&gt;0,D58/IF(H58&lt;&gt;"",H58,C58),"")</f>
        <v/>
      </c>
      <c r="F58" s="54" t="n">
        <f aca="false">IF(AND($C$4="",$D$4=""),COUNTIF(COMPRAS!$G$3:$G$4997,A58),COUNTIFS(COMPRAS!$G$3:$G$4997,A58,COMPRAS!$B$3:$B$4997,"&gt;="&amp;$C$4,COMPRAS!$B$3:$B$4997,"&lt;="&amp;$D$4))</f>
        <v>0</v>
      </c>
      <c r="G58" s="55" t="str">
        <f aca="false">IF(C58&gt;0,"SI","")</f>
        <v/>
      </c>
      <c r="H58" s="47"/>
    </row>
    <row r="59" customFormat="false" ht="15" hidden="true" customHeight="true" outlineLevel="0" collapsed="false">
      <c r="A59" s="45" t="s">
        <v>143</v>
      </c>
      <c r="B59" s="46" t="s">
        <v>144</v>
      </c>
      <c r="C59" s="47" t="n">
        <f aca="false">IF(AND($C$4="",$D$4=""),SUMIFS(COMPRAS!$J$3:$J$4997,COMPRAS!$G$3:$G$4997,A59),SUMIFS(COMPRAS!$J$3:$J$4997,COMPRAS!$G$3:$G$4997,A59,COMPRAS!$B$3:$B$4997,"&gt;="&amp;$C$4,COMPRAS!$B$3:$B$4997,"&lt;="&amp;$D$4))</f>
        <v>0</v>
      </c>
      <c r="D59" s="47" t="n">
        <f aca="false">IF(AND($C$4="",$D$4=""),SUMIFS(COMPRAS!$O$3:$O$4997,COMPRAS!$G$3:$G$4997,A59),SUMIFS(COMPRAS!$O$3:$O$4997,COMPRAS!$G$3:$G$4997,A59,COMPRAS!$B$3:$B$4997,"&gt;="&amp;$C$4,COMPRAS!$B$3:$B$4997,"&lt;="&amp;$D$4))</f>
        <v>0</v>
      </c>
      <c r="E59" s="48" t="str">
        <f aca="false">IF(C59&gt;0,D59/IF(H59&lt;&gt;"",H59,C59),"")</f>
        <v/>
      </c>
      <c r="F59" s="49" t="n">
        <f aca="false">IF(AND($C$4="",$D$4=""),COUNTIF(COMPRAS!$G$3:$G$4997,A59),COUNTIFS(COMPRAS!$G$3:$G$4997,A59,COMPRAS!$B$3:$B$4997,"&gt;="&amp;$C$4,COMPRAS!$B$3:$B$4997,"&lt;="&amp;$D$4))</f>
        <v>0</v>
      </c>
      <c r="G59" s="50" t="str">
        <f aca="false">IF(C59&gt;0,"SI","")</f>
        <v/>
      </c>
      <c r="H59" s="47"/>
    </row>
    <row r="60" customFormat="false" ht="15" hidden="true" customHeight="true" outlineLevel="0" collapsed="false">
      <c r="A60" s="51" t="s">
        <v>145</v>
      </c>
      <c r="B60" s="52" t="s">
        <v>146</v>
      </c>
      <c r="C60" s="53" t="n">
        <f aca="false">IF(AND($C$4="",$D$4=""),SUMIFS(COMPRAS!$J$3:$J$4997,COMPRAS!$G$3:$G$4997,A60),SUMIFS(COMPRAS!$J$3:$J$4997,COMPRAS!$G$3:$G$4997,A60,COMPRAS!$B$3:$B$4997,"&gt;="&amp;$C$4,COMPRAS!$B$3:$B$4997,"&lt;="&amp;$D$4))</f>
        <v>0</v>
      </c>
      <c r="D60" s="53" t="n">
        <f aca="false">IF(AND($C$4="",$D$4=""),SUMIFS(COMPRAS!$O$3:$O$4997,COMPRAS!$G$3:$G$4997,A60),SUMIFS(COMPRAS!$O$3:$O$4997,COMPRAS!$G$3:$G$4997,A60,COMPRAS!$B$3:$B$4997,"&gt;="&amp;$C$4,COMPRAS!$B$3:$B$4997,"&lt;="&amp;$D$4))</f>
        <v>0</v>
      </c>
      <c r="E60" s="48" t="str">
        <f aca="false">IF(C60&gt;0,D60/IF(H60&lt;&gt;"",H60,C60),"")</f>
        <v/>
      </c>
      <c r="F60" s="54" t="n">
        <f aca="false">IF(AND($C$4="",$D$4=""),COUNTIF(COMPRAS!$G$3:$G$4997,A60),COUNTIFS(COMPRAS!$G$3:$G$4997,A60,COMPRAS!$B$3:$B$4997,"&gt;="&amp;$C$4,COMPRAS!$B$3:$B$4997,"&lt;="&amp;$D$4))</f>
        <v>0</v>
      </c>
      <c r="G60" s="55" t="str">
        <f aca="false">IF(C60&gt;0,"SI","")</f>
        <v/>
      </c>
      <c r="H60" s="47"/>
    </row>
    <row r="61" customFormat="false" ht="15" hidden="true" customHeight="true" outlineLevel="0" collapsed="false">
      <c r="A61" s="45" t="s">
        <v>147</v>
      </c>
      <c r="B61" s="46" t="s">
        <v>148</v>
      </c>
      <c r="C61" s="47" t="n">
        <f aca="false">IF(AND($C$4="",$D$4=""),SUMIFS(COMPRAS!$J$3:$J$4997,COMPRAS!$G$3:$G$4997,A61),SUMIFS(COMPRAS!$J$3:$J$4997,COMPRAS!$G$3:$G$4997,A61,COMPRAS!$B$3:$B$4997,"&gt;="&amp;$C$4,COMPRAS!$B$3:$B$4997,"&lt;="&amp;$D$4))</f>
        <v>0</v>
      </c>
      <c r="D61" s="47" t="n">
        <f aca="false">IF(AND($C$4="",$D$4=""),SUMIFS(COMPRAS!$O$3:$O$4997,COMPRAS!$G$3:$G$4997,A61),SUMIFS(COMPRAS!$O$3:$O$4997,COMPRAS!$G$3:$G$4997,A61,COMPRAS!$B$3:$B$4997,"&gt;="&amp;$C$4,COMPRAS!$B$3:$B$4997,"&lt;="&amp;$D$4))</f>
        <v>0</v>
      </c>
      <c r="E61" s="48" t="str">
        <f aca="false">IF(C61&gt;0,D61/IF(H61&lt;&gt;"",H61,C61),"")</f>
        <v/>
      </c>
      <c r="F61" s="49" t="n">
        <f aca="false">IF(AND($C$4="",$D$4=""),COUNTIF(COMPRAS!$G$3:$G$4997,A61),COUNTIFS(COMPRAS!$G$3:$G$4997,A61,COMPRAS!$B$3:$B$4997,"&gt;="&amp;$C$4,COMPRAS!$B$3:$B$4997,"&lt;="&amp;$D$4))</f>
        <v>0</v>
      </c>
      <c r="G61" s="50" t="str">
        <f aca="false">IF(C61&gt;0,"SI","")</f>
        <v/>
      </c>
      <c r="H61" s="47"/>
    </row>
    <row r="62" customFormat="false" ht="15" hidden="true" customHeight="true" outlineLevel="0" collapsed="false">
      <c r="A62" s="51" t="s">
        <v>149</v>
      </c>
      <c r="B62" s="52" t="s">
        <v>150</v>
      </c>
      <c r="C62" s="53" t="n">
        <f aca="false">IF(AND($C$4="",$D$4=""),SUMIFS(COMPRAS!$J$3:$J$4997,COMPRAS!$G$3:$G$4997,A62),SUMIFS(COMPRAS!$J$3:$J$4997,COMPRAS!$G$3:$G$4997,A62,COMPRAS!$B$3:$B$4997,"&gt;="&amp;$C$4,COMPRAS!$B$3:$B$4997,"&lt;="&amp;$D$4))</f>
        <v>0</v>
      </c>
      <c r="D62" s="53" t="n">
        <f aca="false">IF(AND($C$4="",$D$4=""),SUMIFS(COMPRAS!$O$3:$O$4997,COMPRAS!$G$3:$G$4997,A62),SUMIFS(COMPRAS!$O$3:$O$4997,COMPRAS!$G$3:$G$4997,A62,COMPRAS!$B$3:$B$4997,"&gt;="&amp;$C$4,COMPRAS!$B$3:$B$4997,"&lt;="&amp;$D$4))</f>
        <v>0</v>
      </c>
      <c r="E62" s="48" t="str">
        <f aca="false">IF(C62&gt;0,D62/IF(H62&lt;&gt;"",H62,C62),"")</f>
        <v/>
      </c>
      <c r="F62" s="54" t="n">
        <f aca="false">IF(AND($C$4="",$D$4=""),COUNTIF(COMPRAS!$G$3:$G$4997,A62),COUNTIFS(COMPRAS!$G$3:$G$4997,A62,COMPRAS!$B$3:$B$4997,"&gt;="&amp;$C$4,COMPRAS!$B$3:$B$4997,"&lt;="&amp;$D$4))</f>
        <v>0</v>
      </c>
      <c r="G62" s="55" t="str">
        <f aca="false">IF(C62&gt;0,"SI","")</f>
        <v/>
      </c>
      <c r="H62" s="47"/>
    </row>
    <row r="63" customFormat="false" ht="15" hidden="true" customHeight="true" outlineLevel="0" collapsed="false">
      <c r="A63" s="45" t="s">
        <v>151</v>
      </c>
      <c r="B63" s="46" t="s">
        <v>152</v>
      </c>
      <c r="C63" s="57" t="n">
        <f aca="false">IF(AND($C$4="",$D$4=""),SUMIFS(COMPRAS!$J$3:$J$4997,COMPRAS!$G$3:$G$4997,A63),SUMIFS(COMPRAS!$J$3:$J$4997,COMPRAS!$G$3:$G$4997,A63,COMPRAS!$B$3:$B$4997,"&gt;="&amp;$C$4,COMPRAS!$B$3:$B$4997,"&lt;="&amp;$D$4))</f>
        <v>0</v>
      </c>
      <c r="D63" s="47" t="n">
        <f aca="false">IF(AND($C$4="",$D$4=""),SUMIFS(COMPRAS!$O$3:$O$4997,COMPRAS!$G$3:$G$4997,A63),SUMIFS(COMPRAS!$O$3:$O$4997,COMPRAS!$G$3:$G$4997,A63,COMPRAS!$B$3:$B$4997,"&gt;="&amp;$C$4,COMPRAS!$B$3:$B$4997,"&lt;="&amp;$D$4))</f>
        <v>0</v>
      </c>
      <c r="E63" s="48" t="str">
        <f aca="false">IF(C63&gt;0,D63/IF(H63&lt;&gt;"",H63,C63),"")</f>
        <v/>
      </c>
      <c r="F63" s="49" t="n">
        <f aca="false">IF(AND($C$4="",$D$4=""),COUNTIF(COMPRAS!$G$3:$G$4997,A63),COUNTIFS(COMPRAS!$G$3:$G$4997,A63,COMPRAS!$B$3:$B$4997,"&gt;="&amp;$C$4,COMPRAS!$B$3:$B$4997,"&lt;="&amp;$D$4))</f>
        <v>0</v>
      </c>
      <c r="G63" s="50" t="str">
        <f aca="false">IF(C63&gt;0,"SI","")</f>
        <v/>
      </c>
      <c r="H63" s="47"/>
    </row>
    <row r="64" customFormat="false" ht="15" hidden="true" customHeight="true" outlineLevel="0" collapsed="false">
      <c r="A64" s="51" t="s">
        <v>153</v>
      </c>
      <c r="B64" s="52" t="s">
        <v>154</v>
      </c>
      <c r="C64" s="53" t="n">
        <f aca="false">IF(AND($C$4="",$D$4=""),SUMIFS(COMPRAS!$J$3:$J$4997,COMPRAS!$G$3:$G$4997,A64),SUMIFS(COMPRAS!$J$3:$J$4997,COMPRAS!$G$3:$G$4997,A64,COMPRAS!$B$3:$B$4997,"&gt;="&amp;$C$4,COMPRAS!$B$3:$B$4997,"&lt;="&amp;$D$4))</f>
        <v>0</v>
      </c>
      <c r="D64" s="53" t="n">
        <f aca="false">IF(AND($C$4="",$D$4=""),SUMIFS(COMPRAS!$O$3:$O$4997,COMPRAS!$G$3:$G$4997,A64),SUMIFS(COMPRAS!$O$3:$O$4997,COMPRAS!$G$3:$G$4997,A64,COMPRAS!$B$3:$B$4997,"&gt;="&amp;$C$4,COMPRAS!$B$3:$B$4997,"&lt;="&amp;$D$4))</f>
        <v>0</v>
      </c>
      <c r="E64" s="48" t="str">
        <f aca="false">IF(C64&gt;0,D64/IF(H64&lt;&gt;"",H64,C64),"")</f>
        <v/>
      </c>
      <c r="F64" s="54" t="n">
        <f aca="false">IF(AND($C$4="",$D$4=""),COUNTIF(COMPRAS!$G$3:$G$4997,A64),COUNTIFS(COMPRAS!$G$3:$G$4997,A64,COMPRAS!$B$3:$B$4997,"&gt;="&amp;$C$4,COMPRAS!$B$3:$B$4997,"&lt;="&amp;$D$4))</f>
        <v>0</v>
      </c>
      <c r="G64" s="55" t="str">
        <f aca="false">IF(C64&gt;0,"SI","")</f>
        <v/>
      </c>
      <c r="H64" s="47"/>
    </row>
    <row r="65" customFormat="false" ht="15" hidden="true" customHeight="true" outlineLevel="0" collapsed="false">
      <c r="A65" s="45" t="s">
        <v>155</v>
      </c>
      <c r="B65" s="46" t="s">
        <v>156</v>
      </c>
      <c r="C65" s="47" t="n">
        <f aca="false">IF(AND($C$4="",$D$4=""),SUMIFS(COMPRAS!$J$3:$J$4997,COMPRAS!$G$3:$G$4997,A65),SUMIFS(COMPRAS!$J$3:$J$4997,COMPRAS!$G$3:$G$4997,A65,COMPRAS!$B$3:$B$4997,"&gt;="&amp;$C$4,COMPRAS!$B$3:$B$4997,"&lt;="&amp;$D$4))</f>
        <v>0</v>
      </c>
      <c r="D65" s="47" t="n">
        <f aca="false">IF(AND($C$4="",$D$4=""),SUMIFS(COMPRAS!$O$3:$O$4997,COMPRAS!$G$3:$G$4997,A65),SUMIFS(COMPRAS!$O$3:$O$4997,COMPRAS!$G$3:$G$4997,A65,COMPRAS!$B$3:$B$4997,"&gt;="&amp;$C$4,COMPRAS!$B$3:$B$4997,"&lt;="&amp;$D$4))</f>
        <v>0</v>
      </c>
      <c r="E65" s="48" t="str">
        <f aca="false">IF(C65&gt;0,D65/IF(H65&lt;&gt;"",H65,C65),"")</f>
        <v/>
      </c>
      <c r="F65" s="49" t="n">
        <f aca="false">IF(AND($C$4="",$D$4=""),COUNTIF(COMPRAS!$G$3:$G$4997,A65),COUNTIFS(COMPRAS!$G$3:$G$4997,A65,COMPRAS!$B$3:$B$4997,"&gt;="&amp;$C$4,COMPRAS!$B$3:$B$4997,"&lt;="&amp;$D$4))</f>
        <v>0</v>
      </c>
      <c r="G65" s="50" t="str">
        <f aca="false">IF(C65&gt;0,"SI","")</f>
        <v/>
      </c>
      <c r="H65" s="47"/>
    </row>
    <row r="66" customFormat="false" ht="15" hidden="true" customHeight="true" outlineLevel="0" collapsed="false">
      <c r="A66" s="51" t="s">
        <v>157</v>
      </c>
      <c r="B66" s="52" t="s">
        <v>158</v>
      </c>
      <c r="C66" s="53" t="n">
        <f aca="false">IF(AND($C$4="",$D$4=""),SUMIFS(COMPRAS!$J$3:$J$4997,COMPRAS!$G$3:$G$4997,A66),SUMIFS(COMPRAS!$J$3:$J$4997,COMPRAS!$G$3:$G$4997,A66,COMPRAS!$B$3:$B$4997,"&gt;="&amp;$C$4,COMPRAS!$B$3:$B$4997,"&lt;="&amp;$D$4))</f>
        <v>0</v>
      </c>
      <c r="D66" s="53" t="n">
        <f aca="false">IF(AND($C$4="",$D$4=""),SUMIFS(COMPRAS!$O$3:$O$4997,COMPRAS!$G$3:$G$4997,A66),SUMIFS(COMPRAS!$O$3:$O$4997,COMPRAS!$G$3:$G$4997,A66,COMPRAS!$B$3:$B$4997,"&gt;="&amp;$C$4,COMPRAS!$B$3:$B$4997,"&lt;="&amp;$D$4))</f>
        <v>0</v>
      </c>
      <c r="E66" s="48" t="str">
        <f aca="false">IF(C66&gt;0,D66/IF(H66&lt;&gt;"",H66,C66),"")</f>
        <v/>
      </c>
      <c r="F66" s="54" t="n">
        <f aca="false">IF(AND($C$4="",$D$4=""),COUNTIF(COMPRAS!$G$3:$G$4997,A66),COUNTIFS(COMPRAS!$G$3:$G$4997,A66,COMPRAS!$B$3:$B$4997,"&gt;="&amp;$C$4,COMPRAS!$B$3:$B$4997,"&lt;="&amp;$D$4))</f>
        <v>0</v>
      </c>
      <c r="G66" s="55" t="str">
        <f aca="false">IF(C66&gt;0,"SI","")</f>
        <v/>
      </c>
      <c r="H66" s="47"/>
    </row>
    <row r="67" customFormat="false" ht="15" hidden="true" customHeight="true" outlineLevel="0" collapsed="false">
      <c r="A67" s="45" t="s">
        <v>159</v>
      </c>
      <c r="B67" s="46" t="s">
        <v>160</v>
      </c>
      <c r="C67" s="47" t="n">
        <f aca="false">IF(AND($C$4="",$D$4=""),SUMIFS(COMPRAS!$J$3:$J$4997,COMPRAS!$G$3:$G$4997,A67),SUMIFS(COMPRAS!$J$3:$J$4997,COMPRAS!$G$3:$G$4997,A67,COMPRAS!$B$3:$B$4997,"&gt;="&amp;$C$4,COMPRAS!$B$3:$B$4997,"&lt;="&amp;$D$4))</f>
        <v>0</v>
      </c>
      <c r="D67" s="47" t="n">
        <f aca="false">IF(AND($C$4="",$D$4=""),SUMIFS(COMPRAS!$O$3:$O$4997,COMPRAS!$G$3:$G$4997,A67),SUMIFS(COMPRAS!$O$3:$O$4997,COMPRAS!$G$3:$G$4997,A67,COMPRAS!$B$3:$B$4997,"&gt;="&amp;$C$4,COMPRAS!$B$3:$B$4997,"&lt;="&amp;$D$4))</f>
        <v>0</v>
      </c>
      <c r="E67" s="48" t="str">
        <f aca="false">IF(C67&gt;0,D67/IF(H67&lt;&gt;"",H67,C67),"")</f>
        <v/>
      </c>
      <c r="F67" s="49" t="n">
        <f aca="false">IF(AND($C$4="",$D$4=""),COUNTIF(COMPRAS!$G$3:$G$4997,A67),COUNTIFS(COMPRAS!$G$3:$G$4997,A67,COMPRAS!$B$3:$B$4997,"&gt;="&amp;$C$4,COMPRAS!$B$3:$B$4997,"&lt;="&amp;$D$4))</f>
        <v>0</v>
      </c>
      <c r="G67" s="50" t="str">
        <f aca="false">IF(C67&gt;0,"SI","")</f>
        <v/>
      </c>
      <c r="H67" s="47"/>
    </row>
    <row r="68" customFormat="false" ht="15" hidden="true" customHeight="true" outlineLevel="0" collapsed="false">
      <c r="A68" s="51" t="s">
        <v>161</v>
      </c>
      <c r="B68" s="52" t="s">
        <v>162</v>
      </c>
      <c r="C68" s="53" t="n">
        <f aca="false">IF(AND($C$4="",$D$4=""),SUMIFS(COMPRAS!$J$3:$J$4997,COMPRAS!$G$3:$G$4997,A68),SUMIFS(COMPRAS!$J$3:$J$4997,COMPRAS!$G$3:$G$4997,A68,COMPRAS!$B$3:$B$4997,"&gt;="&amp;$C$4,COMPRAS!$B$3:$B$4997,"&lt;="&amp;$D$4))</f>
        <v>0</v>
      </c>
      <c r="D68" s="53" t="n">
        <f aca="false">IF(AND($C$4="",$D$4=""),SUMIFS(COMPRAS!$O$3:$O$4997,COMPRAS!$G$3:$G$4997,A68),SUMIFS(COMPRAS!$O$3:$O$4997,COMPRAS!$G$3:$G$4997,A68,COMPRAS!$B$3:$B$4997,"&gt;="&amp;$C$4,COMPRAS!$B$3:$B$4997,"&lt;="&amp;$D$4))</f>
        <v>0</v>
      </c>
      <c r="E68" s="48" t="str">
        <f aca="false">IF(C68&gt;0,D68/IF(H68&lt;&gt;"",H68,C68),"")</f>
        <v/>
      </c>
      <c r="F68" s="54" t="n">
        <f aca="false">IF(AND($C$4="",$D$4=""),COUNTIF(COMPRAS!$G$3:$G$4997,A68),COUNTIFS(COMPRAS!$G$3:$G$4997,A68,COMPRAS!$B$3:$B$4997,"&gt;="&amp;$C$4,COMPRAS!$B$3:$B$4997,"&lt;="&amp;$D$4))</f>
        <v>0</v>
      </c>
      <c r="G68" s="55" t="str">
        <f aca="false">IF(C68&gt;0,"SI","")</f>
        <v/>
      </c>
      <c r="H68" s="47"/>
    </row>
    <row r="69" customFormat="false" ht="15" hidden="true" customHeight="true" outlineLevel="0" collapsed="false">
      <c r="A69" s="45" t="s">
        <v>163</v>
      </c>
      <c r="B69" s="46" t="s">
        <v>164</v>
      </c>
      <c r="C69" s="47" t="n">
        <f aca="false">IF(AND($C$4="",$D$4=""),SUMIFS(COMPRAS!$J$3:$J$4997,COMPRAS!$G$3:$G$4997,A69),SUMIFS(COMPRAS!$J$3:$J$4997,COMPRAS!$G$3:$G$4997,A69,COMPRAS!$B$3:$B$4997,"&gt;="&amp;$C$4,COMPRAS!$B$3:$B$4997,"&lt;="&amp;$D$4))</f>
        <v>0</v>
      </c>
      <c r="D69" s="47" t="n">
        <f aca="false">IF(AND($C$4="",$D$4=""),SUMIFS(COMPRAS!$O$3:$O$4997,COMPRAS!$G$3:$G$4997,A69),SUMIFS(COMPRAS!$O$3:$O$4997,COMPRAS!$G$3:$G$4997,A69,COMPRAS!$B$3:$B$4997,"&gt;="&amp;$C$4,COMPRAS!$B$3:$B$4997,"&lt;="&amp;$D$4))</f>
        <v>0</v>
      </c>
      <c r="E69" s="48" t="str">
        <f aca="false">IF(C69&gt;0,D69/IF(H69&lt;&gt;"",H69,C69),"")</f>
        <v/>
      </c>
      <c r="F69" s="49" t="n">
        <f aca="false">IF(AND($C$4="",$D$4=""),COUNTIF(COMPRAS!$G$3:$G$4997,A69),COUNTIFS(COMPRAS!$G$3:$G$4997,A69,COMPRAS!$B$3:$B$4997,"&gt;="&amp;$C$4,COMPRAS!$B$3:$B$4997,"&lt;="&amp;$D$4))</f>
        <v>0</v>
      </c>
      <c r="G69" s="50" t="str">
        <f aca="false">IF(C69&gt;0,"SI","")</f>
        <v/>
      </c>
      <c r="H69" s="47"/>
    </row>
    <row r="70" customFormat="false" ht="15" hidden="true" customHeight="true" outlineLevel="0" collapsed="false">
      <c r="A70" s="51" t="s">
        <v>165</v>
      </c>
      <c r="B70" s="52" t="s">
        <v>166</v>
      </c>
      <c r="C70" s="53" t="n">
        <f aca="false">IF(AND($C$4="",$D$4=""),SUMIFS(COMPRAS!$J$3:$J$4997,COMPRAS!$G$3:$G$4997,A70),SUMIFS(COMPRAS!$J$3:$J$4997,COMPRAS!$G$3:$G$4997,A70,COMPRAS!$B$3:$B$4997,"&gt;="&amp;$C$4,COMPRAS!$B$3:$B$4997,"&lt;="&amp;$D$4))</f>
        <v>0</v>
      </c>
      <c r="D70" s="53" t="n">
        <f aca="false">IF(AND($C$4="",$D$4=""),SUMIFS(COMPRAS!$O$3:$O$4997,COMPRAS!$G$3:$G$4997,A70),SUMIFS(COMPRAS!$O$3:$O$4997,COMPRAS!$G$3:$G$4997,A70,COMPRAS!$B$3:$B$4997,"&gt;="&amp;$C$4,COMPRAS!$B$3:$B$4997,"&lt;="&amp;$D$4))</f>
        <v>0</v>
      </c>
      <c r="E70" s="48" t="str">
        <f aca="false">IF(C70&gt;0,D70/IF(H70&lt;&gt;"",H70,C70),"")</f>
        <v/>
      </c>
      <c r="F70" s="54" t="n">
        <f aca="false">IF(AND($C$4="",$D$4=""),COUNTIF(COMPRAS!$G$3:$G$4997,A70),COUNTIFS(COMPRAS!$G$3:$G$4997,A70,COMPRAS!$B$3:$B$4997,"&gt;="&amp;$C$4,COMPRAS!$B$3:$B$4997,"&lt;="&amp;$D$4))</f>
        <v>0</v>
      </c>
      <c r="G70" s="55" t="str">
        <f aca="false">IF(C70&gt;0,"SI","")</f>
        <v/>
      </c>
      <c r="H70" s="47"/>
    </row>
    <row r="71" customFormat="false" ht="15" hidden="true" customHeight="true" outlineLevel="0" collapsed="false">
      <c r="A71" s="45" t="s">
        <v>167</v>
      </c>
      <c r="B71" s="46" t="s">
        <v>168</v>
      </c>
      <c r="C71" s="47" t="n">
        <f aca="false">IF(AND($C$4="",$D$4=""),SUMIFS(COMPRAS!$J$3:$J$4997,COMPRAS!$G$3:$G$4997,A71),SUMIFS(COMPRAS!$J$3:$J$4997,COMPRAS!$G$3:$G$4997,A71,COMPRAS!$B$3:$B$4997,"&gt;="&amp;$C$4,COMPRAS!$B$3:$B$4997,"&lt;="&amp;$D$4))</f>
        <v>0</v>
      </c>
      <c r="D71" s="47" t="n">
        <f aca="false">IF(AND($C$4="",$D$4=""),SUMIFS(COMPRAS!$O$3:$O$4997,COMPRAS!$G$3:$G$4997,A71),SUMIFS(COMPRAS!$O$3:$O$4997,COMPRAS!$G$3:$G$4997,A71,COMPRAS!$B$3:$B$4997,"&gt;="&amp;$C$4,COMPRAS!$B$3:$B$4997,"&lt;="&amp;$D$4))</f>
        <v>0</v>
      </c>
      <c r="E71" s="48" t="str">
        <f aca="false">IF(C71&gt;0,D71/IF(H71&lt;&gt;"",H71,C71),"")</f>
        <v/>
      </c>
      <c r="F71" s="49" t="n">
        <f aca="false">IF(AND($C$4="",$D$4=""),COUNTIF(COMPRAS!$G$3:$G$4997,A71),COUNTIFS(COMPRAS!$G$3:$G$4997,A71,COMPRAS!$B$3:$B$4997,"&gt;="&amp;$C$4,COMPRAS!$B$3:$B$4997,"&lt;="&amp;$D$4))</f>
        <v>0</v>
      </c>
      <c r="G71" s="50" t="str">
        <f aca="false">IF(C71&gt;0,"SI","")</f>
        <v/>
      </c>
      <c r="H71" s="47"/>
    </row>
    <row r="72" customFormat="false" ht="15" hidden="true" customHeight="true" outlineLevel="0" collapsed="false">
      <c r="A72" s="51" t="s">
        <v>169</v>
      </c>
      <c r="B72" s="52" t="s">
        <v>170</v>
      </c>
      <c r="C72" s="53" t="n">
        <f aca="false">IF(AND($C$4="",$D$4=""),SUMIFS(COMPRAS!$J$3:$J$4997,COMPRAS!$G$3:$G$4997,A72),SUMIFS(COMPRAS!$J$3:$J$4997,COMPRAS!$G$3:$G$4997,A72,COMPRAS!$B$3:$B$4997,"&gt;="&amp;$C$4,COMPRAS!$B$3:$B$4997,"&lt;="&amp;$D$4))</f>
        <v>0</v>
      </c>
      <c r="D72" s="53" t="n">
        <f aca="false">IF(AND($C$4="",$D$4=""),SUMIFS(COMPRAS!$O$3:$O$4997,COMPRAS!$G$3:$G$4997,A72),SUMIFS(COMPRAS!$O$3:$O$4997,COMPRAS!$G$3:$G$4997,A72,COMPRAS!$B$3:$B$4997,"&gt;="&amp;$C$4,COMPRAS!$B$3:$B$4997,"&lt;="&amp;$D$4))</f>
        <v>0</v>
      </c>
      <c r="E72" s="48" t="str">
        <f aca="false">IF(C72&gt;0,D72/IF(H72&lt;&gt;"",H72,C72),"")</f>
        <v/>
      </c>
      <c r="F72" s="54" t="n">
        <f aca="false">IF(AND($C$4="",$D$4=""),COUNTIF(COMPRAS!$G$3:$G$4997,A72),COUNTIFS(COMPRAS!$G$3:$G$4997,A72,COMPRAS!$B$3:$B$4997,"&gt;="&amp;$C$4,COMPRAS!$B$3:$B$4997,"&lt;="&amp;$D$4))</f>
        <v>0</v>
      </c>
      <c r="G72" s="55" t="str">
        <f aca="false">IF(C72&gt;0,"SI","")</f>
        <v/>
      </c>
      <c r="H72" s="47"/>
    </row>
    <row r="73" customFormat="false" ht="15" hidden="true" customHeight="true" outlineLevel="0" collapsed="false">
      <c r="A73" s="45" t="s">
        <v>171</v>
      </c>
      <c r="B73" s="46" t="s">
        <v>172</v>
      </c>
      <c r="C73" s="47" t="n">
        <f aca="false">IF(AND($C$4="",$D$4=""),SUMIFS(COMPRAS!$J$3:$J$4997,COMPRAS!$G$3:$G$4997,A73),SUMIFS(COMPRAS!$J$3:$J$4997,COMPRAS!$G$3:$G$4997,A73,COMPRAS!$B$3:$B$4997,"&gt;="&amp;$C$4,COMPRAS!$B$3:$B$4997,"&lt;="&amp;$D$4))</f>
        <v>0</v>
      </c>
      <c r="D73" s="47" t="n">
        <f aca="false">IF(AND($C$4="",$D$4=""),SUMIFS(COMPRAS!$O$3:$O$4997,COMPRAS!$G$3:$G$4997,A73),SUMIFS(COMPRAS!$O$3:$O$4997,COMPRAS!$G$3:$G$4997,A73,COMPRAS!$B$3:$B$4997,"&gt;="&amp;$C$4,COMPRAS!$B$3:$B$4997,"&lt;="&amp;$D$4))</f>
        <v>0</v>
      </c>
      <c r="E73" s="48" t="str">
        <f aca="false">IF(C73&gt;0,D73/IF(H73&lt;&gt;"",H73,C73),"")</f>
        <v/>
      </c>
      <c r="F73" s="49" t="n">
        <f aca="false">IF(AND($C$4="",$D$4=""),COUNTIF(COMPRAS!$G$3:$G$4997,A73),COUNTIFS(COMPRAS!$G$3:$G$4997,A73,COMPRAS!$B$3:$B$4997,"&gt;="&amp;$C$4,COMPRAS!$B$3:$B$4997,"&lt;="&amp;$D$4))</f>
        <v>0</v>
      </c>
      <c r="G73" s="50" t="str">
        <f aca="false">IF(C73&gt;0,"SI","")</f>
        <v/>
      </c>
      <c r="H73" s="47"/>
    </row>
    <row r="74" customFormat="false" ht="15" hidden="true" customHeight="true" outlineLevel="0" collapsed="false">
      <c r="A74" s="51" t="s">
        <v>173</v>
      </c>
      <c r="B74" s="52" t="s">
        <v>174</v>
      </c>
      <c r="C74" s="53" t="n">
        <f aca="false">IF(AND($C$4="",$D$4=""),SUMIFS(COMPRAS!$J$3:$J$4997,COMPRAS!$G$3:$G$4997,A74),SUMIFS(COMPRAS!$J$3:$J$4997,COMPRAS!$G$3:$G$4997,A74,COMPRAS!$B$3:$B$4997,"&gt;="&amp;$C$4,COMPRAS!$B$3:$B$4997,"&lt;="&amp;$D$4))</f>
        <v>0</v>
      </c>
      <c r="D74" s="53" t="n">
        <f aca="false">IF(AND($C$4="",$D$4=""),SUMIFS(COMPRAS!$O$3:$O$4997,COMPRAS!$G$3:$G$4997,A74),SUMIFS(COMPRAS!$O$3:$O$4997,COMPRAS!$G$3:$G$4997,A74,COMPRAS!$B$3:$B$4997,"&gt;="&amp;$C$4,COMPRAS!$B$3:$B$4997,"&lt;="&amp;$D$4))</f>
        <v>0</v>
      </c>
      <c r="E74" s="48" t="str">
        <f aca="false">IF(C74&gt;0,D74/IF(H74&lt;&gt;"",H74,C74),"")</f>
        <v/>
      </c>
      <c r="F74" s="54" t="n">
        <f aca="false">IF(AND($C$4="",$D$4=""),COUNTIF(COMPRAS!$G$3:$G$4997,A74),COUNTIFS(COMPRAS!$G$3:$G$4997,A74,COMPRAS!$B$3:$B$4997,"&gt;="&amp;$C$4,COMPRAS!$B$3:$B$4997,"&lt;="&amp;$D$4))</f>
        <v>0</v>
      </c>
      <c r="G74" s="55" t="str">
        <f aca="false">IF(C74&gt;0,"SI","")</f>
        <v/>
      </c>
      <c r="H74" s="47"/>
    </row>
    <row r="75" customFormat="false" ht="15" hidden="true" customHeight="true" outlineLevel="0" collapsed="false">
      <c r="A75" s="45" t="s">
        <v>175</v>
      </c>
      <c r="B75" s="46" t="s">
        <v>176</v>
      </c>
      <c r="C75" s="47" t="n">
        <f aca="false">IF(AND($C$4="",$D$4=""),SUMIFS(COMPRAS!$J$3:$J$4997,COMPRAS!$G$3:$G$4997,A75),SUMIFS(COMPRAS!$J$3:$J$4997,COMPRAS!$G$3:$G$4997,A75,COMPRAS!$B$3:$B$4997,"&gt;="&amp;$C$4,COMPRAS!$B$3:$B$4997,"&lt;="&amp;$D$4))</f>
        <v>0</v>
      </c>
      <c r="D75" s="47" t="n">
        <f aca="false">IF(AND($C$4="",$D$4=""),SUMIFS(COMPRAS!$O$3:$O$4997,COMPRAS!$G$3:$G$4997,A75),SUMIFS(COMPRAS!$O$3:$O$4997,COMPRAS!$G$3:$G$4997,A75,COMPRAS!$B$3:$B$4997,"&gt;="&amp;$C$4,COMPRAS!$B$3:$B$4997,"&lt;="&amp;$D$4))</f>
        <v>0</v>
      </c>
      <c r="E75" s="48" t="str">
        <f aca="false">IF(C75&gt;0,D75/IF(H75&lt;&gt;"",H75,C75),"")</f>
        <v/>
      </c>
      <c r="F75" s="49" t="n">
        <f aca="false">IF(AND($C$4="",$D$4=""),COUNTIF(COMPRAS!$G$3:$G$4997,A75),COUNTIFS(COMPRAS!$G$3:$G$4997,A75,COMPRAS!$B$3:$B$4997,"&gt;="&amp;$C$4,COMPRAS!$B$3:$B$4997,"&lt;="&amp;$D$4))</f>
        <v>0</v>
      </c>
      <c r="G75" s="50" t="str">
        <f aca="false">IF(C75&gt;0,"SI","")</f>
        <v/>
      </c>
      <c r="H75" s="47"/>
    </row>
    <row r="76" customFormat="false" ht="15" hidden="true" customHeight="true" outlineLevel="0" collapsed="false">
      <c r="A76" s="51" t="s">
        <v>177</v>
      </c>
      <c r="B76" s="52" t="s">
        <v>178</v>
      </c>
      <c r="C76" s="53" t="n">
        <f aca="false">IF(AND($C$4="",$D$4=""),SUMIFS(COMPRAS!$J$3:$J$4997,COMPRAS!$G$3:$G$4997,A76),SUMIFS(COMPRAS!$J$3:$J$4997,COMPRAS!$G$3:$G$4997,A76,COMPRAS!$B$3:$B$4997,"&gt;="&amp;$C$4,COMPRAS!$B$3:$B$4997,"&lt;="&amp;$D$4))</f>
        <v>0</v>
      </c>
      <c r="D76" s="53" t="n">
        <f aca="false">IF(AND($C$4="",$D$4=""),SUMIFS(COMPRAS!$O$3:$O$4997,COMPRAS!$G$3:$G$4997,A76),SUMIFS(COMPRAS!$O$3:$O$4997,COMPRAS!$G$3:$G$4997,A76,COMPRAS!$B$3:$B$4997,"&gt;="&amp;$C$4,COMPRAS!$B$3:$B$4997,"&lt;="&amp;$D$4))</f>
        <v>0</v>
      </c>
      <c r="E76" s="48" t="str">
        <f aca="false">IF(C76&gt;0,D76/IF(H76&lt;&gt;"",H76,C76),"")</f>
        <v/>
      </c>
      <c r="F76" s="54" t="n">
        <f aca="false">IF(AND($C$4="",$D$4=""),COUNTIF(COMPRAS!$G$3:$G$4997,A76),COUNTIFS(COMPRAS!$G$3:$G$4997,A76,COMPRAS!$B$3:$B$4997,"&gt;="&amp;$C$4,COMPRAS!$B$3:$B$4997,"&lt;="&amp;$D$4))</f>
        <v>0</v>
      </c>
      <c r="G76" s="55" t="str">
        <f aca="false">IF(C76&gt;0,"SI","")</f>
        <v/>
      </c>
      <c r="H76" s="47"/>
    </row>
    <row r="77" customFormat="false" ht="15" hidden="true" customHeight="true" outlineLevel="0" collapsed="false">
      <c r="A77" s="45" t="s">
        <v>179</v>
      </c>
      <c r="B77" s="46" t="s">
        <v>180</v>
      </c>
      <c r="C77" s="47" t="n">
        <f aca="false">IF(AND($C$4="",$D$4=""),SUMIFS(COMPRAS!$J$3:$J$4997,COMPRAS!$G$3:$G$4997,A77),SUMIFS(COMPRAS!$J$3:$J$4997,COMPRAS!$G$3:$G$4997,A77,COMPRAS!$B$3:$B$4997,"&gt;="&amp;$C$4,COMPRAS!$B$3:$B$4997,"&lt;="&amp;$D$4))</f>
        <v>0</v>
      </c>
      <c r="D77" s="47" t="n">
        <f aca="false">IF(AND($C$4="",$D$4=""),SUMIFS(COMPRAS!$O$3:$O$4997,COMPRAS!$G$3:$G$4997,A77),SUMIFS(COMPRAS!$O$3:$O$4997,COMPRAS!$G$3:$G$4997,A77,COMPRAS!$B$3:$B$4997,"&gt;="&amp;$C$4,COMPRAS!$B$3:$B$4997,"&lt;="&amp;$D$4))</f>
        <v>0</v>
      </c>
      <c r="E77" s="48" t="str">
        <f aca="false">IF(C77&gt;0,D77/IF(H77&lt;&gt;"",H77,C77),"")</f>
        <v/>
      </c>
      <c r="F77" s="49" t="n">
        <f aca="false">IF(AND($C$4="",$D$4=""),COUNTIF(COMPRAS!$G$3:$G$4997,A77),COUNTIFS(COMPRAS!$G$3:$G$4997,A77,COMPRAS!$B$3:$B$4997,"&gt;="&amp;$C$4,COMPRAS!$B$3:$B$4997,"&lt;="&amp;$D$4))</f>
        <v>0</v>
      </c>
      <c r="G77" s="50" t="str">
        <f aca="false">IF(C77&gt;0,"SI","")</f>
        <v/>
      </c>
      <c r="H77" s="47"/>
    </row>
    <row r="78" customFormat="false" ht="15" hidden="true" customHeight="true" outlineLevel="0" collapsed="false">
      <c r="A78" s="51" t="s">
        <v>181</v>
      </c>
      <c r="B78" s="52" t="s">
        <v>182</v>
      </c>
      <c r="C78" s="53" t="n">
        <f aca="false">IF(AND($C$4="",$D$4=""),SUMIFS(COMPRAS!$J$3:$J$4997,COMPRAS!$G$3:$G$4997,A78),SUMIFS(COMPRAS!$J$3:$J$4997,COMPRAS!$G$3:$G$4997,A78,COMPRAS!$B$3:$B$4997,"&gt;="&amp;$C$4,COMPRAS!$B$3:$B$4997,"&lt;="&amp;$D$4))</f>
        <v>0</v>
      </c>
      <c r="D78" s="53" t="n">
        <f aca="false">IF(AND($C$4="",$D$4=""),SUMIFS(COMPRAS!$O$3:$O$4997,COMPRAS!$G$3:$G$4997,A78),SUMIFS(COMPRAS!$O$3:$O$4997,COMPRAS!$G$3:$G$4997,A78,COMPRAS!$B$3:$B$4997,"&gt;="&amp;$C$4,COMPRAS!$B$3:$B$4997,"&lt;="&amp;$D$4))</f>
        <v>0</v>
      </c>
      <c r="E78" s="48" t="str">
        <f aca="false">IF(C78&gt;0,D78/IF(H78&lt;&gt;"",H78,C78),"")</f>
        <v/>
      </c>
      <c r="F78" s="54" t="n">
        <f aca="false">IF(AND($C$4="",$D$4=""),COUNTIF(COMPRAS!$G$3:$G$4997,A78),COUNTIFS(COMPRAS!$G$3:$G$4997,A78,COMPRAS!$B$3:$B$4997,"&gt;="&amp;$C$4,COMPRAS!$B$3:$B$4997,"&lt;="&amp;$D$4))</f>
        <v>0</v>
      </c>
      <c r="G78" s="55" t="str">
        <f aca="false">IF(C78&gt;0,"SI","")</f>
        <v/>
      </c>
      <c r="H78" s="47"/>
    </row>
    <row r="79" customFormat="false" ht="15" hidden="true" customHeight="true" outlineLevel="0" collapsed="false">
      <c r="A79" s="45" t="s">
        <v>183</v>
      </c>
      <c r="B79" s="46" t="s">
        <v>184</v>
      </c>
      <c r="C79" s="47" t="n">
        <f aca="false">IF(AND($C$4="",$D$4=""),SUMIFS(COMPRAS!$J$3:$J$4997,COMPRAS!$G$3:$G$4997,A79),SUMIFS(COMPRAS!$J$3:$J$4997,COMPRAS!$G$3:$G$4997,A79,COMPRAS!$B$3:$B$4997,"&gt;="&amp;$C$4,COMPRAS!$B$3:$B$4997,"&lt;="&amp;$D$4))</f>
        <v>0</v>
      </c>
      <c r="D79" s="47" t="n">
        <f aca="false">IF(AND($C$4="",$D$4=""),SUMIFS(COMPRAS!$O$3:$O$4997,COMPRAS!$G$3:$G$4997,A79),SUMIFS(COMPRAS!$O$3:$O$4997,COMPRAS!$G$3:$G$4997,A79,COMPRAS!$B$3:$B$4997,"&gt;="&amp;$C$4,COMPRAS!$B$3:$B$4997,"&lt;="&amp;$D$4))</f>
        <v>0</v>
      </c>
      <c r="E79" s="48" t="str">
        <f aca="false">IF(C79&gt;0,D79/IF(H79&lt;&gt;"",H79,C79),"")</f>
        <v/>
      </c>
      <c r="F79" s="49" t="n">
        <f aca="false">IF(AND($C$4="",$D$4=""),COUNTIF(COMPRAS!$G$3:$G$4997,A79),COUNTIFS(COMPRAS!$G$3:$G$4997,A79,COMPRAS!$B$3:$B$4997,"&gt;="&amp;$C$4,COMPRAS!$B$3:$B$4997,"&lt;="&amp;$D$4))</f>
        <v>0</v>
      </c>
      <c r="G79" s="50" t="str">
        <f aca="false">IF(C79&gt;0,"SI","")</f>
        <v/>
      </c>
      <c r="H79" s="47"/>
    </row>
    <row r="80" customFormat="false" ht="15" hidden="true" customHeight="true" outlineLevel="0" collapsed="false">
      <c r="A80" s="51" t="s">
        <v>185</v>
      </c>
      <c r="B80" s="52" t="s">
        <v>186</v>
      </c>
      <c r="C80" s="53" t="n">
        <f aca="false">IF(AND($C$4="",$D$4=""),SUMIFS(COMPRAS!$J$3:$J$4997,COMPRAS!$G$3:$G$4997,A80),SUMIFS(COMPRAS!$J$3:$J$4997,COMPRAS!$G$3:$G$4997,A80,COMPRAS!$B$3:$B$4997,"&gt;="&amp;$C$4,COMPRAS!$B$3:$B$4997,"&lt;="&amp;$D$4))</f>
        <v>0</v>
      </c>
      <c r="D80" s="53" t="n">
        <f aca="false">IF(AND($C$4="",$D$4=""),SUMIFS(COMPRAS!$O$3:$O$4997,COMPRAS!$G$3:$G$4997,A80),SUMIFS(COMPRAS!$O$3:$O$4997,COMPRAS!$G$3:$G$4997,A80,COMPRAS!$B$3:$B$4997,"&gt;="&amp;$C$4,COMPRAS!$B$3:$B$4997,"&lt;="&amp;$D$4))</f>
        <v>0</v>
      </c>
      <c r="E80" s="48" t="str">
        <f aca="false">IF(C80&gt;0,D80/IF(H80&lt;&gt;"",H80,C80),"")</f>
        <v/>
      </c>
      <c r="F80" s="54" t="n">
        <f aca="false">IF(AND($C$4="",$D$4=""),COUNTIF(COMPRAS!$G$3:$G$4997,A80),COUNTIFS(COMPRAS!$G$3:$G$4997,A80,COMPRAS!$B$3:$B$4997,"&gt;="&amp;$C$4,COMPRAS!$B$3:$B$4997,"&lt;="&amp;$D$4))</f>
        <v>0</v>
      </c>
      <c r="G80" s="55" t="str">
        <f aca="false">IF(C80&gt;0,"SI","")</f>
        <v/>
      </c>
      <c r="H80" s="47"/>
    </row>
    <row r="81" customFormat="false" ht="15" hidden="true" customHeight="true" outlineLevel="0" collapsed="false">
      <c r="A81" s="45" t="s">
        <v>187</v>
      </c>
      <c r="B81" s="46" t="s">
        <v>188</v>
      </c>
      <c r="C81" s="47" t="n">
        <f aca="false">IF(AND($C$4="",$D$4=""),SUMIFS(COMPRAS!$J$3:$J$4997,COMPRAS!$G$3:$G$4997,A81),SUMIFS(COMPRAS!$J$3:$J$4997,COMPRAS!$G$3:$G$4997,A81,COMPRAS!$B$3:$B$4997,"&gt;="&amp;$C$4,COMPRAS!$B$3:$B$4997,"&lt;="&amp;$D$4))</f>
        <v>0</v>
      </c>
      <c r="D81" s="47" t="n">
        <f aca="false">IF(AND($C$4="",$D$4=""),SUMIFS(COMPRAS!$O$3:$O$4997,COMPRAS!$G$3:$G$4997,A81),SUMIFS(COMPRAS!$O$3:$O$4997,COMPRAS!$G$3:$G$4997,A81,COMPRAS!$B$3:$B$4997,"&gt;="&amp;$C$4,COMPRAS!$B$3:$B$4997,"&lt;="&amp;$D$4))</f>
        <v>0</v>
      </c>
      <c r="E81" s="48" t="str">
        <f aca="false">IF(C81&gt;0,D81/IF(H81&lt;&gt;"",H81,C81),"")</f>
        <v/>
      </c>
      <c r="F81" s="49" t="n">
        <f aca="false">IF(AND($C$4="",$D$4=""),COUNTIF(COMPRAS!$G$3:$G$4997,A81),COUNTIFS(COMPRAS!$G$3:$G$4997,A81,COMPRAS!$B$3:$B$4997,"&gt;="&amp;$C$4,COMPRAS!$B$3:$B$4997,"&lt;="&amp;$D$4))</f>
        <v>0</v>
      </c>
      <c r="G81" s="50" t="str">
        <f aca="false">IF(C81&gt;0,"SI","")</f>
        <v/>
      </c>
      <c r="H81" s="47"/>
    </row>
    <row r="82" customFormat="false" ht="15" hidden="true" customHeight="true" outlineLevel="0" collapsed="false">
      <c r="A82" s="51" t="s">
        <v>189</v>
      </c>
      <c r="B82" s="52" t="s">
        <v>190</v>
      </c>
      <c r="C82" s="53" t="n">
        <f aca="false">IF(AND($C$4="",$D$4=""),SUMIFS(COMPRAS!$J$3:$J$4997,COMPRAS!$G$3:$G$4997,A82),SUMIFS(COMPRAS!$J$3:$J$4997,COMPRAS!$G$3:$G$4997,A82,COMPRAS!$B$3:$B$4997,"&gt;="&amp;$C$4,COMPRAS!$B$3:$B$4997,"&lt;="&amp;$D$4))</f>
        <v>0</v>
      </c>
      <c r="D82" s="53" t="n">
        <f aca="false">IF(AND($C$4="",$D$4=""),SUMIFS(COMPRAS!$O$3:$O$4997,COMPRAS!$G$3:$G$4997,A82),SUMIFS(COMPRAS!$O$3:$O$4997,COMPRAS!$G$3:$G$4997,A82,COMPRAS!$B$3:$B$4997,"&gt;="&amp;$C$4,COMPRAS!$B$3:$B$4997,"&lt;="&amp;$D$4))</f>
        <v>0</v>
      </c>
      <c r="E82" s="48" t="str">
        <f aca="false">IF(C82&gt;0,D82/IF(H82&lt;&gt;"",H82,C82),"")</f>
        <v/>
      </c>
      <c r="F82" s="54" t="n">
        <f aca="false">IF(AND($C$4="",$D$4=""),COUNTIF(COMPRAS!$G$3:$G$4997,A82),COUNTIFS(COMPRAS!$G$3:$G$4997,A82,COMPRAS!$B$3:$B$4997,"&gt;="&amp;$C$4,COMPRAS!$B$3:$B$4997,"&lt;="&amp;$D$4))</f>
        <v>0</v>
      </c>
      <c r="G82" s="55" t="str">
        <f aca="false">IF(C82&gt;0,"SI","")</f>
        <v/>
      </c>
      <c r="H82" s="47"/>
    </row>
    <row r="83" customFormat="false" ht="15" hidden="true" customHeight="true" outlineLevel="0" collapsed="false">
      <c r="A83" s="45" t="s">
        <v>191</v>
      </c>
      <c r="B83" s="46" t="s">
        <v>192</v>
      </c>
      <c r="C83" s="47" t="n">
        <f aca="false">IF(AND($C$4="",$D$4=""),SUMIFS(COMPRAS!$J$3:$J$4997,COMPRAS!$G$3:$G$4997,A83),SUMIFS(COMPRAS!$J$3:$J$4997,COMPRAS!$G$3:$G$4997,A83,COMPRAS!$B$3:$B$4997,"&gt;="&amp;$C$4,COMPRAS!$B$3:$B$4997,"&lt;="&amp;$D$4))</f>
        <v>0</v>
      </c>
      <c r="D83" s="47" t="n">
        <f aca="false">IF(AND($C$4="",$D$4=""),SUMIFS(COMPRAS!$O$3:$O$4997,COMPRAS!$G$3:$G$4997,A83),SUMIFS(COMPRAS!$O$3:$O$4997,COMPRAS!$G$3:$G$4997,A83,COMPRAS!$B$3:$B$4997,"&gt;="&amp;$C$4,COMPRAS!$B$3:$B$4997,"&lt;="&amp;$D$4))</f>
        <v>0</v>
      </c>
      <c r="E83" s="48" t="str">
        <f aca="false">IF(C83&gt;0,D83/IF(H83&lt;&gt;"",H83,C83),"")</f>
        <v/>
      </c>
      <c r="F83" s="49" t="n">
        <f aca="false">IF(AND($C$4="",$D$4=""),COUNTIF(COMPRAS!$G$3:$G$4997,A83),COUNTIFS(COMPRAS!$G$3:$G$4997,A83,COMPRAS!$B$3:$B$4997,"&gt;="&amp;$C$4,COMPRAS!$B$3:$B$4997,"&lt;="&amp;$D$4))</f>
        <v>0</v>
      </c>
      <c r="G83" s="50" t="str">
        <f aca="false">IF(C83&gt;0,"SI","")</f>
        <v/>
      </c>
      <c r="H83" s="47"/>
    </row>
    <row r="84" customFormat="false" ht="15" hidden="true" customHeight="true" outlineLevel="0" collapsed="false">
      <c r="A84" s="51" t="s">
        <v>193</v>
      </c>
      <c r="B84" s="52" t="s">
        <v>194</v>
      </c>
      <c r="C84" s="53" t="n">
        <f aca="false">IF(AND($C$4="",$D$4=""),SUMIFS(COMPRAS!$J$3:$J$4997,COMPRAS!$G$3:$G$4997,A84),SUMIFS(COMPRAS!$J$3:$J$4997,COMPRAS!$G$3:$G$4997,A84,COMPRAS!$B$3:$B$4997,"&gt;="&amp;$C$4,COMPRAS!$B$3:$B$4997,"&lt;="&amp;$D$4))</f>
        <v>0</v>
      </c>
      <c r="D84" s="53" t="n">
        <f aca="false">IF(AND($C$4="",$D$4=""),SUMIFS(COMPRAS!$O$3:$O$4997,COMPRAS!$G$3:$G$4997,A84),SUMIFS(COMPRAS!$O$3:$O$4997,COMPRAS!$G$3:$G$4997,A84,COMPRAS!$B$3:$B$4997,"&gt;="&amp;$C$4,COMPRAS!$B$3:$B$4997,"&lt;="&amp;$D$4))</f>
        <v>0</v>
      </c>
      <c r="E84" s="48" t="str">
        <f aca="false">IF(C84&gt;0,D84/IF(H84&lt;&gt;"",H84,C84),"")</f>
        <v/>
      </c>
      <c r="F84" s="54" t="n">
        <f aca="false">IF(AND($C$4="",$D$4=""),COUNTIF(COMPRAS!$G$3:$G$4997,A84),COUNTIFS(COMPRAS!$G$3:$G$4997,A84,COMPRAS!$B$3:$B$4997,"&gt;="&amp;$C$4,COMPRAS!$B$3:$B$4997,"&lt;="&amp;$D$4))</f>
        <v>0</v>
      </c>
      <c r="G84" s="55" t="str">
        <f aca="false">IF(C84&gt;0,"SI","")</f>
        <v/>
      </c>
      <c r="H84" s="47"/>
    </row>
    <row r="85" customFormat="false" ht="15" hidden="true" customHeight="true" outlineLevel="0" collapsed="false">
      <c r="A85" s="45" t="s">
        <v>195</v>
      </c>
      <c r="B85" s="46" t="s">
        <v>196</v>
      </c>
      <c r="C85" s="47" t="n">
        <f aca="false">IF(AND($C$4="",$D$4=""),SUMIFS(COMPRAS!$J$3:$J$4997,COMPRAS!$G$3:$G$4997,A85),SUMIFS(COMPRAS!$J$3:$J$4997,COMPRAS!$G$3:$G$4997,A85,COMPRAS!$B$3:$B$4997,"&gt;="&amp;$C$4,COMPRAS!$B$3:$B$4997,"&lt;="&amp;$D$4))</f>
        <v>0</v>
      </c>
      <c r="D85" s="47" t="n">
        <f aca="false">IF(AND($C$4="",$D$4=""),SUMIFS(COMPRAS!$O$3:$O$4997,COMPRAS!$G$3:$G$4997,A85),SUMIFS(COMPRAS!$O$3:$O$4997,COMPRAS!$G$3:$G$4997,A85,COMPRAS!$B$3:$B$4997,"&gt;="&amp;$C$4,COMPRAS!$B$3:$B$4997,"&lt;="&amp;$D$4))</f>
        <v>0</v>
      </c>
      <c r="E85" s="48" t="str">
        <f aca="false">IF(C85&gt;0,D85/IF(H85&lt;&gt;"",H85,C85),"")</f>
        <v/>
      </c>
      <c r="F85" s="49" t="n">
        <f aca="false">IF(AND($C$4="",$D$4=""),COUNTIF(COMPRAS!$G$3:$G$4997,A85),COUNTIFS(COMPRAS!$G$3:$G$4997,A85,COMPRAS!$B$3:$B$4997,"&gt;="&amp;$C$4,COMPRAS!$B$3:$B$4997,"&lt;="&amp;$D$4))</f>
        <v>0</v>
      </c>
      <c r="G85" s="50" t="str">
        <f aca="false">IF(C85&gt;0,"SI","")</f>
        <v/>
      </c>
      <c r="H85" s="47"/>
    </row>
    <row r="86" customFormat="false" ht="15" hidden="true" customHeight="true" outlineLevel="0" collapsed="false">
      <c r="A86" s="51" t="s">
        <v>197</v>
      </c>
      <c r="B86" s="52" t="s">
        <v>198</v>
      </c>
      <c r="C86" s="53" t="n">
        <f aca="false">IF(AND($C$4="",$D$4=""),SUMIFS(COMPRAS!$J$3:$J$4997,COMPRAS!$G$3:$G$4997,A86),SUMIFS(COMPRAS!$J$3:$J$4997,COMPRAS!$G$3:$G$4997,A86,COMPRAS!$B$3:$B$4997,"&gt;="&amp;$C$4,COMPRAS!$B$3:$B$4997,"&lt;="&amp;$D$4))</f>
        <v>0</v>
      </c>
      <c r="D86" s="53" t="n">
        <f aca="false">IF(AND($C$4="",$D$4=""),SUMIFS(COMPRAS!$O$3:$O$4997,COMPRAS!$G$3:$G$4997,A86),SUMIFS(COMPRAS!$O$3:$O$4997,COMPRAS!$G$3:$G$4997,A86,COMPRAS!$B$3:$B$4997,"&gt;="&amp;$C$4,COMPRAS!$B$3:$B$4997,"&lt;="&amp;$D$4))</f>
        <v>0</v>
      </c>
      <c r="E86" s="48" t="str">
        <f aca="false">IF(C86&gt;0,D86/IF(H86&lt;&gt;"",H86,C86),"")</f>
        <v/>
      </c>
      <c r="F86" s="54" t="n">
        <f aca="false">IF(AND($C$4="",$D$4=""),COUNTIF(COMPRAS!$G$3:$G$4997,A86),COUNTIFS(COMPRAS!$G$3:$G$4997,A86,COMPRAS!$B$3:$B$4997,"&gt;="&amp;$C$4,COMPRAS!$B$3:$B$4997,"&lt;="&amp;$D$4))</f>
        <v>0</v>
      </c>
      <c r="G86" s="55" t="str">
        <f aca="false">IF(C86&gt;0,"SI","")</f>
        <v/>
      </c>
      <c r="H86" s="47"/>
    </row>
    <row r="87" customFormat="false" ht="15" hidden="true" customHeight="true" outlineLevel="0" collapsed="false">
      <c r="A87" s="45" t="s">
        <v>199</v>
      </c>
      <c r="B87" s="46" t="s">
        <v>200</v>
      </c>
      <c r="C87" s="47" t="n">
        <f aca="false">IF(AND($C$4="",$D$4=""),SUMIFS(COMPRAS!$J$3:$J$4997,COMPRAS!$G$3:$G$4997,A87),SUMIFS(COMPRAS!$J$3:$J$4997,COMPRAS!$G$3:$G$4997,A87,COMPRAS!$B$3:$B$4997,"&gt;="&amp;$C$4,COMPRAS!$B$3:$B$4997,"&lt;="&amp;$D$4))</f>
        <v>0</v>
      </c>
      <c r="D87" s="47" t="n">
        <f aca="false">IF(AND($C$4="",$D$4=""),SUMIFS(COMPRAS!$O$3:$O$4997,COMPRAS!$G$3:$G$4997,A87),SUMIFS(COMPRAS!$O$3:$O$4997,COMPRAS!$G$3:$G$4997,A87,COMPRAS!$B$3:$B$4997,"&gt;="&amp;$C$4,COMPRAS!$B$3:$B$4997,"&lt;="&amp;$D$4))</f>
        <v>0</v>
      </c>
      <c r="E87" s="48" t="str">
        <f aca="false">IF(C87&gt;0,D87/IF(H87&lt;&gt;"",H87,C87),"")</f>
        <v/>
      </c>
      <c r="F87" s="49" t="n">
        <f aca="false">IF(AND($C$4="",$D$4=""),COUNTIF(COMPRAS!$G$3:$G$4997,A87),COUNTIFS(COMPRAS!$G$3:$G$4997,A87,COMPRAS!$B$3:$B$4997,"&gt;="&amp;$C$4,COMPRAS!$B$3:$B$4997,"&lt;="&amp;$D$4))</f>
        <v>0</v>
      </c>
      <c r="G87" s="50" t="str">
        <f aca="false">IF(C87&gt;0,"SI","")</f>
        <v/>
      </c>
      <c r="H87" s="47"/>
    </row>
    <row r="88" customFormat="false" ht="15" hidden="true" customHeight="true" outlineLevel="0" collapsed="false">
      <c r="A88" s="51" t="s">
        <v>201</v>
      </c>
      <c r="B88" s="52" t="s">
        <v>202</v>
      </c>
      <c r="C88" s="53" t="n">
        <f aca="false">IF(AND($C$4="",$D$4=""),SUMIFS(COMPRAS!$J$3:$J$4997,COMPRAS!$G$3:$G$4997,A88),SUMIFS(COMPRAS!$J$3:$J$4997,COMPRAS!$G$3:$G$4997,A88,COMPRAS!$B$3:$B$4997,"&gt;="&amp;$C$4,COMPRAS!$B$3:$B$4997,"&lt;="&amp;$D$4))</f>
        <v>0</v>
      </c>
      <c r="D88" s="53" t="n">
        <f aca="false">IF(AND($C$4="",$D$4=""),SUMIFS(COMPRAS!$O$3:$O$4997,COMPRAS!$G$3:$G$4997,A88),SUMIFS(COMPRAS!$O$3:$O$4997,COMPRAS!$G$3:$G$4997,A88,COMPRAS!$B$3:$B$4997,"&gt;="&amp;$C$4,COMPRAS!$B$3:$B$4997,"&lt;="&amp;$D$4))</f>
        <v>0</v>
      </c>
      <c r="E88" s="48" t="str">
        <f aca="false">IF(C88&gt;0,D88/IF(H88&lt;&gt;"",H88,C88),"")</f>
        <v/>
      </c>
      <c r="F88" s="54" t="n">
        <f aca="false">IF(AND($C$4="",$D$4=""),COUNTIF(COMPRAS!$G$3:$G$4997,A88),COUNTIFS(COMPRAS!$G$3:$G$4997,A88,COMPRAS!$B$3:$B$4997,"&gt;="&amp;$C$4,COMPRAS!$B$3:$B$4997,"&lt;="&amp;$D$4))</f>
        <v>0</v>
      </c>
      <c r="G88" s="55" t="str">
        <f aca="false">IF(C88&gt;0,"SI","")</f>
        <v/>
      </c>
      <c r="H88" s="47"/>
    </row>
    <row r="89" customFormat="false" ht="15" hidden="true" customHeight="true" outlineLevel="0" collapsed="false">
      <c r="A89" s="45" t="s">
        <v>203</v>
      </c>
      <c r="B89" s="46" t="s">
        <v>204</v>
      </c>
      <c r="C89" s="47" t="n">
        <f aca="false">IF(AND($C$4="",$D$4=""),SUMIFS(COMPRAS!$J$3:$J$4997,COMPRAS!$G$3:$G$4997,A89),SUMIFS(COMPRAS!$J$3:$J$4997,COMPRAS!$G$3:$G$4997,A89,COMPRAS!$B$3:$B$4997,"&gt;="&amp;$C$4,COMPRAS!$B$3:$B$4997,"&lt;="&amp;$D$4))</f>
        <v>0</v>
      </c>
      <c r="D89" s="47" t="n">
        <f aca="false">IF(AND($C$4="",$D$4=""),SUMIFS(COMPRAS!$O$3:$O$4997,COMPRAS!$G$3:$G$4997,A89),SUMIFS(COMPRAS!$O$3:$O$4997,COMPRAS!$G$3:$G$4997,A89,COMPRAS!$B$3:$B$4997,"&gt;="&amp;$C$4,COMPRAS!$B$3:$B$4997,"&lt;="&amp;$D$4))</f>
        <v>0</v>
      </c>
      <c r="E89" s="48" t="str">
        <f aca="false">IF(C89&gt;0,D89/IF(H89&lt;&gt;"",H89,C89),"")</f>
        <v/>
      </c>
      <c r="F89" s="49" t="n">
        <f aca="false">IF(AND($C$4="",$D$4=""),COUNTIF(COMPRAS!$G$3:$G$4997,A89),COUNTIFS(COMPRAS!$G$3:$G$4997,A89,COMPRAS!$B$3:$B$4997,"&gt;="&amp;$C$4,COMPRAS!$B$3:$B$4997,"&lt;="&amp;$D$4))</f>
        <v>0</v>
      </c>
      <c r="G89" s="50" t="str">
        <f aca="false">IF(C89&gt;0,"SI","")</f>
        <v/>
      </c>
      <c r="H89" s="47"/>
    </row>
    <row r="90" customFormat="false" ht="15" hidden="true" customHeight="true" outlineLevel="0" collapsed="false">
      <c r="A90" s="51" t="s">
        <v>205</v>
      </c>
      <c r="B90" s="52" t="s">
        <v>206</v>
      </c>
      <c r="C90" s="53" t="n">
        <f aca="false">IF(AND($C$4="",$D$4=""),SUMIFS(COMPRAS!$J$3:$J$4997,COMPRAS!$G$3:$G$4997,A90),SUMIFS(COMPRAS!$J$3:$J$4997,COMPRAS!$G$3:$G$4997,A90,COMPRAS!$B$3:$B$4997,"&gt;="&amp;$C$4,COMPRAS!$B$3:$B$4997,"&lt;="&amp;$D$4))</f>
        <v>0</v>
      </c>
      <c r="D90" s="53" t="n">
        <f aca="false">IF(AND($C$4="",$D$4=""),SUMIFS(COMPRAS!$O$3:$O$4997,COMPRAS!$G$3:$G$4997,A90),SUMIFS(COMPRAS!$O$3:$O$4997,COMPRAS!$G$3:$G$4997,A90,COMPRAS!$B$3:$B$4997,"&gt;="&amp;$C$4,COMPRAS!$B$3:$B$4997,"&lt;="&amp;$D$4))</f>
        <v>0</v>
      </c>
      <c r="E90" s="48" t="str">
        <f aca="false">IF(C90&gt;0,D90/IF(H90&lt;&gt;"",H90,C90),"")</f>
        <v/>
      </c>
      <c r="F90" s="54" t="n">
        <f aca="false">IF(AND($C$4="",$D$4=""),COUNTIF(COMPRAS!$G$3:$G$4997,A90),COUNTIFS(COMPRAS!$G$3:$G$4997,A90,COMPRAS!$B$3:$B$4997,"&gt;="&amp;$C$4,COMPRAS!$B$3:$B$4997,"&lt;="&amp;$D$4))</f>
        <v>0</v>
      </c>
      <c r="G90" s="55" t="str">
        <f aca="false">IF(C90&gt;0,"SI","")</f>
        <v/>
      </c>
      <c r="H90" s="47"/>
    </row>
    <row r="91" customFormat="false" ht="15" hidden="true" customHeight="true" outlineLevel="0" collapsed="false">
      <c r="A91" s="45" t="s">
        <v>207</v>
      </c>
      <c r="B91" s="46" t="s">
        <v>208</v>
      </c>
      <c r="C91" s="47" t="n">
        <f aca="false">IF(AND($C$4="",$D$4=""),SUMIFS(COMPRAS!$J$3:$J$4997,COMPRAS!$G$3:$G$4997,A91),SUMIFS(COMPRAS!$J$3:$J$4997,COMPRAS!$G$3:$G$4997,A91,COMPRAS!$B$3:$B$4997,"&gt;="&amp;$C$4,COMPRAS!$B$3:$B$4997,"&lt;="&amp;$D$4))</f>
        <v>0</v>
      </c>
      <c r="D91" s="47" t="n">
        <f aca="false">IF(AND($C$4="",$D$4=""),SUMIFS(COMPRAS!$O$3:$O$4997,COMPRAS!$G$3:$G$4997,A91),SUMIFS(COMPRAS!$O$3:$O$4997,COMPRAS!$G$3:$G$4997,A91,COMPRAS!$B$3:$B$4997,"&gt;="&amp;$C$4,COMPRAS!$B$3:$B$4997,"&lt;="&amp;$D$4))</f>
        <v>0</v>
      </c>
      <c r="E91" s="48" t="str">
        <f aca="false">IF(C91&gt;0,D91/IF(H91&lt;&gt;"",H91,C91),"")</f>
        <v/>
      </c>
      <c r="F91" s="49" t="n">
        <f aca="false">IF(AND($C$4="",$D$4=""),COUNTIF(COMPRAS!$G$3:$G$4997,A91),COUNTIFS(COMPRAS!$G$3:$G$4997,A91,COMPRAS!$B$3:$B$4997,"&gt;="&amp;$C$4,COMPRAS!$B$3:$B$4997,"&lt;="&amp;$D$4))</f>
        <v>0</v>
      </c>
      <c r="G91" s="50" t="str">
        <f aca="false">IF(C91&gt;0,"SI","")</f>
        <v/>
      </c>
      <c r="H91" s="47"/>
    </row>
    <row r="92" customFormat="false" ht="15" hidden="true" customHeight="true" outlineLevel="0" collapsed="false">
      <c r="A92" s="51" t="s">
        <v>209</v>
      </c>
      <c r="B92" s="52" t="s">
        <v>210</v>
      </c>
      <c r="C92" s="53" t="n">
        <f aca="false">IF(AND($C$4="",$D$4=""),SUMIFS(COMPRAS!$J$3:$J$4997,COMPRAS!$G$3:$G$4997,A92),SUMIFS(COMPRAS!$J$3:$J$4997,COMPRAS!$G$3:$G$4997,A92,COMPRAS!$B$3:$B$4997,"&gt;="&amp;$C$4,COMPRAS!$B$3:$B$4997,"&lt;="&amp;$D$4))</f>
        <v>0</v>
      </c>
      <c r="D92" s="53" t="n">
        <f aca="false">IF(AND($C$4="",$D$4=""),SUMIFS(COMPRAS!$O$3:$O$4997,COMPRAS!$G$3:$G$4997,A92),SUMIFS(COMPRAS!$O$3:$O$4997,COMPRAS!$G$3:$G$4997,A92,COMPRAS!$B$3:$B$4997,"&gt;="&amp;$C$4,COMPRAS!$B$3:$B$4997,"&lt;="&amp;$D$4))</f>
        <v>0</v>
      </c>
      <c r="E92" s="48" t="str">
        <f aca="false">IF(C92&gt;0,D92/IF(H92&lt;&gt;"",H92,C92),"")</f>
        <v/>
      </c>
      <c r="F92" s="54" t="n">
        <f aca="false">IF(AND($C$4="",$D$4=""),COUNTIF(COMPRAS!$G$3:$G$4997,A92),COUNTIFS(COMPRAS!$G$3:$G$4997,A92,COMPRAS!$B$3:$B$4997,"&gt;="&amp;$C$4,COMPRAS!$B$3:$B$4997,"&lt;="&amp;$D$4))</f>
        <v>0</v>
      </c>
      <c r="G92" s="55" t="str">
        <f aca="false">IF(C92&gt;0,"SI","")</f>
        <v/>
      </c>
      <c r="H92" s="47"/>
    </row>
    <row r="93" customFormat="false" ht="15" hidden="true" customHeight="true" outlineLevel="0" collapsed="false">
      <c r="A93" s="45" t="s">
        <v>211</v>
      </c>
      <c r="B93" s="46" t="s">
        <v>210</v>
      </c>
      <c r="C93" s="47" t="n">
        <f aca="false">IF(AND($C$4="",$D$4=""),SUMIFS(COMPRAS!$J$3:$J$4997,COMPRAS!$G$3:$G$4997,A93),SUMIFS(COMPRAS!$J$3:$J$4997,COMPRAS!$G$3:$G$4997,A93,COMPRAS!$B$3:$B$4997,"&gt;="&amp;$C$4,COMPRAS!$B$3:$B$4997,"&lt;="&amp;$D$4))</f>
        <v>0</v>
      </c>
      <c r="D93" s="47" t="n">
        <f aca="false">IF(AND($C$4="",$D$4=""),SUMIFS(COMPRAS!$O$3:$O$4997,COMPRAS!$G$3:$G$4997,A93),SUMIFS(COMPRAS!$O$3:$O$4997,COMPRAS!$G$3:$G$4997,A93,COMPRAS!$B$3:$B$4997,"&gt;="&amp;$C$4,COMPRAS!$B$3:$B$4997,"&lt;="&amp;$D$4))</f>
        <v>0</v>
      </c>
      <c r="E93" s="48" t="str">
        <f aca="false">IF(C93&gt;0,D93/IF(H93&lt;&gt;"",H93,C93),"")</f>
        <v/>
      </c>
      <c r="F93" s="49" t="n">
        <f aca="false">IF(AND($C$4="",$D$4=""),COUNTIF(COMPRAS!$G$3:$G$4997,A93),COUNTIFS(COMPRAS!$G$3:$G$4997,A93,COMPRAS!$B$3:$B$4997,"&gt;="&amp;$C$4,COMPRAS!$B$3:$B$4997,"&lt;="&amp;$D$4))</f>
        <v>0</v>
      </c>
      <c r="G93" s="50" t="str">
        <f aca="false">IF(C93&gt;0,"SI","")</f>
        <v/>
      </c>
      <c r="H93" s="47"/>
    </row>
    <row r="94" customFormat="false" ht="15" hidden="true" customHeight="true" outlineLevel="0" collapsed="false">
      <c r="A94" s="51" t="s">
        <v>212</v>
      </c>
      <c r="B94" s="52" t="s">
        <v>210</v>
      </c>
      <c r="C94" s="53" t="n">
        <f aca="false">IF(AND($C$4="",$D$4=""),SUMIFS(COMPRAS!$J$3:$J$4997,COMPRAS!$G$3:$G$4997,A94),SUMIFS(COMPRAS!$J$3:$J$4997,COMPRAS!$G$3:$G$4997,A94,COMPRAS!$B$3:$B$4997,"&gt;="&amp;$C$4,COMPRAS!$B$3:$B$4997,"&lt;="&amp;$D$4))</f>
        <v>0</v>
      </c>
      <c r="D94" s="53" t="n">
        <f aca="false">IF(AND($C$4="",$D$4=""),SUMIFS(COMPRAS!$O$3:$O$4997,COMPRAS!$G$3:$G$4997,A94),SUMIFS(COMPRAS!$O$3:$O$4997,COMPRAS!$G$3:$G$4997,A94,COMPRAS!$B$3:$B$4997,"&gt;="&amp;$C$4,COMPRAS!$B$3:$B$4997,"&lt;="&amp;$D$4))</f>
        <v>0</v>
      </c>
      <c r="E94" s="48" t="str">
        <f aca="false">IF(C94&gt;0,D94/IF(H94&lt;&gt;"",H94,C94),"")</f>
        <v/>
      </c>
      <c r="F94" s="54" t="n">
        <f aca="false">IF(AND($C$4="",$D$4=""),COUNTIF(COMPRAS!$G$3:$G$4997,A94),COUNTIFS(COMPRAS!$G$3:$G$4997,A94,COMPRAS!$B$3:$B$4997,"&gt;="&amp;$C$4,COMPRAS!$B$3:$B$4997,"&lt;="&amp;$D$4))</f>
        <v>0</v>
      </c>
      <c r="G94" s="55" t="str">
        <f aca="false">IF(C94&gt;0,"SI","")</f>
        <v/>
      </c>
      <c r="H94" s="47"/>
    </row>
    <row r="95" customFormat="false" ht="15" hidden="true" customHeight="true" outlineLevel="0" collapsed="false">
      <c r="A95" s="45" t="s">
        <v>213</v>
      </c>
      <c r="B95" s="46" t="s">
        <v>210</v>
      </c>
      <c r="C95" s="47" t="n">
        <f aca="false">IF(AND($C$4="",$D$4=""),SUMIFS(COMPRAS!$J$3:$J$4997,COMPRAS!$G$3:$G$4997,A95),SUMIFS(COMPRAS!$J$3:$J$4997,COMPRAS!$G$3:$G$4997,A95,COMPRAS!$B$3:$B$4997,"&gt;="&amp;$C$4,COMPRAS!$B$3:$B$4997,"&lt;="&amp;$D$4))</f>
        <v>0</v>
      </c>
      <c r="D95" s="47" t="n">
        <f aca="false">IF(AND($C$4="",$D$4=""),SUMIFS(COMPRAS!$O$3:$O$4997,COMPRAS!$G$3:$G$4997,A95),SUMIFS(COMPRAS!$O$3:$O$4997,COMPRAS!$G$3:$G$4997,A95,COMPRAS!$B$3:$B$4997,"&gt;="&amp;$C$4,COMPRAS!$B$3:$B$4997,"&lt;="&amp;$D$4))</f>
        <v>0</v>
      </c>
      <c r="E95" s="48" t="str">
        <f aca="false">IF(C95&gt;0,D95/IF(H95&lt;&gt;"",H95,C95),"")</f>
        <v/>
      </c>
      <c r="F95" s="49" t="n">
        <f aca="false">IF(AND($C$4="",$D$4=""),COUNTIF(COMPRAS!$G$3:$G$4997,A95),COUNTIFS(COMPRAS!$G$3:$G$4997,A95,COMPRAS!$B$3:$B$4997,"&gt;="&amp;$C$4,COMPRAS!$B$3:$B$4997,"&lt;="&amp;$D$4))</f>
        <v>0</v>
      </c>
      <c r="G95" s="50" t="str">
        <f aca="false">IF(C95&gt;0,"SI","")</f>
        <v/>
      </c>
      <c r="H95" s="47"/>
    </row>
    <row r="96" customFormat="false" ht="15" hidden="true" customHeight="true" outlineLevel="0" collapsed="false">
      <c r="A96" s="51" t="s">
        <v>214</v>
      </c>
      <c r="B96" s="52" t="s">
        <v>210</v>
      </c>
      <c r="C96" s="53" t="n">
        <f aca="false">IF(AND($C$4="",$D$4=""),SUMIFS(COMPRAS!$J$3:$J$4997,COMPRAS!$G$3:$G$4997,A96),SUMIFS(COMPRAS!$J$3:$J$4997,COMPRAS!$G$3:$G$4997,A96,COMPRAS!$B$3:$B$4997,"&gt;="&amp;$C$4,COMPRAS!$B$3:$B$4997,"&lt;="&amp;$D$4))</f>
        <v>0</v>
      </c>
      <c r="D96" s="53" t="n">
        <f aca="false">IF(AND($C$4="",$D$4=""),SUMIFS(COMPRAS!$O$3:$O$4997,COMPRAS!$G$3:$G$4997,A96),SUMIFS(COMPRAS!$O$3:$O$4997,COMPRAS!$G$3:$G$4997,A96,COMPRAS!$B$3:$B$4997,"&gt;="&amp;$C$4,COMPRAS!$B$3:$B$4997,"&lt;="&amp;$D$4))</f>
        <v>0</v>
      </c>
      <c r="E96" s="48" t="str">
        <f aca="false">IF(C96&gt;0,D96/IF(H96&lt;&gt;"",H96,C96),"")</f>
        <v/>
      </c>
      <c r="F96" s="54" t="n">
        <f aca="false">IF(AND($C$4="",$D$4=""),COUNTIF(COMPRAS!$G$3:$G$4997,A96),COUNTIFS(COMPRAS!$G$3:$G$4997,A96,COMPRAS!$B$3:$B$4997,"&gt;="&amp;$C$4,COMPRAS!$B$3:$B$4997,"&lt;="&amp;$D$4))</f>
        <v>0</v>
      </c>
      <c r="G96" s="55" t="str">
        <f aca="false">IF(C96&gt;0,"SI","")</f>
        <v/>
      </c>
      <c r="H96" s="47"/>
    </row>
    <row r="97" customFormat="false" ht="15" hidden="true" customHeight="true" outlineLevel="0" collapsed="false">
      <c r="A97" s="45" t="s">
        <v>215</v>
      </c>
      <c r="B97" s="46" t="s">
        <v>210</v>
      </c>
      <c r="C97" s="47" t="n">
        <f aca="false">IF(AND($C$4="",$D$4=""),SUMIFS(COMPRAS!$J$3:$J$4997,COMPRAS!$G$3:$G$4997,A97),SUMIFS(COMPRAS!$J$3:$J$4997,COMPRAS!$G$3:$G$4997,A97,COMPRAS!$B$3:$B$4997,"&gt;="&amp;$C$4,COMPRAS!$B$3:$B$4997,"&lt;="&amp;$D$4))</f>
        <v>0</v>
      </c>
      <c r="D97" s="47" t="n">
        <f aca="false">IF(AND($C$4="",$D$4=""),SUMIFS(COMPRAS!$O$3:$O$4997,COMPRAS!$G$3:$G$4997,A97),SUMIFS(COMPRAS!$O$3:$O$4997,COMPRAS!$G$3:$G$4997,A97,COMPRAS!$B$3:$B$4997,"&gt;="&amp;$C$4,COMPRAS!$B$3:$B$4997,"&lt;="&amp;$D$4))</f>
        <v>0</v>
      </c>
      <c r="E97" s="48" t="str">
        <f aca="false">IF(C97&gt;0,D97/IF(H97&lt;&gt;"",H97,C97),"")</f>
        <v/>
      </c>
      <c r="F97" s="49" t="n">
        <f aca="false">IF(AND($C$4="",$D$4=""),COUNTIF(COMPRAS!$G$3:$G$4997,A97),COUNTIFS(COMPRAS!$G$3:$G$4997,A97,COMPRAS!$B$3:$B$4997,"&gt;="&amp;$C$4,COMPRAS!$B$3:$B$4997,"&lt;="&amp;$D$4))</f>
        <v>0</v>
      </c>
      <c r="G97" s="50" t="str">
        <f aca="false">IF(C97&gt;0,"SI","")</f>
        <v/>
      </c>
      <c r="H97" s="47"/>
    </row>
    <row r="98" customFormat="false" ht="15" hidden="true" customHeight="true" outlineLevel="0" collapsed="false">
      <c r="A98" s="51" t="s">
        <v>216</v>
      </c>
      <c r="B98" s="52" t="s">
        <v>217</v>
      </c>
      <c r="C98" s="53" t="n">
        <f aca="false">IF(AND($C$4="",$D$4=""),SUMIFS(COMPRAS!$J$3:$J$4997,COMPRAS!$G$3:$G$4997,A98),SUMIFS(COMPRAS!$J$3:$J$4997,COMPRAS!$G$3:$G$4997,A98,COMPRAS!$B$3:$B$4997,"&gt;="&amp;$C$4,COMPRAS!$B$3:$B$4997,"&lt;="&amp;$D$4))</f>
        <v>0</v>
      </c>
      <c r="D98" s="53" t="n">
        <f aca="false">IF(AND($C$4="",$D$4=""),SUMIFS(COMPRAS!$O$3:$O$4997,COMPRAS!$G$3:$G$4997,A98),SUMIFS(COMPRAS!$O$3:$O$4997,COMPRAS!$G$3:$G$4997,A98,COMPRAS!$B$3:$B$4997,"&gt;="&amp;$C$4,COMPRAS!$B$3:$B$4997,"&lt;="&amp;$D$4))</f>
        <v>0</v>
      </c>
      <c r="E98" s="48" t="str">
        <f aca="false">IF(C98&gt;0,D98/IF(H98&lt;&gt;"",H98,C98),"")</f>
        <v/>
      </c>
      <c r="F98" s="54" t="n">
        <f aca="false">IF(AND($C$4="",$D$4=""),COUNTIF(COMPRAS!$G$3:$G$4997,A98),COUNTIFS(COMPRAS!$G$3:$G$4997,A98,COMPRAS!$B$3:$B$4997,"&gt;="&amp;$C$4,COMPRAS!$B$3:$B$4997,"&lt;="&amp;$D$4))</f>
        <v>0</v>
      </c>
      <c r="G98" s="55" t="str">
        <f aca="false">IF(C98&gt;0,"SI","")</f>
        <v/>
      </c>
      <c r="H98" s="47"/>
    </row>
    <row r="99" customFormat="false" ht="15" hidden="true" customHeight="true" outlineLevel="0" collapsed="false">
      <c r="A99" s="45" t="s">
        <v>218</v>
      </c>
      <c r="B99" s="46" t="s">
        <v>217</v>
      </c>
      <c r="C99" s="47" t="n">
        <f aca="false">IF(AND($C$4="",$D$4=""),SUMIFS(COMPRAS!$J$3:$J$4997,COMPRAS!$G$3:$G$4997,A99),SUMIFS(COMPRAS!$J$3:$J$4997,COMPRAS!$G$3:$G$4997,A99,COMPRAS!$B$3:$B$4997,"&gt;="&amp;$C$4,COMPRAS!$B$3:$B$4997,"&lt;="&amp;$D$4))</f>
        <v>0</v>
      </c>
      <c r="D99" s="47" t="n">
        <f aca="false">IF(AND($C$4="",$D$4=""),SUMIFS(COMPRAS!$O$3:$O$4997,COMPRAS!$G$3:$G$4997,A99),SUMIFS(COMPRAS!$O$3:$O$4997,COMPRAS!$G$3:$G$4997,A99,COMPRAS!$B$3:$B$4997,"&gt;="&amp;$C$4,COMPRAS!$B$3:$B$4997,"&lt;="&amp;$D$4))</f>
        <v>0</v>
      </c>
      <c r="E99" s="48" t="str">
        <f aca="false">IF(C99&gt;0,D99/IF(H99&lt;&gt;"",H99,C99),"")</f>
        <v/>
      </c>
      <c r="F99" s="49" t="n">
        <f aca="false">IF(AND($C$4="",$D$4=""),COUNTIF(COMPRAS!$G$3:$G$4997,A99),COUNTIFS(COMPRAS!$G$3:$G$4997,A99,COMPRAS!$B$3:$B$4997,"&gt;="&amp;$C$4,COMPRAS!$B$3:$B$4997,"&lt;="&amp;$D$4))</f>
        <v>0</v>
      </c>
      <c r="G99" s="50" t="str">
        <f aca="false">IF(C99&gt;0,"SI","")</f>
        <v/>
      </c>
      <c r="H99" s="47"/>
    </row>
    <row r="100" customFormat="false" ht="15" hidden="true" customHeight="true" outlineLevel="0" collapsed="false">
      <c r="A100" s="51" t="s">
        <v>219</v>
      </c>
      <c r="B100" s="52" t="s">
        <v>220</v>
      </c>
      <c r="C100" s="53" t="n">
        <f aca="false">IF(AND($C$4="",$D$4=""),SUMIFS(COMPRAS!$J$3:$J$4997,COMPRAS!$G$3:$G$4997,A100),SUMIFS(COMPRAS!$J$3:$J$4997,COMPRAS!$G$3:$G$4997,A100,COMPRAS!$B$3:$B$4997,"&gt;="&amp;$C$4,COMPRAS!$B$3:$B$4997,"&lt;="&amp;$D$4))</f>
        <v>0</v>
      </c>
      <c r="D100" s="53" t="n">
        <f aca="false">IF(AND($C$4="",$D$4=""),SUMIFS(COMPRAS!$O$3:$O$4997,COMPRAS!$G$3:$G$4997,A100),SUMIFS(COMPRAS!$O$3:$O$4997,COMPRAS!$G$3:$G$4997,A100,COMPRAS!$B$3:$B$4997,"&gt;="&amp;$C$4,COMPRAS!$B$3:$B$4997,"&lt;="&amp;$D$4))</f>
        <v>0</v>
      </c>
      <c r="E100" s="48" t="str">
        <f aca="false">IF(C100&gt;0,D100/IF(H100&lt;&gt;"",H100,C100),"")</f>
        <v/>
      </c>
      <c r="F100" s="54" t="n">
        <f aca="false">IF(AND($C$4="",$D$4=""),COUNTIF(COMPRAS!$G$3:$G$4997,A100),COUNTIFS(COMPRAS!$G$3:$G$4997,A100,COMPRAS!$B$3:$B$4997,"&gt;="&amp;$C$4,COMPRAS!$B$3:$B$4997,"&lt;="&amp;$D$4))</f>
        <v>0</v>
      </c>
      <c r="G100" s="55" t="str">
        <f aca="false">IF(C100&gt;0,"SI","")</f>
        <v/>
      </c>
      <c r="H100" s="47"/>
    </row>
    <row r="101" customFormat="false" ht="15" hidden="true" customHeight="true" outlineLevel="0" collapsed="false">
      <c r="A101" s="45" t="s">
        <v>221</v>
      </c>
      <c r="B101" s="46" t="s">
        <v>222</v>
      </c>
      <c r="C101" s="47" t="n">
        <f aca="false">IF(AND($C$4="",$D$4=""),SUMIFS(COMPRAS!$J$3:$J$4997,COMPRAS!$G$3:$G$4997,A101),SUMIFS(COMPRAS!$J$3:$J$4997,COMPRAS!$G$3:$G$4997,A101,COMPRAS!$B$3:$B$4997,"&gt;="&amp;$C$4,COMPRAS!$B$3:$B$4997,"&lt;="&amp;$D$4))</f>
        <v>0</v>
      </c>
      <c r="D101" s="47" t="n">
        <f aca="false">IF(AND($C$4="",$D$4=""),SUMIFS(COMPRAS!$O$3:$O$4997,COMPRAS!$G$3:$G$4997,A101),SUMIFS(COMPRAS!$O$3:$O$4997,COMPRAS!$G$3:$G$4997,A101,COMPRAS!$B$3:$B$4997,"&gt;="&amp;$C$4,COMPRAS!$B$3:$B$4997,"&lt;="&amp;$D$4))</f>
        <v>0</v>
      </c>
      <c r="E101" s="48" t="str">
        <f aca="false">IF(C101&gt;0,D101/IF(H101&lt;&gt;"",H101,C101),"")</f>
        <v/>
      </c>
      <c r="F101" s="49" t="n">
        <f aca="false">IF(AND($C$4="",$D$4=""),COUNTIF(COMPRAS!$G$3:$G$4997,A101),COUNTIFS(COMPRAS!$G$3:$G$4997,A101,COMPRAS!$B$3:$B$4997,"&gt;="&amp;$C$4,COMPRAS!$B$3:$B$4997,"&lt;="&amp;$D$4))</f>
        <v>0</v>
      </c>
      <c r="G101" s="50" t="str">
        <f aca="false">IF(C101&gt;0,"SI","")</f>
        <v/>
      </c>
      <c r="H101" s="47"/>
    </row>
    <row r="102" customFormat="false" ht="15" hidden="true" customHeight="true" outlineLevel="0" collapsed="false">
      <c r="A102" s="51" t="s">
        <v>223</v>
      </c>
      <c r="B102" s="52" t="s">
        <v>224</v>
      </c>
      <c r="C102" s="53" t="n">
        <f aca="false">IF(AND($C$4="",$D$4=""),SUMIFS(COMPRAS!$J$3:$J$4997,COMPRAS!$G$3:$G$4997,A102),SUMIFS(COMPRAS!$J$3:$J$4997,COMPRAS!$G$3:$G$4997,A102,COMPRAS!$B$3:$B$4997,"&gt;="&amp;$C$4,COMPRAS!$B$3:$B$4997,"&lt;="&amp;$D$4))</f>
        <v>0</v>
      </c>
      <c r="D102" s="53" t="n">
        <f aca="false">IF(AND($C$4="",$D$4=""),SUMIFS(COMPRAS!$O$3:$O$4997,COMPRAS!$G$3:$G$4997,A102),SUMIFS(COMPRAS!$O$3:$O$4997,COMPRAS!$G$3:$G$4997,A102,COMPRAS!$B$3:$B$4997,"&gt;="&amp;$C$4,COMPRAS!$B$3:$B$4997,"&lt;="&amp;$D$4))</f>
        <v>0</v>
      </c>
      <c r="E102" s="48" t="str">
        <f aca="false">IF(C102&gt;0,D102/IF(H102&lt;&gt;"",H102,C102),"")</f>
        <v/>
      </c>
      <c r="F102" s="54" t="n">
        <f aca="false">IF(AND($C$4="",$D$4=""),COUNTIF(COMPRAS!$G$3:$G$4997,A102),COUNTIFS(COMPRAS!$G$3:$G$4997,A102,COMPRAS!$B$3:$B$4997,"&gt;="&amp;$C$4,COMPRAS!$B$3:$B$4997,"&lt;="&amp;$D$4))</f>
        <v>0</v>
      </c>
      <c r="G102" s="55" t="str">
        <f aca="false">IF(C102&gt;0,"SI","")</f>
        <v/>
      </c>
      <c r="H102" s="47"/>
    </row>
    <row r="103" customFormat="false" ht="15" hidden="true" customHeight="true" outlineLevel="0" collapsed="false">
      <c r="A103" s="45" t="s">
        <v>225</v>
      </c>
      <c r="B103" s="46" t="s">
        <v>226</v>
      </c>
      <c r="C103" s="47" t="n">
        <f aca="false">IF(AND($C$4="",$D$4=""),SUMIFS(COMPRAS!$J$3:$J$4997,COMPRAS!$G$3:$G$4997,A103),SUMIFS(COMPRAS!$J$3:$J$4997,COMPRAS!$G$3:$G$4997,A103,COMPRAS!$B$3:$B$4997,"&gt;="&amp;$C$4,COMPRAS!$B$3:$B$4997,"&lt;="&amp;$D$4))</f>
        <v>0</v>
      </c>
      <c r="D103" s="47" t="n">
        <f aca="false">IF(AND($C$4="",$D$4=""),SUMIFS(COMPRAS!$O$3:$O$4997,COMPRAS!$G$3:$G$4997,A103),SUMIFS(COMPRAS!$O$3:$O$4997,COMPRAS!$G$3:$G$4997,A103,COMPRAS!$B$3:$B$4997,"&gt;="&amp;$C$4,COMPRAS!$B$3:$B$4997,"&lt;="&amp;$D$4))</f>
        <v>0</v>
      </c>
      <c r="E103" s="48" t="str">
        <f aca="false">IF(C103&gt;0,D103/IF(H103&lt;&gt;"",H103,C103),"")</f>
        <v/>
      </c>
      <c r="F103" s="49" t="n">
        <f aca="false">IF(AND($C$4="",$D$4=""),COUNTIF(COMPRAS!$G$3:$G$4997,A103),COUNTIFS(COMPRAS!$G$3:$G$4997,A103,COMPRAS!$B$3:$B$4997,"&gt;="&amp;$C$4,COMPRAS!$B$3:$B$4997,"&lt;="&amp;$D$4))</f>
        <v>0</v>
      </c>
      <c r="G103" s="50" t="str">
        <f aca="false">IF(C103&gt;0,"SI","")</f>
        <v/>
      </c>
      <c r="H103" s="47"/>
    </row>
    <row r="104" customFormat="false" ht="15" hidden="true" customHeight="true" outlineLevel="0" collapsed="false">
      <c r="A104" s="51" t="s">
        <v>227</v>
      </c>
      <c r="B104" s="52" t="s">
        <v>228</v>
      </c>
      <c r="C104" s="53" t="n">
        <f aca="false">IF(AND($C$4="",$D$4=""),SUMIFS(COMPRAS!$J$3:$J$4997,COMPRAS!$G$3:$G$4997,A104),SUMIFS(COMPRAS!$J$3:$J$4997,COMPRAS!$G$3:$G$4997,A104,COMPRAS!$B$3:$B$4997,"&gt;="&amp;$C$4,COMPRAS!$B$3:$B$4997,"&lt;="&amp;$D$4))</f>
        <v>0</v>
      </c>
      <c r="D104" s="53" t="n">
        <f aca="false">IF(AND($C$4="",$D$4=""),SUMIFS(COMPRAS!$O$3:$O$4997,COMPRAS!$G$3:$G$4997,A104),SUMIFS(COMPRAS!$O$3:$O$4997,COMPRAS!$G$3:$G$4997,A104,COMPRAS!$B$3:$B$4997,"&gt;="&amp;$C$4,COMPRAS!$B$3:$B$4997,"&lt;="&amp;$D$4))</f>
        <v>0</v>
      </c>
      <c r="E104" s="48" t="str">
        <f aca="false">IF(C104&gt;0,D104/IF(H104&lt;&gt;"",H104,C104),"")</f>
        <v/>
      </c>
      <c r="F104" s="54" t="n">
        <f aca="false">IF(AND($C$4="",$D$4=""),COUNTIF(COMPRAS!$G$3:$G$4997,A104),COUNTIFS(COMPRAS!$G$3:$G$4997,A104,COMPRAS!$B$3:$B$4997,"&gt;="&amp;$C$4,COMPRAS!$B$3:$B$4997,"&lt;="&amp;$D$4))</f>
        <v>0</v>
      </c>
      <c r="G104" s="55" t="str">
        <f aca="false">IF(C104&gt;0,"SI","")</f>
        <v/>
      </c>
      <c r="H104" s="47"/>
    </row>
    <row r="105" customFormat="false" ht="15" hidden="true" customHeight="true" outlineLevel="0" collapsed="false">
      <c r="A105" s="45" t="s">
        <v>229</v>
      </c>
      <c r="B105" s="46" t="s">
        <v>230</v>
      </c>
      <c r="C105" s="47" t="n">
        <f aca="false">IF(AND($C$4="",$D$4=""),SUMIFS(COMPRAS!$J$3:$J$4997,COMPRAS!$G$3:$G$4997,A105),SUMIFS(COMPRAS!$J$3:$J$4997,COMPRAS!$G$3:$G$4997,A105,COMPRAS!$B$3:$B$4997,"&gt;="&amp;$C$4,COMPRAS!$B$3:$B$4997,"&lt;="&amp;$D$4))</f>
        <v>0</v>
      </c>
      <c r="D105" s="47" t="n">
        <f aca="false">IF(AND($C$4="",$D$4=""),SUMIFS(COMPRAS!$O$3:$O$4997,COMPRAS!$G$3:$G$4997,A105),SUMIFS(COMPRAS!$O$3:$O$4997,COMPRAS!$G$3:$G$4997,A105,COMPRAS!$B$3:$B$4997,"&gt;="&amp;$C$4,COMPRAS!$B$3:$B$4997,"&lt;="&amp;$D$4))</f>
        <v>0</v>
      </c>
      <c r="E105" s="48" t="str">
        <f aca="false">IF(C105&gt;0,D105/IF(H105&lt;&gt;"",H105,C105),"")</f>
        <v/>
      </c>
      <c r="F105" s="49" t="n">
        <f aca="false">IF(AND($C$4="",$D$4=""),COUNTIF(COMPRAS!$G$3:$G$4997,A105),COUNTIFS(COMPRAS!$G$3:$G$4997,A105,COMPRAS!$B$3:$B$4997,"&gt;="&amp;$C$4,COMPRAS!$B$3:$B$4997,"&lt;="&amp;$D$4))</f>
        <v>0</v>
      </c>
      <c r="G105" s="50" t="str">
        <f aca="false">IF(C105&gt;0,"SI","")</f>
        <v/>
      </c>
      <c r="H105" s="47"/>
    </row>
    <row r="106" customFormat="false" ht="15" hidden="true" customHeight="true" outlineLevel="0" collapsed="false">
      <c r="A106" s="51" t="s">
        <v>231</v>
      </c>
      <c r="B106" s="52" t="s">
        <v>217</v>
      </c>
      <c r="C106" s="53" t="n">
        <f aca="false">IF(AND($C$4="",$D$4=""),SUMIFS(COMPRAS!$J$3:$J$4997,COMPRAS!$G$3:$G$4997,A106),SUMIFS(COMPRAS!$J$3:$J$4997,COMPRAS!$G$3:$G$4997,A106,COMPRAS!$B$3:$B$4997,"&gt;="&amp;$C$4,COMPRAS!$B$3:$B$4997,"&lt;="&amp;$D$4))</f>
        <v>0</v>
      </c>
      <c r="D106" s="53" t="n">
        <f aca="false">IF(AND($C$4="",$D$4=""),SUMIFS(COMPRAS!$O$3:$O$4997,COMPRAS!$G$3:$G$4997,A106),SUMIFS(COMPRAS!$O$3:$O$4997,COMPRAS!$G$3:$G$4997,A106,COMPRAS!$B$3:$B$4997,"&gt;="&amp;$C$4,COMPRAS!$B$3:$B$4997,"&lt;="&amp;$D$4))</f>
        <v>0</v>
      </c>
      <c r="E106" s="48" t="str">
        <f aca="false">IF(C106&gt;0,D106/IF(H106&lt;&gt;"",H106,C106),"")</f>
        <v/>
      </c>
      <c r="F106" s="54" t="n">
        <f aca="false">IF(AND($C$4="",$D$4=""),COUNTIF(COMPRAS!$G$3:$G$4997,A106),COUNTIFS(COMPRAS!$G$3:$G$4997,A106,COMPRAS!$B$3:$B$4997,"&gt;="&amp;$C$4,COMPRAS!$B$3:$B$4997,"&lt;="&amp;$D$4))</f>
        <v>0</v>
      </c>
      <c r="G106" s="55" t="str">
        <f aca="false">IF(C106&gt;0,"SI","")</f>
        <v/>
      </c>
      <c r="H106" s="47"/>
    </row>
    <row r="107" customFormat="false" ht="15" hidden="true" customHeight="true" outlineLevel="0" collapsed="false">
      <c r="A107" s="45" t="s">
        <v>232</v>
      </c>
      <c r="B107" s="46" t="s">
        <v>217</v>
      </c>
      <c r="C107" s="47" t="n">
        <f aca="false">IF(AND($C$4="",$D$4=""),SUMIFS(COMPRAS!$J$3:$J$4997,COMPRAS!$G$3:$G$4997,A107),SUMIFS(COMPRAS!$J$3:$J$4997,COMPRAS!$G$3:$G$4997,A107,COMPRAS!$B$3:$B$4997,"&gt;="&amp;$C$4,COMPRAS!$B$3:$B$4997,"&lt;="&amp;$D$4))</f>
        <v>0</v>
      </c>
      <c r="D107" s="47" t="n">
        <f aca="false">IF(AND($C$4="",$D$4=""),SUMIFS(COMPRAS!$O$3:$O$4997,COMPRAS!$G$3:$G$4997,A107),SUMIFS(COMPRAS!$O$3:$O$4997,COMPRAS!$G$3:$G$4997,A107,COMPRAS!$B$3:$B$4997,"&gt;="&amp;$C$4,COMPRAS!$B$3:$B$4997,"&lt;="&amp;$D$4))</f>
        <v>0</v>
      </c>
      <c r="E107" s="48" t="str">
        <f aca="false">IF(C107&gt;0,D107/IF(H107&lt;&gt;"",H107,C107),"")</f>
        <v/>
      </c>
      <c r="F107" s="49" t="n">
        <f aca="false">IF(AND($C$4="",$D$4=""),COUNTIF(COMPRAS!$G$3:$G$4997,A107),COUNTIFS(COMPRAS!$G$3:$G$4997,A107,COMPRAS!$B$3:$B$4997,"&gt;="&amp;$C$4,COMPRAS!$B$3:$B$4997,"&lt;="&amp;$D$4))</f>
        <v>0</v>
      </c>
      <c r="G107" s="50" t="str">
        <f aca="false">IF(C107&gt;0,"SI","")</f>
        <v/>
      </c>
      <c r="H107" s="47"/>
    </row>
    <row r="108" customFormat="false" ht="15" hidden="true" customHeight="true" outlineLevel="0" collapsed="false">
      <c r="A108" s="51" t="s">
        <v>233</v>
      </c>
      <c r="B108" s="52" t="s">
        <v>234</v>
      </c>
      <c r="C108" s="53" t="n">
        <f aca="false">IF(AND($C$4="",$D$4=""),SUMIFS(COMPRAS!$J$3:$J$4997,COMPRAS!$G$3:$G$4997,A108),SUMIFS(COMPRAS!$J$3:$J$4997,COMPRAS!$G$3:$G$4997,A108,COMPRAS!$B$3:$B$4997,"&gt;="&amp;$C$4,COMPRAS!$B$3:$B$4997,"&lt;="&amp;$D$4))</f>
        <v>0</v>
      </c>
      <c r="D108" s="53" t="n">
        <f aca="false">IF(AND($C$4="",$D$4=""),SUMIFS(COMPRAS!$O$3:$O$4997,COMPRAS!$G$3:$G$4997,A108),SUMIFS(COMPRAS!$O$3:$O$4997,COMPRAS!$G$3:$G$4997,A108,COMPRAS!$B$3:$B$4997,"&gt;="&amp;$C$4,COMPRAS!$B$3:$B$4997,"&lt;="&amp;$D$4))</f>
        <v>0</v>
      </c>
      <c r="E108" s="48" t="str">
        <f aca="false">IF(C108&gt;0,D108/IF(H108&lt;&gt;"",H108,C108),"")</f>
        <v/>
      </c>
      <c r="F108" s="54" t="n">
        <f aca="false">IF(AND($C$4="",$D$4=""),COUNTIF(COMPRAS!$G$3:$G$4997,A108),COUNTIFS(COMPRAS!$G$3:$G$4997,A108,COMPRAS!$B$3:$B$4997,"&gt;="&amp;$C$4,COMPRAS!$B$3:$B$4997,"&lt;="&amp;$D$4))</f>
        <v>0</v>
      </c>
      <c r="G108" s="55" t="str">
        <f aca="false">IF(C108&gt;0,"SI","")</f>
        <v/>
      </c>
      <c r="H108" s="47"/>
    </row>
    <row r="109" customFormat="false" ht="15" hidden="true" customHeight="true" outlineLevel="0" collapsed="false">
      <c r="A109" s="45" t="s">
        <v>235</v>
      </c>
      <c r="B109" s="46" t="s">
        <v>236</v>
      </c>
      <c r="C109" s="47" t="n">
        <f aca="false">IF(AND($C$4="",$D$4=""),SUMIFS(COMPRAS!$J$3:$J$4997,COMPRAS!$G$3:$G$4997,A109),SUMIFS(COMPRAS!$J$3:$J$4997,COMPRAS!$G$3:$G$4997,A109,COMPRAS!$B$3:$B$4997,"&gt;="&amp;$C$4,COMPRAS!$B$3:$B$4997,"&lt;="&amp;$D$4))</f>
        <v>0</v>
      </c>
      <c r="D109" s="47" t="n">
        <f aca="false">IF(AND($C$4="",$D$4=""),SUMIFS(COMPRAS!$O$3:$O$4997,COMPRAS!$G$3:$G$4997,A109),SUMIFS(COMPRAS!$O$3:$O$4997,COMPRAS!$G$3:$G$4997,A109,COMPRAS!$B$3:$B$4997,"&gt;="&amp;$C$4,COMPRAS!$B$3:$B$4997,"&lt;="&amp;$D$4))</f>
        <v>0</v>
      </c>
      <c r="E109" s="48" t="str">
        <f aca="false">IF(C109&gt;0,D109/IF(H109&lt;&gt;"",H109,C109),"")</f>
        <v/>
      </c>
      <c r="F109" s="49" t="n">
        <f aca="false">IF(AND($C$4="",$D$4=""),COUNTIF(COMPRAS!$G$3:$G$4997,A109),COUNTIFS(COMPRAS!$G$3:$G$4997,A109,COMPRAS!$B$3:$B$4997,"&gt;="&amp;$C$4,COMPRAS!$B$3:$B$4997,"&lt;="&amp;$D$4))</f>
        <v>0</v>
      </c>
      <c r="G109" s="50" t="str">
        <f aca="false">IF(C109&gt;0,"SI","")</f>
        <v/>
      </c>
      <c r="H109" s="47"/>
    </row>
    <row r="110" customFormat="false" ht="15" hidden="true" customHeight="true" outlineLevel="0" collapsed="false">
      <c r="A110" s="51" t="s">
        <v>237</v>
      </c>
      <c r="B110" s="52" t="s">
        <v>236</v>
      </c>
      <c r="C110" s="53" t="n">
        <f aca="false">IF(AND($C$4="",$D$4=""),SUMIFS(COMPRAS!$J$3:$J$4997,COMPRAS!$G$3:$G$4997,A110),SUMIFS(COMPRAS!$J$3:$J$4997,COMPRAS!$G$3:$G$4997,A110,COMPRAS!$B$3:$B$4997,"&gt;="&amp;$C$4,COMPRAS!$B$3:$B$4997,"&lt;="&amp;$D$4))</f>
        <v>0</v>
      </c>
      <c r="D110" s="53" t="n">
        <f aca="false">IF(AND($C$4="",$D$4=""),SUMIFS(COMPRAS!$O$3:$O$4997,COMPRAS!$G$3:$G$4997,A110),SUMIFS(COMPRAS!$O$3:$O$4997,COMPRAS!$G$3:$G$4997,A110,COMPRAS!$B$3:$B$4997,"&gt;="&amp;$C$4,COMPRAS!$B$3:$B$4997,"&lt;="&amp;$D$4))</f>
        <v>0</v>
      </c>
      <c r="E110" s="48" t="str">
        <f aca="false">IF(C110&gt;0,D110/IF(H110&lt;&gt;"",H110,C110),"")</f>
        <v/>
      </c>
      <c r="F110" s="54" t="n">
        <f aca="false">IF(AND($C$4="",$D$4=""),COUNTIF(COMPRAS!$G$3:$G$4997,A110),COUNTIFS(COMPRAS!$G$3:$G$4997,A110,COMPRAS!$B$3:$B$4997,"&gt;="&amp;$C$4,COMPRAS!$B$3:$B$4997,"&lt;="&amp;$D$4))</f>
        <v>0</v>
      </c>
      <c r="G110" s="55" t="str">
        <f aca="false">IF(C110&gt;0,"SI","")</f>
        <v/>
      </c>
      <c r="H110" s="47"/>
    </row>
    <row r="111" customFormat="false" ht="15" hidden="true" customHeight="true" outlineLevel="0" collapsed="false">
      <c r="A111" s="45" t="s">
        <v>238</v>
      </c>
      <c r="B111" s="46" t="s">
        <v>236</v>
      </c>
      <c r="C111" s="47" t="n">
        <f aca="false">IF(AND($C$4="",$D$4=""),SUMIFS(COMPRAS!$J$3:$J$4997,COMPRAS!$G$3:$G$4997,A111),SUMIFS(COMPRAS!$J$3:$J$4997,COMPRAS!$G$3:$G$4997,A111,COMPRAS!$B$3:$B$4997,"&gt;="&amp;$C$4,COMPRAS!$B$3:$B$4997,"&lt;="&amp;$D$4))</f>
        <v>0</v>
      </c>
      <c r="D111" s="47" t="n">
        <f aca="false">IF(AND($C$4="",$D$4=""),SUMIFS(COMPRAS!$O$3:$O$4997,COMPRAS!$G$3:$G$4997,A111),SUMIFS(COMPRAS!$O$3:$O$4997,COMPRAS!$G$3:$G$4997,A111,COMPRAS!$B$3:$B$4997,"&gt;="&amp;$C$4,COMPRAS!$B$3:$B$4997,"&lt;="&amp;$D$4))</f>
        <v>0</v>
      </c>
      <c r="E111" s="48" t="str">
        <f aca="false">IF(C111&gt;0,D111/IF(H111&lt;&gt;"",H111,C111),"")</f>
        <v/>
      </c>
      <c r="F111" s="49" t="n">
        <f aca="false">IF(AND($C$4="",$D$4=""),COUNTIF(COMPRAS!$G$3:$G$4997,A111),COUNTIFS(COMPRAS!$G$3:$G$4997,A111,COMPRAS!$B$3:$B$4997,"&gt;="&amp;$C$4,COMPRAS!$B$3:$B$4997,"&lt;="&amp;$D$4))</f>
        <v>0</v>
      </c>
      <c r="G111" s="50" t="str">
        <f aca="false">IF(C111&gt;0,"SI","")</f>
        <v/>
      </c>
      <c r="H111" s="47"/>
    </row>
    <row r="112" customFormat="false" ht="15" hidden="true" customHeight="true" outlineLevel="0" collapsed="false">
      <c r="A112" s="51" t="s">
        <v>239</v>
      </c>
      <c r="B112" s="52" t="s">
        <v>240</v>
      </c>
      <c r="C112" s="53" t="n">
        <f aca="false">IF(AND($C$4="",$D$4=""),SUMIFS(COMPRAS!$J$3:$J$4997,COMPRAS!$G$3:$G$4997,A112),SUMIFS(COMPRAS!$J$3:$J$4997,COMPRAS!$G$3:$G$4997,A112,COMPRAS!$B$3:$B$4997,"&gt;="&amp;$C$4,COMPRAS!$B$3:$B$4997,"&lt;="&amp;$D$4))</f>
        <v>0</v>
      </c>
      <c r="D112" s="53" t="n">
        <f aca="false">IF(AND($C$4="",$D$4=""),SUMIFS(COMPRAS!$O$3:$O$4997,COMPRAS!$G$3:$G$4997,A112),SUMIFS(COMPRAS!$O$3:$O$4997,COMPRAS!$G$3:$G$4997,A112,COMPRAS!$B$3:$B$4997,"&gt;="&amp;$C$4,COMPRAS!$B$3:$B$4997,"&lt;="&amp;$D$4))</f>
        <v>0</v>
      </c>
      <c r="E112" s="48" t="str">
        <f aca="false">IF(C112&gt;0,D112/IF(H112&lt;&gt;"",H112,C112),"")</f>
        <v/>
      </c>
      <c r="F112" s="54" t="n">
        <f aca="false">IF(AND($C$4="",$D$4=""),COUNTIF(COMPRAS!$G$3:$G$4997,A112),COUNTIFS(COMPRAS!$G$3:$G$4997,A112,COMPRAS!$B$3:$B$4997,"&gt;="&amp;$C$4,COMPRAS!$B$3:$B$4997,"&lt;="&amp;$D$4))</f>
        <v>0</v>
      </c>
      <c r="G112" s="55" t="str">
        <f aca="false">IF(C112&gt;0,"SI","")</f>
        <v/>
      </c>
      <c r="H112" s="47"/>
    </row>
    <row r="113" customFormat="false" ht="15" hidden="true" customHeight="true" outlineLevel="0" collapsed="false">
      <c r="A113" s="45" t="s">
        <v>241</v>
      </c>
      <c r="B113" s="46" t="s">
        <v>236</v>
      </c>
      <c r="C113" s="47" t="n">
        <f aca="false">IF(AND($C$4="",$D$4=""),SUMIFS(COMPRAS!$J$3:$J$4997,COMPRAS!$G$3:$G$4997,A113),SUMIFS(COMPRAS!$J$3:$J$4997,COMPRAS!$G$3:$G$4997,A113,COMPRAS!$B$3:$B$4997,"&gt;="&amp;$C$4,COMPRAS!$B$3:$B$4997,"&lt;="&amp;$D$4))</f>
        <v>0</v>
      </c>
      <c r="D113" s="47" t="n">
        <f aca="false">IF(AND($C$4="",$D$4=""),SUMIFS(COMPRAS!$O$3:$O$4997,COMPRAS!$G$3:$G$4997,A113),SUMIFS(COMPRAS!$O$3:$O$4997,COMPRAS!$G$3:$G$4997,A113,COMPRAS!$B$3:$B$4997,"&gt;="&amp;$C$4,COMPRAS!$B$3:$B$4997,"&lt;="&amp;$D$4))</f>
        <v>0</v>
      </c>
      <c r="E113" s="48" t="str">
        <f aca="false">IF(C113&gt;0,D113/IF(H113&lt;&gt;"",H113,C113),"")</f>
        <v/>
      </c>
      <c r="F113" s="49" t="n">
        <f aca="false">IF(AND($C$4="",$D$4=""),COUNTIF(COMPRAS!$G$3:$G$4997,A113),COUNTIFS(COMPRAS!$G$3:$G$4997,A113,COMPRAS!$B$3:$B$4997,"&gt;="&amp;$C$4,COMPRAS!$B$3:$B$4997,"&lt;="&amp;$D$4))</f>
        <v>0</v>
      </c>
      <c r="G113" s="50" t="str">
        <f aca="false">IF(C113&gt;0,"SI","")</f>
        <v/>
      </c>
      <c r="H113" s="47"/>
    </row>
    <row r="114" customFormat="false" ht="15" hidden="true" customHeight="true" outlineLevel="0" collapsed="false">
      <c r="A114" s="51" t="s">
        <v>242</v>
      </c>
      <c r="B114" s="52" t="s">
        <v>236</v>
      </c>
      <c r="C114" s="53" t="n">
        <f aca="false">IF(AND($C$4="",$D$4=""),SUMIFS(COMPRAS!$J$3:$J$4997,COMPRAS!$G$3:$G$4997,A114),SUMIFS(COMPRAS!$J$3:$J$4997,COMPRAS!$G$3:$G$4997,A114,COMPRAS!$B$3:$B$4997,"&gt;="&amp;$C$4,COMPRAS!$B$3:$B$4997,"&lt;="&amp;$D$4))</f>
        <v>0</v>
      </c>
      <c r="D114" s="53" t="n">
        <f aca="false">IF(AND($C$4="",$D$4=""),SUMIFS(COMPRAS!$O$3:$O$4997,COMPRAS!$G$3:$G$4997,A114),SUMIFS(COMPRAS!$O$3:$O$4997,COMPRAS!$G$3:$G$4997,A114,COMPRAS!$B$3:$B$4997,"&gt;="&amp;$C$4,COMPRAS!$B$3:$B$4997,"&lt;="&amp;$D$4))</f>
        <v>0</v>
      </c>
      <c r="E114" s="48" t="str">
        <f aca="false">IF(C114&gt;0,D114/IF(H114&lt;&gt;"",H114,C114),"")</f>
        <v/>
      </c>
      <c r="F114" s="54" t="n">
        <f aca="false">IF(AND($C$4="",$D$4=""),COUNTIF(COMPRAS!$G$3:$G$4997,A114),COUNTIFS(COMPRAS!$G$3:$G$4997,A114,COMPRAS!$B$3:$B$4997,"&gt;="&amp;$C$4,COMPRAS!$B$3:$B$4997,"&lt;="&amp;$D$4))</f>
        <v>0</v>
      </c>
      <c r="G114" s="55" t="str">
        <f aca="false">IF(C114&gt;0,"SI","")</f>
        <v/>
      </c>
      <c r="H114" s="47"/>
    </row>
    <row r="115" customFormat="false" ht="15" hidden="true" customHeight="true" outlineLevel="0" collapsed="false">
      <c r="A115" s="45" t="s">
        <v>243</v>
      </c>
      <c r="B115" s="46" t="s">
        <v>236</v>
      </c>
      <c r="C115" s="47" t="n">
        <f aca="false">IF(AND($C$4="",$D$4=""),SUMIFS(COMPRAS!$J$3:$J$4997,COMPRAS!$G$3:$G$4997,A115),SUMIFS(COMPRAS!$J$3:$J$4997,COMPRAS!$G$3:$G$4997,A115,COMPRAS!$B$3:$B$4997,"&gt;="&amp;$C$4,COMPRAS!$B$3:$B$4997,"&lt;="&amp;$D$4))</f>
        <v>0</v>
      </c>
      <c r="D115" s="47" t="n">
        <f aca="false">IF(AND($C$4="",$D$4=""),SUMIFS(COMPRAS!$O$3:$O$4997,COMPRAS!$G$3:$G$4997,A115),SUMIFS(COMPRAS!$O$3:$O$4997,COMPRAS!$G$3:$G$4997,A115,COMPRAS!$B$3:$B$4997,"&gt;="&amp;$C$4,COMPRAS!$B$3:$B$4997,"&lt;="&amp;$D$4))</f>
        <v>0</v>
      </c>
      <c r="E115" s="48" t="str">
        <f aca="false">IF(C115&gt;0,D115/IF(H115&lt;&gt;"",H115,C115),"")</f>
        <v/>
      </c>
      <c r="F115" s="49" t="n">
        <f aca="false">IF(AND($C$4="",$D$4=""),COUNTIF(COMPRAS!$G$3:$G$4997,A115),COUNTIFS(COMPRAS!$G$3:$G$4997,A115,COMPRAS!$B$3:$B$4997,"&gt;="&amp;$C$4,COMPRAS!$B$3:$B$4997,"&lt;="&amp;$D$4))</f>
        <v>0</v>
      </c>
      <c r="G115" s="50" t="str">
        <f aca="false">IF(C115&gt;0,"SI","")</f>
        <v/>
      </c>
      <c r="H115" s="47"/>
    </row>
    <row r="116" customFormat="false" ht="15" hidden="true" customHeight="true" outlineLevel="0" collapsed="false">
      <c r="A116" s="51" t="s">
        <v>244</v>
      </c>
      <c r="B116" s="52" t="s">
        <v>236</v>
      </c>
      <c r="C116" s="53" t="n">
        <f aca="false">IF(AND($C$4="",$D$4=""),SUMIFS(COMPRAS!$J$3:$J$4997,COMPRAS!$G$3:$G$4997,A116),SUMIFS(COMPRAS!$J$3:$J$4997,COMPRAS!$G$3:$G$4997,A116,COMPRAS!$B$3:$B$4997,"&gt;="&amp;$C$4,COMPRAS!$B$3:$B$4997,"&lt;="&amp;$D$4))</f>
        <v>0</v>
      </c>
      <c r="D116" s="53" t="n">
        <f aca="false">IF(AND($C$4="",$D$4=""),SUMIFS(COMPRAS!$O$3:$O$4997,COMPRAS!$G$3:$G$4997,A116),SUMIFS(COMPRAS!$O$3:$O$4997,COMPRAS!$G$3:$G$4997,A116,COMPRAS!$B$3:$B$4997,"&gt;="&amp;$C$4,COMPRAS!$B$3:$B$4997,"&lt;="&amp;$D$4))</f>
        <v>0</v>
      </c>
      <c r="E116" s="48" t="str">
        <f aca="false">IF(C116&gt;0,D116/IF(H116&lt;&gt;"",H116,C116),"")</f>
        <v/>
      </c>
      <c r="F116" s="54" t="n">
        <f aca="false">IF(AND($C$4="",$D$4=""),COUNTIF(COMPRAS!$G$3:$G$4997,A116),COUNTIFS(COMPRAS!$G$3:$G$4997,A116,COMPRAS!$B$3:$B$4997,"&gt;="&amp;$C$4,COMPRAS!$B$3:$B$4997,"&lt;="&amp;$D$4))</f>
        <v>0</v>
      </c>
      <c r="G116" s="55" t="str">
        <f aca="false">IF(C116&gt;0,"SI","")</f>
        <v/>
      </c>
      <c r="H116" s="47"/>
    </row>
    <row r="117" customFormat="false" ht="15" hidden="true" customHeight="true" outlineLevel="0" collapsed="false">
      <c r="A117" s="45" t="s">
        <v>245</v>
      </c>
      <c r="B117" s="46" t="s">
        <v>236</v>
      </c>
      <c r="C117" s="47" t="n">
        <f aca="false">IF(AND($C$4="",$D$4=""),SUMIFS(COMPRAS!$J$3:$J$4997,COMPRAS!$G$3:$G$4997,A117),SUMIFS(COMPRAS!$J$3:$J$4997,COMPRAS!$G$3:$G$4997,A117,COMPRAS!$B$3:$B$4997,"&gt;="&amp;$C$4,COMPRAS!$B$3:$B$4997,"&lt;="&amp;$D$4))</f>
        <v>0</v>
      </c>
      <c r="D117" s="47" t="n">
        <f aca="false">IF(AND($C$4="",$D$4=""),SUMIFS(COMPRAS!$O$3:$O$4997,COMPRAS!$G$3:$G$4997,A117),SUMIFS(COMPRAS!$O$3:$O$4997,COMPRAS!$G$3:$G$4997,A117,COMPRAS!$B$3:$B$4997,"&gt;="&amp;$C$4,COMPRAS!$B$3:$B$4997,"&lt;="&amp;$D$4))</f>
        <v>0</v>
      </c>
      <c r="E117" s="48" t="str">
        <f aca="false">IF(C117&gt;0,D117/IF(H117&lt;&gt;"",H117,C117),"")</f>
        <v/>
      </c>
      <c r="F117" s="49" t="n">
        <f aca="false">IF(AND($C$4="",$D$4=""),COUNTIF(COMPRAS!$G$3:$G$4997,A117),COUNTIFS(COMPRAS!$G$3:$G$4997,A117,COMPRAS!$B$3:$B$4997,"&gt;="&amp;$C$4,COMPRAS!$B$3:$B$4997,"&lt;="&amp;$D$4))</f>
        <v>0</v>
      </c>
      <c r="G117" s="50" t="str">
        <f aca="false">IF(C117&gt;0,"SI","")</f>
        <v/>
      </c>
      <c r="H117" s="47"/>
    </row>
    <row r="118" customFormat="false" ht="15" hidden="true" customHeight="true" outlineLevel="0" collapsed="false">
      <c r="A118" s="51" t="s">
        <v>246</v>
      </c>
      <c r="B118" s="52" t="s">
        <v>247</v>
      </c>
      <c r="C118" s="53" t="n">
        <f aca="false">IF(AND($C$4="",$D$4=""),SUMIFS(COMPRAS!$J$3:$J$4997,COMPRAS!$G$3:$G$4997,A118),SUMIFS(COMPRAS!$J$3:$J$4997,COMPRAS!$G$3:$G$4997,A118,COMPRAS!$B$3:$B$4997,"&gt;="&amp;$C$4,COMPRAS!$B$3:$B$4997,"&lt;="&amp;$D$4))</f>
        <v>0</v>
      </c>
      <c r="D118" s="53" t="n">
        <f aca="false">IF(AND($C$4="",$D$4=""),SUMIFS(COMPRAS!$O$3:$O$4997,COMPRAS!$G$3:$G$4997,A118),SUMIFS(COMPRAS!$O$3:$O$4997,COMPRAS!$G$3:$G$4997,A118,COMPRAS!$B$3:$B$4997,"&gt;="&amp;$C$4,COMPRAS!$B$3:$B$4997,"&lt;="&amp;$D$4))</f>
        <v>0</v>
      </c>
      <c r="E118" s="48" t="str">
        <f aca="false">IF(C118&gt;0,D118/IF(H118&lt;&gt;"",H118,C118),"")</f>
        <v/>
      </c>
      <c r="F118" s="54" t="n">
        <f aca="false">IF(AND($C$4="",$D$4=""),COUNTIF(COMPRAS!$G$3:$G$4997,A118),COUNTIFS(COMPRAS!$G$3:$G$4997,A118,COMPRAS!$B$3:$B$4997,"&gt;="&amp;$C$4,COMPRAS!$B$3:$B$4997,"&lt;="&amp;$D$4))</f>
        <v>0</v>
      </c>
      <c r="G118" s="55" t="str">
        <f aca="false">IF(C118&gt;0,"SI","")</f>
        <v/>
      </c>
      <c r="H118" s="47"/>
    </row>
    <row r="119" customFormat="false" ht="15" hidden="true" customHeight="true" outlineLevel="0" collapsed="false">
      <c r="A119" s="45" t="s">
        <v>248</v>
      </c>
      <c r="B119" s="46" t="s">
        <v>249</v>
      </c>
      <c r="C119" s="47" t="n">
        <f aca="false">IF(AND($C$4="",$D$4=""),SUMIFS(COMPRAS!$J$3:$J$4997,COMPRAS!$G$3:$G$4997,A119),SUMIFS(COMPRAS!$J$3:$J$4997,COMPRAS!$G$3:$G$4997,A119,COMPRAS!$B$3:$B$4997,"&gt;="&amp;$C$4,COMPRAS!$B$3:$B$4997,"&lt;="&amp;$D$4))</f>
        <v>0</v>
      </c>
      <c r="D119" s="47" t="n">
        <f aca="false">IF(AND($C$4="",$D$4=""),SUMIFS(COMPRAS!$O$3:$O$4997,COMPRAS!$G$3:$G$4997,A119),SUMIFS(COMPRAS!$O$3:$O$4997,COMPRAS!$G$3:$G$4997,A119,COMPRAS!$B$3:$B$4997,"&gt;="&amp;$C$4,COMPRAS!$B$3:$B$4997,"&lt;="&amp;$D$4))</f>
        <v>0</v>
      </c>
      <c r="E119" s="48" t="str">
        <f aca="false">IF(C119&gt;0,D119/IF(H119&lt;&gt;"",H119,C119),"")</f>
        <v/>
      </c>
      <c r="F119" s="49" t="n">
        <f aca="false">IF(AND($C$4="",$D$4=""),COUNTIF(COMPRAS!$G$3:$G$4997,A119),COUNTIFS(COMPRAS!$G$3:$G$4997,A119,COMPRAS!$B$3:$B$4997,"&gt;="&amp;$C$4,COMPRAS!$B$3:$B$4997,"&lt;="&amp;$D$4))</f>
        <v>0</v>
      </c>
      <c r="G119" s="50" t="str">
        <f aca="false">IF(C119&gt;0,"SI","")</f>
        <v/>
      </c>
      <c r="H119" s="47"/>
    </row>
    <row r="120" customFormat="false" ht="15" hidden="true" customHeight="true" outlineLevel="0" collapsed="false">
      <c r="A120" s="51" t="s">
        <v>250</v>
      </c>
      <c r="B120" s="52" t="s">
        <v>249</v>
      </c>
      <c r="C120" s="53" t="n">
        <f aca="false">IF(AND($C$4="",$D$4=""),SUMIFS(COMPRAS!$J$3:$J$4997,COMPRAS!$G$3:$G$4997,A120),SUMIFS(COMPRAS!$J$3:$J$4997,COMPRAS!$G$3:$G$4997,A120,COMPRAS!$B$3:$B$4997,"&gt;="&amp;$C$4,COMPRAS!$B$3:$B$4997,"&lt;="&amp;$D$4))</f>
        <v>0</v>
      </c>
      <c r="D120" s="53" t="n">
        <f aca="false">IF(AND($C$4="",$D$4=""),SUMIFS(COMPRAS!$O$3:$O$4997,COMPRAS!$G$3:$G$4997,A120),SUMIFS(COMPRAS!$O$3:$O$4997,COMPRAS!$G$3:$G$4997,A120,COMPRAS!$B$3:$B$4997,"&gt;="&amp;$C$4,COMPRAS!$B$3:$B$4997,"&lt;="&amp;$D$4))</f>
        <v>0</v>
      </c>
      <c r="E120" s="48" t="str">
        <f aca="false">IF(C120&gt;0,D120/IF(H120&lt;&gt;"",H120,C120),"")</f>
        <v/>
      </c>
      <c r="F120" s="54" t="n">
        <f aca="false">IF(AND($C$4="",$D$4=""),COUNTIF(COMPRAS!$G$3:$G$4997,A120),COUNTIFS(COMPRAS!$G$3:$G$4997,A120,COMPRAS!$B$3:$B$4997,"&gt;="&amp;$C$4,COMPRAS!$B$3:$B$4997,"&lt;="&amp;$D$4))</f>
        <v>0</v>
      </c>
      <c r="G120" s="55" t="str">
        <f aca="false">IF(C120&gt;0,"SI","")</f>
        <v/>
      </c>
      <c r="H120" s="47"/>
    </row>
    <row r="121" customFormat="false" ht="15" hidden="true" customHeight="true" outlineLevel="0" collapsed="false">
      <c r="A121" s="45" t="s">
        <v>251</v>
      </c>
      <c r="B121" s="46" t="s">
        <v>249</v>
      </c>
      <c r="C121" s="47" t="n">
        <f aca="false">IF(AND($C$4="",$D$4=""),SUMIFS(COMPRAS!$J$3:$J$4997,COMPRAS!$G$3:$G$4997,A121),SUMIFS(COMPRAS!$J$3:$J$4997,COMPRAS!$G$3:$G$4997,A121,COMPRAS!$B$3:$B$4997,"&gt;="&amp;$C$4,COMPRAS!$B$3:$B$4997,"&lt;="&amp;$D$4))</f>
        <v>0</v>
      </c>
      <c r="D121" s="47" t="n">
        <f aca="false">IF(AND($C$4="",$D$4=""),SUMIFS(COMPRAS!$O$3:$O$4997,COMPRAS!$G$3:$G$4997,A121),SUMIFS(COMPRAS!$O$3:$O$4997,COMPRAS!$G$3:$G$4997,A121,COMPRAS!$B$3:$B$4997,"&gt;="&amp;$C$4,COMPRAS!$B$3:$B$4997,"&lt;="&amp;$D$4))</f>
        <v>0</v>
      </c>
      <c r="E121" s="48" t="str">
        <f aca="false">IF(C121&gt;0,D121/IF(H121&lt;&gt;"",H121,C121),"")</f>
        <v/>
      </c>
      <c r="F121" s="49" t="n">
        <f aca="false">IF(AND($C$4="",$D$4=""),COUNTIF(COMPRAS!$G$3:$G$4997,A121),COUNTIFS(COMPRAS!$G$3:$G$4997,A121,COMPRAS!$B$3:$B$4997,"&gt;="&amp;$C$4,COMPRAS!$B$3:$B$4997,"&lt;="&amp;$D$4))</f>
        <v>0</v>
      </c>
      <c r="G121" s="50" t="str">
        <f aca="false">IF(C121&gt;0,"SI","")</f>
        <v/>
      </c>
      <c r="H121" s="47"/>
    </row>
    <row r="122" customFormat="false" ht="15" hidden="true" customHeight="true" outlineLevel="0" collapsed="false">
      <c r="A122" s="51" t="s">
        <v>252</v>
      </c>
      <c r="B122" s="52" t="s">
        <v>249</v>
      </c>
      <c r="C122" s="53" t="n">
        <f aca="false">IF(AND($C$4="",$D$4=""),SUMIFS(COMPRAS!$J$3:$J$4997,COMPRAS!$G$3:$G$4997,A122),SUMIFS(COMPRAS!$J$3:$J$4997,COMPRAS!$G$3:$G$4997,A122,COMPRAS!$B$3:$B$4997,"&gt;="&amp;$C$4,COMPRAS!$B$3:$B$4997,"&lt;="&amp;$D$4))</f>
        <v>0</v>
      </c>
      <c r="D122" s="53" t="n">
        <f aca="false">IF(AND($C$4="",$D$4=""),SUMIFS(COMPRAS!$O$3:$O$4997,COMPRAS!$G$3:$G$4997,A122),SUMIFS(COMPRAS!$O$3:$O$4997,COMPRAS!$G$3:$G$4997,A122,COMPRAS!$B$3:$B$4997,"&gt;="&amp;$C$4,COMPRAS!$B$3:$B$4997,"&lt;="&amp;$D$4))</f>
        <v>0</v>
      </c>
      <c r="E122" s="48" t="str">
        <f aca="false">IF(C122&gt;0,D122/IF(H122&lt;&gt;"",H122,C122),"")</f>
        <v/>
      </c>
      <c r="F122" s="54" t="n">
        <f aca="false">IF(AND($C$4="",$D$4=""),COUNTIF(COMPRAS!$G$3:$G$4997,A122),COUNTIFS(COMPRAS!$G$3:$G$4997,A122,COMPRAS!$B$3:$B$4997,"&gt;="&amp;$C$4,COMPRAS!$B$3:$B$4997,"&lt;="&amp;$D$4))</f>
        <v>0</v>
      </c>
      <c r="G122" s="55" t="str">
        <f aca="false">IF(C122&gt;0,"SI","")</f>
        <v/>
      </c>
      <c r="H122" s="47"/>
    </row>
    <row r="123" customFormat="false" ht="15" hidden="true" customHeight="true" outlineLevel="0" collapsed="false">
      <c r="A123" s="45" t="s">
        <v>253</v>
      </c>
      <c r="B123" s="46" t="s">
        <v>249</v>
      </c>
      <c r="C123" s="47" t="n">
        <f aca="false">IF(AND($C$4="",$D$4=""),SUMIFS(COMPRAS!$J$3:$J$4997,COMPRAS!$G$3:$G$4997,A123),SUMIFS(COMPRAS!$J$3:$J$4997,COMPRAS!$G$3:$G$4997,A123,COMPRAS!$B$3:$B$4997,"&gt;="&amp;$C$4,COMPRAS!$B$3:$B$4997,"&lt;="&amp;$D$4))</f>
        <v>0</v>
      </c>
      <c r="D123" s="47" t="n">
        <f aca="false">IF(AND($C$4="",$D$4=""),SUMIFS(COMPRAS!$O$3:$O$4997,COMPRAS!$G$3:$G$4997,A123),SUMIFS(COMPRAS!$O$3:$O$4997,COMPRAS!$G$3:$G$4997,A123,COMPRAS!$B$3:$B$4997,"&gt;="&amp;$C$4,COMPRAS!$B$3:$B$4997,"&lt;="&amp;$D$4))</f>
        <v>0</v>
      </c>
      <c r="E123" s="48" t="str">
        <f aca="false">IF(C123&gt;0,D123/IF(H123&lt;&gt;"",H123,C123),"")</f>
        <v/>
      </c>
      <c r="F123" s="49" t="n">
        <f aca="false">IF(AND($C$4="",$D$4=""),COUNTIF(COMPRAS!$G$3:$G$4997,A123),COUNTIFS(COMPRAS!$G$3:$G$4997,A123,COMPRAS!$B$3:$B$4997,"&gt;="&amp;$C$4,COMPRAS!$B$3:$B$4997,"&lt;="&amp;$D$4))</f>
        <v>0</v>
      </c>
      <c r="G123" s="50" t="str">
        <f aca="false">IF(C123&gt;0,"SI","")</f>
        <v/>
      </c>
      <c r="H123" s="47"/>
    </row>
    <row r="124" customFormat="false" ht="15" hidden="true" customHeight="true" outlineLevel="0" collapsed="false">
      <c r="A124" s="51" t="s">
        <v>254</v>
      </c>
      <c r="B124" s="52" t="s">
        <v>249</v>
      </c>
      <c r="C124" s="53" t="n">
        <f aca="false">IF(AND($C$4="",$D$4=""),SUMIFS(COMPRAS!$J$3:$J$4997,COMPRAS!$G$3:$G$4997,A124),SUMIFS(COMPRAS!$J$3:$J$4997,COMPRAS!$G$3:$G$4997,A124,COMPRAS!$B$3:$B$4997,"&gt;="&amp;$C$4,COMPRAS!$B$3:$B$4997,"&lt;="&amp;$D$4))</f>
        <v>0</v>
      </c>
      <c r="D124" s="53" t="n">
        <f aca="false">IF(AND($C$4="",$D$4=""),SUMIFS(COMPRAS!$O$3:$O$4997,COMPRAS!$G$3:$G$4997,A124),SUMIFS(COMPRAS!$O$3:$O$4997,COMPRAS!$G$3:$G$4997,A124,COMPRAS!$B$3:$B$4997,"&gt;="&amp;$C$4,COMPRAS!$B$3:$B$4997,"&lt;="&amp;$D$4))</f>
        <v>0</v>
      </c>
      <c r="E124" s="48" t="str">
        <f aca="false">IF(C124&gt;0,D124/IF(H124&lt;&gt;"",H124,C124),"")</f>
        <v/>
      </c>
      <c r="F124" s="54" t="n">
        <f aca="false">IF(AND($C$4="",$D$4=""),COUNTIF(COMPRAS!$G$3:$G$4997,A124),COUNTIFS(COMPRAS!$G$3:$G$4997,A124,COMPRAS!$B$3:$B$4997,"&gt;="&amp;$C$4,COMPRAS!$B$3:$B$4997,"&lt;="&amp;$D$4))</f>
        <v>0</v>
      </c>
      <c r="G124" s="55" t="str">
        <f aca="false">IF(C124&gt;0,"SI","")</f>
        <v/>
      </c>
      <c r="H124" s="47"/>
    </row>
    <row r="125" customFormat="false" ht="15" hidden="true" customHeight="true" outlineLevel="0" collapsed="false">
      <c r="A125" s="45" t="s">
        <v>255</v>
      </c>
      <c r="B125" s="46" t="s">
        <v>249</v>
      </c>
      <c r="C125" s="47" t="n">
        <f aca="false">IF(AND($C$4="",$D$4=""),SUMIFS(COMPRAS!$J$3:$J$4997,COMPRAS!$G$3:$G$4997,A125),SUMIFS(COMPRAS!$J$3:$J$4997,COMPRAS!$G$3:$G$4997,A125,COMPRAS!$B$3:$B$4997,"&gt;="&amp;$C$4,COMPRAS!$B$3:$B$4997,"&lt;="&amp;$D$4))</f>
        <v>0</v>
      </c>
      <c r="D125" s="47" t="n">
        <f aca="false">IF(AND($C$4="",$D$4=""),SUMIFS(COMPRAS!$O$3:$O$4997,COMPRAS!$G$3:$G$4997,A125),SUMIFS(COMPRAS!$O$3:$O$4997,COMPRAS!$G$3:$G$4997,A125,COMPRAS!$B$3:$B$4997,"&gt;="&amp;$C$4,COMPRAS!$B$3:$B$4997,"&lt;="&amp;$D$4))</f>
        <v>0</v>
      </c>
      <c r="E125" s="48" t="str">
        <f aca="false">IF(C125&gt;0,D125/IF(H125&lt;&gt;"",H125,C125),"")</f>
        <v/>
      </c>
      <c r="F125" s="49" t="n">
        <f aca="false">IF(AND($C$4="",$D$4=""),COUNTIF(COMPRAS!$G$3:$G$4997,A125),COUNTIFS(COMPRAS!$G$3:$G$4997,A125,COMPRAS!$B$3:$B$4997,"&gt;="&amp;$C$4,COMPRAS!$B$3:$B$4997,"&lt;="&amp;$D$4))</f>
        <v>0</v>
      </c>
      <c r="G125" s="50" t="str">
        <f aca="false">IF(C125&gt;0,"SI","")</f>
        <v/>
      </c>
      <c r="H125" s="47"/>
    </row>
    <row r="126" customFormat="false" ht="15" hidden="true" customHeight="true" outlineLevel="0" collapsed="false">
      <c r="A126" s="51" t="s">
        <v>256</v>
      </c>
      <c r="B126" s="52" t="s">
        <v>257</v>
      </c>
      <c r="C126" s="53" t="n">
        <f aca="false">IF(AND($C$4="",$D$4=""),SUMIFS(COMPRAS!$J$3:$J$4997,COMPRAS!$G$3:$G$4997,A126),SUMIFS(COMPRAS!$J$3:$J$4997,COMPRAS!$G$3:$G$4997,A126,COMPRAS!$B$3:$B$4997,"&gt;="&amp;$C$4,COMPRAS!$B$3:$B$4997,"&lt;="&amp;$D$4))</f>
        <v>0</v>
      </c>
      <c r="D126" s="53" t="n">
        <f aca="false">IF(AND($C$4="",$D$4=""),SUMIFS(COMPRAS!$O$3:$O$4997,COMPRAS!$G$3:$G$4997,A126),SUMIFS(COMPRAS!$O$3:$O$4997,COMPRAS!$G$3:$G$4997,A126,COMPRAS!$B$3:$B$4997,"&gt;="&amp;$C$4,COMPRAS!$B$3:$B$4997,"&lt;="&amp;$D$4))</f>
        <v>0</v>
      </c>
      <c r="E126" s="48" t="str">
        <f aca="false">IF(C126&gt;0,D126/IF(H126&lt;&gt;"",H126,C126),"")</f>
        <v/>
      </c>
      <c r="F126" s="54" t="n">
        <f aca="false">IF(AND($C$4="",$D$4=""),COUNTIF(COMPRAS!$G$3:$G$4997,A126),COUNTIFS(COMPRAS!$G$3:$G$4997,A126,COMPRAS!$B$3:$B$4997,"&gt;="&amp;$C$4,COMPRAS!$B$3:$B$4997,"&lt;="&amp;$D$4))</f>
        <v>0</v>
      </c>
      <c r="G126" s="55" t="str">
        <f aca="false">IF(C126&gt;0,"SI","")</f>
        <v/>
      </c>
      <c r="H126" s="47"/>
    </row>
    <row r="127" customFormat="false" ht="15" hidden="true" customHeight="true" outlineLevel="0" collapsed="false">
      <c r="A127" s="45" t="s">
        <v>258</v>
      </c>
      <c r="B127" s="46" t="s">
        <v>259</v>
      </c>
      <c r="C127" s="47" t="n">
        <f aca="false">IF(AND($C$4="",$D$4=""),SUMIFS(COMPRAS!$J$3:$J$4997,COMPRAS!$G$3:$G$4997,A127),SUMIFS(COMPRAS!$J$3:$J$4997,COMPRAS!$G$3:$G$4997,A127,COMPRAS!$B$3:$B$4997,"&gt;="&amp;$C$4,COMPRAS!$B$3:$B$4997,"&lt;="&amp;$D$4))</f>
        <v>0</v>
      </c>
      <c r="D127" s="47" t="n">
        <f aca="false">IF(AND($C$4="",$D$4=""),SUMIFS(COMPRAS!$O$3:$O$4997,COMPRAS!$G$3:$G$4997,A127),SUMIFS(COMPRAS!$O$3:$O$4997,COMPRAS!$G$3:$G$4997,A127,COMPRAS!$B$3:$B$4997,"&gt;="&amp;$C$4,COMPRAS!$B$3:$B$4997,"&lt;="&amp;$D$4))</f>
        <v>0</v>
      </c>
      <c r="E127" s="48" t="str">
        <f aca="false">IF(C127&gt;0,D127/IF(H127&lt;&gt;"",H127,C127),"")</f>
        <v/>
      </c>
      <c r="F127" s="49" t="n">
        <f aca="false">IF(AND($C$4="",$D$4=""),COUNTIF(COMPRAS!$G$3:$G$4997,A127),COUNTIFS(COMPRAS!$G$3:$G$4997,A127,COMPRAS!$B$3:$B$4997,"&gt;="&amp;$C$4,COMPRAS!$B$3:$B$4997,"&lt;="&amp;$D$4))</f>
        <v>0</v>
      </c>
      <c r="G127" s="50" t="str">
        <f aca="false">IF(C127&gt;0,"SI","")</f>
        <v/>
      </c>
      <c r="H127" s="47"/>
    </row>
    <row r="128" customFormat="false" ht="15" hidden="true" customHeight="true" outlineLevel="0" collapsed="false">
      <c r="A128" s="51" t="s">
        <v>260</v>
      </c>
      <c r="B128" s="52" t="s">
        <v>261</v>
      </c>
      <c r="C128" s="53" t="n">
        <f aca="false">IF(AND($C$4="",$D$4=""),SUMIFS(COMPRAS!$J$3:$J$4997,COMPRAS!$G$3:$G$4997,A128),SUMIFS(COMPRAS!$J$3:$J$4997,COMPRAS!$G$3:$G$4997,A128,COMPRAS!$B$3:$B$4997,"&gt;="&amp;$C$4,COMPRAS!$B$3:$B$4997,"&lt;="&amp;$D$4))</f>
        <v>0</v>
      </c>
      <c r="D128" s="53" t="n">
        <f aca="false">IF(AND($C$4="",$D$4=""),SUMIFS(COMPRAS!$O$3:$O$4997,COMPRAS!$G$3:$G$4997,A128),SUMIFS(COMPRAS!$O$3:$O$4997,COMPRAS!$G$3:$G$4997,A128,COMPRAS!$B$3:$B$4997,"&gt;="&amp;$C$4,COMPRAS!$B$3:$B$4997,"&lt;="&amp;$D$4))</f>
        <v>0</v>
      </c>
      <c r="E128" s="48" t="str">
        <f aca="false">IF(C128&gt;0,D128/IF(H128&lt;&gt;"",H128,C128),"")</f>
        <v/>
      </c>
      <c r="F128" s="54" t="n">
        <f aca="false">IF(AND($C$4="",$D$4=""),COUNTIF(COMPRAS!$G$3:$G$4997,A128),COUNTIFS(COMPRAS!$G$3:$G$4997,A128,COMPRAS!$B$3:$B$4997,"&gt;="&amp;$C$4,COMPRAS!$B$3:$B$4997,"&lt;="&amp;$D$4))</f>
        <v>0</v>
      </c>
      <c r="G128" s="55" t="str">
        <f aca="false">IF(C128&gt;0,"SI","")</f>
        <v/>
      </c>
      <c r="H128" s="47"/>
    </row>
    <row r="129" customFormat="false" ht="15" hidden="true" customHeight="true" outlineLevel="0" collapsed="false">
      <c r="A129" s="45" t="s">
        <v>262</v>
      </c>
      <c r="B129" s="46" t="s">
        <v>263</v>
      </c>
      <c r="C129" s="47" t="n">
        <f aca="false">IF(AND($C$4="",$D$4=""),SUMIFS(COMPRAS!$J$3:$J$4997,COMPRAS!$G$3:$G$4997,A129),SUMIFS(COMPRAS!$J$3:$J$4997,COMPRAS!$G$3:$G$4997,A129,COMPRAS!$B$3:$B$4997,"&gt;="&amp;$C$4,COMPRAS!$B$3:$B$4997,"&lt;="&amp;$D$4))</f>
        <v>0</v>
      </c>
      <c r="D129" s="47" t="n">
        <f aca="false">IF(AND($C$4="",$D$4=""),SUMIFS(COMPRAS!$O$3:$O$4997,COMPRAS!$G$3:$G$4997,A129),SUMIFS(COMPRAS!$O$3:$O$4997,COMPRAS!$G$3:$G$4997,A129,COMPRAS!$B$3:$B$4997,"&gt;="&amp;$C$4,COMPRAS!$B$3:$B$4997,"&lt;="&amp;$D$4))</f>
        <v>0</v>
      </c>
      <c r="E129" s="48" t="str">
        <f aca="false">IF(C129&gt;0,D129/IF(H129&lt;&gt;"",H129,C129),"")</f>
        <v/>
      </c>
      <c r="F129" s="49" t="n">
        <f aca="false">IF(AND($C$4="",$D$4=""),COUNTIF(COMPRAS!$G$3:$G$4997,A129),COUNTIFS(COMPRAS!$G$3:$G$4997,A129,COMPRAS!$B$3:$B$4997,"&gt;="&amp;$C$4,COMPRAS!$B$3:$B$4997,"&lt;="&amp;$D$4))</f>
        <v>0</v>
      </c>
      <c r="G129" s="50" t="str">
        <f aca="false">IF(C129&gt;0,"SI","")</f>
        <v/>
      </c>
      <c r="H129" s="47"/>
    </row>
    <row r="130" customFormat="false" ht="15" hidden="true" customHeight="true" outlineLevel="0" collapsed="false">
      <c r="A130" s="51" t="s">
        <v>264</v>
      </c>
      <c r="B130" s="52" t="s">
        <v>265</v>
      </c>
      <c r="C130" s="53" t="n">
        <f aca="false">IF(AND($C$4="",$D$4=""),SUMIFS(COMPRAS!$J$3:$J$4997,COMPRAS!$G$3:$G$4997,A130),SUMIFS(COMPRAS!$J$3:$J$4997,COMPRAS!$G$3:$G$4997,A130,COMPRAS!$B$3:$B$4997,"&gt;="&amp;$C$4,COMPRAS!$B$3:$B$4997,"&lt;="&amp;$D$4))</f>
        <v>0</v>
      </c>
      <c r="D130" s="53" t="n">
        <f aca="false">IF(AND($C$4="",$D$4=""),SUMIFS(COMPRAS!$O$3:$O$4997,COMPRAS!$G$3:$G$4997,A130),SUMIFS(COMPRAS!$O$3:$O$4997,COMPRAS!$G$3:$G$4997,A130,COMPRAS!$B$3:$B$4997,"&gt;="&amp;$C$4,COMPRAS!$B$3:$B$4997,"&lt;="&amp;$D$4))</f>
        <v>0</v>
      </c>
      <c r="E130" s="48" t="str">
        <f aca="false">IF(C130&gt;0,D130/IF(H130&lt;&gt;"",H130,C130),"")</f>
        <v/>
      </c>
      <c r="F130" s="54" t="n">
        <f aca="false">IF(AND($C$4="",$D$4=""),COUNTIF(COMPRAS!$G$3:$G$4997,A130),COUNTIFS(COMPRAS!$G$3:$G$4997,A130,COMPRAS!$B$3:$B$4997,"&gt;="&amp;$C$4,COMPRAS!$B$3:$B$4997,"&lt;="&amp;$D$4))</f>
        <v>0</v>
      </c>
      <c r="G130" s="55" t="str">
        <f aca="false">IF(C130&gt;0,"SI","")</f>
        <v/>
      </c>
      <c r="H130" s="47"/>
    </row>
    <row r="131" customFormat="false" ht="15" hidden="true" customHeight="true" outlineLevel="0" collapsed="false">
      <c r="A131" s="45" t="s">
        <v>266</v>
      </c>
      <c r="B131" s="46" t="s">
        <v>267</v>
      </c>
      <c r="C131" s="47" t="n">
        <f aca="false">IF(AND($C$4="",$D$4=""),SUMIFS(COMPRAS!$J$3:$J$4997,COMPRAS!$G$3:$G$4997,A131),SUMIFS(COMPRAS!$J$3:$J$4997,COMPRAS!$G$3:$G$4997,A131,COMPRAS!$B$3:$B$4997,"&gt;="&amp;$C$4,COMPRAS!$B$3:$B$4997,"&lt;="&amp;$D$4))</f>
        <v>0</v>
      </c>
      <c r="D131" s="47" t="n">
        <f aca="false">IF(AND($C$4="",$D$4=""),SUMIFS(COMPRAS!$O$3:$O$4997,COMPRAS!$G$3:$G$4997,A131),SUMIFS(COMPRAS!$O$3:$O$4997,COMPRAS!$G$3:$G$4997,A131,COMPRAS!$B$3:$B$4997,"&gt;="&amp;$C$4,COMPRAS!$B$3:$B$4997,"&lt;="&amp;$D$4))</f>
        <v>0</v>
      </c>
      <c r="E131" s="48" t="str">
        <f aca="false">IF(C131&gt;0,D131/IF(H131&lt;&gt;"",H131,C131),"")</f>
        <v/>
      </c>
      <c r="F131" s="49" t="n">
        <f aca="false">IF(AND($C$4="",$D$4=""),COUNTIF(COMPRAS!$G$3:$G$4997,A131),COUNTIFS(COMPRAS!$G$3:$G$4997,A131,COMPRAS!$B$3:$B$4997,"&gt;="&amp;$C$4,COMPRAS!$B$3:$B$4997,"&lt;="&amp;$D$4))</f>
        <v>0</v>
      </c>
      <c r="G131" s="50" t="str">
        <f aca="false">IF(C131&gt;0,"SI","")</f>
        <v/>
      </c>
      <c r="H131" s="47"/>
    </row>
    <row r="132" customFormat="false" ht="15" hidden="true" customHeight="true" outlineLevel="0" collapsed="false">
      <c r="A132" s="51" t="s">
        <v>268</v>
      </c>
      <c r="B132" s="52" t="s">
        <v>269</v>
      </c>
      <c r="C132" s="53" t="n">
        <f aca="false">IF(AND($C$4="",$D$4=""),SUMIFS(COMPRAS!$J$3:$J$4997,COMPRAS!$G$3:$G$4997,A132),SUMIFS(COMPRAS!$J$3:$J$4997,COMPRAS!$G$3:$G$4997,A132,COMPRAS!$B$3:$B$4997,"&gt;="&amp;$C$4,COMPRAS!$B$3:$B$4997,"&lt;="&amp;$D$4))</f>
        <v>0</v>
      </c>
      <c r="D132" s="53" t="n">
        <f aca="false">IF(AND($C$4="",$D$4=""),SUMIFS(COMPRAS!$O$3:$O$4997,COMPRAS!$G$3:$G$4997,A132),SUMIFS(COMPRAS!$O$3:$O$4997,COMPRAS!$G$3:$G$4997,A132,COMPRAS!$B$3:$B$4997,"&gt;="&amp;$C$4,COMPRAS!$B$3:$B$4997,"&lt;="&amp;$D$4))</f>
        <v>0</v>
      </c>
      <c r="E132" s="48" t="str">
        <f aca="false">IF(C132&gt;0,D132/IF(H132&lt;&gt;"",H132,C132),"")</f>
        <v/>
      </c>
      <c r="F132" s="54" t="n">
        <f aca="false">IF(AND($C$4="",$D$4=""),COUNTIF(COMPRAS!$G$3:$G$4997,A132),COUNTIFS(COMPRAS!$G$3:$G$4997,A132,COMPRAS!$B$3:$B$4997,"&gt;="&amp;$C$4,COMPRAS!$B$3:$B$4997,"&lt;="&amp;$D$4))</f>
        <v>0</v>
      </c>
      <c r="G132" s="55" t="str">
        <f aca="false">IF(C132&gt;0,"SI","")</f>
        <v/>
      </c>
      <c r="H132" s="47"/>
    </row>
    <row r="133" customFormat="false" ht="15" hidden="true" customHeight="true" outlineLevel="0" collapsed="false">
      <c r="A133" s="45" t="s">
        <v>270</v>
      </c>
      <c r="B133" s="46" t="s">
        <v>271</v>
      </c>
      <c r="C133" s="47" t="n">
        <f aca="false">IF(AND($C$4="",$D$4=""),SUMIFS(COMPRAS!$J$3:$J$4997,COMPRAS!$G$3:$G$4997,A133),SUMIFS(COMPRAS!$J$3:$J$4997,COMPRAS!$G$3:$G$4997,A133,COMPRAS!$B$3:$B$4997,"&gt;="&amp;$C$4,COMPRAS!$B$3:$B$4997,"&lt;="&amp;$D$4))</f>
        <v>0</v>
      </c>
      <c r="D133" s="47" t="n">
        <f aca="false">IF(AND($C$4="",$D$4=""),SUMIFS(COMPRAS!$O$3:$O$4997,COMPRAS!$G$3:$G$4997,A133),SUMIFS(COMPRAS!$O$3:$O$4997,COMPRAS!$G$3:$G$4997,A133,COMPRAS!$B$3:$B$4997,"&gt;="&amp;$C$4,COMPRAS!$B$3:$B$4997,"&lt;="&amp;$D$4))</f>
        <v>0</v>
      </c>
      <c r="E133" s="48" t="str">
        <f aca="false">IF(C133&gt;0,D133/IF(H133&lt;&gt;"",H133,C133),"")</f>
        <v/>
      </c>
      <c r="F133" s="49" t="n">
        <f aca="false">IF(AND($C$4="",$D$4=""),COUNTIF(COMPRAS!$G$3:$G$4997,A133),COUNTIFS(COMPRAS!$G$3:$G$4997,A133,COMPRAS!$B$3:$B$4997,"&gt;="&amp;$C$4,COMPRAS!$B$3:$B$4997,"&lt;="&amp;$D$4))</f>
        <v>0</v>
      </c>
      <c r="G133" s="50" t="str">
        <f aca="false">IF(C133&gt;0,"SI","")</f>
        <v/>
      </c>
      <c r="H133" s="47"/>
    </row>
    <row r="134" customFormat="false" ht="15" hidden="true" customHeight="true" outlineLevel="0" collapsed="false">
      <c r="A134" s="51" t="s">
        <v>272</v>
      </c>
      <c r="B134" s="52" t="s">
        <v>273</v>
      </c>
      <c r="C134" s="53" t="n">
        <f aca="false">IF(AND($C$4="",$D$4=""),SUMIFS(COMPRAS!$J$3:$J$4997,COMPRAS!$G$3:$G$4997,A134),SUMIFS(COMPRAS!$J$3:$J$4997,COMPRAS!$G$3:$G$4997,A134,COMPRAS!$B$3:$B$4997,"&gt;="&amp;$C$4,COMPRAS!$B$3:$B$4997,"&lt;="&amp;$D$4))</f>
        <v>0</v>
      </c>
      <c r="D134" s="53" t="n">
        <f aca="false">IF(AND($C$4="",$D$4=""),SUMIFS(COMPRAS!$O$3:$O$4997,COMPRAS!$G$3:$G$4997,A134),SUMIFS(COMPRAS!$O$3:$O$4997,COMPRAS!$G$3:$G$4997,A134,COMPRAS!$B$3:$B$4997,"&gt;="&amp;$C$4,COMPRAS!$B$3:$B$4997,"&lt;="&amp;$D$4))</f>
        <v>0</v>
      </c>
      <c r="E134" s="48" t="str">
        <f aca="false">IF(C134&gt;0,D134/IF(H134&lt;&gt;"",H134,C134),"")</f>
        <v/>
      </c>
      <c r="F134" s="54" t="n">
        <f aca="false">IF(AND($C$4="",$D$4=""),COUNTIF(COMPRAS!$G$3:$G$4997,A134),COUNTIFS(COMPRAS!$G$3:$G$4997,A134,COMPRAS!$B$3:$B$4997,"&gt;="&amp;$C$4,COMPRAS!$B$3:$B$4997,"&lt;="&amp;$D$4))</f>
        <v>0</v>
      </c>
      <c r="G134" s="55" t="str">
        <f aca="false">IF(C134&gt;0,"SI","")</f>
        <v/>
      </c>
      <c r="H134" s="47"/>
    </row>
    <row r="135" customFormat="false" ht="15" hidden="true" customHeight="true" outlineLevel="0" collapsed="false">
      <c r="A135" s="45" t="s">
        <v>274</v>
      </c>
      <c r="B135" s="46" t="s">
        <v>275</v>
      </c>
      <c r="C135" s="47" t="n">
        <f aca="false">IF(AND($C$4="",$D$4=""),SUMIFS(COMPRAS!$J$3:$J$4997,COMPRAS!$G$3:$G$4997,A135),SUMIFS(COMPRAS!$J$3:$J$4997,COMPRAS!$G$3:$G$4997,A135,COMPRAS!$B$3:$B$4997,"&gt;="&amp;$C$4,COMPRAS!$B$3:$B$4997,"&lt;="&amp;$D$4))</f>
        <v>0</v>
      </c>
      <c r="D135" s="47" t="n">
        <f aca="false">IF(AND($C$4="",$D$4=""),SUMIFS(COMPRAS!$O$3:$O$4997,COMPRAS!$G$3:$G$4997,A135),SUMIFS(COMPRAS!$O$3:$O$4997,COMPRAS!$G$3:$G$4997,A135,COMPRAS!$B$3:$B$4997,"&gt;="&amp;$C$4,COMPRAS!$B$3:$B$4997,"&lt;="&amp;$D$4))</f>
        <v>0</v>
      </c>
      <c r="E135" s="48" t="str">
        <f aca="false">IF(C135&gt;0,D135/IF(H135&lt;&gt;"",H135,C135),"")</f>
        <v/>
      </c>
      <c r="F135" s="49" t="n">
        <f aca="false">IF(AND($C$4="",$D$4=""),COUNTIF(COMPRAS!$G$3:$G$4997,A135),COUNTIFS(COMPRAS!$G$3:$G$4997,A135,COMPRAS!$B$3:$B$4997,"&gt;="&amp;$C$4,COMPRAS!$B$3:$B$4997,"&lt;="&amp;$D$4))</f>
        <v>0</v>
      </c>
      <c r="G135" s="50" t="str">
        <f aca="false">IF(C135&gt;0,"SI","")</f>
        <v/>
      </c>
      <c r="H135" s="47"/>
    </row>
    <row r="136" customFormat="false" ht="15" hidden="false" customHeight="true" outlineLevel="0" collapsed="false">
      <c r="A136" s="51" t="s">
        <v>276</v>
      </c>
      <c r="B136" s="52" t="s">
        <v>277</v>
      </c>
      <c r="C136" s="53" t="n">
        <f aca="false">IF(AND($C$4="",$D$4=""),SUMIFS(COMPRAS!$J$3:$J$4997,COMPRAS!$G$3:$G$4997,A136),SUMIFS(COMPRAS!$J$3:$J$4997,COMPRAS!$G$3:$G$4997,A136,COMPRAS!$B$3:$B$4997,"&gt;="&amp;$C$4,COMPRAS!$B$3:$B$4997,"&lt;="&amp;$D$4))</f>
        <v>185.25</v>
      </c>
      <c r="D136" s="53" t="n">
        <f aca="false">IF(AND($C$4="",$D$4=""),SUMIFS(COMPRAS!$O$3:$O$4997,COMPRAS!$G$3:$G$4997,A136),SUMIFS(COMPRAS!$O$3:$O$4997,COMPRAS!$G$3:$G$4997,A136,COMPRAS!$B$3:$B$4997,"&gt;="&amp;$C$4,COMPRAS!$B$3:$B$4997,"&lt;="&amp;$D$4))</f>
        <v>629.136</v>
      </c>
      <c r="E136" s="48" t="n">
        <f aca="false">IF(C136&gt;0,D136/IF(H136&lt;&gt;"",H136,C136),"")</f>
        <v>3.39614574898785</v>
      </c>
      <c r="F136" s="54" t="n">
        <f aca="false">IF(AND($C$4="",$D$4=""),COUNTIF(COMPRAS!$G$3:$G$4997,A136),COUNTIFS(COMPRAS!$G$3:$G$4997,A136,COMPRAS!$B$3:$B$4997,"&gt;="&amp;$C$4,COMPRAS!$B$3:$B$4997,"&lt;="&amp;$D$4))</f>
        <v>2</v>
      </c>
      <c r="G136" s="55" t="str">
        <f aca="false">IF(C136&gt;0,"SI","")</f>
        <v>SI</v>
      </c>
      <c r="H136" s="47"/>
    </row>
    <row r="137" customFormat="false" ht="15" hidden="true" customHeight="true" outlineLevel="0" collapsed="false">
      <c r="A137" s="45" t="s">
        <v>278</v>
      </c>
      <c r="B137" s="46" t="s">
        <v>279</v>
      </c>
      <c r="C137" s="47" t="n">
        <f aca="false">IF(AND($C$4="",$D$4=""),SUMIFS(COMPRAS!$J$3:$J$4997,COMPRAS!$G$3:$G$4997,A137),SUMIFS(COMPRAS!$J$3:$J$4997,COMPRAS!$G$3:$G$4997,A137,COMPRAS!$B$3:$B$4997,"&gt;="&amp;$C$4,COMPRAS!$B$3:$B$4997,"&lt;="&amp;$D$4))</f>
        <v>0</v>
      </c>
      <c r="D137" s="47" t="n">
        <f aca="false">IF(AND($C$4="",$D$4=""),SUMIFS(COMPRAS!$O$3:$O$4997,COMPRAS!$G$3:$G$4997,A137),SUMIFS(COMPRAS!$O$3:$O$4997,COMPRAS!$G$3:$G$4997,A137,COMPRAS!$B$3:$B$4997,"&gt;="&amp;$C$4,COMPRAS!$B$3:$B$4997,"&lt;="&amp;$D$4))</f>
        <v>0</v>
      </c>
      <c r="E137" s="48" t="str">
        <f aca="false">IF(C137&gt;0,D137/IF(H137&lt;&gt;"",H137,C137),"")</f>
        <v/>
      </c>
      <c r="F137" s="49" t="n">
        <f aca="false">IF(AND($C$4="",$D$4=""),COUNTIF(COMPRAS!$G$3:$G$4997,A137),COUNTIFS(COMPRAS!$G$3:$G$4997,A137,COMPRAS!$B$3:$B$4997,"&gt;="&amp;$C$4,COMPRAS!$B$3:$B$4997,"&lt;="&amp;$D$4))</f>
        <v>0</v>
      </c>
      <c r="G137" s="50" t="str">
        <f aca="false">IF(C137&gt;0,"SI","")</f>
        <v/>
      </c>
      <c r="H137" s="47"/>
    </row>
    <row r="138" customFormat="false" ht="15" hidden="true" customHeight="true" outlineLevel="0" collapsed="false">
      <c r="A138" s="51" t="s">
        <v>280</v>
      </c>
      <c r="B138" s="52" t="s">
        <v>281</v>
      </c>
      <c r="C138" s="53" t="n">
        <f aca="false">IF(AND($C$4="",$D$4=""),SUMIFS(COMPRAS!$J$3:$J$4997,COMPRAS!$G$3:$G$4997,A138),SUMIFS(COMPRAS!$J$3:$J$4997,COMPRAS!$G$3:$G$4997,A138,COMPRAS!$B$3:$B$4997,"&gt;="&amp;$C$4,COMPRAS!$B$3:$B$4997,"&lt;="&amp;$D$4))</f>
        <v>0</v>
      </c>
      <c r="D138" s="53" t="n">
        <f aca="false">IF(AND($C$4="",$D$4=""),SUMIFS(COMPRAS!$O$3:$O$4997,COMPRAS!$G$3:$G$4997,A138),SUMIFS(COMPRAS!$O$3:$O$4997,COMPRAS!$G$3:$G$4997,A138,COMPRAS!$B$3:$B$4997,"&gt;="&amp;$C$4,COMPRAS!$B$3:$B$4997,"&lt;="&amp;$D$4))</f>
        <v>0</v>
      </c>
      <c r="E138" s="48" t="str">
        <f aca="false">IF(C138&gt;0,D138/IF(H138&lt;&gt;"",H138,C138),"")</f>
        <v/>
      </c>
      <c r="F138" s="54" t="n">
        <f aca="false">IF(AND($C$4="",$D$4=""),COUNTIF(COMPRAS!$G$3:$G$4997,A138),COUNTIFS(COMPRAS!$G$3:$G$4997,A138,COMPRAS!$B$3:$B$4997,"&gt;="&amp;$C$4,COMPRAS!$B$3:$B$4997,"&lt;="&amp;$D$4))</f>
        <v>0</v>
      </c>
      <c r="G138" s="55" t="str">
        <f aca="false">IF(C138&gt;0,"SI","")</f>
        <v/>
      </c>
      <c r="H138" s="47"/>
    </row>
    <row r="139" customFormat="false" ht="15" hidden="true" customHeight="true" outlineLevel="0" collapsed="false">
      <c r="A139" s="45" t="s">
        <v>282</v>
      </c>
      <c r="B139" s="46" t="s">
        <v>283</v>
      </c>
      <c r="C139" s="47" t="n">
        <f aca="false">IF(AND($C$4="",$D$4=""),SUMIFS(COMPRAS!$J$3:$J$4997,COMPRAS!$G$3:$G$4997,A139),SUMIFS(COMPRAS!$J$3:$J$4997,COMPRAS!$G$3:$G$4997,A139,COMPRAS!$B$3:$B$4997,"&gt;="&amp;$C$4,COMPRAS!$B$3:$B$4997,"&lt;="&amp;$D$4))</f>
        <v>0</v>
      </c>
      <c r="D139" s="47" t="n">
        <f aca="false">IF(AND($C$4="",$D$4=""),SUMIFS(COMPRAS!$O$3:$O$4997,COMPRAS!$G$3:$G$4997,A139),SUMIFS(COMPRAS!$O$3:$O$4997,COMPRAS!$G$3:$G$4997,A139,COMPRAS!$B$3:$B$4997,"&gt;="&amp;$C$4,COMPRAS!$B$3:$B$4997,"&lt;="&amp;$D$4))</f>
        <v>0</v>
      </c>
      <c r="E139" s="48" t="str">
        <f aca="false">IF(C139&gt;0,D139/IF(H139&lt;&gt;"",H139,C139),"")</f>
        <v/>
      </c>
      <c r="F139" s="49" t="n">
        <f aca="false">IF(AND($C$4="",$D$4=""),COUNTIF(COMPRAS!$G$3:$G$4997,A139),COUNTIFS(COMPRAS!$G$3:$G$4997,A139,COMPRAS!$B$3:$B$4997,"&gt;="&amp;$C$4,COMPRAS!$B$3:$B$4997,"&lt;="&amp;$D$4))</f>
        <v>0</v>
      </c>
      <c r="G139" s="50" t="str">
        <f aca="false">IF(C139&gt;0,"SI","")</f>
        <v/>
      </c>
      <c r="H139" s="47"/>
    </row>
    <row r="140" customFormat="false" ht="15" hidden="true" customHeight="true" outlineLevel="0" collapsed="false">
      <c r="A140" s="51" t="s">
        <v>284</v>
      </c>
      <c r="B140" s="52" t="s">
        <v>285</v>
      </c>
      <c r="C140" s="53" t="n">
        <f aca="false">IF(AND($C$4="",$D$4=""),SUMIFS(COMPRAS!$J$3:$J$4997,COMPRAS!$G$3:$G$4997,A140),SUMIFS(COMPRAS!$J$3:$J$4997,COMPRAS!$G$3:$G$4997,A140,COMPRAS!$B$3:$B$4997,"&gt;="&amp;$C$4,COMPRAS!$B$3:$B$4997,"&lt;="&amp;$D$4))</f>
        <v>0</v>
      </c>
      <c r="D140" s="53" t="n">
        <f aca="false">IF(AND($C$4="",$D$4=""),SUMIFS(COMPRAS!$O$3:$O$4997,COMPRAS!$G$3:$G$4997,A140),SUMIFS(COMPRAS!$O$3:$O$4997,COMPRAS!$G$3:$G$4997,A140,COMPRAS!$B$3:$B$4997,"&gt;="&amp;$C$4,COMPRAS!$B$3:$B$4997,"&lt;="&amp;$D$4))</f>
        <v>0</v>
      </c>
      <c r="E140" s="48" t="str">
        <f aca="false">IF(C140&gt;0,D140/IF(H140&lt;&gt;"",H140,C140),"")</f>
        <v/>
      </c>
      <c r="F140" s="54" t="n">
        <f aca="false">IF(AND($C$4="",$D$4=""),COUNTIF(COMPRAS!$G$3:$G$4997,A140),COUNTIFS(COMPRAS!$G$3:$G$4997,A140,COMPRAS!$B$3:$B$4997,"&gt;="&amp;$C$4,COMPRAS!$B$3:$B$4997,"&lt;="&amp;$D$4))</f>
        <v>0</v>
      </c>
      <c r="G140" s="55" t="str">
        <f aca="false">IF(C140&gt;0,"SI","")</f>
        <v/>
      </c>
      <c r="H140" s="47"/>
    </row>
    <row r="141" customFormat="false" ht="15" hidden="true" customHeight="true" outlineLevel="0" collapsed="false">
      <c r="A141" s="45" t="s">
        <v>286</v>
      </c>
      <c r="B141" s="46" t="s">
        <v>287</v>
      </c>
      <c r="C141" s="47" t="n">
        <f aca="false">IF(AND($C$4="",$D$4=""),SUMIFS(COMPRAS!$J$3:$J$4997,COMPRAS!$G$3:$G$4997,A141),SUMIFS(COMPRAS!$J$3:$J$4997,COMPRAS!$G$3:$G$4997,A141,COMPRAS!$B$3:$B$4997,"&gt;="&amp;$C$4,COMPRAS!$B$3:$B$4997,"&lt;="&amp;$D$4))</f>
        <v>0</v>
      </c>
      <c r="D141" s="47" t="n">
        <f aca="false">IF(AND($C$4="",$D$4=""),SUMIFS(COMPRAS!$O$3:$O$4997,COMPRAS!$G$3:$G$4997,A141),SUMIFS(COMPRAS!$O$3:$O$4997,COMPRAS!$G$3:$G$4997,A141,COMPRAS!$B$3:$B$4997,"&gt;="&amp;$C$4,COMPRAS!$B$3:$B$4997,"&lt;="&amp;$D$4))</f>
        <v>0</v>
      </c>
      <c r="E141" s="48" t="str">
        <f aca="false">IF(C141&gt;0,D141/IF(H141&lt;&gt;"",H141,C141),"")</f>
        <v/>
      </c>
      <c r="F141" s="49" t="n">
        <f aca="false">IF(AND($C$4="",$D$4=""),COUNTIF(COMPRAS!$G$3:$G$4997,A141),COUNTIFS(COMPRAS!$G$3:$G$4997,A141,COMPRAS!$B$3:$B$4997,"&gt;="&amp;$C$4,COMPRAS!$B$3:$B$4997,"&lt;="&amp;$D$4))</f>
        <v>0</v>
      </c>
      <c r="G141" s="50" t="str">
        <f aca="false">IF(C141&gt;0,"SI","")</f>
        <v/>
      </c>
      <c r="H141" s="47"/>
    </row>
    <row r="142" customFormat="false" ht="15" hidden="true" customHeight="true" outlineLevel="0" collapsed="false">
      <c r="A142" s="51" t="s">
        <v>288</v>
      </c>
      <c r="B142" s="52" t="s">
        <v>289</v>
      </c>
      <c r="C142" s="53" t="n">
        <f aca="false">IF(AND($C$4="",$D$4=""),SUMIFS(COMPRAS!$J$3:$J$4997,COMPRAS!$G$3:$G$4997,A142),SUMIFS(COMPRAS!$J$3:$J$4997,COMPRAS!$G$3:$G$4997,A142,COMPRAS!$B$3:$B$4997,"&gt;="&amp;$C$4,COMPRAS!$B$3:$B$4997,"&lt;="&amp;$D$4))</f>
        <v>0</v>
      </c>
      <c r="D142" s="53" t="n">
        <f aca="false">IF(AND($C$4="",$D$4=""),SUMIFS(COMPRAS!$O$3:$O$4997,COMPRAS!$G$3:$G$4997,A142),SUMIFS(COMPRAS!$O$3:$O$4997,COMPRAS!$G$3:$G$4997,A142,COMPRAS!$B$3:$B$4997,"&gt;="&amp;$C$4,COMPRAS!$B$3:$B$4997,"&lt;="&amp;$D$4))</f>
        <v>0</v>
      </c>
      <c r="E142" s="48" t="str">
        <f aca="false">IF(C142&gt;0,D142/IF(H142&lt;&gt;"",H142,C142),"")</f>
        <v/>
      </c>
      <c r="F142" s="54" t="n">
        <f aca="false">IF(AND($C$4="",$D$4=""),COUNTIF(COMPRAS!$G$3:$G$4997,A142),COUNTIFS(COMPRAS!$G$3:$G$4997,A142,COMPRAS!$B$3:$B$4997,"&gt;="&amp;$C$4,COMPRAS!$B$3:$B$4997,"&lt;="&amp;$D$4))</f>
        <v>0</v>
      </c>
      <c r="G142" s="55" t="str">
        <f aca="false">IF(C142&gt;0,"SI","")</f>
        <v/>
      </c>
      <c r="H142" s="47"/>
    </row>
    <row r="143" customFormat="false" ht="15" hidden="true" customHeight="true" outlineLevel="0" collapsed="false">
      <c r="A143" s="45" t="s">
        <v>290</v>
      </c>
      <c r="B143" s="46" t="s">
        <v>291</v>
      </c>
      <c r="C143" s="47" t="n">
        <f aca="false">IF(AND($C$4="",$D$4=""),SUMIFS(COMPRAS!$J$3:$J$4997,COMPRAS!$G$3:$G$4997,A143),SUMIFS(COMPRAS!$J$3:$J$4997,COMPRAS!$G$3:$G$4997,A143,COMPRAS!$B$3:$B$4997,"&gt;="&amp;$C$4,COMPRAS!$B$3:$B$4997,"&lt;="&amp;$D$4))</f>
        <v>0</v>
      </c>
      <c r="D143" s="47" t="n">
        <f aca="false">IF(AND($C$4="",$D$4=""),SUMIFS(COMPRAS!$O$3:$O$4997,COMPRAS!$G$3:$G$4997,A143),SUMIFS(COMPRAS!$O$3:$O$4997,COMPRAS!$G$3:$G$4997,A143,COMPRAS!$B$3:$B$4997,"&gt;="&amp;$C$4,COMPRAS!$B$3:$B$4997,"&lt;="&amp;$D$4))</f>
        <v>0</v>
      </c>
      <c r="E143" s="48" t="str">
        <f aca="false">IF(C143&gt;0,D143/IF(H143&lt;&gt;"",H143,C143),"")</f>
        <v/>
      </c>
      <c r="F143" s="49" t="n">
        <f aca="false">IF(AND($C$4="",$D$4=""),COUNTIF(COMPRAS!$G$3:$G$4997,A143),COUNTIFS(COMPRAS!$G$3:$G$4997,A143,COMPRAS!$B$3:$B$4997,"&gt;="&amp;$C$4,COMPRAS!$B$3:$B$4997,"&lt;="&amp;$D$4))</f>
        <v>0</v>
      </c>
      <c r="G143" s="50" t="str">
        <f aca="false">IF(C143&gt;0,"SI","")</f>
        <v/>
      </c>
      <c r="H143" s="47"/>
    </row>
    <row r="144" customFormat="false" ht="15" hidden="true" customHeight="true" outlineLevel="0" collapsed="false">
      <c r="A144" s="51" t="s">
        <v>292</v>
      </c>
      <c r="B144" s="52" t="s">
        <v>293</v>
      </c>
      <c r="C144" s="53" t="n">
        <f aca="false">IF(AND($C$4="",$D$4=""),SUMIFS(COMPRAS!$J$3:$J$4997,COMPRAS!$G$3:$G$4997,A144),SUMIFS(COMPRAS!$J$3:$J$4997,COMPRAS!$G$3:$G$4997,A144,COMPRAS!$B$3:$B$4997,"&gt;="&amp;$C$4,COMPRAS!$B$3:$B$4997,"&lt;="&amp;$D$4))</f>
        <v>0</v>
      </c>
      <c r="D144" s="53" t="n">
        <f aca="false">IF(AND($C$4="",$D$4=""),SUMIFS(COMPRAS!$O$3:$O$4997,COMPRAS!$G$3:$G$4997,A144),SUMIFS(COMPRAS!$O$3:$O$4997,COMPRAS!$G$3:$G$4997,A144,COMPRAS!$B$3:$B$4997,"&gt;="&amp;$C$4,COMPRAS!$B$3:$B$4997,"&lt;="&amp;$D$4))</f>
        <v>0</v>
      </c>
      <c r="E144" s="48" t="str">
        <f aca="false">IF(C144&gt;0,D144/IF(H144&lt;&gt;"",H144,C144),"")</f>
        <v/>
      </c>
      <c r="F144" s="54" t="n">
        <f aca="false">IF(AND($C$4="",$D$4=""),COUNTIF(COMPRAS!$G$3:$G$4997,A144),COUNTIFS(COMPRAS!$G$3:$G$4997,A144,COMPRAS!$B$3:$B$4997,"&gt;="&amp;$C$4,COMPRAS!$B$3:$B$4997,"&lt;="&amp;$D$4))</f>
        <v>0</v>
      </c>
      <c r="G144" s="55" t="str">
        <f aca="false">IF(C144&gt;0,"SI","")</f>
        <v/>
      </c>
      <c r="H144" s="47" t="n">
        <v>106.9</v>
      </c>
    </row>
    <row r="145" customFormat="false" ht="15" hidden="true" customHeight="true" outlineLevel="0" collapsed="false">
      <c r="A145" s="45" t="s">
        <v>294</v>
      </c>
      <c r="B145" s="46" t="s">
        <v>295</v>
      </c>
      <c r="C145" s="47" t="n">
        <f aca="false">IF(AND($C$4="",$D$4=""),SUMIFS(COMPRAS!$J$3:$J$4997,COMPRAS!$G$3:$G$4997,A145),SUMIFS(COMPRAS!$J$3:$J$4997,COMPRAS!$G$3:$G$4997,A145,COMPRAS!$B$3:$B$4997,"&gt;="&amp;$C$4,COMPRAS!$B$3:$B$4997,"&lt;="&amp;$D$4))</f>
        <v>0</v>
      </c>
      <c r="D145" s="47" t="n">
        <f aca="false">IF(AND($C$4="",$D$4=""),SUMIFS(COMPRAS!$O$3:$O$4997,COMPRAS!$G$3:$G$4997,A145),SUMIFS(COMPRAS!$O$3:$O$4997,COMPRAS!$G$3:$G$4997,A145,COMPRAS!$B$3:$B$4997,"&gt;="&amp;$C$4,COMPRAS!$B$3:$B$4997,"&lt;="&amp;$D$4))</f>
        <v>0</v>
      </c>
      <c r="E145" s="48" t="str">
        <f aca="false">IF(C145&gt;0,D145/IF(H145&lt;&gt;"",H145,C145),"")</f>
        <v/>
      </c>
      <c r="F145" s="49" t="n">
        <f aca="false">IF(AND($C$4="",$D$4=""),COUNTIF(COMPRAS!$G$3:$G$4997,A145),COUNTIFS(COMPRAS!$G$3:$G$4997,A145,COMPRAS!$B$3:$B$4997,"&gt;="&amp;$C$4,COMPRAS!$B$3:$B$4997,"&lt;="&amp;$D$4))</f>
        <v>0</v>
      </c>
      <c r="G145" s="50" t="str">
        <f aca="false">IF(C145&gt;0,"SI","")</f>
        <v/>
      </c>
      <c r="H145" s="47"/>
    </row>
    <row r="146" customFormat="false" ht="15" hidden="true" customHeight="true" outlineLevel="0" collapsed="false">
      <c r="A146" s="51" t="s">
        <v>296</v>
      </c>
      <c r="B146" s="52" t="s">
        <v>297</v>
      </c>
      <c r="C146" s="53" t="n">
        <f aca="false">IF(AND($C$4="",$D$4=""),SUMIFS(COMPRAS!$J$3:$J$4997,COMPRAS!$G$3:$G$4997,A146),SUMIFS(COMPRAS!$J$3:$J$4997,COMPRAS!$G$3:$G$4997,A146,COMPRAS!$B$3:$B$4997,"&gt;="&amp;$C$4,COMPRAS!$B$3:$B$4997,"&lt;="&amp;$D$4))</f>
        <v>0</v>
      </c>
      <c r="D146" s="53" t="n">
        <f aca="false">IF(AND($C$4="",$D$4=""),SUMIFS(COMPRAS!$O$3:$O$4997,COMPRAS!$G$3:$G$4997,A146),SUMIFS(COMPRAS!$O$3:$O$4997,COMPRAS!$G$3:$G$4997,A146,COMPRAS!$B$3:$B$4997,"&gt;="&amp;$C$4,COMPRAS!$B$3:$B$4997,"&lt;="&amp;$D$4))</f>
        <v>0</v>
      </c>
      <c r="E146" s="48" t="str">
        <f aca="false">IF(C146&gt;0,D146/IF(H146&lt;&gt;"",H146,C146),"")</f>
        <v/>
      </c>
      <c r="F146" s="54" t="n">
        <f aca="false">IF(AND($C$4="",$D$4=""),COUNTIF(COMPRAS!$G$3:$G$4997,A146),COUNTIFS(COMPRAS!$G$3:$G$4997,A146,COMPRAS!$B$3:$B$4997,"&gt;="&amp;$C$4,COMPRAS!$B$3:$B$4997,"&lt;="&amp;$D$4))</f>
        <v>0</v>
      </c>
      <c r="G146" s="55" t="str">
        <f aca="false">IF(C146&gt;0,"SI","")</f>
        <v/>
      </c>
      <c r="H146" s="47"/>
    </row>
    <row r="147" customFormat="false" ht="15" hidden="true" customHeight="true" outlineLevel="0" collapsed="false">
      <c r="A147" s="45" t="s">
        <v>298</v>
      </c>
      <c r="B147" s="46" t="s">
        <v>299</v>
      </c>
      <c r="C147" s="47" t="n">
        <f aca="false">IF(AND($C$4="",$D$4=""),SUMIFS(COMPRAS!$J$3:$J$4997,COMPRAS!$G$3:$G$4997,A147),SUMIFS(COMPRAS!$J$3:$J$4997,COMPRAS!$G$3:$G$4997,A147,COMPRAS!$B$3:$B$4997,"&gt;="&amp;$C$4,COMPRAS!$B$3:$B$4997,"&lt;="&amp;$D$4))</f>
        <v>0</v>
      </c>
      <c r="D147" s="47" t="n">
        <f aca="false">IF(AND($C$4="",$D$4=""),SUMIFS(COMPRAS!$O$3:$O$4997,COMPRAS!$G$3:$G$4997,A147),SUMIFS(COMPRAS!$O$3:$O$4997,COMPRAS!$G$3:$G$4997,A147,COMPRAS!$B$3:$B$4997,"&gt;="&amp;$C$4,COMPRAS!$B$3:$B$4997,"&lt;="&amp;$D$4))</f>
        <v>0</v>
      </c>
      <c r="E147" s="48" t="str">
        <f aca="false">IF(C147&gt;0,D147/IF(H147&lt;&gt;"",H147,C147),"")</f>
        <v/>
      </c>
      <c r="F147" s="49" t="n">
        <f aca="false">IF(AND($C$4="",$D$4=""),COUNTIF(COMPRAS!$G$3:$G$4997,A147),COUNTIFS(COMPRAS!$G$3:$G$4997,A147,COMPRAS!$B$3:$B$4997,"&gt;="&amp;$C$4,COMPRAS!$B$3:$B$4997,"&lt;="&amp;$D$4))</f>
        <v>0</v>
      </c>
      <c r="G147" s="50" t="str">
        <f aca="false">IF(C147&gt;0,"SI","")</f>
        <v/>
      </c>
      <c r="H147" s="47"/>
    </row>
    <row r="148" customFormat="false" ht="15" hidden="true" customHeight="true" outlineLevel="0" collapsed="false">
      <c r="A148" s="51" t="s">
        <v>300</v>
      </c>
      <c r="B148" s="52" t="s">
        <v>301</v>
      </c>
      <c r="C148" s="53" t="n">
        <f aca="false">IF(AND($C$4="",$D$4=""),SUMIFS(COMPRAS!$J$3:$J$4997,COMPRAS!$G$3:$G$4997,A148),SUMIFS(COMPRAS!$J$3:$J$4997,COMPRAS!$G$3:$G$4997,A148,COMPRAS!$B$3:$B$4997,"&gt;="&amp;$C$4,COMPRAS!$B$3:$B$4997,"&lt;="&amp;$D$4))</f>
        <v>0</v>
      </c>
      <c r="D148" s="53" t="n">
        <f aca="false">IF(AND($C$4="",$D$4=""),SUMIFS(COMPRAS!$O$3:$O$4997,COMPRAS!$G$3:$G$4997,A148),SUMIFS(COMPRAS!$O$3:$O$4997,COMPRAS!$G$3:$G$4997,A148,COMPRAS!$B$3:$B$4997,"&gt;="&amp;$C$4,COMPRAS!$B$3:$B$4997,"&lt;="&amp;$D$4))</f>
        <v>0</v>
      </c>
      <c r="E148" s="48" t="str">
        <f aca="false">IF(C148&gt;0,D148/IF(H148&lt;&gt;"",H148,C148),"")</f>
        <v/>
      </c>
      <c r="F148" s="54" t="n">
        <f aca="false">IF(AND($C$4="",$D$4=""),COUNTIF(COMPRAS!$G$3:$G$4997,A148),COUNTIFS(COMPRAS!$G$3:$G$4997,A148,COMPRAS!$B$3:$B$4997,"&gt;="&amp;$C$4,COMPRAS!$B$3:$B$4997,"&lt;="&amp;$D$4))</f>
        <v>0</v>
      </c>
      <c r="G148" s="55" t="str">
        <f aca="false">IF(C148&gt;0,"SI","")</f>
        <v/>
      </c>
      <c r="H148" s="47"/>
    </row>
    <row r="149" customFormat="false" ht="15" hidden="true" customHeight="true" outlineLevel="0" collapsed="false">
      <c r="A149" s="45" t="s">
        <v>302</v>
      </c>
      <c r="B149" s="46" t="s">
        <v>303</v>
      </c>
      <c r="C149" s="47" t="n">
        <f aca="false">IF(AND($C$4="",$D$4=""),SUMIFS(COMPRAS!$J$3:$J$4997,COMPRAS!$G$3:$G$4997,A149),SUMIFS(COMPRAS!$J$3:$J$4997,COMPRAS!$G$3:$G$4997,A149,COMPRAS!$B$3:$B$4997,"&gt;="&amp;$C$4,COMPRAS!$B$3:$B$4997,"&lt;="&amp;$D$4))</f>
        <v>0</v>
      </c>
      <c r="D149" s="47" t="n">
        <f aca="false">IF(AND($C$4="",$D$4=""),SUMIFS(COMPRAS!$O$3:$O$4997,COMPRAS!$G$3:$G$4997,A149),SUMIFS(COMPRAS!$O$3:$O$4997,COMPRAS!$G$3:$G$4997,A149,COMPRAS!$B$3:$B$4997,"&gt;="&amp;$C$4,COMPRAS!$B$3:$B$4997,"&lt;="&amp;$D$4))</f>
        <v>0</v>
      </c>
      <c r="E149" s="48" t="str">
        <f aca="false">IF(C149&gt;0,D149/IF(H149&lt;&gt;"",H149,C149),"")</f>
        <v/>
      </c>
      <c r="F149" s="49" t="n">
        <f aca="false">IF(AND($C$4="",$D$4=""),COUNTIF(COMPRAS!$G$3:$G$4997,A149),COUNTIFS(COMPRAS!$G$3:$G$4997,A149,COMPRAS!$B$3:$B$4997,"&gt;="&amp;$C$4,COMPRAS!$B$3:$B$4997,"&lt;="&amp;$D$4))</f>
        <v>0</v>
      </c>
      <c r="G149" s="50" t="str">
        <f aca="false">IF(C149&gt;0,"SI","")</f>
        <v/>
      </c>
      <c r="H149" s="47"/>
    </row>
    <row r="150" customFormat="false" ht="15" hidden="true" customHeight="true" outlineLevel="0" collapsed="false">
      <c r="A150" s="51" t="s">
        <v>304</v>
      </c>
      <c r="B150" s="52" t="s">
        <v>305</v>
      </c>
      <c r="C150" s="53" t="n">
        <f aca="false">IF(AND($C$4="",$D$4=""),SUMIFS(COMPRAS!$J$3:$J$4997,COMPRAS!$G$3:$G$4997,A150),SUMIFS(COMPRAS!$J$3:$J$4997,COMPRAS!$G$3:$G$4997,A150,COMPRAS!$B$3:$B$4997,"&gt;="&amp;$C$4,COMPRAS!$B$3:$B$4997,"&lt;="&amp;$D$4))</f>
        <v>0</v>
      </c>
      <c r="D150" s="53" t="n">
        <f aca="false">IF(AND($C$4="",$D$4=""),SUMIFS(COMPRAS!$O$3:$O$4997,COMPRAS!$G$3:$G$4997,A150),SUMIFS(COMPRAS!$O$3:$O$4997,COMPRAS!$G$3:$G$4997,A150,COMPRAS!$B$3:$B$4997,"&gt;="&amp;$C$4,COMPRAS!$B$3:$B$4997,"&lt;="&amp;$D$4))</f>
        <v>0</v>
      </c>
      <c r="E150" s="48" t="str">
        <f aca="false">IF(C150&gt;0,D150/IF(H150&lt;&gt;"",H150,C150),"")</f>
        <v/>
      </c>
      <c r="F150" s="54" t="n">
        <f aca="false">IF(AND($C$4="",$D$4=""),COUNTIF(COMPRAS!$G$3:$G$4997,A150),COUNTIFS(COMPRAS!$G$3:$G$4997,A150,COMPRAS!$B$3:$B$4997,"&gt;="&amp;$C$4,COMPRAS!$B$3:$B$4997,"&lt;="&amp;$D$4))</f>
        <v>0</v>
      </c>
      <c r="G150" s="55" t="str">
        <f aca="false">IF(C150&gt;0,"SI","")</f>
        <v/>
      </c>
      <c r="H150" s="47"/>
    </row>
    <row r="151" customFormat="false" ht="15" hidden="true" customHeight="true" outlineLevel="0" collapsed="false">
      <c r="A151" s="45" t="s">
        <v>306</v>
      </c>
      <c r="B151" s="46" t="s">
        <v>307</v>
      </c>
      <c r="C151" s="47" t="n">
        <f aca="false">IF(AND($C$4="",$D$4=""),SUMIFS(COMPRAS!$J$3:$J$4997,COMPRAS!$G$3:$G$4997,A151),SUMIFS(COMPRAS!$J$3:$J$4997,COMPRAS!$G$3:$G$4997,A151,COMPRAS!$B$3:$B$4997,"&gt;="&amp;$C$4,COMPRAS!$B$3:$B$4997,"&lt;="&amp;$D$4))</f>
        <v>0</v>
      </c>
      <c r="D151" s="47" t="n">
        <f aca="false">IF(AND($C$4="",$D$4=""),SUMIFS(COMPRAS!$O$3:$O$4997,COMPRAS!$G$3:$G$4997,A151),SUMIFS(COMPRAS!$O$3:$O$4997,COMPRAS!$G$3:$G$4997,A151,COMPRAS!$B$3:$B$4997,"&gt;="&amp;$C$4,COMPRAS!$B$3:$B$4997,"&lt;="&amp;$D$4))</f>
        <v>0</v>
      </c>
      <c r="E151" s="48" t="str">
        <f aca="false">IF(C151&gt;0,D151/IF(H151&lt;&gt;"",H151,C151),"")</f>
        <v/>
      </c>
      <c r="F151" s="49" t="n">
        <f aca="false">IF(AND($C$4="",$D$4=""),COUNTIF(COMPRAS!$G$3:$G$4997,A151),COUNTIFS(COMPRAS!$G$3:$G$4997,A151,COMPRAS!$B$3:$B$4997,"&gt;="&amp;$C$4,COMPRAS!$B$3:$B$4997,"&lt;="&amp;$D$4))</f>
        <v>0</v>
      </c>
      <c r="G151" s="50" t="str">
        <f aca="false">IF(C151&gt;0,"SI","")</f>
        <v/>
      </c>
      <c r="H151" s="47"/>
    </row>
    <row r="152" customFormat="false" ht="15" hidden="true" customHeight="true" outlineLevel="0" collapsed="false">
      <c r="A152" s="51" t="s">
        <v>308</v>
      </c>
      <c r="B152" s="52" t="s">
        <v>309</v>
      </c>
      <c r="C152" s="53" t="n">
        <f aca="false">IF(AND($C$4="",$D$4=""),SUMIFS(COMPRAS!$J$3:$J$4997,COMPRAS!$G$3:$G$4997,A152),SUMIFS(COMPRAS!$J$3:$J$4997,COMPRAS!$G$3:$G$4997,A152,COMPRAS!$B$3:$B$4997,"&gt;="&amp;$C$4,COMPRAS!$B$3:$B$4997,"&lt;="&amp;$D$4))</f>
        <v>0</v>
      </c>
      <c r="D152" s="53" t="n">
        <f aca="false">IF(AND($C$4="",$D$4=""),SUMIFS(COMPRAS!$O$3:$O$4997,COMPRAS!$G$3:$G$4997,A152),SUMIFS(COMPRAS!$O$3:$O$4997,COMPRAS!$G$3:$G$4997,A152,COMPRAS!$B$3:$B$4997,"&gt;="&amp;$C$4,COMPRAS!$B$3:$B$4997,"&lt;="&amp;$D$4))</f>
        <v>0</v>
      </c>
      <c r="E152" s="48" t="str">
        <f aca="false">IF(C152&gt;0,D152/IF(H152&lt;&gt;"",H152,C152),"")</f>
        <v/>
      </c>
      <c r="F152" s="54" t="n">
        <f aca="false">IF(AND($C$4="",$D$4=""),COUNTIF(COMPRAS!$G$3:$G$4997,A152),COUNTIFS(COMPRAS!$G$3:$G$4997,A152,COMPRAS!$B$3:$B$4997,"&gt;="&amp;$C$4,COMPRAS!$B$3:$B$4997,"&lt;="&amp;$D$4))</f>
        <v>0</v>
      </c>
      <c r="G152" s="55" t="str">
        <f aca="false">IF(C152&gt;0,"SI","")</f>
        <v/>
      </c>
      <c r="H152" s="47"/>
    </row>
    <row r="153" customFormat="false" ht="15" hidden="true" customHeight="true" outlineLevel="0" collapsed="false">
      <c r="A153" s="45" t="s">
        <v>310</v>
      </c>
      <c r="B153" s="46" t="s">
        <v>311</v>
      </c>
      <c r="C153" s="47" t="n">
        <f aca="false">IF(AND($C$4="",$D$4=""),SUMIFS(COMPRAS!$J$3:$J$4997,COMPRAS!$G$3:$G$4997,A153),SUMIFS(COMPRAS!$J$3:$J$4997,COMPRAS!$G$3:$G$4997,A153,COMPRAS!$B$3:$B$4997,"&gt;="&amp;$C$4,COMPRAS!$B$3:$B$4997,"&lt;="&amp;$D$4))</f>
        <v>0</v>
      </c>
      <c r="D153" s="47" t="n">
        <f aca="false">IF(AND($C$4="",$D$4=""),SUMIFS(COMPRAS!$O$3:$O$4997,COMPRAS!$G$3:$G$4997,A153),SUMIFS(COMPRAS!$O$3:$O$4997,COMPRAS!$G$3:$G$4997,A153,COMPRAS!$B$3:$B$4997,"&gt;="&amp;$C$4,COMPRAS!$B$3:$B$4997,"&lt;="&amp;$D$4))</f>
        <v>0</v>
      </c>
      <c r="E153" s="48" t="str">
        <f aca="false">IF(C153&gt;0,D153/IF(H153&lt;&gt;"",H153,C153),"")</f>
        <v/>
      </c>
      <c r="F153" s="49" t="n">
        <f aca="false">IF(AND($C$4="",$D$4=""),COUNTIF(COMPRAS!$G$3:$G$4997,A153),COUNTIFS(COMPRAS!$G$3:$G$4997,A153,COMPRAS!$B$3:$B$4997,"&gt;="&amp;$C$4,COMPRAS!$B$3:$B$4997,"&lt;="&amp;$D$4))</f>
        <v>0</v>
      </c>
      <c r="G153" s="50" t="str">
        <f aca="false">IF(C153&gt;0,"SI","")</f>
        <v/>
      </c>
      <c r="H153" s="47"/>
    </row>
    <row r="154" customFormat="false" ht="15" hidden="true" customHeight="true" outlineLevel="0" collapsed="false">
      <c r="A154" s="51" t="s">
        <v>312</v>
      </c>
      <c r="B154" s="52" t="s">
        <v>313</v>
      </c>
      <c r="C154" s="53" t="n">
        <f aca="false">IF(AND($C$4="",$D$4=""),SUMIFS(COMPRAS!$J$3:$J$4997,COMPRAS!$G$3:$G$4997,A154),SUMIFS(COMPRAS!$J$3:$J$4997,COMPRAS!$G$3:$G$4997,A154,COMPRAS!$B$3:$B$4997,"&gt;="&amp;$C$4,COMPRAS!$B$3:$B$4997,"&lt;="&amp;$D$4))</f>
        <v>0</v>
      </c>
      <c r="D154" s="53" t="n">
        <f aca="false">IF(AND($C$4="",$D$4=""),SUMIFS(COMPRAS!$O$3:$O$4997,COMPRAS!$G$3:$G$4997,A154),SUMIFS(COMPRAS!$O$3:$O$4997,COMPRAS!$G$3:$G$4997,A154,COMPRAS!$B$3:$B$4997,"&gt;="&amp;$C$4,COMPRAS!$B$3:$B$4997,"&lt;="&amp;$D$4))</f>
        <v>0</v>
      </c>
      <c r="E154" s="48" t="str">
        <f aca="false">IF(C154&gt;0,D154/IF(H154&lt;&gt;"",H154,C154),"")</f>
        <v/>
      </c>
      <c r="F154" s="54" t="n">
        <f aca="false">IF(AND($C$4="",$D$4=""),COUNTIF(COMPRAS!$G$3:$G$4997,A154),COUNTIFS(COMPRAS!$G$3:$G$4997,A154,COMPRAS!$B$3:$B$4997,"&gt;="&amp;$C$4,COMPRAS!$B$3:$B$4997,"&lt;="&amp;$D$4))</f>
        <v>0</v>
      </c>
      <c r="G154" s="55" t="str">
        <f aca="false">IF(C154&gt;0,"SI","")</f>
        <v/>
      </c>
      <c r="H154" s="47"/>
    </row>
    <row r="155" customFormat="false" ht="15" hidden="true" customHeight="true" outlineLevel="0" collapsed="false">
      <c r="A155" s="45" t="s">
        <v>314</v>
      </c>
      <c r="B155" s="46" t="s">
        <v>315</v>
      </c>
      <c r="C155" s="47" t="n">
        <f aca="false">IF(AND($C$4="",$D$4=""),SUMIFS(COMPRAS!$J$3:$J$4997,COMPRAS!$G$3:$G$4997,A155),SUMIFS(COMPRAS!$J$3:$J$4997,COMPRAS!$G$3:$G$4997,A155,COMPRAS!$B$3:$B$4997,"&gt;="&amp;$C$4,COMPRAS!$B$3:$B$4997,"&lt;="&amp;$D$4))</f>
        <v>0</v>
      </c>
      <c r="D155" s="47" t="n">
        <f aca="false">IF(AND($C$4="",$D$4=""),SUMIFS(COMPRAS!$O$3:$O$4997,COMPRAS!$G$3:$G$4997,A155),SUMIFS(COMPRAS!$O$3:$O$4997,COMPRAS!$G$3:$G$4997,A155,COMPRAS!$B$3:$B$4997,"&gt;="&amp;$C$4,COMPRAS!$B$3:$B$4997,"&lt;="&amp;$D$4))</f>
        <v>0</v>
      </c>
      <c r="E155" s="48" t="str">
        <f aca="false">IF(C155&gt;0,D155/IF(H155&lt;&gt;"",H155,C155),"")</f>
        <v/>
      </c>
      <c r="F155" s="49" t="n">
        <f aca="false">IF(AND($C$4="",$D$4=""),COUNTIF(COMPRAS!$G$3:$G$4997,A155),COUNTIFS(COMPRAS!$G$3:$G$4997,A155,COMPRAS!$B$3:$B$4997,"&gt;="&amp;$C$4,COMPRAS!$B$3:$B$4997,"&lt;="&amp;$D$4))</f>
        <v>0</v>
      </c>
      <c r="G155" s="50" t="str">
        <f aca="false">IF(C155&gt;0,"SI","")</f>
        <v/>
      </c>
      <c r="H155" s="47"/>
    </row>
    <row r="156" customFormat="false" ht="15" hidden="true" customHeight="true" outlineLevel="0" collapsed="false">
      <c r="A156" s="51" t="s">
        <v>316</v>
      </c>
      <c r="B156" s="52" t="s">
        <v>317</v>
      </c>
      <c r="C156" s="53" t="n">
        <f aca="false">IF(AND($C$4="",$D$4=""),SUMIFS(COMPRAS!$J$3:$J$4997,COMPRAS!$G$3:$G$4997,A156),SUMIFS(COMPRAS!$J$3:$J$4997,COMPRAS!$G$3:$G$4997,A156,COMPRAS!$B$3:$B$4997,"&gt;="&amp;$C$4,COMPRAS!$B$3:$B$4997,"&lt;="&amp;$D$4))</f>
        <v>0</v>
      </c>
      <c r="D156" s="53" t="n">
        <f aca="false">IF(AND($C$4="",$D$4=""),SUMIFS(COMPRAS!$O$3:$O$4997,COMPRAS!$G$3:$G$4997,A156),SUMIFS(COMPRAS!$O$3:$O$4997,COMPRAS!$G$3:$G$4997,A156,COMPRAS!$B$3:$B$4997,"&gt;="&amp;$C$4,COMPRAS!$B$3:$B$4997,"&lt;="&amp;$D$4))</f>
        <v>0</v>
      </c>
      <c r="E156" s="48" t="str">
        <f aca="false">IF(C156&gt;0,D156/IF(H156&lt;&gt;"",H156,C156),"")</f>
        <v/>
      </c>
      <c r="F156" s="54" t="n">
        <f aca="false">IF(AND($C$4="",$D$4=""),COUNTIF(COMPRAS!$G$3:$G$4997,A156),COUNTIFS(COMPRAS!$G$3:$G$4997,A156,COMPRAS!$B$3:$B$4997,"&gt;="&amp;$C$4,COMPRAS!$B$3:$B$4997,"&lt;="&amp;$D$4))</f>
        <v>0</v>
      </c>
      <c r="G156" s="55" t="str">
        <f aca="false">IF(C156&gt;0,"SI","")</f>
        <v/>
      </c>
      <c r="H156" s="47"/>
    </row>
    <row r="157" customFormat="false" ht="15" hidden="true" customHeight="true" outlineLevel="0" collapsed="false">
      <c r="A157" s="45" t="s">
        <v>318</v>
      </c>
      <c r="B157" s="46" t="s">
        <v>319</v>
      </c>
      <c r="C157" s="47" t="n">
        <f aca="false">IF(AND($C$4="",$D$4=""),SUMIFS(COMPRAS!$J$3:$J$4997,COMPRAS!$G$3:$G$4997,A157),SUMIFS(COMPRAS!$J$3:$J$4997,COMPRAS!$G$3:$G$4997,A157,COMPRAS!$B$3:$B$4997,"&gt;="&amp;$C$4,COMPRAS!$B$3:$B$4997,"&lt;="&amp;$D$4))</f>
        <v>0</v>
      </c>
      <c r="D157" s="47" t="n">
        <f aca="false">IF(AND($C$4="",$D$4=""),SUMIFS(COMPRAS!$O$3:$O$4997,COMPRAS!$G$3:$G$4997,A157),SUMIFS(COMPRAS!$O$3:$O$4997,COMPRAS!$G$3:$G$4997,A157,COMPRAS!$B$3:$B$4997,"&gt;="&amp;$C$4,COMPRAS!$B$3:$B$4997,"&lt;="&amp;$D$4))</f>
        <v>0</v>
      </c>
      <c r="E157" s="48" t="str">
        <f aca="false">IF(C157&gt;0,D157/IF(H157&lt;&gt;"",H157,C157),"")</f>
        <v/>
      </c>
      <c r="F157" s="49" t="n">
        <f aca="false">IF(AND($C$4="",$D$4=""),COUNTIF(COMPRAS!$G$3:$G$4997,A157),COUNTIFS(COMPRAS!$G$3:$G$4997,A157,COMPRAS!$B$3:$B$4997,"&gt;="&amp;$C$4,COMPRAS!$B$3:$B$4997,"&lt;="&amp;$D$4))</f>
        <v>0</v>
      </c>
      <c r="G157" s="50" t="str">
        <f aca="false">IF(C157&gt;0,"SI","")</f>
        <v/>
      </c>
      <c r="H157" s="47"/>
    </row>
    <row r="158" customFormat="false" ht="15" hidden="true" customHeight="true" outlineLevel="0" collapsed="false">
      <c r="A158" s="51" t="s">
        <v>320</v>
      </c>
      <c r="B158" s="52" t="s">
        <v>321</v>
      </c>
      <c r="C158" s="53" t="n">
        <f aca="false">IF(AND($C$4="",$D$4=""),SUMIFS(COMPRAS!$J$3:$J$4997,COMPRAS!$G$3:$G$4997,A158),SUMIFS(COMPRAS!$J$3:$J$4997,COMPRAS!$G$3:$G$4997,A158,COMPRAS!$B$3:$B$4997,"&gt;="&amp;$C$4,COMPRAS!$B$3:$B$4997,"&lt;="&amp;$D$4))</f>
        <v>0</v>
      </c>
      <c r="D158" s="53" t="n">
        <f aca="false">IF(AND($C$4="",$D$4=""),SUMIFS(COMPRAS!$O$3:$O$4997,COMPRAS!$G$3:$G$4997,A158),SUMIFS(COMPRAS!$O$3:$O$4997,COMPRAS!$G$3:$G$4997,A158,COMPRAS!$B$3:$B$4997,"&gt;="&amp;$C$4,COMPRAS!$B$3:$B$4997,"&lt;="&amp;$D$4))</f>
        <v>0</v>
      </c>
      <c r="E158" s="48" t="str">
        <f aca="false">IF(C158&gt;0,D158/IF(H158&lt;&gt;"",H158,C158),"")</f>
        <v/>
      </c>
      <c r="F158" s="54" t="n">
        <f aca="false">IF(AND($C$4="",$D$4=""),COUNTIF(COMPRAS!$G$3:$G$4997,A158),COUNTIFS(COMPRAS!$G$3:$G$4997,A158,COMPRAS!$B$3:$B$4997,"&gt;="&amp;$C$4,COMPRAS!$B$3:$B$4997,"&lt;="&amp;$D$4))</f>
        <v>0</v>
      </c>
      <c r="G158" s="55" t="str">
        <f aca="false">IF(C158&gt;0,"SI","")</f>
        <v/>
      </c>
      <c r="H158" s="47"/>
    </row>
    <row r="159" customFormat="false" ht="15" hidden="true" customHeight="true" outlineLevel="0" collapsed="false">
      <c r="A159" s="45" t="s">
        <v>322</v>
      </c>
      <c r="B159" s="46" t="s">
        <v>323</v>
      </c>
      <c r="C159" s="47" t="n">
        <f aca="false">IF(AND($C$4="",$D$4=""),SUMIFS(COMPRAS!$J$3:$J$4997,COMPRAS!$G$3:$G$4997,A159),SUMIFS(COMPRAS!$J$3:$J$4997,COMPRAS!$G$3:$G$4997,A159,COMPRAS!$B$3:$B$4997,"&gt;="&amp;$C$4,COMPRAS!$B$3:$B$4997,"&lt;="&amp;$D$4))</f>
        <v>0</v>
      </c>
      <c r="D159" s="47" t="n">
        <f aca="false">IF(AND($C$4="",$D$4=""),SUMIFS(COMPRAS!$O$3:$O$4997,COMPRAS!$G$3:$G$4997,A159),SUMIFS(COMPRAS!$O$3:$O$4997,COMPRAS!$G$3:$G$4997,A159,COMPRAS!$B$3:$B$4997,"&gt;="&amp;$C$4,COMPRAS!$B$3:$B$4997,"&lt;="&amp;$D$4))</f>
        <v>0</v>
      </c>
      <c r="E159" s="48" t="str">
        <f aca="false">IF(C159&gt;0,D159/IF(H159&lt;&gt;"",H159,C159),"")</f>
        <v/>
      </c>
      <c r="F159" s="49" t="n">
        <f aca="false">IF(AND($C$4="",$D$4=""),COUNTIF(COMPRAS!$G$3:$G$4997,A159),COUNTIFS(COMPRAS!$G$3:$G$4997,A159,COMPRAS!$B$3:$B$4997,"&gt;="&amp;$C$4,COMPRAS!$B$3:$B$4997,"&lt;="&amp;$D$4))</f>
        <v>0</v>
      </c>
      <c r="G159" s="50" t="str">
        <f aca="false">IF(C159&gt;0,"SI","")</f>
        <v/>
      </c>
      <c r="H159" s="47"/>
    </row>
    <row r="160" customFormat="false" ht="15" hidden="true" customHeight="true" outlineLevel="0" collapsed="false">
      <c r="A160" s="51" t="s">
        <v>324</v>
      </c>
      <c r="B160" s="52" t="s">
        <v>325</v>
      </c>
      <c r="C160" s="53" t="n">
        <f aca="false">IF(AND($C$4="",$D$4=""),SUMIFS(COMPRAS!$J$3:$J$4997,COMPRAS!$G$3:$G$4997,A160),SUMIFS(COMPRAS!$J$3:$J$4997,COMPRAS!$G$3:$G$4997,A160,COMPRAS!$B$3:$B$4997,"&gt;="&amp;$C$4,COMPRAS!$B$3:$B$4997,"&lt;="&amp;$D$4))</f>
        <v>0</v>
      </c>
      <c r="D160" s="53" t="n">
        <f aca="false">IF(AND($C$4="",$D$4=""),SUMIFS(COMPRAS!$O$3:$O$4997,COMPRAS!$G$3:$G$4997,A160),SUMIFS(COMPRAS!$O$3:$O$4997,COMPRAS!$G$3:$G$4997,A160,COMPRAS!$B$3:$B$4997,"&gt;="&amp;$C$4,COMPRAS!$B$3:$B$4997,"&lt;="&amp;$D$4))</f>
        <v>0</v>
      </c>
      <c r="E160" s="48" t="str">
        <f aca="false">IF(C160&gt;0,D160/IF(H160&lt;&gt;"",H160,C160),"")</f>
        <v/>
      </c>
      <c r="F160" s="54" t="n">
        <f aca="false">IF(AND($C$4="",$D$4=""),COUNTIF(COMPRAS!$G$3:$G$4997,A160),COUNTIFS(COMPRAS!$G$3:$G$4997,A160,COMPRAS!$B$3:$B$4997,"&gt;="&amp;$C$4,COMPRAS!$B$3:$B$4997,"&lt;="&amp;$D$4))</f>
        <v>0</v>
      </c>
      <c r="G160" s="55" t="str">
        <f aca="false">IF(C160&gt;0,"SI","")</f>
        <v/>
      </c>
      <c r="H160" s="47"/>
    </row>
    <row r="161" customFormat="false" ht="15" hidden="true" customHeight="true" outlineLevel="0" collapsed="false">
      <c r="A161" s="45" t="s">
        <v>326</v>
      </c>
      <c r="B161" s="46" t="s">
        <v>327</v>
      </c>
      <c r="C161" s="47" t="n">
        <f aca="false">IF(AND($C$4="",$D$4=""),SUMIFS(COMPRAS!$J$3:$J$4997,COMPRAS!$G$3:$G$4997,A161),SUMIFS(COMPRAS!$J$3:$J$4997,COMPRAS!$G$3:$G$4997,A161,COMPRAS!$B$3:$B$4997,"&gt;="&amp;$C$4,COMPRAS!$B$3:$B$4997,"&lt;="&amp;$D$4))</f>
        <v>0</v>
      </c>
      <c r="D161" s="47" t="n">
        <f aca="false">IF(AND($C$4="",$D$4=""),SUMIFS(COMPRAS!$O$3:$O$4997,COMPRAS!$G$3:$G$4997,A161),SUMIFS(COMPRAS!$O$3:$O$4997,COMPRAS!$G$3:$G$4997,A161,COMPRAS!$B$3:$B$4997,"&gt;="&amp;$C$4,COMPRAS!$B$3:$B$4997,"&lt;="&amp;$D$4))</f>
        <v>0</v>
      </c>
      <c r="E161" s="48" t="str">
        <f aca="false">IF(C161&gt;0,D161/IF(H161&lt;&gt;"",H161,C161),"")</f>
        <v/>
      </c>
      <c r="F161" s="49" t="n">
        <f aca="false">IF(AND($C$4="",$D$4=""),COUNTIF(COMPRAS!$G$3:$G$4997,A161),COUNTIFS(COMPRAS!$G$3:$G$4997,A161,COMPRAS!$B$3:$B$4997,"&gt;="&amp;$C$4,COMPRAS!$B$3:$B$4997,"&lt;="&amp;$D$4))</f>
        <v>0</v>
      </c>
      <c r="G161" s="50" t="str">
        <f aca="false">IF(C161&gt;0,"SI","")</f>
        <v/>
      </c>
      <c r="H161" s="47"/>
    </row>
    <row r="162" customFormat="false" ht="15" hidden="true" customHeight="true" outlineLevel="0" collapsed="false">
      <c r="A162" s="51" t="s">
        <v>328</v>
      </c>
      <c r="B162" s="52" t="s">
        <v>329</v>
      </c>
      <c r="C162" s="53" t="n">
        <f aca="false">IF(AND($C$4="",$D$4=""),SUMIFS(COMPRAS!$J$3:$J$4997,COMPRAS!$G$3:$G$4997,A162),SUMIFS(COMPRAS!$J$3:$J$4997,COMPRAS!$G$3:$G$4997,A162,COMPRAS!$B$3:$B$4997,"&gt;="&amp;$C$4,COMPRAS!$B$3:$B$4997,"&lt;="&amp;$D$4))</f>
        <v>0</v>
      </c>
      <c r="D162" s="53" t="n">
        <f aca="false">IF(AND($C$4="",$D$4=""),SUMIFS(COMPRAS!$O$3:$O$4997,COMPRAS!$G$3:$G$4997,A162),SUMIFS(COMPRAS!$O$3:$O$4997,COMPRAS!$G$3:$G$4997,A162,COMPRAS!$B$3:$B$4997,"&gt;="&amp;$C$4,COMPRAS!$B$3:$B$4997,"&lt;="&amp;$D$4))</f>
        <v>0</v>
      </c>
      <c r="E162" s="48" t="str">
        <f aca="false">IF(C162&gt;0,D162/IF(H162&lt;&gt;"",H162,C162),"")</f>
        <v/>
      </c>
      <c r="F162" s="54" t="n">
        <f aca="false">IF(AND($C$4="",$D$4=""),COUNTIF(COMPRAS!$G$3:$G$4997,A162),COUNTIFS(COMPRAS!$G$3:$G$4997,A162,COMPRAS!$B$3:$B$4997,"&gt;="&amp;$C$4,COMPRAS!$B$3:$B$4997,"&lt;="&amp;$D$4))</f>
        <v>0</v>
      </c>
      <c r="G162" s="55" t="str">
        <f aca="false">IF(C162&gt;0,"SI","")</f>
        <v/>
      </c>
      <c r="H162" s="47"/>
    </row>
    <row r="163" customFormat="false" ht="15" hidden="true" customHeight="true" outlineLevel="0" collapsed="false">
      <c r="A163" s="45" t="s">
        <v>330</v>
      </c>
      <c r="B163" s="46" t="s">
        <v>331</v>
      </c>
      <c r="C163" s="47" t="n">
        <f aca="false">IF(AND($C$4="",$D$4=""),SUMIFS(COMPRAS!$J$3:$J$4997,COMPRAS!$G$3:$G$4997,A163),SUMIFS(COMPRAS!$J$3:$J$4997,COMPRAS!$G$3:$G$4997,A163,COMPRAS!$B$3:$B$4997,"&gt;="&amp;$C$4,COMPRAS!$B$3:$B$4997,"&lt;="&amp;$D$4))</f>
        <v>0</v>
      </c>
      <c r="D163" s="47" t="n">
        <f aca="false">IF(AND($C$4="",$D$4=""),SUMIFS(COMPRAS!$O$3:$O$4997,COMPRAS!$G$3:$G$4997,A163),SUMIFS(COMPRAS!$O$3:$O$4997,COMPRAS!$G$3:$G$4997,A163,COMPRAS!$B$3:$B$4997,"&gt;="&amp;$C$4,COMPRAS!$B$3:$B$4997,"&lt;="&amp;$D$4))</f>
        <v>0</v>
      </c>
      <c r="E163" s="48" t="str">
        <f aca="false">IF(C163&gt;0,D163/IF(H163&lt;&gt;"",H163,C163),"")</f>
        <v/>
      </c>
      <c r="F163" s="49" t="n">
        <f aca="false">IF(AND($C$4="",$D$4=""),COUNTIF(COMPRAS!$G$3:$G$4997,A163),COUNTIFS(COMPRAS!$G$3:$G$4997,A163,COMPRAS!$B$3:$B$4997,"&gt;="&amp;$C$4,COMPRAS!$B$3:$B$4997,"&lt;="&amp;$D$4))</f>
        <v>0</v>
      </c>
      <c r="G163" s="50" t="str">
        <f aca="false">IF(C163&gt;0,"SI","")</f>
        <v/>
      </c>
      <c r="H163" s="47"/>
    </row>
    <row r="164" customFormat="false" ht="15" hidden="false" customHeight="true" outlineLevel="0" collapsed="false">
      <c r="A164" s="51" t="s">
        <v>332</v>
      </c>
      <c r="B164" s="52" t="s">
        <v>333</v>
      </c>
      <c r="C164" s="57" t="n">
        <f aca="false">IF(AND($C$4="",$D$4=""),SUMIFS(COMPRAS!$J$3:$J$4997,COMPRAS!$G$3:$G$4997,A164),SUMIFS(COMPRAS!$J$3:$J$4997,COMPRAS!$G$3:$G$4997,A164,COMPRAS!$B$3:$B$4997,"&gt;="&amp;$C$4,COMPRAS!$B$3:$B$4997,"&lt;="&amp;$D$4))</f>
        <v>114.5</v>
      </c>
      <c r="D164" s="53" t="n">
        <f aca="false">IF(AND($C$4="",$D$4=""),SUMIFS(COMPRAS!$O$3:$O$4997,COMPRAS!$G$3:$G$4997,A164),SUMIFS(COMPRAS!$O$3:$O$4997,COMPRAS!$G$3:$G$4997,A164,COMPRAS!$B$3:$B$4997,"&gt;="&amp;$C$4,COMPRAS!$B$3:$B$4997,"&lt;="&amp;$D$4))</f>
        <v>81.09</v>
      </c>
      <c r="E164" s="48" t="n">
        <f aca="false">IF(C164&gt;0,D164/IF(H164&lt;&gt;"",H164,C164),"")</f>
        <v>0.7082096069869</v>
      </c>
      <c r="F164" s="54" t="n">
        <f aca="false">IF(AND($C$4="",$D$4=""),COUNTIF(COMPRAS!$G$3:$G$4997,A164),COUNTIFS(COMPRAS!$G$3:$G$4997,A164,COMPRAS!$B$3:$B$4997,"&gt;="&amp;$C$4,COMPRAS!$B$3:$B$4997,"&lt;="&amp;$D$4))</f>
        <v>4</v>
      </c>
      <c r="G164" s="55" t="str">
        <f aca="false">IF(C164&gt;0,"SI","")</f>
        <v>SI</v>
      </c>
      <c r="H164" s="47"/>
    </row>
    <row r="165" customFormat="false" ht="15" hidden="true" customHeight="true" outlineLevel="0" collapsed="false">
      <c r="A165" s="45" t="s">
        <v>334</v>
      </c>
      <c r="B165" s="46" t="s">
        <v>335</v>
      </c>
      <c r="C165" s="47" t="n">
        <f aca="false">IF(AND($C$4="",$D$4=""),SUMIFS(COMPRAS!$J$3:$J$4997,COMPRAS!$G$3:$G$4997,A165),SUMIFS(COMPRAS!$J$3:$J$4997,COMPRAS!$G$3:$G$4997,A165,COMPRAS!$B$3:$B$4997,"&gt;="&amp;$C$4,COMPRAS!$B$3:$B$4997,"&lt;="&amp;$D$4))</f>
        <v>0</v>
      </c>
      <c r="D165" s="47" t="n">
        <f aca="false">IF(AND($C$4="",$D$4=""),SUMIFS(COMPRAS!$O$3:$O$4997,COMPRAS!$G$3:$G$4997,A165),SUMIFS(COMPRAS!$O$3:$O$4997,COMPRAS!$G$3:$G$4997,A165,COMPRAS!$B$3:$B$4997,"&gt;="&amp;$C$4,COMPRAS!$B$3:$B$4997,"&lt;="&amp;$D$4))</f>
        <v>0</v>
      </c>
      <c r="E165" s="48" t="str">
        <f aca="false">IF(C165&gt;0,D165/IF(H165&lt;&gt;"",H165,C165),"")</f>
        <v/>
      </c>
      <c r="F165" s="49" t="n">
        <f aca="false">IF(AND($C$4="",$D$4=""),COUNTIF(COMPRAS!$G$3:$G$4997,A165),COUNTIFS(COMPRAS!$G$3:$G$4997,A165,COMPRAS!$B$3:$B$4997,"&gt;="&amp;$C$4,COMPRAS!$B$3:$B$4997,"&lt;="&amp;$D$4))</f>
        <v>0</v>
      </c>
      <c r="G165" s="50" t="str">
        <f aca="false">IF(C165&gt;0,"SI","")</f>
        <v/>
      </c>
      <c r="H165" s="47"/>
    </row>
    <row r="166" customFormat="false" ht="15" hidden="true" customHeight="true" outlineLevel="0" collapsed="false">
      <c r="A166" s="51" t="s">
        <v>336</v>
      </c>
      <c r="B166" s="52" t="s">
        <v>337</v>
      </c>
      <c r="C166" s="53" t="n">
        <f aca="false">IF(AND($C$4="",$D$4=""),SUMIFS(COMPRAS!$J$3:$J$4997,COMPRAS!$G$3:$G$4997,A166),SUMIFS(COMPRAS!$J$3:$J$4997,COMPRAS!$G$3:$G$4997,A166,COMPRAS!$B$3:$B$4997,"&gt;="&amp;$C$4,COMPRAS!$B$3:$B$4997,"&lt;="&amp;$D$4))</f>
        <v>0</v>
      </c>
      <c r="D166" s="53" t="n">
        <f aca="false">IF(AND($C$4="",$D$4=""),SUMIFS(COMPRAS!$O$3:$O$4997,COMPRAS!$G$3:$G$4997,A166),SUMIFS(COMPRAS!$O$3:$O$4997,COMPRAS!$G$3:$G$4997,A166,COMPRAS!$B$3:$B$4997,"&gt;="&amp;$C$4,COMPRAS!$B$3:$B$4997,"&lt;="&amp;$D$4))</f>
        <v>0</v>
      </c>
      <c r="E166" s="48" t="str">
        <f aca="false">IF(C166&gt;0,D166/IF(H166&lt;&gt;"",H166,C166),"")</f>
        <v/>
      </c>
      <c r="F166" s="54" t="n">
        <f aca="false">IF(AND($C$4="",$D$4=""),COUNTIF(COMPRAS!$G$3:$G$4997,A166),COUNTIFS(COMPRAS!$G$3:$G$4997,A166,COMPRAS!$B$3:$B$4997,"&gt;="&amp;$C$4,COMPRAS!$B$3:$B$4997,"&lt;="&amp;$D$4))</f>
        <v>0</v>
      </c>
      <c r="G166" s="55" t="str">
        <f aca="false">IF(C166&gt;0,"SI","")</f>
        <v/>
      </c>
      <c r="H166" s="47"/>
    </row>
    <row r="167" customFormat="false" ht="15" hidden="false" customHeight="true" outlineLevel="0" collapsed="false">
      <c r="A167" s="45" t="s">
        <v>338</v>
      </c>
      <c r="B167" s="46" t="s">
        <v>339</v>
      </c>
      <c r="C167" s="47" t="n">
        <f aca="false">IF(AND($C$4="",$D$4=""),SUMIFS(COMPRAS!$J$3:$J$4997,COMPRAS!$G$3:$G$4997,A167),SUMIFS(COMPRAS!$J$3:$J$4997,COMPRAS!$G$3:$G$4997,A167,COMPRAS!$B$3:$B$4997,"&gt;="&amp;$C$4,COMPRAS!$B$3:$B$4997,"&lt;="&amp;$D$4))</f>
        <v>12.75</v>
      </c>
      <c r="D167" s="47" t="n">
        <f aca="false">IF(AND($C$4="",$D$4=""),SUMIFS(COMPRAS!$O$3:$O$4997,COMPRAS!$G$3:$G$4997,A167),SUMIFS(COMPRAS!$O$3:$O$4997,COMPRAS!$G$3:$G$4997,A167,COMPRAS!$B$3:$B$4997,"&gt;="&amp;$C$4,COMPRAS!$B$3:$B$4997,"&lt;="&amp;$D$4))</f>
        <v>91.035</v>
      </c>
      <c r="E167" s="48" t="n">
        <f aca="false">IF(C167&gt;0,D167/IF(H167&lt;&gt;"",H167,C167),"")</f>
        <v>7.14</v>
      </c>
      <c r="F167" s="49" t="n">
        <f aca="false">IF(AND($C$4="",$D$4=""),COUNTIF(COMPRAS!$G$3:$G$4997,A167),COUNTIFS(COMPRAS!$G$3:$G$4997,A167,COMPRAS!$B$3:$B$4997,"&gt;="&amp;$C$4,COMPRAS!$B$3:$B$4997,"&lt;="&amp;$D$4))</f>
        <v>1</v>
      </c>
      <c r="G167" s="50" t="str">
        <f aca="false">IF(C167&gt;0,"SI","")</f>
        <v>SI</v>
      </c>
      <c r="H167" s="47"/>
    </row>
    <row r="168" customFormat="false" ht="15" hidden="true" customHeight="true" outlineLevel="0" collapsed="false">
      <c r="A168" s="59"/>
      <c r="B168" s="60"/>
      <c r="C168" s="61"/>
      <c r="D168" s="60"/>
      <c r="E168" s="61"/>
      <c r="F168" s="62"/>
      <c r="G168" s="62"/>
    </row>
    <row r="169" customFormat="false" ht="15" hidden="false" customHeight="true" outlineLevel="0" collapsed="false">
      <c r="A169" s="59"/>
      <c r="B169" s="60"/>
      <c r="C169" s="61"/>
      <c r="D169" s="60"/>
      <c r="E169" s="61"/>
      <c r="F169" s="62"/>
      <c r="G169" s="62"/>
    </row>
    <row r="170" customFormat="false" ht="15" hidden="false" customHeight="true" outlineLevel="0" collapsed="false">
      <c r="A170" s="59"/>
      <c r="B170" s="60"/>
      <c r="C170" s="61"/>
      <c r="D170" s="60"/>
      <c r="E170" s="61"/>
      <c r="F170" s="62"/>
      <c r="G170" s="62"/>
    </row>
    <row r="171" customFormat="false" ht="15" hidden="false" customHeight="true" outlineLevel="0" collapsed="false">
      <c r="A171" s="59"/>
      <c r="B171" s="60"/>
      <c r="C171" s="61"/>
      <c r="D171" s="60"/>
      <c r="E171" s="61"/>
      <c r="F171" s="62"/>
      <c r="G171" s="62"/>
    </row>
    <row r="172" customFormat="false" ht="15" hidden="false" customHeight="true" outlineLevel="0" collapsed="false">
      <c r="A172" s="59"/>
      <c r="B172" s="60"/>
      <c r="C172" s="61"/>
      <c r="D172" s="60"/>
      <c r="E172" s="61"/>
      <c r="F172" s="62"/>
      <c r="G172" s="62"/>
    </row>
    <row r="173" customFormat="false" ht="15" hidden="false" customHeight="true" outlineLevel="0" collapsed="false">
      <c r="A173" s="59"/>
      <c r="B173" s="60"/>
      <c r="C173" s="61"/>
      <c r="D173" s="60"/>
      <c r="E173" s="61"/>
      <c r="F173" s="62"/>
      <c r="G173" s="62"/>
    </row>
    <row r="174" customFormat="false" ht="15" hidden="false" customHeight="true" outlineLevel="0" collapsed="false">
      <c r="A174" s="59"/>
      <c r="B174" s="60"/>
      <c r="C174" s="61"/>
      <c r="D174" s="60"/>
      <c r="E174" s="61"/>
      <c r="F174" s="62"/>
      <c r="G174" s="62"/>
    </row>
    <row r="175" customFormat="false" ht="15" hidden="false" customHeight="true" outlineLevel="0" collapsed="false">
      <c r="A175" s="59"/>
      <c r="B175" s="60"/>
      <c r="C175" s="61"/>
      <c r="D175" s="60"/>
      <c r="E175" s="61"/>
      <c r="F175" s="62"/>
      <c r="G175" s="62"/>
    </row>
    <row r="176" customFormat="false" ht="15" hidden="false" customHeight="true" outlineLevel="0" collapsed="false">
      <c r="A176" s="59"/>
      <c r="B176" s="60"/>
      <c r="C176" s="61"/>
      <c r="D176" s="60"/>
      <c r="E176" s="61"/>
      <c r="F176" s="62"/>
      <c r="G176" s="62"/>
    </row>
    <row r="177" customFormat="false" ht="15" hidden="false" customHeight="true" outlineLevel="0" collapsed="false">
      <c r="A177" s="59"/>
      <c r="B177" s="60"/>
      <c r="C177" s="61"/>
      <c r="D177" s="60"/>
      <c r="E177" s="61"/>
      <c r="F177" s="62"/>
      <c r="G177" s="62"/>
    </row>
    <row r="178" customFormat="false" ht="15" hidden="false" customHeight="true" outlineLevel="0" collapsed="false">
      <c r="A178" s="59"/>
      <c r="B178" s="60"/>
      <c r="C178" s="61"/>
      <c r="D178" s="60"/>
      <c r="E178" s="61"/>
      <c r="F178" s="62"/>
      <c r="G178" s="62"/>
    </row>
    <row r="179" customFormat="false" ht="15" hidden="false" customHeight="true" outlineLevel="0" collapsed="false">
      <c r="A179" s="59"/>
      <c r="B179" s="60"/>
      <c r="C179" s="61"/>
      <c r="D179" s="60"/>
      <c r="E179" s="61"/>
      <c r="F179" s="62"/>
      <c r="G179" s="62"/>
    </row>
    <row r="180" customFormat="false" ht="15" hidden="false" customHeight="true" outlineLevel="0" collapsed="false">
      <c r="A180" s="59"/>
      <c r="B180" s="60"/>
      <c r="C180" s="61"/>
      <c r="D180" s="60"/>
      <c r="E180" s="61"/>
      <c r="F180" s="62"/>
      <c r="G180" s="62"/>
    </row>
    <row r="181" customFormat="false" ht="15" hidden="false" customHeight="true" outlineLevel="0" collapsed="false">
      <c r="A181" s="59"/>
      <c r="B181" s="60"/>
      <c r="C181" s="61"/>
      <c r="D181" s="60"/>
      <c r="E181" s="61"/>
      <c r="F181" s="62"/>
      <c r="G181" s="62"/>
    </row>
    <row r="182" customFormat="false" ht="15" hidden="false" customHeight="true" outlineLevel="0" collapsed="false">
      <c r="A182" s="59"/>
      <c r="B182" s="60"/>
      <c r="C182" s="61"/>
      <c r="D182" s="60"/>
      <c r="E182" s="61"/>
      <c r="F182" s="62"/>
      <c r="G182" s="62"/>
    </row>
    <row r="183" customFormat="false" ht="15" hidden="false" customHeight="true" outlineLevel="0" collapsed="false">
      <c r="A183" s="59"/>
      <c r="B183" s="60"/>
      <c r="C183" s="61"/>
      <c r="D183" s="60"/>
      <c r="E183" s="61"/>
      <c r="F183" s="62"/>
      <c r="G183" s="62"/>
    </row>
    <row r="184" customFormat="false" ht="15" hidden="false" customHeight="true" outlineLevel="0" collapsed="false">
      <c r="A184" s="59"/>
      <c r="B184" s="60"/>
      <c r="C184" s="61"/>
      <c r="D184" s="60"/>
      <c r="E184" s="61"/>
      <c r="F184" s="62"/>
      <c r="G184" s="62"/>
    </row>
    <row r="185" customFormat="false" ht="15" hidden="false" customHeight="true" outlineLevel="0" collapsed="false">
      <c r="A185" s="59"/>
      <c r="B185" s="60"/>
      <c r="C185" s="61"/>
      <c r="D185" s="60"/>
      <c r="E185" s="61"/>
      <c r="F185" s="62"/>
      <c r="G185" s="62"/>
    </row>
    <row r="186" customFormat="false" ht="15" hidden="false" customHeight="true" outlineLevel="0" collapsed="false">
      <c r="A186" s="59"/>
      <c r="B186" s="60"/>
      <c r="C186" s="61"/>
      <c r="D186" s="60"/>
      <c r="E186" s="61"/>
      <c r="F186" s="62"/>
      <c r="G186" s="62"/>
    </row>
    <row r="187" customFormat="false" ht="15" hidden="false" customHeight="true" outlineLevel="0" collapsed="false">
      <c r="A187" s="59"/>
      <c r="B187" s="60"/>
      <c r="C187" s="61"/>
      <c r="D187" s="60"/>
      <c r="E187" s="61"/>
      <c r="F187" s="62"/>
      <c r="G187" s="62"/>
    </row>
    <row r="188" customFormat="false" ht="15" hidden="false" customHeight="true" outlineLevel="0" collapsed="false">
      <c r="A188" s="59"/>
      <c r="B188" s="60"/>
      <c r="C188" s="61"/>
      <c r="D188" s="60"/>
      <c r="E188" s="61"/>
      <c r="F188" s="62"/>
      <c r="G188" s="62"/>
    </row>
    <row r="189" customFormat="false" ht="15" hidden="false" customHeight="true" outlineLevel="0" collapsed="false">
      <c r="A189" s="59"/>
      <c r="B189" s="60"/>
      <c r="C189" s="61"/>
      <c r="D189" s="60"/>
      <c r="E189" s="61"/>
      <c r="F189" s="62"/>
      <c r="G189" s="62"/>
    </row>
    <row r="190" customFormat="false" ht="15" hidden="false" customHeight="true" outlineLevel="0" collapsed="false">
      <c r="A190" s="59"/>
      <c r="B190" s="60"/>
      <c r="C190" s="61"/>
      <c r="D190" s="60"/>
      <c r="E190" s="61"/>
      <c r="F190" s="62"/>
      <c r="G190" s="62"/>
    </row>
    <row r="191" customFormat="false" ht="15" hidden="false" customHeight="true" outlineLevel="0" collapsed="false">
      <c r="A191" s="59"/>
      <c r="B191" s="60"/>
      <c r="C191" s="61"/>
      <c r="D191" s="60"/>
      <c r="E191" s="61"/>
      <c r="F191" s="62"/>
      <c r="G191" s="62"/>
    </row>
    <row r="192" customFormat="false" ht="15" hidden="false" customHeight="true" outlineLevel="0" collapsed="false">
      <c r="A192" s="59"/>
      <c r="B192" s="60"/>
      <c r="C192" s="61"/>
      <c r="D192" s="60"/>
      <c r="E192" s="61"/>
      <c r="F192" s="62"/>
      <c r="G192" s="62"/>
    </row>
    <row r="193" customFormat="false" ht="15" hidden="false" customHeight="true" outlineLevel="0" collapsed="false">
      <c r="A193" s="59"/>
      <c r="B193" s="60"/>
      <c r="C193" s="61"/>
      <c r="D193" s="60"/>
      <c r="E193" s="61"/>
      <c r="F193" s="62"/>
      <c r="G193" s="62"/>
    </row>
    <row r="194" customFormat="false" ht="15" hidden="false" customHeight="true" outlineLevel="0" collapsed="false">
      <c r="A194" s="59"/>
      <c r="B194" s="60"/>
      <c r="C194" s="61"/>
      <c r="D194" s="60"/>
      <c r="E194" s="61"/>
      <c r="F194" s="62"/>
      <c r="G194" s="62"/>
    </row>
    <row r="195" customFormat="false" ht="15" hidden="false" customHeight="true" outlineLevel="0" collapsed="false">
      <c r="A195" s="59"/>
      <c r="B195" s="60"/>
      <c r="C195" s="61"/>
      <c r="D195" s="60"/>
      <c r="E195" s="61"/>
      <c r="F195" s="62"/>
      <c r="G195" s="62"/>
    </row>
    <row r="196" customFormat="false" ht="15" hidden="false" customHeight="true" outlineLevel="0" collapsed="false">
      <c r="A196" s="59"/>
      <c r="B196" s="60"/>
      <c r="C196" s="61"/>
      <c r="D196" s="60"/>
      <c r="E196" s="61"/>
      <c r="F196" s="62"/>
      <c r="G196" s="62"/>
    </row>
    <row r="197" customFormat="false" ht="15" hidden="false" customHeight="true" outlineLevel="0" collapsed="false">
      <c r="A197" s="59"/>
      <c r="B197" s="60"/>
      <c r="C197" s="61"/>
      <c r="D197" s="60"/>
      <c r="E197" s="61"/>
      <c r="F197" s="62"/>
      <c r="G197" s="62"/>
    </row>
    <row r="198" customFormat="false" ht="15" hidden="false" customHeight="true" outlineLevel="0" collapsed="false">
      <c r="A198" s="59"/>
      <c r="B198" s="60"/>
      <c r="C198" s="61"/>
      <c r="D198" s="60"/>
      <c r="E198" s="61"/>
      <c r="F198" s="62"/>
      <c r="G198" s="62"/>
    </row>
    <row r="199" customFormat="false" ht="15" hidden="false" customHeight="true" outlineLevel="0" collapsed="false">
      <c r="A199" s="59"/>
      <c r="B199" s="60"/>
      <c r="C199" s="61"/>
      <c r="D199" s="60"/>
      <c r="E199" s="61"/>
      <c r="F199" s="62"/>
      <c r="G199" s="62"/>
    </row>
    <row r="200" customFormat="false" ht="15" hidden="false" customHeight="true" outlineLevel="0" collapsed="false">
      <c r="A200" s="59"/>
      <c r="B200" s="60"/>
      <c r="C200" s="61"/>
      <c r="D200" s="60"/>
      <c r="E200" s="61"/>
      <c r="F200" s="62"/>
      <c r="G200" s="62"/>
    </row>
    <row r="201" customFormat="false" ht="15" hidden="false" customHeight="true" outlineLevel="0" collapsed="false">
      <c r="A201" s="59"/>
      <c r="B201" s="60"/>
      <c r="C201" s="61"/>
      <c r="D201" s="60"/>
      <c r="E201" s="61"/>
      <c r="F201" s="62"/>
      <c r="G201" s="62"/>
    </row>
    <row r="202" customFormat="false" ht="15" hidden="false" customHeight="true" outlineLevel="0" collapsed="false">
      <c r="A202" s="59"/>
      <c r="B202" s="60"/>
      <c r="C202" s="61"/>
      <c r="D202" s="60"/>
      <c r="E202" s="61"/>
      <c r="F202" s="62"/>
      <c r="G202" s="62"/>
    </row>
    <row r="203" customFormat="false" ht="15" hidden="false" customHeight="true" outlineLevel="0" collapsed="false">
      <c r="A203" s="59"/>
      <c r="B203" s="60"/>
      <c r="C203" s="61"/>
      <c r="D203" s="60"/>
      <c r="E203" s="61"/>
      <c r="F203" s="62"/>
      <c r="G203" s="62"/>
    </row>
    <row r="204" customFormat="false" ht="15" hidden="false" customHeight="true" outlineLevel="0" collapsed="false">
      <c r="A204" s="59"/>
      <c r="B204" s="60"/>
      <c r="C204" s="61"/>
      <c r="D204" s="60"/>
      <c r="E204" s="61"/>
      <c r="F204" s="62"/>
      <c r="G204" s="62"/>
    </row>
    <row r="205" customFormat="false" ht="15" hidden="false" customHeight="true" outlineLevel="0" collapsed="false">
      <c r="A205" s="59"/>
      <c r="B205" s="60"/>
      <c r="C205" s="61"/>
      <c r="D205" s="60"/>
      <c r="E205" s="61"/>
      <c r="F205" s="62"/>
      <c r="G205" s="62"/>
    </row>
    <row r="206" customFormat="false" ht="15" hidden="false" customHeight="true" outlineLevel="0" collapsed="false">
      <c r="A206" s="59"/>
      <c r="B206" s="60"/>
      <c r="C206" s="61"/>
      <c r="D206" s="60"/>
      <c r="E206" s="61"/>
      <c r="F206" s="62"/>
      <c r="G206" s="62"/>
    </row>
    <row r="207" customFormat="false" ht="15" hidden="false" customHeight="true" outlineLevel="0" collapsed="false">
      <c r="A207" s="59"/>
      <c r="B207" s="60"/>
      <c r="C207" s="61"/>
      <c r="D207" s="60"/>
      <c r="E207" s="61"/>
      <c r="F207" s="62"/>
      <c r="G207" s="62"/>
    </row>
    <row r="208" customFormat="false" ht="15" hidden="false" customHeight="true" outlineLevel="0" collapsed="false">
      <c r="A208" s="59"/>
      <c r="B208" s="60"/>
      <c r="C208" s="61"/>
      <c r="D208" s="60"/>
      <c r="E208" s="61"/>
      <c r="F208" s="62"/>
      <c r="G208" s="62"/>
    </row>
    <row r="209" customFormat="false" ht="15" hidden="false" customHeight="true" outlineLevel="0" collapsed="false">
      <c r="A209" s="59"/>
      <c r="B209" s="60"/>
      <c r="C209" s="61"/>
      <c r="D209" s="60"/>
      <c r="E209" s="61"/>
      <c r="F209" s="62"/>
      <c r="G209" s="62"/>
    </row>
    <row r="210" customFormat="false" ht="15" hidden="false" customHeight="true" outlineLevel="0" collapsed="false">
      <c r="A210" s="59"/>
      <c r="B210" s="60"/>
      <c r="C210" s="61"/>
      <c r="D210" s="60"/>
      <c r="E210" s="61"/>
      <c r="F210" s="62"/>
      <c r="G210" s="62"/>
    </row>
    <row r="211" customFormat="false" ht="15" hidden="false" customHeight="true" outlineLevel="0" collapsed="false">
      <c r="A211" s="59"/>
      <c r="B211" s="60"/>
      <c r="C211" s="61"/>
      <c r="D211" s="60"/>
      <c r="E211" s="61"/>
      <c r="F211" s="62"/>
      <c r="G211" s="62"/>
    </row>
    <row r="212" customFormat="false" ht="15" hidden="false" customHeight="true" outlineLevel="0" collapsed="false">
      <c r="A212" s="59"/>
      <c r="B212" s="60"/>
      <c r="C212" s="61"/>
      <c r="D212" s="60"/>
      <c r="E212" s="61"/>
      <c r="F212" s="62"/>
      <c r="G212" s="62"/>
    </row>
    <row r="213" customFormat="false" ht="15" hidden="false" customHeight="true" outlineLevel="0" collapsed="false">
      <c r="A213" s="59"/>
      <c r="B213" s="60"/>
      <c r="C213" s="61"/>
      <c r="D213" s="60"/>
      <c r="E213" s="61"/>
      <c r="F213" s="62"/>
      <c r="G213" s="62"/>
    </row>
    <row r="214" customFormat="false" ht="15" hidden="false" customHeight="true" outlineLevel="0" collapsed="false">
      <c r="A214" s="59"/>
      <c r="B214" s="60"/>
      <c r="C214" s="61"/>
      <c r="D214" s="60"/>
      <c r="E214" s="61"/>
      <c r="F214" s="62"/>
      <c r="G214" s="62"/>
    </row>
    <row r="215" customFormat="false" ht="15" hidden="false" customHeight="true" outlineLevel="0" collapsed="false">
      <c r="A215" s="59"/>
      <c r="B215" s="60"/>
      <c r="C215" s="61"/>
      <c r="D215" s="60"/>
      <c r="E215" s="61"/>
      <c r="F215" s="62"/>
      <c r="G215" s="62"/>
    </row>
    <row r="216" customFormat="false" ht="15" hidden="false" customHeight="true" outlineLevel="0" collapsed="false">
      <c r="A216" s="59"/>
      <c r="B216" s="60"/>
      <c r="C216" s="61"/>
      <c r="D216" s="60"/>
      <c r="E216" s="61"/>
      <c r="F216" s="62"/>
      <c r="G216" s="62"/>
    </row>
    <row r="217" customFormat="false" ht="15" hidden="false" customHeight="true" outlineLevel="0" collapsed="false">
      <c r="A217" s="59"/>
      <c r="B217" s="60"/>
      <c r="C217" s="61"/>
      <c r="D217" s="60"/>
      <c r="E217" s="61"/>
      <c r="F217" s="62"/>
      <c r="G217" s="62"/>
    </row>
    <row r="218" customFormat="false" ht="15" hidden="false" customHeight="true" outlineLevel="0" collapsed="false">
      <c r="A218" s="59"/>
      <c r="B218" s="60"/>
      <c r="C218" s="61"/>
      <c r="D218" s="60"/>
      <c r="E218" s="61"/>
      <c r="F218" s="62"/>
      <c r="G218" s="62"/>
    </row>
    <row r="219" customFormat="false" ht="15" hidden="false" customHeight="true" outlineLevel="0" collapsed="false">
      <c r="A219" s="59"/>
      <c r="B219" s="60"/>
      <c r="C219" s="61"/>
      <c r="D219" s="60"/>
      <c r="E219" s="61"/>
      <c r="F219" s="62"/>
      <c r="G219" s="62"/>
    </row>
    <row r="220" customFormat="false" ht="15" hidden="false" customHeight="true" outlineLevel="0" collapsed="false">
      <c r="A220" s="59"/>
      <c r="B220" s="60"/>
      <c r="C220" s="61"/>
      <c r="D220" s="60"/>
      <c r="E220" s="61"/>
      <c r="F220" s="62"/>
      <c r="G220" s="62"/>
    </row>
    <row r="221" customFormat="false" ht="15" hidden="false" customHeight="true" outlineLevel="0" collapsed="false">
      <c r="A221" s="59"/>
      <c r="B221" s="60"/>
      <c r="C221" s="61"/>
      <c r="D221" s="60"/>
      <c r="E221" s="61"/>
      <c r="F221" s="62"/>
      <c r="G221" s="62"/>
    </row>
    <row r="222" customFormat="false" ht="15" hidden="false" customHeight="true" outlineLevel="0" collapsed="false">
      <c r="A222" s="59"/>
      <c r="B222" s="60"/>
      <c r="C222" s="61"/>
      <c r="D222" s="60"/>
      <c r="E222" s="61"/>
      <c r="F222" s="62"/>
      <c r="G222" s="62"/>
    </row>
    <row r="223" customFormat="false" ht="15" hidden="false" customHeight="true" outlineLevel="0" collapsed="false">
      <c r="A223" s="59"/>
      <c r="B223" s="60"/>
      <c r="C223" s="61"/>
      <c r="D223" s="60"/>
      <c r="E223" s="61"/>
      <c r="F223" s="62"/>
      <c r="G223" s="62"/>
    </row>
    <row r="224" customFormat="false" ht="15" hidden="false" customHeight="true" outlineLevel="0" collapsed="false">
      <c r="A224" s="59"/>
      <c r="B224" s="60"/>
      <c r="C224" s="61"/>
      <c r="D224" s="60"/>
      <c r="E224" s="61"/>
      <c r="F224" s="62"/>
      <c r="G224" s="62"/>
    </row>
    <row r="225" customFormat="false" ht="15" hidden="false" customHeight="true" outlineLevel="0" collapsed="false">
      <c r="A225" s="59"/>
      <c r="B225" s="60"/>
      <c r="C225" s="61"/>
      <c r="D225" s="60"/>
      <c r="E225" s="61"/>
      <c r="F225" s="62"/>
      <c r="G225" s="62"/>
    </row>
    <row r="226" customFormat="false" ht="15" hidden="false" customHeight="true" outlineLevel="0" collapsed="false">
      <c r="A226" s="59"/>
      <c r="B226" s="60"/>
      <c r="C226" s="61"/>
      <c r="D226" s="60"/>
      <c r="E226" s="61"/>
      <c r="F226" s="62"/>
      <c r="G226" s="62"/>
    </row>
    <row r="227" customFormat="false" ht="15" hidden="false" customHeight="true" outlineLevel="0" collapsed="false">
      <c r="A227" s="59"/>
      <c r="B227" s="60"/>
      <c r="C227" s="61"/>
      <c r="D227" s="60"/>
      <c r="E227" s="61"/>
      <c r="F227" s="62"/>
      <c r="G227" s="62"/>
    </row>
    <row r="228" customFormat="false" ht="15" hidden="false" customHeight="true" outlineLevel="0" collapsed="false">
      <c r="A228" s="59"/>
      <c r="B228" s="60"/>
      <c r="C228" s="61"/>
      <c r="D228" s="60"/>
      <c r="E228" s="61"/>
      <c r="F228" s="62"/>
      <c r="G228" s="62"/>
    </row>
    <row r="229" customFormat="false" ht="15" hidden="false" customHeight="true" outlineLevel="0" collapsed="false">
      <c r="A229" s="59"/>
      <c r="B229" s="60"/>
      <c r="C229" s="61"/>
      <c r="D229" s="60"/>
      <c r="E229" s="61"/>
      <c r="F229" s="62"/>
      <c r="G229" s="62"/>
    </row>
    <row r="230" customFormat="false" ht="15" hidden="false" customHeight="true" outlineLevel="0" collapsed="false">
      <c r="A230" s="59"/>
      <c r="B230" s="60"/>
      <c r="C230" s="61"/>
      <c r="D230" s="60"/>
      <c r="E230" s="61"/>
      <c r="F230" s="62"/>
      <c r="G230" s="62"/>
    </row>
    <row r="231" customFormat="false" ht="15" hidden="false" customHeight="true" outlineLevel="0" collapsed="false">
      <c r="A231" s="59"/>
      <c r="B231" s="60"/>
      <c r="C231" s="61"/>
      <c r="D231" s="60"/>
      <c r="E231" s="61"/>
      <c r="F231" s="62"/>
      <c r="G231" s="62"/>
    </row>
    <row r="232" customFormat="false" ht="15" hidden="false" customHeight="true" outlineLevel="0" collapsed="false">
      <c r="A232" s="59"/>
      <c r="B232" s="60"/>
      <c r="C232" s="61"/>
      <c r="D232" s="60"/>
      <c r="E232" s="61"/>
      <c r="F232" s="62"/>
      <c r="G232" s="62"/>
    </row>
    <row r="233" customFormat="false" ht="15" hidden="false" customHeight="true" outlineLevel="0" collapsed="false">
      <c r="A233" s="59"/>
      <c r="B233" s="60"/>
      <c r="C233" s="61"/>
      <c r="D233" s="60"/>
      <c r="E233" s="61"/>
      <c r="F233" s="62"/>
      <c r="G233" s="62"/>
    </row>
    <row r="234" customFormat="false" ht="15" hidden="false" customHeight="true" outlineLevel="0" collapsed="false">
      <c r="A234" s="59"/>
      <c r="B234" s="60"/>
      <c r="C234" s="61"/>
      <c r="D234" s="60"/>
      <c r="E234" s="61"/>
      <c r="F234" s="62"/>
      <c r="G234" s="62"/>
    </row>
    <row r="235" customFormat="false" ht="15" hidden="false" customHeight="true" outlineLevel="0" collapsed="false">
      <c r="A235" s="59"/>
      <c r="B235" s="60"/>
      <c r="C235" s="61"/>
      <c r="D235" s="60"/>
      <c r="E235" s="61"/>
      <c r="F235" s="62"/>
      <c r="G235" s="62"/>
    </row>
    <row r="236" customFormat="false" ht="15" hidden="false" customHeight="true" outlineLevel="0" collapsed="false">
      <c r="A236" s="59"/>
      <c r="B236" s="60"/>
      <c r="C236" s="61"/>
      <c r="D236" s="60"/>
      <c r="E236" s="61"/>
      <c r="F236" s="62"/>
      <c r="G236" s="62"/>
    </row>
    <row r="237" customFormat="false" ht="15" hidden="false" customHeight="true" outlineLevel="0" collapsed="false">
      <c r="A237" s="59"/>
      <c r="B237" s="60"/>
      <c r="C237" s="61"/>
      <c r="D237" s="60"/>
      <c r="E237" s="61"/>
      <c r="F237" s="62"/>
      <c r="G237" s="62"/>
    </row>
    <row r="238" customFormat="false" ht="15" hidden="false" customHeight="true" outlineLevel="0" collapsed="false">
      <c r="A238" s="59"/>
      <c r="B238" s="60"/>
      <c r="C238" s="61"/>
      <c r="D238" s="60"/>
      <c r="E238" s="61"/>
      <c r="F238" s="62"/>
      <c r="G238" s="62"/>
    </row>
    <row r="239" customFormat="false" ht="15" hidden="false" customHeight="true" outlineLevel="0" collapsed="false">
      <c r="A239" s="59"/>
      <c r="B239" s="60"/>
      <c r="C239" s="61"/>
      <c r="D239" s="60"/>
      <c r="E239" s="61"/>
      <c r="F239" s="62"/>
      <c r="G239" s="62"/>
    </row>
    <row r="240" customFormat="false" ht="15" hidden="false" customHeight="true" outlineLevel="0" collapsed="false">
      <c r="A240" s="59"/>
      <c r="B240" s="60"/>
      <c r="C240" s="61"/>
      <c r="D240" s="60"/>
      <c r="E240" s="61"/>
      <c r="F240" s="62"/>
      <c r="G240" s="62"/>
    </row>
    <row r="241" customFormat="false" ht="15" hidden="false" customHeight="true" outlineLevel="0" collapsed="false">
      <c r="A241" s="59"/>
      <c r="B241" s="60"/>
      <c r="C241" s="61"/>
      <c r="D241" s="60"/>
      <c r="E241" s="61"/>
      <c r="F241" s="62"/>
      <c r="G241" s="62"/>
    </row>
    <row r="242" customFormat="false" ht="15" hidden="false" customHeight="true" outlineLevel="0" collapsed="false">
      <c r="A242" s="59"/>
      <c r="B242" s="60"/>
      <c r="C242" s="61"/>
      <c r="D242" s="60"/>
      <c r="E242" s="61"/>
      <c r="F242" s="62"/>
      <c r="G242" s="62"/>
    </row>
    <row r="243" customFormat="false" ht="15" hidden="false" customHeight="true" outlineLevel="0" collapsed="false">
      <c r="A243" s="59"/>
      <c r="B243" s="60"/>
      <c r="C243" s="61"/>
      <c r="D243" s="60"/>
      <c r="E243" s="61"/>
      <c r="F243" s="62"/>
      <c r="G243" s="62"/>
    </row>
    <row r="244" customFormat="false" ht="15" hidden="false" customHeight="true" outlineLevel="0" collapsed="false">
      <c r="A244" s="59"/>
      <c r="B244" s="60"/>
      <c r="C244" s="61"/>
      <c r="D244" s="60"/>
      <c r="E244" s="61"/>
      <c r="F244" s="62"/>
      <c r="G244" s="62"/>
    </row>
    <row r="245" customFormat="false" ht="15" hidden="false" customHeight="true" outlineLevel="0" collapsed="false">
      <c r="A245" s="59"/>
      <c r="B245" s="60"/>
      <c r="C245" s="61"/>
      <c r="D245" s="60"/>
      <c r="E245" s="61"/>
      <c r="F245" s="62"/>
      <c r="G245" s="62"/>
    </row>
    <row r="246" customFormat="false" ht="15" hidden="false" customHeight="true" outlineLevel="0" collapsed="false">
      <c r="A246" s="59"/>
      <c r="B246" s="60"/>
      <c r="C246" s="61"/>
      <c r="D246" s="60"/>
      <c r="E246" s="61"/>
      <c r="F246" s="62"/>
      <c r="G246" s="62"/>
    </row>
    <row r="247" customFormat="false" ht="15" hidden="false" customHeight="true" outlineLevel="0" collapsed="false">
      <c r="A247" s="59"/>
      <c r="B247" s="60"/>
      <c r="C247" s="61"/>
      <c r="D247" s="60"/>
      <c r="E247" s="61"/>
      <c r="F247" s="62"/>
      <c r="G247" s="62"/>
    </row>
    <row r="248" customFormat="false" ht="15" hidden="false" customHeight="true" outlineLevel="0" collapsed="false">
      <c r="A248" s="59"/>
      <c r="B248" s="60"/>
      <c r="C248" s="61"/>
      <c r="D248" s="60"/>
      <c r="E248" s="61"/>
      <c r="F248" s="62"/>
      <c r="G248" s="62"/>
    </row>
    <row r="249" customFormat="false" ht="15" hidden="false" customHeight="true" outlineLevel="0" collapsed="false">
      <c r="A249" s="59"/>
      <c r="B249" s="60"/>
      <c r="C249" s="61"/>
      <c r="D249" s="60"/>
      <c r="E249" s="61"/>
      <c r="F249" s="62"/>
      <c r="G249" s="62"/>
    </row>
    <row r="250" customFormat="false" ht="15" hidden="false" customHeight="true" outlineLevel="0" collapsed="false">
      <c r="A250" s="59"/>
      <c r="B250" s="60"/>
      <c r="C250" s="61"/>
      <c r="D250" s="60"/>
      <c r="E250" s="61"/>
      <c r="F250" s="62"/>
      <c r="G250" s="62"/>
    </row>
    <row r="251" customFormat="false" ht="15" hidden="false" customHeight="true" outlineLevel="0" collapsed="false">
      <c r="A251" s="59"/>
      <c r="B251" s="60"/>
      <c r="C251" s="61"/>
      <c r="D251" s="60"/>
      <c r="E251" s="61"/>
      <c r="F251" s="62"/>
      <c r="G251" s="62"/>
    </row>
    <row r="252" customFormat="false" ht="15" hidden="false" customHeight="true" outlineLevel="0" collapsed="false">
      <c r="A252" s="59"/>
      <c r="B252" s="60"/>
      <c r="C252" s="61"/>
      <c r="D252" s="60"/>
      <c r="E252" s="61"/>
      <c r="F252" s="62"/>
      <c r="G252" s="62"/>
    </row>
    <row r="253" customFormat="false" ht="15" hidden="false" customHeight="true" outlineLevel="0" collapsed="false">
      <c r="A253" s="59"/>
      <c r="B253" s="60"/>
      <c r="C253" s="61"/>
      <c r="D253" s="60"/>
      <c r="E253" s="61"/>
      <c r="F253" s="62"/>
      <c r="G253" s="62"/>
    </row>
    <row r="254" customFormat="false" ht="15" hidden="false" customHeight="true" outlineLevel="0" collapsed="false">
      <c r="A254" s="59"/>
      <c r="B254" s="60"/>
      <c r="C254" s="61"/>
      <c r="D254" s="60"/>
      <c r="E254" s="61"/>
      <c r="F254" s="62"/>
      <c r="G254" s="62"/>
    </row>
    <row r="255" customFormat="false" ht="15" hidden="false" customHeight="true" outlineLevel="0" collapsed="false">
      <c r="A255" s="59"/>
      <c r="B255" s="60"/>
      <c r="C255" s="61"/>
      <c r="D255" s="60"/>
      <c r="E255" s="61"/>
      <c r="F255" s="62"/>
      <c r="G255" s="62"/>
    </row>
    <row r="256" customFormat="false" ht="15" hidden="false" customHeight="true" outlineLevel="0" collapsed="false">
      <c r="A256" s="59"/>
      <c r="B256" s="60"/>
      <c r="C256" s="61"/>
      <c r="D256" s="60"/>
      <c r="E256" s="61"/>
      <c r="F256" s="62"/>
      <c r="G256" s="62"/>
    </row>
    <row r="257" customFormat="false" ht="15" hidden="false" customHeight="true" outlineLevel="0" collapsed="false">
      <c r="A257" s="59"/>
      <c r="B257" s="60"/>
      <c r="C257" s="61"/>
      <c r="D257" s="60"/>
      <c r="E257" s="61"/>
      <c r="F257" s="62"/>
      <c r="G257" s="62"/>
    </row>
    <row r="258" customFormat="false" ht="15" hidden="false" customHeight="true" outlineLevel="0" collapsed="false">
      <c r="A258" s="59"/>
      <c r="B258" s="60"/>
      <c r="C258" s="61"/>
      <c r="D258" s="60"/>
      <c r="E258" s="61"/>
      <c r="F258" s="62"/>
      <c r="G258" s="62"/>
    </row>
    <row r="259" customFormat="false" ht="15" hidden="false" customHeight="true" outlineLevel="0" collapsed="false">
      <c r="A259" s="59"/>
      <c r="B259" s="60"/>
      <c r="C259" s="61"/>
      <c r="D259" s="60"/>
      <c r="E259" s="61"/>
      <c r="F259" s="62"/>
      <c r="G259" s="62"/>
    </row>
    <row r="260" customFormat="false" ht="15" hidden="false" customHeight="true" outlineLevel="0" collapsed="false">
      <c r="A260" s="59"/>
      <c r="B260" s="60"/>
      <c r="C260" s="61"/>
      <c r="D260" s="60"/>
      <c r="E260" s="61"/>
      <c r="F260" s="62"/>
      <c r="G260" s="62"/>
    </row>
    <row r="261" customFormat="false" ht="15" hidden="false" customHeight="true" outlineLevel="0" collapsed="false">
      <c r="A261" s="59"/>
      <c r="B261" s="60"/>
      <c r="C261" s="61"/>
      <c r="D261" s="60"/>
      <c r="E261" s="61"/>
      <c r="F261" s="62"/>
      <c r="G261" s="62"/>
    </row>
    <row r="262" customFormat="false" ht="15" hidden="false" customHeight="true" outlineLevel="0" collapsed="false">
      <c r="A262" s="59"/>
      <c r="B262" s="60"/>
      <c r="C262" s="61"/>
      <c r="D262" s="60"/>
      <c r="E262" s="61"/>
      <c r="F262" s="62"/>
      <c r="G262" s="62"/>
    </row>
    <row r="263" customFormat="false" ht="15" hidden="false" customHeight="true" outlineLevel="0" collapsed="false">
      <c r="A263" s="59"/>
      <c r="B263" s="60"/>
      <c r="C263" s="61"/>
      <c r="D263" s="60"/>
      <c r="E263" s="61"/>
      <c r="F263" s="62"/>
      <c r="G263" s="62"/>
    </row>
    <row r="264" customFormat="false" ht="15" hidden="false" customHeight="true" outlineLevel="0" collapsed="false">
      <c r="A264" s="59"/>
      <c r="B264" s="60"/>
      <c r="C264" s="61"/>
      <c r="D264" s="60"/>
      <c r="E264" s="61"/>
      <c r="F264" s="62"/>
      <c r="G264" s="62"/>
    </row>
    <row r="265" customFormat="false" ht="15" hidden="false" customHeight="true" outlineLevel="0" collapsed="false">
      <c r="A265" s="59"/>
      <c r="B265" s="60"/>
      <c r="C265" s="61"/>
      <c r="D265" s="60"/>
      <c r="E265" s="61"/>
      <c r="F265" s="62"/>
      <c r="G265" s="62"/>
    </row>
    <row r="266" customFormat="false" ht="15" hidden="false" customHeight="true" outlineLevel="0" collapsed="false">
      <c r="A266" s="59"/>
      <c r="B266" s="60"/>
      <c r="C266" s="61"/>
      <c r="D266" s="60"/>
      <c r="E266" s="61"/>
      <c r="F266" s="62"/>
      <c r="G266" s="62"/>
    </row>
    <row r="267" customFormat="false" ht="15" hidden="false" customHeight="true" outlineLevel="0" collapsed="false">
      <c r="A267" s="59"/>
      <c r="B267" s="60"/>
      <c r="C267" s="61"/>
      <c r="D267" s="60"/>
      <c r="E267" s="61"/>
      <c r="F267" s="62"/>
      <c r="G267" s="62"/>
    </row>
    <row r="268" customFormat="false" ht="15" hidden="false" customHeight="true" outlineLevel="0" collapsed="false">
      <c r="A268" s="59"/>
      <c r="B268" s="60"/>
      <c r="C268" s="61"/>
      <c r="D268" s="60"/>
      <c r="E268" s="61"/>
      <c r="F268" s="62"/>
      <c r="G268" s="62"/>
    </row>
    <row r="269" customFormat="false" ht="15" hidden="false" customHeight="true" outlineLevel="0" collapsed="false">
      <c r="A269" s="59"/>
      <c r="B269" s="60"/>
      <c r="C269" s="61"/>
      <c r="D269" s="60"/>
      <c r="E269" s="61"/>
      <c r="F269" s="62"/>
      <c r="G269" s="62"/>
    </row>
    <row r="270" customFormat="false" ht="15" hidden="false" customHeight="true" outlineLevel="0" collapsed="false">
      <c r="A270" s="59"/>
      <c r="B270" s="60"/>
      <c r="C270" s="61"/>
      <c r="D270" s="60"/>
      <c r="E270" s="61"/>
      <c r="F270" s="62"/>
      <c r="G270" s="62"/>
    </row>
    <row r="271" customFormat="false" ht="15" hidden="false" customHeight="true" outlineLevel="0" collapsed="false">
      <c r="A271" s="59"/>
      <c r="B271" s="60"/>
      <c r="C271" s="61"/>
      <c r="D271" s="60"/>
      <c r="E271" s="61"/>
      <c r="F271" s="62"/>
      <c r="G271" s="62"/>
    </row>
    <row r="272" customFormat="false" ht="15" hidden="false" customHeight="true" outlineLevel="0" collapsed="false">
      <c r="A272" s="59"/>
      <c r="B272" s="60"/>
      <c r="C272" s="61"/>
      <c r="D272" s="60"/>
      <c r="E272" s="61"/>
      <c r="F272" s="62"/>
      <c r="G272" s="62"/>
    </row>
    <row r="273" customFormat="false" ht="15" hidden="false" customHeight="true" outlineLevel="0" collapsed="false">
      <c r="A273" s="59"/>
      <c r="B273" s="60"/>
      <c r="C273" s="61"/>
      <c r="D273" s="60"/>
      <c r="E273" s="61"/>
      <c r="F273" s="62"/>
      <c r="G273" s="62"/>
    </row>
    <row r="274" customFormat="false" ht="15" hidden="false" customHeight="true" outlineLevel="0" collapsed="false">
      <c r="A274" s="59"/>
      <c r="B274" s="60"/>
      <c r="C274" s="61"/>
      <c r="D274" s="60"/>
      <c r="E274" s="61"/>
      <c r="F274" s="62"/>
      <c r="G274" s="62"/>
    </row>
    <row r="275" customFormat="false" ht="15" hidden="false" customHeight="true" outlineLevel="0" collapsed="false">
      <c r="A275" s="59"/>
      <c r="B275" s="60"/>
      <c r="C275" s="61"/>
      <c r="D275" s="60"/>
      <c r="E275" s="61"/>
      <c r="F275" s="62"/>
      <c r="G275" s="62"/>
    </row>
    <row r="276" customFormat="false" ht="15" hidden="false" customHeight="true" outlineLevel="0" collapsed="false">
      <c r="A276" s="59"/>
      <c r="B276" s="60"/>
      <c r="C276" s="61"/>
      <c r="D276" s="60"/>
      <c r="E276" s="61"/>
      <c r="F276" s="62"/>
      <c r="G276" s="62"/>
    </row>
    <row r="277" customFormat="false" ht="15" hidden="false" customHeight="true" outlineLevel="0" collapsed="false">
      <c r="A277" s="59"/>
      <c r="B277" s="60"/>
      <c r="C277" s="61"/>
      <c r="D277" s="60"/>
      <c r="E277" s="61"/>
      <c r="F277" s="62"/>
      <c r="G277" s="62"/>
    </row>
    <row r="278" customFormat="false" ht="15" hidden="false" customHeight="true" outlineLevel="0" collapsed="false">
      <c r="A278" s="59"/>
      <c r="B278" s="60"/>
      <c r="C278" s="61"/>
      <c r="D278" s="60"/>
      <c r="E278" s="61"/>
      <c r="F278" s="62"/>
      <c r="G278" s="62"/>
    </row>
    <row r="279" customFormat="false" ht="15" hidden="false" customHeight="true" outlineLevel="0" collapsed="false">
      <c r="A279" s="59"/>
      <c r="B279" s="60"/>
      <c r="C279" s="61"/>
      <c r="D279" s="60"/>
      <c r="E279" s="61"/>
      <c r="F279" s="62"/>
      <c r="G279" s="62"/>
    </row>
    <row r="280" customFormat="false" ht="15" hidden="false" customHeight="true" outlineLevel="0" collapsed="false">
      <c r="A280" s="59"/>
      <c r="B280" s="60"/>
      <c r="C280" s="61"/>
      <c r="D280" s="60"/>
      <c r="E280" s="61"/>
      <c r="F280" s="62"/>
      <c r="G280" s="62"/>
    </row>
    <row r="281" customFormat="false" ht="15" hidden="false" customHeight="true" outlineLevel="0" collapsed="false">
      <c r="A281" s="59"/>
      <c r="B281" s="60"/>
      <c r="C281" s="61"/>
      <c r="D281" s="60"/>
      <c r="E281" s="61"/>
      <c r="F281" s="62"/>
      <c r="G281" s="62"/>
    </row>
    <row r="282" customFormat="false" ht="15" hidden="false" customHeight="true" outlineLevel="0" collapsed="false">
      <c r="A282" s="59"/>
      <c r="B282" s="60"/>
      <c r="C282" s="61"/>
      <c r="D282" s="60"/>
      <c r="E282" s="61"/>
      <c r="F282" s="62"/>
      <c r="G282" s="62"/>
    </row>
    <row r="283" customFormat="false" ht="15" hidden="false" customHeight="true" outlineLevel="0" collapsed="false">
      <c r="A283" s="59"/>
      <c r="B283" s="60"/>
      <c r="C283" s="61"/>
      <c r="D283" s="60"/>
      <c r="E283" s="61"/>
      <c r="F283" s="62"/>
      <c r="G283" s="62"/>
    </row>
    <row r="284" customFormat="false" ht="15" hidden="false" customHeight="true" outlineLevel="0" collapsed="false">
      <c r="A284" s="59"/>
      <c r="B284" s="60"/>
      <c r="C284" s="61"/>
      <c r="D284" s="60"/>
      <c r="E284" s="61"/>
      <c r="F284" s="62"/>
      <c r="G284" s="62"/>
    </row>
    <row r="285" customFormat="false" ht="15" hidden="false" customHeight="true" outlineLevel="0" collapsed="false">
      <c r="A285" s="59"/>
      <c r="B285" s="60"/>
      <c r="C285" s="61"/>
      <c r="D285" s="60"/>
      <c r="E285" s="61"/>
      <c r="F285" s="62"/>
      <c r="G285" s="62"/>
    </row>
    <row r="286" customFormat="false" ht="15" hidden="false" customHeight="true" outlineLevel="0" collapsed="false">
      <c r="A286" s="59"/>
      <c r="B286" s="60"/>
      <c r="C286" s="61"/>
      <c r="D286" s="60"/>
      <c r="E286" s="61"/>
      <c r="F286" s="62"/>
      <c r="G286" s="62"/>
    </row>
    <row r="287" customFormat="false" ht="15" hidden="false" customHeight="true" outlineLevel="0" collapsed="false">
      <c r="A287" s="59"/>
      <c r="B287" s="60"/>
      <c r="C287" s="61"/>
      <c r="D287" s="60"/>
      <c r="E287" s="61"/>
      <c r="F287" s="62"/>
      <c r="G287" s="62"/>
    </row>
    <row r="288" customFormat="false" ht="15" hidden="false" customHeight="true" outlineLevel="0" collapsed="false">
      <c r="A288" s="59"/>
      <c r="B288" s="60"/>
      <c r="C288" s="61"/>
      <c r="D288" s="60"/>
      <c r="E288" s="61"/>
      <c r="F288" s="62"/>
      <c r="G288" s="62"/>
    </row>
    <row r="289" customFormat="false" ht="15" hidden="false" customHeight="true" outlineLevel="0" collapsed="false">
      <c r="A289" s="59"/>
      <c r="B289" s="60"/>
      <c r="C289" s="61"/>
      <c r="D289" s="60"/>
      <c r="E289" s="61"/>
      <c r="F289" s="62"/>
      <c r="G289" s="62"/>
    </row>
    <row r="290" customFormat="false" ht="15" hidden="false" customHeight="true" outlineLevel="0" collapsed="false">
      <c r="A290" s="59"/>
      <c r="B290" s="60"/>
      <c r="C290" s="61"/>
      <c r="D290" s="60"/>
      <c r="E290" s="61"/>
      <c r="F290" s="62"/>
      <c r="G290" s="62"/>
    </row>
    <row r="291" customFormat="false" ht="15" hidden="false" customHeight="true" outlineLevel="0" collapsed="false">
      <c r="A291" s="59"/>
      <c r="B291" s="60"/>
      <c r="C291" s="61"/>
      <c r="D291" s="60"/>
      <c r="E291" s="61"/>
      <c r="F291" s="62"/>
      <c r="G291" s="62"/>
    </row>
    <row r="292" customFormat="false" ht="15" hidden="false" customHeight="true" outlineLevel="0" collapsed="false">
      <c r="A292" s="59"/>
      <c r="B292" s="60"/>
      <c r="C292" s="61"/>
      <c r="D292" s="60"/>
      <c r="E292" s="61"/>
      <c r="F292" s="62"/>
      <c r="G292" s="62"/>
    </row>
    <row r="293" customFormat="false" ht="15" hidden="false" customHeight="true" outlineLevel="0" collapsed="false">
      <c r="A293" s="59"/>
      <c r="B293" s="60"/>
      <c r="C293" s="61"/>
      <c r="D293" s="60"/>
      <c r="E293" s="61"/>
      <c r="F293" s="62"/>
      <c r="G293" s="62"/>
    </row>
    <row r="294" customFormat="false" ht="15" hidden="false" customHeight="true" outlineLevel="0" collapsed="false">
      <c r="A294" s="59"/>
      <c r="B294" s="60"/>
      <c r="C294" s="61"/>
      <c r="D294" s="60"/>
      <c r="E294" s="61"/>
      <c r="F294" s="62"/>
      <c r="G294" s="62"/>
    </row>
    <row r="295" customFormat="false" ht="15" hidden="false" customHeight="true" outlineLevel="0" collapsed="false">
      <c r="A295" s="59"/>
      <c r="B295" s="60"/>
      <c r="C295" s="61"/>
      <c r="D295" s="60"/>
      <c r="E295" s="61"/>
      <c r="F295" s="62"/>
      <c r="G295" s="62"/>
    </row>
    <row r="296" customFormat="false" ht="15" hidden="false" customHeight="true" outlineLevel="0" collapsed="false">
      <c r="A296" s="59"/>
      <c r="B296" s="60"/>
      <c r="C296" s="61"/>
      <c r="D296" s="60"/>
      <c r="E296" s="61"/>
      <c r="F296" s="62"/>
      <c r="G296" s="62"/>
    </row>
    <row r="297" customFormat="false" ht="15" hidden="false" customHeight="true" outlineLevel="0" collapsed="false">
      <c r="A297" s="59"/>
      <c r="B297" s="60"/>
      <c r="C297" s="61"/>
      <c r="D297" s="60"/>
      <c r="E297" s="61"/>
      <c r="F297" s="62"/>
      <c r="G297" s="62"/>
    </row>
    <row r="298" customFormat="false" ht="15" hidden="false" customHeight="true" outlineLevel="0" collapsed="false">
      <c r="A298" s="59"/>
      <c r="B298" s="60"/>
      <c r="C298" s="61"/>
      <c r="D298" s="60"/>
      <c r="E298" s="61"/>
      <c r="F298" s="62"/>
      <c r="G298" s="62"/>
    </row>
    <row r="299" customFormat="false" ht="15" hidden="false" customHeight="true" outlineLevel="0" collapsed="false">
      <c r="A299" s="59"/>
      <c r="B299" s="60"/>
      <c r="C299" s="61"/>
      <c r="D299" s="60"/>
      <c r="E299" s="61"/>
      <c r="F299" s="62"/>
      <c r="G299" s="62"/>
    </row>
    <row r="300" customFormat="false" ht="15" hidden="false" customHeight="true" outlineLevel="0" collapsed="false">
      <c r="A300" s="59"/>
      <c r="B300" s="60"/>
      <c r="C300" s="61"/>
      <c r="D300" s="60"/>
      <c r="E300" s="61"/>
      <c r="F300" s="62"/>
      <c r="G300" s="62"/>
    </row>
    <row r="301" customFormat="false" ht="15" hidden="false" customHeight="true" outlineLevel="0" collapsed="false">
      <c r="A301" s="59"/>
      <c r="B301" s="60"/>
      <c r="C301" s="61"/>
      <c r="D301" s="60"/>
      <c r="E301" s="61"/>
      <c r="F301" s="62"/>
      <c r="G301" s="62"/>
    </row>
    <row r="302" customFormat="false" ht="15" hidden="false" customHeight="true" outlineLevel="0" collapsed="false">
      <c r="A302" s="59"/>
      <c r="B302" s="60"/>
      <c r="C302" s="61"/>
      <c r="D302" s="60"/>
      <c r="E302" s="61"/>
      <c r="F302" s="62"/>
      <c r="G302" s="62"/>
    </row>
    <row r="303" customFormat="false" ht="15" hidden="false" customHeight="true" outlineLevel="0" collapsed="false">
      <c r="A303" s="59"/>
      <c r="B303" s="60"/>
      <c r="C303" s="61"/>
      <c r="D303" s="60"/>
      <c r="E303" s="61"/>
      <c r="F303" s="62"/>
      <c r="G303" s="62"/>
    </row>
    <row r="304" customFormat="false" ht="15" hidden="false" customHeight="true" outlineLevel="0" collapsed="false">
      <c r="A304" s="59"/>
      <c r="B304" s="60"/>
      <c r="C304" s="61"/>
      <c r="D304" s="60"/>
      <c r="E304" s="61"/>
      <c r="F304" s="62"/>
      <c r="G304" s="62"/>
    </row>
    <row r="305" customFormat="false" ht="15" hidden="false" customHeight="true" outlineLevel="0" collapsed="false">
      <c r="A305" s="59"/>
      <c r="B305" s="60"/>
      <c r="C305" s="61"/>
      <c r="D305" s="60"/>
      <c r="E305" s="61"/>
      <c r="F305" s="62"/>
      <c r="G305" s="62"/>
    </row>
    <row r="306" customFormat="false" ht="15" hidden="false" customHeight="true" outlineLevel="0" collapsed="false">
      <c r="A306" s="59"/>
      <c r="B306" s="60"/>
      <c r="C306" s="61"/>
      <c r="D306" s="60"/>
      <c r="E306" s="61"/>
      <c r="F306" s="62"/>
      <c r="G306" s="62"/>
    </row>
    <row r="307" customFormat="false" ht="15" hidden="false" customHeight="true" outlineLevel="0" collapsed="false">
      <c r="A307" s="59"/>
      <c r="B307" s="60"/>
      <c r="C307" s="61"/>
      <c r="D307" s="60"/>
      <c r="E307" s="61"/>
      <c r="F307" s="62"/>
      <c r="G307" s="62"/>
    </row>
    <row r="308" customFormat="false" ht="15" hidden="false" customHeight="true" outlineLevel="0" collapsed="false">
      <c r="A308" s="59"/>
      <c r="B308" s="60"/>
      <c r="C308" s="61"/>
      <c r="D308" s="60"/>
      <c r="E308" s="61"/>
      <c r="F308" s="62"/>
      <c r="G308" s="62"/>
    </row>
    <row r="309" customFormat="false" ht="15" hidden="false" customHeight="true" outlineLevel="0" collapsed="false">
      <c r="A309" s="59"/>
      <c r="B309" s="60"/>
      <c r="C309" s="61"/>
      <c r="D309" s="60"/>
      <c r="E309" s="61"/>
      <c r="F309" s="62"/>
      <c r="G309" s="62"/>
    </row>
    <row r="310" customFormat="false" ht="15" hidden="false" customHeight="true" outlineLevel="0" collapsed="false">
      <c r="A310" s="59"/>
      <c r="B310" s="60"/>
      <c r="C310" s="61"/>
      <c r="D310" s="60"/>
      <c r="E310" s="61"/>
      <c r="F310" s="62"/>
      <c r="G310" s="62"/>
    </row>
    <row r="311" customFormat="false" ht="15" hidden="false" customHeight="true" outlineLevel="0" collapsed="false">
      <c r="A311" s="63"/>
      <c r="B311" s="63"/>
      <c r="C311" s="63"/>
      <c r="D311" s="63"/>
      <c r="E311" s="63"/>
      <c r="F311" s="63"/>
      <c r="G311" s="63"/>
    </row>
    <row r="312" customFormat="false" ht="15" hidden="false" customHeight="true" outlineLevel="0" collapsed="false">
      <c r="A312" s="63"/>
      <c r="B312" s="63"/>
      <c r="C312" s="63"/>
      <c r="D312" s="63"/>
      <c r="E312" s="63"/>
      <c r="F312" s="63"/>
      <c r="G312" s="63"/>
    </row>
    <row r="313" customFormat="false" ht="15" hidden="false" customHeight="true" outlineLevel="0" collapsed="false">
      <c r="A313" s="63"/>
      <c r="B313" s="63"/>
      <c r="C313" s="63"/>
      <c r="D313" s="63"/>
      <c r="E313" s="63"/>
      <c r="F313" s="63"/>
      <c r="G313" s="63"/>
    </row>
    <row r="314" customFormat="false" ht="15" hidden="false" customHeight="true" outlineLevel="0" collapsed="false">
      <c r="A314" s="63"/>
      <c r="B314" s="63"/>
      <c r="C314" s="63"/>
      <c r="D314" s="63"/>
      <c r="E314" s="63"/>
      <c r="F314" s="63"/>
      <c r="G314" s="63"/>
    </row>
    <row r="315" customFormat="false" ht="15" hidden="false" customHeight="true" outlineLevel="0" collapsed="false">
      <c r="A315" s="63"/>
      <c r="B315" s="63"/>
      <c r="C315" s="63"/>
      <c r="D315" s="63"/>
      <c r="E315" s="63"/>
      <c r="F315" s="63"/>
      <c r="G315" s="63"/>
    </row>
    <row r="316" customFormat="false" ht="15" hidden="false" customHeight="true" outlineLevel="0" collapsed="false">
      <c r="A316" s="63"/>
      <c r="B316" s="63"/>
      <c r="C316" s="63"/>
      <c r="D316" s="63"/>
      <c r="E316" s="63"/>
      <c r="F316" s="63"/>
      <c r="G316" s="63"/>
    </row>
    <row r="317" customFormat="false" ht="15" hidden="false" customHeight="true" outlineLevel="0" collapsed="false">
      <c r="A317" s="63"/>
      <c r="B317" s="63"/>
      <c r="C317" s="63"/>
      <c r="D317" s="63"/>
      <c r="E317" s="63"/>
      <c r="F317" s="63"/>
      <c r="G317" s="63"/>
    </row>
    <row r="318" customFormat="false" ht="15" hidden="false" customHeight="true" outlineLevel="0" collapsed="false">
      <c r="A318" s="63"/>
      <c r="B318" s="63"/>
      <c r="C318" s="63"/>
      <c r="D318" s="63"/>
      <c r="E318" s="63"/>
      <c r="F318" s="63"/>
      <c r="G318" s="63"/>
    </row>
    <row r="319" customFormat="false" ht="15" hidden="false" customHeight="true" outlineLevel="0" collapsed="false">
      <c r="A319" s="63"/>
      <c r="B319" s="63"/>
      <c r="C319" s="63"/>
      <c r="D319" s="63"/>
      <c r="E319" s="63"/>
      <c r="F319" s="63"/>
      <c r="G319" s="63"/>
    </row>
  </sheetData>
  <autoFilter ref="A9:G168"/>
  <mergeCells count="7">
    <mergeCell ref="A1:G1"/>
    <mergeCell ref="A2:G2"/>
    <mergeCell ref="E3:G3"/>
    <mergeCell ref="E4:G4"/>
    <mergeCell ref="A6:C6"/>
    <mergeCell ref="A7:C7"/>
    <mergeCell ref="A10:G10"/>
  </mergeCell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998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pane xSplit="1" ySplit="2" topLeftCell="B2070" activePane="bottomRight" state="frozen"/>
      <selection pane="topLeft" activeCell="A1" activeCellId="0" sqref="A1"/>
      <selection pane="topRight" activeCell="B1" activeCellId="0" sqref="B1"/>
      <selection pane="bottomLeft" activeCell="A2070" activeCellId="0" sqref="A2070"/>
      <selection pane="bottomRight" activeCell="A2089" activeCellId="0" sqref="A2089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4.29"/>
    <col collapsed="false" customWidth="true" hidden="false" outlineLevel="0" max="2" min="2" style="64" width="11.57"/>
    <col collapsed="false" customWidth="true" hidden="false" outlineLevel="0" max="3" min="3" style="65" width="11.29"/>
    <col collapsed="false" customWidth="true" hidden="false" outlineLevel="0" max="5" min="5" style="1" width="36.86"/>
    <col collapsed="false" customWidth="true" hidden="false" outlineLevel="0" max="6" min="6" style="1" width="10.71"/>
    <col collapsed="false" customWidth="true" hidden="false" outlineLevel="0" max="7" min="7" style="1" width="10.14"/>
    <col collapsed="false" customWidth="true" hidden="false" outlineLevel="0" max="8" min="8" style="1" width="39.42"/>
    <col collapsed="false" customWidth="true" hidden="false" outlineLevel="0" max="9" min="9" style="1" width="8.29"/>
    <col collapsed="false" customWidth="true" hidden="false" outlineLevel="0" max="10" min="10" style="1" width="9"/>
    <col collapsed="false" customWidth="true" hidden="false" outlineLevel="0" max="11" min="11" style="1" width="8"/>
    <col collapsed="false" customWidth="true" hidden="false" outlineLevel="0" max="12" min="12" style="1" width="13.29"/>
    <col collapsed="false" customWidth="true" hidden="false" outlineLevel="0" max="13" min="13" style="1" width="14"/>
    <col collapsed="false" customWidth="true" hidden="false" outlineLevel="0" max="14" min="14" style="1" width="9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5.42"/>
    <col collapsed="false" customWidth="true" hidden="false" outlineLevel="0" max="20" min="20" style="1" width="53.42"/>
  </cols>
  <sheetData>
    <row r="1" customFormat="false" ht="27.75" hidden="false" customHeight="true" outlineLevel="0" collapsed="false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7"/>
    </row>
    <row r="2" customFormat="false" ht="42" hidden="false" customHeight="true" outlineLevel="0" collapsed="false">
      <c r="A2" s="68" t="s">
        <v>340</v>
      </c>
      <c r="B2" s="69" t="s">
        <v>341</v>
      </c>
      <c r="C2" s="70" t="s">
        <v>342</v>
      </c>
      <c r="D2" s="68" t="s">
        <v>343</v>
      </c>
      <c r="E2" s="71" t="s">
        <v>344</v>
      </c>
      <c r="F2" s="71" t="s">
        <v>345</v>
      </c>
      <c r="G2" s="68" t="s">
        <v>346</v>
      </c>
      <c r="H2" s="71" t="s">
        <v>347</v>
      </c>
      <c r="I2" s="68" t="s">
        <v>348</v>
      </c>
      <c r="J2" s="68" t="s">
        <v>349</v>
      </c>
      <c r="K2" s="68" t="s">
        <v>350</v>
      </c>
      <c r="L2" s="71" t="s">
        <v>351</v>
      </c>
      <c r="M2" s="71" t="s">
        <v>352</v>
      </c>
      <c r="N2" s="71" t="s">
        <v>353</v>
      </c>
      <c r="O2" s="71" t="s">
        <v>354</v>
      </c>
      <c r="P2" s="71" t="s">
        <v>355</v>
      </c>
      <c r="Q2" s="71" t="s">
        <v>356</v>
      </c>
      <c r="R2" s="68" t="s">
        <v>357</v>
      </c>
    </row>
    <row r="3" customFormat="false" ht="15" hidden="false" customHeight="true" outlineLevel="0" collapsed="false">
      <c r="A3" s="72" t="n">
        <v>5900</v>
      </c>
      <c r="B3" s="73" t="n">
        <v>46186</v>
      </c>
      <c r="C3" s="74" t="n">
        <v>6125</v>
      </c>
      <c r="D3" s="75" t="n">
        <v>50020</v>
      </c>
      <c r="E3" s="52" t="str">
        <f aca="false">IF(D3&lt;&gt;"",IFERROR(VLOOKUP(D3,PROVEEDORES!$A:$B,2,0),"!COD NO ENCONTRADO"),"")</f>
        <v>PACO MOINELO</v>
      </c>
      <c r="F3" s="76" t="str">
        <f aca="false">IF(D3&lt;&gt;"",IFERROR(VLOOKUP(D3,PROVEEDORES!$A:$C,3,0),""),"")</f>
        <v>S</v>
      </c>
      <c r="G3" s="75" t="s">
        <v>135</v>
      </c>
      <c r="H3" s="52" t="str">
        <f aca="false">IF(G3&lt;&gt;"",IFERROR(VLOOKUP(G3,PRODUCTOS!$A:$B,2,0),"!COD NO ENCONTRADO"),"")</f>
        <v>CONGRIO 10+  (COE)</v>
      </c>
      <c r="I3" s="77" t="n">
        <v>2</v>
      </c>
      <c r="J3" s="78" t="n">
        <f aca="false">12+13.5</f>
        <v>25.5</v>
      </c>
      <c r="K3" s="79" t="n">
        <v>3.8</v>
      </c>
      <c r="L3" s="80" t="n">
        <f aca="false">IF(AND(J3&lt;&gt;"",K3&lt;&gt;""),J3*K3,"")</f>
        <v>96.9</v>
      </c>
      <c r="M3" s="81" t="n">
        <f aca="false">IF(L3&lt;&gt;"",L3*1.1,"")</f>
        <v>106.59</v>
      </c>
      <c r="N3" s="53" t="n">
        <f aca="false">IF(F3="S",L3*0.02,0)</f>
        <v>1.938</v>
      </c>
      <c r="O3" s="82" t="n">
        <f aca="false">IF(L3&lt;&gt;"",L3+N3,"")</f>
        <v>98.838</v>
      </c>
      <c r="P3" s="53" t="n">
        <f aca="false">IF(O3&lt;&gt;"",O3*0.1,"")</f>
        <v>9.8838</v>
      </c>
      <c r="Q3" s="83" t="n">
        <f aca="false">IF(O3&lt;&gt;"",O3+P3,"")</f>
        <v>108.7218</v>
      </c>
      <c r="R3" s="84" t="s">
        <v>358</v>
      </c>
    </row>
    <row r="4" customFormat="false" ht="15" hidden="false" customHeight="true" outlineLevel="0" collapsed="false">
      <c r="A4" s="72" t="n">
        <v>5901</v>
      </c>
      <c r="B4" s="85" t="n">
        <v>46186</v>
      </c>
      <c r="C4" s="86" t="n">
        <v>31595</v>
      </c>
      <c r="D4" s="87" t="n">
        <v>50106</v>
      </c>
      <c r="E4" s="52" t="str">
        <f aca="false">IF(D4&lt;&gt;"",IFERROR(VLOOKUP(D4,PROVEEDORES!$A:$B,2,0),"!COD NO ENCONTRADO"),"")</f>
        <v>SONIA VENTAS S.L</v>
      </c>
      <c r="F4" s="88" t="str">
        <f aca="false">IF(D4&lt;&gt;"",IFERROR(VLOOKUP(D4,PROVEEDORES!$A:$C,3,0),""),"")</f>
        <v>S</v>
      </c>
      <c r="G4" s="87" t="s">
        <v>216</v>
      </c>
      <c r="H4" s="46" t="str">
        <f aca="false">IF(G4&lt;&gt;"",IFERROR(VLOOKUP(G4,PRODUCTOS!$A:$B,2,0),"!COD NO ENCONTRADO"),"")</f>
        <v>MERLUZA EUROPEA PINCHO COSTA</v>
      </c>
      <c r="I4" s="89" t="n">
        <v>1</v>
      </c>
      <c r="J4" s="90" t="n">
        <v>14.5</v>
      </c>
      <c r="K4" s="91" t="n">
        <v>5.3</v>
      </c>
      <c r="L4" s="80" t="n">
        <f aca="false">IF(AND(J4&lt;&gt;"",K4&lt;&gt;""),J4*K4,"")</f>
        <v>76.85</v>
      </c>
      <c r="M4" s="81" t="n">
        <f aca="false">IF(L4&lt;&gt;"",L4*1.1,"")</f>
        <v>84.535</v>
      </c>
      <c r="N4" s="47" t="n">
        <f aca="false">IF(F4="S",L4*0.02,0)</f>
        <v>1.537</v>
      </c>
      <c r="O4" s="82" t="n">
        <f aca="false">IF(L4&lt;&gt;"",L4+N4,"")</f>
        <v>78.387</v>
      </c>
      <c r="P4" s="47" t="n">
        <f aca="false">IF(O4&lt;&gt;"",O4*0.1,"")</f>
        <v>7.8387</v>
      </c>
      <c r="Q4" s="83" t="n">
        <f aca="false">IF(O4&lt;&gt;"",O4+P4,"")</f>
        <v>86.2257</v>
      </c>
      <c r="R4" s="84" t="s">
        <v>358</v>
      </c>
    </row>
    <row r="5" customFormat="false" ht="15" hidden="false" customHeight="true" outlineLevel="0" collapsed="false">
      <c r="A5" s="72" t="n">
        <v>5901</v>
      </c>
      <c r="B5" s="73" t="n">
        <v>46186</v>
      </c>
      <c r="C5" s="74" t="n">
        <v>31595</v>
      </c>
      <c r="D5" s="75" t="n">
        <v>50106</v>
      </c>
      <c r="E5" s="52" t="str">
        <f aca="false">IF(D5&lt;&gt;"",IFERROR(VLOOKUP(D5,PROVEEDORES!$A:$B,2,0),"!COD NO ENCONTRADO"),"")</f>
        <v>SONIA VENTAS S.L</v>
      </c>
      <c r="F5" s="76" t="str">
        <f aca="false">IF(D5&lt;&gt;"",IFERROR(VLOOKUP(D5,PROVEEDORES!$A:$C,3,0),""),"")</f>
        <v>S</v>
      </c>
      <c r="G5" s="75" t="s">
        <v>216</v>
      </c>
      <c r="H5" s="52" t="str">
        <f aca="false">IF(G5&lt;&gt;"",IFERROR(VLOOKUP(G5,PRODUCTOS!$A:$B,2,0),"!COD NO ENCONTRADO"),"")</f>
        <v>MERLUZA EUROPEA PINCHO COSTA</v>
      </c>
      <c r="I5" s="77" t="n">
        <v>1</v>
      </c>
      <c r="J5" s="78" t="n">
        <v>16</v>
      </c>
      <c r="K5" s="79" t="n">
        <v>8.8</v>
      </c>
      <c r="L5" s="80" t="n">
        <f aca="false">IF(AND(J5&lt;&gt;"",K5&lt;&gt;""),J5*K5,"")</f>
        <v>140.8</v>
      </c>
      <c r="M5" s="81" t="n">
        <f aca="false">IF(L5&lt;&gt;"",L5*1.1,"")</f>
        <v>154.88</v>
      </c>
      <c r="N5" s="53" t="n">
        <f aca="false">IF(F5="S",L5*0.02,0)</f>
        <v>2.816</v>
      </c>
      <c r="O5" s="82" t="n">
        <f aca="false">IF(L5&lt;&gt;"",L5+N5,"")</f>
        <v>143.616</v>
      </c>
      <c r="P5" s="53" t="n">
        <f aca="false">IF(O5&lt;&gt;"",O5*0.1,"")</f>
        <v>14.3616</v>
      </c>
      <c r="Q5" s="83" t="n">
        <f aca="false">IF(O5&lt;&gt;"",O5+P5,"")</f>
        <v>157.9776</v>
      </c>
      <c r="R5" s="84" t="s">
        <v>358</v>
      </c>
    </row>
    <row r="6" customFormat="false" ht="15" hidden="false" customHeight="true" outlineLevel="0" collapsed="false">
      <c r="A6" s="72" t="n">
        <v>5902</v>
      </c>
      <c r="B6" s="85" t="n">
        <v>46186</v>
      </c>
      <c r="C6" s="86" t="n">
        <v>8630</v>
      </c>
      <c r="D6" s="87" t="n">
        <v>50001</v>
      </c>
      <c r="E6" s="52" t="str">
        <f aca="false">IF(D6&lt;&gt;"",IFERROR(VLOOKUP(D6,PROVEEDORES!$A:$B,2,0),"!COD NO ENCONTRADO"),"")</f>
        <v>COPESA</v>
      </c>
      <c r="F6" s="88" t="str">
        <f aca="false">IF(D6&lt;&gt;"",IFERROR(VLOOKUP(D6,PROVEEDORES!$A:$C,3,0),""),"")</f>
        <v>S</v>
      </c>
      <c r="G6" s="87" t="s">
        <v>193</v>
      </c>
      <c r="H6" s="46" t="str">
        <f aca="false">IF(G6&lt;&gt;"",IFERROR(VLOOKUP(G6,PRODUCTOS!$A:$B,2,0),"!COD NO ENCONTRADO"),"")</f>
        <v>MERLUZA EUROPEA ARRASTRE (HKE) </v>
      </c>
      <c r="I6" s="89" t="n">
        <v>7</v>
      </c>
      <c r="J6" s="90" t="n">
        <f aca="false">6.5+5.25+5.75+18+4.75</f>
        <v>40.25</v>
      </c>
      <c r="K6" s="91" t="n">
        <v>5.4</v>
      </c>
      <c r="L6" s="80" t="n">
        <f aca="false">IF(AND(J6&lt;&gt;"",K6&lt;&gt;""),J6*K6,"")</f>
        <v>217.35</v>
      </c>
      <c r="M6" s="81" t="n">
        <f aca="false">IF(L6&lt;&gt;"",L6*1.1,"")</f>
        <v>239.085</v>
      </c>
      <c r="N6" s="47" t="n">
        <f aca="false">IF(F6="S",L6*0.02,0)</f>
        <v>4.347</v>
      </c>
      <c r="O6" s="82" t="n">
        <f aca="false">IF(L6&lt;&gt;"",L6+N6,"")</f>
        <v>221.697</v>
      </c>
      <c r="P6" s="47" t="n">
        <f aca="false">IF(O6&lt;&gt;"",O6*0.1,"")</f>
        <v>22.1697</v>
      </c>
      <c r="Q6" s="83" t="n">
        <f aca="false">IF(O6&lt;&gt;"",O6+P6,"")</f>
        <v>243.8667</v>
      </c>
      <c r="R6" s="84" t="s">
        <v>358</v>
      </c>
    </row>
    <row r="7" customFormat="false" ht="15" hidden="false" customHeight="true" outlineLevel="0" collapsed="false">
      <c r="A7" s="72" t="n">
        <v>5902</v>
      </c>
      <c r="B7" s="73" t="n">
        <v>46186</v>
      </c>
      <c r="C7" s="74" t="n">
        <v>8630</v>
      </c>
      <c r="D7" s="75" t="n">
        <v>50001</v>
      </c>
      <c r="E7" s="52" t="str">
        <f aca="false">IF(D7&lt;&gt;"",IFERROR(VLOOKUP(D7,PROVEEDORES!$A:$B,2,0),"!COD NO ENCONTRADO"),"")</f>
        <v>COPESA</v>
      </c>
      <c r="F7" s="76" t="str">
        <f aca="false">IF(D7&lt;&gt;"",IFERROR(VLOOKUP(D7,PROVEEDORES!$A:$C,3,0),""),"")</f>
        <v>S</v>
      </c>
      <c r="G7" s="75" t="s">
        <v>296</v>
      </c>
      <c r="H7" s="52" t="str">
        <f aca="false">IF(G7&lt;&gt;"",IFERROR(VLOOKUP(G7,PRODUCTOS!$A:$B,2,0),"!COD NO ENCONTRADO"),"")</f>
        <v>RAPE NEGRO (ANK)</v>
      </c>
      <c r="I7" s="77" t="n">
        <v>2</v>
      </c>
      <c r="J7" s="78" t="n">
        <f aca="false">15.5+12.75</f>
        <v>28.25</v>
      </c>
      <c r="K7" s="79" t="n">
        <v>4.3</v>
      </c>
      <c r="L7" s="80" t="n">
        <f aca="false">IF(AND(J7&lt;&gt;"",K7&lt;&gt;""),J7*K7,"")</f>
        <v>121.475</v>
      </c>
      <c r="M7" s="81" t="n">
        <f aca="false">IF(L7&lt;&gt;"",L7*1.1,"")</f>
        <v>133.6225</v>
      </c>
      <c r="N7" s="53" t="n">
        <f aca="false">IF(F7="S",L7*0.02,0)</f>
        <v>2.4295</v>
      </c>
      <c r="O7" s="82" t="n">
        <f aca="false">IF(L7&lt;&gt;"",L7+N7,"")</f>
        <v>123.9045</v>
      </c>
      <c r="P7" s="53" t="n">
        <f aca="false">IF(O7&lt;&gt;"",O7*0.1,"")</f>
        <v>12.39045</v>
      </c>
      <c r="Q7" s="83" t="n">
        <f aca="false">IF(O7&lt;&gt;"",O7+P7,"")</f>
        <v>136.29495</v>
      </c>
      <c r="R7" s="84" t="s">
        <v>358</v>
      </c>
    </row>
    <row r="8" customFormat="false" ht="15" hidden="false" customHeight="true" outlineLevel="0" collapsed="false">
      <c r="A8" s="72" t="n">
        <v>5902</v>
      </c>
      <c r="B8" s="73" t="n">
        <v>46186</v>
      </c>
      <c r="C8" s="74" t="n">
        <v>8630</v>
      </c>
      <c r="D8" s="75" t="n">
        <v>50001</v>
      </c>
      <c r="E8" s="52" t="str">
        <f aca="false">IF(D8&lt;&gt;"",IFERROR(VLOOKUP(D8,PROVEEDORES!$A:$B,2,0),"!COD NO ENCONTRADO"),"")</f>
        <v>COPESA</v>
      </c>
      <c r="F8" s="76" t="str">
        <f aca="false">IF(D8&lt;&gt;"",IFERROR(VLOOKUP(D8,PROVEEDORES!$A:$C,3,0),""),"")</f>
        <v>S</v>
      </c>
      <c r="G8" s="75" t="s">
        <v>133</v>
      </c>
      <c r="H8" s="52" t="str">
        <f aca="false">IF(G8&lt;&gt;"",IFERROR(VLOOKUP(G8,PRODUCTOS!$A:$B,2,0),"!COD NO ENCONTRADO"),"")</f>
        <v>CINTAS/ PEZ CINTA (CBC)</v>
      </c>
      <c r="I8" s="77" t="n">
        <v>2</v>
      </c>
      <c r="J8" s="78" t="n">
        <v>11.5</v>
      </c>
      <c r="K8" s="79" t="n">
        <v>2.4</v>
      </c>
      <c r="L8" s="80" t="n">
        <f aca="false">IF(AND(J8&lt;&gt;"",K8&lt;&gt;""),J8*K8,"")</f>
        <v>27.6</v>
      </c>
      <c r="M8" s="81" t="n">
        <f aca="false">IF(L8&lt;&gt;"",L8*1.1,"")</f>
        <v>30.36</v>
      </c>
      <c r="N8" s="53" t="n">
        <f aca="false">IF(F8="S",L8*0.02,0)</f>
        <v>0.552</v>
      </c>
      <c r="O8" s="82" t="n">
        <f aca="false">IF(L8&lt;&gt;"",L8+N8,"")</f>
        <v>28.152</v>
      </c>
      <c r="P8" s="53" t="n">
        <f aca="false">IF(O8&lt;&gt;"",O8*0.1,"")</f>
        <v>2.8152</v>
      </c>
      <c r="Q8" s="83" t="n">
        <f aca="false">IF(O8&lt;&gt;"",O8+P8,"")</f>
        <v>30.9672</v>
      </c>
      <c r="R8" s="84" t="s">
        <v>358</v>
      </c>
    </row>
    <row r="9" customFormat="false" ht="15" hidden="false" customHeight="true" outlineLevel="0" collapsed="false">
      <c r="A9" s="72" t="n">
        <v>5903</v>
      </c>
      <c r="B9" s="85" t="n">
        <v>46186</v>
      </c>
      <c r="C9" s="86" t="n">
        <v>3499</v>
      </c>
      <c r="D9" s="87" t="n">
        <v>50163</v>
      </c>
      <c r="E9" s="46" t="str">
        <f aca="false">IF(D9&lt;&gt;"",IFERROR(VLOOKUP(D9,PROVEEDORES!$A:$B,2,0),"!COD NO ENCONTRADO"),"")</f>
        <v>SUBASTAS RIVERA S.L.</v>
      </c>
      <c r="F9" s="88" t="str">
        <f aca="false">IF(D9&lt;&gt;"",IFERROR(VLOOKUP(D9,PROVEEDORES!$A:$C,3,0),""),"")</f>
        <v>S</v>
      </c>
      <c r="G9" s="87" t="s">
        <v>296</v>
      </c>
      <c r="H9" s="46" t="str">
        <f aca="false">IF(G9&lt;&gt;"",IFERROR(VLOOKUP(G9,PRODUCTOS!$A:$B,2,0),"!COD NO ENCONTRADO"),"")</f>
        <v>RAPE NEGRO (ANK)</v>
      </c>
      <c r="I9" s="89" t="n">
        <v>2</v>
      </c>
      <c r="J9" s="90" t="n">
        <f aca="false">10.25+7.25</f>
        <v>17.5</v>
      </c>
      <c r="K9" s="91" t="n">
        <v>4.2</v>
      </c>
      <c r="L9" s="80" t="n">
        <f aca="false">IF(AND(J9&lt;&gt;"",K9&lt;&gt;""),J9*K9,"")</f>
        <v>73.5</v>
      </c>
      <c r="M9" s="81" t="n">
        <f aca="false">IF(L9&lt;&gt;"",L9*1.1,"")</f>
        <v>80.85</v>
      </c>
      <c r="N9" s="47" t="n">
        <f aca="false">IF(F9="S",L9*0.02,0)</f>
        <v>1.47</v>
      </c>
      <c r="O9" s="82" t="n">
        <f aca="false">IF(L9&lt;&gt;"",L9+N9,"")</f>
        <v>74.97</v>
      </c>
      <c r="P9" s="47" t="n">
        <f aca="false">IF(O9&lt;&gt;"",O9*0.1,"")</f>
        <v>7.497</v>
      </c>
      <c r="Q9" s="83" t="n">
        <f aca="false">IF(O9&lt;&gt;"",O9+P9,"")</f>
        <v>82.467</v>
      </c>
      <c r="R9" s="84" t="s">
        <v>358</v>
      </c>
    </row>
    <row r="10" customFormat="false" ht="15" hidden="false" customHeight="true" outlineLevel="0" collapsed="false">
      <c r="A10" s="72" t="n">
        <v>5903</v>
      </c>
      <c r="B10" s="85" t="n">
        <v>46186</v>
      </c>
      <c r="C10" s="86" t="n">
        <v>3499</v>
      </c>
      <c r="D10" s="87" t="n">
        <v>50163</v>
      </c>
      <c r="E10" s="46" t="str">
        <f aca="false">IF(D10&lt;&gt;"",IFERROR(VLOOKUP(D10,PROVEEDORES!$A:$B,2,0),"!COD NO ENCONTRADO"),"")</f>
        <v>SUBASTAS RIVERA S.L.</v>
      </c>
      <c r="F10" s="88" t="str">
        <f aca="false">IF(D10&lt;&gt;"",IFERROR(VLOOKUP(D10,PROVEEDORES!$A:$C,3,0),""),"")</f>
        <v>S</v>
      </c>
      <c r="G10" s="87" t="s">
        <v>296</v>
      </c>
      <c r="H10" s="46" t="str">
        <f aca="false">IF(G10&lt;&gt;"",IFERROR(VLOOKUP(G10,PRODUCTOS!$A:$B,2,0),"!COD NO ENCONTRADO"),"")</f>
        <v>RAPE NEGRO (ANK)</v>
      </c>
      <c r="I10" s="89" t="n">
        <v>5</v>
      </c>
      <c r="J10" s="90" t="n">
        <f aca="false">5.9+2.75+0.75+4.9+4.8</f>
        <v>19.1</v>
      </c>
      <c r="K10" s="91" t="n">
        <v>4.2</v>
      </c>
      <c r="L10" s="80" t="n">
        <f aca="false">IF(AND(J10&lt;&gt;"",K10&lt;&gt;""),J10*K10,"")</f>
        <v>80.22</v>
      </c>
      <c r="M10" s="81" t="n">
        <f aca="false">IF(L10&lt;&gt;"",L10*1.1,"")</f>
        <v>88.242</v>
      </c>
      <c r="N10" s="47" t="n">
        <f aca="false">IF(F10="S",L10*0.02,0)</f>
        <v>1.6044</v>
      </c>
      <c r="O10" s="82" t="n">
        <f aca="false">IF(L10&lt;&gt;"",L10+N10,"")</f>
        <v>81.8244</v>
      </c>
      <c r="P10" s="47" t="n">
        <f aca="false">IF(O10&lt;&gt;"",O10*0.1,"")</f>
        <v>8.18244</v>
      </c>
      <c r="Q10" s="83" t="n">
        <f aca="false">IF(O10&lt;&gt;"",O10+P10,"")</f>
        <v>90.00684</v>
      </c>
      <c r="R10" s="84" t="s">
        <v>358</v>
      </c>
    </row>
    <row r="11" customFormat="false" ht="15" hidden="false" customHeight="true" outlineLevel="0" collapsed="false">
      <c r="A11" s="72" t="n">
        <v>5903</v>
      </c>
      <c r="B11" s="73" t="n">
        <v>46186</v>
      </c>
      <c r="C11" s="74" t="n">
        <v>3499</v>
      </c>
      <c r="D11" s="75" t="n">
        <v>50163</v>
      </c>
      <c r="E11" s="52" t="str">
        <f aca="false">IF(D11&lt;&gt;"",IFERROR(VLOOKUP(D11,PROVEEDORES!$A:$B,2,0),"!COD NO ENCONTRADO"),"")</f>
        <v>SUBASTAS RIVERA S.L.</v>
      </c>
      <c r="F11" s="76" t="str">
        <f aca="false">IF(D11&lt;&gt;"",IFERROR(VLOOKUP(D11,PROVEEDORES!$A:$C,3,0),""),"")</f>
        <v>S</v>
      </c>
      <c r="G11" s="75" t="s">
        <v>288</v>
      </c>
      <c r="H11" s="52" t="str">
        <f aca="false">IF(G11&lt;&gt;"",IFERROR(VLOOKUP(G11,PRODUCTOS!$A:$B,2,0),"!COD NO ENCONTRADO"),"")</f>
        <v>RAPE BLANCO DIA (MON)</v>
      </c>
      <c r="I11" s="77" t="n">
        <v>3</v>
      </c>
      <c r="J11" s="78" t="n">
        <f aca="false">5+2.3+2.5</f>
        <v>9.8</v>
      </c>
      <c r="K11" s="79" t="n">
        <v>5.3</v>
      </c>
      <c r="L11" s="80" t="n">
        <f aca="false">IF(AND(J11&lt;&gt;"",K11&lt;&gt;""),J11*K11,"")</f>
        <v>51.94</v>
      </c>
      <c r="M11" s="81" t="n">
        <f aca="false">IF(L11&lt;&gt;"",L11*1.1,"")</f>
        <v>57.134</v>
      </c>
      <c r="N11" s="53" t="n">
        <f aca="false">IF(F11="S",L11*0.02,0)</f>
        <v>1.0388</v>
      </c>
      <c r="O11" s="82" t="n">
        <f aca="false">IF(L11&lt;&gt;"",L11+N11,"")</f>
        <v>52.9788</v>
      </c>
      <c r="P11" s="53" t="n">
        <f aca="false">IF(O11&lt;&gt;"",O11*0.1,"")</f>
        <v>5.29788</v>
      </c>
      <c r="Q11" s="83" t="n">
        <f aca="false">IF(O11&lt;&gt;"",O11+P11,"")</f>
        <v>58.27668</v>
      </c>
      <c r="R11" s="84" t="s">
        <v>358</v>
      </c>
    </row>
    <row r="12" customFormat="false" ht="15" hidden="false" customHeight="true" outlineLevel="0" collapsed="false">
      <c r="A12" s="72" t="n">
        <v>5903</v>
      </c>
      <c r="B12" s="85" t="n">
        <v>46186</v>
      </c>
      <c r="C12" s="86" t="n">
        <v>3499</v>
      </c>
      <c r="D12" s="87" t="n">
        <v>50163</v>
      </c>
      <c r="E12" s="46" t="str">
        <f aca="false">IF(D12&lt;&gt;"",IFERROR(VLOOKUP(D12,PROVEEDORES!$A:$B,2,0),"!COD NO ENCONTRADO"),"")</f>
        <v>SUBASTAS RIVERA S.L.</v>
      </c>
      <c r="F12" s="88" t="str">
        <f aca="false">IF(D12&lt;&gt;"",IFERROR(VLOOKUP(D12,PROVEEDORES!$A:$C,3,0),""),"")</f>
        <v>S</v>
      </c>
      <c r="G12" s="87" t="s">
        <v>296</v>
      </c>
      <c r="H12" s="46" t="str">
        <f aca="false">IF(G12&lt;&gt;"",IFERROR(VLOOKUP(G12,PRODUCTOS!$A:$B,2,0),"!COD NO ENCONTRADO"),"")</f>
        <v>RAPE NEGRO (ANK)</v>
      </c>
      <c r="I12" s="89" t="n">
        <v>2</v>
      </c>
      <c r="J12" s="90" t="n">
        <f aca="false">5.4+5.1</f>
        <v>10.5</v>
      </c>
      <c r="K12" s="91" t="n">
        <v>4.2</v>
      </c>
      <c r="L12" s="80" t="n">
        <f aca="false">IF(AND(J12&lt;&gt;"",K12&lt;&gt;""),J12*K12,"")</f>
        <v>44.1</v>
      </c>
      <c r="M12" s="81" t="n">
        <f aca="false">IF(L12&lt;&gt;"",L12*1.1,"")</f>
        <v>48.51</v>
      </c>
      <c r="N12" s="47" t="n">
        <f aca="false">IF(F12="S",L12*0.02,0)</f>
        <v>0.882</v>
      </c>
      <c r="O12" s="82" t="n">
        <f aca="false">IF(L12&lt;&gt;"",L12+N12,"")</f>
        <v>44.982</v>
      </c>
      <c r="P12" s="47" t="n">
        <f aca="false">IF(O12&lt;&gt;"",O12*0.1,"")</f>
        <v>4.4982</v>
      </c>
      <c r="Q12" s="83" t="n">
        <f aca="false">IF(O12&lt;&gt;"",O12+P12,"")</f>
        <v>49.4802</v>
      </c>
      <c r="R12" s="84" t="s">
        <v>358</v>
      </c>
    </row>
    <row r="13" customFormat="false" ht="15" hidden="false" customHeight="true" outlineLevel="0" collapsed="false">
      <c r="A13" s="72" t="n">
        <v>5904</v>
      </c>
      <c r="B13" s="73" t="n">
        <v>46188</v>
      </c>
      <c r="C13" s="74" t="s">
        <v>359</v>
      </c>
      <c r="D13" s="75" t="n">
        <v>50509</v>
      </c>
      <c r="E13" s="52" t="str">
        <f aca="false">IF(D13&lt;&gt;"",IFERROR(VLOOKUP(D13,PROVEEDORES!$A:$B,2,0),"!COD NO ENCONTRADO"),"")</f>
        <v>AZORFISK UNIPERSONAL LDA</v>
      </c>
      <c r="F13" s="76" t="str">
        <f aca="false">IF(D13&lt;&gt;"",IFERROR(VLOOKUP(D13,PROVEEDORES!$A:$C,3,0),""),"")</f>
        <v>N</v>
      </c>
      <c r="G13" s="75" t="s">
        <v>83</v>
      </c>
      <c r="H13" s="52" t="str">
        <f aca="false">IF(G13&lt;&gt;"",IFERROR(VLOOKUP(G13,PRODUCTOS!$A:$B,2,0),"!COD NO ENCONTRADO"),"")</f>
        <v>BESUGO (BSR)</v>
      </c>
      <c r="I13" s="77" t="n">
        <v>1</v>
      </c>
      <c r="J13" s="78" t="n">
        <v>7.6</v>
      </c>
      <c r="K13" s="79" t="n">
        <v>22</v>
      </c>
      <c r="L13" s="80" t="n">
        <f aca="false">IF(AND(J13&lt;&gt;"",K13&lt;&gt;""),J13*K13,"")</f>
        <v>167.2</v>
      </c>
      <c r="M13" s="81" t="n">
        <f aca="false">IF(L13&lt;&gt;"",L13*1.1,"")</f>
        <v>183.92</v>
      </c>
      <c r="N13" s="53" t="n">
        <f aca="false">IF(F13="S",L13*0.02,0)</f>
        <v>0</v>
      </c>
      <c r="O13" s="82" t="n">
        <f aca="false">IF(L13&lt;&gt;"",L13+N13,"")</f>
        <v>167.2</v>
      </c>
      <c r="P13" s="53" t="n">
        <f aca="false">IF(O13&lt;&gt;"",O13*0.1,"")</f>
        <v>16.72</v>
      </c>
      <c r="Q13" s="83" t="n">
        <f aca="false">IF(O13&lt;&gt;"",O13+P13,"")</f>
        <v>183.92</v>
      </c>
      <c r="R13" s="84" t="s">
        <v>358</v>
      </c>
    </row>
    <row r="14" customFormat="false" ht="15" hidden="false" customHeight="true" outlineLevel="0" collapsed="false">
      <c r="A14" s="72" t="n">
        <v>5904</v>
      </c>
      <c r="B14" s="85" t="n">
        <v>46188</v>
      </c>
      <c r="C14" s="74" t="s">
        <v>360</v>
      </c>
      <c r="D14" s="87" t="n">
        <v>50509</v>
      </c>
      <c r="E14" s="46" t="str">
        <f aca="false">IF(D14&lt;&gt;"",IFERROR(VLOOKUP(D14,PROVEEDORES!$A:$B,2,0),"!COD NO ENCONTRADO"),"")</f>
        <v>AZORFISK UNIPERSONAL LDA</v>
      </c>
      <c r="F14" s="88" t="str">
        <f aca="false">IF(D14&lt;&gt;"",IFERROR(VLOOKUP(D14,PROVEEDORES!$A:$C,3,0),""),"")</f>
        <v>N</v>
      </c>
      <c r="G14" s="87" t="s">
        <v>185</v>
      </c>
      <c r="H14" s="46" t="str">
        <f aca="false">IF(G14&lt;&gt;"",IFERROR(VLOOKUP(G14,PRODUCTOS!$A:$B,2,0),"!COD NO ENCONTRADO"),"")</f>
        <v>MACHOS/ REYES/ ALFONSINOS (BYS)</v>
      </c>
      <c r="I14" s="89" t="n">
        <v>1</v>
      </c>
      <c r="J14" s="90" t="n">
        <v>8.3</v>
      </c>
      <c r="K14" s="91" t="n">
        <v>20.9</v>
      </c>
      <c r="L14" s="80" t="n">
        <f aca="false">IF(AND(J14&lt;&gt;"",K14&lt;&gt;""),J14*K14,"")</f>
        <v>173.47</v>
      </c>
      <c r="M14" s="81" t="n">
        <f aca="false">IF(L14&lt;&gt;"",L14*1.1,"")</f>
        <v>190.817</v>
      </c>
      <c r="N14" s="47" t="n">
        <f aca="false">IF(F14="S",L14*0.02,0)</f>
        <v>0</v>
      </c>
      <c r="O14" s="82" t="n">
        <f aca="false">IF(L14&lt;&gt;"",L14+N14,"")</f>
        <v>173.47</v>
      </c>
      <c r="P14" s="47" t="n">
        <f aca="false">IF(O14&lt;&gt;"",O14*0.1,"")</f>
        <v>17.347</v>
      </c>
      <c r="Q14" s="83" t="n">
        <f aca="false">IF(O14&lt;&gt;"",O14+P14,"")</f>
        <v>190.817</v>
      </c>
      <c r="R14" s="84" t="s">
        <v>358</v>
      </c>
    </row>
    <row r="15" customFormat="false" ht="15" hidden="false" customHeight="true" outlineLevel="0" collapsed="false">
      <c r="A15" s="72" t="n">
        <v>5904</v>
      </c>
      <c r="B15" s="73" t="n">
        <v>46188</v>
      </c>
      <c r="C15" s="74" t="s">
        <v>361</v>
      </c>
      <c r="D15" s="75" t="n">
        <v>50509</v>
      </c>
      <c r="E15" s="52" t="str">
        <f aca="false">IF(D15&lt;&gt;"",IFERROR(VLOOKUP(D15,PROVEEDORES!$A:$B,2,0),"!COD NO ENCONTRADO"),"")</f>
        <v>AZORFISK UNIPERSONAL LDA</v>
      </c>
      <c r="F15" s="76" t="str">
        <f aca="false">IF(D15&lt;&gt;"",IFERROR(VLOOKUP(D15,PROVEEDORES!$A:$C,3,0),""),"")</f>
        <v>N</v>
      </c>
      <c r="G15" s="75" t="s">
        <v>336</v>
      </c>
      <c r="H15" s="52" t="str">
        <f aca="false">IF(G15&lt;&gt;"",IFERROR(VLOOKUP(G15,PRODUCTOS!$A:$B,2,0),"!COD NO ENCONTRADO"),"")</f>
        <v>VIRREY/ PALOMETA ROJA</v>
      </c>
      <c r="I15" s="77" t="n">
        <v>1</v>
      </c>
      <c r="J15" s="78" t="n">
        <v>15.7</v>
      </c>
      <c r="K15" s="79" t="n">
        <v>63.5</v>
      </c>
      <c r="L15" s="80" t="n">
        <f aca="false">IF(AND(J15&lt;&gt;"",K15&lt;&gt;""),J15*K15,"")</f>
        <v>996.95</v>
      </c>
      <c r="M15" s="81" t="n">
        <f aca="false">IF(L15&lt;&gt;"",L15*1.1,"")</f>
        <v>1096.645</v>
      </c>
      <c r="N15" s="53" t="n">
        <f aca="false">IF(F15="S",L15*0.02,0)</f>
        <v>0</v>
      </c>
      <c r="O15" s="82" t="n">
        <f aca="false">IF(L15&lt;&gt;"",L15+N15,"")</f>
        <v>996.95</v>
      </c>
      <c r="P15" s="53" t="n">
        <f aca="false">IF(O15&lt;&gt;"",O15*0.1,"")</f>
        <v>99.695</v>
      </c>
      <c r="Q15" s="83" t="n">
        <f aca="false">IF(O15&lt;&gt;"",O15+P15,"")</f>
        <v>1096.645</v>
      </c>
      <c r="R15" s="84" t="s">
        <v>358</v>
      </c>
    </row>
    <row r="16" customFormat="false" ht="15" hidden="false" customHeight="true" outlineLevel="0" collapsed="false">
      <c r="A16" s="72" t="n">
        <v>5905</v>
      </c>
      <c r="B16" s="85" t="n">
        <v>46188</v>
      </c>
      <c r="C16" s="86" t="n">
        <v>8783</v>
      </c>
      <c r="D16" s="87" t="n">
        <v>50001</v>
      </c>
      <c r="E16" s="46" t="str">
        <f aca="false">IF(D16&lt;&gt;"",IFERROR(VLOOKUP(D16,PROVEEDORES!$A:$B,2,0),"!COD NO ENCONTRADO"),"")</f>
        <v>COPESA</v>
      </c>
      <c r="F16" s="88" t="str">
        <f aca="false">IF(D16&lt;&gt;"",IFERROR(VLOOKUP(D16,PROVEEDORES!$A:$C,3,0),""),"")</f>
        <v>S</v>
      </c>
      <c r="G16" s="87" t="s">
        <v>193</v>
      </c>
      <c r="H16" s="46" t="str">
        <f aca="false">IF(G16&lt;&gt;"",IFERROR(VLOOKUP(G16,PRODUCTOS!$A:$B,2,0),"!COD NO ENCONTRADO"),"")</f>
        <v>MERLUZA EUROPEA ARRASTRE (HKE) </v>
      </c>
      <c r="I16" s="89" t="n">
        <v>3</v>
      </c>
      <c r="J16" s="90" t="n">
        <f aca="false">27.75+31.75+29</f>
        <v>88.5</v>
      </c>
      <c r="K16" s="91" t="n">
        <v>3.8</v>
      </c>
      <c r="L16" s="80" t="n">
        <f aca="false">IF(AND(J16&lt;&gt;"",K16&lt;&gt;""),J16*K16,"")</f>
        <v>336.3</v>
      </c>
      <c r="M16" s="81" t="n">
        <f aca="false">IF(L16&lt;&gt;"",L16*1.1,"")</f>
        <v>369.93</v>
      </c>
      <c r="N16" s="47" t="n">
        <f aca="false">IF(F16="S",L16*0.02,0)</f>
        <v>6.726</v>
      </c>
      <c r="O16" s="82" t="n">
        <f aca="false">IF(L16&lt;&gt;"",L16+N16,"")</f>
        <v>343.026</v>
      </c>
      <c r="P16" s="47" t="n">
        <f aca="false">IF(O16&lt;&gt;"",O16*0.1,"")</f>
        <v>34.3026</v>
      </c>
      <c r="Q16" s="83" t="n">
        <f aca="false">IF(O16&lt;&gt;"",O16+P16,"")</f>
        <v>377.3286</v>
      </c>
      <c r="R16" s="84" t="s">
        <v>358</v>
      </c>
    </row>
    <row r="17" customFormat="false" ht="15" hidden="false" customHeight="true" outlineLevel="0" collapsed="false">
      <c r="A17" s="72" t="n">
        <v>5906</v>
      </c>
      <c r="B17" s="73" t="n">
        <v>46188</v>
      </c>
      <c r="C17" s="74" t="n">
        <v>10600</v>
      </c>
      <c r="D17" s="75" t="n">
        <v>50048</v>
      </c>
      <c r="E17" s="52" t="str">
        <f aca="false">IF(D17&lt;&gt;"",IFERROR(VLOOKUP(D17,PROVEEDORES!$A:$B,2,0),"!COD NO ENCONTRADO"),"")</f>
        <v>JOSE LUIS CORREA KESSLER S.L.</v>
      </c>
      <c r="F17" s="76" t="str">
        <f aca="false">IF(D17&lt;&gt;"",IFERROR(VLOOKUP(D17,PROVEEDORES!$A:$C,3,0),""),"")</f>
        <v>N</v>
      </c>
      <c r="G17" s="75" t="s">
        <v>282</v>
      </c>
      <c r="H17" s="52" t="str">
        <f aca="false">IF(G17&lt;&gt;"",IFERROR(VLOOKUP(G17,PRODUCTOS!$A:$B,2,0),"!COD NO ENCONTRADO"),"")</f>
        <v>POTA (SQI)</v>
      </c>
      <c r="I17" s="77" t="n">
        <v>5</v>
      </c>
      <c r="J17" s="78" t="n">
        <v>30</v>
      </c>
      <c r="K17" s="79" t="n">
        <v>2.1</v>
      </c>
      <c r="L17" s="80" t="n">
        <f aca="false">IF(AND(J17&lt;&gt;"",K17&lt;&gt;""),J17*K17,"")</f>
        <v>63</v>
      </c>
      <c r="M17" s="81" t="n">
        <f aca="false">IF(L17&lt;&gt;"",L17*1.1,"")</f>
        <v>69.3</v>
      </c>
      <c r="N17" s="53" t="n">
        <f aca="false">IF(F17="S",L17*0.02,0)</f>
        <v>0</v>
      </c>
      <c r="O17" s="82" t="n">
        <f aca="false">IF(L17&lt;&gt;"",L17+N17,"")</f>
        <v>63</v>
      </c>
      <c r="P17" s="53" t="n">
        <f aca="false">IF(O17&lt;&gt;"",O17*0.1,"")</f>
        <v>6.3</v>
      </c>
      <c r="Q17" s="83" t="n">
        <f aca="false">IF(O17&lt;&gt;"",O17+P17,"")</f>
        <v>69.3</v>
      </c>
      <c r="R17" s="84" t="s">
        <v>358</v>
      </c>
    </row>
    <row r="18" customFormat="false" ht="15" hidden="false" customHeight="true" outlineLevel="0" collapsed="false">
      <c r="A18" s="72" t="n">
        <v>5907</v>
      </c>
      <c r="B18" s="85" t="n">
        <v>46188</v>
      </c>
      <c r="C18" s="86" t="s">
        <v>362</v>
      </c>
      <c r="D18" s="87" t="n">
        <v>50035</v>
      </c>
      <c r="E18" s="46" t="str">
        <f aca="false">IF(D18&lt;&gt;"",IFERROR(VLOOKUP(D18,PROVEEDORES!$A:$B,2,0),"!COD NO ENCONTRADO"),"")</f>
        <v>SCANFISK SEAFFOD S,L</v>
      </c>
      <c r="F18" s="88" t="str">
        <f aca="false">IF(D18&lt;&gt;"",IFERROR(VLOOKUP(D18,PROVEEDORES!$A:$C,3,0),""),"")</f>
        <v>N</v>
      </c>
      <c r="G18" s="87" t="s">
        <v>246</v>
      </c>
      <c r="H18" s="46" t="str">
        <f aca="false">IF(G18&lt;&gt;"",IFERROR(VLOOKUP(G18,PRODUCTOS!$A:$B,2,0),"!COD NO ENCONTRADO"),"")</f>
        <v>MERLUZA EUROPEA VOLANTA ALTURA</v>
      </c>
      <c r="I18" s="89" t="n">
        <v>4</v>
      </c>
      <c r="J18" s="90" t="n">
        <v>43</v>
      </c>
      <c r="K18" s="91" t="n">
        <v>6.4</v>
      </c>
      <c r="L18" s="80" t="n">
        <f aca="false">IF(AND(J18&lt;&gt;"",K18&lt;&gt;""),J18*K18,"")</f>
        <v>275.2</v>
      </c>
      <c r="M18" s="81" t="n">
        <f aca="false">IF(L18&lt;&gt;"",L18*1.1,"")</f>
        <v>302.72</v>
      </c>
      <c r="N18" s="47" t="n">
        <f aca="false">IF(F18="S",L18*0.02,0)</f>
        <v>0</v>
      </c>
      <c r="O18" s="82" t="n">
        <f aca="false">IF(L18&lt;&gt;"",L18+N18,"")</f>
        <v>275.2</v>
      </c>
      <c r="P18" s="47" t="n">
        <f aca="false">IF(O18&lt;&gt;"",O18*0.1,"")</f>
        <v>27.52</v>
      </c>
      <c r="Q18" s="83" t="n">
        <f aca="false">IF(O18&lt;&gt;"",O18+P18,"")</f>
        <v>302.72</v>
      </c>
      <c r="R18" s="84" t="s">
        <v>358</v>
      </c>
    </row>
    <row r="19" customFormat="false" ht="15" hidden="false" customHeight="true" outlineLevel="0" collapsed="false">
      <c r="A19" s="72" t="n">
        <v>5907</v>
      </c>
      <c r="B19" s="73" t="n">
        <v>46188</v>
      </c>
      <c r="C19" s="74" t="s">
        <v>362</v>
      </c>
      <c r="D19" s="75" t="n">
        <v>50035</v>
      </c>
      <c r="E19" s="52" t="str">
        <f aca="false">IF(D19&lt;&gt;"",IFERROR(VLOOKUP(D19,PROVEEDORES!$A:$B,2,0),"!COD NO ENCONTRADO"),"")</f>
        <v>SCANFISK SEAFFOD S,L</v>
      </c>
      <c r="F19" s="76" t="str">
        <f aca="false">IF(D19&lt;&gt;"",IFERROR(VLOOKUP(D19,PROVEEDORES!$A:$C,3,0),""),"")</f>
        <v>N</v>
      </c>
      <c r="G19" s="75" t="s">
        <v>209</v>
      </c>
      <c r="H19" s="52" t="str">
        <f aca="false">IF(G19&lt;&gt;"",IFERROR(VLOOKUP(G19,PRODUCTOS!$A:$B,2,0),"!COD NO ENCONTRADO"),"")</f>
        <v>MERLUZA EUROPEA PINCHO</v>
      </c>
      <c r="I19" s="77" t="n">
        <v>4</v>
      </c>
      <c r="J19" s="78" t="n">
        <v>21.5</v>
      </c>
      <c r="K19" s="79" t="n">
        <v>5.9</v>
      </c>
      <c r="L19" s="80" t="n">
        <f aca="false">IF(AND(J19&lt;&gt;"",K19&lt;&gt;""),J19*K19,"")</f>
        <v>126.85</v>
      </c>
      <c r="M19" s="81" t="n">
        <f aca="false">IF(L19&lt;&gt;"",L19*1.1,"")</f>
        <v>139.535</v>
      </c>
      <c r="N19" s="53" t="n">
        <f aca="false">IF(F19="S",L19*0.02,0)</f>
        <v>0</v>
      </c>
      <c r="O19" s="82" t="n">
        <f aca="false">IF(L19&lt;&gt;"",L19+N19,"")</f>
        <v>126.85</v>
      </c>
      <c r="P19" s="53" t="n">
        <f aca="false">IF(O19&lt;&gt;"",O19*0.1,"")</f>
        <v>12.685</v>
      </c>
      <c r="Q19" s="83" t="n">
        <f aca="false">IF(O19&lt;&gt;"",O19+P19,"")</f>
        <v>139.535</v>
      </c>
      <c r="R19" s="84" t="s">
        <v>358</v>
      </c>
    </row>
    <row r="20" customFormat="false" ht="15" hidden="false" customHeight="true" outlineLevel="0" collapsed="false">
      <c r="A20" s="72" t="n">
        <v>5907</v>
      </c>
      <c r="B20" s="85" t="n">
        <v>46188</v>
      </c>
      <c r="C20" s="86" t="s">
        <v>362</v>
      </c>
      <c r="D20" s="87" t="n">
        <v>50035</v>
      </c>
      <c r="E20" s="46" t="str">
        <f aca="false">IF(D20&lt;&gt;"",IFERROR(VLOOKUP(D20,PROVEEDORES!$A:$B,2,0),"!COD NO ENCONTRADO"),"")</f>
        <v>SCANFISK SEAFFOD S,L</v>
      </c>
      <c r="F20" s="88" t="str">
        <f aca="false">IF(D20&lt;&gt;"",IFERROR(VLOOKUP(D20,PROVEEDORES!$A:$C,3,0),""),"")</f>
        <v>N</v>
      </c>
      <c r="G20" s="87" t="s">
        <v>363</v>
      </c>
      <c r="H20" s="46" t="str">
        <f aca="false">IF(G20&lt;&gt;"",IFERROR(VLOOKUP(G20,PRODUCTOS!$A:$B,2,0),"!COD NO ENCONTRADO"),"")</f>
        <v>!COD NO ENCONTRADO</v>
      </c>
      <c r="I20" s="89" t="n">
        <v>2</v>
      </c>
      <c r="J20" s="90" t="n">
        <v>22.5</v>
      </c>
      <c r="K20" s="91" t="n">
        <v>9.4</v>
      </c>
      <c r="L20" s="80" t="n">
        <f aca="false">IF(AND(J20&lt;&gt;"",K20&lt;&gt;""),J20*K20,"")</f>
        <v>211.5</v>
      </c>
      <c r="M20" s="81" t="n">
        <f aca="false">IF(L20&lt;&gt;"",L20*1.1,"")</f>
        <v>232.65</v>
      </c>
      <c r="N20" s="47" t="n">
        <f aca="false">IF(F20="S",L20*0.02,0)</f>
        <v>0</v>
      </c>
      <c r="O20" s="82" t="n">
        <f aca="false">IF(L20&lt;&gt;"",L20+N20,"")</f>
        <v>211.5</v>
      </c>
      <c r="P20" s="47" t="n">
        <f aca="false">IF(O20&lt;&gt;"",O20*0.1,"")</f>
        <v>21.15</v>
      </c>
      <c r="Q20" s="83" t="n">
        <f aca="false">IF(O20&lt;&gt;"",O20+P20,"")</f>
        <v>232.65</v>
      </c>
      <c r="R20" s="84" t="s">
        <v>358</v>
      </c>
    </row>
    <row r="21" customFormat="false" ht="15" hidden="false" customHeight="true" outlineLevel="0" collapsed="false">
      <c r="A21" s="72" t="n">
        <v>5908</v>
      </c>
      <c r="B21" s="73" t="n">
        <v>46188</v>
      </c>
      <c r="C21" s="74" t="s">
        <v>364</v>
      </c>
      <c r="D21" s="75" t="n">
        <v>50232</v>
      </c>
      <c r="E21" s="52" t="str">
        <f aca="false">IF(D21&lt;&gt;"",IFERROR(VLOOKUP(D21,PROVEEDORES!$A:$B,2,0),"!COD NO ENCONTRADO"),"")</f>
        <v>XESTION NOVA LONXA RIVEIRA S.L.</v>
      </c>
      <c r="F21" s="76" t="str">
        <f aca="false">IF(D21&lt;&gt;"",IFERROR(VLOOKUP(D21,PROVEEDORES!$A:$C,3,0),""),"")</f>
        <v>S</v>
      </c>
      <c r="G21" s="75" t="s">
        <v>270</v>
      </c>
      <c r="H21" s="52" t="str">
        <f aca="false">IF(G21&lt;&gt;"",IFERROR(VLOOKUP(G21,PRODUCTOS!$A:$B,2,0),"!COD NO ENCONTRADO"),"")</f>
        <v>PEON/ PION (ATP)</v>
      </c>
      <c r="I21" s="77" t="n">
        <v>9</v>
      </c>
      <c r="J21" s="78" t="n">
        <v>44</v>
      </c>
      <c r="K21" s="79" t="n">
        <v>4</v>
      </c>
      <c r="L21" s="80" t="n">
        <f aca="false">IF(AND(J21&lt;&gt;"",K21&lt;&gt;""),J21*K21,"")</f>
        <v>176</v>
      </c>
      <c r="M21" s="81" t="n">
        <f aca="false">IF(L21&lt;&gt;"",L21*1.1,"")</f>
        <v>193.6</v>
      </c>
      <c r="N21" s="53" t="n">
        <f aca="false">IF(F21="S",L21*0.02,0)</f>
        <v>3.52</v>
      </c>
      <c r="O21" s="82" t="n">
        <f aca="false">IF(L21&lt;&gt;"",L21+N21,"")</f>
        <v>179.52</v>
      </c>
      <c r="P21" s="53" t="n">
        <f aca="false">IF(O21&lt;&gt;"",O21*0.1,"")</f>
        <v>17.952</v>
      </c>
      <c r="Q21" s="83" t="n">
        <f aca="false">IF(O21&lt;&gt;"",O21+P21,"")</f>
        <v>197.472</v>
      </c>
      <c r="R21" s="84" t="s">
        <v>358</v>
      </c>
    </row>
    <row r="22" customFormat="false" ht="15" hidden="false" customHeight="true" outlineLevel="0" collapsed="false">
      <c r="A22" s="72" t="n">
        <v>5908</v>
      </c>
      <c r="B22" s="85" t="n">
        <v>46188</v>
      </c>
      <c r="C22" s="86" t="s">
        <v>364</v>
      </c>
      <c r="D22" s="87" t="n">
        <v>50232</v>
      </c>
      <c r="E22" s="46" t="str">
        <f aca="false">IF(D22&lt;&gt;"",IFERROR(VLOOKUP(D22,PROVEEDORES!$A:$B,2,0),"!COD NO ENCONTRADO"),"")</f>
        <v>XESTION NOVA LONXA RIVEIRA S.L.</v>
      </c>
      <c r="F22" s="88" t="str">
        <f aca="false">IF(D22&lt;&gt;"",IFERROR(VLOOKUP(D22,PROVEEDORES!$A:$C,3,0),""),"")</f>
        <v>S</v>
      </c>
      <c r="G22" s="87" t="s">
        <v>151</v>
      </c>
      <c r="H22" s="46" t="str">
        <f aca="false">IF(G22&lt;&gt;"",IFERROR(VLOOKUP(G22,PRODUCTOS!$A:$B,2,0),"!COD NO ENCONTRADO"),"")</f>
        <v>ESCACHO/ ARETE/ RUBIO (GUR)</v>
      </c>
      <c r="I22" s="89" t="n">
        <v>4</v>
      </c>
      <c r="J22" s="90" t="n">
        <v>22.25</v>
      </c>
      <c r="K22" s="91" t="n">
        <v>1.5</v>
      </c>
      <c r="L22" s="80" t="n">
        <f aca="false">IF(AND(J22&lt;&gt;"",K22&lt;&gt;""),J22*K22,"")</f>
        <v>33.375</v>
      </c>
      <c r="M22" s="81" t="n">
        <f aca="false">IF(L22&lt;&gt;"",L22*1.1,"")</f>
        <v>36.7125</v>
      </c>
      <c r="N22" s="47" t="n">
        <f aca="false">IF(F22="S",L22*0.02,0)</f>
        <v>0.6675</v>
      </c>
      <c r="O22" s="82" t="n">
        <f aca="false">IF(L22&lt;&gt;"",L22+N22,"")</f>
        <v>34.0425</v>
      </c>
      <c r="P22" s="47" t="n">
        <f aca="false">IF(O22&lt;&gt;"",O22*0.1,"")</f>
        <v>3.40425</v>
      </c>
      <c r="Q22" s="83" t="n">
        <f aca="false">IF(O22&lt;&gt;"",O22+P22,"")</f>
        <v>37.44675</v>
      </c>
      <c r="R22" s="84" t="s">
        <v>358</v>
      </c>
    </row>
    <row r="23" customFormat="false" ht="15" hidden="false" customHeight="true" outlineLevel="0" collapsed="false">
      <c r="A23" s="72" t="n">
        <v>5909</v>
      </c>
      <c r="B23" s="73" t="n">
        <v>46189</v>
      </c>
      <c r="C23" s="74" t="n">
        <v>16405</v>
      </c>
      <c r="D23" s="75" t="n">
        <v>50163</v>
      </c>
      <c r="E23" s="52" t="str">
        <f aca="false">IF(D23&lt;&gt;"",IFERROR(VLOOKUP(D23,PROVEEDORES!$A:$B,2,0),"!COD NO ENCONTRADO"),"")</f>
        <v>SUBASTAS RIVERA S.L.</v>
      </c>
      <c r="F23" s="76" t="str">
        <f aca="false">IF(D23&lt;&gt;"",IFERROR(VLOOKUP(D23,PROVEEDORES!$A:$C,3,0),""),"")</f>
        <v>S</v>
      </c>
      <c r="G23" s="75" t="s">
        <v>103</v>
      </c>
      <c r="H23" s="52" t="str">
        <f aca="false">IF(G23&lt;&gt;"",IFERROR(VLOOKUP(G23,PRODUCTOS!$A:$B,2,0),"!COD NO ENCONTRADO"),"")</f>
        <v>CABRAS/ GALLINETA (BRF)</v>
      </c>
      <c r="I23" s="77" t="n">
        <v>2</v>
      </c>
      <c r="J23" s="78" t="n">
        <f aca="false">7.1+5.75</f>
        <v>12.85</v>
      </c>
      <c r="K23" s="79" t="n">
        <v>11</v>
      </c>
      <c r="L23" s="80" t="n">
        <f aca="false">IF(AND(J23&lt;&gt;"",K23&lt;&gt;""),J23*K23,"")</f>
        <v>141.35</v>
      </c>
      <c r="M23" s="81" t="n">
        <f aca="false">IF(L23&lt;&gt;"",L23*1.1,"")</f>
        <v>155.485</v>
      </c>
      <c r="N23" s="53" t="n">
        <f aca="false">IF(F23="S",L23*0.02,0)</f>
        <v>2.827</v>
      </c>
      <c r="O23" s="82" t="n">
        <f aca="false">IF(L23&lt;&gt;"",L23+N23,"")</f>
        <v>144.177</v>
      </c>
      <c r="P23" s="53" t="n">
        <f aca="false">IF(O23&lt;&gt;"",O23*0.1,"")</f>
        <v>14.4177</v>
      </c>
      <c r="Q23" s="83" t="n">
        <f aca="false">IF(O23&lt;&gt;"",O23+P23,"")</f>
        <v>158.5947</v>
      </c>
      <c r="R23" s="84" t="s">
        <v>358</v>
      </c>
    </row>
    <row r="24" customFormat="false" ht="15" hidden="false" customHeight="true" outlineLevel="0" collapsed="false">
      <c r="A24" s="72" t="n">
        <v>5909</v>
      </c>
      <c r="B24" s="85" t="n">
        <v>46189</v>
      </c>
      <c r="C24" s="86" t="n">
        <v>16405</v>
      </c>
      <c r="D24" s="87" t="n">
        <v>50163</v>
      </c>
      <c r="E24" s="46" t="str">
        <f aca="false">IF(D24&lt;&gt;"",IFERROR(VLOOKUP(D24,PROVEEDORES!$A:$B,2,0),"!COD NO ENCONTRADO"),"")</f>
        <v>SUBASTAS RIVERA S.L.</v>
      </c>
      <c r="F24" s="88" t="str">
        <f aca="false">IF(D24&lt;&gt;"",IFERROR(VLOOKUP(D24,PROVEEDORES!$A:$C,3,0),""),"")</f>
        <v>S</v>
      </c>
      <c r="G24" s="87" t="s">
        <v>332</v>
      </c>
      <c r="H24" s="46" t="str">
        <f aca="false">IF(G24&lt;&gt;"",IFERROR(VLOOKUP(G24,PRODUCTOS!$A:$B,2,0),"!COD NO ENCONTRADO"),"")</f>
        <v>VARIADO PEQUEÑO</v>
      </c>
      <c r="I24" s="89" t="n">
        <v>2</v>
      </c>
      <c r="J24" s="90" t="n">
        <f aca="false">5.25+4.25</f>
        <v>9.5</v>
      </c>
      <c r="K24" s="91" t="n">
        <v>0.5</v>
      </c>
      <c r="L24" s="80" t="n">
        <f aca="false">IF(AND(J24&lt;&gt;"",K24&lt;&gt;""),J24*K24,"")</f>
        <v>4.75</v>
      </c>
      <c r="M24" s="81" t="n">
        <f aca="false">IF(L24&lt;&gt;"",L24*1.1,"")</f>
        <v>5.225</v>
      </c>
      <c r="N24" s="47" t="n">
        <f aca="false">IF(F24="S",L24*0.02,0)</f>
        <v>0.095</v>
      </c>
      <c r="O24" s="82" t="n">
        <f aca="false">IF(L24&lt;&gt;"",L24+N24,"")</f>
        <v>4.845</v>
      </c>
      <c r="P24" s="47" t="n">
        <f aca="false">IF(O24&lt;&gt;"",O24*0.1,"")</f>
        <v>0.4845</v>
      </c>
      <c r="Q24" s="83" t="n">
        <f aca="false">IF(O24&lt;&gt;"",O24+P24,"")</f>
        <v>5.3295</v>
      </c>
      <c r="R24" s="84" t="s">
        <v>358</v>
      </c>
    </row>
    <row r="25" customFormat="false" ht="15" hidden="false" customHeight="true" outlineLevel="0" collapsed="false">
      <c r="A25" s="72" t="n">
        <v>5909</v>
      </c>
      <c r="B25" s="73" t="n">
        <v>46189</v>
      </c>
      <c r="C25" s="74" t="n">
        <v>16405</v>
      </c>
      <c r="D25" s="75" t="n">
        <v>50163</v>
      </c>
      <c r="E25" s="52" t="str">
        <f aca="false">IF(D25&lt;&gt;"",IFERROR(VLOOKUP(D25,PROVEEDORES!$A:$B,2,0),"!COD NO ENCONTRADO"),"")</f>
        <v>SUBASTAS RIVERA S.L.</v>
      </c>
      <c r="F25" s="76" t="str">
        <f aca="false">IF(D25&lt;&gt;"",IFERROR(VLOOKUP(D25,PROVEEDORES!$A:$C,3,0),""),"")</f>
        <v>S</v>
      </c>
      <c r="G25" s="75" t="s">
        <v>332</v>
      </c>
      <c r="H25" s="52" t="str">
        <f aca="false">IF(G25&lt;&gt;"",IFERROR(VLOOKUP(G25,PRODUCTOS!$A:$B,2,0),"!COD NO ENCONTRADO"),"")</f>
        <v>VARIADO PEQUEÑO</v>
      </c>
      <c r="I25" s="77" t="n">
        <v>3</v>
      </c>
      <c r="J25" s="78" t="n">
        <f aca="false">18.25+10.75</f>
        <v>29</v>
      </c>
      <c r="K25" s="79" t="n">
        <v>1.15</v>
      </c>
      <c r="L25" s="80" t="n">
        <f aca="false">IF(AND(J25&lt;&gt;"",K25&lt;&gt;""),J25*K25,"")</f>
        <v>33.35</v>
      </c>
      <c r="M25" s="81" t="n">
        <f aca="false">IF(L25&lt;&gt;"",L25*1.1,"")</f>
        <v>36.685</v>
      </c>
      <c r="N25" s="53" t="n">
        <f aca="false">IF(F25="S",L25*0.02,0)</f>
        <v>0.667</v>
      </c>
      <c r="O25" s="82" t="n">
        <f aca="false">IF(L25&lt;&gt;"",L25+N25,"")</f>
        <v>34.017</v>
      </c>
      <c r="P25" s="53" t="n">
        <f aca="false">IF(O25&lt;&gt;"",O25*0.1,"")</f>
        <v>3.4017</v>
      </c>
      <c r="Q25" s="83" t="n">
        <f aca="false">IF(O25&lt;&gt;"",O25+P25,"")</f>
        <v>37.4187</v>
      </c>
      <c r="R25" s="84" t="s">
        <v>358</v>
      </c>
    </row>
    <row r="26" customFormat="false" ht="15" hidden="false" customHeight="true" outlineLevel="0" collapsed="false">
      <c r="A26" s="72" t="n">
        <v>5909</v>
      </c>
      <c r="B26" s="73" t="n">
        <v>46189</v>
      </c>
      <c r="C26" s="74" t="n">
        <v>16405</v>
      </c>
      <c r="D26" s="75" t="n">
        <v>50163</v>
      </c>
      <c r="E26" s="52" t="str">
        <f aca="false">IF(D26&lt;&gt;"",IFERROR(VLOOKUP(D26,PROVEEDORES!$A:$B,2,0),"!COD NO ENCONTRADO"),"")</f>
        <v>SUBASTAS RIVERA S.L.</v>
      </c>
      <c r="F26" s="76" t="str">
        <f aca="false">IF(D26&lt;&gt;"",IFERROR(VLOOKUP(D26,PROVEEDORES!$A:$C,3,0),""),"")</f>
        <v>S</v>
      </c>
      <c r="G26" s="75" t="s">
        <v>193</v>
      </c>
      <c r="H26" s="52" t="str">
        <f aca="false">IF(G26&lt;&gt;"",IFERROR(VLOOKUP(G26,PRODUCTOS!$A:$B,2,0),"!COD NO ENCONTRADO"),"")</f>
        <v>MERLUZA EUROPEA ARRASTRE (HKE) </v>
      </c>
      <c r="I26" s="77" t="n">
        <v>2</v>
      </c>
      <c r="J26" s="78" t="n">
        <f aca="false">9.25+9.75</f>
        <v>19</v>
      </c>
      <c r="K26" s="79" t="n">
        <v>4.8</v>
      </c>
      <c r="L26" s="80" t="n">
        <f aca="false">IF(AND(J26&lt;&gt;"",K26&lt;&gt;""),J26*K26,"")</f>
        <v>91.2</v>
      </c>
      <c r="M26" s="81" t="n">
        <f aca="false">IF(L26&lt;&gt;"",L26*1.1,"")</f>
        <v>100.32</v>
      </c>
      <c r="N26" s="53" t="n">
        <f aca="false">IF(F26="S",L26*0.02,0)</f>
        <v>1.824</v>
      </c>
      <c r="O26" s="82" t="n">
        <f aca="false">IF(L26&lt;&gt;"",L26+N26,"")</f>
        <v>93.024</v>
      </c>
      <c r="P26" s="53" t="n">
        <f aca="false">IF(O26&lt;&gt;"",O26*0.1,"")</f>
        <v>9.3024</v>
      </c>
      <c r="Q26" s="83" t="n">
        <f aca="false">IF(O26&lt;&gt;"",O26+P26,"")</f>
        <v>102.3264</v>
      </c>
      <c r="R26" s="84" t="s">
        <v>358</v>
      </c>
    </row>
    <row r="27" customFormat="false" ht="15" hidden="false" customHeight="true" outlineLevel="0" collapsed="false">
      <c r="A27" s="72" t="n">
        <v>5910</v>
      </c>
      <c r="B27" s="85" t="n">
        <v>46189</v>
      </c>
      <c r="C27" s="86"/>
      <c r="D27" s="87" t="n">
        <v>50160</v>
      </c>
      <c r="E27" s="46" t="str">
        <f aca="false">IF(D27&lt;&gt;"",IFERROR(VLOOKUP(D27,PROVEEDORES!$A:$B,2,0),"!COD NO ENCONTRADO"),"")</f>
        <v>SUBASTAS CORUÑA S.L.</v>
      </c>
      <c r="F27" s="88" t="str">
        <f aca="false">IF(D27&lt;&gt;"",IFERROR(VLOOKUP(D27,PROVEEDORES!$A:$C,3,0),""),"")</f>
        <v>S</v>
      </c>
      <c r="G27" s="87" t="s">
        <v>332</v>
      </c>
      <c r="H27" s="46" t="str">
        <f aca="false">IF(G27&lt;&gt;"",IFERROR(VLOOKUP(G27,PRODUCTOS!$A:$B,2,0),"!COD NO ENCONTRADO"),"")</f>
        <v>VARIADO PEQUEÑO</v>
      </c>
      <c r="I27" s="89" t="n">
        <v>8</v>
      </c>
      <c r="J27" s="90" t="n">
        <f aca="false">6.25+6.25+5.75+5.75+6+5.5+6.25+6.25</f>
        <v>48</v>
      </c>
      <c r="K27" s="91" t="n">
        <v>0.5</v>
      </c>
      <c r="L27" s="80" t="n">
        <f aca="false">IF(AND(J27&lt;&gt;"",K27&lt;&gt;""),J27*K27,"")</f>
        <v>24</v>
      </c>
      <c r="M27" s="81" t="n">
        <f aca="false">IF(L27&lt;&gt;"",L27*1.1,"")</f>
        <v>26.4</v>
      </c>
      <c r="N27" s="47" t="n">
        <f aca="false">IF(F27="S",L27*0.02,0)</f>
        <v>0.48</v>
      </c>
      <c r="O27" s="82" t="n">
        <f aca="false">IF(L27&lt;&gt;"",L27+N27,"")</f>
        <v>24.48</v>
      </c>
      <c r="P27" s="47" t="n">
        <f aca="false">IF(O27&lt;&gt;"",O27*0.1,"")</f>
        <v>2.448</v>
      </c>
      <c r="Q27" s="83" t="n">
        <f aca="false">IF(O27&lt;&gt;"",O27+P27,"")</f>
        <v>26.928</v>
      </c>
      <c r="R27" s="84" t="s">
        <v>358</v>
      </c>
    </row>
    <row r="28" customFormat="false" ht="15" hidden="false" customHeight="true" outlineLevel="0" collapsed="false">
      <c r="A28" s="72" t="n">
        <v>5910</v>
      </c>
      <c r="B28" s="85" t="n">
        <v>46189</v>
      </c>
      <c r="C28" s="86" t="n">
        <v>4660</v>
      </c>
      <c r="D28" s="87" t="n">
        <v>50160</v>
      </c>
      <c r="E28" s="46" t="str">
        <f aca="false">IF(D28&lt;&gt;"",IFERROR(VLOOKUP(D28,PROVEEDORES!$A:$B,2,0),"!COD NO ENCONTRADO"),"")</f>
        <v>SUBASTAS CORUÑA S.L.</v>
      </c>
      <c r="F28" s="88" t="str">
        <f aca="false">IF(D28&lt;&gt;"",IFERROR(VLOOKUP(D28,PROVEEDORES!$A:$C,3,0),""),"")</f>
        <v>S</v>
      </c>
      <c r="G28" s="87" t="s">
        <v>193</v>
      </c>
      <c r="H28" s="46" t="str">
        <f aca="false">IF(G28&lt;&gt;"",IFERROR(VLOOKUP(G28,PRODUCTOS!$A:$B,2,0),"!COD NO ENCONTRADO"),"")</f>
        <v>MERLUZA EUROPEA ARRASTRE (HKE) </v>
      </c>
      <c r="I28" s="89" t="n">
        <v>1</v>
      </c>
      <c r="J28" s="90" t="n">
        <v>7</v>
      </c>
      <c r="K28" s="91" t="n">
        <v>4.9</v>
      </c>
      <c r="L28" s="80" t="n">
        <f aca="false">IF(AND(J28&lt;&gt;"",K28&lt;&gt;""),J28*K28,"")</f>
        <v>34.3</v>
      </c>
      <c r="M28" s="81" t="n">
        <f aca="false">IF(L28&lt;&gt;"",L28*1.1,"")</f>
        <v>37.73</v>
      </c>
      <c r="N28" s="47" t="n">
        <f aca="false">IF(F28="S",L28*0.02,0)</f>
        <v>0.686</v>
      </c>
      <c r="O28" s="82" t="n">
        <f aca="false">IF(L28&lt;&gt;"",L28+N28,"")</f>
        <v>34.986</v>
      </c>
      <c r="P28" s="47" t="n">
        <f aca="false">IF(O28&lt;&gt;"",O28*0.1,"")</f>
        <v>3.4986</v>
      </c>
      <c r="Q28" s="83" t="n">
        <f aca="false">IF(O28&lt;&gt;"",O28+P28,"")</f>
        <v>38.4846</v>
      </c>
      <c r="R28" s="84" t="s">
        <v>358</v>
      </c>
    </row>
    <row r="29" customFormat="false" ht="15" hidden="false" customHeight="true" outlineLevel="0" collapsed="false">
      <c r="A29" s="72" t="n">
        <v>5910</v>
      </c>
      <c r="B29" s="73" t="n">
        <v>46189</v>
      </c>
      <c r="C29" s="74" t="n">
        <v>4660</v>
      </c>
      <c r="D29" s="75" t="n">
        <v>50160</v>
      </c>
      <c r="E29" s="52" t="str">
        <f aca="false">IF(D29&lt;&gt;"",IFERROR(VLOOKUP(D29,PROVEEDORES!$A:$B,2,0),"!COD NO ENCONTRADO"),"")</f>
        <v>SUBASTAS CORUÑA S.L.</v>
      </c>
      <c r="F29" s="76" t="str">
        <f aca="false">IF(D29&lt;&gt;"",IFERROR(VLOOKUP(D29,PROVEEDORES!$A:$C,3,0),""),"")</f>
        <v>S</v>
      </c>
      <c r="G29" s="75" t="s">
        <v>207</v>
      </c>
      <c r="H29" s="52" t="str">
        <f aca="false">IF(G29&lt;&gt;"",IFERROR(VLOOKUP(G29,PRODUCTOS!$A:$B,2,0),"!COD NO ENCONTRADO"),"")</f>
        <v>MERLUZA EUROPEA PAREJA (HKE)</v>
      </c>
      <c r="I29" s="77" t="n">
        <v>1</v>
      </c>
      <c r="J29" s="78" t="n">
        <v>13.25</v>
      </c>
      <c r="K29" s="79" t="n">
        <v>5.4</v>
      </c>
      <c r="L29" s="80" t="n">
        <f aca="false">IF(AND(J29&lt;&gt;"",K29&lt;&gt;""),J29*K29,"")</f>
        <v>71.55</v>
      </c>
      <c r="M29" s="81" t="n">
        <f aca="false">IF(L29&lt;&gt;"",L29*1.1,"")</f>
        <v>78.705</v>
      </c>
      <c r="N29" s="53" t="n">
        <f aca="false">IF(F29="S",L29*0.02,0)</f>
        <v>1.431</v>
      </c>
      <c r="O29" s="82" t="n">
        <f aca="false">IF(L29&lt;&gt;"",L29+N29,"")</f>
        <v>72.981</v>
      </c>
      <c r="P29" s="53" t="n">
        <f aca="false">IF(O29&lt;&gt;"",O29*0.1,"")</f>
        <v>7.2981</v>
      </c>
      <c r="Q29" s="83" t="n">
        <f aca="false">IF(O29&lt;&gt;"",O29+P29,"")</f>
        <v>80.2791</v>
      </c>
      <c r="R29" s="84" t="s">
        <v>358</v>
      </c>
    </row>
    <row r="30" customFormat="false" ht="15" hidden="false" customHeight="true" outlineLevel="0" collapsed="false">
      <c r="A30" s="72" t="n">
        <v>5910</v>
      </c>
      <c r="B30" s="85" t="n">
        <v>46189</v>
      </c>
      <c r="C30" s="86" t="n">
        <v>4660</v>
      </c>
      <c r="D30" s="87" t="n">
        <v>50160</v>
      </c>
      <c r="E30" s="46" t="str">
        <f aca="false">IF(D30&lt;&gt;"",IFERROR(VLOOKUP(D30,PROVEEDORES!$A:$B,2,0),"!COD NO ENCONTRADO"),"")</f>
        <v>SUBASTAS CORUÑA S.L.</v>
      </c>
      <c r="F30" s="88" t="str">
        <f aca="false">IF(D30&lt;&gt;"",IFERROR(VLOOKUP(D30,PROVEEDORES!$A:$C,3,0),""),"")</f>
        <v>S</v>
      </c>
      <c r="G30" s="87" t="s">
        <v>296</v>
      </c>
      <c r="H30" s="46" t="str">
        <f aca="false">IF(G30&lt;&gt;"",IFERROR(VLOOKUP(G30,PRODUCTOS!$A:$B,2,0),"!COD NO ENCONTRADO"),"")</f>
        <v>RAPE NEGRO (ANK)</v>
      </c>
      <c r="I30" s="89" t="n">
        <v>4</v>
      </c>
      <c r="J30" s="90" t="n">
        <v>38.65</v>
      </c>
      <c r="K30" s="91" t="n">
        <v>4</v>
      </c>
      <c r="L30" s="80" t="n">
        <f aca="false">IF(AND(J30&lt;&gt;"",K30&lt;&gt;""),J30*K30,"")</f>
        <v>154.6</v>
      </c>
      <c r="M30" s="81" t="n">
        <f aca="false">IF(L30&lt;&gt;"",L30*1.1,"")</f>
        <v>170.06</v>
      </c>
      <c r="N30" s="47" t="n">
        <f aca="false">IF(F30="S",L30*0.02,0)</f>
        <v>3.092</v>
      </c>
      <c r="O30" s="82" t="n">
        <f aca="false">IF(L30&lt;&gt;"",L30+N30,"")</f>
        <v>157.692</v>
      </c>
      <c r="P30" s="47" t="n">
        <f aca="false">IF(O30&lt;&gt;"",O30*0.1,"")</f>
        <v>15.7692</v>
      </c>
      <c r="Q30" s="83" t="n">
        <f aca="false">IF(O30&lt;&gt;"",O30+P30,"")</f>
        <v>173.4612</v>
      </c>
      <c r="R30" s="84" t="s">
        <v>358</v>
      </c>
    </row>
    <row r="31" customFormat="false" ht="15" hidden="false" customHeight="true" outlineLevel="0" collapsed="false">
      <c r="A31" s="72" t="n">
        <v>5910</v>
      </c>
      <c r="B31" s="85" t="n">
        <v>46189</v>
      </c>
      <c r="C31" s="86"/>
      <c r="D31" s="87" t="n">
        <v>50160</v>
      </c>
      <c r="E31" s="46" t="str">
        <f aca="false">IF(D31&lt;&gt;"",IFERROR(VLOOKUP(D31,PROVEEDORES!$A:$B,2,0),"!COD NO ENCONTRADO"),"")</f>
        <v>SUBASTAS CORUÑA S.L.</v>
      </c>
      <c r="F31" s="88" t="str">
        <f aca="false">IF(D31&lt;&gt;"",IFERROR(VLOOKUP(D31,PROVEEDORES!$A:$C,3,0),""),"")</f>
        <v>S</v>
      </c>
      <c r="G31" s="87" t="s">
        <v>179</v>
      </c>
      <c r="H31" s="46" t="str">
        <f aca="false">IF(G31&lt;&gt;"",IFERROR(VLOOKUP(G31,PRODUCTOS!$A:$B,2,0),"!COD NO ENCONTRADO"),"")</f>
        <v>LIRIO/ BACALADILLA/ PERLA (WHB)</v>
      </c>
      <c r="I31" s="89" t="n">
        <v>20</v>
      </c>
      <c r="J31" s="90" t="n">
        <v>300</v>
      </c>
      <c r="K31" s="91" t="n">
        <v>1.46</v>
      </c>
      <c r="L31" s="80" t="n">
        <f aca="false">IF(AND(J31&lt;&gt;"",K31&lt;&gt;""),J31*K31,"")</f>
        <v>438</v>
      </c>
      <c r="M31" s="81" t="n">
        <f aca="false">IF(L31&lt;&gt;"",L31*1.1,"")</f>
        <v>481.8</v>
      </c>
      <c r="N31" s="47" t="n">
        <f aca="false">IF(F31="S",L31*0.02,0)</f>
        <v>8.76</v>
      </c>
      <c r="O31" s="82" t="n">
        <f aca="false">IF(L31&lt;&gt;"",L31+N31,"")</f>
        <v>446.76</v>
      </c>
      <c r="P31" s="47" t="n">
        <f aca="false">IF(O31&lt;&gt;"",O31*0.1,"")</f>
        <v>44.676</v>
      </c>
      <c r="Q31" s="83" t="n">
        <f aca="false">IF(O31&lt;&gt;"",O31+P31,"")</f>
        <v>491.436</v>
      </c>
      <c r="R31" s="84" t="s">
        <v>358</v>
      </c>
    </row>
    <row r="32" customFormat="false" ht="15" hidden="false" customHeight="true" outlineLevel="0" collapsed="false">
      <c r="A32" s="72" t="n">
        <v>5911</v>
      </c>
      <c r="B32" s="85" t="n">
        <v>46189</v>
      </c>
      <c r="C32" s="86" t="n">
        <v>31684</v>
      </c>
      <c r="D32" s="87" t="n">
        <v>50106</v>
      </c>
      <c r="E32" s="46" t="str">
        <f aca="false">IF(D32&lt;&gt;"",IFERROR(VLOOKUP(D32,PROVEEDORES!$A:$B,2,0),"!COD NO ENCONTRADO"),"")</f>
        <v>SONIA VENTAS S.L</v>
      </c>
      <c r="F32" s="88" t="str">
        <f aca="false">IF(D32&lt;&gt;"",IFERROR(VLOOKUP(D32,PROVEEDORES!$A:$C,3,0),""),"")</f>
        <v>S</v>
      </c>
      <c r="G32" s="87" t="s">
        <v>216</v>
      </c>
      <c r="H32" s="46" t="str">
        <f aca="false">IF(G32&lt;&gt;"",IFERROR(VLOOKUP(G32,PRODUCTOS!$A:$B,2,0),"!COD NO ENCONTRADO"),"")</f>
        <v>MERLUZA EUROPEA PINCHO COSTA</v>
      </c>
      <c r="I32" s="89" t="n">
        <v>1</v>
      </c>
      <c r="J32" s="90" t="n">
        <v>15.75</v>
      </c>
      <c r="K32" s="91" t="n">
        <v>8.9</v>
      </c>
      <c r="L32" s="80" t="n">
        <f aca="false">IF(AND(J32&lt;&gt;"",K32&lt;&gt;""),J32*K32,"")</f>
        <v>140.175</v>
      </c>
      <c r="M32" s="81" t="n">
        <f aca="false">IF(L32&lt;&gt;"",L32*1.1,"")</f>
        <v>154.1925</v>
      </c>
      <c r="N32" s="47" t="n">
        <f aca="false">IF(F32="S",L32*0.02,0)</f>
        <v>2.8035</v>
      </c>
      <c r="O32" s="82" t="n">
        <f aca="false">IF(L32&lt;&gt;"",L32+N32,"")</f>
        <v>142.9785</v>
      </c>
      <c r="P32" s="47" t="n">
        <f aca="false">IF(O32&lt;&gt;"",O32*0.1,"")</f>
        <v>14.29785</v>
      </c>
      <c r="Q32" s="83" t="n">
        <f aca="false">IF(O32&lt;&gt;"",O32+P32,"")</f>
        <v>157.27635</v>
      </c>
      <c r="R32" s="84" t="s">
        <v>358</v>
      </c>
    </row>
    <row r="33" customFormat="false" ht="15" hidden="false" customHeight="true" outlineLevel="0" collapsed="false">
      <c r="A33" s="72" t="n">
        <v>5911</v>
      </c>
      <c r="B33" s="73" t="n">
        <v>46189</v>
      </c>
      <c r="C33" s="74" t="n">
        <v>31684</v>
      </c>
      <c r="D33" s="75" t="n">
        <v>50106</v>
      </c>
      <c r="E33" s="52" t="str">
        <f aca="false">IF(D33&lt;&gt;"",IFERROR(VLOOKUP(D33,PROVEEDORES!$A:$B,2,0),"!COD NO ENCONTRADO"),"")</f>
        <v>SONIA VENTAS S.L</v>
      </c>
      <c r="F33" s="76" t="str">
        <f aca="false">IF(D33&lt;&gt;"",IFERROR(VLOOKUP(D33,PROVEEDORES!$A:$C,3,0),""),"")</f>
        <v>S</v>
      </c>
      <c r="G33" s="75" t="s">
        <v>216</v>
      </c>
      <c r="H33" s="52" t="str">
        <f aca="false">IF(G33&lt;&gt;"",IFERROR(VLOOKUP(G33,PRODUCTOS!$A:$B,2,0),"!COD NO ENCONTRADO"),"")</f>
        <v>MERLUZA EUROPEA PINCHO COSTA</v>
      </c>
      <c r="I33" s="77" t="n">
        <v>3</v>
      </c>
      <c r="J33" s="78" t="n">
        <f aca="false">14+14.5+14.25</f>
        <v>42.75</v>
      </c>
      <c r="K33" s="79" t="n">
        <v>5.2</v>
      </c>
      <c r="L33" s="80" t="n">
        <f aca="false">IF(AND(J33&lt;&gt;"",K33&lt;&gt;""),J33*K33,"")</f>
        <v>222.3</v>
      </c>
      <c r="M33" s="81" t="n">
        <f aca="false">IF(L33&lt;&gt;"",L33*1.1,"")</f>
        <v>244.53</v>
      </c>
      <c r="N33" s="53" t="n">
        <f aca="false">IF(F33="S",L33*0.02,0)</f>
        <v>4.446</v>
      </c>
      <c r="O33" s="82" t="n">
        <f aca="false">IF(L33&lt;&gt;"",L33+N33,"")</f>
        <v>226.746</v>
      </c>
      <c r="P33" s="53" t="n">
        <f aca="false">IF(O33&lt;&gt;"",O33*0.1,"")</f>
        <v>22.6746</v>
      </c>
      <c r="Q33" s="83" t="n">
        <f aca="false">IF(O33&lt;&gt;"",O33+P33,"")</f>
        <v>249.4206</v>
      </c>
      <c r="R33" s="84" t="s">
        <v>358</v>
      </c>
    </row>
    <row r="34" customFormat="false" ht="15" hidden="false" customHeight="true" outlineLevel="0" collapsed="false">
      <c r="A34" s="72" t="n">
        <v>5911</v>
      </c>
      <c r="B34" s="85" t="n">
        <v>46189</v>
      </c>
      <c r="C34" s="86" t="n">
        <v>31684</v>
      </c>
      <c r="D34" s="87" t="n">
        <v>50106</v>
      </c>
      <c r="E34" s="46" t="str">
        <f aca="false">IF(D34&lt;&gt;"",IFERROR(VLOOKUP(D34,PROVEEDORES!$A:$B,2,0),"!COD NO ENCONTRADO"),"")</f>
        <v>SONIA VENTAS S.L</v>
      </c>
      <c r="F34" s="88" t="str">
        <f aca="false">IF(D34&lt;&gt;"",IFERROR(VLOOKUP(D34,PROVEEDORES!$A:$C,3,0),""),"")</f>
        <v>S</v>
      </c>
      <c r="G34" s="87" t="s">
        <v>216</v>
      </c>
      <c r="H34" s="46" t="str">
        <f aca="false">IF(G34&lt;&gt;"",IFERROR(VLOOKUP(G34,PRODUCTOS!$A:$B,2,0),"!COD NO ENCONTRADO"),"")</f>
        <v>MERLUZA EUROPEA PINCHO COSTA</v>
      </c>
      <c r="I34" s="89" t="n">
        <v>2</v>
      </c>
      <c r="J34" s="90" t="n">
        <f aca="false">14+13.75</f>
        <v>27.75</v>
      </c>
      <c r="K34" s="91" t="n">
        <v>5.1</v>
      </c>
      <c r="L34" s="80" t="n">
        <f aca="false">IF(AND(J34&lt;&gt;"",K34&lt;&gt;""),J34*K34,"")</f>
        <v>141.525</v>
      </c>
      <c r="M34" s="81" t="n">
        <f aca="false">IF(L34&lt;&gt;"",L34*1.1,"")</f>
        <v>155.6775</v>
      </c>
      <c r="N34" s="47" t="n">
        <f aca="false">IF(F34="S",L34*0.02,0)</f>
        <v>2.8305</v>
      </c>
      <c r="O34" s="82" t="n">
        <f aca="false">IF(L34&lt;&gt;"",L34+N34,"")</f>
        <v>144.3555</v>
      </c>
      <c r="P34" s="47" t="n">
        <f aca="false">IF(O34&lt;&gt;"",O34*0.1,"")</f>
        <v>14.43555</v>
      </c>
      <c r="Q34" s="83" t="n">
        <f aca="false">IF(O34&lt;&gt;"",O34+P34,"")</f>
        <v>158.79105</v>
      </c>
      <c r="R34" s="84" t="s">
        <v>358</v>
      </c>
    </row>
    <row r="35" customFormat="false" ht="15" hidden="false" customHeight="true" outlineLevel="0" collapsed="false">
      <c r="A35" s="72" t="n">
        <v>5911</v>
      </c>
      <c r="B35" s="73" t="n">
        <v>46189</v>
      </c>
      <c r="C35" s="74" t="n">
        <v>31684</v>
      </c>
      <c r="D35" s="75" t="n">
        <v>50106</v>
      </c>
      <c r="E35" s="52" t="str">
        <f aca="false">IF(D35&lt;&gt;"",IFERROR(VLOOKUP(D35,PROVEEDORES!$A:$B,2,0),"!COD NO ENCONTRADO"),"")</f>
        <v>SONIA VENTAS S.L</v>
      </c>
      <c r="F35" s="76" t="str">
        <f aca="false">IF(D35&lt;&gt;"",IFERROR(VLOOKUP(D35,PROVEEDORES!$A:$C,3,0),""),"")</f>
        <v>S</v>
      </c>
      <c r="G35" s="75" t="s">
        <v>216</v>
      </c>
      <c r="H35" s="52" t="str">
        <f aca="false">IF(G35&lt;&gt;"",IFERROR(VLOOKUP(G35,PRODUCTOS!$A:$B,2,0),"!COD NO ENCONTRADO"),"")</f>
        <v>MERLUZA EUROPEA PINCHO COSTA</v>
      </c>
      <c r="I35" s="77" t="n">
        <v>3</v>
      </c>
      <c r="J35" s="78" t="n">
        <f aca="false">15.25+14.5+14.75</f>
        <v>44.5</v>
      </c>
      <c r="K35" s="79" t="n">
        <v>7.1</v>
      </c>
      <c r="L35" s="80" t="n">
        <f aca="false">IF(AND(J35&lt;&gt;"",K35&lt;&gt;""),J35*K35,"")</f>
        <v>315.95</v>
      </c>
      <c r="M35" s="81" t="n">
        <f aca="false">IF(L35&lt;&gt;"",L35*1.1,"")</f>
        <v>347.545</v>
      </c>
      <c r="N35" s="53" t="n">
        <f aca="false">IF(F35="S",L35*0.02,0)</f>
        <v>6.319</v>
      </c>
      <c r="O35" s="82" t="n">
        <f aca="false">IF(L35&lt;&gt;"",L35+N35,"")</f>
        <v>322.269</v>
      </c>
      <c r="P35" s="53" t="n">
        <f aca="false">IF(O35&lt;&gt;"",O35*0.1,"")</f>
        <v>32.2269</v>
      </c>
      <c r="Q35" s="83" t="n">
        <f aca="false">IF(O35&lt;&gt;"",O35+P35,"")</f>
        <v>354.4959</v>
      </c>
      <c r="R35" s="84" t="s">
        <v>358</v>
      </c>
    </row>
    <row r="36" customFormat="false" ht="15" hidden="false" customHeight="true" outlineLevel="0" collapsed="false">
      <c r="A36" s="72" t="n">
        <v>5911</v>
      </c>
      <c r="B36" s="85" t="n">
        <v>46189</v>
      </c>
      <c r="C36" s="86" t="n">
        <v>31684</v>
      </c>
      <c r="D36" s="87" t="n">
        <v>50106</v>
      </c>
      <c r="E36" s="46" t="str">
        <f aca="false">IF(D36&lt;&gt;"",IFERROR(VLOOKUP(D36,PROVEEDORES!$A:$B,2,0),"!COD NO ENCONTRADO"),"")</f>
        <v>SONIA VENTAS S.L</v>
      </c>
      <c r="F36" s="88" t="str">
        <f aca="false">IF(D36&lt;&gt;"",IFERROR(VLOOKUP(D36,PROVEEDORES!$A:$C,3,0),""),"")</f>
        <v>S</v>
      </c>
      <c r="G36" s="87" t="s">
        <v>216</v>
      </c>
      <c r="H36" s="46" t="str">
        <f aca="false">IF(G36&lt;&gt;"",IFERROR(VLOOKUP(G36,PRODUCTOS!$A:$B,2,0),"!COD NO ENCONTRADO"),"")</f>
        <v>MERLUZA EUROPEA PINCHO COSTA</v>
      </c>
      <c r="I36" s="89" t="n">
        <v>4</v>
      </c>
      <c r="J36" s="90" t="n">
        <f aca="false">12.5+12+12+11.5</f>
        <v>48</v>
      </c>
      <c r="K36" s="91" t="n">
        <v>3</v>
      </c>
      <c r="L36" s="80" t="n">
        <f aca="false">IF(AND(J36&lt;&gt;"",K36&lt;&gt;""),J36*K36,"")</f>
        <v>144</v>
      </c>
      <c r="M36" s="81" t="n">
        <f aca="false">IF(L36&lt;&gt;"",L36*1.1,"")</f>
        <v>158.4</v>
      </c>
      <c r="N36" s="47" t="n">
        <f aca="false">IF(F36="S",L36*0.02,0)</f>
        <v>2.88</v>
      </c>
      <c r="O36" s="82" t="n">
        <f aca="false">IF(L36&lt;&gt;"",L36+N36,"")</f>
        <v>146.88</v>
      </c>
      <c r="P36" s="47" t="n">
        <f aca="false">IF(O36&lt;&gt;"",O36*0.1,"")</f>
        <v>14.688</v>
      </c>
      <c r="Q36" s="83" t="n">
        <f aca="false">IF(O36&lt;&gt;"",O36+P36,"")</f>
        <v>161.568</v>
      </c>
      <c r="R36" s="84" t="s">
        <v>358</v>
      </c>
    </row>
    <row r="37" customFormat="false" ht="15" hidden="false" customHeight="true" outlineLevel="0" collapsed="false">
      <c r="A37" s="72" t="n">
        <v>5911</v>
      </c>
      <c r="B37" s="73" t="n">
        <v>46189</v>
      </c>
      <c r="C37" s="74" t="n">
        <v>31684</v>
      </c>
      <c r="D37" s="75" t="n">
        <v>50106</v>
      </c>
      <c r="E37" s="52" t="str">
        <f aca="false">IF(D37&lt;&gt;"",IFERROR(VLOOKUP(D37,PROVEEDORES!$A:$B,2,0),"!COD NO ENCONTRADO"),"")</f>
        <v>SONIA VENTAS S.L</v>
      </c>
      <c r="F37" s="76" t="str">
        <f aca="false">IF(D37&lt;&gt;"",IFERROR(VLOOKUP(D37,PROVEEDORES!$A:$C,3,0),""),"")</f>
        <v>S</v>
      </c>
      <c r="G37" s="75" t="s">
        <v>216</v>
      </c>
      <c r="H37" s="52" t="str">
        <f aca="false">IF(G37&lt;&gt;"",IFERROR(VLOOKUP(G37,PRODUCTOS!$A:$B,2,0),"!COD NO ENCONTRADO"),"")</f>
        <v>MERLUZA EUROPEA PINCHO COSTA</v>
      </c>
      <c r="I37" s="77" t="n">
        <v>6</v>
      </c>
      <c r="J37" s="78" t="n">
        <f aca="false">13.75+13.5+13.75+13.75+13.5+15</f>
        <v>83.25</v>
      </c>
      <c r="K37" s="79" t="n">
        <v>5.2</v>
      </c>
      <c r="L37" s="80" t="n">
        <f aca="false">IF(AND(J37&lt;&gt;"",K37&lt;&gt;""),J37*K37,"")</f>
        <v>432.9</v>
      </c>
      <c r="M37" s="81" t="n">
        <f aca="false">IF(L37&lt;&gt;"",L37*1.1,"")</f>
        <v>476.19</v>
      </c>
      <c r="N37" s="53" t="n">
        <f aca="false">IF(F37="S",L37*0.02,0)</f>
        <v>8.658</v>
      </c>
      <c r="O37" s="82" t="n">
        <f aca="false">IF(L37&lt;&gt;"",L37+N37,"")</f>
        <v>441.558</v>
      </c>
      <c r="P37" s="53" t="n">
        <f aca="false">IF(O37&lt;&gt;"",O37*0.1,"")</f>
        <v>44.1558</v>
      </c>
      <c r="Q37" s="83" t="n">
        <f aca="false">IF(O37&lt;&gt;"",O37+P37,"")</f>
        <v>485.7138</v>
      </c>
      <c r="R37" s="84" t="s">
        <v>358</v>
      </c>
    </row>
    <row r="38" customFormat="false" ht="15" hidden="false" customHeight="true" outlineLevel="0" collapsed="false">
      <c r="A38" s="72" t="n">
        <v>5911</v>
      </c>
      <c r="B38" s="85" t="n">
        <v>46189</v>
      </c>
      <c r="C38" s="86" t="n">
        <v>31684</v>
      </c>
      <c r="D38" s="87" t="n">
        <v>50106</v>
      </c>
      <c r="E38" s="46" t="str">
        <f aca="false">IF(D38&lt;&gt;"",IFERROR(VLOOKUP(D38,PROVEEDORES!$A:$B,2,0),"!COD NO ENCONTRADO"),"")</f>
        <v>SONIA VENTAS S.L</v>
      </c>
      <c r="F38" s="88" t="str">
        <f aca="false">IF(D38&lt;&gt;"",IFERROR(VLOOKUP(D38,PROVEEDORES!$A:$C,3,0),""),"")</f>
        <v>S</v>
      </c>
      <c r="G38" s="87" t="s">
        <v>216</v>
      </c>
      <c r="H38" s="46" t="str">
        <f aca="false">IF(G38&lt;&gt;"",IFERROR(VLOOKUP(G38,PRODUCTOS!$A:$B,2,0),"!COD NO ENCONTRADO"),"")</f>
        <v>MERLUZA EUROPEA PINCHO COSTA</v>
      </c>
      <c r="I38" s="89" t="n">
        <v>4</v>
      </c>
      <c r="J38" s="90" t="n">
        <f aca="false">14.25+14+13.5+14</f>
        <v>55.75</v>
      </c>
      <c r="K38" s="91" t="n">
        <v>5.3</v>
      </c>
      <c r="L38" s="80" t="n">
        <f aca="false">IF(AND(J38&lt;&gt;"",K38&lt;&gt;""),J38*K38,"")</f>
        <v>295.475</v>
      </c>
      <c r="M38" s="81" t="n">
        <f aca="false">IF(L38&lt;&gt;"",L38*1.1,"")</f>
        <v>325.0225</v>
      </c>
      <c r="N38" s="47" t="n">
        <f aca="false">IF(F38="S",L38*0.02,0)</f>
        <v>5.9095</v>
      </c>
      <c r="O38" s="82" t="n">
        <f aca="false">IF(L38&lt;&gt;"",L38+N38,"")</f>
        <v>301.3845</v>
      </c>
      <c r="P38" s="47" t="n">
        <f aca="false">IF(O38&lt;&gt;"",O38*0.1,"")</f>
        <v>30.13845</v>
      </c>
      <c r="Q38" s="83" t="n">
        <f aca="false">IF(O38&lt;&gt;"",O38+P38,"")</f>
        <v>331.52295</v>
      </c>
      <c r="R38" s="84" t="s">
        <v>365</v>
      </c>
    </row>
    <row r="39" customFormat="false" ht="15" hidden="false" customHeight="true" outlineLevel="0" collapsed="false">
      <c r="A39" s="72" t="n">
        <v>5911</v>
      </c>
      <c r="B39" s="73" t="n">
        <v>46189</v>
      </c>
      <c r="C39" s="74" t="n">
        <v>31684</v>
      </c>
      <c r="D39" s="75" t="n">
        <v>50106</v>
      </c>
      <c r="E39" s="52" t="str">
        <f aca="false">IF(D39&lt;&gt;"",IFERROR(VLOOKUP(D39,PROVEEDORES!$A:$B,2,0),"!COD NO ENCONTRADO"),"")</f>
        <v>SONIA VENTAS S.L</v>
      </c>
      <c r="F39" s="76" t="str">
        <f aca="false">IF(D39&lt;&gt;"",IFERROR(VLOOKUP(D39,PROVEEDORES!$A:$C,3,0),""),"")</f>
        <v>S</v>
      </c>
      <c r="G39" s="75" t="s">
        <v>216</v>
      </c>
      <c r="H39" s="52" t="str">
        <f aca="false">IF(G39&lt;&gt;"",IFERROR(VLOOKUP(G39,PRODUCTOS!$A:$B,2,0),"!COD NO ENCONTRADO"),"")</f>
        <v>MERLUZA EUROPEA PINCHO COSTA</v>
      </c>
      <c r="I39" s="77" t="n">
        <v>2</v>
      </c>
      <c r="J39" s="78" t="n">
        <f aca="false">14.25+13.25</f>
        <v>27.5</v>
      </c>
      <c r="K39" s="79" t="n">
        <v>5.2</v>
      </c>
      <c r="L39" s="80" t="n">
        <f aca="false">IF(AND(J39&lt;&gt;"",K39&lt;&gt;""),J39*K39,"")</f>
        <v>143</v>
      </c>
      <c r="M39" s="81" t="n">
        <f aca="false">IF(L39&lt;&gt;"",L39*1.1,"")</f>
        <v>157.3</v>
      </c>
      <c r="N39" s="53" t="n">
        <f aca="false">IF(F39="S",L39*0.02,0)</f>
        <v>2.86</v>
      </c>
      <c r="O39" s="82" t="n">
        <f aca="false">IF(L39&lt;&gt;"",L39+N39,"")</f>
        <v>145.86</v>
      </c>
      <c r="P39" s="53" t="n">
        <f aca="false">IF(O39&lt;&gt;"",O39*0.1,"")</f>
        <v>14.586</v>
      </c>
      <c r="Q39" s="83" t="n">
        <f aca="false">IF(O39&lt;&gt;"",O39+P39,"")</f>
        <v>160.446</v>
      </c>
      <c r="R39" s="84" t="s">
        <v>365</v>
      </c>
    </row>
    <row r="40" customFormat="false" ht="15" hidden="false" customHeight="true" outlineLevel="0" collapsed="false">
      <c r="A40" s="72" t="n">
        <v>5911</v>
      </c>
      <c r="B40" s="85" t="n">
        <v>46189</v>
      </c>
      <c r="C40" s="86" t="n">
        <v>31684</v>
      </c>
      <c r="D40" s="87" t="n">
        <v>50106</v>
      </c>
      <c r="E40" s="46" t="str">
        <f aca="false">IF(D40&lt;&gt;"",IFERROR(VLOOKUP(D40,PROVEEDORES!$A:$B,2,0),"!COD NO ENCONTRADO"),"")</f>
        <v>SONIA VENTAS S.L</v>
      </c>
      <c r="F40" s="88" t="str">
        <f aca="false">IF(D40&lt;&gt;"",IFERROR(VLOOKUP(D40,PROVEEDORES!$A:$C,3,0),""),"")</f>
        <v>S</v>
      </c>
      <c r="G40" s="87" t="s">
        <v>216</v>
      </c>
      <c r="H40" s="46" t="str">
        <f aca="false">IF(G40&lt;&gt;"",IFERROR(VLOOKUP(G40,PRODUCTOS!$A:$B,2,0),"!COD NO ENCONTRADO"),"")</f>
        <v>MERLUZA EUROPEA PINCHO COSTA</v>
      </c>
      <c r="I40" s="89" t="n">
        <v>3</v>
      </c>
      <c r="J40" s="90" t="n">
        <f aca="false">14+14.25+14.25</f>
        <v>42.5</v>
      </c>
      <c r="K40" s="91" t="n">
        <v>5.5</v>
      </c>
      <c r="L40" s="80" t="n">
        <f aca="false">IF(AND(J40&lt;&gt;"",K40&lt;&gt;""),J40*K40,"")</f>
        <v>233.75</v>
      </c>
      <c r="M40" s="81" t="n">
        <f aca="false">IF(L40&lt;&gt;"",L40*1.1,"")</f>
        <v>257.125</v>
      </c>
      <c r="N40" s="47" t="n">
        <f aca="false">IF(F40="S",L40*0.02,0)</f>
        <v>4.675</v>
      </c>
      <c r="O40" s="82" t="n">
        <f aca="false">IF(L40&lt;&gt;"",L40+N40,"")</f>
        <v>238.425</v>
      </c>
      <c r="P40" s="47" t="n">
        <f aca="false">IF(O40&lt;&gt;"",O40*0.1,"")</f>
        <v>23.8425</v>
      </c>
      <c r="Q40" s="83" t="n">
        <f aca="false">IF(O40&lt;&gt;"",O40+P40,"")</f>
        <v>262.2675</v>
      </c>
      <c r="R40" s="84" t="s">
        <v>365</v>
      </c>
    </row>
    <row r="41" customFormat="false" ht="15" hidden="false" customHeight="true" outlineLevel="0" collapsed="false">
      <c r="A41" s="72" t="n">
        <v>5911</v>
      </c>
      <c r="B41" s="73" t="n">
        <v>46189</v>
      </c>
      <c r="C41" s="74" t="n">
        <v>31684</v>
      </c>
      <c r="D41" s="75" t="n">
        <v>50106</v>
      </c>
      <c r="E41" s="52" t="str">
        <f aca="false">IF(D41&lt;&gt;"",IFERROR(VLOOKUP(D41,PROVEEDORES!$A:$B,2,0),"!COD NO ENCONTRADO"),"")</f>
        <v>SONIA VENTAS S.L</v>
      </c>
      <c r="F41" s="76" t="str">
        <f aca="false">IF(D41&lt;&gt;"",IFERROR(VLOOKUP(D41,PROVEEDORES!$A:$C,3,0),""),"")</f>
        <v>S</v>
      </c>
      <c r="G41" s="75" t="s">
        <v>103</v>
      </c>
      <c r="H41" s="52" t="str">
        <f aca="false">IF(G41&lt;&gt;"",IFERROR(VLOOKUP(G41,PRODUCTOS!$A:$B,2,0),"!COD NO ENCONTRADO"),"")</f>
        <v>CABRAS/ GALLINETA (BRF)</v>
      </c>
      <c r="I41" s="77" t="n">
        <v>1</v>
      </c>
      <c r="J41" s="78" t="n">
        <v>9.25</v>
      </c>
      <c r="K41" s="79" t="n">
        <v>5</v>
      </c>
      <c r="L41" s="80" t="n">
        <f aca="false">IF(AND(J41&lt;&gt;"",K41&lt;&gt;""),J41*K41,"")</f>
        <v>46.25</v>
      </c>
      <c r="M41" s="81" t="n">
        <f aca="false">IF(L41&lt;&gt;"",L41*1.1,"")</f>
        <v>50.875</v>
      </c>
      <c r="N41" s="53" t="n">
        <f aca="false">IF(F41="S",L41*0.02,0)</f>
        <v>0.925</v>
      </c>
      <c r="O41" s="82" t="n">
        <f aca="false">IF(L41&lt;&gt;"",L41+N41,"")</f>
        <v>47.175</v>
      </c>
      <c r="P41" s="53" t="n">
        <f aca="false">IF(O41&lt;&gt;"",O41*0.1,"")</f>
        <v>4.7175</v>
      </c>
      <c r="Q41" s="83" t="n">
        <f aca="false">IF(O41&lt;&gt;"",O41+P41,"")</f>
        <v>51.8925</v>
      </c>
      <c r="R41" s="84" t="s">
        <v>365</v>
      </c>
    </row>
    <row r="42" customFormat="false" ht="15" hidden="false" customHeight="true" outlineLevel="0" collapsed="false">
      <c r="A42" s="72" t="n">
        <v>5911</v>
      </c>
      <c r="B42" s="73" t="n">
        <v>46189</v>
      </c>
      <c r="C42" s="74" t="n">
        <v>31684</v>
      </c>
      <c r="D42" s="75" t="n">
        <v>50106</v>
      </c>
      <c r="E42" s="52" t="str">
        <f aca="false">IF(D42&lt;&gt;"",IFERROR(VLOOKUP(D42,PROVEEDORES!$A:$B,2,0),"!COD NO ENCONTRADO"),"")</f>
        <v>SONIA VENTAS S.L</v>
      </c>
      <c r="F42" s="76" t="str">
        <f aca="false">IF(D42&lt;&gt;"",IFERROR(VLOOKUP(D42,PROVEEDORES!$A:$C,3,0),""),"")</f>
        <v>S</v>
      </c>
      <c r="G42" s="75" t="s">
        <v>103</v>
      </c>
      <c r="H42" s="52" t="str">
        <f aca="false">IF(G42&lt;&gt;"",IFERROR(VLOOKUP(G42,PRODUCTOS!$A:$B,2,0),"!COD NO ENCONTRADO"),"")</f>
        <v>CABRAS/ GALLINETA (BRF)</v>
      </c>
      <c r="I42" s="77" t="n">
        <v>1</v>
      </c>
      <c r="J42" s="78" t="n">
        <v>6.4</v>
      </c>
      <c r="K42" s="79" t="n">
        <v>10</v>
      </c>
      <c r="L42" s="80" t="n">
        <f aca="false">IF(AND(J42&lt;&gt;"",K42&lt;&gt;""),J42*K42,"")</f>
        <v>64</v>
      </c>
      <c r="M42" s="81" t="n">
        <f aca="false">IF(L42&lt;&gt;"",L42*1.1,"")</f>
        <v>70.4</v>
      </c>
      <c r="N42" s="53" t="n">
        <f aca="false">IF(F42="S",L42*0.02,0)</f>
        <v>1.28</v>
      </c>
      <c r="O42" s="82" t="n">
        <f aca="false">IF(L42&lt;&gt;"",L42+N42,"")</f>
        <v>65.28</v>
      </c>
      <c r="P42" s="53" t="n">
        <f aca="false">IF(O42&lt;&gt;"",O42*0.1,"")</f>
        <v>6.528</v>
      </c>
      <c r="Q42" s="83" t="n">
        <f aca="false">IF(O42&lt;&gt;"",O42+P42,"")</f>
        <v>71.808</v>
      </c>
      <c r="R42" s="84" t="s">
        <v>365</v>
      </c>
    </row>
    <row r="43" customFormat="false" ht="15" hidden="false" customHeight="true" outlineLevel="0" collapsed="false">
      <c r="A43" s="72" t="n">
        <v>5912</v>
      </c>
      <c r="B43" s="73" t="n">
        <v>46189</v>
      </c>
      <c r="C43" s="74"/>
      <c r="D43" s="75" t="n">
        <v>50001</v>
      </c>
      <c r="E43" s="52" t="str">
        <f aca="false">IF(D43&lt;&gt;"",IFERROR(VLOOKUP(D43,PROVEEDORES!$A:$B,2,0),"!COD NO ENCONTRADO"),"")</f>
        <v>COPESA</v>
      </c>
      <c r="F43" s="76" t="str">
        <f aca="false">IF(D43&lt;&gt;"",IFERROR(VLOOKUP(D43,PROVEEDORES!$A:$C,3,0),""),"")</f>
        <v>S</v>
      </c>
      <c r="G43" s="75" t="s">
        <v>294</v>
      </c>
      <c r="H43" s="52" t="str">
        <f aca="false">IF(G43&lt;&gt;"",IFERROR(VLOOKUP(G43,PRODUCTOS!$A:$B,2,0),"!COD NO ENCONTRADO"),"")</f>
        <v>RAPE BLANCO ARRASTRE (MON)</v>
      </c>
      <c r="I43" s="77" t="n">
        <v>2</v>
      </c>
      <c r="J43" s="78" t="n">
        <f aca="false">5+4.5</f>
        <v>9.5</v>
      </c>
      <c r="K43" s="79" t="n">
        <v>6.5</v>
      </c>
      <c r="L43" s="80" t="n">
        <f aca="false">IF(AND(J43&lt;&gt;"",K43&lt;&gt;""),J43*K43,"")</f>
        <v>61.75</v>
      </c>
      <c r="M43" s="81" t="n">
        <f aca="false">IF(L43&lt;&gt;"",L43*1.1,"")</f>
        <v>67.925</v>
      </c>
      <c r="N43" s="53" t="n">
        <f aca="false">IF(F43="S",L43*0.02,0)</f>
        <v>1.235</v>
      </c>
      <c r="O43" s="82" t="n">
        <f aca="false">IF(L43&lt;&gt;"",L43+N43,"")</f>
        <v>62.985</v>
      </c>
      <c r="P43" s="53" t="n">
        <f aca="false">IF(O43&lt;&gt;"",O43*0.1,"")</f>
        <v>6.2985</v>
      </c>
      <c r="Q43" s="83" t="n">
        <f aca="false">IF(O43&lt;&gt;"",O43+P43,"")</f>
        <v>69.2835</v>
      </c>
      <c r="R43" s="84"/>
    </row>
    <row r="44" customFormat="false" ht="15" hidden="false" customHeight="true" outlineLevel="0" collapsed="false">
      <c r="A44" s="72" t="n">
        <v>5912</v>
      </c>
      <c r="B44" s="85" t="n">
        <v>46189</v>
      </c>
      <c r="C44" s="86"/>
      <c r="D44" s="87" t="n">
        <v>50001</v>
      </c>
      <c r="E44" s="46" t="str">
        <f aca="false">IF(D44&lt;&gt;"",IFERROR(VLOOKUP(D44,PROVEEDORES!$A:$B,2,0),"!COD NO ENCONTRADO"),"")</f>
        <v>COPESA</v>
      </c>
      <c r="F44" s="88" t="str">
        <f aca="false">IF(D44&lt;&gt;"",IFERROR(VLOOKUP(D44,PROVEEDORES!$A:$C,3,0),""),"")</f>
        <v>S</v>
      </c>
      <c r="G44" s="87" t="s">
        <v>294</v>
      </c>
      <c r="H44" s="46" t="str">
        <f aca="false">IF(G44&lt;&gt;"",IFERROR(VLOOKUP(G44,PRODUCTOS!$A:$B,2,0),"!COD NO ENCONTRADO"),"")</f>
        <v>RAPE BLANCO ARRASTRE (MON)</v>
      </c>
      <c r="I44" s="89" t="n">
        <v>1</v>
      </c>
      <c r="J44" s="90" t="n">
        <v>13.5</v>
      </c>
      <c r="K44" s="91" t="n">
        <v>6</v>
      </c>
      <c r="L44" s="80" t="n">
        <f aca="false">IF(AND(J44&lt;&gt;"",K44&lt;&gt;""),J44*K44,"")</f>
        <v>81</v>
      </c>
      <c r="M44" s="81" t="n">
        <f aca="false">IF(L44&lt;&gt;"",L44*1.1,"")</f>
        <v>89.1</v>
      </c>
      <c r="N44" s="47" t="n">
        <f aca="false">IF(F44="S",L44*0.02,0)</f>
        <v>1.62</v>
      </c>
      <c r="O44" s="82" t="n">
        <f aca="false">IF(L44&lt;&gt;"",L44+N44,"")</f>
        <v>82.62</v>
      </c>
      <c r="P44" s="47" t="n">
        <f aca="false">IF(O44&lt;&gt;"",O44*0.1,"")</f>
        <v>8.262</v>
      </c>
      <c r="Q44" s="83" t="n">
        <f aca="false">IF(O44&lt;&gt;"",O44+P44,"")</f>
        <v>90.882</v>
      </c>
      <c r="R44" s="84"/>
    </row>
    <row r="45" customFormat="false" ht="15" hidden="false" customHeight="true" outlineLevel="0" collapsed="false">
      <c r="A45" s="72" t="n">
        <v>5912</v>
      </c>
      <c r="B45" s="73" t="n">
        <v>46189</v>
      </c>
      <c r="C45" s="74"/>
      <c r="D45" s="75" t="n">
        <v>50001</v>
      </c>
      <c r="E45" s="52" t="str">
        <f aca="false">IF(D45&lt;&gt;"",IFERROR(VLOOKUP(D45,PROVEEDORES!$A:$B,2,0),"!COD NO ENCONTRADO"),"")</f>
        <v>COPESA</v>
      </c>
      <c r="F45" s="76" t="str">
        <f aca="false">IF(D45&lt;&gt;"",IFERROR(VLOOKUP(D45,PROVEEDORES!$A:$C,3,0),""),"")</f>
        <v>S</v>
      </c>
      <c r="G45" s="75" t="s">
        <v>296</v>
      </c>
      <c r="H45" s="52" t="str">
        <f aca="false">IF(G45&lt;&gt;"",IFERROR(VLOOKUP(G45,PRODUCTOS!$A:$B,2,0),"!COD NO ENCONTRADO"),"")</f>
        <v>RAPE NEGRO (ANK)</v>
      </c>
      <c r="I45" s="77" t="n">
        <v>1</v>
      </c>
      <c r="J45" s="78" t="n">
        <v>6.3</v>
      </c>
      <c r="K45" s="79" t="n">
        <v>9.6</v>
      </c>
      <c r="L45" s="80" t="n">
        <f aca="false">IF(AND(J45&lt;&gt;"",K45&lt;&gt;""),J45*K45,"")</f>
        <v>60.48</v>
      </c>
      <c r="M45" s="81" t="n">
        <f aca="false">IF(L45&lt;&gt;"",L45*1.1,"")</f>
        <v>66.528</v>
      </c>
      <c r="N45" s="53" t="n">
        <f aca="false">IF(F45="S",L45*0.02,0)</f>
        <v>1.2096</v>
      </c>
      <c r="O45" s="82" t="n">
        <f aca="false">IF(L45&lt;&gt;"",L45+N45,"")</f>
        <v>61.6896</v>
      </c>
      <c r="P45" s="53" t="n">
        <f aca="false">IF(O45&lt;&gt;"",O45*0.1,"")</f>
        <v>6.16896</v>
      </c>
      <c r="Q45" s="83" t="n">
        <f aca="false">IF(O45&lt;&gt;"",O45+P45,"")</f>
        <v>67.85856</v>
      </c>
      <c r="R45" s="84"/>
    </row>
    <row r="46" customFormat="false" ht="15" hidden="false" customHeight="true" outlineLevel="0" collapsed="false">
      <c r="A46" s="72" t="n">
        <v>5913</v>
      </c>
      <c r="B46" s="85" t="n">
        <v>46189</v>
      </c>
      <c r="C46" s="86" t="s">
        <v>366</v>
      </c>
      <c r="D46" s="87" t="n">
        <v>50232</v>
      </c>
      <c r="E46" s="46" t="str">
        <f aca="false">IF(D46&lt;&gt;"",IFERROR(VLOOKUP(D46,PROVEEDORES!$A:$B,2,0),"!COD NO ENCONTRADO"),"")</f>
        <v>XESTION NOVA LONXA RIVEIRA S.L.</v>
      </c>
      <c r="F46" s="88" t="str">
        <f aca="false">IF(D46&lt;&gt;"",IFERROR(VLOOKUP(D46,PROVEEDORES!$A:$C,3,0),""),"")</f>
        <v>S</v>
      </c>
      <c r="G46" s="87" t="s">
        <v>83</v>
      </c>
      <c r="H46" s="46" t="str">
        <f aca="false">IF(G46&lt;&gt;"",IFERROR(VLOOKUP(G46,PRODUCTOS!$A:$B,2,0),"!COD NO ENCONTRADO"),"")</f>
        <v>BESUGO (BSR)</v>
      </c>
      <c r="I46" s="89" t="n">
        <v>2</v>
      </c>
      <c r="J46" s="90" t="n">
        <v>11.9</v>
      </c>
      <c r="K46" s="91" t="n">
        <v>42</v>
      </c>
      <c r="L46" s="80" t="n">
        <f aca="false">IF(AND(J46&lt;&gt;"",K46&lt;&gt;""),J46*K46,"")</f>
        <v>499.8</v>
      </c>
      <c r="M46" s="81" t="n">
        <f aca="false">IF(L46&lt;&gt;"",L46*1.1,"")</f>
        <v>549.78</v>
      </c>
      <c r="N46" s="47" t="n">
        <f aca="false">IF(F46="S",L46*0.02,0)</f>
        <v>9.996</v>
      </c>
      <c r="O46" s="82" t="n">
        <f aca="false">IF(L46&lt;&gt;"",L46+N46,"")</f>
        <v>509.796</v>
      </c>
      <c r="P46" s="47" t="n">
        <f aca="false">IF(O46&lt;&gt;"",O46*0.1,"")</f>
        <v>50.9796</v>
      </c>
      <c r="Q46" s="83" t="n">
        <f aca="false">IF(O46&lt;&gt;"",O46+P46,"")</f>
        <v>560.7756</v>
      </c>
      <c r="R46" s="84"/>
    </row>
    <row r="47" customFormat="false" ht="15" hidden="false" customHeight="true" outlineLevel="0" collapsed="false">
      <c r="A47" s="72" t="n">
        <v>5913</v>
      </c>
      <c r="B47" s="73" t="n">
        <v>46189</v>
      </c>
      <c r="C47" s="74" t="s">
        <v>366</v>
      </c>
      <c r="D47" s="75" t="n">
        <v>50232</v>
      </c>
      <c r="E47" s="52" t="str">
        <f aca="false">IF(D47&lt;&gt;"",IFERROR(VLOOKUP(D47,PROVEEDORES!$A:$B,2,0),"!COD NO ENCONTRADO"),"")</f>
        <v>XESTION NOVA LONXA RIVEIRA S.L.</v>
      </c>
      <c r="F47" s="76" t="str">
        <f aca="false">IF(D47&lt;&gt;"",IFERROR(VLOOKUP(D47,PROVEEDORES!$A:$C,3,0),""),"")</f>
        <v>S</v>
      </c>
      <c r="G47" s="75" t="s">
        <v>83</v>
      </c>
      <c r="H47" s="52" t="str">
        <f aca="false">IF(G47&lt;&gt;"",IFERROR(VLOOKUP(G47,PRODUCTOS!$A:$B,2,0),"!COD NO ENCONTRADO"),"")</f>
        <v>BESUGO (BSR)</v>
      </c>
      <c r="I47" s="77" t="n">
        <v>1</v>
      </c>
      <c r="J47" s="78" t="n">
        <v>5.2</v>
      </c>
      <c r="K47" s="79" t="n">
        <v>43.4</v>
      </c>
      <c r="L47" s="80" t="n">
        <f aca="false">IF(AND(J47&lt;&gt;"",K47&lt;&gt;""),J47*K47,"")</f>
        <v>225.68</v>
      </c>
      <c r="M47" s="81" t="n">
        <f aca="false">IF(L47&lt;&gt;"",L47*1.1,"")</f>
        <v>248.248</v>
      </c>
      <c r="N47" s="53" t="n">
        <f aca="false">IF(F47="S",L47*0.02,0)</f>
        <v>4.5136</v>
      </c>
      <c r="O47" s="82" t="n">
        <f aca="false">IF(L47&lt;&gt;"",L47+N47,"")</f>
        <v>230.1936</v>
      </c>
      <c r="P47" s="53" t="n">
        <f aca="false">IF(O47&lt;&gt;"",O47*0.1,"")</f>
        <v>23.01936</v>
      </c>
      <c r="Q47" s="83" t="n">
        <f aca="false">IF(O47&lt;&gt;"",O47+P47,"")</f>
        <v>253.21296</v>
      </c>
      <c r="R47" s="84"/>
    </row>
    <row r="48" customFormat="false" ht="15" hidden="false" customHeight="true" outlineLevel="0" collapsed="false">
      <c r="A48" s="72" t="n">
        <v>5913</v>
      </c>
      <c r="B48" s="85" t="n">
        <v>46189</v>
      </c>
      <c r="C48" s="86" t="s">
        <v>366</v>
      </c>
      <c r="D48" s="87" t="n">
        <v>50232</v>
      </c>
      <c r="E48" s="46" t="str">
        <f aca="false">IF(D48&lt;&gt;"",IFERROR(VLOOKUP(D48,PROVEEDORES!$A:$B,2,0),"!COD NO ENCONTRADO"),"")</f>
        <v>XESTION NOVA LONXA RIVEIRA S.L.</v>
      </c>
      <c r="F48" s="88" t="str">
        <f aca="false">IF(D48&lt;&gt;"",IFERROR(VLOOKUP(D48,PROVEEDORES!$A:$C,3,0),""),"")</f>
        <v>S</v>
      </c>
      <c r="G48" s="87" t="s">
        <v>310</v>
      </c>
      <c r="H48" s="46" t="str">
        <f aca="false">IF(G48&lt;&gt;"",IFERROR(VLOOKUP(G48,PRODUCTOS!$A:$B,2,0),"!COD NO ENCONTRADO"),"")</f>
        <v>SABOGA/ SALEMA/ SALMA (SLM)</v>
      </c>
      <c r="I48" s="89" t="n">
        <v>9</v>
      </c>
      <c r="J48" s="90" t="n">
        <v>67.5</v>
      </c>
      <c r="K48" s="91" t="n">
        <v>1</v>
      </c>
      <c r="L48" s="80" t="n">
        <f aca="false">IF(AND(J48&lt;&gt;"",K48&lt;&gt;""),J48*K48,"")</f>
        <v>67.5</v>
      </c>
      <c r="M48" s="81" t="n">
        <f aca="false">IF(L48&lt;&gt;"",L48*1.1,"")</f>
        <v>74.25</v>
      </c>
      <c r="N48" s="47" t="n">
        <f aca="false">IF(F48="S",L48*0.02,0)</f>
        <v>1.35</v>
      </c>
      <c r="O48" s="82" t="n">
        <f aca="false">IF(L48&lt;&gt;"",L48+N48,"")</f>
        <v>68.85</v>
      </c>
      <c r="P48" s="47" t="n">
        <f aca="false">IF(O48&lt;&gt;"",O48*0.1,"")</f>
        <v>6.885</v>
      </c>
      <c r="Q48" s="83" t="n">
        <f aca="false">IF(O48&lt;&gt;"",O48+P48,"")</f>
        <v>75.735</v>
      </c>
      <c r="R48" s="84"/>
    </row>
    <row r="49" customFormat="false" ht="15" hidden="false" customHeight="true" outlineLevel="0" collapsed="false">
      <c r="A49" s="72" t="n">
        <v>5913</v>
      </c>
      <c r="B49" s="73" t="n">
        <v>46189</v>
      </c>
      <c r="C49" s="74" t="s">
        <v>366</v>
      </c>
      <c r="D49" s="75" t="n">
        <v>50232</v>
      </c>
      <c r="E49" s="52" t="str">
        <f aca="false">IF(D49&lt;&gt;"",IFERROR(VLOOKUP(D49,PROVEEDORES!$A:$B,2,0),"!COD NO ENCONTRADO"),"")</f>
        <v>XESTION NOVA LONXA RIVEIRA S.L.</v>
      </c>
      <c r="F49" s="76" t="str">
        <f aca="false">IF(D49&lt;&gt;"",IFERROR(VLOOKUP(D49,PROVEEDORES!$A:$C,3,0),""),"")</f>
        <v>S</v>
      </c>
      <c r="G49" s="75" t="s">
        <v>179</v>
      </c>
      <c r="H49" s="52" t="str">
        <f aca="false">IF(G49&lt;&gt;"",IFERROR(VLOOKUP(G49,PRODUCTOS!$A:$B,2,0),"!COD NO ENCONTRADO"),"")</f>
        <v>LIRIO/ BACALADILLA/ PERLA (WHB)</v>
      </c>
      <c r="I49" s="77" t="n">
        <v>10</v>
      </c>
      <c r="J49" s="78" t="n">
        <v>150</v>
      </c>
      <c r="K49" s="79" t="n">
        <v>1.46</v>
      </c>
      <c r="L49" s="80" t="n">
        <f aca="false">IF(AND(J49&lt;&gt;"",K49&lt;&gt;""),J49*K49,"")</f>
        <v>219</v>
      </c>
      <c r="M49" s="81" t="n">
        <f aca="false">IF(L49&lt;&gt;"",L49*1.1,"")</f>
        <v>240.9</v>
      </c>
      <c r="N49" s="53" t="n">
        <f aca="false">IF(F49="S",L49*0.02,0)</f>
        <v>4.38</v>
      </c>
      <c r="O49" s="82" t="n">
        <f aca="false">IF(L49&lt;&gt;"",L49+N49,"")</f>
        <v>223.38</v>
      </c>
      <c r="P49" s="53" t="n">
        <f aca="false">IF(O49&lt;&gt;"",O49*0.1,"")</f>
        <v>22.338</v>
      </c>
      <c r="Q49" s="83" t="n">
        <f aca="false">IF(O49&lt;&gt;"",O49+P49,"")</f>
        <v>245.718</v>
      </c>
      <c r="R49" s="84"/>
    </row>
    <row r="50" customFormat="false" ht="15" hidden="false" customHeight="true" outlineLevel="0" collapsed="false">
      <c r="A50" s="72" t="n">
        <v>5914</v>
      </c>
      <c r="B50" s="85" t="n">
        <v>46189</v>
      </c>
      <c r="C50" s="86" t="n">
        <v>10756</v>
      </c>
      <c r="D50" s="87" t="n">
        <v>50048</v>
      </c>
      <c r="E50" s="46" t="str">
        <f aca="false">IF(D50&lt;&gt;"",IFERROR(VLOOKUP(D50,PROVEEDORES!$A:$B,2,0),"!COD NO ENCONTRADO"),"")</f>
        <v>JOSE LUIS CORREA KESSLER S.L.</v>
      </c>
      <c r="F50" s="88" t="str">
        <f aca="false">IF(D50&lt;&gt;"",IFERROR(VLOOKUP(D50,PROVEEDORES!$A:$C,3,0),""),"")</f>
        <v>N</v>
      </c>
      <c r="G50" s="87" t="s">
        <v>179</v>
      </c>
      <c r="H50" s="46" t="str">
        <f aca="false">IF(G50&lt;&gt;"",IFERROR(VLOOKUP(G50,PRODUCTOS!$A:$B,2,0),"!COD NO ENCONTRADO"),"")</f>
        <v>LIRIO/ BACALADILLA/ PERLA (WHB)</v>
      </c>
      <c r="I50" s="89" t="n">
        <v>3</v>
      </c>
      <c r="J50" s="90" t="n">
        <v>18</v>
      </c>
      <c r="K50" s="91" t="n">
        <v>1.75</v>
      </c>
      <c r="L50" s="80" t="n">
        <f aca="false">IF(AND(J50&lt;&gt;"",K50&lt;&gt;""),J50*K50,"")</f>
        <v>31.5</v>
      </c>
      <c r="M50" s="81" t="n">
        <f aca="false">IF(L50&lt;&gt;"",L50*1.1,"")</f>
        <v>34.65</v>
      </c>
      <c r="N50" s="47" t="n">
        <f aca="false">IF(F50="S",L50*0.02,0)</f>
        <v>0</v>
      </c>
      <c r="O50" s="82" t="n">
        <f aca="false">IF(L50&lt;&gt;"",L50+N50,"")</f>
        <v>31.5</v>
      </c>
      <c r="P50" s="47" t="n">
        <f aca="false">IF(O50&lt;&gt;"",O50*0.1,"")</f>
        <v>3.15</v>
      </c>
      <c r="Q50" s="83" t="n">
        <f aca="false">IF(O50&lt;&gt;"",O50+P50,"")</f>
        <v>34.65</v>
      </c>
      <c r="R50" s="84"/>
    </row>
    <row r="51" customFormat="false" ht="15" hidden="false" customHeight="true" outlineLevel="0" collapsed="false">
      <c r="A51" s="72" t="n">
        <v>5915</v>
      </c>
      <c r="B51" s="73" t="n">
        <v>46190</v>
      </c>
      <c r="C51" s="74" t="n">
        <v>4660</v>
      </c>
      <c r="D51" s="75" t="n">
        <v>50160</v>
      </c>
      <c r="E51" s="52" t="str">
        <f aca="false">IF(D51&lt;&gt;"",IFERROR(VLOOKUP(D51,PROVEEDORES!$A:$B,2,0),"!COD NO ENCONTRADO"),"")</f>
        <v>SUBASTAS CORUÑA S.L.</v>
      </c>
      <c r="F51" s="76" t="str">
        <f aca="false">IF(D51&lt;&gt;"",IFERROR(VLOOKUP(D51,PROVEEDORES!$A:$C,3,0),""),"")</f>
        <v>S</v>
      </c>
      <c r="G51" s="75" t="s">
        <v>332</v>
      </c>
      <c r="H51" s="52" t="str">
        <f aca="false">IF(G51&lt;&gt;"",IFERROR(VLOOKUP(G51,PRODUCTOS!$A:$B,2,0),"!COD NO ENCONTRADO"),"")</f>
        <v>VARIADO PEQUEÑO</v>
      </c>
      <c r="I51" s="77" t="n">
        <v>18</v>
      </c>
      <c r="J51" s="78" t="n">
        <v>121.5</v>
      </c>
      <c r="K51" s="79" t="n">
        <v>0.3</v>
      </c>
      <c r="L51" s="80" t="n">
        <f aca="false">IF(AND(J51&lt;&gt;"",K51&lt;&gt;""),J51*K51,"")</f>
        <v>36.45</v>
      </c>
      <c r="M51" s="81" t="n">
        <f aca="false">IF(L51&lt;&gt;"",L51*1.1,"")</f>
        <v>40.095</v>
      </c>
      <c r="N51" s="53" t="n">
        <f aca="false">IF(F51="S",L51*0.02,0)</f>
        <v>0.729</v>
      </c>
      <c r="O51" s="82" t="n">
        <f aca="false">IF(L51&lt;&gt;"",L51+N51,"")</f>
        <v>37.179</v>
      </c>
      <c r="P51" s="53" t="n">
        <f aca="false">IF(O51&lt;&gt;"",O51*0.1,"")</f>
        <v>3.7179</v>
      </c>
      <c r="Q51" s="83" t="n">
        <f aca="false">IF(O51&lt;&gt;"",O51+P51,"")</f>
        <v>40.8969</v>
      </c>
      <c r="R51" s="84"/>
    </row>
    <row r="52" customFormat="false" ht="15" hidden="false" customHeight="true" outlineLevel="0" collapsed="false">
      <c r="A52" s="72" t="n">
        <v>5915</v>
      </c>
      <c r="B52" s="85" t="n">
        <v>46190</v>
      </c>
      <c r="C52" s="86" t="n">
        <v>4660</v>
      </c>
      <c r="D52" s="87" t="n">
        <v>50160</v>
      </c>
      <c r="E52" s="46" t="str">
        <f aca="false">IF(D52&lt;&gt;"",IFERROR(VLOOKUP(D52,PROVEEDORES!$A:$B,2,0),"!COD NO ENCONTRADO"),"")</f>
        <v>SUBASTAS CORUÑA S.L.</v>
      </c>
      <c r="F52" s="88" t="str">
        <f aca="false">IF(D52&lt;&gt;"",IFERROR(VLOOKUP(D52,PROVEEDORES!$A:$C,3,0),""),"")</f>
        <v>S</v>
      </c>
      <c r="G52" s="87" t="s">
        <v>207</v>
      </c>
      <c r="H52" s="46" t="str">
        <f aca="false">IF(G52&lt;&gt;"",IFERROR(VLOOKUP(G52,PRODUCTOS!$A:$B,2,0),"!COD NO ENCONTRADO"),"")</f>
        <v>MERLUZA EUROPEA PAREJA (HKE)</v>
      </c>
      <c r="I52" s="89" t="n">
        <v>1</v>
      </c>
      <c r="J52" s="90" t="n">
        <v>3.8</v>
      </c>
      <c r="K52" s="91" t="n">
        <v>5.5</v>
      </c>
      <c r="L52" s="80" t="n">
        <f aca="false">IF(AND(J52&lt;&gt;"",K52&lt;&gt;""),J52*K52,"")</f>
        <v>20.9</v>
      </c>
      <c r="M52" s="81" t="n">
        <f aca="false">IF(L52&lt;&gt;"",L52*1.1,"")</f>
        <v>22.99</v>
      </c>
      <c r="N52" s="47" t="n">
        <f aca="false">IF(F52="S",L52*0.02,0)</f>
        <v>0.418</v>
      </c>
      <c r="O52" s="82" t="n">
        <f aca="false">IF(L52&lt;&gt;"",L52+N52,"")</f>
        <v>21.318</v>
      </c>
      <c r="P52" s="47" t="n">
        <f aca="false">IF(O52&lt;&gt;"",O52*0.1,"")</f>
        <v>2.1318</v>
      </c>
      <c r="Q52" s="83" t="n">
        <f aca="false">IF(O52&lt;&gt;"",O52+P52,"")</f>
        <v>23.4498</v>
      </c>
      <c r="R52" s="84"/>
    </row>
    <row r="53" customFormat="false" ht="15" hidden="false" customHeight="true" outlineLevel="0" collapsed="false">
      <c r="A53" s="72" t="n">
        <v>5915</v>
      </c>
      <c r="B53" s="73" t="n">
        <v>46190</v>
      </c>
      <c r="C53" s="74" t="n">
        <v>4660</v>
      </c>
      <c r="D53" s="75" t="n">
        <v>50160</v>
      </c>
      <c r="E53" s="52" t="str">
        <f aca="false">IF(D53&lt;&gt;"",IFERROR(VLOOKUP(D53,PROVEEDORES!$A:$B,2,0),"!COD NO ENCONTRADO"),"")</f>
        <v>SUBASTAS CORUÑA S.L.</v>
      </c>
      <c r="F53" s="76" t="str">
        <f aca="false">IF(D53&lt;&gt;"",IFERROR(VLOOKUP(D53,PROVEEDORES!$A:$C,3,0),""),"")</f>
        <v>S</v>
      </c>
      <c r="G53" s="75" t="s">
        <v>207</v>
      </c>
      <c r="H53" s="52" t="str">
        <f aca="false">IF(G53&lt;&gt;"",IFERROR(VLOOKUP(G53,PRODUCTOS!$A:$B,2,0),"!COD NO ENCONTRADO"),"")</f>
        <v>MERLUZA EUROPEA PAREJA (HKE)</v>
      </c>
      <c r="I53" s="77" t="n">
        <v>1</v>
      </c>
      <c r="J53" s="78" t="n">
        <v>6.5</v>
      </c>
      <c r="K53" s="79" t="n">
        <v>5.2</v>
      </c>
      <c r="L53" s="80" t="n">
        <f aca="false">IF(AND(J53&lt;&gt;"",K53&lt;&gt;""),J53*K53,"")</f>
        <v>33.8</v>
      </c>
      <c r="M53" s="81" t="n">
        <f aca="false">IF(L53&lt;&gt;"",L53*1.1,"")</f>
        <v>37.18</v>
      </c>
      <c r="N53" s="53" t="n">
        <f aca="false">IF(F53="S",L53*0.02,0)</f>
        <v>0.676</v>
      </c>
      <c r="O53" s="82" t="n">
        <f aca="false">IF(L53&lt;&gt;"",L53+N53,"")</f>
        <v>34.476</v>
      </c>
      <c r="P53" s="53" t="n">
        <f aca="false">IF(O53&lt;&gt;"",O53*0.1,"")</f>
        <v>3.4476</v>
      </c>
      <c r="Q53" s="83" t="n">
        <f aca="false">IF(O53&lt;&gt;"",O53+P53,"")</f>
        <v>37.9236</v>
      </c>
      <c r="R53" s="84"/>
    </row>
    <row r="54" customFormat="false" ht="15" hidden="false" customHeight="true" outlineLevel="0" collapsed="false">
      <c r="A54" s="72" t="n">
        <v>5915</v>
      </c>
      <c r="B54" s="73" t="n">
        <v>46190</v>
      </c>
      <c r="C54" s="74" t="n">
        <v>4660</v>
      </c>
      <c r="D54" s="75" t="n">
        <v>50160</v>
      </c>
      <c r="E54" s="52" t="str">
        <f aca="false">IF(D54&lt;&gt;"",IFERROR(VLOOKUP(D54,PROVEEDORES!$A:$B,2,0),"!COD NO ENCONTRADO"),"")</f>
        <v>SUBASTAS CORUÑA S.L.</v>
      </c>
      <c r="F54" s="76" t="str">
        <f aca="false">IF(D54&lt;&gt;"",IFERROR(VLOOKUP(D54,PROVEEDORES!$A:$C,3,0),""),"")</f>
        <v>S</v>
      </c>
      <c r="G54" s="75" t="s">
        <v>193</v>
      </c>
      <c r="H54" s="52" t="str">
        <f aca="false">IF(G54&lt;&gt;"",IFERROR(VLOOKUP(G54,PRODUCTOS!$A:$B,2,0),"!COD NO ENCONTRADO"),"")</f>
        <v>MERLUZA EUROPEA ARRASTRE (HKE) </v>
      </c>
      <c r="I54" s="77" t="n">
        <v>5</v>
      </c>
      <c r="J54" s="78" t="n">
        <f aca="false">8.5+10.5+10+9+8.5</f>
        <v>46.5</v>
      </c>
      <c r="K54" s="79" t="n">
        <v>2.9</v>
      </c>
      <c r="L54" s="80" t="n">
        <f aca="false">IF(AND(J54&lt;&gt;"",K54&lt;&gt;""),J54*K54,"")</f>
        <v>134.85</v>
      </c>
      <c r="M54" s="81" t="n">
        <f aca="false">IF(L54&lt;&gt;"",L54*1.1,"")</f>
        <v>148.335</v>
      </c>
      <c r="N54" s="53" t="n">
        <f aca="false">IF(F54="S",L54*0.02,0)</f>
        <v>2.697</v>
      </c>
      <c r="O54" s="82" t="n">
        <f aca="false">IF(L54&lt;&gt;"",L54+N54,"")</f>
        <v>137.547</v>
      </c>
      <c r="P54" s="53" t="n">
        <f aca="false">IF(O54&lt;&gt;"",O54*0.1,"")</f>
        <v>13.7547</v>
      </c>
      <c r="Q54" s="83" t="n">
        <f aca="false">IF(O54&lt;&gt;"",O54+P54,"")</f>
        <v>151.3017</v>
      </c>
      <c r="R54" s="84"/>
    </row>
    <row r="55" customFormat="false" ht="15" hidden="false" customHeight="true" outlineLevel="0" collapsed="false">
      <c r="A55" s="72" t="n">
        <v>5915</v>
      </c>
      <c r="B55" s="73" t="n">
        <v>46190</v>
      </c>
      <c r="C55" s="74" t="n">
        <v>4660</v>
      </c>
      <c r="D55" s="75" t="n">
        <v>50160</v>
      </c>
      <c r="E55" s="52" t="str">
        <f aca="false">IF(D55&lt;&gt;"",IFERROR(VLOOKUP(D55,PROVEEDORES!$A:$B,2,0),"!COD NO ENCONTRADO"),"")</f>
        <v>SUBASTAS CORUÑA S.L.</v>
      </c>
      <c r="F55" s="76" t="str">
        <f aca="false">IF(D55&lt;&gt;"",IFERROR(VLOOKUP(D55,PROVEEDORES!$A:$C,3,0),""),"")</f>
        <v>S</v>
      </c>
      <c r="G55" s="75" t="s">
        <v>332</v>
      </c>
      <c r="H55" s="52" t="str">
        <f aca="false">IF(G55&lt;&gt;"",IFERROR(VLOOKUP(G55,PRODUCTOS!$A:$B,2,0),"!COD NO ENCONTRADO"),"")</f>
        <v>VARIADO PEQUEÑO</v>
      </c>
      <c r="I55" s="77" t="n">
        <v>1</v>
      </c>
      <c r="J55" s="78" t="n">
        <v>6.75</v>
      </c>
      <c r="K55" s="79" t="n">
        <v>0.4</v>
      </c>
      <c r="L55" s="80" t="n">
        <f aca="false">IF(AND(J55&lt;&gt;"",K55&lt;&gt;""),J55*K55,"")</f>
        <v>2.7</v>
      </c>
      <c r="M55" s="81" t="n">
        <f aca="false">IF(L55&lt;&gt;"",L55*1.1,"")</f>
        <v>2.97</v>
      </c>
      <c r="N55" s="53" t="n">
        <f aca="false">IF(F55="S",L55*0.02,0)</f>
        <v>0.054</v>
      </c>
      <c r="O55" s="82" t="n">
        <f aca="false">IF(L55&lt;&gt;"",L55+N55,"")</f>
        <v>2.754</v>
      </c>
      <c r="P55" s="53" t="n">
        <f aca="false">IF(O55&lt;&gt;"",O55*0.1,"")</f>
        <v>0.2754</v>
      </c>
      <c r="Q55" s="83" t="n">
        <f aca="false">IF(O55&lt;&gt;"",O55+P55,"")</f>
        <v>3.0294</v>
      </c>
      <c r="R55" s="84"/>
    </row>
    <row r="56" customFormat="false" ht="15" hidden="false" customHeight="true" outlineLevel="0" collapsed="false">
      <c r="A56" s="72" t="n">
        <v>5915</v>
      </c>
      <c r="B56" s="85" t="n">
        <v>46190</v>
      </c>
      <c r="C56" s="86" t="n">
        <v>4660</v>
      </c>
      <c r="D56" s="87" t="n">
        <v>50160</v>
      </c>
      <c r="E56" s="46" t="str">
        <f aca="false">IF(D56&lt;&gt;"",IFERROR(VLOOKUP(D56,PROVEEDORES!$A:$B,2,0),"!COD NO ENCONTRADO"),"")</f>
        <v>SUBASTAS CORUÑA S.L.</v>
      </c>
      <c r="F56" s="88" t="str">
        <f aca="false">IF(D56&lt;&gt;"",IFERROR(VLOOKUP(D56,PROVEEDORES!$A:$C,3,0),""),"")</f>
        <v>S</v>
      </c>
      <c r="G56" s="87" t="s">
        <v>193</v>
      </c>
      <c r="H56" s="46" t="str">
        <f aca="false">IF(G56&lt;&gt;"",IFERROR(VLOOKUP(G56,PRODUCTOS!$A:$B,2,0),"!COD NO ENCONTRADO"),"")</f>
        <v>MERLUZA EUROPEA ARRASTRE (HKE) </v>
      </c>
      <c r="I56" s="89" t="n">
        <v>2</v>
      </c>
      <c r="J56" s="90" t="n">
        <f aca="false">6.5+7.25</f>
        <v>13.75</v>
      </c>
      <c r="K56" s="91" t="n">
        <v>5.2</v>
      </c>
      <c r="L56" s="80" t="n">
        <f aca="false">IF(AND(J56&lt;&gt;"",K56&lt;&gt;""),J56*K56,"")</f>
        <v>71.5</v>
      </c>
      <c r="M56" s="81" t="n">
        <f aca="false">IF(L56&lt;&gt;"",L56*1.1,"")</f>
        <v>78.65</v>
      </c>
      <c r="N56" s="47" t="n">
        <f aca="false">IF(F56="S",L56*0.02,0)</f>
        <v>1.43</v>
      </c>
      <c r="O56" s="82" t="n">
        <f aca="false">IF(L56&lt;&gt;"",L56+N56,"")</f>
        <v>72.93</v>
      </c>
      <c r="P56" s="47" t="n">
        <f aca="false">IF(O56&lt;&gt;"",O56*0.1,"")</f>
        <v>7.293</v>
      </c>
      <c r="Q56" s="83" t="n">
        <f aca="false">IF(O56&lt;&gt;"",O56+P56,"")</f>
        <v>80.223</v>
      </c>
      <c r="R56" s="84"/>
    </row>
    <row r="57" customFormat="false" ht="15" hidden="false" customHeight="true" outlineLevel="0" collapsed="false">
      <c r="A57" s="72" t="n">
        <v>5915</v>
      </c>
      <c r="B57" s="73" t="n">
        <v>46190</v>
      </c>
      <c r="C57" s="74" t="n">
        <v>4660</v>
      </c>
      <c r="D57" s="75" t="n">
        <v>50160</v>
      </c>
      <c r="E57" s="52" t="str">
        <f aca="false">IF(D57&lt;&gt;"",IFERROR(VLOOKUP(D57,PROVEEDORES!$A:$B,2,0),"!COD NO ENCONTRADO"),"")</f>
        <v>SUBASTAS CORUÑA S.L.</v>
      </c>
      <c r="F57" s="76" t="str">
        <f aca="false">IF(D57&lt;&gt;"",IFERROR(VLOOKUP(D57,PROVEEDORES!$A:$C,3,0),""),"")</f>
        <v>S</v>
      </c>
      <c r="G57" s="75" t="s">
        <v>193</v>
      </c>
      <c r="H57" s="52" t="str">
        <f aca="false">IF(G57&lt;&gt;"",IFERROR(VLOOKUP(G57,PRODUCTOS!$A:$B,2,0),"!COD NO ENCONTRADO"),"")</f>
        <v>MERLUZA EUROPEA ARRASTRE (HKE) </v>
      </c>
      <c r="I57" s="77" t="n">
        <v>1</v>
      </c>
      <c r="J57" s="78" t="n">
        <v>7.25</v>
      </c>
      <c r="K57" s="79" t="n">
        <v>4.45</v>
      </c>
      <c r="L57" s="80" t="n">
        <f aca="false">IF(AND(J57&lt;&gt;"",K57&lt;&gt;""),J57*K57,"")</f>
        <v>32.2625</v>
      </c>
      <c r="M57" s="81" t="n">
        <f aca="false">IF(L57&lt;&gt;"",L57*1.1,"")</f>
        <v>35.48875</v>
      </c>
      <c r="N57" s="53" t="n">
        <f aca="false">IF(F57="S",L57*0.02,0)</f>
        <v>0.64525</v>
      </c>
      <c r="O57" s="82" t="n">
        <f aca="false">IF(L57&lt;&gt;"",L57+N57,"")</f>
        <v>32.90775</v>
      </c>
      <c r="P57" s="53" t="n">
        <f aca="false">IF(O57&lt;&gt;"",O57*0.1,"")</f>
        <v>3.290775</v>
      </c>
      <c r="Q57" s="83" t="n">
        <f aca="false">IF(O57&lt;&gt;"",O57+P57,"")</f>
        <v>36.198525</v>
      </c>
      <c r="R57" s="84"/>
    </row>
    <row r="58" customFormat="false" ht="15" hidden="false" customHeight="true" outlineLevel="0" collapsed="false">
      <c r="A58" s="72" t="n">
        <v>5915</v>
      </c>
      <c r="B58" s="73" t="n">
        <v>46190</v>
      </c>
      <c r="C58" s="74"/>
      <c r="D58" s="75" t="n">
        <v>50160</v>
      </c>
      <c r="E58" s="52" t="str">
        <f aca="false">IF(D58&lt;&gt;"",IFERROR(VLOOKUP(D58,PROVEEDORES!$A:$B,2,0),"!COD NO ENCONTRADO"),"")</f>
        <v>SUBASTAS CORUÑA S.L.</v>
      </c>
      <c r="F58" s="76" t="str">
        <f aca="false">IF(D58&lt;&gt;"",IFERROR(VLOOKUP(D58,PROVEEDORES!$A:$C,3,0),""),"")</f>
        <v>S</v>
      </c>
      <c r="G58" s="75" t="s">
        <v>179</v>
      </c>
      <c r="H58" s="52" t="str">
        <f aca="false">IF(G58&lt;&gt;"",IFERROR(VLOOKUP(G58,PRODUCTOS!$A:$B,2,0),"!COD NO ENCONTRADO"),"")</f>
        <v>LIRIO/ BACALADILLA/ PERLA (WHB)</v>
      </c>
      <c r="I58" s="77" t="n">
        <v>10</v>
      </c>
      <c r="J58" s="78" t="n">
        <v>170</v>
      </c>
      <c r="K58" s="79" t="n">
        <v>1.36</v>
      </c>
      <c r="L58" s="80" t="n">
        <f aca="false">IF(AND(J58&lt;&gt;"",K58&lt;&gt;""),J58*K58,"")</f>
        <v>231.2</v>
      </c>
      <c r="M58" s="81" t="n">
        <f aca="false">IF(L58&lt;&gt;"",L58*1.1,"")</f>
        <v>254.32</v>
      </c>
      <c r="N58" s="53" t="n">
        <f aca="false">IF(F58="S",L58*0.02,0)</f>
        <v>4.624</v>
      </c>
      <c r="O58" s="82" t="n">
        <f aca="false">IF(L58&lt;&gt;"",L58+N58,"")</f>
        <v>235.824</v>
      </c>
      <c r="P58" s="53" t="n">
        <f aca="false">IF(O58&lt;&gt;"",O58*0.1,"")</f>
        <v>23.5824</v>
      </c>
      <c r="Q58" s="83" t="n">
        <f aca="false">IF(O58&lt;&gt;"",O58+P58,"")</f>
        <v>259.4064</v>
      </c>
      <c r="R58" s="84"/>
    </row>
    <row r="59" customFormat="false" ht="15" hidden="false" customHeight="true" outlineLevel="0" collapsed="false">
      <c r="A59" s="72" t="n">
        <v>5916</v>
      </c>
      <c r="B59" s="85" t="n">
        <v>46190</v>
      </c>
      <c r="C59" s="86"/>
      <c r="D59" s="87" t="n">
        <v>50163</v>
      </c>
      <c r="E59" s="46" t="str">
        <f aca="false">IF(D59&lt;&gt;"",IFERROR(VLOOKUP(D59,PROVEEDORES!$A:$B,2,0),"!COD NO ENCONTRADO"),"")</f>
        <v>SUBASTAS RIVERA S.L.</v>
      </c>
      <c r="F59" s="88" t="str">
        <f aca="false">IF(D59&lt;&gt;"",IFERROR(VLOOKUP(D59,PROVEEDORES!$A:$C,3,0),""),"")</f>
        <v>S</v>
      </c>
      <c r="G59" s="87" t="s">
        <v>193</v>
      </c>
      <c r="H59" s="46" t="str">
        <f aca="false">IF(G59&lt;&gt;"",IFERROR(VLOOKUP(G59,PRODUCTOS!$A:$B,2,0),"!COD NO ENCONTRADO"),"")</f>
        <v>MERLUZA EUROPEA ARRASTRE (HKE) </v>
      </c>
      <c r="I59" s="89" t="n">
        <v>3</v>
      </c>
      <c r="J59" s="90" t="n">
        <f aca="false">10+8.5+9.25</f>
        <v>27.75</v>
      </c>
      <c r="K59" s="91" t="n">
        <v>4.9</v>
      </c>
      <c r="L59" s="80" t="n">
        <f aca="false">IF(AND(J59&lt;&gt;"",K59&lt;&gt;""),J59*K59,"")</f>
        <v>135.975</v>
      </c>
      <c r="M59" s="81" t="n">
        <f aca="false">IF(L59&lt;&gt;"",L59*1.1,"")</f>
        <v>149.5725</v>
      </c>
      <c r="N59" s="47" t="n">
        <f aca="false">IF(F59="S",L59*0.02,0)</f>
        <v>2.7195</v>
      </c>
      <c r="O59" s="82" t="n">
        <f aca="false">IF(L59&lt;&gt;"",L59+N59,"")</f>
        <v>138.6945</v>
      </c>
      <c r="P59" s="47" t="n">
        <f aca="false">IF(O59&lt;&gt;"",O59*0.1,"")</f>
        <v>13.86945</v>
      </c>
      <c r="Q59" s="83" t="n">
        <f aca="false">IF(O59&lt;&gt;"",O59+P59,"")</f>
        <v>152.56395</v>
      </c>
      <c r="R59" s="84"/>
    </row>
    <row r="60" customFormat="false" ht="15" hidden="false" customHeight="true" outlineLevel="0" collapsed="false">
      <c r="A60" s="72" t="n">
        <v>5916</v>
      </c>
      <c r="B60" s="73" t="n">
        <v>46190</v>
      </c>
      <c r="C60" s="74" t="n">
        <v>16508</v>
      </c>
      <c r="D60" s="75" t="n">
        <v>50163</v>
      </c>
      <c r="E60" s="52" t="str">
        <f aca="false">IF(D60&lt;&gt;"",IFERROR(VLOOKUP(D60,PROVEEDORES!$A:$B,2,0),"!COD NO ENCONTRADO"),"")</f>
        <v>SUBASTAS RIVERA S.L.</v>
      </c>
      <c r="F60" s="76" t="str">
        <f aca="false">IF(D60&lt;&gt;"",IFERROR(VLOOKUP(D60,PROVEEDORES!$A:$C,3,0),""),"")</f>
        <v>S</v>
      </c>
      <c r="G60" s="75" t="s">
        <v>151</v>
      </c>
      <c r="H60" s="52" t="str">
        <f aca="false">IF(G60&lt;&gt;"",IFERROR(VLOOKUP(G60,PRODUCTOS!$A:$B,2,0),"!COD NO ENCONTRADO"),"")</f>
        <v>ESCACHO/ ARETE/ RUBIO (GUR)</v>
      </c>
      <c r="I60" s="77" t="n">
        <v>3</v>
      </c>
      <c r="J60" s="78" t="n">
        <f aca="false">10.75+18</f>
        <v>28.75</v>
      </c>
      <c r="K60" s="79" t="n">
        <v>0.4</v>
      </c>
      <c r="L60" s="80" t="n">
        <f aca="false">IF(AND(J60&lt;&gt;"",K60&lt;&gt;""),J60*K60,"")</f>
        <v>11.5</v>
      </c>
      <c r="M60" s="81" t="n">
        <f aca="false">IF(L60&lt;&gt;"",L60*1.1,"")</f>
        <v>12.65</v>
      </c>
      <c r="N60" s="53" t="n">
        <f aca="false">IF(F60="S",L60*0.02,0)</f>
        <v>0.23</v>
      </c>
      <c r="O60" s="82" t="n">
        <f aca="false">IF(L60&lt;&gt;"",L60+N60,"")</f>
        <v>11.73</v>
      </c>
      <c r="P60" s="53" t="n">
        <f aca="false">IF(O60&lt;&gt;"",O60*0.1,"")</f>
        <v>1.173</v>
      </c>
      <c r="Q60" s="83" t="n">
        <f aca="false">IF(O60&lt;&gt;"",O60+P60,"")</f>
        <v>12.903</v>
      </c>
      <c r="R60" s="84"/>
    </row>
    <row r="61" customFormat="false" ht="15" hidden="false" customHeight="true" outlineLevel="0" collapsed="false">
      <c r="A61" s="72" t="n">
        <v>5916</v>
      </c>
      <c r="B61" s="85" t="n">
        <v>46190</v>
      </c>
      <c r="C61" s="86" t="n">
        <v>16508</v>
      </c>
      <c r="D61" s="87" t="n">
        <v>50163</v>
      </c>
      <c r="E61" s="46" t="str">
        <f aca="false">IF(D61&lt;&gt;"",IFERROR(VLOOKUP(D61,PROVEEDORES!$A:$B,2,0),"!COD NO ENCONTRADO"),"")</f>
        <v>SUBASTAS RIVERA S.L.</v>
      </c>
      <c r="F61" s="88" t="str">
        <f aca="false">IF(D61&lt;&gt;"",IFERROR(VLOOKUP(D61,PROVEEDORES!$A:$C,3,0),""),"")</f>
        <v>S</v>
      </c>
      <c r="G61" s="87" t="s">
        <v>151</v>
      </c>
      <c r="H61" s="46" t="str">
        <f aca="false">IF(G61&lt;&gt;"",IFERROR(VLOOKUP(G61,PRODUCTOS!$A:$B,2,0),"!COD NO ENCONTRADO"),"")</f>
        <v>ESCACHO/ ARETE/ RUBIO (GUR)</v>
      </c>
      <c r="I61" s="89" t="n">
        <v>2</v>
      </c>
      <c r="J61" s="90" t="n">
        <f aca="false">13.5+13.5</f>
        <v>27</v>
      </c>
      <c r="K61" s="91" t="n">
        <v>0.55</v>
      </c>
      <c r="L61" s="80" t="n">
        <f aca="false">IF(AND(J61&lt;&gt;"",K61&lt;&gt;""),J61*K61,"")</f>
        <v>14.85</v>
      </c>
      <c r="M61" s="81" t="n">
        <f aca="false">IF(L61&lt;&gt;"",L61*1.1,"")</f>
        <v>16.335</v>
      </c>
      <c r="N61" s="47" t="n">
        <f aca="false">IF(F61="S",L61*0.02,0)</f>
        <v>0.297</v>
      </c>
      <c r="O61" s="82" t="n">
        <f aca="false">IF(L61&lt;&gt;"",L61+N61,"")</f>
        <v>15.147</v>
      </c>
      <c r="P61" s="47" t="n">
        <f aca="false">IF(O61&lt;&gt;"",O61*0.1,"")</f>
        <v>1.5147</v>
      </c>
      <c r="Q61" s="83" t="n">
        <f aca="false">IF(O61&lt;&gt;"",O61+P61,"")</f>
        <v>16.6617</v>
      </c>
      <c r="R61" s="84"/>
    </row>
    <row r="62" customFormat="false" ht="15" hidden="false" customHeight="true" outlineLevel="0" collapsed="false">
      <c r="A62" s="72" t="n">
        <v>5916</v>
      </c>
      <c r="B62" s="73" t="n">
        <v>46190</v>
      </c>
      <c r="C62" s="74" t="n">
        <v>16508</v>
      </c>
      <c r="D62" s="75" t="n">
        <v>50163</v>
      </c>
      <c r="E62" s="52" t="str">
        <f aca="false">IF(D62&lt;&gt;"",IFERROR(VLOOKUP(D62,PROVEEDORES!$A:$B,2,0),"!COD NO ENCONTRADO"),"")</f>
        <v>SUBASTAS RIVERA S.L.</v>
      </c>
      <c r="F62" s="76" t="str">
        <f aca="false">IF(D62&lt;&gt;"",IFERROR(VLOOKUP(D62,PROVEEDORES!$A:$C,3,0),""),"")</f>
        <v>S</v>
      </c>
      <c r="G62" s="75" t="s">
        <v>151</v>
      </c>
      <c r="H62" s="52" t="str">
        <f aca="false">IF(G62&lt;&gt;"",IFERROR(VLOOKUP(G62,PRODUCTOS!$A:$B,2,0),"!COD NO ENCONTRADO"),"")</f>
        <v>ESCACHO/ ARETE/ RUBIO (GUR)</v>
      </c>
      <c r="I62" s="77" t="n">
        <v>4</v>
      </c>
      <c r="J62" s="78" t="n">
        <f aca="false">13+14.75+15.5+12.75</f>
        <v>56</v>
      </c>
      <c r="K62" s="79" t="n">
        <v>0.3</v>
      </c>
      <c r="L62" s="80" t="n">
        <f aca="false">IF(AND(J62&lt;&gt;"",K62&lt;&gt;""),J62*K62,"")</f>
        <v>16.8</v>
      </c>
      <c r="M62" s="81" t="n">
        <f aca="false">IF(L62&lt;&gt;"",L62*1.1,"")</f>
        <v>18.48</v>
      </c>
      <c r="N62" s="53" t="n">
        <f aca="false">IF(F62="S",L62*0.02,0)</f>
        <v>0.336</v>
      </c>
      <c r="O62" s="82" t="n">
        <f aca="false">IF(L62&lt;&gt;"",L62+N62,"")</f>
        <v>17.136</v>
      </c>
      <c r="P62" s="53" t="n">
        <f aca="false">IF(O62&lt;&gt;"",O62*0.1,"")</f>
        <v>1.7136</v>
      </c>
      <c r="Q62" s="83" t="n">
        <f aca="false">IF(O62&lt;&gt;"",O62+P62,"")</f>
        <v>18.8496</v>
      </c>
      <c r="R62" s="84"/>
    </row>
    <row r="63" customFormat="false" ht="15" hidden="false" customHeight="true" outlineLevel="0" collapsed="false">
      <c r="A63" s="72" t="n">
        <v>5916</v>
      </c>
      <c r="B63" s="85" t="n">
        <v>46190</v>
      </c>
      <c r="C63" s="86" t="n">
        <v>1658</v>
      </c>
      <c r="D63" s="87" t="n">
        <v>50163</v>
      </c>
      <c r="E63" s="46" t="str">
        <f aca="false">IF(D63&lt;&gt;"",IFERROR(VLOOKUP(D63,PROVEEDORES!$A:$B,2,0),"!COD NO ENCONTRADO"),"")</f>
        <v>SUBASTAS RIVERA S.L.</v>
      </c>
      <c r="F63" s="88" t="str">
        <f aca="false">IF(D63&lt;&gt;"",IFERROR(VLOOKUP(D63,PROVEEDORES!$A:$C,3,0),""),"")</f>
        <v>S</v>
      </c>
      <c r="G63" s="87" t="s">
        <v>177</v>
      </c>
      <c r="H63" s="46" t="str">
        <f aca="false">IF(G63&lt;&gt;"",IFERROR(VLOOKUP(G63,PRODUCTOS!$A:$B,2,0),"!COD NO ENCONTRADO"),"")</f>
        <v>LENGUADO RIA (SOL)</v>
      </c>
      <c r="I63" s="89" t="n">
        <v>2</v>
      </c>
      <c r="J63" s="90" t="n">
        <f aca="false">5.75+3.75</f>
        <v>9.5</v>
      </c>
      <c r="K63" s="91" t="n">
        <v>32.4</v>
      </c>
      <c r="L63" s="80" t="n">
        <f aca="false">IF(AND(J63&lt;&gt;"",K63&lt;&gt;""),J63*K63,"")</f>
        <v>307.8</v>
      </c>
      <c r="M63" s="81" t="n">
        <f aca="false">IF(L63&lt;&gt;"",L63*1.1,"")</f>
        <v>338.58</v>
      </c>
      <c r="N63" s="47" t="n">
        <f aca="false">IF(F63="S",L63*0.02,0)</f>
        <v>6.156</v>
      </c>
      <c r="O63" s="82" t="n">
        <f aca="false">IF(L63&lt;&gt;"",L63+N63,"")</f>
        <v>313.956</v>
      </c>
      <c r="P63" s="47" t="n">
        <f aca="false">IF(O63&lt;&gt;"",O63*0.1,"")</f>
        <v>31.3956</v>
      </c>
      <c r="Q63" s="83" t="n">
        <f aca="false">IF(O63&lt;&gt;"",O63+P63,"")</f>
        <v>345.3516</v>
      </c>
      <c r="R63" s="84"/>
    </row>
    <row r="64" customFormat="false" ht="15" hidden="false" customHeight="true" outlineLevel="0" collapsed="false">
      <c r="A64" s="72" t="n">
        <v>5916</v>
      </c>
      <c r="B64" s="73" t="n">
        <v>46190</v>
      </c>
      <c r="C64" s="74" t="n">
        <v>16508</v>
      </c>
      <c r="D64" s="75" t="n">
        <v>50163</v>
      </c>
      <c r="E64" s="52" t="str">
        <f aca="false">IF(D64&lt;&gt;"",IFERROR(VLOOKUP(D64,PROVEEDORES!$A:$B,2,0),"!COD NO ENCONTRADO"),"")</f>
        <v>SUBASTAS RIVERA S.L.</v>
      </c>
      <c r="F64" s="76" t="str">
        <f aca="false">IF(D64&lt;&gt;"",IFERROR(VLOOKUP(D64,PROVEEDORES!$A:$C,3,0),""),"")</f>
        <v>S</v>
      </c>
      <c r="G64" s="75" t="s">
        <v>177</v>
      </c>
      <c r="H64" s="52" t="str">
        <f aca="false">IF(G64&lt;&gt;"",IFERROR(VLOOKUP(G64,PRODUCTOS!$A:$B,2,0),"!COD NO ENCONTRADO"),"")</f>
        <v>LENGUADO RIA (SOL)</v>
      </c>
      <c r="I64" s="77" t="n">
        <v>1</v>
      </c>
      <c r="J64" s="78" t="n">
        <v>5</v>
      </c>
      <c r="K64" s="79" t="n">
        <v>30.8</v>
      </c>
      <c r="L64" s="80" t="n">
        <f aca="false">IF(AND(J64&lt;&gt;"",K64&lt;&gt;""),J64*K64,"")</f>
        <v>154</v>
      </c>
      <c r="M64" s="81" t="n">
        <f aca="false">IF(L64&lt;&gt;"",L64*1.1,"")</f>
        <v>169.4</v>
      </c>
      <c r="N64" s="53" t="n">
        <f aca="false">IF(F64="S",L64*0.02,0)</f>
        <v>3.08</v>
      </c>
      <c r="O64" s="82" t="n">
        <f aca="false">IF(L64&lt;&gt;"",L64+N64,"")</f>
        <v>157.08</v>
      </c>
      <c r="P64" s="53" t="n">
        <f aca="false">IF(O64&lt;&gt;"",O64*0.1,"")</f>
        <v>15.708</v>
      </c>
      <c r="Q64" s="83" t="n">
        <f aca="false">IF(O64&lt;&gt;"",O64+P64,"")</f>
        <v>172.788</v>
      </c>
      <c r="R64" s="84"/>
    </row>
    <row r="65" customFormat="false" ht="15" hidden="false" customHeight="true" outlineLevel="0" collapsed="false">
      <c r="A65" s="72" t="n">
        <v>5916</v>
      </c>
      <c r="B65" s="85" t="n">
        <v>46190</v>
      </c>
      <c r="C65" s="86" t="n">
        <v>16508</v>
      </c>
      <c r="D65" s="87" t="n">
        <v>50163</v>
      </c>
      <c r="E65" s="46" t="str">
        <f aca="false">IF(D65&lt;&gt;"",IFERROR(VLOOKUP(D65,PROVEEDORES!$A:$B,2,0),"!COD NO ENCONTRADO"),"")</f>
        <v>SUBASTAS RIVERA S.L.</v>
      </c>
      <c r="F65" s="88" t="str">
        <f aca="false">IF(D65&lt;&gt;"",IFERROR(VLOOKUP(D65,PROVEEDORES!$A:$C,3,0),""),"")</f>
        <v>S</v>
      </c>
      <c r="G65" s="87" t="s">
        <v>177</v>
      </c>
      <c r="H65" s="46" t="str">
        <f aca="false">IF(G65&lt;&gt;"",IFERROR(VLOOKUP(G65,PRODUCTOS!$A:$B,2,0),"!COD NO ENCONTRADO"),"")</f>
        <v>LENGUADO RIA (SOL)</v>
      </c>
      <c r="I65" s="89" t="n">
        <v>2</v>
      </c>
      <c r="J65" s="90" t="n">
        <f aca="false">3.2+1.9</f>
        <v>5.1</v>
      </c>
      <c r="K65" s="91" t="n">
        <v>30</v>
      </c>
      <c r="L65" s="80" t="n">
        <f aca="false">IF(AND(J65&lt;&gt;"",K65&lt;&gt;""),J65*K65,"")</f>
        <v>153</v>
      </c>
      <c r="M65" s="81" t="n">
        <f aca="false">IF(L65&lt;&gt;"",L65*1.1,"")</f>
        <v>168.3</v>
      </c>
      <c r="N65" s="47" t="n">
        <f aca="false">IF(F65="S",L65*0.02,0)</f>
        <v>3.06</v>
      </c>
      <c r="O65" s="82" t="n">
        <f aca="false">IF(L65&lt;&gt;"",L65+N65,"")</f>
        <v>156.06</v>
      </c>
      <c r="P65" s="47" t="n">
        <f aca="false">IF(O65&lt;&gt;"",O65*0.1,"")</f>
        <v>15.606</v>
      </c>
      <c r="Q65" s="83" t="n">
        <f aca="false">IF(O65&lt;&gt;"",O65+P65,"")</f>
        <v>171.666</v>
      </c>
      <c r="R65" s="84"/>
    </row>
    <row r="66" customFormat="false" ht="15" hidden="false" customHeight="true" outlineLevel="0" collapsed="false">
      <c r="A66" s="72" t="n">
        <v>5916</v>
      </c>
      <c r="B66" s="73" t="n">
        <v>46190</v>
      </c>
      <c r="C66" s="74" t="n">
        <v>16058</v>
      </c>
      <c r="D66" s="75" t="n">
        <v>50163</v>
      </c>
      <c r="E66" s="52" t="str">
        <f aca="false">IF(D66&lt;&gt;"",IFERROR(VLOOKUP(D66,PROVEEDORES!$A:$B,2,0),"!COD NO ENCONTRADO"),"")</f>
        <v>SUBASTAS RIVERA S.L.</v>
      </c>
      <c r="F66" s="76" t="str">
        <f aca="false">IF(D66&lt;&gt;"",IFERROR(VLOOKUP(D66,PROVEEDORES!$A:$C,3,0),""),"")</f>
        <v>S</v>
      </c>
      <c r="G66" s="75" t="s">
        <v>177</v>
      </c>
      <c r="H66" s="52" t="str">
        <f aca="false">IF(G66&lt;&gt;"",IFERROR(VLOOKUP(G66,PRODUCTOS!$A:$B,2,0),"!COD NO ENCONTRADO"),"")</f>
        <v>LENGUADO RIA (SOL)</v>
      </c>
      <c r="I66" s="77" t="n">
        <v>1</v>
      </c>
      <c r="J66" s="78" t="n">
        <v>1.25</v>
      </c>
      <c r="K66" s="79" t="n">
        <v>27.8</v>
      </c>
      <c r="L66" s="80" t="n">
        <f aca="false">IF(AND(J66&lt;&gt;"",K66&lt;&gt;""),J66*K66,"")</f>
        <v>34.75</v>
      </c>
      <c r="M66" s="81" t="n">
        <f aca="false">IF(L66&lt;&gt;"",L66*1.1,"")</f>
        <v>38.225</v>
      </c>
      <c r="N66" s="53" t="n">
        <f aca="false">IF(F66="S",L66*0.02,0)</f>
        <v>0.695</v>
      </c>
      <c r="O66" s="82" t="n">
        <f aca="false">IF(L66&lt;&gt;"",L66+N66,"")</f>
        <v>35.445</v>
      </c>
      <c r="P66" s="53" t="n">
        <f aca="false">IF(O66&lt;&gt;"",O66*0.1,"")</f>
        <v>3.5445</v>
      </c>
      <c r="Q66" s="83" t="n">
        <f aca="false">IF(O66&lt;&gt;"",O66+P66,"")</f>
        <v>38.9895</v>
      </c>
      <c r="R66" s="84"/>
    </row>
    <row r="67" customFormat="false" ht="15" hidden="false" customHeight="true" outlineLevel="0" collapsed="false">
      <c r="A67" s="72" t="n">
        <v>5916</v>
      </c>
      <c r="B67" s="85" t="n">
        <v>46190</v>
      </c>
      <c r="C67" s="86" t="n">
        <v>16058</v>
      </c>
      <c r="D67" s="87" t="n">
        <v>50163</v>
      </c>
      <c r="E67" s="46" t="str">
        <f aca="false">IF(D67&lt;&gt;"",IFERROR(VLOOKUP(D67,PROVEEDORES!$A:$B,2,0),"!COD NO ENCONTRADO"),"")</f>
        <v>SUBASTAS RIVERA S.L.</v>
      </c>
      <c r="F67" s="88" t="str">
        <f aca="false">IF(D67&lt;&gt;"",IFERROR(VLOOKUP(D67,PROVEEDORES!$A:$C,3,0),""),"")</f>
        <v>S</v>
      </c>
      <c r="G67" s="87" t="s">
        <v>177</v>
      </c>
      <c r="H67" s="46" t="str">
        <f aca="false">IF(G67&lt;&gt;"",IFERROR(VLOOKUP(G67,PRODUCTOS!$A:$B,2,0),"!COD NO ENCONTRADO"),"")</f>
        <v>LENGUADO RIA (SOL)</v>
      </c>
      <c r="I67" s="89" t="n">
        <v>3</v>
      </c>
      <c r="J67" s="90" t="n">
        <f aca="false">2.9+3+2.7</f>
        <v>8.6</v>
      </c>
      <c r="K67" s="91" t="n">
        <v>31.7</v>
      </c>
      <c r="L67" s="80" t="n">
        <f aca="false">IF(AND(J67&lt;&gt;"",K67&lt;&gt;""),J67*K67,"")</f>
        <v>272.62</v>
      </c>
      <c r="M67" s="81" t="n">
        <f aca="false">IF(L67&lt;&gt;"",L67*1.1,"")</f>
        <v>299.882</v>
      </c>
      <c r="N67" s="47" t="n">
        <f aca="false">IF(F67="S",L67*0.02,0)</f>
        <v>5.4524</v>
      </c>
      <c r="O67" s="82" t="n">
        <f aca="false">IF(L67&lt;&gt;"",L67+N67,"")</f>
        <v>278.0724</v>
      </c>
      <c r="P67" s="47" t="n">
        <f aca="false">IF(O67&lt;&gt;"",O67*0.1,"")</f>
        <v>27.80724</v>
      </c>
      <c r="Q67" s="83" t="n">
        <f aca="false">IF(O67&lt;&gt;"",O67+P67,"")</f>
        <v>305.87964</v>
      </c>
      <c r="R67" s="84"/>
    </row>
    <row r="68" customFormat="false" ht="15" hidden="false" customHeight="true" outlineLevel="0" collapsed="false">
      <c r="A68" s="72" t="n">
        <v>5916</v>
      </c>
      <c r="B68" s="73" t="n">
        <v>46190</v>
      </c>
      <c r="C68" s="74" t="n">
        <v>16508</v>
      </c>
      <c r="D68" s="75" t="n">
        <v>50163</v>
      </c>
      <c r="E68" s="52" t="str">
        <f aca="false">IF(D68&lt;&gt;"",IFERROR(VLOOKUP(D68,PROVEEDORES!$A:$B,2,0),"!COD NO ENCONTRADO"),"")</f>
        <v>SUBASTAS RIVERA S.L.</v>
      </c>
      <c r="F68" s="76" t="str">
        <f aca="false">IF(D68&lt;&gt;"",IFERROR(VLOOKUP(D68,PROVEEDORES!$A:$C,3,0),""),"")</f>
        <v>S</v>
      </c>
      <c r="G68" s="75" t="s">
        <v>316</v>
      </c>
      <c r="H68" s="52" t="str">
        <f aca="false">IF(G68&lt;&gt;"",IFERROR(VLOOKUP(G68,PRODUCTOS!$A:$B,2,0),"!COD NO ENCONTRADO"),"")</f>
        <v>SALMONETE ROCA (MUR)</v>
      </c>
      <c r="I68" s="77" t="n">
        <v>1</v>
      </c>
      <c r="J68" s="78" t="n">
        <v>1.2</v>
      </c>
      <c r="K68" s="79" t="n">
        <v>18</v>
      </c>
      <c r="L68" s="80" t="n">
        <f aca="false">IF(AND(J68&lt;&gt;"",K68&lt;&gt;""),J68*K68,"")</f>
        <v>21.6</v>
      </c>
      <c r="M68" s="81" t="n">
        <f aca="false">IF(L68&lt;&gt;"",L68*1.1,"")</f>
        <v>23.76</v>
      </c>
      <c r="N68" s="53" t="n">
        <f aca="false">IF(F68="S",L68*0.02,0)</f>
        <v>0.432</v>
      </c>
      <c r="O68" s="82" t="n">
        <f aca="false">IF(L68&lt;&gt;"",L68+N68,"")</f>
        <v>22.032</v>
      </c>
      <c r="P68" s="53" t="n">
        <f aca="false">IF(O68&lt;&gt;"",O68*0.1,"")</f>
        <v>2.2032</v>
      </c>
      <c r="Q68" s="83" t="n">
        <f aca="false">IF(O68&lt;&gt;"",O68+P68,"")</f>
        <v>24.2352</v>
      </c>
      <c r="R68" s="84"/>
    </row>
    <row r="69" customFormat="false" ht="15" hidden="false" customHeight="true" outlineLevel="0" collapsed="false">
      <c r="A69" s="72" t="n">
        <v>5916</v>
      </c>
      <c r="B69" s="85" t="n">
        <v>46190</v>
      </c>
      <c r="C69" s="86"/>
      <c r="D69" s="87" t="n">
        <v>50163</v>
      </c>
      <c r="E69" s="46" t="str">
        <f aca="false">IF(D69&lt;&gt;"",IFERROR(VLOOKUP(D69,PROVEEDORES!$A:$B,2,0),"!COD NO ENCONTRADO"),"")</f>
        <v>SUBASTAS RIVERA S.L.</v>
      </c>
      <c r="F69" s="88" t="str">
        <f aca="false">IF(D69&lt;&gt;"",IFERROR(VLOOKUP(D69,PROVEEDORES!$A:$C,3,0),""),"")</f>
        <v>S</v>
      </c>
      <c r="G69" s="87" t="s">
        <v>103</v>
      </c>
      <c r="H69" s="46" t="str">
        <f aca="false">IF(G69&lt;&gt;"",IFERROR(VLOOKUP(G69,PRODUCTOS!$A:$B,2,0),"!COD NO ENCONTRADO"),"")</f>
        <v>CABRAS/ GALLINETA (BRF)</v>
      </c>
      <c r="I69" s="89" t="n">
        <v>1</v>
      </c>
      <c r="J69" s="90" t="n">
        <v>2.8</v>
      </c>
      <c r="K69" s="91" t="n">
        <v>0</v>
      </c>
      <c r="L69" s="80" t="n">
        <f aca="false">IF(AND(J69&lt;&gt;"",K69&lt;&gt;""),J69*K69,"")</f>
        <v>0</v>
      </c>
      <c r="M69" s="81" t="n">
        <f aca="false">IF(L69&lt;&gt;"",L69*1.1,"")</f>
        <v>0</v>
      </c>
      <c r="N69" s="47" t="n">
        <f aca="false">IF(F69="S",L69*0.02,0)</f>
        <v>0</v>
      </c>
      <c r="O69" s="82" t="n">
        <f aca="false">IF(L69&lt;&gt;"",L69+N69,"")</f>
        <v>0</v>
      </c>
      <c r="P69" s="47" t="n">
        <f aca="false">IF(O69&lt;&gt;"",O69*0.1,"")</f>
        <v>0</v>
      </c>
      <c r="Q69" s="83" t="n">
        <f aca="false">IF(O69&lt;&gt;"",O69+P69,"")</f>
        <v>0</v>
      </c>
      <c r="R69" s="84"/>
    </row>
    <row r="70" customFormat="false" ht="15" hidden="false" customHeight="true" outlineLevel="0" collapsed="false">
      <c r="A70" s="72" t="n">
        <v>5916</v>
      </c>
      <c r="B70" s="73" t="n">
        <v>46190</v>
      </c>
      <c r="C70" s="74" t="n">
        <v>16508</v>
      </c>
      <c r="D70" s="75" t="n">
        <v>50163</v>
      </c>
      <c r="E70" s="52" t="str">
        <f aca="false">IF(D70&lt;&gt;"",IFERROR(VLOOKUP(D70,PROVEEDORES!$A:$B,2,0),"!COD NO ENCONTRADO"),"")</f>
        <v>SUBASTAS RIVERA S.L.</v>
      </c>
      <c r="F70" s="76" t="str">
        <f aca="false">IF(D70&lt;&gt;"",IFERROR(VLOOKUP(D70,PROVEEDORES!$A:$C,3,0),""),"")</f>
        <v>S</v>
      </c>
      <c r="G70" s="75" t="s">
        <v>103</v>
      </c>
      <c r="H70" s="52" t="str">
        <f aca="false">IF(G70&lt;&gt;"",IFERROR(VLOOKUP(G70,PRODUCTOS!$A:$B,2,0),"!COD NO ENCONTRADO"),"")</f>
        <v>CABRAS/ GALLINETA (BRF)</v>
      </c>
      <c r="I70" s="77" t="n">
        <v>6</v>
      </c>
      <c r="J70" s="78" t="n">
        <f aca="false">7.3+5.1+7.2+5.75+5.6+7.3</f>
        <v>38.25</v>
      </c>
      <c r="K70" s="79" t="n">
        <v>10.8</v>
      </c>
      <c r="L70" s="80" t="n">
        <f aca="false">IF(AND(J70&lt;&gt;"",K70&lt;&gt;""),J70*K70,"")</f>
        <v>413.1</v>
      </c>
      <c r="M70" s="81" t="n">
        <f aca="false">IF(L70&lt;&gt;"",L70*1.1,"")</f>
        <v>454.41</v>
      </c>
      <c r="N70" s="53" t="n">
        <f aca="false">IF(F70="S",L70*0.02,0)</f>
        <v>8.262</v>
      </c>
      <c r="O70" s="82" t="n">
        <f aca="false">IF(L70&lt;&gt;"",L70+N70,"")</f>
        <v>421.362</v>
      </c>
      <c r="P70" s="53" t="n">
        <f aca="false">IF(O70&lt;&gt;"",O70*0.1,"")</f>
        <v>42.1362</v>
      </c>
      <c r="Q70" s="83" t="n">
        <f aca="false">IF(O70&lt;&gt;"",O70+P70,"")</f>
        <v>463.4982</v>
      </c>
      <c r="R70" s="84"/>
    </row>
    <row r="71" customFormat="false" ht="15" hidden="false" customHeight="true" outlineLevel="0" collapsed="false">
      <c r="A71" s="72" t="n">
        <v>5916</v>
      </c>
      <c r="B71" s="85" t="n">
        <v>46190</v>
      </c>
      <c r="C71" s="86" t="n">
        <v>1658</v>
      </c>
      <c r="D71" s="87" t="n">
        <v>50163</v>
      </c>
      <c r="E71" s="46" t="str">
        <f aca="false">IF(D71&lt;&gt;"",IFERROR(VLOOKUP(D71,PROVEEDORES!$A:$B,2,0),"!COD NO ENCONTRADO"),"")</f>
        <v>SUBASTAS RIVERA S.L.</v>
      </c>
      <c r="F71" s="88" t="str">
        <f aca="false">IF(D71&lt;&gt;"",IFERROR(VLOOKUP(D71,PROVEEDORES!$A:$C,3,0),""),"")</f>
        <v>S</v>
      </c>
      <c r="G71" s="87" t="s">
        <v>207</v>
      </c>
      <c r="H71" s="46" t="str">
        <f aca="false">IF(G71&lt;&gt;"",IFERROR(VLOOKUP(G71,PRODUCTOS!$A:$B,2,0),"!COD NO ENCONTRADO"),"")</f>
        <v>MERLUZA EUROPEA PAREJA (HKE)</v>
      </c>
      <c r="I71" s="89" t="n">
        <v>1</v>
      </c>
      <c r="J71" s="90" t="n">
        <v>3</v>
      </c>
      <c r="K71" s="91" t="n">
        <v>7</v>
      </c>
      <c r="L71" s="80" t="n">
        <f aca="false">IF(AND(J71&lt;&gt;"",K71&lt;&gt;""),J71*K71,"")</f>
        <v>21</v>
      </c>
      <c r="M71" s="81" t="n">
        <f aca="false">IF(L71&lt;&gt;"",L71*1.1,"")</f>
        <v>23.1</v>
      </c>
      <c r="N71" s="47" t="n">
        <f aca="false">IF(F71="S",L71*0.02,0)</f>
        <v>0.42</v>
      </c>
      <c r="O71" s="82" t="n">
        <f aca="false">IF(L71&lt;&gt;"",L71+N71,"")</f>
        <v>21.42</v>
      </c>
      <c r="P71" s="47" t="n">
        <f aca="false">IF(O71&lt;&gt;"",O71*0.1,"")</f>
        <v>2.142</v>
      </c>
      <c r="Q71" s="83" t="n">
        <f aca="false">IF(O71&lt;&gt;"",O71+P71,"")</f>
        <v>23.562</v>
      </c>
      <c r="R71" s="84"/>
    </row>
    <row r="72" customFormat="false" ht="15" hidden="false" customHeight="true" outlineLevel="0" collapsed="false">
      <c r="A72" s="72" t="n">
        <v>5916</v>
      </c>
      <c r="B72" s="73" t="n">
        <v>46190</v>
      </c>
      <c r="C72" s="74" t="n">
        <v>16508</v>
      </c>
      <c r="D72" s="75" t="n">
        <v>50163</v>
      </c>
      <c r="E72" s="52" t="str">
        <f aca="false">IF(D72&lt;&gt;"",IFERROR(VLOOKUP(D72,PROVEEDORES!$A:$B,2,0),"!COD NO ENCONTRADO"),"")</f>
        <v>SUBASTAS RIVERA S.L.</v>
      </c>
      <c r="F72" s="76" t="str">
        <f aca="false">IF(D72&lt;&gt;"",IFERROR(VLOOKUP(D72,PROVEEDORES!$A:$C,3,0),""),"")</f>
        <v>S</v>
      </c>
      <c r="G72" s="75" t="s">
        <v>296</v>
      </c>
      <c r="H72" s="52" t="str">
        <f aca="false">IF(G72&lt;&gt;"",IFERROR(VLOOKUP(G72,PRODUCTOS!$A:$B,2,0),"!COD NO ENCONTRADO"),"")</f>
        <v>RAPE NEGRO (ANK)</v>
      </c>
      <c r="I72" s="77" t="n">
        <v>2</v>
      </c>
      <c r="J72" s="78" t="n">
        <v>10.8</v>
      </c>
      <c r="K72" s="79" t="n">
        <v>4</v>
      </c>
      <c r="L72" s="80" t="n">
        <f aca="false">IF(AND(J72&lt;&gt;"",K72&lt;&gt;""),J72*K72,"")</f>
        <v>43.2</v>
      </c>
      <c r="M72" s="81" t="n">
        <f aca="false">IF(L72&lt;&gt;"",L72*1.1,"")</f>
        <v>47.52</v>
      </c>
      <c r="N72" s="53" t="n">
        <f aca="false">IF(F72="S",L72*0.02,0)</f>
        <v>0.864</v>
      </c>
      <c r="O72" s="82" t="n">
        <f aca="false">IF(L72&lt;&gt;"",L72+N72,"")</f>
        <v>44.064</v>
      </c>
      <c r="P72" s="53" t="n">
        <f aca="false">IF(O72&lt;&gt;"",O72*0.1,"")</f>
        <v>4.4064</v>
      </c>
      <c r="Q72" s="83" t="n">
        <f aca="false">IF(O72&lt;&gt;"",O72+P72,"")</f>
        <v>48.4704</v>
      </c>
      <c r="R72" s="84"/>
    </row>
    <row r="73" customFormat="false" ht="15" hidden="false" customHeight="true" outlineLevel="0" collapsed="false">
      <c r="A73" s="72" t="n">
        <v>5916</v>
      </c>
      <c r="B73" s="85" t="n">
        <v>46190</v>
      </c>
      <c r="C73" s="86" t="n">
        <v>16508</v>
      </c>
      <c r="D73" s="87" t="n">
        <v>50163</v>
      </c>
      <c r="E73" s="46" t="str">
        <f aca="false">IF(D73&lt;&gt;"",IFERROR(VLOOKUP(D73,PROVEEDORES!$A:$B,2,0),"!COD NO ENCONTRADO"),"")</f>
        <v>SUBASTAS RIVERA S.L.</v>
      </c>
      <c r="F73" s="88" t="str">
        <f aca="false">IF(D73&lt;&gt;"",IFERROR(VLOOKUP(D73,PROVEEDORES!$A:$C,3,0),""),"")</f>
        <v>S</v>
      </c>
      <c r="G73" s="87" t="s">
        <v>296</v>
      </c>
      <c r="H73" s="46" t="str">
        <f aca="false">IF(G73&lt;&gt;"",IFERROR(VLOOKUP(G73,PRODUCTOS!$A:$B,2,0),"!COD NO ENCONTRADO"),"")</f>
        <v>RAPE NEGRO (ANK)</v>
      </c>
      <c r="I73" s="89" t="n">
        <v>3</v>
      </c>
      <c r="J73" s="90" t="n">
        <f aca="false">5+9.9+7.4</f>
        <v>22.3</v>
      </c>
      <c r="K73" s="91" t="n">
        <v>4.4</v>
      </c>
      <c r="L73" s="80" t="n">
        <f aca="false">IF(AND(J73&lt;&gt;"",K73&lt;&gt;""),J73*K73,"")</f>
        <v>98.12</v>
      </c>
      <c r="M73" s="81" t="n">
        <f aca="false">IF(L73&lt;&gt;"",L73*1.1,"")</f>
        <v>107.932</v>
      </c>
      <c r="N73" s="47" t="n">
        <f aca="false">IF(F73="S",L73*0.02,0)</f>
        <v>1.9624</v>
      </c>
      <c r="O73" s="82" t="n">
        <f aca="false">IF(L73&lt;&gt;"",L73+N73,"")</f>
        <v>100.0824</v>
      </c>
      <c r="P73" s="47" t="n">
        <f aca="false">IF(O73&lt;&gt;"",O73*0.1,"")</f>
        <v>10.00824</v>
      </c>
      <c r="Q73" s="83" t="n">
        <f aca="false">IF(O73&lt;&gt;"",O73+P73,"")</f>
        <v>110.09064</v>
      </c>
      <c r="R73" s="84"/>
    </row>
    <row r="74" customFormat="false" ht="15" hidden="false" customHeight="true" outlineLevel="0" collapsed="false">
      <c r="A74" s="72" t="n">
        <v>5916</v>
      </c>
      <c r="B74" s="73" t="n">
        <v>46190</v>
      </c>
      <c r="C74" s="74" t="n">
        <v>16508</v>
      </c>
      <c r="D74" s="75" t="n">
        <v>50163</v>
      </c>
      <c r="E74" s="52" t="str">
        <f aca="false">IF(D74&lt;&gt;"",IFERROR(VLOOKUP(D74,PROVEEDORES!$A:$B,2,0),"!COD NO ENCONTRADO"),"")</f>
        <v>SUBASTAS RIVERA S.L.</v>
      </c>
      <c r="F74" s="76" t="str">
        <f aca="false">IF(D74&lt;&gt;"",IFERROR(VLOOKUP(D74,PROVEEDORES!$A:$C,3,0),""),"")</f>
        <v>S</v>
      </c>
      <c r="G74" s="75" t="s">
        <v>296</v>
      </c>
      <c r="H74" s="52" t="str">
        <f aca="false">IF(G74&lt;&gt;"",IFERROR(VLOOKUP(G74,PRODUCTOS!$A:$B,2,0),"!COD NO ENCONTRADO"),"")</f>
        <v>RAPE NEGRO (ANK)</v>
      </c>
      <c r="I74" s="77" t="n">
        <v>4</v>
      </c>
      <c r="J74" s="78" t="n">
        <f aca="false">4.75+9.3+10.75+9.5</f>
        <v>34.3</v>
      </c>
      <c r="K74" s="79" t="n">
        <v>4</v>
      </c>
      <c r="L74" s="80" t="n">
        <f aca="false">IF(AND(J74&lt;&gt;"",K74&lt;&gt;""),J74*K74,"")</f>
        <v>137.2</v>
      </c>
      <c r="M74" s="81" t="n">
        <f aca="false">IF(L74&lt;&gt;"",L74*1.1,"")</f>
        <v>150.92</v>
      </c>
      <c r="N74" s="53" t="n">
        <f aca="false">IF(F74="S",L74*0.02,0)</f>
        <v>2.744</v>
      </c>
      <c r="O74" s="82" t="n">
        <f aca="false">IF(L74&lt;&gt;"",L74+N74,"")</f>
        <v>139.944</v>
      </c>
      <c r="P74" s="53" t="n">
        <f aca="false">IF(O74&lt;&gt;"",O74*0.1,"")</f>
        <v>13.9944</v>
      </c>
      <c r="Q74" s="83" t="n">
        <f aca="false">IF(O74&lt;&gt;"",O74+P74,"")</f>
        <v>153.9384</v>
      </c>
      <c r="R74" s="84"/>
    </row>
    <row r="75" customFormat="false" ht="15" hidden="false" customHeight="true" outlineLevel="0" collapsed="false">
      <c r="A75" s="72" t="n">
        <v>5916</v>
      </c>
      <c r="B75" s="85" t="n">
        <v>46190</v>
      </c>
      <c r="C75" s="86" t="n">
        <v>16508</v>
      </c>
      <c r="D75" s="87" t="n">
        <v>50163</v>
      </c>
      <c r="E75" s="46" t="str">
        <f aca="false">IF(D75&lt;&gt;"",IFERROR(VLOOKUP(D75,PROVEEDORES!$A:$B,2,0),"!COD NO ENCONTRADO"),"")</f>
        <v>SUBASTAS RIVERA S.L.</v>
      </c>
      <c r="F75" s="88" t="str">
        <f aca="false">IF(D75&lt;&gt;"",IFERROR(VLOOKUP(D75,PROVEEDORES!$A:$C,3,0),""),"")</f>
        <v>S</v>
      </c>
      <c r="G75" s="87" t="s">
        <v>288</v>
      </c>
      <c r="H75" s="46" t="str">
        <f aca="false">IF(G75&lt;&gt;"",IFERROR(VLOOKUP(G75,PRODUCTOS!$A:$B,2,0),"!COD NO ENCONTRADO"),"")</f>
        <v>RAPE BLANCO DIA (MON)</v>
      </c>
      <c r="I75" s="89" t="n">
        <v>3</v>
      </c>
      <c r="J75" s="90" t="n">
        <f aca="false">3.8+5.5+7.4</f>
        <v>16.7</v>
      </c>
      <c r="K75" s="91" t="n">
        <v>5.7</v>
      </c>
      <c r="L75" s="80" t="n">
        <f aca="false">IF(AND(J75&lt;&gt;"",K75&lt;&gt;""),J75*K75,"")</f>
        <v>95.19</v>
      </c>
      <c r="M75" s="81" t="n">
        <f aca="false">IF(L75&lt;&gt;"",L75*1.1,"")</f>
        <v>104.709</v>
      </c>
      <c r="N75" s="47" t="n">
        <f aca="false">IF(F75="S",L75*0.02,0)</f>
        <v>1.9038</v>
      </c>
      <c r="O75" s="82" t="n">
        <f aca="false">IF(L75&lt;&gt;"",L75+N75,"")</f>
        <v>97.0938</v>
      </c>
      <c r="P75" s="47" t="n">
        <f aca="false">IF(O75&lt;&gt;"",O75*0.1,"")</f>
        <v>9.70938</v>
      </c>
      <c r="Q75" s="83" t="n">
        <f aca="false">IF(O75&lt;&gt;"",O75+P75,"")</f>
        <v>106.80318</v>
      </c>
      <c r="R75" s="84"/>
    </row>
    <row r="76" customFormat="false" ht="15" hidden="false" customHeight="true" outlineLevel="0" collapsed="false">
      <c r="A76" s="72" t="n">
        <v>5916</v>
      </c>
      <c r="B76" s="73" t="n">
        <v>46190</v>
      </c>
      <c r="C76" s="74" t="n">
        <v>1658</v>
      </c>
      <c r="D76" s="75" t="n">
        <v>50163</v>
      </c>
      <c r="E76" s="52" t="str">
        <f aca="false">IF(D76&lt;&gt;"",IFERROR(VLOOKUP(D76,PROVEEDORES!$A:$B,2,0),"!COD NO ENCONTRADO"),"")</f>
        <v>SUBASTAS RIVERA S.L.</v>
      </c>
      <c r="F76" s="76" t="str">
        <f aca="false">IF(D76&lt;&gt;"",IFERROR(VLOOKUP(D76,PROVEEDORES!$A:$C,3,0),""),"")</f>
        <v>S</v>
      </c>
      <c r="G76" s="75" t="s">
        <v>288</v>
      </c>
      <c r="H76" s="52" t="str">
        <f aca="false">IF(G76&lt;&gt;"",IFERROR(VLOOKUP(G76,PRODUCTOS!$A:$B,2,0),"!COD NO ENCONTRADO"),"")</f>
        <v>RAPE BLANCO DIA (MON)</v>
      </c>
      <c r="I76" s="77" t="n">
        <v>2</v>
      </c>
      <c r="J76" s="78" t="n">
        <f aca="false">9+6.75</f>
        <v>15.75</v>
      </c>
      <c r="K76" s="79" t="n">
        <v>5.9</v>
      </c>
      <c r="L76" s="80" t="n">
        <f aca="false">IF(AND(J76&lt;&gt;"",K76&lt;&gt;""),J76*K76,"")</f>
        <v>92.925</v>
      </c>
      <c r="M76" s="81" t="n">
        <f aca="false">IF(L76&lt;&gt;"",L76*1.1,"")</f>
        <v>102.2175</v>
      </c>
      <c r="N76" s="53" t="n">
        <f aca="false">IF(F76="S",L76*0.02,0)</f>
        <v>1.8585</v>
      </c>
      <c r="O76" s="82" t="n">
        <f aca="false">IF(L76&lt;&gt;"",L76+N76,"")</f>
        <v>94.7835</v>
      </c>
      <c r="P76" s="53" t="n">
        <f aca="false">IF(O76&lt;&gt;"",O76*0.1,"")</f>
        <v>9.47835</v>
      </c>
      <c r="Q76" s="83" t="n">
        <f aca="false">IF(O76&lt;&gt;"",O76+P76,"")</f>
        <v>104.26185</v>
      </c>
      <c r="R76" s="84"/>
    </row>
    <row r="77" customFormat="false" ht="15" hidden="false" customHeight="true" outlineLevel="0" collapsed="false">
      <c r="A77" s="72" t="n">
        <v>5916</v>
      </c>
      <c r="B77" s="85" t="n">
        <v>46190</v>
      </c>
      <c r="C77" s="86" t="n">
        <v>16058</v>
      </c>
      <c r="D77" s="87" t="n">
        <v>50163</v>
      </c>
      <c r="E77" s="46" t="str">
        <f aca="false">IF(D77&lt;&gt;"",IFERROR(VLOOKUP(D77,PROVEEDORES!$A:$B,2,0),"!COD NO ENCONTRADO"),"")</f>
        <v>SUBASTAS RIVERA S.L.</v>
      </c>
      <c r="F77" s="88" t="str">
        <f aca="false">IF(D77&lt;&gt;"",IFERROR(VLOOKUP(D77,PROVEEDORES!$A:$C,3,0),""),"")</f>
        <v>S</v>
      </c>
      <c r="G77" s="87" t="s">
        <v>332</v>
      </c>
      <c r="H77" s="46" t="str">
        <f aca="false">IF(G77&lt;&gt;"",IFERROR(VLOOKUP(G77,PRODUCTOS!$A:$B,2,0),"!COD NO ENCONTRADO"),"")</f>
        <v>VARIADO PEQUEÑO</v>
      </c>
      <c r="I77" s="89" t="n">
        <v>2</v>
      </c>
      <c r="J77" s="90" t="n">
        <v>40.25</v>
      </c>
      <c r="K77" s="91" t="n">
        <v>0.7</v>
      </c>
      <c r="L77" s="80" t="n">
        <f aca="false">IF(AND(J77&lt;&gt;"",K77&lt;&gt;""),J77*K77,"")</f>
        <v>28.175</v>
      </c>
      <c r="M77" s="81" t="n">
        <f aca="false">IF(L77&lt;&gt;"",L77*1.1,"")</f>
        <v>30.9925</v>
      </c>
      <c r="N77" s="47" t="n">
        <f aca="false">IF(F77="S",L77*0.02,0)</f>
        <v>0.5635</v>
      </c>
      <c r="O77" s="82" t="n">
        <f aca="false">IF(L77&lt;&gt;"",L77+N77,"")</f>
        <v>28.7385</v>
      </c>
      <c r="P77" s="47" t="n">
        <f aca="false">IF(O77&lt;&gt;"",O77*0.1,"")</f>
        <v>2.87385</v>
      </c>
      <c r="Q77" s="83" t="n">
        <f aca="false">IF(O77&lt;&gt;"",O77+P77,"")</f>
        <v>31.61235</v>
      </c>
      <c r="R77" s="84"/>
    </row>
    <row r="78" customFormat="false" ht="15" hidden="false" customHeight="true" outlineLevel="0" collapsed="false">
      <c r="A78" s="72" t="n">
        <v>5916</v>
      </c>
      <c r="B78" s="85" t="n">
        <v>46190</v>
      </c>
      <c r="C78" s="86" t="n">
        <v>16058</v>
      </c>
      <c r="D78" s="87" t="n">
        <v>50163</v>
      </c>
      <c r="E78" s="46" t="str">
        <f aca="false">IF(D78&lt;&gt;"",IFERROR(VLOOKUP(D78,PROVEEDORES!$A:$B,2,0),"!COD NO ENCONTRADO"),"")</f>
        <v>SUBASTAS RIVERA S.L.</v>
      </c>
      <c r="F78" s="88" t="str">
        <f aca="false">IF(D78&lt;&gt;"",IFERROR(VLOOKUP(D78,PROVEEDORES!$A:$C,3,0),""),"")</f>
        <v>S</v>
      </c>
      <c r="G78" s="87" t="s">
        <v>207</v>
      </c>
      <c r="H78" s="46" t="str">
        <f aca="false">IF(G78&lt;&gt;"",IFERROR(VLOOKUP(G78,PRODUCTOS!$A:$B,2,0),"!COD NO ENCONTRADO"),"")</f>
        <v>MERLUZA EUROPEA PAREJA (HKE)</v>
      </c>
      <c r="I78" s="89" t="n">
        <v>2</v>
      </c>
      <c r="J78" s="90" t="n">
        <f aca="false">14.25+13.25</f>
        <v>27.5</v>
      </c>
      <c r="K78" s="91" t="n">
        <v>4.2</v>
      </c>
      <c r="L78" s="80" t="n">
        <f aca="false">IF(AND(J78&lt;&gt;"",K78&lt;&gt;""),J78*K78,"")</f>
        <v>115.5</v>
      </c>
      <c r="M78" s="81" t="n">
        <f aca="false">IF(L78&lt;&gt;"",L78*1.1,"")</f>
        <v>127.05</v>
      </c>
      <c r="N78" s="47" t="n">
        <f aca="false">IF(F78="S",L78*0.02,0)</f>
        <v>2.31</v>
      </c>
      <c r="O78" s="82" t="n">
        <f aca="false">IF(L78&lt;&gt;"",L78+N78,"")</f>
        <v>117.81</v>
      </c>
      <c r="P78" s="47" t="n">
        <f aca="false">IF(O78&lt;&gt;"",O78*0.1,"")</f>
        <v>11.781</v>
      </c>
      <c r="Q78" s="83" t="n">
        <f aca="false">IF(O78&lt;&gt;"",O78+P78,"")</f>
        <v>129.591</v>
      </c>
      <c r="R78" s="84"/>
    </row>
    <row r="79" customFormat="false" ht="15" hidden="false" customHeight="true" outlineLevel="0" collapsed="false">
      <c r="A79" s="72" t="n">
        <v>5916</v>
      </c>
      <c r="B79" s="73" t="n">
        <v>46190</v>
      </c>
      <c r="C79" s="74" t="n">
        <v>16058</v>
      </c>
      <c r="D79" s="75" t="n">
        <v>50163</v>
      </c>
      <c r="E79" s="52" t="str">
        <f aca="false">IF(D79&lt;&gt;"",IFERROR(VLOOKUP(D79,PROVEEDORES!$A:$B,2,0),"!COD NO ENCONTRADO"),"")</f>
        <v>SUBASTAS RIVERA S.L.</v>
      </c>
      <c r="F79" s="76" t="str">
        <f aca="false">IF(D79&lt;&gt;"",IFERROR(VLOOKUP(D79,PROVEEDORES!$A:$C,3,0),""),"")</f>
        <v>S</v>
      </c>
      <c r="G79" s="75" t="s">
        <v>207</v>
      </c>
      <c r="H79" s="52" t="str">
        <f aca="false">IF(G79&lt;&gt;"",IFERROR(VLOOKUP(G79,PRODUCTOS!$A:$B,2,0),"!COD NO ENCONTRADO"),"")</f>
        <v>MERLUZA EUROPEA PAREJA (HKE)</v>
      </c>
      <c r="I79" s="77" t="n">
        <v>1</v>
      </c>
      <c r="J79" s="78" t="n">
        <v>16</v>
      </c>
      <c r="K79" s="79" t="n">
        <v>5</v>
      </c>
      <c r="L79" s="80" t="n">
        <f aca="false">IF(AND(J79&lt;&gt;"",K79&lt;&gt;""),J79*K79,"")</f>
        <v>80</v>
      </c>
      <c r="M79" s="81" t="n">
        <f aca="false">IF(L79&lt;&gt;"",L79*1.1,"")</f>
        <v>88</v>
      </c>
      <c r="N79" s="53" t="n">
        <f aca="false">IF(F79="S",L79*0.02,0)</f>
        <v>1.6</v>
      </c>
      <c r="O79" s="82" t="n">
        <f aca="false">IF(L79&lt;&gt;"",L79+N79,"")</f>
        <v>81.6</v>
      </c>
      <c r="P79" s="53" t="n">
        <f aca="false">IF(O79&lt;&gt;"",O79*0.1,"")</f>
        <v>8.16</v>
      </c>
      <c r="Q79" s="83" t="n">
        <f aca="false">IF(O79&lt;&gt;"",O79+P79,"")</f>
        <v>89.76</v>
      </c>
      <c r="R79" s="84"/>
    </row>
    <row r="80" customFormat="false" ht="15" hidden="false" customHeight="true" outlineLevel="0" collapsed="false">
      <c r="A80" s="72" t="n">
        <v>5916</v>
      </c>
      <c r="B80" s="85" t="n">
        <v>46190</v>
      </c>
      <c r="C80" s="86" t="n">
        <v>16058</v>
      </c>
      <c r="D80" s="87" t="n">
        <v>50163</v>
      </c>
      <c r="E80" s="46" t="str">
        <f aca="false">IF(D80&lt;&gt;"",IFERROR(VLOOKUP(D80,PROVEEDORES!$A:$B,2,0),"!COD NO ENCONTRADO"),"")</f>
        <v>SUBASTAS RIVERA S.L.</v>
      </c>
      <c r="F80" s="88" t="str">
        <f aca="false">IF(D80&lt;&gt;"",IFERROR(VLOOKUP(D80,PROVEEDORES!$A:$C,3,0),""),"")</f>
        <v>S</v>
      </c>
      <c r="G80" s="87" t="s">
        <v>207</v>
      </c>
      <c r="H80" s="46" t="str">
        <f aca="false">IF(G80&lt;&gt;"",IFERROR(VLOOKUP(G80,PRODUCTOS!$A:$B,2,0),"!COD NO ENCONTRADO"),"")</f>
        <v>MERLUZA EUROPEA PAREJA (HKE)</v>
      </c>
      <c r="I80" s="89" t="n">
        <v>1</v>
      </c>
      <c r="J80" s="90" t="n">
        <v>2.6</v>
      </c>
      <c r="K80" s="91" t="n">
        <v>5</v>
      </c>
      <c r="L80" s="80" t="n">
        <f aca="false">IF(AND(J80&lt;&gt;"",K80&lt;&gt;""),J80*K80,"")</f>
        <v>13</v>
      </c>
      <c r="M80" s="81" t="n">
        <f aca="false">IF(L80&lt;&gt;"",L80*1.1,"")</f>
        <v>14.3</v>
      </c>
      <c r="N80" s="47" t="n">
        <f aca="false">IF(F80="S",L80*0.02,0)</f>
        <v>0.26</v>
      </c>
      <c r="O80" s="82" t="n">
        <f aca="false">IF(L80&lt;&gt;"",L80+N80,"")</f>
        <v>13.26</v>
      </c>
      <c r="P80" s="47" t="n">
        <f aca="false">IF(O80&lt;&gt;"",O80*0.1,"")</f>
        <v>1.326</v>
      </c>
      <c r="Q80" s="83" t="n">
        <f aca="false">IF(O80&lt;&gt;"",O80+P80,"")</f>
        <v>14.586</v>
      </c>
      <c r="R80" s="84"/>
    </row>
    <row r="81" customFormat="false" ht="15" hidden="false" customHeight="true" outlineLevel="0" collapsed="false">
      <c r="A81" s="72" t="n">
        <v>5916</v>
      </c>
      <c r="B81" s="85" t="n">
        <v>46190</v>
      </c>
      <c r="C81" s="74" t="n">
        <v>16058</v>
      </c>
      <c r="D81" s="75" t="n">
        <v>50163</v>
      </c>
      <c r="E81" s="52" t="str">
        <f aca="false">IF(D81&lt;&gt;"",IFERROR(VLOOKUP(D81,PROVEEDORES!$A:$B,2,0),"!COD NO ENCONTRADO"),"")</f>
        <v>SUBASTAS RIVERA S.L.</v>
      </c>
      <c r="F81" s="76" t="str">
        <f aca="false">IF(D81&lt;&gt;"",IFERROR(VLOOKUP(D81,PROVEEDORES!$A:$C,3,0),""),"")</f>
        <v>S</v>
      </c>
      <c r="G81" s="75" t="s">
        <v>367</v>
      </c>
      <c r="H81" s="52" t="str">
        <f aca="false">IF(G81&lt;&gt;"",IFERROR(VLOOKUP(G81,PRODUCTOS!$A:$B,2,0),"!COD NO ENCONTRADO"),"")</f>
        <v>MERLUZA BAKA DIA</v>
      </c>
      <c r="I81" s="77" t="n">
        <v>2</v>
      </c>
      <c r="J81" s="78" t="n">
        <f aca="false">20.5+20.75</f>
        <v>41.25</v>
      </c>
      <c r="K81" s="79" t="n">
        <v>6.6</v>
      </c>
      <c r="L81" s="80" t="n">
        <f aca="false">IF(AND(J81&lt;&gt;"",K81&lt;&gt;""),J81*K81,"")</f>
        <v>272.25</v>
      </c>
      <c r="M81" s="81" t="n">
        <f aca="false">IF(L81&lt;&gt;"",L81*1.1,"")</f>
        <v>299.475</v>
      </c>
      <c r="N81" s="53" t="n">
        <f aca="false">IF(F81="S",L81*0.02,0)</f>
        <v>5.445</v>
      </c>
      <c r="O81" s="82" t="n">
        <f aca="false">IF(L81&lt;&gt;"",L81+N81,"")</f>
        <v>277.695</v>
      </c>
      <c r="P81" s="53" t="n">
        <f aca="false">IF(O81&lt;&gt;"",O81*0.1,"")</f>
        <v>27.7695</v>
      </c>
      <c r="Q81" s="83" t="n">
        <f aca="false">IF(O81&lt;&gt;"",O81+P81,"")</f>
        <v>305.4645</v>
      </c>
      <c r="R81" s="84"/>
    </row>
    <row r="82" customFormat="false" ht="15" hidden="false" customHeight="true" outlineLevel="0" collapsed="false">
      <c r="A82" s="72" t="n">
        <v>5916</v>
      </c>
      <c r="B82" s="73" t="n">
        <v>46190</v>
      </c>
      <c r="C82" s="86" t="n">
        <v>16058</v>
      </c>
      <c r="D82" s="87" t="n">
        <v>50163</v>
      </c>
      <c r="E82" s="46" t="str">
        <f aca="false">IF(D82&lt;&gt;"",IFERROR(VLOOKUP(D82,PROVEEDORES!$A:$B,2,0),"!COD NO ENCONTRADO"),"")</f>
        <v>SUBASTAS RIVERA S.L.</v>
      </c>
      <c r="F82" s="88" t="str">
        <f aca="false">IF(D82&lt;&gt;"",IFERROR(VLOOKUP(D82,PROVEEDORES!$A:$C,3,0),""),"")</f>
        <v>S</v>
      </c>
      <c r="G82" s="87" t="s">
        <v>367</v>
      </c>
      <c r="H82" s="46" t="str">
        <f aca="false">IF(G82&lt;&gt;"",IFERROR(VLOOKUP(G82,PRODUCTOS!$A:$B,2,0),"!COD NO ENCONTRADO"),"")</f>
        <v>MERLUZA BAKA DIA</v>
      </c>
      <c r="I82" s="89" t="n">
        <v>3</v>
      </c>
      <c r="J82" s="90" t="n">
        <f aca="false">19.75+20.5+20.75</f>
        <v>61</v>
      </c>
      <c r="K82" s="91" t="n">
        <v>5.3</v>
      </c>
      <c r="L82" s="80" t="n">
        <f aca="false">IF(AND(J82&lt;&gt;"",K82&lt;&gt;""),J82*K82,"")</f>
        <v>323.3</v>
      </c>
      <c r="M82" s="81" t="n">
        <f aca="false">IF(L82&lt;&gt;"",L82*1.1,"")</f>
        <v>355.63</v>
      </c>
      <c r="N82" s="47" t="n">
        <f aca="false">IF(F82="S",L82*0.02,0)</f>
        <v>6.466</v>
      </c>
      <c r="O82" s="82" t="n">
        <f aca="false">IF(L82&lt;&gt;"",L82+N82,"")</f>
        <v>329.766</v>
      </c>
      <c r="P82" s="47" t="n">
        <f aca="false">IF(O82&lt;&gt;"",O82*0.1,"")</f>
        <v>32.9766</v>
      </c>
      <c r="Q82" s="83" t="n">
        <f aca="false">IF(O82&lt;&gt;"",O82+P82,"")</f>
        <v>362.7426</v>
      </c>
      <c r="R82" s="84"/>
    </row>
    <row r="83" customFormat="false" ht="15" hidden="false" customHeight="true" outlineLevel="0" collapsed="false">
      <c r="A83" s="72" t="n">
        <v>5916</v>
      </c>
      <c r="B83" s="85" t="n">
        <v>46190</v>
      </c>
      <c r="C83" s="74" t="n">
        <v>16508</v>
      </c>
      <c r="D83" s="75" t="n">
        <v>50163</v>
      </c>
      <c r="E83" s="52" t="str">
        <f aca="false">IF(D83&lt;&gt;"",IFERROR(VLOOKUP(D83,PROVEEDORES!$A:$B,2,0),"!COD NO ENCONTRADO"),"")</f>
        <v>SUBASTAS RIVERA S.L.</v>
      </c>
      <c r="F83" s="76" t="str">
        <f aca="false">IF(D83&lt;&gt;"",IFERROR(VLOOKUP(D83,PROVEEDORES!$A:$C,3,0),""),"")</f>
        <v>S</v>
      </c>
      <c r="G83" s="75" t="s">
        <v>193</v>
      </c>
      <c r="H83" s="52" t="str">
        <f aca="false">IF(G83&lt;&gt;"",IFERROR(VLOOKUP(G83,PRODUCTOS!$A:$B,2,0),"!COD NO ENCONTRADO"),"")</f>
        <v>MERLUZA EUROPEA ARRASTRE (HKE) </v>
      </c>
      <c r="I83" s="77" t="n">
        <v>5</v>
      </c>
      <c r="J83" s="78" t="n">
        <f aca="false">7.25+8+7.75+8.75+5.75</f>
        <v>37.5</v>
      </c>
      <c r="K83" s="79" t="n">
        <v>3.5</v>
      </c>
      <c r="L83" s="80" t="n">
        <f aca="false">IF(AND(J83&lt;&gt;"",K83&lt;&gt;""),J83*K83,"")</f>
        <v>131.25</v>
      </c>
      <c r="M83" s="81" t="n">
        <f aca="false">IF(L83&lt;&gt;"",L83*1.1,"")</f>
        <v>144.375</v>
      </c>
      <c r="N83" s="53" t="n">
        <f aca="false">IF(F83="S",L83*0.02,0)</f>
        <v>2.625</v>
      </c>
      <c r="O83" s="82" t="n">
        <f aca="false">IF(L83&lt;&gt;"",L83+N83,"")</f>
        <v>133.875</v>
      </c>
      <c r="P83" s="53" t="n">
        <f aca="false">IF(O83&lt;&gt;"",O83*0.1,"")</f>
        <v>13.3875</v>
      </c>
      <c r="Q83" s="83" t="n">
        <f aca="false">IF(O83&lt;&gt;"",O83+P83,"")</f>
        <v>147.2625</v>
      </c>
      <c r="R83" s="84"/>
    </row>
    <row r="84" customFormat="false" ht="15" hidden="false" customHeight="true" outlineLevel="0" collapsed="false">
      <c r="A84" s="72" t="n">
        <v>5916</v>
      </c>
      <c r="B84" s="85" t="n">
        <v>46190</v>
      </c>
      <c r="C84" s="86" t="n">
        <v>16058</v>
      </c>
      <c r="D84" s="87" t="n">
        <v>50163</v>
      </c>
      <c r="E84" s="46" t="str">
        <f aca="false">IF(D84&lt;&gt;"",IFERROR(VLOOKUP(D84,PROVEEDORES!$A:$B,2,0),"!COD NO ENCONTRADO"),"")</f>
        <v>SUBASTAS RIVERA S.L.</v>
      </c>
      <c r="F84" s="88" t="str">
        <f aca="false">IF(D84&lt;&gt;"",IFERROR(VLOOKUP(D84,PROVEEDORES!$A:$C,3,0),""),"")</f>
        <v>S</v>
      </c>
      <c r="G84" s="87" t="s">
        <v>207</v>
      </c>
      <c r="H84" s="46" t="str">
        <f aca="false">IF(G84&lt;&gt;"",IFERROR(VLOOKUP(G84,PRODUCTOS!$A:$B,2,0),"!COD NO ENCONTRADO"),"")</f>
        <v>MERLUZA EUROPEA PAREJA (HKE)</v>
      </c>
      <c r="I84" s="89" t="n">
        <v>2</v>
      </c>
      <c r="J84" s="90" t="n">
        <f aca="false">3.8+3.4</f>
        <v>7.2</v>
      </c>
      <c r="K84" s="91" t="n">
        <v>7.6</v>
      </c>
      <c r="L84" s="80" t="n">
        <f aca="false">IF(AND(J84&lt;&gt;"",K84&lt;&gt;""),J84*K84,"")</f>
        <v>54.72</v>
      </c>
      <c r="M84" s="81" t="n">
        <f aca="false">IF(L84&lt;&gt;"",L84*1.1,"")</f>
        <v>60.192</v>
      </c>
      <c r="N84" s="47" t="n">
        <f aca="false">IF(F84="S",L84*0.02,0)</f>
        <v>1.0944</v>
      </c>
      <c r="O84" s="82" t="n">
        <f aca="false">IF(L84&lt;&gt;"",L84+N84,"")</f>
        <v>55.8144</v>
      </c>
      <c r="P84" s="47" t="n">
        <f aca="false">IF(O84&lt;&gt;"",O84*0.1,"")</f>
        <v>5.58144</v>
      </c>
      <c r="Q84" s="83" t="n">
        <f aca="false">IF(O84&lt;&gt;"",O84+P84,"")</f>
        <v>61.39584</v>
      </c>
      <c r="R84" s="84"/>
    </row>
    <row r="85" customFormat="false" ht="15" hidden="false" customHeight="true" outlineLevel="0" collapsed="false">
      <c r="A85" s="72" t="n">
        <v>5917</v>
      </c>
      <c r="B85" s="85" t="n">
        <v>46190</v>
      </c>
      <c r="C85" s="86" t="n">
        <v>8978</v>
      </c>
      <c r="D85" s="87" t="n">
        <v>50001</v>
      </c>
      <c r="E85" s="46" t="str">
        <f aca="false">IF(D85&lt;&gt;"",IFERROR(VLOOKUP(D85,PROVEEDORES!$A:$B,2,0),"!COD NO ENCONTRADO"),"")</f>
        <v>COPESA</v>
      </c>
      <c r="F85" s="88" t="str">
        <f aca="false">IF(D85&lt;&gt;"",IFERROR(VLOOKUP(D85,PROVEEDORES!$A:$C,3,0),""),"")</f>
        <v>S</v>
      </c>
      <c r="G85" s="87" t="s">
        <v>288</v>
      </c>
      <c r="H85" s="46" t="str">
        <f aca="false">IF(G85&lt;&gt;"",IFERROR(VLOOKUP(G85,PRODUCTOS!$A:$B,2,0),"!COD NO ENCONTRADO"),"")</f>
        <v>RAPE BLANCO DIA (MON)</v>
      </c>
      <c r="I85" s="89" t="n">
        <v>1</v>
      </c>
      <c r="J85" s="90" t="n">
        <v>8</v>
      </c>
      <c r="K85" s="91" t="n">
        <v>6</v>
      </c>
      <c r="L85" s="80" t="n">
        <f aca="false">IF(AND(J85&lt;&gt;"",K85&lt;&gt;""),J85*K85,"")</f>
        <v>48</v>
      </c>
      <c r="M85" s="81" t="n">
        <f aca="false">IF(L85&lt;&gt;"",L85*1.1,"")</f>
        <v>52.8</v>
      </c>
      <c r="N85" s="47" t="n">
        <f aca="false">IF(F85="S",L85*0.02,0)</f>
        <v>0.96</v>
      </c>
      <c r="O85" s="82" t="n">
        <f aca="false">IF(L85&lt;&gt;"",L85+N85,"")</f>
        <v>48.96</v>
      </c>
      <c r="P85" s="47" t="n">
        <f aca="false">IF(O85&lt;&gt;"",O85*0.1,"")</f>
        <v>4.896</v>
      </c>
      <c r="Q85" s="83" t="n">
        <f aca="false">IF(O85&lt;&gt;"",O85+P85,"")</f>
        <v>53.856</v>
      </c>
      <c r="R85" s="84"/>
    </row>
    <row r="86" customFormat="false" ht="15" hidden="false" customHeight="true" outlineLevel="0" collapsed="false">
      <c r="A86" s="72" t="n">
        <v>5918</v>
      </c>
      <c r="B86" s="73" t="n">
        <v>46190</v>
      </c>
      <c r="C86" s="74"/>
      <c r="D86" s="75" t="n">
        <v>50035</v>
      </c>
      <c r="E86" s="52" t="str">
        <f aca="false">IF(D86&lt;&gt;"",IFERROR(VLOOKUP(D86,PROVEEDORES!$A:$B,2,0),"!COD NO ENCONTRADO"),"")</f>
        <v>SCANFISK SEAFFOD S,L</v>
      </c>
      <c r="F86" s="76" t="str">
        <f aca="false">IF(D86&lt;&gt;"",IFERROR(VLOOKUP(D86,PROVEEDORES!$A:$C,3,0),""),"")</f>
        <v>N</v>
      </c>
      <c r="G86" s="75" t="s">
        <v>235</v>
      </c>
      <c r="H86" s="52" t="str">
        <f aca="false">IF(G86&lt;&gt;"",IFERROR(VLOOKUP(G86,PRODUCTOS!$A:$B,2,0),"!COD NO ENCONTRADO"),"")</f>
        <v>MERLUZA EUROPEA VOLANTA COSTA</v>
      </c>
      <c r="I86" s="77" t="n">
        <v>3</v>
      </c>
      <c r="J86" s="78" t="n">
        <v>30</v>
      </c>
      <c r="K86" s="79" t="n">
        <v>7.4</v>
      </c>
      <c r="L86" s="80" t="n">
        <f aca="false">IF(AND(J86&lt;&gt;"",K86&lt;&gt;""),J86*K86,"")</f>
        <v>222</v>
      </c>
      <c r="M86" s="81" t="n">
        <f aca="false">IF(L86&lt;&gt;"",L86*1.1,"")</f>
        <v>244.2</v>
      </c>
      <c r="N86" s="53" t="n">
        <f aca="false">IF(F86="S",L86*0.02,0)</f>
        <v>0</v>
      </c>
      <c r="O86" s="82" t="n">
        <f aca="false">IF(L86&lt;&gt;"",L86+N86,"")</f>
        <v>222</v>
      </c>
      <c r="P86" s="53" t="n">
        <f aca="false">IF(O86&lt;&gt;"",O86*0.1,"")</f>
        <v>22.2</v>
      </c>
      <c r="Q86" s="83" t="n">
        <f aca="false">IF(O86&lt;&gt;"",O86+P86,"")</f>
        <v>244.2</v>
      </c>
      <c r="R86" s="84"/>
    </row>
    <row r="87" customFormat="false" ht="15" hidden="false" customHeight="true" outlineLevel="0" collapsed="false">
      <c r="A87" s="72" t="n">
        <v>5919</v>
      </c>
      <c r="B87" s="85" t="n">
        <v>46190</v>
      </c>
      <c r="C87" s="86" t="s">
        <v>368</v>
      </c>
      <c r="D87" s="87" t="n">
        <v>50525</v>
      </c>
      <c r="E87" s="46" t="str">
        <f aca="false">IF(D87&lt;&gt;"",IFERROR(VLOOKUP(D87,PROVEEDORES!$A:$B,2,0),"!COD NO ENCONTRADO"),"")</f>
        <v>FURIC MAREE</v>
      </c>
      <c r="F87" s="88" t="str">
        <f aca="false">IF(D87&lt;&gt;"",IFERROR(VLOOKUP(D87,PROVEEDORES!$A:$C,3,0),""),"")</f>
        <v>N</v>
      </c>
      <c r="G87" s="87" t="s">
        <v>318</v>
      </c>
      <c r="H87" s="46" t="str">
        <f aca="false">IF(G87&lt;&gt;"",IFERROR(VLOOKUP(G87,PRODUCTOS!$A:$B,2,0),"!COD NO ENCONTRADO"),"")</f>
        <v>SAN MARTIÑOS/ SAN PEDROS (JOD)</v>
      </c>
      <c r="I87" s="89" t="n">
        <v>2</v>
      </c>
      <c r="J87" s="90" t="n">
        <v>12.1</v>
      </c>
      <c r="K87" s="91" t="n">
        <v>22.5</v>
      </c>
      <c r="L87" s="80" t="n">
        <f aca="false">IF(AND(J87&lt;&gt;"",K87&lt;&gt;""),J87*K87,"")</f>
        <v>272.25</v>
      </c>
      <c r="M87" s="81" t="n">
        <f aca="false">IF(L87&lt;&gt;"",L87*1.1,"")</f>
        <v>299.475</v>
      </c>
      <c r="N87" s="47" t="n">
        <f aca="false">IF(F87="S",L87*0.02,0)</f>
        <v>0</v>
      </c>
      <c r="O87" s="82" t="n">
        <f aca="false">IF(L87&lt;&gt;"",L87+N87,"")</f>
        <v>272.25</v>
      </c>
      <c r="P87" s="47" t="n">
        <f aca="false">IF(O87&lt;&gt;"",O87*0.1,"")</f>
        <v>27.225</v>
      </c>
      <c r="Q87" s="83" t="n">
        <f aca="false">IF(O87&lt;&gt;"",O87+P87,"")</f>
        <v>299.475</v>
      </c>
      <c r="R87" s="84"/>
    </row>
    <row r="88" customFormat="false" ht="15" hidden="false" customHeight="true" outlineLevel="0" collapsed="false">
      <c r="A88" s="72" t="n">
        <v>5919</v>
      </c>
      <c r="B88" s="73" t="n">
        <v>46190</v>
      </c>
      <c r="C88" s="74" t="s">
        <v>368</v>
      </c>
      <c r="D88" s="75" t="n">
        <v>50525</v>
      </c>
      <c r="E88" s="52" t="str">
        <f aca="false">IF(D88&lt;&gt;"",IFERROR(VLOOKUP(D88,PROVEEDORES!$A:$B,2,0),"!COD NO ENCONTRADO"),"")</f>
        <v>FURIC MAREE</v>
      </c>
      <c r="F88" s="76" t="str">
        <f aca="false">IF(D88&lt;&gt;"",IFERROR(VLOOKUP(D88,PROVEEDORES!$A:$C,3,0),""),"")</f>
        <v>N</v>
      </c>
      <c r="G88" s="75" t="s">
        <v>318</v>
      </c>
      <c r="H88" s="52" t="str">
        <f aca="false">IF(G88&lt;&gt;"",IFERROR(VLOOKUP(G88,PRODUCTOS!$A:$B,2,0),"!COD NO ENCONTRADO"),"")</f>
        <v>SAN MARTIÑOS/ SAN PEDROS (JOD)</v>
      </c>
      <c r="I88" s="77" t="n">
        <v>1</v>
      </c>
      <c r="J88" s="78" t="n">
        <v>6.2</v>
      </c>
      <c r="K88" s="79" t="n">
        <v>23.5</v>
      </c>
      <c r="L88" s="80" t="n">
        <f aca="false">IF(AND(J88&lt;&gt;"",K88&lt;&gt;""),J88*K88,"")</f>
        <v>145.7</v>
      </c>
      <c r="M88" s="81" t="n">
        <f aca="false">IF(L88&lt;&gt;"",L88*1.1,"")</f>
        <v>160.27</v>
      </c>
      <c r="N88" s="53" t="n">
        <f aca="false">IF(F88="S",L88*0.02,0)</f>
        <v>0</v>
      </c>
      <c r="O88" s="82" t="n">
        <f aca="false">IF(L88&lt;&gt;"",L88+N88,"")</f>
        <v>145.7</v>
      </c>
      <c r="P88" s="53" t="n">
        <f aca="false">IF(O88&lt;&gt;"",O88*0.1,"")</f>
        <v>14.57</v>
      </c>
      <c r="Q88" s="83" t="n">
        <f aca="false">IF(O88&lt;&gt;"",O88+P88,"")</f>
        <v>160.27</v>
      </c>
      <c r="R88" s="84"/>
    </row>
    <row r="89" customFormat="false" ht="15" hidden="false" customHeight="true" outlineLevel="0" collapsed="false">
      <c r="A89" s="72" t="n">
        <v>5919</v>
      </c>
      <c r="B89" s="85" t="n">
        <v>46190</v>
      </c>
      <c r="C89" s="86" t="s">
        <v>368</v>
      </c>
      <c r="D89" s="87" t="n">
        <v>50525</v>
      </c>
      <c r="E89" s="46" t="str">
        <f aca="false">IF(D89&lt;&gt;"",IFERROR(VLOOKUP(D89,PROVEEDORES!$A:$B,2,0),"!COD NO ENCONTRADO"),"")</f>
        <v>FURIC MAREE</v>
      </c>
      <c r="F89" s="88" t="str">
        <f aca="false">IF(D89&lt;&gt;"",IFERROR(VLOOKUP(D89,PROVEEDORES!$A:$C,3,0),""),"")</f>
        <v>N</v>
      </c>
      <c r="G89" s="87" t="s">
        <v>143</v>
      </c>
      <c r="H89" s="46" t="str">
        <f aca="false">IF(G89&lt;&gt;"",IFERROR(VLOOKUP(G89,PRODUCTOS!$A:$B,2,0),"!COD NO ENCONTRADO"),"")</f>
        <v>CORUXO/ SOLLO/ REMOL (BLL)</v>
      </c>
      <c r="I89" s="89" t="n">
        <v>5</v>
      </c>
      <c r="J89" s="90" t="n">
        <v>33.5</v>
      </c>
      <c r="K89" s="91" t="n">
        <v>22</v>
      </c>
      <c r="L89" s="80" t="n">
        <f aca="false">IF(AND(J89&lt;&gt;"",K89&lt;&gt;""),J89*K89,"")</f>
        <v>737</v>
      </c>
      <c r="M89" s="81" t="n">
        <f aca="false">IF(L89&lt;&gt;"",L89*1.1,"")</f>
        <v>810.7</v>
      </c>
      <c r="N89" s="47" t="n">
        <f aca="false">IF(F89="S",L89*0.02,0)</f>
        <v>0</v>
      </c>
      <c r="O89" s="82" t="n">
        <f aca="false">IF(L89&lt;&gt;"",L89+N89,"")</f>
        <v>737</v>
      </c>
      <c r="P89" s="47" t="n">
        <f aca="false">IF(O89&lt;&gt;"",O89*0.1,"")</f>
        <v>73.7</v>
      </c>
      <c r="Q89" s="83" t="n">
        <f aca="false">IF(O89&lt;&gt;"",O89+P89,"")</f>
        <v>810.7</v>
      </c>
      <c r="R89" s="84"/>
    </row>
    <row r="90" customFormat="false" ht="15" hidden="false" customHeight="true" outlineLevel="0" collapsed="false">
      <c r="A90" s="72" t="n">
        <v>5919</v>
      </c>
      <c r="B90" s="73" t="n">
        <v>46190</v>
      </c>
      <c r="C90" s="74" t="s">
        <v>368</v>
      </c>
      <c r="D90" s="75" t="n">
        <v>50525</v>
      </c>
      <c r="E90" s="52" t="str">
        <f aca="false">IF(D90&lt;&gt;"",IFERROR(VLOOKUP(D90,PROVEEDORES!$A:$B,2,0),"!COD NO ENCONTRADO"),"")</f>
        <v>FURIC MAREE</v>
      </c>
      <c r="F90" s="76" t="str">
        <f aca="false">IF(D90&lt;&gt;"",IFERROR(VLOOKUP(D90,PROVEEDORES!$A:$C,3,0),""),"")</f>
        <v>N</v>
      </c>
      <c r="G90" s="75" t="s">
        <v>306</v>
      </c>
      <c r="H90" s="52" t="str">
        <f aca="false">IF(G90&lt;&gt;"",IFERROR(VLOOKUP(G90,PRODUCTOS!$A:$B,2,0),"!COD NO ENCONTRADO"),"")</f>
        <v>RODABALLO (TUR)</v>
      </c>
      <c r="I90" s="77" t="n">
        <v>2</v>
      </c>
      <c r="J90" s="78" t="n">
        <v>13.4</v>
      </c>
      <c r="K90" s="79" t="n">
        <v>22.8</v>
      </c>
      <c r="L90" s="80" t="n">
        <f aca="false">IF(AND(J90&lt;&gt;"",K90&lt;&gt;""),J90*K90,"")</f>
        <v>305.52</v>
      </c>
      <c r="M90" s="81" t="n">
        <f aca="false">IF(L90&lt;&gt;"",L90*1.1,"")</f>
        <v>336.072</v>
      </c>
      <c r="N90" s="53" t="n">
        <f aca="false">IF(F90="S",L90*0.02,0)</f>
        <v>0</v>
      </c>
      <c r="O90" s="82" t="n">
        <f aca="false">IF(L90&lt;&gt;"",L90+N90,"")</f>
        <v>305.52</v>
      </c>
      <c r="P90" s="53" t="n">
        <f aca="false">IF(O90&lt;&gt;"",O90*0.1,"")</f>
        <v>30.552</v>
      </c>
      <c r="Q90" s="83" t="n">
        <f aca="false">IF(O90&lt;&gt;"",O90+P90,"")</f>
        <v>336.072</v>
      </c>
      <c r="R90" s="84"/>
    </row>
    <row r="91" customFormat="false" ht="15" hidden="false" customHeight="true" outlineLevel="0" collapsed="false">
      <c r="A91" s="72" t="n">
        <v>5919</v>
      </c>
      <c r="B91" s="85" t="n">
        <v>46190</v>
      </c>
      <c r="C91" s="86" t="s">
        <v>368</v>
      </c>
      <c r="D91" s="87" t="n">
        <v>50525</v>
      </c>
      <c r="E91" s="46" t="str">
        <f aca="false">IF(D91&lt;&gt;"",IFERROR(VLOOKUP(D91,PROVEEDORES!$A:$B,2,0),"!COD NO ENCONTRADO"),"")</f>
        <v>FURIC MAREE</v>
      </c>
      <c r="F91" s="88" t="str">
        <f aca="false">IF(D91&lt;&gt;"",IFERROR(VLOOKUP(D91,PROVEEDORES!$A:$C,3,0),""),"")</f>
        <v>N</v>
      </c>
      <c r="G91" s="87" t="s">
        <v>306</v>
      </c>
      <c r="H91" s="46" t="str">
        <f aca="false">IF(G91&lt;&gt;"",IFERROR(VLOOKUP(G91,PRODUCTOS!$A:$B,2,0),"!COD NO ENCONTRADO"),"")</f>
        <v>RODABALLO (TUR)</v>
      </c>
      <c r="I91" s="89" t="n">
        <v>2</v>
      </c>
      <c r="J91" s="90" t="n">
        <v>24.4</v>
      </c>
      <c r="K91" s="91" t="n">
        <v>23</v>
      </c>
      <c r="L91" s="80" t="n">
        <f aca="false">IF(AND(J91&lt;&gt;"",K91&lt;&gt;""),J91*K91,"")</f>
        <v>561.2</v>
      </c>
      <c r="M91" s="81" t="n">
        <f aca="false">IF(L91&lt;&gt;"",L91*1.1,"")</f>
        <v>617.32</v>
      </c>
      <c r="N91" s="47" t="n">
        <f aca="false">IF(F91="S",L91*0.02,0)</f>
        <v>0</v>
      </c>
      <c r="O91" s="82" t="n">
        <f aca="false">IF(L91&lt;&gt;"",L91+N91,"")</f>
        <v>561.2</v>
      </c>
      <c r="P91" s="47" t="n">
        <f aca="false">IF(O91&lt;&gt;"",O91*0.1,"")</f>
        <v>56.12</v>
      </c>
      <c r="Q91" s="83" t="n">
        <f aca="false">IF(O91&lt;&gt;"",O91+P91,"")</f>
        <v>617.32</v>
      </c>
      <c r="R91" s="84"/>
    </row>
    <row r="92" customFormat="false" ht="15" hidden="false" customHeight="true" outlineLevel="0" collapsed="false">
      <c r="A92" s="72" t="n">
        <v>5919</v>
      </c>
      <c r="B92" s="73" t="n">
        <v>46190</v>
      </c>
      <c r="C92" s="74" t="s">
        <v>369</v>
      </c>
      <c r="D92" s="75" t="n">
        <v>50525</v>
      </c>
      <c r="E92" s="52" t="str">
        <f aca="false">IF(D92&lt;&gt;"",IFERROR(VLOOKUP(D92,PROVEEDORES!$A:$B,2,0),"!COD NO ENCONTRADO"),"")</f>
        <v>FURIC MAREE</v>
      </c>
      <c r="F92" s="76" t="str">
        <f aca="false">IF(D92&lt;&gt;"",IFERROR(VLOOKUP(D92,PROVEEDORES!$A:$C,3,0),""),"")</f>
        <v>N</v>
      </c>
      <c r="G92" s="75" t="s">
        <v>318</v>
      </c>
      <c r="H92" s="52" t="str">
        <f aca="false">IF(G92&lt;&gt;"",IFERROR(VLOOKUP(G92,PRODUCTOS!$A:$B,2,0),"!COD NO ENCONTRADO"),"")</f>
        <v>SAN MARTIÑOS/ SAN PEDROS (JOD)</v>
      </c>
      <c r="I92" s="77" t="n">
        <v>2</v>
      </c>
      <c r="J92" s="78" t="n">
        <v>13.4</v>
      </c>
      <c r="K92" s="79" t="n">
        <v>32</v>
      </c>
      <c r="L92" s="80" t="n">
        <f aca="false">IF(AND(J92&lt;&gt;"",K92&lt;&gt;""),J92*K92,"")</f>
        <v>428.8</v>
      </c>
      <c r="M92" s="81" t="n">
        <f aca="false">IF(L92&lt;&gt;"",L92*1.1,"")</f>
        <v>471.68</v>
      </c>
      <c r="N92" s="53" t="n">
        <f aca="false">IF(F92="S",L92*0.02,0)</f>
        <v>0</v>
      </c>
      <c r="O92" s="82" t="n">
        <f aca="false">IF(L92&lt;&gt;"",L92+N92,"")</f>
        <v>428.8</v>
      </c>
      <c r="P92" s="53" t="n">
        <f aca="false">IF(O92&lt;&gt;"",O92*0.1,"")</f>
        <v>42.88</v>
      </c>
      <c r="Q92" s="83" t="n">
        <f aca="false">IF(O92&lt;&gt;"",O92+P92,"")</f>
        <v>471.68</v>
      </c>
      <c r="R92" s="84"/>
    </row>
    <row r="93" customFormat="false" ht="15" hidden="false" customHeight="true" outlineLevel="0" collapsed="false">
      <c r="A93" s="72" t="n">
        <v>5920</v>
      </c>
      <c r="B93" s="73" t="n">
        <v>46190</v>
      </c>
      <c r="C93" s="74" t="s">
        <v>370</v>
      </c>
      <c r="D93" s="75" t="n">
        <v>50232</v>
      </c>
      <c r="E93" s="52" t="str">
        <f aca="false">IF(D93&lt;&gt;"",IFERROR(VLOOKUP(D93,PROVEEDORES!$A:$B,2,0),"!COD NO ENCONTRADO"),"")</f>
        <v>XESTION NOVA LONXA RIVEIRA S.L.</v>
      </c>
      <c r="F93" s="76" t="str">
        <f aca="false">IF(D93&lt;&gt;"",IFERROR(VLOOKUP(D93,PROVEEDORES!$A:$C,3,0),""),"")</f>
        <v>S</v>
      </c>
      <c r="G93" s="75" t="s">
        <v>179</v>
      </c>
      <c r="H93" s="52" t="str">
        <f aca="false">IF(G93&lt;&gt;"",IFERROR(VLOOKUP(G93,PRODUCTOS!$A:$B,2,0),"!COD NO ENCONTRADO"),"")</f>
        <v>LIRIO/ BACALADILLA/ PERLA (WHB)</v>
      </c>
      <c r="I93" s="77" t="n">
        <v>30</v>
      </c>
      <c r="J93" s="78" t="n">
        <v>312</v>
      </c>
      <c r="K93" s="79" t="n">
        <v>1.35</v>
      </c>
      <c r="L93" s="80" t="n">
        <f aca="false">IF(AND(J93&lt;&gt;"",K93&lt;&gt;""),J93*K93,"")</f>
        <v>421.2</v>
      </c>
      <c r="M93" s="81" t="n">
        <f aca="false">IF(L93&lt;&gt;"",L93*1.1,"")</f>
        <v>463.32</v>
      </c>
      <c r="N93" s="53" t="n">
        <f aca="false">IF(F93="S",L93*0.02,0)</f>
        <v>8.424</v>
      </c>
      <c r="O93" s="82" t="n">
        <f aca="false">IF(L93&lt;&gt;"",L93+N93,"")</f>
        <v>429.624</v>
      </c>
      <c r="P93" s="53" t="n">
        <f aca="false">IF(O93&lt;&gt;"",O93*0.1,"")</f>
        <v>42.9624</v>
      </c>
      <c r="Q93" s="83" t="n">
        <f aca="false">IF(O93&lt;&gt;"",O93+P93,"")</f>
        <v>472.5864</v>
      </c>
      <c r="R93" s="84"/>
    </row>
    <row r="94" customFormat="false" ht="15" hidden="false" customHeight="true" outlineLevel="0" collapsed="false">
      <c r="A94" s="72" t="n">
        <v>5920</v>
      </c>
      <c r="B94" s="85" t="n">
        <v>46190</v>
      </c>
      <c r="C94" s="86" t="s">
        <v>370</v>
      </c>
      <c r="D94" s="87" t="n">
        <v>50232</v>
      </c>
      <c r="E94" s="46" t="str">
        <f aca="false">IF(D94&lt;&gt;"",IFERROR(VLOOKUP(D94,PROVEEDORES!$A:$B,2,0),"!COD NO ENCONTRADO"),"")</f>
        <v>XESTION NOVA LONXA RIVEIRA S.L.</v>
      </c>
      <c r="F94" s="88" t="str">
        <f aca="false">IF(D94&lt;&gt;"",IFERROR(VLOOKUP(D94,PROVEEDORES!$A:$C,3,0),""),"")</f>
        <v>S</v>
      </c>
      <c r="G94" s="87" t="s">
        <v>207</v>
      </c>
      <c r="H94" s="46" t="str">
        <f aca="false">IF(G94&lt;&gt;"",IFERROR(VLOOKUP(G94,PRODUCTOS!$A:$B,2,0),"!COD NO ENCONTRADO"),"")</f>
        <v>MERLUZA EUROPEA PAREJA (HKE)</v>
      </c>
      <c r="I94" s="89" t="n">
        <v>1</v>
      </c>
      <c r="J94" s="90" t="n">
        <v>7.7</v>
      </c>
      <c r="K94" s="91" t="n">
        <v>2.5</v>
      </c>
      <c r="L94" s="80" t="n">
        <f aca="false">IF(AND(J94&lt;&gt;"",K94&lt;&gt;""),J94*K94,"")</f>
        <v>19.25</v>
      </c>
      <c r="M94" s="81" t="n">
        <f aca="false">IF(L94&lt;&gt;"",L94*1.1,"")</f>
        <v>21.175</v>
      </c>
      <c r="N94" s="47" t="n">
        <f aca="false">IF(F94="S",L94*0.02,0)</f>
        <v>0.385</v>
      </c>
      <c r="O94" s="82" t="n">
        <f aca="false">IF(L94&lt;&gt;"",L94+N94,"")</f>
        <v>19.635</v>
      </c>
      <c r="P94" s="47" t="n">
        <f aca="false">IF(O94&lt;&gt;"",O94*0.1,"")</f>
        <v>1.9635</v>
      </c>
      <c r="Q94" s="83" t="n">
        <f aca="false">IF(O94&lt;&gt;"",O94+P94,"")</f>
        <v>21.5985</v>
      </c>
      <c r="R94" s="84"/>
    </row>
    <row r="95" customFormat="false" ht="15" hidden="false" customHeight="true" outlineLevel="0" collapsed="false">
      <c r="A95" s="72" t="n">
        <v>5920</v>
      </c>
      <c r="B95" s="73" t="n">
        <v>46190</v>
      </c>
      <c r="C95" s="74" t="s">
        <v>370</v>
      </c>
      <c r="D95" s="75" t="n">
        <v>50232</v>
      </c>
      <c r="E95" s="52" t="str">
        <f aca="false">IF(D95&lt;&gt;"",IFERROR(VLOOKUP(D95,PROVEEDORES!$A:$B,2,0),"!COD NO ENCONTRADO"),"")</f>
        <v>XESTION NOVA LONXA RIVEIRA S.L.</v>
      </c>
      <c r="F95" s="76" t="str">
        <f aca="false">IF(D95&lt;&gt;"",IFERROR(VLOOKUP(D95,PROVEEDORES!$A:$C,3,0),""),"")</f>
        <v>S</v>
      </c>
      <c r="G95" s="75" t="s">
        <v>207</v>
      </c>
      <c r="H95" s="52" t="str">
        <f aca="false">IF(G95&lt;&gt;"",IFERROR(VLOOKUP(G95,PRODUCTOS!$A:$B,2,0),"!COD NO ENCONTRADO"),"")</f>
        <v>MERLUZA EUROPEA PAREJA (HKE)</v>
      </c>
      <c r="I95" s="77" t="n">
        <v>5</v>
      </c>
      <c r="J95" s="78" t="n">
        <v>45.6</v>
      </c>
      <c r="K95" s="79" t="n">
        <v>3</v>
      </c>
      <c r="L95" s="80" t="n">
        <f aca="false">IF(AND(J95&lt;&gt;"",K95&lt;&gt;""),J95*K95,"")</f>
        <v>136.8</v>
      </c>
      <c r="M95" s="81" t="n">
        <f aca="false">IF(L95&lt;&gt;"",L95*1.1,"")</f>
        <v>150.48</v>
      </c>
      <c r="N95" s="53" t="n">
        <f aca="false">IF(F95="S",L95*0.02,0)</f>
        <v>2.736</v>
      </c>
      <c r="O95" s="82" t="n">
        <f aca="false">IF(L95&lt;&gt;"",L95+N95,"")</f>
        <v>139.536</v>
      </c>
      <c r="P95" s="53" t="n">
        <f aca="false">IF(O95&lt;&gt;"",O95*0.1,"")</f>
        <v>13.9536</v>
      </c>
      <c r="Q95" s="83" t="n">
        <f aca="false">IF(O95&lt;&gt;"",O95+P95,"")</f>
        <v>153.4896</v>
      </c>
      <c r="R95" s="84"/>
    </row>
    <row r="96" customFormat="false" ht="15" hidden="false" customHeight="true" outlineLevel="0" collapsed="false">
      <c r="A96" s="72" t="n">
        <v>5920</v>
      </c>
      <c r="B96" s="85" t="n">
        <v>46190</v>
      </c>
      <c r="C96" s="86" t="s">
        <v>370</v>
      </c>
      <c r="D96" s="87" t="n">
        <v>50232</v>
      </c>
      <c r="E96" s="46" t="str">
        <f aca="false">IF(D96&lt;&gt;"",IFERROR(VLOOKUP(D96,PROVEEDORES!$A:$B,2,0),"!COD NO ENCONTRADO"),"")</f>
        <v>XESTION NOVA LONXA RIVEIRA S.L.</v>
      </c>
      <c r="F96" s="88" t="str">
        <f aca="false">IF(D96&lt;&gt;"",IFERROR(VLOOKUP(D96,PROVEEDORES!$A:$C,3,0),""),"")</f>
        <v>S</v>
      </c>
      <c r="G96" s="87" t="s">
        <v>270</v>
      </c>
      <c r="H96" s="46" t="str">
        <f aca="false">IF(G96&lt;&gt;"",IFERROR(VLOOKUP(G96,PRODUCTOS!$A:$B,2,0),"!COD NO ENCONTRADO"),"")</f>
        <v>PEON/ PION (ATP)</v>
      </c>
      <c r="I96" s="89" t="n">
        <v>15</v>
      </c>
      <c r="J96" s="90" t="n">
        <v>71.5</v>
      </c>
      <c r="K96" s="91" t="n">
        <v>4</v>
      </c>
      <c r="L96" s="80" t="n">
        <f aca="false">IF(AND(J96&lt;&gt;"",K96&lt;&gt;""),J96*K96,"")</f>
        <v>286</v>
      </c>
      <c r="M96" s="81" t="n">
        <f aca="false">IF(L96&lt;&gt;"",L96*1.1,"")</f>
        <v>314.6</v>
      </c>
      <c r="N96" s="47" t="n">
        <f aca="false">IF(F96="S",L96*0.02,0)</f>
        <v>5.72</v>
      </c>
      <c r="O96" s="82" t="n">
        <f aca="false">IF(L96&lt;&gt;"",L96+N96,"")</f>
        <v>291.72</v>
      </c>
      <c r="P96" s="47" t="n">
        <f aca="false">IF(O96&lt;&gt;"",O96*0.1,"")</f>
        <v>29.172</v>
      </c>
      <c r="Q96" s="83" t="n">
        <f aca="false">IF(O96&lt;&gt;"",O96+P96,"")</f>
        <v>320.892</v>
      </c>
      <c r="R96" s="84"/>
    </row>
    <row r="97" customFormat="false" ht="15" hidden="false" customHeight="true" outlineLevel="0" collapsed="false">
      <c r="A97" s="72" t="n">
        <v>5920</v>
      </c>
      <c r="B97" s="73" t="n">
        <v>46190</v>
      </c>
      <c r="C97" s="74" t="s">
        <v>370</v>
      </c>
      <c r="D97" s="75" t="n">
        <v>50232</v>
      </c>
      <c r="E97" s="52" t="str">
        <f aca="false">IF(D97&lt;&gt;"",IFERROR(VLOOKUP(D97,PROVEEDORES!$A:$B,2,0),"!COD NO ENCONTRADO"),"")</f>
        <v>XESTION NOVA LONXA RIVEIRA S.L.</v>
      </c>
      <c r="F97" s="76" t="str">
        <f aca="false">IF(D97&lt;&gt;"",IFERROR(VLOOKUP(D97,PROVEEDORES!$A:$C,3,0),""),"")</f>
        <v>S</v>
      </c>
      <c r="G97" s="75" t="s">
        <v>296</v>
      </c>
      <c r="H97" s="52" t="str">
        <f aca="false">IF(G97&lt;&gt;"",IFERROR(VLOOKUP(G97,PRODUCTOS!$A:$B,2,0),"!COD NO ENCONTRADO"),"")</f>
        <v>RAPE NEGRO (ANK)</v>
      </c>
      <c r="I97" s="77" t="n">
        <v>1</v>
      </c>
      <c r="J97" s="78" t="n">
        <v>1.8</v>
      </c>
      <c r="K97" s="79" t="n">
        <v>2</v>
      </c>
      <c r="L97" s="80" t="n">
        <f aca="false">IF(AND(J97&lt;&gt;"",K97&lt;&gt;""),J97*K97,"")</f>
        <v>3.6</v>
      </c>
      <c r="M97" s="81" t="n">
        <f aca="false">IF(L97&lt;&gt;"",L97*1.1,"")</f>
        <v>3.96</v>
      </c>
      <c r="N97" s="53" t="n">
        <f aca="false">IF(F97="S",L97*0.02,0)</f>
        <v>0.072</v>
      </c>
      <c r="O97" s="82" t="n">
        <f aca="false">IF(L97&lt;&gt;"",L97+N97,"")</f>
        <v>3.672</v>
      </c>
      <c r="P97" s="53" t="n">
        <f aca="false">IF(O97&lt;&gt;"",O97*0.1,"")</f>
        <v>0.3672</v>
      </c>
      <c r="Q97" s="83" t="n">
        <f aca="false">IF(O97&lt;&gt;"",O97+P97,"")</f>
        <v>4.0392</v>
      </c>
      <c r="R97" s="84"/>
    </row>
    <row r="98" customFormat="false" ht="15" hidden="false" customHeight="true" outlineLevel="0" collapsed="false">
      <c r="A98" s="72" t="n">
        <v>5920</v>
      </c>
      <c r="B98" s="85" t="n">
        <v>46190</v>
      </c>
      <c r="C98" s="86" t="s">
        <v>370</v>
      </c>
      <c r="D98" s="87" t="n">
        <v>50232</v>
      </c>
      <c r="E98" s="46" t="str">
        <f aca="false">IF(D98&lt;&gt;"",IFERROR(VLOOKUP(D98,PROVEEDORES!$A:$B,2,0),"!COD NO ENCONTRADO"),"")</f>
        <v>XESTION NOVA LONXA RIVEIRA S.L.</v>
      </c>
      <c r="F98" s="88" t="str">
        <f aca="false">IF(D98&lt;&gt;"",IFERROR(VLOOKUP(D98,PROVEEDORES!$A:$C,3,0),""),"")</f>
        <v>S</v>
      </c>
      <c r="G98" s="87" t="s">
        <v>296</v>
      </c>
      <c r="H98" s="46" t="str">
        <f aca="false">IF(G98&lt;&gt;"",IFERROR(VLOOKUP(G98,PRODUCTOS!$A:$B,2,0),"!COD NO ENCONTRADO"),"")</f>
        <v>RAPE NEGRO (ANK)</v>
      </c>
      <c r="I98" s="89" t="n">
        <v>1</v>
      </c>
      <c r="J98" s="90" t="n">
        <v>1.6</v>
      </c>
      <c r="K98" s="91" t="n">
        <v>3</v>
      </c>
      <c r="L98" s="80" t="n">
        <f aca="false">IF(AND(J98&lt;&gt;"",K98&lt;&gt;""),J98*K98,"")</f>
        <v>4.8</v>
      </c>
      <c r="M98" s="81" t="n">
        <f aca="false">IF(L98&lt;&gt;"",L98*1.1,"")</f>
        <v>5.28</v>
      </c>
      <c r="N98" s="47" t="n">
        <f aca="false">IF(F98="S",L98*0.02,0)</f>
        <v>0.096</v>
      </c>
      <c r="O98" s="82" t="n">
        <f aca="false">IF(L98&lt;&gt;"",L98+N98,"")</f>
        <v>4.896</v>
      </c>
      <c r="P98" s="47" t="n">
        <f aca="false">IF(O98&lt;&gt;"",O98*0.1,"")</f>
        <v>0.4896</v>
      </c>
      <c r="Q98" s="83" t="n">
        <f aca="false">IF(O98&lt;&gt;"",O98+P98,"")</f>
        <v>5.3856</v>
      </c>
      <c r="R98" s="84"/>
    </row>
    <row r="99" customFormat="false" ht="15" hidden="false" customHeight="true" outlineLevel="0" collapsed="false">
      <c r="A99" s="72" t="n">
        <v>5920</v>
      </c>
      <c r="B99" s="73" t="n">
        <v>46190</v>
      </c>
      <c r="C99" s="74" t="s">
        <v>370</v>
      </c>
      <c r="D99" s="75" t="n">
        <v>50232</v>
      </c>
      <c r="E99" s="52" t="str">
        <f aca="false">IF(D99&lt;&gt;"",IFERROR(VLOOKUP(D99,PROVEEDORES!$A:$B,2,0),"!COD NO ENCONTRADO"),"")</f>
        <v>XESTION NOVA LONXA RIVEIRA S.L.</v>
      </c>
      <c r="F99" s="76" t="str">
        <f aca="false">IF(D99&lt;&gt;"",IFERROR(VLOOKUP(D99,PROVEEDORES!$A:$C,3,0),""),"")</f>
        <v>S</v>
      </c>
      <c r="G99" s="75" t="s">
        <v>296</v>
      </c>
      <c r="H99" s="52" t="str">
        <f aca="false">IF(G99&lt;&gt;"",IFERROR(VLOOKUP(G99,PRODUCTOS!$A:$B,2,0),"!COD NO ENCONTRADO"),"")</f>
        <v>RAPE NEGRO (ANK)</v>
      </c>
      <c r="I99" s="77" t="n">
        <v>4</v>
      </c>
      <c r="J99" s="78" t="n">
        <v>18.6</v>
      </c>
      <c r="K99" s="79" t="n">
        <v>3.5</v>
      </c>
      <c r="L99" s="80" t="n">
        <f aca="false">IF(AND(J99&lt;&gt;"",K99&lt;&gt;""),J99*K99,"")</f>
        <v>65.1</v>
      </c>
      <c r="M99" s="81" t="n">
        <f aca="false">IF(L99&lt;&gt;"",L99*1.1,"")</f>
        <v>71.61</v>
      </c>
      <c r="N99" s="53" t="n">
        <f aca="false">IF(F99="S",L99*0.02,0)</f>
        <v>1.302</v>
      </c>
      <c r="O99" s="82" t="n">
        <f aca="false">IF(L99&lt;&gt;"",L99+N99,"")</f>
        <v>66.402</v>
      </c>
      <c r="P99" s="53" t="n">
        <f aca="false">IF(O99&lt;&gt;"",O99*0.1,"")</f>
        <v>6.6402</v>
      </c>
      <c r="Q99" s="83" t="n">
        <f aca="false">IF(O99&lt;&gt;"",O99+P99,"")</f>
        <v>73.0422</v>
      </c>
      <c r="R99" s="84"/>
    </row>
    <row r="100" customFormat="false" ht="15" hidden="false" customHeight="true" outlineLevel="0" collapsed="false">
      <c r="A100" s="72" t="n">
        <v>5920</v>
      </c>
      <c r="B100" s="85" t="n">
        <v>46190</v>
      </c>
      <c r="C100" s="86" t="s">
        <v>370</v>
      </c>
      <c r="D100" s="87" t="n">
        <v>50232</v>
      </c>
      <c r="E100" s="46" t="str">
        <f aca="false">IF(D100&lt;&gt;"",IFERROR(VLOOKUP(D100,PROVEEDORES!$A:$B,2,0),"!COD NO ENCONTRADO"),"")</f>
        <v>XESTION NOVA LONXA RIVEIRA S.L.</v>
      </c>
      <c r="F100" s="88" t="str">
        <f aca="false">IF(D100&lt;&gt;"",IFERROR(VLOOKUP(D100,PROVEEDORES!$A:$C,3,0),""),"")</f>
        <v>S</v>
      </c>
      <c r="G100" s="87" t="s">
        <v>332</v>
      </c>
      <c r="H100" s="46" t="str">
        <f aca="false">IF(G100&lt;&gt;"",IFERROR(VLOOKUP(G100,PRODUCTOS!$A:$B,2,0),"!COD NO ENCONTRADO"),"")</f>
        <v>VARIADO PEQUEÑO</v>
      </c>
      <c r="I100" s="89" t="n">
        <v>1</v>
      </c>
      <c r="J100" s="90" t="n">
        <v>6</v>
      </c>
      <c r="K100" s="91" t="n">
        <v>1.5</v>
      </c>
      <c r="L100" s="80" t="n">
        <f aca="false">IF(AND(J100&lt;&gt;"",K100&lt;&gt;""),J100*K100,"")</f>
        <v>9</v>
      </c>
      <c r="M100" s="81" t="n">
        <f aca="false">IF(L100&lt;&gt;"",L100*1.1,"")</f>
        <v>9.9</v>
      </c>
      <c r="N100" s="47" t="n">
        <f aca="false">IF(F100="S",L100*0.02,0)</f>
        <v>0.18</v>
      </c>
      <c r="O100" s="82" t="n">
        <f aca="false">IF(L100&lt;&gt;"",L100+N100,"")</f>
        <v>9.18</v>
      </c>
      <c r="P100" s="47" t="n">
        <f aca="false">IF(O100&lt;&gt;"",O100*0.1,"")</f>
        <v>0.918</v>
      </c>
      <c r="Q100" s="83" t="n">
        <f aca="false">IF(O100&lt;&gt;"",O100+P100,"")</f>
        <v>10.098</v>
      </c>
      <c r="R100" s="84"/>
    </row>
    <row r="101" customFormat="false" ht="15" hidden="false" customHeight="true" outlineLevel="0" collapsed="false">
      <c r="A101" s="72" t="n">
        <v>5920</v>
      </c>
      <c r="B101" s="73" t="n">
        <v>46190</v>
      </c>
      <c r="C101" s="74" t="s">
        <v>370</v>
      </c>
      <c r="D101" s="75" t="n">
        <v>50232</v>
      </c>
      <c r="E101" s="52" t="str">
        <f aca="false">IF(D101&lt;&gt;"",IFERROR(VLOOKUP(D101,PROVEEDORES!$A:$B,2,0),"!COD NO ENCONTRADO"),"")</f>
        <v>XESTION NOVA LONXA RIVEIRA S.L.</v>
      </c>
      <c r="F101" s="76" t="str">
        <f aca="false">IF(D101&lt;&gt;"",IFERROR(VLOOKUP(D101,PROVEEDORES!$A:$C,3,0),""),"")</f>
        <v>S</v>
      </c>
      <c r="G101" s="75" t="s">
        <v>310</v>
      </c>
      <c r="H101" s="52" t="str">
        <f aca="false">IF(G101&lt;&gt;"",IFERROR(VLOOKUP(G101,PRODUCTOS!$A:$B,2,0),"!COD NO ENCONTRADO"),"")</f>
        <v>SABOGA/ SALEMA/ SALMA (SLM)</v>
      </c>
      <c r="I101" s="77" t="n">
        <v>7</v>
      </c>
      <c r="J101" s="78" t="n">
        <v>61.2</v>
      </c>
      <c r="K101" s="79" t="n">
        <v>1</v>
      </c>
      <c r="L101" s="80" t="n">
        <f aca="false">IF(AND(J101&lt;&gt;"",K101&lt;&gt;""),J101*K101,"")</f>
        <v>61.2</v>
      </c>
      <c r="M101" s="81" t="n">
        <f aca="false">IF(L101&lt;&gt;"",L101*1.1,"")</f>
        <v>67.32</v>
      </c>
      <c r="N101" s="53" t="n">
        <f aca="false">IF(F101="S",L101*0.02,0)</f>
        <v>1.224</v>
      </c>
      <c r="O101" s="82" t="n">
        <f aca="false">IF(L101&lt;&gt;"",L101+N101,"")</f>
        <v>62.424</v>
      </c>
      <c r="P101" s="53" t="n">
        <f aca="false">IF(O101&lt;&gt;"",O101*0.1,"")</f>
        <v>6.2424</v>
      </c>
      <c r="Q101" s="83" t="n">
        <f aca="false">IF(O101&lt;&gt;"",O101+P101,"")</f>
        <v>68.6664</v>
      </c>
      <c r="R101" s="84"/>
    </row>
    <row r="102" customFormat="false" ht="15" hidden="false" customHeight="true" outlineLevel="0" collapsed="false">
      <c r="A102" s="72" t="n">
        <v>5920</v>
      </c>
      <c r="B102" s="85" t="n">
        <v>46190</v>
      </c>
      <c r="C102" s="86" t="s">
        <v>370</v>
      </c>
      <c r="D102" s="87" t="n">
        <v>50232</v>
      </c>
      <c r="E102" s="46" t="str">
        <f aca="false">IF(D102&lt;&gt;"",IFERROR(VLOOKUP(D102,PROVEEDORES!$A:$B,2,0),"!COD NO ENCONTRADO"),"")</f>
        <v>XESTION NOVA LONXA RIVEIRA S.L.</v>
      </c>
      <c r="F102" s="88" t="str">
        <f aca="false">IF(D102&lt;&gt;"",IFERROR(VLOOKUP(D102,PROVEEDORES!$A:$C,3,0),""),"")</f>
        <v>S</v>
      </c>
      <c r="G102" s="87" t="s">
        <v>288</v>
      </c>
      <c r="H102" s="46" t="str">
        <f aca="false">IF(G102&lt;&gt;"",IFERROR(VLOOKUP(G102,PRODUCTOS!$A:$B,2,0),"!COD NO ENCONTRADO"),"")</f>
        <v>RAPE BLANCO DIA (MON)</v>
      </c>
      <c r="I102" s="89" t="n">
        <v>4</v>
      </c>
      <c r="J102" s="90" t="n">
        <v>11.6</v>
      </c>
      <c r="K102" s="91" t="n">
        <v>3.5</v>
      </c>
      <c r="L102" s="80" t="n">
        <f aca="false">IF(AND(J102&lt;&gt;"",K102&lt;&gt;""),J102*K102,"")</f>
        <v>40.6</v>
      </c>
      <c r="M102" s="81" t="n">
        <f aca="false">IF(L102&lt;&gt;"",L102*1.1,"")</f>
        <v>44.66</v>
      </c>
      <c r="N102" s="47" t="n">
        <f aca="false">IF(F102="S",L102*0.02,0)</f>
        <v>0.812</v>
      </c>
      <c r="O102" s="82" t="n">
        <f aca="false">IF(L102&lt;&gt;"",L102+N102,"")</f>
        <v>41.412</v>
      </c>
      <c r="P102" s="47" t="n">
        <f aca="false">IF(O102&lt;&gt;"",O102*0.1,"")</f>
        <v>4.1412</v>
      </c>
      <c r="Q102" s="83" t="n">
        <f aca="false">IF(O102&lt;&gt;"",O102+P102,"")</f>
        <v>45.5532</v>
      </c>
      <c r="R102" s="84"/>
    </row>
    <row r="103" customFormat="false" ht="15" hidden="false" customHeight="true" outlineLevel="0" collapsed="false">
      <c r="A103" s="72" t="n">
        <v>5920</v>
      </c>
      <c r="B103" s="73" t="n">
        <v>46190</v>
      </c>
      <c r="C103" s="74" t="s">
        <v>370</v>
      </c>
      <c r="D103" s="75" t="n">
        <v>50232</v>
      </c>
      <c r="E103" s="52" t="str">
        <f aca="false">IF(D103&lt;&gt;"",IFERROR(VLOOKUP(D103,PROVEEDORES!$A:$B,2,0),"!COD NO ENCONTRADO"),"")</f>
        <v>XESTION NOVA LONXA RIVEIRA S.L.</v>
      </c>
      <c r="F103" s="76" t="str">
        <f aca="false">IF(D103&lt;&gt;"",IFERROR(VLOOKUP(D103,PROVEEDORES!$A:$C,3,0),""),"")</f>
        <v>S</v>
      </c>
      <c r="G103" s="75" t="s">
        <v>270</v>
      </c>
      <c r="H103" s="52" t="str">
        <f aca="false">IF(G103&lt;&gt;"",IFERROR(VLOOKUP(G103,PRODUCTOS!$A:$B,2,0),"!COD NO ENCONTRADO"),"")</f>
        <v>PEON/ PION (ATP)</v>
      </c>
      <c r="I103" s="77" t="n">
        <v>1</v>
      </c>
      <c r="J103" s="78" t="n">
        <v>4.1</v>
      </c>
      <c r="K103" s="79" t="n">
        <v>2.7</v>
      </c>
      <c r="L103" s="80" t="n">
        <f aca="false">IF(AND(J103&lt;&gt;"",K103&lt;&gt;""),J103*K103,"")</f>
        <v>11.07</v>
      </c>
      <c r="M103" s="81" t="n">
        <f aca="false">IF(L103&lt;&gt;"",L103*1.1,"")</f>
        <v>12.177</v>
      </c>
      <c r="N103" s="53" t="n">
        <f aca="false">IF(F103="S",L103*0.02,0)</f>
        <v>0.2214</v>
      </c>
      <c r="O103" s="82" t="n">
        <f aca="false">IF(L103&lt;&gt;"",L103+N103,"")</f>
        <v>11.2914</v>
      </c>
      <c r="P103" s="53" t="n">
        <f aca="false">IF(O103&lt;&gt;"",O103*0.1,"")</f>
        <v>1.12914</v>
      </c>
      <c r="Q103" s="83" t="n">
        <f aca="false">IF(O103&lt;&gt;"",O103+P103,"")</f>
        <v>12.42054</v>
      </c>
      <c r="R103" s="84"/>
    </row>
    <row r="104" customFormat="false" ht="15" hidden="false" customHeight="true" outlineLevel="0" collapsed="false">
      <c r="A104" s="72" t="n">
        <v>5920</v>
      </c>
      <c r="B104" s="85" t="n">
        <v>46190</v>
      </c>
      <c r="C104" s="86" t="s">
        <v>370</v>
      </c>
      <c r="D104" s="87" t="n">
        <v>50232</v>
      </c>
      <c r="E104" s="46" t="str">
        <f aca="false">IF(D104&lt;&gt;"",IFERROR(VLOOKUP(D104,PROVEEDORES!$A:$B,2,0),"!COD NO ENCONTRADO"),"")</f>
        <v>XESTION NOVA LONXA RIVEIRA S.L.</v>
      </c>
      <c r="F104" s="88" t="str">
        <f aca="false">IF(D104&lt;&gt;"",IFERROR(VLOOKUP(D104,PROVEEDORES!$A:$C,3,0),""),"")</f>
        <v>S</v>
      </c>
      <c r="G104" s="87" t="s">
        <v>179</v>
      </c>
      <c r="H104" s="46" t="str">
        <f aca="false">IF(G104&lt;&gt;"",IFERROR(VLOOKUP(G104,PRODUCTOS!$A:$B,2,0),"!COD NO ENCONTRADO"),"")</f>
        <v>LIRIO/ BACALADILLA/ PERLA (WHB)</v>
      </c>
      <c r="I104" s="89" t="n">
        <v>10</v>
      </c>
      <c r="J104" s="90" t="n">
        <v>170</v>
      </c>
      <c r="K104" s="91" t="n">
        <v>1.29</v>
      </c>
      <c r="L104" s="80" t="n">
        <f aca="false">IF(AND(J104&lt;&gt;"",K104&lt;&gt;""),J104*K104,"")</f>
        <v>219.3</v>
      </c>
      <c r="M104" s="81" t="n">
        <f aca="false">IF(L104&lt;&gt;"",L104*1.1,"")</f>
        <v>241.23</v>
      </c>
      <c r="N104" s="47" t="n">
        <f aca="false">IF(F104="S",L104*0.02,0)</f>
        <v>4.386</v>
      </c>
      <c r="O104" s="82" t="n">
        <f aca="false">IF(L104&lt;&gt;"",L104+N104,"")</f>
        <v>223.686</v>
      </c>
      <c r="P104" s="47" t="n">
        <f aca="false">IF(O104&lt;&gt;"",O104*0.1,"")</f>
        <v>22.3686</v>
      </c>
      <c r="Q104" s="83" t="n">
        <f aca="false">IF(O104&lt;&gt;"",O104+P104,"")</f>
        <v>246.0546</v>
      </c>
      <c r="R104" s="84"/>
    </row>
    <row r="105" customFormat="false" ht="15" hidden="false" customHeight="true" outlineLevel="0" collapsed="false">
      <c r="A105" s="72" t="n">
        <v>5921</v>
      </c>
      <c r="B105" s="73" t="n">
        <v>46190</v>
      </c>
      <c r="C105" s="74" t="n">
        <v>2356</v>
      </c>
      <c r="D105" s="75" t="n">
        <v>50152</v>
      </c>
      <c r="E105" s="52" t="str">
        <f aca="false">IF(D105&lt;&gt;"",IFERROR(VLOOKUP(D105,PROVEEDORES!$A:$B,2,0),"!COD NO ENCONTRADO"),"")</f>
        <v>DOMAR CORUÑA S.L</v>
      </c>
      <c r="F105" s="76" t="str">
        <f aca="false">IF(D105&lt;&gt;"",IFERROR(VLOOKUP(D105,PROVEEDORES!$A:$C,3,0),""),"")</f>
        <v>N</v>
      </c>
      <c r="G105" s="75" t="s">
        <v>125</v>
      </c>
      <c r="H105" s="52" t="str">
        <f aca="false">IF(G105&lt;&gt;"",IFERROR(VLOOKUP(G105,PRODUCTOS!$A:$B,2,0),"!COD NO ENCONTRADO"),"")</f>
        <v>CIGALA "3P" (NEP)</v>
      </c>
      <c r="I105" s="77" t="n">
        <v>2</v>
      </c>
      <c r="J105" s="78" t="n">
        <v>4</v>
      </c>
      <c r="K105" s="79" t="n">
        <v>17.5</v>
      </c>
      <c r="L105" s="80" t="n">
        <f aca="false">IF(AND(J105&lt;&gt;"",K105&lt;&gt;""),J105*K105,"")</f>
        <v>70</v>
      </c>
      <c r="M105" s="81" t="n">
        <f aca="false">IF(L105&lt;&gt;"",L105*1.1,"")</f>
        <v>77</v>
      </c>
      <c r="N105" s="53" t="n">
        <f aca="false">IF(F105="S",L105*0.02,0)</f>
        <v>0</v>
      </c>
      <c r="O105" s="82" t="n">
        <f aca="false">IF(L105&lt;&gt;"",L105+N105,"")</f>
        <v>70</v>
      </c>
      <c r="P105" s="53" t="n">
        <f aca="false">IF(O105&lt;&gt;"",O105*0.1,"")</f>
        <v>7</v>
      </c>
      <c r="Q105" s="83" t="n">
        <f aca="false">IF(O105&lt;&gt;"",O105+P105,"")</f>
        <v>77</v>
      </c>
      <c r="R105" s="84"/>
    </row>
    <row r="106" customFormat="false" ht="15" hidden="false" customHeight="true" outlineLevel="0" collapsed="false">
      <c r="A106" s="72" t="n">
        <v>5922</v>
      </c>
      <c r="B106" s="85" t="n">
        <v>46190</v>
      </c>
      <c r="C106" s="86" t="n">
        <v>10860</v>
      </c>
      <c r="D106" s="87" t="n">
        <v>50048</v>
      </c>
      <c r="E106" s="46" t="str">
        <f aca="false">IF(D106&lt;&gt;"",IFERROR(VLOOKUP(D106,PROVEEDORES!$A:$B,2,0),"!COD NO ENCONTRADO"),"")</f>
        <v>JOSE LUIS CORREA KESSLER S.L.</v>
      </c>
      <c r="F106" s="88" t="str">
        <f aca="false">IF(D106&lt;&gt;"",IFERROR(VLOOKUP(D106,PROVEEDORES!$A:$C,3,0),""),"")</f>
        <v>N</v>
      </c>
      <c r="G106" s="87" t="s">
        <v>179</v>
      </c>
      <c r="H106" s="46" t="str">
        <f aca="false">IF(G106&lt;&gt;"",IFERROR(VLOOKUP(G106,PRODUCTOS!$A:$B,2,0),"!COD NO ENCONTRADO"),"")</f>
        <v>LIRIO/ BACALADILLA/ PERLA (WHB)</v>
      </c>
      <c r="I106" s="89" t="n">
        <v>48</v>
      </c>
      <c r="J106" s="90" t="n">
        <v>288</v>
      </c>
      <c r="K106" s="91" t="n">
        <v>1.75</v>
      </c>
      <c r="L106" s="80" t="n">
        <f aca="false">IF(AND(J106&lt;&gt;"",K106&lt;&gt;""),J106*K106,"")</f>
        <v>504</v>
      </c>
      <c r="M106" s="81" t="n">
        <f aca="false">IF(L106&lt;&gt;"",L106*1.1,"")</f>
        <v>554.4</v>
      </c>
      <c r="N106" s="47" t="n">
        <f aca="false">IF(F106="S",L106*0.02,0)</f>
        <v>0</v>
      </c>
      <c r="O106" s="82" t="n">
        <f aca="false">IF(L106&lt;&gt;"",L106+N106,"")</f>
        <v>504</v>
      </c>
      <c r="P106" s="47" t="n">
        <f aca="false">IF(O106&lt;&gt;"",O106*0.1,"")</f>
        <v>50.4</v>
      </c>
      <c r="Q106" s="83" t="n">
        <f aca="false">IF(O106&lt;&gt;"",O106+P106,"")</f>
        <v>554.4</v>
      </c>
      <c r="R106" s="84"/>
    </row>
    <row r="107" customFormat="false" ht="15" hidden="false" customHeight="true" outlineLevel="0" collapsed="false">
      <c r="A107" s="72" t="n">
        <v>5923</v>
      </c>
      <c r="B107" s="85" t="n">
        <v>46190</v>
      </c>
      <c r="C107" s="86" t="n">
        <v>6150</v>
      </c>
      <c r="D107" s="87" t="n">
        <v>50010</v>
      </c>
      <c r="E107" s="46" t="str">
        <f aca="false">IF(D107&lt;&gt;"",IFERROR(VLOOKUP(D107,PROVEEDORES!$A:$B,2,0),"!COD NO ENCONTRADO"),"")</f>
        <v>PERFECTO MONTERO</v>
      </c>
      <c r="F107" s="88" t="str">
        <f aca="false">IF(D107&lt;&gt;"",IFERROR(VLOOKUP(D107,PROVEEDORES!$A:$C,3,0),""),"")</f>
        <v>S</v>
      </c>
      <c r="G107" s="87" t="s">
        <v>103</v>
      </c>
      <c r="H107" s="46" t="str">
        <f aca="false">IF(G107&lt;&gt;"",IFERROR(VLOOKUP(G107,PRODUCTOS!$A:$B,2,0),"!COD NO ENCONTRADO"),"")</f>
        <v>CABRAS/ GALLINETA (BRF)</v>
      </c>
      <c r="I107" s="89" t="n">
        <v>1</v>
      </c>
      <c r="J107" s="90" t="n">
        <v>2.8</v>
      </c>
      <c r="K107" s="91" t="n">
        <v>15.6</v>
      </c>
      <c r="L107" s="80" t="n">
        <f aca="false">IF(AND(J107&lt;&gt;"",K107&lt;&gt;""),J107*K107,"")</f>
        <v>43.68</v>
      </c>
      <c r="M107" s="81" t="n">
        <f aca="false">IF(L107&lt;&gt;"",L107*1.1,"")</f>
        <v>48.048</v>
      </c>
      <c r="N107" s="47" t="n">
        <f aca="false">IF(F107="S",L107*0.02,0)</f>
        <v>0.8736</v>
      </c>
      <c r="O107" s="82" t="n">
        <f aca="false">IF(L107&lt;&gt;"",L107+N107,"")</f>
        <v>44.5536</v>
      </c>
      <c r="P107" s="47" t="n">
        <f aca="false">IF(O107&lt;&gt;"",O107*0.1,"")</f>
        <v>4.45536</v>
      </c>
      <c r="Q107" s="83" t="n">
        <f aca="false">IF(O107&lt;&gt;"",O107+P107,"")</f>
        <v>49.00896</v>
      </c>
      <c r="R107" s="84"/>
    </row>
    <row r="108" customFormat="false" ht="15" hidden="false" customHeight="true" outlineLevel="0" collapsed="false">
      <c r="A108" s="72" t="n">
        <v>5924</v>
      </c>
      <c r="B108" s="85" t="n">
        <v>46190</v>
      </c>
      <c r="C108" s="86"/>
      <c r="D108" s="87" t="n">
        <v>50509</v>
      </c>
      <c r="E108" s="46" t="str">
        <f aca="false">IF(D108&lt;&gt;"",IFERROR(VLOOKUP(D108,PROVEEDORES!$A:$B,2,0),"!COD NO ENCONTRADO"),"")</f>
        <v>AZORFISK UNIPERSONAL LDA</v>
      </c>
      <c r="F108" s="88" t="str">
        <f aca="false">IF(D108&lt;&gt;"",IFERROR(VLOOKUP(D108,PROVEEDORES!$A:$C,3,0),""),"")</f>
        <v>N</v>
      </c>
      <c r="G108" s="87" t="s">
        <v>83</v>
      </c>
      <c r="H108" s="46" t="str">
        <f aca="false">IF(G108&lt;&gt;"",IFERROR(VLOOKUP(G108,PRODUCTOS!$A:$B,2,0),"!COD NO ENCONTRADO"),"")</f>
        <v>BESUGO (BSR)</v>
      </c>
      <c r="I108" s="89" t="n">
        <v>4</v>
      </c>
      <c r="J108" s="90" t="n">
        <v>33.6</v>
      </c>
      <c r="K108" s="91" t="n">
        <v>36.5</v>
      </c>
      <c r="L108" s="80" t="n">
        <f aca="false">IF(AND(J108&lt;&gt;"",K108&lt;&gt;""),J108*K108,"")</f>
        <v>1226.4</v>
      </c>
      <c r="M108" s="81" t="n">
        <f aca="false">IF(L108&lt;&gt;"",L108*1.1,"")</f>
        <v>1349.04</v>
      </c>
      <c r="N108" s="47" t="n">
        <f aca="false">IF(F108="S",L108*0.02,0)</f>
        <v>0</v>
      </c>
      <c r="O108" s="82" t="n">
        <f aca="false">IF(L108&lt;&gt;"",L108+N108,"")</f>
        <v>1226.4</v>
      </c>
      <c r="P108" s="47" t="n">
        <f aca="false">IF(O108&lt;&gt;"",O108*0.1,"")</f>
        <v>122.64</v>
      </c>
      <c r="Q108" s="83" t="n">
        <f aca="false">IF(O108&lt;&gt;"",O108+P108,"")</f>
        <v>1349.04</v>
      </c>
      <c r="R108" s="84"/>
    </row>
    <row r="109" customFormat="false" ht="15" hidden="false" customHeight="true" outlineLevel="0" collapsed="false">
      <c r="A109" s="72" t="n">
        <v>5924</v>
      </c>
      <c r="B109" s="73" t="n">
        <v>46190</v>
      </c>
      <c r="C109" s="74"/>
      <c r="D109" s="75" t="n">
        <v>50509</v>
      </c>
      <c r="E109" s="52" t="str">
        <f aca="false">IF(D109&lt;&gt;"",IFERROR(VLOOKUP(D109,PROVEEDORES!$A:$B,2,0),"!COD NO ENCONTRADO"),"")</f>
        <v>AZORFISK UNIPERSONAL LDA</v>
      </c>
      <c r="F109" s="76" t="str">
        <f aca="false">IF(D109&lt;&gt;"",IFERROR(VLOOKUP(D109,PROVEEDORES!$A:$C,3,0),""),"")</f>
        <v>N</v>
      </c>
      <c r="G109" s="75" t="s">
        <v>83</v>
      </c>
      <c r="H109" s="52" t="str">
        <f aca="false">IF(G109&lt;&gt;"",IFERROR(VLOOKUP(G109,PRODUCTOS!$A:$B,2,0),"!COD NO ENCONTRADO"),"")</f>
        <v>BESUGO (BSR)</v>
      </c>
      <c r="I109" s="77" t="n">
        <v>3</v>
      </c>
      <c r="J109" s="78" t="n">
        <v>23</v>
      </c>
      <c r="K109" s="79" t="n">
        <v>20.5</v>
      </c>
      <c r="L109" s="80" t="n">
        <f aca="false">IF(AND(J109&lt;&gt;"",K109&lt;&gt;""),J109*K109,"")</f>
        <v>471.5</v>
      </c>
      <c r="M109" s="81" t="n">
        <f aca="false">IF(L109&lt;&gt;"",L109*1.1,"")</f>
        <v>518.65</v>
      </c>
      <c r="N109" s="53" t="n">
        <f aca="false">IF(F109="S",L109*0.02,0)</f>
        <v>0</v>
      </c>
      <c r="O109" s="82" t="n">
        <f aca="false">IF(L109&lt;&gt;"",L109+N109,"")</f>
        <v>471.5</v>
      </c>
      <c r="P109" s="53" t="n">
        <f aca="false">IF(O109&lt;&gt;"",O109*0.1,"")</f>
        <v>47.15</v>
      </c>
      <c r="Q109" s="83" t="n">
        <f aca="false">IF(O109&lt;&gt;"",O109+P109,"")</f>
        <v>518.65</v>
      </c>
      <c r="R109" s="84"/>
    </row>
    <row r="110" customFormat="false" ht="15" hidden="false" customHeight="true" outlineLevel="0" collapsed="false">
      <c r="A110" s="72" t="n">
        <v>5925</v>
      </c>
      <c r="B110" s="85" t="n">
        <v>46191</v>
      </c>
      <c r="C110" s="86" t="n">
        <v>31912</v>
      </c>
      <c r="D110" s="87" t="n">
        <v>50106</v>
      </c>
      <c r="E110" s="46" t="str">
        <f aca="false">IF(D110&lt;&gt;"",IFERROR(VLOOKUP(D110,PROVEEDORES!$A:$B,2,0),"!COD NO ENCONTRADO"),"")</f>
        <v>SONIA VENTAS S.L</v>
      </c>
      <c r="F110" s="88" t="str">
        <f aca="false">IF(D110&lt;&gt;"",IFERROR(VLOOKUP(D110,PROVEEDORES!$A:$C,3,0),""),"")</f>
        <v>S</v>
      </c>
      <c r="G110" s="87" t="s">
        <v>103</v>
      </c>
      <c r="H110" s="46" t="str">
        <f aca="false">IF(G110&lt;&gt;"",IFERROR(VLOOKUP(G110,PRODUCTOS!$A:$B,2,0),"!COD NO ENCONTRADO"),"")</f>
        <v>CABRAS/ GALLINETA (BRF)</v>
      </c>
      <c r="I110" s="89" t="n">
        <v>1</v>
      </c>
      <c r="J110" s="90" t="n">
        <v>4.5</v>
      </c>
      <c r="K110" s="91" t="n">
        <v>14</v>
      </c>
      <c r="L110" s="80" t="n">
        <f aca="false">IF(AND(J110&lt;&gt;"",K110&lt;&gt;""),J110*K110,"")</f>
        <v>63</v>
      </c>
      <c r="M110" s="81" t="n">
        <f aca="false">IF(L110&lt;&gt;"",L110*1.1,"")</f>
        <v>69.3</v>
      </c>
      <c r="N110" s="47" t="n">
        <f aca="false">IF(F110="S",L110*0.02,0)</f>
        <v>1.26</v>
      </c>
      <c r="O110" s="82" t="n">
        <f aca="false">IF(L110&lt;&gt;"",L110+N110,"")</f>
        <v>64.26</v>
      </c>
      <c r="P110" s="47" t="n">
        <f aca="false">IF(O110&lt;&gt;"",O110*0.1,"")</f>
        <v>6.426</v>
      </c>
      <c r="Q110" s="83" t="n">
        <f aca="false">IF(O110&lt;&gt;"",O110+P110,"")</f>
        <v>70.686</v>
      </c>
      <c r="R110" s="84"/>
    </row>
    <row r="111" customFormat="false" ht="15" hidden="false" customHeight="true" outlineLevel="0" collapsed="false">
      <c r="A111" s="72" t="n">
        <v>5926</v>
      </c>
      <c r="B111" s="73" t="n">
        <v>46191</v>
      </c>
      <c r="C111" s="74" t="n">
        <v>16687</v>
      </c>
      <c r="D111" s="75" t="n">
        <v>50163</v>
      </c>
      <c r="E111" s="52" t="str">
        <f aca="false">IF(D111&lt;&gt;"",IFERROR(VLOOKUP(D111,PROVEEDORES!$A:$B,2,0),"!COD NO ENCONTRADO"),"")</f>
        <v>SUBASTAS RIVERA S.L.</v>
      </c>
      <c r="F111" s="76" t="str">
        <f aca="false">IF(D111&lt;&gt;"",IFERROR(VLOOKUP(D111,PROVEEDORES!$A:$C,3,0),""),"")</f>
        <v>S</v>
      </c>
      <c r="G111" s="75" t="s">
        <v>103</v>
      </c>
      <c r="H111" s="52" t="str">
        <f aca="false">IF(G111&lt;&gt;"",IFERROR(VLOOKUP(G111,PRODUCTOS!$A:$B,2,0),"!COD NO ENCONTRADO"),"")</f>
        <v>CABRAS/ GALLINETA (BRF)</v>
      </c>
      <c r="I111" s="77" t="n">
        <v>4</v>
      </c>
      <c r="J111" s="78" t="n">
        <f aca="false">4.9+4.9+8.1+4.1</f>
        <v>22</v>
      </c>
      <c r="K111" s="79" t="n">
        <v>11.9</v>
      </c>
      <c r="L111" s="80" t="n">
        <f aca="false">IF(AND(J111&lt;&gt;"",K111&lt;&gt;""),J111*K111,"")</f>
        <v>261.8</v>
      </c>
      <c r="M111" s="81" t="n">
        <f aca="false">IF(L111&lt;&gt;"",L111*1.1,"")</f>
        <v>287.98</v>
      </c>
      <c r="N111" s="53" t="n">
        <f aca="false">IF(F111="S",L111*0.02,0)</f>
        <v>5.236</v>
      </c>
      <c r="O111" s="82" t="n">
        <f aca="false">IF(L111&lt;&gt;"",L111+N111,"")</f>
        <v>267.036</v>
      </c>
      <c r="P111" s="53" t="n">
        <f aca="false">IF(O111&lt;&gt;"",O111*0.1,"")</f>
        <v>26.7036</v>
      </c>
      <c r="Q111" s="83" t="n">
        <f aca="false">IF(O111&lt;&gt;"",O111+P111,"")</f>
        <v>293.7396</v>
      </c>
      <c r="R111" s="84"/>
    </row>
    <row r="112" customFormat="false" ht="15" hidden="false" customHeight="true" outlineLevel="0" collapsed="false">
      <c r="A112" s="72" t="n">
        <v>5926</v>
      </c>
      <c r="B112" s="85" t="n">
        <v>46191</v>
      </c>
      <c r="C112" s="86" t="n">
        <v>16687</v>
      </c>
      <c r="D112" s="87" t="n">
        <v>50163</v>
      </c>
      <c r="E112" s="46" t="str">
        <f aca="false">IF(D112&lt;&gt;"",IFERROR(VLOOKUP(D112,PROVEEDORES!$A:$B,2,0),"!COD NO ENCONTRADO"),"")</f>
        <v>SUBASTAS RIVERA S.L.</v>
      </c>
      <c r="F112" s="88" t="str">
        <f aca="false">IF(D112&lt;&gt;"",IFERROR(VLOOKUP(D112,PROVEEDORES!$A:$C,3,0),""),"")</f>
        <v>S</v>
      </c>
      <c r="G112" s="87" t="s">
        <v>216</v>
      </c>
      <c r="H112" s="46" t="str">
        <f aca="false">IF(G112&lt;&gt;"",IFERROR(VLOOKUP(G112,PRODUCTOS!$A:$B,2,0),"!COD NO ENCONTRADO"),"")</f>
        <v>MERLUZA EUROPEA PINCHO COSTA</v>
      </c>
      <c r="I112" s="89" t="n">
        <v>1</v>
      </c>
      <c r="J112" s="90" t="n">
        <v>11.5</v>
      </c>
      <c r="K112" s="91" t="n">
        <v>4.5</v>
      </c>
      <c r="L112" s="80" t="n">
        <f aca="false">IF(AND(J112&lt;&gt;"",K112&lt;&gt;""),J112*K112,"")</f>
        <v>51.75</v>
      </c>
      <c r="M112" s="81" t="n">
        <f aca="false">IF(L112&lt;&gt;"",L112*1.1,"")</f>
        <v>56.925</v>
      </c>
      <c r="N112" s="47" t="n">
        <f aca="false">IF(F112="S",L112*0.02,0)</f>
        <v>1.035</v>
      </c>
      <c r="O112" s="82" t="n">
        <f aca="false">IF(L112&lt;&gt;"",L112+N112,"")</f>
        <v>52.785</v>
      </c>
      <c r="P112" s="47" t="n">
        <f aca="false">IF(O112&lt;&gt;"",O112*0.1,"")</f>
        <v>5.2785</v>
      </c>
      <c r="Q112" s="83" t="n">
        <f aca="false">IF(O112&lt;&gt;"",O112+P112,"")</f>
        <v>58.0635</v>
      </c>
      <c r="R112" s="84"/>
    </row>
    <row r="113" customFormat="false" ht="15" hidden="false" customHeight="true" outlineLevel="0" collapsed="false">
      <c r="A113" s="72" t="n">
        <v>5926</v>
      </c>
      <c r="B113" s="85" t="n">
        <v>46191</v>
      </c>
      <c r="C113" s="86" t="n">
        <v>16687</v>
      </c>
      <c r="D113" s="87" t="n">
        <v>50163</v>
      </c>
      <c r="E113" s="46" t="str">
        <f aca="false">IF(D113&lt;&gt;"",IFERROR(VLOOKUP(D113,PROVEEDORES!$A:$B,2,0),"!COD NO ENCONTRADO"),"")</f>
        <v>SUBASTAS RIVERA S.L.</v>
      </c>
      <c r="F113" s="88" t="str">
        <f aca="false">IF(D113&lt;&gt;"",IFERROR(VLOOKUP(D113,PROVEEDORES!$A:$C,3,0),""),"")</f>
        <v>S</v>
      </c>
      <c r="G113" s="87" t="s">
        <v>103</v>
      </c>
      <c r="H113" s="46" t="str">
        <f aca="false">IF(G113&lt;&gt;"",IFERROR(VLOOKUP(G113,PRODUCTOS!$A:$B,2,0),"!COD NO ENCONTRADO"),"")</f>
        <v>CABRAS/ GALLINETA (BRF)</v>
      </c>
      <c r="I113" s="89" t="n">
        <v>1</v>
      </c>
      <c r="J113" s="90" t="n">
        <v>10</v>
      </c>
      <c r="K113" s="91" t="n">
        <v>3.05</v>
      </c>
      <c r="L113" s="80" t="n">
        <f aca="false">IF(AND(J113&lt;&gt;"",K113&lt;&gt;""),J113*K113,"")</f>
        <v>30.5</v>
      </c>
      <c r="M113" s="81" t="n">
        <f aca="false">IF(L113&lt;&gt;"",L113*1.1,"")</f>
        <v>33.55</v>
      </c>
      <c r="N113" s="47" t="n">
        <f aca="false">IF(F113="S",L113*0.02,0)</f>
        <v>0.61</v>
      </c>
      <c r="O113" s="82" t="n">
        <f aca="false">IF(L113&lt;&gt;"",L113+N113,"")</f>
        <v>31.11</v>
      </c>
      <c r="P113" s="47" t="n">
        <f aca="false">IF(O113&lt;&gt;"",O113*0.1,"")</f>
        <v>3.111</v>
      </c>
      <c r="Q113" s="83" t="n">
        <f aca="false">IF(O113&lt;&gt;"",O113+P113,"")</f>
        <v>34.221</v>
      </c>
      <c r="R113" s="84"/>
    </row>
    <row r="114" customFormat="false" ht="15" hidden="false" customHeight="true" outlineLevel="0" collapsed="false">
      <c r="A114" s="72" t="n">
        <v>5926</v>
      </c>
      <c r="B114" s="73" t="n">
        <v>46191</v>
      </c>
      <c r="C114" s="74" t="n">
        <v>16687</v>
      </c>
      <c r="D114" s="75" t="n">
        <v>50163</v>
      </c>
      <c r="E114" s="52" t="str">
        <f aca="false">IF(D114&lt;&gt;"",IFERROR(VLOOKUP(D114,PROVEEDORES!$A:$B,2,0),"!COD NO ENCONTRADO"),"")</f>
        <v>SUBASTAS RIVERA S.L.</v>
      </c>
      <c r="F114" s="76" t="str">
        <f aca="false">IF(D114&lt;&gt;"",IFERROR(VLOOKUP(D114,PROVEEDORES!$A:$C,3,0),""),"")</f>
        <v>S</v>
      </c>
      <c r="G114" s="75" t="s">
        <v>193</v>
      </c>
      <c r="H114" s="52" t="str">
        <f aca="false">IF(G114&lt;&gt;"",IFERROR(VLOOKUP(G114,PRODUCTOS!$A:$B,2,0),"!COD NO ENCONTRADO"),"")</f>
        <v>MERLUZA EUROPEA ARRASTRE (HKE) </v>
      </c>
      <c r="I114" s="77" t="n">
        <v>2</v>
      </c>
      <c r="J114" s="78" t="n">
        <v>19.5</v>
      </c>
      <c r="K114" s="79" t="n">
        <v>4.8</v>
      </c>
      <c r="L114" s="80" t="n">
        <f aca="false">IF(AND(J114&lt;&gt;"",K114&lt;&gt;""),J114*K114,"")</f>
        <v>93.6</v>
      </c>
      <c r="M114" s="81" t="n">
        <f aca="false">IF(L114&lt;&gt;"",L114*1.1,"")</f>
        <v>102.96</v>
      </c>
      <c r="N114" s="53" t="n">
        <f aca="false">IF(F114="S",L114*0.02,0)</f>
        <v>1.872</v>
      </c>
      <c r="O114" s="82" t="n">
        <f aca="false">IF(L114&lt;&gt;"",L114+N114,"")</f>
        <v>95.472</v>
      </c>
      <c r="P114" s="53" t="n">
        <f aca="false">IF(O114&lt;&gt;"",O114*0.1,"")</f>
        <v>9.5472</v>
      </c>
      <c r="Q114" s="83" t="n">
        <f aca="false">IF(O114&lt;&gt;"",O114+P114,"")</f>
        <v>105.0192</v>
      </c>
      <c r="R114" s="84"/>
    </row>
    <row r="115" customFormat="false" ht="15" hidden="false" customHeight="true" outlineLevel="0" collapsed="false">
      <c r="A115" s="72" t="n">
        <v>5926</v>
      </c>
      <c r="B115" s="85" t="n">
        <v>46191</v>
      </c>
      <c r="C115" s="86" t="n">
        <v>16687</v>
      </c>
      <c r="D115" s="87" t="n">
        <v>50163</v>
      </c>
      <c r="E115" s="46" t="str">
        <f aca="false">IF(D115&lt;&gt;"",IFERROR(VLOOKUP(D115,PROVEEDORES!$A:$B,2,0),"!COD NO ENCONTRADO"),"")</f>
        <v>SUBASTAS RIVERA S.L.</v>
      </c>
      <c r="F115" s="88" t="str">
        <f aca="false">IF(D115&lt;&gt;"",IFERROR(VLOOKUP(D115,PROVEEDORES!$A:$C,3,0),""),"")</f>
        <v>S</v>
      </c>
      <c r="G115" s="87" t="s">
        <v>85</v>
      </c>
      <c r="H115" s="46" t="str">
        <f aca="false">IF(G115&lt;&gt;"",IFERROR(VLOOKUP(G115,PRODUCTOS!$A:$B,2,0),"!COD NO ENCONTRADO"),"")</f>
        <v>BICUDO/ALIGOTE (SBA)</v>
      </c>
      <c r="I115" s="89" t="n">
        <v>1</v>
      </c>
      <c r="J115" s="90" t="n">
        <v>7.75</v>
      </c>
      <c r="K115" s="91" t="n">
        <v>6.4</v>
      </c>
      <c r="L115" s="80" t="n">
        <f aca="false">IF(AND(J115&lt;&gt;"",K115&lt;&gt;""),J115*K115,"")</f>
        <v>49.6</v>
      </c>
      <c r="M115" s="81" t="n">
        <f aca="false">IF(L115&lt;&gt;"",L115*1.1,"")</f>
        <v>54.56</v>
      </c>
      <c r="N115" s="47" t="n">
        <f aca="false">IF(F115="S",L115*0.02,0)</f>
        <v>0.992</v>
      </c>
      <c r="O115" s="82" t="n">
        <f aca="false">IF(L115&lt;&gt;"",L115+N115,"")</f>
        <v>50.592</v>
      </c>
      <c r="P115" s="47" t="n">
        <f aca="false">IF(O115&lt;&gt;"",O115*0.1,"")</f>
        <v>5.0592</v>
      </c>
      <c r="Q115" s="83" t="n">
        <f aca="false">IF(O115&lt;&gt;"",O115+P115,"")</f>
        <v>55.6512</v>
      </c>
      <c r="R115" s="84"/>
    </row>
    <row r="116" customFormat="false" ht="15" hidden="false" customHeight="true" outlineLevel="0" collapsed="false">
      <c r="A116" s="72" t="n">
        <v>5926</v>
      </c>
      <c r="B116" s="73" t="n">
        <v>46191</v>
      </c>
      <c r="C116" s="74" t="n">
        <v>16687</v>
      </c>
      <c r="D116" s="75" t="n">
        <v>50163</v>
      </c>
      <c r="E116" s="52" t="str">
        <f aca="false">IF(D116&lt;&gt;"",IFERROR(VLOOKUP(D116,PROVEEDORES!$A:$B,2,0),"!COD NO ENCONTRADO"),"")</f>
        <v>SUBASTAS RIVERA S.L.</v>
      </c>
      <c r="F116" s="76" t="str">
        <f aca="false">IF(D116&lt;&gt;"",IFERROR(VLOOKUP(D116,PROVEEDORES!$A:$C,3,0),""),"")</f>
        <v>S</v>
      </c>
      <c r="G116" s="75" t="s">
        <v>103</v>
      </c>
      <c r="H116" s="52" t="str">
        <f aca="false">IF(G116&lt;&gt;"",IFERROR(VLOOKUP(G116,PRODUCTOS!$A:$B,2,0),"!COD NO ENCONTRADO"),"")</f>
        <v>CABRAS/ GALLINETA (BRF)</v>
      </c>
      <c r="I116" s="77" t="n">
        <v>1</v>
      </c>
      <c r="J116" s="78" t="n">
        <v>3</v>
      </c>
      <c r="K116" s="79" t="n">
        <v>3</v>
      </c>
      <c r="L116" s="80" t="n">
        <f aca="false">IF(AND(J116&lt;&gt;"",K116&lt;&gt;""),J116*K116,"")</f>
        <v>9</v>
      </c>
      <c r="M116" s="81" t="n">
        <f aca="false">IF(L116&lt;&gt;"",L116*1.1,"")</f>
        <v>9.9</v>
      </c>
      <c r="N116" s="53" t="n">
        <f aca="false">IF(F116="S",L116*0.02,0)</f>
        <v>0.18</v>
      </c>
      <c r="O116" s="82" t="n">
        <f aca="false">IF(L116&lt;&gt;"",L116+N116,"")</f>
        <v>9.18</v>
      </c>
      <c r="P116" s="53" t="n">
        <f aca="false">IF(O116&lt;&gt;"",O116*0.1,"")</f>
        <v>0.918</v>
      </c>
      <c r="Q116" s="83" t="n">
        <f aca="false">IF(O116&lt;&gt;"",O116+P116,"")</f>
        <v>10.098</v>
      </c>
      <c r="R116" s="84"/>
    </row>
    <row r="117" customFormat="false" ht="15" hidden="false" customHeight="true" outlineLevel="0" collapsed="false">
      <c r="A117" s="72" t="n">
        <v>5926</v>
      </c>
      <c r="B117" s="85" t="n">
        <v>46191</v>
      </c>
      <c r="C117" s="86" t="n">
        <v>16687</v>
      </c>
      <c r="D117" s="87" t="n">
        <v>50163</v>
      </c>
      <c r="E117" s="46" t="str">
        <f aca="false">IF(D117&lt;&gt;"",IFERROR(VLOOKUP(D117,PROVEEDORES!$A:$B,2,0),"!COD NO ENCONTRADO"),"")</f>
        <v>SUBASTAS RIVERA S.L.</v>
      </c>
      <c r="F117" s="88" t="str">
        <f aca="false">IF(D117&lt;&gt;"",IFERROR(VLOOKUP(D117,PROVEEDORES!$A:$C,3,0),""),"")</f>
        <v>S</v>
      </c>
      <c r="G117" s="87" t="s">
        <v>177</v>
      </c>
      <c r="H117" s="46" t="str">
        <f aca="false">IF(G117&lt;&gt;"",IFERROR(VLOOKUP(G117,PRODUCTOS!$A:$B,2,0),"!COD NO ENCONTRADO"),"")</f>
        <v>LENGUADO RIA (SOL)</v>
      </c>
      <c r="I117" s="89" t="n">
        <v>1</v>
      </c>
      <c r="J117" s="90" t="n">
        <v>2.6</v>
      </c>
      <c r="K117" s="91" t="n">
        <v>28.8</v>
      </c>
      <c r="L117" s="80" t="n">
        <f aca="false">IF(AND(J117&lt;&gt;"",K117&lt;&gt;""),J117*K117,"")</f>
        <v>74.88</v>
      </c>
      <c r="M117" s="81" t="n">
        <f aca="false">IF(L117&lt;&gt;"",L117*1.1,"")</f>
        <v>82.368</v>
      </c>
      <c r="N117" s="47" t="n">
        <f aca="false">IF(F117="S",L117*0.02,0)</f>
        <v>1.4976</v>
      </c>
      <c r="O117" s="82" t="n">
        <f aca="false">IF(L117&lt;&gt;"",L117+N117,"")</f>
        <v>76.3776</v>
      </c>
      <c r="P117" s="47" t="n">
        <f aca="false">IF(O117&lt;&gt;"",O117*0.1,"")</f>
        <v>7.63776</v>
      </c>
      <c r="Q117" s="83" t="n">
        <f aca="false">IF(O117&lt;&gt;"",O117+P117,"")</f>
        <v>84.01536</v>
      </c>
      <c r="R117" s="84"/>
    </row>
    <row r="118" customFormat="false" ht="15" hidden="false" customHeight="true" outlineLevel="0" collapsed="false">
      <c r="A118" s="72" t="n">
        <v>5926</v>
      </c>
      <c r="B118" s="73" t="n">
        <v>46191</v>
      </c>
      <c r="C118" s="74" t="n">
        <v>16687</v>
      </c>
      <c r="D118" s="75" t="n">
        <v>50163</v>
      </c>
      <c r="E118" s="52" t="str">
        <f aca="false">IF(D118&lt;&gt;"",IFERROR(VLOOKUP(D118,PROVEEDORES!$A:$B,2,0),"!COD NO ENCONTRADO"),"")</f>
        <v>SUBASTAS RIVERA S.L.</v>
      </c>
      <c r="F118" s="76" t="str">
        <f aca="false">IF(D118&lt;&gt;"",IFERROR(VLOOKUP(D118,PROVEEDORES!$A:$C,3,0),""),"")</f>
        <v>S</v>
      </c>
      <c r="G118" s="75" t="s">
        <v>177</v>
      </c>
      <c r="H118" s="52" t="str">
        <f aca="false">IF(G118&lt;&gt;"",IFERROR(VLOOKUP(G118,PRODUCTOS!$A:$B,2,0),"!COD NO ENCONTRADO"),"")</f>
        <v>LENGUADO RIA (SOL)</v>
      </c>
      <c r="I118" s="77" t="n">
        <v>1</v>
      </c>
      <c r="J118" s="78" t="n">
        <v>2.7</v>
      </c>
      <c r="K118" s="79" t="n">
        <v>30.4</v>
      </c>
      <c r="L118" s="80" t="n">
        <f aca="false">IF(AND(J118&lt;&gt;"",K118&lt;&gt;""),J118*K118,"")</f>
        <v>82.08</v>
      </c>
      <c r="M118" s="81" t="n">
        <f aca="false">IF(L118&lt;&gt;"",L118*1.1,"")</f>
        <v>90.288</v>
      </c>
      <c r="N118" s="53" t="n">
        <f aca="false">IF(F118="S",L118*0.02,0)</f>
        <v>1.6416</v>
      </c>
      <c r="O118" s="82" t="n">
        <f aca="false">IF(L118&lt;&gt;"",L118+N118,"")</f>
        <v>83.7216</v>
      </c>
      <c r="P118" s="53" t="n">
        <f aca="false">IF(O118&lt;&gt;"",O118*0.1,"")</f>
        <v>8.37216</v>
      </c>
      <c r="Q118" s="83" t="n">
        <f aca="false">IF(O118&lt;&gt;"",O118+P118,"")</f>
        <v>92.09376</v>
      </c>
      <c r="R118" s="84"/>
    </row>
    <row r="119" customFormat="false" ht="15" hidden="false" customHeight="true" outlineLevel="0" collapsed="false">
      <c r="A119" s="72" t="n">
        <v>5926</v>
      </c>
      <c r="B119" s="85" t="n">
        <v>46191</v>
      </c>
      <c r="C119" s="86" t="n">
        <v>16687</v>
      </c>
      <c r="D119" s="87" t="n">
        <v>50163</v>
      </c>
      <c r="E119" s="46" t="str">
        <f aca="false">IF(D119&lt;&gt;"",IFERROR(VLOOKUP(D119,PROVEEDORES!$A:$B,2,0),"!COD NO ENCONTRADO"),"")</f>
        <v>SUBASTAS RIVERA S.L.</v>
      </c>
      <c r="F119" s="88" t="str">
        <f aca="false">IF(D119&lt;&gt;"",IFERROR(VLOOKUP(D119,PROVEEDORES!$A:$C,3,0),""),"")</f>
        <v>S</v>
      </c>
      <c r="G119" s="87" t="s">
        <v>85</v>
      </c>
      <c r="H119" s="46" t="str">
        <f aca="false">IF(G119&lt;&gt;"",IFERROR(VLOOKUP(G119,PRODUCTOS!$A:$B,2,0),"!COD NO ENCONTRADO"),"")</f>
        <v>BICUDO/ALIGOTE (SBA)</v>
      </c>
      <c r="I119" s="89" t="n">
        <v>1</v>
      </c>
      <c r="J119" s="90" t="n">
        <v>4.75</v>
      </c>
      <c r="K119" s="91" t="n">
        <v>5.4</v>
      </c>
      <c r="L119" s="80" t="n">
        <f aca="false">IF(AND(J119&lt;&gt;"",K119&lt;&gt;""),J119*K119,"")</f>
        <v>25.65</v>
      </c>
      <c r="M119" s="81" t="n">
        <f aca="false">IF(L119&lt;&gt;"",L119*1.1,"")</f>
        <v>28.215</v>
      </c>
      <c r="N119" s="47" t="n">
        <f aca="false">IF(F119="S",L119*0.02,0)</f>
        <v>0.513</v>
      </c>
      <c r="O119" s="82" t="n">
        <f aca="false">IF(L119&lt;&gt;"",L119+N119,"")</f>
        <v>26.163</v>
      </c>
      <c r="P119" s="47" t="n">
        <f aca="false">IF(O119&lt;&gt;"",O119*0.1,"")</f>
        <v>2.6163</v>
      </c>
      <c r="Q119" s="83" t="n">
        <f aca="false">IF(O119&lt;&gt;"",O119+P119,"")</f>
        <v>28.7793</v>
      </c>
      <c r="R119" s="84"/>
    </row>
    <row r="120" customFormat="false" ht="15" hidden="false" customHeight="true" outlineLevel="0" collapsed="false">
      <c r="A120" s="72" t="n">
        <v>5926</v>
      </c>
      <c r="B120" s="73" t="n">
        <v>46191</v>
      </c>
      <c r="C120" s="74" t="n">
        <v>16687</v>
      </c>
      <c r="D120" s="75" t="n">
        <v>50163</v>
      </c>
      <c r="E120" s="52" t="str">
        <f aca="false">IF(D120&lt;&gt;"",IFERROR(VLOOKUP(D120,PROVEEDORES!$A:$B,2,0),"!COD NO ENCONTRADO"),"")</f>
        <v>SUBASTAS RIVERA S.L.</v>
      </c>
      <c r="F120" s="76" t="str">
        <f aca="false">IF(D120&lt;&gt;"",IFERROR(VLOOKUP(D120,PROVEEDORES!$A:$C,3,0),""),"")</f>
        <v>S</v>
      </c>
      <c r="G120" s="75" t="s">
        <v>177</v>
      </c>
      <c r="H120" s="52" t="str">
        <f aca="false">IF(G120&lt;&gt;"",IFERROR(VLOOKUP(G120,PRODUCTOS!$A:$B,2,0),"!COD NO ENCONTRADO"),"")</f>
        <v>LENGUADO RIA (SOL)</v>
      </c>
      <c r="I120" s="77" t="n">
        <v>3</v>
      </c>
      <c r="J120" s="78" t="n">
        <f aca="false">1.9+2.3+2.6</f>
        <v>6.8</v>
      </c>
      <c r="K120" s="79" t="n">
        <v>29.8</v>
      </c>
      <c r="L120" s="80" t="n">
        <f aca="false">IF(AND(J120&lt;&gt;"",K120&lt;&gt;""),J120*K120,"")</f>
        <v>202.64</v>
      </c>
      <c r="M120" s="81" t="n">
        <f aca="false">IF(L120&lt;&gt;"",L120*1.1,"")</f>
        <v>222.904</v>
      </c>
      <c r="N120" s="53" t="n">
        <f aca="false">IF(F120="S",L120*0.02,0)</f>
        <v>4.0528</v>
      </c>
      <c r="O120" s="82" t="n">
        <f aca="false">IF(L120&lt;&gt;"",L120+N120,"")</f>
        <v>206.6928</v>
      </c>
      <c r="P120" s="53" t="n">
        <f aca="false">IF(O120&lt;&gt;"",O120*0.1,"")</f>
        <v>20.66928</v>
      </c>
      <c r="Q120" s="83" t="n">
        <f aca="false">IF(O120&lt;&gt;"",O120+P120,"")</f>
        <v>227.36208</v>
      </c>
      <c r="R120" s="84"/>
    </row>
    <row r="121" customFormat="false" ht="15" hidden="false" customHeight="true" outlineLevel="0" collapsed="false">
      <c r="A121" s="72" t="n">
        <v>5926</v>
      </c>
      <c r="B121" s="73" t="n">
        <v>46191</v>
      </c>
      <c r="C121" s="74" t="n">
        <v>16687</v>
      </c>
      <c r="D121" s="75" t="n">
        <v>50163</v>
      </c>
      <c r="E121" s="52" t="str">
        <f aca="false">IF(D121&lt;&gt;"",IFERROR(VLOOKUP(D121,PROVEEDORES!$A:$B,2,0),"!COD NO ENCONTRADO"),"")</f>
        <v>SUBASTAS RIVERA S.L.</v>
      </c>
      <c r="F121" s="76" t="str">
        <f aca="false">IF(D121&lt;&gt;"",IFERROR(VLOOKUP(D121,PROVEEDORES!$A:$C,3,0),""),"")</f>
        <v>S</v>
      </c>
      <c r="G121" s="75" t="s">
        <v>270</v>
      </c>
      <c r="H121" s="52" t="str">
        <f aca="false">IF(G121&lt;&gt;"",IFERROR(VLOOKUP(G121,PRODUCTOS!$A:$B,2,0),"!COD NO ENCONTRADO"),"")</f>
        <v>PEON/ PION (ATP)</v>
      </c>
      <c r="I121" s="77" t="n">
        <v>2</v>
      </c>
      <c r="J121" s="78" t="n">
        <v>5</v>
      </c>
      <c r="K121" s="79" t="n">
        <v>3.5</v>
      </c>
      <c r="L121" s="80" t="n">
        <f aca="false">IF(AND(J121&lt;&gt;"",K121&lt;&gt;""),J121*K121,"")</f>
        <v>17.5</v>
      </c>
      <c r="M121" s="81" t="n">
        <f aca="false">IF(L121&lt;&gt;"",L121*1.1,"")</f>
        <v>19.25</v>
      </c>
      <c r="N121" s="53" t="n">
        <f aca="false">IF(F121="S",L121*0.02,0)</f>
        <v>0.35</v>
      </c>
      <c r="O121" s="82" t="n">
        <f aca="false">IF(L121&lt;&gt;"",L121+N121,"")</f>
        <v>17.85</v>
      </c>
      <c r="P121" s="53" t="n">
        <f aca="false">IF(O121&lt;&gt;"",O121*0.1,"")</f>
        <v>1.785</v>
      </c>
      <c r="Q121" s="83" t="n">
        <f aca="false">IF(O121&lt;&gt;"",O121+P121,"")</f>
        <v>19.635</v>
      </c>
      <c r="R121" s="84"/>
    </row>
    <row r="122" customFormat="false" ht="15" hidden="false" customHeight="true" outlineLevel="0" collapsed="false">
      <c r="A122" s="72" t="n">
        <v>5926</v>
      </c>
      <c r="B122" s="85" t="n">
        <v>46191</v>
      </c>
      <c r="C122" s="86" t="n">
        <v>16687</v>
      </c>
      <c r="D122" s="87" t="n">
        <v>50163</v>
      </c>
      <c r="E122" s="46" t="str">
        <f aca="false">IF(D122&lt;&gt;"",IFERROR(VLOOKUP(D122,PROVEEDORES!$A:$B,2,0),"!COD NO ENCONTRADO"),"")</f>
        <v>SUBASTAS RIVERA S.L.</v>
      </c>
      <c r="F122" s="88" t="str">
        <f aca="false">IF(D122&lt;&gt;"",IFERROR(VLOOKUP(D122,PROVEEDORES!$A:$C,3,0),""),"")</f>
        <v>S</v>
      </c>
      <c r="G122" s="87" t="s">
        <v>135</v>
      </c>
      <c r="H122" s="46" t="str">
        <f aca="false">IF(G122&lt;&gt;"",IFERROR(VLOOKUP(G122,PRODUCTOS!$A:$B,2,0),"!COD NO ENCONTRADO"),"")</f>
        <v>CONGRIO 10+  (COE)</v>
      </c>
      <c r="I122" s="89" t="n">
        <v>3</v>
      </c>
      <c r="J122" s="90" t="n">
        <f aca="false">17+11.25+15</f>
        <v>43.25</v>
      </c>
      <c r="K122" s="91" t="n">
        <v>4.4</v>
      </c>
      <c r="L122" s="80" t="n">
        <f aca="false">IF(AND(J122&lt;&gt;"",K122&lt;&gt;""),J122*K122,"")</f>
        <v>190.3</v>
      </c>
      <c r="M122" s="81" t="n">
        <f aca="false">IF(L122&lt;&gt;"",L122*1.1,"")</f>
        <v>209.33</v>
      </c>
      <c r="N122" s="47" t="n">
        <f aca="false">IF(F122="S",L122*0.02,0)</f>
        <v>3.806</v>
      </c>
      <c r="O122" s="82" t="n">
        <f aca="false">IF(L122&lt;&gt;"",L122+N122,"")</f>
        <v>194.106</v>
      </c>
      <c r="P122" s="47" t="n">
        <f aca="false">IF(O122&lt;&gt;"",O122*0.1,"")</f>
        <v>19.4106</v>
      </c>
      <c r="Q122" s="83" t="n">
        <f aca="false">IF(O122&lt;&gt;"",O122+P122,"")</f>
        <v>213.5166</v>
      </c>
      <c r="R122" s="84"/>
    </row>
    <row r="123" customFormat="false" ht="15" hidden="false" customHeight="true" outlineLevel="0" collapsed="false">
      <c r="A123" s="72" t="n">
        <v>5926</v>
      </c>
      <c r="B123" s="73" t="n">
        <v>46191</v>
      </c>
      <c r="C123" s="74" t="n">
        <v>16687</v>
      </c>
      <c r="D123" s="75" t="n">
        <v>50163</v>
      </c>
      <c r="E123" s="52" t="str">
        <f aca="false">IF(D123&lt;&gt;"",IFERROR(VLOOKUP(D123,PROVEEDORES!$A:$B,2,0),"!COD NO ENCONTRADO"),"")</f>
        <v>SUBASTAS RIVERA S.L.</v>
      </c>
      <c r="F123" s="76" t="str">
        <f aca="false">IF(D123&lt;&gt;"",IFERROR(VLOOKUP(D123,PROVEEDORES!$A:$C,3,0),""),"")</f>
        <v>S</v>
      </c>
      <c r="G123" s="75" t="s">
        <v>296</v>
      </c>
      <c r="H123" s="52" t="str">
        <f aca="false">IF(G123&lt;&gt;"",IFERROR(VLOOKUP(G123,PRODUCTOS!$A:$B,2,0),"!COD NO ENCONTRADO"),"")</f>
        <v>RAPE NEGRO (ANK)</v>
      </c>
      <c r="I123" s="77" t="n">
        <v>4</v>
      </c>
      <c r="J123" s="78" t="n">
        <f aca="false">4.9+7.3+5.1+7.25</f>
        <v>24.55</v>
      </c>
      <c r="K123" s="79" t="n">
        <v>4.2</v>
      </c>
      <c r="L123" s="80" t="n">
        <f aca="false">IF(AND(J123&lt;&gt;"",K123&lt;&gt;""),J123*K123,"")</f>
        <v>103.11</v>
      </c>
      <c r="M123" s="81" t="n">
        <f aca="false">IF(L123&lt;&gt;"",L123*1.1,"")</f>
        <v>113.421</v>
      </c>
      <c r="N123" s="53" t="n">
        <f aca="false">IF(F123="S",L123*0.02,0)</f>
        <v>2.0622</v>
      </c>
      <c r="O123" s="82" t="n">
        <f aca="false">IF(L123&lt;&gt;"",L123+N123,"")</f>
        <v>105.1722</v>
      </c>
      <c r="P123" s="53" t="n">
        <f aca="false">IF(O123&lt;&gt;"",O123*0.1,"")</f>
        <v>10.51722</v>
      </c>
      <c r="Q123" s="83" t="n">
        <f aca="false">IF(O123&lt;&gt;"",O123+P123,"")</f>
        <v>115.68942</v>
      </c>
      <c r="R123" s="84"/>
    </row>
    <row r="124" customFormat="false" ht="15" hidden="false" customHeight="true" outlineLevel="0" collapsed="false">
      <c r="A124" s="72" t="n">
        <v>5927</v>
      </c>
      <c r="B124" s="85" t="n">
        <v>46191</v>
      </c>
      <c r="C124" s="86" t="s">
        <v>371</v>
      </c>
      <c r="D124" s="87" t="n">
        <v>50521</v>
      </c>
      <c r="E124" s="46" t="str">
        <f aca="false">IF(D124&lt;&gt;"",IFERROR(VLOOKUP(D124,PROVEEDORES!$A:$B,2,0),"!COD NO ENCONTRADO"),"")</f>
        <v>SUBASTAS DE ATLANTICO S.L</v>
      </c>
      <c r="F124" s="88" t="str">
        <f aca="false">IF(D124&lt;&gt;"",IFERROR(VLOOKUP(D124,PROVEEDORES!$A:$C,3,0),""),"")</f>
        <v>S</v>
      </c>
      <c r="G124" s="87" t="s">
        <v>183</v>
      </c>
      <c r="H124" s="46" t="str">
        <f aca="false">IF(G124&lt;&gt;"",IFERROR(VLOOKUP(G124,PRODUCTOS!$A:$B,2,0),"!COD NO ENCONTRADO"),"")</f>
        <v>LUBINA RIA/ ROBALIZA (BSS)</v>
      </c>
      <c r="I124" s="89" t="n">
        <v>3</v>
      </c>
      <c r="J124" s="90" t="n">
        <f aca="false">8.8+9.8+8.7</f>
        <v>27.3</v>
      </c>
      <c r="K124" s="91" t="n">
        <v>24.6</v>
      </c>
      <c r="L124" s="80" t="n">
        <f aca="false">IF(AND(J124&lt;&gt;"",K124&lt;&gt;""),J124*K124,"")</f>
        <v>671.58</v>
      </c>
      <c r="M124" s="81" t="n">
        <f aca="false">IF(L124&lt;&gt;"",L124*1.1,"")</f>
        <v>738.738</v>
      </c>
      <c r="N124" s="47" t="n">
        <f aca="false">IF(F124="S",L124*0.02,0)</f>
        <v>13.4316</v>
      </c>
      <c r="O124" s="82" t="n">
        <f aca="false">IF(L124&lt;&gt;"",L124+N124,"")</f>
        <v>685.0116</v>
      </c>
      <c r="P124" s="47" t="n">
        <f aca="false">IF(O124&lt;&gt;"",O124*0.1,"")</f>
        <v>68.50116</v>
      </c>
      <c r="Q124" s="83" t="n">
        <f aca="false">IF(O124&lt;&gt;"",O124+P124,"")</f>
        <v>753.51276</v>
      </c>
      <c r="R124" s="84"/>
    </row>
    <row r="125" customFormat="false" ht="15" hidden="false" customHeight="true" outlineLevel="0" collapsed="false">
      <c r="A125" s="72" t="n">
        <v>5927</v>
      </c>
      <c r="B125" s="73" t="n">
        <v>46191</v>
      </c>
      <c r="C125" s="74" t="s">
        <v>371</v>
      </c>
      <c r="D125" s="75" t="n">
        <v>50521</v>
      </c>
      <c r="E125" s="52" t="str">
        <f aca="false">IF(D125&lt;&gt;"",IFERROR(VLOOKUP(D125,PROVEEDORES!$A:$B,2,0),"!COD NO ENCONTRADO"),"")</f>
        <v>SUBASTAS DE ATLANTICO S.L</v>
      </c>
      <c r="F125" s="76" t="str">
        <f aca="false">IF(D125&lt;&gt;"",IFERROR(VLOOKUP(D125,PROVEEDORES!$A:$C,3,0),""),"")</f>
        <v>S</v>
      </c>
      <c r="G125" s="75" t="s">
        <v>183</v>
      </c>
      <c r="H125" s="52" t="str">
        <f aca="false">IF(G125&lt;&gt;"",IFERROR(VLOOKUP(G125,PRODUCTOS!$A:$B,2,0),"!COD NO ENCONTRADO"),"")</f>
        <v>LUBINA RIA/ ROBALIZA (BSS)</v>
      </c>
      <c r="I125" s="77" t="n">
        <v>13</v>
      </c>
      <c r="J125" s="78" t="n">
        <v>111.85</v>
      </c>
      <c r="K125" s="79" t="n">
        <v>23</v>
      </c>
      <c r="L125" s="80" t="n">
        <f aca="false">IF(AND(J125&lt;&gt;"",K125&lt;&gt;""),J125*K125,"")</f>
        <v>2572.55</v>
      </c>
      <c r="M125" s="81" t="n">
        <f aca="false">IF(L125&lt;&gt;"",L125*1.1,"")</f>
        <v>2829.805</v>
      </c>
      <c r="N125" s="53" t="n">
        <f aca="false">IF(F125="S",L125*0.02,0)</f>
        <v>51.451</v>
      </c>
      <c r="O125" s="82" t="n">
        <f aca="false">IF(L125&lt;&gt;"",L125+N125,"")</f>
        <v>2624.001</v>
      </c>
      <c r="P125" s="53" t="n">
        <f aca="false">IF(O125&lt;&gt;"",O125*0.1,"")</f>
        <v>262.4001</v>
      </c>
      <c r="Q125" s="83" t="n">
        <f aca="false">IF(O125&lt;&gt;"",O125+P125,"")</f>
        <v>2886.4011</v>
      </c>
      <c r="R125" s="84"/>
    </row>
    <row r="126" customFormat="false" ht="15" hidden="false" customHeight="true" outlineLevel="0" collapsed="false">
      <c r="A126" s="72" t="n">
        <v>5928</v>
      </c>
      <c r="B126" s="73" t="n">
        <v>46191</v>
      </c>
      <c r="C126" s="74" t="n">
        <v>13966</v>
      </c>
      <c r="D126" s="75" t="n">
        <v>50160</v>
      </c>
      <c r="E126" s="52" t="str">
        <f aca="false">IF(D126&lt;&gt;"",IFERROR(VLOOKUP(D126,PROVEEDORES!$A:$B,2,0),"!COD NO ENCONTRADO"),"")</f>
        <v>SUBASTAS CORUÑA S.L.</v>
      </c>
      <c r="F126" s="76" t="str">
        <f aca="false">IF(D126&lt;&gt;"",IFERROR(VLOOKUP(D126,PROVEEDORES!$A:$C,3,0),""),"")</f>
        <v>S</v>
      </c>
      <c r="G126" s="75" t="s">
        <v>332</v>
      </c>
      <c r="H126" s="52" t="str">
        <f aca="false">IF(G126&lt;&gt;"",IFERROR(VLOOKUP(G126,PRODUCTOS!$A:$B,2,0),"!COD NO ENCONTRADO"),"")</f>
        <v>VARIADO PEQUEÑO</v>
      </c>
      <c r="I126" s="77" t="n">
        <v>4</v>
      </c>
      <c r="J126" s="78" t="n">
        <f aca="false">5.75+6.5+6.25+6.25</f>
        <v>24.75</v>
      </c>
      <c r="K126" s="79" t="n">
        <v>0.4</v>
      </c>
      <c r="L126" s="80" t="n">
        <f aca="false">IF(AND(J126&lt;&gt;"",K126&lt;&gt;""),J126*K126,"")</f>
        <v>9.9</v>
      </c>
      <c r="M126" s="81" t="n">
        <f aca="false">IF(L126&lt;&gt;"",L126*1.1,"")</f>
        <v>10.89</v>
      </c>
      <c r="N126" s="53" t="n">
        <f aca="false">IF(F126="S",L126*0.02,0)</f>
        <v>0.198</v>
      </c>
      <c r="O126" s="82" t="n">
        <f aca="false">IF(L126&lt;&gt;"",L126+N126,"")</f>
        <v>10.098</v>
      </c>
      <c r="P126" s="53" t="n">
        <f aca="false">IF(O126&lt;&gt;"",O126*0.1,"")</f>
        <v>1.0098</v>
      </c>
      <c r="Q126" s="83" t="n">
        <f aca="false">IF(O126&lt;&gt;"",O126+P126,"")</f>
        <v>11.1078</v>
      </c>
      <c r="R126" s="84"/>
    </row>
    <row r="127" customFormat="false" ht="15" hidden="false" customHeight="true" outlineLevel="0" collapsed="false">
      <c r="A127" s="72" t="n">
        <v>5928</v>
      </c>
      <c r="B127" s="85" t="n">
        <v>46191</v>
      </c>
      <c r="C127" s="86"/>
      <c r="D127" s="87" t="n">
        <v>50160</v>
      </c>
      <c r="E127" s="46" t="str">
        <f aca="false">IF(D127&lt;&gt;"",IFERROR(VLOOKUP(D127,PROVEEDORES!$A:$B,2,0),"!COD NO ENCONTRADO"),"")</f>
        <v>SUBASTAS CORUÑA S.L.</v>
      </c>
      <c r="F127" s="88" t="str">
        <f aca="false">IF(D127&lt;&gt;"",IFERROR(VLOOKUP(D127,PROVEEDORES!$A:$C,3,0),""),"")</f>
        <v>S</v>
      </c>
      <c r="G127" s="87" t="s">
        <v>296</v>
      </c>
      <c r="H127" s="46" t="str">
        <f aca="false">IF(G127&lt;&gt;"",IFERROR(VLOOKUP(G127,PRODUCTOS!$A:$B,2,0),"!COD NO ENCONTRADO"),"")</f>
        <v>RAPE NEGRO (ANK)</v>
      </c>
      <c r="I127" s="89" t="n">
        <v>7</v>
      </c>
      <c r="J127" s="90" t="n">
        <f aca="false">4.25+8.25+8.75+9+8.75+6.25+6.5</f>
        <v>51.75</v>
      </c>
      <c r="K127" s="91" t="n">
        <v>4.1</v>
      </c>
      <c r="L127" s="80" t="n">
        <f aca="false">IF(AND(J127&lt;&gt;"",K127&lt;&gt;""),J127*K127,"")</f>
        <v>212.175</v>
      </c>
      <c r="M127" s="81" t="n">
        <f aca="false">IF(L127&lt;&gt;"",L127*1.1,"")</f>
        <v>233.3925</v>
      </c>
      <c r="N127" s="47" t="n">
        <f aca="false">IF(F127="S",L127*0.02,0)</f>
        <v>4.2435</v>
      </c>
      <c r="O127" s="82" t="n">
        <f aca="false">IF(L127&lt;&gt;"",L127+N127,"")</f>
        <v>216.4185</v>
      </c>
      <c r="P127" s="47" t="n">
        <f aca="false">IF(O127&lt;&gt;"",O127*0.1,"")</f>
        <v>21.64185</v>
      </c>
      <c r="Q127" s="83" t="n">
        <f aca="false">IF(O127&lt;&gt;"",O127+P127,"")</f>
        <v>238.06035</v>
      </c>
      <c r="R127" s="84"/>
    </row>
    <row r="128" customFormat="false" ht="15" hidden="false" customHeight="true" outlineLevel="0" collapsed="false">
      <c r="A128" s="72" t="n">
        <v>5928</v>
      </c>
      <c r="B128" s="85" t="n">
        <v>46191</v>
      </c>
      <c r="C128" s="86" t="n">
        <v>13966</v>
      </c>
      <c r="D128" s="87" t="n">
        <v>50160</v>
      </c>
      <c r="E128" s="46" t="str">
        <f aca="false">IF(D128&lt;&gt;"",IFERROR(VLOOKUP(D128,PROVEEDORES!$A:$B,2,0),"!COD NO ENCONTRADO"),"")</f>
        <v>SUBASTAS CORUÑA S.L.</v>
      </c>
      <c r="F128" s="88" t="str">
        <f aca="false">IF(D128&lt;&gt;"",IFERROR(VLOOKUP(D128,PROVEEDORES!$A:$C,3,0),""),"")</f>
        <v>S</v>
      </c>
      <c r="G128" s="87" t="s">
        <v>177</v>
      </c>
      <c r="H128" s="46" t="str">
        <f aca="false">IF(G128&lt;&gt;"",IFERROR(VLOOKUP(G128,PRODUCTOS!$A:$B,2,0),"!COD NO ENCONTRADO"),"")</f>
        <v>LENGUADO RIA (SOL)</v>
      </c>
      <c r="I128" s="89" t="n">
        <v>6</v>
      </c>
      <c r="J128" s="90" t="n">
        <f aca="false">1.5+2.6+2.6+2.2+1.9+2.9</f>
        <v>13.7</v>
      </c>
      <c r="K128" s="91" t="n">
        <v>32</v>
      </c>
      <c r="L128" s="80" t="n">
        <f aca="false">IF(AND(J128&lt;&gt;"",K128&lt;&gt;""),J128*K128,"")</f>
        <v>438.4</v>
      </c>
      <c r="M128" s="81" t="n">
        <f aca="false">IF(L128&lt;&gt;"",L128*1.1,"")</f>
        <v>482.24</v>
      </c>
      <c r="N128" s="47" t="n">
        <f aca="false">IF(F128="S",L128*0.02,0)</f>
        <v>8.768</v>
      </c>
      <c r="O128" s="82" t="n">
        <f aca="false">IF(L128&lt;&gt;"",L128+N128,"")</f>
        <v>447.168</v>
      </c>
      <c r="P128" s="47" t="n">
        <f aca="false">IF(O128&lt;&gt;"",O128*0.1,"")</f>
        <v>44.7168</v>
      </c>
      <c r="Q128" s="83" t="n">
        <f aca="false">IF(O128&lt;&gt;"",O128+P128,"")</f>
        <v>491.8848</v>
      </c>
      <c r="R128" s="84"/>
    </row>
    <row r="129" customFormat="false" ht="15" hidden="false" customHeight="true" outlineLevel="0" collapsed="false">
      <c r="A129" s="72" t="n">
        <v>5928</v>
      </c>
      <c r="B129" s="85" t="n">
        <v>46191</v>
      </c>
      <c r="C129" s="86" t="n">
        <v>13966</v>
      </c>
      <c r="D129" s="87" t="n">
        <v>50160</v>
      </c>
      <c r="E129" s="46" t="str">
        <f aca="false">IF(D129&lt;&gt;"",IFERROR(VLOOKUP(D129,PROVEEDORES!$A:$B,2,0),"!COD NO ENCONTRADO"),"")</f>
        <v>SUBASTAS CORUÑA S.L.</v>
      </c>
      <c r="F129" s="88" t="str">
        <f aca="false">IF(D129&lt;&gt;"",IFERROR(VLOOKUP(D129,PROVEEDORES!$A:$C,3,0),""),"")</f>
        <v>S</v>
      </c>
      <c r="G129" s="87" t="s">
        <v>85</v>
      </c>
      <c r="H129" s="46" t="str">
        <f aca="false">IF(G129&lt;&gt;"",IFERROR(VLOOKUP(G129,PRODUCTOS!$A:$B,2,0),"!COD NO ENCONTRADO"),"")</f>
        <v>BICUDO/ALIGOTE (SBA)</v>
      </c>
      <c r="I129" s="89" t="n">
        <v>1</v>
      </c>
      <c r="J129" s="90" t="n">
        <v>6</v>
      </c>
      <c r="K129" s="91" t="n">
        <v>6.2</v>
      </c>
      <c r="L129" s="80" t="n">
        <f aca="false">IF(AND(J129&lt;&gt;"",K129&lt;&gt;""),J129*K129,"")</f>
        <v>37.2</v>
      </c>
      <c r="M129" s="81" t="n">
        <f aca="false">IF(L129&lt;&gt;"",L129*1.1,"")</f>
        <v>40.92</v>
      </c>
      <c r="N129" s="47" t="n">
        <f aca="false">IF(F129="S",L129*0.02,0)</f>
        <v>0.744</v>
      </c>
      <c r="O129" s="82" t="n">
        <f aca="false">IF(L129&lt;&gt;"",L129+N129,"")</f>
        <v>37.944</v>
      </c>
      <c r="P129" s="47" t="n">
        <f aca="false">IF(O129&lt;&gt;"",O129*0.1,"")</f>
        <v>3.7944</v>
      </c>
      <c r="Q129" s="83" t="n">
        <f aca="false">IF(O129&lt;&gt;"",O129+P129,"")</f>
        <v>41.7384</v>
      </c>
      <c r="R129" s="84"/>
    </row>
    <row r="130" customFormat="false" ht="15" hidden="false" customHeight="true" outlineLevel="0" collapsed="false">
      <c r="A130" s="72" t="n">
        <v>5928</v>
      </c>
      <c r="B130" s="85" t="n">
        <v>46191</v>
      </c>
      <c r="C130" s="86" t="n">
        <v>13966</v>
      </c>
      <c r="D130" s="87" t="n">
        <v>50160</v>
      </c>
      <c r="E130" s="46" t="str">
        <f aca="false">IF(D130&lt;&gt;"",IFERROR(VLOOKUP(D130,PROVEEDORES!$A:$B,2,0),"!COD NO ENCONTRADO"),"")</f>
        <v>SUBASTAS CORUÑA S.L.</v>
      </c>
      <c r="F130" s="88" t="str">
        <f aca="false">IF(D130&lt;&gt;"",IFERROR(VLOOKUP(D130,PROVEEDORES!$A:$C,3,0),""),"")</f>
        <v>S</v>
      </c>
      <c r="G130" s="87" t="s">
        <v>288</v>
      </c>
      <c r="H130" s="46" t="str">
        <f aca="false">IF(G130&lt;&gt;"",IFERROR(VLOOKUP(G130,PRODUCTOS!$A:$B,2,0),"!COD NO ENCONTRADO"),"")</f>
        <v>RAPE BLANCO DIA (MON)</v>
      </c>
      <c r="I130" s="89" t="n">
        <v>1</v>
      </c>
      <c r="J130" s="90" t="n">
        <v>16.75</v>
      </c>
      <c r="K130" s="91" t="n">
        <v>6.5</v>
      </c>
      <c r="L130" s="80" t="n">
        <f aca="false">IF(AND(J130&lt;&gt;"",K130&lt;&gt;""),J130*K130,"")</f>
        <v>108.875</v>
      </c>
      <c r="M130" s="81" t="n">
        <f aca="false">IF(L130&lt;&gt;"",L130*1.1,"")</f>
        <v>119.7625</v>
      </c>
      <c r="N130" s="47" t="n">
        <f aca="false">IF(F130="S",L130*0.02,0)</f>
        <v>2.1775</v>
      </c>
      <c r="O130" s="82" t="n">
        <f aca="false">IF(L130&lt;&gt;"",L130+N130,"")</f>
        <v>111.0525</v>
      </c>
      <c r="P130" s="47" t="n">
        <f aca="false">IF(O130&lt;&gt;"",O130*0.1,"")</f>
        <v>11.10525</v>
      </c>
      <c r="Q130" s="83" t="n">
        <f aca="false">IF(O130&lt;&gt;"",O130+P130,"")</f>
        <v>122.15775</v>
      </c>
      <c r="R130" s="84"/>
    </row>
    <row r="131" customFormat="false" ht="15" hidden="false" customHeight="true" outlineLevel="0" collapsed="false">
      <c r="A131" s="72" t="n">
        <v>5928</v>
      </c>
      <c r="B131" s="73" t="n">
        <v>46191</v>
      </c>
      <c r="C131" s="74" t="n">
        <v>13966</v>
      </c>
      <c r="D131" s="75" t="n">
        <v>50160</v>
      </c>
      <c r="E131" s="52" t="str">
        <f aca="false">IF(D131&lt;&gt;"",IFERROR(VLOOKUP(D131,PROVEEDORES!$A:$B,2,0),"!COD NO ENCONTRADO"),"")</f>
        <v>SUBASTAS CORUÑA S.L.</v>
      </c>
      <c r="F131" s="76" t="str">
        <f aca="false">IF(D131&lt;&gt;"",IFERROR(VLOOKUP(D131,PROVEEDORES!$A:$C,3,0),""),"")</f>
        <v>S</v>
      </c>
      <c r="G131" s="75" t="s">
        <v>288</v>
      </c>
      <c r="H131" s="52" t="str">
        <f aca="false">IF(G131&lt;&gt;"",IFERROR(VLOOKUP(G131,PRODUCTOS!$A:$B,2,0),"!COD NO ENCONTRADO"),"")</f>
        <v>RAPE BLANCO DIA (MON)</v>
      </c>
      <c r="I131" s="77" t="n">
        <v>1</v>
      </c>
      <c r="J131" s="78" t="n">
        <v>15.1</v>
      </c>
      <c r="K131" s="79" t="n">
        <v>5.7</v>
      </c>
      <c r="L131" s="80" t="n">
        <f aca="false">IF(AND(J131&lt;&gt;"",K131&lt;&gt;""),J131*K131,"")</f>
        <v>86.07</v>
      </c>
      <c r="M131" s="81" t="n">
        <f aca="false">IF(L131&lt;&gt;"",L131*1.1,"")</f>
        <v>94.677</v>
      </c>
      <c r="N131" s="53" t="n">
        <f aca="false">IF(F131="S",L131*0.02,0)</f>
        <v>1.7214</v>
      </c>
      <c r="O131" s="82" t="n">
        <f aca="false">IF(L131&lt;&gt;"",L131+N131,"")</f>
        <v>87.7914</v>
      </c>
      <c r="P131" s="53" t="n">
        <f aca="false">IF(O131&lt;&gt;"",O131*0.1,"")</f>
        <v>8.77914</v>
      </c>
      <c r="Q131" s="83" t="n">
        <f aca="false">IF(O131&lt;&gt;"",O131+P131,"")</f>
        <v>96.57054</v>
      </c>
      <c r="R131" s="84"/>
    </row>
    <row r="132" customFormat="false" ht="15" hidden="false" customHeight="true" outlineLevel="0" collapsed="false">
      <c r="A132" s="72" t="n">
        <v>5928</v>
      </c>
      <c r="B132" s="73" t="n">
        <v>46191</v>
      </c>
      <c r="C132" s="74"/>
      <c r="D132" s="75" t="n">
        <v>50160</v>
      </c>
      <c r="E132" s="52" t="str">
        <f aca="false">IF(D132&lt;&gt;"",IFERROR(VLOOKUP(D132,PROVEEDORES!$A:$B,2,0),"!COD NO ENCONTRADO"),"")</f>
        <v>SUBASTAS CORUÑA S.L.</v>
      </c>
      <c r="F132" s="76" t="str">
        <f aca="false">IF(D132&lt;&gt;"",IFERROR(VLOOKUP(D132,PROVEEDORES!$A:$C,3,0),""),"")</f>
        <v>S</v>
      </c>
      <c r="G132" s="75" t="s">
        <v>179</v>
      </c>
      <c r="H132" s="52" t="str">
        <f aca="false">IF(G132&lt;&gt;"",IFERROR(VLOOKUP(G132,PRODUCTOS!$A:$B,2,0),"!COD NO ENCONTRADO"),"")</f>
        <v>LIRIO/ BACALADILLA/ PERLA (WHB)</v>
      </c>
      <c r="I132" s="77" t="n">
        <v>30</v>
      </c>
      <c r="J132" s="78" t="n">
        <v>170</v>
      </c>
      <c r="K132" s="79" t="n">
        <v>1.25</v>
      </c>
      <c r="L132" s="80" t="n">
        <f aca="false">IF(AND(J132&lt;&gt;"",K132&lt;&gt;""),J132*K132,"")</f>
        <v>212.5</v>
      </c>
      <c r="M132" s="81" t="n">
        <f aca="false">IF(L132&lt;&gt;"",L132*1.1,"")</f>
        <v>233.75</v>
      </c>
      <c r="N132" s="53" t="n">
        <f aca="false">IF(F132="S",L132*0.02,0)</f>
        <v>4.25</v>
      </c>
      <c r="O132" s="82" t="n">
        <f aca="false">IF(L132&lt;&gt;"",L132+N132,"")</f>
        <v>216.75</v>
      </c>
      <c r="P132" s="53" t="n">
        <f aca="false">IF(O132&lt;&gt;"",O132*0.1,"")</f>
        <v>21.675</v>
      </c>
      <c r="Q132" s="83" t="n">
        <f aca="false">IF(O132&lt;&gt;"",O132+P132,"")</f>
        <v>238.425</v>
      </c>
      <c r="R132" s="84"/>
    </row>
    <row r="133" customFormat="false" ht="15" hidden="false" customHeight="true" outlineLevel="0" collapsed="false">
      <c r="A133" s="72" t="n">
        <v>5929</v>
      </c>
      <c r="B133" s="73" t="n">
        <v>46191</v>
      </c>
      <c r="C133" s="74" t="n">
        <v>6321</v>
      </c>
      <c r="D133" s="75" t="n">
        <v>50020</v>
      </c>
      <c r="E133" s="52" t="str">
        <f aca="false">IF(D133&lt;&gt;"",IFERROR(VLOOKUP(D133,PROVEEDORES!$A:$B,2,0),"!COD NO ENCONTRADO"),"")</f>
        <v>PACO MOINELO</v>
      </c>
      <c r="F133" s="76" t="str">
        <f aca="false">IF(D133&lt;&gt;"",IFERROR(VLOOKUP(D133,PROVEEDORES!$A:$C,3,0),""),"")</f>
        <v>S</v>
      </c>
      <c r="G133" s="75" t="s">
        <v>216</v>
      </c>
      <c r="H133" s="52" t="str">
        <f aca="false">IF(G133&lt;&gt;"",IFERROR(VLOOKUP(G133,PRODUCTOS!$A:$B,2,0),"!COD NO ENCONTRADO"),"")</f>
        <v>MERLUZA EUROPEA PINCHO COSTA</v>
      </c>
      <c r="I133" s="77" t="n">
        <v>2</v>
      </c>
      <c r="J133" s="78" t="n">
        <v>24.25</v>
      </c>
      <c r="K133" s="79" t="n">
        <v>3</v>
      </c>
      <c r="L133" s="80" t="n">
        <f aca="false">IF(AND(J133&lt;&gt;"",K133&lt;&gt;""),J133*K133,"")</f>
        <v>72.75</v>
      </c>
      <c r="M133" s="81" t="n">
        <f aca="false">IF(L133&lt;&gt;"",L133*1.1,"")</f>
        <v>80.025</v>
      </c>
      <c r="N133" s="53" t="n">
        <f aca="false">IF(F133="S",L133*0.02,0)</f>
        <v>1.455</v>
      </c>
      <c r="O133" s="82" t="n">
        <f aca="false">IF(L133&lt;&gt;"",L133+N133,"")</f>
        <v>74.205</v>
      </c>
      <c r="P133" s="53" t="n">
        <f aca="false">IF(O133&lt;&gt;"",O133*0.1,"")</f>
        <v>7.4205</v>
      </c>
      <c r="Q133" s="83" t="n">
        <f aca="false">IF(O133&lt;&gt;"",O133+P133,"")</f>
        <v>81.6255</v>
      </c>
      <c r="R133" s="84"/>
    </row>
    <row r="134" customFormat="false" ht="15" hidden="false" customHeight="true" outlineLevel="0" collapsed="false">
      <c r="A134" s="72" t="n">
        <v>5930</v>
      </c>
      <c r="B134" s="73" t="n">
        <v>46191</v>
      </c>
      <c r="C134" s="74"/>
      <c r="D134" s="75" t="n">
        <v>50048</v>
      </c>
      <c r="E134" s="52" t="str">
        <f aca="false">IF(D134&lt;&gt;"",IFERROR(VLOOKUP(D134,PROVEEDORES!$A:$B,2,0),"!COD NO ENCONTRADO"),"")</f>
        <v>JOSE LUIS CORREA KESSLER S.L.</v>
      </c>
      <c r="F134" s="76" t="str">
        <f aca="false">IF(D134&lt;&gt;"",IFERROR(VLOOKUP(D134,PROVEEDORES!$A:$C,3,0),""),"")</f>
        <v>N</v>
      </c>
      <c r="G134" s="75" t="s">
        <v>288</v>
      </c>
      <c r="H134" s="52" t="str">
        <f aca="false">IF(G134&lt;&gt;"",IFERROR(VLOOKUP(G134,PRODUCTOS!$A:$B,2,0),"!COD NO ENCONTRADO"),"")</f>
        <v>RAPE BLANCO DIA (MON)</v>
      </c>
      <c r="I134" s="77" t="n">
        <v>1</v>
      </c>
      <c r="J134" s="78" t="n">
        <v>13.25</v>
      </c>
      <c r="K134" s="79" t="n">
        <v>6.6</v>
      </c>
      <c r="L134" s="80" t="n">
        <f aca="false">IF(AND(J134&lt;&gt;"",K134&lt;&gt;""),J134*K134,"")</f>
        <v>87.45</v>
      </c>
      <c r="M134" s="81" t="n">
        <f aca="false">IF(L134&lt;&gt;"",L134*1.1,"")</f>
        <v>96.195</v>
      </c>
      <c r="N134" s="53" t="n">
        <f aca="false">IF(F134="S",L134*0.02,0)</f>
        <v>0</v>
      </c>
      <c r="O134" s="82" t="n">
        <f aca="false">IF(L134&lt;&gt;"",L134+N134,"")</f>
        <v>87.45</v>
      </c>
      <c r="P134" s="53" t="n">
        <f aca="false">IF(O134&lt;&gt;"",O134*0.1,"")</f>
        <v>8.745</v>
      </c>
      <c r="Q134" s="83" t="n">
        <f aca="false">IF(O134&lt;&gt;"",O134+P134,"")</f>
        <v>96.195</v>
      </c>
      <c r="R134" s="84"/>
    </row>
    <row r="135" customFormat="false" ht="15" hidden="false" customHeight="true" outlineLevel="0" collapsed="false">
      <c r="A135" s="72" t="n">
        <v>5931</v>
      </c>
      <c r="B135" s="85" t="n">
        <v>46191</v>
      </c>
      <c r="C135" s="86"/>
      <c r="D135" s="87" t="n">
        <v>50232</v>
      </c>
      <c r="E135" s="46" t="str">
        <f aca="false">IF(D135&lt;&gt;"",IFERROR(VLOOKUP(D135,PROVEEDORES!$A:$B,2,0),"!COD NO ENCONTRADO"),"")</f>
        <v>XESTION NOVA LONXA RIVEIRA S.L.</v>
      </c>
      <c r="F135" s="88" t="str">
        <f aca="false">IF(D135&lt;&gt;"",IFERROR(VLOOKUP(D135,PROVEEDORES!$A:$C,3,0),""),"")</f>
        <v>S</v>
      </c>
      <c r="G135" s="87" t="s">
        <v>330</v>
      </c>
      <c r="H135" s="46" t="str">
        <f aca="false">IF(G135&lt;&gt;"",IFERROR(VLOOKUP(G135,PRODUCTOS!$A:$B,2,0),"!COD NO ENCONTRADO"),"")</f>
        <v>SEPA/ CHOCO/ JIBIA (CTC)</v>
      </c>
      <c r="I135" s="89" t="n">
        <v>33</v>
      </c>
      <c r="J135" s="90" t="n">
        <v>156.4</v>
      </c>
      <c r="K135" s="91" t="n">
        <v>10</v>
      </c>
      <c r="L135" s="80" t="n">
        <f aca="false">IF(AND(J135&lt;&gt;"",K135&lt;&gt;""),J135*K135,"")</f>
        <v>1564</v>
      </c>
      <c r="M135" s="81" t="n">
        <f aca="false">IF(L135&lt;&gt;"",L135*1.1,"")</f>
        <v>1720.4</v>
      </c>
      <c r="N135" s="47" t="n">
        <f aca="false">IF(F135="S",L135*0.02,0)</f>
        <v>31.28</v>
      </c>
      <c r="O135" s="82" t="n">
        <f aca="false">IF(L135&lt;&gt;"",L135+N135,"")</f>
        <v>1595.28</v>
      </c>
      <c r="P135" s="47" t="n">
        <f aca="false">IF(O135&lt;&gt;"",O135*0.1,"")</f>
        <v>159.528</v>
      </c>
      <c r="Q135" s="83" t="n">
        <f aca="false">IF(O135&lt;&gt;"",O135+P135,"")</f>
        <v>1754.808</v>
      </c>
      <c r="R135" s="84"/>
    </row>
    <row r="136" customFormat="false" ht="15" hidden="false" customHeight="true" outlineLevel="0" collapsed="false">
      <c r="A136" s="72" t="n">
        <v>5931</v>
      </c>
      <c r="B136" s="73" t="n">
        <v>46191</v>
      </c>
      <c r="C136" s="74"/>
      <c r="D136" s="75" t="n">
        <v>50232</v>
      </c>
      <c r="E136" s="52" t="str">
        <f aca="false">IF(D136&lt;&gt;"",IFERROR(VLOOKUP(D136,PROVEEDORES!$A:$B,2,0),"!COD NO ENCONTRADO"),"")</f>
        <v>XESTION NOVA LONXA RIVEIRA S.L.</v>
      </c>
      <c r="F136" s="76" t="str">
        <f aca="false">IF(D136&lt;&gt;"",IFERROR(VLOOKUP(D136,PROVEEDORES!$A:$C,3,0),""),"")</f>
        <v>S</v>
      </c>
      <c r="G136" s="75" t="s">
        <v>270</v>
      </c>
      <c r="H136" s="52" t="str">
        <f aca="false">IF(G136&lt;&gt;"",IFERROR(VLOOKUP(G136,PRODUCTOS!$A:$B,2,0),"!COD NO ENCONTRADO"),"")</f>
        <v>PEON/ PION (ATP)</v>
      </c>
      <c r="I136" s="77" t="n">
        <v>10</v>
      </c>
      <c r="J136" s="78" t="n">
        <v>46.25</v>
      </c>
      <c r="K136" s="79" t="n">
        <v>4</v>
      </c>
      <c r="L136" s="80" t="n">
        <f aca="false">IF(AND(J136&lt;&gt;"",K136&lt;&gt;""),J136*K136,"")</f>
        <v>185</v>
      </c>
      <c r="M136" s="81" t="n">
        <f aca="false">IF(L136&lt;&gt;"",L136*1.1,"")</f>
        <v>203.5</v>
      </c>
      <c r="N136" s="53" t="n">
        <f aca="false">IF(F136="S",L136*0.02,0)</f>
        <v>3.7</v>
      </c>
      <c r="O136" s="82" t="n">
        <f aca="false">IF(L136&lt;&gt;"",L136+N136,"")</f>
        <v>188.7</v>
      </c>
      <c r="P136" s="53" t="n">
        <f aca="false">IF(O136&lt;&gt;"",O136*0.1,"")</f>
        <v>18.87</v>
      </c>
      <c r="Q136" s="83" t="n">
        <f aca="false">IF(O136&lt;&gt;"",O136+P136,"")</f>
        <v>207.57</v>
      </c>
      <c r="R136" s="84"/>
    </row>
    <row r="137" customFormat="false" ht="15" hidden="false" customHeight="true" outlineLevel="0" collapsed="false">
      <c r="A137" s="72" t="n">
        <v>5931</v>
      </c>
      <c r="B137" s="85" t="n">
        <v>46191</v>
      </c>
      <c r="C137" s="86"/>
      <c r="D137" s="87" t="n">
        <v>50232</v>
      </c>
      <c r="E137" s="46" t="str">
        <f aca="false">IF(D137&lt;&gt;"",IFERROR(VLOOKUP(D137,PROVEEDORES!$A:$B,2,0),"!COD NO ENCONTRADO"),"")</f>
        <v>XESTION NOVA LONXA RIVEIRA S.L.</v>
      </c>
      <c r="F137" s="88" t="str">
        <f aca="false">IF(D137&lt;&gt;"",IFERROR(VLOOKUP(D137,PROVEEDORES!$A:$C,3,0),""),"")</f>
        <v>S</v>
      </c>
      <c r="G137" s="87" t="s">
        <v>332</v>
      </c>
      <c r="H137" s="46" t="str">
        <f aca="false">IF(G137&lt;&gt;"",IFERROR(VLOOKUP(G137,PRODUCTOS!$A:$B,2,0),"!COD NO ENCONTRADO"),"")</f>
        <v>VARIADO PEQUEÑO</v>
      </c>
      <c r="I137" s="89" t="n">
        <v>2</v>
      </c>
      <c r="J137" s="90" t="n">
        <v>16</v>
      </c>
      <c r="K137" s="91" t="n">
        <v>1.5</v>
      </c>
      <c r="L137" s="80" t="n">
        <f aca="false">IF(AND(J137&lt;&gt;"",K137&lt;&gt;""),J137*K137,"")</f>
        <v>24</v>
      </c>
      <c r="M137" s="81" t="n">
        <f aca="false">IF(L137&lt;&gt;"",L137*1.1,"")</f>
        <v>26.4</v>
      </c>
      <c r="N137" s="47" t="n">
        <f aca="false">IF(F137="S",L137*0.02,0)</f>
        <v>0.48</v>
      </c>
      <c r="O137" s="82" t="n">
        <f aca="false">IF(L137&lt;&gt;"",L137+N137,"")</f>
        <v>24.48</v>
      </c>
      <c r="P137" s="47" t="n">
        <f aca="false">IF(O137&lt;&gt;"",O137*0.1,"")</f>
        <v>2.448</v>
      </c>
      <c r="Q137" s="83" t="n">
        <f aca="false">IF(O137&lt;&gt;"",O137+P137,"")</f>
        <v>26.928</v>
      </c>
      <c r="R137" s="84"/>
    </row>
    <row r="138" customFormat="false" ht="15" hidden="false" customHeight="true" outlineLevel="0" collapsed="false">
      <c r="A138" s="72" t="n">
        <v>5931</v>
      </c>
      <c r="B138" s="73" t="n">
        <v>46191</v>
      </c>
      <c r="C138" s="74"/>
      <c r="D138" s="75" t="n">
        <v>50232</v>
      </c>
      <c r="E138" s="52" t="str">
        <f aca="false">IF(D138&lt;&gt;"",IFERROR(VLOOKUP(D138,PROVEEDORES!$A:$B,2,0),"!COD NO ENCONTRADO"),"")</f>
        <v>XESTION NOVA LONXA RIVEIRA S.L.</v>
      </c>
      <c r="F138" s="76" t="str">
        <f aca="false">IF(D138&lt;&gt;"",IFERROR(VLOOKUP(D138,PROVEEDORES!$A:$C,3,0),""),"")</f>
        <v>S</v>
      </c>
      <c r="G138" s="75" t="s">
        <v>332</v>
      </c>
      <c r="H138" s="52" t="str">
        <f aca="false">IF(G138&lt;&gt;"",IFERROR(VLOOKUP(G138,PRODUCTOS!$A:$B,2,0),"!COD NO ENCONTRADO"),"")</f>
        <v>VARIADO PEQUEÑO</v>
      </c>
      <c r="I138" s="77" t="n">
        <v>1</v>
      </c>
      <c r="J138" s="78" t="n">
        <v>2</v>
      </c>
      <c r="K138" s="79" t="n">
        <v>0.5</v>
      </c>
      <c r="L138" s="80" t="n">
        <f aca="false">IF(AND(J138&lt;&gt;"",K138&lt;&gt;""),J138*K138,"")</f>
        <v>1</v>
      </c>
      <c r="M138" s="81" t="n">
        <f aca="false">IF(L138&lt;&gt;"",L138*1.1,"")</f>
        <v>1.1</v>
      </c>
      <c r="N138" s="53" t="n">
        <f aca="false">IF(F138="S",L138*0.02,0)</f>
        <v>0.02</v>
      </c>
      <c r="O138" s="82" t="n">
        <f aca="false">IF(L138&lt;&gt;"",L138+N138,"")</f>
        <v>1.02</v>
      </c>
      <c r="P138" s="53" t="n">
        <f aca="false">IF(O138&lt;&gt;"",O138*0.1,"")</f>
        <v>0.102</v>
      </c>
      <c r="Q138" s="83" t="n">
        <f aca="false">IF(O138&lt;&gt;"",O138+P138,"")</f>
        <v>1.122</v>
      </c>
      <c r="R138" s="84"/>
    </row>
    <row r="139" customFormat="false" ht="15" hidden="false" customHeight="true" outlineLevel="0" collapsed="false">
      <c r="A139" s="72" t="n">
        <v>5932</v>
      </c>
      <c r="B139" s="85" t="n">
        <v>46191</v>
      </c>
      <c r="C139" s="86"/>
      <c r="D139" s="87" t="n">
        <v>50035</v>
      </c>
      <c r="E139" s="46" t="str">
        <f aca="false">IF(D139&lt;&gt;"",IFERROR(VLOOKUP(D139,PROVEEDORES!$A:$B,2,0),"!COD NO ENCONTRADO"),"")</f>
        <v>SCANFISK SEAFFOD S,L</v>
      </c>
      <c r="F139" s="88" t="str">
        <f aca="false">IF(D139&lt;&gt;"",IFERROR(VLOOKUP(D139,PROVEEDORES!$A:$C,3,0),""),"")</f>
        <v>N</v>
      </c>
      <c r="G139" s="87" t="s">
        <v>233</v>
      </c>
      <c r="H139" s="46" t="str">
        <f aca="false">IF(G139&lt;&gt;"",IFERROR(VLOOKUP(G139,PRODUCTOS!$A:$B,2,0),"!COD NO ENCONTRADO"),"")</f>
        <v>MERLUZA EUROPEA VOLANTA COSTA</v>
      </c>
      <c r="I139" s="89" t="n">
        <v>3</v>
      </c>
      <c r="J139" s="90" t="n">
        <v>32</v>
      </c>
      <c r="K139" s="91" t="n">
        <v>6.7</v>
      </c>
      <c r="L139" s="80" t="n">
        <f aca="false">IF(AND(J139&lt;&gt;"",K139&lt;&gt;""),J139*K139,"")</f>
        <v>214.4</v>
      </c>
      <c r="M139" s="81" t="n">
        <f aca="false">IF(L139&lt;&gt;"",L139*1.1,"")</f>
        <v>235.84</v>
      </c>
      <c r="N139" s="47" t="n">
        <f aca="false">IF(F139="S",L139*0.02,0)</f>
        <v>0</v>
      </c>
      <c r="O139" s="82" t="n">
        <f aca="false">IF(L139&lt;&gt;"",L139+N139,"")</f>
        <v>214.4</v>
      </c>
      <c r="P139" s="47" t="n">
        <f aca="false">IF(O139&lt;&gt;"",O139*0.1,"")</f>
        <v>21.44</v>
      </c>
      <c r="Q139" s="83" t="n">
        <f aca="false">IF(O139&lt;&gt;"",O139+P139,"")</f>
        <v>235.84</v>
      </c>
      <c r="R139" s="84"/>
    </row>
    <row r="140" customFormat="false" ht="15" hidden="false" customHeight="true" outlineLevel="0" collapsed="false">
      <c r="A140" s="72" t="n">
        <v>5933</v>
      </c>
      <c r="B140" s="85" t="n">
        <v>46192</v>
      </c>
      <c r="C140" s="86" t="n">
        <v>9022</v>
      </c>
      <c r="D140" s="87" t="n">
        <v>50001</v>
      </c>
      <c r="E140" s="46" t="str">
        <f aca="false">IF(D140&lt;&gt;"",IFERROR(VLOOKUP(D140,PROVEEDORES!$A:$B,2,0),"!COD NO ENCONTRADO"),"")</f>
        <v>COPESA</v>
      </c>
      <c r="F140" s="88" t="str">
        <f aca="false">IF(D140&lt;&gt;"",IFERROR(VLOOKUP(D140,PROVEEDORES!$A:$C,3,0),""),"")</f>
        <v>S</v>
      </c>
      <c r="G140" s="87" t="s">
        <v>296</v>
      </c>
      <c r="H140" s="46" t="str">
        <f aca="false">IF(G140&lt;&gt;"",IFERROR(VLOOKUP(G140,PRODUCTOS!$A:$B,2,0),"!COD NO ENCONTRADO"),"")</f>
        <v>RAPE NEGRO (ANK)</v>
      </c>
      <c r="I140" s="89" t="n">
        <v>2</v>
      </c>
      <c r="J140" s="90" t="n">
        <f aca="false">4.8+5.3</f>
        <v>10.1</v>
      </c>
      <c r="K140" s="91" t="n">
        <v>7.9</v>
      </c>
      <c r="L140" s="80" t="n">
        <f aca="false">IF(AND(J140&lt;&gt;"",K140&lt;&gt;""),J140*K140,"")</f>
        <v>79.79</v>
      </c>
      <c r="M140" s="81" t="n">
        <f aca="false">IF(L140&lt;&gt;"",L140*1.1,"")</f>
        <v>87.769</v>
      </c>
      <c r="N140" s="47" t="n">
        <f aca="false">IF(F140="S",L140*0.02,0)</f>
        <v>1.5958</v>
      </c>
      <c r="O140" s="82" t="n">
        <f aca="false">IF(L140&lt;&gt;"",L140+N140,"")</f>
        <v>81.3858</v>
      </c>
      <c r="P140" s="47" t="n">
        <f aca="false">IF(O140&lt;&gt;"",O140*0.1,"")</f>
        <v>8.13858</v>
      </c>
      <c r="Q140" s="83" t="n">
        <f aca="false">IF(O140&lt;&gt;"",O140+P140,"")</f>
        <v>89.52438</v>
      </c>
      <c r="R140" s="84"/>
    </row>
    <row r="141" customFormat="false" ht="15" hidden="false" customHeight="true" outlineLevel="0" collapsed="false">
      <c r="A141" s="72" t="n">
        <v>5933</v>
      </c>
      <c r="B141" s="73" t="n">
        <v>46192</v>
      </c>
      <c r="C141" s="74" t="n">
        <v>9022</v>
      </c>
      <c r="D141" s="75" t="n">
        <v>50001</v>
      </c>
      <c r="E141" s="52" t="str">
        <f aca="false">IF(D141&lt;&gt;"",IFERROR(VLOOKUP(D141,PROVEEDORES!$A:$B,2,0),"!COD NO ENCONTRADO"),"")</f>
        <v>COPESA</v>
      </c>
      <c r="F141" s="76" t="str">
        <f aca="false">IF(D141&lt;&gt;"",IFERROR(VLOOKUP(D141,PROVEEDORES!$A:$C,3,0),""),"")</f>
        <v>S</v>
      </c>
      <c r="G141" s="75" t="s">
        <v>288</v>
      </c>
      <c r="H141" s="52" t="str">
        <f aca="false">IF(G141&lt;&gt;"",IFERROR(VLOOKUP(G141,PRODUCTOS!$A:$B,2,0),"!COD NO ENCONTRADO"),"")</f>
        <v>RAPE BLANCO DIA (MON)</v>
      </c>
      <c r="I141" s="77" t="n">
        <v>2</v>
      </c>
      <c r="J141" s="78" t="n">
        <f aca="false">35.75+21.5</f>
        <v>57.25</v>
      </c>
      <c r="K141" s="79" t="n">
        <v>5.5</v>
      </c>
      <c r="L141" s="80" t="n">
        <f aca="false">IF(AND(J141&lt;&gt;"",K141&lt;&gt;""),J141*K141,"")</f>
        <v>314.875</v>
      </c>
      <c r="M141" s="81" t="n">
        <f aca="false">IF(L141&lt;&gt;"",L141*1.1,"")</f>
        <v>346.3625</v>
      </c>
      <c r="N141" s="53" t="n">
        <f aca="false">IF(F141="S",L141*0.02,0)</f>
        <v>6.2975</v>
      </c>
      <c r="O141" s="82" t="n">
        <f aca="false">IF(L141&lt;&gt;"",L141+N141,"")</f>
        <v>321.1725</v>
      </c>
      <c r="P141" s="53" t="n">
        <f aca="false">IF(O141&lt;&gt;"",O141*0.1,"")</f>
        <v>32.11725</v>
      </c>
      <c r="Q141" s="83" t="n">
        <f aca="false">IF(O141&lt;&gt;"",O141+P141,"")</f>
        <v>353.28975</v>
      </c>
      <c r="R141" s="84"/>
    </row>
    <row r="142" customFormat="false" ht="15" hidden="false" customHeight="true" outlineLevel="0" collapsed="false">
      <c r="A142" s="72" t="n">
        <v>5933</v>
      </c>
      <c r="B142" s="85" t="n">
        <v>46192</v>
      </c>
      <c r="C142" s="86" t="n">
        <v>9022</v>
      </c>
      <c r="D142" s="87" t="n">
        <v>50001</v>
      </c>
      <c r="E142" s="46" t="str">
        <f aca="false">IF(D142&lt;&gt;"",IFERROR(VLOOKUP(D142,PROVEEDORES!$A:$B,2,0),"!COD NO ENCONTRADO"),"")</f>
        <v>COPESA</v>
      </c>
      <c r="F142" s="88" t="str">
        <f aca="false">IF(D142&lt;&gt;"",IFERROR(VLOOKUP(D142,PROVEEDORES!$A:$C,3,0),""),"")</f>
        <v>S</v>
      </c>
      <c r="G142" s="87" t="s">
        <v>193</v>
      </c>
      <c r="H142" s="46" t="str">
        <f aca="false">IF(G142&lt;&gt;"",IFERROR(VLOOKUP(G142,PRODUCTOS!$A:$B,2,0),"!COD NO ENCONTRADO"),"")</f>
        <v>MERLUZA EUROPEA ARRASTRE (HKE) </v>
      </c>
      <c r="I142" s="89" t="n">
        <v>5</v>
      </c>
      <c r="J142" s="90" t="n">
        <f aca="false">6.75+7+6+5.25+5.5</f>
        <v>30.5</v>
      </c>
      <c r="K142" s="91" t="n">
        <v>4.2</v>
      </c>
      <c r="L142" s="80" t="n">
        <f aca="false">IF(AND(J142&lt;&gt;"",K142&lt;&gt;""),J142*K142,"")</f>
        <v>128.1</v>
      </c>
      <c r="M142" s="81" t="n">
        <f aca="false">IF(L142&lt;&gt;"",L142*1.1,"")</f>
        <v>140.91</v>
      </c>
      <c r="N142" s="47" t="n">
        <f aca="false">IF(F142="S",L142*0.02,0)</f>
        <v>2.562</v>
      </c>
      <c r="O142" s="82" t="n">
        <f aca="false">IF(L142&lt;&gt;"",L142+N142,"")</f>
        <v>130.662</v>
      </c>
      <c r="P142" s="47" t="n">
        <f aca="false">IF(O142&lt;&gt;"",O142*0.1,"")</f>
        <v>13.0662</v>
      </c>
      <c r="Q142" s="83" t="n">
        <f aca="false">IF(O142&lt;&gt;"",O142+P142,"")</f>
        <v>143.7282</v>
      </c>
      <c r="R142" s="84"/>
    </row>
    <row r="143" customFormat="false" ht="15" hidden="false" customHeight="true" outlineLevel="0" collapsed="false">
      <c r="A143" s="72" t="n">
        <v>5933</v>
      </c>
      <c r="B143" s="73" t="n">
        <v>46192</v>
      </c>
      <c r="C143" s="74" t="n">
        <v>9022</v>
      </c>
      <c r="D143" s="75" t="n">
        <v>50001</v>
      </c>
      <c r="E143" s="52" t="str">
        <f aca="false">IF(D143&lt;&gt;"",IFERROR(VLOOKUP(D143,PROVEEDORES!$A:$B,2,0),"!COD NO ENCONTRADO"),"")</f>
        <v>COPESA</v>
      </c>
      <c r="F143" s="76" t="str">
        <f aca="false">IF(D143&lt;&gt;"",IFERROR(VLOOKUP(D143,PROVEEDORES!$A:$C,3,0),""),"")</f>
        <v>S</v>
      </c>
      <c r="G143" s="75" t="s">
        <v>151</v>
      </c>
      <c r="H143" s="52" t="str">
        <f aca="false">IF(G143&lt;&gt;"",IFERROR(VLOOKUP(G143,PRODUCTOS!$A:$B,2,0),"!COD NO ENCONTRADO"),"")</f>
        <v>ESCACHO/ ARETE/ RUBIO (GUR)</v>
      </c>
      <c r="I143" s="77" t="n">
        <v>1</v>
      </c>
      <c r="J143" s="78" t="n">
        <v>14.25</v>
      </c>
      <c r="K143" s="79" t="n">
        <v>0.2</v>
      </c>
      <c r="L143" s="80" t="n">
        <f aca="false">IF(AND(J143&lt;&gt;"",K143&lt;&gt;""),J143*K143,"")</f>
        <v>2.85</v>
      </c>
      <c r="M143" s="81" t="n">
        <f aca="false">IF(L143&lt;&gt;"",L143*1.1,"")</f>
        <v>3.135</v>
      </c>
      <c r="N143" s="53" t="n">
        <f aca="false">IF(F143="S",L143*0.02,0)</f>
        <v>0.057</v>
      </c>
      <c r="O143" s="82" t="n">
        <f aca="false">IF(L143&lt;&gt;"",L143+N143,"")</f>
        <v>2.907</v>
      </c>
      <c r="P143" s="53" t="n">
        <f aca="false">IF(O143&lt;&gt;"",O143*0.1,"")</f>
        <v>0.2907</v>
      </c>
      <c r="Q143" s="83" t="n">
        <f aca="false">IF(O143&lt;&gt;"",O143+P143,"")</f>
        <v>3.1977</v>
      </c>
      <c r="R143" s="84"/>
    </row>
    <row r="144" customFormat="false" ht="15" hidden="false" customHeight="true" outlineLevel="0" collapsed="false">
      <c r="A144" s="72" t="n">
        <v>5934</v>
      </c>
      <c r="B144" s="85" t="n">
        <v>46192</v>
      </c>
      <c r="C144" s="86" t="n">
        <v>4660</v>
      </c>
      <c r="D144" s="87" t="n">
        <v>50160</v>
      </c>
      <c r="E144" s="46" t="str">
        <f aca="false">IF(D144&lt;&gt;"",IFERROR(VLOOKUP(D144,PROVEEDORES!$A:$B,2,0),"!COD NO ENCONTRADO"),"")</f>
        <v>SUBASTAS CORUÑA S.L.</v>
      </c>
      <c r="F144" s="88" t="str">
        <f aca="false">IF(D144&lt;&gt;"",IFERROR(VLOOKUP(D144,PROVEEDORES!$A:$C,3,0),""),"")</f>
        <v>S</v>
      </c>
      <c r="G144" s="87" t="s">
        <v>233</v>
      </c>
      <c r="H144" s="46" t="str">
        <f aca="false">IF(G144&lt;&gt;"",IFERROR(VLOOKUP(G144,PRODUCTOS!$A:$B,2,0),"!COD NO ENCONTRADO"),"")</f>
        <v>MERLUZA EUROPEA VOLANTA COSTA</v>
      </c>
      <c r="I144" s="89" t="n">
        <v>1</v>
      </c>
      <c r="J144" s="90" t="n">
        <v>20.75</v>
      </c>
      <c r="K144" s="91" t="n">
        <v>4.9</v>
      </c>
      <c r="L144" s="80" t="n">
        <f aca="false">IF(AND(J144&lt;&gt;"",K144&lt;&gt;""),J144*K144,"")</f>
        <v>101.675</v>
      </c>
      <c r="M144" s="81" t="n">
        <f aca="false">IF(L144&lt;&gt;"",L144*1.1,"")</f>
        <v>111.8425</v>
      </c>
      <c r="N144" s="47" t="n">
        <f aca="false">IF(F144="S",L144*0.02,0)</f>
        <v>2.0335</v>
      </c>
      <c r="O144" s="82" t="n">
        <f aca="false">IF(L144&lt;&gt;"",L144+N144,"")</f>
        <v>103.7085</v>
      </c>
      <c r="P144" s="47" t="n">
        <f aca="false">IF(O144&lt;&gt;"",O144*0.1,"")</f>
        <v>10.37085</v>
      </c>
      <c r="Q144" s="83" t="n">
        <f aca="false">IF(O144&lt;&gt;"",O144+P144,"")</f>
        <v>114.07935</v>
      </c>
      <c r="R144" s="84"/>
    </row>
    <row r="145" customFormat="false" ht="15" hidden="false" customHeight="true" outlineLevel="0" collapsed="false">
      <c r="A145" s="72" t="n">
        <v>5934</v>
      </c>
      <c r="B145" s="73" t="n">
        <v>46192</v>
      </c>
      <c r="C145" s="74"/>
      <c r="D145" s="75" t="n">
        <v>50160</v>
      </c>
      <c r="E145" s="52" t="str">
        <f aca="false">IF(D145&lt;&gt;"",IFERROR(VLOOKUP(D145,PROVEEDORES!$A:$B,2,0),"!COD NO ENCONTRADO"),"")</f>
        <v>SUBASTAS CORUÑA S.L.</v>
      </c>
      <c r="F145" s="76" t="str">
        <f aca="false">IF(D145&lt;&gt;"",IFERROR(VLOOKUP(D145,PROVEEDORES!$A:$C,3,0),""),"")</f>
        <v>S</v>
      </c>
      <c r="G145" s="75" t="s">
        <v>151</v>
      </c>
      <c r="H145" s="52" t="str">
        <f aca="false">IF(G145&lt;&gt;"",IFERROR(VLOOKUP(G145,PRODUCTOS!$A:$B,2,0),"!COD NO ENCONTRADO"),"")</f>
        <v>ESCACHO/ ARETE/ RUBIO (GUR)</v>
      </c>
      <c r="I145" s="77" t="n">
        <v>2</v>
      </c>
      <c r="J145" s="78" t="n">
        <f aca="false">16+17.75</f>
        <v>33.75</v>
      </c>
      <c r="K145" s="79" t="n">
        <v>0.2</v>
      </c>
      <c r="L145" s="80" t="n">
        <f aca="false">IF(AND(J145&lt;&gt;"",K145&lt;&gt;""),J145*K145,"")</f>
        <v>6.75</v>
      </c>
      <c r="M145" s="81" t="n">
        <f aca="false">IF(L145&lt;&gt;"",L145*1.1,"")</f>
        <v>7.425</v>
      </c>
      <c r="N145" s="53" t="n">
        <f aca="false">IF(F145="S",L145*0.02,0)</f>
        <v>0.135</v>
      </c>
      <c r="O145" s="82" t="n">
        <f aca="false">IF(L145&lt;&gt;"",L145+N145,"")</f>
        <v>6.885</v>
      </c>
      <c r="P145" s="53" t="n">
        <f aca="false">IF(O145&lt;&gt;"",O145*0.1,"")</f>
        <v>0.6885</v>
      </c>
      <c r="Q145" s="83" t="n">
        <f aca="false">IF(O145&lt;&gt;"",O145+P145,"")</f>
        <v>7.5735</v>
      </c>
      <c r="R145" s="84"/>
    </row>
    <row r="146" customFormat="false" ht="15" hidden="false" customHeight="true" outlineLevel="0" collapsed="false">
      <c r="A146" s="72" t="n">
        <v>5934</v>
      </c>
      <c r="B146" s="85" t="n">
        <v>46192</v>
      </c>
      <c r="C146" s="86" t="n">
        <v>4660</v>
      </c>
      <c r="D146" s="87" t="n">
        <v>50160</v>
      </c>
      <c r="E146" s="46" t="str">
        <f aca="false">IF(D146&lt;&gt;"",IFERROR(VLOOKUP(D146,PROVEEDORES!$A:$B,2,0),"!COD NO ENCONTRADO"),"")</f>
        <v>SUBASTAS CORUÑA S.L.</v>
      </c>
      <c r="F146" s="88" t="str">
        <f aca="false">IF(D146&lt;&gt;"",IFERROR(VLOOKUP(D146,PROVEEDORES!$A:$C,3,0),""),"")</f>
        <v>S</v>
      </c>
      <c r="G146" s="87" t="s">
        <v>233</v>
      </c>
      <c r="H146" s="46" t="str">
        <f aca="false">IF(G146&lt;&gt;"",IFERROR(VLOOKUP(G146,PRODUCTOS!$A:$B,2,0),"!COD NO ENCONTRADO"),"")</f>
        <v>MERLUZA EUROPEA VOLANTA COSTA</v>
      </c>
      <c r="I146" s="89" t="n">
        <v>5</v>
      </c>
      <c r="J146" s="90" t="n">
        <v>87</v>
      </c>
      <c r="K146" s="91" t="n">
        <v>4.3</v>
      </c>
      <c r="L146" s="80" t="n">
        <f aca="false">IF(AND(J146&lt;&gt;"",K146&lt;&gt;""),J146*K146,"")</f>
        <v>374.1</v>
      </c>
      <c r="M146" s="81" t="n">
        <f aca="false">IF(L146&lt;&gt;"",L146*1.1,"")</f>
        <v>411.51</v>
      </c>
      <c r="N146" s="47" t="n">
        <f aca="false">IF(F146="S",L146*0.02,0)</f>
        <v>7.482</v>
      </c>
      <c r="O146" s="82" t="n">
        <f aca="false">IF(L146&lt;&gt;"",L146+N146,"")</f>
        <v>381.582</v>
      </c>
      <c r="P146" s="47" t="n">
        <f aca="false">IF(O146&lt;&gt;"",O146*0.1,"")</f>
        <v>38.1582</v>
      </c>
      <c r="Q146" s="83" t="n">
        <f aca="false">IF(O146&lt;&gt;"",O146+P146,"")</f>
        <v>419.7402</v>
      </c>
      <c r="R146" s="84"/>
    </row>
    <row r="147" customFormat="false" ht="15" hidden="false" customHeight="true" outlineLevel="0" collapsed="false">
      <c r="A147" s="72" t="n">
        <v>5934</v>
      </c>
      <c r="B147" s="73" t="n">
        <v>46192</v>
      </c>
      <c r="C147" s="74" t="n">
        <v>4660</v>
      </c>
      <c r="D147" s="75" t="n">
        <v>50160</v>
      </c>
      <c r="E147" s="52" t="str">
        <f aca="false">IF(D147&lt;&gt;"",IFERROR(VLOOKUP(D147,PROVEEDORES!$A:$B,2,0),"!COD NO ENCONTRADO"),"")</f>
        <v>SUBASTAS CORUÑA S.L.</v>
      </c>
      <c r="F147" s="76" t="str">
        <f aca="false">IF(D147&lt;&gt;"",IFERROR(VLOOKUP(D147,PROVEEDORES!$A:$C,3,0),""),"")</f>
        <v>S</v>
      </c>
      <c r="G147" s="75" t="s">
        <v>233</v>
      </c>
      <c r="H147" s="52" t="str">
        <f aca="false">IF(G147&lt;&gt;"",IFERROR(VLOOKUP(G147,PRODUCTOS!$A:$B,2,0),"!COD NO ENCONTRADO"),"")</f>
        <v>MERLUZA EUROPEA VOLANTA COSTA</v>
      </c>
      <c r="I147" s="77" t="n">
        <v>2</v>
      </c>
      <c r="J147" s="78" t="n">
        <f aca="false">22.5+24.25</f>
        <v>46.75</v>
      </c>
      <c r="K147" s="79" t="n">
        <v>4.5</v>
      </c>
      <c r="L147" s="80" t="n">
        <f aca="false">IF(AND(J147&lt;&gt;"",K147&lt;&gt;""),J147*K147,"")</f>
        <v>210.375</v>
      </c>
      <c r="M147" s="81" t="n">
        <f aca="false">IF(L147&lt;&gt;"",L147*1.1,"")</f>
        <v>231.4125</v>
      </c>
      <c r="N147" s="53" t="n">
        <f aca="false">IF(F147="S",L147*0.02,0)</f>
        <v>4.2075</v>
      </c>
      <c r="O147" s="82" t="n">
        <f aca="false">IF(L147&lt;&gt;"",L147+N147,"")</f>
        <v>214.5825</v>
      </c>
      <c r="P147" s="53" t="n">
        <f aca="false">IF(O147&lt;&gt;"",O147*0.1,"")</f>
        <v>21.45825</v>
      </c>
      <c r="Q147" s="83" t="n">
        <f aca="false">IF(O147&lt;&gt;"",O147+P147,"")</f>
        <v>236.04075</v>
      </c>
      <c r="R147" s="84"/>
    </row>
    <row r="148" customFormat="false" ht="15" hidden="false" customHeight="true" outlineLevel="0" collapsed="false">
      <c r="A148" s="72" t="n">
        <v>5934</v>
      </c>
      <c r="B148" s="85" t="n">
        <v>46192</v>
      </c>
      <c r="C148" s="86" t="n">
        <v>4660</v>
      </c>
      <c r="D148" s="87" t="n">
        <v>50160</v>
      </c>
      <c r="E148" s="46" t="str">
        <f aca="false">IF(D148&lt;&gt;"",IFERROR(VLOOKUP(D148,PROVEEDORES!$A:$B,2,0),"!COD NO ENCONTRADO"),"")</f>
        <v>SUBASTAS CORUÑA S.L.</v>
      </c>
      <c r="F148" s="88" t="str">
        <f aca="false">IF(D148&lt;&gt;"",IFERROR(VLOOKUP(D148,PROVEEDORES!$A:$C,3,0),""),"")</f>
        <v>S</v>
      </c>
      <c r="G148" s="87" t="s">
        <v>135</v>
      </c>
      <c r="H148" s="46" t="str">
        <f aca="false">IF(G148&lt;&gt;"",IFERROR(VLOOKUP(G148,PRODUCTOS!$A:$B,2,0),"!COD NO ENCONTRADO"),"")</f>
        <v>CONGRIO 10+  (COE)</v>
      </c>
      <c r="I148" s="89" t="n">
        <v>1</v>
      </c>
      <c r="J148" s="90" t="n">
        <v>12.75</v>
      </c>
      <c r="K148" s="91" t="n">
        <v>2.6</v>
      </c>
      <c r="L148" s="80" t="n">
        <f aca="false">IF(AND(J148&lt;&gt;"",K148&lt;&gt;""),J148*K148,"")</f>
        <v>33.15</v>
      </c>
      <c r="M148" s="81" t="n">
        <f aca="false">IF(L148&lt;&gt;"",L148*1.1,"")</f>
        <v>36.465</v>
      </c>
      <c r="N148" s="47" t="n">
        <f aca="false">IF(F148="S",L148*0.02,0)</f>
        <v>0.663</v>
      </c>
      <c r="O148" s="82" t="n">
        <f aca="false">IF(L148&lt;&gt;"",L148+N148,"")</f>
        <v>33.813</v>
      </c>
      <c r="P148" s="47" t="n">
        <f aca="false">IF(O148&lt;&gt;"",O148*0.1,"")</f>
        <v>3.3813</v>
      </c>
      <c r="Q148" s="83" t="n">
        <f aca="false">IF(O148&lt;&gt;"",O148+P148,"")</f>
        <v>37.1943</v>
      </c>
      <c r="R148" s="84"/>
    </row>
    <row r="149" customFormat="false" ht="15" hidden="false" customHeight="true" outlineLevel="0" collapsed="false">
      <c r="A149" s="72" t="n">
        <v>5934</v>
      </c>
      <c r="B149" s="85" t="n">
        <v>46192</v>
      </c>
      <c r="C149" s="86" t="n">
        <v>4660</v>
      </c>
      <c r="D149" s="87" t="n">
        <v>50160</v>
      </c>
      <c r="E149" s="46" t="str">
        <f aca="false">IF(D149&lt;&gt;"",IFERROR(VLOOKUP(D149,PROVEEDORES!$A:$B,2,0),"!COD NO ENCONTRADO"),"")</f>
        <v>SUBASTAS CORUÑA S.L.</v>
      </c>
      <c r="F149" s="88" t="str">
        <f aca="false">IF(D149&lt;&gt;"",IFERROR(VLOOKUP(D149,PROVEEDORES!$A:$C,3,0),""),"")</f>
        <v>S</v>
      </c>
      <c r="G149" s="87" t="s">
        <v>133</v>
      </c>
      <c r="H149" s="46" t="str">
        <f aca="false">IF(G149&lt;&gt;"",IFERROR(VLOOKUP(G149,PRODUCTOS!$A:$B,2,0),"!COD NO ENCONTRADO"),"")</f>
        <v>CINTAS/ PEZ CINTA (CBC)</v>
      </c>
      <c r="I149" s="89" t="n">
        <v>1</v>
      </c>
      <c r="J149" s="90" t="n">
        <v>1.25</v>
      </c>
      <c r="K149" s="91" t="n">
        <v>1.5</v>
      </c>
      <c r="L149" s="80" t="n">
        <f aca="false">IF(AND(J149&lt;&gt;"",K149&lt;&gt;""),J149*K149,"")</f>
        <v>1.875</v>
      </c>
      <c r="M149" s="81" t="n">
        <f aca="false">IF(L149&lt;&gt;"",L149*1.1,"")</f>
        <v>2.0625</v>
      </c>
      <c r="N149" s="47" t="n">
        <f aca="false">IF(F149="S",L149*0.02,0)</f>
        <v>0.0375</v>
      </c>
      <c r="O149" s="82" t="n">
        <f aca="false">IF(L149&lt;&gt;"",L149+N149,"")</f>
        <v>1.9125</v>
      </c>
      <c r="P149" s="47" t="n">
        <f aca="false">IF(O149&lt;&gt;"",O149*0.1,"")</f>
        <v>0.19125</v>
      </c>
      <c r="Q149" s="83" t="n">
        <f aca="false">IF(O149&lt;&gt;"",O149+P149,"")</f>
        <v>2.10375</v>
      </c>
      <c r="R149" s="84"/>
    </row>
    <row r="150" customFormat="false" ht="15" hidden="false" customHeight="true" outlineLevel="0" collapsed="false">
      <c r="A150" s="72" t="n">
        <v>5935</v>
      </c>
      <c r="B150" s="73" t="n">
        <v>46192</v>
      </c>
      <c r="C150" s="74" t="n">
        <v>3499</v>
      </c>
      <c r="D150" s="75" t="n">
        <v>50019</v>
      </c>
      <c r="E150" s="52" t="str">
        <f aca="false">IF(D150&lt;&gt;"",IFERROR(VLOOKUP(D150,PROVEEDORES!$A:$B,2,0),"!COD NO ENCONTRADO"),"")</f>
        <v>ANGELITA VILLAR</v>
      </c>
      <c r="F150" s="76" t="str">
        <f aca="false">IF(D150&lt;&gt;"",IFERROR(VLOOKUP(D150,PROVEEDORES!$A:$C,3,0),""),"")</f>
        <v>S</v>
      </c>
      <c r="G150" s="75" t="s">
        <v>233</v>
      </c>
      <c r="H150" s="52" t="str">
        <f aca="false">IF(G150&lt;&gt;"",IFERROR(VLOOKUP(G150,PRODUCTOS!$A:$B,2,0),"!COD NO ENCONTRADO"),"")</f>
        <v>MERLUZA EUROPEA VOLANTA COSTA</v>
      </c>
      <c r="I150" s="77" t="n">
        <v>1</v>
      </c>
      <c r="J150" s="78" t="n">
        <v>14</v>
      </c>
      <c r="K150" s="79" t="n">
        <v>3.8</v>
      </c>
      <c r="L150" s="80" t="n">
        <f aca="false">IF(AND(J150&lt;&gt;"",K150&lt;&gt;""),J150*K150,"")</f>
        <v>53.2</v>
      </c>
      <c r="M150" s="81" t="n">
        <f aca="false">IF(L150&lt;&gt;"",L150*1.1,"")</f>
        <v>58.52</v>
      </c>
      <c r="N150" s="53" t="n">
        <f aca="false">IF(F150="S",L150*0.02,0)</f>
        <v>1.064</v>
      </c>
      <c r="O150" s="82" t="n">
        <f aca="false">IF(L150&lt;&gt;"",L150+N150,"")</f>
        <v>54.264</v>
      </c>
      <c r="P150" s="53" t="n">
        <f aca="false">IF(O150&lt;&gt;"",O150*0.1,"")</f>
        <v>5.4264</v>
      </c>
      <c r="Q150" s="83" t="n">
        <f aca="false">IF(O150&lt;&gt;"",O150+P150,"")</f>
        <v>59.6904</v>
      </c>
      <c r="R150" s="84"/>
    </row>
    <row r="151" customFormat="false" ht="15" hidden="false" customHeight="true" outlineLevel="0" collapsed="false">
      <c r="A151" s="72" t="n">
        <v>5936</v>
      </c>
      <c r="B151" s="85" t="n">
        <v>46192</v>
      </c>
      <c r="C151" s="86" t="n">
        <v>16912</v>
      </c>
      <c r="D151" s="87" t="n">
        <v>50163</v>
      </c>
      <c r="E151" s="46" t="str">
        <f aca="false">IF(D151&lt;&gt;"",IFERROR(VLOOKUP(D151,PROVEEDORES!$A:$B,2,0),"!COD NO ENCONTRADO"),"")</f>
        <v>SUBASTAS RIVERA S.L.</v>
      </c>
      <c r="F151" s="88" t="str">
        <f aca="false">IF(D151&lt;&gt;"",IFERROR(VLOOKUP(D151,PROVEEDORES!$A:$C,3,0),""),"")</f>
        <v>S</v>
      </c>
      <c r="G151" s="87" t="s">
        <v>85</v>
      </c>
      <c r="H151" s="46" t="str">
        <f aca="false">IF(G151&lt;&gt;"",IFERROR(VLOOKUP(G151,PRODUCTOS!$A:$B,2,0),"!COD NO ENCONTRADO"),"")</f>
        <v>BICUDO/ALIGOTE (SBA)</v>
      </c>
      <c r="I151" s="89" t="n">
        <v>1</v>
      </c>
      <c r="J151" s="90" t="n">
        <v>4.5</v>
      </c>
      <c r="K151" s="91" t="n">
        <v>4.9</v>
      </c>
      <c r="L151" s="80" t="n">
        <f aca="false">IF(AND(J151&lt;&gt;"",K151&lt;&gt;""),J151*K151,"")</f>
        <v>22.05</v>
      </c>
      <c r="M151" s="81" t="n">
        <f aca="false">IF(L151&lt;&gt;"",L151*1.1,"")</f>
        <v>24.255</v>
      </c>
      <c r="N151" s="47" t="n">
        <f aca="false">IF(F151="S",L151*0.02,0)</f>
        <v>0.441</v>
      </c>
      <c r="O151" s="82" t="n">
        <f aca="false">IF(L151&lt;&gt;"",L151+N151,"")</f>
        <v>22.491</v>
      </c>
      <c r="P151" s="47" t="n">
        <f aca="false">IF(O151&lt;&gt;"",O151*0.1,"")</f>
        <v>2.2491</v>
      </c>
      <c r="Q151" s="83" t="n">
        <f aca="false">IF(O151&lt;&gt;"",O151+P151,"")</f>
        <v>24.7401</v>
      </c>
      <c r="R151" s="84"/>
    </row>
    <row r="152" customFormat="false" ht="15" hidden="false" customHeight="true" outlineLevel="0" collapsed="false">
      <c r="A152" s="72" t="n">
        <v>5936</v>
      </c>
      <c r="B152" s="73" t="n">
        <v>46192</v>
      </c>
      <c r="C152" s="74" t="n">
        <v>16912</v>
      </c>
      <c r="D152" s="75" t="n">
        <v>50163</v>
      </c>
      <c r="E152" s="52" t="str">
        <f aca="false">IF(D152&lt;&gt;"",IFERROR(VLOOKUP(D152,PROVEEDORES!$A:$B,2,0),"!COD NO ENCONTRADO"),"")</f>
        <v>SUBASTAS RIVERA S.L.</v>
      </c>
      <c r="F152" s="76" t="str">
        <f aca="false">IF(D152&lt;&gt;"",IFERROR(VLOOKUP(D152,PROVEEDORES!$A:$C,3,0),""),"")</f>
        <v>S</v>
      </c>
      <c r="G152" s="75" t="s">
        <v>85</v>
      </c>
      <c r="H152" s="52" t="str">
        <f aca="false">IF(G152&lt;&gt;"",IFERROR(VLOOKUP(G152,PRODUCTOS!$A:$B,2,0),"!COD NO ENCONTRADO"),"")</f>
        <v>BICUDO/ALIGOTE (SBA)</v>
      </c>
      <c r="I152" s="77" t="n">
        <v>1</v>
      </c>
      <c r="J152" s="78" t="n">
        <v>3.1</v>
      </c>
      <c r="K152" s="79" t="n">
        <v>5.8</v>
      </c>
      <c r="L152" s="80" t="n">
        <f aca="false">IF(AND(J152&lt;&gt;"",K152&lt;&gt;""),J152*K152,"")</f>
        <v>17.98</v>
      </c>
      <c r="M152" s="81" t="n">
        <f aca="false">IF(L152&lt;&gt;"",L152*1.1,"")</f>
        <v>19.778</v>
      </c>
      <c r="N152" s="53" t="n">
        <f aca="false">IF(F152="S",L152*0.02,0)</f>
        <v>0.3596</v>
      </c>
      <c r="O152" s="82" t="n">
        <f aca="false">IF(L152&lt;&gt;"",L152+N152,"")</f>
        <v>18.3396</v>
      </c>
      <c r="P152" s="53" t="n">
        <f aca="false">IF(O152&lt;&gt;"",O152*0.1,"")</f>
        <v>1.83396</v>
      </c>
      <c r="Q152" s="83" t="n">
        <f aca="false">IF(O152&lt;&gt;"",O152+P152,"")</f>
        <v>20.17356</v>
      </c>
      <c r="R152" s="84"/>
    </row>
    <row r="153" customFormat="false" ht="15" hidden="false" customHeight="true" outlineLevel="0" collapsed="false">
      <c r="A153" s="72" t="n">
        <v>5936</v>
      </c>
      <c r="B153" s="85" t="n">
        <v>46192</v>
      </c>
      <c r="C153" s="86" t="n">
        <v>16912</v>
      </c>
      <c r="D153" s="87" t="n">
        <v>50163</v>
      </c>
      <c r="E153" s="46" t="str">
        <f aca="false">IF(D153&lt;&gt;"",IFERROR(VLOOKUP(D153,PROVEEDORES!$A:$B,2,0),"!COD NO ENCONTRADO"),"")</f>
        <v>SUBASTAS RIVERA S.L.</v>
      </c>
      <c r="F153" s="88" t="str">
        <f aca="false">IF(D153&lt;&gt;"",IFERROR(VLOOKUP(D153,PROVEEDORES!$A:$C,3,0),""),"")</f>
        <v>S</v>
      </c>
      <c r="G153" s="87" t="s">
        <v>177</v>
      </c>
      <c r="H153" s="46" t="str">
        <f aca="false">IF(G153&lt;&gt;"",IFERROR(VLOOKUP(G153,PRODUCTOS!$A:$B,2,0),"!COD NO ENCONTRADO"),"")</f>
        <v>LENGUADO RIA (SOL)</v>
      </c>
      <c r="I153" s="89" t="n">
        <v>2</v>
      </c>
      <c r="J153" s="90" t="n">
        <v>5.9</v>
      </c>
      <c r="K153" s="91" t="n">
        <v>25.8</v>
      </c>
      <c r="L153" s="80" t="n">
        <f aca="false">IF(AND(J153&lt;&gt;"",K153&lt;&gt;""),J153*K153,"")</f>
        <v>152.22</v>
      </c>
      <c r="M153" s="81" t="n">
        <f aca="false">IF(L153&lt;&gt;"",L153*1.1,"")</f>
        <v>167.442</v>
      </c>
      <c r="N153" s="47" t="n">
        <f aca="false">IF(F153="S",L153*0.02,0)</f>
        <v>3.0444</v>
      </c>
      <c r="O153" s="82" t="n">
        <f aca="false">IF(L153&lt;&gt;"",L153+N153,"")</f>
        <v>155.2644</v>
      </c>
      <c r="P153" s="47" t="n">
        <f aca="false">IF(O153&lt;&gt;"",O153*0.1,"")</f>
        <v>15.52644</v>
      </c>
      <c r="Q153" s="83" t="n">
        <f aca="false">IF(O153&lt;&gt;"",O153+P153,"")</f>
        <v>170.79084</v>
      </c>
      <c r="R153" s="84"/>
    </row>
    <row r="154" customFormat="false" ht="15" hidden="false" customHeight="true" outlineLevel="0" collapsed="false">
      <c r="A154" s="72" t="n">
        <v>5936</v>
      </c>
      <c r="B154" s="73" t="n">
        <v>46192</v>
      </c>
      <c r="C154" s="74" t="n">
        <v>16912</v>
      </c>
      <c r="D154" s="75" t="n">
        <v>50163</v>
      </c>
      <c r="E154" s="52" t="str">
        <f aca="false">IF(D154&lt;&gt;"",IFERROR(VLOOKUP(D154,PROVEEDORES!$A:$B,2,0),"!COD NO ENCONTRADO"),"")</f>
        <v>SUBASTAS RIVERA S.L.</v>
      </c>
      <c r="F154" s="76" t="str">
        <f aca="false">IF(D154&lt;&gt;"",IFERROR(VLOOKUP(D154,PROVEEDORES!$A:$C,3,0),""),"")</f>
        <v>S</v>
      </c>
      <c r="G154" s="75" t="s">
        <v>177</v>
      </c>
      <c r="H154" s="52" t="str">
        <f aca="false">IF(G154&lt;&gt;"",IFERROR(VLOOKUP(G154,PRODUCTOS!$A:$B,2,0),"!COD NO ENCONTRADO"),"")</f>
        <v>LENGUADO RIA (SOL)</v>
      </c>
      <c r="I154" s="77" t="n">
        <v>3</v>
      </c>
      <c r="J154" s="78" t="n">
        <f aca="false">2.5+2.3+2.6</f>
        <v>7.4</v>
      </c>
      <c r="K154" s="79" t="n">
        <v>27.6</v>
      </c>
      <c r="L154" s="80" t="n">
        <f aca="false">IF(AND(J154&lt;&gt;"",K154&lt;&gt;""),J154*K154,"")</f>
        <v>204.24</v>
      </c>
      <c r="M154" s="81" t="n">
        <f aca="false">IF(L154&lt;&gt;"",L154*1.1,"")</f>
        <v>224.664</v>
      </c>
      <c r="N154" s="53" t="n">
        <f aca="false">IF(F154="S",L154*0.02,0)</f>
        <v>4.0848</v>
      </c>
      <c r="O154" s="82" t="n">
        <f aca="false">IF(L154&lt;&gt;"",L154+N154,"")</f>
        <v>208.3248</v>
      </c>
      <c r="P154" s="53" t="n">
        <f aca="false">IF(O154&lt;&gt;"",O154*0.1,"")</f>
        <v>20.83248</v>
      </c>
      <c r="Q154" s="83" t="n">
        <f aca="false">IF(O154&lt;&gt;"",O154+P154,"")</f>
        <v>229.15728</v>
      </c>
      <c r="R154" s="84"/>
    </row>
    <row r="155" customFormat="false" ht="15" hidden="false" customHeight="true" outlineLevel="0" collapsed="false">
      <c r="A155" s="72" t="n">
        <v>5936</v>
      </c>
      <c r="B155" s="73" t="n">
        <v>46192</v>
      </c>
      <c r="C155" s="74" t="n">
        <v>16912</v>
      </c>
      <c r="D155" s="75" t="n">
        <v>50163</v>
      </c>
      <c r="E155" s="52" t="str">
        <f aca="false">IF(D155&lt;&gt;"",IFERROR(VLOOKUP(D155,PROVEEDORES!$A:$B,2,0),"!COD NO ENCONTRADO"),"")</f>
        <v>SUBASTAS RIVERA S.L.</v>
      </c>
      <c r="F155" s="76" t="str">
        <f aca="false">IF(D155&lt;&gt;"",IFERROR(VLOOKUP(D155,PROVEEDORES!$A:$C,3,0),""),"")</f>
        <v>S</v>
      </c>
      <c r="G155" s="75" t="s">
        <v>151</v>
      </c>
      <c r="H155" s="52" t="str">
        <f aca="false">IF(G155&lt;&gt;"",IFERROR(VLOOKUP(G155,PRODUCTOS!$A:$B,2,0),"!COD NO ENCONTRADO"),"")</f>
        <v>ESCACHO/ ARETE/ RUBIO (GUR)</v>
      </c>
      <c r="I155" s="77" t="n">
        <v>7</v>
      </c>
      <c r="J155" s="78" t="n">
        <f aca="false">7.75+12.5+14+14.5+13.25+14.5+10.75</f>
        <v>87.25</v>
      </c>
      <c r="K155" s="79" t="n">
        <v>0.15</v>
      </c>
      <c r="L155" s="80" t="n">
        <f aca="false">IF(AND(J155&lt;&gt;"",K155&lt;&gt;""),J155*K155,"")</f>
        <v>13.0875</v>
      </c>
      <c r="M155" s="81" t="n">
        <f aca="false">IF(L155&lt;&gt;"",L155*1.1,"")</f>
        <v>14.39625</v>
      </c>
      <c r="N155" s="53" t="n">
        <f aca="false">IF(F155="S",L155*0.02,0)</f>
        <v>0.26175</v>
      </c>
      <c r="O155" s="82" t="n">
        <f aca="false">IF(L155&lt;&gt;"",L155+N155,"")</f>
        <v>13.34925</v>
      </c>
      <c r="P155" s="53" t="n">
        <f aca="false">IF(O155&lt;&gt;"",O155*0.1,"")</f>
        <v>1.334925</v>
      </c>
      <c r="Q155" s="83" t="n">
        <f aca="false">IF(O155&lt;&gt;"",O155+P155,"")</f>
        <v>14.684175</v>
      </c>
      <c r="R155" s="84"/>
    </row>
    <row r="156" customFormat="false" ht="15" hidden="false" customHeight="true" outlineLevel="0" collapsed="false">
      <c r="A156" s="72" t="n">
        <v>5936</v>
      </c>
      <c r="B156" s="85" t="n">
        <v>46192</v>
      </c>
      <c r="C156" s="86" t="n">
        <v>16912</v>
      </c>
      <c r="D156" s="87" t="n">
        <v>50163</v>
      </c>
      <c r="E156" s="46" t="str">
        <f aca="false">IF(D156&lt;&gt;"",IFERROR(VLOOKUP(D156,PROVEEDORES!$A:$B,2,0),"!COD NO ENCONTRADO"),"")</f>
        <v>SUBASTAS RIVERA S.L.</v>
      </c>
      <c r="F156" s="88" t="str">
        <f aca="false">IF(D156&lt;&gt;"",IFERROR(VLOOKUP(D156,PROVEEDORES!$A:$C,3,0),""),"")</f>
        <v>S</v>
      </c>
      <c r="G156" s="87" t="s">
        <v>133</v>
      </c>
      <c r="H156" s="46" t="str">
        <f aca="false">IF(G156&lt;&gt;"",IFERROR(VLOOKUP(G156,PRODUCTOS!$A:$B,2,0),"!COD NO ENCONTRADO"),"")</f>
        <v>CINTAS/ PEZ CINTA (CBC)</v>
      </c>
      <c r="I156" s="89" t="n">
        <v>2</v>
      </c>
      <c r="J156" s="90" t="n">
        <f aca="false">5.75+5.5</f>
        <v>11.25</v>
      </c>
      <c r="K156" s="91" t="n">
        <v>2.7</v>
      </c>
      <c r="L156" s="80" t="n">
        <f aca="false">IF(AND(J156&lt;&gt;"",K156&lt;&gt;""),J156*K156,"")</f>
        <v>30.375</v>
      </c>
      <c r="M156" s="81" t="n">
        <f aca="false">IF(L156&lt;&gt;"",L156*1.1,"")</f>
        <v>33.4125</v>
      </c>
      <c r="N156" s="47" t="n">
        <f aca="false">IF(F156="S",L156*0.02,0)</f>
        <v>0.6075</v>
      </c>
      <c r="O156" s="82" t="n">
        <f aca="false">IF(L156&lt;&gt;"",L156+N156,"")</f>
        <v>30.9825</v>
      </c>
      <c r="P156" s="47" t="n">
        <f aca="false">IF(O156&lt;&gt;"",O156*0.1,"")</f>
        <v>3.09825</v>
      </c>
      <c r="Q156" s="83" t="n">
        <f aca="false">IF(O156&lt;&gt;"",O156+P156,"")</f>
        <v>34.08075</v>
      </c>
      <c r="R156" s="84"/>
    </row>
    <row r="157" customFormat="false" ht="15" hidden="false" customHeight="true" outlineLevel="0" collapsed="false">
      <c r="A157" s="72" t="n">
        <v>5936</v>
      </c>
      <c r="B157" s="73" t="n">
        <v>46192</v>
      </c>
      <c r="C157" s="74" t="n">
        <v>16912</v>
      </c>
      <c r="D157" s="75" t="n">
        <v>50163</v>
      </c>
      <c r="E157" s="52" t="str">
        <f aca="false">IF(D157&lt;&gt;"",IFERROR(VLOOKUP(D157,PROVEEDORES!$A:$B,2,0),"!COD NO ENCONTRADO"),"")</f>
        <v>SUBASTAS RIVERA S.L.</v>
      </c>
      <c r="F157" s="76" t="str">
        <f aca="false">IF(D157&lt;&gt;"",IFERROR(VLOOKUP(D157,PROVEEDORES!$A:$C,3,0),""),"")</f>
        <v>S</v>
      </c>
      <c r="G157" s="75" t="s">
        <v>103</v>
      </c>
      <c r="H157" s="52" t="str">
        <f aca="false">IF(G157&lt;&gt;"",IFERROR(VLOOKUP(G157,PRODUCTOS!$A:$B,2,0),"!COD NO ENCONTRADO"),"")</f>
        <v>CABRAS/ GALLINETA (BRF)</v>
      </c>
      <c r="I157" s="77" t="n">
        <v>2</v>
      </c>
      <c r="J157" s="78" t="n">
        <f aca="false">6.6+4.9</f>
        <v>11.5</v>
      </c>
      <c r="K157" s="79" t="n">
        <v>11.8</v>
      </c>
      <c r="L157" s="80" t="n">
        <f aca="false">IF(AND(J157&lt;&gt;"",K157&lt;&gt;""),J157*K157,"")</f>
        <v>135.7</v>
      </c>
      <c r="M157" s="81" t="n">
        <f aca="false">IF(L157&lt;&gt;"",L157*1.1,"")</f>
        <v>149.27</v>
      </c>
      <c r="N157" s="53" t="n">
        <f aca="false">IF(F157="S",L157*0.02,0)</f>
        <v>2.714</v>
      </c>
      <c r="O157" s="82" t="n">
        <f aca="false">IF(L157&lt;&gt;"",L157+N157,"")</f>
        <v>138.414</v>
      </c>
      <c r="P157" s="53" t="n">
        <f aca="false">IF(O157&lt;&gt;"",O157*0.1,"")</f>
        <v>13.8414</v>
      </c>
      <c r="Q157" s="83" t="n">
        <f aca="false">IF(O157&lt;&gt;"",O157+P157,"")</f>
        <v>152.2554</v>
      </c>
      <c r="R157" s="84"/>
    </row>
    <row r="158" customFormat="false" ht="15" hidden="false" customHeight="true" outlineLevel="0" collapsed="false">
      <c r="A158" s="72" t="n">
        <v>5936</v>
      </c>
      <c r="B158" s="85" t="n">
        <v>46192</v>
      </c>
      <c r="C158" s="86" t="n">
        <v>16912</v>
      </c>
      <c r="D158" s="87" t="n">
        <v>50163</v>
      </c>
      <c r="E158" s="46" t="str">
        <f aca="false">IF(D158&lt;&gt;"",IFERROR(VLOOKUP(D158,PROVEEDORES!$A:$B,2,0),"!COD NO ENCONTRADO"),"")</f>
        <v>SUBASTAS RIVERA S.L.</v>
      </c>
      <c r="F158" s="88" t="str">
        <f aca="false">IF(D158&lt;&gt;"",IFERROR(VLOOKUP(D158,PROVEEDORES!$A:$C,3,0),""),"")</f>
        <v>S</v>
      </c>
      <c r="G158" s="87" t="s">
        <v>103</v>
      </c>
      <c r="H158" s="46" t="str">
        <f aca="false">IF(G158&lt;&gt;"",IFERROR(VLOOKUP(G158,PRODUCTOS!$A:$B,2,0),"!COD NO ENCONTRADO"),"")</f>
        <v>CABRAS/ GALLINETA (BRF)</v>
      </c>
      <c r="I158" s="89" t="n">
        <v>2</v>
      </c>
      <c r="J158" s="90" t="n">
        <v>14.5</v>
      </c>
      <c r="K158" s="91" t="n">
        <v>10.8</v>
      </c>
      <c r="L158" s="80" t="n">
        <f aca="false">IF(AND(J158&lt;&gt;"",K158&lt;&gt;""),J158*K158,"")</f>
        <v>156.6</v>
      </c>
      <c r="M158" s="81" t="n">
        <f aca="false">IF(L158&lt;&gt;"",L158*1.1,"")</f>
        <v>172.26</v>
      </c>
      <c r="N158" s="47" t="n">
        <f aca="false">IF(F158="S",L158*0.02,0)</f>
        <v>3.132</v>
      </c>
      <c r="O158" s="82" t="n">
        <f aca="false">IF(L158&lt;&gt;"",L158+N158,"")</f>
        <v>159.732</v>
      </c>
      <c r="P158" s="47" t="n">
        <f aca="false">IF(O158&lt;&gt;"",O158*0.1,"")</f>
        <v>15.9732</v>
      </c>
      <c r="Q158" s="83" t="n">
        <f aca="false">IF(O158&lt;&gt;"",O158+P158,"")</f>
        <v>175.7052</v>
      </c>
      <c r="R158" s="84"/>
    </row>
    <row r="159" customFormat="false" ht="15" hidden="false" customHeight="true" outlineLevel="0" collapsed="false">
      <c r="A159" s="72" t="n">
        <v>5936</v>
      </c>
      <c r="B159" s="73" t="n">
        <v>46192</v>
      </c>
      <c r="C159" s="74"/>
      <c r="D159" s="75" t="n">
        <v>50163</v>
      </c>
      <c r="E159" s="52" t="str">
        <f aca="false">IF(D159&lt;&gt;"",IFERROR(VLOOKUP(D159,PROVEEDORES!$A:$B,2,0),"!COD NO ENCONTRADO"),"")</f>
        <v>SUBASTAS RIVERA S.L.</v>
      </c>
      <c r="F159" s="76" t="str">
        <f aca="false">IF(D159&lt;&gt;"",IFERROR(VLOOKUP(D159,PROVEEDORES!$A:$C,3,0),""),"")</f>
        <v>S</v>
      </c>
      <c r="G159" s="75" t="s">
        <v>216</v>
      </c>
      <c r="H159" s="52" t="str">
        <f aca="false">IF(G159&lt;&gt;"",IFERROR(VLOOKUP(G159,PRODUCTOS!$A:$B,2,0),"!COD NO ENCONTRADO"),"")</f>
        <v>MERLUZA EUROPEA PINCHO COSTA</v>
      </c>
      <c r="I159" s="77" t="n">
        <v>1</v>
      </c>
      <c r="J159" s="78" t="n">
        <v>14.25</v>
      </c>
      <c r="K159" s="79" t="n">
        <v>5.8</v>
      </c>
      <c r="L159" s="80" t="n">
        <f aca="false">IF(AND(J159&lt;&gt;"",K159&lt;&gt;""),J159*K159,"")</f>
        <v>82.65</v>
      </c>
      <c r="M159" s="81" t="n">
        <f aca="false">IF(L159&lt;&gt;"",L159*1.1,"")</f>
        <v>90.915</v>
      </c>
      <c r="N159" s="53" t="n">
        <f aca="false">IF(F159="S",L159*0.02,0)</f>
        <v>1.653</v>
      </c>
      <c r="O159" s="82" t="n">
        <f aca="false">IF(L159&lt;&gt;"",L159+N159,"")</f>
        <v>84.303</v>
      </c>
      <c r="P159" s="53" t="n">
        <f aca="false">IF(O159&lt;&gt;"",O159*0.1,"")</f>
        <v>8.4303</v>
      </c>
      <c r="Q159" s="83" t="n">
        <f aca="false">IF(O159&lt;&gt;"",O159+P159,"")</f>
        <v>92.7333</v>
      </c>
      <c r="R159" s="84"/>
    </row>
    <row r="160" customFormat="false" ht="15" hidden="false" customHeight="true" outlineLevel="0" collapsed="false">
      <c r="A160" s="72" t="n">
        <v>5936</v>
      </c>
      <c r="B160" s="85" t="n">
        <v>46192</v>
      </c>
      <c r="C160" s="86" t="n">
        <v>16912</v>
      </c>
      <c r="D160" s="87" t="n">
        <v>50163</v>
      </c>
      <c r="E160" s="46" t="str">
        <f aca="false">IF(D160&lt;&gt;"",IFERROR(VLOOKUP(D160,PROVEEDORES!$A:$B,2,0),"!COD NO ENCONTRADO"),"")</f>
        <v>SUBASTAS RIVERA S.L.</v>
      </c>
      <c r="F160" s="88" t="str">
        <f aca="false">IF(D160&lt;&gt;"",IFERROR(VLOOKUP(D160,PROVEEDORES!$A:$C,3,0),""),"")</f>
        <v>S</v>
      </c>
      <c r="G160" s="87" t="s">
        <v>151</v>
      </c>
      <c r="H160" s="46" t="str">
        <f aca="false">IF(G160&lt;&gt;"",IFERROR(VLOOKUP(G160,PRODUCTOS!$A:$B,2,0),"!COD NO ENCONTRADO"),"")</f>
        <v>ESCACHO/ ARETE/ RUBIO (GUR)</v>
      </c>
      <c r="I160" s="89" t="n">
        <v>4</v>
      </c>
      <c r="J160" s="90" t="n">
        <f aca="false">6+13.5+11.75+9</f>
        <v>40.25</v>
      </c>
      <c r="K160" s="91" t="n">
        <v>0.3</v>
      </c>
      <c r="L160" s="80" t="n">
        <f aca="false">IF(AND(J160&lt;&gt;"",K160&lt;&gt;""),J160*K160,"")</f>
        <v>12.075</v>
      </c>
      <c r="M160" s="81" t="n">
        <f aca="false">IF(L160&lt;&gt;"",L160*1.1,"")</f>
        <v>13.2825</v>
      </c>
      <c r="N160" s="47" t="n">
        <f aca="false">IF(F160="S",L160*0.02,0)</f>
        <v>0.2415</v>
      </c>
      <c r="O160" s="82" t="n">
        <f aca="false">IF(L160&lt;&gt;"",L160+N160,"")</f>
        <v>12.3165</v>
      </c>
      <c r="P160" s="47" t="n">
        <f aca="false">IF(O160&lt;&gt;"",O160*0.1,"")</f>
        <v>1.23165</v>
      </c>
      <c r="Q160" s="83" t="n">
        <f aca="false">IF(O160&lt;&gt;"",O160+P160,"")</f>
        <v>13.54815</v>
      </c>
      <c r="R160" s="84"/>
    </row>
    <row r="161" customFormat="false" ht="15" hidden="false" customHeight="true" outlineLevel="0" collapsed="false">
      <c r="A161" s="72" t="n">
        <v>5936</v>
      </c>
      <c r="B161" s="73" t="n">
        <v>46192</v>
      </c>
      <c r="C161" s="74" t="n">
        <v>16912</v>
      </c>
      <c r="D161" s="75" t="n">
        <v>50163</v>
      </c>
      <c r="E161" s="52" t="str">
        <f aca="false">IF(D161&lt;&gt;"",IFERROR(VLOOKUP(D161,PROVEEDORES!$A:$B,2,0),"!COD NO ENCONTRADO"),"")</f>
        <v>SUBASTAS RIVERA S.L.</v>
      </c>
      <c r="F161" s="76" t="str">
        <f aca="false">IF(D161&lt;&gt;"",IFERROR(VLOOKUP(D161,PROVEEDORES!$A:$C,3,0),""),"")</f>
        <v>S</v>
      </c>
      <c r="G161" s="75" t="s">
        <v>133</v>
      </c>
      <c r="H161" s="52" t="str">
        <f aca="false">IF(G161&lt;&gt;"",IFERROR(VLOOKUP(G161,PRODUCTOS!$A:$B,2,0),"!COD NO ENCONTRADO"),"")</f>
        <v>CINTAS/ PEZ CINTA (CBC)</v>
      </c>
      <c r="I161" s="77" t="n">
        <v>1</v>
      </c>
      <c r="J161" s="78" t="n">
        <v>7.5</v>
      </c>
      <c r="K161" s="79" t="n">
        <v>2.5</v>
      </c>
      <c r="L161" s="80" t="n">
        <f aca="false">IF(AND(J161&lt;&gt;"",K161&lt;&gt;""),J161*K161,"")</f>
        <v>18.75</v>
      </c>
      <c r="M161" s="81" t="n">
        <f aca="false">IF(L161&lt;&gt;"",L161*1.1,"")</f>
        <v>20.625</v>
      </c>
      <c r="N161" s="53" t="n">
        <f aca="false">IF(F161="S",L161*0.02,0)</f>
        <v>0.375</v>
      </c>
      <c r="O161" s="82" t="n">
        <f aca="false">IF(L161&lt;&gt;"",L161+N161,"")</f>
        <v>19.125</v>
      </c>
      <c r="P161" s="53" t="n">
        <f aca="false">IF(O161&lt;&gt;"",O161*0.1,"")</f>
        <v>1.9125</v>
      </c>
      <c r="Q161" s="83" t="n">
        <f aca="false">IF(O161&lt;&gt;"",O161+P161,"")</f>
        <v>21.0375</v>
      </c>
      <c r="R161" s="84"/>
    </row>
    <row r="162" customFormat="false" ht="15" hidden="false" customHeight="true" outlineLevel="0" collapsed="false">
      <c r="A162" s="72" t="n">
        <v>5937</v>
      </c>
      <c r="B162" s="85" t="n">
        <v>46192</v>
      </c>
      <c r="C162" s="86" t="n">
        <v>32011</v>
      </c>
      <c r="D162" s="87" t="n">
        <v>50106</v>
      </c>
      <c r="E162" s="46" t="str">
        <f aca="false">IF(D162&lt;&gt;"",IFERROR(VLOOKUP(D162,PROVEEDORES!$A:$B,2,0),"!COD NO ENCONTRADO"),"")</f>
        <v>SONIA VENTAS S.L</v>
      </c>
      <c r="F162" s="88" t="str">
        <f aca="false">IF(D162&lt;&gt;"",IFERROR(VLOOKUP(D162,PROVEEDORES!$A:$C,3,0),""),"")</f>
        <v>S</v>
      </c>
      <c r="G162" s="87" t="s">
        <v>216</v>
      </c>
      <c r="H162" s="46" t="str">
        <f aca="false">IF(G162&lt;&gt;"",IFERROR(VLOOKUP(G162,PRODUCTOS!$A:$B,2,0),"!COD NO ENCONTRADO"),"")</f>
        <v>MERLUZA EUROPEA PINCHO COSTA</v>
      </c>
      <c r="I162" s="89" t="n">
        <v>1</v>
      </c>
      <c r="J162" s="90" t="n">
        <v>9.4</v>
      </c>
      <c r="K162" s="91" t="n">
        <v>10.3</v>
      </c>
      <c r="L162" s="80" t="n">
        <f aca="false">IF(AND(J162&lt;&gt;"",K162&lt;&gt;""),J162*K162,"")</f>
        <v>96.82</v>
      </c>
      <c r="M162" s="81" t="n">
        <f aca="false">IF(L162&lt;&gt;"",L162*1.1,"")</f>
        <v>106.502</v>
      </c>
      <c r="N162" s="47" t="n">
        <f aca="false">IF(F162="S",L162*0.02,0)</f>
        <v>1.9364</v>
      </c>
      <c r="O162" s="82" t="n">
        <f aca="false">IF(L162&lt;&gt;"",L162+N162,"")</f>
        <v>98.7564</v>
      </c>
      <c r="P162" s="47" t="n">
        <f aca="false">IF(O162&lt;&gt;"",O162*0.1,"")</f>
        <v>9.87564</v>
      </c>
      <c r="Q162" s="83" t="n">
        <f aca="false">IF(O162&lt;&gt;"",O162+P162,"")</f>
        <v>108.63204</v>
      </c>
      <c r="R162" s="84"/>
    </row>
    <row r="163" customFormat="false" ht="15" hidden="false" customHeight="true" outlineLevel="0" collapsed="false">
      <c r="A163" s="72" t="n">
        <v>5937</v>
      </c>
      <c r="B163" s="73" t="n">
        <v>46192</v>
      </c>
      <c r="C163" s="74" t="n">
        <v>32011</v>
      </c>
      <c r="D163" s="75" t="n">
        <v>50106</v>
      </c>
      <c r="E163" s="52" t="str">
        <f aca="false">IF(D163&lt;&gt;"",IFERROR(VLOOKUP(D163,PROVEEDORES!$A:$B,2,0),"!COD NO ENCONTRADO"),"")</f>
        <v>SONIA VENTAS S.L</v>
      </c>
      <c r="F163" s="76" t="str">
        <f aca="false">IF(D163&lt;&gt;"",IFERROR(VLOOKUP(D163,PROVEEDORES!$A:$C,3,0),""),"")</f>
        <v>S</v>
      </c>
      <c r="G163" s="75" t="s">
        <v>103</v>
      </c>
      <c r="H163" s="52" t="str">
        <f aca="false">IF(G163&lt;&gt;"",IFERROR(VLOOKUP(G163,PRODUCTOS!$A:$B,2,0),"!COD NO ENCONTRADO"),"")</f>
        <v>CABRAS/ GALLINETA (BRF)</v>
      </c>
      <c r="I163" s="77" t="n">
        <v>1</v>
      </c>
      <c r="J163" s="78" t="n">
        <v>13.25</v>
      </c>
      <c r="K163" s="79" t="n">
        <v>2.6</v>
      </c>
      <c r="L163" s="80" t="n">
        <f aca="false">IF(AND(J163&lt;&gt;"",K163&lt;&gt;""),J163*K163,"")</f>
        <v>34.45</v>
      </c>
      <c r="M163" s="81" t="n">
        <f aca="false">IF(L163&lt;&gt;"",L163*1.1,"")</f>
        <v>37.895</v>
      </c>
      <c r="N163" s="53" t="n">
        <f aca="false">IF(F163="S",L163*0.02,0)</f>
        <v>0.689</v>
      </c>
      <c r="O163" s="82" t="n">
        <f aca="false">IF(L163&lt;&gt;"",L163+N163,"")</f>
        <v>35.139</v>
      </c>
      <c r="P163" s="53" t="n">
        <f aca="false">IF(O163&lt;&gt;"",O163*0.1,"")</f>
        <v>3.5139</v>
      </c>
      <c r="Q163" s="83" t="n">
        <f aca="false">IF(O163&lt;&gt;"",O163+P163,"")</f>
        <v>38.6529</v>
      </c>
      <c r="R163" s="84"/>
    </row>
    <row r="164" customFormat="false" ht="15" hidden="false" customHeight="true" outlineLevel="0" collapsed="false">
      <c r="A164" s="72" t="n">
        <v>5937</v>
      </c>
      <c r="B164" s="73" t="n">
        <v>46192</v>
      </c>
      <c r="C164" s="86" t="n">
        <v>32011</v>
      </c>
      <c r="D164" s="87" t="n">
        <v>50106</v>
      </c>
      <c r="E164" s="46" t="str">
        <f aca="false">IF(D164&lt;&gt;"",IFERROR(VLOOKUP(D164,PROVEEDORES!$A:$B,2,0),"!COD NO ENCONTRADO"),"")</f>
        <v>SONIA VENTAS S.L</v>
      </c>
      <c r="F164" s="88" t="str">
        <f aca="false">IF(D164&lt;&gt;"",IFERROR(VLOOKUP(D164,PROVEEDORES!$A:$C,3,0),""),"")</f>
        <v>S</v>
      </c>
      <c r="G164" s="87" t="s">
        <v>103</v>
      </c>
      <c r="H164" s="46" t="str">
        <f aca="false">IF(G164&lt;&gt;"",IFERROR(VLOOKUP(G164,PRODUCTOS!$A:$B,2,0),"!COD NO ENCONTRADO"),"")</f>
        <v>CABRAS/ GALLINETA (BRF)</v>
      </c>
      <c r="I164" s="89" t="n">
        <v>1</v>
      </c>
      <c r="J164" s="90" t="n">
        <v>12.2</v>
      </c>
      <c r="K164" s="91" t="n">
        <v>2.1</v>
      </c>
      <c r="L164" s="80" t="n">
        <f aca="false">IF(AND(J164&lt;&gt;"",K164&lt;&gt;""),J164*K164,"")</f>
        <v>25.62</v>
      </c>
      <c r="M164" s="81" t="n">
        <f aca="false">IF(L164&lt;&gt;"",L164*1.1,"")</f>
        <v>28.182</v>
      </c>
      <c r="N164" s="47" t="n">
        <f aca="false">IF(F164="S",L164*0.02,0)</f>
        <v>0.5124</v>
      </c>
      <c r="O164" s="82" t="n">
        <f aca="false">IF(L164&lt;&gt;"",L164+N164,"")</f>
        <v>26.1324</v>
      </c>
      <c r="P164" s="47" t="n">
        <f aca="false">IF(O164&lt;&gt;"",O164*0.1,"")</f>
        <v>2.61324</v>
      </c>
      <c r="Q164" s="83" t="n">
        <f aca="false">IF(O164&lt;&gt;"",O164+P164,"")</f>
        <v>28.74564</v>
      </c>
      <c r="R164" s="84"/>
    </row>
    <row r="165" customFormat="false" ht="15" hidden="false" customHeight="true" outlineLevel="0" collapsed="false">
      <c r="A165" s="72" t="n">
        <v>5938</v>
      </c>
      <c r="B165" s="85" t="n">
        <v>46192</v>
      </c>
      <c r="C165" s="86" t="n">
        <v>6373</v>
      </c>
      <c r="D165" s="87" t="n">
        <v>50020</v>
      </c>
      <c r="E165" s="46" t="str">
        <f aca="false">IF(D165&lt;&gt;"",IFERROR(VLOOKUP(D165,PROVEEDORES!$A:$B,2,0),"!COD NO ENCONTRADO"),"")</f>
        <v>PACO MOINELO</v>
      </c>
      <c r="F165" s="88" t="str">
        <f aca="false">IF(D165&lt;&gt;"",IFERROR(VLOOKUP(D165,PROVEEDORES!$A:$C,3,0),""),"")</f>
        <v>S</v>
      </c>
      <c r="G165" s="87" t="s">
        <v>216</v>
      </c>
      <c r="H165" s="46" t="str">
        <f aca="false">IF(G165&lt;&gt;"",IFERROR(VLOOKUP(G165,PRODUCTOS!$A:$B,2,0),"!COD NO ENCONTRADO"),"")</f>
        <v>MERLUZA EUROPEA PINCHO COSTA</v>
      </c>
      <c r="I165" s="89" t="n">
        <v>1</v>
      </c>
      <c r="J165" s="90" t="n">
        <v>14.5</v>
      </c>
      <c r="K165" s="91" t="n">
        <v>9.8</v>
      </c>
      <c r="L165" s="80" t="n">
        <f aca="false">IF(AND(J165&lt;&gt;"",K165&lt;&gt;""),J165*K165,"")</f>
        <v>142.1</v>
      </c>
      <c r="M165" s="81" t="n">
        <f aca="false">IF(L165&lt;&gt;"",L165*1.1,"")</f>
        <v>156.31</v>
      </c>
      <c r="N165" s="47" t="n">
        <f aca="false">IF(F165="S",L165*0.02,0)</f>
        <v>2.842</v>
      </c>
      <c r="O165" s="82" t="n">
        <f aca="false">IF(L165&lt;&gt;"",L165+N165,"")</f>
        <v>144.942</v>
      </c>
      <c r="P165" s="47" t="n">
        <f aca="false">IF(O165&lt;&gt;"",O165*0.1,"")</f>
        <v>14.4942</v>
      </c>
      <c r="Q165" s="83" t="n">
        <f aca="false">IF(O165&lt;&gt;"",O165+P165,"")</f>
        <v>159.4362</v>
      </c>
      <c r="R165" s="84"/>
    </row>
    <row r="166" customFormat="false" ht="15" hidden="false" customHeight="true" outlineLevel="0" collapsed="false">
      <c r="A166" s="72" t="n">
        <v>5938</v>
      </c>
      <c r="B166" s="73" t="n">
        <v>46192</v>
      </c>
      <c r="C166" s="74" t="n">
        <v>6373</v>
      </c>
      <c r="D166" s="75" t="n">
        <v>50020</v>
      </c>
      <c r="E166" s="52" t="str">
        <f aca="false">IF(D166&lt;&gt;"",IFERROR(VLOOKUP(D166,PROVEEDORES!$A:$B,2,0),"!COD NO ENCONTRADO"),"")</f>
        <v>PACO MOINELO</v>
      </c>
      <c r="F166" s="76" t="str">
        <f aca="false">IF(D166&lt;&gt;"",IFERROR(VLOOKUP(D166,PROVEEDORES!$A:$C,3,0),""),"")</f>
        <v>S</v>
      </c>
      <c r="G166" s="75" t="s">
        <v>216</v>
      </c>
      <c r="H166" s="52" t="str">
        <f aca="false">IF(G166&lt;&gt;"",IFERROR(VLOOKUP(G166,PRODUCTOS!$A:$B,2,0),"!COD NO ENCONTRADO"),"")</f>
        <v>MERLUZA EUROPEA PINCHO COSTA</v>
      </c>
      <c r="I166" s="77" t="n">
        <v>1</v>
      </c>
      <c r="J166" s="78" t="n">
        <v>14.5</v>
      </c>
      <c r="K166" s="79" t="n">
        <v>5.4</v>
      </c>
      <c r="L166" s="80" t="n">
        <f aca="false">IF(AND(J166&lt;&gt;"",K166&lt;&gt;""),J166*K166,"")</f>
        <v>78.3</v>
      </c>
      <c r="M166" s="81" t="n">
        <f aca="false">IF(L166&lt;&gt;"",L166*1.1,"")</f>
        <v>86.13</v>
      </c>
      <c r="N166" s="53" t="n">
        <f aca="false">IF(F166="S",L166*0.02,0)</f>
        <v>1.566</v>
      </c>
      <c r="O166" s="82" t="n">
        <f aca="false">IF(L166&lt;&gt;"",L166+N166,"")</f>
        <v>79.866</v>
      </c>
      <c r="P166" s="53" t="n">
        <f aca="false">IF(O166&lt;&gt;"",O166*0.1,"")</f>
        <v>7.9866</v>
      </c>
      <c r="Q166" s="83" t="n">
        <f aca="false">IF(O166&lt;&gt;"",O166+P166,"")</f>
        <v>87.8526</v>
      </c>
      <c r="R166" s="84"/>
    </row>
    <row r="167" customFormat="false" ht="15" hidden="false" customHeight="true" outlineLevel="0" collapsed="false">
      <c r="A167" s="72" t="n">
        <v>5938</v>
      </c>
      <c r="B167" s="85" t="n">
        <v>46192</v>
      </c>
      <c r="C167" s="86" t="n">
        <v>6373</v>
      </c>
      <c r="D167" s="87" t="n">
        <v>50020</v>
      </c>
      <c r="E167" s="46" t="str">
        <f aca="false">IF(D167&lt;&gt;"",IFERROR(VLOOKUP(D167,PROVEEDORES!$A:$B,2,0),"!COD NO ENCONTRADO"),"")</f>
        <v>PACO MOINELO</v>
      </c>
      <c r="F167" s="88" t="str">
        <f aca="false">IF(D167&lt;&gt;"",IFERROR(VLOOKUP(D167,PROVEEDORES!$A:$C,3,0),""),"")</f>
        <v>S</v>
      </c>
      <c r="G167" s="87" t="s">
        <v>216</v>
      </c>
      <c r="H167" s="52" t="str">
        <f aca="false">IF(G167&lt;&gt;"",IFERROR(VLOOKUP(G167,PRODUCTOS!$A:$B,2,0),"!COD NO ENCONTRADO"),"")</f>
        <v>MERLUZA EUROPEA PINCHO COSTA</v>
      </c>
      <c r="I167" s="89" t="n">
        <v>1</v>
      </c>
      <c r="J167" s="90" t="n">
        <v>13.25</v>
      </c>
      <c r="K167" s="91" t="n">
        <v>5</v>
      </c>
      <c r="L167" s="80" t="n">
        <f aca="false">IF(AND(J167&lt;&gt;"",K167&lt;&gt;""),J167*K167,"")</f>
        <v>66.25</v>
      </c>
      <c r="M167" s="81" t="n">
        <f aca="false">IF(L167&lt;&gt;"",L167*1.1,"")</f>
        <v>72.875</v>
      </c>
      <c r="N167" s="47" t="n">
        <f aca="false">IF(F167="S",L167*0.02,0)</f>
        <v>1.325</v>
      </c>
      <c r="O167" s="82" t="n">
        <f aca="false">IF(L167&lt;&gt;"",L167+N167,"")</f>
        <v>67.575</v>
      </c>
      <c r="P167" s="47" t="n">
        <f aca="false">IF(O167&lt;&gt;"",O167*0.1,"")</f>
        <v>6.7575</v>
      </c>
      <c r="Q167" s="83" t="n">
        <f aca="false">IF(O167&lt;&gt;"",O167+P167,"")</f>
        <v>74.3325</v>
      </c>
      <c r="R167" s="84"/>
    </row>
    <row r="168" customFormat="false" ht="15" hidden="false" customHeight="true" outlineLevel="0" collapsed="false">
      <c r="A168" s="72" t="n">
        <v>5939</v>
      </c>
      <c r="B168" s="73" t="n">
        <v>46192</v>
      </c>
      <c r="C168" s="74"/>
      <c r="D168" s="75" t="n">
        <v>50048</v>
      </c>
      <c r="E168" s="52" t="str">
        <f aca="false">IF(D168&lt;&gt;"",IFERROR(VLOOKUP(D168,PROVEEDORES!$A:$B,2,0),"!COD NO ENCONTRADO"),"")</f>
        <v>JOSE LUIS CORREA KESSLER S.L.</v>
      </c>
      <c r="F168" s="76" t="str">
        <f aca="false">IF(D168&lt;&gt;"",IFERROR(VLOOKUP(D168,PROVEEDORES!$A:$C,3,0),""),"")</f>
        <v>N</v>
      </c>
      <c r="G168" s="75" t="s">
        <v>179</v>
      </c>
      <c r="H168" s="52" t="str">
        <f aca="false">IF(G168&lt;&gt;"",IFERROR(VLOOKUP(G168,PRODUCTOS!$A:$B,2,0),"!COD NO ENCONTRADO"),"")</f>
        <v>LIRIO/ BACALADILLA/ PERLA (WHB)</v>
      </c>
      <c r="I168" s="77" t="n">
        <v>7</v>
      </c>
      <c r="J168" s="78" t="n">
        <v>21</v>
      </c>
      <c r="K168" s="79" t="n">
        <v>1.85</v>
      </c>
      <c r="L168" s="80" t="n">
        <f aca="false">IF(AND(J168&lt;&gt;"",K168&lt;&gt;""),J168*K168,"")</f>
        <v>38.85</v>
      </c>
      <c r="M168" s="81" t="n">
        <f aca="false">IF(L168&lt;&gt;"",L168*1.1,"")</f>
        <v>42.735</v>
      </c>
      <c r="N168" s="53" t="n">
        <f aca="false">IF(F168="S",L168*0.02,0)</f>
        <v>0</v>
      </c>
      <c r="O168" s="82" t="n">
        <f aca="false">IF(L168&lt;&gt;"",L168+N168,"")</f>
        <v>38.85</v>
      </c>
      <c r="P168" s="53" t="n">
        <f aca="false">IF(O168&lt;&gt;"",O168*0.1,"")</f>
        <v>3.885</v>
      </c>
      <c r="Q168" s="83" t="n">
        <f aca="false">IF(O168&lt;&gt;"",O168+P168,"")</f>
        <v>42.735</v>
      </c>
      <c r="R168" s="84"/>
    </row>
    <row r="169" customFormat="false" ht="15" hidden="false" customHeight="true" outlineLevel="0" collapsed="false">
      <c r="A169" s="72" t="n">
        <v>5940</v>
      </c>
      <c r="B169" s="85" t="n">
        <v>46192</v>
      </c>
      <c r="C169" s="86"/>
      <c r="D169" s="87" t="n">
        <v>50056</v>
      </c>
      <c r="E169" s="46" t="str">
        <f aca="false">IF(D169&lt;&gt;"",IFERROR(VLOOKUP(D169,PROVEEDORES!$A:$B,2,0),"!COD NO ENCONTRADO"),"")</f>
        <v>COTON Y SANCHEZ S.L.</v>
      </c>
      <c r="F169" s="88" t="str">
        <f aca="false">IF(D169&lt;&gt;"",IFERROR(VLOOKUP(D169,PROVEEDORES!$A:$C,3,0),""),"")</f>
        <v>N</v>
      </c>
      <c r="G169" s="87" t="s">
        <v>324</v>
      </c>
      <c r="H169" s="46" t="str">
        <f aca="false">IF(G169&lt;&gt;"",IFERROR(VLOOKUP(G169,PRODUCTOS!$A:$B,2,0),"!COD NO ENCONTRADO"),"")</f>
        <v>SARDINA    (PIL)</v>
      </c>
      <c r="I169" s="89" t="n">
        <v>6</v>
      </c>
      <c r="J169" s="90" t="n">
        <v>36</v>
      </c>
      <c r="K169" s="91" t="n">
        <v>2.8</v>
      </c>
      <c r="L169" s="80" t="n">
        <f aca="false">IF(AND(J169&lt;&gt;"",K169&lt;&gt;""),J169*K169,"")</f>
        <v>100.8</v>
      </c>
      <c r="M169" s="81" t="n">
        <f aca="false">IF(L169&lt;&gt;"",L169*1.1,"")</f>
        <v>110.88</v>
      </c>
      <c r="N169" s="47" t="n">
        <f aca="false">IF(F169="S",L169*0.02,0)</f>
        <v>0</v>
      </c>
      <c r="O169" s="82" t="n">
        <f aca="false">IF(L169&lt;&gt;"",L169+N169,"")</f>
        <v>100.8</v>
      </c>
      <c r="P169" s="47" t="n">
        <f aca="false">IF(O169&lt;&gt;"",O169*0.1,"")</f>
        <v>10.08</v>
      </c>
      <c r="Q169" s="83" t="n">
        <f aca="false">IF(O169&lt;&gt;"",O169+P169,"")</f>
        <v>110.88</v>
      </c>
      <c r="R169" s="84"/>
    </row>
    <row r="170" customFormat="false" ht="15" hidden="false" customHeight="true" outlineLevel="0" collapsed="false">
      <c r="A170" s="72" t="n">
        <v>5941</v>
      </c>
      <c r="B170" s="73" t="n">
        <v>46192</v>
      </c>
      <c r="C170" s="74" t="s">
        <v>372</v>
      </c>
      <c r="D170" s="75" t="n">
        <v>50232</v>
      </c>
      <c r="E170" s="52" t="str">
        <f aca="false">IF(D170&lt;&gt;"",IFERROR(VLOOKUP(D170,PROVEEDORES!$A:$B,2,0),"!COD NO ENCONTRADO"),"")</f>
        <v>XESTION NOVA LONXA RIVEIRA S.L.</v>
      </c>
      <c r="F170" s="76" t="str">
        <f aca="false">IF(D170&lt;&gt;"",IFERROR(VLOOKUP(D170,PROVEEDORES!$A:$C,3,0),""),"")</f>
        <v>S</v>
      </c>
      <c r="G170" s="75" t="s">
        <v>103</v>
      </c>
      <c r="H170" s="52" t="str">
        <f aca="false">IF(G170&lt;&gt;"",IFERROR(VLOOKUP(G170,PRODUCTOS!$A:$B,2,0),"!COD NO ENCONTRADO"),"")</f>
        <v>CABRAS/ GALLINETA (BRF)</v>
      </c>
      <c r="I170" s="77" t="n">
        <v>3</v>
      </c>
      <c r="J170" s="78" t="n">
        <v>18.4</v>
      </c>
      <c r="K170" s="79" t="n">
        <v>16</v>
      </c>
      <c r="L170" s="80" t="n">
        <f aca="false">IF(AND(J170&lt;&gt;"",K170&lt;&gt;""),J170*K170,"")</f>
        <v>294.4</v>
      </c>
      <c r="M170" s="81" t="n">
        <f aca="false">IF(L170&lt;&gt;"",L170*1.1,"")</f>
        <v>323.84</v>
      </c>
      <c r="N170" s="53" t="n">
        <f aca="false">IF(F170="S",L170*0.02,0)</f>
        <v>5.888</v>
      </c>
      <c r="O170" s="82" t="n">
        <f aca="false">IF(L170&lt;&gt;"",L170+N170,"")</f>
        <v>300.288</v>
      </c>
      <c r="P170" s="53" t="n">
        <f aca="false">IF(O170&lt;&gt;"",O170*0.1,"")</f>
        <v>30.0288</v>
      </c>
      <c r="Q170" s="83" t="n">
        <f aca="false">IF(O170&lt;&gt;"",O170+P170,"")</f>
        <v>330.3168</v>
      </c>
      <c r="R170" s="84"/>
    </row>
    <row r="171" customFormat="false" ht="15" hidden="false" customHeight="true" outlineLevel="0" collapsed="false">
      <c r="A171" s="72" t="n">
        <v>5941</v>
      </c>
      <c r="B171" s="85" t="n">
        <v>46192</v>
      </c>
      <c r="C171" s="86" t="s">
        <v>372</v>
      </c>
      <c r="D171" s="87" t="n">
        <v>50232</v>
      </c>
      <c r="E171" s="46" t="str">
        <f aca="false">IF(D171&lt;&gt;"",IFERROR(VLOOKUP(D171,PROVEEDORES!$A:$B,2,0),"!COD NO ENCONTRADO"),"")</f>
        <v>XESTION NOVA LONXA RIVEIRA S.L.</v>
      </c>
      <c r="F171" s="88" t="str">
        <f aca="false">IF(D171&lt;&gt;"",IFERROR(VLOOKUP(D171,PROVEEDORES!$A:$C,3,0),""),"")</f>
        <v>S</v>
      </c>
      <c r="G171" s="87" t="s">
        <v>103</v>
      </c>
      <c r="H171" s="46" t="str">
        <f aca="false">IF(G171&lt;&gt;"",IFERROR(VLOOKUP(G171,PRODUCTOS!$A:$B,2,0),"!COD NO ENCONTRADO"),"")</f>
        <v>CABRAS/ GALLINETA (BRF)</v>
      </c>
      <c r="I171" s="89" t="n">
        <v>1</v>
      </c>
      <c r="J171" s="90" t="n">
        <v>4.6</v>
      </c>
      <c r="K171" s="91" t="n">
        <v>13</v>
      </c>
      <c r="L171" s="80" t="n">
        <f aca="false">IF(AND(J171&lt;&gt;"",K171&lt;&gt;""),J171*K171,"")</f>
        <v>59.8</v>
      </c>
      <c r="M171" s="81" t="n">
        <f aca="false">IF(L171&lt;&gt;"",L171*1.1,"")</f>
        <v>65.78</v>
      </c>
      <c r="N171" s="47" t="n">
        <f aca="false">IF(F171="S",L171*0.02,0)</f>
        <v>1.196</v>
      </c>
      <c r="O171" s="82" t="n">
        <f aca="false">IF(L171&lt;&gt;"",L171+N171,"")</f>
        <v>60.996</v>
      </c>
      <c r="P171" s="47" t="n">
        <f aca="false">IF(O171&lt;&gt;"",O171*0.1,"")</f>
        <v>6.0996</v>
      </c>
      <c r="Q171" s="83" t="n">
        <f aca="false">IF(O171&lt;&gt;"",O171+P171,"")</f>
        <v>67.0956</v>
      </c>
      <c r="R171" s="84"/>
    </row>
    <row r="172" customFormat="false" ht="15" hidden="false" customHeight="true" outlineLevel="0" collapsed="false">
      <c r="A172" s="72" t="n">
        <v>5941</v>
      </c>
      <c r="B172" s="73" t="n">
        <v>46192</v>
      </c>
      <c r="C172" s="74" t="s">
        <v>372</v>
      </c>
      <c r="D172" s="75" t="n">
        <v>50232</v>
      </c>
      <c r="E172" s="52" t="str">
        <f aca="false">IF(D172&lt;&gt;"",IFERROR(VLOOKUP(D172,PROVEEDORES!$A:$B,2,0),"!COD NO ENCONTRADO"),"")</f>
        <v>XESTION NOVA LONXA RIVEIRA S.L.</v>
      </c>
      <c r="F172" s="76" t="str">
        <f aca="false">IF(D172&lt;&gt;"",IFERROR(VLOOKUP(D172,PROVEEDORES!$A:$C,3,0),""),"")</f>
        <v>S</v>
      </c>
      <c r="G172" s="75" t="s">
        <v>103</v>
      </c>
      <c r="H172" s="52" t="str">
        <f aca="false">IF(G172&lt;&gt;"",IFERROR(VLOOKUP(G172,PRODUCTOS!$A:$B,2,0),"!COD NO ENCONTRADO"),"")</f>
        <v>CABRAS/ GALLINETA (BRF)</v>
      </c>
      <c r="I172" s="77" t="n">
        <v>7</v>
      </c>
      <c r="J172" s="78" t="n">
        <v>41</v>
      </c>
      <c r="K172" s="79" t="n">
        <v>11.8</v>
      </c>
      <c r="L172" s="80" t="n">
        <f aca="false">IF(AND(J172&lt;&gt;"",K172&lt;&gt;""),J172*K172,"")</f>
        <v>483.8</v>
      </c>
      <c r="M172" s="81" t="n">
        <f aca="false">IF(L172&lt;&gt;"",L172*1.1,"")</f>
        <v>532.18</v>
      </c>
      <c r="N172" s="53" t="n">
        <f aca="false">IF(F172="S",L172*0.02,0)</f>
        <v>9.676</v>
      </c>
      <c r="O172" s="82" t="n">
        <f aca="false">IF(L172&lt;&gt;"",L172+N172,"")</f>
        <v>493.476</v>
      </c>
      <c r="P172" s="53" t="n">
        <f aca="false">IF(O172&lt;&gt;"",O172*0.1,"")</f>
        <v>49.3476</v>
      </c>
      <c r="Q172" s="83" t="n">
        <f aca="false">IF(O172&lt;&gt;"",O172+P172,"")</f>
        <v>542.8236</v>
      </c>
      <c r="R172" s="84"/>
    </row>
    <row r="173" customFormat="false" ht="15" hidden="false" customHeight="true" outlineLevel="0" collapsed="false">
      <c r="A173" s="72" t="n">
        <v>5941</v>
      </c>
      <c r="B173" s="85" t="n">
        <v>46192</v>
      </c>
      <c r="C173" s="86" t="s">
        <v>372</v>
      </c>
      <c r="D173" s="87" t="n">
        <v>50232</v>
      </c>
      <c r="E173" s="46" t="str">
        <f aca="false">IF(D173&lt;&gt;"",IFERROR(VLOOKUP(D173,PROVEEDORES!$A:$B,2,0),"!COD NO ENCONTRADO"),"")</f>
        <v>XESTION NOVA LONXA RIVEIRA S.L.</v>
      </c>
      <c r="F173" s="88" t="str">
        <f aca="false">IF(D173&lt;&gt;"",IFERROR(VLOOKUP(D173,PROVEEDORES!$A:$C,3,0),""),"")</f>
        <v>S</v>
      </c>
      <c r="G173" s="87" t="s">
        <v>332</v>
      </c>
      <c r="H173" s="46" t="str">
        <f aca="false">IF(G173&lt;&gt;"",IFERROR(VLOOKUP(G173,PRODUCTOS!$A:$B,2,0),"!COD NO ENCONTRADO"),"")</f>
        <v>VARIADO PEQUEÑO</v>
      </c>
      <c r="I173" s="89" t="n">
        <v>5</v>
      </c>
      <c r="J173" s="90" t="n">
        <v>10.2</v>
      </c>
      <c r="K173" s="91" t="n">
        <v>1</v>
      </c>
      <c r="L173" s="80" t="n">
        <f aca="false">IF(AND(J173&lt;&gt;"",K173&lt;&gt;""),J173*K173,"")</f>
        <v>10.2</v>
      </c>
      <c r="M173" s="81" t="n">
        <f aca="false">IF(L173&lt;&gt;"",L173*1.1,"")</f>
        <v>11.22</v>
      </c>
      <c r="N173" s="47" t="n">
        <f aca="false">IF(F173="S",L173*0.02,0)</f>
        <v>0.204</v>
      </c>
      <c r="O173" s="82" t="n">
        <f aca="false">IF(L173&lt;&gt;"",L173+N173,"")</f>
        <v>10.404</v>
      </c>
      <c r="P173" s="47" t="n">
        <f aca="false">IF(O173&lt;&gt;"",O173*0.1,"")</f>
        <v>1.0404</v>
      </c>
      <c r="Q173" s="83" t="n">
        <f aca="false">IF(O173&lt;&gt;"",O173+P173,"")</f>
        <v>11.4444</v>
      </c>
      <c r="R173" s="84"/>
    </row>
    <row r="174" customFormat="false" ht="15" hidden="false" customHeight="true" outlineLevel="0" collapsed="false">
      <c r="A174" s="72" t="n">
        <v>5941</v>
      </c>
      <c r="B174" s="73" t="n">
        <v>46192</v>
      </c>
      <c r="C174" s="74" t="s">
        <v>372</v>
      </c>
      <c r="D174" s="75" t="n">
        <v>50232</v>
      </c>
      <c r="E174" s="52" t="str">
        <f aca="false">IF(D174&lt;&gt;"",IFERROR(VLOOKUP(D174,PROVEEDORES!$A:$B,2,0),"!COD NO ENCONTRADO"),"")</f>
        <v>XESTION NOVA LONXA RIVEIRA S.L.</v>
      </c>
      <c r="F174" s="76" t="str">
        <f aca="false">IF(D174&lt;&gt;"",IFERROR(VLOOKUP(D174,PROVEEDORES!$A:$C,3,0),""),"")</f>
        <v>S</v>
      </c>
      <c r="G174" s="75" t="s">
        <v>270</v>
      </c>
      <c r="H174" s="52" t="str">
        <f aca="false">IF(G174&lt;&gt;"",IFERROR(VLOOKUP(G174,PRODUCTOS!$A:$B,2,0),"!COD NO ENCONTRADO"),"")</f>
        <v>PEON/ PION (ATP)</v>
      </c>
      <c r="I174" s="77" t="n">
        <v>17</v>
      </c>
      <c r="J174" s="78" t="n">
        <v>82.5</v>
      </c>
      <c r="K174" s="79" t="n">
        <v>4</v>
      </c>
      <c r="L174" s="80" t="n">
        <f aca="false">IF(AND(J174&lt;&gt;"",K174&lt;&gt;""),J174*K174,"")</f>
        <v>330</v>
      </c>
      <c r="M174" s="81" t="n">
        <f aca="false">IF(L174&lt;&gt;"",L174*1.1,"")</f>
        <v>363</v>
      </c>
      <c r="N174" s="53" t="n">
        <f aca="false">IF(F174="S",L174*0.02,0)</f>
        <v>6.6</v>
      </c>
      <c r="O174" s="82" t="n">
        <f aca="false">IF(L174&lt;&gt;"",L174+N174,"")</f>
        <v>336.6</v>
      </c>
      <c r="P174" s="53" t="n">
        <f aca="false">IF(O174&lt;&gt;"",O174*0.1,"")</f>
        <v>33.66</v>
      </c>
      <c r="Q174" s="83" t="n">
        <f aca="false">IF(O174&lt;&gt;"",O174+P174,"")</f>
        <v>370.26</v>
      </c>
      <c r="R174" s="84"/>
    </row>
    <row r="175" customFormat="false" ht="15" hidden="false" customHeight="true" outlineLevel="0" collapsed="false">
      <c r="A175" s="72" t="n">
        <v>5941</v>
      </c>
      <c r="B175" s="85" t="n">
        <v>46192</v>
      </c>
      <c r="C175" s="86" t="s">
        <v>372</v>
      </c>
      <c r="D175" s="87" t="n">
        <v>50232</v>
      </c>
      <c r="E175" s="46" t="str">
        <f aca="false">IF(D175&lt;&gt;"",IFERROR(VLOOKUP(D175,PROVEEDORES!$A:$B,2,0),"!COD NO ENCONTRADO"),"")</f>
        <v>XESTION NOVA LONXA RIVEIRA S.L.</v>
      </c>
      <c r="F175" s="88" t="str">
        <f aca="false">IF(D175&lt;&gt;"",IFERROR(VLOOKUP(D175,PROVEEDORES!$A:$C,3,0),""),"")</f>
        <v>S</v>
      </c>
      <c r="G175" s="87" t="s">
        <v>296</v>
      </c>
      <c r="H175" s="46" t="str">
        <f aca="false">IF(G175&lt;&gt;"",IFERROR(VLOOKUP(G175,PRODUCTOS!$A:$B,2,0),"!COD NO ENCONTRADO"),"")</f>
        <v>RAPE NEGRO (ANK)</v>
      </c>
      <c r="I175" s="89" t="n">
        <v>5</v>
      </c>
      <c r="J175" s="90" t="n">
        <v>43.7</v>
      </c>
      <c r="K175" s="91" t="n">
        <v>3.5</v>
      </c>
      <c r="L175" s="80" t="n">
        <f aca="false">IF(AND(J175&lt;&gt;"",K175&lt;&gt;""),J175*K175,"")</f>
        <v>152.95</v>
      </c>
      <c r="M175" s="81" t="n">
        <f aca="false">IF(L175&lt;&gt;"",L175*1.1,"")</f>
        <v>168.245</v>
      </c>
      <c r="N175" s="47" t="n">
        <f aca="false">IF(F175="S",L175*0.02,0)</f>
        <v>3.059</v>
      </c>
      <c r="O175" s="82" t="n">
        <f aca="false">IF(L175&lt;&gt;"",L175+N175,"")</f>
        <v>156.009</v>
      </c>
      <c r="P175" s="47" t="n">
        <f aca="false">IF(O175&lt;&gt;"",O175*0.1,"")</f>
        <v>15.6009</v>
      </c>
      <c r="Q175" s="83" t="n">
        <f aca="false">IF(O175&lt;&gt;"",O175+P175,"")</f>
        <v>171.6099</v>
      </c>
      <c r="R175" s="84"/>
    </row>
    <row r="176" customFormat="false" ht="15" hidden="false" customHeight="true" outlineLevel="0" collapsed="false">
      <c r="A176" s="72" t="n">
        <v>5941</v>
      </c>
      <c r="B176" s="73" t="n">
        <v>46192</v>
      </c>
      <c r="C176" s="74" t="s">
        <v>372</v>
      </c>
      <c r="D176" s="75" t="n">
        <v>50232</v>
      </c>
      <c r="E176" s="52" t="str">
        <f aca="false">IF(D176&lt;&gt;"",IFERROR(VLOOKUP(D176,PROVEEDORES!$A:$B,2,0),"!COD NO ENCONTRADO"),"")</f>
        <v>XESTION NOVA LONXA RIVEIRA S.L.</v>
      </c>
      <c r="F176" s="76" t="str">
        <f aca="false">IF(D176&lt;&gt;"",IFERROR(VLOOKUP(D176,PROVEEDORES!$A:$C,3,0),""),"")</f>
        <v>S</v>
      </c>
      <c r="G176" s="75" t="s">
        <v>332</v>
      </c>
      <c r="H176" s="52" t="str">
        <f aca="false">IF(G176&lt;&gt;"",IFERROR(VLOOKUP(G176,PRODUCTOS!$A:$B,2,0),"!COD NO ENCONTRADO"),"")</f>
        <v>VARIADO PEQUEÑO</v>
      </c>
      <c r="I176" s="77" t="n">
        <v>2</v>
      </c>
      <c r="J176" s="78" t="n">
        <v>11</v>
      </c>
      <c r="K176" s="79" t="n">
        <v>1.5</v>
      </c>
      <c r="L176" s="80" t="n">
        <f aca="false">IF(AND(J176&lt;&gt;"",K176&lt;&gt;""),J176*K176,"")</f>
        <v>16.5</v>
      </c>
      <c r="M176" s="81" t="n">
        <f aca="false">IF(L176&lt;&gt;"",L176*1.1,"")</f>
        <v>18.15</v>
      </c>
      <c r="N176" s="53" t="n">
        <f aca="false">IF(F176="S",L176*0.02,0)</f>
        <v>0.33</v>
      </c>
      <c r="O176" s="82" t="n">
        <f aca="false">IF(L176&lt;&gt;"",L176+N176,"")</f>
        <v>16.83</v>
      </c>
      <c r="P176" s="53" t="n">
        <f aca="false">IF(O176&lt;&gt;"",O176*0.1,"")</f>
        <v>1.683</v>
      </c>
      <c r="Q176" s="83" t="n">
        <f aca="false">IF(O176&lt;&gt;"",O176+P176,"")</f>
        <v>18.513</v>
      </c>
      <c r="R176" s="84"/>
    </row>
    <row r="177" customFormat="false" ht="15" hidden="false" customHeight="true" outlineLevel="0" collapsed="false">
      <c r="A177" s="72" t="n">
        <v>5941</v>
      </c>
      <c r="B177" s="85" t="n">
        <v>46192</v>
      </c>
      <c r="C177" s="86" t="s">
        <v>372</v>
      </c>
      <c r="D177" s="87" t="n">
        <v>50232</v>
      </c>
      <c r="E177" s="46" t="str">
        <f aca="false">IF(D177&lt;&gt;"",IFERROR(VLOOKUP(D177,PROVEEDORES!$A:$B,2,0),"!COD NO ENCONTRADO"),"")</f>
        <v>XESTION NOVA LONXA RIVEIRA S.L.</v>
      </c>
      <c r="F177" s="88" t="str">
        <f aca="false">IF(D177&lt;&gt;"",IFERROR(VLOOKUP(D177,PROVEEDORES!$A:$C,3,0),""),"")</f>
        <v>S</v>
      </c>
      <c r="G177" s="87" t="s">
        <v>270</v>
      </c>
      <c r="H177" s="46" t="str">
        <f aca="false">IF(G177&lt;&gt;"",IFERROR(VLOOKUP(G177,PRODUCTOS!$A:$B,2,0),"!COD NO ENCONTRADO"),"")</f>
        <v>PEON/ PION (ATP)</v>
      </c>
      <c r="I177" s="89" t="n">
        <v>10</v>
      </c>
      <c r="J177" s="90" t="n">
        <v>85.6</v>
      </c>
      <c r="K177" s="91" t="n">
        <v>3.5</v>
      </c>
      <c r="L177" s="80" t="n">
        <f aca="false">IF(AND(J177&lt;&gt;"",K177&lt;&gt;""),J177*K177,"")</f>
        <v>299.6</v>
      </c>
      <c r="M177" s="81" t="n">
        <f aca="false">IF(L177&lt;&gt;"",L177*1.1,"")</f>
        <v>329.56</v>
      </c>
      <c r="N177" s="47" t="n">
        <f aca="false">IF(F177="S",L177*0.02,0)</f>
        <v>5.992</v>
      </c>
      <c r="O177" s="82" t="n">
        <f aca="false">IF(L177&lt;&gt;"",L177+N177,"")</f>
        <v>305.592</v>
      </c>
      <c r="P177" s="47" t="n">
        <f aca="false">IF(O177&lt;&gt;"",O177*0.1,"")</f>
        <v>30.5592</v>
      </c>
      <c r="Q177" s="83" t="n">
        <f aca="false">IF(O177&lt;&gt;"",O177+P177,"")</f>
        <v>336.1512</v>
      </c>
      <c r="R177" s="84"/>
    </row>
    <row r="178" customFormat="false" ht="15" hidden="false" customHeight="true" outlineLevel="0" collapsed="false">
      <c r="A178" s="72" t="n">
        <v>5941</v>
      </c>
      <c r="B178" s="73" t="n">
        <v>46192</v>
      </c>
      <c r="C178" s="74" t="s">
        <v>372</v>
      </c>
      <c r="D178" s="75" t="n">
        <v>50232</v>
      </c>
      <c r="E178" s="52" t="str">
        <f aca="false">IF(D178&lt;&gt;"",IFERROR(VLOOKUP(D178,PROVEEDORES!$A:$B,2,0),"!COD NO ENCONTRADO"),"")</f>
        <v>XESTION NOVA LONXA RIVEIRA S.L.</v>
      </c>
      <c r="F178" s="76" t="str">
        <f aca="false">IF(D178&lt;&gt;"",IFERROR(VLOOKUP(D178,PROVEEDORES!$A:$C,3,0),""),"")</f>
        <v>S</v>
      </c>
      <c r="G178" s="75" t="s">
        <v>302</v>
      </c>
      <c r="H178" s="52" t="str">
        <f aca="false">IF(G178&lt;&gt;"",IFERROR(VLOOKUP(G178,PRODUCTOS!$A:$B,2,0),"!COD NO ENCONTRADO"),"")</f>
        <v>RAYA COMUN (ALAS)</v>
      </c>
      <c r="I178" s="77" t="n">
        <v>2</v>
      </c>
      <c r="J178" s="78" t="n">
        <v>9.4</v>
      </c>
      <c r="K178" s="79" t="n">
        <v>2</v>
      </c>
      <c r="L178" s="80" t="n">
        <f aca="false">IF(AND(J178&lt;&gt;"",K178&lt;&gt;""),J178*K178,"")</f>
        <v>18.8</v>
      </c>
      <c r="M178" s="81" t="n">
        <f aca="false">IF(L178&lt;&gt;"",L178*1.1,"")</f>
        <v>20.68</v>
      </c>
      <c r="N178" s="53" t="n">
        <f aca="false">IF(F178="S",L178*0.02,0)</f>
        <v>0.376</v>
      </c>
      <c r="O178" s="82" t="n">
        <f aca="false">IF(L178&lt;&gt;"",L178+N178,"")</f>
        <v>19.176</v>
      </c>
      <c r="P178" s="53" t="n">
        <f aca="false">IF(O178&lt;&gt;"",O178*0.1,"")</f>
        <v>1.9176</v>
      </c>
      <c r="Q178" s="83" t="n">
        <f aca="false">IF(O178&lt;&gt;"",O178+P178,"")</f>
        <v>21.0936</v>
      </c>
      <c r="R178" s="84"/>
    </row>
    <row r="179" customFormat="false" ht="15" hidden="false" customHeight="true" outlineLevel="0" collapsed="false">
      <c r="A179" s="72" t="n">
        <v>5941</v>
      </c>
      <c r="B179" s="85" t="n">
        <v>46192</v>
      </c>
      <c r="C179" s="86" t="s">
        <v>372</v>
      </c>
      <c r="D179" s="87" t="n">
        <v>50232</v>
      </c>
      <c r="E179" s="46" t="str">
        <f aca="false">IF(D179&lt;&gt;"",IFERROR(VLOOKUP(D179,PROVEEDORES!$A:$B,2,0),"!COD NO ENCONTRADO"),"")</f>
        <v>XESTION NOVA LONXA RIVEIRA S.L.</v>
      </c>
      <c r="F179" s="88" t="str">
        <f aca="false">IF(D179&lt;&gt;"",IFERROR(VLOOKUP(D179,PROVEEDORES!$A:$C,3,0),""),"")</f>
        <v>S</v>
      </c>
      <c r="G179" s="87" t="s">
        <v>302</v>
      </c>
      <c r="H179" s="46" t="str">
        <f aca="false">IF(G179&lt;&gt;"",IFERROR(VLOOKUP(G179,PRODUCTOS!$A:$B,2,0),"!COD NO ENCONTRADO"),"")</f>
        <v>RAYA COMUN (ALAS)</v>
      </c>
      <c r="I179" s="89" t="n">
        <v>5</v>
      </c>
      <c r="J179" s="90" t="n">
        <v>33.6</v>
      </c>
      <c r="K179" s="91" t="n">
        <v>1</v>
      </c>
      <c r="L179" s="80" t="n">
        <f aca="false">IF(AND(J179&lt;&gt;"",K179&lt;&gt;""),J179*K179,"")</f>
        <v>33.6</v>
      </c>
      <c r="M179" s="81" t="n">
        <f aca="false">IF(L179&lt;&gt;"",L179*1.1,"")</f>
        <v>36.96</v>
      </c>
      <c r="N179" s="47" t="n">
        <f aca="false">IF(F179="S",L179*0.02,0)</f>
        <v>0.672</v>
      </c>
      <c r="O179" s="82" t="n">
        <f aca="false">IF(L179&lt;&gt;"",L179+N179,"")</f>
        <v>34.272</v>
      </c>
      <c r="P179" s="47" t="n">
        <f aca="false">IF(O179&lt;&gt;"",O179*0.1,"")</f>
        <v>3.4272</v>
      </c>
      <c r="Q179" s="83" t="n">
        <f aca="false">IF(O179&lt;&gt;"",O179+P179,"")</f>
        <v>37.6992</v>
      </c>
      <c r="R179" s="84"/>
    </row>
    <row r="180" customFormat="false" ht="15" hidden="false" customHeight="true" outlineLevel="0" collapsed="false">
      <c r="A180" s="72" t="n">
        <v>5942</v>
      </c>
      <c r="B180" s="73" t="n">
        <v>46193</v>
      </c>
      <c r="C180" s="74" t="n">
        <v>6302</v>
      </c>
      <c r="D180" s="75" t="n">
        <v>50010</v>
      </c>
      <c r="E180" s="52" t="s">
        <v>373</v>
      </c>
      <c r="F180" s="76" t="s">
        <v>365</v>
      </c>
      <c r="G180" s="75" t="s">
        <v>103</v>
      </c>
      <c r="H180" s="52" t="s">
        <v>104</v>
      </c>
      <c r="I180" s="77" t="n">
        <v>1</v>
      </c>
      <c r="J180" s="78" t="n">
        <v>4.3</v>
      </c>
      <c r="K180" s="79" t="n">
        <v>10.6</v>
      </c>
      <c r="L180" s="80" t="n">
        <v>45.58</v>
      </c>
      <c r="M180" s="81" t="n">
        <v>50.138</v>
      </c>
      <c r="N180" s="53" t="n">
        <v>0.9116</v>
      </c>
      <c r="O180" s="82" t="n">
        <v>46.4916</v>
      </c>
      <c r="P180" s="53" t="n">
        <v>4.64916</v>
      </c>
      <c r="Q180" s="83" t="n">
        <v>51.14076</v>
      </c>
      <c r="R180" s="84"/>
    </row>
    <row r="181" customFormat="false" ht="15" hidden="false" customHeight="true" outlineLevel="0" collapsed="false">
      <c r="A181" s="72" t="n">
        <v>5943</v>
      </c>
      <c r="B181" s="73" t="n">
        <v>46193</v>
      </c>
      <c r="C181" s="74" t="s">
        <v>374</v>
      </c>
      <c r="D181" s="75" t="n">
        <v>50232</v>
      </c>
      <c r="E181" s="52" t="str">
        <f aca="false">IF(D181&lt;&gt;"",IFERROR(VLOOKUP(D181,PROVEEDORES!$A:$B,2,0),"!COD NO ENCONTRADO"),"")</f>
        <v>XESTION NOVA LONXA RIVEIRA S.L.</v>
      </c>
      <c r="F181" s="76" t="str">
        <f aca="false">IF(D181&lt;&gt;"",IFERROR(VLOOKUP(D181,PROVEEDORES!$A:$C,3,0),""),"")</f>
        <v>S</v>
      </c>
      <c r="G181" s="75" t="s">
        <v>83</v>
      </c>
      <c r="H181" s="52" t="str">
        <f aca="false">IF(G181&lt;&gt;"",IFERROR(VLOOKUP(G181,PRODUCTOS!$A:$B,2,0),"!COD NO ENCONTRADO"),"")</f>
        <v>BESUGO (BSR)</v>
      </c>
      <c r="I181" s="77" t="n">
        <v>1</v>
      </c>
      <c r="J181" s="78" t="n">
        <v>2</v>
      </c>
      <c r="K181" s="79" t="n">
        <v>30.2</v>
      </c>
      <c r="L181" s="80" t="n">
        <f aca="false">IF(AND(J181&lt;&gt;"",K181&lt;&gt;""),J181*K181,"")</f>
        <v>60.4</v>
      </c>
      <c r="M181" s="81" t="n">
        <f aca="false">IF(L181&lt;&gt;"",L181*1.1,"")</f>
        <v>66.44</v>
      </c>
      <c r="N181" s="53" t="n">
        <f aca="false">IF(F181="S",L181*0.02,0)</f>
        <v>1.208</v>
      </c>
      <c r="O181" s="82" t="n">
        <f aca="false">IF(L181&lt;&gt;"",L181+N181,"")</f>
        <v>61.608</v>
      </c>
      <c r="P181" s="53" t="n">
        <f aca="false">IF(O181&lt;&gt;"",O181*0.1,"")</f>
        <v>6.1608</v>
      </c>
      <c r="Q181" s="83" t="n">
        <f aca="false">IF(O181&lt;&gt;"",O181+P181,"")</f>
        <v>67.7688</v>
      </c>
      <c r="R181" s="84"/>
    </row>
    <row r="182" customFormat="false" ht="15" hidden="false" customHeight="true" outlineLevel="0" collapsed="false">
      <c r="A182" s="72" t="n">
        <v>5943</v>
      </c>
      <c r="B182" s="85" t="n">
        <v>46193</v>
      </c>
      <c r="C182" s="86" t="s">
        <v>374</v>
      </c>
      <c r="D182" s="87" t="n">
        <v>50232</v>
      </c>
      <c r="E182" s="46" t="str">
        <f aca="false">IF(D182&lt;&gt;"",IFERROR(VLOOKUP(D182,PROVEEDORES!$A:$B,2,0),"!COD NO ENCONTRADO"),"")</f>
        <v>XESTION NOVA LONXA RIVEIRA S.L.</v>
      </c>
      <c r="F182" s="88" t="str">
        <f aca="false">IF(D182&lt;&gt;"",IFERROR(VLOOKUP(D182,PROVEEDORES!$A:$C,3,0),""),"")</f>
        <v>S</v>
      </c>
      <c r="G182" s="87" t="s">
        <v>83</v>
      </c>
      <c r="H182" s="46" t="str">
        <f aca="false">IF(G182&lt;&gt;"",IFERROR(VLOOKUP(G182,PRODUCTOS!$A:$B,2,0),"!COD NO ENCONTRADO"),"")</f>
        <v>BESUGO (BSR)</v>
      </c>
      <c r="I182" s="89" t="n">
        <v>1</v>
      </c>
      <c r="J182" s="90" t="n">
        <v>2.8</v>
      </c>
      <c r="K182" s="91" t="n">
        <v>34</v>
      </c>
      <c r="L182" s="80" t="n">
        <f aca="false">IF(AND(J182&lt;&gt;"",K182&lt;&gt;""),J182*K182,"")</f>
        <v>95.2</v>
      </c>
      <c r="M182" s="81" t="n">
        <f aca="false">IF(L182&lt;&gt;"",L182*1.1,"")</f>
        <v>104.72</v>
      </c>
      <c r="N182" s="47" t="n">
        <f aca="false">IF(F182="S",L182*0.02,0)</f>
        <v>1.904</v>
      </c>
      <c r="O182" s="82" t="n">
        <f aca="false">IF(L182&lt;&gt;"",L182+N182,"")</f>
        <v>97.104</v>
      </c>
      <c r="P182" s="47" t="n">
        <f aca="false">IF(O182&lt;&gt;"",O182*0.1,"")</f>
        <v>9.7104</v>
      </c>
      <c r="Q182" s="83" t="n">
        <f aca="false">IF(O182&lt;&gt;"",O182+P182,"")</f>
        <v>106.8144</v>
      </c>
      <c r="R182" s="84"/>
    </row>
    <row r="183" customFormat="false" ht="15" hidden="false" customHeight="true" outlineLevel="0" collapsed="false">
      <c r="A183" s="72" t="n">
        <v>5943</v>
      </c>
      <c r="B183" s="85" t="n">
        <v>46193</v>
      </c>
      <c r="C183" s="86" t="s">
        <v>374</v>
      </c>
      <c r="D183" s="87" t="n">
        <v>50232</v>
      </c>
      <c r="E183" s="46" t="str">
        <f aca="false">IF(D183&lt;&gt;"",IFERROR(VLOOKUP(D183,PROVEEDORES!$A:$B,2,0),"!COD NO ENCONTRADO"),"")</f>
        <v>XESTION NOVA LONXA RIVEIRA S.L.</v>
      </c>
      <c r="F183" s="88" t="str">
        <f aca="false">IF(D183&lt;&gt;"",IFERROR(VLOOKUP(D183,PROVEEDORES!$A:$C,3,0),""),"")</f>
        <v>S</v>
      </c>
      <c r="G183" s="87" t="s">
        <v>83</v>
      </c>
      <c r="H183" s="46" t="str">
        <f aca="false">IF(G183&lt;&gt;"",IFERROR(VLOOKUP(G183,PRODUCTOS!$A:$B,2,0),"!COD NO ENCONTRADO"),"")</f>
        <v>BESUGO (BSR)</v>
      </c>
      <c r="I183" s="89" t="n">
        <v>2</v>
      </c>
      <c r="J183" s="90" t="n">
        <v>3.5</v>
      </c>
      <c r="K183" s="91" t="n">
        <v>36.7</v>
      </c>
      <c r="L183" s="80" t="n">
        <f aca="false">IF(AND(J183&lt;&gt;"",K183&lt;&gt;""),J183*K183,"")</f>
        <v>128.45</v>
      </c>
      <c r="M183" s="81" t="n">
        <f aca="false">IF(L183&lt;&gt;"",L183*1.1,"")</f>
        <v>141.295</v>
      </c>
      <c r="N183" s="47" t="n">
        <f aca="false">IF(F183="S",L183*0.02,0)</f>
        <v>2.569</v>
      </c>
      <c r="O183" s="82" t="n">
        <f aca="false">IF(L183&lt;&gt;"",L183+N183,"")</f>
        <v>131.019</v>
      </c>
      <c r="P183" s="47" t="n">
        <f aca="false">IF(O183&lt;&gt;"",O183*0.1,"")</f>
        <v>13.1019</v>
      </c>
      <c r="Q183" s="83" t="n">
        <f aca="false">IF(O183&lt;&gt;"",O183+P183,"")</f>
        <v>144.1209</v>
      </c>
      <c r="R183" s="84"/>
    </row>
    <row r="184" customFormat="false" ht="15" hidden="false" customHeight="true" outlineLevel="0" collapsed="false">
      <c r="A184" s="72" t="n">
        <v>5943</v>
      </c>
      <c r="B184" s="73" t="n">
        <v>46193</v>
      </c>
      <c r="C184" s="74" t="s">
        <v>374</v>
      </c>
      <c r="D184" s="75" t="n">
        <v>50232</v>
      </c>
      <c r="E184" s="52" t="str">
        <f aca="false">IF(D184&lt;&gt;"",IFERROR(VLOOKUP(D184,PROVEEDORES!$A:$B,2,0),"!COD NO ENCONTRADO"),"")</f>
        <v>XESTION NOVA LONXA RIVEIRA S.L.</v>
      </c>
      <c r="F184" s="76" t="str">
        <f aca="false">IF(D184&lt;&gt;"",IFERROR(VLOOKUP(D184,PROVEEDORES!$A:$C,3,0),""),"")</f>
        <v>S</v>
      </c>
      <c r="G184" s="75" t="s">
        <v>270</v>
      </c>
      <c r="H184" s="52" t="str">
        <f aca="false">IF(G184&lt;&gt;"",IFERROR(VLOOKUP(G184,PRODUCTOS!$A:$B,2,0),"!COD NO ENCONTRADO"),"")</f>
        <v>PEON/ PION (ATP)</v>
      </c>
      <c r="I184" s="77" t="n">
        <v>10</v>
      </c>
      <c r="J184" s="78" t="n">
        <v>48.25</v>
      </c>
      <c r="K184" s="79" t="n">
        <v>4</v>
      </c>
      <c r="L184" s="80" t="n">
        <f aca="false">IF(AND(J184&lt;&gt;"",K184&lt;&gt;""),J184*K184,"")</f>
        <v>193</v>
      </c>
      <c r="M184" s="81" t="n">
        <f aca="false">IF(L184&lt;&gt;"",L184*1.1,"")</f>
        <v>212.3</v>
      </c>
      <c r="N184" s="53" t="n">
        <f aca="false">IF(F184="S",L184*0.02,0)</f>
        <v>3.86</v>
      </c>
      <c r="O184" s="82" t="n">
        <f aca="false">IF(L184&lt;&gt;"",L184+N184,"")</f>
        <v>196.86</v>
      </c>
      <c r="P184" s="53" t="n">
        <f aca="false">IF(O184&lt;&gt;"",O184*0.1,"")</f>
        <v>19.686</v>
      </c>
      <c r="Q184" s="83" t="n">
        <f aca="false">IF(O184&lt;&gt;"",O184+P184,"")</f>
        <v>216.546</v>
      </c>
      <c r="R184" s="84"/>
    </row>
    <row r="185" customFormat="false" ht="15" hidden="false" customHeight="true" outlineLevel="0" collapsed="false">
      <c r="A185" s="72" t="n">
        <v>5943</v>
      </c>
      <c r="B185" s="85" t="n">
        <v>46193</v>
      </c>
      <c r="C185" s="86" t="s">
        <v>374</v>
      </c>
      <c r="D185" s="87" t="n">
        <v>50232</v>
      </c>
      <c r="E185" s="46" t="str">
        <f aca="false">IF(D185&lt;&gt;"",IFERROR(VLOOKUP(D185,PROVEEDORES!$A:$B,2,0),"!COD NO ENCONTRADO"),"")</f>
        <v>XESTION NOVA LONXA RIVEIRA S.L.</v>
      </c>
      <c r="F185" s="88" t="str">
        <f aca="false">IF(D185&lt;&gt;"",IFERROR(VLOOKUP(D185,PROVEEDORES!$A:$C,3,0),""),"")</f>
        <v>S</v>
      </c>
      <c r="G185" s="87" t="s">
        <v>296</v>
      </c>
      <c r="H185" s="46" t="str">
        <f aca="false">IF(G185&lt;&gt;"",IFERROR(VLOOKUP(G185,PRODUCTOS!$A:$B,2,0),"!COD NO ENCONTRADO"),"")</f>
        <v>RAPE NEGRO (ANK)</v>
      </c>
      <c r="I185" s="89" t="n">
        <v>1</v>
      </c>
      <c r="J185" s="90" t="n">
        <v>3.6</v>
      </c>
      <c r="K185" s="91" t="n">
        <v>3</v>
      </c>
      <c r="L185" s="80" t="n">
        <f aca="false">IF(AND(J185&lt;&gt;"",K185&lt;&gt;""),J185*K185,"")</f>
        <v>10.8</v>
      </c>
      <c r="M185" s="81" t="n">
        <f aca="false">IF(L185&lt;&gt;"",L185*1.1,"")</f>
        <v>11.88</v>
      </c>
      <c r="N185" s="47" t="n">
        <f aca="false">IF(F185="S",L185*0.02,0)</f>
        <v>0.216</v>
      </c>
      <c r="O185" s="82" t="n">
        <f aca="false">IF(L185&lt;&gt;"",L185+N185,"")</f>
        <v>11.016</v>
      </c>
      <c r="P185" s="47" t="n">
        <f aca="false">IF(O185&lt;&gt;"",O185*0.1,"")</f>
        <v>1.1016</v>
      </c>
      <c r="Q185" s="83" t="n">
        <f aca="false">IF(O185&lt;&gt;"",O185+P185,"")</f>
        <v>12.1176</v>
      </c>
      <c r="R185" s="84"/>
    </row>
    <row r="186" customFormat="false" ht="15" hidden="false" customHeight="true" outlineLevel="0" collapsed="false">
      <c r="A186" s="72" t="n">
        <v>5943</v>
      </c>
      <c r="B186" s="73" t="n">
        <v>46193</v>
      </c>
      <c r="C186" s="74" t="s">
        <v>374</v>
      </c>
      <c r="D186" s="75" t="n">
        <v>50232</v>
      </c>
      <c r="E186" s="52" t="str">
        <f aca="false">IF(D186&lt;&gt;"",IFERROR(VLOOKUP(D186,PROVEEDORES!$A:$B,2,0),"!COD NO ENCONTRADO"),"")</f>
        <v>XESTION NOVA LONXA RIVEIRA S.L.</v>
      </c>
      <c r="F186" s="76" t="str">
        <f aca="false">IF(D186&lt;&gt;"",IFERROR(VLOOKUP(D186,PROVEEDORES!$A:$C,3,0),""),"")</f>
        <v>S</v>
      </c>
      <c r="G186" s="75" t="s">
        <v>332</v>
      </c>
      <c r="H186" s="52" t="str">
        <f aca="false">IF(G186&lt;&gt;"",IFERROR(VLOOKUP(G186,PRODUCTOS!$A:$B,2,0),"!COD NO ENCONTRADO"),"")</f>
        <v>VARIADO PEQUEÑO</v>
      </c>
      <c r="I186" s="77" t="n">
        <v>4</v>
      </c>
      <c r="J186" s="78" t="n">
        <v>27.75</v>
      </c>
      <c r="K186" s="79" t="n">
        <v>1.5</v>
      </c>
      <c r="L186" s="80" t="n">
        <f aca="false">IF(AND(J186&lt;&gt;"",K186&lt;&gt;""),J186*K186,"")</f>
        <v>41.625</v>
      </c>
      <c r="M186" s="81" t="n">
        <f aca="false">IF(L186&lt;&gt;"",L186*1.1,"")</f>
        <v>45.7875</v>
      </c>
      <c r="N186" s="53" t="n">
        <f aca="false">IF(F186="S",L186*0.02,0)</f>
        <v>0.8325</v>
      </c>
      <c r="O186" s="82" t="n">
        <f aca="false">IF(L186&lt;&gt;"",L186+N186,"")</f>
        <v>42.4575</v>
      </c>
      <c r="P186" s="53" t="n">
        <f aca="false">IF(O186&lt;&gt;"",O186*0.1,"")</f>
        <v>4.24575</v>
      </c>
      <c r="Q186" s="83" t="n">
        <f aca="false">IF(O186&lt;&gt;"",O186+P186,"")</f>
        <v>46.70325</v>
      </c>
      <c r="R186" s="84"/>
    </row>
    <row r="187" customFormat="false" ht="15" hidden="false" customHeight="true" outlineLevel="0" collapsed="false">
      <c r="A187" s="72" t="n">
        <v>5943</v>
      </c>
      <c r="B187" s="85" t="n">
        <v>46193</v>
      </c>
      <c r="C187" s="86" t="s">
        <v>374</v>
      </c>
      <c r="D187" s="87" t="n">
        <v>50232</v>
      </c>
      <c r="E187" s="46" t="str">
        <f aca="false">IF(D187&lt;&gt;"",IFERROR(VLOOKUP(D187,PROVEEDORES!$A:$B,2,0),"!COD NO ENCONTRADO"),"")</f>
        <v>XESTION NOVA LONXA RIVEIRA S.L.</v>
      </c>
      <c r="F187" s="88" t="str">
        <f aca="false">IF(D187&lt;&gt;"",IFERROR(VLOOKUP(D187,PROVEEDORES!$A:$C,3,0),""),"")</f>
        <v>S</v>
      </c>
      <c r="G187" s="87" t="s">
        <v>326</v>
      </c>
      <c r="H187" s="46" t="str">
        <f aca="false">IF(G187&lt;&gt;"",IFERROR(VLOOKUP(G187,PRODUCTOS!$A:$B,2,0),"!COD NO ENCONTRADO"),"")</f>
        <v>SARGO RIA (SWA)</v>
      </c>
      <c r="I187" s="89" t="n">
        <v>1</v>
      </c>
      <c r="J187" s="90" t="n">
        <v>3.3</v>
      </c>
      <c r="K187" s="91" t="n">
        <v>11.7</v>
      </c>
      <c r="L187" s="80" t="n">
        <f aca="false">IF(AND(J187&lt;&gt;"",K187&lt;&gt;""),J187*K187,"")</f>
        <v>38.61</v>
      </c>
      <c r="M187" s="81" t="n">
        <f aca="false">IF(L187&lt;&gt;"",L187*1.1,"")</f>
        <v>42.471</v>
      </c>
      <c r="N187" s="47" t="n">
        <f aca="false">IF(F187="S",L187*0.02,0)</f>
        <v>0.7722</v>
      </c>
      <c r="O187" s="82" t="n">
        <f aca="false">IF(L187&lt;&gt;"",L187+N187,"")</f>
        <v>39.3822</v>
      </c>
      <c r="P187" s="47" t="n">
        <f aca="false">IF(O187&lt;&gt;"",O187*0.1,"")</f>
        <v>3.93822</v>
      </c>
      <c r="Q187" s="83" t="n">
        <f aca="false">IF(O187&lt;&gt;"",O187+P187,"")</f>
        <v>43.32042</v>
      </c>
      <c r="R187" s="84"/>
    </row>
    <row r="188" customFormat="false" ht="15" hidden="false" customHeight="true" outlineLevel="0" collapsed="false">
      <c r="A188" s="72" t="n">
        <v>5943</v>
      </c>
      <c r="B188" s="73" t="n">
        <v>46193</v>
      </c>
      <c r="C188" s="74" t="s">
        <v>374</v>
      </c>
      <c r="D188" s="75" t="n">
        <v>50232</v>
      </c>
      <c r="E188" s="52" t="str">
        <f aca="false">IF(D188&lt;&gt;"",IFERROR(VLOOKUP(D188,PROVEEDORES!$A:$B,2,0),"!COD NO ENCONTRADO"),"")</f>
        <v>XESTION NOVA LONXA RIVEIRA S.L.</v>
      </c>
      <c r="F188" s="76" t="str">
        <f aca="false">IF(D188&lt;&gt;"",IFERROR(VLOOKUP(D188,PROVEEDORES!$A:$C,3,0),""),"")</f>
        <v>S</v>
      </c>
      <c r="G188" s="75" t="s">
        <v>326</v>
      </c>
      <c r="H188" s="52" t="str">
        <f aca="false">IF(G188&lt;&gt;"",IFERROR(VLOOKUP(G188,PRODUCTOS!$A:$B,2,0),"!COD NO ENCONTRADO"),"")</f>
        <v>SARGO RIA (SWA)</v>
      </c>
      <c r="I188" s="77" t="n">
        <v>4</v>
      </c>
      <c r="J188" s="78" t="n">
        <v>11.5</v>
      </c>
      <c r="K188" s="79" t="n">
        <v>12.5</v>
      </c>
      <c r="L188" s="80" t="n">
        <f aca="false">IF(AND(J188&lt;&gt;"",K188&lt;&gt;""),J188*K188,"")</f>
        <v>143.75</v>
      </c>
      <c r="M188" s="81" t="n">
        <f aca="false">IF(L188&lt;&gt;"",L188*1.1,"")</f>
        <v>158.125</v>
      </c>
      <c r="N188" s="53" t="n">
        <f aca="false">IF(F188="S",L188*0.02,0)</f>
        <v>2.875</v>
      </c>
      <c r="O188" s="82" t="n">
        <f aca="false">IF(L188&lt;&gt;"",L188+N188,"")</f>
        <v>146.625</v>
      </c>
      <c r="P188" s="53" t="n">
        <f aca="false">IF(O188&lt;&gt;"",O188*0.1,"")</f>
        <v>14.6625</v>
      </c>
      <c r="Q188" s="83" t="n">
        <f aca="false">IF(O188&lt;&gt;"",O188+P188,"")</f>
        <v>161.2875</v>
      </c>
      <c r="R188" s="84"/>
    </row>
    <row r="189" customFormat="false" ht="15" hidden="false" customHeight="true" outlineLevel="0" collapsed="false">
      <c r="A189" s="72" t="n">
        <v>5943</v>
      </c>
      <c r="B189" s="85" t="n">
        <v>46193</v>
      </c>
      <c r="C189" s="86" t="s">
        <v>374</v>
      </c>
      <c r="D189" s="87" t="n">
        <v>50232</v>
      </c>
      <c r="E189" s="46" t="str">
        <f aca="false">IF(D189&lt;&gt;"",IFERROR(VLOOKUP(D189,PROVEEDORES!$A:$B,2,0),"!COD NO ENCONTRADO"),"")</f>
        <v>XESTION NOVA LONXA RIVEIRA S.L.</v>
      </c>
      <c r="F189" s="88" t="str">
        <f aca="false">IF(D189&lt;&gt;"",IFERROR(VLOOKUP(D189,PROVEEDORES!$A:$C,3,0),""),"")</f>
        <v>S</v>
      </c>
      <c r="G189" s="87" t="s">
        <v>288</v>
      </c>
      <c r="H189" s="46" t="str">
        <f aca="false">IF(G189&lt;&gt;"",IFERROR(VLOOKUP(G189,PRODUCTOS!$A:$B,2,0),"!COD NO ENCONTRADO"),"")</f>
        <v>RAPE BLANCO DIA (MON)</v>
      </c>
      <c r="I189" s="89" t="n">
        <v>1</v>
      </c>
      <c r="J189" s="90" t="n">
        <v>14</v>
      </c>
      <c r="K189" s="91" t="n">
        <v>4</v>
      </c>
      <c r="L189" s="80" t="n">
        <f aca="false">IF(AND(J189&lt;&gt;"",K189&lt;&gt;""),J189*K189,"")</f>
        <v>56</v>
      </c>
      <c r="M189" s="81" t="n">
        <f aca="false">IF(L189&lt;&gt;"",L189*1.1,"")</f>
        <v>61.6</v>
      </c>
      <c r="N189" s="47" t="n">
        <f aca="false">IF(F189="S",L189*0.02,0)</f>
        <v>1.12</v>
      </c>
      <c r="O189" s="82" t="n">
        <f aca="false">IF(L189&lt;&gt;"",L189+N189,"")</f>
        <v>57.12</v>
      </c>
      <c r="P189" s="47" t="n">
        <f aca="false">IF(O189&lt;&gt;"",O189*0.1,"")</f>
        <v>5.712</v>
      </c>
      <c r="Q189" s="83" t="n">
        <f aca="false">IF(O189&lt;&gt;"",O189+P189,"")</f>
        <v>62.832</v>
      </c>
      <c r="R189" s="84"/>
    </row>
    <row r="190" customFormat="false" ht="15" hidden="false" customHeight="true" outlineLevel="0" collapsed="false">
      <c r="A190" s="72" t="n">
        <v>5943</v>
      </c>
      <c r="B190" s="73" t="n">
        <v>46193</v>
      </c>
      <c r="C190" s="86" t="s">
        <v>374</v>
      </c>
      <c r="D190" s="75" t="n">
        <v>50232</v>
      </c>
      <c r="E190" s="52" t="str">
        <f aca="false">IF(D190&lt;&gt;"",IFERROR(VLOOKUP(D190,PROVEEDORES!$A:$B,2,0),"!COD NO ENCONTRADO"),"")</f>
        <v>XESTION NOVA LONXA RIVEIRA S.L.</v>
      </c>
      <c r="F190" s="76" t="str">
        <f aca="false">IF(D190&lt;&gt;"",IFERROR(VLOOKUP(D190,PROVEEDORES!$A:$C,3,0),""),"")</f>
        <v>S</v>
      </c>
      <c r="G190" s="75" t="s">
        <v>270</v>
      </c>
      <c r="H190" s="52" t="str">
        <f aca="false">IF(G190&lt;&gt;"",IFERROR(VLOOKUP(G190,PRODUCTOS!$A:$B,2,0),"!COD NO ENCONTRADO"),"")</f>
        <v>PEON/ PION (ATP)</v>
      </c>
      <c r="I190" s="77" t="n">
        <v>2</v>
      </c>
      <c r="J190" s="78" t="n">
        <v>15.2</v>
      </c>
      <c r="K190" s="79" t="n">
        <v>3.5</v>
      </c>
      <c r="L190" s="80" t="n">
        <f aca="false">IF(AND(J190&lt;&gt;"",K190&lt;&gt;""),J190*K190,"")</f>
        <v>53.2</v>
      </c>
      <c r="M190" s="81" t="n">
        <f aca="false">IF(L190&lt;&gt;"",L190*1.1,"")</f>
        <v>58.52</v>
      </c>
      <c r="N190" s="53" t="n">
        <f aca="false">IF(F190="S",L190*0.02,0)</f>
        <v>1.064</v>
      </c>
      <c r="O190" s="82" t="n">
        <f aca="false">IF(L190&lt;&gt;"",L190+N190,"")</f>
        <v>54.264</v>
      </c>
      <c r="P190" s="53" t="n">
        <f aca="false">IF(O190&lt;&gt;"",O190*0.1,"")</f>
        <v>5.4264</v>
      </c>
      <c r="Q190" s="83" t="n">
        <f aca="false">IF(O190&lt;&gt;"",O190+P190,"")</f>
        <v>59.6904</v>
      </c>
      <c r="R190" s="84"/>
    </row>
    <row r="191" customFormat="false" ht="15" hidden="false" customHeight="true" outlineLevel="0" collapsed="false">
      <c r="A191" s="72" t="n">
        <v>5943</v>
      </c>
      <c r="B191" s="85" t="n">
        <v>46193</v>
      </c>
      <c r="C191" s="86" t="s">
        <v>374</v>
      </c>
      <c r="D191" s="87" t="n">
        <v>50232</v>
      </c>
      <c r="E191" s="46" t="str">
        <f aca="false">IF(D191&lt;&gt;"",IFERROR(VLOOKUP(D191,PROVEEDORES!$A:$B,2,0),"!COD NO ENCONTRADO"),"")</f>
        <v>XESTION NOVA LONXA RIVEIRA S.L.</v>
      </c>
      <c r="F191" s="88" t="str">
        <f aca="false">IF(D191&lt;&gt;"",IFERROR(VLOOKUP(D191,PROVEEDORES!$A:$C,3,0),""),"")</f>
        <v>S</v>
      </c>
      <c r="G191" s="87" t="s">
        <v>179</v>
      </c>
      <c r="H191" s="46" t="str">
        <f aca="false">IF(G191&lt;&gt;"",IFERROR(VLOOKUP(G191,PRODUCTOS!$A:$B,2,0),"!COD NO ENCONTRADO"),"")</f>
        <v>LIRIO/ BACALADILLA/ PERLA (WHB)</v>
      </c>
      <c r="I191" s="89" t="n">
        <v>50</v>
      </c>
      <c r="J191" s="90" t="n">
        <v>310</v>
      </c>
      <c r="K191" s="91" t="n">
        <v>1.17</v>
      </c>
      <c r="L191" s="80" t="n">
        <f aca="false">IF(AND(J191&lt;&gt;"",K191&lt;&gt;""),J191*K191,"")</f>
        <v>362.7</v>
      </c>
      <c r="M191" s="81" t="n">
        <f aca="false">IF(L191&lt;&gt;"",L191*1.1,"")</f>
        <v>398.97</v>
      </c>
      <c r="N191" s="47" t="n">
        <f aca="false">IF(F191="S",L191*0.02,0)</f>
        <v>7.254</v>
      </c>
      <c r="O191" s="82" t="n">
        <f aca="false">IF(L191&lt;&gt;"",L191+N191,"")</f>
        <v>369.954</v>
      </c>
      <c r="P191" s="47" t="n">
        <f aca="false">IF(O191&lt;&gt;"",O191*0.1,"")</f>
        <v>36.9954</v>
      </c>
      <c r="Q191" s="83" t="n">
        <f aca="false">IF(O191&lt;&gt;"",O191+P191,"")</f>
        <v>406.9494</v>
      </c>
      <c r="R191" s="84"/>
    </row>
    <row r="192" customFormat="false" ht="15" hidden="false" customHeight="true" outlineLevel="0" collapsed="false">
      <c r="A192" s="72" t="n">
        <v>5943</v>
      </c>
      <c r="B192" s="85" t="n">
        <v>46193</v>
      </c>
      <c r="C192" s="86"/>
      <c r="D192" s="87" t="n">
        <v>50232</v>
      </c>
      <c r="E192" s="46" t="str">
        <f aca="false">IF(D192&lt;&gt;"",IFERROR(VLOOKUP(D192,PROVEEDORES!$A:$B,2,0),"!COD NO ENCONTRADO"),"")</f>
        <v>XESTION NOVA LONXA RIVEIRA S.L.</v>
      </c>
      <c r="F192" s="88" t="str">
        <f aca="false">IF(D192&lt;&gt;"",IFERROR(VLOOKUP(D192,PROVEEDORES!$A:$C,3,0),""),"")</f>
        <v>S</v>
      </c>
      <c r="G192" s="87" t="s">
        <v>179</v>
      </c>
      <c r="H192" s="46" t="str">
        <f aca="false">IF(G192&lt;&gt;"",IFERROR(VLOOKUP(G192,PRODUCTOS!$A:$B,2,0),"!COD NO ENCONTRADO"),"")</f>
        <v>LIRIO/ BACALADILLA/ PERLA (WHB)</v>
      </c>
      <c r="I192" s="89" t="n">
        <v>30</v>
      </c>
      <c r="J192" s="90" t="n">
        <v>150</v>
      </c>
      <c r="K192" s="91" t="n">
        <v>1.2</v>
      </c>
      <c r="L192" s="80" t="n">
        <f aca="false">IF(AND(J192&lt;&gt;"",K192&lt;&gt;""),J192*K192,"")</f>
        <v>180</v>
      </c>
      <c r="M192" s="81" t="n">
        <f aca="false">IF(L192&lt;&gt;"",L192*1.1,"")</f>
        <v>198</v>
      </c>
      <c r="N192" s="47" t="n">
        <f aca="false">IF(F192="S",L192*0.02,0)</f>
        <v>3.6</v>
      </c>
      <c r="O192" s="82" t="n">
        <f aca="false">IF(L192&lt;&gt;"",L192+N192,"")</f>
        <v>183.6</v>
      </c>
      <c r="P192" s="47" t="n">
        <f aca="false">IF(O192&lt;&gt;"",O192*0.1,"")</f>
        <v>18.36</v>
      </c>
      <c r="Q192" s="83" t="n">
        <f aca="false">IF(O192&lt;&gt;"",O192+P192,"")</f>
        <v>201.96</v>
      </c>
      <c r="R192" s="84"/>
    </row>
    <row r="193" customFormat="false" ht="15" hidden="false" customHeight="true" outlineLevel="0" collapsed="false">
      <c r="A193" s="72" t="n">
        <v>5944</v>
      </c>
      <c r="B193" s="85" t="n">
        <v>46193</v>
      </c>
      <c r="C193" s="86" t="n">
        <v>17020</v>
      </c>
      <c r="D193" s="87" t="n">
        <v>50163</v>
      </c>
      <c r="E193" s="46" t="s">
        <v>375</v>
      </c>
      <c r="F193" s="88" t="s">
        <v>365</v>
      </c>
      <c r="G193" s="87" t="s">
        <v>103</v>
      </c>
      <c r="H193" s="46" t="s">
        <v>104</v>
      </c>
      <c r="I193" s="89" t="n">
        <v>1</v>
      </c>
      <c r="J193" s="90" t="n">
        <v>0.9</v>
      </c>
      <c r="K193" s="91" t="n">
        <v>11.2</v>
      </c>
      <c r="L193" s="80" t="n">
        <v>10.08</v>
      </c>
      <c r="M193" s="81" t="n">
        <v>11.088</v>
      </c>
      <c r="N193" s="47" t="n">
        <v>0.2016</v>
      </c>
      <c r="O193" s="82" t="n">
        <v>10.2816</v>
      </c>
      <c r="P193" s="47" t="n">
        <v>1.02816</v>
      </c>
      <c r="Q193" s="83" t="n">
        <v>11.30976</v>
      </c>
      <c r="R193" s="84"/>
    </row>
    <row r="194" customFormat="false" ht="15" hidden="false" customHeight="true" outlineLevel="0" collapsed="false">
      <c r="A194" s="72" t="n">
        <v>5944</v>
      </c>
      <c r="B194" s="73" t="n">
        <v>46193</v>
      </c>
      <c r="C194" s="74" t="n">
        <v>17020</v>
      </c>
      <c r="D194" s="75" t="n">
        <v>50163</v>
      </c>
      <c r="E194" s="52" t="s">
        <v>375</v>
      </c>
      <c r="F194" s="76" t="s">
        <v>365</v>
      </c>
      <c r="G194" s="75" t="s">
        <v>207</v>
      </c>
      <c r="H194" s="52" t="s">
        <v>208</v>
      </c>
      <c r="I194" s="77" t="n">
        <v>2</v>
      </c>
      <c r="J194" s="78" t="n">
        <v>11.9</v>
      </c>
      <c r="K194" s="79" t="n">
        <v>10.1</v>
      </c>
      <c r="L194" s="80" t="n">
        <v>120.19</v>
      </c>
      <c r="M194" s="81" t="n">
        <v>132.209</v>
      </c>
      <c r="N194" s="53" t="n">
        <v>2.4038</v>
      </c>
      <c r="O194" s="82" t="n">
        <v>122.5938</v>
      </c>
      <c r="P194" s="53" t="n">
        <v>12.25938</v>
      </c>
      <c r="Q194" s="83" t="n">
        <v>134.85318</v>
      </c>
      <c r="R194" s="84"/>
    </row>
    <row r="195" customFormat="false" ht="15" hidden="false" customHeight="true" outlineLevel="0" collapsed="false">
      <c r="A195" s="72" t="n">
        <v>5944</v>
      </c>
      <c r="B195" s="85" t="n">
        <v>46193</v>
      </c>
      <c r="C195" s="86" t="n">
        <v>17020</v>
      </c>
      <c r="D195" s="87" t="n">
        <v>50163</v>
      </c>
      <c r="E195" s="46" t="s">
        <v>375</v>
      </c>
      <c r="F195" s="88" t="s">
        <v>365</v>
      </c>
      <c r="G195" s="87" t="s">
        <v>216</v>
      </c>
      <c r="H195" s="46" t="s">
        <v>217</v>
      </c>
      <c r="I195" s="89" t="n">
        <v>3</v>
      </c>
      <c r="J195" s="90" t="n">
        <v>19.4</v>
      </c>
      <c r="K195" s="91" t="n">
        <v>8.9</v>
      </c>
      <c r="L195" s="80" t="n">
        <v>172.66</v>
      </c>
      <c r="M195" s="81" t="n">
        <v>189.926</v>
      </c>
      <c r="N195" s="47" t="n">
        <v>3.4532</v>
      </c>
      <c r="O195" s="82" t="n">
        <v>176.1132</v>
      </c>
      <c r="P195" s="47" t="n">
        <v>17.61132</v>
      </c>
      <c r="Q195" s="83" t="n">
        <v>193.72452</v>
      </c>
      <c r="R195" s="84"/>
    </row>
    <row r="196" customFormat="false" ht="15" hidden="false" customHeight="true" outlineLevel="0" collapsed="false">
      <c r="A196" s="72" t="n">
        <v>5944</v>
      </c>
      <c r="B196" s="73" t="n">
        <v>46193</v>
      </c>
      <c r="C196" s="74" t="n">
        <v>17020</v>
      </c>
      <c r="D196" s="75" t="n">
        <v>50163</v>
      </c>
      <c r="E196" s="52" t="s">
        <v>375</v>
      </c>
      <c r="F196" s="76" t="s">
        <v>365</v>
      </c>
      <c r="G196" s="75" t="s">
        <v>233</v>
      </c>
      <c r="H196" s="52" t="s">
        <v>234</v>
      </c>
      <c r="I196" s="77" t="n">
        <v>1</v>
      </c>
      <c r="J196" s="78" t="n">
        <v>18.25</v>
      </c>
      <c r="K196" s="79" t="n">
        <v>3.2</v>
      </c>
      <c r="L196" s="80" t="n">
        <v>58.4</v>
      </c>
      <c r="M196" s="81" t="n">
        <v>64.24</v>
      </c>
      <c r="N196" s="53" t="n">
        <v>1.168</v>
      </c>
      <c r="O196" s="82" t="n">
        <v>59.568</v>
      </c>
      <c r="P196" s="53" t="n">
        <v>5.9568</v>
      </c>
      <c r="Q196" s="83" t="n">
        <v>65.5248</v>
      </c>
      <c r="R196" s="84"/>
    </row>
    <row r="197" customFormat="false" ht="15" hidden="false" customHeight="true" outlineLevel="0" collapsed="false">
      <c r="A197" s="72" t="n">
        <v>5944</v>
      </c>
      <c r="B197" s="85" t="n">
        <v>46193</v>
      </c>
      <c r="C197" s="86" t="n">
        <v>17020</v>
      </c>
      <c r="D197" s="87" t="n">
        <v>50163</v>
      </c>
      <c r="E197" s="46" t="s">
        <v>375</v>
      </c>
      <c r="F197" s="88" t="s">
        <v>365</v>
      </c>
      <c r="G197" s="87" t="s">
        <v>233</v>
      </c>
      <c r="H197" s="46" t="s">
        <v>234</v>
      </c>
      <c r="I197" s="89" t="n">
        <v>1</v>
      </c>
      <c r="J197" s="90" t="n">
        <v>17.75</v>
      </c>
      <c r="K197" s="91" t="n">
        <v>55</v>
      </c>
      <c r="L197" s="80" t="n">
        <v>976.25</v>
      </c>
      <c r="M197" s="81" t="n">
        <v>1073.875</v>
      </c>
      <c r="N197" s="47" t="n">
        <v>19.525</v>
      </c>
      <c r="O197" s="82" t="n">
        <v>995.775</v>
      </c>
      <c r="P197" s="47" t="n">
        <v>99.5775</v>
      </c>
      <c r="Q197" s="83" t="n">
        <v>1095.3525</v>
      </c>
      <c r="R197" s="84"/>
    </row>
    <row r="198" customFormat="false" ht="15" hidden="false" customHeight="true" outlineLevel="0" collapsed="false">
      <c r="A198" s="72" t="n">
        <v>5944</v>
      </c>
      <c r="B198" s="73" t="n">
        <v>46193</v>
      </c>
      <c r="C198" s="74" t="n">
        <v>17020</v>
      </c>
      <c r="D198" s="75" t="n">
        <v>50163</v>
      </c>
      <c r="E198" s="52" t="s">
        <v>375</v>
      </c>
      <c r="F198" s="76" t="s">
        <v>365</v>
      </c>
      <c r="G198" s="75" t="s">
        <v>103</v>
      </c>
      <c r="H198" s="52" t="s">
        <v>104</v>
      </c>
      <c r="I198" s="77" t="n">
        <v>3</v>
      </c>
      <c r="J198" s="78" t="n">
        <v>7.5</v>
      </c>
      <c r="K198" s="79" t="n">
        <v>16.8</v>
      </c>
      <c r="L198" s="80" t="n">
        <v>126</v>
      </c>
      <c r="M198" s="81" t="n">
        <v>138.6</v>
      </c>
      <c r="N198" s="53" t="n">
        <v>2.52</v>
      </c>
      <c r="O198" s="82" t="n">
        <v>128.52</v>
      </c>
      <c r="P198" s="53" t="n">
        <v>12.852</v>
      </c>
      <c r="Q198" s="83" t="n">
        <v>141.372</v>
      </c>
      <c r="R198" s="84"/>
    </row>
    <row r="199" customFormat="false" ht="15" hidden="false" customHeight="true" outlineLevel="0" collapsed="false">
      <c r="A199" s="72" t="n">
        <v>5944</v>
      </c>
      <c r="B199" s="85" t="n">
        <v>46193</v>
      </c>
      <c r="C199" s="86" t="n">
        <v>17020</v>
      </c>
      <c r="D199" s="87" t="n">
        <v>50163</v>
      </c>
      <c r="E199" s="46" t="s">
        <v>375</v>
      </c>
      <c r="F199" s="88" t="s">
        <v>365</v>
      </c>
      <c r="G199" s="87" t="s">
        <v>103</v>
      </c>
      <c r="H199" s="46" t="s">
        <v>104</v>
      </c>
      <c r="I199" s="89" t="n">
        <v>3</v>
      </c>
      <c r="J199" s="90" t="n">
        <v>12.2</v>
      </c>
      <c r="K199" s="91" t="n">
        <v>16.2</v>
      </c>
      <c r="L199" s="80" t="n">
        <v>197.64</v>
      </c>
      <c r="M199" s="81" t="n">
        <v>217.404</v>
      </c>
      <c r="N199" s="47" t="n">
        <v>3.9528</v>
      </c>
      <c r="O199" s="82" t="n">
        <v>201.5928</v>
      </c>
      <c r="P199" s="47" t="n">
        <v>20.15928</v>
      </c>
      <c r="Q199" s="83" t="n">
        <v>221.75208</v>
      </c>
      <c r="R199" s="84"/>
    </row>
    <row r="200" customFormat="false" ht="15" hidden="false" customHeight="true" outlineLevel="0" collapsed="false">
      <c r="A200" s="72" t="n">
        <v>5944</v>
      </c>
      <c r="B200" s="73" t="n">
        <v>46193</v>
      </c>
      <c r="C200" s="74" t="n">
        <v>17020</v>
      </c>
      <c r="D200" s="75" t="n">
        <v>50163</v>
      </c>
      <c r="E200" s="52" t="s">
        <v>375</v>
      </c>
      <c r="F200" s="76" t="s">
        <v>365</v>
      </c>
      <c r="G200" s="75" t="s">
        <v>103</v>
      </c>
      <c r="H200" s="52" t="s">
        <v>104</v>
      </c>
      <c r="I200" s="77" t="n">
        <v>3</v>
      </c>
      <c r="J200" s="78" t="n">
        <v>20.75</v>
      </c>
      <c r="K200" s="79" t="n">
        <v>10.9</v>
      </c>
      <c r="L200" s="80" t="n">
        <v>226.175</v>
      </c>
      <c r="M200" s="81" t="n">
        <v>248.7925</v>
      </c>
      <c r="N200" s="53" t="n">
        <v>4.5235</v>
      </c>
      <c r="O200" s="82" t="n">
        <v>230.6985</v>
      </c>
      <c r="P200" s="53" t="n">
        <v>23.06985</v>
      </c>
      <c r="Q200" s="83" t="n">
        <v>253.76835</v>
      </c>
      <c r="R200" s="84"/>
    </row>
    <row r="201" customFormat="false" ht="15" hidden="false" customHeight="true" outlineLevel="0" collapsed="false">
      <c r="A201" s="72" t="n">
        <v>5944</v>
      </c>
      <c r="B201" s="85" t="n">
        <v>46193</v>
      </c>
      <c r="C201" s="86" t="n">
        <v>17020</v>
      </c>
      <c r="D201" s="87" t="n">
        <v>50163</v>
      </c>
      <c r="E201" s="46" t="s">
        <v>375</v>
      </c>
      <c r="F201" s="88" t="s">
        <v>365</v>
      </c>
      <c r="G201" s="87" t="s">
        <v>103</v>
      </c>
      <c r="H201" s="46" t="s">
        <v>104</v>
      </c>
      <c r="I201" s="89" t="n">
        <v>2</v>
      </c>
      <c r="J201" s="90" t="n">
        <v>12.4</v>
      </c>
      <c r="K201" s="91" t="n">
        <v>7.9</v>
      </c>
      <c r="L201" s="80" t="n">
        <v>97.96</v>
      </c>
      <c r="M201" s="81" t="n">
        <v>107.756</v>
      </c>
      <c r="N201" s="47" t="n">
        <v>1.9592</v>
      </c>
      <c r="O201" s="82" t="n">
        <v>99.9192</v>
      </c>
      <c r="P201" s="47" t="n">
        <v>9.99192</v>
      </c>
      <c r="Q201" s="83" t="n">
        <v>109.91112</v>
      </c>
      <c r="R201" s="84"/>
    </row>
    <row r="202" customFormat="false" ht="15" hidden="false" customHeight="true" outlineLevel="0" collapsed="false">
      <c r="A202" s="72" t="n">
        <v>5944</v>
      </c>
      <c r="B202" s="73" t="n">
        <v>46193</v>
      </c>
      <c r="C202" s="74" t="n">
        <v>17020</v>
      </c>
      <c r="D202" s="75" t="n">
        <v>50163</v>
      </c>
      <c r="E202" s="52" t="s">
        <v>375</v>
      </c>
      <c r="F202" s="76" t="s">
        <v>365</v>
      </c>
      <c r="G202" s="75" t="s">
        <v>216</v>
      </c>
      <c r="H202" s="52" t="s">
        <v>217</v>
      </c>
      <c r="I202" s="77" t="n">
        <v>1</v>
      </c>
      <c r="J202" s="78" t="n">
        <v>15.75</v>
      </c>
      <c r="K202" s="79" t="n">
        <v>7</v>
      </c>
      <c r="L202" s="80" t="n">
        <v>110.25</v>
      </c>
      <c r="M202" s="81" t="n">
        <v>121.275</v>
      </c>
      <c r="N202" s="53" t="n">
        <v>2.205</v>
      </c>
      <c r="O202" s="82" t="n">
        <v>112.455</v>
      </c>
      <c r="P202" s="53" t="n">
        <v>11.2455</v>
      </c>
      <c r="Q202" s="83" t="n">
        <v>123.7005</v>
      </c>
      <c r="R202" s="84"/>
    </row>
    <row r="203" customFormat="false" ht="15" hidden="false" customHeight="true" outlineLevel="0" collapsed="false">
      <c r="A203" s="72" t="n">
        <v>5944</v>
      </c>
      <c r="B203" s="85" t="n">
        <v>46193</v>
      </c>
      <c r="C203" s="86" t="n">
        <v>17020</v>
      </c>
      <c r="D203" s="87" t="n">
        <v>50163</v>
      </c>
      <c r="E203" s="46" t="s">
        <v>375</v>
      </c>
      <c r="F203" s="88" t="s">
        <v>365</v>
      </c>
      <c r="G203" s="87" t="s">
        <v>216</v>
      </c>
      <c r="H203" s="46" t="s">
        <v>217</v>
      </c>
      <c r="I203" s="89" t="n">
        <v>1</v>
      </c>
      <c r="J203" s="90" t="n">
        <v>5.25</v>
      </c>
      <c r="K203" s="91" t="n">
        <v>2.7</v>
      </c>
      <c r="L203" s="80" t="n">
        <v>14.175</v>
      </c>
      <c r="M203" s="81" t="n">
        <v>15.5925</v>
      </c>
      <c r="N203" s="47" t="n">
        <v>0.2835</v>
      </c>
      <c r="O203" s="82" t="n">
        <v>14.4585</v>
      </c>
      <c r="P203" s="47" t="n">
        <v>1.44585</v>
      </c>
      <c r="Q203" s="83" t="n">
        <v>15.90435</v>
      </c>
      <c r="R203" s="84"/>
    </row>
    <row r="204" customFormat="false" ht="15" hidden="false" customHeight="true" outlineLevel="0" collapsed="false">
      <c r="A204" s="72" t="n">
        <v>5944</v>
      </c>
      <c r="B204" s="73" t="n">
        <v>46193</v>
      </c>
      <c r="C204" s="74"/>
      <c r="D204" s="75" t="n">
        <v>50163</v>
      </c>
      <c r="E204" s="52" t="s">
        <v>375</v>
      </c>
      <c r="F204" s="76" t="s">
        <v>365</v>
      </c>
      <c r="G204" s="75" t="s">
        <v>296</v>
      </c>
      <c r="H204" s="52" t="s">
        <v>297</v>
      </c>
      <c r="I204" s="77" t="n">
        <v>1</v>
      </c>
      <c r="J204" s="78" t="n">
        <v>7</v>
      </c>
      <c r="K204" s="79" t="n">
        <v>0</v>
      </c>
      <c r="L204" s="80" t="n">
        <v>0</v>
      </c>
      <c r="M204" s="81" t="n">
        <v>0</v>
      </c>
      <c r="N204" s="53" t="n">
        <v>0</v>
      </c>
      <c r="O204" s="82" t="n">
        <v>0</v>
      </c>
      <c r="P204" s="53" t="n">
        <v>0</v>
      </c>
      <c r="Q204" s="83" t="n">
        <v>0</v>
      </c>
      <c r="R204" s="84"/>
    </row>
    <row r="205" customFormat="false" ht="15" hidden="false" customHeight="true" outlineLevel="0" collapsed="false">
      <c r="A205" s="72" t="n">
        <v>5944</v>
      </c>
      <c r="B205" s="85" t="n">
        <v>46193</v>
      </c>
      <c r="C205" s="86" t="n">
        <v>17020</v>
      </c>
      <c r="D205" s="87" t="n">
        <v>50163</v>
      </c>
      <c r="E205" s="46" t="s">
        <v>375</v>
      </c>
      <c r="F205" s="88" t="s">
        <v>365</v>
      </c>
      <c r="G205" s="87" t="s">
        <v>193</v>
      </c>
      <c r="H205" s="46" t="s">
        <v>376</v>
      </c>
      <c r="I205" s="89" t="n">
        <v>3</v>
      </c>
      <c r="J205" s="90" t="n">
        <v>30.75</v>
      </c>
      <c r="K205" s="91" t="n">
        <v>4</v>
      </c>
      <c r="L205" s="80" t="n">
        <v>123</v>
      </c>
      <c r="M205" s="81" t="n">
        <v>135.3</v>
      </c>
      <c r="N205" s="47" t="n">
        <v>2.46</v>
      </c>
      <c r="O205" s="82" t="n">
        <v>125.46</v>
      </c>
      <c r="P205" s="47" t="n">
        <v>12.546</v>
      </c>
      <c r="Q205" s="83" t="n">
        <v>138.006</v>
      </c>
      <c r="R205" s="84"/>
    </row>
    <row r="206" customFormat="false" ht="15" hidden="false" customHeight="true" outlineLevel="0" collapsed="false">
      <c r="A206" s="72" t="n">
        <v>5944</v>
      </c>
      <c r="B206" s="73" t="n">
        <v>46193</v>
      </c>
      <c r="C206" s="74" t="n">
        <v>17020</v>
      </c>
      <c r="D206" s="75" t="n">
        <v>50163</v>
      </c>
      <c r="E206" s="52" t="s">
        <v>375</v>
      </c>
      <c r="F206" s="76" t="s">
        <v>365</v>
      </c>
      <c r="G206" s="75" t="s">
        <v>296</v>
      </c>
      <c r="H206" s="52" t="s">
        <v>297</v>
      </c>
      <c r="I206" s="77" t="n">
        <v>1</v>
      </c>
      <c r="J206" s="78" t="n">
        <v>4.5</v>
      </c>
      <c r="K206" s="79" t="n">
        <v>4</v>
      </c>
      <c r="L206" s="80" t="n">
        <v>18</v>
      </c>
      <c r="M206" s="81" t="n">
        <v>19.8</v>
      </c>
      <c r="N206" s="53" t="n">
        <v>0.36</v>
      </c>
      <c r="O206" s="82" t="n">
        <v>18.36</v>
      </c>
      <c r="P206" s="53" t="n">
        <v>1.836</v>
      </c>
      <c r="Q206" s="83" t="n">
        <v>20.196</v>
      </c>
      <c r="R206" s="84"/>
    </row>
    <row r="207" customFormat="false" ht="15" hidden="false" customHeight="true" outlineLevel="0" collapsed="false">
      <c r="A207" s="72" t="n">
        <v>5944</v>
      </c>
      <c r="B207" s="85" t="n">
        <v>46193</v>
      </c>
      <c r="C207" s="86" t="n">
        <v>17020</v>
      </c>
      <c r="D207" s="87" t="n">
        <v>50163</v>
      </c>
      <c r="E207" s="46" t="s">
        <v>375</v>
      </c>
      <c r="F207" s="88" t="s">
        <v>365</v>
      </c>
      <c r="G207" s="87" t="s">
        <v>133</v>
      </c>
      <c r="H207" s="46" t="s">
        <v>134</v>
      </c>
      <c r="I207" s="89" t="n">
        <v>8</v>
      </c>
      <c r="J207" s="90" t="n">
        <v>67.5</v>
      </c>
      <c r="K207" s="91" t="n">
        <v>1.8</v>
      </c>
      <c r="L207" s="80" t="n">
        <v>121.5</v>
      </c>
      <c r="M207" s="81" t="n">
        <v>133.65</v>
      </c>
      <c r="N207" s="47" t="n">
        <v>2.43</v>
      </c>
      <c r="O207" s="82" t="n">
        <v>123.93</v>
      </c>
      <c r="P207" s="47" t="n">
        <v>12.393</v>
      </c>
      <c r="Q207" s="83" t="n">
        <v>136.323</v>
      </c>
      <c r="R207" s="84"/>
    </row>
    <row r="208" customFormat="false" ht="15" hidden="false" customHeight="true" outlineLevel="0" collapsed="false">
      <c r="A208" s="72" t="n">
        <v>5944</v>
      </c>
      <c r="B208" s="73" t="n">
        <v>46193</v>
      </c>
      <c r="C208" s="74" t="n">
        <v>17020</v>
      </c>
      <c r="D208" s="75" t="n">
        <v>50163</v>
      </c>
      <c r="E208" s="52" t="s">
        <v>375</v>
      </c>
      <c r="F208" s="76" t="s">
        <v>365</v>
      </c>
      <c r="G208" s="75" t="s">
        <v>332</v>
      </c>
      <c r="H208" s="52" t="s">
        <v>333</v>
      </c>
      <c r="I208" s="77" t="n">
        <v>2</v>
      </c>
      <c r="J208" s="78" t="n">
        <v>9.25</v>
      </c>
      <c r="K208" s="79" t="n">
        <v>0.5</v>
      </c>
      <c r="L208" s="80" t="n">
        <v>4.625</v>
      </c>
      <c r="M208" s="81" t="n">
        <v>5.0875</v>
      </c>
      <c r="N208" s="53" t="n">
        <v>0.0925</v>
      </c>
      <c r="O208" s="82" t="n">
        <v>4.7175</v>
      </c>
      <c r="P208" s="53" t="n">
        <v>0.47175</v>
      </c>
      <c r="Q208" s="83" t="n">
        <v>5.18925</v>
      </c>
      <c r="R208" s="84"/>
    </row>
    <row r="209" customFormat="false" ht="15" hidden="false" customHeight="true" outlineLevel="0" collapsed="false">
      <c r="A209" s="72" t="n">
        <v>5945</v>
      </c>
      <c r="B209" s="85" t="n">
        <v>46193</v>
      </c>
      <c r="C209" s="86" t="n">
        <v>32100</v>
      </c>
      <c r="D209" s="87" t="n">
        <v>50106</v>
      </c>
      <c r="E209" s="46" t="s">
        <v>377</v>
      </c>
      <c r="F209" s="88" t="s">
        <v>365</v>
      </c>
      <c r="G209" s="87" t="s">
        <v>216</v>
      </c>
      <c r="H209" s="46" t="s">
        <v>217</v>
      </c>
      <c r="I209" s="89" t="n">
        <v>2</v>
      </c>
      <c r="J209" s="90" t="n">
        <v>30</v>
      </c>
      <c r="K209" s="91" t="n">
        <v>4.6</v>
      </c>
      <c r="L209" s="80" t="n">
        <v>138</v>
      </c>
      <c r="M209" s="81" t="n">
        <v>151.8</v>
      </c>
      <c r="N209" s="47" t="n">
        <v>2.76</v>
      </c>
      <c r="O209" s="82" t="n">
        <v>140.76</v>
      </c>
      <c r="P209" s="47" t="n">
        <v>14.076</v>
      </c>
      <c r="Q209" s="83" t="n">
        <v>154.836</v>
      </c>
      <c r="R209" s="84"/>
    </row>
    <row r="210" customFormat="false" ht="15" hidden="false" customHeight="true" outlineLevel="0" collapsed="false">
      <c r="A210" s="72" t="n">
        <v>5945</v>
      </c>
      <c r="B210" s="73" t="n">
        <v>46193</v>
      </c>
      <c r="C210" s="74" t="n">
        <v>32100</v>
      </c>
      <c r="D210" s="75" t="n">
        <v>50106</v>
      </c>
      <c r="E210" s="52" t="s">
        <v>377</v>
      </c>
      <c r="F210" s="76" t="s">
        <v>365</v>
      </c>
      <c r="G210" s="75" t="s">
        <v>103</v>
      </c>
      <c r="H210" s="52" t="s">
        <v>104</v>
      </c>
      <c r="I210" s="77" t="n">
        <v>2</v>
      </c>
      <c r="J210" s="78" t="n">
        <v>15.9</v>
      </c>
      <c r="K210" s="79" t="n">
        <v>7.7</v>
      </c>
      <c r="L210" s="80" t="n">
        <v>122.43</v>
      </c>
      <c r="M210" s="81" t="n">
        <v>134.673</v>
      </c>
      <c r="N210" s="53" t="n">
        <v>2.4486</v>
      </c>
      <c r="O210" s="82" t="n">
        <v>124.8786</v>
      </c>
      <c r="P210" s="53" t="n">
        <v>12.48786</v>
      </c>
      <c r="Q210" s="83" t="n">
        <v>137.36646</v>
      </c>
      <c r="R210" s="84"/>
    </row>
    <row r="211" customFormat="false" ht="15" hidden="false" customHeight="true" outlineLevel="0" collapsed="false">
      <c r="A211" s="72" t="n">
        <v>5945</v>
      </c>
      <c r="B211" s="85" t="n">
        <v>46193</v>
      </c>
      <c r="C211" s="86" t="n">
        <v>32100</v>
      </c>
      <c r="D211" s="87" t="n">
        <v>50106</v>
      </c>
      <c r="E211" s="46" t="s">
        <v>377</v>
      </c>
      <c r="F211" s="88" t="s">
        <v>365</v>
      </c>
      <c r="G211" s="87" t="s">
        <v>103</v>
      </c>
      <c r="H211" s="46" t="s">
        <v>104</v>
      </c>
      <c r="I211" s="89" t="n">
        <v>4</v>
      </c>
      <c r="J211" s="90" t="n">
        <v>45.2</v>
      </c>
      <c r="K211" s="91" t="n">
        <v>1.9</v>
      </c>
      <c r="L211" s="80" t="n">
        <v>85.88</v>
      </c>
      <c r="M211" s="81" t="n">
        <v>94.468</v>
      </c>
      <c r="N211" s="47" t="n">
        <v>1.7176</v>
      </c>
      <c r="O211" s="82" t="n">
        <v>87.5976</v>
      </c>
      <c r="P211" s="47" t="n">
        <v>8.75976</v>
      </c>
      <c r="Q211" s="83" t="n">
        <v>96.35736</v>
      </c>
      <c r="R211" s="84"/>
    </row>
    <row r="212" customFormat="false" ht="15" hidden="false" customHeight="true" outlineLevel="0" collapsed="false">
      <c r="A212" s="72" t="n">
        <v>5945</v>
      </c>
      <c r="B212" s="73" t="n">
        <v>46193</v>
      </c>
      <c r="C212" s="74" t="n">
        <v>32100</v>
      </c>
      <c r="D212" s="75" t="n">
        <v>50106</v>
      </c>
      <c r="E212" s="52" t="s">
        <v>377</v>
      </c>
      <c r="F212" s="76" t="s">
        <v>365</v>
      </c>
      <c r="G212" s="75" t="s">
        <v>216</v>
      </c>
      <c r="H212" s="52" t="s">
        <v>217</v>
      </c>
      <c r="I212" s="77" t="n">
        <v>2</v>
      </c>
      <c r="J212" s="78" t="n">
        <v>7</v>
      </c>
      <c r="K212" s="79" t="n">
        <v>13.8</v>
      </c>
      <c r="L212" s="80" t="n">
        <v>96.6</v>
      </c>
      <c r="M212" s="81" t="n">
        <v>106.26</v>
      </c>
      <c r="N212" s="53" t="n">
        <v>1.932</v>
      </c>
      <c r="O212" s="82" t="n">
        <v>98.532</v>
      </c>
      <c r="P212" s="53" t="n">
        <v>9.8532</v>
      </c>
      <c r="Q212" s="83" t="n">
        <v>108.3852</v>
      </c>
      <c r="R212" s="84"/>
    </row>
    <row r="213" customFormat="false" ht="15" hidden="false" customHeight="true" outlineLevel="0" collapsed="false">
      <c r="A213" s="72" t="n">
        <v>5946</v>
      </c>
      <c r="B213" s="73" t="n">
        <v>46193</v>
      </c>
      <c r="C213" s="74" t="n">
        <v>6406</v>
      </c>
      <c r="D213" s="75" t="n">
        <v>50020</v>
      </c>
      <c r="E213" s="52" t="s">
        <v>378</v>
      </c>
      <c r="F213" s="76" t="s">
        <v>365</v>
      </c>
      <c r="G213" s="75" t="s">
        <v>135</v>
      </c>
      <c r="H213" s="52" t="s">
        <v>136</v>
      </c>
      <c r="I213" s="77" t="n">
        <v>1</v>
      </c>
      <c r="J213" s="78" t="n">
        <v>27.75</v>
      </c>
      <c r="K213" s="79" t="n">
        <v>3.5</v>
      </c>
      <c r="L213" s="80" t="n">
        <v>97.125</v>
      </c>
      <c r="M213" s="81" t="n">
        <v>106.8375</v>
      </c>
      <c r="N213" s="53" t="n">
        <v>1.9425</v>
      </c>
      <c r="O213" s="82" t="n">
        <v>99.0675</v>
      </c>
      <c r="P213" s="53" t="n">
        <v>9.90675</v>
      </c>
      <c r="Q213" s="83" t="n">
        <v>108.97425</v>
      </c>
      <c r="R213" s="84"/>
    </row>
    <row r="214" customFormat="false" ht="15" hidden="false" customHeight="true" outlineLevel="0" collapsed="false">
      <c r="A214" s="72" t="n">
        <v>5947</v>
      </c>
      <c r="B214" s="73" t="n">
        <v>46193</v>
      </c>
      <c r="C214" s="74"/>
      <c r="D214" s="75" t="n">
        <v>50160</v>
      </c>
      <c r="E214" s="52" t="s">
        <v>379</v>
      </c>
      <c r="F214" s="76" t="s">
        <v>365</v>
      </c>
      <c r="G214" s="75" t="s">
        <v>207</v>
      </c>
      <c r="H214" s="52" t="s">
        <v>208</v>
      </c>
      <c r="I214" s="77" t="n">
        <v>14</v>
      </c>
      <c r="J214" s="78" t="n">
        <v>206.25</v>
      </c>
      <c r="K214" s="79" t="n">
        <v>1.3</v>
      </c>
      <c r="L214" s="80" t="n">
        <v>268.125</v>
      </c>
      <c r="M214" s="81" t="n">
        <v>294.9375</v>
      </c>
      <c r="N214" s="53" t="n">
        <v>5.3625</v>
      </c>
      <c r="O214" s="82" t="n">
        <v>273.4875</v>
      </c>
      <c r="P214" s="53" t="n">
        <v>27.34875</v>
      </c>
      <c r="Q214" s="83" t="n">
        <v>300.83625</v>
      </c>
      <c r="R214" s="84"/>
    </row>
    <row r="215" customFormat="false" ht="15" hidden="false" customHeight="true" outlineLevel="0" collapsed="false">
      <c r="A215" s="72" t="n">
        <v>5947</v>
      </c>
      <c r="B215" s="85" t="n">
        <v>46193</v>
      </c>
      <c r="C215" s="86"/>
      <c r="D215" s="87" t="n">
        <v>50160</v>
      </c>
      <c r="E215" s="46" t="s">
        <v>379</v>
      </c>
      <c r="F215" s="88" t="s">
        <v>365</v>
      </c>
      <c r="G215" s="87" t="s">
        <v>207</v>
      </c>
      <c r="H215" s="46" t="s">
        <v>208</v>
      </c>
      <c r="I215" s="89" t="n">
        <v>10</v>
      </c>
      <c r="J215" s="90" t="n">
        <v>151.75</v>
      </c>
      <c r="K215" s="91" t="n">
        <v>1.4</v>
      </c>
      <c r="L215" s="80" t="n">
        <v>212.45</v>
      </c>
      <c r="M215" s="81" t="n">
        <v>233.695</v>
      </c>
      <c r="N215" s="47" t="n">
        <v>4.249</v>
      </c>
      <c r="O215" s="82" t="n">
        <v>216.699</v>
      </c>
      <c r="P215" s="47" t="n">
        <v>21.6699</v>
      </c>
      <c r="Q215" s="83" t="n">
        <v>238.3689</v>
      </c>
      <c r="R215" s="84"/>
    </row>
    <row r="216" customFormat="false" ht="15" hidden="false" customHeight="true" outlineLevel="0" collapsed="false">
      <c r="A216" s="72" t="n">
        <v>5947</v>
      </c>
      <c r="B216" s="85" t="n">
        <v>46193</v>
      </c>
      <c r="C216" s="86"/>
      <c r="D216" s="87" t="n">
        <v>50160</v>
      </c>
      <c r="E216" s="46" t="s">
        <v>379</v>
      </c>
      <c r="F216" s="88" t="s">
        <v>365</v>
      </c>
      <c r="G216" s="87" t="s">
        <v>179</v>
      </c>
      <c r="H216" s="46" t="s">
        <v>180</v>
      </c>
      <c r="I216" s="89" t="n">
        <v>30</v>
      </c>
      <c r="J216" s="90" t="n">
        <v>160</v>
      </c>
      <c r="K216" s="91" t="n">
        <v>1.11</v>
      </c>
      <c r="L216" s="80" t="n">
        <v>177.6</v>
      </c>
      <c r="M216" s="81" t="n">
        <v>195.36</v>
      </c>
      <c r="N216" s="47" t="n">
        <v>3.552</v>
      </c>
      <c r="O216" s="82" t="n">
        <v>181.152</v>
      </c>
      <c r="P216" s="47" t="n">
        <v>18.1152</v>
      </c>
      <c r="Q216" s="83" t="n">
        <v>199.2672</v>
      </c>
      <c r="R216" s="84"/>
    </row>
    <row r="217" customFormat="false" ht="15" hidden="false" customHeight="true" outlineLevel="0" collapsed="false">
      <c r="A217" s="72" t="n">
        <v>5947</v>
      </c>
      <c r="B217" s="73" t="n">
        <v>46193</v>
      </c>
      <c r="C217" s="74"/>
      <c r="D217" s="75" t="n">
        <v>50160</v>
      </c>
      <c r="E217" s="52" t="s">
        <v>379</v>
      </c>
      <c r="F217" s="76" t="s">
        <v>365</v>
      </c>
      <c r="G217" s="75" t="s">
        <v>179</v>
      </c>
      <c r="H217" s="52" t="s">
        <v>180</v>
      </c>
      <c r="I217" s="77" t="n">
        <v>25</v>
      </c>
      <c r="J217" s="78" t="n">
        <v>145</v>
      </c>
      <c r="K217" s="79" t="n">
        <v>1.12</v>
      </c>
      <c r="L217" s="80" t="n">
        <v>162.4</v>
      </c>
      <c r="M217" s="81" t="n">
        <v>178.64</v>
      </c>
      <c r="N217" s="53" t="n">
        <v>3.248</v>
      </c>
      <c r="O217" s="82" t="n">
        <v>165.648</v>
      </c>
      <c r="P217" s="53" t="n">
        <v>16.5648</v>
      </c>
      <c r="Q217" s="83" t="n">
        <v>182.2128</v>
      </c>
      <c r="R217" s="84"/>
    </row>
    <row r="218" customFormat="false" ht="15" hidden="false" customHeight="true" outlineLevel="0" collapsed="false">
      <c r="A218" s="72" t="n">
        <v>5948</v>
      </c>
      <c r="B218" s="73" t="n">
        <v>46193</v>
      </c>
      <c r="C218" s="74" t="s">
        <v>374</v>
      </c>
      <c r="D218" s="75" t="n">
        <v>50048</v>
      </c>
      <c r="E218" s="52" t="s">
        <v>380</v>
      </c>
      <c r="F218" s="76" t="s">
        <v>381</v>
      </c>
      <c r="G218" s="75" t="s">
        <v>179</v>
      </c>
      <c r="H218" s="52" t="s">
        <v>180</v>
      </c>
      <c r="I218" s="77" t="n">
        <v>9</v>
      </c>
      <c r="J218" s="78" t="n">
        <v>54</v>
      </c>
      <c r="K218" s="79" t="n">
        <v>1.8</v>
      </c>
      <c r="L218" s="80" t="n">
        <v>97.2</v>
      </c>
      <c r="M218" s="81" t="n">
        <v>106.92</v>
      </c>
      <c r="N218" s="53" t="n">
        <v>0</v>
      </c>
      <c r="O218" s="82" t="n">
        <v>97.2</v>
      </c>
      <c r="P218" s="53" t="n">
        <v>9.72</v>
      </c>
      <c r="Q218" s="83" t="n">
        <v>106.92</v>
      </c>
      <c r="R218" s="84"/>
    </row>
    <row r="219" customFormat="false" ht="15" hidden="false" customHeight="true" outlineLevel="0" collapsed="false">
      <c r="A219" s="72" t="n">
        <v>5949</v>
      </c>
      <c r="B219" s="73" t="n">
        <v>46195</v>
      </c>
      <c r="C219" s="74" t="n">
        <v>9085</v>
      </c>
      <c r="D219" s="75" t="n">
        <v>50001</v>
      </c>
      <c r="E219" s="52" t="s">
        <v>382</v>
      </c>
      <c r="F219" s="76" t="s">
        <v>365</v>
      </c>
      <c r="G219" s="75" t="s">
        <v>79</v>
      </c>
      <c r="H219" s="52" t="s">
        <v>80</v>
      </c>
      <c r="I219" s="77" t="n">
        <v>1</v>
      </c>
      <c r="J219" s="78" t="n">
        <v>23</v>
      </c>
      <c r="K219" s="79" t="n">
        <v>3.5</v>
      </c>
      <c r="L219" s="80" t="n">
        <v>80.5</v>
      </c>
      <c r="M219" s="81" t="n">
        <v>88.55</v>
      </c>
      <c r="N219" s="53" t="n">
        <v>1.61</v>
      </c>
      <c r="O219" s="82" t="n">
        <v>82.11</v>
      </c>
      <c r="P219" s="53" t="n">
        <v>8.211</v>
      </c>
      <c r="Q219" s="83" t="n">
        <v>90.321</v>
      </c>
      <c r="R219" s="84"/>
    </row>
    <row r="220" customFormat="false" ht="15" hidden="false" customHeight="true" outlineLevel="0" collapsed="false">
      <c r="A220" s="72" t="n">
        <v>5949</v>
      </c>
      <c r="B220" s="85" t="n">
        <v>46195</v>
      </c>
      <c r="C220" s="86" t="n">
        <v>9085</v>
      </c>
      <c r="D220" s="87" t="n">
        <v>50001</v>
      </c>
      <c r="E220" s="46" t="s">
        <v>382</v>
      </c>
      <c r="F220" s="88" t="s">
        <v>365</v>
      </c>
      <c r="G220" s="87" t="s">
        <v>79</v>
      </c>
      <c r="H220" s="46" t="s">
        <v>80</v>
      </c>
      <c r="I220" s="89" t="n">
        <v>2</v>
      </c>
      <c r="J220" s="90" t="n">
        <v>50</v>
      </c>
      <c r="K220" s="91" t="n">
        <v>3.4</v>
      </c>
      <c r="L220" s="80" t="n">
        <v>170</v>
      </c>
      <c r="M220" s="81" t="n">
        <v>187</v>
      </c>
      <c r="N220" s="47" t="n">
        <v>3.4</v>
      </c>
      <c r="O220" s="82" t="n">
        <v>173.4</v>
      </c>
      <c r="P220" s="47" t="n">
        <v>17.34</v>
      </c>
      <c r="Q220" s="83" t="n">
        <v>190.74</v>
      </c>
      <c r="R220" s="84"/>
    </row>
    <row r="221" customFormat="false" ht="15" hidden="false" customHeight="true" outlineLevel="0" collapsed="false">
      <c r="A221" s="72" t="n">
        <v>5949</v>
      </c>
      <c r="B221" s="73" t="n">
        <v>46195</v>
      </c>
      <c r="C221" s="74" t="n">
        <v>9085</v>
      </c>
      <c r="D221" s="75" t="n">
        <v>50001</v>
      </c>
      <c r="E221" s="52" t="s">
        <v>382</v>
      </c>
      <c r="F221" s="76" t="s">
        <v>365</v>
      </c>
      <c r="G221" s="75" t="s">
        <v>79</v>
      </c>
      <c r="H221" s="52" t="s">
        <v>80</v>
      </c>
      <c r="I221" s="77" t="n">
        <v>2</v>
      </c>
      <c r="J221" s="78" t="n">
        <v>47.75</v>
      </c>
      <c r="K221" s="79" t="n">
        <v>3.8</v>
      </c>
      <c r="L221" s="80" t="n">
        <v>182.4</v>
      </c>
      <c r="M221" s="81" t="n">
        <v>200.64</v>
      </c>
      <c r="N221" s="53" t="n">
        <v>3.648</v>
      </c>
      <c r="O221" s="82" t="n">
        <v>186.048</v>
      </c>
      <c r="P221" s="53" t="n">
        <v>18.6048</v>
      </c>
      <c r="Q221" s="83" t="n">
        <v>204.6528</v>
      </c>
      <c r="R221" s="84"/>
    </row>
    <row r="222" customFormat="false" ht="15" hidden="false" customHeight="true" outlineLevel="0" collapsed="false">
      <c r="A222" s="72" t="n">
        <v>5949</v>
      </c>
      <c r="B222" s="85" t="n">
        <v>46195</v>
      </c>
      <c r="C222" s="86" t="n">
        <v>9085</v>
      </c>
      <c r="D222" s="87" t="n">
        <v>50001</v>
      </c>
      <c r="E222" s="46" t="s">
        <v>382</v>
      </c>
      <c r="F222" s="88" t="s">
        <v>365</v>
      </c>
      <c r="G222" s="87" t="s">
        <v>296</v>
      </c>
      <c r="H222" s="46" t="s">
        <v>297</v>
      </c>
      <c r="I222" s="89" t="n">
        <v>5</v>
      </c>
      <c r="J222" s="90" t="n">
        <v>78.25</v>
      </c>
      <c r="K222" s="91" t="n">
        <v>4.9</v>
      </c>
      <c r="L222" s="80" t="n">
        <v>383.425</v>
      </c>
      <c r="M222" s="81" t="n">
        <v>421.7675</v>
      </c>
      <c r="N222" s="47" t="n">
        <v>7.6685</v>
      </c>
      <c r="O222" s="82" t="n">
        <v>391.0935</v>
      </c>
      <c r="P222" s="47" t="n">
        <v>39.10935</v>
      </c>
      <c r="Q222" s="83" t="n">
        <v>430.20285</v>
      </c>
      <c r="R222" s="84"/>
    </row>
    <row r="223" customFormat="false" ht="15" hidden="false" customHeight="true" outlineLevel="0" collapsed="false">
      <c r="A223" s="72" t="n">
        <v>5949</v>
      </c>
      <c r="B223" s="73" t="n">
        <v>46195</v>
      </c>
      <c r="C223" s="74" t="n">
        <v>9085</v>
      </c>
      <c r="D223" s="75" t="n">
        <v>50001</v>
      </c>
      <c r="E223" s="52" t="s">
        <v>382</v>
      </c>
      <c r="F223" s="76" t="s">
        <v>365</v>
      </c>
      <c r="G223" s="75" t="s">
        <v>292</v>
      </c>
      <c r="H223" s="52" t="s">
        <v>293</v>
      </c>
      <c r="I223" s="77" t="n">
        <v>2</v>
      </c>
      <c r="J223" s="78" t="n">
        <v>105.75</v>
      </c>
      <c r="K223" s="79" t="n">
        <v>7.6</v>
      </c>
      <c r="L223" s="80" t="n">
        <v>803.7</v>
      </c>
      <c r="M223" s="81" t="n">
        <v>884.07</v>
      </c>
      <c r="N223" s="53" t="n">
        <v>16.074</v>
      </c>
      <c r="O223" s="82" t="n">
        <v>819.774</v>
      </c>
      <c r="P223" s="53" t="n">
        <v>81.9774</v>
      </c>
      <c r="Q223" s="83" t="n">
        <v>901.7514</v>
      </c>
      <c r="R223" s="84"/>
    </row>
    <row r="224" customFormat="false" ht="15" hidden="false" customHeight="true" outlineLevel="0" collapsed="false">
      <c r="A224" s="72" t="n">
        <v>5949</v>
      </c>
      <c r="B224" s="85" t="n">
        <v>46195</v>
      </c>
      <c r="C224" s="86" t="n">
        <v>9085</v>
      </c>
      <c r="D224" s="87" t="n">
        <v>50001</v>
      </c>
      <c r="E224" s="46" t="s">
        <v>382</v>
      </c>
      <c r="F224" s="88" t="s">
        <v>365</v>
      </c>
      <c r="G224" s="87" t="s">
        <v>292</v>
      </c>
      <c r="H224" s="46" t="s">
        <v>293</v>
      </c>
      <c r="I224" s="89" t="n">
        <v>1</v>
      </c>
      <c r="J224" s="90" t="n">
        <v>59.5</v>
      </c>
      <c r="K224" s="91" t="n">
        <v>7.3</v>
      </c>
      <c r="L224" s="80" t="n">
        <v>434.35</v>
      </c>
      <c r="M224" s="81" t="n">
        <v>477.785</v>
      </c>
      <c r="N224" s="47" t="n">
        <v>8.687</v>
      </c>
      <c r="O224" s="82" t="n">
        <v>443.037</v>
      </c>
      <c r="P224" s="47" t="n">
        <v>44.3037</v>
      </c>
      <c r="Q224" s="83" t="n">
        <v>487.3407</v>
      </c>
      <c r="R224" s="84"/>
    </row>
    <row r="225" customFormat="false" ht="15" hidden="false" customHeight="true" outlineLevel="0" collapsed="false">
      <c r="A225" s="72" t="n">
        <v>5949</v>
      </c>
      <c r="B225" s="73" t="n">
        <v>46195</v>
      </c>
      <c r="C225" s="74" t="n">
        <v>9085</v>
      </c>
      <c r="D225" s="75" t="n">
        <v>50001</v>
      </c>
      <c r="E225" s="52" t="s">
        <v>382</v>
      </c>
      <c r="F225" s="76" t="s">
        <v>365</v>
      </c>
      <c r="G225" s="75" t="s">
        <v>292</v>
      </c>
      <c r="H225" s="52" t="s">
        <v>293</v>
      </c>
      <c r="I225" s="77" t="n">
        <v>1</v>
      </c>
      <c r="J225" s="78" t="n">
        <v>51</v>
      </c>
      <c r="K225" s="79" t="n">
        <v>7.6</v>
      </c>
      <c r="L225" s="80" t="n">
        <v>387.6</v>
      </c>
      <c r="M225" s="81" t="n">
        <v>426.36</v>
      </c>
      <c r="N225" s="53" t="n">
        <v>7.752</v>
      </c>
      <c r="O225" s="82" t="n">
        <v>395.352</v>
      </c>
      <c r="P225" s="53" t="n">
        <v>39.5352</v>
      </c>
      <c r="Q225" s="83" t="n">
        <v>434.8872</v>
      </c>
      <c r="R225" s="84"/>
    </row>
    <row r="226" customFormat="false" ht="15" hidden="false" customHeight="true" outlineLevel="0" collapsed="false">
      <c r="A226" s="72" t="n">
        <v>5949</v>
      </c>
      <c r="B226" s="85" t="n">
        <v>46195</v>
      </c>
      <c r="C226" s="86" t="n">
        <v>9085</v>
      </c>
      <c r="D226" s="87" t="n">
        <v>50001</v>
      </c>
      <c r="E226" s="46" t="s">
        <v>382</v>
      </c>
      <c r="F226" s="88" t="s">
        <v>365</v>
      </c>
      <c r="G226" s="87" t="s">
        <v>292</v>
      </c>
      <c r="H226" s="46" t="s">
        <v>293</v>
      </c>
      <c r="I226" s="89" t="n">
        <v>3</v>
      </c>
      <c r="J226" s="90" t="n">
        <v>167.25</v>
      </c>
      <c r="K226" s="91" t="n">
        <v>5.6</v>
      </c>
      <c r="L226" s="80" t="n">
        <v>936.6</v>
      </c>
      <c r="M226" s="81" t="n">
        <v>1030.26</v>
      </c>
      <c r="N226" s="47" t="n">
        <v>18.732</v>
      </c>
      <c r="O226" s="82" t="n">
        <v>955.332</v>
      </c>
      <c r="P226" s="47" t="n">
        <v>95.5332</v>
      </c>
      <c r="Q226" s="83" t="n">
        <v>1050.8652</v>
      </c>
      <c r="R226" s="84"/>
    </row>
    <row r="227" customFormat="false" ht="15" hidden="false" customHeight="true" outlineLevel="0" collapsed="false">
      <c r="A227" s="72" t="n">
        <v>5949</v>
      </c>
      <c r="B227" s="73" t="n">
        <v>46195</v>
      </c>
      <c r="C227" s="74" t="n">
        <v>9085</v>
      </c>
      <c r="D227" s="75" t="n">
        <v>50001</v>
      </c>
      <c r="E227" s="52" t="s">
        <v>382</v>
      </c>
      <c r="F227" s="76" t="s">
        <v>365</v>
      </c>
      <c r="G227" s="75" t="s">
        <v>292</v>
      </c>
      <c r="H227" s="52" t="s">
        <v>293</v>
      </c>
      <c r="I227" s="77" t="n">
        <v>2</v>
      </c>
      <c r="J227" s="78" t="n">
        <v>118.5</v>
      </c>
      <c r="K227" s="79" t="n">
        <v>5.7</v>
      </c>
      <c r="L227" s="80" t="n">
        <v>675.45</v>
      </c>
      <c r="M227" s="81" t="n">
        <v>742.995</v>
      </c>
      <c r="N227" s="53" t="n">
        <v>13.509</v>
      </c>
      <c r="O227" s="82" t="n">
        <v>688.959</v>
      </c>
      <c r="P227" s="53" t="n">
        <v>68.8959</v>
      </c>
      <c r="Q227" s="83" t="n">
        <v>757.8549</v>
      </c>
      <c r="R227" s="84"/>
    </row>
    <row r="228" customFormat="false" ht="15" hidden="false" customHeight="true" outlineLevel="0" collapsed="false">
      <c r="A228" s="72" t="n">
        <v>5949</v>
      </c>
      <c r="B228" s="85" t="n">
        <v>46195</v>
      </c>
      <c r="C228" s="86" t="n">
        <v>9085</v>
      </c>
      <c r="D228" s="87" t="n">
        <v>50001</v>
      </c>
      <c r="E228" s="46" t="s">
        <v>382</v>
      </c>
      <c r="F228" s="88" t="s">
        <v>365</v>
      </c>
      <c r="G228" s="87" t="s">
        <v>292</v>
      </c>
      <c r="H228" s="46" t="s">
        <v>293</v>
      </c>
      <c r="I228" s="89" t="n">
        <v>4</v>
      </c>
      <c r="J228" s="90" t="n">
        <v>238.25</v>
      </c>
      <c r="K228" s="91" t="n">
        <v>6</v>
      </c>
      <c r="L228" s="80" t="n">
        <v>1429.5</v>
      </c>
      <c r="M228" s="81" t="n">
        <v>1572.45</v>
      </c>
      <c r="N228" s="47" t="n">
        <v>28.59</v>
      </c>
      <c r="O228" s="82" t="n">
        <v>1458.09</v>
      </c>
      <c r="P228" s="47" t="n">
        <v>145.809</v>
      </c>
      <c r="Q228" s="83" t="n">
        <v>1603.899</v>
      </c>
      <c r="R228" s="84"/>
    </row>
    <row r="229" customFormat="false" ht="15" hidden="false" customHeight="true" outlineLevel="0" collapsed="false">
      <c r="A229" s="72" t="n">
        <v>5949</v>
      </c>
      <c r="B229" s="73" t="n">
        <v>46195</v>
      </c>
      <c r="C229" s="74" t="n">
        <v>9085</v>
      </c>
      <c r="D229" s="75" t="n">
        <v>50001</v>
      </c>
      <c r="E229" s="52" t="s">
        <v>382</v>
      </c>
      <c r="F229" s="76" t="s">
        <v>365</v>
      </c>
      <c r="G229" s="75" t="s">
        <v>292</v>
      </c>
      <c r="H229" s="52" t="s">
        <v>293</v>
      </c>
      <c r="I229" s="77" t="n">
        <v>2</v>
      </c>
      <c r="J229" s="78" t="n">
        <v>111</v>
      </c>
      <c r="K229" s="79" t="n">
        <v>7</v>
      </c>
      <c r="L229" s="80" t="n">
        <v>777</v>
      </c>
      <c r="M229" s="81" t="n">
        <v>854.7</v>
      </c>
      <c r="N229" s="53" t="n">
        <v>15.54</v>
      </c>
      <c r="O229" s="82" t="n">
        <v>792.54</v>
      </c>
      <c r="P229" s="53" t="n">
        <v>79.254</v>
      </c>
      <c r="Q229" s="83" t="n">
        <v>871.794</v>
      </c>
      <c r="R229" s="84"/>
    </row>
    <row r="230" customFormat="false" ht="15" hidden="false" customHeight="true" outlineLevel="0" collapsed="false">
      <c r="A230" s="72" t="n">
        <v>5949</v>
      </c>
      <c r="B230" s="85" t="n">
        <v>46195</v>
      </c>
      <c r="C230" s="86" t="n">
        <v>9085</v>
      </c>
      <c r="D230" s="87" t="n">
        <v>50001</v>
      </c>
      <c r="E230" s="46" t="s">
        <v>382</v>
      </c>
      <c r="F230" s="88" t="s">
        <v>365</v>
      </c>
      <c r="G230" s="87" t="s">
        <v>292</v>
      </c>
      <c r="H230" s="46" t="s">
        <v>293</v>
      </c>
      <c r="I230" s="89" t="n">
        <v>2</v>
      </c>
      <c r="J230" s="90" t="n">
        <v>121.25</v>
      </c>
      <c r="K230" s="91" t="n">
        <v>6.6</v>
      </c>
      <c r="L230" s="80" t="n">
        <v>800.25</v>
      </c>
      <c r="M230" s="81" t="n">
        <v>880.275</v>
      </c>
      <c r="N230" s="47" t="n">
        <v>16.005</v>
      </c>
      <c r="O230" s="82" t="n">
        <v>816.255</v>
      </c>
      <c r="P230" s="47" t="n">
        <v>81.6255</v>
      </c>
      <c r="Q230" s="83" t="n">
        <v>897.8805</v>
      </c>
      <c r="R230" s="84"/>
    </row>
    <row r="231" customFormat="false" ht="15" hidden="false" customHeight="true" outlineLevel="0" collapsed="false">
      <c r="A231" s="72" t="n">
        <v>5949</v>
      </c>
      <c r="B231" s="73" t="n">
        <v>46195</v>
      </c>
      <c r="C231" s="74" t="n">
        <v>90858</v>
      </c>
      <c r="D231" s="75" t="n">
        <v>50001</v>
      </c>
      <c r="E231" s="52" t="s">
        <v>382</v>
      </c>
      <c r="F231" s="76" t="s">
        <v>365</v>
      </c>
      <c r="G231" s="75" t="s">
        <v>83</v>
      </c>
      <c r="H231" s="52" t="s">
        <v>84</v>
      </c>
      <c r="I231" s="77" t="n">
        <v>2</v>
      </c>
      <c r="J231" s="78" t="n">
        <v>7.35</v>
      </c>
      <c r="K231" s="79" t="n">
        <v>13.9</v>
      </c>
      <c r="L231" s="80" t="n">
        <v>102.165</v>
      </c>
      <c r="M231" s="81" t="n">
        <v>112.3815</v>
      </c>
      <c r="N231" s="53" t="n">
        <v>2.0433</v>
      </c>
      <c r="O231" s="82" t="n">
        <v>104.2083</v>
      </c>
      <c r="P231" s="53" t="n">
        <v>10.42083</v>
      </c>
      <c r="Q231" s="83" t="n">
        <v>114.62913</v>
      </c>
      <c r="R231" s="84"/>
    </row>
    <row r="232" customFormat="false" ht="15" hidden="false" customHeight="true" outlineLevel="0" collapsed="false">
      <c r="A232" s="72" t="n">
        <v>5950</v>
      </c>
      <c r="B232" s="85" t="n">
        <v>46195</v>
      </c>
      <c r="C232" s="86"/>
      <c r="D232" s="87" t="n">
        <v>50048</v>
      </c>
      <c r="E232" s="46" t="s">
        <v>380</v>
      </c>
      <c r="F232" s="88" t="s">
        <v>381</v>
      </c>
      <c r="G232" s="87" t="s">
        <v>179</v>
      </c>
      <c r="H232" s="46" t="s">
        <v>180</v>
      </c>
      <c r="I232" s="89" t="n">
        <v>9</v>
      </c>
      <c r="J232" s="90" t="n">
        <v>54</v>
      </c>
      <c r="K232" s="91" t="n">
        <v>2.15</v>
      </c>
      <c r="L232" s="80" t="n">
        <v>116.1</v>
      </c>
      <c r="M232" s="81" t="n">
        <v>127.71</v>
      </c>
      <c r="N232" s="47" t="n">
        <v>0</v>
      </c>
      <c r="O232" s="82" t="n">
        <v>116.1</v>
      </c>
      <c r="P232" s="47" t="n">
        <v>11.61</v>
      </c>
      <c r="Q232" s="83" t="n">
        <v>127.71</v>
      </c>
      <c r="R232" s="84"/>
    </row>
    <row r="233" customFormat="false" ht="15" hidden="false" customHeight="true" outlineLevel="0" collapsed="false">
      <c r="A233" s="72" t="n">
        <v>5950</v>
      </c>
      <c r="B233" s="73" t="n">
        <v>46195</v>
      </c>
      <c r="C233" s="74" t="s">
        <v>383</v>
      </c>
      <c r="D233" s="75" t="n">
        <v>50048</v>
      </c>
      <c r="E233" s="52" t="s">
        <v>380</v>
      </c>
      <c r="F233" s="76" t="s">
        <v>381</v>
      </c>
      <c r="G233" s="75" t="s">
        <v>179</v>
      </c>
      <c r="H233" s="52" t="s">
        <v>180</v>
      </c>
      <c r="I233" s="77" t="n">
        <v>13</v>
      </c>
      <c r="J233" s="78" t="n">
        <v>78</v>
      </c>
      <c r="K233" s="79" t="n">
        <v>1.55</v>
      </c>
      <c r="L233" s="80" t="n">
        <v>120.9</v>
      </c>
      <c r="M233" s="81" t="n">
        <v>132.99</v>
      </c>
      <c r="N233" s="53" t="n">
        <v>0</v>
      </c>
      <c r="O233" s="82" t="n">
        <v>120.9</v>
      </c>
      <c r="P233" s="53" t="n">
        <v>12.09</v>
      </c>
      <c r="Q233" s="83" t="n">
        <v>132.99</v>
      </c>
      <c r="R233" s="84"/>
    </row>
    <row r="234" customFormat="false" ht="15" hidden="false" customHeight="true" outlineLevel="0" collapsed="false">
      <c r="A234" s="72" t="n">
        <v>5951</v>
      </c>
      <c r="B234" s="85" t="n">
        <v>46195</v>
      </c>
      <c r="C234" s="86"/>
      <c r="D234" s="87" t="n">
        <v>50164</v>
      </c>
      <c r="E234" s="46" t="s">
        <v>384</v>
      </c>
      <c r="F234" s="88" t="s">
        <v>381</v>
      </c>
      <c r="G234" s="87" t="s">
        <v>302</v>
      </c>
      <c r="H234" s="46" t="s">
        <v>385</v>
      </c>
      <c r="I234" s="89" t="n">
        <v>2</v>
      </c>
      <c r="J234" s="90" t="n">
        <v>6</v>
      </c>
      <c r="K234" s="91" t="n">
        <v>9</v>
      </c>
      <c r="L234" s="80" t="n">
        <v>54</v>
      </c>
      <c r="M234" s="81" t="n">
        <v>59.4</v>
      </c>
      <c r="N234" s="47" t="n">
        <v>0</v>
      </c>
      <c r="O234" s="82" t="n">
        <v>54</v>
      </c>
      <c r="P234" s="47" t="n">
        <v>5.4</v>
      </c>
      <c r="Q234" s="83" t="n">
        <v>59.4</v>
      </c>
      <c r="R234" s="84"/>
    </row>
    <row r="235" customFormat="false" ht="15" hidden="false" customHeight="true" outlineLevel="0" collapsed="false">
      <c r="A235" s="72" t="n">
        <v>5952</v>
      </c>
      <c r="B235" s="73" t="n">
        <v>46195</v>
      </c>
      <c r="C235" s="74" t="n">
        <v>3679</v>
      </c>
      <c r="D235" s="75" t="n">
        <v>50035</v>
      </c>
      <c r="E235" s="52" t="s">
        <v>386</v>
      </c>
      <c r="F235" s="76" t="s">
        <v>381</v>
      </c>
      <c r="G235" s="75" t="s">
        <v>246</v>
      </c>
      <c r="H235" s="52" t="s">
        <v>249</v>
      </c>
      <c r="I235" s="77" t="n">
        <v>4</v>
      </c>
      <c r="J235" s="78" t="n">
        <v>44.1</v>
      </c>
      <c r="K235" s="79" t="n">
        <v>7.8</v>
      </c>
      <c r="L235" s="80" t="n">
        <f aca="false">IF(AND(J235&lt;&gt;"",K235&lt;&gt;""),J235*K235,"")</f>
        <v>343.98</v>
      </c>
      <c r="M235" s="81" t="n">
        <f aca="false">IF(L235&lt;&gt;"",L235*1.1,"")</f>
        <v>378.378</v>
      </c>
      <c r="N235" s="53" t="n">
        <f aca="false">IF(F235="S",L235*0.02,0)</f>
        <v>0</v>
      </c>
      <c r="O235" s="82" t="n">
        <f aca="false">IF(L235&lt;&gt;"",L235+N235,"")</f>
        <v>343.98</v>
      </c>
      <c r="P235" s="53" t="n">
        <f aca="false">IF(O235&lt;&gt;"",O235*0.1,"")</f>
        <v>34.398</v>
      </c>
      <c r="Q235" s="83" t="n">
        <f aca="false">IF(O235&lt;&gt;"",O235+P235,"")</f>
        <v>378.378</v>
      </c>
      <c r="R235" s="84"/>
    </row>
    <row r="236" customFormat="false" ht="15" hidden="false" customHeight="true" outlineLevel="0" collapsed="false">
      <c r="A236" s="72" t="n">
        <v>5953</v>
      </c>
      <c r="B236" s="85" t="n">
        <v>46195</v>
      </c>
      <c r="C236" s="86" t="n">
        <v>2480</v>
      </c>
      <c r="D236" s="87" t="n">
        <v>50509</v>
      </c>
      <c r="E236" s="46" t="s">
        <v>387</v>
      </c>
      <c r="F236" s="88" t="s">
        <v>381</v>
      </c>
      <c r="G236" s="87" t="s">
        <v>336</v>
      </c>
      <c r="H236" s="46" t="s">
        <v>337</v>
      </c>
      <c r="I236" s="89" t="n">
        <v>1</v>
      </c>
      <c r="J236" s="90" t="n">
        <v>6.3</v>
      </c>
      <c r="K236" s="91" t="n">
        <v>65</v>
      </c>
      <c r="L236" s="80" t="n">
        <f aca="false">IF(AND(J236&lt;&gt;"",K236&lt;&gt;""),J236*K236,"")</f>
        <v>409.5</v>
      </c>
      <c r="M236" s="81" t="n">
        <f aca="false">IF(L236&lt;&gt;"",L236*1.1,"")</f>
        <v>450.45</v>
      </c>
      <c r="N236" s="53" t="n">
        <f aca="false">IF(F236="S",L236*0.02,0)</f>
        <v>0</v>
      </c>
      <c r="O236" s="82" t="n">
        <f aca="false">IF(L236&lt;&gt;"",L236+N236,"")</f>
        <v>409.5</v>
      </c>
      <c r="P236" s="53" t="n">
        <f aca="false">IF(O236&lt;&gt;"",O236*0.1,"")</f>
        <v>40.95</v>
      </c>
      <c r="Q236" s="83" t="n">
        <f aca="false">IF(O236&lt;&gt;"",O236+P236,"")</f>
        <v>450.45</v>
      </c>
      <c r="R236" s="84"/>
    </row>
    <row r="237" customFormat="false" ht="15" hidden="false" customHeight="true" outlineLevel="0" collapsed="false">
      <c r="A237" s="72" t="n">
        <v>5954</v>
      </c>
      <c r="B237" s="73" t="n">
        <v>46197</v>
      </c>
      <c r="C237" s="74" t="s">
        <v>388</v>
      </c>
      <c r="D237" s="75" t="n">
        <v>50232</v>
      </c>
      <c r="E237" s="46" t="str">
        <f aca="false">IF(D237&lt;&gt;"",IFERROR(VLOOKUP(D237,PROVEEDORES!$A:$B,2,0),"!COD NO ENCONTRADO"),"")</f>
        <v>XESTION NOVA LONXA RIVEIRA S.L.</v>
      </c>
      <c r="F237" s="88" t="str">
        <f aca="false">IF(D237&lt;&gt;"",IFERROR(VLOOKUP(D237,PROVEEDORES!$A:$C,3,0),""),"")</f>
        <v>S</v>
      </c>
      <c r="G237" s="75" t="s">
        <v>103</v>
      </c>
      <c r="H237" s="46" t="str">
        <f aca="false">IF(G237&lt;&gt;"",IFERROR(VLOOKUP(G237,PRODUCTOS!$A:$B,2,0),"!COD NO ENCONTRADO"),"")</f>
        <v>CABRAS/ GALLINETA (BRF)</v>
      </c>
      <c r="I237" s="77" t="n">
        <v>3</v>
      </c>
      <c r="J237" s="78" t="n">
        <v>30</v>
      </c>
      <c r="K237" s="79" t="n">
        <v>1.5</v>
      </c>
      <c r="L237" s="80" t="n">
        <f aca="false">IF(AND(J237&lt;&gt;"",K237&lt;&gt;""),J237*K237,"")</f>
        <v>45</v>
      </c>
      <c r="M237" s="81" t="n">
        <f aca="false">IF(L237&lt;&gt;"",L237*1.1,"")</f>
        <v>49.5</v>
      </c>
      <c r="N237" s="53" t="n">
        <f aca="false">IF(F237="S",L237*0.02,0)</f>
        <v>0.9</v>
      </c>
      <c r="O237" s="82" t="n">
        <f aca="false">IF(L237&lt;&gt;"",L237+N237,"")</f>
        <v>45.9</v>
      </c>
      <c r="P237" s="53" t="n">
        <f aca="false">IF(O237&lt;&gt;"",O237*0.1,"")</f>
        <v>4.59</v>
      </c>
      <c r="Q237" s="83" t="n">
        <f aca="false">IF(O237&lt;&gt;"",O237+P237,"")</f>
        <v>50.49</v>
      </c>
      <c r="R237" s="84"/>
    </row>
    <row r="238" customFormat="false" ht="15" hidden="false" customHeight="true" outlineLevel="0" collapsed="false">
      <c r="A238" s="72" t="n">
        <v>5954</v>
      </c>
      <c r="B238" s="85" t="n">
        <v>46197</v>
      </c>
      <c r="C238" s="86" t="s">
        <v>388</v>
      </c>
      <c r="D238" s="87" t="n">
        <v>50232</v>
      </c>
      <c r="E238" s="46" t="str">
        <f aca="false">IF(D238&lt;&gt;"",IFERROR(VLOOKUP(D238,PROVEEDORES!$A:$B,2,0),"!COD NO ENCONTRADO"),"")</f>
        <v>XESTION NOVA LONXA RIVEIRA S.L.</v>
      </c>
      <c r="F238" s="88" t="str">
        <f aca="false">IF(D238&lt;&gt;"",IFERROR(VLOOKUP(D238,PROVEEDORES!$A:$C,3,0),""),"")</f>
        <v>S</v>
      </c>
      <c r="G238" s="75" t="s">
        <v>179</v>
      </c>
      <c r="H238" s="46" t="str">
        <f aca="false">IF(G238&lt;&gt;"",IFERROR(VLOOKUP(G238,PRODUCTOS!$A:$B,2,0),"!COD NO ENCONTRADO"),"")</f>
        <v>LIRIO/ BACALADILLA/ PERLA (WHB)</v>
      </c>
      <c r="I238" s="77" t="n">
        <v>4</v>
      </c>
      <c r="J238" s="78" t="n">
        <v>132</v>
      </c>
      <c r="K238" s="79" t="n">
        <v>1</v>
      </c>
      <c r="L238" s="80" t="n">
        <f aca="false">IF(AND(J238&lt;&gt;"",K238&lt;&gt;""),J238*K238,"")</f>
        <v>132</v>
      </c>
      <c r="M238" s="81" t="n">
        <f aca="false">IF(L238&lt;&gt;"",L238*1.1,"")</f>
        <v>145.2</v>
      </c>
      <c r="N238" s="53" t="n">
        <f aca="false">IF(F238="S",L238*0.02,0)</f>
        <v>2.64</v>
      </c>
      <c r="O238" s="82" t="n">
        <f aca="false">IF(L238&lt;&gt;"",L238+N238,"")</f>
        <v>134.64</v>
      </c>
      <c r="P238" s="53" t="n">
        <f aca="false">IF(O238&lt;&gt;"",O238*0.1,"")</f>
        <v>13.464</v>
      </c>
      <c r="Q238" s="83" t="n">
        <f aca="false">IF(O238&lt;&gt;"",O238+P238,"")</f>
        <v>148.104</v>
      </c>
      <c r="R238" s="84"/>
    </row>
    <row r="239" customFormat="false" ht="15" hidden="false" customHeight="true" outlineLevel="0" collapsed="false">
      <c r="A239" s="72" t="n">
        <v>5954</v>
      </c>
      <c r="B239" s="73" t="n">
        <v>46197</v>
      </c>
      <c r="C239" s="74" t="s">
        <v>388</v>
      </c>
      <c r="D239" s="75" t="n">
        <v>50232</v>
      </c>
      <c r="E239" s="46" t="str">
        <f aca="false">IF(D239&lt;&gt;"",IFERROR(VLOOKUP(D239,PROVEEDORES!$A:$B,2,0),"!COD NO ENCONTRADO"),"")</f>
        <v>XESTION NOVA LONXA RIVEIRA S.L.</v>
      </c>
      <c r="F239" s="88" t="str">
        <f aca="false">IF(D239&lt;&gt;"",IFERROR(VLOOKUP(D239,PROVEEDORES!$A:$C,3,0),""),"")</f>
        <v>S</v>
      </c>
      <c r="G239" s="75" t="s">
        <v>270</v>
      </c>
      <c r="H239" s="46" t="str">
        <f aca="false">IF(G239&lt;&gt;"",IFERROR(VLOOKUP(G239,PRODUCTOS!$A:$B,2,0),"!COD NO ENCONTRADO"),"")</f>
        <v>PEON/ PION (ATP)</v>
      </c>
      <c r="I239" s="77" t="n">
        <v>14</v>
      </c>
      <c r="J239" s="78" t="n">
        <v>67.5</v>
      </c>
      <c r="K239" s="79" t="n">
        <v>4</v>
      </c>
      <c r="L239" s="80" t="n">
        <f aca="false">IF(AND(J239&lt;&gt;"",K239&lt;&gt;""),J239*K239,"")</f>
        <v>270</v>
      </c>
      <c r="M239" s="81" t="n">
        <f aca="false">IF(L239&lt;&gt;"",L239*1.1,"")</f>
        <v>297</v>
      </c>
      <c r="N239" s="53" t="n">
        <f aca="false">IF(F239="S",L239*0.02,0)</f>
        <v>5.4</v>
      </c>
      <c r="O239" s="82" t="n">
        <f aca="false">IF(L239&lt;&gt;"",L239+N239,"")</f>
        <v>275.4</v>
      </c>
      <c r="P239" s="53" t="n">
        <f aca="false">IF(O239&lt;&gt;"",O239*0.1,"")</f>
        <v>27.54</v>
      </c>
      <c r="Q239" s="83" t="n">
        <f aca="false">IF(O239&lt;&gt;"",O239+P239,"")</f>
        <v>302.94</v>
      </c>
      <c r="R239" s="84"/>
    </row>
    <row r="240" customFormat="false" ht="15" hidden="false" customHeight="true" outlineLevel="0" collapsed="false">
      <c r="A240" s="72" t="n">
        <v>5954</v>
      </c>
      <c r="B240" s="73" t="n">
        <v>46197</v>
      </c>
      <c r="C240" s="74" t="s">
        <v>388</v>
      </c>
      <c r="D240" s="75" t="n">
        <v>50232</v>
      </c>
      <c r="E240" s="46" t="str">
        <f aca="false">IF(D240&lt;&gt;"",IFERROR(VLOOKUP(D240,PROVEEDORES!$A:$B,2,0),"!COD NO ENCONTRADO"),"")</f>
        <v>XESTION NOVA LONXA RIVEIRA S.L.</v>
      </c>
      <c r="F240" s="88" t="str">
        <f aca="false">IF(D240&lt;&gt;"",IFERROR(VLOOKUP(D240,PROVEEDORES!$A:$C,3,0),""),"")</f>
        <v>S</v>
      </c>
      <c r="G240" s="75" t="s">
        <v>69</v>
      </c>
      <c r="H240" s="46" t="str">
        <f aca="false">IF(G240&lt;&gt;"",IFERROR(VLOOKUP(G240,PRODUCTOS!$A:$B,2,0),"!COD NO ENCONTRADO"),"")</f>
        <v>ALFONDIGA/RUBIO/ESCACHO (GUU)</v>
      </c>
      <c r="I240" s="77" t="n">
        <v>1</v>
      </c>
      <c r="J240" s="78" t="n">
        <v>7</v>
      </c>
      <c r="K240" s="79" t="n">
        <v>1.5</v>
      </c>
      <c r="L240" s="80" t="n">
        <f aca="false">IF(AND(J240&lt;&gt;"",K240&lt;&gt;""),J240*K240,"")</f>
        <v>10.5</v>
      </c>
      <c r="M240" s="81" t="n">
        <f aca="false">IF(L240&lt;&gt;"",L240*1.1,"")</f>
        <v>11.55</v>
      </c>
      <c r="N240" s="53" t="n">
        <f aca="false">IF(F240="S",L240*0.02,0)</f>
        <v>0.21</v>
      </c>
      <c r="O240" s="82" t="n">
        <f aca="false">IF(L240&lt;&gt;"",L240+N240,"")</f>
        <v>10.71</v>
      </c>
      <c r="P240" s="53" t="n">
        <f aca="false">IF(O240&lt;&gt;"",O240*0.1,"")</f>
        <v>1.071</v>
      </c>
      <c r="Q240" s="83" t="n">
        <f aca="false">IF(O240&lt;&gt;"",O240+P240,"")</f>
        <v>11.781</v>
      </c>
      <c r="R240" s="84"/>
    </row>
    <row r="241" customFormat="false" ht="15" hidden="false" customHeight="true" outlineLevel="0" collapsed="false">
      <c r="A241" s="72" t="n">
        <v>5954</v>
      </c>
      <c r="B241" s="85" t="n">
        <v>46197</v>
      </c>
      <c r="C241" s="86" t="s">
        <v>388</v>
      </c>
      <c r="D241" s="87" t="n">
        <v>50232</v>
      </c>
      <c r="E241" s="46" t="str">
        <f aca="false">IF(D241&lt;&gt;"",IFERROR(VLOOKUP(D241,PROVEEDORES!$A:$B,2,0),"!COD NO ENCONTRADO"),"")</f>
        <v>XESTION NOVA LONXA RIVEIRA S.L.</v>
      </c>
      <c r="F241" s="92" t="str">
        <f aca="false">IF(D241&lt;&gt;"",IFERROR(VLOOKUP(D241,PROVEEDORES!$A:$C,3,0),""),"")</f>
        <v>S</v>
      </c>
      <c r="G241" s="93" t="s">
        <v>270</v>
      </c>
      <c r="H241" s="94" t="str">
        <f aca="false">IF(G241&lt;&gt;"",IFERROR(VLOOKUP(G241,PRODUCTOS!$A:$B,2,0),"!COD NO ENCONTRADO"),"")</f>
        <v>PEON/ PION (ATP)</v>
      </c>
      <c r="I241" s="90" t="n">
        <v>2</v>
      </c>
      <c r="J241" s="91" t="n">
        <v>12</v>
      </c>
      <c r="K241" s="95" t="n">
        <v>3</v>
      </c>
      <c r="L241" s="96" t="n">
        <f aca="false">IF(AND(J241&lt;&gt;"",K241&lt;&gt;""),J241*K241,"")</f>
        <v>36</v>
      </c>
      <c r="M241" s="97" t="n">
        <f aca="false">IF(L241&lt;&gt;"",L241*1.1,"")</f>
        <v>39.6</v>
      </c>
      <c r="N241" s="98" t="n">
        <f aca="false">IF(F241="S",L241*0.02,0)</f>
        <v>0.72</v>
      </c>
      <c r="O241" s="99" t="n">
        <f aca="false">IF(L241&lt;&gt;"",L241+N241,"")</f>
        <v>36.72</v>
      </c>
      <c r="P241" s="100" t="n">
        <f aca="false">IF(O241&lt;&gt;"",O241*0.1,"")</f>
        <v>3.672</v>
      </c>
      <c r="Q241" s="83" t="n">
        <f aca="false">IF(O241&lt;&gt;"",O241+P241,"")</f>
        <v>40.392</v>
      </c>
      <c r="R241" s="84"/>
    </row>
    <row r="242" customFormat="false" ht="15" hidden="false" customHeight="true" outlineLevel="0" collapsed="false">
      <c r="A242" s="72" t="n">
        <v>5954</v>
      </c>
      <c r="B242" s="85" t="n">
        <v>46197</v>
      </c>
      <c r="C242" s="86" t="s">
        <v>388</v>
      </c>
      <c r="D242" s="87" t="n">
        <v>50232</v>
      </c>
      <c r="E242" s="46" t="str">
        <f aca="false">IF(D242&lt;&gt;"",IFERROR(VLOOKUP(D242,PROVEEDORES!$A:$B,2,0),"!COD NO ENCONTRADO"),"")</f>
        <v>XESTION NOVA LONXA RIVEIRA S.L.</v>
      </c>
      <c r="F242" s="88" t="str">
        <f aca="false">IF(D242&lt;&gt;"",IFERROR(VLOOKUP(D242,PROVEEDORES!$A:$C,3,0),""),"")</f>
        <v>S</v>
      </c>
      <c r="G242" s="75" t="s">
        <v>296</v>
      </c>
      <c r="H242" s="46" t="str">
        <f aca="false">IF(G242&lt;&gt;"",IFERROR(VLOOKUP(G242,PRODUCTOS!$A:$B,2,0),"!COD NO ENCONTRADO"),"")</f>
        <v>RAPE NEGRO (ANK)</v>
      </c>
      <c r="I242" s="89" t="n">
        <v>4</v>
      </c>
      <c r="J242" s="90" t="n">
        <f aca="false">10+7.8+6.4+2.5</f>
        <v>26.7</v>
      </c>
      <c r="K242" s="91" t="n">
        <v>3.5</v>
      </c>
      <c r="L242" s="80" t="n">
        <f aca="false">IF(AND(J242&lt;&gt;"",K242&lt;&gt;""),J242*K242,"")</f>
        <v>93.45</v>
      </c>
      <c r="M242" s="81" t="n">
        <f aca="false">IF(L242&lt;&gt;"",L242*1.1,"")</f>
        <v>102.795</v>
      </c>
      <c r="N242" s="53" t="n">
        <f aca="false">IF(F242="S",L242*0.02,0)</f>
        <v>1.869</v>
      </c>
      <c r="O242" s="82" t="n">
        <f aca="false">IF(L242&lt;&gt;"",L242+N242,"")</f>
        <v>95.319</v>
      </c>
      <c r="P242" s="53" t="n">
        <f aca="false">IF(O242&lt;&gt;"",O242*0.1,"")</f>
        <v>9.5319</v>
      </c>
      <c r="Q242" s="83" t="n">
        <f aca="false">IF(O242&lt;&gt;"",O242+P242,"")</f>
        <v>104.8509</v>
      </c>
      <c r="R242" s="84"/>
    </row>
    <row r="243" customFormat="false" ht="15" hidden="false" customHeight="true" outlineLevel="0" collapsed="false">
      <c r="A243" s="72" t="n">
        <v>5954</v>
      </c>
      <c r="B243" s="73" t="n">
        <v>46197</v>
      </c>
      <c r="C243" s="74" t="s">
        <v>388</v>
      </c>
      <c r="D243" s="75" t="n">
        <v>50232</v>
      </c>
      <c r="E243" s="46" t="str">
        <f aca="false">IF(D243&lt;&gt;"",IFERROR(VLOOKUP(D243,PROVEEDORES!$A:$B,2,0),"!COD NO ENCONTRADO"),"")</f>
        <v>XESTION NOVA LONXA RIVEIRA S.L.</v>
      </c>
      <c r="F243" s="88" t="str">
        <f aca="false">IF(D243&lt;&gt;"",IFERROR(VLOOKUP(D243,PROVEEDORES!$A:$C,3,0),""),"")</f>
        <v>S</v>
      </c>
      <c r="G243" s="75" t="s">
        <v>296</v>
      </c>
      <c r="H243" s="46" t="str">
        <f aca="false">IF(G243&lt;&gt;"",IFERROR(VLOOKUP(G243,PRODUCTOS!$A:$B,2,0),"!COD NO ENCONTRADO"),"")</f>
        <v>RAPE NEGRO (ANK)</v>
      </c>
      <c r="I243" s="89" t="n">
        <v>6</v>
      </c>
      <c r="J243" s="90" t="n">
        <v>21.9</v>
      </c>
      <c r="K243" s="91" t="n">
        <v>4.5</v>
      </c>
      <c r="L243" s="80" t="n">
        <f aca="false">IF(AND(J243&lt;&gt;"",K243&lt;&gt;""),J243*K243,"")</f>
        <v>98.55</v>
      </c>
      <c r="M243" s="81" t="n">
        <f aca="false">IF(L243&lt;&gt;"",L243*1.1,"")</f>
        <v>108.405</v>
      </c>
      <c r="N243" s="53" t="n">
        <f aca="false">IF(F243="S",L243*0.02,0)</f>
        <v>1.971</v>
      </c>
      <c r="O243" s="82" t="n">
        <f aca="false">IF(L243&lt;&gt;"",L243+N243,"")</f>
        <v>100.521</v>
      </c>
      <c r="P243" s="53" t="n">
        <f aca="false">IF(O243&lt;&gt;"",O243*0.1,"")</f>
        <v>10.0521</v>
      </c>
      <c r="Q243" s="83" t="n">
        <f aca="false">IF(O243&lt;&gt;"",O243+P243,"")</f>
        <v>110.5731</v>
      </c>
      <c r="R243" s="84"/>
    </row>
    <row r="244" customFormat="false" ht="15" hidden="false" customHeight="true" outlineLevel="0" collapsed="false">
      <c r="A244" s="72" t="n">
        <v>5954</v>
      </c>
      <c r="B244" s="85" t="n">
        <v>46197</v>
      </c>
      <c r="C244" s="86" t="s">
        <v>388</v>
      </c>
      <c r="D244" s="87" t="n">
        <v>50232</v>
      </c>
      <c r="E244" s="46" t="str">
        <f aca="false">IF(D244&lt;&gt;"",IFERROR(VLOOKUP(D244,PROVEEDORES!$A:$B,2,0),"!COD NO ENCONTRADO"),"")</f>
        <v>XESTION NOVA LONXA RIVEIRA S.L.</v>
      </c>
      <c r="F244" s="88" t="str">
        <f aca="false">IF(D244&lt;&gt;"",IFERROR(VLOOKUP(D244,PROVEEDORES!$A:$C,3,0),""),"")</f>
        <v>S</v>
      </c>
      <c r="G244" s="75" t="s">
        <v>296</v>
      </c>
      <c r="H244" s="46" t="str">
        <f aca="false">IF(G244&lt;&gt;"",IFERROR(VLOOKUP(G244,PRODUCTOS!$A:$B,2,0),"!COD NO ENCONTRADO"),"")</f>
        <v>RAPE NEGRO (ANK)</v>
      </c>
      <c r="I244" s="89" t="n">
        <v>2</v>
      </c>
      <c r="J244" s="90" t="n">
        <v>13.2</v>
      </c>
      <c r="K244" s="91" t="n">
        <v>5.8</v>
      </c>
      <c r="L244" s="80" t="n">
        <f aca="false">IF(AND(J244&lt;&gt;"",K244&lt;&gt;""),J244*K244,"")</f>
        <v>76.56</v>
      </c>
      <c r="M244" s="81" t="n">
        <f aca="false">IF(L244&lt;&gt;"",L244*1.1,"")</f>
        <v>84.216</v>
      </c>
      <c r="N244" s="53" t="n">
        <f aca="false">IF(F244="S",L244*0.02,0)</f>
        <v>1.5312</v>
      </c>
      <c r="O244" s="82" t="n">
        <f aca="false">IF(L244&lt;&gt;"",L244+N244,"")</f>
        <v>78.0912</v>
      </c>
      <c r="P244" s="53" t="n">
        <f aca="false">IF(O244&lt;&gt;"",O244*0.1,"")</f>
        <v>7.80912</v>
      </c>
      <c r="Q244" s="83" t="n">
        <f aca="false">IF(O244&lt;&gt;"",O244+P244,"")</f>
        <v>85.90032</v>
      </c>
      <c r="R244" s="84"/>
    </row>
    <row r="245" customFormat="false" ht="15" hidden="false" customHeight="true" outlineLevel="0" collapsed="false">
      <c r="A245" s="72" t="n">
        <v>5955</v>
      </c>
      <c r="B245" s="85" t="n">
        <v>46196</v>
      </c>
      <c r="C245" s="86"/>
      <c r="D245" s="87" t="n">
        <v>50232</v>
      </c>
      <c r="E245" s="46" t="str">
        <f aca="false">IF(D245&lt;&gt;"",IFERROR(VLOOKUP(D245,PROVEEDORES!$A:$B,2,0),"!COD NO ENCONTRADO"),"")</f>
        <v>XESTION NOVA LONXA RIVEIRA S.L.</v>
      </c>
      <c r="F245" s="88" t="str">
        <f aca="false">IF(D245&lt;&gt;"",IFERROR(VLOOKUP(D245,PROVEEDORES!$A:$C,3,0),""),"")</f>
        <v>S</v>
      </c>
      <c r="G245" s="75" t="s">
        <v>296</v>
      </c>
      <c r="H245" s="46" t="str">
        <f aca="false">IF(G245&lt;&gt;"",IFERROR(VLOOKUP(G245,PRODUCTOS!$A:$B,2,0),"!COD NO ENCONTRADO"),"")</f>
        <v>RAPE NEGRO (ANK)</v>
      </c>
      <c r="I245" s="77" t="n">
        <v>14</v>
      </c>
      <c r="J245" s="78" t="n">
        <v>67.5</v>
      </c>
      <c r="K245" s="79" t="n">
        <v>4</v>
      </c>
      <c r="L245" s="80" t="n">
        <f aca="false">IF(AND(J245&lt;&gt;"",K245&lt;&gt;""),J245*K245,"")</f>
        <v>270</v>
      </c>
      <c r="M245" s="81" t="n">
        <f aca="false">IF(L245&lt;&gt;"",L245*1.1,"")</f>
        <v>297</v>
      </c>
      <c r="N245" s="53" t="n">
        <f aca="false">IF(F245="S",L245*0.02,0)</f>
        <v>5.4</v>
      </c>
      <c r="O245" s="82" t="n">
        <f aca="false">IF(L245&lt;&gt;"",L245+N245,"")</f>
        <v>275.4</v>
      </c>
      <c r="P245" s="53" t="n">
        <f aca="false">IF(O245&lt;&gt;"",O245*0.1,"")</f>
        <v>27.54</v>
      </c>
      <c r="Q245" s="83" t="n">
        <f aca="false">IF(O245&lt;&gt;"",O245+P245,"")</f>
        <v>302.94</v>
      </c>
      <c r="R245" s="84"/>
    </row>
    <row r="246" customFormat="false" ht="15" hidden="false" customHeight="true" outlineLevel="0" collapsed="false">
      <c r="A246" s="72" t="n">
        <v>5955</v>
      </c>
      <c r="B246" s="85" t="n">
        <v>46196</v>
      </c>
      <c r="C246" s="86"/>
      <c r="D246" s="87" t="n">
        <v>50232</v>
      </c>
      <c r="E246" s="46" t="str">
        <f aca="false">IF(D246&lt;&gt;"",IFERROR(VLOOKUP(D246,PROVEEDORES!$A:$B,2,0),"!COD NO ENCONTRADO"),"")</f>
        <v>XESTION NOVA LONXA RIVEIRA S.L.</v>
      </c>
      <c r="F246" s="88" t="str">
        <f aca="false">IF(D246&lt;&gt;"",IFERROR(VLOOKUP(D246,PROVEEDORES!$A:$C,3,0),""),"")</f>
        <v>S</v>
      </c>
      <c r="G246" s="93" t="s">
        <v>288</v>
      </c>
      <c r="H246" s="101" t="str">
        <f aca="false">IF(G246&lt;&gt;"",IFERROR(VLOOKUP(G246,PRODUCTOS!$A:$B,2,0),"!COD NO ENCONTRADO"),"")</f>
        <v>RAPE BLANCO DIA (MON)</v>
      </c>
      <c r="I246" s="90" t="n">
        <v>3</v>
      </c>
      <c r="J246" s="91" t="n">
        <v>10.1</v>
      </c>
      <c r="K246" s="95" t="n">
        <v>4</v>
      </c>
      <c r="L246" s="96" t="n">
        <f aca="false">IF(AND(J246&lt;&gt;"",K246&lt;&gt;""),J246*K246,"")</f>
        <v>40.4</v>
      </c>
      <c r="M246" s="97" t="n">
        <f aca="false">IF(L246&lt;&gt;"",L246*1.1,"")</f>
        <v>44.44</v>
      </c>
      <c r="N246" s="98" t="n">
        <f aca="false">IF(F246="S",L246*0.02,0)</f>
        <v>0.808</v>
      </c>
      <c r="O246" s="99" t="n">
        <f aca="false">IF(L246&lt;&gt;"",L246+N246,"")</f>
        <v>41.208</v>
      </c>
      <c r="P246" s="100" t="n">
        <f aca="false">IF(O246&lt;&gt;"",O246*0.1,"")</f>
        <v>4.1208</v>
      </c>
      <c r="Q246" s="83" t="n">
        <f aca="false">IF(O246&lt;&gt;"",O246+P246,"")</f>
        <v>45.3288</v>
      </c>
      <c r="R246" s="84"/>
    </row>
    <row r="247" customFormat="false" ht="15" hidden="false" customHeight="true" outlineLevel="0" collapsed="false">
      <c r="A247" s="72" t="n">
        <v>5955</v>
      </c>
      <c r="B247" s="73" t="n">
        <v>46196</v>
      </c>
      <c r="C247" s="74"/>
      <c r="D247" s="75" t="n">
        <v>50232</v>
      </c>
      <c r="E247" s="46" t="str">
        <f aca="false">IF(D247&lt;&gt;"",IFERROR(VLOOKUP(D247,PROVEEDORES!$A:$B,2,0),"!COD NO ENCONTRADO"),"")</f>
        <v>XESTION NOVA LONXA RIVEIRA S.L.</v>
      </c>
      <c r="F247" s="88" t="str">
        <f aca="false">IF(D247&lt;&gt;"",IFERROR(VLOOKUP(D247,PROVEEDORES!$A:$C,3,0),""),"")</f>
        <v>S</v>
      </c>
      <c r="G247" s="93" t="s">
        <v>288</v>
      </c>
      <c r="H247" s="94" t="str">
        <f aca="false">IF(G247&lt;&gt;"",IFERROR(VLOOKUP(G247,PRODUCTOS!$A:$B,2,0),"!COD NO ENCONTRADO"),"")</f>
        <v>RAPE BLANCO DIA (MON)</v>
      </c>
      <c r="I247" s="90" t="n">
        <v>2</v>
      </c>
      <c r="J247" s="91" t="n">
        <v>10.2</v>
      </c>
      <c r="K247" s="95" t="n">
        <v>3.7</v>
      </c>
      <c r="L247" s="96" t="n">
        <f aca="false">IF(AND(J247&lt;&gt;"",K247&lt;&gt;""),J247*K247,"")</f>
        <v>37.74</v>
      </c>
      <c r="M247" s="97" t="n">
        <f aca="false">IF(L247&lt;&gt;"",L247*1.1,"")</f>
        <v>41.514</v>
      </c>
      <c r="N247" s="98" t="n">
        <f aca="false">IF(F247="S",L247*0.02,0)</f>
        <v>0.7548</v>
      </c>
      <c r="O247" s="99" t="n">
        <f aca="false">IF(L247&lt;&gt;"",L247+N247,"")</f>
        <v>38.4948</v>
      </c>
      <c r="P247" s="100" t="n">
        <f aca="false">IF(O247&lt;&gt;"",O247*0.1,"")</f>
        <v>3.84948</v>
      </c>
      <c r="Q247" s="83" t="n">
        <f aca="false">IF(O247&lt;&gt;"",O247+P247,"")</f>
        <v>42.34428</v>
      </c>
      <c r="R247" s="84"/>
    </row>
    <row r="248" customFormat="false" ht="15" hidden="false" customHeight="true" outlineLevel="0" collapsed="false">
      <c r="A248" s="72" t="n">
        <v>5955</v>
      </c>
      <c r="B248" s="73" t="n">
        <v>46196</v>
      </c>
      <c r="C248" s="74" t="s">
        <v>389</v>
      </c>
      <c r="D248" s="75" t="n">
        <v>50232</v>
      </c>
      <c r="E248" s="52" t="str">
        <f aca="false">IF(D248&lt;&gt;"",IFERROR(VLOOKUP(D248,PROVEEDORES!$A:$B,2,0),"!COD NO ENCONTRADO"),"")</f>
        <v>XESTION NOVA LONXA RIVEIRA S.L.</v>
      </c>
      <c r="F248" s="76" t="str">
        <f aca="false">IF(D248&lt;&gt;"",IFERROR(VLOOKUP(D248,PROVEEDORES!$A:$C,3,0),""),"")</f>
        <v>S</v>
      </c>
      <c r="G248" s="75" t="s">
        <v>103</v>
      </c>
      <c r="H248" s="52" t="str">
        <f aca="false">IF(G248&lt;&gt;"",IFERROR(VLOOKUP(G248,PRODUCTOS!$A:$B,2,0),"!COD NO ENCONTRADO"),"")</f>
        <v>CABRAS/ GALLINETA (BRF)</v>
      </c>
      <c r="I248" s="77" t="n">
        <v>1</v>
      </c>
      <c r="J248" s="78" t="n">
        <v>12.5</v>
      </c>
      <c r="K248" s="79" t="n">
        <v>0.5</v>
      </c>
      <c r="L248" s="80" t="n">
        <f aca="false">IF(AND(J248&lt;&gt;"",K248&lt;&gt;""),J248*K248,"")</f>
        <v>6.25</v>
      </c>
      <c r="M248" s="81" t="n">
        <f aca="false">IF(L248&lt;&gt;"",L248*1.1,"")</f>
        <v>6.875</v>
      </c>
      <c r="N248" s="53" t="n">
        <f aca="false">IF(F248="S",L248*0.02,0)</f>
        <v>0.125</v>
      </c>
      <c r="O248" s="82" t="n">
        <f aca="false">IF(L248&lt;&gt;"",L248+N248,"")</f>
        <v>6.375</v>
      </c>
      <c r="P248" s="53" t="n">
        <f aca="false">IF(O248&lt;&gt;"",O248*0.1,"")</f>
        <v>0.6375</v>
      </c>
      <c r="Q248" s="83" t="n">
        <f aca="false">IF(O248&lt;&gt;"",O248+P248,"")</f>
        <v>7.0125</v>
      </c>
      <c r="R248" s="84"/>
    </row>
    <row r="249" customFormat="false" ht="15" hidden="false" customHeight="true" outlineLevel="0" collapsed="false">
      <c r="A249" s="72" t="n">
        <v>5955</v>
      </c>
      <c r="B249" s="73" t="n">
        <v>46196</v>
      </c>
      <c r="C249" s="74" t="s">
        <v>389</v>
      </c>
      <c r="D249" s="87" t="n">
        <v>50232</v>
      </c>
      <c r="E249" s="46" t="str">
        <f aca="false">IF(D249&lt;&gt;"",IFERROR(VLOOKUP(D249,PROVEEDORES!$A:$B,2,0),"!COD NO ENCONTRADO"),"")</f>
        <v>XESTION NOVA LONXA RIVEIRA S.L.</v>
      </c>
      <c r="F249" s="88" t="str">
        <f aca="false">IF(D249&lt;&gt;"",IFERROR(VLOOKUP(D249,PROVEEDORES!$A:$C,3,0),""),"")</f>
        <v>S</v>
      </c>
      <c r="G249" s="87" t="s">
        <v>296</v>
      </c>
      <c r="H249" s="46" t="str">
        <f aca="false">IF(G249&lt;&gt;"",IFERROR(VLOOKUP(G249,PRODUCTOS!$A:$B,2,0),"!COD NO ENCONTRADO"),"")</f>
        <v>RAPE NEGRO (ANK)</v>
      </c>
      <c r="I249" s="89" t="n">
        <v>3</v>
      </c>
      <c r="J249" s="90" t="n">
        <v>21.6</v>
      </c>
      <c r="K249" s="91" t="n">
        <v>4.5</v>
      </c>
      <c r="L249" s="80" t="n">
        <f aca="false">IF(AND(J249&lt;&gt;"",K249&lt;&gt;""),J249*K249,"")</f>
        <v>97.2</v>
      </c>
      <c r="M249" s="81" t="n">
        <f aca="false">IF(L249&lt;&gt;"",L249*1.1,"")</f>
        <v>106.92</v>
      </c>
      <c r="N249" s="53" t="n">
        <f aca="false">IF(F249="S",L249*0.02,0)</f>
        <v>1.944</v>
      </c>
      <c r="O249" s="82" t="n">
        <f aca="false">IF(L249&lt;&gt;"",L249+N249,"")</f>
        <v>99.144</v>
      </c>
      <c r="P249" s="53" t="n">
        <f aca="false">IF(O249&lt;&gt;"",O249*0.1,"")</f>
        <v>9.9144</v>
      </c>
      <c r="Q249" s="83" t="n">
        <f aca="false">IF(O249&lt;&gt;"",O249+P249,"")</f>
        <v>109.0584</v>
      </c>
      <c r="R249" s="84"/>
    </row>
    <row r="250" customFormat="false" ht="15" hidden="false" customHeight="true" outlineLevel="0" collapsed="false">
      <c r="A250" s="72" t="n">
        <v>5955</v>
      </c>
      <c r="B250" s="73" t="n">
        <v>46196</v>
      </c>
      <c r="C250" s="74" t="s">
        <v>389</v>
      </c>
      <c r="D250" s="75" t="n">
        <v>50232</v>
      </c>
      <c r="E250" s="52" t="str">
        <f aca="false">IF(D250&lt;&gt;"",IFERROR(VLOOKUP(D250,PROVEEDORES!$A:$B,2,0),"!COD NO ENCONTRADO"),"")</f>
        <v>XESTION NOVA LONXA RIVEIRA S.L.</v>
      </c>
      <c r="F250" s="76" t="str">
        <f aca="false">IF(D250&lt;&gt;"",IFERROR(VLOOKUP(D250,PROVEEDORES!$A:$C,3,0),""),"")</f>
        <v>S</v>
      </c>
      <c r="G250" s="75" t="s">
        <v>296</v>
      </c>
      <c r="H250" s="52" t="str">
        <f aca="false">IF(G250&lt;&gt;"",IFERROR(VLOOKUP(G250,PRODUCTOS!$A:$B,2,0),"!COD NO ENCONTRADO"),"")</f>
        <v>RAPE NEGRO (ANK)</v>
      </c>
      <c r="I250" s="77" t="n">
        <v>1</v>
      </c>
      <c r="J250" s="78" t="n">
        <v>9.4</v>
      </c>
      <c r="K250" s="79" t="n">
        <v>4</v>
      </c>
      <c r="L250" s="80" t="n">
        <f aca="false">IF(AND(J250&lt;&gt;"",K250&lt;&gt;""),J250*K250,"")</f>
        <v>37.6</v>
      </c>
      <c r="M250" s="81" t="n">
        <f aca="false">IF(L250&lt;&gt;"",L250*1.1,"")</f>
        <v>41.36</v>
      </c>
      <c r="N250" s="53" t="n">
        <f aca="false">IF(F250="S",L250*0.02,0)</f>
        <v>0.752</v>
      </c>
      <c r="O250" s="82" t="n">
        <f aca="false">IF(L250&lt;&gt;"",L250+N250,"")</f>
        <v>38.352</v>
      </c>
      <c r="P250" s="53" t="n">
        <f aca="false">IF(O250&lt;&gt;"",O250*0.1,"")</f>
        <v>3.8352</v>
      </c>
      <c r="Q250" s="83" t="n">
        <f aca="false">IF(O250&lt;&gt;"",O250+P250,"")</f>
        <v>42.1872</v>
      </c>
      <c r="R250" s="84"/>
    </row>
    <row r="251" customFormat="false" ht="15" hidden="false" customHeight="true" outlineLevel="0" collapsed="false">
      <c r="A251" s="72" t="n">
        <v>5955</v>
      </c>
      <c r="B251" s="73" t="n">
        <v>46196</v>
      </c>
      <c r="C251" s="74" t="s">
        <v>389</v>
      </c>
      <c r="D251" s="87" t="n">
        <v>50232</v>
      </c>
      <c r="E251" s="46" t="str">
        <f aca="false">IF(D251&lt;&gt;"",IFERROR(VLOOKUP(D251,PROVEEDORES!$A:$B,2,0),"!COD NO ENCONTRADO"),"")</f>
        <v>XESTION NOVA LONXA RIVEIRA S.L.</v>
      </c>
      <c r="F251" s="88" t="str">
        <f aca="false">IF(D251&lt;&gt;"",IFERROR(VLOOKUP(D251,PROVEEDORES!$A:$C,3,0),""),"")</f>
        <v>S</v>
      </c>
      <c r="G251" s="87" t="s">
        <v>296</v>
      </c>
      <c r="H251" s="46" t="str">
        <f aca="false">IF(G251&lt;&gt;"",IFERROR(VLOOKUP(G251,PRODUCTOS!$A:$B,2,0),"!COD NO ENCONTRADO"),"")</f>
        <v>RAPE NEGRO (ANK)</v>
      </c>
      <c r="I251" s="89" t="n">
        <v>5</v>
      </c>
      <c r="J251" s="90" t="n">
        <f aca="false">8+7+7.5+3+8.4</f>
        <v>33.9</v>
      </c>
      <c r="K251" s="91" t="n">
        <v>3.5</v>
      </c>
      <c r="L251" s="80" t="n">
        <f aca="false">IF(AND(J251&lt;&gt;"",K251&lt;&gt;""),J251*K251,"")</f>
        <v>118.65</v>
      </c>
      <c r="M251" s="81" t="n">
        <f aca="false">IF(L251&lt;&gt;"",L251*1.1,"")</f>
        <v>130.515</v>
      </c>
      <c r="N251" s="53" t="n">
        <f aca="false">IF(F251="S",L251*0.02,0)</f>
        <v>2.373</v>
      </c>
      <c r="O251" s="82" t="n">
        <f aca="false">IF(L251&lt;&gt;"",L251+N251,"")</f>
        <v>121.023</v>
      </c>
      <c r="P251" s="53" t="n">
        <f aca="false">IF(O251&lt;&gt;"",O251*0.1,"")</f>
        <v>12.1023</v>
      </c>
      <c r="Q251" s="83" t="n">
        <f aca="false">IF(O251&lt;&gt;"",O251+P251,"")</f>
        <v>133.1253</v>
      </c>
      <c r="R251" s="84"/>
    </row>
    <row r="252" customFormat="false" ht="15" hidden="false" customHeight="true" outlineLevel="0" collapsed="false">
      <c r="A252" s="72" t="n">
        <v>5955</v>
      </c>
      <c r="B252" s="73" t="n">
        <v>46196</v>
      </c>
      <c r="C252" s="74" t="s">
        <v>389</v>
      </c>
      <c r="D252" s="75" t="n">
        <v>50232</v>
      </c>
      <c r="E252" s="52" t="str">
        <f aca="false">IF(D252&lt;&gt;"",IFERROR(VLOOKUP(D252,PROVEEDORES!$A:$B,2,0),"!COD NO ENCONTRADO"),"")</f>
        <v>XESTION NOVA LONXA RIVEIRA S.L.</v>
      </c>
      <c r="F252" s="76" t="str">
        <f aca="false">IF(D252&lt;&gt;"",IFERROR(VLOOKUP(D252,PROVEEDORES!$A:$C,3,0),""),"")</f>
        <v>S</v>
      </c>
      <c r="G252" s="75" t="s">
        <v>288</v>
      </c>
      <c r="H252" s="52" t="str">
        <f aca="false">IF(G252&lt;&gt;"",IFERROR(VLOOKUP(G252,PRODUCTOS!$A:$B,2,0),"!COD NO ENCONTRADO"),"")</f>
        <v>RAPE BLANCO DIA (MON)</v>
      </c>
      <c r="I252" s="77" t="n">
        <v>1</v>
      </c>
      <c r="J252" s="78" t="n">
        <v>3.2</v>
      </c>
      <c r="K252" s="79" t="n">
        <v>4</v>
      </c>
      <c r="L252" s="80" t="n">
        <f aca="false">IF(AND(J252&lt;&gt;"",K252&lt;&gt;""),J252*K252,"")</f>
        <v>12.8</v>
      </c>
      <c r="M252" s="81" t="n">
        <f aca="false">IF(L252&lt;&gt;"",L252*1.1,"")</f>
        <v>14.08</v>
      </c>
      <c r="N252" s="53" t="n">
        <f aca="false">IF(F252="S",L252*0.02,0)</f>
        <v>0.256</v>
      </c>
      <c r="O252" s="82" t="n">
        <f aca="false">IF(L252&lt;&gt;"",L252+N252,"")</f>
        <v>13.056</v>
      </c>
      <c r="P252" s="53" t="n">
        <f aca="false">IF(O252&lt;&gt;"",O252*0.1,"")</f>
        <v>1.3056</v>
      </c>
      <c r="Q252" s="83" t="n">
        <f aca="false">IF(O252&lt;&gt;"",O252+P252,"")</f>
        <v>14.3616</v>
      </c>
      <c r="R252" s="84"/>
    </row>
    <row r="253" customFormat="false" ht="15" hidden="false" customHeight="true" outlineLevel="0" collapsed="false">
      <c r="A253" s="72" t="n">
        <v>5955</v>
      </c>
      <c r="B253" s="73" t="n">
        <v>46196</v>
      </c>
      <c r="C253" s="74" t="s">
        <v>389</v>
      </c>
      <c r="D253" s="87" t="n">
        <v>50232</v>
      </c>
      <c r="E253" s="46" t="str">
        <f aca="false">IF(D253&lt;&gt;"",IFERROR(VLOOKUP(D253,PROVEEDORES!$A:$B,2,0),"!COD NO ENCONTRADO"),"")</f>
        <v>XESTION NOVA LONXA RIVEIRA S.L.</v>
      </c>
      <c r="F253" s="88" t="str">
        <f aca="false">IF(D253&lt;&gt;"",IFERROR(VLOOKUP(D253,PROVEEDORES!$A:$C,3,0),""),"")</f>
        <v>S</v>
      </c>
      <c r="G253" s="87" t="s">
        <v>288</v>
      </c>
      <c r="H253" s="46" t="str">
        <f aca="false">IF(G253&lt;&gt;"",IFERROR(VLOOKUP(G253,PRODUCTOS!$A:$B,2,0),"!COD NO ENCONTRADO"),"")</f>
        <v>RAPE BLANCO DIA (MON)</v>
      </c>
      <c r="I253" s="89" t="n">
        <v>2</v>
      </c>
      <c r="J253" s="90" t="n">
        <v>21</v>
      </c>
      <c r="K253" s="91" t="n">
        <v>3.5</v>
      </c>
      <c r="L253" s="80" t="n">
        <f aca="false">IF(AND(J253&lt;&gt;"",K253&lt;&gt;""),J253*K253,"")</f>
        <v>73.5</v>
      </c>
      <c r="M253" s="81" t="n">
        <f aca="false">IF(L253&lt;&gt;"",L253*1.1,"")</f>
        <v>80.85</v>
      </c>
      <c r="N253" s="53" t="n">
        <f aca="false">IF(F253="S",L253*0.02,0)</f>
        <v>1.47</v>
      </c>
      <c r="O253" s="82" t="n">
        <f aca="false">IF(L253&lt;&gt;"",L253+N253,"")</f>
        <v>74.97</v>
      </c>
      <c r="P253" s="53" t="n">
        <f aca="false">IF(O253&lt;&gt;"",O253*0.1,"")</f>
        <v>7.497</v>
      </c>
      <c r="Q253" s="83" t="n">
        <f aca="false">IF(O253&lt;&gt;"",O253+P253,"")</f>
        <v>82.467</v>
      </c>
      <c r="R253" s="84"/>
    </row>
    <row r="254" customFormat="false" ht="15" hidden="false" customHeight="true" outlineLevel="0" collapsed="false">
      <c r="A254" s="72" t="n">
        <v>5955</v>
      </c>
      <c r="B254" s="73" t="n">
        <v>46196</v>
      </c>
      <c r="C254" s="74" t="s">
        <v>389</v>
      </c>
      <c r="D254" s="75" t="n">
        <v>50232</v>
      </c>
      <c r="E254" s="52" t="str">
        <f aca="false">IF(D254&lt;&gt;"",IFERROR(VLOOKUP(D254,PROVEEDORES!$A:$B,2,0),"!COD NO ENCONTRADO"),"")</f>
        <v>XESTION NOVA LONXA RIVEIRA S.L.</v>
      </c>
      <c r="F254" s="76" t="str">
        <f aca="false">IF(D254&lt;&gt;"",IFERROR(VLOOKUP(D254,PROVEEDORES!$A:$C,3,0),""),"")</f>
        <v>S</v>
      </c>
      <c r="G254" s="75" t="s">
        <v>179</v>
      </c>
      <c r="H254" s="52" t="str">
        <f aca="false">IF(G254&lt;&gt;"",IFERROR(VLOOKUP(G254,PRODUCTOS!$A:$B,2,0),"!COD NO ENCONTRADO"),"")</f>
        <v>LIRIO/ BACALADILLA/ PERLA (WHB)</v>
      </c>
      <c r="I254" s="77" t="n">
        <v>30</v>
      </c>
      <c r="J254" s="78" t="n">
        <v>187</v>
      </c>
      <c r="K254" s="79" t="n">
        <v>1.18</v>
      </c>
      <c r="L254" s="80" t="n">
        <f aca="false">IF(AND(J254&lt;&gt;"",K254&lt;&gt;""),J254*K254,"")</f>
        <v>220.66</v>
      </c>
      <c r="M254" s="81" t="n">
        <f aca="false">IF(L254&lt;&gt;"",L254*1.1,"")</f>
        <v>242.726</v>
      </c>
      <c r="N254" s="53" t="n">
        <f aca="false">IF(F254="S",L254*0.02,0)</f>
        <v>4.4132</v>
      </c>
      <c r="O254" s="82" t="n">
        <f aca="false">IF(L254&lt;&gt;"",L254+N254,"")</f>
        <v>225.0732</v>
      </c>
      <c r="P254" s="53" t="n">
        <f aca="false">IF(O254&lt;&gt;"",O254*0.1,"")</f>
        <v>22.50732</v>
      </c>
      <c r="Q254" s="83" t="n">
        <f aca="false">IF(O254&lt;&gt;"",O254+P254,"")</f>
        <v>247.58052</v>
      </c>
      <c r="R254" s="84"/>
    </row>
    <row r="255" customFormat="false" ht="15" hidden="false" customHeight="true" outlineLevel="0" collapsed="false">
      <c r="A255" s="72" t="n">
        <v>5956</v>
      </c>
      <c r="B255" s="85" t="n">
        <v>46196</v>
      </c>
      <c r="C255" s="86" t="n">
        <v>9142</v>
      </c>
      <c r="D255" s="87" t="n">
        <v>50001</v>
      </c>
      <c r="E255" s="46" t="str">
        <f aca="false">IF(D255&lt;&gt;"",IFERROR(VLOOKUP(D255,PROVEEDORES!$A:$B,2,0),"!COD NO ENCONTRADO"),"")</f>
        <v>COPESA</v>
      </c>
      <c r="F255" s="88" t="s">
        <v>365</v>
      </c>
      <c r="G255" s="87" t="s">
        <v>288</v>
      </c>
      <c r="H255" s="46" t="str">
        <f aca="false">IF(G255&lt;&gt;"",IFERROR(VLOOKUP(G255,PRODUCTOS!$A:$B,2,0),"!COD NO ENCONTRADO"),"")</f>
        <v>RAPE BLANCO DIA (MON)</v>
      </c>
      <c r="I255" s="89" t="n">
        <v>8</v>
      </c>
      <c r="J255" s="90" t="n">
        <v>319.75</v>
      </c>
      <c r="K255" s="91" t="n">
        <v>3.8</v>
      </c>
      <c r="L255" s="80" t="n">
        <f aca="false">IF(AND(J255&lt;&gt;"",K255&lt;&gt;""),J255*K255,"")</f>
        <v>1215.05</v>
      </c>
      <c r="M255" s="81" t="n">
        <f aca="false">IF(L255&lt;&gt;"",L255*1.1,"")</f>
        <v>1336.555</v>
      </c>
      <c r="N255" s="53" t="n">
        <f aca="false">IF(F255="S",L255*0.02,0)</f>
        <v>24.301</v>
      </c>
      <c r="O255" s="82" t="n">
        <f aca="false">IF(L255&lt;&gt;"",L255+N255,"")</f>
        <v>1239.351</v>
      </c>
      <c r="P255" s="53" t="n">
        <f aca="false">IF(O255&lt;&gt;"",O255*0.1,"")</f>
        <v>123.9351</v>
      </c>
      <c r="Q255" s="83" t="n">
        <f aca="false">IF(O255&lt;&gt;"",O255+P255,"")</f>
        <v>1363.2861</v>
      </c>
      <c r="R255" s="84"/>
    </row>
    <row r="256" customFormat="false" ht="15" hidden="false" customHeight="true" outlineLevel="0" collapsed="false">
      <c r="A256" s="72" t="n">
        <v>5956</v>
      </c>
      <c r="B256" s="73" t="n">
        <v>46196</v>
      </c>
      <c r="C256" s="74" t="n">
        <v>9142</v>
      </c>
      <c r="D256" s="75" t="n">
        <v>50001</v>
      </c>
      <c r="E256" s="46" t="str">
        <f aca="false">IF(D256&lt;&gt;"",IFERROR(VLOOKUP(D256,PROVEEDORES!$A:$B,2,0),"!COD NO ENCONTRADO"),"")</f>
        <v>COPESA</v>
      </c>
      <c r="F256" s="76" t="s">
        <v>365</v>
      </c>
      <c r="G256" s="75" t="s">
        <v>103</v>
      </c>
      <c r="H256" s="46" t="str">
        <f aca="false">IF(G256&lt;&gt;"",IFERROR(VLOOKUP(G256,PRODUCTOS!$A:$B,2,0),"!COD NO ENCONTRADO"),"")</f>
        <v>CABRAS/ GALLINETA (BRF)</v>
      </c>
      <c r="I256" s="77" t="n">
        <v>3</v>
      </c>
      <c r="J256" s="78" t="n">
        <v>31.75</v>
      </c>
      <c r="K256" s="79" t="n">
        <v>1.2</v>
      </c>
      <c r="L256" s="80" t="n">
        <f aca="false">IF(AND(J256&lt;&gt;"",K256&lt;&gt;""),J256*K256,"")</f>
        <v>38.1</v>
      </c>
      <c r="M256" s="81" t="n">
        <f aca="false">IF(L256&lt;&gt;"",L256*1.1,"")</f>
        <v>41.91</v>
      </c>
      <c r="N256" s="53" t="n">
        <f aca="false">IF(F256="S",L256*0.02,0)</f>
        <v>0.762</v>
      </c>
      <c r="O256" s="82" t="n">
        <f aca="false">IF(L256&lt;&gt;"",L256+N256,"")</f>
        <v>38.862</v>
      </c>
      <c r="P256" s="53" t="n">
        <f aca="false">IF(O256&lt;&gt;"",O256*0.1,"")</f>
        <v>3.8862</v>
      </c>
      <c r="Q256" s="83" t="n">
        <f aca="false">IF(O256&lt;&gt;"",O256+P256,"")</f>
        <v>42.7482</v>
      </c>
      <c r="R256" s="84"/>
    </row>
    <row r="257" customFormat="false" ht="15" hidden="false" customHeight="true" outlineLevel="0" collapsed="false">
      <c r="A257" s="72" t="n">
        <v>5956</v>
      </c>
      <c r="B257" s="85" t="n">
        <v>46196</v>
      </c>
      <c r="C257" s="86" t="n">
        <v>9142</v>
      </c>
      <c r="D257" s="87" t="n">
        <v>50001</v>
      </c>
      <c r="E257" s="46" t="str">
        <f aca="false">IF(D257&lt;&gt;"",IFERROR(VLOOKUP(D257,PROVEEDORES!$A:$B,2,0),"!COD NO ENCONTRADO"),"")</f>
        <v>COPESA</v>
      </c>
      <c r="F257" s="88" t="s">
        <v>365</v>
      </c>
      <c r="G257" s="87" t="s">
        <v>79</v>
      </c>
      <c r="H257" s="46" t="str">
        <f aca="false">IF(G257&lt;&gt;"",IFERROR(VLOOKUP(G257,PRODUCTOS!$A:$B,2,0),"!COD NO ENCONTRADO"),"")</f>
        <v>BERTORELLA ROCA (FOR)</v>
      </c>
      <c r="I257" s="89" t="n">
        <v>1</v>
      </c>
      <c r="J257" s="90" t="n">
        <v>24.75</v>
      </c>
      <c r="K257" s="91" t="n">
        <v>2.9</v>
      </c>
      <c r="L257" s="80" t="n">
        <f aca="false">IF(AND(J257&lt;&gt;"",K257&lt;&gt;""),J257*K257,"")</f>
        <v>71.775</v>
      </c>
      <c r="M257" s="81" t="n">
        <f aca="false">IF(L257&lt;&gt;"",L257*1.1,"")</f>
        <v>78.9525</v>
      </c>
      <c r="N257" s="53" t="n">
        <f aca="false">IF(F257="S",L257*0.02,0)</f>
        <v>1.4355</v>
      </c>
      <c r="O257" s="82" t="n">
        <f aca="false">IF(L257&lt;&gt;"",L257+N257,"")</f>
        <v>73.2105</v>
      </c>
      <c r="P257" s="53" t="n">
        <f aca="false">IF(O257&lt;&gt;"",O257*0.1,"")</f>
        <v>7.32105</v>
      </c>
      <c r="Q257" s="83" t="n">
        <f aca="false">IF(O257&lt;&gt;"",O257+P257,"")</f>
        <v>80.53155</v>
      </c>
      <c r="R257" s="84"/>
    </row>
    <row r="258" customFormat="false" ht="15" hidden="false" customHeight="true" outlineLevel="0" collapsed="false">
      <c r="A258" s="72" t="n">
        <v>5956</v>
      </c>
      <c r="B258" s="73" t="n">
        <v>46196</v>
      </c>
      <c r="C258" s="74" t="n">
        <v>9142</v>
      </c>
      <c r="D258" s="75" t="n">
        <v>50001</v>
      </c>
      <c r="E258" s="46" t="str">
        <f aca="false">IF(D258&lt;&gt;"",IFERROR(VLOOKUP(D258,PROVEEDORES!$A:$B,2,0),"!COD NO ENCONTRADO"),"")</f>
        <v>COPESA</v>
      </c>
      <c r="F258" s="76" t="s">
        <v>365</v>
      </c>
      <c r="G258" s="75" t="s">
        <v>79</v>
      </c>
      <c r="H258" s="46" t="str">
        <f aca="false">IF(G258&lt;&gt;"",IFERROR(VLOOKUP(G258,PRODUCTOS!$A:$B,2,0),"!COD NO ENCONTRADO"),"")</f>
        <v>BERTORELLA ROCA (FOR)</v>
      </c>
      <c r="I258" s="77" t="n">
        <v>1</v>
      </c>
      <c r="J258" s="78" t="n">
        <v>27</v>
      </c>
      <c r="K258" s="79" t="n">
        <v>2.8</v>
      </c>
      <c r="L258" s="80" t="n">
        <f aca="false">IF(AND(J258&lt;&gt;"",K258&lt;&gt;""),J258*K258,"")</f>
        <v>75.6</v>
      </c>
      <c r="M258" s="81" t="n">
        <f aca="false">IF(L258&lt;&gt;"",L258*1.1,"")</f>
        <v>83.16</v>
      </c>
      <c r="N258" s="53" t="n">
        <f aca="false">IF(F258="S",L258*0.02,0)</f>
        <v>1.512</v>
      </c>
      <c r="O258" s="82" t="n">
        <f aca="false">IF(L258&lt;&gt;"",L258+N258,"")</f>
        <v>77.112</v>
      </c>
      <c r="P258" s="53" t="n">
        <f aca="false">IF(O258&lt;&gt;"",O258*0.1,"")</f>
        <v>7.7112</v>
      </c>
      <c r="Q258" s="83" t="n">
        <f aca="false">IF(O258&lt;&gt;"",O258+P258,"")</f>
        <v>84.8232</v>
      </c>
      <c r="R258" s="84"/>
    </row>
    <row r="259" customFormat="false" ht="15" hidden="false" customHeight="true" outlineLevel="0" collapsed="false">
      <c r="A259" s="72" t="n">
        <v>5956</v>
      </c>
      <c r="B259" s="85" t="n">
        <v>46196</v>
      </c>
      <c r="C259" s="86" t="n">
        <v>9142</v>
      </c>
      <c r="D259" s="87" t="n">
        <v>50001</v>
      </c>
      <c r="E259" s="46" t="str">
        <f aca="false">IF(D259&lt;&gt;"",IFERROR(VLOOKUP(D259,PROVEEDORES!$A:$B,2,0),"!COD NO ENCONTRADO"),"")</f>
        <v>COPESA</v>
      </c>
      <c r="F259" s="88" t="s">
        <v>365</v>
      </c>
      <c r="G259" s="87" t="s">
        <v>79</v>
      </c>
      <c r="H259" s="46" t="str">
        <f aca="false">IF(G259&lt;&gt;"",IFERROR(VLOOKUP(G259,PRODUCTOS!$A:$B,2,0),"!COD NO ENCONTRADO"),"")</f>
        <v>BERTORELLA ROCA (FOR)</v>
      </c>
      <c r="I259" s="89" t="n">
        <v>3</v>
      </c>
      <c r="J259" s="90" t="n">
        <v>75.75</v>
      </c>
      <c r="K259" s="91" t="n">
        <v>3.4</v>
      </c>
      <c r="L259" s="80" t="n">
        <f aca="false">IF(AND(J259&lt;&gt;"",K259&lt;&gt;""),J259*K259,"")</f>
        <v>257.55</v>
      </c>
      <c r="M259" s="81" t="n">
        <f aca="false">IF(L259&lt;&gt;"",L259*1.1,"")</f>
        <v>283.305</v>
      </c>
      <c r="N259" s="53" t="n">
        <f aca="false">IF(F259="S",L259*0.02,0)</f>
        <v>5.151</v>
      </c>
      <c r="O259" s="82" t="n">
        <f aca="false">IF(L259&lt;&gt;"",L259+N259,"")</f>
        <v>262.701</v>
      </c>
      <c r="P259" s="53" t="n">
        <f aca="false">IF(O259&lt;&gt;"",O259*0.1,"")</f>
        <v>26.2701</v>
      </c>
      <c r="Q259" s="83" t="n">
        <f aca="false">IF(O259&lt;&gt;"",O259+P259,"")</f>
        <v>288.9711</v>
      </c>
      <c r="R259" s="84"/>
    </row>
    <row r="260" customFormat="false" ht="15" hidden="false" customHeight="true" outlineLevel="0" collapsed="false">
      <c r="A260" s="72" t="n">
        <v>5957</v>
      </c>
      <c r="B260" s="73" t="n">
        <v>46196</v>
      </c>
      <c r="C260" s="74" t="s">
        <v>390</v>
      </c>
      <c r="D260" s="75" t="n">
        <v>50218</v>
      </c>
      <c r="E260" s="46" t="str">
        <f aca="false">IF(D260&lt;&gt;"",IFERROR(VLOOKUP(D260,PROVEEDORES!$A:$B,2,0),"!COD NO ENCONTRADO"),"")</f>
        <v>ACERGA </v>
      </c>
      <c r="F260" s="88" t="str">
        <f aca="false">IF(D260&lt;&gt;"",IFERROR(VLOOKUP(D260,PROVEEDORES!$A:$C,3,0),""),"")</f>
        <v>S</v>
      </c>
      <c r="G260" s="75" t="s">
        <v>324</v>
      </c>
      <c r="H260" s="46" t="str">
        <f aca="false">IF(G260&lt;&gt;"",IFERROR(VLOOKUP(G260,PRODUCTOS!$A:$B,2,0),"!COD NO ENCONTRADO"),"")</f>
        <v>SARDINA    (PIL)</v>
      </c>
      <c r="I260" s="77" t="n">
        <v>1</v>
      </c>
      <c r="J260" s="78" t="n">
        <v>11</v>
      </c>
      <c r="K260" s="79" t="n">
        <v>2</v>
      </c>
      <c r="L260" s="102" t="n">
        <f aca="false">IF(AND(J260&lt;&gt;"",K260&lt;&gt;""),J260*K260,"")</f>
        <v>22</v>
      </c>
      <c r="M260" s="81" t="n">
        <f aca="false">IF(L260&lt;&gt;"",L260*1.1,"")</f>
        <v>24.2</v>
      </c>
      <c r="N260" s="53" t="n">
        <f aca="false">IF(F260="S",L260*0.02,0)</f>
        <v>0.44</v>
      </c>
      <c r="O260" s="82" t="n">
        <f aca="false">IF(L260&lt;&gt;"",L260+N260,"")</f>
        <v>22.44</v>
      </c>
      <c r="P260" s="53" t="n">
        <f aca="false">IF(O260&lt;&gt;"",O260*0.1,"")</f>
        <v>2.244</v>
      </c>
      <c r="Q260" s="83" t="n">
        <f aca="false">IF(O260&lt;&gt;"",O260+P260,"")</f>
        <v>24.684</v>
      </c>
      <c r="R260" s="84"/>
    </row>
    <row r="261" customFormat="false" ht="15" hidden="false" customHeight="true" outlineLevel="0" collapsed="false">
      <c r="A261" s="72" t="n">
        <v>5958</v>
      </c>
      <c r="B261" s="73" t="n">
        <v>46196</v>
      </c>
      <c r="C261" s="74" t="n">
        <v>32184</v>
      </c>
      <c r="D261" s="75" t="n">
        <v>50106</v>
      </c>
      <c r="E261" s="46" t="str">
        <f aca="false">IF(D261&lt;&gt;"",IFERROR(VLOOKUP(D261,PROVEEDORES!$A:$B,2,0),"!COD NO ENCONTRADO"),"")</f>
        <v>SONIA VENTAS S.L</v>
      </c>
      <c r="F261" s="88" t="str">
        <f aca="false">IF(D261&lt;&gt;"",IFERROR(VLOOKUP(D261,PROVEEDORES!$A:$C,3,0),""),"")</f>
        <v>S</v>
      </c>
      <c r="G261" s="75" t="s">
        <v>216</v>
      </c>
      <c r="H261" s="46" t="str">
        <f aca="false">IF(G261&lt;&gt;"",IFERROR(VLOOKUP(G261,PRODUCTOS!$A:$B,2,0),"!COD NO ENCONTRADO"),"")</f>
        <v>MERLUZA EUROPEA PINCHO COSTA</v>
      </c>
      <c r="I261" s="77" t="n">
        <v>4</v>
      </c>
      <c r="J261" s="78" t="n">
        <v>56</v>
      </c>
      <c r="K261" s="79" t="n">
        <v>3.1</v>
      </c>
      <c r="L261" s="80" t="n">
        <f aca="false">IF(AND(J261&lt;&gt;"",K261&lt;&gt;""),J261*K261,"")</f>
        <v>173.6</v>
      </c>
      <c r="M261" s="81" t="n">
        <f aca="false">IF(L261&lt;&gt;"",L261*1.1,"")</f>
        <v>190.96</v>
      </c>
      <c r="N261" s="53" t="n">
        <f aca="false">IF(F261="S",L261*0.02,0)</f>
        <v>3.472</v>
      </c>
      <c r="O261" s="82" t="n">
        <f aca="false">IF(L261&lt;&gt;"",L261+N261,"")</f>
        <v>177.072</v>
      </c>
      <c r="P261" s="53" t="n">
        <f aca="false">IF(O261&lt;&gt;"",O261*0.1,"")</f>
        <v>17.7072</v>
      </c>
      <c r="Q261" s="83" t="n">
        <f aca="false">IF(O261&lt;&gt;"",O261+P261,"")</f>
        <v>194.7792</v>
      </c>
      <c r="R261" s="84"/>
    </row>
    <row r="262" customFormat="false" ht="15" hidden="false" customHeight="true" outlineLevel="0" collapsed="false">
      <c r="A262" s="72" t="n">
        <v>5958</v>
      </c>
      <c r="B262" s="85" t="n">
        <v>46196</v>
      </c>
      <c r="C262" s="86" t="n">
        <v>32184</v>
      </c>
      <c r="D262" s="87" t="n">
        <v>50106</v>
      </c>
      <c r="E262" s="46" t="str">
        <f aca="false">IF(D262&lt;&gt;"",IFERROR(VLOOKUP(D262,PROVEEDORES!$A:$B,2,0),"!COD NO ENCONTRADO"),"")</f>
        <v>SONIA VENTAS S.L</v>
      </c>
      <c r="F262" s="88" t="str">
        <f aca="false">IF(D262&lt;&gt;"",IFERROR(VLOOKUP(D262,PROVEEDORES!$A:$C,3,0),""),"")</f>
        <v>S</v>
      </c>
      <c r="G262" s="87" t="s">
        <v>216</v>
      </c>
      <c r="H262" s="46" t="str">
        <f aca="false">IF(G262&lt;&gt;"",IFERROR(VLOOKUP(G262,PRODUCTOS!$A:$B,2,0),"!COD NO ENCONTRADO"),"")</f>
        <v>MERLUZA EUROPEA PINCHO COSTA</v>
      </c>
      <c r="I262" s="89" t="n">
        <v>9</v>
      </c>
      <c r="J262" s="90" t="n">
        <v>116.5</v>
      </c>
      <c r="K262" s="91" t="n">
        <v>3.3</v>
      </c>
      <c r="L262" s="80" t="n">
        <f aca="false">IF(AND(J262&lt;&gt;"",K262&lt;&gt;""),J262*K262,"")</f>
        <v>384.45</v>
      </c>
      <c r="M262" s="81" t="n">
        <f aca="false">IF(L262&lt;&gt;"",L262*1.1,"")</f>
        <v>422.895</v>
      </c>
      <c r="N262" s="53" t="n">
        <f aca="false">IF(F262="S",L262*0.02,0)</f>
        <v>7.689</v>
      </c>
      <c r="O262" s="82" t="n">
        <f aca="false">IF(L262&lt;&gt;"",L262+N262,"")</f>
        <v>392.139</v>
      </c>
      <c r="P262" s="53" t="n">
        <f aca="false">IF(O262&lt;&gt;"",O262*0.1,"")</f>
        <v>39.2139</v>
      </c>
      <c r="Q262" s="83" t="n">
        <f aca="false">IF(O262&lt;&gt;"",O262+P262,"")</f>
        <v>431.3529</v>
      </c>
      <c r="R262" s="84"/>
    </row>
    <row r="263" customFormat="false" ht="15" hidden="false" customHeight="true" outlineLevel="0" collapsed="false">
      <c r="A263" s="72" t="n">
        <v>5958</v>
      </c>
      <c r="B263" s="73" t="n">
        <v>46196</v>
      </c>
      <c r="C263" s="74" t="n">
        <v>32184</v>
      </c>
      <c r="D263" s="75" t="n">
        <v>50106</v>
      </c>
      <c r="E263" s="46" t="str">
        <f aca="false">IF(D263&lt;&gt;"",IFERROR(VLOOKUP(D263,PROVEEDORES!$A:$B,2,0),"!COD NO ENCONTRADO"),"")</f>
        <v>SONIA VENTAS S.L</v>
      </c>
      <c r="F263" s="88" t="str">
        <f aca="false">IF(D263&lt;&gt;"",IFERROR(VLOOKUP(D263,PROVEEDORES!$A:$C,3,0),""),"")</f>
        <v>S</v>
      </c>
      <c r="G263" s="75" t="s">
        <v>216</v>
      </c>
      <c r="H263" s="46" t="str">
        <f aca="false">IF(G263&lt;&gt;"",IFERROR(VLOOKUP(G263,PRODUCTOS!$A:$B,2,0),"!COD NO ENCONTRADO"),"")</f>
        <v>MERLUZA EUROPEA PINCHO COSTA</v>
      </c>
      <c r="I263" s="77" t="n">
        <v>9</v>
      </c>
      <c r="J263" s="78" t="n">
        <v>122</v>
      </c>
      <c r="K263" s="79" t="n">
        <v>3.3</v>
      </c>
      <c r="L263" s="80" t="n">
        <f aca="false">IF(AND(J263&lt;&gt;"",K263&lt;&gt;""),J263*K263,"")</f>
        <v>402.6</v>
      </c>
      <c r="M263" s="81" t="n">
        <f aca="false">IF(L263&lt;&gt;"",L263*1.1,"")</f>
        <v>442.86</v>
      </c>
      <c r="N263" s="53" t="n">
        <f aca="false">IF(F263="S",L263*0.02,0)</f>
        <v>8.052</v>
      </c>
      <c r="O263" s="82" t="n">
        <f aca="false">IF(L263&lt;&gt;"",L263+N263,"")</f>
        <v>410.652</v>
      </c>
      <c r="P263" s="53" t="n">
        <f aca="false">IF(O263&lt;&gt;"",O263*0.1,"")</f>
        <v>41.0652</v>
      </c>
      <c r="Q263" s="83" t="n">
        <f aca="false">IF(O263&lt;&gt;"",O263+P263,"")</f>
        <v>451.7172</v>
      </c>
      <c r="R263" s="84"/>
    </row>
    <row r="264" customFormat="false" ht="15" hidden="false" customHeight="true" outlineLevel="0" collapsed="false">
      <c r="A264" s="72" t="n">
        <v>5958</v>
      </c>
      <c r="B264" s="85" t="n">
        <v>46196</v>
      </c>
      <c r="C264" s="86" t="n">
        <v>32184</v>
      </c>
      <c r="D264" s="87" t="n">
        <v>50106</v>
      </c>
      <c r="E264" s="46" t="str">
        <f aca="false">IF(D264&lt;&gt;"",IFERROR(VLOOKUP(D264,PROVEEDORES!$A:$B,2,0),"!COD NO ENCONTRADO"),"")</f>
        <v>SONIA VENTAS S.L</v>
      </c>
      <c r="F264" s="88" t="str">
        <f aca="false">IF(D264&lt;&gt;"",IFERROR(VLOOKUP(D264,PROVEEDORES!$A:$C,3,0),""),"")</f>
        <v>S</v>
      </c>
      <c r="G264" s="87" t="s">
        <v>216</v>
      </c>
      <c r="H264" s="46" t="str">
        <f aca="false">IF(G264&lt;&gt;"",IFERROR(VLOOKUP(G264,PRODUCTOS!$A:$B,2,0),"!COD NO ENCONTRADO"),"")</f>
        <v>MERLUZA EUROPEA PINCHO COSTA</v>
      </c>
      <c r="I264" s="89" t="n">
        <v>3</v>
      </c>
      <c r="J264" s="90" t="n">
        <v>43.25</v>
      </c>
      <c r="K264" s="91" t="n">
        <v>4.6</v>
      </c>
      <c r="L264" s="80" t="n">
        <f aca="false">IF(AND(J264&lt;&gt;"",K264&lt;&gt;""),J264*K264,"")</f>
        <v>198.95</v>
      </c>
      <c r="M264" s="81" t="n">
        <f aca="false">IF(L264&lt;&gt;"",L264*1.1,"")</f>
        <v>218.845</v>
      </c>
      <c r="N264" s="53" t="n">
        <f aca="false">IF(F264="S",L264*0.02,0)</f>
        <v>3.979</v>
      </c>
      <c r="O264" s="82" t="n">
        <f aca="false">IF(L264&lt;&gt;"",L264+N264,"")</f>
        <v>202.929</v>
      </c>
      <c r="P264" s="53" t="n">
        <f aca="false">IF(O264&lt;&gt;"",O264*0.1,"")</f>
        <v>20.2929</v>
      </c>
      <c r="Q264" s="83" t="n">
        <f aca="false">IF(O264&lt;&gt;"",O264+P264,"")</f>
        <v>223.2219</v>
      </c>
      <c r="R264" s="84"/>
    </row>
    <row r="265" customFormat="false" ht="15" hidden="false" customHeight="true" outlineLevel="0" collapsed="false">
      <c r="A265" s="72" t="n">
        <v>5958</v>
      </c>
      <c r="B265" s="73" t="n">
        <v>46196</v>
      </c>
      <c r="C265" s="74" t="n">
        <v>32184</v>
      </c>
      <c r="D265" s="75" t="n">
        <v>50106</v>
      </c>
      <c r="E265" s="46" t="str">
        <f aca="false">IF(D265&lt;&gt;"",IFERROR(VLOOKUP(D265,PROVEEDORES!$A:$B,2,0),"!COD NO ENCONTRADO"),"")</f>
        <v>SONIA VENTAS S.L</v>
      </c>
      <c r="F265" s="88" t="str">
        <f aca="false">IF(D265&lt;&gt;"",IFERROR(VLOOKUP(D265,PROVEEDORES!$A:$C,3,0),""),"")</f>
        <v>S</v>
      </c>
      <c r="G265" s="75" t="s">
        <v>216</v>
      </c>
      <c r="H265" s="46" t="str">
        <f aca="false">IF(G265&lt;&gt;"",IFERROR(VLOOKUP(G265,PRODUCTOS!$A:$B,2,0),"!COD NO ENCONTRADO"),"")</f>
        <v>MERLUZA EUROPEA PINCHO COSTA</v>
      </c>
      <c r="I265" s="77" t="n">
        <v>3</v>
      </c>
      <c r="J265" s="78" t="n">
        <v>41.75</v>
      </c>
      <c r="K265" s="79" t="n">
        <v>3.4</v>
      </c>
      <c r="L265" s="80" t="n">
        <f aca="false">IF(AND(J265&lt;&gt;"",K265&lt;&gt;""),J265*K265,"")</f>
        <v>141.95</v>
      </c>
      <c r="M265" s="81" t="n">
        <f aca="false">IF(L265&lt;&gt;"",L265*1.1,"")</f>
        <v>156.145</v>
      </c>
      <c r="N265" s="53" t="n">
        <f aca="false">IF(F265="S",L265*0.02,0)</f>
        <v>2.839</v>
      </c>
      <c r="O265" s="82" t="n">
        <f aca="false">IF(L265&lt;&gt;"",L265+N265,"")</f>
        <v>144.789</v>
      </c>
      <c r="P265" s="53" t="n">
        <f aca="false">IF(O265&lt;&gt;"",O265*0.1,"")</f>
        <v>14.4789</v>
      </c>
      <c r="Q265" s="83" t="n">
        <f aca="false">IF(O265&lt;&gt;"",O265+P265,"")</f>
        <v>159.2679</v>
      </c>
      <c r="R265" s="84"/>
    </row>
    <row r="266" customFormat="false" ht="15" hidden="false" customHeight="true" outlineLevel="0" collapsed="false">
      <c r="A266" s="72" t="n">
        <v>5958</v>
      </c>
      <c r="B266" s="85" t="n">
        <v>46196</v>
      </c>
      <c r="C266" s="86" t="n">
        <v>32184</v>
      </c>
      <c r="D266" s="87" t="n">
        <v>50106</v>
      </c>
      <c r="E266" s="46" t="str">
        <f aca="false">IF(D266&lt;&gt;"",IFERROR(VLOOKUP(D266,PROVEEDORES!$A:$B,2,0),"!COD NO ENCONTRADO"),"")</f>
        <v>SONIA VENTAS S.L</v>
      </c>
      <c r="F266" s="88" t="str">
        <f aca="false">IF(D266&lt;&gt;"",IFERROR(VLOOKUP(D266,PROVEEDORES!$A:$C,3,0),""),"")</f>
        <v>S</v>
      </c>
      <c r="G266" s="87" t="s">
        <v>216</v>
      </c>
      <c r="H266" s="46" t="str">
        <f aca="false">IF(G266&lt;&gt;"",IFERROR(VLOOKUP(G266,PRODUCTOS!$A:$B,2,0),"!COD NO ENCONTRADO"),"")</f>
        <v>MERLUZA EUROPEA PINCHO COSTA</v>
      </c>
      <c r="I266" s="89" t="n">
        <v>3</v>
      </c>
      <c r="J266" s="90" t="n">
        <v>43.5</v>
      </c>
      <c r="K266" s="91" t="n">
        <v>4.4</v>
      </c>
      <c r="L266" s="80" t="n">
        <f aca="false">IF(AND(J266&lt;&gt;"",K266&lt;&gt;""),J266*K266,"")</f>
        <v>191.4</v>
      </c>
      <c r="M266" s="81" t="n">
        <f aca="false">IF(L266&lt;&gt;"",L266*1.1,"")</f>
        <v>210.54</v>
      </c>
      <c r="N266" s="53" t="n">
        <f aca="false">IF(F266="S",L266*0.02,0)</f>
        <v>3.828</v>
      </c>
      <c r="O266" s="82" t="n">
        <f aca="false">IF(L266&lt;&gt;"",L266+N266,"")</f>
        <v>195.228</v>
      </c>
      <c r="P266" s="53" t="n">
        <f aca="false">IF(O266&lt;&gt;"",O266*0.1,"")</f>
        <v>19.5228</v>
      </c>
      <c r="Q266" s="83" t="n">
        <f aca="false">IF(O266&lt;&gt;"",O266+P266,"")</f>
        <v>214.7508</v>
      </c>
      <c r="R266" s="84"/>
    </row>
    <row r="267" customFormat="false" ht="15" hidden="false" customHeight="true" outlineLevel="0" collapsed="false">
      <c r="A267" s="72" t="n">
        <v>5958</v>
      </c>
      <c r="B267" s="85" t="n">
        <v>46196</v>
      </c>
      <c r="C267" s="86" t="n">
        <v>32184</v>
      </c>
      <c r="D267" s="87" t="n">
        <v>50106</v>
      </c>
      <c r="E267" s="46" t="str">
        <f aca="false">IF(D267&lt;&gt;"",IFERROR(VLOOKUP(D267,PROVEEDORES!$A:$B,2,0),"!COD NO ENCONTRADO"),"")</f>
        <v>SONIA VENTAS S.L</v>
      </c>
      <c r="F267" s="88" t="str">
        <f aca="false">IF(D267&lt;&gt;"",IFERROR(VLOOKUP(D267,PROVEEDORES!$A:$C,3,0),""),"")</f>
        <v>S</v>
      </c>
      <c r="G267" s="87" t="s">
        <v>216</v>
      </c>
      <c r="H267" s="46" t="str">
        <f aca="false">IF(G267&lt;&gt;"",IFERROR(VLOOKUP(G267,PRODUCTOS!$A:$B,2,0),"!COD NO ENCONTRADO"),"")</f>
        <v>MERLUZA EUROPEA PINCHO COSTA</v>
      </c>
      <c r="I267" s="89" t="n">
        <v>1</v>
      </c>
      <c r="J267" s="90" t="n">
        <v>11.9</v>
      </c>
      <c r="K267" s="91" t="n">
        <v>9.6</v>
      </c>
      <c r="L267" s="80" t="n">
        <f aca="false">IF(AND(J267&lt;&gt;"",K267&lt;&gt;""),J267*K267,"")</f>
        <v>114.24</v>
      </c>
      <c r="M267" s="81" t="n">
        <f aca="false">IF(L267&lt;&gt;"",L267*1.1,"")</f>
        <v>125.664</v>
      </c>
      <c r="N267" s="53" t="n">
        <f aca="false">IF(F267="S",L267*0.02,0)</f>
        <v>2.2848</v>
      </c>
      <c r="O267" s="82" t="n">
        <f aca="false">IF(L267&lt;&gt;"",L267+N267,"")</f>
        <v>116.5248</v>
      </c>
      <c r="P267" s="53" t="n">
        <f aca="false">IF(O267&lt;&gt;"",O267*0.1,"")</f>
        <v>11.65248</v>
      </c>
      <c r="Q267" s="83" t="n">
        <f aca="false">IF(O267&lt;&gt;"",O267+P267,"")</f>
        <v>128.17728</v>
      </c>
      <c r="R267" s="84"/>
    </row>
    <row r="268" customFormat="false" ht="15" hidden="false" customHeight="true" outlineLevel="0" collapsed="false">
      <c r="A268" s="72" t="n">
        <v>5958</v>
      </c>
      <c r="B268" s="73" t="n">
        <v>46196</v>
      </c>
      <c r="C268" s="74" t="n">
        <v>32184</v>
      </c>
      <c r="D268" s="75" t="n">
        <v>50106</v>
      </c>
      <c r="E268" s="46" t="str">
        <f aca="false">IF(D268&lt;&gt;"",IFERROR(VLOOKUP(D268,PROVEEDORES!$A:$B,2,0),"!COD NO ENCONTRADO"),"")</f>
        <v>SONIA VENTAS S.L</v>
      </c>
      <c r="F268" s="88" t="str">
        <f aca="false">IF(D268&lt;&gt;"",IFERROR(VLOOKUP(D268,PROVEEDORES!$A:$C,3,0),""),"")</f>
        <v>S</v>
      </c>
      <c r="G268" s="75" t="s">
        <v>216</v>
      </c>
      <c r="H268" s="46" t="str">
        <f aca="false">IF(G268&lt;&gt;"",IFERROR(VLOOKUP(G268,PRODUCTOS!$A:$B,2,0),"!COD NO ENCONTRADO"),"")</f>
        <v>MERLUZA EUROPEA PINCHO COSTA</v>
      </c>
      <c r="I268" s="77" t="n">
        <v>2</v>
      </c>
      <c r="J268" s="78" t="n">
        <v>24</v>
      </c>
      <c r="K268" s="79" t="n">
        <v>2.6</v>
      </c>
      <c r="L268" s="80" t="n">
        <f aca="false">IF(AND(J268&lt;&gt;"",K268&lt;&gt;""),J268*K268,"")</f>
        <v>62.4</v>
      </c>
      <c r="M268" s="81" t="n">
        <f aca="false">IF(L268&lt;&gt;"",L268*1.1,"")</f>
        <v>68.64</v>
      </c>
      <c r="N268" s="53" t="n">
        <f aca="false">IF(F268="S",L268*0.02,0)</f>
        <v>1.248</v>
      </c>
      <c r="O268" s="82" t="n">
        <f aca="false">IF(L268&lt;&gt;"",L268+N268,"")</f>
        <v>63.648</v>
      </c>
      <c r="P268" s="53" t="n">
        <f aca="false">IF(O268&lt;&gt;"",O268*0.1,"")</f>
        <v>6.3648</v>
      </c>
      <c r="Q268" s="83" t="n">
        <f aca="false">IF(O268&lt;&gt;"",O268+P268,"")</f>
        <v>70.0128</v>
      </c>
      <c r="R268" s="84"/>
    </row>
    <row r="269" customFormat="false" ht="15" hidden="false" customHeight="true" outlineLevel="0" collapsed="false">
      <c r="A269" s="72" t="n">
        <v>5958</v>
      </c>
      <c r="B269" s="85" t="n">
        <v>46196</v>
      </c>
      <c r="C269" s="86" t="n">
        <v>32184</v>
      </c>
      <c r="D269" s="87" t="n">
        <v>50106</v>
      </c>
      <c r="E269" s="46" t="str">
        <f aca="false">IF(D269&lt;&gt;"",IFERROR(VLOOKUP(D269,PROVEEDORES!$A:$B,2,0),"!COD NO ENCONTRADO"),"")</f>
        <v>SONIA VENTAS S.L</v>
      </c>
      <c r="F269" s="88" t="str">
        <f aca="false">IF(D269&lt;&gt;"",IFERROR(VLOOKUP(D269,PROVEEDORES!$A:$C,3,0),""),"")</f>
        <v>S</v>
      </c>
      <c r="G269" s="87" t="s">
        <v>103</v>
      </c>
      <c r="H269" s="46" t="str">
        <f aca="false">IF(G269&lt;&gt;"",IFERROR(VLOOKUP(G269,PRODUCTOS!$A:$B,2,0),"!COD NO ENCONTRADO"),"")</f>
        <v>CABRAS/ GALLINETA (BRF)</v>
      </c>
      <c r="I269" s="89" t="n">
        <v>5</v>
      </c>
      <c r="J269" s="90" t="n">
        <v>41.05</v>
      </c>
      <c r="K269" s="91" t="n">
        <v>2.3</v>
      </c>
      <c r="L269" s="80" t="n">
        <f aca="false">IF(AND(J269&lt;&gt;"",K269&lt;&gt;""),J269*K269,"")</f>
        <v>94.415</v>
      </c>
      <c r="M269" s="81" t="n">
        <f aca="false">IF(L269&lt;&gt;"",L269*1.1,"")</f>
        <v>103.8565</v>
      </c>
      <c r="N269" s="53" t="n">
        <f aca="false">IF(F269="S",L269*0.02,0)</f>
        <v>1.8883</v>
      </c>
      <c r="O269" s="82" t="n">
        <f aca="false">IF(L269&lt;&gt;"",L269+N269,"")</f>
        <v>96.3033</v>
      </c>
      <c r="P269" s="53" t="n">
        <f aca="false">IF(O269&lt;&gt;"",O269*0.1,"")</f>
        <v>9.63033</v>
      </c>
      <c r="Q269" s="83" t="n">
        <f aca="false">IF(O269&lt;&gt;"",O269+P269,"")</f>
        <v>105.93363</v>
      </c>
      <c r="R269" s="84"/>
    </row>
    <row r="270" customFormat="false" ht="15" hidden="false" customHeight="true" outlineLevel="0" collapsed="false">
      <c r="A270" s="72" t="n">
        <v>5958</v>
      </c>
      <c r="B270" s="73" t="n">
        <v>46196</v>
      </c>
      <c r="C270" s="74" t="n">
        <v>32184</v>
      </c>
      <c r="D270" s="75" t="n">
        <v>50106</v>
      </c>
      <c r="E270" s="46" t="str">
        <f aca="false">IF(D270&lt;&gt;"",IFERROR(VLOOKUP(D270,PROVEEDORES!$A:$B,2,0),"!COD NO ENCONTRADO"),"")</f>
        <v>SONIA VENTAS S.L</v>
      </c>
      <c r="F270" s="88" t="str">
        <f aca="false">IF(D270&lt;&gt;"",IFERROR(VLOOKUP(D270,PROVEEDORES!$A:$C,3,0),""),"")</f>
        <v>S</v>
      </c>
      <c r="G270" s="75" t="s">
        <v>103</v>
      </c>
      <c r="H270" s="46" t="str">
        <f aca="false">IF(G270&lt;&gt;"",IFERROR(VLOOKUP(G270,PRODUCTOS!$A:$B,2,0),"!COD NO ENCONTRADO"),"")</f>
        <v>CABRAS/ GALLINETA (BRF)</v>
      </c>
      <c r="I270" s="77" t="n">
        <v>1</v>
      </c>
      <c r="J270" s="78" t="n">
        <v>8</v>
      </c>
      <c r="K270" s="79" t="n">
        <v>12.4</v>
      </c>
      <c r="L270" s="80" t="n">
        <f aca="false">IF(AND(J270&lt;&gt;"",K270&lt;&gt;""),J270*K270,"")</f>
        <v>99.2</v>
      </c>
      <c r="M270" s="81" t="n">
        <f aca="false">IF(L270&lt;&gt;"",L270*1.1,"")</f>
        <v>109.12</v>
      </c>
      <c r="N270" s="53" t="n">
        <f aca="false">IF(F270="S",L270*0.02,0)</f>
        <v>1.984</v>
      </c>
      <c r="O270" s="82" t="n">
        <f aca="false">IF(L270&lt;&gt;"",L270+N270,"")</f>
        <v>101.184</v>
      </c>
      <c r="P270" s="53" t="n">
        <f aca="false">IF(O270&lt;&gt;"",O270*0.1,"")</f>
        <v>10.1184</v>
      </c>
      <c r="Q270" s="83" t="n">
        <f aca="false">IF(O270&lt;&gt;"",O270+P270,"")</f>
        <v>111.3024</v>
      </c>
      <c r="R270" s="84"/>
    </row>
    <row r="271" customFormat="false" ht="15" hidden="false" customHeight="true" outlineLevel="0" collapsed="false">
      <c r="A271" s="72" t="n">
        <v>5959</v>
      </c>
      <c r="B271" s="73" t="n">
        <v>46196</v>
      </c>
      <c r="C271" s="74" t="n">
        <v>14542</v>
      </c>
      <c r="D271" s="75" t="n">
        <v>50160</v>
      </c>
      <c r="E271" s="46" t="str">
        <f aca="false">IF(D271&lt;&gt;"",IFERROR(VLOOKUP(D271,PROVEEDORES!$A:$B,2,0),"!COD NO ENCONTRADO"),"")</f>
        <v>SUBASTAS CORUÑA S.L.</v>
      </c>
      <c r="F271" s="88" t="str">
        <f aca="false">IF(D271&lt;&gt;"",IFERROR(VLOOKUP(D271,PROVEEDORES!$A:$C,3,0),""),"")</f>
        <v>S</v>
      </c>
      <c r="G271" s="75" t="s">
        <v>193</v>
      </c>
      <c r="H271" s="46" t="str">
        <f aca="false">IF(G271&lt;&gt;"",IFERROR(VLOOKUP(G271,PRODUCTOS!$A:$B,2,0),"!COD NO ENCONTRADO"),"")</f>
        <v>MERLUZA EUROPEA ARRASTRE (HKE) </v>
      </c>
      <c r="I271" s="77" t="n">
        <v>3</v>
      </c>
      <c r="J271" s="78" t="n">
        <v>21</v>
      </c>
      <c r="K271" s="79" t="n">
        <v>2.9</v>
      </c>
      <c r="L271" s="80" t="n">
        <f aca="false">IF(AND(J271&lt;&gt;"",K271&lt;&gt;""),J271*K271,"")</f>
        <v>60.9</v>
      </c>
      <c r="M271" s="81" t="n">
        <f aca="false">IF(L271&lt;&gt;"",L271*1.1,"")</f>
        <v>66.99</v>
      </c>
      <c r="N271" s="53" t="n">
        <f aca="false">IF(F271="S",L271*0.02,0)</f>
        <v>1.218</v>
      </c>
      <c r="O271" s="82" t="n">
        <f aca="false">IF(L271&lt;&gt;"",L271+N271,"")</f>
        <v>62.118</v>
      </c>
      <c r="P271" s="53" t="n">
        <f aca="false">IF(O271&lt;&gt;"",O271*0.1,"")</f>
        <v>6.2118</v>
      </c>
      <c r="Q271" s="83" t="n">
        <f aca="false">IF(O271&lt;&gt;"",O271+P271,"")</f>
        <v>68.3298</v>
      </c>
      <c r="R271" s="84"/>
    </row>
    <row r="272" customFormat="false" ht="15" hidden="false" customHeight="true" outlineLevel="0" collapsed="false">
      <c r="A272" s="72" t="n">
        <v>5960</v>
      </c>
      <c r="B272" s="85" t="n">
        <v>46196</v>
      </c>
      <c r="C272" s="86" t="n">
        <v>3499</v>
      </c>
      <c r="D272" s="87" t="n">
        <v>50163</v>
      </c>
      <c r="E272" s="46" t="str">
        <f aca="false">IF(D272&lt;&gt;"",IFERROR(VLOOKUP(D272,PROVEEDORES!$A:$B,2,0),"!COD NO ENCONTRADO"),"")</f>
        <v>SUBASTAS RIVERA S.L.</v>
      </c>
      <c r="F272" s="88" t="str">
        <f aca="false">IF(D272&lt;&gt;"",IFERROR(VLOOKUP(D272,PROVEEDORES!$A:$C,3,0),""),"")</f>
        <v>S</v>
      </c>
      <c r="G272" s="87" t="s">
        <v>193</v>
      </c>
      <c r="H272" s="46" t="str">
        <f aca="false">IF(G272&lt;&gt;"",IFERROR(VLOOKUP(G272,PRODUCTOS!$A:$B,2,0),"!COD NO ENCONTRADO"),"")</f>
        <v>MERLUZA EUROPEA ARRASTRE (HKE) </v>
      </c>
      <c r="I272" s="89" t="n">
        <v>2</v>
      </c>
      <c r="J272" s="90" t="n">
        <v>13.25</v>
      </c>
      <c r="K272" s="91" t="n">
        <v>2.6</v>
      </c>
      <c r="L272" s="80" t="n">
        <f aca="false">IF(AND(J272&lt;&gt;"",K272&lt;&gt;""),J272*K272,"")</f>
        <v>34.45</v>
      </c>
      <c r="M272" s="81" t="n">
        <f aca="false">IF(L272&lt;&gt;"",L272*1.1,"")</f>
        <v>37.895</v>
      </c>
      <c r="N272" s="53" t="n">
        <f aca="false">IF(F272="S",L272*0.02,0)</f>
        <v>0.689</v>
      </c>
      <c r="O272" s="82" t="n">
        <f aca="false">IF(L272&lt;&gt;"",L272+N272,"")</f>
        <v>35.139</v>
      </c>
      <c r="P272" s="53" t="n">
        <f aca="false">IF(O272&lt;&gt;"",O272*0.1,"")</f>
        <v>3.5139</v>
      </c>
      <c r="Q272" s="83" t="n">
        <f aca="false">IF(O272&lt;&gt;"",O272+P272,"")</f>
        <v>38.6529</v>
      </c>
      <c r="R272" s="84"/>
    </row>
    <row r="273" customFormat="false" ht="15" hidden="false" customHeight="true" outlineLevel="0" collapsed="false">
      <c r="A273" s="72" t="n">
        <v>5960</v>
      </c>
      <c r="B273" s="73" t="n">
        <v>46196</v>
      </c>
      <c r="C273" s="74" t="n">
        <v>3499</v>
      </c>
      <c r="D273" s="75" t="n">
        <v>50163</v>
      </c>
      <c r="E273" s="46" t="str">
        <f aca="false">IF(D273&lt;&gt;"",IFERROR(VLOOKUP(D273,PROVEEDORES!$A:$B,2,0),"!COD NO ENCONTRADO"),"")</f>
        <v>SUBASTAS RIVERA S.L.</v>
      </c>
      <c r="F273" s="88" t="str">
        <f aca="false">IF(D273&lt;&gt;"",IFERROR(VLOOKUP(D273,PROVEEDORES!$A:$C,3,0),""),"")</f>
        <v>S</v>
      </c>
      <c r="G273" s="75" t="s">
        <v>193</v>
      </c>
      <c r="H273" s="46" t="str">
        <f aca="false">IF(G273&lt;&gt;"",IFERROR(VLOOKUP(G273,PRODUCTOS!$A:$B,2,0),"!COD NO ENCONTRADO"),"")</f>
        <v>MERLUZA EUROPEA ARRASTRE (HKE) </v>
      </c>
      <c r="I273" s="77" t="n">
        <v>2</v>
      </c>
      <c r="J273" s="78" t="n">
        <v>20.25</v>
      </c>
      <c r="K273" s="79" t="n">
        <v>2.6</v>
      </c>
      <c r="L273" s="80" t="n">
        <f aca="false">IF(AND(J273&lt;&gt;"",K273&lt;&gt;""),J273*K273,"")</f>
        <v>52.65</v>
      </c>
      <c r="M273" s="81" t="n">
        <f aca="false">IF(L273&lt;&gt;"",L273*1.1,"")</f>
        <v>57.915</v>
      </c>
      <c r="N273" s="53" t="n">
        <f aca="false">IF(F273="S",L273*0.02,0)</f>
        <v>1.053</v>
      </c>
      <c r="O273" s="82" t="n">
        <f aca="false">IF(L273&lt;&gt;"",L273+N273,"")</f>
        <v>53.703</v>
      </c>
      <c r="P273" s="53" t="n">
        <f aca="false">IF(O273&lt;&gt;"",O273*0.1,"")</f>
        <v>5.3703</v>
      </c>
      <c r="Q273" s="83" t="n">
        <f aca="false">IF(O273&lt;&gt;"",O273+P273,"")</f>
        <v>59.0733</v>
      </c>
      <c r="R273" s="84"/>
    </row>
    <row r="274" customFormat="false" ht="15" hidden="false" customHeight="true" outlineLevel="0" collapsed="false">
      <c r="A274" s="72" t="n">
        <v>5960</v>
      </c>
      <c r="B274" s="85" t="n">
        <v>46196</v>
      </c>
      <c r="C274" s="86" t="n">
        <v>3499</v>
      </c>
      <c r="D274" s="87" t="n">
        <v>50163</v>
      </c>
      <c r="E274" s="46" t="str">
        <f aca="false">IF(D274&lt;&gt;"",IFERROR(VLOOKUP(D274,PROVEEDORES!$A:$B,2,0),"!COD NO ENCONTRADO"),"")</f>
        <v>SUBASTAS RIVERA S.L.</v>
      </c>
      <c r="F274" s="88" t="str">
        <f aca="false">IF(D274&lt;&gt;"",IFERROR(VLOOKUP(D274,PROVEEDORES!$A:$C,3,0),""),"")</f>
        <v>S</v>
      </c>
      <c r="G274" s="87" t="s">
        <v>193</v>
      </c>
      <c r="H274" s="46" t="str">
        <f aca="false">IF(G274&lt;&gt;"",IFERROR(VLOOKUP(G274,PRODUCTOS!$A:$B,2,0),"!COD NO ENCONTRADO"),"")</f>
        <v>MERLUZA EUROPEA ARRASTRE (HKE) </v>
      </c>
      <c r="I274" s="89" t="n">
        <v>6</v>
      </c>
      <c r="J274" s="90" t="n">
        <v>35.25</v>
      </c>
      <c r="K274" s="91" t="n">
        <v>2.5</v>
      </c>
      <c r="L274" s="80" t="n">
        <f aca="false">IF(AND(J274&lt;&gt;"",K274&lt;&gt;""),J274*K274,"")</f>
        <v>88.125</v>
      </c>
      <c r="M274" s="81" t="n">
        <f aca="false">IF(L274&lt;&gt;"",L274*1.1,"")</f>
        <v>96.9375</v>
      </c>
      <c r="N274" s="53" t="n">
        <f aca="false">IF(F274="S",L274*0.02,0)</f>
        <v>1.7625</v>
      </c>
      <c r="O274" s="82" t="n">
        <f aca="false">IF(L274&lt;&gt;"",L274+N274,"")</f>
        <v>89.8875</v>
      </c>
      <c r="P274" s="53" t="n">
        <f aca="false">IF(O274&lt;&gt;"",O274*0.1,"")</f>
        <v>8.98875</v>
      </c>
      <c r="Q274" s="83" t="n">
        <f aca="false">IF(O274&lt;&gt;"",O274+P274,"")</f>
        <v>98.87625</v>
      </c>
      <c r="R274" s="84"/>
    </row>
    <row r="275" customFormat="false" ht="15" hidden="false" customHeight="true" outlineLevel="0" collapsed="false">
      <c r="A275" s="72" t="n">
        <v>5960</v>
      </c>
      <c r="B275" s="73" t="n">
        <v>46196</v>
      </c>
      <c r="C275" s="74" t="n">
        <v>3499</v>
      </c>
      <c r="D275" s="75" t="n">
        <v>50163</v>
      </c>
      <c r="E275" s="46" t="str">
        <f aca="false">IF(D275&lt;&gt;"",IFERROR(VLOOKUP(D275,PROVEEDORES!$A:$B,2,0),"!COD NO ENCONTRADO"),"")</f>
        <v>SUBASTAS RIVERA S.L.</v>
      </c>
      <c r="F275" s="88" t="str">
        <f aca="false">IF(D275&lt;&gt;"",IFERROR(VLOOKUP(D275,PROVEEDORES!$A:$C,3,0),""),"")</f>
        <v>S</v>
      </c>
      <c r="G275" s="75" t="s">
        <v>103</v>
      </c>
      <c r="H275" s="46" t="str">
        <f aca="false">IF(G275&lt;&gt;"",IFERROR(VLOOKUP(G275,PRODUCTOS!$A:$B,2,0),"!COD NO ENCONTRADO"),"")</f>
        <v>CABRAS/ GALLINETA (BRF)</v>
      </c>
      <c r="I275" s="77" t="n">
        <v>1</v>
      </c>
      <c r="J275" s="78" t="n">
        <v>4.3</v>
      </c>
      <c r="K275" s="79" t="n">
        <v>1.7</v>
      </c>
      <c r="L275" s="80" t="n">
        <f aca="false">IF(AND(J275&lt;&gt;"",K275&lt;&gt;""),J275*K275,"")</f>
        <v>7.31</v>
      </c>
      <c r="M275" s="81" t="n">
        <f aca="false">IF(L275&lt;&gt;"",L275*1.1,"")</f>
        <v>8.041</v>
      </c>
      <c r="N275" s="53" t="n">
        <f aca="false">IF(F275="S",L275*0.02,0)</f>
        <v>0.1462</v>
      </c>
      <c r="O275" s="82" t="n">
        <f aca="false">IF(L275&lt;&gt;"",L275+N275,"")</f>
        <v>7.4562</v>
      </c>
      <c r="P275" s="53" t="n">
        <f aca="false">IF(O275&lt;&gt;"",O275*0.1,"")</f>
        <v>0.74562</v>
      </c>
      <c r="Q275" s="83" t="n">
        <f aca="false">IF(O275&lt;&gt;"",O275+P275,"")</f>
        <v>8.20182</v>
      </c>
      <c r="R275" s="84"/>
    </row>
    <row r="276" customFormat="false" ht="15" hidden="false" customHeight="true" outlineLevel="0" collapsed="false">
      <c r="A276" s="72" t="n">
        <v>5960</v>
      </c>
      <c r="B276" s="85" t="n">
        <v>46196</v>
      </c>
      <c r="C276" s="86" t="n">
        <v>3499</v>
      </c>
      <c r="D276" s="87" t="n">
        <v>50163</v>
      </c>
      <c r="E276" s="46" t="str">
        <f aca="false">IF(D276&lt;&gt;"",IFERROR(VLOOKUP(D276,PROVEEDORES!$A:$B,2,0),"!COD NO ENCONTRADO"),"")</f>
        <v>SUBASTAS RIVERA S.L.</v>
      </c>
      <c r="F276" s="88" t="str">
        <f aca="false">IF(D276&lt;&gt;"",IFERROR(VLOOKUP(D276,PROVEEDORES!$A:$C,3,0),""),"")</f>
        <v>S</v>
      </c>
      <c r="G276" s="87" t="s">
        <v>85</v>
      </c>
      <c r="H276" s="46" t="str">
        <f aca="false">IF(G276&lt;&gt;"",IFERROR(VLOOKUP(G276,PRODUCTOS!$A:$B,2,0),"!COD NO ENCONTRADO"),"")</f>
        <v>BICUDO/ALIGOTE (SBA)</v>
      </c>
      <c r="I276" s="89" t="n">
        <v>3</v>
      </c>
      <c r="J276" s="90" t="n">
        <v>22.25</v>
      </c>
      <c r="K276" s="91" t="n">
        <v>5.5</v>
      </c>
      <c r="L276" s="80" t="n">
        <f aca="false">IF(AND(J276&lt;&gt;"",K276&lt;&gt;""),J276*K276,"")</f>
        <v>122.375</v>
      </c>
      <c r="M276" s="81" t="n">
        <f aca="false">IF(L276&lt;&gt;"",L276*1.1,"")</f>
        <v>134.6125</v>
      </c>
      <c r="N276" s="53" t="n">
        <f aca="false">IF(F276="S",L276*0.02,0)</f>
        <v>2.4475</v>
      </c>
      <c r="O276" s="82" t="n">
        <f aca="false">IF(L276&lt;&gt;"",L276+N276,"")</f>
        <v>124.8225</v>
      </c>
      <c r="P276" s="53" t="n">
        <f aca="false">IF(O276&lt;&gt;"",O276*0.1,"")</f>
        <v>12.48225</v>
      </c>
      <c r="Q276" s="83" t="n">
        <f aca="false">IF(O276&lt;&gt;"",O276+P276,"")</f>
        <v>137.30475</v>
      </c>
      <c r="R276" s="84"/>
    </row>
    <row r="277" customFormat="false" ht="15" hidden="false" customHeight="true" outlineLevel="0" collapsed="false">
      <c r="A277" s="72" t="n">
        <v>5960</v>
      </c>
      <c r="B277" s="73" t="n">
        <v>46196</v>
      </c>
      <c r="C277" s="74" t="n">
        <v>3499</v>
      </c>
      <c r="D277" s="75" t="n">
        <v>50163</v>
      </c>
      <c r="E277" s="46" t="str">
        <f aca="false">IF(D277&lt;&gt;"",IFERROR(VLOOKUP(D277,PROVEEDORES!$A:$B,2,0),"!COD NO ENCONTRADO"),"")</f>
        <v>SUBASTAS RIVERA S.L.</v>
      </c>
      <c r="F277" s="88" t="str">
        <f aca="false">IF(D277&lt;&gt;"",IFERROR(VLOOKUP(D277,PROVEEDORES!$A:$C,3,0),""),"")</f>
        <v>S</v>
      </c>
      <c r="G277" s="75" t="s">
        <v>216</v>
      </c>
      <c r="H277" s="46" t="str">
        <f aca="false">IF(G277&lt;&gt;"",IFERROR(VLOOKUP(G277,PRODUCTOS!$A:$B,2,0),"!COD NO ENCONTRADO"),"")</f>
        <v>MERLUZA EUROPEA PINCHO COSTA</v>
      </c>
      <c r="I277" s="77" t="n">
        <v>2</v>
      </c>
      <c r="J277" s="78" t="n">
        <v>10.75</v>
      </c>
      <c r="K277" s="79" t="n">
        <v>3.8</v>
      </c>
      <c r="L277" s="80" t="n">
        <f aca="false">IF(AND(J277&lt;&gt;"",K277&lt;&gt;""),J277*K277,"")</f>
        <v>40.85</v>
      </c>
      <c r="M277" s="81" t="n">
        <f aca="false">IF(L277&lt;&gt;"",L277*1.1,"")</f>
        <v>44.935</v>
      </c>
      <c r="N277" s="53" t="n">
        <f aca="false">IF(F277="S",L277*0.02,0)</f>
        <v>0.817</v>
      </c>
      <c r="O277" s="82" t="n">
        <f aca="false">IF(L277&lt;&gt;"",L277+N277,"")</f>
        <v>41.667</v>
      </c>
      <c r="P277" s="53" t="n">
        <f aca="false">IF(O277&lt;&gt;"",O277*0.1,"")</f>
        <v>4.1667</v>
      </c>
      <c r="Q277" s="83" t="n">
        <f aca="false">IF(O277&lt;&gt;"",O277+P277,"")</f>
        <v>45.8337</v>
      </c>
      <c r="R277" s="84"/>
    </row>
    <row r="278" customFormat="false" ht="15" hidden="false" customHeight="true" outlineLevel="0" collapsed="false">
      <c r="A278" s="72" t="n">
        <v>5961</v>
      </c>
      <c r="B278" s="85" t="n">
        <v>46196</v>
      </c>
      <c r="C278" s="86" t="n">
        <v>6350</v>
      </c>
      <c r="D278" s="87" t="n">
        <v>50010</v>
      </c>
      <c r="E278" s="46" t="str">
        <f aca="false">IF(D278&lt;&gt;"",IFERROR(VLOOKUP(D278,PROVEEDORES!$A:$B,2,0),"!COD NO ENCONTRADO"),"")</f>
        <v>PERFECTO MONTERO</v>
      </c>
      <c r="F278" s="88" t="str">
        <f aca="false">IF(D278&lt;&gt;"",IFERROR(VLOOKUP(D278,PROVEEDORES!$A:$C,3,0),""),"")</f>
        <v>S</v>
      </c>
      <c r="G278" s="87" t="s">
        <v>91</v>
      </c>
      <c r="H278" s="46" t="str">
        <f aca="false">IF(G278&lt;&gt;"",IFERROR(VLOOKUP(G278,PRODUCTOS!$A:$B,2,0),"!COD NO ENCONTRADO"),"")</f>
        <v>BONITO DEL NORTE 5/7</v>
      </c>
      <c r="I278" s="89" t="n">
        <v>3</v>
      </c>
      <c r="J278" s="90" t="n">
        <v>89.5</v>
      </c>
      <c r="K278" s="91" t="n">
        <v>8.2</v>
      </c>
      <c r="L278" s="80" t="n">
        <f aca="false">IF(AND(J278&lt;&gt;"",K278&lt;&gt;""),J278*K278,"")</f>
        <v>733.9</v>
      </c>
      <c r="M278" s="81" t="n">
        <f aca="false">IF(L278&lt;&gt;"",L278*1.1,"")</f>
        <v>807.29</v>
      </c>
      <c r="N278" s="53" t="n">
        <f aca="false">IF(F278="S",L278*0.02,0)</f>
        <v>14.678</v>
      </c>
      <c r="O278" s="82" t="n">
        <f aca="false">IF(L278&lt;&gt;"",L278+N278,"")</f>
        <v>748.578</v>
      </c>
      <c r="P278" s="53" t="n">
        <f aca="false">IF(O278&lt;&gt;"",O278*0.1,"")</f>
        <v>74.8578</v>
      </c>
      <c r="Q278" s="83" t="n">
        <f aca="false">IF(O278&lt;&gt;"",O278+P278,"")</f>
        <v>823.4358</v>
      </c>
      <c r="R278" s="84"/>
    </row>
    <row r="279" customFormat="false" ht="15" hidden="false" customHeight="true" outlineLevel="0" collapsed="false">
      <c r="A279" s="72" t="n">
        <v>5961</v>
      </c>
      <c r="B279" s="73" t="n">
        <v>46196</v>
      </c>
      <c r="C279" s="74" t="n">
        <v>6350</v>
      </c>
      <c r="D279" s="75" t="n">
        <v>50010</v>
      </c>
      <c r="E279" s="46" t="str">
        <f aca="false">IF(D279&lt;&gt;"",IFERROR(VLOOKUP(D279,PROVEEDORES!$A:$B,2,0),"!COD NO ENCONTRADO"),"")</f>
        <v>PERFECTO MONTERO</v>
      </c>
      <c r="F279" s="88" t="str">
        <f aca="false">IF(D279&lt;&gt;"",IFERROR(VLOOKUP(D279,PROVEEDORES!$A:$C,3,0),""),"")</f>
        <v>S</v>
      </c>
      <c r="G279" s="75" t="s">
        <v>91</v>
      </c>
      <c r="H279" s="46" t="str">
        <f aca="false">IF(G279&lt;&gt;"",IFERROR(VLOOKUP(G279,PRODUCTOS!$A:$B,2,0),"!COD NO ENCONTRADO"),"")</f>
        <v>BONITO DEL NORTE 5/7</v>
      </c>
      <c r="I279" s="77" t="n">
        <v>2</v>
      </c>
      <c r="J279" s="78" t="n">
        <v>88.25</v>
      </c>
      <c r="K279" s="79" t="n">
        <v>6.5</v>
      </c>
      <c r="L279" s="80" t="n">
        <f aca="false">IF(AND(J279&lt;&gt;"",K279&lt;&gt;""),J279*K279,"")</f>
        <v>573.625</v>
      </c>
      <c r="M279" s="81" t="n">
        <f aca="false">IF(L279&lt;&gt;"",L279*1.1,"")</f>
        <v>630.9875</v>
      </c>
      <c r="N279" s="53" t="n">
        <f aca="false">IF(F279="S",L279*0.02,0)</f>
        <v>11.4725</v>
      </c>
      <c r="O279" s="82" t="n">
        <f aca="false">IF(L279&lt;&gt;"",L279+N279,"")</f>
        <v>585.0975</v>
      </c>
      <c r="P279" s="53" t="n">
        <f aca="false">IF(O279&lt;&gt;"",O279*0.1,"")</f>
        <v>58.50975</v>
      </c>
      <c r="Q279" s="83" t="n">
        <f aca="false">IF(O279&lt;&gt;"",O279+P279,"")</f>
        <v>643.60725</v>
      </c>
      <c r="R279" s="84"/>
    </row>
    <row r="280" customFormat="false" ht="15" hidden="false" customHeight="true" outlineLevel="0" collapsed="false">
      <c r="A280" s="72" t="n">
        <v>5962</v>
      </c>
      <c r="B280" s="73" t="n">
        <v>46197</v>
      </c>
      <c r="C280" s="74"/>
      <c r="D280" s="75" t="n">
        <v>50001</v>
      </c>
      <c r="E280" s="52" t="str">
        <f aca="false">IF(D280&lt;&gt;"",IFERROR(VLOOKUP(D280,PROVEEDORES!$A:$B,2,0),"!COD NO ENCONTRADO"),"")</f>
        <v>COPESA</v>
      </c>
      <c r="F280" s="88" t="str">
        <f aca="false">IF(D280&lt;&gt;"",IFERROR(VLOOKUP(D280,PROVEEDORES!$A:$C,3,0),""),"")</f>
        <v>S</v>
      </c>
      <c r="G280" s="75" t="s">
        <v>93</v>
      </c>
      <c r="H280" s="46" t="str">
        <f aca="false">IF(G280&lt;&gt;"",IFERROR(VLOOKUP(G280,PRODUCTOS!$A:$B,2,0),"!COD NO ENCONTRADO"),"")</f>
        <v>BOQUERON/ BOCARTE/ ANCHOA (ANE)</v>
      </c>
      <c r="I280" s="89" t="n">
        <v>40</v>
      </c>
      <c r="J280" s="90" t="n">
        <v>342</v>
      </c>
      <c r="K280" s="91" t="n">
        <v>4.45</v>
      </c>
      <c r="L280" s="80" t="n">
        <f aca="false">IF(AND(J280&lt;&gt;"",K280&lt;&gt;""),J280*K280,"")</f>
        <v>1521.9</v>
      </c>
      <c r="M280" s="81" t="n">
        <f aca="false">IF(L280&lt;&gt;"",L280*1.1,"")</f>
        <v>1674.09</v>
      </c>
      <c r="N280" s="53" t="n">
        <f aca="false">IF(F280="S",L280*0.02,0)</f>
        <v>30.438</v>
      </c>
      <c r="O280" s="82" t="n">
        <f aca="false">IF(L280&lt;&gt;"",L280+N280,"")</f>
        <v>1552.338</v>
      </c>
      <c r="P280" s="53" t="n">
        <f aca="false">IF(O280&lt;&gt;"",O280*0.1,"")</f>
        <v>155.2338</v>
      </c>
      <c r="Q280" s="83" t="n">
        <f aca="false">IF(O280&lt;&gt;"",O280+P280,"")</f>
        <v>1707.5718</v>
      </c>
      <c r="R280" s="84"/>
    </row>
    <row r="281" customFormat="false" ht="15" hidden="false" customHeight="true" outlineLevel="0" collapsed="false">
      <c r="A281" s="72" t="n">
        <v>5963</v>
      </c>
      <c r="B281" s="85" t="n">
        <v>46198</v>
      </c>
      <c r="C281" s="86" t="n">
        <v>17280</v>
      </c>
      <c r="D281" s="87" t="n">
        <v>50163</v>
      </c>
      <c r="E281" s="46" t="str">
        <f aca="false">IF(D281&lt;&gt;"",IFERROR(VLOOKUP(D281,PROVEEDORES!$A:$B,2,0),"!COD NO ENCONTRADO"),"")</f>
        <v>SUBASTAS RIVERA S.L.</v>
      </c>
      <c r="F281" s="88" t="str">
        <f aca="false">IF(D281&lt;&gt;"",IFERROR(VLOOKUP(D281,PROVEEDORES!$A:$C,3,0),""),"")</f>
        <v>S</v>
      </c>
      <c r="G281" s="75" t="s">
        <v>135</v>
      </c>
      <c r="H281" s="46" t="str">
        <f aca="false">IF(G281&lt;&gt;"",IFERROR(VLOOKUP(G281,PRODUCTOS!$A:$B,2,0),"!COD NO ENCONTRADO"),"")</f>
        <v>CONGRIO 10+  (COE)</v>
      </c>
      <c r="I281" s="89" t="n">
        <v>1</v>
      </c>
      <c r="J281" s="90" t="n">
        <v>15.25</v>
      </c>
      <c r="K281" s="91" t="n">
        <v>4.6</v>
      </c>
      <c r="L281" s="80" t="n">
        <f aca="false">IF(AND(J281&lt;&gt;"",K281&lt;&gt;""),J281*K281,"")</f>
        <v>70.15</v>
      </c>
      <c r="M281" s="81" t="n">
        <f aca="false">IF(L281&lt;&gt;"",L281*1.1,"")</f>
        <v>77.165</v>
      </c>
      <c r="N281" s="53" t="n">
        <f aca="false">IF(F281="S",L281*0.02,0)</f>
        <v>1.403</v>
      </c>
      <c r="O281" s="82" t="n">
        <f aca="false">IF(L281&lt;&gt;"",L281+N281,"")</f>
        <v>71.553</v>
      </c>
      <c r="P281" s="53" t="n">
        <f aca="false">IF(O281&lt;&gt;"",O281*0.1,"")</f>
        <v>7.1553</v>
      </c>
      <c r="Q281" s="83" t="n">
        <f aca="false">IF(O281&lt;&gt;"",O281+P281,"")</f>
        <v>78.7083</v>
      </c>
      <c r="R281" s="84"/>
    </row>
    <row r="282" customFormat="false" ht="15" hidden="false" customHeight="true" outlineLevel="0" collapsed="false">
      <c r="A282" s="72" t="n">
        <v>5963</v>
      </c>
      <c r="B282" s="73" t="n">
        <v>46198</v>
      </c>
      <c r="C282" s="74" t="n">
        <v>17280</v>
      </c>
      <c r="D282" s="75" t="n">
        <v>50163</v>
      </c>
      <c r="E282" s="52" t="str">
        <f aca="false">IF(D282&lt;&gt;"",IFERROR(VLOOKUP(D282,PROVEEDORES!$A:$B,2,0),"!COD NO ENCONTRADO"),"")</f>
        <v>SUBASTAS RIVERA S.L.</v>
      </c>
      <c r="F282" s="88" t="str">
        <f aca="false">IF(D282&lt;&gt;"",IFERROR(VLOOKUP(D282,PROVEEDORES!$A:$C,3,0),""),"")</f>
        <v>S</v>
      </c>
      <c r="G282" s="75" t="s">
        <v>53</v>
      </c>
      <c r="H282" s="46" t="str">
        <f aca="false">IF(G282&lt;&gt;"",IFERROR(VLOOKUP(G282,PRODUCTOS!$A:$B,2,0),"!COD NO ENCONTRADO"),"")</f>
        <v>CABRAS PÑA</v>
      </c>
      <c r="I282" s="89" t="n">
        <v>1</v>
      </c>
      <c r="J282" s="90" t="n">
        <v>18.25</v>
      </c>
      <c r="K282" s="91" t="n">
        <v>0.3</v>
      </c>
      <c r="L282" s="80" t="n">
        <f aca="false">IF(AND(J282&lt;&gt;"",K282&lt;&gt;""),J282*K282,"")</f>
        <v>5.475</v>
      </c>
      <c r="M282" s="81" t="n">
        <f aca="false">IF(L282&lt;&gt;"",L282*1.1,"")</f>
        <v>6.0225</v>
      </c>
      <c r="N282" s="53" t="n">
        <f aca="false">IF(F282="S",L282*0.02,0)</f>
        <v>0.1095</v>
      </c>
      <c r="O282" s="82" t="n">
        <f aca="false">IF(L282&lt;&gt;"",L282+N282,"")</f>
        <v>5.5845</v>
      </c>
      <c r="P282" s="53" t="n">
        <f aca="false">IF(O282&lt;&gt;"",O282*0.1,"")</f>
        <v>0.55845</v>
      </c>
      <c r="Q282" s="83" t="n">
        <f aca="false">IF(O282&lt;&gt;"",O282+P282,"")</f>
        <v>6.14295</v>
      </c>
      <c r="R282" s="84"/>
    </row>
    <row r="283" customFormat="false" ht="15" hidden="false" customHeight="true" outlineLevel="0" collapsed="false">
      <c r="A283" s="72" t="n">
        <v>5963</v>
      </c>
      <c r="B283" s="85" t="n">
        <v>46198</v>
      </c>
      <c r="C283" s="86"/>
      <c r="D283" s="87" t="n">
        <v>50163</v>
      </c>
      <c r="E283" s="46" t="str">
        <f aca="false">IF(D283&lt;&gt;"",IFERROR(VLOOKUP(D283,PROVEEDORES!$A:$B,2,0),"!COD NO ENCONTRADO"),"")</f>
        <v>SUBASTAS RIVERA S.L.</v>
      </c>
      <c r="F283" s="88" t="str">
        <f aca="false">IF(D283&lt;&gt;"",IFERROR(VLOOKUP(D283,PROVEEDORES!$A:$C,3,0),""),"")</f>
        <v>S</v>
      </c>
      <c r="G283" s="75" t="s">
        <v>53</v>
      </c>
      <c r="H283" s="46" t="str">
        <f aca="false">IF(G283&lt;&gt;"",IFERROR(VLOOKUP(G283,PRODUCTOS!$A:$B,2,0),"!COD NO ENCONTRADO"),"")</f>
        <v>CABRAS PÑA</v>
      </c>
      <c r="I283" s="89" t="n">
        <v>1</v>
      </c>
      <c r="J283" s="90" t="n">
        <v>31.25</v>
      </c>
      <c r="K283" s="91" t="n">
        <v>0.3</v>
      </c>
      <c r="L283" s="80" t="n">
        <f aca="false">IF(AND(J283&lt;&gt;"",K283&lt;&gt;""),J283*K283,"")</f>
        <v>9.375</v>
      </c>
      <c r="M283" s="81" t="n">
        <f aca="false">IF(L283&lt;&gt;"",L283*1.1,"")</f>
        <v>10.3125</v>
      </c>
      <c r="N283" s="53" t="n">
        <f aca="false">IF(F283="S",L283*0.02,0)</f>
        <v>0.1875</v>
      </c>
      <c r="O283" s="82" t="n">
        <f aca="false">IF(L283&lt;&gt;"",L283+N283,"")</f>
        <v>9.5625</v>
      </c>
      <c r="P283" s="53" t="n">
        <f aca="false">IF(O283&lt;&gt;"",O283*0.1,"")</f>
        <v>0.95625</v>
      </c>
      <c r="Q283" s="83" t="n">
        <f aca="false">IF(O283&lt;&gt;"",O283+P283,"")</f>
        <v>10.51875</v>
      </c>
      <c r="R283" s="84"/>
    </row>
    <row r="284" customFormat="false" ht="15" hidden="false" customHeight="true" outlineLevel="0" collapsed="false">
      <c r="A284" s="72" t="n">
        <v>5963</v>
      </c>
      <c r="B284" s="73" t="n">
        <v>46198</v>
      </c>
      <c r="C284" s="74" t="n">
        <v>17280</v>
      </c>
      <c r="D284" s="75" t="n">
        <v>50163</v>
      </c>
      <c r="E284" s="52" t="str">
        <f aca="false">IF(D284&lt;&gt;"",IFERROR(VLOOKUP(D284,PROVEEDORES!$A:$B,2,0),"!COD NO ENCONTRADO"),"")</f>
        <v>SUBASTAS RIVERA S.L.</v>
      </c>
      <c r="F284" s="88" t="str">
        <f aca="false">IF(D284&lt;&gt;"",IFERROR(VLOOKUP(D284,PROVEEDORES!$A:$C,3,0),""),"")</f>
        <v>S</v>
      </c>
      <c r="G284" s="75" t="s">
        <v>288</v>
      </c>
      <c r="H284" s="46" t="str">
        <f aca="false">IF(G284&lt;&gt;"",IFERROR(VLOOKUP(G284,PRODUCTOS!$A:$B,2,0),"!COD NO ENCONTRADO"),"")</f>
        <v>RAPE BLANCO DIA (MON)</v>
      </c>
      <c r="I284" s="89" t="n">
        <v>2</v>
      </c>
      <c r="J284" s="90" t="n">
        <f aca="false">7.8+7.8</f>
        <v>15.6</v>
      </c>
      <c r="K284" s="91" t="n">
        <v>7.2</v>
      </c>
      <c r="L284" s="80" t="n">
        <f aca="false">IF(AND(J284&lt;&gt;"",K284&lt;&gt;""),J284*K284,"")</f>
        <v>112.32</v>
      </c>
      <c r="M284" s="81" t="n">
        <f aca="false">IF(L284&lt;&gt;"",L284*1.1,"")</f>
        <v>123.552</v>
      </c>
      <c r="N284" s="53" t="n">
        <f aca="false">IF(F284="S",L284*0.02,0)</f>
        <v>2.2464</v>
      </c>
      <c r="O284" s="82" t="n">
        <f aca="false">IF(L284&lt;&gt;"",L284+N284,"")</f>
        <v>114.5664</v>
      </c>
      <c r="P284" s="53" t="n">
        <f aca="false">IF(O284&lt;&gt;"",O284*0.1,"")</f>
        <v>11.45664</v>
      </c>
      <c r="Q284" s="83" t="n">
        <f aca="false">IF(O284&lt;&gt;"",O284+P284,"")</f>
        <v>126.02304</v>
      </c>
      <c r="R284" s="84"/>
    </row>
    <row r="285" customFormat="false" ht="15" hidden="false" customHeight="true" outlineLevel="0" collapsed="false">
      <c r="A285" s="72" t="n">
        <v>5963</v>
      </c>
      <c r="B285" s="85" t="n">
        <v>46198</v>
      </c>
      <c r="C285" s="86" t="n">
        <v>17280</v>
      </c>
      <c r="D285" s="87" t="n">
        <v>50163</v>
      </c>
      <c r="E285" s="46" t="str">
        <f aca="false">IF(D285&lt;&gt;"",IFERROR(VLOOKUP(D285,PROVEEDORES!$A:$B,2,0),"!COD NO ENCONTRADO"),"")</f>
        <v>SUBASTAS RIVERA S.L.</v>
      </c>
      <c r="F285" s="88" t="str">
        <f aca="false">IF(D285&lt;&gt;"",IFERROR(VLOOKUP(D285,PROVEEDORES!$A:$C,3,0),""),"")</f>
        <v>S</v>
      </c>
      <c r="G285" s="75" t="s">
        <v>288</v>
      </c>
      <c r="H285" s="46" t="str">
        <f aca="false">IF(G285&lt;&gt;"",IFERROR(VLOOKUP(G285,PRODUCTOS!$A:$B,2,0),"!COD NO ENCONTRADO"),"")</f>
        <v>RAPE BLANCO DIA (MON)</v>
      </c>
      <c r="I285" s="89" t="n">
        <v>3</v>
      </c>
      <c r="J285" s="90" t="n">
        <f aca="false">6.5+6.1+7.1</f>
        <v>19.7</v>
      </c>
      <c r="K285" s="91" t="n">
        <v>6.6</v>
      </c>
      <c r="L285" s="80" t="n">
        <f aca="false">IF(AND(J285&lt;&gt;"",K285&lt;&gt;""),J285*K285,"")</f>
        <v>130.02</v>
      </c>
      <c r="M285" s="81" t="n">
        <f aca="false">IF(L285&lt;&gt;"",L285*1.1,"")</f>
        <v>143.022</v>
      </c>
      <c r="N285" s="53" t="n">
        <f aca="false">IF(F285="S",L285*0.02,0)</f>
        <v>2.6004</v>
      </c>
      <c r="O285" s="82" t="n">
        <f aca="false">IF(L285&lt;&gt;"",L285+N285,"")</f>
        <v>132.6204</v>
      </c>
      <c r="P285" s="53" t="n">
        <f aca="false">IF(O285&lt;&gt;"",O285*0.1,"")</f>
        <v>13.26204</v>
      </c>
      <c r="Q285" s="83" t="n">
        <f aca="false">IF(O285&lt;&gt;"",O285+P285,"")</f>
        <v>145.88244</v>
      </c>
      <c r="R285" s="84"/>
    </row>
    <row r="286" customFormat="false" ht="15" hidden="false" customHeight="true" outlineLevel="0" collapsed="false">
      <c r="A286" s="72" t="n">
        <v>5963</v>
      </c>
      <c r="B286" s="73" t="n">
        <v>46198</v>
      </c>
      <c r="C286" s="86" t="n">
        <v>17280</v>
      </c>
      <c r="D286" s="75" t="n">
        <v>50163</v>
      </c>
      <c r="E286" s="52" t="str">
        <f aca="false">IF(D286&lt;&gt;"",IFERROR(VLOOKUP(D286,PROVEEDORES!$A:$B,2,0),"!COD NO ENCONTRADO"),"")</f>
        <v>SUBASTAS RIVERA S.L.</v>
      </c>
      <c r="F286" s="76" t="str">
        <f aca="false">IF(D286&lt;&gt;"",IFERROR(VLOOKUP(D286,PROVEEDORES!$A:$C,3,0),""),"")</f>
        <v>S</v>
      </c>
      <c r="G286" s="75" t="s">
        <v>167</v>
      </c>
      <c r="H286" s="52" t="str">
        <f aca="false">IF(G286&lt;&gt;"",IFERROR(VLOOKUP(G286,PRODUCTOS!$A:$B,2,0),"!COD NO ENCONTRADO"),"")</f>
        <v>HUEVAS DE MERLUZA </v>
      </c>
      <c r="I286" s="77" t="n">
        <v>2</v>
      </c>
      <c r="J286" s="78" t="n">
        <v>15.75</v>
      </c>
      <c r="K286" s="79" t="n">
        <v>13.8</v>
      </c>
      <c r="L286" s="80" t="n">
        <f aca="false">IF(AND(J286&lt;&gt;"",K286&lt;&gt;""),J286*K286,"")</f>
        <v>217.35</v>
      </c>
      <c r="M286" s="81" t="n">
        <f aca="false">IF(L286&lt;&gt;"",L286*1.1,"")</f>
        <v>239.085</v>
      </c>
      <c r="N286" s="53" t="n">
        <f aca="false">IF(F286="S",L286*0.02,0)</f>
        <v>4.347</v>
      </c>
      <c r="O286" s="82" t="n">
        <f aca="false">IF(L286&lt;&gt;"",L286+N286,"")</f>
        <v>221.697</v>
      </c>
      <c r="P286" s="53" t="n">
        <f aca="false">IF(O286&lt;&gt;"",O286*0.1,"")</f>
        <v>22.1697</v>
      </c>
      <c r="Q286" s="83" t="n">
        <f aca="false">IF(O286&lt;&gt;"",O286+P286,"")</f>
        <v>243.8667</v>
      </c>
      <c r="R286" s="84"/>
    </row>
    <row r="287" customFormat="false" ht="15" hidden="false" customHeight="true" outlineLevel="0" collapsed="false">
      <c r="A287" s="72" t="n">
        <v>5963</v>
      </c>
      <c r="B287" s="85" t="n">
        <v>46198</v>
      </c>
      <c r="C287" s="86" t="n">
        <v>17280</v>
      </c>
      <c r="D287" s="87" t="n">
        <v>50163</v>
      </c>
      <c r="E287" s="46" t="str">
        <f aca="false">IF(D287&lt;&gt;"",IFERROR(VLOOKUP(D287,PROVEEDORES!$A:$B,2,0),"!COD NO ENCONTRADO"),"")</f>
        <v>SUBASTAS RIVERA S.L.</v>
      </c>
      <c r="F287" s="88" t="str">
        <f aca="false">IF(D287&lt;&gt;"",IFERROR(VLOOKUP(D287,PROVEEDORES!$A:$C,3,0),""),"")</f>
        <v>S</v>
      </c>
      <c r="G287" s="87" t="s">
        <v>83</v>
      </c>
      <c r="H287" s="46" t="str">
        <f aca="false">IF(G287&lt;&gt;"",IFERROR(VLOOKUP(G287,PRODUCTOS!$A:$B,2,0),"!COD NO ENCONTRADO"),"")</f>
        <v>BESUGO (BSR)</v>
      </c>
      <c r="I287" s="89" t="n">
        <v>2</v>
      </c>
      <c r="J287" s="90" t="n">
        <f aca="false">2.25+2.7</f>
        <v>4.95</v>
      </c>
      <c r="K287" s="91" t="n">
        <v>32</v>
      </c>
      <c r="L287" s="80" t="n">
        <f aca="false">IF(AND(J287&lt;&gt;"",K287&lt;&gt;""),J287*K287,"")</f>
        <v>158.4</v>
      </c>
      <c r="M287" s="81" t="n">
        <f aca="false">IF(L287&lt;&gt;"",L287*1.1,"")</f>
        <v>174.24</v>
      </c>
      <c r="N287" s="47" t="n">
        <f aca="false">IF(F287="S",L287*0.02,0)</f>
        <v>3.168</v>
      </c>
      <c r="O287" s="82" t="n">
        <f aca="false">IF(L287&lt;&gt;"",L287+N287,"")</f>
        <v>161.568</v>
      </c>
      <c r="P287" s="47" t="n">
        <f aca="false">IF(O287&lt;&gt;"",O287*0.1,"")</f>
        <v>16.1568</v>
      </c>
      <c r="Q287" s="83" t="n">
        <f aca="false">IF(O287&lt;&gt;"",O287+P287,"")</f>
        <v>177.7248</v>
      </c>
      <c r="R287" s="84"/>
    </row>
    <row r="288" customFormat="false" ht="15" hidden="false" customHeight="true" outlineLevel="0" collapsed="false">
      <c r="A288" s="72" t="n">
        <v>5963</v>
      </c>
      <c r="B288" s="73" t="n">
        <v>46198</v>
      </c>
      <c r="C288" s="86" t="n">
        <v>17280</v>
      </c>
      <c r="D288" s="75" t="n">
        <v>50163</v>
      </c>
      <c r="E288" s="52" t="str">
        <f aca="false">IF(D288&lt;&gt;"",IFERROR(VLOOKUP(D288,PROVEEDORES!$A:$B,2,0),"!COD NO ENCONTRADO"),"")</f>
        <v>SUBASTAS RIVERA S.L.</v>
      </c>
      <c r="F288" s="76" t="str">
        <f aca="false">IF(D288&lt;&gt;"",IFERROR(VLOOKUP(D288,PROVEEDORES!$A:$C,3,0),""),"")</f>
        <v>S</v>
      </c>
      <c r="G288" s="75" t="s">
        <v>223</v>
      </c>
      <c r="H288" s="52" t="str">
        <f aca="false">IF(G288&lt;&gt;"",IFERROR(VLOOKUP(G288,PRODUCTOS!$A:$B,2,0),"!COD NO ENCONTRADO"),"")</f>
        <v>MERLUZA EUROPEA PINCHO COSTA 1000</v>
      </c>
      <c r="I288" s="77" t="n">
        <v>2</v>
      </c>
      <c r="J288" s="78" t="n">
        <f aca="false">14.75+15.25</f>
        <v>30</v>
      </c>
      <c r="K288" s="79" t="n">
        <v>5.3</v>
      </c>
      <c r="L288" s="80" t="n">
        <f aca="false">IF(AND(J288&lt;&gt;"",K288&lt;&gt;""),J288*K288,"")</f>
        <v>159</v>
      </c>
      <c r="M288" s="81" t="n">
        <f aca="false">IF(L288&lt;&gt;"",L288*1.1,"")</f>
        <v>174.9</v>
      </c>
      <c r="N288" s="53" t="n">
        <f aca="false">IF(F288="S",L288*0.02,0)</f>
        <v>3.18</v>
      </c>
      <c r="O288" s="82" t="n">
        <f aca="false">IF(L288&lt;&gt;"",L288+N288,"")</f>
        <v>162.18</v>
      </c>
      <c r="P288" s="53" t="n">
        <f aca="false">IF(O288&lt;&gt;"",O288*0.1,"")</f>
        <v>16.218</v>
      </c>
      <c r="Q288" s="83" t="n">
        <f aca="false">IF(O288&lt;&gt;"",O288+P288,"")</f>
        <v>178.398</v>
      </c>
      <c r="R288" s="84"/>
    </row>
    <row r="289" customFormat="false" ht="15" hidden="false" customHeight="true" outlineLevel="0" collapsed="false">
      <c r="A289" s="72" t="n">
        <v>5963</v>
      </c>
      <c r="B289" s="85" t="n">
        <v>46198</v>
      </c>
      <c r="C289" s="86" t="n">
        <v>17280</v>
      </c>
      <c r="D289" s="87" t="n">
        <v>50163</v>
      </c>
      <c r="E289" s="46" t="str">
        <f aca="false">IF(D289&lt;&gt;"",IFERROR(VLOOKUP(D289,PROVEEDORES!$A:$B,2,0),"!COD NO ENCONTRADO"),"")</f>
        <v>SUBASTAS RIVERA S.L.</v>
      </c>
      <c r="F289" s="88" t="str">
        <f aca="false">IF(D289&lt;&gt;"",IFERROR(VLOOKUP(D289,PROVEEDORES!$A:$C,3,0),""),"")</f>
        <v>S</v>
      </c>
      <c r="G289" s="87" t="s">
        <v>221</v>
      </c>
      <c r="H289" s="46" t="str">
        <f aca="false">IF(G289&lt;&gt;"",IFERROR(VLOOKUP(G289,PRODUCTOS!$A:$B,2,0),"!COD NO ENCONTRADO"),"")</f>
        <v>MERLUZA EUROPEA PINCHO COSTA 800</v>
      </c>
      <c r="I289" s="89" t="n">
        <v>1</v>
      </c>
      <c r="J289" s="90" t="n">
        <v>14.5</v>
      </c>
      <c r="K289" s="91" t="n">
        <v>5</v>
      </c>
      <c r="L289" s="80" t="n">
        <f aca="false">IF(AND(J289&lt;&gt;"",K289&lt;&gt;""),J289*K289,"")</f>
        <v>72.5</v>
      </c>
      <c r="M289" s="81" t="n">
        <f aca="false">IF(L289&lt;&gt;"",L289*1.1,"")</f>
        <v>79.75</v>
      </c>
      <c r="N289" s="47" t="n">
        <f aca="false">IF(F289="S",L289*0.02,0)</f>
        <v>1.45</v>
      </c>
      <c r="O289" s="82" t="n">
        <f aca="false">IF(L289&lt;&gt;"",L289+N289,"")</f>
        <v>73.95</v>
      </c>
      <c r="P289" s="47" t="n">
        <f aca="false">IF(O289&lt;&gt;"",O289*0.1,"")</f>
        <v>7.395</v>
      </c>
      <c r="Q289" s="83" t="n">
        <f aca="false">IF(O289&lt;&gt;"",O289+P289,"")</f>
        <v>81.345</v>
      </c>
      <c r="R289" s="84"/>
    </row>
    <row r="290" customFormat="false" ht="15" hidden="false" customHeight="true" outlineLevel="0" collapsed="false">
      <c r="A290" s="72" t="n">
        <v>5963</v>
      </c>
      <c r="B290" s="73" t="n">
        <v>46198</v>
      </c>
      <c r="C290" s="86" t="n">
        <v>17280</v>
      </c>
      <c r="D290" s="75" t="n">
        <v>50163</v>
      </c>
      <c r="E290" s="52" t="str">
        <f aca="false">IF(D290&lt;&gt;"",IFERROR(VLOOKUP(D290,PROVEEDORES!$A:$B,2,0),"!COD NO ENCONTRADO"),"")</f>
        <v>SUBASTAS RIVERA S.L.</v>
      </c>
      <c r="F290" s="76" t="str">
        <f aca="false">IF(D290&lt;&gt;"",IFERROR(VLOOKUP(D290,PROVEEDORES!$A:$C,3,0),""),"")</f>
        <v>S</v>
      </c>
      <c r="G290" s="75" t="s">
        <v>296</v>
      </c>
      <c r="H290" s="52" t="str">
        <f aca="false">IF(G290&lt;&gt;"",IFERROR(VLOOKUP(G290,PRODUCTOS!$A:$B,2,0),"!COD NO ENCONTRADO"),"")</f>
        <v>RAPE NEGRO (ANK)</v>
      </c>
      <c r="I290" s="77" t="n">
        <v>1</v>
      </c>
      <c r="J290" s="78" t="n">
        <v>16.1</v>
      </c>
      <c r="K290" s="79" t="n">
        <v>6.3</v>
      </c>
      <c r="L290" s="80" t="n">
        <f aca="false">IF(AND(J290&lt;&gt;"",K290&lt;&gt;""),J290*K290,"")</f>
        <v>101.43</v>
      </c>
      <c r="M290" s="81" t="n">
        <f aca="false">IF(L290&lt;&gt;"",L290*1.1,"")</f>
        <v>111.573</v>
      </c>
      <c r="N290" s="53" t="n">
        <f aca="false">IF(F290="S",L290*0.02,0)</f>
        <v>2.0286</v>
      </c>
      <c r="O290" s="82" t="n">
        <f aca="false">IF(L290&lt;&gt;"",L290+N290,"")</f>
        <v>103.4586</v>
      </c>
      <c r="P290" s="53" t="n">
        <f aca="false">IF(O290&lt;&gt;"",O290*0.1,"")</f>
        <v>10.34586</v>
      </c>
      <c r="Q290" s="83" t="n">
        <f aca="false">IF(O290&lt;&gt;"",O290+P290,"")</f>
        <v>113.80446</v>
      </c>
      <c r="R290" s="84"/>
    </row>
    <row r="291" customFormat="false" ht="15" hidden="false" customHeight="true" outlineLevel="0" collapsed="false">
      <c r="A291" s="72" t="n">
        <v>5963</v>
      </c>
      <c r="B291" s="85" t="n">
        <v>46198</v>
      </c>
      <c r="C291" s="86" t="n">
        <v>17280</v>
      </c>
      <c r="D291" s="87" t="n">
        <v>50163</v>
      </c>
      <c r="E291" s="46" t="str">
        <f aca="false">IF(D291&lt;&gt;"",IFERROR(VLOOKUP(D291,PROVEEDORES!$A:$B,2,0),"!COD NO ENCONTRADO"),"")</f>
        <v>SUBASTAS RIVERA S.L.</v>
      </c>
      <c r="F291" s="88" t="str">
        <f aca="false">IF(D291&lt;&gt;"",IFERROR(VLOOKUP(D291,PROVEEDORES!$A:$C,3,0),""),"")</f>
        <v>S</v>
      </c>
      <c r="G291" s="87" t="s">
        <v>296</v>
      </c>
      <c r="H291" s="46" t="str">
        <f aca="false">IF(G291&lt;&gt;"",IFERROR(VLOOKUP(G291,PRODUCTOS!$A:$B,2,0),"!COD NO ENCONTRADO"),"")</f>
        <v>RAPE NEGRO (ANK)</v>
      </c>
      <c r="I291" s="89" t="n">
        <v>1</v>
      </c>
      <c r="J291" s="90" t="n">
        <v>5.3</v>
      </c>
      <c r="K291" s="91" t="n">
        <v>6.3</v>
      </c>
      <c r="L291" s="80" t="n">
        <f aca="false">IF(AND(J291&lt;&gt;"",K291&lt;&gt;""),J291*K291,"")</f>
        <v>33.39</v>
      </c>
      <c r="M291" s="81" t="n">
        <f aca="false">IF(L291&lt;&gt;"",L291*1.1,"")</f>
        <v>36.729</v>
      </c>
      <c r="N291" s="47" t="n">
        <f aca="false">IF(F291="S",L291*0.02,0)</f>
        <v>0.6678</v>
      </c>
      <c r="O291" s="82" t="n">
        <f aca="false">IF(L291&lt;&gt;"",L291+N291,"")</f>
        <v>34.0578</v>
      </c>
      <c r="P291" s="47" t="n">
        <f aca="false">IF(O291&lt;&gt;"",O291*0.1,"")</f>
        <v>3.40578</v>
      </c>
      <c r="Q291" s="83" t="n">
        <f aca="false">IF(O291&lt;&gt;"",O291+P291,"")</f>
        <v>37.46358</v>
      </c>
      <c r="R291" s="84"/>
    </row>
    <row r="292" customFormat="false" ht="15" hidden="false" customHeight="true" outlineLevel="0" collapsed="false">
      <c r="A292" s="72" t="n">
        <v>5963</v>
      </c>
      <c r="B292" s="73" t="n">
        <v>46198</v>
      </c>
      <c r="C292" s="86" t="n">
        <v>17280</v>
      </c>
      <c r="D292" s="75" t="n">
        <v>50163</v>
      </c>
      <c r="E292" s="52" t="str">
        <f aca="false">IF(D292&lt;&gt;"",IFERROR(VLOOKUP(D292,PROVEEDORES!$A:$B,2,0),"!COD NO ENCONTRADO"),"")</f>
        <v>SUBASTAS RIVERA S.L.</v>
      </c>
      <c r="F292" s="76" t="str">
        <f aca="false">IF(D292&lt;&gt;"",IFERROR(VLOOKUP(D292,PROVEEDORES!$A:$C,3,0),""),"")</f>
        <v>S</v>
      </c>
      <c r="G292" s="75" t="s">
        <v>53</v>
      </c>
      <c r="H292" s="52" t="str">
        <f aca="false">IF(G292&lt;&gt;"",IFERROR(VLOOKUP(G292,PRODUCTOS!$A:$B,2,0),"!COD NO ENCONTRADO"),"")</f>
        <v>CABRAS PÑA</v>
      </c>
      <c r="I292" s="77" t="n">
        <v>2</v>
      </c>
      <c r="J292" s="78" t="n">
        <f aca="false">15.5+15.75</f>
        <v>31.25</v>
      </c>
      <c r="K292" s="79" t="n">
        <v>0.4</v>
      </c>
      <c r="L292" s="80" t="n">
        <f aca="false">IF(AND(J292&lt;&gt;"",K292&lt;&gt;""),J292*K292,"")</f>
        <v>12.5</v>
      </c>
      <c r="M292" s="81" t="n">
        <f aca="false">IF(L292&lt;&gt;"",L292*1.1,"")</f>
        <v>13.75</v>
      </c>
      <c r="N292" s="53" t="n">
        <f aca="false">IF(F292="S",L292*0.02,0)</f>
        <v>0.25</v>
      </c>
      <c r="O292" s="82" t="n">
        <f aca="false">IF(L292&lt;&gt;"",L292+N292,"")</f>
        <v>12.75</v>
      </c>
      <c r="P292" s="53" t="n">
        <f aca="false">IF(O292&lt;&gt;"",O292*0.1,"")</f>
        <v>1.275</v>
      </c>
      <c r="Q292" s="83" t="n">
        <f aca="false">IF(O292&lt;&gt;"",O292+P292,"")</f>
        <v>14.025</v>
      </c>
      <c r="R292" s="84"/>
    </row>
    <row r="293" customFormat="false" ht="15" hidden="false" customHeight="true" outlineLevel="0" collapsed="false">
      <c r="A293" s="72" t="n">
        <v>5963</v>
      </c>
      <c r="B293" s="85" t="n">
        <v>46198</v>
      </c>
      <c r="C293" s="86" t="n">
        <v>17280</v>
      </c>
      <c r="D293" s="87" t="n">
        <v>50163</v>
      </c>
      <c r="E293" s="46" t="str">
        <f aca="false">IF(D293&lt;&gt;"",IFERROR(VLOOKUP(D293,PROVEEDORES!$A:$B,2,0),"!COD NO ENCONTRADO"),"")</f>
        <v>SUBASTAS RIVERA S.L.</v>
      </c>
      <c r="F293" s="88" t="str">
        <f aca="false">IF(D293&lt;&gt;"",IFERROR(VLOOKUP(D293,PROVEEDORES!$A:$C,3,0),""),"")</f>
        <v>S</v>
      </c>
      <c r="G293" s="87" t="s">
        <v>270</v>
      </c>
      <c r="H293" s="46" t="str">
        <f aca="false">IF(G293&lt;&gt;"",IFERROR(VLOOKUP(G293,PRODUCTOS!$A:$B,2,0),"!COD NO ENCONTRADO"),"")</f>
        <v>PEON/ PION (ATP)</v>
      </c>
      <c r="I293" s="89" t="n">
        <v>4</v>
      </c>
      <c r="J293" s="90" t="n">
        <f aca="false">5.5+5.75+5.25+5.25</f>
        <v>21.75</v>
      </c>
      <c r="K293" s="91" t="n">
        <v>3.8</v>
      </c>
      <c r="L293" s="80" t="n">
        <f aca="false">IF(AND(J293&lt;&gt;"",K293&lt;&gt;""),J293*K293,"")</f>
        <v>82.65</v>
      </c>
      <c r="M293" s="81" t="n">
        <f aca="false">IF(L293&lt;&gt;"",L293*1.1,"")</f>
        <v>90.915</v>
      </c>
      <c r="N293" s="47" t="n">
        <f aca="false">IF(F293="S",L293*0.02,0)</f>
        <v>1.653</v>
      </c>
      <c r="O293" s="82" t="n">
        <f aca="false">IF(L293&lt;&gt;"",L293+N293,"")</f>
        <v>84.303</v>
      </c>
      <c r="P293" s="47" t="n">
        <f aca="false">IF(O293&lt;&gt;"",O293*0.1,"")</f>
        <v>8.4303</v>
      </c>
      <c r="Q293" s="83" t="n">
        <f aca="false">IF(O293&lt;&gt;"",O293+P293,"")</f>
        <v>92.7333</v>
      </c>
      <c r="R293" s="84"/>
    </row>
    <row r="294" customFormat="false" ht="15" hidden="false" customHeight="true" outlineLevel="0" collapsed="false">
      <c r="A294" s="72" t="n">
        <v>5963</v>
      </c>
      <c r="B294" s="85" t="n">
        <v>46198</v>
      </c>
      <c r="C294" s="86" t="n">
        <v>17280</v>
      </c>
      <c r="D294" s="87" t="n">
        <v>50163</v>
      </c>
      <c r="E294" s="46" t="str">
        <f aca="false">IF(D294&lt;&gt;"",IFERROR(VLOOKUP(D294,PROVEEDORES!$A:$B,2,0),"!COD NO ENCONTRADO"),"")</f>
        <v>SUBASTAS RIVERA S.L.</v>
      </c>
      <c r="F294" s="88" t="str">
        <f aca="false">IF(D294&lt;&gt;"",IFERROR(VLOOKUP(D294,PROVEEDORES!$A:$C,3,0),""),"")</f>
        <v>S</v>
      </c>
      <c r="G294" s="87" t="s">
        <v>270</v>
      </c>
      <c r="H294" s="46" t="str">
        <f aca="false">IF(G294&lt;&gt;"",IFERROR(VLOOKUP(G294,PRODUCTOS!$A:$B,2,0),"!COD NO ENCONTRADO"),"")</f>
        <v>PEON/ PION (ATP)</v>
      </c>
      <c r="I294" s="89" t="n">
        <v>1</v>
      </c>
      <c r="J294" s="90" t="n">
        <v>5.75</v>
      </c>
      <c r="K294" s="91" t="n">
        <v>2</v>
      </c>
      <c r="L294" s="80" t="n">
        <f aca="false">IF(AND(J294&lt;&gt;"",K294&lt;&gt;""),J294*K294,"")</f>
        <v>11.5</v>
      </c>
      <c r="M294" s="81" t="n">
        <f aca="false">IF(L294&lt;&gt;"",L294*1.1,"")</f>
        <v>12.65</v>
      </c>
      <c r="N294" s="47" t="n">
        <f aca="false">IF(F294="S",L294*0.02,0)</f>
        <v>0.23</v>
      </c>
      <c r="O294" s="82" t="n">
        <f aca="false">IF(L294&lt;&gt;"",L294+N294,"")</f>
        <v>11.73</v>
      </c>
      <c r="P294" s="47" t="n">
        <f aca="false">IF(O294&lt;&gt;"",O294*0.1,"")</f>
        <v>1.173</v>
      </c>
      <c r="Q294" s="83" t="n">
        <f aca="false">IF(O294&lt;&gt;"",O294+P294,"")</f>
        <v>12.903</v>
      </c>
      <c r="R294" s="84"/>
    </row>
    <row r="295" customFormat="false" ht="15" hidden="false" customHeight="true" outlineLevel="0" collapsed="false">
      <c r="A295" s="72" t="n">
        <v>5963</v>
      </c>
      <c r="B295" s="73" t="n">
        <v>46198</v>
      </c>
      <c r="C295" s="86" t="n">
        <v>17280</v>
      </c>
      <c r="D295" s="75" t="n">
        <v>50163</v>
      </c>
      <c r="E295" s="52" t="str">
        <f aca="false">IF(D295&lt;&gt;"",IFERROR(VLOOKUP(D295,PROVEEDORES!$A:$B,2,0),"!COD NO ENCONTRADO"),"")</f>
        <v>SUBASTAS RIVERA S.L.</v>
      </c>
      <c r="F295" s="76" t="str">
        <f aca="false">IF(D295&lt;&gt;"",IFERROR(VLOOKUP(D295,PROVEEDORES!$A:$C,3,0),""),"")</f>
        <v>S</v>
      </c>
      <c r="G295" s="75" t="s">
        <v>316</v>
      </c>
      <c r="H295" s="52" t="str">
        <f aca="false">IF(G295&lt;&gt;"",IFERROR(VLOOKUP(G295,PRODUCTOS!$A:$B,2,0),"!COD NO ENCONTRADO"),"")</f>
        <v>SALMONETE ROCA (MUR)</v>
      </c>
      <c r="I295" s="77" t="n">
        <v>1</v>
      </c>
      <c r="J295" s="78" t="n">
        <v>1.4</v>
      </c>
      <c r="K295" s="79" t="n">
        <v>17.8</v>
      </c>
      <c r="L295" s="80" t="n">
        <f aca="false">IF(AND(J295&lt;&gt;"",K295&lt;&gt;""),J295*K295,"")</f>
        <v>24.92</v>
      </c>
      <c r="M295" s="81" t="n">
        <f aca="false">IF(L295&lt;&gt;"",L295*1.1,"")</f>
        <v>27.412</v>
      </c>
      <c r="N295" s="53" t="n">
        <f aca="false">IF(F295="S",L295*0.02,0)</f>
        <v>0.4984</v>
      </c>
      <c r="O295" s="82" t="n">
        <f aca="false">IF(L295&lt;&gt;"",L295+N295,"")</f>
        <v>25.4184</v>
      </c>
      <c r="P295" s="53" t="n">
        <f aca="false">IF(O295&lt;&gt;"",O295*0.1,"")</f>
        <v>2.54184</v>
      </c>
      <c r="Q295" s="83" t="n">
        <f aca="false">IF(O295&lt;&gt;"",O295+P295,"")</f>
        <v>27.96024</v>
      </c>
      <c r="R295" s="84"/>
    </row>
    <row r="296" customFormat="false" ht="15" hidden="false" customHeight="true" outlineLevel="0" collapsed="false">
      <c r="A296" s="72" t="n">
        <v>5964</v>
      </c>
      <c r="B296" s="85" t="n">
        <v>46196</v>
      </c>
      <c r="C296" s="86"/>
      <c r="D296" s="87" t="n">
        <v>50510</v>
      </c>
      <c r="E296" s="46" t="str">
        <f aca="false">IF(D296&lt;&gt;"",IFERROR(VLOOKUP(D296,PROVEEDORES!$A:$B,2,0),"!COD NO ENCONTRADO"),"")</f>
        <v>PETACA CHICO S.L.</v>
      </c>
      <c r="F296" s="88" t="str">
        <f aca="false">IF(D296&lt;&gt;"",IFERROR(VLOOKUP(D296,PROVEEDORES!$A:$C,3,0),""),"")</f>
        <v>N</v>
      </c>
      <c r="G296" s="87" t="s">
        <v>111</v>
      </c>
      <c r="H296" s="46" t="str">
        <f aca="false">IF(G296&lt;&gt;"",IFERROR(VLOOKUP(G296,PRODUCTOS!$A:$B,2,0),"!COD NO ENCONTRADO"),"")</f>
        <v>CALAMAR VETADO/ FORBES (SQF)</v>
      </c>
      <c r="I296" s="89" t="n">
        <v>5</v>
      </c>
      <c r="J296" s="90" t="n">
        <v>16.7</v>
      </c>
      <c r="K296" s="91" t="n">
        <v>16.5</v>
      </c>
      <c r="L296" s="80" t="n">
        <f aca="false">IF(AND(J296&lt;&gt;"",K296&lt;&gt;""),J296*K296,"")</f>
        <v>275.55</v>
      </c>
      <c r="M296" s="81" t="n">
        <f aca="false">IF(L296&lt;&gt;"",L296*1.1,"")</f>
        <v>303.105</v>
      </c>
      <c r="N296" s="53" t="n">
        <f aca="false">IF(F296="S",L296*0.02,0)</f>
        <v>0</v>
      </c>
      <c r="O296" s="82" t="n">
        <f aca="false">IF(L296&lt;&gt;"",L296+N296,"")</f>
        <v>275.55</v>
      </c>
      <c r="P296" s="53" t="n">
        <f aca="false">IF(O296&lt;&gt;"",O296*0.1,"")</f>
        <v>27.555</v>
      </c>
      <c r="Q296" s="83" t="n">
        <f aca="false">IF(O296&lt;&gt;"",O296+P296,"")</f>
        <v>303.105</v>
      </c>
      <c r="R296" s="84"/>
    </row>
    <row r="297" customFormat="false" ht="15" hidden="false" customHeight="true" outlineLevel="0" collapsed="false">
      <c r="A297" s="72" t="n">
        <v>5965</v>
      </c>
      <c r="B297" s="73" t="n">
        <v>46198</v>
      </c>
      <c r="C297" s="74" t="n">
        <v>14623</v>
      </c>
      <c r="D297" s="75" t="n">
        <v>50160</v>
      </c>
      <c r="E297" s="52" t="str">
        <f aca="false">IF(D297&lt;&gt;"",IFERROR(VLOOKUP(D297,PROVEEDORES!$A:$B,2,0),"!COD NO ENCONTRADO"),"")</f>
        <v>SUBASTAS CORUÑA S.L.</v>
      </c>
      <c r="F297" s="76" t="str">
        <f aca="false">IF(D297&lt;&gt;"",IFERROR(VLOOKUP(D297,PROVEEDORES!$A:$C,3,0),""),"")</f>
        <v>S</v>
      </c>
      <c r="G297" s="75" t="s">
        <v>270</v>
      </c>
      <c r="H297" s="52" t="str">
        <f aca="false">IF(G297&lt;&gt;"",IFERROR(VLOOKUP(G297,PRODUCTOS!$A:$B,2,0),"!COD NO ENCONTRADO"),"")</f>
        <v>PEON/ PION (ATP)</v>
      </c>
      <c r="I297" s="77" t="n">
        <v>3</v>
      </c>
      <c r="J297" s="78" t="n">
        <v>12</v>
      </c>
      <c r="K297" s="79" t="n">
        <v>4.4</v>
      </c>
      <c r="L297" s="80" t="n">
        <f aca="false">IF(AND(J297&lt;&gt;"",K297&lt;&gt;""),J297*K297,"")</f>
        <v>52.8</v>
      </c>
      <c r="M297" s="81" t="n">
        <f aca="false">IF(L297&lt;&gt;"",L297*1.1,"")</f>
        <v>58.08</v>
      </c>
      <c r="N297" s="53" t="n">
        <f aca="false">IF(F297="S",L297*0.02,0)</f>
        <v>1.056</v>
      </c>
      <c r="O297" s="82" t="n">
        <f aca="false">IF(L297&lt;&gt;"",L297+N297,"")</f>
        <v>53.856</v>
      </c>
      <c r="P297" s="53" t="n">
        <f aca="false">IF(O297&lt;&gt;"",O297*0.1,"")</f>
        <v>5.3856</v>
      </c>
      <c r="Q297" s="83" t="n">
        <f aca="false">IF(O297&lt;&gt;"",O297+P297,"")</f>
        <v>59.2416</v>
      </c>
      <c r="R297" s="84"/>
    </row>
    <row r="298" customFormat="false" ht="15" hidden="false" customHeight="true" outlineLevel="0" collapsed="false">
      <c r="A298" s="72" t="n">
        <v>5966</v>
      </c>
      <c r="B298" s="73" t="n">
        <v>46198</v>
      </c>
      <c r="C298" s="74" t="n">
        <v>6426</v>
      </c>
      <c r="D298" s="75" t="n">
        <v>50010</v>
      </c>
      <c r="E298" s="52" t="str">
        <f aca="false">IF(D298&lt;&gt;"",IFERROR(VLOOKUP(D298,PROVEEDORES!$A:$B,2,0),"!COD NO ENCONTRADO"),"")</f>
        <v>PERFECTO MONTERO</v>
      </c>
      <c r="F298" s="76" t="str">
        <f aca="false">IF(D298&lt;&gt;"",IFERROR(VLOOKUP(D298,PROVEEDORES!$A:$C,3,0),""),"")</f>
        <v>S</v>
      </c>
      <c r="G298" s="75" t="s">
        <v>89</v>
      </c>
      <c r="H298" s="52" t="str">
        <f aca="false">IF(G298&lt;&gt;"",IFERROR(VLOOKUP(G298,PRODUCTOS!$A:$B,2,0),"!COD NO ENCONTRADO"),"")</f>
        <v>BONITO DEL NORTE 5/7</v>
      </c>
      <c r="I298" s="77" t="n">
        <v>3</v>
      </c>
      <c r="J298" s="78" t="n">
        <f aca="false">48+51.75+50.5</f>
        <v>150.25</v>
      </c>
      <c r="K298" s="79" t="n">
        <v>4.4</v>
      </c>
      <c r="L298" s="80" t="n">
        <f aca="false">IF(AND(J298&lt;&gt;"",K298&lt;&gt;""),J298*K298,"")</f>
        <v>661.1</v>
      </c>
      <c r="M298" s="81" t="n">
        <f aca="false">IF(L298&lt;&gt;"",L298*1.1,"")</f>
        <v>727.21</v>
      </c>
      <c r="N298" s="53" t="n">
        <f aca="false">IF(F298="S",L298*0.02,0)</f>
        <v>13.222</v>
      </c>
      <c r="O298" s="82" t="n">
        <f aca="false">IF(L298&lt;&gt;"",L298+N298,"")</f>
        <v>674.322</v>
      </c>
      <c r="P298" s="53" t="n">
        <f aca="false">IF(O298&lt;&gt;"",O298*0.1,"")</f>
        <v>67.4322</v>
      </c>
      <c r="Q298" s="83" t="n">
        <f aca="false">IF(O298&lt;&gt;"",O298+P298,"")</f>
        <v>741.7542</v>
      </c>
      <c r="R298" s="84"/>
    </row>
    <row r="299" customFormat="false" ht="15" hidden="false" customHeight="true" outlineLevel="0" collapsed="false">
      <c r="A299" s="72" t="n">
        <v>5966</v>
      </c>
      <c r="B299" s="85" t="n">
        <v>46198</v>
      </c>
      <c r="C299" s="86" t="n">
        <v>6426</v>
      </c>
      <c r="D299" s="87" t="n">
        <v>50010</v>
      </c>
      <c r="E299" s="46" t="str">
        <f aca="false">IF(D299&lt;&gt;"",IFERROR(VLOOKUP(D299,PROVEEDORES!$A:$B,2,0),"!COD NO ENCONTRADO"),"")</f>
        <v>PERFECTO MONTERO</v>
      </c>
      <c r="F299" s="88" t="str">
        <f aca="false">IF(D299&lt;&gt;"",IFERROR(VLOOKUP(D299,PROVEEDORES!$A:$C,3,0),""),"")</f>
        <v>S</v>
      </c>
      <c r="G299" s="87" t="s">
        <v>91</v>
      </c>
      <c r="H299" s="46" t="str">
        <f aca="false">IF(G299&lt;&gt;"",IFERROR(VLOOKUP(G299,PRODUCTOS!$A:$B,2,0),"!COD NO ENCONTRADO"),"")</f>
        <v>BONITO DEL NORTE 5/7</v>
      </c>
      <c r="I299" s="89" t="n">
        <v>1</v>
      </c>
      <c r="J299" s="90" t="n">
        <v>28.25</v>
      </c>
      <c r="K299" s="91" t="n">
        <v>6.2</v>
      </c>
      <c r="L299" s="80" t="n">
        <f aca="false">IF(AND(J299&lt;&gt;"",K299&lt;&gt;""),J299*K299,"")</f>
        <v>175.15</v>
      </c>
      <c r="M299" s="81" t="n">
        <f aca="false">IF(L299&lt;&gt;"",L299*1.1,"")</f>
        <v>192.665</v>
      </c>
      <c r="N299" s="47" t="n">
        <f aca="false">IF(F299="S",L299*0.02,0)</f>
        <v>3.503</v>
      </c>
      <c r="O299" s="82" t="n">
        <f aca="false">IF(L299&lt;&gt;"",L299+N299,"")</f>
        <v>178.653</v>
      </c>
      <c r="P299" s="47" t="n">
        <f aca="false">IF(O299&lt;&gt;"",O299*0.1,"")</f>
        <v>17.8653</v>
      </c>
      <c r="Q299" s="83" t="n">
        <f aca="false">IF(O299&lt;&gt;"",O299+P299,"")</f>
        <v>196.5183</v>
      </c>
      <c r="R299" s="84"/>
    </row>
    <row r="300" customFormat="false" ht="15" hidden="false" customHeight="true" outlineLevel="0" collapsed="false">
      <c r="A300" s="72" t="n">
        <v>5966</v>
      </c>
      <c r="B300" s="85" t="n">
        <v>46198</v>
      </c>
      <c r="C300" s="86" t="n">
        <v>6426</v>
      </c>
      <c r="D300" s="87" t="n">
        <v>50010</v>
      </c>
      <c r="E300" s="46" t="str">
        <f aca="false">IF(D300&lt;&gt;"",IFERROR(VLOOKUP(D300,PROVEEDORES!$A:$B,2,0),"!COD NO ENCONTRADO"),"")</f>
        <v>PERFECTO MONTERO</v>
      </c>
      <c r="F300" s="88" t="str">
        <f aca="false">IF(D300&lt;&gt;"",IFERROR(VLOOKUP(D300,PROVEEDORES!$A:$C,3,0),""),"")</f>
        <v>S</v>
      </c>
      <c r="G300" s="87" t="s">
        <v>103</v>
      </c>
      <c r="H300" s="46" t="str">
        <f aca="false">IF(G300&lt;&gt;"",IFERROR(VLOOKUP(G300,PRODUCTOS!$A:$B,2,0),"!COD NO ENCONTRADO"),"")</f>
        <v>CABRAS/ GALLINETA (BRF)</v>
      </c>
      <c r="I300" s="89" t="n">
        <v>1</v>
      </c>
      <c r="J300" s="90" t="n">
        <v>3.75</v>
      </c>
      <c r="K300" s="91" t="n">
        <v>11.2</v>
      </c>
      <c r="L300" s="80" t="n">
        <f aca="false">IF(AND(J300&lt;&gt;"",K300&lt;&gt;""),J300*K300,"")</f>
        <v>42</v>
      </c>
      <c r="M300" s="81" t="n">
        <f aca="false">IF(L300&lt;&gt;"",L300*1.1,"")</f>
        <v>46.2</v>
      </c>
      <c r="N300" s="47" t="n">
        <f aca="false">IF(F300="S",L300*0.02,0)</f>
        <v>0.84</v>
      </c>
      <c r="O300" s="82" t="n">
        <f aca="false">IF(L300&lt;&gt;"",L300+N300,"")</f>
        <v>42.84</v>
      </c>
      <c r="P300" s="47" t="n">
        <f aca="false">IF(O300&lt;&gt;"",O300*0.1,"")</f>
        <v>4.284</v>
      </c>
      <c r="Q300" s="83" t="n">
        <f aca="false">IF(O300&lt;&gt;"",O300+P300,"")</f>
        <v>47.124</v>
      </c>
      <c r="R300" s="84"/>
    </row>
    <row r="301" customFormat="false" ht="15" hidden="false" customHeight="true" outlineLevel="0" collapsed="false">
      <c r="A301" s="72" t="n">
        <v>5966</v>
      </c>
      <c r="B301" s="73" t="n">
        <v>46198</v>
      </c>
      <c r="C301" s="74" t="n">
        <v>6426</v>
      </c>
      <c r="D301" s="75" t="n">
        <v>50010</v>
      </c>
      <c r="E301" s="52" t="str">
        <f aca="false">IF(D301&lt;&gt;"",IFERROR(VLOOKUP(D301,PROVEEDORES!$A:$B,2,0),"!COD NO ENCONTRADO"),"")</f>
        <v>PERFECTO MONTERO</v>
      </c>
      <c r="F301" s="76" t="str">
        <f aca="false">IF(D301&lt;&gt;"",IFERROR(VLOOKUP(D301,PROVEEDORES!$A:$C,3,0),""),"")</f>
        <v>S</v>
      </c>
      <c r="G301" s="75" t="s">
        <v>103</v>
      </c>
      <c r="H301" s="52" t="str">
        <f aca="false">IF(G301&lt;&gt;"",IFERROR(VLOOKUP(G301,PRODUCTOS!$A:$B,2,0),"!COD NO ENCONTRADO"),"")</f>
        <v>CABRAS/ GALLINETA (BRF)</v>
      </c>
      <c r="I301" s="77" t="n">
        <v>1</v>
      </c>
      <c r="J301" s="78" t="n">
        <v>4.8</v>
      </c>
      <c r="K301" s="79" t="n">
        <v>10</v>
      </c>
      <c r="L301" s="80" t="n">
        <f aca="false">IF(AND(J301&lt;&gt;"",K301&lt;&gt;""),J301*K301,"")</f>
        <v>48</v>
      </c>
      <c r="M301" s="81" t="n">
        <f aca="false">IF(L301&lt;&gt;"",L301*1.1,"")</f>
        <v>52.8</v>
      </c>
      <c r="N301" s="53" t="n">
        <f aca="false">IF(F301="S",L301*0.02,0)</f>
        <v>0.96</v>
      </c>
      <c r="O301" s="82" t="n">
        <f aca="false">IF(L301&lt;&gt;"",L301+N301,"")</f>
        <v>48.96</v>
      </c>
      <c r="P301" s="53" t="n">
        <f aca="false">IF(O301&lt;&gt;"",O301*0.1,"")</f>
        <v>4.896</v>
      </c>
      <c r="Q301" s="83" t="n">
        <f aca="false">IF(O301&lt;&gt;"",O301+P301,"")</f>
        <v>53.856</v>
      </c>
      <c r="R301" s="84"/>
    </row>
    <row r="302" customFormat="false" ht="15" hidden="false" customHeight="true" outlineLevel="0" collapsed="false">
      <c r="A302" s="72" t="n">
        <v>5967</v>
      </c>
      <c r="B302" s="85" t="n">
        <v>46198</v>
      </c>
      <c r="C302" s="86" t="n">
        <v>6535</v>
      </c>
      <c r="D302" s="87" t="n">
        <v>50020</v>
      </c>
      <c r="E302" s="46" t="str">
        <f aca="false">IF(D302&lt;&gt;"",IFERROR(VLOOKUP(D302,PROVEEDORES!$A:$B,2,0),"!COD NO ENCONTRADO"),"")</f>
        <v>PACO MOINELO</v>
      </c>
      <c r="F302" s="88" t="str">
        <f aca="false">IF(D302&lt;&gt;"",IFERROR(VLOOKUP(D302,PROVEEDORES!$A:$C,3,0),""),"")</f>
        <v>S</v>
      </c>
      <c r="G302" s="87" t="s">
        <v>223</v>
      </c>
      <c r="H302" s="46" t="str">
        <f aca="false">IF(G302&lt;&gt;"",IFERROR(VLOOKUP(G302,PRODUCTOS!$A:$B,2,0),"!COD NO ENCONTRADO"),"")</f>
        <v>MERLUZA EUROPEA PINCHO COSTA 1000</v>
      </c>
      <c r="I302" s="89" t="n">
        <v>2</v>
      </c>
      <c r="J302" s="90" t="n">
        <f aca="false">14.25+14.25</f>
        <v>28.5</v>
      </c>
      <c r="K302" s="91" t="n">
        <v>5.65</v>
      </c>
      <c r="L302" s="80" t="n">
        <f aca="false">IF(AND(J302&lt;&gt;"",K302&lt;&gt;""),J302*K302,"")</f>
        <v>161.025</v>
      </c>
      <c r="M302" s="81" t="n">
        <f aca="false">IF(L302&lt;&gt;"",L302*1.1,"")</f>
        <v>177.1275</v>
      </c>
      <c r="N302" s="47" t="n">
        <f aca="false">IF(F302="S",L302*0.02,0)</f>
        <v>3.2205</v>
      </c>
      <c r="O302" s="82" t="n">
        <f aca="false">IF(L302&lt;&gt;"",L302+N302,"")</f>
        <v>164.2455</v>
      </c>
      <c r="P302" s="47" t="n">
        <f aca="false">IF(O302&lt;&gt;"",O302*0.1,"")</f>
        <v>16.42455</v>
      </c>
      <c r="Q302" s="83" t="n">
        <f aca="false">IF(O302&lt;&gt;"",O302+P302,"")</f>
        <v>180.67005</v>
      </c>
      <c r="R302" s="84"/>
    </row>
    <row r="303" customFormat="false" ht="15" hidden="false" customHeight="true" outlineLevel="0" collapsed="false">
      <c r="A303" s="72" t="n">
        <v>5967</v>
      </c>
      <c r="B303" s="73" t="n">
        <v>46198</v>
      </c>
      <c r="C303" s="74" t="n">
        <v>6535</v>
      </c>
      <c r="D303" s="75" t="n">
        <v>50020</v>
      </c>
      <c r="E303" s="52" t="str">
        <f aca="false">IF(D303&lt;&gt;"",IFERROR(VLOOKUP(D303,PROVEEDORES!$A:$B,2,0),"!COD NO ENCONTRADO"),"")</f>
        <v>PACO MOINELO</v>
      </c>
      <c r="F303" s="76" t="str">
        <f aca="false">IF(D303&lt;&gt;"",IFERROR(VLOOKUP(D303,PROVEEDORES!$A:$C,3,0),""),"")</f>
        <v>S</v>
      </c>
      <c r="G303" s="75" t="s">
        <v>103</v>
      </c>
      <c r="H303" s="52" t="str">
        <f aca="false">IF(G303&lt;&gt;"",IFERROR(VLOOKUP(G303,PRODUCTOS!$A:$B,2,0),"!COD NO ENCONTRADO"),"")</f>
        <v>CABRAS/ GALLINETA (BRF)</v>
      </c>
      <c r="I303" s="77" t="n">
        <v>2</v>
      </c>
      <c r="J303" s="78" t="n">
        <v>6</v>
      </c>
      <c r="K303" s="79" t="n">
        <v>11.1</v>
      </c>
      <c r="L303" s="80" t="n">
        <f aca="false">IF(AND(J303&lt;&gt;"",K303&lt;&gt;""),J303*K303,"")</f>
        <v>66.6</v>
      </c>
      <c r="M303" s="81" t="n">
        <f aca="false">IF(L303&lt;&gt;"",L303*1.1,"")</f>
        <v>73.26</v>
      </c>
      <c r="N303" s="53" t="n">
        <f aca="false">IF(F303="S",L303*0.02,0)</f>
        <v>1.332</v>
      </c>
      <c r="O303" s="82" t="n">
        <f aca="false">IF(L303&lt;&gt;"",L303+N303,"")</f>
        <v>67.932</v>
      </c>
      <c r="P303" s="53" t="n">
        <f aca="false">IF(O303&lt;&gt;"",O303*0.1,"")</f>
        <v>6.7932</v>
      </c>
      <c r="Q303" s="83" t="n">
        <f aca="false">IF(O303&lt;&gt;"",O303+P303,"")</f>
        <v>74.7252</v>
      </c>
      <c r="R303" s="84"/>
    </row>
    <row r="304" customFormat="false" ht="15" hidden="false" customHeight="true" outlineLevel="0" collapsed="false">
      <c r="A304" s="72" t="n">
        <v>5967</v>
      </c>
      <c r="B304" s="85" t="n">
        <v>46198</v>
      </c>
      <c r="C304" s="86" t="n">
        <v>6535</v>
      </c>
      <c r="D304" s="87" t="n">
        <v>50020</v>
      </c>
      <c r="E304" s="46" t="str">
        <f aca="false">IF(D304&lt;&gt;"",IFERROR(VLOOKUP(D304,PROVEEDORES!$A:$B,2,0),"!COD NO ENCONTRADO"),"")</f>
        <v>PACO MOINELO</v>
      </c>
      <c r="F304" s="88" t="str">
        <f aca="false">IF(D304&lt;&gt;"",IFERROR(VLOOKUP(D304,PROVEEDORES!$A:$C,3,0),""),"")</f>
        <v>S</v>
      </c>
      <c r="G304" s="87" t="s">
        <v>221</v>
      </c>
      <c r="H304" s="46" t="str">
        <f aca="false">IF(G304&lt;&gt;"",IFERROR(VLOOKUP(G304,PRODUCTOS!$A:$B,2,0),"!COD NO ENCONTRADO"),"")</f>
        <v>MERLUZA EUROPEA PINCHO COSTA 800</v>
      </c>
      <c r="I304" s="89" t="n">
        <v>2</v>
      </c>
      <c r="J304" s="90" t="n">
        <f aca="false">13.25+13.75</f>
        <v>27</v>
      </c>
      <c r="K304" s="91" t="n">
        <v>4.65</v>
      </c>
      <c r="L304" s="80" t="n">
        <f aca="false">IF(AND(J304&lt;&gt;"",K304&lt;&gt;""),J304*K304,"")</f>
        <v>125.55</v>
      </c>
      <c r="M304" s="81" t="n">
        <f aca="false">IF(L304&lt;&gt;"",L304*1.1,"")</f>
        <v>138.105</v>
      </c>
      <c r="N304" s="47" t="n">
        <f aca="false">IF(F304="S",L304*0.02,0)</f>
        <v>2.511</v>
      </c>
      <c r="O304" s="82" t="n">
        <f aca="false">IF(L304&lt;&gt;"",L304+N304,"")</f>
        <v>128.061</v>
      </c>
      <c r="P304" s="47" t="n">
        <f aca="false">IF(O304&lt;&gt;"",O304*0.1,"")</f>
        <v>12.8061</v>
      </c>
      <c r="Q304" s="83" t="n">
        <f aca="false">IF(O304&lt;&gt;"",O304+P304,"")</f>
        <v>140.8671</v>
      </c>
      <c r="R304" s="84"/>
    </row>
    <row r="305" customFormat="false" ht="15" hidden="false" customHeight="true" outlineLevel="0" collapsed="false">
      <c r="A305" s="72" t="n">
        <v>5967</v>
      </c>
      <c r="B305" s="73" t="n">
        <v>46198</v>
      </c>
      <c r="C305" s="74" t="n">
        <v>6535</v>
      </c>
      <c r="D305" s="75" t="n">
        <v>50020</v>
      </c>
      <c r="E305" s="52" t="str">
        <f aca="false">IF(D305&lt;&gt;"",IFERROR(VLOOKUP(D305,PROVEEDORES!$A:$B,2,0),"!COD NO ENCONTRADO"),"")</f>
        <v>PACO MOINELO</v>
      </c>
      <c r="F305" s="76" t="str">
        <f aca="false">IF(D305&lt;&gt;"",IFERROR(VLOOKUP(D305,PROVEEDORES!$A:$C,3,0),""),"")</f>
        <v>S</v>
      </c>
      <c r="G305" s="75" t="s">
        <v>221</v>
      </c>
      <c r="H305" s="52" t="str">
        <f aca="false">IF(G305&lt;&gt;"",IFERROR(VLOOKUP(G305,PRODUCTOS!$A:$B,2,0),"!COD NO ENCONTRADO"),"")</f>
        <v>MERLUZA EUROPEA PINCHO COSTA 800</v>
      </c>
      <c r="I305" s="77" t="n">
        <v>2</v>
      </c>
      <c r="J305" s="78" t="n">
        <f aca="false">13.25+12.75</f>
        <v>26</v>
      </c>
      <c r="K305" s="79" t="n">
        <v>4</v>
      </c>
      <c r="L305" s="80" t="n">
        <f aca="false">IF(AND(J305&lt;&gt;"",K305&lt;&gt;""),J305*K305,"")</f>
        <v>104</v>
      </c>
      <c r="M305" s="81" t="n">
        <f aca="false">IF(L305&lt;&gt;"",L305*1.1,"")</f>
        <v>114.4</v>
      </c>
      <c r="N305" s="53" t="n">
        <f aca="false">IF(F305="S",L305*0.02,0)</f>
        <v>2.08</v>
      </c>
      <c r="O305" s="82" t="n">
        <f aca="false">IF(L305&lt;&gt;"",L305+N305,"")</f>
        <v>106.08</v>
      </c>
      <c r="P305" s="53" t="n">
        <f aca="false">IF(O305&lt;&gt;"",O305*0.1,"")</f>
        <v>10.608</v>
      </c>
      <c r="Q305" s="83" t="n">
        <f aca="false">IF(O305&lt;&gt;"",O305+P305,"")</f>
        <v>116.688</v>
      </c>
      <c r="R305" s="84"/>
    </row>
    <row r="306" customFormat="false" ht="15" hidden="false" customHeight="true" outlineLevel="0" collapsed="false">
      <c r="A306" s="72" t="n">
        <v>5967</v>
      </c>
      <c r="B306" s="85" t="n">
        <v>46198</v>
      </c>
      <c r="C306" s="86" t="n">
        <v>6535</v>
      </c>
      <c r="D306" s="87" t="n">
        <v>50020</v>
      </c>
      <c r="E306" s="46" t="str">
        <f aca="false">IF(D306&lt;&gt;"",IFERROR(VLOOKUP(D306,PROVEEDORES!$A:$B,2,0),"!COD NO ENCONTRADO"),"")</f>
        <v>PACO MOINELO</v>
      </c>
      <c r="F306" s="88" t="str">
        <f aca="false">IF(D306&lt;&gt;"",IFERROR(VLOOKUP(D306,PROVEEDORES!$A:$C,3,0),""),"")</f>
        <v>S</v>
      </c>
      <c r="G306" s="87" t="s">
        <v>219</v>
      </c>
      <c r="H306" s="46" t="str">
        <f aca="false">IF(G306&lt;&gt;"",IFERROR(VLOOKUP(G306,PRODUCTOS!$A:$B,2,0),"!COD NO ENCONTRADO"),"")</f>
        <v>MERLUZA EUROPEA PINCHO COSTA 600</v>
      </c>
      <c r="I306" s="89" t="n">
        <v>7</v>
      </c>
      <c r="J306" s="90" t="n">
        <f aca="false">12+13.5+11.75+13.25+11.75+11.5+12.5</f>
        <v>86.25</v>
      </c>
      <c r="K306" s="91" t="n">
        <v>1.5</v>
      </c>
      <c r="L306" s="80" t="n">
        <f aca="false">IF(AND(J306&lt;&gt;"",K306&lt;&gt;""),J306*K306,"")</f>
        <v>129.375</v>
      </c>
      <c r="M306" s="81" t="n">
        <f aca="false">IF(L306&lt;&gt;"",L306*1.1,"")</f>
        <v>142.3125</v>
      </c>
      <c r="N306" s="47" t="n">
        <f aca="false">IF(F306="S",L306*0.02,0)</f>
        <v>2.5875</v>
      </c>
      <c r="O306" s="82" t="n">
        <f aca="false">IF(L306&lt;&gt;"",L306+N306,"")</f>
        <v>131.9625</v>
      </c>
      <c r="P306" s="47" t="n">
        <f aca="false">IF(O306&lt;&gt;"",O306*0.1,"")</f>
        <v>13.19625</v>
      </c>
      <c r="Q306" s="83" t="n">
        <f aca="false">IF(O306&lt;&gt;"",O306+P306,"")</f>
        <v>145.15875</v>
      </c>
      <c r="R306" s="84"/>
    </row>
    <row r="307" customFormat="false" ht="15" hidden="false" customHeight="true" outlineLevel="0" collapsed="false">
      <c r="A307" s="72" t="n">
        <v>5968</v>
      </c>
      <c r="B307" s="73" t="n">
        <v>46198</v>
      </c>
      <c r="C307" s="74" t="n">
        <v>32298</v>
      </c>
      <c r="D307" s="75" t="n">
        <v>50106</v>
      </c>
      <c r="E307" s="52" t="str">
        <f aca="false">IF(D307&lt;&gt;"",IFERROR(VLOOKUP(D307,PROVEEDORES!$A:$B,2,0),"!COD NO ENCONTRADO"),"")</f>
        <v>SONIA VENTAS S.L</v>
      </c>
      <c r="F307" s="76" t="str">
        <f aca="false">IF(D307&lt;&gt;"",IFERROR(VLOOKUP(D307,PROVEEDORES!$A:$C,3,0),""),"")</f>
        <v>S</v>
      </c>
      <c r="G307" s="75" t="s">
        <v>103</v>
      </c>
      <c r="H307" s="52" t="str">
        <f aca="false">IF(G307&lt;&gt;"",IFERROR(VLOOKUP(G307,PRODUCTOS!$A:$B,2,0),"!COD NO ENCONTRADO"),"")</f>
        <v>CABRAS/ GALLINETA (BRF)</v>
      </c>
      <c r="I307" s="77" t="n">
        <v>1</v>
      </c>
      <c r="J307" s="78" t="n">
        <v>2.5</v>
      </c>
      <c r="K307" s="79" t="n">
        <v>10.8</v>
      </c>
      <c r="L307" s="80" t="n">
        <f aca="false">IF(AND(J307&lt;&gt;"",K307&lt;&gt;""),J307*K307,"")</f>
        <v>27</v>
      </c>
      <c r="M307" s="81" t="n">
        <f aca="false">IF(L307&lt;&gt;"",L307*1.1,"")</f>
        <v>29.7</v>
      </c>
      <c r="N307" s="53" t="n">
        <f aca="false">IF(F307="S",L307*0.02,0)</f>
        <v>0.54</v>
      </c>
      <c r="O307" s="82" t="n">
        <f aca="false">IF(L307&lt;&gt;"",L307+N307,"")</f>
        <v>27.54</v>
      </c>
      <c r="P307" s="53" t="n">
        <f aca="false">IF(O307&lt;&gt;"",O307*0.1,"")</f>
        <v>2.754</v>
      </c>
      <c r="Q307" s="83" t="n">
        <f aca="false">IF(O307&lt;&gt;"",O307+P307,"")</f>
        <v>30.294</v>
      </c>
      <c r="R307" s="84"/>
    </row>
    <row r="308" customFormat="false" ht="15" hidden="false" customHeight="true" outlineLevel="0" collapsed="false">
      <c r="A308" s="72" t="n">
        <v>5969</v>
      </c>
      <c r="B308" s="85" t="n">
        <v>46198</v>
      </c>
      <c r="C308" s="86" t="s">
        <v>391</v>
      </c>
      <c r="D308" s="87" t="n">
        <v>50035</v>
      </c>
      <c r="E308" s="46" t="str">
        <f aca="false">IF(D308&lt;&gt;"",IFERROR(VLOOKUP(D308,PROVEEDORES!$A:$B,2,0),"!COD NO ENCONTRADO"),"")</f>
        <v>SCANFISK SEAFFOD S,L</v>
      </c>
      <c r="F308" s="88" t="str">
        <f aca="false">IF(D308&lt;&gt;"",IFERROR(VLOOKUP(D308,PROVEEDORES!$A:$C,3,0),""),"")</f>
        <v>N</v>
      </c>
      <c r="G308" s="87" t="s">
        <v>246</v>
      </c>
      <c r="H308" s="46" t="str">
        <f aca="false">IF(G308&lt;&gt;"",IFERROR(VLOOKUP(G308,PRODUCTOS!$A:$B,2,0),"!COD NO ENCONTRADO"),"")</f>
        <v>MERLUZA EUROPEA VOLANTA ALTURA</v>
      </c>
      <c r="I308" s="89" t="n">
        <v>2</v>
      </c>
      <c r="J308" s="90" t="n">
        <v>22.8</v>
      </c>
      <c r="K308" s="91" t="n">
        <v>8.7</v>
      </c>
      <c r="L308" s="80" t="n">
        <f aca="false">IF(AND(J308&lt;&gt;"",K308&lt;&gt;""),J308*K308,"")</f>
        <v>198.36</v>
      </c>
      <c r="M308" s="81" t="n">
        <f aca="false">IF(L308&lt;&gt;"",L308*1.1,"")</f>
        <v>218.196</v>
      </c>
      <c r="N308" s="47" t="n">
        <f aca="false">IF(F308="S",L308*0.02,0)</f>
        <v>0</v>
      </c>
      <c r="O308" s="82" t="n">
        <f aca="false">IF(L308&lt;&gt;"",L308+N308,"")</f>
        <v>198.36</v>
      </c>
      <c r="P308" s="47" t="n">
        <f aca="false">IF(O308&lt;&gt;"",O308*0.1,"")</f>
        <v>19.836</v>
      </c>
      <c r="Q308" s="83" t="n">
        <f aca="false">IF(O308&lt;&gt;"",O308+P308,"")</f>
        <v>218.196</v>
      </c>
      <c r="R308" s="84"/>
    </row>
    <row r="309" customFormat="false" ht="15" hidden="false" customHeight="true" outlineLevel="0" collapsed="false">
      <c r="A309" s="72" t="n">
        <v>5969</v>
      </c>
      <c r="B309" s="73" t="n">
        <v>46198</v>
      </c>
      <c r="C309" s="74" t="s">
        <v>392</v>
      </c>
      <c r="D309" s="75" t="n">
        <v>50035</v>
      </c>
      <c r="E309" s="52" t="str">
        <f aca="false">IF(D309&lt;&gt;"",IFERROR(VLOOKUP(D309,PROVEEDORES!$A:$B,2,0),"!COD NO ENCONTRADO"),"")</f>
        <v>SCANFISK SEAFFOD S,L</v>
      </c>
      <c r="F309" s="76" t="str">
        <f aca="false">IF(D309&lt;&gt;"",IFERROR(VLOOKUP(D309,PROVEEDORES!$A:$C,3,0),""),"")</f>
        <v>N</v>
      </c>
      <c r="G309" s="75" t="s">
        <v>221</v>
      </c>
      <c r="H309" s="52" t="str">
        <f aca="false">IF(G309&lt;&gt;"",IFERROR(VLOOKUP(G309,PRODUCTOS!$A:$B,2,0),"!COD NO ENCONTRADO"),"")</f>
        <v>MERLUZA EUROPEA PINCHO COSTA 800</v>
      </c>
      <c r="I309" s="77" t="n">
        <v>3</v>
      </c>
      <c r="J309" s="78" t="n">
        <v>45</v>
      </c>
      <c r="K309" s="79" t="n">
        <v>4.9</v>
      </c>
      <c r="L309" s="80" t="n">
        <f aca="false">IF(AND(J309&lt;&gt;"",K309&lt;&gt;""),J309*K309,"")</f>
        <v>220.5</v>
      </c>
      <c r="M309" s="81" t="n">
        <f aca="false">IF(L309&lt;&gt;"",L309*1.1,"")</f>
        <v>242.55</v>
      </c>
      <c r="N309" s="53" t="n">
        <f aca="false">IF(F309="S",L309*0.02,0)</f>
        <v>0</v>
      </c>
      <c r="O309" s="82" t="n">
        <f aca="false">IF(L309&lt;&gt;"",L309+N309,"")</f>
        <v>220.5</v>
      </c>
      <c r="P309" s="53" t="n">
        <f aca="false">IF(O309&lt;&gt;"",O309*0.1,"")</f>
        <v>22.05</v>
      </c>
      <c r="Q309" s="83" t="n">
        <f aca="false">IF(O309&lt;&gt;"",O309+P309,"")</f>
        <v>242.55</v>
      </c>
      <c r="R309" s="84"/>
    </row>
    <row r="310" customFormat="false" ht="15" hidden="false" customHeight="true" outlineLevel="0" collapsed="false">
      <c r="A310" s="72" t="n">
        <v>5970</v>
      </c>
      <c r="B310" s="85" t="n">
        <v>46198</v>
      </c>
      <c r="C310" s="86" t="n">
        <v>11473</v>
      </c>
      <c r="D310" s="87" t="n">
        <v>50048</v>
      </c>
      <c r="E310" s="46" t="str">
        <f aca="false">IF(D310&lt;&gt;"",IFERROR(VLOOKUP(D310,PROVEEDORES!$A:$B,2,0),"!COD NO ENCONTRADO"),"")</f>
        <v>JOSE LUIS CORREA KESSLER S.L.</v>
      </c>
      <c r="F310" s="88" t="str">
        <f aca="false">IF(D310&lt;&gt;"",IFERROR(VLOOKUP(D310,PROVEEDORES!$A:$C,3,0),""),"")</f>
        <v>N</v>
      </c>
      <c r="G310" s="87" t="s">
        <v>179</v>
      </c>
      <c r="H310" s="46" t="str">
        <f aca="false">IF(G310&lt;&gt;"",IFERROR(VLOOKUP(G310,PRODUCTOS!$A:$B,2,0),"!COD NO ENCONTRADO"),"")</f>
        <v>LIRIO/ BACALADILLA/ PERLA (WHB)</v>
      </c>
      <c r="I310" s="89" t="n">
        <v>2</v>
      </c>
      <c r="J310" s="90" t="n">
        <v>12</v>
      </c>
      <c r="K310" s="91" t="n">
        <v>1.5</v>
      </c>
      <c r="L310" s="80" t="n">
        <f aca="false">IF(AND(J310&lt;&gt;"",K310&lt;&gt;""),J310*K310,"")</f>
        <v>18</v>
      </c>
      <c r="M310" s="81" t="n">
        <f aca="false">IF(L310&lt;&gt;"",L310*1.1,"")</f>
        <v>19.8</v>
      </c>
      <c r="N310" s="47" t="n">
        <f aca="false">IF(F310="S",L310*0.02,0)</f>
        <v>0</v>
      </c>
      <c r="O310" s="82" t="n">
        <f aca="false">IF(L310&lt;&gt;"",L310+N310,"")</f>
        <v>18</v>
      </c>
      <c r="P310" s="47" t="n">
        <f aca="false">IF(O310&lt;&gt;"",O310*0.1,"")</f>
        <v>1.8</v>
      </c>
      <c r="Q310" s="83" t="n">
        <f aca="false">IF(O310&lt;&gt;"",O310+P310,"")</f>
        <v>19.8</v>
      </c>
      <c r="R310" s="84"/>
    </row>
    <row r="311" customFormat="false" ht="15" hidden="false" customHeight="true" outlineLevel="0" collapsed="false">
      <c r="A311" s="72" t="n">
        <v>5970</v>
      </c>
      <c r="B311" s="73" t="n">
        <v>46198</v>
      </c>
      <c r="C311" s="74" t="n">
        <v>11521</v>
      </c>
      <c r="D311" s="75" t="n">
        <v>50048</v>
      </c>
      <c r="E311" s="52" t="str">
        <f aca="false">IF(D311&lt;&gt;"",IFERROR(VLOOKUP(D311,PROVEEDORES!$A:$B,2,0),"!COD NO ENCONTRADO"),"")</f>
        <v>JOSE LUIS CORREA KESSLER S.L.</v>
      </c>
      <c r="F311" s="76" t="str">
        <f aca="false">IF(D311&lt;&gt;"",IFERROR(VLOOKUP(D311,PROVEEDORES!$A:$C,3,0),""),"")</f>
        <v>N</v>
      </c>
      <c r="G311" s="75" t="s">
        <v>179</v>
      </c>
      <c r="H311" s="52" t="str">
        <f aca="false">IF(G311&lt;&gt;"",IFERROR(VLOOKUP(G311,PRODUCTOS!$A:$B,2,0),"!COD NO ENCONTRADO"),"")</f>
        <v>LIRIO/ BACALADILLA/ PERLA (WHB)</v>
      </c>
      <c r="I311" s="77" t="n">
        <v>2</v>
      </c>
      <c r="J311" s="78" t="n">
        <v>12</v>
      </c>
      <c r="K311" s="79" t="n">
        <v>1.5</v>
      </c>
      <c r="L311" s="80" t="n">
        <f aca="false">IF(AND(J311&lt;&gt;"",K311&lt;&gt;""),J311*K311,"")</f>
        <v>18</v>
      </c>
      <c r="M311" s="81" t="n">
        <f aca="false">IF(L311&lt;&gt;"",L311*1.1,"")</f>
        <v>19.8</v>
      </c>
      <c r="N311" s="53" t="n">
        <f aca="false">IF(F311="S",L311*0.02,0)</f>
        <v>0</v>
      </c>
      <c r="O311" s="82" t="n">
        <f aca="false">IF(L311&lt;&gt;"",L311+N311,"")</f>
        <v>18</v>
      </c>
      <c r="P311" s="53" t="n">
        <f aca="false">IF(O311&lt;&gt;"",O311*0.1,"")</f>
        <v>1.8</v>
      </c>
      <c r="Q311" s="83" t="n">
        <f aca="false">IF(O311&lt;&gt;"",O311+P311,"")</f>
        <v>19.8</v>
      </c>
      <c r="R311" s="84"/>
    </row>
    <row r="312" customFormat="false" ht="15" hidden="false" customHeight="true" outlineLevel="0" collapsed="false">
      <c r="A312" s="72" t="n">
        <v>5971</v>
      </c>
      <c r="B312" s="85" t="n">
        <v>46198</v>
      </c>
      <c r="C312" s="86" t="n">
        <v>2551</v>
      </c>
      <c r="D312" s="87" t="n">
        <v>50509</v>
      </c>
      <c r="E312" s="46" t="str">
        <f aca="false">IF(D312&lt;&gt;"",IFERROR(VLOOKUP(D312,PROVEEDORES!$A:$B,2,0),"!COD NO ENCONTRADO"),"")</f>
        <v>AZORFISK UNIPERSONAL LDA</v>
      </c>
      <c r="F312" s="88" t="str">
        <f aca="false">IF(D312&lt;&gt;"",IFERROR(VLOOKUP(D312,PROVEEDORES!$A:$C,3,0),""),"")</f>
        <v>N</v>
      </c>
      <c r="G312" s="87" t="s">
        <v>83</v>
      </c>
      <c r="H312" s="46" t="str">
        <f aca="false">IF(G312&lt;&gt;"",IFERROR(VLOOKUP(G312,PRODUCTOS!$A:$B,2,0),"!COD NO ENCONTRADO"),"")</f>
        <v>BESUGO (BSR)</v>
      </c>
      <c r="I312" s="89" t="n">
        <v>4</v>
      </c>
      <c r="J312" s="90" t="n">
        <v>32</v>
      </c>
      <c r="K312" s="91" t="n">
        <v>39.5</v>
      </c>
      <c r="L312" s="80" t="n">
        <f aca="false">IF(AND(J312&lt;&gt;"",K312&lt;&gt;""),J312*K312,"")</f>
        <v>1264</v>
      </c>
      <c r="M312" s="81" t="n">
        <f aca="false">IF(L312&lt;&gt;"",L312*1.1,"")</f>
        <v>1390.4</v>
      </c>
      <c r="N312" s="47" t="n">
        <f aca="false">IF(F312="S",L312*0.02,0)</f>
        <v>0</v>
      </c>
      <c r="O312" s="82" t="n">
        <f aca="false">IF(L312&lt;&gt;"",L312+N312,"")</f>
        <v>1264</v>
      </c>
      <c r="P312" s="47" t="n">
        <f aca="false">IF(O312&lt;&gt;"",O312*0.1,"")</f>
        <v>126.4</v>
      </c>
      <c r="Q312" s="83" t="n">
        <f aca="false">IF(O312&lt;&gt;"",O312+P312,"")</f>
        <v>1390.4</v>
      </c>
      <c r="R312" s="84"/>
    </row>
    <row r="313" customFormat="false" ht="15" hidden="false" customHeight="true" outlineLevel="0" collapsed="false">
      <c r="A313" s="72" t="n">
        <v>5971</v>
      </c>
      <c r="B313" s="73" t="n">
        <v>46198</v>
      </c>
      <c r="C313" s="74" t="n">
        <v>2553</v>
      </c>
      <c r="D313" s="75" t="n">
        <v>50509</v>
      </c>
      <c r="E313" s="52" t="str">
        <f aca="false">IF(D313&lt;&gt;"",IFERROR(VLOOKUP(D313,PROVEEDORES!$A:$B,2,0),"!COD NO ENCONTRADO"),"")</f>
        <v>AZORFISK UNIPERSONAL LDA</v>
      </c>
      <c r="F313" s="76" t="str">
        <f aca="false">IF(D313&lt;&gt;"",IFERROR(VLOOKUP(D313,PROVEEDORES!$A:$C,3,0),""),"")</f>
        <v>N</v>
      </c>
      <c r="G313" s="75" t="s">
        <v>185</v>
      </c>
      <c r="H313" s="52" t="str">
        <f aca="false">IF(G313&lt;&gt;"",IFERROR(VLOOKUP(G313,PRODUCTOS!$A:$B,2,0),"!COD NO ENCONTRADO"),"")</f>
        <v>MACHOS/ REYES/ ALFONSINOS (BYS)</v>
      </c>
      <c r="I313" s="77" t="n">
        <v>2</v>
      </c>
      <c r="J313" s="78" t="n">
        <v>17.6</v>
      </c>
      <c r="K313" s="79" t="n">
        <v>20.6</v>
      </c>
      <c r="L313" s="80" t="n">
        <f aca="false">IF(AND(J313&lt;&gt;"",K313&lt;&gt;""),J313*K313,"")</f>
        <v>362.56</v>
      </c>
      <c r="M313" s="81" t="n">
        <f aca="false">IF(L313&lt;&gt;"",L313*1.1,"")</f>
        <v>398.816</v>
      </c>
      <c r="N313" s="53" t="n">
        <f aca="false">IF(F313="S",L313*0.02,0)</f>
        <v>0</v>
      </c>
      <c r="O313" s="82" t="n">
        <f aca="false">IF(L313&lt;&gt;"",L313+N313,"")</f>
        <v>362.56</v>
      </c>
      <c r="P313" s="53" t="n">
        <f aca="false">IF(O313&lt;&gt;"",O313*0.1,"")</f>
        <v>36.256</v>
      </c>
      <c r="Q313" s="83" t="n">
        <f aca="false">IF(O313&lt;&gt;"",O313+P313,"")</f>
        <v>398.816</v>
      </c>
      <c r="R313" s="84"/>
    </row>
    <row r="314" customFormat="false" ht="15" hidden="false" customHeight="true" outlineLevel="0" collapsed="false">
      <c r="A314" s="72" t="n">
        <v>5972</v>
      </c>
      <c r="B314" s="85" t="n">
        <v>46198</v>
      </c>
      <c r="C314" s="86" t="s">
        <v>393</v>
      </c>
      <c r="D314" s="87" t="n">
        <v>50232</v>
      </c>
      <c r="E314" s="46" t="str">
        <f aca="false">IF(D314&lt;&gt;"",IFERROR(VLOOKUP(D314,PROVEEDORES!$A:$B,2,0),"!COD NO ENCONTRADO"),"")</f>
        <v>XESTION NOVA LONXA RIVEIRA S.L.</v>
      </c>
      <c r="F314" s="88" t="str">
        <f aca="false">IF(D314&lt;&gt;"",IFERROR(VLOOKUP(D314,PROVEEDORES!$A:$C,3,0),""),"")</f>
        <v>S</v>
      </c>
      <c r="G314" s="87" t="s">
        <v>53</v>
      </c>
      <c r="H314" s="46" t="str">
        <f aca="false">IF(G314&lt;&gt;"",IFERROR(VLOOKUP(G314,PRODUCTOS!$A:$B,2,0),"!COD NO ENCONTRADO"),"")</f>
        <v>CABRAS PÑA</v>
      </c>
      <c r="I314" s="89" t="n">
        <v>1</v>
      </c>
      <c r="J314" s="90" t="n">
        <v>4.75</v>
      </c>
      <c r="K314" s="91" t="n">
        <v>1.5</v>
      </c>
      <c r="L314" s="80" t="n">
        <f aca="false">IF(AND(J314&lt;&gt;"",K314&lt;&gt;""),J314*K314,"")</f>
        <v>7.125</v>
      </c>
      <c r="M314" s="81" t="n">
        <f aca="false">IF(L314&lt;&gt;"",L314*1.1,"")</f>
        <v>7.8375</v>
      </c>
      <c r="N314" s="47" t="n">
        <f aca="false">IF(F314="S",L314*0.02,0)</f>
        <v>0.1425</v>
      </c>
      <c r="O314" s="82" t="n">
        <f aca="false">IF(L314&lt;&gt;"",L314+N314,"")</f>
        <v>7.2675</v>
      </c>
      <c r="P314" s="47" t="n">
        <f aca="false">IF(O314&lt;&gt;"",O314*0.1,"")</f>
        <v>0.72675</v>
      </c>
      <c r="Q314" s="83" t="n">
        <f aca="false">IF(O314&lt;&gt;"",O314+P314,"")</f>
        <v>7.99425</v>
      </c>
      <c r="R314" s="84"/>
    </row>
    <row r="315" customFormat="false" ht="15" hidden="false" customHeight="true" outlineLevel="0" collapsed="false">
      <c r="A315" s="72" t="n">
        <v>5972</v>
      </c>
      <c r="B315" s="73" t="n">
        <v>46198</v>
      </c>
      <c r="C315" s="74" t="s">
        <v>393</v>
      </c>
      <c r="D315" s="75" t="n">
        <v>50232</v>
      </c>
      <c r="E315" s="52" t="str">
        <f aca="false">IF(D315&lt;&gt;"",IFERROR(VLOOKUP(D315,PROVEEDORES!$A:$B,2,0),"!COD NO ENCONTRADO"),"")</f>
        <v>XESTION NOVA LONXA RIVEIRA S.L.</v>
      </c>
      <c r="F315" s="76" t="str">
        <f aca="false">IF(D315&lt;&gt;"",IFERROR(VLOOKUP(D315,PROVEEDORES!$A:$C,3,0),""),"")</f>
        <v>S</v>
      </c>
      <c r="G315" s="75" t="s">
        <v>193</v>
      </c>
      <c r="H315" s="52" t="str">
        <f aca="false">IF(G315&lt;&gt;"",IFERROR(VLOOKUP(G315,PRODUCTOS!$A:$B,2,0),"!COD NO ENCONTRADO"),"")</f>
        <v>MERLUZA EUROPEA ARRASTRE (HKE) </v>
      </c>
      <c r="I315" s="77" t="n">
        <v>14</v>
      </c>
      <c r="J315" s="78" t="n">
        <v>103.5</v>
      </c>
      <c r="K315" s="79" t="n">
        <v>3</v>
      </c>
      <c r="L315" s="80" t="n">
        <f aca="false">IF(AND(J315&lt;&gt;"",K315&lt;&gt;""),J315*K315,"")</f>
        <v>310.5</v>
      </c>
      <c r="M315" s="81" t="n">
        <f aca="false">IF(L315&lt;&gt;"",L315*1.1,"")</f>
        <v>341.55</v>
      </c>
      <c r="N315" s="53" t="n">
        <f aca="false">IF(F315="S",L315*0.02,0)</f>
        <v>6.21</v>
      </c>
      <c r="O315" s="82" t="n">
        <f aca="false">IF(L315&lt;&gt;"",L315+N315,"")</f>
        <v>316.71</v>
      </c>
      <c r="P315" s="53" t="n">
        <f aca="false">IF(O315&lt;&gt;"",O315*0.1,"")</f>
        <v>31.671</v>
      </c>
      <c r="Q315" s="83" t="n">
        <f aca="false">IF(O315&lt;&gt;"",O315+P315,"")</f>
        <v>348.381</v>
      </c>
      <c r="R315" s="84"/>
    </row>
    <row r="316" customFormat="false" ht="15" hidden="false" customHeight="true" outlineLevel="0" collapsed="false">
      <c r="A316" s="72" t="n">
        <v>5972</v>
      </c>
      <c r="B316" s="85" t="n">
        <v>46198</v>
      </c>
      <c r="C316" s="86" t="s">
        <v>393</v>
      </c>
      <c r="D316" s="87" t="n">
        <v>50232</v>
      </c>
      <c r="E316" s="46" t="str">
        <f aca="false">IF(D316&lt;&gt;"",IFERROR(VLOOKUP(D316,PROVEEDORES!$A:$B,2,0),"!COD NO ENCONTRADO"),"")</f>
        <v>XESTION NOVA LONXA RIVEIRA S.L.</v>
      </c>
      <c r="F316" s="88" t="str">
        <f aca="false">IF(D316&lt;&gt;"",IFERROR(VLOOKUP(D316,PROVEEDORES!$A:$C,3,0),""),"")</f>
        <v>S</v>
      </c>
      <c r="G316" s="87" t="s">
        <v>270</v>
      </c>
      <c r="H316" s="46" t="str">
        <f aca="false">IF(G316&lt;&gt;"",IFERROR(VLOOKUP(G316,PRODUCTOS!$A:$B,2,0),"!COD NO ENCONTRADO"),"")</f>
        <v>PEON/ PION (ATP)</v>
      </c>
      <c r="I316" s="89" t="n">
        <v>3</v>
      </c>
      <c r="J316" s="90" t="n">
        <f aca="false">5.9+6.5+6.7</f>
        <v>19.1</v>
      </c>
      <c r="K316" s="91" t="n">
        <v>2</v>
      </c>
      <c r="L316" s="80" t="n">
        <f aca="false">IF(AND(J316&lt;&gt;"",K316&lt;&gt;""),J316*K316,"")</f>
        <v>38.2</v>
      </c>
      <c r="M316" s="81" t="n">
        <f aca="false">IF(L316&lt;&gt;"",L316*1.1,"")</f>
        <v>42.02</v>
      </c>
      <c r="N316" s="47" t="n">
        <f aca="false">IF(F316="S",L316*0.02,0)</f>
        <v>0.764</v>
      </c>
      <c r="O316" s="82" t="n">
        <f aca="false">IF(L316&lt;&gt;"",L316+N316,"")</f>
        <v>38.964</v>
      </c>
      <c r="P316" s="47" t="n">
        <f aca="false">IF(O316&lt;&gt;"",O316*0.1,"")</f>
        <v>3.8964</v>
      </c>
      <c r="Q316" s="83" t="n">
        <f aca="false">IF(O316&lt;&gt;"",O316+P316,"")</f>
        <v>42.8604</v>
      </c>
      <c r="R316" s="84"/>
    </row>
    <row r="317" customFormat="false" ht="15" hidden="false" customHeight="true" outlineLevel="0" collapsed="false">
      <c r="A317" s="72" t="n">
        <v>5972</v>
      </c>
      <c r="B317" s="73" t="n">
        <v>46198</v>
      </c>
      <c r="C317" s="74" t="s">
        <v>393</v>
      </c>
      <c r="D317" s="75" t="n">
        <v>50232</v>
      </c>
      <c r="E317" s="52" t="str">
        <f aca="false">IF(D317&lt;&gt;"",IFERROR(VLOOKUP(D317,PROVEEDORES!$A:$B,2,0),"!COD NO ENCONTRADO"),"")</f>
        <v>XESTION NOVA LONXA RIVEIRA S.L.</v>
      </c>
      <c r="F317" s="76" t="str">
        <f aca="false">IF(D317&lt;&gt;"",IFERROR(VLOOKUP(D317,PROVEEDORES!$A:$C,3,0),""),"")</f>
        <v>S</v>
      </c>
      <c r="G317" s="75" t="s">
        <v>270</v>
      </c>
      <c r="H317" s="52" t="str">
        <f aca="false">IF(G317&lt;&gt;"",IFERROR(VLOOKUP(G317,PRODUCTOS!$A:$B,2,0),"!COD NO ENCONTRADO"),"")</f>
        <v>PEON/ PION (ATP)</v>
      </c>
      <c r="I317" s="77" t="n">
        <v>11</v>
      </c>
      <c r="J317" s="78" t="n">
        <f aca="false">56.6-19.1</f>
        <v>37.5</v>
      </c>
      <c r="K317" s="79" t="n">
        <v>4</v>
      </c>
      <c r="L317" s="80" t="n">
        <f aca="false">IF(AND(J317&lt;&gt;"",K317&lt;&gt;""),J317*K317,"")</f>
        <v>150</v>
      </c>
      <c r="M317" s="81" t="n">
        <f aca="false">IF(L317&lt;&gt;"",L317*1.1,"")</f>
        <v>165</v>
      </c>
      <c r="N317" s="53" t="n">
        <f aca="false">IF(F317="S",L317*0.02,0)</f>
        <v>3</v>
      </c>
      <c r="O317" s="82" t="n">
        <f aca="false">IF(L317&lt;&gt;"",L317+N317,"")</f>
        <v>153</v>
      </c>
      <c r="P317" s="53" t="n">
        <f aca="false">IF(O317&lt;&gt;"",O317*0.1,"")</f>
        <v>15.3</v>
      </c>
      <c r="Q317" s="83" t="n">
        <f aca="false">IF(O317&lt;&gt;"",O317+P317,"")</f>
        <v>168.3</v>
      </c>
      <c r="R317" s="84"/>
    </row>
    <row r="318" customFormat="false" ht="15" hidden="false" customHeight="true" outlineLevel="0" collapsed="false">
      <c r="A318" s="72" t="n">
        <v>5972</v>
      </c>
      <c r="B318" s="85" t="n">
        <v>46198</v>
      </c>
      <c r="C318" s="86" t="s">
        <v>393</v>
      </c>
      <c r="D318" s="87" t="n">
        <v>50232</v>
      </c>
      <c r="E318" s="46" t="str">
        <f aca="false">IF(D318&lt;&gt;"",IFERROR(VLOOKUP(D318,PROVEEDORES!$A:$B,2,0),"!COD NO ENCONTRADO"),"")</f>
        <v>XESTION NOVA LONXA RIVEIRA S.L.</v>
      </c>
      <c r="F318" s="88" t="str">
        <f aca="false">IF(D318&lt;&gt;"",IFERROR(VLOOKUP(D318,PROVEEDORES!$A:$C,3,0),""),"")</f>
        <v>S</v>
      </c>
      <c r="G318" s="87" t="s">
        <v>296</v>
      </c>
      <c r="H318" s="46" t="str">
        <f aca="false">IF(G318&lt;&gt;"",IFERROR(VLOOKUP(G318,PRODUCTOS!$A:$B,2,0),"!COD NO ENCONTRADO"),"")</f>
        <v>RAPE NEGRO (ANK)</v>
      </c>
      <c r="I318" s="89" t="n">
        <v>2</v>
      </c>
      <c r="J318" s="90" t="n">
        <v>8.5</v>
      </c>
      <c r="K318" s="91" t="n">
        <v>4.5</v>
      </c>
      <c r="L318" s="80" t="n">
        <f aca="false">IF(AND(J318&lt;&gt;"",K318&lt;&gt;""),J318*K318,"")</f>
        <v>38.25</v>
      </c>
      <c r="M318" s="81" t="n">
        <f aca="false">IF(L318&lt;&gt;"",L318*1.1,"")</f>
        <v>42.075</v>
      </c>
      <c r="N318" s="47" t="n">
        <f aca="false">IF(F318="S",L318*0.02,0)</f>
        <v>0.765</v>
      </c>
      <c r="O318" s="82" t="n">
        <f aca="false">IF(L318&lt;&gt;"",L318+N318,"")</f>
        <v>39.015</v>
      </c>
      <c r="P318" s="47" t="n">
        <f aca="false">IF(O318&lt;&gt;"",O318*0.1,"")</f>
        <v>3.9015</v>
      </c>
      <c r="Q318" s="83" t="n">
        <f aca="false">IF(O318&lt;&gt;"",O318+P318,"")</f>
        <v>42.9165</v>
      </c>
      <c r="R318" s="84"/>
    </row>
    <row r="319" customFormat="false" ht="15" hidden="false" customHeight="true" outlineLevel="0" collapsed="false">
      <c r="A319" s="72" t="n">
        <v>5972</v>
      </c>
      <c r="B319" s="73" t="n">
        <v>46198</v>
      </c>
      <c r="C319" s="74" t="s">
        <v>393</v>
      </c>
      <c r="D319" s="75" t="n">
        <v>50232</v>
      </c>
      <c r="E319" s="52" t="str">
        <f aca="false">IF(D319&lt;&gt;"",IFERROR(VLOOKUP(D319,PROVEEDORES!$A:$B,2,0),"!COD NO ENCONTRADO"),"")</f>
        <v>XESTION NOVA LONXA RIVEIRA S.L.</v>
      </c>
      <c r="F319" s="76" t="str">
        <f aca="false">IF(D319&lt;&gt;"",IFERROR(VLOOKUP(D319,PROVEEDORES!$A:$C,3,0),""),"")</f>
        <v>S</v>
      </c>
      <c r="G319" s="75" t="s">
        <v>296</v>
      </c>
      <c r="H319" s="52" t="str">
        <f aca="false">IF(G319&lt;&gt;"",IFERROR(VLOOKUP(G319,PRODUCTOS!$A:$B,2,0),"!COD NO ENCONTRADO"),"")</f>
        <v>RAPE NEGRO (ANK)</v>
      </c>
      <c r="I319" s="77" t="n">
        <v>6</v>
      </c>
      <c r="J319" s="78" t="n">
        <f aca="false">29.5-8.5</f>
        <v>21</v>
      </c>
      <c r="K319" s="79" t="n">
        <v>6</v>
      </c>
      <c r="L319" s="80" t="n">
        <f aca="false">IF(AND(J319&lt;&gt;"",K319&lt;&gt;""),J319*K319,"")</f>
        <v>126</v>
      </c>
      <c r="M319" s="81" t="n">
        <f aca="false">IF(L319&lt;&gt;"",L319*1.1,"")</f>
        <v>138.6</v>
      </c>
      <c r="N319" s="53" t="n">
        <f aca="false">IF(F319="S",L319*0.02,0)</f>
        <v>2.52</v>
      </c>
      <c r="O319" s="82" t="n">
        <f aca="false">IF(L319&lt;&gt;"",L319+N319,"")</f>
        <v>128.52</v>
      </c>
      <c r="P319" s="53" t="n">
        <f aca="false">IF(O319&lt;&gt;"",O319*0.1,"")</f>
        <v>12.852</v>
      </c>
      <c r="Q319" s="83" t="n">
        <f aca="false">IF(O319&lt;&gt;"",O319+P319,"")</f>
        <v>141.372</v>
      </c>
      <c r="R319" s="84"/>
    </row>
    <row r="320" customFormat="false" ht="15" hidden="false" customHeight="true" outlineLevel="0" collapsed="false">
      <c r="A320" s="72" t="n">
        <v>5972</v>
      </c>
      <c r="B320" s="85" t="n">
        <v>46198</v>
      </c>
      <c r="C320" s="86" t="s">
        <v>393</v>
      </c>
      <c r="D320" s="87" t="n">
        <v>50232</v>
      </c>
      <c r="E320" s="46" t="str">
        <f aca="false">IF(D320&lt;&gt;"",IFERROR(VLOOKUP(D320,PROVEEDORES!$A:$B,2,0),"!COD NO ENCONTRADO"),"")</f>
        <v>XESTION NOVA LONXA RIVEIRA S.L.</v>
      </c>
      <c r="F320" s="88" t="str">
        <f aca="false">IF(D320&lt;&gt;"",IFERROR(VLOOKUP(D320,PROVEEDORES!$A:$C,3,0),""),"")</f>
        <v>S</v>
      </c>
      <c r="G320" s="87" t="s">
        <v>151</v>
      </c>
      <c r="H320" s="46" t="str">
        <f aca="false">IF(G320&lt;&gt;"",IFERROR(VLOOKUP(G320,PRODUCTOS!$A:$B,2,0),"!COD NO ENCONTRADO"),"")</f>
        <v>ESCACHO/ ARETE/ RUBIO (GUR)</v>
      </c>
      <c r="I320" s="89" t="n">
        <v>3</v>
      </c>
      <c r="J320" s="90" t="n">
        <v>20.75</v>
      </c>
      <c r="K320" s="91" t="n">
        <v>1.5</v>
      </c>
      <c r="L320" s="80" t="n">
        <f aca="false">IF(AND(J320&lt;&gt;"",K320&lt;&gt;""),J320*K320,"")</f>
        <v>31.125</v>
      </c>
      <c r="M320" s="81" t="n">
        <f aca="false">IF(L320&lt;&gt;"",L320*1.1,"")</f>
        <v>34.2375</v>
      </c>
      <c r="N320" s="47" t="n">
        <f aca="false">IF(F320="S",L320*0.02,0)</f>
        <v>0.6225</v>
      </c>
      <c r="O320" s="82" t="n">
        <f aca="false">IF(L320&lt;&gt;"",L320+N320,"")</f>
        <v>31.7475</v>
      </c>
      <c r="P320" s="47" t="n">
        <f aca="false">IF(O320&lt;&gt;"",O320*0.1,"")</f>
        <v>3.17475</v>
      </c>
      <c r="Q320" s="83" t="n">
        <f aca="false">IF(O320&lt;&gt;"",O320+P320,"")</f>
        <v>34.92225</v>
      </c>
      <c r="R320" s="84"/>
    </row>
    <row r="321" customFormat="false" ht="15" hidden="false" customHeight="true" outlineLevel="0" collapsed="false">
      <c r="A321" s="72" t="n">
        <v>5972</v>
      </c>
      <c r="B321" s="73" t="n">
        <v>46198</v>
      </c>
      <c r="C321" s="74" t="s">
        <v>393</v>
      </c>
      <c r="D321" s="75" t="n">
        <v>50232</v>
      </c>
      <c r="E321" s="52" t="str">
        <f aca="false">IF(D321&lt;&gt;"",IFERROR(VLOOKUP(D321,PROVEEDORES!$A:$B,2,0),"!COD NO ENCONTRADO"),"")</f>
        <v>XESTION NOVA LONXA RIVEIRA S.L.</v>
      </c>
      <c r="F321" s="76" t="str">
        <f aca="false">IF(D321&lt;&gt;"",IFERROR(VLOOKUP(D321,PROVEEDORES!$A:$C,3,0),""),"")</f>
        <v>S</v>
      </c>
      <c r="G321" s="75" t="s">
        <v>326</v>
      </c>
      <c r="H321" s="52" t="str">
        <f aca="false">IF(G321&lt;&gt;"",IFERROR(VLOOKUP(G321,PRODUCTOS!$A:$B,2,0),"!COD NO ENCONTRADO"),"")</f>
        <v>SARGO RIA (SWA)</v>
      </c>
      <c r="I321" s="77" t="n">
        <v>14</v>
      </c>
      <c r="J321" s="78" t="n">
        <f aca="false">122.9-7.3-7.6-8.3-7.5</f>
        <v>92.2</v>
      </c>
      <c r="K321" s="79" t="n">
        <v>12</v>
      </c>
      <c r="L321" s="80" t="n">
        <f aca="false">IF(AND(J321&lt;&gt;"",K321&lt;&gt;""),J321*K321,"")</f>
        <v>1106.4</v>
      </c>
      <c r="M321" s="81" t="n">
        <f aca="false">IF(L321&lt;&gt;"",L321*1.1,"")</f>
        <v>1217.04</v>
      </c>
      <c r="N321" s="53" t="n">
        <f aca="false">IF(F321="S",L321*0.02,0)</f>
        <v>22.128</v>
      </c>
      <c r="O321" s="82" t="n">
        <f aca="false">IF(L321&lt;&gt;"",L321+N321,"")</f>
        <v>1128.528</v>
      </c>
      <c r="P321" s="53" t="n">
        <f aca="false">IF(O321&lt;&gt;"",O321*0.1,"")</f>
        <v>112.8528</v>
      </c>
      <c r="Q321" s="83" t="n">
        <f aca="false">IF(O321&lt;&gt;"",O321+P321,"")</f>
        <v>1241.3808</v>
      </c>
      <c r="R321" s="84"/>
    </row>
    <row r="322" customFormat="false" ht="15" hidden="false" customHeight="true" outlineLevel="0" collapsed="false">
      <c r="A322" s="72" t="n">
        <v>5972</v>
      </c>
      <c r="B322" s="85" t="n">
        <v>46198</v>
      </c>
      <c r="C322" s="86" t="s">
        <v>393</v>
      </c>
      <c r="D322" s="87" t="n">
        <v>50232</v>
      </c>
      <c r="E322" s="46" t="str">
        <f aca="false">IF(D322&lt;&gt;"",IFERROR(VLOOKUP(D322,PROVEEDORES!$A:$B,2,0),"!COD NO ENCONTRADO"),"")</f>
        <v>XESTION NOVA LONXA RIVEIRA S.L.</v>
      </c>
      <c r="F322" s="88" t="str">
        <f aca="false">IF(D322&lt;&gt;"",IFERROR(VLOOKUP(D322,PROVEEDORES!$A:$C,3,0),""),"")</f>
        <v>S</v>
      </c>
      <c r="G322" s="87" t="s">
        <v>326</v>
      </c>
      <c r="H322" s="46" t="str">
        <f aca="false">IF(G322&lt;&gt;"",IFERROR(VLOOKUP(G322,PRODUCTOS!$A:$B,2,0),"!COD NO ENCONTRADO"),"")</f>
        <v>SARGO RIA (SWA)</v>
      </c>
      <c r="I322" s="89" t="n">
        <v>4</v>
      </c>
      <c r="J322" s="90" t="n">
        <f aca="false">7.5+8.3+7.6+7.3</f>
        <v>30.7</v>
      </c>
      <c r="K322" s="91" t="n">
        <v>12.7</v>
      </c>
      <c r="L322" s="80" t="n">
        <f aca="false">IF(AND(J322&lt;&gt;"",K322&lt;&gt;""),J322*K322,"")</f>
        <v>389.89</v>
      </c>
      <c r="M322" s="81" t="n">
        <f aca="false">IF(L322&lt;&gt;"",L322*1.1,"")</f>
        <v>428.879</v>
      </c>
      <c r="N322" s="47" t="n">
        <f aca="false">IF(F322="S",L322*0.02,0)</f>
        <v>7.7978</v>
      </c>
      <c r="O322" s="82" t="n">
        <f aca="false">IF(L322&lt;&gt;"",L322+N322,"")</f>
        <v>397.6878</v>
      </c>
      <c r="P322" s="47" t="n">
        <f aca="false">IF(O322&lt;&gt;"",O322*0.1,"")</f>
        <v>39.76878</v>
      </c>
      <c r="Q322" s="83" t="n">
        <f aca="false">IF(O322&lt;&gt;"",O322+P322,"")</f>
        <v>437.45658</v>
      </c>
      <c r="R322" s="84"/>
    </row>
    <row r="323" customFormat="false" ht="15" hidden="false" customHeight="true" outlineLevel="0" collapsed="false">
      <c r="A323" s="72" t="n">
        <v>5972</v>
      </c>
      <c r="B323" s="73" t="n">
        <v>46198</v>
      </c>
      <c r="C323" s="74" t="s">
        <v>393</v>
      </c>
      <c r="D323" s="75" t="n">
        <v>50232</v>
      </c>
      <c r="E323" s="52" t="str">
        <f aca="false">IF(D323&lt;&gt;"",IFERROR(VLOOKUP(D323,PROVEEDORES!$A:$B,2,0),"!COD NO ENCONTRADO"),"")</f>
        <v>XESTION NOVA LONXA RIVEIRA S.L.</v>
      </c>
      <c r="F323" s="76" t="str">
        <f aca="false">IF(D323&lt;&gt;"",IFERROR(VLOOKUP(D323,PROVEEDORES!$A:$C,3,0),""),"")</f>
        <v>S</v>
      </c>
      <c r="G323" s="75" t="s">
        <v>288</v>
      </c>
      <c r="H323" s="52" t="str">
        <f aca="false">IF(G323&lt;&gt;"",IFERROR(VLOOKUP(G323,PRODUCTOS!$A:$B,2,0),"!COD NO ENCONTRADO"),"")</f>
        <v>RAPE BLANCO DIA (MON)</v>
      </c>
      <c r="I323" s="77" t="n">
        <v>2</v>
      </c>
      <c r="J323" s="78" t="n">
        <v>8.25</v>
      </c>
      <c r="K323" s="79" t="n">
        <v>4.5</v>
      </c>
      <c r="L323" s="80" t="n">
        <f aca="false">IF(AND(J323&lt;&gt;"",K323&lt;&gt;""),J323*K323,"")</f>
        <v>37.125</v>
      </c>
      <c r="M323" s="81" t="n">
        <f aca="false">IF(L323&lt;&gt;"",L323*1.1,"")</f>
        <v>40.8375</v>
      </c>
      <c r="N323" s="53" t="n">
        <f aca="false">IF(F323="S",L323*0.02,0)</f>
        <v>0.7425</v>
      </c>
      <c r="O323" s="82" t="n">
        <f aca="false">IF(L323&lt;&gt;"",L323+N323,"")</f>
        <v>37.8675</v>
      </c>
      <c r="P323" s="53" t="n">
        <f aca="false">IF(O323&lt;&gt;"",O323*0.1,"")</f>
        <v>3.78675</v>
      </c>
      <c r="Q323" s="83" t="n">
        <f aca="false">IF(O323&lt;&gt;"",O323+P323,"")</f>
        <v>41.65425</v>
      </c>
      <c r="R323" s="84"/>
    </row>
    <row r="324" customFormat="false" ht="15" hidden="false" customHeight="true" outlineLevel="0" collapsed="false">
      <c r="A324" s="72" t="n">
        <v>5972</v>
      </c>
      <c r="B324" s="85" t="n">
        <v>46198</v>
      </c>
      <c r="C324" s="86" t="s">
        <v>393</v>
      </c>
      <c r="D324" s="87" t="n">
        <v>50232</v>
      </c>
      <c r="E324" s="46" t="str">
        <f aca="false">IF(D324&lt;&gt;"",IFERROR(VLOOKUP(D324,PROVEEDORES!$A:$B,2,0),"!COD NO ENCONTRADO"),"")</f>
        <v>XESTION NOVA LONXA RIVEIRA S.L.</v>
      </c>
      <c r="F324" s="88" t="str">
        <f aca="false">IF(D324&lt;&gt;"",IFERROR(VLOOKUP(D324,PROVEEDORES!$A:$C,3,0),""),"")</f>
        <v>S</v>
      </c>
      <c r="G324" s="87" t="s">
        <v>302</v>
      </c>
      <c r="H324" s="46" t="str">
        <f aca="false">IF(G324&lt;&gt;"",IFERROR(VLOOKUP(G324,PRODUCTOS!$A:$B,2,0),"!COD NO ENCONTRADO"),"")</f>
        <v>RAYA COMUN (ALAS)</v>
      </c>
      <c r="I324" s="89" t="n">
        <v>2</v>
      </c>
      <c r="J324" s="90" t="n">
        <v>8.071</v>
      </c>
      <c r="K324" s="91" t="n">
        <v>1</v>
      </c>
      <c r="L324" s="80" t="n">
        <f aca="false">IF(AND(J324&lt;&gt;"",K324&lt;&gt;""),J324*K324,"")</f>
        <v>8.071</v>
      </c>
      <c r="M324" s="81" t="n">
        <f aca="false">IF(L324&lt;&gt;"",L324*1.1,"")</f>
        <v>8.8781</v>
      </c>
      <c r="N324" s="47" t="n">
        <f aca="false">IF(F324="S",L324*0.02,0)</f>
        <v>0.16142</v>
      </c>
      <c r="O324" s="82" t="n">
        <f aca="false">IF(L324&lt;&gt;"",L324+N324,"")</f>
        <v>8.23242</v>
      </c>
      <c r="P324" s="47" t="n">
        <f aca="false">IF(O324&lt;&gt;"",O324*0.1,"")</f>
        <v>0.823242</v>
      </c>
      <c r="Q324" s="83" t="n">
        <f aca="false">IF(O324&lt;&gt;"",O324+P324,"")</f>
        <v>9.055662</v>
      </c>
      <c r="R324" s="84"/>
    </row>
    <row r="325" customFormat="false" ht="15" hidden="false" customHeight="true" outlineLevel="0" collapsed="false">
      <c r="A325" s="72" t="n">
        <v>5972</v>
      </c>
      <c r="B325" s="73" t="n">
        <v>46198</v>
      </c>
      <c r="C325" s="74" t="s">
        <v>393</v>
      </c>
      <c r="D325" s="75" t="n">
        <v>50232</v>
      </c>
      <c r="E325" s="52" t="str">
        <f aca="false">IF(D325&lt;&gt;"",IFERROR(VLOOKUP(D325,PROVEEDORES!$A:$B,2,0),"!COD NO ENCONTRADO"),"")</f>
        <v>XESTION NOVA LONXA RIVEIRA S.L.</v>
      </c>
      <c r="F325" s="76" t="str">
        <f aca="false">IF(D325&lt;&gt;"",IFERROR(VLOOKUP(D325,PROVEEDORES!$A:$C,3,0),""),"")</f>
        <v>S</v>
      </c>
      <c r="G325" s="75" t="s">
        <v>302</v>
      </c>
      <c r="H325" s="52" t="str">
        <f aca="false">IF(G325&lt;&gt;"",IFERROR(VLOOKUP(G325,PRODUCTOS!$A:$B,2,0),"!COD NO ENCONTRADO"),"")</f>
        <v>RAYA COMUN (ALAS)</v>
      </c>
      <c r="I325" s="77" t="n">
        <v>4</v>
      </c>
      <c r="J325" s="78" t="n">
        <v>19</v>
      </c>
      <c r="K325" s="79" t="n">
        <v>1</v>
      </c>
      <c r="L325" s="80" t="n">
        <f aca="false">IF(AND(J325&lt;&gt;"",K325&lt;&gt;""),J325*K325,"")</f>
        <v>19</v>
      </c>
      <c r="M325" s="81" t="n">
        <f aca="false">IF(L325&lt;&gt;"",L325*1.1,"")</f>
        <v>20.9</v>
      </c>
      <c r="N325" s="53" t="n">
        <f aca="false">IF(F325="S",L325*0.02,0)</f>
        <v>0.38</v>
      </c>
      <c r="O325" s="82" t="n">
        <f aca="false">IF(L325&lt;&gt;"",L325+N325,"")</f>
        <v>19.38</v>
      </c>
      <c r="P325" s="53" t="n">
        <f aca="false">IF(O325&lt;&gt;"",O325*0.1,"")</f>
        <v>1.938</v>
      </c>
      <c r="Q325" s="83" t="n">
        <f aca="false">IF(O325&lt;&gt;"",O325+P325,"")</f>
        <v>21.318</v>
      </c>
      <c r="R325" s="84"/>
    </row>
    <row r="326" customFormat="false" ht="15" hidden="false" customHeight="true" outlineLevel="0" collapsed="false">
      <c r="A326" s="72" t="n">
        <v>5972</v>
      </c>
      <c r="B326" s="85" t="n">
        <v>46198</v>
      </c>
      <c r="C326" s="86" t="s">
        <v>393</v>
      </c>
      <c r="D326" s="87" t="n">
        <v>50232</v>
      </c>
      <c r="E326" s="46" t="str">
        <f aca="false">IF(D326&lt;&gt;"",IFERROR(VLOOKUP(D326,PROVEEDORES!$A:$B,2,0),"!COD NO ENCONTRADO"),"")</f>
        <v>XESTION NOVA LONXA RIVEIRA S.L.</v>
      </c>
      <c r="F326" s="88" t="str">
        <f aca="false">IF(D326&lt;&gt;"",IFERROR(VLOOKUP(D326,PROVEEDORES!$A:$C,3,0),""),"")</f>
        <v>S</v>
      </c>
      <c r="G326" s="87" t="s">
        <v>155</v>
      </c>
      <c r="H326" s="46" t="str">
        <f aca="false">IF(G326&lt;&gt;"",IFERROR(VLOOKUP(G326,PRODUCTOS!$A:$B,2,0),"!COD NO ENCONTRADO"),"")</f>
        <v>FANECA (BIB)</v>
      </c>
      <c r="I326" s="89" t="n">
        <v>2</v>
      </c>
      <c r="J326" s="90" t="n">
        <v>0</v>
      </c>
      <c r="K326" s="91" t="n">
        <v>0</v>
      </c>
      <c r="L326" s="80" t="n">
        <f aca="false">IF(AND(J326&lt;&gt;"",K326&lt;&gt;""),J326*K326,"")</f>
        <v>0</v>
      </c>
      <c r="M326" s="81" t="n">
        <f aca="false">IF(L326&lt;&gt;"",L326*1.1,"")</f>
        <v>0</v>
      </c>
      <c r="N326" s="47" t="n">
        <f aca="false">IF(F326="S",L326*0.02,0)</f>
        <v>0</v>
      </c>
      <c r="O326" s="82" t="n">
        <f aca="false">IF(L326&lt;&gt;"",L326+N326,"")</f>
        <v>0</v>
      </c>
      <c r="P326" s="47" t="n">
        <f aca="false">IF(O326&lt;&gt;"",O326*0.1,"")</f>
        <v>0</v>
      </c>
      <c r="Q326" s="83" t="n">
        <f aca="false">IF(O326&lt;&gt;"",O326+P326,"")</f>
        <v>0</v>
      </c>
      <c r="R326" s="84"/>
    </row>
    <row r="327" customFormat="false" ht="15" hidden="false" customHeight="true" outlineLevel="0" collapsed="false">
      <c r="A327" s="103" t="n">
        <v>5972</v>
      </c>
      <c r="B327" s="73" t="n">
        <v>46198</v>
      </c>
      <c r="C327" s="74" t="s">
        <v>393</v>
      </c>
      <c r="D327" s="75" t="n">
        <v>50232</v>
      </c>
      <c r="E327" s="52" t="str">
        <f aca="false">IF(D327&lt;&gt;"",IFERROR(VLOOKUP(D327,PROVEEDORES!$A:$B,2,0),"!COD NO ENCONTRADO"),"")</f>
        <v>XESTION NOVA LONXA RIVEIRA S.L.</v>
      </c>
      <c r="F327" s="76" t="str">
        <f aca="false">IF(D327&lt;&gt;"",IFERROR(VLOOKUP(D327,PROVEEDORES!$A:$C,3,0),""),"")</f>
        <v>S</v>
      </c>
      <c r="G327" s="75" t="s">
        <v>179</v>
      </c>
      <c r="H327" s="52" t="str">
        <f aca="false">IF(G327&lt;&gt;"",IFERROR(VLOOKUP(G327,PRODUCTOS!$A:$B,2,0),"!COD NO ENCONTRADO"),"")</f>
        <v>LIRIO/ BACALADILLA/ PERLA (WHB)</v>
      </c>
      <c r="I327" s="77" t="n">
        <v>60</v>
      </c>
      <c r="J327" s="78" t="n">
        <v>183</v>
      </c>
      <c r="K327" s="79" t="n">
        <v>1.34</v>
      </c>
      <c r="L327" s="80" t="n">
        <f aca="false">IF(AND(J327&lt;&gt;"",K327&lt;&gt;""),J327*K327,"")</f>
        <v>245.22</v>
      </c>
      <c r="M327" s="81" t="n">
        <f aca="false">IF(L327&lt;&gt;"",L327*1.1,"")</f>
        <v>269.742</v>
      </c>
      <c r="N327" s="53" t="n">
        <f aca="false">IF(F327="S",L327*0.02,0)</f>
        <v>4.9044</v>
      </c>
      <c r="O327" s="82" t="n">
        <f aca="false">IF(L327&lt;&gt;"",L327+N327,"")</f>
        <v>250.1244</v>
      </c>
      <c r="P327" s="53" t="n">
        <f aca="false">IF(O327&lt;&gt;"",O327*0.1,"")</f>
        <v>25.01244</v>
      </c>
      <c r="Q327" s="83" t="n">
        <f aca="false">IF(O327&lt;&gt;"",O327+P327,"")</f>
        <v>275.13684</v>
      </c>
      <c r="R327" s="84"/>
    </row>
    <row r="328" customFormat="false" ht="15" hidden="false" customHeight="true" outlineLevel="0" collapsed="false">
      <c r="A328" s="72" t="n">
        <v>5973</v>
      </c>
      <c r="B328" s="73" t="n">
        <v>46198</v>
      </c>
      <c r="C328" s="74" t="s">
        <v>394</v>
      </c>
      <c r="D328" s="75" t="n">
        <v>50152</v>
      </c>
      <c r="E328" s="52" t="str">
        <f aca="false">IF(D328&lt;&gt;"",IFERROR(VLOOKUP(D328,PROVEEDORES!$A:$B,2,0),"!COD NO ENCONTRADO"),"")</f>
        <v>DOMAR CORUÑA S.L</v>
      </c>
      <c r="F328" s="76" t="str">
        <f aca="false">IF(D328&lt;&gt;"",IFERROR(VLOOKUP(D328,PROVEEDORES!$A:$C,3,0),""),"")</f>
        <v>N</v>
      </c>
      <c r="G328" s="75" t="s">
        <v>125</v>
      </c>
      <c r="H328" s="52" t="str">
        <f aca="false">IF(G328&lt;&gt;"",IFERROR(VLOOKUP(G328,PRODUCTOS!$A:$B,2,0),"!COD NO ENCONTRADO"),"")</f>
        <v>CIGALA "3P" (NEP)</v>
      </c>
      <c r="I328" s="77" t="n">
        <v>2</v>
      </c>
      <c r="J328" s="78" t="n">
        <v>4</v>
      </c>
      <c r="K328" s="79" t="n">
        <v>17.5</v>
      </c>
      <c r="L328" s="80" t="n">
        <f aca="false">IF(AND(J328&lt;&gt;"",K328&lt;&gt;""),J328*K328,"")</f>
        <v>70</v>
      </c>
      <c r="M328" s="81" t="n">
        <f aca="false">IF(L328&lt;&gt;"",L328*1.1,"")</f>
        <v>77</v>
      </c>
      <c r="N328" s="53" t="n">
        <f aca="false">IF(F328="S",L328*0.02,0)</f>
        <v>0</v>
      </c>
      <c r="O328" s="82" t="n">
        <f aca="false">IF(L328&lt;&gt;"",L328+N328,"")</f>
        <v>70</v>
      </c>
      <c r="P328" s="53" t="n">
        <f aca="false">IF(O328&lt;&gt;"",O328*0.1,"")</f>
        <v>7</v>
      </c>
      <c r="Q328" s="83" t="n">
        <f aca="false">IF(O328&lt;&gt;"",O328+P328,"")</f>
        <v>77</v>
      </c>
      <c r="R328" s="84"/>
    </row>
    <row r="329" customFormat="false" ht="15" hidden="false" customHeight="true" outlineLevel="0" collapsed="false">
      <c r="A329" s="72" t="n">
        <v>5974</v>
      </c>
      <c r="B329" s="85" t="n">
        <v>46198</v>
      </c>
      <c r="C329" s="86"/>
      <c r="D329" s="87" t="n">
        <v>50001</v>
      </c>
      <c r="E329" s="46" t="str">
        <f aca="false">IF(D329&lt;&gt;"",IFERROR(VLOOKUP(D329,PROVEEDORES!$A:$B,2,0),"!COD NO ENCONTRADO"),"")</f>
        <v>COPESA</v>
      </c>
      <c r="F329" s="88" t="str">
        <f aca="false">IF(D329&lt;&gt;"",IFERROR(VLOOKUP(D329,PROVEEDORES!$A:$C,3,0),""),"")</f>
        <v>S</v>
      </c>
      <c r="G329" s="87" t="s">
        <v>53</v>
      </c>
      <c r="H329" s="46" t="str">
        <f aca="false">IF(G329&lt;&gt;"",IFERROR(VLOOKUP(G329,PRODUCTOS!$A:$B,2,0),"!COD NO ENCONTRADO"),"")</f>
        <v>CABRAS PÑA</v>
      </c>
      <c r="I329" s="89" t="n">
        <v>1</v>
      </c>
      <c r="J329" s="90" t="n">
        <v>11</v>
      </c>
      <c r="K329" s="91" t="n">
        <v>0.3</v>
      </c>
      <c r="L329" s="80" t="n">
        <f aca="false">IF(AND(J329&lt;&gt;"",K329&lt;&gt;""),J329*K329,"")</f>
        <v>3.3</v>
      </c>
      <c r="M329" s="81" t="n">
        <f aca="false">IF(L329&lt;&gt;"",L329*1.1,"")</f>
        <v>3.63</v>
      </c>
      <c r="N329" s="47" t="n">
        <f aca="false">IF(F329="S",L329*0.02,0)</f>
        <v>0.066</v>
      </c>
      <c r="O329" s="82" t="n">
        <f aca="false">IF(L329&lt;&gt;"",L329+N329,"")</f>
        <v>3.366</v>
      </c>
      <c r="P329" s="47" t="n">
        <f aca="false">IF(O329&lt;&gt;"",O329*0.1,"")</f>
        <v>0.3366</v>
      </c>
      <c r="Q329" s="83" t="n">
        <f aca="false">IF(O329&lt;&gt;"",O329+P329,"")</f>
        <v>3.7026</v>
      </c>
      <c r="R329" s="84"/>
    </row>
    <row r="330" customFormat="false" ht="15" hidden="false" customHeight="true" outlineLevel="0" collapsed="false">
      <c r="A330" s="103" t="n">
        <v>55879</v>
      </c>
      <c r="B330" s="85" t="n">
        <v>46199</v>
      </c>
      <c r="C330" s="86" t="n">
        <v>32358</v>
      </c>
      <c r="D330" s="87" t="n">
        <v>50106</v>
      </c>
      <c r="E330" s="46" t="str">
        <f aca="false">IF(D330&lt;&gt;"",IFERROR(VLOOKUP(D330,PROVEEDORES!$A:$B,2,0),"!COD NO ENCONTRADO"),"")</f>
        <v>SONIA VENTAS S.L</v>
      </c>
      <c r="F330" s="88" t="str">
        <f aca="false">IF(D330&lt;&gt;"",IFERROR(VLOOKUP(D330,PROVEEDORES!$A:$C,3,0),""),"")</f>
        <v>S</v>
      </c>
      <c r="G330" s="87" t="s">
        <v>216</v>
      </c>
      <c r="H330" s="46" t="str">
        <f aca="false">IF(G330&lt;&gt;"",IFERROR(VLOOKUP(G330,PRODUCTOS!$A:$B,2,0),"!COD NO ENCONTRADO"),"")</f>
        <v>MERLUZA EUROPEA PINCHO COSTA</v>
      </c>
      <c r="I330" s="89" t="n">
        <v>1</v>
      </c>
      <c r="J330" s="90" t="n">
        <v>9.6</v>
      </c>
      <c r="K330" s="91" t="n">
        <v>10.5</v>
      </c>
      <c r="L330" s="80" t="n">
        <f aca="false">IF(AND(J330&lt;&gt;"",K330&lt;&gt;""),J330*K330,"")</f>
        <v>100.8</v>
      </c>
      <c r="M330" s="81" t="n">
        <f aca="false">IF(L330&lt;&gt;"",L330*1.1,"")</f>
        <v>110.88</v>
      </c>
      <c r="N330" s="47" t="n">
        <f aca="false">IF(F330="S",L330*0.02,0)</f>
        <v>2.016</v>
      </c>
      <c r="O330" s="82" t="n">
        <f aca="false">IF(L330&lt;&gt;"",L330+N330,"")</f>
        <v>102.816</v>
      </c>
      <c r="P330" s="47" t="n">
        <f aca="false">IF(O330&lt;&gt;"",O330*0.1,"")</f>
        <v>10.2816</v>
      </c>
      <c r="Q330" s="83" t="n">
        <f aca="false">IF(O330&lt;&gt;"",O330+P330,"")</f>
        <v>113.0976</v>
      </c>
      <c r="R330" s="84"/>
    </row>
    <row r="331" customFormat="false" ht="15" hidden="false" customHeight="true" outlineLevel="0" collapsed="false">
      <c r="A331" s="103" t="n">
        <v>55881</v>
      </c>
      <c r="B331" s="85" t="n">
        <v>46199</v>
      </c>
      <c r="C331" s="86" t="n">
        <v>17557</v>
      </c>
      <c r="D331" s="87" t="n">
        <v>50163</v>
      </c>
      <c r="E331" s="46" t="str">
        <f aca="false">IF(D331&lt;&gt;"",IFERROR(VLOOKUP(D331,PROVEEDORES!$A:$B,2,0),"!COD NO ENCONTRADO"),"")</f>
        <v>SUBASTAS RIVERA S.L.</v>
      </c>
      <c r="F331" s="88" t="str">
        <f aca="false">IF(D331&lt;&gt;"",IFERROR(VLOOKUP(D331,PROVEEDORES!$A:$C,3,0),""),"")</f>
        <v>S</v>
      </c>
      <c r="G331" s="87" t="s">
        <v>216</v>
      </c>
      <c r="H331" s="46" t="str">
        <f aca="false">IF(G331&lt;&gt;"",IFERROR(VLOOKUP(G331,PRODUCTOS!$A:$B,2,0),"!COD NO ENCONTRADO"),"")</f>
        <v>MERLUZA EUROPEA PINCHO COSTA</v>
      </c>
      <c r="I331" s="89" t="n">
        <v>4</v>
      </c>
      <c r="J331" s="90" t="n">
        <f aca="false">12.6+10.1+5.2+5.3</f>
        <v>33.2</v>
      </c>
      <c r="K331" s="91" t="n">
        <v>12.9</v>
      </c>
      <c r="L331" s="80" t="n">
        <f aca="false">IF(AND(J331&lt;&gt;"",K331&lt;&gt;""),J331*K331,"")</f>
        <v>428.28</v>
      </c>
      <c r="M331" s="81" t="n">
        <f aca="false">IF(L331&lt;&gt;"",L331*1.1,"")</f>
        <v>471.108</v>
      </c>
      <c r="N331" s="47" t="n">
        <f aca="false">IF(F331="S",L331*0.02,0)</f>
        <v>8.5656</v>
      </c>
      <c r="O331" s="82" t="n">
        <f aca="false">IF(L331&lt;&gt;"",L331+N331,"")</f>
        <v>436.8456</v>
      </c>
      <c r="P331" s="47" t="n">
        <f aca="false">IF(O331&lt;&gt;"",O331*0.1,"")</f>
        <v>43.68456</v>
      </c>
      <c r="Q331" s="83" t="n">
        <f aca="false">IF(O331&lt;&gt;"",O331+P331,"")</f>
        <v>480.53016</v>
      </c>
      <c r="R331" s="84"/>
    </row>
    <row r="332" customFormat="false" ht="15" hidden="false" customHeight="true" outlineLevel="0" collapsed="false">
      <c r="A332" s="103" t="n">
        <v>55881</v>
      </c>
      <c r="B332" s="73" t="n">
        <v>46199</v>
      </c>
      <c r="C332" s="74" t="n">
        <v>17557</v>
      </c>
      <c r="D332" s="75" t="n">
        <v>50163</v>
      </c>
      <c r="E332" s="52" t="str">
        <f aca="false">IF(D332&lt;&gt;"",IFERROR(VLOOKUP(D332,PROVEEDORES!$A:$B,2,0),"!COD NO ENCONTRADO"),"")</f>
        <v>SUBASTAS RIVERA S.L.</v>
      </c>
      <c r="F332" s="76" t="str">
        <f aca="false">IF(D332&lt;&gt;"",IFERROR(VLOOKUP(D332,PROVEEDORES!$A:$C,3,0),""),"")</f>
        <v>S</v>
      </c>
      <c r="G332" s="75" t="s">
        <v>216</v>
      </c>
      <c r="H332" s="52" t="str">
        <f aca="false">IF(G332&lt;&gt;"",IFERROR(VLOOKUP(G332,PRODUCTOS!$A:$B,2,0),"!COD NO ENCONTRADO"),"")</f>
        <v>MERLUZA EUROPEA PINCHO COSTA</v>
      </c>
      <c r="I332" s="77" t="n">
        <v>2</v>
      </c>
      <c r="J332" s="78" t="n">
        <v>10.1</v>
      </c>
      <c r="K332" s="79" t="n">
        <v>11.2</v>
      </c>
      <c r="L332" s="80" t="n">
        <f aca="false">IF(AND(J332&lt;&gt;"",K332&lt;&gt;""),J332*K332,"")</f>
        <v>113.12</v>
      </c>
      <c r="M332" s="81" t="n">
        <f aca="false">IF(L332&lt;&gt;"",L332*1.1,"")</f>
        <v>124.432</v>
      </c>
      <c r="N332" s="53" t="n">
        <f aca="false">IF(F332="S",L332*0.02,0)</f>
        <v>2.2624</v>
      </c>
      <c r="O332" s="82" t="n">
        <f aca="false">IF(L332&lt;&gt;"",L332+N332,"")</f>
        <v>115.3824</v>
      </c>
      <c r="P332" s="53" t="n">
        <f aca="false">IF(O332&lt;&gt;"",O332*0.1,"")</f>
        <v>11.53824</v>
      </c>
      <c r="Q332" s="83" t="n">
        <f aca="false">IF(O332&lt;&gt;"",O332+P332,"")</f>
        <v>126.92064</v>
      </c>
      <c r="R332" s="84"/>
    </row>
    <row r="333" customFormat="false" ht="15" hidden="false" customHeight="true" outlineLevel="0" collapsed="false">
      <c r="A333" s="103" t="n">
        <v>55881</v>
      </c>
      <c r="B333" s="85" t="n">
        <v>46199</v>
      </c>
      <c r="C333" s="86" t="n">
        <v>17557</v>
      </c>
      <c r="D333" s="87" t="n">
        <v>50163</v>
      </c>
      <c r="E333" s="46" t="str">
        <f aca="false">IF(D333&lt;&gt;"",IFERROR(VLOOKUP(D333,PROVEEDORES!$A:$B,2,0),"!COD NO ENCONTRADO"),"")</f>
        <v>SUBASTAS RIVERA S.L.</v>
      </c>
      <c r="F333" s="88" t="str">
        <f aca="false">IF(D333&lt;&gt;"",IFERROR(VLOOKUP(D333,PROVEEDORES!$A:$C,3,0),""),"")</f>
        <v>S</v>
      </c>
      <c r="G333" s="87" t="s">
        <v>216</v>
      </c>
      <c r="H333" s="46" t="str">
        <f aca="false">IF(G333&lt;&gt;"",IFERROR(VLOOKUP(G333,PRODUCTOS!$A:$B,2,0),"!COD NO ENCONTRADO"),"")</f>
        <v>MERLUZA EUROPEA PINCHO COSTA</v>
      </c>
      <c r="I333" s="89" t="n">
        <v>1</v>
      </c>
      <c r="J333" s="90" t="n">
        <v>15</v>
      </c>
      <c r="K333" s="91" t="n">
        <v>8.7</v>
      </c>
      <c r="L333" s="80" t="n">
        <f aca="false">IF(AND(J333&lt;&gt;"",K333&lt;&gt;""),J333*K333,"")</f>
        <v>130.5</v>
      </c>
      <c r="M333" s="81" t="n">
        <f aca="false">IF(L333&lt;&gt;"",L333*1.1,"")</f>
        <v>143.55</v>
      </c>
      <c r="N333" s="47" t="n">
        <f aca="false">IF(F333="S",L333*0.02,0)</f>
        <v>2.61</v>
      </c>
      <c r="O333" s="82" t="n">
        <f aca="false">IF(L333&lt;&gt;"",L333+N333,"")</f>
        <v>133.11</v>
      </c>
      <c r="P333" s="47" t="n">
        <f aca="false">IF(O333&lt;&gt;"",O333*0.1,"")</f>
        <v>13.311</v>
      </c>
      <c r="Q333" s="83" t="n">
        <f aca="false">IF(O333&lt;&gt;"",O333+P333,"")</f>
        <v>146.421</v>
      </c>
      <c r="R333" s="84"/>
    </row>
    <row r="334" customFormat="false" ht="15" hidden="false" customHeight="true" outlineLevel="0" collapsed="false">
      <c r="A334" s="103" t="n">
        <v>55881</v>
      </c>
      <c r="B334" s="73" t="n">
        <v>46199</v>
      </c>
      <c r="C334" s="74" t="n">
        <v>17557</v>
      </c>
      <c r="D334" s="75" t="n">
        <v>50163</v>
      </c>
      <c r="E334" s="52" t="str">
        <f aca="false">IF(D334&lt;&gt;"",IFERROR(VLOOKUP(D334,PROVEEDORES!$A:$B,2,0),"!COD NO ENCONTRADO"),"")</f>
        <v>SUBASTAS RIVERA S.L.</v>
      </c>
      <c r="F334" s="76" t="str">
        <f aca="false">IF(D334&lt;&gt;"",IFERROR(VLOOKUP(D334,PROVEEDORES!$A:$C,3,0),""),"")</f>
        <v>S</v>
      </c>
      <c r="G334" s="75" t="s">
        <v>151</v>
      </c>
      <c r="H334" s="52" t="str">
        <f aca="false">IF(G334&lt;&gt;"",IFERROR(VLOOKUP(G334,PRODUCTOS!$A:$B,2,0),"!COD NO ENCONTRADO"),"")</f>
        <v>ESCACHO/ ARETE/ RUBIO (GUR)</v>
      </c>
      <c r="I334" s="77" t="n">
        <v>1</v>
      </c>
      <c r="J334" s="78" t="n">
        <v>19.75</v>
      </c>
      <c r="K334" s="79" t="n">
        <v>0.5</v>
      </c>
      <c r="L334" s="80" t="n">
        <f aca="false">IF(AND(J334&lt;&gt;"",K334&lt;&gt;""),J334*K334,"")</f>
        <v>9.875</v>
      </c>
      <c r="M334" s="81" t="n">
        <f aca="false">IF(L334&lt;&gt;"",L334*1.1,"")</f>
        <v>10.8625</v>
      </c>
      <c r="N334" s="53" t="n">
        <f aca="false">IF(F334="S",L334*0.02,0)</f>
        <v>0.1975</v>
      </c>
      <c r="O334" s="82" t="n">
        <f aca="false">IF(L334&lt;&gt;"",L334+N334,"")</f>
        <v>10.0725</v>
      </c>
      <c r="P334" s="53" t="n">
        <f aca="false">IF(O334&lt;&gt;"",O334*0.1,"")</f>
        <v>1.00725</v>
      </c>
      <c r="Q334" s="83" t="n">
        <f aca="false">IF(O334&lt;&gt;"",O334+P334,"")</f>
        <v>11.07975</v>
      </c>
      <c r="R334" s="84"/>
    </row>
    <row r="335" customFormat="false" ht="15" hidden="false" customHeight="true" outlineLevel="0" collapsed="false">
      <c r="A335" s="103" t="n">
        <v>55881</v>
      </c>
      <c r="B335" s="85" t="n">
        <v>46199</v>
      </c>
      <c r="C335" s="86" t="n">
        <v>17557</v>
      </c>
      <c r="D335" s="87" t="n">
        <v>50163</v>
      </c>
      <c r="E335" s="46" t="str">
        <f aca="false">IF(D335&lt;&gt;"",IFERROR(VLOOKUP(D335,PROVEEDORES!$A:$B,2,0),"!COD NO ENCONTRADO"),"")</f>
        <v>SUBASTAS RIVERA S.L.</v>
      </c>
      <c r="F335" s="88" t="str">
        <f aca="false">IF(D335&lt;&gt;"",IFERROR(VLOOKUP(D335,PROVEEDORES!$A:$C,3,0),""),"")</f>
        <v>S</v>
      </c>
      <c r="G335" s="87" t="s">
        <v>103</v>
      </c>
      <c r="H335" s="46" t="str">
        <f aca="false">IF(G335&lt;&gt;"",IFERROR(VLOOKUP(G335,PRODUCTOS!$A:$B,2,0),"!COD NO ENCONTRADO"),"")</f>
        <v>CABRAS/ GALLINETA (BRF)</v>
      </c>
      <c r="I335" s="89" t="n">
        <v>1</v>
      </c>
      <c r="J335" s="90" t="n">
        <v>8.25</v>
      </c>
      <c r="K335" s="91" t="n">
        <v>1.85</v>
      </c>
      <c r="L335" s="80" t="n">
        <f aca="false">IF(AND(J335&lt;&gt;"",K335&lt;&gt;""),J335*K335,"")</f>
        <v>15.2625</v>
      </c>
      <c r="M335" s="81" t="n">
        <f aca="false">IF(L335&lt;&gt;"",L335*1.1,"")</f>
        <v>16.78875</v>
      </c>
      <c r="N335" s="47" t="n">
        <f aca="false">IF(F335="S",L335*0.02,0)</f>
        <v>0.30525</v>
      </c>
      <c r="O335" s="82" t="n">
        <f aca="false">IF(L335&lt;&gt;"",L335+N335,"")</f>
        <v>15.56775</v>
      </c>
      <c r="P335" s="47" t="n">
        <f aca="false">IF(O335&lt;&gt;"",O335*0.1,"")</f>
        <v>1.556775</v>
      </c>
      <c r="Q335" s="83" t="n">
        <f aca="false">IF(O335&lt;&gt;"",O335+P335,"")</f>
        <v>17.124525</v>
      </c>
      <c r="R335" s="84"/>
    </row>
    <row r="336" customFormat="false" ht="15" hidden="false" customHeight="true" outlineLevel="0" collapsed="false">
      <c r="A336" s="103" t="n">
        <v>55881</v>
      </c>
      <c r="B336" s="73" t="n">
        <v>46199</v>
      </c>
      <c r="C336" s="74" t="n">
        <v>17557</v>
      </c>
      <c r="D336" s="75" t="n">
        <v>50163</v>
      </c>
      <c r="E336" s="52" t="str">
        <f aca="false">IF(D336&lt;&gt;"",IFERROR(VLOOKUP(D336,PROVEEDORES!$A:$B,2,0),"!COD NO ENCONTRADO"),"")</f>
        <v>SUBASTAS RIVERA S.L.</v>
      </c>
      <c r="F336" s="76" t="str">
        <f aca="false">IF(D336&lt;&gt;"",IFERROR(VLOOKUP(D336,PROVEEDORES!$A:$C,3,0),""),"")</f>
        <v>S</v>
      </c>
      <c r="G336" s="75" t="s">
        <v>151</v>
      </c>
      <c r="H336" s="52" t="str">
        <f aca="false">IF(G336&lt;&gt;"",IFERROR(VLOOKUP(G336,PRODUCTOS!$A:$B,2,0),"!COD NO ENCONTRADO"),"")</f>
        <v>ESCACHO/ ARETE/ RUBIO (GUR)</v>
      </c>
      <c r="I336" s="77" t="n">
        <v>3</v>
      </c>
      <c r="J336" s="78" t="n">
        <f aca="false">21.25+19+24</f>
        <v>64.25</v>
      </c>
      <c r="K336" s="79" t="n">
        <v>0.2</v>
      </c>
      <c r="L336" s="80" t="n">
        <f aca="false">IF(AND(J336&lt;&gt;"",K336&lt;&gt;""),J336*K336,"")</f>
        <v>12.85</v>
      </c>
      <c r="M336" s="81" t="n">
        <f aca="false">IF(L336&lt;&gt;"",L336*1.1,"")</f>
        <v>14.135</v>
      </c>
      <c r="N336" s="53" t="n">
        <f aca="false">IF(F336="S",L336*0.02,0)</f>
        <v>0.257</v>
      </c>
      <c r="O336" s="82" t="n">
        <f aca="false">IF(L336&lt;&gt;"",L336+N336,"")</f>
        <v>13.107</v>
      </c>
      <c r="P336" s="53" t="n">
        <f aca="false">IF(O336&lt;&gt;"",O336*0.1,"")</f>
        <v>1.3107</v>
      </c>
      <c r="Q336" s="83" t="n">
        <f aca="false">IF(O336&lt;&gt;"",O336+P336,"")</f>
        <v>14.4177</v>
      </c>
      <c r="R336" s="84"/>
    </row>
    <row r="337" customFormat="false" ht="15" hidden="false" customHeight="true" outlineLevel="0" collapsed="false">
      <c r="A337" s="103" t="n">
        <v>55882</v>
      </c>
      <c r="B337" s="85" t="n">
        <v>46199</v>
      </c>
      <c r="C337" s="86" t="n">
        <v>6591</v>
      </c>
      <c r="D337" s="87" t="n">
        <v>50020</v>
      </c>
      <c r="E337" s="46" t="str">
        <f aca="false">IF(D337&lt;&gt;"",IFERROR(VLOOKUP(D337,PROVEEDORES!$A:$B,2,0),"!COD NO ENCONTRADO"),"")</f>
        <v>PACO MOINELO</v>
      </c>
      <c r="F337" s="88" t="str">
        <f aca="false">IF(D337&lt;&gt;"",IFERROR(VLOOKUP(D337,PROVEEDORES!$A:$C,3,0),""),"")</f>
        <v>S</v>
      </c>
      <c r="G337" s="87" t="s">
        <v>216</v>
      </c>
      <c r="H337" s="46" t="str">
        <f aca="false">IF(G337&lt;&gt;"",IFERROR(VLOOKUP(G337,PRODUCTOS!$A:$B,2,0),"!COD NO ENCONTRADO"),"")</f>
        <v>MERLUZA EUROPEA PINCHO COSTA</v>
      </c>
      <c r="I337" s="89" t="n">
        <v>1</v>
      </c>
      <c r="J337" s="90" t="n">
        <v>14.25</v>
      </c>
      <c r="K337" s="91" t="n">
        <v>5</v>
      </c>
      <c r="L337" s="80" t="n">
        <f aca="false">IF(AND(J337&lt;&gt;"",K337&lt;&gt;""),J337*K337,"")</f>
        <v>71.25</v>
      </c>
      <c r="M337" s="81" t="n">
        <f aca="false">IF(L337&lt;&gt;"",L337*1.1,"")</f>
        <v>78.375</v>
      </c>
      <c r="N337" s="47" t="n">
        <f aca="false">IF(F337="S",L337*0.02,0)</f>
        <v>1.425</v>
      </c>
      <c r="O337" s="82" t="n">
        <f aca="false">IF(L337&lt;&gt;"",L337+N337,"")</f>
        <v>72.675</v>
      </c>
      <c r="P337" s="47" t="n">
        <f aca="false">IF(O337&lt;&gt;"",O337*0.1,"")</f>
        <v>7.2675</v>
      </c>
      <c r="Q337" s="83" t="n">
        <f aca="false">IF(O337&lt;&gt;"",O337+P337,"")</f>
        <v>79.9425</v>
      </c>
      <c r="R337" s="84"/>
    </row>
    <row r="338" customFormat="false" ht="15" hidden="false" customHeight="true" outlineLevel="0" collapsed="false">
      <c r="A338" s="103" t="n">
        <v>55884</v>
      </c>
      <c r="B338" s="73" t="n">
        <v>46199</v>
      </c>
      <c r="C338" s="74"/>
      <c r="D338" s="75" t="n">
        <v>50048</v>
      </c>
      <c r="E338" s="52" t="str">
        <f aca="false">IF(D338&lt;&gt;"",IFERROR(VLOOKUP(D338,PROVEEDORES!$A:$B,2,0),"!COD NO ENCONTRADO"),"")</f>
        <v>JOSE LUIS CORREA KESSLER S.L.</v>
      </c>
      <c r="F338" s="76" t="str">
        <f aca="false">IF(D338&lt;&gt;"",IFERROR(VLOOKUP(D338,PROVEEDORES!$A:$C,3,0),""),"")</f>
        <v>N</v>
      </c>
      <c r="G338" s="75" t="s">
        <v>270</v>
      </c>
      <c r="H338" s="52" t="str">
        <f aca="false">IF(G338&lt;&gt;"",IFERROR(VLOOKUP(G338,PRODUCTOS!$A:$B,2,0),"!COD NO ENCONTRADO"),"")</f>
        <v>PEON/ PION (ATP)</v>
      </c>
      <c r="I338" s="77" t="n">
        <v>1</v>
      </c>
      <c r="J338" s="78" t="n">
        <v>2.25</v>
      </c>
      <c r="K338" s="79" t="n">
        <v>3</v>
      </c>
      <c r="L338" s="80" t="n">
        <f aca="false">IF(AND(J338&lt;&gt;"",K338&lt;&gt;""),J338*K338,"")</f>
        <v>6.75</v>
      </c>
      <c r="M338" s="81" t="n">
        <f aca="false">IF(L338&lt;&gt;"",L338*1.1,"")</f>
        <v>7.425</v>
      </c>
      <c r="N338" s="53" t="n">
        <f aca="false">IF(F338="S",L338*0.02,0)</f>
        <v>0</v>
      </c>
      <c r="O338" s="82" t="n">
        <f aca="false">IF(L338&lt;&gt;"",L338+N338,"")</f>
        <v>6.75</v>
      </c>
      <c r="P338" s="53" t="n">
        <f aca="false">IF(O338&lt;&gt;"",O338*0.1,"")</f>
        <v>0.675</v>
      </c>
      <c r="Q338" s="83" t="n">
        <f aca="false">IF(O338&lt;&gt;"",O338+P338,"")</f>
        <v>7.425</v>
      </c>
      <c r="R338" s="84"/>
    </row>
    <row r="339" customFormat="false" ht="15" hidden="false" customHeight="true" outlineLevel="0" collapsed="false">
      <c r="A339" s="103" t="n">
        <v>55884</v>
      </c>
      <c r="B339" s="85" t="n">
        <v>46199</v>
      </c>
      <c r="C339" s="86" t="s">
        <v>395</v>
      </c>
      <c r="D339" s="87" t="n">
        <v>50048</v>
      </c>
      <c r="E339" s="46" t="str">
        <f aca="false">IF(D339&lt;&gt;"",IFERROR(VLOOKUP(D339,PROVEEDORES!$A:$B,2,0),"!COD NO ENCONTRADO"),"")</f>
        <v>JOSE LUIS CORREA KESSLER S.L.</v>
      </c>
      <c r="F339" s="88" t="str">
        <f aca="false">IF(D339&lt;&gt;"",IFERROR(VLOOKUP(D339,PROVEEDORES!$A:$C,3,0),""),"")</f>
        <v>N</v>
      </c>
      <c r="G339" s="87" t="s">
        <v>270</v>
      </c>
      <c r="H339" s="46" t="str">
        <f aca="false">IF(G339&lt;&gt;"",IFERROR(VLOOKUP(G339,PRODUCTOS!$A:$B,2,0),"!COD NO ENCONTRADO"),"")</f>
        <v>PEON/ PION (ATP)</v>
      </c>
      <c r="I339" s="89" t="n">
        <v>2</v>
      </c>
      <c r="J339" s="90" t="n">
        <v>8</v>
      </c>
      <c r="K339" s="91" t="n">
        <v>3</v>
      </c>
      <c r="L339" s="80" t="n">
        <f aca="false">IF(AND(J339&lt;&gt;"",K339&lt;&gt;""),J339*K339,"")</f>
        <v>24</v>
      </c>
      <c r="M339" s="81" t="n">
        <f aca="false">IF(L339&lt;&gt;"",L339*1.1,"")</f>
        <v>26.4</v>
      </c>
      <c r="N339" s="47" t="n">
        <f aca="false">IF(F339="S",L339*0.02,0)</f>
        <v>0</v>
      </c>
      <c r="O339" s="82" t="n">
        <f aca="false">IF(L339&lt;&gt;"",L339+N339,"")</f>
        <v>24</v>
      </c>
      <c r="P339" s="47" t="n">
        <f aca="false">IF(O339&lt;&gt;"",O339*0.1,"")</f>
        <v>2.4</v>
      </c>
      <c r="Q339" s="83" t="n">
        <f aca="false">IF(O339&lt;&gt;"",O339+P339,"")</f>
        <v>26.4</v>
      </c>
      <c r="R339" s="84"/>
    </row>
    <row r="340" customFormat="false" ht="15" hidden="false" customHeight="true" outlineLevel="0" collapsed="false">
      <c r="A340" s="103" t="n">
        <v>55884</v>
      </c>
      <c r="B340" s="73" t="n">
        <v>46199</v>
      </c>
      <c r="C340" s="74" t="s">
        <v>396</v>
      </c>
      <c r="D340" s="75" t="n">
        <v>50048</v>
      </c>
      <c r="E340" s="52" t="str">
        <f aca="false">IF(D340&lt;&gt;"",IFERROR(VLOOKUP(D340,PROVEEDORES!$A:$B,2,0),"!COD NO ENCONTRADO"),"")</f>
        <v>JOSE LUIS CORREA KESSLER S.L.</v>
      </c>
      <c r="F340" s="76" t="str">
        <f aca="false">IF(D340&lt;&gt;"",IFERROR(VLOOKUP(D340,PROVEEDORES!$A:$C,3,0),""),"")</f>
        <v>N</v>
      </c>
      <c r="G340" s="75" t="s">
        <v>288</v>
      </c>
      <c r="H340" s="52" t="str">
        <f aca="false">IF(G340&lt;&gt;"",IFERROR(VLOOKUP(G340,PRODUCTOS!$A:$B,2,0),"!COD NO ENCONTRADO"),"")</f>
        <v>RAPE BLANCO DIA (MON)</v>
      </c>
      <c r="I340" s="77" t="n">
        <v>1</v>
      </c>
      <c r="J340" s="78" t="n">
        <v>6.5</v>
      </c>
      <c r="K340" s="79" t="n">
        <v>7.2</v>
      </c>
      <c r="L340" s="80" t="n">
        <f aca="false">IF(AND(J340&lt;&gt;"",K340&lt;&gt;""),J340*K340,"")</f>
        <v>46.8</v>
      </c>
      <c r="M340" s="81" t="n">
        <f aca="false">IF(L340&lt;&gt;"",L340*1.1,"")</f>
        <v>51.48</v>
      </c>
      <c r="N340" s="53" t="n">
        <f aca="false">IF(F340="S",L340*0.02,0)</f>
        <v>0</v>
      </c>
      <c r="O340" s="82" t="n">
        <f aca="false">IF(L340&lt;&gt;"",L340+N340,"")</f>
        <v>46.8</v>
      </c>
      <c r="P340" s="53" t="n">
        <f aca="false">IF(O340&lt;&gt;"",O340*0.1,"")</f>
        <v>4.68</v>
      </c>
      <c r="Q340" s="83" t="n">
        <f aca="false">IF(O340&lt;&gt;"",O340+P340,"")</f>
        <v>51.48</v>
      </c>
      <c r="R340" s="84"/>
    </row>
    <row r="341" customFormat="false" ht="15" hidden="false" customHeight="true" outlineLevel="0" collapsed="false">
      <c r="A341" s="103" t="n">
        <v>55884</v>
      </c>
      <c r="B341" s="85" t="n">
        <v>46199</v>
      </c>
      <c r="C341" s="86" t="n">
        <v>64986</v>
      </c>
      <c r="D341" s="87" t="n">
        <v>50048</v>
      </c>
      <c r="E341" s="46" t="str">
        <f aca="false">IF(D341&lt;&gt;"",IFERROR(VLOOKUP(D341,PROVEEDORES!$A:$B,2,0),"!COD NO ENCONTRADO"),"")</f>
        <v>JOSE LUIS CORREA KESSLER S.L.</v>
      </c>
      <c r="F341" s="88" t="str">
        <f aca="false">IF(D341&lt;&gt;"",IFERROR(VLOOKUP(D341,PROVEEDORES!$A:$C,3,0),""),"")</f>
        <v>N</v>
      </c>
      <c r="G341" s="87" t="s">
        <v>288</v>
      </c>
      <c r="H341" s="46" t="str">
        <f aca="false">IF(G341&lt;&gt;"",IFERROR(VLOOKUP(G341,PRODUCTOS!$A:$B,2,0),"!COD NO ENCONTRADO"),"")</f>
        <v>RAPE BLANCO DIA (MON)</v>
      </c>
      <c r="I341" s="89" t="n">
        <v>1</v>
      </c>
      <c r="J341" s="90" t="n">
        <v>8.25</v>
      </c>
      <c r="K341" s="91" t="n">
        <v>6.7</v>
      </c>
      <c r="L341" s="80" t="n">
        <f aca="false">IF(AND(J341&lt;&gt;"",K341&lt;&gt;""),J341*K341,"")</f>
        <v>55.275</v>
      </c>
      <c r="M341" s="81" t="n">
        <f aca="false">IF(L341&lt;&gt;"",L341*1.1,"")</f>
        <v>60.8025</v>
      </c>
      <c r="N341" s="47" t="n">
        <f aca="false">IF(F341="S",L341*0.02,0)</f>
        <v>0</v>
      </c>
      <c r="O341" s="82" t="n">
        <f aca="false">IF(L341&lt;&gt;"",L341+N341,"")</f>
        <v>55.275</v>
      </c>
      <c r="P341" s="47" t="n">
        <f aca="false">IF(O341&lt;&gt;"",O341*0.1,"")</f>
        <v>5.5275</v>
      </c>
      <c r="Q341" s="83" t="n">
        <f aca="false">IF(O341&lt;&gt;"",O341+P341,"")</f>
        <v>60.8025</v>
      </c>
      <c r="R341" s="84"/>
    </row>
    <row r="342" customFormat="false" ht="15" hidden="false" customHeight="true" outlineLevel="0" collapsed="false">
      <c r="A342" s="103" t="n">
        <v>55884</v>
      </c>
      <c r="B342" s="73" t="n">
        <v>46199</v>
      </c>
      <c r="C342" s="74" t="s">
        <v>396</v>
      </c>
      <c r="D342" s="75" t="n">
        <v>50048</v>
      </c>
      <c r="E342" s="52" t="str">
        <f aca="false">IF(D342&lt;&gt;"",IFERROR(VLOOKUP(D342,PROVEEDORES!$A:$B,2,0),"!COD NO ENCONTRADO"),"")</f>
        <v>JOSE LUIS CORREA KESSLER S.L.</v>
      </c>
      <c r="F342" s="76" t="str">
        <f aca="false">IF(D342&lt;&gt;"",IFERROR(VLOOKUP(D342,PROVEEDORES!$A:$C,3,0),""),"")</f>
        <v>N</v>
      </c>
      <c r="G342" s="75" t="s">
        <v>288</v>
      </c>
      <c r="H342" s="52" t="str">
        <f aca="false">IF(G342&lt;&gt;"",IFERROR(VLOOKUP(G342,PRODUCTOS!$A:$B,2,0),"!COD NO ENCONTRADO"),"")</f>
        <v>RAPE BLANCO DIA (MON)</v>
      </c>
      <c r="I342" s="77" t="n">
        <v>2</v>
      </c>
      <c r="J342" s="78" t="n">
        <f aca="false">8.25+6.25</f>
        <v>14.5</v>
      </c>
      <c r="K342" s="79" t="n">
        <v>7.6</v>
      </c>
      <c r="L342" s="80" t="n">
        <f aca="false">IF(AND(J342&lt;&gt;"",K342&lt;&gt;""),J342*K342,"")</f>
        <v>110.2</v>
      </c>
      <c r="M342" s="81" t="n">
        <f aca="false">IF(L342&lt;&gt;"",L342*1.1,"")</f>
        <v>121.22</v>
      </c>
      <c r="N342" s="53" t="n">
        <f aca="false">IF(F342="S",L342*0.02,0)</f>
        <v>0</v>
      </c>
      <c r="O342" s="82" t="n">
        <f aca="false">IF(L342&lt;&gt;"",L342+N342,"")</f>
        <v>110.2</v>
      </c>
      <c r="P342" s="53" t="n">
        <f aca="false">IF(O342&lt;&gt;"",O342*0.1,"")</f>
        <v>11.02</v>
      </c>
      <c r="Q342" s="83" t="n">
        <f aca="false">IF(O342&lt;&gt;"",O342+P342,"")</f>
        <v>121.22</v>
      </c>
      <c r="R342" s="84"/>
    </row>
    <row r="343" customFormat="false" ht="15" hidden="false" customHeight="true" outlineLevel="0" collapsed="false">
      <c r="A343" s="103" t="n">
        <v>55884</v>
      </c>
      <c r="B343" s="85" t="n">
        <v>46199</v>
      </c>
      <c r="C343" s="86" t="n">
        <v>11575</v>
      </c>
      <c r="D343" s="87" t="n">
        <v>50048</v>
      </c>
      <c r="E343" s="46" t="str">
        <f aca="false">IF(D343&lt;&gt;"",IFERROR(VLOOKUP(D343,PROVEEDORES!$A:$B,2,0),"!COD NO ENCONTRADO"),"")</f>
        <v>JOSE LUIS CORREA KESSLER S.L.</v>
      </c>
      <c r="F343" s="88" t="str">
        <f aca="false">IF(D343&lt;&gt;"",IFERROR(VLOOKUP(D343,PROVEEDORES!$A:$C,3,0),""),"")</f>
        <v>N</v>
      </c>
      <c r="G343" s="87" t="s">
        <v>179</v>
      </c>
      <c r="H343" s="46" t="str">
        <f aca="false">IF(G343&lt;&gt;"",IFERROR(VLOOKUP(G343,PRODUCTOS!$A:$B,2,0),"!COD NO ENCONTRADO"),"")</f>
        <v>LIRIO/ BACALADILLA/ PERLA (WHB)</v>
      </c>
      <c r="I343" s="89" t="n">
        <v>120</v>
      </c>
      <c r="J343" s="90" t="n">
        <v>720</v>
      </c>
      <c r="K343" s="91" t="n">
        <v>1.45</v>
      </c>
      <c r="L343" s="80" t="n">
        <f aca="false">IF(AND(J343&lt;&gt;"",K343&lt;&gt;""),J343*K343,"")</f>
        <v>1044</v>
      </c>
      <c r="M343" s="81" t="n">
        <f aca="false">IF(L343&lt;&gt;"",L343*1.1,"")</f>
        <v>1148.4</v>
      </c>
      <c r="N343" s="47" t="n">
        <f aca="false">IF(F343="S",L343*0.02,0)</f>
        <v>0</v>
      </c>
      <c r="O343" s="82" t="n">
        <f aca="false">IF(L343&lt;&gt;"",L343+N343,"")</f>
        <v>1044</v>
      </c>
      <c r="P343" s="47" t="n">
        <f aca="false">IF(O343&lt;&gt;"",O343*0.1,"")</f>
        <v>104.4</v>
      </c>
      <c r="Q343" s="83" t="n">
        <f aca="false">IF(O343&lt;&gt;"",O343+P343,"")</f>
        <v>1148.4</v>
      </c>
      <c r="R343" s="84"/>
    </row>
    <row r="344" customFormat="false" ht="15" hidden="false" customHeight="true" outlineLevel="0" collapsed="false">
      <c r="A344" s="103" t="n">
        <v>55885</v>
      </c>
      <c r="B344" s="73" t="n">
        <v>46199</v>
      </c>
      <c r="C344" s="74"/>
      <c r="D344" s="75" t="n">
        <v>50160</v>
      </c>
      <c r="E344" s="52" t="str">
        <f aca="false">IF(D344&lt;&gt;"",IFERROR(VLOOKUP(D344,PROVEEDORES!$A:$B,2,0),"!COD NO ENCONTRADO"),"")</f>
        <v>SUBASTAS CORUÑA S.L.</v>
      </c>
      <c r="F344" s="76" t="str">
        <f aca="false">IF(D344&lt;&gt;"",IFERROR(VLOOKUP(D344,PROVEEDORES!$A:$C,3,0),""),"")</f>
        <v>S</v>
      </c>
      <c r="G344" s="75" t="s">
        <v>296</v>
      </c>
      <c r="H344" s="52" t="str">
        <f aca="false">IF(G344&lt;&gt;"",IFERROR(VLOOKUP(G344,PRODUCTOS!$A:$B,2,0),"!COD NO ENCONTRADO"),"")</f>
        <v>RAPE NEGRO (ANK)</v>
      </c>
      <c r="I344" s="77" t="n">
        <v>1</v>
      </c>
      <c r="J344" s="78" t="n">
        <v>9.8</v>
      </c>
      <c r="K344" s="79" t="n">
        <v>3.5</v>
      </c>
      <c r="L344" s="80" t="n">
        <f aca="false">IF(AND(J344&lt;&gt;"",K344&lt;&gt;""),J344*K344,"")</f>
        <v>34.3</v>
      </c>
      <c r="M344" s="81" t="n">
        <f aca="false">IF(L344&lt;&gt;"",L344*1.1,"")</f>
        <v>37.73</v>
      </c>
      <c r="N344" s="53" t="n">
        <f aca="false">IF(F344="S",L344*0.02,0)</f>
        <v>0.686</v>
      </c>
      <c r="O344" s="82" t="n">
        <f aca="false">IF(L344&lt;&gt;"",L344+N344,"")</f>
        <v>34.986</v>
      </c>
      <c r="P344" s="53" t="n">
        <f aca="false">IF(O344&lt;&gt;"",O344*0.1,"")</f>
        <v>3.4986</v>
      </c>
      <c r="Q344" s="83" t="n">
        <f aca="false">IF(O344&lt;&gt;"",O344+P344,"")</f>
        <v>38.4846</v>
      </c>
      <c r="R344" s="84"/>
    </row>
    <row r="345" customFormat="false" ht="15" hidden="false" customHeight="true" outlineLevel="0" collapsed="false">
      <c r="A345" s="103" t="n">
        <v>55886</v>
      </c>
      <c r="B345" s="85" t="n">
        <v>46199</v>
      </c>
      <c r="C345" s="74"/>
      <c r="D345" s="75" t="n">
        <v>50232</v>
      </c>
      <c r="E345" s="52" t="str">
        <f aca="false">IF(D345&lt;&gt;"",IFERROR(VLOOKUP(D345,PROVEEDORES!$A:$B,2,0),"!COD NO ENCONTRADO"),"")</f>
        <v>XESTION NOVA LONXA RIVEIRA S.L.</v>
      </c>
      <c r="F345" s="76" t="str">
        <f aca="false">IF(D345&lt;&gt;"",IFERROR(VLOOKUP(D345,PROVEEDORES!$A:$C,3,0),""),"")</f>
        <v>S</v>
      </c>
      <c r="G345" s="75" t="s">
        <v>103</v>
      </c>
      <c r="H345" s="52" t="str">
        <f aca="false">IF(G345&lt;&gt;"",IFERROR(VLOOKUP(G345,PRODUCTOS!$A:$B,2,0),"!COD NO ENCONTRADO"),"")</f>
        <v>CABRAS/ GALLINETA (BRF)</v>
      </c>
      <c r="I345" s="77" t="n">
        <v>2</v>
      </c>
      <c r="J345" s="78" t="n">
        <v>16.6</v>
      </c>
      <c r="K345" s="79" t="n">
        <v>0.5</v>
      </c>
      <c r="L345" s="80" t="n">
        <f aca="false">IF(AND(J345&lt;&gt;"",K345&lt;&gt;""),J345*K345,"")</f>
        <v>8.3</v>
      </c>
      <c r="M345" s="81" t="n">
        <f aca="false">IF(L345&lt;&gt;"",L345*1.1,"")</f>
        <v>9.13</v>
      </c>
      <c r="N345" s="53" t="n">
        <f aca="false">IF(F345="S",L345*0.02,0)</f>
        <v>0.166</v>
      </c>
      <c r="O345" s="82" t="n">
        <f aca="false">IF(L345&lt;&gt;"",L345+N345,"")</f>
        <v>8.466</v>
      </c>
      <c r="P345" s="53" t="n">
        <f aca="false">IF(O345&lt;&gt;"",O345*0.1,"")</f>
        <v>0.8466</v>
      </c>
      <c r="Q345" s="83" t="n">
        <f aca="false">IF(O345&lt;&gt;"",O345+P345,"")</f>
        <v>9.3126</v>
      </c>
      <c r="R345" s="84"/>
    </row>
    <row r="346" customFormat="false" ht="15" hidden="false" customHeight="true" outlineLevel="0" collapsed="false">
      <c r="A346" s="103" t="n">
        <v>55886</v>
      </c>
      <c r="B346" s="85" t="n">
        <v>46199</v>
      </c>
      <c r="C346" s="86"/>
      <c r="D346" s="87" t="n">
        <v>50232</v>
      </c>
      <c r="E346" s="46" t="str">
        <f aca="false">IF(D346&lt;&gt;"",IFERROR(VLOOKUP(D346,PROVEEDORES!$A:$B,2,0),"!COD NO ENCONTRADO"),"")</f>
        <v>XESTION NOVA LONXA RIVEIRA S.L.</v>
      </c>
      <c r="F346" s="88" t="str">
        <f aca="false">IF(D346&lt;&gt;"",IFERROR(VLOOKUP(D346,PROVEEDORES!$A:$C,3,0),""),"")</f>
        <v>S</v>
      </c>
      <c r="G346" s="87" t="s">
        <v>268</v>
      </c>
      <c r="H346" s="46" t="str">
        <f aca="false">IF(G346&lt;&gt;"",IFERROR(VLOOKUP(G346,PRODUCTOS!$A:$B,2,0),"!COD NO ENCONTRADO"),"")</f>
        <v>PARGO (RPG)</v>
      </c>
      <c r="I346" s="89" t="n">
        <v>1</v>
      </c>
      <c r="J346" s="90" t="n">
        <v>0.6</v>
      </c>
      <c r="K346" s="91" t="n">
        <v>0</v>
      </c>
      <c r="L346" s="80" t="n">
        <f aca="false">IF(AND(J346&lt;&gt;"",K346&lt;&gt;""),J346*K346,"")</f>
        <v>0</v>
      </c>
      <c r="M346" s="81" t="n">
        <f aca="false">IF(L346&lt;&gt;"",L346*1.1,"")</f>
        <v>0</v>
      </c>
      <c r="N346" s="47" t="n">
        <f aca="false">IF(F346="S",L346*0.02,0)</f>
        <v>0</v>
      </c>
      <c r="O346" s="82" t="n">
        <f aca="false">IF(L346&lt;&gt;"",L346+N346,"")</f>
        <v>0</v>
      </c>
      <c r="P346" s="47" t="n">
        <f aca="false">IF(O346&lt;&gt;"",O346*0.1,"")</f>
        <v>0</v>
      </c>
      <c r="Q346" s="83" t="n">
        <f aca="false">IF(O346&lt;&gt;"",O346+P346,"")</f>
        <v>0</v>
      </c>
      <c r="R346" s="84"/>
    </row>
    <row r="347" customFormat="false" ht="15" hidden="false" customHeight="true" outlineLevel="0" collapsed="false">
      <c r="A347" s="103" t="n">
        <v>55886</v>
      </c>
      <c r="B347" s="73" t="n">
        <v>46199</v>
      </c>
      <c r="C347" s="74"/>
      <c r="D347" s="75" t="n">
        <v>50232</v>
      </c>
      <c r="E347" s="52" t="str">
        <f aca="false">IF(D347&lt;&gt;"",IFERROR(VLOOKUP(D347,PROVEEDORES!$A:$B,2,0),"!COD NO ENCONTRADO"),"")</f>
        <v>XESTION NOVA LONXA RIVEIRA S.L.</v>
      </c>
      <c r="F347" s="76" t="str">
        <f aca="false">IF(D347&lt;&gt;"",IFERROR(VLOOKUP(D347,PROVEEDORES!$A:$C,3,0),""),"")</f>
        <v>S</v>
      </c>
      <c r="G347" s="75" t="s">
        <v>270</v>
      </c>
      <c r="H347" s="52" t="str">
        <f aca="false">IF(G347&lt;&gt;"",IFERROR(VLOOKUP(G347,PRODUCTOS!$A:$B,2,0),"!COD NO ENCONTRADO"),"")</f>
        <v>PEON/ PION (ATP)</v>
      </c>
      <c r="I347" s="77" t="n">
        <v>3</v>
      </c>
      <c r="J347" s="78" t="n">
        <v>16</v>
      </c>
      <c r="K347" s="79" t="n">
        <v>3</v>
      </c>
      <c r="L347" s="80" t="n">
        <f aca="false">IF(AND(J347&lt;&gt;"",K347&lt;&gt;""),J347*K347,"")</f>
        <v>48</v>
      </c>
      <c r="M347" s="81" t="n">
        <f aca="false">IF(L347&lt;&gt;"",L347*1.1,"")</f>
        <v>52.8</v>
      </c>
      <c r="N347" s="53" t="n">
        <f aca="false">IF(F347="S",L347*0.02,0)</f>
        <v>0.96</v>
      </c>
      <c r="O347" s="82" t="n">
        <f aca="false">IF(L347&lt;&gt;"",L347+N347,"")</f>
        <v>48.96</v>
      </c>
      <c r="P347" s="53" t="n">
        <f aca="false">IF(O347&lt;&gt;"",O347*0.1,"")</f>
        <v>4.896</v>
      </c>
      <c r="Q347" s="83" t="n">
        <f aca="false">IF(O347&lt;&gt;"",O347+P347,"")</f>
        <v>53.856</v>
      </c>
      <c r="R347" s="84"/>
    </row>
    <row r="348" customFormat="false" ht="15" hidden="false" customHeight="true" outlineLevel="0" collapsed="false">
      <c r="A348" s="103" t="n">
        <v>55886</v>
      </c>
      <c r="B348" s="85" t="n">
        <v>46199</v>
      </c>
      <c r="C348" s="86"/>
      <c r="D348" s="87" t="n">
        <v>50232</v>
      </c>
      <c r="E348" s="46" t="str">
        <f aca="false">IF(D348&lt;&gt;"",IFERROR(VLOOKUP(D348,PROVEEDORES!$A:$B,2,0),"!COD NO ENCONTRADO"),"")</f>
        <v>XESTION NOVA LONXA RIVEIRA S.L.</v>
      </c>
      <c r="F348" s="88" t="str">
        <f aca="false">IF(D348&lt;&gt;"",IFERROR(VLOOKUP(D348,PROVEEDORES!$A:$C,3,0),""),"")</f>
        <v>S</v>
      </c>
      <c r="G348" s="87" t="s">
        <v>270</v>
      </c>
      <c r="H348" s="46" t="str">
        <f aca="false">IF(G348&lt;&gt;"",IFERROR(VLOOKUP(G348,PRODUCTOS!$A:$B,2,0),"!COD NO ENCONTRADO"),"")</f>
        <v>PEON/ PION (ATP)</v>
      </c>
      <c r="I348" s="89" t="n">
        <v>15</v>
      </c>
      <c r="J348" s="90" t="n">
        <f aca="false">90.25-16</f>
        <v>74.25</v>
      </c>
      <c r="K348" s="91" t="n">
        <v>4</v>
      </c>
      <c r="L348" s="80" t="n">
        <f aca="false">IF(AND(J348&lt;&gt;"",K348&lt;&gt;""),J348*K348,"")</f>
        <v>297</v>
      </c>
      <c r="M348" s="81" t="n">
        <f aca="false">IF(L348&lt;&gt;"",L348*1.1,"")</f>
        <v>326.7</v>
      </c>
      <c r="N348" s="47" t="n">
        <f aca="false">IF(F348="S",L348*0.02,0)</f>
        <v>5.94</v>
      </c>
      <c r="O348" s="82" t="n">
        <f aca="false">IF(L348&lt;&gt;"",L348+N348,"")</f>
        <v>302.94</v>
      </c>
      <c r="P348" s="47" t="n">
        <f aca="false">IF(O348&lt;&gt;"",O348*0.1,"")</f>
        <v>30.294</v>
      </c>
      <c r="Q348" s="83" t="n">
        <f aca="false">IF(O348&lt;&gt;"",O348+P348,"")</f>
        <v>333.234</v>
      </c>
      <c r="R348" s="84"/>
    </row>
    <row r="349" customFormat="false" ht="15" hidden="false" customHeight="true" outlineLevel="0" collapsed="false">
      <c r="A349" s="103" t="n">
        <v>55886</v>
      </c>
      <c r="B349" s="73" t="n">
        <v>46199</v>
      </c>
      <c r="C349" s="74"/>
      <c r="D349" s="75" t="n">
        <v>50232</v>
      </c>
      <c r="E349" s="52" t="str">
        <f aca="false">IF(D349&lt;&gt;"",IFERROR(VLOOKUP(D349,PROVEEDORES!$A:$B,2,0),"!COD NO ENCONTRADO"),"")</f>
        <v>XESTION NOVA LONXA RIVEIRA S.L.</v>
      </c>
      <c r="F349" s="76" t="str">
        <f aca="false">IF(D349&lt;&gt;"",IFERROR(VLOOKUP(D349,PROVEEDORES!$A:$C,3,0),""),"")</f>
        <v>S</v>
      </c>
      <c r="G349" s="75" t="s">
        <v>296</v>
      </c>
      <c r="H349" s="52" t="str">
        <f aca="false">IF(G349&lt;&gt;"",IFERROR(VLOOKUP(G349,PRODUCTOS!$A:$B,2,0),"!COD NO ENCONTRADO"),"")</f>
        <v>RAPE NEGRO (ANK)</v>
      </c>
      <c r="I349" s="77" t="n">
        <v>2</v>
      </c>
      <c r="J349" s="78" t="n">
        <v>6.2</v>
      </c>
      <c r="K349" s="79" t="n">
        <v>6.7</v>
      </c>
      <c r="L349" s="80" t="n">
        <f aca="false">IF(AND(J349&lt;&gt;"",K349&lt;&gt;""),J349*K349,"")</f>
        <v>41.54</v>
      </c>
      <c r="M349" s="81" t="n">
        <f aca="false">IF(L349&lt;&gt;"",L349*1.1,"")</f>
        <v>45.694</v>
      </c>
      <c r="N349" s="53" t="n">
        <f aca="false">IF(F349="S",L349*0.02,0)</f>
        <v>0.8308</v>
      </c>
      <c r="O349" s="82" t="n">
        <f aca="false">IF(L349&lt;&gt;"",L349+N349,"")</f>
        <v>42.3708</v>
      </c>
      <c r="P349" s="53" t="n">
        <f aca="false">IF(O349&lt;&gt;"",O349*0.1,"")</f>
        <v>4.23708</v>
      </c>
      <c r="Q349" s="83" t="n">
        <f aca="false">IF(O349&lt;&gt;"",O349+P349,"")</f>
        <v>46.60788</v>
      </c>
      <c r="R349" s="84"/>
    </row>
    <row r="350" customFormat="false" ht="15" hidden="false" customHeight="true" outlineLevel="0" collapsed="false">
      <c r="A350" s="103" t="n">
        <v>55886</v>
      </c>
      <c r="B350" s="85" t="n">
        <v>46199</v>
      </c>
      <c r="C350" s="86"/>
      <c r="D350" s="87" t="n">
        <v>50232</v>
      </c>
      <c r="E350" s="46" t="str">
        <f aca="false">IF(D350&lt;&gt;"",IFERROR(VLOOKUP(D350,PROVEEDORES!$A:$B,2,0),"!COD NO ENCONTRADO"),"")</f>
        <v>XESTION NOVA LONXA RIVEIRA S.L.</v>
      </c>
      <c r="F350" s="88" t="str">
        <f aca="false">IF(D350&lt;&gt;"",IFERROR(VLOOKUP(D350,PROVEEDORES!$A:$C,3,0),""),"")</f>
        <v>S</v>
      </c>
      <c r="G350" s="87" t="s">
        <v>296</v>
      </c>
      <c r="H350" s="46" t="str">
        <f aca="false">IF(G350&lt;&gt;"",IFERROR(VLOOKUP(G350,PRODUCTOS!$A:$B,2,0),"!COD NO ENCONTRADO"),"")</f>
        <v>RAPE NEGRO (ANK)</v>
      </c>
      <c r="I350" s="89" t="n">
        <v>5</v>
      </c>
      <c r="J350" s="90" t="n">
        <f aca="false">3.3+5.5+3.6+2.7+1.7</f>
        <v>16.8</v>
      </c>
      <c r="K350" s="91" t="n">
        <v>5.5</v>
      </c>
      <c r="L350" s="80" t="n">
        <f aca="false">IF(AND(J350&lt;&gt;"",K350&lt;&gt;""),J350*K350,"")</f>
        <v>92.4</v>
      </c>
      <c r="M350" s="81" t="n">
        <f aca="false">IF(L350&lt;&gt;"",L350*1.1,"")</f>
        <v>101.64</v>
      </c>
      <c r="N350" s="47" t="n">
        <f aca="false">IF(F350="S",L350*0.02,0)</f>
        <v>1.848</v>
      </c>
      <c r="O350" s="82" t="n">
        <f aca="false">IF(L350&lt;&gt;"",L350+N350,"")</f>
        <v>94.248</v>
      </c>
      <c r="P350" s="47" t="n">
        <f aca="false">IF(O350&lt;&gt;"",O350*0.1,"")</f>
        <v>9.4248</v>
      </c>
      <c r="Q350" s="83" t="n">
        <f aca="false">IF(O350&lt;&gt;"",O350+P350,"")</f>
        <v>103.6728</v>
      </c>
      <c r="R350" s="84"/>
    </row>
    <row r="351" customFormat="false" ht="15" hidden="false" customHeight="true" outlineLevel="0" collapsed="false">
      <c r="A351" s="103" t="n">
        <v>55886</v>
      </c>
      <c r="B351" s="85" t="n">
        <v>46199</v>
      </c>
      <c r="C351" s="86" t="n">
        <v>2506</v>
      </c>
      <c r="D351" s="87" t="n">
        <v>50232</v>
      </c>
      <c r="E351" s="46" t="str">
        <f aca="false">IF(D351&lt;&gt;"",IFERROR(VLOOKUP(D351,PROVEEDORES!$A:$B,2,0),"!COD NO ENCONTRADO"),"")</f>
        <v>XESTION NOVA LONXA RIVEIRA S.L.</v>
      </c>
      <c r="F351" s="88" t="str">
        <f aca="false">IF(D351&lt;&gt;"",IFERROR(VLOOKUP(D351,PROVEEDORES!$A:$C,3,0),""),"")</f>
        <v>S</v>
      </c>
      <c r="G351" s="87" t="s">
        <v>296</v>
      </c>
      <c r="H351" s="46" t="str">
        <f aca="false">IF(G351&lt;&gt;"",IFERROR(VLOOKUP(G351,PRODUCTOS!$A:$B,2,0),"!COD NO ENCONTRADO"),"")</f>
        <v>RAPE NEGRO (ANK)</v>
      </c>
      <c r="I351" s="89" t="n">
        <v>9</v>
      </c>
      <c r="J351" s="90" t="n">
        <f aca="false">8.3+9.4+16.7+7.7+8.5+5.6+10.5+6.5</f>
        <v>73.2</v>
      </c>
      <c r="K351" s="91" t="n">
        <v>4.5</v>
      </c>
      <c r="L351" s="80" t="n">
        <f aca="false">IF(AND(J351&lt;&gt;"",K351&lt;&gt;""),J351*K351,"")</f>
        <v>329.4</v>
      </c>
      <c r="M351" s="81" t="n">
        <f aca="false">IF(L351&lt;&gt;"",L351*1.1,"")</f>
        <v>362.34</v>
      </c>
      <c r="N351" s="47" t="n">
        <f aca="false">IF(F351="S",L351*0.02,0)</f>
        <v>6.588</v>
      </c>
      <c r="O351" s="82" t="n">
        <f aca="false">IF(L351&lt;&gt;"",L351+N351,"")</f>
        <v>335.988</v>
      </c>
      <c r="P351" s="47" t="n">
        <f aca="false">IF(O351&lt;&gt;"",O351*0.1,"")</f>
        <v>33.5988</v>
      </c>
      <c r="Q351" s="83" t="n">
        <f aca="false">IF(O351&lt;&gt;"",O351+P351,"")</f>
        <v>369.5868</v>
      </c>
      <c r="R351" s="84"/>
    </row>
    <row r="352" customFormat="false" ht="15" hidden="false" customHeight="true" outlineLevel="0" collapsed="false">
      <c r="A352" s="103" t="n">
        <v>55886</v>
      </c>
      <c r="B352" s="73" t="n">
        <v>46199</v>
      </c>
      <c r="C352" s="74" t="n">
        <v>2506</v>
      </c>
      <c r="D352" s="75" t="n">
        <v>50232</v>
      </c>
      <c r="E352" s="52" t="str">
        <f aca="false">IF(D352&lt;&gt;"",IFERROR(VLOOKUP(D352,PROVEEDORES!$A:$B,2,0),"!COD NO ENCONTRADO"),"")</f>
        <v>XESTION NOVA LONXA RIVEIRA S.L.</v>
      </c>
      <c r="F352" s="76" t="str">
        <f aca="false">IF(D352&lt;&gt;"",IFERROR(VLOOKUP(D352,PROVEEDORES!$A:$C,3,0),""),"")</f>
        <v>S</v>
      </c>
      <c r="G352" s="75" t="s">
        <v>296</v>
      </c>
      <c r="H352" s="52" t="str">
        <f aca="false">IF(G352&lt;&gt;"",IFERROR(VLOOKUP(G352,PRODUCTOS!$A:$B,2,0),"!COD NO ENCONTRADO"),"")</f>
        <v>RAPE NEGRO (ANK)</v>
      </c>
      <c r="I352" s="77" t="n">
        <v>1</v>
      </c>
      <c r="J352" s="78" t="n">
        <v>4.8</v>
      </c>
      <c r="K352" s="79" t="n">
        <v>3.7</v>
      </c>
      <c r="L352" s="80" t="n">
        <f aca="false">IF(AND(J352&lt;&gt;"",K352&lt;&gt;""),J352*K352,"")</f>
        <v>17.76</v>
      </c>
      <c r="M352" s="81" t="n">
        <f aca="false">IF(L352&lt;&gt;"",L352*1.1,"")</f>
        <v>19.536</v>
      </c>
      <c r="N352" s="53" t="n">
        <f aca="false">IF(F352="S",L352*0.02,0)</f>
        <v>0.3552</v>
      </c>
      <c r="O352" s="82" t="n">
        <f aca="false">IF(L352&lt;&gt;"",L352+N352,"")</f>
        <v>18.1152</v>
      </c>
      <c r="P352" s="53" t="n">
        <f aca="false">IF(O352&lt;&gt;"",O352*0.1,"")</f>
        <v>1.81152</v>
      </c>
      <c r="Q352" s="83" t="n">
        <f aca="false">IF(O352&lt;&gt;"",O352+P352,"")</f>
        <v>19.92672</v>
      </c>
      <c r="R352" s="84"/>
    </row>
    <row r="353" customFormat="false" ht="15" hidden="false" customHeight="true" outlineLevel="0" collapsed="false">
      <c r="A353" s="103" t="n">
        <v>55886</v>
      </c>
      <c r="B353" s="85" t="n">
        <v>46199</v>
      </c>
      <c r="C353" s="86" t="n">
        <v>2506</v>
      </c>
      <c r="D353" s="87" t="n">
        <v>50232</v>
      </c>
      <c r="E353" s="46" t="str">
        <f aca="false">IF(D353&lt;&gt;"",IFERROR(VLOOKUP(D353,PROVEEDORES!$A:$B,2,0),"!COD NO ENCONTRADO"),"")</f>
        <v>XESTION NOVA LONXA RIVEIRA S.L.</v>
      </c>
      <c r="F353" s="88" t="str">
        <f aca="false">IF(D353&lt;&gt;"",IFERROR(VLOOKUP(D353,PROVEEDORES!$A:$C,3,0),""),"")</f>
        <v>S</v>
      </c>
      <c r="G353" s="87" t="s">
        <v>296</v>
      </c>
      <c r="H353" s="46" t="str">
        <f aca="false">IF(G353&lt;&gt;"",IFERROR(VLOOKUP(G353,PRODUCTOS!$A:$B,2,0),"!COD NO ENCONTRADO"),"")</f>
        <v>RAPE NEGRO (ANK)</v>
      </c>
      <c r="I353" s="89" t="n">
        <v>1</v>
      </c>
      <c r="J353" s="90" t="n">
        <v>0.4</v>
      </c>
      <c r="K353" s="91" t="n">
        <v>3</v>
      </c>
      <c r="L353" s="80" t="n">
        <f aca="false">IF(AND(J353&lt;&gt;"",K353&lt;&gt;""),J353*K353,"")</f>
        <v>1.2</v>
      </c>
      <c r="M353" s="81" t="n">
        <f aca="false">IF(L353&lt;&gt;"",L353*1.1,"")</f>
        <v>1.32</v>
      </c>
      <c r="N353" s="47" t="n">
        <f aca="false">IF(F353="S",L353*0.02,0)</f>
        <v>0.024</v>
      </c>
      <c r="O353" s="82" t="n">
        <f aca="false">IF(L353&lt;&gt;"",L353+N353,"")</f>
        <v>1.224</v>
      </c>
      <c r="P353" s="47" t="n">
        <f aca="false">IF(O353&lt;&gt;"",O353*0.1,"")</f>
        <v>0.1224</v>
      </c>
      <c r="Q353" s="83" t="n">
        <f aca="false">IF(O353&lt;&gt;"",O353+P353,"")</f>
        <v>1.3464</v>
      </c>
      <c r="R353" s="84"/>
    </row>
    <row r="354" customFormat="false" ht="15" hidden="false" customHeight="true" outlineLevel="0" collapsed="false">
      <c r="A354" s="103" t="n">
        <v>55886</v>
      </c>
      <c r="B354" s="73" t="n">
        <v>46199</v>
      </c>
      <c r="C354" s="74" t="n">
        <v>2506</v>
      </c>
      <c r="D354" s="75" t="n">
        <v>50232</v>
      </c>
      <c r="E354" s="52" t="str">
        <f aca="false">IF(D354&lt;&gt;"",IFERROR(VLOOKUP(D354,PROVEEDORES!$A:$B,2,0),"!COD NO ENCONTRADO"),"")</f>
        <v>XESTION NOVA LONXA RIVEIRA S.L.</v>
      </c>
      <c r="F354" s="76" t="str">
        <f aca="false">IF(D354&lt;&gt;"",IFERROR(VLOOKUP(D354,PROVEEDORES!$A:$C,3,0),""),"")</f>
        <v>S</v>
      </c>
      <c r="G354" s="75" t="s">
        <v>296</v>
      </c>
      <c r="H354" s="52" t="str">
        <f aca="false">IF(G354&lt;&gt;"",IFERROR(VLOOKUP(G354,PRODUCTOS!$A:$B,2,0),"!COD NO ENCONTRADO"),"")</f>
        <v>RAPE NEGRO (ANK)</v>
      </c>
      <c r="I354" s="77" t="n">
        <v>1</v>
      </c>
      <c r="J354" s="78" t="n">
        <v>4.7</v>
      </c>
      <c r="K354" s="79" t="n">
        <v>2</v>
      </c>
      <c r="L354" s="80" t="n">
        <f aca="false">IF(AND(J354&lt;&gt;"",K354&lt;&gt;""),J354*K354,"")</f>
        <v>9.4</v>
      </c>
      <c r="M354" s="81" t="n">
        <f aca="false">IF(L354&lt;&gt;"",L354*1.1,"")</f>
        <v>10.34</v>
      </c>
      <c r="N354" s="53" t="n">
        <f aca="false">IF(F354="S",L354*0.02,0)</f>
        <v>0.188</v>
      </c>
      <c r="O354" s="82" t="n">
        <f aca="false">IF(L354&lt;&gt;"",L354+N354,"")</f>
        <v>9.588</v>
      </c>
      <c r="P354" s="53" t="n">
        <f aca="false">IF(O354&lt;&gt;"",O354*0.1,"")</f>
        <v>0.9588</v>
      </c>
      <c r="Q354" s="83" t="n">
        <f aca="false">IF(O354&lt;&gt;"",O354+P354,"")</f>
        <v>10.5468</v>
      </c>
      <c r="R354" s="84"/>
    </row>
    <row r="355" customFormat="false" ht="15" hidden="false" customHeight="true" outlineLevel="0" collapsed="false">
      <c r="A355" s="103" t="n">
        <v>55886</v>
      </c>
      <c r="B355" s="85" t="n">
        <v>46199</v>
      </c>
      <c r="C355" s="86" t="n">
        <v>2506</v>
      </c>
      <c r="D355" s="87" t="n">
        <v>50232</v>
      </c>
      <c r="E355" s="46" t="str">
        <f aca="false">IF(D355&lt;&gt;"",IFERROR(VLOOKUP(D355,PROVEEDORES!$A:$B,2,0),"!COD NO ENCONTRADO"),"")</f>
        <v>XESTION NOVA LONXA RIVEIRA S.L.</v>
      </c>
      <c r="F355" s="88" t="str">
        <f aca="false">IF(D355&lt;&gt;"",IFERROR(VLOOKUP(D355,PROVEEDORES!$A:$C,3,0),""),"")</f>
        <v>S</v>
      </c>
      <c r="G355" s="87" t="s">
        <v>326</v>
      </c>
      <c r="H355" s="46" t="str">
        <f aca="false">IF(G355&lt;&gt;"",IFERROR(VLOOKUP(G355,PRODUCTOS!$A:$B,2,0),"!COD NO ENCONTRADO"),"")</f>
        <v>SARGO RIA (SWA)</v>
      </c>
      <c r="I355" s="89" t="n">
        <v>17</v>
      </c>
      <c r="J355" s="90" t="n">
        <v>104.4</v>
      </c>
      <c r="K355" s="91" t="n">
        <v>11.5</v>
      </c>
      <c r="L355" s="80" t="n">
        <f aca="false">IF(AND(J355&lt;&gt;"",K355&lt;&gt;""),J355*K355,"")</f>
        <v>1200.6</v>
      </c>
      <c r="M355" s="81" t="n">
        <f aca="false">IF(L355&lt;&gt;"",L355*1.1,"")</f>
        <v>1320.66</v>
      </c>
      <c r="N355" s="47" t="n">
        <f aca="false">IF(F355="S",L355*0.02,0)</f>
        <v>24.012</v>
      </c>
      <c r="O355" s="82" t="n">
        <f aca="false">IF(L355&lt;&gt;"",L355+N355,"")</f>
        <v>1224.612</v>
      </c>
      <c r="P355" s="47" t="n">
        <f aca="false">IF(O355&lt;&gt;"",O355*0.1,"")</f>
        <v>122.4612</v>
      </c>
      <c r="Q355" s="83" t="n">
        <f aca="false">IF(O355&lt;&gt;"",O355+P355,"")</f>
        <v>1347.0732</v>
      </c>
      <c r="R355" s="84"/>
    </row>
    <row r="356" customFormat="false" ht="15" hidden="false" customHeight="true" outlineLevel="0" collapsed="false">
      <c r="A356" s="103" t="n">
        <v>55886</v>
      </c>
      <c r="B356" s="73" t="n">
        <v>46199</v>
      </c>
      <c r="C356" s="74" t="n">
        <v>2506</v>
      </c>
      <c r="D356" s="75" t="n">
        <v>50232</v>
      </c>
      <c r="E356" s="52" t="str">
        <f aca="false">IF(D356&lt;&gt;"",IFERROR(VLOOKUP(D356,PROVEEDORES!$A:$B,2,0),"!COD NO ENCONTRADO"),"")</f>
        <v>XESTION NOVA LONXA RIVEIRA S.L.</v>
      </c>
      <c r="F356" s="76" t="str">
        <f aca="false">IF(D356&lt;&gt;"",IFERROR(VLOOKUP(D356,PROVEEDORES!$A:$C,3,0),""),"")</f>
        <v>S</v>
      </c>
      <c r="G356" s="75" t="s">
        <v>183</v>
      </c>
      <c r="H356" s="52" t="str">
        <f aca="false">IF(G356&lt;&gt;"",IFERROR(VLOOKUP(G356,PRODUCTOS!$A:$B,2,0),"!COD NO ENCONTRADO"),"")</f>
        <v>LUBINA RIA/ ROBALIZA (BSS)</v>
      </c>
      <c r="I356" s="77" t="n">
        <v>2</v>
      </c>
      <c r="J356" s="78" t="n">
        <v>16.9</v>
      </c>
      <c r="K356" s="79" t="n">
        <v>17</v>
      </c>
      <c r="L356" s="80" t="n">
        <f aca="false">IF(AND(J356&lt;&gt;"",K356&lt;&gt;""),J356*K356,"")</f>
        <v>287.3</v>
      </c>
      <c r="M356" s="81" t="n">
        <f aca="false">IF(L356&lt;&gt;"",L356*1.1,"")</f>
        <v>316.03</v>
      </c>
      <c r="N356" s="53" t="n">
        <f aca="false">IF(F356="S",L356*0.02,0)</f>
        <v>5.746</v>
      </c>
      <c r="O356" s="82" t="n">
        <f aca="false">IF(L356&lt;&gt;"",L356+N356,"")</f>
        <v>293.046</v>
      </c>
      <c r="P356" s="53" t="n">
        <f aca="false">IF(O356&lt;&gt;"",O356*0.1,"")</f>
        <v>29.3046</v>
      </c>
      <c r="Q356" s="83" t="n">
        <f aca="false">IF(O356&lt;&gt;"",O356+P356,"")</f>
        <v>322.3506</v>
      </c>
      <c r="R356" s="84"/>
    </row>
    <row r="357" customFormat="false" ht="15" hidden="false" customHeight="true" outlineLevel="0" collapsed="false">
      <c r="A357" s="103" t="n">
        <v>55886</v>
      </c>
      <c r="B357" s="85" t="n">
        <v>46199</v>
      </c>
      <c r="C357" s="86" t="n">
        <v>2506</v>
      </c>
      <c r="D357" s="87" t="n">
        <v>50232</v>
      </c>
      <c r="E357" s="46" t="str">
        <f aca="false">IF(D357&lt;&gt;"",IFERROR(VLOOKUP(D357,PROVEEDORES!$A:$B,2,0),"!COD NO ENCONTRADO"),"")</f>
        <v>XESTION NOVA LONXA RIVEIRA S.L.</v>
      </c>
      <c r="F357" s="88" t="str">
        <f aca="false">IF(D357&lt;&gt;"",IFERROR(VLOOKUP(D357,PROVEEDORES!$A:$C,3,0),""),"")</f>
        <v>S</v>
      </c>
      <c r="G357" s="87" t="s">
        <v>288</v>
      </c>
      <c r="H357" s="46" t="str">
        <f aca="false">IF(G357&lt;&gt;"",IFERROR(VLOOKUP(G357,PRODUCTOS!$A:$B,2,0),"!COD NO ENCONTRADO"),"")</f>
        <v>RAPE BLANCO DIA (MON)</v>
      </c>
      <c r="I357" s="89" t="n">
        <v>3</v>
      </c>
      <c r="J357" s="90" t="n">
        <v>14.8</v>
      </c>
      <c r="K357" s="91" t="n">
        <v>4.5</v>
      </c>
      <c r="L357" s="80" t="n">
        <f aca="false">IF(AND(J357&lt;&gt;"",K357&lt;&gt;""),J357*K357,"")</f>
        <v>66.6</v>
      </c>
      <c r="M357" s="81" t="n">
        <f aca="false">IF(L357&lt;&gt;"",L357*1.1,"")</f>
        <v>73.26</v>
      </c>
      <c r="N357" s="47" t="n">
        <f aca="false">IF(F357="S",L357*0.02,0)</f>
        <v>1.332</v>
      </c>
      <c r="O357" s="82" t="n">
        <f aca="false">IF(L357&lt;&gt;"",L357+N357,"")</f>
        <v>67.932</v>
      </c>
      <c r="P357" s="47" t="n">
        <f aca="false">IF(O357&lt;&gt;"",O357*0.1,"")</f>
        <v>6.7932</v>
      </c>
      <c r="Q357" s="83" t="n">
        <f aca="false">IF(O357&lt;&gt;"",O357+P357,"")</f>
        <v>74.7252</v>
      </c>
      <c r="R357" s="84"/>
    </row>
    <row r="358" customFormat="false" ht="15" hidden="false" customHeight="true" outlineLevel="0" collapsed="false">
      <c r="A358" s="103" t="n">
        <v>55886</v>
      </c>
      <c r="B358" s="73" t="n">
        <v>46199</v>
      </c>
      <c r="C358" s="74" t="n">
        <v>2506</v>
      </c>
      <c r="D358" s="75" t="n">
        <v>50232</v>
      </c>
      <c r="E358" s="52" t="str">
        <f aca="false">IF(D358&lt;&gt;"",IFERROR(VLOOKUP(D358,PROVEEDORES!$A:$B,2,0),"!COD NO ENCONTRADO"),"")</f>
        <v>XESTION NOVA LONXA RIVEIRA S.L.</v>
      </c>
      <c r="F358" s="76" t="str">
        <f aca="false">IF(D358&lt;&gt;"",IFERROR(VLOOKUP(D358,PROVEEDORES!$A:$C,3,0),""),"")</f>
        <v>S</v>
      </c>
      <c r="G358" s="75" t="s">
        <v>302</v>
      </c>
      <c r="H358" s="52" t="str">
        <f aca="false">IF(G358&lt;&gt;"",IFERROR(VLOOKUP(G358,PRODUCTOS!$A:$B,2,0),"!COD NO ENCONTRADO"),"")</f>
        <v>RAYA COMUN (ALAS)</v>
      </c>
      <c r="I358" s="77" t="n">
        <v>1</v>
      </c>
      <c r="J358" s="78" t="n">
        <v>7.2</v>
      </c>
      <c r="K358" s="79" t="n">
        <v>2.2</v>
      </c>
      <c r="L358" s="80" t="n">
        <f aca="false">IF(AND(J358&lt;&gt;"",K358&lt;&gt;""),J358*K358,"")</f>
        <v>15.84</v>
      </c>
      <c r="M358" s="81" t="n">
        <f aca="false">IF(L358&lt;&gt;"",L358*1.1,"")</f>
        <v>17.424</v>
      </c>
      <c r="N358" s="53" t="n">
        <f aca="false">IF(F358="S",L358*0.02,0)</f>
        <v>0.3168</v>
      </c>
      <c r="O358" s="82" t="n">
        <f aca="false">IF(L358&lt;&gt;"",L358+N358,"")</f>
        <v>16.1568</v>
      </c>
      <c r="P358" s="53" t="n">
        <f aca="false">IF(O358&lt;&gt;"",O358*0.1,"")</f>
        <v>1.61568</v>
      </c>
      <c r="Q358" s="83" t="n">
        <f aca="false">IF(O358&lt;&gt;"",O358+P358,"")</f>
        <v>17.77248</v>
      </c>
      <c r="R358" s="84"/>
    </row>
    <row r="359" customFormat="false" ht="15" hidden="false" customHeight="true" outlineLevel="0" collapsed="false">
      <c r="A359" s="103" t="n">
        <v>55886</v>
      </c>
      <c r="B359" s="85" t="n">
        <v>46199</v>
      </c>
      <c r="C359" s="86" t="n">
        <v>2506</v>
      </c>
      <c r="D359" s="87" t="n">
        <v>50232</v>
      </c>
      <c r="E359" s="46" t="str">
        <f aca="false">IF(D359&lt;&gt;"",IFERROR(VLOOKUP(D359,PROVEEDORES!$A:$B,2,0),"!COD NO ENCONTRADO"),"")</f>
        <v>XESTION NOVA LONXA RIVEIRA S.L.</v>
      </c>
      <c r="F359" s="88" t="str">
        <f aca="false">IF(D359&lt;&gt;"",IFERROR(VLOOKUP(D359,PROVEEDORES!$A:$C,3,0),""),"")</f>
        <v>S</v>
      </c>
      <c r="G359" s="87" t="s">
        <v>302</v>
      </c>
      <c r="H359" s="46" t="str">
        <f aca="false">IF(G359&lt;&gt;"",IFERROR(VLOOKUP(G359,PRODUCTOS!$A:$B,2,0),"!COD NO ENCONTRADO"),"")</f>
        <v>RAYA COMUN (ALAS)</v>
      </c>
      <c r="I359" s="89" t="n">
        <v>11</v>
      </c>
      <c r="J359" s="90" t="n">
        <f aca="false">2.5+11.5+9.5+8.5+5.6+11.8+10.3+8.5+10.3+6.1+5</f>
        <v>89.6</v>
      </c>
      <c r="K359" s="91" t="n">
        <v>0.6</v>
      </c>
      <c r="L359" s="80" t="n">
        <f aca="false">IF(AND(J359&lt;&gt;"",K359&lt;&gt;""),J359*K359,"")</f>
        <v>53.76</v>
      </c>
      <c r="M359" s="81" t="n">
        <f aca="false">IF(L359&lt;&gt;"",L359*1.1,"")</f>
        <v>59.136</v>
      </c>
      <c r="N359" s="47" t="n">
        <f aca="false">IF(F359="S",L359*0.02,0)</f>
        <v>1.0752</v>
      </c>
      <c r="O359" s="82" t="n">
        <f aca="false">IF(L359&lt;&gt;"",L359+N359,"")</f>
        <v>54.8352</v>
      </c>
      <c r="P359" s="47" t="n">
        <f aca="false">IF(O359&lt;&gt;"",O359*0.1,"")</f>
        <v>5.48352</v>
      </c>
      <c r="Q359" s="83" t="n">
        <f aca="false">IF(O359&lt;&gt;"",O359+P359,"")</f>
        <v>60.31872</v>
      </c>
      <c r="R359" s="84"/>
    </row>
    <row r="360" customFormat="false" ht="15" hidden="false" customHeight="true" outlineLevel="0" collapsed="false">
      <c r="A360" s="103" t="n">
        <v>55886</v>
      </c>
      <c r="B360" s="73" t="n">
        <v>46199</v>
      </c>
      <c r="C360" s="74" t="n">
        <v>2506</v>
      </c>
      <c r="D360" s="75" t="n">
        <v>50232</v>
      </c>
      <c r="E360" s="52" t="str">
        <f aca="false">IF(D360&lt;&gt;"",IFERROR(VLOOKUP(D360,PROVEEDORES!$A:$B,2,0),"!COD NO ENCONTRADO"),"")</f>
        <v>XESTION NOVA LONXA RIVEIRA S.L.</v>
      </c>
      <c r="F360" s="76" t="str">
        <f aca="false">IF(D360&lt;&gt;"",IFERROR(VLOOKUP(D360,PROVEEDORES!$A:$C,3,0),""),"")</f>
        <v>S</v>
      </c>
      <c r="G360" s="75" t="s">
        <v>302</v>
      </c>
      <c r="H360" s="52" t="str">
        <f aca="false">IF(G360&lt;&gt;"",IFERROR(VLOOKUP(G360,PRODUCTOS!$A:$B,2,0),"!COD NO ENCONTRADO"),"")</f>
        <v>RAYA COMUN (ALAS)</v>
      </c>
      <c r="I360" s="77" t="n">
        <v>22</v>
      </c>
      <c r="J360" s="78" t="n">
        <f aca="false">291.6-89.6</f>
        <v>202</v>
      </c>
      <c r="K360" s="79" t="n">
        <v>2.2</v>
      </c>
      <c r="L360" s="80" t="n">
        <f aca="false">IF(AND(J360&lt;&gt;"",K360&lt;&gt;""),J360*K360,"")</f>
        <v>444.4</v>
      </c>
      <c r="M360" s="81" t="n">
        <f aca="false">IF(L360&lt;&gt;"",L360*1.1,"")</f>
        <v>488.84</v>
      </c>
      <c r="N360" s="53" t="n">
        <f aca="false">IF(F360="S",L360*0.02,0)</f>
        <v>8.888</v>
      </c>
      <c r="O360" s="82" t="n">
        <f aca="false">IF(L360&lt;&gt;"",L360+N360,"")</f>
        <v>453.288</v>
      </c>
      <c r="P360" s="53" t="n">
        <f aca="false">IF(O360&lt;&gt;"",O360*0.1,"")</f>
        <v>45.3288</v>
      </c>
      <c r="Q360" s="83" t="n">
        <f aca="false">IF(O360&lt;&gt;"",O360+P360,"")</f>
        <v>498.6168</v>
      </c>
      <c r="R360" s="84"/>
    </row>
    <row r="361" customFormat="false" ht="15" hidden="false" customHeight="true" outlineLevel="0" collapsed="false">
      <c r="A361" s="103" t="n">
        <v>55886</v>
      </c>
      <c r="B361" s="85" t="n">
        <v>46199</v>
      </c>
      <c r="C361" s="86" t="n">
        <v>2506</v>
      </c>
      <c r="D361" s="87" t="n">
        <v>50232</v>
      </c>
      <c r="E361" s="46" t="str">
        <f aca="false">IF(D361&lt;&gt;"",IFERROR(VLOOKUP(D361,PROVEEDORES!$A:$B,2,0),"!COD NO ENCONTRADO"),"")</f>
        <v>XESTION NOVA LONXA RIVEIRA S.L.</v>
      </c>
      <c r="F361" s="88" t="str">
        <f aca="false">IF(D361&lt;&gt;"",IFERROR(VLOOKUP(D361,PROVEEDORES!$A:$C,3,0),""),"")</f>
        <v>S</v>
      </c>
      <c r="G361" s="87" t="s">
        <v>302</v>
      </c>
      <c r="H361" s="46" t="str">
        <f aca="false">IF(G361&lt;&gt;"",IFERROR(VLOOKUP(G361,PRODUCTOS!$A:$B,2,0),"!COD NO ENCONTRADO"),"")</f>
        <v>RAYA COMUN (ALAS)</v>
      </c>
      <c r="I361" s="89" t="n">
        <v>1</v>
      </c>
      <c r="J361" s="90" t="n">
        <v>9.3</v>
      </c>
      <c r="K361" s="91" t="n">
        <v>2.2</v>
      </c>
      <c r="L361" s="80" t="n">
        <f aca="false">IF(AND(J361&lt;&gt;"",K361&lt;&gt;""),J361*K361,"")</f>
        <v>20.46</v>
      </c>
      <c r="M361" s="81" t="n">
        <f aca="false">IF(L361&lt;&gt;"",L361*1.1,"")</f>
        <v>22.506</v>
      </c>
      <c r="N361" s="47" t="n">
        <f aca="false">IF(F361="S",L361*0.02,0)</f>
        <v>0.4092</v>
      </c>
      <c r="O361" s="82" t="n">
        <f aca="false">IF(L361&lt;&gt;"",L361+N361,"")</f>
        <v>20.8692</v>
      </c>
      <c r="P361" s="47" t="n">
        <f aca="false">IF(O361&lt;&gt;"",O361*0.1,"")</f>
        <v>2.08692</v>
      </c>
      <c r="Q361" s="83" t="n">
        <f aca="false">IF(O361&lt;&gt;"",O361+P361,"")</f>
        <v>22.95612</v>
      </c>
      <c r="R361" s="84"/>
    </row>
    <row r="362" customFormat="false" ht="15" hidden="false" customHeight="true" outlineLevel="0" collapsed="false">
      <c r="A362" s="103" t="n">
        <v>55886</v>
      </c>
      <c r="B362" s="73" t="n">
        <v>46199</v>
      </c>
      <c r="C362" s="74" t="n">
        <v>2506</v>
      </c>
      <c r="D362" s="75" t="n">
        <v>50232</v>
      </c>
      <c r="E362" s="52" t="str">
        <f aca="false">IF(D362&lt;&gt;"",IFERROR(VLOOKUP(D362,PROVEEDORES!$A:$B,2,0),"!COD NO ENCONTRADO"),"")</f>
        <v>XESTION NOVA LONXA RIVEIRA S.L.</v>
      </c>
      <c r="F362" s="76" t="str">
        <f aca="false">IF(D362&lt;&gt;"",IFERROR(VLOOKUP(D362,PROVEEDORES!$A:$C,3,0),""),"")</f>
        <v>S</v>
      </c>
      <c r="G362" s="75" t="s">
        <v>288</v>
      </c>
      <c r="H362" s="52" t="str">
        <f aca="false">IF(G362&lt;&gt;"",IFERROR(VLOOKUP(G362,PRODUCTOS!$A:$B,2,0),"!COD NO ENCONTRADO"),"")</f>
        <v>RAPE BLANCO DIA (MON)</v>
      </c>
      <c r="I362" s="77" t="n">
        <v>5</v>
      </c>
      <c r="J362" s="78" t="n">
        <f aca="false">4.1+8.3+12.1+5.5</f>
        <v>30</v>
      </c>
      <c r="K362" s="79" t="n">
        <v>3</v>
      </c>
      <c r="L362" s="80" t="n">
        <f aca="false">IF(AND(J362&lt;&gt;"",K362&lt;&gt;""),J362*K362,"")</f>
        <v>90</v>
      </c>
      <c r="M362" s="81" t="n">
        <f aca="false">IF(L362&lt;&gt;"",L362*1.1,"")</f>
        <v>99</v>
      </c>
      <c r="N362" s="53" t="n">
        <f aca="false">IF(F362="S",L362*0.02,0)</f>
        <v>1.8</v>
      </c>
      <c r="O362" s="82" t="n">
        <f aca="false">IF(L362&lt;&gt;"",L362+N362,"")</f>
        <v>91.8</v>
      </c>
      <c r="P362" s="53" t="n">
        <f aca="false">IF(O362&lt;&gt;"",O362*0.1,"")</f>
        <v>9.18</v>
      </c>
      <c r="Q362" s="83" t="n">
        <f aca="false">IF(O362&lt;&gt;"",O362+P362,"")</f>
        <v>100.98</v>
      </c>
      <c r="R362" s="84"/>
    </row>
    <row r="363" customFormat="false" ht="15" hidden="false" customHeight="true" outlineLevel="0" collapsed="false">
      <c r="A363" s="103" t="n">
        <v>55887</v>
      </c>
      <c r="B363" s="73" t="n">
        <v>46199</v>
      </c>
      <c r="C363" s="74" t="n">
        <v>3499</v>
      </c>
      <c r="D363" s="75" t="n">
        <v>50069</v>
      </c>
      <c r="E363" s="52" t="str">
        <f aca="false">IF(D363&lt;&gt;"",IFERROR(VLOOKUP(D363,PROVEEDORES!$A:$B,2,0),"!COD NO ENCONTRADO"),"")</f>
        <v>PESCADOS ILLANES S.L.</v>
      </c>
      <c r="F363" s="76" t="str">
        <f aca="false">IF(D363&lt;&gt;"",IFERROR(VLOOKUP(D363,PROVEEDORES!$A:$C,3,0),""),"")</f>
        <v>S</v>
      </c>
      <c r="G363" s="75" t="s">
        <v>216</v>
      </c>
      <c r="H363" s="52" t="str">
        <f aca="false">IF(G363&lt;&gt;"",IFERROR(VLOOKUP(G363,PRODUCTOS!$A:$B,2,0),"!COD NO ENCONTRADO"),"")</f>
        <v>MERLUZA EUROPEA PINCHO COSTA</v>
      </c>
      <c r="I363" s="77" t="n">
        <v>1</v>
      </c>
      <c r="J363" s="78" t="n">
        <v>14.75</v>
      </c>
      <c r="K363" s="79" t="n">
        <v>7.8</v>
      </c>
      <c r="L363" s="80" t="n">
        <f aca="false">IF(AND(J363&lt;&gt;"",K363&lt;&gt;""),J363*K363,"")</f>
        <v>115.05</v>
      </c>
      <c r="M363" s="81" t="n">
        <f aca="false">IF(L363&lt;&gt;"",L363*1.1,"")</f>
        <v>126.555</v>
      </c>
      <c r="N363" s="53" t="n">
        <f aca="false">IF(F363="S",L363*0.02,0)</f>
        <v>2.301</v>
      </c>
      <c r="O363" s="82" t="n">
        <f aca="false">IF(L363&lt;&gt;"",L363+N363,"")</f>
        <v>117.351</v>
      </c>
      <c r="P363" s="53" t="n">
        <f aca="false">IF(O363&lt;&gt;"",O363*0.1,"")</f>
        <v>11.7351</v>
      </c>
      <c r="Q363" s="83" t="n">
        <f aca="false">IF(O363&lt;&gt;"",O363+P363,"")</f>
        <v>129.0861</v>
      </c>
      <c r="R363" s="84"/>
    </row>
    <row r="364" customFormat="false" ht="15" hidden="false" customHeight="true" outlineLevel="0" collapsed="false">
      <c r="A364" s="103" t="n">
        <v>55887</v>
      </c>
      <c r="B364" s="73" t="n">
        <v>46199</v>
      </c>
      <c r="C364" s="86" t="n">
        <v>3499</v>
      </c>
      <c r="D364" s="87" t="n">
        <v>50069</v>
      </c>
      <c r="E364" s="46" t="str">
        <f aca="false">IF(D364&lt;&gt;"",IFERROR(VLOOKUP(D364,PROVEEDORES!$A:$B,2,0),"!COD NO ENCONTRADO"),"")</f>
        <v>PESCADOS ILLANES S.L.</v>
      </c>
      <c r="F364" s="88" t="str">
        <f aca="false">IF(D364&lt;&gt;"",IFERROR(VLOOKUP(D364,PROVEEDORES!$A:$C,3,0),""),"")</f>
        <v>S</v>
      </c>
      <c r="G364" s="87" t="s">
        <v>151</v>
      </c>
      <c r="H364" s="46" t="str">
        <f aca="false">IF(G364&lt;&gt;"",IFERROR(VLOOKUP(G364,PRODUCTOS!$A:$B,2,0),"!COD NO ENCONTRADO"),"")</f>
        <v>ESCACHO/ ARETE/ RUBIO (GUR)</v>
      </c>
      <c r="I364" s="89" t="n">
        <v>2</v>
      </c>
      <c r="J364" s="90" t="n">
        <f aca="false">9.75+3.75</f>
        <v>13.5</v>
      </c>
      <c r="K364" s="91" t="n">
        <v>0.2</v>
      </c>
      <c r="L364" s="80" t="n">
        <f aca="false">IF(AND(J364&lt;&gt;"",K364&lt;&gt;""),J364*K364,"")</f>
        <v>2.7</v>
      </c>
      <c r="M364" s="81" t="n">
        <f aca="false">IF(L364&lt;&gt;"",L364*1.1,"")</f>
        <v>2.97</v>
      </c>
      <c r="N364" s="47" t="n">
        <f aca="false">IF(F364="S",L364*0.02,0)</f>
        <v>0.054</v>
      </c>
      <c r="O364" s="82" t="n">
        <f aca="false">IF(L364&lt;&gt;"",L364+N364,"")</f>
        <v>2.754</v>
      </c>
      <c r="P364" s="47" t="n">
        <f aca="false">IF(O364&lt;&gt;"",O364*0.1,"")</f>
        <v>0.2754</v>
      </c>
      <c r="Q364" s="83" t="n">
        <f aca="false">IF(O364&lt;&gt;"",O364+P364,"")</f>
        <v>3.0294</v>
      </c>
      <c r="R364" s="84"/>
    </row>
    <row r="365" customFormat="false" ht="15" hidden="false" customHeight="true" outlineLevel="0" collapsed="false">
      <c r="A365" s="103" t="n">
        <v>55888</v>
      </c>
      <c r="B365" s="85" t="n">
        <v>46200</v>
      </c>
      <c r="C365" s="86"/>
      <c r="D365" s="87" t="n">
        <v>50207</v>
      </c>
      <c r="E365" s="46" t="str">
        <f aca="false">IF(D365&lt;&gt;"",IFERROR(VLOOKUP(D365,PROVEEDORES!$A:$B,2,0),"!COD NO ENCONTRADO"),"")</f>
        <v>MARLEDICIA S.L</v>
      </c>
      <c r="F365" s="88" t="str">
        <f aca="false">IF(D365&lt;&gt;"",IFERROR(VLOOKUP(D365,PROVEEDORES!$A:$C,3,0),""),"")</f>
        <v>S</v>
      </c>
      <c r="G365" s="87" t="s">
        <v>221</v>
      </c>
      <c r="H365" s="46" t="str">
        <f aca="false">IF(G365&lt;&gt;"",IFERROR(VLOOKUP(G365,PRODUCTOS!$A:$B,2,0),"!COD NO ENCONTRADO"),"")</f>
        <v>MERLUZA EUROPEA PINCHO COSTA 800</v>
      </c>
      <c r="I365" s="89" t="n">
        <v>1</v>
      </c>
      <c r="J365" s="90" t="n">
        <v>11.5</v>
      </c>
      <c r="K365" s="91" t="n">
        <v>3.4</v>
      </c>
      <c r="L365" s="80" t="n">
        <f aca="false">IF(AND(J365&lt;&gt;"",K365&lt;&gt;""),J365*K365,"")</f>
        <v>39.1</v>
      </c>
      <c r="M365" s="81" t="n">
        <f aca="false">IF(L365&lt;&gt;"",L365*1.1,"")</f>
        <v>43.01</v>
      </c>
      <c r="N365" s="47" t="n">
        <f aca="false">IF(F365="S",L365*0.02,0)</f>
        <v>0.782</v>
      </c>
      <c r="O365" s="82" t="n">
        <f aca="false">IF(L365&lt;&gt;"",L365+N365,"")</f>
        <v>39.882</v>
      </c>
      <c r="P365" s="47" t="n">
        <f aca="false">IF(O365&lt;&gt;"",O365*0.1,"")</f>
        <v>3.9882</v>
      </c>
      <c r="Q365" s="83" t="n">
        <f aca="false">IF(O365&lt;&gt;"",O365+P365,"")</f>
        <v>43.8702</v>
      </c>
      <c r="R365" s="84"/>
    </row>
    <row r="366" customFormat="false" ht="15" hidden="false" customHeight="true" outlineLevel="0" collapsed="false">
      <c r="A366" s="103" t="n">
        <v>55889</v>
      </c>
      <c r="B366" s="73" t="n">
        <v>46200</v>
      </c>
      <c r="C366" s="74" t="n">
        <v>32458</v>
      </c>
      <c r="D366" s="75" t="n">
        <v>50106</v>
      </c>
      <c r="E366" s="52" t="str">
        <f aca="false">IF(D366&lt;&gt;"",IFERROR(VLOOKUP(D366,PROVEEDORES!$A:$B,2,0),"!COD NO ENCONTRADO"),"")</f>
        <v>SONIA VENTAS S.L</v>
      </c>
      <c r="F366" s="76" t="str">
        <f aca="false">IF(D366&lt;&gt;"",IFERROR(VLOOKUP(D366,PROVEEDORES!$A:$C,3,0),""),"")</f>
        <v>S</v>
      </c>
      <c r="G366" s="75" t="s">
        <v>219</v>
      </c>
      <c r="H366" s="52" t="str">
        <f aca="false">IF(G366&lt;&gt;"",IFERROR(VLOOKUP(G366,PRODUCTOS!$A:$B,2,0),"!COD NO ENCONTRADO"),"")</f>
        <v>MERLUZA EUROPEA PINCHO COSTA 600</v>
      </c>
      <c r="I366" s="77" t="n">
        <v>4</v>
      </c>
      <c r="J366" s="78" t="n">
        <v>40.25</v>
      </c>
      <c r="K366" s="79" t="n">
        <v>2.8</v>
      </c>
      <c r="L366" s="80" t="n">
        <f aca="false">IF(AND(J366&lt;&gt;"",K366&lt;&gt;""),J366*K366,"")</f>
        <v>112.7</v>
      </c>
      <c r="M366" s="81" t="n">
        <f aca="false">IF(L366&lt;&gt;"",L366*1.1,"")</f>
        <v>123.97</v>
      </c>
      <c r="N366" s="53" t="n">
        <f aca="false">IF(F366="S",L366*0.02,0)</f>
        <v>2.254</v>
      </c>
      <c r="O366" s="82" t="n">
        <f aca="false">IF(L366&lt;&gt;"",L366+N366,"")</f>
        <v>114.954</v>
      </c>
      <c r="P366" s="53" t="n">
        <f aca="false">IF(O366&lt;&gt;"",O366*0.1,"")</f>
        <v>11.4954</v>
      </c>
      <c r="Q366" s="83" t="n">
        <f aca="false">IF(O366&lt;&gt;"",O366+P366,"")</f>
        <v>126.4494</v>
      </c>
      <c r="R366" s="84"/>
    </row>
    <row r="367" customFormat="false" ht="15" hidden="false" customHeight="true" outlineLevel="0" collapsed="false">
      <c r="A367" s="103" t="n">
        <v>55889</v>
      </c>
      <c r="B367" s="85" t="n">
        <v>46200</v>
      </c>
      <c r="C367" s="86" t="n">
        <v>32458</v>
      </c>
      <c r="D367" s="87" t="n">
        <v>50106</v>
      </c>
      <c r="E367" s="46" t="str">
        <f aca="false">IF(D367&lt;&gt;"",IFERROR(VLOOKUP(D367,PROVEEDORES!$A:$B,2,0),"!COD NO ENCONTRADO"),"")</f>
        <v>SONIA VENTAS S.L</v>
      </c>
      <c r="F367" s="88" t="str">
        <f aca="false">IF(D367&lt;&gt;"",IFERROR(VLOOKUP(D367,PROVEEDORES!$A:$C,3,0),""),"")</f>
        <v>S</v>
      </c>
      <c r="G367" s="87" t="s">
        <v>223</v>
      </c>
      <c r="H367" s="46" t="str">
        <f aca="false">IF(G367&lt;&gt;"",IFERROR(VLOOKUP(G367,PRODUCTOS!$A:$B,2,0),"!COD NO ENCONTRADO"),"")</f>
        <v>MERLUZA EUROPEA PINCHO COSTA 1000</v>
      </c>
      <c r="I367" s="89" t="n">
        <v>1</v>
      </c>
      <c r="J367" s="90" t="n">
        <v>14.5</v>
      </c>
      <c r="K367" s="91" t="n">
        <v>5.3</v>
      </c>
      <c r="L367" s="80" t="n">
        <f aca="false">IF(AND(J367&lt;&gt;"",K367&lt;&gt;""),J367*K367,"")</f>
        <v>76.85</v>
      </c>
      <c r="M367" s="81" t="n">
        <f aca="false">IF(L367&lt;&gt;"",L367*1.1,"")</f>
        <v>84.535</v>
      </c>
      <c r="N367" s="47" t="n">
        <f aca="false">IF(F367="S",L367*0.02,0)</f>
        <v>1.537</v>
      </c>
      <c r="O367" s="82" t="n">
        <f aca="false">IF(L367&lt;&gt;"",L367+N367,"")</f>
        <v>78.387</v>
      </c>
      <c r="P367" s="47" t="n">
        <f aca="false">IF(O367&lt;&gt;"",O367*0.1,"")</f>
        <v>7.8387</v>
      </c>
      <c r="Q367" s="83" t="n">
        <f aca="false">IF(O367&lt;&gt;"",O367+P367,"")</f>
        <v>86.2257</v>
      </c>
      <c r="R367" s="84"/>
    </row>
    <row r="368" customFormat="false" ht="15" hidden="false" customHeight="true" outlineLevel="0" collapsed="false">
      <c r="A368" s="103" t="n">
        <v>55889</v>
      </c>
      <c r="B368" s="73" t="n">
        <v>46200</v>
      </c>
      <c r="C368" s="74" t="n">
        <v>32458</v>
      </c>
      <c r="D368" s="75" t="n">
        <v>50106</v>
      </c>
      <c r="E368" s="52" t="str">
        <f aca="false">IF(D368&lt;&gt;"",IFERROR(VLOOKUP(D368,PROVEEDORES!$A:$B,2,0),"!COD NO ENCONTRADO"),"")</f>
        <v>SONIA VENTAS S.L</v>
      </c>
      <c r="F368" s="76" t="str">
        <f aca="false">IF(D368&lt;&gt;"",IFERROR(VLOOKUP(D368,PROVEEDORES!$A:$C,3,0),""),"")</f>
        <v>S</v>
      </c>
      <c r="G368" s="75" t="s">
        <v>221</v>
      </c>
      <c r="H368" s="52" t="str">
        <f aca="false">IF(G368&lt;&gt;"",IFERROR(VLOOKUP(G368,PRODUCTOS!$A:$B,2,0),"!COD NO ENCONTRADO"),"")</f>
        <v>MERLUZA EUROPEA PINCHO COSTA 800</v>
      </c>
      <c r="I368" s="77" t="n">
        <v>2</v>
      </c>
      <c r="J368" s="78" t="n">
        <f aca="false">13.75+13.75</f>
        <v>27.5</v>
      </c>
      <c r="K368" s="79" t="n">
        <v>4.4</v>
      </c>
      <c r="L368" s="80" t="n">
        <f aca="false">IF(AND(J368&lt;&gt;"",K368&lt;&gt;""),J368*K368,"")</f>
        <v>121</v>
      </c>
      <c r="M368" s="81" t="n">
        <f aca="false">IF(L368&lt;&gt;"",L368*1.1,"")</f>
        <v>133.1</v>
      </c>
      <c r="N368" s="53" t="n">
        <f aca="false">IF(F368="S",L368*0.02,0)</f>
        <v>2.42</v>
      </c>
      <c r="O368" s="82" t="n">
        <f aca="false">IF(L368&lt;&gt;"",L368+N368,"")</f>
        <v>123.42</v>
      </c>
      <c r="P368" s="53" t="n">
        <f aca="false">IF(O368&lt;&gt;"",O368*0.1,"")</f>
        <v>12.342</v>
      </c>
      <c r="Q368" s="83" t="n">
        <f aca="false">IF(O368&lt;&gt;"",O368+P368,"")</f>
        <v>135.762</v>
      </c>
      <c r="R368" s="84"/>
    </row>
    <row r="369" customFormat="false" ht="15" hidden="false" customHeight="true" outlineLevel="0" collapsed="false">
      <c r="A369" s="103" t="n">
        <v>55889</v>
      </c>
      <c r="B369" s="85" t="n">
        <v>46200</v>
      </c>
      <c r="C369" s="86" t="n">
        <v>32458</v>
      </c>
      <c r="D369" s="87" t="n">
        <v>50106</v>
      </c>
      <c r="E369" s="46" t="str">
        <f aca="false">IF(D369&lt;&gt;"",IFERROR(VLOOKUP(D369,PROVEEDORES!$A:$B,2,0),"!COD NO ENCONTRADO"),"")</f>
        <v>SONIA VENTAS S.L</v>
      </c>
      <c r="F369" s="88" t="str">
        <f aca="false">IF(D369&lt;&gt;"",IFERROR(VLOOKUP(D369,PROVEEDORES!$A:$C,3,0),""),"")</f>
        <v>S</v>
      </c>
      <c r="G369" s="87" t="s">
        <v>219</v>
      </c>
      <c r="H369" s="46" t="str">
        <f aca="false">IF(G369&lt;&gt;"",IFERROR(VLOOKUP(G369,PRODUCTOS!$A:$B,2,0),"!COD NO ENCONTRADO"),"")</f>
        <v>MERLUZA EUROPEA PINCHO COSTA 600</v>
      </c>
      <c r="I369" s="89" t="n">
        <v>3</v>
      </c>
      <c r="J369" s="90" t="n">
        <f aca="false">12.5+11.75+11.75</f>
        <v>36</v>
      </c>
      <c r="K369" s="91" t="n">
        <v>2.5</v>
      </c>
      <c r="L369" s="80" t="n">
        <f aca="false">IF(AND(J369&lt;&gt;"",K369&lt;&gt;""),J369*K369,"")</f>
        <v>90</v>
      </c>
      <c r="M369" s="81" t="n">
        <f aca="false">IF(L369&lt;&gt;"",L369*1.1,"")</f>
        <v>99</v>
      </c>
      <c r="N369" s="47" t="n">
        <f aca="false">IF(F369="S",L369*0.02,0)</f>
        <v>1.8</v>
      </c>
      <c r="O369" s="82" t="n">
        <f aca="false">IF(L369&lt;&gt;"",L369+N369,"")</f>
        <v>91.8</v>
      </c>
      <c r="P369" s="47" t="n">
        <f aca="false">IF(O369&lt;&gt;"",O369*0.1,"")</f>
        <v>9.18</v>
      </c>
      <c r="Q369" s="83" t="n">
        <f aca="false">IF(O369&lt;&gt;"",O369+P369,"")</f>
        <v>100.98</v>
      </c>
      <c r="R369" s="84"/>
    </row>
    <row r="370" customFormat="false" ht="15" hidden="false" customHeight="true" outlineLevel="0" collapsed="false">
      <c r="A370" s="103" t="n">
        <v>55889</v>
      </c>
      <c r="B370" s="73" t="n">
        <v>46200</v>
      </c>
      <c r="C370" s="74" t="n">
        <v>32458</v>
      </c>
      <c r="D370" s="75" t="n">
        <v>50106</v>
      </c>
      <c r="E370" s="52" t="str">
        <f aca="false">IF(D370&lt;&gt;"",IFERROR(VLOOKUP(D370,PROVEEDORES!$A:$B,2,0),"!COD NO ENCONTRADO"),"")</f>
        <v>SONIA VENTAS S.L</v>
      </c>
      <c r="F370" s="76" t="str">
        <f aca="false">IF(D370&lt;&gt;"",IFERROR(VLOOKUP(D370,PROVEEDORES!$A:$C,3,0),""),"")</f>
        <v>S</v>
      </c>
      <c r="G370" s="75" t="s">
        <v>221</v>
      </c>
      <c r="H370" s="52" t="str">
        <f aca="false">IF(G370&lt;&gt;"",IFERROR(VLOOKUP(G370,PRODUCTOS!$A:$B,2,0),"!COD NO ENCONTRADO"),"")</f>
        <v>MERLUZA EUROPEA PINCHO COSTA 800</v>
      </c>
      <c r="I370" s="77" t="n">
        <v>2</v>
      </c>
      <c r="J370" s="78" t="n">
        <f aca="false">14.75+15</f>
        <v>29.75</v>
      </c>
      <c r="K370" s="79" t="n">
        <v>4.8</v>
      </c>
      <c r="L370" s="80" t="n">
        <f aca="false">IF(AND(J370&lt;&gt;"",K370&lt;&gt;""),J370*K370,"")</f>
        <v>142.8</v>
      </c>
      <c r="M370" s="81" t="n">
        <f aca="false">IF(L370&lt;&gt;"",L370*1.1,"")</f>
        <v>157.08</v>
      </c>
      <c r="N370" s="53" t="n">
        <f aca="false">IF(F370="S",L370*0.02,0)</f>
        <v>2.856</v>
      </c>
      <c r="O370" s="82" t="n">
        <f aca="false">IF(L370&lt;&gt;"",L370+N370,"")</f>
        <v>145.656</v>
      </c>
      <c r="P370" s="53" t="n">
        <f aca="false">IF(O370&lt;&gt;"",O370*0.1,"")</f>
        <v>14.5656</v>
      </c>
      <c r="Q370" s="83" t="n">
        <f aca="false">IF(O370&lt;&gt;"",O370+P370,"")</f>
        <v>160.2216</v>
      </c>
      <c r="R370" s="84"/>
    </row>
    <row r="371" customFormat="false" ht="15" hidden="false" customHeight="true" outlineLevel="0" collapsed="false">
      <c r="A371" s="103" t="n">
        <v>55889</v>
      </c>
      <c r="B371" s="85" t="n">
        <v>46200</v>
      </c>
      <c r="C371" s="86" t="n">
        <v>32458</v>
      </c>
      <c r="D371" s="87" t="n">
        <v>50106</v>
      </c>
      <c r="E371" s="46" t="str">
        <f aca="false">IF(D371&lt;&gt;"",IFERROR(VLOOKUP(D371,PROVEEDORES!$A:$B,2,0),"!COD NO ENCONTRADO"),"")</f>
        <v>SONIA VENTAS S.L</v>
      </c>
      <c r="F371" s="88" t="str">
        <f aca="false">IF(D371&lt;&gt;"",IFERROR(VLOOKUP(D371,PROVEEDORES!$A:$C,3,0),""),"")</f>
        <v>S</v>
      </c>
      <c r="G371" s="87" t="s">
        <v>221</v>
      </c>
      <c r="H371" s="46" t="str">
        <f aca="false">IF(G371&lt;&gt;"",IFERROR(VLOOKUP(G371,PRODUCTOS!$A:$B,2,0),"!COD NO ENCONTRADO"),"")</f>
        <v>MERLUZA EUROPEA PINCHO COSTA 800</v>
      </c>
      <c r="I371" s="89" t="n">
        <v>2</v>
      </c>
      <c r="J371" s="90" t="n">
        <f aca="false">14.5+15.5</f>
        <v>30</v>
      </c>
      <c r="K371" s="91" t="n">
        <v>4.6</v>
      </c>
      <c r="L371" s="80" t="n">
        <f aca="false">IF(AND(J371&lt;&gt;"",K371&lt;&gt;""),J371*K371,"")</f>
        <v>138</v>
      </c>
      <c r="M371" s="81" t="n">
        <f aca="false">IF(L371&lt;&gt;"",L371*1.1,"")</f>
        <v>151.8</v>
      </c>
      <c r="N371" s="47" t="n">
        <f aca="false">IF(F371="S",L371*0.02,0)</f>
        <v>2.76</v>
      </c>
      <c r="O371" s="82" t="n">
        <f aca="false">IF(L371&lt;&gt;"",L371+N371,"")</f>
        <v>140.76</v>
      </c>
      <c r="P371" s="47" t="n">
        <f aca="false">IF(O371&lt;&gt;"",O371*0.1,"")</f>
        <v>14.076</v>
      </c>
      <c r="Q371" s="83" t="n">
        <f aca="false">IF(O371&lt;&gt;"",O371+P371,"")</f>
        <v>154.836</v>
      </c>
      <c r="R371" s="84"/>
    </row>
    <row r="372" customFormat="false" ht="15" hidden="false" customHeight="true" outlineLevel="0" collapsed="false">
      <c r="A372" s="103" t="n">
        <v>55889</v>
      </c>
      <c r="B372" s="73" t="n">
        <v>46200</v>
      </c>
      <c r="C372" s="74" t="n">
        <v>32458</v>
      </c>
      <c r="D372" s="75" t="n">
        <v>50106</v>
      </c>
      <c r="E372" s="52" t="str">
        <f aca="false">IF(D372&lt;&gt;"",IFERROR(VLOOKUP(D372,PROVEEDORES!$A:$B,2,0),"!COD NO ENCONTRADO"),"")</f>
        <v>SONIA VENTAS S.L</v>
      </c>
      <c r="F372" s="76" t="str">
        <f aca="false">IF(D372&lt;&gt;"",IFERROR(VLOOKUP(D372,PROVEEDORES!$A:$C,3,0),""),"")</f>
        <v>S</v>
      </c>
      <c r="G372" s="75" t="s">
        <v>221</v>
      </c>
      <c r="H372" s="52" t="str">
        <f aca="false">IF(G372&lt;&gt;"",IFERROR(VLOOKUP(G372,PRODUCTOS!$A:$B,2,0),"!COD NO ENCONTRADO"),"")</f>
        <v>MERLUZA EUROPEA PINCHO COSTA 800</v>
      </c>
      <c r="I372" s="77" t="n">
        <v>1</v>
      </c>
      <c r="J372" s="78" t="n">
        <v>14.25</v>
      </c>
      <c r="K372" s="79" t="n">
        <v>4.8</v>
      </c>
      <c r="L372" s="80" t="n">
        <f aca="false">IF(AND(J372&lt;&gt;"",K372&lt;&gt;""),J372*K372,"")</f>
        <v>68.4</v>
      </c>
      <c r="M372" s="81" t="n">
        <f aca="false">IF(L372&lt;&gt;"",L372*1.1,"")</f>
        <v>75.24</v>
      </c>
      <c r="N372" s="53" t="n">
        <f aca="false">IF(F372="S",L372*0.02,0)</f>
        <v>1.368</v>
      </c>
      <c r="O372" s="82" t="n">
        <f aca="false">IF(L372&lt;&gt;"",L372+N372,"")</f>
        <v>69.768</v>
      </c>
      <c r="P372" s="53" t="n">
        <f aca="false">IF(O372&lt;&gt;"",O372*0.1,"")</f>
        <v>6.9768</v>
      </c>
      <c r="Q372" s="83" t="n">
        <f aca="false">IF(O372&lt;&gt;"",O372+P372,"")</f>
        <v>76.7448</v>
      </c>
      <c r="R372" s="84"/>
    </row>
    <row r="373" customFormat="false" ht="15" hidden="false" customHeight="true" outlineLevel="0" collapsed="false">
      <c r="A373" s="103" t="n">
        <v>55889</v>
      </c>
      <c r="B373" s="85" t="n">
        <v>46200</v>
      </c>
      <c r="C373" s="86" t="n">
        <v>32458</v>
      </c>
      <c r="D373" s="87" t="n">
        <v>50106</v>
      </c>
      <c r="E373" s="46" t="str">
        <f aca="false">IF(D373&lt;&gt;"",IFERROR(VLOOKUP(D373,PROVEEDORES!$A:$B,2,0),"!COD NO ENCONTRADO"),"")</f>
        <v>SONIA VENTAS S.L</v>
      </c>
      <c r="F373" s="88" t="str">
        <f aca="false">IF(D373&lt;&gt;"",IFERROR(VLOOKUP(D373,PROVEEDORES!$A:$C,3,0),""),"")</f>
        <v>S</v>
      </c>
      <c r="G373" s="87" t="s">
        <v>221</v>
      </c>
      <c r="H373" s="46" t="str">
        <f aca="false">IF(G373&lt;&gt;"",IFERROR(VLOOKUP(G373,PRODUCTOS!$A:$B,2,0),"!COD NO ENCONTRADO"),"")</f>
        <v>MERLUZA EUROPEA PINCHO COSTA 800</v>
      </c>
      <c r="I373" s="89" t="n">
        <v>1</v>
      </c>
      <c r="J373" s="90" t="n">
        <v>13.25</v>
      </c>
      <c r="K373" s="91" t="n">
        <v>4.6</v>
      </c>
      <c r="L373" s="80" t="n">
        <f aca="false">IF(AND(J373&lt;&gt;"",K373&lt;&gt;""),J373*K373,"")</f>
        <v>60.95</v>
      </c>
      <c r="M373" s="81" t="n">
        <f aca="false">IF(L373&lt;&gt;"",L373*1.1,"")</f>
        <v>67.045</v>
      </c>
      <c r="N373" s="47" t="n">
        <f aca="false">IF(F373="S",L373*0.02,0)</f>
        <v>1.219</v>
      </c>
      <c r="O373" s="82" t="n">
        <f aca="false">IF(L373&lt;&gt;"",L373+N373,"")</f>
        <v>62.169</v>
      </c>
      <c r="P373" s="47" t="n">
        <f aca="false">IF(O373&lt;&gt;"",O373*0.1,"")</f>
        <v>6.2169</v>
      </c>
      <c r="Q373" s="83" t="n">
        <f aca="false">IF(O373&lt;&gt;"",O373+P373,"")</f>
        <v>68.3859</v>
      </c>
      <c r="R373" s="84"/>
    </row>
    <row r="374" customFormat="false" ht="15" hidden="false" customHeight="true" outlineLevel="0" collapsed="false">
      <c r="A374" s="103" t="n">
        <v>55890</v>
      </c>
      <c r="B374" s="73" t="n">
        <v>46200</v>
      </c>
      <c r="C374" s="74" t="n">
        <v>17636</v>
      </c>
      <c r="D374" s="75" t="n">
        <v>50163</v>
      </c>
      <c r="E374" s="52" t="str">
        <f aca="false">IF(D374&lt;&gt;"",IFERROR(VLOOKUP(D374,PROVEEDORES!$A:$B,2,0),"!COD NO ENCONTRADO"),"")</f>
        <v>SUBASTAS RIVERA S.L.</v>
      </c>
      <c r="F374" s="76" t="str">
        <f aca="false">IF(D374&lt;&gt;"",IFERROR(VLOOKUP(D374,PROVEEDORES!$A:$C,3,0),""),"")</f>
        <v>S</v>
      </c>
      <c r="G374" s="75" t="s">
        <v>103</v>
      </c>
      <c r="H374" s="52" t="str">
        <f aca="false">IF(G374&lt;&gt;"",IFERROR(VLOOKUP(G374,PRODUCTOS!$A:$B,2,0),"!COD NO ENCONTRADO"),"")</f>
        <v>CABRAS/ GALLINETA (BRF)</v>
      </c>
      <c r="I374" s="77" t="n">
        <v>1</v>
      </c>
      <c r="J374" s="78" t="n">
        <v>11.25</v>
      </c>
      <c r="K374" s="79" t="n">
        <v>8.7</v>
      </c>
      <c r="L374" s="80" t="n">
        <f aca="false">IF(AND(J374&lt;&gt;"",K374&lt;&gt;""),J374*K374,"")</f>
        <v>97.875</v>
      </c>
      <c r="M374" s="81" t="n">
        <f aca="false">IF(L374&lt;&gt;"",L374*1.1,"")</f>
        <v>107.6625</v>
      </c>
      <c r="N374" s="53" t="n">
        <f aca="false">IF(F374="S",L374*0.02,0)</f>
        <v>1.9575</v>
      </c>
      <c r="O374" s="82" t="n">
        <f aca="false">IF(L374&lt;&gt;"",L374+N374,"")</f>
        <v>99.8325</v>
      </c>
      <c r="P374" s="53" t="n">
        <f aca="false">IF(O374&lt;&gt;"",O374*0.1,"")</f>
        <v>9.98325</v>
      </c>
      <c r="Q374" s="83" t="n">
        <f aca="false">IF(O374&lt;&gt;"",O374+P374,"")</f>
        <v>109.81575</v>
      </c>
      <c r="R374" s="84"/>
    </row>
    <row r="375" customFormat="false" ht="15" hidden="false" customHeight="true" outlineLevel="0" collapsed="false">
      <c r="A375" s="103" t="n">
        <v>55890</v>
      </c>
      <c r="B375" s="73" t="n">
        <v>46200</v>
      </c>
      <c r="C375" s="74" t="n">
        <v>17636</v>
      </c>
      <c r="D375" s="75" t="n">
        <v>50163</v>
      </c>
      <c r="E375" s="52" t="str">
        <f aca="false">IF(D375&lt;&gt;"",IFERROR(VLOOKUP(D375,PROVEEDORES!$A:$B,2,0),"!COD NO ENCONTRADO"),"")</f>
        <v>SUBASTAS RIVERA S.L.</v>
      </c>
      <c r="F375" s="76" t="str">
        <f aca="false">IF(D375&lt;&gt;"",IFERROR(VLOOKUP(D375,PROVEEDORES!$A:$C,3,0),""),"")</f>
        <v>S</v>
      </c>
      <c r="G375" s="75" t="s">
        <v>221</v>
      </c>
      <c r="H375" s="52" t="str">
        <f aca="false">IF(G375&lt;&gt;"",IFERROR(VLOOKUP(G375,PRODUCTOS!$A:$B,2,0),"!COD NO ENCONTRADO"),"")</f>
        <v>MERLUZA EUROPEA PINCHO COSTA 800</v>
      </c>
      <c r="I375" s="77" t="n">
        <v>2</v>
      </c>
      <c r="J375" s="78" t="n">
        <f aca="false">14.75+14.25</f>
        <v>29</v>
      </c>
      <c r="K375" s="79" t="n">
        <v>4.05</v>
      </c>
      <c r="L375" s="80" t="n">
        <f aca="false">IF(AND(J375&lt;&gt;"",K375&lt;&gt;""),J375*K375,"")</f>
        <v>117.45</v>
      </c>
      <c r="M375" s="81" t="n">
        <f aca="false">IF(L375&lt;&gt;"",L375*1.1,"")</f>
        <v>129.195</v>
      </c>
      <c r="N375" s="53" t="n">
        <f aca="false">IF(F375="S",L375*0.02,0)</f>
        <v>2.349</v>
      </c>
      <c r="O375" s="82" t="n">
        <f aca="false">IF(L375&lt;&gt;"",L375+N375,"")</f>
        <v>119.799</v>
      </c>
      <c r="P375" s="53" t="n">
        <f aca="false">IF(O375&lt;&gt;"",O375*0.1,"")</f>
        <v>11.9799</v>
      </c>
      <c r="Q375" s="83" t="n">
        <f aca="false">IF(O375&lt;&gt;"",O375+P375,"")</f>
        <v>131.7789</v>
      </c>
      <c r="R375" s="84"/>
    </row>
    <row r="376" customFormat="false" ht="15" hidden="false" customHeight="true" outlineLevel="0" collapsed="false">
      <c r="A376" s="103" t="n">
        <v>55890</v>
      </c>
      <c r="B376" s="73" t="n">
        <v>46200</v>
      </c>
      <c r="C376" s="74" t="n">
        <v>17636</v>
      </c>
      <c r="D376" s="75" t="n">
        <v>50163</v>
      </c>
      <c r="E376" s="52" t="str">
        <f aca="false">IF(D376&lt;&gt;"",IFERROR(VLOOKUP(D376,PROVEEDORES!$A:$B,2,0),"!COD NO ENCONTRADO"),"")</f>
        <v>SUBASTAS RIVERA S.L.</v>
      </c>
      <c r="F376" s="76" t="str">
        <f aca="false">IF(D376&lt;&gt;"",IFERROR(VLOOKUP(D376,PROVEEDORES!$A:$C,3,0),""),"")</f>
        <v>S</v>
      </c>
      <c r="G376" s="75" t="s">
        <v>288</v>
      </c>
      <c r="H376" s="52" t="str">
        <f aca="false">IF(G376&lt;&gt;"",IFERROR(VLOOKUP(G376,PRODUCTOS!$A:$B,2,0),"!COD NO ENCONTRADO"),"")</f>
        <v>RAPE BLANCO DIA (MON)</v>
      </c>
      <c r="I376" s="77" t="n">
        <v>2</v>
      </c>
      <c r="J376" s="78" t="n">
        <f aca="false">13.5+7.6</f>
        <v>21.1</v>
      </c>
      <c r="K376" s="79" t="n">
        <v>7.1</v>
      </c>
      <c r="L376" s="80" t="n">
        <f aca="false">IF(AND(J376&lt;&gt;"",K376&lt;&gt;""),J376*K376,"")</f>
        <v>149.81</v>
      </c>
      <c r="M376" s="81" t="n">
        <f aca="false">IF(L376&lt;&gt;"",L376*1.1,"")</f>
        <v>164.791</v>
      </c>
      <c r="N376" s="53" t="n">
        <f aca="false">IF(F376="S",L376*0.02,0)</f>
        <v>2.9962</v>
      </c>
      <c r="O376" s="82" t="n">
        <f aca="false">IF(L376&lt;&gt;"",L376+N376,"")</f>
        <v>152.8062</v>
      </c>
      <c r="P376" s="53" t="n">
        <f aca="false">IF(O376&lt;&gt;"",O376*0.1,"")</f>
        <v>15.28062</v>
      </c>
      <c r="Q376" s="83" t="n">
        <f aca="false">IF(O376&lt;&gt;"",O376+P376,"")</f>
        <v>168.08682</v>
      </c>
      <c r="R376" s="84"/>
    </row>
    <row r="377" customFormat="false" ht="15" hidden="false" customHeight="true" outlineLevel="0" collapsed="false">
      <c r="A377" s="103" t="n">
        <v>55890</v>
      </c>
      <c r="B377" s="85" t="n">
        <v>46200</v>
      </c>
      <c r="C377" s="86" t="n">
        <v>17636</v>
      </c>
      <c r="D377" s="87" t="n">
        <v>50163</v>
      </c>
      <c r="E377" s="46" t="str">
        <f aca="false">IF(D377&lt;&gt;"",IFERROR(VLOOKUP(D377,PROVEEDORES!$A:$B,2,0),"!COD NO ENCONTRADO"),"")</f>
        <v>SUBASTAS RIVERA S.L.</v>
      </c>
      <c r="F377" s="88" t="str">
        <f aca="false">IF(D377&lt;&gt;"",IFERROR(VLOOKUP(D377,PROVEEDORES!$A:$C,3,0),""),"")</f>
        <v>S</v>
      </c>
      <c r="G377" s="87" t="s">
        <v>151</v>
      </c>
      <c r="H377" s="46" t="str">
        <f aca="false">IF(G377&lt;&gt;"",IFERROR(VLOOKUP(G377,PRODUCTOS!$A:$B,2,0),"!COD NO ENCONTRADO"),"")</f>
        <v>ESCACHO/ ARETE/ RUBIO (GUR)</v>
      </c>
      <c r="I377" s="89" t="n">
        <v>1</v>
      </c>
      <c r="J377" s="90" t="n">
        <v>13.5</v>
      </c>
      <c r="K377" s="91" t="n">
        <v>0.7</v>
      </c>
      <c r="L377" s="80" t="n">
        <f aca="false">IF(AND(J377&lt;&gt;"",K377&lt;&gt;""),J377*K377,"")</f>
        <v>9.45</v>
      </c>
      <c r="M377" s="81" t="n">
        <f aca="false">IF(L377&lt;&gt;"",L377*1.1,"")</f>
        <v>10.395</v>
      </c>
      <c r="N377" s="47" t="n">
        <f aca="false">IF(F377="S",L377*0.02,0)</f>
        <v>0.189</v>
      </c>
      <c r="O377" s="82" t="n">
        <f aca="false">IF(L377&lt;&gt;"",L377+N377,"")</f>
        <v>9.639</v>
      </c>
      <c r="P377" s="47" t="n">
        <f aca="false">IF(O377&lt;&gt;"",O377*0.1,"")</f>
        <v>0.9639</v>
      </c>
      <c r="Q377" s="83" t="n">
        <f aca="false">IF(O377&lt;&gt;"",O377+P377,"")</f>
        <v>10.6029</v>
      </c>
      <c r="R377" s="84"/>
    </row>
    <row r="378" customFormat="false" ht="15" hidden="false" customHeight="true" outlineLevel="0" collapsed="false">
      <c r="A378" s="103" t="n">
        <v>55890</v>
      </c>
      <c r="B378" s="73" t="n">
        <v>46200</v>
      </c>
      <c r="C378" s="74" t="n">
        <v>17636</v>
      </c>
      <c r="D378" s="75" t="n">
        <v>50163</v>
      </c>
      <c r="E378" s="52" t="str">
        <f aca="false">IF(D378&lt;&gt;"",IFERROR(VLOOKUP(D378,PROVEEDORES!$A:$B,2,0),"!COD NO ENCONTRADO"),"")</f>
        <v>SUBASTAS RIVERA S.L.</v>
      </c>
      <c r="F378" s="76" t="str">
        <f aca="false">IF(D378&lt;&gt;"",IFERROR(VLOOKUP(D378,PROVEEDORES!$A:$C,3,0),""),"")</f>
        <v>S</v>
      </c>
      <c r="G378" s="75" t="s">
        <v>223</v>
      </c>
      <c r="H378" s="52" t="str">
        <f aca="false">IF(G378&lt;&gt;"",IFERROR(VLOOKUP(G378,PRODUCTOS!$A:$B,2,0),"!COD NO ENCONTRADO"),"")</f>
        <v>MERLUZA EUROPEA PINCHO COSTA 1000</v>
      </c>
      <c r="I378" s="77" t="n">
        <v>3</v>
      </c>
      <c r="J378" s="78" t="n">
        <f aca="false">16.25+15.75+15</f>
        <v>47</v>
      </c>
      <c r="K378" s="79" t="n">
        <v>5.7</v>
      </c>
      <c r="L378" s="80" t="n">
        <f aca="false">IF(AND(J378&lt;&gt;"",K378&lt;&gt;""),J378*K378,"")</f>
        <v>267.9</v>
      </c>
      <c r="M378" s="81" t="n">
        <f aca="false">IF(L378&lt;&gt;"",L378*1.1,"")</f>
        <v>294.69</v>
      </c>
      <c r="N378" s="53" t="n">
        <f aca="false">IF(F378="S",L378*0.02,0)</f>
        <v>5.358</v>
      </c>
      <c r="O378" s="82" t="n">
        <f aca="false">IF(L378&lt;&gt;"",L378+N378,"")</f>
        <v>273.258</v>
      </c>
      <c r="P378" s="53" t="n">
        <f aca="false">IF(O378&lt;&gt;"",O378*0.1,"")</f>
        <v>27.3258</v>
      </c>
      <c r="Q378" s="83" t="n">
        <f aca="false">IF(O378&lt;&gt;"",O378+P378,"")</f>
        <v>300.5838</v>
      </c>
      <c r="R378" s="84"/>
    </row>
    <row r="379" customFormat="false" ht="15" hidden="false" customHeight="true" outlineLevel="0" collapsed="false">
      <c r="A379" s="103" t="n">
        <v>55890</v>
      </c>
      <c r="B379" s="85" t="n">
        <v>46200</v>
      </c>
      <c r="C379" s="86" t="n">
        <v>17636</v>
      </c>
      <c r="D379" s="87" t="n">
        <v>50163</v>
      </c>
      <c r="E379" s="46" t="str">
        <f aca="false">IF(D379&lt;&gt;"",IFERROR(VLOOKUP(D379,PROVEEDORES!$A:$B,2,0),"!COD NO ENCONTRADO"),"")</f>
        <v>SUBASTAS RIVERA S.L.</v>
      </c>
      <c r="F379" s="88" t="str">
        <f aca="false">IF(D379&lt;&gt;"",IFERROR(VLOOKUP(D379,PROVEEDORES!$A:$C,3,0),""),"")</f>
        <v>S</v>
      </c>
      <c r="G379" s="87" t="s">
        <v>225</v>
      </c>
      <c r="H379" s="46" t="str">
        <f aca="false">IF(G379&lt;&gt;"",IFERROR(VLOOKUP(G379,PRODUCTOS!$A:$B,2,0),"!COD NO ENCONTRADO"),"")</f>
        <v>MERLUZA EUROPEA PINCHO COSTA 1,251,5</v>
      </c>
      <c r="I379" s="89" t="n">
        <v>2</v>
      </c>
      <c r="J379" s="90" t="n">
        <v>30</v>
      </c>
      <c r="K379" s="91" t="n">
        <v>4.7</v>
      </c>
      <c r="L379" s="80" t="n">
        <f aca="false">IF(AND(J379&lt;&gt;"",K379&lt;&gt;""),J379*K379,"")</f>
        <v>141</v>
      </c>
      <c r="M379" s="81" t="n">
        <f aca="false">IF(L379&lt;&gt;"",L379*1.1,"")</f>
        <v>155.1</v>
      </c>
      <c r="N379" s="47" t="n">
        <f aca="false">IF(F379="S",L379*0.02,0)</f>
        <v>2.82</v>
      </c>
      <c r="O379" s="82" t="n">
        <f aca="false">IF(L379&lt;&gt;"",L379+N379,"")</f>
        <v>143.82</v>
      </c>
      <c r="P379" s="47" t="n">
        <f aca="false">IF(O379&lt;&gt;"",O379*0.1,"")</f>
        <v>14.382</v>
      </c>
      <c r="Q379" s="83" t="n">
        <f aca="false">IF(O379&lt;&gt;"",O379+P379,"")</f>
        <v>158.202</v>
      </c>
      <c r="R379" s="84"/>
    </row>
    <row r="380" customFormat="false" ht="15" hidden="false" customHeight="true" outlineLevel="0" collapsed="false">
      <c r="A380" s="103" t="n">
        <v>55890</v>
      </c>
      <c r="B380" s="73" t="n">
        <v>46200</v>
      </c>
      <c r="C380" s="74"/>
      <c r="D380" s="75" t="n">
        <v>50163</v>
      </c>
      <c r="E380" s="52" t="str">
        <f aca="false">IF(D380&lt;&gt;"",IFERROR(VLOOKUP(D380,PROVEEDORES!$A:$B,2,0),"!COD NO ENCONTRADO"),"")</f>
        <v>SUBASTAS RIVERA S.L.</v>
      </c>
      <c r="F380" s="76" t="str">
        <f aca="false">IF(D380&lt;&gt;"",IFERROR(VLOOKUP(D380,PROVEEDORES!$A:$C,3,0),""),"")</f>
        <v>S</v>
      </c>
      <c r="G380" s="75" t="s">
        <v>221</v>
      </c>
      <c r="H380" s="52" t="str">
        <f aca="false">IF(G380&lt;&gt;"",IFERROR(VLOOKUP(G380,PRODUCTOS!$A:$B,2,0),"!COD NO ENCONTRADO"),"")</f>
        <v>MERLUZA EUROPEA PINCHO COSTA 800</v>
      </c>
      <c r="I380" s="77" t="n">
        <v>1</v>
      </c>
      <c r="J380" s="78" t="n">
        <v>7.75</v>
      </c>
      <c r="K380" s="79" t="n">
        <v>4.95</v>
      </c>
      <c r="L380" s="80" t="n">
        <f aca="false">IF(AND(J380&lt;&gt;"",K380&lt;&gt;""),J380*K380,"")</f>
        <v>38.3625</v>
      </c>
      <c r="M380" s="81" t="n">
        <f aca="false">IF(L380&lt;&gt;"",L380*1.1,"")</f>
        <v>42.19875</v>
      </c>
      <c r="N380" s="53" t="n">
        <f aca="false">IF(F380="S",L380*0.02,0)</f>
        <v>0.76725</v>
      </c>
      <c r="O380" s="82" t="n">
        <f aca="false">IF(L380&lt;&gt;"",L380+N380,"")</f>
        <v>39.12975</v>
      </c>
      <c r="P380" s="53" t="n">
        <f aca="false">IF(O380&lt;&gt;"",O380*0.1,"")</f>
        <v>3.912975</v>
      </c>
      <c r="Q380" s="83" t="n">
        <f aca="false">IF(O380&lt;&gt;"",O380+P380,"")</f>
        <v>43.042725</v>
      </c>
      <c r="R380" s="84"/>
    </row>
    <row r="381" customFormat="false" ht="15" hidden="false" customHeight="true" outlineLevel="0" collapsed="false">
      <c r="A381" s="103" t="n">
        <v>55890</v>
      </c>
      <c r="B381" s="85" t="n">
        <v>46200</v>
      </c>
      <c r="C381" s="86" t="n">
        <v>17636</v>
      </c>
      <c r="D381" s="87" t="n">
        <v>50163</v>
      </c>
      <c r="E381" s="46" t="str">
        <f aca="false">IF(D381&lt;&gt;"",IFERROR(VLOOKUP(D381,PROVEEDORES!$A:$B,2,0),"!COD NO ENCONTRADO"),"")</f>
        <v>SUBASTAS RIVERA S.L.</v>
      </c>
      <c r="F381" s="88" t="str">
        <f aca="false">IF(D381&lt;&gt;"",IFERROR(VLOOKUP(D381,PROVEEDORES!$A:$C,3,0),""),"")</f>
        <v>S</v>
      </c>
      <c r="G381" s="87" t="s">
        <v>229</v>
      </c>
      <c r="H381" s="46" t="str">
        <f aca="false">IF(G381&lt;&gt;"",IFERROR(VLOOKUP(G381,PRODUCTOS!$A:$B,2,0),"!COD NO ENCONTRADO"),"")</f>
        <v>MERLUZA EUROPEA PINCHO COSTA 2+</v>
      </c>
      <c r="I381" s="89" t="n">
        <v>1</v>
      </c>
      <c r="J381" s="90" t="n">
        <v>17</v>
      </c>
      <c r="K381" s="91" t="n">
        <v>8.9</v>
      </c>
      <c r="L381" s="80" t="n">
        <f aca="false">IF(AND(J381&lt;&gt;"",K381&lt;&gt;""),J381*K381,"")</f>
        <v>151.3</v>
      </c>
      <c r="M381" s="81" t="n">
        <f aca="false">IF(L381&lt;&gt;"",L381*1.1,"")</f>
        <v>166.43</v>
      </c>
      <c r="N381" s="47" t="n">
        <f aca="false">IF(F381="S",L381*0.02,0)</f>
        <v>3.026</v>
      </c>
      <c r="O381" s="82" t="n">
        <f aca="false">IF(L381&lt;&gt;"",L381+N381,"")</f>
        <v>154.326</v>
      </c>
      <c r="P381" s="47" t="n">
        <f aca="false">IF(O381&lt;&gt;"",O381*0.1,"")</f>
        <v>15.4326</v>
      </c>
      <c r="Q381" s="83" t="n">
        <f aca="false">IF(O381&lt;&gt;"",O381+P381,"")</f>
        <v>169.7586</v>
      </c>
      <c r="R381" s="84"/>
    </row>
    <row r="382" customFormat="false" ht="15" hidden="false" customHeight="true" outlineLevel="0" collapsed="false">
      <c r="A382" s="103" t="n">
        <v>55890</v>
      </c>
      <c r="B382" s="73" t="n">
        <v>46200</v>
      </c>
      <c r="C382" s="74" t="n">
        <v>17636</v>
      </c>
      <c r="D382" s="75" t="n">
        <v>50163</v>
      </c>
      <c r="E382" s="52" t="str">
        <f aca="false">IF(D382&lt;&gt;"",IFERROR(VLOOKUP(D382,PROVEEDORES!$A:$B,2,0),"!COD NO ENCONTRADO"),"")</f>
        <v>SUBASTAS RIVERA S.L.</v>
      </c>
      <c r="F382" s="76" t="str">
        <f aca="false">IF(D382&lt;&gt;"",IFERROR(VLOOKUP(D382,PROVEEDORES!$A:$C,3,0),""),"")</f>
        <v>S</v>
      </c>
      <c r="G382" s="75" t="s">
        <v>103</v>
      </c>
      <c r="H382" s="52" t="str">
        <f aca="false">IF(G382&lt;&gt;"",IFERROR(VLOOKUP(G382,PRODUCTOS!$A:$B,2,0),"!COD NO ENCONTRADO"),"")</f>
        <v>CABRAS/ GALLINETA (BRF)</v>
      </c>
      <c r="I382" s="77" t="n">
        <v>1</v>
      </c>
      <c r="J382" s="78" t="n">
        <v>11.5</v>
      </c>
      <c r="K382" s="79" t="n">
        <v>11.9</v>
      </c>
      <c r="L382" s="80" t="n">
        <f aca="false">IF(AND(J382&lt;&gt;"",K382&lt;&gt;""),J382*K382,"")</f>
        <v>136.85</v>
      </c>
      <c r="M382" s="81" t="n">
        <f aca="false">IF(L382&lt;&gt;"",L382*1.1,"")</f>
        <v>150.535</v>
      </c>
      <c r="N382" s="53" t="n">
        <f aca="false">IF(F382="S",L382*0.02,0)</f>
        <v>2.737</v>
      </c>
      <c r="O382" s="82" t="n">
        <f aca="false">IF(L382&lt;&gt;"",L382+N382,"")</f>
        <v>139.587</v>
      </c>
      <c r="P382" s="53" t="n">
        <f aca="false">IF(O382&lt;&gt;"",O382*0.1,"")</f>
        <v>13.9587</v>
      </c>
      <c r="Q382" s="83" t="n">
        <f aca="false">IF(O382&lt;&gt;"",O382+P382,"")</f>
        <v>153.5457</v>
      </c>
      <c r="R382" s="84"/>
    </row>
    <row r="383" customFormat="false" ht="15" hidden="false" customHeight="true" outlineLevel="0" collapsed="false">
      <c r="A383" s="103" t="n">
        <v>55890</v>
      </c>
      <c r="B383" s="85" t="n">
        <v>46200</v>
      </c>
      <c r="C383" s="86" t="n">
        <v>17636</v>
      </c>
      <c r="D383" s="87" t="n">
        <v>50163</v>
      </c>
      <c r="E383" s="46" t="str">
        <f aca="false">IF(D383&lt;&gt;"",IFERROR(VLOOKUP(D383,PROVEEDORES!$A:$B,2,0),"!COD NO ENCONTRADO"),"")</f>
        <v>SUBASTAS RIVERA S.L.</v>
      </c>
      <c r="F383" s="88" t="str">
        <f aca="false">IF(D383&lt;&gt;"",IFERROR(VLOOKUP(D383,PROVEEDORES!$A:$C,3,0),""),"")</f>
        <v>S</v>
      </c>
      <c r="G383" s="87" t="s">
        <v>103</v>
      </c>
      <c r="H383" s="46" t="str">
        <f aca="false">IF(G383&lt;&gt;"",IFERROR(VLOOKUP(G383,PRODUCTOS!$A:$B,2,0),"!COD NO ENCONTRADO"),"")</f>
        <v>CABRAS/ GALLINETA (BRF)</v>
      </c>
      <c r="I383" s="89" t="n">
        <v>2</v>
      </c>
      <c r="J383" s="90" t="n">
        <v>22</v>
      </c>
      <c r="K383" s="91" t="n">
        <v>7</v>
      </c>
      <c r="L383" s="80" t="n">
        <f aca="false">IF(AND(J383&lt;&gt;"",K383&lt;&gt;""),J383*K383,"")</f>
        <v>154</v>
      </c>
      <c r="M383" s="81" t="n">
        <f aca="false">IF(L383&lt;&gt;"",L383*1.1,"")</f>
        <v>169.4</v>
      </c>
      <c r="N383" s="47" t="n">
        <f aca="false">IF(F383="S",L383*0.02,0)</f>
        <v>3.08</v>
      </c>
      <c r="O383" s="82" t="n">
        <f aca="false">IF(L383&lt;&gt;"",L383+N383,"")</f>
        <v>157.08</v>
      </c>
      <c r="P383" s="47" t="n">
        <f aca="false">IF(O383&lt;&gt;"",O383*0.1,"")</f>
        <v>15.708</v>
      </c>
      <c r="Q383" s="83" t="n">
        <f aca="false">IF(O383&lt;&gt;"",O383+P383,"")</f>
        <v>172.788</v>
      </c>
      <c r="R383" s="84"/>
    </row>
    <row r="384" customFormat="false" ht="15" hidden="false" customHeight="true" outlineLevel="0" collapsed="false">
      <c r="A384" s="103" t="n">
        <v>55890</v>
      </c>
      <c r="B384" s="73" t="n">
        <v>46200</v>
      </c>
      <c r="C384" s="74" t="n">
        <v>17636</v>
      </c>
      <c r="D384" s="75" t="n">
        <v>50163</v>
      </c>
      <c r="E384" s="52" t="str">
        <f aca="false">IF(D384&lt;&gt;"",IFERROR(VLOOKUP(D384,PROVEEDORES!$A:$B,2,0),"!COD NO ENCONTRADO"),"")</f>
        <v>SUBASTAS RIVERA S.L.</v>
      </c>
      <c r="F384" s="76" t="str">
        <f aca="false">IF(D384&lt;&gt;"",IFERROR(VLOOKUP(D384,PROVEEDORES!$A:$C,3,0),""),"")</f>
        <v>S</v>
      </c>
      <c r="G384" s="75" t="s">
        <v>221</v>
      </c>
      <c r="H384" s="52" t="str">
        <f aca="false">IF(G384&lt;&gt;"",IFERROR(VLOOKUP(G384,PRODUCTOS!$A:$B,2,0),"!COD NO ENCONTRADO"),"")</f>
        <v>MERLUZA EUROPEA PINCHO COSTA 800</v>
      </c>
      <c r="I384" s="77" t="n">
        <v>2</v>
      </c>
      <c r="J384" s="78" t="n">
        <f aca="false">15.5+14.5</f>
        <v>30</v>
      </c>
      <c r="K384" s="79" t="n">
        <v>4.7</v>
      </c>
      <c r="L384" s="80" t="n">
        <f aca="false">IF(AND(J384&lt;&gt;"",K384&lt;&gt;""),J384*K384,"")</f>
        <v>141</v>
      </c>
      <c r="M384" s="81" t="n">
        <f aca="false">IF(L384&lt;&gt;"",L384*1.1,"")</f>
        <v>155.1</v>
      </c>
      <c r="N384" s="53" t="n">
        <f aca="false">IF(F384="S",L384*0.02,0)</f>
        <v>2.82</v>
      </c>
      <c r="O384" s="82" t="n">
        <f aca="false">IF(L384&lt;&gt;"",L384+N384,"")</f>
        <v>143.82</v>
      </c>
      <c r="P384" s="53" t="n">
        <f aca="false">IF(O384&lt;&gt;"",O384*0.1,"")</f>
        <v>14.382</v>
      </c>
      <c r="Q384" s="83" t="n">
        <f aca="false">IF(O384&lt;&gt;"",O384+P384,"")</f>
        <v>158.202</v>
      </c>
      <c r="R384" s="84"/>
    </row>
    <row r="385" customFormat="false" ht="15" hidden="false" customHeight="true" outlineLevel="0" collapsed="false">
      <c r="A385" s="103" t="n">
        <v>55890</v>
      </c>
      <c r="B385" s="85" t="n">
        <v>46200</v>
      </c>
      <c r="C385" s="86" t="n">
        <v>17636</v>
      </c>
      <c r="D385" s="87" t="n">
        <v>50163</v>
      </c>
      <c r="E385" s="46" t="str">
        <f aca="false">IF(D385&lt;&gt;"",IFERROR(VLOOKUP(D385,PROVEEDORES!$A:$B,2,0),"!COD NO ENCONTRADO"),"")</f>
        <v>SUBASTAS RIVERA S.L.</v>
      </c>
      <c r="F385" s="88" t="str">
        <f aca="false">IF(D385&lt;&gt;"",IFERROR(VLOOKUP(D385,PROVEEDORES!$A:$C,3,0),""),"")</f>
        <v>S</v>
      </c>
      <c r="G385" s="87" t="s">
        <v>53</v>
      </c>
      <c r="H385" s="46" t="str">
        <f aca="false">IF(G385&lt;&gt;"",IFERROR(VLOOKUP(G385,PRODUCTOS!$A:$B,2,0),"!COD NO ENCONTRADO"),"")</f>
        <v>CABRAS PÑA</v>
      </c>
      <c r="I385" s="89" t="n">
        <v>1</v>
      </c>
      <c r="J385" s="90" t="n">
        <v>6</v>
      </c>
      <c r="K385" s="91" t="n">
        <v>0.2</v>
      </c>
      <c r="L385" s="80" t="n">
        <f aca="false">IF(AND(J385&lt;&gt;"",K385&lt;&gt;""),J385*K385,"")</f>
        <v>1.2</v>
      </c>
      <c r="M385" s="81" t="n">
        <f aca="false">IF(L385&lt;&gt;"",L385*1.1,"")</f>
        <v>1.32</v>
      </c>
      <c r="N385" s="47" t="n">
        <f aca="false">IF(F385="S",L385*0.02,0)</f>
        <v>0.024</v>
      </c>
      <c r="O385" s="82" t="n">
        <f aca="false">IF(L385&lt;&gt;"",L385+N385,"")</f>
        <v>1.224</v>
      </c>
      <c r="P385" s="47" t="n">
        <f aca="false">IF(O385&lt;&gt;"",O385*0.1,"")</f>
        <v>0.1224</v>
      </c>
      <c r="Q385" s="83" t="n">
        <f aca="false">IF(O385&lt;&gt;"",O385+P385,"")</f>
        <v>1.3464</v>
      </c>
      <c r="R385" s="84"/>
    </row>
    <row r="386" customFormat="false" ht="15" hidden="false" customHeight="true" outlineLevel="0" collapsed="false">
      <c r="A386" s="103" t="n">
        <v>55890</v>
      </c>
      <c r="B386" s="85" t="n">
        <v>46200</v>
      </c>
      <c r="C386" s="86" t="n">
        <v>17636</v>
      </c>
      <c r="D386" s="75" t="n">
        <v>50163</v>
      </c>
      <c r="E386" s="52" t="str">
        <f aca="false">IF(D386&lt;&gt;"",IFERROR(VLOOKUP(D386,PROVEEDORES!$A:$B,2,0),"!COD NO ENCONTRADO"),"")</f>
        <v>SUBASTAS RIVERA S.L.</v>
      </c>
      <c r="F386" s="76" t="str">
        <f aca="false">IF(D386&lt;&gt;"",IFERROR(VLOOKUP(D386,PROVEEDORES!$A:$C,3,0),""),"")</f>
        <v>S</v>
      </c>
      <c r="G386" s="75" t="s">
        <v>193</v>
      </c>
      <c r="H386" s="52" t="str">
        <f aca="false">IF(G386&lt;&gt;"",IFERROR(VLOOKUP(G386,PRODUCTOS!$A:$B,2,0),"!COD NO ENCONTRADO"),"")</f>
        <v>MERLUZA EUROPEA ARRASTRE (HKE) </v>
      </c>
      <c r="I386" s="77" t="n">
        <v>3</v>
      </c>
      <c r="J386" s="78" t="n">
        <v>19</v>
      </c>
      <c r="K386" s="79" t="n">
        <v>4</v>
      </c>
      <c r="L386" s="80" t="n">
        <f aca="false">IF(AND(J386&lt;&gt;"",K386&lt;&gt;""),J386*K386,"")</f>
        <v>76</v>
      </c>
      <c r="M386" s="81" t="n">
        <f aca="false">IF(L386&lt;&gt;"",L386*1.1,"")</f>
        <v>83.6</v>
      </c>
      <c r="N386" s="53" t="n">
        <f aca="false">IF(F386="S",L386*0.02,0)</f>
        <v>1.52</v>
      </c>
      <c r="O386" s="82" t="n">
        <f aca="false">IF(L386&lt;&gt;"",L386+N386,"")</f>
        <v>77.52</v>
      </c>
      <c r="P386" s="53" t="n">
        <f aca="false">IF(O386&lt;&gt;"",O386*0.1,"")</f>
        <v>7.752</v>
      </c>
      <c r="Q386" s="83" t="n">
        <f aca="false">IF(O386&lt;&gt;"",O386+P386,"")</f>
        <v>85.272</v>
      </c>
      <c r="R386" s="84"/>
    </row>
    <row r="387" customFormat="false" ht="15" hidden="false" customHeight="true" outlineLevel="0" collapsed="false">
      <c r="A387" s="103" t="n">
        <v>55890</v>
      </c>
      <c r="B387" s="85" t="n">
        <v>46200</v>
      </c>
      <c r="C387" s="86" t="n">
        <v>17636</v>
      </c>
      <c r="D387" s="87" t="n">
        <v>50163</v>
      </c>
      <c r="E387" s="46" t="str">
        <f aca="false">IF(D387&lt;&gt;"",IFERROR(VLOOKUP(D387,PROVEEDORES!$A:$B,2,0),"!COD NO ENCONTRADO"),"")</f>
        <v>SUBASTAS RIVERA S.L.</v>
      </c>
      <c r="F387" s="88" t="str">
        <f aca="false">IF(D387&lt;&gt;"",IFERROR(VLOOKUP(D387,PROVEEDORES!$A:$C,3,0),""),"")</f>
        <v>S</v>
      </c>
      <c r="G387" s="87" t="s">
        <v>288</v>
      </c>
      <c r="H387" s="46" t="str">
        <f aca="false">IF(G387&lt;&gt;"",IFERROR(VLOOKUP(G387,PRODUCTOS!$A:$B,2,0),"!COD NO ENCONTRADO"),"")</f>
        <v>RAPE BLANCO DIA (MON)</v>
      </c>
      <c r="I387" s="89" t="n">
        <v>1</v>
      </c>
      <c r="J387" s="90" t="n">
        <v>7.25</v>
      </c>
      <c r="K387" s="91" t="n">
        <v>7.4</v>
      </c>
      <c r="L387" s="80" t="n">
        <f aca="false">IF(AND(J387&lt;&gt;"",K387&lt;&gt;""),J387*K387,"")</f>
        <v>53.65</v>
      </c>
      <c r="M387" s="81" t="n">
        <f aca="false">IF(L387&lt;&gt;"",L387*1.1,"")</f>
        <v>59.015</v>
      </c>
      <c r="N387" s="47" t="n">
        <f aca="false">IF(F387="S",L387*0.02,0)</f>
        <v>1.073</v>
      </c>
      <c r="O387" s="82" t="n">
        <f aca="false">IF(L387&lt;&gt;"",L387+N387,"")</f>
        <v>54.723</v>
      </c>
      <c r="P387" s="47" t="n">
        <f aca="false">IF(O387&lt;&gt;"",O387*0.1,"")</f>
        <v>5.4723</v>
      </c>
      <c r="Q387" s="83" t="n">
        <f aca="false">IF(O387&lt;&gt;"",O387+P387,"")</f>
        <v>60.1953</v>
      </c>
      <c r="R387" s="84"/>
    </row>
    <row r="388" customFormat="false" ht="15" hidden="false" customHeight="true" outlineLevel="0" collapsed="false">
      <c r="A388" s="103" t="n">
        <v>55890</v>
      </c>
      <c r="B388" s="85" t="n">
        <v>46200</v>
      </c>
      <c r="C388" s="86" t="n">
        <v>17636</v>
      </c>
      <c r="D388" s="75" t="n">
        <v>50163</v>
      </c>
      <c r="E388" s="52" t="str">
        <f aca="false">IF(D388&lt;&gt;"",IFERROR(VLOOKUP(D388,PROVEEDORES!$A:$B,2,0),"!COD NO ENCONTRADO"),"")</f>
        <v>SUBASTAS RIVERA S.L.</v>
      </c>
      <c r="F388" s="76" t="str">
        <f aca="false">IF(D388&lt;&gt;"",IFERROR(VLOOKUP(D388,PROVEEDORES!$A:$C,3,0),""),"")</f>
        <v>S</v>
      </c>
      <c r="G388" s="75" t="s">
        <v>288</v>
      </c>
      <c r="H388" s="52" t="str">
        <f aca="false">IF(G388&lt;&gt;"",IFERROR(VLOOKUP(G388,PRODUCTOS!$A:$B,2,0),"!COD NO ENCONTRADO"),"")</f>
        <v>RAPE BLANCO DIA (MON)</v>
      </c>
      <c r="I388" s="77" t="n">
        <v>1</v>
      </c>
      <c r="J388" s="78" t="n">
        <v>7.75</v>
      </c>
      <c r="K388" s="79" t="n">
        <v>7.4</v>
      </c>
      <c r="L388" s="80" t="n">
        <f aca="false">IF(AND(J388&lt;&gt;"",K388&lt;&gt;""),J388*K388,"")</f>
        <v>57.35</v>
      </c>
      <c r="M388" s="81" t="n">
        <f aca="false">IF(L388&lt;&gt;"",L388*1.1,"")</f>
        <v>63.085</v>
      </c>
      <c r="N388" s="53" t="n">
        <f aca="false">IF(F388="S",L388*0.02,0)</f>
        <v>1.147</v>
      </c>
      <c r="O388" s="82" t="n">
        <f aca="false">IF(L388&lt;&gt;"",L388+N388,"")</f>
        <v>58.497</v>
      </c>
      <c r="P388" s="53" t="n">
        <f aca="false">IF(O388&lt;&gt;"",O388*0.1,"")</f>
        <v>5.8497</v>
      </c>
      <c r="Q388" s="83" t="n">
        <f aca="false">IF(O388&lt;&gt;"",O388+P388,"")</f>
        <v>64.3467</v>
      </c>
      <c r="R388" s="84"/>
    </row>
    <row r="389" customFormat="false" ht="15" hidden="false" customHeight="true" outlineLevel="0" collapsed="false">
      <c r="A389" s="103" t="n">
        <v>55890</v>
      </c>
      <c r="B389" s="85" t="n">
        <v>46200</v>
      </c>
      <c r="C389" s="86" t="n">
        <v>17636</v>
      </c>
      <c r="D389" s="87" t="n">
        <v>50163</v>
      </c>
      <c r="E389" s="46" t="str">
        <f aca="false">IF(D389&lt;&gt;"",IFERROR(VLOOKUP(D389,PROVEEDORES!$A:$B,2,0),"!COD NO ENCONTRADO"),"")</f>
        <v>SUBASTAS RIVERA S.L.</v>
      </c>
      <c r="F389" s="88" t="str">
        <f aca="false">IF(D389&lt;&gt;"",IFERROR(VLOOKUP(D389,PROVEEDORES!$A:$C,3,0),""),"")</f>
        <v>S</v>
      </c>
      <c r="G389" s="87" t="s">
        <v>133</v>
      </c>
      <c r="H389" s="46" t="str">
        <f aca="false">IF(G389&lt;&gt;"",IFERROR(VLOOKUP(G389,PRODUCTOS!$A:$B,2,0),"!COD NO ENCONTRADO"),"")</f>
        <v>CINTAS/ PEZ CINTA (CBC)</v>
      </c>
      <c r="I389" s="89" t="n">
        <v>1</v>
      </c>
      <c r="J389" s="90" t="n">
        <v>10</v>
      </c>
      <c r="K389" s="91" t="n">
        <v>2.9</v>
      </c>
      <c r="L389" s="80" t="n">
        <f aca="false">IF(AND(J389&lt;&gt;"",K389&lt;&gt;""),J389*K389,"")</f>
        <v>29</v>
      </c>
      <c r="M389" s="81" t="n">
        <f aca="false">IF(L389&lt;&gt;"",L389*1.1,"")</f>
        <v>31.9</v>
      </c>
      <c r="N389" s="47" t="n">
        <f aca="false">IF(F389="S",L389*0.02,0)</f>
        <v>0.58</v>
      </c>
      <c r="O389" s="82" t="n">
        <f aca="false">IF(L389&lt;&gt;"",L389+N389,"")</f>
        <v>29.58</v>
      </c>
      <c r="P389" s="47" t="n">
        <f aca="false">IF(O389&lt;&gt;"",O389*0.1,"")</f>
        <v>2.958</v>
      </c>
      <c r="Q389" s="83" t="n">
        <f aca="false">IF(O389&lt;&gt;"",O389+P389,"")</f>
        <v>32.538</v>
      </c>
      <c r="R389" s="84"/>
    </row>
    <row r="390" customFormat="false" ht="15" hidden="false" customHeight="true" outlineLevel="0" collapsed="false">
      <c r="A390" s="103" t="n">
        <v>55890</v>
      </c>
      <c r="B390" s="85" t="n">
        <v>46200</v>
      </c>
      <c r="C390" s="74" t="n">
        <v>17636</v>
      </c>
      <c r="D390" s="75" t="n">
        <v>50163</v>
      </c>
      <c r="E390" s="52" t="str">
        <f aca="false">IF(D390&lt;&gt;"",IFERROR(VLOOKUP(D390,PROVEEDORES!$A:$B,2,0),"!COD NO ENCONTRADO"),"")</f>
        <v>SUBASTAS RIVERA S.L.</v>
      </c>
      <c r="F390" s="76" t="str">
        <f aca="false">IF(D390&lt;&gt;"",IFERROR(VLOOKUP(D390,PROVEEDORES!$A:$C,3,0),""),"")</f>
        <v>S</v>
      </c>
      <c r="G390" s="75" t="s">
        <v>133</v>
      </c>
      <c r="H390" s="52" t="str">
        <f aca="false">IF(G390&lt;&gt;"",IFERROR(VLOOKUP(G390,PRODUCTOS!$A:$B,2,0),"!COD NO ENCONTRADO"),"")</f>
        <v>CINTAS/ PEZ CINTA (CBC)</v>
      </c>
      <c r="I390" s="77" t="n">
        <v>1</v>
      </c>
      <c r="J390" s="78" t="n">
        <v>8.5</v>
      </c>
      <c r="K390" s="79" t="n">
        <v>2.3</v>
      </c>
      <c r="L390" s="80" t="n">
        <f aca="false">IF(AND(J390&lt;&gt;"",K390&lt;&gt;""),J390*K390,"")</f>
        <v>19.55</v>
      </c>
      <c r="M390" s="81" t="n">
        <f aca="false">IF(L390&lt;&gt;"",L390*1.1,"")</f>
        <v>21.505</v>
      </c>
      <c r="N390" s="53" t="n">
        <f aca="false">IF(F390="S",L390*0.02,0)</f>
        <v>0.391</v>
      </c>
      <c r="O390" s="82" t="n">
        <f aca="false">IF(L390&lt;&gt;"",L390+N390,"")</f>
        <v>19.941</v>
      </c>
      <c r="P390" s="53" t="n">
        <f aca="false">IF(O390&lt;&gt;"",O390*0.1,"")</f>
        <v>1.9941</v>
      </c>
      <c r="Q390" s="83" t="n">
        <f aca="false">IF(O390&lt;&gt;"",O390+P390,"")</f>
        <v>21.9351</v>
      </c>
      <c r="R390" s="84"/>
    </row>
    <row r="391" customFormat="false" ht="15" hidden="false" customHeight="true" outlineLevel="0" collapsed="false">
      <c r="A391" s="103" t="n">
        <v>55891</v>
      </c>
      <c r="B391" s="73" t="n">
        <v>46200</v>
      </c>
      <c r="C391" s="74" t="n">
        <v>6660</v>
      </c>
      <c r="D391" s="75" t="n">
        <v>50020</v>
      </c>
      <c r="E391" s="52" t="str">
        <f aca="false">IF(D391&lt;&gt;"",IFERROR(VLOOKUP(D391,PROVEEDORES!$A:$B,2,0),"!COD NO ENCONTRADO"),"")</f>
        <v>PACO MOINELO</v>
      </c>
      <c r="F391" s="76" t="str">
        <f aca="false">IF(D391&lt;&gt;"",IFERROR(VLOOKUP(D391,PROVEEDORES!$A:$C,3,0),""),"")</f>
        <v>S</v>
      </c>
      <c r="G391" s="75" t="s">
        <v>135</v>
      </c>
      <c r="H391" s="52" t="str">
        <f aca="false">IF(G391&lt;&gt;"",IFERROR(VLOOKUP(G391,PRODUCTOS!$A:$B,2,0),"!COD NO ENCONTRADO"),"")</f>
        <v>CONGRIO 10+  (COE)</v>
      </c>
      <c r="I391" s="77" t="n">
        <v>1</v>
      </c>
      <c r="J391" s="78" t="n">
        <v>12.75</v>
      </c>
      <c r="K391" s="79" t="n">
        <v>3.5</v>
      </c>
      <c r="L391" s="80" t="n">
        <f aca="false">IF(AND(J391&lt;&gt;"",K391&lt;&gt;""),J391*K391,"")</f>
        <v>44.625</v>
      </c>
      <c r="M391" s="81" t="n">
        <f aca="false">IF(L391&lt;&gt;"",L391*1.1,"")</f>
        <v>49.0875</v>
      </c>
      <c r="N391" s="53" t="n">
        <f aca="false">IF(F391="S",L391*0.02,0)</f>
        <v>0.8925</v>
      </c>
      <c r="O391" s="82" t="n">
        <f aca="false">IF(L391&lt;&gt;"",L391+N391,"")</f>
        <v>45.5175</v>
      </c>
      <c r="P391" s="53" t="n">
        <f aca="false">IF(O391&lt;&gt;"",O391*0.1,"")</f>
        <v>4.55175</v>
      </c>
      <c r="Q391" s="83" t="n">
        <f aca="false">IF(O391&lt;&gt;"",O391+P391,"")</f>
        <v>50.06925</v>
      </c>
      <c r="R391" s="84"/>
    </row>
    <row r="392" customFormat="false" ht="15" hidden="false" customHeight="true" outlineLevel="0" collapsed="false">
      <c r="A392" s="103" t="n">
        <v>55892</v>
      </c>
      <c r="B392" s="85" t="n">
        <v>46200</v>
      </c>
      <c r="C392" s="86" t="n">
        <v>2606</v>
      </c>
      <c r="D392" s="87" t="n">
        <v>50232</v>
      </c>
      <c r="E392" s="46" t="str">
        <f aca="false">IF(D392&lt;&gt;"",IFERROR(VLOOKUP(D392,PROVEEDORES!$A:$B,2,0),"!COD NO ENCONTRADO"),"")</f>
        <v>XESTION NOVA LONXA RIVEIRA S.L.</v>
      </c>
      <c r="F392" s="88" t="str">
        <f aca="false">IF(D392&lt;&gt;"",IFERROR(VLOOKUP(D392,PROVEEDORES!$A:$C,3,0),""),"")</f>
        <v>S</v>
      </c>
      <c r="G392" s="87" t="s">
        <v>155</v>
      </c>
      <c r="H392" s="46" t="str">
        <f aca="false">IF(G392&lt;&gt;"",IFERROR(VLOOKUP(G392,PRODUCTOS!$A:$B,2,0),"!COD NO ENCONTRADO"),"")</f>
        <v>FANECA (BIB)</v>
      </c>
      <c r="I392" s="89" t="n">
        <v>1</v>
      </c>
      <c r="J392" s="90" t="n">
        <v>1.7</v>
      </c>
      <c r="K392" s="91" t="n">
        <v>0.5</v>
      </c>
      <c r="L392" s="80" t="n">
        <f aca="false">IF(AND(J392&lt;&gt;"",K392&lt;&gt;""),J392*K392,"")</f>
        <v>0.85</v>
      </c>
      <c r="M392" s="81" t="n">
        <f aca="false">IF(L392&lt;&gt;"",L392*1.1,"")</f>
        <v>0.935</v>
      </c>
      <c r="N392" s="47" t="n">
        <f aca="false">IF(F392="S",L392*0.02,0)</f>
        <v>0.017</v>
      </c>
      <c r="O392" s="82" t="n">
        <f aca="false">IF(L392&lt;&gt;"",L392+N392,"")</f>
        <v>0.867</v>
      </c>
      <c r="P392" s="47" t="n">
        <f aca="false">IF(O392&lt;&gt;"",O392*0.1,"")</f>
        <v>0.0867</v>
      </c>
      <c r="Q392" s="83" t="n">
        <f aca="false">IF(O392&lt;&gt;"",O392+P392,"")</f>
        <v>0.9537</v>
      </c>
      <c r="R392" s="84"/>
    </row>
    <row r="393" customFormat="false" ht="15" hidden="false" customHeight="true" outlineLevel="0" collapsed="false">
      <c r="A393" s="103" t="n">
        <v>55892</v>
      </c>
      <c r="B393" s="85" t="n">
        <v>46200</v>
      </c>
      <c r="C393" s="74" t="n">
        <v>2606</v>
      </c>
      <c r="D393" s="75" t="n">
        <v>50232</v>
      </c>
      <c r="E393" s="52" t="str">
        <f aca="false">IF(D393&lt;&gt;"",IFERROR(VLOOKUP(D393,PROVEEDORES!$A:$B,2,0),"!COD NO ENCONTRADO"),"")</f>
        <v>XESTION NOVA LONXA RIVEIRA S.L.</v>
      </c>
      <c r="F393" s="76" t="str">
        <f aca="false">IF(D393&lt;&gt;"",IFERROR(VLOOKUP(D393,PROVEEDORES!$A:$C,3,0),""),"")</f>
        <v>S</v>
      </c>
      <c r="G393" s="75" t="s">
        <v>332</v>
      </c>
      <c r="H393" s="52" t="str">
        <f aca="false">IF(G393&lt;&gt;"",IFERROR(VLOOKUP(G393,PRODUCTOS!$A:$B,2,0),"!COD NO ENCONTRADO"),"")</f>
        <v>VARIADO PEQUEÑO</v>
      </c>
      <c r="I393" s="77" t="n">
        <v>1</v>
      </c>
      <c r="J393" s="78" t="n">
        <v>5.8</v>
      </c>
      <c r="K393" s="79" t="n">
        <v>1</v>
      </c>
      <c r="L393" s="80" t="n">
        <f aca="false">IF(AND(J393&lt;&gt;"",K393&lt;&gt;""),J393*K393,"")</f>
        <v>5.8</v>
      </c>
      <c r="M393" s="81" t="n">
        <f aca="false">IF(L393&lt;&gt;"",L393*1.1,"")</f>
        <v>6.38</v>
      </c>
      <c r="N393" s="53" t="n">
        <f aca="false">IF(F393="S",L393*0.02,0)</f>
        <v>0.116</v>
      </c>
      <c r="O393" s="82" t="n">
        <f aca="false">IF(L393&lt;&gt;"",L393+N393,"")</f>
        <v>5.916</v>
      </c>
      <c r="P393" s="53" t="n">
        <f aca="false">IF(O393&lt;&gt;"",O393*0.1,"")</f>
        <v>0.5916</v>
      </c>
      <c r="Q393" s="83" t="n">
        <f aca="false">IF(O393&lt;&gt;"",O393+P393,"")</f>
        <v>6.5076</v>
      </c>
      <c r="R393" s="84"/>
    </row>
    <row r="394" customFormat="false" ht="15" hidden="false" customHeight="true" outlineLevel="0" collapsed="false">
      <c r="A394" s="103" t="n">
        <v>55892</v>
      </c>
      <c r="B394" s="85" t="n">
        <v>46200</v>
      </c>
      <c r="C394" s="86" t="n">
        <v>2606</v>
      </c>
      <c r="D394" s="87" t="n">
        <v>50232</v>
      </c>
      <c r="E394" s="46" t="str">
        <f aca="false">IF(D394&lt;&gt;"",IFERROR(VLOOKUP(D394,PROVEEDORES!$A:$B,2,0),"!COD NO ENCONTRADO"),"")</f>
        <v>XESTION NOVA LONXA RIVEIRA S.L.</v>
      </c>
      <c r="F394" s="88" t="str">
        <f aca="false">IF(D394&lt;&gt;"",IFERROR(VLOOKUP(D394,PROVEEDORES!$A:$C,3,0),""),"")</f>
        <v>S</v>
      </c>
      <c r="G394" s="87" t="s">
        <v>332</v>
      </c>
      <c r="H394" s="46" t="str">
        <f aca="false">IF(G394&lt;&gt;"",IFERROR(VLOOKUP(G394,PRODUCTOS!$A:$B,2,0),"!COD NO ENCONTRADO"),"")</f>
        <v>VARIADO PEQUEÑO</v>
      </c>
      <c r="I394" s="89" t="n">
        <v>2</v>
      </c>
      <c r="J394" s="90" t="n">
        <v>15.75</v>
      </c>
      <c r="K394" s="91" t="n">
        <v>1.5</v>
      </c>
      <c r="L394" s="80" t="n">
        <f aca="false">IF(AND(J394&lt;&gt;"",K394&lt;&gt;""),J394*K394,"")</f>
        <v>23.625</v>
      </c>
      <c r="M394" s="81" t="n">
        <f aca="false">IF(L394&lt;&gt;"",L394*1.1,"")</f>
        <v>25.9875</v>
      </c>
      <c r="N394" s="47" t="n">
        <f aca="false">IF(F394="S",L394*0.02,0)</f>
        <v>0.4725</v>
      </c>
      <c r="O394" s="82" t="n">
        <f aca="false">IF(L394&lt;&gt;"",L394+N394,"")</f>
        <v>24.0975</v>
      </c>
      <c r="P394" s="47" t="n">
        <f aca="false">IF(O394&lt;&gt;"",O394*0.1,"")</f>
        <v>2.40975</v>
      </c>
      <c r="Q394" s="83" t="n">
        <f aca="false">IF(O394&lt;&gt;"",O394+P394,"")</f>
        <v>26.50725</v>
      </c>
      <c r="R394" s="84"/>
    </row>
    <row r="395" customFormat="false" ht="15" hidden="false" customHeight="true" outlineLevel="0" collapsed="false">
      <c r="A395" s="103" t="n">
        <v>55892</v>
      </c>
      <c r="B395" s="85" t="n">
        <v>46200</v>
      </c>
      <c r="C395" s="74" t="n">
        <v>2606</v>
      </c>
      <c r="D395" s="75" t="n">
        <v>50232</v>
      </c>
      <c r="E395" s="52" t="str">
        <f aca="false">IF(D395&lt;&gt;"",IFERROR(VLOOKUP(D395,PROVEEDORES!$A:$B,2,0),"!COD NO ENCONTRADO"),"")</f>
        <v>XESTION NOVA LONXA RIVEIRA S.L.</v>
      </c>
      <c r="F395" s="76" t="str">
        <f aca="false">IF(D395&lt;&gt;"",IFERROR(VLOOKUP(D395,PROVEEDORES!$A:$C,3,0),""),"")</f>
        <v>S</v>
      </c>
      <c r="G395" s="75" t="s">
        <v>179</v>
      </c>
      <c r="H395" s="52" t="str">
        <f aca="false">IF(G395&lt;&gt;"",IFERROR(VLOOKUP(G395,PRODUCTOS!$A:$B,2,0),"!COD NO ENCONTRADO"),"")</f>
        <v>LIRIO/ BACALADILLA/ PERLA (WHB)</v>
      </c>
      <c r="I395" s="77" t="n">
        <v>52</v>
      </c>
      <c r="J395" s="78" t="n">
        <v>522</v>
      </c>
      <c r="K395" s="79" t="n">
        <v>1</v>
      </c>
      <c r="L395" s="80" t="n">
        <f aca="false">IF(AND(J395&lt;&gt;"",K395&lt;&gt;""),J395*K395,"")</f>
        <v>522</v>
      </c>
      <c r="M395" s="81" t="n">
        <f aca="false">IF(L395&lt;&gt;"",L395*1.1,"")</f>
        <v>574.2</v>
      </c>
      <c r="N395" s="53" t="n">
        <f aca="false">IF(F395="S",L395*0.02,0)</f>
        <v>10.44</v>
      </c>
      <c r="O395" s="82" t="n">
        <f aca="false">IF(L395&lt;&gt;"",L395+N395,"")</f>
        <v>532.44</v>
      </c>
      <c r="P395" s="53" t="n">
        <f aca="false">IF(O395&lt;&gt;"",O395*0.1,"")</f>
        <v>53.244</v>
      </c>
      <c r="Q395" s="83" t="n">
        <f aca="false">IF(O395&lt;&gt;"",O395+P395,"")</f>
        <v>585.684</v>
      </c>
      <c r="R395" s="84"/>
    </row>
    <row r="396" customFormat="false" ht="15" hidden="false" customHeight="true" outlineLevel="0" collapsed="false">
      <c r="A396" s="103" t="n">
        <v>55892</v>
      </c>
      <c r="B396" s="85" t="n">
        <v>46200</v>
      </c>
      <c r="C396" s="74" t="n">
        <v>2606</v>
      </c>
      <c r="D396" s="87" t="n">
        <v>50232</v>
      </c>
      <c r="E396" s="46" t="str">
        <f aca="false">IF(D396&lt;&gt;"",IFERROR(VLOOKUP(D396,PROVEEDORES!$A:$B,2,0),"!COD NO ENCONTRADO"),"")</f>
        <v>XESTION NOVA LONXA RIVEIRA S.L.</v>
      </c>
      <c r="F396" s="88" t="str">
        <f aca="false">IF(D396&lt;&gt;"",IFERROR(VLOOKUP(D396,PROVEEDORES!$A:$C,3,0),""),"")</f>
        <v>S</v>
      </c>
      <c r="G396" s="87" t="s">
        <v>270</v>
      </c>
      <c r="H396" s="46" t="str">
        <f aca="false">IF(G396&lt;&gt;"",IFERROR(VLOOKUP(G396,PRODUCTOS!$A:$B,2,0),"!COD NO ENCONTRADO"),"")</f>
        <v>PEON/ PION (ATP)</v>
      </c>
      <c r="I396" s="89" t="n">
        <v>12</v>
      </c>
      <c r="J396" s="90" t="n">
        <v>60</v>
      </c>
      <c r="K396" s="91" t="n">
        <v>4</v>
      </c>
      <c r="L396" s="80" t="n">
        <f aca="false">IF(AND(J396&lt;&gt;"",K396&lt;&gt;""),J396*K396,"")</f>
        <v>240</v>
      </c>
      <c r="M396" s="81" t="n">
        <f aca="false">IF(L396&lt;&gt;"",L396*1.1,"")</f>
        <v>264</v>
      </c>
      <c r="N396" s="47" t="n">
        <f aca="false">IF(F396="S",L396*0.02,0)</f>
        <v>4.8</v>
      </c>
      <c r="O396" s="82" t="n">
        <f aca="false">IF(L396&lt;&gt;"",L396+N396,"")</f>
        <v>244.8</v>
      </c>
      <c r="P396" s="47" t="n">
        <f aca="false">IF(O396&lt;&gt;"",O396*0.1,"")</f>
        <v>24.48</v>
      </c>
      <c r="Q396" s="83" t="n">
        <f aca="false">IF(O396&lt;&gt;"",O396+P396,"")</f>
        <v>269.28</v>
      </c>
      <c r="R396" s="84"/>
    </row>
    <row r="397" customFormat="false" ht="15" hidden="false" customHeight="true" outlineLevel="0" collapsed="false">
      <c r="A397" s="103" t="n">
        <v>55892</v>
      </c>
      <c r="B397" s="85" t="n">
        <v>46200</v>
      </c>
      <c r="C397" s="74" t="n">
        <v>2606</v>
      </c>
      <c r="D397" s="75" t="n">
        <v>50232</v>
      </c>
      <c r="E397" s="52" t="str">
        <f aca="false">IF(D397&lt;&gt;"",IFERROR(VLOOKUP(D397,PROVEEDORES!$A:$B,2,0),"!COD NO ENCONTRADO"),"")</f>
        <v>XESTION NOVA LONXA RIVEIRA S.L.</v>
      </c>
      <c r="F397" s="76" t="str">
        <f aca="false">IF(D397&lt;&gt;"",IFERROR(VLOOKUP(D397,PROVEEDORES!$A:$C,3,0),""),"")</f>
        <v>S</v>
      </c>
      <c r="G397" s="75" t="s">
        <v>69</v>
      </c>
      <c r="H397" s="52" t="str">
        <f aca="false">IF(G397&lt;&gt;"",IFERROR(VLOOKUP(G397,PRODUCTOS!$A:$B,2,0),"!COD NO ENCONTRADO"),"")</f>
        <v>ALFONDIGA/RUBIO/ESCACHO (GUU)</v>
      </c>
      <c r="I397" s="77" t="n">
        <v>3</v>
      </c>
      <c r="J397" s="78" t="n">
        <f aca="false">5.25+3.5+10</f>
        <v>18.75</v>
      </c>
      <c r="K397" s="79" t="n">
        <v>1.5</v>
      </c>
      <c r="L397" s="80" t="n">
        <f aca="false">IF(AND(J397&lt;&gt;"",K397&lt;&gt;""),J397*K397,"")</f>
        <v>28.125</v>
      </c>
      <c r="M397" s="81" t="n">
        <f aca="false">IF(L397&lt;&gt;"",L397*1.1,"")</f>
        <v>30.9375</v>
      </c>
      <c r="N397" s="53" t="n">
        <f aca="false">IF(F397="S",L397*0.02,0)</f>
        <v>0.5625</v>
      </c>
      <c r="O397" s="82" t="n">
        <f aca="false">IF(L397&lt;&gt;"",L397+N397,"")</f>
        <v>28.6875</v>
      </c>
      <c r="P397" s="53" t="n">
        <f aca="false">IF(O397&lt;&gt;"",O397*0.1,"")</f>
        <v>2.86875</v>
      </c>
      <c r="Q397" s="83" t="n">
        <f aca="false">IF(O397&lt;&gt;"",O397+P397,"")</f>
        <v>31.55625</v>
      </c>
      <c r="R397" s="84"/>
    </row>
    <row r="398" customFormat="false" ht="15" hidden="false" customHeight="true" outlineLevel="0" collapsed="false">
      <c r="A398" s="103" t="n">
        <v>55892</v>
      </c>
      <c r="B398" s="85" t="n">
        <v>46200</v>
      </c>
      <c r="C398" s="74" t="n">
        <v>2606</v>
      </c>
      <c r="D398" s="87" t="n">
        <v>50232</v>
      </c>
      <c r="E398" s="46" t="str">
        <f aca="false">IF(D398&lt;&gt;"",IFERROR(VLOOKUP(D398,PROVEEDORES!$A:$B,2,0),"!COD NO ENCONTRADO"),"")</f>
        <v>XESTION NOVA LONXA RIVEIRA S.L.</v>
      </c>
      <c r="F398" s="88" t="str">
        <f aca="false">IF(D398&lt;&gt;"",IFERROR(VLOOKUP(D398,PROVEEDORES!$A:$C,3,0),""),"")</f>
        <v>S</v>
      </c>
      <c r="G398" s="87" t="s">
        <v>69</v>
      </c>
      <c r="H398" s="46" t="str">
        <f aca="false">IF(G398&lt;&gt;"",IFERROR(VLOOKUP(G398,PRODUCTOS!$A:$B,2,0),"!COD NO ENCONTRADO"),"")</f>
        <v>ALFONDIGA/RUBIO/ESCACHO (GUU)</v>
      </c>
      <c r="I398" s="89" t="n">
        <v>2</v>
      </c>
      <c r="J398" s="90" t="n">
        <v>1.2</v>
      </c>
      <c r="K398" s="91" t="n">
        <v>1</v>
      </c>
      <c r="L398" s="80" t="n">
        <f aca="false">IF(AND(J398&lt;&gt;"",K398&lt;&gt;""),J398*K398,"")</f>
        <v>1.2</v>
      </c>
      <c r="M398" s="81" t="n">
        <f aca="false">IF(L398&lt;&gt;"",L398*1.1,"")</f>
        <v>1.32</v>
      </c>
      <c r="N398" s="47" t="n">
        <f aca="false">IF(F398="S",L398*0.02,0)</f>
        <v>0.024</v>
      </c>
      <c r="O398" s="82" t="n">
        <f aca="false">IF(L398&lt;&gt;"",L398+N398,"")</f>
        <v>1.224</v>
      </c>
      <c r="P398" s="47" t="n">
        <f aca="false">IF(O398&lt;&gt;"",O398*0.1,"")</f>
        <v>0.1224</v>
      </c>
      <c r="Q398" s="83" t="n">
        <f aca="false">IF(O398&lt;&gt;"",O398+P398,"")</f>
        <v>1.3464</v>
      </c>
      <c r="R398" s="84"/>
    </row>
    <row r="399" customFormat="false" ht="15" hidden="false" customHeight="true" outlineLevel="0" collapsed="false">
      <c r="A399" s="103" t="n">
        <v>55892</v>
      </c>
      <c r="B399" s="85" t="n">
        <v>46200</v>
      </c>
      <c r="C399" s="74" t="n">
        <v>2606</v>
      </c>
      <c r="D399" s="75" t="n">
        <v>50232</v>
      </c>
      <c r="E399" s="52" t="str">
        <f aca="false">IF(D399&lt;&gt;"",IFERROR(VLOOKUP(D399,PROVEEDORES!$A:$B,2,0),"!COD NO ENCONTRADO"),"")</f>
        <v>XESTION NOVA LONXA RIVEIRA S.L.</v>
      </c>
      <c r="F399" s="76" t="str">
        <f aca="false">IF(D399&lt;&gt;"",IFERROR(VLOOKUP(D399,PROVEEDORES!$A:$C,3,0),""),"")</f>
        <v>S</v>
      </c>
      <c r="G399" s="75" t="s">
        <v>97</v>
      </c>
      <c r="H399" s="52" t="str">
        <f aca="false">IF(G399&lt;&gt;"",IFERROR(VLOOKUP(G399,PRODUCTOS!$A:$B,2,0),"!COD NO ENCONTRADO"),"")</f>
        <v>CABALL/ SARDA/ VERDEL (MAC)</v>
      </c>
      <c r="I399" s="77" t="n">
        <v>1</v>
      </c>
      <c r="J399" s="78" t="n">
        <v>10</v>
      </c>
      <c r="K399" s="79" t="n">
        <v>2.5</v>
      </c>
      <c r="L399" s="80" t="n">
        <f aca="false">IF(AND(J399&lt;&gt;"",K399&lt;&gt;""),J399*K399,"")</f>
        <v>25</v>
      </c>
      <c r="M399" s="81" t="n">
        <f aca="false">IF(L399&lt;&gt;"",L399*1.1,"")</f>
        <v>27.5</v>
      </c>
      <c r="N399" s="53" t="n">
        <f aca="false">IF(F399="S",L399*0.02,0)</f>
        <v>0.5</v>
      </c>
      <c r="O399" s="82" t="n">
        <f aca="false">IF(L399&lt;&gt;"",L399+N399,"")</f>
        <v>25.5</v>
      </c>
      <c r="P399" s="53" t="n">
        <f aca="false">IF(O399&lt;&gt;"",O399*0.1,"")</f>
        <v>2.55</v>
      </c>
      <c r="Q399" s="83" t="n">
        <f aca="false">IF(O399&lt;&gt;"",O399+P399,"")</f>
        <v>28.05</v>
      </c>
      <c r="R399" s="84"/>
    </row>
    <row r="400" customFormat="false" ht="15" hidden="false" customHeight="true" outlineLevel="0" collapsed="false">
      <c r="A400" s="103" t="n">
        <v>55892</v>
      </c>
      <c r="B400" s="85" t="n">
        <v>46200</v>
      </c>
      <c r="C400" s="74" t="n">
        <v>2606</v>
      </c>
      <c r="D400" s="87" t="n">
        <v>50232</v>
      </c>
      <c r="E400" s="46" t="str">
        <f aca="false">IF(D400&lt;&gt;"",IFERROR(VLOOKUP(D400,PROVEEDORES!$A:$B,2,0),"!COD NO ENCONTRADO"),"")</f>
        <v>XESTION NOVA LONXA RIVEIRA S.L.</v>
      </c>
      <c r="F400" s="88" t="str">
        <f aca="false">IF(D400&lt;&gt;"",IFERROR(VLOOKUP(D400,PROVEEDORES!$A:$C,3,0),""),"")</f>
        <v>S</v>
      </c>
      <c r="G400" s="87" t="s">
        <v>97</v>
      </c>
      <c r="H400" s="46" t="str">
        <f aca="false">IF(G400&lt;&gt;"",IFERROR(VLOOKUP(G400,PRODUCTOS!$A:$B,2,0),"!COD NO ENCONTRADO"),"")</f>
        <v>CABALL/ SARDA/ VERDEL (MAC)</v>
      </c>
      <c r="I400" s="89" t="n">
        <v>1</v>
      </c>
      <c r="J400" s="90" t="n">
        <v>14.3</v>
      </c>
      <c r="K400" s="91" t="n">
        <v>4.5</v>
      </c>
      <c r="L400" s="80" t="n">
        <f aca="false">IF(AND(J400&lt;&gt;"",K400&lt;&gt;""),J400*K400,"")</f>
        <v>64.35</v>
      </c>
      <c r="M400" s="81" t="n">
        <f aca="false">IF(L400&lt;&gt;"",L400*1.1,"")</f>
        <v>70.785</v>
      </c>
      <c r="N400" s="47" t="n">
        <f aca="false">IF(F400="S",L400*0.02,0)</f>
        <v>1.287</v>
      </c>
      <c r="O400" s="82" t="n">
        <f aca="false">IF(L400&lt;&gt;"",L400+N400,"")</f>
        <v>65.637</v>
      </c>
      <c r="P400" s="47" t="n">
        <f aca="false">IF(O400&lt;&gt;"",O400*0.1,"")</f>
        <v>6.5637</v>
      </c>
      <c r="Q400" s="83" t="n">
        <f aca="false">IF(O400&lt;&gt;"",O400+P400,"")</f>
        <v>72.2007</v>
      </c>
      <c r="R400" s="84"/>
    </row>
    <row r="401" customFormat="false" ht="15" hidden="false" customHeight="true" outlineLevel="0" collapsed="false">
      <c r="A401" s="103" t="n">
        <v>55892</v>
      </c>
      <c r="B401" s="85" t="n">
        <v>46200</v>
      </c>
      <c r="C401" s="74" t="n">
        <v>2606</v>
      </c>
      <c r="D401" s="75" t="n">
        <v>50232</v>
      </c>
      <c r="E401" s="52" t="str">
        <f aca="false">IF(D401&lt;&gt;"",IFERROR(VLOOKUP(D401,PROVEEDORES!$A:$B,2,0),"!COD NO ENCONTRADO"),"")</f>
        <v>XESTION NOVA LONXA RIVEIRA S.L.</v>
      </c>
      <c r="F401" s="76" t="str">
        <f aca="false">IF(D401&lt;&gt;"",IFERROR(VLOOKUP(D401,PROVEEDORES!$A:$C,3,0),""),"")</f>
        <v>S</v>
      </c>
      <c r="G401" s="75" t="s">
        <v>270</v>
      </c>
      <c r="H401" s="52" t="str">
        <f aca="false">IF(G401&lt;&gt;"",IFERROR(VLOOKUP(G401,PRODUCTOS!$A:$B,2,0),"!COD NO ENCONTRADO"),"")</f>
        <v>PEON/ PION (ATP)</v>
      </c>
      <c r="I401" s="77" t="n">
        <v>1</v>
      </c>
      <c r="J401" s="78" t="n">
        <v>2.2</v>
      </c>
      <c r="K401" s="79" t="n">
        <v>1</v>
      </c>
      <c r="L401" s="80" t="n">
        <f aca="false">IF(AND(J401&lt;&gt;"",K401&lt;&gt;""),J401*K401,"")</f>
        <v>2.2</v>
      </c>
      <c r="M401" s="81" t="n">
        <f aca="false">IF(L401&lt;&gt;"",L401*1.1,"")</f>
        <v>2.42</v>
      </c>
      <c r="N401" s="53" t="n">
        <f aca="false">IF(F401="S",L401*0.02,0)</f>
        <v>0.044</v>
      </c>
      <c r="O401" s="82" t="n">
        <f aca="false">IF(L401&lt;&gt;"",L401+N401,"")</f>
        <v>2.244</v>
      </c>
      <c r="P401" s="53" t="n">
        <f aca="false">IF(O401&lt;&gt;"",O401*0.1,"")</f>
        <v>0.2244</v>
      </c>
      <c r="Q401" s="83" t="n">
        <f aca="false">IF(O401&lt;&gt;"",O401+P401,"")</f>
        <v>2.4684</v>
      </c>
      <c r="R401" s="84"/>
    </row>
    <row r="402" customFormat="false" ht="15" hidden="false" customHeight="true" outlineLevel="0" collapsed="false">
      <c r="A402" s="103" t="n">
        <v>55892</v>
      </c>
      <c r="B402" s="85" t="n">
        <v>46200</v>
      </c>
      <c r="C402" s="74" t="n">
        <v>2606</v>
      </c>
      <c r="D402" s="87" t="n">
        <v>50232</v>
      </c>
      <c r="E402" s="46" t="str">
        <f aca="false">IF(D402&lt;&gt;"",IFERROR(VLOOKUP(D402,PROVEEDORES!$A:$B,2,0),"!COD NO ENCONTRADO"),"")</f>
        <v>XESTION NOVA LONXA RIVEIRA S.L.</v>
      </c>
      <c r="F402" s="88" t="str">
        <f aca="false">IF(D402&lt;&gt;"",IFERROR(VLOOKUP(D402,PROVEEDORES!$A:$C,3,0),""),"")</f>
        <v>S</v>
      </c>
      <c r="G402" s="87" t="s">
        <v>302</v>
      </c>
      <c r="H402" s="46" t="str">
        <f aca="false">IF(G402&lt;&gt;"",IFERROR(VLOOKUP(G402,PRODUCTOS!$A:$B,2,0),"!COD NO ENCONTRADO"),"")</f>
        <v>RAYA COMUN (ALAS)</v>
      </c>
      <c r="I402" s="89" t="n">
        <v>4</v>
      </c>
      <c r="J402" s="90" t="n">
        <f aca="false">5.4+8.2+8.2+7.7</f>
        <v>29.5</v>
      </c>
      <c r="K402" s="91" t="n">
        <v>0.6</v>
      </c>
      <c r="L402" s="80" t="n">
        <f aca="false">IF(AND(J402&lt;&gt;"",K402&lt;&gt;""),J402*K402,"")</f>
        <v>17.7</v>
      </c>
      <c r="M402" s="81" t="n">
        <f aca="false">IF(L402&lt;&gt;"",L402*1.1,"")</f>
        <v>19.47</v>
      </c>
      <c r="N402" s="47" t="n">
        <f aca="false">IF(F402="S",L402*0.02,0)</f>
        <v>0.354</v>
      </c>
      <c r="O402" s="82" t="n">
        <f aca="false">IF(L402&lt;&gt;"",L402+N402,"")</f>
        <v>18.054</v>
      </c>
      <c r="P402" s="47" t="n">
        <f aca="false">IF(O402&lt;&gt;"",O402*0.1,"")</f>
        <v>1.8054</v>
      </c>
      <c r="Q402" s="83" t="n">
        <f aca="false">IF(O402&lt;&gt;"",O402+P402,"")</f>
        <v>19.8594</v>
      </c>
      <c r="R402" s="84"/>
    </row>
    <row r="403" customFormat="false" ht="15" hidden="false" customHeight="true" outlineLevel="0" collapsed="false">
      <c r="A403" s="103" t="n">
        <v>55892</v>
      </c>
      <c r="B403" s="85" t="n">
        <v>46200</v>
      </c>
      <c r="C403" s="74" t="n">
        <v>2606</v>
      </c>
      <c r="D403" s="75" t="n">
        <v>50232</v>
      </c>
      <c r="E403" s="52" t="str">
        <f aca="false">IF(D403&lt;&gt;"",IFERROR(VLOOKUP(D403,PROVEEDORES!$A:$B,2,0),"!COD NO ENCONTRADO"),"")</f>
        <v>XESTION NOVA LONXA RIVEIRA S.L.</v>
      </c>
      <c r="F403" s="76" t="str">
        <f aca="false">IF(D403&lt;&gt;"",IFERROR(VLOOKUP(D403,PROVEEDORES!$A:$C,3,0),""),"")</f>
        <v>S</v>
      </c>
      <c r="G403" s="75" t="s">
        <v>302</v>
      </c>
      <c r="H403" s="52" t="str">
        <f aca="false">IF(G403&lt;&gt;"",IFERROR(VLOOKUP(G403,PRODUCTOS!$A:$B,2,0),"!COD NO ENCONTRADO"),"")</f>
        <v>RAYA COMUN (ALAS)</v>
      </c>
      <c r="I403" s="77" t="n">
        <v>1</v>
      </c>
      <c r="J403" s="78" t="n">
        <v>2.5</v>
      </c>
      <c r="K403" s="79" t="n">
        <v>1</v>
      </c>
      <c r="L403" s="80" t="n">
        <f aca="false">IF(AND(J403&lt;&gt;"",K403&lt;&gt;""),J403*K403,"")</f>
        <v>2.5</v>
      </c>
      <c r="M403" s="81" t="n">
        <f aca="false">IF(L403&lt;&gt;"",L403*1.1,"")</f>
        <v>2.75</v>
      </c>
      <c r="N403" s="53" t="n">
        <f aca="false">IF(F403="S",L403*0.02,0)</f>
        <v>0.05</v>
      </c>
      <c r="O403" s="82" t="n">
        <f aca="false">IF(L403&lt;&gt;"",L403+N403,"")</f>
        <v>2.55</v>
      </c>
      <c r="P403" s="53" t="n">
        <f aca="false">IF(O403&lt;&gt;"",O403*0.1,"")</f>
        <v>0.255</v>
      </c>
      <c r="Q403" s="83" t="n">
        <f aca="false">IF(O403&lt;&gt;"",O403+P403,"")</f>
        <v>2.805</v>
      </c>
      <c r="R403" s="84"/>
    </row>
    <row r="404" customFormat="false" ht="15" hidden="false" customHeight="true" outlineLevel="0" collapsed="false">
      <c r="A404" s="103" t="n">
        <v>55892</v>
      </c>
      <c r="B404" s="85" t="n">
        <v>46200</v>
      </c>
      <c r="C404" s="74" t="n">
        <v>2606</v>
      </c>
      <c r="D404" s="87" t="n">
        <v>50232</v>
      </c>
      <c r="E404" s="46" t="str">
        <f aca="false">IF(D404&lt;&gt;"",IFERROR(VLOOKUP(D404,PROVEEDORES!$A:$B,2,0),"!COD NO ENCONTRADO"),"")</f>
        <v>XESTION NOVA LONXA RIVEIRA S.L.</v>
      </c>
      <c r="F404" s="88" t="str">
        <f aca="false">IF(D404&lt;&gt;"",IFERROR(VLOOKUP(D404,PROVEEDORES!$A:$C,3,0),""),"")</f>
        <v>S</v>
      </c>
      <c r="G404" s="87" t="s">
        <v>302</v>
      </c>
      <c r="H404" s="46" t="str">
        <f aca="false">IF(G404&lt;&gt;"",IFERROR(VLOOKUP(G404,PRODUCTOS!$A:$B,2,0),"!COD NO ENCONTRADO"),"")</f>
        <v>RAYA COMUN (ALAS)</v>
      </c>
      <c r="I404" s="89" t="n">
        <v>9</v>
      </c>
      <c r="J404" s="90" t="n">
        <f aca="false">113.75-2.5-29.5</f>
        <v>81.75</v>
      </c>
      <c r="K404" s="91" t="n">
        <v>2.3</v>
      </c>
      <c r="L404" s="80" t="n">
        <f aca="false">IF(AND(J404&lt;&gt;"",K404&lt;&gt;""),J404*K404,"")</f>
        <v>188.025</v>
      </c>
      <c r="M404" s="81" t="n">
        <f aca="false">IF(L404&lt;&gt;"",L404*1.1,"")</f>
        <v>206.8275</v>
      </c>
      <c r="N404" s="47" t="n">
        <f aca="false">IF(F404="S",L404*0.02,0)</f>
        <v>3.7605</v>
      </c>
      <c r="O404" s="82" t="n">
        <f aca="false">IF(L404&lt;&gt;"",L404+N404,"")</f>
        <v>191.7855</v>
      </c>
      <c r="P404" s="47" t="n">
        <f aca="false">IF(O404&lt;&gt;"",O404*0.1,"")</f>
        <v>19.17855</v>
      </c>
      <c r="Q404" s="83" t="n">
        <f aca="false">IF(O404&lt;&gt;"",O404+P404,"")</f>
        <v>210.96405</v>
      </c>
      <c r="R404" s="84"/>
    </row>
    <row r="405" customFormat="false" ht="15" hidden="false" customHeight="true" outlineLevel="0" collapsed="false">
      <c r="A405" s="103" t="n">
        <v>55892</v>
      </c>
      <c r="B405" s="85" t="n">
        <v>46200</v>
      </c>
      <c r="C405" s="86"/>
      <c r="D405" s="87" t="n">
        <v>50232</v>
      </c>
      <c r="E405" s="46" t="str">
        <f aca="false">IF(D405&lt;&gt;"",IFERROR(VLOOKUP(D405,PROVEEDORES!$A:$B,2,0),"!COD NO ENCONTRADO"),"")</f>
        <v>XESTION NOVA LONXA RIVEIRA S.L.</v>
      </c>
      <c r="F405" s="88" t="str">
        <f aca="false">IF(D405&lt;&gt;"",IFERROR(VLOOKUP(D405,PROVEEDORES!$A:$C,3,0),""),"")</f>
        <v>S</v>
      </c>
      <c r="G405" s="87" t="s">
        <v>296</v>
      </c>
      <c r="H405" s="46" t="str">
        <f aca="false">IF(G405&lt;&gt;"",IFERROR(VLOOKUP(G405,PRODUCTOS!$A:$B,2,0),"!COD NO ENCONTRADO"),"")</f>
        <v>RAPE NEGRO (ANK)</v>
      </c>
      <c r="I405" s="89" t="n">
        <v>2</v>
      </c>
      <c r="J405" s="90" t="n">
        <v>9.4</v>
      </c>
      <c r="K405" s="91" t="n">
        <v>4</v>
      </c>
      <c r="L405" s="80" t="n">
        <f aca="false">IF(AND(J405&lt;&gt;"",K405&lt;&gt;""),J405*K405,"")</f>
        <v>37.6</v>
      </c>
      <c r="M405" s="81" t="n">
        <f aca="false">IF(L405&lt;&gt;"",L405*1.1,"")</f>
        <v>41.36</v>
      </c>
      <c r="N405" s="47" t="n">
        <f aca="false">IF(F405="S",L405*0.02,0)</f>
        <v>0.752</v>
      </c>
      <c r="O405" s="82" t="n">
        <f aca="false">IF(L405&lt;&gt;"",L405+N405,"")</f>
        <v>38.352</v>
      </c>
      <c r="P405" s="47" t="n">
        <f aca="false">IF(O405&lt;&gt;"",O405*0.1,"")</f>
        <v>3.8352</v>
      </c>
      <c r="Q405" s="83" t="n">
        <f aca="false">IF(O405&lt;&gt;"",O405+P405,"")</f>
        <v>42.1872</v>
      </c>
      <c r="R405" s="84"/>
    </row>
    <row r="406" customFormat="false" ht="15" hidden="false" customHeight="true" outlineLevel="0" collapsed="false">
      <c r="A406" s="103" t="n">
        <v>55892</v>
      </c>
      <c r="B406" s="73" t="n">
        <v>46200</v>
      </c>
      <c r="C406" s="74"/>
      <c r="D406" s="75" t="n">
        <v>50232</v>
      </c>
      <c r="E406" s="52" t="str">
        <f aca="false">IF(D406&lt;&gt;"",IFERROR(VLOOKUP(D406,PROVEEDORES!$A:$B,2,0),"!COD NO ENCONTRADO"),"")</f>
        <v>XESTION NOVA LONXA RIVEIRA S.L.</v>
      </c>
      <c r="F406" s="76" t="str">
        <f aca="false">IF(D406&lt;&gt;"",IFERROR(VLOOKUP(D406,PROVEEDORES!$A:$C,3,0),""),"")</f>
        <v>S</v>
      </c>
      <c r="G406" s="75" t="s">
        <v>288</v>
      </c>
      <c r="H406" s="52" t="str">
        <f aca="false">IF(G406&lt;&gt;"",IFERROR(VLOOKUP(G406,PRODUCTOS!$A:$B,2,0),"!COD NO ENCONTRADO"),"")</f>
        <v>RAPE BLANCO DIA (MON)</v>
      </c>
      <c r="I406" s="77" t="n">
        <v>5</v>
      </c>
      <c r="J406" s="78" t="n">
        <v>45</v>
      </c>
      <c r="K406" s="79" t="n">
        <v>4</v>
      </c>
      <c r="L406" s="80" t="n">
        <f aca="false">IF(AND(J406&lt;&gt;"",K406&lt;&gt;""),J406*K406,"")</f>
        <v>180</v>
      </c>
      <c r="M406" s="81" t="n">
        <f aca="false">IF(L406&lt;&gt;"",L406*1.1,"")</f>
        <v>198</v>
      </c>
      <c r="N406" s="53" t="n">
        <f aca="false">IF(F406="S",L406*0.02,0)</f>
        <v>3.6</v>
      </c>
      <c r="O406" s="82" t="n">
        <f aca="false">IF(L406&lt;&gt;"",L406+N406,"")</f>
        <v>183.6</v>
      </c>
      <c r="P406" s="53" t="n">
        <f aca="false">IF(O406&lt;&gt;"",O406*0.1,"")</f>
        <v>18.36</v>
      </c>
      <c r="Q406" s="83" t="n">
        <f aca="false">IF(O406&lt;&gt;"",O406+P406,"")</f>
        <v>201.96</v>
      </c>
      <c r="R406" s="84"/>
    </row>
    <row r="407" customFormat="false" ht="15" hidden="false" customHeight="true" outlineLevel="0" collapsed="false">
      <c r="A407" s="103" t="n">
        <v>55893</v>
      </c>
      <c r="B407" s="73" t="n">
        <v>46200</v>
      </c>
      <c r="C407" s="74" t="s">
        <v>397</v>
      </c>
      <c r="D407" s="75" t="n">
        <v>50160</v>
      </c>
      <c r="E407" s="52" t="str">
        <f aca="false">IF(D407&lt;&gt;"",IFERROR(VLOOKUP(D407,PROVEEDORES!$A:$B,2,0),"!COD NO ENCONTRADO"),"")</f>
        <v>SUBASTAS CORUÑA S.L.</v>
      </c>
      <c r="F407" s="76" t="str">
        <f aca="false">IF(D407&lt;&gt;"",IFERROR(VLOOKUP(D407,PROVEEDORES!$A:$C,3,0),""),"")</f>
        <v>S</v>
      </c>
      <c r="G407" s="75" t="s">
        <v>179</v>
      </c>
      <c r="H407" s="52" t="str">
        <f aca="false">IF(G407&lt;&gt;"",IFERROR(VLOOKUP(G407,PRODUCTOS!$A:$B,2,0),"!COD NO ENCONTRADO"),"")</f>
        <v>LIRIO/ BACALADILLA/ PERLA (WHB)</v>
      </c>
      <c r="I407" s="77" t="n">
        <v>40</v>
      </c>
      <c r="J407" s="78" t="n">
        <v>216</v>
      </c>
      <c r="K407" s="79" t="n">
        <v>1.17</v>
      </c>
      <c r="L407" s="80" t="n">
        <f aca="false">IF(AND(J407&lt;&gt;"",K407&lt;&gt;""),J407*K407,"")</f>
        <v>252.72</v>
      </c>
      <c r="M407" s="81" t="n">
        <f aca="false">IF(L407&lt;&gt;"",L407*1.1,"")</f>
        <v>277.992</v>
      </c>
      <c r="N407" s="53" t="n">
        <f aca="false">IF(F407="S",L407*0.02,0)</f>
        <v>5.0544</v>
      </c>
      <c r="O407" s="82" t="n">
        <f aca="false">IF(L407&lt;&gt;"",L407+N407,"")</f>
        <v>257.7744</v>
      </c>
      <c r="P407" s="53" t="n">
        <f aca="false">IF(O407&lt;&gt;"",O407*0.1,"")</f>
        <v>25.77744</v>
      </c>
      <c r="Q407" s="83" t="n">
        <f aca="false">IF(O407&lt;&gt;"",O407+P407,"")</f>
        <v>283.55184</v>
      </c>
      <c r="R407" s="84"/>
    </row>
    <row r="408" customFormat="false" ht="15" hidden="false" customHeight="true" outlineLevel="0" collapsed="false">
      <c r="A408" s="103" t="n">
        <v>55893</v>
      </c>
      <c r="B408" s="85" t="n">
        <v>46200</v>
      </c>
      <c r="C408" s="86" t="s">
        <v>397</v>
      </c>
      <c r="D408" s="87" t="n">
        <v>50160</v>
      </c>
      <c r="E408" s="46" t="str">
        <f aca="false">IF(D408&lt;&gt;"",IFERROR(VLOOKUP(D408,PROVEEDORES!$A:$B,2,0),"!COD NO ENCONTRADO"),"")</f>
        <v>SUBASTAS CORUÑA S.L.</v>
      </c>
      <c r="F408" s="88" t="str">
        <f aca="false">IF(D408&lt;&gt;"",IFERROR(VLOOKUP(D408,PROVEEDORES!$A:$C,3,0),""),"")</f>
        <v>S</v>
      </c>
      <c r="G408" s="87" t="s">
        <v>179</v>
      </c>
      <c r="H408" s="46" t="str">
        <f aca="false">IF(G408&lt;&gt;"",IFERROR(VLOOKUP(G408,PRODUCTOS!$A:$B,2,0),"!COD NO ENCONTRADO"),"")</f>
        <v>LIRIO/ BACALADILLA/ PERLA (WHB)</v>
      </c>
      <c r="I408" s="89" t="n">
        <v>25</v>
      </c>
      <c r="J408" s="90" t="n">
        <v>146</v>
      </c>
      <c r="K408" s="91" t="n">
        <v>1.18</v>
      </c>
      <c r="L408" s="80" t="n">
        <f aca="false">IF(AND(J408&lt;&gt;"",K408&lt;&gt;""),J408*K408,"")</f>
        <v>172.28</v>
      </c>
      <c r="M408" s="81" t="n">
        <f aca="false">IF(L408&lt;&gt;"",L408*1.1,"")</f>
        <v>189.508</v>
      </c>
      <c r="N408" s="47" t="n">
        <f aca="false">IF(F408="S",L408*0.02,0)</f>
        <v>3.4456</v>
      </c>
      <c r="O408" s="82" t="n">
        <f aca="false">IF(L408&lt;&gt;"",L408+N408,"")</f>
        <v>175.7256</v>
      </c>
      <c r="P408" s="47" t="n">
        <f aca="false">IF(O408&lt;&gt;"",O408*0.1,"")</f>
        <v>17.57256</v>
      </c>
      <c r="Q408" s="83" t="n">
        <f aca="false">IF(O408&lt;&gt;"",O408+P408,"")</f>
        <v>193.29816</v>
      </c>
      <c r="R408" s="84"/>
    </row>
    <row r="409" customFormat="false" ht="15" hidden="false" customHeight="true" outlineLevel="0" collapsed="false">
      <c r="A409" s="103" t="n">
        <v>55894</v>
      </c>
      <c r="B409" s="73" t="n">
        <v>46200</v>
      </c>
      <c r="C409" s="74" t="s">
        <v>398</v>
      </c>
      <c r="D409" s="75" t="n">
        <v>50509</v>
      </c>
      <c r="E409" s="52" t="str">
        <f aca="false">IF(D409&lt;&gt;"",IFERROR(VLOOKUP(D409,PROVEEDORES!$A:$B,2,0),"!COD NO ENCONTRADO"),"")</f>
        <v>AZORFISK UNIPERSONAL LDA</v>
      </c>
      <c r="F409" s="76" t="str">
        <f aca="false">IF(D409&lt;&gt;"",IFERROR(VLOOKUP(D409,PROVEEDORES!$A:$C,3,0),""),"")</f>
        <v>N</v>
      </c>
      <c r="G409" s="75" t="s">
        <v>185</v>
      </c>
      <c r="H409" s="52" t="str">
        <f aca="false">IF(G409&lt;&gt;"",IFERROR(VLOOKUP(G409,PRODUCTOS!$A:$B,2,0),"!COD NO ENCONTRADO"),"")</f>
        <v>MACHOS/ REYES/ ALFONSINOS (BYS)</v>
      </c>
      <c r="I409" s="77" t="n">
        <v>1</v>
      </c>
      <c r="J409" s="78" t="n">
        <v>6.2</v>
      </c>
      <c r="K409" s="79" t="n">
        <v>24</v>
      </c>
      <c r="L409" s="80" t="n">
        <f aca="false">IF(AND(J409&lt;&gt;"",K409&lt;&gt;""),J409*K409,"")</f>
        <v>148.8</v>
      </c>
      <c r="M409" s="81" t="n">
        <f aca="false">IF(L409&lt;&gt;"",L409*1.1,"")</f>
        <v>163.68</v>
      </c>
      <c r="N409" s="53" t="n">
        <f aca="false">IF(F409="S",L409*0.02,0)</f>
        <v>0</v>
      </c>
      <c r="O409" s="82" t="n">
        <f aca="false">IF(L409&lt;&gt;"",L409+N409,"")</f>
        <v>148.8</v>
      </c>
      <c r="P409" s="53" t="n">
        <f aca="false">IF(O409&lt;&gt;"",O409*0.1,"")</f>
        <v>14.88</v>
      </c>
      <c r="Q409" s="83" t="n">
        <f aca="false">IF(O409&lt;&gt;"",O409+P409,"")</f>
        <v>163.68</v>
      </c>
      <c r="R409" s="84"/>
    </row>
    <row r="410" customFormat="false" ht="15" hidden="false" customHeight="true" outlineLevel="0" collapsed="false">
      <c r="A410" s="103" t="n">
        <v>55894</v>
      </c>
      <c r="B410" s="85" t="n">
        <v>46200</v>
      </c>
      <c r="C410" s="86" t="s">
        <v>398</v>
      </c>
      <c r="D410" s="87" t="n">
        <v>50509</v>
      </c>
      <c r="E410" s="46" t="str">
        <f aca="false">IF(D410&lt;&gt;"",IFERROR(VLOOKUP(D410,PROVEEDORES!$A:$B,2,0),"!COD NO ENCONTRADO"),"")</f>
        <v>AZORFISK UNIPERSONAL LDA</v>
      </c>
      <c r="F410" s="88" t="str">
        <f aca="false">IF(D410&lt;&gt;"",IFERROR(VLOOKUP(D410,PROVEEDORES!$A:$C,3,0),""),"")</f>
        <v>N</v>
      </c>
      <c r="G410" s="87" t="s">
        <v>185</v>
      </c>
      <c r="H410" s="46" t="str">
        <f aca="false">IF(G410&lt;&gt;"",IFERROR(VLOOKUP(G410,PRODUCTOS!$A:$B,2,0),"!COD NO ENCONTRADO"),"")</f>
        <v>MACHOS/ REYES/ ALFONSINOS (BYS)</v>
      </c>
      <c r="I410" s="89" t="n">
        <v>1</v>
      </c>
      <c r="J410" s="90" t="n">
        <v>7.8</v>
      </c>
      <c r="K410" s="91" t="n">
        <v>24</v>
      </c>
      <c r="L410" s="80" t="n">
        <f aca="false">IF(AND(J410&lt;&gt;"",K410&lt;&gt;""),J410*K410,"")</f>
        <v>187.2</v>
      </c>
      <c r="M410" s="81" t="n">
        <f aca="false">IF(L410&lt;&gt;"",L410*1.1,"")</f>
        <v>205.92</v>
      </c>
      <c r="N410" s="47" t="n">
        <f aca="false">IF(F410="S",L410*0.02,0)</f>
        <v>0</v>
      </c>
      <c r="O410" s="82" t="n">
        <f aca="false">IF(L410&lt;&gt;"",L410+N410,"")</f>
        <v>187.2</v>
      </c>
      <c r="P410" s="47" t="n">
        <f aca="false">IF(O410&lt;&gt;"",O410*0.1,"")</f>
        <v>18.72</v>
      </c>
      <c r="Q410" s="83" t="n">
        <f aca="false">IF(O410&lt;&gt;"",O410+P410,"")</f>
        <v>205.92</v>
      </c>
      <c r="R410" s="84"/>
    </row>
    <row r="411" customFormat="false" ht="15" hidden="false" customHeight="true" outlineLevel="0" collapsed="false">
      <c r="A411" s="103" t="n">
        <v>55895</v>
      </c>
      <c r="B411" s="73" t="n">
        <v>46200</v>
      </c>
      <c r="C411" s="74" t="s">
        <v>399</v>
      </c>
      <c r="D411" s="75" t="n">
        <v>50509</v>
      </c>
      <c r="E411" s="52" t="str">
        <f aca="false">IF(D411&lt;&gt;"",IFERROR(VLOOKUP(D411,PROVEEDORES!$A:$B,2,0),"!COD NO ENCONTRADO"),"")</f>
        <v>AZORFISK UNIPERSONAL LDA</v>
      </c>
      <c r="F411" s="76" t="str">
        <f aca="false">IF(D411&lt;&gt;"",IFERROR(VLOOKUP(D411,PROVEEDORES!$A:$C,3,0),""),"")</f>
        <v>N</v>
      </c>
      <c r="G411" s="75" t="s">
        <v>334</v>
      </c>
      <c r="H411" s="52" t="str">
        <f aca="false">IF(G411&lt;&gt;"",IFERROR(VLOOKUP(G411,PRODUCTOS!$A:$B,2,0),"!COD NO ENCONTRADO"),"")</f>
        <v>VIEJA COLORADA (PRR)</v>
      </c>
      <c r="I411" s="77" t="n">
        <v>5</v>
      </c>
      <c r="J411" s="78" t="n">
        <v>39.3</v>
      </c>
      <c r="K411" s="79" t="n">
        <v>10.5</v>
      </c>
      <c r="L411" s="80" t="n">
        <f aca="false">IF(AND(J411&lt;&gt;"",K411&lt;&gt;""),J411*K411,"")</f>
        <v>412.65</v>
      </c>
      <c r="M411" s="81" t="n">
        <f aca="false">IF(L411&lt;&gt;"",L411*1.1,"")</f>
        <v>453.915</v>
      </c>
      <c r="N411" s="53" t="n">
        <f aca="false">IF(F411="S",L411*0.02,0)</f>
        <v>0</v>
      </c>
      <c r="O411" s="82" t="n">
        <f aca="false">IF(L411&lt;&gt;"",L411+N411,"")</f>
        <v>412.65</v>
      </c>
      <c r="P411" s="53" t="n">
        <f aca="false">IF(O411&lt;&gt;"",O411*0.1,"")</f>
        <v>41.265</v>
      </c>
      <c r="Q411" s="83" t="n">
        <f aca="false">IF(O411&lt;&gt;"",O411+P411,"")</f>
        <v>453.915</v>
      </c>
      <c r="R411" s="84"/>
    </row>
    <row r="412" customFormat="false" ht="15" hidden="false" customHeight="true" outlineLevel="0" collapsed="false">
      <c r="A412" s="103" t="n">
        <v>55895</v>
      </c>
      <c r="B412" s="85" t="n">
        <v>46200</v>
      </c>
      <c r="C412" s="86" t="s">
        <v>399</v>
      </c>
      <c r="D412" s="87" t="n">
        <v>50509</v>
      </c>
      <c r="E412" s="46" t="str">
        <f aca="false">IF(D412&lt;&gt;"",IFERROR(VLOOKUP(D412,PROVEEDORES!$A:$B,2,0),"!COD NO ENCONTRADO"),"")</f>
        <v>AZORFISK UNIPERSONAL LDA</v>
      </c>
      <c r="F412" s="88" t="str">
        <f aca="false">IF(D412&lt;&gt;"",IFERROR(VLOOKUP(D412,PROVEEDORES!$A:$C,3,0),""),"")</f>
        <v>N</v>
      </c>
      <c r="G412" s="87" t="s">
        <v>334</v>
      </c>
      <c r="H412" s="46" t="str">
        <f aca="false">IF(G412&lt;&gt;"",IFERROR(VLOOKUP(G412,PRODUCTOS!$A:$B,2,0),"!COD NO ENCONTRADO"),"")</f>
        <v>VIEJA COLORADA (PRR)</v>
      </c>
      <c r="I412" s="89" t="n">
        <v>1</v>
      </c>
      <c r="J412" s="90" t="n">
        <v>6.1</v>
      </c>
      <c r="K412" s="91" t="n">
        <v>11</v>
      </c>
      <c r="L412" s="80" t="n">
        <f aca="false">IF(AND(J412&lt;&gt;"",K412&lt;&gt;""),J412*K412,"")</f>
        <v>67.1</v>
      </c>
      <c r="M412" s="81" t="n">
        <f aca="false">IF(L412&lt;&gt;"",L412*1.1,"")</f>
        <v>73.81</v>
      </c>
      <c r="N412" s="47" t="n">
        <f aca="false">IF(F412="S",L412*0.02,0)</f>
        <v>0</v>
      </c>
      <c r="O412" s="82" t="n">
        <f aca="false">IF(L412&lt;&gt;"",L412+N412,"")</f>
        <v>67.1</v>
      </c>
      <c r="P412" s="47" t="n">
        <f aca="false">IF(O412&lt;&gt;"",O412*0.1,"")</f>
        <v>6.71</v>
      </c>
      <c r="Q412" s="83" t="n">
        <f aca="false">IF(O412&lt;&gt;"",O412+P412,"")</f>
        <v>73.81</v>
      </c>
      <c r="R412" s="84"/>
    </row>
    <row r="413" customFormat="false" ht="15" hidden="false" customHeight="true" outlineLevel="0" collapsed="false">
      <c r="A413" s="103" t="n">
        <v>55896</v>
      </c>
      <c r="B413" s="73" t="n">
        <v>46200</v>
      </c>
      <c r="C413" s="74" t="s">
        <v>400</v>
      </c>
      <c r="D413" s="75" t="n">
        <v>50509</v>
      </c>
      <c r="E413" s="52" t="str">
        <f aca="false">IF(D413&lt;&gt;"",IFERROR(VLOOKUP(D413,PROVEEDORES!$A:$B,2,0),"!COD NO ENCONTRADO"),"")</f>
        <v>AZORFISK UNIPERSONAL LDA</v>
      </c>
      <c r="F413" s="76" t="str">
        <f aca="false">IF(D413&lt;&gt;"",IFERROR(VLOOKUP(D413,PROVEEDORES!$A:$C,3,0),""),"")</f>
        <v>N</v>
      </c>
      <c r="G413" s="75" t="s">
        <v>334</v>
      </c>
      <c r="H413" s="52" t="str">
        <f aca="false">IF(G413&lt;&gt;"",IFERROR(VLOOKUP(G413,PRODUCTOS!$A:$B,2,0),"!COD NO ENCONTRADO"),"")</f>
        <v>VIEJA COLORADA (PRR)</v>
      </c>
      <c r="I413" s="77" t="n">
        <v>1</v>
      </c>
      <c r="J413" s="78" t="n">
        <v>9.2</v>
      </c>
      <c r="K413" s="79" t="n">
        <v>11</v>
      </c>
      <c r="L413" s="80" t="n">
        <f aca="false">IF(AND(J413&lt;&gt;"",K413&lt;&gt;""),J413*K413,"")</f>
        <v>101.2</v>
      </c>
      <c r="M413" s="81" t="n">
        <f aca="false">IF(L413&lt;&gt;"",L413*1.1,"")</f>
        <v>111.32</v>
      </c>
      <c r="N413" s="53" t="n">
        <f aca="false">IF(F413="S",L413*0.02,0)</f>
        <v>0</v>
      </c>
      <c r="O413" s="82" t="n">
        <f aca="false">IF(L413&lt;&gt;"",L413+N413,"")</f>
        <v>101.2</v>
      </c>
      <c r="P413" s="53" t="n">
        <f aca="false">IF(O413&lt;&gt;"",O413*0.1,"")</f>
        <v>10.12</v>
      </c>
      <c r="Q413" s="83" t="n">
        <f aca="false">IF(O413&lt;&gt;"",O413+P413,"")</f>
        <v>111.32</v>
      </c>
      <c r="R413" s="84"/>
    </row>
    <row r="414" customFormat="false" ht="15" hidden="false" customHeight="true" outlineLevel="0" collapsed="false">
      <c r="A414" s="103" t="n">
        <v>55896</v>
      </c>
      <c r="B414" s="73" t="n">
        <v>46200</v>
      </c>
      <c r="C414" s="86" t="s">
        <v>400</v>
      </c>
      <c r="D414" s="87" t="n">
        <v>50509</v>
      </c>
      <c r="E414" s="46" t="str">
        <f aca="false">IF(D414&lt;&gt;"",IFERROR(VLOOKUP(D414,PROVEEDORES!$A:$B,2,0),"!COD NO ENCONTRADO"),"")</f>
        <v>AZORFISK UNIPERSONAL LDA</v>
      </c>
      <c r="F414" s="88" t="str">
        <f aca="false">IF(D414&lt;&gt;"",IFERROR(VLOOKUP(D414,PROVEEDORES!$A:$C,3,0),""),"")</f>
        <v>N</v>
      </c>
      <c r="G414" s="87" t="s">
        <v>334</v>
      </c>
      <c r="H414" s="46" t="str">
        <f aca="false">IF(G414&lt;&gt;"",IFERROR(VLOOKUP(G414,PRODUCTOS!$A:$B,2,0),"!COD NO ENCONTRADO"),"")</f>
        <v>VIEJA COLORADA (PRR)</v>
      </c>
      <c r="I414" s="89" t="n">
        <v>1</v>
      </c>
      <c r="J414" s="90" t="n">
        <v>2</v>
      </c>
      <c r="K414" s="91" t="n">
        <v>11</v>
      </c>
      <c r="L414" s="80" t="n">
        <f aca="false">IF(AND(J414&lt;&gt;"",K414&lt;&gt;""),J414*K414,"")</f>
        <v>22</v>
      </c>
      <c r="M414" s="81" t="n">
        <f aca="false">IF(L414&lt;&gt;"",L414*1.1,"")</f>
        <v>24.2</v>
      </c>
      <c r="N414" s="47" t="n">
        <f aca="false">IF(F414="S",L414*0.02,0)</f>
        <v>0</v>
      </c>
      <c r="O414" s="82" t="n">
        <f aca="false">IF(L414&lt;&gt;"",L414+N414,"")</f>
        <v>22</v>
      </c>
      <c r="P414" s="47" t="n">
        <f aca="false">IF(O414&lt;&gt;"",O414*0.1,"")</f>
        <v>2.2</v>
      </c>
      <c r="Q414" s="83" t="n">
        <f aca="false">IF(O414&lt;&gt;"",O414+P414,"")</f>
        <v>24.2</v>
      </c>
      <c r="R414" s="84"/>
    </row>
    <row r="415" customFormat="false" ht="15" hidden="false" customHeight="true" outlineLevel="0" collapsed="false">
      <c r="A415" s="103" t="n">
        <v>55897</v>
      </c>
      <c r="B415" s="73" t="n">
        <v>46202</v>
      </c>
      <c r="C415" s="74" t="n">
        <v>3609</v>
      </c>
      <c r="D415" s="75" t="n">
        <v>50035</v>
      </c>
      <c r="E415" s="52" t="str">
        <f aca="false">IF(D415&lt;&gt;"",IFERROR(VLOOKUP(D415,PROVEEDORES!$A:$B,2,0),"!COD NO ENCONTRADO"),"")</f>
        <v>SCANFISK SEAFFOD S,L</v>
      </c>
      <c r="F415" s="76" t="str">
        <f aca="false">IF(D415&lt;&gt;"",IFERROR(VLOOKUP(D415,PROVEEDORES!$A:$C,3,0),""),"")</f>
        <v>N</v>
      </c>
      <c r="G415" s="75" t="s">
        <v>235</v>
      </c>
      <c r="H415" s="52" t="str">
        <f aca="false">IF(G415&lt;&gt;"",IFERROR(VLOOKUP(G415,PRODUCTOS!$A:$B,2,0),"!COD NO ENCONTRADO"),"")</f>
        <v>MERLUZA EUROPEA VOLANTA COSTA</v>
      </c>
      <c r="I415" s="77" t="n">
        <v>3</v>
      </c>
      <c r="J415" s="78" t="n">
        <v>30.4</v>
      </c>
      <c r="K415" s="79" t="n">
        <v>10.5</v>
      </c>
      <c r="L415" s="80" t="n">
        <f aca="false">IF(AND(J415&lt;&gt;"",K415&lt;&gt;""),J415*K415,"")</f>
        <v>319.2</v>
      </c>
      <c r="M415" s="81" t="n">
        <f aca="false">IF(L415&lt;&gt;"",L415*1.1,"")</f>
        <v>351.12</v>
      </c>
      <c r="N415" s="53" t="n">
        <f aca="false">IF(F415="S",L415*0.02,0)</f>
        <v>0</v>
      </c>
      <c r="O415" s="82" t="n">
        <f aca="false">IF(L415&lt;&gt;"",L415+N415,"")</f>
        <v>319.2</v>
      </c>
      <c r="P415" s="53" t="n">
        <f aca="false">IF(O415&lt;&gt;"",O415*0.1,"")</f>
        <v>31.92</v>
      </c>
      <c r="Q415" s="83" t="n">
        <f aca="false">IF(O415&lt;&gt;"",O415+P415,"")</f>
        <v>351.12</v>
      </c>
      <c r="R415" s="84"/>
    </row>
    <row r="416" customFormat="false" ht="15" hidden="false" customHeight="true" outlineLevel="0" collapsed="false">
      <c r="A416" s="103" t="n">
        <v>55898</v>
      </c>
      <c r="B416" s="85" t="n">
        <v>46195</v>
      </c>
      <c r="C416" s="86" t="s">
        <v>401</v>
      </c>
      <c r="D416" s="87" t="n">
        <v>50160</v>
      </c>
      <c r="E416" s="46" t="str">
        <f aca="false">IF(D416&lt;&gt;"",IFERROR(VLOOKUP(D416,PROVEEDORES!$A:$B,2,0),"!COD NO ENCONTRADO"),"")</f>
        <v>SUBASTAS CORUÑA S.L.</v>
      </c>
      <c r="F416" s="88" t="str">
        <f aca="false">IF(D416&lt;&gt;"",IFERROR(VLOOKUP(D416,PROVEEDORES!$A:$C,3,0),""),"")</f>
        <v>S</v>
      </c>
      <c r="G416" s="87" t="s">
        <v>179</v>
      </c>
      <c r="H416" s="46" t="str">
        <f aca="false">IF(G416&lt;&gt;"",IFERROR(VLOOKUP(G416,PRODUCTOS!$A:$B,2,0),"!COD NO ENCONTRADO"),"")</f>
        <v>LIRIO/ BACALADILLA/ PERLA (WHB)</v>
      </c>
      <c r="I416" s="89" t="n">
        <v>30</v>
      </c>
      <c r="J416" s="90" t="n">
        <v>160</v>
      </c>
      <c r="K416" s="91" t="n">
        <v>1.25</v>
      </c>
      <c r="L416" s="80" t="n">
        <f aca="false">IF(AND(J416&lt;&gt;"",K416&lt;&gt;""),J416*K416,"")</f>
        <v>200</v>
      </c>
      <c r="M416" s="81" t="n">
        <f aca="false">IF(L416&lt;&gt;"",L416*1.1,"")</f>
        <v>220</v>
      </c>
      <c r="N416" s="47" t="n">
        <f aca="false">IF(F416="S",L416*0.02,0)</f>
        <v>4</v>
      </c>
      <c r="O416" s="82" t="n">
        <f aca="false">IF(L416&lt;&gt;"",L416+N416,"")</f>
        <v>204</v>
      </c>
      <c r="P416" s="47" t="n">
        <f aca="false">IF(O416&lt;&gt;"",O416*0.1,"")</f>
        <v>20.4</v>
      </c>
      <c r="Q416" s="83" t="n">
        <f aca="false">IF(O416&lt;&gt;"",O416+P416,"")</f>
        <v>224.4</v>
      </c>
      <c r="R416" s="84"/>
    </row>
    <row r="417" customFormat="false" ht="15" hidden="false" customHeight="true" outlineLevel="0" collapsed="false">
      <c r="A417" s="103" t="n">
        <v>55899</v>
      </c>
      <c r="B417" s="73" t="n">
        <v>46197</v>
      </c>
      <c r="C417" s="74" t="s">
        <v>401</v>
      </c>
      <c r="D417" s="75" t="n">
        <v>50160</v>
      </c>
      <c r="E417" s="52" t="str">
        <f aca="false">IF(D417&lt;&gt;"",IFERROR(VLOOKUP(D417,PROVEEDORES!$A:$B,2,0),"!COD NO ENCONTRADO"),"")</f>
        <v>SUBASTAS CORUÑA S.L.</v>
      </c>
      <c r="F417" s="76" t="str">
        <f aca="false">IF(D417&lt;&gt;"",IFERROR(VLOOKUP(D417,PROVEEDORES!$A:$C,3,0),""),"")</f>
        <v>S</v>
      </c>
      <c r="G417" s="75" t="s">
        <v>179</v>
      </c>
      <c r="H417" s="52" t="str">
        <f aca="false">IF(G417&lt;&gt;"",IFERROR(VLOOKUP(G417,PRODUCTOS!$A:$B,2,0),"!COD NO ENCONTRADO"),"")</f>
        <v>LIRIO/ BACALADILLA/ PERLA (WHB)</v>
      </c>
      <c r="I417" s="77" t="n">
        <v>16</v>
      </c>
      <c r="J417" s="78" t="n">
        <v>100</v>
      </c>
      <c r="K417" s="79" t="n">
        <v>1.13</v>
      </c>
      <c r="L417" s="80" t="n">
        <f aca="false">IF(AND(J417&lt;&gt;"",K417&lt;&gt;""),J417*K417,"")</f>
        <v>113</v>
      </c>
      <c r="M417" s="81" t="n">
        <f aca="false">IF(L417&lt;&gt;"",L417*1.1,"")</f>
        <v>124.3</v>
      </c>
      <c r="N417" s="53" t="n">
        <f aca="false">IF(F417="S",L417*0.02,0)</f>
        <v>2.26</v>
      </c>
      <c r="O417" s="82" t="n">
        <f aca="false">IF(L417&lt;&gt;"",L417+N417,"")</f>
        <v>115.26</v>
      </c>
      <c r="P417" s="53" t="n">
        <f aca="false">IF(O417&lt;&gt;"",O417*0.1,"")</f>
        <v>11.526</v>
      </c>
      <c r="Q417" s="83" t="n">
        <f aca="false">IF(O417&lt;&gt;"",O417+P417,"")</f>
        <v>126.786</v>
      </c>
      <c r="R417" s="84"/>
    </row>
    <row r="418" customFormat="false" ht="15" hidden="false" customHeight="true" outlineLevel="0" collapsed="false">
      <c r="A418" s="103" t="n">
        <v>55900</v>
      </c>
      <c r="B418" s="85" t="n">
        <v>46197</v>
      </c>
      <c r="C418" s="86" t="s">
        <v>401</v>
      </c>
      <c r="D418" s="87" t="n">
        <v>50160</v>
      </c>
      <c r="E418" s="46" t="str">
        <f aca="false">IF(D418&lt;&gt;"",IFERROR(VLOOKUP(D418,PROVEEDORES!$A:$B,2,0),"!COD NO ENCONTRADO"),"")</f>
        <v>SUBASTAS CORUÑA S.L.</v>
      </c>
      <c r="F418" s="88" t="str">
        <f aca="false">IF(D418&lt;&gt;"",IFERROR(VLOOKUP(D418,PROVEEDORES!$A:$C,3,0),""),"")</f>
        <v>S</v>
      </c>
      <c r="G418" s="87" t="s">
        <v>179</v>
      </c>
      <c r="H418" s="46" t="str">
        <f aca="false">IF(G418&lt;&gt;"",IFERROR(VLOOKUP(G418,PRODUCTOS!$A:$B,2,0),"!COD NO ENCONTRADO"),"")</f>
        <v>LIRIO/ BACALADILLA/ PERLA (WHB)</v>
      </c>
      <c r="I418" s="89" t="n">
        <v>10</v>
      </c>
      <c r="J418" s="90" t="n">
        <v>50</v>
      </c>
      <c r="K418" s="91" t="n">
        <v>1.14</v>
      </c>
      <c r="L418" s="80" t="n">
        <f aca="false">IF(AND(J418&lt;&gt;"",K418&lt;&gt;""),J418*K418,"")</f>
        <v>57</v>
      </c>
      <c r="M418" s="81" t="n">
        <f aca="false">IF(L418&lt;&gt;"",L418*1.1,"")</f>
        <v>62.7</v>
      </c>
      <c r="N418" s="47" t="n">
        <f aca="false">IF(F418="S",L418*0.02,0)</f>
        <v>1.14</v>
      </c>
      <c r="O418" s="82" t="n">
        <f aca="false">IF(L418&lt;&gt;"",L418+N418,"")</f>
        <v>58.14</v>
      </c>
      <c r="P418" s="47" t="n">
        <f aca="false">IF(O418&lt;&gt;"",O418*0.1,"")</f>
        <v>5.814</v>
      </c>
      <c r="Q418" s="83" t="n">
        <f aca="false">IF(O418&lt;&gt;"",O418+P418,"")</f>
        <v>63.954</v>
      </c>
      <c r="R418" s="84"/>
    </row>
    <row r="419" customFormat="false" ht="15" hidden="false" customHeight="true" outlineLevel="0" collapsed="false">
      <c r="A419" s="103" t="n">
        <v>55900</v>
      </c>
      <c r="B419" s="73" t="n">
        <v>46197</v>
      </c>
      <c r="C419" s="74" t="s">
        <v>401</v>
      </c>
      <c r="D419" s="75" t="n">
        <v>50160</v>
      </c>
      <c r="E419" s="52" t="str">
        <f aca="false">IF(D419&lt;&gt;"",IFERROR(VLOOKUP(D419,PROVEEDORES!$A:$B,2,0),"!COD NO ENCONTRADO"),"")</f>
        <v>SUBASTAS CORUÑA S.L.</v>
      </c>
      <c r="F419" s="76" t="str">
        <f aca="false">IF(D419&lt;&gt;"",IFERROR(VLOOKUP(D419,PROVEEDORES!$A:$C,3,0),""),"")</f>
        <v>S</v>
      </c>
      <c r="G419" s="75" t="s">
        <v>270</v>
      </c>
      <c r="H419" s="52" t="str">
        <f aca="false">IF(G419&lt;&gt;"",IFERROR(VLOOKUP(G419,PRODUCTOS!$A:$B,2,0),"!COD NO ENCONTRADO"),"")</f>
        <v>PEON/ PION (ATP)</v>
      </c>
      <c r="I419" s="77" t="n">
        <v>1</v>
      </c>
      <c r="J419" s="78" t="n">
        <v>4.75</v>
      </c>
      <c r="K419" s="79" t="n">
        <v>2.15</v>
      </c>
      <c r="L419" s="80" t="n">
        <f aca="false">IF(AND(J419&lt;&gt;"",K419&lt;&gt;""),J419*K419,"")</f>
        <v>10.2125</v>
      </c>
      <c r="M419" s="81" t="n">
        <f aca="false">IF(L419&lt;&gt;"",L419*1.1,"")</f>
        <v>11.23375</v>
      </c>
      <c r="N419" s="53" t="n">
        <f aca="false">IF(F419="S",L419*0.02,0)</f>
        <v>0.20425</v>
      </c>
      <c r="O419" s="82" t="n">
        <f aca="false">IF(L419&lt;&gt;"",L419+N419,"")</f>
        <v>10.41675</v>
      </c>
      <c r="P419" s="53" t="n">
        <f aca="false">IF(O419&lt;&gt;"",O419*0.1,"")</f>
        <v>1.041675</v>
      </c>
      <c r="Q419" s="83" t="n">
        <f aca="false">IF(O419&lt;&gt;"",O419+P419,"")</f>
        <v>11.458425</v>
      </c>
      <c r="R419" s="84"/>
    </row>
    <row r="420" customFormat="false" ht="15" hidden="false" customHeight="true" outlineLevel="0" collapsed="false">
      <c r="A420" s="103" t="n">
        <v>55901</v>
      </c>
      <c r="B420" s="85" t="n">
        <v>46198</v>
      </c>
      <c r="C420" s="86"/>
      <c r="D420" s="87" t="n">
        <v>50152</v>
      </c>
      <c r="E420" s="46" t="str">
        <f aca="false">IF(D420&lt;&gt;"",IFERROR(VLOOKUP(D420,PROVEEDORES!$A:$B,2,0),"!COD NO ENCONTRADO"),"")</f>
        <v>DOMAR CORUÑA S.L</v>
      </c>
      <c r="F420" s="88" t="str">
        <f aca="false">IF(D420&lt;&gt;"",IFERROR(VLOOKUP(D420,PROVEEDORES!$A:$C,3,0),""),"")</f>
        <v>N</v>
      </c>
      <c r="G420" s="87" t="s">
        <v>125</v>
      </c>
      <c r="H420" s="46" t="str">
        <f aca="false">IF(G420&lt;&gt;"",IFERROR(VLOOKUP(G420,PRODUCTOS!$A:$B,2,0),"!COD NO ENCONTRADO"),"")</f>
        <v>CIGALA "3P" (NEP)</v>
      </c>
      <c r="I420" s="89" t="n">
        <v>2</v>
      </c>
      <c r="J420" s="90" t="n">
        <v>4</v>
      </c>
      <c r="K420" s="91" t="n">
        <v>17.5</v>
      </c>
      <c r="L420" s="80" t="n">
        <f aca="false">IF(AND(J420&lt;&gt;"",K420&lt;&gt;""),J420*K420,"")</f>
        <v>70</v>
      </c>
      <c r="M420" s="81" t="n">
        <f aca="false">IF(L420&lt;&gt;"",L420*1.1,"")</f>
        <v>77</v>
      </c>
      <c r="N420" s="47" t="n">
        <f aca="false">IF(F420="S",L420*0.02,0)</f>
        <v>0</v>
      </c>
      <c r="O420" s="82" t="n">
        <f aca="false">IF(L420&lt;&gt;"",L420+N420,"")</f>
        <v>70</v>
      </c>
      <c r="P420" s="47" t="n">
        <f aca="false">IF(O420&lt;&gt;"",O420*0.1,"")</f>
        <v>7</v>
      </c>
      <c r="Q420" s="83" t="n">
        <f aca="false">IF(O420&lt;&gt;"",O420+P420,"")</f>
        <v>77</v>
      </c>
      <c r="R420" s="84"/>
    </row>
    <row r="421" customFormat="false" ht="15" hidden="false" customHeight="true" outlineLevel="0" collapsed="false">
      <c r="A421" s="103" t="n">
        <v>55902</v>
      </c>
      <c r="B421" s="73" t="n">
        <v>46203</v>
      </c>
      <c r="C421" s="74"/>
      <c r="D421" s="75" t="n">
        <v>50020</v>
      </c>
      <c r="E421" s="52" t="str">
        <f aca="false">IF(D421&lt;&gt;"",IFERROR(VLOOKUP(D421,PROVEEDORES!$A:$B,2,0),"!COD NO ENCONTRADO"),"")</f>
        <v>PACO MOINELO</v>
      </c>
      <c r="F421" s="76" t="str">
        <f aca="false">IF(D421&lt;&gt;"",IFERROR(VLOOKUP(D421,PROVEEDORES!$A:$C,3,0),""),"")</f>
        <v>S</v>
      </c>
      <c r="G421" s="75" t="s">
        <v>135</v>
      </c>
      <c r="H421" s="52" t="str">
        <f aca="false">IF(G421&lt;&gt;"",IFERROR(VLOOKUP(G421,PRODUCTOS!$A:$B,2,0),"!COD NO ENCONTRADO"),"")</f>
        <v>CONGRIO 10+  (COE)</v>
      </c>
      <c r="I421" s="77" t="n">
        <v>1</v>
      </c>
      <c r="J421" s="78" t="n">
        <v>13.75</v>
      </c>
      <c r="K421" s="79" t="n">
        <v>3.5</v>
      </c>
      <c r="L421" s="80" t="n">
        <f aca="false">IF(AND(J421&lt;&gt;"",K421&lt;&gt;""),J421*K421,"")</f>
        <v>48.125</v>
      </c>
      <c r="M421" s="81" t="n">
        <f aca="false">IF(L421&lt;&gt;"",L421*1.1,"")</f>
        <v>52.9375</v>
      </c>
      <c r="N421" s="53" t="n">
        <f aca="false">IF(F421="S",L421*0.02,0)</f>
        <v>0.9625</v>
      </c>
      <c r="O421" s="82" t="n">
        <f aca="false">IF(L421&lt;&gt;"",L421+N421,"")</f>
        <v>49.0875</v>
      </c>
      <c r="P421" s="53" t="n">
        <f aca="false">IF(O421&lt;&gt;"",O421*0.1,"")</f>
        <v>4.90875</v>
      </c>
      <c r="Q421" s="83" t="n">
        <f aca="false">IF(O421&lt;&gt;"",O421+P421,"")</f>
        <v>53.99625</v>
      </c>
      <c r="R421" s="84"/>
    </row>
    <row r="422" customFormat="false" ht="15" hidden="false" customHeight="true" outlineLevel="0" collapsed="false">
      <c r="A422" s="103" t="n">
        <v>55903</v>
      </c>
      <c r="B422" s="85" t="n">
        <v>46203</v>
      </c>
      <c r="C422" s="86" t="n">
        <v>17872</v>
      </c>
      <c r="D422" s="87" t="n">
        <v>50163</v>
      </c>
      <c r="E422" s="46" t="str">
        <f aca="false">IF(D422&lt;&gt;"",IFERROR(VLOOKUP(D422,PROVEEDORES!$A:$B,2,0),"!COD NO ENCONTRADO"),"")</f>
        <v>SUBASTAS RIVERA S.L.</v>
      </c>
      <c r="F422" s="88" t="str">
        <f aca="false">IF(D422&lt;&gt;"",IFERROR(VLOOKUP(D422,PROVEEDORES!$A:$C,3,0),""),"")</f>
        <v>S</v>
      </c>
      <c r="G422" s="87" t="s">
        <v>135</v>
      </c>
      <c r="H422" s="46" t="str">
        <f aca="false">IF(G422&lt;&gt;"",IFERROR(VLOOKUP(G422,PRODUCTOS!$A:$B,2,0),"!COD NO ENCONTRADO"),"")</f>
        <v>CONGRIO 10+  (COE)</v>
      </c>
      <c r="I422" s="89" t="n">
        <v>1</v>
      </c>
      <c r="J422" s="90" t="n">
        <v>14.25</v>
      </c>
      <c r="K422" s="91" t="n">
        <v>3.35</v>
      </c>
      <c r="L422" s="80" t="n">
        <f aca="false">IF(AND(J422&lt;&gt;"",K422&lt;&gt;""),J422*K422,"")</f>
        <v>47.7375</v>
      </c>
      <c r="M422" s="81" t="n">
        <f aca="false">IF(L422&lt;&gt;"",L422*1.1,"")</f>
        <v>52.51125</v>
      </c>
      <c r="N422" s="47" t="n">
        <f aca="false">IF(F422="S",L422*0.02,0)</f>
        <v>0.95475</v>
      </c>
      <c r="O422" s="82" t="n">
        <f aca="false">IF(L422&lt;&gt;"",L422+N422,"")</f>
        <v>48.69225</v>
      </c>
      <c r="P422" s="47" t="n">
        <f aca="false">IF(O422&lt;&gt;"",O422*0.1,"")</f>
        <v>4.869225</v>
      </c>
      <c r="Q422" s="83" t="n">
        <f aca="false">IF(O422&lt;&gt;"",O422+P422,"")</f>
        <v>53.561475</v>
      </c>
      <c r="R422" s="84"/>
    </row>
    <row r="423" customFormat="false" ht="15" hidden="false" customHeight="true" outlineLevel="0" collapsed="false">
      <c r="A423" s="103" t="n">
        <v>55903</v>
      </c>
      <c r="B423" s="73" t="n">
        <v>46203</v>
      </c>
      <c r="C423" s="74" t="n">
        <v>17872</v>
      </c>
      <c r="D423" s="75" t="n">
        <v>50163</v>
      </c>
      <c r="E423" s="52" t="str">
        <f aca="false">IF(D423&lt;&gt;"",IFERROR(VLOOKUP(D423,PROVEEDORES!$A:$B,2,0),"!COD NO ENCONTRADO"),"")</f>
        <v>SUBASTAS RIVERA S.L.</v>
      </c>
      <c r="F423" s="76" t="str">
        <f aca="false">IF(D423&lt;&gt;"",IFERROR(VLOOKUP(D423,PROVEEDORES!$A:$C,3,0),""),"")</f>
        <v>S</v>
      </c>
      <c r="G423" s="75" t="s">
        <v>103</v>
      </c>
      <c r="H423" s="52" t="str">
        <f aca="false">IF(G423&lt;&gt;"",IFERROR(VLOOKUP(G423,PRODUCTOS!$A:$B,2,0),"!COD NO ENCONTRADO"),"")</f>
        <v>CABRAS/ GALLINETA (BRF)</v>
      </c>
      <c r="I423" s="77" t="n">
        <v>1</v>
      </c>
      <c r="J423" s="78" t="n">
        <v>6.2</v>
      </c>
      <c r="K423" s="79" t="n">
        <v>10.9</v>
      </c>
      <c r="L423" s="80" t="n">
        <f aca="false">IF(AND(J423&lt;&gt;"",K423&lt;&gt;""),J423*K423,"")</f>
        <v>67.58</v>
      </c>
      <c r="M423" s="81" t="n">
        <f aca="false">IF(L423&lt;&gt;"",L423*1.1,"")</f>
        <v>74.338</v>
      </c>
      <c r="N423" s="53" t="n">
        <f aca="false">IF(F423="S",L423*0.02,0)</f>
        <v>1.3516</v>
      </c>
      <c r="O423" s="82" t="n">
        <f aca="false">IF(L423&lt;&gt;"",L423+N423,"")</f>
        <v>68.9316</v>
      </c>
      <c r="P423" s="53" t="n">
        <f aca="false">IF(O423&lt;&gt;"",O423*0.1,"")</f>
        <v>6.89316</v>
      </c>
      <c r="Q423" s="83" t="n">
        <f aca="false">IF(O423&lt;&gt;"",O423+P423,"")</f>
        <v>75.82476</v>
      </c>
      <c r="R423" s="84"/>
    </row>
    <row r="424" customFormat="false" ht="15" hidden="false" customHeight="true" outlineLevel="0" collapsed="false">
      <c r="A424" s="103" t="n">
        <v>55903</v>
      </c>
      <c r="B424" s="85" t="n">
        <v>46203</v>
      </c>
      <c r="C424" s="86" t="n">
        <v>17872</v>
      </c>
      <c r="D424" s="87" t="n">
        <v>50163</v>
      </c>
      <c r="E424" s="46" t="str">
        <f aca="false">IF(D424&lt;&gt;"",IFERROR(VLOOKUP(D424,PROVEEDORES!$A:$B,2,0),"!COD NO ENCONTRADO"),"")</f>
        <v>SUBASTAS RIVERA S.L.</v>
      </c>
      <c r="F424" s="88" t="str">
        <f aca="false">IF(D424&lt;&gt;"",IFERROR(VLOOKUP(D424,PROVEEDORES!$A:$C,3,0),""),"")</f>
        <v>S</v>
      </c>
      <c r="G424" s="87" t="s">
        <v>103</v>
      </c>
      <c r="H424" s="46" t="str">
        <f aca="false">IF(G424&lt;&gt;"",IFERROR(VLOOKUP(G424,PRODUCTOS!$A:$B,2,0),"!COD NO ENCONTRADO"),"")</f>
        <v>CABRAS/ GALLINETA (BRF)</v>
      </c>
      <c r="I424" s="89" t="n">
        <v>1</v>
      </c>
      <c r="J424" s="90" t="n">
        <v>7</v>
      </c>
      <c r="K424" s="91" t="n">
        <v>11.7</v>
      </c>
      <c r="L424" s="80" t="n">
        <f aca="false">IF(AND(J424&lt;&gt;"",K424&lt;&gt;""),J424*K424,"")</f>
        <v>81.9</v>
      </c>
      <c r="M424" s="81" t="n">
        <f aca="false">IF(L424&lt;&gt;"",L424*1.1,"")</f>
        <v>90.09</v>
      </c>
      <c r="N424" s="47" t="n">
        <f aca="false">IF(F424="S",L424*0.02,0)</f>
        <v>1.638</v>
      </c>
      <c r="O424" s="82" t="n">
        <f aca="false">IF(L424&lt;&gt;"",L424+N424,"")</f>
        <v>83.538</v>
      </c>
      <c r="P424" s="47" t="n">
        <f aca="false">IF(O424&lt;&gt;"",O424*0.1,"")</f>
        <v>8.3538</v>
      </c>
      <c r="Q424" s="83" t="n">
        <f aca="false">IF(O424&lt;&gt;"",O424+P424,"")</f>
        <v>91.8918</v>
      </c>
      <c r="R424" s="84"/>
    </row>
    <row r="425" customFormat="false" ht="15" hidden="false" customHeight="true" outlineLevel="0" collapsed="false">
      <c r="A425" s="103" t="n">
        <v>55904</v>
      </c>
      <c r="B425" s="73" t="n">
        <v>46203</v>
      </c>
      <c r="C425" s="74" t="n">
        <v>9404</v>
      </c>
      <c r="D425" s="75" t="n">
        <v>50001</v>
      </c>
      <c r="E425" s="52" t="str">
        <f aca="false">IF(D425&lt;&gt;"",IFERROR(VLOOKUP(D425,PROVEEDORES!$A:$B,2,0),"!COD NO ENCONTRADO"),"")</f>
        <v>COPESA</v>
      </c>
      <c r="F425" s="76" t="str">
        <f aca="false">IF(D425&lt;&gt;"",IFERROR(VLOOKUP(D425,PROVEEDORES!$A:$C,3,0),""),"")</f>
        <v>S</v>
      </c>
      <c r="G425" s="75" t="s">
        <v>79</v>
      </c>
      <c r="H425" s="52" t="str">
        <f aca="false">IF(G425&lt;&gt;"",IFERROR(VLOOKUP(G425,PRODUCTOS!$A:$B,2,0),"!COD NO ENCONTRADO"),"")</f>
        <v>BERTORELLA ROCA (FOR)</v>
      </c>
      <c r="I425" s="77" t="n">
        <v>2</v>
      </c>
      <c r="J425" s="78" t="n">
        <v>45.25</v>
      </c>
      <c r="K425" s="79" t="n">
        <v>2.5</v>
      </c>
      <c r="L425" s="80" t="n">
        <f aca="false">IF(AND(J425&lt;&gt;"",K425&lt;&gt;""),J425*K425,"")</f>
        <v>113.125</v>
      </c>
      <c r="M425" s="81" t="n">
        <f aca="false">IF(L425&lt;&gt;"",L425*1.1,"")</f>
        <v>124.4375</v>
      </c>
      <c r="N425" s="53" t="n">
        <f aca="false">IF(F425="S",L425*0.02,0)</f>
        <v>2.2625</v>
      </c>
      <c r="O425" s="82" t="n">
        <f aca="false">IF(L425&lt;&gt;"",L425+N425,"")</f>
        <v>115.3875</v>
      </c>
      <c r="P425" s="53" t="n">
        <f aca="false">IF(O425&lt;&gt;"",O425*0.1,"")</f>
        <v>11.53875</v>
      </c>
      <c r="Q425" s="83" t="n">
        <f aca="false">IF(O425&lt;&gt;"",O425+P425,"")</f>
        <v>126.92625</v>
      </c>
      <c r="R425" s="84"/>
    </row>
    <row r="426" customFormat="false" ht="15" hidden="false" customHeight="true" outlineLevel="0" collapsed="false">
      <c r="A426" s="103" t="n">
        <v>55905</v>
      </c>
      <c r="B426" s="85" t="n">
        <v>46203</v>
      </c>
      <c r="C426" s="86" t="n">
        <v>6572</v>
      </c>
      <c r="D426" s="87" t="n">
        <v>50010</v>
      </c>
      <c r="E426" s="46" t="str">
        <f aca="false">IF(D426&lt;&gt;"",IFERROR(VLOOKUP(D426,PROVEEDORES!$A:$B,2,0),"!COD NO ENCONTRADO"),"")</f>
        <v>PERFECTO MONTERO</v>
      </c>
      <c r="F426" s="88" t="str">
        <f aca="false">IF(D426&lt;&gt;"",IFERROR(VLOOKUP(D426,PROVEEDORES!$A:$C,3,0),""),"")</f>
        <v>S</v>
      </c>
      <c r="G426" s="87" t="s">
        <v>89</v>
      </c>
      <c r="H426" s="52" t="str">
        <f aca="false">IF(G426&lt;&gt;"",IFERROR(VLOOKUP(G426,PRODUCTOS!$A:$B,2,0),"!COD NO ENCONTRADO"),"")</f>
        <v>BONITO DEL NORTE 5/7</v>
      </c>
      <c r="I426" s="89" t="n">
        <v>5</v>
      </c>
      <c r="J426" s="90" t="n">
        <v>199.25</v>
      </c>
      <c r="K426" s="91" t="n">
        <v>4.25</v>
      </c>
      <c r="L426" s="80" t="n">
        <f aca="false">IF(AND(J426&lt;&gt;"",K426&lt;&gt;""),J426*K426,"")</f>
        <v>846.8125</v>
      </c>
      <c r="M426" s="81" t="n">
        <f aca="false">IF(L426&lt;&gt;"",L426*1.1,"")</f>
        <v>931.49375</v>
      </c>
      <c r="N426" s="47" t="n">
        <f aca="false">IF(F426="S",L426*0.02,0)</f>
        <v>16.93625</v>
      </c>
      <c r="O426" s="82" t="n">
        <f aca="false">IF(L426&lt;&gt;"",L426+N426,"")</f>
        <v>863.74875</v>
      </c>
      <c r="P426" s="47" t="n">
        <f aca="false">IF(O426&lt;&gt;"",O426*0.1,"")</f>
        <v>86.374875</v>
      </c>
      <c r="Q426" s="83" t="n">
        <f aca="false">IF(O426&lt;&gt;"",O426+P426,"")</f>
        <v>950.123625</v>
      </c>
      <c r="R426" s="84"/>
    </row>
    <row r="427" customFormat="false" ht="15" hidden="false" customHeight="true" outlineLevel="0" collapsed="false">
      <c r="A427" s="103" t="n">
        <v>55905</v>
      </c>
      <c r="B427" s="73" t="n">
        <v>46203</v>
      </c>
      <c r="C427" s="74" t="n">
        <v>6572</v>
      </c>
      <c r="D427" s="75" t="n">
        <v>50010</v>
      </c>
      <c r="E427" s="52" t="str">
        <f aca="false">IF(D427&lt;&gt;"",IFERROR(VLOOKUP(D427,PROVEEDORES!$A:$B,2,0),"!COD NO ENCONTRADO"),"")</f>
        <v>PERFECTO MONTERO</v>
      </c>
      <c r="F427" s="76" t="str">
        <f aca="false">IF(D427&lt;&gt;"",IFERROR(VLOOKUP(D427,PROVEEDORES!$A:$C,3,0),""),"")</f>
        <v>S</v>
      </c>
      <c r="G427" s="75" t="s">
        <v>89</v>
      </c>
      <c r="H427" s="52" t="str">
        <f aca="false">IF(G427&lt;&gt;"",IFERROR(VLOOKUP(G427,PRODUCTOS!$A:$B,2,0),"!COD NO ENCONTRADO"),"")</f>
        <v>BONITO DEL NORTE 5/7</v>
      </c>
      <c r="I427" s="77" t="n">
        <v>3</v>
      </c>
      <c r="J427" s="78" t="n">
        <f aca="false">41.75+40.75+48</f>
        <v>130.5</v>
      </c>
      <c r="K427" s="79" t="n">
        <v>4.3</v>
      </c>
      <c r="L427" s="80" t="n">
        <f aca="false">IF(AND(J427&lt;&gt;"",K427&lt;&gt;""),J427*K427,"")</f>
        <v>561.15</v>
      </c>
      <c r="M427" s="81" t="n">
        <f aca="false">IF(L427&lt;&gt;"",L427*1.1,"")</f>
        <v>617.265</v>
      </c>
      <c r="N427" s="53" t="n">
        <f aca="false">IF(F427="S",L427*0.02,0)</f>
        <v>11.223</v>
      </c>
      <c r="O427" s="82" t="n">
        <f aca="false">IF(L427&lt;&gt;"",L427+N427,"")</f>
        <v>572.373</v>
      </c>
      <c r="P427" s="53" t="n">
        <f aca="false">IF(O427&lt;&gt;"",O427*0.1,"")</f>
        <v>57.2373</v>
      </c>
      <c r="Q427" s="83" t="n">
        <f aca="false">IF(O427&lt;&gt;"",O427+P427,"")</f>
        <v>629.6103</v>
      </c>
      <c r="R427" s="84"/>
    </row>
    <row r="428" customFormat="false" ht="15" hidden="false" customHeight="true" outlineLevel="0" collapsed="false">
      <c r="A428" s="103" t="n">
        <v>55905</v>
      </c>
      <c r="B428" s="85" t="n">
        <v>46203</v>
      </c>
      <c r="C428" s="86" t="n">
        <v>6572</v>
      </c>
      <c r="D428" s="87" t="n">
        <v>50010</v>
      </c>
      <c r="E428" s="46" t="str">
        <f aca="false">IF(D428&lt;&gt;"",IFERROR(VLOOKUP(D428,PROVEEDORES!$A:$B,2,0),"!COD NO ENCONTRADO"),"")</f>
        <v>PERFECTO MONTERO</v>
      </c>
      <c r="F428" s="88" t="str">
        <f aca="false">IF(D428&lt;&gt;"",IFERROR(VLOOKUP(D428,PROVEEDORES!$A:$C,3,0),""),"")</f>
        <v>S</v>
      </c>
      <c r="G428" s="87" t="s">
        <v>91</v>
      </c>
      <c r="H428" s="46" t="str">
        <f aca="false">IF(G428&lt;&gt;"",IFERROR(VLOOKUP(G428,PRODUCTOS!$A:$B,2,0),"!COD NO ENCONTRADO"),"")</f>
        <v>BONITO DEL NORTE 5/7</v>
      </c>
      <c r="I428" s="89" t="n">
        <v>3</v>
      </c>
      <c r="J428" s="90" t="n">
        <f aca="false">42.5+44.5+43</f>
        <v>130</v>
      </c>
      <c r="K428" s="91" t="n">
        <v>5.1</v>
      </c>
      <c r="L428" s="80" t="n">
        <f aca="false">IF(AND(J428&lt;&gt;"",K428&lt;&gt;""),J428*K428,"")</f>
        <v>663</v>
      </c>
      <c r="M428" s="81" t="n">
        <f aca="false">IF(L428&lt;&gt;"",L428*1.1,"")</f>
        <v>729.3</v>
      </c>
      <c r="N428" s="47" t="n">
        <f aca="false">IF(F428="S",L428*0.02,0)</f>
        <v>13.26</v>
      </c>
      <c r="O428" s="82" t="n">
        <f aca="false">IF(L428&lt;&gt;"",L428+N428,"")</f>
        <v>676.26</v>
      </c>
      <c r="P428" s="47" t="n">
        <f aca="false">IF(O428&lt;&gt;"",O428*0.1,"")</f>
        <v>67.626</v>
      </c>
      <c r="Q428" s="83" t="n">
        <f aca="false">IF(O428&lt;&gt;"",O428+P428,"")</f>
        <v>743.886</v>
      </c>
      <c r="R428" s="84"/>
    </row>
    <row r="429" customFormat="false" ht="15" hidden="false" customHeight="true" outlineLevel="0" collapsed="false">
      <c r="A429" s="103" t="n">
        <v>55906</v>
      </c>
      <c r="B429" s="73" t="n">
        <v>46203</v>
      </c>
      <c r="C429" s="74" t="n">
        <v>7776</v>
      </c>
      <c r="D429" s="75" t="n">
        <v>50232</v>
      </c>
      <c r="E429" s="52" t="str">
        <f aca="false">IF(D429&lt;&gt;"",IFERROR(VLOOKUP(D429,PROVEEDORES!$A:$B,2,0),"!COD NO ENCONTRADO"),"")</f>
        <v>XESTION NOVA LONXA RIVEIRA S.L.</v>
      </c>
      <c r="F429" s="76" t="str">
        <f aca="false">IF(D429&lt;&gt;"",IFERROR(VLOOKUP(D429,PROVEEDORES!$A:$C,3,0),""),"")</f>
        <v>S</v>
      </c>
      <c r="G429" s="75" t="s">
        <v>296</v>
      </c>
      <c r="H429" s="52" t="str">
        <f aca="false">IF(G429&lt;&gt;"",IFERROR(VLOOKUP(G429,PRODUCTOS!$A:$B,2,0),"!COD NO ENCONTRADO"),"")</f>
        <v>RAPE NEGRO (ANK)</v>
      </c>
      <c r="I429" s="77" t="n">
        <v>3</v>
      </c>
      <c r="J429" s="78" t="n">
        <f aca="false">6.7+5.5+8.1</f>
        <v>20.3</v>
      </c>
      <c r="K429" s="79" t="n">
        <v>5</v>
      </c>
      <c r="L429" s="80" t="n">
        <f aca="false">IF(AND(J429&lt;&gt;"",K429&lt;&gt;""),J429*K429,"")</f>
        <v>101.5</v>
      </c>
      <c r="M429" s="81" t="n">
        <f aca="false">IF(L429&lt;&gt;"",L429*1.1,"")</f>
        <v>111.65</v>
      </c>
      <c r="N429" s="53" t="n">
        <f aca="false">IF(F429="S",L429*0.02,0)</f>
        <v>2.03</v>
      </c>
      <c r="O429" s="82" t="n">
        <f aca="false">IF(L429&lt;&gt;"",L429+N429,"")</f>
        <v>103.53</v>
      </c>
      <c r="P429" s="53" t="n">
        <f aca="false">IF(O429&lt;&gt;"",O429*0.1,"")</f>
        <v>10.353</v>
      </c>
      <c r="Q429" s="83" t="n">
        <f aca="false">IF(O429&lt;&gt;"",O429+P429,"")</f>
        <v>113.883</v>
      </c>
      <c r="R429" s="84"/>
    </row>
    <row r="430" customFormat="false" ht="15" hidden="false" customHeight="true" outlineLevel="0" collapsed="false">
      <c r="A430" s="103" t="n">
        <v>55906</v>
      </c>
      <c r="B430" s="85" t="n">
        <v>46203</v>
      </c>
      <c r="C430" s="86" t="n">
        <v>7776</v>
      </c>
      <c r="D430" s="87" t="n">
        <v>50232</v>
      </c>
      <c r="E430" s="46" t="str">
        <f aca="false">IF(D430&lt;&gt;"",IFERROR(VLOOKUP(D430,PROVEEDORES!$A:$B,2,0),"!COD NO ENCONTRADO"),"")</f>
        <v>XESTION NOVA LONXA RIVEIRA S.L.</v>
      </c>
      <c r="F430" s="88" t="str">
        <f aca="false">IF(D430&lt;&gt;"",IFERROR(VLOOKUP(D430,PROVEEDORES!$A:$C,3,0),""),"")</f>
        <v>S</v>
      </c>
      <c r="G430" s="87" t="s">
        <v>296</v>
      </c>
      <c r="H430" s="46" t="str">
        <f aca="false">IF(G430&lt;&gt;"",IFERROR(VLOOKUP(G430,PRODUCTOS!$A:$B,2,0),"!COD NO ENCONTRADO"),"")</f>
        <v>RAPE NEGRO (ANK)</v>
      </c>
      <c r="I430" s="89" t="n">
        <v>13</v>
      </c>
      <c r="J430" s="90" t="n">
        <f aca="false">3.4+7.1+5.4+5.4+5.7+5.8+5.4+7.3+7.9+6.9+6.5+5.7+1.6</f>
        <v>74.1</v>
      </c>
      <c r="K430" s="91" t="n">
        <v>6</v>
      </c>
      <c r="L430" s="80" t="n">
        <f aca="false">IF(AND(J430&lt;&gt;"",K430&lt;&gt;""),J430*K430,"")</f>
        <v>444.6</v>
      </c>
      <c r="M430" s="81" t="n">
        <f aca="false">IF(L430&lt;&gt;"",L430*1.1,"")</f>
        <v>489.06</v>
      </c>
      <c r="N430" s="47" t="n">
        <f aca="false">IF(F430="S",L430*0.02,0)</f>
        <v>8.892</v>
      </c>
      <c r="O430" s="82" t="n">
        <f aca="false">IF(L430&lt;&gt;"",L430+N430,"")</f>
        <v>453.492</v>
      </c>
      <c r="P430" s="47" t="n">
        <f aca="false">IF(O430&lt;&gt;"",O430*0.1,"")</f>
        <v>45.3492</v>
      </c>
      <c r="Q430" s="83" t="n">
        <f aca="false">IF(O430&lt;&gt;"",O430+P430,"")</f>
        <v>498.8412</v>
      </c>
      <c r="R430" s="84"/>
    </row>
    <row r="431" customFormat="false" ht="15" hidden="false" customHeight="true" outlineLevel="0" collapsed="false">
      <c r="A431" s="103" t="n">
        <v>55906</v>
      </c>
      <c r="B431" s="73" t="n">
        <v>46203</v>
      </c>
      <c r="C431" s="74" t="n">
        <v>7776</v>
      </c>
      <c r="D431" s="75" t="n">
        <v>50232</v>
      </c>
      <c r="E431" s="52" t="str">
        <f aca="false">IF(D431&lt;&gt;"",IFERROR(VLOOKUP(D431,PROVEEDORES!$A:$B,2,0),"!COD NO ENCONTRADO"),"")</f>
        <v>XESTION NOVA LONXA RIVEIRA S.L.</v>
      </c>
      <c r="F431" s="76" t="str">
        <f aca="false">IF(D431&lt;&gt;"",IFERROR(VLOOKUP(D431,PROVEEDORES!$A:$C,3,0),""),"")</f>
        <v>S</v>
      </c>
      <c r="G431" s="75" t="s">
        <v>296</v>
      </c>
      <c r="H431" s="52" t="str">
        <f aca="false">IF(G431&lt;&gt;"",IFERROR(VLOOKUP(G431,PRODUCTOS!$A:$B,2,0),"!COD NO ENCONTRADO"),"")</f>
        <v>RAPE NEGRO (ANK)</v>
      </c>
      <c r="I431" s="77" t="n">
        <v>7</v>
      </c>
      <c r="J431" s="78" t="n">
        <f aca="false">3.6+6+4.1+2.1+7.5+4.3+2.5</f>
        <v>30.1</v>
      </c>
      <c r="K431" s="79" t="n">
        <v>6.5</v>
      </c>
      <c r="L431" s="80" t="n">
        <f aca="false">IF(AND(J431&lt;&gt;"",K431&lt;&gt;""),J431*K431,"")</f>
        <v>195.65</v>
      </c>
      <c r="M431" s="81" t="n">
        <f aca="false">IF(L431&lt;&gt;"",L431*1.1,"")</f>
        <v>215.215</v>
      </c>
      <c r="N431" s="53" t="n">
        <f aca="false">IF(F431="S",L431*0.02,0)</f>
        <v>3.913</v>
      </c>
      <c r="O431" s="82" t="n">
        <f aca="false">IF(L431&lt;&gt;"",L431+N431,"")</f>
        <v>199.563</v>
      </c>
      <c r="P431" s="53" t="n">
        <f aca="false">IF(O431&lt;&gt;"",O431*0.1,"")</f>
        <v>19.9563</v>
      </c>
      <c r="Q431" s="83" t="n">
        <f aca="false">IF(O431&lt;&gt;"",O431+P431,"")</f>
        <v>219.5193</v>
      </c>
      <c r="R431" s="84"/>
    </row>
    <row r="432" customFormat="false" ht="15" hidden="false" customHeight="true" outlineLevel="0" collapsed="false">
      <c r="A432" s="103" t="n">
        <v>55906</v>
      </c>
      <c r="B432" s="85" t="n">
        <v>46203</v>
      </c>
      <c r="C432" s="86" t="n">
        <v>7776</v>
      </c>
      <c r="D432" s="87" t="n">
        <v>50232</v>
      </c>
      <c r="E432" s="46" t="str">
        <f aca="false">IF(D432&lt;&gt;"",IFERROR(VLOOKUP(D432,PROVEEDORES!$A:$B,2,0),"!COD NO ENCONTRADO"),"")</f>
        <v>XESTION NOVA LONXA RIVEIRA S.L.</v>
      </c>
      <c r="F432" s="88" t="str">
        <f aca="false">IF(D432&lt;&gt;"",IFERROR(VLOOKUP(D432,PROVEEDORES!$A:$C,3,0),""),"")</f>
        <v>S</v>
      </c>
      <c r="G432" s="87" t="s">
        <v>288</v>
      </c>
      <c r="H432" s="46" t="str">
        <f aca="false">IF(G432&lt;&gt;"",IFERROR(VLOOKUP(G432,PRODUCTOS!$A:$B,2,0),"!COD NO ENCONTRADO"),"")</f>
        <v>RAPE BLANCO DIA (MON)</v>
      </c>
      <c r="I432" s="89" t="n">
        <v>7</v>
      </c>
      <c r="J432" s="90" t="n">
        <v>25</v>
      </c>
      <c r="K432" s="91" t="n">
        <v>3.5</v>
      </c>
      <c r="L432" s="80" t="n">
        <f aca="false">IF(AND(J432&lt;&gt;"",K432&lt;&gt;""),J432*K432,"")</f>
        <v>87.5</v>
      </c>
      <c r="M432" s="81" t="n">
        <f aca="false">IF(L432&lt;&gt;"",L432*1.1,"")</f>
        <v>96.25</v>
      </c>
      <c r="N432" s="47" t="n">
        <f aca="false">IF(F432="S",L432*0.02,0)</f>
        <v>1.75</v>
      </c>
      <c r="O432" s="82" t="n">
        <f aca="false">IF(L432&lt;&gt;"",L432+N432,"")</f>
        <v>89.25</v>
      </c>
      <c r="P432" s="47" t="n">
        <f aca="false">IF(O432&lt;&gt;"",O432*0.1,"")</f>
        <v>8.925</v>
      </c>
      <c r="Q432" s="83" t="n">
        <f aca="false">IF(O432&lt;&gt;"",O432+P432,"")</f>
        <v>98.175</v>
      </c>
      <c r="R432" s="84"/>
    </row>
    <row r="433" customFormat="false" ht="15" hidden="false" customHeight="true" outlineLevel="0" collapsed="false">
      <c r="A433" s="103" t="n">
        <v>55906</v>
      </c>
      <c r="B433" s="73" t="n">
        <v>46203</v>
      </c>
      <c r="C433" s="74" t="n">
        <v>7776</v>
      </c>
      <c r="D433" s="75" t="n">
        <v>50232</v>
      </c>
      <c r="E433" s="52" t="str">
        <f aca="false">IF(D433&lt;&gt;"",IFERROR(VLOOKUP(D433,PROVEEDORES!$A:$B,2,0),"!COD NO ENCONTRADO"),"")</f>
        <v>XESTION NOVA LONXA RIVEIRA S.L.</v>
      </c>
      <c r="F433" s="76" t="str">
        <f aca="false">IF(D433&lt;&gt;"",IFERROR(VLOOKUP(D433,PROVEEDORES!$A:$C,3,0),""),"")</f>
        <v>S</v>
      </c>
      <c r="G433" s="75" t="s">
        <v>288</v>
      </c>
      <c r="H433" s="52" t="str">
        <f aca="false">IF(G433&lt;&gt;"",IFERROR(VLOOKUP(G433,PRODUCTOS!$A:$B,2,0),"!COD NO ENCONTRADO"),"")</f>
        <v>RAPE BLANCO DIA (MON)</v>
      </c>
      <c r="I433" s="77" t="n">
        <v>1</v>
      </c>
      <c r="J433" s="78" t="n">
        <v>74.1</v>
      </c>
      <c r="K433" s="79" t="n">
        <v>6</v>
      </c>
      <c r="L433" s="80" t="n">
        <f aca="false">IF(AND(J433&lt;&gt;"",K433&lt;&gt;""),J433*K433,"")</f>
        <v>444.6</v>
      </c>
      <c r="M433" s="81" t="n">
        <f aca="false">IF(L433&lt;&gt;"",L433*1.1,"")</f>
        <v>489.06</v>
      </c>
      <c r="N433" s="53" t="n">
        <f aca="false">IF(F433="S",L433*0.02,0)</f>
        <v>8.892</v>
      </c>
      <c r="O433" s="82" t="n">
        <f aca="false">IF(L433&lt;&gt;"",L433+N433,"")</f>
        <v>453.492</v>
      </c>
      <c r="P433" s="53" t="n">
        <f aca="false">IF(O433&lt;&gt;"",O433*0.1,"")</f>
        <v>45.3492</v>
      </c>
      <c r="Q433" s="83" t="n">
        <f aca="false">IF(O433&lt;&gt;"",O433+P433,"")</f>
        <v>498.8412</v>
      </c>
      <c r="R433" s="84"/>
    </row>
    <row r="434" customFormat="false" ht="15" hidden="false" customHeight="true" outlineLevel="0" collapsed="false">
      <c r="A434" s="103" t="n">
        <v>55906</v>
      </c>
      <c r="B434" s="73" t="n">
        <v>46203</v>
      </c>
      <c r="C434" s="74" t="n">
        <v>7776</v>
      </c>
      <c r="D434" s="75" t="n">
        <v>50232</v>
      </c>
      <c r="E434" s="52" t="str">
        <f aca="false">IF(D434&lt;&gt;"",IFERROR(VLOOKUP(D434,PROVEEDORES!$A:$B,2,0),"!COD NO ENCONTRADO"),"")</f>
        <v>XESTION NOVA LONXA RIVEIRA S.L.</v>
      </c>
      <c r="F434" s="76" t="str">
        <f aca="false">IF(D434&lt;&gt;"",IFERROR(VLOOKUP(D434,PROVEEDORES!$A:$C,3,0),""),"")</f>
        <v>S</v>
      </c>
      <c r="G434" s="75" t="s">
        <v>179</v>
      </c>
      <c r="H434" s="52" t="str">
        <f aca="false">IF(G434&lt;&gt;"",IFERROR(VLOOKUP(G434,PRODUCTOS!$A:$B,2,0),"!COD NO ENCONTRADO"),"")</f>
        <v>LIRIO/ BACALADILLA/ PERLA (WHB)</v>
      </c>
      <c r="I434" s="77" t="n">
        <v>30</v>
      </c>
      <c r="J434" s="78" t="n">
        <v>122</v>
      </c>
      <c r="K434" s="79" t="n">
        <v>0.73</v>
      </c>
      <c r="L434" s="80" t="n">
        <f aca="false">IF(AND(J434&lt;&gt;"",K434&lt;&gt;""),J434*K434,"")</f>
        <v>89.06</v>
      </c>
      <c r="M434" s="81" t="n">
        <f aca="false">IF(L434&lt;&gt;"",L434*1.1,"")</f>
        <v>97.966</v>
      </c>
      <c r="N434" s="53" t="n">
        <f aca="false">IF(F434="S",L434*0.02,0)</f>
        <v>1.7812</v>
      </c>
      <c r="O434" s="82" t="n">
        <f aca="false">IF(L434&lt;&gt;"",L434+N434,"")</f>
        <v>90.8412</v>
      </c>
      <c r="P434" s="53" t="n">
        <f aca="false">IF(O434&lt;&gt;"",O434*0.1,"")</f>
        <v>9.08412</v>
      </c>
      <c r="Q434" s="83" t="n">
        <f aca="false">IF(O434&lt;&gt;"",O434+P434,"")</f>
        <v>99.92532</v>
      </c>
      <c r="R434" s="84"/>
    </row>
    <row r="435" customFormat="false" ht="15" hidden="false" customHeight="true" outlineLevel="0" collapsed="false">
      <c r="A435" s="103" t="n">
        <v>55906</v>
      </c>
      <c r="B435" s="85" t="n">
        <v>46203</v>
      </c>
      <c r="C435" s="86" t="n">
        <v>7776</v>
      </c>
      <c r="D435" s="87" t="n">
        <v>50232</v>
      </c>
      <c r="E435" s="46" t="str">
        <f aca="false">IF(D435&lt;&gt;"",IFERROR(VLOOKUP(D435,PROVEEDORES!$A:$B,2,0),"!COD NO ENCONTRADO"),"")</f>
        <v>XESTION NOVA LONXA RIVEIRA S.L.</v>
      </c>
      <c r="F435" s="88" t="str">
        <f aca="false">IF(D435&lt;&gt;"",IFERROR(VLOOKUP(D435,PROVEEDORES!$A:$C,3,0),""),"")</f>
        <v>S</v>
      </c>
      <c r="G435" s="87" t="s">
        <v>179</v>
      </c>
      <c r="H435" s="46" t="str">
        <f aca="false">IF(G435&lt;&gt;"",IFERROR(VLOOKUP(G435,PRODUCTOS!$A:$B,2,0),"!COD NO ENCONTRADO"),"")</f>
        <v>LIRIO/ BACALADILLA/ PERLA (WHB)</v>
      </c>
      <c r="I435" s="89" t="n">
        <v>50</v>
      </c>
      <c r="J435" s="90" t="n">
        <v>300</v>
      </c>
      <c r="K435" s="91" t="n">
        <v>1.333</v>
      </c>
      <c r="L435" s="80" t="n">
        <f aca="false">IF(AND(J435&lt;&gt;"",K435&lt;&gt;""),J435*K435,"")</f>
        <v>399.9</v>
      </c>
      <c r="M435" s="81" t="n">
        <f aca="false">IF(L435&lt;&gt;"",L435*1.1,"")</f>
        <v>439.89</v>
      </c>
      <c r="N435" s="47" t="n">
        <f aca="false">IF(F435="S",L435*0.02,0)</f>
        <v>7.998</v>
      </c>
      <c r="O435" s="82" t="n">
        <f aca="false">IF(L435&lt;&gt;"",L435+N435,"")</f>
        <v>407.898</v>
      </c>
      <c r="P435" s="47" t="n">
        <f aca="false">IF(O435&lt;&gt;"",O435*0.1,"")</f>
        <v>40.7898</v>
      </c>
      <c r="Q435" s="83" t="n">
        <f aca="false">IF(O435&lt;&gt;"",O435+P435,"")</f>
        <v>448.6878</v>
      </c>
      <c r="R435" s="84"/>
    </row>
    <row r="436" customFormat="false" ht="15" hidden="false" customHeight="true" outlineLevel="0" collapsed="false">
      <c r="A436" s="103" t="n">
        <v>55906.7</v>
      </c>
      <c r="B436" s="85" t="n">
        <v>46204</v>
      </c>
      <c r="C436" s="86" t="n">
        <v>17907</v>
      </c>
      <c r="D436" s="87" t="n">
        <v>50163</v>
      </c>
      <c r="E436" s="46" t="str">
        <f aca="false">IF(D436&lt;&gt;"",IFERROR(VLOOKUP(D436,PROVEEDORES!$A:$B,2,0),"!COD NO ENCONTRADO"),"")</f>
        <v>SUBASTAS RIVERA S.L.</v>
      </c>
      <c r="F436" s="88" t="str">
        <f aca="false">IF(D436&lt;&gt;"",IFERROR(VLOOKUP(D436,PROVEEDORES!$A:$C,3,0),""),"")</f>
        <v>S</v>
      </c>
      <c r="G436" s="87" t="s">
        <v>332</v>
      </c>
      <c r="H436" s="46" t="str">
        <f aca="false">IF(G436&lt;&gt;"",IFERROR(VLOOKUP(G436,PRODUCTOS!$A:$B,2,0),"!COD NO ENCONTRADO"),"")</f>
        <v>VARIADO PEQUEÑO</v>
      </c>
      <c r="I436" s="89" t="n">
        <v>4</v>
      </c>
      <c r="J436" s="90" t="n">
        <v>80</v>
      </c>
      <c r="K436" s="91" t="n">
        <v>0.4</v>
      </c>
      <c r="L436" s="80" t="n">
        <f aca="false">IF(AND(J436&lt;&gt;"",K436&lt;&gt;""),J436*K436,"")</f>
        <v>32</v>
      </c>
      <c r="M436" s="81" t="n">
        <f aca="false">IF(L436&lt;&gt;"",L436*1.1,"")</f>
        <v>35.2</v>
      </c>
      <c r="N436" s="47" t="n">
        <f aca="false">IF(F436="S",L436*0.02,0)</f>
        <v>0.64</v>
      </c>
      <c r="O436" s="82" t="n">
        <f aca="false">IF(L436&lt;&gt;"",L436+N436,"")</f>
        <v>32.64</v>
      </c>
      <c r="P436" s="47" t="n">
        <f aca="false">IF(O436&lt;&gt;"",O436*0.1,"")</f>
        <v>3.264</v>
      </c>
      <c r="Q436" s="83" t="n">
        <f aca="false">IF(O436&lt;&gt;"",O436+P436,"")</f>
        <v>35.904</v>
      </c>
      <c r="R436" s="84"/>
    </row>
    <row r="437" customFormat="false" ht="15" hidden="false" customHeight="true" outlineLevel="0" collapsed="false">
      <c r="A437" s="103" t="n">
        <v>55907</v>
      </c>
      <c r="B437" s="85" t="n">
        <v>46203</v>
      </c>
      <c r="C437" s="86"/>
      <c r="D437" s="87" t="n">
        <v>50048</v>
      </c>
      <c r="E437" s="46" t="str">
        <f aca="false">IF(D437&lt;&gt;"",IFERROR(VLOOKUP(D437,PROVEEDORES!$A:$B,2,0),"!COD NO ENCONTRADO"),"")</f>
        <v>JOSE LUIS CORREA KESSLER S.L.</v>
      </c>
      <c r="F437" s="88" t="str">
        <f aca="false">IF(D437&lt;&gt;"",IFERROR(VLOOKUP(D437,PROVEEDORES!$A:$C,3,0),""),"")</f>
        <v>N</v>
      </c>
      <c r="G437" s="87" t="s">
        <v>179</v>
      </c>
      <c r="H437" s="46" t="str">
        <f aca="false">IF(G437&lt;&gt;"",IFERROR(VLOOKUP(G437,PRODUCTOS!$A:$B,2,0),"!COD NO ENCONTRADO"),"")</f>
        <v>LIRIO/ BACALADILLA/ PERLA (WHB)</v>
      </c>
      <c r="I437" s="89" t="n">
        <v>6</v>
      </c>
      <c r="J437" s="90" t="n">
        <v>36</v>
      </c>
      <c r="K437" s="91" t="n">
        <v>1.65</v>
      </c>
      <c r="L437" s="80" t="n">
        <f aca="false">IF(AND(J437&lt;&gt;"",K437&lt;&gt;""),J437*K437,"")</f>
        <v>59.4</v>
      </c>
      <c r="M437" s="81" t="n">
        <f aca="false">IF(L437&lt;&gt;"",L437*1.1,"")</f>
        <v>65.34</v>
      </c>
      <c r="N437" s="47" t="n">
        <f aca="false">IF(F437="S",L437*0.02,0)</f>
        <v>0</v>
      </c>
      <c r="O437" s="82" t="n">
        <f aca="false">IF(L437&lt;&gt;"",L437+N437,"")</f>
        <v>59.4</v>
      </c>
      <c r="P437" s="47" t="n">
        <f aca="false">IF(O437&lt;&gt;"",O437*0.1,"")</f>
        <v>5.94</v>
      </c>
      <c r="Q437" s="83" t="n">
        <f aca="false">IF(O437&lt;&gt;"",O437+P437,"")</f>
        <v>65.34</v>
      </c>
      <c r="R437" s="84"/>
    </row>
    <row r="438" customFormat="false" ht="15" hidden="false" customHeight="true" outlineLevel="0" collapsed="false">
      <c r="A438" s="103" t="n">
        <v>55907</v>
      </c>
      <c r="B438" s="73" t="n">
        <v>46203</v>
      </c>
      <c r="C438" s="74"/>
      <c r="D438" s="75" t="n">
        <v>50048</v>
      </c>
      <c r="E438" s="52" t="str">
        <f aca="false">IF(D438&lt;&gt;"",IFERROR(VLOOKUP(D438,PROVEEDORES!$A:$B,2,0),"!COD NO ENCONTRADO"),"")</f>
        <v>JOSE LUIS CORREA KESSLER S.L.</v>
      </c>
      <c r="F438" s="76" t="str">
        <f aca="false">IF(D438&lt;&gt;"",IFERROR(VLOOKUP(D438,PROVEEDORES!$A:$C,3,0),""),"")</f>
        <v>N</v>
      </c>
      <c r="G438" s="75" t="s">
        <v>179</v>
      </c>
      <c r="H438" s="52" t="str">
        <f aca="false">IF(G438&lt;&gt;"",IFERROR(VLOOKUP(G438,PRODUCTOS!$A:$B,2,0),"!COD NO ENCONTRADO"),"")</f>
        <v>LIRIO/ BACALADILLA/ PERLA (WHB)</v>
      </c>
      <c r="I438" s="77" t="n">
        <v>3</v>
      </c>
      <c r="J438" s="78" t="n">
        <v>18</v>
      </c>
      <c r="K438" s="79" t="n">
        <v>2</v>
      </c>
      <c r="L438" s="80" t="n">
        <f aca="false">IF(AND(J438&lt;&gt;"",K438&lt;&gt;""),J438*K438,"")</f>
        <v>36</v>
      </c>
      <c r="M438" s="81" t="n">
        <f aca="false">IF(L438&lt;&gt;"",L438*1.1,"")</f>
        <v>39.6</v>
      </c>
      <c r="N438" s="53" t="n">
        <f aca="false">IF(F438="S",L438*0.02,0)</f>
        <v>0</v>
      </c>
      <c r="O438" s="82" t="n">
        <f aca="false">IF(L438&lt;&gt;"",L438+N438,"")</f>
        <v>36</v>
      </c>
      <c r="P438" s="53" t="n">
        <f aca="false">IF(O438&lt;&gt;"",O438*0.1,"")</f>
        <v>3.6</v>
      </c>
      <c r="Q438" s="83" t="n">
        <f aca="false">IF(O438&lt;&gt;"",O438+P438,"")</f>
        <v>39.6</v>
      </c>
      <c r="R438" s="84"/>
    </row>
    <row r="439" customFormat="false" ht="15" hidden="false" customHeight="true" outlineLevel="0" collapsed="false">
      <c r="A439" s="103" t="n">
        <v>55907</v>
      </c>
      <c r="B439" s="85" t="n">
        <v>46203</v>
      </c>
      <c r="C439" s="86"/>
      <c r="D439" s="87" t="n">
        <v>50048</v>
      </c>
      <c r="E439" s="46" t="str">
        <f aca="false">IF(D439&lt;&gt;"",IFERROR(VLOOKUP(D439,PROVEEDORES!$A:$B,2,0),"!COD NO ENCONTRADO"),"")</f>
        <v>JOSE LUIS CORREA KESSLER S.L.</v>
      </c>
      <c r="F439" s="88" t="str">
        <f aca="false">IF(D439&lt;&gt;"",IFERROR(VLOOKUP(D439,PROVEEDORES!$A:$C,3,0),""),"")</f>
        <v>N</v>
      </c>
      <c r="G439" s="87" t="s">
        <v>179</v>
      </c>
      <c r="H439" s="46" t="str">
        <f aca="false">IF(G439&lt;&gt;"",IFERROR(VLOOKUP(G439,PRODUCTOS!$A:$B,2,0),"!COD NO ENCONTRADO"),"")</f>
        <v>LIRIO/ BACALADILLA/ PERLA (WHB)</v>
      </c>
      <c r="I439" s="89" t="n">
        <v>5</v>
      </c>
      <c r="J439" s="90" t="n">
        <v>25</v>
      </c>
      <c r="K439" s="91" t="n">
        <v>2</v>
      </c>
      <c r="L439" s="80" t="n">
        <f aca="false">IF(AND(J439&lt;&gt;"",K439&lt;&gt;""),J439*K439,"")</f>
        <v>50</v>
      </c>
      <c r="M439" s="81" t="n">
        <f aca="false">IF(L439&lt;&gt;"",L439*1.1,"")</f>
        <v>55</v>
      </c>
      <c r="N439" s="47" t="n">
        <f aca="false">IF(F439="S",L439*0.02,0)</f>
        <v>0</v>
      </c>
      <c r="O439" s="82" t="n">
        <f aca="false">IF(L439&lt;&gt;"",L439+N439,"")</f>
        <v>50</v>
      </c>
      <c r="P439" s="47" t="n">
        <f aca="false">IF(O439&lt;&gt;"",O439*0.1,"")</f>
        <v>5</v>
      </c>
      <c r="Q439" s="83" t="n">
        <f aca="false">IF(O439&lt;&gt;"",O439+P439,"")</f>
        <v>55</v>
      </c>
      <c r="R439" s="84"/>
    </row>
    <row r="440" customFormat="false" ht="15" hidden="false" customHeight="true" outlineLevel="0" collapsed="false">
      <c r="A440" s="103" t="n">
        <v>55907.6</v>
      </c>
      <c r="B440" s="73" t="n">
        <v>46204</v>
      </c>
      <c r="C440" s="74" t="n">
        <v>17907</v>
      </c>
      <c r="D440" s="75" t="n">
        <v>50163</v>
      </c>
      <c r="E440" s="52" t="str">
        <f aca="false">IF(D440&lt;&gt;"",IFERROR(VLOOKUP(D440,PROVEEDORES!$A:$B,2,0),"!COD NO ENCONTRADO"),"")</f>
        <v>SUBASTAS RIVERA S.L.</v>
      </c>
      <c r="F440" s="76" t="str">
        <f aca="false">IF(D440&lt;&gt;"",IFERROR(VLOOKUP(D440,PROVEEDORES!$A:$C,3,0),""),"")</f>
        <v>S</v>
      </c>
      <c r="G440" s="75" t="s">
        <v>332</v>
      </c>
      <c r="H440" s="52" t="str">
        <f aca="false">IF(G440&lt;&gt;"",IFERROR(VLOOKUP(G440,PRODUCTOS!$A:$B,2,0),"!COD NO ENCONTRADO"),"")</f>
        <v>VARIADO PEQUEÑO</v>
      </c>
      <c r="I440" s="77" t="n">
        <v>5</v>
      </c>
      <c r="J440" s="78" t="n">
        <f aca="false">17+15+16.25+15+17</f>
        <v>80.25</v>
      </c>
      <c r="K440" s="79" t="n">
        <v>0.4</v>
      </c>
      <c r="L440" s="80" t="n">
        <f aca="false">IF(AND(J440&lt;&gt;"",K440&lt;&gt;""),J440*K440,"")</f>
        <v>32.1</v>
      </c>
      <c r="M440" s="81" t="n">
        <f aca="false">IF(L440&lt;&gt;"",L440*1.1,"")</f>
        <v>35.31</v>
      </c>
      <c r="N440" s="53" t="n">
        <f aca="false">IF(F440="S",L440*0.02,0)</f>
        <v>0.642</v>
      </c>
      <c r="O440" s="82" t="n">
        <f aca="false">IF(L440&lt;&gt;"",L440+N440,"")</f>
        <v>32.742</v>
      </c>
      <c r="P440" s="53" t="n">
        <f aca="false">IF(O440&lt;&gt;"",O440*0.1,"")</f>
        <v>3.2742</v>
      </c>
      <c r="Q440" s="83" t="n">
        <f aca="false">IF(O440&lt;&gt;"",O440+P440,"")</f>
        <v>36.0162</v>
      </c>
      <c r="R440" s="84"/>
    </row>
    <row r="441" customFormat="false" ht="15" hidden="false" customHeight="true" outlineLevel="0" collapsed="false">
      <c r="A441" s="103" t="n">
        <v>55908</v>
      </c>
      <c r="B441" s="73" t="n">
        <v>46203</v>
      </c>
      <c r="C441" s="74"/>
      <c r="D441" s="75" t="n">
        <v>50160</v>
      </c>
      <c r="E441" s="52" t="str">
        <f aca="false">IF(D441&lt;&gt;"",IFERROR(VLOOKUP(D441,PROVEEDORES!$A:$B,2,0),"!COD NO ENCONTRADO"),"")</f>
        <v>SUBASTAS CORUÑA S.L.</v>
      </c>
      <c r="F441" s="76" t="str">
        <f aca="false">IF(D441&lt;&gt;"",IFERROR(VLOOKUP(D441,PROVEEDORES!$A:$C,3,0),""),"")</f>
        <v>S</v>
      </c>
      <c r="G441" s="75" t="s">
        <v>179</v>
      </c>
      <c r="H441" s="52" t="str">
        <f aca="false">IF(G441&lt;&gt;"",IFERROR(VLOOKUP(G441,PRODUCTOS!$A:$B,2,0),"!COD NO ENCONTRADO"),"")</f>
        <v>LIRIO/ BACALADILLA/ PERLA (WHB)</v>
      </c>
      <c r="I441" s="77" t="n">
        <v>50</v>
      </c>
      <c r="J441" s="78" t="n">
        <v>416</v>
      </c>
      <c r="K441" s="79" t="n">
        <v>1.27</v>
      </c>
      <c r="L441" s="80" t="n">
        <f aca="false">IF(AND(J441&lt;&gt;"",K441&lt;&gt;""),J441*K441,"")</f>
        <v>528.32</v>
      </c>
      <c r="M441" s="81" t="n">
        <f aca="false">IF(L441&lt;&gt;"",L441*1.1,"")</f>
        <v>581.152</v>
      </c>
      <c r="N441" s="53" t="n">
        <f aca="false">IF(F441="S",L441*0.02,0)</f>
        <v>10.5664</v>
      </c>
      <c r="O441" s="82" t="n">
        <f aca="false">IF(L441&lt;&gt;"",L441+N441,"")</f>
        <v>538.8864</v>
      </c>
      <c r="P441" s="53" t="n">
        <f aca="false">IF(O441&lt;&gt;"",O441*0.1,"")</f>
        <v>53.88864</v>
      </c>
      <c r="Q441" s="83" t="n">
        <f aca="false">IF(O441&lt;&gt;"",O441+P441,"")</f>
        <v>592.77504</v>
      </c>
      <c r="R441" s="84"/>
    </row>
    <row r="442" customFormat="false" ht="15" hidden="false" customHeight="true" outlineLevel="0" collapsed="false">
      <c r="A442" s="103" t="n">
        <v>55908</v>
      </c>
      <c r="B442" s="85" t="n">
        <v>46203</v>
      </c>
      <c r="C442" s="86"/>
      <c r="D442" s="87" t="n">
        <v>50160</v>
      </c>
      <c r="E442" s="46" t="str">
        <f aca="false">IF(D442&lt;&gt;"",IFERROR(VLOOKUP(D442,PROVEEDORES!$A:$B,2,0),"!COD NO ENCONTRADO"),"")</f>
        <v>SUBASTAS CORUÑA S.L.</v>
      </c>
      <c r="F442" s="88" t="str">
        <f aca="false">IF(D442&lt;&gt;"",IFERROR(VLOOKUP(D442,PROVEEDORES!$A:$C,3,0),""),"")</f>
        <v>S</v>
      </c>
      <c r="G442" s="87" t="s">
        <v>179</v>
      </c>
      <c r="H442" s="46" t="str">
        <f aca="false">IF(G442&lt;&gt;"",IFERROR(VLOOKUP(G442,PRODUCTOS!$A:$B,2,0),"!COD NO ENCONTRADO"),"")</f>
        <v>LIRIO/ BACALADILLA/ PERLA (WHB)</v>
      </c>
      <c r="I442" s="89" t="n">
        <v>10</v>
      </c>
      <c r="J442" s="90" t="n">
        <v>56</v>
      </c>
      <c r="K442" s="91" t="n">
        <v>1.8</v>
      </c>
      <c r="L442" s="80" t="n">
        <f aca="false">IF(AND(J442&lt;&gt;"",K442&lt;&gt;""),J442*K442,"")</f>
        <v>100.8</v>
      </c>
      <c r="M442" s="81" t="n">
        <f aca="false">IF(L442&lt;&gt;"",L442*1.1,"")</f>
        <v>110.88</v>
      </c>
      <c r="N442" s="47" t="n">
        <f aca="false">IF(F442="S",L442*0.02,0)</f>
        <v>2.016</v>
      </c>
      <c r="O442" s="82" t="n">
        <f aca="false">IF(L442&lt;&gt;"",L442+N442,"")</f>
        <v>102.816</v>
      </c>
      <c r="P442" s="47" t="n">
        <f aca="false">IF(O442&lt;&gt;"",O442*0.1,"")</f>
        <v>10.2816</v>
      </c>
      <c r="Q442" s="83" t="n">
        <f aca="false">IF(O442&lt;&gt;"",O442+P442,"")</f>
        <v>113.0976</v>
      </c>
      <c r="R442" s="84"/>
    </row>
    <row r="443" customFormat="false" ht="15" hidden="false" customHeight="true" outlineLevel="0" collapsed="false">
      <c r="A443" s="103" t="n">
        <v>55908.5</v>
      </c>
      <c r="B443" s="85" t="n">
        <v>46204</v>
      </c>
      <c r="C443" s="86" t="n">
        <v>17907</v>
      </c>
      <c r="D443" s="87" t="n">
        <v>50163</v>
      </c>
      <c r="E443" s="46" t="str">
        <f aca="false">IF(D443&lt;&gt;"",IFERROR(VLOOKUP(D443,PROVEEDORES!$A:$B,2,0),"!COD NO ENCONTRADO"),"")</f>
        <v>SUBASTAS RIVERA S.L.</v>
      </c>
      <c r="F443" s="88" t="str">
        <f aca="false">IF(D443&lt;&gt;"",IFERROR(VLOOKUP(D443,PROVEEDORES!$A:$C,3,0),""),"")</f>
        <v>S</v>
      </c>
      <c r="G443" s="87" t="s">
        <v>332</v>
      </c>
      <c r="H443" s="46" t="str">
        <f aca="false">IF(G443&lt;&gt;"",IFERROR(VLOOKUP(G443,PRODUCTOS!$A:$B,2,0),"!COD NO ENCONTRADO"),"")</f>
        <v>VARIADO PEQUEÑO</v>
      </c>
      <c r="I443" s="89" t="n">
        <v>3</v>
      </c>
      <c r="J443" s="90" t="n">
        <f aca="false">13+12.5+14.75</f>
        <v>40.25</v>
      </c>
      <c r="K443" s="91" t="n">
        <v>0.6</v>
      </c>
      <c r="L443" s="80" t="n">
        <f aca="false">IF(AND(J443&lt;&gt;"",K443&lt;&gt;""),J443*K443,"")</f>
        <v>24.15</v>
      </c>
      <c r="M443" s="81" t="n">
        <f aca="false">IF(L443&lt;&gt;"",L443*1.1,"")</f>
        <v>26.565</v>
      </c>
      <c r="N443" s="47" t="n">
        <f aca="false">IF(F443="S",L443*0.02,0)</f>
        <v>0.483</v>
      </c>
      <c r="O443" s="82" t="n">
        <f aca="false">IF(L443&lt;&gt;"",L443+N443,"")</f>
        <v>24.633</v>
      </c>
      <c r="P443" s="47" t="n">
        <f aca="false">IF(O443&lt;&gt;"",O443*0.1,"")</f>
        <v>2.4633</v>
      </c>
      <c r="Q443" s="83" t="n">
        <f aca="false">IF(O443&lt;&gt;"",O443+P443,"")</f>
        <v>27.0963</v>
      </c>
      <c r="R443" s="84"/>
    </row>
    <row r="444" customFormat="false" ht="15" hidden="false" customHeight="true" outlineLevel="0" collapsed="false">
      <c r="A444" s="103" t="n">
        <v>55909</v>
      </c>
      <c r="B444" s="73" t="n">
        <v>46203</v>
      </c>
      <c r="C444" s="74"/>
      <c r="D444" s="75" t="n">
        <v>50035</v>
      </c>
      <c r="E444" s="52" t="str">
        <f aca="false">IF(D444&lt;&gt;"",IFERROR(VLOOKUP(D444,PROVEEDORES!$A:$B,2,0),"!COD NO ENCONTRADO"),"")</f>
        <v>SCANFISK SEAFFOD S,L</v>
      </c>
      <c r="F444" s="76" t="str">
        <f aca="false">IF(D444&lt;&gt;"",IFERROR(VLOOKUP(D444,PROVEEDORES!$A:$C,3,0),""),"")</f>
        <v>N</v>
      </c>
      <c r="G444" s="75" t="s">
        <v>235</v>
      </c>
      <c r="H444" s="52" t="str">
        <f aca="false">IF(G444&lt;&gt;"",IFERROR(VLOOKUP(G444,PRODUCTOS!$A:$B,2,0),"!COD NO ENCONTRADO"),"")</f>
        <v>MERLUZA EUROPEA VOLANTA COSTA</v>
      </c>
      <c r="I444" s="77" t="n">
        <v>6</v>
      </c>
      <c r="J444" s="78" t="n">
        <v>61.4</v>
      </c>
      <c r="K444" s="79" t="n">
        <v>8.9</v>
      </c>
      <c r="L444" s="80" t="n">
        <f aca="false">IF(AND(J444&lt;&gt;"",K444&lt;&gt;""),J444*K444,"")</f>
        <v>546.46</v>
      </c>
      <c r="M444" s="81" t="n">
        <f aca="false">IF(L444&lt;&gt;"",L444*1.1,"")</f>
        <v>601.106</v>
      </c>
      <c r="N444" s="53" t="n">
        <f aca="false">IF(F444="S",L444*0.02,0)</f>
        <v>0</v>
      </c>
      <c r="O444" s="82" t="n">
        <f aca="false">IF(L444&lt;&gt;"",L444+N444,"")</f>
        <v>546.46</v>
      </c>
      <c r="P444" s="53" t="n">
        <f aca="false">IF(O444&lt;&gt;"",O444*0.1,"")</f>
        <v>54.646</v>
      </c>
      <c r="Q444" s="83" t="n">
        <f aca="false">IF(O444&lt;&gt;"",O444+P444,"")</f>
        <v>601.106</v>
      </c>
      <c r="R444" s="84"/>
    </row>
    <row r="445" customFormat="false" ht="15" hidden="false" customHeight="true" outlineLevel="0" collapsed="false">
      <c r="A445" s="103" t="n">
        <v>55909</v>
      </c>
      <c r="B445" s="85" t="n">
        <v>46203</v>
      </c>
      <c r="C445" s="86"/>
      <c r="D445" s="87" t="n">
        <v>50035</v>
      </c>
      <c r="E445" s="46" t="str">
        <f aca="false">IF(D445&lt;&gt;"",IFERROR(VLOOKUP(D445,PROVEEDORES!$A:$B,2,0),"!COD NO ENCONTRADO"),"")</f>
        <v>SCANFISK SEAFFOD S,L</v>
      </c>
      <c r="F445" s="88" t="str">
        <f aca="false">IF(D445&lt;&gt;"",IFERROR(VLOOKUP(D445,PROVEEDORES!$A:$C,3,0),""),"")</f>
        <v>N</v>
      </c>
      <c r="G445" s="87" t="s">
        <v>235</v>
      </c>
      <c r="H445" s="46" t="str">
        <f aca="false">IF(G445&lt;&gt;"",IFERROR(VLOOKUP(G445,PRODUCTOS!$A:$B,2,0),"!COD NO ENCONTRADO"),"")</f>
        <v>MERLUZA EUROPEA VOLANTA COSTA</v>
      </c>
      <c r="I445" s="89" t="n">
        <v>2</v>
      </c>
      <c r="J445" s="90" t="n">
        <v>22.8</v>
      </c>
      <c r="K445" s="91" t="n">
        <v>8.7</v>
      </c>
      <c r="L445" s="80" t="n">
        <f aca="false">IF(AND(J445&lt;&gt;"",K445&lt;&gt;""),J445*K445,"")</f>
        <v>198.36</v>
      </c>
      <c r="M445" s="81" t="n">
        <f aca="false">IF(L445&lt;&gt;"",L445*1.1,"")</f>
        <v>218.196</v>
      </c>
      <c r="N445" s="47" t="n">
        <f aca="false">IF(F445="S",L445*0.02,0)</f>
        <v>0</v>
      </c>
      <c r="O445" s="82" t="n">
        <f aca="false">IF(L445&lt;&gt;"",L445+N445,"")</f>
        <v>198.36</v>
      </c>
      <c r="P445" s="47" t="n">
        <f aca="false">IF(O445&lt;&gt;"",O445*0.1,"")</f>
        <v>19.836</v>
      </c>
      <c r="Q445" s="83" t="n">
        <f aca="false">IF(O445&lt;&gt;"",O445+P445,"")</f>
        <v>218.196</v>
      </c>
      <c r="R445" s="84"/>
    </row>
    <row r="446" customFormat="false" ht="15" hidden="false" customHeight="true" outlineLevel="0" collapsed="false">
      <c r="A446" s="103" t="n">
        <v>55909</v>
      </c>
      <c r="B446" s="73" t="n">
        <v>46203</v>
      </c>
      <c r="C446" s="74"/>
      <c r="D446" s="75" t="n">
        <v>50035</v>
      </c>
      <c r="E446" s="52" t="str">
        <f aca="false">IF(D446&lt;&gt;"",IFERROR(VLOOKUP(D446,PROVEEDORES!$A:$B,2,0),"!COD NO ENCONTRADO"),"")</f>
        <v>SCANFISK SEAFFOD S,L</v>
      </c>
      <c r="F446" s="76" t="str">
        <f aca="false">IF(D446&lt;&gt;"",IFERROR(VLOOKUP(D446,PROVEEDORES!$A:$C,3,0),""),"")</f>
        <v>N</v>
      </c>
      <c r="G446" s="75" t="s">
        <v>209</v>
      </c>
      <c r="H446" s="52" t="str">
        <f aca="false">IF(G446&lt;&gt;"",IFERROR(VLOOKUP(G446,PRODUCTOS!$A:$B,2,0),"!COD NO ENCONTRADO"),"")</f>
        <v>MERLUZA EUROPEA PINCHO</v>
      </c>
      <c r="I446" s="77" t="n">
        <v>5</v>
      </c>
      <c r="J446" s="78" t="n">
        <v>30.6</v>
      </c>
      <c r="K446" s="79" t="n">
        <v>4.7</v>
      </c>
      <c r="L446" s="80" t="n">
        <f aca="false">IF(AND(J446&lt;&gt;"",K446&lt;&gt;""),J446*K446,"")</f>
        <v>143.82</v>
      </c>
      <c r="M446" s="81" t="n">
        <f aca="false">IF(L446&lt;&gt;"",L446*1.1,"")</f>
        <v>158.202</v>
      </c>
      <c r="N446" s="53" t="n">
        <f aca="false">IF(F446="S",L446*0.02,0)</f>
        <v>0</v>
      </c>
      <c r="O446" s="82" t="n">
        <f aca="false">IF(L446&lt;&gt;"",L446+N446,"")</f>
        <v>143.82</v>
      </c>
      <c r="P446" s="53" t="n">
        <f aca="false">IF(O446&lt;&gt;"",O446*0.1,"")</f>
        <v>14.382</v>
      </c>
      <c r="Q446" s="83" t="n">
        <f aca="false">IF(O446&lt;&gt;"",O446+P446,"")</f>
        <v>158.202</v>
      </c>
      <c r="R446" s="84"/>
    </row>
    <row r="447" customFormat="false" ht="15" hidden="false" customHeight="true" outlineLevel="0" collapsed="false">
      <c r="A447" s="103" t="n">
        <v>55909</v>
      </c>
      <c r="B447" s="85" t="n">
        <v>46203</v>
      </c>
      <c r="C447" s="86"/>
      <c r="D447" s="87" t="n">
        <v>50035</v>
      </c>
      <c r="E447" s="46" t="str">
        <f aca="false">IF(D447&lt;&gt;"",IFERROR(VLOOKUP(D447,PROVEEDORES!$A:$B,2,0),"!COD NO ENCONTRADO"),"")</f>
        <v>SCANFISK SEAFFOD S,L</v>
      </c>
      <c r="F447" s="88" t="str">
        <f aca="false">IF(D447&lt;&gt;"",IFERROR(VLOOKUP(D447,PROVEEDORES!$A:$C,3,0),""),"")</f>
        <v>N</v>
      </c>
      <c r="G447" s="87" t="s">
        <v>235</v>
      </c>
      <c r="H447" s="46" t="str">
        <f aca="false">IF(G447&lt;&gt;"",IFERROR(VLOOKUP(G447,PRODUCTOS!$A:$B,2,0),"!COD NO ENCONTRADO"),"")</f>
        <v>MERLUZA EUROPEA VOLANTA COSTA</v>
      </c>
      <c r="I447" s="89" t="n">
        <v>1</v>
      </c>
      <c r="J447" s="90" t="n">
        <v>15.2</v>
      </c>
      <c r="K447" s="91" t="n">
        <v>8.7</v>
      </c>
      <c r="L447" s="80" t="n">
        <f aca="false">IF(AND(J447&lt;&gt;"",K447&lt;&gt;""),J447*K447,"")</f>
        <v>132.24</v>
      </c>
      <c r="M447" s="81" t="n">
        <f aca="false">IF(L447&lt;&gt;"",L447*1.1,"")</f>
        <v>145.464</v>
      </c>
      <c r="N447" s="47" t="n">
        <f aca="false">IF(F447="S",L447*0.02,0)</f>
        <v>0</v>
      </c>
      <c r="O447" s="82" t="n">
        <f aca="false">IF(L447&lt;&gt;"",L447+N447,"")</f>
        <v>132.24</v>
      </c>
      <c r="P447" s="47" t="n">
        <f aca="false">IF(O447&lt;&gt;"",O447*0.1,"")</f>
        <v>13.224</v>
      </c>
      <c r="Q447" s="83" t="n">
        <f aca="false">IF(O447&lt;&gt;"",O447+P447,"")</f>
        <v>145.464</v>
      </c>
      <c r="R447" s="84"/>
    </row>
    <row r="448" customFormat="false" ht="15" hidden="false" customHeight="true" outlineLevel="0" collapsed="false">
      <c r="A448" s="103" t="n">
        <v>55910</v>
      </c>
      <c r="B448" s="73" t="n">
        <v>46204</v>
      </c>
      <c r="C448" s="74" t="n">
        <v>17907</v>
      </c>
      <c r="D448" s="75" t="n">
        <v>50163</v>
      </c>
      <c r="E448" s="52" t="str">
        <f aca="false">IF(D448&lt;&gt;"",IFERROR(VLOOKUP(D448,PROVEEDORES!$A:$B,2,0),"!COD NO ENCONTRADO"),"")</f>
        <v>SUBASTAS RIVERA S.L.</v>
      </c>
      <c r="F448" s="76" t="str">
        <f aca="false">IF(D448&lt;&gt;"",IFERROR(VLOOKUP(D448,PROVEEDORES!$A:$C,3,0),""),"")</f>
        <v>S</v>
      </c>
      <c r="G448" s="75" t="s">
        <v>167</v>
      </c>
      <c r="H448" s="52" t="str">
        <f aca="false">IF(G448&lt;&gt;"",IFERROR(VLOOKUP(G448,PRODUCTOS!$A:$B,2,0),"!COD NO ENCONTRADO"),"")</f>
        <v>HUEVAS DE MERLUZA </v>
      </c>
      <c r="I448" s="77" t="n">
        <v>1</v>
      </c>
      <c r="J448" s="78" t="n">
        <v>8.5</v>
      </c>
      <c r="K448" s="79" t="n">
        <v>13.4</v>
      </c>
      <c r="L448" s="80" t="n">
        <f aca="false">IF(AND(J448&lt;&gt;"",K448&lt;&gt;""),J448*K448,"")</f>
        <v>113.9</v>
      </c>
      <c r="M448" s="81" t="n">
        <f aca="false">IF(L448&lt;&gt;"",L448*1.1,"")</f>
        <v>125.29</v>
      </c>
      <c r="N448" s="53" t="n">
        <f aca="false">IF(F448="S",L448*0.02,0)</f>
        <v>2.278</v>
      </c>
      <c r="O448" s="82" t="n">
        <f aca="false">IF(L448&lt;&gt;"",L448+N448,"")</f>
        <v>116.178</v>
      </c>
      <c r="P448" s="53" t="n">
        <f aca="false">IF(O448&lt;&gt;"",O448*0.1,"")</f>
        <v>11.6178</v>
      </c>
      <c r="Q448" s="83" t="n">
        <f aca="false">IF(O448&lt;&gt;"",O448+P448,"")</f>
        <v>127.7958</v>
      </c>
      <c r="R448" s="84"/>
    </row>
    <row r="449" customFormat="false" ht="15" hidden="false" customHeight="true" outlineLevel="0" collapsed="false">
      <c r="A449" s="103" t="n">
        <v>55910</v>
      </c>
      <c r="B449" s="73" t="n">
        <v>46204</v>
      </c>
      <c r="C449" s="74" t="n">
        <v>17907</v>
      </c>
      <c r="D449" s="75" t="n">
        <v>50163</v>
      </c>
      <c r="E449" s="52" t="str">
        <f aca="false">IF(D449&lt;&gt;"",IFERROR(VLOOKUP(D449,PROVEEDORES!$A:$B,2,0),"!COD NO ENCONTRADO"),"")</f>
        <v>SUBASTAS RIVERA S.L.</v>
      </c>
      <c r="F449" s="76" t="str">
        <f aca="false">IF(D449&lt;&gt;"",IFERROR(VLOOKUP(D449,PROVEEDORES!$A:$C,3,0),""),"")</f>
        <v>S</v>
      </c>
      <c r="G449" s="75" t="s">
        <v>332</v>
      </c>
      <c r="H449" s="52" t="str">
        <f aca="false">IF(G449&lt;&gt;"",IFERROR(VLOOKUP(G449,PRODUCTOS!$A:$B,2,0),"!COD NO ENCONTRADO"),"")</f>
        <v>VARIADO PEQUEÑO</v>
      </c>
      <c r="I449" s="77" t="n">
        <v>1</v>
      </c>
      <c r="J449" s="78" t="n">
        <v>3.5</v>
      </c>
      <c r="K449" s="79" t="n">
        <v>0.6</v>
      </c>
      <c r="L449" s="80" t="n">
        <f aca="false">IF(AND(J449&lt;&gt;"",K449&lt;&gt;""),J449*K449,"")</f>
        <v>2.1</v>
      </c>
      <c r="M449" s="81" t="n">
        <f aca="false">IF(L449&lt;&gt;"",L449*1.1,"")</f>
        <v>2.31</v>
      </c>
      <c r="N449" s="53" t="n">
        <f aca="false">IF(F449="S",L449*0.02,0)</f>
        <v>0.042</v>
      </c>
      <c r="O449" s="82" t="n">
        <f aca="false">IF(L449&lt;&gt;"",L449+N449,"")</f>
        <v>2.142</v>
      </c>
      <c r="P449" s="53" t="n">
        <f aca="false">IF(O449&lt;&gt;"",O449*0.1,"")</f>
        <v>0.2142</v>
      </c>
      <c r="Q449" s="83" t="n">
        <f aca="false">IF(O449&lt;&gt;"",O449+P449,"")</f>
        <v>2.3562</v>
      </c>
      <c r="R449" s="84"/>
    </row>
    <row r="450" customFormat="false" ht="15" hidden="false" customHeight="true" outlineLevel="0" collapsed="false">
      <c r="A450" s="103" t="n">
        <v>55910</v>
      </c>
      <c r="B450" s="73" t="n">
        <v>46204</v>
      </c>
      <c r="C450" s="74" t="n">
        <v>17907</v>
      </c>
      <c r="D450" s="75" t="n">
        <v>50163</v>
      </c>
      <c r="E450" s="52" t="str">
        <f aca="false">IF(D450&lt;&gt;"",IFERROR(VLOOKUP(D450,PROVEEDORES!$A:$B,2,0),"!COD NO ENCONTRADO"),"")</f>
        <v>SUBASTAS RIVERA S.L.</v>
      </c>
      <c r="F450" s="76" t="str">
        <f aca="false">IF(D450&lt;&gt;"",IFERROR(VLOOKUP(D450,PROVEEDORES!$A:$C,3,0),""),"")</f>
        <v>S</v>
      </c>
      <c r="G450" s="75" t="s">
        <v>85</v>
      </c>
      <c r="H450" s="52" t="str">
        <f aca="false">IF(G450&lt;&gt;"",IFERROR(VLOOKUP(G450,PRODUCTOS!$A:$B,2,0),"!COD NO ENCONTRADO"),"")</f>
        <v>BICUDO/ALIGOTE (SBA)</v>
      </c>
      <c r="I450" s="77" t="n">
        <v>2</v>
      </c>
      <c r="J450" s="78" t="n">
        <v>16.5</v>
      </c>
      <c r="K450" s="79" t="n">
        <v>7</v>
      </c>
      <c r="L450" s="80" t="n">
        <f aca="false">IF(AND(J450&lt;&gt;"",K450&lt;&gt;""),J450*K450,"")</f>
        <v>115.5</v>
      </c>
      <c r="M450" s="81" t="n">
        <f aca="false">IF(L450&lt;&gt;"",L450*1.1,"")</f>
        <v>127.05</v>
      </c>
      <c r="N450" s="53" t="n">
        <f aca="false">IF(F450="S",L450*0.02,0)</f>
        <v>2.31</v>
      </c>
      <c r="O450" s="82" t="n">
        <f aca="false">IF(L450&lt;&gt;"",L450+N450,"")</f>
        <v>117.81</v>
      </c>
      <c r="P450" s="53" t="n">
        <f aca="false">IF(O450&lt;&gt;"",O450*0.1,"")</f>
        <v>11.781</v>
      </c>
      <c r="Q450" s="83" t="n">
        <f aca="false">IF(O450&lt;&gt;"",O450+P450,"")</f>
        <v>129.591</v>
      </c>
      <c r="R450" s="84"/>
    </row>
    <row r="451" customFormat="false" ht="15" hidden="false" customHeight="true" outlineLevel="0" collapsed="false">
      <c r="A451" s="103" t="n">
        <v>55910</v>
      </c>
      <c r="B451" s="73" t="n">
        <v>46204</v>
      </c>
      <c r="C451" s="74" t="n">
        <v>17907</v>
      </c>
      <c r="D451" s="75" t="n">
        <v>50163</v>
      </c>
      <c r="E451" s="52" t="str">
        <f aca="false">IF(D451&lt;&gt;"",IFERROR(VLOOKUP(D451,PROVEEDORES!$A:$B,2,0),"!COD NO ENCONTRADO"),"")</f>
        <v>SUBASTAS RIVERA S.L.</v>
      </c>
      <c r="F451" s="76" t="str">
        <f aca="false">IF(D451&lt;&gt;"",IFERROR(VLOOKUP(D451,PROVEEDORES!$A:$C,3,0),""),"")</f>
        <v>S</v>
      </c>
      <c r="G451" s="75" t="s">
        <v>316</v>
      </c>
      <c r="H451" s="52" t="str">
        <f aca="false">IF(G451&lt;&gt;"",IFERROR(VLOOKUP(G451,PRODUCTOS!$A:$B,2,0),"!COD NO ENCONTRADO"),"")</f>
        <v>SALMONETE ROCA (MUR)</v>
      </c>
      <c r="I451" s="77" t="n">
        <v>1</v>
      </c>
      <c r="J451" s="78" t="n">
        <v>1.9</v>
      </c>
      <c r="K451" s="79" t="n">
        <v>13.5</v>
      </c>
      <c r="L451" s="80" t="n">
        <f aca="false">IF(AND(J451&lt;&gt;"",K451&lt;&gt;""),J451*K451,"")</f>
        <v>25.65</v>
      </c>
      <c r="M451" s="81" t="n">
        <f aca="false">IF(L451&lt;&gt;"",L451*1.1,"")</f>
        <v>28.215</v>
      </c>
      <c r="N451" s="53" t="n">
        <f aca="false">IF(F451="S",L451*0.02,0)</f>
        <v>0.513</v>
      </c>
      <c r="O451" s="82" t="n">
        <f aca="false">IF(L451&lt;&gt;"",L451+N451,"")</f>
        <v>26.163</v>
      </c>
      <c r="P451" s="53" t="n">
        <f aca="false">IF(O451&lt;&gt;"",O451*0.1,"")</f>
        <v>2.6163</v>
      </c>
      <c r="Q451" s="83" t="n">
        <f aca="false">IF(O451&lt;&gt;"",O451+P451,"")</f>
        <v>28.7793</v>
      </c>
      <c r="R451" s="84"/>
    </row>
    <row r="452" customFormat="false" ht="15" hidden="false" customHeight="true" outlineLevel="0" collapsed="false">
      <c r="A452" s="103" t="n">
        <v>55910</v>
      </c>
      <c r="B452" s="85" t="n">
        <v>46204</v>
      </c>
      <c r="C452" s="86" t="n">
        <v>17907</v>
      </c>
      <c r="D452" s="87" t="n">
        <v>50163</v>
      </c>
      <c r="E452" s="46" t="str">
        <f aca="false">IF(D452&lt;&gt;"",IFERROR(VLOOKUP(D452,PROVEEDORES!$A:$B,2,0),"!COD NO ENCONTRADO"),"")</f>
        <v>SUBASTAS RIVERA S.L.</v>
      </c>
      <c r="F452" s="88" t="str">
        <f aca="false">IF(D452&lt;&gt;"",IFERROR(VLOOKUP(D452,PROVEEDORES!$A:$C,3,0),""),"")</f>
        <v>S</v>
      </c>
      <c r="G452" s="87" t="s">
        <v>316</v>
      </c>
      <c r="H452" s="46" t="str">
        <f aca="false">IF(G452&lt;&gt;"",IFERROR(VLOOKUP(G452,PRODUCTOS!$A:$B,2,0),"!COD NO ENCONTRADO"),"")</f>
        <v>SALMONETE ROCA (MUR)</v>
      </c>
      <c r="I452" s="89" t="n">
        <v>1</v>
      </c>
      <c r="J452" s="90" t="n">
        <v>1.5</v>
      </c>
      <c r="K452" s="91" t="n">
        <v>13.6</v>
      </c>
      <c r="L452" s="80" t="n">
        <f aca="false">IF(AND(J452&lt;&gt;"",K452&lt;&gt;""),J452*K452,"")</f>
        <v>20.4</v>
      </c>
      <c r="M452" s="81" t="n">
        <f aca="false">IF(L452&lt;&gt;"",L452*1.1,"")</f>
        <v>22.44</v>
      </c>
      <c r="N452" s="47" t="n">
        <f aca="false">IF(F452="S",L452*0.02,0)</f>
        <v>0.408</v>
      </c>
      <c r="O452" s="82" t="n">
        <f aca="false">IF(L452&lt;&gt;"",L452+N452,"")</f>
        <v>20.808</v>
      </c>
      <c r="P452" s="47" t="n">
        <f aca="false">IF(O452&lt;&gt;"",O452*0.1,"")</f>
        <v>2.0808</v>
      </c>
      <c r="Q452" s="83" t="n">
        <f aca="false">IF(O452&lt;&gt;"",O452+P452,"")</f>
        <v>22.8888</v>
      </c>
      <c r="R452" s="84"/>
    </row>
    <row r="453" customFormat="false" ht="15" hidden="false" customHeight="true" outlineLevel="0" collapsed="false">
      <c r="A453" s="103" t="n">
        <v>55910</v>
      </c>
      <c r="B453" s="73" t="n">
        <v>46204</v>
      </c>
      <c r="C453" s="74" t="n">
        <v>17907</v>
      </c>
      <c r="D453" s="75" t="n">
        <v>50163</v>
      </c>
      <c r="E453" s="52" t="str">
        <f aca="false">IF(D453&lt;&gt;"",IFERROR(VLOOKUP(D453,PROVEEDORES!$A:$B,2,0),"!COD NO ENCONTRADO"),"")</f>
        <v>SUBASTAS RIVERA S.L.</v>
      </c>
      <c r="F453" s="76" t="str">
        <f aca="false">IF(D453&lt;&gt;"",IFERROR(VLOOKUP(D453,PROVEEDORES!$A:$C,3,0),""),"")</f>
        <v>S</v>
      </c>
      <c r="G453" s="75" t="s">
        <v>133</v>
      </c>
      <c r="H453" s="52" t="str">
        <f aca="false">IF(G453&lt;&gt;"",IFERROR(VLOOKUP(G453,PRODUCTOS!$A:$B,2,0),"!COD NO ENCONTRADO"),"")</f>
        <v>CINTAS/ PEZ CINTA (CBC)</v>
      </c>
      <c r="I453" s="77" t="n">
        <f aca="false">17.25+19.25+15.25+15+17+15.75+15.5+14.75+15.25</f>
        <v>145</v>
      </c>
      <c r="J453" s="78" t="n">
        <v>145.5</v>
      </c>
      <c r="K453" s="79" t="n">
        <v>2.5</v>
      </c>
      <c r="L453" s="80" t="n">
        <f aca="false">IF(AND(J453&lt;&gt;"",K453&lt;&gt;""),J453*K453,"")</f>
        <v>363.75</v>
      </c>
      <c r="M453" s="81" t="n">
        <f aca="false">IF(L453&lt;&gt;"",L453*1.1,"")</f>
        <v>400.125</v>
      </c>
      <c r="N453" s="53" t="n">
        <f aca="false">IF(F453="S",L453*0.02,0)</f>
        <v>7.275</v>
      </c>
      <c r="O453" s="82" t="n">
        <f aca="false">IF(L453&lt;&gt;"",L453+N453,"")</f>
        <v>371.025</v>
      </c>
      <c r="P453" s="53" t="n">
        <f aca="false">IF(O453&lt;&gt;"",O453*0.1,"")</f>
        <v>37.1025</v>
      </c>
      <c r="Q453" s="83" t="n">
        <f aca="false">IF(O453&lt;&gt;"",O453+P453,"")</f>
        <v>408.1275</v>
      </c>
      <c r="R453" s="84"/>
    </row>
    <row r="454" customFormat="false" ht="15" hidden="false" customHeight="true" outlineLevel="0" collapsed="false">
      <c r="A454" s="103" t="n">
        <v>55911</v>
      </c>
      <c r="B454" s="85" t="n">
        <v>46204</v>
      </c>
      <c r="C454" s="86" t="n">
        <v>15422</v>
      </c>
      <c r="D454" s="87" t="n">
        <v>50160</v>
      </c>
      <c r="E454" s="46" t="str">
        <f aca="false">IF(D454&lt;&gt;"",IFERROR(VLOOKUP(D454,PROVEEDORES!$A:$B,2,0),"!COD NO ENCONTRADO"),"")</f>
        <v>SUBASTAS CORUÑA S.L.</v>
      </c>
      <c r="F454" s="88" t="str">
        <f aca="false">IF(D454&lt;&gt;"",IFERROR(VLOOKUP(D454,PROVEEDORES!$A:$C,3,0),""),"")</f>
        <v>S</v>
      </c>
      <c r="G454" s="87" t="s">
        <v>167</v>
      </c>
      <c r="H454" s="46" t="str">
        <f aca="false">IF(G454&lt;&gt;"",IFERROR(VLOOKUP(G454,PRODUCTOS!$A:$B,2,0),"!COD NO ENCONTRADO"),"")</f>
        <v>HUEVAS DE MERLUZA </v>
      </c>
      <c r="I454" s="89" t="n">
        <v>1</v>
      </c>
      <c r="J454" s="90" t="n">
        <v>2.5</v>
      </c>
      <c r="K454" s="91" t="n">
        <v>11.6</v>
      </c>
      <c r="L454" s="80" t="n">
        <f aca="false">IF(AND(J454&lt;&gt;"",K454&lt;&gt;""),J454*K454,"")</f>
        <v>29</v>
      </c>
      <c r="M454" s="81" t="n">
        <f aca="false">IF(L454&lt;&gt;"",L454*1.1,"")</f>
        <v>31.9</v>
      </c>
      <c r="N454" s="47" t="n">
        <f aca="false">IF(F454="S",L454*0.02,0)</f>
        <v>0.58</v>
      </c>
      <c r="O454" s="82" t="n">
        <f aca="false">IF(L454&lt;&gt;"",L454+N454,"")</f>
        <v>29.58</v>
      </c>
      <c r="P454" s="47" t="n">
        <f aca="false">IF(O454&lt;&gt;"",O454*0.1,"")</f>
        <v>2.958</v>
      </c>
      <c r="Q454" s="83" t="n">
        <f aca="false">IF(O454&lt;&gt;"",O454+P454,"")</f>
        <v>32.538</v>
      </c>
      <c r="R454" s="84"/>
    </row>
    <row r="455" customFormat="false" ht="15" hidden="false" customHeight="true" outlineLevel="0" collapsed="false">
      <c r="A455" s="103" t="n">
        <v>55911</v>
      </c>
      <c r="B455" s="85" t="n">
        <v>46204</v>
      </c>
      <c r="C455" s="86" t="n">
        <v>15347</v>
      </c>
      <c r="D455" s="87" t="n">
        <v>50160</v>
      </c>
      <c r="E455" s="46" t="str">
        <f aca="false">IF(D455&lt;&gt;"",IFERROR(VLOOKUP(D455,PROVEEDORES!$A:$B,2,0),"!COD NO ENCONTRADO"),"")</f>
        <v>SUBASTAS CORUÑA S.L.</v>
      </c>
      <c r="F455" s="88" t="str">
        <f aca="false">IF(D455&lt;&gt;"",IFERROR(VLOOKUP(D455,PROVEEDORES!$A:$C,3,0),""),"")</f>
        <v>S</v>
      </c>
      <c r="G455" s="87" t="s">
        <v>332</v>
      </c>
      <c r="H455" s="46" t="str">
        <f aca="false">IF(G455&lt;&gt;"",IFERROR(VLOOKUP(G455,PRODUCTOS!$A:$B,2,0),"!COD NO ENCONTRADO"),"")</f>
        <v>VARIADO PEQUEÑO</v>
      </c>
      <c r="I455" s="89" t="n">
        <v>13</v>
      </c>
      <c r="J455" s="90" t="n">
        <f aca="false">6.25+6.75+12+5.75+4.5+6.5+6.25+6.5+5.75+5.5+5.75+6.75</f>
        <v>78.25</v>
      </c>
      <c r="K455" s="91" t="n">
        <v>0.5</v>
      </c>
      <c r="L455" s="80" t="n">
        <f aca="false">IF(AND(J455&lt;&gt;"",K455&lt;&gt;""),J455*K455,"")</f>
        <v>39.125</v>
      </c>
      <c r="M455" s="81" t="n">
        <f aca="false">IF(L455&lt;&gt;"",L455*1.1,"")</f>
        <v>43.0375</v>
      </c>
      <c r="N455" s="47" t="n">
        <f aca="false">IF(F455="S",L455*0.02,0)</f>
        <v>0.7825</v>
      </c>
      <c r="O455" s="82" t="n">
        <f aca="false">IF(L455&lt;&gt;"",L455+N455,"")</f>
        <v>39.9075</v>
      </c>
      <c r="P455" s="47" t="n">
        <f aca="false">IF(O455&lt;&gt;"",O455*0.1,"")</f>
        <v>3.99075</v>
      </c>
      <c r="Q455" s="83" t="n">
        <f aca="false">IF(O455&lt;&gt;"",O455+P455,"")</f>
        <v>43.89825</v>
      </c>
      <c r="R455" s="84"/>
    </row>
    <row r="456" customFormat="false" ht="15" hidden="false" customHeight="true" outlineLevel="0" collapsed="false">
      <c r="A456" s="103" t="n">
        <v>55911</v>
      </c>
      <c r="B456" s="73" t="n">
        <v>46204</v>
      </c>
      <c r="C456" s="74"/>
      <c r="D456" s="75" t="n">
        <v>50160</v>
      </c>
      <c r="E456" s="52" t="str">
        <f aca="false">IF(D456&lt;&gt;"",IFERROR(VLOOKUP(D456,PROVEEDORES!$A:$B,2,0),"!COD NO ENCONTRADO"),"")</f>
        <v>SUBASTAS CORUÑA S.L.</v>
      </c>
      <c r="F456" s="76" t="str">
        <f aca="false">IF(D456&lt;&gt;"",IFERROR(VLOOKUP(D456,PROVEEDORES!$A:$C,3,0),""),"")</f>
        <v>S</v>
      </c>
      <c r="G456" s="75" t="s">
        <v>179</v>
      </c>
      <c r="H456" s="52" t="str">
        <f aca="false">IF(G456&lt;&gt;"",IFERROR(VLOOKUP(G456,PRODUCTOS!$A:$B,2,0),"!COD NO ENCONTRADO"),"")</f>
        <v>LIRIO/ BACALADILLA/ PERLA (WHB)</v>
      </c>
      <c r="I456" s="77" t="n">
        <v>13</v>
      </c>
      <c r="J456" s="78" t="n">
        <v>100</v>
      </c>
      <c r="K456" s="79" t="n">
        <v>1.33</v>
      </c>
      <c r="L456" s="80" t="n">
        <f aca="false">IF(AND(J456&lt;&gt;"",K456&lt;&gt;""),J456*K456,"")</f>
        <v>133</v>
      </c>
      <c r="M456" s="81" t="n">
        <f aca="false">IF(L456&lt;&gt;"",L456*1.1,"")</f>
        <v>146.3</v>
      </c>
      <c r="N456" s="53" t="n">
        <f aca="false">IF(F456="S",L456*0.02,0)</f>
        <v>2.66</v>
      </c>
      <c r="O456" s="82" t="n">
        <f aca="false">IF(L456&lt;&gt;"",L456+N456,"")</f>
        <v>135.66</v>
      </c>
      <c r="P456" s="53" t="n">
        <f aca="false">IF(O456&lt;&gt;"",O456*0.1,"")</f>
        <v>13.566</v>
      </c>
      <c r="Q456" s="83" t="n">
        <f aca="false">IF(O456&lt;&gt;"",O456+P456,"")</f>
        <v>149.226</v>
      </c>
      <c r="R456" s="84"/>
    </row>
    <row r="457" customFormat="false" ht="15" hidden="false" customHeight="true" outlineLevel="0" collapsed="false">
      <c r="A457" s="103" t="n">
        <v>55911</v>
      </c>
      <c r="B457" s="73" t="n">
        <v>46204</v>
      </c>
      <c r="C457" s="74"/>
      <c r="D457" s="75" t="n">
        <v>50160</v>
      </c>
      <c r="E457" s="52" t="str">
        <f aca="false">IF(D457&lt;&gt;"",IFERROR(VLOOKUP(D457,PROVEEDORES!$A:$B,2,0),"!COD NO ENCONTRADO"),"")</f>
        <v>SUBASTAS CORUÑA S.L.</v>
      </c>
      <c r="F457" s="76" t="str">
        <f aca="false">IF(D457&lt;&gt;"",IFERROR(VLOOKUP(D457,PROVEEDORES!$A:$C,3,0),""),"")</f>
        <v>S</v>
      </c>
      <c r="G457" s="75" t="s">
        <v>179</v>
      </c>
      <c r="H457" s="52" t="str">
        <f aca="false">IF(G457&lt;&gt;"",IFERROR(VLOOKUP(G457,PRODUCTOS!$A:$B,2,0),"!COD NO ENCONTRADO"),"")</f>
        <v>LIRIO/ BACALADILLA/ PERLA (WHB)</v>
      </c>
      <c r="I457" s="77" t="n">
        <v>5</v>
      </c>
      <c r="J457" s="78" t="n">
        <v>50</v>
      </c>
      <c r="K457" s="79" t="n">
        <v>1.34</v>
      </c>
      <c r="L457" s="80" t="n">
        <f aca="false">IF(AND(J457&lt;&gt;"",K457&lt;&gt;""),J457*K457,"")</f>
        <v>67</v>
      </c>
      <c r="M457" s="81" t="n">
        <f aca="false">IF(L457&lt;&gt;"",L457*1.1,"")</f>
        <v>73.7</v>
      </c>
      <c r="N457" s="53" t="n">
        <f aca="false">IF(F457="S",L457*0.02,0)</f>
        <v>1.34</v>
      </c>
      <c r="O457" s="82" t="n">
        <f aca="false">IF(L457&lt;&gt;"",L457+N457,"")</f>
        <v>68.34</v>
      </c>
      <c r="P457" s="53" t="n">
        <f aca="false">IF(O457&lt;&gt;"",O457*0.1,"")</f>
        <v>6.834</v>
      </c>
      <c r="Q457" s="83" t="n">
        <f aca="false">IF(O457&lt;&gt;"",O457+P457,"")</f>
        <v>75.174</v>
      </c>
      <c r="R457" s="84"/>
    </row>
    <row r="458" customFormat="false" ht="15" hidden="false" customHeight="true" outlineLevel="0" collapsed="false">
      <c r="A458" s="103" t="n">
        <v>55912</v>
      </c>
      <c r="B458" s="73" t="n">
        <v>46204</v>
      </c>
      <c r="C458" s="74" t="n">
        <v>6604</v>
      </c>
      <c r="D458" s="75" t="n">
        <v>50010</v>
      </c>
      <c r="E458" s="52" t="str">
        <f aca="false">IF(D458&lt;&gt;"",IFERROR(VLOOKUP(D458,PROVEEDORES!$A:$B,2,0),"!COD NO ENCONTRADO"),"")</f>
        <v>PERFECTO MONTERO</v>
      </c>
      <c r="F458" s="76" t="str">
        <f aca="false">IF(D458&lt;&gt;"",IFERROR(VLOOKUP(D458,PROVEEDORES!$A:$C,3,0),""),"")</f>
        <v>S</v>
      </c>
      <c r="G458" s="75" t="s">
        <v>103</v>
      </c>
      <c r="H458" s="52" t="str">
        <f aca="false">IF(G458&lt;&gt;"",IFERROR(VLOOKUP(G458,PRODUCTOS!$A:$B,2,0),"!COD NO ENCONTRADO"),"")</f>
        <v>CABRAS/ GALLINETA (BRF)</v>
      </c>
      <c r="I458" s="77" t="n">
        <v>1</v>
      </c>
      <c r="J458" s="78" t="n">
        <v>0.8</v>
      </c>
      <c r="K458" s="79" t="n">
        <v>13</v>
      </c>
      <c r="L458" s="80" t="n">
        <f aca="false">IF(AND(J458&lt;&gt;"",K458&lt;&gt;""),J458*K458,"")</f>
        <v>10.4</v>
      </c>
      <c r="M458" s="81" t="n">
        <f aca="false">IF(L458&lt;&gt;"",L458*1.1,"")</f>
        <v>11.44</v>
      </c>
      <c r="N458" s="53" t="n">
        <f aca="false">IF(F458="S",L458*0.02,0)</f>
        <v>0.208</v>
      </c>
      <c r="O458" s="82" t="n">
        <f aca="false">IF(L458&lt;&gt;"",L458+N458,"")</f>
        <v>10.608</v>
      </c>
      <c r="P458" s="53" t="n">
        <f aca="false">IF(O458&lt;&gt;"",O458*0.1,"")</f>
        <v>1.0608</v>
      </c>
      <c r="Q458" s="83" t="n">
        <f aca="false">IF(O458&lt;&gt;"",O458+P458,"")</f>
        <v>11.6688</v>
      </c>
      <c r="R458" s="84"/>
    </row>
    <row r="459" customFormat="false" ht="15" hidden="false" customHeight="true" outlineLevel="0" collapsed="false">
      <c r="A459" s="103" t="n">
        <v>55912</v>
      </c>
      <c r="B459" s="85" t="n">
        <v>46204</v>
      </c>
      <c r="C459" s="86" t="n">
        <v>6604</v>
      </c>
      <c r="D459" s="87" t="n">
        <v>50010</v>
      </c>
      <c r="E459" s="46" t="str">
        <f aca="false">IF(D459&lt;&gt;"",IFERROR(VLOOKUP(D459,PROVEEDORES!$A:$B,2,0),"!COD NO ENCONTRADO"),"")</f>
        <v>PERFECTO MONTERO</v>
      </c>
      <c r="F459" s="88" t="str">
        <f aca="false">IF(D459&lt;&gt;"",IFERROR(VLOOKUP(D459,PROVEEDORES!$A:$C,3,0),""),"")</f>
        <v>S</v>
      </c>
      <c r="G459" s="87" t="s">
        <v>103</v>
      </c>
      <c r="H459" s="46" t="str">
        <f aca="false">IF(G459&lt;&gt;"",IFERROR(VLOOKUP(G459,PRODUCTOS!$A:$B,2,0),"!COD NO ENCONTRADO"),"")</f>
        <v>CABRAS/ GALLINETA (BRF)</v>
      </c>
      <c r="I459" s="89" t="n">
        <v>1</v>
      </c>
      <c r="J459" s="90" t="n">
        <v>1.3</v>
      </c>
      <c r="K459" s="91" t="n">
        <v>10</v>
      </c>
      <c r="L459" s="80" t="n">
        <f aca="false">IF(AND(J459&lt;&gt;"",K459&lt;&gt;""),J459*K459,"")</f>
        <v>13</v>
      </c>
      <c r="M459" s="81" t="n">
        <f aca="false">IF(L459&lt;&gt;"",L459*1.1,"")</f>
        <v>14.3</v>
      </c>
      <c r="N459" s="47" t="n">
        <f aca="false">IF(F459="S",L459*0.02,0)</f>
        <v>0.26</v>
      </c>
      <c r="O459" s="82" t="n">
        <f aca="false">IF(L459&lt;&gt;"",L459+N459,"")</f>
        <v>13.26</v>
      </c>
      <c r="P459" s="47" t="n">
        <f aca="false">IF(O459&lt;&gt;"",O459*0.1,"")</f>
        <v>1.326</v>
      </c>
      <c r="Q459" s="83" t="n">
        <f aca="false">IF(O459&lt;&gt;"",O459+P459,"")</f>
        <v>14.586</v>
      </c>
      <c r="R459" s="84"/>
    </row>
    <row r="460" customFormat="false" ht="15" hidden="false" customHeight="true" outlineLevel="0" collapsed="false">
      <c r="A460" s="103" t="n">
        <v>55913</v>
      </c>
      <c r="B460" s="85" t="n">
        <v>46204</v>
      </c>
      <c r="C460" s="86" t="n">
        <v>9450</v>
      </c>
      <c r="D460" s="87" t="n">
        <v>50001</v>
      </c>
      <c r="E460" s="46" t="str">
        <f aca="false">IF(D460&lt;&gt;"",IFERROR(VLOOKUP(D460,PROVEEDORES!$A:$B,2,0),"!COD NO ENCONTRADO"),"")</f>
        <v>COPESA</v>
      </c>
      <c r="F460" s="88" t="str">
        <f aca="false">IF(D460&lt;&gt;"",IFERROR(VLOOKUP(D460,PROVEEDORES!$A:$C,3,0),""),"")</f>
        <v>S</v>
      </c>
      <c r="G460" s="87" t="s">
        <v>53</v>
      </c>
      <c r="H460" s="46" t="str">
        <f aca="false">IF(G460&lt;&gt;"",IFERROR(VLOOKUP(G460,PRODUCTOS!$A:$B,2,0),"!COD NO ENCONTRADO"),"")</f>
        <v>CABRAS PÑA</v>
      </c>
      <c r="I460" s="89" t="n">
        <v>7</v>
      </c>
      <c r="J460" s="90" t="n">
        <f aca="false">12+12+12.25+11.75+14.5+12.5+14</f>
        <v>89</v>
      </c>
      <c r="K460" s="91" t="n">
        <v>2.2</v>
      </c>
      <c r="L460" s="80" t="n">
        <f aca="false">IF(AND(J460&lt;&gt;"",K460&lt;&gt;""),J460*K460,"")</f>
        <v>195.8</v>
      </c>
      <c r="M460" s="81" t="n">
        <f aca="false">IF(L460&lt;&gt;"",L460*1.1,"")</f>
        <v>215.38</v>
      </c>
      <c r="N460" s="47" t="n">
        <f aca="false">IF(F460="S",L460*0.02,0)</f>
        <v>3.916</v>
      </c>
      <c r="O460" s="82" t="n">
        <f aca="false">IF(L460&lt;&gt;"",L460+N460,"")</f>
        <v>199.716</v>
      </c>
      <c r="P460" s="47" t="n">
        <f aca="false">IF(O460&lt;&gt;"",O460*0.1,"")</f>
        <v>19.9716</v>
      </c>
      <c r="Q460" s="83" t="n">
        <f aca="false">IF(O460&lt;&gt;"",O460+P460,"")</f>
        <v>219.6876</v>
      </c>
      <c r="R460" s="84"/>
    </row>
    <row r="461" customFormat="false" ht="15" hidden="false" customHeight="true" outlineLevel="0" collapsed="false">
      <c r="A461" s="103" t="n">
        <v>55913</v>
      </c>
      <c r="B461" s="73" t="n">
        <v>46204</v>
      </c>
      <c r="C461" s="74" t="n">
        <v>9450</v>
      </c>
      <c r="D461" s="75" t="n">
        <v>50001</v>
      </c>
      <c r="E461" s="52" t="str">
        <f aca="false">IF(D461&lt;&gt;"",IFERROR(VLOOKUP(D461,PROVEEDORES!$A:$B,2,0),"!COD NO ENCONTRADO"),"")</f>
        <v>COPESA</v>
      </c>
      <c r="F461" s="76" t="str">
        <f aca="false">IF(D461&lt;&gt;"",IFERROR(VLOOKUP(D461,PROVEEDORES!$A:$C,3,0),""),"")</f>
        <v>S</v>
      </c>
      <c r="G461" s="75" t="s">
        <v>79</v>
      </c>
      <c r="H461" s="52" t="str">
        <f aca="false">IF(G461&lt;&gt;"",IFERROR(VLOOKUP(G461,PRODUCTOS!$A:$B,2,0),"!COD NO ENCONTRADO"),"")</f>
        <v>BERTORELLA ROCA (FOR)</v>
      </c>
      <c r="I461" s="77" t="n">
        <v>2</v>
      </c>
      <c r="J461" s="78" t="n">
        <f aca="false">26.75+28.5</f>
        <v>55.25</v>
      </c>
      <c r="K461" s="79" t="n">
        <v>3</v>
      </c>
      <c r="L461" s="80" t="n">
        <f aca="false">IF(AND(J461&lt;&gt;"",K461&lt;&gt;""),J461*K461,"")</f>
        <v>165.75</v>
      </c>
      <c r="M461" s="81" t="n">
        <f aca="false">IF(L461&lt;&gt;"",L461*1.1,"")</f>
        <v>182.325</v>
      </c>
      <c r="N461" s="53" t="n">
        <f aca="false">IF(F461="S",L461*0.02,0)</f>
        <v>3.315</v>
      </c>
      <c r="O461" s="82" t="n">
        <f aca="false">IF(L461&lt;&gt;"",L461+N461,"")</f>
        <v>169.065</v>
      </c>
      <c r="P461" s="53" t="n">
        <f aca="false">IF(O461&lt;&gt;"",O461*0.1,"")</f>
        <v>16.9065</v>
      </c>
      <c r="Q461" s="83" t="n">
        <f aca="false">IF(O461&lt;&gt;"",O461+P461,"")</f>
        <v>185.9715</v>
      </c>
      <c r="R461" s="84"/>
    </row>
    <row r="462" customFormat="false" ht="15" hidden="false" customHeight="true" outlineLevel="0" collapsed="false">
      <c r="A462" s="103" t="n">
        <v>55913</v>
      </c>
      <c r="B462" s="85" t="n">
        <v>46204</v>
      </c>
      <c r="C462" s="86" t="n">
        <v>9450</v>
      </c>
      <c r="D462" s="87" t="n">
        <v>50001</v>
      </c>
      <c r="E462" s="46" t="str">
        <f aca="false">IF(D462&lt;&gt;"",IFERROR(VLOOKUP(D462,PROVEEDORES!$A:$B,2,0),"!COD NO ENCONTRADO"),"")</f>
        <v>COPESA</v>
      </c>
      <c r="F462" s="88" t="str">
        <f aca="false">IF(D462&lt;&gt;"",IFERROR(VLOOKUP(D462,PROVEEDORES!$A:$C,3,0),""),"")</f>
        <v>S</v>
      </c>
      <c r="G462" s="87" t="s">
        <v>79</v>
      </c>
      <c r="H462" s="46" t="str">
        <f aca="false">IF(G462&lt;&gt;"",IFERROR(VLOOKUP(G462,PRODUCTOS!$A:$B,2,0),"!COD NO ENCONTRADO"),"")</f>
        <v>BERTORELLA ROCA (FOR)</v>
      </c>
      <c r="I462" s="89" t="n">
        <v>4</v>
      </c>
      <c r="J462" s="90" t="n">
        <f aca="false">26.25+26.75+25.75+17.25</f>
        <v>96</v>
      </c>
      <c r="K462" s="91" t="n">
        <v>1.8</v>
      </c>
      <c r="L462" s="80" t="n">
        <f aca="false">IF(AND(J462&lt;&gt;"",K462&lt;&gt;""),J462*K462,"")</f>
        <v>172.8</v>
      </c>
      <c r="M462" s="81" t="n">
        <f aca="false">IF(L462&lt;&gt;"",L462*1.1,"")</f>
        <v>190.08</v>
      </c>
      <c r="N462" s="47" t="n">
        <f aca="false">IF(F462="S",L462*0.02,0)</f>
        <v>3.456</v>
      </c>
      <c r="O462" s="82" t="n">
        <f aca="false">IF(L462&lt;&gt;"",L462+N462,"")</f>
        <v>176.256</v>
      </c>
      <c r="P462" s="47" t="n">
        <f aca="false">IF(O462&lt;&gt;"",O462*0.1,"")</f>
        <v>17.6256</v>
      </c>
      <c r="Q462" s="83" t="n">
        <f aca="false">IF(O462&lt;&gt;"",O462+P462,"")</f>
        <v>193.8816</v>
      </c>
      <c r="R462" s="84"/>
    </row>
    <row r="463" customFormat="false" ht="15" hidden="false" customHeight="true" outlineLevel="0" collapsed="false">
      <c r="A463" s="103" t="n">
        <v>55913</v>
      </c>
      <c r="B463" s="73" t="n">
        <v>46204</v>
      </c>
      <c r="C463" s="74" t="n">
        <v>9450</v>
      </c>
      <c r="D463" s="75" t="n">
        <v>50001</v>
      </c>
      <c r="E463" s="52" t="str">
        <f aca="false">IF(D463&lt;&gt;"",IFERROR(VLOOKUP(D463,PROVEEDORES!$A:$B,2,0),"!COD NO ENCONTRADO"),"")</f>
        <v>COPESA</v>
      </c>
      <c r="F463" s="76" t="str">
        <f aca="false">IF(D463&lt;&gt;"",IFERROR(VLOOKUP(D463,PROVEEDORES!$A:$C,3,0),""),"")</f>
        <v>S</v>
      </c>
      <c r="G463" s="75" t="s">
        <v>294</v>
      </c>
      <c r="H463" s="52" t="str">
        <f aca="false">IF(G463&lt;&gt;"",IFERROR(VLOOKUP(G463,PRODUCTOS!$A:$B,2,0),"!COD NO ENCONTRADO"),"")</f>
        <v>RAPE BLANCO ARRASTRE (MON)</v>
      </c>
      <c r="I463" s="77" t="n">
        <v>6</v>
      </c>
      <c r="J463" s="78" t="n">
        <f aca="false">39.75+39.75+39.75+39+41.25+36.75</f>
        <v>236.25</v>
      </c>
      <c r="K463" s="79" t="n">
        <v>4.5</v>
      </c>
      <c r="L463" s="80" t="n">
        <f aca="false">IF(AND(J463&lt;&gt;"",K463&lt;&gt;""),J463*K463,"")</f>
        <v>1063.125</v>
      </c>
      <c r="M463" s="81" t="n">
        <f aca="false">IF(L463&lt;&gt;"",L463*1.1,"")</f>
        <v>1169.4375</v>
      </c>
      <c r="N463" s="53" t="n">
        <f aca="false">IF(F463="S",L463*0.02,0)</f>
        <v>21.2625</v>
      </c>
      <c r="O463" s="82" t="n">
        <f aca="false">IF(L463&lt;&gt;"",L463+N463,"")</f>
        <v>1084.3875</v>
      </c>
      <c r="P463" s="53" t="n">
        <f aca="false">IF(O463&lt;&gt;"",O463*0.1,"")</f>
        <v>108.43875</v>
      </c>
      <c r="Q463" s="83" t="n">
        <f aca="false">IF(O463&lt;&gt;"",O463+P463,"")</f>
        <v>1192.82625</v>
      </c>
      <c r="R463" s="84"/>
    </row>
    <row r="464" customFormat="false" ht="15" hidden="false" customHeight="true" outlineLevel="0" collapsed="false">
      <c r="A464" s="103" t="n">
        <v>55913</v>
      </c>
      <c r="B464" s="85" t="n">
        <v>46204</v>
      </c>
      <c r="C464" s="86" t="n">
        <v>9450</v>
      </c>
      <c r="D464" s="87" t="n">
        <v>50001</v>
      </c>
      <c r="E464" s="46" t="str">
        <f aca="false">IF(D464&lt;&gt;"",IFERROR(VLOOKUP(D464,PROVEEDORES!$A:$B,2,0),"!COD NO ENCONTRADO"),"")</f>
        <v>COPESA</v>
      </c>
      <c r="F464" s="88" t="str">
        <f aca="false">IF(D464&lt;&gt;"",IFERROR(VLOOKUP(D464,PROVEEDORES!$A:$C,3,0),""),"")</f>
        <v>S</v>
      </c>
      <c r="G464" s="87" t="s">
        <v>288</v>
      </c>
      <c r="H464" s="46" t="str">
        <f aca="false">IF(G464&lt;&gt;"",IFERROR(VLOOKUP(G464,PRODUCTOS!$A:$B,2,0),"!COD NO ENCONTRADO"),"")</f>
        <v>RAPE BLANCO DIA (MON)</v>
      </c>
      <c r="I464" s="89" t="n">
        <v>1</v>
      </c>
      <c r="J464" s="90" t="n">
        <v>10.25</v>
      </c>
      <c r="K464" s="91" t="n">
        <v>6.5</v>
      </c>
      <c r="L464" s="80" t="n">
        <f aca="false">IF(AND(J464&lt;&gt;"",K464&lt;&gt;""),J464*K464,"")</f>
        <v>66.625</v>
      </c>
      <c r="M464" s="81" t="n">
        <f aca="false">IF(L464&lt;&gt;"",L464*1.1,"")</f>
        <v>73.2875</v>
      </c>
      <c r="N464" s="47" t="n">
        <f aca="false">IF(F464="S",L464*0.02,0)</f>
        <v>1.3325</v>
      </c>
      <c r="O464" s="82" t="n">
        <f aca="false">IF(L464&lt;&gt;"",L464+N464,"")</f>
        <v>67.9575</v>
      </c>
      <c r="P464" s="47" t="n">
        <f aca="false">IF(O464&lt;&gt;"",O464*0.1,"")</f>
        <v>6.79575</v>
      </c>
      <c r="Q464" s="83" t="n">
        <f aca="false">IF(O464&lt;&gt;"",O464+P464,"")</f>
        <v>74.75325</v>
      </c>
      <c r="R464" s="84"/>
    </row>
    <row r="465" customFormat="false" ht="15" hidden="false" customHeight="true" outlineLevel="0" collapsed="false">
      <c r="A465" s="103" t="n">
        <v>55914</v>
      </c>
      <c r="B465" s="73" t="n">
        <v>46204</v>
      </c>
      <c r="C465" s="74"/>
      <c r="D465" s="75" t="n">
        <v>50152</v>
      </c>
      <c r="E465" s="52" t="str">
        <f aca="false">IF(D465&lt;&gt;"",IFERROR(VLOOKUP(D465,PROVEEDORES!$A:$B,2,0),"!COD NO ENCONTRADO"),"")</f>
        <v>DOMAR CORUÑA S.L</v>
      </c>
      <c r="F465" s="76" t="str">
        <f aca="false">IF(D465&lt;&gt;"",IFERROR(VLOOKUP(D465,PROVEEDORES!$A:$C,3,0),""),"")</f>
        <v>N</v>
      </c>
      <c r="G465" s="75" t="s">
        <v>125</v>
      </c>
      <c r="H465" s="52" t="str">
        <f aca="false">IF(G465&lt;&gt;"",IFERROR(VLOOKUP(G465,PRODUCTOS!$A:$B,2,0),"!COD NO ENCONTRADO"),"")</f>
        <v>CIGALA "3P" (NEP)</v>
      </c>
      <c r="I465" s="77" t="n">
        <v>2</v>
      </c>
      <c r="J465" s="78" t="n">
        <v>4</v>
      </c>
      <c r="K465" s="79" t="n">
        <v>17.5</v>
      </c>
      <c r="L465" s="80" t="n">
        <f aca="false">IF(AND(J465&lt;&gt;"",K465&lt;&gt;""),J465*K465,"")</f>
        <v>70</v>
      </c>
      <c r="M465" s="81" t="n">
        <f aca="false">IF(L465&lt;&gt;"",L465*1.1,"")</f>
        <v>77</v>
      </c>
      <c r="N465" s="53" t="n">
        <f aca="false">IF(F465="S",L465*0.02,0)</f>
        <v>0</v>
      </c>
      <c r="O465" s="82" t="n">
        <f aca="false">IF(L465&lt;&gt;"",L465+N465,"")</f>
        <v>70</v>
      </c>
      <c r="P465" s="53" t="n">
        <f aca="false">IF(O465&lt;&gt;"",O465*0.1,"")</f>
        <v>7</v>
      </c>
      <c r="Q465" s="83" t="n">
        <f aca="false">IF(O465&lt;&gt;"",O465+P465,"")</f>
        <v>77</v>
      </c>
      <c r="R465" s="84"/>
    </row>
    <row r="466" customFormat="false" ht="15" hidden="false" customHeight="true" outlineLevel="0" collapsed="false">
      <c r="A466" s="103" t="n">
        <v>55915</v>
      </c>
      <c r="B466" s="85" t="n">
        <v>46204</v>
      </c>
      <c r="C466" s="86"/>
      <c r="D466" s="87" t="n">
        <v>50164</v>
      </c>
      <c r="E466" s="46" t="str">
        <f aca="false">IF(D466&lt;&gt;"",IFERROR(VLOOKUP(D466,PROVEEDORES!$A:$B,2,0),"!COD NO ENCONTRADO"),"")</f>
        <v>ABRGO NORTE S.L.</v>
      </c>
      <c r="F466" s="88" t="str">
        <f aca="false">IF(D466&lt;&gt;"",IFERROR(VLOOKUP(D466,PROVEEDORES!$A:$C,3,0),""),"")</f>
        <v>N</v>
      </c>
      <c r="G466" s="87" t="s">
        <v>302</v>
      </c>
      <c r="H466" s="46" t="str">
        <f aca="false">IF(G466&lt;&gt;"",IFERROR(VLOOKUP(G466,PRODUCTOS!$A:$B,2,0),"!COD NO ENCONTRADO"),"")</f>
        <v>RAYA COMUN (ALAS)</v>
      </c>
      <c r="I466" s="89" t="n">
        <v>2</v>
      </c>
      <c r="J466" s="90" t="n">
        <v>6</v>
      </c>
      <c r="K466" s="91" t="n">
        <v>9</v>
      </c>
      <c r="L466" s="80" t="n">
        <f aca="false">IF(AND(J466&lt;&gt;"",K466&lt;&gt;""),J466*K466,"")</f>
        <v>54</v>
      </c>
      <c r="M466" s="81" t="n">
        <f aca="false">IF(L466&lt;&gt;"",L466*1.1,"")</f>
        <v>59.4</v>
      </c>
      <c r="N466" s="47" t="n">
        <f aca="false">IF(F466="S",L466*0.02,0)</f>
        <v>0</v>
      </c>
      <c r="O466" s="82" t="n">
        <f aca="false">IF(L466&lt;&gt;"",L466+N466,"")</f>
        <v>54</v>
      </c>
      <c r="P466" s="47" t="n">
        <f aca="false">IF(O466&lt;&gt;"",O466*0.1,"")</f>
        <v>5.4</v>
      </c>
      <c r="Q466" s="83" t="n">
        <f aca="false">IF(O466&lt;&gt;"",O466+P466,"")</f>
        <v>59.4</v>
      </c>
      <c r="R466" s="84"/>
    </row>
    <row r="467" customFormat="false" ht="15" hidden="false" customHeight="true" outlineLevel="0" collapsed="false">
      <c r="A467" s="103" t="n">
        <v>55916</v>
      </c>
      <c r="B467" s="85" t="n">
        <v>46204</v>
      </c>
      <c r="C467" s="86"/>
      <c r="D467" s="87" t="n">
        <v>50048</v>
      </c>
      <c r="E467" s="46" t="str">
        <f aca="false">IF(D467&lt;&gt;"",IFERROR(VLOOKUP(D467,PROVEEDORES!$A:$B,2,0),"!COD NO ENCONTRADO"),"")</f>
        <v>JOSE LUIS CORREA KESSLER S.L.</v>
      </c>
      <c r="F467" s="88" t="str">
        <f aca="false">IF(D467&lt;&gt;"",IFERROR(VLOOKUP(D467,PROVEEDORES!$A:$C,3,0),""),"")</f>
        <v>N</v>
      </c>
      <c r="G467" s="87" t="s">
        <v>179</v>
      </c>
      <c r="H467" s="46" t="str">
        <f aca="false">IF(G467&lt;&gt;"",IFERROR(VLOOKUP(G467,PRODUCTOS!$A:$B,2,0),"!COD NO ENCONTRADO"),"")</f>
        <v>LIRIO/ BACALADILLA/ PERLA (WHB)</v>
      </c>
      <c r="I467" s="89" t="n">
        <v>3</v>
      </c>
      <c r="J467" s="90" t="n">
        <v>18</v>
      </c>
      <c r="K467" s="91" t="n">
        <v>1.8</v>
      </c>
      <c r="L467" s="80" t="n">
        <f aca="false">IF(AND(J467&lt;&gt;"",K467&lt;&gt;""),J467*K467,"")</f>
        <v>32.4</v>
      </c>
      <c r="M467" s="81" t="n">
        <f aca="false">IF(L467&lt;&gt;"",L467*1.1,"")</f>
        <v>35.64</v>
      </c>
      <c r="N467" s="47" t="n">
        <f aca="false">IF(F467="S",L467*0.02,0)</f>
        <v>0</v>
      </c>
      <c r="O467" s="82" t="n">
        <f aca="false">IF(L467&lt;&gt;"",L467+N467,"")</f>
        <v>32.4</v>
      </c>
      <c r="P467" s="47" t="n">
        <f aca="false">IF(O467&lt;&gt;"",O467*0.1,"")</f>
        <v>3.24</v>
      </c>
      <c r="Q467" s="83" t="n">
        <f aca="false">IF(O467&lt;&gt;"",O467+P467,"")</f>
        <v>35.64</v>
      </c>
      <c r="R467" s="84"/>
    </row>
    <row r="468" customFormat="false" ht="15" hidden="false" customHeight="true" outlineLevel="0" collapsed="false">
      <c r="A468" s="103" t="n">
        <v>55917</v>
      </c>
      <c r="B468" s="73" t="n">
        <v>46204</v>
      </c>
      <c r="C468" s="74"/>
      <c r="D468" s="75" t="n">
        <v>50048</v>
      </c>
      <c r="E468" s="52" t="str">
        <f aca="false">IF(D468&lt;&gt;"",IFERROR(VLOOKUP(D468,PROVEEDORES!$A:$B,2,0),"!COD NO ENCONTRADO"),"")</f>
        <v>JOSE LUIS CORREA KESSLER S.L.</v>
      </c>
      <c r="F468" s="76" t="str">
        <f aca="false">IF(D468&lt;&gt;"",IFERROR(VLOOKUP(D468,PROVEEDORES!$A:$C,3,0),""),"")</f>
        <v>N</v>
      </c>
      <c r="G468" s="75" t="s">
        <v>179</v>
      </c>
      <c r="H468" s="52" t="str">
        <f aca="false">IF(G468&lt;&gt;"",IFERROR(VLOOKUP(G468,PRODUCTOS!$A:$B,2,0),"!COD NO ENCONTRADO"),"")</f>
        <v>LIRIO/ BACALADILLA/ PERLA (WHB)</v>
      </c>
      <c r="I468" s="77" t="n">
        <v>182</v>
      </c>
      <c r="J468" s="78" t="n">
        <v>1092</v>
      </c>
      <c r="K468" s="79" t="n">
        <v>1.45</v>
      </c>
      <c r="L468" s="80" t="n">
        <f aca="false">IF(AND(J468&lt;&gt;"",K468&lt;&gt;""),J468*K468,"")</f>
        <v>1583.4</v>
      </c>
      <c r="M468" s="81" t="n">
        <f aca="false">IF(L468&lt;&gt;"",L468*1.1,"")</f>
        <v>1741.74</v>
      </c>
      <c r="N468" s="53" t="n">
        <f aca="false">IF(F468="S",L468*0.02,0)</f>
        <v>0</v>
      </c>
      <c r="O468" s="82" t="n">
        <f aca="false">IF(L468&lt;&gt;"",L468+N468,"")</f>
        <v>1583.4</v>
      </c>
      <c r="P468" s="53" t="n">
        <f aca="false">IF(O468&lt;&gt;"",O468*0.1,"")</f>
        <v>158.34</v>
      </c>
      <c r="Q468" s="83" t="n">
        <f aca="false">IF(O468&lt;&gt;"",O468+P468,"")</f>
        <v>1741.74</v>
      </c>
      <c r="R468" s="84"/>
    </row>
    <row r="469" customFormat="false" ht="15" hidden="false" customHeight="true" outlineLevel="0" collapsed="false">
      <c r="A469" s="103" t="n">
        <v>55917</v>
      </c>
      <c r="B469" s="85" t="n">
        <v>46204</v>
      </c>
      <c r="C469" s="86"/>
      <c r="D469" s="87" t="n">
        <v>50048</v>
      </c>
      <c r="E469" s="46" t="str">
        <f aca="false">IF(D469&lt;&gt;"",IFERROR(VLOOKUP(D469,PROVEEDORES!$A:$B,2,0),"!COD NO ENCONTRADO"),"")</f>
        <v>JOSE LUIS CORREA KESSLER S.L.</v>
      </c>
      <c r="F469" s="88" t="str">
        <f aca="false">IF(D469&lt;&gt;"",IFERROR(VLOOKUP(D469,PROVEEDORES!$A:$C,3,0),""),"")</f>
        <v>N</v>
      </c>
      <c r="G469" s="87" t="s">
        <v>181</v>
      </c>
      <c r="H469" s="46" t="str">
        <f aca="false">IF(G469&lt;&gt;"",IFERROR(VLOOKUP(G469,PRODUCTOS!$A:$B,2,0),"!COD NO ENCONTRADO"),"")</f>
        <v>LIRIO EN FILETES</v>
      </c>
      <c r="I469" s="89" t="n">
        <v>10</v>
      </c>
      <c r="J469" s="90" t="n">
        <v>30</v>
      </c>
      <c r="K469" s="91" t="n">
        <v>4.5</v>
      </c>
      <c r="L469" s="80" t="n">
        <f aca="false">IF(AND(J469&lt;&gt;"",K469&lt;&gt;""),J469*K469,"")</f>
        <v>135</v>
      </c>
      <c r="M469" s="81" t="n">
        <f aca="false">IF(L469&lt;&gt;"",L469*1.1,"")</f>
        <v>148.5</v>
      </c>
      <c r="N469" s="47" t="n">
        <f aca="false">IF(F469="S",L469*0.02,0)</f>
        <v>0</v>
      </c>
      <c r="O469" s="82" t="n">
        <f aca="false">IF(L469&lt;&gt;"",L469+N469,"")</f>
        <v>135</v>
      </c>
      <c r="P469" s="47" t="n">
        <f aca="false">IF(O469&lt;&gt;"",O469*0.1,"")</f>
        <v>13.5</v>
      </c>
      <c r="Q469" s="83" t="n">
        <f aca="false">IF(O469&lt;&gt;"",O469+P469,"")</f>
        <v>148.5</v>
      </c>
      <c r="R469" s="84"/>
    </row>
    <row r="470" customFormat="false" ht="15" hidden="false" customHeight="true" outlineLevel="0" collapsed="false">
      <c r="A470" s="103" t="n">
        <v>55918</v>
      </c>
      <c r="B470" s="85" t="n">
        <v>46204</v>
      </c>
      <c r="C470" s="86"/>
      <c r="D470" s="87" t="n">
        <v>50035</v>
      </c>
      <c r="E470" s="46" t="str">
        <f aca="false">IF(D470&lt;&gt;"",IFERROR(VLOOKUP(D470,PROVEEDORES!$A:$B,2,0),"!COD NO ENCONTRADO"),"")</f>
        <v>SCANFISK SEAFFOD S,L</v>
      </c>
      <c r="F470" s="88" t="str">
        <f aca="false">IF(D470&lt;&gt;"",IFERROR(VLOOKUP(D470,PROVEEDORES!$A:$C,3,0),""),"")</f>
        <v>N</v>
      </c>
      <c r="G470" s="87" t="s">
        <v>209</v>
      </c>
      <c r="H470" s="46" t="str">
        <f aca="false">IF(G470&lt;&gt;"",IFERROR(VLOOKUP(G470,PRODUCTOS!$A:$B,2,0),"!COD NO ENCONTRADO"),"")</f>
        <v>MERLUZA EUROPEA PINCHO</v>
      </c>
      <c r="I470" s="89" t="n">
        <v>6</v>
      </c>
      <c r="J470" s="90" t="n">
        <v>103.5</v>
      </c>
      <c r="K470" s="91" t="n">
        <v>5.3</v>
      </c>
      <c r="L470" s="80" t="n">
        <f aca="false">IF(AND(J470&lt;&gt;"",K470&lt;&gt;""),J470*K470,"")</f>
        <v>548.55</v>
      </c>
      <c r="M470" s="81" t="n">
        <f aca="false">IF(L470&lt;&gt;"",L470*1.1,"")</f>
        <v>603.405</v>
      </c>
      <c r="N470" s="47" t="n">
        <f aca="false">IF(F470="S",L470*0.02,0)</f>
        <v>0</v>
      </c>
      <c r="O470" s="82" t="n">
        <f aca="false">IF(L470&lt;&gt;"",L470+N470,"")</f>
        <v>548.55</v>
      </c>
      <c r="P470" s="47" t="n">
        <f aca="false">IF(O470&lt;&gt;"",O470*0.1,"")</f>
        <v>54.855</v>
      </c>
      <c r="Q470" s="83" t="n">
        <f aca="false">IF(O470&lt;&gt;"",O470+P470,"")</f>
        <v>603.405</v>
      </c>
      <c r="R470" s="84"/>
    </row>
    <row r="471" customFormat="false" ht="15" hidden="false" customHeight="true" outlineLevel="0" collapsed="false">
      <c r="A471" s="103" t="n">
        <v>55918</v>
      </c>
      <c r="B471" s="73" t="n">
        <v>46204</v>
      </c>
      <c r="C471" s="74"/>
      <c r="D471" s="75" t="n">
        <v>50035</v>
      </c>
      <c r="E471" s="52" t="str">
        <f aca="false">IF(D471&lt;&gt;"",IFERROR(VLOOKUP(D471,PROVEEDORES!$A:$B,2,0),"!COD NO ENCONTRADO"),"")</f>
        <v>SCANFISK SEAFFOD S,L</v>
      </c>
      <c r="F471" s="76" t="str">
        <f aca="false">IF(D471&lt;&gt;"",IFERROR(VLOOKUP(D471,PROVEEDORES!$A:$C,3,0),""),"")</f>
        <v>N</v>
      </c>
      <c r="G471" s="75" t="s">
        <v>235</v>
      </c>
      <c r="H471" s="52" t="str">
        <f aca="false">IF(G471&lt;&gt;"",IFERROR(VLOOKUP(G471,PRODUCTOS!$A:$B,2,0),"!COD NO ENCONTRADO"),"")</f>
        <v>MERLUZA EUROPEA VOLANTA COSTA</v>
      </c>
      <c r="I471" s="77" t="n">
        <v>8</v>
      </c>
      <c r="J471" s="78" t="n">
        <v>49.8</v>
      </c>
      <c r="K471" s="79" t="n">
        <v>3.85</v>
      </c>
      <c r="L471" s="80" t="n">
        <f aca="false">IF(AND(J471&lt;&gt;"",K471&lt;&gt;""),J471*K471,"")</f>
        <v>191.73</v>
      </c>
      <c r="M471" s="81" t="n">
        <f aca="false">IF(L471&lt;&gt;"",L471*1.1,"")</f>
        <v>210.903</v>
      </c>
      <c r="N471" s="53" t="n">
        <f aca="false">IF(F471="S",L471*0.02,0)</f>
        <v>0</v>
      </c>
      <c r="O471" s="82" t="n">
        <f aca="false">IF(L471&lt;&gt;"",L471+N471,"")</f>
        <v>191.73</v>
      </c>
      <c r="P471" s="53" t="n">
        <f aca="false">IF(O471&lt;&gt;"",O471*0.1,"")</f>
        <v>19.173</v>
      </c>
      <c r="Q471" s="83" t="n">
        <f aca="false">IF(O471&lt;&gt;"",O471+P471,"")</f>
        <v>210.903</v>
      </c>
      <c r="R471" s="84"/>
    </row>
    <row r="472" customFormat="false" ht="15" hidden="false" customHeight="true" outlineLevel="0" collapsed="false">
      <c r="A472" s="103" t="n">
        <v>55918</v>
      </c>
      <c r="B472" s="85" t="n">
        <v>46204</v>
      </c>
      <c r="C472" s="86"/>
      <c r="D472" s="87" t="n">
        <v>50035</v>
      </c>
      <c r="E472" s="46" t="str">
        <f aca="false">IF(D472&lt;&gt;"",IFERROR(VLOOKUP(D472,PROVEEDORES!$A:$B,2,0),"!COD NO ENCONTRADO"),"")</f>
        <v>SCANFISK SEAFFOD S,L</v>
      </c>
      <c r="F472" s="88" t="str">
        <f aca="false">IF(D472&lt;&gt;"",IFERROR(VLOOKUP(D472,PROVEEDORES!$A:$C,3,0),""),"")</f>
        <v>N</v>
      </c>
      <c r="G472" s="87" t="s">
        <v>209</v>
      </c>
      <c r="H472" s="46" t="str">
        <f aca="false">IF(G472&lt;&gt;"",IFERROR(VLOOKUP(G472,PRODUCTOS!$A:$B,2,0),"!COD NO ENCONTRADO"),"")</f>
        <v>MERLUZA EUROPEA PINCHO</v>
      </c>
      <c r="I472" s="89" t="n">
        <v>4</v>
      </c>
      <c r="J472" s="90" t="n">
        <v>42</v>
      </c>
      <c r="K472" s="91" t="n">
        <v>9.8</v>
      </c>
      <c r="L472" s="80" t="n">
        <f aca="false">IF(AND(J472&lt;&gt;"",K472&lt;&gt;""),J472*K472,"")</f>
        <v>411.6</v>
      </c>
      <c r="M472" s="81" t="n">
        <f aca="false">IF(L472&lt;&gt;"",L472*1.1,"")</f>
        <v>452.76</v>
      </c>
      <c r="N472" s="47" t="n">
        <f aca="false">IF(F472="S",L472*0.02,0)</f>
        <v>0</v>
      </c>
      <c r="O472" s="82" t="n">
        <f aca="false">IF(L472&lt;&gt;"",L472+N472,"")</f>
        <v>411.6</v>
      </c>
      <c r="P472" s="47" t="n">
        <f aca="false">IF(O472&lt;&gt;"",O472*0.1,"")</f>
        <v>41.16</v>
      </c>
      <c r="Q472" s="83" t="n">
        <f aca="false">IF(O472&lt;&gt;"",O472+P472,"")</f>
        <v>452.76</v>
      </c>
      <c r="R472" s="84"/>
    </row>
    <row r="473" customFormat="false" ht="15" hidden="false" customHeight="true" outlineLevel="0" collapsed="false">
      <c r="A473" s="103" t="n">
        <v>55919</v>
      </c>
      <c r="B473" s="73" t="n">
        <v>46204</v>
      </c>
      <c r="C473" s="74"/>
      <c r="D473" s="75" t="n">
        <v>50232</v>
      </c>
      <c r="E473" s="52" t="str">
        <f aca="false">IF(D473&lt;&gt;"",IFERROR(VLOOKUP(D473,PROVEEDORES!$A:$B,2,0),"!COD NO ENCONTRADO"),"")</f>
        <v>XESTION NOVA LONXA RIVEIRA S.L.</v>
      </c>
      <c r="F473" s="76" t="str">
        <f aca="false">IF(D473&lt;&gt;"",IFERROR(VLOOKUP(D473,PROVEEDORES!$A:$C,3,0),""),"")</f>
        <v>S</v>
      </c>
      <c r="G473" s="75" t="s">
        <v>332</v>
      </c>
      <c r="H473" s="52" t="str">
        <f aca="false">IF(G473&lt;&gt;"",IFERROR(VLOOKUP(G473,PRODUCTOS!$A:$B,2,0),"!COD NO ENCONTRADO"),"")</f>
        <v>VARIADO PEQUEÑO</v>
      </c>
      <c r="I473" s="77" t="n">
        <v>1</v>
      </c>
      <c r="J473" s="78" t="n">
        <v>8.75</v>
      </c>
      <c r="K473" s="79" t="n">
        <v>1.5</v>
      </c>
      <c r="L473" s="80" t="n">
        <f aca="false">IF(AND(J473&lt;&gt;"",K473&lt;&gt;""),J473*K473,"")</f>
        <v>13.125</v>
      </c>
      <c r="M473" s="81" t="n">
        <f aca="false">IF(L473&lt;&gt;"",L473*1.1,"")</f>
        <v>14.4375</v>
      </c>
      <c r="N473" s="53" t="n">
        <f aca="false">IF(F473="S",L473*0.02,0)</f>
        <v>0.2625</v>
      </c>
      <c r="O473" s="82" t="n">
        <f aca="false">IF(L473&lt;&gt;"",L473+N473,"")</f>
        <v>13.3875</v>
      </c>
      <c r="P473" s="53" t="n">
        <f aca="false">IF(O473&lt;&gt;"",O473*0.1,"")</f>
        <v>1.33875</v>
      </c>
      <c r="Q473" s="83" t="n">
        <f aca="false">IF(O473&lt;&gt;"",O473+P473,"")</f>
        <v>14.72625</v>
      </c>
      <c r="R473" s="84"/>
    </row>
    <row r="474" customFormat="false" ht="15" hidden="false" customHeight="true" outlineLevel="0" collapsed="false">
      <c r="A474" s="103" t="n">
        <v>55919</v>
      </c>
      <c r="B474" s="73" t="n">
        <v>46204</v>
      </c>
      <c r="C474" s="86"/>
      <c r="D474" s="87" t="n">
        <v>50232</v>
      </c>
      <c r="E474" s="46" t="str">
        <f aca="false">IF(D474&lt;&gt;"",IFERROR(VLOOKUP(D474,PROVEEDORES!$A:$B,2,0),"!COD NO ENCONTRADO"),"")</f>
        <v>XESTION NOVA LONXA RIVEIRA S.L.</v>
      </c>
      <c r="F474" s="88" t="str">
        <f aca="false">IF(D474&lt;&gt;"",IFERROR(VLOOKUP(D474,PROVEEDORES!$A:$C,3,0),""),"")</f>
        <v>S</v>
      </c>
      <c r="G474" s="87" t="s">
        <v>270</v>
      </c>
      <c r="H474" s="46" t="str">
        <f aca="false">IF(G474&lt;&gt;"",IFERROR(VLOOKUP(G474,PRODUCTOS!$A:$B,2,0),"!COD NO ENCONTRADO"),"")</f>
        <v>PEON/ PION (ATP)</v>
      </c>
      <c r="I474" s="89" t="n">
        <v>7</v>
      </c>
      <c r="J474" s="90" t="n">
        <v>32</v>
      </c>
      <c r="K474" s="91" t="n">
        <v>4</v>
      </c>
      <c r="L474" s="80" t="n">
        <f aca="false">IF(AND(J474&lt;&gt;"",K474&lt;&gt;""),J474*K474,"")</f>
        <v>128</v>
      </c>
      <c r="M474" s="81" t="n">
        <f aca="false">IF(L474&lt;&gt;"",L474*1.1,"")</f>
        <v>140.8</v>
      </c>
      <c r="N474" s="47" t="n">
        <f aca="false">IF(F474="S",L474*0.02,0)</f>
        <v>2.56</v>
      </c>
      <c r="O474" s="82" t="n">
        <f aca="false">IF(L474&lt;&gt;"",L474+N474,"")</f>
        <v>130.56</v>
      </c>
      <c r="P474" s="47" t="n">
        <f aca="false">IF(O474&lt;&gt;"",O474*0.1,"")</f>
        <v>13.056</v>
      </c>
      <c r="Q474" s="83" t="n">
        <f aca="false">IF(O474&lt;&gt;"",O474+P474,"")</f>
        <v>143.616</v>
      </c>
      <c r="R474" s="84"/>
    </row>
    <row r="475" customFormat="false" ht="15" hidden="false" customHeight="true" outlineLevel="0" collapsed="false">
      <c r="A475" s="103" t="n">
        <v>55919</v>
      </c>
      <c r="B475" s="85" t="n">
        <v>46204</v>
      </c>
      <c r="C475" s="74"/>
      <c r="D475" s="75" t="n">
        <v>50232</v>
      </c>
      <c r="E475" s="52" t="str">
        <f aca="false">IF(D475&lt;&gt;"",IFERROR(VLOOKUP(D475,PROVEEDORES!$A:$B,2,0),"!COD NO ENCONTRADO"),"")</f>
        <v>XESTION NOVA LONXA RIVEIRA S.L.</v>
      </c>
      <c r="F475" s="76" t="str">
        <f aca="false">IF(D475&lt;&gt;"",IFERROR(VLOOKUP(D475,PROVEEDORES!$A:$C,3,0),""),"")</f>
        <v>S</v>
      </c>
      <c r="G475" s="75" t="s">
        <v>332</v>
      </c>
      <c r="H475" s="52" t="str">
        <f aca="false">IF(G475&lt;&gt;"",IFERROR(VLOOKUP(G475,PRODUCTOS!$A:$B,2,0),"!COD NO ENCONTRADO"),"")</f>
        <v>VARIADO PEQUEÑO</v>
      </c>
      <c r="I475" s="77" t="n">
        <v>1</v>
      </c>
      <c r="J475" s="78" t="n">
        <v>7</v>
      </c>
      <c r="K475" s="79" t="n">
        <v>1.5</v>
      </c>
      <c r="L475" s="80" t="n">
        <f aca="false">IF(AND(J475&lt;&gt;"",K475&lt;&gt;""),J475*K475,"")</f>
        <v>10.5</v>
      </c>
      <c r="M475" s="81" t="n">
        <f aca="false">IF(L475&lt;&gt;"",L475*1.1,"")</f>
        <v>11.55</v>
      </c>
      <c r="N475" s="53" t="n">
        <f aca="false">IF(F475="S",L475*0.02,0)</f>
        <v>0.21</v>
      </c>
      <c r="O475" s="82" t="n">
        <f aca="false">IF(L475&lt;&gt;"",L475+N475,"")</f>
        <v>10.71</v>
      </c>
      <c r="P475" s="53" t="n">
        <f aca="false">IF(O475&lt;&gt;"",O475*0.1,"")</f>
        <v>1.071</v>
      </c>
      <c r="Q475" s="83" t="n">
        <f aca="false">IF(O475&lt;&gt;"",O475+P475,"")</f>
        <v>11.781</v>
      </c>
      <c r="R475" s="84"/>
    </row>
    <row r="476" customFormat="false" ht="15" hidden="false" customHeight="true" outlineLevel="0" collapsed="false">
      <c r="A476" s="103" t="n">
        <v>55919</v>
      </c>
      <c r="B476" s="73" t="n">
        <v>46204</v>
      </c>
      <c r="C476" s="86"/>
      <c r="D476" s="87" t="n">
        <v>50232</v>
      </c>
      <c r="E476" s="46" t="str">
        <f aca="false">IF(D476&lt;&gt;"",IFERROR(VLOOKUP(D476,PROVEEDORES!$A:$B,2,0),"!COD NO ENCONTRADO"),"")</f>
        <v>XESTION NOVA LONXA RIVEIRA S.L.</v>
      </c>
      <c r="F476" s="88" t="str">
        <f aca="false">IF(D476&lt;&gt;"",IFERROR(VLOOKUP(D476,PROVEEDORES!$A:$C,3,0),""),"")</f>
        <v>S</v>
      </c>
      <c r="G476" s="87" t="s">
        <v>288</v>
      </c>
      <c r="H476" s="46" t="str">
        <f aca="false">IF(G476&lt;&gt;"",IFERROR(VLOOKUP(G476,PRODUCTOS!$A:$B,2,0),"!COD NO ENCONTRADO"),"")</f>
        <v>RAPE BLANCO DIA (MON)</v>
      </c>
      <c r="I476" s="89" t="n">
        <v>4</v>
      </c>
      <c r="J476" s="90" t="n">
        <v>25</v>
      </c>
      <c r="K476" s="91" t="n">
        <v>3.5</v>
      </c>
      <c r="L476" s="80" t="n">
        <f aca="false">IF(AND(J476&lt;&gt;"",K476&lt;&gt;""),J476*K476,"")</f>
        <v>87.5</v>
      </c>
      <c r="M476" s="81" t="n">
        <f aca="false">IF(L476&lt;&gt;"",L476*1.1,"")</f>
        <v>96.25</v>
      </c>
      <c r="N476" s="47" t="n">
        <f aca="false">IF(F476="S",L476*0.02,0)</f>
        <v>1.75</v>
      </c>
      <c r="O476" s="82" t="n">
        <f aca="false">IF(L476&lt;&gt;"",L476+N476,"")</f>
        <v>89.25</v>
      </c>
      <c r="P476" s="47" t="n">
        <f aca="false">IF(O476&lt;&gt;"",O476*0.1,"")</f>
        <v>8.925</v>
      </c>
      <c r="Q476" s="83" t="n">
        <f aca="false">IF(O476&lt;&gt;"",O476+P476,"")</f>
        <v>98.175</v>
      </c>
      <c r="R476" s="84"/>
    </row>
    <row r="477" customFormat="false" ht="15" hidden="false" customHeight="true" outlineLevel="0" collapsed="false">
      <c r="A477" s="103" t="n">
        <v>55919</v>
      </c>
      <c r="B477" s="73" t="n">
        <v>46204</v>
      </c>
      <c r="C477" s="74"/>
      <c r="D477" s="75" t="n">
        <v>50232</v>
      </c>
      <c r="E477" s="52" t="str">
        <f aca="false">IF(D477&lt;&gt;"",IFERROR(VLOOKUP(D477,PROVEEDORES!$A:$B,2,0),"!COD NO ENCONTRADO"),"")</f>
        <v>XESTION NOVA LONXA RIVEIRA S.L.</v>
      </c>
      <c r="F477" s="76" t="str">
        <f aca="false">IF(D477&lt;&gt;"",IFERROR(VLOOKUP(D477,PROVEEDORES!$A:$C,3,0),""),"")</f>
        <v>S</v>
      </c>
      <c r="G477" s="75" t="s">
        <v>179</v>
      </c>
      <c r="H477" s="52" t="str">
        <f aca="false">IF(G477&lt;&gt;"",IFERROR(VLOOKUP(G477,PRODUCTOS!$A:$B,2,0),"!COD NO ENCONTRADO"),"")</f>
        <v>LIRIO/ BACALADILLA/ PERLA (WHB)</v>
      </c>
      <c r="I477" s="77" t="n">
        <v>30</v>
      </c>
      <c r="J477" s="78" t="n">
        <v>150</v>
      </c>
      <c r="K477" s="79" t="n">
        <v>1.27</v>
      </c>
      <c r="L477" s="80" t="n">
        <f aca="false">IF(AND(J477&lt;&gt;"",K477&lt;&gt;""),J477*K477,"")</f>
        <v>190.5</v>
      </c>
      <c r="M477" s="81" t="n">
        <f aca="false">IF(L477&lt;&gt;"",L477*1.1,"")</f>
        <v>209.55</v>
      </c>
      <c r="N477" s="53" t="n">
        <f aca="false">IF(F477="S",L477*0.02,0)</f>
        <v>3.81</v>
      </c>
      <c r="O477" s="82" t="n">
        <f aca="false">IF(L477&lt;&gt;"",L477+N477,"")</f>
        <v>194.31</v>
      </c>
      <c r="P477" s="53" t="n">
        <f aca="false">IF(O477&lt;&gt;"",O477*0.1,"")</f>
        <v>19.431</v>
      </c>
      <c r="Q477" s="83" t="n">
        <f aca="false">IF(O477&lt;&gt;"",O477+P477,"")</f>
        <v>213.741</v>
      </c>
      <c r="R477" s="84"/>
    </row>
    <row r="478" customFormat="false" ht="15" hidden="false" customHeight="true" outlineLevel="0" collapsed="false">
      <c r="A478" s="103" t="n">
        <v>55920</v>
      </c>
      <c r="B478" s="73" t="n">
        <v>46204</v>
      </c>
      <c r="C478" s="74"/>
      <c r="D478" s="75" t="n">
        <v>50525</v>
      </c>
      <c r="E478" s="52" t="str">
        <f aca="false">IF(D478&lt;&gt;"",IFERROR(VLOOKUP(D478,PROVEEDORES!$A:$B,2,0),"!COD NO ENCONTRADO"),"")</f>
        <v>FURIC MAREE</v>
      </c>
      <c r="F478" s="76" t="str">
        <f aca="false">IF(D478&lt;&gt;"",IFERROR(VLOOKUP(D478,PROVEEDORES!$A:$C,3,0),""),"")</f>
        <v>N</v>
      </c>
      <c r="G478" s="75" t="s">
        <v>318</v>
      </c>
      <c r="H478" s="52" t="str">
        <f aca="false">IF(G478&lt;&gt;"",IFERROR(VLOOKUP(G478,PRODUCTOS!$A:$B,2,0),"!COD NO ENCONTRADO"),"")</f>
        <v>SAN MARTIÑOS/ SAN PEDROS (JOD)</v>
      </c>
      <c r="I478" s="77" t="n">
        <v>4</v>
      </c>
      <c r="J478" s="78" t="n">
        <v>26.3</v>
      </c>
      <c r="K478" s="79" t="n">
        <v>22.3</v>
      </c>
      <c r="L478" s="80" t="n">
        <f aca="false">IF(AND(J478&lt;&gt;"",K478&lt;&gt;""),J478*K478,"")</f>
        <v>586.49</v>
      </c>
      <c r="M478" s="81" t="n">
        <f aca="false">IF(L478&lt;&gt;"",L478*1.1,"")</f>
        <v>645.139</v>
      </c>
      <c r="N478" s="53" t="n">
        <f aca="false">IF(F478="S",L478*0.02,0)</f>
        <v>0</v>
      </c>
      <c r="O478" s="82" t="n">
        <f aca="false">IF(L478&lt;&gt;"",L478+N478,"")</f>
        <v>586.49</v>
      </c>
      <c r="P478" s="53" t="n">
        <f aca="false">IF(O478&lt;&gt;"",O478*0.1,"")</f>
        <v>58.649</v>
      </c>
      <c r="Q478" s="83" t="n">
        <f aca="false">IF(O478&lt;&gt;"",O478+P478,"")</f>
        <v>645.139</v>
      </c>
      <c r="R478" s="84"/>
    </row>
    <row r="479" customFormat="false" ht="15" hidden="false" customHeight="true" outlineLevel="0" collapsed="false">
      <c r="A479" s="103" t="n">
        <v>55921</v>
      </c>
      <c r="B479" s="85" t="n">
        <v>46204</v>
      </c>
      <c r="C479" s="86"/>
      <c r="D479" s="87" t="n">
        <v>50531</v>
      </c>
      <c r="E479" s="46" t="str">
        <f aca="false">IF(D479&lt;&gt;"",IFERROR(VLOOKUP(D479,PROVEEDORES!$A:$B,2,0),"!COD NO ENCONTRADO"),"")</f>
        <v>SANCHEZ LOPEZ MIGUEL</v>
      </c>
      <c r="F479" s="88" t="str">
        <f aca="false">IF(D479&lt;&gt;"",IFERROR(VLOOKUP(D479,PROVEEDORES!$A:$C,3,0),""),"")</f>
        <v>N</v>
      </c>
      <c r="G479" s="87" t="s">
        <v>133</v>
      </c>
      <c r="H479" s="46" t="str">
        <f aca="false">IF(G479&lt;&gt;"",IFERROR(VLOOKUP(G479,PRODUCTOS!$A:$B,2,0),"!COD NO ENCONTRADO"),"")</f>
        <v>CINTAS/ PEZ CINTA (CBC)</v>
      </c>
      <c r="I479" s="89" t="n">
        <v>5</v>
      </c>
      <c r="J479" s="90" t="n">
        <v>35</v>
      </c>
      <c r="K479" s="91" t="n">
        <v>2.6</v>
      </c>
      <c r="L479" s="80" t="n">
        <f aca="false">IF(AND(J479&lt;&gt;"",K479&lt;&gt;""),J479*K479,"")</f>
        <v>91</v>
      </c>
      <c r="M479" s="81" t="n">
        <f aca="false">IF(L479&lt;&gt;"",L479*1.1,"")</f>
        <v>100.1</v>
      </c>
      <c r="N479" s="47" t="n">
        <f aca="false">IF(F479="S",L479*0.02,0)</f>
        <v>0</v>
      </c>
      <c r="O479" s="82" t="n">
        <f aca="false">IF(L479&lt;&gt;"",L479+N479,"")</f>
        <v>91</v>
      </c>
      <c r="P479" s="47" t="n">
        <f aca="false">IF(O479&lt;&gt;"",O479*0.1,"")</f>
        <v>9.1</v>
      </c>
      <c r="Q479" s="83" t="n">
        <f aca="false">IF(O479&lt;&gt;"",O479+P479,"")</f>
        <v>100.1</v>
      </c>
      <c r="R479" s="84"/>
    </row>
    <row r="480" customFormat="false" ht="15" hidden="false" customHeight="true" outlineLevel="0" collapsed="false">
      <c r="A480" s="103" t="n">
        <v>55922</v>
      </c>
      <c r="B480" s="73" t="n">
        <v>46205</v>
      </c>
      <c r="C480" s="74" t="n">
        <v>18091</v>
      </c>
      <c r="D480" s="75" t="n">
        <v>50163</v>
      </c>
      <c r="E480" s="52" t="str">
        <f aca="false">IF(D480&lt;&gt;"",IFERROR(VLOOKUP(D480,PROVEEDORES!$A:$B,2,0),"!COD NO ENCONTRADO"),"")</f>
        <v>SUBASTAS RIVERA S.L.</v>
      </c>
      <c r="F480" s="76" t="str">
        <f aca="false">IF(D480&lt;&gt;"",IFERROR(VLOOKUP(D480,PROVEEDORES!$A:$C,3,0),""),"")</f>
        <v>S</v>
      </c>
      <c r="G480" s="75" t="s">
        <v>316</v>
      </c>
      <c r="H480" s="52" t="str">
        <f aca="false">IF(G480&lt;&gt;"",IFERROR(VLOOKUP(G480,PRODUCTOS!$A:$B,2,0),"!COD NO ENCONTRADO"),"")</f>
        <v>SALMONETE ROCA (MUR)</v>
      </c>
      <c r="I480" s="77" t="n">
        <v>1</v>
      </c>
      <c r="J480" s="78" t="n">
        <v>2</v>
      </c>
      <c r="K480" s="79" t="n">
        <v>13.5</v>
      </c>
      <c r="L480" s="80" t="n">
        <f aca="false">IF(AND(J480&lt;&gt;"",K480&lt;&gt;""),J480*K480,"")</f>
        <v>27</v>
      </c>
      <c r="M480" s="81" t="n">
        <f aca="false">IF(L480&lt;&gt;"",L480*1.1,"")</f>
        <v>29.7</v>
      </c>
      <c r="N480" s="53" t="n">
        <f aca="false">IF(F480="S",L480*0.02,0)</f>
        <v>0.54</v>
      </c>
      <c r="O480" s="82" t="n">
        <f aca="false">IF(L480&lt;&gt;"",L480+N480,"")</f>
        <v>27.54</v>
      </c>
      <c r="P480" s="53" t="n">
        <f aca="false">IF(O480&lt;&gt;"",O480*0.1,"")</f>
        <v>2.754</v>
      </c>
      <c r="Q480" s="83" t="n">
        <f aca="false">IF(O480&lt;&gt;"",O480+P480,"")</f>
        <v>30.294</v>
      </c>
      <c r="R480" s="84"/>
    </row>
    <row r="481" customFormat="false" ht="15" hidden="false" customHeight="true" outlineLevel="0" collapsed="false">
      <c r="A481" s="103" t="n">
        <v>55922</v>
      </c>
      <c r="B481" s="85" t="n">
        <v>46205</v>
      </c>
      <c r="C481" s="86" t="n">
        <v>18091</v>
      </c>
      <c r="D481" s="87" t="n">
        <v>50163</v>
      </c>
      <c r="E481" s="46" t="str">
        <f aca="false">IF(D481&lt;&gt;"",IFERROR(VLOOKUP(D481,PROVEEDORES!$A:$B,2,0),"!COD NO ENCONTRADO"),"")</f>
        <v>SUBASTAS RIVERA S.L.</v>
      </c>
      <c r="F481" s="88" t="str">
        <f aca="false">IF(D481&lt;&gt;"",IFERROR(VLOOKUP(D481,PROVEEDORES!$A:$C,3,0),""),"")</f>
        <v>S</v>
      </c>
      <c r="G481" s="87" t="s">
        <v>316</v>
      </c>
      <c r="H481" s="46" t="str">
        <f aca="false">IF(G481&lt;&gt;"",IFERROR(VLOOKUP(G481,PRODUCTOS!$A:$B,2,0),"!COD NO ENCONTRADO"),"")</f>
        <v>SALMONETE ROCA (MUR)</v>
      </c>
      <c r="I481" s="89" t="n">
        <v>1</v>
      </c>
      <c r="J481" s="90" t="n">
        <v>1.9</v>
      </c>
      <c r="K481" s="91" t="n">
        <v>9.6</v>
      </c>
      <c r="L481" s="80" t="n">
        <f aca="false">IF(AND(J481&lt;&gt;"",K481&lt;&gt;""),J481*K481,"")</f>
        <v>18.24</v>
      </c>
      <c r="M481" s="81" t="n">
        <f aca="false">IF(L481&lt;&gt;"",L481*1.1,"")</f>
        <v>20.064</v>
      </c>
      <c r="N481" s="47" t="n">
        <f aca="false">IF(F481="S",L481*0.02,0)</f>
        <v>0.3648</v>
      </c>
      <c r="O481" s="82" t="n">
        <f aca="false">IF(L481&lt;&gt;"",L481+N481,"")</f>
        <v>18.6048</v>
      </c>
      <c r="P481" s="47" t="n">
        <f aca="false">IF(O481&lt;&gt;"",O481*0.1,"")</f>
        <v>1.86048</v>
      </c>
      <c r="Q481" s="83" t="n">
        <f aca="false">IF(O481&lt;&gt;"",O481+P481,"")</f>
        <v>20.46528</v>
      </c>
      <c r="R481" s="84"/>
    </row>
    <row r="482" customFormat="false" ht="15" hidden="false" customHeight="true" outlineLevel="0" collapsed="false">
      <c r="A482" s="103" t="n">
        <v>55922</v>
      </c>
      <c r="B482" s="73" t="n">
        <v>46205</v>
      </c>
      <c r="C482" s="74" t="n">
        <v>18091</v>
      </c>
      <c r="D482" s="75" t="n">
        <v>50163</v>
      </c>
      <c r="E482" s="52" t="str">
        <f aca="false">IF(D482&lt;&gt;"",IFERROR(VLOOKUP(D482,PROVEEDORES!$A:$B,2,0),"!COD NO ENCONTRADO"),"")</f>
        <v>SUBASTAS RIVERA S.L.</v>
      </c>
      <c r="F482" s="76" t="str">
        <f aca="false">IF(D482&lt;&gt;"",IFERROR(VLOOKUP(D482,PROVEEDORES!$A:$C,3,0),""),"")</f>
        <v>S</v>
      </c>
      <c r="G482" s="75" t="s">
        <v>316</v>
      </c>
      <c r="H482" s="52" t="str">
        <f aca="false">IF(G482&lt;&gt;"",IFERROR(VLOOKUP(G482,PRODUCTOS!$A:$B,2,0),"!COD NO ENCONTRADO"),"")</f>
        <v>SALMONETE ROCA (MUR)</v>
      </c>
      <c r="I482" s="77" t="n">
        <v>1</v>
      </c>
      <c r="J482" s="78" t="n">
        <v>1.7</v>
      </c>
      <c r="K482" s="79" t="n">
        <v>13.8</v>
      </c>
      <c r="L482" s="80" t="n">
        <f aca="false">IF(AND(J482&lt;&gt;"",K482&lt;&gt;""),J482*K482,"")</f>
        <v>23.46</v>
      </c>
      <c r="M482" s="81" t="n">
        <f aca="false">IF(L482&lt;&gt;"",L482*1.1,"")</f>
        <v>25.806</v>
      </c>
      <c r="N482" s="53" t="n">
        <f aca="false">IF(F482="S",L482*0.02,0)</f>
        <v>0.4692</v>
      </c>
      <c r="O482" s="82" t="n">
        <f aca="false">IF(L482&lt;&gt;"",L482+N482,"")</f>
        <v>23.9292</v>
      </c>
      <c r="P482" s="53" t="n">
        <f aca="false">IF(O482&lt;&gt;"",O482*0.1,"")</f>
        <v>2.39292</v>
      </c>
      <c r="Q482" s="83" t="n">
        <f aca="false">IF(O482&lt;&gt;"",O482+P482,"")</f>
        <v>26.32212</v>
      </c>
      <c r="R482" s="84"/>
    </row>
    <row r="483" customFormat="false" ht="15" hidden="false" customHeight="true" outlineLevel="0" collapsed="false">
      <c r="A483" s="103" t="n">
        <v>55922</v>
      </c>
      <c r="B483" s="85" t="n">
        <v>46205</v>
      </c>
      <c r="C483" s="86" t="n">
        <v>18091</v>
      </c>
      <c r="D483" s="87" t="n">
        <v>50163</v>
      </c>
      <c r="E483" s="46" t="str">
        <f aca="false">IF(D483&lt;&gt;"",IFERROR(VLOOKUP(D483,PROVEEDORES!$A:$B,2,0),"!COD NO ENCONTRADO"),"")</f>
        <v>SUBASTAS RIVERA S.L.</v>
      </c>
      <c r="F483" s="88" t="str">
        <f aca="false">IF(D483&lt;&gt;"",IFERROR(VLOOKUP(D483,PROVEEDORES!$A:$C,3,0),""),"")</f>
        <v>S</v>
      </c>
      <c r="G483" s="87" t="s">
        <v>103</v>
      </c>
      <c r="H483" s="46" t="str">
        <f aca="false">IF(G483&lt;&gt;"",IFERROR(VLOOKUP(G483,PRODUCTOS!$A:$B,2,0),"!COD NO ENCONTRADO"),"")</f>
        <v>CABRAS/ GALLINETA (BRF)</v>
      </c>
      <c r="I483" s="89" t="n">
        <v>3</v>
      </c>
      <c r="J483" s="90" t="n">
        <f aca="false">10.25+9.75+9.25</f>
        <v>29.25</v>
      </c>
      <c r="K483" s="91" t="n">
        <v>3.9</v>
      </c>
      <c r="L483" s="80" t="n">
        <f aca="false">IF(AND(J483&lt;&gt;"",K483&lt;&gt;""),J483*K483,"")</f>
        <v>114.075</v>
      </c>
      <c r="M483" s="81" t="n">
        <f aca="false">IF(L483&lt;&gt;"",L483*1.1,"")</f>
        <v>125.4825</v>
      </c>
      <c r="N483" s="47" t="n">
        <f aca="false">IF(F483="S",L483*0.02,0)</f>
        <v>2.2815</v>
      </c>
      <c r="O483" s="82" t="n">
        <f aca="false">IF(L483&lt;&gt;"",L483+N483,"")</f>
        <v>116.3565</v>
      </c>
      <c r="P483" s="47" t="n">
        <f aca="false">IF(O483&lt;&gt;"",O483*0.1,"")</f>
        <v>11.63565</v>
      </c>
      <c r="Q483" s="83" t="n">
        <f aca="false">IF(O483&lt;&gt;"",O483+P483,"")</f>
        <v>127.99215</v>
      </c>
      <c r="R483" s="84"/>
    </row>
    <row r="484" customFormat="false" ht="15" hidden="false" customHeight="true" outlineLevel="0" collapsed="false">
      <c r="A484" s="103" t="n">
        <v>55922</v>
      </c>
      <c r="B484" s="73" t="n">
        <v>46205</v>
      </c>
      <c r="C484" s="74" t="n">
        <v>18091</v>
      </c>
      <c r="D484" s="75" t="n">
        <v>50163</v>
      </c>
      <c r="E484" s="52" t="str">
        <f aca="false">IF(D484&lt;&gt;"",IFERROR(VLOOKUP(D484,PROVEEDORES!$A:$B,2,0),"!COD NO ENCONTRADO"),"")</f>
        <v>SUBASTAS RIVERA S.L.</v>
      </c>
      <c r="F484" s="76" t="str">
        <f aca="false">IF(D484&lt;&gt;"",IFERROR(VLOOKUP(D484,PROVEEDORES!$A:$C,3,0),""),"")</f>
        <v>S</v>
      </c>
      <c r="G484" s="75" t="s">
        <v>103</v>
      </c>
      <c r="H484" s="52" t="str">
        <f aca="false">IF(G484&lt;&gt;"",IFERROR(VLOOKUP(G484,PRODUCTOS!$A:$B,2,0),"!COD NO ENCONTRADO"),"")</f>
        <v>CABRAS/ GALLINETA (BRF)</v>
      </c>
      <c r="I484" s="77" t="n">
        <v>2</v>
      </c>
      <c r="J484" s="78" t="n">
        <v>20.5</v>
      </c>
      <c r="K484" s="79" t="n">
        <v>4.2</v>
      </c>
      <c r="L484" s="80" t="n">
        <f aca="false">IF(AND(J484&lt;&gt;"",K484&lt;&gt;""),J484*K484,"")</f>
        <v>86.1</v>
      </c>
      <c r="M484" s="81" t="n">
        <f aca="false">IF(L484&lt;&gt;"",L484*1.1,"")</f>
        <v>94.71</v>
      </c>
      <c r="N484" s="53" t="n">
        <f aca="false">IF(F484="S",L484*0.02,0)</f>
        <v>1.722</v>
      </c>
      <c r="O484" s="82" t="n">
        <f aca="false">IF(L484&lt;&gt;"",L484+N484,"")</f>
        <v>87.822</v>
      </c>
      <c r="P484" s="53" t="n">
        <f aca="false">IF(O484&lt;&gt;"",O484*0.1,"")</f>
        <v>8.7822</v>
      </c>
      <c r="Q484" s="83" t="n">
        <f aca="false">IF(O484&lt;&gt;"",O484+P484,"")</f>
        <v>96.6042</v>
      </c>
      <c r="R484" s="84"/>
    </row>
    <row r="485" customFormat="false" ht="15" hidden="false" customHeight="true" outlineLevel="0" collapsed="false">
      <c r="A485" s="103" t="n">
        <v>55922</v>
      </c>
      <c r="B485" s="85" t="n">
        <v>46205</v>
      </c>
      <c r="C485" s="86" t="n">
        <v>18091</v>
      </c>
      <c r="D485" s="87" t="n">
        <v>50163</v>
      </c>
      <c r="E485" s="46" t="str">
        <f aca="false">IF(D485&lt;&gt;"",IFERROR(VLOOKUP(D485,PROVEEDORES!$A:$B,2,0),"!COD NO ENCONTRADO"),"")</f>
        <v>SUBASTAS RIVERA S.L.</v>
      </c>
      <c r="F485" s="88" t="str">
        <f aca="false">IF(D485&lt;&gt;"",IFERROR(VLOOKUP(D485,PROVEEDORES!$A:$C,3,0),""),"")</f>
        <v>S</v>
      </c>
      <c r="G485" s="87" t="s">
        <v>103</v>
      </c>
      <c r="H485" s="46" t="str">
        <f aca="false">IF(G485&lt;&gt;"",IFERROR(VLOOKUP(G485,PRODUCTOS!$A:$B,2,0),"!COD NO ENCONTRADO"),"")</f>
        <v>CABRAS/ GALLINETA (BRF)</v>
      </c>
      <c r="I485" s="89" t="n">
        <v>1</v>
      </c>
      <c r="J485" s="90" t="n">
        <v>10.25</v>
      </c>
      <c r="K485" s="91" t="n">
        <v>3.2</v>
      </c>
      <c r="L485" s="80" t="n">
        <f aca="false">IF(AND(J485&lt;&gt;"",K485&lt;&gt;""),J485*K485,"")</f>
        <v>32.8</v>
      </c>
      <c r="M485" s="81" t="n">
        <f aca="false">IF(L485&lt;&gt;"",L485*1.1,"")</f>
        <v>36.08</v>
      </c>
      <c r="N485" s="47" t="n">
        <f aca="false">IF(F485="S",L485*0.02,0)</f>
        <v>0.656</v>
      </c>
      <c r="O485" s="82" t="n">
        <f aca="false">IF(L485&lt;&gt;"",L485+N485,"")</f>
        <v>33.456</v>
      </c>
      <c r="P485" s="47" t="n">
        <f aca="false">IF(O485&lt;&gt;"",O485*0.1,"")</f>
        <v>3.3456</v>
      </c>
      <c r="Q485" s="83" t="n">
        <f aca="false">IF(O485&lt;&gt;"",O485+P485,"")</f>
        <v>36.8016</v>
      </c>
      <c r="R485" s="84"/>
    </row>
    <row r="486" customFormat="false" ht="15" hidden="false" customHeight="true" outlineLevel="0" collapsed="false">
      <c r="A486" s="103" t="n">
        <v>55922</v>
      </c>
      <c r="B486" s="73" t="n">
        <v>46205</v>
      </c>
      <c r="C486" s="74" t="n">
        <v>18091</v>
      </c>
      <c r="D486" s="75" t="n">
        <v>50163</v>
      </c>
      <c r="E486" s="52" t="str">
        <f aca="false">IF(D486&lt;&gt;"",IFERROR(VLOOKUP(D486,PROVEEDORES!$A:$B,2,0),"!COD NO ENCONTRADO"),"")</f>
        <v>SUBASTAS RIVERA S.L.</v>
      </c>
      <c r="F486" s="76" t="str">
        <f aca="false">IF(D486&lt;&gt;"",IFERROR(VLOOKUP(D486,PROVEEDORES!$A:$C,3,0),""),"")</f>
        <v>S</v>
      </c>
      <c r="G486" s="75" t="s">
        <v>227</v>
      </c>
      <c r="H486" s="52" t="str">
        <f aca="false">IF(G486&lt;&gt;"",IFERROR(VLOOKUP(G486,PRODUCTOS!$A:$B,2,0),"!COD NO ENCONTRADO"),"")</f>
        <v>MERLUZA EUROPEA PINCHO COSTA 1,5/2</v>
      </c>
      <c r="I486" s="77" t="n">
        <v>1</v>
      </c>
      <c r="J486" s="78" t="n">
        <v>9.75</v>
      </c>
      <c r="K486" s="79" t="n">
        <v>9.2</v>
      </c>
      <c r="L486" s="80" t="n">
        <f aca="false">IF(AND(J486&lt;&gt;"",K486&lt;&gt;""),J486*K486,"")</f>
        <v>89.7</v>
      </c>
      <c r="M486" s="81" t="n">
        <f aca="false">IF(L486&lt;&gt;"",L486*1.1,"")</f>
        <v>98.67</v>
      </c>
      <c r="N486" s="53" t="n">
        <f aca="false">IF(F486="S",L486*0.02,0)</f>
        <v>1.794</v>
      </c>
      <c r="O486" s="82" t="n">
        <f aca="false">IF(L486&lt;&gt;"",L486+N486,"")</f>
        <v>91.494</v>
      </c>
      <c r="P486" s="53" t="n">
        <f aca="false">IF(O486&lt;&gt;"",O486*0.1,"")</f>
        <v>9.1494</v>
      </c>
      <c r="Q486" s="83" t="n">
        <f aca="false">IF(O486&lt;&gt;"",O486+P486,"")</f>
        <v>100.6434</v>
      </c>
      <c r="R486" s="84"/>
    </row>
    <row r="487" customFormat="false" ht="15" hidden="false" customHeight="true" outlineLevel="0" collapsed="false">
      <c r="A487" s="103" t="n">
        <v>55922</v>
      </c>
      <c r="B487" s="85" t="n">
        <v>46205</v>
      </c>
      <c r="C487" s="86" t="n">
        <v>18091</v>
      </c>
      <c r="D487" s="87" t="n">
        <v>50163</v>
      </c>
      <c r="E487" s="46" t="str">
        <f aca="false">IF(D487&lt;&gt;"",IFERROR(VLOOKUP(D487,PROVEEDORES!$A:$B,2,0),"!COD NO ENCONTRADO"),"")</f>
        <v>SUBASTAS RIVERA S.L.</v>
      </c>
      <c r="F487" s="88" t="str">
        <f aca="false">IF(D487&lt;&gt;"",IFERROR(VLOOKUP(D487,PROVEEDORES!$A:$C,3,0),""),"")</f>
        <v>S</v>
      </c>
      <c r="G487" s="87" t="s">
        <v>221</v>
      </c>
      <c r="H487" s="46" t="str">
        <f aca="false">IF(G487&lt;&gt;"",IFERROR(VLOOKUP(G487,PRODUCTOS!$A:$B,2,0),"!COD NO ENCONTRADO"),"")</f>
        <v>MERLUZA EUROPEA PINCHO COSTA 800</v>
      </c>
      <c r="I487" s="89" t="n">
        <v>6</v>
      </c>
      <c r="J487" s="90" t="n">
        <f aca="false">13.75+15.25+14+15.5+15+13.75</f>
        <v>87.25</v>
      </c>
      <c r="K487" s="91" t="n">
        <v>5.7</v>
      </c>
      <c r="L487" s="80" t="n">
        <f aca="false">IF(AND(J487&lt;&gt;"",K487&lt;&gt;""),J487*K487,"")</f>
        <v>497.325</v>
      </c>
      <c r="M487" s="81" t="n">
        <f aca="false">IF(L487&lt;&gt;"",L487*1.1,"")</f>
        <v>547.0575</v>
      </c>
      <c r="N487" s="47" t="n">
        <f aca="false">IF(F487="S",L487*0.02,0)</f>
        <v>9.9465</v>
      </c>
      <c r="O487" s="82" t="n">
        <f aca="false">IF(L487&lt;&gt;"",L487+N487,"")</f>
        <v>507.2715</v>
      </c>
      <c r="P487" s="47" t="n">
        <f aca="false">IF(O487&lt;&gt;"",O487*0.1,"")</f>
        <v>50.72715</v>
      </c>
      <c r="Q487" s="83" t="n">
        <f aca="false">IF(O487&lt;&gt;"",O487+P487,"")</f>
        <v>557.99865</v>
      </c>
      <c r="R487" s="84"/>
    </row>
    <row r="488" customFormat="false" ht="15" hidden="false" customHeight="true" outlineLevel="0" collapsed="false">
      <c r="A488" s="103" t="n">
        <v>55922</v>
      </c>
      <c r="B488" s="73" t="n">
        <v>46205</v>
      </c>
      <c r="C488" s="74" t="n">
        <v>18091</v>
      </c>
      <c r="D488" s="75" t="n">
        <v>50163</v>
      </c>
      <c r="E488" s="52" t="str">
        <f aca="false">IF(D488&lt;&gt;"",IFERROR(VLOOKUP(D488,PROVEEDORES!$A:$B,2,0),"!COD NO ENCONTRADO"),"")</f>
        <v>SUBASTAS RIVERA S.L.</v>
      </c>
      <c r="F488" s="76" t="str">
        <f aca="false">IF(D488&lt;&gt;"",IFERROR(VLOOKUP(D488,PROVEEDORES!$A:$C,3,0),""),"")</f>
        <v>S</v>
      </c>
      <c r="G488" s="75" t="s">
        <v>221</v>
      </c>
      <c r="H488" s="52" t="str">
        <f aca="false">IF(G488&lt;&gt;"",IFERROR(VLOOKUP(G488,PRODUCTOS!$A:$B,2,0),"!COD NO ENCONTRADO"),"")</f>
        <v>MERLUZA EUROPEA PINCHO COSTA 800</v>
      </c>
      <c r="I488" s="77" t="n">
        <v>1</v>
      </c>
      <c r="J488" s="78" t="n">
        <v>14.75</v>
      </c>
      <c r="K488" s="79" t="n">
        <v>5.3</v>
      </c>
      <c r="L488" s="80" t="n">
        <f aca="false">IF(AND(J488&lt;&gt;"",K488&lt;&gt;""),J488*K488,"")</f>
        <v>78.175</v>
      </c>
      <c r="M488" s="81" t="n">
        <f aca="false">IF(L488&lt;&gt;"",L488*1.1,"")</f>
        <v>85.9925</v>
      </c>
      <c r="N488" s="53" t="n">
        <f aca="false">IF(F488="S",L488*0.02,0)</f>
        <v>1.5635</v>
      </c>
      <c r="O488" s="82" t="n">
        <f aca="false">IF(L488&lt;&gt;"",L488+N488,"")</f>
        <v>79.7385</v>
      </c>
      <c r="P488" s="53" t="n">
        <f aca="false">IF(O488&lt;&gt;"",O488*0.1,"")</f>
        <v>7.97385</v>
      </c>
      <c r="Q488" s="83" t="n">
        <f aca="false">IF(O488&lt;&gt;"",O488+P488,"")</f>
        <v>87.71235</v>
      </c>
      <c r="R488" s="84"/>
    </row>
    <row r="489" customFormat="false" ht="15" hidden="false" customHeight="true" outlineLevel="0" collapsed="false">
      <c r="A489" s="103" t="n">
        <v>55922</v>
      </c>
      <c r="B489" s="85" t="n">
        <v>46205</v>
      </c>
      <c r="C489" s="86" t="n">
        <v>18091</v>
      </c>
      <c r="D489" s="87" t="n">
        <v>50163</v>
      </c>
      <c r="E489" s="46" t="str">
        <f aca="false">IF(D489&lt;&gt;"",IFERROR(VLOOKUP(D489,PROVEEDORES!$A:$B,2,0),"!COD NO ENCONTRADO"),"")</f>
        <v>SUBASTAS RIVERA S.L.</v>
      </c>
      <c r="F489" s="88" t="str">
        <f aca="false">IF(D489&lt;&gt;"",IFERROR(VLOOKUP(D489,PROVEEDORES!$A:$C,3,0),""),"")</f>
        <v>S</v>
      </c>
      <c r="G489" s="87" t="s">
        <v>227</v>
      </c>
      <c r="H489" s="46" t="str">
        <f aca="false">IF(G489&lt;&gt;"",IFERROR(VLOOKUP(G489,PRODUCTOS!$A:$B,2,0),"!COD NO ENCONTRADO"),"")</f>
        <v>MERLUZA EUROPEA PINCHO COSTA 1,5/2</v>
      </c>
      <c r="I489" s="89" t="n">
        <v>1</v>
      </c>
      <c r="J489" s="90" t="n">
        <v>17.5</v>
      </c>
      <c r="K489" s="91" t="n">
        <v>10</v>
      </c>
      <c r="L489" s="80" t="n">
        <f aca="false">IF(AND(J489&lt;&gt;"",K489&lt;&gt;""),J489*K489,"")</f>
        <v>175</v>
      </c>
      <c r="M489" s="81" t="n">
        <f aca="false">IF(L489&lt;&gt;"",L489*1.1,"")</f>
        <v>192.5</v>
      </c>
      <c r="N489" s="47" t="n">
        <f aca="false">IF(F489="S",L489*0.02,0)</f>
        <v>3.5</v>
      </c>
      <c r="O489" s="82" t="n">
        <f aca="false">IF(L489&lt;&gt;"",L489+N489,"")</f>
        <v>178.5</v>
      </c>
      <c r="P489" s="47" t="n">
        <f aca="false">IF(O489&lt;&gt;"",O489*0.1,"")</f>
        <v>17.85</v>
      </c>
      <c r="Q489" s="83" t="n">
        <f aca="false">IF(O489&lt;&gt;"",O489+P489,"")</f>
        <v>196.35</v>
      </c>
      <c r="R489" s="84"/>
    </row>
    <row r="490" customFormat="false" ht="15" hidden="false" customHeight="true" outlineLevel="0" collapsed="false">
      <c r="A490" s="103" t="n">
        <v>55922</v>
      </c>
      <c r="B490" s="73" t="n">
        <v>46205</v>
      </c>
      <c r="C490" s="74" t="n">
        <v>18091</v>
      </c>
      <c r="D490" s="75" t="n">
        <v>50163</v>
      </c>
      <c r="E490" s="52" t="str">
        <f aca="false">IF(D490&lt;&gt;"",IFERROR(VLOOKUP(D490,PROVEEDORES!$A:$B,2,0),"!COD NO ENCONTRADO"),"")</f>
        <v>SUBASTAS RIVERA S.L.</v>
      </c>
      <c r="F490" s="76" t="str">
        <f aca="false">IF(D490&lt;&gt;"",IFERROR(VLOOKUP(D490,PROVEEDORES!$A:$C,3,0),""),"")</f>
        <v>S</v>
      </c>
      <c r="G490" s="75" t="s">
        <v>288</v>
      </c>
      <c r="H490" s="52" t="str">
        <f aca="false">IF(G490&lt;&gt;"",IFERROR(VLOOKUP(G490,PRODUCTOS!$A:$B,2,0),"!COD NO ENCONTRADO"),"")</f>
        <v>RAPE BLANCO DIA (MON)</v>
      </c>
      <c r="I490" s="77" t="n">
        <v>1</v>
      </c>
      <c r="J490" s="78" t="n">
        <v>6.3</v>
      </c>
      <c r="K490" s="79" t="n">
        <v>7.2</v>
      </c>
      <c r="L490" s="80" t="n">
        <f aca="false">IF(AND(J490&lt;&gt;"",K490&lt;&gt;""),J490*K490,"")</f>
        <v>45.36</v>
      </c>
      <c r="M490" s="81" t="n">
        <f aca="false">IF(L490&lt;&gt;"",L490*1.1,"")</f>
        <v>49.896</v>
      </c>
      <c r="N490" s="53" t="n">
        <f aca="false">IF(F490="S",L490*0.02,0)</f>
        <v>0.9072</v>
      </c>
      <c r="O490" s="82" t="n">
        <f aca="false">IF(L490&lt;&gt;"",L490+N490,"")</f>
        <v>46.2672</v>
      </c>
      <c r="P490" s="53" t="n">
        <f aca="false">IF(O490&lt;&gt;"",O490*0.1,"")</f>
        <v>4.62672</v>
      </c>
      <c r="Q490" s="83" t="n">
        <f aca="false">IF(O490&lt;&gt;"",O490+P490,"")</f>
        <v>50.89392</v>
      </c>
      <c r="R490" s="84"/>
    </row>
    <row r="491" customFormat="false" ht="15" hidden="false" customHeight="true" outlineLevel="0" collapsed="false">
      <c r="A491" s="103" t="n">
        <v>55922</v>
      </c>
      <c r="B491" s="85" t="n">
        <v>46205</v>
      </c>
      <c r="C491" s="86" t="n">
        <v>18091</v>
      </c>
      <c r="D491" s="87" t="n">
        <v>50163</v>
      </c>
      <c r="E491" s="46" t="str">
        <f aca="false">IF(D491&lt;&gt;"",IFERROR(VLOOKUP(D491,PROVEEDORES!$A:$B,2,0),"!COD NO ENCONTRADO"),"")</f>
        <v>SUBASTAS RIVERA S.L.</v>
      </c>
      <c r="F491" s="88" t="str">
        <f aca="false">IF(D491&lt;&gt;"",IFERROR(VLOOKUP(D491,PROVEEDORES!$A:$C,3,0),""),"")</f>
        <v>S</v>
      </c>
      <c r="G491" s="87" t="s">
        <v>235</v>
      </c>
      <c r="H491" s="46" t="str">
        <f aca="false">IF(G491&lt;&gt;"",IFERROR(VLOOKUP(G491,PRODUCTOS!$A:$B,2,0),"!COD NO ENCONTRADO"),"")</f>
        <v>MERLUZA EUROPEA VOLANTA COSTA</v>
      </c>
      <c r="I491" s="89" t="n">
        <v>2</v>
      </c>
      <c r="J491" s="90" t="n">
        <f aca="false">3.75+5.25</f>
        <v>9</v>
      </c>
      <c r="K491" s="91" t="n">
        <v>10.5</v>
      </c>
      <c r="L491" s="80" t="n">
        <f aca="false">IF(AND(J491&lt;&gt;"",K491&lt;&gt;""),J491*K491,"")</f>
        <v>94.5</v>
      </c>
      <c r="M491" s="81" t="n">
        <f aca="false">IF(L491&lt;&gt;"",L491*1.1,"")</f>
        <v>103.95</v>
      </c>
      <c r="N491" s="47" t="n">
        <f aca="false">IF(F491="S",L491*0.02,0)</f>
        <v>1.89</v>
      </c>
      <c r="O491" s="82" t="n">
        <f aca="false">IF(L491&lt;&gt;"",L491+N491,"")</f>
        <v>96.39</v>
      </c>
      <c r="P491" s="47" t="n">
        <f aca="false">IF(O491&lt;&gt;"",O491*0.1,"")</f>
        <v>9.639</v>
      </c>
      <c r="Q491" s="83" t="n">
        <f aca="false">IF(O491&lt;&gt;"",O491+P491,"")</f>
        <v>106.029</v>
      </c>
      <c r="R491" s="84"/>
    </row>
    <row r="492" customFormat="false" ht="15" hidden="false" customHeight="true" outlineLevel="0" collapsed="false">
      <c r="A492" s="103" t="n">
        <v>55923</v>
      </c>
      <c r="B492" s="73" t="n">
        <v>46205</v>
      </c>
      <c r="C492" s="74" t="n">
        <v>15474</v>
      </c>
      <c r="D492" s="75" t="n">
        <v>50160</v>
      </c>
      <c r="E492" s="52" t="str">
        <f aca="false">IF(D492&lt;&gt;"",IFERROR(VLOOKUP(D492,PROVEEDORES!$A:$B,2,0),"!COD NO ENCONTRADO"),"")</f>
        <v>SUBASTAS CORUÑA S.L.</v>
      </c>
      <c r="F492" s="76" t="str">
        <f aca="false">IF(D492&lt;&gt;"",IFERROR(VLOOKUP(D492,PROVEEDORES!$A:$C,3,0),""),"")</f>
        <v>S</v>
      </c>
      <c r="G492" s="75" t="s">
        <v>288</v>
      </c>
      <c r="H492" s="52" t="str">
        <f aca="false">IF(G492&lt;&gt;"",IFERROR(VLOOKUP(G492,PRODUCTOS!$A:$B,2,0),"!COD NO ENCONTRADO"),"")</f>
        <v>RAPE BLANCO DIA (MON)</v>
      </c>
      <c r="I492" s="77" t="n">
        <v>1</v>
      </c>
      <c r="J492" s="78" t="n">
        <v>11.75</v>
      </c>
      <c r="K492" s="79" t="n">
        <v>7</v>
      </c>
      <c r="L492" s="80" t="n">
        <f aca="false">IF(AND(J492&lt;&gt;"",K492&lt;&gt;""),J492*K492,"")</f>
        <v>82.25</v>
      </c>
      <c r="M492" s="81" t="n">
        <f aca="false">IF(L492&lt;&gt;"",L492*1.1,"")</f>
        <v>90.475</v>
      </c>
      <c r="N492" s="53" t="n">
        <f aca="false">IF(F492="S",L492*0.02,0)</f>
        <v>1.645</v>
      </c>
      <c r="O492" s="82" t="n">
        <f aca="false">IF(L492&lt;&gt;"",L492+N492,"")</f>
        <v>83.895</v>
      </c>
      <c r="P492" s="53" t="n">
        <f aca="false">IF(O492&lt;&gt;"",O492*0.1,"")</f>
        <v>8.3895</v>
      </c>
      <c r="Q492" s="83" t="n">
        <f aca="false">IF(O492&lt;&gt;"",O492+P492,"")</f>
        <v>92.2845</v>
      </c>
      <c r="R492" s="84"/>
    </row>
    <row r="493" customFormat="false" ht="15" hidden="false" customHeight="true" outlineLevel="0" collapsed="false">
      <c r="A493" s="103" t="n">
        <v>55923</v>
      </c>
      <c r="B493" s="73" t="n">
        <v>46205</v>
      </c>
      <c r="C493" s="86" t="n">
        <v>15474</v>
      </c>
      <c r="D493" s="87" t="n">
        <v>50160</v>
      </c>
      <c r="E493" s="46" t="str">
        <f aca="false">IF(D493&lt;&gt;"",IFERROR(VLOOKUP(D493,PROVEEDORES!$A:$B,2,0),"!COD NO ENCONTRADO"),"")</f>
        <v>SUBASTAS CORUÑA S.L.</v>
      </c>
      <c r="F493" s="88" t="str">
        <f aca="false">IF(D493&lt;&gt;"",IFERROR(VLOOKUP(D493,PROVEEDORES!$A:$C,3,0),""),"")</f>
        <v>S</v>
      </c>
      <c r="G493" s="87" t="s">
        <v>288</v>
      </c>
      <c r="H493" s="46" t="str">
        <f aca="false">IF(G493&lt;&gt;"",IFERROR(VLOOKUP(G493,PRODUCTOS!$A:$B,2,0),"!COD NO ENCONTRADO"),"")</f>
        <v>RAPE BLANCO DIA (MON)</v>
      </c>
      <c r="I493" s="89" t="n">
        <v>1</v>
      </c>
      <c r="J493" s="90" t="n">
        <v>12.5</v>
      </c>
      <c r="K493" s="91" t="n">
        <v>6.3</v>
      </c>
      <c r="L493" s="80" t="n">
        <f aca="false">IF(AND(J493&lt;&gt;"",K493&lt;&gt;""),J493*K493,"")</f>
        <v>78.75</v>
      </c>
      <c r="M493" s="81" t="n">
        <f aca="false">IF(L493&lt;&gt;"",L493*1.1,"")</f>
        <v>86.625</v>
      </c>
      <c r="N493" s="47" t="n">
        <f aca="false">IF(F493="S",L493*0.02,0)</f>
        <v>1.575</v>
      </c>
      <c r="O493" s="82" t="n">
        <f aca="false">IF(L493&lt;&gt;"",L493+N493,"")</f>
        <v>80.325</v>
      </c>
      <c r="P493" s="47" t="n">
        <f aca="false">IF(O493&lt;&gt;"",O493*0.1,"")</f>
        <v>8.0325</v>
      </c>
      <c r="Q493" s="83" t="n">
        <f aca="false">IF(O493&lt;&gt;"",O493+P493,"")</f>
        <v>88.3575</v>
      </c>
      <c r="R493" s="84"/>
    </row>
    <row r="494" customFormat="false" ht="15" hidden="false" customHeight="true" outlineLevel="0" collapsed="false">
      <c r="A494" s="103" t="n">
        <v>55923</v>
      </c>
      <c r="B494" s="73" t="n">
        <v>46205</v>
      </c>
      <c r="C494" s="86" t="n">
        <v>18091</v>
      </c>
      <c r="D494" s="87" t="n">
        <v>50163</v>
      </c>
      <c r="E494" s="46" t="str">
        <f aca="false">IF(D494&lt;&gt;"",IFERROR(VLOOKUP(D494,PROVEEDORES!$A:$B,2,0),"!COD NO ENCONTRADO"),"")</f>
        <v>SUBASTAS RIVERA S.L.</v>
      </c>
      <c r="F494" s="88" t="str">
        <f aca="false">IF(D494&lt;&gt;"",IFERROR(VLOOKUP(D494,PROVEEDORES!$A:$C,3,0),""),"")</f>
        <v>S</v>
      </c>
      <c r="G494" s="87" t="s">
        <v>288</v>
      </c>
      <c r="H494" s="46" t="str">
        <f aca="false">IF(G494&lt;&gt;"",IFERROR(VLOOKUP(G494,PRODUCTOS!$A:$B,2,0),"!COD NO ENCONTRADO"),"")</f>
        <v>RAPE BLANCO DIA (MON)</v>
      </c>
      <c r="I494" s="89" t="n">
        <v>1</v>
      </c>
      <c r="J494" s="90" t="n">
        <v>12</v>
      </c>
      <c r="K494" s="91" t="n">
        <v>7.5</v>
      </c>
      <c r="L494" s="80" t="n">
        <f aca="false">IF(AND(J494&lt;&gt;"",K494&lt;&gt;""),J494*K494,"")</f>
        <v>90</v>
      </c>
      <c r="M494" s="81" t="n">
        <f aca="false">IF(L494&lt;&gt;"",L494*1.1,"")</f>
        <v>99</v>
      </c>
      <c r="N494" s="47" t="n">
        <f aca="false">IF(F494="S",L494*0.02,0)</f>
        <v>1.8</v>
      </c>
      <c r="O494" s="82" t="n">
        <f aca="false">IF(L494&lt;&gt;"",L494+N494,"")</f>
        <v>91.8</v>
      </c>
      <c r="P494" s="47" t="n">
        <f aca="false">IF(O494&lt;&gt;"",O494*0.1,"")</f>
        <v>9.18</v>
      </c>
      <c r="Q494" s="83" t="n">
        <f aca="false">IF(O494&lt;&gt;"",O494+P494,"")</f>
        <v>100.98</v>
      </c>
      <c r="R494" s="84"/>
    </row>
    <row r="495" customFormat="false" ht="15" hidden="false" customHeight="true" outlineLevel="0" collapsed="false">
      <c r="A495" s="103" t="n">
        <v>55923</v>
      </c>
      <c r="B495" s="73" t="n">
        <v>46205</v>
      </c>
      <c r="C495" s="74" t="n">
        <v>18091</v>
      </c>
      <c r="D495" s="75" t="n">
        <v>50163</v>
      </c>
      <c r="E495" s="52" t="str">
        <f aca="false">IF(D495&lt;&gt;"",IFERROR(VLOOKUP(D495,PROVEEDORES!$A:$B,2,0),"!COD NO ENCONTRADO"),"")</f>
        <v>SUBASTAS RIVERA S.L.</v>
      </c>
      <c r="F495" s="76" t="str">
        <f aca="false">IF(D495&lt;&gt;"",IFERROR(VLOOKUP(D495,PROVEEDORES!$A:$C,3,0),""),"")</f>
        <v>S</v>
      </c>
      <c r="G495" s="75" t="s">
        <v>135</v>
      </c>
      <c r="H495" s="52" t="str">
        <f aca="false">IF(G495&lt;&gt;"",IFERROR(VLOOKUP(G495,PRODUCTOS!$A:$B,2,0),"!COD NO ENCONTRADO"),"")</f>
        <v>CONGRIO 10+  (COE)</v>
      </c>
      <c r="I495" s="77" t="n">
        <v>1</v>
      </c>
      <c r="J495" s="78" t="n">
        <v>26.25</v>
      </c>
      <c r="K495" s="79" t="n">
        <v>3.4</v>
      </c>
      <c r="L495" s="80" t="n">
        <f aca="false">IF(AND(J495&lt;&gt;"",K495&lt;&gt;""),J495*K495,"")</f>
        <v>89.25</v>
      </c>
      <c r="M495" s="81" t="n">
        <f aca="false">IF(L495&lt;&gt;"",L495*1.1,"")</f>
        <v>98.175</v>
      </c>
      <c r="N495" s="53" t="n">
        <f aca="false">IF(F495="S",L495*0.02,0)</f>
        <v>1.785</v>
      </c>
      <c r="O495" s="82" t="n">
        <f aca="false">IF(L495&lt;&gt;"",L495+N495,"")</f>
        <v>91.035</v>
      </c>
      <c r="P495" s="53" t="n">
        <f aca="false">IF(O495&lt;&gt;"",O495*0.1,"")</f>
        <v>9.1035</v>
      </c>
      <c r="Q495" s="83" t="n">
        <f aca="false">IF(O495&lt;&gt;"",O495+P495,"")</f>
        <v>100.1385</v>
      </c>
      <c r="R495" s="84"/>
    </row>
    <row r="496" customFormat="false" ht="15" hidden="false" customHeight="true" outlineLevel="0" collapsed="false">
      <c r="A496" s="103" t="n">
        <v>55923</v>
      </c>
      <c r="B496" s="85" t="n">
        <v>46205</v>
      </c>
      <c r="C496" s="86" t="n">
        <v>18091</v>
      </c>
      <c r="D496" s="87" t="n">
        <v>50163</v>
      </c>
      <c r="E496" s="46" t="str">
        <f aca="false">IF(D496&lt;&gt;"",IFERROR(VLOOKUP(D496,PROVEEDORES!$A:$B,2,0),"!COD NO ENCONTRADO"),"")</f>
        <v>SUBASTAS RIVERA S.L.</v>
      </c>
      <c r="F496" s="88" t="str">
        <f aca="false">IF(D496&lt;&gt;"",IFERROR(VLOOKUP(D496,PROVEEDORES!$A:$C,3,0),""),"")</f>
        <v>S</v>
      </c>
      <c r="G496" s="87" t="s">
        <v>193</v>
      </c>
      <c r="H496" s="46" t="str">
        <f aca="false">IF(G496&lt;&gt;"",IFERROR(VLOOKUP(G496,PRODUCTOS!$A:$B,2,0),"!COD NO ENCONTRADO"),"")</f>
        <v>MERLUZA EUROPEA ARRASTRE (HKE) </v>
      </c>
      <c r="I496" s="89" t="n">
        <v>3</v>
      </c>
      <c r="J496" s="90" t="n">
        <f aca="false">9.5+9.25+10</f>
        <v>28.75</v>
      </c>
      <c r="K496" s="91" t="n">
        <v>4.2</v>
      </c>
      <c r="L496" s="80" t="n">
        <f aca="false">IF(AND(J496&lt;&gt;"",K496&lt;&gt;""),J496*K496,"")</f>
        <v>120.75</v>
      </c>
      <c r="M496" s="81" t="n">
        <f aca="false">IF(L496&lt;&gt;"",L496*1.1,"")</f>
        <v>132.825</v>
      </c>
      <c r="N496" s="47" t="n">
        <f aca="false">IF(F496="S",L496*0.02,0)</f>
        <v>2.415</v>
      </c>
      <c r="O496" s="82" t="n">
        <f aca="false">IF(L496&lt;&gt;"",L496+N496,"")</f>
        <v>123.165</v>
      </c>
      <c r="P496" s="47" t="n">
        <f aca="false">IF(O496&lt;&gt;"",O496*0.1,"")</f>
        <v>12.3165</v>
      </c>
      <c r="Q496" s="83" t="n">
        <f aca="false">IF(O496&lt;&gt;"",O496+P496,"")</f>
        <v>135.4815</v>
      </c>
      <c r="R496" s="84"/>
    </row>
    <row r="497" customFormat="false" ht="15" hidden="false" customHeight="true" outlineLevel="0" collapsed="false">
      <c r="A497" s="103" t="n">
        <v>55924</v>
      </c>
      <c r="B497" s="85" t="n">
        <v>46205</v>
      </c>
      <c r="C497" s="74" t="n">
        <v>7548</v>
      </c>
      <c r="D497" s="75" t="n">
        <v>50069</v>
      </c>
      <c r="E497" s="52" t="str">
        <f aca="false">IF(D497&lt;&gt;"",IFERROR(VLOOKUP(D497,PROVEEDORES!$A:$B,2,0),"!COD NO ENCONTRADO"),"")</f>
        <v>PESCADOS ILLANES S.L.</v>
      </c>
      <c r="F497" s="76" t="str">
        <f aca="false">IF(D497&lt;&gt;"",IFERROR(VLOOKUP(D497,PROVEEDORES!$A:$C,3,0),""),"")</f>
        <v>S</v>
      </c>
      <c r="G497" s="75" t="s">
        <v>193</v>
      </c>
      <c r="H497" s="52" t="str">
        <f aca="false">IF(G497&lt;&gt;"",IFERROR(VLOOKUP(G497,PRODUCTOS!$A:$B,2,0),"!COD NO ENCONTRADO"),"")</f>
        <v>MERLUZA EUROPEA ARRASTRE (HKE) </v>
      </c>
      <c r="I497" s="77" t="n">
        <v>4</v>
      </c>
      <c r="J497" s="78" t="n">
        <v>35.5</v>
      </c>
      <c r="K497" s="79" t="n">
        <v>3.5</v>
      </c>
      <c r="L497" s="80" t="n">
        <f aca="false">IF(AND(J497&lt;&gt;"",K497&lt;&gt;""),J497*K497,"")</f>
        <v>124.25</v>
      </c>
      <c r="M497" s="81" t="n">
        <f aca="false">IF(L497&lt;&gt;"",L497*1.1,"")</f>
        <v>136.675</v>
      </c>
      <c r="N497" s="53" t="n">
        <f aca="false">IF(F497="S",L497*0.02,0)</f>
        <v>2.485</v>
      </c>
      <c r="O497" s="82" t="n">
        <f aca="false">IF(L497&lt;&gt;"",L497+N497,"")</f>
        <v>126.735</v>
      </c>
      <c r="P497" s="53" t="n">
        <f aca="false">IF(O497&lt;&gt;"",O497*0.1,"")</f>
        <v>12.6735</v>
      </c>
      <c r="Q497" s="83" t="n">
        <f aca="false">IF(O497&lt;&gt;"",O497+P497,"")</f>
        <v>139.4085</v>
      </c>
      <c r="R497" s="84"/>
    </row>
    <row r="498" customFormat="false" ht="15" hidden="false" customHeight="true" outlineLevel="0" collapsed="false">
      <c r="A498" s="103" t="n">
        <v>55925</v>
      </c>
      <c r="B498" s="73" t="n">
        <v>46205</v>
      </c>
      <c r="C498" s="74" t="n">
        <v>107</v>
      </c>
      <c r="D498" s="75" t="n">
        <v>50232</v>
      </c>
      <c r="E498" s="52" t="str">
        <f aca="false">IF(D498&lt;&gt;"",IFERROR(VLOOKUP(D498,PROVEEDORES!$A:$B,2,0),"!COD NO ENCONTRADO"),"")</f>
        <v>XESTION NOVA LONXA RIVEIRA S.L.</v>
      </c>
      <c r="F498" s="76" t="str">
        <f aca="false">IF(D498&lt;&gt;"",IFERROR(VLOOKUP(D498,PROVEEDORES!$A:$C,3,0),""),"")</f>
        <v>S</v>
      </c>
      <c r="G498" s="75" t="s">
        <v>332</v>
      </c>
      <c r="H498" s="52" t="str">
        <f aca="false">IF(G498&lt;&gt;"",IFERROR(VLOOKUP(G498,PRODUCTOS!$A:$B,2,0),"!COD NO ENCONTRADO"),"")</f>
        <v>VARIADO PEQUEÑO</v>
      </c>
      <c r="I498" s="77" t="n">
        <v>1</v>
      </c>
      <c r="J498" s="78" t="n">
        <v>8</v>
      </c>
      <c r="K498" s="79" t="n">
        <v>1.5</v>
      </c>
      <c r="L498" s="80" t="n">
        <f aca="false">IF(AND(J498&lt;&gt;"",K498&lt;&gt;""),J498*K498,"")</f>
        <v>12</v>
      </c>
      <c r="M498" s="81" t="n">
        <f aca="false">IF(L498&lt;&gt;"",L498*1.1,"")</f>
        <v>13.2</v>
      </c>
      <c r="N498" s="53" t="n">
        <f aca="false">IF(F498="S",L498*0.02,0)</f>
        <v>0.24</v>
      </c>
      <c r="O498" s="82" t="n">
        <f aca="false">IF(L498&lt;&gt;"",L498+N498,"")</f>
        <v>12.24</v>
      </c>
      <c r="P498" s="53" t="n">
        <f aca="false">IF(O498&lt;&gt;"",O498*0.1,"")</f>
        <v>1.224</v>
      </c>
      <c r="Q498" s="83" t="n">
        <f aca="false">IF(O498&lt;&gt;"",O498+P498,"")</f>
        <v>13.464</v>
      </c>
      <c r="R498" s="84"/>
    </row>
    <row r="499" customFormat="false" ht="15" hidden="false" customHeight="true" outlineLevel="0" collapsed="false">
      <c r="A499" s="103" t="n">
        <v>55925</v>
      </c>
      <c r="B499" s="85" t="n">
        <v>46205</v>
      </c>
      <c r="C499" s="86" t="n">
        <v>107</v>
      </c>
      <c r="D499" s="87" t="n">
        <v>50232</v>
      </c>
      <c r="E499" s="46" t="str">
        <f aca="false">IF(D499&lt;&gt;"",IFERROR(VLOOKUP(D499,PROVEEDORES!$A:$B,2,0),"!COD NO ENCONTRADO"),"")</f>
        <v>XESTION NOVA LONXA RIVEIRA S.L.</v>
      </c>
      <c r="F499" s="88" t="str">
        <f aca="false">IF(D499&lt;&gt;"",IFERROR(VLOOKUP(D499,PROVEEDORES!$A:$C,3,0),""),"")</f>
        <v>S</v>
      </c>
      <c r="G499" s="87" t="s">
        <v>270</v>
      </c>
      <c r="H499" s="46" t="str">
        <f aca="false">IF(G499&lt;&gt;"",IFERROR(VLOOKUP(G499,PRODUCTOS!$A:$B,2,0),"!COD NO ENCONTRADO"),"")</f>
        <v>PEON/ PION (ATP)</v>
      </c>
      <c r="I499" s="89" t="n">
        <v>5</v>
      </c>
      <c r="J499" s="90" t="n">
        <v>24.25</v>
      </c>
      <c r="K499" s="91" t="n">
        <v>4</v>
      </c>
      <c r="L499" s="80" t="n">
        <f aca="false">IF(AND(J499&lt;&gt;"",K499&lt;&gt;""),J499*K499,"")</f>
        <v>97</v>
      </c>
      <c r="M499" s="81" t="n">
        <f aca="false">IF(L499&lt;&gt;"",L499*1.1,"")</f>
        <v>106.7</v>
      </c>
      <c r="N499" s="47" t="n">
        <f aca="false">IF(F499="S",L499*0.02,0)</f>
        <v>1.94</v>
      </c>
      <c r="O499" s="82" t="n">
        <f aca="false">IF(L499&lt;&gt;"",L499+N499,"")</f>
        <v>98.94</v>
      </c>
      <c r="P499" s="47" t="n">
        <f aca="false">IF(O499&lt;&gt;"",O499*0.1,"")</f>
        <v>9.894</v>
      </c>
      <c r="Q499" s="83" t="n">
        <f aca="false">IF(O499&lt;&gt;"",O499+P499,"")</f>
        <v>108.834</v>
      </c>
      <c r="R499" s="84"/>
    </row>
    <row r="500" customFormat="false" ht="15" hidden="false" customHeight="true" outlineLevel="0" collapsed="false">
      <c r="A500" s="103" t="n">
        <v>55925</v>
      </c>
      <c r="B500" s="73" t="n">
        <v>46205</v>
      </c>
      <c r="C500" s="74" t="n">
        <v>107</v>
      </c>
      <c r="D500" s="75" t="n">
        <v>50232</v>
      </c>
      <c r="E500" s="52" t="str">
        <f aca="false">IF(D500&lt;&gt;"",IFERROR(VLOOKUP(D500,PROVEEDORES!$A:$B,2,0),"!COD NO ENCONTRADO"),"")</f>
        <v>XESTION NOVA LONXA RIVEIRA S.L.</v>
      </c>
      <c r="F500" s="76" t="str">
        <f aca="false">IF(D500&lt;&gt;"",IFERROR(VLOOKUP(D500,PROVEEDORES!$A:$C,3,0),""),"")</f>
        <v>S</v>
      </c>
      <c r="G500" s="75" t="s">
        <v>296</v>
      </c>
      <c r="H500" s="52" t="str">
        <f aca="false">IF(G500&lt;&gt;"",IFERROR(VLOOKUP(G500,PRODUCTOS!$A:$B,2,0),"!COD NO ENCONTRADO"),"")</f>
        <v>RAPE NEGRO (ANK)</v>
      </c>
      <c r="I500" s="77" t="n">
        <v>1</v>
      </c>
      <c r="J500" s="78" t="n">
        <v>5</v>
      </c>
      <c r="K500" s="79" t="n">
        <v>3.92</v>
      </c>
      <c r="L500" s="80" t="n">
        <f aca="false">IF(AND(J500&lt;&gt;"",K500&lt;&gt;""),J500*K500,"")</f>
        <v>19.6</v>
      </c>
      <c r="M500" s="81" t="n">
        <f aca="false">IF(L500&lt;&gt;"",L500*1.1,"")</f>
        <v>21.56</v>
      </c>
      <c r="N500" s="53" t="n">
        <f aca="false">IF(F500="S",L500*0.02,0)</f>
        <v>0.392</v>
      </c>
      <c r="O500" s="82" t="n">
        <f aca="false">IF(L500&lt;&gt;"",L500+N500,"")</f>
        <v>19.992</v>
      </c>
      <c r="P500" s="53" t="n">
        <f aca="false">IF(O500&lt;&gt;"",O500*0.1,"")</f>
        <v>1.9992</v>
      </c>
      <c r="Q500" s="83" t="n">
        <f aca="false">IF(O500&lt;&gt;"",O500+P500,"")</f>
        <v>21.9912</v>
      </c>
      <c r="R500" s="84"/>
    </row>
    <row r="501" customFormat="false" ht="15" hidden="false" customHeight="true" outlineLevel="0" collapsed="false">
      <c r="A501" s="103" t="n">
        <v>55925</v>
      </c>
      <c r="B501" s="73" t="n">
        <v>46205</v>
      </c>
      <c r="C501" s="86" t="n">
        <v>107</v>
      </c>
      <c r="D501" s="87" t="n">
        <v>50232</v>
      </c>
      <c r="E501" s="46" t="str">
        <f aca="false">IF(D501&lt;&gt;"",IFERROR(VLOOKUP(D501,PROVEEDORES!$A:$B,2,0),"!COD NO ENCONTRADO"),"")</f>
        <v>XESTION NOVA LONXA RIVEIRA S.L.</v>
      </c>
      <c r="F501" s="88" t="str">
        <f aca="false">IF(D501&lt;&gt;"",IFERROR(VLOOKUP(D501,PROVEEDORES!$A:$C,3,0),""),"")</f>
        <v>S</v>
      </c>
      <c r="G501" s="87" t="s">
        <v>296</v>
      </c>
      <c r="H501" s="46" t="str">
        <f aca="false">IF(G501&lt;&gt;"",IFERROR(VLOOKUP(G501,PRODUCTOS!$A:$B,2,0),"!COD NO ENCONTRADO"),"")</f>
        <v>RAPE NEGRO (ANK)</v>
      </c>
      <c r="I501" s="89" t="n">
        <v>2</v>
      </c>
      <c r="J501" s="90" t="n">
        <v>64.6</v>
      </c>
      <c r="K501" s="91" t="n">
        <v>5.5</v>
      </c>
      <c r="L501" s="80" t="n">
        <f aca="false">IF(AND(J501&lt;&gt;"",K501&lt;&gt;""),J501*K501,"")</f>
        <v>355.3</v>
      </c>
      <c r="M501" s="81" t="n">
        <f aca="false">IF(L501&lt;&gt;"",L501*1.1,"")</f>
        <v>390.83</v>
      </c>
      <c r="N501" s="47" t="n">
        <f aca="false">IF(F501="S",L501*0.02,0)</f>
        <v>7.106</v>
      </c>
      <c r="O501" s="82" t="n">
        <f aca="false">IF(L501&lt;&gt;"",L501+N501,"")</f>
        <v>362.406</v>
      </c>
      <c r="P501" s="47" t="n">
        <f aca="false">IF(O501&lt;&gt;"",O501*0.1,"")</f>
        <v>36.2406</v>
      </c>
      <c r="Q501" s="83" t="n">
        <f aca="false">IF(O501&lt;&gt;"",O501+P501,"")</f>
        <v>398.6466</v>
      </c>
      <c r="R501" s="84"/>
    </row>
    <row r="502" customFormat="false" ht="15" hidden="false" customHeight="true" outlineLevel="0" collapsed="false">
      <c r="A502" s="103" t="n">
        <v>55925</v>
      </c>
      <c r="B502" s="85" t="n">
        <v>46205</v>
      </c>
      <c r="C502" s="74" t="n">
        <v>107</v>
      </c>
      <c r="D502" s="75" t="n">
        <v>50232</v>
      </c>
      <c r="E502" s="52" t="str">
        <f aca="false">IF(D502&lt;&gt;"",IFERROR(VLOOKUP(D502,PROVEEDORES!$A:$B,2,0),"!COD NO ENCONTRADO"),"")</f>
        <v>XESTION NOVA LONXA RIVEIRA S.L.</v>
      </c>
      <c r="F502" s="76" t="str">
        <f aca="false">IF(D502&lt;&gt;"",IFERROR(VLOOKUP(D502,PROVEEDORES!$A:$C,3,0),""),"")</f>
        <v>S</v>
      </c>
      <c r="G502" s="75" t="s">
        <v>332</v>
      </c>
      <c r="H502" s="52" t="str">
        <f aca="false">IF(G502&lt;&gt;"",IFERROR(VLOOKUP(G502,PRODUCTOS!$A:$B,2,0),"!COD NO ENCONTRADO"),"")</f>
        <v>VARIADO PEQUEÑO</v>
      </c>
      <c r="I502" s="77" t="n">
        <v>1</v>
      </c>
      <c r="J502" s="78" t="n">
        <v>4.5</v>
      </c>
      <c r="K502" s="79" t="n">
        <v>1.5</v>
      </c>
      <c r="L502" s="80" t="n">
        <f aca="false">IF(AND(J502&lt;&gt;"",K502&lt;&gt;""),J502*K502,"")</f>
        <v>6.75</v>
      </c>
      <c r="M502" s="81" t="n">
        <f aca="false">IF(L502&lt;&gt;"",L502*1.1,"")</f>
        <v>7.425</v>
      </c>
      <c r="N502" s="53" t="n">
        <f aca="false">IF(F502="S",L502*0.02,0)</f>
        <v>0.135</v>
      </c>
      <c r="O502" s="82" t="n">
        <f aca="false">IF(L502&lt;&gt;"",L502+N502,"")</f>
        <v>6.885</v>
      </c>
      <c r="P502" s="53" t="n">
        <f aca="false">IF(O502&lt;&gt;"",O502*0.1,"")</f>
        <v>0.6885</v>
      </c>
      <c r="Q502" s="83" t="n">
        <f aca="false">IF(O502&lt;&gt;"",O502+P502,"")</f>
        <v>7.5735</v>
      </c>
      <c r="R502" s="84"/>
    </row>
    <row r="503" customFormat="false" ht="15" hidden="false" customHeight="true" outlineLevel="0" collapsed="false">
      <c r="A503" s="103" t="n">
        <v>55925</v>
      </c>
      <c r="B503" s="73" t="n">
        <v>46205</v>
      </c>
      <c r="C503" s="86" t="n">
        <v>107</v>
      </c>
      <c r="D503" s="87" t="n">
        <v>50232</v>
      </c>
      <c r="E503" s="46" t="str">
        <f aca="false">IF(D503&lt;&gt;"",IFERROR(VLOOKUP(D503,PROVEEDORES!$A:$B,2,0),"!COD NO ENCONTRADO"),"")</f>
        <v>XESTION NOVA LONXA RIVEIRA S.L.</v>
      </c>
      <c r="F503" s="88" t="str">
        <f aca="false">IF(D503&lt;&gt;"",IFERROR(VLOOKUP(D503,PROVEEDORES!$A:$C,3,0),""),"")</f>
        <v>S</v>
      </c>
      <c r="G503" s="87" t="s">
        <v>288</v>
      </c>
      <c r="H503" s="46" t="str">
        <f aca="false">IF(G503&lt;&gt;"",IFERROR(VLOOKUP(G503,PRODUCTOS!$A:$B,2,0),"!COD NO ENCONTRADO"),"")</f>
        <v>RAPE BLANCO DIA (MON)</v>
      </c>
      <c r="I503" s="89" t="n">
        <v>3</v>
      </c>
      <c r="J503" s="90" t="n">
        <v>10.8</v>
      </c>
      <c r="K503" s="91" t="n">
        <v>5.5</v>
      </c>
      <c r="L503" s="80" t="n">
        <f aca="false">IF(AND(J503&lt;&gt;"",K503&lt;&gt;""),J503*K503,"")</f>
        <v>59.4</v>
      </c>
      <c r="M503" s="81" t="n">
        <f aca="false">IF(L503&lt;&gt;"",L503*1.1,"")</f>
        <v>65.34</v>
      </c>
      <c r="N503" s="47" t="n">
        <f aca="false">IF(F503="S",L503*0.02,0)</f>
        <v>1.188</v>
      </c>
      <c r="O503" s="82" t="n">
        <f aca="false">IF(L503&lt;&gt;"",L503+N503,"")</f>
        <v>60.588</v>
      </c>
      <c r="P503" s="47" t="n">
        <f aca="false">IF(O503&lt;&gt;"",O503*0.1,"")</f>
        <v>6.0588</v>
      </c>
      <c r="Q503" s="83" t="n">
        <f aca="false">IF(O503&lt;&gt;"",O503+P503,"")</f>
        <v>66.6468</v>
      </c>
      <c r="R503" s="84"/>
    </row>
    <row r="504" customFormat="false" ht="15" hidden="false" customHeight="true" outlineLevel="0" collapsed="false">
      <c r="A504" s="103" t="n">
        <v>55925</v>
      </c>
      <c r="B504" s="85" t="n">
        <v>46205</v>
      </c>
      <c r="C504" s="86" t="n">
        <v>107</v>
      </c>
      <c r="D504" s="87" t="n">
        <v>50232</v>
      </c>
      <c r="E504" s="46" t="str">
        <f aca="false">IF(D504&lt;&gt;"",IFERROR(VLOOKUP(D504,PROVEEDORES!$A:$B,2,0),"!COD NO ENCONTRADO"),"")</f>
        <v>XESTION NOVA LONXA RIVEIRA S.L.</v>
      </c>
      <c r="F504" s="88" t="str">
        <f aca="false">IF(D504&lt;&gt;"",IFERROR(VLOOKUP(D504,PROVEEDORES!$A:$C,3,0),""),"")</f>
        <v>S</v>
      </c>
      <c r="G504" s="87" t="s">
        <v>193</v>
      </c>
      <c r="H504" s="46" t="str">
        <f aca="false">IF(G504&lt;&gt;"",IFERROR(VLOOKUP(G504,PRODUCTOS!$A:$B,2,0),"!COD NO ENCONTRADO"),"")</f>
        <v>MERLUZA EUROPEA ARRASTRE (HKE) </v>
      </c>
      <c r="I504" s="89" t="n">
        <v>1</v>
      </c>
      <c r="J504" s="90" t="n">
        <v>6.7</v>
      </c>
      <c r="K504" s="91" t="n">
        <v>0</v>
      </c>
      <c r="L504" s="80" t="n">
        <f aca="false">IF(AND(J504&lt;&gt;"",K504&lt;&gt;""),J504*K504,"")</f>
        <v>0</v>
      </c>
      <c r="M504" s="81" t="n">
        <f aca="false">IF(L504&lt;&gt;"",L504*1.1,"")</f>
        <v>0</v>
      </c>
      <c r="N504" s="47" t="n">
        <f aca="false">IF(F504="S",L504*0.02,0)</f>
        <v>0</v>
      </c>
      <c r="O504" s="82" t="n">
        <f aca="false">IF(L504&lt;&gt;"",L504+N504,"")</f>
        <v>0</v>
      </c>
      <c r="P504" s="47" t="n">
        <f aca="false">IF(O504&lt;&gt;"",O504*0.1,"")</f>
        <v>0</v>
      </c>
      <c r="Q504" s="83" t="n">
        <f aca="false">IF(O504&lt;&gt;"",O504+P504,"")</f>
        <v>0</v>
      </c>
      <c r="R504" s="84"/>
    </row>
    <row r="505" customFormat="false" ht="15" hidden="false" customHeight="true" outlineLevel="0" collapsed="false">
      <c r="A505" s="103" t="n">
        <v>55925</v>
      </c>
      <c r="B505" s="73" t="n">
        <v>46205</v>
      </c>
      <c r="C505" s="74" t="n">
        <v>107</v>
      </c>
      <c r="D505" s="75" t="n">
        <v>50232</v>
      </c>
      <c r="E505" s="52" t="str">
        <f aca="false">IF(D505&lt;&gt;"",IFERROR(VLOOKUP(D505,PROVEEDORES!$A:$B,2,0),"!COD NO ENCONTRADO"),"")</f>
        <v>XESTION NOVA LONXA RIVEIRA S.L.</v>
      </c>
      <c r="F505" s="76" t="str">
        <f aca="false">IF(D505&lt;&gt;"",IFERROR(VLOOKUP(D505,PROVEEDORES!$A:$C,3,0),""),"")</f>
        <v>S</v>
      </c>
      <c r="G505" s="75" t="s">
        <v>179</v>
      </c>
      <c r="H505" s="52" t="str">
        <f aca="false">IF(G505&lt;&gt;"",IFERROR(VLOOKUP(G505,PRODUCTOS!$A:$B,2,0),"!COD NO ENCONTRADO"),"")</f>
        <v>LIRIO/ BACALADILLA/ PERLA (WHB)</v>
      </c>
      <c r="I505" s="77" t="n">
        <v>10</v>
      </c>
      <c r="J505" s="78" t="n">
        <v>150</v>
      </c>
      <c r="K505" s="79" t="n">
        <v>1.336</v>
      </c>
      <c r="L505" s="80" t="n">
        <f aca="false">IF(AND(J505&lt;&gt;"",K505&lt;&gt;""),J505*K505,"")</f>
        <v>200.4</v>
      </c>
      <c r="M505" s="81" t="n">
        <f aca="false">IF(L505&lt;&gt;"",L505*1.1,"")</f>
        <v>220.44</v>
      </c>
      <c r="N505" s="53" t="n">
        <f aca="false">IF(F505="S",L505*0.02,0)</f>
        <v>4.008</v>
      </c>
      <c r="O505" s="82" t="n">
        <f aca="false">IF(L505&lt;&gt;"",L505+N505,"")</f>
        <v>204.408</v>
      </c>
      <c r="P505" s="53" t="n">
        <f aca="false">IF(O505&lt;&gt;"",O505*0.1,"")</f>
        <v>20.4408</v>
      </c>
      <c r="Q505" s="83" t="n">
        <f aca="false">IF(O505&lt;&gt;"",O505+P505,"")</f>
        <v>224.8488</v>
      </c>
      <c r="R505" s="84"/>
    </row>
    <row r="506" customFormat="false" ht="15" hidden="false" customHeight="true" outlineLevel="0" collapsed="false">
      <c r="A506" s="103" t="n">
        <v>55925</v>
      </c>
      <c r="B506" s="85" t="n">
        <v>46205</v>
      </c>
      <c r="C506" s="86" t="n">
        <v>107</v>
      </c>
      <c r="D506" s="87" t="n">
        <v>50232</v>
      </c>
      <c r="E506" s="46" t="str">
        <f aca="false">IF(D506&lt;&gt;"",IFERROR(VLOOKUP(D506,PROVEEDORES!$A:$B,2,0),"!COD NO ENCONTRADO"),"")</f>
        <v>XESTION NOVA LONXA RIVEIRA S.L.</v>
      </c>
      <c r="F506" s="88" t="str">
        <f aca="false">IF(D506&lt;&gt;"",IFERROR(VLOOKUP(D506,PROVEEDORES!$A:$C,3,0),""),"")</f>
        <v>S</v>
      </c>
      <c r="G506" s="87" t="s">
        <v>288</v>
      </c>
      <c r="H506" s="46" t="str">
        <f aca="false">IF(G506&lt;&gt;"",IFERROR(VLOOKUP(G506,PRODUCTOS!$A:$B,2,0),"!COD NO ENCONTRADO"),"")</f>
        <v>RAPE BLANCO DIA (MON)</v>
      </c>
      <c r="I506" s="89" t="n">
        <v>2</v>
      </c>
      <c r="J506" s="90" t="n">
        <v>32</v>
      </c>
      <c r="K506" s="91" t="n">
        <v>4</v>
      </c>
      <c r="L506" s="80" t="n">
        <f aca="false">IF(AND(J506&lt;&gt;"",K506&lt;&gt;""),J506*K506,"")</f>
        <v>128</v>
      </c>
      <c r="M506" s="81" t="n">
        <f aca="false">IF(L506&lt;&gt;"",L506*1.1,"")</f>
        <v>140.8</v>
      </c>
      <c r="N506" s="47" t="n">
        <f aca="false">IF(F506="S",L506*0.02,0)</f>
        <v>2.56</v>
      </c>
      <c r="O506" s="82" t="n">
        <f aca="false">IF(L506&lt;&gt;"",L506+N506,"")</f>
        <v>130.56</v>
      </c>
      <c r="P506" s="47" t="n">
        <f aca="false">IF(O506&lt;&gt;"",O506*0.1,"")</f>
        <v>13.056</v>
      </c>
      <c r="Q506" s="83" t="n">
        <f aca="false">IF(O506&lt;&gt;"",O506+P506,"")</f>
        <v>143.616</v>
      </c>
      <c r="R506" s="84"/>
    </row>
    <row r="507" customFormat="false" ht="15" hidden="false" customHeight="true" outlineLevel="0" collapsed="false">
      <c r="A507" s="103" t="n">
        <v>55926</v>
      </c>
      <c r="B507" s="85" t="n">
        <v>46205</v>
      </c>
      <c r="C507" s="74" t="s">
        <v>402</v>
      </c>
      <c r="D507" s="75" t="n">
        <v>50509</v>
      </c>
      <c r="E507" s="52" t="str">
        <f aca="false">IF(D507&lt;&gt;"",IFERROR(VLOOKUP(D507,PROVEEDORES!$A:$B,2,0),"!COD NO ENCONTRADO"),"")</f>
        <v>AZORFISK UNIPERSONAL LDA</v>
      </c>
      <c r="F507" s="76" t="str">
        <f aca="false">IF(D507&lt;&gt;"",IFERROR(VLOOKUP(D507,PROVEEDORES!$A:$C,3,0),""),"")</f>
        <v>N</v>
      </c>
      <c r="G507" s="75" t="s">
        <v>185</v>
      </c>
      <c r="H507" s="52" t="str">
        <f aca="false">IF(G507&lt;&gt;"",IFERROR(VLOOKUP(G507,PRODUCTOS!$A:$B,2,0),"!COD NO ENCONTRADO"),"")</f>
        <v>MACHOS/ REYES/ ALFONSINOS (BYS)</v>
      </c>
      <c r="I507" s="77" t="n">
        <v>1</v>
      </c>
      <c r="J507" s="78" t="n">
        <v>6.1</v>
      </c>
      <c r="K507" s="79" t="n">
        <v>19.2</v>
      </c>
      <c r="L507" s="80" t="n">
        <f aca="false">IF(AND(J507&lt;&gt;"",K507&lt;&gt;""),J507*K507,"")</f>
        <v>117.12</v>
      </c>
      <c r="M507" s="81" t="n">
        <f aca="false">IF(L507&lt;&gt;"",L507*1.1,"")</f>
        <v>128.832</v>
      </c>
      <c r="N507" s="53" t="n">
        <f aca="false">IF(F507="S",L507*0.02,0)</f>
        <v>0</v>
      </c>
      <c r="O507" s="82" t="n">
        <f aca="false">IF(L507&lt;&gt;"",L507+N507,"")</f>
        <v>117.12</v>
      </c>
      <c r="P507" s="53" t="n">
        <f aca="false">IF(O507&lt;&gt;"",O507*0.1,"")</f>
        <v>11.712</v>
      </c>
      <c r="Q507" s="83" t="n">
        <f aca="false">IF(O507&lt;&gt;"",O507+P507,"")</f>
        <v>128.832</v>
      </c>
      <c r="R507" s="84"/>
    </row>
    <row r="508" customFormat="false" ht="15" hidden="false" customHeight="true" outlineLevel="0" collapsed="false">
      <c r="A508" s="103" t="n">
        <v>55926</v>
      </c>
      <c r="B508" s="73" t="n">
        <v>46205</v>
      </c>
      <c r="C508" s="86" t="s">
        <v>402</v>
      </c>
      <c r="D508" s="87" t="n">
        <v>50509</v>
      </c>
      <c r="E508" s="46" t="str">
        <f aca="false">IF(D508&lt;&gt;"",IFERROR(VLOOKUP(D508,PROVEEDORES!$A:$B,2,0),"!COD NO ENCONTRADO"),"")</f>
        <v>AZORFISK UNIPERSONAL LDA</v>
      </c>
      <c r="F508" s="88" t="str">
        <f aca="false">IF(D508&lt;&gt;"",IFERROR(VLOOKUP(D508,PROVEEDORES!$A:$C,3,0),""),"")</f>
        <v>N</v>
      </c>
      <c r="G508" s="87" t="s">
        <v>83</v>
      </c>
      <c r="H508" s="46" t="str">
        <f aca="false">IF(G508&lt;&gt;"",IFERROR(VLOOKUP(G508,PRODUCTOS!$A:$B,2,0),"!COD NO ENCONTRADO"),"")</f>
        <v>BESUGO (BSR)</v>
      </c>
      <c r="I508" s="89" t="n">
        <v>1</v>
      </c>
      <c r="J508" s="90" t="n">
        <v>2.7</v>
      </c>
      <c r="K508" s="91" t="n">
        <v>19.9</v>
      </c>
      <c r="L508" s="80" t="n">
        <f aca="false">IF(AND(J508&lt;&gt;"",K508&lt;&gt;""),J508*K508,"")</f>
        <v>53.73</v>
      </c>
      <c r="M508" s="81" t="n">
        <f aca="false">IF(L508&lt;&gt;"",L508*1.1,"")</f>
        <v>59.103</v>
      </c>
      <c r="N508" s="47" t="n">
        <f aca="false">IF(F508="S",L508*0.02,0)</f>
        <v>0</v>
      </c>
      <c r="O508" s="82" t="n">
        <f aca="false">IF(L508&lt;&gt;"",L508+N508,"")</f>
        <v>53.73</v>
      </c>
      <c r="P508" s="47" t="n">
        <f aca="false">IF(O508&lt;&gt;"",O508*0.1,"")</f>
        <v>5.373</v>
      </c>
      <c r="Q508" s="83" t="n">
        <f aca="false">IF(O508&lt;&gt;"",O508+P508,"")</f>
        <v>59.103</v>
      </c>
      <c r="R508" s="84"/>
    </row>
    <row r="509" customFormat="false" ht="15" hidden="false" customHeight="true" outlineLevel="0" collapsed="false">
      <c r="A509" s="103" t="n">
        <v>55926</v>
      </c>
      <c r="B509" s="73" t="n">
        <v>46205</v>
      </c>
      <c r="C509" s="74" t="s">
        <v>402</v>
      </c>
      <c r="D509" s="75" t="n">
        <v>50509</v>
      </c>
      <c r="E509" s="52" t="str">
        <f aca="false">IF(D509&lt;&gt;"",IFERROR(VLOOKUP(D509,PROVEEDORES!$A:$B,2,0),"!COD NO ENCONTRADO"),"")</f>
        <v>AZORFISK UNIPERSONAL LDA</v>
      </c>
      <c r="F509" s="76" t="str">
        <f aca="false">IF(D509&lt;&gt;"",IFERROR(VLOOKUP(D509,PROVEEDORES!$A:$C,3,0),""),"")</f>
        <v>N</v>
      </c>
      <c r="G509" s="75" t="s">
        <v>83</v>
      </c>
      <c r="H509" s="52" t="str">
        <f aca="false">IF(G509&lt;&gt;"",IFERROR(VLOOKUP(G509,PRODUCTOS!$A:$B,2,0),"!COD NO ENCONTRADO"),"")</f>
        <v>BESUGO (BSR)</v>
      </c>
      <c r="I509" s="77" t="n">
        <v>1</v>
      </c>
      <c r="J509" s="78" t="n">
        <v>4.6</v>
      </c>
      <c r="K509" s="79" t="n">
        <v>19.9</v>
      </c>
      <c r="L509" s="80" t="n">
        <f aca="false">IF(AND(J509&lt;&gt;"",K509&lt;&gt;""),J509*K509,"")</f>
        <v>91.54</v>
      </c>
      <c r="M509" s="81" t="n">
        <f aca="false">IF(L509&lt;&gt;"",L509*1.1,"")</f>
        <v>100.694</v>
      </c>
      <c r="N509" s="53" t="n">
        <f aca="false">IF(F509="S",L509*0.02,0)</f>
        <v>0</v>
      </c>
      <c r="O509" s="82" t="n">
        <f aca="false">IF(L509&lt;&gt;"",L509+N509,"")</f>
        <v>91.54</v>
      </c>
      <c r="P509" s="53" t="n">
        <f aca="false">IF(O509&lt;&gt;"",O509*0.1,"")</f>
        <v>9.154</v>
      </c>
      <c r="Q509" s="83" t="n">
        <f aca="false">IF(O509&lt;&gt;"",O509+P509,"")</f>
        <v>100.694</v>
      </c>
      <c r="R509" s="84"/>
    </row>
    <row r="510" customFormat="false" ht="15" hidden="false" customHeight="true" outlineLevel="0" collapsed="false">
      <c r="A510" s="103" t="n">
        <v>55926</v>
      </c>
      <c r="B510" s="85" t="n">
        <v>46205</v>
      </c>
      <c r="C510" s="86" t="s">
        <v>403</v>
      </c>
      <c r="D510" s="87" t="n">
        <v>50509</v>
      </c>
      <c r="E510" s="46" t="str">
        <f aca="false">IF(D510&lt;&gt;"",IFERROR(VLOOKUP(D510,PROVEEDORES!$A:$B,2,0),"!COD NO ENCONTRADO"),"")</f>
        <v>AZORFISK UNIPERSONAL LDA</v>
      </c>
      <c r="F510" s="88" t="str">
        <f aca="false">IF(D510&lt;&gt;"",IFERROR(VLOOKUP(D510,PROVEEDORES!$A:$C,3,0),""),"")</f>
        <v>N</v>
      </c>
      <c r="G510" s="87" t="s">
        <v>185</v>
      </c>
      <c r="H510" s="46" t="str">
        <f aca="false">IF(G510&lt;&gt;"",IFERROR(VLOOKUP(G510,PRODUCTOS!$A:$B,2,0),"!COD NO ENCONTRADO"),"")</f>
        <v>MACHOS/ REYES/ ALFONSINOS (BYS)</v>
      </c>
      <c r="I510" s="89" t="n">
        <v>1</v>
      </c>
      <c r="J510" s="90" t="n">
        <v>7.3</v>
      </c>
      <c r="K510" s="91" t="n">
        <v>19.2</v>
      </c>
      <c r="L510" s="80" t="n">
        <f aca="false">IF(AND(J510&lt;&gt;"",K510&lt;&gt;""),J510*K510,"")</f>
        <v>140.16</v>
      </c>
      <c r="M510" s="81" t="n">
        <f aca="false">IF(L510&lt;&gt;"",L510*1.1,"")</f>
        <v>154.176</v>
      </c>
      <c r="N510" s="47" t="n">
        <f aca="false">IF(F510="S",L510*0.02,0)</f>
        <v>0</v>
      </c>
      <c r="O510" s="82" t="n">
        <f aca="false">IF(L510&lt;&gt;"",L510+N510,"")</f>
        <v>140.16</v>
      </c>
      <c r="P510" s="47" t="n">
        <f aca="false">IF(O510&lt;&gt;"",O510*0.1,"")</f>
        <v>14.016</v>
      </c>
      <c r="Q510" s="83" t="n">
        <f aca="false">IF(O510&lt;&gt;"",O510+P510,"")</f>
        <v>154.176</v>
      </c>
      <c r="R510" s="84"/>
    </row>
    <row r="511" customFormat="false" ht="15" hidden="false" customHeight="true" outlineLevel="0" collapsed="false">
      <c r="A511" s="103" t="n">
        <v>55926</v>
      </c>
      <c r="B511" s="73" t="n">
        <v>46205</v>
      </c>
      <c r="C511" s="74" t="s">
        <v>403</v>
      </c>
      <c r="D511" s="75" t="n">
        <v>50509</v>
      </c>
      <c r="E511" s="52" t="str">
        <f aca="false">IF(D511&lt;&gt;"",IFERROR(VLOOKUP(D511,PROVEEDORES!$A:$B,2,0),"!COD NO ENCONTRADO"),"")</f>
        <v>AZORFISK UNIPERSONAL LDA</v>
      </c>
      <c r="F511" s="76" t="str">
        <f aca="false">IF(D511&lt;&gt;"",IFERROR(VLOOKUP(D511,PROVEEDORES!$A:$C,3,0),""),"")</f>
        <v>N</v>
      </c>
      <c r="G511" s="75" t="s">
        <v>83</v>
      </c>
      <c r="H511" s="52" t="str">
        <f aca="false">IF(G511&lt;&gt;"",IFERROR(VLOOKUP(G511,PRODUCTOS!$A:$B,2,0),"!COD NO ENCONTRADO"),"")</f>
        <v>BESUGO (BSR)</v>
      </c>
      <c r="I511" s="77" t="n">
        <v>1</v>
      </c>
      <c r="J511" s="78" t="n">
        <v>7.5</v>
      </c>
      <c r="K511" s="79" t="n">
        <v>23.3</v>
      </c>
      <c r="L511" s="80" t="n">
        <f aca="false">IF(AND(J511&lt;&gt;"",K511&lt;&gt;""),J511*K511,"")</f>
        <v>174.75</v>
      </c>
      <c r="M511" s="81" t="n">
        <f aca="false">IF(L511&lt;&gt;"",L511*1.1,"")</f>
        <v>192.225</v>
      </c>
      <c r="N511" s="53" t="n">
        <f aca="false">IF(F511="S",L511*0.02,0)</f>
        <v>0</v>
      </c>
      <c r="O511" s="82" t="n">
        <f aca="false">IF(L511&lt;&gt;"",L511+N511,"")</f>
        <v>174.75</v>
      </c>
      <c r="P511" s="53" t="n">
        <f aca="false">IF(O511&lt;&gt;"",O511*0.1,"")</f>
        <v>17.475</v>
      </c>
      <c r="Q511" s="83" t="n">
        <f aca="false">IF(O511&lt;&gt;"",O511+P511,"")</f>
        <v>192.225</v>
      </c>
      <c r="R511" s="84"/>
    </row>
    <row r="512" customFormat="false" ht="15" hidden="false" customHeight="true" outlineLevel="0" collapsed="false">
      <c r="A512" s="103" t="n">
        <v>55926</v>
      </c>
      <c r="B512" s="85" t="n">
        <v>46205</v>
      </c>
      <c r="C512" s="86" t="s">
        <v>404</v>
      </c>
      <c r="D512" s="87" t="n">
        <v>50509</v>
      </c>
      <c r="E512" s="46" t="str">
        <f aca="false">IF(D512&lt;&gt;"",IFERROR(VLOOKUP(D512,PROVEEDORES!$A:$B,2,0),"!COD NO ENCONTRADO"),"")</f>
        <v>AZORFISK UNIPERSONAL LDA</v>
      </c>
      <c r="F512" s="88" t="str">
        <f aca="false">IF(D512&lt;&gt;"",IFERROR(VLOOKUP(D512,PROVEEDORES!$A:$C,3,0),""),"")</f>
        <v>N</v>
      </c>
      <c r="G512" s="87" t="s">
        <v>107</v>
      </c>
      <c r="H512" s="46" t="str">
        <f aca="false">IF(G512&lt;&gt;"",IFERROR(VLOOKUP(G512,PRODUCTOS!$A:$B,2,0),"!COD NO ENCONTRADO"),"")</f>
        <v>CALAAMR COMUN (SQR)</v>
      </c>
      <c r="I512" s="89" t="n">
        <v>2</v>
      </c>
      <c r="J512" s="90" t="n">
        <v>15.7</v>
      </c>
      <c r="K512" s="91" t="n">
        <v>16.35</v>
      </c>
      <c r="L512" s="80" t="n">
        <f aca="false">IF(AND(J512&lt;&gt;"",K512&lt;&gt;""),J512*K512,"")</f>
        <v>256.695</v>
      </c>
      <c r="M512" s="81" t="n">
        <f aca="false">IF(L512&lt;&gt;"",L512*1.1,"")</f>
        <v>282.3645</v>
      </c>
      <c r="N512" s="47" t="n">
        <f aca="false">IF(F512="S",L512*0.02,0)</f>
        <v>0</v>
      </c>
      <c r="O512" s="82" t="n">
        <f aca="false">IF(L512&lt;&gt;"",L512+N512,"")</f>
        <v>256.695</v>
      </c>
      <c r="P512" s="47" t="n">
        <f aca="false">IF(O512&lt;&gt;"",O512*0.1,"")</f>
        <v>25.6695</v>
      </c>
      <c r="Q512" s="83" t="n">
        <f aca="false">IF(O512&lt;&gt;"",O512+P512,"")</f>
        <v>282.3645</v>
      </c>
      <c r="R512" s="84"/>
    </row>
    <row r="513" customFormat="false" ht="15" hidden="false" customHeight="true" outlineLevel="0" collapsed="false">
      <c r="A513" s="103" t="n">
        <v>55927</v>
      </c>
      <c r="B513" s="73" t="n">
        <v>46205</v>
      </c>
      <c r="C513" s="74"/>
      <c r="D513" s="75" t="n">
        <v>50532</v>
      </c>
      <c r="E513" s="52" t="str">
        <f aca="false">IF(D513&lt;&gt;"",IFERROR(VLOOKUP(D513,PROVEEDORES!$A:$B,2,0),"!COD NO ENCONTRADO"),"")</f>
        <v>AITORPESCA S.L.</v>
      </c>
      <c r="F513" s="76" t="str">
        <f aca="false">IF(D513&lt;&gt;"",IFERROR(VLOOKUP(D513,PROVEEDORES!$A:$C,3,0),""),"")</f>
        <v>N</v>
      </c>
      <c r="G513" s="75" t="s">
        <v>181</v>
      </c>
      <c r="H513" s="52" t="str">
        <f aca="false">IF(G513&lt;&gt;"",IFERROR(VLOOKUP(G513,PRODUCTOS!$A:$B,2,0),"!COD NO ENCONTRADO"),"")</f>
        <v>LIRIO EN FILETES</v>
      </c>
      <c r="I513" s="77" t="n">
        <v>10</v>
      </c>
      <c r="J513" s="78" t="n">
        <v>20</v>
      </c>
      <c r="K513" s="79" t="n">
        <v>4.5</v>
      </c>
      <c r="L513" s="80" t="n">
        <f aca="false">IF(AND(J513&lt;&gt;"",K513&lt;&gt;""),J513*K513,"")</f>
        <v>90</v>
      </c>
      <c r="M513" s="81" t="n">
        <f aca="false">IF(L513&lt;&gt;"",L513*1.1,"")</f>
        <v>99</v>
      </c>
      <c r="N513" s="53" t="n">
        <f aca="false">IF(F513="S",L513*0.02,0)</f>
        <v>0</v>
      </c>
      <c r="O513" s="82" t="n">
        <f aca="false">IF(L513&lt;&gt;"",L513+N513,"")</f>
        <v>90</v>
      </c>
      <c r="P513" s="53" t="n">
        <f aca="false">IF(O513&lt;&gt;"",O513*0.1,"")</f>
        <v>9</v>
      </c>
      <c r="Q513" s="83" t="n">
        <f aca="false">IF(O513&lt;&gt;"",O513+P513,"")</f>
        <v>99</v>
      </c>
      <c r="R513" s="84"/>
    </row>
    <row r="514" customFormat="false" ht="15" hidden="false" customHeight="true" outlineLevel="0" collapsed="false">
      <c r="A514" s="103" t="n">
        <v>55928</v>
      </c>
      <c r="B514" s="85" t="n">
        <v>46205</v>
      </c>
      <c r="C514" s="86"/>
      <c r="D514" s="87" t="n">
        <v>50048</v>
      </c>
      <c r="E514" s="46" t="str">
        <f aca="false">IF(D514&lt;&gt;"",IFERROR(VLOOKUP(D514,PROVEEDORES!$A:$B,2,0),"!COD NO ENCONTRADO"),"")</f>
        <v>JOSE LUIS CORREA KESSLER S.L.</v>
      </c>
      <c r="F514" s="88" t="str">
        <f aca="false">IF(D514&lt;&gt;"",IFERROR(VLOOKUP(D514,PROVEEDORES!$A:$C,3,0),""),"")</f>
        <v>N</v>
      </c>
      <c r="G514" s="87" t="s">
        <v>179</v>
      </c>
      <c r="H514" s="46" t="str">
        <f aca="false">IF(G514&lt;&gt;"",IFERROR(VLOOKUP(G514,PRODUCTOS!$A:$B,2,0),"!COD NO ENCONTRADO"),"")</f>
        <v>LIRIO/ BACALADILLA/ PERLA (WHB)</v>
      </c>
      <c r="I514" s="89" t="n">
        <v>120</v>
      </c>
      <c r="J514" s="90" t="n">
        <v>720</v>
      </c>
      <c r="K514" s="91" t="n">
        <v>1.55</v>
      </c>
      <c r="L514" s="80" t="n">
        <f aca="false">IF(AND(J514&lt;&gt;"",K514&lt;&gt;""),J514*K514,"")</f>
        <v>1116</v>
      </c>
      <c r="M514" s="81" t="n">
        <f aca="false">IF(L514&lt;&gt;"",L514*1.1,"")</f>
        <v>1227.6</v>
      </c>
      <c r="N514" s="47" t="n">
        <f aca="false">IF(F514="S",L514*0.02,0)</f>
        <v>0</v>
      </c>
      <c r="O514" s="82" t="n">
        <f aca="false">IF(L514&lt;&gt;"",L514+N514,"")</f>
        <v>1116</v>
      </c>
      <c r="P514" s="47" t="n">
        <f aca="false">IF(O514&lt;&gt;"",O514*0.1,"")</f>
        <v>111.6</v>
      </c>
      <c r="Q514" s="83" t="n">
        <f aca="false">IF(O514&lt;&gt;"",O514+P514,"")</f>
        <v>1227.6</v>
      </c>
      <c r="R514" s="84"/>
    </row>
    <row r="515" customFormat="false" ht="15" hidden="false" customHeight="true" outlineLevel="0" collapsed="false">
      <c r="A515" s="103" t="n">
        <v>55928</v>
      </c>
      <c r="B515" s="73" t="n">
        <v>46205</v>
      </c>
      <c r="C515" s="74"/>
      <c r="D515" s="75" t="n">
        <v>50048</v>
      </c>
      <c r="E515" s="52" t="str">
        <f aca="false">IF(D515&lt;&gt;"",IFERROR(VLOOKUP(D515,PROVEEDORES!$A:$B,2,0),"!COD NO ENCONTRADO"),"")</f>
        <v>JOSE LUIS CORREA KESSLER S.L.</v>
      </c>
      <c r="F515" s="76" t="str">
        <f aca="false">IF(D515&lt;&gt;"",IFERROR(VLOOKUP(D515,PROVEEDORES!$A:$C,3,0),""),"")</f>
        <v>N</v>
      </c>
      <c r="G515" s="75" t="s">
        <v>179</v>
      </c>
      <c r="H515" s="52" t="str">
        <f aca="false">IF(G515&lt;&gt;"",IFERROR(VLOOKUP(G515,PRODUCTOS!$A:$B,2,0),"!COD NO ENCONTRADO"),"")</f>
        <v>LIRIO/ BACALADILLA/ PERLA (WHB)</v>
      </c>
      <c r="I515" s="77" t="n">
        <v>8</v>
      </c>
      <c r="J515" s="78" t="n">
        <v>48</v>
      </c>
      <c r="K515" s="79" t="n">
        <v>1.55</v>
      </c>
      <c r="L515" s="80" t="n">
        <f aca="false">IF(AND(J515&lt;&gt;"",K515&lt;&gt;""),J515*K515,"")</f>
        <v>74.4</v>
      </c>
      <c r="M515" s="81" t="n">
        <f aca="false">IF(L515&lt;&gt;"",L515*1.1,"")</f>
        <v>81.84</v>
      </c>
      <c r="N515" s="53" t="n">
        <f aca="false">IF(F515="S",L515*0.02,0)</f>
        <v>0</v>
      </c>
      <c r="O515" s="82" t="n">
        <f aca="false">IF(L515&lt;&gt;"",L515+N515,"")</f>
        <v>74.4</v>
      </c>
      <c r="P515" s="53" t="n">
        <f aca="false">IF(O515&lt;&gt;"",O515*0.1,"")</f>
        <v>7.44</v>
      </c>
      <c r="Q515" s="83" t="n">
        <f aca="false">IF(O515&lt;&gt;"",O515+P515,"")</f>
        <v>81.84</v>
      </c>
      <c r="R515" s="84"/>
    </row>
    <row r="516" customFormat="false" ht="15" hidden="false" customHeight="true" outlineLevel="0" collapsed="false">
      <c r="A516" s="103" t="n">
        <v>55928</v>
      </c>
      <c r="B516" s="85" t="n">
        <v>46205</v>
      </c>
      <c r="C516" s="86"/>
      <c r="D516" s="87" t="n">
        <v>50048</v>
      </c>
      <c r="E516" s="46" t="str">
        <f aca="false">IF(D516&lt;&gt;"",IFERROR(VLOOKUP(D516,PROVEEDORES!$A:$B,2,0),"!COD NO ENCONTRADO"),"")</f>
        <v>JOSE LUIS CORREA KESSLER S.L.</v>
      </c>
      <c r="F516" s="88" t="str">
        <f aca="false">IF(D516&lt;&gt;"",IFERROR(VLOOKUP(D516,PROVEEDORES!$A:$C,3,0),""),"")</f>
        <v>N</v>
      </c>
      <c r="G516" s="87" t="s">
        <v>179</v>
      </c>
      <c r="H516" s="46" t="str">
        <f aca="false">IF(G516&lt;&gt;"",IFERROR(VLOOKUP(G516,PRODUCTOS!$A:$B,2,0),"!COD NO ENCONTRADO"),"")</f>
        <v>LIRIO/ BACALADILLA/ PERLA (WHB)</v>
      </c>
      <c r="I516" s="89" t="n">
        <v>3</v>
      </c>
      <c r="J516" s="90" t="n">
        <v>18</v>
      </c>
      <c r="K516" s="91" t="n">
        <v>1.8</v>
      </c>
      <c r="L516" s="80" t="n">
        <f aca="false">IF(AND(J516&lt;&gt;"",K516&lt;&gt;""),J516*K516,"")</f>
        <v>32.4</v>
      </c>
      <c r="M516" s="81" t="n">
        <f aca="false">IF(L516&lt;&gt;"",L516*1.1,"")</f>
        <v>35.64</v>
      </c>
      <c r="N516" s="47" t="n">
        <f aca="false">IF(F516="S",L516*0.02,0)</f>
        <v>0</v>
      </c>
      <c r="O516" s="82" t="n">
        <f aca="false">IF(L516&lt;&gt;"",L516+N516,"")</f>
        <v>32.4</v>
      </c>
      <c r="P516" s="47" t="n">
        <f aca="false">IF(O516&lt;&gt;"",O516*0.1,"")</f>
        <v>3.24</v>
      </c>
      <c r="Q516" s="83" t="n">
        <f aca="false">IF(O516&lt;&gt;"",O516+P516,"")</f>
        <v>35.64</v>
      </c>
      <c r="R516" s="84"/>
    </row>
    <row r="517" customFormat="false" ht="15" hidden="false" customHeight="true" outlineLevel="0" collapsed="false">
      <c r="A517" s="103" t="n">
        <v>55929</v>
      </c>
      <c r="B517" s="73" t="n">
        <v>46206</v>
      </c>
      <c r="C517" s="74" t="n">
        <v>207</v>
      </c>
      <c r="D517" s="75" t="n">
        <v>50232</v>
      </c>
      <c r="E517" s="52" t="str">
        <f aca="false">IF(D517&lt;&gt;"",IFERROR(VLOOKUP(D517,PROVEEDORES!$A:$B,2,0),"!COD NO ENCONTRADO"),"")</f>
        <v>XESTION NOVA LONXA RIVEIRA S.L.</v>
      </c>
      <c r="F517" s="76" t="str">
        <f aca="false">IF(D517&lt;&gt;"",IFERROR(VLOOKUP(D517,PROVEEDORES!$A:$C,3,0),""),"")</f>
        <v>S</v>
      </c>
      <c r="G517" s="75" t="s">
        <v>332</v>
      </c>
      <c r="H517" s="52" t="str">
        <f aca="false">IF(G517&lt;&gt;"",IFERROR(VLOOKUP(G517,PRODUCTOS!$A:$B,2,0),"!COD NO ENCONTRADO"),"")</f>
        <v>VARIADO PEQUEÑO</v>
      </c>
      <c r="I517" s="77" t="n">
        <v>1</v>
      </c>
      <c r="J517" s="78" t="n">
        <v>3</v>
      </c>
      <c r="K517" s="79" t="n">
        <v>1.5</v>
      </c>
      <c r="L517" s="80" t="n">
        <f aca="false">IF(AND(J517&lt;&gt;"",K517&lt;&gt;""),J517*K517,"")</f>
        <v>4.5</v>
      </c>
      <c r="M517" s="81" t="n">
        <f aca="false">IF(L517&lt;&gt;"",L517*1.1,"")</f>
        <v>4.95</v>
      </c>
      <c r="N517" s="53" t="n">
        <f aca="false">IF(F517="S",L517*0.02,0)</f>
        <v>0.09</v>
      </c>
      <c r="O517" s="82" t="n">
        <f aca="false">IF(L517&lt;&gt;"",L517+N517,"")</f>
        <v>4.59</v>
      </c>
      <c r="P517" s="53" t="n">
        <f aca="false">IF(O517&lt;&gt;"",O517*0.1,"")</f>
        <v>0.459</v>
      </c>
      <c r="Q517" s="83" t="n">
        <f aca="false">IF(O517&lt;&gt;"",O517+P517,"")</f>
        <v>5.049</v>
      </c>
      <c r="R517" s="84"/>
    </row>
    <row r="518" customFormat="false" ht="15" hidden="false" customHeight="true" outlineLevel="0" collapsed="false">
      <c r="A518" s="103" t="n">
        <v>55929</v>
      </c>
      <c r="B518" s="85" t="n">
        <v>46206</v>
      </c>
      <c r="C518" s="86" t="n">
        <v>207</v>
      </c>
      <c r="D518" s="87" t="n">
        <v>50232</v>
      </c>
      <c r="E518" s="46" t="str">
        <f aca="false">IF(D518&lt;&gt;"",IFERROR(VLOOKUP(D518,PROVEEDORES!$A:$B,2,0),"!COD NO ENCONTRADO"),"")</f>
        <v>XESTION NOVA LONXA RIVEIRA S.L.</v>
      </c>
      <c r="F518" s="88" t="str">
        <f aca="false">IF(D518&lt;&gt;"",IFERROR(VLOOKUP(D518,PROVEEDORES!$A:$C,3,0),""),"")</f>
        <v>S</v>
      </c>
      <c r="G518" s="87" t="s">
        <v>270</v>
      </c>
      <c r="H518" s="46" t="str">
        <f aca="false">IF(G518&lt;&gt;"",IFERROR(VLOOKUP(G518,PRODUCTOS!$A:$B,2,0),"!COD NO ENCONTRADO"),"")</f>
        <v>PEON/ PION (ATP)</v>
      </c>
      <c r="I518" s="89" t="n">
        <v>9</v>
      </c>
      <c r="J518" s="90" t="n">
        <v>43</v>
      </c>
      <c r="K518" s="91" t="n">
        <v>4</v>
      </c>
      <c r="L518" s="80" t="n">
        <f aca="false">IF(AND(J518&lt;&gt;"",K518&lt;&gt;""),J518*K518,"")</f>
        <v>172</v>
      </c>
      <c r="M518" s="81" t="n">
        <f aca="false">IF(L518&lt;&gt;"",L518*1.1,"")</f>
        <v>189.2</v>
      </c>
      <c r="N518" s="47" t="n">
        <f aca="false">IF(F518="S",L518*0.02,0)</f>
        <v>3.44</v>
      </c>
      <c r="O518" s="82" t="n">
        <f aca="false">IF(L518&lt;&gt;"",L518+N518,"")</f>
        <v>175.44</v>
      </c>
      <c r="P518" s="47" t="n">
        <f aca="false">IF(O518&lt;&gt;"",O518*0.1,"")</f>
        <v>17.544</v>
      </c>
      <c r="Q518" s="83" t="n">
        <f aca="false">IF(O518&lt;&gt;"",O518+P518,"")</f>
        <v>192.984</v>
      </c>
      <c r="R518" s="84"/>
    </row>
    <row r="519" customFormat="false" ht="15" hidden="false" customHeight="true" outlineLevel="0" collapsed="false">
      <c r="A519" s="103" t="n">
        <v>55929</v>
      </c>
      <c r="B519" s="73" t="n">
        <v>46206</v>
      </c>
      <c r="C519" s="74" t="n">
        <v>207</v>
      </c>
      <c r="D519" s="75" t="n">
        <v>50232</v>
      </c>
      <c r="E519" s="52" t="str">
        <f aca="false">IF(D519&lt;&gt;"",IFERROR(VLOOKUP(D519,PROVEEDORES!$A:$B,2,0),"!COD NO ENCONTRADO"),"")</f>
        <v>XESTION NOVA LONXA RIVEIRA S.L.</v>
      </c>
      <c r="F519" s="76" t="str">
        <f aca="false">IF(D519&lt;&gt;"",IFERROR(VLOOKUP(D519,PROVEEDORES!$A:$C,3,0),""),"")</f>
        <v>S</v>
      </c>
      <c r="G519" s="75" t="s">
        <v>332</v>
      </c>
      <c r="H519" s="52" t="str">
        <f aca="false">IF(G519&lt;&gt;"",IFERROR(VLOOKUP(G519,PRODUCTOS!$A:$B,2,0),"!COD NO ENCONTRADO"),"")</f>
        <v>VARIADO PEQUEÑO</v>
      </c>
      <c r="I519" s="77" t="n">
        <v>4</v>
      </c>
      <c r="J519" s="78" t="n">
        <v>25.75</v>
      </c>
      <c r="K519" s="79" t="n">
        <v>1.5</v>
      </c>
      <c r="L519" s="80" t="n">
        <f aca="false">IF(AND(J519&lt;&gt;"",K519&lt;&gt;""),J519*K519,"")</f>
        <v>38.625</v>
      </c>
      <c r="M519" s="81" t="n">
        <f aca="false">IF(L519&lt;&gt;"",L519*1.1,"")</f>
        <v>42.4875</v>
      </c>
      <c r="N519" s="53" t="n">
        <f aca="false">IF(F519="S",L519*0.02,0)</f>
        <v>0.7725</v>
      </c>
      <c r="O519" s="82" t="n">
        <f aca="false">IF(L519&lt;&gt;"",L519+N519,"")</f>
        <v>39.3975</v>
      </c>
      <c r="P519" s="53" t="n">
        <f aca="false">IF(O519&lt;&gt;"",O519*0.1,"")</f>
        <v>3.93975</v>
      </c>
      <c r="Q519" s="83" t="n">
        <f aca="false">IF(O519&lt;&gt;"",O519+P519,"")</f>
        <v>43.33725</v>
      </c>
      <c r="R519" s="84"/>
    </row>
    <row r="520" customFormat="false" ht="15" hidden="false" customHeight="true" outlineLevel="0" collapsed="false">
      <c r="A520" s="103" t="n">
        <v>55930</v>
      </c>
      <c r="B520" s="85" t="n">
        <v>46206</v>
      </c>
      <c r="C520" s="86" t="n">
        <v>18249</v>
      </c>
      <c r="D520" s="87" t="n">
        <v>50163</v>
      </c>
      <c r="E520" s="46" t="str">
        <f aca="false">IF(D520&lt;&gt;"",IFERROR(VLOOKUP(D520,PROVEEDORES!$A:$B,2,0),"!COD NO ENCONTRADO"),"")</f>
        <v>SUBASTAS RIVERA S.L.</v>
      </c>
      <c r="F520" s="88" t="str">
        <f aca="false">IF(D520&lt;&gt;"",IFERROR(VLOOKUP(D520,PROVEEDORES!$A:$C,3,0),""),"")</f>
        <v>S</v>
      </c>
      <c r="G520" s="87" t="s">
        <v>53</v>
      </c>
      <c r="H520" s="46" t="str">
        <f aca="false">IF(G520&lt;&gt;"",IFERROR(VLOOKUP(G520,PRODUCTOS!$A:$B,2,0),"!COD NO ENCONTRADO"),"")</f>
        <v>CABRAS PÑA</v>
      </c>
      <c r="I520" s="89" t="n">
        <v>3</v>
      </c>
      <c r="J520" s="90" t="n">
        <f aca="false">5.75+5.25+3.75</f>
        <v>14.75</v>
      </c>
      <c r="K520" s="91" t="n">
        <v>3.1</v>
      </c>
      <c r="L520" s="80" t="n">
        <f aca="false">IF(AND(J520&lt;&gt;"",K520&lt;&gt;""),J520*K520,"")</f>
        <v>45.725</v>
      </c>
      <c r="M520" s="81" t="n">
        <f aca="false">IF(L520&lt;&gt;"",L520*1.1,"")</f>
        <v>50.2975</v>
      </c>
      <c r="N520" s="47" t="n">
        <f aca="false">IF(F520="S",L520*0.02,0)</f>
        <v>0.9145</v>
      </c>
      <c r="O520" s="82" t="n">
        <f aca="false">IF(L520&lt;&gt;"",L520+N520,"")</f>
        <v>46.6395</v>
      </c>
      <c r="P520" s="47" t="n">
        <f aca="false">IF(O520&lt;&gt;"",O520*0.1,"")</f>
        <v>4.66395</v>
      </c>
      <c r="Q520" s="83" t="n">
        <f aca="false">IF(O520&lt;&gt;"",O520+P520,"")</f>
        <v>51.30345</v>
      </c>
      <c r="R520" s="84"/>
    </row>
    <row r="521" customFormat="false" ht="15" hidden="false" customHeight="true" outlineLevel="0" collapsed="false">
      <c r="A521" s="103" t="n">
        <v>55930</v>
      </c>
      <c r="B521" s="73" t="n">
        <v>46206</v>
      </c>
      <c r="C521" s="74" t="n">
        <v>18249</v>
      </c>
      <c r="D521" s="75" t="n">
        <v>50163</v>
      </c>
      <c r="E521" s="52" t="str">
        <f aca="false">IF(D521&lt;&gt;"",IFERROR(VLOOKUP(D521,PROVEEDORES!$A:$B,2,0),"!COD NO ENCONTRADO"),"")</f>
        <v>SUBASTAS RIVERA S.L.</v>
      </c>
      <c r="F521" s="76" t="str">
        <f aca="false">IF(D521&lt;&gt;"",IFERROR(VLOOKUP(D521,PROVEEDORES!$A:$C,3,0),""),"")</f>
        <v>S</v>
      </c>
      <c r="G521" s="75" t="s">
        <v>53</v>
      </c>
      <c r="H521" s="52" t="str">
        <f aca="false">IF(G521&lt;&gt;"",IFERROR(VLOOKUP(G521,PRODUCTOS!$A:$B,2,0),"!COD NO ENCONTRADO"),"")</f>
        <v>CABRAS PÑA</v>
      </c>
      <c r="I521" s="77" t="n">
        <v>2</v>
      </c>
      <c r="J521" s="78" t="n">
        <f aca="false">6.75+6.5</f>
        <v>13.25</v>
      </c>
      <c r="K521" s="79" t="n">
        <v>3.1</v>
      </c>
      <c r="L521" s="80" t="n">
        <f aca="false">IF(AND(J521&lt;&gt;"",K521&lt;&gt;""),J521*K521,"")</f>
        <v>41.075</v>
      </c>
      <c r="M521" s="81" t="n">
        <f aca="false">IF(L521&lt;&gt;"",L521*1.1,"")</f>
        <v>45.1825</v>
      </c>
      <c r="N521" s="53" t="n">
        <f aca="false">IF(F521="S",L521*0.02,0)</f>
        <v>0.8215</v>
      </c>
      <c r="O521" s="82" t="n">
        <f aca="false">IF(L521&lt;&gt;"",L521+N521,"")</f>
        <v>41.8965</v>
      </c>
      <c r="P521" s="53" t="n">
        <f aca="false">IF(O521&lt;&gt;"",O521*0.1,"")</f>
        <v>4.18965</v>
      </c>
      <c r="Q521" s="83" t="n">
        <f aca="false">IF(O521&lt;&gt;"",O521+P521,"")</f>
        <v>46.08615</v>
      </c>
      <c r="R521" s="84"/>
    </row>
    <row r="522" customFormat="false" ht="15" hidden="false" customHeight="true" outlineLevel="0" collapsed="false">
      <c r="A522" s="103" t="n">
        <v>55930</v>
      </c>
      <c r="B522" s="85" t="n">
        <v>46206</v>
      </c>
      <c r="C522" s="86" t="n">
        <v>18249</v>
      </c>
      <c r="D522" s="87" t="n">
        <v>50163</v>
      </c>
      <c r="E522" s="46" t="str">
        <f aca="false">IF(D522&lt;&gt;"",IFERROR(VLOOKUP(D522,PROVEEDORES!$A:$B,2,0),"!COD NO ENCONTRADO"),"")</f>
        <v>SUBASTAS RIVERA S.L.</v>
      </c>
      <c r="F522" s="88" t="str">
        <f aca="false">IF(D522&lt;&gt;"",IFERROR(VLOOKUP(D522,PROVEEDORES!$A:$C,3,0),""),"")</f>
        <v>S</v>
      </c>
      <c r="G522" s="87" t="s">
        <v>91</v>
      </c>
      <c r="H522" s="46" t="str">
        <f aca="false">IF(G522&lt;&gt;"",IFERROR(VLOOKUP(G522,PRODUCTOS!$A:$B,2,0),"!COD NO ENCONTRADO"),"")</f>
        <v>BONITO DEL NORTE 5/7</v>
      </c>
      <c r="I522" s="89" t="n">
        <v>1</v>
      </c>
      <c r="J522" s="90" t="n">
        <v>34.25</v>
      </c>
      <c r="K522" s="91" t="n">
        <v>6.7</v>
      </c>
      <c r="L522" s="80" t="n">
        <f aca="false">IF(AND(J522&lt;&gt;"",K522&lt;&gt;""),J522*K522,"")</f>
        <v>229.475</v>
      </c>
      <c r="M522" s="81" t="n">
        <f aca="false">IF(L522&lt;&gt;"",L522*1.1,"")</f>
        <v>252.4225</v>
      </c>
      <c r="N522" s="47" t="n">
        <f aca="false">IF(F522="S",L522*0.02,0)</f>
        <v>4.5895</v>
      </c>
      <c r="O522" s="82" t="n">
        <f aca="false">IF(L522&lt;&gt;"",L522+N522,"")</f>
        <v>234.0645</v>
      </c>
      <c r="P522" s="47" t="n">
        <f aca="false">IF(O522&lt;&gt;"",O522*0.1,"")</f>
        <v>23.40645</v>
      </c>
      <c r="Q522" s="83" t="n">
        <f aca="false">IF(O522&lt;&gt;"",O522+P522,"")</f>
        <v>257.47095</v>
      </c>
      <c r="R522" s="84"/>
    </row>
    <row r="523" customFormat="false" ht="15" hidden="false" customHeight="true" outlineLevel="0" collapsed="false">
      <c r="A523" s="103" t="n">
        <v>55930</v>
      </c>
      <c r="B523" s="73" t="n">
        <v>46206</v>
      </c>
      <c r="C523" s="74" t="n">
        <v>18249</v>
      </c>
      <c r="D523" s="75" t="n">
        <v>50163</v>
      </c>
      <c r="E523" s="52" t="str">
        <f aca="false">IF(D523&lt;&gt;"",IFERROR(VLOOKUP(D523,PROVEEDORES!$A:$B,2,0),"!COD NO ENCONTRADO"),"")</f>
        <v>SUBASTAS RIVERA S.L.</v>
      </c>
      <c r="F523" s="76" t="str">
        <f aca="false">IF(D523&lt;&gt;"",IFERROR(VLOOKUP(D523,PROVEEDORES!$A:$C,3,0),""),"")</f>
        <v>S</v>
      </c>
      <c r="G523" s="75" t="s">
        <v>91</v>
      </c>
      <c r="H523" s="52" t="str">
        <f aca="false">IF(G523&lt;&gt;"",IFERROR(VLOOKUP(G523,PRODUCTOS!$A:$B,2,0),"!COD NO ENCONTRADO"),"")</f>
        <v>BONITO DEL NORTE 5/7</v>
      </c>
      <c r="I523" s="77" t="n">
        <v>1</v>
      </c>
      <c r="J523" s="78" t="n">
        <v>29</v>
      </c>
      <c r="K523" s="79" t="n">
        <v>6</v>
      </c>
      <c r="L523" s="80" t="n">
        <f aca="false">IF(AND(J523&lt;&gt;"",K523&lt;&gt;""),J523*K523,"")</f>
        <v>174</v>
      </c>
      <c r="M523" s="81" t="n">
        <f aca="false">IF(L523&lt;&gt;"",L523*1.1,"")</f>
        <v>191.4</v>
      </c>
      <c r="N523" s="53" t="n">
        <f aca="false">IF(F523="S",L523*0.02,0)</f>
        <v>3.48</v>
      </c>
      <c r="O523" s="82" t="n">
        <f aca="false">IF(L523&lt;&gt;"",L523+N523,"")</f>
        <v>177.48</v>
      </c>
      <c r="P523" s="53" t="n">
        <f aca="false">IF(O523&lt;&gt;"",O523*0.1,"")</f>
        <v>17.748</v>
      </c>
      <c r="Q523" s="83" t="n">
        <f aca="false">IF(O523&lt;&gt;"",O523+P523,"")</f>
        <v>195.228</v>
      </c>
      <c r="R523" s="84"/>
    </row>
    <row r="524" customFormat="false" ht="15" hidden="false" customHeight="true" outlineLevel="0" collapsed="false">
      <c r="A524" s="103" t="n">
        <v>55930</v>
      </c>
      <c r="B524" s="85" t="n">
        <v>46206</v>
      </c>
      <c r="C524" s="86" t="n">
        <v>18249</v>
      </c>
      <c r="D524" s="87" t="n">
        <v>50163</v>
      </c>
      <c r="E524" s="46" t="str">
        <f aca="false">IF(D524&lt;&gt;"",IFERROR(VLOOKUP(D524,PROVEEDORES!$A:$B,2,0),"!COD NO ENCONTRADO"),"")</f>
        <v>SUBASTAS RIVERA S.L.</v>
      </c>
      <c r="F524" s="88" t="str">
        <f aca="false">IF(D524&lt;&gt;"",IFERROR(VLOOKUP(D524,PROVEEDORES!$A:$C,3,0),""),"")</f>
        <v>S</v>
      </c>
      <c r="G524" s="87" t="s">
        <v>89</v>
      </c>
      <c r="H524" s="46" t="str">
        <f aca="false">IF(G524&lt;&gt;"",IFERROR(VLOOKUP(G524,PRODUCTOS!$A:$B,2,0),"!COD NO ENCONTRADO"),"")</f>
        <v>BONITO DEL NORTE 5/7</v>
      </c>
      <c r="I524" s="89" t="n">
        <v>2</v>
      </c>
      <c r="J524" s="90" t="n">
        <f aca="false">45.5+50</f>
        <v>95.5</v>
      </c>
      <c r="K524" s="91" t="n">
        <v>4.75</v>
      </c>
      <c r="L524" s="80" t="n">
        <f aca="false">IF(AND(J524&lt;&gt;"",K524&lt;&gt;""),J524*K524,"")</f>
        <v>453.625</v>
      </c>
      <c r="M524" s="81" t="n">
        <f aca="false">IF(L524&lt;&gt;"",L524*1.1,"")</f>
        <v>498.9875</v>
      </c>
      <c r="N524" s="47" t="n">
        <f aca="false">IF(F524="S",L524*0.02,0)</f>
        <v>9.0725</v>
      </c>
      <c r="O524" s="82" t="n">
        <f aca="false">IF(L524&lt;&gt;"",L524+N524,"")</f>
        <v>462.6975</v>
      </c>
      <c r="P524" s="47" t="n">
        <f aca="false">IF(O524&lt;&gt;"",O524*0.1,"")</f>
        <v>46.26975</v>
      </c>
      <c r="Q524" s="83" t="n">
        <f aca="false">IF(O524&lt;&gt;"",O524+P524,"")</f>
        <v>508.96725</v>
      </c>
      <c r="R524" s="84"/>
    </row>
    <row r="525" customFormat="false" ht="15" hidden="false" customHeight="true" outlineLevel="0" collapsed="false">
      <c r="A525" s="103" t="n">
        <v>55930</v>
      </c>
      <c r="B525" s="73" t="n">
        <v>46206</v>
      </c>
      <c r="C525" s="74" t="n">
        <v>18249</v>
      </c>
      <c r="D525" s="75" t="n">
        <v>50163</v>
      </c>
      <c r="E525" s="52" t="str">
        <f aca="false">IF(D525&lt;&gt;"",IFERROR(VLOOKUP(D525,PROVEEDORES!$A:$B,2,0),"!COD NO ENCONTRADO"),"")</f>
        <v>SUBASTAS RIVERA S.L.</v>
      </c>
      <c r="F525" s="76" t="str">
        <f aca="false">IF(D525&lt;&gt;"",IFERROR(VLOOKUP(D525,PROVEEDORES!$A:$C,3,0),""),"")</f>
        <v>S</v>
      </c>
      <c r="G525" s="75" t="s">
        <v>235</v>
      </c>
      <c r="H525" s="52" t="str">
        <f aca="false">IF(G525&lt;&gt;"",IFERROR(VLOOKUP(G525,PRODUCTOS!$A:$B,2,0),"!COD NO ENCONTRADO"),"")</f>
        <v>MERLUZA EUROPEA VOLANTA COSTA</v>
      </c>
      <c r="I525" s="77" t="n">
        <v>1</v>
      </c>
      <c r="J525" s="78" t="n">
        <v>5.5</v>
      </c>
      <c r="K525" s="79" t="n">
        <v>9.8</v>
      </c>
      <c r="L525" s="80" t="n">
        <f aca="false">IF(AND(J525&lt;&gt;"",K525&lt;&gt;""),J525*K525,"")</f>
        <v>53.9</v>
      </c>
      <c r="M525" s="81" t="n">
        <f aca="false">IF(L525&lt;&gt;"",L525*1.1,"")</f>
        <v>59.29</v>
      </c>
      <c r="N525" s="53" t="n">
        <f aca="false">IF(F525="S",L525*0.02,0)</f>
        <v>1.078</v>
      </c>
      <c r="O525" s="82" t="n">
        <f aca="false">IF(L525&lt;&gt;"",L525+N525,"")</f>
        <v>54.978</v>
      </c>
      <c r="P525" s="53" t="n">
        <f aca="false">IF(O525&lt;&gt;"",O525*0.1,"")</f>
        <v>5.4978</v>
      </c>
      <c r="Q525" s="83" t="n">
        <f aca="false">IF(O525&lt;&gt;"",O525+P525,"")</f>
        <v>60.4758</v>
      </c>
      <c r="R525" s="84"/>
    </row>
    <row r="526" customFormat="false" ht="15" hidden="false" customHeight="true" outlineLevel="0" collapsed="false">
      <c r="A526" s="103" t="n">
        <v>55930</v>
      </c>
      <c r="B526" s="73" t="n">
        <v>46206</v>
      </c>
      <c r="C526" s="74" t="n">
        <v>18249</v>
      </c>
      <c r="D526" s="75" t="n">
        <v>50163</v>
      </c>
      <c r="E526" s="52" t="str">
        <f aca="false">IF(D526&lt;&gt;"",IFERROR(VLOOKUP(D526,PROVEEDORES!$A:$B,2,0),"!COD NO ENCONTRADO"),"")</f>
        <v>SUBASTAS RIVERA S.L.</v>
      </c>
      <c r="F526" s="76" t="str">
        <f aca="false">IF(D526&lt;&gt;"",IFERROR(VLOOKUP(D526,PROVEEDORES!$A:$C,3,0),""),"")</f>
        <v>S</v>
      </c>
      <c r="G526" s="75" t="s">
        <v>135</v>
      </c>
      <c r="H526" s="52" t="str">
        <f aca="false">IF(G526&lt;&gt;"",IFERROR(VLOOKUP(G526,PRODUCTOS!$A:$B,2,0),"!COD NO ENCONTRADO"),"")</f>
        <v>CONGRIO 10+  (COE)</v>
      </c>
      <c r="I526" s="77" t="n">
        <v>1</v>
      </c>
      <c r="J526" s="78" t="n">
        <v>15</v>
      </c>
      <c r="K526" s="79" t="n">
        <v>2.95</v>
      </c>
      <c r="L526" s="80" t="n">
        <f aca="false">IF(AND(J526&lt;&gt;"",K526&lt;&gt;""),J526*K526,"")</f>
        <v>44.25</v>
      </c>
      <c r="M526" s="81" t="n">
        <f aca="false">IF(L526&lt;&gt;"",L526*1.1,"")</f>
        <v>48.675</v>
      </c>
      <c r="N526" s="53" t="n">
        <f aca="false">IF(F526="S",L526*0.02,0)</f>
        <v>0.885</v>
      </c>
      <c r="O526" s="82" t="n">
        <f aca="false">IF(L526&lt;&gt;"",L526+N526,"")</f>
        <v>45.135</v>
      </c>
      <c r="P526" s="53" t="n">
        <f aca="false">IF(O526&lt;&gt;"",O526*0.1,"")</f>
        <v>4.5135</v>
      </c>
      <c r="Q526" s="83" t="n">
        <f aca="false">IF(O526&lt;&gt;"",O526+P526,"")</f>
        <v>49.6485</v>
      </c>
      <c r="R526" s="84"/>
    </row>
    <row r="527" customFormat="false" ht="15" hidden="false" customHeight="true" outlineLevel="0" collapsed="false">
      <c r="A527" s="103" t="n">
        <v>55930</v>
      </c>
      <c r="B527" s="85" t="n">
        <v>46206</v>
      </c>
      <c r="C527" s="86" t="n">
        <v>18249</v>
      </c>
      <c r="D527" s="87" t="n">
        <v>50163</v>
      </c>
      <c r="E527" s="46" t="str">
        <f aca="false">IF(D527&lt;&gt;"",IFERROR(VLOOKUP(D527,PROVEEDORES!$A:$B,2,0),"!COD NO ENCONTRADO"),"")</f>
        <v>SUBASTAS RIVERA S.L.</v>
      </c>
      <c r="F527" s="88" t="str">
        <f aca="false">IF(D527&lt;&gt;"",IFERROR(VLOOKUP(D527,PROVEEDORES!$A:$C,3,0),""),"")</f>
        <v>S</v>
      </c>
      <c r="G527" s="87" t="s">
        <v>135</v>
      </c>
      <c r="H527" s="46" t="str">
        <f aca="false">IF(G527&lt;&gt;"",IFERROR(VLOOKUP(G527,PRODUCTOS!$A:$B,2,0),"!COD NO ENCONTRADO"),"")</f>
        <v>CONGRIO 10+  (COE)</v>
      </c>
      <c r="I527" s="89" t="n">
        <v>1</v>
      </c>
      <c r="J527" s="90" t="n">
        <v>13.5</v>
      </c>
      <c r="K527" s="91" t="n">
        <v>2.75</v>
      </c>
      <c r="L527" s="80" t="n">
        <f aca="false">IF(AND(J527&lt;&gt;"",K527&lt;&gt;""),J527*K527,"")</f>
        <v>37.125</v>
      </c>
      <c r="M527" s="81" t="n">
        <f aca="false">IF(L527&lt;&gt;"",L527*1.1,"")</f>
        <v>40.8375</v>
      </c>
      <c r="N527" s="47" t="n">
        <f aca="false">IF(F527="S",L527*0.02,0)</f>
        <v>0.7425</v>
      </c>
      <c r="O527" s="82" t="n">
        <f aca="false">IF(L527&lt;&gt;"",L527+N527,"")</f>
        <v>37.8675</v>
      </c>
      <c r="P527" s="47" t="n">
        <f aca="false">IF(O527&lt;&gt;"",O527*0.1,"")</f>
        <v>3.78675</v>
      </c>
      <c r="Q527" s="83" t="n">
        <f aca="false">IF(O527&lt;&gt;"",O527+P527,"")</f>
        <v>41.65425</v>
      </c>
      <c r="R527" s="84"/>
    </row>
    <row r="528" customFormat="false" ht="15" hidden="false" customHeight="true" outlineLevel="0" collapsed="false">
      <c r="A528" s="103" t="n">
        <v>55930</v>
      </c>
      <c r="B528" s="85" t="n">
        <v>46206</v>
      </c>
      <c r="C528" s="86" t="n">
        <v>18249</v>
      </c>
      <c r="D528" s="87" t="n">
        <v>50163</v>
      </c>
      <c r="E528" s="46" t="str">
        <f aca="false">IF(D528&lt;&gt;"",IFERROR(VLOOKUP(D528,PROVEEDORES!$A:$B,2,0),"!COD NO ENCONTRADO"),"")</f>
        <v>SUBASTAS RIVERA S.L.</v>
      </c>
      <c r="F528" s="88" t="str">
        <f aca="false">IF(D528&lt;&gt;"",IFERROR(VLOOKUP(D528,PROVEEDORES!$A:$C,3,0),""),"")</f>
        <v>S</v>
      </c>
      <c r="G528" s="87" t="s">
        <v>169</v>
      </c>
      <c r="H528" s="46" t="str">
        <f aca="false">IF(G528&lt;&gt;"",IFERROR(VLOOKUP(G528,PRODUCTOS!$A:$B,2,0),"!COD NO ENCONTRADO"),"")</f>
        <v>JURELA BLANCA (HMY)</v>
      </c>
      <c r="I528" s="89" t="n">
        <v>1</v>
      </c>
      <c r="J528" s="90" t="n">
        <v>4.5</v>
      </c>
      <c r="K528" s="91" t="n">
        <v>7.7</v>
      </c>
      <c r="L528" s="80" t="n">
        <f aca="false">IF(AND(J528&lt;&gt;"",K528&lt;&gt;""),J528*K528,"")</f>
        <v>34.65</v>
      </c>
      <c r="M528" s="81" t="n">
        <f aca="false">IF(L528&lt;&gt;"",L528*1.1,"")</f>
        <v>38.115</v>
      </c>
      <c r="N528" s="47" t="n">
        <f aca="false">IF(F528="S",L528*0.02,0)</f>
        <v>0.693</v>
      </c>
      <c r="O528" s="82" t="n">
        <f aca="false">IF(L528&lt;&gt;"",L528+N528,"")</f>
        <v>35.343</v>
      </c>
      <c r="P528" s="47" t="n">
        <f aca="false">IF(O528&lt;&gt;"",O528*0.1,"")</f>
        <v>3.5343</v>
      </c>
      <c r="Q528" s="83" t="n">
        <f aca="false">IF(O528&lt;&gt;"",O528+P528,"")</f>
        <v>38.8773</v>
      </c>
      <c r="R528" s="84"/>
    </row>
    <row r="529" customFormat="false" ht="15" hidden="false" customHeight="true" outlineLevel="0" collapsed="false">
      <c r="A529" s="103" t="n">
        <v>55930</v>
      </c>
      <c r="B529" s="73" t="n">
        <v>46206</v>
      </c>
      <c r="C529" s="74" t="n">
        <v>18249</v>
      </c>
      <c r="D529" s="75" t="n">
        <v>50163</v>
      </c>
      <c r="E529" s="52" t="str">
        <f aca="false">IF(D529&lt;&gt;"",IFERROR(VLOOKUP(D529,PROVEEDORES!$A:$B,2,0),"!COD NO ENCONTRADO"),"")</f>
        <v>SUBASTAS RIVERA S.L.</v>
      </c>
      <c r="F529" s="76" t="str">
        <f aca="false">IF(D529&lt;&gt;"",IFERROR(VLOOKUP(D529,PROVEEDORES!$A:$C,3,0),""),"")</f>
        <v>S</v>
      </c>
      <c r="G529" s="75" t="s">
        <v>103</v>
      </c>
      <c r="H529" s="52" t="str">
        <f aca="false">IF(G529&lt;&gt;"",IFERROR(VLOOKUP(G529,PRODUCTOS!$A:$B,2,0),"!COD NO ENCONTRADO"),"")</f>
        <v>CABRAS/ GALLINETA (BRF)</v>
      </c>
      <c r="I529" s="77" t="n">
        <v>2</v>
      </c>
      <c r="J529" s="78" t="n">
        <f aca="false">6.3+3.6</f>
        <v>9.9</v>
      </c>
      <c r="K529" s="79" t="n">
        <v>10.4</v>
      </c>
      <c r="L529" s="80" t="n">
        <f aca="false">IF(AND(J529&lt;&gt;"",K529&lt;&gt;""),J529*K529,"")</f>
        <v>102.96</v>
      </c>
      <c r="M529" s="81" t="n">
        <f aca="false">IF(L529&lt;&gt;"",L529*1.1,"")</f>
        <v>113.256</v>
      </c>
      <c r="N529" s="53" t="n">
        <f aca="false">IF(F529="S",L529*0.02,0)</f>
        <v>2.0592</v>
      </c>
      <c r="O529" s="82" t="n">
        <f aca="false">IF(L529&lt;&gt;"",L529+N529,"")</f>
        <v>105.0192</v>
      </c>
      <c r="P529" s="53" t="n">
        <f aca="false">IF(O529&lt;&gt;"",O529*0.1,"")</f>
        <v>10.50192</v>
      </c>
      <c r="Q529" s="83" t="n">
        <f aca="false">IF(O529&lt;&gt;"",O529+P529,"")</f>
        <v>115.52112</v>
      </c>
      <c r="R529" s="84"/>
    </row>
    <row r="530" customFormat="false" ht="15" hidden="false" customHeight="true" outlineLevel="0" collapsed="false">
      <c r="A530" s="103" t="n">
        <v>55930</v>
      </c>
      <c r="B530" s="85" t="n">
        <v>46206</v>
      </c>
      <c r="C530" s="86" t="n">
        <v>18249</v>
      </c>
      <c r="D530" s="87" t="n">
        <v>50163</v>
      </c>
      <c r="E530" s="46" t="str">
        <f aca="false">IF(D530&lt;&gt;"",IFERROR(VLOOKUP(D530,PROVEEDORES!$A:$B,2,0),"!COD NO ENCONTRADO"),"")</f>
        <v>SUBASTAS RIVERA S.L.</v>
      </c>
      <c r="F530" s="88" t="str">
        <f aca="false">IF(D530&lt;&gt;"",IFERROR(VLOOKUP(D530,PROVEEDORES!$A:$C,3,0),""),"")</f>
        <v>S</v>
      </c>
      <c r="G530" s="87" t="s">
        <v>103</v>
      </c>
      <c r="H530" s="46" t="str">
        <f aca="false">IF(G530&lt;&gt;"",IFERROR(VLOOKUP(G530,PRODUCTOS!$A:$B,2,0),"!COD NO ENCONTRADO"),"")</f>
        <v>CABRAS/ GALLINETA (BRF)</v>
      </c>
      <c r="I530" s="89" t="n">
        <v>2</v>
      </c>
      <c r="J530" s="90" t="n">
        <v>12</v>
      </c>
      <c r="K530" s="91" t="n">
        <v>13.6</v>
      </c>
      <c r="L530" s="80" t="n">
        <f aca="false">IF(AND(J530&lt;&gt;"",K530&lt;&gt;""),J530*K530,"")</f>
        <v>163.2</v>
      </c>
      <c r="M530" s="81" t="n">
        <f aca="false">IF(L530&lt;&gt;"",L530*1.1,"")</f>
        <v>179.52</v>
      </c>
      <c r="N530" s="47" t="n">
        <f aca="false">IF(F530="S",L530*0.02,0)</f>
        <v>3.264</v>
      </c>
      <c r="O530" s="82" t="n">
        <f aca="false">IF(L530&lt;&gt;"",L530+N530,"")</f>
        <v>166.464</v>
      </c>
      <c r="P530" s="47" t="n">
        <f aca="false">IF(O530&lt;&gt;"",O530*0.1,"")</f>
        <v>16.6464</v>
      </c>
      <c r="Q530" s="83" t="n">
        <f aca="false">IF(O530&lt;&gt;"",O530+P530,"")</f>
        <v>183.1104</v>
      </c>
      <c r="R530" s="84"/>
    </row>
    <row r="531" customFormat="false" ht="15" hidden="false" customHeight="true" outlineLevel="0" collapsed="false">
      <c r="A531" s="103" t="n">
        <v>55930</v>
      </c>
      <c r="B531" s="73" t="n">
        <v>46206</v>
      </c>
      <c r="C531" s="74" t="n">
        <v>18249</v>
      </c>
      <c r="D531" s="75" t="n">
        <v>50163</v>
      </c>
      <c r="E531" s="52" t="str">
        <f aca="false">IF(D531&lt;&gt;"",IFERROR(VLOOKUP(D531,PROVEEDORES!$A:$B,2,0),"!COD NO ENCONTRADO"),"")</f>
        <v>SUBASTAS RIVERA S.L.</v>
      </c>
      <c r="F531" s="76" t="str">
        <f aca="false">IF(D531&lt;&gt;"",IFERROR(VLOOKUP(D531,PROVEEDORES!$A:$C,3,0),""),"")</f>
        <v>S</v>
      </c>
      <c r="G531" s="75" t="s">
        <v>103</v>
      </c>
      <c r="H531" s="52" t="str">
        <f aca="false">IF(G531&lt;&gt;"",IFERROR(VLOOKUP(G531,PRODUCTOS!$A:$B,2,0),"!COD NO ENCONTRADO"),"")</f>
        <v>CABRAS/ GALLINETA (BRF)</v>
      </c>
      <c r="I531" s="77" t="n">
        <v>2</v>
      </c>
      <c r="J531" s="78" t="n">
        <f aca="false">7.3+7.1</f>
        <v>14.4</v>
      </c>
      <c r="K531" s="79" t="n">
        <v>11.4</v>
      </c>
      <c r="L531" s="80" t="n">
        <f aca="false">IF(AND(J531&lt;&gt;"",K531&lt;&gt;""),J531*K531,"")</f>
        <v>164.16</v>
      </c>
      <c r="M531" s="81" t="n">
        <f aca="false">IF(L531&lt;&gt;"",L531*1.1,"")</f>
        <v>180.576</v>
      </c>
      <c r="N531" s="53" t="n">
        <f aca="false">IF(F531="S",L531*0.02,0)</f>
        <v>3.2832</v>
      </c>
      <c r="O531" s="82" t="n">
        <f aca="false">IF(L531&lt;&gt;"",L531+N531,"")</f>
        <v>167.4432</v>
      </c>
      <c r="P531" s="53" t="n">
        <f aca="false">IF(O531&lt;&gt;"",O531*0.1,"")</f>
        <v>16.74432</v>
      </c>
      <c r="Q531" s="83" t="n">
        <f aca="false">IF(O531&lt;&gt;"",O531+P531,"")</f>
        <v>184.18752</v>
      </c>
      <c r="R531" s="84"/>
    </row>
    <row r="532" customFormat="false" ht="15" hidden="false" customHeight="true" outlineLevel="0" collapsed="false">
      <c r="A532" s="103" t="n">
        <v>55930</v>
      </c>
      <c r="B532" s="85" t="n">
        <v>46206</v>
      </c>
      <c r="C532" s="86" t="n">
        <v>18249</v>
      </c>
      <c r="D532" s="87" t="n">
        <v>50163</v>
      </c>
      <c r="E532" s="46" t="str">
        <f aca="false">IF(D532&lt;&gt;"",IFERROR(VLOOKUP(D532,PROVEEDORES!$A:$B,2,0),"!COD NO ENCONTRADO"),"")</f>
        <v>SUBASTAS RIVERA S.L.</v>
      </c>
      <c r="F532" s="88" t="str">
        <f aca="false">IF(D532&lt;&gt;"",IFERROR(VLOOKUP(D532,PROVEEDORES!$A:$C,3,0),""),"")</f>
        <v>S</v>
      </c>
      <c r="G532" s="87" t="s">
        <v>221</v>
      </c>
      <c r="H532" s="46" t="str">
        <f aca="false">IF(G532&lt;&gt;"",IFERROR(VLOOKUP(G532,PRODUCTOS!$A:$B,2,0),"!COD NO ENCONTRADO"),"")</f>
        <v>MERLUZA EUROPEA PINCHO COSTA 800</v>
      </c>
      <c r="I532" s="89" t="n">
        <v>1</v>
      </c>
      <c r="J532" s="90" t="n">
        <v>13.5</v>
      </c>
      <c r="K532" s="91" t="n">
        <v>5.7</v>
      </c>
      <c r="L532" s="80" t="n">
        <f aca="false">IF(AND(J532&lt;&gt;"",K532&lt;&gt;""),J532*K532,"")</f>
        <v>76.95</v>
      </c>
      <c r="M532" s="81" t="n">
        <f aca="false">IF(L532&lt;&gt;"",L532*1.1,"")</f>
        <v>84.645</v>
      </c>
      <c r="N532" s="47" t="n">
        <f aca="false">IF(F532="S",L532*0.02,0)</f>
        <v>1.539</v>
      </c>
      <c r="O532" s="82" t="n">
        <f aca="false">IF(L532&lt;&gt;"",L532+N532,"")</f>
        <v>78.489</v>
      </c>
      <c r="P532" s="47" t="n">
        <f aca="false">IF(O532&lt;&gt;"",O532*0.1,"")</f>
        <v>7.8489</v>
      </c>
      <c r="Q532" s="83" t="n">
        <f aca="false">IF(O532&lt;&gt;"",O532+P532,"")</f>
        <v>86.3379</v>
      </c>
      <c r="R532" s="84"/>
    </row>
    <row r="533" customFormat="false" ht="15" hidden="false" customHeight="true" outlineLevel="0" collapsed="false">
      <c r="A533" s="103" t="n">
        <v>55940</v>
      </c>
      <c r="B533" s="85" t="n">
        <v>46206</v>
      </c>
      <c r="C533" s="86" t="n">
        <v>15728</v>
      </c>
      <c r="D533" s="87" t="n">
        <v>50160</v>
      </c>
      <c r="E533" s="46" t="str">
        <f aca="false">IF(D533&lt;&gt;"",IFERROR(VLOOKUP(D533,PROVEEDORES!$A:$B,2,0),"!COD NO ENCONTRADO"),"")</f>
        <v>SUBASTAS CORUÑA S.L.</v>
      </c>
      <c r="F533" s="88" t="str">
        <f aca="false">IF(D533&lt;&gt;"",IFERROR(VLOOKUP(D533,PROVEEDORES!$A:$C,3,0),""),"")</f>
        <v>S</v>
      </c>
      <c r="G533" s="87" t="s">
        <v>193</v>
      </c>
      <c r="H533" s="46" t="str">
        <f aca="false">IF(G533&lt;&gt;"",IFERROR(VLOOKUP(G533,PRODUCTOS!$A:$B,2,0),"!COD NO ENCONTRADO"),"")</f>
        <v>MERLUZA EUROPEA ARRASTRE (HKE) </v>
      </c>
      <c r="I533" s="89" t="n">
        <v>1</v>
      </c>
      <c r="J533" s="90" t="n">
        <v>5.75</v>
      </c>
      <c r="K533" s="91" t="n">
        <v>2.9</v>
      </c>
      <c r="L533" s="80" t="n">
        <f aca="false">IF(AND(J533&lt;&gt;"",K533&lt;&gt;""),J533*K533,"")</f>
        <v>16.675</v>
      </c>
      <c r="M533" s="81" t="n">
        <f aca="false">IF(L533&lt;&gt;"",L533*1.1,"")</f>
        <v>18.3425</v>
      </c>
      <c r="N533" s="47" t="n">
        <f aca="false">IF(F533="S",L533*0.02,0)</f>
        <v>0.3335</v>
      </c>
      <c r="O533" s="82" t="n">
        <f aca="false">IF(L533&lt;&gt;"",L533+N533,"")</f>
        <v>17.0085</v>
      </c>
      <c r="P533" s="47" t="n">
        <f aca="false">IF(O533&lt;&gt;"",O533*0.1,"")</f>
        <v>1.70085</v>
      </c>
      <c r="Q533" s="83" t="n">
        <f aca="false">IF(O533&lt;&gt;"",O533+P533,"")</f>
        <v>18.70935</v>
      </c>
      <c r="R533" s="84"/>
    </row>
    <row r="534" customFormat="false" ht="15" hidden="false" customHeight="true" outlineLevel="0" collapsed="false">
      <c r="A534" s="103" t="n">
        <v>55940</v>
      </c>
      <c r="B534" s="73" t="n">
        <v>46206</v>
      </c>
      <c r="C534" s="74"/>
      <c r="D534" s="75" t="n">
        <v>50160</v>
      </c>
      <c r="E534" s="52" t="str">
        <f aca="false">IF(D534&lt;&gt;"",IFERROR(VLOOKUP(D534,PROVEEDORES!$A:$B,2,0),"!COD NO ENCONTRADO"),"")</f>
        <v>SUBASTAS CORUÑA S.L.</v>
      </c>
      <c r="F534" s="76" t="str">
        <f aca="false">IF(D534&lt;&gt;"",IFERROR(VLOOKUP(D534,PROVEEDORES!$A:$C,3,0),""),"")</f>
        <v>S</v>
      </c>
      <c r="G534" s="75" t="s">
        <v>296</v>
      </c>
      <c r="H534" s="52" t="str">
        <f aca="false">IF(G534&lt;&gt;"",IFERROR(VLOOKUP(G534,PRODUCTOS!$A:$B,2,0),"!COD NO ENCONTRADO"),"")</f>
        <v>RAPE NEGRO (ANK)</v>
      </c>
      <c r="I534" s="77" t="n">
        <v>1</v>
      </c>
      <c r="J534" s="78" t="n">
        <v>8.5</v>
      </c>
      <c r="K534" s="79" t="n">
        <v>9.5</v>
      </c>
      <c r="L534" s="80" t="n">
        <f aca="false">IF(AND(J534&lt;&gt;"",K534&lt;&gt;""),J534*K534,"")</f>
        <v>80.75</v>
      </c>
      <c r="M534" s="81" t="n">
        <f aca="false">IF(L534&lt;&gt;"",L534*1.1,"")</f>
        <v>88.825</v>
      </c>
      <c r="N534" s="53" t="n">
        <f aca="false">IF(F534="S",L534*0.02,0)</f>
        <v>1.615</v>
      </c>
      <c r="O534" s="82" t="n">
        <f aca="false">IF(L534&lt;&gt;"",L534+N534,"")</f>
        <v>82.365</v>
      </c>
      <c r="P534" s="53" t="n">
        <f aca="false">IF(O534&lt;&gt;"",O534*0.1,"")</f>
        <v>8.2365</v>
      </c>
      <c r="Q534" s="83" t="n">
        <f aca="false">IF(O534&lt;&gt;"",O534+P534,"")</f>
        <v>90.6015</v>
      </c>
      <c r="R534" s="84"/>
    </row>
    <row r="535" customFormat="false" ht="15" hidden="false" customHeight="true" outlineLevel="0" collapsed="false">
      <c r="A535" s="103" t="n">
        <v>55940</v>
      </c>
      <c r="B535" s="73" t="n">
        <v>46206</v>
      </c>
      <c r="C535" s="74" t="n">
        <v>15728</v>
      </c>
      <c r="D535" s="75" t="n">
        <v>50160</v>
      </c>
      <c r="E535" s="52" t="str">
        <f aca="false">IF(D535&lt;&gt;"",IFERROR(VLOOKUP(D535,PROVEEDORES!$A:$B,2,0),"!COD NO ENCONTRADO"),"")</f>
        <v>SUBASTAS CORUÑA S.L.</v>
      </c>
      <c r="F535" s="76" t="str">
        <f aca="false">IF(D535&lt;&gt;"",IFERROR(VLOOKUP(D535,PROVEEDORES!$A:$C,3,0),""),"")</f>
        <v>S</v>
      </c>
      <c r="G535" s="75" t="s">
        <v>193</v>
      </c>
      <c r="H535" s="52" t="str">
        <f aca="false">IF(G535&lt;&gt;"",IFERROR(VLOOKUP(G535,PRODUCTOS!$A:$B,2,0),"!COD NO ENCONTRADO"),"")</f>
        <v>MERLUZA EUROPEA ARRASTRE (HKE) </v>
      </c>
      <c r="I535" s="77" t="n">
        <v>1</v>
      </c>
      <c r="J535" s="78" t="n">
        <v>5</v>
      </c>
      <c r="K535" s="79" t="n">
        <v>2.75</v>
      </c>
      <c r="L535" s="80" t="n">
        <f aca="false">IF(AND(J535&lt;&gt;"",K535&lt;&gt;""),J535*K535,"")</f>
        <v>13.75</v>
      </c>
      <c r="M535" s="81" t="n">
        <f aca="false">IF(L535&lt;&gt;"",L535*1.1,"")</f>
        <v>15.125</v>
      </c>
      <c r="N535" s="53" t="n">
        <f aca="false">IF(F535="S",L535*0.02,0)</f>
        <v>0.275</v>
      </c>
      <c r="O535" s="82" t="n">
        <f aca="false">IF(L535&lt;&gt;"",L535+N535,"")</f>
        <v>14.025</v>
      </c>
      <c r="P535" s="53" t="n">
        <f aca="false">IF(O535&lt;&gt;"",O535*0.1,"")</f>
        <v>1.4025</v>
      </c>
      <c r="Q535" s="83" t="n">
        <f aca="false">IF(O535&lt;&gt;"",O535+P535,"")</f>
        <v>15.4275</v>
      </c>
      <c r="R535" s="84"/>
    </row>
    <row r="536" customFormat="false" ht="15" hidden="false" customHeight="true" outlineLevel="0" collapsed="false">
      <c r="A536" s="103" t="n">
        <v>55941</v>
      </c>
      <c r="B536" s="85" t="n">
        <v>46206</v>
      </c>
      <c r="C536" s="86" t="n">
        <v>9636</v>
      </c>
      <c r="D536" s="87" t="n">
        <v>50001</v>
      </c>
      <c r="E536" s="46" t="str">
        <f aca="false">IF(D536&lt;&gt;"",IFERROR(VLOOKUP(D536,PROVEEDORES!$A:$B,2,0),"!COD NO ENCONTRADO"),"")</f>
        <v>COPESA</v>
      </c>
      <c r="F536" s="88" t="str">
        <f aca="false">IF(D536&lt;&gt;"",IFERROR(VLOOKUP(D536,PROVEEDORES!$A:$C,3,0),""),"")</f>
        <v>S</v>
      </c>
      <c r="G536" s="87" t="s">
        <v>235</v>
      </c>
      <c r="H536" s="46" t="str">
        <f aca="false">IF(G536&lt;&gt;"",IFERROR(VLOOKUP(G536,PRODUCTOS!$A:$B,2,0),"!COD NO ENCONTRADO"),"")</f>
        <v>MERLUZA EUROPEA VOLANTA COSTA</v>
      </c>
      <c r="I536" s="89" t="n">
        <v>1</v>
      </c>
      <c r="J536" s="90" t="n">
        <v>4.75</v>
      </c>
      <c r="K536" s="91" t="n">
        <v>8</v>
      </c>
      <c r="L536" s="80" t="n">
        <f aca="false">IF(AND(J536&lt;&gt;"",K536&lt;&gt;""),J536*K536,"")</f>
        <v>38</v>
      </c>
      <c r="M536" s="81" t="n">
        <f aca="false">IF(L536&lt;&gt;"",L536*1.1,"")</f>
        <v>41.8</v>
      </c>
      <c r="N536" s="47" t="n">
        <f aca="false">IF(F536="S",L536*0.02,0)</f>
        <v>0.76</v>
      </c>
      <c r="O536" s="82" t="n">
        <f aca="false">IF(L536&lt;&gt;"",L536+N536,"")</f>
        <v>38.76</v>
      </c>
      <c r="P536" s="47" t="n">
        <f aca="false">IF(O536&lt;&gt;"",O536*0.1,"")</f>
        <v>3.876</v>
      </c>
      <c r="Q536" s="83" t="n">
        <f aca="false">IF(O536&lt;&gt;"",O536+P536,"")</f>
        <v>42.636</v>
      </c>
      <c r="R536" s="84"/>
    </row>
    <row r="537" customFormat="false" ht="15" hidden="false" customHeight="true" outlineLevel="0" collapsed="false">
      <c r="A537" s="103" t="n">
        <v>55942</v>
      </c>
      <c r="B537" s="73" t="n">
        <v>46206</v>
      </c>
      <c r="C537" s="74"/>
      <c r="D537" s="75" t="n">
        <v>50048</v>
      </c>
      <c r="E537" s="52" t="str">
        <f aca="false">IF(D537&lt;&gt;"",IFERROR(VLOOKUP(D537,PROVEEDORES!$A:$B,2,0),"!COD NO ENCONTRADO"),"")</f>
        <v>JOSE LUIS CORREA KESSLER S.L.</v>
      </c>
      <c r="F537" s="76" t="str">
        <f aca="false">IF(D537&lt;&gt;"",IFERROR(VLOOKUP(D537,PROVEEDORES!$A:$C,3,0),""),"")</f>
        <v>N</v>
      </c>
      <c r="G537" s="75" t="s">
        <v>179</v>
      </c>
      <c r="H537" s="52" t="str">
        <f aca="false">IF(G537&lt;&gt;"",IFERROR(VLOOKUP(G537,PRODUCTOS!$A:$B,2,0),"!COD NO ENCONTRADO"),"")</f>
        <v>LIRIO/ BACALADILLA/ PERLA (WHB)</v>
      </c>
      <c r="I537" s="77" t="n">
        <v>60</v>
      </c>
      <c r="J537" s="78" t="n">
        <v>360</v>
      </c>
      <c r="K537" s="79" t="n">
        <v>1.5</v>
      </c>
      <c r="L537" s="80" t="n">
        <f aca="false">IF(AND(J537&lt;&gt;"",K537&lt;&gt;""),J537*K537,"")</f>
        <v>540</v>
      </c>
      <c r="M537" s="81" t="n">
        <f aca="false">IF(L537&lt;&gt;"",L537*1.1,"")</f>
        <v>594</v>
      </c>
      <c r="N537" s="53" t="n">
        <f aca="false">IF(F537="S",L537*0.02,0)</f>
        <v>0</v>
      </c>
      <c r="O537" s="82" t="n">
        <f aca="false">IF(L537&lt;&gt;"",L537+N537,"")</f>
        <v>540</v>
      </c>
      <c r="P537" s="53" t="n">
        <f aca="false">IF(O537&lt;&gt;"",O537*0.1,"")</f>
        <v>54</v>
      </c>
      <c r="Q537" s="83" t="n">
        <f aca="false">IF(O537&lt;&gt;"",O537+P537,"")</f>
        <v>594</v>
      </c>
      <c r="R537" s="84"/>
    </row>
    <row r="538" customFormat="false" ht="15" hidden="false" customHeight="true" outlineLevel="0" collapsed="false">
      <c r="A538" s="103" t="n">
        <v>55943</v>
      </c>
      <c r="B538" s="85" t="n">
        <v>46206</v>
      </c>
      <c r="C538" s="86"/>
      <c r="D538" s="87" t="n">
        <v>50213</v>
      </c>
      <c r="E538" s="46" t="str">
        <f aca="false">IF(D538&lt;&gt;"",IFERROR(VLOOKUP(D538,PROVEEDORES!$A:$B,2,0),"!COD NO ENCONTRADO"),"")</f>
        <v>PESCADOS OCEANO ATLANTICO S.L.</v>
      </c>
      <c r="F538" s="88" t="str">
        <f aca="false">IF(D538&lt;&gt;"",IFERROR(VLOOKUP(D538,PROVEEDORES!$A:$C,3,0),""),"")</f>
        <v>N</v>
      </c>
      <c r="G538" s="87" t="s">
        <v>324</v>
      </c>
      <c r="H538" s="46" t="str">
        <f aca="false">IF(G538&lt;&gt;"",IFERROR(VLOOKUP(G538,PRODUCTOS!$A:$B,2,0),"!COD NO ENCONTRADO"),"")</f>
        <v>SARDINA    (PIL)</v>
      </c>
      <c r="I538" s="89" t="n">
        <v>6</v>
      </c>
      <c r="J538" s="90" t="n">
        <v>36</v>
      </c>
      <c r="K538" s="91" t="n">
        <v>3</v>
      </c>
      <c r="L538" s="80" t="n">
        <f aca="false">IF(AND(J538&lt;&gt;"",K538&lt;&gt;""),J538*K538,"")</f>
        <v>108</v>
      </c>
      <c r="M538" s="81" t="n">
        <f aca="false">IF(L538&lt;&gt;"",L538*1.1,"")</f>
        <v>118.8</v>
      </c>
      <c r="N538" s="47" t="n">
        <f aca="false">IF(F538="S",L538*0.02,0)</f>
        <v>0</v>
      </c>
      <c r="O538" s="82" t="n">
        <f aca="false">IF(L538&lt;&gt;"",L538+N538,"")</f>
        <v>108</v>
      </c>
      <c r="P538" s="47" t="n">
        <f aca="false">IF(O538&lt;&gt;"",O538*0.1,"")</f>
        <v>10.8</v>
      </c>
      <c r="Q538" s="83" t="n">
        <f aca="false">IF(O538&lt;&gt;"",O538+P538,"")</f>
        <v>118.8</v>
      </c>
      <c r="R538" s="84"/>
    </row>
    <row r="539" customFormat="false" ht="15" hidden="false" customHeight="true" outlineLevel="0" collapsed="false">
      <c r="A539" s="103" t="n">
        <v>55944</v>
      </c>
      <c r="B539" s="73" t="n">
        <v>46206</v>
      </c>
      <c r="C539" s="74"/>
      <c r="D539" s="75" t="n">
        <v>50035</v>
      </c>
      <c r="E539" s="52" t="str">
        <f aca="false">IF(D539&lt;&gt;"",IFERROR(VLOOKUP(D539,PROVEEDORES!$A:$B,2,0),"!COD NO ENCONTRADO"),"")</f>
        <v>SCANFISK SEAFFOD S,L</v>
      </c>
      <c r="F539" s="76" t="str">
        <f aca="false">IF(D539&lt;&gt;"",IFERROR(VLOOKUP(D539,PROVEEDORES!$A:$C,3,0),""),"")</f>
        <v>N</v>
      </c>
      <c r="G539" s="75" t="s">
        <v>235</v>
      </c>
      <c r="H539" s="52" t="str">
        <f aca="false">IF(G539&lt;&gt;"",IFERROR(VLOOKUP(G539,PRODUCTOS!$A:$B,2,0),"!COD NO ENCONTRADO"),"")</f>
        <v>MERLUZA EUROPEA VOLANTA COSTA</v>
      </c>
      <c r="I539" s="77" t="n">
        <v>5</v>
      </c>
      <c r="J539" s="78" t="n">
        <v>53.7</v>
      </c>
      <c r="K539" s="79" t="n">
        <v>7</v>
      </c>
      <c r="L539" s="80" t="n">
        <f aca="false">IF(AND(J539&lt;&gt;"",K539&lt;&gt;""),J539*K539,"")</f>
        <v>375.9</v>
      </c>
      <c r="M539" s="81" t="n">
        <f aca="false">IF(L539&lt;&gt;"",L539*1.1,"")</f>
        <v>413.49</v>
      </c>
      <c r="N539" s="53" t="n">
        <f aca="false">IF(F539="S",L539*0.02,0)</f>
        <v>0</v>
      </c>
      <c r="O539" s="82" t="n">
        <f aca="false">IF(L539&lt;&gt;"",L539+N539,"")</f>
        <v>375.9</v>
      </c>
      <c r="P539" s="53" t="n">
        <f aca="false">IF(O539&lt;&gt;"",O539*0.1,"")</f>
        <v>37.59</v>
      </c>
      <c r="Q539" s="83" t="n">
        <f aca="false">IF(O539&lt;&gt;"",O539+P539,"")</f>
        <v>413.49</v>
      </c>
      <c r="R539" s="84"/>
    </row>
    <row r="540" customFormat="false" ht="15" hidden="false" customHeight="true" outlineLevel="0" collapsed="false">
      <c r="A540" s="103" t="n">
        <v>55945</v>
      </c>
      <c r="B540" s="85" t="n">
        <v>46206</v>
      </c>
      <c r="C540" s="86" t="s">
        <v>405</v>
      </c>
      <c r="D540" s="87" t="n">
        <v>50509</v>
      </c>
      <c r="E540" s="46" t="str">
        <f aca="false">IF(D540&lt;&gt;"",IFERROR(VLOOKUP(D540,PROVEEDORES!$A:$B,2,0),"!COD NO ENCONTRADO"),"")</f>
        <v>AZORFISK UNIPERSONAL LDA</v>
      </c>
      <c r="F540" s="88" t="str">
        <f aca="false">IF(D540&lt;&gt;"",IFERROR(VLOOKUP(D540,PROVEEDORES!$A:$C,3,0),""),"")</f>
        <v>N</v>
      </c>
      <c r="G540" s="87" t="s">
        <v>336</v>
      </c>
      <c r="H540" s="46" t="str">
        <f aca="false">IF(G540&lt;&gt;"",IFERROR(VLOOKUP(G540,PRODUCTOS!$A:$B,2,0),"!COD NO ENCONTRADO"),"")</f>
        <v>VIRREY/ PALOMETA ROJA</v>
      </c>
      <c r="I540" s="89" t="n">
        <v>1</v>
      </c>
      <c r="J540" s="90" t="n">
        <v>6.7</v>
      </c>
      <c r="K540" s="91" t="n">
        <v>62</v>
      </c>
      <c r="L540" s="80" t="n">
        <f aca="false">IF(AND(J540&lt;&gt;"",K540&lt;&gt;""),J540*K540,"")</f>
        <v>415.4</v>
      </c>
      <c r="M540" s="81" t="n">
        <f aca="false">IF(L540&lt;&gt;"",L540*1.1,"")</f>
        <v>456.94</v>
      </c>
      <c r="N540" s="47" t="n">
        <f aca="false">IF(F540="S",L540*0.02,0)</f>
        <v>0</v>
      </c>
      <c r="O540" s="82" t="n">
        <f aca="false">IF(L540&lt;&gt;"",L540+N540,"")</f>
        <v>415.4</v>
      </c>
      <c r="P540" s="47" t="n">
        <f aca="false">IF(O540&lt;&gt;"",O540*0.1,"")</f>
        <v>41.54</v>
      </c>
      <c r="Q540" s="83" t="n">
        <f aca="false">IF(O540&lt;&gt;"",O540+P540,"")</f>
        <v>456.94</v>
      </c>
      <c r="R540" s="84"/>
    </row>
    <row r="541" customFormat="false" ht="15" hidden="false" customHeight="true" outlineLevel="0" collapsed="false">
      <c r="A541" s="103" t="n">
        <v>55945</v>
      </c>
      <c r="B541" s="85" t="n">
        <v>46206</v>
      </c>
      <c r="C541" s="74" t="s">
        <v>405</v>
      </c>
      <c r="D541" s="75" t="n">
        <v>50509</v>
      </c>
      <c r="E541" s="52" t="str">
        <f aca="false">IF(D541&lt;&gt;"",IFERROR(VLOOKUP(D541,PROVEEDORES!$A:$B,2,0),"!COD NO ENCONTRADO"),"")</f>
        <v>AZORFISK UNIPERSONAL LDA</v>
      </c>
      <c r="F541" s="76" t="str">
        <f aca="false">IF(D541&lt;&gt;"",IFERROR(VLOOKUP(D541,PROVEEDORES!$A:$C,3,0),""),"")</f>
        <v>N</v>
      </c>
      <c r="G541" s="75" t="s">
        <v>83</v>
      </c>
      <c r="H541" s="52" t="str">
        <f aca="false">IF(G541&lt;&gt;"",IFERROR(VLOOKUP(G541,PRODUCTOS!$A:$B,2,0),"!COD NO ENCONTRADO"),"")</f>
        <v>BESUGO (BSR)</v>
      </c>
      <c r="I541" s="77" t="n">
        <v>1</v>
      </c>
      <c r="J541" s="78" t="n">
        <v>10.6</v>
      </c>
      <c r="K541" s="79" t="n">
        <v>31</v>
      </c>
      <c r="L541" s="80" t="n">
        <f aca="false">IF(AND(J541&lt;&gt;"",K541&lt;&gt;""),J541*K541,"")</f>
        <v>328.6</v>
      </c>
      <c r="M541" s="81" t="n">
        <f aca="false">IF(L541&lt;&gt;"",L541*1.1,"")</f>
        <v>361.46</v>
      </c>
      <c r="N541" s="53" t="n">
        <f aca="false">IF(F541="S",L541*0.02,0)</f>
        <v>0</v>
      </c>
      <c r="O541" s="82" t="n">
        <f aca="false">IF(L541&lt;&gt;"",L541+N541,"")</f>
        <v>328.6</v>
      </c>
      <c r="P541" s="53" t="n">
        <f aca="false">IF(O541&lt;&gt;"",O541*0.1,"")</f>
        <v>32.86</v>
      </c>
      <c r="Q541" s="83" t="n">
        <f aca="false">IF(O541&lt;&gt;"",O541+P541,"")</f>
        <v>361.46</v>
      </c>
      <c r="R541" s="84"/>
    </row>
    <row r="542" customFormat="false" ht="15" hidden="false" customHeight="true" outlineLevel="0" collapsed="false">
      <c r="A542" s="103" t="n">
        <v>55945</v>
      </c>
      <c r="B542" s="73" t="n">
        <v>46206</v>
      </c>
      <c r="C542" s="86" t="s">
        <v>406</v>
      </c>
      <c r="D542" s="87" t="n">
        <v>50509</v>
      </c>
      <c r="E542" s="46" t="str">
        <f aca="false">IF(D542&lt;&gt;"",IFERROR(VLOOKUP(D542,PROVEEDORES!$A:$B,2,0),"!COD NO ENCONTRADO"),"")</f>
        <v>AZORFISK UNIPERSONAL LDA</v>
      </c>
      <c r="F542" s="88" t="str">
        <f aca="false">IF(D542&lt;&gt;"",IFERROR(VLOOKUP(D542,PROVEEDORES!$A:$C,3,0),""),"")</f>
        <v>N</v>
      </c>
      <c r="G542" s="87" t="s">
        <v>336</v>
      </c>
      <c r="H542" s="46" t="str">
        <f aca="false">IF(G542&lt;&gt;"",IFERROR(VLOOKUP(G542,PRODUCTOS!$A:$B,2,0),"!COD NO ENCONTRADO"),"")</f>
        <v>VIRREY/ PALOMETA ROJA</v>
      </c>
      <c r="I542" s="89" t="n">
        <v>2</v>
      </c>
      <c r="J542" s="90" t="n">
        <v>12.5</v>
      </c>
      <c r="K542" s="91" t="n">
        <v>64.5</v>
      </c>
      <c r="L542" s="80" t="n">
        <f aca="false">IF(AND(J542&lt;&gt;"",K542&lt;&gt;""),J542*K542,"")</f>
        <v>806.25</v>
      </c>
      <c r="M542" s="81" t="n">
        <f aca="false">IF(L542&lt;&gt;"",L542*1.1,"")</f>
        <v>886.875</v>
      </c>
      <c r="N542" s="47" t="n">
        <f aca="false">IF(F542="S",L542*0.02,0)</f>
        <v>0</v>
      </c>
      <c r="O542" s="82" t="n">
        <f aca="false">IF(L542&lt;&gt;"",L542+N542,"")</f>
        <v>806.25</v>
      </c>
      <c r="P542" s="47" t="n">
        <f aca="false">IF(O542&lt;&gt;"",O542*0.1,"")</f>
        <v>80.625</v>
      </c>
      <c r="Q542" s="83" t="n">
        <f aca="false">IF(O542&lt;&gt;"",O542+P542,"")</f>
        <v>886.875</v>
      </c>
      <c r="R542" s="84"/>
    </row>
    <row r="543" customFormat="false" ht="15" hidden="false" customHeight="true" outlineLevel="0" collapsed="false">
      <c r="A543" s="103" t="n">
        <v>55946</v>
      </c>
      <c r="B543" s="73" t="n">
        <v>46207</v>
      </c>
      <c r="C543" s="74" t="n">
        <v>307</v>
      </c>
      <c r="D543" s="75" t="n">
        <v>50232</v>
      </c>
      <c r="E543" s="52" t="str">
        <f aca="false">IF(D543&lt;&gt;"",IFERROR(VLOOKUP(D543,PROVEEDORES!$A:$B,2,0),"!COD NO ENCONTRADO"),"")</f>
        <v>XESTION NOVA LONXA RIVEIRA S.L.</v>
      </c>
      <c r="F543" s="76" t="str">
        <f aca="false">IF(D543&lt;&gt;"",IFERROR(VLOOKUP(D543,PROVEEDORES!$A:$C,3,0),""),"")</f>
        <v>S</v>
      </c>
      <c r="G543" s="75" t="s">
        <v>332</v>
      </c>
      <c r="H543" s="52" t="str">
        <f aca="false">IF(G543&lt;&gt;"",IFERROR(VLOOKUP(G543,PRODUCTOS!$A:$B,2,0),"!COD NO ENCONTRADO"),"")</f>
        <v>VARIADO PEQUEÑO</v>
      </c>
      <c r="I543" s="77" t="n">
        <v>1</v>
      </c>
      <c r="J543" s="78" t="n">
        <v>7.5</v>
      </c>
      <c r="K543" s="79" t="n">
        <v>1.5</v>
      </c>
      <c r="L543" s="80" t="n">
        <f aca="false">IF(AND(J543&lt;&gt;"",K543&lt;&gt;""),J543*K543,"")</f>
        <v>11.25</v>
      </c>
      <c r="M543" s="81" t="n">
        <f aca="false">IF(L543&lt;&gt;"",L543*1.1,"")</f>
        <v>12.375</v>
      </c>
      <c r="N543" s="53" t="n">
        <f aca="false">IF(F543="S",L543*0.02,0)</f>
        <v>0.225</v>
      </c>
      <c r="O543" s="82" t="n">
        <f aca="false">IF(L543&lt;&gt;"",L543+N543,"")</f>
        <v>11.475</v>
      </c>
      <c r="P543" s="53" t="n">
        <f aca="false">IF(O543&lt;&gt;"",O543*0.1,"")</f>
        <v>1.1475</v>
      </c>
      <c r="Q543" s="83" t="n">
        <f aca="false">IF(O543&lt;&gt;"",O543+P543,"")</f>
        <v>12.6225</v>
      </c>
      <c r="R543" s="84"/>
    </row>
    <row r="544" customFormat="false" ht="15" hidden="false" customHeight="true" outlineLevel="0" collapsed="false">
      <c r="A544" s="103" t="n">
        <v>55946</v>
      </c>
      <c r="B544" s="85" t="n">
        <v>46207</v>
      </c>
      <c r="C544" s="86" t="n">
        <v>307</v>
      </c>
      <c r="D544" s="87" t="n">
        <v>50232</v>
      </c>
      <c r="E544" s="46" t="str">
        <f aca="false">IF(D544&lt;&gt;"",IFERROR(VLOOKUP(D544,PROVEEDORES!$A:$B,2,0),"!COD NO ENCONTRADO"),"")</f>
        <v>XESTION NOVA LONXA RIVEIRA S.L.</v>
      </c>
      <c r="F544" s="88" t="str">
        <f aca="false">IF(D544&lt;&gt;"",IFERROR(VLOOKUP(D544,PROVEEDORES!$A:$C,3,0),""),"")</f>
        <v>S</v>
      </c>
      <c r="G544" s="87" t="s">
        <v>270</v>
      </c>
      <c r="H544" s="46" t="str">
        <f aca="false">IF(G544&lt;&gt;"",IFERROR(VLOOKUP(G544,PRODUCTOS!$A:$B,2,0),"!COD NO ENCONTRADO"),"")</f>
        <v>PEON/ PION (ATP)</v>
      </c>
      <c r="I544" s="89" t="n">
        <v>10</v>
      </c>
      <c r="J544" s="90" t="n">
        <v>46.5</v>
      </c>
      <c r="K544" s="91" t="n">
        <v>4</v>
      </c>
      <c r="L544" s="80" t="n">
        <f aca="false">IF(AND(J544&lt;&gt;"",K544&lt;&gt;""),J544*K544,"")</f>
        <v>186</v>
      </c>
      <c r="M544" s="81" t="n">
        <f aca="false">IF(L544&lt;&gt;"",L544*1.1,"")</f>
        <v>204.6</v>
      </c>
      <c r="N544" s="47" t="n">
        <f aca="false">IF(F544="S",L544*0.02,0)</f>
        <v>3.72</v>
      </c>
      <c r="O544" s="82" t="n">
        <f aca="false">IF(L544&lt;&gt;"",L544+N544,"")</f>
        <v>189.72</v>
      </c>
      <c r="P544" s="47" t="n">
        <f aca="false">IF(O544&lt;&gt;"",O544*0.1,"")</f>
        <v>18.972</v>
      </c>
      <c r="Q544" s="83" t="n">
        <f aca="false">IF(O544&lt;&gt;"",O544+P544,"")</f>
        <v>208.692</v>
      </c>
      <c r="R544" s="84"/>
    </row>
    <row r="545" customFormat="false" ht="15" hidden="false" customHeight="true" outlineLevel="0" collapsed="false">
      <c r="A545" s="103" t="n">
        <v>55946</v>
      </c>
      <c r="B545" s="73" t="n">
        <v>46207</v>
      </c>
      <c r="C545" s="74" t="n">
        <v>307</v>
      </c>
      <c r="D545" s="75" t="n">
        <v>50232</v>
      </c>
      <c r="E545" s="52" t="str">
        <f aca="false">IF(D545&lt;&gt;"",IFERROR(VLOOKUP(D545,PROVEEDORES!$A:$B,2,0),"!COD NO ENCONTRADO"),"")</f>
        <v>XESTION NOVA LONXA RIVEIRA S.L.</v>
      </c>
      <c r="F545" s="76" t="str">
        <f aca="false">IF(D545&lt;&gt;"",IFERROR(VLOOKUP(D545,PROVEEDORES!$A:$C,3,0),""),"")</f>
        <v>S</v>
      </c>
      <c r="G545" s="75" t="s">
        <v>296</v>
      </c>
      <c r="H545" s="52" t="str">
        <f aca="false">IF(G545&lt;&gt;"",IFERROR(VLOOKUP(G545,PRODUCTOS!$A:$B,2,0),"!COD NO ENCONTRADO"),"")</f>
        <v>RAPE NEGRO (ANK)</v>
      </c>
      <c r="I545" s="77" t="n">
        <v>2</v>
      </c>
      <c r="J545" s="78" t="n">
        <v>3.5</v>
      </c>
      <c r="K545" s="79" t="n">
        <v>5</v>
      </c>
      <c r="L545" s="80" t="n">
        <f aca="false">IF(AND(J545&lt;&gt;"",K545&lt;&gt;""),J545*K545,"")</f>
        <v>17.5</v>
      </c>
      <c r="M545" s="81" t="n">
        <f aca="false">IF(L545&lt;&gt;"",L545*1.1,"")</f>
        <v>19.25</v>
      </c>
      <c r="N545" s="53" t="n">
        <f aca="false">IF(F545="S",L545*0.02,0)</f>
        <v>0.35</v>
      </c>
      <c r="O545" s="82" t="n">
        <f aca="false">IF(L545&lt;&gt;"",L545+N545,"")</f>
        <v>17.85</v>
      </c>
      <c r="P545" s="53" t="n">
        <f aca="false">IF(O545&lt;&gt;"",O545*0.1,"")</f>
        <v>1.785</v>
      </c>
      <c r="Q545" s="83" t="n">
        <f aca="false">IF(O545&lt;&gt;"",O545+P545,"")</f>
        <v>19.635</v>
      </c>
      <c r="R545" s="84"/>
    </row>
    <row r="546" customFormat="false" ht="15" hidden="false" customHeight="true" outlineLevel="0" collapsed="false">
      <c r="A546" s="103" t="n">
        <v>55946</v>
      </c>
      <c r="B546" s="85" t="n">
        <v>46207</v>
      </c>
      <c r="C546" s="86" t="n">
        <v>307</v>
      </c>
      <c r="D546" s="87" t="n">
        <v>50232</v>
      </c>
      <c r="E546" s="46" t="str">
        <f aca="false">IF(D546&lt;&gt;"",IFERROR(VLOOKUP(D546,PROVEEDORES!$A:$B,2,0),"!COD NO ENCONTRADO"),"")</f>
        <v>XESTION NOVA LONXA RIVEIRA S.L.</v>
      </c>
      <c r="F546" s="88" t="str">
        <f aca="false">IF(D546&lt;&gt;"",IFERROR(VLOOKUP(D546,PROVEEDORES!$A:$C,3,0),""),"")</f>
        <v>S</v>
      </c>
      <c r="G546" s="87" t="s">
        <v>332</v>
      </c>
      <c r="H546" s="46" t="str">
        <f aca="false">IF(G546&lt;&gt;"",IFERROR(VLOOKUP(G546,PRODUCTOS!$A:$B,2,0),"!COD NO ENCONTRADO"),"")</f>
        <v>VARIADO PEQUEÑO</v>
      </c>
      <c r="I546" s="89" t="n">
        <v>3</v>
      </c>
      <c r="J546" s="90" t="n">
        <v>12</v>
      </c>
      <c r="K546" s="91" t="n">
        <v>1.5</v>
      </c>
      <c r="L546" s="80" t="n">
        <f aca="false">IF(AND(J546&lt;&gt;"",K546&lt;&gt;""),J546*K546,"")</f>
        <v>18</v>
      </c>
      <c r="M546" s="81" t="n">
        <f aca="false">IF(L546&lt;&gt;"",L546*1.1,"")</f>
        <v>19.8</v>
      </c>
      <c r="N546" s="47" t="n">
        <f aca="false">IF(F546="S",L546*0.02,0)</f>
        <v>0.36</v>
      </c>
      <c r="O546" s="82" t="n">
        <f aca="false">IF(L546&lt;&gt;"",L546+N546,"")</f>
        <v>18.36</v>
      </c>
      <c r="P546" s="47" t="n">
        <f aca="false">IF(O546&lt;&gt;"",O546*0.1,"")</f>
        <v>1.836</v>
      </c>
      <c r="Q546" s="83" t="n">
        <f aca="false">IF(O546&lt;&gt;"",O546+P546,"")</f>
        <v>20.196</v>
      </c>
      <c r="R546" s="84"/>
    </row>
    <row r="547" customFormat="false" ht="15" hidden="false" customHeight="true" outlineLevel="0" collapsed="false">
      <c r="A547" s="103" t="n">
        <v>55946</v>
      </c>
      <c r="B547" s="73" t="n">
        <v>46207</v>
      </c>
      <c r="C547" s="74" t="n">
        <v>307</v>
      </c>
      <c r="D547" s="75" t="n">
        <v>50232</v>
      </c>
      <c r="E547" s="52" t="str">
        <f aca="false">IF(D547&lt;&gt;"",IFERROR(VLOOKUP(D547,PROVEEDORES!$A:$B,2,0),"!COD NO ENCONTRADO"),"")</f>
        <v>XESTION NOVA LONXA RIVEIRA S.L.</v>
      </c>
      <c r="F547" s="76" t="str">
        <f aca="false">IF(D547&lt;&gt;"",IFERROR(VLOOKUP(D547,PROVEEDORES!$A:$C,3,0),""),"")</f>
        <v>S</v>
      </c>
      <c r="G547" s="75" t="s">
        <v>288</v>
      </c>
      <c r="H547" s="52" t="str">
        <f aca="false">IF(G547&lt;&gt;"",IFERROR(VLOOKUP(G547,PRODUCTOS!$A:$B,2,0),"!COD NO ENCONTRADO"),"")</f>
        <v>RAPE BLANCO DIA (MON)</v>
      </c>
      <c r="I547" s="77" t="n">
        <v>5</v>
      </c>
      <c r="J547" s="78" t="n">
        <v>18.4</v>
      </c>
      <c r="K547" s="79" t="n">
        <v>5</v>
      </c>
      <c r="L547" s="80" t="n">
        <f aca="false">IF(AND(J547&lt;&gt;"",K547&lt;&gt;""),J547*K547,"")</f>
        <v>92</v>
      </c>
      <c r="M547" s="81" t="n">
        <f aca="false">IF(L547&lt;&gt;"",L547*1.1,"")</f>
        <v>101.2</v>
      </c>
      <c r="N547" s="53" t="n">
        <f aca="false">IF(F547="S",L547*0.02,0)</f>
        <v>1.84</v>
      </c>
      <c r="O547" s="82" t="n">
        <f aca="false">IF(L547&lt;&gt;"",L547+N547,"")</f>
        <v>93.84</v>
      </c>
      <c r="P547" s="53" t="n">
        <f aca="false">IF(O547&lt;&gt;"",O547*0.1,"")</f>
        <v>9.384</v>
      </c>
      <c r="Q547" s="83" t="n">
        <f aca="false">IF(O547&lt;&gt;"",O547+P547,"")</f>
        <v>103.224</v>
      </c>
      <c r="R547" s="84"/>
    </row>
    <row r="548" customFormat="false" ht="15" hidden="false" customHeight="true" outlineLevel="0" collapsed="false">
      <c r="A548" s="103" t="n">
        <v>55946</v>
      </c>
      <c r="B548" s="85" t="n">
        <v>46207</v>
      </c>
      <c r="C548" s="86" t="n">
        <v>307</v>
      </c>
      <c r="D548" s="87" t="n">
        <v>50232</v>
      </c>
      <c r="E548" s="46" t="str">
        <f aca="false">IF(D548&lt;&gt;"",IFERROR(VLOOKUP(D548,PROVEEDORES!$A:$B,2,0),"!COD NO ENCONTRADO"),"")</f>
        <v>XESTION NOVA LONXA RIVEIRA S.L.</v>
      </c>
      <c r="F548" s="88" t="str">
        <f aca="false">IF(D548&lt;&gt;"",IFERROR(VLOOKUP(D548,PROVEEDORES!$A:$C,3,0),""),"")</f>
        <v>S</v>
      </c>
      <c r="G548" s="87" t="s">
        <v>179</v>
      </c>
      <c r="H548" s="46" t="str">
        <f aca="false">IF(G548&lt;&gt;"",IFERROR(VLOOKUP(G548,PRODUCTOS!$A:$B,2,0),"!COD NO ENCONTRADO"),"")</f>
        <v>LIRIO/ BACALADILLA/ PERLA (WHB)</v>
      </c>
      <c r="I548" s="89" t="n">
        <v>25</v>
      </c>
      <c r="J548" s="90" t="n">
        <v>150</v>
      </c>
      <c r="K548" s="91" t="n">
        <v>1.34</v>
      </c>
      <c r="L548" s="80" t="n">
        <f aca="false">IF(AND(J548&lt;&gt;"",K548&lt;&gt;""),J548*K548,"")</f>
        <v>201</v>
      </c>
      <c r="M548" s="81" t="n">
        <f aca="false">IF(L548&lt;&gt;"",L548*1.1,"")</f>
        <v>221.1</v>
      </c>
      <c r="N548" s="47" t="n">
        <f aca="false">IF(F548="S",L548*0.02,0)</f>
        <v>4.02</v>
      </c>
      <c r="O548" s="82" t="n">
        <f aca="false">IF(L548&lt;&gt;"",L548+N548,"")</f>
        <v>205.02</v>
      </c>
      <c r="P548" s="47" t="n">
        <f aca="false">IF(O548&lt;&gt;"",O548*0.1,"")</f>
        <v>20.502</v>
      </c>
      <c r="Q548" s="83" t="n">
        <f aca="false">IF(O548&lt;&gt;"",O548+P548,"")</f>
        <v>225.522</v>
      </c>
      <c r="R548" s="84"/>
    </row>
    <row r="549" customFormat="false" ht="15" hidden="false" customHeight="true" outlineLevel="0" collapsed="false">
      <c r="A549" s="103" t="n">
        <v>55947</v>
      </c>
      <c r="B549" s="73" t="n">
        <v>46207</v>
      </c>
      <c r="C549" s="74" t="n">
        <v>18500</v>
      </c>
      <c r="D549" s="75" t="n">
        <v>50163</v>
      </c>
      <c r="E549" s="52" t="str">
        <f aca="false">IF(D549&lt;&gt;"",IFERROR(VLOOKUP(D549,PROVEEDORES!$A:$B,2,0),"!COD NO ENCONTRADO"),"")</f>
        <v>SUBASTAS RIVERA S.L.</v>
      </c>
      <c r="F549" s="76" t="str">
        <f aca="false">IF(D549&lt;&gt;"",IFERROR(VLOOKUP(D549,PROVEEDORES!$A:$C,3,0),""),"")</f>
        <v>S</v>
      </c>
      <c r="G549" s="75" t="s">
        <v>241</v>
      </c>
      <c r="H549" s="52" t="str">
        <f aca="false">IF(G549&lt;&gt;"",IFERROR(VLOOKUP(G549,PRODUCTOS!$A:$B,2,0),"!COD NO ENCONTRADO"),"")</f>
        <v>MERLUZA EUROPEA VOLANTA COSTA 1,25/1,5</v>
      </c>
      <c r="I549" s="77" t="n">
        <v>1</v>
      </c>
      <c r="J549" s="78" t="n">
        <v>18.75</v>
      </c>
      <c r="K549" s="79" t="n">
        <v>5.4</v>
      </c>
      <c r="L549" s="80" t="n">
        <f aca="false">IF(AND(J549&lt;&gt;"",K549&lt;&gt;""),J549*K549,"")</f>
        <v>101.25</v>
      </c>
      <c r="M549" s="81" t="n">
        <f aca="false">IF(L549&lt;&gt;"",L549*1.1,"")</f>
        <v>111.375</v>
      </c>
      <c r="N549" s="53" t="n">
        <f aca="false">IF(F549="S",L549*0.02,0)</f>
        <v>2.025</v>
      </c>
      <c r="O549" s="82" t="n">
        <f aca="false">IF(L549&lt;&gt;"",L549+N549,"")</f>
        <v>103.275</v>
      </c>
      <c r="P549" s="53" t="n">
        <f aca="false">IF(O549&lt;&gt;"",O549*0.1,"")</f>
        <v>10.3275</v>
      </c>
      <c r="Q549" s="83" t="n">
        <f aca="false">IF(O549&lt;&gt;"",O549+P549,"")</f>
        <v>113.6025</v>
      </c>
      <c r="R549" s="84"/>
    </row>
    <row r="550" customFormat="false" ht="15" hidden="false" customHeight="true" outlineLevel="0" collapsed="false">
      <c r="A550" s="103" t="n">
        <v>55947</v>
      </c>
      <c r="B550" s="73" t="n">
        <v>46207</v>
      </c>
      <c r="C550" s="86" t="n">
        <v>18500</v>
      </c>
      <c r="D550" s="87" t="n">
        <v>50163</v>
      </c>
      <c r="E550" s="46" t="str">
        <f aca="false">IF(D550&lt;&gt;"",IFERROR(VLOOKUP(D550,PROVEEDORES!$A:$B,2,0),"!COD NO ENCONTRADO"),"")</f>
        <v>SUBASTAS RIVERA S.L.</v>
      </c>
      <c r="F550" s="88" t="str">
        <f aca="false">IF(D550&lt;&gt;"",IFERROR(VLOOKUP(D550,PROVEEDORES!$A:$C,3,0),""),"")</f>
        <v>S</v>
      </c>
      <c r="G550" s="87" t="s">
        <v>314</v>
      </c>
      <c r="H550" s="46" t="str">
        <f aca="false">IF(G550&lt;&gt;"",IFERROR(VLOOKUP(G550,PRODUCTOS!$A:$B,2,0),"!COD NO ENCONTRADO"),"")</f>
        <v>SALMONETE</v>
      </c>
      <c r="I550" s="89" t="n">
        <v>1</v>
      </c>
      <c r="J550" s="90" t="n">
        <v>2.8</v>
      </c>
      <c r="K550" s="91" t="n">
        <v>13</v>
      </c>
      <c r="L550" s="80" t="n">
        <f aca="false">IF(AND(J550&lt;&gt;"",K550&lt;&gt;""),J550*K550,"")</f>
        <v>36.4</v>
      </c>
      <c r="M550" s="81" t="n">
        <f aca="false">IF(L550&lt;&gt;"",L550*1.1,"")</f>
        <v>40.04</v>
      </c>
      <c r="N550" s="47" t="n">
        <f aca="false">IF(F550="S",L550*0.02,0)</f>
        <v>0.728</v>
      </c>
      <c r="O550" s="82" t="n">
        <f aca="false">IF(L550&lt;&gt;"",L550+N550,"")</f>
        <v>37.128</v>
      </c>
      <c r="P550" s="47" t="n">
        <f aca="false">IF(O550&lt;&gt;"",O550*0.1,"")</f>
        <v>3.7128</v>
      </c>
      <c r="Q550" s="83" t="n">
        <f aca="false">IF(O550&lt;&gt;"",O550+P550,"")</f>
        <v>40.8408</v>
      </c>
      <c r="R550" s="84"/>
    </row>
    <row r="551" customFormat="false" ht="15" hidden="false" customHeight="true" outlineLevel="0" collapsed="false">
      <c r="A551" s="103" t="n">
        <v>55947</v>
      </c>
      <c r="B551" s="85" t="n">
        <v>46207</v>
      </c>
      <c r="C551" s="74" t="n">
        <v>18500</v>
      </c>
      <c r="D551" s="75" t="n">
        <v>50163</v>
      </c>
      <c r="E551" s="52" t="str">
        <f aca="false">IF(D551&lt;&gt;"",IFERROR(VLOOKUP(D551,PROVEEDORES!$A:$B,2,0),"!COD NO ENCONTRADO"),"")</f>
        <v>SUBASTAS RIVERA S.L.</v>
      </c>
      <c r="F551" s="76" t="str">
        <f aca="false">IF(D551&lt;&gt;"",IFERROR(VLOOKUP(D551,PROVEEDORES!$A:$C,3,0),""),"")</f>
        <v>S</v>
      </c>
      <c r="G551" s="75" t="s">
        <v>314</v>
      </c>
      <c r="H551" s="52" t="str">
        <f aca="false">IF(G551&lt;&gt;"",IFERROR(VLOOKUP(G551,PRODUCTOS!$A:$B,2,0),"!COD NO ENCONTRADO"),"")</f>
        <v>SALMONETE</v>
      </c>
      <c r="I551" s="77" t="n">
        <v>1</v>
      </c>
      <c r="J551" s="78" t="n">
        <v>2.1</v>
      </c>
      <c r="K551" s="79" t="n">
        <v>10.3</v>
      </c>
      <c r="L551" s="80" t="n">
        <f aca="false">IF(AND(J551&lt;&gt;"",K551&lt;&gt;""),J551*K551,"")</f>
        <v>21.63</v>
      </c>
      <c r="M551" s="81" t="n">
        <f aca="false">IF(L551&lt;&gt;"",L551*1.1,"")</f>
        <v>23.793</v>
      </c>
      <c r="N551" s="53" t="n">
        <f aca="false">IF(F551="S",L551*0.02,0)</f>
        <v>0.4326</v>
      </c>
      <c r="O551" s="82" t="n">
        <f aca="false">IF(L551&lt;&gt;"",L551+N551,"")</f>
        <v>22.0626</v>
      </c>
      <c r="P551" s="53" t="n">
        <f aca="false">IF(O551&lt;&gt;"",O551*0.1,"")</f>
        <v>2.20626</v>
      </c>
      <c r="Q551" s="83" t="n">
        <f aca="false">IF(O551&lt;&gt;"",O551+P551,"")</f>
        <v>24.26886</v>
      </c>
      <c r="R551" s="84"/>
    </row>
    <row r="552" customFormat="false" ht="15" hidden="false" customHeight="true" outlineLevel="0" collapsed="false">
      <c r="A552" s="103" t="n">
        <v>55948</v>
      </c>
      <c r="B552" s="73" t="n">
        <v>46207</v>
      </c>
      <c r="C552" s="86"/>
      <c r="D552" s="87" t="n">
        <v>50001</v>
      </c>
      <c r="E552" s="46" t="str">
        <f aca="false">IF(D552&lt;&gt;"",IFERROR(VLOOKUP(D552,PROVEEDORES!$A:$B,2,0),"!COD NO ENCONTRADO"),"")</f>
        <v>COPESA</v>
      </c>
      <c r="F552" s="88" t="str">
        <f aca="false">IF(D552&lt;&gt;"",IFERROR(VLOOKUP(D552,PROVEEDORES!$A:$C,3,0),""),"")</f>
        <v>S</v>
      </c>
      <c r="G552" s="87" t="s">
        <v>332</v>
      </c>
      <c r="H552" s="46" t="str">
        <f aca="false">IF(G552&lt;&gt;"",IFERROR(VLOOKUP(G552,PRODUCTOS!$A:$B,2,0),"!COD NO ENCONTRADO"),"")</f>
        <v>VARIADO PEQUEÑO</v>
      </c>
      <c r="I552" s="89" t="n">
        <v>1</v>
      </c>
      <c r="J552" s="90" t="n">
        <v>7</v>
      </c>
      <c r="K552" s="91" t="n">
        <v>0.5</v>
      </c>
      <c r="L552" s="80" t="n">
        <f aca="false">IF(AND(J552&lt;&gt;"",K552&lt;&gt;""),J552*K552,"")</f>
        <v>3.5</v>
      </c>
      <c r="M552" s="81" t="n">
        <f aca="false">IF(L552&lt;&gt;"",L552*1.1,"")</f>
        <v>3.85</v>
      </c>
      <c r="N552" s="47" t="n">
        <f aca="false">IF(F552="S",L552*0.02,0)</f>
        <v>0.07</v>
      </c>
      <c r="O552" s="82" t="n">
        <f aca="false">IF(L552&lt;&gt;"",L552+N552,"")</f>
        <v>3.57</v>
      </c>
      <c r="P552" s="47" t="n">
        <f aca="false">IF(O552&lt;&gt;"",O552*0.1,"")</f>
        <v>0.357</v>
      </c>
      <c r="Q552" s="83" t="n">
        <f aca="false">IF(O552&lt;&gt;"",O552+P552,"")</f>
        <v>3.927</v>
      </c>
      <c r="R552" s="84"/>
    </row>
    <row r="553" customFormat="false" ht="15" hidden="false" customHeight="true" outlineLevel="0" collapsed="false">
      <c r="A553" s="103" t="n">
        <v>55949</v>
      </c>
      <c r="B553" s="73" t="n">
        <v>46207</v>
      </c>
      <c r="C553" s="74" t="n">
        <v>15804</v>
      </c>
      <c r="D553" s="75" t="n">
        <v>50160</v>
      </c>
      <c r="E553" s="52" t="str">
        <f aca="false">IF(D553&lt;&gt;"",IFERROR(VLOOKUP(D553,PROVEEDORES!$A:$B,2,0),"!COD NO ENCONTRADO"),"")</f>
        <v>SUBASTAS CORUÑA S.L.</v>
      </c>
      <c r="F553" s="76" t="str">
        <f aca="false">IF(D553&lt;&gt;"",IFERROR(VLOOKUP(D553,PROVEEDORES!$A:$C,3,0),""),"")</f>
        <v>S</v>
      </c>
      <c r="G553" s="75" t="s">
        <v>179</v>
      </c>
      <c r="H553" s="52" t="str">
        <f aca="false">IF(G553&lt;&gt;"",IFERROR(VLOOKUP(G553,PRODUCTOS!$A:$B,2,0),"!COD NO ENCONTRADO"),"")</f>
        <v>LIRIO/ BACALADILLA/ PERLA (WHB)</v>
      </c>
      <c r="I553" s="77" t="n">
        <v>11</v>
      </c>
      <c r="J553" s="78" t="n">
        <v>36</v>
      </c>
      <c r="K553" s="79" t="n">
        <v>1.22</v>
      </c>
      <c r="L553" s="80" t="n">
        <f aca="false">IF(AND(J553&lt;&gt;"",K553&lt;&gt;""),J553*K553,"")</f>
        <v>43.92</v>
      </c>
      <c r="M553" s="81" t="n">
        <f aca="false">IF(L553&lt;&gt;"",L553*1.1,"")</f>
        <v>48.312</v>
      </c>
      <c r="N553" s="53" t="n">
        <f aca="false">IF(F553="S",L553*0.02,0)</f>
        <v>0.8784</v>
      </c>
      <c r="O553" s="82" t="n">
        <f aca="false">IF(L553&lt;&gt;"",L553+N553,"")</f>
        <v>44.7984</v>
      </c>
      <c r="P553" s="53" t="n">
        <f aca="false">IF(O553&lt;&gt;"",O553*0.1,"")</f>
        <v>4.47984</v>
      </c>
      <c r="Q553" s="83" t="n">
        <f aca="false">IF(O553&lt;&gt;"",O553+P553,"")</f>
        <v>49.27824</v>
      </c>
      <c r="R553" s="84"/>
    </row>
    <row r="554" customFormat="false" ht="15" hidden="false" customHeight="true" outlineLevel="0" collapsed="false">
      <c r="A554" s="103" t="n">
        <v>55949</v>
      </c>
      <c r="B554" s="85" t="n">
        <v>46207</v>
      </c>
      <c r="C554" s="86" t="n">
        <v>15804</v>
      </c>
      <c r="D554" s="87" t="n">
        <v>50160</v>
      </c>
      <c r="E554" s="46" t="str">
        <f aca="false">IF(D554&lt;&gt;"",IFERROR(VLOOKUP(D554,PROVEEDORES!$A:$B,2,0),"!COD NO ENCONTRADO"),"")</f>
        <v>SUBASTAS CORUÑA S.L.</v>
      </c>
      <c r="F554" s="88" t="str">
        <f aca="false">IF(D554&lt;&gt;"",IFERROR(VLOOKUP(D554,PROVEEDORES!$A:$C,3,0),""),"")</f>
        <v>S</v>
      </c>
      <c r="G554" s="87" t="s">
        <v>179</v>
      </c>
      <c r="H554" s="46" t="str">
        <f aca="false">IF(G554&lt;&gt;"",IFERROR(VLOOKUP(G554,PRODUCTOS!$A:$B,2,0),"!COD NO ENCONTRADO"),"")</f>
        <v>LIRIO/ BACALADILLA/ PERLA (WHB)</v>
      </c>
      <c r="I554" s="89" t="n">
        <v>40</v>
      </c>
      <c r="J554" s="90" t="n">
        <v>196</v>
      </c>
      <c r="K554" s="91" t="n">
        <v>1.23</v>
      </c>
      <c r="L554" s="80" t="n">
        <f aca="false">IF(AND(J554&lt;&gt;"",K554&lt;&gt;""),J554*K554,"")</f>
        <v>241.08</v>
      </c>
      <c r="M554" s="81" t="n">
        <f aca="false">IF(L554&lt;&gt;"",L554*1.1,"")</f>
        <v>265.188</v>
      </c>
      <c r="N554" s="47" t="n">
        <f aca="false">IF(F554="S",L554*0.02,0)</f>
        <v>4.8216</v>
      </c>
      <c r="O554" s="82" t="n">
        <f aca="false">IF(L554&lt;&gt;"",L554+N554,"")</f>
        <v>245.9016</v>
      </c>
      <c r="P554" s="47" t="n">
        <f aca="false">IF(O554&lt;&gt;"",O554*0.1,"")</f>
        <v>24.59016</v>
      </c>
      <c r="Q554" s="83" t="n">
        <f aca="false">IF(O554&lt;&gt;"",O554+P554,"")</f>
        <v>270.49176</v>
      </c>
      <c r="R554" s="84"/>
    </row>
    <row r="555" customFormat="false" ht="15" hidden="false" customHeight="true" outlineLevel="0" collapsed="false">
      <c r="A555" s="103" t="n">
        <v>55950</v>
      </c>
      <c r="B555" s="85" t="n">
        <v>46209</v>
      </c>
      <c r="C555" s="84" t="n">
        <v>18547</v>
      </c>
      <c r="D555" s="87" t="n">
        <v>50163</v>
      </c>
      <c r="E555" s="104" t="str">
        <f aca="false">IF(D555&lt;&gt;"",IFERROR(VLOOKUP(D555,PROVEEDORES!$A:$B,2,0),"!COD NO ENCONTRADO"),"")</f>
        <v>SUBASTAS RIVERA S.L.</v>
      </c>
      <c r="F555" s="88" t="str">
        <f aca="false">IF(D555&lt;&gt;"",IFERROR(VLOOKUP(D555,PROVEEDORES!$A:$C,3,0),""),"")</f>
        <v>S</v>
      </c>
      <c r="G555" s="87" t="s">
        <v>91</v>
      </c>
      <c r="H555" s="46" t="str">
        <f aca="false">IF(G555&lt;&gt;"",IFERROR(VLOOKUP(G555,PRODUCTOS!$A:$B,2,0),"!COD NO ENCONTRADO"),"")</f>
        <v>BONITO DEL NORTE 5/7</v>
      </c>
      <c r="I555" s="89" t="n">
        <v>5</v>
      </c>
      <c r="J555" s="105" t="n">
        <f aca="false">20.5+18.75+36.5+36.5+38.5</f>
        <v>150.75</v>
      </c>
      <c r="K555" s="106" t="n">
        <v>3</v>
      </c>
      <c r="L555" s="107" t="n">
        <f aca="false">IF(AND(J555&lt;&gt;"",K555&lt;&gt;""),J555*K555,"")</f>
        <v>452.25</v>
      </c>
      <c r="M555" s="108" t="n">
        <f aca="false">IF(L555&lt;&gt;"",L555*1.1,"")</f>
        <v>497.475</v>
      </c>
      <c r="N555" s="47" t="n">
        <f aca="false">IF(F555="S",L555*0.02,0)</f>
        <v>9.045</v>
      </c>
      <c r="O555" s="82" t="n">
        <f aca="false">IF(L555&lt;&gt;"",L555+N555,"")</f>
        <v>461.295</v>
      </c>
      <c r="P555" s="47" t="n">
        <f aca="false">IF(O555&lt;&gt;"",O555*0.1,"")</f>
        <v>46.1295</v>
      </c>
      <c r="Q555" s="83" t="n">
        <f aca="false">IF(O555&lt;&gt;"",O555+P555,"")</f>
        <v>507.4245</v>
      </c>
      <c r="R555" s="84" t="s">
        <v>358</v>
      </c>
    </row>
    <row r="556" customFormat="false" ht="15" hidden="false" customHeight="true" outlineLevel="0" collapsed="false">
      <c r="A556" s="103" t="n">
        <v>55950</v>
      </c>
      <c r="B556" s="73" t="n">
        <v>46209</v>
      </c>
      <c r="C556" s="84" t="n">
        <v>18547</v>
      </c>
      <c r="D556" s="75" t="n">
        <v>50163</v>
      </c>
      <c r="E556" s="104" t="str">
        <f aca="false">IF(D556&lt;&gt;"",IFERROR(VLOOKUP(D556,PROVEEDORES!$A:$B,2,0),"!COD NO ENCONTRADO"),"")</f>
        <v>SUBASTAS RIVERA S.L.</v>
      </c>
      <c r="F556" s="76" t="str">
        <f aca="false">IF(D556&lt;&gt;"",IFERROR(VLOOKUP(D556,PROVEEDORES!$A:$C,3,0),""),"")</f>
        <v>S</v>
      </c>
      <c r="G556" s="75" t="s">
        <v>91</v>
      </c>
      <c r="H556" s="52" t="str">
        <f aca="false">IF(G556&lt;&gt;"",IFERROR(VLOOKUP(G556,PRODUCTOS!$A:$B,2,0),"!COD NO ENCONTRADO"),"")</f>
        <v>BONITO DEL NORTE 5/7</v>
      </c>
      <c r="I556" s="77" t="n">
        <v>4</v>
      </c>
      <c r="J556" s="105" t="n">
        <v>145</v>
      </c>
      <c r="K556" s="109" t="n">
        <v>2.9</v>
      </c>
      <c r="L556" s="107" t="n">
        <f aca="false">IF(AND(J556&lt;&gt;"",K556&lt;&gt;""),J556*K556,"")</f>
        <v>420.5</v>
      </c>
      <c r="M556" s="108" t="n">
        <f aca="false">IF(L556&lt;&gt;"",L556*1.1,"")</f>
        <v>462.55</v>
      </c>
      <c r="N556" s="53" t="n">
        <f aca="false">IF(F556="S",L556*0.02,0)</f>
        <v>8.41</v>
      </c>
      <c r="O556" s="82" t="n">
        <f aca="false">IF(L556&lt;&gt;"",L556+N556,"")</f>
        <v>428.91</v>
      </c>
      <c r="P556" s="53" t="n">
        <f aca="false">IF(O556&lt;&gt;"",O556*0.1,"")</f>
        <v>42.891</v>
      </c>
      <c r="Q556" s="83" t="n">
        <f aca="false">IF(O556&lt;&gt;"",O556+P556,"")</f>
        <v>471.801</v>
      </c>
      <c r="R556" s="84" t="s">
        <v>358</v>
      </c>
    </row>
    <row r="557" customFormat="false" ht="15" hidden="false" customHeight="true" outlineLevel="0" collapsed="false">
      <c r="A557" s="103" t="n">
        <v>55950</v>
      </c>
      <c r="B557" s="85" t="n">
        <v>46209</v>
      </c>
      <c r="C557" s="84" t="n">
        <v>18547</v>
      </c>
      <c r="D557" s="87" t="n">
        <v>50163</v>
      </c>
      <c r="E557" s="104" t="str">
        <f aca="false">IF(D557&lt;&gt;"",IFERROR(VLOOKUP(D557,PROVEEDORES!$A:$B,2,0),"!COD NO ENCONTRADO"),"")</f>
        <v>SUBASTAS RIVERA S.L.</v>
      </c>
      <c r="F557" s="88" t="str">
        <f aca="false">IF(D557&lt;&gt;"",IFERROR(VLOOKUP(D557,PROVEEDORES!$A:$C,3,0),""),"")</f>
        <v>S</v>
      </c>
      <c r="G557" s="87" t="s">
        <v>91</v>
      </c>
      <c r="H557" s="46" t="str">
        <f aca="false">IF(G557&lt;&gt;"",IFERROR(VLOOKUP(G557,PRODUCTOS!$A:$B,2,0),"!COD NO ENCONTRADO"),"")</f>
        <v>BONITO DEL NORTE 5/7</v>
      </c>
      <c r="I557" s="89" t="n">
        <v>4</v>
      </c>
      <c r="J557" s="105" t="n">
        <f aca="false">24.5+21.5+23.75+42.75</f>
        <v>112.5</v>
      </c>
      <c r="K557" s="106" t="n">
        <v>3</v>
      </c>
      <c r="L557" s="107" t="n">
        <f aca="false">IF(AND(J557&lt;&gt;"",K557&lt;&gt;""),J557*K557,"")</f>
        <v>337.5</v>
      </c>
      <c r="M557" s="108" t="n">
        <f aca="false">IF(L557&lt;&gt;"",L557*1.1,"")</f>
        <v>371.25</v>
      </c>
      <c r="N557" s="47" t="n">
        <f aca="false">IF(F557="S",L557*0.02,0)</f>
        <v>6.75</v>
      </c>
      <c r="O557" s="82" t="n">
        <f aca="false">IF(L557&lt;&gt;"",L557+N557,"")</f>
        <v>344.25</v>
      </c>
      <c r="P557" s="47" t="n">
        <f aca="false">IF(O557&lt;&gt;"",O557*0.1,"")</f>
        <v>34.425</v>
      </c>
      <c r="Q557" s="83" t="n">
        <f aca="false">IF(O557&lt;&gt;"",O557+P557,"")</f>
        <v>378.675</v>
      </c>
      <c r="R557" s="84" t="s">
        <v>358</v>
      </c>
    </row>
    <row r="558" customFormat="false" ht="15" hidden="false" customHeight="true" outlineLevel="0" collapsed="false">
      <c r="A558" s="103" t="n">
        <v>55950</v>
      </c>
      <c r="B558" s="73" t="n">
        <v>46209</v>
      </c>
      <c r="C558" s="84" t="n">
        <v>18547</v>
      </c>
      <c r="D558" s="75" t="n">
        <v>50163</v>
      </c>
      <c r="E558" s="104" t="str">
        <f aca="false">IF(D558&lt;&gt;"",IFERROR(VLOOKUP(D558,PROVEEDORES!$A:$B,2,0),"!COD NO ENCONTRADO"),"")</f>
        <v>SUBASTAS RIVERA S.L.</v>
      </c>
      <c r="F558" s="76" t="str">
        <f aca="false">IF(D558&lt;&gt;"",IFERROR(VLOOKUP(D558,PROVEEDORES!$A:$C,3,0),""),"")</f>
        <v>S</v>
      </c>
      <c r="G558" s="75" t="s">
        <v>91</v>
      </c>
      <c r="H558" s="52" t="str">
        <f aca="false">IF(G558&lt;&gt;"",IFERROR(VLOOKUP(G558,PRODUCTOS!$A:$B,2,0),"!COD NO ENCONTRADO"),"")</f>
        <v>BONITO DEL NORTE 5/7</v>
      </c>
      <c r="I558" s="77" t="n">
        <v>6</v>
      </c>
      <c r="J558" s="105" t="n">
        <f aca="false">33.5+33.25+34.75+29+35+27.75</f>
        <v>193.25</v>
      </c>
      <c r="K558" s="109" t="n">
        <v>2.85</v>
      </c>
      <c r="L558" s="107" t="n">
        <f aca="false">IF(AND(J558&lt;&gt;"",K558&lt;&gt;""),J558*K558,"")</f>
        <v>550.7625</v>
      </c>
      <c r="M558" s="108" t="n">
        <f aca="false">IF(L558&lt;&gt;"",L558*1.1,"")</f>
        <v>605.83875</v>
      </c>
      <c r="N558" s="53" t="n">
        <f aca="false">IF(F558="S",L558*0.02,0)</f>
        <v>11.01525</v>
      </c>
      <c r="O558" s="82" t="n">
        <f aca="false">IF(L558&lt;&gt;"",L558+N558,"")</f>
        <v>561.77775</v>
      </c>
      <c r="P558" s="53" t="n">
        <f aca="false">IF(O558&lt;&gt;"",O558*0.1,"")</f>
        <v>56.177775</v>
      </c>
      <c r="Q558" s="83" t="n">
        <f aca="false">IF(O558&lt;&gt;"",O558+P558,"")</f>
        <v>617.955525</v>
      </c>
      <c r="R558" s="84" t="s">
        <v>358</v>
      </c>
    </row>
    <row r="559" customFormat="false" ht="15" hidden="false" customHeight="true" outlineLevel="0" collapsed="false">
      <c r="A559" s="103" t="n">
        <v>55951</v>
      </c>
      <c r="B559" s="73" t="n">
        <v>46209</v>
      </c>
      <c r="C559" s="110" t="n">
        <v>9712</v>
      </c>
      <c r="D559" s="75" t="n">
        <v>50001</v>
      </c>
      <c r="E559" s="52" t="str">
        <f aca="false">IF(D559&lt;&gt;"",IFERROR(VLOOKUP(D559,PROVEEDORES!$A:$B,2,0),"!COD NO ENCONTRADO"),"")</f>
        <v>COPESA</v>
      </c>
      <c r="F559" s="76" t="str">
        <f aca="false">IF(D559&lt;&gt;"",IFERROR(VLOOKUP(D559,PROVEEDORES!$A:$C,3,0),""),"")</f>
        <v>S</v>
      </c>
      <c r="G559" s="75" t="s">
        <v>292</v>
      </c>
      <c r="H559" s="52" t="str">
        <f aca="false">IF(G559&lt;&gt;"",IFERROR(VLOOKUP(G559,PRODUCTOS!$A:$B,2,0),"!COD NO ENCONTRADO"),"")</f>
        <v>RAPE BLANCO RASCO (MON)</v>
      </c>
      <c r="I559" s="77" t="n">
        <v>1</v>
      </c>
      <c r="J559" s="78" t="n">
        <v>66.25</v>
      </c>
      <c r="K559" s="79" t="n">
        <v>6.3</v>
      </c>
      <c r="L559" s="80" t="n">
        <f aca="false">IF(AND(J559&lt;&gt;"",K559&lt;&gt;""),J559*K559,"")</f>
        <v>417.375</v>
      </c>
      <c r="M559" s="81" t="n">
        <f aca="false">IF(L559&lt;&gt;"",L559*1.1,"")</f>
        <v>459.1125</v>
      </c>
      <c r="N559" s="53" t="n">
        <f aca="false">IF(F559="S",L559*0.02,0)</f>
        <v>8.3475</v>
      </c>
      <c r="O559" s="82" t="n">
        <f aca="false">IF(L559&lt;&gt;"",L559+N559,"")</f>
        <v>425.7225</v>
      </c>
      <c r="P559" s="53" t="n">
        <f aca="false">IF(O559&lt;&gt;"",O559*0.1,"")</f>
        <v>42.57225</v>
      </c>
      <c r="Q559" s="83" t="n">
        <f aca="false">IF(O559&lt;&gt;"",O559+P559,"")</f>
        <v>468.29475</v>
      </c>
      <c r="R559" s="84" t="s">
        <v>358</v>
      </c>
    </row>
    <row r="560" customFormat="false" ht="15" hidden="false" customHeight="true" outlineLevel="0" collapsed="false">
      <c r="A560" s="103" t="n">
        <v>55951</v>
      </c>
      <c r="B560" s="85" t="n">
        <v>46209</v>
      </c>
      <c r="C560" s="84" t="n">
        <v>9712</v>
      </c>
      <c r="D560" s="87" t="n">
        <v>50001</v>
      </c>
      <c r="E560" s="46" t="str">
        <f aca="false">IF(D560&lt;&gt;"",IFERROR(VLOOKUP(D560,PROVEEDORES!$A:$B,2,0),"!COD NO ENCONTRADO"),"")</f>
        <v>COPESA</v>
      </c>
      <c r="F560" s="88" t="str">
        <f aca="false">IF(D560&lt;&gt;"",IFERROR(VLOOKUP(D560,PROVEEDORES!$A:$C,3,0),""),"")</f>
        <v>S</v>
      </c>
      <c r="G560" s="87" t="s">
        <v>292</v>
      </c>
      <c r="H560" s="46" t="str">
        <f aca="false">IF(G560&lt;&gt;"",IFERROR(VLOOKUP(G560,PRODUCTOS!$A:$B,2,0),"!COD NO ENCONTRADO"),"")</f>
        <v>RAPE BLANCO RASCO (MON)</v>
      </c>
      <c r="I560" s="89" t="n">
        <v>6</v>
      </c>
      <c r="J560" s="105" t="n">
        <f aca="false">60.25+60+54.25+62.5+57.5+58</f>
        <v>352.5</v>
      </c>
      <c r="K560" s="106" t="n">
        <v>6</v>
      </c>
      <c r="L560" s="107" t="n">
        <f aca="false">IF(AND(J560&lt;&gt;"",K560&lt;&gt;""),J560*K560,"")</f>
        <v>2115</v>
      </c>
      <c r="M560" s="108" t="n">
        <f aca="false">IF(L560&lt;&gt;"",L560*1.1,"")</f>
        <v>2326.5</v>
      </c>
      <c r="N560" s="47" t="n">
        <f aca="false">IF(F560="S",L560*0.02,0)</f>
        <v>42.3</v>
      </c>
      <c r="O560" s="82" t="n">
        <f aca="false">IF(L560&lt;&gt;"",L560+N560,"")</f>
        <v>2157.3</v>
      </c>
      <c r="P560" s="47" t="n">
        <f aca="false">IF(O560&lt;&gt;"",O560*0.1,"")</f>
        <v>215.73</v>
      </c>
      <c r="Q560" s="83" t="n">
        <f aca="false">IF(O560&lt;&gt;"",O560+P560,"")</f>
        <v>2373.03</v>
      </c>
      <c r="R560" s="84" t="s">
        <v>358</v>
      </c>
    </row>
    <row r="561" customFormat="false" ht="15" hidden="false" customHeight="true" outlineLevel="0" collapsed="false">
      <c r="A561" s="103" t="n">
        <v>55951</v>
      </c>
      <c r="B561" s="73" t="n">
        <v>46209</v>
      </c>
      <c r="C561" s="84" t="n">
        <v>9712</v>
      </c>
      <c r="D561" s="75" t="n">
        <v>50001</v>
      </c>
      <c r="E561" s="52" t="str">
        <f aca="false">IF(D561&lt;&gt;"",IFERROR(VLOOKUP(D561,PROVEEDORES!$A:$B,2,0),"!COD NO ENCONTRADO"),"")</f>
        <v>COPESA</v>
      </c>
      <c r="F561" s="76" t="str">
        <f aca="false">IF(D561&lt;&gt;"",IFERROR(VLOOKUP(D561,PROVEEDORES!$A:$C,3,0),""),"")</f>
        <v>S</v>
      </c>
      <c r="G561" s="75" t="s">
        <v>292</v>
      </c>
      <c r="H561" s="52" t="str">
        <f aca="false">IF(G561&lt;&gt;"",IFERROR(VLOOKUP(G561,PRODUCTOS!$A:$B,2,0),"!COD NO ENCONTRADO"),"")</f>
        <v>RAPE BLANCO RASCO (MON)</v>
      </c>
      <c r="I561" s="77" t="n">
        <v>4</v>
      </c>
      <c r="J561" s="105" t="n">
        <f aca="false">63+65+62.5+63.5</f>
        <v>254</v>
      </c>
      <c r="K561" s="109" t="n">
        <v>6.3</v>
      </c>
      <c r="L561" s="107" t="n">
        <f aca="false">IF(AND(J561&lt;&gt;"",K561&lt;&gt;""),J561*K561,"")</f>
        <v>1600.2</v>
      </c>
      <c r="M561" s="108" t="n">
        <f aca="false">IF(L561&lt;&gt;"",L561*1.1,"")</f>
        <v>1760.22</v>
      </c>
      <c r="N561" s="53" t="n">
        <f aca="false">IF(F561="S",L561*0.02,0)</f>
        <v>32.004</v>
      </c>
      <c r="O561" s="82" t="n">
        <f aca="false">IF(L561&lt;&gt;"",L561+N561,"")</f>
        <v>1632.204</v>
      </c>
      <c r="P561" s="53" t="n">
        <f aca="false">IF(O561&lt;&gt;"",O561*0.1,"")</f>
        <v>163.2204</v>
      </c>
      <c r="Q561" s="83" t="n">
        <f aca="false">IF(O561&lt;&gt;"",O561+P561,"")</f>
        <v>1795.4244</v>
      </c>
      <c r="R561" s="84" t="s">
        <v>358</v>
      </c>
    </row>
    <row r="562" customFormat="false" ht="15" hidden="false" customHeight="true" outlineLevel="0" collapsed="false">
      <c r="A562" s="103" t="n">
        <v>55951</v>
      </c>
      <c r="B562" s="85" t="n">
        <v>46209</v>
      </c>
      <c r="C562" s="84" t="n">
        <v>9712</v>
      </c>
      <c r="D562" s="87" t="n">
        <v>50001</v>
      </c>
      <c r="E562" s="46" t="str">
        <f aca="false">IF(D562&lt;&gt;"",IFERROR(VLOOKUP(D562,PROVEEDORES!$A:$B,2,0),"!COD NO ENCONTRADO"),"")</f>
        <v>COPESA</v>
      </c>
      <c r="F562" s="88" t="str">
        <f aca="false">IF(D562&lt;&gt;"",IFERROR(VLOOKUP(D562,PROVEEDORES!$A:$C,3,0),""),"")</f>
        <v>S</v>
      </c>
      <c r="G562" s="87" t="s">
        <v>292</v>
      </c>
      <c r="H562" s="46" t="str">
        <f aca="false">IF(G562&lt;&gt;"",IFERROR(VLOOKUP(G562,PRODUCTOS!$A:$B,2,0),"!COD NO ENCONTRADO"),"")</f>
        <v>RAPE BLANCO RASCO (MON)</v>
      </c>
      <c r="I562" s="89" t="n">
        <v>1</v>
      </c>
      <c r="J562" s="105" t="n">
        <v>75.5</v>
      </c>
      <c r="K562" s="106" t="n">
        <v>6.1</v>
      </c>
      <c r="L562" s="107" t="n">
        <f aca="false">IF(AND(J562&lt;&gt;"",K562&lt;&gt;""),J562*K562,"")</f>
        <v>460.55</v>
      </c>
      <c r="M562" s="108" t="n">
        <f aca="false">IF(L562&lt;&gt;"",L562*1.1,"")</f>
        <v>506.605</v>
      </c>
      <c r="N562" s="47" t="n">
        <f aca="false">IF(F562="S",L562*0.02,0)</f>
        <v>9.211</v>
      </c>
      <c r="O562" s="82" t="n">
        <f aca="false">IF(L562&lt;&gt;"",L562+N562,"")</f>
        <v>469.761</v>
      </c>
      <c r="P562" s="47" t="n">
        <f aca="false">IF(O562&lt;&gt;"",O562*0.1,"")</f>
        <v>46.9761</v>
      </c>
      <c r="Q562" s="83" t="n">
        <f aca="false">IF(O562&lt;&gt;"",O562+P562,"")</f>
        <v>516.7371</v>
      </c>
      <c r="R562" s="84" t="s">
        <v>358</v>
      </c>
    </row>
    <row r="563" customFormat="false" ht="15" hidden="false" customHeight="true" outlineLevel="0" collapsed="false">
      <c r="A563" s="103" t="n">
        <v>55951</v>
      </c>
      <c r="B563" s="73" t="n">
        <v>46209</v>
      </c>
      <c r="C563" s="84" t="n">
        <v>9712</v>
      </c>
      <c r="D563" s="75" t="n">
        <v>50001</v>
      </c>
      <c r="E563" s="52" t="str">
        <f aca="false">IF(D563&lt;&gt;"",IFERROR(VLOOKUP(D563,PROVEEDORES!$A:$B,2,0),"!COD NO ENCONTRADO"),"")</f>
        <v>COPESA</v>
      </c>
      <c r="F563" s="76" t="str">
        <f aca="false">IF(D563&lt;&gt;"",IFERROR(VLOOKUP(D563,PROVEEDORES!$A:$C,3,0),""),"")</f>
        <v>S</v>
      </c>
      <c r="G563" s="75" t="s">
        <v>292</v>
      </c>
      <c r="H563" s="52" t="str">
        <f aca="false">IF(G563&lt;&gt;"",IFERROR(VLOOKUP(G563,PRODUCTOS!$A:$B,2,0),"!COD NO ENCONTRADO"),"")</f>
        <v>RAPE BLANCO RASCO (MON)</v>
      </c>
      <c r="I563" s="77" t="n">
        <v>3</v>
      </c>
      <c r="J563" s="105" t="n">
        <f aca="false">68.25+57.75+60</f>
        <v>186</v>
      </c>
      <c r="K563" s="109" t="n">
        <v>6.9</v>
      </c>
      <c r="L563" s="107" t="n">
        <f aca="false">IF(AND(J563&lt;&gt;"",K563&lt;&gt;""),J563*K563,"")</f>
        <v>1283.4</v>
      </c>
      <c r="M563" s="108" t="n">
        <f aca="false">IF(L563&lt;&gt;"",L563*1.1,"")</f>
        <v>1411.74</v>
      </c>
      <c r="N563" s="53" t="n">
        <f aca="false">IF(F563="S",L563*0.02,0)</f>
        <v>25.668</v>
      </c>
      <c r="O563" s="82" t="n">
        <f aca="false">IF(L563&lt;&gt;"",L563+N563,"")</f>
        <v>1309.068</v>
      </c>
      <c r="P563" s="53" t="n">
        <f aca="false">IF(O563&lt;&gt;"",O563*0.1,"")</f>
        <v>130.9068</v>
      </c>
      <c r="Q563" s="83" t="n">
        <f aca="false">IF(O563&lt;&gt;"",O563+P563,"")</f>
        <v>1439.9748</v>
      </c>
      <c r="R563" s="84" t="s">
        <v>358</v>
      </c>
    </row>
    <row r="564" customFormat="false" ht="15" hidden="false" customHeight="true" outlineLevel="0" collapsed="false">
      <c r="A564" s="103" t="n">
        <v>55952</v>
      </c>
      <c r="B564" s="85" t="n">
        <v>46209</v>
      </c>
      <c r="C564" s="86" t="n">
        <v>3647</v>
      </c>
      <c r="D564" s="111" t="n">
        <v>50525</v>
      </c>
      <c r="E564" s="46" t="str">
        <f aca="false">IF(D564&lt;&gt;"",IFERROR(VLOOKUP(D564,PROVEEDORES!$A:$B,2,0),"!COD NO ENCONTRADO"),"")</f>
        <v>FURIC MAREE</v>
      </c>
      <c r="F564" s="88" t="str">
        <f aca="false">IF(D564&lt;&gt;"",IFERROR(VLOOKUP(D564,PROVEEDORES!$A:$C,3,0),""),"")</f>
        <v>N</v>
      </c>
      <c r="G564" s="87" t="s">
        <v>318</v>
      </c>
      <c r="H564" s="46" t="str">
        <f aca="false">IF(G564&lt;&gt;"",IFERROR(VLOOKUP(G564,PRODUCTOS!$A:$B,2,0),"!COD NO ENCONTRADO"),"")</f>
        <v>SAN MARTIÑOS/ SAN PEDROS (JOD)</v>
      </c>
      <c r="I564" s="112" t="n">
        <v>4</v>
      </c>
      <c r="J564" s="105" t="n">
        <v>25.3</v>
      </c>
      <c r="K564" s="113" t="n">
        <v>21.8</v>
      </c>
      <c r="L564" s="107" t="n">
        <f aca="false">IF(AND(J564&lt;&gt;"",K564&lt;&gt;""),J564*K564,"")</f>
        <v>551.54</v>
      </c>
      <c r="M564" s="108" t="n">
        <f aca="false">IF(L564&lt;&gt;"",L564*1.1,"")</f>
        <v>606.694</v>
      </c>
      <c r="N564" s="47" t="n">
        <f aca="false">IF(F564="S",L564*0.02,0)</f>
        <v>0</v>
      </c>
      <c r="O564" s="82" t="n">
        <f aca="false">IF(L564&lt;&gt;"",L564+N564,"")</f>
        <v>551.54</v>
      </c>
      <c r="P564" s="47" t="n">
        <f aca="false">IF(O564&lt;&gt;"",O564*0.1,"")</f>
        <v>55.154</v>
      </c>
      <c r="Q564" s="83" t="n">
        <f aca="false">IF(O564&lt;&gt;"",O564+P564,"")</f>
        <v>606.694</v>
      </c>
      <c r="R564" s="84" t="s">
        <v>358</v>
      </c>
    </row>
    <row r="565" customFormat="false" ht="15" hidden="false" customHeight="true" outlineLevel="0" collapsed="false">
      <c r="A565" s="103" t="n">
        <v>55953</v>
      </c>
      <c r="B565" s="73" t="n">
        <v>46209</v>
      </c>
      <c r="C565" s="74" t="n">
        <v>12212</v>
      </c>
      <c r="D565" s="75" t="n">
        <v>50048</v>
      </c>
      <c r="E565" s="52" t="str">
        <f aca="false">IF(D565&lt;&gt;"",IFERROR(VLOOKUP(D565,PROVEEDORES!$A:$B,2,0),"!COD NO ENCONTRADO"),"")</f>
        <v>JOSE LUIS CORREA KESSLER S.L.</v>
      </c>
      <c r="F565" s="76" t="str">
        <f aca="false">IF(D565&lt;&gt;"",IFERROR(VLOOKUP(D565,PROVEEDORES!$A:$C,3,0),""),"")</f>
        <v>N</v>
      </c>
      <c r="G565" s="75" t="s">
        <v>179</v>
      </c>
      <c r="H565" s="52" t="str">
        <f aca="false">IF(G565&lt;&gt;"",IFERROR(VLOOKUP(G565,PRODUCTOS!$A:$B,2,0),"!COD NO ENCONTRADO"),"")</f>
        <v>LIRIO/ BACALADILLA/ PERLA (WHB)</v>
      </c>
      <c r="I565" s="77" t="n">
        <v>9</v>
      </c>
      <c r="J565" s="78" t="n">
        <v>54</v>
      </c>
      <c r="K565" s="113" t="n">
        <v>1.8</v>
      </c>
      <c r="L565" s="107" t="n">
        <f aca="false">IF(AND(J565&lt;&gt;"",K565&lt;&gt;""),J565*K565,"")</f>
        <v>97.2</v>
      </c>
      <c r="M565" s="108" t="n">
        <f aca="false">IF(L565&lt;&gt;"",L565*1.1,"")</f>
        <v>106.92</v>
      </c>
      <c r="N565" s="53" t="n">
        <f aca="false">IF(F565="S",L565*0.02,0)</f>
        <v>0</v>
      </c>
      <c r="O565" s="82" t="n">
        <f aca="false">IF(L565&lt;&gt;"",L565+N565,"")</f>
        <v>97.2</v>
      </c>
      <c r="P565" s="53" t="n">
        <f aca="false">IF(O565&lt;&gt;"",O565*0.1,"")</f>
        <v>9.72</v>
      </c>
      <c r="Q565" s="83" t="n">
        <f aca="false">IF(O565&lt;&gt;"",O565+P565,"")</f>
        <v>106.92</v>
      </c>
      <c r="R565" s="84" t="s">
        <v>358</v>
      </c>
    </row>
    <row r="566" customFormat="false" ht="15" hidden="false" customHeight="true" outlineLevel="0" collapsed="false">
      <c r="A566" s="103" t="n">
        <v>55953</v>
      </c>
      <c r="B566" s="85" t="n">
        <v>46209</v>
      </c>
      <c r="C566" s="86" t="n">
        <v>12271</v>
      </c>
      <c r="D566" s="87" t="n">
        <v>50048</v>
      </c>
      <c r="E566" s="46" t="str">
        <f aca="false">IF(D566&lt;&gt;"",IFERROR(VLOOKUP(D566,PROVEEDORES!$A:$B,2,0),"!COD NO ENCONTRADO"),"")</f>
        <v>JOSE LUIS CORREA KESSLER S.L.</v>
      </c>
      <c r="F566" s="88" t="str">
        <f aca="false">IF(D566&lt;&gt;"",IFERROR(VLOOKUP(D566,PROVEEDORES!$A:$C,3,0),""),"")</f>
        <v>N</v>
      </c>
      <c r="G566" s="87" t="s">
        <v>179</v>
      </c>
      <c r="H566" s="46" t="str">
        <f aca="false">IF(G566&lt;&gt;"",IFERROR(VLOOKUP(G566,PRODUCTOS!$A:$B,2,0),"!COD NO ENCONTRADO"),"")</f>
        <v>LIRIO/ BACALADILLA/ PERLA (WHB)</v>
      </c>
      <c r="I566" s="89" t="n">
        <v>6</v>
      </c>
      <c r="J566" s="90" t="n">
        <v>36</v>
      </c>
      <c r="K566" s="113" t="n">
        <v>1.8</v>
      </c>
      <c r="L566" s="107" t="n">
        <f aca="false">IF(AND(J566&lt;&gt;"",K566&lt;&gt;""),J566*K566,"")</f>
        <v>64.8</v>
      </c>
      <c r="M566" s="108" t="n">
        <f aca="false">IF(L566&lt;&gt;"",L566*1.1,"")</f>
        <v>71.28</v>
      </c>
      <c r="N566" s="47" t="n">
        <f aca="false">IF(F566="S",L566*0.02,0)</f>
        <v>0</v>
      </c>
      <c r="O566" s="82" t="n">
        <f aca="false">IF(L566&lt;&gt;"",L566+N566,"")</f>
        <v>64.8</v>
      </c>
      <c r="P566" s="47" t="n">
        <f aca="false">IF(O566&lt;&gt;"",O566*0.1,"")</f>
        <v>6.48</v>
      </c>
      <c r="Q566" s="83" t="n">
        <f aca="false">IF(O566&lt;&gt;"",O566+P566,"")</f>
        <v>71.28</v>
      </c>
      <c r="R566" s="84" t="s">
        <v>358</v>
      </c>
    </row>
    <row r="567" customFormat="false" ht="15" hidden="false" customHeight="true" outlineLevel="0" collapsed="false">
      <c r="A567" s="103" t="n">
        <v>55954</v>
      </c>
      <c r="B567" s="85" t="n">
        <v>46209</v>
      </c>
      <c r="C567" s="86" t="n">
        <v>404</v>
      </c>
      <c r="D567" s="87" t="n">
        <v>50035</v>
      </c>
      <c r="E567" s="46" t="str">
        <f aca="false">IF(D567&lt;&gt;"",IFERROR(VLOOKUP(D567,PROVEEDORES!$A:$B,2,0),"!COD NO ENCONTRADO"),"")</f>
        <v>SCANFISK SEAFFOD S,L</v>
      </c>
      <c r="F567" s="88" t="str">
        <f aca="false">IF(D567&lt;&gt;"",IFERROR(VLOOKUP(D567,PROVEEDORES!$A:$C,3,0),""),"")</f>
        <v>N</v>
      </c>
      <c r="G567" s="87" t="s">
        <v>246</v>
      </c>
      <c r="H567" s="46" t="str">
        <f aca="false">IF(G567&lt;&gt;"",IFERROR(VLOOKUP(G567,PRODUCTOS!$A:$B,2,0),"!COD NO ENCONTRADO"),"")</f>
        <v>MERLUZA EUROPEA VOLANTA ALTURA</v>
      </c>
      <c r="I567" s="89" t="n">
        <v>5</v>
      </c>
      <c r="J567" s="90" t="n">
        <v>57.8</v>
      </c>
      <c r="K567" s="106" t="n">
        <v>8.2</v>
      </c>
      <c r="L567" s="107" t="n">
        <f aca="false">IF(AND(J567&lt;&gt;"",K567&lt;&gt;""),J567*K567,"")</f>
        <v>473.96</v>
      </c>
      <c r="M567" s="108" t="n">
        <f aca="false">IF(L567&lt;&gt;"",L567*1.1,"")</f>
        <v>521.356</v>
      </c>
      <c r="N567" s="114" t="n">
        <f aca="false">IF(F567="S",L567*0.02,0)</f>
        <v>0</v>
      </c>
      <c r="O567" s="115" t="n">
        <f aca="false">IF(L567&lt;&gt;"",L567+N567,"")</f>
        <v>473.96</v>
      </c>
      <c r="P567" s="114" t="n">
        <f aca="false">IF(O567&lt;&gt;"",O567*0.1,"")</f>
        <v>47.396</v>
      </c>
      <c r="Q567" s="116" t="n">
        <f aca="false">IF(O567&lt;&gt;"",O567+P567,"")</f>
        <v>521.356</v>
      </c>
      <c r="R567" s="84" t="s">
        <v>358</v>
      </c>
    </row>
    <row r="568" customFormat="false" ht="15" hidden="false" customHeight="true" outlineLevel="0" collapsed="false">
      <c r="A568" s="103" t="n">
        <v>55955</v>
      </c>
      <c r="B568" s="73" t="n">
        <v>46209</v>
      </c>
      <c r="C568" s="74" t="n">
        <v>60726</v>
      </c>
      <c r="D568" s="75" t="n">
        <v>50532</v>
      </c>
      <c r="E568" s="52" t="str">
        <f aca="false">IF(D568&lt;&gt;"",IFERROR(VLOOKUP(D568,PROVEEDORES!$A:$B,2,0),"!COD NO ENCONTRADO"),"")</f>
        <v>AITORPESCA S.L.</v>
      </c>
      <c r="F568" s="76" t="str">
        <f aca="false">IF(D568&lt;&gt;"",IFERROR(VLOOKUP(D568,PROVEEDORES!$A:$C,3,0),""),"")</f>
        <v>N</v>
      </c>
      <c r="G568" s="75" t="s">
        <v>181</v>
      </c>
      <c r="H568" s="52" t="str">
        <f aca="false">IF(G568&lt;&gt;"",IFERROR(VLOOKUP(G568,PRODUCTOS!$A:$B,2,0),"!COD NO ENCONTRADO"),"")</f>
        <v>LIRIO EN FILETES</v>
      </c>
      <c r="I568" s="112" t="n">
        <v>14</v>
      </c>
      <c r="J568" s="105" t="n">
        <v>28</v>
      </c>
      <c r="K568" s="109" t="n">
        <v>4.4</v>
      </c>
      <c r="L568" s="107" t="n">
        <f aca="false">IF(AND(J568&lt;&gt;"",K568&lt;&gt;""),J568*K568,"")</f>
        <v>123.2</v>
      </c>
      <c r="M568" s="108" t="n">
        <f aca="false">IF(L568&lt;&gt;"",L568*1.1,"")</f>
        <v>135.52</v>
      </c>
      <c r="N568" s="117" t="n">
        <f aca="false">IF(F568="S",L568*0.02,0)</f>
        <v>0</v>
      </c>
      <c r="O568" s="115" t="n">
        <f aca="false">IF(L568&lt;&gt;"",L568+N568,"")</f>
        <v>123.2</v>
      </c>
      <c r="P568" s="117" t="n">
        <f aca="false">IF(O568&lt;&gt;"",O568*0.1,"")</f>
        <v>12.32</v>
      </c>
      <c r="Q568" s="116" t="n">
        <f aca="false">IF(O568&lt;&gt;"",O568+P568,"")</f>
        <v>135.52</v>
      </c>
      <c r="R568" s="84" t="s">
        <v>365</v>
      </c>
    </row>
    <row r="569" customFormat="false" ht="15" hidden="false" customHeight="true" outlineLevel="0" collapsed="false">
      <c r="A569" s="103" t="n">
        <v>55956</v>
      </c>
      <c r="B569" s="73" t="n">
        <v>46209</v>
      </c>
      <c r="C569" s="118" t="s">
        <v>407</v>
      </c>
      <c r="D569" s="75" t="n">
        <v>50533</v>
      </c>
      <c r="E569" s="104" t="str">
        <f aca="false">IF(D569&lt;&gt;"",IFERROR(VLOOKUP(D569,PROVEEDORES!$A:$B,2,0),"!COD NO ENCONTRADO"),"")</f>
        <v>LURDES MARIÑO, S.L.</v>
      </c>
      <c r="F569" s="76" t="str">
        <f aca="false">IF(D569&lt;&gt;"",IFERROR(VLOOKUP(D569,PROVEEDORES!$A:$C,3,0),""),"")</f>
        <v>N</v>
      </c>
      <c r="G569" s="75" t="s">
        <v>408</v>
      </c>
      <c r="H569" s="52" t="str">
        <f aca="false">IF(G569&lt;&gt;"",IFERROR(VLOOKUP(G569,PRODUCTOS!$A:$B,2,0),"!COD NO ENCONTRADO"),"")</f>
        <v>MEJILLON SACO</v>
      </c>
      <c r="I569" s="77" t="n">
        <v>17</v>
      </c>
      <c r="J569" s="78" t="n">
        <v>85</v>
      </c>
      <c r="K569" s="109" t="n">
        <v>1.4</v>
      </c>
      <c r="L569" s="107" t="n">
        <f aca="false">IF(AND(J569&lt;&gt;"",K569&lt;&gt;""),J569*K569,"")</f>
        <v>119</v>
      </c>
      <c r="M569" s="108" t="n">
        <f aca="false">IF(L569&lt;&gt;"",L569*1.1,"")</f>
        <v>130.9</v>
      </c>
      <c r="N569" s="117" t="n">
        <f aca="false">IF(F569="S",L569*0.02,0)</f>
        <v>0</v>
      </c>
      <c r="O569" s="115" t="n">
        <f aca="false">IF(L569&lt;&gt;"",L569+N569,"")</f>
        <v>119</v>
      </c>
      <c r="P569" s="117" t="n">
        <f aca="false">IF(O569&lt;&gt;"",O569*0.1,"")</f>
        <v>11.9</v>
      </c>
      <c r="Q569" s="116" t="n">
        <f aca="false">IF(O569&lt;&gt;"",O569+P569,"")</f>
        <v>130.9</v>
      </c>
      <c r="R569" s="84" t="s">
        <v>365</v>
      </c>
    </row>
    <row r="570" customFormat="false" ht="15" hidden="false" customHeight="true" outlineLevel="0" collapsed="false">
      <c r="A570" s="103" t="n">
        <v>55957</v>
      </c>
      <c r="B570" s="85" t="n">
        <v>46209</v>
      </c>
      <c r="C570" s="86" t="s">
        <v>409</v>
      </c>
      <c r="D570" s="87" t="n">
        <v>50509</v>
      </c>
      <c r="E570" s="46" t="str">
        <f aca="false">IF(D570&lt;&gt;"",IFERROR(VLOOKUP(D570,PROVEEDORES!$A:$B,2,0),"!COD NO ENCONTRADO"),"")</f>
        <v>AZORFISK UNIPERSONAL LDA</v>
      </c>
      <c r="F570" s="88" t="str">
        <f aca="false">IF(D570&lt;&gt;"",IFERROR(VLOOKUP(D570,PROVEEDORES!$A:$C,3,0),""),"")</f>
        <v>N</v>
      </c>
      <c r="G570" s="87" t="s">
        <v>336</v>
      </c>
      <c r="H570" s="46" t="str">
        <f aca="false">IF(G570&lt;&gt;"",IFERROR(VLOOKUP(G570,PRODUCTOS!$A:$B,2,0),"!COD NO ENCONTRADO"),"")</f>
        <v>VIRREY/ PALOMETA ROJA</v>
      </c>
      <c r="I570" s="89" t="n">
        <v>2</v>
      </c>
      <c r="J570" s="90" t="n">
        <v>9.3</v>
      </c>
      <c r="K570" s="106" t="n">
        <v>60.9</v>
      </c>
      <c r="L570" s="107" t="n">
        <f aca="false">IF(AND(J570&lt;&gt;"",K570&lt;&gt;""),J570*K570,"")</f>
        <v>566.37</v>
      </c>
      <c r="M570" s="108" t="n">
        <f aca="false">IF(L570&lt;&gt;"",L570*1.1,"")</f>
        <v>623.007</v>
      </c>
      <c r="N570" s="114" t="n">
        <f aca="false">IF(F570="S",L570*0.02,0)</f>
        <v>0</v>
      </c>
      <c r="O570" s="115" t="n">
        <f aca="false">IF(L570&lt;&gt;"",L570+N570,"")</f>
        <v>566.37</v>
      </c>
      <c r="P570" s="114" t="n">
        <f aca="false">IF(O570&lt;&gt;"",O570*0.1,"")</f>
        <v>56.637</v>
      </c>
      <c r="Q570" s="116" t="n">
        <f aca="false">IF(O570&lt;&gt;"",O570+P570,"")</f>
        <v>623.007</v>
      </c>
      <c r="R570" s="84" t="s">
        <v>365</v>
      </c>
    </row>
    <row r="571" customFormat="false" ht="15" hidden="false" customHeight="true" outlineLevel="0" collapsed="false">
      <c r="A571" s="103" t="n">
        <v>55958</v>
      </c>
      <c r="B571" s="73" t="n">
        <v>46210</v>
      </c>
      <c r="C571" s="74" t="s">
        <v>410</v>
      </c>
      <c r="D571" s="75" t="n">
        <v>50509</v>
      </c>
      <c r="E571" s="104" t="str">
        <f aca="false">IF(D571&lt;&gt;"",IFERROR(VLOOKUP(D571,PROVEEDORES!$A:$B,2,0),"!COD NO ENCONTRADO"),"")</f>
        <v>AZORFISK UNIPERSONAL LDA</v>
      </c>
      <c r="F571" s="76" t="str">
        <f aca="false">IF(D571&lt;&gt;"",IFERROR(VLOOKUP(D571,PROVEEDORES!$A:$C,3,0),""),"")</f>
        <v>N</v>
      </c>
      <c r="G571" s="75" t="s">
        <v>83</v>
      </c>
      <c r="H571" s="52" t="str">
        <f aca="false">IF(G571&lt;&gt;"",IFERROR(VLOOKUP(G571,PRODUCTOS!$A:$B,2,0),"!COD NO ENCONTRADO"),"")</f>
        <v>BESUGO (BSR)</v>
      </c>
      <c r="I571" s="77" t="n">
        <v>1</v>
      </c>
      <c r="J571" s="78" t="n">
        <v>11.8</v>
      </c>
      <c r="K571" s="109" t="n">
        <v>22.4</v>
      </c>
      <c r="L571" s="107" t="n">
        <f aca="false">IF(AND(J571&lt;&gt;"",K571&lt;&gt;""),J571*K571,"")</f>
        <v>264.32</v>
      </c>
      <c r="M571" s="108" t="n">
        <f aca="false">IF(L571&lt;&gt;"",L571*1.1,"")</f>
        <v>290.752</v>
      </c>
      <c r="N571" s="117" t="n">
        <f aca="false">IF(F571="S",L571*0.02,0)</f>
        <v>0</v>
      </c>
      <c r="O571" s="115" t="n">
        <f aca="false">IF(L571&lt;&gt;"",L571+N571,"")</f>
        <v>264.32</v>
      </c>
      <c r="P571" s="117" t="n">
        <f aca="false">IF(O571&lt;&gt;"",O571*0.1,"")</f>
        <v>26.432</v>
      </c>
      <c r="Q571" s="116" t="n">
        <f aca="false">IF(O571&lt;&gt;"",O571+P571,"")</f>
        <v>290.752</v>
      </c>
      <c r="R571" s="84"/>
    </row>
    <row r="572" customFormat="false" ht="15" hidden="false" customHeight="true" outlineLevel="0" collapsed="false">
      <c r="A572" s="103" t="n">
        <v>55959</v>
      </c>
      <c r="B572" s="85" t="n">
        <v>46210</v>
      </c>
      <c r="C572" s="86" t="s">
        <v>411</v>
      </c>
      <c r="D572" s="87" t="n">
        <v>50232</v>
      </c>
      <c r="E572" s="104" t="str">
        <f aca="false">IF(D572&lt;&gt;"",IFERROR(VLOOKUP(D572,PROVEEDORES!$A:$B,2,0),"!COD NO ENCONTRADO"),"")</f>
        <v>XESTION NOVA LONXA RIVEIRA S.L.</v>
      </c>
      <c r="F572" s="88" t="str">
        <f aca="false">IF(D572&lt;&gt;"",IFERROR(VLOOKUP(D572,PROVEEDORES!$A:$C,3,0),""),"")</f>
        <v>S</v>
      </c>
      <c r="G572" s="87" t="s">
        <v>179</v>
      </c>
      <c r="H572" s="46" t="str">
        <f aca="false">IF(G572&lt;&gt;"",IFERROR(VLOOKUP(G572,PRODUCTOS!$A:$B,2,0),"!COD NO ENCONTRADO"),"")</f>
        <v>LIRIO/ BACALADILLA/ PERLA (WHB)</v>
      </c>
      <c r="I572" s="89" t="n">
        <v>1</v>
      </c>
      <c r="J572" s="90" t="n">
        <v>296.3</v>
      </c>
      <c r="K572" s="113" t="n">
        <v>1.35</v>
      </c>
      <c r="L572" s="107" t="n">
        <f aca="false">IF(AND(J572&lt;&gt;"",K572&lt;&gt;""),J572*K572,"")</f>
        <v>400.005</v>
      </c>
      <c r="M572" s="108" t="n">
        <f aca="false">IF(L572&lt;&gt;"",L572*1.1,"")</f>
        <v>440.0055</v>
      </c>
      <c r="N572" s="114" t="n">
        <f aca="false">IF(F572="S",L572*0.02,0)</f>
        <v>8.0001</v>
      </c>
      <c r="O572" s="115" t="n">
        <f aca="false">IF(L572&lt;&gt;"",L572+N572,"")</f>
        <v>408.0051</v>
      </c>
      <c r="P572" s="114" t="n">
        <f aca="false">IF(O572&lt;&gt;"",O572*0.1,"")</f>
        <v>40.80051</v>
      </c>
      <c r="Q572" s="116" t="n">
        <f aca="false">IF(O572&lt;&gt;"",O572+P572,"")</f>
        <v>448.80561</v>
      </c>
      <c r="R572" s="84"/>
    </row>
    <row r="573" customFormat="false" ht="15" hidden="false" customHeight="true" outlineLevel="0" collapsed="false">
      <c r="A573" s="103" t="n">
        <v>55960</v>
      </c>
      <c r="B573" s="73" t="n">
        <v>46210</v>
      </c>
      <c r="C573" s="84" t="n">
        <v>15822</v>
      </c>
      <c r="D573" s="75" t="n">
        <v>50160</v>
      </c>
      <c r="E573" s="104" t="str">
        <f aca="false">IF(D573&lt;&gt;"",IFERROR(VLOOKUP(D573,PROVEEDORES!$A:$B,2,0),"!COD NO ENCONTRADO"),"")</f>
        <v>SUBASTAS CORUÑA S.L.</v>
      </c>
      <c r="F573" s="76" t="str">
        <f aca="false">IF(D573&lt;&gt;"",IFERROR(VLOOKUP(D573,PROVEEDORES!$A:$C,3,0),""),"")</f>
        <v>S</v>
      </c>
      <c r="G573" s="75" t="s">
        <v>179</v>
      </c>
      <c r="H573" s="52" t="str">
        <f aca="false">IF(G573&lt;&gt;"",IFERROR(VLOOKUP(G573,PRODUCTOS!$A:$B,2,0),"!COD NO ENCONTRADO"),"")</f>
        <v>LIRIO/ BACALADILLA/ PERLA (WHB)</v>
      </c>
      <c r="I573" s="77" t="n">
        <v>15</v>
      </c>
      <c r="J573" s="105" t="n">
        <v>233.3</v>
      </c>
      <c r="K573" s="113" t="n">
        <v>1.35</v>
      </c>
      <c r="L573" s="107" t="n">
        <f aca="false">IF(AND(J573&lt;&gt;"",K573&lt;&gt;""),J573*K573,"")</f>
        <v>314.955</v>
      </c>
      <c r="M573" s="108" t="n">
        <f aca="false">IF(L573&lt;&gt;"",L573*1.1,"")</f>
        <v>346.4505</v>
      </c>
      <c r="N573" s="117" t="n">
        <f aca="false">IF(F573="S",L573*0.02,0)</f>
        <v>6.2991</v>
      </c>
      <c r="O573" s="115" t="n">
        <f aca="false">IF(L573&lt;&gt;"",L573+N573,"")</f>
        <v>321.2541</v>
      </c>
      <c r="P573" s="117" t="n">
        <f aca="false">IF(O573&lt;&gt;"",O573*0.1,"")</f>
        <v>32.12541</v>
      </c>
      <c r="Q573" s="116" t="n">
        <f aca="false">IF(O573&lt;&gt;"",O573+P573,"")</f>
        <v>353.37951</v>
      </c>
      <c r="R573" s="84"/>
    </row>
    <row r="574" customFormat="false" ht="15" hidden="false" customHeight="true" outlineLevel="0" collapsed="false">
      <c r="A574" s="103" t="n">
        <v>55961</v>
      </c>
      <c r="B574" s="73" t="n">
        <v>46210</v>
      </c>
      <c r="C574" s="86" t="s">
        <v>412</v>
      </c>
      <c r="D574" s="87" t="n">
        <v>50010</v>
      </c>
      <c r="E574" s="104" t="str">
        <f aca="false">IF(D574&lt;&gt;"",IFERROR(VLOOKUP(D574,PROVEEDORES!$A:$B,2,0),"!COD NO ENCONTRADO"),"")</f>
        <v>PERFECTO MONTERO</v>
      </c>
      <c r="F574" s="88" t="str">
        <f aca="false">IF(D574&lt;&gt;"",IFERROR(VLOOKUP(D574,PROVEEDORES!$A:$C,3,0),""),"")</f>
        <v>S</v>
      </c>
      <c r="G574" s="87" t="s">
        <v>91</v>
      </c>
      <c r="H574" s="46" t="str">
        <f aca="false">IF(G574&lt;&gt;"",IFERROR(VLOOKUP(G574,PRODUCTOS!$A:$B,2,0),"!COD NO ENCONTRADO"),"")</f>
        <v>BONITO DEL NORTE 5/7</v>
      </c>
      <c r="I574" s="89" t="n">
        <v>1</v>
      </c>
      <c r="J574" s="90" t="n">
        <v>33.75</v>
      </c>
      <c r="K574" s="106" t="n">
        <v>5.1</v>
      </c>
      <c r="L574" s="107" t="n">
        <f aca="false">IF(AND(J574&lt;&gt;"",K574&lt;&gt;""),J574*K574,"")</f>
        <v>172.125</v>
      </c>
      <c r="M574" s="108" t="n">
        <f aca="false">IF(L574&lt;&gt;"",L574*1.1,"")</f>
        <v>189.3375</v>
      </c>
      <c r="N574" s="114" t="n">
        <f aca="false">IF(F574="S",L574*0.02,0)</f>
        <v>3.4425</v>
      </c>
      <c r="O574" s="115" t="n">
        <f aca="false">IF(L574&lt;&gt;"",L574+N574,"")</f>
        <v>175.5675</v>
      </c>
      <c r="P574" s="114" t="n">
        <f aca="false">IF(O574&lt;&gt;"",O574*0.1,"")</f>
        <v>17.55675</v>
      </c>
      <c r="Q574" s="116" t="n">
        <f aca="false">IF(O574&lt;&gt;"",O574+P574,"")</f>
        <v>193.12425</v>
      </c>
      <c r="R574" s="84"/>
    </row>
    <row r="575" customFormat="false" ht="15" hidden="false" customHeight="true" outlineLevel="0" collapsed="false">
      <c r="A575" s="103" t="n">
        <v>55961</v>
      </c>
      <c r="B575" s="73" t="n">
        <v>46210</v>
      </c>
      <c r="C575" s="74" t="s">
        <v>412</v>
      </c>
      <c r="D575" s="75" t="n">
        <v>50010</v>
      </c>
      <c r="E575" s="104" t="str">
        <f aca="false">IF(D575&lt;&gt;"",IFERROR(VLOOKUP(D575,PROVEEDORES!$A:$B,2,0),"!COD NO ENCONTRADO"),"")</f>
        <v>PERFECTO MONTERO</v>
      </c>
      <c r="F575" s="76" t="str">
        <f aca="false">IF(D575&lt;&gt;"",IFERROR(VLOOKUP(D575,PROVEEDORES!$A:$C,3,0),""),"")</f>
        <v>S</v>
      </c>
      <c r="G575" s="75" t="s">
        <v>91</v>
      </c>
      <c r="H575" s="52" t="str">
        <f aca="false">IF(G575&lt;&gt;"",IFERROR(VLOOKUP(G575,PRODUCTOS!$A:$B,2,0),"!COD NO ENCONTRADO"),"")</f>
        <v>BONITO DEL NORTE 5/7</v>
      </c>
      <c r="I575" s="77" t="n">
        <v>1</v>
      </c>
      <c r="J575" s="78" t="n">
        <v>33.25</v>
      </c>
      <c r="K575" s="109" t="n">
        <v>5.6</v>
      </c>
      <c r="L575" s="107" t="n">
        <f aca="false">IF(AND(J575&lt;&gt;"",K575&lt;&gt;""),J575*K575,"")</f>
        <v>186.2</v>
      </c>
      <c r="M575" s="108" t="n">
        <f aca="false">IF(L575&lt;&gt;"",L575*1.1,"")</f>
        <v>204.82</v>
      </c>
      <c r="N575" s="117" t="n">
        <f aca="false">IF(F575="S",L575*0.02,0)</f>
        <v>3.724</v>
      </c>
      <c r="O575" s="115" t="n">
        <f aca="false">IF(L575&lt;&gt;"",L575+N575,"")</f>
        <v>189.924</v>
      </c>
      <c r="P575" s="117" t="n">
        <f aca="false">IF(O575&lt;&gt;"",O575*0.1,"")</f>
        <v>18.9924</v>
      </c>
      <c r="Q575" s="116" t="n">
        <f aca="false">IF(O575&lt;&gt;"",O575+P575,"")</f>
        <v>208.9164</v>
      </c>
      <c r="R575" s="84"/>
    </row>
    <row r="576" customFormat="false" ht="15" hidden="false" customHeight="true" outlineLevel="0" collapsed="false">
      <c r="A576" s="103" t="n">
        <v>55962</v>
      </c>
      <c r="B576" s="73" t="n">
        <v>46210</v>
      </c>
      <c r="C576" s="86" t="n">
        <v>6983</v>
      </c>
      <c r="D576" s="87" t="n">
        <v>50020</v>
      </c>
      <c r="E576" s="104" t="str">
        <f aca="false">IF(D576&lt;&gt;"",IFERROR(VLOOKUP(D576,PROVEEDORES!$A:$B,2,0),"!COD NO ENCONTRADO"),"")</f>
        <v>PACO MOINELO</v>
      </c>
      <c r="F576" s="88" t="str">
        <f aca="false">IF(D576&lt;&gt;"",IFERROR(VLOOKUP(D576,PROVEEDORES!$A:$C,3,0),""),"")</f>
        <v>S</v>
      </c>
      <c r="G576" s="87" t="s">
        <v>99</v>
      </c>
      <c r="H576" s="46" t="str">
        <f aca="false">IF(G576&lt;&gt;"",IFERROR(VLOOKUP(G576,PRODUCTOS!$A:$B,2,0),"!COD NO ENCONTRADO"),"")</f>
        <v>CABRACHO/ ESCARAPOTE (RSE)</v>
      </c>
      <c r="I576" s="89" t="n">
        <v>1</v>
      </c>
      <c r="J576" s="90" t="n">
        <v>8</v>
      </c>
      <c r="K576" s="106" t="n">
        <v>11.4</v>
      </c>
      <c r="L576" s="107" t="n">
        <f aca="false">IF(AND(J576&lt;&gt;"",K576&lt;&gt;""),J576*K576,"")</f>
        <v>91.2</v>
      </c>
      <c r="M576" s="108" t="n">
        <f aca="false">IF(L576&lt;&gt;"",L576*1.1,"")</f>
        <v>100.32</v>
      </c>
      <c r="N576" s="114" t="n">
        <f aca="false">IF(F576="S",L576*0.02,0)</f>
        <v>1.824</v>
      </c>
      <c r="O576" s="115" t="n">
        <f aca="false">IF(L576&lt;&gt;"",L576+N576,"")</f>
        <v>93.024</v>
      </c>
      <c r="P576" s="114" t="n">
        <f aca="false">IF(O576&lt;&gt;"",O576*0.1,"")</f>
        <v>9.3024</v>
      </c>
      <c r="Q576" s="116" t="n">
        <f aca="false">IF(O576&lt;&gt;"",O576+P576,"")</f>
        <v>102.3264</v>
      </c>
      <c r="R576" s="84"/>
    </row>
    <row r="577" customFormat="false" ht="15" hidden="false" customHeight="true" outlineLevel="0" collapsed="false">
      <c r="A577" s="103" t="n">
        <v>55962</v>
      </c>
      <c r="B577" s="73" t="n">
        <v>46210</v>
      </c>
      <c r="C577" s="74" t="n">
        <v>6983</v>
      </c>
      <c r="D577" s="75" t="n">
        <v>50020</v>
      </c>
      <c r="E577" s="104" t="str">
        <f aca="false">IF(D577&lt;&gt;"",IFERROR(VLOOKUP(D577,PROVEEDORES!$A:$B,2,0),"!COD NO ENCONTRADO"),"")</f>
        <v>PACO MOINELO</v>
      </c>
      <c r="F577" s="76" t="str">
        <f aca="false">IF(D577&lt;&gt;"",IFERROR(VLOOKUP(D577,PROVEEDORES!$A:$C,3,0),""),"")</f>
        <v>S</v>
      </c>
      <c r="G577" s="75" t="s">
        <v>99</v>
      </c>
      <c r="H577" s="52" t="str">
        <f aca="false">IF(G577&lt;&gt;"",IFERROR(VLOOKUP(G577,PRODUCTOS!$A:$B,2,0),"!COD NO ENCONTRADO"),"")</f>
        <v>CABRACHO/ ESCARAPOTE (RSE)</v>
      </c>
      <c r="I577" s="77" t="n">
        <v>3</v>
      </c>
      <c r="J577" s="78" t="n">
        <v>21.5</v>
      </c>
      <c r="K577" s="109" t="n">
        <v>13</v>
      </c>
      <c r="L577" s="107" t="n">
        <f aca="false">IF(AND(J577&lt;&gt;"",K577&lt;&gt;""),J577*K577,"")</f>
        <v>279.5</v>
      </c>
      <c r="M577" s="108" t="n">
        <f aca="false">IF(L577&lt;&gt;"",L577*1.1,"")</f>
        <v>307.45</v>
      </c>
      <c r="N577" s="117" t="n">
        <f aca="false">IF(F577="S",L577*0.02,0)</f>
        <v>5.59</v>
      </c>
      <c r="O577" s="115" t="n">
        <f aca="false">IF(L577&lt;&gt;"",L577+N577,"")</f>
        <v>285.09</v>
      </c>
      <c r="P577" s="117" t="n">
        <f aca="false">IF(O577&lt;&gt;"",O577*0.1,"")</f>
        <v>28.509</v>
      </c>
      <c r="Q577" s="116" t="n">
        <f aca="false">IF(O577&lt;&gt;"",O577+P577,"")</f>
        <v>313.599</v>
      </c>
      <c r="R577" s="84"/>
    </row>
    <row r="578" customFormat="false" ht="15" hidden="false" customHeight="true" outlineLevel="0" collapsed="false">
      <c r="A578" s="103" t="n">
        <v>55963</v>
      </c>
      <c r="B578" s="73" t="n">
        <v>46210</v>
      </c>
      <c r="C578" s="74" t="n">
        <v>32942</v>
      </c>
      <c r="D578" s="75" t="n">
        <v>50106</v>
      </c>
      <c r="E578" s="104" t="str">
        <f aca="false">IF(D578&lt;&gt;"",IFERROR(VLOOKUP(D578,PROVEEDORES!$A:$B,2,0),"!COD NO ENCONTRADO"),"")</f>
        <v>SONIA VENTAS S.L</v>
      </c>
      <c r="F578" s="76" t="str">
        <f aca="false">IF(D578&lt;&gt;"",IFERROR(VLOOKUP(D578,PROVEEDORES!$A:$C,3,0),""),"")</f>
        <v>S</v>
      </c>
      <c r="G578" s="75" t="s">
        <v>216</v>
      </c>
      <c r="H578" s="52" t="str">
        <f aca="false">IF(G578&lt;&gt;"",IFERROR(VLOOKUP(G578,PRODUCTOS!$A:$B,2,0),"!COD NO ENCONTRADO"),"")</f>
        <v>MERLUZA EUROPEA PINCHO COSTA</v>
      </c>
      <c r="I578" s="77" t="n">
        <v>2</v>
      </c>
      <c r="J578" s="105" t="n">
        <v>28</v>
      </c>
      <c r="K578" s="113" t="n">
        <v>5.5</v>
      </c>
      <c r="L578" s="107" t="n">
        <f aca="false">IF(AND(J578&lt;&gt;"",K578&lt;&gt;""),J578*K578,"")</f>
        <v>154</v>
      </c>
      <c r="M578" s="108" t="n">
        <f aca="false">IF(L578&lt;&gt;"",L578*1.1,"")</f>
        <v>169.4</v>
      </c>
      <c r="N578" s="117" t="n">
        <f aca="false">IF(F578="S",L578*0.02,0)</f>
        <v>3.08</v>
      </c>
      <c r="O578" s="115" t="n">
        <f aca="false">IF(L578&lt;&gt;"",L578+N578,"")</f>
        <v>157.08</v>
      </c>
      <c r="P578" s="117" t="n">
        <f aca="false">IF(O578&lt;&gt;"",O578*0.1,"")</f>
        <v>15.708</v>
      </c>
      <c r="Q578" s="116" t="n">
        <f aca="false">IF(O578&lt;&gt;"",O578+P578,"")</f>
        <v>172.788</v>
      </c>
      <c r="R578" s="84"/>
    </row>
    <row r="579" customFormat="false" ht="15" hidden="false" customHeight="true" outlineLevel="0" collapsed="false">
      <c r="A579" s="103" t="n">
        <v>55963</v>
      </c>
      <c r="B579" s="85" t="n">
        <v>46210</v>
      </c>
      <c r="C579" s="74" t="n">
        <v>32942</v>
      </c>
      <c r="D579" s="87" t="n">
        <v>50106</v>
      </c>
      <c r="E579" s="104" t="str">
        <f aca="false">IF(D579&lt;&gt;"",IFERROR(VLOOKUP(D579,PROVEEDORES!$A:$B,2,0),"!COD NO ENCONTRADO"),"")</f>
        <v>SONIA VENTAS S.L</v>
      </c>
      <c r="F579" s="88" t="str">
        <f aca="false">IF(D579&lt;&gt;"",IFERROR(VLOOKUP(D579,PROVEEDORES!$A:$C,3,0),""),"")</f>
        <v>S</v>
      </c>
      <c r="G579" s="87" t="s">
        <v>216</v>
      </c>
      <c r="H579" s="46" t="str">
        <f aca="false">IF(G579&lt;&gt;"",IFERROR(VLOOKUP(G579,PRODUCTOS!$A:$B,2,0),"!COD NO ENCONTRADO"),"")</f>
        <v>MERLUZA EUROPEA PINCHO COSTA</v>
      </c>
      <c r="I579" s="89" t="n">
        <v>1</v>
      </c>
      <c r="J579" s="105" t="n">
        <v>15.25</v>
      </c>
      <c r="K579" s="113" t="n">
        <v>11</v>
      </c>
      <c r="L579" s="107" t="n">
        <f aca="false">IF(AND(J579&lt;&gt;"",K579&lt;&gt;""),J579*K579,"")</f>
        <v>167.75</v>
      </c>
      <c r="M579" s="108" t="n">
        <f aca="false">IF(L579&lt;&gt;"",L579*1.1,"")</f>
        <v>184.525</v>
      </c>
      <c r="N579" s="114" t="n">
        <f aca="false">IF(F579="S",L579*0.02,0)</f>
        <v>3.355</v>
      </c>
      <c r="O579" s="115" t="n">
        <f aca="false">IF(L579&lt;&gt;"",L579+N579,"")</f>
        <v>171.105</v>
      </c>
      <c r="P579" s="114" t="n">
        <f aca="false">IF(O579&lt;&gt;"",O579*0.1,"")</f>
        <v>17.1105</v>
      </c>
      <c r="Q579" s="116" t="n">
        <f aca="false">IF(O579&lt;&gt;"",O579+P579,"")</f>
        <v>188.2155</v>
      </c>
      <c r="R579" s="84"/>
    </row>
    <row r="580" customFormat="false" ht="15" hidden="false" customHeight="true" outlineLevel="0" collapsed="false">
      <c r="A580" s="103" t="n">
        <v>55963</v>
      </c>
      <c r="B580" s="73" t="n">
        <v>46210</v>
      </c>
      <c r="C580" s="74" t="n">
        <v>32942</v>
      </c>
      <c r="D580" s="75" t="n">
        <v>50106</v>
      </c>
      <c r="E580" s="104" t="str">
        <f aca="false">IF(D580&lt;&gt;"",IFERROR(VLOOKUP(D580,PROVEEDORES!$A:$B,2,0),"!COD NO ENCONTRADO"),"")</f>
        <v>SONIA VENTAS S.L</v>
      </c>
      <c r="F580" s="76" t="str">
        <f aca="false">IF(D580&lt;&gt;"",IFERROR(VLOOKUP(D580,PROVEEDORES!$A:$C,3,0),""),"")</f>
        <v>S</v>
      </c>
      <c r="G580" s="75" t="s">
        <v>216</v>
      </c>
      <c r="H580" s="52" t="str">
        <f aca="false">IF(G580&lt;&gt;"",IFERROR(VLOOKUP(G580,PRODUCTOS!$A:$B,2,0),"!COD NO ENCONTRADO"),"")</f>
        <v>MERLUZA EUROPEA PINCHO COSTA</v>
      </c>
      <c r="I580" s="77" t="n">
        <v>1</v>
      </c>
      <c r="J580" s="105" t="n">
        <v>15.5</v>
      </c>
      <c r="K580" s="113" t="n">
        <v>11.7</v>
      </c>
      <c r="L580" s="107" t="n">
        <f aca="false">IF(AND(J580&lt;&gt;"",K580&lt;&gt;""),J580*K580,"")</f>
        <v>181.35</v>
      </c>
      <c r="M580" s="108" t="n">
        <f aca="false">IF(L580&lt;&gt;"",L580*1.1,"")</f>
        <v>199.485</v>
      </c>
      <c r="N580" s="117" t="n">
        <f aca="false">IF(F580="S",L580*0.02,0)</f>
        <v>3.627</v>
      </c>
      <c r="O580" s="115" t="n">
        <f aca="false">IF(L580&lt;&gt;"",L580+N580,"")</f>
        <v>184.977</v>
      </c>
      <c r="P580" s="117" t="n">
        <f aca="false">IF(O580&lt;&gt;"",O580*0.1,"")</f>
        <v>18.4977</v>
      </c>
      <c r="Q580" s="116" t="n">
        <f aca="false">IF(O580&lt;&gt;"",O580+P580,"")</f>
        <v>203.4747</v>
      </c>
      <c r="R580" s="84"/>
    </row>
    <row r="581" customFormat="false" ht="15" hidden="false" customHeight="true" outlineLevel="0" collapsed="false">
      <c r="A581" s="103" t="n">
        <v>55963</v>
      </c>
      <c r="B581" s="73" t="n">
        <v>46210</v>
      </c>
      <c r="C581" s="74" t="n">
        <v>32942</v>
      </c>
      <c r="D581" s="87" t="n">
        <v>50106</v>
      </c>
      <c r="E581" s="104" t="str">
        <f aca="false">IF(D581&lt;&gt;"",IFERROR(VLOOKUP(D581,PROVEEDORES!$A:$B,2,0),"!COD NO ENCONTRADO"),"")</f>
        <v>SONIA VENTAS S.L</v>
      </c>
      <c r="F581" s="88" t="str">
        <f aca="false">IF(D581&lt;&gt;"",IFERROR(VLOOKUP(D581,PROVEEDORES!$A:$C,3,0),""),"")</f>
        <v>S</v>
      </c>
      <c r="G581" s="87" t="s">
        <v>216</v>
      </c>
      <c r="H581" s="46" t="str">
        <f aca="false">IF(G581&lt;&gt;"",IFERROR(VLOOKUP(G581,PRODUCTOS!$A:$B,2,0),"!COD NO ENCONTRADO"),"")</f>
        <v>MERLUZA EUROPEA PINCHO COSTA</v>
      </c>
      <c r="I581" s="89" t="n">
        <v>3</v>
      </c>
      <c r="J581" s="105" t="n">
        <v>36.75</v>
      </c>
      <c r="K581" s="113" t="n">
        <v>4</v>
      </c>
      <c r="L581" s="107" t="n">
        <f aca="false">IF(AND(J581&lt;&gt;"",K581&lt;&gt;""),J581*K581,"")</f>
        <v>147</v>
      </c>
      <c r="M581" s="108" t="n">
        <f aca="false">IF(L581&lt;&gt;"",L581*1.1,"")</f>
        <v>161.7</v>
      </c>
      <c r="N581" s="114" t="n">
        <f aca="false">IF(F581="S",L581*0.02,0)</f>
        <v>2.94</v>
      </c>
      <c r="O581" s="115" t="n">
        <f aca="false">IF(L581&lt;&gt;"",L581+N581,"")</f>
        <v>149.94</v>
      </c>
      <c r="P581" s="114" t="n">
        <f aca="false">IF(O581&lt;&gt;"",O581*0.1,"")</f>
        <v>14.994</v>
      </c>
      <c r="Q581" s="116" t="n">
        <f aca="false">IF(O581&lt;&gt;"",O581+P581,"")</f>
        <v>164.934</v>
      </c>
      <c r="R581" s="84"/>
    </row>
    <row r="582" customFormat="false" ht="15" hidden="false" customHeight="true" outlineLevel="0" collapsed="false">
      <c r="A582" s="103" t="n">
        <v>55963</v>
      </c>
      <c r="B582" s="73" t="n">
        <v>46210</v>
      </c>
      <c r="C582" s="74" t="n">
        <v>32942</v>
      </c>
      <c r="D582" s="75" t="n">
        <v>50106</v>
      </c>
      <c r="E582" s="104" t="str">
        <f aca="false">IF(D582&lt;&gt;"",IFERROR(VLOOKUP(D582,PROVEEDORES!$A:$B,2,0),"!COD NO ENCONTRADO"),"")</f>
        <v>SONIA VENTAS S.L</v>
      </c>
      <c r="F582" s="76" t="str">
        <f aca="false">IF(D582&lt;&gt;"",IFERROR(VLOOKUP(D582,PROVEEDORES!$A:$C,3,0),""),"")</f>
        <v>S</v>
      </c>
      <c r="G582" s="75" t="s">
        <v>216</v>
      </c>
      <c r="H582" s="52" t="str">
        <f aca="false">IF(G582&lt;&gt;"",IFERROR(VLOOKUP(G582,PRODUCTOS!$A:$B,2,0),"!COD NO ENCONTRADO"),"")</f>
        <v>MERLUZA EUROPEA PINCHO COSTA</v>
      </c>
      <c r="I582" s="77" t="n">
        <v>8</v>
      </c>
      <c r="J582" s="105" t="n">
        <v>112.5</v>
      </c>
      <c r="K582" s="113" t="n">
        <v>6.2</v>
      </c>
      <c r="L582" s="107" t="n">
        <f aca="false">IF(AND(J582&lt;&gt;"",K582&lt;&gt;""),J582*K582,"")</f>
        <v>697.5</v>
      </c>
      <c r="M582" s="108" t="n">
        <f aca="false">IF(L582&lt;&gt;"",L582*1.1,"")</f>
        <v>767.25</v>
      </c>
      <c r="N582" s="117" t="n">
        <f aca="false">IF(F582="S",L582*0.02,0)</f>
        <v>13.95</v>
      </c>
      <c r="O582" s="115" t="n">
        <f aca="false">IF(L582&lt;&gt;"",L582+N582,"")</f>
        <v>711.45</v>
      </c>
      <c r="P582" s="117" t="n">
        <f aca="false">IF(O582&lt;&gt;"",O582*0.1,"")</f>
        <v>71.145</v>
      </c>
      <c r="Q582" s="116" t="n">
        <f aca="false">IF(O582&lt;&gt;"",O582+P582,"")</f>
        <v>782.595</v>
      </c>
      <c r="R582" s="84"/>
    </row>
    <row r="583" customFormat="false" ht="15" hidden="false" customHeight="true" outlineLevel="0" collapsed="false">
      <c r="A583" s="103" t="n">
        <v>55963</v>
      </c>
      <c r="B583" s="73" t="n">
        <v>46210</v>
      </c>
      <c r="C583" s="74" t="n">
        <v>32942</v>
      </c>
      <c r="D583" s="87" t="n">
        <v>50106</v>
      </c>
      <c r="E583" s="104" t="str">
        <f aca="false">IF(D583&lt;&gt;"",IFERROR(VLOOKUP(D583,PROVEEDORES!$A:$B,2,0),"!COD NO ENCONTRADO"),"")</f>
        <v>SONIA VENTAS S.L</v>
      </c>
      <c r="F583" s="88" t="str">
        <f aca="false">IF(D583&lt;&gt;"",IFERROR(VLOOKUP(D583,PROVEEDORES!$A:$C,3,0),""),"")</f>
        <v>S</v>
      </c>
      <c r="G583" s="87" t="s">
        <v>216</v>
      </c>
      <c r="H583" s="46" t="str">
        <f aca="false">IF(G583&lt;&gt;"",IFERROR(VLOOKUP(G583,PRODUCTOS!$A:$B,2,0),"!COD NO ENCONTRADO"),"")</f>
        <v>MERLUZA EUROPEA PINCHO COSTA</v>
      </c>
      <c r="I583" s="89" t="n">
        <v>11</v>
      </c>
      <c r="J583" s="105" t="n">
        <v>151.75</v>
      </c>
      <c r="K583" s="113" t="n">
        <v>6.5</v>
      </c>
      <c r="L583" s="107" t="n">
        <f aca="false">IF(AND(J583&lt;&gt;"",K583&lt;&gt;""),J583*K583,"")</f>
        <v>986.375</v>
      </c>
      <c r="M583" s="108" t="n">
        <f aca="false">IF(L583&lt;&gt;"",L583*1.1,"")</f>
        <v>1085.0125</v>
      </c>
      <c r="N583" s="114" t="n">
        <f aca="false">IF(F583="S",L583*0.02,0)</f>
        <v>19.7275</v>
      </c>
      <c r="O583" s="115" t="n">
        <f aca="false">IF(L583&lt;&gt;"",L583+N583,"")</f>
        <v>1006.1025</v>
      </c>
      <c r="P583" s="114" t="n">
        <f aca="false">IF(O583&lt;&gt;"",O583*0.1,"")</f>
        <v>100.61025</v>
      </c>
      <c r="Q583" s="116" t="n">
        <f aca="false">IF(O583&lt;&gt;"",O583+P583,"")</f>
        <v>1106.71275</v>
      </c>
      <c r="R583" s="84"/>
    </row>
    <row r="584" customFormat="false" ht="15" hidden="false" customHeight="true" outlineLevel="0" collapsed="false">
      <c r="A584" s="103" t="n">
        <v>55963</v>
      </c>
      <c r="B584" s="73" t="n">
        <v>46210</v>
      </c>
      <c r="C584" s="74" t="n">
        <v>32942</v>
      </c>
      <c r="D584" s="75" t="n">
        <v>50106</v>
      </c>
      <c r="E584" s="104" t="str">
        <f aca="false">IF(D584&lt;&gt;"",IFERROR(VLOOKUP(D584,PROVEEDORES!$A:$B,2,0),"!COD NO ENCONTRADO"),"")</f>
        <v>SONIA VENTAS S.L</v>
      </c>
      <c r="F584" s="76" t="str">
        <f aca="false">IF(D584&lt;&gt;"",IFERROR(VLOOKUP(D584,PROVEEDORES!$A:$C,3,0),""),"")</f>
        <v>S</v>
      </c>
      <c r="G584" s="75" t="s">
        <v>216</v>
      </c>
      <c r="H584" s="52" t="str">
        <f aca="false">IF(G584&lt;&gt;"",IFERROR(VLOOKUP(G584,PRODUCTOS!$A:$B,2,0),"!COD NO ENCONTRADO"),"")</f>
        <v>MERLUZA EUROPEA PINCHO COSTA</v>
      </c>
      <c r="I584" s="77" t="n">
        <v>1</v>
      </c>
      <c r="J584" s="105" t="n">
        <v>14.5</v>
      </c>
      <c r="K584" s="113" t="n">
        <v>5.9</v>
      </c>
      <c r="L584" s="107" t="n">
        <f aca="false">IF(AND(J584&lt;&gt;"",K584&lt;&gt;""),J584*K584,"")</f>
        <v>85.55</v>
      </c>
      <c r="M584" s="108" t="n">
        <f aca="false">IF(L584&lt;&gt;"",L584*1.1,"")</f>
        <v>94.105</v>
      </c>
      <c r="N584" s="117" t="n">
        <f aca="false">IF(F584="S",L584*0.02,0)</f>
        <v>1.711</v>
      </c>
      <c r="O584" s="115" t="n">
        <f aca="false">IF(L584&lt;&gt;"",L584+N584,"")</f>
        <v>87.261</v>
      </c>
      <c r="P584" s="117" t="n">
        <f aca="false">IF(O584&lt;&gt;"",O584*0.1,"")</f>
        <v>8.7261</v>
      </c>
      <c r="Q584" s="116" t="n">
        <f aca="false">IF(O584&lt;&gt;"",O584+P584,"")</f>
        <v>95.9871</v>
      </c>
      <c r="R584" s="84"/>
    </row>
    <row r="585" customFormat="false" ht="15" hidden="false" customHeight="true" outlineLevel="0" collapsed="false">
      <c r="A585" s="103" t="n">
        <v>55963</v>
      </c>
      <c r="B585" s="73" t="n">
        <v>46210</v>
      </c>
      <c r="C585" s="74" t="n">
        <v>32942</v>
      </c>
      <c r="D585" s="87" t="n">
        <v>50106</v>
      </c>
      <c r="E585" s="104" t="str">
        <f aca="false">IF(D585&lt;&gt;"",IFERROR(VLOOKUP(D585,PROVEEDORES!$A:$B,2,0),"!COD NO ENCONTRADO"),"")</f>
        <v>SONIA VENTAS S.L</v>
      </c>
      <c r="F585" s="88" t="str">
        <f aca="false">IF(D585&lt;&gt;"",IFERROR(VLOOKUP(D585,PROVEEDORES!$A:$C,3,0),""),"")</f>
        <v>S</v>
      </c>
      <c r="G585" s="87" t="s">
        <v>288</v>
      </c>
      <c r="H585" s="46" t="str">
        <f aca="false">IF(G585&lt;&gt;"",IFERROR(VLOOKUP(G585,PRODUCTOS!$A:$B,2,0),"!COD NO ENCONTRADO"),"")</f>
        <v>RAPE BLANCO DIA (MON)</v>
      </c>
      <c r="I585" s="89" t="n">
        <v>1</v>
      </c>
      <c r="J585" s="105" t="n">
        <v>14.25</v>
      </c>
      <c r="K585" s="113" t="n">
        <v>6.3</v>
      </c>
      <c r="L585" s="107" t="n">
        <f aca="false">IF(AND(J585&lt;&gt;"",K585&lt;&gt;""),J585*K585,"")</f>
        <v>89.775</v>
      </c>
      <c r="M585" s="108" t="n">
        <f aca="false">IF(L585&lt;&gt;"",L585*1.1,"")</f>
        <v>98.7525</v>
      </c>
      <c r="N585" s="114" t="n">
        <f aca="false">IF(F585="S",L585*0.02,0)</f>
        <v>1.7955</v>
      </c>
      <c r="O585" s="115" t="n">
        <f aca="false">IF(L585&lt;&gt;"",L585+N585,"")</f>
        <v>91.5705</v>
      </c>
      <c r="P585" s="114" t="n">
        <f aca="false">IF(O585&lt;&gt;"",O585*0.1,"")</f>
        <v>9.15705</v>
      </c>
      <c r="Q585" s="116" t="n">
        <f aca="false">IF(O585&lt;&gt;"",O585+P585,"")</f>
        <v>100.72755</v>
      </c>
      <c r="R585" s="84"/>
    </row>
    <row r="586" customFormat="false" ht="15" hidden="false" customHeight="true" outlineLevel="0" collapsed="false">
      <c r="A586" s="103" t="n">
        <v>55964</v>
      </c>
      <c r="B586" s="73" t="n">
        <v>46210</v>
      </c>
      <c r="C586" s="74" t="n">
        <v>15822</v>
      </c>
      <c r="D586" s="75" t="n">
        <v>50160</v>
      </c>
      <c r="E586" s="104" t="str">
        <f aca="false">IF(D586&lt;&gt;"",IFERROR(VLOOKUP(D586,PROVEEDORES!$A:$B,2,0),"!COD NO ENCONTRADO"),"")</f>
        <v>SUBASTAS CORUÑA S.L.</v>
      </c>
      <c r="F586" s="76" t="str">
        <f aca="false">IF(D586&lt;&gt;"",IFERROR(VLOOKUP(D586,PROVEEDORES!$A:$C,3,0),""),"")</f>
        <v>S</v>
      </c>
      <c r="G586" s="75" t="s">
        <v>270</v>
      </c>
      <c r="H586" s="52" t="str">
        <f aca="false">IF(G586&lt;&gt;"",IFERROR(VLOOKUP(G586,PRODUCTOS!$A:$B,2,0),"!COD NO ENCONTRADO"),"")</f>
        <v>PEON/ PION (ATP)</v>
      </c>
      <c r="I586" s="77" t="n">
        <v>5</v>
      </c>
      <c r="J586" s="78" t="n">
        <v>27.5</v>
      </c>
      <c r="K586" s="109" t="n">
        <v>3.4</v>
      </c>
      <c r="L586" s="107" t="n">
        <f aca="false">IF(AND(J586&lt;&gt;"",K586&lt;&gt;""),J586*K586,"")</f>
        <v>93.5</v>
      </c>
      <c r="M586" s="108" t="n">
        <f aca="false">IF(L586&lt;&gt;"",L586*1.1,"")</f>
        <v>102.85</v>
      </c>
      <c r="N586" s="114" t="n">
        <f aca="false">IF(F586="S",L586*0.02,0)</f>
        <v>1.87</v>
      </c>
      <c r="O586" s="115" t="n">
        <f aca="false">IF(L586&lt;&gt;"",L586+N586,"")</f>
        <v>95.37</v>
      </c>
      <c r="P586" s="114" t="n">
        <f aca="false">IF(O586&lt;&gt;"",O586*0.1,"")</f>
        <v>9.537</v>
      </c>
      <c r="Q586" s="116" t="n">
        <f aca="false">IF(O586&lt;&gt;"",O586+P586,"")</f>
        <v>104.907</v>
      </c>
      <c r="R586" s="84"/>
    </row>
    <row r="587" customFormat="false" ht="15" hidden="false" customHeight="true" outlineLevel="0" collapsed="false">
      <c r="A587" s="103" t="n">
        <v>55965</v>
      </c>
      <c r="B587" s="73" t="n">
        <v>46210</v>
      </c>
      <c r="C587" s="74" t="n">
        <v>18558</v>
      </c>
      <c r="D587" s="75" t="n">
        <v>50163</v>
      </c>
      <c r="E587" s="104" t="str">
        <f aca="false">IF(D587&lt;&gt;"",IFERROR(VLOOKUP(D587,PROVEEDORES!$A:$B,2,0),"!COD NO ENCONTRADO"),"")</f>
        <v>SUBASTAS RIVERA S.L.</v>
      </c>
      <c r="F587" s="76" t="str">
        <f aca="false">IF(D587&lt;&gt;"",IFERROR(VLOOKUP(D587,PROVEEDORES!$A:$C,3,0),""),"")</f>
        <v>S</v>
      </c>
      <c r="G587" s="75" t="s">
        <v>133</v>
      </c>
      <c r="H587" s="52" t="str">
        <f aca="false">IF(G587&lt;&gt;"",IFERROR(VLOOKUP(G587,PRODUCTOS!$A:$B,2,0),"!COD NO ENCONTRADO"),"")</f>
        <v>CINTAS/ PEZ CINTA (CBC)</v>
      </c>
      <c r="I587" s="77" t="n">
        <v>1</v>
      </c>
      <c r="J587" s="78" t="n">
        <v>4.75</v>
      </c>
      <c r="K587" s="109" t="n">
        <v>2.25</v>
      </c>
      <c r="L587" s="107" t="n">
        <f aca="false">IF(AND(J587&lt;&gt;"",K587&lt;&gt;""),J587*K587,"")</f>
        <v>10.6875</v>
      </c>
      <c r="M587" s="108" t="n">
        <f aca="false">IF(L587&lt;&gt;"",L587*1.1,"")</f>
        <v>11.75625</v>
      </c>
      <c r="N587" s="117" t="n">
        <f aca="false">IF(F587="S",L587*0.02,0)</f>
        <v>0.21375</v>
      </c>
      <c r="O587" s="115" t="n">
        <f aca="false">IF(L587&lt;&gt;"",L587+N587,"")</f>
        <v>10.90125</v>
      </c>
      <c r="P587" s="117" t="n">
        <f aca="false">IF(O587&lt;&gt;"",O587*0.1,"")</f>
        <v>1.090125</v>
      </c>
      <c r="Q587" s="116" t="n">
        <f aca="false">IF(O587&lt;&gt;"",O587+P587,"")</f>
        <v>11.991375</v>
      </c>
      <c r="R587" s="84"/>
    </row>
    <row r="588" customFormat="false" ht="15" hidden="false" customHeight="true" outlineLevel="0" collapsed="false">
      <c r="A588" s="103" t="n">
        <v>55966</v>
      </c>
      <c r="B588" s="85" t="n">
        <v>46210</v>
      </c>
      <c r="C588" s="86" t="s">
        <v>413</v>
      </c>
      <c r="D588" s="87" t="n">
        <v>50218</v>
      </c>
      <c r="E588" s="104" t="str">
        <f aca="false">IF(D588&lt;&gt;"",IFERROR(VLOOKUP(D588,PROVEEDORES!$A:$B,2,0),"!COD NO ENCONTRADO"),"")</f>
        <v>ACERGA </v>
      </c>
      <c r="F588" s="88" t="str">
        <f aca="false">IF(D588&lt;&gt;"",IFERROR(VLOOKUP(D588,PROVEEDORES!$A:$C,3,0),""),"")</f>
        <v>S</v>
      </c>
      <c r="G588" s="87" t="s">
        <v>93</v>
      </c>
      <c r="H588" s="46" t="str">
        <f aca="false">IF(G588&lt;&gt;"",IFERROR(VLOOKUP(G588,PRODUCTOS!$A:$B,2,0),"!COD NO ENCONTRADO"),"")</f>
        <v>BOQUERON/ BOCARTE/ ANCHOA (ANE)</v>
      </c>
      <c r="I588" s="89" t="n">
        <v>40</v>
      </c>
      <c r="J588" s="105" t="n">
        <v>343</v>
      </c>
      <c r="K588" s="113" t="n">
        <v>2.91</v>
      </c>
      <c r="L588" s="107" t="n">
        <f aca="false">IF(AND(J588&lt;&gt;"",K588&lt;&gt;""),J588*K588,"")</f>
        <v>998.13</v>
      </c>
      <c r="M588" s="108" t="n">
        <f aca="false">IF(L588&lt;&gt;"",L588*1.1,"")</f>
        <v>1097.943</v>
      </c>
      <c r="N588" s="114" t="n">
        <f aca="false">IF(F588="S",L588*0.02,0)</f>
        <v>19.9626</v>
      </c>
      <c r="O588" s="115" t="n">
        <f aca="false">IF(L588&lt;&gt;"",L588+N588,"")</f>
        <v>1018.0926</v>
      </c>
      <c r="P588" s="114" t="n">
        <f aca="false">IF(O588&lt;&gt;"",O588*0.1,"")</f>
        <v>101.80926</v>
      </c>
      <c r="Q588" s="116" t="n">
        <f aca="false">IF(O588&lt;&gt;"",O588+P588,"")</f>
        <v>1119.90186</v>
      </c>
      <c r="R588" s="84"/>
    </row>
    <row r="589" customFormat="false" ht="15" hidden="false" customHeight="true" outlineLevel="0" collapsed="false">
      <c r="A589" s="103" t="n">
        <v>55966</v>
      </c>
      <c r="B589" s="73" t="n">
        <v>46210</v>
      </c>
      <c r="C589" s="74" t="s">
        <v>413</v>
      </c>
      <c r="D589" s="75" t="n">
        <v>50218</v>
      </c>
      <c r="E589" s="104" t="str">
        <f aca="false">IF(D589&lt;&gt;"",IFERROR(VLOOKUP(D589,PROVEEDORES!$A:$B,2,0),"!COD NO ENCONTRADO"),"")</f>
        <v>ACERGA </v>
      </c>
      <c r="F589" s="76" t="str">
        <f aca="false">IF(D589&lt;&gt;"",IFERROR(VLOOKUP(D589,PROVEEDORES!$A:$C,3,0),""),"")</f>
        <v>S</v>
      </c>
      <c r="G589" s="75" t="s">
        <v>93</v>
      </c>
      <c r="H589" s="52" t="str">
        <f aca="false">IF(G589&lt;&gt;"",IFERROR(VLOOKUP(G589,PRODUCTOS!$A:$B,2,0),"!COD NO ENCONTRADO"),"")</f>
        <v>BOQUERON/ BOCARTE/ ANCHOA (ANE)</v>
      </c>
      <c r="I589" s="77" t="n">
        <v>40</v>
      </c>
      <c r="J589" s="105" t="n">
        <v>359</v>
      </c>
      <c r="K589" s="113" t="n">
        <v>2.91</v>
      </c>
      <c r="L589" s="107" t="n">
        <f aca="false">IF(AND(J589&lt;&gt;"",K589&lt;&gt;""),J589*K589,"")</f>
        <v>1044.69</v>
      </c>
      <c r="M589" s="108" t="n">
        <f aca="false">IF(L589&lt;&gt;"",L589*1.1,"")</f>
        <v>1149.159</v>
      </c>
      <c r="N589" s="117" t="n">
        <f aca="false">IF(F589="S",L589*0.02,0)</f>
        <v>20.8938</v>
      </c>
      <c r="O589" s="115" t="n">
        <f aca="false">IF(L589&lt;&gt;"",L589+N589,"")</f>
        <v>1065.5838</v>
      </c>
      <c r="P589" s="117" t="n">
        <f aca="false">IF(O589&lt;&gt;"",O589*0.1,"")</f>
        <v>106.55838</v>
      </c>
      <c r="Q589" s="116" t="n">
        <f aca="false">IF(O589&lt;&gt;"",O589+P589,"")</f>
        <v>1172.14218</v>
      </c>
      <c r="R589" s="84"/>
    </row>
    <row r="590" customFormat="false" ht="15" hidden="false" customHeight="true" outlineLevel="0" collapsed="false">
      <c r="A590" s="103" t="n">
        <v>55966</v>
      </c>
      <c r="B590" s="85" t="n">
        <v>46210</v>
      </c>
      <c r="C590" s="86" t="s">
        <v>413</v>
      </c>
      <c r="D590" s="87" t="n">
        <v>50218</v>
      </c>
      <c r="E590" s="104" t="str">
        <f aca="false">IF(D590&lt;&gt;"",IFERROR(VLOOKUP(D590,PROVEEDORES!$A:$B,2,0),"!COD NO ENCONTRADO"),"")</f>
        <v>ACERGA </v>
      </c>
      <c r="F590" s="88" t="str">
        <f aca="false">IF(D590&lt;&gt;"",IFERROR(VLOOKUP(D590,PROVEEDORES!$A:$C,3,0),""),"")</f>
        <v>S</v>
      </c>
      <c r="G590" s="87" t="s">
        <v>324</v>
      </c>
      <c r="H590" s="46" t="str">
        <f aca="false">IF(G590&lt;&gt;"",IFERROR(VLOOKUP(G590,PRODUCTOS!$A:$B,2,0),"!COD NO ENCONTRADO"),"")</f>
        <v>SARDINA    (PIL)</v>
      </c>
      <c r="I590" s="89" t="n">
        <v>1</v>
      </c>
      <c r="J590" s="105" t="n">
        <v>10</v>
      </c>
      <c r="K590" s="113" t="n">
        <v>2.91</v>
      </c>
      <c r="L590" s="107" t="n">
        <f aca="false">IF(AND(J590&lt;&gt;"",K590&lt;&gt;""),J590*K590,"")</f>
        <v>29.1</v>
      </c>
      <c r="M590" s="108" t="n">
        <f aca="false">IF(L590&lt;&gt;"",L590*1.1,"")</f>
        <v>32.01</v>
      </c>
      <c r="N590" s="114" t="n">
        <f aca="false">IF(F590="S",L590*0.02,0)</f>
        <v>0.582</v>
      </c>
      <c r="O590" s="115" t="n">
        <f aca="false">IF(L590&lt;&gt;"",L590+N590,"")</f>
        <v>29.682</v>
      </c>
      <c r="P590" s="114" t="n">
        <f aca="false">IF(O590&lt;&gt;"",O590*0.1,"")</f>
        <v>2.9682</v>
      </c>
      <c r="Q590" s="116" t="n">
        <f aca="false">IF(O590&lt;&gt;"",O590+P590,"")</f>
        <v>32.6502</v>
      </c>
      <c r="R590" s="84"/>
    </row>
    <row r="591" customFormat="false" ht="15" hidden="false" customHeight="true" outlineLevel="0" collapsed="false">
      <c r="A591" s="103" t="n">
        <v>55967</v>
      </c>
      <c r="B591" s="73" t="n">
        <v>46210</v>
      </c>
      <c r="C591" s="74" t="n">
        <v>7783</v>
      </c>
      <c r="D591" s="75" t="n">
        <v>50069</v>
      </c>
      <c r="E591" s="104" t="str">
        <f aca="false">IF(D591&lt;&gt;"",IFERROR(VLOOKUP(D591,PROVEEDORES!$A:$B,2,0),"!COD NO ENCONTRADO"),"")</f>
        <v>PESCADOS ILLANES S.L.</v>
      </c>
      <c r="F591" s="76" t="str">
        <f aca="false">IF(D591&lt;&gt;"",IFERROR(VLOOKUP(D591,PROVEEDORES!$A:$C,3,0),""),"")</f>
        <v>S</v>
      </c>
      <c r="G591" s="75" t="s">
        <v>151</v>
      </c>
      <c r="H591" s="52" t="str">
        <f aca="false">IF(G591&lt;&gt;"",IFERROR(VLOOKUP(G591,PRODUCTOS!$A:$B,2,0),"!COD NO ENCONTRADO"),"")</f>
        <v>ESCACHO/ ARETE/ RUBIO (GUR)</v>
      </c>
      <c r="I591" s="77" t="n">
        <v>2</v>
      </c>
      <c r="J591" s="105" t="n">
        <v>21</v>
      </c>
      <c r="K591" s="113" t="n">
        <v>1</v>
      </c>
      <c r="L591" s="107" t="n">
        <f aca="false">IF(AND(J591&lt;&gt;"",K591&lt;&gt;""),J591*K591,"")</f>
        <v>21</v>
      </c>
      <c r="M591" s="108" t="n">
        <f aca="false">IF(L591&lt;&gt;"",L591*1.1,"")</f>
        <v>23.1</v>
      </c>
      <c r="N591" s="117" t="n">
        <f aca="false">IF(F591="S",L591*0.02,0)</f>
        <v>0.42</v>
      </c>
      <c r="O591" s="115" t="n">
        <f aca="false">IF(L591&lt;&gt;"",L591+N591,"")</f>
        <v>21.42</v>
      </c>
      <c r="P591" s="117" t="n">
        <f aca="false">IF(O591&lt;&gt;"",O591*0.1,"")</f>
        <v>2.142</v>
      </c>
      <c r="Q591" s="116" t="n">
        <f aca="false">IF(O591&lt;&gt;"",O591+P591,"")</f>
        <v>23.562</v>
      </c>
      <c r="R591" s="84"/>
    </row>
    <row r="592" customFormat="false" ht="15" hidden="false" customHeight="true" outlineLevel="0" collapsed="false">
      <c r="A592" s="103" t="n">
        <v>55968</v>
      </c>
      <c r="B592" s="85" t="n">
        <v>46210</v>
      </c>
      <c r="C592" s="86" t="n">
        <v>18558</v>
      </c>
      <c r="D592" s="87" t="n">
        <v>50163</v>
      </c>
      <c r="E592" s="104" t="str">
        <f aca="false">IF(D592&lt;&gt;"",IFERROR(VLOOKUP(D592,PROVEEDORES!$A:$B,2,0),"!COD NO ENCONTRADO"),"")</f>
        <v>SUBASTAS RIVERA S.L.</v>
      </c>
      <c r="F592" s="88" t="str">
        <f aca="false">IF(D592&lt;&gt;"",IFERROR(VLOOKUP(D592,PROVEEDORES!$A:$C,3,0),""),"")</f>
        <v>S</v>
      </c>
      <c r="G592" s="87" t="s">
        <v>103</v>
      </c>
      <c r="H592" s="46" t="str">
        <f aca="false">IF(G592&lt;&gt;"",IFERROR(VLOOKUP(G592,PRODUCTOS!$A:$B,2,0),"!COD NO ENCONTRADO"),"")</f>
        <v>CABRAS/ GALLINETA (BRF)</v>
      </c>
      <c r="I592" s="89" t="n">
        <v>1</v>
      </c>
      <c r="J592" s="105" t="n">
        <v>8.7</v>
      </c>
      <c r="K592" s="113" t="n">
        <v>11.8</v>
      </c>
      <c r="L592" s="107" t="n">
        <f aca="false">IF(AND(J592&lt;&gt;"",K592&lt;&gt;""),J592*K592,"")</f>
        <v>102.66</v>
      </c>
      <c r="M592" s="108" t="n">
        <f aca="false">IF(L592&lt;&gt;"",L592*1.1,"")</f>
        <v>112.926</v>
      </c>
      <c r="N592" s="114" t="n">
        <f aca="false">IF(F592="S",L592*0.02,0)</f>
        <v>2.0532</v>
      </c>
      <c r="O592" s="115" t="n">
        <f aca="false">IF(L592&lt;&gt;"",L592+N592,"")</f>
        <v>104.7132</v>
      </c>
      <c r="P592" s="114" t="n">
        <f aca="false">IF(O592&lt;&gt;"",O592*0.1,"")</f>
        <v>10.47132</v>
      </c>
      <c r="Q592" s="116" t="n">
        <f aca="false">IF(O592&lt;&gt;"",O592+P592,"")</f>
        <v>115.18452</v>
      </c>
      <c r="R592" s="84"/>
    </row>
    <row r="593" customFormat="false" ht="15" hidden="false" customHeight="true" outlineLevel="0" collapsed="false">
      <c r="A593" s="103" t="n">
        <v>55968</v>
      </c>
      <c r="B593" s="73" t="n">
        <v>46210</v>
      </c>
      <c r="C593" s="74" t="n">
        <v>18558</v>
      </c>
      <c r="D593" s="75" t="n">
        <v>50163</v>
      </c>
      <c r="E593" s="104" t="str">
        <f aca="false">IF(D593&lt;&gt;"",IFERROR(VLOOKUP(D593,PROVEEDORES!$A:$B,2,0),"!COD NO ENCONTRADO"),"")</f>
        <v>SUBASTAS RIVERA S.L.</v>
      </c>
      <c r="F593" s="76" t="str">
        <f aca="false">IF(D593&lt;&gt;"",IFERROR(VLOOKUP(D593,PROVEEDORES!$A:$C,3,0),""),"")</f>
        <v>S</v>
      </c>
      <c r="G593" s="75" t="s">
        <v>276</v>
      </c>
      <c r="H593" s="52" t="str">
        <f aca="false">IF(G593&lt;&gt;"",IFERROR(VLOOKUP(G593,PRODUCTOS!$A:$B,2,0),"!COD NO ENCONTRADO"),"")</f>
        <v>MERLUZA EUROPEA/ FINA DIA </v>
      </c>
      <c r="I593" s="77" t="n">
        <v>2</v>
      </c>
      <c r="J593" s="105" t="n">
        <v>20</v>
      </c>
      <c r="K593" s="113" t="n">
        <v>4.7</v>
      </c>
      <c r="L593" s="107" t="n">
        <f aca="false">IF(AND(J593&lt;&gt;"",K593&lt;&gt;""),J593*K593,"")</f>
        <v>94</v>
      </c>
      <c r="M593" s="108" t="n">
        <f aca="false">IF(L593&lt;&gt;"",L593*1.1,"")</f>
        <v>103.4</v>
      </c>
      <c r="N593" s="117" t="n">
        <f aca="false">IF(F593="S",L593*0.02,0)</f>
        <v>1.88</v>
      </c>
      <c r="O593" s="115" t="n">
        <f aca="false">IF(L593&lt;&gt;"",L593+N593,"")</f>
        <v>95.88</v>
      </c>
      <c r="P593" s="117" t="n">
        <f aca="false">IF(O593&lt;&gt;"",O593*0.1,"")</f>
        <v>9.588</v>
      </c>
      <c r="Q593" s="116" t="n">
        <f aca="false">IF(O593&lt;&gt;"",O593+P593,"")</f>
        <v>105.468</v>
      </c>
      <c r="R593" s="84"/>
    </row>
    <row r="594" customFormat="false" ht="15" hidden="false" customHeight="true" outlineLevel="0" collapsed="false">
      <c r="A594" s="103" t="n">
        <v>55969</v>
      </c>
      <c r="B594" s="85" t="n">
        <v>46210</v>
      </c>
      <c r="C594" s="86" t="n">
        <v>6072601</v>
      </c>
      <c r="D594" s="87" t="n">
        <v>50532</v>
      </c>
      <c r="E594" s="104" t="str">
        <f aca="false">IF(D594&lt;&gt;"",IFERROR(VLOOKUP(D594,PROVEEDORES!$A:$B,2,0),"!COD NO ENCONTRADO"),"")</f>
        <v>AITORPESCA S.L.</v>
      </c>
      <c r="F594" s="88" t="str">
        <f aca="false">IF(D594&lt;&gt;"",IFERROR(VLOOKUP(D594,PROVEEDORES!$A:$C,3,0),""),"")</f>
        <v>N</v>
      </c>
      <c r="G594" s="87" t="s">
        <v>181</v>
      </c>
      <c r="H594" s="46" t="str">
        <f aca="false">IF(G594&lt;&gt;"",IFERROR(VLOOKUP(G594,PRODUCTOS!$A:$B,2,0),"!COD NO ENCONTRADO"),"")</f>
        <v>LIRIO EN FILETES</v>
      </c>
      <c r="I594" s="89" t="n">
        <v>14</v>
      </c>
      <c r="J594" s="105" t="n">
        <v>28</v>
      </c>
      <c r="K594" s="113" t="n">
        <v>4.4</v>
      </c>
      <c r="L594" s="107" t="n">
        <f aca="false">IF(AND(J594&lt;&gt;"",K594&lt;&gt;""),J594*K594,"")</f>
        <v>123.2</v>
      </c>
      <c r="M594" s="108" t="n">
        <f aca="false">IF(L594&lt;&gt;"",L594*1.1,"")</f>
        <v>135.52</v>
      </c>
      <c r="N594" s="114" t="n">
        <f aca="false">IF(F594="S",L594*0.02,0)</f>
        <v>0</v>
      </c>
      <c r="O594" s="115" t="n">
        <f aca="false">IF(L594&lt;&gt;"",L594+N594,"")</f>
        <v>123.2</v>
      </c>
      <c r="P594" s="114" t="n">
        <f aca="false">IF(O594&lt;&gt;"",O594*0.1,"")</f>
        <v>12.32</v>
      </c>
      <c r="Q594" s="116" t="n">
        <f aca="false">IF(O594&lt;&gt;"",O594+P594,"")</f>
        <v>135.52</v>
      </c>
      <c r="R594" s="84"/>
    </row>
    <row r="595" customFormat="false" ht="15" hidden="false" customHeight="true" outlineLevel="0" collapsed="false">
      <c r="A595" s="103" t="n">
        <v>55970</v>
      </c>
      <c r="B595" s="73" t="n">
        <v>46210</v>
      </c>
      <c r="C595" s="74" t="s">
        <v>414</v>
      </c>
      <c r="D595" s="75" t="n">
        <v>50035</v>
      </c>
      <c r="E595" s="104" t="str">
        <f aca="false">IF(D595&lt;&gt;"",IFERROR(VLOOKUP(D595,PROVEEDORES!$A:$B,2,0),"!COD NO ENCONTRADO"),"")</f>
        <v>SCANFISK SEAFFOD S,L</v>
      </c>
      <c r="F595" s="76" t="str">
        <f aca="false">IF(D595&lt;&gt;"",IFERROR(VLOOKUP(D595,PROVEEDORES!$A:$C,3,0),""),"")</f>
        <v>N</v>
      </c>
      <c r="G595" s="75" t="s">
        <v>246</v>
      </c>
      <c r="H595" s="52" t="str">
        <f aca="false">IF(G595&lt;&gt;"",IFERROR(VLOOKUP(G595,PRODUCTOS!$A:$B,2,0),"!COD NO ENCONTRADO"),"")</f>
        <v>MERLUZA EUROPEA VOLANTA ALTURA</v>
      </c>
      <c r="I595" s="77" t="n">
        <v>2</v>
      </c>
      <c r="J595" s="105" t="n">
        <v>20.2</v>
      </c>
      <c r="K595" s="113" t="n">
        <v>8.6</v>
      </c>
      <c r="L595" s="107" t="n">
        <f aca="false">IF(AND(J595&lt;&gt;"",K595&lt;&gt;""),J595*K595,"")</f>
        <v>173.72</v>
      </c>
      <c r="M595" s="108" t="n">
        <f aca="false">IF(L595&lt;&gt;"",L595*1.1,"")</f>
        <v>191.092</v>
      </c>
      <c r="N595" s="117" t="n">
        <f aca="false">IF(F595="S",L595*0.02,0)</f>
        <v>0</v>
      </c>
      <c r="O595" s="115" t="n">
        <f aca="false">IF(L595&lt;&gt;"",L595+N595,"")</f>
        <v>173.72</v>
      </c>
      <c r="P595" s="117" t="n">
        <f aca="false">IF(O595&lt;&gt;"",O595*0.1,"")</f>
        <v>17.372</v>
      </c>
      <c r="Q595" s="116" t="n">
        <f aca="false">IF(O595&lt;&gt;"",O595+P595,"")</f>
        <v>191.092</v>
      </c>
      <c r="R595" s="84"/>
    </row>
    <row r="596" customFormat="false" ht="15" hidden="false" customHeight="true" outlineLevel="0" collapsed="false">
      <c r="A596" s="103" t="n">
        <v>55970</v>
      </c>
      <c r="B596" s="85" t="n">
        <v>46210</v>
      </c>
      <c r="C596" s="86" t="s">
        <v>414</v>
      </c>
      <c r="D596" s="87" t="n">
        <v>50035</v>
      </c>
      <c r="E596" s="104" t="str">
        <f aca="false">IF(D596&lt;&gt;"",IFERROR(VLOOKUP(D596,PROVEEDORES!$A:$B,2,0),"!COD NO ENCONTRADO"),"")</f>
        <v>SCANFISK SEAFFOD S,L</v>
      </c>
      <c r="F596" s="88" t="str">
        <f aca="false">IF(D596&lt;&gt;"",IFERROR(VLOOKUP(D596,PROVEEDORES!$A:$C,3,0),""),"")</f>
        <v>N</v>
      </c>
      <c r="G596" s="87" t="s">
        <v>91</v>
      </c>
      <c r="H596" s="46" t="str">
        <f aca="false">IF(G596&lt;&gt;"",IFERROR(VLOOKUP(G596,PRODUCTOS!$A:$B,2,0),"!COD NO ENCONTRADO"),"")</f>
        <v>BONITO DEL NORTE 5/7</v>
      </c>
      <c r="I596" s="89" t="n">
        <v>2</v>
      </c>
      <c r="J596" s="105" t="n">
        <v>47</v>
      </c>
      <c r="K596" s="113" t="n">
        <v>5.2</v>
      </c>
      <c r="L596" s="107" t="n">
        <f aca="false">IF(AND(J596&lt;&gt;"",K596&lt;&gt;""),J596*K596,"")</f>
        <v>244.4</v>
      </c>
      <c r="M596" s="108" t="n">
        <f aca="false">IF(L596&lt;&gt;"",L596*1.1,"")</f>
        <v>268.84</v>
      </c>
      <c r="N596" s="114" t="n">
        <f aca="false">IF(F596="S",L596*0.02,0)</f>
        <v>0</v>
      </c>
      <c r="O596" s="115" t="n">
        <f aca="false">IF(L596&lt;&gt;"",L596+N596,"")</f>
        <v>244.4</v>
      </c>
      <c r="P596" s="114" t="n">
        <f aca="false">IF(O596&lt;&gt;"",O596*0.1,"")</f>
        <v>24.44</v>
      </c>
      <c r="Q596" s="116" t="n">
        <f aca="false">IF(O596&lt;&gt;"",O596+P596,"")</f>
        <v>268.84</v>
      </c>
      <c r="R596" s="84"/>
    </row>
    <row r="597" customFormat="false" ht="15" hidden="false" customHeight="true" outlineLevel="0" collapsed="false">
      <c r="A597" s="103" t="n">
        <v>55971</v>
      </c>
      <c r="B597" s="73" t="n">
        <v>46210</v>
      </c>
      <c r="C597" s="84" t="n">
        <v>70726</v>
      </c>
      <c r="D597" s="75" t="n">
        <v>50193</v>
      </c>
      <c r="E597" s="104" t="str">
        <f aca="false">IF(D597&lt;&gt;"",IFERROR(VLOOKUP(D597,PROVEEDORES!$A:$B,2,0),"!COD NO ENCONTRADO"),"")</f>
        <v>FRANCISCO JAVIER ARROJO SOUTO</v>
      </c>
      <c r="F597" s="76" t="str">
        <f aca="false">IF(D597&lt;&gt;"",IFERROR(VLOOKUP(D597,PROVEEDORES!$A:$C,3,0),""),"")</f>
        <v>N</v>
      </c>
      <c r="G597" s="75" t="s">
        <v>93</v>
      </c>
      <c r="H597" s="52" t="str">
        <f aca="false">IF(G597&lt;&gt;"",IFERROR(VLOOKUP(G597,PRODUCTOS!$A:$B,2,0),"!COD NO ENCONTRADO"),"")</f>
        <v>BOQUERON/ BOCARTE/ ANCHOA (ANE)</v>
      </c>
      <c r="I597" s="77" t="n">
        <v>20</v>
      </c>
      <c r="J597" s="105" t="n">
        <v>180</v>
      </c>
      <c r="K597" s="119" t="n">
        <v>2.32</v>
      </c>
      <c r="L597" s="107" t="n">
        <f aca="false">IF(AND(J597&lt;&gt;"",K597&lt;&gt;""),J597*K597,"")</f>
        <v>417.6</v>
      </c>
      <c r="M597" s="108" t="n">
        <f aca="false">IF(L597&lt;&gt;"",L597*1.1,"")</f>
        <v>459.36</v>
      </c>
      <c r="N597" s="117" t="n">
        <f aca="false">IF(F597="S",L597*0.02,0)</f>
        <v>0</v>
      </c>
      <c r="O597" s="115" t="n">
        <f aca="false">IF(L597&lt;&gt;"",L597+N597,"")</f>
        <v>417.6</v>
      </c>
      <c r="P597" s="117" t="n">
        <f aca="false">IF(O597&lt;&gt;"",O597*0.1,"")</f>
        <v>41.76</v>
      </c>
      <c r="Q597" s="116" t="n">
        <f aca="false">IF(O597&lt;&gt;"",O597+P597,"")</f>
        <v>459.36</v>
      </c>
      <c r="R597" s="84"/>
    </row>
    <row r="598" customFormat="false" ht="15" hidden="false" customHeight="true" outlineLevel="0" collapsed="false">
      <c r="A598" s="103" t="n">
        <v>55972</v>
      </c>
      <c r="B598" s="73" t="n">
        <v>46211</v>
      </c>
      <c r="C598" s="84" t="s">
        <v>415</v>
      </c>
      <c r="D598" s="75" t="n">
        <v>50232</v>
      </c>
      <c r="E598" s="52" t="str">
        <f aca="false">IF(D598&lt;&gt;"",IFERROR(VLOOKUP(D598,PROVEEDORES!$A:$B,2,0),"!COD NO ENCONTRADO"),"")</f>
        <v>XESTION NOVA LONXA RIVEIRA S.L.</v>
      </c>
      <c r="F598" s="76" t="str">
        <f aca="false">IF(D598&lt;&gt;"",IFERROR(VLOOKUP(D598,PROVEEDORES!$A:$C,3,0),""),"")</f>
        <v>S</v>
      </c>
      <c r="G598" s="75" t="s">
        <v>332</v>
      </c>
      <c r="H598" s="104" t="str">
        <f aca="false">IF(G598&lt;&gt;"",IFERROR(VLOOKUP(G598,PRODUCTOS!$A:$B,2,0),"!COD NO ENCONTRADO"),"")</f>
        <v>VARIADO PEQUEÑO</v>
      </c>
      <c r="I598" s="77" t="n">
        <v>1</v>
      </c>
      <c r="J598" s="78" t="n">
        <v>200</v>
      </c>
      <c r="K598" s="109" t="n">
        <v>0.5</v>
      </c>
      <c r="L598" s="107" t="n">
        <f aca="false">IF(AND(J598&lt;&gt;"",K598&lt;&gt;""),J598*K598,"")</f>
        <v>100</v>
      </c>
      <c r="M598" s="108" t="n">
        <f aca="false">IF(L598&lt;&gt;"",L598*1.1,"")</f>
        <v>110</v>
      </c>
      <c r="N598" s="117" t="n">
        <f aca="false">IF(F598="S",L598*0.02,0)</f>
        <v>2</v>
      </c>
      <c r="O598" s="115" t="n">
        <f aca="false">IF(L598&lt;&gt;"",L598+N598,"")</f>
        <v>102</v>
      </c>
      <c r="P598" s="117" t="n">
        <f aca="false">IF(O598&lt;&gt;"",O598*0.1,"")</f>
        <v>10.2</v>
      </c>
      <c r="Q598" s="116" t="n">
        <f aca="false">IF(O598&lt;&gt;"",O598+P598,"")</f>
        <v>112.2</v>
      </c>
      <c r="R598" s="84"/>
    </row>
    <row r="599" customFormat="false" ht="15" hidden="false" customHeight="true" outlineLevel="0" collapsed="false">
      <c r="A599" s="103" t="n">
        <v>55972</v>
      </c>
      <c r="B599" s="73" t="n">
        <v>46211</v>
      </c>
      <c r="C599" s="84" t="s">
        <v>415</v>
      </c>
      <c r="D599" s="87" t="n">
        <v>50232</v>
      </c>
      <c r="E599" s="46" t="str">
        <f aca="false">IF(D599&lt;&gt;"",IFERROR(VLOOKUP(D599,PROVEEDORES!$A:$B,2,0),"!COD NO ENCONTRADO"),"")</f>
        <v>XESTION NOVA LONXA RIVEIRA S.L.</v>
      </c>
      <c r="F599" s="88" t="str">
        <f aca="false">IF(D599&lt;&gt;"",IFERROR(VLOOKUP(D599,PROVEEDORES!$A:$C,3,0),""),"")</f>
        <v>S</v>
      </c>
      <c r="G599" s="87" t="s">
        <v>332</v>
      </c>
      <c r="H599" s="104" t="str">
        <f aca="false">IF(G599&lt;&gt;"",IFERROR(VLOOKUP(G599,PRODUCTOS!$A:$B,2,0),"!COD NO ENCONTRADO"),"")</f>
        <v>VARIADO PEQUEÑO</v>
      </c>
      <c r="I599" s="89" t="n">
        <v>1</v>
      </c>
      <c r="J599" s="90" t="n">
        <v>10</v>
      </c>
      <c r="K599" s="106" t="n">
        <v>1.5</v>
      </c>
      <c r="L599" s="107" t="n">
        <f aca="false">IF(AND(J599&lt;&gt;"",K599&lt;&gt;""),J599*K599,"")</f>
        <v>15</v>
      </c>
      <c r="M599" s="108" t="n">
        <f aca="false">IF(L599&lt;&gt;"",L599*1.1,"")</f>
        <v>16.5</v>
      </c>
      <c r="N599" s="117" t="n">
        <f aca="false">IF(F599="S",L599*0.02,0)</f>
        <v>0.3</v>
      </c>
      <c r="O599" s="115" t="n">
        <f aca="false">IF(L599&lt;&gt;"",L599+N599,"")</f>
        <v>15.3</v>
      </c>
      <c r="P599" s="114" t="n">
        <f aca="false">IF(O599&lt;&gt;"",O599*0.1,"")</f>
        <v>1.53</v>
      </c>
      <c r="Q599" s="116" t="n">
        <f aca="false">IF(O599&lt;&gt;"",O599+P599,"")</f>
        <v>16.83</v>
      </c>
      <c r="R599" s="84"/>
    </row>
    <row r="600" customFormat="false" ht="15" hidden="false" customHeight="true" outlineLevel="0" collapsed="false">
      <c r="A600" s="103" t="n">
        <v>55972</v>
      </c>
      <c r="B600" s="73" t="n">
        <v>46211</v>
      </c>
      <c r="C600" s="84" t="s">
        <v>415</v>
      </c>
      <c r="D600" s="75" t="n">
        <v>50232</v>
      </c>
      <c r="E600" s="52" t="str">
        <f aca="false">IF(D600&lt;&gt;"",IFERROR(VLOOKUP(D600,PROVEEDORES!$A:$B,2,0),"!COD NO ENCONTRADO"),"")</f>
        <v>XESTION NOVA LONXA RIVEIRA S.L.</v>
      </c>
      <c r="F600" s="76" t="str">
        <f aca="false">IF(D600&lt;&gt;"",IFERROR(VLOOKUP(D600,PROVEEDORES!$A:$C,3,0),""),"")</f>
        <v>S</v>
      </c>
      <c r="G600" s="75" t="s">
        <v>270</v>
      </c>
      <c r="H600" s="104" t="str">
        <f aca="false">IF(G600&lt;&gt;"",IFERROR(VLOOKUP(G600,PRODUCTOS!$A:$B,2,0),"!COD NO ENCONTRADO"),"")</f>
        <v>PEON/ PION (ATP)</v>
      </c>
      <c r="I600" s="77" t="n">
        <v>1</v>
      </c>
      <c r="J600" s="78" t="n">
        <v>0.5</v>
      </c>
      <c r="K600" s="109" t="n">
        <v>1</v>
      </c>
      <c r="L600" s="107" t="n">
        <f aca="false">IF(AND(J600&lt;&gt;"",K600&lt;&gt;""),J600*K600,"")</f>
        <v>0.5</v>
      </c>
      <c r="M600" s="108" t="n">
        <f aca="false">IF(L600&lt;&gt;"",L600*1.1,"")</f>
        <v>0.55</v>
      </c>
      <c r="N600" s="117" t="n">
        <f aca="false">IF(F600="S",L600*0.02,0)</f>
        <v>0.01</v>
      </c>
      <c r="O600" s="115" t="n">
        <f aca="false">IF(L600&lt;&gt;"",L600+N600,"")</f>
        <v>0.51</v>
      </c>
      <c r="P600" s="117" t="n">
        <f aca="false">IF(O600&lt;&gt;"",O600*0.1,"")</f>
        <v>0.051</v>
      </c>
      <c r="Q600" s="116" t="n">
        <f aca="false">IF(O600&lt;&gt;"",O600+P600,"")</f>
        <v>0.561</v>
      </c>
      <c r="R600" s="84"/>
    </row>
    <row r="601" customFormat="false" ht="15" hidden="false" customHeight="true" outlineLevel="0" collapsed="false">
      <c r="A601" s="103" t="n">
        <v>55972</v>
      </c>
      <c r="B601" s="73" t="n">
        <v>46211</v>
      </c>
      <c r="C601" s="84" t="s">
        <v>415</v>
      </c>
      <c r="D601" s="87" t="n">
        <v>50232</v>
      </c>
      <c r="E601" s="46" t="str">
        <f aca="false">IF(D601&lt;&gt;"",IFERROR(VLOOKUP(D601,PROVEEDORES!$A:$B,2,0),"!COD NO ENCONTRADO"),"")</f>
        <v>XESTION NOVA LONXA RIVEIRA S.L.</v>
      </c>
      <c r="F601" s="88" t="str">
        <f aca="false">IF(D601&lt;&gt;"",IFERROR(VLOOKUP(D601,PROVEEDORES!$A:$C,3,0),""),"")</f>
        <v>S</v>
      </c>
      <c r="G601" s="87" t="s">
        <v>270</v>
      </c>
      <c r="H601" s="104" t="str">
        <f aca="false">IF(G601&lt;&gt;"",IFERROR(VLOOKUP(G601,PRODUCTOS!$A:$B,2,0),"!COD NO ENCONTRADO"),"")</f>
        <v>PEON/ PION (ATP)</v>
      </c>
      <c r="I601" s="89" t="n">
        <v>11</v>
      </c>
      <c r="J601" s="90" t="n">
        <v>52.75</v>
      </c>
      <c r="K601" s="106" t="n">
        <v>4</v>
      </c>
      <c r="L601" s="107" t="n">
        <f aca="false">IF(AND(J601&lt;&gt;"",K601&lt;&gt;""),J601*K601,"")</f>
        <v>211</v>
      </c>
      <c r="M601" s="108" t="n">
        <f aca="false">IF(L601&lt;&gt;"",L601*1.1,"")</f>
        <v>232.1</v>
      </c>
      <c r="N601" s="117" t="n">
        <f aca="false">IF(F601="S",L601*0.02,0)</f>
        <v>4.22</v>
      </c>
      <c r="O601" s="115" t="n">
        <f aca="false">IF(L601&lt;&gt;"",L601+N601,"")</f>
        <v>215.22</v>
      </c>
      <c r="P601" s="114" t="n">
        <f aca="false">IF(O601&lt;&gt;"",O601*0.1,"")</f>
        <v>21.522</v>
      </c>
      <c r="Q601" s="116" t="n">
        <f aca="false">IF(O601&lt;&gt;"",O601+P601,"")</f>
        <v>236.742</v>
      </c>
      <c r="R601" s="84"/>
    </row>
    <row r="602" customFormat="false" ht="15" hidden="false" customHeight="true" outlineLevel="0" collapsed="false">
      <c r="A602" s="103" t="n">
        <v>55972</v>
      </c>
      <c r="B602" s="73" t="n">
        <v>46211</v>
      </c>
      <c r="C602" s="84" t="s">
        <v>415</v>
      </c>
      <c r="D602" s="75" t="n">
        <v>50232</v>
      </c>
      <c r="E602" s="52" t="str">
        <f aca="false">IF(D602&lt;&gt;"",IFERROR(VLOOKUP(D602,PROVEEDORES!$A:$B,2,0),"!COD NO ENCONTRADO"),"")</f>
        <v>XESTION NOVA LONXA RIVEIRA S.L.</v>
      </c>
      <c r="F602" s="76" t="str">
        <f aca="false">IF(D602&lt;&gt;"",IFERROR(VLOOKUP(D602,PROVEEDORES!$A:$C,3,0),""),"")</f>
        <v>S</v>
      </c>
      <c r="G602" s="75" t="s">
        <v>276</v>
      </c>
      <c r="H602" s="104" t="str">
        <f aca="false">IF(G602&lt;&gt;"",IFERROR(VLOOKUP(G602,PRODUCTOS!$A:$B,2,0),"!COD NO ENCONTRADO"),"")</f>
        <v>MERLUZA EUROPEA/ FINA DIA </v>
      </c>
      <c r="I602" s="77" t="n">
        <v>5</v>
      </c>
      <c r="J602" s="78" t="n">
        <v>51.2</v>
      </c>
      <c r="K602" s="109" t="n">
        <v>3.5</v>
      </c>
      <c r="L602" s="107" t="n">
        <f aca="false">IF(AND(J602&lt;&gt;"",K602&lt;&gt;""),J602*K602,"")</f>
        <v>179.2</v>
      </c>
      <c r="M602" s="108" t="n">
        <f aca="false">IF(L602&lt;&gt;"",L602*1.1,"")</f>
        <v>197.12</v>
      </c>
      <c r="N602" s="117" t="n">
        <f aca="false">IF(F602="S",L602*0.02,0)</f>
        <v>3.584</v>
      </c>
      <c r="O602" s="115" t="n">
        <f aca="false">IF(L602&lt;&gt;"",L602+N602,"")</f>
        <v>182.784</v>
      </c>
      <c r="P602" s="117" t="n">
        <f aca="false">IF(O602&lt;&gt;"",O602*0.1,"")</f>
        <v>18.2784</v>
      </c>
      <c r="Q602" s="116" t="n">
        <f aca="false">IF(O602&lt;&gt;"",O602+P602,"")</f>
        <v>201.0624</v>
      </c>
      <c r="R602" s="84"/>
    </row>
    <row r="603" customFormat="false" ht="15" hidden="false" customHeight="true" outlineLevel="0" collapsed="false">
      <c r="A603" s="103" t="n">
        <v>55972</v>
      </c>
      <c r="B603" s="85" t="n">
        <v>46211</v>
      </c>
      <c r="C603" s="84" t="s">
        <v>415</v>
      </c>
      <c r="D603" s="87" t="n">
        <v>50232</v>
      </c>
      <c r="E603" s="46" t="str">
        <f aca="false">IF(D603&lt;&gt;"",IFERROR(VLOOKUP(D603,PROVEEDORES!$A:$B,2,0),"!COD NO ENCONTRADO"),"")</f>
        <v>XESTION NOVA LONXA RIVEIRA S.L.</v>
      </c>
      <c r="F603" s="88" t="str">
        <f aca="false">IF(D603&lt;&gt;"",IFERROR(VLOOKUP(D603,PROVEEDORES!$A:$C,3,0),""),"")</f>
        <v>S</v>
      </c>
      <c r="G603" s="87" t="s">
        <v>326</v>
      </c>
      <c r="H603" s="104" t="str">
        <f aca="false">IF(G603&lt;&gt;"",IFERROR(VLOOKUP(G603,PRODUCTOS!$A:$B,2,0),"!COD NO ENCONTRADO"),"")</f>
        <v>SARGO RIA (SWA)</v>
      </c>
      <c r="I603" s="89" t="n">
        <v>4</v>
      </c>
      <c r="J603" s="90" t="n">
        <v>22.9</v>
      </c>
      <c r="K603" s="106" t="n">
        <v>11.8</v>
      </c>
      <c r="L603" s="107" t="n">
        <f aca="false">IF(AND(J603&lt;&gt;"",K603&lt;&gt;""),J603*K603,"")</f>
        <v>270.22</v>
      </c>
      <c r="M603" s="108" t="n">
        <f aca="false">IF(L603&lt;&gt;"",L603*1.1,"")</f>
        <v>297.242</v>
      </c>
      <c r="N603" s="117" t="n">
        <f aca="false">IF(F603="S",L603*0.02,0)</f>
        <v>5.4044</v>
      </c>
      <c r="O603" s="115" t="n">
        <f aca="false">IF(L603&lt;&gt;"",L603+N603,"")</f>
        <v>275.6244</v>
      </c>
      <c r="P603" s="114" t="n">
        <f aca="false">IF(O603&lt;&gt;"",O603*0.1,"")</f>
        <v>27.56244</v>
      </c>
      <c r="Q603" s="116" t="n">
        <f aca="false">IF(O603&lt;&gt;"",O603+P603,"")</f>
        <v>303.18684</v>
      </c>
      <c r="R603" s="84"/>
    </row>
    <row r="604" customFormat="false" ht="15" hidden="false" customHeight="true" outlineLevel="0" collapsed="false">
      <c r="A604" s="103" t="n">
        <v>55972</v>
      </c>
      <c r="B604" s="73" t="n">
        <v>46211</v>
      </c>
      <c r="C604" s="84" t="s">
        <v>415</v>
      </c>
      <c r="D604" s="75" t="n">
        <v>50232</v>
      </c>
      <c r="E604" s="52" t="str">
        <f aca="false">IF(D604&lt;&gt;"",IFERROR(VLOOKUP(D604,PROVEEDORES!$A:$B,2,0),"!COD NO ENCONTRADO"),"")</f>
        <v>XESTION NOVA LONXA RIVEIRA S.L.</v>
      </c>
      <c r="F604" s="76" t="str">
        <f aca="false">IF(D604&lt;&gt;"",IFERROR(VLOOKUP(D604,PROVEEDORES!$A:$C,3,0),""),"")</f>
        <v>S</v>
      </c>
      <c r="G604" s="75" t="s">
        <v>179</v>
      </c>
      <c r="H604" s="104" t="str">
        <f aca="false">IF(G604&lt;&gt;"",IFERROR(VLOOKUP(G604,PRODUCTOS!$A:$B,2,0),"!COD NO ENCONTRADO"),"")</f>
        <v>LIRIO/ BACALADILLA/ PERLA (WHB)</v>
      </c>
      <c r="I604" s="112" t="n">
        <v>20</v>
      </c>
      <c r="J604" s="105" t="n">
        <v>303.5</v>
      </c>
      <c r="K604" s="113" t="n">
        <v>1.45</v>
      </c>
      <c r="L604" s="107" t="n">
        <f aca="false">IF(AND(J604&lt;&gt;"",K604&lt;&gt;""),J604*K604,"")</f>
        <v>440.075</v>
      </c>
      <c r="M604" s="108" t="n">
        <f aca="false">IF(L604&lt;&gt;"",L604*1.1,"")</f>
        <v>484.0825</v>
      </c>
      <c r="N604" s="117" t="n">
        <f aca="false">IF(F604="S",L604*0.02,0)</f>
        <v>8.8015</v>
      </c>
      <c r="O604" s="115" t="n">
        <f aca="false">IF(L604&lt;&gt;"",L604+N604,"")</f>
        <v>448.8765</v>
      </c>
      <c r="P604" s="117" t="n">
        <f aca="false">IF(O604&lt;&gt;"",O604*0.1,"")</f>
        <v>44.88765</v>
      </c>
      <c r="Q604" s="116" t="n">
        <f aca="false">IF(O604&lt;&gt;"",O604+P604,"")</f>
        <v>493.76415</v>
      </c>
      <c r="R604" s="84"/>
    </row>
    <row r="605" customFormat="false" ht="15" hidden="false" customHeight="true" outlineLevel="0" collapsed="false">
      <c r="A605" s="103" t="n">
        <v>55972</v>
      </c>
      <c r="B605" s="85" t="n">
        <v>46211</v>
      </c>
      <c r="C605" s="84" t="s">
        <v>415</v>
      </c>
      <c r="D605" s="87" t="n">
        <v>50232</v>
      </c>
      <c r="E605" s="46" t="str">
        <f aca="false">IF(D605&lt;&gt;"",IFERROR(VLOOKUP(D605,PROVEEDORES!$A:$B,2,0),"!COD NO ENCONTRADO"),"")</f>
        <v>XESTION NOVA LONXA RIVEIRA S.L.</v>
      </c>
      <c r="F605" s="88" t="str">
        <f aca="false">IF(D605&lt;&gt;"",IFERROR(VLOOKUP(D605,PROVEEDORES!$A:$C,3,0),""),"")</f>
        <v>S</v>
      </c>
      <c r="G605" s="87" t="s">
        <v>296</v>
      </c>
      <c r="H605" s="104" t="str">
        <f aca="false">IF(G605&lt;&gt;"",IFERROR(VLOOKUP(G605,PRODUCTOS!$A:$B,2,0),"!COD NO ENCONTRADO"),"")</f>
        <v>RAPE NEGRO (ANK)</v>
      </c>
      <c r="I605" s="89" t="n">
        <v>2</v>
      </c>
      <c r="J605" s="90" t="n">
        <v>2.1</v>
      </c>
      <c r="K605" s="106" t="n">
        <v>5.5</v>
      </c>
      <c r="L605" s="107" t="n">
        <f aca="false">IF(AND(J605&lt;&gt;"",K605&lt;&gt;""),J605*K605,"")</f>
        <v>11.55</v>
      </c>
      <c r="M605" s="108" t="n">
        <f aca="false">IF(L605&lt;&gt;"",L605*1.1,"")</f>
        <v>12.705</v>
      </c>
      <c r="N605" s="114" t="n">
        <f aca="false">IF(F605="S",L605*0.02,0)</f>
        <v>0.231</v>
      </c>
      <c r="O605" s="115" t="n">
        <f aca="false">IF(L605&lt;&gt;"",L605+N605,"")</f>
        <v>11.781</v>
      </c>
      <c r="P605" s="114" t="n">
        <f aca="false">IF(O605&lt;&gt;"",O605*0.1,"")</f>
        <v>1.1781</v>
      </c>
      <c r="Q605" s="116" t="n">
        <f aca="false">IF(O605&lt;&gt;"",O605+P605,"")</f>
        <v>12.9591</v>
      </c>
      <c r="R605" s="84"/>
    </row>
    <row r="606" customFormat="false" ht="15" hidden="false" customHeight="true" outlineLevel="0" collapsed="false">
      <c r="A606" s="103" t="n">
        <v>55972</v>
      </c>
      <c r="B606" s="73" t="n">
        <v>46211</v>
      </c>
      <c r="C606" s="84" t="s">
        <v>416</v>
      </c>
      <c r="D606" s="75" t="n">
        <v>50232</v>
      </c>
      <c r="E606" s="52" t="str">
        <f aca="false">IF(D606&lt;&gt;"",IFERROR(VLOOKUP(D606,PROVEEDORES!$A:$B,2,0),"!COD NO ENCONTRADO"),"")</f>
        <v>XESTION NOVA LONXA RIVEIRA S.L.</v>
      </c>
      <c r="F606" s="76" t="str">
        <f aca="false">IF(D606&lt;&gt;"",IFERROR(VLOOKUP(D606,PROVEEDORES!$A:$C,3,0),""),"")</f>
        <v>S</v>
      </c>
      <c r="G606" s="75" t="s">
        <v>288</v>
      </c>
      <c r="H606" s="104" t="str">
        <f aca="false">IF(G606&lt;&gt;"",IFERROR(VLOOKUP(G606,PRODUCTOS!$A:$B,2,0),"!COD NO ENCONTRADO"),"")</f>
        <v>RAPE BLANCO DIA (MON)</v>
      </c>
      <c r="I606" s="77" t="n">
        <v>7</v>
      </c>
      <c r="J606" s="78" t="n">
        <v>30</v>
      </c>
      <c r="K606" s="109" t="n">
        <v>5</v>
      </c>
      <c r="L606" s="107" t="n">
        <f aca="false">IF(AND(J606&lt;&gt;"",K606&lt;&gt;""),J606*K606,"")</f>
        <v>150</v>
      </c>
      <c r="M606" s="108" t="n">
        <f aca="false">IF(L606&lt;&gt;"",L606*1.1,"")</f>
        <v>165</v>
      </c>
      <c r="N606" s="117" t="n">
        <f aca="false">IF(F606="S",L606*0.02,0)</f>
        <v>3</v>
      </c>
      <c r="O606" s="115" t="n">
        <f aca="false">IF(L606&lt;&gt;"",L606+N606,"")</f>
        <v>153</v>
      </c>
      <c r="P606" s="117" t="n">
        <f aca="false">IF(O606&lt;&gt;"",O606*0.1,"")</f>
        <v>15.3</v>
      </c>
      <c r="Q606" s="116" t="n">
        <f aca="false">IF(O606&lt;&gt;"",O606+P606,"")</f>
        <v>168.3</v>
      </c>
      <c r="R606" s="84"/>
    </row>
    <row r="607" customFormat="false" ht="15" hidden="false" customHeight="true" outlineLevel="0" collapsed="false">
      <c r="A607" s="103" t="n">
        <v>55973</v>
      </c>
      <c r="B607" s="85" t="n">
        <v>46211</v>
      </c>
      <c r="C607" s="84" t="n">
        <v>7072605</v>
      </c>
      <c r="D607" s="87" t="n">
        <v>50532</v>
      </c>
      <c r="E607" s="46" t="str">
        <f aca="false">IF(D607&lt;&gt;"",IFERROR(VLOOKUP(D607,PROVEEDORES!$A:$B,2,0),"!COD NO ENCONTRADO"),"")</f>
        <v>AITORPESCA S.L.</v>
      </c>
      <c r="F607" s="88" t="str">
        <f aca="false">IF(D607&lt;&gt;"",IFERROR(VLOOKUP(D607,PROVEEDORES!$A:$C,3,0),""),"")</f>
        <v>N</v>
      </c>
      <c r="G607" s="87" t="s">
        <v>181</v>
      </c>
      <c r="H607" s="46" t="str">
        <f aca="false">IF(G607&lt;&gt;"",IFERROR(VLOOKUP(G607,PRODUCTOS!$A:$B,2,0),"!COD NO ENCONTRADO"),"")</f>
        <v>LIRIO EN FILETES</v>
      </c>
      <c r="I607" s="89" t="n">
        <v>5</v>
      </c>
      <c r="J607" s="90" t="n">
        <v>10</v>
      </c>
      <c r="K607" s="106" t="n">
        <v>4.4</v>
      </c>
      <c r="L607" s="107" t="n">
        <f aca="false">IF(AND(J607&lt;&gt;"",K607&lt;&gt;""),J607*K607,"")</f>
        <v>44</v>
      </c>
      <c r="M607" s="108" t="n">
        <f aca="false">IF(L607&lt;&gt;"",L607*1.1,"")</f>
        <v>48.4</v>
      </c>
      <c r="N607" s="117" t="n">
        <f aca="false">IF(F607="S",L607*0.02,0)</f>
        <v>0</v>
      </c>
      <c r="O607" s="115" t="n">
        <f aca="false">IF(L607&lt;&gt;"",L607+N607,"")</f>
        <v>44</v>
      </c>
      <c r="P607" s="114" t="n">
        <f aca="false">IF(O607&lt;&gt;"",O607*0.1,"")</f>
        <v>4.4</v>
      </c>
      <c r="Q607" s="116" t="n">
        <f aca="false">IF(O607&lt;&gt;"",O607+P607,"")</f>
        <v>48.4</v>
      </c>
      <c r="R607" s="84"/>
    </row>
    <row r="608" customFormat="false" ht="15" hidden="false" customHeight="true" outlineLevel="0" collapsed="false">
      <c r="A608" s="103" t="n">
        <v>55974</v>
      </c>
      <c r="B608" s="73" t="n">
        <v>46211</v>
      </c>
      <c r="C608" s="84" t="n">
        <v>9863</v>
      </c>
      <c r="D608" s="75" t="n">
        <v>50001</v>
      </c>
      <c r="E608" s="52" t="str">
        <f aca="false">IF(D608&lt;&gt;"",IFERROR(VLOOKUP(D608,PROVEEDORES!$A:$B,2,0),"!COD NO ENCONTRADO"),"")</f>
        <v>COPESA</v>
      </c>
      <c r="F608" s="76" t="str">
        <f aca="false">IF(D608&lt;&gt;"",IFERROR(VLOOKUP(D608,PROVEEDORES!$A:$C,3,0),""),"")</f>
        <v>S</v>
      </c>
      <c r="G608" s="75" t="s">
        <v>288</v>
      </c>
      <c r="H608" s="52" t="str">
        <f aca="false">IF(G608&lt;&gt;"",IFERROR(VLOOKUP(G608,PRODUCTOS!$A:$B,2,0),"!COD NO ENCONTRADO"),"")</f>
        <v>RAPE BLANCO DIA (MON)</v>
      </c>
      <c r="I608" s="77" t="n">
        <v>1</v>
      </c>
      <c r="J608" s="78" t="n">
        <v>47.5</v>
      </c>
      <c r="K608" s="109" t="n">
        <v>6.8</v>
      </c>
      <c r="L608" s="107" t="n">
        <f aca="false">IF(AND(J608&lt;&gt;"",K608&lt;&gt;""),J608*K608,"")</f>
        <v>323</v>
      </c>
      <c r="M608" s="108" t="n">
        <f aca="false">IF(L608&lt;&gt;"",L608*1.1,"")</f>
        <v>355.3</v>
      </c>
      <c r="N608" s="117" t="n">
        <f aca="false">IF(F608="S",L608*0.02,0)</f>
        <v>6.46</v>
      </c>
      <c r="O608" s="115" t="n">
        <f aca="false">IF(L608&lt;&gt;"",L608+N608,"")</f>
        <v>329.46</v>
      </c>
      <c r="P608" s="117" t="n">
        <f aca="false">IF(O608&lt;&gt;"",O608*0.1,"")</f>
        <v>32.946</v>
      </c>
      <c r="Q608" s="116" t="n">
        <f aca="false">IF(O608&lt;&gt;"",O608+P608,"")</f>
        <v>362.406</v>
      </c>
      <c r="R608" s="84"/>
    </row>
    <row r="609" customFormat="false" ht="15" hidden="false" customHeight="true" outlineLevel="0" collapsed="false">
      <c r="A609" s="103" t="n">
        <v>55975</v>
      </c>
      <c r="B609" s="73" t="n">
        <v>46211</v>
      </c>
      <c r="C609" s="84" t="s">
        <v>417</v>
      </c>
      <c r="D609" s="87" t="n">
        <v>50010</v>
      </c>
      <c r="E609" s="46" t="str">
        <f aca="false">IF(D609&lt;&gt;"",IFERROR(VLOOKUP(D609,PROVEEDORES!$A:$B,2,0),"!COD NO ENCONTRADO"),"")</f>
        <v>PERFECTO MONTERO</v>
      </c>
      <c r="F609" s="88" t="str">
        <f aca="false">IF(D609&lt;&gt;"",IFERROR(VLOOKUP(D609,PROVEEDORES!$A:$C,3,0),""),"")</f>
        <v>S</v>
      </c>
      <c r="G609" s="87" t="s">
        <v>53</v>
      </c>
      <c r="H609" s="46" t="str">
        <f aca="false">IF(G609&lt;&gt;"",IFERROR(VLOOKUP(G609,PRODUCTOS!$A:$B,2,0),"!COD NO ENCONTRADO"),"")</f>
        <v>CABRAS PÑA</v>
      </c>
      <c r="I609" s="89" t="n">
        <v>2</v>
      </c>
      <c r="J609" s="90" t="n">
        <v>7.3</v>
      </c>
      <c r="K609" s="106" t="n">
        <v>3.9</v>
      </c>
      <c r="L609" s="107" t="n">
        <f aca="false">IF(AND(J609&lt;&gt;"",K609&lt;&gt;""),J609*K609,"")</f>
        <v>28.47</v>
      </c>
      <c r="M609" s="108" t="n">
        <f aca="false">IF(L609&lt;&gt;"",L609*1.1,"")</f>
        <v>31.317</v>
      </c>
      <c r="N609" s="114" t="n">
        <f aca="false">IF(F609="S",L609*0.02,0)</f>
        <v>0.5694</v>
      </c>
      <c r="O609" s="115" t="n">
        <f aca="false">IF(L609&lt;&gt;"",L609+N609,"")</f>
        <v>29.0394</v>
      </c>
      <c r="P609" s="114" t="n">
        <f aca="false">IF(O609&lt;&gt;"",O609*0.1,"")</f>
        <v>2.90394</v>
      </c>
      <c r="Q609" s="116" t="n">
        <f aca="false">IF(O609&lt;&gt;"",O609+P609,"")</f>
        <v>31.94334</v>
      </c>
      <c r="R609" s="84"/>
    </row>
    <row r="610" customFormat="false" ht="15" hidden="false" customHeight="true" outlineLevel="0" collapsed="false">
      <c r="A610" s="103" t="n">
        <v>55976</v>
      </c>
      <c r="B610" s="73" t="n">
        <v>46211</v>
      </c>
      <c r="C610" s="84" t="n">
        <v>7037</v>
      </c>
      <c r="D610" s="75" t="n">
        <v>50020</v>
      </c>
      <c r="E610" s="52" t="str">
        <f aca="false">IF(D610&lt;&gt;"",IFERROR(VLOOKUP(D610,PROVEEDORES!$A:$B,2,0),"!COD NO ENCONTRADO"),"")</f>
        <v>PACO MOINELO</v>
      </c>
      <c r="F610" s="76" t="str">
        <f aca="false">IF(D610&lt;&gt;"",IFERROR(VLOOKUP(D610,PROVEEDORES!$A:$C,3,0),""),"")</f>
        <v>S</v>
      </c>
      <c r="G610" s="75" t="s">
        <v>216</v>
      </c>
      <c r="H610" s="52" t="str">
        <f aca="false">IF(G610&lt;&gt;"",IFERROR(VLOOKUP(G610,PRODUCTOS!$A:$B,2,0),"!COD NO ENCONTRADO"),"")</f>
        <v>MERLUZA EUROPEA PINCHO COSTA</v>
      </c>
      <c r="I610" s="77" t="n">
        <v>1</v>
      </c>
      <c r="J610" s="78" t="n">
        <v>13.75</v>
      </c>
      <c r="K610" s="109" t="n">
        <v>5.9</v>
      </c>
      <c r="L610" s="107" t="n">
        <f aca="false">IF(AND(J610&lt;&gt;"",K610&lt;&gt;""),J610*K610,"")</f>
        <v>81.125</v>
      </c>
      <c r="M610" s="108" t="n">
        <f aca="false">IF(L610&lt;&gt;"",L610*1.1,"")</f>
        <v>89.2375</v>
      </c>
      <c r="N610" s="117" t="n">
        <f aca="false">IF(F610="S",L610*0.02,0)</f>
        <v>1.6225</v>
      </c>
      <c r="O610" s="115" t="n">
        <f aca="false">IF(L610&lt;&gt;"",L610+N610,"")</f>
        <v>82.7475</v>
      </c>
      <c r="P610" s="117" t="n">
        <f aca="false">IF(O610&lt;&gt;"",O610*0.1,"")</f>
        <v>8.27475</v>
      </c>
      <c r="Q610" s="116" t="n">
        <f aca="false">IF(O610&lt;&gt;"",O610+P610,"")</f>
        <v>91.02225</v>
      </c>
      <c r="R610" s="84"/>
    </row>
    <row r="611" customFormat="false" ht="15" hidden="false" customHeight="true" outlineLevel="0" collapsed="false">
      <c r="A611" s="103" t="n">
        <v>55977</v>
      </c>
      <c r="B611" s="73" t="n">
        <v>46211</v>
      </c>
      <c r="C611" s="84" t="n">
        <v>7842</v>
      </c>
      <c r="D611" s="75" t="n">
        <v>50069</v>
      </c>
      <c r="E611" s="52" t="str">
        <f aca="false">IF(D611&lt;&gt;"",IFERROR(VLOOKUP(D611,PROVEEDORES!$A:$B,2,0),"!COD NO ENCONTRADO"),"")</f>
        <v>PESCADOS ILLANES S.L.</v>
      </c>
      <c r="F611" s="76" t="str">
        <f aca="false">IF(D611&lt;&gt;"",IFERROR(VLOOKUP(D611,PROVEEDORES!$A:$C,3,0),""),"")</f>
        <v>S</v>
      </c>
      <c r="G611" s="75" t="s">
        <v>332</v>
      </c>
      <c r="H611" s="52" t="str">
        <f aca="false">IF(G611&lt;&gt;"",IFERROR(VLOOKUP(G611,PRODUCTOS!$A:$B,2,0),"!COD NO ENCONTRADO"),"")</f>
        <v>VARIADO PEQUEÑO</v>
      </c>
      <c r="I611" s="77" t="n">
        <v>5</v>
      </c>
      <c r="J611" s="78" t="n">
        <v>51.75</v>
      </c>
      <c r="K611" s="109" t="n">
        <v>0.8</v>
      </c>
      <c r="L611" s="107" t="n">
        <f aca="false">IF(AND(J611&lt;&gt;"",K611&lt;&gt;""),J611*K611,"")</f>
        <v>41.4</v>
      </c>
      <c r="M611" s="108" t="n">
        <f aca="false">IF(L611&lt;&gt;"",L611*1.1,"")</f>
        <v>45.54</v>
      </c>
      <c r="N611" s="117" t="n">
        <f aca="false">IF(F611="S",L611*0.02,0)</f>
        <v>0.828</v>
      </c>
      <c r="O611" s="115" t="n">
        <f aca="false">IF(L611&lt;&gt;"",L611+N611,"")</f>
        <v>42.228</v>
      </c>
      <c r="P611" s="117" t="n">
        <f aca="false">IF(O611&lt;&gt;"",O611*0.1,"")</f>
        <v>4.2228</v>
      </c>
      <c r="Q611" s="116" t="n">
        <f aca="false">IF(O611&lt;&gt;"",O611+P611,"")</f>
        <v>46.4508</v>
      </c>
      <c r="R611" s="84"/>
    </row>
    <row r="612" customFormat="false" ht="15" hidden="false" customHeight="true" outlineLevel="0" collapsed="false">
      <c r="A612" s="103" t="n">
        <v>55978</v>
      </c>
      <c r="B612" s="73" t="n">
        <v>46211</v>
      </c>
      <c r="C612" s="84" t="n">
        <v>16110</v>
      </c>
      <c r="D612" s="87" t="n">
        <v>50160</v>
      </c>
      <c r="E612" s="46" t="str">
        <f aca="false">IF(D612&lt;&gt;"",IFERROR(VLOOKUP(D612,PROVEEDORES!$A:$B,2,0),"!COD NO ENCONTRADO"),"")</f>
        <v>SUBASTAS CORUÑA S.L.</v>
      </c>
      <c r="F612" s="88" t="str">
        <f aca="false">IF(D612&lt;&gt;"",IFERROR(VLOOKUP(D612,PROVEEDORES!$A:$C,3,0),""),"")</f>
        <v>S</v>
      </c>
      <c r="G612" s="87" t="s">
        <v>276</v>
      </c>
      <c r="H612" s="46" t="str">
        <f aca="false">IF(G612&lt;&gt;"",IFERROR(VLOOKUP(G612,PRODUCTOS!$A:$B,2,0),"!COD NO ENCONTRADO"),"")</f>
        <v>MERLUZA EUROPEA/ FINA DIA </v>
      </c>
      <c r="I612" s="89" t="n">
        <v>3</v>
      </c>
      <c r="J612" s="90" t="n">
        <v>19.5</v>
      </c>
      <c r="K612" s="106" t="n">
        <v>3.5</v>
      </c>
      <c r="L612" s="107" t="n">
        <f aca="false">IF(AND(J612&lt;&gt;"",K612&lt;&gt;""),J612*K612,"")</f>
        <v>68.25</v>
      </c>
      <c r="M612" s="108" t="n">
        <f aca="false">IF(L612&lt;&gt;"",L612*1.1,"")</f>
        <v>75.075</v>
      </c>
      <c r="N612" s="114" t="n">
        <f aca="false">IF(F612="S",L612*0.02,0)</f>
        <v>1.365</v>
      </c>
      <c r="O612" s="115" t="n">
        <f aca="false">IF(L612&lt;&gt;"",L612+N612,"")</f>
        <v>69.615</v>
      </c>
      <c r="P612" s="114" t="n">
        <f aca="false">IF(O612&lt;&gt;"",O612*0.1,"")</f>
        <v>6.9615</v>
      </c>
      <c r="Q612" s="116" t="n">
        <f aca="false">IF(O612&lt;&gt;"",O612+P612,"")</f>
        <v>76.5765</v>
      </c>
      <c r="R612" s="84"/>
    </row>
    <row r="613" customFormat="false" ht="15" hidden="false" customHeight="true" outlineLevel="0" collapsed="false">
      <c r="A613" s="103" t="n">
        <v>55978</v>
      </c>
      <c r="B613" s="73" t="n">
        <v>46211</v>
      </c>
      <c r="C613" s="84" t="n">
        <v>16110</v>
      </c>
      <c r="D613" s="75" t="n">
        <v>50160</v>
      </c>
      <c r="E613" s="52" t="str">
        <f aca="false">IF(D613&lt;&gt;"",IFERROR(VLOOKUP(D613,PROVEEDORES!$A:$B,2,0),"!COD NO ENCONTRADO"),"")</f>
        <v>SUBASTAS CORUÑA S.L.</v>
      </c>
      <c r="F613" s="76" t="str">
        <f aca="false">IF(D613&lt;&gt;"",IFERROR(VLOOKUP(D613,PROVEEDORES!$A:$C,3,0),""),"")</f>
        <v>S</v>
      </c>
      <c r="G613" s="75" t="s">
        <v>270</v>
      </c>
      <c r="H613" s="52" t="str">
        <f aca="false">IF(G613&lt;&gt;"",IFERROR(VLOOKUP(G613,PRODUCTOS!$A:$B,2,0),"!COD NO ENCONTRADO"),"")</f>
        <v>PEON/ PION (ATP)</v>
      </c>
      <c r="I613" s="77" t="n">
        <v>4</v>
      </c>
      <c r="J613" s="78" t="n">
        <v>19.75</v>
      </c>
      <c r="K613" s="109" t="n">
        <v>3.2</v>
      </c>
      <c r="L613" s="107" t="n">
        <f aca="false">IF(AND(J613&lt;&gt;"",K613&lt;&gt;""),J613*K613,"")</f>
        <v>63.2</v>
      </c>
      <c r="M613" s="108" t="n">
        <f aca="false">IF(L613&lt;&gt;"",L613*1.1,"")</f>
        <v>69.52</v>
      </c>
      <c r="N613" s="117" t="n">
        <f aca="false">IF(F613="S",L613*0.02,0)</f>
        <v>1.264</v>
      </c>
      <c r="O613" s="115" t="n">
        <f aca="false">IF(L613&lt;&gt;"",L613+N613,"")</f>
        <v>64.464</v>
      </c>
      <c r="P613" s="117" t="n">
        <f aca="false">IF(O613&lt;&gt;"",O613*0.1,"")</f>
        <v>6.4464</v>
      </c>
      <c r="Q613" s="116" t="n">
        <f aca="false">IF(O613&lt;&gt;"",O613+P613,"")</f>
        <v>70.9104</v>
      </c>
      <c r="R613" s="84"/>
    </row>
    <row r="614" customFormat="false" ht="15" hidden="false" customHeight="true" outlineLevel="0" collapsed="false">
      <c r="A614" s="103" t="n">
        <v>55979</v>
      </c>
      <c r="B614" s="73" t="n">
        <v>46211</v>
      </c>
      <c r="C614" s="84" t="n">
        <v>33009</v>
      </c>
      <c r="D614" s="87" t="n">
        <v>50106</v>
      </c>
      <c r="E614" s="46" t="str">
        <f aca="false">IF(D614&lt;&gt;"",IFERROR(VLOOKUP(D614,PROVEEDORES!$A:$B,2,0),"!COD NO ENCONTRADO"),"")</f>
        <v>SONIA VENTAS S.L</v>
      </c>
      <c r="F614" s="88" t="str">
        <f aca="false">IF(D614&lt;&gt;"",IFERROR(VLOOKUP(D614,PROVEEDORES!$A:$C,3,0),""),"")</f>
        <v>S</v>
      </c>
      <c r="G614" s="87" t="s">
        <v>53</v>
      </c>
      <c r="H614" s="46" t="str">
        <f aca="false">IF(G614&lt;&gt;"",IFERROR(VLOOKUP(G614,PRODUCTOS!$A:$B,2,0),"!COD NO ENCONTRADO"),"")</f>
        <v>CABRAS PÑA</v>
      </c>
      <c r="I614" s="89" t="n">
        <v>1</v>
      </c>
      <c r="J614" s="90" t="n">
        <v>6.9</v>
      </c>
      <c r="K614" s="106" t="n">
        <v>3.8</v>
      </c>
      <c r="L614" s="107" t="n">
        <f aca="false">IF(AND(J614&lt;&gt;"",K614&lt;&gt;""),J614*K614,"")</f>
        <v>26.22</v>
      </c>
      <c r="M614" s="108" t="n">
        <f aca="false">IF(L614&lt;&gt;"",L614*1.1,"")</f>
        <v>28.842</v>
      </c>
      <c r="N614" s="114" t="n">
        <f aca="false">IF(F614="S",L614*0.02,0)</f>
        <v>0.5244</v>
      </c>
      <c r="O614" s="115" t="n">
        <f aca="false">IF(L614&lt;&gt;"",L614+N614,"")</f>
        <v>26.7444</v>
      </c>
      <c r="P614" s="114" t="n">
        <f aca="false">IF(O614&lt;&gt;"",O614*0.1,"")</f>
        <v>2.67444</v>
      </c>
      <c r="Q614" s="116" t="n">
        <f aca="false">IF(O614&lt;&gt;"",O614+P614,"")</f>
        <v>29.41884</v>
      </c>
      <c r="R614" s="84"/>
    </row>
    <row r="615" customFormat="false" ht="15" hidden="false" customHeight="true" outlineLevel="0" collapsed="false">
      <c r="A615" s="103" t="n">
        <v>55980</v>
      </c>
      <c r="B615" s="73" t="n">
        <v>46211</v>
      </c>
      <c r="C615" s="84" t="n">
        <v>18717</v>
      </c>
      <c r="D615" s="87" t="n">
        <v>50163</v>
      </c>
      <c r="E615" s="46" t="str">
        <f aca="false">IF(D615&lt;&gt;"",IFERROR(VLOOKUP(D615,PROVEEDORES!$A:$B,2,0),"!COD NO ENCONTRADO"),"")</f>
        <v>SUBASTAS RIVERA S.L.</v>
      </c>
      <c r="F615" s="88" t="str">
        <f aca="false">IF(D615&lt;&gt;"",IFERROR(VLOOKUP(D615,PROVEEDORES!$A:$C,3,0),""),"")</f>
        <v>S</v>
      </c>
      <c r="G615" s="87" t="s">
        <v>332</v>
      </c>
      <c r="H615" s="46" t="str">
        <f aca="false">IF(G615&lt;&gt;"",IFERROR(VLOOKUP(G615,PRODUCTOS!$A:$B,2,0),"!COD NO ENCONTRADO"),"")</f>
        <v>VARIADO PEQUEÑO</v>
      </c>
      <c r="I615" s="89" t="n">
        <v>1</v>
      </c>
      <c r="J615" s="90" t="n">
        <v>8.25</v>
      </c>
      <c r="K615" s="106" t="n">
        <v>1</v>
      </c>
      <c r="L615" s="107" t="n">
        <f aca="false">IF(AND(J615&lt;&gt;"",K615&lt;&gt;""),J615*K615,"")</f>
        <v>8.25</v>
      </c>
      <c r="M615" s="108" t="n">
        <f aca="false">IF(L615&lt;&gt;"",L615*1.1,"")</f>
        <v>9.075</v>
      </c>
      <c r="N615" s="114" t="n">
        <f aca="false">IF(F615="S",L615*0.02,0)</f>
        <v>0.165</v>
      </c>
      <c r="O615" s="115" t="n">
        <f aca="false">IF(L615&lt;&gt;"",L615+N615,"")</f>
        <v>8.415</v>
      </c>
      <c r="P615" s="114" t="n">
        <f aca="false">IF(O615&lt;&gt;"",O615*0.1,"")</f>
        <v>0.8415</v>
      </c>
      <c r="Q615" s="116" t="n">
        <f aca="false">IF(O615&lt;&gt;"",O615+P615,"")</f>
        <v>9.2565</v>
      </c>
      <c r="R615" s="84"/>
    </row>
    <row r="616" customFormat="false" ht="15" hidden="false" customHeight="true" outlineLevel="0" collapsed="false">
      <c r="A616" s="103" t="n">
        <v>55980</v>
      </c>
      <c r="B616" s="73" t="n">
        <v>46211</v>
      </c>
      <c r="C616" s="84" t="n">
        <v>18717</v>
      </c>
      <c r="D616" s="75" t="n">
        <v>50163</v>
      </c>
      <c r="E616" s="52" t="str">
        <f aca="false">IF(D616&lt;&gt;"",IFERROR(VLOOKUP(D616,PROVEEDORES!$A:$B,2,0),"!COD NO ENCONTRADO"),"")</f>
        <v>SUBASTAS RIVERA S.L.</v>
      </c>
      <c r="F616" s="76" t="str">
        <f aca="false">IF(D616&lt;&gt;"",IFERROR(VLOOKUP(D616,PROVEEDORES!$A:$C,3,0),""),"")</f>
        <v>S</v>
      </c>
      <c r="G616" s="75" t="s">
        <v>53</v>
      </c>
      <c r="H616" s="52" t="str">
        <f aca="false">IF(G616&lt;&gt;"",IFERROR(VLOOKUP(G616,PRODUCTOS!$A:$B,2,0),"!COD NO ENCONTRADO"),"")</f>
        <v>CABRAS PÑA</v>
      </c>
      <c r="I616" s="77" t="n">
        <v>1</v>
      </c>
      <c r="J616" s="78" t="n">
        <v>2.6</v>
      </c>
      <c r="K616" s="109" t="n">
        <v>4.1</v>
      </c>
      <c r="L616" s="107" t="n">
        <f aca="false">IF(AND(J616&lt;&gt;"",K616&lt;&gt;""),J616*K616,"")</f>
        <v>10.66</v>
      </c>
      <c r="M616" s="108" t="n">
        <f aca="false">IF(L616&lt;&gt;"",L616*1.1,"")</f>
        <v>11.726</v>
      </c>
      <c r="N616" s="117" t="n">
        <f aca="false">IF(F616="S",L616*0.02,0)</f>
        <v>0.2132</v>
      </c>
      <c r="O616" s="115" t="n">
        <f aca="false">IF(L616&lt;&gt;"",L616+N616,"")</f>
        <v>10.8732</v>
      </c>
      <c r="P616" s="117" t="n">
        <f aca="false">IF(O616&lt;&gt;"",O616*0.1,"")</f>
        <v>1.08732</v>
      </c>
      <c r="Q616" s="116" t="n">
        <f aca="false">IF(O616&lt;&gt;"",O616+P616,"")</f>
        <v>11.96052</v>
      </c>
      <c r="R616" s="84"/>
    </row>
    <row r="617" customFormat="false" ht="15" hidden="false" customHeight="true" outlineLevel="0" collapsed="false">
      <c r="A617" s="103" t="n">
        <v>55980</v>
      </c>
      <c r="B617" s="73" t="n">
        <v>46211</v>
      </c>
      <c r="C617" s="84" t="n">
        <v>18717</v>
      </c>
      <c r="D617" s="87" t="n">
        <v>50163</v>
      </c>
      <c r="E617" s="46" t="str">
        <f aca="false">IF(D617&lt;&gt;"",IFERROR(VLOOKUP(D617,PROVEEDORES!$A:$B,2,0),"!COD NO ENCONTRADO"),"")</f>
        <v>SUBASTAS RIVERA S.L.</v>
      </c>
      <c r="F617" s="88" t="str">
        <f aca="false">IF(D617&lt;&gt;"",IFERROR(VLOOKUP(D617,PROVEEDORES!$A:$C,3,0),""),"")</f>
        <v>S</v>
      </c>
      <c r="G617" s="87" t="s">
        <v>53</v>
      </c>
      <c r="H617" s="46" t="str">
        <f aca="false">IF(G617&lt;&gt;"",IFERROR(VLOOKUP(G617,PRODUCTOS!$A:$B,2,0),"!COD NO ENCONTRADO"),"")</f>
        <v>CABRAS PÑA</v>
      </c>
      <c r="I617" s="89" t="n">
        <v>1</v>
      </c>
      <c r="J617" s="90" t="n">
        <v>4.2</v>
      </c>
      <c r="K617" s="106" t="n">
        <v>3.6</v>
      </c>
      <c r="L617" s="107" t="n">
        <f aca="false">IF(AND(J617&lt;&gt;"",K617&lt;&gt;""),J617*K617,"")</f>
        <v>15.12</v>
      </c>
      <c r="M617" s="108" t="n">
        <f aca="false">IF(L617&lt;&gt;"",L617*1.1,"")</f>
        <v>16.632</v>
      </c>
      <c r="N617" s="114" t="n">
        <f aca="false">IF(F617="S",L617*0.02,0)</f>
        <v>0.3024</v>
      </c>
      <c r="O617" s="115" t="n">
        <f aca="false">IF(L617&lt;&gt;"",L617+N617,"")</f>
        <v>15.4224</v>
      </c>
      <c r="P617" s="114" t="n">
        <f aca="false">IF(O617&lt;&gt;"",O617*0.1,"")</f>
        <v>1.54224</v>
      </c>
      <c r="Q617" s="116" t="n">
        <f aca="false">IF(O617&lt;&gt;"",O617+P617,"")</f>
        <v>16.96464</v>
      </c>
      <c r="R617" s="84"/>
    </row>
    <row r="618" customFormat="false" ht="15" hidden="false" customHeight="true" outlineLevel="0" collapsed="false">
      <c r="A618" s="103" t="n">
        <v>55980</v>
      </c>
      <c r="B618" s="73" t="n">
        <v>46211</v>
      </c>
      <c r="C618" s="84" t="n">
        <v>18717</v>
      </c>
      <c r="D618" s="75" t="n">
        <v>50163</v>
      </c>
      <c r="E618" s="52" t="str">
        <f aca="false">IF(D618&lt;&gt;"",IFERROR(VLOOKUP(D618,PROVEEDORES!$A:$B,2,0),"!COD NO ENCONTRADO"),"")</f>
        <v>SUBASTAS RIVERA S.L.</v>
      </c>
      <c r="F618" s="76" t="str">
        <f aca="false">IF(D618&lt;&gt;"",IFERROR(VLOOKUP(D618,PROVEEDORES!$A:$C,3,0),""),"")</f>
        <v>S</v>
      </c>
      <c r="G618" s="75" t="s">
        <v>270</v>
      </c>
      <c r="H618" s="52" t="str">
        <f aca="false">IF(G618&lt;&gt;"",IFERROR(VLOOKUP(G618,PRODUCTOS!$A:$B,2,0),"!COD NO ENCONTRADO"),"")</f>
        <v>PEON/ PION (ATP)</v>
      </c>
      <c r="I618" s="77" t="n">
        <v>4</v>
      </c>
      <c r="J618" s="78" t="n">
        <v>13.25</v>
      </c>
      <c r="K618" s="109" t="n">
        <v>2</v>
      </c>
      <c r="L618" s="107" t="n">
        <f aca="false">IF(AND(J618&lt;&gt;"",K618&lt;&gt;""),J618*K618,"")</f>
        <v>26.5</v>
      </c>
      <c r="M618" s="108" t="n">
        <f aca="false">IF(L618&lt;&gt;"",L618*1.1,"")</f>
        <v>29.15</v>
      </c>
      <c r="N618" s="117" t="n">
        <f aca="false">IF(F618="S",L618*0.02,0)</f>
        <v>0.53</v>
      </c>
      <c r="O618" s="115" t="n">
        <f aca="false">IF(L618&lt;&gt;"",L618+N618,"")</f>
        <v>27.03</v>
      </c>
      <c r="P618" s="117" t="n">
        <f aca="false">IF(O618&lt;&gt;"",O618*0.1,"")</f>
        <v>2.703</v>
      </c>
      <c r="Q618" s="116" t="n">
        <f aca="false">IF(O618&lt;&gt;"",O618+P618,"")</f>
        <v>29.733</v>
      </c>
      <c r="R618" s="84"/>
    </row>
    <row r="619" customFormat="false" ht="15" hidden="false" customHeight="true" outlineLevel="0" collapsed="false">
      <c r="A619" s="103" t="n">
        <v>55980</v>
      </c>
      <c r="B619" s="73" t="n">
        <v>46211</v>
      </c>
      <c r="C619" s="84" t="n">
        <v>18717</v>
      </c>
      <c r="D619" s="87" t="n">
        <v>50163</v>
      </c>
      <c r="E619" s="46" t="str">
        <f aca="false">IF(D619&lt;&gt;"",IFERROR(VLOOKUP(D619,PROVEEDORES!$A:$B,2,0),"!COD NO ENCONTRADO"),"")</f>
        <v>SUBASTAS RIVERA S.L.</v>
      </c>
      <c r="F619" s="88" t="str">
        <f aca="false">IF(D619&lt;&gt;"",IFERROR(VLOOKUP(D619,PROVEEDORES!$A:$C,3,0),""),"")</f>
        <v>S</v>
      </c>
      <c r="G619" s="87" t="s">
        <v>332</v>
      </c>
      <c r="H619" s="46" t="str">
        <f aca="false">IF(G619&lt;&gt;"",IFERROR(VLOOKUP(G619,PRODUCTOS!$A:$B,2,0),"!COD NO ENCONTRADO"),"")</f>
        <v>VARIADO PEQUEÑO</v>
      </c>
      <c r="I619" s="89" t="n">
        <v>1</v>
      </c>
      <c r="J619" s="90" t="n">
        <v>20</v>
      </c>
      <c r="K619" s="106" t="n">
        <v>1</v>
      </c>
      <c r="L619" s="107" t="n">
        <f aca="false">IF(AND(J619&lt;&gt;"",K619&lt;&gt;""),J619*K619,"")</f>
        <v>20</v>
      </c>
      <c r="M619" s="108" t="n">
        <f aca="false">IF(L619&lt;&gt;"",L619*1.1,"")</f>
        <v>22</v>
      </c>
      <c r="N619" s="114" t="n">
        <f aca="false">IF(F619="S",L619*0.02,0)</f>
        <v>0.4</v>
      </c>
      <c r="O619" s="115" t="n">
        <f aca="false">IF(L619&lt;&gt;"",L619+N619,"")</f>
        <v>20.4</v>
      </c>
      <c r="P619" s="114" t="n">
        <f aca="false">IF(O619&lt;&gt;"",O619*0.1,"")</f>
        <v>2.04</v>
      </c>
      <c r="Q619" s="116" t="n">
        <f aca="false">IF(O619&lt;&gt;"",O619+P619,"")</f>
        <v>22.44</v>
      </c>
      <c r="R619" s="84"/>
    </row>
    <row r="620" customFormat="false" ht="15" hidden="false" customHeight="true" outlineLevel="0" collapsed="false">
      <c r="A620" s="103" t="n">
        <v>55980</v>
      </c>
      <c r="B620" s="73" t="n">
        <v>46211</v>
      </c>
      <c r="C620" s="84" t="n">
        <v>18717</v>
      </c>
      <c r="D620" s="75" t="n">
        <v>50163</v>
      </c>
      <c r="E620" s="52" t="str">
        <f aca="false">IF(D620&lt;&gt;"",IFERROR(VLOOKUP(D620,PROVEEDORES!$A:$B,2,0),"!COD NO ENCONTRADO"),"")</f>
        <v>SUBASTAS RIVERA S.L.</v>
      </c>
      <c r="F620" s="76" t="str">
        <f aca="false">IF(D620&lt;&gt;"",IFERROR(VLOOKUP(D620,PROVEEDORES!$A:$C,3,0),""),"")</f>
        <v>S</v>
      </c>
      <c r="G620" s="75" t="s">
        <v>135</v>
      </c>
      <c r="H620" s="52" t="str">
        <f aca="false">IF(G620&lt;&gt;"",IFERROR(VLOOKUP(G620,PRODUCTOS!$A:$B,2,0),"!COD NO ENCONTRADO"),"")</f>
        <v>CONGRIO 10+  (COE)</v>
      </c>
      <c r="I620" s="77" t="n">
        <v>1</v>
      </c>
      <c r="J620" s="78" t="n">
        <v>14</v>
      </c>
      <c r="K620" s="109" t="n">
        <v>2.5</v>
      </c>
      <c r="L620" s="107" t="n">
        <f aca="false">IF(AND(J620&lt;&gt;"",K620&lt;&gt;""),J620*K620,"")</f>
        <v>35</v>
      </c>
      <c r="M620" s="108" t="n">
        <f aca="false">IF(L620&lt;&gt;"",L620*1.1,"")</f>
        <v>38.5</v>
      </c>
      <c r="N620" s="117" t="n">
        <f aca="false">IF(F620="S",L620*0.02,0)</f>
        <v>0.7</v>
      </c>
      <c r="O620" s="115" t="n">
        <f aca="false">IF(L620&lt;&gt;"",L620+N620,"")</f>
        <v>35.7</v>
      </c>
      <c r="P620" s="117" t="n">
        <f aca="false">IF(O620&lt;&gt;"",O620*0.1,"")</f>
        <v>3.57</v>
      </c>
      <c r="Q620" s="116" t="n">
        <f aca="false">IF(O620&lt;&gt;"",O620+P620,"")</f>
        <v>39.27</v>
      </c>
      <c r="R620" s="84"/>
    </row>
    <row r="621" customFormat="false" ht="15" hidden="false" customHeight="true" outlineLevel="0" collapsed="false">
      <c r="A621" s="103" t="n">
        <v>55980</v>
      </c>
      <c r="B621" s="73" t="n">
        <v>46211</v>
      </c>
      <c r="C621" s="84" t="n">
        <v>18717</v>
      </c>
      <c r="D621" s="87" t="n">
        <v>50163</v>
      </c>
      <c r="E621" s="46" t="str">
        <f aca="false">IF(D621&lt;&gt;"",IFERROR(VLOOKUP(D621,PROVEEDORES!$A:$B,2,0),"!COD NO ENCONTRADO"),"")</f>
        <v>SUBASTAS RIVERA S.L.</v>
      </c>
      <c r="F621" s="88" t="str">
        <f aca="false">IF(D621&lt;&gt;"",IFERROR(VLOOKUP(D621,PROVEEDORES!$A:$C,3,0),""),"")</f>
        <v>S</v>
      </c>
      <c r="G621" s="87" t="s">
        <v>135</v>
      </c>
      <c r="H621" s="46" t="str">
        <f aca="false">IF(G621&lt;&gt;"",IFERROR(VLOOKUP(G621,PRODUCTOS!$A:$B,2,0),"!COD NO ENCONTRADO"),"")</f>
        <v>CONGRIO 10+  (COE)</v>
      </c>
      <c r="I621" s="89" t="n">
        <v>1</v>
      </c>
      <c r="J621" s="90" t="n">
        <v>14</v>
      </c>
      <c r="K621" s="106" t="n">
        <v>3.4</v>
      </c>
      <c r="L621" s="107" t="n">
        <f aca="false">IF(AND(J621&lt;&gt;"",K621&lt;&gt;""),J621*K621,"")</f>
        <v>47.6</v>
      </c>
      <c r="M621" s="108" t="n">
        <f aca="false">IF(L621&lt;&gt;"",L621*1.1,"")</f>
        <v>52.36</v>
      </c>
      <c r="N621" s="114" t="n">
        <f aca="false">IF(F621="S",L621*0.02,0)</f>
        <v>0.952</v>
      </c>
      <c r="O621" s="115" t="n">
        <f aca="false">IF(L621&lt;&gt;"",L621+N621,"")</f>
        <v>48.552</v>
      </c>
      <c r="P621" s="114" t="n">
        <f aca="false">IF(O621&lt;&gt;"",O621*0.1,"")</f>
        <v>4.8552</v>
      </c>
      <c r="Q621" s="116" t="n">
        <f aca="false">IF(O621&lt;&gt;"",O621+P621,"")</f>
        <v>53.4072</v>
      </c>
      <c r="R621" s="84"/>
    </row>
    <row r="622" customFormat="false" ht="15" hidden="false" customHeight="true" outlineLevel="0" collapsed="false">
      <c r="A622" s="103" t="n">
        <v>55980</v>
      </c>
      <c r="B622" s="73" t="n">
        <v>46211</v>
      </c>
      <c r="C622" s="84" t="n">
        <v>18717</v>
      </c>
      <c r="D622" s="75" t="n">
        <v>50163</v>
      </c>
      <c r="E622" s="52" t="str">
        <f aca="false">IF(D622&lt;&gt;"",IFERROR(VLOOKUP(D622,PROVEEDORES!$A:$B,2,0),"!COD NO ENCONTRADO"),"")</f>
        <v>SUBASTAS RIVERA S.L.</v>
      </c>
      <c r="F622" s="76" t="str">
        <f aca="false">IF(D622&lt;&gt;"",IFERROR(VLOOKUP(D622,PROVEEDORES!$A:$C,3,0),""),"")</f>
        <v>S</v>
      </c>
      <c r="G622" s="75" t="s">
        <v>135</v>
      </c>
      <c r="H622" s="52" t="str">
        <f aca="false">IF(G622&lt;&gt;"",IFERROR(VLOOKUP(G622,PRODUCTOS!$A:$B,2,0),"!COD NO ENCONTRADO"),"")</f>
        <v>CONGRIO 10+  (COE)</v>
      </c>
      <c r="I622" s="77" t="n">
        <v>1</v>
      </c>
      <c r="J622" s="78" t="n">
        <v>16.5</v>
      </c>
      <c r="K622" s="109" t="n">
        <v>3.1</v>
      </c>
      <c r="L622" s="107" t="n">
        <f aca="false">IF(AND(J622&lt;&gt;"",K622&lt;&gt;""),J622*K622,"")</f>
        <v>51.15</v>
      </c>
      <c r="M622" s="108" t="n">
        <f aca="false">IF(L622&lt;&gt;"",L622*1.1,"")</f>
        <v>56.265</v>
      </c>
      <c r="N622" s="117" t="n">
        <f aca="false">IF(F622="S",L622*0.02,0)</f>
        <v>1.023</v>
      </c>
      <c r="O622" s="115" t="n">
        <f aca="false">IF(L622&lt;&gt;"",L622+N622,"")</f>
        <v>52.173</v>
      </c>
      <c r="P622" s="117" t="n">
        <f aca="false">IF(O622&lt;&gt;"",O622*0.1,"")</f>
        <v>5.2173</v>
      </c>
      <c r="Q622" s="116" t="n">
        <f aca="false">IF(O622&lt;&gt;"",O622+P622,"")</f>
        <v>57.3903</v>
      </c>
      <c r="R622" s="84"/>
    </row>
    <row r="623" customFormat="false" ht="15" hidden="false" customHeight="true" outlineLevel="0" collapsed="false">
      <c r="A623" s="103" t="n">
        <v>55980</v>
      </c>
      <c r="B623" s="73" t="n">
        <v>46211</v>
      </c>
      <c r="C623" s="84" t="n">
        <v>18717</v>
      </c>
      <c r="D623" s="87" t="n">
        <v>50163</v>
      </c>
      <c r="E623" s="46" t="str">
        <f aca="false">IF(D623&lt;&gt;"",IFERROR(VLOOKUP(D623,PROVEEDORES!$A:$B,2,0),"!COD NO ENCONTRADO"),"")</f>
        <v>SUBASTAS RIVERA S.L.</v>
      </c>
      <c r="F623" s="88" t="str">
        <f aca="false">IF(D623&lt;&gt;"",IFERROR(VLOOKUP(D623,PROVEEDORES!$A:$C,3,0),""),"")</f>
        <v>S</v>
      </c>
      <c r="G623" s="87" t="s">
        <v>135</v>
      </c>
      <c r="H623" s="46" t="str">
        <f aca="false">IF(G623&lt;&gt;"",IFERROR(VLOOKUP(G623,PRODUCTOS!$A:$B,2,0),"!COD NO ENCONTRADO"),"")</f>
        <v>CONGRIO 10+  (COE)</v>
      </c>
      <c r="I623" s="89" t="n">
        <v>1</v>
      </c>
      <c r="J623" s="90" t="n">
        <v>12</v>
      </c>
      <c r="K623" s="106" t="n">
        <v>2.55</v>
      </c>
      <c r="L623" s="107" t="n">
        <f aca="false">IF(AND(J623&lt;&gt;"",K623&lt;&gt;""),J623*K623,"")</f>
        <v>30.6</v>
      </c>
      <c r="M623" s="108" t="n">
        <f aca="false">IF(L623&lt;&gt;"",L623*1.1,"")</f>
        <v>33.66</v>
      </c>
      <c r="N623" s="114" t="n">
        <f aca="false">IF(F623="S",L623*0.02,0)</f>
        <v>0.612</v>
      </c>
      <c r="O623" s="115" t="n">
        <f aca="false">IF(L623&lt;&gt;"",L623+N623,"")</f>
        <v>31.212</v>
      </c>
      <c r="P623" s="114" t="n">
        <f aca="false">IF(O623&lt;&gt;"",O623*0.1,"")</f>
        <v>3.1212</v>
      </c>
      <c r="Q623" s="116" t="n">
        <f aca="false">IF(O623&lt;&gt;"",O623+P623,"")</f>
        <v>34.3332</v>
      </c>
      <c r="R623" s="84"/>
    </row>
    <row r="624" customFormat="false" ht="15" hidden="false" customHeight="true" outlineLevel="0" collapsed="false">
      <c r="A624" s="103" t="n">
        <v>55980</v>
      </c>
      <c r="B624" s="73" t="n">
        <v>46211</v>
      </c>
      <c r="C624" s="84" t="n">
        <v>18717</v>
      </c>
      <c r="D624" s="75" t="n">
        <v>50163</v>
      </c>
      <c r="E624" s="52" t="str">
        <f aca="false">IF(D624&lt;&gt;"",IFERROR(VLOOKUP(D624,PROVEEDORES!$A:$B,2,0),"!COD NO ENCONTRADO"),"")</f>
        <v>SUBASTAS RIVERA S.L.</v>
      </c>
      <c r="F624" s="76" t="str">
        <f aca="false">IF(D624&lt;&gt;"",IFERROR(VLOOKUP(D624,PROVEEDORES!$A:$C,3,0),""),"")</f>
        <v>S</v>
      </c>
      <c r="G624" s="75" t="s">
        <v>276</v>
      </c>
      <c r="H624" s="52" t="str">
        <f aca="false">IF(G624&lt;&gt;"",IFERROR(VLOOKUP(G624,PRODUCTOS!$A:$B,2,0),"!COD NO ENCONTRADO"),"")</f>
        <v>MERLUZA EUROPEA/ FINA DIA </v>
      </c>
      <c r="I624" s="77" t="n">
        <v>23</v>
      </c>
      <c r="J624" s="78" t="n">
        <v>130.75</v>
      </c>
      <c r="K624" s="109" t="n">
        <v>2.7</v>
      </c>
      <c r="L624" s="107" t="n">
        <f aca="false">IF(AND(J624&lt;&gt;"",K624&lt;&gt;""),J624*K624,"")</f>
        <v>353.025</v>
      </c>
      <c r="M624" s="108" t="n">
        <f aca="false">IF(L624&lt;&gt;"",L624*1.1,"")</f>
        <v>388.3275</v>
      </c>
      <c r="N624" s="117" t="n">
        <f aca="false">IF(F624="S",L624*0.02,0)</f>
        <v>7.0605</v>
      </c>
      <c r="O624" s="115" t="n">
        <f aca="false">IF(L624&lt;&gt;"",L624+N624,"")</f>
        <v>360.0855</v>
      </c>
      <c r="P624" s="117" t="n">
        <f aca="false">IF(O624&lt;&gt;"",O624*0.1,"")</f>
        <v>36.00855</v>
      </c>
      <c r="Q624" s="116" t="n">
        <f aca="false">IF(O624&lt;&gt;"",O624+P624,"")</f>
        <v>396.09405</v>
      </c>
      <c r="R624" s="84"/>
    </row>
    <row r="625" customFormat="false" ht="15" hidden="false" customHeight="true" outlineLevel="0" collapsed="false">
      <c r="A625" s="103" t="n">
        <v>55980</v>
      </c>
      <c r="B625" s="73" t="n">
        <v>46211</v>
      </c>
      <c r="C625" s="84" t="n">
        <v>18717</v>
      </c>
      <c r="D625" s="87" t="n">
        <v>50163</v>
      </c>
      <c r="E625" s="46" t="str">
        <f aca="false">IF(D625&lt;&gt;"",IFERROR(VLOOKUP(D625,PROVEEDORES!$A:$B,2,0),"!COD NO ENCONTRADO"),"")</f>
        <v>SUBASTAS RIVERA S.L.</v>
      </c>
      <c r="F625" s="88" t="str">
        <f aca="false">IF(D625&lt;&gt;"",IFERROR(VLOOKUP(D625,PROVEEDORES!$A:$C,3,0),""),"")</f>
        <v>S</v>
      </c>
      <c r="G625" s="87" t="s">
        <v>276</v>
      </c>
      <c r="H625" s="46" t="str">
        <f aca="false">IF(G625&lt;&gt;"",IFERROR(VLOOKUP(G625,PRODUCTOS!$A:$B,2,0),"!COD NO ENCONTRADO"),"")</f>
        <v>MERLUZA EUROPEA/ FINA DIA </v>
      </c>
      <c r="I625" s="89" t="n">
        <v>7</v>
      </c>
      <c r="J625" s="90" t="n">
        <v>39.5</v>
      </c>
      <c r="K625" s="106" t="n">
        <v>2.5</v>
      </c>
      <c r="L625" s="107" t="n">
        <f aca="false">IF(AND(J625&lt;&gt;"",K625&lt;&gt;""),J625*K625,"")</f>
        <v>98.75</v>
      </c>
      <c r="M625" s="108" t="n">
        <f aca="false">IF(L625&lt;&gt;"",L625*1.1,"")</f>
        <v>108.625</v>
      </c>
      <c r="N625" s="114" t="n">
        <f aca="false">IF(F625="S",L625*0.02,0)</f>
        <v>1.975</v>
      </c>
      <c r="O625" s="115" t="n">
        <f aca="false">IF(L625&lt;&gt;"",L625+N625,"")</f>
        <v>100.725</v>
      </c>
      <c r="P625" s="114" t="n">
        <f aca="false">IF(O625&lt;&gt;"",O625*0.1,"")</f>
        <v>10.0725</v>
      </c>
      <c r="Q625" s="116" t="n">
        <f aca="false">IF(O625&lt;&gt;"",O625+P625,"")</f>
        <v>110.7975</v>
      </c>
      <c r="R625" s="84"/>
    </row>
    <row r="626" customFormat="false" ht="15" hidden="false" customHeight="true" outlineLevel="0" collapsed="false">
      <c r="A626" s="103" t="n">
        <v>55980</v>
      </c>
      <c r="B626" s="73" t="n">
        <v>46211</v>
      </c>
      <c r="C626" s="84" t="n">
        <v>18717</v>
      </c>
      <c r="D626" s="75" t="n">
        <v>50163</v>
      </c>
      <c r="E626" s="52" t="str">
        <f aca="false">IF(D626&lt;&gt;"",IFERROR(VLOOKUP(D626,PROVEEDORES!$A:$B,2,0),"!COD NO ENCONTRADO"),"")</f>
        <v>SUBASTAS RIVERA S.L.</v>
      </c>
      <c r="F626" s="76" t="str">
        <f aca="false">IF(D626&lt;&gt;"",IFERROR(VLOOKUP(D626,PROVEEDORES!$A:$C,3,0),""),"")</f>
        <v>S</v>
      </c>
      <c r="G626" s="75" t="s">
        <v>167</v>
      </c>
      <c r="H626" s="52" t="str">
        <f aca="false">IF(G626&lt;&gt;"",IFERROR(VLOOKUP(G626,PRODUCTOS!$A:$B,2,0),"!COD NO ENCONTRADO"),"")</f>
        <v>HUEVAS DE MERLUZA </v>
      </c>
      <c r="I626" s="77" t="n">
        <v>3</v>
      </c>
      <c r="J626" s="78" t="n">
        <v>14.75</v>
      </c>
      <c r="K626" s="109" t="n">
        <v>13</v>
      </c>
      <c r="L626" s="107" t="n">
        <f aca="false">IF(AND(J626&lt;&gt;"",K626&lt;&gt;""),J626*K626,"")</f>
        <v>191.75</v>
      </c>
      <c r="M626" s="108" t="n">
        <f aca="false">IF(L626&lt;&gt;"",L626*1.1,"")</f>
        <v>210.925</v>
      </c>
      <c r="N626" s="117" t="n">
        <f aca="false">IF(F626="S",L626*0.02,0)</f>
        <v>3.835</v>
      </c>
      <c r="O626" s="115" t="n">
        <f aca="false">IF(L626&lt;&gt;"",L626+N626,"")</f>
        <v>195.585</v>
      </c>
      <c r="P626" s="117" t="n">
        <f aca="false">IF(O626&lt;&gt;"",O626*0.1,"")</f>
        <v>19.5585</v>
      </c>
      <c r="Q626" s="116" t="n">
        <f aca="false">IF(O626&lt;&gt;"",O626+P626,"")</f>
        <v>215.1435</v>
      </c>
      <c r="R626" s="84"/>
    </row>
    <row r="627" customFormat="false" ht="15" hidden="false" customHeight="true" outlineLevel="0" collapsed="false">
      <c r="A627" s="103" t="n">
        <v>55980</v>
      </c>
      <c r="B627" s="73" t="n">
        <v>46211</v>
      </c>
      <c r="C627" s="84" t="n">
        <v>18717</v>
      </c>
      <c r="D627" s="87" t="n">
        <v>50163</v>
      </c>
      <c r="E627" s="46" t="str">
        <f aca="false">IF(D627&lt;&gt;"",IFERROR(VLOOKUP(D627,PROVEEDORES!$A:$B,2,0),"!COD NO ENCONTRADO"),"")</f>
        <v>SUBASTAS RIVERA S.L.</v>
      </c>
      <c r="F627" s="88" t="str">
        <f aca="false">IF(D627&lt;&gt;"",IFERROR(VLOOKUP(D627,PROVEEDORES!$A:$C,3,0),""),"")</f>
        <v>S</v>
      </c>
      <c r="G627" s="87" t="s">
        <v>316</v>
      </c>
      <c r="H627" s="46" t="str">
        <f aca="false">IF(G627&lt;&gt;"",IFERROR(VLOOKUP(G627,PRODUCTOS!$A:$B,2,0),"!COD NO ENCONTRADO"),"")</f>
        <v>SALMONETE ROCA (MUR)</v>
      </c>
      <c r="I627" s="89" t="n">
        <v>1</v>
      </c>
      <c r="J627" s="90" t="n">
        <v>0.5</v>
      </c>
      <c r="K627" s="106" t="n">
        <v>18</v>
      </c>
      <c r="L627" s="107" t="n">
        <f aca="false">IF(AND(J627&lt;&gt;"",K627&lt;&gt;""),J627*K627,"")</f>
        <v>9</v>
      </c>
      <c r="M627" s="108" t="n">
        <f aca="false">IF(L627&lt;&gt;"",L627*1.1,"")</f>
        <v>9.9</v>
      </c>
      <c r="N627" s="114" t="n">
        <f aca="false">IF(F627="S",L627*0.02,0)</f>
        <v>0.18</v>
      </c>
      <c r="O627" s="115" t="n">
        <f aca="false">IF(L627&lt;&gt;"",L627+N627,"")</f>
        <v>9.18</v>
      </c>
      <c r="P627" s="114" t="n">
        <f aca="false">IF(O627&lt;&gt;"",O627*0.1,"")</f>
        <v>0.918</v>
      </c>
      <c r="Q627" s="116" t="n">
        <f aca="false">IF(O627&lt;&gt;"",O627+P627,"")</f>
        <v>10.098</v>
      </c>
      <c r="R627" s="84"/>
    </row>
    <row r="628" customFormat="false" ht="15" hidden="false" customHeight="true" outlineLevel="0" collapsed="false">
      <c r="A628" s="103" t="n">
        <v>55980</v>
      </c>
      <c r="B628" s="73" t="n">
        <v>46211</v>
      </c>
      <c r="C628" s="84" t="n">
        <v>18717</v>
      </c>
      <c r="D628" s="75" t="n">
        <v>50163</v>
      </c>
      <c r="E628" s="52" t="str">
        <f aca="false">IF(D628&lt;&gt;"",IFERROR(VLOOKUP(D628,PROVEEDORES!$A:$B,2,0),"!COD NO ENCONTRADO"),"")</f>
        <v>SUBASTAS RIVERA S.L.</v>
      </c>
      <c r="F628" s="76" t="str">
        <f aca="false">IF(D628&lt;&gt;"",IFERROR(VLOOKUP(D628,PROVEEDORES!$A:$C,3,0),""),"")</f>
        <v>S</v>
      </c>
      <c r="G628" s="75" t="s">
        <v>103</v>
      </c>
      <c r="H628" s="52" t="str">
        <f aca="false">IF(G628&lt;&gt;"",IFERROR(VLOOKUP(G628,PRODUCTOS!$A:$B,2,0),"!COD NO ENCONTRADO"),"")</f>
        <v>CABRAS/ GALLINETA (BRF)</v>
      </c>
      <c r="I628" s="77" t="n">
        <v>1</v>
      </c>
      <c r="J628" s="78" t="n">
        <v>5</v>
      </c>
      <c r="K628" s="109" t="n">
        <v>11.5</v>
      </c>
      <c r="L628" s="107" t="n">
        <f aca="false">IF(AND(J628&lt;&gt;"",K628&lt;&gt;""),J628*K628,"")</f>
        <v>57.5</v>
      </c>
      <c r="M628" s="108" t="n">
        <f aca="false">IF(L628&lt;&gt;"",L628*1.1,"")</f>
        <v>63.25</v>
      </c>
      <c r="N628" s="117" t="n">
        <f aca="false">IF(F628="S",L628*0.02,0)</f>
        <v>1.15</v>
      </c>
      <c r="O628" s="115" t="n">
        <f aca="false">IF(L628&lt;&gt;"",L628+N628,"")</f>
        <v>58.65</v>
      </c>
      <c r="P628" s="117" t="n">
        <f aca="false">IF(O628&lt;&gt;"",O628*0.1,"")</f>
        <v>5.865</v>
      </c>
      <c r="Q628" s="116" t="n">
        <f aca="false">IF(O628&lt;&gt;"",O628+P628,"")</f>
        <v>64.515</v>
      </c>
      <c r="R628" s="84"/>
    </row>
    <row r="629" customFormat="false" ht="15" hidden="false" customHeight="true" outlineLevel="0" collapsed="false">
      <c r="A629" s="103" t="n">
        <v>55980</v>
      </c>
      <c r="B629" s="73" t="n">
        <v>46211</v>
      </c>
      <c r="C629" s="84" t="n">
        <v>18717</v>
      </c>
      <c r="D629" s="87" t="n">
        <v>50163</v>
      </c>
      <c r="E629" s="46" t="str">
        <f aca="false">IF(D629&lt;&gt;"",IFERROR(VLOOKUP(D629,PROVEEDORES!$A:$B,2,0),"!COD NO ENCONTRADO"),"")</f>
        <v>SUBASTAS RIVERA S.L.</v>
      </c>
      <c r="F629" s="88" t="str">
        <f aca="false">IF(D629&lt;&gt;"",IFERROR(VLOOKUP(D629,PROVEEDORES!$A:$C,3,0),""),"")</f>
        <v>S</v>
      </c>
      <c r="G629" s="87" t="s">
        <v>103</v>
      </c>
      <c r="H629" s="46" t="str">
        <f aca="false">IF(G629&lt;&gt;"",IFERROR(VLOOKUP(G629,PRODUCTOS!$A:$B,2,0),"!COD NO ENCONTRADO"),"")</f>
        <v>CABRAS/ GALLINETA (BRF)</v>
      </c>
      <c r="I629" s="89" t="n">
        <v>1</v>
      </c>
      <c r="J629" s="90" t="n">
        <v>4.1</v>
      </c>
      <c r="K629" s="106" t="n">
        <v>11.9</v>
      </c>
      <c r="L629" s="107" t="n">
        <f aca="false">IF(AND(J629&lt;&gt;"",K629&lt;&gt;""),J629*K629,"")</f>
        <v>48.79</v>
      </c>
      <c r="M629" s="108" t="n">
        <f aca="false">IF(L629&lt;&gt;"",L629*1.1,"")</f>
        <v>53.669</v>
      </c>
      <c r="N629" s="114" t="n">
        <f aca="false">IF(F629="S",L629*0.02,0)</f>
        <v>0.9758</v>
      </c>
      <c r="O629" s="115" t="n">
        <f aca="false">IF(L629&lt;&gt;"",L629+N629,"")</f>
        <v>49.7658</v>
      </c>
      <c r="P629" s="114" t="n">
        <f aca="false">IF(O629&lt;&gt;"",O629*0.1,"")</f>
        <v>4.97658</v>
      </c>
      <c r="Q629" s="116" t="n">
        <f aca="false">IF(O629&lt;&gt;"",O629+P629,"")</f>
        <v>54.74238</v>
      </c>
      <c r="R629" s="84"/>
    </row>
    <row r="630" customFormat="false" ht="15" hidden="false" customHeight="true" outlineLevel="0" collapsed="false">
      <c r="A630" s="103" t="n">
        <v>55980</v>
      </c>
      <c r="B630" s="73" t="n">
        <v>46211</v>
      </c>
      <c r="C630" s="84" t="n">
        <v>18717</v>
      </c>
      <c r="D630" s="75" t="n">
        <v>50163</v>
      </c>
      <c r="E630" s="52" t="str">
        <f aca="false">IF(D630&lt;&gt;"",IFERROR(VLOOKUP(D630,PROVEEDORES!$A:$B,2,0),"!COD NO ENCONTRADO"),"")</f>
        <v>SUBASTAS RIVERA S.L.</v>
      </c>
      <c r="F630" s="76" t="str">
        <f aca="false">IF(D630&lt;&gt;"",IFERROR(VLOOKUP(D630,PROVEEDORES!$A:$C,3,0),""),"")</f>
        <v>S</v>
      </c>
      <c r="G630" s="75" t="s">
        <v>216</v>
      </c>
      <c r="H630" s="52" t="str">
        <f aca="false">IF(G630&lt;&gt;"",IFERROR(VLOOKUP(G630,PRODUCTOS!$A:$B,2,0),"!COD NO ENCONTRADO"),"")</f>
        <v>MERLUZA EUROPEA PINCHO COSTA</v>
      </c>
      <c r="I630" s="77" t="n">
        <v>2</v>
      </c>
      <c r="J630" s="78" t="n">
        <v>29.25</v>
      </c>
      <c r="K630" s="109" t="n">
        <v>6</v>
      </c>
      <c r="L630" s="107" t="n">
        <f aca="false">IF(AND(J630&lt;&gt;"",K630&lt;&gt;""),J630*K630,"")</f>
        <v>175.5</v>
      </c>
      <c r="M630" s="108" t="n">
        <f aca="false">IF(L630&lt;&gt;"",L630*1.1,"")</f>
        <v>193.05</v>
      </c>
      <c r="N630" s="117" t="n">
        <f aca="false">IF(F630="S",L630*0.02,0)</f>
        <v>3.51</v>
      </c>
      <c r="O630" s="115" t="n">
        <f aca="false">IF(L630&lt;&gt;"",L630+N630,"")</f>
        <v>179.01</v>
      </c>
      <c r="P630" s="117" t="n">
        <f aca="false">IF(O630&lt;&gt;"",O630*0.1,"")</f>
        <v>17.901</v>
      </c>
      <c r="Q630" s="116" t="n">
        <f aca="false">IF(O630&lt;&gt;"",O630+P630,"")</f>
        <v>196.911</v>
      </c>
      <c r="R630" s="84"/>
    </row>
    <row r="631" customFormat="false" ht="15" hidden="false" customHeight="true" outlineLevel="0" collapsed="false">
      <c r="A631" s="103" t="n">
        <v>55980</v>
      </c>
      <c r="B631" s="73" t="n">
        <v>46211</v>
      </c>
      <c r="C631" s="84" t="n">
        <v>18717</v>
      </c>
      <c r="D631" s="87" t="n">
        <v>50163</v>
      </c>
      <c r="E631" s="46" t="str">
        <f aca="false">IF(D631&lt;&gt;"",IFERROR(VLOOKUP(D631,PROVEEDORES!$A:$B,2,0),"!COD NO ENCONTRADO"),"")</f>
        <v>SUBASTAS RIVERA S.L.</v>
      </c>
      <c r="F631" s="88" t="str">
        <f aca="false">IF(D631&lt;&gt;"",IFERROR(VLOOKUP(D631,PROVEEDORES!$A:$C,3,0),""),"")</f>
        <v>S</v>
      </c>
      <c r="G631" s="87" t="s">
        <v>216</v>
      </c>
      <c r="H631" s="46" t="str">
        <f aca="false">IF(G631&lt;&gt;"",IFERROR(VLOOKUP(G631,PRODUCTOS!$A:$B,2,0),"!COD NO ENCONTRADO"),"")</f>
        <v>MERLUZA EUROPEA PINCHO COSTA</v>
      </c>
      <c r="I631" s="89" t="n">
        <v>1</v>
      </c>
      <c r="J631" s="90" t="n">
        <v>15.75</v>
      </c>
      <c r="K631" s="106" t="n">
        <v>10.6</v>
      </c>
      <c r="L631" s="107" t="n">
        <f aca="false">IF(AND(J631&lt;&gt;"",K631&lt;&gt;""),J631*K631,"")</f>
        <v>166.95</v>
      </c>
      <c r="M631" s="108" t="n">
        <f aca="false">IF(L631&lt;&gt;"",L631*1.1,"")</f>
        <v>183.645</v>
      </c>
      <c r="N631" s="114" t="n">
        <f aca="false">IF(F631="S",L631*0.02,0)</f>
        <v>3.339</v>
      </c>
      <c r="O631" s="115" t="n">
        <f aca="false">IF(L631&lt;&gt;"",L631+N631,"")</f>
        <v>170.289</v>
      </c>
      <c r="P631" s="114" t="n">
        <f aca="false">IF(O631&lt;&gt;"",O631*0.1,"")</f>
        <v>17.0289</v>
      </c>
      <c r="Q631" s="116" t="n">
        <f aca="false">IF(O631&lt;&gt;"",O631+P631,"")</f>
        <v>187.3179</v>
      </c>
      <c r="R631" s="84"/>
    </row>
    <row r="632" customFormat="false" ht="15" hidden="false" customHeight="true" outlineLevel="0" collapsed="false">
      <c r="A632" s="103" t="n">
        <v>55981</v>
      </c>
      <c r="B632" s="73" t="n">
        <v>46211</v>
      </c>
      <c r="C632" s="84" t="s">
        <v>418</v>
      </c>
      <c r="D632" s="75" t="n">
        <v>50218</v>
      </c>
      <c r="E632" s="52" t="str">
        <f aca="false">IF(D632&lt;&gt;"",IFERROR(VLOOKUP(D632,PROVEEDORES!$A:$B,2,0),"!COD NO ENCONTRADO"),"")</f>
        <v>ACERGA </v>
      </c>
      <c r="F632" s="76" t="str">
        <f aca="false">IF(D632&lt;&gt;"",IFERROR(VLOOKUP(D632,PROVEEDORES!$A:$C,3,0),""),"")</f>
        <v>S</v>
      </c>
      <c r="G632" s="75" t="s">
        <v>324</v>
      </c>
      <c r="H632" s="52" t="str">
        <f aca="false">IF(G632&lt;&gt;"",IFERROR(VLOOKUP(G632,PRODUCTOS!$A:$B,2,0),"!COD NO ENCONTRADO"),"")</f>
        <v>SARDINA    (PIL)</v>
      </c>
      <c r="I632" s="77" t="n">
        <v>2</v>
      </c>
      <c r="J632" s="78" t="n">
        <v>55</v>
      </c>
      <c r="K632" s="109" t="n">
        <v>2.1</v>
      </c>
      <c r="L632" s="107" t="n">
        <f aca="false">IF(AND(J632&lt;&gt;"",K632&lt;&gt;""),J632*K632,"")</f>
        <v>115.5</v>
      </c>
      <c r="M632" s="108" t="n">
        <f aca="false">IF(L632&lt;&gt;"",L632*1.1,"")</f>
        <v>127.05</v>
      </c>
      <c r="N632" s="117" t="n">
        <f aca="false">IF(F632="S",L632*0.02,0)</f>
        <v>2.31</v>
      </c>
      <c r="O632" s="115" t="n">
        <f aca="false">IF(L632&lt;&gt;"",L632+N632,"")</f>
        <v>117.81</v>
      </c>
      <c r="P632" s="117" t="n">
        <f aca="false">IF(O632&lt;&gt;"",O632*0.1,"")</f>
        <v>11.781</v>
      </c>
      <c r="Q632" s="116" t="n">
        <f aca="false">IF(O632&lt;&gt;"",O632+P632,"")</f>
        <v>129.591</v>
      </c>
      <c r="R632" s="84"/>
    </row>
    <row r="633" customFormat="false" ht="15" hidden="false" customHeight="true" outlineLevel="0" collapsed="false">
      <c r="A633" s="103" t="n">
        <v>55981</v>
      </c>
      <c r="B633" s="85" t="n">
        <v>46211</v>
      </c>
      <c r="C633" s="84" t="s">
        <v>418</v>
      </c>
      <c r="D633" s="87" t="n">
        <v>50218</v>
      </c>
      <c r="E633" s="46" t="str">
        <f aca="false">IF(D633&lt;&gt;"",IFERROR(VLOOKUP(D633,PROVEEDORES!$A:$B,2,0),"!COD NO ENCONTRADO"),"")</f>
        <v>ACERGA </v>
      </c>
      <c r="F633" s="88" t="str">
        <f aca="false">IF(D633&lt;&gt;"",IFERROR(VLOOKUP(D633,PROVEEDORES!$A:$C,3,0),""),"")</f>
        <v>S</v>
      </c>
      <c r="G633" s="87" t="s">
        <v>93</v>
      </c>
      <c r="H633" s="46" t="str">
        <f aca="false">IF(G633&lt;&gt;"",IFERROR(VLOOKUP(G633,PRODUCTOS!$A:$B,2,0),"!COD NO ENCONTRADO"),"")</f>
        <v>BOQUERON/ BOCARTE/ ANCHOA (ANE)</v>
      </c>
      <c r="I633" s="89" t="n">
        <v>30</v>
      </c>
      <c r="J633" s="90" t="n">
        <v>372</v>
      </c>
      <c r="K633" s="106" t="n">
        <v>2.05</v>
      </c>
      <c r="L633" s="107" t="n">
        <f aca="false">IF(AND(J633&lt;&gt;"",K633&lt;&gt;""),J633*K633,"")</f>
        <v>762.6</v>
      </c>
      <c r="M633" s="108" t="n">
        <f aca="false">IF(L633&lt;&gt;"",L633*1.1,"")</f>
        <v>838.86</v>
      </c>
      <c r="N633" s="114" t="n">
        <f aca="false">IF(F633="S",L633*0.02,0)</f>
        <v>15.252</v>
      </c>
      <c r="O633" s="115" t="n">
        <f aca="false">IF(L633&lt;&gt;"",L633+N633,"")</f>
        <v>777.852</v>
      </c>
      <c r="P633" s="114" t="n">
        <f aca="false">IF(O633&lt;&gt;"",O633*0.1,"")</f>
        <v>77.7852</v>
      </c>
      <c r="Q633" s="116" t="n">
        <f aca="false">IF(O633&lt;&gt;"",O633+P633,"")</f>
        <v>855.6372</v>
      </c>
      <c r="R633" s="84"/>
    </row>
    <row r="634" customFormat="false" ht="15" hidden="false" customHeight="true" outlineLevel="0" collapsed="false">
      <c r="A634" s="103" t="n">
        <v>55982</v>
      </c>
      <c r="B634" s="73" t="n">
        <v>46211</v>
      </c>
      <c r="C634" s="84" t="n">
        <v>16110</v>
      </c>
      <c r="D634" s="75" t="n">
        <v>50160</v>
      </c>
      <c r="E634" s="52" t="str">
        <f aca="false">IF(D634&lt;&gt;"",IFERROR(VLOOKUP(D634,PROVEEDORES!$A:$B,2,0),"!COD NO ENCONTRADO"),"")</f>
        <v>SUBASTAS CORUÑA S.L.</v>
      </c>
      <c r="F634" s="76" t="str">
        <f aca="false">IF(D634&lt;&gt;"",IFERROR(VLOOKUP(D634,PROVEEDORES!$A:$C,3,0),""),"")</f>
        <v>S</v>
      </c>
      <c r="G634" s="75" t="s">
        <v>179</v>
      </c>
      <c r="H634" s="52" t="str">
        <f aca="false">IF(G634&lt;&gt;"",IFERROR(VLOOKUP(G634,PRODUCTOS!$A:$B,2,0),"!COD NO ENCONTRADO"),"")</f>
        <v>LIRIO/ BACALADILLA/ PERLA (WHB)</v>
      </c>
      <c r="I634" s="77" t="n">
        <v>10</v>
      </c>
      <c r="J634" s="78" t="n">
        <v>140</v>
      </c>
      <c r="K634" s="113" t="n">
        <v>1.5</v>
      </c>
      <c r="L634" s="107" t="n">
        <f aca="false">IF(AND(J634&lt;&gt;"",K634&lt;&gt;""),J634*K634,"")</f>
        <v>210</v>
      </c>
      <c r="M634" s="108" t="n">
        <f aca="false">IF(L634&lt;&gt;"",L634*1.1,"")</f>
        <v>231</v>
      </c>
      <c r="N634" s="117" t="n">
        <f aca="false">IF(F634="S",L634*0.02,0)</f>
        <v>4.2</v>
      </c>
      <c r="O634" s="115" t="n">
        <f aca="false">IF(L634&lt;&gt;"",L634+N634,"")</f>
        <v>214.2</v>
      </c>
      <c r="P634" s="117" t="n">
        <f aca="false">IF(O634&lt;&gt;"",O634*0.1,"")</f>
        <v>21.42</v>
      </c>
      <c r="Q634" s="116" t="n">
        <f aca="false">IF(O634&lt;&gt;"",O634+P634,"")</f>
        <v>235.62</v>
      </c>
      <c r="R634" s="84"/>
    </row>
    <row r="635" customFormat="false" ht="15" hidden="false" customHeight="true" outlineLevel="0" collapsed="false">
      <c r="A635" s="103" t="n">
        <v>55983</v>
      </c>
      <c r="B635" s="85" t="n">
        <v>46211</v>
      </c>
      <c r="C635" s="84" t="s">
        <v>419</v>
      </c>
      <c r="D635" s="87" t="n">
        <v>50526</v>
      </c>
      <c r="E635" s="46" t="str">
        <f aca="false">IF(D635&lt;&gt;"",IFERROR(VLOOKUP(D635,PROVEEDORES!$A:$B,2,0),"!COD NO ENCONTRADO"),"")</f>
        <v>BARROS PESCAGALICIA, S.L.</v>
      </c>
      <c r="F635" s="88" t="str">
        <f aca="false">IF(D635&lt;&gt;"",IFERROR(VLOOKUP(D635,PROVEEDORES!$A:$C,3,0),""),"")</f>
        <v>N</v>
      </c>
      <c r="G635" s="87" t="s">
        <v>290</v>
      </c>
      <c r="H635" s="46" t="str">
        <f aca="false">IF(G635&lt;&gt;"",IFERROR(VLOOKUP(G635,PRODUCTOS!$A:$B,2,0),"!COD NO ENCONTRADO"),"")</f>
        <v>HUESOS DE RAPE (MON)</v>
      </c>
      <c r="I635" s="89" t="n">
        <v>1</v>
      </c>
      <c r="J635" s="90" t="n">
        <v>38</v>
      </c>
      <c r="K635" s="106" t="n">
        <v>4.5</v>
      </c>
      <c r="L635" s="107" t="n">
        <f aca="false">IF(AND(J635&lt;&gt;"",K635&lt;&gt;""),J635*K635,"")</f>
        <v>171</v>
      </c>
      <c r="M635" s="108" t="n">
        <f aca="false">IF(L635&lt;&gt;"",L635*1.1,"")</f>
        <v>188.1</v>
      </c>
      <c r="N635" s="114" t="n">
        <f aca="false">IF(F635="S",L635*0.02,0)</f>
        <v>0</v>
      </c>
      <c r="O635" s="115" t="n">
        <f aca="false">IF(L635&lt;&gt;"",L635+N635,"")</f>
        <v>171</v>
      </c>
      <c r="P635" s="114" t="n">
        <f aca="false">IF(O635&lt;&gt;"",O635*0.1,"")</f>
        <v>17.1</v>
      </c>
      <c r="Q635" s="116" t="n">
        <f aca="false">IF(O635&lt;&gt;"",O635+P635,"")</f>
        <v>188.1</v>
      </c>
      <c r="R635" s="84"/>
    </row>
    <row r="636" customFormat="false" ht="15" hidden="false" customHeight="true" outlineLevel="0" collapsed="false">
      <c r="A636" s="103" t="n">
        <v>55983</v>
      </c>
      <c r="B636" s="73" t="n">
        <v>46211</v>
      </c>
      <c r="C636" s="84" t="s">
        <v>419</v>
      </c>
      <c r="D636" s="75" t="n">
        <v>50526</v>
      </c>
      <c r="E636" s="52" t="str">
        <f aca="false">IF(D636&lt;&gt;"",IFERROR(VLOOKUP(D636,PROVEEDORES!$A:$B,2,0),"!COD NO ENCONTRADO"),"")</f>
        <v>BARROS PESCAGALICIA, S.L.</v>
      </c>
      <c r="F636" s="76" t="str">
        <f aca="false">IF(D636&lt;&gt;"",IFERROR(VLOOKUP(D636,PROVEEDORES!$A:$C,3,0),""),"")</f>
        <v>N</v>
      </c>
      <c r="G636" s="75" t="s">
        <v>290</v>
      </c>
      <c r="H636" s="52" t="str">
        <f aca="false">IF(G636&lt;&gt;"",IFERROR(VLOOKUP(G636,PRODUCTOS!$A:$B,2,0),"!COD NO ENCONTRADO"),"")</f>
        <v>HUESOS DE RAPE (MON)</v>
      </c>
      <c r="I636" s="77" t="n">
        <v>1</v>
      </c>
      <c r="J636" s="78" t="n">
        <v>34</v>
      </c>
      <c r="K636" s="109" t="n">
        <v>3.5</v>
      </c>
      <c r="L636" s="107" t="n">
        <f aca="false">IF(AND(J636&lt;&gt;"",K636&lt;&gt;""),J636*K636,"")</f>
        <v>119</v>
      </c>
      <c r="M636" s="108" t="n">
        <f aca="false">IF(L636&lt;&gt;"",L636*1.1,"")</f>
        <v>130.9</v>
      </c>
      <c r="N636" s="117" t="n">
        <f aca="false">IF(F636="S",L636*0.02,0)</f>
        <v>0</v>
      </c>
      <c r="O636" s="115" t="n">
        <f aca="false">IF(L636&lt;&gt;"",L636+N636,"")</f>
        <v>119</v>
      </c>
      <c r="P636" s="117" t="n">
        <f aca="false">IF(O636&lt;&gt;"",O636*0.1,"")</f>
        <v>11.9</v>
      </c>
      <c r="Q636" s="116" t="n">
        <f aca="false">IF(O636&lt;&gt;"",O636+P636,"")</f>
        <v>130.9</v>
      </c>
      <c r="R636" s="84"/>
    </row>
    <row r="637" customFormat="false" ht="15" hidden="false" customHeight="true" outlineLevel="0" collapsed="false">
      <c r="A637" s="103" t="n">
        <v>55984</v>
      </c>
      <c r="B637" s="85" t="n">
        <v>46211</v>
      </c>
      <c r="C637" s="84" t="s">
        <v>420</v>
      </c>
      <c r="D637" s="87" t="n">
        <v>50048</v>
      </c>
      <c r="E637" s="46" t="str">
        <f aca="false">IF(D637&lt;&gt;"",IFERROR(VLOOKUP(D637,PROVEEDORES!$A:$B,2,0),"!COD NO ENCONTRADO"),"")</f>
        <v>JOSE LUIS CORREA KESSLER S.L.</v>
      </c>
      <c r="F637" s="88" t="str">
        <f aca="false">IF(D637&lt;&gt;"",IFERROR(VLOOKUP(D637,PROVEEDORES!$A:$C,3,0),""),"")</f>
        <v>N</v>
      </c>
      <c r="G637" s="87" t="s">
        <v>179</v>
      </c>
      <c r="H637" s="46" t="str">
        <f aca="false">IF(G637&lt;&gt;"",IFERROR(VLOOKUP(G637,PRODUCTOS!$A:$B,2,0),"!COD NO ENCONTRADO"),"")</f>
        <v>LIRIO/ BACALADILLA/ PERLA (WHB)</v>
      </c>
      <c r="I637" s="89" t="n">
        <v>8</v>
      </c>
      <c r="J637" s="90" t="n">
        <v>48</v>
      </c>
      <c r="K637" s="106" t="n">
        <v>1.9</v>
      </c>
      <c r="L637" s="107" t="n">
        <f aca="false">IF(AND(J637&lt;&gt;"",K637&lt;&gt;""),J637*K637,"")</f>
        <v>91.2</v>
      </c>
      <c r="M637" s="108" t="n">
        <f aca="false">IF(L637&lt;&gt;"",L637*1.1,"")</f>
        <v>100.32</v>
      </c>
      <c r="N637" s="114" t="n">
        <f aca="false">IF(F637="S",L637*0.02,0)</f>
        <v>0</v>
      </c>
      <c r="O637" s="115" t="n">
        <f aca="false">IF(L637&lt;&gt;"",L637+N637,"")</f>
        <v>91.2</v>
      </c>
      <c r="P637" s="114" t="n">
        <f aca="false">IF(O637&lt;&gt;"",O637*0.1,"")</f>
        <v>9.12</v>
      </c>
      <c r="Q637" s="116" t="n">
        <f aca="false">IF(O637&lt;&gt;"",O637+P637,"")</f>
        <v>100.32</v>
      </c>
      <c r="R637" s="84"/>
    </row>
    <row r="638" customFormat="false" ht="15" hidden="false" customHeight="true" outlineLevel="0" collapsed="false">
      <c r="A638" s="103" t="n">
        <v>55985</v>
      </c>
      <c r="B638" s="73" t="n">
        <v>46211</v>
      </c>
      <c r="C638" s="84" t="s">
        <v>421</v>
      </c>
      <c r="D638" s="75" t="n">
        <v>50531</v>
      </c>
      <c r="E638" s="52" t="str">
        <f aca="false">IF(D638&lt;&gt;"",IFERROR(VLOOKUP(D638,PROVEEDORES!$A:$B,2,0),"!COD NO ENCONTRADO"),"")</f>
        <v>SANCHEZ LOPEZ MIGUEL</v>
      </c>
      <c r="F638" s="76" t="str">
        <f aca="false">IF(D638&lt;&gt;"",IFERROR(VLOOKUP(D638,PROVEEDORES!$A:$C,3,0),""),"")</f>
        <v>N</v>
      </c>
      <c r="G638" s="75" t="s">
        <v>324</v>
      </c>
      <c r="H638" s="52" t="str">
        <f aca="false">IF(G638&lt;&gt;"",IFERROR(VLOOKUP(G638,PRODUCTOS!$A:$B,2,0),"!COD NO ENCONTRADO"),"")</f>
        <v>SARDINA    (PIL)</v>
      </c>
      <c r="I638" s="77" t="n">
        <v>7</v>
      </c>
      <c r="J638" s="78" t="n">
        <v>42</v>
      </c>
      <c r="K638" s="109" t="n">
        <v>2.85</v>
      </c>
      <c r="L638" s="107" t="n">
        <f aca="false">IF(AND(J638&lt;&gt;"",K638&lt;&gt;""),J638*K638,"")</f>
        <v>119.7</v>
      </c>
      <c r="M638" s="108" t="n">
        <f aca="false">IF(L638&lt;&gt;"",L638*1.1,"")</f>
        <v>131.67</v>
      </c>
      <c r="N638" s="117" t="n">
        <f aca="false">IF(F638="S",L638*0.02,0)</f>
        <v>0</v>
      </c>
      <c r="O638" s="115" t="n">
        <f aca="false">IF(L638&lt;&gt;"",L638+N638,"")</f>
        <v>119.7</v>
      </c>
      <c r="P638" s="117" t="n">
        <f aca="false">IF(O638&lt;&gt;"",O638*0.1,"")</f>
        <v>11.97</v>
      </c>
      <c r="Q638" s="116" t="n">
        <f aca="false">IF(O638&lt;&gt;"",O638+P638,"")</f>
        <v>131.67</v>
      </c>
      <c r="R638" s="84"/>
    </row>
    <row r="639" customFormat="false" ht="15" hidden="false" customHeight="true" outlineLevel="0" collapsed="false">
      <c r="A639" s="103" t="n">
        <v>55986</v>
      </c>
      <c r="B639" s="85" t="n">
        <v>46211</v>
      </c>
      <c r="C639" s="84" t="s">
        <v>422</v>
      </c>
      <c r="D639" s="87" t="n">
        <v>50152</v>
      </c>
      <c r="E639" s="46" t="str">
        <f aca="false">IF(D639&lt;&gt;"",IFERROR(VLOOKUP(D639,PROVEEDORES!$A:$B,2,0),"!COD NO ENCONTRADO"),"")</f>
        <v>DOMAR CORUÑA S.L</v>
      </c>
      <c r="F639" s="88" t="str">
        <f aca="false">IF(D639&lt;&gt;"",IFERROR(VLOOKUP(D639,PROVEEDORES!$A:$C,3,0),""),"")</f>
        <v>N</v>
      </c>
      <c r="G639" s="87" t="s">
        <v>125</v>
      </c>
      <c r="H639" s="46" t="str">
        <f aca="false">IF(G639&lt;&gt;"",IFERROR(VLOOKUP(G639,PRODUCTOS!$A:$B,2,0),"!COD NO ENCONTRADO"),"")</f>
        <v>CIGALA "3P" (NEP)</v>
      </c>
      <c r="I639" s="89" t="n">
        <v>3</v>
      </c>
      <c r="J639" s="90" t="n">
        <v>6</v>
      </c>
      <c r="K639" s="106" t="n">
        <v>17.5</v>
      </c>
      <c r="L639" s="107" t="n">
        <f aca="false">IF(AND(J639&lt;&gt;"",K639&lt;&gt;""),J639*K639,"")</f>
        <v>105</v>
      </c>
      <c r="M639" s="108" t="n">
        <f aca="false">IF(L639&lt;&gt;"",L639*1.1,"")</f>
        <v>115.5</v>
      </c>
      <c r="N639" s="114" t="n">
        <f aca="false">IF(F639="S",L639*0.02,0)</f>
        <v>0</v>
      </c>
      <c r="O639" s="115" t="n">
        <f aca="false">IF(L639&lt;&gt;"",L639+N639,"")</f>
        <v>105</v>
      </c>
      <c r="P639" s="114" t="n">
        <f aca="false">IF(O639&lt;&gt;"",O639*0.1,"")</f>
        <v>10.5</v>
      </c>
      <c r="Q639" s="116" t="n">
        <f aca="false">IF(O639&lt;&gt;"",O639+P639,"")</f>
        <v>115.5</v>
      </c>
      <c r="R639" s="84"/>
    </row>
    <row r="640" customFormat="false" ht="15" hidden="false" customHeight="true" outlineLevel="0" collapsed="false">
      <c r="A640" s="103" t="n">
        <v>55987</v>
      </c>
      <c r="B640" s="85" t="n">
        <v>46211</v>
      </c>
      <c r="C640" s="84" t="s">
        <v>423</v>
      </c>
      <c r="D640" s="75" t="n">
        <v>50035</v>
      </c>
      <c r="E640" s="52" t="str">
        <f aca="false">IF(D640&lt;&gt;"",IFERROR(VLOOKUP(D640,PROVEEDORES!$A:$B,2,0),"!COD NO ENCONTRADO"),"")</f>
        <v>SCANFISK SEAFFOD S,L</v>
      </c>
      <c r="F640" s="76" t="str">
        <f aca="false">IF(D640&lt;&gt;"",IFERROR(VLOOKUP(D640,PROVEEDORES!$A:$C,3,0),""),"")</f>
        <v>N</v>
      </c>
      <c r="G640" s="75" t="s">
        <v>246</v>
      </c>
      <c r="H640" s="52" t="str">
        <f aca="false">IF(G640&lt;&gt;"",IFERROR(VLOOKUP(G640,PRODUCTOS!$A:$B,2,0),"!COD NO ENCONTRADO"),"")</f>
        <v>MERLUZA EUROPEA VOLANTA ALTURA</v>
      </c>
      <c r="I640" s="77" t="n">
        <v>8</v>
      </c>
      <c r="J640" s="78" t="n">
        <v>83.4</v>
      </c>
      <c r="K640" s="109" t="n">
        <v>11.5</v>
      </c>
      <c r="L640" s="107" t="n">
        <f aca="false">IF(AND(J640&lt;&gt;"",K640&lt;&gt;""),J640*K640,"")</f>
        <v>959.1</v>
      </c>
      <c r="M640" s="108" t="n">
        <f aca="false">IF(L640&lt;&gt;"",L640*1.1,"")</f>
        <v>1055.01</v>
      </c>
      <c r="N640" s="117" t="n">
        <f aca="false">IF(F640="S",L640*0.02,0)</f>
        <v>0</v>
      </c>
      <c r="O640" s="115" t="n">
        <f aca="false">IF(L640&lt;&gt;"",L640+N640,"")</f>
        <v>959.1</v>
      </c>
      <c r="P640" s="117" t="n">
        <f aca="false">IF(O640&lt;&gt;"",O640*0.1,"")</f>
        <v>95.91</v>
      </c>
      <c r="Q640" s="116" t="n">
        <f aca="false">IF(O640&lt;&gt;"",O640+P640,"")</f>
        <v>1055.01</v>
      </c>
      <c r="R640" s="84"/>
    </row>
    <row r="641" customFormat="false" ht="15" hidden="false" customHeight="true" outlineLevel="0" collapsed="false">
      <c r="A641" s="103" t="n">
        <v>55987</v>
      </c>
      <c r="B641" s="85" t="n">
        <v>46211</v>
      </c>
      <c r="C641" s="84" t="s">
        <v>423</v>
      </c>
      <c r="D641" s="87" t="n">
        <v>50035</v>
      </c>
      <c r="E641" s="46" t="str">
        <f aca="false">IF(D641&lt;&gt;"",IFERROR(VLOOKUP(D641,PROVEEDORES!$A:$B,2,0),"!COD NO ENCONTRADO"),"")</f>
        <v>SCANFISK SEAFFOD S,L</v>
      </c>
      <c r="F641" s="88" t="str">
        <f aca="false">IF(D641&lt;&gt;"",IFERROR(VLOOKUP(D641,PROVEEDORES!$A:$C,3,0),""),"")</f>
        <v>N</v>
      </c>
      <c r="G641" s="87" t="s">
        <v>367</v>
      </c>
      <c r="H641" s="46" t="str">
        <f aca="false">IF(G641&lt;&gt;"",IFERROR(VLOOKUP(G641,PRODUCTOS!$A:$B,2,0),"!COD NO ENCONTRADO"),"")</f>
        <v>MERLUZA BAKA DIA</v>
      </c>
      <c r="I641" s="89" t="n">
        <v>6</v>
      </c>
      <c r="J641" s="90" t="n">
        <v>38.9</v>
      </c>
      <c r="K641" s="106" t="n">
        <v>4.9</v>
      </c>
      <c r="L641" s="107" t="n">
        <f aca="false">IF(AND(J641&lt;&gt;"",K641&lt;&gt;""),J641*K641,"")</f>
        <v>190.61</v>
      </c>
      <c r="M641" s="108" t="n">
        <f aca="false">IF(L641&lt;&gt;"",L641*1.1,"")</f>
        <v>209.671</v>
      </c>
      <c r="N641" s="114" t="n">
        <f aca="false">IF(F641="S",L641*0.02,0)</f>
        <v>0</v>
      </c>
      <c r="O641" s="115" t="n">
        <f aca="false">IF(L641&lt;&gt;"",L641+N641,"")</f>
        <v>190.61</v>
      </c>
      <c r="P641" s="114" t="n">
        <f aca="false">IF(O641&lt;&gt;"",O641*0.1,"")</f>
        <v>19.061</v>
      </c>
      <c r="Q641" s="116" t="n">
        <f aca="false">IF(O641&lt;&gt;"",O641+P641,"")</f>
        <v>209.671</v>
      </c>
      <c r="R641" s="84"/>
    </row>
    <row r="642" customFormat="false" ht="15" hidden="false" customHeight="true" outlineLevel="0" collapsed="false">
      <c r="A642" s="103" t="n">
        <v>55987</v>
      </c>
      <c r="B642" s="85" t="n">
        <v>46211</v>
      </c>
      <c r="C642" s="84" t="s">
        <v>423</v>
      </c>
      <c r="D642" s="75" t="n">
        <v>50035</v>
      </c>
      <c r="E642" s="52" t="str">
        <f aca="false">IF(D642&lt;&gt;"",IFERROR(VLOOKUP(D642,PROVEEDORES!$A:$B,2,0),"!COD NO ENCONTRADO"),"")</f>
        <v>SCANFISK SEAFFOD S,L</v>
      </c>
      <c r="F642" s="76" t="str">
        <f aca="false">IF(D642&lt;&gt;"",IFERROR(VLOOKUP(D642,PROVEEDORES!$A:$C,3,0),""),"")</f>
        <v>N</v>
      </c>
      <c r="G642" s="75" t="s">
        <v>91</v>
      </c>
      <c r="H642" s="52" t="str">
        <f aca="false">IF(G642&lt;&gt;"",IFERROR(VLOOKUP(G642,PRODUCTOS!$A:$B,2,0),"!COD NO ENCONTRADO"),"")</f>
        <v>BONITO DEL NORTE 5/7</v>
      </c>
      <c r="I642" s="77" t="n">
        <v>6</v>
      </c>
      <c r="J642" s="78" t="n">
        <v>64.6</v>
      </c>
      <c r="K642" s="109" t="n">
        <v>5.4</v>
      </c>
      <c r="L642" s="107" t="n">
        <f aca="false">IF(AND(J642&lt;&gt;"",K642&lt;&gt;""),J642*K642,"")</f>
        <v>348.84</v>
      </c>
      <c r="M642" s="108" t="n">
        <f aca="false">IF(L642&lt;&gt;"",L642*1.1,"")</f>
        <v>383.724</v>
      </c>
      <c r="N642" s="117" t="n">
        <f aca="false">IF(F642="S",L642*0.02,0)</f>
        <v>0</v>
      </c>
      <c r="O642" s="115" t="n">
        <f aca="false">IF(L642&lt;&gt;"",L642+N642,"")</f>
        <v>348.84</v>
      </c>
      <c r="P642" s="117" t="n">
        <f aca="false">IF(O642&lt;&gt;"",O642*0.1,"")</f>
        <v>34.884</v>
      </c>
      <c r="Q642" s="116" t="n">
        <f aca="false">IF(O642&lt;&gt;"",O642+P642,"")</f>
        <v>383.724</v>
      </c>
      <c r="R642" s="84"/>
    </row>
    <row r="643" customFormat="false" ht="15" hidden="false" customHeight="true" outlineLevel="0" collapsed="false">
      <c r="A643" s="103" t="n">
        <v>55987</v>
      </c>
      <c r="B643" s="85" t="n">
        <v>46211</v>
      </c>
      <c r="C643" s="84" t="s">
        <v>423</v>
      </c>
      <c r="D643" s="87" t="n">
        <v>50035</v>
      </c>
      <c r="E643" s="46" t="str">
        <f aca="false">IF(D643&lt;&gt;"",IFERROR(VLOOKUP(D643,PROVEEDORES!$A:$B,2,0),"!COD NO ENCONTRADO"),"")</f>
        <v>SCANFISK SEAFFOD S,L</v>
      </c>
      <c r="F643" s="88" t="str">
        <f aca="false">IF(D643&lt;&gt;"",IFERROR(VLOOKUP(D643,PROVEEDORES!$A:$C,3,0),""),"")</f>
        <v>N</v>
      </c>
      <c r="G643" s="87" t="s">
        <v>424</v>
      </c>
      <c r="H643" s="46" t="str">
        <f aca="false">IF(G643&lt;&gt;"",IFERROR(VLOOKUP(G643,PRODUCTOS!$A:$B,2,0),"!COD NO ENCONTRADO"),"")</f>
        <v>!COD NO ENCONTRADO</v>
      </c>
      <c r="I643" s="89" t="n">
        <v>2</v>
      </c>
      <c r="J643" s="90" t="n">
        <v>20.8</v>
      </c>
      <c r="K643" s="106" t="n">
        <v>8.7</v>
      </c>
      <c r="L643" s="107" t="n">
        <f aca="false">IF(AND(J643&lt;&gt;"",K643&lt;&gt;""),J643*K643,"")</f>
        <v>180.96</v>
      </c>
      <c r="M643" s="108" t="n">
        <f aca="false">IF(L643&lt;&gt;"",L643*1.1,"")</f>
        <v>199.056</v>
      </c>
      <c r="N643" s="114" t="n">
        <f aca="false">IF(F643="S",L643*0.02,0)</f>
        <v>0</v>
      </c>
      <c r="O643" s="115" t="n">
        <f aca="false">IF(L643&lt;&gt;"",L643+N643,"")</f>
        <v>180.96</v>
      </c>
      <c r="P643" s="114" t="n">
        <f aca="false">IF(O643&lt;&gt;"",O643*0.1,"")</f>
        <v>18.096</v>
      </c>
      <c r="Q643" s="116" t="n">
        <f aca="false">IF(O643&lt;&gt;"",O643+P643,"")</f>
        <v>199.056</v>
      </c>
      <c r="R643" s="84"/>
    </row>
    <row r="644" customFormat="false" ht="15" hidden="false" customHeight="true" outlineLevel="0" collapsed="false">
      <c r="A644" s="103" t="n">
        <v>55987</v>
      </c>
      <c r="B644" s="85" t="n">
        <v>46211</v>
      </c>
      <c r="C644" s="84" t="s">
        <v>425</v>
      </c>
      <c r="D644" s="75" t="n">
        <v>50035</v>
      </c>
      <c r="E644" s="52" t="str">
        <f aca="false">IF(D644&lt;&gt;"",IFERROR(VLOOKUP(D644,PROVEEDORES!$A:$B,2,0),"!COD NO ENCONTRADO"),"")</f>
        <v>SCANFISK SEAFFOD S,L</v>
      </c>
      <c r="F644" s="76" t="str">
        <f aca="false">IF(D644&lt;&gt;"",IFERROR(VLOOKUP(D644,PROVEEDORES!$A:$C,3,0),""),"")</f>
        <v>N</v>
      </c>
      <c r="G644" s="75" t="s">
        <v>367</v>
      </c>
      <c r="H644" s="52" t="str">
        <f aca="false">IF(G644&lt;&gt;"",IFERROR(VLOOKUP(G644,PRODUCTOS!$A:$B,2,0),"!COD NO ENCONTRADO"),"")</f>
        <v>MERLUZA BAKA DIA</v>
      </c>
      <c r="I644" s="120" t="n">
        <v>0</v>
      </c>
      <c r="J644" s="121" t="n">
        <v>0</v>
      </c>
      <c r="K644" s="119" t="n">
        <v>0</v>
      </c>
      <c r="L644" s="107" t="n">
        <f aca="false">IF(AND(J644&lt;&gt;"",K644&lt;&gt;""),J644*K644,"")</f>
        <v>0</v>
      </c>
      <c r="M644" s="108" t="n">
        <f aca="false">IF(L644&lt;&gt;"",L644*1.1,"")</f>
        <v>0</v>
      </c>
      <c r="N644" s="117" t="n">
        <f aca="false">IF(F644="S",L644*0.02,0)</f>
        <v>0</v>
      </c>
      <c r="O644" s="115" t="n">
        <f aca="false">IF(L644&lt;&gt;"",L644+N644,"")</f>
        <v>0</v>
      </c>
      <c r="P644" s="117" t="n">
        <f aca="false">IF(O644&lt;&gt;"",O644*0.1,"")</f>
        <v>0</v>
      </c>
      <c r="Q644" s="116" t="n">
        <f aca="false">IF(O644&lt;&gt;"",O644+P644,"")</f>
        <v>0</v>
      </c>
      <c r="R644" s="84"/>
    </row>
    <row r="645" customFormat="false" ht="15" hidden="false" customHeight="true" outlineLevel="0" collapsed="false">
      <c r="A645" s="103" t="n">
        <v>55988</v>
      </c>
      <c r="B645" s="85" t="n">
        <v>46212</v>
      </c>
      <c r="C645" s="84" t="s">
        <v>426</v>
      </c>
      <c r="D645" s="87" t="n">
        <v>50232</v>
      </c>
      <c r="E645" s="104" t="str">
        <f aca="false">IF(D645&lt;&gt;"",IFERROR(VLOOKUP(D645,PROVEEDORES!$A:$B,2,0),"!COD NO ENCONTRADO"),"")</f>
        <v>XESTION NOVA LONXA RIVEIRA S.L.</v>
      </c>
      <c r="F645" s="122" t="str">
        <f aca="false">IF(D645&lt;&gt;"",IFERROR(VLOOKUP(D645,PROVEEDORES!$A:$C,3,0),""),"")</f>
        <v>S</v>
      </c>
      <c r="G645" s="111" t="s">
        <v>332</v>
      </c>
      <c r="H645" s="104" t="str">
        <f aca="false">IF(G645&lt;&gt;"",IFERROR(VLOOKUP(G645,PRODUCTOS!$A:$B,2,0),"!COD NO ENCONTRADO"),"")</f>
        <v>VARIADO PEQUEÑO</v>
      </c>
      <c r="I645" s="112" t="n">
        <v>11</v>
      </c>
      <c r="J645" s="105" t="n">
        <v>119.5</v>
      </c>
      <c r="K645" s="113" t="n">
        <v>0.5</v>
      </c>
      <c r="L645" s="107" t="n">
        <f aca="false">IF(AND(J645&lt;&gt;"",K645&lt;&gt;""),J645*K645,"")</f>
        <v>59.75</v>
      </c>
      <c r="M645" s="108" t="n">
        <f aca="false">IF(L645&lt;&gt;"",L645*1.1,"")</f>
        <v>65.725</v>
      </c>
      <c r="N645" s="114" t="n">
        <f aca="false">IF(F645="S",L645*0.02,0)</f>
        <v>1.195</v>
      </c>
      <c r="O645" s="115" t="n">
        <f aca="false">IF(L645&lt;&gt;"",L645+N645,"")</f>
        <v>60.945</v>
      </c>
      <c r="P645" s="114" t="n">
        <f aca="false">IF(O645&lt;&gt;"",O645*0.1,"")</f>
        <v>6.0945</v>
      </c>
      <c r="Q645" s="116" t="n">
        <f aca="false">IF(O645&lt;&gt;"",O645+P645,"")</f>
        <v>67.0395</v>
      </c>
      <c r="R645" s="84"/>
    </row>
    <row r="646" customFormat="false" ht="15" hidden="false" customHeight="true" outlineLevel="0" collapsed="false">
      <c r="A646" s="103" t="n">
        <v>55988</v>
      </c>
      <c r="B646" s="85" t="n">
        <v>46212</v>
      </c>
      <c r="C646" s="84" t="s">
        <v>426</v>
      </c>
      <c r="D646" s="75" t="n">
        <v>50232</v>
      </c>
      <c r="E646" s="104" t="str">
        <f aca="false">IF(D646&lt;&gt;"",IFERROR(VLOOKUP(D646,PROVEEDORES!$A:$B,2,0),"!COD NO ENCONTRADO"),"")</f>
        <v>XESTION NOVA LONXA RIVEIRA S.L.</v>
      </c>
      <c r="F646" s="122" t="str">
        <f aca="false">IF(D646&lt;&gt;"",IFERROR(VLOOKUP(D646,PROVEEDORES!$A:$C,3,0),""),"")</f>
        <v>S</v>
      </c>
      <c r="G646" s="111" t="s">
        <v>332</v>
      </c>
      <c r="H646" s="104" t="str">
        <f aca="false">IF(G646&lt;&gt;"",IFERROR(VLOOKUP(G646,PRODUCTOS!$A:$B,2,0),"!COD NO ENCONTRADO"),"")</f>
        <v>VARIADO PEQUEÑO</v>
      </c>
      <c r="I646" s="112" t="n">
        <v>1</v>
      </c>
      <c r="J646" s="105" t="n">
        <v>10</v>
      </c>
      <c r="K646" s="113" t="n">
        <v>1.5</v>
      </c>
      <c r="L646" s="107" t="n">
        <f aca="false">IF(AND(J646&lt;&gt;"",K646&lt;&gt;""),J646*K646,"")</f>
        <v>15</v>
      </c>
      <c r="M646" s="108" t="n">
        <f aca="false">IF(L646&lt;&gt;"",L646*1.1,"")</f>
        <v>16.5</v>
      </c>
      <c r="N646" s="117" t="n">
        <f aca="false">IF(F646="S",L646*0.02,0)</f>
        <v>0.3</v>
      </c>
      <c r="O646" s="115" t="n">
        <f aca="false">IF(L646&lt;&gt;"",L646+N646,"")</f>
        <v>15.3</v>
      </c>
      <c r="P646" s="117" t="n">
        <f aca="false">IF(O646&lt;&gt;"",O646*0.1,"")</f>
        <v>1.53</v>
      </c>
      <c r="Q646" s="116" t="n">
        <f aca="false">IF(O646&lt;&gt;"",O646+P646,"")</f>
        <v>16.83</v>
      </c>
      <c r="R646" s="84"/>
    </row>
    <row r="647" customFormat="false" ht="15" hidden="false" customHeight="true" outlineLevel="0" collapsed="false">
      <c r="A647" s="103" t="n">
        <v>55988</v>
      </c>
      <c r="B647" s="85" t="n">
        <v>46212</v>
      </c>
      <c r="C647" s="84" t="s">
        <v>426</v>
      </c>
      <c r="D647" s="87" t="n">
        <v>50232</v>
      </c>
      <c r="E647" s="104" t="str">
        <f aca="false">IF(D647&lt;&gt;"",IFERROR(VLOOKUP(D647,PROVEEDORES!$A:$B,2,0),"!COD NO ENCONTRADO"),"")</f>
        <v>XESTION NOVA LONXA RIVEIRA S.L.</v>
      </c>
      <c r="F647" s="122" t="str">
        <f aca="false">IF(D647&lt;&gt;"",IFERROR(VLOOKUP(D647,PROVEEDORES!$A:$C,3,0),""),"")</f>
        <v>S</v>
      </c>
      <c r="G647" s="111" t="s">
        <v>332</v>
      </c>
      <c r="H647" s="104" t="str">
        <f aca="false">IF(G647&lt;&gt;"",IFERROR(VLOOKUP(G647,PRODUCTOS!$A:$B,2,0),"!COD NO ENCONTRADO"),"")</f>
        <v>VARIADO PEQUEÑO</v>
      </c>
      <c r="I647" s="112" t="n">
        <v>2</v>
      </c>
      <c r="J647" s="105" t="n">
        <v>14.75</v>
      </c>
      <c r="K647" s="113" t="n">
        <v>1.5</v>
      </c>
      <c r="L647" s="107" t="n">
        <f aca="false">IF(AND(J647&lt;&gt;"",K647&lt;&gt;""),J647*K647,"")</f>
        <v>22.125</v>
      </c>
      <c r="M647" s="108" t="n">
        <f aca="false">IF(L647&lt;&gt;"",L647*1.1,"")</f>
        <v>24.3375</v>
      </c>
      <c r="N647" s="114" t="n">
        <f aca="false">IF(F647="S",L647*0.02,0)</f>
        <v>0.4425</v>
      </c>
      <c r="O647" s="115" t="n">
        <f aca="false">IF(L647&lt;&gt;"",L647+N647,"")</f>
        <v>22.5675</v>
      </c>
      <c r="P647" s="114" t="n">
        <f aca="false">IF(O647&lt;&gt;"",O647*0.1,"")</f>
        <v>2.25675</v>
      </c>
      <c r="Q647" s="116" t="n">
        <f aca="false">IF(O647&lt;&gt;"",O647+P647,"")</f>
        <v>24.82425</v>
      </c>
      <c r="R647" s="84"/>
    </row>
    <row r="648" customFormat="false" ht="15" hidden="false" customHeight="true" outlineLevel="0" collapsed="false">
      <c r="A648" s="103" t="n">
        <v>55988</v>
      </c>
      <c r="B648" s="85" t="n">
        <v>46212</v>
      </c>
      <c r="C648" s="84" t="s">
        <v>426</v>
      </c>
      <c r="D648" s="75" t="n">
        <v>50232</v>
      </c>
      <c r="E648" s="104" t="str">
        <f aca="false">IF(D648&lt;&gt;"",IFERROR(VLOOKUP(D648,PROVEEDORES!$A:$B,2,0),"!COD NO ENCONTRADO"),"")</f>
        <v>XESTION NOVA LONXA RIVEIRA S.L.</v>
      </c>
      <c r="F648" s="122" t="str">
        <f aca="false">IF(D648&lt;&gt;"",IFERROR(VLOOKUP(D648,PROVEEDORES!$A:$C,3,0),""),"")</f>
        <v>S</v>
      </c>
      <c r="G648" s="111" t="s">
        <v>270</v>
      </c>
      <c r="H648" s="104" t="str">
        <f aca="false">IF(G648&lt;&gt;"",IFERROR(VLOOKUP(G648,PRODUCTOS!$A:$B,2,0),"!COD NO ENCONTRADO"),"")</f>
        <v>PEON/ PION (ATP)</v>
      </c>
      <c r="I648" s="112" t="n">
        <v>7</v>
      </c>
      <c r="J648" s="105" t="n">
        <v>33.5</v>
      </c>
      <c r="K648" s="113" t="n">
        <v>4</v>
      </c>
      <c r="L648" s="107" t="n">
        <f aca="false">IF(AND(J648&lt;&gt;"",K648&lt;&gt;""),J648*K648,"")</f>
        <v>134</v>
      </c>
      <c r="M648" s="108" t="n">
        <f aca="false">IF(L648&lt;&gt;"",L648*1.1,"")</f>
        <v>147.4</v>
      </c>
      <c r="N648" s="117" t="n">
        <f aca="false">IF(F648="S",L648*0.02,0)</f>
        <v>2.68</v>
      </c>
      <c r="O648" s="115" t="n">
        <f aca="false">IF(L648&lt;&gt;"",L648+N648,"")</f>
        <v>136.68</v>
      </c>
      <c r="P648" s="117" t="n">
        <f aca="false">IF(O648&lt;&gt;"",O648*0.1,"")</f>
        <v>13.668</v>
      </c>
      <c r="Q648" s="116" t="n">
        <f aca="false">IF(O648&lt;&gt;"",O648+P648,"")</f>
        <v>150.348</v>
      </c>
      <c r="R648" s="84"/>
    </row>
    <row r="649" customFormat="false" ht="15" hidden="false" customHeight="true" outlineLevel="0" collapsed="false">
      <c r="A649" s="103" t="n">
        <v>55988</v>
      </c>
      <c r="B649" s="85" t="n">
        <v>46212</v>
      </c>
      <c r="C649" s="84" t="s">
        <v>426</v>
      </c>
      <c r="D649" s="87" t="n">
        <v>50232</v>
      </c>
      <c r="E649" s="104" t="str">
        <f aca="false">IF(D649&lt;&gt;"",IFERROR(VLOOKUP(D649,PROVEEDORES!$A:$B,2,0),"!COD NO ENCONTRADO"),"")</f>
        <v>XESTION NOVA LONXA RIVEIRA S.L.</v>
      </c>
      <c r="F649" s="122" t="str">
        <f aca="false">IF(D649&lt;&gt;"",IFERROR(VLOOKUP(D649,PROVEEDORES!$A:$C,3,0),""),"")</f>
        <v>S</v>
      </c>
      <c r="G649" s="111" t="s">
        <v>326</v>
      </c>
      <c r="H649" s="104" t="str">
        <f aca="false">IF(G649&lt;&gt;"",IFERROR(VLOOKUP(G649,PRODUCTOS!$A:$B,2,0),"!COD NO ENCONTRADO"),"")</f>
        <v>SARGO RIA (SWA)</v>
      </c>
      <c r="I649" s="112" t="n">
        <v>14</v>
      </c>
      <c r="J649" s="105" t="n">
        <v>73.2</v>
      </c>
      <c r="K649" s="113" t="n">
        <v>12</v>
      </c>
      <c r="L649" s="107" t="n">
        <f aca="false">IF(AND(J649&lt;&gt;"",K649&lt;&gt;""),J649*K649,"")</f>
        <v>878.4</v>
      </c>
      <c r="M649" s="108" t="n">
        <f aca="false">IF(L649&lt;&gt;"",L649*1.1,"")</f>
        <v>966.24</v>
      </c>
      <c r="N649" s="114" t="n">
        <f aca="false">IF(F649="S",L649*0.02,0)</f>
        <v>17.568</v>
      </c>
      <c r="O649" s="115" t="n">
        <f aca="false">IF(L649&lt;&gt;"",L649+N649,"")</f>
        <v>895.968</v>
      </c>
      <c r="P649" s="114" t="n">
        <f aca="false">IF(O649&lt;&gt;"",O649*0.1,"")</f>
        <v>89.5968</v>
      </c>
      <c r="Q649" s="116" t="n">
        <f aca="false">IF(O649&lt;&gt;"",O649+P649,"")</f>
        <v>985.5648</v>
      </c>
      <c r="R649" s="84"/>
    </row>
    <row r="650" customFormat="false" ht="15" hidden="false" customHeight="true" outlineLevel="0" collapsed="false">
      <c r="A650" s="103" t="n">
        <v>55988</v>
      </c>
      <c r="B650" s="85" t="n">
        <v>46212</v>
      </c>
      <c r="C650" s="84" t="s">
        <v>426</v>
      </c>
      <c r="D650" s="75" t="n">
        <v>50232</v>
      </c>
      <c r="E650" s="104" t="str">
        <f aca="false">IF(D650&lt;&gt;"",IFERROR(VLOOKUP(D650,PROVEEDORES!$A:$B,2,0),"!COD NO ENCONTRADO"),"")</f>
        <v>XESTION NOVA LONXA RIVEIRA S.L.</v>
      </c>
      <c r="F650" s="122" t="str">
        <f aca="false">IF(D650&lt;&gt;"",IFERROR(VLOOKUP(D650,PROVEEDORES!$A:$C,3,0),""),"")</f>
        <v>S</v>
      </c>
      <c r="G650" s="111" t="s">
        <v>179</v>
      </c>
      <c r="H650" s="104" t="str">
        <f aca="false">IF(G650&lt;&gt;"",IFERROR(VLOOKUP(G650,PRODUCTOS!$A:$B,2,0),"!COD NO ENCONTRADO"),"")</f>
        <v>LIRIO/ BACALADILLA/ PERLA (WHB)</v>
      </c>
      <c r="I650" s="112" t="n">
        <v>1</v>
      </c>
      <c r="J650" s="105" t="n">
        <v>149</v>
      </c>
      <c r="K650" s="113" t="n">
        <v>1.4</v>
      </c>
      <c r="L650" s="107" t="n">
        <f aca="false">IF(AND(J650&lt;&gt;"",K650&lt;&gt;""),J650*K650,"")</f>
        <v>208.6</v>
      </c>
      <c r="M650" s="108" t="n">
        <f aca="false">IF(L650&lt;&gt;"",L650*1.1,"")</f>
        <v>229.46</v>
      </c>
      <c r="N650" s="117" t="n">
        <f aca="false">IF(F650="S",L650*0.02,0)</f>
        <v>4.172</v>
      </c>
      <c r="O650" s="115" t="n">
        <f aca="false">IF(L650&lt;&gt;"",L650+N650,"")</f>
        <v>212.772</v>
      </c>
      <c r="P650" s="117" t="n">
        <f aca="false">IF(O650&lt;&gt;"",O650*0.1,"")</f>
        <v>21.2772</v>
      </c>
      <c r="Q650" s="116" t="n">
        <f aca="false">IF(O650&lt;&gt;"",O650+P650,"")</f>
        <v>234.0492</v>
      </c>
      <c r="R650" s="84"/>
    </row>
    <row r="651" customFormat="false" ht="15" hidden="false" customHeight="true" outlineLevel="0" collapsed="false">
      <c r="A651" s="103" t="n">
        <v>55988</v>
      </c>
      <c r="B651" s="85" t="n">
        <v>46212</v>
      </c>
      <c r="C651" s="84" t="s">
        <v>426</v>
      </c>
      <c r="D651" s="87" t="n">
        <v>50232</v>
      </c>
      <c r="E651" s="104" t="str">
        <f aca="false">IF(D651&lt;&gt;"",IFERROR(VLOOKUP(D651,PROVEEDORES!$A:$B,2,0),"!COD NO ENCONTRADO"),"")</f>
        <v>XESTION NOVA LONXA RIVEIRA S.L.</v>
      </c>
      <c r="F651" s="122" t="str">
        <f aca="false">IF(D651&lt;&gt;"",IFERROR(VLOOKUP(D651,PROVEEDORES!$A:$C,3,0),""),"")</f>
        <v>S</v>
      </c>
      <c r="G651" s="111" t="s">
        <v>179</v>
      </c>
      <c r="H651" s="104" t="str">
        <f aca="false">IF(G651&lt;&gt;"",IFERROR(VLOOKUP(G651,PRODUCTOS!$A:$B,2,0),"!COD NO ENCONTRADO"),"")</f>
        <v>LIRIO/ BACALADILLA/ PERLA (WHB)</v>
      </c>
      <c r="I651" s="112" t="n">
        <v>1</v>
      </c>
      <c r="J651" s="105" t="n">
        <v>90</v>
      </c>
      <c r="K651" s="113" t="n">
        <v>1.47</v>
      </c>
      <c r="L651" s="107" t="n">
        <f aca="false">IF(AND(J651&lt;&gt;"",K651&lt;&gt;""),J651*K651,"")</f>
        <v>132.3</v>
      </c>
      <c r="M651" s="108" t="n">
        <f aca="false">IF(L651&lt;&gt;"",L651*1.1,"")</f>
        <v>145.53</v>
      </c>
      <c r="N651" s="114" t="n">
        <f aca="false">IF(F651="S",L651*0.02,0)</f>
        <v>2.646</v>
      </c>
      <c r="O651" s="115" t="n">
        <f aca="false">IF(L651&lt;&gt;"",L651+N651,"")</f>
        <v>134.946</v>
      </c>
      <c r="P651" s="114" t="n">
        <f aca="false">IF(O651&lt;&gt;"",O651*0.1,"")</f>
        <v>13.4946</v>
      </c>
      <c r="Q651" s="116" t="n">
        <f aca="false">IF(O651&lt;&gt;"",O651+P651,"")</f>
        <v>148.4406</v>
      </c>
      <c r="R651" s="84"/>
    </row>
    <row r="652" customFormat="false" ht="15" hidden="false" customHeight="true" outlineLevel="0" collapsed="false">
      <c r="A652" s="103" t="n">
        <v>55988</v>
      </c>
      <c r="B652" s="73" t="n">
        <v>46212</v>
      </c>
      <c r="C652" s="84" t="s">
        <v>426</v>
      </c>
      <c r="D652" s="75" t="n">
        <v>50232</v>
      </c>
      <c r="E652" s="104" t="str">
        <f aca="false">IF(D652&lt;&gt;"",IFERROR(VLOOKUP(D652,PROVEEDORES!$A:$B,2,0),"!COD NO ENCONTRADO"),"")</f>
        <v>XESTION NOVA LONXA RIVEIRA S.L.</v>
      </c>
      <c r="F652" s="122" t="str">
        <f aca="false">IF(D652&lt;&gt;"",IFERROR(VLOOKUP(D652,PROVEEDORES!$A:$C,3,0),""),"")</f>
        <v>S</v>
      </c>
      <c r="G652" s="111" t="s">
        <v>288</v>
      </c>
      <c r="H652" s="104" t="str">
        <f aca="false">IF(G652&lt;&gt;"",IFERROR(VLOOKUP(G652,PRODUCTOS!$A:$B,2,0),"!COD NO ENCONTRADO"),"")</f>
        <v>RAPE BLANCO DIA (MON)</v>
      </c>
      <c r="I652" s="112" t="n">
        <v>1</v>
      </c>
      <c r="J652" s="105" t="n">
        <v>10</v>
      </c>
      <c r="K652" s="113" t="n">
        <v>6</v>
      </c>
      <c r="L652" s="107" t="n">
        <f aca="false">IF(AND(J652&lt;&gt;"",K652&lt;&gt;""),J652*K652,"")</f>
        <v>60</v>
      </c>
      <c r="M652" s="108" t="n">
        <f aca="false">IF(L652&lt;&gt;"",L652*1.1,"")</f>
        <v>66</v>
      </c>
      <c r="N652" s="117" t="n">
        <f aca="false">IF(F652="S",L652*0.02,0)</f>
        <v>1.2</v>
      </c>
      <c r="O652" s="115" t="n">
        <f aca="false">IF(L652&lt;&gt;"",L652+N652,"")</f>
        <v>61.2</v>
      </c>
      <c r="P652" s="117" t="n">
        <f aca="false">IF(O652&lt;&gt;"",O652*0.1,"")</f>
        <v>6.12</v>
      </c>
      <c r="Q652" s="116" t="n">
        <f aca="false">IF(O652&lt;&gt;"",O652+P652,"")</f>
        <v>67.32</v>
      </c>
      <c r="R652" s="84"/>
    </row>
    <row r="653" customFormat="false" ht="15" hidden="false" customHeight="true" outlineLevel="0" collapsed="false">
      <c r="A653" s="103" t="n">
        <v>55989</v>
      </c>
      <c r="B653" s="73" t="n">
        <v>46212</v>
      </c>
      <c r="C653" s="84" t="s">
        <v>427</v>
      </c>
      <c r="D653" s="75" t="n">
        <v>50525</v>
      </c>
      <c r="E653" s="52" t="str">
        <f aca="false">IF(D653&lt;&gt;"",IFERROR(VLOOKUP(D653,PROVEEDORES!$A:$B,2,0),"!COD NO ENCONTRADO"),"")</f>
        <v>FURIC MAREE</v>
      </c>
      <c r="F653" s="76" t="str">
        <f aca="false">IF(D653&lt;&gt;"",IFERROR(VLOOKUP(D653,PROVEEDORES!$A:$C,3,0),""),"")</f>
        <v>N</v>
      </c>
      <c r="G653" s="75" t="s">
        <v>318</v>
      </c>
      <c r="H653" s="52" t="str">
        <f aca="false">IF(G653&lt;&gt;"",IFERROR(VLOOKUP(G653,PRODUCTOS!$A:$B,2,0),"!COD NO ENCONTRADO"),"")</f>
        <v>SAN MARTIÑOS/ SAN PEDROS (JOD)</v>
      </c>
      <c r="I653" s="77" t="n">
        <v>3</v>
      </c>
      <c r="J653" s="78" t="n">
        <v>19.5</v>
      </c>
      <c r="K653" s="109" t="n">
        <v>27</v>
      </c>
      <c r="L653" s="107" t="n">
        <f aca="false">IF(AND(J653&lt;&gt;"",K653&lt;&gt;""),J653*K653,"")</f>
        <v>526.5</v>
      </c>
      <c r="M653" s="108" t="n">
        <f aca="false">IF(L653&lt;&gt;"",L653*1.1,"")</f>
        <v>579.15</v>
      </c>
      <c r="N653" s="117" t="n">
        <f aca="false">IF(F653="S",L653*0.02,0)</f>
        <v>0</v>
      </c>
      <c r="O653" s="115" t="n">
        <f aca="false">IF(L653&lt;&gt;"",L653+N653,"")</f>
        <v>526.5</v>
      </c>
      <c r="P653" s="117" t="n">
        <f aca="false">IF(O653&lt;&gt;"",O653*0.1,"")</f>
        <v>52.65</v>
      </c>
      <c r="Q653" s="116" t="n">
        <f aca="false">IF(O653&lt;&gt;"",O653+P653,"")</f>
        <v>579.15</v>
      </c>
      <c r="R653" s="84"/>
    </row>
    <row r="654" customFormat="false" ht="15" hidden="false" customHeight="true" outlineLevel="0" collapsed="false">
      <c r="A654" s="103" t="n">
        <v>55990</v>
      </c>
      <c r="B654" s="85" t="n">
        <v>46212</v>
      </c>
      <c r="C654" s="84" t="s">
        <v>428</v>
      </c>
      <c r="D654" s="87" t="n">
        <v>50509</v>
      </c>
      <c r="E654" s="46" t="str">
        <f aca="false">IF(D654&lt;&gt;"",IFERROR(VLOOKUP(D654,PROVEEDORES!$A:$B,2,0),"!COD NO ENCONTRADO"),"")</f>
        <v>AZORFISK UNIPERSONAL LDA</v>
      </c>
      <c r="F654" s="88" t="str">
        <f aca="false">IF(D654&lt;&gt;"",IFERROR(VLOOKUP(D654,PROVEEDORES!$A:$C,3,0),""),"")</f>
        <v>N</v>
      </c>
      <c r="G654" s="87" t="s">
        <v>336</v>
      </c>
      <c r="H654" s="46" t="str">
        <f aca="false">IF(G654&lt;&gt;"",IFERROR(VLOOKUP(G654,PRODUCTOS!$A:$B,2,0),"!COD NO ENCONTRADO"),"")</f>
        <v>VIRREY/ PALOMETA ROJA</v>
      </c>
      <c r="I654" s="89" t="n">
        <v>1</v>
      </c>
      <c r="J654" s="90" t="n">
        <v>9.9</v>
      </c>
      <c r="K654" s="106" t="n">
        <v>62.4</v>
      </c>
      <c r="L654" s="107" t="n">
        <f aca="false">IF(AND(J654&lt;&gt;"",K654&lt;&gt;""),J654*K654,"")</f>
        <v>617.76</v>
      </c>
      <c r="M654" s="108" t="n">
        <f aca="false">IF(L654&lt;&gt;"",L654*1.1,"")</f>
        <v>679.536</v>
      </c>
      <c r="N654" s="114" t="n">
        <f aca="false">IF(F654="S",L654*0.02,0)</f>
        <v>0</v>
      </c>
      <c r="O654" s="115" t="n">
        <f aca="false">IF(L654&lt;&gt;"",L654+N654,"")</f>
        <v>617.76</v>
      </c>
      <c r="P654" s="114" t="n">
        <f aca="false">IF(O654&lt;&gt;"",O654*0.1,"")</f>
        <v>61.776</v>
      </c>
      <c r="Q654" s="116" t="n">
        <f aca="false">IF(O654&lt;&gt;"",O654+P654,"")</f>
        <v>679.536</v>
      </c>
      <c r="R654" s="84"/>
    </row>
    <row r="655" customFormat="false" ht="15" hidden="false" customHeight="true" outlineLevel="0" collapsed="false">
      <c r="A655" s="103" t="n">
        <v>55991</v>
      </c>
      <c r="B655" s="73" t="n">
        <v>46212</v>
      </c>
      <c r="C655" s="84" t="n">
        <v>9887</v>
      </c>
      <c r="D655" s="75" t="n">
        <v>50001</v>
      </c>
      <c r="E655" s="52" t="str">
        <f aca="false">IF(D655&lt;&gt;"",IFERROR(VLOOKUP(D655,PROVEEDORES!$A:$B,2,0),"!COD NO ENCONTRADO"),"")</f>
        <v>COPESA</v>
      </c>
      <c r="F655" s="76" t="str">
        <f aca="false">IF(D655&lt;&gt;"",IFERROR(VLOOKUP(D655,PROVEEDORES!$A:$C,3,0),""),"")</f>
        <v>S</v>
      </c>
      <c r="G655" s="75" t="s">
        <v>81</v>
      </c>
      <c r="H655" s="52" t="str">
        <f aca="false">IF(G655&lt;&gt;"",IFERROR(VLOOKUP(G655,PRODUCTOS!$A:$B,2,0),"!COD NO ENCONTRADO"),"")</f>
        <v>BERTORELLA (GFB)</v>
      </c>
      <c r="I655" s="77" t="n">
        <v>8</v>
      </c>
      <c r="J655" s="78" t="n">
        <v>149.5</v>
      </c>
      <c r="K655" s="109" t="n">
        <v>3.2</v>
      </c>
      <c r="L655" s="107" t="n">
        <f aca="false">IF(AND(J655&lt;&gt;"",K655&lt;&gt;""),J655*K655,"")</f>
        <v>478.4</v>
      </c>
      <c r="M655" s="108" t="n">
        <f aca="false">IF(L655&lt;&gt;"",L655*1.1,"")</f>
        <v>526.24</v>
      </c>
      <c r="N655" s="117" t="n">
        <f aca="false">IF(F655="S",L655*0.02,0)</f>
        <v>9.568</v>
      </c>
      <c r="O655" s="115" t="n">
        <f aca="false">IF(L655&lt;&gt;"",L655+N655,"")</f>
        <v>487.968</v>
      </c>
      <c r="P655" s="117" t="n">
        <f aca="false">IF(O655&lt;&gt;"",O655*0.1,"")</f>
        <v>48.7968</v>
      </c>
      <c r="Q655" s="116" t="n">
        <f aca="false">IF(O655&lt;&gt;"",O655+P655,"")</f>
        <v>536.7648</v>
      </c>
      <c r="R655" s="84"/>
    </row>
    <row r="656" customFormat="false" ht="15" hidden="false" customHeight="true" outlineLevel="0" collapsed="false">
      <c r="A656" s="103" t="n">
        <v>55991</v>
      </c>
      <c r="B656" s="73" t="n">
        <v>46212</v>
      </c>
      <c r="C656" s="84" t="n">
        <v>9887</v>
      </c>
      <c r="D656" s="87" t="n">
        <v>50001</v>
      </c>
      <c r="E656" s="46" t="str">
        <f aca="false">IF(D656&lt;&gt;"",IFERROR(VLOOKUP(D656,PROVEEDORES!$A:$B,2,0),"!COD NO ENCONTRADO"),"")</f>
        <v>COPESA</v>
      </c>
      <c r="F656" s="88" t="str">
        <f aca="false">IF(D656&lt;&gt;"",IFERROR(VLOOKUP(D656,PROVEEDORES!$A:$C,3,0),""),"")</f>
        <v>S</v>
      </c>
      <c r="G656" s="87" t="s">
        <v>276</v>
      </c>
      <c r="H656" s="46" t="str">
        <f aca="false">IF(G656&lt;&gt;"",IFERROR(VLOOKUP(G656,PRODUCTOS!$A:$B,2,0),"!COD NO ENCONTRADO"),"")</f>
        <v>MERLUZA EUROPEA/ FINA DIA </v>
      </c>
      <c r="I656" s="89" t="n">
        <v>6</v>
      </c>
      <c r="J656" s="90" t="n">
        <v>58.25</v>
      </c>
      <c r="K656" s="106" t="n">
        <v>2.5</v>
      </c>
      <c r="L656" s="107" t="n">
        <f aca="false">IF(AND(J656&lt;&gt;"",K656&lt;&gt;""),J656*K656,"")</f>
        <v>145.625</v>
      </c>
      <c r="M656" s="108" t="n">
        <f aca="false">IF(L656&lt;&gt;"",L656*1.1,"")</f>
        <v>160.1875</v>
      </c>
      <c r="N656" s="114" t="n">
        <f aca="false">IF(F656="S",L656*0.02,0)</f>
        <v>2.9125</v>
      </c>
      <c r="O656" s="115" t="n">
        <f aca="false">IF(L656&lt;&gt;"",L656+N656,"")</f>
        <v>148.5375</v>
      </c>
      <c r="P656" s="114" t="n">
        <f aca="false">IF(O656&lt;&gt;"",O656*0.1,"")</f>
        <v>14.85375</v>
      </c>
      <c r="Q656" s="116" t="n">
        <f aca="false">IF(O656&lt;&gt;"",O656+P656,"")</f>
        <v>163.39125</v>
      </c>
      <c r="R656" s="84"/>
    </row>
    <row r="657" customFormat="false" ht="15" hidden="false" customHeight="true" outlineLevel="0" collapsed="false">
      <c r="A657" s="103" t="n">
        <v>55991</v>
      </c>
      <c r="B657" s="85" t="n">
        <v>46212</v>
      </c>
      <c r="C657" s="84" t="n">
        <v>9887</v>
      </c>
      <c r="D657" s="87" t="n">
        <v>50001</v>
      </c>
      <c r="E657" s="46" t="str">
        <f aca="false">IF(D657&lt;&gt;"",IFERROR(VLOOKUP(D657,PROVEEDORES!$A:$B,2,0),"!COD NO ENCONTRADO"),"")</f>
        <v>COPESA</v>
      </c>
      <c r="F657" s="88" t="str">
        <f aca="false">IF(D657&lt;&gt;"",IFERROR(VLOOKUP(D657,PROVEEDORES!$A:$C,3,0),""),"")</f>
        <v>S</v>
      </c>
      <c r="G657" s="87" t="s">
        <v>93</v>
      </c>
      <c r="H657" s="46" t="str">
        <f aca="false">IF(G657&lt;&gt;"",IFERROR(VLOOKUP(G657,PRODUCTOS!$A:$B,2,0),"!COD NO ENCONTRADO"),"")</f>
        <v>BOQUERON/ BOCARTE/ ANCHOA (ANE)</v>
      </c>
      <c r="I657" s="89" t="n">
        <v>20</v>
      </c>
      <c r="J657" s="90" t="n">
        <v>170</v>
      </c>
      <c r="K657" s="106" t="n">
        <v>1.7</v>
      </c>
      <c r="L657" s="107" t="n">
        <f aca="false">IF(AND(J657&lt;&gt;"",K657&lt;&gt;""),J657*K657,"")</f>
        <v>289</v>
      </c>
      <c r="M657" s="108" t="n">
        <f aca="false">IF(L657&lt;&gt;"",L657*1.1,"")</f>
        <v>317.9</v>
      </c>
      <c r="N657" s="114" t="n">
        <f aca="false">IF(F657="S",L657*0.02,0)</f>
        <v>5.78</v>
      </c>
      <c r="O657" s="115" t="n">
        <f aca="false">IF(L657&lt;&gt;"",L657+N657,"")</f>
        <v>294.78</v>
      </c>
      <c r="P657" s="114" t="n">
        <f aca="false">IF(O657&lt;&gt;"",O657*0.1,"")</f>
        <v>29.478</v>
      </c>
      <c r="Q657" s="116" t="n">
        <f aca="false">IF(O657&lt;&gt;"",O657+P657,"")</f>
        <v>324.258</v>
      </c>
      <c r="R657" s="84"/>
    </row>
    <row r="658" customFormat="false" ht="15" hidden="false" customHeight="true" outlineLevel="0" collapsed="false">
      <c r="A658" s="103" t="n">
        <v>55992</v>
      </c>
      <c r="B658" s="73" t="n">
        <v>46212</v>
      </c>
      <c r="C658" s="84" t="s">
        <v>429</v>
      </c>
      <c r="D658" s="75" t="n">
        <v>50010</v>
      </c>
      <c r="E658" s="52" t="str">
        <f aca="false">IF(D658&lt;&gt;"",IFERROR(VLOOKUP(D658,PROVEEDORES!$A:$B,2,0),"!COD NO ENCONTRADO"),"")</f>
        <v>PERFECTO MONTERO</v>
      </c>
      <c r="F658" s="76" t="str">
        <f aca="false">IF(D658&lt;&gt;"",IFERROR(VLOOKUP(D658,PROVEEDORES!$A:$C,3,0),""),"")</f>
        <v>S</v>
      </c>
      <c r="G658" s="75" t="s">
        <v>53</v>
      </c>
      <c r="H658" s="52" t="str">
        <f aca="false">IF(G658&lt;&gt;"",IFERROR(VLOOKUP(G658,PRODUCTOS!$A:$B,2,0),"!COD NO ENCONTRADO"),"")</f>
        <v>CABRAS PÑA</v>
      </c>
      <c r="I658" s="77" t="n">
        <v>1</v>
      </c>
      <c r="J658" s="78" t="n">
        <v>5.8</v>
      </c>
      <c r="K658" s="109" t="n">
        <v>3.9</v>
      </c>
      <c r="L658" s="107" t="n">
        <f aca="false">IF(AND(J658&lt;&gt;"",K658&lt;&gt;""),J658*K658,"")</f>
        <v>22.62</v>
      </c>
      <c r="M658" s="108" t="n">
        <f aca="false">IF(L658&lt;&gt;"",L658*1.1,"")</f>
        <v>24.882</v>
      </c>
      <c r="N658" s="117" t="n">
        <f aca="false">IF(F658="S",L658*0.02,0)</f>
        <v>0.4524</v>
      </c>
      <c r="O658" s="115" t="n">
        <f aca="false">IF(L658&lt;&gt;"",L658+N658,"")</f>
        <v>23.0724</v>
      </c>
      <c r="P658" s="117" t="n">
        <f aca="false">IF(O658&lt;&gt;"",O658*0.1,"")</f>
        <v>2.30724</v>
      </c>
      <c r="Q658" s="116" t="n">
        <f aca="false">IF(O658&lt;&gt;"",O658+P658,"")</f>
        <v>25.37964</v>
      </c>
      <c r="R658" s="84"/>
    </row>
    <row r="659" customFormat="false" ht="15" hidden="false" customHeight="true" outlineLevel="0" collapsed="false">
      <c r="A659" s="103" t="n">
        <v>55993</v>
      </c>
      <c r="B659" s="73" t="n">
        <v>46212</v>
      </c>
      <c r="C659" s="84" t="n">
        <v>7116</v>
      </c>
      <c r="D659" s="87" t="n">
        <v>50020</v>
      </c>
      <c r="E659" s="104" t="str">
        <f aca="false">IF(D659&lt;&gt;"",IFERROR(VLOOKUP(D659,PROVEEDORES!$A:$B,2,0),"!COD NO ENCONTRADO"),"")</f>
        <v>PACO MOINELO</v>
      </c>
      <c r="F659" s="88" t="str">
        <f aca="false">IF(D659&lt;&gt;"",IFERROR(VLOOKUP(D659,PROVEEDORES!$A:$C,3,0),""),"")</f>
        <v>S</v>
      </c>
      <c r="G659" s="87" t="s">
        <v>53</v>
      </c>
      <c r="H659" s="46" t="str">
        <f aca="false">IF(G659&lt;&gt;"",IFERROR(VLOOKUP(G659,PRODUCTOS!$A:$B,2,0),"!COD NO ENCONTRADO"),"")</f>
        <v>CABRAS PÑA</v>
      </c>
      <c r="I659" s="89" t="n">
        <v>1</v>
      </c>
      <c r="J659" s="90" t="n">
        <v>4</v>
      </c>
      <c r="K659" s="106" t="n">
        <v>3.7</v>
      </c>
      <c r="L659" s="107" t="n">
        <f aca="false">IF(AND(J659&lt;&gt;"",K659&lt;&gt;""),J659*K659,"")</f>
        <v>14.8</v>
      </c>
      <c r="M659" s="108" t="n">
        <f aca="false">IF(L659&lt;&gt;"",L659*1.1,"")</f>
        <v>16.28</v>
      </c>
      <c r="N659" s="114" t="n">
        <f aca="false">IF(F659="S",L659*0.02,0)</f>
        <v>0.296</v>
      </c>
      <c r="O659" s="115" t="n">
        <f aca="false">IF(L659&lt;&gt;"",L659+N659,"")</f>
        <v>15.096</v>
      </c>
      <c r="P659" s="114" t="n">
        <f aca="false">IF(O659&lt;&gt;"",O659*0.1,"")</f>
        <v>1.5096</v>
      </c>
      <c r="Q659" s="116" t="n">
        <f aca="false">IF(O659&lt;&gt;"",O659+P659,"")</f>
        <v>16.6056</v>
      </c>
      <c r="R659" s="84"/>
    </row>
    <row r="660" customFormat="false" ht="15" hidden="false" customHeight="true" outlineLevel="0" collapsed="false">
      <c r="A660" s="103" t="n">
        <v>55993</v>
      </c>
      <c r="B660" s="73" t="n">
        <v>46212</v>
      </c>
      <c r="C660" s="84" t="n">
        <v>7116</v>
      </c>
      <c r="D660" s="75" t="n">
        <v>50020</v>
      </c>
      <c r="E660" s="52" t="str">
        <f aca="false">IF(D660&lt;&gt;"",IFERROR(VLOOKUP(D660,PROVEEDORES!$A:$B,2,0),"!COD NO ENCONTRADO"),"")</f>
        <v>PACO MOINELO</v>
      </c>
      <c r="F660" s="76" t="str">
        <f aca="false">IF(D660&lt;&gt;"",IFERROR(VLOOKUP(D660,PROVEEDORES!$A:$C,3,0),""),"")</f>
        <v>S</v>
      </c>
      <c r="G660" s="75" t="s">
        <v>135</v>
      </c>
      <c r="H660" s="52" t="str">
        <f aca="false">IF(G660&lt;&gt;"",IFERROR(VLOOKUP(G660,PRODUCTOS!$A:$B,2,0),"!COD NO ENCONTRADO"),"")</f>
        <v>CONGRIO 10+  (COE)</v>
      </c>
      <c r="I660" s="77" t="n">
        <v>10</v>
      </c>
      <c r="J660" s="78" t="n">
        <v>228.25</v>
      </c>
      <c r="K660" s="109" t="n">
        <v>0.8</v>
      </c>
      <c r="L660" s="107" t="n">
        <f aca="false">IF(AND(J660&lt;&gt;"",K660&lt;&gt;""),J660*K660,"")</f>
        <v>182.6</v>
      </c>
      <c r="M660" s="108" t="n">
        <f aca="false">IF(L660&lt;&gt;"",L660*1.1,"")</f>
        <v>200.86</v>
      </c>
      <c r="N660" s="117" t="n">
        <f aca="false">IF(F660="S",L660*0.02,0)</f>
        <v>3.652</v>
      </c>
      <c r="O660" s="115" t="n">
        <f aca="false">IF(L660&lt;&gt;"",L660+N660,"")</f>
        <v>186.252</v>
      </c>
      <c r="P660" s="117" t="n">
        <f aca="false">IF(O660&lt;&gt;"",O660*0.1,"")</f>
        <v>18.6252</v>
      </c>
      <c r="Q660" s="116" t="n">
        <f aca="false">IF(O660&lt;&gt;"",O660+P660,"")</f>
        <v>204.8772</v>
      </c>
      <c r="R660" s="84"/>
    </row>
    <row r="661" customFormat="false" ht="15" hidden="false" customHeight="true" outlineLevel="0" collapsed="false">
      <c r="A661" s="103" t="n">
        <v>55993</v>
      </c>
      <c r="B661" s="73" t="n">
        <v>46212</v>
      </c>
      <c r="C661" s="84" t="n">
        <v>7116</v>
      </c>
      <c r="D661" s="87" t="n">
        <v>50020</v>
      </c>
      <c r="E661" s="46" t="str">
        <f aca="false">IF(D661&lt;&gt;"",IFERROR(VLOOKUP(D661,PROVEEDORES!$A:$B,2,0),"!COD NO ENCONTRADO"),"")</f>
        <v>PACO MOINELO</v>
      </c>
      <c r="F661" s="88" t="str">
        <f aca="false">IF(D661&lt;&gt;"",IFERROR(VLOOKUP(D661,PROVEEDORES!$A:$C,3,0),""),"")</f>
        <v>S</v>
      </c>
      <c r="G661" s="87" t="s">
        <v>216</v>
      </c>
      <c r="H661" s="46" t="str">
        <f aca="false">IF(G661&lt;&gt;"",IFERROR(VLOOKUP(G661,PRODUCTOS!$A:$B,2,0),"!COD NO ENCONTRADO"),"")</f>
        <v>MERLUZA EUROPEA PINCHO COSTA</v>
      </c>
      <c r="I661" s="89" t="n">
        <v>3</v>
      </c>
      <c r="J661" s="90" t="n">
        <v>42.75</v>
      </c>
      <c r="K661" s="106" t="n">
        <v>6.6</v>
      </c>
      <c r="L661" s="107" t="n">
        <f aca="false">IF(AND(J661&lt;&gt;"",K661&lt;&gt;""),J661*K661,"")</f>
        <v>282.15</v>
      </c>
      <c r="M661" s="108" t="n">
        <f aca="false">IF(L661&lt;&gt;"",L661*1.1,"")</f>
        <v>310.365</v>
      </c>
      <c r="N661" s="114" t="n">
        <f aca="false">IF(F661="S",L661*0.02,0)</f>
        <v>5.643</v>
      </c>
      <c r="O661" s="115" t="n">
        <f aca="false">IF(L661&lt;&gt;"",L661+N661,"")</f>
        <v>287.793</v>
      </c>
      <c r="P661" s="114" t="n">
        <f aca="false">IF(O661&lt;&gt;"",O661*0.1,"")</f>
        <v>28.7793</v>
      </c>
      <c r="Q661" s="116" t="n">
        <f aca="false">IF(O661&lt;&gt;"",O661+P661,"")</f>
        <v>316.5723</v>
      </c>
      <c r="R661" s="84"/>
    </row>
    <row r="662" customFormat="false" ht="15" hidden="false" customHeight="true" outlineLevel="0" collapsed="false">
      <c r="A662" s="103" t="n">
        <v>55994</v>
      </c>
      <c r="B662" s="73" t="n">
        <v>46212</v>
      </c>
      <c r="C662" s="84" t="n">
        <v>7910</v>
      </c>
      <c r="D662" s="75" t="n">
        <v>50069</v>
      </c>
      <c r="E662" s="52" t="str">
        <f aca="false">IF(D662&lt;&gt;"",IFERROR(VLOOKUP(D662,PROVEEDORES!$A:$B,2,0),"!COD NO ENCONTRADO"),"")</f>
        <v>PESCADOS ILLANES S.L.</v>
      </c>
      <c r="F662" s="76" t="str">
        <f aca="false">IF(D662&lt;&gt;"",IFERROR(VLOOKUP(D662,PROVEEDORES!$A:$C,3,0),""),"")</f>
        <v>S</v>
      </c>
      <c r="G662" s="75" t="s">
        <v>216</v>
      </c>
      <c r="H662" s="52" t="str">
        <f aca="false">IF(G662&lt;&gt;"",IFERROR(VLOOKUP(G662,PRODUCTOS!$A:$B,2,0),"!COD NO ENCONTRADO"),"")</f>
        <v>MERLUZA EUROPEA PINCHO COSTA</v>
      </c>
      <c r="I662" s="77" t="n">
        <v>2</v>
      </c>
      <c r="J662" s="78" t="n">
        <v>24</v>
      </c>
      <c r="K662" s="109" t="n">
        <v>5.5</v>
      </c>
      <c r="L662" s="107" t="n">
        <f aca="false">IF(AND(J662&lt;&gt;"",K662&lt;&gt;""),J662*K662,"")</f>
        <v>132</v>
      </c>
      <c r="M662" s="108" t="n">
        <f aca="false">IF(L662&lt;&gt;"",L662*1.1,"")</f>
        <v>145.2</v>
      </c>
      <c r="N662" s="117" t="n">
        <f aca="false">IF(F662="S",L662*0.02,0)</f>
        <v>2.64</v>
      </c>
      <c r="O662" s="115" t="n">
        <f aca="false">IF(L662&lt;&gt;"",L662+N662,"")</f>
        <v>134.64</v>
      </c>
      <c r="P662" s="117" t="n">
        <f aca="false">IF(O662&lt;&gt;"",O662*0.1,"")</f>
        <v>13.464</v>
      </c>
      <c r="Q662" s="116" t="n">
        <f aca="false">IF(O662&lt;&gt;"",O662+P662,"")</f>
        <v>148.104</v>
      </c>
      <c r="R662" s="84"/>
    </row>
    <row r="663" customFormat="false" ht="15" hidden="false" customHeight="true" outlineLevel="0" collapsed="false">
      <c r="A663" s="103" t="n">
        <v>55995</v>
      </c>
      <c r="B663" s="73" t="n">
        <v>46212</v>
      </c>
      <c r="C663" s="84" t="n">
        <v>33084</v>
      </c>
      <c r="D663" s="87" t="n">
        <v>50106</v>
      </c>
      <c r="E663" s="46" t="str">
        <f aca="false">IF(D663&lt;&gt;"",IFERROR(VLOOKUP(D663,PROVEEDORES!$A:$B,2,0),"!COD NO ENCONTRADO"),"")</f>
        <v>SONIA VENTAS S.L</v>
      </c>
      <c r="F663" s="88" t="str">
        <f aca="false">IF(D663&lt;&gt;"",IFERROR(VLOOKUP(D663,PROVEEDORES!$A:$C,3,0),""),"")</f>
        <v>S</v>
      </c>
      <c r="G663" s="87" t="s">
        <v>103</v>
      </c>
      <c r="H663" s="46" t="str">
        <f aca="false">IF(G663&lt;&gt;"",IFERROR(VLOOKUP(G663,PRODUCTOS!$A:$B,2,0),"!COD NO ENCONTRADO"),"")</f>
        <v>CABRAS/ GALLINETA (BRF)</v>
      </c>
      <c r="I663" s="89" t="n">
        <v>1</v>
      </c>
      <c r="J663" s="90" t="n">
        <v>1</v>
      </c>
      <c r="K663" s="106" t="n">
        <v>16</v>
      </c>
      <c r="L663" s="107" t="n">
        <f aca="false">IF(AND(J663&lt;&gt;"",K663&lt;&gt;""),J663*K663,"")</f>
        <v>16</v>
      </c>
      <c r="M663" s="108" t="n">
        <f aca="false">IF(L663&lt;&gt;"",L663*1.1,"")</f>
        <v>17.6</v>
      </c>
      <c r="N663" s="114" t="n">
        <f aca="false">IF(F663="S",L663*0.02,0)</f>
        <v>0.32</v>
      </c>
      <c r="O663" s="115" t="n">
        <f aca="false">IF(L663&lt;&gt;"",L663+N663,"")</f>
        <v>16.32</v>
      </c>
      <c r="P663" s="114" t="n">
        <f aca="false">IF(O663&lt;&gt;"",O663*0.1,"")</f>
        <v>1.632</v>
      </c>
      <c r="Q663" s="116" t="n">
        <f aca="false">IF(O663&lt;&gt;"",O663+P663,"")</f>
        <v>17.952</v>
      </c>
      <c r="R663" s="84"/>
    </row>
    <row r="664" customFormat="false" ht="15" hidden="false" customHeight="true" outlineLevel="0" collapsed="false">
      <c r="A664" s="103" t="n">
        <v>55996</v>
      </c>
      <c r="B664" s="73" t="n">
        <v>46212</v>
      </c>
      <c r="C664" s="84" t="n">
        <v>16198</v>
      </c>
      <c r="D664" s="75" t="n">
        <v>50160</v>
      </c>
      <c r="E664" s="104" t="str">
        <f aca="false">IF(D664&lt;&gt;"",IFERROR(VLOOKUP(D664,PROVEEDORES!$A:$B,2,0),"!COD NO ENCONTRADO"),"")</f>
        <v>SUBASTAS CORUÑA S.L.</v>
      </c>
      <c r="F664" s="122" t="str">
        <f aca="false">IF(D664&lt;&gt;"",IFERROR(VLOOKUP(D664,PROVEEDORES!$A:$C,3,0),""),"")</f>
        <v>S</v>
      </c>
      <c r="G664" s="111" t="s">
        <v>93</v>
      </c>
      <c r="H664" s="104" t="str">
        <f aca="false">IF(G664&lt;&gt;"",IFERROR(VLOOKUP(G664,PRODUCTOS!$A:$B,2,0),"!COD NO ENCONTRADO"),"")</f>
        <v>BOQUERON/ BOCARTE/ ANCHOA (ANE)</v>
      </c>
      <c r="I664" s="77" t="n">
        <v>44</v>
      </c>
      <c r="J664" s="78" t="n">
        <v>379</v>
      </c>
      <c r="K664" s="109" t="n">
        <v>1.39</v>
      </c>
      <c r="L664" s="107" t="n">
        <f aca="false">IF(AND(J664&lt;&gt;"",K664&lt;&gt;""),J664*K664,"")</f>
        <v>526.81</v>
      </c>
      <c r="M664" s="108" t="n">
        <f aca="false">IF(L664&lt;&gt;"",L664*1.1,"")</f>
        <v>579.491</v>
      </c>
      <c r="N664" s="117" t="n">
        <f aca="false">IF(F664="S",L664*0.02,0)</f>
        <v>10.5362</v>
      </c>
      <c r="O664" s="115" t="n">
        <f aca="false">IF(L664&lt;&gt;"",L664+N664,"")</f>
        <v>537.3462</v>
      </c>
      <c r="P664" s="117" t="n">
        <f aca="false">IF(O664&lt;&gt;"",O664*0.1,"")</f>
        <v>53.73462</v>
      </c>
      <c r="Q664" s="116" t="n">
        <f aca="false">IF(O664&lt;&gt;"",O664+P664,"")</f>
        <v>591.08082</v>
      </c>
      <c r="R664" s="84"/>
    </row>
    <row r="665" customFormat="false" ht="15" hidden="false" customHeight="true" outlineLevel="0" collapsed="false">
      <c r="A665" s="103" t="n">
        <v>55996</v>
      </c>
      <c r="B665" s="73" t="n">
        <v>46212</v>
      </c>
      <c r="C665" s="84" t="n">
        <v>16198</v>
      </c>
      <c r="D665" s="87" t="n">
        <v>50160</v>
      </c>
      <c r="E665" s="104" t="str">
        <f aca="false">IF(D665&lt;&gt;"",IFERROR(VLOOKUP(D665,PROVEEDORES!$A:$B,2,0),"!COD NO ENCONTRADO"),"")</f>
        <v>SUBASTAS CORUÑA S.L.</v>
      </c>
      <c r="F665" s="122" t="str">
        <f aca="false">IF(D665&lt;&gt;"",IFERROR(VLOOKUP(D665,PROVEEDORES!$A:$C,3,0),""),"")</f>
        <v>S</v>
      </c>
      <c r="G665" s="111" t="s">
        <v>270</v>
      </c>
      <c r="H665" s="104" t="str">
        <f aca="false">IF(G665&lt;&gt;"",IFERROR(VLOOKUP(G665,PRODUCTOS!$A:$B,2,0),"!COD NO ENCONTRADO"),"")</f>
        <v>PEON/ PION (ATP)</v>
      </c>
      <c r="I665" s="89" t="n">
        <v>1</v>
      </c>
      <c r="J665" s="90" t="n">
        <v>4.75</v>
      </c>
      <c r="K665" s="106" t="n">
        <v>3.2</v>
      </c>
      <c r="L665" s="107" t="n">
        <f aca="false">IF(AND(J665&lt;&gt;"",K665&lt;&gt;""),J665*K665,"")</f>
        <v>15.2</v>
      </c>
      <c r="M665" s="108" t="n">
        <f aca="false">IF(L665&lt;&gt;"",L665*1.1,"")</f>
        <v>16.72</v>
      </c>
      <c r="N665" s="114" t="n">
        <f aca="false">IF(F665="S",L665*0.02,0)</f>
        <v>0.304</v>
      </c>
      <c r="O665" s="115" t="n">
        <f aca="false">IF(L665&lt;&gt;"",L665+N665,"")</f>
        <v>15.504</v>
      </c>
      <c r="P665" s="114" t="n">
        <f aca="false">IF(O665&lt;&gt;"",O665*0.1,"")</f>
        <v>1.5504</v>
      </c>
      <c r="Q665" s="116" t="n">
        <f aca="false">IF(O665&lt;&gt;"",O665+P665,"")</f>
        <v>17.0544</v>
      </c>
      <c r="R665" s="84"/>
    </row>
    <row r="666" customFormat="false" ht="15" hidden="false" customHeight="true" outlineLevel="0" collapsed="false">
      <c r="A666" s="103" t="n">
        <v>55996</v>
      </c>
      <c r="B666" s="73" t="n">
        <v>46212</v>
      </c>
      <c r="C666" s="84" t="n">
        <v>16198</v>
      </c>
      <c r="D666" s="75" t="n">
        <v>50160</v>
      </c>
      <c r="E666" s="104" t="str">
        <f aca="false">IF(D666&lt;&gt;"",IFERROR(VLOOKUP(D666,PROVEEDORES!$A:$B,2,0),"!COD NO ENCONTRADO"),"")</f>
        <v>SUBASTAS CORUÑA S.L.</v>
      </c>
      <c r="F666" s="122" t="str">
        <f aca="false">IF(D666&lt;&gt;"",IFERROR(VLOOKUP(D666,PROVEEDORES!$A:$C,3,0),""),"")</f>
        <v>S</v>
      </c>
      <c r="G666" s="111" t="s">
        <v>270</v>
      </c>
      <c r="H666" s="104" t="str">
        <f aca="false">IF(G666&lt;&gt;"",IFERROR(VLOOKUP(G666,PRODUCTOS!$A:$B,2,0),"!COD NO ENCONTRADO"),"")</f>
        <v>PEON/ PION (ATP)</v>
      </c>
      <c r="I666" s="77" t="n">
        <v>6</v>
      </c>
      <c r="J666" s="78" t="n">
        <v>31.25</v>
      </c>
      <c r="K666" s="109" t="n">
        <v>2.2</v>
      </c>
      <c r="L666" s="107" t="n">
        <f aca="false">IF(AND(J666&lt;&gt;"",K666&lt;&gt;""),J666*K666,"")</f>
        <v>68.75</v>
      </c>
      <c r="M666" s="108" t="n">
        <f aca="false">IF(L666&lt;&gt;"",L666*1.1,"")</f>
        <v>75.625</v>
      </c>
      <c r="N666" s="117" t="n">
        <f aca="false">IF(F666="S",L666*0.02,0)</f>
        <v>1.375</v>
      </c>
      <c r="O666" s="115" t="n">
        <f aca="false">IF(L666&lt;&gt;"",L666+N666,"")</f>
        <v>70.125</v>
      </c>
      <c r="P666" s="117" t="n">
        <f aca="false">IF(O666&lt;&gt;"",O666*0.1,"")</f>
        <v>7.0125</v>
      </c>
      <c r="Q666" s="116" t="n">
        <f aca="false">IF(O666&lt;&gt;"",O666+P666,"")</f>
        <v>77.1375</v>
      </c>
      <c r="R666" s="84"/>
    </row>
    <row r="667" customFormat="false" ht="15" hidden="false" customHeight="true" outlineLevel="0" collapsed="false">
      <c r="A667" s="103" t="n">
        <v>55996</v>
      </c>
      <c r="B667" s="73" t="n">
        <v>46212</v>
      </c>
      <c r="C667" s="84" t="n">
        <v>16198</v>
      </c>
      <c r="D667" s="87" t="n">
        <v>50160</v>
      </c>
      <c r="E667" s="104" t="str">
        <f aca="false">IF(D667&lt;&gt;"",IFERROR(VLOOKUP(D667,PROVEEDORES!$A:$B,2,0),"!COD NO ENCONTRADO"),"")</f>
        <v>SUBASTAS CORUÑA S.L.</v>
      </c>
      <c r="F667" s="122" t="str">
        <f aca="false">IF(D667&lt;&gt;"",IFERROR(VLOOKUP(D667,PROVEEDORES!$A:$C,3,0),""),"")</f>
        <v>S</v>
      </c>
      <c r="G667" s="111" t="s">
        <v>276</v>
      </c>
      <c r="H667" s="104" t="str">
        <f aca="false">IF(G667&lt;&gt;"",IFERROR(VLOOKUP(G667,PRODUCTOS!$A:$B,2,0),"!COD NO ENCONTRADO"),"")</f>
        <v>MERLUZA EUROPEA/ FINA DIA </v>
      </c>
      <c r="I667" s="77" t="n">
        <v>2</v>
      </c>
      <c r="J667" s="78" t="n">
        <v>28.25</v>
      </c>
      <c r="K667" s="109" t="n">
        <v>3.3</v>
      </c>
      <c r="L667" s="107" t="n">
        <f aca="false">IF(AND(J667&lt;&gt;"",K667&lt;&gt;""),J667*K667,"")</f>
        <v>93.225</v>
      </c>
      <c r="M667" s="108" t="n">
        <f aca="false">IF(L667&lt;&gt;"",L667*1.1,"")</f>
        <v>102.5475</v>
      </c>
      <c r="N667" s="117" t="n">
        <f aca="false">IF(F667="S",L667*0.02,0)</f>
        <v>1.8645</v>
      </c>
      <c r="O667" s="115" t="n">
        <f aca="false">IF(L667&lt;&gt;"",L667+N667,"")</f>
        <v>95.0895</v>
      </c>
      <c r="P667" s="117" t="n">
        <f aca="false">IF(O667&lt;&gt;"",O667*0.1,"")</f>
        <v>9.50895</v>
      </c>
      <c r="Q667" s="116" t="n">
        <f aca="false">IF(O667&lt;&gt;"",O667+P667,"")</f>
        <v>104.59845</v>
      </c>
      <c r="R667" s="84"/>
    </row>
    <row r="668" customFormat="false" ht="15" hidden="false" customHeight="true" outlineLevel="0" collapsed="false">
      <c r="A668" s="103" t="n">
        <v>55996</v>
      </c>
      <c r="B668" s="73" t="n">
        <v>46212</v>
      </c>
      <c r="C668" s="84" t="n">
        <v>16198</v>
      </c>
      <c r="D668" s="87" t="n">
        <v>50160</v>
      </c>
      <c r="E668" s="104" t="str">
        <f aca="false">IF(D668&lt;&gt;"",IFERROR(VLOOKUP(D668,PROVEEDORES!$A:$B,2,0),"!COD NO ENCONTRADO"),"")</f>
        <v>SUBASTAS CORUÑA S.L.</v>
      </c>
      <c r="F668" s="122" t="str">
        <f aca="false">IF(D668&lt;&gt;"",IFERROR(VLOOKUP(D668,PROVEEDORES!$A:$C,3,0),""),"")</f>
        <v>S</v>
      </c>
      <c r="G668" s="111" t="s">
        <v>276</v>
      </c>
      <c r="H668" s="104" t="str">
        <f aca="false">IF(G668&lt;&gt;"",IFERROR(VLOOKUP(G668,PRODUCTOS!$A:$B,2,0),"!COD NO ENCONTRADO"),"")</f>
        <v>MERLUZA EUROPEA/ FINA DIA </v>
      </c>
      <c r="I668" s="77" t="n">
        <v>2</v>
      </c>
      <c r="J668" s="78" t="n">
        <v>29.5</v>
      </c>
      <c r="K668" s="109" t="n">
        <v>3.2</v>
      </c>
      <c r="L668" s="107" t="n">
        <f aca="false">IF(AND(J668&lt;&gt;"",K668&lt;&gt;""),J668*K668,"")</f>
        <v>94.4</v>
      </c>
      <c r="M668" s="108" t="n">
        <f aca="false">IF(L668&lt;&gt;"",L668*1.1,"")</f>
        <v>103.84</v>
      </c>
      <c r="N668" s="117" t="n">
        <f aca="false">IF(F668="S",L668*0.02,0)</f>
        <v>1.888</v>
      </c>
      <c r="O668" s="115" t="n">
        <f aca="false">IF(L668&lt;&gt;"",L668+N668,"")</f>
        <v>96.288</v>
      </c>
      <c r="P668" s="117" t="n">
        <f aca="false">IF(O668&lt;&gt;"",O668*0.1,"")</f>
        <v>9.6288</v>
      </c>
      <c r="Q668" s="116" t="n">
        <f aca="false">IF(O668&lt;&gt;"",O668+P668,"")</f>
        <v>105.9168</v>
      </c>
      <c r="R668" s="84"/>
    </row>
    <row r="669" customFormat="false" ht="15" hidden="false" customHeight="true" outlineLevel="0" collapsed="false">
      <c r="A669" s="103" t="n">
        <v>55997</v>
      </c>
      <c r="B669" s="73" t="n">
        <v>46212</v>
      </c>
      <c r="C669" s="84" t="n">
        <v>18957</v>
      </c>
      <c r="D669" s="87" t="n">
        <v>50163</v>
      </c>
      <c r="E669" s="104" t="str">
        <f aca="false">IF(D669&lt;&gt;"",IFERROR(VLOOKUP(D669,PROVEEDORES!$A:$B,2,0),"!COD NO ENCONTRADO"),"")</f>
        <v>SUBASTAS RIVERA S.L.</v>
      </c>
      <c r="F669" s="122" t="str">
        <f aca="false">IF(D669&lt;&gt;"",IFERROR(VLOOKUP(D669,PROVEEDORES!$A:$C,3,0),""),"")</f>
        <v>S</v>
      </c>
      <c r="G669" s="111" t="s">
        <v>270</v>
      </c>
      <c r="H669" s="104" t="str">
        <f aca="false">IF(G669&lt;&gt;"",IFERROR(VLOOKUP(G669,PRODUCTOS!$A:$B,2,0),"!COD NO ENCONTRADO"),"")</f>
        <v>PEON/ PION (ATP)</v>
      </c>
      <c r="I669" s="89" t="n">
        <v>2</v>
      </c>
      <c r="J669" s="90" t="n">
        <v>12</v>
      </c>
      <c r="K669" s="106" t="n">
        <v>3.6</v>
      </c>
      <c r="L669" s="107" t="n">
        <f aca="false">IF(AND(J669&lt;&gt;"",K669&lt;&gt;""),J669*K669,"")</f>
        <v>43.2</v>
      </c>
      <c r="M669" s="108" t="n">
        <f aca="false">IF(L669&lt;&gt;"",L669*1.1,"")</f>
        <v>47.52</v>
      </c>
      <c r="N669" s="114" t="n">
        <f aca="false">IF(F669="S",L669*0.02,0)</f>
        <v>0.864</v>
      </c>
      <c r="O669" s="115" t="n">
        <f aca="false">IF(L669&lt;&gt;"",L669+N669,"")</f>
        <v>44.064</v>
      </c>
      <c r="P669" s="114" t="n">
        <f aca="false">IF(O669&lt;&gt;"",O669*0.1,"")</f>
        <v>4.4064</v>
      </c>
      <c r="Q669" s="116" t="n">
        <f aca="false">IF(O669&lt;&gt;"",O669+P669,"")</f>
        <v>48.4704</v>
      </c>
      <c r="R669" s="84"/>
    </row>
    <row r="670" customFormat="false" ht="15" hidden="false" customHeight="true" outlineLevel="0" collapsed="false">
      <c r="A670" s="103" t="n">
        <v>55997</v>
      </c>
      <c r="B670" s="73" t="n">
        <v>46212</v>
      </c>
      <c r="C670" s="84" t="n">
        <v>18957</v>
      </c>
      <c r="D670" s="87" t="n">
        <v>50163</v>
      </c>
      <c r="E670" s="104" t="str">
        <f aca="false">IF(D670&lt;&gt;"",IFERROR(VLOOKUP(D670,PROVEEDORES!$A:$B,2,0),"!COD NO ENCONTRADO"),"")</f>
        <v>SUBASTAS RIVERA S.L.</v>
      </c>
      <c r="F670" s="122" t="str">
        <f aca="false">IF(D670&lt;&gt;"",IFERROR(VLOOKUP(D670,PROVEEDORES!$A:$C,3,0),""),"")</f>
        <v>S</v>
      </c>
      <c r="G670" s="111" t="s">
        <v>332</v>
      </c>
      <c r="H670" s="104" t="str">
        <f aca="false">IF(G670&lt;&gt;"",IFERROR(VLOOKUP(G670,PRODUCTOS!$A:$B,2,0),"!COD NO ENCONTRADO"),"")</f>
        <v>VARIADO PEQUEÑO</v>
      </c>
      <c r="I670" s="77" t="n">
        <v>3</v>
      </c>
      <c r="J670" s="78" t="n">
        <v>49.75</v>
      </c>
      <c r="K670" s="109" t="n">
        <v>0.5</v>
      </c>
      <c r="L670" s="107" t="n">
        <f aca="false">IF(AND(J670&lt;&gt;"",K670&lt;&gt;""),J670*K670,"")</f>
        <v>24.875</v>
      </c>
      <c r="M670" s="108" t="n">
        <f aca="false">IF(L670&lt;&gt;"",L670*1.1,"")</f>
        <v>27.3625</v>
      </c>
      <c r="N670" s="117" t="n">
        <f aca="false">IF(F670="S",L670*0.02,0)</f>
        <v>0.4975</v>
      </c>
      <c r="O670" s="115" t="n">
        <f aca="false">IF(L670&lt;&gt;"",L670+N670,"")</f>
        <v>25.3725</v>
      </c>
      <c r="P670" s="117" t="n">
        <f aca="false">IF(O670&lt;&gt;"",O670*0.1,"")</f>
        <v>2.53725</v>
      </c>
      <c r="Q670" s="116" t="n">
        <f aca="false">IF(O670&lt;&gt;"",O670+P670,"")</f>
        <v>27.90975</v>
      </c>
      <c r="R670" s="84"/>
    </row>
    <row r="671" customFormat="false" ht="15" hidden="false" customHeight="true" outlineLevel="0" collapsed="false">
      <c r="A671" s="103" t="n">
        <v>55997</v>
      </c>
      <c r="B671" s="73" t="n">
        <v>46212</v>
      </c>
      <c r="C671" s="84" t="n">
        <v>18957</v>
      </c>
      <c r="D671" s="87" t="n">
        <v>50163</v>
      </c>
      <c r="E671" s="104" t="str">
        <f aca="false">IF(D671&lt;&gt;"",IFERROR(VLOOKUP(D671,PROVEEDORES!$A:$B,2,0),"!COD NO ENCONTRADO"),"")</f>
        <v>SUBASTAS RIVERA S.L.</v>
      </c>
      <c r="F671" s="122" t="str">
        <f aca="false">IF(D671&lt;&gt;"",IFERROR(VLOOKUP(D671,PROVEEDORES!$A:$C,3,0),""),"")</f>
        <v>S</v>
      </c>
      <c r="G671" s="111" t="s">
        <v>103</v>
      </c>
      <c r="H671" s="104" t="str">
        <f aca="false">IF(G671&lt;&gt;"",IFERROR(VLOOKUP(G671,PRODUCTOS!$A:$B,2,0),"!COD NO ENCONTRADO"),"")</f>
        <v>CABRAS/ GALLINETA (BRF)</v>
      </c>
      <c r="I671" s="89" t="n">
        <v>1</v>
      </c>
      <c r="J671" s="90" t="n">
        <v>6</v>
      </c>
      <c r="K671" s="106" t="n">
        <v>11.1</v>
      </c>
      <c r="L671" s="107" t="n">
        <f aca="false">IF(AND(J671&lt;&gt;"",K671&lt;&gt;""),J671*K671,"")</f>
        <v>66.6</v>
      </c>
      <c r="M671" s="108" t="n">
        <f aca="false">IF(L671&lt;&gt;"",L671*1.1,"")</f>
        <v>73.26</v>
      </c>
      <c r="N671" s="114" t="n">
        <f aca="false">IF(F671="S",L671*0.02,0)</f>
        <v>1.332</v>
      </c>
      <c r="O671" s="115" t="n">
        <f aca="false">IF(L671&lt;&gt;"",L671+N671,"")</f>
        <v>67.932</v>
      </c>
      <c r="P671" s="114" t="n">
        <f aca="false">IF(O671&lt;&gt;"",O671*0.1,"")</f>
        <v>6.7932</v>
      </c>
      <c r="Q671" s="116" t="n">
        <f aca="false">IF(O671&lt;&gt;"",O671+P671,"")</f>
        <v>74.7252</v>
      </c>
      <c r="R671" s="84"/>
    </row>
    <row r="672" customFormat="false" ht="15" hidden="false" customHeight="true" outlineLevel="0" collapsed="false">
      <c r="A672" s="103" t="n">
        <v>55997</v>
      </c>
      <c r="B672" s="73" t="n">
        <v>46212</v>
      </c>
      <c r="C672" s="84" t="n">
        <v>18957</v>
      </c>
      <c r="D672" s="87" t="n">
        <v>50163</v>
      </c>
      <c r="E672" s="104" t="str">
        <f aca="false">IF(D672&lt;&gt;"",IFERROR(VLOOKUP(D672,PROVEEDORES!$A:$B,2,0),"!COD NO ENCONTRADO"),"")</f>
        <v>SUBASTAS RIVERA S.L.</v>
      </c>
      <c r="F672" s="122" t="str">
        <f aca="false">IF(D672&lt;&gt;"",IFERROR(VLOOKUP(D672,PROVEEDORES!$A:$C,3,0),""),"")</f>
        <v>S</v>
      </c>
      <c r="G672" s="111" t="s">
        <v>103</v>
      </c>
      <c r="H672" s="104" t="str">
        <f aca="false">IF(G672&lt;&gt;"",IFERROR(VLOOKUP(G672,PRODUCTOS!$A:$B,2,0),"!COD NO ENCONTRADO"),"")</f>
        <v>CABRAS/ GALLINETA (BRF)</v>
      </c>
      <c r="I672" s="77" t="n">
        <v>2</v>
      </c>
      <c r="J672" s="78" t="n">
        <v>8.6</v>
      </c>
      <c r="K672" s="109" t="n">
        <v>16.5</v>
      </c>
      <c r="L672" s="107" t="n">
        <f aca="false">IF(AND(J672&lt;&gt;"",K672&lt;&gt;""),J672*K672,"")</f>
        <v>141.9</v>
      </c>
      <c r="M672" s="108" t="n">
        <f aca="false">IF(L672&lt;&gt;"",L672*1.1,"")</f>
        <v>156.09</v>
      </c>
      <c r="N672" s="117" t="n">
        <f aca="false">IF(F672="S",L672*0.02,0)</f>
        <v>2.838</v>
      </c>
      <c r="O672" s="115" t="n">
        <f aca="false">IF(L672&lt;&gt;"",L672+N672,"")</f>
        <v>144.738</v>
      </c>
      <c r="P672" s="117" t="n">
        <f aca="false">IF(O672&lt;&gt;"",O672*0.1,"")</f>
        <v>14.4738</v>
      </c>
      <c r="Q672" s="116" t="n">
        <f aca="false">IF(O672&lt;&gt;"",O672+P672,"")</f>
        <v>159.2118</v>
      </c>
      <c r="R672" s="84"/>
    </row>
    <row r="673" customFormat="false" ht="15" hidden="false" customHeight="true" outlineLevel="0" collapsed="false">
      <c r="A673" s="103" t="n">
        <v>55997</v>
      </c>
      <c r="B673" s="73" t="n">
        <v>46212</v>
      </c>
      <c r="C673" s="84" t="n">
        <v>18957</v>
      </c>
      <c r="D673" s="87" t="n">
        <v>50163</v>
      </c>
      <c r="E673" s="104" t="str">
        <f aca="false">IF(D673&lt;&gt;"",IFERROR(VLOOKUP(D673,PROVEEDORES!$A:$B,2,0),"!COD NO ENCONTRADO"),"")</f>
        <v>SUBASTAS RIVERA S.L.</v>
      </c>
      <c r="F673" s="122" t="str">
        <f aca="false">IF(D673&lt;&gt;"",IFERROR(VLOOKUP(D673,PROVEEDORES!$A:$C,3,0),""),"")</f>
        <v>S</v>
      </c>
      <c r="G673" s="111" t="s">
        <v>103</v>
      </c>
      <c r="H673" s="104" t="str">
        <f aca="false">IF(G673&lt;&gt;"",IFERROR(VLOOKUP(G673,PRODUCTOS!$A:$B,2,0),"!COD NO ENCONTRADO"),"")</f>
        <v>CABRAS/ GALLINETA (BRF)</v>
      </c>
      <c r="I673" s="89" t="n">
        <v>2</v>
      </c>
      <c r="J673" s="90" t="n">
        <v>9</v>
      </c>
      <c r="K673" s="106" t="n">
        <v>15.9</v>
      </c>
      <c r="L673" s="107" t="n">
        <f aca="false">IF(AND(J673&lt;&gt;"",K673&lt;&gt;""),J673*K673,"")</f>
        <v>143.1</v>
      </c>
      <c r="M673" s="108" t="n">
        <f aca="false">IF(L673&lt;&gt;"",L673*1.1,"")</f>
        <v>157.41</v>
      </c>
      <c r="N673" s="114" t="n">
        <f aca="false">IF(F673="S",L673*0.02,0)</f>
        <v>2.862</v>
      </c>
      <c r="O673" s="115" t="n">
        <f aca="false">IF(L673&lt;&gt;"",L673+N673,"")</f>
        <v>145.962</v>
      </c>
      <c r="P673" s="114" t="n">
        <f aca="false">IF(O673&lt;&gt;"",O673*0.1,"")</f>
        <v>14.5962</v>
      </c>
      <c r="Q673" s="116" t="n">
        <f aca="false">IF(O673&lt;&gt;"",O673+P673,"")</f>
        <v>160.5582</v>
      </c>
      <c r="R673" s="84"/>
    </row>
    <row r="674" customFormat="false" ht="15" hidden="false" customHeight="true" outlineLevel="0" collapsed="false">
      <c r="A674" s="103" t="n">
        <v>55997</v>
      </c>
      <c r="B674" s="73" t="n">
        <v>46212</v>
      </c>
      <c r="C674" s="84" t="n">
        <v>18957</v>
      </c>
      <c r="D674" s="87" t="n">
        <v>50163</v>
      </c>
      <c r="E674" s="104" t="str">
        <f aca="false">IF(D674&lt;&gt;"",IFERROR(VLOOKUP(D674,PROVEEDORES!$A:$B,2,0),"!COD NO ENCONTRADO"),"")</f>
        <v>SUBASTAS RIVERA S.L.</v>
      </c>
      <c r="F674" s="122" t="str">
        <f aca="false">IF(D674&lt;&gt;"",IFERROR(VLOOKUP(D674,PROVEEDORES!$A:$C,3,0),""),"")</f>
        <v>S</v>
      </c>
      <c r="G674" s="111" t="s">
        <v>216</v>
      </c>
      <c r="H674" s="104" t="str">
        <f aca="false">IF(G674&lt;&gt;"",IFERROR(VLOOKUP(G674,PRODUCTOS!$A:$B,2,0),"!COD NO ENCONTRADO"),"")</f>
        <v>MERLUZA EUROPEA PINCHO COSTA</v>
      </c>
      <c r="I674" s="77" t="n">
        <v>4</v>
      </c>
      <c r="J674" s="78" t="n">
        <v>57.75</v>
      </c>
      <c r="K674" s="109" t="n">
        <v>6.4</v>
      </c>
      <c r="L674" s="107" t="n">
        <f aca="false">IF(AND(J674&lt;&gt;"",K674&lt;&gt;""),J674*K674,"")</f>
        <v>369.6</v>
      </c>
      <c r="M674" s="108" t="n">
        <f aca="false">IF(L674&lt;&gt;"",L674*1.1,"")</f>
        <v>406.56</v>
      </c>
      <c r="N674" s="117" t="n">
        <f aca="false">IF(F674="S",L674*0.02,0)</f>
        <v>7.392</v>
      </c>
      <c r="O674" s="115" t="n">
        <f aca="false">IF(L674&lt;&gt;"",L674+N674,"")</f>
        <v>376.992</v>
      </c>
      <c r="P674" s="117" t="n">
        <f aca="false">IF(O674&lt;&gt;"",O674*0.1,"")</f>
        <v>37.6992</v>
      </c>
      <c r="Q674" s="116" t="n">
        <f aca="false">IF(O674&lt;&gt;"",O674+P674,"")</f>
        <v>414.6912</v>
      </c>
      <c r="R674" s="84"/>
    </row>
    <row r="675" customFormat="false" ht="15" hidden="false" customHeight="true" outlineLevel="0" collapsed="false">
      <c r="A675" s="103" t="n">
        <v>55997</v>
      </c>
      <c r="B675" s="73" t="n">
        <v>46212</v>
      </c>
      <c r="C675" s="84" t="n">
        <v>18957</v>
      </c>
      <c r="D675" s="87" t="n">
        <v>50163</v>
      </c>
      <c r="E675" s="104" t="str">
        <f aca="false">IF(D675&lt;&gt;"",IFERROR(VLOOKUP(D675,PROVEEDORES!$A:$B,2,0),"!COD NO ENCONTRADO"),"")</f>
        <v>SUBASTAS RIVERA S.L.</v>
      </c>
      <c r="F675" s="122" t="str">
        <f aca="false">IF(D675&lt;&gt;"",IFERROR(VLOOKUP(D675,PROVEEDORES!$A:$C,3,0),""),"")</f>
        <v>S</v>
      </c>
      <c r="G675" s="111" t="s">
        <v>216</v>
      </c>
      <c r="H675" s="104" t="str">
        <f aca="false">IF(G675&lt;&gt;"",IFERROR(VLOOKUP(G675,PRODUCTOS!$A:$B,2,0),"!COD NO ENCONTRADO"),"")</f>
        <v>MERLUZA EUROPEA PINCHO COSTA</v>
      </c>
      <c r="I675" s="89" t="n">
        <v>2</v>
      </c>
      <c r="J675" s="90" t="n">
        <v>31</v>
      </c>
      <c r="K675" s="106" t="n">
        <v>6.5</v>
      </c>
      <c r="L675" s="107" t="n">
        <f aca="false">IF(AND(J675&lt;&gt;"",K675&lt;&gt;""),J675*K675,"")</f>
        <v>201.5</v>
      </c>
      <c r="M675" s="108" t="n">
        <f aca="false">IF(L675&lt;&gt;"",L675*1.1,"")</f>
        <v>221.65</v>
      </c>
      <c r="N675" s="114" t="n">
        <f aca="false">IF(F675="S",L675*0.02,0)</f>
        <v>4.03</v>
      </c>
      <c r="O675" s="115" t="n">
        <f aca="false">IF(L675&lt;&gt;"",L675+N675,"")</f>
        <v>205.53</v>
      </c>
      <c r="P675" s="114" t="n">
        <f aca="false">IF(O675&lt;&gt;"",O675*0.1,"")</f>
        <v>20.553</v>
      </c>
      <c r="Q675" s="116" t="n">
        <f aca="false">IF(O675&lt;&gt;"",O675+P675,"")</f>
        <v>226.083</v>
      </c>
      <c r="R675" s="84"/>
    </row>
    <row r="676" customFormat="false" ht="15" hidden="false" customHeight="true" outlineLevel="0" collapsed="false">
      <c r="A676" s="103" t="n">
        <v>55997</v>
      </c>
      <c r="B676" s="73" t="n">
        <v>46212</v>
      </c>
      <c r="C676" s="84" t="n">
        <v>18957</v>
      </c>
      <c r="D676" s="87" t="n">
        <v>50163</v>
      </c>
      <c r="E676" s="104" t="str">
        <f aca="false">IF(D676&lt;&gt;"",IFERROR(VLOOKUP(D676,PROVEEDORES!$A:$B,2,0),"!COD NO ENCONTRADO"),"")</f>
        <v>SUBASTAS RIVERA S.L.</v>
      </c>
      <c r="F676" s="122" t="str">
        <f aca="false">IF(D676&lt;&gt;"",IFERROR(VLOOKUP(D676,PROVEEDORES!$A:$C,3,0),""),"")</f>
        <v>S</v>
      </c>
      <c r="G676" s="111" t="s">
        <v>276</v>
      </c>
      <c r="H676" s="104" t="str">
        <f aca="false">IF(G676&lt;&gt;"",IFERROR(VLOOKUP(G676,PRODUCTOS!$A:$B,2,0),"!COD NO ENCONTRADO"),"")</f>
        <v>MERLUZA EUROPEA/ FINA DIA </v>
      </c>
      <c r="I676" s="77" t="n">
        <v>1</v>
      </c>
      <c r="J676" s="78" t="n">
        <v>5.75</v>
      </c>
      <c r="K676" s="109" t="n">
        <v>1.8</v>
      </c>
      <c r="L676" s="107" t="n">
        <f aca="false">IF(AND(J676&lt;&gt;"",K676&lt;&gt;""),J676*K676,"")</f>
        <v>10.35</v>
      </c>
      <c r="M676" s="108" t="n">
        <f aca="false">IF(L676&lt;&gt;"",L676*1.1,"")</f>
        <v>11.385</v>
      </c>
      <c r="N676" s="117" t="n">
        <f aca="false">IF(F676="S",L676*0.02,0)</f>
        <v>0.207</v>
      </c>
      <c r="O676" s="115" t="n">
        <f aca="false">IF(L676&lt;&gt;"",L676+N676,"")</f>
        <v>10.557</v>
      </c>
      <c r="P676" s="117" t="n">
        <f aca="false">IF(O676&lt;&gt;"",O676*0.1,"")</f>
        <v>1.0557</v>
      </c>
      <c r="Q676" s="116" t="n">
        <f aca="false">IF(O676&lt;&gt;"",O676+P676,"")</f>
        <v>11.6127</v>
      </c>
      <c r="R676" s="84"/>
    </row>
    <row r="677" customFormat="false" ht="15" hidden="false" customHeight="true" outlineLevel="0" collapsed="false">
      <c r="A677" s="103" t="n">
        <v>55997</v>
      </c>
      <c r="B677" s="73" t="n">
        <v>46212</v>
      </c>
      <c r="C677" s="84" t="n">
        <v>18957</v>
      </c>
      <c r="D677" s="87" t="n">
        <v>50163</v>
      </c>
      <c r="E677" s="104" t="str">
        <f aca="false">IF(D677&lt;&gt;"",IFERROR(VLOOKUP(D677,PROVEEDORES!$A:$B,2,0),"!COD NO ENCONTRADO"),"")</f>
        <v>SUBASTAS RIVERA S.L.</v>
      </c>
      <c r="F677" s="122" t="str">
        <f aca="false">IF(D677&lt;&gt;"",IFERROR(VLOOKUP(D677,PROVEEDORES!$A:$C,3,0),""),"")</f>
        <v>S</v>
      </c>
      <c r="G677" s="111" t="s">
        <v>332</v>
      </c>
      <c r="H677" s="104" t="str">
        <f aca="false">IF(G677&lt;&gt;"",IFERROR(VLOOKUP(G677,PRODUCTOS!$A:$B,2,0),"!COD NO ENCONTRADO"),"")</f>
        <v>VARIADO PEQUEÑO</v>
      </c>
      <c r="I677" s="89" t="n">
        <v>3</v>
      </c>
      <c r="J677" s="90" t="n">
        <v>42.5</v>
      </c>
      <c r="K677" s="106" t="n">
        <v>1.3</v>
      </c>
      <c r="L677" s="107" t="n">
        <f aca="false">IF(AND(J677&lt;&gt;"",K677&lt;&gt;""),J677*K677,"")</f>
        <v>55.25</v>
      </c>
      <c r="M677" s="108" t="n">
        <f aca="false">IF(L677&lt;&gt;"",L677*1.1,"")</f>
        <v>60.775</v>
      </c>
      <c r="N677" s="114" t="n">
        <f aca="false">IF(F677="S",L677*0.02,0)</f>
        <v>1.105</v>
      </c>
      <c r="O677" s="115" t="n">
        <f aca="false">IF(L677&lt;&gt;"",L677+N677,"")</f>
        <v>56.355</v>
      </c>
      <c r="P677" s="114" t="n">
        <f aca="false">IF(O677&lt;&gt;"",O677*0.1,"")</f>
        <v>5.6355</v>
      </c>
      <c r="Q677" s="116" t="n">
        <f aca="false">IF(O677&lt;&gt;"",O677+P677,"")</f>
        <v>61.9905</v>
      </c>
      <c r="R677" s="84"/>
    </row>
    <row r="678" customFormat="false" ht="15" hidden="false" customHeight="true" outlineLevel="0" collapsed="false">
      <c r="A678" s="103" t="n">
        <v>55997</v>
      </c>
      <c r="B678" s="73" t="n">
        <v>46212</v>
      </c>
      <c r="C678" s="84" t="n">
        <v>18957</v>
      </c>
      <c r="D678" s="87" t="n">
        <v>50163</v>
      </c>
      <c r="E678" s="104" t="str">
        <f aca="false">IF(D678&lt;&gt;"",IFERROR(VLOOKUP(D678,PROVEEDORES!$A:$B,2,0),"!COD NO ENCONTRADO"),"")</f>
        <v>SUBASTAS RIVERA S.L.</v>
      </c>
      <c r="F678" s="122" t="str">
        <f aca="false">IF(D678&lt;&gt;"",IFERROR(VLOOKUP(D678,PROVEEDORES!$A:$C,3,0),""),"")</f>
        <v>S</v>
      </c>
      <c r="G678" s="111" t="s">
        <v>53</v>
      </c>
      <c r="H678" s="104" t="str">
        <f aca="false">IF(G678&lt;&gt;"",IFERROR(VLOOKUP(G678,PRODUCTOS!$A:$B,2,0),"!COD NO ENCONTRADO"),"")</f>
        <v>CABRAS PÑA</v>
      </c>
      <c r="I678" s="89" t="n">
        <v>2</v>
      </c>
      <c r="J678" s="90" t="n">
        <v>18</v>
      </c>
      <c r="K678" s="113" t="n">
        <v>3.1</v>
      </c>
      <c r="L678" s="107" t="n">
        <f aca="false">IF(AND(J678&lt;&gt;"",K678&lt;&gt;""),J678*K678,"")</f>
        <v>55.8</v>
      </c>
      <c r="M678" s="108" t="n">
        <f aca="false">IF(L678&lt;&gt;"",L678*1.1,"")</f>
        <v>61.38</v>
      </c>
      <c r="N678" s="114" t="n">
        <f aca="false">IF(F678="S",L678*0.02,0)</f>
        <v>1.116</v>
      </c>
      <c r="O678" s="115" t="n">
        <f aca="false">IF(L678&lt;&gt;"",L678+N678,"")</f>
        <v>56.916</v>
      </c>
      <c r="P678" s="114" t="n">
        <f aca="false">IF(O678&lt;&gt;"",O678*0.1,"")</f>
        <v>5.6916</v>
      </c>
      <c r="Q678" s="116" t="n">
        <f aca="false">IF(O678&lt;&gt;"",O678+P678,"")</f>
        <v>62.6076</v>
      </c>
      <c r="R678" s="84"/>
    </row>
    <row r="679" customFormat="false" ht="15" hidden="false" customHeight="true" outlineLevel="0" collapsed="false">
      <c r="A679" s="103" t="n">
        <v>55997</v>
      </c>
      <c r="B679" s="73" t="n">
        <v>46212</v>
      </c>
      <c r="C679" s="84" t="n">
        <v>18957</v>
      </c>
      <c r="D679" s="87" t="n">
        <v>50163</v>
      </c>
      <c r="E679" s="104" t="str">
        <f aca="false">IF(D679&lt;&gt;"",IFERROR(VLOOKUP(D679,PROVEEDORES!$A:$B,2,0),"!COD NO ENCONTRADO"),"")</f>
        <v>SUBASTAS RIVERA S.L.</v>
      </c>
      <c r="F679" s="122" t="str">
        <f aca="false">IF(D679&lt;&gt;"",IFERROR(VLOOKUP(D679,PROVEEDORES!$A:$C,3,0),""),"")</f>
        <v>S</v>
      </c>
      <c r="G679" s="111" t="s">
        <v>53</v>
      </c>
      <c r="H679" s="104" t="str">
        <f aca="false">IF(G679&lt;&gt;"",IFERROR(VLOOKUP(G679,PRODUCTOS!$A:$B,2,0),"!COD NO ENCONTRADO"),"")</f>
        <v>CABRAS PÑA</v>
      </c>
      <c r="I679" s="77" t="n">
        <v>2</v>
      </c>
      <c r="J679" s="78" t="n">
        <v>20</v>
      </c>
      <c r="K679" s="113" t="n">
        <v>3.7</v>
      </c>
      <c r="L679" s="107" t="n">
        <f aca="false">IF(AND(J679&lt;&gt;"",K679&lt;&gt;""),J679*K679,"")</f>
        <v>74</v>
      </c>
      <c r="M679" s="108" t="n">
        <f aca="false">IF(L679&lt;&gt;"",L679*1.1,"")</f>
        <v>81.4</v>
      </c>
      <c r="N679" s="117" t="n">
        <f aca="false">IF(F679="S",L679*0.02,0)</f>
        <v>1.48</v>
      </c>
      <c r="O679" s="115" t="n">
        <f aca="false">IF(L679&lt;&gt;"",L679+N679,"")</f>
        <v>75.48</v>
      </c>
      <c r="P679" s="117" t="n">
        <f aca="false">IF(O679&lt;&gt;"",O679*0.1,"")</f>
        <v>7.548</v>
      </c>
      <c r="Q679" s="116" t="n">
        <f aca="false">IF(O679&lt;&gt;"",O679+P679,"")</f>
        <v>83.028</v>
      </c>
      <c r="R679" s="84"/>
    </row>
    <row r="680" customFormat="false" ht="15" hidden="false" customHeight="true" outlineLevel="0" collapsed="false">
      <c r="A680" s="103" t="n">
        <v>55997</v>
      </c>
      <c r="B680" s="73" t="n">
        <v>46212</v>
      </c>
      <c r="C680" s="84" t="n">
        <v>18957</v>
      </c>
      <c r="D680" s="87" t="n">
        <v>50163</v>
      </c>
      <c r="E680" s="104" t="str">
        <f aca="false">IF(D680&lt;&gt;"",IFERROR(VLOOKUP(D680,PROVEEDORES!$A:$B,2,0),"!COD NO ENCONTRADO"),"")</f>
        <v>SUBASTAS RIVERA S.L.</v>
      </c>
      <c r="F680" s="122" t="str">
        <f aca="false">IF(D680&lt;&gt;"",IFERROR(VLOOKUP(D680,PROVEEDORES!$A:$C,3,0),""),"")</f>
        <v>S</v>
      </c>
      <c r="G680" s="111" t="s">
        <v>53</v>
      </c>
      <c r="H680" s="104" t="str">
        <f aca="false">IF(G680&lt;&gt;"",IFERROR(VLOOKUP(G680,PRODUCTOS!$A:$B,2,0),"!COD NO ENCONTRADO"),"")</f>
        <v>CABRAS PÑA</v>
      </c>
      <c r="I680" s="89" t="n">
        <v>1</v>
      </c>
      <c r="J680" s="90" t="n">
        <v>7</v>
      </c>
      <c r="K680" s="106" t="n">
        <v>2.1</v>
      </c>
      <c r="L680" s="107" t="n">
        <f aca="false">IF(AND(J680&lt;&gt;"",K680&lt;&gt;""),J680*K680,"")</f>
        <v>14.7</v>
      </c>
      <c r="M680" s="108" t="n">
        <f aca="false">IF(L680&lt;&gt;"",L680*1.1,"")</f>
        <v>16.17</v>
      </c>
      <c r="N680" s="114" t="n">
        <f aca="false">IF(F680="S",L680*0.02,0)</f>
        <v>0.294</v>
      </c>
      <c r="O680" s="115" t="n">
        <f aca="false">IF(L680&lt;&gt;"",L680+N680,"")</f>
        <v>14.994</v>
      </c>
      <c r="P680" s="114" t="n">
        <f aca="false">IF(O680&lt;&gt;"",O680*0.1,"")</f>
        <v>1.4994</v>
      </c>
      <c r="Q680" s="116" t="n">
        <f aca="false">IF(O680&lt;&gt;"",O680+P680,"")</f>
        <v>16.4934</v>
      </c>
      <c r="R680" s="84"/>
    </row>
    <row r="681" customFormat="false" ht="15" hidden="false" customHeight="true" outlineLevel="0" collapsed="false">
      <c r="A681" s="103" t="n">
        <v>55997</v>
      </c>
      <c r="B681" s="73" t="n">
        <v>46212</v>
      </c>
      <c r="C681" s="84" t="n">
        <v>18957</v>
      </c>
      <c r="D681" s="87" t="n">
        <v>50163</v>
      </c>
      <c r="E681" s="104" t="str">
        <f aca="false">IF(D681&lt;&gt;"",IFERROR(VLOOKUP(D681,PROVEEDORES!$A:$B,2,0),"!COD NO ENCONTRADO"),"")</f>
        <v>SUBASTAS RIVERA S.L.</v>
      </c>
      <c r="F681" s="122" t="str">
        <f aca="false">IF(D681&lt;&gt;"",IFERROR(VLOOKUP(D681,PROVEEDORES!$A:$C,3,0),""),"")</f>
        <v>S</v>
      </c>
      <c r="G681" s="111" t="s">
        <v>276</v>
      </c>
      <c r="H681" s="104" t="str">
        <f aca="false">IF(G681&lt;&gt;"",IFERROR(VLOOKUP(G681,PRODUCTOS!$A:$B,2,0),"!COD NO ENCONTRADO"),"")</f>
        <v>MERLUZA EUROPEA/ FINA DIA </v>
      </c>
      <c r="I681" s="89" t="n">
        <v>2</v>
      </c>
      <c r="J681" s="90" t="n">
        <v>14.5</v>
      </c>
      <c r="K681" s="106" t="n">
        <v>2.95</v>
      </c>
      <c r="L681" s="107" t="n">
        <f aca="false">IF(AND(J681&lt;&gt;"",K681&lt;&gt;""),J681*K681,"")</f>
        <v>42.775</v>
      </c>
      <c r="M681" s="108" t="n">
        <f aca="false">IF(L681&lt;&gt;"",L681*1.1,"")</f>
        <v>47.0525</v>
      </c>
      <c r="N681" s="114" t="n">
        <f aca="false">IF(F681="S",L681*0.02,0)</f>
        <v>0.8555</v>
      </c>
      <c r="O681" s="115" t="n">
        <f aca="false">IF(L681&lt;&gt;"",L681+N681,"")</f>
        <v>43.6305</v>
      </c>
      <c r="P681" s="114" t="n">
        <f aca="false">IF(O681&lt;&gt;"",O681*0.1,"")</f>
        <v>4.36305</v>
      </c>
      <c r="Q681" s="116" t="n">
        <f aca="false">IF(O681&lt;&gt;"",O681+P681,"")</f>
        <v>47.99355</v>
      </c>
      <c r="R681" s="84"/>
    </row>
    <row r="682" customFormat="false" ht="15" hidden="false" customHeight="true" outlineLevel="0" collapsed="false">
      <c r="A682" s="103" t="n">
        <v>55997</v>
      </c>
      <c r="B682" s="73" t="n">
        <v>46212</v>
      </c>
      <c r="C682" s="84" t="n">
        <v>18957</v>
      </c>
      <c r="D682" s="87" t="n">
        <v>50163</v>
      </c>
      <c r="E682" s="104" t="str">
        <f aca="false">IF(D682&lt;&gt;"",IFERROR(VLOOKUP(D682,PROVEEDORES!$A:$B,2,0),"!COD NO ENCONTRADO"),"")</f>
        <v>SUBASTAS RIVERA S.L.</v>
      </c>
      <c r="F682" s="122" t="str">
        <f aca="false">IF(D682&lt;&gt;"",IFERROR(VLOOKUP(D682,PROVEEDORES!$A:$C,3,0),""),"")</f>
        <v>S</v>
      </c>
      <c r="G682" s="111" t="s">
        <v>276</v>
      </c>
      <c r="H682" s="104" t="str">
        <f aca="false">IF(G682&lt;&gt;"",IFERROR(VLOOKUP(G682,PRODUCTOS!$A:$B,2,0),"!COD NO ENCONTRADO"),"")</f>
        <v>MERLUZA EUROPEA/ FINA DIA </v>
      </c>
      <c r="I682" s="77" t="n">
        <v>1</v>
      </c>
      <c r="J682" s="78" t="n">
        <v>5.75</v>
      </c>
      <c r="K682" s="109" t="n">
        <v>2.1</v>
      </c>
      <c r="L682" s="107" t="n">
        <f aca="false">IF(AND(J682&lt;&gt;"",K682&lt;&gt;""),J682*K682,"")</f>
        <v>12.075</v>
      </c>
      <c r="M682" s="108" t="n">
        <f aca="false">IF(L682&lt;&gt;"",L682*1.1,"")</f>
        <v>13.2825</v>
      </c>
      <c r="N682" s="117" t="n">
        <f aca="false">IF(F682="S",L682*0.02,0)</f>
        <v>0.2415</v>
      </c>
      <c r="O682" s="115" t="n">
        <f aca="false">IF(L682&lt;&gt;"",L682+N682,"")</f>
        <v>12.3165</v>
      </c>
      <c r="P682" s="117" t="n">
        <f aca="false">IF(O682&lt;&gt;"",O682*0.1,"")</f>
        <v>1.23165</v>
      </c>
      <c r="Q682" s="116" t="n">
        <f aca="false">IF(O682&lt;&gt;"",O682+P682,"")</f>
        <v>13.54815</v>
      </c>
      <c r="R682" s="84"/>
    </row>
    <row r="683" customFormat="false" ht="15" hidden="false" customHeight="true" outlineLevel="0" collapsed="false">
      <c r="A683" s="103" t="n">
        <v>55998</v>
      </c>
      <c r="B683" s="85" t="n">
        <v>46212</v>
      </c>
      <c r="C683" s="84" t="s">
        <v>430</v>
      </c>
      <c r="D683" s="87" t="n">
        <v>50521</v>
      </c>
      <c r="E683" s="104" t="str">
        <f aca="false">IF(D683&lt;&gt;"",IFERROR(VLOOKUP(D683,PROVEEDORES!$A:$B,2,0),"!COD NO ENCONTRADO"),"")</f>
        <v>SUBASTAS DE ATLANTICO S.L</v>
      </c>
      <c r="F683" s="122" t="str">
        <f aca="false">IF(D683&lt;&gt;"",IFERROR(VLOOKUP(D683,PROVEEDORES!$A:$C,3,0),""),"")</f>
        <v>S</v>
      </c>
      <c r="G683" s="111" t="s">
        <v>93</v>
      </c>
      <c r="H683" s="104" t="str">
        <f aca="false">IF(G683&lt;&gt;"",IFERROR(VLOOKUP(G683,PRODUCTOS!$A:$B,2,0),"!COD NO ENCONTRADO"),"")</f>
        <v>BOQUERON/ BOCARTE/ ANCHOA (ANE)</v>
      </c>
      <c r="I683" s="89" t="n">
        <v>40</v>
      </c>
      <c r="J683" s="90" t="n">
        <v>366</v>
      </c>
      <c r="K683" s="106" t="n">
        <v>1.65</v>
      </c>
      <c r="L683" s="107" t="n">
        <f aca="false">IF(AND(J683&lt;&gt;"",K683&lt;&gt;""),J683*K683,"")</f>
        <v>603.9</v>
      </c>
      <c r="M683" s="108" t="n">
        <f aca="false">IF(L683&lt;&gt;"",L683*1.1,"")</f>
        <v>664.29</v>
      </c>
      <c r="N683" s="114" t="n">
        <f aca="false">IF(F683="S",L683*0.02,0)</f>
        <v>12.078</v>
      </c>
      <c r="O683" s="115" t="n">
        <f aca="false">IF(L683&lt;&gt;"",L683+N683,"")</f>
        <v>615.978</v>
      </c>
      <c r="P683" s="114" t="n">
        <f aca="false">IF(O683&lt;&gt;"",O683*0.1,"")</f>
        <v>61.5978</v>
      </c>
      <c r="Q683" s="116" t="n">
        <f aca="false">IF(O683&lt;&gt;"",O683+P683,"")</f>
        <v>677.5758</v>
      </c>
      <c r="R683" s="84"/>
    </row>
    <row r="684" customFormat="false" ht="15" hidden="false" customHeight="true" outlineLevel="0" collapsed="false">
      <c r="A684" s="103" t="n">
        <v>55998</v>
      </c>
      <c r="B684" s="85" t="n">
        <v>46212</v>
      </c>
      <c r="C684" s="84" t="s">
        <v>430</v>
      </c>
      <c r="D684" s="87" t="n">
        <v>50521</v>
      </c>
      <c r="E684" s="104" t="str">
        <f aca="false">IF(D684&lt;&gt;"",IFERROR(VLOOKUP(D684,PROVEEDORES!$A:$B,2,0),"!COD NO ENCONTRADO"),"")</f>
        <v>SUBASTAS DE ATLANTICO S.L</v>
      </c>
      <c r="F684" s="122" t="str">
        <f aca="false">IF(D684&lt;&gt;"",IFERROR(VLOOKUP(D684,PROVEEDORES!$A:$C,3,0),""),"")</f>
        <v>S</v>
      </c>
      <c r="G684" s="111" t="s">
        <v>93</v>
      </c>
      <c r="H684" s="104" t="str">
        <f aca="false">IF(G684&lt;&gt;"",IFERROR(VLOOKUP(G684,PRODUCTOS!$A:$B,2,0),"!COD NO ENCONTRADO"),"")</f>
        <v>BOQUERON/ BOCARTE/ ANCHOA (ANE)</v>
      </c>
      <c r="I684" s="77" t="n">
        <v>40</v>
      </c>
      <c r="J684" s="78" t="n">
        <v>355</v>
      </c>
      <c r="K684" s="109" t="n">
        <v>1.45</v>
      </c>
      <c r="L684" s="107" t="n">
        <f aca="false">IF(AND(J684&lt;&gt;"",K684&lt;&gt;""),J684*K684,"")</f>
        <v>514.75</v>
      </c>
      <c r="M684" s="108" t="n">
        <f aca="false">IF(L684&lt;&gt;"",L684*1.1,"")</f>
        <v>566.225</v>
      </c>
      <c r="N684" s="117" t="n">
        <f aca="false">IF(F684="S",L684*0.02,0)</f>
        <v>10.295</v>
      </c>
      <c r="O684" s="115" t="n">
        <f aca="false">IF(L684&lt;&gt;"",L684+N684,"")</f>
        <v>525.045</v>
      </c>
      <c r="P684" s="117" t="n">
        <f aca="false">IF(O684&lt;&gt;"",O684*0.1,"")</f>
        <v>52.5045</v>
      </c>
      <c r="Q684" s="116" t="n">
        <f aca="false">IF(O684&lt;&gt;"",O684+P684,"")</f>
        <v>577.5495</v>
      </c>
      <c r="R684" s="84"/>
    </row>
    <row r="685" customFormat="false" ht="15" hidden="false" customHeight="true" outlineLevel="0" collapsed="false">
      <c r="A685" s="103" t="n">
        <v>55998</v>
      </c>
      <c r="B685" s="85" t="n">
        <v>46212</v>
      </c>
      <c r="C685" s="84" t="s">
        <v>430</v>
      </c>
      <c r="D685" s="87" t="n">
        <v>50521</v>
      </c>
      <c r="E685" s="104" t="str">
        <f aca="false">IF(D685&lt;&gt;"",IFERROR(VLOOKUP(D685,PROVEEDORES!$A:$B,2,0),"!COD NO ENCONTRADO"),"")</f>
        <v>SUBASTAS DE ATLANTICO S.L</v>
      </c>
      <c r="F685" s="122" t="str">
        <f aca="false">IF(D685&lt;&gt;"",IFERROR(VLOOKUP(D685,PROVEEDORES!$A:$C,3,0),""),"")</f>
        <v>S</v>
      </c>
      <c r="G685" s="111" t="s">
        <v>93</v>
      </c>
      <c r="H685" s="104" t="str">
        <f aca="false">IF(G685&lt;&gt;"",IFERROR(VLOOKUP(G685,PRODUCTOS!$A:$B,2,0),"!COD NO ENCONTRADO"),"")</f>
        <v>BOQUERON/ BOCARTE/ ANCHOA (ANE)</v>
      </c>
      <c r="I685" s="89" t="n">
        <v>40</v>
      </c>
      <c r="J685" s="90" t="n">
        <v>362</v>
      </c>
      <c r="K685" s="106" t="n">
        <v>1.45</v>
      </c>
      <c r="L685" s="107" t="n">
        <f aca="false">IF(AND(J685&lt;&gt;"",K685&lt;&gt;""),J685*K685,"")</f>
        <v>524.9</v>
      </c>
      <c r="M685" s="108" t="n">
        <f aca="false">IF(L685&lt;&gt;"",L685*1.1,"")</f>
        <v>577.39</v>
      </c>
      <c r="N685" s="114" t="n">
        <f aca="false">IF(F685="S",L685*0.02,0)</f>
        <v>10.498</v>
      </c>
      <c r="O685" s="115" t="n">
        <f aca="false">IF(L685&lt;&gt;"",L685+N685,"")</f>
        <v>535.398</v>
      </c>
      <c r="P685" s="114" t="n">
        <f aca="false">IF(O685&lt;&gt;"",O685*0.1,"")</f>
        <v>53.5398</v>
      </c>
      <c r="Q685" s="116" t="n">
        <f aca="false">IF(O685&lt;&gt;"",O685+P685,"")</f>
        <v>588.9378</v>
      </c>
      <c r="R685" s="84"/>
    </row>
    <row r="686" customFormat="false" ht="15" hidden="false" customHeight="true" outlineLevel="0" collapsed="false">
      <c r="A686" s="103" t="n">
        <v>55998</v>
      </c>
      <c r="B686" s="85" t="n">
        <v>46212</v>
      </c>
      <c r="C686" s="84" t="s">
        <v>430</v>
      </c>
      <c r="D686" s="87" t="n">
        <v>50521</v>
      </c>
      <c r="E686" s="104" t="str">
        <f aca="false">IF(D686&lt;&gt;"",IFERROR(VLOOKUP(D686,PROVEEDORES!$A:$B,2,0),"!COD NO ENCONTRADO"),"")</f>
        <v>SUBASTAS DE ATLANTICO S.L</v>
      </c>
      <c r="F686" s="122" t="str">
        <f aca="false">IF(D686&lt;&gt;"",IFERROR(VLOOKUP(D686,PROVEEDORES!$A:$C,3,0),""),"")</f>
        <v>S</v>
      </c>
      <c r="G686" s="111" t="s">
        <v>93</v>
      </c>
      <c r="H686" s="104" t="str">
        <f aca="false">IF(G686&lt;&gt;"",IFERROR(VLOOKUP(G686,PRODUCTOS!$A:$B,2,0),"!COD NO ENCONTRADO"),"")</f>
        <v>BOQUERON/ BOCARTE/ ANCHOA (ANE)</v>
      </c>
      <c r="I686" s="77" t="n">
        <v>44</v>
      </c>
      <c r="J686" s="78" t="n">
        <v>382</v>
      </c>
      <c r="K686" s="109" t="n">
        <v>1.45</v>
      </c>
      <c r="L686" s="107" t="n">
        <f aca="false">IF(AND(J686&lt;&gt;"",K686&lt;&gt;""),J686*K686,"")</f>
        <v>553.9</v>
      </c>
      <c r="M686" s="108" t="n">
        <f aca="false">IF(L686&lt;&gt;"",L686*1.1,"")</f>
        <v>609.29</v>
      </c>
      <c r="N686" s="117" t="n">
        <f aca="false">IF(F686="S",L686*0.02,0)</f>
        <v>11.078</v>
      </c>
      <c r="O686" s="115" t="n">
        <f aca="false">IF(L686&lt;&gt;"",L686+N686,"")</f>
        <v>564.978</v>
      </c>
      <c r="P686" s="117" t="n">
        <f aca="false">IF(O686&lt;&gt;"",O686*0.1,"")</f>
        <v>56.4978</v>
      </c>
      <c r="Q686" s="116" t="n">
        <f aca="false">IF(O686&lt;&gt;"",O686+P686,"")</f>
        <v>621.4758</v>
      </c>
      <c r="R686" s="84"/>
    </row>
    <row r="687" customFormat="false" ht="15" hidden="false" customHeight="true" outlineLevel="0" collapsed="false">
      <c r="A687" s="103" t="n">
        <v>55998</v>
      </c>
      <c r="B687" s="85" t="n">
        <v>46212</v>
      </c>
      <c r="C687" s="84" t="s">
        <v>430</v>
      </c>
      <c r="D687" s="87" t="n">
        <v>50521</v>
      </c>
      <c r="E687" s="104" t="str">
        <f aca="false">IF(D687&lt;&gt;"",IFERROR(VLOOKUP(D687,PROVEEDORES!$A:$B,2,0),"!COD NO ENCONTRADO"),"")</f>
        <v>SUBASTAS DE ATLANTICO S.L</v>
      </c>
      <c r="F687" s="122" t="str">
        <f aca="false">IF(D687&lt;&gt;"",IFERROR(VLOOKUP(D687,PROVEEDORES!$A:$C,3,0),""),"")</f>
        <v>S</v>
      </c>
      <c r="G687" s="111" t="s">
        <v>183</v>
      </c>
      <c r="H687" s="104" t="str">
        <f aca="false">IF(G687&lt;&gt;"",IFERROR(VLOOKUP(G687,PRODUCTOS!$A:$B,2,0),"!COD NO ENCONTRADO"),"")</f>
        <v>LUBINA RIA/ ROBALIZA (BSS)</v>
      </c>
      <c r="I687" s="89" t="n">
        <v>6</v>
      </c>
      <c r="J687" s="90" t="n">
        <v>54.25</v>
      </c>
      <c r="K687" s="106" t="n">
        <v>18</v>
      </c>
      <c r="L687" s="107" t="n">
        <f aca="false">IF(AND(J687&lt;&gt;"",K687&lt;&gt;""),J687*K687,"")</f>
        <v>976.5</v>
      </c>
      <c r="M687" s="108" t="n">
        <f aca="false">IF(L687&lt;&gt;"",L687*1.1,"")</f>
        <v>1074.15</v>
      </c>
      <c r="N687" s="114" t="n">
        <f aca="false">IF(F687="S",L687*0.02,0)</f>
        <v>19.53</v>
      </c>
      <c r="O687" s="115" t="n">
        <f aca="false">IF(L687&lt;&gt;"",L687+N687,"")</f>
        <v>996.03</v>
      </c>
      <c r="P687" s="114" t="n">
        <f aca="false">IF(O687&lt;&gt;"",O687*0.1,"")</f>
        <v>99.603</v>
      </c>
      <c r="Q687" s="116" t="n">
        <f aca="false">IF(O687&lt;&gt;"",O687+P687,"")</f>
        <v>1095.633</v>
      </c>
      <c r="R687" s="84"/>
    </row>
    <row r="688" customFormat="false" ht="15" hidden="false" customHeight="true" outlineLevel="0" collapsed="false">
      <c r="A688" s="103" t="n">
        <v>55998</v>
      </c>
      <c r="B688" s="85" t="n">
        <v>46212</v>
      </c>
      <c r="C688" s="84" t="s">
        <v>430</v>
      </c>
      <c r="D688" s="87" t="n">
        <v>50521</v>
      </c>
      <c r="E688" s="104" t="str">
        <f aca="false">IF(D688&lt;&gt;"",IFERROR(VLOOKUP(D688,PROVEEDORES!$A:$B,2,0),"!COD NO ENCONTRADO"),"")</f>
        <v>SUBASTAS DE ATLANTICO S.L</v>
      </c>
      <c r="F688" s="122" t="str">
        <f aca="false">IF(D688&lt;&gt;"",IFERROR(VLOOKUP(D688,PROVEEDORES!$A:$C,3,0),""),"")</f>
        <v>S</v>
      </c>
      <c r="G688" s="111" t="s">
        <v>183</v>
      </c>
      <c r="H688" s="104" t="str">
        <f aca="false">IF(G688&lt;&gt;"",IFERROR(VLOOKUP(G688,PRODUCTOS!$A:$B,2,0),"!COD NO ENCONTRADO"),"")</f>
        <v>LUBINA RIA/ ROBALIZA (BSS)</v>
      </c>
      <c r="I688" s="77" t="n">
        <v>8</v>
      </c>
      <c r="J688" s="78" t="n">
        <v>63.75</v>
      </c>
      <c r="K688" s="109" t="n">
        <v>15.9</v>
      </c>
      <c r="L688" s="107" t="n">
        <f aca="false">IF(AND(J688&lt;&gt;"",K688&lt;&gt;""),J688*K688,"")</f>
        <v>1013.625</v>
      </c>
      <c r="M688" s="108" t="n">
        <f aca="false">IF(L688&lt;&gt;"",L688*1.1,"")</f>
        <v>1114.9875</v>
      </c>
      <c r="N688" s="117" t="n">
        <f aca="false">IF(F688="S",L688*0.02,0)</f>
        <v>20.2725</v>
      </c>
      <c r="O688" s="115" t="n">
        <f aca="false">IF(L688&lt;&gt;"",L688+N688,"")</f>
        <v>1033.8975</v>
      </c>
      <c r="P688" s="117" t="n">
        <f aca="false">IF(O688&lt;&gt;"",O688*0.1,"")</f>
        <v>103.38975</v>
      </c>
      <c r="Q688" s="116" t="n">
        <f aca="false">IF(O688&lt;&gt;"",O688+P688,"")</f>
        <v>1137.28725</v>
      </c>
      <c r="R688" s="84"/>
    </row>
    <row r="689" customFormat="false" ht="15" hidden="false" customHeight="true" outlineLevel="0" collapsed="false">
      <c r="A689" s="103" t="n">
        <v>55998</v>
      </c>
      <c r="B689" s="85" t="n">
        <v>46212</v>
      </c>
      <c r="C689" s="84" t="s">
        <v>430</v>
      </c>
      <c r="D689" s="87" t="n">
        <v>50521</v>
      </c>
      <c r="E689" s="104" t="str">
        <f aca="false">IF(D689&lt;&gt;"",IFERROR(VLOOKUP(D689,PROVEEDORES!$A:$B,2,0),"!COD NO ENCONTRADO"),"")</f>
        <v>SUBASTAS DE ATLANTICO S.L</v>
      </c>
      <c r="F689" s="122" t="str">
        <f aca="false">IF(D689&lt;&gt;"",IFERROR(VLOOKUP(D689,PROVEEDORES!$A:$C,3,0),""),"")</f>
        <v>S</v>
      </c>
      <c r="G689" s="111" t="s">
        <v>183</v>
      </c>
      <c r="H689" s="104" t="str">
        <f aca="false">IF(G689&lt;&gt;"",IFERROR(VLOOKUP(G689,PRODUCTOS!$A:$B,2,0),"!COD NO ENCONTRADO"),"")</f>
        <v>LUBINA RIA/ ROBALIZA (BSS)</v>
      </c>
      <c r="I689" s="89" t="n">
        <v>1</v>
      </c>
      <c r="J689" s="90" t="n">
        <v>8.4</v>
      </c>
      <c r="K689" s="106" t="n">
        <v>15.9</v>
      </c>
      <c r="L689" s="107" t="n">
        <f aca="false">IF(AND(J689&lt;&gt;"",K689&lt;&gt;""),J689*K689,"")</f>
        <v>133.56</v>
      </c>
      <c r="M689" s="108" t="n">
        <f aca="false">IF(L689&lt;&gt;"",L689*1.1,"")</f>
        <v>146.916</v>
      </c>
      <c r="N689" s="114" t="n">
        <f aca="false">IF(F689="S",L689*0.02,0)</f>
        <v>2.6712</v>
      </c>
      <c r="O689" s="115" t="n">
        <f aca="false">IF(L689&lt;&gt;"",L689+N689,"")</f>
        <v>136.2312</v>
      </c>
      <c r="P689" s="114" t="n">
        <f aca="false">IF(O689&lt;&gt;"",O689*0.1,"")</f>
        <v>13.62312</v>
      </c>
      <c r="Q689" s="116" t="n">
        <f aca="false">IF(O689&lt;&gt;"",O689+P689,"")</f>
        <v>149.85432</v>
      </c>
      <c r="R689" s="84"/>
    </row>
    <row r="690" customFormat="false" ht="15" hidden="false" customHeight="true" outlineLevel="0" collapsed="false">
      <c r="A690" s="103" t="n">
        <v>55998</v>
      </c>
      <c r="B690" s="85" t="n">
        <v>46212</v>
      </c>
      <c r="C690" s="84" t="s">
        <v>430</v>
      </c>
      <c r="D690" s="87" t="n">
        <v>50521</v>
      </c>
      <c r="E690" s="104" t="str">
        <f aca="false">IF(D690&lt;&gt;"",IFERROR(VLOOKUP(D690,PROVEEDORES!$A:$B,2,0),"!COD NO ENCONTRADO"),"")</f>
        <v>SUBASTAS DE ATLANTICO S.L</v>
      </c>
      <c r="F690" s="122" t="str">
        <f aca="false">IF(D690&lt;&gt;"",IFERROR(VLOOKUP(D690,PROVEEDORES!$A:$C,3,0),""),"")</f>
        <v>S</v>
      </c>
      <c r="G690" s="111" t="s">
        <v>183</v>
      </c>
      <c r="H690" s="104" t="str">
        <f aca="false">IF(G690&lt;&gt;"",IFERROR(VLOOKUP(G690,PRODUCTOS!$A:$B,2,0),"!COD NO ENCONTRADO"),"")</f>
        <v>LUBINA RIA/ ROBALIZA (BSS)</v>
      </c>
      <c r="I690" s="77" t="n">
        <v>6</v>
      </c>
      <c r="J690" s="78" t="n">
        <v>46.25</v>
      </c>
      <c r="K690" s="109" t="n">
        <v>16.3</v>
      </c>
      <c r="L690" s="107" t="n">
        <f aca="false">IF(AND(J690&lt;&gt;"",K690&lt;&gt;""),J690*K690,"")</f>
        <v>753.875</v>
      </c>
      <c r="M690" s="108" t="n">
        <f aca="false">IF(L690&lt;&gt;"",L690*1.1,"")</f>
        <v>829.2625</v>
      </c>
      <c r="N690" s="117" t="n">
        <f aca="false">IF(F690="S",L690*0.02,0)</f>
        <v>15.0775</v>
      </c>
      <c r="O690" s="115" t="n">
        <f aca="false">IF(L690&lt;&gt;"",L690+N690,"")</f>
        <v>768.9525</v>
      </c>
      <c r="P690" s="117" t="n">
        <f aca="false">IF(O690&lt;&gt;"",O690*0.1,"")</f>
        <v>76.89525</v>
      </c>
      <c r="Q690" s="116" t="n">
        <f aca="false">IF(O690&lt;&gt;"",O690+P690,"")</f>
        <v>845.84775</v>
      </c>
      <c r="R690" s="84"/>
    </row>
    <row r="691" customFormat="false" ht="15" hidden="false" customHeight="true" outlineLevel="0" collapsed="false">
      <c r="A691" s="103" t="n">
        <v>55998</v>
      </c>
      <c r="B691" s="85" t="n">
        <v>46212</v>
      </c>
      <c r="C691" s="84" t="s">
        <v>430</v>
      </c>
      <c r="D691" s="87" t="n">
        <v>50521</v>
      </c>
      <c r="E691" s="104" t="str">
        <f aca="false">IF(D691&lt;&gt;"",IFERROR(VLOOKUP(D691,PROVEEDORES!$A:$B,2,0),"!COD NO ENCONTRADO"),"")</f>
        <v>SUBASTAS DE ATLANTICO S.L</v>
      </c>
      <c r="F691" s="122" t="str">
        <f aca="false">IF(D691&lt;&gt;"",IFERROR(VLOOKUP(D691,PROVEEDORES!$A:$C,3,0),""),"")</f>
        <v>S</v>
      </c>
      <c r="G691" s="111" t="s">
        <v>183</v>
      </c>
      <c r="H691" s="104" t="str">
        <f aca="false">IF(G691&lt;&gt;"",IFERROR(VLOOKUP(G691,PRODUCTOS!$A:$B,2,0),"!COD NO ENCONTRADO"),"")</f>
        <v>LUBINA RIA/ ROBALIZA (BSS)</v>
      </c>
      <c r="I691" s="89" t="n">
        <v>1</v>
      </c>
      <c r="J691" s="90" t="n">
        <v>7.3</v>
      </c>
      <c r="K691" s="106" t="n">
        <v>15</v>
      </c>
      <c r="L691" s="107" t="n">
        <f aca="false">IF(AND(J691&lt;&gt;"",K691&lt;&gt;""),J691*K691,"")</f>
        <v>109.5</v>
      </c>
      <c r="M691" s="108" t="n">
        <f aca="false">IF(L691&lt;&gt;"",L691*1.1,"")</f>
        <v>120.45</v>
      </c>
      <c r="N691" s="114" t="n">
        <f aca="false">IF(F691="S",L691*0.02,0)</f>
        <v>2.19</v>
      </c>
      <c r="O691" s="115" t="n">
        <f aca="false">IF(L691&lt;&gt;"",L691+N691,"")</f>
        <v>111.69</v>
      </c>
      <c r="P691" s="114" t="n">
        <f aca="false">IF(O691&lt;&gt;"",O691*0.1,"")</f>
        <v>11.169</v>
      </c>
      <c r="Q691" s="116" t="n">
        <f aca="false">IF(O691&lt;&gt;"",O691+P691,"")</f>
        <v>122.859</v>
      </c>
      <c r="R691" s="84"/>
    </row>
    <row r="692" customFormat="false" ht="15" hidden="false" customHeight="true" outlineLevel="0" collapsed="false">
      <c r="A692" s="103" t="n">
        <v>55998</v>
      </c>
      <c r="B692" s="85" t="n">
        <v>46212</v>
      </c>
      <c r="C692" s="84" t="s">
        <v>430</v>
      </c>
      <c r="D692" s="87" t="n">
        <v>50521</v>
      </c>
      <c r="E692" s="104" t="str">
        <f aca="false">IF(D692&lt;&gt;"",IFERROR(VLOOKUP(D692,PROVEEDORES!$A:$B,2,0),"!COD NO ENCONTRADO"),"")</f>
        <v>SUBASTAS DE ATLANTICO S.L</v>
      </c>
      <c r="F692" s="122" t="str">
        <f aca="false">IF(D692&lt;&gt;"",IFERROR(VLOOKUP(D692,PROVEEDORES!$A:$C,3,0),""),"")</f>
        <v>S</v>
      </c>
      <c r="G692" s="111" t="s">
        <v>183</v>
      </c>
      <c r="H692" s="104" t="str">
        <f aca="false">IF(G692&lt;&gt;"",IFERROR(VLOOKUP(G692,PRODUCTOS!$A:$B,2,0),"!COD NO ENCONTRADO"),"")</f>
        <v>LUBINA RIA/ ROBALIZA (BSS)</v>
      </c>
      <c r="I692" s="77" t="n">
        <v>6</v>
      </c>
      <c r="J692" s="78" t="n">
        <v>44.5</v>
      </c>
      <c r="K692" s="109" t="n">
        <v>17.5</v>
      </c>
      <c r="L692" s="107" t="n">
        <f aca="false">IF(AND(J692&lt;&gt;"",K692&lt;&gt;""),J692*K692,"")</f>
        <v>778.75</v>
      </c>
      <c r="M692" s="108" t="n">
        <f aca="false">IF(L692&lt;&gt;"",L692*1.1,"")</f>
        <v>856.625</v>
      </c>
      <c r="N692" s="117" t="n">
        <f aca="false">IF(F692="S",L692*0.02,0)</f>
        <v>15.575</v>
      </c>
      <c r="O692" s="115" t="n">
        <f aca="false">IF(L692&lt;&gt;"",L692+N692,"")</f>
        <v>794.325</v>
      </c>
      <c r="P692" s="117" t="n">
        <f aca="false">IF(O692&lt;&gt;"",O692*0.1,"")</f>
        <v>79.4325</v>
      </c>
      <c r="Q692" s="116" t="n">
        <f aca="false">IF(O692&lt;&gt;"",O692+P692,"")</f>
        <v>873.7575</v>
      </c>
      <c r="R692" s="84"/>
    </row>
    <row r="693" customFormat="false" ht="15" hidden="false" customHeight="true" outlineLevel="0" collapsed="false">
      <c r="A693" s="103" t="n">
        <v>55998</v>
      </c>
      <c r="B693" s="85" t="n">
        <v>46212</v>
      </c>
      <c r="C693" s="84" t="s">
        <v>430</v>
      </c>
      <c r="D693" s="87" t="n">
        <v>50521</v>
      </c>
      <c r="E693" s="104" t="str">
        <f aca="false">IF(D693&lt;&gt;"",IFERROR(VLOOKUP(D693,PROVEEDORES!$A:$B,2,0),"!COD NO ENCONTRADO"),"")</f>
        <v>SUBASTAS DE ATLANTICO S.L</v>
      </c>
      <c r="F693" s="122" t="str">
        <f aca="false">IF(D693&lt;&gt;"",IFERROR(VLOOKUP(D693,PROVEEDORES!$A:$C,3,0),""),"")</f>
        <v>S</v>
      </c>
      <c r="G693" s="111" t="s">
        <v>183</v>
      </c>
      <c r="H693" s="104" t="str">
        <f aca="false">IF(G693&lt;&gt;"",IFERROR(VLOOKUP(G693,PRODUCTOS!$A:$B,2,0),"!COD NO ENCONTRADO"),"")</f>
        <v>LUBINA RIA/ ROBALIZA (BSS)</v>
      </c>
      <c r="I693" s="89" t="n">
        <v>5</v>
      </c>
      <c r="J693" s="90" t="n">
        <v>44.5</v>
      </c>
      <c r="K693" s="106" t="n">
        <v>17</v>
      </c>
      <c r="L693" s="107" t="n">
        <f aca="false">IF(AND(J693&lt;&gt;"",K693&lt;&gt;""),J693*K693,"")</f>
        <v>756.5</v>
      </c>
      <c r="M693" s="108" t="n">
        <f aca="false">IF(L693&lt;&gt;"",L693*1.1,"")</f>
        <v>832.15</v>
      </c>
      <c r="N693" s="114" t="n">
        <f aca="false">IF(F693="S",L693*0.02,0)</f>
        <v>15.13</v>
      </c>
      <c r="O693" s="115" t="n">
        <f aca="false">IF(L693&lt;&gt;"",L693+N693,"")</f>
        <v>771.63</v>
      </c>
      <c r="P693" s="114" t="n">
        <f aca="false">IF(O693&lt;&gt;"",O693*0.1,"")</f>
        <v>77.163</v>
      </c>
      <c r="Q693" s="116" t="n">
        <f aca="false">IF(O693&lt;&gt;"",O693+P693,"")</f>
        <v>848.793</v>
      </c>
      <c r="R693" s="84"/>
    </row>
    <row r="694" customFormat="false" ht="15" hidden="false" customHeight="true" outlineLevel="0" collapsed="false">
      <c r="A694" s="103" t="n">
        <v>55998</v>
      </c>
      <c r="B694" s="85" t="n">
        <v>46212</v>
      </c>
      <c r="C694" s="84" t="s">
        <v>430</v>
      </c>
      <c r="D694" s="87" t="n">
        <v>50521</v>
      </c>
      <c r="E694" s="104" t="str">
        <f aca="false">IF(D694&lt;&gt;"",IFERROR(VLOOKUP(D694,PROVEEDORES!$A:$B,2,0),"!COD NO ENCONTRADO"),"")</f>
        <v>SUBASTAS DE ATLANTICO S.L</v>
      </c>
      <c r="F694" s="122" t="str">
        <f aca="false">IF(D694&lt;&gt;"",IFERROR(VLOOKUP(D694,PROVEEDORES!$A:$C,3,0),""),"")</f>
        <v>S</v>
      </c>
      <c r="G694" s="111" t="s">
        <v>183</v>
      </c>
      <c r="H694" s="104" t="str">
        <f aca="false">IF(G694&lt;&gt;"",IFERROR(VLOOKUP(G694,PRODUCTOS!$A:$B,2,0),"!COD NO ENCONTRADO"),"")</f>
        <v>LUBINA RIA/ ROBALIZA (BSS)</v>
      </c>
      <c r="I694" s="77" t="n">
        <v>5</v>
      </c>
      <c r="J694" s="78" t="n">
        <v>39.7</v>
      </c>
      <c r="K694" s="109" t="n">
        <v>17</v>
      </c>
      <c r="L694" s="107" t="n">
        <f aca="false">IF(AND(J694&lt;&gt;"",K694&lt;&gt;""),J694*K694,"")</f>
        <v>674.9</v>
      </c>
      <c r="M694" s="108" t="n">
        <f aca="false">IF(L694&lt;&gt;"",L694*1.1,"")</f>
        <v>742.39</v>
      </c>
      <c r="N694" s="117" t="n">
        <f aca="false">IF(F694="S",L694*0.02,0)</f>
        <v>13.498</v>
      </c>
      <c r="O694" s="115" t="n">
        <f aca="false">IF(L694&lt;&gt;"",L694+N694,"")</f>
        <v>688.398</v>
      </c>
      <c r="P694" s="117" t="n">
        <f aca="false">IF(O694&lt;&gt;"",O694*0.1,"")</f>
        <v>68.8398</v>
      </c>
      <c r="Q694" s="116" t="n">
        <f aca="false">IF(O694&lt;&gt;"",O694+P694,"")</f>
        <v>757.2378</v>
      </c>
      <c r="R694" s="84"/>
    </row>
    <row r="695" customFormat="false" ht="15" hidden="false" customHeight="true" outlineLevel="0" collapsed="false">
      <c r="A695" s="103" t="n">
        <v>55999</v>
      </c>
      <c r="B695" s="85" t="n">
        <v>46212</v>
      </c>
      <c r="C695" s="84" t="s">
        <v>431</v>
      </c>
      <c r="D695" s="87" t="n">
        <v>50048</v>
      </c>
      <c r="E695" s="46" t="str">
        <f aca="false">IF(D695&lt;&gt;"",IFERROR(VLOOKUP(D695,PROVEEDORES!$A:$B,2,0),"!COD NO ENCONTRADO"),"")</f>
        <v>JOSE LUIS CORREA KESSLER S.L.</v>
      </c>
      <c r="F695" s="88" t="str">
        <f aca="false">IF(D695&lt;&gt;"",IFERROR(VLOOKUP(D695,PROVEEDORES!$A:$C,3,0),""),"")</f>
        <v>N</v>
      </c>
      <c r="G695" s="87" t="s">
        <v>179</v>
      </c>
      <c r="H695" s="46" t="str">
        <f aca="false">IF(G695&lt;&gt;"",IFERROR(VLOOKUP(G695,PRODUCTOS!$A:$B,2,0),"!COD NO ENCONTRADO"),"")</f>
        <v>LIRIO/ BACALADILLA/ PERLA (WHB)</v>
      </c>
      <c r="I695" s="89" t="n">
        <v>40</v>
      </c>
      <c r="J695" s="90" t="n">
        <v>240</v>
      </c>
      <c r="K695" s="113" t="n">
        <v>1.65</v>
      </c>
      <c r="L695" s="107" t="n">
        <f aca="false">IF(AND(J695&lt;&gt;"",K695&lt;&gt;""),J695*K695,"")</f>
        <v>396</v>
      </c>
      <c r="M695" s="108" t="n">
        <f aca="false">IF(L695&lt;&gt;"",L695*1.1,"")</f>
        <v>435.6</v>
      </c>
      <c r="N695" s="114" t="n">
        <f aca="false">IF(F695="S",L695*0.02,0)</f>
        <v>0</v>
      </c>
      <c r="O695" s="115" t="n">
        <f aca="false">IF(L695&lt;&gt;"",L695+N695,"")</f>
        <v>396</v>
      </c>
      <c r="P695" s="114" t="n">
        <f aca="false">IF(O695&lt;&gt;"",O695*0.1,"")</f>
        <v>39.6</v>
      </c>
      <c r="Q695" s="116" t="n">
        <f aca="false">IF(O695&lt;&gt;"",O695+P695,"")</f>
        <v>435.6</v>
      </c>
      <c r="R695" s="84"/>
    </row>
    <row r="696" customFormat="false" ht="15" hidden="false" customHeight="true" outlineLevel="0" collapsed="false">
      <c r="A696" s="103" t="n">
        <v>55999</v>
      </c>
      <c r="B696" s="73" t="n">
        <v>46212</v>
      </c>
      <c r="C696" s="84" t="s">
        <v>432</v>
      </c>
      <c r="D696" s="75" t="n">
        <v>50048</v>
      </c>
      <c r="E696" s="52" t="str">
        <f aca="false">IF(D696&lt;&gt;"",IFERROR(VLOOKUP(D696,PROVEEDORES!$A:$B,2,0),"!COD NO ENCONTRADO"),"")</f>
        <v>JOSE LUIS CORREA KESSLER S.L.</v>
      </c>
      <c r="F696" s="76" t="str">
        <f aca="false">IF(D696&lt;&gt;"",IFERROR(VLOOKUP(D696,PROVEEDORES!$A:$C,3,0),""),"")</f>
        <v>N</v>
      </c>
      <c r="G696" s="75" t="s">
        <v>179</v>
      </c>
      <c r="H696" s="52" t="str">
        <f aca="false">IF(G696&lt;&gt;"",IFERROR(VLOOKUP(G696,PRODUCTOS!$A:$B,2,0),"!COD NO ENCONTRADO"),"")</f>
        <v>LIRIO/ BACALADILLA/ PERLA (WHB)</v>
      </c>
      <c r="I696" s="77" t="n">
        <v>4</v>
      </c>
      <c r="J696" s="78" t="n">
        <v>24</v>
      </c>
      <c r="K696" s="113" t="n">
        <v>1.65</v>
      </c>
      <c r="L696" s="107" t="n">
        <f aca="false">IF(AND(J696&lt;&gt;"",K696&lt;&gt;""),J696*K696,"")</f>
        <v>39.6</v>
      </c>
      <c r="M696" s="108" t="n">
        <f aca="false">IF(L696&lt;&gt;"",L696*1.1,"")</f>
        <v>43.56</v>
      </c>
      <c r="N696" s="117" t="n">
        <f aca="false">IF(F696="S",L696*0.02,0)</f>
        <v>0</v>
      </c>
      <c r="O696" s="115" t="n">
        <f aca="false">IF(L696&lt;&gt;"",L696+N696,"")</f>
        <v>39.6</v>
      </c>
      <c r="P696" s="117" t="n">
        <f aca="false">IF(O696&lt;&gt;"",O696*0.1,"")</f>
        <v>3.96</v>
      </c>
      <c r="Q696" s="116" t="n">
        <f aca="false">IF(O696&lt;&gt;"",O696+P696,"")</f>
        <v>43.56</v>
      </c>
      <c r="R696" s="84"/>
    </row>
    <row r="697" customFormat="false" ht="15" hidden="false" customHeight="true" outlineLevel="0" collapsed="false">
      <c r="A697" s="103" t="n">
        <v>55999</v>
      </c>
      <c r="B697" s="73" t="n">
        <v>46212</v>
      </c>
      <c r="C697" s="84" t="s">
        <v>433</v>
      </c>
      <c r="D697" s="75" t="n">
        <v>50048</v>
      </c>
      <c r="E697" s="52" t="str">
        <f aca="false">IF(D697&lt;&gt;"",IFERROR(VLOOKUP(D697,PROVEEDORES!$A:$B,2,0),"!COD NO ENCONTRADO"),"")</f>
        <v>JOSE LUIS CORREA KESSLER S.L.</v>
      </c>
      <c r="F697" s="76" t="str">
        <f aca="false">IF(D697&lt;&gt;"",IFERROR(VLOOKUP(D697,PROVEEDORES!$A:$C,3,0),""),"")</f>
        <v>N</v>
      </c>
      <c r="G697" s="75" t="s">
        <v>179</v>
      </c>
      <c r="H697" s="52" t="str">
        <f aca="false">IF(G697&lt;&gt;"",IFERROR(VLOOKUP(G697,PRODUCTOS!$A:$B,2,0),"!COD NO ENCONTRADO"),"")</f>
        <v>LIRIO/ BACALADILLA/ PERLA (WHB)</v>
      </c>
      <c r="I697" s="77" t="n">
        <v>3</v>
      </c>
      <c r="J697" s="78" t="n">
        <v>18</v>
      </c>
      <c r="K697" s="109" t="n">
        <v>1.65</v>
      </c>
      <c r="L697" s="107" t="n">
        <f aca="false">IF(AND(J697&lt;&gt;"",K697&lt;&gt;""),J697*K697,"")</f>
        <v>29.7</v>
      </c>
      <c r="M697" s="108" t="n">
        <f aca="false">IF(L697&lt;&gt;"",L697*1.1,"")</f>
        <v>32.67</v>
      </c>
      <c r="N697" s="117" t="n">
        <f aca="false">IF(F697="S",L697*0.02,0)</f>
        <v>0</v>
      </c>
      <c r="O697" s="115" t="n">
        <f aca="false">IF(L697&lt;&gt;"",L697+N697,"")</f>
        <v>29.7</v>
      </c>
      <c r="P697" s="117" t="n">
        <f aca="false">IF(O697&lt;&gt;"",O697*0.1,"")</f>
        <v>2.97</v>
      </c>
      <c r="Q697" s="116" t="n">
        <f aca="false">IF(O697&lt;&gt;"",O697+P697,"")</f>
        <v>32.67</v>
      </c>
      <c r="R697" s="84"/>
    </row>
    <row r="698" customFormat="false" ht="15" hidden="false" customHeight="true" outlineLevel="0" collapsed="false">
      <c r="A698" s="103" t="n">
        <v>55999</v>
      </c>
      <c r="B698" s="85" t="n">
        <v>46212</v>
      </c>
      <c r="C698" s="84" t="s">
        <v>434</v>
      </c>
      <c r="D698" s="87" t="n">
        <v>50048</v>
      </c>
      <c r="E698" s="46" t="str">
        <f aca="false">IF(D698&lt;&gt;"",IFERROR(VLOOKUP(D698,PROVEEDORES!$A:$B,2,0),"!COD NO ENCONTRADO"),"")</f>
        <v>JOSE LUIS CORREA KESSLER S.L.</v>
      </c>
      <c r="F698" s="88" t="str">
        <f aca="false">IF(D698&lt;&gt;"",IFERROR(VLOOKUP(D698,PROVEEDORES!$A:$C,3,0),""),"")</f>
        <v>N</v>
      </c>
      <c r="G698" s="87" t="s">
        <v>93</v>
      </c>
      <c r="H698" s="46" t="str">
        <f aca="false">IF(G698&lt;&gt;"",IFERROR(VLOOKUP(G698,PRODUCTOS!$A:$B,2,0),"!COD NO ENCONTRADO"),"")</f>
        <v>BOQUERON/ BOCARTE/ ANCHOA (ANE)</v>
      </c>
      <c r="I698" s="89" t="n">
        <v>5</v>
      </c>
      <c r="J698" s="90" t="n">
        <v>30</v>
      </c>
      <c r="K698" s="106" t="n">
        <v>2.65</v>
      </c>
      <c r="L698" s="107" t="n">
        <f aca="false">IF(AND(J698&lt;&gt;"",K698&lt;&gt;""),J698*K698,"")</f>
        <v>79.5</v>
      </c>
      <c r="M698" s="108" t="n">
        <f aca="false">IF(L698&lt;&gt;"",L698*1.1,"")</f>
        <v>87.45</v>
      </c>
      <c r="N698" s="114" t="n">
        <f aca="false">IF(F698="S",L698*0.02,0)</f>
        <v>0</v>
      </c>
      <c r="O698" s="115" t="n">
        <f aca="false">IF(L698&lt;&gt;"",L698+N698,"")</f>
        <v>79.5</v>
      </c>
      <c r="P698" s="114" t="n">
        <f aca="false">IF(O698&lt;&gt;"",O698*0.1,"")</f>
        <v>7.95</v>
      </c>
      <c r="Q698" s="116" t="n">
        <f aca="false">IF(O698&lt;&gt;"",O698+P698,"")</f>
        <v>87.45</v>
      </c>
      <c r="R698" s="84"/>
    </row>
    <row r="699" customFormat="false" ht="15" hidden="false" customHeight="true" outlineLevel="0" collapsed="false">
      <c r="A699" s="103" t="n">
        <v>56000</v>
      </c>
      <c r="B699" s="85" t="n">
        <v>46213</v>
      </c>
      <c r="C699" s="110" t="s">
        <v>435</v>
      </c>
      <c r="D699" s="87" t="n">
        <v>50525</v>
      </c>
      <c r="E699" s="46" t="str">
        <f aca="false">IF(D699&lt;&gt;"",IFERROR(VLOOKUP(D699,PROVEEDORES!$A:$B,2,0),"!COD NO ENCONTRADO"),"")</f>
        <v>FURIC MAREE</v>
      </c>
      <c r="F699" s="88" t="str">
        <f aca="false">IF(D699&lt;&gt;"",IFERROR(VLOOKUP(D699,PROVEEDORES!$A:$C,3,0),""),"")</f>
        <v>N</v>
      </c>
      <c r="G699" s="87" t="s">
        <v>318</v>
      </c>
      <c r="H699" s="46" t="str">
        <f aca="false">IF(G699&lt;&gt;"",IFERROR(VLOOKUP(G699,PRODUCTOS!$A:$B,2,0),"!COD NO ENCONTRADO"),"")</f>
        <v>SAN MARTIÑOS/ SAN PEDROS (JOD)</v>
      </c>
      <c r="I699" s="89" t="n">
        <v>2</v>
      </c>
      <c r="J699" s="90" t="n">
        <v>12.4</v>
      </c>
      <c r="K699" s="106" t="n">
        <v>25.5</v>
      </c>
      <c r="L699" s="107" t="n">
        <f aca="false">IF(AND(J699&lt;&gt;"",K699&lt;&gt;""),J699*K699,"")</f>
        <v>316.2</v>
      </c>
      <c r="M699" s="108" t="n">
        <f aca="false">IF(L699&lt;&gt;"",L699*1.1,"")</f>
        <v>347.82</v>
      </c>
      <c r="N699" s="114" t="n">
        <f aca="false">IF(F699="S",L699*0.02,0)</f>
        <v>0</v>
      </c>
      <c r="O699" s="115" t="n">
        <f aca="false">IF(L699&lt;&gt;"",L699+N699,"")</f>
        <v>316.2</v>
      </c>
      <c r="P699" s="114" t="n">
        <f aca="false">IF(O699&lt;&gt;"",O699*0.1,"")</f>
        <v>31.62</v>
      </c>
      <c r="Q699" s="116" t="n">
        <f aca="false">IF(O699&lt;&gt;"",O699+P699,"")</f>
        <v>347.82</v>
      </c>
      <c r="R699" s="84"/>
    </row>
    <row r="700" customFormat="false" ht="15" hidden="false" customHeight="true" outlineLevel="0" collapsed="false">
      <c r="A700" s="103" t="n">
        <v>56000</v>
      </c>
      <c r="B700" s="73" t="n">
        <v>46213</v>
      </c>
      <c r="C700" s="110" t="s">
        <v>435</v>
      </c>
      <c r="D700" s="75" t="n">
        <v>50525</v>
      </c>
      <c r="E700" s="52" t="str">
        <f aca="false">IF(D700&lt;&gt;"",IFERROR(VLOOKUP(D700,PROVEEDORES!$A:$B,2,0),"!COD NO ENCONTRADO"),"")</f>
        <v>FURIC MAREE</v>
      </c>
      <c r="F700" s="76" t="str">
        <f aca="false">IF(D700&lt;&gt;"",IFERROR(VLOOKUP(D700,PROVEEDORES!$A:$C,3,0),""),"")</f>
        <v>N</v>
      </c>
      <c r="G700" s="75" t="s">
        <v>318</v>
      </c>
      <c r="H700" s="52" t="str">
        <f aca="false">IF(G700&lt;&gt;"",IFERROR(VLOOKUP(G700,PRODUCTOS!$A:$B,2,0),"!COD NO ENCONTRADO"),"")</f>
        <v>SAN MARTIÑOS/ SAN PEDROS (JOD)</v>
      </c>
      <c r="I700" s="77" t="n">
        <v>2</v>
      </c>
      <c r="J700" s="78" t="n">
        <v>12.1</v>
      </c>
      <c r="K700" s="109" t="n">
        <v>24.5</v>
      </c>
      <c r="L700" s="107" t="n">
        <f aca="false">IF(AND(J700&lt;&gt;"",K700&lt;&gt;""),J700*K700,"")</f>
        <v>296.45</v>
      </c>
      <c r="M700" s="108" t="n">
        <f aca="false">IF(L700&lt;&gt;"",L700*1.1,"")</f>
        <v>326.095</v>
      </c>
      <c r="N700" s="117" t="n">
        <f aca="false">IF(F700="S",L700*0.02,0)</f>
        <v>0</v>
      </c>
      <c r="O700" s="115" t="n">
        <f aca="false">IF(L700&lt;&gt;"",L700+N700,"")</f>
        <v>296.45</v>
      </c>
      <c r="P700" s="117" t="n">
        <f aca="false">IF(O700&lt;&gt;"",O700*0.1,"")</f>
        <v>29.645</v>
      </c>
      <c r="Q700" s="116" t="n">
        <f aca="false">IF(O700&lt;&gt;"",O700+P700,"")</f>
        <v>326.095</v>
      </c>
      <c r="R700" s="84"/>
    </row>
    <row r="701" customFormat="false" ht="15" hidden="false" customHeight="true" outlineLevel="0" collapsed="false">
      <c r="A701" s="103" t="n">
        <v>56001</v>
      </c>
      <c r="B701" s="85" t="n">
        <v>46213</v>
      </c>
      <c r="C701" s="110" t="s">
        <v>436</v>
      </c>
      <c r="D701" s="87" t="n">
        <v>50232</v>
      </c>
      <c r="E701" s="46" t="str">
        <f aca="false">IF(D701&lt;&gt;"",IFERROR(VLOOKUP(D701,PROVEEDORES!$A:$B,2,0),"!COD NO ENCONTRADO"),"")</f>
        <v>XESTION NOVA LONXA RIVEIRA S.L.</v>
      </c>
      <c r="F701" s="88" t="str">
        <f aca="false">IF(D701&lt;&gt;"",IFERROR(VLOOKUP(D701,PROVEEDORES!$A:$C,3,0),""),"")</f>
        <v>S</v>
      </c>
      <c r="G701" s="87" t="s">
        <v>93</v>
      </c>
      <c r="H701" s="46" t="str">
        <f aca="false">IF(G701&lt;&gt;"",IFERROR(VLOOKUP(G701,PRODUCTOS!$A:$B,2,0),"!COD NO ENCONTRADO"),"")</f>
        <v>BOQUERON/ BOCARTE/ ANCHOA (ANE)</v>
      </c>
      <c r="I701" s="89" t="n">
        <v>15</v>
      </c>
      <c r="J701" s="90" t="n">
        <v>5176</v>
      </c>
      <c r="K701" s="113" t="n">
        <v>1.48</v>
      </c>
      <c r="L701" s="107" t="n">
        <f aca="false">IF(AND(J701&lt;&gt;"",K701&lt;&gt;""),J701*K701,"")</f>
        <v>7660.48</v>
      </c>
      <c r="M701" s="108" t="n">
        <f aca="false">IF(L701&lt;&gt;"",L701*1.1,"")</f>
        <v>8426.528</v>
      </c>
      <c r="N701" s="114" t="n">
        <f aca="false">IF(F701="S",L701*0.02,0)</f>
        <v>153.2096</v>
      </c>
      <c r="O701" s="115" t="n">
        <f aca="false">IF(L701&lt;&gt;"",L701+N701,"")</f>
        <v>7813.6896</v>
      </c>
      <c r="P701" s="114" t="n">
        <f aca="false">IF(O701&lt;&gt;"",O701*0.1,"")</f>
        <v>781.36896</v>
      </c>
      <c r="Q701" s="116" t="n">
        <f aca="false">IF(O701&lt;&gt;"",O701+P701,"")</f>
        <v>8595.05856</v>
      </c>
      <c r="R701" s="84"/>
    </row>
    <row r="702" customFormat="false" ht="15" hidden="false" customHeight="true" outlineLevel="0" collapsed="false">
      <c r="A702" s="103" t="n">
        <v>56001</v>
      </c>
      <c r="B702" s="85" t="n">
        <v>46213</v>
      </c>
      <c r="C702" s="110" t="s">
        <v>436</v>
      </c>
      <c r="D702" s="75" t="n">
        <v>50232</v>
      </c>
      <c r="E702" s="52" t="str">
        <f aca="false">IF(D702&lt;&gt;"",IFERROR(VLOOKUP(D702,PROVEEDORES!$A:$B,2,0),"!COD NO ENCONTRADO"),"")</f>
        <v>XESTION NOVA LONXA RIVEIRA S.L.</v>
      </c>
      <c r="F702" s="76" t="str">
        <f aca="false">IF(D702&lt;&gt;"",IFERROR(VLOOKUP(D702,PROVEEDORES!$A:$C,3,0),""),"")</f>
        <v>S</v>
      </c>
      <c r="G702" s="75" t="s">
        <v>332</v>
      </c>
      <c r="H702" s="52" t="str">
        <f aca="false">IF(G702&lt;&gt;"",IFERROR(VLOOKUP(G702,PRODUCTOS!$A:$B,2,0),"!COD NO ENCONTRADO"),"")</f>
        <v>VARIADO PEQUEÑO</v>
      </c>
      <c r="I702" s="77" t="n">
        <v>1</v>
      </c>
      <c r="J702" s="78" t="n">
        <v>8</v>
      </c>
      <c r="K702" s="109" t="n">
        <v>1.5</v>
      </c>
      <c r="L702" s="107" t="n">
        <f aca="false">IF(AND(J702&lt;&gt;"",K702&lt;&gt;""),J702*K702,"")</f>
        <v>12</v>
      </c>
      <c r="M702" s="108" t="n">
        <f aca="false">IF(L702&lt;&gt;"",L702*1.1,"")</f>
        <v>13.2</v>
      </c>
      <c r="N702" s="117" t="n">
        <f aca="false">IF(F702="S",L702*0.02,0)</f>
        <v>0.24</v>
      </c>
      <c r="O702" s="115" t="n">
        <f aca="false">IF(L702&lt;&gt;"",L702+N702,"")</f>
        <v>12.24</v>
      </c>
      <c r="P702" s="117" t="n">
        <f aca="false">IF(O702&lt;&gt;"",O702*0.1,"")</f>
        <v>1.224</v>
      </c>
      <c r="Q702" s="116" t="n">
        <f aca="false">IF(O702&lt;&gt;"",O702+P702,"")</f>
        <v>13.464</v>
      </c>
      <c r="R702" s="84"/>
    </row>
    <row r="703" customFormat="false" ht="15" hidden="false" customHeight="true" outlineLevel="0" collapsed="false">
      <c r="A703" s="103" t="n">
        <v>56001</v>
      </c>
      <c r="B703" s="85" t="n">
        <v>46213</v>
      </c>
      <c r="C703" s="110" t="s">
        <v>436</v>
      </c>
      <c r="D703" s="87" t="n">
        <v>50232</v>
      </c>
      <c r="E703" s="46" t="str">
        <f aca="false">IF(D703&lt;&gt;"",IFERROR(VLOOKUP(D703,PROVEEDORES!$A:$B,2,0),"!COD NO ENCONTRADO"),"")</f>
        <v>XESTION NOVA LONXA RIVEIRA S.L.</v>
      </c>
      <c r="F703" s="88" t="str">
        <f aca="false">IF(D703&lt;&gt;"",IFERROR(VLOOKUP(D703,PROVEEDORES!$A:$C,3,0),""),"")</f>
        <v>S</v>
      </c>
      <c r="G703" s="87" t="s">
        <v>332</v>
      </c>
      <c r="H703" s="46" t="str">
        <f aca="false">IF(G703&lt;&gt;"",IFERROR(VLOOKUP(G703,PRODUCTOS!$A:$B,2,0),"!COD NO ENCONTRADO"),"")</f>
        <v>VARIADO PEQUEÑO</v>
      </c>
      <c r="I703" s="89" t="n">
        <v>3</v>
      </c>
      <c r="J703" s="90" t="n">
        <v>15.25</v>
      </c>
      <c r="K703" s="106" t="n">
        <v>1.5</v>
      </c>
      <c r="L703" s="107" t="n">
        <f aca="false">IF(AND(J703&lt;&gt;"",K703&lt;&gt;""),J703*K703,"")</f>
        <v>22.875</v>
      </c>
      <c r="M703" s="108" t="n">
        <f aca="false">IF(L703&lt;&gt;"",L703*1.1,"")</f>
        <v>25.1625</v>
      </c>
      <c r="N703" s="114" t="n">
        <f aca="false">IF(F703="S",L703*0.02,0)</f>
        <v>0.4575</v>
      </c>
      <c r="O703" s="115" t="n">
        <f aca="false">IF(L703&lt;&gt;"",L703+N703,"")</f>
        <v>23.3325</v>
      </c>
      <c r="P703" s="114" t="n">
        <f aca="false">IF(O703&lt;&gt;"",O703*0.1,"")</f>
        <v>2.33325</v>
      </c>
      <c r="Q703" s="116" t="n">
        <f aca="false">IF(O703&lt;&gt;"",O703+P703,"")</f>
        <v>25.66575</v>
      </c>
      <c r="R703" s="84"/>
    </row>
    <row r="704" customFormat="false" ht="15" hidden="false" customHeight="true" outlineLevel="0" collapsed="false">
      <c r="A704" s="103" t="n">
        <v>56001</v>
      </c>
      <c r="B704" s="85" t="n">
        <v>46213</v>
      </c>
      <c r="C704" s="110" t="s">
        <v>436</v>
      </c>
      <c r="D704" s="75" t="n">
        <v>50232</v>
      </c>
      <c r="E704" s="52" t="str">
        <f aca="false">IF(D704&lt;&gt;"",IFERROR(VLOOKUP(D704,PROVEEDORES!$A:$B,2,0),"!COD NO ENCONTRADO"),"")</f>
        <v>XESTION NOVA LONXA RIVEIRA S.L.</v>
      </c>
      <c r="F704" s="76" t="str">
        <f aca="false">IF(D704&lt;&gt;"",IFERROR(VLOOKUP(D704,PROVEEDORES!$A:$C,3,0),""),"")</f>
        <v>S</v>
      </c>
      <c r="G704" s="75" t="s">
        <v>276</v>
      </c>
      <c r="H704" s="52" t="str">
        <f aca="false">IF(G704&lt;&gt;"",IFERROR(VLOOKUP(G704,PRODUCTOS!$A:$B,2,0),"!COD NO ENCONTRADO"),"")</f>
        <v>MERLUZA EUROPEA/ FINA DIA </v>
      </c>
      <c r="I704" s="77" t="n">
        <v>14</v>
      </c>
      <c r="J704" s="78" t="n">
        <v>505.6</v>
      </c>
      <c r="K704" s="109" t="n">
        <v>3.1</v>
      </c>
      <c r="L704" s="107" t="n">
        <f aca="false">IF(AND(J704&lt;&gt;"",K704&lt;&gt;""),J704*K704,"")</f>
        <v>1567.36</v>
      </c>
      <c r="M704" s="108" t="n">
        <f aca="false">IF(L704&lt;&gt;"",L704*1.1,"")</f>
        <v>1724.096</v>
      </c>
      <c r="N704" s="117" t="n">
        <f aca="false">IF(F704="S",L704*0.02,0)</f>
        <v>31.3472</v>
      </c>
      <c r="O704" s="115" t="n">
        <f aca="false">IF(L704&lt;&gt;"",L704+N704,"")</f>
        <v>1598.7072</v>
      </c>
      <c r="P704" s="117" t="n">
        <f aca="false">IF(O704&lt;&gt;"",O704*0.1,"")</f>
        <v>159.87072</v>
      </c>
      <c r="Q704" s="116" t="n">
        <f aca="false">IF(O704&lt;&gt;"",O704+P704,"")</f>
        <v>1758.57792</v>
      </c>
      <c r="R704" s="84"/>
    </row>
    <row r="705" customFormat="false" ht="15" hidden="false" customHeight="true" outlineLevel="0" collapsed="false">
      <c r="A705" s="103" t="n">
        <v>56001</v>
      </c>
      <c r="B705" s="85" t="n">
        <v>46213</v>
      </c>
      <c r="C705" s="110" t="s">
        <v>436</v>
      </c>
      <c r="D705" s="87" t="n">
        <v>50232</v>
      </c>
      <c r="E705" s="46" t="str">
        <f aca="false">IF(D705&lt;&gt;"",IFERROR(VLOOKUP(D705,PROVEEDORES!$A:$B,2,0),"!COD NO ENCONTRADO"),"")</f>
        <v>XESTION NOVA LONXA RIVEIRA S.L.</v>
      </c>
      <c r="F705" s="88" t="str">
        <f aca="false">IF(D705&lt;&gt;"",IFERROR(VLOOKUP(D705,PROVEEDORES!$A:$C,3,0),""),"")</f>
        <v>S</v>
      </c>
      <c r="G705" s="87" t="s">
        <v>270</v>
      </c>
      <c r="H705" s="46" t="str">
        <f aca="false">IF(G705&lt;&gt;"",IFERROR(VLOOKUP(G705,PRODUCTOS!$A:$B,2,0),"!COD NO ENCONTRADO"),"")</f>
        <v>PEON/ PION (ATP)</v>
      </c>
      <c r="I705" s="89" t="n">
        <v>9</v>
      </c>
      <c r="J705" s="90" t="n">
        <v>43.5</v>
      </c>
      <c r="K705" s="106" t="n">
        <v>4</v>
      </c>
      <c r="L705" s="107" t="n">
        <f aca="false">IF(AND(J705&lt;&gt;"",K705&lt;&gt;""),J705*K705,"")</f>
        <v>174</v>
      </c>
      <c r="M705" s="108" t="n">
        <f aca="false">IF(L705&lt;&gt;"",L705*1.1,"")</f>
        <v>191.4</v>
      </c>
      <c r="N705" s="114" t="n">
        <f aca="false">IF(F705="S",L705*0.02,0)</f>
        <v>3.48</v>
      </c>
      <c r="O705" s="115" t="n">
        <f aca="false">IF(L705&lt;&gt;"",L705+N705,"")</f>
        <v>177.48</v>
      </c>
      <c r="P705" s="114" t="n">
        <f aca="false">IF(O705&lt;&gt;"",O705*0.1,"")</f>
        <v>17.748</v>
      </c>
      <c r="Q705" s="116" t="n">
        <f aca="false">IF(O705&lt;&gt;"",O705+P705,"")</f>
        <v>195.228</v>
      </c>
      <c r="R705" s="84"/>
    </row>
    <row r="706" customFormat="false" ht="15" hidden="false" customHeight="true" outlineLevel="0" collapsed="false">
      <c r="A706" s="103" t="n">
        <v>56001</v>
      </c>
      <c r="B706" s="85" t="n">
        <v>46213</v>
      </c>
      <c r="C706" s="110" t="s">
        <v>436</v>
      </c>
      <c r="D706" s="75" t="n">
        <v>50232</v>
      </c>
      <c r="E706" s="52" t="str">
        <f aca="false">IF(D706&lt;&gt;"",IFERROR(VLOOKUP(D706,PROVEEDORES!$A:$B,2,0),"!COD NO ENCONTRADO"),"")</f>
        <v>XESTION NOVA LONXA RIVEIRA S.L.</v>
      </c>
      <c r="F706" s="76" t="str">
        <f aca="false">IF(D706&lt;&gt;"",IFERROR(VLOOKUP(D706,PROVEEDORES!$A:$C,3,0),""),"")</f>
        <v>S</v>
      </c>
      <c r="G706" s="75" t="s">
        <v>270</v>
      </c>
      <c r="H706" s="52" t="str">
        <f aca="false">IF(G706&lt;&gt;"",IFERROR(VLOOKUP(G706,PRODUCTOS!$A:$B,2,0),"!COD NO ENCONTRADO"),"")</f>
        <v>PEON/ PION (ATP)</v>
      </c>
      <c r="I706" s="77" t="n">
        <v>1</v>
      </c>
      <c r="J706" s="78" t="n">
        <v>6</v>
      </c>
      <c r="K706" s="109" t="n">
        <v>3</v>
      </c>
      <c r="L706" s="107" t="n">
        <f aca="false">IF(AND(J706&lt;&gt;"",K706&lt;&gt;""),J706*K706,"")</f>
        <v>18</v>
      </c>
      <c r="M706" s="108" t="n">
        <f aca="false">IF(L706&lt;&gt;"",L706*1.1,"")</f>
        <v>19.8</v>
      </c>
      <c r="N706" s="117" t="n">
        <f aca="false">IF(F706="S",L706*0.02,0)</f>
        <v>0.36</v>
      </c>
      <c r="O706" s="115" t="n">
        <f aca="false">IF(L706&lt;&gt;"",L706+N706,"")</f>
        <v>18.36</v>
      </c>
      <c r="P706" s="117" t="n">
        <f aca="false">IF(O706&lt;&gt;"",O706*0.1,"")</f>
        <v>1.836</v>
      </c>
      <c r="Q706" s="116" t="n">
        <f aca="false">IF(O706&lt;&gt;"",O706+P706,"")</f>
        <v>20.196</v>
      </c>
      <c r="R706" s="84"/>
    </row>
    <row r="707" customFormat="false" ht="15" hidden="false" customHeight="true" outlineLevel="0" collapsed="false">
      <c r="A707" s="103" t="n">
        <v>56001</v>
      </c>
      <c r="B707" s="85" t="n">
        <v>46213</v>
      </c>
      <c r="C707" s="110" t="s">
        <v>436</v>
      </c>
      <c r="D707" s="87" t="n">
        <v>50232</v>
      </c>
      <c r="E707" s="46" t="str">
        <f aca="false">IF(D707&lt;&gt;"",IFERROR(VLOOKUP(D707,PROVEEDORES!$A:$B,2,0),"!COD NO ENCONTRADO"),"")</f>
        <v>XESTION NOVA LONXA RIVEIRA S.L.</v>
      </c>
      <c r="F707" s="88" t="str">
        <f aca="false">IF(D707&lt;&gt;"",IFERROR(VLOOKUP(D707,PROVEEDORES!$A:$C,3,0),""),"")</f>
        <v>S</v>
      </c>
      <c r="G707" s="87" t="s">
        <v>296</v>
      </c>
      <c r="H707" s="46" t="str">
        <f aca="false">IF(G707&lt;&gt;"",IFERROR(VLOOKUP(G707,PRODUCTOS!$A:$B,2,0),"!COD NO ENCONTRADO"),"")</f>
        <v>RAPE NEGRO (ANK)</v>
      </c>
      <c r="I707" s="89" t="n">
        <v>8</v>
      </c>
      <c r="J707" s="90" t="n">
        <v>58.1</v>
      </c>
      <c r="K707" s="106" t="n">
        <v>5</v>
      </c>
      <c r="L707" s="107" t="n">
        <f aca="false">IF(AND(J707&lt;&gt;"",K707&lt;&gt;""),J707*K707,"")</f>
        <v>290.5</v>
      </c>
      <c r="M707" s="108" t="n">
        <f aca="false">IF(L707&lt;&gt;"",L707*1.1,"")</f>
        <v>319.55</v>
      </c>
      <c r="N707" s="114" t="n">
        <f aca="false">IF(F707="S",L707*0.02,0)</f>
        <v>5.81</v>
      </c>
      <c r="O707" s="115" t="n">
        <f aca="false">IF(L707&lt;&gt;"",L707+N707,"")</f>
        <v>296.31</v>
      </c>
      <c r="P707" s="114" t="n">
        <f aca="false">IF(O707&lt;&gt;"",O707*0.1,"")</f>
        <v>29.631</v>
      </c>
      <c r="Q707" s="116" t="n">
        <f aca="false">IF(O707&lt;&gt;"",O707+P707,"")</f>
        <v>325.941</v>
      </c>
      <c r="R707" s="84"/>
    </row>
    <row r="708" customFormat="false" ht="15" hidden="false" customHeight="true" outlineLevel="0" collapsed="false">
      <c r="A708" s="103" t="n">
        <v>56001</v>
      </c>
      <c r="B708" s="73" t="n">
        <v>46213</v>
      </c>
      <c r="C708" s="110"/>
      <c r="D708" s="75" t="n">
        <v>50232</v>
      </c>
      <c r="E708" s="52" t="s">
        <v>437</v>
      </c>
      <c r="F708" s="76" t="str">
        <f aca="false">IF(D708&lt;&gt;"",IFERROR(VLOOKUP(D708,PROVEEDORES!$A:$C,3,0),""),"")</f>
        <v>S</v>
      </c>
      <c r="G708" s="75" t="s">
        <v>179</v>
      </c>
      <c r="H708" s="104" t="str">
        <f aca="false">IF(G708&lt;&gt;"",IFERROR(VLOOKUP(G708,PRODUCTOS!$A:$B,2,0),"!COD NO ENCONTRADO"),"")</f>
        <v>LIRIO/ BACALADILLA/ PERLA (WHB)</v>
      </c>
      <c r="I708" s="77" t="n">
        <v>0</v>
      </c>
      <c r="J708" s="78" t="n">
        <v>0</v>
      </c>
      <c r="K708" s="109" t="n">
        <v>0</v>
      </c>
      <c r="L708" s="107" t="n">
        <f aca="false">IF(AND(J708&lt;&gt;"",K708&lt;&gt;""),J708*K708,"")</f>
        <v>0</v>
      </c>
      <c r="M708" s="108" t="n">
        <f aca="false">IF(L708&lt;&gt;"",L708*1.1,"")</f>
        <v>0</v>
      </c>
      <c r="N708" s="117" t="n">
        <f aca="false">IF(F708="S",L708*0.02,0)</f>
        <v>0</v>
      </c>
      <c r="O708" s="115" t="n">
        <f aca="false">IF(L708&lt;&gt;"",L708+N708,"")</f>
        <v>0</v>
      </c>
      <c r="P708" s="117" t="n">
        <f aca="false">IF(O708&lt;&gt;"",O708*0.1,"")</f>
        <v>0</v>
      </c>
      <c r="Q708" s="116" t="n">
        <f aca="false">IF(O708&lt;&gt;"",O708+P708,"")</f>
        <v>0</v>
      </c>
      <c r="R708" s="84"/>
    </row>
    <row r="709" customFormat="false" ht="15" hidden="false" customHeight="true" outlineLevel="0" collapsed="false">
      <c r="A709" s="103" t="n">
        <v>56002</v>
      </c>
      <c r="B709" s="85" t="n">
        <v>46213</v>
      </c>
      <c r="C709" s="110" t="n">
        <v>33153</v>
      </c>
      <c r="D709" s="87" t="n">
        <v>50106</v>
      </c>
      <c r="E709" s="46" t="str">
        <f aca="false">IF(D709&lt;&gt;"",IFERROR(VLOOKUP(D709,PROVEEDORES!$A:$B,2,0),"!COD NO ENCONTRADO"),"")</f>
        <v>SONIA VENTAS S.L</v>
      </c>
      <c r="F709" s="88" t="str">
        <f aca="false">IF(D709&lt;&gt;"",IFERROR(VLOOKUP(D709,PROVEEDORES!$A:$C,3,0),""),"")</f>
        <v>S</v>
      </c>
      <c r="G709" s="87" t="s">
        <v>53</v>
      </c>
      <c r="H709" s="46" t="str">
        <f aca="false">IF(G709&lt;&gt;"",IFERROR(VLOOKUP(G709,PRODUCTOS!$A:$B,2,0),"!COD NO ENCONTRADO"),"")</f>
        <v>CABRAS PÑA</v>
      </c>
      <c r="I709" s="89" t="n">
        <v>2</v>
      </c>
      <c r="J709" s="90" t="n">
        <v>9.45</v>
      </c>
      <c r="K709" s="106" t="n">
        <v>3</v>
      </c>
      <c r="L709" s="107" t="n">
        <f aca="false">IF(AND(J709&lt;&gt;"",K709&lt;&gt;""),J709*K709,"")</f>
        <v>28.35</v>
      </c>
      <c r="M709" s="108" t="n">
        <f aca="false">IF(L709&lt;&gt;"",L709*1.1,"")</f>
        <v>31.185</v>
      </c>
      <c r="N709" s="114" t="n">
        <f aca="false">IF(F709="S",L709*0.02,0)</f>
        <v>0.567</v>
      </c>
      <c r="O709" s="115" t="n">
        <f aca="false">IF(L709&lt;&gt;"",L709+N709,"")</f>
        <v>28.917</v>
      </c>
      <c r="P709" s="114" t="n">
        <f aca="false">IF(O709&lt;&gt;"",O709*0.1,"")</f>
        <v>2.8917</v>
      </c>
      <c r="Q709" s="116" t="n">
        <f aca="false">IF(O709&lt;&gt;"",O709+P709,"")</f>
        <v>31.8087</v>
      </c>
      <c r="R709" s="84"/>
    </row>
    <row r="710" customFormat="false" ht="15" hidden="false" customHeight="true" outlineLevel="0" collapsed="false">
      <c r="A710" s="103" t="n">
        <v>56002</v>
      </c>
      <c r="B710" s="73" t="n">
        <v>46213</v>
      </c>
      <c r="C710" s="110" t="n">
        <v>33153</v>
      </c>
      <c r="D710" s="75" t="n">
        <v>50106</v>
      </c>
      <c r="E710" s="52" t="str">
        <f aca="false">IF(D710&lt;&gt;"",IFERROR(VLOOKUP(D710,PROVEEDORES!$A:$B,2,0),"!COD NO ENCONTRADO"),"")</f>
        <v>SONIA VENTAS S.L</v>
      </c>
      <c r="F710" s="76" t="str">
        <f aca="false">IF(D710&lt;&gt;"",IFERROR(VLOOKUP(D710,PROVEEDORES!$A:$C,3,0),""),"")</f>
        <v>S</v>
      </c>
      <c r="G710" s="75" t="s">
        <v>83</v>
      </c>
      <c r="H710" s="52" t="str">
        <f aca="false">IF(G710&lt;&gt;"",IFERROR(VLOOKUP(G710,PRODUCTOS!$A:$B,2,0),"!COD NO ENCONTRADO"),"")</f>
        <v>BESUGO (BSR)</v>
      </c>
      <c r="I710" s="77" t="n">
        <v>3</v>
      </c>
      <c r="J710" s="78" t="n">
        <f aca="false">2+2.2+2.1</f>
        <v>6.3</v>
      </c>
      <c r="K710" s="109" t="n">
        <v>32</v>
      </c>
      <c r="L710" s="107" t="n">
        <f aca="false">IF(AND(J710&lt;&gt;"",K710&lt;&gt;""),J710*K710,"")</f>
        <v>201.6</v>
      </c>
      <c r="M710" s="108" t="n">
        <f aca="false">IF(L710&lt;&gt;"",L710*1.1,"")</f>
        <v>221.76</v>
      </c>
      <c r="N710" s="117" t="n">
        <f aca="false">IF(F710="S",L710*0.02,0)</f>
        <v>4.032</v>
      </c>
      <c r="O710" s="115" t="n">
        <f aca="false">IF(L710&lt;&gt;"",L710+N710,"")</f>
        <v>205.632</v>
      </c>
      <c r="P710" s="117" t="n">
        <f aca="false">IF(O710&lt;&gt;"",O710*0.1,"")</f>
        <v>20.5632</v>
      </c>
      <c r="Q710" s="116" t="n">
        <f aca="false">IF(O710&lt;&gt;"",O710+P710,"")</f>
        <v>226.1952</v>
      </c>
      <c r="R710" s="84"/>
    </row>
    <row r="711" customFormat="false" ht="15" hidden="false" customHeight="true" outlineLevel="0" collapsed="false">
      <c r="A711" s="103" t="n">
        <v>56003</v>
      </c>
      <c r="B711" s="73" t="n">
        <v>46213</v>
      </c>
      <c r="C711" s="110" t="n">
        <v>19052</v>
      </c>
      <c r="D711" s="75" t="n">
        <v>50163</v>
      </c>
      <c r="E711" s="52" t="str">
        <f aca="false">IF(D711&lt;&gt;"",IFERROR(VLOOKUP(D711,PROVEEDORES!$A:$B,2,0),"!COD NO ENCONTRADO"),"")</f>
        <v>SUBASTAS RIVERA S.L.</v>
      </c>
      <c r="F711" s="76" t="str">
        <f aca="false">IF(D711&lt;&gt;"",IFERROR(VLOOKUP(D711,PROVEEDORES!$A:$C,3,0),""),"")</f>
        <v>S</v>
      </c>
      <c r="G711" s="75" t="s">
        <v>221</v>
      </c>
      <c r="H711" s="52" t="str">
        <f aca="false">IF(G711&lt;&gt;"",IFERROR(VLOOKUP(G711,PRODUCTOS!$A:$B,2,0),"!COD NO ENCONTRADO"),"")</f>
        <v>MERLUZA EUROPEA PINCHO COSTA 800</v>
      </c>
      <c r="I711" s="77" t="n">
        <v>1</v>
      </c>
      <c r="J711" s="78" t="n">
        <v>14.75</v>
      </c>
      <c r="K711" s="109" t="n">
        <v>5.3</v>
      </c>
      <c r="L711" s="107" t="n">
        <f aca="false">IF(AND(J711&lt;&gt;"",K711&lt;&gt;""),J711*K711,"")</f>
        <v>78.175</v>
      </c>
      <c r="M711" s="108" t="n">
        <f aca="false">IF(L711&lt;&gt;"",L711*1.1,"")</f>
        <v>85.9925</v>
      </c>
      <c r="N711" s="117" t="n">
        <f aca="false">IF(F711="S",L711*0.02,0)</f>
        <v>1.5635</v>
      </c>
      <c r="O711" s="115" t="n">
        <f aca="false">IF(L711&lt;&gt;"",L711+N711,"")</f>
        <v>79.7385</v>
      </c>
      <c r="P711" s="117" t="n">
        <f aca="false">IF(O711&lt;&gt;"",O711*0.1,"")</f>
        <v>7.97385</v>
      </c>
      <c r="Q711" s="116" t="n">
        <f aca="false">IF(O711&lt;&gt;"",O711+P711,"")</f>
        <v>87.71235</v>
      </c>
      <c r="R711" s="84"/>
    </row>
    <row r="712" customFormat="false" ht="15" hidden="false" customHeight="true" outlineLevel="0" collapsed="false">
      <c r="A712" s="103" t="n">
        <v>56003</v>
      </c>
      <c r="B712" s="85" t="n">
        <v>46213</v>
      </c>
      <c r="C712" s="110" t="n">
        <v>19052</v>
      </c>
      <c r="D712" s="87" t="n">
        <v>50163</v>
      </c>
      <c r="E712" s="46" t="str">
        <f aca="false">IF(D712&lt;&gt;"",IFERROR(VLOOKUP(D712,PROVEEDORES!$A:$B,2,0),"!COD NO ENCONTRADO"),"")</f>
        <v>SUBASTAS RIVERA S.L.</v>
      </c>
      <c r="F712" s="88" t="str">
        <f aca="false">IF(D712&lt;&gt;"",IFERROR(VLOOKUP(D712,PROVEEDORES!$A:$C,3,0),""),"")</f>
        <v>S</v>
      </c>
      <c r="G712" s="87" t="s">
        <v>288</v>
      </c>
      <c r="H712" s="46" t="str">
        <f aca="false">IF(G712&lt;&gt;"",IFERROR(VLOOKUP(G712,PRODUCTOS!$A:$B,2,0),"!COD NO ENCONTRADO"),"")</f>
        <v>RAPE BLANCO DIA (MON)</v>
      </c>
      <c r="I712" s="89" t="n">
        <v>7</v>
      </c>
      <c r="J712" s="123" t="n">
        <v>67.05</v>
      </c>
      <c r="K712" s="106" t="n">
        <v>7</v>
      </c>
      <c r="L712" s="107" t="n">
        <f aca="false">IF(AND(J712&lt;&gt;"",K712&lt;&gt;""),J712*K712,"")</f>
        <v>469.35</v>
      </c>
      <c r="M712" s="108" t="n">
        <f aca="false">IF(L712&lt;&gt;"",L712*1.1,"")</f>
        <v>516.285</v>
      </c>
      <c r="N712" s="114" t="n">
        <f aca="false">IF(F712="S",L712*0.02,0)</f>
        <v>9.387</v>
      </c>
      <c r="O712" s="115" t="n">
        <f aca="false">IF(L712&lt;&gt;"",L712+N712,"")</f>
        <v>478.737</v>
      </c>
      <c r="P712" s="114" t="n">
        <f aca="false">IF(O712&lt;&gt;"",O712*0.1,"")</f>
        <v>47.8737</v>
      </c>
      <c r="Q712" s="116" t="n">
        <f aca="false">IF(O712&lt;&gt;"",O712+P712,"")</f>
        <v>526.6107</v>
      </c>
      <c r="R712" s="84"/>
    </row>
    <row r="713" customFormat="false" ht="15" hidden="false" customHeight="true" outlineLevel="0" collapsed="false">
      <c r="A713" s="103" t="n">
        <v>56003</v>
      </c>
      <c r="B713" s="73" t="n">
        <v>46213</v>
      </c>
      <c r="C713" s="110" t="n">
        <v>190052</v>
      </c>
      <c r="D713" s="75" t="n">
        <v>50163</v>
      </c>
      <c r="E713" s="52" t="str">
        <f aca="false">IF(D713&lt;&gt;"",IFERROR(VLOOKUP(D713,PROVEEDORES!$A:$B,2,0),"!COD NO ENCONTRADO"),"")</f>
        <v>SUBASTAS RIVERA S.L.</v>
      </c>
      <c r="F713" s="76" t="str">
        <f aca="false">IF(D713&lt;&gt;"",IFERROR(VLOOKUP(D713,PROVEEDORES!$A:$C,3,0),""),"")</f>
        <v>S</v>
      </c>
      <c r="G713" s="75" t="s">
        <v>276</v>
      </c>
      <c r="H713" s="52" t="str">
        <f aca="false">IF(G713&lt;&gt;"",IFERROR(VLOOKUP(G713,PRODUCTOS!$A:$B,2,0),"!COD NO ENCONTRADO"),"")</f>
        <v>MERLUZA EUROPEA/ FINA DIA </v>
      </c>
      <c r="I713" s="77" t="n">
        <v>17</v>
      </c>
      <c r="J713" s="78" t="n">
        <f aca="false">4.5+5.25+4.5+5.25+12+4.5+5.75+5.5+6+5.75+4+5.5+6.75+5.75+6+5.5</f>
        <v>92.5</v>
      </c>
      <c r="K713" s="109" t="n">
        <v>2.5</v>
      </c>
      <c r="L713" s="107" t="n">
        <f aca="false">IF(AND(J713&lt;&gt;"",K713&lt;&gt;""),J713*K713,"")</f>
        <v>231.25</v>
      </c>
      <c r="M713" s="108" t="n">
        <f aca="false">IF(L713&lt;&gt;"",L713*1.1,"")</f>
        <v>254.375</v>
      </c>
      <c r="N713" s="117" t="n">
        <f aca="false">IF(F713="S",L713*0.02,0)</f>
        <v>4.625</v>
      </c>
      <c r="O713" s="115" t="n">
        <f aca="false">IF(L713&lt;&gt;"",L713+N713,"")</f>
        <v>235.875</v>
      </c>
      <c r="P713" s="117" t="n">
        <f aca="false">IF(O713&lt;&gt;"",O713*0.1,"")</f>
        <v>23.5875</v>
      </c>
      <c r="Q713" s="116" t="n">
        <f aca="false">IF(O713&lt;&gt;"",O713+P713,"")</f>
        <v>259.4625</v>
      </c>
      <c r="R713" s="84"/>
    </row>
    <row r="714" customFormat="false" ht="15" hidden="false" customHeight="true" outlineLevel="0" collapsed="false">
      <c r="A714" s="103" t="n">
        <v>56004</v>
      </c>
      <c r="B714" s="85" t="n">
        <v>46213</v>
      </c>
      <c r="C714" s="110" t="n">
        <v>16433</v>
      </c>
      <c r="D714" s="87" t="n">
        <v>50160</v>
      </c>
      <c r="E714" s="104" t="str">
        <f aca="false">IF(D714&lt;&gt;"",IFERROR(VLOOKUP(D714,PROVEEDORES!$A:$B,2,0),"!COD NO ENCONTRADO"),"")</f>
        <v>SUBASTAS CORUÑA S.L.</v>
      </c>
      <c r="F714" s="122" t="str">
        <f aca="false">IF(D714&lt;&gt;"",IFERROR(VLOOKUP(D714,PROVEEDORES!$A:$C,3,0),""),"")</f>
        <v>S</v>
      </c>
      <c r="G714" s="111" t="s">
        <v>151</v>
      </c>
      <c r="H714" s="104" t="str">
        <f aca="false">IF(G714&lt;&gt;"",IFERROR(VLOOKUP(G714,PRODUCTOS!$A:$B,2,0),"!COD NO ENCONTRADO"),"")</f>
        <v>ESCACHO/ ARETE/ RUBIO (GUR)</v>
      </c>
      <c r="I714" s="112" t="n">
        <v>6</v>
      </c>
      <c r="J714" s="105" t="n">
        <f aca="false">6.5+6.5+6+8.5+5.75+6.5</f>
        <v>39.75</v>
      </c>
      <c r="K714" s="113" t="n">
        <v>0.4</v>
      </c>
      <c r="L714" s="107" t="n">
        <f aca="false">IF(AND(J714&lt;&gt;"",K714&lt;&gt;""),J714*K714,"")</f>
        <v>15.9</v>
      </c>
      <c r="M714" s="108" t="n">
        <f aca="false">IF(L714&lt;&gt;"",L714*1.1,"")</f>
        <v>17.49</v>
      </c>
      <c r="N714" s="114" t="n">
        <f aca="false">IF(F714="S",L714*0.02,0)</f>
        <v>0.318</v>
      </c>
      <c r="O714" s="115" t="n">
        <f aca="false">IF(L714&lt;&gt;"",L714+N714,"")</f>
        <v>16.218</v>
      </c>
      <c r="P714" s="114" t="n">
        <f aca="false">IF(O714&lt;&gt;"",O714*0.1,"")</f>
        <v>1.6218</v>
      </c>
      <c r="Q714" s="116" t="n">
        <f aca="false">IF(O714&lt;&gt;"",O714+P714,"")</f>
        <v>17.8398</v>
      </c>
      <c r="R714" s="84"/>
    </row>
    <row r="715" customFormat="false" ht="15" hidden="false" customHeight="true" outlineLevel="0" collapsed="false">
      <c r="A715" s="103" t="n">
        <v>56004</v>
      </c>
      <c r="B715" s="85" t="n">
        <v>46213</v>
      </c>
      <c r="C715" s="110" t="n">
        <v>16433</v>
      </c>
      <c r="D715" s="87" t="n">
        <v>50160</v>
      </c>
      <c r="E715" s="104" t="str">
        <f aca="false">IF(D715&lt;&gt;"",IFERROR(VLOOKUP(D715,PROVEEDORES!$A:$B,2,0),"!COD NO ENCONTRADO"),"")</f>
        <v>SUBASTAS CORUÑA S.L.</v>
      </c>
      <c r="F715" s="122" t="str">
        <f aca="false">IF(D715&lt;&gt;"",IFERROR(VLOOKUP(D715,PROVEEDORES!$A:$C,3,0),""),"")</f>
        <v>S</v>
      </c>
      <c r="G715" s="111" t="s">
        <v>205</v>
      </c>
      <c r="H715" s="104" t="str">
        <f aca="false">IF(G715&lt;&gt;"",IFERROR(VLOOKUP(G715,PRODUCTOS!$A:$B,2,0),"!COD NO ENCONTRADO"),"")</f>
        <v>MERLUZA EUROPEA GDA (HKE)</v>
      </c>
      <c r="I715" s="112" t="n">
        <v>1</v>
      </c>
      <c r="J715" s="105" t="n">
        <v>14</v>
      </c>
      <c r="K715" s="113" t="n">
        <v>7.6</v>
      </c>
      <c r="L715" s="107" t="n">
        <f aca="false">IF(AND(J715&lt;&gt;"",K715&lt;&gt;""),J715*K715,"")</f>
        <v>106.4</v>
      </c>
      <c r="M715" s="108" t="n">
        <f aca="false">IF(L715&lt;&gt;"",L715*1.1,"")</f>
        <v>117.04</v>
      </c>
      <c r="N715" s="114" t="n">
        <f aca="false">IF(F715="S",L715*0.02,0)</f>
        <v>2.128</v>
      </c>
      <c r="O715" s="115" t="n">
        <f aca="false">IF(L715&lt;&gt;"",L715+N715,"")</f>
        <v>108.528</v>
      </c>
      <c r="P715" s="114" t="n">
        <f aca="false">IF(O715&lt;&gt;"",O715*0.1,"")</f>
        <v>10.8528</v>
      </c>
      <c r="Q715" s="116" t="n">
        <f aca="false">IF(O715&lt;&gt;"",O715+P715,"")</f>
        <v>119.3808</v>
      </c>
      <c r="R715" s="84"/>
    </row>
    <row r="716" customFormat="false" ht="15" hidden="false" customHeight="true" outlineLevel="0" collapsed="false">
      <c r="A716" s="103" t="n">
        <v>56004</v>
      </c>
      <c r="B716" s="73" t="n">
        <v>46213</v>
      </c>
      <c r="C716" s="110" t="n">
        <v>16433</v>
      </c>
      <c r="D716" s="75" t="n">
        <v>50160</v>
      </c>
      <c r="E716" s="104" t="str">
        <f aca="false">IF(D716&lt;&gt;"",IFERROR(VLOOKUP(D716,PROVEEDORES!$A:$B,2,0),"!COD NO ENCONTRADO"),"")</f>
        <v>SUBASTAS CORUÑA S.L.</v>
      </c>
      <c r="F716" s="122" t="str">
        <f aca="false">IF(D716&lt;&gt;"",IFERROR(VLOOKUP(D716,PROVEEDORES!$A:$C,3,0),""),"")</f>
        <v>S</v>
      </c>
      <c r="G716" s="111" t="s">
        <v>205</v>
      </c>
      <c r="H716" s="104" t="str">
        <f aca="false">IF(G716&lt;&gt;"",IFERROR(VLOOKUP(G716,PRODUCTOS!$A:$B,2,0),"!COD NO ENCONTRADO"),"")</f>
        <v>MERLUZA EUROPEA GDA (HKE)</v>
      </c>
      <c r="I716" s="112" t="n">
        <v>2</v>
      </c>
      <c r="J716" s="105" t="n">
        <f aca="false">5+7.3</f>
        <v>12.3</v>
      </c>
      <c r="K716" s="113" t="n">
        <v>10.6</v>
      </c>
      <c r="L716" s="107" t="n">
        <f aca="false">IF(AND(J716&lt;&gt;"",K716&lt;&gt;""),J716*K716,"")</f>
        <v>130.38</v>
      </c>
      <c r="M716" s="108" t="n">
        <f aca="false">IF(L716&lt;&gt;"",L716*1.1,"")</f>
        <v>143.418</v>
      </c>
      <c r="N716" s="117" t="n">
        <f aca="false">IF(F716="S",L716*0.02,0)</f>
        <v>2.6076</v>
      </c>
      <c r="O716" s="115" t="n">
        <f aca="false">IF(L716&lt;&gt;"",L716+N716,"")</f>
        <v>132.9876</v>
      </c>
      <c r="P716" s="117" t="n">
        <f aca="false">IF(O716&lt;&gt;"",O716*0.1,"")</f>
        <v>13.29876</v>
      </c>
      <c r="Q716" s="116" t="n">
        <f aca="false">IF(O716&lt;&gt;"",O716+P716,"")</f>
        <v>146.28636</v>
      </c>
      <c r="R716" s="84"/>
    </row>
    <row r="717" customFormat="false" ht="15" hidden="false" customHeight="true" outlineLevel="0" collapsed="false">
      <c r="A717" s="103" t="n">
        <v>56005</v>
      </c>
      <c r="B717" s="73" t="n">
        <v>46213</v>
      </c>
      <c r="C717" s="110" t="n">
        <v>8015</v>
      </c>
      <c r="D717" s="75" t="n">
        <v>50069</v>
      </c>
      <c r="E717" s="52" t="str">
        <f aca="false">IF(D717&lt;&gt;"",IFERROR(VLOOKUP(D717,PROVEEDORES!$A:$B,2,0),"!COD NO ENCONTRADO"),"")</f>
        <v>PESCADOS ILLANES S.L.</v>
      </c>
      <c r="F717" s="76" t="str">
        <f aca="false">IF(D717&lt;&gt;"",IFERROR(VLOOKUP(D717,PROVEEDORES!$A:$C,3,0),""),"")</f>
        <v>S</v>
      </c>
      <c r="G717" s="75" t="s">
        <v>151</v>
      </c>
      <c r="H717" s="52" t="str">
        <f aca="false">IF(G717&lt;&gt;"",IFERROR(VLOOKUP(G717,PRODUCTOS!$A:$B,2,0),"!COD NO ENCONTRADO"),"")</f>
        <v>ESCACHO/ ARETE/ RUBIO (GUR)</v>
      </c>
      <c r="I717" s="77" t="n">
        <v>3</v>
      </c>
      <c r="J717" s="78" t="n">
        <f aca="false">11.25+10.25+7.25</f>
        <v>28.75</v>
      </c>
      <c r="K717" s="109" t="n">
        <v>0.5</v>
      </c>
      <c r="L717" s="107" t="n">
        <f aca="false">IF(AND(J717&lt;&gt;"",K717&lt;&gt;""),J717*K717,"")</f>
        <v>14.375</v>
      </c>
      <c r="M717" s="108" t="n">
        <f aca="false">IF(L717&lt;&gt;"",L717*1.1,"")</f>
        <v>15.8125</v>
      </c>
      <c r="N717" s="117" t="n">
        <f aca="false">IF(F717="S",L717*0.02,0)</f>
        <v>0.2875</v>
      </c>
      <c r="O717" s="115" t="n">
        <f aca="false">IF(L717&lt;&gt;"",L717+N717,"")</f>
        <v>14.6625</v>
      </c>
      <c r="P717" s="117" t="n">
        <f aca="false">IF(O717&lt;&gt;"",O717*0.1,"")</f>
        <v>1.46625</v>
      </c>
      <c r="Q717" s="116" t="n">
        <f aca="false">IF(O717&lt;&gt;"",O717+P717,"")</f>
        <v>16.12875</v>
      </c>
      <c r="R717" s="84"/>
    </row>
    <row r="718" customFormat="false" ht="15" hidden="false" customHeight="true" outlineLevel="0" collapsed="false">
      <c r="A718" s="103" t="n">
        <v>56006</v>
      </c>
      <c r="B718" s="85" t="n">
        <v>46213</v>
      </c>
      <c r="C718" s="110" t="s">
        <v>438</v>
      </c>
      <c r="D718" s="87" t="n">
        <v>50521</v>
      </c>
      <c r="E718" s="46" t="str">
        <f aca="false">IF(D718&lt;&gt;"",IFERROR(VLOOKUP(D718,PROVEEDORES!$A:$B,2,0),"!COD NO ENCONTRADO"),"")</f>
        <v>SUBASTAS DE ATLANTICO S.L</v>
      </c>
      <c r="F718" s="88" t="str">
        <f aca="false">IF(D718&lt;&gt;"",IFERROR(VLOOKUP(D718,PROVEEDORES!$A:$C,3,0),""),"")</f>
        <v>S</v>
      </c>
      <c r="G718" s="87" t="s">
        <v>183</v>
      </c>
      <c r="H718" s="46" t="str">
        <f aca="false">IF(G718&lt;&gt;"",IFERROR(VLOOKUP(G718,PRODUCTOS!$A:$B,2,0),"!COD NO ENCONTRADO"),"")</f>
        <v>LUBINA RIA/ ROBALIZA (BSS)</v>
      </c>
      <c r="I718" s="89" t="n">
        <v>4</v>
      </c>
      <c r="J718" s="90" t="n">
        <f aca="false">8.3+8.8+8.5+10.4</f>
        <v>36</v>
      </c>
      <c r="K718" s="106" t="n">
        <v>13.8</v>
      </c>
      <c r="L718" s="107" t="n">
        <f aca="false">IF(AND(J718&lt;&gt;"",K718&lt;&gt;""),J718*K718,"")</f>
        <v>496.8</v>
      </c>
      <c r="M718" s="108" t="n">
        <f aca="false">IF(L718&lt;&gt;"",L718*1.1,"")</f>
        <v>546.48</v>
      </c>
      <c r="N718" s="114" t="n">
        <f aca="false">IF(F718="S",L718*0.02,0)</f>
        <v>9.936</v>
      </c>
      <c r="O718" s="115" t="n">
        <f aca="false">IF(L718&lt;&gt;"",L718+N718,"")</f>
        <v>506.736</v>
      </c>
      <c r="P718" s="114" t="n">
        <f aca="false">IF(O718&lt;&gt;"",O718*0.1,"")</f>
        <v>50.6736</v>
      </c>
      <c r="Q718" s="116" t="n">
        <f aca="false">IF(O718&lt;&gt;"",O718+P718,"")</f>
        <v>557.4096</v>
      </c>
      <c r="R718" s="84"/>
    </row>
    <row r="719" customFormat="false" ht="15" hidden="false" customHeight="true" outlineLevel="0" collapsed="false">
      <c r="A719" s="103" t="n">
        <v>56006</v>
      </c>
      <c r="B719" s="73" t="n">
        <v>46213</v>
      </c>
      <c r="C719" s="110" t="n">
        <v>1482.2026</v>
      </c>
      <c r="D719" s="75" t="n">
        <v>50521</v>
      </c>
      <c r="E719" s="52" t="str">
        <f aca="false">IF(D719&lt;&gt;"",IFERROR(VLOOKUP(D719,PROVEEDORES!$A:$B,2,0),"!COD NO ENCONTRADO"),"")</f>
        <v>SUBASTAS DE ATLANTICO S.L</v>
      </c>
      <c r="F719" s="76" t="str">
        <f aca="false">IF(D719&lt;&gt;"",IFERROR(VLOOKUP(D719,PROVEEDORES!$A:$C,3,0),""),"")</f>
        <v>S</v>
      </c>
      <c r="G719" s="75" t="s">
        <v>183</v>
      </c>
      <c r="H719" s="52" t="str">
        <f aca="false">IF(G719&lt;&gt;"",IFERROR(VLOOKUP(G719,PRODUCTOS!$A:$B,2,0),"!COD NO ENCONTRADO"),"")</f>
        <v>LUBINA RIA/ ROBALIZA (BSS)</v>
      </c>
      <c r="I719" s="77" t="n">
        <v>6</v>
      </c>
      <c r="J719" s="78" t="n">
        <f aca="false">7.9+8.6+8.25+7.25+8.1+7.5</f>
        <v>47.6</v>
      </c>
      <c r="K719" s="109" t="n">
        <v>12.5</v>
      </c>
      <c r="L719" s="107" t="n">
        <f aca="false">IF(AND(J719&lt;&gt;"",K719&lt;&gt;""),J719*K719,"")</f>
        <v>595</v>
      </c>
      <c r="M719" s="108" t="n">
        <f aca="false">IF(L719&lt;&gt;"",L719*1.1,"")</f>
        <v>654.5</v>
      </c>
      <c r="N719" s="117" t="n">
        <f aca="false">IF(F719="S",L719*0.02,0)</f>
        <v>11.9</v>
      </c>
      <c r="O719" s="115" t="n">
        <f aca="false">IF(L719&lt;&gt;"",L719+N719,"")</f>
        <v>606.9</v>
      </c>
      <c r="P719" s="117" t="n">
        <f aca="false">IF(O719&lt;&gt;"",O719*0.1,"")</f>
        <v>60.69</v>
      </c>
      <c r="Q719" s="116" t="n">
        <f aca="false">IF(O719&lt;&gt;"",O719+P719,"")</f>
        <v>667.59</v>
      </c>
      <c r="R719" s="84"/>
    </row>
    <row r="720" customFormat="false" ht="15" hidden="false" customHeight="true" outlineLevel="0" collapsed="false">
      <c r="A720" s="103" t="n">
        <v>56006</v>
      </c>
      <c r="B720" s="85" t="n">
        <v>46213</v>
      </c>
      <c r="C720" s="110" t="s">
        <v>438</v>
      </c>
      <c r="D720" s="87" t="n">
        <v>50521</v>
      </c>
      <c r="E720" s="46" t="str">
        <f aca="false">IF(D720&lt;&gt;"",IFERROR(VLOOKUP(D720,PROVEEDORES!$A:$B,2,0),"!COD NO ENCONTRADO"),"")</f>
        <v>SUBASTAS DE ATLANTICO S.L</v>
      </c>
      <c r="F720" s="88" t="str">
        <f aca="false">IF(D720&lt;&gt;"",IFERROR(VLOOKUP(D720,PROVEEDORES!$A:$C,3,0),""),"")</f>
        <v>S</v>
      </c>
      <c r="G720" s="87" t="s">
        <v>183</v>
      </c>
      <c r="H720" s="46" t="str">
        <f aca="false">IF(G720&lt;&gt;"",IFERROR(VLOOKUP(G720,PRODUCTOS!$A:$B,2,0),"!COD NO ENCONTRADO"),"")</f>
        <v>LUBINA RIA/ ROBALIZA (BSS)</v>
      </c>
      <c r="I720" s="89" t="n">
        <v>4</v>
      </c>
      <c r="J720" s="90" t="n">
        <f aca="false">8.75+8+9.1+8.8</f>
        <v>34.65</v>
      </c>
      <c r="K720" s="106" t="n">
        <v>12.2</v>
      </c>
      <c r="L720" s="107" t="n">
        <f aca="false">IF(AND(J720&lt;&gt;"",K720&lt;&gt;""),J720*K720,"")</f>
        <v>422.73</v>
      </c>
      <c r="M720" s="108" t="n">
        <f aca="false">IF(L720&lt;&gt;"",L720*1.1,"")</f>
        <v>465.003</v>
      </c>
      <c r="N720" s="114" t="n">
        <f aca="false">IF(F720="S",L720*0.02,0)</f>
        <v>8.4546</v>
      </c>
      <c r="O720" s="115" t="n">
        <f aca="false">IF(L720&lt;&gt;"",L720+N720,"")</f>
        <v>431.1846</v>
      </c>
      <c r="P720" s="114" t="n">
        <f aca="false">IF(O720&lt;&gt;"",O720*0.1,"")</f>
        <v>43.11846</v>
      </c>
      <c r="Q720" s="116" t="n">
        <f aca="false">IF(O720&lt;&gt;"",O720+P720,"")</f>
        <v>474.30306</v>
      </c>
      <c r="R720" s="84"/>
    </row>
    <row r="721" customFormat="false" ht="15" hidden="false" customHeight="true" outlineLevel="0" collapsed="false">
      <c r="A721" s="103" t="n">
        <v>56007</v>
      </c>
      <c r="B721" s="85" t="n">
        <v>46213</v>
      </c>
      <c r="C721" s="124"/>
      <c r="D721" s="87" t="n">
        <v>50509</v>
      </c>
      <c r="E721" s="46" t="str">
        <f aca="false">IF(D721&lt;&gt;"",IFERROR(VLOOKUP(D721,PROVEEDORES!$A:$B,2,0),"!COD NO ENCONTRADO"),"")</f>
        <v>AZORFISK UNIPERSONAL LDA</v>
      </c>
      <c r="F721" s="88" t="str">
        <f aca="false">IF(D721&lt;&gt;"",IFERROR(VLOOKUP(D721,PROVEEDORES!$A:$C,3,0),""),"")</f>
        <v>N</v>
      </c>
      <c r="G721" s="87" t="s">
        <v>179</v>
      </c>
      <c r="H721" s="46" t="str">
        <f aca="false">IF(G721&lt;&gt;"",IFERROR(VLOOKUP(G721,PRODUCTOS!$A:$B,2,0),"!COD NO ENCONTRADO"),"")</f>
        <v>LIRIO/ BACALADILLA/ PERLA (WHB)</v>
      </c>
      <c r="I721" s="89" t="n">
        <v>0</v>
      </c>
      <c r="J721" s="90" t="n">
        <v>0</v>
      </c>
      <c r="K721" s="106" t="n">
        <v>0</v>
      </c>
      <c r="L721" s="107" t="n">
        <f aca="false">IF(AND(J721&lt;&gt;"",K721&lt;&gt;""),J721*K721,"")</f>
        <v>0</v>
      </c>
      <c r="M721" s="108" t="n">
        <f aca="false">IF(L721&lt;&gt;"",L721*1.1,"")</f>
        <v>0</v>
      </c>
      <c r="N721" s="114" t="n">
        <f aca="false">IF(F721="S",L721*0.02,0)</f>
        <v>0</v>
      </c>
      <c r="O721" s="115" t="n">
        <f aca="false">IF(L721&lt;&gt;"",L721+N721,"")</f>
        <v>0</v>
      </c>
      <c r="P721" s="114" t="n">
        <f aca="false">IF(O721&lt;&gt;"",O721*0.1,"")</f>
        <v>0</v>
      </c>
      <c r="Q721" s="116" t="n">
        <f aca="false">IF(O721&lt;&gt;"",O721+P721,"")</f>
        <v>0</v>
      </c>
      <c r="R721" s="84"/>
    </row>
    <row r="722" customFormat="false" ht="15" hidden="false" customHeight="true" outlineLevel="0" collapsed="false">
      <c r="A722" s="103" t="n">
        <v>56008</v>
      </c>
      <c r="B722" s="73" t="n">
        <v>46213</v>
      </c>
      <c r="C722" s="110" t="s">
        <v>439</v>
      </c>
      <c r="D722" s="75" t="n">
        <v>50035</v>
      </c>
      <c r="E722" s="52" t="str">
        <f aca="false">IF(D722&lt;&gt;"",IFERROR(VLOOKUP(D722,PROVEEDORES!$A:$B,2,0),"!COD NO ENCONTRADO"),"")</f>
        <v>SCANFISK SEAFFOD S,L</v>
      </c>
      <c r="F722" s="76" t="str">
        <f aca="false">IF(D722&lt;&gt;"",IFERROR(VLOOKUP(D722,PROVEEDORES!$A:$C,3,0),""),"")</f>
        <v>N</v>
      </c>
      <c r="G722" s="75" t="s">
        <v>91</v>
      </c>
      <c r="H722" s="52" t="str">
        <f aca="false">IF(G722&lt;&gt;"",IFERROR(VLOOKUP(G722,PRODUCTOS!$A:$B,2,0),"!COD NO ENCONTRADO"),"")</f>
        <v>BONITO DEL NORTE 5/7</v>
      </c>
      <c r="I722" s="77" t="n">
        <v>2</v>
      </c>
      <c r="J722" s="78" t="n">
        <v>37.2</v>
      </c>
      <c r="K722" s="109" t="n">
        <v>5.4</v>
      </c>
      <c r="L722" s="107" t="n">
        <f aca="false">IF(AND(J722&lt;&gt;"",K722&lt;&gt;""),J722*K722,"")</f>
        <v>200.88</v>
      </c>
      <c r="M722" s="108" t="n">
        <f aca="false">IF(L722&lt;&gt;"",L722*1.1,"")</f>
        <v>220.968</v>
      </c>
      <c r="N722" s="117" t="n">
        <f aca="false">IF(F722="S",L722*0.02,0)</f>
        <v>0</v>
      </c>
      <c r="O722" s="115" t="n">
        <f aca="false">IF(L722&lt;&gt;"",L722+N722,"")</f>
        <v>200.88</v>
      </c>
      <c r="P722" s="117" t="n">
        <f aca="false">IF(O722&lt;&gt;"",O722*0.1,"")</f>
        <v>20.088</v>
      </c>
      <c r="Q722" s="116" t="n">
        <f aca="false">IF(O722&lt;&gt;"",O722+P722,"")</f>
        <v>220.968</v>
      </c>
      <c r="R722" s="84"/>
    </row>
    <row r="723" customFormat="false" ht="15" hidden="false" customHeight="true" outlineLevel="0" collapsed="false">
      <c r="A723" s="103" t="n">
        <v>56009</v>
      </c>
      <c r="B723" s="85" t="n">
        <v>46214</v>
      </c>
      <c r="C723" s="86" t="s">
        <v>440</v>
      </c>
      <c r="D723" s="87" t="n">
        <v>50048</v>
      </c>
      <c r="E723" s="46" t="str">
        <f aca="false">IF(D723&lt;&gt;"",IFERROR(VLOOKUP(D723,PROVEEDORES!$A:$B,2,0),"!COD NO ENCONTRADO"),"")</f>
        <v>JOSE LUIS CORREA KESSLER S.L.</v>
      </c>
      <c r="F723" s="88" t="str">
        <f aca="false">IF(D723&lt;&gt;"",IFERROR(VLOOKUP(D723,PROVEEDORES!$A:$C,3,0),""),"")</f>
        <v>N</v>
      </c>
      <c r="G723" s="87" t="s">
        <v>179</v>
      </c>
      <c r="H723" s="46" t="str">
        <f aca="false">IF(G723&lt;&gt;"",IFERROR(VLOOKUP(G723,PRODUCTOS!$A:$B,2,0),"!COD NO ENCONTRADO"),"")</f>
        <v>LIRIO/ BACALADILLA/ PERLA (WHB)</v>
      </c>
      <c r="I723" s="89" t="n">
        <v>4</v>
      </c>
      <c r="J723" s="90" t="n">
        <v>24</v>
      </c>
      <c r="K723" s="113" t="n">
        <v>1.5</v>
      </c>
      <c r="L723" s="107" t="n">
        <f aca="false">IF(AND(J723&lt;&gt;"",K723&lt;&gt;""),J723*K723,"")</f>
        <v>36</v>
      </c>
      <c r="M723" s="108" t="n">
        <f aca="false">IF(L723&lt;&gt;"",L723*1.1,"")</f>
        <v>39.6</v>
      </c>
      <c r="N723" s="114" t="n">
        <f aca="false">IF(F723="S",L723*0.02,0)</f>
        <v>0</v>
      </c>
      <c r="O723" s="115" t="n">
        <f aca="false">IF(L723&lt;&gt;"",L723+N723,"")</f>
        <v>36</v>
      </c>
      <c r="P723" s="114" t="n">
        <f aca="false">IF(O723&lt;&gt;"",O723*0.1,"")</f>
        <v>3.6</v>
      </c>
      <c r="Q723" s="116" t="n">
        <f aca="false">IF(O723&lt;&gt;"",O723+P723,"")</f>
        <v>39.6</v>
      </c>
      <c r="R723" s="84" t="s">
        <v>358</v>
      </c>
    </row>
    <row r="724" customFormat="false" ht="15" hidden="false" customHeight="true" outlineLevel="0" collapsed="false">
      <c r="A724" s="103" t="n">
        <v>56010</v>
      </c>
      <c r="B724" s="73" t="n">
        <v>46214</v>
      </c>
      <c r="C724" s="74" t="s">
        <v>441</v>
      </c>
      <c r="D724" s="75" t="n">
        <v>50232</v>
      </c>
      <c r="E724" s="52" t="str">
        <f aca="false">IF(D724&lt;&gt;"",IFERROR(VLOOKUP(D724,PROVEEDORES!$A:$B,2,0),"!COD NO ENCONTRADO"),"")</f>
        <v>XESTION NOVA LONXA RIVEIRA S.L.</v>
      </c>
      <c r="F724" s="76" t="str">
        <f aca="false">IF(D724&lt;&gt;"",IFERROR(VLOOKUP(D724,PROVEEDORES!$A:$C,3,0),""),"")</f>
        <v>S</v>
      </c>
      <c r="G724" s="75" t="s">
        <v>93</v>
      </c>
      <c r="H724" s="52" t="str">
        <f aca="false">IF(G724&lt;&gt;"",IFERROR(VLOOKUP(G724,PRODUCTOS!$A:$B,2,0),"!COD NO ENCONTRADO"),"")</f>
        <v>BOQUERON/ BOCARTE/ ANCHOA (ANE)</v>
      </c>
      <c r="I724" s="77" t="n">
        <v>23</v>
      </c>
      <c r="J724" s="78" t="n">
        <v>9308</v>
      </c>
      <c r="K724" s="109" t="n">
        <v>1.41</v>
      </c>
      <c r="L724" s="107" t="n">
        <f aca="false">IF(AND(J724&lt;&gt;"",K724&lt;&gt;""),J724*K724,"")</f>
        <v>13124.28</v>
      </c>
      <c r="M724" s="108" t="n">
        <f aca="false">IF(L724&lt;&gt;"",L724*1.1,"")</f>
        <v>14436.708</v>
      </c>
      <c r="N724" s="117" t="n">
        <f aca="false">IF(F724="S",L724*0.02,0)</f>
        <v>262.4856</v>
      </c>
      <c r="O724" s="115" t="n">
        <f aca="false">IF(L724&lt;&gt;"",L724+N724,"")</f>
        <v>13386.7656</v>
      </c>
      <c r="P724" s="117" t="n">
        <f aca="false">IF(O724&lt;&gt;"",O724*0.1,"")</f>
        <v>1338.67656</v>
      </c>
      <c r="Q724" s="116" t="n">
        <f aca="false">IF(O724&lt;&gt;"",O724+P724,"")</f>
        <v>14725.44216</v>
      </c>
      <c r="R724" s="84" t="s">
        <v>358</v>
      </c>
    </row>
    <row r="725" customFormat="false" ht="15" hidden="false" customHeight="true" outlineLevel="0" collapsed="false">
      <c r="A725" s="103" t="n">
        <v>56010</v>
      </c>
      <c r="B725" s="73" t="n">
        <v>46214</v>
      </c>
      <c r="C725" s="74" t="s">
        <v>441</v>
      </c>
      <c r="D725" s="75" t="n">
        <v>50232</v>
      </c>
      <c r="E725" s="46" t="str">
        <f aca="false">IF(D725&lt;&gt;"",IFERROR(VLOOKUP(D725,PROVEEDORES!$A:$B,2,0),"!COD NO ENCONTRADO"),"")</f>
        <v>XESTION NOVA LONXA RIVEIRA S.L.</v>
      </c>
      <c r="F725" s="88" t="str">
        <f aca="false">IF(D725&lt;&gt;"",IFERROR(VLOOKUP(D725,PROVEEDORES!$A:$C,3,0),""),"")</f>
        <v>S</v>
      </c>
      <c r="G725" s="87" t="s">
        <v>93</v>
      </c>
      <c r="H725" s="46" t="str">
        <f aca="false">IF(G725&lt;&gt;"",IFERROR(VLOOKUP(G725,PRODUCTOS!$A:$B,2,0),"!COD NO ENCONTRADO"),"")</f>
        <v>BOQUERON/ BOCARTE/ ANCHOA (ANE)</v>
      </c>
      <c r="I725" s="89" t="n">
        <v>1</v>
      </c>
      <c r="J725" s="90" t="n">
        <v>467</v>
      </c>
      <c r="K725" s="106" t="n">
        <v>1.48</v>
      </c>
      <c r="L725" s="107" t="n">
        <f aca="false">IF(AND(J725&lt;&gt;"",K725&lt;&gt;""),J725*K725,"")</f>
        <v>691.16</v>
      </c>
      <c r="M725" s="108" t="n">
        <f aca="false">IF(L725&lt;&gt;"",L725*1.1,"")</f>
        <v>760.276</v>
      </c>
      <c r="N725" s="114" t="n">
        <f aca="false">IF(F725="S",L725*0.02,0)</f>
        <v>13.8232</v>
      </c>
      <c r="O725" s="115" t="n">
        <f aca="false">IF(L725&lt;&gt;"",L725+N725,"")</f>
        <v>704.9832</v>
      </c>
      <c r="P725" s="114" t="n">
        <f aca="false">IF(O725&lt;&gt;"",O725*0.1,"")</f>
        <v>70.49832</v>
      </c>
      <c r="Q725" s="116" t="n">
        <f aca="false">IF(O725&lt;&gt;"",O725+P725,"")</f>
        <v>775.48152</v>
      </c>
      <c r="R725" s="84" t="s">
        <v>358</v>
      </c>
    </row>
    <row r="726" customFormat="false" ht="15" hidden="false" customHeight="true" outlineLevel="0" collapsed="false">
      <c r="A726" s="103" t="n">
        <v>56010</v>
      </c>
      <c r="B726" s="73" t="n">
        <v>46214</v>
      </c>
      <c r="C726" s="74" t="s">
        <v>441</v>
      </c>
      <c r="D726" s="75" t="n">
        <v>50232</v>
      </c>
      <c r="E726" s="52" t="str">
        <f aca="false">IF(D726&lt;&gt;"",IFERROR(VLOOKUP(D726,PROVEEDORES!$A:$B,2,0),"!COD NO ENCONTRADO"),"")</f>
        <v>XESTION NOVA LONXA RIVEIRA S.L.</v>
      </c>
      <c r="F726" s="76" t="str">
        <f aca="false">IF(D726&lt;&gt;"",IFERROR(VLOOKUP(D726,PROVEEDORES!$A:$C,3,0),""),"")</f>
        <v>S</v>
      </c>
      <c r="G726" s="75" t="s">
        <v>276</v>
      </c>
      <c r="H726" s="52" t="str">
        <f aca="false">IF(G726&lt;&gt;"",IFERROR(VLOOKUP(G726,PRODUCTOS!$A:$B,2,0),"!COD NO ENCONTRADO"),"")</f>
        <v>MERLUZA EUROPEA/ FINA DIA </v>
      </c>
      <c r="I726" s="77" t="n">
        <v>7</v>
      </c>
      <c r="J726" s="78" t="n">
        <v>47.7</v>
      </c>
      <c r="K726" s="109" t="n">
        <v>3</v>
      </c>
      <c r="L726" s="107" t="n">
        <f aca="false">IF(AND(J726&lt;&gt;"",K726&lt;&gt;""),J726*K726,"")</f>
        <v>143.1</v>
      </c>
      <c r="M726" s="108" t="n">
        <f aca="false">IF(L726&lt;&gt;"",L726*1.1,"")</f>
        <v>157.41</v>
      </c>
      <c r="N726" s="117" t="n">
        <f aca="false">IF(F726="S",L726*0.02,0)</f>
        <v>2.862</v>
      </c>
      <c r="O726" s="115" t="n">
        <f aca="false">IF(L726&lt;&gt;"",L726+N726,"")</f>
        <v>145.962</v>
      </c>
      <c r="P726" s="117" t="n">
        <f aca="false">IF(O726&lt;&gt;"",O726*0.1,"")</f>
        <v>14.5962</v>
      </c>
      <c r="Q726" s="116" t="n">
        <f aca="false">IF(O726&lt;&gt;"",O726+P726,"")</f>
        <v>160.5582</v>
      </c>
      <c r="R726" s="84" t="s">
        <v>358</v>
      </c>
    </row>
    <row r="727" customFormat="false" ht="15" hidden="false" customHeight="true" outlineLevel="0" collapsed="false">
      <c r="A727" s="103" t="n">
        <v>56010</v>
      </c>
      <c r="B727" s="73" t="n">
        <v>46214</v>
      </c>
      <c r="C727" s="74" t="s">
        <v>441</v>
      </c>
      <c r="D727" s="75" t="n">
        <v>50232</v>
      </c>
      <c r="E727" s="46" t="str">
        <f aca="false">IF(D727&lt;&gt;"",IFERROR(VLOOKUP(D727,PROVEEDORES!$A:$B,2,0),"!COD NO ENCONTRADO"),"")</f>
        <v>XESTION NOVA LONXA RIVEIRA S.L.</v>
      </c>
      <c r="F727" s="88" t="str">
        <f aca="false">IF(D727&lt;&gt;"",IFERROR(VLOOKUP(D727,PROVEEDORES!$A:$C,3,0),""),"")</f>
        <v>S</v>
      </c>
      <c r="G727" s="87" t="s">
        <v>326</v>
      </c>
      <c r="H727" s="46" t="str">
        <f aca="false">IF(G727&lt;&gt;"",IFERROR(VLOOKUP(G727,PRODUCTOS!$A:$B,2,0),"!COD NO ENCONTRADO"),"")</f>
        <v>SARGO RIA (SWA)</v>
      </c>
      <c r="I727" s="89" t="n">
        <v>3</v>
      </c>
      <c r="J727" s="90" t="n">
        <v>15.5</v>
      </c>
      <c r="K727" s="106" t="n">
        <v>11.8</v>
      </c>
      <c r="L727" s="107" t="n">
        <f aca="false">IF(AND(J727&lt;&gt;"",K727&lt;&gt;""),J727*K727,"")</f>
        <v>182.9</v>
      </c>
      <c r="M727" s="108" t="n">
        <f aca="false">IF(L727&lt;&gt;"",L727*1.1,"")</f>
        <v>201.19</v>
      </c>
      <c r="N727" s="114" t="n">
        <f aca="false">IF(F727="S",L727*0.02,0)</f>
        <v>3.658</v>
      </c>
      <c r="O727" s="115" t="n">
        <f aca="false">IF(L727&lt;&gt;"",L727+N727,"")</f>
        <v>186.558</v>
      </c>
      <c r="P727" s="114" t="n">
        <f aca="false">IF(O727&lt;&gt;"",O727*0.1,"")</f>
        <v>18.6558</v>
      </c>
      <c r="Q727" s="116" t="n">
        <f aca="false">IF(O727&lt;&gt;"",O727+P727,"")</f>
        <v>205.2138</v>
      </c>
      <c r="R727" s="84" t="s">
        <v>358</v>
      </c>
    </row>
    <row r="728" customFormat="false" ht="15" hidden="false" customHeight="true" outlineLevel="0" collapsed="false">
      <c r="A728" s="103" t="n">
        <v>56010</v>
      </c>
      <c r="B728" s="73" t="n">
        <v>46214</v>
      </c>
      <c r="C728" s="74" t="s">
        <v>441</v>
      </c>
      <c r="D728" s="75" t="n">
        <v>50232</v>
      </c>
      <c r="E728" s="52" t="str">
        <f aca="false">IF(D728&lt;&gt;"",IFERROR(VLOOKUP(D728,PROVEEDORES!$A:$B,2,0),"!COD NO ENCONTRADO"),"")</f>
        <v>XESTION NOVA LONXA RIVEIRA S.L.</v>
      </c>
      <c r="F728" s="76" t="str">
        <f aca="false">IF(D728&lt;&gt;"",IFERROR(VLOOKUP(D728,PROVEEDORES!$A:$C,3,0),""),"")</f>
        <v>S</v>
      </c>
      <c r="G728" s="75" t="s">
        <v>304</v>
      </c>
      <c r="H728" s="52" t="str">
        <f aca="false">IF(G728&lt;&gt;"",IFERROR(VLOOKUP(G728,PRODUCTOS!$A:$B,2,0),"!COD NO ENCONTRADO"),"")</f>
        <v>RAYA SPP (SKA)</v>
      </c>
      <c r="I728" s="77" t="n">
        <v>4</v>
      </c>
      <c r="J728" s="78" t="n">
        <v>21.2</v>
      </c>
      <c r="K728" s="109" t="n">
        <v>2</v>
      </c>
      <c r="L728" s="107" t="n">
        <f aca="false">IF(AND(J728&lt;&gt;"",K728&lt;&gt;""),J728*K728,"")</f>
        <v>42.4</v>
      </c>
      <c r="M728" s="108" t="n">
        <f aca="false">IF(L728&lt;&gt;"",L728*1.1,"")</f>
        <v>46.64</v>
      </c>
      <c r="N728" s="117" t="n">
        <f aca="false">IF(F728="S",L728*0.02,0)</f>
        <v>0.848</v>
      </c>
      <c r="O728" s="115" t="n">
        <f aca="false">IF(L728&lt;&gt;"",L728+N728,"")</f>
        <v>43.248</v>
      </c>
      <c r="P728" s="117" t="n">
        <f aca="false">IF(O728&lt;&gt;"",O728*0.1,"")</f>
        <v>4.3248</v>
      </c>
      <c r="Q728" s="116" t="n">
        <f aca="false">IF(O728&lt;&gt;"",O728+P728,"")</f>
        <v>47.5728</v>
      </c>
      <c r="R728" s="84" t="s">
        <v>358</v>
      </c>
    </row>
    <row r="729" customFormat="false" ht="15" hidden="false" customHeight="true" outlineLevel="0" collapsed="false">
      <c r="A729" s="103" t="n">
        <v>56010</v>
      </c>
      <c r="B729" s="73" t="n">
        <v>46214</v>
      </c>
      <c r="C729" s="74" t="s">
        <v>441</v>
      </c>
      <c r="D729" s="75" t="n">
        <v>50232</v>
      </c>
      <c r="E729" s="46" t="str">
        <f aca="false">IF(D729&lt;&gt;"",IFERROR(VLOOKUP(D729,PROVEEDORES!$A:$B,2,0),"!COD NO ENCONTRADO"),"")</f>
        <v>XESTION NOVA LONXA RIVEIRA S.L.</v>
      </c>
      <c r="F729" s="88" t="str">
        <f aca="false">IF(D729&lt;&gt;"",IFERROR(VLOOKUP(D729,PROVEEDORES!$A:$C,3,0),""),"")</f>
        <v>S</v>
      </c>
      <c r="G729" s="87" t="s">
        <v>304</v>
      </c>
      <c r="H729" s="46" t="str">
        <f aca="false">IF(G729&lt;&gt;"",IFERROR(VLOOKUP(G729,PRODUCTOS!$A:$B,2,0),"!COD NO ENCONTRADO"),"")</f>
        <v>RAYA SPP (SKA)</v>
      </c>
      <c r="I729" s="89" t="n">
        <v>4</v>
      </c>
      <c r="J729" s="90" t="n">
        <v>17.7</v>
      </c>
      <c r="K729" s="106" t="n">
        <v>2.4</v>
      </c>
      <c r="L729" s="107" t="n">
        <f aca="false">IF(AND(J729&lt;&gt;"",K729&lt;&gt;""),J729*K729,"")</f>
        <v>42.48</v>
      </c>
      <c r="M729" s="108" t="n">
        <f aca="false">IF(L729&lt;&gt;"",L729*1.1,"")</f>
        <v>46.728</v>
      </c>
      <c r="N729" s="114" t="n">
        <f aca="false">IF(F729="S",L729*0.02,0)</f>
        <v>0.8496</v>
      </c>
      <c r="O729" s="115" t="n">
        <f aca="false">IF(L729&lt;&gt;"",L729+N729,"")</f>
        <v>43.3296</v>
      </c>
      <c r="P729" s="114" t="n">
        <f aca="false">IF(O729&lt;&gt;"",O729*0.1,"")</f>
        <v>4.33296</v>
      </c>
      <c r="Q729" s="116" t="n">
        <f aca="false">IF(O729&lt;&gt;"",O729+P729,"")</f>
        <v>47.66256</v>
      </c>
      <c r="R729" s="84" t="s">
        <v>358</v>
      </c>
    </row>
    <row r="730" customFormat="false" ht="15" hidden="false" customHeight="true" outlineLevel="0" collapsed="false">
      <c r="A730" s="103" t="n">
        <v>56010</v>
      </c>
      <c r="B730" s="73" t="n">
        <v>46214</v>
      </c>
      <c r="C730" s="74" t="s">
        <v>441</v>
      </c>
      <c r="D730" s="75" t="n">
        <v>50232</v>
      </c>
      <c r="E730" s="52" t="str">
        <f aca="false">IF(D730&lt;&gt;"",IFERROR(VLOOKUP(D730,PROVEEDORES!$A:$B,2,0),"!COD NO ENCONTRADO"),"")</f>
        <v>XESTION NOVA LONXA RIVEIRA S.L.</v>
      </c>
      <c r="F730" s="76" t="str">
        <f aca="false">IF(D730&lt;&gt;"",IFERROR(VLOOKUP(D730,PROVEEDORES!$A:$C,3,0),""),"")</f>
        <v>S</v>
      </c>
      <c r="G730" s="75" t="s">
        <v>304</v>
      </c>
      <c r="H730" s="52" t="str">
        <f aca="false">IF(G730&lt;&gt;"",IFERROR(VLOOKUP(G730,PRODUCTOS!$A:$B,2,0),"!COD NO ENCONTRADO"),"")</f>
        <v>RAYA SPP (SKA)</v>
      </c>
      <c r="I730" s="77" t="n">
        <v>4</v>
      </c>
      <c r="J730" s="78" t="n">
        <v>59.3</v>
      </c>
      <c r="K730" s="109" t="n">
        <v>2</v>
      </c>
      <c r="L730" s="107" t="n">
        <f aca="false">IF(AND(J730&lt;&gt;"",K730&lt;&gt;""),J730*K730,"")</f>
        <v>118.6</v>
      </c>
      <c r="M730" s="108" t="n">
        <f aca="false">IF(L730&lt;&gt;"",L730*1.1,"")</f>
        <v>130.46</v>
      </c>
      <c r="N730" s="117" t="n">
        <f aca="false">IF(F730="S",L730*0.02,0)</f>
        <v>2.372</v>
      </c>
      <c r="O730" s="115" t="n">
        <f aca="false">IF(L730&lt;&gt;"",L730+N730,"")</f>
        <v>120.972</v>
      </c>
      <c r="P730" s="117" t="n">
        <f aca="false">IF(O730&lt;&gt;"",O730*0.1,"")</f>
        <v>12.0972</v>
      </c>
      <c r="Q730" s="116" t="n">
        <f aca="false">IF(O730&lt;&gt;"",O730+P730,"")</f>
        <v>133.0692</v>
      </c>
      <c r="R730" s="84" t="s">
        <v>358</v>
      </c>
    </row>
    <row r="731" customFormat="false" ht="15" hidden="false" customHeight="true" outlineLevel="0" collapsed="false">
      <c r="A731" s="103" t="n">
        <v>56010</v>
      </c>
      <c r="B731" s="73" t="n">
        <v>46214</v>
      </c>
      <c r="C731" s="74" t="s">
        <v>441</v>
      </c>
      <c r="D731" s="75" t="n">
        <v>50232</v>
      </c>
      <c r="E731" s="46" t="str">
        <f aca="false">IF(D731&lt;&gt;"",IFERROR(VLOOKUP(D731,PROVEEDORES!$A:$B,2,0),"!COD NO ENCONTRADO"),"")</f>
        <v>XESTION NOVA LONXA RIVEIRA S.L.</v>
      </c>
      <c r="F731" s="88" t="str">
        <f aca="false">IF(D731&lt;&gt;"",IFERROR(VLOOKUP(D731,PROVEEDORES!$A:$C,3,0),""),"")</f>
        <v>S</v>
      </c>
      <c r="G731" s="87" t="s">
        <v>304</v>
      </c>
      <c r="H731" s="46" t="str">
        <f aca="false">IF(G731&lt;&gt;"",IFERROR(VLOOKUP(G731,PRODUCTOS!$A:$B,2,0),"!COD NO ENCONTRADO"),"")</f>
        <v>RAYA SPP (SKA)</v>
      </c>
      <c r="I731" s="89" t="n">
        <v>9</v>
      </c>
      <c r="J731" s="90" t="n">
        <v>101.1</v>
      </c>
      <c r="K731" s="106" t="n">
        <v>2.4</v>
      </c>
      <c r="L731" s="107" t="n">
        <f aca="false">IF(AND(J731&lt;&gt;"",K731&lt;&gt;""),J731*K731,"")</f>
        <v>242.64</v>
      </c>
      <c r="M731" s="108" t="n">
        <f aca="false">IF(L731&lt;&gt;"",L731*1.1,"")</f>
        <v>266.904</v>
      </c>
      <c r="N731" s="114" t="n">
        <f aca="false">IF(F731="S",L731*0.02,0)</f>
        <v>4.8528</v>
      </c>
      <c r="O731" s="115" t="n">
        <f aca="false">IF(L731&lt;&gt;"",L731+N731,"")</f>
        <v>247.4928</v>
      </c>
      <c r="P731" s="114" t="n">
        <f aca="false">IF(O731&lt;&gt;"",O731*0.1,"")</f>
        <v>24.74928</v>
      </c>
      <c r="Q731" s="116" t="n">
        <f aca="false">IF(O731&lt;&gt;"",O731+P731,"")</f>
        <v>272.24208</v>
      </c>
      <c r="R731" s="84" t="s">
        <v>358</v>
      </c>
    </row>
    <row r="732" customFormat="false" ht="15" hidden="false" customHeight="true" outlineLevel="0" collapsed="false">
      <c r="A732" s="103" t="n">
        <v>56010</v>
      </c>
      <c r="B732" s="73" t="n">
        <v>46214</v>
      </c>
      <c r="C732" s="74" t="s">
        <v>441</v>
      </c>
      <c r="D732" s="75" t="n">
        <v>50232</v>
      </c>
      <c r="E732" s="52" t="str">
        <f aca="false">IF(D732&lt;&gt;"",IFERROR(VLOOKUP(D732,PROVEEDORES!$A:$B,2,0),"!COD NO ENCONTRADO"),"")</f>
        <v>XESTION NOVA LONXA RIVEIRA S.L.</v>
      </c>
      <c r="F732" s="76" t="str">
        <f aca="false">IF(D732&lt;&gt;"",IFERROR(VLOOKUP(D732,PROVEEDORES!$A:$C,3,0),""),"")</f>
        <v>S</v>
      </c>
      <c r="G732" s="75" t="s">
        <v>179</v>
      </c>
      <c r="H732" s="46" t="str">
        <f aca="false">IF(G732&lt;&gt;"",IFERROR(VLOOKUP(G732,PRODUCTOS!$A:$B,2,0),"!COD NO ENCONTRADO"),"")</f>
        <v>LIRIO/ BACALADILLA/ PERLA (WHB)</v>
      </c>
      <c r="I732" s="77" t="n">
        <v>1</v>
      </c>
      <c r="J732" s="78" t="n">
        <v>485</v>
      </c>
      <c r="K732" s="113" t="n">
        <v>1.2</v>
      </c>
      <c r="L732" s="107" t="n">
        <f aca="false">IF(AND(J732&lt;&gt;"",K732&lt;&gt;""),J732*K732,"")</f>
        <v>582</v>
      </c>
      <c r="M732" s="108" t="n">
        <f aca="false">IF(L732&lt;&gt;"",L732*1.1,"")</f>
        <v>640.2</v>
      </c>
      <c r="N732" s="117" t="n">
        <f aca="false">IF(F732="S",L732*0.02,0)</f>
        <v>11.64</v>
      </c>
      <c r="O732" s="115" t="n">
        <f aca="false">IF(L732&lt;&gt;"",L732+N732,"")</f>
        <v>593.64</v>
      </c>
      <c r="P732" s="117" t="n">
        <f aca="false">IF(O732&lt;&gt;"",O732*0.1,"")</f>
        <v>59.364</v>
      </c>
      <c r="Q732" s="116" t="n">
        <f aca="false">IF(O732&lt;&gt;"",O732+P732,"")</f>
        <v>653.004</v>
      </c>
      <c r="R732" s="84" t="s">
        <v>358</v>
      </c>
    </row>
    <row r="733" customFormat="false" ht="15" hidden="false" customHeight="true" outlineLevel="0" collapsed="false">
      <c r="A733" s="103" t="n">
        <v>56010</v>
      </c>
      <c r="B733" s="73" t="n">
        <v>46214</v>
      </c>
      <c r="C733" s="74" t="s">
        <v>441</v>
      </c>
      <c r="D733" s="75" t="n">
        <v>50232</v>
      </c>
      <c r="E733" s="46" t="str">
        <f aca="false">IF(D733&lt;&gt;"",IFERROR(VLOOKUP(D733,PROVEEDORES!$A:$B,2,0),"!COD NO ENCONTRADO"),"")</f>
        <v>XESTION NOVA LONXA RIVEIRA S.L.</v>
      </c>
      <c r="F733" s="88" t="str">
        <f aca="false">IF(D733&lt;&gt;"",IFERROR(VLOOKUP(D733,PROVEEDORES!$A:$C,3,0),""),"")</f>
        <v>S</v>
      </c>
      <c r="G733" s="87" t="s">
        <v>179</v>
      </c>
      <c r="H733" s="46" t="str">
        <f aca="false">IF(G733&lt;&gt;"",IFERROR(VLOOKUP(G733,PRODUCTOS!$A:$B,2,0),"!COD NO ENCONTRADO"),"")</f>
        <v>LIRIO/ BACALADILLA/ PERLA (WHB)</v>
      </c>
      <c r="I733" s="89" t="n">
        <v>1</v>
      </c>
      <c r="J733" s="90" t="n">
        <v>282.9</v>
      </c>
      <c r="K733" s="113" t="n">
        <v>1.4</v>
      </c>
      <c r="L733" s="107" t="n">
        <f aca="false">IF(AND(J733&lt;&gt;"",K733&lt;&gt;""),J733*K733,"")</f>
        <v>396.06</v>
      </c>
      <c r="M733" s="108" t="n">
        <f aca="false">IF(L733&lt;&gt;"",L733*1.1,"")</f>
        <v>435.666</v>
      </c>
      <c r="N733" s="114" t="n">
        <f aca="false">IF(F733="S",L733*0.02,0)</f>
        <v>7.9212</v>
      </c>
      <c r="O733" s="115" t="n">
        <f aca="false">IF(L733&lt;&gt;"",L733+N733,"")</f>
        <v>403.9812</v>
      </c>
      <c r="P733" s="114" t="n">
        <f aca="false">IF(O733&lt;&gt;"",O733*0.1,"")</f>
        <v>40.39812</v>
      </c>
      <c r="Q733" s="116" t="n">
        <f aca="false">IF(O733&lt;&gt;"",O733+P733,"")</f>
        <v>444.37932</v>
      </c>
      <c r="R733" s="84" t="s">
        <v>358</v>
      </c>
    </row>
    <row r="734" customFormat="false" ht="15" hidden="false" customHeight="true" outlineLevel="0" collapsed="false">
      <c r="A734" s="103" t="n">
        <v>56010</v>
      </c>
      <c r="B734" s="73" t="n">
        <v>46214</v>
      </c>
      <c r="C734" s="74" t="s">
        <v>441</v>
      </c>
      <c r="D734" s="75" t="n">
        <v>50232</v>
      </c>
      <c r="E734" s="52" t="str">
        <f aca="false">IF(D734&lt;&gt;"",IFERROR(VLOOKUP(D734,PROVEEDORES!$A:$B,2,0),"!COD NO ENCONTRADO"),"")</f>
        <v>XESTION NOVA LONXA RIVEIRA S.L.</v>
      </c>
      <c r="F734" s="76" t="str">
        <f aca="false">IF(D734&lt;&gt;"",IFERROR(VLOOKUP(D734,PROVEEDORES!$A:$C,3,0),""),"")</f>
        <v>S</v>
      </c>
      <c r="G734" s="75" t="s">
        <v>304</v>
      </c>
      <c r="H734" s="52" t="str">
        <f aca="false">IF(G734&lt;&gt;"",IFERROR(VLOOKUP(G734,PRODUCTOS!$A:$B,2,0),"!COD NO ENCONTRADO"),"")</f>
        <v>RAYA SPP (SKA)</v>
      </c>
      <c r="I734" s="77" t="n">
        <v>3</v>
      </c>
      <c r="J734" s="78" t="n">
        <v>10.2</v>
      </c>
      <c r="K734" s="109" t="n">
        <v>2</v>
      </c>
      <c r="L734" s="107" t="n">
        <f aca="false">IF(AND(J734&lt;&gt;"",K734&lt;&gt;""),J734*K734,"")</f>
        <v>20.4</v>
      </c>
      <c r="M734" s="108" t="n">
        <f aca="false">IF(L734&lt;&gt;"",L734*1.1,"")</f>
        <v>22.44</v>
      </c>
      <c r="N734" s="117" t="n">
        <f aca="false">IF(F734="S",L734*0.02,0)</f>
        <v>0.408</v>
      </c>
      <c r="O734" s="115" t="n">
        <f aca="false">IF(L734&lt;&gt;"",L734+N734,"")</f>
        <v>20.808</v>
      </c>
      <c r="P734" s="117" t="n">
        <f aca="false">IF(O734&lt;&gt;"",O734*0.1,"")</f>
        <v>2.0808</v>
      </c>
      <c r="Q734" s="116" t="n">
        <f aca="false">IF(O734&lt;&gt;"",O734+P734,"")</f>
        <v>22.8888</v>
      </c>
      <c r="R734" s="84" t="s">
        <v>358</v>
      </c>
    </row>
    <row r="735" customFormat="false" ht="15" hidden="false" customHeight="true" outlineLevel="0" collapsed="false">
      <c r="A735" s="103" t="n">
        <v>56010</v>
      </c>
      <c r="B735" s="73" t="n">
        <v>46214</v>
      </c>
      <c r="C735" s="74" t="s">
        <v>441</v>
      </c>
      <c r="D735" s="75" t="n">
        <v>50232</v>
      </c>
      <c r="E735" s="52" t="str">
        <f aca="false">IF(D735&lt;&gt;"",IFERROR(VLOOKUP(D735,PROVEEDORES!$A:$B,2,0),"!COD NO ENCONTRADO"),"")</f>
        <v>XESTION NOVA LONXA RIVEIRA S.L.</v>
      </c>
      <c r="F735" s="76" t="str">
        <f aca="false">IF(D735&lt;&gt;"",IFERROR(VLOOKUP(D735,PROVEEDORES!$A:$C,3,0),""),"")</f>
        <v>S</v>
      </c>
      <c r="G735" s="75" t="s">
        <v>304</v>
      </c>
      <c r="H735" s="46" t="str">
        <f aca="false">IF(G735&lt;&gt;"",IFERROR(VLOOKUP(G735,PRODUCTOS!$A:$B,2,0),"!COD NO ENCONTRADO"),"")</f>
        <v>RAYA SPP (SKA)</v>
      </c>
      <c r="I735" s="89" t="n">
        <v>1</v>
      </c>
      <c r="J735" s="90" t="n">
        <v>4.2</v>
      </c>
      <c r="K735" s="106" t="n">
        <v>2.4</v>
      </c>
      <c r="L735" s="107" t="n">
        <f aca="false">IF(AND(J735&lt;&gt;"",K735&lt;&gt;""),J735*K735,"")</f>
        <v>10.08</v>
      </c>
      <c r="M735" s="108" t="n">
        <f aca="false">IF(L735&lt;&gt;"",L735*1.1,"")</f>
        <v>11.088</v>
      </c>
      <c r="N735" s="114" t="n">
        <f aca="false">IF(F735="S",L735*0.02,0)</f>
        <v>0.2016</v>
      </c>
      <c r="O735" s="115" t="n">
        <f aca="false">IF(L735&lt;&gt;"",L735+N735,"")</f>
        <v>10.2816</v>
      </c>
      <c r="P735" s="114" t="n">
        <f aca="false">IF(O735&lt;&gt;"",O735*0.1,"")</f>
        <v>1.02816</v>
      </c>
      <c r="Q735" s="116" t="n">
        <f aca="false">IF(O735&lt;&gt;"",O735+P735,"")</f>
        <v>11.30976</v>
      </c>
      <c r="R735" s="84" t="s">
        <v>358</v>
      </c>
    </row>
    <row r="736" customFormat="false" ht="15" hidden="false" customHeight="true" outlineLevel="0" collapsed="false">
      <c r="A736" s="103" t="n">
        <v>56011</v>
      </c>
      <c r="B736" s="73" t="n">
        <v>46214</v>
      </c>
      <c r="C736" s="74" t="n">
        <v>19204</v>
      </c>
      <c r="D736" s="75" t="n">
        <v>50163</v>
      </c>
      <c r="E736" s="104" t="str">
        <f aca="false">IF(D736&lt;&gt;"",IFERROR(VLOOKUP(D736,PROVEEDORES!$A:$B,2,0),"!COD NO ENCONTRADO"),"")</f>
        <v>SUBASTAS RIVERA S.L.</v>
      </c>
      <c r="F736" s="122" t="str">
        <f aca="false">IF(D736&lt;&gt;"",IFERROR(VLOOKUP(D736,PROVEEDORES!$A:$C,3,0),""),"")</f>
        <v>S</v>
      </c>
      <c r="G736" s="111" t="s">
        <v>135</v>
      </c>
      <c r="H736" s="52" t="str">
        <f aca="false">IF(G736&lt;&gt;"",IFERROR(VLOOKUP(G736,PRODUCTOS!$A:$B,2,0),"!COD NO ENCONTRADO"),"")</f>
        <v>CONGRIO 10+  (COE)</v>
      </c>
      <c r="I736" s="77" t="n">
        <v>2</v>
      </c>
      <c r="J736" s="78" t="n">
        <v>29.25</v>
      </c>
      <c r="K736" s="109" t="n">
        <v>3.3</v>
      </c>
      <c r="L736" s="107" t="n">
        <f aca="false">IF(AND(J736&lt;&gt;"",K736&lt;&gt;""),J736*K736,"")</f>
        <v>96.525</v>
      </c>
      <c r="M736" s="108" t="n">
        <f aca="false">IF(L736&lt;&gt;"",L736*1.1,"")</f>
        <v>106.1775</v>
      </c>
      <c r="N736" s="117" t="n">
        <f aca="false">IF(F736="S",L736*0.02,0)</f>
        <v>1.9305</v>
      </c>
      <c r="O736" s="115" t="n">
        <f aca="false">IF(L736&lt;&gt;"",L736+N736,"")</f>
        <v>98.4555</v>
      </c>
      <c r="P736" s="117" t="n">
        <f aca="false">IF(O736&lt;&gt;"",O736*0.1,"")</f>
        <v>9.84555</v>
      </c>
      <c r="Q736" s="116" t="n">
        <f aca="false">IF(O736&lt;&gt;"",O736+P736,"")</f>
        <v>108.30105</v>
      </c>
      <c r="R736" s="84" t="s">
        <v>358</v>
      </c>
    </row>
    <row r="737" customFormat="false" ht="15" hidden="false" customHeight="true" outlineLevel="0" collapsed="false">
      <c r="A737" s="103" t="n">
        <v>56011</v>
      </c>
      <c r="B737" s="85" t="n">
        <v>46214</v>
      </c>
      <c r="C737" s="74" t="n">
        <v>19204</v>
      </c>
      <c r="D737" s="87" t="n">
        <v>50163</v>
      </c>
      <c r="E737" s="104" t="str">
        <f aca="false">IF(D737&lt;&gt;"",IFERROR(VLOOKUP(D737,PROVEEDORES!$A:$B,2,0),"!COD NO ENCONTRADO"),"")</f>
        <v>SUBASTAS RIVERA S.L.</v>
      </c>
      <c r="F737" s="122" t="str">
        <f aca="false">IF(D737&lt;&gt;"",IFERROR(VLOOKUP(D737,PROVEEDORES!$A:$C,3,0),""),"")</f>
        <v>S</v>
      </c>
      <c r="G737" s="111" t="s">
        <v>135</v>
      </c>
      <c r="H737" s="104" t="str">
        <f aca="false">IF(G737&lt;&gt;"",IFERROR(VLOOKUP(G737,PRODUCTOS!$A:$B,2,0),"!COD NO ENCONTRADO"),"")</f>
        <v>CONGRIO 10+  (COE)</v>
      </c>
      <c r="I737" s="112" t="n">
        <v>1</v>
      </c>
      <c r="J737" s="105" t="n">
        <v>14</v>
      </c>
      <c r="K737" s="113" t="n">
        <v>2.75</v>
      </c>
      <c r="L737" s="107" t="n">
        <f aca="false">IF(AND(J737&lt;&gt;"",K737&lt;&gt;""),J737*K737,"")</f>
        <v>38.5</v>
      </c>
      <c r="M737" s="108" t="n">
        <f aca="false">IF(L737&lt;&gt;"",L737*1.1,"")</f>
        <v>42.35</v>
      </c>
      <c r="N737" s="114" t="n">
        <f aca="false">IF(F737="S",L737*0.02,0)</f>
        <v>0.77</v>
      </c>
      <c r="O737" s="115" t="n">
        <f aca="false">IF(L737&lt;&gt;"",L737+N737,"")</f>
        <v>39.27</v>
      </c>
      <c r="P737" s="114" t="n">
        <f aca="false">IF(O737&lt;&gt;"",O737*0.1,"")</f>
        <v>3.927</v>
      </c>
      <c r="Q737" s="116" t="n">
        <f aca="false">IF(O737&lt;&gt;"",O737+P737,"")</f>
        <v>43.197</v>
      </c>
      <c r="R737" s="84" t="s">
        <v>358</v>
      </c>
    </row>
    <row r="738" customFormat="false" ht="15" hidden="false" customHeight="true" outlineLevel="0" collapsed="false">
      <c r="A738" s="103" t="n">
        <v>56011</v>
      </c>
      <c r="B738" s="73" t="n">
        <v>46214</v>
      </c>
      <c r="C738" s="74" t="n">
        <v>19204</v>
      </c>
      <c r="D738" s="75" t="n">
        <v>50163</v>
      </c>
      <c r="E738" s="104" t="str">
        <f aca="false">IF(D738&lt;&gt;"",IFERROR(VLOOKUP(D738,PROVEEDORES!$A:$B,2,0),"!COD NO ENCONTRADO"),"")</f>
        <v>SUBASTAS RIVERA S.L.</v>
      </c>
      <c r="F738" s="122" t="str">
        <f aca="false">IF(D738&lt;&gt;"",IFERROR(VLOOKUP(D738,PROVEEDORES!$A:$C,3,0),""),"")</f>
        <v>S</v>
      </c>
      <c r="G738" s="111" t="s">
        <v>316</v>
      </c>
      <c r="H738" s="104" t="str">
        <f aca="false">IF(G738&lt;&gt;"",IFERROR(VLOOKUP(G738,PRODUCTOS!$A:$B,2,0),"!COD NO ENCONTRADO"),"")</f>
        <v>SALMONETE ROCA (MUR)</v>
      </c>
      <c r="I738" s="112" t="n">
        <v>0.75</v>
      </c>
      <c r="J738" s="105" t="n">
        <v>0.75</v>
      </c>
      <c r="K738" s="113" t="n">
        <v>10.2</v>
      </c>
      <c r="L738" s="107" t="n">
        <f aca="false">IF(AND(J738&lt;&gt;"",K738&lt;&gt;""),J738*K738,"")</f>
        <v>7.65</v>
      </c>
      <c r="M738" s="108" t="n">
        <f aca="false">IF(L738&lt;&gt;"",L738*1.1,"")</f>
        <v>8.415</v>
      </c>
      <c r="N738" s="117" t="n">
        <f aca="false">IF(F738="S",L738*0.02,0)</f>
        <v>0.153</v>
      </c>
      <c r="O738" s="115" t="n">
        <f aca="false">IF(L738&lt;&gt;"",L738+N738,"")</f>
        <v>7.803</v>
      </c>
      <c r="P738" s="117" t="n">
        <f aca="false">IF(O738&lt;&gt;"",O738*0.1,"")</f>
        <v>0.7803</v>
      </c>
      <c r="Q738" s="116" t="n">
        <f aca="false">IF(O738&lt;&gt;"",O738+P738,"")</f>
        <v>8.5833</v>
      </c>
      <c r="R738" s="84" t="s">
        <v>358</v>
      </c>
    </row>
    <row r="739" customFormat="false" ht="15" hidden="false" customHeight="true" outlineLevel="0" collapsed="false">
      <c r="A739" s="103" t="n">
        <v>56011</v>
      </c>
      <c r="B739" s="85" t="n">
        <v>46214</v>
      </c>
      <c r="C739" s="74" t="n">
        <v>19204</v>
      </c>
      <c r="D739" s="87" t="n">
        <v>50163</v>
      </c>
      <c r="E739" s="104" t="str">
        <f aca="false">IF(D739&lt;&gt;"",IFERROR(VLOOKUP(D739,PROVEEDORES!$A:$B,2,0),"!COD NO ENCONTRADO"),"")</f>
        <v>SUBASTAS RIVERA S.L.</v>
      </c>
      <c r="F739" s="122" t="str">
        <f aca="false">IF(D739&lt;&gt;"",IFERROR(VLOOKUP(D739,PROVEEDORES!$A:$C,3,0),""),"")</f>
        <v>S</v>
      </c>
      <c r="G739" s="111" t="s">
        <v>133</v>
      </c>
      <c r="H739" s="104" t="str">
        <f aca="false">IF(G739&lt;&gt;"",IFERROR(VLOOKUP(G739,PRODUCTOS!$A:$B,2,0),"!COD NO ENCONTRADO"),"")</f>
        <v>CINTAS/ PEZ CINTA (CBC)</v>
      </c>
      <c r="I739" s="112" t="n">
        <v>2</v>
      </c>
      <c r="J739" s="105" t="n">
        <f aca="false">7.25+7.75</f>
        <v>15</v>
      </c>
      <c r="K739" s="113" t="n">
        <v>2.4</v>
      </c>
      <c r="L739" s="107" t="n">
        <f aca="false">IF(AND(J739&lt;&gt;"",K739&lt;&gt;""),J739*K739,"")</f>
        <v>36</v>
      </c>
      <c r="M739" s="108" t="n">
        <f aca="false">IF(L739&lt;&gt;"",L739*1.1,"")</f>
        <v>39.6</v>
      </c>
      <c r="N739" s="114" t="n">
        <f aca="false">IF(F739="S",L739*0.02,0)</f>
        <v>0.72</v>
      </c>
      <c r="O739" s="115" t="n">
        <f aca="false">IF(L739&lt;&gt;"",L739+N739,"")</f>
        <v>36.72</v>
      </c>
      <c r="P739" s="114" t="n">
        <f aca="false">IF(O739&lt;&gt;"",O739*0.1,"")</f>
        <v>3.672</v>
      </c>
      <c r="Q739" s="116" t="n">
        <f aca="false">IF(O739&lt;&gt;"",O739+P739,"")</f>
        <v>40.392</v>
      </c>
      <c r="R739" s="84" t="s">
        <v>358</v>
      </c>
    </row>
    <row r="740" customFormat="false" ht="15" hidden="false" customHeight="true" outlineLevel="0" collapsed="false">
      <c r="A740" s="103" t="n">
        <v>56011</v>
      </c>
      <c r="B740" s="73" t="n">
        <v>46214</v>
      </c>
      <c r="C740" s="74" t="n">
        <v>19204</v>
      </c>
      <c r="D740" s="75" t="n">
        <v>50163</v>
      </c>
      <c r="E740" s="104" t="str">
        <f aca="false">IF(D740&lt;&gt;"",IFERROR(VLOOKUP(D740,PROVEEDORES!$A:$B,2,0),"!COD NO ENCONTRADO"),"")</f>
        <v>SUBASTAS RIVERA S.L.</v>
      </c>
      <c r="F740" s="122" t="str">
        <f aca="false">IF(D740&lt;&gt;"",IFERROR(VLOOKUP(D740,PROVEEDORES!$A:$C,3,0),""),"")</f>
        <v>S</v>
      </c>
      <c r="G740" s="111" t="s">
        <v>233</v>
      </c>
      <c r="H740" s="104" t="str">
        <f aca="false">IF(G740&lt;&gt;"",IFERROR(VLOOKUP(G740,PRODUCTOS!$A:$B,2,0),"!COD NO ENCONTRADO"),"")</f>
        <v>MERLUZA EUROPEA VOLANTA COSTA</v>
      </c>
      <c r="I740" s="112" t="n">
        <v>1</v>
      </c>
      <c r="J740" s="105" t="n">
        <v>6</v>
      </c>
      <c r="K740" s="113" t="n">
        <v>3.2</v>
      </c>
      <c r="L740" s="107" t="n">
        <f aca="false">IF(AND(J740&lt;&gt;"",K740&lt;&gt;""),J740*K740,"")</f>
        <v>19.2</v>
      </c>
      <c r="M740" s="108" t="n">
        <f aca="false">IF(L740&lt;&gt;"",L740*1.1,"")</f>
        <v>21.12</v>
      </c>
      <c r="N740" s="117" t="n">
        <f aca="false">IF(F740="S",L740*0.02,0)</f>
        <v>0.384</v>
      </c>
      <c r="O740" s="115" t="n">
        <f aca="false">IF(L740&lt;&gt;"",L740+N740,"")</f>
        <v>19.584</v>
      </c>
      <c r="P740" s="117" t="n">
        <f aca="false">IF(O740&lt;&gt;"",O740*0.1,"")</f>
        <v>1.9584</v>
      </c>
      <c r="Q740" s="116" t="n">
        <f aca="false">IF(O740&lt;&gt;"",O740+P740,"")</f>
        <v>21.5424</v>
      </c>
      <c r="R740" s="84" t="s">
        <v>358</v>
      </c>
    </row>
    <row r="741" customFormat="false" ht="15" hidden="false" customHeight="true" outlineLevel="0" collapsed="false">
      <c r="A741" s="103" t="n">
        <v>56011</v>
      </c>
      <c r="B741" s="85" t="n">
        <v>46214</v>
      </c>
      <c r="C741" s="74" t="n">
        <v>19204</v>
      </c>
      <c r="D741" s="87" t="n">
        <v>50163</v>
      </c>
      <c r="E741" s="104" t="str">
        <f aca="false">IF(D741&lt;&gt;"",IFERROR(VLOOKUP(D741,PROVEEDORES!$A:$B,2,0),"!COD NO ENCONTRADO"),"")</f>
        <v>SUBASTAS RIVERA S.L.</v>
      </c>
      <c r="F741" s="122" t="str">
        <f aca="false">IF(D741&lt;&gt;"",IFERROR(VLOOKUP(D741,PROVEEDORES!$A:$C,3,0),""),"")</f>
        <v>S</v>
      </c>
      <c r="G741" s="111" t="s">
        <v>276</v>
      </c>
      <c r="H741" s="46" t="str">
        <f aca="false">IF(G741&lt;&gt;"",IFERROR(VLOOKUP(G741,PRODUCTOS!$A:$B,2,0),"!COD NO ENCONTRADO"),"")</f>
        <v>MERLUZA EUROPEA/ FINA DIA </v>
      </c>
      <c r="I741" s="112" t="n">
        <v>8</v>
      </c>
      <c r="J741" s="105" t="n">
        <v>38.5</v>
      </c>
      <c r="K741" s="113" t="n">
        <v>1.6</v>
      </c>
      <c r="L741" s="107" t="n">
        <f aca="false">IF(AND(J741&lt;&gt;"",K741&lt;&gt;""),J741*K741,"")</f>
        <v>61.6</v>
      </c>
      <c r="M741" s="108" t="n">
        <f aca="false">IF(L741&lt;&gt;"",L741*1.1,"")</f>
        <v>67.76</v>
      </c>
      <c r="N741" s="114" t="n">
        <f aca="false">IF(F741="S",L741*0.02,0)</f>
        <v>1.232</v>
      </c>
      <c r="O741" s="115" t="n">
        <f aca="false">IF(L741&lt;&gt;"",L741+N741,"")</f>
        <v>62.832</v>
      </c>
      <c r="P741" s="114" t="n">
        <f aca="false">IF(O741&lt;&gt;"",O741*0.1,"")</f>
        <v>6.2832</v>
      </c>
      <c r="Q741" s="116" t="n">
        <f aca="false">IF(O741&lt;&gt;"",O741+P741,"")</f>
        <v>69.1152</v>
      </c>
      <c r="R741" s="84" t="s">
        <v>358</v>
      </c>
    </row>
    <row r="742" customFormat="false" ht="15" hidden="false" customHeight="true" outlineLevel="0" collapsed="false">
      <c r="A742" s="103" t="n">
        <v>56011</v>
      </c>
      <c r="B742" s="73" t="n">
        <v>46214</v>
      </c>
      <c r="C742" s="74" t="n">
        <v>19204</v>
      </c>
      <c r="D742" s="75" t="n">
        <v>50163</v>
      </c>
      <c r="E742" s="104" t="str">
        <f aca="false">IF(D742&lt;&gt;"",IFERROR(VLOOKUP(D742,PROVEEDORES!$A:$B,2,0),"!COD NO ENCONTRADO"),"")</f>
        <v>SUBASTAS RIVERA S.L.</v>
      </c>
      <c r="F742" s="122" t="str">
        <f aca="false">IF(D742&lt;&gt;"",IFERROR(VLOOKUP(D742,PROVEEDORES!$A:$C,3,0),""),"")</f>
        <v>S</v>
      </c>
      <c r="G742" s="111" t="s">
        <v>316</v>
      </c>
      <c r="H742" s="104" t="str">
        <f aca="false">IF(G742&lt;&gt;"",IFERROR(VLOOKUP(G742,PRODUCTOS!$A:$B,2,0),"!COD NO ENCONTRADO"),"")</f>
        <v>SALMONETE ROCA (MUR)</v>
      </c>
      <c r="I742" s="112" t="n">
        <v>1</v>
      </c>
      <c r="J742" s="105" t="n">
        <v>4.6</v>
      </c>
      <c r="K742" s="113" t="n">
        <v>16.6</v>
      </c>
      <c r="L742" s="107" t="n">
        <f aca="false">IF(AND(J742&lt;&gt;"",K742&lt;&gt;""),J742*K742,"")</f>
        <v>76.36</v>
      </c>
      <c r="M742" s="108" t="n">
        <f aca="false">IF(L742&lt;&gt;"",L742*1.1,"")</f>
        <v>83.996</v>
      </c>
      <c r="N742" s="117" t="n">
        <f aca="false">IF(F742="S",L742*0.02,0)</f>
        <v>1.5272</v>
      </c>
      <c r="O742" s="115" t="n">
        <f aca="false">IF(L742&lt;&gt;"",L742+N742,"")</f>
        <v>77.8872</v>
      </c>
      <c r="P742" s="117" t="n">
        <f aca="false">IF(O742&lt;&gt;"",O742*0.1,"")</f>
        <v>7.78872</v>
      </c>
      <c r="Q742" s="116" t="n">
        <f aca="false">IF(O742&lt;&gt;"",O742+P742,"")</f>
        <v>85.67592</v>
      </c>
      <c r="R742" s="84" t="s">
        <v>358</v>
      </c>
    </row>
    <row r="743" customFormat="false" ht="15" hidden="false" customHeight="true" outlineLevel="0" collapsed="false">
      <c r="A743" s="103" t="n">
        <v>56012</v>
      </c>
      <c r="B743" s="73" t="n">
        <v>46214</v>
      </c>
      <c r="C743" s="74" t="n">
        <v>16505</v>
      </c>
      <c r="D743" s="75" t="n">
        <v>50160</v>
      </c>
      <c r="E743" s="52" t="str">
        <f aca="false">IF(D743&lt;&gt;"",IFERROR(VLOOKUP(D743,PROVEEDORES!$A:$B,2,0),"!COD NO ENCONTRADO"),"")</f>
        <v>SUBASTAS CORUÑA S.L.</v>
      </c>
      <c r="F743" s="76" t="str">
        <f aca="false">IF(D743&lt;&gt;"",IFERROR(VLOOKUP(D743,PROVEEDORES!$A:$C,3,0),""),"")</f>
        <v>S</v>
      </c>
      <c r="G743" s="75" t="s">
        <v>233</v>
      </c>
      <c r="H743" s="52" t="str">
        <f aca="false">IF(G743&lt;&gt;"",IFERROR(VLOOKUP(G743,PRODUCTOS!$A:$B,2,0),"!COD NO ENCONTRADO"),"")</f>
        <v>MERLUZA EUROPEA VOLANTA COSTA</v>
      </c>
      <c r="I743" s="77" t="n">
        <v>5</v>
      </c>
      <c r="J743" s="78" t="n">
        <v>82.25</v>
      </c>
      <c r="K743" s="109" t="n">
        <v>5.2</v>
      </c>
      <c r="L743" s="107" t="n">
        <f aca="false">IF(AND(J743&lt;&gt;"",K743&lt;&gt;""),J743*K743,"")</f>
        <v>427.7</v>
      </c>
      <c r="M743" s="108" t="n">
        <f aca="false">IF(L743&lt;&gt;"",L743*1.1,"")</f>
        <v>470.47</v>
      </c>
      <c r="N743" s="117" t="n">
        <f aca="false">IF(F743="S",L743*0.02,0)</f>
        <v>8.554</v>
      </c>
      <c r="O743" s="115" t="n">
        <f aca="false">IF(L743&lt;&gt;"",L743+N743,"")</f>
        <v>436.254</v>
      </c>
      <c r="P743" s="117" t="n">
        <f aca="false">IF(O743&lt;&gt;"",O743*0.1,"")</f>
        <v>43.6254</v>
      </c>
      <c r="Q743" s="116" t="n">
        <f aca="false">IF(O743&lt;&gt;"",O743+P743,"")</f>
        <v>479.8794</v>
      </c>
      <c r="R743" s="84" t="s">
        <v>358</v>
      </c>
    </row>
    <row r="744" customFormat="false" ht="15" hidden="false" customHeight="true" outlineLevel="0" collapsed="false">
      <c r="A744" s="103" t="n">
        <v>56013</v>
      </c>
      <c r="B744" s="85" t="n">
        <v>46214</v>
      </c>
      <c r="C744" s="86" t="n">
        <v>8086</v>
      </c>
      <c r="D744" s="87" t="n">
        <v>50069</v>
      </c>
      <c r="E744" s="104" t="str">
        <f aca="false">IF(D744&lt;&gt;"",IFERROR(VLOOKUP(D744,PROVEEDORES!$A:$B,2,0),"!COD NO ENCONTRADO"),"")</f>
        <v>PESCADOS ILLANES S.L.</v>
      </c>
      <c r="F744" s="88" t="str">
        <f aca="false">IF(D744&lt;&gt;"",IFERROR(VLOOKUP(D744,PROVEEDORES!$A:$C,3,0),""),"")</f>
        <v>S</v>
      </c>
      <c r="G744" s="87" t="s">
        <v>83</v>
      </c>
      <c r="H744" s="46" t="str">
        <f aca="false">IF(G744&lt;&gt;"",IFERROR(VLOOKUP(G744,PRODUCTOS!$A:$B,2,0),"!COD NO ENCONTRADO"),"")</f>
        <v>BESUGO (BSR)</v>
      </c>
      <c r="I744" s="89" t="n">
        <v>4</v>
      </c>
      <c r="J744" s="90" t="n">
        <f aca="false">2.1+2.3+2.1+2.2</f>
        <v>8.7</v>
      </c>
      <c r="K744" s="106" t="n">
        <v>30.5</v>
      </c>
      <c r="L744" s="107" t="n">
        <f aca="false">IF(AND(J744&lt;&gt;"",K744&lt;&gt;""),J744*K744,"")</f>
        <v>265.35</v>
      </c>
      <c r="M744" s="108" t="n">
        <f aca="false">IF(L744&lt;&gt;"",L744*1.1,"")</f>
        <v>291.885</v>
      </c>
      <c r="N744" s="114" t="n">
        <f aca="false">IF(F744="S",L744*0.02,0)</f>
        <v>5.307</v>
      </c>
      <c r="O744" s="115" t="n">
        <f aca="false">IF(L744&lt;&gt;"",L744+N744,"")</f>
        <v>270.657</v>
      </c>
      <c r="P744" s="114" t="n">
        <f aca="false">IF(O744&lt;&gt;"",O744*0.1,"")</f>
        <v>27.0657</v>
      </c>
      <c r="Q744" s="116" t="n">
        <f aca="false">IF(O744&lt;&gt;"",O744+P744,"")</f>
        <v>297.7227</v>
      </c>
      <c r="R744" s="84" t="s">
        <v>358</v>
      </c>
    </row>
    <row r="745" customFormat="false" ht="15" hidden="false" customHeight="true" outlineLevel="0" collapsed="false">
      <c r="A745" s="103" t="n">
        <v>56014</v>
      </c>
      <c r="B745" s="85" t="n">
        <v>46214</v>
      </c>
      <c r="C745" s="86" t="s">
        <v>442</v>
      </c>
      <c r="D745" s="87" t="n">
        <v>50010</v>
      </c>
      <c r="E745" s="46" t="str">
        <f aca="false">IF(D745&lt;&gt;"",IFERROR(VLOOKUP(D745,PROVEEDORES!$A:$B,2,0),"!COD NO ENCONTRADO"),"")</f>
        <v>PERFECTO MONTERO</v>
      </c>
      <c r="F745" s="88" t="str">
        <f aca="false">IF(D745&lt;&gt;"",IFERROR(VLOOKUP(D745,PROVEEDORES!$A:$C,3,0),""),"")</f>
        <v>S</v>
      </c>
      <c r="G745" s="87" t="s">
        <v>221</v>
      </c>
      <c r="H745" s="46" t="str">
        <f aca="false">IF(G745&lt;&gt;"",IFERROR(VLOOKUP(G745,PRODUCTOS!$A:$B,2,0),"!COD NO ENCONTRADO"),"")</f>
        <v>MERLUZA EUROPEA PINCHO COSTA 800</v>
      </c>
      <c r="I745" s="89" t="n">
        <v>1</v>
      </c>
      <c r="J745" s="90" t="n">
        <v>15.25</v>
      </c>
      <c r="K745" s="106" t="n">
        <v>5.2</v>
      </c>
      <c r="L745" s="107" t="n">
        <f aca="false">IF(AND(J745&lt;&gt;"",K745&lt;&gt;""),J745*K745,"")</f>
        <v>79.3</v>
      </c>
      <c r="M745" s="108" t="n">
        <f aca="false">IF(L745&lt;&gt;"",L745*1.1,"")</f>
        <v>87.23</v>
      </c>
      <c r="N745" s="114" t="n">
        <f aca="false">IF(F745="S",L745*0.02,0)</f>
        <v>1.586</v>
      </c>
      <c r="O745" s="115" t="n">
        <f aca="false">IF(L745&lt;&gt;"",L745+N745,"")</f>
        <v>80.886</v>
      </c>
      <c r="P745" s="114" t="n">
        <f aca="false">IF(O745&lt;&gt;"",O745*0.1,"")</f>
        <v>8.0886</v>
      </c>
      <c r="Q745" s="116" t="n">
        <f aca="false">IF(O745&lt;&gt;"",O745+P745,"")</f>
        <v>88.9746</v>
      </c>
      <c r="R745" s="84" t="s">
        <v>358</v>
      </c>
    </row>
    <row r="746" customFormat="false" ht="15" hidden="false" customHeight="true" outlineLevel="0" collapsed="false">
      <c r="A746" s="103" t="n">
        <v>56014</v>
      </c>
      <c r="B746" s="73" t="n">
        <v>46214</v>
      </c>
      <c r="C746" s="86" t="s">
        <v>442</v>
      </c>
      <c r="D746" s="75" t="n">
        <v>50010</v>
      </c>
      <c r="E746" s="52" t="str">
        <f aca="false">IF(D746&lt;&gt;"",IFERROR(VLOOKUP(D746,PROVEEDORES!$A:$B,2,0),"!COD NO ENCONTRADO"),"")</f>
        <v>PERFECTO MONTERO</v>
      </c>
      <c r="F746" s="76" t="str">
        <f aca="false">IF(D746&lt;&gt;"",IFERROR(VLOOKUP(D746,PROVEEDORES!$A:$C,3,0),""),"")</f>
        <v>S</v>
      </c>
      <c r="G746" s="75" t="s">
        <v>231</v>
      </c>
      <c r="H746" s="52" t="str">
        <f aca="false">IF(G746&lt;&gt;"",IFERROR(VLOOKUP(G746,PRODUCTOS!$A:$B,2,0),"!COD NO ENCONTRADO"),"")</f>
        <v>MERLUZA EUROPEA PINCHO COSTA 2,5+</v>
      </c>
      <c r="I746" s="77" t="n">
        <v>7</v>
      </c>
      <c r="J746" s="78" t="n">
        <v>17.75</v>
      </c>
      <c r="K746" s="109" t="n">
        <v>12</v>
      </c>
      <c r="L746" s="107" t="n">
        <f aca="false">IF(AND(J746&lt;&gt;"",K746&lt;&gt;""),J746*K746,"")</f>
        <v>213</v>
      </c>
      <c r="M746" s="108" t="n">
        <f aca="false">IF(L746&lt;&gt;"",L746*1.1,"")</f>
        <v>234.3</v>
      </c>
      <c r="N746" s="117" t="n">
        <f aca="false">IF(F746="S",L746*0.02,0)</f>
        <v>4.26</v>
      </c>
      <c r="O746" s="115" t="n">
        <f aca="false">IF(L746&lt;&gt;"",L746+N746,"")</f>
        <v>217.26</v>
      </c>
      <c r="P746" s="117" t="n">
        <f aca="false">IF(O746&lt;&gt;"",O746*0.1,"")</f>
        <v>21.726</v>
      </c>
      <c r="Q746" s="116" t="n">
        <f aca="false">IF(O746&lt;&gt;"",O746+P746,"")</f>
        <v>238.986</v>
      </c>
      <c r="R746" s="84" t="s">
        <v>358</v>
      </c>
    </row>
    <row r="747" customFormat="false" ht="15" hidden="false" customHeight="true" outlineLevel="0" collapsed="false">
      <c r="A747" s="103" t="n">
        <v>56014</v>
      </c>
      <c r="B747" s="73" t="n">
        <v>46214</v>
      </c>
      <c r="C747" s="86" t="s">
        <v>442</v>
      </c>
      <c r="D747" s="75" t="n">
        <v>50010</v>
      </c>
      <c r="E747" s="52" t="str">
        <f aca="false">IF(D747&lt;&gt;"",IFERROR(VLOOKUP(D747,PROVEEDORES!$A:$B,2,0),"!COD NO ENCONTRADO"),"")</f>
        <v>PERFECTO MONTERO</v>
      </c>
      <c r="F747" s="76" t="str">
        <f aca="false">IF(D747&lt;&gt;"",IFERROR(VLOOKUP(D747,PROVEEDORES!$A:$C,3,0),""),"")</f>
        <v>S</v>
      </c>
      <c r="G747" s="75" t="s">
        <v>227</v>
      </c>
      <c r="H747" s="52" t="str">
        <f aca="false">IF(G747&lt;&gt;"",IFERROR(VLOOKUP(G747,PRODUCTOS!$A:$B,2,0),"!COD NO ENCONTRADO"),"")</f>
        <v>MERLUZA EUROPEA PINCHO COSTA 1,5/2</v>
      </c>
      <c r="I747" s="77" t="n">
        <v>1</v>
      </c>
      <c r="J747" s="78" t="n">
        <v>18.75</v>
      </c>
      <c r="K747" s="109" t="n">
        <v>9.8</v>
      </c>
      <c r="L747" s="107" t="n">
        <f aca="false">IF(AND(J747&lt;&gt;"",K747&lt;&gt;""),J747*K747,"")</f>
        <v>183.75</v>
      </c>
      <c r="M747" s="108" t="n">
        <f aca="false">IF(L747&lt;&gt;"",L747*1.1,"")</f>
        <v>202.125</v>
      </c>
      <c r="N747" s="117" t="n">
        <f aca="false">IF(F747="S",L747*0.02,0)</f>
        <v>3.675</v>
      </c>
      <c r="O747" s="115" t="n">
        <f aca="false">IF(L747&lt;&gt;"",L747+N747,"")</f>
        <v>187.425</v>
      </c>
      <c r="P747" s="117" t="n">
        <f aca="false">IF(O747&lt;&gt;"",O747*0.1,"")</f>
        <v>18.7425</v>
      </c>
      <c r="Q747" s="116" t="n">
        <f aca="false">IF(O747&lt;&gt;"",O747+P747,"")</f>
        <v>206.1675</v>
      </c>
      <c r="R747" s="84" t="s">
        <v>358</v>
      </c>
    </row>
    <row r="748" customFormat="false" ht="15" hidden="false" customHeight="true" outlineLevel="0" collapsed="false">
      <c r="A748" s="103" t="n">
        <v>56015</v>
      </c>
      <c r="B748" s="85" t="n">
        <v>46214</v>
      </c>
      <c r="C748" s="86" t="n">
        <v>33281</v>
      </c>
      <c r="D748" s="87" t="n">
        <v>50106</v>
      </c>
      <c r="E748" s="46" t="str">
        <f aca="false">IF(D748&lt;&gt;"",IFERROR(VLOOKUP(D748,PROVEEDORES!$A:$B,2,0),"!COD NO ENCONTRADO"),"")</f>
        <v>SONIA VENTAS S.L</v>
      </c>
      <c r="F748" s="88" t="str">
        <f aca="false">IF(D748&lt;&gt;"",IFERROR(VLOOKUP(D748,PROVEEDORES!$A:$C,3,0),""),"")</f>
        <v>S</v>
      </c>
      <c r="G748" s="87" t="s">
        <v>221</v>
      </c>
      <c r="H748" s="46" t="str">
        <f aca="false">IF(G748&lt;&gt;"",IFERROR(VLOOKUP(G748,PRODUCTOS!$A:$B,2,0),"!COD NO ENCONTRADO"),"")</f>
        <v>MERLUZA EUROPEA PINCHO COSTA 800</v>
      </c>
      <c r="I748" s="89" t="n">
        <v>2</v>
      </c>
      <c r="J748" s="90" t="n">
        <f aca="false">15.5+15.5</f>
        <v>31</v>
      </c>
      <c r="K748" s="106" t="n">
        <v>6</v>
      </c>
      <c r="L748" s="107" t="n">
        <f aca="false">IF(AND(J748&lt;&gt;"",K748&lt;&gt;""),J748*K748,"")</f>
        <v>186</v>
      </c>
      <c r="M748" s="108" t="n">
        <f aca="false">IF(L748&lt;&gt;"",L748*1.1,"")</f>
        <v>204.6</v>
      </c>
      <c r="N748" s="114" t="n">
        <f aca="false">IF(F748="S",L748*0.02,0)</f>
        <v>3.72</v>
      </c>
      <c r="O748" s="115" t="n">
        <f aca="false">IF(L748&lt;&gt;"",L748+N748,"")</f>
        <v>189.72</v>
      </c>
      <c r="P748" s="114" t="n">
        <f aca="false">IF(O748&lt;&gt;"",O748*0.1,"")</f>
        <v>18.972</v>
      </c>
      <c r="Q748" s="116" t="n">
        <f aca="false">IF(O748&lt;&gt;"",O748+P748,"")</f>
        <v>208.692</v>
      </c>
      <c r="R748" s="84" t="s">
        <v>358</v>
      </c>
    </row>
    <row r="749" customFormat="false" ht="15" hidden="false" customHeight="true" outlineLevel="0" collapsed="false">
      <c r="A749" s="103" t="n">
        <v>56015</v>
      </c>
      <c r="B749" s="85" t="n">
        <v>46214</v>
      </c>
      <c r="C749" s="86" t="n">
        <v>33281</v>
      </c>
      <c r="D749" s="87" t="n">
        <v>50106</v>
      </c>
      <c r="E749" s="46" t="str">
        <f aca="false">IF(D749&lt;&gt;"",IFERROR(VLOOKUP(D749,PROVEEDORES!$A:$B,2,0),"!COD NO ENCONTRADO"),"")</f>
        <v>SONIA VENTAS S.L</v>
      </c>
      <c r="F749" s="88" t="str">
        <f aca="false">IF(D749&lt;&gt;"",IFERROR(VLOOKUP(D749,PROVEEDORES!$A:$C,3,0),""),"")</f>
        <v>S</v>
      </c>
      <c r="G749" s="87" t="s">
        <v>221</v>
      </c>
      <c r="H749" s="46" t="str">
        <f aca="false">IF(G749&lt;&gt;"",IFERROR(VLOOKUP(G749,PRODUCTOS!$A:$B,2,0),"!COD NO ENCONTRADO"),"")</f>
        <v>MERLUZA EUROPEA PINCHO COSTA 800</v>
      </c>
      <c r="I749" s="89" t="n">
        <v>2</v>
      </c>
      <c r="J749" s="90" t="n">
        <f aca="false">7+13.75</f>
        <v>20.75</v>
      </c>
      <c r="K749" s="106" t="n">
        <v>5.4</v>
      </c>
      <c r="L749" s="107" t="n">
        <f aca="false">IF(AND(J749&lt;&gt;"",K749&lt;&gt;""),J749*K749,"")</f>
        <v>112.05</v>
      </c>
      <c r="M749" s="108" t="n">
        <f aca="false">IF(L749&lt;&gt;"",L749*1.1,"")</f>
        <v>123.255</v>
      </c>
      <c r="N749" s="114" t="n">
        <f aca="false">IF(F749="S",L749*0.02,0)</f>
        <v>2.241</v>
      </c>
      <c r="O749" s="115" t="n">
        <f aca="false">IF(L749&lt;&gt;"",L749+N749,"")</f>
        <v>114.291</v>
      </c>
      <c r="P749" s="114" t="n">
        <f aca="false">IF(O749&lt;&gt;"",O749*0.1,"")</f>
        <v>11.4291</v>
      </c>
      <c r="Q749" s="116" t="n">
        <f aca="false">IF(O749&lt;&gt;"",O749+P749,"")</f>
        <v>125.7201</v>
      </c>
      <c r="R749" s="84" t="s">
        <v>358</v>
      </c>
    </row>
    <row r="750" customFormat="false" ht="15" hidden="false" customHeight="true" outlineLevel="0" collapsed="false">
      <c r="A750" s="103" t="n">
        <v>56015</v>
      </c>
      <c r="B750" s="73" t="n">
        <v>46214</v>
      </c>
      <c r="C750" s="74" t="n">
        <v>33281</v>
      </c>
      <c r="D750" s="75" t="n">
        <v>50106</v>
      </c>
      <c r="E750" s="52" t="str">
        <f aca="false">IF(D750&lt;&gt;"",IFERROR(VLOOKUP(D750,PROVEEDORES!$A:$B,2,0),"!COD NO ENCONTRADO"),"")</f>
        <v>SONIA VENTAS S.L</v>
      </c>
      <c r="F750" s="76" t="str">
        <f aca="false">IF(D750&lt;&gt;"",IFERROR(VLOOKUP(D750,PROVEEDORES!$A:$C,3,0),""),"")</f>
        <v>S</v>
      </c>
      <c r="G750" s="75" t="s">
        <v>219</v>
      </c>
      <c r="H750" s="52" t="str">
        <f aca="false">IF(G750&lt;&gt;"",IFERROR(VLOOKUP(G750,PRODUCTOS!$A:$B,2,0),"!COD NO ENCONTRADO"),"")</f>
        <v>MERLUZA EUROPEA PINCHO COSTA 600</v>
      </c>
      <c r="I750" s="77" t="n">
        <v>2</v>
      </c>
      <c r="J750" s="78" t="n">
        <f aca="false">12+8.75</f>
        <v>20.75</v>
      </c>
      <c r="K750" s="109" t="n">
        <v>3.3</v>
      </c>
      <c r="L750" s="107" t="n">
        <f aca="false">IF(AND(J750&lt;&gt;"",K750&lt;&gt;""),J750*K750,"")</f>
        <v>68.475</v>
      </c>
      <c r="M750" s="108" t="n">
        <f aca="false">IF(L750&lt;&gt;"",L750*1.1,"")</f>
        <v>75.3225</v>
      </c>
      <c r="N750" s="117" t="n">
        <f aca="false">IF(F750="S",L750*0.02,0)</f>
        <v>1.3695</v>
      </c>
      <c r="O750" s="115" t="n">
        <f aca="false">IF(L750&lt;&gt;"",L750+N750,"")</f>
        <v>69.8445</v>
      </c>
      <c r="P750" s="117" t="n">
        <f aca="false">IF(O750&lt;&gt;"",O750*0.1,"")</f>
        <v>6.98445</v>
      </c>
      <c r="Q750" s="116" t="n">
        <f aca="false">IF(O750&lt;&gt;"",O750+P750,"")</f>
        <v>76.82895</v>
      </c>
      <c r="R750" s="84" t="s">
        <v>358</v>
      </c>
    </row>
    <row r="751" customFormat="false" ht="15" hidden="false" customHeight="true" outlineLevel="0" collapsed="false">
      <c r="A751" s="103" t="n">
        <v>56016</v>
      </c>
      <c r="B751" s="85" t="n">
        <v>46214</v>
      </c>
      <c r="C751" s="86" t="n">
        <v>9998</v>
      </c>
      <c r="D751" s="87" t="n">
        <v>50001</v>
      </c>
      <c r="E751" s="46" t="str">
        <f aca="false">IF(D751&lt;&gt;"",IFERROR(VLOOKUP(D751,PROVEEDORES!$A:$B,2,0),"!COD NO ENCONTRADO"),"")</f>
        <v>COPESA</v>
      </c>
      <c r="F751" s="88" t="str">
        <f aca="false">IF(D751&lt;&gt;"",IFERROR(VLOOKUP(D751,PROVEEDORES!$A:$C,3,0),""),"")</f>
        <v>S</v>
      </c>
      <c r="G751" s="87" t="s">
        <v>133</v>
      </c>
      <c r="H751" s="46" t="str">
        <f aca="false">IF(G751&lt;&gt;"",IFERROR(VLOOKUP(G751,PRODUCTOS!$A:$B,2,0),"!COD NO ENCONTRADO"),"")</f>
        <v>CINTAS/ PEZ CINTA (CBC)</v>
      </c>
      <c r="I751" s="89" t="n">
        <v>1</v>
      </c>
      <c r="J751" s="90" t="n">
        <v>2.75</v>
      </c>
      <c r="K751" s="106" t="n">
        <v>2</v>
      </c>
      <c r="L751" s="107" t="n">
        <f aca="false">IF(AND(J751&lt;&gt;"",K751&lt;&gt;""),J751*K751,"")</f>
        <v>5.5</v>
      </c>
      <c r="M751" s="108" t="n">
        <f aca="false">IF(L751&lt;&gt;"",L751*1.1,"")</f>
        <v>6.05</v>
      </c>
      <c r="N751" s="114" t="n">
        <f aca="false">IF(F751="S",L751*0.02,0)</f>
        <v>0.11</v>
      </c>
      <c r="O751" s="115" t="n">
        <f aca="false">IF(L751&lt;&gt;"",L751+N751,"")</f>
        <v>5.61</v>
      </c>
      <c r="P751" s="114" t="n">
        <f aca="false">IF(O751&lt;&gt;"",O751*0.1,"")</f>
        <v>0.561</v>
      </c>
      <c r="Q751" s="116" t="n">
        <f aca="false">IF(O751&lt;&gt;"",O751+P751,"")</f>
        <v>6.171</v>
      </c>
      <c r="R751" s="84" t="s">
        <v>358</v>
      </c>
    </row>
    <row r="752" customFormat="false" ht="15" hidden="false" customHeight="true" outlineLevel="0" collapsed="false">
      <c r="A752" s="103" t="n">
        <v>56016</v>
      </c>
      <c r="B752" s="73" t="n">
        <v>46214</v>
      </c>
      <c r="C752" s="74" t="n">
        <v>9998</v>
      </c>
      <c r="D752" s="75" t="n">
        <v>50001</v>
      </c>
      <c r="E752" s="52" t="str">
        <f aca="false">IF(D752&lt;&gt;"",IFERROR(VLOOKUP(D752,PROVEEDORES!$A:$B,2,0),"!COD NO ENCONTRADO"),"")</f>
        <v>COPESA</v>
      </c>
      <c r="F752" s="76" t="str">
        <f aca="false">IF(D752&lt;&gt;"",IFERROR(VLOOKUP(D752,PROVEEDORES!$A:$C,3,0),""),"")</f>
        <v>S</v>
      </c>
      <c r="G752" s="75" t="s">
        <v>135</v>
      </c>
      <c r="H752" s="52" t="str">
        <f aca="false">IF(G752&lt;&gt;"",IFERROR(VLOOKUP(G752,PRODUCTOS!$A:$B,2,0),"!COD NO ENCONTRADO"),"")</f>
        <v>CONGRIO 10+  (COE)</v>
      </c>
      <c r="I752" s="77" t="n">
        <v>1</v>
      </c>
      <c r="J752" s="78" t="n">
        <v>15.25</v>
      </c>
      <c r="K752" s="109" t="n">
        <v>2.2</v>
      </c>
      <c r="L752" s="107" t="n">
        <f aca="false">IF(AND(J752&lt;&gt;"",K752&lt;&gt;""),J752*K752,"")</f>
        <v>33.55</v>
      </c>
      <c r="M752" s="108" t="n">
        <f aca="false">IF(L752&lt;&gt;"",L752*1.1,"")</f>
        <v>36.905</v>
      </c>
      <c r="N752" s="117" t="n">
        <f aca="false">IF(F752="S",L752*0.02,0)</f>
        <v>0.671</v>
      </c>
      <c r="O752" s="115" t="n">
        <f aca="false">IF(L752&lt;&gt;"",L752+N752,"")</f>
        <v>34.221</v>
      </c>
      <c r="P752" s="117" t="n">
        <f aca="false">IF(O752&lt;&gt;"",O752*0.1,"")</f>
        <v>3.4221</v>
      </c>
      <c r="Q752" s="116" t="n">
        <f aca="false">IF(O752&lt;&gt;"",O752+P752,"")</f>
        <v>37.6431</v>
      </c>
      <c r="R752" s="84" t="s">
        <v>358</v>
      </c>
    </row>
    <row r="753" customFormat="false" ht="15" hidden="false" customHeight="true" outlineLevel="0" collapsed="false">
      <c r="A753" s="103" t="n">
        <v>56017</v>
      </c>
      <c r="B753" s="85" t="n">
        <v>46214</v>
      </c>
      <c r="C753" s="86" t="n">
        <v>16528</v>
      </c>
      <c r="D753" s="87" t="n">
        <v>50160</v>
      </c>
      <c r="E753" s="46" t="str">
        <f aca="false">IF(D753&lt;&gt;"",IFERROR(VLOOKUP(D753,PROVEEDORES!$A:$B,2,0),"!COD NO ENCONTRADO"),"")</f>
        <v>SUBASTAS CORUÑA S.L.</v>
      </c>
      <c r="F753" s="88" t="str">
        <f aca="false">IF(D753&lt;&gt;"",IFERROR(VLOOKUP(D753,PROVEEDORES!$A:$C,3,0),""),"")</f>
        <v>S</v>
      </c>
      <c r="G753" s="87" t="s">
        <v>179</v>
      </c>
      <c r="H753" s="46" t="str">
        <f aca="false">IF(G753&lt;&gt;"",IFERROR(VLOOKUP(G753,PRODUCTOS!$A:$B,2,0),"!COD NO ENCONTRADO"),"")</f>
        <v>LIRIO/ BACALADILLA/ PERLA (WHB)</v>
      </c>
      <c r="I753" s="89" t="n">
        <v>10</v>
      </c>
      <c r="J753" s="90" t="n">
        <v>150</v>
      </c>
      <c r="K753" s="106" t="n">
        <v>1.2</v>
      </c>
      <c r="L753" s="107" t="n">
        <f aca="false">IF(AND(J753&lt;&gt;"",K753&lt;&gt;""),J753*K753,"")</f>
        <v>180</v>
      </c>
      <c r="M753" s="108" t="n">
        <f aca="false">IF(L753&lt;&gt;"",L753*1.1,"")</f>
        <v>198</v>
      </c>
      <c r="N753" s="114" t="n">
        <f aca="false">IF(F753="S",L753*0.02,0)</f>
        <v>3.6</v>
      </c>
      <c r="O753" s="115" t="n">
        <f aca="false">IF(L753&lt;&gt;"",L753+N753,"")</f>
        <v>183.6</v>
      </c>
      <c r="P753" s="114" t="n">
        <f aca="false">IF(O753&lt;&gt;"",O753*0.1,"")</f>
        <v>18.36</v>
      </c>
      <c r="Q753" s="116" t="n">
        <f aca="false">IF(O753&lt;&gt;"",O753+P753,"")</f>
        <v>201.96</v>
      </c>
      <c r="R753" s="84" t="s">
        <v>358</v>
      </c>
    </row>
    <row r="754" customFormat="false" ht="15" hidden="false" customHeight="true" outlineLevel="0" collapsed="false">
      <c r="A754" s="103" t="n">
        <v>56018</v>
      </c>
      <c r="B754" s="73" t="n">
        <v>46216</v>
      </c>
      <c r="C754" s="74" t="n">
        <v>10075</v>
      </c>
      <c r="D754" s="75" t="n">
        <v>50001</v>
      </c>
      <c r="E754" s="52" t="str">
        <f aca="false">IF(D754&lt;&gt;"",IFERROR(VLOOKUP(D754,PROVEEDORES!$A:$B,2,0),"!COD NO ENCONTRADO"),"")</f>
        <v>COPESA</v>
      </c>
      <c r="F754" s="76" t="str">
        <f aca="false">IF(D754&lt;&gt;"",IFERROR(VLOOKUP(D754,PROVEEDORES!$A:$C,3,0),""),"")</f>
        <v>S</v>
      </c>
      <c r="G754" s="75" t="s">
        <v>193</v>
      </c>
      <c r="H754" s="52" t="str">
        <f aca="false">IF(G754&lt;&gt;"",IFERROR(VLOOKUP(G754,PRODUCTOS!$A:$B,2,0),"!COD NO ENCONTRADO"),"")</f>
        <v>MERLUZA EUROPEA ARRASTRE (HKE) </v>
      </c>
      <c r="I754" s="77" t="n">
        <v>1</v>
      </c>
      <c r="J754" s="78" t="n">
        <v>20.75</v>
      </c>
      <c r="K754" s="109" t="n">
        <v>6.8</v>
      </c>
      <c r="L754" s="107" t="n">
        <f aca="false">IF(AND(J754&lt;&gt;"",K754&lt;&gt;""),J754*K754,"")</f>
        <v>141.1</v>
      </c>
      <c r="M754" s="108" t="n">
        <f aca="false">IF(L754&lt;&gt;"",L754*1.1,"")</f>
        <v>155.21</v>
      </c>
      <c r="N754" s="117" t="n">
        <f aca="false">IF(F754="S",L754*0.02,0)</f>
        <v>2.822</v>
      </c>
      <c r="O754" s="115" t="n">
        <f aca="false">IF(L754&lt;&gt;"",L754+N754,"")</f>
        <v>143.922</v>
      </c>
      <c r="P754" s="117" t="n">
        <f aca="false">IF(O754&lt;&gt;"",O754*0.1,"")</f>
        <v>14.3922</v>
      </c>
      <c r="Q754" s="116" t="n">
        <f aca="false">IF(O754&lt;&gt;"",O754+P754,"")</f>
        <v>158.3142</v>
      </c>
      <c r="R754" s="84" t="s">
        <v>358</v>
      </c>
    </row>
    <row r="755" customFormat="false" ht="15" hidden="false" customHeight="true" outlineLevel="0" collapsed="false">
      <c r="A755" s="103" t="n">
        <v>56018</v>
      </c>
      <c r="B755" s="73" t="n">
        <v>46216</v>
      </c>
      <c r="C755" s="74" t="n">
        <v>10075</v>
      </c>
      <c r="D755" s="75" t="n">
        <v>50001</v>
      </c>
      <c r="E755" s="46" t="str">
        <f aca="false">IF(D755&lt;&gt;"",IFERROR(VLOOKUP(D755,PROVEEDORES!$A:$B,2,0),"!COD NO ENCONTRADO"),"")</f>
        <v>COPESA</v>
      </c>
      <c r="F755" s="88" t="str">
        <f aca="false">IF(D755&lt;&gt;"",IFERROR(VLOOKUP(D755,PROVEEDORES!$A:$C,3,0),""),"")</f>
        <v>S</v>
      </c>
      <c r="G755" s="87" t="s">
        <v>294</v>
      </c>
      <c r="H755" s="46" t="str">
        <f aca="false">IF(G755&lt;&gt;"",IFERROR(VLOOKUP(G755,PRODUCTOS!$A:$B,2,0),"!COD NO ENCONTRADO"),"")</f>
        <v>RAPE BLANCO ARRASTRE (MON)</v>
      </c>
      <c r="I755" s="89" t="n">
        <v>6</v>
      </c>
      <c r="J755" s="90" t="n">
        <v>221.5</v>
      </c>
      <c r="K755" s="106" t="n">
        <v>4.3</v>
      </c>
      <c r="L755" s="107" t="n">
        <f aca="false">IF(AND(J755&lt;&gt;"",K755&lt;&gt;""),J755*K755,"")</f>
        <v>952.45</v>
      </c>
      <c r="M755" s="108" t="n">
        <f aca="false">IF(L755&lt;&gt;"",L755*1.1,"")</f>
        <v>1047.695</v>
      </c>
      <c r="N755" s="114" t="n">
        <f aca="false">IF(F755="S",L755*0.02,0)</f>
        <v>19.049</v>
      </c>
      <c r="O755" s="115" t="n">
        <f aca="false">IF(L755&lt;&gt;"",L755+N755,"")</f>
        <v>971.499</v>
      </c>
      <c r="P755" s="114" t="n">
        <f aca="false">IF(O755&lt;&gt;"",O755*0.1,"")</f>
        <v>97.1499</v>
      </c>
      <c r="Q755" s="116" t="n">
        <f aca="false">IF(O755&lt;&gt;"",O755+P755,"")</f>
        <v>1068.6489</v>
      </c>
      <c r="R755" s="84" t="s">
        <v>358</v>
      </c>
    </row>
    <row r="756" customFormat="false" ht="15" hidden="false" customHeight="true" outlineLevel="0" collapsed="false">
      <c r="A756" s="103" t="n">
        <v>56018</v>
      </c>
      <c r="B756" s="73" t="n">
        <v>46216</v>
      </c>
      <c r="C756" s="74" t="n">
        <v>10075</v>
      </c>
      <c r="D756" s="75" t="n">
        <v>50001</v>
      </c>
      <c r="E756" s="52" t="str">
        <f aca="false">IF(D756&lt;&gt;"",IFERROR(VLOOKUP(D756,PROVEEDORES!$A:$B,2,0),"!COD NO ENCONTRADO"),"")</f>
        <v>COPESA</v>
      </c>
      <c r="F756" s="76" t="str">
        <f aca="false">IF(D756&lt;&gt;"",IFERROR(VLOOKUP(D756,PROVEEDORES!$A:$C,3,0),""),"")</f>
        <v>S</v>
      </c>
      <c r="G756" s="75" t="s">
        <v>296</v>
      </c>
      <c r="H756" s="52" t="str">
        <f aca="false">IF(G756&lt;&gt;"",IFERROR(VLOOKUP(G756,PRODUCTOS!$A:$B,2,0),"!COD NO ENCONTRADO"),"")</f>
        <v>RAPE NEGRO (ANK)</v>
      </c>
      <c r="I756" s="77" t="n">
        <v>2</v>
      </c>
      <c r="J756" s="78" t="n">
        <v>60.5</v>
      </c>
      <c r="K756" s="109" t="n">
        <v>5.3</v>
      </c>
      <c r="L756" s="107" t="n">
        <f aca="false">IF(AND(J756&lt;&gt;"",K756&lt;&gt;""),J756*K756,"")</f>
        <v>320.65</v>
      </c>
      <c r="M756" s="108" t="n">
        <f aca="false">IF(L756&lt;&gt;"",L756*1.1,"")</f>
        <v>352.715</v>
      </c>
      <c r="N756" s="117" t="n">
        <f aca="false">IF(F756="S",L756*0.02,0)</f>
        <v>6.413</v>
      </c>
      <c r="O756" s="115" t="n">
        <f aca="false">IF(L756&lt;&gt;"",L756+N756,"")</f>
        <v>327.063</v>
      </c>
      <c r="P756" s="117" t="n">
        <f aca="false">IF(O756&lt;&gt;"",O756*0.1,"")</f>
        <v>32.7063</v>
      </c>
      <c r="Q756" s="116" t="n">
        <f aca="false">IF(O756&lt;&gt;"",O756+P756,"")</f>
        <v>359.7693</v>
      </c>
      <c r="R756" s="84" t="s">
        <v>358</v>
      </c>
    </row>
    <row r="757" customFormat="false" ht="15" hidden="false" customHeight="true" outlineLevel="0" collapsed="false">
      <c r="A757" s="103" t="n">
        <v>56019</v>
      </c>
      <c r="B757" s="85" t="n">
        <v>46216</v>
      </c>
      <c r="C757" s="86" t="s">
        <v>443</v>
      </c>
      <c r="D757" s="87" t="n">
        <v>50048</v>
      </c>
      <c r="E757" s="46" t="str">
        <f aca="false">IF(D757&lt;&gt;"",IFERROR(VLOOKUP(D757,PROVEEDORES!$A:$B,2,0),"!COD NO ENCONTRADO"),"")</f>
        <v>JOSE LUIS CORREA KESSLER S.L.</v>
      </c>
      <c r="F757" s="88" t="str">
        <f aca="false">IF(D757&lt;&gt;"",IFERROR(VLOOKUP(D757,PROVEEDORES!$A:$C,3,0),""),"")</f>
        <v>N</v>
      </c>
      <c r="G757" s="87" t="s">
        <v>179</v>
      </c>
      <c r="H757" s="46" t="str">
        <f aca="false">IF(G757&lt;&gt;"",IFERROR(VLOOKUP(G757,PRODUCTOS!$A:$B,2,0),"!COD NO ENCONTRADO"),"")</f>
        <v>LIRIO/ BACALADILLA/ PERLA (WHB)</v>
      </c>
      <c r="I757" s="89" t="n">
        <v>12</v>
      </c>
      <c r="J757" s="90" t="n">
        <v>72</v>
      </c>
      <c r="K757" s="113" t="n">
        <v>1.75</v>
      </c>
      <c r="L757" s="107" t="n">
        <f aca="false">IF(AND(J757&lt;&gt;"",K757&lt;&gt;""),J757*K757,"")</f>
        <v>126</v>
      </c>
      <c r="M757" s="108" t="n">
        <f aca="false">IF(L757&lt;&gt;"",L757*1.1,"")</f>
        <v>138.6</v>
      </c>
      <c r="N757" s="114" t="n">
        <f aca="false">IF(F757="S",L757*0.02,0)</f>
        <v>0</v>
      </c>
      <c r="O757" s="115" t="n">
        <f aca="false">IF(L757&lt;&gt;"",L757+N757,"")</f>
        <v>126</v>
      </c>
      <c r="P757" s="114" t="n">
        <f aca="false">IF(O757&lt;&gt;"",O757*0.1,"")</f>
        <v>12.6</v>
      </c>
      <c r="Q757" s="116" t="n">
        <f aca="false">IF(O757&lt;&gt;"",O757+P757,"")</f>
        <v>138.6</v>
      </c>
      <c r="R757" s="84" t="s">
        <v>358</v>
      </c>
    </row>
    <row r="758" customFormat="false" ht="15" hidden="false" customHeight="true" outlineLevel="0" collapsed="false">
      <c r="A758" s="103" t="n">
        <v>56019</v>
      </c>
      <c r="B758" s="73" t="n">
        <v>46216</v>
      </c>
      <c r="C758" s="74" t="s">
        <v>444</v>
      </c>
      <c r="D758" s="75" t="n">
        <v>50048</v>
      </c>
      <c r="E758" s="52" t="str">
        <f aca="false">IF(D758&lt;&gt;"",IFERROR(VLOOKUP(D758,PROVEEDORES!$A:$B,2,0),"!COD NO ENCONTRADO"),"")</f>
        <v>JOSE LUIS CORREA KESSLER S.L.</v>
      </c>
      <c r="F758" s="76" t="str">
        <f aca="false">IF(D758&lt;&gt;"",IFERROR(VLOOKUP(D758,PROVEEDORES!$A:$C,3,0),""),"")</f>
        <v>N</v>
      </c>
      <c r="G758" s="75" t="s">
        <v>179</v>
      </c>
      <c r="H758" s="52" t="str">
        <f aca="false">IF(G758&lt;&gt;"",IFERROR(VLOOKUP(G758,PRODUCTOS!$A:$B,2,0),"!COD NO ENCONTRADO"),"")</f>
        <v>LIRIO/ BACALADILLA/ PERLA (WHB)</v>
      </c>
      <c r="I758" s="77" t="n">
        <v>6</v>
      </c>
      <c r="J758" s="78" t="n">
        <v>36</v>
      </c>
      <c r="K758" s="113" t="n">
        <v>1.75</v>
      </c>
      <c r="L758" s="107" t="n">
        <f aca="false">IF(AND(J758&lt;&gt;"",K758&lt;&gt;""),J758*K758,"")</f>
        <v>63</v>
      </c>
      <c r="M758" s="108" t="n">
        <f aca="false">IF(L758&lt;&gt;"",L758*1.1,"")</f>
        <v>69.3</v>
      </c>
      <c r="N758" s="117" t="n">
        <f aca="false">IF(F758="S",L758*0.02,0)</f>
        <v>0</v>
      </c>
      <c r="O758" s="115" t="n">
        <f aca="false">IF(L758&lt;&gt;"",L758+N758,"")</f>
        <v>63</v>
      </c>
      <c r="P758" s="117" t="n">
        <f aca="false">IF(O758&lt;&gt;"",O758*0.1,"")</f>
        <v>6.3</v>
      </c>
      <c r="Q758" s="116" t="n">
        <f aca="false">IF(O758&lt;&gt;"",O758+P758,"")</f>
        <v>69.3</v>
      </c>
      <c r="R758" s="84" t="s">
        <v>358</v>
      </c>
    </row>
    <row r="759" customFormat="false" ht="15" hidden="false" customHeight="true" outlineLevel="0" collapsed="false">
      <c r="A759" s="103" t="n">
        <v>56020</v>
      </c>
      <c r="B759" s="85" t="n">
        <v>46216</v>
      </c>
      <c r="C759" s="74" t="s">
        <v>445</v>
      </c>
      <c r="D759" s="75" t="n">
        <v>50509</v>
      </c>
      <c r="E759" s="52" t="str">
        <f aca="false">IF(D759&lt;&gt;"",IFERROR(VLOOKUP(D759,PROVEEDORES!$A:$B,2,0),"!COD NO ENCONTRADO"),"")</f>
        <v>AZORFISK UNIPERSONAL LDA</v>
      </c>
      <c r="F759" s="76" t="str">
        <f aca="false">IF(D759&lt;&gt;"",IFERROR(VLOOKUP(D759,PROVEEDORES!$A:$C,3,0),""),"")</f>
        <v>N</v>
      </c>
      <c r="G759" s="75" t="s">
        <v>336</v>
      </c>
      <c r="H759" s="52" t="str">
        <f aca="false">IF(G759&lt;&gt;"",IFERROR(VLOOKUP(G759,PRODUCTOS!$A:$B,2,0),"!COD NO ENCONTRADO"),"")</f>
        <v>VIRREY/ PALOMETA ROJA</v>
      </c>
      <c r="I759" s="77" t="n">
        <v>1</v>
      </c>
      <c r="J759" s="78" t="n">
        <v>10.6</v>
      </c>
      <c r="K759" s="109" t="n">
        <v>57</v>
      </c>
      <c r="L759" s="107" t="n">
        <f aca="false">IF(AND(J759&lt;&gt;"",K759&lt;&gt;""),J759*K759,"")</f>
        <v>604.2</v>
      </c>
      <c r="M759" s="108" t="n">
        <f aca="false">IF(L759&lt;&gt;"",L759*1.1,"")</f>
        <v>664.62</v>
      </c>
      <c r="N759" s="117" t="n">
        <f aca="false">IF(F759="S",L759*0.02,0)</f>
        <v>0</v>
      </c>
      <c r="O759" s="115" t="n">
        <f aca="false">IF(L759&lt;&gt;"",L759+N759,"")</f>
        <v>604.2</v>
      </c>
      <c r="P759" s="117" t="n">
        <f aca="false">IF(O759&lt;&gt;"",O759*0.1,"")</f>
        <v>60.42</v>
      </c>
      <c r="Q759" s="116" t="n">
        <f aca="false">IF(O759&lt;&gt;"",O759+P759,"")</f>
        <v>664.62</v>
      </c>
      <c r="R759" s="84" t="s">
        <v>365</v>
      </c>
    </row>
    <row r="760" customFormat="false" ht="15" hidden="false" customHeight="true" outlineLevel="0" collapsed="false">
      <c r="A760" s="103" t="n">
        <v>56020</v>
      </c>
      <c r="B760" s="85" t="n">
        <v>46216</v>
      </c>
      <c r="C760" s="74" t="s">
        <v>445</v>
      </c>
      <c r="D760" s="75" t="n">
        <v>50509</v>
      </c>
      <c r="E760" s="52" t="str">
        <f aca="false">IF(D760&lt;&gt;"",IFERROR(VLOOKUP(D760,PROVEEDORES!$A:$B,2,0),"!COD NO ENCONTRADO"),"")</f>
        <v>AZORFISK UNIPERSONAL LDA</v>
      </c>
      <c r="F760" s="88" t="str">
        <f aca="false">IF(D760&lt;&gt;"",IFERROR(VLOOKUP(D760,PROVEEDORES!$A:$C,3,0),""),"")</f>
        <v>N</v>
      </c>
      <c r="G760" s="87" t="s">
        <v>336</v>
      </c>
      <c r="H760" s="46" t="str">
        <f aca="false">IF(G760&lt;&gt;"",IFERROR(VLOOKUP(G760,PRODUCTOS!$A:$B,2,0),"!COD NO ENCONTRADO"),"")</f>
        <v>VIRREY/ PALOMETA ROJA</v>
      </c>
      <c r="I760" s="89" t="n">
        <v>1</v>
      </c>
      <c r="J760" s="90" t="n">
        <v>9.4</v>
      </c>
      <c r="K760" s="106" t="n">
        <v>55.95</v>
      </c>
      <c r="L760" s="107" t="n">
        <f aca="false">IF(AND(J760&lt;&gt;"",K760&lt;&gt;""),J760*K760,"")</f>
        <v>525.93</v>
      </c>
      <c r="M760" s="108" t="n">
        <f aca="false">IF(L760&lt;&gt;"",L760*1.1,"")</f>
        <v>578.523</v>
      </c>
      <c r="N760" s="114" t="n">
        <f aca="false">IF(F760="S",L760*0.02,0)</f>
        <v>0</v>
      </c>
      <c r="O760" s="115" t="n">
        <f aca="false">IF(L760&lt;&gt;"",L760+N760,"")</f>
        <v>525.93</v>
      </c>
      <c r="P760" s="114" t="n">
        <f aca="false">IF(O760&lt;&gt;"",O760*0.1,"")</f>
        <v>52.593</v>
      </c>
      <c r="Q760" s="116" t="n">
        <f aca="false">IF(O760&lt;&gt;"",O760+P760,"")</f>
        <v>578.523</v>
      </c>
      <c r="R760" s="84" t="s">
        <v>365</v>
      </c>
    </row>
    <row r="761" customFormat="false" ht="15" hidden="false" customHeight="true" outlineLevel="0" collapsed="false">
      <c r="A761" s="103" t="n">
        <v>56020</v>
      </c>
      <c r="B761" s="85" t="n">
        <v>46216</v>
      </c>
      <c r="C761" s="86" t="s">
        <v>446</v>
      </c>
      <c r="D761" s="87" t="n">
        <v>50509</v>
      </c>
      <c r="E761" s="46" t="str">
        <f aca="false">IF(D761&lt;&gt;"",IFERROR(VLOOKUP(D761,PROVEEDORES!$A:$B,2,0),"!COD NO ENCONTRADO"),"")</f>
        <v>AZORFISK UNIPERSONAL LDA</v>
      </c>
      <c r="F761" s="88" t="str">
        <f aca="false">IF(D761&lt;&gt;"",IFERROR(VLOOKUP(D761,PROVEEDORES!$A:$C,3,0),""),"")</f>
        <v>N</v>
      </c>
      <c r="G761" s="87" t="s">
        <v>111</v>
      </c>
      <c r="H761" s="46" t="str">
        <f aca="false">IF(G761&lt;&gt;"",IFERROR(VLOOKUP(G761,PRODUCTOS!$A:$B,2,0),"!COD NO ENCONTRADO"),"")</f>
        <v>CALAMAR VETADO/ FORBES (SQF)</v>
      </c>
      <c r="I761" s="89" t="n">
        <v>5</v>
      </c>
      <c r="J761" s="90" t="n">
        <v>36</v>
      </c>
      <c r="K761" s="106" t="n">
        <v>17.25</v>
      </c>
      <c r="L761" s="107" t="n">
        <f aca="false">IF(AND(J761&lt;&gt;"",K761&lt;&gt;""),J761*K761,"")</f>
        <v>621</v>
      </c>
      <c r="M761" s="108" t="n">
        <f aca="false">IF(L761&lt;&gt;"",L761*1.1,"")</f>
        <v>683.1</v>
      </c>
      <c r="N761" s="114" t="n">
        <f aca="false">IF(F761="S",L761*0.02,0)</f>
        <v>0</v>
      </c>
      <c r="O761" s="115" t="n">
        <f aca="false">IF(L761&lt;&gt;"",L761+N761,"")</f>
        <v>621</v>
      </c>
      <c r="P761" s="114" t="n">
        <f aca="false">IF(O761&lt;&gt;"",O761*0.1,"")</f>
        <v>62.1</v>
      </c>
      <c r="Q761" s="116" t="n">
        <f aca="false">IF(O761&lt;&gt;"",O761+P761,"")</f>
        <v>683.1</v>
      </c>
      <c r="R761" s="84" t="s">
        <v>365</v>
      </c>
    </row>
    <row r="762" customFormat="false" ht="15" hidden="false" customHeight="true" outlineLevel="0" collapsed="false">
      <c r="A762" s="103" t="n">
        <v>56021</v>
      </c>
      <c r="B762" s="85" t="n">
        <v>46216</v>
      </c>
      <c r="C762" s="86" t="s">
        <v>447</v>
      </c>
      <c r="D762" s="87" t="n">
        <v>50164</v>
      </c>
      <c r="E762" s="46" t="str">
        <f aca="false">IF(D762&lt;&gt;"",IFERROR(VLOOKUP(D762,PROVEEDORES!$A:$B,2,0),"!COD NO ENCONTRADO"),"")</f>
        <v>ABRGO NORTE S.L.</v>
      </c>
      <c r="F762" s="88" t="str">
        <f aca="false">IF(D762&lt;&gt;"",IFERROR(VLOOKUP(D762,PROVEEDORES!$A:$C,3,0),""),"")</f>
        <v>N</v>
      </c>
      <c r="G762" s="87" t="s">
        <v>302</v>
      </c>
      <c r="H762" s="46" t="str">
        <f aca="false">IF(G762&lt;&gt;"",IFERROR(VLOOKUP(G762,PRODUCTOS!$A:$B,2,0),"!COD NO ENCONTRADO"),"")</f>
        <v>RAYA COMUN (ALAS)</v>
      </c>
      <c r="I762" s="89" t="n">
        <v>6</v>
      </c>
      <c r="J762" s="90" t="n">
        <v>30</v>
      </c>
      <c r="K762" s="106" t="n">
        <v>9</v>
      </c>
      <c r="L762" s="107" t="n">
        <f aca="false">IF(AND(J762&lt;&gt;"",K762&lt;&gt;""),J762*K762,"")</f>
        <v>270</v>
      </c>
      <c r="M762" s="108" t="n">
        <f aca="false">IF(L762&lt;&gt;"",L762*1.1,"")</f>
        <v>297</v>
      </c>
      <c r="N762" s="114" t="n">
        <f aca="false">IF(F762="S",L762*0.02,0)</f>
        <v>0</v>
      </c>
      <c r="O762" s="115" t="n">
        <f aca="false">IF(L762&lt;&gt;"",L762+N762,"")</f>
        <v>270</v>
      </c>
      <c r="P762" s="114" t="n">
        <f aca="false">IF(O762&lt;&gt;"",O762*0.1,"")</f>
        <v>27</v>
      </c>
      <c r="Q762" s="116" t="n">
        <f aca="false">IF(O762&lt;&gt;"",O762+P762,"")</f>
        <v>297</v>
      </c>
      <c r="R762" s="84" t="s">
        <v>365</v>
      </c>
    </row>
    <row r="763" customFormat="false" ht="15" hidden="false" customHeight="true" outlineLevel="0" collapsed="false">
      <c r="A763" s="103" t="n">
        <v>56021</v>
      </c>
      <c r="B763" s="85" t="n">
        <v>46216</v>
      </c>
      <c r="C763" s="86" t="s">
        <v>447</v>
      </c>
      <c r="D763" s="87" t="n">
        <v>50164</v>
      </c>
      <c r="E763" s="52" t="str">
        <f aca="false">IF(D763&lt;&gt;"",IFERROR(VLOOKUP(D763,PROVEEDORES!$A:$B,2,0),"!COD NO ENCONTRADO"),"")</f>
        <v>ABRGO NORTE S.L.</v>
      </c>
      <c r="F763" s="76" t="str">
        <f aca="false">IF(D763&lt;&gt;"",IFERROR(VLOOKUP(D763,PROVEEDORES!$A:$C,3,0),""),"")</f>
        <v>N</v>
      </c>
      <c r="G763" s="75" t="s">
        <v>302</v>
      </c>
      <c r="H763" s="52" t="str">
        <f aca="false">IF(G763&lt;&gt;"",IFERROR(VLOOKUP(G763,PRODUCTOS!$A:$B,2,0),"!COD NO ENCONTRADO"),"")</f>
        <v>RAYA COMUN (ALAS)</v>
      </c>
      <c r="I763" s="77" t="n">
        <v>2</v>
      </c>
      <c r="J763" s="78" t="n">
        <v>6</v>
      </c>
      <c r="K763" s="109" t="n">
        <v>9</v>
      </c>
      <c r="L763" s="107" t="n">
        <f aca="false">IF(AND(J763&lt;&gt;"",K763&lt;&gt;""),J763*K763,"")</f>
        <v>54</v>
      </c>
      <c r="M763" s="108" t="n">
        <f aca="false">IF(L763&lt;&gt;"",L763*1.1,"")</f>
        <v>59.4</v>
      </c>
      <c r="N763" s="117" t="n">
        <f aca="false">IF(F763="S",L763*0.02,0)</f>
        <v>0</v>
      </c>
      <c r="O763" s="115" t="n">
        <f aca="false">IF(L763&lt;&gt;"",L763+N763,"")</f>
        <v>54</v>
      </c>
      <c r="P763" s="117" t="n">
        <f aca="false">IF(O763&lt;&gt;"",O763*0.1,"")</f>
        <v>5.4</v>
      </c>
      <c r="Q763" s="116" t="n">
        <f aca="false">IF(O763&lt;&gt;"",O763+P763,"")</f>
        <v>59.4</v>
      </c>
      <c r="R763" s="84" t="s">
        <v>365</v>
      </c>
    </row>
    <row r="764" customFormat="false" ht="15" hidden="false" customHeight="true" outlineLevel="0" collapsed="false">
      <c r="A764" s="103" t="n">
        <v>56022</v>
      </c>
      <c r="B764" s="85" t="n">
        <v>46216</v>
      </c>
      <c r="C764" s="86" t="s">
        <v>448</v>
      </c>
      <c r="D764" s="87" t="n">
        <v>50035</v>
      </c>
      <c r="E764" s="46" t="str">
        <f aca="false">IF(D764&lt;&gt;"",IFERROR(VLOOKUP(D764,PROVEEDORES!$A:$B,2,0),"!COD NO ENCONTRADO"),"")</f>
        <v>SCANFISK SEAFFOD S,L</v>
      </c>
      <c r="F764" s="88" t="str">
        <f aca="false">IF(D764&lt;&gt;"",IFERROR(VLOOKUP(D764,PROVEEDORES!$A:$C,3,0),""),"")</f>
        <v>N</v>
      </c>
      <c r="G764" s="87" t="s">
        <v>209</v>
      </c>
      <c r="H764" s="46" t="str">
        <f aca="false">IF(G764&lt;&gt;"",IFERROR(VLOOKUP(G764,PRODUCTOS!$A:$B,2,0),"!COD NO ENCONTRADO"),"")</f>
        <v>MERLUZA EUROPEA PINCHO</v>
      </c>
      <c r="I764" s="112" t="n">
        <v>10</v>
      </c>
      <c r="J764" s="105" t="n">
        <v>160.5</v>
      </c>
      <c r="K764" s="113" t="n">
        <v>6.6</v>
      </c>
      <c r="L764" s="107" t="n">
        <f aca="false">IF(AND(J764&lt;&gt;"",K764&lt;&gt;""),J764*K764,"")</f>
        <v>1059.3</v>
      </c>
      <c r="M764" s="108" t="n">
        <f aca="false">IF(L764&lt;&gt;"",L764*1.1,"")</f>
        <v>1165.23</v>
      </c>
      <c r="N764" s="114" t="n">
        <f aca="false">IF(F764="S",L764*0.02,0)</f>
        <v>0</v>
      </c>
      <c r="O764" s="115" t="n">
        <f aca="false">IF(L764&lt;&gt;"",L764+N764,"")</f>
        <v>1059.3</v>
      </c>
      <c r="P764" s="114" t="n">
        <f aca="false">IF(O764&lt;&gt;"",O764*0.1,"")</f>
        <v>105.93</v>
      </c>
      <c r="Q764" s="116" t="n">
        <f aca="false">IF(O764&lt;&gt;"",O764+P764,"")</f>
        <v>1165.23</v>
      </c>
      <c r="R764" s="84" t="s">
        <v>365</v>
      </c>
    </row>
    <row r="765" customFormat="false" ht="15" hidden="false" customHeight="true" outlineLevel="0" collapsed="false">
      <c r="A765" s="103" t="n">
        <v>56022</v>
      </c>
      <c r="B765" s="73" t="n">
        <v>46216</v>
      </c>
      <c r="C765" s="74" t="s">
        <v>449</v>
      </c>
      <c r="D765" s="75" t="n">
        <v>50035</v>
      </c>
      <c r="E765" s="52" t="str">
        <f aca="false">IF(D765&lt;&gt;"",IFERROR(VLOOKUP(D765,PROVEEDORES!$A:$B,2,0),"!COD NO ENCONTRADO"),"")</f>
        <v>SCANFISK SEAFFOD S,L</v>
      </c>
      <c r="F765" s="76" t="str">
        <f aca="false">IF(D765&lt;&gt;"",IFERROR(VLOOKUP(D765,PROVEEDORES!$A:$C,3,0),""),"")</f>
        <v>N</v>
      </c>
      <c r="G765" s="75" t="s">
        <v>246</v>
      </c>
      <c r="H765" s="52" t="str">
        <f aca="false">IF(G765&lt;&gt;"",IFERROR(VLOOKUP(G765,PRODUCTOS!$A:$B,2,0),"!COD NO ENCONTRADO"),"")</f>
        <v>MERLUZA EUROPEA VOLANTA ALTURA</v>
      </c>
      <c r="I765" s="77" t="n">
        <v>6</v>
      </c>
      <c r="J765" s="78" t="n">
        <v>62</v>
      </c>
      <c r="K765" s="109" t="n">
        <v>9.8</v>
      </c>
      <c r="L765" s="107" t="n">
        <f aca="false">IF(AND(J765&lt;&gt;"",K765&lt;&gt;""),J765*K765,"")</f>
        <v>607.6</v>
      </c>
      <c r="M765" s="108" t="n">
        <f aca="false">IF(L765&lt;&gt;"",L765*1.1,"")</f>
        <v>668.36</v>
      </c>
      <c r="N765" s="117" t="n">
        <f aca="false">IF(F765="S",L765*0.02,0)</f>
        <v>0</v>
      </c>
      <c r="O765" s="115" t="n">
        <f aca="false">IF(L765&lt;&gt;"",L765+N765,"")</f>
        <v>607.6</v>
      </c>
      <c r="P765" s="117" t="n">
        <f aca="false">IF(O765&lt;&gt;"",O765*0.1,"")</f>
        <v>60.76</v>
      </c>
      <c r="Q765" s="116" t="n">
        <f aca="false">IF(O765&lt;&gt;"",O765+P765,"")</f>
        <v>668.36</v>
      </c>
      <c r="R765" s="84" t="s">
        <v>365</v>
      </c>
    </row>
    <row r="766" customFormat="false" ht="15" hidden="false" customHeight="true" outlineLevel="0" collapsed="false">
      <c r="A766" s="103" t="n">
        <v>56022</v>
      </c>
      <c r="B766" s="85" t="n">
        <v>46216</v>
      </c>
      <c r="C766" s="86" t="s">
        <v>450</v>
      </c>
      <c r="D766" s="87" t="n">
        <v>50035</v>
      </c>
      <c r="E766" s="46" t="str">
        <f aca="false">IF(D766&lt;&gt;"",IFERROR(VLOOKUP(D766,PROVEEDORES!$A:$B,2,0),"!COD NO ENCONTRADO"),"")</f>
        <v>SCANFISK SEAFFOD S,L</v>
      </c>
      <c r="F766" s="88" t="str">
        <f aca="false">IF(D766&lt;&gt;"",IFERROR(VLOOKUP(D766,PROVEEDORES!$A:$C,3,0),""),"")</f>
        <v>N</v>
      </c>
      <c r="G766" s="87" t="s">
        <v>209</v>
      </c>
      <c r="H766" s="46" t="str">
        <f aca="false">IF(G766&lt;&gt;"",IFERROR(VLOOKUP(G766,PRODUCTOS!$A:$B,2,0),"!COD NO ENCONTRADO"),"")</f>
        <v>MERLUZA EUROPEA PINCHO</v>
      </c>
      <c r="I766" s="89" t="n">
        <v>12</v>
      </c>
      <c r="J766" s="90" t="n">
        <v>72.6</v>
      </c>
      <c r="K766" s="106" t="n">
        <v>6.4</v>
      </c>
      <c r="L766" s="107" t="n">
        <f aca="false">IF(AND(J766&lt;&gt;"",K766&lt;&gt;""),J766*K766,"")</f>
        <v>464.64</v>
      </c>
      <c r="M766" s="108" t="n">
        <f aca="false">IF(L766&lt;&gt;"",L766*1.1,"")</f>
        <v>511.104</v>
      </c>
      <c r="N766" s="114" t="n">
        <f aca="false">IF(F766="S",L766*0.02,0)</f>
        <v>0</v>
      </c>
      <c r="O766" s="115" t="n">
        <f aca="false">IF(L766&lt;&gt;"",L766+N766,"")</f>
        <v>464.64</v>
      </c>
      <c r="P766" s="114" t="n">
        <f aca="false">IF(O766&lt;&gt;"",O766*0.1,"")</f>
        <v>46.464</v>
      </c>
      <c r="Q766" s="116" t="n">
        <f aca="false">IF(O766&lt;&gt;"",O766+P766,"")</f>
        <v>511.104</v>
      </c>
      <c r="R766" s="84" t="s">
        <v>365</v>
      </c>
    </row>
    <row r="767" customFormat="false" ht="15" hidden="false" customHeight="true" outlineLevel="0" collapsed="false">
      <c r="A767" s="103" t="n">
        <v>56023</v>
      </c>
      <c r="B767" s="73" t="n">
        <v>46216</v>
      </c>
      <c r="C767" s="74" t="n">
        <v>10072607</v>
      </c>
      <c r="D767" s="75" t="n">
        <v>50532</v>
      </c>
      <c r="E767" s="52" t="str">
        <f aca="false">IF(D767&lt;&gt;"",IFERROR(VLOOKUP(D767,PROVEEDORES!$A:$B,2,0),"!COD NO ENCONTRADO"),"")</f>
        <v>AITORPESCA S.L.</v>
      </c>
      <c r="F767" s="76" t="str">
        <f aca="false">IF(D767&lt;&gt;"",IFERROR(VLOOKUP(D767,PROVEEDORES!$A:$C,3,0),""),"")</f>
        <v>N</v>
      </c>
      <c r="G767" s="75" t="s">
        <v>181</v>
      </c>
      <c r="H767" s="52" t="str">
        <f aca="false">IF(G767&lt;&gt;"",IFERROR(VLOOKUP(G767,PRODUCTOS!$A:$B,2,0),"!COD NO ENCONTRADO"),"")</f>
        <v>LIRIO EN FILETES</v>
      </c>
      <c r="I767" s="77" t="n">
        <v>12</v>
      </c>
      <c r="J767" s="78" t="n">
        <v>24</v>
      </c>
      <c r="K767" s="109" t="n">
        <v>4.4</v>
      </c>
      <c r="L767" s="107" t="n">
        <f aca="false">IF(AND(J767&lt;&gt;"",K767&lt;&gt;""),J767*K767,"")</f>
        <v>105.6</v>
      </c>
      <c r="M767" s="108" t="n">
        <f aca="false">IF(L767&lt;&gt;"",L767*1.1,"")</f>
        <v>116.16</v>
      </c>
      <c r="N767" s="117" t="n">
        <f aca="false">IF(F767="S",L767*0.02,0)</f>
        <v>0</v>
      </c>
      <c r="O767" s="115" t="n">
        <f aca="false">IF(L767&lt;&gt;"",L767+N767,"")</f>
        <v>105.6</v>
      </c>
      <c r="P767" s="117" t="n">
        <f aca="false">IF(O767&lt;&gt;"",O767*0.1,"")</f>
        <v>10.56</v>
      </c>
      <c r="Q767" s="116" t="n">
        <f aca="false">IF(O767&lt;&gt;"",O767+P767,"")</f>
        <v>116.16</v>
      </c>
      <c r="R767" s="84" t="s">
        <v>365</v>
      </c>
    </row>
    <row r="768" customFormat="false" ht="15" hidden="false" customHeight="true" outlineLevel="0" collapsed="false">
      <c r="A768" s="103" t="n">
        <v>56024</v>
      </c>
      <c r="B768" s="73" t="n">
        <v>46217</v>
      </c>
      <c r="C768" s="74" t="s">
        <v>451</v>
      </c>
      <c r="D768" s="75" t="n">
        <v>50232</v>
      </c>
      <c r="E768" s="52" t="str">
        <f aca="false">IF(D768&lt;&gt;"",IFERROR(VLOOKUP(D768,PROVEEDORES!$A:$B,2,0),"!COD NO ENCONTRADO"),"")</f>
        <v>XESTION NOVA LONXA RIVEIRA S.L.</v>
      </c>
      <c r="F768" s="76" t="str">
        <f aca="false">IF(D768&lt;&gt;"",IFERROR(VLOOKUP(D768,PROVEEDORES!$A:$C,3,0),""),"")</f>
        <v>S</v>
      </c>
      <c r="G768" s="75" t="s">
        <v>332</v>
      </c>
      <c r="H768" s="52" t="str">
        <f aca="false">IF(G768&lt;&gt;"",IFERROR(VLOOKUP(G768,PRODUCTOS!$A:$B,2,0),"!COD NO ENCONTRADO"),"")</f>
        <v>VARIADO PEQUEÑO</v>
      </c>
      <c r="I768" s="77" t="n">
        <v>1</v>
      </c>
      <c r="J768" s="78" t="n">
        <v>5.5</v>
      </c>
      <c r="K768" s="109" t="n">
        <v>1.5</v>
      </c>
      <c r="L768" s="107" t="n">
        <f aca="false">IF(AND(J768&lt;&gt;"",K768&lt;&gt;""),J768*K768,"")</f>
        <v>8.25</v>
      </c>
      <c r="M768" s="108" t="n">
        <f aca="false">IF(L768&lt;&gt;"",L768*1.1,"")</f>
        <v>9.075</v>
      </c>
      <c r="N768" s="117" t="n">
        <f aca="false">IF(F768="S",L768*0.02,0)</f>
        <v>0.165</v>
      </c>
      <c r="O768" s="115" t="n">
        <f aca="false">IF(L768&lt;&gt;"",L768+N768,"")</f>
        <v>8.415</v>
      </c>
      <c r="P768" s="117" t="n">
        <f aca="false">IF(O768&lt;&gt;"",O768*0.1,"")</f>
        <v>0.8415</v>
      </c>
      <c r="Q768" s="116" t="n">
        <f aca="false">IF(O768&lt;&gt;"",O768+P768,"")</f>
        <v>9.2565</v>
      </c>
      <c r="R768" s="84" t="s">
        <v>365</v>
      </c>
    </row>
    <row r="769" customFormat="false" ht="15" hidden="false" customHeight="true" outlineLevel="0" collapsed="false">
      <c r="A769" s="103" t="n">
        <v>56024</v>
      </c>
      <c r="B769" s="73" t="n">
        <v>46217</v>
      </c>
      <c r="C769" s="74" t="s">
        <v>451</v>
      </c>
      <c r="D769" s="75" t="n">
        <v>50232</v>
      </c>
      <c r="E769" s="52" t="str">
        <f aca="false">IF(D769&lt;&gt;"",IFERROR(VLOOKUP(D769,PROVEEDORES!$A:$B,2,0),"!COD NO ENCONTRADO"),"")</f>
        <v>XESTION NOVA LONXA RIVEIRA S.L.</v>
      </c>
      <c r="F769" s="88" t="str">
        <f aca="false">IF(D769&lt;&gt;"",IFERROR(VLOOKUP(D769,PROVEEDORES!$A:$C,3,0),""),"")</f>
        <v>S</v>
      </c>
      <c r="G769" s="87" t="s">
        <v>332</v>
      </c>
      <c r="H769" s="46" t="str">
        <f aca="false">IF(G769&lt;&gt;"",IFERROR(VLOOKUP(G769,PRODUCTOS!$A:$B,2,0),"!COD NO ENCONTRADO"),"")</f>
        <v>VARIADO PEQUEÑO</v>
      </c>
      <c r="I769" s="89" t="n">
        <v>3</v>
      </c>
      <c r="J769" s="90" t="n">
        <v>13.75</v>
      </c>
      <c r="K769" s="106" t="n">
        <v>1.5</v>
      </c>
      <c r="L769" s="107" t="n">
        <f aca="false">IF(AND(J769&lt;&gt;"",K769&lt;&gt;""),J769*K769,"")</f>
        <v>20.625</v>
      </c>
      <c r="M769" s="108" t="n">
        <f aca="false">IF(L769&lt;&gt;"",L769*1.1,"")</f>
        <v>22.6875</v>
      </c>
      <c r="N769" s="114" t="n">
        <f aca="false">IF(F769="S",L769*0.02,0)</f>
        <v>0.4125</v>
      </c>
      <c r="O769" s="115" t="n">
        <f aca="false">IF(L769&lt;&gt;"",L769+N769,"")</f>
        <v>21.0375</v>
      </c>
      <c r="P769" s="114" t="n">
        <f aca="false">IF(O769&lt;&gt;"",O769*0.1,"")</f>
        <v>2.10375</v>
      </c>
      <c r="Q769" s="116" t="n">
        <f aca="false">IF(O769&lt;&gt;"",O769+P769,"")</f>
        <v>23.14125</v>
      </c>
      <c r="R769" s="84" t="s">
        <v>365</v>
      </c>
    </row>
    <row r="770" customFormat="false" ht="15" hidden="false" customHeight="true" outlineLevel="0" collapsed="false">
      <c r="A770" s="103" t="n">
        <v>56024</v>
      </c>
      <c r="B770" s="73" t="n">
        <v>46217</v>
      </c>
      <c r="C770" s="74" t="s">
        <v>451</v>
      </c>
      <c r="D770" s="75" t="n">
        <v>50232</v>
      </c>
      <c r="E770" s="52" t="str">
        <f aca="false">IF(D770&lt;&gt;"",IFERROR(VLOOKUP(D770,PROVEEDORES!$A:$B,2,0),"!COD NO ENCONTRADO"),"")</f>
        <v>XESTION NOVA LONXA RIVEIRA S.L.</v>
      </c>
      <c r="F770" s="76" t="str">
        <f aca="false">IF(D770&lt;&gt;"",IFERROR(VLOOKUP(D770,PROVEEDORES!$A:$C,3,0),""),"")</f>
        <v>S</v>
      </c>
      <c r="G770" s="75" t="s">
        <v>270</v>
      </c>
      <c r="H770" s="52" t="str">
        <f aca="false">IF(G770&lt;&gt;"",IFERROR(VLOOKUP(G770,PRODUCTOS!$A:$B,2,0),"!COD NO ENCONTRADO"),"")</f>
        <v>PEON/ PION (ATP)</v>
      </c>
      <c r="I770" s="77" t="n">
        <v>10</v>
      </c>
      <c r="J770" s="78" t="n">
        <v>46.5</v>
      </c>
      <c r="K770" s="109" t="n">
        <v>4</v>
      </c>
      <c r="L770" s="107" t="n">
        <f aca="false">IF(AND(J770&lt;&gt;"",K770&lt;&gt;""),J770*K770,"")</f>
        <v>186</v>
      </c>
      <c r="M770" s="108" t="n">
        <f aca="false">IF(L770&lt;&gt;"",L770*1.1,"")</f>
        <v>204.6</v>
      </c>
      <c r="N770" s="117" t="n">
        <f aca="false">IF(F770="S",L770*0.02,0)</f>
        <v>3.72</v>
      </c>
      <c r="O770" s="115" t="n">
        <f aca="false">IF(L770&lt;&gt;"",L770+N770,"")</f>
        <v>189.72</v>
      </c>
      <c r="P770" s="117" t="n">
        <f aca="false">IF(O770&lt;&gt;"",O770*0.1,"")</f>
        <v>18.972</v>
      </c>
      <c r="Q770" s="116" t="n">
        <f aca="false">IF(O770&lt;&gt;"",O770+P770,"")</f>
        <v>208.692</v>
      </c>
      <c r="R770" s="84" t="s">
        <v>365</v>
      </c>
    </row>
    <row r="771" customFormat="false" ht="15" hidden="false" customHeight="true" outlineLevel="0" collapsed="false">
      <c r="A771" s="103" t="n">
        <v>56024</v>
      </c>
      <c r="B771" s="73" t="n">
        <v>46217</v>
      </c>
      <c r="C771" s="74" t="s">
        <v>451</v>
      </c>
      <c r="D771" s="75" t="n">
        <v>50232</v>
      </c>
      <c r="E771" s="52" t="str">
        <f aca="false">IF(D771&lt;&gt;"",IFERROR(VLOOKUP(D771,PROVEEDORES!$A:$B,2,0),"!COD NO ENCONTRADO"),"")</f>
        <v>XESTION NOVA LONXA RIVEIRA S.L.</v>
      </c>
      <c r="F771" s="88" t="str">
        <f aca="false">IF(D771&lt;&gt;"",IFERROR(VLOOKUP(D771,PROVEEDORES!$A:$C,3,0),""),"")</f>
        <v>S</v>
      </c>
      <c r="G771" s="87" t="s">
        <v>326</v>
      </c>
      <c r="H771" s="46" t="str">
        <f aca="false">IF(G771&lt;&gt;"",IFERROR(VLOOKUP(G771,PRODUCTOS!$A:$B,2,0),"!COD NO ENCONTRADO"),"")</f>
        <v>SARGO RIA (SWA)</v>
      </c>
      <c r="I771" s="89" t="n">
        <v>4</v>
      </c>
      <c r="J771" s="90" t="n">
        <v>13.3</v>
      </c>
      <c r="K771" s="106" t="n">
        <v>12</v>
      </c>
      <c r="L771" s="107" t="n">
        <f aca="false">IF(AND(J771&lt;&gt;"",K771&lt;&gt;""),J771*K771,"")</f>
        <v>159.6</v>
      </c>
      <c r="M771" s="108" t="n">
        <f aca="false">IF(L771&lt;&gt;"",L771*1.1,"")</f>
        <v>175.56</v>
      </c>
      <c r="N771" s="114" t="n">
        <f aca="false">IF(F771="S",L771*0.02,0)</f>
        <v>3.192</v>
      </c>
      <c r="O771" s="115" t="n">
        <f aca="false">IF(L771&lt;&gt;"",L771+N771,"")</f>
        <v>162.792</v>
      </c>
      <c r="P771" s="114" t="n">
        <f aca="false">IF(O771&lt;&gt;"",O771*0.1,"")</f>
        <v>16.2792</v>
      </c>
      <c r="Q771" s="116" t="n">
        <f aca="false">IF(O771&lt;&gt;"",O771+P771,"")</f>
        <v>179.0712</v>
      </c>
      <c r="R771" s="84" t="s">
        <v>365</v>
      </c>
    </row>
    <row r="772" customFormat="false" ht="15" hidden="false" customHeight="true" outlineLevel="0" collapsed="false">
      <c r="A772" s="103" t="n">
        <v>56024</v>
      </c>
      <c r="B772" s="73" t="n">
        <v>46217</v>
      </c>
      <c r="C772" s="74" t="s">
        <v>451</v>
      </c>
      <c r="D772" s="75" t="n">
        <v>50232</v>
      </c>
      <c r="E772" s="52" t="str">
        <f aca="false">IF(D772&lt;&gt;"",IFERROR(VLOOKUP(D772,PROVEEDORES!$A:$B,2,0),"!COD NO ENCONTRADO"),"")</f>
        <v>XESTION NOVA LONXA RIVEIRA S.L.</v>
      </c>
      <c r="F772" s="76" t="str">
        <f aca="false">IF(D772&lt;&gt;"",IFERROR(VLOOKUP(D772,PROVEEDORES!$A:$C,3,0),""),"")</f>
        <v>S</v>
      </c>
      <c r="G772" s="75" t="s">
        <v>304</v>
      </c>
      <c r="H772" s="52" t="str">
        <f aca="false">IF(G772&lt;&gt;"",IFERROR(VLOOKUP(G772,PRODUCTOS!$A:$B,2,0),"!COD NO ENCONTRADO"),"")</f>
        <v>RAYA SPP (SKA)</v>
      </c>
      <c r="I772" s="77" t="n">
        <v>40</v>
      </c>
      <c r="J772" s="78" t="n">
        <v>417.75</v>
      </c>
      <c r="K772" s="109" t="n">
        <v>1.88</v>
      </c>
      <c r="L772" s="107" t="n">
        <f aca="false">IF(AND(J772&lt;&gt;"",K772&lt;&gt;""),J772*K772,"")</f>
        <v>785.37</v>
      </c>
      <c r="M772" s="108" t="n">
        <f aca="false">IF(L772&lt;&gt;"",L772*1.1,"")</f>
        <v>863.907</v>
      </c>
      <c r="N772" s="117" t="n">
        <f aca="false">IF(F772="S",L772*0.02,0)</f>
        <v>15.7074</v>
      </c>
      <c r="O772" s="115" t="n">
        <f aca="false">IF(L772&lt;&gt;"",L772+N772,"")</f>
        <v>801.0774</v>
      </c>
      <c r="P772" s="117" t="n">
        <f aca="false">IF(O772&lt;&gt;"",O772*0.1,"")</f>
        <v>80.10774</v>
      </c>
      <c r="Q772" s="116" t="n">
        <f aca="false">IF(O772&lt;&gt;"",O772+P772,"")</f>
        <v>881.18514</v>
      </c>
      <c r="R772" s="84" t="s">
        <v>365</v>
      </c>
    </row>
    <row r="773" customFormat="false" ht="15" hidden="false" customHeight="true" outlineLevel="0" collapsed="false">
      <c r="A773" s="103" t="n">
        <v>56024</v>
      </c>
      <c r="B773" s="85" t="n">
        <v>46217</v>
      </c>
      <c r="C773" s="74" t="s">
        <v>451</v>
      </c>
      <c r="D773" s="87" t="n">
        <v>50232</v>
      </c>
      <c r="E773" s="46" t="str">
        <f aca="false">IF(D773&lt;&gt;"",IFERROR(VLOOKUP(D773,PROVEEDORES!$A:$B,2,0),"!COD NO ENCONTRADO"),"")</f>
        <v>XESTION NOVA LONXA RIVEIRA S.L.</v>
      </c>
      <c r="F773" s="88" t="str">
        <f aca="false">IF(D773&lt;&gt;"",IFERROR(VLOOKUP(D773,PROVEEDORES!$A:$C,3,0),""),"")</f>
        <v>S</v>
      </c>
      <c r="G773" s="87" t="s">
        <v>179</v>
      </c>
      <c r="H773" s="46" t="str">
        <f aca="false">IF(G773&lt;&gt;"",IFERROR(VLOOKUP(G773,PRODUCTOS!$A:$B,2,0),"!COD NO ENCONTRADO"),"")</f>
        <v>LIRIO/ BACALADILLA/ PERLA (WHB)</v>
      </c>
      <c r="I773" s="89" t="n">
        <v>20</v>
      </c>
      <c r="J773" s="105" t="n">
        <v>300</v>
      </c>
      <c r="K773" s="125" t="n">
        <v>1.6</v>
      </c>
      <c r="L773" s="80" t="n">
        <f aca="false">IF(AND(J773&lt;&gt;"",K773&lt;&gt;""),J773*K773,"")</f>
        <v>480</v>
      </c>
      <c r="M773" s="81" t="n">
        <f aca="false">IF(L773&lt;&gt;"",L773*1.1,"")</f>
        <v>528</v>
      </c>
      <c r="N773" s="47" t="n">
        <f aca="false">IF(F773="S",L773*0.02,0)</f>
        <v>9.6</v>
      </c>
      <c r="O773" s="82" t="n">
        <f aca="false">IF(L773&lt;&gt;"",L773+N773,"")</f>
        <v>489.6</v>
      </c>
      <c r="P773" s="47" t="n">
        <f aca="false">IF(O773&lt;&gt;"",O773*0.1,"")</f>
        <v>48.96</v>
      </c>
      <c r="Q773" s="83" t="n">
        <f aca="false">IF(O773&lt;&gt;"",O773+P773,"")</f>
        <v>538.56</v>
      </c>
      <c r="R773" s="84" t="s">
        <v>365</v>
      </c>
    </row>
    <row r="774" customFormat="false" ht="15" hidden="false" customHeight="true" outlineLevel="0" collapsed="false">
      <c r="A774" s="103" t="n">
        <v>56025</v>
      </c>
      <c r="B774" s="73" t="n">
        <v>46217</v>
      </c>
      <c r="C774" s="86" t="n">
        <v>10133</v>
      </c>
      <c r="D774" s="87" t="n">
        <v>50001</v>
      </c>
      <c r="E774" s="46" t="str">
        <f aca="false">IF(D774&lt;&gt;"",IFERROR(VLOOKUP(D774,PROVEEDORES!$A:$B,2,0),"!COD NO ENCONTRADO"),"")</f>
        <v>COPESA</v>
      </c>
      <c r="F774" s="88" t="str">
        <f aca="false">IF(D774&lt;&gt;"",IFERROR(VLOOKUP(D774,PROVEEDORES!$A:$C,3,0),""),"")</f>
        <v>S</v>
      </c>
      <c r="G774" s="87" t="s">
        <v>452</v>
      </c>
      <c r="H774" s="46" t="str">
        <f aca="false">IF(G774&lt;&gt;"",IFERROR(VLOOKUP(G774,PRODUCTOS!$A:$B,2,0),"!COD NO ENCONTRADO"),"")</f>
        <v>BONITO DEL NORTE  +10 (ALB)</v>
      </c>
      <c r="I774" s="89" t="n">
        <v>2</v>
      </c>
      <c r="J774" s="105" t="n">
        <v>55.5</v>
      </c>
      <c r="K774" s="125" t="n">
        <v>5.3</v>
      </c>
      <c r="L774" s="80" t="n">
        <f aca="false">IF(AND(J774&lt;&gt;"",K774&lt;&gt;""),J774*K774,"")</f>
        <v>294.15</v>
      </c>
      <c r="M774" s="81" t="n">
        <f aca="false">IF(L774&lt;&gt;"",L774*1.1,"")</f>
        <v>323.565</v>
      </c>
      <c r="N774" s="47" t="n">
        <f aca="false">IF(F774="S",L774*0.02,0)</f>
        <v>5.883</v>
      </c>
      <c r="O774" s="82" t="n">
        <f aca="false">IF(L774&lt;&gt;"",L774+N774,"")</f>
        <v>300.033</v>
      </c>
      <c r="P774" s="47" t="n">
        <f aca="false">IF(O774&lt;&gt;"",O774*0.1,"")</f>
        <v>30.0033</v>
      </c>
      <c r="Q774" s="83" t="n">
        <f aca="false">IF(O774&lt;&gt;"",O774+P774,"")</f>
        <v>330.0363</v>
      </c>
      <c r="R774" s="84" t="s">
        <v>365</v>
      </c>
    </row>
    <row r="775" customFormat="false" ht="15" hidden="false" customHeight="true" outlineLevel="0" collapsed="false">
      <c r="A775" s="103" t="n">
        <v>56025</v>
      </c>
      <c r="B775" s="73" t="n">
        <v>46217</v>
      </c>
      <c r="C775" s="86" t="n">
        <v>10133</v>
      </c>
      <c r="D775" s="87" t="n">
        <v>50001</v>
      </c>
      <c r="E775" s="46" t="str">
        <f aca="false">IF(D775&lt;&gt;"",IFERROR(VLOOKUP(D775,PROVEEDORES!$A:$B,2,0),"!COD NO ENCONTRADO"),"")</f>
        <v>COPESA</v>
      </c>
      <c r="F775" s="88" t="str">
        <f aca="false">IF(D775&lt;&gt;"",IFERROR(VLOOKUP(D775,PROVEEDORES!$A:$C,3,0),""),"")</f>
        <v>S</v>
      </c>
      <c r="G775" s="87" t="s">
        <v>91</v>
      </c>
      <c r="H775" s="46" t="str">
        <f aca="false">IF(G775&lt;&gt;"",IFERROR(VLOOKUP(G775,PRODUCTOS!$A:$B,2,0),"!COD NO ENCONTRADO"),"")</f>
        <v>BONITO DEL NORTE 5/7</v>
      </c>
      <c r="I775" s="89" t="n">
        <v>1</v>
      </c>
      <c r="J775" s="105" t="n">
        <v>50.5</v>
      </c>
      <c r="K775" s="125" t="n">
        <v>4.2</v>
      </c>
      <c r="L775" s="80" t="n">
        <f aca="false">IF(AND(J775&lt;&gt;"",K775&lt;&gt;""),J775*K775,"")</f>
        <v>212.1</v>
      </c>
      <c r="M775" s="81" t="n">
        <f aca="false">IF(L775&lt;&gt;"",L775*1.1,"")</f>
        <v>233.31</v>
      </c>
      <c r="N775" s="47" t="n">
        <f aca="false">IF(F775="S",L775*0.02,0)</f>
        <v>4.242</v>
      </c>
      <c r="O775" s="82" t="n">
        <f aca="false">IF(L775&lt;&gt;"",L775+N775,"")</f>
        <v>216.342</v>
      </c>
      <c r="P775" s="47" t="n">
        <f aca="false">IF(O775&lt;&gt;"",O775*0.1,"")</f>
        <v>21.6342</v>
      </c>
      <c r="Q775" s="83" t="n">
        <f aca="false">IF(O775&lt;&gt;"",O775+P775,"")</f>
        <v>237.9762</v>
      </c>
      <c r="R775" s="84" t="s">
        <v>358</v>
      </c>
    </row>
    <row r="776" customFormat="false" ht="15" hidden="false" customHeight="true" outlineLevel="0" collapsed="false">
      <c r="A776" s="103" t="n">
        <v>56025</v>
      </c>
      <c r="B776" s="73" t="n">
        <v>46217</v>
      </c>
      <c r="C776" s="74" t="n">
        <v>10133</v>
      </c>
      <c r="D776" s="75" t="n">
        <v>50001</v>
      </c>
      <c r="E776" s="52" t="str">
        <f aca="false">IF(D776&lt;&gt;"",IFERROR(VLOOKUP(D776,PROVEEDORES!$A:$B,2,0),"!COD NO ENCONTRADO"),"")</f>
        <v>COPESA</v>
      </c>
      <c r="F776" s="76" t="str">
        <f aca="false">IF(D776&lt;&gt;"",IFERROR(VLOOKUP(D776,PROVEEDORES!$A:$C,3,0),""),"")</f>
        <v>S</v>
      </c>
      <c r="G776" s="75" t="s">
        <v>91</v>
      </c>
      <c r="H776" s="52" t="str">
        <f aca="false">IF(G776&lt;&gt;"",IFERROR(VLOOKUP(G776,PRODUCTOS!$A:$B,2,0),"!COD NO ENCONTRADO"),"")</f>
        <v>BONITO DEL NORTE 5/7</v>
      </c>
      <c r="I776" s="77" t="n">
        <v>1</v>
      </c>
      <c r="J776" s="105" t="n">
        <v>45</v>
      </c>
      <c r="K776" s="125" t="n">
        <v>4.25</v>
      </c>
      <c r="L776" s="80" t="n">
        <f aca="false">IF(AND(J776&lt;&gt;"",K776&lt;&gt;""),J776*K776,"")</f>
        <v>191.25</v>
      </c>
      <c r="M776" s="81" t="n">
        <f aca="false">IF(L776&lt;&gt;"",L776*1.1,"")</f>
        <v>210.375</v>
      </c>
      <c r="N776" s="53" t="n">
        <f aca="false">IF(F776="S",L776*0.02,0)</f>
        <v>3.825</v>
      </c>
      <c r="O776" s="82" t="n">
        <f aca="false">IF(L776&lt;&gt;"",L776+N776,"")</f>
        <v>195.075</v>
      </c>
      <c r="P776" s="53" t="n">
        <f aca="false">IF(O776&lt;&gt;"",O776*0.1,"")</f>
        <v>19.5075</v>
      </c>
      <c r="Q776" s="83" t="n">
        <f aca="false">IF(O776&lt;&gt;"",O776+P776,"")</f>
        <v>214.5825</v>
      </c>
      <c r="R776" s="84" t="s">
        <v>358</v>
      </c>
    </row>
    <row r="777" customFormat="false" ht="15" hidden="false" customHeight="true" outlineLevel="0" collapsed="false">
      <c r="A777" s="103" t="n">
        <v>56026</v>
      </c>
      <c r="B777" s="73" t="n">
        <v>46217</v>
      </c>
      <c r="C777" s="86" t="n">
        <v>7436</v>
      </c>
      <c r="D777" s="87" t="n">
        <v>50020</v>
      </c>
      <c r="E777" s="46" t="str">
        <f aca="false">IF(D777&lt;&gt;"",IFERROR(VLOOKUP(D777,PROVEEDORES!$A:$B,2,0),"!COD NO ENCONTRADO"),"")</f>
        <v>PACO MOINELO</v>
      </c>
      <c r="F777" s="88" t="str">
        <f aca="false">IF(D777&lt;&gt;"",IFERROR(VLOOKUP(D777,PROVEEDORES!$A:$C,3,0),""),"")</f>
        <v>S</v>
      </c>
      <c r="G777" s="87" t="s">
        <v>183</v>
      </c>
      <c r="H777" s="46" t="str">
        <f aca="false">IF(G777&lt;&gt;"",IFERROR(VLOOKUP(G777,PRODUCTOS!$A:$B,2,0),"!COD NO ENCONTRADO"),"")</f>
        <v>LUBINA RIA/ ROBALIZA (BSS)</v>
      </c>
      <c r="I777" s="89" t="n">
        <v>12</v>
      </c>
      <c r="J777" s="90" t="n">
        <v>109.7</v>
      </c>
      <c r="K777" s="91" t="n">
        <v>17</v>
      </c>
      <c r="L777" s="80" t="n">
        <f aca="false">IF(AND(J777&lt;&gt;"",K777&lt;&gt;""),J777*K777,"")</f>
        <v>1864.9</v>
      </c>
      <c r="M777" s="81" t="n">
        <f aca="false">IF(L777&lt;&gt;"",L777*1.1,"")</f>
        <v>2051.39</v>
      </c>
      <c r="N777" s="47" t="n">
        <f aca="false">IF(F777="S",L777*0.02,0)</f>
        <v>37.298</v>
      </c>
      <c r="O777" s="82" t="n">
        <f aca="false">IF(L777&lt;&gt;"",L777+N777,"")</f>
        <v>1902.198</v>
      </c>
      <c r="P777" s="47" t="n">
        <f aca="false">IF(O777&lt;&gt;"",O777*0.1,"")</f>
        <v>190.2198</v>
      </c>
      <c r="Q777" s="83" t="n">
        <f aca="false">IF(O777&lt;&gt;"",O777+P777,"")</f>
        <v>2092.4178</v>
      </c>
      <c r="R777" s="84" t="s">
        <v>358</v>
      </c>
    </row>
    <row r="778" customFormat="false" ht="15" hidden="false" customHeight="true" outlineLevel="0" collapsed="false">
      <c r="A778" s="103" t="n">
        <v>56026</v>
      </c>
      <c r="B778" s="73" t="n">
        <v>46217</v>
      </c>
      <c r="C778" s="74" t="n">
        <v>7436</v>
      </c>
      <c r="D778" s="75" t="n">
        <v>50020</v>
      </c>
      <c r="E778" s="52" t="str">
        <f aca="false">IF(D778&lt;&gt;"",IFERROR(VLOOKUP(D778,PROVEEDORES!$A:$B,2,0),"!COD NO ENCONTRADO"),"")</f>
        <v>PACO MOINELO</v>
      </c>
      <c r="F778" s="76" t="str">
        <f aca="false">IF(D778&lt;&gt;"",IFERROR(VLOOKUP(D778,PROVEEDORES!$A:$C,3,0),""),"")</f>
        <v>S</v>
      </c>
      <c r="G778" s="75" t="s">
        <v>183</v>
      </c>
      <c r="H778" s="52" t="str">
        <f aca="false">IF(G778&lt;&gt;"",IFERROR(VLOOKUP(G778,PRODUCTOS!$A:$B,2,0),"!COD NO ENCONTRADO"),"")</f>
        <v>LUBINA RIA/ ROBALIZA (BSS)</v>
      </c>
      <c r="I778" s="77" t="n">
        <v>5</v>
      </c>
      <c r="J778" s="78" t="n">
        <v>47.85</v>
      </c>
      <c r="K778" s="79" t="n">
        <v>17</v>
      </c>
      <c r="L778" s="80" t="n">
        <f aca="false">IF(AND(J778&lt;&gt;"",K778&lt;&gt;""),J778*K778,"")</f>
        <v>813.45</v>
      </c>
      <c r="M778" s="81" t="n">
        <f aca="false">IF(L778&lt;&gt;"",L778*1.1,"")</f>
        <v>894.795</v>
      </c>
      <c r="N778" s="53" t="n">
        <f aca="false">IF(F778="S",L778*0.02,0)</f>
        <v>16.269</v>
      </c>
      <c r="O778" s="82" t="n">
        <f aca="false">IF(L778&lt;&gt;"",L778+N778,"")</f>
        <v>829.719</v>
      </c>
      <c r="P778" s="53" t="n">
        <f aca="false">IF(O778&lt;&gt;"",O778*0.1,"")</f>
        <v>82.9719</v>
      </c>
      <c r="Q778" s="83" t="n">
        <f aca="false">IF(O778&lt;&gt;"",O778+P778,"")</f>
        <v>912.6909</v>
      </c>
      <c r="R778" s="84" t="s">
        <v>358</v>
      </c>
    </row>
    <row r="779" customFormat="false" ht="15" hidden="false" customHeight="true" outlineLevel="0" collapsed="false">
      <c r="A779" s="103" t="n">
        <v>56027</v>
      </c>
      <c r="B779" s="73" t="n">
        <v>46217</v>
      </c>
      <c r="C779" s="74" t="n">
        <v>33396</v>
      </c>
      <c r="D779" s="87" t="n">
        <v>50106</v>
      </c>
      <c r="E779" s="52" t="str">
        <f aca="false">IF(D779&lt;&gt;"",IFERROR(VLOOKUP(D779,PROVEEDORES!$A:$B,2,0),"!COD NO ENCONTRADO"),"")</f>
        <v>SONIA VENTAS S.L</v>
      </c>
      <c r="F779" s="76" t="str">
        <f aca="false">IF(D779&lt;&gt;"",IFERROR(VLOOKUP(D779,PROVEEDORES!$A:$C,3,0),""),"")</f>
        <v>S</v>
      </c>
      <c r="G779" s="75" t="s">
        <v>221</v>
      </c>
      <c r="H779" s="52" t="str">
        <f aca="false">IF(G779&lt;&gt;"",IFERROR(VLOOKUP(G779,PRODUCTOS!$A:$B,2,0),"!COD NO ENCONTRADO"),"")</f>
        <v>MERLUZA EUROPEA PINCHO COSTA 800</v>
      </c>
      <c r="I779" s="77" t="n">
        <v>3</v>
      </c>
      <c r="J779" s="105" t="n">
        <v>41.75</v>
      </c>
      <c r="K779" s="79" t="n">
        <v>5.6</v>
      </c>
      <c r="L779" s="80" t="n">
        <f aca="false">IF(AND(J779&lt;&gt;"",K779&lt;&gt;""),J779*K779,"")</f>
        <v>233.8</v>
      </c>
      <c r="M779" s="81" t="n">
        <f aca="false">IF(L779&lt;&gt;"",L779*1.1,"")</f>
        <v>257.18</v>
      </c>
      <c r="N779" s="53" t="n">
        <f aca="false">IF(F779="S",L779*0.02,0)</f>
        <v>4.676</v>
      </c>
      <c r="O779" s="82" t="n">
        <f aca="false">IF(L779&lt;&gt;"",L779+N779,"")</f>
        <v>238.476</v>
      </c>
      <c r="P779" s="53" t="n">
        <f aca="false">IF(O779&lt;&gt;"",O779*0.1,"")</f>
        <v>23.8476</v>
      </c>
      <c r="Q779" s="83" t="n">
        <f aca="false">IF(O779&lt;&gt;"",O779+P779,"")</f>
        <v>262.3236</v>
      </c>
      <c r="R779" s="84" t="s">
        <v>358</v>
      </c>
    </row>
    <row r="780" customFormat="false" ht="15" hidden="false" customHeight="true" outlineLevel="0" collapsed="false">
      <c r="A780" s="103" t="n">
        <v>56027</v>
      </c>
      <c r="B780" s="73" t="n">
        <v>46217</v>
      </c>
      <c r="C780" s="74" t="n">
        <v>33396</v>
      </c>
      <c r="D780" s="87" t="n">
        <v>50106</v>
      </c>
      <c r="E780" s="46" t="str">
        <f aca="false">IF(D780&lt;&gt;"",IFERROR(VLOOKUP(D780,PROVEEDORES!$A:$B,2,0),"!COD NO ENCONTRADO"),"")</f>
        <v>SONIA VENTAS S.L</v>
      </c>
      <c r="F780" s="88" t="str">
        <f aca="false">IF(D780&lt;&gt;"",IFERROR(VLOOKUP(D780,PROVEEDORES!$A:$C,3,0),""),"")</f>
        <v>S</v>
      </c>
      <c r="G780" s="87" t="s">
        <v>221</v>
      </c>
      <c r="H780" s="46" t="str">
        <f aca="false">IF(G780&lt;&gt;"",IFERROR(VLOOKUP(G780,PRODUCTOS!$A:$B,2,0),"!COD NO ENCONTRADO"),"")</f>
        <v>MERLUZA EUROPEA PINCHO COSTA 800</v>
      </c>
      <c r="I780" s="89" t="n">
        <v>3</v>
      </c>
      <c r="J780" s="105" t="n">
        <v>42.25</v>
      </c>
      <c r="K780" s="91" t="n">
        <v>5.3</v>
      </c>
      <c r="L780" s="80" t="n">
        <f aca="false">IF(AND(J780&lt;&gt;"",K780&lt;&gt;""),J780*K780,"")</f>
        <v>223.925</v>
      </c>
      <c r="M780" s="81" t="n">
        <f aca="false">IF(L780&lt;&gt;"",L780*1.1,"")</f>
        <v>246.3175</v>
      </c>
      <c r="N780" s="47" t="n">
        <f aca="false">IF(F780="S",L780*0.02,0)</f>
        <v>4.4785</v>
      </c>
      <c r="O780" s="82" t="n">
        <f aca="false">IF(L780&lt;&gt;"",L780+N780,"")</f>
        <v>228.4035</v>
      </c>
      <c r="P780" s="47" t="n">
        <f aca="false">IF(O780&lt;&gt;"",O780*0.1,"")</f>
        <v>22.84035</v>
      </c>
      <c r="Q780" s="83" t="n">
        <f aca="false">IF(O780&lt;&gt;"",O780+P780,"")</f>
        <v>251.24385</v>
      </c>
      <c r="R780" s="84" t="s">
        <v>358</v>
      </c>
    </row>
    <row r="781" customFormat="false" ht="15" hidden="false" customHeight="true" outlineLevel="0" collapsed="false">
      <c r="A781" s="103" t="n">
        <v>56027</v>
      </c>
      <c r="B781" s="73" t="n">
        <v>46217</v>
      </c>
      <c r="C781" s="74" t="n">
        <v>33396</v>
      </c>
      <c r="D781" s="87" t="n">
        <v>50106</v>
      </c>
      <c r="E781" s="52" t="str">
        <f aca="false">IF(D781&lt;&gt;"",IFERROR(VLOOKUP(D781,PROVEEDORES!$A:$B,2,0),"!COD NO ENCONTRADO"),"")</f>
        <v>SONIA VENTAS S.L</v>
      </c>
      <c r="F781" s="76" t="str">
        <f aca="false">IF(D781&lt;&gt;"",IFERROR(VLOOKUP(D781,PROVEEDORES!$A:$C,3,0),""),"")</f>
        <v>S</v>
      </c>
      <c r="G781" s="75" t="s">
        <v>221</v>
      </c>
      <c r="H781" s="52" t="str">
        <f aca="false">IF(G781&lt;&gt;"",IFERROR(VLOOKUP(G781,PRODUCTOS!$A:$B,2,0),"!COD NO ENCONTRADO"),"")</f>
        <v>MERLUZA EUROPEA PINCHO COSTA 800</v>
      </c>
      <c r="I781" s="77" t="n">
        <v>2</v>
      </c>
      <c r="J781" s="105" t="n">
        <v>28.25</v>
      </c>
      <c r="K781" s="79" t="n">
        <v>5.5</v>
      </c>
      <c r="L781" s="80" t="n">
        <f aca="false">IF(AND(J781&lt;&gt;"",K781&lt;&gt;""),J781*K781,"")</f>
        <v>155.375</v>
      </c>
      <c r="M781" s="81" t="n">
        <f aca="false">IF(L781&lt;&gt;"",L781*1.1,"")</f>
        <v>170.9125</v>
      </c>
      <c r="N781" s="53" t="n">
        <f aca="false">IF(F781="S",L781*0.02,0)</f>
        <v>3.1075</v>
      </c>
      <c r="O781" s="82" t="n">
        <f aca="false">IF(L781&lt;&gt;"",L781+N781,"")</f>
        <v>158.4825</v>
      </c>
      <c r="P781" s="53" t="n">
        <f aca="false">IF(O781&lt;&gt;"",O781*0.1,"")</f>
        <v>15.84825</v>
      </c>
      <c r="Q781" s="83" t="n">
        <f aca="false">IF(O781&lt;&gt;"",O781+P781,"")</f>
        <v>174.33075</v>
      </c>
      <c r="R781" s="84" t="s">
        <v>365</v>
      </c>
    </row>
    <row r="782" customFormat="false" ht="15" hidden="false" customHeight="true" outlineLevel="0" collapsed="false">
      <c r="A782" s="103" t="n">
        <v>56027</v>
      </c>
      <c r="B782" s="73" t="n">
        <v>46217</v>
      </c>
      <c r="C782" s="74" t="n">
        <v>33396</v>
      </c>
      <c r="D782" s="87" t="n">
        <v>50106</v>
      </c>
      <c r="E782" s="46" t="str">
        <f aca="false">IF(D782&lt;&gt;"",IFERROR(VLOOKUP(D782,PROVEEDORES!$A:$B,2,0),"!COD NO ENCONTRADO"),"")</f>
        <v>SONIA VENTAS S.L</v>
      </c>
      <c r="F782" s="88" t="str">
        <f aca="false">IF(D782&lt;&gt;"",IFERROR(VLOOKUP(D782,PROVEEDORES!$A:$C,3,0),""),"")</f>
        <v>S</v>
      </c>
      <c r="G782" s="87" t="s">
        <v>221</v>
      </c>
      <c r="H782" s="46" t="str">
        <f aca="false">IF(G782&lt;&gt;"",IFERROR(VLOOKUP(G782,PRODUCTOS!$A:$B,2,0),"!COD NO ENCONTRADO"),"")</f>
        <v>MERLUZA EUROPEA PINCHO COSTA 800</v>
      </c>
      <c r="I782" s="89" t="n">
        <v>12</v>
      </c>
      <c r="J782" s="105" t="n">
        <v>163.75</v>
      </c>
      <c r="K782" s="91" t="n">
        <v>5.5</v>
      </c>
      <c r="L782" s="80" t="n">
        <f aca="false">IF(AND(J782&lt;&gt;"",K782&lt;&gt;""),J782*K782,"")</f>
        <v>900.625</v>
      </c>
      <c r="M782" s="81" t="n">
        <f aca="false">IF(L782&lt;&gt;"",L782*1.1,"")</f>
        <v>990.6875</v>
      </c>
      <c r="N782" s="47" t="n">
        <f aca="false">IF(F782="S",L782*0.02,0)</f>
        <v>18.0125</v>
      </c>
      <c r="O782" s="82" t="n">
        <f aca="false">IF(L782&lt;&gt;"",L782+N782,"")</f>
        <v>918.6375</v>
      </c>
      <c r="P782" s="47" t="n">
        <f aca="false">IF(O782&lt;&gt;"",O782*0.1,"")</f>
        <v>91.86375</v>
      </c>
      <c r="Q782" s="83" t="n">
        <f aca="false">IF(O782&lt;&gt;"",O782+P782,"")</f>
        <v>1010.50125</v>
      </c>
      <c r="R782" s="84" t="s">
        <v>358</v>
      </c>
    </row>
    <row r="783" customFormat="false" ht="15" hidden="false" customHeight="true" outlineLevel="0" collapsed="false">
      <c r="A783" s="103" t="n">
        <v>56027</v>
      </c>
      <c r="B783" s="73" t="n">
        <v>46217</v>
      </c>
      <c r="C783" s="74" t="n">
        <v>33396</v>
      </c>
      <c r="D783" s="87" t="n">
        <v>50106</v>
      </c>
      <c r="E783" s="52" t="str">
        <f aca="false">IF(D783&lt;&gt;"",IFERROR(VLOOKUP(D783,PROVEEDORES!$A:$B,2,0),"!COD NO ENCONTRADO"),"")</f>
        <v>SONIA VENTAS S.L</v>
      </c>
      <c r="F783" s="76" t="str">
        <f aca="false">IF(D783&lt;&gt;"",IFERROR(VLOOKUP(D783,PROVEEDORES!$A:$C,3,0),""),"")</f>
        <v>S</v>
      </c>
      <c r="G783" s="87" t="s">
        <v>223</v>
      </c>
      <c r="H783" s="52" t="str">
        <f aca="false">IF(G783&lt;&gt;"",IFERROR(VLOOKUP(G783,PRODUCTOS!$A:$B,2,0),"!COD NO ENCONTRADO"),"")</f>
        <v>MERLUZA EUROPEA PINCHO COSTA 1000</v>
      </c>
      <c r="I783" s="77" t="n">
        <v>4</v>
      </c>
      <c r="J783" s="105" t="n">
        <v>58.25</v>
      </c>
      <c r="K783" s="79" t="n">
        <v>5.8</v>
      </c>
      <c r="L783" s="80" t="n">
        <f aca="false">IF(AND(J783&lt;&gt;"",K783&lt;&gt;""),J783*K783,"")</f>
        <v>337.85</v>
      </c>
      <c r="M783" s="81" t="n">
        <f aca="false">IF(L783&lt;&gt;"",L783*1.1,"")</f>
        <v>371.635</v>
      </c>
      <c r="N783" s="53" t="n">
        <f aca="false">IF(F783="S",L783*0.02,0)</f>
        <v>6.757</v>
      </c>
      <c r="O783" s="82" t="n">
        <f aca="false">IF(L783&lt;&gt;"",L783+N783,"")</f>
        <v>344.607</v>
      </c>
      <c r="P783" s="53" t="n">
        <f aca="false">IF(O783&lt;&gt;"",O783*0.1,"")</f>
        <v>34.4607</v>
      </c>
      <c r="Q783" s="83" t="n">
        <f aca="false">IF(O783&lt;&gt;"",O783+P783,"")</f>
        <v>379.0677</v>
      </c>
      <c r="R783" s="84" t="s">
        <v>358</v>
      </c>
    </row>
    <row r="784" customFormat="false" ht="15" hidden="false" customHeight="true" outlineLevel="0" collapsed="false">
      <c r="A784" s="103" t="n">
        <v>56027</v>
      </c>
      <c r="B784" s="73" t="n">
        <v>46217</v>
      </c>
      <c r="C784" s="74" t="n">
        <v>33396</v>
      </c>
      <c r="D784" s="87" t="n">
        <v>50106</v>
      </c>
      <c r="E784" s="46" t="str">
        <f aca="false">IF(D784&lt;&gt;"",IFERROR(VLOOKUP(D784,PROVEEDORES!$A:$B,2,0),"!COD NO ENCONTRADO"),"")</f>
        <v>SONIA VENTAS S.L</v>
      </c>
      <c r="F784" s="88" t="str">
        <f aca="false">IF(D784&lt;&gt;"",IFERROR(VLOOKUP(D784,PROVEEDORES!$A:$C,3,0),""),"")</f>
        <v>S</v>
      </c>
      <c r="G784" s="75" t="s">
        <v>227</v>
      </c>
      <c r="H784" s="46" t="str">
        <f aca="false">IF(G784&lt;&gt;"",IFERROR(VLOOKUP(G784,PRODUCTOS!$A:$B,2,0),"!COD NO ENCONTRADO"),"")</f>
        <v>MERLUZA EUROPEA PINCHO COSTA 1,5/2</v>
      </c>
      <c r="I784" s="89" t="n">
        <v>2</v>
      </c>
      <c r="J784" s="105" t="n">
        <v>30.25</v>
      </c>
      <c r="K784" s="91" t="n">
        <v>8.5</v>
      </c>
      <c r="L784" s="80" t="n">
        <f aca="false">IF(AND(J784&lt;&gt;"",K784&lt;&gt;""),J784*K784,"")</f>
        <v>257.125</v>
      </c>
      <c r="M784" s="81" t="n">
        <f aca="false">IF(L784&lt;&gt;"",L784*1.1,"")</f>
        <v>282.8375</v>
      </c>
      <c r="N784" s="47" t="n">
        <f aca="false">IF(F784="S",L784*0.02,0)</f>
        <v>5.1425</v>
      </c>
      <c r="O784" s="82" t="n">
        <f aca="false">IF(L784&lt;&gt;"",L784+N784,"")</f>
        <v>262.2675</v>
      </c>
      <c r="P784" s="47" t="n">
        <f aca="false">IF(O784&lt;&gt;"",O784*0.1,"")</f>
        <v>26.22675</v>
      </c>
      <c r="Q784" s="83" t="n">
        <f aca="false">IF(O784&lt;&gt;"",O784+P784,"")</f>
        <v>288.49425</v>
      </c>
      <c r="R784" s="84" t="s">
        <v>358</v>
      </c>
    </row>
    <row r="785" customFormat="false" ht="15" hidden="false" customHeight="true" outlineLevel="0" collapsed="false">
      <c r="A785" s="103" t="n">
        <v>56027</v>
      </c>
      <c r="B785" s="73" t="n">
        <v>46217</v>
      </c>
      <c r="C785" s="74" t="n">
        <v>33396</v>
      </c>
      <c r="D785" s="75" t="n">
        <v>50106</v>
      </c>
      <c r="E785" s="52" t="str">
        <f aca="false">IF(D785&lt;&gt;"",IFERROR(VLOOKUP(D785,PROVEEDORES!$A:$B,2,0),"!COD NO ENCONTRADO"),"")</f>
        <v>SONIA VENTAS S.L</v>
      </c>
      <c r="F785" s="76" t="str">
        <f aca="false">IF(D785&lt;&gt;"",IFERROR(VLOOKUP(D785,PROVEEDORES!$A:$C,3,0),""),"")</f>
        <v>S</v>
      </c>
      <c r="G785" s="75" t="s">
        <v>227</v>
      </c>
      <c r="H785" s="52" t="str">
        <f aca="false">IF(G785&lt;&gt;"",IFERROR(VLOOKUP(G785,PRODUCTOS!$A:$B,2,0),"!COD NO ENCONTRADO"),"")</f>
        <v>MERLUZA EUROPEA PINCHO COSTA 1,5/2</v>
      </c>
      <c r="I785" s="77" t="n">
        <v>1</v>
      </c>
      <c r="J785" s="105" t="n">
        <v>15.25</v>
      </c>
      <c r="K785" s="79" t="n">
        <v>9.4</v>
      </c>
      <c r="L785" s="80" t="n">
        <f aca="false">IF(AND(J785&lt;&gt;"",K785&lt;&gt;""),J785*K785,"")</f>
        <v>143.35</v>
      </c>
      <c r="M785" s="81" t="n">
        <f aca="false">IF(L785&lt;&gt;"",L785*1.1,"")</f>
        <v>157.685</v>
      </c>
      <c r="N785" s="53" t="n">
        <f aca="false">IF(F785="S",L785*0.02,0)</f>
        <v>2.867</v>
      </c>
      <c r="O785" s="82" t="n">
        <f aca="false">IF(L785&lt;&gt;"",L785+N785,"")</f>
        <v>146.217</v>
      </c>
      <c r="P785" s="53" t="n">
        <f aca="false">IF(O785&lt;&gt;"",O785*0.1,"")</f>
        <v>14.6217</v>
      </c>
      <c r="Q785" s="83" t="n">
        <f aca="false">IF(O785&lt;&gt;"",O785+P785,"")</f>
        <v>160.8387</v>
      </c>
      <c r="R785" s="84" t="s">
        <v>358</v>
      </c>
    </row>
    <row r="786" customFormat="false" ht="15" hidden="false" customHeight="true" outlineLevel="0" collapsed="false">
      <c r="A786" s="103" t="n">
        <v>56027</v>
      </c>
      <c r="B786" s="73" t="n">
        <v>46217</v>
      </c>
      <c r="C786" s="74" t="n">
        <v>33396</v>
      </c>
      <c r="D786" s="87" t="n">
        <v>50106</v>
      </c>
      <c r="E786" s="46" t="str">
        <f aca="false">IF(D786&lt;&gt;"",IFERROR(VLOOKUP(D786,PROVEEDORES!$A:$B,2,0),"!COD NO ENCONTRADO"),"")</f>
        <v>SONIA VENTAS S.L</v>
      </c>
      <c r="F786" s="88" t="str">
        <f aca="false">IF(D786&lt;&gt;"",IFERROR(VLOOKUP(D786,PROVEEDORES!$A:$C,3,0),""),"")</f>
        <v>S</v>
      </c>
      <c r="G786" s="87" t="s">
        <v>229</v>
      </c>
      <c r="H786" s="46" t="str">
        <f aca="false">IF(G786&lt;&gt;"",IFERROR(VLOOKUP(G786,PRODUCTOS!$A:$B,2,0),"!COD NO ENCONTRADO"),"")</f>
        <v>MERLUZA EUROPEA PINCHO COSTA 2+</v>
      </c>
      <c r="I786" s="89" t="n">
        <v>1</v>
      </c>
      <c r="J786" s="105" t="n">
        <v>17.25</v>
      </c>
      <c r="K786" s="91" t="n">
        <v>10.2</v>
      </c>
      <c r="L786" s="80" t="n">
        <f aca="false">IF(AND(J786&lt;&gt;"",K786&lt;&gt;""),J786*K786,"")</f>
        <v>175.95</v>
      </c>
      <c r="M786" s="81" t="n">
        <f aca="false">IF(L786&lt;&gt;"",L786*1.1,"")</f>
        <v>193.545</v>
      </c>
      <c r="N786" s="47" t="n">
        <f aca="false">IF(F786="S",L786*0.02,0)</f>
        <v>3.519</v>
      </c>
      <c r="O786" s="82" t="n">
        <f aca="false">IF(L786&lt;&gt;"",L786+N786,"")</f>
        <v>179.469</v>
      </c>
      <c r="P786" s="47" t="n">
        <f aca="false">IF(O786&lt;&gt;"",O786*0.1,"")</f>
        <v>17.9469</v>
      </c>
      <c r="Q786" s="83" t="n">
        <f aca="false">IF(O786&lt;&gt;"",O786+P786,"")</f>
        <v>197.4159</v>
      </c>
      <c r="R786" s="84" t="s">
        <v>358</v>
      </c>
    </row>
    <row r="787" customFormat="false" ht="15" hidden="false" customHeight="true" outlineLevel="0" collapsed="false">
      <c r="A787" s="103" t="n">
        <v>56028</v>
      </c>
      <c r="B787" s="73" t="n">
        <v>46217</v>
      </c>
      <c r="C787" s="74" t="n">
        <v>16558</v>
      </c>
      <c r="D787" s="75" t="n">
        <v>50160</v>
      </c>
      <c r="E787" s="52" t="str">
        <f aca="false">IF(D787&lt;&gt;"",IFERROR(VLOOKUP(D787,PROVEEDORES!$A:$B,2,0),"!COD NO ENCONTRADO"),"")</f>
        <v>SUBASTAS CORUÑA S.L.</v>
      </c>
      <c r="F787" s="76" t="str">
        <f aca="false">IF(D787&lt;&gt;"",IFERROR(VLOOKUP(D787,PROVEEDORES!$A:$C,3,0),""),"")</f>
        <v>S</v>
      </c>
      <c r="G787" s="75" t="s">
        <v>133</v>
      </c>
      <c r="H787" s="52" t="str">
        <f aca="false">IF(G787&lt;&gt;"",IFERROR(VLOOKUP(G787,PRODUCTOS!$A:$B,2,0),"!COD NO ENCONTRADO"),"")</f>
        <v>CINTAS/ PEZ CINTA (CBC)</v>
      </c>
      <c r="I787" s="112" t="n">
        <v>1</v>
      </c>
      <c r="J787" s="105" t="n">
        <v>0.6</v>
      </c>
      <c r="K787" s="125" t="n">
        <v>2</v>
      </c>
      <c r="L787" s="80" t="n">
        <f aca="false">IF(AND(J787&lt;&gt;"",K787&lt;&gt;""),J787*K787,"")</f>
        <v>1.2</v>
      </c>
      <c r="M787" s="81" t="n">
        <f aca="false">IF(L787&lt;&gt;"",L787*1.1,"")</f>
        <v>1.32</v>
      </c>
      <c r="N787" s="53" t="n">
        <f aca="false">IF(F787="S",L787*0.02,0)</f>
        <v>0.024</v>
      </c>
      <c r="O787" s="82" t="n">
        <f aca="false">IF(L787&lt;&gt;"",L787+N787,"")</f>
        <v>1.224</v>
      </c>
      <c r="P787" s="53" t="n">
        <f aca="false">IF(O787&lt;&gt;"",O787*0.1,"")</f>
        <v>0.1224</v>
      </c>
      <c r="Q787" s="83" t="n">
        <f aca="false">IF(O787&lt;&gt;"",O787+P787,"")</f>
        <v>1.3464</v>
      </c>
      <c r="R787" s="84" t="s">
        <v>358</v>
      </c>
    </row>
    <row r="788" customFormat="false" ht="15" hidden="false" customHeight="true" outlineLevel="0" collapsed="false">
      <c r="A788" s="103" t="n">
        <v>56028</v>
      </c>
      <c r="B788" s="73" t="n">
        <v>46217</v>
      </c>
      <c r="C788" s="74" t="n">
        <v>16558</v>
      </c>
      <c r="D788" s="87" t="n">
        <v>50160</v>
      </c>
      <c r="E788" s="46" t="str">
        <f aca="false">IF(D788&lt;&gt;"",IFERROR(VLOOKUP(D788,PROVEEDORES!$A:$B,2,0),"!COD NO ENCONTRADO"),"")</f>
        <v>SUBASTAS CORUÑA S.L.</v>
      </c>
      <c r="F788" s="88" t="str">
        <f aca="false">IF(D788&lt;&gt;"",IFERROR(VLOOKUP(D788,PROVEEDORES!$A:$C,3,0),""),"")</f>
        <v>S</v>
      </c>
      <c r="G788" s="87" t="s">
        <v>133</v>
      </c>
      <c r="H788" s="46" t="str">
        <f aca="false">IF(G788&lt;&gt;"",IFERROR(VLOOKUP(G788,PRODUCTOS!$A:$B,2,0),"!COD NO ENCONTRADO"),"")</f>
        <v>CINTAS/ PEZ CINTA (CBC)</v>
      </c>
      <c r="I788" s="112" t="n">
        <v>3</v>
      </c>
      <c r="J788" s="105" t="n">
        <v>17.5</v>
      </c>
      <c r="K788" s="125" t="n">
        <v>2.3</v>
      </c>
      <c r="L788" s="80" t="n">
        <f aca="false">IF(AND(J788&lt;&gt;"",K788&lt;&gt;""),J788*K788,"")</f>
        <v>40.25</v>
      </c>
      <c r="M788" s="81" t="n">
        <f aca="false">IF(L788&lt;&gt;"",L788*1.1,"")</f>
        <v>44.275</v>
      </c>
      <c r="N788" s="47" t="n">
        <f aca="false">IF(F788="S",L788*0.02,0)</f>
        <v>0.805</v>
      </c>
      <c r="O788" s="82" t="n">
        <f aca="false">IF(L788&lt;&gt;"",L788+N788,"")</f>
        <v>41.055</v>
      </c>
      <c r="P788" s="47" t="n">
        <f aca="false">IF(O788&lt;&gt;"",O788*0.1,"")</f>
        <v>4.1055</v>
      </c>
      <c r="Q788" s="83" t="n">
        <f aca="false">IF(O788&lt;&gt;"",O788+P788,"")</f>
        <v>45.1605</v>
      </c>
      <c r="R788" s="84" t="s">
        <v>358</v>
      </c>
    </row>
    <row r="789" customFormat="false" ht="15" hidden="false" customHeight="true" outlineLevel="0" collapsed="false">
      <c r="A789" s="103" t="n">
        <v>56028</v>
      </c>
      <c r="B789" s="73" t="n">
        <v>46217</v>
      </c>
      <c r="C789" s="74" t="n">
        <v>16558</v>
      </c>
      <c r="D789" s="75" t="n">
        <v>50160</v>
      </c>
      <c r="E789" s="52" t="str">
        <f aca="false">IF(D789&lt;&gt;"",IFERROR(VLOOKUP(D789,PROVEEDORES!$A:$B,2,0),"!COD NO ENCONTRADO"),"")</f>
        <v>SUBASTAS CORUÑA S.L.</v>
      </c>
      <c r="F789" s="76" t="str">
        <f aca="false">IF(D789&lt;&gt;"",IFERROR(VLOOKUP(D789,PROVEEDORES!$A:$C,3,0),""),"")</f>
        <v>S</v>
      </c>
      <c r="G789" s="75" t="s">
        <v>270</v>
      </c>
      <c r="H789" s="52" t="str">
        <f aca="false">IF(G789&lt;&gt;"",IFERROR(VLOOKUP(G789,PRODUCTOS!$A:$B,2,0),"!COD NO ENCONTRADO"),"")</f>
        <v>PEON/ PION (ATP)</v>
      </c>
      <c r="I789" s="112" t="n">
        <v>3</v>
      </c>
      <c r="J789" s="105" t="n">
        <v>15</v>
      </c>
      <c r="K789" s="125" t="n">
        <v>2.3</v>
      </c>
      <c r="L789" s="80" t="n">
        <f aca="false">IF(AND(J789&lt;&gt;"",K789&lt;&gt;""),J789*K789,"")</f>
        <v>34.5</v>
      </c>
      <c r="M789" s="81" t="n">
        <f aca="false">IF(L789&lt;&gt;"",L789*1.1,"")</f>
        <v>37.95</v>
      </c>
      <c r="N789" s="53" t="n">
        <f aca="false">IF(F789="S",L789*0.02,0)</f>
        <v>0.69</v>
      </c>
      <c r="O789" s="82" t="n">
        <f aca="false">IF(L789&lt;&gt;"",L789+N789,"")</f>
        <v>35.19</v>
      </c>
      <c r="P789" s="53" t="n">
        <f aca="false">IF(O789&lt;&gt;"",O789*0.1,"")</f>
        <v>3.519</v>
      </c>
      <c r="Q789" s="83" t="n">
        <f aca="false">IF(O789&lt;&gt;"",O789+P789,"")</f>
        <v>38.709</v>
      </c>
      <c r="R789" s="84" t="s">
        <v>358</v>
      </c>
    </row>
    <row r="790" customFormat="false" ht="15" hidden="false" customHeight="true" outlineLevel="0" collapsed="false">
      <c r="A790" s="103" t="n">
        <v>56028</v>
      </c>
      <c r="B790" s="73" t="n">
        <v>46217</v>
      </c>
      <c r="C790" s="74" t="n">
        <v>16558</v>
      </c>
      <c r="D790" s="87" t="n">
        <v>50160</v>
      </c>
      <c r="E790" s="46" t="str">
        <f aca="false">IF(D790&lt;&gt;"",IFERROR(VLOOKUP(D790,PROVEEDORES!$A:$B,2,0),"!COD NO ENCONTRADO"),"")</f>
        <v>SUBASTAS CORUÑA S.L.</v>
      </c>
      <c r="F790" s="88" t="str">
        <f aca="false">IF(D790&lt;&gt;"",IFERROR(VLOOKUP(D790,PROVEEDORES!$A:$C,3,0),""),"")</f>
        <v>S</v>
      </c>
      <c r="G790" s="87" t="s">
        <v>93</v>
      </c>
      <c r="H790" s="46" t="str">
        <f aca="false">IF(G790&lt;&gt;"",IFERROR(VLOOKUP(G790,PRODUCTOS!$A:$B,2,0),"!COD NO ENCONTRADO"),"")</f>
        <v>BOQUERON/ BOCARTE/ ANCHOA (ANE)</v>
      </c>
      <c r="I790" s="112" t="n">
        <v>40</v>
      </c>
      <c r="J790" s="105" t="n">
        <v>369</v>
      </c>
      <c r="K790" s="125" t="n">
        <v>1.45</v>
      </c>
      <c r="L790" s="80" t="n">
        <f aca="false">IF(AND(J790&lt;&gt;"",K790&lt;&gt;""),J790*K790,"")</f>
        <v>535.05</v>
      </c>
      <c r="M790" s="81" t="n">
        <f aca="false">IF(L790&lt;&gt;"",L790*1.1,"")</f>
        <v>588.555</v>
      </c>
      <c r="N790" s="47" t="n">
        <f aca="false">IF(F790="S",L790*0.02,0)</f>
        <v>10.701</v>
      </c>
      <c r="O790" s="82" t="n">
        <f aca="false">IF(L790&lt;&gt;"",L790+N790,"")</f>
        <v>545.751</v>
      </c>
      <c r="P790" s="47" t="n">
        <f aca="false">IF(O790&lt;&gt;"",O790*0.1,"")</f>
        <v>54.5751</v>
      </c>
      <c r="Q790" s="83" t="n">
        <f aca="false">IF(O790&lt;&gt;"",O790+P790,"")</f>
        <v>600.3261</v>
      </c>
      <c r="R790" s="84" t="s">
        <v>358</v>
      </c>
    </row>
    <row r="791" customFormat="false" ht="15" hidden="false" customHeight="true" outlineLevel="0" collapsed="false">
      <c r="A791" s="103" t="n">
        <v>56028</v>
      </c>
      <c r="B791" s="73" t="n">
        <v>46217</v>
      </c>
      <c r="C791" s="74" t="n">
        <v>16558</v>
      </c>
      <c r="D791" s="75" t="n">
        <v>50160</v>
      </c>
      <c r="E791" s="52" t="str">
        <f aca="false">IF(D791&lt;&gt;"",IFERROR(VLOOKUP(D791,PROVEEDORES!$A:$B,2,0),"!COD NO ENCONTRADO"),"")</f>
        <v>SUBASTAS CORUÑA S.L.</v>
      </c>
      <c r="F791" s="76" t="str">
        <f aca="false">IF(D791&lt;&gt;"",IFERROR(VLOOKUP(D791,PROVEEDORES!$A:$C,3,0),""),"")</f>
        <v>S</v>
      </c>
      <c r="G791" s="75" t="s">
        <v>324</v>
      </c>
      <c r="H791" s="52" t="str">
        <f aca="false">IF(G791&lt;&gt;"",IFERROR(VLOOKUP(G791,PRODUCTOS!$A:$B,2,0),"!COD NO ENCONTRADO"),"")</f>
        <v>SARDINA    (PIL)</v>
      </c>
      <c r="I791" s="112" t="n">
        <v>4</v>
      </c>
      <c r="J791" s="105" t="n">
        <v>67</v>
      </c>
      <c r="K791" s="125" t="n">
        <v>2</v>
      </c>
      <c r="L791" s="80" t="n">
        <f aca="false">IF(AND(J791&lt;&gt;"",K791&lt;&gt;""),J791*K791,"")</f>
        <v>134</v>
      </c>
      <c r="M791" s="81" t="n">
        <f aca="false">IF(L791&lt;&gt;"",L791*1.1,"")</f>
        <v>147.4</v>
      </c>
      <c r="N791" s="53" t="n">
        <f aca="false">IF(F791="S",L791*0.02,0)</f>
        <v>2.68</v>
      </c>
      <c r="O791" s="82" t="n">
        <f aca="false">IF(L791&lt;&gt;"",L791+N791,"")</f>
        <v>136.68</v>
      </c>
      <c r="P791" s="53" t="n">
        <f aca="false">IF(O791&lt;&gt;"",O791*0.1,"")</f>
        <v>13.668</v>
      </c>
      <c r="Q791" s="83" t="n">
        <f aca="false">IF(O791&lt;&gt;"",O791+P791,"")</f>
        <v>150.348</v>
      </c>
      <c r="R791" s="84" t="s">
        <v>358</v>
      </c>
    </row>
    <row r="792" customFormat="false" ht="15" hidden="false" customHeight="true" outlineLevel="0" collapsed="false">
      <c r="A792" s="103" t="n">
        <v>56029</v>
      </c>
      <c r="B792" s="73" t="n">
        <v>46217</v>
      </c>
      <c r="C792" s="86" t="s">
        <v>453</v>
      </c>
      <c r="D792" s="87" t="n">
        <v>50218</v>
      </c>
      <c r="E792" s="46" t="str">
        <f aca="false">IF(D792&lt;&gt;"",IFERROR(VLOOKUP(D792,PROVEEDORES!$A:$B,2,0),"!COD NO ENCONTRADO"),"")</f>
        <v>ACERGA </v>
      </c>
      <c r="F792" s="88" t="str">
        <f aca="false">IF(D792&lt;&gt;"",IFERROR(VLOOKUP(D792,PROVEEDORES!$A:$C,3,0),""),"")</f>
        <v>S</v>
      </c>
      <c r="G792" s="87" t="s">
        <v>93</v>
      </c>
      <c r="H792" s="46" t="str">
        <f aca="false">IF(G792&lt;&gt;"",IFERROR(VLOOKUP(G792,PRODUCTOS!$A:$B,2,0),"!COD NO ENCONTRADO"),"")</f>
        <v>BOQUERON/ BOCARTE/ ANCHOA (ANE)</v>
      </c>
      <c r="I792" s="89" t="n">
        <v>40</v>
      </c>
      <c r="J792" s="90" t="n">
        <v>420</v>
      </c>
      <c r="K792" s="91" t="n">
        <v>1.47</v>
      </c>
      <c r="L792" s="80" t="n">
        <f aca="false">IF(AND(J792&lt;&gt;"",K792&lt;&gt;""),J792*K792,"")</f>
        <v>617.4</v>
      </c>
      <c r="M792" s="81" t="n">
        <f aca="false">IF(L792&lt;&gt;"",L792*1.1,"")</f>
        <v>679.14</v>
      </c>
      <c r="N792" s="47" t="n">
        <f aca="false">IF(F792="S",L792*0.02,0)</f>
        <v>12.348</v>
      </c>
      <c r="O792" s="82" t="n">
        <f aca="false">IF(L792&lt;&gt;"",L792+N792,"")</f>
        <v>629.748</v>
      </c>
      <c r="P792" s="47" t="n">
        <f aca="false">IF(O792&lt;&gt;"",O792*0.1,"")</f>
        <v>62.9748</v>
      </c>
      <c r="Q792" s="83" t="n">
        <f aca="false">IF(O792&lt;&gt;"",O792+P792,"")</f>
        <v>692.7228</v>
      </c>
      <c r="R792" s="84" t="s">
        <v>358</v>
      </c>
    </row>
    <row r="793" customFormat="false" ht="15" hidden="false" customHeight="true" outlineLevel="0" collapsed="false">
      <c r="A793" s="103" t="n">
        <v>56029</v>
      </c>
      <c r="B793" s="73" t="n">
        <v>46217</v>
      </c>
      <c r="C793" s="74" t="s">
        <v>453</v>
      </c>
      <c r="D793" s="75" t="n">
        <v>50218</v>
      </c>
      <c r="E793" s="52" t="str">
        <f aca="false">IF(D793&lt;&gt;"",IFERROR(VLOOKUP(D793,PROVEEDORES!$A:$B,2,0),"!COD NO ENCONTRADO"),"")</f>
        <v>ACERGA </v>
      </c>
      <c r="F793" s="76" t="str">
        <f aca="false">IF(D793&lt;&gt;"",IFERROR(VLOOKUP(D793,PROVEEDORES!$A:$C,3,0),""),"")</f>
        <v>S</v>
      </c>
      <c r="G793" s="75" t="s">
        <v>93</v>
      </c>
      <c r="H793" s="52" t="str">
        <f aca="false">IF(G793&lt;&gt;"",IFERROR(VLOOKUP(G793,PRODUCTOS!$A:$B,2,0),"!COD NO ENCONTRADO"),"")</f>
        <v>BOQUERON/ BOCARTE/ ANCHOA (ANE)</v>
      </c>
      <c r="I793" s="77" t="n">
        <v>5</v>
      </c>
      <c r="J793" s="78" t="n">
        <v>80</v>
      </c>
      <c r="K793" s="79" t="n">
        <v>1.45</v>
      </c>
      <c r="L793" s="80" t="n">
        <f aca="false">IF(AND(J793&lt;&gt;"",K793&lt;&gt;""),J793*K793,"")</f>
        <v>116</v>
      </c>
      <c r="M793" s="81" t="n">
        <f aca="false">IF(L793&lt;&gt;"",L793*1.1,"")</f>
        <v>127.6</v>
      </c>
      <c r="N793" s="53" t="n">
        <f aca="false">IF(F793="S",L793*0.02,0)</f>
        <v>2.32</v>
      </c>
      <c r="O793" s="82" t="n">
        <f aca="false">IF(L793&lt;&gt;"",L793+N793,"")</f>
        <v>118.32</v>
      </c>
      <c r="P793" s="53" t="n">
        <f aca="false">IF(O793&lt;&gt;"",O793*0.1,"")</f>
        <v>11.832</v>
      </c>
      <c r="Q793" s="83" t="n">
        <f aca="false">IF(O793&lt;&gt;"",O793+P793,"")</f>
        <v>130.152</v>
      </c>
      <c r="R793" s="84" t="s">
        <v>358</v>
      </c>
    </row>
    <row r="794" customFormat="false" ht="15" hidden="false" customHeight="true" outlineLevel="0" collapsed="false">
      <c r="A794" s="103" t="n">
        <v>56030</v>
      </c>
      <c r="B794" s="73" t="n">
        <v>46217</v>
      </c>
      <c r="C794" s="86" t="n">
        <v>19327</v>
      </c>
      <c r="D794" s="87" t="n">
        <v>50163</v>
      </c>
      <c r="E794" s="46" t="str">
        <f aca="false">IF(D794&lt;&gt;"",IFERROR(VLOOKUP(D794,PROVEEDORES!$A:$B,2,0),"!COD NO ENCONTRADO"),"")</f>
        <v>SUBASTAS RIVERA S.L.</v>
      </c>
      <c r="F794" s="88" t="str">
        <f aca="false">IF(D794&lt;&gt;"",IFERROR(VLOOKUP(D794,PROVEEDORES!$A:$C,3,0),""),"")</f>
        <v>S</v>
      </c>
      <c r="G794" s="87" t="s">
        <v>221</v>
      </c>
      <c r="H794" s="46" t="str">
        <f aca="false">IF(G794&lt;&gt;"",IFERROR(VLOOKUP(G794,PRODUCTOS!$A:$B,2,0),"!COD NO ENCONTRADO"),"")</f>
        <v>MERLUZA EUROPEA PINCHO COSTA 800</v>
      </c>
      <c r="I794" s="89" t="n">
        <v>2</v>
      </c>
      <c r="J794" s="90" t="n">
        <v>27.75</v>
      </c>
      <c r="K794" s="91" t="n">
        <v>5.8</v>
      </c>
      <c r="L794" s="80" t="n">
        <f aca="false">IF(AND(J794&lt;&gt;"",K794&lt;&gt;""),J794*K794,"")</f>
        <v>160.95</v>
      </c>
      <c r="M794" s="81" t="n">
        <f aca="false">IF(L794&lt;&gt;"",L794*1.1,"")</f>
        <v>177.045</v>
      </c>
      <c r="N794" s="47" t="n">
        <f aca="false">IF(F794="S",L794*0.02,0)</f>
        <v>3.219</v>
      </c>
      <c r="O794" s="82" t="n">
        <f aca="false">IF(L794&lt;&gt;"",L794+N794,"")</f>
        <v>164.169</v>
      </c>
      <c r="P794" s="47" t="n">
        <f aca="false">IF(O794&lt;&gt;"",O794*0.1,"")</f>
        <v>16.4169</v>
      </c>
      <c r="Q794" s="83" t="n">
        <f aca="false">IF(O794&lt;&gt;"",O794+P794,"")</f>
        <v>180.5859</v>
      </c>
      <c r="R794" s="84" t="s">
        <v>358</v>
      </c>
    </row>
    <row r="795" customFormat="false" ht="15" hidden="false" customHeight="true" outlineLevel="0" collapsed="false">
      <c r="A795" s="103" t="n">
        <v>56030</v>
      </c>
      <c r="B795" s="73" t="n">
        <v>46217</v>
      </c>
      <c r="C795" s="86" t="n">
        <v>19327</v>
      </c>
      <c r="D795" s="87" t="n">
        <v>50163</v>
      </c>
      <c r="E795" s="46" t="str">
        <f aca="false">IF(D795&lt;&gt;"",IFERROR(VLOOKUP(D795,PROVEEDORES!$A:$B,2,0),"!COD NO ENCONTRADO"),"")</f>
        <v>SUBASTAS RIVERA S.L.</v>
      </c>
      <c r="F795" s="88" t="str">
        <f aca="false">IF(D795&lt;&gt;"",IFERROR(VLOOKUP(D795,PROVEEDORES!$A:$C,3,0),""),"")</f>
        <v>S</v>
      </c>
      <c r="G795" s="87" t="s">
        <v>276</v>
      </c>
      <c r="H795" s="46" t="str">
        <f aca="false">IF(G795&lt;&gt;"",IFERROR(VLOOKUP(G795,PRODUCTOS!$A:$B,2,0),"!COD NO ENCONTRADO"),"")</f>
        <v>MERLUZA EUROPEA/ FINA DIA </v>
      </c>
      <c r="I795" s="89" t="n">
        <v>2</v>
      </c>
      <c r="J795" s="90" t="n">
        <v>20</v>
      </c>
      <c r="K795" s="91" t="n">
        <v>3.3</v>
      </c>
      <c r="L795" s="80" t="n">
        <f aca="false">IF(AND(J795&lt;&gt;"",K795&lt;&gt;""),J795*K795,"")</f>
        <v>66</v>
      </c>
      <c r="M795" s="81" t="n">
        <f aca="false">IF(L795&lt;&gt;"",L795*1.1,"")</f>
        <v>72.6</v>
      </c>
      <c r="N795" s="47" t="n">
        <f aca="false">IF(F795="S",L795*0.02,0)</f>
        <v>1.32</v>
      </c>
      <c r="O795" s="82" t="n">
        <f aca="false">IF(L795&lt;&gt;"",L795+N795,"")</f>
        <v>67.32</v>
      </c>
      <c r="P795" s="47" t="n">
        <f aca="false">IF(O795&lt;&gt;"",O795*0.1,"")</f>
        <v>6.732</v>
      </c>
      <c r="Q795" s="83" t="n">
        <f aca="false">IF(O795&lt;&gt;"",O795+P795,"")</f>
        <v>74.052</v>
      </c>
      <c r="R795" s="84" t="s">
        <v>365</v>
      </c>
    </row>
    <row r="796" customFormat="false" ht="15" hidden="false" customHeight="true" outlineLevel="0" collapsed="false">
      <c r="A796" s="103" t="n">
        <v>56031</v>
      </c>
      <c r="B796" s="73" t="n">
        <v>46217</v>
      </c>
      <c r="C796" s="74" t="s">
        <v>454</v>
      </c>
      <c r="D796" s="75" t="n">
        <v>50048</v>
      </c>
      <c r="E796" s="52" t="str">
        <f aca="false">IF(D796&lt;&gt;"",IFERROR(VLOOKUP(D796,PROVEEDORES!$A:$B,2,0),"!COD NO ENCONTRADO"),"")</f>
        <v>JOSE LUIS CORREA KESSLER S.L.</v>
      </c>
      <c r="F796" s="76" t="str">
        <f aca="false">IF(D796&lt;&gt;"",IFERROR(VLOOKUP(D796,PROVEEDORES!$A:$C,3,0),""),"")</f>
        <v>N</v>
      </c>
      <c r="G796" s="75" t="s">
        <v>93</v>
      </c>
      <c r="H796" s="52" t="str">
        <f aca="false">IF(G796&lt;&gt;"",IFERROR(VLOOKUP(G796,PRODUCTOS!$A:$B,2,0),"!COD NO ENCONTRADO"),"")</f>
        <v>BOQUERON/ BOCARTE/ ANCHOA (ANE)</v>
      </c>
      <c r="I796" s="77" t="n">
        <v>180</v>
      </c>
      <c r="J796" s="78" t="n">
        <v>1080</v>
      </c>
      <c r="K796" s="125" t="n">
        <v>2</v>
      </c>
      <c r="L796" s="80" t="n">
        <f aca="false">IF(AND(J796&lt;&gt;"",K796&lt;&gt;""),J796*K796,"")</f>
        <v>2160</v>
      </c>
      <c r="M796" s="81" t="n">
        <f aca="false">IF(L796&lt;&gt;"",L796*1.1,"")</f>
        <v>2376</v>
      </c>
      <c r="N796" s="53" t="n">
        <f aca="false">IF(F796="S",L796*0.02,0)</f>
        <v>0</v>
      </c>
      <c r="O796" s="82" t="n">
        <f aca="false">IF(L796&lt;&gt;"",L796+N796,"")</f>
        <v>2160</v>
      </c>
      <c r="P796" s="53" t="n">
        <f aca="false">IF(O796&lt;&gt;"",O796*0.1,"")</f>
        <v>216</v>
      </c>
      <c r="Q796" s="83" t="n">
        <f aca="false">IF(O796&lt;&gt;"",O796+P796,"")</f>
        <v>2376</v>
      </c>
      <c r="R796" s="84" t="s">
        <v>365</v>
      </c>
    </row>
    <row r="797" customFormat="false" ht="15" hidden="false" customHeight="true" outlineLevel="0" collapsed="false">
      <c r="A797" s="103" t="n">
        <v>56031</v>
      </c>
      <c r="B797" s="85" t="n">
        <v>46217</v>
      </c>
      <c r="C797" s="86" t="s">
        <v>455</v>
      </c>
      <c r="D797" s="87" t="n">
        <v>50048</v>
      </c>
      <c r="E797" s="46" t="str">
        <f aca="false">IF(D797&lt;&gt;"",IFERROR(VLOOKUP(D797,PROVEEDORES!$A:$B,2,0),"!COD NO ENCONTRADO"),"")</f>
        <v>JOSE LUIS CORREA KESSLER S.L.</v>
      </c>
      <c r="F797" s="88" t="str">
        <f aca="false">IF(D797&lt;&gt;"",IFERROR(VLOOKUP(D797,PROVEEDORES!$A:$C,3,0),""),"")</f>
        <v>N</v>
      </c>
      <c r="G797" s="87" t="s">
        <v>179</v>
      </c>
      <c r="H797" s="46" t="str">
        <f aca="false">IF(G797&lt;&gt;"",IFERROR(VLOOKUP(G797,PRODUCTOS!$A:$B,2,0),"!COD NO ENCONTRADO"),"")</f>
        <v>LIRIO/ BACALADILLA/ PERLA (WHB)</v>
      </c>
      <c r="I797" s="89" t="n">
        <v>15</v>
      </c>
      <c r="J797" s="90" t="n">
        <v>90</v>
      </c>
      <c r="K797" s="125" t="n">
        <v>2.15</v>
      </c>
      <c r="L797" s="80" t="n">
        <f aca="false">IF(AND(J797&lt;&gt;"",K797&lt;&gt;""),J797*K797,"")</f>
        <v>193.5</v>
      </c>
      <c r="M797" s="81" t="n">
        <f aca="false">IF(L797&lt;&gt;"",L797*1.1,"")</f>
        <v>212.85</v>
      </c>
      <c r="N797" s="47" t="n">
        <f aca="false">IF(F797="S",L797*0.02,0)</f>
        <v>0</v>
      </c>
      <c r="O797" s="82" t="n">
        <f aca="false">IF(L797&lt;&gt;"",L797+N797,"")</f>
        <v>193.5</v>
      </c>
      <c r="P797" s="47" t="n">
        <f aca="false">IF(O797&lt;&gt;"",O797*0.1,"")</f>
        <v>19.35</v>
      </c>
      <c r="Q797" s="83" t="n">
        <f aca="false">IF(O797&lt;&gt;"",O797+P797,"")</f>
        <v>212.85</v>
      </c>
      <c r="R797" s="84" t="s">
        <v>365</v>
      </c>
    </row>
    <row r="798" customFormat="false" ht="15" hidden="false" customHeight="true" outlineLevel="0" collapsed="false">
      <c r="A798" s="103" t="n">
        <v>56031</v>
      </c>
      <c r="B798" s="73" t="n">
        <v>46217</v>
      </c>
      <c r="C798" s="74" t="s">
        <v>456</v>
      </c>
      <c r="D798" s="75" t="n">
        <v>50048</v>
      </c>
      <c r="E798" s="52" t="str">
        <f aca="false">IF(D798&lt;&gt;"",IFERROR(VLOOKUP(D798,PROVEEDORES!$A:$B,2,0),"!COD NO ENCONTRADO"),"")</f>
        <v>JOSE LUIS CORREA KESSLER S.L.</v>
      </c>
      <c r="F798" s="76" t="str">
        <f aca="false">IF(D798&lt;&gt;"",IFERROR(VLOOKUP(D798,PROVEEDORES!$A:$C,3,0),""),"")</f>
        <v>N</v>
      </c>
      <c r="G798" s="75" t="s">
        <v>324</v>
      </c>
      <c r="H798" s="52" t="str">
        <f aca="false">IF(G798&lt;&gt;"",IFERROR(VLOOKUP(G798,PRODUCTOS!$A:$B,2,0),"!COD NO ENCONTRADO"),"")</f>
        <v>SARDINA    (PIL)</v>
      </c>
      <c r="I798" s="77" t="n">
        <v>40</v>
      </c>
      <c r="J798" s="78" t="n">
        <v>240</v>
      </c>
      <c r="K798" s="79" t="n">
        <v>2.85</v>
      </c>
      <c r="L798" s="80" t="n">
        <f aca="false">IF(AND(J798&lt;&gt;"",K798&lt;&gt;""),J798*K798,"")</f>
        <v>684</v>
      </c>
      <c r="M798" s="81" t="n">
        <f aca="false">IF(L798&lt;&gt;"",L798*1.1,"")</f>
        <v>752.4</v>
      </c>
      <c r="N798" s="53" t="n">
        <f aca="false">IF(F798="S",L798*0.02,0)</f>
        <v>0</v>
      </c>
      <c r="O798" s="82" t="n">
        <f aca="false">IF(L798&lt;&gt;"",L798+N798,"")</f>
        <v>684</v>
      </c>
      <c r="P798" s="53" t="n">
        <f aca="false">IF(O798&lt;&gt;"",O798*0.1,"")</f>
        <v>68.4</v>
      </c>
      <c r="Q798" s="83" t="n">
        <f aca="false">IF(O798&lt;&gt;"",O798+P798,"")</f>
        <v>752.4</v>
      </c>
      <c r="R798" s="84" t="s">
        <v>365</v>
      </c>
    </row>
    <row r="799" customFormat="false" ht="15" hidden="false" customHeight="true" outlineLevel="0" collapsed="false">
      <c r="A799" s="103" t="n">
        <v>56032</v>
      </c>
      <c r="B799" s="73" t="n">
        <v>46217</v>
      </c>
      <c r="C799" s="74" t="s">
        <v>457</v>
      </c>
      <c r="D799" s="75" t="n">
        <v>50010</v>
      </c>
      <c r="E799" s="52" t="str">
        <f aca="false">IF(D799&lt;&gt;"",IFERROR(VLOOKUP(D799,PROVEEDORES!$A:$B,2,0),"!COD NO ENCONTRADO"),"")</f>
        <v>PERFECTO MONTERO</v>
      </c>
      <c r="F799" s="76" t="str">
        <f aca="false">IF(D799&lt;&gt;"",IFERROR(VLOOKUP(D799,PROVEEDORES!$A:$C,3,0),""),"")</f>
        <v>S</v>
      </c>
      <c r="G799" s="75" t="s">
        <v>91</v>
      </c>
      <c r="H799" s="52" t="str">
        <f aca="false">IF(G799&lt;&gt;"",IFERROR(VLOOKUP(G799,PRODUCTOS!$A:$B,2,0),"!COD NO ENCONTRADO"),"")</f>
        <v>BONITO DEL NORTE 5/7</v>
      </c>
      <c r="I799" s="77" t="n">
        <v>1</v>
      </c>
      <c r="J799" s="105" t="n">
        <v>46.75</v>
      </c>
      <c r="K799" s="125" t="n">
        <v>4</v>
      </c>
      <c r="L799" s="80" t="n">
        <f aca="false">IF(AND(J799&lt;&gt;"",K799&lt;&gt;""),J799*K799,"")</f>
        <v>187</v>
      </c>
      <c r="M799" s="81" t="n">
        <f aca="false">IF(L799&lt;&gt;"",L799*1.1,"")</f>
        <v>205.7</v>
      </c>
      <c r="N799" s="53" t="n">
        <f aca="false">IF(F799="S",L799*0.02,0)</f>
        <v>3.74</v>
      </c>
      <c r="O799" s="82" t="n">
        <f aca="false">IF(L799&lt;&gt;"",L799+N799,"")</f>
        <v>190.74</v>
      </c>
      <c r="P799" s="53" t="n">
        <f aca="false">IF(O799&lt;&gt;"",O799*0.1,"")</f>
        <v>19.074</v>
      </c>
      <c r="Q799" s="83" t="n">
        <f aca="false">IF(O799&lt;&gt;"",O799+P799,"")</f>
        <v>209.814</v>
      </c>
      <c r="R799" s="84" t="s">
        <v>365</v>
      </c>
    </row>
    <row r="800" customFormat="false" ht="15" hidden="false" customHeight="true" outlineLevel="0" collapsed="false">
      <c r="A800" s="103" t="n">
        <v>56033</v>
      </c>
      <c r="B800" s="73" t="n">
        <v>46217</v>
      </c>
      <c r="C800" s="74" t="n">
        <v>260250761</v>
      </c>
      <c r="D800" s="75" t="n">
        <v>50510</v>
      </c>
      <c r="E800" s="52" t="str">
        <f aca="false">IF(D800&lt;&gt;"",IFERROR(VLOOKUP(D800,PROVEEDORES!$A:$B,2,0),"!COD NO ENCONTRADO"),"")</f>
        <v>PETACA CHICO S.L.</v>
      </c>
      <c r="F800" s="76" t="str">
        <f aca="false">IF(D800&lt;&gt;"",IFERROR(VLOOKUP(D800,PROVEEDORES!$A:$C,3,0),""),"")</f>
        <v>N</v>
      </c>
      <c r="G800" s="75" t="s">
        <v>306</v>
      </c>
      <c r="H800" s="52" t="str">
        <f aca="false">IF(G800&lt;&gt;"",IFERROR(VLOOKUP(G800,PRODUCTOS!$A:$B,2,0),"!COD NO ENCONTRADO"),"")</f>
        <v>RODABALLO (TUR)</v>
      </c>
      <c r="I800" s="77" t="n">
        <v>2</v>
      </c>
      <c r="J800" s="78" t="n">
        <v>10.5</v>
      </c>
      <c r="K800" s="79" t="n">
        <v>26.5</v>
      </c>
      <c r="L800" s="80" t="n">
        <f aca="false">IF(AND(J800&lt;&gt;"",K800&lt;&gt;""),J800*K800,"")</f>
        <v>278.25</v>
      </c>
      <c r="M800" s="81" t="n">
        <f aca="false">IF(L800&lt;&gt;"",L800*1.1,"")</f>
        <v>306.075</v>
      </c>
      <c r="N800" s="53" t="n">
        <f aca="false">IF(F800="S",L800*0.02,0)</f>
        <v>0</v>
      </c>
      <c r="O800" s="82" t="n">
        <f aca="false">IF(L800&lt;&gt;"",L800+N800,"")</f>
        <v>278.25</v>
      </c>
      <c r="P800" s="53" t="n">
        <f aca="false">IF(O800&lt;&gt;"",O800*0.1,"")</f>
        <v>27.825</v>
      </c>
      <c r="Q800" s="83" t="n">
        <f aca="false">IF(O800&lt;&gt;"",O800+P800,"")</f>
        <v>306.075</v>
      </c>
      <c r="R800" s="84" t="s">
        <v>365</v>
      </c>
    </row>
    <row r="801" customFormat="false" ht="15" hidden="false" customHeight="true" outlineLevel="0" collapsed="false">
      <c r="A801" s="103" t="n">
        <v>56034</v>
      </c>
      <c r="B801" s="73" t="n">
        <v>46217</v>
      </c>
      <c r="C801" s="74"/>
      <c r="D801" s="75" t="n">
        <v>50160</v>
      </c>
      <c r="E801" s="52" t="str">
        <f aca="false">IF(D801&lt;&gt;"",IFERROR(VLOOKUP(D801,PROVEEDORES!$A:$B,2,0),"!COD NO ENCONTRADO"),"")</f>
        <v>SUBASTAS CORUÑA S.L.</v>
      </c>
      <c r="F801" s="76" t="str">
        <f aca="false">IF(D801&lt;&gt;"",IFERROR(VLOOKUP(D801,PROVEEDORES!$A:$C,3,0),""),"")</f>
        <v>S</v>
      </c>
      <c r="G801" s="75" t="s">
        <v>179</v>
      </c>
      <c r="H801" s="52" t="str">
        <f aca="false">IF(G801&lt;&gt;"",IFERROR(VLOOKUP(G801,PRODUCTOS!$A:$B,2,0),"!COD NO ENCONTRADO"),"")</f>
        <v>LIRIO/ BACALADILLA/ PERLA (WHB)</v>
      </c>
      <c r="I801" s="77" t="n">
        <v>10</v>
      </c>
      <c r="J801" s="105" t="n">
        <v>153</v>
      </c>
      <c r="K801" s="125" t="n">
        <v>1.5</v>
      </c>
      <c r="L801" s="80" t="n">
        <f aca="false">IF(AND(J801&lt;&gt;"",K801&lt;&gt;""),J801*K801,"")</f>
        <v>229.5</v>
      </c>
      <c r="M801" s="81" t="n">
        <f aca="false">IF(L801&lt;&gt;"",L801*1.1,"")</f>
        <v>252.45</v>
      </c>
      <c r="N801" s="53" t="n">
        <f aca="false">IF(F801="S",L801*0.02,0)</f>
        <v>4.59</v>
      </c>
      <c r="O801" s="82" t="n">
        <f aca="false">IF(L801&lt;&gt;"",L801+N801,"")</f>
        <v>234.09</v>
      </c>
      <c r="P801" s="53" t="n">
        <f aca="false">IF(O801&lt;&gt;"",O801*0.1,"")</f>
        <v>23.409</v>
      </c>
      <c r="Q801" s="83" t="n">
        <f aca="false">IF(O801&lt;&gt;"",O801+P801,"")</f>
        <v>257.499</v>
      </c>
      <c r="R801" s="84" t="s">
        <v>365</v>
      </c>
    </row>
    <row r="802" customFormat="false" ht="15" hidden="false" customHeight="true" outlineLevel="0" collapsed="false">
      <c r="A802" s="103" t="n">
        <v>56035</v>
      </c>
      <c r="B802" s="85" t="n">
        <v>46217</v>
      </c>
      <c r="C802" s="86" t="s">
        <v>458</v>
      </c>
      <c r="D802" s="87" t="n">
        <v>50035</v>
      </c>
      <c r="E802" s="46" t="str">
        <f aca="false">IF(D802&lt;&gt;"",IFERROR(VLOOKUP(D802,PROVEEDORES!$A:$B,2,0),"!COD NO ENCONTRADO"),"")</f>
        <v>SCANFISK SEAFFOD S,L</v>
      </c>
      <c r="F802" s="88" t="str">
        <f aca="false">IF(D802&lt;&gt;"",IFERROR(VLOOKUP(D802,PROVEEDORES!$A:$C,3,0),""),"")</f>
        <v>N</v>
      </c>
      <c r="G802" s="87" t="s">
        <v>246</v>
      </c>
      <c r="H802" s="46" t="str">
        <f aca="false">IF(G802&lt;&gt;"",IFERROR(VLOOKUP(G802,PRODUCTOS!$A:$B,2,0),"!COD NO ENCONTRADO"),"")</f>
        <v>MERLUZA EUROPEA VOLANTA ALTURA</v>
      </c>
      <c r="I802" s="89" t="n">
        <v>3</v>
      </c>
      <c r="J802" s="90" t="n">
        <v>30.4</v>
      </c>
      <c r="K802" s="91" t="n">
        <v>9.8</v>
      </c>
      <c r="L802" s="80" t="n">
        <f aca="false">IF(AND(J802&lt;&gt;"",K802&lt;&gt;""),J802*K802,"")</f>
        <v>297.92</v>
      </c>
      <c r="M802" s="81" t="n">
        <f aca="false">IF(L802&lt;&gt;"",L802*1.1,"")</f>
        <v>327.712</v>
      </c>
      <c r="N802" s="47" t="n">
        <f aca="false">IF(F802="S",L802*0.02,0)</f>
        <v>0</v>
      </c>
      <c r="O802" s="82" t="n">
        <f aca="false">IF(L802&lt;&gt;"",L802+N802,"")</f>
        <v>297.92</v>
      </c>
      <c r="P802" s="47" t="n">
        <f aca="false">IF(O802&lt;&gt;"",O802*0.1,"")</f>
        <v>29.792</v>
      </c>
      <c r="Q802" s="83" t="n">
        <f aca="false">IF(O802&lt;&gt;"",O802+P802,"")</f>
        <v>327.712</v>
      </c>
      <c r="R802" s="84" t="s">
        <v>365</v>
      </c>
    </row>
    <row r="803" customFormat="false" ht="15" hidden="false" customHeight="true" outlineLevel="0" collapsed="false">
      <c r="A803" s="103" t="n">
        <v>56036</v>
      </c>
      <c r="B803" s="85" t="n">
        <v>46217</v>
      </c>
      <c r="C803" s="86" t="n">
        <v>13072603</v>
      </c>
      <c r="D803" s="87" t="n">
        <v>50532</v>
      </c>
      <c r="E803" s="46" t="str">
        <f aca="false">IF(D803&lt;&gt;"",IFERROR(VLOOKUP(D803,PROVEEDORES!$A:$B,2,0),"!COD NO ENCONTRADO"),"")</f>
        <v>AITORPESCA S.L.</v>
      </c>
      <c r="F803" s="88" t="str">
        <f aca="false">IF(D803&lt;&gt;"",IFERROR(VLOOKUP(D803,PROVEEDORES!$A:$C,3,0),""),"")</f>
        <v>N</v>
      </c>
      <c r="G803" s="87" t="s">
        <v>181</v>
      </c>
      <c r="H803" s="46" t="str">
        <f aca="false">IF(G803&lt;&gt;"",IFERROR(VLOOKUP(G803,PRODUCTOS!$A:$B,2,0),"!COD NO ENCONTRADO"),"")</f>
        <v>LIRIO EN FILETES</v>
      </c>
      <c r="I803" s="89" t="n">
        <v>10</v>
      </c>
      <c r="J803" s="90" t="n">
        <v>20</v>
      </c>
      <c r="K803" s="91" t="n">
        <v>4.4</v>
      </c>
      <c r="L803" s="80" t="n">
        <f aca="false">IF(AND(J803&lt;&gt;"",K803&lt;&gt;""),J803*K803,"")</f>
        <v>88</v>
      </c>
      <c r="M803" s="81" t="n">
        <f aca="false">IF(L803&lt;&gt;"",L803*1.1,"")</f>
        <v>96.8</v>
      </c>
      <c r="N803" s="47" t="n">
        <f aca="false">IF(F803="S",L803*0.02,0)</f>
        <v>0</v>
      </c>
      <c r="O803" s="82" t="n">
        <f aca="false">IF(L803&lt;&gt;"",L803+N803,"")</f>
        <v>88</v>
      </c>
      <c r="P803" s="47" t="n">
        <f aca="false">IF(O803&lt;&gt;"",O803*0.1,"")</f>
        <v>8.8</v>
      </c>
      <c r="Q803" s="83" t="n">
        <f aca="false">IF(O803&lt;&gt;"",O803+P803,"")</f>
        <v>96.8</v>
      </c>
      <c r="R803" s="84" t="s">
        <v>365</v>
      </c>
    </row>
    <row r="804" customFormat="false" ht="15" hidden="false" customHeight="true" outlineLevel="0" collapsed="false">
      <c r="A804" s="103" t="n">
        <v>56037</v>
      </c>
      <c r="B804" s="73" t="n">
        <v>46218</v>
      </c>
      <c r="C804" s="74" t="s">
        <v>459</v>
      </c>
      <c r="D804" s="75" t="n">
        <v>50232</v>
      </c>
      <c r="E804" s="52" t="str">
        <f aca="false">IF(D804&lt;&gt;"",IFERROR(VLOOKUP(D804,PROVEEDORES!$A:$B,2,0),"!COD NO ENCONTRADO"),"")</f>
        <v>XESTION NOVA LONXA RIVEIRA S.L.</v>
      </c>
      <c r="F804" s="76" t="str">
        <f aca="false">IF(D804&lt;&gt;"",IFERROR(VLOOKUP(D804,PROVEEDORES!$A:$C,3,0),""),"")</f>
        <v>S</v>
      </c>
      <c r="G804" s="75" t="s">
        <v>332</v>
      </c>
      <c r="H804" s="52" t="str">
        <f aca="false">IF(G804&lt;&gt;"",IFERROR(VLOOKUP(G804,PRODUCTOS!$A:$B,2,0),"!COD NO ENCONTRADO"),"")</f>
        <v>VARIADO PEQUEÑO</v>
      </c>
      <c r="I804" s="77" t="n">
        <v>1</v>
      </c>
      <c r="J804" s="78" t="n">
        <v>10</v>
      </c>
      <c r="K804" s="79" t="n">
        <v>1.5</v>
      </c>
      <c r="L804" s="80" t="n">
        <f aca="false">IF(AND(J804&lt;&gt;"",K804&lt;&gt;""),J804*K804,"")</f>
        <v>15</v>
      </c>
      <c r="M804" s="81" t="n">
        <f aca="false">IF(L804&lt;&gt;"",L804*1.1,"")</f>
        <v>16.5</v>
      </c>
      <c r="N804" s="53" t="n">
        <f aca="false">IF(F804="S",L804*0.02,0)</f>
        <v>0.3</v>
      </c>
      <c r="O804" s="82" t="n">
        <f aca="false">IF(L804&lt;&gt;"",L804+N804,"")</f>
        <v>15.3</v>
      </c>
      <c r="P804" s="53" t="n">
        <f aca="false">IF(O804&lt;&gt;"",O804*0.1,"")</f>
        <v>1.53</v>
      </c>
      <c r="Q804" s="83" t="n">
        <f aca="false">IF(O804&lt;&gt;"",O804+P804,"")</f>
        <v>16.83</v>
      </c>
      <c r="R804" s="84" t="s">
        <v>358</v>
      </c>
    </row>
    <row r="805" customFormat="false" ht="15" hidden="false" customHeight="true" outlineLevel="0" collapsed="false">
      <c r="A805" s="103" t="n">
        <v>56037</v>
      </c>
      <c r="B805" s="85" t="n">
        <v>46218</v>
      </c>
      <c r="C805" s="74" t="s">
        <v>459</v>
      </c>
      <c r="D805" s="87" t="n">
        <v>50232</v>
      </c>
      <c r="E805" s="46" t="str">
        <f aca="false">IF(D805&lt;&gt;"",IFERROR(VLOOKUP(D805,PROVEEDORES!$A:$B,2,0),"!COD NO ENCONTRADO"),"")</f>
        <v>XESTION NOVA LONXA RIVEIRA S.L.</v>
      </c>
      <c r="F805" s="88" t="str">
        <f aca="false">IF(D805&lt;&gt;"",IFERROR(VLOOKUP(D805,PROVEEDORES!$A:$C,3,0),""),"")</f>
        <v>S</v>
      </c>
      <c r="G805" s="87" t="s">
        <v>270</v>
      </c>
      <c r="H805" s="46" t="str">
        <f aca="false">IF(G805&lt;&gt;"",IFERROR(VLOOKUP(G805,PRODUCTOS!$A:$B,2,0),"!COD NO ENCONTRADO"),"")</f>
        <v>PEON/ PION (ATP)</v>
      </c>
      <c r="I805" s="89" t="n">
        <v>7</v>
      </c>
      <c r="J805" s="90" t="n">
        <v>34</v>
      </c>
      <c r="K805" s="91" t="n">
        <v>4</v>
      </c>
      <c r="L805" s="80" t="n">
        <f aca="false">IF(AND(J805&lt;&gt;"",K805&lt;&gt;""),J805*K805,"")</f>
        <v>136</v>
      </c>
      <c r="M805" s="81" t="n">
        <f aca="false">IF(L805&lt;&gt;"",L805*1.1,"")</f>
        <v>149.6</v>
      </c>
      <c r="N805" s="47" t="n">
        <f aca="false">IF(F805="S",L805*0.02,0)</f>
        <v>2.72</v>
      </c>
      <c r="O805" s="82" t="n">
        <f aca="false">IF(L805&lt;&gt;"",L805+N805,"")</f>
        <v>138.72</v>
      </c>
      <c r="P805" s="47" t="n">
        <f aca="false">IF(O805&lt;&gt;"",O805*0.1,"")</f>
        <v>13.872</v>
      </c>
      <c r="Q805" s="83" t="n">
        <f aca="false">IF(O805&lt;&gt;"",O805+P805,"")</f>
        <v>152.592</v>
      </c>
      <c r="R805" s="84" t="s">
        <v>358</v>
      </c>
    </row>
    <row r="806" customFormat="false" ht="15" hidden="false" customHeight="true" outlineLevel="0" collapsed="false">
      <c r="A806" s="103" t="n">
        <v>56037</v>
      </c>
      <c r="B806" s="73" t="n">
        <v>46218</v>
      </c>
      <c r="C806" s="74" t="s">
        <v>459</v>
      </c>
      <c r="D806" s="75" t="n">
        <v>50232</v>
      </c>
      <c r="E806" s="52" t="str">
        <f aca="false">IF(D806&lt;&gt;"",IFERROR(VLOOKUP(D806,PROVEEDORES!$A:$B,2,0),"!COD NO ENCONTRADO"),"")</f>
        <v>XESTION NOVA LONXA RIVEIRA S.L.</v>
      </c>
      <c r="F806" s="76" t="str">
        <f aca="false">IF(D806&lt;&gt;"",IFERROR(VLOOKUP(D806,PROVEEDORES!$A:$C,3,0),""),"")</f>
        <v>S</v>
      </c>
      <c r="G806" s="75" t="s">
        <v>179</v>
      </c>
      <c r="H806" s="52" t="str">
        <f aca="false">IF(G806&lt;&gt;"",IFERROR(VLOOKUP(G806,PRODUCTOS!$A:$B,2,0),"!COD NO ENCONTRADO"),"")</f>
        <v>LIRIO/ BACALADILLA/ PERLA (WHB)</v>
      </c>
      <c r="I806" s="77" t="n">
        <v>10</v>
      </c>
      <c r="J806" s="105" t="n">
        <v>118</v>
      </c>
      <c r="K806" s="125" t="n">
        <v>1.31</v>
      </c>
      <c r="L806" s="80" t="n">
        <f aca="false">IF(AND(J806&lt;&gt;"",K806&lt;&gt;""),J806*K806,"")</f>
        <v>154.58</v>
      </c>
      <c r="M806" s="81" t="n">
        <f aca="false">IF(L806&lt;&gt;"",L806*1.1,"")</f>
        <v>170.038</v>
      </c>
      <c r="N806" s="53" t="n">
        <f aca="false">IF(F806="S",L806*0.02,0)</f>
        <v>3.0916</v>
      </c>
      <c r="O806" s="82" t="n">
        <f aca="false">IF(L806&lt;&gt;"",L806+N806,"")</f>
        <v>157.6716</v>
      </c>
      <c r="P806" s="53" t="n">
        <f aca="false">IF(O806&lt;&gt;"",O806*0.1,"")</f>
        <v>15.76716</v>
      </c>
      <c r="Q806" s="83" t="n">
        <f aca="false">IF(O806&lt;&gt;"",O806+P806,"")</f>
        <v>173.43876</v>
      </c>
      <c r="R806" s="84" t="s">
        <v>358</v>
      </c>
    </row>
    <row r="807" customFormat="false" ht="15" hidden="false" customHeight="true" outlineLevel="0" collapsed="false">
      <c r="A807" s="103" t="n">
        <v>56037</v>
      </c>
      <c r="B807" s="85" t="n">
        <v>46218</v>
      </c>
      <c r="C807" s="74" t="s">
        <v>459</v>
      </c>
      <c r="D807" s="87" t="n">
        <v>50232</v>
      </c>
      <c r="E807" s="46" t="str">
        <f aca="false">IF(D807&lt;&gt;"",IFERROR(VLOOKUP(D807,PROVEEDORES!$A:$B,2,0),"!COD NO ENCONTRADO"),"")</f>
        <v>XESTION NOVA LONXA RIVEIRA S.L.</v>
      </c>
      <c r="F807" s="88" t="str">
        <f aca="false">IF(D807&lt;&gt;"",IFERROR(VLOOKUP(D807,PROVEEDORES!$A:$C,3,0),""),"")</f>
        <v>S</v>
      </c>
      <c r="G807" s="87" t="s">
        <v>179</v>
      </c>
      <c r="H807" s="46" t="str">
        <f aca="false">IF(G807&lt;&gt;"",IFERROR(VLOOKUP(G807,PRODUCTOS!$A:$B,2,0),"!COD NO ENCONTRADO"),"")</f>
        <v>LIRIO/ BACALADILLA/ PERLA (WHB)</v>
      </c>
      <c r="I807" s="89" t="n">
        <v>15</v>
      </c>
      <c r="J807" s="105" t="n">
        <v>225</v>
      </c>
      <c r="K807" s="125" t="n">
        <v>1.6</v>
      </c>
      <c r="L807" s="80" t="n">
        <f aca="false">IF(AND(J807&lt;&gt;"",K807&lt;&gt;""),J807*K807,"")</f>
        <v>360</v>
      </c>
      <c r="M807" s="81" t="n">
        <f aca="false">IF(L807&lt;&gt;"",L807*1.1,"")</f>
        <v>396</v>
      </c>
      <c r="N807" s="47" t="n">
        <f aca="false">IF(F807="S",L807*0.02,0)</f>
        <v>7.2</v>
      </c>
      <c r="O807" s="82" t="n">
        <f aca="false">IF(L807&lt;&gt;"",L807+N807,"")</f>
        <v>367.2</v>
      </c>
      <c r="P807" s="47" t="n">
        <f aca="false">IF(O807&lt;&gt;"",O807*0.1,"")</f>
        <v>36.72</v>
      </c>
      <c r="Q807" s="83" t="n">
        <f aca="false">IF(O807&lt;&gt;"",O807+P807,"")</f>
        <v>403.92</v>
      </c>
      <c r="R807" s="84" t="s">
        <v>358</v>
      </c>
    </row>
    <row r="808" customFormat="false" ht="15" hidden="false" customHeight="true" outlineLevel="0" collapsed="false">
      <c r="A808" s="103" t="n">
        <v>56038</v>
      </c>
      <c r="B808" s="73" t="n">
        <v>46218</v>
      </c>
      <c r="C808" s="74" t="n">
        <v>10224</v>
      </c>
      <c r="D808" s="75" t="n">
        <v>50001</v>
      </c>
      <c r="E808" s="104" t="str">
        <f aca="false">IF(D808&lt;&gt;"",IFERROR(VLOOKUP(D808,PROVEEDORES!$A:$B,2,0),"!COD NO ENCONTRADO"),"")</f>
        <v>COPESA</v>
      </c>
      <c r="F808" s="122" t="str">
        <f aca="false">IF(D808&lt;&gt;"",IFERROR(VLOOKUP(D808,PROVEEDORES!$A:$C,3,0),""),"")</f>
        <v>S</v>
      </c>
      <c r="G808" s="111" t="s">
        <v>276</v>
      </c>
      <c r="H808" s="104" t="str">
        <f aca="false">IF(G808&lt;&gt;"",IFERROR(VLOOKUP(G808,PRODUCTOS!$A:$B,2,0),"!COD NO ENCONTRADO"),"")</f>
        <v>MERLUZA EUROPEA/ FINA DIA </v>
      </c>
      <c r="I808" s="112" t="n">
        <v>13</v>
      </c>
      <c r="J808" s="105" t="n">
        <v>79.75</v>
      </c>
      <c r="K808" s="125" t="n">
        <v>2.3</v>
      </c>
      <c r="L808" s="80" t="n">
        <f aca="false">IF(AND(J808&lt;&gt;"",K808&lt;&gt;""),J808*K808,"")</f>
        <v>183.425</v>
      </c>
      <c r="M808" s="81" t="n">
        <f aca="false">IF(L808&lt;&gt;"",L808*1.1,"")</f>
        <v>201.7675</v>
      </c>
      <c r="N808" s="53" t="n">
        <f aca="false">IF(F808="S",L808*0.02,0)</f>
        <v>3.6685</v>
      </c>
      <c r="O808" s="82" t="n">
        <f aca="false">IF(L808&lt;&gt;"",L808+N808,"")</f>
        <v>187.0935</v>
      </c>
      <c r="P808" s="53" t="n">
        <f aca="false">IF(O808&lt;&gt;"",O808*0.1,"")</f>
        <v>18.70935</v>
      </c>
      <c r="Q808" s="83" t="n">
        <f aca="false">IF(O808&lt;&gt;"",O808+P808,"")</f>
        <v>205.80285</v>
      </c>
      <c r="R808" s="84" t="s">
        <v>365</v>
      </c>
    </row>
    <row r="809" customFormat="false" ht="15" hidden="false" customHeight="true" outlineLevel="0" collapsed="false">
      <c r="A809" s="103" t="n">
        <v>56038</v>
      </c>
      <c r="B809" s="85" t="n">
        <v>46218</v>
      </c>
      <c r="C809" s="86" t="n">
        <v>10224</v>
      </c>
      <c r="D809" s="87" t="n">
        <v>50001</v>
      </c>
      <c r="E809" s="104" t="str">
        <f aca="false">IF(D809&lt;&gt;"",IFERROR(VLOOKUP(D809,PROVEEDORES!$A:$B,2,0),"!COD NO ENCONTRADO"),"")</f>
        <v>COPESA</v>
      </c>
      <c r="F809" s="122" t="str">
        <f aca="false">IF(D809&lt;&gt;"",IFERROR(VLOOKUP(D809,PROVEEDORES!$A:$C,3,0),""),"")</f>
        <v>S</v>
      </c>
      <c r="G809" s="111" t="s">
        <v>276</v>
      </c>
      <c r="H809" s="104" t="str">
        <f aca="false">IF(G809&lt;&gt;"",IFERROR(VLOOKUP(G809,PRODUCTOS!$A:$B,2,0),"!COD NO ENCONTRADO"),"")</f>
        <v>MERLUZA EUROPEA/ FINA DIA </v>
      </c>
      <c r="I809" s="112" t="n">
        <v>4</v>
      </c>
      <c r="J809" s="105" t="n">
        <v>25.5</v>
      </c>
      <c r="K809" s="125" t="n">
        <v>2.3</v>
      </c>
      <c r="L809" s="80" t="n">
        <f aca="false">IF(AND(J809&lt;&gt;"",K809&lt;&gt;""),J809*K809,"")</f>
        <v>58.65</v>
      </c>
      <c r="M809" s="81" t="n">
        <f aca="false">IF(L809&lt;&gt;"",L809*1.1,"")</f>
        <v>64.515</v>
      </c>
      <c r="N809" s="47" t="n">
        <f aca="false">IF(F809="S",L809*0.02,0)</f>
        <v>1.173</v>
      </c>
      <c r="O809" s="82" t="n">
        <f aca="false">IF(L809&lt;&gt;"",L809+N809,"")</f>
        <v>59.823</v>
      </c>
      <c r="P809" s="47" t="n">
        <f aca="false">IF(O809&lt;&gt;"",O809*0.1,"")</f>
        <v>5.9823</v>
      </c>
      <c r="Q809" s="83" t="n">
        <f aca="false">IF(O809&lt;&gt;"",O809+P809,"")</f>
        <v>65.8053</v>
      </c>
      <c r="R809" s="84" t="s">
        <v>365</v>
      </c>
    </row>
    <row r="810" customFormat="false" ht="15" hidden="false" customHeight="true" outlineLevel="0" collapsed="false">
      <c r="A810" s="103" t="n">
        <v>56038</v>
      </c>
      <c r="B810" s="73" t="n">
        <v>46218</v>
      </c>
      <c r="C810" s="74" t="n">
        <v>10224</v>
      </c>
      <c r="D810" s="75" t="n">
        <v>50001</v>
      </c>
      <c r="E810" s="104" t="str">
        <f aca="false">IF(D810&lt;&gt;"",IFERROR(VLOOKUP(D810,PROVEEDORES!$A:$B,2,0),"!COD NO ENCONTRADO"),"")</f>
        <v>COPESA</v>
      </c>
      <c r="F810" s="122" t="str">
        <f aca="false">IF(D810&lt;&gt;"",IFERROR(VLOOKUP(D810,PROVEEDORES!$A:$C,3,0),""),"")</f>
        <v>S</v>
      </c>
      <c r="G810" s="111" t="s">
        <v>296</v>
      </c>
      <c r="H810" s="104" t="str">
        <f aca="false">IF(G810&lt;&gt;"",IFERROR(VLOOKUP(G810,PRODUCTOS!$A:$B,2,0),"!COD NO ENCONTRADO"),"")</f>
        <v>RAPE NEGRO (ANK)</v>
      </c>
      <c r="I810" s="112" t="n">
        <v>3</v>
      </c>
      <c r="J810" s="105" t="n">
        <v>51</v>
      </c>
      <c r="K810" s="125" t="n">
        <v>4.9</v>
      </c>
      <c r="L810" s="80" t="n">
        <f aca="false">IF(AND(J810&lt;&gt;"",K810&lt;&gt;""),J810*K810,"")</f>
        <v>249.9</v>
      </c>
      <c r="M810" s="81" t="n">
        <f aca="false">IF(L810&lt;&gt;"",L810*1.1,"")</f>
        <v>274.89</v>
      </c>
      <c r="N810" s="53" t="n">
        <f aca="false">IF(F810="S",L810*0.02,0)</f>
        <v>4.998</v>
      </c>
      <c r="O810" s="82" t="n">
        <f aca="false">IF(L810&lt;&gt;"",L810+N810,"")</f>
        <v>254.898</v>
      </c>
      <c r="P810" s="53" t="n">
        <f aca="false">IF(O810&lt;&gt;"",O810*0.1,"")</f>
        <v>25.4898</v>
      </c>
      <c r="Q810" s="83" t="n">
        <f aca="false">IF(O810&lt;&gt;"",O810+P810,"")</f>
        <v>280.3878</v>
      </c>
      <c r="R810" s="84" t="s">
        <v>365</v>
      </c>
    </row>
    <row r="811" customFormat="false" ht="15" hidden="false" customHeight="true" outlineLevel="0" collapsed="false">
      <c r="A811" s="103" t="n">
        <v>56039</v>
      </c>
      <c r="B811" s="73" t="n">
        <v>46218</v>
      </c>
      <c r="C811" s="86" t="s">
        <v>460</v>
      </c>
      <c r="D811" s="87" t="n">
        <v>50010</v>
      </c>
      <c r="E811" s="104" t="str">
        <f aca="false">IF(D811&lt;&gt;"",IFERROR(VLOOKUP(D811,PROVEEDORES!$A:$B,2,0),"!COD NO ENCONTRADO"),"")</f>
        <v>PERFECTO MONTERO</v>
      </c>
      <c r="F811" s="122" t="str">
        <f aca="false">IF(D811&lt;&gt;"",IFERROR(VLOOKUP(D811,PROVEEDORES!$A:$C,3,0),""),"")</f>
        <v>S</v>
      </c>
      <c r="G811" s="111" t="s">
        <v>89</v>
      </c>
      <c r="H811" s="104" t="str">
        <f aca="false">IF(G811&lt;&gt;"",IFERROR(VLOOKUP(G811,PRODUCTOS!$A:$B,2,0),"!COD NO ENCONTRADO"),"")</f>
        <v>BONITO DEL NORTE 5/7</v>
      </c>
      <c r="I811" s="112" t="n">
        <v>1</v>
      </c>
      <c r="J811" s="105" t="n">
        <v>44.75</v>
      </c>
      <c r="K811" s="125" t="n">
        <v>4</v>
      </c>
      <c r="L811" s="80" t="n">
        <f aca="false">IF(AND(J811&lt;&gt;"",K811&lt;&gt;""),J811*K811,"")</f>
        <v>179</v>
      </c>
      <c r="M811" s="81" t="n">
        <f aca="false">IF(L811&lt;&gt;"",L811*1.1,"")</f>
        <v>196.9</v>
      </c>
      <c r="N811" s="47" t="n">
        <f aca="false">IF(F811="S",L811*0.02,0)</f>
        <v>3.58</v>
      </c>
      <c r="O811" s="82" t="n">
        <f aca="false">IF(L811&lt;&gt;"",L811+N811,"")</f>
        <v>182.58</v>
      </c>
      <c r="P811" s="47" t="n">
        <f aca="false">IF(O811&lt;&gt;"",O811*0.1,"")</f>
        <v>18.258</v>
      </c>
      <c r="Q811" s="83" t="n">
        <f aca="false">IF(O811&lt;&gt;"",O811+P811,"")</f>
        <v>200.838</v>
      </c>
      <c r="R811" s="84" t="s">
        <v>365</v>
      </c>
    </row>
    <row r="812" customFormat="false" ht="15" hidden="false" customHeight="true" outlineLevel="0" collapsed="false">
      <c r="A812" s="103" t="n">
        <v>56039</v>
      </c>
      <c r="B812" s="73" t="n">
        <v>46218</v>
      </c>
      <c r="C812" s="74" t="s">
        <v>460</v>
      </c>
      <c r="D812" s="75" t="n">
        <v>50010</v>
      </c>
      <c r="E812" s="104" t="str">
        <f aca="false">IF(D812&lt;&gt;"",IFERROR(VLOOKUP(D812,PROVEEDORES!$A:$B,2,0),"!COD NO ENCONTRADO"),"")</f>
        <v>PERFECTO MONTERO</v>
      </c>
      <c r="F812" s="122" t="str">
        <f aca="false">IF(D812&lt;&gt;"",IFERROR(VLOOKUP(D812,PROVEEDORES!$A:$C,3,0),""),"")</f>
        <v>S</v>
      </c>
      <c r="G812" s="111" t="s">
        <v>91</v>
      </c>
      <c r="H812" s="104" t="str">
        <f aca="false">IF(G812&lt;&gt;"",IFERROR(VLOOKUP(G812,PRODUCTOS!$A:$B,2,0),"!COD NO ENCONTRADO"),"")</f>
        <v>BONITO DEL NORTE 5/7</v>
      </c>
      <c r="I812" s="112" t="n">
        <v>2</v>
      </c>
      <c r="J812" s="105" t="n">
        <v>57.5</v>
      </c>
      <c r="K812" s="125" t="n">
        <v>5.1</v>
      </c>
      <c r="L812" s="80" t="n">
        <f aca="false">IF(AND(J812&lt;&gt;"",K812&lt;&gt;""),J812*K812,"")</f>
        <v>293.25</v>
      </c>
      <c r="M812" s="81" t="n">
        <f aca="false">IF(L812&lt;&gt;"",L812*1.1,"")</f>
        <v>322.575</v>
      </c>
      <c r="N812" s="53" t="n">
        <f aca="false">IF(F812="S",L812*0.02,0)</f>
        <v>5.865</v>
      </c>
      <c r="O812" s="82" t="n">
        <f aca="false">IF(L812&lt;&gt;"",L812+N812,"")</f>
        <v>299.115</v>
      </c>
      <c r="P812" s="53" t="n">
        <f aca="false">IF(O812&lt;&gt;"",O812*0.1,"")</f>
        <v>29.9115</v>
      </c>
      <c r="Q812" s="83" t="n">
        <f aca="false">IF(O812&lt;&gt;"",O812+P812,"")</f>
        <v>329.0265</v>
      </c>
      <c r="R812" s="84" t="s">
        <v>365</v>
      </c>
    </row>
    <row r="813" customFormat="false" ht="15" hidden="false" customHeight="true" outlineLevel="0" collapsed="false">
      <c r="A813" s="103" t="n">
        <v>56039</v>
      </c>
      <c r="B813" s="73" t="n">
        <v>46218</v>
      </c>
      <c r="C813" s="86" t="s">
        <v>461</v>
      </c>
      <c r="D813" s="87" t="n">
        <v>50010</v>
      </c>
      <c r="E813" s="104" t="str">
        <f aca="false">IF(D813&lt;&gt;"",IFERROR(VLOOKUP(D813,PROVEEDORES!$A:$B,2,0),"!COD NO ENCONTRADO"),"")</f>
        <v>PERFECTO MONTERO</v>
      </c>
      <c r="F813" s="122" t="str">
        <f aca="false">IF(D813&lt;&gt;"",IFERROR(VLOOKUP(D813,PROVEEDORES!$A:$C,3,0),""),"")</f>
        <v>S</v>
      </c>
      <c r="G813" s="111" t="s">
        <v>227</v>
      </c>
      <c r="H813" s="104" t="str">
        <f aca="false">IF(G813&lt;&gt;"",IFERROR(VLOOKUP(G813,PRODUCTOS!$A:$B,2,0),"!COD NO ENCONTRADO"),"")</f>
        <v>MERLUZA EUROPEA PINCHO COSTA 1,5/2</v>
      </c>
      <c r="I813" s="112" t="n">
        <v>2</v>
      </c>
      <c r="J813" s="105" t="n">
        <v>16.55</v>
      </c>
      <c r="K813" s="125" t="n">
        <v>10.6</v>
      </c>
      <c r="L813" s="80" t="n">
        <f aca="false">IF(AND(J813&lt;&gt;"",K813&lt;&gt;""),J813*K813,"")</f>
        <v>175.43</v>
      </c>
      <c r="M813" s="81" t="n">
        <f aca="false">IF(L813&lt;&gt;"",L813*1.1,"")</f>
        <v>192.973</v>
      </c>
      <c r="N813" s="47" t="n">
        <f aca="false">IF(F813="S",L813*0.02,0)</f>
        <v>3.5086</v>
      </c>
      <c r="O813" s="82" t="n">
        <f aca="false">IF(L813&lt;&gt;"",L813+N813,"")</f>
        <v>178.9386</v>
      </c>
      <c r="P813" s="47" t="n">
        <f aca="false">IF(O813&lt;&gt;"",O813*0.1,"")</f>
        <v>17.89386</v>
      </c>
      <c r="Q813" s="83" t="n">
        <f aca="false">IF(O813&lt;&gt;"",O813+P813,"")</f>
        <v>196.83246</v>
      </c>
      <c r="R813" s="84" t="s">
        <v>365</v>
      </c>
    </row>
    <row r="814" customFormat="false" ht="15" hidden="false" customHeight="true" outlineLevel="0" collapsed="false">
      <c r="A814" s="103" t="n">
        <v>56040</v>
      </c>
      <c r="B814" s="73" t="n">
        <v>46218</v>
      </c>
      <c r="C814" s="74" t="n">
        <v>6049</v>
      </c>
      <c r="D814" s="75" t="n">
        <v>50019</v>
      </c>
      <c r="E814" s="104" t="str">
        <f aca="false">IF(D814&lt;&gt;"",IFERROR(VLOOKUP(D814,PROVEEDORES!$A:$B,2,0),"!COD NO ENCONTRADO"),"")</f>
        <v>ANGELITA VILLAR</v>
      </c>
      <c r="F814" s="122" t="str">
        <f aca="false">IF(D814&lt;&gt;"",IFERROR(VLOOKUP(D814,PROVEEDORES!$A:$C,3,0),""),"")</f>
        <v>S</v>
      </c>
      <c r="G814" s="111" t="s">
        <v>233</v>
      </c>
      <c r="H814" s="104" t="str">
        <f aca="false">IF(G814&lt;&gt;"",IFERROR(VLOOKUP(G814,PRODUCTOS!$A:$B,2,0),"!COD NO ENCONTRADO"),"")</f>
        <v>MERLUZA EUROPEA VOLANTA COSTA</v>
      </c>
      <c r="I814" s="112" t="n">
        <v>5</v>
      </c>
      <c r="J814" s="105" t="n">
        <v>12.5</v>
      </c>
      <c r="K814" s="125" t="n">
        <v>8.6</v>
      </c>
      <c r="L814" s="80" t="n">
        <f aca="false">IF(AND(J814&lt;&gt;"",K814&lt;&gt;""),J814*K814,"")</f>
        <v>107.5</v>
      </c>
      <c r="M814" s="81" t="n">
        <f aca="false">IF(L814&lt;&gt;"",L814*1.1,"")</f>
        <v>118.25</v>
      </c>
      <c r="N814" s="53" t="n">
        <f aca="false">IF(F814="S",L814*0.02,0)</f>
        <v>2.15</v>
      </c>
      <c r="O814" s="82" t="n">
        <f aca="false">IF(L814&lt;&gt;"",L814+N814,"")</f>
        <v>109.65</v>
      </c>
      <c r="P814" s="53" t="n">
        <f aca="false">IF(O814&lt;&gt;"",O814*0.1,"")</f>
        <v>10.965</v>
      </c>
      <c r="Q814" s="83" t="n">
        <f aca="false">IF(O814&lt;&gt;"",O814+P814,"")</f>
        <v>120.615</v>
      </c>
      <c r="R814" s="84" t="s">
        <v>365</v>
      </c>
    </row>
    <row r="815" customFormat="false" ht="15" hidden="false" customHeight="true" outlineLevel="0" collapsed="false">
      <c r="A815" s="103" t="n">
        <v>56041</v>
      </c>
      <c r="B815" s="73" t="n">
        <v>46218</v>
      </c>
      <c r="C815" s="86" t="n">
        <v>7471</v>
      </c>
      <c r="D815" s="87" t="n">
        <v>50020</v>
      </c>
      <c r="E815" s="104" t="str">
        <f aca="false">IF(D815&lt;&gt;"",IFERROR(VLOOKUP(D815,PROVEEDORES!$A:$B,2,0),"!COD NO ENCONTRADO"),"")</f>
        <v>PACO MOINELO</v>
      </c>
      <c r="F815" s="122" t="str">
        <f aca="false">IF(D815&lt;&gt;"",IFERROR(VLOOKUP(D815,PROVEEDORES!$A:$C,3,0),""),"")</f>
        <v>S</v>
      </c>
      <c r="G815" s="111" t="s">
        <v>135</v>
      </c>
      <c r="H815" s="104" t="str">
        <f aca="false">IF(G815&lt;&gt;"",IFERROR(VLOOKUP(G815,PRODUCTOS!$A:$B,2,0),"!COD NO ENCONTRADO"),"")</f>
        <v>CONGRIO 10+  (COE)</v>
      </c>
      <c r="I815" s="112" t="n">
        <v>1</v>
      </c>
      <c r="J815" s="105" t="n">
        <v>16.5</v>
      </c>
      <c r="K815" s="125" t="n">
        <v>3</v>
      </c>
      <c r="L815" s="80" t="n">
        <f aca="false">IF(AND(J815&lt;&gt;"",K815&lt;&gt;""),J815*K815,"")</f>
        <v>49.5</v>
      </c>
      <c r="M815" s="81" t="n">
        <f aca="false">IF(L815&lt;&gt;"",L815*1.1,"")</f>
        <v>54.45</v>
      </c>
      <c r="N815" s="47" t="n">
        <f aca="false">IF(F815="S",L815*0.02,0)</f>
        <v>0.99</v>
      </c>
      <c r="O815" s="82" t="n">
        <f aca="false">IF(L815&lt;&gt;"",L815+N815,"")</f>
        <v>50.49</v>
      </c>
      <c r="P815" s="47" t="n">
        <f aca="false">IF(O815&lt;&gt;"",O815*0.1,"")</f>
        <v>5.049</v>
      </c>
      <c r="Q815" s="83" t="n">
        <f aca="false">IF(O815&lt;&gt;"",O815+P815,"")</f>
        <v>55.539</v>
      </c>
      <c r="R815" s="84" t="s">
        <v>365</v>
      </c>
    </row>
    <row r="816" customFormat="false" ht="15" hidden="false" customHeight="true" outlineLevel="0" collapsed="false">
      <c r="A816" s="103" t="n">
        <v>56041</v>
      </c>
      <c r="B816" s="73" t="n">
        <v>46218</v>
      </c>
      <c r="C816" s="74" t="n">
        <v>7471</v>
      </c>
      <c r="D816" s="75" t="n">
        <v>50020</v>
      </c>
      <c r="E816" s="104" t="str">
        <f aca="false">IF(D816&lt;&gt;"",IFERROR(VLOOKUP(D816,PROVEEDORES!$A:$B,2,0),"!COD NO ENCONTRADO"),"")</f>
        <v>PACO MOINELO</v>
      </c>
      <c r="F816" s="122" t="str">
        <f aca="false">IF(D816&lt;&gt;"",IFERROR(VLOOKUP(D816,PROVEEDORES!$A:$C,3,0),""),"")</f>
        <v>S</v>
      </c>
      <c r="G816" s="111" t="s">
        <v>135</v>
      </c>
      <c r="H816" s="104" t="str">
        <f aca="false">IF(G816&lt;&gt;"",IFERROR(VLOOKUP(G816,PRODUCTOS!$A:$B,2,0),"!COD NO ENCONTRADO"),"")</f>
        <v>CONGRIO 10+  (COE)</v>
      </c>
      <c r="I816" s="112" t="n">
        <v>1</v>
      </c>
      <c r="J816" s="105" t="n">
        <v>26.5</v>
      </c>
      <c r="K816" s="125" t="n">
        <v>2</v>
      </c>
      <c r="L816" s="80" t="n">
        <f aca="false">IF(AND(J816&lt;&gt;"",K816&lt;&gt;""),J816*K816,"")</f>
        <v>53</v>
      </c>
      <c r="M816" s="81" t="n">
        <f aca="false">IF(L816&lt;&gt;"",L816*1.1,"")</f>
        <v>58.3</v>
      </c>
      <c r="N816" s="53" t="n">
        <f aca="false">IF(F816="S",L816*0.02,0)</f>
        <v>1.06</v>
      </c>
      <c r="O816" s="82" t="n">
        <f aca="false">IF(L816&lt;&gt;"",L816+N816,"")</f>
        <v>54.06</v>
      </c>
      <c r="P816" s="53" t="n">
        <f aca="false">IF(O816&lt;&gt;"",O816*0.1,"")</f>
        <v>5.406</v>
      </c>
      <c r="Q816" s="83" t="n">
        <f aca="false">IF(O816&lt;&gt;"",O816+P816,"")</f>
        <v>59.466</v>
      </c>
      <c r="R816" s="84" t="s">
        <v>365</v>
      </c>
    </row>
    <row r="817" customFormat="false" ht="15" hidden="false" customHeight="true" outlineLevel="0" collapsed="false">
      <c r="A817" s="103" t="n">
        <v>56041</v>
      </c>
      <c r="B817" s="73" t="n">
        <v>46218</v>
      </c>
      <c r="C817" s="74" t="n">
        <v>7471</v>
      </c>
      <c r="D817" s="75" t="n">
        <v>50020</v>
      </c>
      <c r="E817" s="104" t="str">
        <f aca="false">IF(D817&lt;&gt;"",IFERROR(VLOOKUP(D817,PROVEEDORES!$A:$B,2,0),"!COD NO ENCONTRADO"),"")</f>
        <v>PACO MOINELO</v>
      </c>
      <c r="F817" s="122" t="str">
        <f aca="false">IF(D817&lt;&gt;"",IFERROR(VLOOKUP(D817,PROVEEDORES!$A:$C,3,0),""),"")</f>
        <v>S</v>
      </c>
      <c r="G817" s="111" t="s">
        <v>103</v>
      </c>
      <c r="H817" s="104" t="str">
        <f aca="false">IF(G817&lt;&gt;"",IFERROR(VLOOKUP(G817,PRODUCTOS!$A:$B,2,0),"!COD NO ENCONTRADO"),"")</f>
        <v>CABRAS/ GALLINETA (BRF)</v>
      </c>
      <c r="I817" s="112" t="n">
        <v>2</v>
      </c>
      <c r="J817" s="105" t="n">
        <v>4.8</v>
      </c>
      <c r="K817" s="125" t="n">
        <v>11.5</v>
      </c>
      <c r="L817" s="80" t="n">
        <f aca="false">IF(AND(J817&lt;&gt;"",K817&lt;&gt;""),J817*K817,"")</f>
        <v>55.2</v>
      </c>
      <c r="M817" s="81" t="n">
        <f aca="false">IF(L817&lt;&gt;"",L817*1.1,"")</f>
        <v>60.72</v>
      </c>
      <c r="N817" s="53" t="n">
        <f aca="false">IF(F817="S",L817*0.02,0)</f>
        <v>1.104</v>
      </c>
      <c r="O817" s="82" t="n">
        <f aca="false">IF(L817&lt;&gt;"",L817+N817,"")</f>
        <v>56.304</v>
      </c>
      <c r="P817" s="53" t="n">
        <f aca="false">IF(O817&lt;&gt;"",O817*0.1,"")</f>
        <v>5.6304</v>
      </c>
      <c r="Q817" s="83" t="n">
        <f aca="false">IF(O817&lt;&gt;"",O817+P817,"")</f>
        <v>61.9344</v>
      </c>
      <c r="R817" s="84" t="s">
        <v>365</v>
      </c>
    </row>
    <row r="818" customFormat="false" ht="15" hidden="false" customHeight="true" outlineLevel="0" collapsed="false">
      <c r="A818" s="103" t="n">
        <v>56042</v>
      </c>
      <c r="B818" s="73" t="n">
        <v>46218</v>
      </c>
      <c r="C818" s="86" t="n">
        <v>19484</v>
      </c>
      <c r="D818" s="87" t="n">
        <v>50163</v>
      </c>
      <c r="E818" s="104" t="str">
        <f aca="false">IF(D818&lt;&gt;"",IFERROR(VLOOKUP(D818,PROVEEDORES!$A:$B,2,0),"!COD NO ENCONTRADO"),"")</f>
        <v>SUBASTAS RIVERA S.L.</v>
      </c>
      <c r="F818" s="122" t="str">
        <f aca="false">IF(D818&lt;&gt;"",IFERROR(VLOOKUP(D818,PROVEEDORES!$A:$C,3,0),""),"")</f>
        <v>S</v>
      </c>
      <c r="G818" s="111" t="s">
        <v>103</v>
      </c>
      <c r="H818" s="104" t="str">
        <f aca="false">IF(G818&lt;&gt;"",IFERROR(VLOOKUP(G818,PRODUCTOS!$A:$B,2,0),"!COD NO ENCONTRADO"),"")</f>
        <v>CABRAS/ GALLINETA (BRF)</v>
      </c>
      <c r="I818" s="112" t="n">
        <v>2</v>
      </c>
      <c r="J818" s="105" t="n">
        <v>12.4</v>
      </c>
      <c r="K818" s="125" t="n">
        <v>9.8</v>
      </c>
      <c r="L818" s="80" t="n">
        <f aca="false">IF(AND(J818&lt;&gt;"",K818&lt;&gt;""),J818*K818,"")</f>
        <v>121.52</v>
      </c>
      <c r="M818" s="81" t="n">
        <f aca="false">IF(L818&lt;&gt;"",L818*1.1,"")</f>
        <v>133.672</v>
      </c>
      <c r="N818" s="47" t="n">
        <f aca="false">IF(F818="S",L818*0.02,0)</f>
        <v>2.4304</v>
      </c>
      <c r="O818" s="82" t="n">
        <f aca="false">IF(L818&lt;&gt;"",L818+N818,"")</f>
        <v>123.9504</v>
      </c>
      <c r="P818" s="47" t="n">
        <f aca="false">IF(O818&lt;&gt;"",O818*0.1,"")</f>
        <v>12.39504</v>
      </c>
      <c r="Q818" s="83" t="n">
        <f aca="false">IF(O818&lt;&gt;"",O818+P818,"")</f>
        <v>136.34544</v>
      </c>
      <c r="R818" s="84" t="s">
        <v>358</v>
      </c>
    </row>
    <row r="819" customFormat="false" ht="15" hidden="false" customHeight="true" outlineLevel="0" collapsed="false">
      <c r="A819" s="103" t="n">
        <v>56042</v>
      </c>
      <c r="B819" s="73" t="n">
        <v>46218</v>
      </c>
      <c r="C819" s="86" t="n">
        <v>19484</v>
      </c>
      <c r="D819" s="87" t="n">
        <v>50163</v>
      </c>
      <c r="E819" s="104" t="str">
        <f aca="false">IF(D819&lt;&gt;"",IFERROR(VLOOKUP(D819,PROVEEDORES!$A:$B,2,0),"!COD NO ENCONTRADO"),"")</f>
        <v>SUBASTAS RIVERA S.L.</v>
      </c>
      <c r="F819" s="122" t="str">
        <f aca="false">IF(D819&lt;&gt;"",IFERROR(VLOOKUP(D819,PROVEEDORES!$A:$C,3,0),""),"")</f>
        <v>S</v>
      </c>
      <c r="G819" s="111" t="s">
        <v>288</v>
      </c>
      <c r="H819" s="104" t="str">
        <f aca="false">IF(G819&lt;&gt;"",IFERROR(VLOOKUP(G819,PRODUCTOS!$A:$B,2,0),"!COD NO ENCONTRADO"),"")</f>
        <v>RAPE BLANCO DIA (MON)</v>
      </c>
      <c r="I819" s="112" t="n">
        <v>1</v>
      </c>
      <c r="J819" s="105" t="n">
        <v>6.6</v>
      </c>
      <c r="K819" s="125" t="n">
        <v>6</v>
      </c>
      <c r="L819" s="80" t="n">
        <f aca="false">IF(AND(J819&lt;&gt;"",K819&lt;&gt;""),J819*K819,"")</f>
        <v>39.6</v>
      </c>
      <c r="M819" s="81" t="n">
        <f aca="false">IF(L819&lt;&gt;"",L819*1.1,"")</f>
        <v>43.56</v>
      </c>
      <c r="N819" s="47" t="n">
        <f aca="false">IF(F819="S",L819*0.02,0)</f>
        <v>0.792</v>
      </c>
      <c r="O819" s="82" t="n">
        <f aca="false">IF(L819&lt;&gt;"",L819+N819,"")</f>
        <v>40.392</v>
      </c>
      <c r="P819" s="47" t="n">
        <f aca="false">IF(O819&lt;&gt;"",O819*0.1,"")</f>
        <v>4.0392</v>
      </c>
      <c r="Q819" s="83" t="n">
        <f aca="false">IF(O819&lt;&gt;"",O819+P819,"")</f>
        <v>44.4312</v>
      </c>
      <c r="R819" s="84" t="s">
        <v>358</v>
      </c>
    </row>
    <row r="820" customFormat="false" ht="15" hidden="false" customHeight="true" outlineLevel="0" collapsed="false">
      <c r="A820" s="103" t="n">
        <v>56042</v>
      </c>
      <c r="B820" s="73" t="n">
        <v>46218</v>
      </c>
      <c r="C820" s="86" t="n">
        <v>19484</v>
      </c>
      <c r="D820" s="87" t="n">
        <v>50163</v>
      </c>
      <c r="E820" s="104" t="str">
        <f aca="false">IF(D820&lt;&gt;"",IFERROR(VLOOKUP(D820,PROVEEDORES!$A:$B,2,0),"!COD NO ENCONTRADO"),"")</f>
        <v>SUBASTAS RIVERA S.L.</v>
      </c>
      <c r="F820" s="122" t="str">
        <f aca="false">IF(D820&lt;&gt;"",IFERROR(VLOOKUP(D820,PROVEEDORES!$A:$C,3,0),""),"")</f>
        <v>S</v>
      </c>
      <c r="G820" s="111" t="s">
        <v>103</v>
      </c>
      <c r="H820" s="104" t="str">
        <f aca="false">IF(G820&lt;&gt;"",IFERROR(VLOOKUP(G820,PRODUCTOS!$A:$B,2,0),"!COD NO ENCONTRADO"),"")</f>
        <v>CABRAS/ GALLINETA (BRF)</v>
      </c>
      <c r="I820" s="112" t="n">
        <v>1</v>
      </c>
      <c r="J820" s="105" t="n">
        <v>2.6</v>
      </c>
      <c r="K820" s="125" t="n">
        <v>9.4</v>
      </c>
      <c r="L820" s="80" t="n">
        <f aca="false">IF(AND(J820&lt;&gt;"",K820&lt;&gt;""),J820*K820,"")</f>
        <v>24.44</v>
      </c>
      <c r="M820" s="81" t="n">
        <f aca="false">IF(L820&lt;&gt;"",L820*1.1,"")</f>
        <v>26.884</v>
      </c>
      <c r="N820" s="53" t="n">
        <f aca="false">IF(F820="S",L820*0.02,0)</f>
        <v>0.4888</v>
      </c>
      <c r="O820" s="82" t="n">
        <f aca="false">IF(L820&lt;&gt;"",L820+N820,"")</f>
        <v>24.9288</v>
      </c>
      <c r="P820" s="53" t="n">
        <f aca="false">IF(O820&lt;&gt;"",O820*0.1,"")</f>
        <v>2.49288</v>
      </c>
      <c r="Q820" s="83" t="n">
        <f aca="false">IF(O820&lt;&gt;"",O820+P820,"")</f>
        <v>27.42168</v>
      </c>
      <c r="R820" s="84" t="s">
        <v>358</v>
      </c>
    </row>
    <row r="821" customFormat="false" ht="15" hidden="false" customHeight="true" outlineLevel="0" collapsed="false">
      <c r="A821" s="103" t="n">
        <v>56042</v>
      </c>
      <c r="B821" s="73" t="n">
        <v>46218</v>
      </c>
      <c r="C821" s="86" t="n">
        <v>19484</v>
      </c>
      <c r="D821" s="87" t="n">
        <v>50163</v>
      </c>
      <c r="E821" s="104" t="str">
        <f aca="false">IF(D821&lt;&gt;"",IFERROR(VLOOKUP(D821,PROVEEDORES!$A:$B,2,0),"!COD NO ENCONTRADO"),"")</f>
        <v>SUBASTAS RIVERA S.L.</v>
      </c>
      <c r="F821" s="122" t="str">
        <f aca="false">IF(D821&lt;&gt;"",IFERROR(VLOOKUP(D821,PROVEEDORES!$A:$C,3,0),""),"")</f>
        <v>S</v>
      </c>
      <c r="G821" s="111" t="s">
        <v>288</v>
      </c>
      <c r="H821" s="104" t="str">
        <f aca="false">IF(G821&lt;&gt;"",IFERROR(VLOOKUP(G821,PRODUCTOS!$A:$B,2,0),"!COD NO ENCONTRADO"),"")</f>
        <v>RAPE BLANCO DIA (MON)</v>
      </c>
      <c r="I821" s="112" t="n">
        <v>10</v>
      </c>
      <c r="J821" s="105" t="n">
        <v>109.15</v>
      </c>
      <c r="K821" s="125" t="n">
        <v>7.7</v>
      </c>
      <c r="L821" s="80" t="n">
        <f aca="false">IF(AND(J821&lt;&gt;"",K821&lt;&gt;""),J821*K821,"")</f>
        <v>840.455</v>
      </c>
      <c r="M821" s="81" t="n">
        <f aca="false">IF(L821&lt;&gt;"",L821*1.1,"")</f>
        <v>924.5005</v>
      </c>
      <c r="N821" s="47" t="n">
        <f aca="false">IF(F821="S",L821*0.02,0)</f>
        <v>16.8091</v>
      </c>
      <c r="O821" s="82" t="n">
        <f aca="false">IF(L821&lt;&gt;"",L821+N821,"")</f>
        <v>857.2641</v>
      </c>
      <c r="P821" s="47" t="n">
        <f aca="false">IF(O821&lt;&gt;"",O821*0.1,"")</f>
        <v>85.72641</v>
      </c>
      <c r="Q821" s="83" t="n">
        <f aca="false">IF(O821&lt;&gt;"",O821+P821,"")</f>
        <v>942.99051</v>
      </c>
      <c r="R821" s="84" t="s">
        <v>358</v>
      </c>
    </row>
    <row r="822" customFormat="false" ht="15" hidden="false" customHeight="true" outlineLevel="0" collapsed="false">
      <c r="A822" s="103" t="n">
        <v>56042</v>
      </c>
      <c r="B822" s="73" t="n">
        <v>46218</v>
      </c>
      <c r="C822" s="86" t="n">
        <v>19484</v>
      </c>
      <c r="D822" s="87" t="n">
        <v>50163</v>
      </c>
      <c r="E822" s="104" t="str">
        <f aca="false">IF(D822&lt;&gt;"",IFERROR(VLOOKUP(D822,PROVEEDORES!$A:$B,2,0),"!COD NO ENCONTRADO"),"")</f>
        <v>SUBASTAS RIVERA S.L.</v>
      </c>
      <c r="F822" s="122" t="str">
        <f aca="false">IF(D822&lt;&gt;"",IFERROR(VLOOKUP(D822,PROVEEDORES!$A:$C,3,0),""),"")</f>
        <v>S</v>
      </c>
      <c r="G822" s="111" t="s">
        <v>229</v>
      </c>
      <c r="H822" s="104" t="str">
        <f aca="false">IF(G822&lt;&gt;"",IFERROR(VLOOKUP(G822,PRODUCTOS!$A:$B,2,0),"!COD NO ENCONTRADO"),"")</f>
        <v>MERLUZA EUROPEA PINCHO COSTA 2+</v>
      </c>
      <c r="I822" s="112" t="n">
        <v>1</v>
      </c>
      <c r="J822" s="105" t="n">
        <v>14.5</v>
      </c>
      <c r="K822" s="125" t="n">
        <v>12.6</v>
      </c>
      <c r="L822" s="80" t="n">
        <f aca="false">IF(AND(J822&lt;&gt;"",K822&lt;&gt;""),J822*K822,"")</f>
        <v>182.7</v>
      </c>
      <c r="M822" s="81" t="n">
        <f aca="false">IF(L822&lt;&gt;"",L822*1.1,"")</f>
        <v>200.97</v>
      </c>
      <c r="N822" s="53" t="n">
        <f aca="false">IF(F822="S",L822*0.02,0)</f>
        <v>3.654</v>
      </c>
      <c r="O822" s="82" t="n">
        <f aca="false">IF(L822&lt;&gt;"",L822+N822,"")</f>
        <v>186.354</v>
      </c>
      <c r="P822" s="53" t="n">
        <f aca="false">IF(O822&lt;&gt;"",O822*0.1,"")</f>
        <v>18.6354</v>
      </c>
      <c r="Q822" s="83" t="n">
        <f aca="false">IF(O822&lt;&gt;"",O822+P822,"")</f>
        <v>204.9894</v>
      </c>
      <c r="R822" s="84" t="s">
        <v>358</v>
      </c>
    </row>
    <row r="823" customFormat="false" ht="15" hidden="false" customHeight="true" outlineLevel="0" collapsed="false">
      <c r="A823" s="103" t="n">
        <v>56042</v>
      </c>
      <c r="B823" s="73" t="n">
        <v>46218</v>
      </c>
      <c r="C823" s="86" t="n">
        <v>19484</v>
      </c>
      <c r="D823" s="87" t="n">
        <v>50163</v>
      </c>
      <c r="E823" s="104" t="str">
        <f aca="false">IF(D823&lt;&gt;"",IFERROR(VLOOKUP(D823,PROVEEDORES!$A:$B,2,0),"!COD NO ENCONTRADO"),"")</f>
        <v>SUBASTAS RIVERA S.L.</v>
      </c>
      <c r="F823" s="122" t="str">
        <f aca="false">IF(D823&lt;&gt;"",IFERROR(VLOOKUP(D823,PROVEEDORES!$A:$C,3,0),""),"")</f>
        <v>S</v>
      </c>
      <c r="G823" s="111" t="s">
        <v>227</v>
      </c>
      <c r="H823" s="104" t="str">
        <f aca="false">IF(G823&lt;&gt;"",IFERROR(VLOOKUP(G823,PRODUCTOS!$A:$B,2,0),"!COD NO ENCONTRADO"),"")</f>
        <v>MERLUZA EUROPEA PINCHO COSTA 1,5/2</v>
      </c>
      <c r="I823" s="112" t="n">
        <v>1</v>
      </c>
      <c r="J823" s="105" t="n">
        <v>15.75</v>
      </c>
      <c r="K823" s="125" t="n">
        <v>9.9</v>
      </c>
      <c r="L823" s="80" t="n">
        <f aca="false">IF(AND(J823&lt;&gt;"",K823&lt;&gt;""),J823*K823,"")</f>
        <v>155.925</v>
      </c>
      <c r="M823" s="81" t="n">
        <f aca="false">IF(L823&lt;&gt;"",L823*1.1,"")</f>
        <v>171.5175</v>
      </c>
      <c r="N823" s="47" t="n">
        <f aca="false">IF(F823="S",L823*0.02,0)</f>
        <v>3.1185</v>
      </c>
      <c r="O823" s="82" t="n">
        <f aca="false">IF(L823&lt;&gt;"",L823+N823,"")</f>
        <v>159.0435</v>
      </c>
      <c r="P823" s="47" t="n">
        <f aca="false">IF(O823&lt;&gt;"",O823*0.1,"")</f>
        <v>15.90435</v>
      </c>
      <c r="Q823" s="83" t="n">
        <f aca="false">IF(O823&lt;&gt;"",O823+P823,"")</f>
        <v>174.94785</v>
      </c>
      <c r="R823" s="84" t="s">
        <v>358</v>
      </c>
    </row>
    <row r="824" customFormat="false" ht="15" hidden="false" customHeight="true" outlineLevel="0" collapsed="false">
      <c r="A824" s="103" t="n">
        <v>56042</v>
      </c>
      <c r="B824" s="73" t="n">
        <v>46218</v>
      </c>
      <c r="C824" s="86" t="n">
        <v>19484</v>
      </c>
      <c r="D824" s="87" t="n">
        <v>50163</v>
      </c>
      <c r="E824" s="104" t="str">
        <f aca="false">IF(D824&lt;&gt;"",IFERROR(VLOOKUP(D824,PROVEEDORES!$A:$B,2,0),"!COD NO ENCONTRADO"),"")</f>
        <v>SUBASTAS RIVERA S.L.</v>
      </c>
      <c r="F824" s="122" t="str">
        <f aca="false">IF(D824&lt;&gt;"",IFERROR(VLOOKUP(D824,PROVEEDORES!$A:$C,3,0),""),"")</f>
        <v>S</v>
      </c>
      <c r="G824" s="111" t="s">
        <v>231</v>
      </c>
      <c r="H824" s="104" t="str">
        <f aca="false">IF(G824&lt;&gt;"",IFERROR(VLOOKUP(G824,PRODUCTOS!$A:$B,2,0),"!COD NO ENCONTRADO"),"")</f>
        <v>MERLUZA EUROPEA PINCHO COSTA 2,5+</v>
      </c>
      <c r="I824" s="112" t="n">
        <v>2</v>
      </c>
      <c r="J824" s="105" t="n">
        <v>17</v>
      </c>
      <c r="K824" s="125" t="n">
        <v>14</v>
      </c>
      <c r="L824" s="80" t="n">
        <f aca="false">IF(AND(J824&lt;&gt;"",K824&lt;&gt;""),J824*K824,"")</f>
        <v>238</v>
      </c>
      <c r="M824" s="81" t="n">
        <f aca="false">IF(L824&lt;&gt;"",L824*1.1,"")</f>
        <v>261.8</v>
      </c>
      <c r="N824" s="53" t="n">
        <f aca="false">IF(F824="S",L824*0.02,0)</f>
        <v>4.76</v>
      </c>
      <c r="O824" s="82" t="n">
        <f aca="false">IF(L824&lt;&gt;"",L824+N824,"")</f>
        <v>242.76</v>
      </c>
      <c r="P824" s="53" t="n">
        <f aca="false">IF(O824&lt;&gt;"",O824*0.1,"")</f>
        <v>24.276</v>
      </c>
      <c r="Q824" s="83" t="n">
        <f aca="false">IF(O824&lt;&gt;"",O824+P824,"")</f>
        <v>267.036</v>
      </c>
      <c r="R824" s="84" t="s">
        <v>358</v>
      </c>
    </row>
    <row r="825" customFormat="false" ht="15" hidden="false" customHeight="true" outlineLevel="0" collapsed="false">
      <c r="A825" s="103" t="n">
        <v>56042</v>
      </c>
      <c r="B825" s="73" t="n">
        <v>46218</v>
      </c>
      <c r="C825" s="86" t="n">
        <v>19484</v>
      </c>
      <c r="D825" s="87" t="n">
        <v>50163</v>
      </c>
      <c r="E825" s="104" t="str">
        <f aca="false">IF(D825&lt;&gt;"",IFERROR(VLOOKUP(D825,PROVEEDORES!$A:$B,2,0),"!COD NO ENCONTRADO"),"")</f>
        <v>SUBASTAS RIVERA S.L.</v>
      </c>
      <c r="F825" s="122" t="str">
        <f aca="false">IF(D825&lt;&gt;"",IFERROR(VLOOKUP(D825,PROVEEDORES!$A:$C,3,0),""),"")</f>
        <v>S</v>
      </c>
      <c r="G825" s="111" t="s">
        <v>103</v>
      </c>
      <c r="H825" s="104" t="str">
        <f aca="false">IF(G825&lt;&gt;"",IFERROR(VLOOKUP(G825,PRODUCTOS!$A:$B,2,0),"!COD NO ENCONTRADO"),"")</f>
        <v>CABRAS/ GALLINETA (BRF)</v>
      </c>
      <c r="I825" s="112" t="n">
        <v>2</v>
      </c>
      <c r="J825" s="105" t="n">
        <v>11.1</v>
      </c>
      <c r="K825" s="125" t="n">
        <v>10.9</v>
      </c>
      <c r="L825" s="80" t="n">
        <f aca="false">IF(AND(J825&lt;&gt;"",K825&lt;&gt;""),J825*K825,"")</f>
        <v>120.99</v>
      </c>
      <c r="M825" s="81" t="n">
        <f aca="false">IF(L825&lt;&gt;"",L825*1.1,"")</f>
        <v>133.089</v>
      </c>
      <c r="N825" s="47" t="n">
        <f aca="false">IF(F825="S",L825*0.02,0)</f>
        <v>2.4198</v>
      </c>
      <c r="O825" s="82" t="n">
        <f aca="false">IF(L825&lt;&gt;"",L825+N825,"")</f>
        <v>123.4098</v>
      </c>
      <c r="P825" s="47" t="n">
        <f aca="false">IF(O825&lt;&gt;"",O825*0.1,"")</f>
        <v>12.34098</v>
      </c>
      <c r="Q825" s="83" t="n">
        <f aca="false">IF(O825&lt;&gt;"",O825+P825,"")</f>
        <v>135.75078</v>
      </c>
      <c r="R825" s="84" t="s">
        <v>358</v>
      </c>
    </row>
    <row r="826" customFormat="false" ht="15" hidden="false" customHeight="true" outlineLevel="0" collapsed="false">
      <c r="A826" s="103" t="n">
        <v>56042</v>
      </c>
      <c r="B826" s="73" t="n">
        <v>46218</v>
      </c>
      <c r="C826" s="86" t="n">
        <v>19484</v>
      </c>
      <c r="D826" s="75" t="n">
        <v>50163</v>
      </c>
      <c r="E826" s="52" t="str">
        <f aca="false">IF(D826&lt;&gt;"",IFERROR(VLOOKUP(D826,PROVEEDORES!$A:$B,2,0),"!COD NO ENCONTRADO"),"")</f>
        <v>SUBASTAS RIVERA S.L.</v>
      </c>
      <c r="F826" s="76" t="str">
        <f aca="false">IF(D826&lt;&gt;"",IFERROR(VLOOKUP(D826,PROVEEDORES!$A:$C,3,0),""),"")</f>
        <v>S</v>
      </c>
      <c r="G826" s="75" t="s">
        <v>231</v>
      </c>
      <c r="H826" s="52" t="str">
        <f aca="false">IF(G826&lt;&gt;"",IFERROR(VLOOKUP(G826,PRODUCTOS!$A:$B,2,0),"!COD NO ENCONTRADO"),"")</f>
        <v>MERLUZA EUROPEA PINCHO COSTA 2,5+</v>
      </c>
      <c r="I826" s="77" t="n">
        <v>1</v>
      </c>
      <c r="J826" s="78" t="n">
        <v>4.4</v>
      </c>
      <c r="K826" s="79" t="n">
        <v>19</v>
      </c>
      <c r="L826" s="80" t="n">
        <f aca="false">IF(AND(J826&lt;&gt;"",K826&lt;&gt;""),J826*K826,"")</f>
        <v>83.6</v>
      </c>
      <c r="M826" s="81" t="n">
        <f aca="false">IF(L826&lt;&gt;"",L826*1.1,"")</f>
        <v>91.96</v>
      </c>
      <c r="N826" s="53" t="n">
        <f aca="false">IF(F826="S",L826*0.02,0)</f>
        <v>1.672</v>
      </c>
      <c r="O826" s="82" t="n">
        <f aca="false">IF(L826&lt;&gt;"",L826+N826,"")</f>
        <v>85.272</v>
      </c>
      <c r="P826" s="53" t="n">
        <f aca="false">IF(O826&lt;&gt;"",O826*0.1,"")</f>
        <v>8.5272</v>
      </c>
      <c r="Q826" s="83" t="n">
        <f aca="false">IF(O826&lt;&gt;"",O826+P826,"")</f>
        <v>93.7992</v>
      </c>
      <c r="R826" s="84" t="s">
        <v>358</v>
      </c>
    </row>
    <row r="827" customFormat="false" ht="15" hidden="false" customHeight="true" outlineLevel="0" collapsed="false">
      <c r="A827" s="103" t="n">
        <v>56043</v>
      </c>
      <c r="B827" s="73" t="n">
        <v>46218</v>
      </c>
      <c r="C827" s="86" t="s">
        <v>462</v>
      </c>
      <c r="D827" s="87" t="n">
        <v>50218</v>
      </c>
      <c r="E827" s="46" t="str">
        <f aca="false">IF(D827&lt;&gt;"",IFERROR(VLOOKUP(D827,PROVEEDORES!$A:$B,2,0),"!COD NO ENCONTRADO"),"")</f>
        <v>ACERGA </v>
      </c>
      <c r="F827" s="88" t="str">
        <f aca="false">IF(D827&lt;&gt;"",IFERROR(VLOOKUP(D827,PROVEEDORES!$A:$C,3,0),""),"")</f>
        <v>S</v>
      </c>
      <c r="G827" s="87" t="s">
        <v>93</v>
      </c>
      <c r="H827" s="46" t="str">
        <f aca="false">IF(G827&lt;&gt;"",IFERROR(VLOOKUP(G827,PRODUCTOS!$A:$B,2,0),"!COD NO ENCONTRADO"),"")</f>
        <v>BOQUERON/ BOCARTE/ ANCHOA (ANE)</v>
      </c>
      <c r="I827" s="89" t="n">
        <v>44</v>
      </c>
      <c r="J827" s="90" t="n">
        <v>379</v>
      </c>
      <c r="K827" s="91" t="n">
        <v>1.35</v>
      </c>
      <c r="L827" s="80" t="n">
        <f aca="false">IF(AND(J827&lt;&gt;"",K827&lt;&gt;""),J827*K827,"")</f>
        <v>511.65</v>
      </c>
      <c r="M827" s="81" t="n">
        <f aca="false">IF(L827&lt;&gt;"",L827*1.1,"")</f>
        <v>562.815</v>
      </c>
      <c r="N827" s="47" t="n">
        <f aca="false">IF(F827="S",L827*0.02,0)</f>
        <v>10.233</v>
      </c>
      <c r="O827" s="82" t="n">
        <f aca="false">IF(L827&lt;&gt;"",L827+N827,"")</f>
        <v>521.883</v>
      </c>
      <c r="P827" s="47" t="n">
        <f aca="false">IF(O827&lt;&gt;"",O827*0.1,"")</f>
        <v>52.1883</v>
      </c>
      <c r="Q827" s="83" t="n">
        <f aca="false">IF(O827&lt;&gt;"",O827+P827,"")</f>
        <v>574.0713</v>
      </c>
      <c r="R827" s="84" t="s">
        <v>365</v>
      </c>
    </row>
    <row r="828" customFormat="false" ht="15" hidden="false" customHeight="true" outlineLevel="0" collapsed="false">
      <c r="A828" s="103" t="n">
        <v>56044</v>
      </c>
      <c r="B828" s="73" t="n">
        <v>46218</v>
      </c>
      <c r="C828" s="74" t="n">
        <v>14072601</v>
      </c>
      <c r="D828" s="75" t="n">
        <v>50532</v>
      </c>
      <c r="E828" s="52" t="str">
        <f aca="false">IF(D828&lt;&gt;"",IFERROR(VLOOKUP(D828,PROVEEDORES!$A:$B,2,0),"!COD NO ENCONTRADO"),"")</f>
        <v>AITORPESCA S.L.</v>
      </c>
      <c r="F828" s="76" t="str">
        <f aca="false">IF(D828&lt;&gt;"",IFERROR(VLOOKUP(D828,PROVEEDORES!$A:$C,3,0),""),"")</f>
        <v>N</v>
      </c>
      <c r="G828" s="75" t="s">
        <v>181</v>
      </c>
      <c r="H828" s="52" t="str">
        <f aca="false">IF(G828&lt;&gt;"",IFERROR(VLOOKUP(G828,PRODUCTOS!$A:$B,2,0),"!COD NO ENCONTRADO"),"")</f>
        <v>LIRIO EN FILETES</v>
      </c>
      <c r="I828" s="77" t="n">
        <v>10</v>
      </c>
      <c r="J828" s="78" t="n">
        <v>20</v>
      </c>
      <c r="K828" s="79" t="n">
        <v>4.4</v>
      </c>
      <c r="L828" s="80" t="n">
        <f aca="false">IF(AND(J828&lt;&gt;"",K828&lt;&gt;""),J828*K828,"")</f>
        <v>88</v>
      </c>
      <c r="M828" s="81" t="n">
        <f aca="false">IF(L828&lt;&gt;"",L828*1.1,"")</f>
        <v>96.8</v>
      </c>
      <c r="N828" s="53" t="n">
        <f aca="false">IF(F828="S",L828*0.02,0)</f>
        <v>0</v>
      </c>
      <c r="O828" s="82" t="n">
        <f aca="false">IF(L828&lt;&gt;"",L828+N828,"")</f>
        <v>88</v>
      </c>
      <c r="P828" s="53" t="n">
        <f aca="false">IF(O828&lt;&gt;"",O828*0.1,"")</f>
        <v>8.8</v>
      </c>
      <c r="Q828" s="83" t="n">
        <f aca="false">IF(O828&lt;&gt;"",O828+P828,"")</f>
        <v>96.8</v>
      </c>
      <c r="R828" s="84" t="s">
        <v>365</v>
      </c>
    </row>
    <row r="829" customFormat="false" ht="15" hidden="false" customHeight="true" outlineLevel="0" collapsed="false">
      <c r="A829" s="103" t="n">
        <v>56045</v>
      </c>
      <c r="B829" s="85" t="n">
        <v>46218</v>
      </c>
      <c r="C829" s="86" t="s">
        <v>463</v>
      </c>
      <c r="D829" s="87" t="n">
        <v>50035</v>
      </c>
      <c r="E829" s="46" t="str">
        <f aca="false">IF(D829&lt;&gt;"",IFERROR(VLOOKUP(D829,PROVEEDORES!$A:$B,2,0),"!COD NO ENCONTRADO"),"")</f>
        <v>SCANFISK SEAFFOD S,L</v>
      </c>
      <c r="F829" s="88" t="str">
        <f aca="false">IF(D829&lt;&gt;"",IFERROR(VLOOKUP(D829,PROVEEDORES!$A:$C,3,0),""),"")</f>
        <v>N</v>
      </c>
      <c r="G829" s="87" t="s">
        <v>209</v>
      </c>
      <c r="H829" s="46" t="str">
        <f aca="false">IF(G829&lt;&gt;"",IFERROR(VLOOKUP(G829,PRODUCTOS!$A:$B,2,0),"!COD NO ENCONTRADO"),"")</f>
        <v>MERLUZA EUROPEA PINCHO</v>
      </c>
      <c r="I829" s="89" t="n">
        <v>3</v>
      </c>
      <c r="J829" s="90" t="n">
        <v>31.5</v>
      </c>
      <c r="K829" s="91" t="n">
        <v>6.9</v>
      </c>
      <c r="L829" s="80" t="n">
        <f aca="false">IF(AND(J829&lt;&gt;"",K829&lt;&gt;""),J829*K829,"")</f>
        <v>217.35</v>
      </c>
      <c r="M829" s="81" t="n">
        <f aca="false">IF(L829&lt;&gt;"",L829*1.1,"")</f>
        <v>239.085</v>
      </c>
      <c r="N829" s="47" t="n">
        <f aca="false">IF(F829="S",L829*0.02,0)</f>
        <v>0</v>
      </c>
      <c r="O829" s="82" t="n">
        <f aca="false">IF(L829&lt;&gt;"",L829+N829,"")</f>
        <v>217.35</v>
      </c>
      <c r="P829" s="47" t="n">
        <f aca="false">IF(O829&lt;&gt;"",O829*0.1,"")</f>
        <v>21.735</v>
      </c>
      <c r="Q829" s="83" t="n">
        <f aca="false">IF(O829&lt;&gt;"",O829+P829,"")</f>
        <v>239.085</v>
      </c>
      <c r="R829" s="84" t="s">
        <v>358</v>
      </c>
    </row>
    <row r="830" customFormat="false" ht="15" hidden="false" customHeight="true" outlineLevel="0" collapsed="false">
      <c r="A830" s="103" t="n">
        <v>56045</v>
      </c>
      <c r="B830" s="73" t="n">
        <v>46218</v>
      </c>
      <c r="C830" s="74" t="s">
        <v>464</v>
      </c>
      <c r="D830" s="75" t="n">
        <v>50035</v>
      </c>
      <c r="E830" s="52" t="str">
        <f aca="false">IF(D830&lt;&gt;"",IFERROR(VLOOKUP(D830,PROVEEDORES!$A:$B,2,0),"!COD NO ENCONTRADO"),"")</f>
        <v>SCANFISK SEAFFOD S,L</v>
      </c>
      <c r="F830" s="76" t="str">
        <f aca="false">IF(D830&lt;&gt;"",IFERROR(VLOOKUP(D830,PROVEEDORES!$A:$C,3,0),""),"")</f>
        <v>N</v>
      </c>
      <c r="G830" s="75" t="s">
        <v>209</v>
      </c>
      <c r="H830" s="52" t="str">
        <f aca="false">IF(G830&lt;&gt;"",IFERROR(VLOOKUP(G830,PRODUCTOS!$A:$B,2,0),"!COD NO ENCONTRADO"),"")</f>
        <v>MERLUZA EUROPEA PINCHO</v>
      </c>
      <c r="I830" s="77" t="n">
        <v>5</v>
      </c>
      <c r="J830" s="78" t="n">
        <v>31.5</v>
      </c>
      <c r="K830" s="79" t="n">
        <v>5.9</v>
      </c>
      <c r="L830" s="80" t="n">
        <f aca="false">IF(AND(J830&lt;&gt;"",K830&lt;&gt;""),J830*K830,"")</f>
        <v>185.85</v>
      </c>
      <c r="M830" s="81" t="n">
        <f aca="false">IF(L830&lt;&gt;"",L830*1.1,"")</f>
        <v>204.435</v>
      </c>
      <c r="N830" s="53" t="n">
        <f aca="false">IF(F830="S",L830*0.02,0)</f>
        <v>0</v>
      </c>
      <c r="O830" s="82" t="n">
        <f aca="false">IF(L830&lt;&gt;"",L830+N830,"")</f>
        <v>185.85</v>
      </c>
      <c r="P830" s="53" t="n">
        <f aca="false">IF(O830&lt;&gt;"",O830*0.1,"")</f>
        <v>18.585</v>
      </c>
      <c r="Q830" s="83" t="n">
        <f aca="false">IF(O830&lt;&gt;"",O830+P830,"")</f>
        <v>204.435</v>
      </c>
      <c r="R830" s="84" t="s">
        <v>358</v>
      </c>
    </row>
    <row r="831" customFormat="false" ht="15" hidden="false" customHeight="true" outlineLevel="0" collapsed="false">
      <c r="A831" s="103" t="n">
        <v>56046</v>
      </c>
      <c r="B831" s="85" t="n">
        <v>46218</v>
      </c>
      <c r="C831" s="86" t="s">
        <v>465</v>
      </c>
      <c r="D831" s="87" t="n">
        <v>50048</v>
      </c>
      <c r="E831" s="46" t="str">
        <f aca="false">IF(D831&lt;&gt;"",IFERROR(VLOOKUP(D831,PROVEEDORES!$A:$B,2,0),"!COD NO ENCONTRADO"),"")</f>
        <v>JOSE LUIS CORREA KESSLER S.L.</v>
      </c>
      <c r="F831" s="88" t="str">
        <f aca="false">IF(D831&lt;&gt;"",IFERROR(VLOOKUP(D831,PROVEEDORES!$A:$C,3,0),""),"")</f>
        <v>N</v>
      </c>
      <c r="G831" s="87" t="s">
        <v>324</v>
      </c>
      <c r="H831" s="46" t="str">
        <f aca="false">IF(G831&lt;&gt;"",IFERROR(VLOOKUP(G831,PRODUCTOS!$A:$B,2,0),"!COD NO ENCONTRADO"),"")</f>
        <v>SARDINA    (PIL)</v>
      </c>
      <c r="I831" s="89" t="n">
        <v>9</v>
      </c>
      <c r="J831" s="90" t="n">
        <v>54</v>
      </c>
      <c r="K831" s="125" t="n">
        <v>3.05</v>
      </c>
      <c r="L831" s="80" t="n">
        <f aca="false">IF(AND(J831&lt;&gt;"",K831&lt;&gt;""),J831*K831,"")</f>
        <v>164.7</v>
      </c>
      <c r="M831" s="81" t="n">
        <f aca="false">IF(L831&lt;&gt;"",L831*1.1,"")</f>
        <v>181.17</v>
      </c>
      <c r="N831" s="47" t="n">
        <f aca="false">IF(F831="S",L831*0.02,0)</f>
        <v>0</v>
      </c>
      <c r="O831" s="82" t="n">
        <f aca="false">IF(L831&lt;&gt;"",L831+N831,"")</f>
        <v>164.7</v>
      </c>
      <c r="P831" s="47" t="n">
        <f aca="false">IF(O831&lt;&gt;"",O831*0.1,"")</f>
        <v>16.47</v>
      </c>
      <c r="Q831" s="83" t="n">
        <f aca="false">IF(O831&lt;&gt;"",O831+P831,"")</f>
        <v>181.17</v>
      </c>
      <c r="R831" s="84" t="s">
        <v>358</v>
      </c>
    </row>
    <row r="832" customFormat="false" ht="15" hidden="false" customHeight="true" outlineLevel="0" collapsed="false">
      <c r="A832" s="103" t="n">
        <v>56047</v>
      </c>
      <c r="B832" s="73" t="n">
        <v>46218</v>
      </c>
      <c r="C832" s="74" t="s">
        <v>466</v>
      </c>
      <c r="D832" s="75" t="n">
        <v>50152</v>
      </c>
      <c r="E832" s="52" t="str">
        <f aca="false">IF(D832&lt;&gt;"",IFERROR(VLOOKUP(D832,PROVEEDORES!$A:$B,2,0),"!COD NO ENCONTRADO"),"")</f>
        <v>DOMAR CORUÑA S.L</v>
      </c>
      <c r="F832" s="76" t="str">
        <f aca="false">IF(D832&lt;&gt;"",IFERROR(VLOOKUP(D832,PROVEEDORES!$A:$C,3,0),""),"")</f>
        <v>N</v>
      </c>
      <c r="G832" s="75" t="s">
        <v>125</v>
      </c>
      <c r="H832" s="52" t="str">
        <f aca="false">IF(G832&lt;&gt;"",IFERROR(VLOOKUP(G832,PRODUCTOS!$A:$B,2,0),"!COD NO ENCONTRADO"),"")</f>
        <v>CIGALA "3P" (NEP)</v>
      </c>
      <c r="I832" s="77" t="n">
        <v>2</v>
      </c>
      <c r="J832" s="78" t="n">
        <v>4</v>
      </c>
      <c r="K832" s="79" t="n">
        <v>17.5</v>
      </c>
      <c r="L832" s="80" t="n">
        <f aca="false">IF(AND(J832&lt;&gt;"",K832&lt;&gt;""),J832*K832,"")</f>
        <v>70</v>
      </c>
      <c r="M832" s="81" t="n">
        <f aca="false">IF(L832&lt;&gt;"",L832*1.1,"")</f>
        <v>77</v>
      </c>
      <c r="N832" s="53" t="n">
        <f aca="false">IF(F832="S",L832*0.02,0)</f>
        <v>0</v>
      </c>
      <c r="O832" s="82" t="n">
        <f aca="false">IF(L832&lt;&gt;"",L832+N832,"")</f>
        <v>70</v>
      </c>
      <c r="P832" s="53" t="n">
        <f aca="false">IF(O832&lt;&gt;"",O832*0.1,"")</f>
        <v>7</v>
      </c>
      <c r="Q832" s="83" t="n">
        <f aca="false">IF(O832&lt;&gt;"",O832+P832,"")</f>
        <v>77</v>
      </c>
      <c r="R832" s="84" t="s">
        <v>358</v>
      </c>
    </row>
    <row r="833" customFormat="false" ht="15" hidden="false" customHeight="true" outlineLevel="0" collapsed="false">
      <c r="A833" s="103" t="n">
        <v>56048</v>
      </c>
      <c r="B833" s="85" t="n">
        <v>46219</v>
      </c>
      <c r="C833" s="86" t="s">
        <v>467</v>
      </c>
      <c r="D833" s="87" t="n">
        <v>50232</v>
      </c>
      <c r="E833" s="46" t="str">
        <f aca="false">IF(D833&lt;&gt;"",IFERROR(VLOOKUP(D833,PROVEEDORES!$A:$B,2,0),"!COD NO ENCONTRADO"),"")</f>
        <v>XESTION NOVA LONXA RIVEIRA S.L.</v>
      </c>
      <c r="F833" s="88" t="str">
        <f aca="false">IF(D833&lt;&gt;"",IFERROR(VLOOKUP(D833,PROVEEDORES!$A:$C,3,0),""),"")</f>
        <v>S</v>
      </c>
      <c r="G833" s="87" t="s">
        <v>332</v>
      </c>
      <c r="H833" s="46" t="str">
        <f aca="false">IF(G833&lt;&gt;"",IFERROR(VLOOKUP(G833,PRODUCTOS!$A:$B,2,0),"!COD NO ENCONTRADO"),"")</f>
        <v>VARIADO PEQUEÑO</v>
      </c>
      <c r="I833" s="89" t="n">
        <v>1</v>
      </c>
      <c r="J833" s="90" t="n">
        <v>0.5</v>
      </c>
      <c r="K833" s="91" t="n">
        <v>0.5</v>
      </c>
      <c r="L833" s="80" t="n">
        <f aca="false">IF(AND(J833&lt;&gt;"",K833&lt;&gt;""),J833*K833,"")</f>
        <v>0.25</v>
      </c>
      <c r="M833" s="81" t="n">
        <f aca="false">IF(L833&lt;&gt;"",L833*1.1,"")</f>
        <v>0.275</v>
      </c>
      <c r="N833" s="47" t="n">
        <f aca="false">IF(F833="S",L833*0.02,0)</f>
        <v>0.005</v>
      </c>
      <c r="O833" s="82" t="n">
        <f aca="false">IF(L833&lt;&gt;"",L833+N833,"")</f>
        <v>0.255</v>
      </c>
      <c r="P833" s="47" t="n">
        <f aca="false">IF(O833&lt;&gt;"",O833*0.1,"")</f>
        <v>0.0255</v>
      </c>
      <c r="Q833" s="83" t="n">
        <f aca="false">IF(O833&lt;&gt;"",O833+P833,"")</f>
        <v>0.2805</v>
      </c>
      <c r="R833" s="84" t="s">
        <v>358</v>
      </c>
    </row>
    <row r="834" customFormat="false" ht="15" hidden="false" customHeight="true" outlineLevel="0" collapsed="false">
      <c r="A834" s="103" t="n">
        <v>56048</v>
      </c>
      <c r="B834" s="85" t="n">
        <v>46219</v>
      </c>
      <c r="C834" s="86" t="s">
        <v>467</v>
      </c>
      <c r="D834" s="87" t="n">
        <v>50232</v>
      </c>
      <c r="E834" s="52" t="str">
        <f aca="false">IF(D834&lt;&gt;"",IFERROR(VLOOKUP(D834,PROVEEDORES!$A:$B,2,0),"!COD NO ENCONTRADO"),"")</f>
        <v>XESTION NOVA LONXA RIVEIRA S.L.</v>
      </c>
      <c r="F834" s="76" t="str">
        <f aca="false">IF(D834&lt;&gt;"",IFERROR(VLOOKUP(D834,PROVEEDORES!$A:$C,3,0),""),"")</f>
        <v>S</v>
      </c>
      <c r="G834" s="75" t="s">
        <v>332</v>
      </c>
      <c r="H834" s="52" t="str">
        <f aca="false">IF(G834&lt;&gt;"",IFERROR(VLOOKUP(G834,PRODUCTOS!$A:$B,2,0),"!COD NO ENCONTRADO"),"")</f>
        <v>VARIADO PEQUEÑO</v>
      </c>
      <c r="I834" s="77" t="n">
        <v>3</v>
      </c>
      <c r="J834" s="78" t="n">
        <v>16.75</v>
      </c>
      <c r="K834" s="79" t="n">
        <v>1.5</v>
      </c>
      <c r="L834" s="80" t="n">
        <f aca="false">IF(AND(J834&lt;&gt;"",K834&lt;&gt;""),J834*K834,"")</f>
        <v>25.125</v>
      </c>
      <c r="M834" s="81" t="n">
        <f aca="false">IF(L834&lt;&gt;"",L834*1.1,"")</f>
        <v>27.6375</v>
      </c>
      <c r="N834" s="53" t="n">
        <f aca="false">IF(F834="S",L834*0.02,0)</f>
        <v>0.5025</v>
      </c>
      <c r="O834" s="82" t="n">
        <f aca="false">IF(L834&lt;&gt;"",L834+N834,"")</f>
        <v>25.6275</v>
      </c>
      <c r="P834" s="53" t="n">
        <f aca="false">IF(O834&lt;&gt;"",O834*0.1,"")</f>
        <v>2.56275</v>
      </c>
      <c r="Q834" s="83" t="n">
        <f aca="false">IF(O834&lt;&gt;"",O834+P834,"")</f>
        <v>28.19025</v>
      </c>
      <c r="R834" s="84" t="s">
        <v>358</v>
      </c>
    </row>
    <row r="835" customFormat="false" ht="15" hidden="false" customHeight="true" outlineLevel="0" collapsed="false">
      <c r="A835" s="103" t="n">
        <v>56048</v>
      </c>
      <c r="B835" s="85" t="n">
        <v>46219</v>
      </c>
      <c r="C835" s="86" t="s">
        <v>467</v>
      </c>
      <c r="D835" s="87" t="n">
        <v>50232</v>
      </c>
      <c r="E835" s="46" t="str">
        <f aca="false">IF(D835&lt;&gt;"",IFERROR(VLOOKUP(D835,PROVEEDORES!$A:$B,2,0),"!COD NO ENCONTRADO"),"")</f>
        <v>XESTION NOVA LONXA RIVEIRA S.L.</v>
      </c>
      <c r="F835" s="88" t="str">
        <f aca="false">IF(D835&lt;&gt;"",IFERROR(VLOOKUP(D835,PROVEEDORES!$A:$C,3,0),""),"")</f>
        <v>S</v>
      </c>
      <c r="G835" s="87" t="s">
        <v>270</v>
      </c>
      <c r="H835" s="46" t="str">
        <f aca="false">IF(G835&lt;&gt;"",IFERROR(VLOOKUP(G835,PRODUCTOS!$A:$B,2,0),"!COD NO ENCONTRADO"),"")</f>
        <v>PEON/ PION (ATP)</v>
      </c>
      <c r="I835" s="89" t="n">
        <v>6</v>
      </c>
      <c r="J835" s="90" t="n">
        <v>30</v>
      </c>
      <c r="K835" s="91" t="n">
        <v>4</v>
      </c>
      <c r="L835" s="80" t="n">
        <f aca="false">IF(AND(J835&lt;&gt;"",K835&lt;&gt;""),J835*K835,"")</f>
        <v>120</v>
      </c>
      <c r="M835" s="81" t="n">
        <f aca="false">IF(L835&lt;&gt;"",L835*1.1,"")</f>
        <v>132</v>
      </c>
      <c r="N835" s="47" t="n">
        <f aca="false">IF(F835="S",L835*0.02,0)</f>
        <v>2.4</v>
      </c>
      <c r="O835" s="82" t="n">
        <f aca="false">IF(L835&lt;&gt;"",L835+N835,"")</f>
        <v>122.4</v>
      </c>
      <c r="P835" s="47" t="n">
        <f aca="false">IF(O835&lt;&gt;"",O835*0.1,"")</f>
        <v>12.24</v>
      </c>
      <c r="Q835" s="83" t="n">
        <f aca="false">IF(O835&lt;&gt;"",O835+P835,"")</f>
        <v>134.64</v>
      </c>
      <c r="R835" s="84" t="s">
        <v>358</v>
      </c>
    </row>
    <row r="836" customFormat="false" ht="15" hidden="false" customHeight="true" outlineLevel="0" collapsed="false">
      <c r="A836" s="103" t="n">
        <v>56048</v>
      </c>
      <c r="B836" s="85" t="n">
        <v>46219</v>
      </c>
      <c r="C836" s="86" t="s">
        <v>467</v>
      </c>
      <c r="D836" s="87" t="n">
        <v>50232</v>
      </c>
      <c r="E836" s="52" t="str">
        <f aca="false">IF(D836&lt;&gt;"",IFERROR(VLOOKUP(D836,PROVEEDORES!$A:$B,2,0),"!COD NO ENCONTRADO"),"")</f>
        <v>XESTION NOVA LONXA RIVEIRA S.L.</v>
      </c>
      <c r="F836" s="76" t="str">
        <f aca="false">IF(D836&lt;&gt;"",IFERROR(VLOOKUP(D836,PROVEEDORES!$A:$C,3,0),""),"")</f>
        <v>S</v>
      </c>
      <c r="G836" s="75" t="s">
        <v>326</v>
      </c>
      <c r="H836" s="52" t="str">
        <f aca="false">IF(G836&lt;&gt;"",IFERROR(VLOOKUP(G836,PRODUCTOS!$A:$B,2,0),"!COD NO ENCONTRADO"),"")</f>
        <v>SARGO RIA (SWA)</v>
      </c>
      <c r="I836" s="77" t="n">
        <v>4</v>
      </c>
      <c r="J836" s="78" t="n">
        <v>21.2</v>
      </c>
      <c r="K836" s="79" t="n">
        <v>12</v>
      </c>
      <c r="L836" s="80" t="n">
        <f aca="false">IF(AND(J836&lt;&gt;"",K836&lt;&gt;""),J836*K836,"")</f>
        <v>254.4</v>
      </c>
      <c r="M836" s="81" t="n">
        <f aca="false">IF(L836&lt;&gt;"",L836*1.1,"")</f>
        <v>279.84</v>
      </c>
      <c r="N836" s="53" t="n">
        <f aca="false">IF(F836="S",L836*0.02,0)</f>
        <v>5.088</v>
      </c>
      <c r="O836" s="82" t="n">
        <f aca="false">IF(L836&lt;&gt;"",L836+N836,"")</f>
        <v>259.488</v>
      </c>
      <c r="P836" s="53" t="n">
        <f aca="false">IF(O836&lt;&gt;"",O836*0.1,"")</f>
        <v>25.9488</v>
      </c>
      <c r="Q836" s="83" t="n">
        <f aca="false">IF(O836&lt;&gt;"",O836+P836,"")</f>
        <v>285.4368</v>
      </c>
      <c r="R836" s="84" t="s">
        <v>358</v>
      </c>
    </row>
    <row r="837" customFormat="false" ht="15" hidden="false" customHeight="true" outlineLevel="0" collapsed="false">
      <c r="A837" s="103" t="n">
        <v>56048</v>
      </c>
      <c r="B837" s="85" t="n">
        <v>46219</v>
      </c>
      <c r="C837" s="86" t="s">
        <v>467</v>
      </c>
      <c r="D837" s="87" t="n">
        <v>50232</v>
      </c>
      <c r="E837" s="46" t="str">
        <f aca="false">IF(D837&lt;&gt;"",IFERROR(VLOOKUP(D837,PROVEEDORES!$A:$B,2,0),"!COD NO ENCONTRADO"),"")</f>
        <v>XESTION NOVA LONXA RIVEIRA S.L.</v>
      </c>
      <c r="F837" s="88" t="str">
        <f aca="false">IF(D837&lt;&gt;"",IFERROR(VLOOKUP(D837,PROVEEDORES!$A:$C,3,0),""),"")</f>
        <v>S</v>
      </c>
      <c r="G837" s="87" t="s">
        <v>288</v>
      </c>
      <c r="H837" s="46" t="str">
        <f aca="false">IF(G837&lt;&gt;"",IFERROR(VLOOKUP(G837,PRODUCTOS!$A:$B,2,0),"!COD NO ENCONTRADO"),"")</f>
        <v>RAPE BLANCO DIA (MON)</v>
      </c>
      <c r="I837" s="89" t="n">
        <v>2</v>
      </c>
      <c r="J837" s="90" t="n">
        <v>4.5</v>
      </c>
      <c r="K837" s="91" t="n">
        <v>4</v>
      </c>
      <c r="L837" s="80" t="n">
        <f aca="false">IF(AND(J837&lt;&gt;"",K837&lt;&gt;""),J837*K837,"")</f>
        <v>18</v>
      </c>
      <c r="M837" s="81" t="n">
        <f aca="false">IF(L837&lt;&gt;"",L837*1.1,"")</f>
        <v>19.8</v>
      </c>
      <c r="N837" s="47" t="n">
        <f aca="false">IF(F837="S",L837*0.02,0)</f>
        <v>0.36</v>
      </c>
      <c r="O837" s="82" t="n">
        <f aca="false">IF(L837&lt;&gt;"",L837+N837,"")</f>
        <v>18.36</v>
      </c>
      <c r="P837" s="47" t="n">
        <f aca="false">IF(O837&lt;&gt;"",O837*0.1,"")</f>
        <v>1.836</v>
      </c>
      <c r="Q837" s="83" t="n">
        <f aca="false">IF(O837&lt;&gt;"",O837+P837,"")</f>
        <v>20.196</v>
      </c>
      <c r="R837" s="84" t="s">
        <v>358</v>
      </c>
    </row>
    <row r="838" customFormat="false" ht="15" hidden="false" customHeight="true" outlineLevel="0" collapsed="false">
      <c r="A838" s="103" t="n">
        <v>56048</v>
      </c>
      <c r="B838" s="85" t="n">
        <v>46219</v>
      </c>
      <c r="C838" s="86" t="s">
        <v>467</v>
      </c>
      <c r="D838" s="87" t="n">
        <v>50232</v>
      </c>
      <c r="E838" s="52" t="str">
        <f aca="false">IF(D838&lt;&gt;"",IFERROR(VLOOKUP(D838,PROVEEDORES!$A:$B,2,0),"!COD NO ENCONTRADO"),"")</f>
        <v>XESTION NOVA LONXA RIVEIRA S.L.</v>
      </c>
      <c r="F838" s="76" t="str">
        <f aca="false">IF(D838&lt;&gt;"",IFERROR(VLOOKUP(D838,PROVEEDORES!$A:$C,3,0),""),"")</f>
        <v>S</v>
      </c>
      <c r="G838" s="75" t="s">
        <v>179</v>
      </c>
      <c r="H838" s="52" t="str">
        <f aca="false">IF(G838&lt;&gt;"",IFERROR(VLOOKUP(G838,PRODUCTOS!$A:$B,2,0),"!COD NO ENCONTRADO"),"")</f>
        <v>LIRIO/ BACALADILLA/ PERLA (WHB)</v>
      </c>
      <c r="I838" s="77" t="n">
        <v>5</v>
      </c>
      <c r="J838" s="78" t="n">
        <v>78.6</v>
      </c>
      <c r="K838" s="79" t="n">
        <v>1.4</v>
      </c>
      <c r="L838" s="80" t="n">
        <f aca="false">IF(AND(J838&lt;&gt;"",K838&lt;&gt;""),J838*K838,"")</f>
        <v>110.04</v>
      </c>
      <c r="M838" s="81" t="n">
        <f aca="false">IF(L838&lt;&gt;"",L838*1.1,"")</f>
        <v>121.044</v>
      </c>
      <c r="N838" s="53" t="n">
        <f aca="false">IF(F838="S",L838*0.02,0)</f>
        <v>2.2008</v>
      </c>
      <c r="O838" s="82" t="n">
        <f aca="false">IF(L838&lt;&gt;"",L838+N838,"")</f>
        <v>112.2408</v>
      </c>
      <c r="P838" s="53" t="n">
        <f aca="false">IF(O838&lt;&gt;"",O838*0.1,"")</f>
        <v>11.22408</v>
      </c>
      <c r="Q838" s="83" t="n">
        <f aca="false">IF(O838&lt;&gt;"",O838+P838,"")</f>
        <v>123.46488</v>
      </c>
      <c r="R838" s="84" t="s">
        <v>358</v>
      </c>
    </row>
    <row r="839" customFormat="false" ht="15" hidden="false" customHeight="true" outlineLevel="0" collapsed="false">
      <c r="A839" s="103" t="n">
        <v>56049</v>
      </c>
      <c r="B839" s="85" t="n">
        <v>46219</v>
      </c>
      <c r="C839" s="86" t="s">
        <v>468</v>
      </c>
      <c r="D839" s="87" t="n">
        <v>50048</v>
      </c>
      <c r="E839" s="46" t="str">
        <f aca="false">IF(D839&lt;&gt;"",IFERROR(VLOOKUP(D839,PROVEEDORES!$A:$B,2,0),"!COD NO ENCONTRADO"),"")</f>
        <v>JOSE LUIS CORREA KESSLER S.L.</v>
      </c>
      <c r="F839" s="88" t="str">
        <f aca="false">IF(D839&lt;&gt;"",IFERROR(VLOOKUP(D839,PROVEEDORES!$A:$C,3,0),""),"")</f>
        <v>N</v>
      </c>
      <c r="G839" s="87" t="s">
        <v>179</v>
      </c>
      <c r="H839" s="46" t="str">
        <f aca="false">IF(G839&lt;&gt;"",IFERROR(VLOOKUP(G839,PRODUCTOS!$A:$B,2,0),"!COD NO ENCONTRADO"),"")</f>
        <v>LIRIO/ BACALADILLA/ PERLA (WHB)</v>
      </c>
      <c r="I839" s="89" t="n">
        <v>120</v>
      </c>
      <c r="J839" s="90" t="n">
        <v>720</v>
      </c>
      <c r="K839" s="91" t="n">
        <v>1.45</v>
      </c>
      <c r="L839" s="80" t="n">
        <f aca="false">IF(AND(J839&lt;&gt;"",K839&lt;&gt;""),J839*K839,"")</f>
        <v>1044</v>
      </c>
      <c r="M839" s="81" t="n">
        <f aca="false">IF(L839&lt;&gt;"",L839*1.1,"")</f>
        <v>1148.4</v>
      </c>
      <c r="N839" s="47" t="n">
        <f aca="false">IF(F839="S",L839*0.02,0)</f>
        <v>0</v>
      </c>
      <c r="O839" s="82" t="n">
        <f aca="false">IF(L839&lt;&gt;"",L839+N839,"")</f>
        <v>1044</v>
      </c>
      <c r="P839" s="47" t="n">
        <f aca="false">IF(O839&lt;&gt;"",O839*0.1,"")</f>
        <v>104.4</v>
      </c>
      <c r="Q839" s="83" t="n">
        <f aca="false">IF(O839&lt;&gt;"",O839+P839,"")</f>
        <v>1148.4</v>
      </c>
      <c r="R839" s="84" t="s">
        <v>365</v>
      </c>
    </row>
    <row r="840" customFormat="false" ht="15" hidden="false" customHeight="true" outlineLevel="0" collapsed="false">
      <c r="A840" s="103" t="n">
        <v>56049</v>
      </c>
      <c r="B840" s="73" t="n">
        <v>46219</v>
      </c>
      <c r="C840" s="74" t="s">
        <v>469</v>
      </c>
      <c r="D840" s="75" t="n">
        <v>50048</v>
      </c>
      <c r="E840" s="52" t="str">
        <f aca="false">IF(D840&lt;&gt;"",IFERROR(VLOOKUP(D840,PROVEEDORES!$A:$B,2,0),"!COD NO ENCONTRADO"),"")</f>
        <v>JOSE LUIS CORREA KESSLER S.L.</v>
      </c>
      <c r="F840" s="76" t="str">
        <f aca="false">IF(D840&lt;&gt;"",IFERROR(VLOOKUP(D840,PROVEEDORES!$A:$C,3,0),""),"")</f>
        <v>N</v>
      </c>
      <c r="G840" s="75" t="s">
        <v>93</v>
      </c>
      <c r="H840" s="52" t="str">
        <f aca="false">IF(G840&lt;&gt;"",IFERROR(VLOOKUP(G840,PRODUCTOS!$A:$B,2,0),"!COD NO ENCONTRADO"),"")</f>
        <v>BOQUERON/ BOCARTE/ ANCHOA (ANE)</v>
      </c>
      <c r="I840" s="77" t="n">
        <v>86</v>
      </c>
      <c r="J840" s="78" t="n">
        <v>516</v>
      </c>
      <c r="K840" s="125" t="n">
        <v>1.45</v>
      </c>
      <c r="L840" s="80" t="n">
        <f aca="false">IF(AND(J840&lt;&gt;"",K840&lt;&gt;""),J840*K840,"")</f>
        <v>748.2</v>
      </c>
      <c r="M840" s="81" t="n">
        <f aca="false">IF(L840&lt;&gt;"",L840*1.1,"")</f>
        <v>823.02</v>
      </c>
      <c r="N840" s="53" t="n">
        <f aca="false">IF(F840="S",L840*0.02,0)</f>
        <v>0</v>
      </c>
      <c r="O840" s="82" t="n">
        <f aca="false">IF(L840&lt;&gt;"",L840+N840,"")</f>
        <v>748.2</v>
      </c>
      <c r="P840" s="53" t="n">
        <f aca="false">IF(O840&lt;&gt;"",O840*0.1,"")</f>
        <v>74.82</v>
      </c>
      <c r="Q840" s="83" t="n">
        <f aca="false">IF(O840&lt;&gt;"",O840+P840,"")</f>
        <v>823.02</v>
      </c>
      <c r="R840" s="84" t="s">
        <v>365</v>
      </c>
    </row>
    <row r="841" customFormat="false" ht="15" hidden="false" customHeight="true" outlineLevel="0" collapsed="false">
      <c r="A841" s="103" t="n">
        <v>56050</v>
      </c>
      <c r="B841" s="85" t="n">
        <v>46219</v>
      </c>
      <c r="C841" s="86" t="n">
        <v>10311</v>
      </c>
      <c r="D841" s="87" t="n">
        <v>50001</v>
      </c>
      <c r="E841" s="46" t="str">
        <f aca="false">IF(D841&lt;&gt;"",IFERROR(VLOOKUP(D841,PROVEEDORES!$A:$B,2,0),"!COD NO ENCONTRADO"),"")</f>
        <v>COPESA</v>
      </c>
      <c r="F841" s="88" t="str">
        <f aca="false">IF(D841&lt;&gt;"",IFERROR(VLOOKUP(D841,PROVEEDORES!$A:$C,3,0),""),"")</f>
        <v>S</v>
      </c>
      <c r="G841" s="87" t="s">
        <v>81</v>
      </c>
      <c r="H841" s="46" t="str">
        <f aca="false">IF(G841&lt;&gt;"",IFERROR(VLOOKUP(G841,PRODUCTOS!$A:$B,2,0),"!COD NO ENCONTRADO"),"")</f>
        <v>BERTORELLA (GFB)</v>
      </c>
      <c r="I841" s="89" t="n">
        <v>2</v>
      </c>
      <c r="J841" s="90" t="n">
        <v>42.25</v>
      </c>
      <c r="K841" s="91" t="n">
        <v>2</v>
      </c>
      <c r="L841" s="80" t="n">
        <f aca="false">IF(AND(J841&lt;&gt;"",K841&lt;&gt;""),J841*K841,"")</f>
        <v>84.5</v>
      </c>
      <c r="M841" s="81" t="n">
        <f aca="false">IF(L841&lt;&gt;"",L841*1.1,"")</f>
        <v>92.95</v>
      </c>
      <c r="N841" s="47" t="n">
        <f aca="false">IF(F841="S",L841*0.02,0)</f>
        <v>1.69</v>
      </c>
      <c r="O841" s="82" t="n">
        <f aca="false">IF(L841&lt;&gt;"",L841+N841,"")</f>
        <v>86.19</v>
      </c>
      <c r="P841" s="47" t="n">
        <f aca="false">IF(O841&lt;&gt;"",O841*0.1,"")</f>
        <v>8.619</v>
      </c>
      <c r="Q841" s="83" t="n">
        <f aca="false">IF(O841&lt;&gt;"",O841+P841,"")</f>
        <v>94.809</v>
      </c>
      <c r="R841" s="84" t="s">
        <v>365</v>
      </c>
    </row>
    <row r="842" customFormat="false" ht="15" hidden="false" customHeight="true" outlineLevel="0" collapsed="false">
      <c r="A842" s="103" t="n">
        <v>56050</v>
      </c>
      <c r="B842" s="85" t="n">
        <v>46219</v>
      </c>
      <c r="C842" s="86" t="n">
        <v>10311</v>
      </c>
      <c r="D842" s="75" t="n">
        <v>50001</v>
      </c>
      <c r="E842" s="52" t="str">
        <f aca="false">IF(D842&lt;&gt;"",IFERROR(VLOOKUP(D842,PROVEEDORES!$A:$B,2,0),"!COD NO ENCONTRADO"),"")</f>
        <v>COPESA</v>
      </c>
      <c r="F842" s="76" t="str">
        <f aca="false">IF(D842&lt;&gt;"",IFERROR(VLOOKUP(D842,PROVEEDORES!$A:$C,3,0),""),"")</f>
        <v>S</v>
      </c>
      <c r="G842" s="75" t="s">
        <v>103</v>
      </c>
      <c r="H842" s="52" t="str">
        <f aca="false">IF(G842&lt;&gt;"",IFERROR(VLOOKUP(G842,PRODUCTOS!$A:$B,2,0),"!COD NO ENCONTRADO"),"")</f>
        <v>CABRAS/ GALLINETA (BRF)</v>
      </c>
      <c r="I842" s="77" t="n">
        <v>4</v>
      </c>
      <c r="J842" s="78" t="n">
        <v>90</v>
      </c>
      <c r="K842" s="79" t="n">
        <v>2.2</v>
      </c>
      <c r="L842" s="80" t="n">
        <f aca="false">IF(AND(J842&lt;&gt;"",K842&lt;&gt;""),J842*K842,"")</f>
        <v>198</v>
      </c>
      <c r="M842" s="81" t="n">
        <f aca="false">IF(L842&lt;&gt;"",L842*1.1,"")</f>
        <v>217.8</v>
      </c>
      <c r="N842" s="53" t="n">
        <f aca="false">IF(F842="S",L842*0.02,0)</f>
        <v>3.96</v>
      </c>
      <c r="O842" s="82" t="n">
        <f aca="false">IF(L842&lt;&gt;"",L842+N842,"")</f>
        <v>201.96</v>
      </c>
      <c r="P842" s="53" t="n">
        <f aca="false">IF(O842&lt;&gt;"",O842*0.1,"")</f>
        <v>20.196</v>
      </c>
      <c r="Q842" s="83" t="n">
        <f aca="false">IF(O842&lt;&gt;"",O842+P842,"")</f>
        <v>222.156</v>
      </c>
      <c r="R842" s="84" t="s">
        <v>365</v>
      </c>
    </row>
    <row r="843" customFormat="false" ht="15" hidden="false" customHeight="true" outlineLevel="0" collapsed="false">
      <c r="A843" s="103" t="n">
        <v>56050</v>
      </c>
      <c r="B843" s="85" t="n">
        <v>46219</v>
      </c>
      <c r="C843" s="86" t="n">
        <v>10311</v>
      </c>
      <c r="D843" s="87" t="n">
        <v>50001</v>
      </c>
      <c r="E843" s="46" t="str">
        <f aca="false">IF(D843&lt;&gt;"",IFERROR(VLOOKUP(D843,PROVEEDORES!$A:$B,2,0),"!COD NO ENCONTRADO"),"")</f>
        <v>COPESA</v>
      </c>
      <c r="F843" s="88" t="str">
        <f aca="false">IF(D843&lt;&gt;"",IFERROR(VLOOKUP(D843,PROVEEDORES!$A:$C,3,0),""),"")</f>
        <v>S</v>
      </c>
      <c r="G843" s="87" t="s">
        <v>175</v>
      </c>
      <c r="H843" s="46" t="str">
        <f aca="false">IF(G843&lt;&gt;"",IFERROR(VLOOKUP(G843,PRODUCTOS!$A:$B,2,0),"!COD NO ENCONTRADO"),"")</f>
        <v>JURELO MEDITERRANEO</v>
      </c>
      <c r="I843" s="89" t="n">
        <v>1</v>
      </c>
      <c r="J843" s="90" t="n">
        <v>23.75</v>
      </c>
      <c r="K843" s="91" t="n">
        <v>4.5</v>
      </c>
      <c r="L843" s="80" t="n">
        <f aca="false">IF(AND(J843&lt;&gt;"",K843&lt;&gt;""),J843*K843,"")</f>
        <v>106.875</v>
      </c>
      <c r="M843" s="81" t="n">
        <f aca="false">IF(L843&lt;&gt;"",L843*1.1,"")</f>
        <v>117.5625</v>
      </c>
      <c r="N843" s="47" t="n">
        <f aca="false">IF(F843="S",L843*0.02,0)</f>
        <v>2.1375</v>
      </c>
      <c r="O843" s="82" t="n">
        <f aca="false">IF(L843&lt;&gt;"",L843+N843,"")</f>
        <v>109.0125</v>
      </c>
      <c r="P843" s="47" t="n">
        <f aca="false">IF(O843&lt;&gt;"",O843*0.1,"")</f>
        <v>10.90125</v>
      </c>
      <c r="Q843" s="83" t="n">
        <f aca="false">IF(O843&lt;&gt;"",O843+P843,"")</f>
        <v>119.91375</v>
      </c>
      <c r="R843" s="84" t="s">
        <v>365</v>
      </c>
    </row>
    <row r="844" customFormat="false" ht="15" hidden="false" customHeight="true" outlineLevel="0" collapsed="false">
      <c r="A844" s="103" t="n">
        <v>56050</v>
      </c>
      <c r="B844" s="85" t="n">
        <v>46219</v>
      </c>
      <c r="C844" s="86" t="n">
        <v>10311</v>
      </c>
      <c r="D844" s="75" t="n">
        <v>50001</v>
      </c>
      <c r="E844" s="52" t="str">
        <f aca="false">IF(D844&lt;&gt;"",IFERROR(VLOOKUP(D844,PROVEEDORES!$A:$B,2,0),"!COD NO ENCONTRADO"),"")</f>
        <v>COPESA</v>
      </c>
      <c r="F844" s="76" t="str">
        <f aca="false">IF(D844&lt;&gt;"",IFERROR(VLOOKUP(D844,PROVEEDORES!$A:$C,3,0),""),"")</f>
        <v>S</v>
      </c>
      <c r="G844" s="75" t="s">
        <v>175</v>
      </c>
      <c r="H844" s="52" t="str">
        <f aca="false">IF(G844&lt;&gt;"",IFERROR(VLOOKUP(G844,PRODUCTOS!$A:$B,2,0),"!COD NO ENCONTRADO"),"")</f>
        <v>JURELO MEDITERRANEO</v>
      </c>
      <c r="I844" s="77" t="n">
        <v>1</v>
      </c>
      <c r="J844" s="78" t="n">
        <v>23.25</v>
      </c>
      <c r="K844" s="79" t="n">
        <v>4.3</v>
      </c>
      <c r="L844" s="80" t="n">
        <f aca="false">IF(AND(J844&lt;&gt;"",K844&lt;&gt;""),J844*K844,"")</f>
        <v>99.975</v>
      </c>
      <c r="M844" s="81" t="n">
        <f aca="false">IF(L844&lt;&gt;"",L844*1.1,"")</f>
        <v>109.9725</v>
      </c>
      <c r="N844" s="53" t="n">
        <f aca="false">IF(F844="S",L844*0.02,0)</f>
        <v>1.9995</v>
      </c>
      <c r="O844" s="82" t="n">
        <f aca="false">IF(L844&lt;&gt;"",L844+N844,"")</f>
        <v>101.9745</v>
      </c>
      <c r="P844" s="53" t="n">
        <f aca="false">IF(O844&lt;&gt;"",O844*0.1,"")</f>
        <v>10.19745</v>
      </c>
      <c r="Q844" s="83" t="n">
        <f aca="false">IF(O844&lt;&gt;"",O844+P844,"")</f>
        <v>112.17195</v>
      </c>
      <c r="R844" s="84" t="s">
        <v>365</v>
      </c>
    </row>
    <row r="845" customFormat="false" ht="15" hidden="false" customHeight="true" outlineLevel="0" collapsed="false">
      <c r="A845" s="103" t="n">
        <v>56051</v>
      </c>
      <c r="B845" s="85" t="n">
        <v>46219</v>
      </c>
      <c r="C845" s="86" t="n">
        <v>7557</v>
      </c>
      <c r="D845" s="87" t="n">
        <v>50020</v>
      </c>
      <c r="E845" s="46" t="str">
        <f aca="false">IF(D845&lt;&gt;"",IFERROR(VLOOKUP(D845,PROVEEDORES!$A:$B,2,0),"!COD NO ENCONTRADO"),"")</f>
        <v>PACO MOINELO</v>
      </c>
      <c r="F845" s="88" t="str">
        <f aca="false">IF(D845&lt;&gt;"",IFERROR(VLOOKUP(D845,PROVEEDORES!$A:$C,3,0),""),"")</f>
        <v>S</v>
      </c>
      <c r="G845" s="87" t="s">
        <v>135</v>
      </c>
      <c r="H845" s="46" t="str">
        <f aca="false">IF(G845&lt;&gt;"",IFERROR(VLOOKUP(G845,PRODUCTOS!$A:$B,2,0),"!COD NO ENCONTRADO"),"")</f>
        <v>CONGRIO 10+  (COE)</v>
      </c>
      <c r="I845" s="89" t="n">
        <v>3</v>
      </c>
      <c r="J845" s="90" t="n">
        <v>48.25</v>
      </c>
      <c r="K845" s="91" t="n">
        <v>2.5</v>
      </c>
      <c r="L845" s="80" t="n">
        <f aca="false">IF(AND(J845&lt;&gt;"",K845&lt;&gt;""),J845*K845,"")</f>
        <v>120.625</v>
      </c>
      <c r="M845" s="81" t="n">
        <f aca="false">IF(L845&lt;&gt;"",L845*1.1,"")</f>
        <v>132.6875</v>
      </c>
      <c r="N845" s="47" t="n">
        <f aca="false">IF(F845="S",L845*0.02,0)</f>
        <v>2.4125</v>
      </c>
      <c r="O845" s="82" t="n">
        <f aca="false">IF(L845&lt;&gt;"",L845+N845,"")</f>
        <v>123.0375</v>
      </c>
      <c r="P845" s="47" t="n">
        <f aca="false">IF(O845&lt;&gt;"",O845*0.1,"")</f>
        <v>12.30375</v>
      </c>
      <c r="Q845" s="83" t="n">
        <f aca="false">IF(O845&lt;&gt;"",O845+P845,"")</f>
        <v>135.34125</v>
      </c>
      <c r="R845" s="84" t="s">
        <v>358</v>
      </c>
    </row>
    <row r="846" customFormat="false" ht="15" hidden="false" customHeight="true" outlineLevel="0" collapsed="false">
      <c r="A846" s="103" t="n">
        <v>56052</v>
      </c>
      <c r="B846" s="85" t="n">
        <v>46219</v>
      </c>
      <c r="C846" s="74" t="n">
        <v>8307</v>
      </c>
      <c r="D846" s="75" t="n">
        <v>50069</v>
      </c>
      <c r="E846" s="104" t="str">
        <f aca="false">IF(D846&lt;&gt;"",IFERROR(VLOOKUP(D846,PROVEEDORES!$A:$B,2,0),"!COD NO ENCONTRADO"),"")</f>
        <v>PESCADOS ILLANES S.L.</v>
      </c>
      <c r="F846" s="76" t="str">
        <f aca="false">IF(D846&lt;&gt;"",IFERROR(VLOOKUP(D846,PROVEEDORES!$A:$C,3,0),""),"")</f>
        <v>S</v>
      </c>
      <c r="G846" s="75" t="s">
        <v>276</v>
      </c>
      <c r="H846" s="52" t="str">
        <f aca="false">IF(G846&lt;&gt;"",IFERROR(VLOOKUP(G846,PRODUCTOS!$A:$B,2,0),"!COD NO ENCONTRADO"),"")</f>
        <v>MERLUZA EUROPEA/ FINA DIA </v>
      </c>
      <c r="I846" s="112" t="n">
        <v>9</v>
      </c>
      <c r="J846" s="105" t="n">
        <v>84.5</v>
      </c>
      <c r="K846" s="79" t="n">
        <v>2.1</v>
      </c>
      <c r="L846" s="80" t="n">
        <f aca="false">IF(AND(J846&lt;&gt;"",K846&lt;&gt;""),J846*K846,"")</f>
        <v>177.45</v>
      </c>
      <c r="M846" s="81" t="n">
        <f aca="false">IF(L846&lt;&gt;"",L846*1.1,"")</f>
        <v>195.195</v>
      </c>
      <c r="N846" s="53" t="n">
        <f aca="false">IF(F846="S",L846*0.02,0)</f>
        <v>3.549</v>
      </c>
      <c r="O846" s="82" t="n">
        <f aca="false">IF(L846&lt;&gt;"",L846+N846,"")</f>
        <v>180.999</v>
      </c>
      <c r="P846" s="53" t="n">
        <f aca="false">IF(O846&lt;&gt;"",O846*0.1,"")</f>
        <v>18.0999</v>
      </c>
      <c r="Q846" s="83" t="n">
        <f aca="false">IF(O846&lt;&gt;"",O846+P846,"")</f>
        <v>199.0989</v>
      </c>
      <c r="R846" s="84" t="s">
        <v>358</v>
      </c>
    </row>
    <row r="847" customFormat="false" ht="15" hidden="false" customHeight="true" outlineLevel="0" collapsed="false">
      <c r="A847" s="103" t="n">
        <v>56053</v>
      </c>
      <c r="B847" s="85" t="n">
        <v>46219</v>
      </c>
      <c r="C847" s="86" t="n">
        <v>16800</v>
      </c>
      <c r="D847" s="87" t="n">
        <v>50160</v>
      </c>
      <c r="E847" s="46" t="str">
        <f aca="false">IF(D847&lt;&gt;"",IFERROR(VLOOKUP(D847,PROVEEDORES!$A:$B,2,0),"!COD NO ENCONTRADO"),"")</f>
        <v>SUBASTAS CORUÑA S.L.</v>
      </c>
      <c r="F847" s="88" t="str">
        <f aca="false">IF(D847&lt;&gt;"",IFERROR(VLOOKUP(D847,PROVEEDORES!$A:$C,3,0),""),"")</f>
        <v>S</v>
      </c>
      <c r="G847" s="87" t="s">
        <v>233</v>
      </c>
      <c r="H847" s="46" t="str">
        <f aca="false">IF(G847&lt;&gt;"",IFERROR(VLOOKUP(G847,PRODUCTOS!$A:$B,2,0),"!COD NO ENCONTRADO"),"")</f>
        <v>MERLUZA EUROPEA VOLANTA COSTA</v>
      </c>
      <c r="I847" s="89" t="n">
        <v>1</v>
      </c>
      <c r="J847" s="78" t="n">
        <v>18.5</v>
      </c>
      <c r="K847" s="79" t="n">
        <v>6.9</v>
      </c>
      <c r="L847" s="80" t="n">
        <f aca="false">IF(AND(J847&lt;&gt;"",K847&lt;&gt;""),J847*K847,"")</f>
        <v>127.65</v>
      </c>
      <c r="M847" s="81" t="n">
        <f aca="false">IF(L847&lt;&gt;"",L847*1.1,"")</f>
        <v>140.415</v>
      </c>
      <c r="N847" s="47" t="n">
        <f aca="false">IF(F847="S",L847*0.02,0)</f>
        <v>2.553</v>
      </c>
      <c r="O847" s="82" t="n">
        <f aca="false">IF(L847&lt;&gt;"",L847+N847,"")</f>
        <v>130.203</v>
      </c>
      <c r="P847" s="47" t="n">
        <f aca="false">IF(O847&lt;&gt;"",O847*0.1,"")</f>
        <v>13.0203</v>
      </c>
      <c r="Q847" s="83" t="n">
        <f aca="false">IF(O847&lt;&gt;"",O847+P847,"")</f>
        <v>143.2233</v>
      </c>
      <c r="R847" s="84" t="s">
        <v>358</v>
      </c>
    </row>
    <row r="848" customFormat="false" ht="15" hidden="false" customHeight="true" outlineLevel="0" collapsed="false">
      <c r="A848" s="103" t="n">
        <v>56053</v>
      </c>
      <c r="B848" s="85" t="n">
        <v>46219</v>
      </c>
      <c r="C848" s="86" t="n">
        <v>16800</v>
      </c>
      <c r="D848" s="87" t="n">
        <v>50160</v>
      </c>
      <c r="E848" s="52" t="str">
        <f aca="false">IF(D848&lt;&gt;"",IFERROR(VLOOKUP(D848,PROVEEDORES!$A:$B,2,0),"!COD NO ENCONTRADO"),"")</f>
        <v>SUBASTAS CORUÑA S.L.</v>
      </c>
      <c r="F848" s="76" t="str">
        <f aca="false">IF(D848&lt;&gt;"",IFERROR(VLOOKUP(D848,PROVEEDORES!$A:$C,3,0),""),"")</f>
        <v>S</v>
      </c>
      <c r="G848" s="75" t="s">
        <v>233</v>
      </c>
      <c r="H848" s="52" t="str">
        <f aca="false">IF(G848&lt;&gt;"",IFERROR(VLOOKUP(G848,PRODUCTOS!$A:$B,2,0),"!COD NO ENCONTRADO"),"")</f>
        <v>MERLUZA EUROPEA VOLANTA COSTA</v>
      </c>
      <c r="I848" s="77" t="n">
        <v>3</v>
      </c>
      <c r="J848" s="78" t="n">
        <v>57.25</v>
      </c>
      <c r="K848" s="79" t="n">
        <v>6.6</v>
      </c>
      <c r="L848" s="80" t="n">
        <f aca="false">IF(AND(J848&lt;&gt;"",K848&lt;&gt;""),J848*K848,"")</f>
        <v>377.85</v>
      </c>
      <c r="M848" s="81" t="n">
        <f aca="false">IF(L848&lt;&gt;"",L848*1.1,"")</f>
        <v>415.635</v>
      </c>
      <c r="N848" s="53" t="n">
        <f aca="false">IF(F848="S",L848*0.02,0)</f>
        <v>7.557</v>
      </c>
      <c r="O848" s="82" t="n">
        <f aca="false">IF(L848&lt;&gt;"",L848+N848,"")</f>
        <v>385.407</v>
      </c>
      <c r="P848" s="53" t="n">
        <f aca="false">IF(O848&lt;&gt;"",O848*0.1,"")</f>
        <v>38.5407</v>
      </c>
      <c r="Q848" s="83" t="n">
        <f aca="false">IF(O848&lt;&gt;"",O848+P848,"")</f>
        <v>423.9477</v>
      </c>
      <c r="R848" s="84" t="s">
        <v>358</v>
      </c>
    </row>
    <row r="849" customFormat="false" ht="15" hidden="false" customHeight="true" outlineLevel="0" collapsed="false">
      <c r="A849" s="103" t="n">
        <v>56053</v>
      </c>
      <c r="B849" s="85" t="n">
        <v>46219</v>
      </c>
      <c r="C849" s="86" t="n">
        <v>16800</v>
      </c>
      <c r="D849" s="87" t="n">
        <v>50160</v>
      </c>
      <c r="E849" s="46" t="str">
        <f aca="false">IF(D849&lt;&gt;"",IFERROR(VLOOKUP(D849,PROVEEDORES!$A:$B,2,0),"!COD NO ENCONTRADO"),"")</f>
        <v>SUBASTAS CORUÑA S.L.</v>
      </c>
      <c r="F849" s="88" t="str">
        <f aca="false">IF(D849&lt;&gt;"",IFERROR(VLOOKUP(D849,PROVEEDORES!$A:$C,3,0),""),"")</f>
        <v>S</v>
      </c>
      <c r="G849" s="87" t="s">
        <v>242</v>
      </c>
      <c r="H849" s="46" t="str">
        <f aca="false">IF(G849&lt;&gt;"",IFERROR(VLOOKUP(G849,PRODUCTOS!$A:$B,2,0),"!COD NO ENCONTRADO"),"")</f>
        <v>MERLUZA EUROPEA VOLANTA COSTA 1/1,25</v>
      </c>
      <c r="I849" s="89" t="n">
        <v>2</v>
      </c>
      <c r="J849" s="78" t="n">
        <v>65</v>
      </c>
      <c r="K849" s="79" t="n">
        <v>5.1</v>
      </c>
      <c r="L849" s="80" t="n">
        <f aca="false">IF(AND(J849&lt;&gt;"",K849&lt;&gt;""),J849*K849,"")</f>
        <v>331.5</v>
      </c>
      <c r="M849" s="81" t="n">
        <f aca="false">IF(L849&lt;&gt;"",L849*1.1,"")</f>
        <v>364.65</v>
      </c>
      <c r="N849" s="47" t="n">
        <f aca="false">IF(F849="S",L849*0.02,0)</f>
        <v>6.63</v>
      </c>
      <c r="O849" s="82" t="n">
        <f aca="false">IF(L849&lt;&gt;"",L849+N849,"")</f>
        <v>338.13</v>
      </c>
      <c r="P849" s="47" t="n">
        <f aca="false">IF(O849&lt;&gt;"",O849*0.1,"")</f>
        <v>33.813</v>
      </c>
      <c r="Q849" s="83" t="n">
        <f aca="false">IF(O849&lt;&gt;"",O849+P849,"")</f>
        <v>371.943</v>
      </c>
      <c r="R849" s="84" t="s">
        <v>358</v>
      </c>
    </row>
    <row r="850" customFormat="false" ht="15" hidden="false" customHeight="true" outlineLevel="0" collapsed="false">
      <c r="A850" s="103" t="n">
        <v>56053</v>
      </c>
      <c r="B850" s="85" t="n">
        <v>46219</v>
      </c>
      <c r="C850" s="86" t="n">
        <v>16800</v>
      </c>
      <c r="D850" s="87" t="n">
        <v>50160</v>
      </c>
      <c r="E850" s="52" t="str">
        <f aca="false">IF(D850&lt;&gt;"",IFERROR(VLOOKUP(D850,PROVEEDORES!$A:$B,2,0),"!COD NO ENCONTRADO"),"")</f>
        <v>SUBASTAS CORUÑA S.L.</v>
      </c>
      <c r="F850" s="76" t="str">
        <f aca="false">IF(D850&lt;&gt;"",IFERROR(VLOOKUP(D850,PROVEEDORES!$A:$C,3,0),""),"")</f>
        <v>S</v>
      </c>
      <c r="G850" s="75" t="s">
        <v>241</v>
      </c>
      <c r="H850" s="52" t="str">
        <f aca="false">IF(G850&lt;&gt;"",IFERROR(VLOOKUP(G850,PRODUCTOS!$A:$B,2,0),"!COD NO ENCONTRADO"),"")</f>
        <v>MERLUZA EUROPEA VOLANTA COSTA 1,25/1,5</v>
      </c>
      <c r="I850" s="77" t="n">
        <v>1</v>
      </c>
      <c r="J850" s="78" t="n">
        <v>24.25</v>
      </c>
      <c r="K850" s="79" t="n">
        <v>5.35</v>
      </c>
      <c r="L850" s="80" t="n">
        <f aca="false">IF(AND(J850&lt;&gt;"",K850&lt;&gt;""),J850*K850,"")</f>
        <v>129.7375</v>
      </c>
      <c r="M850" s="81" t="n">
        <f aca="false">IF(L850&lt;&gt;"",L850*1.1,"")</f>
        <v>142.71125</v>
      </c>
      <c r="N850" s="53" t="n">
        <f aca="false">IF(F850="S",L850*0.02,0)</f>
        <v>2.59475</v>
      </c>
      <c r="O850" s="82" t="n">
        <f aca="false">IF(L850&lt;&gt;"",L850+N850,"")</f>
        <v>132.33225</v>
      </c>
      <c r="P850" s="53" t="n">
        <f aca="false">IF(O850&lt;&gt;"",O850*0.1,"")</f>
        <v>13.233225</v>
      </c>
      <c r="Q850" s="83" t="n">
        <f aca="false">IF(O850&lt;&gt;"",O850+P850,"")</f>
        <v>145.565475</v>
      </c>
      <c r="R850" s="84" t="s">
        <v>358</v>
      </c>
    </row>
    <row r="851" customFormat="false" ht="15" hidden="false" customHeight="true" outlineLevel="0" collapsed="false">
      <c r="A851" s="103" t="n">
        <v>56053</v>
      </c>
      <c r="B851" s="85" t="n">
        <v>46219</v>
      </c>
      <c r="C851" s="86" t="n">
        <v>16800</v>
      </c>
      <c r="D851" s="87" t="n">
        <v>50160</v>
      </c>
      <c r="E851" s="46" t="str">
        <f aca="false">IF(D851&lt;&gt;"",IFERROR(VLOOKUP(D851,PROVEEDORES!$A:$B,2,0),"!COD NO ENCONTRADO"),"")</f>
        <v>SUBASTAS CORUÑA S.L.</v>
      </c>
      <c r="F851" s="88" t="str">
        <f aca="false">IF(D851&lt;&gt;"",IFERROR(VLOOKUP(D851,PROVEEDORES!$A:$C,3,0),""),"")</f>
        <v>S</v>
      </c>
      <c r="G851" s="87" t="s">
        <v>276</v>
      </c>
      <c r="H851" s="46" t="str">
        <f aca="false">IF(G851&lt;&gt;"",IFERROR(VLOOKUP(G851,PRODUCTOS!$A:$B,2,0),"!COD NO ENCONTRADO"),"")</f>
        <v>MERLUZA EUROPEA/ FINA DIA </v>
      </c>
      <c r="I851" s="89" t="n">
        <v>5</v>
      </c>
      <c r="J851" s="78" t="n">
        <v>54.75</v>
      </c>
      <c r="K851" s="79" t="n">
        <v>2.3</v>
      </c>
      <c r="L851" s="80" t="n">
        <f aca="false">IF(AND(J851&lt;&gt;"",K851&lt;&gt;""),J851*K851,"")</f>
        <v>125.925</v>
      </c>
      <c r="M851" s="81" t="n">
        <f aca="false">IF(L851&lt;&gt;"",L851*1.1,"")</f>
        <v>138.5175</v>
      </c>
      <c r="N851" s="47" t="n">
        <f aca="false">IF(F851="S",L851*0.02,0)</f>
        <v>2.5185</v>
      </c>
      <c r="O851" s="82" t="n">
        <f aca="false">IF(L851&lt;&gt;"",L851+N851,"")</f>
        <v>128.4435</v>
      </c>
      <c r="P851" s="47" t="n">
        <f aca="false">IF(O851&lt;&gt;"",O851*0.1,"")</f>
        <v>12.84435</v>
      </c>
      <c r="Q851" s="83" t="n">
        <f aca="false">IF(O851&lt;&gt;"",O851+P851,"")</f>
        <v>141.28785</v>
      </c>
      <c r="R851" s="84" t="s">
        <v>358</v>
      </c>
    </row>
    <row r="852" customFormat="false" ht="15" hidden="false" customHeight="true" outlineLevel="0" collapsed="false">
      <c r="A852" s="103" t="n">
        <v>56053</v>
      </c>
      <c r="B852" s="85" t="n">
        <v>46219</v>
      </c>
      <c r="C852" s="86" t="n">
        <v>16800</v>
      </c>
      <c r="D852" s="75" t="n">
        <v>50160</v>
      </c>
      <c r="E852" s="52" t="str">
        <f aca="false">IF(D852&lt;&gt;"",IFERROR(VLOOKUP(D852,PROVEEDORES!$A:$B,2,0),"!COD NO ENCONTRADO"),"")</f>
        <v>SUBASTAS CORUÑA S.L.</v>
      </c>
      <c r="F852" s="76" t="str">
        <f aca="false">IF(D852&lt;&gt;"",IFERROR(VLOOKUP(D852,PROVEEDORES!$A:$C,3,0),""),"")</f>
        <v>S</v>
      </c>
      <c r="G852" s="75" t="s">
        <v>276</v>
      </c>
      <c r="H852" s="52" t="str">
        <f aca="false">IF(G852&lt;&gt;"",IFERROR(VLOOKUP(G852,PRODUCTOS!$A:$B,2,0),"!COD NO ENCONTRADO"),"")</f>
        <v>MERLUZA EUROPEA/ FINA DIA </v>
      </c>
      <c r="I852" s="77" t="n">
        <v>10</v>
      </c>
      <c r="J852" s="78" t="n">
        <v>61.25</v>
      </c>
      <c r="K852" s="79" t="n">
        <v>1.8</v>
      </c>
      <c r="L852" s="80" t="n">
        <f aca="false">IF(AND(J852&lt;&gt;"",K852&lt;&gt;""),J852*K852,"")</f>
        <v>110.25</v>
      </c>
      <c r="M852" s="81" t="n">
        <f aca="false">IF(L852&lt;&gt;"",L852*1.1,"")</f>
        <v>121.275</v>
      </c>
      <c r="N852" s="53" t="n">
        <f aca="false">IF(F852="S",L852*0.02,0)</f>
        <v>2.205</v>
      </c>
      <c r="O852" s="82" t="n">
        <f aca="false">IF(L852&lt;&gt;"",L852+N852,"")</f>
        <v>112.455</v>
      </c>
      <c r="P852" s="53" t="n">
        <f aca="false">IF(O852&lt;&gt;"",O852*0.1,"")</f>
        <v>11.2455</v>
      </c>
      <c r="Q852" s="83" t="n">
        <f aca="false">IF(O852&lt;&gt;"",O852+P852,"")</f>
        <v>123.7005</v>
      </c>
      <c r="R852" s="84" t="s">
        <v>358</v>
      </c>
    </row>
    <row r="853" customFormat="false" ht="15" hidden="false" customHeight="true" outlineLevel="0" collapsed="false">
      <c r="A853" s="103" t="n">
        <v>56053</v>
      </c>
      <c r="B853" s="85" t="n">
        <v>46219</v>
      </c>
      <c r="C853" s="86" t="n">
        <v>16800</v>
      </c>
      <c r="D853" s="87" t="n">
        <v>50160</v>
      </c>
      <c r="E853" s="46" t="str">
        <f aca="false">IF(D853&lt;&gt;"",IFERROR(VLOOKUP(D853,PROVEEDORES!$A:$B,2,0),"!COD NO ENCONTRADO"),"")</f>
        <v>SUBASTAS CORUÑA S.L.</v>
      </c>
      <c r="F853" s="88" t="str">
        <f aca="false">IF(D853&lt;&gt;"",IFERROR(VLOOKUP(D853,PROVEEDORES!$A:$C,3,0),""),"")</f>
        <v>S</v>
      </c>
      <c r="G853" s="87" t="s">
        <v>276</v>
      </c>
      <c r="H853" s="46" t="str">
        <f aca="false">IF(G853&lt;&gt;"",IFERROR(VLOOKUP(G853,PRODUCTOS!$A:$B,2,0),"!COD NO ENCONTRADO"),"")</f>
        <v>MERLUZA EUROPEA/ FINA DIA </v>
      </c>
      <c r="I853" s="89" t="n">
        <v>10</v>
      </c>
      <c r="J853" s="78" t="n">
        <v>60.25</v>
      </c>
      <c r="K853" s="79" t="n">
        <v>1.75</v>
      </c>
      <c r="L853" s="80" t="n">
        <f aca="false">IF(AND(J853&lt;&gt;"",K853&lt;&gt;""),J853*K853,"")</f>
        <v>105.4375</v>
      </c>
      <c r="M853" s="81" t="n">
        <f aca="false">IF(L853&lt;&gt;"",L853*1.1,"")</f>
        <v>115.98125</v>
      </c>
      <c r="N853" s="47" t="n">
        <f aca="false">IF(F853="S",L853*0.02,0)</f>
        <v>2.10875</v>
      </c>
      <c r="O853" s="82" t="n">
        <f aca="false">IF(L853&lt;&gt;"",L853+N853,"")</f>
        <v>107.54625</v>
      </c>
      <c r="P853" s="47" t="n">
        <f aca="false">IF(O853&lt;&gt;"",O853*0.1,"")</f>
        <v>10.754625</v>
      </c>
      <c r="Q853" s="83" t="n">
        <f aca="false">IF(O853&lt;&gt;"",O853+P853,"")</f>
        <v>118.300875</v>
      </c>
      <c r="R853" s="84" t="s">
        <v>358</v>
      </c>
    </row>
    <row r="854" customFormat="false" ht="15" hidden="false" customHeight="true" outlineLevel="0" collapsed="false">
      <c r="A854" s="103" t="n">
        <v>56053</v>
      </c>
      <c r="B854" s="85" t="n">
        <v>46219</v>
      </c>
      <c r="C854" s="86" t="n">
        <v>16800</v>
      </c>
      <c r="D854" s="75" t="n">
        <v>50160</v>
      </c>
      <c r="E854" s="52" t="str">
        <f aca="false">IF(D854&lt;&gt;"",IFERROR(VLOOKUP(D854,PROVEEDORES!$A:$B,2,0),"!COD NO ENCONTRADO"),"")</f>
        <v>SUBASTAS CORUÑA S.L.</v>
      </c>
      <c r="F854" s="76" t="str">
        <f aca="false">IF(D854&lt;&gt;"",IFERROR(VLOOKUP(D854,PROVEEDORES!$A:$C,3,0),""),"")</f>
        <v>S</v>
      </c>
      <c r="G854" s="75" t="s">
        <v>332</v>
      </c>
      <c r="H854" s="52" t="str">
        <f aca="false">IF(G854&lt;&gt;"",IFERROR(VLOOKUP(G854,PRODUCTOS!$A:$B,2,0),"!COD NO ENCONTRADO"),"")</f>
        <v>VARIADO PEQUEÑO</v>
      </c>
      <c r="I854" s="77" t="n">
        <v>10</v>
      </c>
      <c r="J854" s="78" t="n">
        <v>57.75</v>
      </c>
      <c r="K854" s="79" t="n">
        <v>0.5</v>
      </c>
      <c r="L854" s="80" t="n">
        <f aca="false">IF(AND(J854&lt;&gt;"",K854&lt;&gt;""),J854*K854,"")</f>
        <v>28.875</v>
      </c>
      <c r="M854" s="81" t="n">
        <f aca="false">IF(L854&lt;&gt;"",L854*1.1,"")</f>
        <v>31.7625</v>
      </c>
      <c r="N854" s="53" t="n">
        <f aca="false">IF(F854="S",L854*0.02,0)</f>
        <v>0.5775</v>
      </c>
      <c r="O854" s="82" t="n">
        <f aca="false">IF(L854&lt;&gt;"",L854+N854,"")</f>
        <v>29.4525</v>
      </c>
      <c r="P854" s="53" t="n">
        <f aca="false">IF(O854&lt;&gt;"",O854*0.1,"")</f>
        <v>2.94525</v>
      </c>
      <c r="Q854" s="83" t="n">
        <f aca="false">IF(O854&lt;&gt;"",O854+P854,"")</f>
        <v>32.39775</v>
      </c>
      <c r="R854" s="84" t="s">
        <v>358</v>
      </c>
    </row>
    <row r="855" customFormat="false" ht="15" hidden="false" customHeight="true" outlineLevel="0" collapsed="false">
      <c r="A855" s="103" t="n">
        <v>56053</v>
      </c>
      <c r="B855" s="85" t="n">
        <v>46219</v>
      </c>
      <c r="C855" s="86" t="n">
        <v>16800</v>
      </c>
      <c r="D855" s="87" t="n">
        <v>50160</v>
      </c>
      <c r="E855" s="46" t="str">
        <f aca="false">IF(D855&lt;&gt;"",IFERROR(VLOOKUP(D855,PROVEEDORES!$A:$B,2,0),"!COD NO ENCONTRADO"),"")</f>
        <v>SUBASTAS CORUÑA S.L.</v>
      </c>
      <c r="F855" s="88" t="str">
        <f aca="false">IF(D855&lt;&gt;"",IFERROR(VLOOKUP(D855,PROVEEDORES!$A:$C,3,0),""),"")</f>
        <v>S</v>
      </c>
      <c r="G855" s="87" t="s">
        <v>93</v>
      </c>
      <c r="H855" s="46" t="str">
        <f aca="false">IF(G855&lt;&gt;"",IFERROR(VLOOKUP(G855,PRODUCTOS!$A:$B,2,0),"!COD NO ENCONTRADO"),"")</f>
        <v>BOQUERON/ BOCARTE/ ANCHOA (ANE)</v>
      </c>
      <c r="I855" s="89" t="n">
        <v>40</v>
      </c>
      <c r="J855" s="78" t="n">
        <v>323</v>
      </c>
      <c r="K855" s="79" t="n">
        <v>0.95</v>
      </c>
      <c r="L855" s="80" t="n">
        <f aca="false">IF(AND(J855&lt;&gt;"",K855&lt;&gt;""),J855*K855,"")</f>
        <v>306.85</v>
      </c>
      <c r="M855" s="81" t="n">
        <f aca="false">IF(L855&lt;&gt;"",L855*1.1,"")</f>
        <v>337.535</v>
      </c>
      <c r="N855" s="47" t="n">
        <f aca="false">IF(F855="S",L855*0.02,0)</f>
        <v>6.137</v>
      </c>
      <c r="O855" s="82" t="n">
        <f aca="false">IF(L855&lt;&gt;"",L855+N855,"")</f>
        <v>312.987</v>
      </c>
      <c r="P855" s="47" t="n">
        <f aca="false">IF(O855&lt;&gt;"",O855*0.1,"")</f>
        <v>31.2987</v>
      </c>
      <c r="Q855" s="83" t="n">
        <f aca="false">IF(O855&lt;&gt;"",O855+P855,"")</f>
        <v>344.2857</v>
      </c>
      <c r="R855" s="84" t="s">
        <v>358</v>
      </c>
    </row>
    <row r="856" customFormat="false" ht="15" hidden="false" customHeight="true" outlineLevel="0" collapsed="false">
      <c r="A856" s="103" t="n">
        <v>56053</v>
      </c>
      <c r="B856" s="73" t="n">
        <v>46219</v>
      </c>
      <c r="C856" s="86" t="n">
        <v>16800</v>
      </c>
      <c r="D856" s="75" t="n">
        <v>50160</v>
      </c>
      <c r="E856" s="52" t="str">
        <f aca="false">IF(D856&lt;&gt;"",IFERROR(VLOOKUP(D856,PROVEEDORES!$A:$B,2,0),"!COD NO ENCONTRADO"),"")</f>
        <v>SUBASTAS CORUÑA S.L.</v>
      </c>
      <c r="F856" s="76" t="str">
        <f aca="false">IF(D856&lt;&gt;"",IFERROR(VLOOKUP(D856,PROVEEDORES!$A:$C,3,0),""),"")</f>
        <v>S</v>
      </c>
      <c r="G856" s="75" t="s">
        <v>93</v>
      </c>
      <c r="H856" s="52" t="str">
        <f aca="false">IF(G856&lt;&gt;"",IFERROR(VLOOKUP(G856,PRODUCTOS!$A:$B,2,0),"!COD NO ENCONTRADO"),"")</f>
        <v>BOQUERON/ BOCARTE/ ANCHOA (ANE)</v>
      </c>
      <c r="I856" s="77" t="n">
        <v>40</v>
      </c>
      <c r="J856" s="78" t="n">
        <v>247</v>
      </c>
      <c r="K856" s="79" t="n">
        <v>0.95</v>
      </c>
      <c r="L856" s="80" t="n">
        <f aca="false">IF(AND(J856&lt;&gt;"",K856&lt;&gt;""),J856*K856,"")</f>
        <v>234.65</v>
      </c>
      <c r="M856" s="81" t="n">
        <f aca="false">IF(L856&lt;&gt;"",L856*1.1,"")</f>
        <v>258.115</v>
      </c>
      <c r="N856" s="53" t="n">
        <f aca="false">IF(F856="S",L856*0.02,0)</f>
        <v>4.693</v>
      </c>
      <c r="O856" s="82" t="n">
        <f aca="false">IF(L856&lt;&gt;"",L856+N856,"")</f>
        <v>239.343</v>
      </c>
      <c r="P856" s="53" t="n">
        <f aca="false">IF(O856&lt;&gt;"",O856*0.1,"")</f>
        <v>23.9343</v>
      </c>
      <c r="Q856" s="83" t="n">
        <f aca="false">IF(O856&lt;&gt;"",O856+P856,"")</f>
        <v>263.2773</v>
      </c>
      <c r="R856" s="84" t="s">
        <v>358</v>
      </c>
    </row>
    <row r="857" customFormat="false" ht="15" hidden="false" customHeight="true" outlineLevel="0" collapsed="false">
      <c r="A857" s="103" t="n">
        <v>56054</v>
      </c>
      <c r="B857" s="85" t="n">
        <v>46219</v>
      </c>
      <c r="C857" s="86" t="n">
        <v>19655</v>
      </c>
      <c r="D857" s="87" t="n">
        <v>50163</v>
      </c>
      <c r="E857" s="46" t="str">
        <f aca="false">IF(D857&lt;&gt;"",IFERROR(VLOOKUP(D857,PROVEEDORES!$A:$B,2,0),"!COD NO ENCONTRADO"),"")</f>
        <v>SUBASTAS RIVERA S.L.</v>
      </c>
      <c r="F857" s="88" t="str">
        <f aca="false">IF(D857&lt;&gt;"",IFERROR(VLOOKUP(D857,PROVEEDORES!$A:$C,3,0),""),"")</f>
        <v>S</v>
      </c>
      <c r="G857" s="87" t="s">
        <v>135</v>
      </c>
      <c r="H857" s="46" t="str">
        <f aca="false">IF(G857&lt;&gt;"",IFERROR(VLOOKUP(G857,PRODUCTOS!$A:$B,2,0),"!COD NO ENCONTRADO"),"")</f>
        <v>CONGRIO 10+  (COE)</v>
      </c>
      <c r="I857" s="89" t="n">
        <v>1</v>
      </c>
      <c r="J857" s="78" t="n">
        <v>17.5</v>
      </c>
      <c r="K857" s="79" t="n">
        <v>1.8</v>
      </c>
      <c r="L857" s="80" t="n">
        <f aca="false">IF(AND(J857&lt;&gt;"",K857&lt;&gt;""),J857*K857,"")</f>
        <v>31.5</v>
      </c>
      <c r="M857" s="81" t="n">
        <f aca="false">IF(L857&lt;&gt;"",L857*1.1,"")</f>
        <v>34.65</v>
      </c>
      <c r="N857" s="47" t="n">
        <f aca="false">IF(F857="S",L857*0.02,0)</f>
        <v>0.63</v>
      </c>
      <c r="O857" s="82" t="n">
        <f aca="false">IF(L857&lt;&gt;"",L857+N857,"")</f>
        <v>32.13</v>
      </c>
      <c r="P857" s="47" t="n">
        <f aca="false">IF(O857&lt;&gt;"",O857*0.1,"")</f>
        <v>3.213</v>
      </c>
      <c r="Q857" s="83" t="n">
        <f aca="false">IF(O857&lt;&gt;"",O857+P857,"")</f>
        <v>35.343</v>
      </c>
      <c r="R857" s="84" t="s">
        <v>358</v>
      </c>
    </row>
    <row r="858" customFormat="false" ht="15" hidden="false" customHeight="true" outlineLevel="0" collapsed="false">
      <c r="A858" s="103" t="n">
        <v>56054</v>
      </c>
      <c r="B858" s="85" t="n">
        <v>46219</v>
      </c>
      <c r="C858" s="74" t="n">
        <v>19655</v>
      </c>
      <c r="D858" s="87" t="n">
        <v>50163</v>
      </c>
      <c r="E858" s="52" t="str">
        <f aca="false">IF(D858&lt;&gt;"",IFERROR(VLOOKUP(D858,PROVEEDORES!$A:$B,2,0),"!COD NO ENCONTRADO"),"")</f>
        <v>SUBASTAS RIVERA S.L.</v>
      </c>
      <c r="F858" s="76" t="str">
        <f aca="false">IF(D858&lt;&gt;"",IFERROR(VLOOKUP(D858,PROVEEDORES!$A:$C,3,0),""),"")</f>
        <v>S</v>
      </c>
      <c r="G858" s="75" t="s">
        <v>135</v>
      </c>
      <c r="H858" s="52" t="str">
        <f aca="false">IF(G858&lt;&gt;"",IFERROR(VLOOKUP(G858,PRODUCTOS!$A:$B,2,0),"!COD NO ENCONTRADO"),"")</f>
        <v>CONGRIO 10+  (COE)</v>
      </c>
      <c r="I858" s="77" t="n">
        <v>1</v>
      </c>
      <c r="J858" s="78" t="n">
        <v>15.5</v>
      </c>
      <c r="K858" s="79" t="n">
        <v>2.6</v>
      </c>
      <c r="L858" s="80" t="n">
        <f aca="false">IF(AND(J858&lt;&gt;"",K858&lt;&gt;""),J858*K858,"")</f>
        <v>40.3</v>
      </c>
      <c r="M858" s="81" t="n">
        <f aca="false">IF(L858&lt;&gt;"",L858*1.1,"")</f>
        <v>44.33</v>
      </c>
      <c r="N858" s="53" t="n">
        <f aca="false">IF(F858="S",L858*0.02,0)</f>
        <v>0.806</v>
      </c>
      <c r="O858" s="82" t="n">
        <f aca="false">IF(L858&lt;&gt;"",L858+N858,"")</f>
        <v>41.106</v>
      </c>
      <c r="P858" s="53" t="n">
        <f aca="false">IF(O858&lt;&gt;"",O858*0.1,"")</f>
        <v>4.1106</v>
      </c>
      <c r="Q858" s="83" t="n">
        <f aca="false">IF(O858&lt;&gt;"",O858+P858,"")</f>
        <v>45.2166</v>
      </c>
      <c r="R858" s="84" t="s">
        <v>358</v>
      </c>
    </row>
    <row r="859" customFormat="false" ht="15" hidden="false" customHeight="true" outlineLevel="0" collapsed="false">
      <c r="A859" s="103" t="n">
        <v>56054</v>
      </c>
      <c r="B859" s="85" t="n">
        <v>46219</v>
      </c>
      <c r="C859" s="86" t="n">
        <v>19655</v>
      </c>
      <c r="D859" s="87" t="n">
        <v>50163</v>
      </c>
      <c r="E859" s="46" t="str">
        <f aca="false">IF(D859&lt;&gt;"",IFERROR(VLOOKUP(D859,PROVEEDORES!$A:$B,2,0),"!COD NO ENCONTRADO"),"")</f>
        <v>SUBASTAS RIVERA S.L.</v>
      </c>
      <c r="F859" s="88" t="str">
        <f aca="false">IF(D859&lt;&gt;"",IFERROR(VLOOKUP(D859,PROVEEDORES!$A:$C,3,0),""),"")</f>
        <v>S</v>
      </c>
      <c r="G859" s="87" t="s">
        <v>276</v>
      </c>
      <c r="H859" s="46" t="str">
        <f aca="false">IF(G859&lt;&gt;"",IFERROR(VLOOKUP(G859,PRODUCTOS!$A:$B,2,0),"!COD NO ENCONTRADO"),"")</f>
        <v>MERLUZA EUROPEA/ FINA DIA </v>
      </c>
      <c r="I859" s="89" t="n">
        <v>14</v>
      </c>
      <c r="J859" s="78" t="n">
        <v>95.75</v>
      </c>
      <c r="K859" s="79" t="n">
        <v>2.25</v>
      </c>
      <c r="L859" s="80" t="n">
        <f aca="false">IF(AND(J859&lt;&gt;"",K859&lt;&gt;""),J859*K859,"")</f>
        <v>215.4375</v>
      </c>
      <c r="M859" s="81" t="n">
        <f aca="false">IF(L859&lt;&gt;"",L859*1.1,"")</f>
        <v>236.98125</v>
      </c>
      <c r="N859" s="47" t="n">
        <f aca="false">IF(F859="S",L859*0.02,0)</f>
        <v>4.30875</v>
      </c>
      <c r="O859" s="82" t="n">
        <f aca="false">IF(L859&lt;&gt;"",L859+N859,"")</f>
        <v>219.74625</v>
      </c>
      <c r="P859" s="47" t="n">
        <f aca="false">IF(O859&lt;&gt;"",O859*0.1,"")</f>
        <v>21.974625</v>
      </c>
      <c r="Q859" s="83" t="n">
        <f aca="false">IF(O859&lt;&gt;"",O859+P859,"")</f>
        <v>241.720875</v>
      </c>
      <c r="R859" s="84" t="s">
        <v>358</v>
      </c>
    </row>
    <row r="860" customFormat="false" ht="15" hidden="false" customHeight="true" outlineLevel="0" collapsed="false">
      <c r="A860" s="103" t="n">
        <v>56054</v>
      </c>
      <c r="B860" s="85" t="n">
        <v>46219</v>
      </c>
      <c r="C860" s="74" t="n">
        <v>19655</v>
      </c>
      <c r="D860" s="87" t="n">
        <v>50163</v>
      </c>
      <c r="E860" s="52" t="str">
        <f aca="false">IF(D860&lt;&gt;"",IFERROR(VLOOKUP(D860,PROVEEDORES!$A:$B,2,0),"!COD NO ENCONTRADO"),"")</f>
        <v>SUBASTAS RIVERA S.L.</v>
      </c>
      <c r="F860" s="76" t="str">
        <f aca="false">IF(D860&lt;&gt;"",IFERROR(VLOOKUP(D860,PROVEEDORES!$A:$C,3,0),""),"")</f>
        <v>S</v>
      </c>
      <c r="G860" s="75" t="s">
        <v>276</v>
      </c>
      <c r="H860" s="52" t="str">
        <f aca="false">IF(G860&lt;&gt;"",IFERROR(VLOOKUP(G860,PRODUCTOS!$A:$B,2,0),"!COD NO ENCONTRADO"),"")</f>
        <v>MERLUZA EUROPEA/ FINA DIA </v>
      </c>
      <c r="I860" s="77" t="n">
        <v>1</v>
      </c>
      <c r="J860" s="78" t="n">
        <v>8.5</v>
      </c>
      <c r="K860" s="79" t="n">
        <v>1.65</v>
      </c>
      <c r="L860" s="80" t="n">
        <f aca="false">IF(AND(J860&lt;&gt;"",K860&lt;&gt;""),J860*K860,"")</f>
        <v>14.025</v>
      </c>
      <c r="M860" s="81" t="n">
        <f aca="false">IF(L860&lt;&gt;"",L860*1.1,"")</f>
        <v>15.4275</v>
      </c>
      <c r="N860" s="53" t="n">
        <f aca="false">IF(F860="S",L860*0.02,0)</f>
        <v>0.2805</v>
      </c>
      <c r="O860" s="82" t="n">
        <f aca="false">IF(L860&lt;&gt;"",L860+N860,"")</f>
        <v>14.3055</v>
      </c>
      <c r="P860" s="53" t="n">
        <f aca="false">IF(O860&lt;&gt;"",O860*0.1,"")</f>
        <v>1.43055</v>
      </c>
      <c r="Q860" s="83" t="n">
        <f aca="false">IF(O860&lt;&gt;"",O860+P860,"")</f>
        <v>15.73605</v>
      </c>
      <c r="R860" s="84" t="s">
        <v>358</v>
      </c>
    </row>
    <row r="861" customFormat="false" ht="15" hidden="false" customHeight="true" outlineLevel="0" collapsed="false">
      <c r="A861" s="103" t="n">
        <v>56054</v>
      </c>
      <c r="B861" s="85" t="n">
        <v>46219</v>
      </c>
      <c r="C861" s="86" t="n">
        <v>19655</v>
      </c>
      <c r="D861" s="87" t="n">
        <v>50163</v>
      </c>
      <c r="E861" s="46" t="str">
        <f aca="false">IF(D861&lt;&gt;"",IFERROR(VLOOKUP(D861,PROVEEDORES!$A:$B,2,0),"!COD NO ENCONTRADO"),"")</f>
        <v>SUBASTAS RIVERA S.L.</v>
      </c>
      <c r="F861" s="88" t="str">
        <f aca="false">IF(D861&lt;&gt;"",IFERROR(VLOOKUP(D861,PROVEEDORES!$A:$C,3,0),""),"")</f>
        <v>S</v>
      </c>
      <c r="G861" s="87" t="s">
        <v>205</v>
      </c>
      <c r="H861" s="46" t="str">
        <f aca="false">IF(G861&lt;&gt;"",IFERROR(VLOOKUP(G861,PRODUCTOS!$A:$B,2,0),"!COD NO ENCONTRADO"),"")</f>
        <v>MERLUZA EUROPEA GDA (HKE)</v>
      </c>
      <c r="I861" s="89" t="n">
        <v>1</v>
      </c>
      <c r="J861" s="78" t="n">
        <v>5.75</v>
      </c>
      <c r="K861" s="79" t="n">
        <v>4.4</v>
      </c>
      <c r="L861" s="80" t="n">
        <f aca="false">IF(AND(J861&lt;&gt;"",K861&lt;&gt;""),J861*K861,"")</f>
        <v>25.3</v>
      </c>
      <c r="M861" s="81" t="n">
        <f aca="false">IF(L861&lt;&gt;"",L861*1.1,"")</f>
        <v>27.83</v>
      </c>
      <c r="N861" s="47" t="n">
        <f aca="false">IF(F861="S",L861*0.02,0)</f>
        <v>0.506</v>
      </c>
      <c r="O861" s="82" t="n">
        <f aca="false">IF(L861&lt;&gt;"",L861+N861,"")</f>
        <v>25.806</v>
      </c>
      <c r="P861" s="47" t="n">
        <f aca="false">IF(O861&lt;&gt;"",O861*0.1,"")</f>
        <v>2.5806</v>
      </c>
      <c r="Q861" s="83" t="n">
        <f aca="false">IF(O861&lt;&gt;"",O861+P861,"")</f>
        <v>28.3866</v>
      </c>
      <c r="R861" s="84" t="s">
        <v>358</v>
      </c>
    </row>
    <row r="862" customFormat="false" ht="15" hidden="false" customHeight="true" outlineLevel="0" collapsed="false">
      <c r="A862" s="103" t="n">
        <v>56054</v>
      </c>
      <c r="B862" s="73" t="n">
        <v>46219</v>
      </c>
      <c r="C862" s="74" t="n">
        <v>19655</v>
      </c>
      <c r="D862" s="75" t="n">
        <v>50163</v>
      </c>
      <c r="E862" s="52" t="str">
        <f aca="false">IF(D862&lt;&gt;"",IFERROR(VLOOKUP(D862,PROVEEDORES!$A:$B,2,0),"!COD NO ENCONTRADO"),"")</f>
        <v>SUBASTAS RIVERA S.L.</v>
      </c>
      <c r="F862" s="76" t="str">
        <f aca="false">IF(D862&lt;&gt;"",IFERROR(VLOOKUP(D862,PROVEEDORES!$A:$C,3,0),""),"")</f>
        <v>S</v>
      </c>
      <c r="G862" s="75" t="s">
        <v>167</v>
      </c>
      <c r="H862" s="52" t="str">
        <f aca="false">IF(G862&lt;&gt;"",IFERROR(VLOOKUP(G862,PRODUCTOS!$A:$B,2,0),"!COD NO ENCONTRADO"),"")</f>
        <v>HUEVAS DE MERLUZA </v>
      </c>
      <c r="I862" s="77" t="n">
        <v>2</v>
      </c>
      <c r="J862" s="78" t="n">
        <v>15</v>
      </c>
      <c r="K862" s="79" t="n">
        <v>13.6</v>
      </c>
      <c r="L862" s="80" t="n">
        <f aca="false">IF(AND(J862&lt;&gt;"",K862&lt;&gt;""),J862*K862,"")</f>
        <v>204</v>
      </c>
      <c r="M862" s="81" t="n">
        <f aca="false">IF(L862&lt;&gt;"",L862*1.1,"")</f>
        <v>224.4</v>
      </c>
      <c r="N862" s="53" t="n">
        <f aca="false">IF(F862="S",L862*0.02,0)</f>
        <v>4.08</v>
      </c>
      <c r="O862" s="82" t="n">
        <f aca="false">IF(L862&lt;&gt;"",L862+N862,"")</f>
        <v>208.08</v>
      </c>
      <c r="P862" s="53" t="n">
        <f aca="false">IF(O862&lt;&gt;"",O862*0.1,"")</f>
        <v>20.808</v>
      </c>
      <c r="Q862" s="83" t="n">
        <f aca="false">IF(O862&lt;&gt;"",O862+P862,"")</f>
        <v>228.888</v>
      </c>
      <c r="R862" s="84" t="s">
        <v>358</v>
      </c>
    </row>
    <row r="863" customFormat="false" ht="15" hidden="false" customHeight="true" outlineLevel="0" collapsed="false">
      <c r="A863" s="103" t="n">
        <v>56054</v>
      </c>
      <c r="B863" s="85" t="n">
        <v>46219</v>
      </c>
      <c r="C863" s="86" t="n">
        <v>19655</v>
      </c>
      <c r="D863" s="87" t="n">
        <v>50163</v>
      </c>
      <c r="E863" s="46" t="str">
        <f aca="false">IF(D863&lt;&gt;"",IFERROR(VLOOKUP(D863,PROVEEDORES!$A:$B,2,0),"!COD NO ENCONTRADO"),"")</f>
        <v>SUBASTAS RIVERA S.L.</v>
      </c>
      <c r="F863" s="88" t="str">
        <f aca="false">IF(D863&lt;&gt;"",IFERROR(VLOOKUP(D863,PROVEEDORES!$A:$C,3,0),""),"")</f>
        <v>S</v>
      </c>
      <c r="G863" s="87" t="s">
        <v>231</v>
      </c>
      <c r="H863" s="46" t="str">
        <f aca="false">IF(G863&lt;&gt;"",IFERROR(VLOOKUP(G863,PRODUCTOS!$A:$B,2,0),"!COD NO ENCONTRADO"),"")</f>
        <v>MERLUZA EUROPEA PINCHO COSTA 2,5+</v>
      </c>
      <c r="I863" s="89" t="n">
        <v>3</v>
      </c>
      <c r="J863" s="78" t="n">
        <v>10.8</v>
      </c>
      <c r="K863" s="79" t="n">
        <v>14.8</v>
      </c>
      <c r="L863" s="80" t="n">
        <f aca="false">IF(AND(J863&lt;&gt;"",K863&lt;&gt;""),J863*K863,"")</f>
        <v>159.84</v>
      </c>
      <c r="M863" s="81" t="n">
        <f aca="false">IF(L863&lt;&gt;"",L863*1.1,"")</f>
        <v>175.824</v>
      </c>
      <c r="N863" s="47" t="n">
        <f aca="false">IF(F863="S",L863*0.02,0)</f>
        <v>3.1968</v>
      </c>
      <c r="O863" s="82" t="n">
        <f aca="false">IF(L863&lt;&gt;"",L863+N863,"")</f>
        <v>163.0368</v>
      </c>
      <c r="P863" s="47" t="n">
        <f aca="false">IF(O863&lt;&gt;"",O863*0.1,"")</f>
        <v>16.30368</v>
      </c>
      <c r="Q863" s="83" t="n">
        <f aca="false">IF(O863&lt;&gt;"",O863+P863,"")</f>
        <v>179.34048</v>
      </c>
      <c r="R863" s="84" t="s">
        <v>358</v>
      </c>
    </row>
    <row r="864" customFormat="false" ht="15" hidden="false" customHeight="true" outlineLevel="0" collapsed="false">
      <c r="A864" s="103" t="n">
        <v>56054</v>
      </c>
      <c r="B864" s="73" t="n">
        <v>46219</v>
      </c>
      <c r="C864" s="74" t="n">
        <v>19655</v>
      </c>
      <c r="D864" s="75" t="n">
        <v>50163</v>
      </c>
      <c r="E864" s="52" t="str">
        <f aca="false">IF(D864&lt;&gt;"",IFERROR(VLOOKUP(D864,PROVEEDORES!$A:$B,2,0),"!COD NO ENCONTRADO"),"")</f>
        <v>SUBASTAS RIVERA S.L.</v>
      </c>
      <c r="F864" s="76" t="str">
        <f aca="false">IF(D864&lt;&gt;"",IFERROR(VLOOKUP(D864,PROVEEDORES!$A:$C,3,0),""),"")</f>
        <v>S</v>
      </c>
      <c r="G864" s="75" t="s">
        <v>83</v>
      </c>
      <c r="H864" s="52" t="str">
        <f aca="false">IF(G864&lt;&gt;"",IFERROR(VLOOKUP(G864,PRODUCTOS!$A:$B,2,0),"!COD NO ENCONTRADO"),"")</f>
        <v>BESUGO (BSR)</v>
      </c>
      <c r="I864" s="77" t="n">
        <v>2</v>
      </c>
      <c r="J864" s="78" t="n">
        <v>6.3</v>
      </c>
      <c r="K864" s="79" t="n">
        <v>33.2</v>
      </c>
      <c r="L864" s="80" t="n">
        <f aca="false">IF(AND(J864&lt;&gt;"",K864&lt;&gt;""),J864*K864,"")</f>
        <v>209.16</v>
      </c>
      <c r="M864" s="81" t="n">
        <f aca="false">IF(L864&lt;&gt;"",L864*1.1,"")</f>
        <v>230.076</v>
      </c>
      <c r="N864" s="53" t="n">
        <f aca="false">IF(F864="S",L864*0.02,0)</f>
        <v>4.1832</v>
      </c>
      <c r="O864" s="82" t="n">
        <f aca="false">IF(L864&lt;&gt;"",L864+N864,"")</f>
        <v>213.3432</v>
      </c>
      <c r="P864" s="53" t="n">
        <f aca="false">IF(O864&lt;&gt;"",O864*0.1,"")</f>
        <v>21.33432</v>
      </c>
      <c r="Q864" s="83" t="n">
        <f aca="false">IF(O864&lt;&gt;"",O864+P864,"")</f>
        <v>234.67752</v>
      </c>
      <c r="R864" s="84" t="s">
        <v>358</v>
      </c>
    </row>
    <row r="865" customFormat="false" ht="15" hidden="false" customHeight="true" outlineLevel="0" collapsed="false">
      <c r="A865" s="103" t="n">
        <v>56055</v>
      </c>
      <c r="B865" s="85" t="n">
        <v>46219</v>
      </c>
      <c r="C865" s="86" t="s">
        <v>470</v>
      </c>
      <c r="D865" s="87" t="n">
        <v>50521</v>
      </c>
      <c r="E865" s="46" t="str">
        <f aca="false">IF(D865&lt;&gt;"",IFERROR(VLOOKUP(D865,PROVEEDORES!$A:$B,2,0),"!COD NO ENCONTRADO"),"")</f>
        <v>SUBASTAS DE ATLANTICO S.L</v>
      </c>
      <c r="F865" s="88" t="str">
        <f aca="false">IF(D865&lt;&gt;"",IFERROR(VLOOKUP(D865,PROVEEDORES!$A:$C,3,0),""),"")</f>
        <v>S</v>
      </c>
      <c r="G865" s="87" t="s">
        <v>324</v>
      </c>
      <c r="H865" s="46" t="str">
        <f aca="false">IF(G865&lt;&gt;"",IFERROR(VLOOKUP(G865,PRODUCTOS!$A:$B,2,0),"!COD NO ENCONTRADO"),"")</f>
        <v>SARDINA    (PIL)</v>
      </c>
      <c r="I865" s="89" t="n">
        <v>1</v>
      </c>
      <c r="J865" s="90" t="n">
        <v>55</v>
      </c>
      <c r="K865" s="91" t="n">
        <v>2</v>
      </c>
      <c r="L865" s="80" t="n">
        <f aca="false">IF(AND(J865&lt;&gt;"",K865&lt;&gt;""),J865*K865,"")</f>
        <v>110</v>
      </c>
      <c r="M865" s="81" t="n">
        <f aca="false">IF(L865&lt;&gt;"",L865*1.1,"")</f>
        <v>121</v>
      </c>
      <c r="N865" s="47" t="n">
        <f aca="false">IF(F865="S",L865*0.02,0)</f>
        <v>2.2</v>
      </c>
      <c r="O865" s="82" t="n">
        <f aca="false">IF(L865&lt;&gt;"",L865+N865,"")</f>
        <v>112.2</v>
      </c>
      <c r="P865" s="47" t="n">
        <f aca="false">IF(O865&lt;&gt;"",O865*0.1,"")</f>
        <v>11.22</v>
      </c>
      <c r="Q865" s="83" t="n">
        <f aca="false">IF(O865&lt;&gt;"",O865+P865,"")</f>
        <v>123.42</v>
      </c>
      <c r="R865" s="84" t="s">
        <v>365</v>
      </c>
    </row>
    <row r="866" customFormat="false" ht="15" hidden="false" customHeight="true" outlineLevel="0" collapsed="false">
      <c r="A866" s="103" t="n">
        <v>56056</v>
      </c>
      <c r="B866" s="73" t="n">
        <v>46219</v>
      </c>
      <c r="C866" s="74" t="n">
        <v>15072605</v>
      </c>
      <c r="D866" s="75" t="n">
        <v>50532</v>
      </c>
      <c r="E866" s="52" t="str">
        <f aca="false">IF(D866&lt;&gt;"",IFERROR(VLOOKUP(D866,PROVEEDORES!$A:$B,2,0),"!COD NO ENCONTRADO"),"")</f>
        <v>AITORPESCA S.L.</v>
      </c>
      <c r="F866" s="76" t="str">
        <f aca="false">IF(D866&lt;&gt;"",IFERROR(VLOOKUP(D866,PROVEEDORES!$A:$C,3,0),""),"")</f>
        <v>N</v>
      </c>
      <c r="G866" s="75" t="s">
        <v>181</v>
      </c>
      <c r="H866" s="52" t="str">
        <f aca="false">IF(G866&lt;&gt;"",IFERROR(VLOOKUP(G866,PRODUCTOS!$A:$B,2,0),"!COD NO ENCONTRADO"),"")</f>
        <v>LIRIO EN FILETES</v>
      </c>
      <c r="I866" s="77" t="n">
        <v>6</v>
      </c>
      <c r="J866" s="78" t="n">
        <v>12</v>
      </c>
      <c r="K866" s="79" t="n">
        <v>4.4</v>
      </c>
      <c r="L866" s="80" t="n">
        <f aca="false">IF(AND(J866&lt;&gt;"",K866&lt;&gt;""),J866*K866,"")</f>
        <v>52.8</v>
      </c>
      <c r="M866" s="81" t="n">
        <f aca="false">IF(L866&lt;&gt;"",L866*1.1,"")</f>
        <v>58.08</v>
      </c>
      <c r="N866" s="53" t="n">
        <f aca="false">IF(F866="S",L866*0.02,0)</f>
        <v>0</v>
      </c>
      <c r="O866" s="82" t="n">
        <f aca="false">IF(L866&lt;&gt;"",L866+N866,"")</f>
        <v>52.8</v>
      </c>
      <c r="P866" s="53" t="n">
        <f aca="false">IF(O866&lt;&gt;"",O866*0.1,"")</f>
        <v>5.28</v>
      </c>
      <c r="Q866" s="83" t="n">
        <f aca="false">IF(O866&lt;&gt;"",O866+P866,"")</f>
        <v>58.08</v>
      </c>
      <c r="R866" s="84" t="s">
        <v>365</v>
      </c>
    </row>
    <row r="867" customFormat="false" ht="15" hidden="false" customHeight="true" outlineLevel="0" collapsed="false">
      <c r="A867" s="103" t="n">
        <v>56057</v>
      </c>
      <c r="B867" s="85" t="n">
        <v>46219</v>
      </c>
      <c r="C867" s="86" t="n">
        <v>260251808</v>
      </c>
      <c r="D867" s="87" t="n">
        <v>50510</v>
      </c>
      <c r="E867" s="46" t="str">
        <f aca="false">IF(D867&lt;&gt;"",IFERROR(VLOOKUP(D867,PROVEEDORES!$A:$B,2,0),"!COD NO ENCONTRADO"),"")</f>
        <v>PETACA CHICO S.L.</v>
      </c>
      <c r="F867" s="88" t="str">
        <f aca="false">IF(D867&lt;&gt;"",IFERROR(VLOOKUP(D867,PROVEEDORES!$A:$C,3,0),""),"")</f>
        <v>N</v>
      </c>
      <c r="G867" s="87" t="s">
        <v>306</v>
      </c>
      <c r="H867" s="46" t="str">
        <f aca="false">IF(G867&lt;&gt;"",IFERROR(VLOOKUP(G867,PRODUCTOS!$A:$B,2,0),"!COD NO ENCONTRADO"),"")</f>
        <v>RODABALLO (TUR)</v>
      </c>
      <c r="I867" s="89" t="n">
        <v>2</v>
      </c>
      <c r="J867" s="90" t="n">
        <v>16.5</v>
      </c>
      <c r="K867" s="91" t="n">
        <v>26.9</v>
      </c>
      <c r="L867" s="80" t="n">
        <f aca="false">IF(AND(J867&lt;&gt;"",K867&lt;&gt;""),J867*K867,"")</f>
        <v>443.85</v>
      </c>
      <c r="M867" s="81" t="n">
        <f aca="false">IF(L867&lt;&gt;"",L867*1.1,"")</f>
        <v>488.235</v>
      </c>
      <c r="N867" s="47" t="n">
        <f aca="false">IF(F867="S",L867*0.02,0)</f>
        <v>0</v>
      </c>
      <c r="O867" s="82" t="n">
        <f aca="false">IF(L867&lt;&gt;"",L867+N867,"")</f>
        <v>443.85</v>
      </c>
      <c r="P867" s="47" t="n">
        <f aca="false">IF(O867&lt;&gt;"",O867*0.1,"")</f>
        <v>44.385</v>
      </c>
      <c r="Q867" s="83" t="n">
        <f aca="false">IF(O867&lt;&gt;"",O867+P867,"")</f>
        <v>488.235</v>
      </c>
      <c r="R867" s="84" t="s">
        <v>365</v>
      </c>
    </row>
    <row r="868" customFormat="false" ht="15" hidden="false" customHeight="true" outlineLevel="0" collapsed="false">
      <c r="A868" s="103" t="n">
        <v>56058</v>
      </c>
      <c r="B868" s="73" t="n">
        <v>46219</v>
      </c>
      <c r="C868" s="74" t="s">
        <v>471</v>
      </c>
      <c r="D868" s="75" t="n">
        <v>50533</v>
      </c>
      <c r="E868" s="52" t="str">
        <f aca="false">IF(D868&lt;&gt;"",IFERROR(VLOOKUP(D868,PROVEEDORES!$A:$B,2,0),"!COD NO ENCONTRADO"),"")</f>
        <v>LURDES MARIÑO, S.L.</v>
      </c>
      <c r="F868" s="76" t="str">
        <f aca="false">IF(D868&lt;&gt;"",IFERROR(VLOOKUP(D868,PROVEEDORES!$A:$C,3,0),""),"")</f>
        <v>N</v>
      </c>
      <c r="G868" s="75" t="s">
        <v>408</v>
      </c>
      <c r="H868" s="52" t="str">
        <f aca="false">IF(G868&lt;&gt;"",IFERROR(VLOOKUP(G868,PRODUCTOS!$A:$B,2,0),"!COD NO ENCONTRADO"),"")</f>
        <v>MEJILLON SACO</v>
      </c>
      <c r="I868" s="77" t="n">
        <v>15</v>
      </c>
      <c r="J868" s="78" t="n">
        <v>75</v>
      </c>
      <c r="K868" s="79" t="n">
        <v>1.4</v>
      </c>
      <c r="L868" s="80" t="n">
        <f aca="false">IF(AND(J868&lt;&gt;"",K868&lt;&gt;""),J868*K868,"")</f>
        <v>105</v>
      </c>
      <c r="M868" s="81" t="n">
        <f aca="false">IF(L868&lt;&gt;"",L868*1.1,"")</f>
        <v>115.5</v>
      </c>
      <c r="N868" s="53" t="n">
        <f aca="false">IF(F868="S",L868*0.02,0)</f>
        <v>0</v>
      </c>
      <c r="O868" s="82" t="n">
        <f aca="false">IF(L868&lt;&gt;"",L868+N868,"")</f>
        <v>105</v>
      </c>
      <c r="P868" s="53" t="n">
        <f aca="false">IF(O868&lt;&gt;"",O868*0.1,"")</f>
        <v>10.5</v>
      </c>
      <c r="Q868" s="83" t="n">
        <f aca="false">IF(O868&lt;&gt;"",O868+P868,"")</f>
        <v>115.5</v>
      </c>
      <c r="R868" s="84" t="s">
        <v>365</v>
      </c>
    </row>
    <row r="869" customFormat="false" ht="15" hidden="false" customHeight="true" outlineLevel="0" collapsed="false">
      <c r="A869" s="103" t="n">
        <v>56059</v>
      </c>
      <c r="B869" s="85" t="n">
        <v>46219</v>
      </c>
      <c r="C869" s="86" t="s">
        <v>472</v>
      </c>
      <c r="D869" s="87" t="n">
        <v>50035</v>
      </c>
      <c r="E869" s="46" t="str">
        <f aca="false">IF(D869&lt;&gt;"",IFERROR(VLOOKUP(D869,PROVEEDORES!$A:$B,2,0),"!COD NO ENCONTRADO"),"")</f>
        <v>SCANFISK SEAFFOD S,L</v>
      </c>
      <c r="F869" s="88" t="str">
        <f aca="false">IF(D869&lt;&gt;"",IFERROR(VLOOKUP(D869,PROVEEDORES!$A:$C,3,0),""),"")</f>
        <v>N</v>
      </c>
      <c r="G869" s="87" t="s">
        <v>209</v>
      </c>
      <c r="H869" s="46" t="str">
        <f aca="false">IF(G869&lt;&gt;"",IFERROR(VLOOKUP(G869,PRODUCTOS!$A:$B,2,0),"!COD NO ENCONTRADO"),"")</f>
        <v>MERLUZA EUROPEA PINCHO</v>
      </c>
      <c r="I869" s="89" t="n">
        <v>2</v>
      </c>
      <c r="J869" s="90" t="n">
        <v>10.1</v>
      </c>
      <c r="K869" s="91" t="n">
        <v>5.9</v>
      </c>
      <c r="L869" s="80" t="n">
        <f aca="false">IF(AND(J869&lt;&gt;"",K869&lt;&gt;""),J869*K869,"")</f>
        <v>59.59</v>
      </c>
      <c r="M869" s="81" t="n">
        <f aca="false">IF(L869&lt;&gt;"",L869*1.1,"")</f>
        <v>65.549</v>
      </c>
      <c r="N869" s="47" t="n">
        <f aca="false">IF(F869="S",L869*0.02,0)</f>
        <v>0</v>
      </c>
      <c r="O869" s="82" t="n">
        <f aca="false">IF(L869&lt;&gt;"",L869+N869,"")</f>
        <v>59.59</v>
      </c>
      <c r="P869" s="47" t="n">
        <f aca="false">IF(O869&lt;&gt;"",O869*0.1,"")</f>
        <v>5.959</v>
      </c>
      <c r="Q869" s="83" t="n">
        <f aca="false">IF(O869&lt;&gt;"",O869+P869,"")</f>
        <v>65.549</v>
      </c>
      <c r="R869" s="84" t="s">
        <v>365</v>
      </c>
    </row>
    <row r="870" customFormat="false" ht="15" hidden="false" customHeight="true" outlineLevel="0" collapsed="false">
      <c r="A870" s="103" t="n">
        <v>56060</v>
      </c>
      <c r="B870" s="73" t="n">
        <v>46220</v>
      </c>
      <c r="C870" s="74" t="s">
        <v>473</v>
      </c>
      <c r="D870" s="75" t="n">
        <v>50232</v>
      </c>
      <c r="E870" s="52" t="str">
        <f aca="false">IF(D870&lt;&gt;"",IFERROR(VLOOKUP(D870,PROVEEDORES!$A:$B,2,0),"!COD NO ENCONTRADO"),"")</f>
        <v>XESTION NOVA LONXA RIVEIRA S.L.</v>
      </c>
      <c r="F870" s="76" t="str">
        <f aca="false">IF(D870&lt;&gt;"",IFERROR(VLOOKUP(D870,PROVEEDORES!$A:$C,3,0),""),"")</f>
        <v>S</v>
      </c>
      <c r="G870" s="75" t="s">
        <v>83</v>
      </c>
      <c r="H870" s="52" t="str">
        <f aca="false">IF(G870&lt;&gt;"",IFERROR(VLOOKUP(G870,PRODUCTOS!$A:$B,2,0),"!COD NO ENCONTRADO"),"")</f>
        <v>BESUGO (BSR)</v>
      </c>
      <c r="I870" s="77" t="n">
        <v>4</v>
      </c>
      <c r="J870" s="78" t="n">
        <v>24.3</v>
      </c>
      <c r="K870" s="79" t="n">
        <v>36</v>
      </c>
      <c r="L870" s="80" t="n">
        <f aca="false">IF(AND(J870&lt;&gt;"",K870&lt;&gt;""),J870*K870,"")</f>
        <v>874.8</v>
      </c>
      <c r="M870" s="81" t="n">
        <f aca="false">IF(L870&lt;&gt;"",L870*1.1,"")</f>
        <v>962.28</v>
      </c>
      <c r="N870" s="53" t="n">
        <f aca="false">IF(F870="S",L870*0.02,0)</f>
        <v>17.496</v>
      </c>
      <c r="O870" s="82" t="n">
        <f aca="false">IF(L870&lt;&gt;"",L870+N870,"")</f>
        <v>892.296</v>
      </c>
      <c r="P870" s="53" t="n">
        <f aca="false">IF(O870&lt;&gt;"",O870*0.1,"")</f>
        <v>89.2296</v>
      </c>
      <c r="Q870" s="83" t="n">
        <f aca="false">IF(O870&lt;&gt;"",O870+P870,"")</f>
        <v>981.5256</v>
      </c>
      <c r="R870" s="84" t="s">
        <v>358</v>
      </c>
    </row>
    <row r="871" customFormat="false" ht="15" hidden="false" customHeight="true" outlineLevel="0" collapsed="false">
      <c r="A871" s="103" t="n">
        <v>56061</v>
      </c>
      <c r="B871" s="85" t="n">
        <v>46220</v>
      </c>
      <c r="C871" s="86" t="n">
        <v>8436</v>
      </c>
      <c r="D871" s="87" t="n">
        <v>50069</v>
      </c>
      <c r="E871" s="46" t="str">
        <f aca="false">IF(D871&lt;&gt;"",IFERROR(VLOOKUP(D871,PROVEEDORES!$A:$B,2,0),"!COD NO ENCONTRADO"),"")</f>
        <v>PESCADOS ILLANES S.L.</v>
      </c>
      <c r="F871" s="88" t="str">
        <f aca="false">IF(D871&lt;&gt;"",IFERROR(VLOOKUP(D871,PROVEEDORES!$A:$C,3,0),""),"")</f>
        <v>S</v>
      </c>
      <c r="G871" s="87" t="s">
        <v>83</v>
      </c>
      <c r="H871" s="46" t="str">
        <f aca="false">IF(G871&lt;&gt;"",IFERROR(VLOOKUP(G871,PRODUCTOS!$A:$B,2,0),"!COD NO ENCONTRADO"),"")</f>
        <v>BESUGO (BSR)</v>
      </c>
      <c r="I871" s="89" t="n">
        <v>1</v>
      </c>
      <c r="J871" s="90" t="n">
        <v>2.5</v>
      </c>
      <c r="K871" s="91" t="n">
        <v>32</v>
      </c>
      <c r="L871" s="80" t="n">
        <f aca="false">IF(AND(J871&lt;&gt;"",K871&lt;&gt;""),J871*K871,"")</f>
        <v>80</v>
      </c>
      <c r="M871" s="81" t="n">
        <f aca="false">IF(L871&lt;&gt;"",L871*1.1,"")</f>
        <v>88</v>
      </c>
      <c r="N871" s="47" t="n">
        <f aca="false">IF(F871="S",L871*0.02,0)</f>
        <v>1.6</v>
      </c>
      <c r="O871" s="82" t="n">
        <f aca="false">IF(L871&lt;&gt;"",L871+N871,"")</f>
        <v>81.6</v>
      </c>
      <c r="P871" s="47" t="n">
        <f aca="false">IF(O871&lt;&gt;"",O871*0.1,"")</f>
        <v>8.16</v>
      </c>
      <c r="Q871" s="83" t="n">
        <f aca="false">IF(O871&lt;&gt;"",O871+P871,"")</f>
        <v>89.76</v>
      </c>
      <c r="R871" s="84" t="s">
        <v>358</v>
      </c>
    </row>
    <row r="872" customFormat="false" ht="15" hidden="false" customHeight="true" outlineLevel="0" collapsed="false">
      <c r="A872" s="103" t="n">
        <v>56061</v>
      </c>
      <c r="B872" s="85" t="n">
        <v>46220</v>
      </c>
      <c r="C872" s="86" t="n">
        <v>8436</v>
      </c>
      <c r="D872" s="75" t="n">
        <v>50069</v>
      </c>
      <c r="E872" s="52" t="str">
        <f aca="false">IF(D872&lt;&gt;"",IFERROR(VLOOKUP(D872,PROVEEDORES!$A:$B,2,0),"!COD NO ENCONTRADO"),"")</f>
        <v>PESCADOS ILLANES S.L.</v>
      </c>
      <c r="F872" s="76" t="str">
        <f aca="false">IF(D872&lt;&gt;"",IFERROR(VLOOKUP(D872,PROVEEDORES!$A:$C,3,0),""),"")</f>
        <v>S</v>
      </c>
      <c r="G872" s="75" t="s">
        <v>229</v>
      </c>
      <c r="H872" s="52" t="str">
        <f aca="false">IF(G872&lt;&gt;"",IFERROR(VLOOKUP(G872,PRODUCTOS!$A:$B,2,0),"!COD NO ENCONTRADO"),"")</f>
        <v>MERLUZA EUROPEA PINCHO COSTA 2+</v>
      </c>
      <c r="I872" s="77" t="n">
        <v>1</v>
      </c>
      <c r="J872" s="78" t="n">
        <v>20</v>
      </c>
      <c r="K872" s="79" t="n">
        <v>10</v>
      </c>
      <c r="L872" s="80" t="n">
        <f aca="false">IF(AND(J872&lt;&gt;"",K872&lt;&gt;""),J872*K872,"")</f>
        <v>200</v>
      </c>
      <c r="M872" s="81" t="n">
        <f aca="false">IF(L872&lt;&gt;"",L872*1.1,"")</f>
        <v>220</v>
      </c>
      <c r="N872" s="53" t="n">
        <f aca="false">IF(F872="S",L872*0.02,0)</f>
        <v>4</v>
      </c>
      <c r="O872" s="82" t="n">
        <f aca="false">IF(L872&lt;&gt;"",L872+N872,"")</f>
        <v>204</v>
      </c>
      <c r="P872" s="53" t="n">
        <f aca="false">IF(O872&lt;&gt;"",O872*0.1,"")</f>
        <v>20.4</v>
      </c>
      <c r="Q872" s="83" t="n">
        <f aca="false">IF(O872&lt;&gt;"",O872+P872,"")</f>
        <v>224.4</v>
      </c>
      <c r="R872" s="84" t="s">
        <v>358</v>
      </c>
    </row>
    <row r="873" customFormat="false" ht="15" hidden="false" customHeight="true" outlineLevel="0" collapsed="false">
      <c r="A873" s="103" t="n">
        <v>56061</v>
      </c>
      <c r="B873" s="85" t="n">
        <v>46220</v>
      </c>
      <c r="C873" s="86" t="n">
        <v>8436</v>
      </c>
      <c r="D873" s="87" t="n">
        <v>50069</v>
      </c>
      <c r="E873" s="46" t="str">
        <f aca="false">IF(D873&lt;&gt;"",IFERROR(VLOOKUP(D873,PROVEEDORES!$A:$B,2,0),"!COD NO ENCONTRADO"),"")</f>
        <v>PESCADOS ILLANES S.L.</v>
      </c>
      <c r="F873" s="88" t="str">
        <f aca="false">IF(D873&lt;&gt;"",IFERROR(VLOOKUP(D873,PROVEEDORES!$A:$C,3,0),""),"")</f>
        <v>S</v>
      </c>
      <c r="G873" s="87" t="s">
        <v>231</v>
      </c>
      <c r="H873" s="46" t="str">
        <f aca="false">IF(G873&lt;&gt;"",IFERROR(VLOOKUP(G873,PRODUCTOS!$A:$B,2,0),"!COD NO ENCONTRADO"),"")</f>
        <v>MERLUZA EUROPEA PINCHO COSTA 2,5+</v>
      </c>
      <c r="I873" s="89" t="n">
        <v>1</v>
      </c>
      <c r="J873" s="90" t="n">
        <v>4.1</v>
      </c>
      <c r="K873" s="91" t="n">
        <v>16.6</v>
      </c>
      <c r="L873" s="80" t="n">
        <f aca="false">IF(AND(J873&lt;&gt;"",K873&lt;&gt;""),J873*K873,"")</f>
        <v>68.06</v>
      </c>
      <c r="M873" s="81" t="n">
        <f aca="false">IF(L873&lt;&gt;"",L873*1.1,"")</f>
        <v>74.866</v>
      </c>
      <c r="N873" s="47" t="n">
        <f aca="false">IF(F873="S",L873*0.02,0)</f>
        <v>1.3612</v>
      </c>
      <c r="O873" s="82" t="n">
        <f aca="false">IF(L873&lt;&gt;"",L873+N873,"")</f>
        <v>69.4212</v>
      </c>
      <c r="P873" s="47" t="n">
        <f aca="false">IF(O873&lt;&gt;"",O873*0.1,"")</f>
        <v>6.94212</v>
      </c>
      <c r="Q873" s="83" t="n">
        <f aca="false">IF(O873&lt;&gt;"",O873+P873,"")</f>
        <v>76.36332</v>
      </c>
      <c r="R873" s="84" t="s">
        <v>358</v>
      </c>
    </row>
    <row r="874" customFormat="false" ht="15" hidden="false" customHeight="true" outlineLevel="0" collapsed="false">
      <c r="A874" s="103" t="n">
        <v>56061</v>
      </c>
      <c r="B874" s="85" t="n">
        <v>46220</v>
      </c>
      <c r="C874" s="86" t="n">
        <v>8436</v>
      </c>
      <c r="D874" s="75" t="n">
        <v>50069</v>
      </c>
      <c r="E874" s="52" t="str">
        <f aca="false">IF(D874&lt;&gt;"",IFERROR(VLOOKUP(D874,PROVEEDORES!$A:$B,2,0),"!COD NO ENCONTRADO"),"")</f>
        <v>PESCADOS ILLANES S.L.</v>
      </c>
      <c r="F874" s="76" t="str">
        <f aca="false">IF(D874&lt;&gt;"",IFERROR(VLOOKUP(D874,PROVEEDORES!$A:$C,3,0),""),"")</f>
        <v>S</v>
      </c>
      <c r="G874" s="75" t="s">
        <v>231</v>
      </c>
      <c r="H874" s="52" t="str">
        <f aca="false">IF(G874&lt;&gt;"",IFERROR(VLOOKUP(G874,PRODUCTOS!$A:$B,2,0),"!COD NO ENCONTRADO"),"")</f>
        <v>MERLUZA EUROPEA PINCHO COSTA 2,5+</v>
      </c>
      <c r="I874" s="77" t="n">
        <v>1</v>
      </c>
      <c r="J874" s="78" t="n">
        <v>5</v>
      </c>
      <c r="K874" s="79" t="n">
        <v>16.6</v>
      </c>
      <c r="L874" s="80" t="n">
        <f aca="false">IF(AND(J874&lt;&gt;"",K874&lt;&gt;""),J874*K874,"")</f>
        <v>83</v>
      </c>
      <c r="M874" s="81" t="n">
        <f aca="false">IF(L874&lt;&gt;"",L874*1.1,"")</f>
        <v>91.3</v>
      </c>
      <c r="N874" s="53" t="n">
        <f aca="false">IF(F874="S",L874*0.02,0)</f>
        <v>1.66</v>
      </c>
      <c r="O874" s="82" t="n">
        <f aca="false">IF(L874&lt;&gt;"",L874+N874,"")</f>
        <v>84.66</v>
      </c>
      <c r="P874" s="53" t="n">
        <f aca="false">IF(O874&lt;&gt;"",O874*0.1,"")</f>
        <v>8.466</v>
      </c>
      <c r="Q874" s="83" t="n">
        <f aca="false">IF(O874&lt;&gt;"",O874+P874,"")</f>
        <v>93.126</v>
      </c>
      <c r="R874" s="84" t="s">
        <v>358</v>
      </c>
    </row>
    <row r="875" customFormat="false" ht="15" hidden="false" customHeight="true" outlineLevel="0" collapsed="false">
      <c r="A875" s="103" t="n">
        <v>56062</v>
      </c>
      <c r="B875" s="85" t="n">
        <v>46220</v>
      </c>
      <c r="C875" s="86" t="n">
        <v>16966</v>
      </c>
      <c r="D875" s="87" t="n">
        <v>50160</v>
      </c>
      <c r="E875" s="46" t="str">
        <f aca="false">IF(D875&lt;&gt;"",IFERROR(VLOOKUP(D875,PROVEEDORES!$A:$B,2,0),"!COD NO ENCONTRADO"),"")</f>
        <v>SUBASTAS CORUÑA S.L.</v>
      </c>
      <c r="F875" s="88" t="str">
        <f aca="false">IF(D875&lt;&gt;"",IFERROR(VLOOKUP(D875,PROVEEDORES!$A:$C,3,0),""),"")</f>
        <v>S</v>
      </c>
      <c r="G875" s="87" t="s">
        <v>270</v>
      </c>
      <c r="H875" s="46" t="str">
        <f aca="false">IF(G875&lt;&gt;"",IFERROR(VLOOKUP(G875,PRODUCTOS!$A:$B,2,0),"!COD NO ENCONTRADO"),"")</f>
        <v>PEON/ PION (ATP)</v>
      </c>
      <c r="I875" s="89" t="n">
        <v>4</v>
      </c>
      <c r="J875" s="90" t="n">
        <v>19</v>
      </c>
      <c r="K875" s="91" t="n">
        <v>2.2</v>
      </c>
      <c r="L875" s="80" t="n">
        <f aca="false">IF(AND(J875&lt;&gt;"",K875&lt;&gt;""),J875*K875,"")</f>
        <v>41.8</v>
      </c>
      <c r="M875" s="81" t="n">
        <f aca="false">IF(L875&lt;&gt;"",L875*1.1,"")</f>
        <v>45.98</v>
      </c>
      <c r="N875" s="47" t="n">
        <f aca="false">IF(F875="S",L875*0.02,0)</f>
        <v>0.836</v>
      </c>
      <c r="O875" s="82" t="n">
        <f aca="false">IF(L875&lt;&gt;"",L875+N875,"")</f>
        <v>42.636</v>
      </c>
      <c r="P875" s="47" t="n">
        <f aca="false">IF(O875&lt;&gt;"",O875*0.1,"")</f>
        <v>4.2636</v>
      </c>
      <c r="Q875" s="83" t="n">
        <f aca="false">IF(O875&lt;&gt;"",O875+P875,"")</f>
        <v>46.8996</v>
      </c>
      <c r="R875" s="84" t="s">
        <v>358</v>
      </c>
    </row>
    <row r="876" customFormat="false" ht="15" hidden="false" customHeight="true" outlineLevel="0" collapsed="false">
      <c r="A876" s="103" t="n">
        <v>56063</v>
      </c>
      <c r="B876" s="85" t="n">
        <v>46220</v>
      </c>
      <c r="C876" s="74" t="n">
        <v>19899</v>
      </c>
      <c r="D876" s="75" t="n">
        <v>50163</v>
      </c>
      <c r="E876" s="52" t="str">
        <f aca="false">IF(D876&lt;&gt;"",IFERROR(VLOOKUP(D876,PROVEEDORES!$A:$B,2,0),"!COD NO ENCONTRADO"),"")</f>
        <v>SUBASTAS RIVERA S.L.</v>
      </c>
      <c r="F876" s="76" t="str">
        <f aca="false">IF(D876&lt;&gt;"",IFERROR(VLOOKUP(D876,PROVEEDORES!$A:$C,3,0),""),"")</f>
        <v>S</v>
      </c>
      <c r="G876" s="75" t="s">
        <v>133</v>
      </c>
      <c r="H876" s="52" t="str">
        <f aca="false">IF(G876&lt;&gt;"",IFERROR(VLOOKUP(G876,PRODUCTOS!$A:$B,2,0),"!COD NO ENCONTRADO"),"")</f>
        <v>CINTAS/ PEZ CINTA (CBC)</v>
      </c>
      <c r="I876" s="77" t="n">
        <v>1</v>
      </c>
      <c r="J876" s="105" t="n">
        <v>2.5</v>
      </c>
      <c r="K876" s="125" t="n">
        <v>0.95</v>
      </c>
      <c r="L876" s="80" t="n">
        <f aca="false">IF(AND(J876&lt;&gt;"",K876&lt;&gt;""),J876*K876,"")</f>
        <v>2.375</v>
      </c>
      <c r="M876" s="81" t="n">
        <f aca="false">IF(L876&lt;&gt;"",L876*1.1,"")</f>
        <v>2.6125</v>
      </c>
      <c r="N876" s="53" t="n">
        <f aca="false">IF(F876="S",L876*0.02,0)</f>
        <v>0.0475</v>
      </c>
      <c r="O876" s="82" t="n">
        <f aca="false">IF(L876&lt;&gt;"",L876+N876,"")</f>
        <v>2.4225</v>
      </c>
      <c r="P876" s="53" t="n">
        <f aca="false">IF(O876&lt;&gt;"",O876*0.1,"")</f>
        <v>0.24225</v>
      </c>
      <c r="Q876" s="83" t="n">
        <f aca="false">IF(O876&lt;&gt;"",O876+P876,"")</f>
        <v>2.66475</v>
      </c>
      <c r="R876" s="84" t="s">
        <v>358</v>
      </c>
    </row>
    <row r="877" customFormat="false" ht="15" hidden="false" customHeight="true" outlineLevel="0" collapsed="false">
      <c r="A877" s="103" t="n">
        <v>56063</v>
      </c>
      <c r="B877" s="85" t="n">
        <v>46220</v>
      </c>
      <c r="C877" s="74" t="n">
        <v>19899</v>
      </c>
      <c r="D877" s="87" t="n">
        <v>50163</v>
      </c>
      <c r="E877" s="46" t="str">
        <f aca="false">IF(D877&lt;&gt;"",IFERROR(VLOOKUP(D877,PROVEEDORES!$A:$B,2,0),"!COD NO ENCONTRADO"),"")</f>
        <v>SUBASTAS RIVERA S.L.</v>
      </c>
      <c r="F877" s="88" t="str">
        <f aca="false">IF(D877&lt;&gt;"",IFERROR(VLOOKUP(D877,PROVEEDORES!$A:$C,3,0),""),"")</f>
        <v>S</v>
      </c>
      <c r="G877" s="87" t="s">
        <v>135</v>
      </c>
      <c r="H877" s="46" t="str">
        <f aca="false">IF(G877&lt;&gt;"",IFERROR(VLOOKUP(G877,PRODUCTOS!$A:$B,2,0),"!COD NO ENCONTRADO"),"")</f>
        <v>CONGRIO 10+  (COE)</v>
      </c>
      <c r="I877" s="89" t="n">
        <v>1</v>
      </c>
      <c r="J877" s="105" t="n">
        <v>13.5</v>
      </c>
      <c r="K877" s="125" t="n">
        <v>3</v>
      </c>
      <c r="L877" s="80" t="n">
        <f aca="false">IF(AND(J877&lt;&gt;"",K877&lt;&gt;""),J877*K877,"")</f>
        <v>40.5</v>
      </c>
      <c r="M877" s="81" t="n">
        <f aca="false">IF(L877&lt;&gt;"",L877*1.1,"")</f>
        <v>44.55</v>
      </c>
      <c r="N877" s="47" t="n">
        <f aca="false">IF(F877="S",L877*0.02,0)</f>
        <v>0.81</v>
      </c>
      <c r="O877" s="82" t="n">
        <f aca="false">IF(L877&lt;&gt;"",L877+N877,"")</f>
        <v>41.31</v>
      </c>
      <c r="P877" s="47" t="n">
        <f aca="false">IF(O877&lt;&gt;"",O877*0.1,"")</f>
        <v>4.131</v>
      </c>
      <c r="Q877" s="83" t="n">
        <f aca="false">IF(O877&lt;&gt;"",O877+P877,"")</f>
        <v>45.441</v>
      </c>
      <c r="R877" s="84" t="s">
        <v>358</v>
      </c>
    </row>
    <row r="878" customFormat="false" ht="15" hidden="false" customHeight="true" outlineLevel="0" collapsed="false">
      <c r="A878" s="103" t="n">
        <v>56063</v>
      </c>
      <c r="B878" s="73" t="n">
        <v>46220</v>
      </c>
      <c r="C878" s="74" t="n">
        <v>19899</v>
      </c>
      <c r="D878" s="75" t="n">
        <v>50163</v>
      </c>
      <c r="E878" s="52" t="str">
        <f aca="false">IF(D878&lt;&gt;"",IFERROR(VLOOKUP(D878,PROVEEDORES!$A:$B,2,0),"!COD NO ENCONTRADO"),"")</f>
        <v>SUBASTAS RIVERA S.L.</v>
      </c>
      <c r="F878" s="76" t="str">
        <f aca="false">IF(D878&lt;&gt;"",IFERROR(VLOOKUP(D878,PROVEEDORES!$A:$C,3,0),""),"")</f>
        <v>S</v>
      </c>
      <c r="G878" s="75" t="s">
        <v>103</v>
      </c>
      <c r="H878" s="52" t="str">
        <f aca="false">IF(G878&lt;&gt;"",IFERROR(VLOOKUP(G878,PRODUCTOS!$A:$B,2,0),"!COD NO ENCONTRADO"),"")</f>
        <v>CABRAS/ GALLINETA (BRF)</v>
      </c>
      <c r="I878" s="77" t="n">
        <v>2</v>
      </c>
      <c r="J878" s="105" t="n">
        <v>10.5</v>
      </c>
      <c r="K878" s="125" t="n">
        <v>10.7</v>
      </c>
      <c r="L878" s="80" t="n">
        <f aca="false">IF(AND(J878&lt;&gt;"",K878&lt;&gt;""),J878*K878,"")</f>
        <v>112.35</v>
      </c>
      <c r="M878" s="81" t="n">
        <f aca="false">IF(L878&lt;&gt;"",L878*1.1,"")</f>
        <v>123.585</v>
      </c>
      <c r="N878" s="53" t="n">
        <f aca="false">IF(F878="S",L878*0.02,0)</f>
        <v>2.247</v>
      </c>
      <c r="O878" s="82" t="n">
        <f aca="false">IF(L878&lt;&gt;"",L878+N878,"")</f>
        <v>114.597</v>
      </c>
      <c r="P878" s="53" t="n">
        <f aca="false">IF(O878&lt;&gt;"",O878*0.1,"")</f>
        <v>11.4597</v>
      </c>
      <c r="Q878" s="83" t="n">
        <f aca="false">IF(O878&lt;&gt;"",O878+P878,"")</f>
        <v>126.0567</v>
      </c>
      <c r="R878" s="84" t="s">
        <v>358</v>
      </c>
    </row>
    <row r="879" customFormat="false" ht="15" hidden="false" customHeight="true" outlineLevel="0" collapsed="false">
      <c r="A879" s="103" t="n">
        <v>56063</v>
      </c>
      <c r="B879" s="85" t="n">
        <v>46220</v>
      </c>
      <c r="C879" s="74" t="n">
        <v>19899</v>
      </c>
      <c r="D879" s="87" t="n">
        <v>50163</v>
      </c>
      <c r="E879" s="46" t="str">
        <f aca="false">IF(D879&lt;&gt;"",IFERROR(VLOOKUP(D879,PROVEEDORES!$A:$B,2,0),"!COD NO ENCONTRADO"),"")</f>
        <v>SUBASTAS RIVERA S.L.</v>
      </c>
      <c r="F879" s="88" t="str">
        <f aca="false">IF(D879&lt;&gt;"",IFERROR(VLOOKUP(D879,PROVEEDORES!$A:$C,3,0),""),"")</f>
        <v>S</v>
      </c>
      <c r="G879" s="87" t="s">
        <v>231</v>
      </c>
      <c r="H879" s="46" t="str">
        <f aca="false">IF(G879&lt;&gt;"",IFERROR(VLOOKUP(G879,PRODUCTOS!$A:$B,2,0),"!COD NO ENCONTRADO"),"")</f>
        <v>MERLUZA EUROPEA PINCHO COSTA 2,5+</v>
      </c>
      <c r="I879" s="89" t="n">
        <v>3</v>
      </c>
      <c r="J879" s="90" t="n">
        <v>12.9</v>
      </c>
      <c r="K879" s="91" t="n">
        <v>17.4</v>
      </c>
      <c r="L879" s="80" t="n">
        <f aca="false">IF(AND(J879&lt;&gt;"",K879&lt;&gt;""),J879*K879,"")</f>
        <v>224.46</v>
      </c>
      <c r="M879" s="81" t="n">
        <f aca="false">IF(L879&lt;&gt;"",L879*1.1,"")</f>
        <v>246.906</v>
      </c>
      <c r="N879" s="47" t="n">
        <f aca="false">IF(F879="S",L879*0.02,0)</f>
        <v>4.4892</v>
      </c>
      <c r="O879" s="82" t="n">
        <f aca="false">IF(L879&lt;&gt;"",L879+N879,"")</f>
        <v>228.9492</v>
      </c>
      <c r="P879" s="47" t="n">
        <f aca="false">IF(O879&lt;&gt;"",O879*0.1,"")</f>
        <v>22.89492</v>
      </c>
      <c r="Q879" s="83" t="n">
        <f aca="false">IF(O879&lt;&gt;"",O879+P879,"")</f>
        <v>251.84412</v>
      </c>
      <c r="R879" s="84" t="s">
        <v>358</v>
      </c>
    </row>
    <row r="880" customFormat="false" ht="15" hidden="false" customHeight="true" outlineLevel="0" collapsed="false">
      <c r="A880" s="103" t="n">
        <v>56063</v>
      </c>
      <c r="B880" s="73" t="n">
        <v>46220</v>
      </c>
      <c r="C880" s="74" t="n">
        <v>19899</v>
      </c>
      <c r="D880" s="75" t="n">
        <v>50163</v>
      </c>
      <c r="E880" s="52" t="str">
        <f aca="false">IF(D880&lt;&gt;"",IFERROR(VLOOKUP(D880,PROVEEDORES!$A:$B,2,0),"!COD NO ENCONTRADO"),"")</f>
        <v>SUBASTAS RIVERA S.L.</v>
      </c>
      <c r="F880" s="76" t="str">
        <f aca="false">IF(D880&lt;&gt;"",IFERROR(VLOOKUP(D880,PROVEEDORES!$A:$C,3,0),""),"")</f>
        <v>S</v>
      </c>
      <c r="G880" s="75" t="s">
        <v>231</v>
      </c>
      <c r="H880" s="52" t="str">
        <f aca="false">IF(G880&lt;&gt;"",IFERROR(VLOOKUP(G880,PRODUCTOS!$A:$B,2,0),"!COD NO ENCONTRADO"),"")</f>
        <v>MERLUZA EUROPEA PINCHO COSTA 2,5+</v>
      </c>
      <c r="I880" s="77" t="n">
        <v>1</v>
      </c>
      <c r="J880" s="78" t="n">
        <v>7</v>
      </c>
      <c r="K880" s="79" t="n">
        <v>17.4</v>
      </c>
      <c r="L880" s="80" t="n">
        <f aca="false">IF(AND(J880&lt;&gt;"",K880&lt;&gt;""),J880*K880,"")</f>
        <v>121.8</v>
      </c>
      <c r="M880" s="81" t="n">
        <f aca="false">IF(L880&lt;&gt;"",L880*1.1,"")</f>
        <v>133.98</v>
      </c>
      <c r="N880" s="53" t="n">
        <f aca="false">IF(F880="S",L880*0.02,0)</f>
        <v>2.436</v>
      </c>
      <c r="O880" s="82" t="n">
        <f aca="false">IF(L880&lt;&gt;"",L880+N880,"")</f>
        <v>124.236</v>
      </c>
      <c r="P880" s="53" t="n">
        <f aca="false">IF(O880&lt;&gt;"",O880*0.1,"")</f>
        <v>12.4236</v>
      </c>
      <c r="Q880" s="83" t="n">
        <f aca="false">IF(O880&lt;&gt;"",O880+P880,"")</f>
        <v>136.6596</v>
      </c>
      <c r="R880" s="84" t="s">
        <v>358</v>
      </c>
    </row>
    <row r="881" customFormat="false" ht="15" hidden="false" customHeight="true" outlineLevel="0" collapsed="false">
      <c r="A881" s="103" t="n">
        <v>56064</v>
      </c>
      <c r="B881" s="85" t="n">
        <v>46220</v>
      </c>
      <c r="C881" s="86"/>
      <c r="D881" s="87" t="n">
        <v>50531</v>
      </c>
      <c r="E881" s="46" t="str">
        <f aca="false">IF(D881&lt;&gt;"",IFERROR(VLOOKUP(D881,PROVEEDORES!$A:$B,2,0),"!COD NO ENCONTRADO"),"")</f>
        <v>SANCHEZ LOPEZ MIGUEL</v>
      </c>
      <c r="F881" s="88" t="str">
        <f aca="false">IF(D881&lt;&gt;"",IFERROR(VLOOKUP(D881,PROVEEDORES!$A:$C,3,0),""),"")</f>
        <v>N</v>
      </c>
      <c r="G881" s="87" t="s">
        <v>324</v>
      </c>
      <c r="H881" s="46" t="str">
        <f aca="false">IF(G881&lt;&gt;"",IFERROR(VLOOKUP(G881,PRODUCTOS!$A:$B,2,0),"!COD NO ENCONTRADO"),"")</f>
        <v>SARDINA    (PIL)</v>
      </c>
      <c r="I881" s="89" t="n">
        <v>1</v>
      </c>
      <c r="J881" s="90" t="n">
        <v>48</v>
      </c>
      <c r="K881" s="91" t="n">
        <v>3.4</v>
      </c>
      <c r="L881" s="80" t="n">
        <f aca="false">IF(AND(J881&lt;&gt;"",K881&lt;&gt;""),J881*K881,"")</f>
        <v>163.2</v>
      </c>
      <c r="M881" s="81" t="n">
        <f aca="false">IF(L881&lt;&gt;"",L881*1.1,"")</f>
        <v>179.52</v>
      </c>
      <c r="N881" s="47" t="n">
        <f aca="false">IF(F881="S",L881*0.02,0)</f>
        <v>0</v>
      </c>
      <c r="O881" s="82" t="n">
        <f aca="false">IF(L881&lt;&gt;"",L881+N881,"")</f>
        <v>163.2</v>
      </c>
      <c r="P881" s="47" t="n">
        <f aca="false">IF(O881&lt;&gt;"",O881*0.1,"")</f>
        <v>16.32</v>
      </c>
      <c r="Q881" s="83" t="n">
        <f aca="false">IF(O881&lt;&gt;"",O881+P881,"")</f>
        <v>179.52</v>
      </c>
      <c r="R881" s="84" t="s">
        <v>365</v>
      </c>
    </row>
    <row r="882" customFormat="false" ht="15" hidden="false" customHeight="true" outlineLevel="0" collapsed="false">
      <c r="A882" s="103" t="n">
        <v>56065</v>
      </c>
      <c r="B882" s="73" t="n">
        <v>46220</v>
      </c>
      <c r="C882" s="74" t="s">
        <v>474</v>
      </c>
      <c r="D882" s="75" t="n">
        <v>50218</v>
      </c>
      <c r="E882" s="52" t="str">
        <f aca="false">IF(D882&lt;&gt;"",IFERROR(VLOOKUP(D882,PROVEEDORES!$A:$B,2,0),"!COD NO ENCONTRADO"),"")</f>
        <v>ACERGA </v>
      </c>
      <c r="F882" s="76" t="str">
        <f aca="false">IF(D882&lt;&gt;"",IFERROR(VLOOKUP(D882,PROVEEDORES!$A:$C,3,0),""),"")</f>
        <v>S</v>
      </c>
      <c r="G882" s="75" t="s">
        <v>93</v>
      </c>
      <c r="H882" s="52" t="str">
        <f aca="false">IF(G882&lt;&gt;"",IFERROR(VLOOKUP(G882,PRODUCTOS!$A:$B,2,0),"!COD NO ENCONTRADO"),"")</f>
        <v>BOQUERON/ BOCARTE/ ANCHOA (ANE)</v>
      </c>
      <c r="I882" s="77" t="n">
        <v>8</v>
      </c>
      <c r="J882" s="78" t="n">
        <v>58</v>
      </c>
      <c r="K882" s="79" t="n">
        <v>1.3</v>
      </c>
      <c r="L882" s="80" t="n">
        <f aca="false">IF(AND(J882&lt;&gt;"",K882&lt;&gt;""),J882*K882,"")</f>
        <v>75.4</v>
      </c>
      <c r="M882" s="81" t="n">
        <f aca="false">IF(L882&lt;&gt;"",L882*1.1,"")</f>
        <v>82.94</v>
      </c>
      <c r="N882" s="53" t="n">
        <f aca="false">IF(F882="S",L882*0.02,0)</f>
        <v>1.508</v>
      </c>
      <c r="O882" s="82" t="n">
        <f aca="false">IF(L882&lt;&gt;"",L882+N882,"")</f>
        <v>76.908</v>
      </c>
      <c r="P882" s="53" t="n">
        <f aca="false">IF(O882&lt;&gt;"",O882*0.1,"")</f>
        <v>7.6908</v>
      </c>
      <c r="Q882" s="83" t="n">
        <f aca="false">IF(O882&lt;&gt;"",O882+P882,"")</f>
        <v>84.5988</v>
      </c>
      <c r="R882" s="84" t="s">
        <v>365</v>
      </c>
    </row>
    <row r="883" customFormat="false" ht="15" hidden="false" customHeight="true" outlineLevel="0" collapsed="false">
      <c r="A883" s="103" t="n">
        <v>56066</v>
      </c>
      <c r="B883" s="85" t="n">
        <v>46221</v>
      </c>
      <c r="C883" s="86" t="s">
        <v>475</v>
      </c>
      <c r="D883" s="87" t="n">
        <v>50232</v>
      </c>
      <c r="E883" s="46" t="str">
        <f aca="false">IF(D883&lt;&gt;"",IFERROR(VLOOKUP(D883,PROVEEDORES!$A:$B,2,0),"!COD NO ENCONTRADO"),"")</f>
        <v>XESTION NOVA LONXA RIVEIRA S.L.</v>
      </c>
      <c r="F883" s="88" t="str">
        <f aca="false">IF(D883&lt;&gt;"",IFERROR(VLOOKUP(D883,PROVEEDORES!$A:$C,3,0),""),"")</f>
        <v>S</v>
      </c>
      <c r="G883" s="87" t="s">
        <v>83</v>
      </c>
      <c r="H883" s="46" t="str">
        <f aca="false">IF(G883&lt;&gt;"",IFERROR(VLOOKUP(G883,PRODUCTOS!$A:$B,2,0),"!COD NO ENCONTRADO"),"")</f>
        <v>BESUGO (BSR)</v>
      </c>
      <c r="I883" s="89" t="n">
        <v>3</v>
      </c>
      <c r="J883" s="90" t="n">
        <v>5</v>
      </c>
      <c r="K883" s="91" t="n">
        <v>27</v>
      </c>
      <c r="L883" s="80" t="n">
        <f aca="false">IF(AND(J883&lt;&gt;"",K883&lt;&gt;""),J883*K883,"")</f>
        <v>135</v>
      </c>
      <c r="M883" s="81" t="n">
        <f aca="false">IF(L883&lt;&gt;"",L883*1.1,"")</f>
        <v>148.5</v>
      </c>
      <c r="N883" s="47" t="n">
        <f aca="false">IF(F883="S",L883*0.02,0)</f>
        <v>2.7</v>
      </c>
      <c r="O883" s="82" t="n">
        <f aca="false">IF(L883&lt;&gt;"",L883+N883,"")</f>
        <v>137.7</v>
      </c>
      <c r="P883" s="47" t="n">
        <f aca="false">IF(O883&lt;&gt;"",O883*0.1,"")</f>
        <v>13.77</v>
      </c>
      <c r="Q883" s="83" t="n">
        <f aca="false">IF(O883&lt;&gt;"",O883+P883,"")</f>
        <v>151.47</v>
      </c>
      <c r="R883" s="84" t="s">
        <v>358</v>
      </c>
    </row>
    <row r="884" customFormat="false" ht="15" hidden="false" customHeight="true" outlineLevel="0" collapsed="false">
      <c r="A884" s="103" t="n">
        <v>56066</v>
      </c>
      <c r="B884" s="85" t="n">
        <v>46221</v>
      </c>
      <c r="C884" s="74" t="s">
        <v>475</v>
      </c>
      <c r="D884" s="75" t="n">
        <v>50232</v>
      </c>
      <c r="E884" s="52" t="str">
        <f aca="false">IF(D884&lt;&gt;"",IFERROR(VLOOKUP(D884,PROVEEDORES!$A:$B,2,0),"!COD NO ENCONTRADO"),"")</f>
        <v>XESTION NOVA LONXA RIVEIRA S.L.</v>
      </c>
      <c r="F884" s="76" t="str">
        <f aca="false">IF(D884&lt;&gt;"",IFERROR(VLOOKUP(D884,PROVEEDORES!$A:$C,3,0),""),"")</f>
        <v>S</v>
      </c>
      <c r="G884" s="75" t="s">
        <v>326</v>
      </c>
      <c r="H884" s="52" t="str">
        <f aca="false">IF(G884&lt;&gt;"",IFERROR(VLOOKUP(G884,PRODUCTOS!$A:$B,2,0),"!COD NO ENCONTRADO"),"")</f>
        <v>SARGO RIA (SWA)</v>
      </c>
      <c r="I884" s="77" t="n">
        <v>4</v>
      </c>
      <c r="J884" s="78" t="n">
        <v>5.7</v>
      </c>
      <c r="K884" s="79" t="n">
        <v>12</v>
      </c>
      <c r="L884" s="80" t="n">
        <f aca="false">IF(AND(J884&lt;&gt;"",K884&lt;&gt;""),J884*K884,"")</f>
        <v>68.4</v>
      </c>
      <c r="M884" s="81" t="n">
        <f aca="false">IF(L884&lt;&gt;"",L884*1.1,"")</f>
        <v>75.24</v>
      </c>
      <c r="N884" s="53" t="n">
        <f aca="false">IF(F884="S",L884*0.02,0)</f>
        <v>1.368</v>
      </c>
      <c r="O884" s="82" t="n">
        <f aca="false">IF(L884&lt;&gt;"",L884+N884,"")</f>
        <v>69.768</v>
      </c>
      <c r="P884" s="53" t="n">
        <f aca="false">IF(O884&lt;&gt;"",O884*0.1,"")</f>
        <v>6.9768</v>
      </c>
      <c r="Q884" s="83" t="n">
        <f aca="false">IF(O884&lt;&gt;"",O884+P884,"")</f>
        <v>76.7448</v>
      </c>
      <c r="R884" s="84" t="s">
        <v>358</v>
      </c>
    </row>
    <row r="885" customFormat="false" ht="15" hidden="false" customHeight="true" outlineLevel="0" collapsed="false">
      <c r="A885" s="103" t="n">
        <v>56066</v>
      </c>
      <c r="B885" s="85" t="n">
        <v>46221</v>
      </c>
      <c r="C885" s="86" t="s">
        <v>475</v>
      </c>
      <c r="D885" s="87" t="n">
        <v>50232</v>
      </c>
      <c r="E885" s="46" t="str">
        <f aca="false">IF(D885&lt;&gt;"",IFERROR(VLOOKUP(D885,PROVEEDORES!$A:$B,2,0),"!COD NO ENCONTRADO"),"")</f>
        <v>XESTION NOVA LONXA RIVEIRA S.L.</v>
      </c>
      <c r="F885" s="88" t="str">
        <f aca="false">IF(D885&lt;&gt;"",IFERROR(VLOOKUP(D885,PROVEEDORES!$A:$C,3,0),""),"")</f>
        <v>S</v>
      </c>
      <c r="G885" s="87" t="s">
        <v>179</v>
      </c>
      <c r="H885" s="46" t="str">
        <f aca="false">IF(G885&lt;&gt;"",IFERROR(VLOOKUP(G885,PRODUCTOS!$A:$B,2,0),"!COD NO ENCONTRADO"),"")</f>
        <v>LIRIO/ BACALADILLA/ PERLA (WHB)</v>
      </c>
      <c r="I885" s="89" t="n">
        <v>34</v>
      </c>
      <c r="J885" s="90" t="n">
        <v>506</v>
      </c>
      <c r="K885" s="125" t="n">
        <v>1.5</v>
      </c>
      <c r="L885" s="80" t="n">
        <f aca="false">IF(AND(J885&lt;&gt;"",K885&lt;&gt;""),J885*K885,"")</f>
        <v>759</v>
      </c>
      <c r="M885" s="81" t="n">
        <f aca="false">IF(L885&lt;&gt;"",L885*1.1,"")</f>
        <v>834.9</v>
      </c>
      <c r="N885" s="47" t="n">
        <f aca="false">IF(F885="S",L885*0.02,0)</f>
        <v>15.18</v>
      </c>
      <c r="O885" s="82" t="n">
        <f aca="false">IF(L885&lt;&gt;"",L885+N885,"")</f>
        <v>774.18</v>
      </c>
      <c r="P885" s="47" t="n">
        <f aca="false">IF(O885&lt;&gt;"",O885*0.1,"")</f>
        <v>77.418</v>
      </c>
      <c r="Q885" s="83" t="n">
        <f aca="false">IF(O885&lt;&gt;"",O885+P885,"")</f>
        <v>851.598</v>
      </c>
      <c r="R885" s="84" t="s">
        <v>358</v>
      </c>
    </row>
    <row r="886" customFormat="false" ht="15" hidden="false" customHeight="true" outlineLevel="0" collapsed="false">
      <c r="A886" s="103" t="n">
        <v>56067</v>
      </c>
      <c r="B886" s="73" t="n">
        <v>46221</v>
      </c>
      <c r="C886" s="74" t="n">
        <v>17123</v>
      </c>
      <c r="D886" s="75" t="n">
        <v>50160</v>
      </c>
      <c r="E886" s="52" t="str">
        <f aca="false">IF(D886&lt;&gt;"",IFERROR(VLOOKUP(D886,PROVEEDORES!$A:$B,2,0),"!COD NO ENCONTRADO"),"")</f>
        <v>SUBASTAS CORUÑA S.L.</v>
      </c>
      <c r="F886" s="76" t="str">
        <f aca="false">IF(D886&lt;&gt;"",IFERROR(VLOOKUP(D886,PROVEEDORES!$A:$C,3,0),""),"")</f>
        <v>S</v>
      </c>
      <c r="G886" s="75" t="s">
        <v>179</v>
      </c>
      <c r="H886" s="52" t="str">
        <f aca="false">IF(G886&lt;&gt;"",IFERROR(VLOOKUP(G886,PRODUCTOS!$A:$B,2,0),"!COD NO ENCONTRADO"),"")</f>
        <v>LIRIO/ BACALADILLA/ PERLA (WHB)</v>
      </c>
      <c r="I886" s="77" t="n">
        <v>15</v>
      </c>
      <c r="J886" s="105" t="n">
        <v>224.5</v>
      </c>
      <c r="K886" s="125" t="n">
        <v>1.47</v>
      </c>
      <c r="L886" s="80" t="n">
        <f aca="false">IF(AND(J886&lt;&gt;"",K886&lt;&gt;""),J886*K886,"")</f>
        <v>330.015</v>
      </c>
      <c r="M886" s="81" t="n">
        <f aca="false">IF(L886&lt;&gt;"",L886*1.1,"")</f>
        <v>363.0165</v>
      </c>
      <c r="N886" s="53" t="n">
        <f aca="false">IF(F886="S",L886*0.02,0)</f>
        <v>6.6003</v>
      </c>
      <c r="O886" s="82" t="n">
        <f aca="false">IF(L886&lt;&gt;"",L886+N886,"")</f>
        <v>336.6153</v>
      </c>
      <c r="P886" s="53" t="n">
        <f aca="false">IF(O886&lt;&gt;"",O886*0.1,"")</f>
        <v>33.66153</v>
      </c>
      <c r="Q886" s="83" t="n">
        <f aca="false">IF(O886&lt;&gt;"",O886+P886,"")</f>
        <v>370.27683</v>
      </c>
      <c r="R886" s="84" t="s">
        <v>358</v>
      </c>
    </row>
    <row r="887" customFormat="false" ht="15" hidden="false" customHeight="true" outlineLevel="0" collapsed="false">
      <c r="A887" s="103" t="n">
        <v>56068</v>
      </c>
      <c r="B887" s="85" t="n">
        <v>46221</v>
      </c>
      <c r="C887" s="86" t="s">
        <v>476</v>
      </c>
      <c r="D887" s="87" t="n">
        <v>50048</v>
      </c>
      <c r="E887" s="46" t="str">
        <f aca="false">IF(D887&lt;&gt;"",IFERROR(VLOOKUP(D887,PROVEEDORES!$A:$B,2,0),"!COD NO ENCONTRADO"),"")</f>
        <v>JOSE LUIS CORREA KESSLER S.L.</v>
      </c>
      <c r="F887" s="88" t="str">
        <f aca="false">IF(D887&lt;&gt;"",IFERROR(VLOOKUP(D887,PROVEEDORES!$A:$C,3,0),""),"")</f>
        <v>N</v>
      </c>
      <c r="G887" s="87" t="s">
        <v>179</v>
      </c>
      <c r="H887" s="46" t="str">
        <f aca="false">IF(G887&lt;&gt;"",IFERROR(VLOOKUP(G887,PRODUCTOS!$A:$B,2,0),"!COD NO ENCONTRADO"),"")</f>
        <v>LIRIO/ BACALADILLA/ PERLA (WHB)</v>
      </c>
      <c r="I887" s="89" t="n">
        <v>6</v>
      </c>
      <c r="J887" s="90" t="n">
        <v>36</v>
      </c>
      <c r="K887" s="125" t="n">
        <v>1.75</v>
      </c>
      <c r="L887" s="80" t="n">
        <f aca="false">IF(AND(J887&lt;&gt;"",K887&lt;&gt;""),J887*K887,"")</f>
        <v>63</v>
      </c>
      <c r="M887" s="81" t="n">
        <f aca="false">IF(L887&lt;&gt;"",L887*1.1,"")</f>
        <v>69.3</v>
      </c>
      <c r="N887" s="47" t="n">
        <f aca="false">IF(F887="S",L887*0.02,0)</f>
        <v>0</v>
      </c>
      <c r="O887" s="82" t="n">
        <f aca="false">IF(L887&lt;&gt;"",L887+N887,"")</f>
        <v>63</v>
      </c>
      <c r="P887" s="47" t="n">
        <f aca="false">IF(O887&lt;&gt;"",O887*0.1,"")</f>
        <v>6.3</v>
      </c>
      <c r="Q887" s="83" t="n">
        <f aca="false">IF(O887&lt;&gt;"",O887+P887,"")</f>
        <v>69.3</v>
      </c>
      <c r="R887" s="84" t="s">
        <v>365</v>
      </c>
    </row>
    <row r="888" customFormat="false" ht="15" hidden="false" customHeight="true" outlineLevel="0" collapsed="false">
      <c r="A888" s="103" t="n">
        <v>56069</v>
      </c>
      <c r="B888" s="73" t="n">
        <v>46221</v>
      </c>
      <c r="C888" s="74" t="n">
        <v>6234</v>
      </c>
      <c r="D888" s="75" t="n">
        <v>50019</v>
      </c>
      <c r="E888" s="52" t="str">
        <f aca="false">IF(D888&lt;&gt;"",IFERROR(VLOOKUP(D888,PROVEEDORES!$A:$B,2,0),"!COD NO ENCONTRADO"),"")</f>
        <v>ANGELITA VILLAR</v>
      </c>
      <c r="F888" s="76" t="str">
        <f aca="false">IF(D888&lt;&gt;"",IFERROR(VLOOKUP(D888,PROVEEDORES!$A:$C,3,0),""),"")</f>
        <v>S</v>
      </c>
      <c r="G888" s="75" t="s">
        <v>233</v>
      </c>
      <c r="H888" s="52" t="str">
        <f aca="false">IF(G888&lt;&gt;"",IFERROR(VLOOKUP(G888,PRODUCTOS!$A:$B,2,0),"!COD NO ENCONTRADO"),"")</f>
        <v>MERLUZA EUROPEA VOLANTA COSTA</v>
      </c>
      <c r="I888" s="77" t="n">
        <v>1</v>
      </c>
      <c r="J888" s="78" t="n">
        <v>15</v>
      </c>
      <c r="K888" s="79" t="n">
        <v>6.8</v>
      </c>
      <c r="L888" s="80" t="n">
        <f aca="false">IF(AND(J888&lt;&gt;"",K888&lt;&gt;""),J888*K888,"")</f>
        <v>102</v>
      </c>
      <c r="M888" s="81" t="n">
        <f aca="false">IF(L888&lt;&gt;"",L888*1.1,"")</f>
        <v>112.2</v>
      </c>
      <c r="N888" s="53" t="n">
        <f aca="false">IF(F888="S",L888*0.02,0)</f>
        <v>2.04</v>
      </c>
      <c r="O888" s="82" t="n">
        <f aca="false">IF(L888&lt;&gt;"",L888+N888,"")</f>
        <v>104.04</v>
      </c>
      <c r="P888" s="53" t="n">
        <f aca="false">IF(O888&lt;&gt;"",O888*0.1,"")</f>
        <v>10.404</v>
      </c>
      <c r="Q888" s="83" t="n">
        <f aca="false">IF(O888&lt;&gt;"",O888+P888,"")</f>
        <v>114.444</v>
      </c>
      <c r="R888" s="84" t="s">
        <v>358</v>
      </c>
    </row>
    <row r="889" customFormat="false" ht="15" hidden="false" customHeight="true" outlineLevel="0" collapsed="false">
      <c r="A889" s="103" t="n">
        <v>56070</v>
      </c>
      <c r="B889" s="73" t="n">
        <v>46221</v>
      </c>
      <c r="C889" s="86" t="n">
        <v>33678</v>
      </c>
      <c r="D889" s="87" t="n">
        <v>50106</v>
      </c>
      <c r="E889" s="46" t="str">
        <f aca="false">IF(D889&lt;&gt;"",IFERROR(VLOOKUP(D889,PROVEEDORES!$A:$B,2,0),"!COD NO ENCONTRADO"),"")</f>
        <v>SONIA VENTAS S.L</v>
      </c>
      <c r="F889" s="88" t="str">
        <f aca="false">IF(D889&lt;&gt;"",IFERROR(VLOOKUP(D889,PROVEEDORES!$A:$C,3,0),""),"")</f>
        <v>S</v>
      </c>
      <c r="G889" s="87" t="s">
        <v>83</v>
      </c>
      <c r="H889" s="46" t="str">
        <f aca="false">IF(G889&lt;&gt;"",IFERROR(VLOOKUP(G889,PRODUCTOS!$A:$B,2,0),"!COD NO ENCONTRADO"),"")</f>
        <v>BESUGO (BSR)</v>
      </c>
      <c r="I889" s="89" t="n">
        <v>7</v>
      </c>
      <c r="J889" s="90" t="n">
        <v>17.1</v>
      </c>
      <c r="K889" s="91" t="n">
        <v>29.6</v>
      </c>
      <c r="L889" s="80" t="n">
        <f aca="false">IF(AND(J889&lt;&gt;"",K889&lt;&gt;""),J889*K889,"")</f>
        <v>506.16</v>
      </c>
      <c r="M889" s="81" t="n">
        <f aca="false">IF(L889&lt;&gt;"",L889*1.1,"")</f>
        <v>556.776</v>
      </c>
      <c r="N889" s="47" t="n">
        <f aca="false">IF(F889="S",L889*0.02,0)</f>
        <v>10.1232</v>
      </c>
      <c r="O889" s="82" t="n">
        <f aca="false">IF(L889&lt;&gt;"",L889+N889,"")</f>
        <v>516.2832</v>
      </c>
      <c r="P889" s="47" t="n">
        <f aca="false">IF(O889&lt;&gt;"",O889*0.1,"")</f>
        <v>51.62832</v>
      </c>
      <c r="Q889" s="83" t="n">
        <f aca="false">IF(O889&lt;&gt;"",O889+P889,"")</f>
        <v>567.91152</v>
      </c>
      <c r="R889" s="84" t="s">
        <v>358</v>
      </c>
    </row>
    <row r="890" customFormat="false" ht="15" hidden="false" customHeight="true" outlineLevel="0" collapsed="false">
      <c r="A890" s="103" t="n">
        <v>56070</v>
      </c>
      <c r="B890" s="73" t="n">
        <v>46221</v>
      </c>
      <c r="C890" s="86" t="n">
        <v>33678</v>
      </c>
      <c r="D890" s="87" t="n">
        <v>50106</v>
      </c>
      <c r="E890" s="52" t="str">
        <f aca="false">IF(D890&lt;&gt;"",IFERROR(VLOOKUP(D890,PROVEEDORES!$A:$B,2,0),"!COD NO ENCONTRADO"),"")</f>
        <v>SONIA VENTAS S.L</v>
      </c>
      <c r="F890" s="76" t="str">
        <f aca="false">IF(D890&lt;&gt;"",IFERROR(VLOOKUP(D890,PROVEEDORES!$A:$C,3,0),""),"")</f>
        <v>S</v>
      </c>
      <c r="G890" s="75" t="s">
        <v>221</v>
      </c>
      <c r="H890" s="52" t="str">
        <f aca="false">IF(G890&lt;&gt;"",IFERROR(VLOOKUP(G890,PRODUCTOS!$A:$B,2,0),"!COD NO ENCONTRADO"),"")</f>
        <v>MERLUZA EUROPEA PINCHO COSTA 800</v>
      </c>
      <c r="I890" s="89" t="n">
        <v>1</v>
      </c>
      <c r="J890" s="105" t="n">
        <v>15.25</v>
      </c>
      <c r="K890" s="125" t="n">
        <v>5.5</v>
      </c>
      <c r="L890" s="80" t="n">
        <f aca="false">IF(AND(J890&lt;&gt;"",K890&lt;&gt;""),J890*K890,"")</f>
        <v>83.875</v>
      </c>
      <c r="M890" s="81" t="n">
        <f aca="false">IF(L890&lt;&gt;"",L890*1.1,"")</f>
        <v>92.2625</v>
      </c>
      <c r="N890" s="53" t="n">
        <f aca="false">IF(F890="S",L890*0.02,0)</f>
        <v>1.6775</v>
      </c>
      <c r="O890" s="82" t="n">
        <f aca="false">IF(L890&lt;&gt;"",L890+N890,"")</f>
        <v>85.5525</v>
      </c>
      <c r="P890" s="53" t="n">
        <f aca="false">IF(O890&lt;&gt;"",O890*0.1,"")</f>
        <v>8.55525</v>
      </c>
      <c r="Q890" s="83" t="n">
        <f aca="false">IF(O890&lt;&gt;"",O890+P890,"")</f>
        <v>94.10775</v>
      </c>
      <c r="R890" s="84" t="s">
        <v>358</v>
      </c>
    </row>
    <row r="891" customFormat="false" ht="15" hidden="false" customHeight="true" outlineLevel="0" collapsed="false">
      <c r="A891" s="103" t="n">
        <v>56070</v>
      </c>
      <c r="B891" s="73" t="n">
        <v>46221</v>
      </c>
      <c r="C891" s="86" t="n">
        <v>33678</v>
      </c>
      <c r="D891" s="87" t="n">
        <v>50106</v>
      </c>
      <c r="E891" s="46" t="str">
        <f aca="false">IF(D891&lt;&gt;"",IFERROR(VLOOKUP(D891,PROVEEDORES!$A:$B,2,0),"!COD NO ENCONTRADO"),"")</f>
        <v>SONIA VENTAS S.L</v>
      </c>
      <c r="F891" s="88" t="str">
        <f aca="false">IF(D891&lt;&gt;"",IFERROR(VLOOKUP(D891,PROVEEDORES!$A:$C,3,0),""),"")</f>
        <v>S</v>
      </c>
      <c r="G891" s="87" t="s">
        <v>221</v>
      </c>
      <c r="H891" s="46" t="str">
        <f aca="false">IF(G891&lt;&gt;"",IFERROR(VLOOKUP(G891,PRODUCTOS!$A:$B,2,0),"!COD NO ENCONTRADO"),"")</f>
        <v>MERLUZA EUROPEA PINCHO COSTA 800</v>
      </c>
      <c r="I891" s="77" t="n">
        <v>1</v>
      </c>
      <c r="J891" s="105" t="n">
        <v>14.5</v>
      </c>
      <c r="K891" s="125" t="n">
        <v>5.5</v>
      </c>
      <c r="L891" s="80" t="n">
        <f aca="false">IF(AND(J891&lt;&gt;"",K891&lt;&gt;""),J891*K891,"")</f>
        <v>79.75</v>
      </c>
      <c r="M891" s="81" t="n">
        <f aca="false">IF(L891&lt;&gt;"",L891*1.1,"")</f>
        <v>87.725</v>
      </c>
      <c r="N891" s="47" t="n">
        <f aca="false">IF(F891="S",L891*0.02,0)</f>
        <v>1.595</v>
      </c>
      <c r="O891" s="82" t="n">
        <f aca="false">IF(L891&lt;&gt;"",L891+N891,"")</f>
        <v>81.345</v>
      </c>
      <c r="P891" s="47" t="n">
        <f aca="false">IF(O891&lt;&gt;"",O891*0.1,"")</f>
        <v>8.1345</v>
      </c>
      <c r="Q891" s="83" t="n">
        <f aca="false">IF(O891&lt;&gt;"",O891+P891,"")</f>
        <v>89.4795</v>
      </c>
      <c r="R891" s="84" t="s">
        <v>358</v>
      </c>
    </row>
    <row r="892" customFormat="false" ht="15" hidden="false" customHeight="true" outlineLevel="0" collapsed="false">
      <c r="A892" s="103" t="n">
        <v>56070</v>
      </c>
      <c r="B892" s="73" t="n">
        <v>46221</v>
      </c>
      <c r="C892" s="86" t="n">
        <v>33678</v>
      </c>
      <c r="D892" s="87" t="n">
        <v>50106</v>
      </c>
      <c r="E892" s="52" t="str">
        <f aca="false">IF(D892&lt;&gt;"",IFERROR(VLOOKUP(D892,PROVEEDORES!$A:$B,2,0),"!COD NO ENCONTRADO"),"")</f>
        <v>SONIA VENTAS S.L</v>
      </c>
      <c r="F892" s="76" t="str">
        <f aca="false">IF(D892&lt;&gt;"",IFERROR(VLOOKUP(D892,PROVEEDORES!$A:$C,3,0),""),"")</f>
        <v>S</v>
      </c>
      <c r="G892" s="75" t="s">
        <v>221</v>
      </c>
      <c r="H892" s="52" t="str">
        <f aca="false">IF(G892&lt;&gt;"",IFERROR(VLOOKUP(G892,PRODUCTOS!$A:$B,2,0),"!COD NO ENCONTRADO"),"")</f>
        <v>MERLUZA EUROPEA PINCHO COSTA 800</v>
      </c>
      <c r="I892" s="77" t="n">
        <v>3</v>
      </c>
      <c r="J892" s="105" t="n">
        <v>34</v>
      </c>
      <c r="K892" s="125" t="n">
        <v>5.5</v>
      </c>
      <c r="L892" s="80" t="n">
        <f aca="false">IF(AND(J892&lt;&gt;"",K892&lt;&gt;""),J892*K892,"")</f>
        <v>187</v>
      </c>
      <c r="M892" s="81" t="n">
        <f aca="false">IF(L892&lt;&gt;"",L892*1.1,"")</f>
        <v>205.7</v>
      </c>
      <c r="N892" s="53" t="n">
        <f aca="false">IF(F892="S",L892*0.02,0)</f>
        <v>3.74</v>
      </c>
      <c r="O892" s="82" t="n">
        <f aca="false">IF(L892&lt;&gt;"",L892+N892,"")</f>
        <v>190.74</v>
      </c>
      <c r="P892" s="53" t="n">
        <f aca="false">IF(O892&lt;&gt;"",O892*0.1,"")</f>
        <v>19.074</v>
      </c>
      <c r="Q892" s="83" t="n">
        <f aca="false">IF(O892&lt;&gt;"",O892+P892,"")</f>
        <v>209.814</v>
      </c>
      <c r="R892" s="84" t="s">
        <v>358</v>
      </c>
    </row>
    <row r="893" customFormat="false" ht="15" hidden="false" customHeight="true" outlineLevel="0" collapsed="false">
      <c r="A893" s="103" t="n">
        <v>56070</v>
      </c>
      <c r="B893" s="73" t="n">
        <v>46221</v>
      </c>
      <c r="C893" s="86" t="n">
        <v>33678</v>
      </c>
      <c r="D893" s="87" t="n">
        <v>50106</v>
      </c>
      <c r="E893" s="46" t="str">
        <f aca="false">IF(D893&lt;&gt;"",IFERROR(VLOOKUP(D893,PROVEEDORES!$A:$B,2,0),"!COD NO ENCONTRADO"),"")</f>
        <v>SONIA VENTAS S.L</v>
      </c>
      <c r="F893" s="88" t="str">
        <f aca="false">IF(D893&lt;&gt;"",IFERROR(VLOOKUP(D893,PROVEEDORES!$A:$C,3,0),""),"")</f>
        <v>S</v>
      </c>
      <c r="G893" s="87" t="s">
        <v>223</v>
      </c>
      <c r="H893" s="46" t="str">
        <f aca="false">IF(G893&lt;&gt;"",IFERROR(VLOOKUP(G893,PRODUCTOS!$A:$B,2,0),"!COD NO ENCONTRADO"),"")</f>
        <v>MERLUZA EUROPEA PINCHO COSTA 1000</v>
      </c>
      <c r="I893" s="89" t="n">
        <v>1</v>
      </c>
      <c r="J893" s="105" t="n">
        <v>15</v>
      </c>
      <c r="K893" s="125" t="n">
        <v>6</v>
      </c>
      <c r="L893" s="80" t="n">
        <f aca="false">IF(AND(J893&lt;&gt;"",K893&lt;&gt;""),J893*K893,"")</f>
        <v>90</v>
      </c>
      <c r="M893" s="81" t="n">
        <f aca="false">IF(L893&lt;&gt;"",L893*1.1,"")</f>
        <v>99</v>
      </c>
      <c r="N893" s="47" t="n">
        <f aca="false">IF(F893="S",L893*0.02,0)</f>
        <v>1.8</v>
      </c>
      <c r="O893" s="82" t="n">
        <f aca="false">IF(L893&lt;&gt;"",L893+N893,"")</f>
        <v>91.8</v>
      </c>
      <c r="P893" s="47" t="n">
        <f aca="false">IF(O893&lt;&gt;"",O893*0.1,"")</f>
        <v>9.18</v>
      </c>
      <c r="Q893" s="83" t="n">
        <f aca="false">IF(O893&lt;&gt;"",O893+P893,"")</f>
        <v>100.98</v>
      </c>
      <c r="R893" s="84" t="s">
        <v>358</v>
      </c>
    </row>
    <row r="894" customFormat="false" ht="15" hidden="false" customHeight="true" outlineLevel="0" collapsed="false">
      <c r="A894" s="103" t="n">
        <v>56070</v>
      </c>
      <c r="B894" s="73" t="n">
        <v>46221</v>
      </c>
      <c r="C894" s="86" t="n">
        <v>33678</v>
      </c>
      <c r="D894" s="87" t="n">
        <v>50106</v>
      </c>
      <c r="E894" s="52" t="str">
        <f aca="false">IF(D894&lt;&gt;"",IFERROR(VLOOKUP(D894,PROVEEDORES!$A:$B,2,0),"!COD NO ENCONTRADO"),"")</f>
        <v>SONIA VENTAS S.L</v>
      </c>
      <c r="F894" s="76" t="str">
        <f aca="false">IF(D894&lt;&gt;"",IFERROR(VLOOKUP(D894,PROVEEDORES!$A:$C,3,0),""),"")</f>
        <v>S</v>
      </c>
      <c r="G894" s="75" t="s">
        <v>223</v>
      </c>
      <c r="H894" s="52" t="str">
        <f aca="false">IF(G894&lt;&gt;"",IFERROR(VLOOKUP(G894,PRODUCTOS!$A:$B,2,0),"!COD NO ENCONTRADO"),"")</f>
        <v>MERLUZA EUROPEA PINCHO COSTA 1000</v>
      </c>
      <c r="I894" s="77" t="n">
        <v>1</v>
      </c>
      <c r="J894" s="105" t="n">
        <v>14.25</v>
      </c>
      <c r="K894" s="125" t="n">
        <v>6.3</v>
      </c>
      <c r="L894" s="80" t="n">
        <f aca="false">IF(AND(J894&lt;&gt;"",K894&lt;&gt;""),J894*K894,"")</f>
        <v>89.775</v>
      </c>
      <c r="M894" s="81" t="n">
        <f aca="false">IF(L894&lt;&gt;"",L894*1.1,"")</f>
        <v>98.7525</v>
      </c>
      <c r="N894" s="53" t="n">
        <f aca="false">IF(F894="S",L894*0.02,0)</f>
        <v>1.7955</v>
      </c>
      <c r="O894" s="82" t="n">
        <f aca="false">IF(L894&lt;&gt;"",L894+N894,"")</f>
        <v>91.5705</v>
      </c>
      <c r="P894" s="53" t="n">
        <f aca="false">IF(O894&lt;&gt;"",O894*0.1,"")</f>
        <v>9.15705</v>
      </c>
      <c r="Q894" s="83" t="n">
        <f aca="false">IF(O894&lt;&gt;"",O894+P894,"")</f>
        <v>100.72755</v>
      </c>
      <c r="R894" s="84" t="s">
        <v>358</v>
      </c>
    </row>
    <row r="895" customFormat="false" ht="15" hidden="false" customHeight="true" outlineLevel="0" collapsed="false">
      <c r="A895" s="103" t="n">
        <v>56070</v>
      </c>
      <c r="B895" s="73" t="n">
        <v>46221</v>
      </c>
      <c r="C895" s="86" t="n">
        <v>33678</v>
      </c>
      <c r="D895" s="87" t="n">
        <v>50106</v>
      </c>
      <c r="E895" s="46" t="str">
        <f aca="false">IF(D895&lt;&gt;"",IFERROR(VLOOKUP(D895,PROVEEDORES!$A:$B,2,0),"!COD NO ENCONTRADO"),"")</f>
        <v>SONIA VENTAS S.L</v>
      </c>
      <c r="F895" s="88" t="str">
        <f aca="false">IF(D895&lt;&gt;"",IFERROR(VLOOKUP(D895,PROVEEDORES!$A:$C,3,0),""),"")</f>
        <v>S</v>
      </c>
      <c r="G895" s="87" t="s">
        <v>231</v>
      </c>
      <c r="H895" s="46" t="str">
        <f aca="false">IF(G895&lt;&gt;"",IFERROR(VLOOKUP(G895,PRODUCTOS!$A:$B,2,0),"!COD NO ENCONTRADO"),"")</f>
        <v>MERLUZA EUROPEA PINCHO COSTA 2,5+</v>
      </c>
      <c r="I895" s="89" t="n">
        <v>2</v>
      </c>
      <c r="J895" s="105" t="n">
        <v>4.7</v>
      </c>
      <c r="K895" s="125" t="n">
        <v>10.3</v>
      </c>
      <c r="L895" s="80" t="n">
        <f aca="false">IF(AND(J895&lt;&gt;"",K895&lt;&gt;""),J895*K895,"")</f>
        <v>48.41</v>
      </c>
      <c r="M895" s="81" t="n">
        <f aca="false">IF(L895&lt;&gt;"",L895*1.1,"")</f>
        <v>53.251</v>
      </c>
      <c r="N895" s="47" t="n">
        <f aca="false">IF(F895="S",L895*0.02,0)</f>
        <v>0.9682</v>
      </c>
      <c r="O895" s="82" t="n">
        <f aca="false">IF(L895&lt;&gt;"",L895+N895,"")</f>
        <v>49.3782</v>
      </c>
      <c r="P895" s="47" t="n">
        <f aca="false">IF(O895&lt;&gt;"",O895*0.1,"")</f>
        <v>4.93782</v>
      </c>
      <c r="Q895" s="83" t="n">
        <f aca="false">IF(O895&lt;&gt;"",O895+P895,"")</f>
        <v>54.31602</v>
      </c>
      <c r="R895" s="84" t="s">
        <v>358</v>
      </c>
    </row>
    <row r="896" customFormat="false" ht="15" hidden="false" customHeight="true" outlineLevel="0" collapsed="false">
      <c r="A896" s="103" t="n">
        <v>56071</v>
      </c>
      <c r="B896" s="73" t="n">
        <v>46221</v>
      </c>
      <c r="C896" s="74" t="n">
        <v>17074</v>
      </c>
      <c r="D896" s="75" t="n">
        <v>50160</v>
      </c>
      <c r="E896" s="52" t="str">
        <f aca="false">IF(D896&lt;&gt;"",IFERROR(VLOOKUP(D896,PROVEEDORES!$A:$B,2,0),"!COD NO ENCONTRADO"),"")</f>
        <v>SUBASTAS CORUÑA S.L.</v>
      </c>
      <c r="F896" s="76" t="str">
        <f aca="false">IF(D896&lt;&gt;"",IFERROR(VLOOKUP(D896,PROVEEDORES!$A:$C,3,0),""),"")</f>
        <v>S</v>
      </c>
      <c r="G896" s="75" t="s">
        <v>238</v>
      </c>
      <c r="H896" s="52" t="str">
        <f aca="false">IF(G896&lt;&gt;"",IFERROR(VLOOKUP(G896,PRODUCTOS!$A:$B,2,0),"!COD NO ENCONTRADO"),"")</f>
        <v>MERLUZA EUROPEA VOLANTA COSTA 800/1000</v>
      </c>
      <c r="I896" s="77" t="n">
        <v>1</v>
      </c>
      <c r="J896" s="105" t="n">
        <v>70</v>
      </c>
      <c r="K896" s="125" t="n">
        <v>3.9</v>
      </c>
      <c r="L896" s="80" t="n">
        <f aca="false">IF(AND(J896&lt;&gt;"",K896&lt;&gt;""),J896*K896,"")</f>
        <v>273</v>
      </c>
      <c r="M896" s="81" t="n">
        <f aca="false">IF(L896&lt;&gt;"",L896*1.1,"")</f>
        <v>300.3</v>
      </c>
      <c r="N896" s="53" t="n">
        <f aca="false">IF(F896="S",L896*0.02,0)</f>
        <v>5.46</v>
      </c>
      <c r="O896" s="82" t="n">
        <f aca="false">IF(L896&lt;&gt;"",L896+N896,"")</f>
        <v>278.46</v>
      </c>
      <c r="P896" s="53" t="n">
        <f aca="false">IF(O896&lt;&gt;"",O896*0.1,"")</f>
        <v>27.846</v>
      </c>
      <c r="Q896" s="83" t="n">
        <f aca="false">IF(O896&lt;&gt;"",O896+P896,"")</f>
        <v>306.306</v>
      </c>
      <c r="R896" s="84" t="s">
        <v>358</v>
      </c>
    </row>
    <row r="897" customFormat="false" ht="15" hidden="false" customHeight="true" outlineLevel="0" collapsed="false">
      <c r="A897" s="103" t="n">
        <v>56071</v>
      </c>
      <c r="B897" s="73" t="n">
        <v>46221</v>
      </c>
      <c r="C897" s="86" t="n">
        <v>17074</v>
      </c>
      <c r="D897" s="87" t="n">
        <v>50160</v>
      </c>
      <c r="E897" s="46" t="str">
        <f aca="false">IF(D897&lt;&gt;"",IFERROR(VLOOKUP(D897,PROVEEDORES!$A:$B,2,0),"!COD NO ENCONTRADO"),"")</f>
        <v>SUBASTAS CORUÑA S.L.</v>
      </c>
      <c r="F897" s="88" t="str">
        <f aca="false">IF(D897&lt;&gt;"",IFERROR(VLOOKUP(D897,PROVEEDORES!$A:$C,3,0),""),"")</f>
        <v>S</v>
      </c>
      <c r="G897" s="87" t="s">
        <v>242</v>
      </c>
      <c r="H897" s="46" t="str">
        <f aca="false">IF(G897&lt;&gt;"",IFERROR(VLOOKUP(G897,PRODUCTOS!$A:$B,2,0),"!COD NO ENCONTRADO"),"")</f>
        <v>MERLUZA EUROPEA VOLANTA COSTA 1/1,25</v>
      </c>
      <c r="I897" s="89" t="n">
        <v>1</v>
      </c>
      <c r="J897" s="105" t="n">
        <v>20.75</v>
      </c>
      <c r="K897" s="125" t="n">
        <v>4.9</v>
      </c>
      <c r="L897" s="80" t="n">
        <f aca="false">IF(AND(J897&lt;&gt;"",K897&lt;&gt;""),J897*K897,"")</f>
        <v>101.675</v>
      </c>
      <c r="M897" s="81" t="n">
        <f aca="false">IF(L897&lt;&gt;"",L897*1.1,"")</f>
        <v>111.8425</v>
      </c>
      <c r="N897" s="47" t="n">
        <f aca="false">IF(F897="S",L897*0.02,0)</f>
        <v>2.0335</v>
      </c>
      <c r="O897" s="82" t="n">
        <f aca="false">IF(L897&lt;&gt;"",L897+N897,"")</f>
        <v>103.7085</v>
      </c>
      <c r="P897" s="47" t="n">
        <f aca="false">IF(O897&lt;&gt;"",O897*0.1,"")</f>
        <v>10.37085</v>
      </c>
      <c r="Q897" s="83" t="n">
        <f aca="false">IF(O897&lt;&gt;"",O897+P897,"")</f>
        <v>114.07935</v>
      </c>
      <c r="R897" s="84" t="s">
        <v>358</v>
      </c>
    </row>
    <row r="898" customFormat="false" ht="15" hidden="false" customHeight="true" outlineLevel="0" collapsed="false">
      <c r="A898" s="103" t="n">
        <v>56071</v>
      </c>
      <c r="B898" s="73" t="n">
        <v>46221</v>
      </c>
      <c r="C898" s="74" t="n">
        <v>17074</v>
      </c>
      <c r="D898" s="75" t="n">
        <v>50160</v>
      </c>
      <c r="E898" s="52" t="str">
        <f aca="false">IF(D898&lt;&gt;"",IFERROR(VLOOKUP(D898,PROVEEDORES!$A:$B,2,0),"!COD NO ENCONTRADO"),"")</f>
        <v>SUBASTAS CORUÑA S.L.</v>
      </c>
      <c r="F898" s="76" t="str">
        <f aca="false">IF(D898&lt;&gt;"",IFERROR(VLOOKUP(D898,PROVEEDORES!$A:$C,3,0),""),"")</f>
        <v>S</v>
      </c>
      <c r="G898" s="75" t="s">
        <v>233</v>
      </c>
      <c r="H898" s="52" t="str">
        <f aca="false">IF(G898&lt;&gt;"",IFERROR(VLOOKUP(G898,PRODUCTOS!$A:$B,2,0),"!COD NO ENCONTRADO"),"")</f>
        <v>MERLUZA EUROPEA VOLANTA COSTA</v>
      </c>
      <c r="I898" s="77" t="n">
        <v>2</v>
      </c>
      <c r="J898" s="105" t="n">
        <v>7.35</v>
      </c>
      <c r="K898" s="125" t="n">
        <v>9</v>
      </c>
      <c r="L898" s="80" t="n">
        <f aca="false">IF(AND(J898&lt;&gt;"",K898&lt;&gt;""),J898*K898,"")</f>
        <v>66.15</v>
      </c>
      <c r="M898" s="81" t="n">
        <f aca="false">IF(L898&lt;&gt;"",L898*1.1,"")</f>
        <v>72.765</v>
      </c>
      <c r="N898" s="53" t="n">
        <f aca="false">IF(F898="S",L898*0.02,0)</f>
        <v>1.323</v>
      </c>
      <c r="O898" s="82" t="n">
        <f aca="false">IF(L898&lt;&gt;"",L898+N898,"")</f>
        <v>67.473</v>
      </c>
      <c r="P898" s="53" t="n">
        <f aca="false">IF(O898&lt;&gt;"",O898*0.1,"")</f>
        <v>6.7473</v>
      </c>
      <c r="Q898" s="83" t="n">
        <f aca="false">IF(O898&lt;&gt;"",O898+P898,"")</f>
        <v>74.2203</v>
      </c>
      <c r="R898" s="84" t="s">
        <v>358</v>
      </c>
    </row>
    <row r="899" customFormat="false" ht="15" hidden="false" customHeight="true" outlineLevel="0" collapsed="false">
      <c r="A899" s="103" t="n">
        <v>56071</v>
      </c>
      <c r="B899" s="73" t="n">
        <v>46221</v>
      </c>
      <c r="C899" s="74" t="n">
        <v>17074</v>
      </c>
      <c r="D899" s="75" t="n">
        <v>50160</v>
      </c>
      <c r="E899" s="52" t="str">
        <f aca="false">IF(D899&lt;&gt;"",IFERROR(VLOOKUP(D899,PROVEEDORES!$A:$B,2,0),"!COD NO ENCONTRADO"),"")</f>
        <v>SUBASTAS CORUÑA S.L.</v>
      </c>
      <c r="F899" s="76" t="str">
        <f aca="false">IF(D899&lt;&gt;"",IFERROR(VLOOKUP(D899,PROVEEDORES!$A:$C,3,0),""),"")</f>
        <v>S</v>
      </c>
      <c r="G899" s="75" t="s">
        <v>233</v>
      </c>
      <c r="H899" s="52" t="str">
        <f aca="false">IF(G899&lt;&gt;"",IFERROR(VLOOKUP(G899,PRODUCTOS!$A:$B,2,0),"!COD NO ENCONTRADO"),"")</f>
        <v>MERLUZA EUROPEA VOLANTA COSTA</v>
      </c>
      <c r="I899" s="77" t="n">
        <v>3</v>
      </c>
      <c r="J899" s="78" t="n">
        <v>22.2</v>
      </c>
      <c r="K899" s="79" t="n">
        <v>7</v>
      </c>
      <c r="L899" s="80" t="n">
        <f aca="false">IF(AND(J899&lt;&gt;"",K899&lt;&gt;""),J899*K899,"")</f>
        <v>155.4</v>
      </c>
      <c r="M899" s="81" t="n">
        <f aca="false">IF(L899&lt;&gt;"",L899*1.1,"")</f>
        <v>170.94</v>
      </c>
      <c r="N899" s="53" t="n">
        <f aca="false">IF(F899="S",L899*0.02,0)</f>
        <v>3.108</v>
      </c>
      <c r="O899" s="82" t="n">
        <f aca="false">IF(L899&lt;&gt;"",L899+N899,"")</f>
        <v>158.508</v>
      </c>
      <c r="P899" s="53" t="n">
        <f aca="false">IF(O899&lt;&gt;"",O899*0.1,"")</f>
        <v>15.8508</v>
      </c>
      <c r="Q899" s="83" t="n">
        <f aca="false">IF(O899&lt;&gt;"",O899+P899,"")</f>
        <v>174.3588</v>
      </c>
      <c r="R899" s="84" t="s">
        <v>358</v>
      </c>
    </row>
    <row r="900" customFormat="false" ht="15" hidden="false" customHeight="true" outlineLevel="0" collapsed="false">
      <c r="A900" s="103" t="n">
        <v>56072</v>
      </c>
      <c r="B900" s="73" t="n">
        <v>46221</v>
      </c>
      <c r="C900" s="86" t="n">
        <v>19940</v>
      </c>
      <c r="D900" s="87" t="n">
        <v>50163</v>
      </c>
      <c r="E900" s="46" t="str">
        <f aca="false">IF(D900&lt;&gt;"",IFERROR(VLOOKUP(D900,PROVEEDORES!$A:$B,2,0),"!COD NO ENCONTRADO"),"")</f>
        <v>SUBASTAS RIVERA S.L.</v>
      </c>
      <c r="F900" s="88" t="str">
        <f aca="false">IF(D900&lt;&gt;"",IFERROR(VLOOKUP(D900,PROVEEDORES!$A:$C,3,0),""),"")</f>
        <v>S</v>
      </c>
      <c r="G900" s="87" t="s">
        <v>276</v>
      </c>
      <c r="H900" s="46" t="str">
        <f aca="false">IF(G900&lt;&gt;"",IFERROR(VLOOKUP(G900,PRODUCTOS!$A:$B,2,0),"!COD NO ENCONTRADO"),"")</f>
        <v>MERLUZA EUROPEA/ FINA DIA </v>
      </c>
      <c r="I900" s="112" t="n">
        <v>2</v>
      </c>
      <c r="J900" s="105" t="n">
        <v>20</v>
      </c>
      <c r="K900" s="125" t="n">
        <v>1.6</v>
      </c>
      <c r="L900" s="80" t="n">
        <f aca="false">IF(AND(J900&lt;&gt;"",K900&lt;&gt;""),J900*K900,"")</f>
        <v>32</v>
      </c>
      <c r="M900" s="81" t="n">
        <f aca="false">IF(L900&lt;&gt;"",L900*1.1,"")</f>
        <v>35.2</v>
      </c>
      <c r="N900" s="47" t="n">
        <f aca="false">IF(F900="S",L900*0.02,0)</f>
        <v>0.64</v>
      </c>
      <c r="O900" s="82" t="n">
        <f aca="false">IF(L900&lt;&gt;"",L900+N900,"")</f>
        <v>32.64</v>
      </c>
      <c r="P900" s="47" t="n">
        <f aca="false">IF(O900&lt;&gt;"",O900*0.1,"")</f>
        <v>3.264</v>
      </c>
      <c r="Q900" s="83" t="n">
        <f aca="false">IF(O900&lt;&gt;"",O900+P900,"")</f>
        <v>35.904</v>
      </c>
      <c r="R900" s="84" t="s">
        <v>358</v>
      </c>
    </row>
    <row r="901" customFormat="false" ht="15" hidden="false" customHeight="true" outlineLevel="0" collapsed="false">
      <c r="A901" s="103" t="n">
        <v>56072</v>
      </c>
      <c r="B901" s="73" t="n">
        <v>46221</v>
      </c>
      <c r="C901" s="86" t="n">
        <v>19940</v>
      </c>
      <c r="D901" s="75" t="n">
        <v>50163</v>
      </c>
      <c r="E901" s="52" t="str">
        <f aca="false">IF(D901&lt;&gt;"",IFERROR(VLOOKUP(D901,PROVEEDORES!$A:$B,2,0),"!COD NO ENCONTRADO"),"")</f>
        <v>SUBASTAS RIVERA S.L.</v>
      </c>
      <c r="F901" s="76" t="str">
        <f aca="false">IF(D901&lt;&gt;"",IFERROR(VLOOKUP(D901,PROVEEDORES!$A:$C,3,0),""),"")</f>
        <v>S</v>
      </c>
      <c r="G901" s="75" t="s">
        <v>332</v>
      </c>
      <c r="H901" s="52" t="str">
        <f aca="false">IF(G901&lt;&gt;"",IFERROR(VLOOKUP(G901,PRODUCTOS!$A:$B,2,0),"!COD NO ENCONTRADO"),"")</f>
        <v>VARIADO PEQUEÑO</v>
      </c>
      <c r="I901" s="112" t="n">
        <v>2</v>
      </c>
      <c r="J901" s="105" t="n">
        <v>44.75</v>
      </c>
      <c r="K901" s="125" t="n">
        <v>0.5</v>
      </c>
      <c r="L901" s="80" t="n">
        <f aca="false">IF(AND(J901&lt;&gt;"",K901&lt;&gt;""),J901*K901,"")</f>
        <v>22.375</v>
      </c>
      <c r="M901" s="81" t="n">
        <f aca="false">IF(L901&lt;&gt;"",L901*1.1,"")</f>
        <v>24.6125</v>
      </c>
      <c r="N901" s="53" t="n">
        <f aca="false">IF(F901="S",L901*0.02,0)</f>
        <v>0.4475</v>
      </c>
      <c r="O901" s="82" t="n">
        <f aca="false">IF(L901&lt;&gt;"",L901+N901,"")</f>
        <v>22.8225</v>
      </c>
      <c r="P901" s="53" t="n">
        <f aca="false">IF(O901&lt;&gt;"",O901*0.1,"")</f>
        <v>2.28225</v>
      </c>
      <c r="Q901" s="83" t="n">
        <f aca="false">IF(O901&lt;&gt;"",O901+P901,"")</f>
        <v>25.10475</v>
      </c>
      <c r="R901" s="84" t="s">
        <v>358</v>
      </c>
    </row>
    <row r="902" customFormat="false" ht="15" hidden="false" customHeight="true" outlineLevel="0" collapsed="false">
      <c r="A902" s="103" t="n">
        <v>56072</v>
      </c>
      <c r="B902" s="73" t="n">
        <v>46221</v>
      </c>
      <c r="C902" s="86" t="n">
        <v>19940</v>
      </c>
      <c r="D902" s="87" t="n">
        <v>50163</v>
      </c>
      <c r="E902" s="46" t="str">
        <f aca="false">IF(D902&lt;&gt;"",IFERROR(VLOOKUP(D902,PROVEEDORES!$A:$B,2,0),"!COD NO ENCONTRADO"),"")</f>
        <v>SUBASTAS RIVERA S.L.</v>
      </c>
      <c r="F902" s="88" t="str">
        <f aca="false">IF(D902&lt;&gt;"",IFERROR(VLOOKUP(D902,PROVEEDORES!$A:$C,3,0),""),"")</f>
        <v>S</v>
      </c>
      <c r="G902" s="87" t="s">
        <v>332</v>
      </c>
      <c r="H902" s="46" t="str">
        <f aca="false">IF(G902&lt;&gt;"",IFERROR(VLOOKUP(G902,PRODUCTOS!$A:$B,2,0),"!COD NO ENCONTRADO"),"")</f>
        <v>VARIADO PEQUEÑO</v>
      </c>
      <c r="I902" s="112" t="n">
        <v>6</v>
      </c>
      <c r="J902" s="105" t="n">
        <v>28.5</v>
      </c>
      <c r="K902" s="125" t="n">
        <v>0.5</v>
      </c>
      <c r="L902" s="80" t="n">
        <f aca="false">IF(AND(J902&lt;&gt;"",K902&lt;&gt;""),J902*K902,"")</f>
        <v>14.25</v>
      </c>
      <c r="M902" s="81" t="n">
        <f aca="false">IF(L902&lt;&gt;"",L902*1.1,"")</f>
        <v>15.675</v>
      </c>
      <c r="N902" s="47" t="n">
        <f aca="false">IF(F902="S",L902*0.02,0)</f>
        <v>0.285</v>
      </c>
      <c r="O902" s="82" t="n">
        <f aca="false">IF(L902&lt;&gt;"",L902+N902,"")</f>
        <v>14.535</v>
      </c>
      <c r="P902" s="47" t="n">
        <f aca="false">IF(O902&lt;&gt;"",O902*0.1,"")</f>
        <v>1.4535</v>
      </c>
      <c r="Q902" s="83" t="n">
        <f aca="false">IF(O902&lt;&gt;"",O902+P902,"")</f>
        <v>15.9885</v>
      </c>
      <c r="R902" s="84" t="s">
        <v>358</v>
      </c>
    </row>
    <row r="903" customFormat="false" ht="15" hidden="false" customHeight="true" outlineLevel="0" collapsed="false">
      <c r="A903" s="103" t="n">
        <v>56072</v>
      </c>
      <c r="B903" s="73" t="n">
        <v>46221</v>
      </c>
      <c r="C903" s="86" t="n">
        <v>19940</v>
      </c>
      <c r="D903" s="75" t="n">
        <v>50163</v>
      </c>
      <c r="E903" s="52" t="str">
        <f aca="false">IF(D903&lt;&gt;"",IFERROR(VLOOKUP(D903,PROVEEDORES!$A:$B,2,0),"!COD NO ENCONTRADO"),"")</f>
        <v>SUBASTAS RIVERA S.L.</v>
      </c>
      <c r="F903" s="76" t="str">
        <f aca="false">IF(D903&lt;&gt;"",IFERROR(VLOOKUP(D903,PROVEEDORES!$A:$C,3,0),""),"")</f>
        <v>S</v>
      </c>
      <c r="G903" s="75" t="s">
        <v>332</v>
      </c>
      <c r="H903" s="52" t="str">
        <f aca="false">IF(G903&lt;&gt;"",IFERROR(VLOOKUP(G903,PRODUCTOS!$A:$B,2,0),"!COD NO ENCONTRADO"),"")</f>
        <v>VARIADO PEQUEÑO</v>
      </c>
      <c r="I903" s="112" t="n">
        <v>1</v>
      </c>
      <c r="J903" s="105" t="n">
        <v>6.75</v>
      </c>
      <c r="K903" s="125" t="n">
        <v>0.3</v>
      </c>
      <c r="L903" s="80" t="n">
        <f aca="false">IF(AND(J903&lt;&gt;"",K903&lt;&gt;""),J903*K903,"")</f>
        <v>2.025</v>
      </c>
      <c r="M903" s="81" t="n">
        <f aca="false">IF(L903&lt;&gt;"",L903*1.1,"")</f>
        <v>2.2275</v>
      </c>
      <c r="N903" s="53" t="n">
        <f aca="false">IF(F903="S",L903*0.02,0)</f>
        <v>0.0405</v>
      </c>
      <c r="O903" s="82" t="n">
        <f aca="false">IF(L903&lt;&gt;"",L903+N903,"")</f>
        <v>2.0655</v>
      </c>
      <c r="P903" s="53" t="n">
        <f aca="false">IF(O903&lt;&gt;"",O903*0.1,"")</f>
        <v>0.20655</v>
      </c>
      <c r="Q903" s="83" t="n">
        <f aca="false">IF(O903&lt;&gt;"",O903+P903,"")</f>
        <v>2.27205</v>
      </c>
      <c r="R903" s="84" t="s">
        <v>358</v>
      </c>
    </row>
    <row r="904" customFormat="false" ht="15" hidden="false" customHeight="true" outlineLevel="0" collapsed="false">
      <c r="A904" s="103" t="n">
        <v>56072</v>
      </c>
      <c r="B904" s="73" t="n">
        <v>46221</v>
      </c>
      <c r="C904" s="86" t="n">
        <v>19940</v>
      </c>
      <c r="D904" s="87" t="n">
        <v>50163</v>
      </c>
      <c r="E904" s="46" t="str">
        <f aca="false">IF(D904&lt;&gt;"",IFERROR(VLOOKUP(D904,PROVEEDORES!$A:$B,2,0),"!COD NO ENCONTRADO"),"")</f>
        <v>SUBASTAS RIVERA S.L.</v>
      </c>
      <c r="F904" s="88" t="str">
        <f aca="false">IF(D904&lt;&gt;"",IFERROR(VLOOKUP(D904,PROVEEDORES!$A:$C,3,0),""),"")</f>
        <v>S</v>
      </c>
      <c r="G904" s="87" t="s">
        <v>133</v>
      </c>
      <c r="H904" s="46" t="str">
        <f aca="false">IF(G904&lt;&gt;"",IFERROR(VLOOKUP(G904,PRODUCTOS!$A:$B,2,0),"!COD NO ENCONTRADO"),"")</f>
        <v>CINTAS/ PEZ CINTA (CBC)</v>
      </c>
      <c r="I904" s="112" t="n">
        <v>1</v>
      </c>
      <c r="J904" s="105" t="n">
        <v>2.75</v>
      </c>
      <c r="K904" s="125" t="n">
        <v>1.6</v>
      </c>
      <c r="L904" s="80" t="n">
        <f aca="false">IF(AND(J904&lt;&gt;"",K904&lt;&gt;""),J904*K904,"")</f>
        <v>4.4</v>
      </c>
      <c r="M904" s="81" t="n">
        <f aca="false">IF(L904&lt;&gt;"",L904*1.1,"")</f>
        <v>4.84</v>
      </c>
      <c r="N904" s="47" t="n">
        <f aca="false">IF(F904="S",L904*0.02,0)</f>
        <v>0.088</v>
      </c>
      <c r="O904" s="82" t="n">
        <f aca="false">IF(L904&lt;&gt;"",L904+N904,"")</f>
        <v>4.488</v>
      </c>
      <c r="P904" s="47" t="n">
        <f aca="false">IF(O904&lt;&gt;"",O904*0.1,"")</f>
        <v>0.4488</v>
      </c>
      <c r="Q904" s="83" t="n">
        <f aca="false">IF(O904&lt;&gt;"",O904+P904,"")</f>
        <v>4.9368</v>
      </c>
      <c r="R904" s="84" t="s">
        <v>358</v>
      </c>
    </row>
    <row r="905" customFormat="false" ht="15" hidden="false" customHeight="true" outlineLevel="0" collapsed="false">
      <c r="A905" s="103" t="n">
        <v>56072</v>
      </c>
      <c r="B905" s="73" t="n">
        <v>46221</v>
      </c>
      <c r="C905" s="86" t="n">
        <v>19940</v>
      </c>
      <c r="D905" s="75" t="n">
        <v>50163</v>
      </c>
      <c r="E905" s="52" t="str">
        <f aca="false">IF(D905&lt;&gt;"",IFERROR(VLOOKUP(D905,PROVEEDORES!$A:$B,2,0),"!COD NO ENCONTRADO"),"")</f>
        <v>SUBASTAS RIVERA S.L.</v>
      </c>
      <c r="F905" s="76" t="str">
        <f aca="false">IF(D905&lt;&gt;"",IFERROR(VLOOKUP(D905,PROVEEDORES!$A:$C,3,0),""),"")</f>
        <v>S</v>
      </c>
      <c r="G905" s="75" t="s">
        <v>151</v>
      </c>
      <c r="H905" s="52" t="str">
        <f aca="false">IF(G905&lt;&gt;"",IFERROR(VLOOKUP(G905,PRODUCTOS!$A:$B,2,0),"!COD NO ENCONTRADO"),"")</f>
        <v>ESCACHO/ ARETE/ RUBIO (GUR)</v>
      </c>
      <c r="I905" s="112" t="n">
        <v>3</v>
      </c>
      <c r="J905" s="105" t="n">
        <v>20.5</v>
      </c>
      <c r="K905" s="125" t="n">
        <v>0.3</v>
      </c>
      <c r="L905" s="80" t="n">
        <f aca="false">IF(AND(J905&lt;&gt;"",K905&lt;&gt;""),J905*K905,"")</f>
        <v>6.15</v>
      </c>
      <c r="M905" s="81" t="n">
        <f aca="false">IF(L905&lt;&gt;"",L905*1.1,"")</f>
        <v>6.765</v>
      </c>
      <c r="N905" s="53" t="n">
        <f aca="false">IF(F905="S",L905*0.02,0)</f>
        <v>0.123</v>
      </c>
      <c r="O905" s="82" t="n">
        <f aca="false">IF(L905&lt;&gt;"",L905+N905,"")</f>
        <v>6.273</v>
      </c>
      <c r="P905" s="53" t="n">
        <f aca="false">IF(O905&lt;&gt;"",O905*0.1,"")</f>
        <v>0.6273</v>
      </c>
      <c r="Q905" s="83" t="n">
        <f aca="false">IF(O905&lt;&gt;"",O905+P905,"")</f>
        <v>6.9003</v>
      </c>
      <c r="R905" s="84" t="s">
        <v>358</v>
      </c>
    </row>
    <row r="906" customFormat="false" ht="15" hidden="false" customHeight="true" outlineLevel="0" collapsed="false">
      <c r="A906" s="103" t="n">
        <v>56072</v>
      </c>
      <c r="B906" s="73" t="n">
        <v>46221</v>
      </c>
      <c r="C906" s="86" t="n">
        <v>19940</v>
      </c>
      <c r="D906" s="75" t="n">
        <v>50163</v>
      </c>
      <c r="E906" s="46" t="str">
        <f aca="false">IF(D906&lt;&gt;"",IFERROR(VLOOKUP(D906,PROVEEDORES!$A:$B,2,0),"!COD NO ENCONTRADO"),"")</f>
        <v>SUBASTAS RIVERA S.L.</v>
      </c>
      <c r="F906" s="88" t="str">
        <f aca="false">IF(D906&lt;&gt;"",IFERROR(VLOOKUP(D906,PROVEEDORES!$A:$C,3,0),""),"")</f>
        <v>S</v>
      </c>
      <c r="G906" s="87" t="s">
        <v>103</v>
      </c>
      <c r="H906" s="46" t="str">
        <f aca="false">IF(G906&lt;&gt;"",IFERROR(VLOOKUP(G906,PRODUCTOS!$A:$B,2,0),"!COD NO ENCONTRADO"),"")</f>
        <v>CABRAS/ GALLINETA (BRF)</v>
      </c>
      <c r="I906" s="112" t="n">
        <v>1</v>
      </c>
      <c r="J906" s="105" t="n">
        <v>1</v>
      </c>
      <c r="K906" s="125" t="n">
        <v>14</v>
      </c>
      <c r="L906" s="80" t="n">
        <f aca="false">IF(AND(J906&lt;&gt;"",K906&lt;&gt;""),J906*K906,"")</f>
        <v>14</v>
      </c>
      <c r="M906" s="81" t="n">
        <f aca="false">IF(L906&lt;&gt;"",L906*1.1,"")</f>
        <v>15.4</v>
      </c>
      <c r="N906" s="47" t="n">
        <f aca="false">IF(F906="S",L906*0.02,0)</f>
        <v>0.28</v>
      </c>
      <c r="O906" s="82" t="n">
        <f aca="false">IF(L906&lt;&gt;"",L906+N906,"")</f>
        <v>14.28</v>
      </c>
      <c r="P906" s="47" t="n">
        <f aca="false">IF(O906&lt;&gt;"",O906*0.1,"")</f>
        <v>1.428</v>
      </c>
      <c r="Q906" s="83" t="n">
        <f aca="false">IF(O906&lt;&gt;"",O906+P906,"")</f>
        <v>15.708</v>
      </c>
      <c r="R906" s="84" t="s">
        <v>358</v>
      </c>
    </row>
    <row r="907" customFormat="false" ht="15" hidden="false" customHeight="true" outlineLevel="0" collapsed="false">
      <c r="A907" s="103" t="n">
        <v>56072</v>
      </c>
      <c r="B907" s="73" t="n">
        <v>46221</v>
      </c>
      <c r="C907" s="86" t="n">
        <v>19940</v>
      </c>
      <c r="D907" s="75" t="n">
        <v>50163</v>
      </c>
      <c r="E907" s="52" t="str">
        <f aca="false">IF(D907&lt;&gt;"",IFERROR(VLOOKUP(D907,PROVEEDORES!$A:$B,2,0),"!COD NO ENCONTRADO"),"")</f>
        <v>SUBASTAS RIVERA S.L.</v>
      </c>
      <c r="F907" s="76" t="str">
        <f aca="false">IF(D907&lt;&gt;"",IFERROR(VLOOKUP(D907,PROVEEDORES!$A:$C,3,0),""),"")</f>
        <v>S</v>
      </c>
      <c r="G907" s="75" t="s">
        <v>103</v>
      </c>
      <c r="H907" s="52" t="str">
        <f aca="false">IF(G907&lt;&gt;"",IFERROR(VLOOKUP(G907,PRODUCTOS!$A:$B,2,0),"!COD NO ENCONTRADO"),"")</f>
        <v>CABRAS/ GALLINETA (BRF)</v>
      </c>
      <c r="I907" s="112" t="n">
        <v>1</v>
      </c>
      <c r="J907" s="105" t="n">
        <v>1</v>
      </c>
      <c r="K907" s="125" t="n">
        <v>13.3</v>
      </c>
      <c r="L907" s="80" t="n">
        <f aca="false">IF(AND(J907&lt;&gt;"",K907&lt;&gt;""),J907*K907,"")</f>
        <v>13.3</v>
      </c>
      <c r="M907" s="81" t="n">
        <f aca="false">IF(L907&lt;&gt;"",L907*1.1,"")</f>
        <v>14.63</v>
      </c>
      <c r="N907" s="53" t="n">
        <f aca="false">IF(F907="S",L907*0.02,0)</f>
        <v>0.266</v>
      </c>
      <c r="O907" s="82" t="n">
        <f aca="false">IF(L907&lt;&gt;"",L907+N907,"")</f>
        <v>13.566</v>
      </c>
      <c r="P907" s="53" t="n">
        <f aca="false">IF(O907&lt;&gt;"",O907*0.1,"")</f>
        <v>1.3566</v>
      </c>
      <c r="Q907" s="83" t="n">
        <f aca="false">IF(O907&lt;&gt;"",O907+P907,"")</f>
        <v>14.9226</v>
      </c>
      <c r="R907" s="84" t="s">
        <v>358</v>
      </c>
    </row>
    <row r="908" customFormat="false" ht="15" hidden="false" customHeight="true" outlineLevel="0" collapsed="false">
      <c r="A908" s="103" t="n">
        <v>56072</v>
      </c>
      <c r="B908" s="73" t="n">
        <v>46221</v>
      </c>
      <c r="C908" s="86" t="n">
        <v>19940</v>
      </c>
      <c r="D908" s="75" t="n">
        <v>50163</v>
      </c>
      <c r="E908" s="46" t="str">
        <f aca="false">IF(D908&lt;&gt;"",IFERROR(VLOOKUP(D908,PROVEEDORES!$A:$B,2,0),"!COD NO ENCONTRADO"),"")</f>
        <v>SUBASTAS RIVERA S.L.</v>
      </c>
      <c r="F908" s="88" t="str">
        <f aca="false">IF(D908&lt;&gt;"",IFERROR(VLOOKUP(D908,PROVEEDORES!$A:$C,3,0),""),"")</f>
        <v>S</v>
      </c>
      <c r="G908" s="87" t="s">
        <v>332</v>
      </c>
      <c r="H908" s="46" t="str">
        <f aca="false">IF(G908&lt;&gt;"",IFERROR(VLOOKUP(G908,PRODUCTOS!$A:$B,2,0),"!COD NO ENCONTRADO"),"")</f>
        <v>VARIADO PEQUEÑO</v>
      </c>
      <c r="I908" s="112" t="n">
        <v>3</v>
      </c>
      <c r="J908" s="105" t="n">
        <v>14</v>
      </c>
      <c r="K908" s="125" t="n">
        <v>0.3</v>
      </c>
      <c r="L908" s="80" t="n">
        <f aca="false">IF(AND(J908&lt;&gt;"",K908&lt;&gt;""),J908*K908,"")</f>
        <v>4.2</v>
      </c>
      <c r="M908" s="81" t="n">
        <f aca="false">IF(L908&lt;&gt;"",L908*1.1,"")</f>
        <v>4.62</v>
      </c>
      <c r="N908" s="47" t="n">
        <f aca="false">IF(F908="S",L908*0.02,0)</f>
        <v>0.084</v>
      </c>
      <c r="O908" s="82" t="n">
        <f aca="false">IF(L908&lt;&gt;"",L908+N908,"")</f>
        <v>4.284</v>
      </c>
      <c r="P908" s="47" t="n">
        <f aca="false">IF(O908&lt;&gt;"",O908*0.1,"")</f>
        <v>0.4284</v>
      </c>
      <c r="Q908" s="83" t="n">
        <f aca="false">IF(O908&lt;&gt;"",O908+P908,"")</f>
        <v>4.7124</v>
      </c>
      <c r="R908" s="84" t="s">
        <v>358</v>
      </c>
    </row>
    <row r="909" customFormat="false" ht="15" hidden="false" customHeight="true" outlineLevel="0" collapsed="false">
      <c r="A909" s="103" t="n">
        <v>56072</v>
      </c>
      <c r="B909" s="85" t="n">
        <v>46221</v>
      </c>
      <c r="C909" s="86" t="n">
        <v>19940</v>
      </c>
      <c r="D909" s="75" t="n">
        <v>50163</v>
      </c>
      <c r="E909" s="46" t="str">
        <f aca="false">IF(D909&lt;&gt;"",IFERROR(VLOOKUP(D909,PROVEEDORES!$A:$B,2,0),"!COD NO ENCONTRADO"),"")</f>
        <v>SUBASTAS RIVERA S.L.</v>
      </c>
      <c r="F909" s="88" t="str">
        <f aca="false">IF(D909&lt;&gt;"",IFERROR(VLOOKUP(D909,PROVEEDORES!$A:$C,3,0),""),"")</f>
        <v>S</v>
      </c>
      <c r="G909" s="87" t="s">
        <v>233</v>
      </c>
      <c r="H909" s="46" t="str">
        <f aca="false">IF(G909&lt;&gt;"",IFERROR(VLOOKUP(G909,PRODUCTOS!$A:$B,2,0),"!COD NO ENCONTRADO"),"")</f>
        <v>MERLUZA EUROPEA VOLANTA COSTA</v>
      </c>
      <c r="I909" s="112" t="n">
        <v>1</v>
      </c>
      <c r="J909" s="105" t="n">
        <v>5</v>
      </c>
      <c r="K909" s="125" t="n">
        <v>6</v>
      </c>
      <c r="L909" s="80" t="n">
        <f aca="false">IF(AND(J909&lt;&gt;"",K909&lt;&gt;""),J909*K909,"")</f>
        <v>30</v>
      </c>
      <c r="M909" s="81" t="n">
        <f aca="false">IF(L909&lt;&gt;"",L909*1.1,"")</f>
        <v>33</v>
      </c>
      <c r="N909" s="47" t="n">
        <f aca="false">IF(F909="S",L909*0.02,0)</f>
        <v>0.6</v>
      </c>
      <c r="O909" s="82" t="n">
        <f aca="false">IF(L909&lt;&gt;"",L909+N909,"")</f>
        <v>30.6</v>
      </c>
      <c r="P909" s="47" t="n">
        <f aca="false">IF(O909&lt;&gt;"",O909*0.1,"")</f>
        <v>3.06</v>
      </c>
      <c r="Q909" s="83" t="n">
        <f aca="false">IF(O909&lt;&gt;"",O909+P909,"")</f>
        <v>33.66</v>
      </c>
      <c r="R909" s="84" t="s">
        <v>358</v>
      </c>
    </row>
    <row r="910" customFormat="false" ht="15" hidden="false" customHeight="true" outlineLevel="0" collapsed="false">
      <c r="A910" s="103" t="n">
        <v>56072</v>
      </c>
      <c r="B910" s="85" t="n">
        <v>46221</v>
      </c>
      <c r="C910" s="86" t="n">
        <v>19940</v>
      </c>
      <c r="D910" s="75" t="n">
        <v>50163</v>
      </c>
      <c r="E910" s="46" t="str">
        <f aca="false">IF(D910&lt;&gt;"",IFERROR(VLOOKUP(D910,PROVEEDORES!$A:$B,2,0),"!COD NO ENCONTRADO"),"")</f>
        <v>SUBASTAS RIVERA S.L.</v>
      </c>
      <c r="F910" s="76" t="str">
        <f aca="false">IF(D910&lt;&gt;"",IFERROR(VLOOKUP(D910,PROVEEDORES!$A:$C,3,0),""),"")</f>
        <v>S</v>
      </c>
      <c r="G910" s="75" t="s">
        <v>233</v>
      </c>
      <c r="H910" s="52" t="str">
        <f aca="false">IF(G910&lt;&gt;"",IFERROR(VLOOKUP(G910,PRODUCTOS!$A:$B,2,0),"!COD NO ENCONTRADO"),"")</f>
        <v>MERLUZA EUROPEA VOLANTA COSTA</v>
      </c>
      <c r="I910" s="112" t="n">
        <v>1</v>
      </c>
      <c r="J910" s="105" t="n">
        <v>2.4</v>
      </c>
      <c r="K910" s="125" t="n">
        <v>6.1</v>
      </c>
      <c r="L910" s="80" t="n">
        <f aca="false">IF(AND(J910&lt;&gt;"",K910&lt;&gt;""),J910*K910,"")</f>
        <v>14.64</v>
      </c>
      <c r="M910" s="81" t="n">
        <f aca="false">IF(L910&lt;&gt;"",L910*1.1,"")</f>
        <v>16.104</v>
      </c>
      <c r="N910" s="53" t="n">
        <f aca="false">IF(F910="S",L910*0.02,0)</f>
        <v>0.2928</v>
      </c>
      <c r="O910" s="82" t="n">
        <f aca="false">IF(L910&lt;&gt;"",L910+N910,"")</f>
        <v>14.9328</v>
      </c>
      <c r="P910" s="53" t="n">
        <f aca="false">IF(O910&lt;&gt;"",O910*0.1,"")</f>
        <v>1.49328</v>
      </c>
      <c r="Q910" s="83" t="n">
        <f aca="false">IF(O910&lt;&gt;"",O910+P910,"")</f>
        <v>16.42608</v>
      </c>
      <c r="R910" s="84" t="s">
        <v>358</v>
      </c>
    </row>
    <row r="911" customFormat="false" ht="15" hidden="false" customHeight="true" outlineLevel="0" collapsed="false">
      <c r="A911" s="103" t="n">
        <v>56072</v>
      </c>
      <c r="B911" s="85" t="n">
        <v>46221</v>
      </c>
      <c r="C911" s="86" t="n">
        <v>19940</v>
      </c>
      <c r="D911" s="75" t="n">
        <v>50163</v>
      </c>
      <c r="E911" s="46" t="str">
        <f aca="false">IF(D911&lt;&gt;"",IFERROR(VLOOKUP(D911,PROVEEDORES!$A:$B,2,0),"!COD NO ENCONTRADO"),"")</f>
        <v>SUBASTAS RIVERA S.L.</v>
      </c>
      <c r="F911" s="88" t="str">
        <f aca="false">IF(D911&lt;&gt;"",IFERROR(VLOOKUP(D911,PROVEEDORES!$A:$C,3,0),""),"")</f>
        <v>S</v>
      </c>
      <c r="G911" s="87" t="s">
        <v>221</v>
      </c>
      <c r="H911" s="46" t="str">
        <f aca="false">IF(G911&lt;&gt;"",IFERROR(VLOOKUP(G911,PRODUCTOS!$A:$B,2,0),"!COD NO ENCONTRADO"),"")</f>
        <v>MERLUZA EUROPEA PINCHO COSTA 800</v>
      </c>
      <c r="I911" s="112" t="n">
        <v>2</v>
      </c>
      <c r="J911" s="105" t="n">
        <v>28.75</v>
      </c>
      <c r="K911" s="125" t="n">
        <v>5.3</v>
      </c>
      <c r="L911" s="80" t="n">
        <f aca="false">IF(AND(J911&lt;&gt;"",K911&lt;&gt;""),J911*K911,"")</f>
        <v>152.375</v>
      </c>
      <c r="M911" s="81" t="n">
        <f aca="false">IF(L911&lt;&gt;"",L911*1.1,"")</f>
        <v>167.6125</v>
      </c>
      <c r="N911" s="47" t="n">
        <f aca="false">IF(F911="S",L911*0.02,0)</f>
        <v>3.0475</v>
      </c>
      <c r="O911" s="82" t="n">
        <f aca="false">IF(L911&lt;&gt;"",L911+N911,"")</f>
        <v>155.4225</v>
      </c>
      <c r="P911" s="47" t="n">
        <f aca="false">IF(O911&lt;&gt;"",O911*0.1,"")</f>
        <v>15.54225</v>
      </c>
      <c r="Q911" s="83" t="n">
        <f aca="false">IF(O911&lt;&gt;"",O911+P911,"")</f>
        <v>170.96475</v>
      </c>
      <c r="R911" s="84" t="s">
        <v>358</v>
      </c>
    </row>
    <row r="912" customFormat="false" ht="15" hidden="false" customHeight="true" outlineLevel="0" collapsed="false">
      <c r="A912" s="103" t="n">
        <v>56072</v>
      </c>
      <c r="B912" s="85" t="n">
        <v>46221</v>
      </c>
      <c r="C912" s="86" t="n">
        <v>19940</v>
      </c>
      <c r="D912" s="75" t="n">
        <v>50163</v>
      </c>
      <c r="E912" s="46" t="str">
        <f aca="false">IF(D912&lt;&gt;"",IFERROR(VLOOKUP(D912,PROVEEDORES!$A:$B,2,0),"!COD NO ENCONTRADO"),"")</f>
        <v>SUBASTAS RIVERA S.L.</v>
      </c>
      <c r="F912" s="76" t="str">
        <f aca="false">IF(D912&lt;&gt;"",IFERROR(VLOOKUP(D912,PROVEEDORES!$A:$C,3,0),""),"")</f>
        <v>S</v>
      </c>
      <c r="G912" s="75" t="s">
        <v>227</v>
      </c>
      <c r="H912" s="52" t="str">
        <f aca="false">IF(G912&lt;&gt;"",IFERROR(VLOOKUP(G912,PRODUCTOS!$A:$B,2,0),"!COD NO ENCONTRADO"),"")</f>
        <v>MERLUZA EUROPEA PINCHO COSTA 1,5/2</v>
      </c>
      <c r="I912" s="112" t="n">
        <v>1</v>
      </c>
      <c r="J912" s="105" t="n">
        <v>15</v>
      </c>
      <c r="K912" s="125" t="n">
        <v>8</v>
      </c>
      <c r="L912" s="80" t="n">
        <f aca="false">IF(AND(J912&lt;&gt;"",K912&lt;&gt;""),J912*K912,"")</f>
        <v>120</v>
      </c>
      <c r="M912" s="81" t="n">
        <f aca="false">IF(L912&lt;&gt;"",L912*1.1,"")</f>
        <v>132</v>
      </c>
      <c r="N912" s="53" t="n">
        <f aca="false">IF(F912="S",L912*0.02,0)</f>
        <v>2.4</v>
      </c>
      <c r="O912" s="82" t="n">
        <f aca="false">IF(L912&lt;&gt;"",L912+N912,"")</f>
        <v>122.4</v>
      </c>
      <c r="P912" s="53" t="n">
        <f aca="false">IF(O912&lt;&gt;"",O912*0.1,"")</f>
        <v>12.24</v>
      </c>
      <c r="Q912" s="83" t="n">
        <f aca="false">IF(O912&lt;&gt;"",O912+P912,"")</f>
        <v>134.64</v>
      </c>
      <c r="R912" s="84" t="s">
        <v>358</v>
      </c>
    </row>
    <row r="913" customFormat="false" ht="15" hidden="false" customHeight="true" outlineLevel="0" collapsed="false">
      <c r="A913" s="103" t="n">
        <v>56072</v>
      </c>
      <c r="B913" s="85" t="n">
        <v>46221</v>
      </c>
      <c r="C913" s="86" t="n">
        <v>19940</v>
      </c>
      <c r="D913" s="87" t="n">
        <v>50163</v>
      </c>
      <c r="E913" s="46" t="str">
        <f aca="false">IF(D913&lt;&gt;"",IFERROR(VLOOKUP(D913,PROVEEDORES!$A:$B,2,0),"!COD NO ENCONTRADO"),"")</f>
        <v>SUBASTAS RIVERA S.L.</v>
      </c>
      <c r="F913" s="88" t="str">
        <f aca="false">IF(D913&lt;&gt;"",IFERROR(VLOOKUP(D913,PROVEEDORES!$A:$C,3,0),""),"")</f>
        <v>S</v>
      </c>
      <c r="G913" s="87" t="s">
        <v>227</v>
      </c>
      <c r="H913" s="46" t="str">
        <f aca="false">IF(G913&lt;&gt;"",IFERROR(VLOOKUP(G913,PRODUCTOS!$A:$B,2,0),"!COD NO ENCONTRADO"),"")</f>
        <v>MERLUZA EUROPEA PINCHO COSTA 1,5/2</v>
      </c>
      <c r="I913" s="112" t="n">
        <v>1</v>
      </c>
      <c r="J913" s="105" t="n">
        <v>16.25</v>
      </c>
      <c r="K913" s="125" t="n">
        <v>8.8</v>
      </c>
      <c r="L913" s="80" t="n">
        <f aca="false">IF(AND(J913&lt;&gt;"",K913&lt;&gt;""),J913*K913,"")</f>
        <v>143</v>
      </c>
      <c r="M913" s="81" t="n">
        <f aca="false">IF(L913&lt;&gt;"",L913*1.1,"")</f>
        <v>157.3</v>
      </c>
      <c r="N913" s="47" t="n">
        <f aca="false">IF(F913="S",L913*0.02,0)</f>
        <v>2.86</v>
      </c>
      <c r="O913" s="82" t="n">
        <f aca="false">IF(L913&lt;&gt;"",L913+N913,"")</f>
        <v>145.86</v>
      </c>
      <c r="P913" s="47" t="n">
        <f aca="false">IF(O913&lt;&gt;"",O913*0.1,"")</f>
        <v>14.586</v>
      </c>
      <c r="Q913" s="83" t="n">
        <f aca="false">IF(O913&lt;&gt;"",O913+P913,"")</f>
        <v>160.446</v>
      </c>
      <c r="R913" s="84" t="s">
        <v>358</v>
      </c>
    </row>
    <row r="914" customFormat="false" ht="15" hidden="false" customHeight="true" outlineLevel="0" collapsed="false">
      <c r="A914" s="103" t="n">
        <v>56072</v>
      </c>
      <c r="B914" s="73" t="n">
        <v>46221</v>
      </c>
      <c r="C914" s="86" t="n">
        <v>19940</v>
      </c>
      <c r="D914" s="75" t="n">
        <v>50163</v>
      </c>
      <c r="E914" s="52" t="str">
        <f aca="false">IF(D914&lt;&gt;"",IFERROR(VLOOKUP(D914,PROVEEDORES!$A:$B,2,0),"!COD NO ENCONTRADO"),"")</f>
        <v>SUBASTAS RIVERA S.L.</v>
      </c>
      <c r="F914" s="76" t="str">
        <f aca="false">IF(D914&lt;&gt;"",IFERROR(VLOOKUP(D914,PROVEEDORES!$A:$C,3,0),""),"")</f>
        <v>S</v>
      </c>
      <c r="G914" s="75" t="s">
        <v>221</v>
      </c>
      <c r="H914" s="52" t="str">
        <f aca="false">IF(G914&lt;&gt;"",IFERROR(VLOOKUP(G914,PRODUCTOS!$A:$B,2,0),"!COD NO ENCONTRADO"),"")</f>
        <v>MERLUZA EUROPEA PINCHO COSTA 800</v>
      </c>
      <c r="I914" s="77" t="n">
        <v>1</v>
      </c>
      <c r="J914" s="78" t="n">
        <v>2.3</v>
      </c>
      <c r="K914" s="79" t="n">
        <v>5.2</v>
      </c>
      <c r="L914" s="80" t="n">
        <f aca="false">IF(AND(J914&lt;&gt;"",K914&lt;&gt;""),J914*K914,"")</f>
        <v>11.96</v>
      </c>
      <c r="M914" s="81" t="n">
        <f aca="false">IF(L914&lt;&gt;"",L914*1.1,"")</f>
        <v>13.156</v>
      </c>
      <c r="N914" s="53" t="n">
        <f aca="false">IF(F914="S",L914*0.02,0)</f>
        <v>0.2392</v>
      </c>
      <c r="O914" s="82" t="n">
        <f aca="false">IF(L914&lt;&gt;"",L914+N914,"")</f>
        <v>12.1992</v>
      </c>
      <c r="P914" s="53" t="n">
        <f aca="false">IF(O914&lt;&gt;"",O914*0.1,"")</f>
        <v>1.21992</v>
      </c>
      <c r="Q914" s="83" t="n">
        <f aca="false">IF(O914&lt;&gt;"",O914+P914,"")</f>
        <v>13.41912</v>
      </c>
      <c r="R914" s="84" t="s">
        <v>358</v>
      </c>
    </row>
    <row r="915" customFormat="false" ht="15" hidden="false" customHeight="true" outlineLevel="0" collapsed="false">
      <c r="A915" s="103" t="n">
        <v>56073</v>
      </c>
      <c r="B915" s="85" t="n">
        <v>46223</v>
      </c>
      <c r="C915" s="86" t="s">
        <v>477</v>
      </c>
      <c r="D915" s="87" t="n">
        <v>50001</v>
      </c>
      <c r="E915" s="46" t="str">
        <f aca="false">IF(D915&lt;&gt;"",IFERROR(VLOOKUP(D915,PROVEEDORES!$A:$B,2,0),"!COD NO ENCONTRADO"),"")</f>
        <v>COPESA</v>
      </c>
      <c r="F915" s="88" t="str">
        <f aca="false">IF(D915&lt;&gt;"",IFERROR(VLOOKUP(D915,PROVEEDORES!$A:$C,3,0),""),"")</f>
        <v>S</v>
      </c>
      <c r="G915" s="87" t="s">
        <v>292</v>
      </c>
      <c r="H915" s="46" t="str">
        <f aca="false">IF(G915&lt;&gt;"",IFERROR(VLOOKUP(G915,PRODUCTOS!$A:$B,2,0),"!COD NO ENCONTRADO"),"")</f>
        <v>RAPE BLANCO RASCO (MON)</v>
      </c>
      <c r="I915" s="89" t="n">
        <v>6</v>
      </c>
      <c r="J915" s="90" t="n">
        <v>355</v>
      </c>
      <c r="K915" s="91" t="n">
        <v>5.85</v>
      </c>
      <c r="L915" s="80" t="n">
        <f aca="false">IF(AND(J915&lt;&gt;"",K915&lt;&gt;""),J915*K915,"")</f>
        <v>2076.75</v>
      </c>
      <c r="M915" s="81" t="n">
        <f aca="false">IF(L915&lt;&gt;"",L915*1.1,"")</f>
        <v>2284.425</v>
      </c>
      <c r="N915" s="47" t="n">
        <f aca="false">IF(F915="S",L915*0.02,0)</f>
        <v>41.535</v>
      </c>
      <c r="O915" s="82" t="n">
        <f aca="false">IF(L915&lt;&gt;"",L915+N915,"")</f>
        <v>2118.285</v>
      </c>
      <c r="P915" s="47" t="n">
        <f aca="false">IF(O915&lt;&gt;"",O915*0.1,"")</f>
        <v>211.8285</v>
      </c>
      <c r="Q915" s="83" t="n">
        <f aca="false">IF(O915&lt;&gt;"",O915+P915,"")</f>
        <v>2330.1135</v>
      </c>
      <c r="R915" s="84" t="s">
        <v>358</v>
      </c>
    </row>
    <row r="916" customFormat="false" ht="15" hidden="false" customHeight="true" outlineLevel="0" collapsed="false">
      <c r="A916" s="103" t="n">
        <v>56073</v>
      </c>
      <c r="B916" s="85" t="n">
        <v>46223</v>
      </c>
      <c r="C916" s="74" t="s">
        <v>477</v>
      </c>
      <c r="D916" s="87" t="n">
        <v>50001</v>
      </c>
      <c r="E916" s="52" t="str">
        <f aca="false">IF(D916&lt;&gt;"",IFERROR(VLOOKUP(D916,PROVEEDORES!$A:$B,2,0),"!COD NO ENCONTRADO"),"")</f>
        <v>COPESA</v>
      </c>
      <c r="F916" s="76" t="str">
        <f aca="false">IF(D916&lt;&gt;"",IFERROR(VLOOKUP(D916,PROVEEDORES!$A:$C,3,0),""),"")</f>
        <v>S</v>
      </c>
      <c r="G916" s="87" t="s">
        <v>292</v>
      </c>
      <c r="H916" s="52" t="str">
        <f aca="false">IF(G916&lt;&gt;"",IFERROR(VLOOKUP(G916,PRODUCTOS!$A:$B,2,0),"!COD NO ENCONTRADO"),"")</f>
        <v>RAPE BLANCO RASCO (MON)</v>
      </c>
      <c r="I916" s="77" t="n">
        <v>4</v>
      </c>
      <c r="J916" s="78" t="n">
        <v>241</v>
      </c>
      <c r="K916" s="79" t="n">
        <v>5.85</v>
      </c>
      <c r="L916" s="80" t="n">
        <f aca="false">IF(AND(J916&lt;&gt;"",K916&lt;&gt;""),J916*K916,"")</f>
        <v>1409.85</v>
      </c>
      <c r="M916" s="81" t="n">
        <f aca="false">IF(L916&lt;&gt;"",L916*1.1,"")</f>
        <v>1550.835</v>
      </c>
      <c r="N916" s="53" t="n">
        <f aca="false">IF(F916="S",L916*0.02,0)</f>
        <v>28.197</v>
      </c>
      <c r="O916" s="82" t="n">
        <f aca="false">IF(L916&lt;&gt;"",L916+N916,"")</f>
        <v>1438.047</v>
      </c>
      <c r="P916" s="53" t="n">
        <f aca="false">IF(O916&lt;&gt;"",O916*0.1,"")</f>
        <v>143.8047</v>
      </c>
      <c r="Q916" s="83" t="n">
        <f aca="false">IF(O916&lt;&gt;"",O916+P916,"")</f>
        <v>1581.8517</v>
      </c>
      <c r="R916" s="84" t="s">
        <v>358</v>
      </c>
    </row>
    <row r="917" customFormat="false" ht="15" hidden="false" customHeight="true" outlineLevel="0" collapsed="false">
      <c r="A917" s="103" t="n">
        <v>56073</v>
      </c>
      <c r="B917" s="85" t="n">
        <v>46223</v>
      </c>
      <c r="C917" s="86" t="s">
        <v>477</v>
      </c>
      <c r="D917" s="87" t="n">
        <v>50001</v>
      </c>
      <c r="E917" s="46" t="str">
        <f aca="false">IF(D917&lt;&gt;"",IFERROR(VLOOKUP(D917,PROVEEDORES!$A:$B,2,0),"!COD NO ENCONTRADO"),"")</f>
        <v>COPESA</v>
      </c>
      <c r="F917" s="88" t="str">
        <f aca="false">IF(D917&lt;&gt;"",IFERROR(VLOOKUP(D917,PROVEEDORES!$A:$C,3,0),""),"")</f>
        <v>S</v>
      </c>
      <c r="G917" s="87" t="s">
        <v>292</v>
      </c>
      <c r="H917" s="46" t="str">
        <f aca="false">IF(G917&lt;&gt;"",IFERROR(VLOOKUP(G917,PRODUCTOS!$A:$B,2,0),"!COD NO ENCONTRADO"),"")</f>
        <v>RAPE BLANCO RASCO (MON)</v>
      </c>
      <c r="I917" s="89" t="n">
        <v>3</v>
      </c>
      <c r="J917" s="90" t="n">
        <v>183.5</v>
      </c>
      <c r="K917" s="91" t="n">
        <v>6.1</v>
      </c>
      <c r="L917" s="80" t="n">
        <f aca="false">IF(AND(J917&lt;&gt;"",K917&lt;&gt;""),J917*K917,"")</f>
        <v>1119.35</v>
      </c>
      <c r="M917" s="81" t="n">
        <f aca="false">IF(L917&lt;&gt;"",L917*1.1,"")</f>
        <v>1231.285</v>
      </c>
      <c r="N917" s="47" t="n">
        <f aca="false">IF(F917="S",L917*0.02,0)</f>
        <v>22.387</v>
      </c>
      <c r="O917" s="82" t="n">
        <f aca="false">IF(L917&lt;&gt;"",L917+N917,"")</f>
        <v>1141.737</v>
      </c>
      <c r="P917" s="47" t="n">
        <f aca="false">IF(O917&lt;&gt;"",O917*0.1,"")</f>
        <v>114.1737</v>
      </c>
      <c r="Q917" s="83" t="n">
        <f aca="false">IF(O917&lt;&gt;"",O917+P917,"")</f>
        <v>1255.9107</v>
      </c>
      <c r="R917" s="84" t="s">
        <v>358</v>
      </c>
    </row>
    <row r="918" customFormat="false" ht="15" hidden="false" customHeight="true" outlineLevel="0" collapsed="false">
      <c r="A918" s="103" t="n">
        <v>56073</v>
      </c>
      <c r="B918" s="85" t="n">
        <v>46223</v>
      </c>
      <c r="C918" s="74" t="s">
        <v>477</v>
      </c>
      <c r="D918" s="87" t="n">
        <v>50001</v>
      </c>
      <c r="E918" s="52" t="str">
        <f aca="false">IF(D918&lt;&gt;"",IFERROR(VLOOKUP(D918,PROVEEDORES!$A:$B,2,0),"!COD NO ENCONTRADO"),"")</f>
        <v>COPESA</v>
      </c>
      <c r="F918" s="76" t="str">
        <f aca="false">IF(D918&lt;&gt;"",IFERROR(VLOOKUP(D918,PROVEEDORES!$A:$C,3,0),""),"")</f>
        <v>S</v>
      </c>
      <c r="G918" s="87" t="s">
        <v>292</v>
      </c>
      <c r="H918" s="52" t="str">
        <f aca="false">IF(G918&lt;&gt;"",IFERROR(VLOOKUP(G918,PRODUCTOS!$A:$B,2,0),"!COD NO ENCONTRADO"),"")</f>
        <v>RAPE BLANCO RASCO (MON)</v>
      </c>
      <c r="I918" s="77" t="n">
        <v>2</v>
      </c>
      <c r="J918" s="78" t="n">
        <v>110</v>
      </c>
      <c r="K918" s="79" t="n">
        <v>6.5</v>
      </c>
      <c r="L918" s="80" t="n">
        <f aca="false">IF(AND(J918&lt;&gt;"",K918&lt;&gt;""),J918*K918,"")</f>
        <v>715</v>
      </c>
      <c r="M918" s="81" t="n">
        <f aca="false">IF(L918&lt;&gt;"",L918*1.1,"")</f>
        <v>786.5</v>
      </c>
      <c r="N918" s="53" t="n">
        <f aca="false">IF(F918="S",L918*0.02,0)</f>
        <v>14.3</v>
      </c>
      <c r="O918" s="82" t="n">
        <f aca="false">IF(L918&lt;&gt;"",L918+N918,"")</f>
        <v>729.3</v>
      </c>
      <c r="P918" s="53" t="n">
        <f aca="false">IF(O918&lt;&gt;"",O918*0.1,"")</f>
        <v>72.93</v>
      </c>
      <c r="Q918" s="83" t="n">
        <f aca="false">IF(O918&lt;&gt;"",O918+P918,"")</f>
        <v>802.23</v>
      </c>
      <c r="R918" s="84" t="s">
        <v>358</v>
      </c>
    </row>
    <row r="919" customFormat="false" ht="15" hidden="false" customHeight="true" outlineLevel="0" collapsed="false">
      <c r="A919" s="103" t="n">
        <v>56073</v>
      </c>
      <c r="B919" s="85" t="n">
        <v>46223</v>
      </c>
      <c r="C919" s="86" t="s">
        <v>477</v>
      </c>
      <c r="D919" s="87" t="n">
        <v>50001</v>
      </c>
      <c r="E919" s="46" t="str">
        <f aca="false">IF(D919&lt;&gt;"",IFERROR(VLOOKUP(D919,PROVEEDORES!$A:$B,2,0),"!COD NO ENCONTRADO"),"")</f>
        <v>COPESA</v>
      </c>
      <c r="F919" s="88" t="str">
        <f aca="false">IF(D919&lt;&gt;"",IFERROR(VLOOKUP(D919,PROVEEDORES!$A:$C,3,0),""),"")</f>
        <v>S</v>
      </c>
      <c r="G919" s="87" t="s">
        <v>292</v>
      </c>
      <c r="H919" s="46" t="str">
        <f aca="false">IF(G919&lt;&gt;"",IFERROR(VLOOKUP(G919,PRODUCTOS!$A:$B,2,0),"!COD NO ENCONTRADO"),"")</f>
        <v>RAPE BLANCO RASCO (MON)</v>
      </c>
      <c r="I919" s="89" t="n">
        <v>3</v>
      </c>
      <c r="J919" s="90" t="n">
        <v>181.25</v>
      </c>
      <c r="K919" s="91" t="n">
        <v>6.9</v>
      </c>
      <c r="L919" s="80" t="n">
        <f aca="false">IF(AND(J919&lt;&gt;"",K919&lt;&gt;""),J919*K919,"")</f>
        <v>1250.625</v>
      </c>
      <c r="M919" s="81" t="n">
        <f aca="false">IF(L919&lt;&gt;"",L919*1.1,"")</f>
        <v>1375.6875</v>
      </c>
      <c r="N919" s="47" t="n">
        <f aca="false">IF(F919="S",L919*0.02,0)</f>
        <v>25.0125</v>
      </c>
      <c r="O919" s="82" t="n">
        <f aca="false">IF(L919&lt;&gt;"",L919+N919,"")</f>
        <v>1275.6375</v>
      </c>
      <c r="P919" s="47" t="n">
        <f aca="false">IF(O919&lt;&gt;"",O919*0.1,"")</f>
        <v>127.56375</v>
      </c>
      <c r="Q919" s="83" t="n">
        <f aca="false">IF(O919&lt;&gt;"",O919+P919,"")</f>
        <v>1403.20125</v>
      </c>
      <c r="R919" s="84" t="s">
        <v>358</v>
      </c>
    </row>
    <row r="920" customFormat="false" ht="15" hidden="false" customHeight="true" outlineLevel="0" collapsed="false">
      <c r="A920" s="103" t="n">
        <v>56073</v>
      </c>
      <c r="B920" s="73" t="n">
        <v>46223</v>
      </c>
      <c r="C920" s="74" t="s">
        <v>477</v>
      </c>
      <c r="D920" s="75" t="n">
        <v>50001</v>
      </c>
      <c r="E920" s="52" t="str">
        <f aca="false">IF(D920&lt;&gt;"",IFERROR(VLOOKUP(D920,PROVEEDORES!$A:$B,2,0),"!COD NO ENCONTRADO"),"")</f>
        <v>COPESA</v>
      </c>
      <c r="F920" s="76" t="str">
        <f aca="false">IF(D920&lt;&gt;"",IFERROR(VLOOKUP(D920,PROVEEDORES!$A:$C,3,0),""),"")</f>
        <v>S</v>
      </c>
      <c r="G920" s="75" t="s">
        <v>292</v>
      </c>
      <c r="H920" s="52" t="str">
        <f aca="false">IF(G920&lt;&gt;"",IFERROR(VLOOKUP(G920,PRODUCTOS!$A:$B,2,0),"!COD NO ENCONTRADO"),"")</f>
        <v>RAPE BLANCO RASCO (MON)</v>
      </c>
      <c r="I920" s="77" t="n">
        <v>1</v>
      </c>
      <c r="J920" s="78" t="n">
        <v>55.25</v>
      </c>
      <c r="K920" s="79" t="n">
        <v>6.4</v>
      </c>
      <c r="L920" s="80" t="n">
        <f aca="false">IF(AND(J920&lt;&gt;"",K920&lt;&gt;""),J920*K920,"")</f>
        <v>353.6</v>
      </c>
      <c r="M920" s="81" t="n">
        <f aca="false">IF(L920&lt;&gt;"",L920*1.1,"")</f>
        <v>388.96</v>
      </c>
      <c r="N920" s="53" t="n">
        <f aca="false">IF(F920="S",L920*0.02,0)</f>
        <v>7.072</v>
      </c>
      <c r="O920" s="82" t="n">
        <f aca="false">IF(L920&lt;&gt;"",L920+N920,"")</f>
        <v>360.672</v>
      </c>
      <c r="P920" s="53" t="n">
        <f aca="false">IF(O920&lt;&gt;"",O920*0.1,"")</f>
        <v>36.0672</v>
      </c>
      <c r="Q920" s="83" t="n">
        <f aca="false">IF(O920&lt;&gt;"",O920+P920,"")</f>
        <v>396.7392</v>
      </c>
      <c r="R920" s="84" t="s">
        <v>358</v>
      </c>
    </row>
    <row r="921" customFormat="false" ht="15" hidden="false" customHeight="true" outlineLevel="0" collapsed="false">
      <c r="A921" s="103" t="n">
        <v>56074</v>
      </c>
      <c r="B921" s="73" t="n">
        <v>46223</v>
      </c>
      <c r="C921" s="86" t="s">
        <v>478</v>
      </c>
      <c r="D921" s="87" t="n">
        <v>50048</v>
      </c>
      <c r="E921" s="46" t="str">
        <f aca="false">IF(D921&lt;&gt;"",IFERROR(VLOOKUP(D921,PROVEEDORES!$A:$B,2,0),"!COD NO ENCONTRADO"),"")</f>
        <v>JOSE LUIS CORREA KESSLER S.L.</v>
      </c>
      <c r="F921" s="88" t="str">
        <f aca="false">IF(D921&lt;&gt;"",IFERROR(VLOOKUP(D921,PROVEEDORES!$A:$C,3,0),""),"")</f>
        <v>N</v>
      </c>
      <c r="G921" s="87" t="s">
        <v>91</v>
      </c>
      <c r="H921" s="46" t="str">
        <f aca="false">IF(G921&lt;&gt;"",IFERROR(VLOOKUP(G921,PRODUCTOS!$A:$B,2,0),"!COD NO ENCONTRADO"),"")</f>
        <v>BONITO DEL NORTE 5/7</v>
      </c>
      <c r="I921" s="89" t="n">
        <v>3</v>
      </c>
      <c r="J921" s="90" t="n">
        <v>141</v>
      </c>
      <c r="K921" s="91" t="n">
        <v>3.95</v>
      </c>
      <c r="L921" s="80" t="n">
        <f aca="false">IF(AND(J921&lt;&gt;"",K921&lt;&gt;""),J921*K921,"")</f>
        <v>556.95</v>
      </c>
      <c r="M921" s="81" t="n">
        <f aca="false">IF(L921&lt;&gt;"",L921*1.1,"")</f>
        <v>612.645</v>
      </c>
      <c r="N921" s="126" t="n">
        <f aca="false">IF(F921="S",L921*0.02,0)</f>
        <v>0</v>
      </c>
      <c r="O921" s="82" t="n">
        <f aca="false">IF(L921&lt;&gt;"",L921+N921,"")</f>
        <v>556.95</v>
      </c>
      <c r="P921" s="47" t="n">
        <f aca="false">IF(O921&lt;&gt;"",O921*0.1,"")</f>
        <v>55.695</v>
      </c>
      <c r="Q921" s="83" t="n">
        <f aca="false">IF(O921&lt;&gt;"",O921+P921,"")</f>
        <v>612.645</v>
      </c>
      <c r="R921" s="84" t="s">
        <v>365</v>
      </c>
    </row>
    <row r="922" customFormat="false" ht="15" hidden="false" customHeight="true" outlineLevel="0" collapsed="false">
      <c r="A922" s="103" t="n">
        <v>56074</v>
      </c>
      <c r="B922" s="73" t="n">
        <v>46223</v>
      </c>
      <c r="C922" s="86" t="s">
        <v>478</v>
      </c>
      <c r="D922" s="87" t="n">
        <v>50048</v>
      </c>
      <c r="E922" s="52" t="str">
        <f aca="false">IF(D922&lt;&gt;"",IFERROR(VLOOKUP(D922,PROVEEDORES!$A:$B,2,0),"!COD NO ENCONTRADO"),"")</f>
        <v>JOSE LUIS CORREA KESSLER S.L.</v>
      </c>
      <c r="F922" s="76" t="str">
        <f aca="false">IF(D922&lt;&gt;"",IFERROR(VLOOKUP(D922,PROVEEDORES!$A:$C,3,0),""),"")</f>
        <v>N</v>
      </c>
      <c r="G922" s="87" t="s">
        <v>91</v>
      </c>
      <c r="H922" s="52" t="str">
        <f aca="false">IF(G922&lt;&gt;"",IFERROR(VLOOKUP(G922,PRODUCTOS!$A:$B,2,0),"!COD NO ENCONTRADO"),"")</f>
        <v>BONITO DEL NORTE 5/7</v>
      </c>
      <c r="I922" s="77" t="n">
        <v>1</v>
      </c>
      <c r="J922" s="78" t="n">
        <v>47.5</v>
      </c>
      <c r="K922" s="79" t="n">
        <v>4.25</v>
      </c>
      <c r="L922" s="80" t="n">
        <f aca="false">IF(AND(J922&lt;&gt;"",K922&lt;&gt;""),J922*K922,"")</f>
        <v>201.875</v>
      </c>
      <c r="M922" s="81" t="n">
        <f aca="false">IF(L922&lt;&gt;"",L922*1.1,"")</f>
        <v>222.0625</v>
      </c>
      <c r="N922" s="126" t="n">
        <f aca="false">IF(F922="S",L922*0.02,0)</f>
        <v>0</v>
      </c>
      <c r="O922" s="82" t="n">
        <f aca="false">IF(L922&lt;&gt;"",L922+N922,"")</f>
        <v>201.875</v>
      </c>
      <c r="P922" s="53" t="n">
        <f aca="false">IF(O922&lt;&gt;"",O922*0.1,"")</f>
        <v>20.1875</v>
      </c>
      <c r="Q922" s="83" t="n">
        <f aca="false">IF(O922&lt;&gt;"",O922+P922,"")</f>
        <v>222.0625</v>
      </c>
      <c r="R922" s="84" t="s">
        <v>365</v>
      </c>
    </row>
    <row r="923" customFormat="false" ht="15" hidden="false" customHeight="true" outlineLevel="0" collapsed="false">
      <c r="A923" s="103" t="n">
        <v>56074</v>
      </c>
      <c r="B923" s="73" t="n">
        <v>46223</v>
      </c>
      <c r="C923" s="86" t="s">
        <v>478</v>
      </c>
      <c r="D923" s="87" t="n">
        <v>50048</v>
      </c>
      <c r="E923" s="46" t="str">
        <f aca="false">IF(D923&lt;&gt;"",IFERROR(VLOOKUP(D923,PROVEEDORES!$A:$B,2,0),"!COD NO ENCONTRADO"),"")</f>
        <v>JOSE LUIS CORREA KESSLER S.L.</v>
      </c>
      <c r="F923" s="88" t="str">
        <f aca="false">IF(D923&lt;&gt;"",IFERROR(VLOOKUP(D923,PROVEEDORES!$A:$C,3,0),""),"")</f>
        <v>N</v>
      </c>
      <c r="G923" s="87" t="s">
        <v>452</v>
      </c>
      <c r="H923" s="46" t="str">
        <f aca="false">IF(G923&lt;&gt;"",IFERROR(VLOOKUP(G923,PRODUCTOS!$A:$B,2,0),"!COD NO ENCONTRADO"),"")</f>
        <v>BONITO DEL NORTE  +10 (ALB)</v>
      </c>
      <c r="I923" s="89" t="n">
        <v>1</v>
      </c>
      <c r="J923" s="90" t="n">
        <v>28.25</v>
      </c>
      <c r="K923" s="91" t="n">
        <v>5.1</v>
      </c>
      <c r="L923" s="80" t="n">
        <f aca="false">IF(AND(J923&lt;&gt;"",K923&lt;&gt;""),J923*K923,"")</f>
        <v>144.075</v>
      </c>
      <c r="M923" s="81" t="n">
        <f aca="false">IF(L923&lt;&gt;"",L923*1.1,"")</f>
        <v>158.4825</v>
      </c>
      <c r="N923" s="126" t="n">
        <f aca="false">IF(F923="S",L923*0.02,0)</f>
        <v>0</v>
      </c>
      <c r="O923" s="82" t="n">
        <f aca="false">IF(L923&lt;&gt;"",L923+N923,"")</f>
        <v>144.075</v>
      </c>
      <c r="P923" s="47" t="n">
        <f aca="false">IF(O923&lt;&gt;"",O923*0.1,"")</f>
        <v>14.4075</v>
      </c>
      <c r="Q923" s="83" t="n">
        <f aca="false">IF(O923&lt;&gt;"",O923+P923,"")</f>
        <v>158.4825</v>
      </c>
      <c r="R923" s="84" t="s">
        <v>365</v>
      </c>
    </row>
    <row r="924" customFormat="false" ht="15" hidden="false" customHeight="true" outlineLevel="0" collapsed="false">
      <c r="A924" s="103" t="n">
        <v>56074</v>
      </c>
      <c r="B924" s="73" t="n">
        <v>46223</v>
      </c>
      <c r="C924" s="86" t="s">
        <v>478</v>
      </c>
      <c r="D924" s="87" t="n">
        <v>50048</v>
      </c>
      <c r="E924" s="52" t="str">
        <f aca="false">IF(D924&lt;&gt;"",IFERROR(VLOOKUP(D924,PROVEEDORES!$A:$B,2,0),"!COD NO ENCONTRADO"),"")</f>
        <v>JOSE LUIS CORREA KESSLER S.L.</v>
      </c>
      <c r="F924" s="76" t="str">
        <f aca="false">IF(D924&lt;&gt;"",IFERROR(VLOOKUP(D924,PROVEEDORES!$A:$C,3,0),""),"")</f>
        <v>N</v>
      </c>
      <c r="G924" s="87" t="s">
        <v>452</v>
      </c>
      <c r="H924" s="52" t="str">
        <f aca="false">IF(G924&lt;&gt;"",IFERROR(VLOOKUP(G924,PRODUCTOS!$A:$B,2,0),"!COD NO ENCONTRADO"),"")</f>
        <v>BONITO DEL NORTE  +10 (ALB)</v>
      </c>
      <c r="I924" s="77" t="n">
        <v>1</v>
      </c>
      <c r="J924" s="78" t="n">
        <v>31</v>
      </c>
      <c r="K924" s="79" t="n">
        <v>5.4</v>
      </c>
      <c r="L924" s="80" t="n">
        <f aca="false">IF(AND(J924&lt;&gt;"",K924&lt;&gt;""),J924*K924,"")</f>
        <v>167.4</v>
      </c>
      <c r="M924" s="81" t="n">
        <f aca="false">IF(L924&lt;&gt;"",L924*1.1,"")</f>
        <v>184.14</v>
      </c>
      <c r="N924" s="126" t="n">
        <f aca="false">IF(F924="S",L924*0.02,0)</f>
        <v>0</v>
      </c>
      <c r="O924" s="82" t="n">
        <f aca="false">IF(L924&lt;&gt;"",L924+N924,"")</f>
        <v>167.4</v>
      </c>
      <c r="P924" s="53" t="n">
        <f aca="false">IF(O924&lt;&gt;"",O924*0.1,"")</f>
        <v>16.74</v>
      </c>
      <c r="Q924" s="83" t="n">
        <f aca="false">IF(O924&lt;&gt;"",O924+P924,"")</f>
        <v>184.14</v>
      </c>
      <c r="R924" s="84" t="s">
        <v>365</v>
      </c>
    </row>
    <row r="925" customFormat="false" ht="15" hidden="false" customHeight="true" outlineLevel="0" collapsed="false">
      <c r="A925" s="103" t="n">
        <v>56075</v>
      </c>
      <c r="B925" s="73" t="n">
        <v>46223</v>
      </c>
      <c r="C925" s="86" t="s">
        <v>479</v>
      </c>
      <c r="D925" s="87" t="n">
        <v>50509</v>
      </c>
      <c r="E925" s="46" t="str">
        <f aca="false">IF(D925&lt;&gt;"",IFERROR(VLOOKUP(D925,PROVEEDORES!$A:$B,2,0),"!COD NO ENCONTRADO"),"")</f>
        <v>AZORFISK UNIPERSONAL LDA</v>
      </c>
      <c r="F925" s="88" t="str">
        <f aca="false">IF(D925&lt;&gt;"",IFERROR(VLOOKUP(D925,PROVEEDORES!$A:$C,3,0),""),"")</f>
        <v>N</v>
      </c>
      <c r="G925" s="87" t="s">
        <v>336</v>
      </c>
      <c r="H925" s="46" t="str">
        <f aca="false">IF(G925&lt;&gt;"",IFERROR(VLOOKUP(G925,PRODUCTOS!$A:$B,2,0),"!COD NO ENCONTRADO"),"")</f>
        <v>VIRREY/ PALOMETA ROJA</v>
      </c>
      <c r="I925" s="89" t="n">
        <v>0</v>
      </c>
      <c r="J925" s="90" t="n">
        <v>0</v>
      </c>
      <c r="K925" s="91" t="n">
        <v>0</v>
      </c>
      <c r="L925" s="80" t="n">
        <f aca="false">IF(AND(J925&lt;&gt;"",K925&lt;&gt;""),J925*K925,"")</f>
        <v>0</v>
      </c>
      <c r="M925" s="81" t="n">
        <f aca="false">IF(L925&lt;&gt;"",L925*1.1,"")</f>
        <v>0</v>
      </c>
      <c r="N925" s="47" t="n">
        <f aca="false">IF(F925="S",L925*0.02,0)</f>
        <v>0</v>
      </c>
      <c r="O925" s="82" t="n">
        <f aca="false">IF(L925&lt;&gt;"",L925+N925,"")</f>
        <v>0</v>
      </c>
      <c r="P925" s="47" t="n">
        <f aca="false">IF(O925&lt;&gt;"",O925*0.1,"")</f>
        <v>0</v>
      </c>
      <c r="Q925" s="83" t="n">
        <f aca="false">IF(O925&lt;&gt;"",O925+P925,"")</f>
        <v>0</v>
      </c>
      <c r="R925" s="84"/>
    </row>
    <row r="926" customFormat="false" ht="15" hidden="false" customHeight="true" outlineLevel="0" collapsed="false">
      <c r="A926" s="103" t="n">
        <v>56075</v>
      </c>
      <c r="B926" s="73" t="n">
        <v>46223</v>
      </c>
      <c r="C926" s="74" t="s">
        <v>479</v>
      </c>
      <c r="D926" s="75" t="n">
        <v>50509</v>
      </c>
      <c r="E926" s="52" t="str">
        <f aca="false">IF(D926&lt;&gt;"",IFERROR(VLOOKUP(D926,PROVEEDORES!$A:$B,2,0),"!COD NO ENCONTRADO"),"")</f>
        <v>AZORFISK UNIPERSONAL LDA</v>
      </c>
      <c r="F926" s="76" t="str">
        <f aca="false">IF(D926&lt;&gt;"",IFERROR(VLOOKUP(D926,PROVEEDORES!$A:$C,3,0),""),"")</f>
        <v>N</v>
      </c>
      <c r="G926" s="75" t="s">
        <v>336</v>
      </c>
      <c r="H926" s="52" t="str">
        <f aca="false">IF(G926&lt;&gt;"",IFERROR(VLOOKUP(G926,PRODUCTOS!$A:$B,2,0),"!COD NO ENCONTRADO"),"")</f>
        <v>VIRREY/ PALOMETA ROJA</v>
      </c>
      <c r="I926" s="77" t="n">
        <v>0</v>
      </c>
      <c r="J926" s="78" t="n">
        <v>0</v>
      </c>
      <c r="K926" s="79" t="n">
        <v>0</v>
      </c>
      <c r="L926" s="80" t="n">
        <f aca="false">IF(AND(J926&lt;&gt;"",K926&lt;&gt;""),J926*K926,"")</f>
        <v>0</v>
      </c>
      <c r="M926" s="81" t="n">
        <f aca="false">IF(L926&lt;&gt;"",L926*1.1,"")</f>
        <v>0</v>
      </c>
      <c r="N926" s="53" t="n">
        <f aca="false">IF(F926="S",L926*0.02,0)</f>
        <v>0</v>
      </c>
      <c r="O926" s="82" t="n">
        <f aca="false">IF(L926&lt;&gt;"",L926+N926,"")</f>
        <v>0</v>
      </c>
      <c r="P926" s="53" t="n">
        <f aca="false">IF(O926&lt;&gt;"",O926*0.1,"")</f>
        <v>0</v>
      </c>
      <c r="Q926" s="83" t="n">
        <f aca="false">IF(O926&lt;&gt;"",O926+P926,"")</f>
        <v>0</v>
      </c>
      <c r="R926" s="84"/>
    </row>
    <row r="927" customFormat="false" ht="15" hidden="false" customHeight="true" outlineLevel="0" collapsed="false">
      <c r="A927" s="103" t="n">
        <v>56076</v>
      </c>
      <c r="B927" s="73" t="n">
        <v>46223</v>
      </c>
      <c r="C927" s="86" t="s">
        <v>480</v>
      </c>
      <c r="D927" s="87" t="n">
        <v>50525</v>
      </c>
      <c r="E927" s="46" t="str">
        <f aca="false">IF(D927&lt;&gt;"",IFERROR(VLOOKUP(D927,PROVEEDORES!$A:$B,2,0),"!COD NO ENCONTRADO"),"")</f>
        <v>FURIC MAREE</v>
      </c>
      <c r="F927" s="88" t="str">
        <f aca="false">IF(D927&lt;&gt;"",IFERROR(VLOOKUP(D927,PROVEEDORES!$A:$C,3,0),""),"")</f>
        <v>N</v>
      </c>
      <c r="G927" s="87" t="s">
        <v>260</v>
      </c>
      <c r="H927" s="46" t="str">
        <f aca="false">IF(G927&lt;&gt;"",IFERROR(VLOOKUP(G927,PRODUCTOS!$A:$B,2,0),"!COD NO ENCONTRADO"),"")</f>
        <v>MERO COMUN GENERICO (GPX)</v>
      </c>
      <c r="I927" s="89" t="n">
        <v>5</v>
      </c>
      <c r="J927" s="90" t="n">
        <v>19.1</v>
      </c>
      <c r="K927" s="91" t="n">
        <v>24.8</v>
      </c>
      <c r="L927" s="80" t="n">
        <f aca="false">IF(AND(J927&lt;&gt;"",K927&lt;&gt;""),J927*K927,"")</f>
        <v>473.68</v>
      </c>
      <c r="M927" s="81" t="n">
        <f aca="false">IF(L927&lt;&gt;"",L927*1.1,"")</f>
        <v>521.048</v>
      </c>
      <c r="N927" s="47" t="n">
        <f aca="false">IF(F927="S",L927*0.02,0)</f>
        <v>0</v>
      </c>
      <c r="O927" s="82" t="n">
        <f aca="false">IF(L927&lt;&gt;"",L927+N927,"")</f>
        <v>473.68</v>
      </c>
      <c r="P927" s="47" t="n">
        <f aca="false">IF(O927&lt;&gt;"",O927*0.1,"")</f>
        <v>47.368</v>
      </c>
      <c r="Q927" s="83" t="n">
        <f aca="false">IF(O927&lt;&gt;"",O927+P927,"")</f>
        <v>521.048</v>
      </c>
      <c r="R927" s="84" t="s">
        <v>365</v>
      </c>
    </row>
    <row r="928" customFormat="false" ht="15" hidden="false" customHeight="true" outlineLevel="0" collapsed="false">
      <c r="A928" s="103" t="n">
        <v>56076</v>
      </c>
      <c r="B928" s="73" t="n">
        <v>46223</v>
      </c>
      <c r="C928" s="74" t="s">
        <v>480</v>
      </c>
      <c r="D928" s="75" t="n">
        <v>50525</v>
      </c>
      <c r="E928" s="52" t="str">
        <f aca="false">IF(D928&lt;&gt;"",IFERROR(VLOOKUP(D928,PROVEEDORES!$A:$B,2,0),"!COD NO ENCONTRADO"),"")</f>
        <v>FURIC MAREE</v>
      </c>
      <c r="F928" s="76" t="str">
        <f aca="false">IF(D928&lt;&gt;"",IFERROR(VLOOKUP(D928,PROVEEDORES!$A:$C,3,0),""),"")</f>
        <v>N</v>
      </c>
      <c r="G928" s="75" t="s">
        <v>318</v>
      </c>
      <c r="H928" s="52" t="str">
        <f aca="false">IF(G928&lt;&gt;"",IFERROR(VLOOKUP(G928,PRODUCTOS!$A:$B,2,0),"!COD NO ENCONTRADO"),"")</f>
        <v>SAN MARTIÑOS/ SAN PEDROS (JOD)</v>
      </c>
      <c r="I928" s="77" t="n">
        <v>3</v>
      </c>
      <c r="J928" s="78" t="n">
        <v>20.2</v>
      </c>
      <c r="K928" s="79" t="n">
        <v>23.5</v>
      </c>
      <c r="L928" s="80" t="n">
        <f aca="false">IF(AND(J928&lt;&gt;"",K928&lt;&gt;""),J928*K928,"")</f>
        <v>474.7</v>
      </c>
      <c r="M928" s="81" t="n">
        <f aca="false">IF(L928&lt;&gt;"",L928*1.1,"")</f>
        <v>522.17</v>
      </c>
      <c r="N928" s="53" t="n">
        <f aca="false">IF(F928="S",L928*0.02,0)</f>
        <v>0</v>
      </c>
      <c r="O928" s="82" t="n">
        <f aca="false">IF(L928&lt;&gt;"",L928+N928,"")</f>
        <v>474.7</v>
      </c>
      <c r="P928" s="53" t="n">
        <f aca="false">IF(O928&lt;&gt;"",O928*0.1,"")</f>
        <v>47.47</v>
      </c>
      <c r="Q928" s="83" t="n">
        <f aca="false">IF(O928&lt;&gt;"",O928+P928,"")</f>
        <v>522.17</v>
      </c>
      <c r="R928" s="84" t="s">
        <v>365</v>
      </c>
    </row>
    <row r="929" customFormat="false" ht="15" hidden="false" customHeight="true" outlineLevel="0" collapsed="false">
      <c r="A929" s="103" t="n">
        <v>56077</v>
      </c>
      <c r="B929" s="73" t="n">
        <v>46223</v>
      </c>
      <c r="C929" s="86" t="s">
        <v>481</v>
      </c>
      <c r="D929" s="87" t="n">
        <v>50048</v>
      </c>
      <c r="E929" s="46" t="str">
        <f aca="false">IF(D929&lt;&gt;"",IFERROR(VLOOKUP(D929,PROVEEDORES!$A:$B,2,0),"!COD NO ENCONTRADO"),"")</f>
        <v>JOSE LUIS CORREA KESSLER S.L.</v>
      </c>
      <c r="F929" s="88" t="str">
        <f aca="false">IF(D929&lt;&gt;"",IFERROR(VLOOKUP(D929,PROVEEDORES!$A:$C,3,0),""),"")</f>
        <v>N</v>
      </c>
      <c r="G929" s="87" t="s">
        <v>179</v>
      </c>
      <c r="H929" s="46" t="str">
        <f aca="false">IF(G929&lt;&gt;"",IFERROR(VLOOKUP(G929,PRODUCTOS!$A:$B,2,0),"!COD NO ENCONTRADO"),"")</f>
        <v>LIRIO/ BACALADILLA/ PERLA (WHB)</v>
      </c>
      <c r="I929" s="89" t="n">
        <v>13</v>
      </c>
      <c r="J929" s="105" t="n">
        <v>74.5</v>
      </c>
      <c r="K929" s="125" t="n">
        <v>2.05</v>
      </c>
      <c r="L929" s="80" t="n">
        <f aca="false">IF(AND(J929&lt;&gt;"",K929&lt;&gt;""),J929*K929,"")</f>
        <v>152.725</v>
      </c>
      <c r="M929" s="81" t="n">
        <f aca="false">IF(L929&lt;&gt;"",L929*1.1,"")</f>
        <v>167.9975</v>
      </c>
      <c r="N929" s="47" t="n">
        <f aca="false">IF(F929="S",L929*0.02,0)</f>
        <v>0</v>
      </c>
      <c r="O929" s="82" t="n">
        <f aca="false">IF(L929&lt;&gt;"",L929+N929,"")</f>
        <v>152.725</v>
      </c>
      <c r="P929" s="47" t="n">
        <f aca="false">IF(O929&lt;&gt;"",O929*0.1,"")</f>
        <v>15.2725</v>
      </c>
      <c r="Q929" s="83" t="n">
        <f aca="false">IF(O929&lt;&gt;"",O929+P929,"")</f>
        <v>167.9975</v>
      </c>
      <c r="R929" s="84" t="s">
        <v>365</v>
      </c>
    </row>
    <row r="930" customFormat="false" ht="15" hidden="false" customHeight="true" outlineLevel="0" collapsed="false">
      <c r="A930" s="103" t="n">
        <v>56077</v>
      </c>
      <c r="B930" s="73" t="n">
        <v>46223</v>
      </c>
      <c r="C930" s="74" t="s">
        <v>482</v>
      </c>
      <c r="D930" s="75" t="n">
        <v>50048</v>
      </c>
      <c r="E930" s="52" t="str">
        <f aca="false">IF(D930&lt;&gt;"",IFERROR(VLOOKUP(D930,PROVEEDORES!$A:$B,2,0),"!COD NO ENCONTRADO"),"")</f>
        <v>JOSE LUIS CORREA KESSLER S.L.</v>
      </c>
      <c r="F930" s="76" t="str">
        <f aca="false">IF(D930&lt;&gt;"",IFERROR(VLOOKUP(D930,PROVEEDORES!$A:$C,3,0),""),"")</f>
        <v>N</v>
      </c>
      <c r="G930" s="75" t="s">
        <v>179</v>
      </c>
      <c r="H930" s="52" t="str">
        <f aca="false">IF(G930&lt;&gt;"",IFERROR(VLOOKUP(G930,PRODUCTOS!$A:$B,2,0),"!COD NO ENCONTRADO"),"")</f>
        <v>LIRIO/ BACALADILLA/ PERLA (WHB)</v>
      </c>
      <c r="I930" s="77" t="n">
        <v>11</v>
      </c>
      <c r="J930" s="78" t="n">
        <v>66</v>
      </c>
      <c r="K930" s="125" t="n">
        <v>2.05</v>
      </c>
      <c r="L930" s="80" t="n">
        <f aca="false">IF(AND(J930&lt;&gt;"",K930&lt;&gt;""),J930*K930,"")</f>
        <v>135.3</v>
      </c>
      <c r="M930" s="81" t="n">
        <f aca="false">IF(L930&lt;&gt;"",L930*1.1,"")</f>
        <v>148.83</v>
      </c>
      <c r="N930" s="53" t="n">
        <f aca="false">IF(F930="S",L930*0.02,0)</f>
        <v>0</v>
      </c>
      <c r="O930" s="82" t="n">
        <f aca="false">IF(L930&lt;&gt;"",L930+N930,"")</f>
        <v>135.3</v>
      </c>
      <c r="P930" s="53" t="n">
        <f aca="false">IF(O930&lt;&gt;"",O930*0.1,"")</f>
        <v>13.53</v>
      </c>
      <c r="Q930" s="83" t="n">
        <f aca="false">IF(O930&lt;&gt;"",O930+P930,"")</f>
        <v>148.83</v>
      </c>
      <c r="R930" s="84" t="s">
        <v>365</v>
      </c>
    </row>
    <row r="931" customFormat="false" ht="15" hidden="false" customHeight="true" outlineLevel="0" collapsed="false">
      <c r="A931" s="103" t="n">
        <v>56077</v>
      </c>
      <c r="B931" s="85" t="n">
        <v>46223</v>
      </c>
      <c r="C931" s="86" t="s">
        <v>483</v>
      </c>
      <c r="D931" s="87" t="n">
        <v>50048</v>
      </c>
      <c r="E931" s="46" t="str">
        <f aca="false">IF(D931&lt;&gt;"",IFERROR(VLOOKUP(D931,PROVEEDORES!$A:$B,2,0),"!COD NO ENCONTRADO"),"")</f>
        <v>JOSE LUIS CORREA KESSLER S.L.</v>
      </c>
      <c r="F931" s="88" t="str">
        <f aca="false">IF(D931&lt;&gt;"",IFERROR(VLOOKUP(D931,PROVEEDORES!$A:$C,3,0),""),"")</f>
        <v>N</v>
      </c>
      <c r="G931" s="87" t="s">
        <v>179</v>
      </c>
      <c r="H931" s="46" t="str">
        <f aca="false">IF(G931&lt;&gt;"",IFERROR(VLOOKUP(G931,PRODUCTOS!$A:$B,2,0),"!COD NO ENCONTRADO"),"")</f>
        <v>LIRIO/ BACALADILLA/ PERLA (WHB)</v>
      </c>
      <c r="I931" s="89" t="n">
        <v>1</v>
      </c>
      <c r="J931" s="90" t="n">
        <v>6</v>
      </c>
      <c r="K931" s="125" t="n">
        <v>1.75</v>
      </c>
      <c r="L931" s="80" t="n">
        <f aca="false">IF(AND(J931&lt;&gt;"",K931&lt;&gt;""),J931*K931,"")</f>
        <v>10.5</v>
      </c>
      <c r="M931" s="81" t="n">
        <f aca="false">IF(L931&lt;&gt;"",L931*1.1,"")</f>
        <v>11.55</v>
      </c>
      <c r="N931" s="47" t="n">
        <f aca="false">IF(F931="S",L931*0.02,0)</f>
        <v>0</v>
      </c>
      <c r="O931" s="82" t="n">
        <f aca="false">IF(L931&lt;&gt;"",L931+N931,"")</f>
        <v>10.5</v>
      </c>
      <c r="P931" s="47" t="n">
        <f aca="false">IF(O931&lt;&gt;"",O931*0.1,"")</f>
        <v>1.05</v>
      </c>
      <c r="Q931" s="83" t="n">
        <f aca="false">IF(O931&lt;&gt;"",O931+P931,"")</f>
        <v>11.55</v>
      </c>
      <c r="R931" s="84" t="s">
        <v>365</v>
      </c>
    </row>
    <row r="932" customFormat="false" ht="15" hidden="false" customHeight="true" outlineLevel="0" collapsed="false">
      <c r="A932" s="103" t="n">
        <v>56077</v>
      </c>
      <c r="B932" s="73" t="n">
        <v>46223</v>
      </c>
      <c r="C932" s="74" t="s">
        <v>483</v>
      </c>
      <c r="D932" s="75" t="n">
        <v>50048</v>
      </c>
      <c r="E932" s="52" t="str">
        <f aca="false">IF(D932&lt;&gt;"",IFERROR(VLOOKUP(D932,PROVEEDORES!$A:$B,2,0),"!COD NO ENCONTRADO"),"")</f>
        <v>JOSE LUIS CORREA KESSLER S.L.</v>
      </c>
      <c r="F932" s="76" t="str">
        <f aca="false">IF(D932&lt;&gt;"",IFERROR(VLOOKUP(D932,PROVEEDORES!$A:$C,3,0),""),"")</f>
        <v>N</v>
      </c>
      <c r="G932" s="75" t="s">
        <v>179</v>
      </c>
      <c r="H932" s="52" t="str">
        <f aca="false">IF(G932&lt;&gt;"",IFERROR(VLOOKUP(G932,PRODUCTOS!$A:$B,2,0),"!COD NO ENCONTRADO"),"")</f>
        <v>LIRIO/ BACALADILLA/ PERLA (WHB)</v>
      </c>
      <c r="I932" s="77" t="n">
        <v>1</v>
      </c>
      <c r="J932" s="78" t="n">
        <v>6</v>
      </c>
      <c r="K932" s="125" t="n">
        <v>2.05</v>
      </c>
      <c r="L932" s="80" t="n">
        <f aca="false">IF(AND(J932&lt;&gt;"",K932&lt;&gt;""),J932*K932,"")</f>
        <v>12.3</v>
      </c>
      <c r="M932" s="81" t="n">
        <f aca="false">IF(L932&lt;&gt;"",L932*1.1,"")</f>
        <v>13.53</v>
      </c>
      <c r="N932" s="53" t="n">
        <f aca="false">IF(F932="S",L932*0.02,0)</f>
        <v>0</v>
      </c>
      <c r="O932" s="82" t="n">
        <f aca="false">IF(L932&lt;&gt;"",L932+N932,"")</f>
        <v>12.3</v>
      </c>
      <c r="P932" s="53" t="n">
        <f aca="false">IF(O932&lt;&gt;"",O932*0.1,"")</f>
        <v>1.23</v>
      </c>
      <c r="Q932" s="83" t="n">
        <f aca="false">IF(O932&lt;&gt;"",O932+P932,"")</f>
        <v>13.53</v>
      </c>
      <c r="R932" s="84" t="s">
        <v>365</v>
      </c>
    </row>
    <row r="933" customFormat="false" ht="15" hidden="false" customHeight="true" outlineLevel="0" collapsed="false">
      <c r="A933" s="103" t="n">
        <v>56078</v>
      </c>
      <c r="B933" s="85" t="n">
        <v>46223</v>
      </c>
      <c r="C933" s="86" t="n">
        <v>17072605</v>
      </c>
      <c r="D933" s="87" t="n">
        <v>50532</v>
      </c>
      <c r="E933" s="46" t="str">
        <f aca="false">IF(D933&lt;&gt;"",IFERROR(VLOOKUP(D933,PROVEEDORES!$A:$B,2,0),"!COD NO ENCONTRADO"),"")</f>
        <v>AITORPESCA S.L.</v>
      </c>
      <c r="F933" s="88" t="str">
        <f aca="false">IF(D933&lt;&gt;"",IFERROR(VLOOKUP(D933,PROVEEDORES!$A:$C,3,0),""),"")</f>
        <v>N</v>
      </c>
      <c r="G933" s="87" t="s">
        <v>181</v>
      </c>
      <c r="H933" s="46" t="str">
        <f aca="false">IF(G933&lt;&gt;"",IFERROR(VLOOKUP(G933,PRODUCTOS!$A:$B,2,0),"!COD NO ENCONTRADO"),"")</f>
        <v>LIRIO EN FILETES</v>
      </c>
      <c r="I933" s="89" t="n">
        <v>5</v>
      </c>
      <c r="J933" s="90" t="n">
        <v>10</v>
      </c>
      <c r="K933" s="91" t="n">
        <v>4.4</v>
      </c>
      <c r="L933" s="80" t="n">
        <f aca="false">IF(AND(J933&lt;&gt;"",K933&lt;&gt;""),J933*K933,"")</f>
        <v>44</v>
      </c>
      <c r="M933" s="81" t="n">
        <f aca="false">IF(L933&lt;&gt;"",L933*1.1,"")</f>
        <v>48.4</v>
      </c>
      <c r="N933" s="47" t="n">
        <f aca="false">IF(F933="S",L933*0.02,0)</f>
        <v>0</v>
      </c>
      <c r="O933" s="82" t="n">
        <f aca="false">IF(L933&lt;&gt;"",L933+N933,"")</f>
        <v>44</v>
      </c>
      <c r="P933" s="47" t="n">
        <f aca="false">IF(O933&lt;&gt;"",O933*0.1,"")</f>
        <v>4.4</v>
      </c>
      <c r="Q933" s="83" t="n">
        <f aca="false">IF(O933&lt;&gt;"",O933+P933,"")</f>
        <v>48.4</v>
      </c>
      <c r="R933" s="84" t="s">
        <v>365</v>
      </c>
    </row>
    <row r="934" customFormat="false" ht="15" hidden="false" customHeight="true" outlineLevel="0" collapsed="false">
      <c r="A934" s="103" t="n">
        <v>56079</v>
      </c>
      <c r="B934" s="73" t="n">
        <v>46223</v>
      </c>
      <c r="C934" s="74" t="s">
        <v>484</v>
      </c>
      <c r="D934" s="75" t="n">
        <v>50035</v>
      </c>
      <c r="E934" s="52" t="str">
        <f aca="false">IF(D934&lt;&gt;"",IFERROR(VLOOKUP(D934,PROVEEDORES!$A:$B,2,0),"!COD NO ENCONTRADO"),"")</f>
        <v>SCANFISK SEAFFOD S,L</v>
      </c>
      <c r="F934" s="76" t="str">
        <f aca="false">IF(D934&lt;&gt;"",IFERROR(VLOOKUP(D934,PROVEEDORES!$A:$C,3,0),""),"")</f>
        <v>N</v>
      </c>
      <c r="G934" s="75" t="s">
        <v>246</v>
      </c>
      <c r="H934" s="52" t="str">
        <f aca="false">IF(G934&lt;&gt;"",IFERROR(VLOOKUP(G934,PRODUCTOS!$A:$B,2,0),"!COD NO ENCONTRADO"),"")</f>
        <v>MERLUZA EUROPEA VOLANTA ALTURA</v>
      </c>
      <c r="I934" s="77" t="n">
        <v>4</v>
      </c>
      <c r="J934" s="78" t="n">
        <v>43.7</v>
      </c>
      <c r="K934" s="79" t="n">
        <v>8.3</v>
      </c>
      <c r="L934" s="80" t="n">
        <f aca="false">IF(AND(J934&lt;&gt;"",K934&lt;&gt;""),J934*K934,"")</f>
        <v>362.71</v>
      </c>
      <c r="M934" s="81" t="n">
        <f aca="false">IF(L934&lt;&gt;"",L934*1.1,"")</f>
        <v>398.981</v>
      </c>
      <c r="N934" s="53" t="n">
        <f aca="false">IF(F934="S",L934*0.02,0)</f>
        <v>0</v>
      </c>
      <c r="O934" s="82" t="n">
        <f aca="false">IF(L934&lt;&gt;"",L934+N934,"")</f>
        <v>362.71</v>
      </c>
      <c r="P934" s="53" t="n">
        <f aca="false">IF(O934&lt;&gt;"",O934*0.1,"")</f>
        <v>36.271</v>
      </c>
      <c r="Q934" s="83" t="n">
        <f aca="false">IF(O934&lt;&gt;"",O934+P934,"")</f>
        <v>398.981</v>
      </c>
      <c r="R934" s="84" t="s">
        <v>365</v>
      </c>
    </row>
    <row r="935" customFormat="false" ht="15" hidden="false" customHeight="true" outlineLevel="0" collapsed="false">
      <c r="A935" s="103" t="n">
        <v>56080</v>
      </c>
      <c r="B935" s="85" t="n">
        <v>46223</v>
      </c>
      <c r="C935" s="86" t="s">
        <v>485</v>
      </c>
      <c r="D935" s="87" t="n">
        <v>50533</v>
      </c>
      <c r="E935" s="46" t="str">
        <f aca="false">IF(D935&lt;&gt;"",IFERROR(VLOOKUP(D935,PROVEEDORES!$A:$B,2,0),"!COD NO ENCONTRADO"),"")</f>
        <v>LURDES MARIÑO, S.L.</v>
      </c>
      <c r="F935" s="88" t="str">
        <f aca="false">IF(D935&lt;&gt;"",IFERROR(VLOOKUP(D935,PROVEEDORES!$A:$C,3,0),""),"")</f>
        <v>N</v>
      </c>
      <c r="G935" s="87" t="s">
        <v>408</v>
      </c>
      <c r="H935" s="46" t="str">
        <f aca="false">IF(G935&lt;&gt;"",IFERROR(VLOOKUP(G935,PRODUCTOS!$A:$B,2,0),"!COD NO ENCONTRADO"),"")</f>
        <v>MEJILLON SACO</v>
      </c>
      <c r="I935" s="89" t="n">
        <v>13</v>
      </c>
      <c r="J935" s="90" t="n">
        <v>65</v>
      </c>
      <c r="K935" s="125" t="n">
        <v>1.4</v>
      </c>
      <c r="L935" s="80" t="n">
        <f aca="false">IF(AND(J935&lt;&gt;"",K935&lt;&gt;""),J935*K935,"")</f>
        <v>91</v>
      </c>
      <c r="M935" s="81" t="n">
        <f aca="false">IF(L935&lt;&gt;"",L935*1.1,"")</f>
        <v>100.1</v>
      </c>
      <c r="N935" s="47" t="n">
        <f aca="false">IF(F935="S",L935*0.02,0)</f>
        <v>0</v>
      </c>
      <c r="O935" s="82" t="n">
        <f aca="false">IF(L935&lt;&gt;"",L935+N935,"")</f>
        <v>91</v>
      </c>
      <c r="P935" s="47" t="n">
        <f aca="false">IF(O935&lt;&gt;"",O935*0.1,"")</f>
        <v>9.1</v>
      </c>
      <c r="Q935" s="83" t="n">
        <f aca="false">IF(O935&lt;&gt;"",O935+P935,"")</f>
        <v>100.1</v>
      </c>
      <c r="R935" s="84" t="s">
        <v>365</v>
      </c>
    </row>
    <row r="936" customFormat="false" ht="15" hidden="false" customHeight="true" outlineLevel="0" collapsed="false">
      <c r="A936" s="103" t="n">
        <v>56081</v>
      </c>
      <c r="B936" s="73" t="n">
        <v>46224</v>
      </c>
      <c r="C936" s="86" t="s">
        <v>486</v>
      </c>
      <c r="D936" s="75" t="n">
        <v>50232</v>
      </c>
      <c r="E936" s="52" t="str">
        <f aca="false">IF(D936&lt;&gt;"",IFERROR(VLOOKUP(D936,PROVEEDORES!$A:$B,2,0),"!COD NO ENCONTRADO"),"")</f>
        <v>XESTION NOVA LONXA RIVEIRA S.L.</v>
      </c>
      <c r="F936" s="76" t="str">
        <f aca="false">IF(D936&lt;&gt;"",IFERROR(VLOOKUP(D936,PROVEEDORES!$A:$C,3,0),""),"")</f>
        <v>S</v>
      </c>
      <c r="G936" s="75" t="s">
        <v>179</v>
      </c>
      <c r="H936" s="52" t="str">
        <f aca="false">IF(G936&lt;&gt;"",IFERROR(VLOOKUP(G936,PRODUCTOS!$A:$B,2,0),"!COD NO ENCONTRADO"),"")</f>
        <v>LIRIO/ BACALADILLA/ PERLA (WHB)</v>
      </c>
      <c r="I936" s="77" t="n">
        <v>1</v>
      </c>
      <c r="J936" s="105" t="n">
        <v>175</v>
      </c>
      <c r="K936" s="125" t="n">
        <v>1.57</v>
      </c>
      <c r="L936" s="80" t="n">
        <f aca="false">IF(AND(J936&lt;&gt;"",K936&lt;&gt;""),J936*K936,"")</f>
        <v>274.75</v>
      </c>
      <c r="M936" s="81" t="n">
        <f aca="false">IF(L936&lt;&gt;"",L936*1.1,"")</f>
        <v>302.225</v>
      </c>
      <c r="N936" s="53" t="n">
        <f aca="false">IF(F936="S",L936*0.02,0)</f>
        <v>5.495</v>
      </c>
      <c r="O936" s="82" t="n">
        <f aca="false">IF(L936&lt;&gt;"",L936+N936,"")</f>
        <v>280.245</v>
      </c>
      <c r="P936" s="53" t="n">
        <f aca="false">IF(O936&lt;&gt;"",O936*0.1,"")</f>
        <v>28.0245</v>
      </c>
      <c r="Q936" s="83" t="n">
        <f aca="false">IF(O936&lt;&gt;"",O936+P936,"")</f>
        <v>308.2695</v>
      </c>
      <c r="R936" s="84" t="s">
        <v>365</v>
      </c>
    </row>
    <row r="937" customFormat="false" ht="15" hidden="false" customHeight="true" outlineLevel="0" collapsed="false">
      <c r="A937" s="103" t="n">
        <v>56081</v>
      </c>
      <c r="B937" s="73" t="n">
        <v>46224</v>
      </c>
      <c r="C937" s="86" t="s">
        <v>486</v>
      </c>
      <c r="D937" s="87" t="n">
        <v>50232</v>
      </c>
      <c r="E937" s="46" t="str">
        <f aca="false">IF(D937&lt;&gt;"",IFERROR(VLOOKUP(D937,PROVEEDORES!$A:$B,2,0),"!COD NO ENCONTRADO"),"")</f>
        <v>XESTION NOVA LONXA RIVEIRA S.L.</v>
      </c>
      <c r="F937" s="88" t="str">
        <f aca="false">IF(D937&lt;&gt;"",IFERROR(VLOOKUP(D937,PROVEEDORES!$A:$C,3,0),""),"")</f>
        <v>S</v>
      </c>
      <c r="G937" s="87" t="s">
        <v>324</v>
      </c>
      <c r="H937" s="46" t="str">
        <f aca="false">IF(G937&lt;&gt;"",IFERROR(VLOOKUP(G937,PRODUCTOS!$A:$B,2,0),"!COD NO ENCONTRADO"),"")</f>
        <v>SARDINA    (PIL)</v>
      </c>
      <c r="I937" s="89" t="n">
        <v>1</v>
      </c>
      <c r="J937" s="105" t="n">
        <v>517</v>
      </c>
      <c r="K937" s="125" t="n">
        <v>2.14</v>
      </c>
      <c r="L937" s="80" t="n">
        <f aca="false">IF(AND(J937&lt;&gt;"",K937&lt;&gt;""),J937*K937,"")</f>
        <v>1106.38</v>
      </c>
      <c r="M937" s="81" t="n">
        <f aca="false">IF(L937&lt;&gt;"",L937*1.1,"")</f>
        <v>1217.018</v>
      </c>
      <c r="N937" s="47" t="n">
        <f aca="false">IF(F937="S",L937*0.02,0)</f>
        <v>22.1276</v>
      </c>
      <c r="O937" s="82" t="n">
        <f aca="false">IF(L937&lt;&gt;"",L937+N937,"")</f>
        <v>1128.5076</v>
      </c>
      <c r="P937" s="47" t="n">
        <f aca="false">IF(O937&lt;&gt;"",O937*0.1,"")</f>
        <v>112.85076</v>
      </c>
      <c r="Q937" s="83" t="n">
        <f aca="false">IF(O937&lt;&gt;"",O937+P937,"")</f>
        <v>1241.35836</v>
      </c>
      <c r="R937" s="84" t="s">
        <v>365</v>
      </c>
    </row>
    <row r="938" customFormat="false" ht="15" hidden="false" customHeight="true" outlineLevel="0" collapsed="false">
      <c r="A938" s="103" t="n">
        <v>56081</v>
      </c>
      <c r="B938" s="85" t="n">
        <v>46224</v>
      </c>
      <c r="C938" s="86" t="s">
        <v>486</v>
      </c>
      <c r="D938" s="87" t="n">
        <v>50232</v>
      </c>
      <c r="E938" s="46" t="str">
        <f aca="false">IF(D938&lt;&gt;"",IFERROR(VLOOKUP(D938,PROVEEDORES!$A:$B,2,0),"!COD NO ENCONTRADO"),"")</f>
        <v>XESTION NOVA LONXA RIVEIRA S.L.</v>
      </c>
      <c r="F938" s="88" t="str">
        <f aca="false">IF(D938&lt;&gt;"",IFERROR(VLOOKUP(D938,PROVEEDORES!$A:$C,3,0),""),"")</f>
        <v>S</v>
      </c>
      <c r="G938" s="87" t="s">
        <v>179</v>
      </c>
      <c r="H938" s="46" t="str">
        <f aca="false">IF(G938&lt;&gt;"",IFERROR(VLOOKUP(G938,PRODUCTOS!$A:$B,2,0),"!COD NO ENCONTRADO"),"")</f>
        <v>LIRIO/ BACALADILLA/ PERLA (WHB)</v>
      </c>
      <c r="I938" s="89" t="n">
        <v>10</v>
      </c>
      <c r="J938" s="90" t="n">
        <v>156.3</v>
      </c>
      <c r="K938" s="91" t="n">
        <v>1.6</v>
      </c>
      <c r="L938" s="80" t="n">
        <f aca="false">IF(AND(J938&lt;&gt;"",K938&lt;&gt;""),J938*K938,"")</f>
        <v>250.08</v>
      </c>
      <c r="M938" s="81" t="n">
        <f aca="false">IF(L938&lt;&gt;"",L938*1.1,"")</f>
        <v>275.088</v>
      </c>
      <c r="N938" s="47" t="n">
        <f aca="false">IF(F938="S",L938*0.02,0)</f>
        <v>5.0016</v>
      </c>
      <c r="O938" s="82" t="n">
        <f aca="false">IF(L938&lt;&gt;"",L938+N938,"")</f>
        <v>255.0816</v>
      </c>
      <c r="P938" s="47" t="n">
        <f aca="false">IF(O938&lt;&gt;"",O938*0.1,"")</f>
        <v>25.50816</v>
      </c>
      <c r="Q938" s="83" t="n">
        <f aca="false">IF(O938&lt;&gt;"",O938+P938,"")</f>
        <v>280.58976</v>
      </c>
      <c r="R938" s="84" t="s">
        <v>365</v>
      </c>
    </row>
    <row r="939" customFormat="false" ht="15" hidden="false" customHeight="true" outlineLevel="0" collapsed="false">
      <c r="A939" s="103" t="n">
        <v>56082</v>
      </c>
      <c r="B939" s="73" t="n">
        <v>46224</v>
      </c>
      <c r="C939" s="74" t="s">
        <v>487</v>
      </c>
      <c r="D939" s="75" t="n">
        <v>50160</v>
      </c>
      <c r="E939" s="52" t="str">
        <f aca="false">IF(D939&lt;&gt;"",IFERROR(VLOOKUP(D939,PROVEEDORES!$A:$B,2,0),"!COD NO ENCONTRADO"),"")</f>
        <v>SUBASTAS CORUÑA S.L.</v>
      </c>
      <c r="F939" s="76" t="str">
        <f aca="false">IF(D939&lt;&gt;"",IFERROR(VLOOKUP(D939,PROVEEDORES!$A:$C,3,0),""),"")</f>
        <v>S</v>
      </c>
      <c r="G939" s="75" t="s">
        <v>179</v>
      </c>
      <c r="H939" s="52" t="str">
        <f aca="false">IF(G939&lt;&gt;"",IFERROR(VLOOKUP(G939,PRODUCTOS!$A:$B,2,0),"!COD NO ENCONTRADO"),"")</f>
        <v>LIRIO/ BACALADILLA/ PERLA (WHB)</v>
      </c>
      <c r="I939" s="77" t="n">
        <v>10</v>
      </c>
      <c r="J939" s="78" t="n">
        <v>150</v>
      </c>
      <c r="K939" s="79" t="n">
        <v>1.6</v>
      </c>
      <c r="L939" s="80" t="n">
        <f aca="false">IF(AND(J939&lt;&gt;"",K939&lt;&gt;""),J939*K939,"")</f>
        <v>240</v>
      </c>
      <c r="M939" s="81" t="n">
        <f aca="false">IF(L939&lt;&gt;"",L939*1.1,"")</f>
        <v>264</v>
      </c>
      <c r="N939" s="53" t="n">
        <f aca="false">IF(F939="S",L939*0.02,0)</f>
        <v>4.8</v>
      </c>
      <c r="O939" s="82" t="n">
        <f aca="false">IF(L939&lt;&gt;"",L939+N939,"")</f>
        <v>244.8</v>
      </c>
      <c r="P939" s="53" t="n">
        <f aca="false">IF(O939&lt;&gt;"",O939*0.1,"")</f>
        <v>24.48</v>
      </c>
      <c r="Q939" s="83" t="n">
        <f aca="false">IF(O939&lt;&gt;"",O939+P939,"")</f>
        <v>269.28</v>
      </c>
      <c r="R939" s="84" t="s">
        <v>358</v>
      </c>
    </row>
    <row r="940" customFormat="false" ht="15" hidden="false" customHeight="true" outlineLevel="0" collapsed="false">
      <c r="A940" s="103" t="n">
        <v>56083</v>
      </c>
      <c r="B940" s="73" t="n">
        <v>46224</v>
      </c>
      <c r="C940" s="86" t="n">
        <v>10483</v>
      </c>
      <c r="D940" s="87" t="n">
        <v>50001</v>
      </c>
      <c r="E940" s="46" t="str">
        <f aca="false">IF(D940&lt;&gt;"",IFERROR(VLOOKUP(D940,PROVEEDORES!$A:$B,2,0),"!COD NO ENCONTRADO"),"")</f>
        <v>COPESA</v>
      </c>
      <c r="F940" s="88" t="str">
        <f aca="false">IF(D940&lt;&gt;"",IFERROR(VLOOKUP(D940,PROVEEDORES!$A:$C,3,0),""),"")</f>
        <v>S</v>
      </c>
      <c r="G940" s="87" t="s">
        <v>81</v>
      </c>
      <c r="H940" s="46" t="str">
        <f aca="false">IF(G940&lt;&gt;"",IFERROR(VLOOKUP(G940,PRODUCTOS!$A:$B,2,0),"!COD NO ENCONTRADO"),"")</f>
        <v>BERTORELLA (GFB)</v>
      </c>
      <c r="I940" s="89" t="n">
        <v>1</v>
      </c>
      <c r="J940" s="90" t="n">
        <v>28.25</v>
      </c>
      <c r="K940" s="91" t="n">
        <v>3.7</v>
      </c>
      <c r="L940" s="80" t="n">
        <f aca="false">IF(AND(J940&lt;&gt;"",K940&lt;&gt;""),J940*K940,"")</f>
        <v>104.525</v>
      </c>
      <c r="M940" s="81" t="n">
        <f aca="false">IF(L940&lt;&gt;"",L940*1.1,"")</f>
        <v>114.9775</v>
      </c>
      <c r="N940" s="47" t="n">
        <f aca="false">IF(F940="S",L940*0.02,0)</f>
        <v>2.0905</v>
      </c>
      <c r="O940" s="82" t="n">
        <f aca="false">IF(L940&lt;&gt;"",L940+N940,"")</f>
        <v>106.6155</v>
      </c>
      <c r="P940" s="47" t="n">
        <f aca="false">IF(O940&lt;&gt;"",O940*0.1,"")</f>
        <v>10.66155</v>
      </c>
      <c r="Q940" s="83" t="n">
        <f aca="false">IF(O940&lt;&gt;"",O940+P940,"")</f>
        <v>117.27705</v>
      </c>
      <c r="R940" s="84" t="s">
        <v>365</v>
      </c>
    </row>
    <row r="941" customFormat="false" ht="15" hidden="false" customHeight="true" outlineLevel="0" collapsed="false">
      <c r="A941" s="103" t="n">
        <v>56083</v>
      </c>
      <c r="B941" s="73" t="n">
        <v>46224</v>
      </c>
      <c r="C941" s="86" t="n">
        <v>10483</v>
      </c>
      <c r="D941" s="87" t="n">
        <v>50001</v>
      </c>
      <c r="E941" s="46" t="str">
        <f aca="false">IF(D941&lt;&gt;"",IFERROR(VLOOKUP(D941,PROVEEDORES!$A:$B,2,0),"!COD NO ENCONTRADO"),"")</f>
        <v>COPESA</v>
      </c>
      <c r="F941" s="88" t="str">
        <f aca="false">IF(D941&lt;&gt;"",IFERROR(VLOOKUP(D941,PROVEEDORES!$A:$C,3,0),""),"")</f>
        <v>S</v>
      </c>
      <c r="G941" s="87" t="s">
        <v>81</v>
      </c>
      <c r="H941" s="52" t="str">
        <f aca="false">IF(G941&lt;&gt;"",IFERROR(VLOOKUP(G941,PRODUCTOS!$A:$B,2,0),"!COD NO ENCONTRADO"),"")</f>
        <v>BERTORELLA (GFB)</v>
      </c>
      <c r="I941" s="77" t="n">
        <v>1</v>
      </c>
      <c r="J941" s="78" t="n">
        <v>28.25</v>
      </c>
      <c r="K941" s="79" t="n">
        <v>3.6</v>
      </c>
      <c r="L941" s="80" t="n">
        <f aca="false">IF(AND(J941&lt;&gt;"",K941&lt;&gt;""),J941*K941,"")</f>
        <v>101.7</v>
      </c>
      <c r="M941" s="81" t="n">
        <f aca="false">IF(L941&lt;&gt;"",L941*1.1,"")</f>
        <v>111.87</v>
      </c>
      <c r="N941" s="53" t="n">
        <f aca="false">IF(F941="S",L941*0.02,0)</f>
        <v>2.034</v>
      </c>
      <c r="O941" s="82" t="n">
        <f aca="false">IF(L941&lt;&gt;"",L941+N941,"")</f>
        <v>103.734</v>
      </c>
      <c r="P941" s="53" t="n">
        <f aca="false">IF(O941&lt;&gt;"",O941*0.1,"")</f>
        <v>10.3734</v>
      </c>
      <c r="Q941" s="83" t="n">
        <f aca="false">IF(O941&lt;&gt;"",O941+P941,"")</f>
        <v>114.1074</v>
      </c>
      <c r="R941" s="84" t="s">
        <v>365</v>
      </c>
    </row>
    <row r="942" customFormat="false" ht="15" hidden="false" customHeight="true" outlineLevel="0" collapsed="false">
      <c r="A942" s="103" t="n">
        <v>56083</v>
      </c>
      <c r="B942" s="73" t="n">
        <v>46224</v>
      </c>
      <c r="C942" s="86" t="n">
        <v>10483</v>
      </c>
      <c r="D942" s="87" t="n">
        <v>50001</v>
      </c>
      <c r="E942" s="46" t="str">
        <f aca="false">IF(D942&lt;&gt;"",IFERROR(VLOOKUP(D942,PROVEEDORES!$A:$B,2,0),"!COD NO ENCONTRADO"),"")</f>
        <v>COPESA</v>
      </c>
      <c r="F942" s="88" t="str">
        <f aca="false">IF(D942&lt;&gt;"",IFERROR(VLOOKUP(D942,PROVEEDORES!$A:$C,3,0),""),"")</f>
        <v>S</v>
      </c>
      <c r="G942" s="87" t="s">
        <v>81</v>
      </c>
      <c r="H942" s="46" t="str">
        <f aca="false">IF(G942&lt;&gt;"",IFERROR(VLOOKUP(G942,PRODUCTOS!$A:$B,2,0),"!COD NO ENCONTRADO"),"")</f>
        <v>BERTORELLA (GFB)</v>
      </c>
      <c r="I942" s="89" t="n">
        <v>1</v>
      </c>
      <c r="J942" s="90" t="n">
        <v>27</v>
      </c>
      <c r="K942" s="91" t="n">
        <v>4.3</v>
      </c>
      <c r="L942" s="80" t="n">
        <f aca="false">IF(AND(J942&lt;&gt;"",K942&lt;&gt;""),J942*K942,"")</f>
        <v>116.1</v>
      </c>
      <c r="M942" s="81" t="n">
        <f aca="false">IF(L942&lt;&gt;"",L942*1.1,"")</f>
        <v>127.71</v>
      </c>
      <c r="N942" s="47" t="n">
        <f aca="false">IF(F942="S",L942*0.02,0)</f>
        <v>2.322</v>
      </c>
      <c r="O942" s="82" t="n">
        <f aca="false">IF(L942&lt;&gt;"",L942+N942,"")</f>
        <v>118.422</v>
      </c>
      <c r="P942" s="47" t="n">
        <f aca="false">IF(O942&lt;&gt;"",O942*0.1,"")</f>
        <v>11.8422</v>
      </c>
      <c r="Q942" s="83" t="n">
        <f aca="false">IF(O942&lt;&gt;"",O942+P942,"")</f>
        <v>130.2642</v>
      </c>
      <c r="R942" s="84" t="s">
        <v>365</v>
      </c>
    </row>
    <row r="943" customFormat="false" ht="15" hidden="false" customHeight="true" outlineLevel="0" collapsed="false">
      <c r="A943" s="103" t="n">
        <v>56083</v>
      </c>
      <c r="B943" s="73" t="n">
        <v>46224</v>
      </c>
      <c r="C943" s="86" t="n">
        <v>10483</v>
      </c>
      <c r="D943" s="75" t="n">
        <v>50001</v>
      </c>
      <c r="E943" s="52" t="str">
        <f aca="false">IF(D943&lt;&gt;"",IFERROR(VLOOKUP(D943,PROVEEDORES!$A:$B,2,0),"!COD NO ENCONTRADO"),"")</f>
        <v>COPESA</v>
      </c>
      <c r="F943" s="76" t="str">
        <f aca="false">IF(D943&lt;&gt;"",IFERROR(VLOOKUP(D943,PROVEEDORES!$A:$C,3,0),""),"")</f>
        <v>S</v>
      </c>
      <c r="G943" s="75" t="s">
        <v>81</v>
      </c>
      <c r="H943" s="52" t="str">
        <f aca="false">IF(G943&lt;&gt;"",IFERROR(VLOOKUP(G943,PRODUCTOS!$A:$B,2,0),"!COD NO ENCONTRADO"),"")</f>
        <v>BERTORELLA (GFB)</v>
      </c>
      <c r="I943" s="77" t="n">
        <v>4</v>
      </c>
      <c r="J943" s="78" t="n">
        <v>70.75</v>
      </c>
      <c r="K943" s="79" t="n">
        <v>3.7</v>
      </c>
      <c r="L943" s="80" t="n">
        <f aca="false">IF(AND(J943&lt;&gt;"",K943&lt;&gt;""),J943*K943,"")</f>
        <v>261.775</v>
      </c>
      <c r="M943" s="81" t="n">
        <f aca="false">IF(L943&lt;&gt;"",L943*1.1,"")</f>
        <v>287.9525</v>
      </c>
      <c r="N943" s="53" t="n">
        <f aca="false">IF(F943="S",L943*0.02,0)</f>
        <v>5.2355</v>
      </c>
      <c r="O943" s="82" t="n">
        <f aca="false">IF(L943&lt;&gt;"",L943+N943,"")</f>
        <v>267.0105</v>
      </c>
      <c r="P943" s="53" t="n">
        <f aca="false">IF(O943&lt;&gt;"",O943*0.1,"")</f>
        <v>26.70105</v>
      </c>
      <c r="Q943" s="83" t="n">
        <f aca="false">IF(O943&lt;&gt;"",O943+P943,"")</f>
        <v>293.71155</v>
      </c>
      <c r="R943" s="84" t="s">
        <v>365</v>
      </c>
    </row>
    <row r="944" customFormat="false" ht="15" hidden="false" customHeight="true" outlineLevel="0" collapsed="false">
      <c r="A944" s="103" t="n">
        <v>56084</v>
      </c>
      <c r="B944" s="73" t="n">
        <v>46224</v>
      </c>
      <c r="C944" s="86" t="s">
        <v>488</v>
      </c>
      <c r="D944" s="87" t="n">
        <v>50010</v>
      </c>
      <c r="E944" s="46" t="str">
        <f aca="false">IF(D944&lt;&gt;"",IFERROR(VLOOKUP(D944,PROVEEDORES!$A:$B,2,0),"!COD NO ENCONTRADO"),"")</f>
        <v>PERFECTO MONTERO</v>
      </c>
      <c r="F944" s="88" t="str">
        <f aca="false">IF(D944&lt;&gt;"",IFERROR(VLOOKUP(D944,PROVEEDORES!$A:$C,3,0),""),"")</f>
        <v>S</v>
      </c>
      <c r="G944" s="87" t="s">
        <v>91</v>
      </c>
      <c r="H944" s="46" t="str">
        <f aca="false">IF(G944&lt;&gt;"",IFERROR(VLOOKUP(G944,PRODUCTOS!$A:$B,2,0),"!COD NO ENCONTRADO"),"")</f>
        <v>BONITO DEL NORTE 5/7</v>
      </c>
      <c r="I944" s="89" t="n">
        <v>3</v>
      </c>
      <c r="J944" s="90" t="n">
        <v>129</v>
      </c>
      <c r="K944" s="91" t="n">
        <v>3.65</v>
      </c>
      <c r="L944" s="80" t="n">
        <f aca="false">IF(AND(J944&lt;&gt;"",K944&lt;&gt;""),J944*K944,"")</f>
        <v>470.85</v>
      </c>
      <c r="M944" s="81" t="n">
        <f aca="false">IF(L944&lt;&gt;"",L944*1.1,"")</f>
        <v>517.935</v>
      </c>
      <c r="N944" s="47" t="n">
        <f aca="false">IF(F944="S",L944*0.02,0)</f>
        <v>9.417</v>
      </c>
      <c r="O944" s="82" t="n">
        <f aca="false">IF(L944&lt;&gt;"",L944+N944,"")</f>
        <v>480.267</v>
      </c>
      <c r="P944" s="47" t="n">
        <f aca="false">IF(O944&lt;&gt;"",O944*0.1,"")</f>
        <v>48.0267</v>
      </c>
      <c r="Q944" s="83" t="n">
        <f aca="false">IF(O944&lt;&gt;"",O944+P944,"")</f>
        <v>528.2937</v>
      </c>
      <c r="R944" s="84" t="s">
        <v>365</v>
      </c>
    </row>
    <row r="945" customFormat="false" ht="15" hidden="false" customHeight="true" outlineLevel="0" collapsed="false">
      <c r="A945" s="103" t="n">
        <v>56084</v>
      </c>
      <c r="B945" s="73" t="n">
        <v>46224</v>
      </c>
      <c r="C945" s="86" t="s">
        <v>488</v>
      </c>
      <c r="D945" s="75" t="n">
        <v>50010</v>
      </c>
      <c r="E945" s="52" t="str">
        <f aca="false">IF(D945&lt;&gt;"",IFERROR(VLOOKUP(D945,PROVEEDORES!$A:$B,2,0),"!COD NO ENCONTRADO"),"")</f>
        <v>PERFECTO MONTERO</v>
      </c>
      <c r="F945" s="76" t="str">
        <f aca="false">IF(D945&lt;&gt;"",IFERROR(VLOOKUP(D945,PROVEEDORES!$A:$C,3,0),""),"")</f>
        <v>S</v>
      </c>
      <c r="G945" s="75" t="s">
        <v>91</v>
      </c>
      <c r="H945" s="52" t="str">
        <f aca="false">IF(G945&lt;&gt;"",IFERROR(VLOOKUP(G945,PRODUCTOS!$A:$B,2,0),"!COD NO ENCONTRADO"),"")</f>
        <v>BONITO DEL NORTE 5/7</v>
      </c>
      <c r="I945" s="77" t="n">
        <v>2</v>
      </c>
      <c r="J945" s="78" t="n">
        <v>87.25</v>
      </c>
      <c r="K945" s="79" t="n">
        <v>3.65</v>
      </c>
      <c r="L945" s="80" t="n">
        <f aca="false">IF(AND(J945&lt;&gt;"",K945&lt;&gt;""),J945*K945,"")</f>
        <v>318.4625</v>
      </c>
      <c r="M945" s="81" t="n">
        <f aca="false">IF(L945&lt;&gt;"",L945*1.1,"")</f>
        <v>350.30875</v>
      </c>
      <c r="N945" s="53" t="n">
        <f aca="false">IF(F945="S",L945*0.02,0)</f>
        <v>6.36925</v>
      </c>
      <c r="O945" s="82" t="n">
        <f aca="false">IF(L945&lt;&gt;"",L945+N945,"")</f>
        <v>324.83175</v>
      </c>
      <c r="P945" s="53" t="n">
        <f aca="false">IF(O945&lt;&gt;"",O945*0.1,"")</f>
        <v>32.483175</v>
      </c>
      <c r="Q945" s="83" t="n">
        <f aca="false">IF(O945&lt;&gt;"",O945+P945,"")</f>
        <v>357.314925</v>
      </c>
      <c r="R945" s="84" t="s">
        <v>365</v>
      </c>
    </row>
    <row r="946" customFormat="false" ht="15" hidden="false" customHeight="true" outlineLevel="0" collapsed="false">
      <c r="A946" s="103" t="n">
        <v>56084</v>
      </c>
      <c r="B946" s="73" t="n">
        <v>46224</v>
      </c>
      <c r="C946" s="86" t="s">
        <v>488</v>
      </c>
      <c r="D946" s="87" t="n">
        <v>50010</v>
      </c>
      <c r="E946" s="46" t="str">
        <f aca="false">IF(D946&lt;&gt;"",IFERROR(VLOOKUP(D946,PROVEEDORES!$A:$B,2,0),"!COD NO ENCONTRADO"),"")</f>
        <v>PERFECTO MONTERO</v>
      </c>
      <c r="F946" s="88" t="str">
        <f aca="false">IF(D946&lt;&gt;"",IFERROR(VLOOKUP(D946,PROVEEDORES!$A:$C,3,0),""),"")</f>
        <v>S</v>
      </c>
      <c r="G946" s="87" t="s">
        <v>452</v>
      </c>
      <c r="H946" s="46" t="str">
        <f aca="false">IF(G946&lt;&gt;"",IFERROR(VLOOKUP(G946,PRODUCTOS!$A:$B,2,0),"!COD NO ENCONTRADO"),"")</f>
        <v>BONITO DEL NORTE  +10 (ALB)</v>
      </c>
      <c r="I946" s="89" t="n">
        <v>2</v>
      </c>
      <c r="J946" s="90" t="n">
        <v>58.5</v>
      </c>
      <c r="K946" s="91" t="n">
        <v>5.3</v>
      </c>
      <c r="L946" s="80" t="n">
        <f aca="false">IF(AND(J946&lt;&gt;"",K946&lt;&gt;""),J946*K946,"")</f>
        <v>310.05</v>
      </c>
      <c r="M946" s="81" t="n">
        <f aca="false">IF(L946&lt;&gt;"",L946*1.1,"")</f>
        <v>341.055</v>
      </c>
      <c r="N946" s="47" t="n">
        <f aca="false">IF(F946="S",L946*0.02,0)</f>
        <v>6.201</v>
      </c>
      <c r="O946" s="82" t="n">
        <f aca="false">IF(L946&lt;&gt;"",L946+N946,"")</f>
        <v>316.251</v>
      </c>
      <c r="P946" s="47" t="n">
        <f aca="false">IF(O946&lt;&gt;"",O946*0.1,"")</f>
        <v>31.6251</v>
      </c>
      <c r="Q946" s="83" t="n">
        <f aca="false">IF(O946&lt;&gt;"",O946+P946,"")</f>
        <v>347.8761</v>
      </c>
      <c r="R946" s="84" t="s">
        <v>365</v>
      </c>
    </row>
    <row r="947" customFormat="false" ht="15" hidden="false" customHeight="true" outlineLevel="0" collapsed="false">
      <c r="A947" s="103" t="n">
        <v>56085</v>
      </c>
      <c r="B947" s="73" t="n">
        <v>46224</v>
      </c>
      <c r="C947" s="74" t="n">
        <v>7751</v>
      </c>
      <c r="D947" s="75" t="n">
        <v>50020</v>
      </c>
      <c r="E947" s="52" t="str">
        <f aca="false">IF(D947&lt;&gt;"",IFERROR(VLOOKUP(D947,PROVEEDORES!$A:$B,2,0),"!COD NO ENCONTRADO"),"")</f>
        <v>PACO MOINELO</v>
      </c>
      <c r="F947" s="76" t="str">
        <f aca="false">IF(D947&lt;&gt;"",IFERROR(VLOOKUP(D947,PROVEEDORES!$A:$C,3,0),""),"")</f>
        <v>S</v>
      </c>
      <c r="G947" s="75" t="s">
        <v>99</v>
      </c>
      <c r="H947" s="52" t="str">
        <f aca="false">IF(G947&lt;&gt;"",IFERROR(VLOOKUP(G947,PRODUCTOS!$A:$B,2,0),"!COD NO ENCONTRADO"),"")</f>
        <v>CABRACHO/ ESCARAPOTE (RSE)</v>
      </c>
      <c r="I947" s="77" t="n">
        <v>2</v>
      </c>
      <c r="J947" s="78" t="n">
        <v>19.75</v>
      </c>
      <c r="K947" s="79" t="n">
        <v>7.4</v>
      </c>
      <c r="L947" s="80" t="n">
        <f aca="false">IF(AND(J947&lt;&gt;"",K947&lt;&gt;""),J947*K947,"")</f>
        <v>146.15</v>
      </c>
      <c r="M947" s="81" t="n">
        <f aca="false">IF(L947&lt;&gt;"",L947*1.1,"")</f>
        <v>160.765</v>
      </c>
      <c r="N947" s="53" t="n">
        <f aca="false">IF(F947="S",L947*0.02,0)</f>
        <v>2.923</v>
      </c>
      <c r="O947" s="82" t="n">
        <f aca="false">IF(L947&lt;&gt;"",L947+N947,"")</f>
        <v>149.073</v>
      </c>
      <c r="P947" s="53" t="n">
        <f aca="false">IF(O947&lt;&gt;"",O947*0.1,"")</f>
        <v>14.9073</v>
      </c>
      <c r="Q947" s="83" t="n">
        <f aca="false">IF(O947&lt;&gt;"",O947+P947,"")</f>
        <v>163.9803</v>
      </c>
      <c r="R947" s="84" t="s">
        <v>365</v>
      </c>
    </row>
    <row r="948" customFormat="false" ht="15" hidden="false" customHeight="true" outlineLevel="0" collapsed="false">
      <c r="A948" s="103" t="n">
        <v>56085</v>
      </c>
      <c r="B948" s="73" t="n">
        <v>46224</v>
      </c>
      <c r="C948" s="86" t="n">
        <v>7751</v>
      </c>
      <c r="D948" s="87" t="n">
        <v>50020</v>
      </c>
      <c r="E948" s="46" t="str">
        <f aca="false">IF(D948&lt;&gt;"",IFERROR(VLOOKUP(D948,PROVEEDORES!$A:$B,2,0),"!COD NO ENCONTRADO"),"")</f>
        <v>PACO MOINELO</v>
      </c>
      <c r="F948" s="88" t="str">
        <f aca="false">IF(D948&lt;&gt;"",IFERROR(VLOOKUP(D948,PROVEEDORES!$A:$C,3,0),""),"")</f>
        <v>S</v>
      </c>
      <c r="G948" s="87" t="s">
        <v>99</v>
      </c>
      <c r="H948" s="46" t="str">
        <f aca="false">IF(G948&lt;&gt;"",IFERROR(VLOOKUP(G948,PRODUCTOS!$A:$B,2,0),"!COD NO ENCONTRADO"),"")</f>
        <v>CABRACHO/ ESCARAPOTE (RSE)</v>
      </c>
      <c r="I948" s="89" t="n">
        <v>1</v>
      </c>
      <c r="J948" s="90" t="n">
        <v>9.75</v>
      </c>
      <c r="K948" s="91" t="n">
        <v>7.8</v>
      </c>
      <c r="L948" s="80" t="n">
        <f aca="false">IF(AND(J948&lt;&gt;"",K948&lt;&gt;""),J948*K948,"")</f>
        <v>76.05</v>
      </c>
      <c r="M948" s="81" t="n">
        <f aca="false">IF(L948&lt;&gt;"",L948*1.1,"")</f>
        <v>83.655</v>
      </c>
      <c r="N948" s="47" t="n">
        <f aca="false">IF(F948="S",L948*0.02,0)</f>
        <v>1.521</v>
      </c>
      <c r="O948" s="82" t="n">
        <f aca="false">IF(L948&lt;&gt;"",L948+N948,"")</f>
        <v>77.571</v>
      </c>
      <c r="P948" s="47" t="n">
        <f aca="false">IF(O948&lt;&gt;"",O948*0.1,"")</f>
        <v>7.7571</v>
      </c>
      <c r="Q948" s="83" t="n">
        <f aca="false">IF(O948&lt;&gt;"",O948+P948,"")</f>
        <v>85.3281</v>
      </c>
      <c r="R948" s="84" t="s">
        <v>365</v>
      </c>
    </row>
    <row r="949" customFormat="false" ht="15" hidden="false" customHeight="true" outlineLevel="0" collapsed="false">
      <c r="A949" s="103" t="n">
        <v>56085</v>
      </c>
      <c r="B949" s="73" t="n">
        <v>46224</v>
      </c>
      <c r="C949" s="74" t="n">
        <v>7751</v>
      </c>
      <c r="D949" s="75" t="n">
        <v>50020</v>
      </c>
      <c r="E949" s="52" t="str">
        <f aca="false">IF(D949&lt;&gt;"",IFERROR(VLOOKUP(D949,PROVEEDORES!$A:$B,2,0),"!COD NO ENCONTRADO"),"")</f>
        <v>PACO MOINELO</v>
      </c>
      <c r="F949" s="76" t="str">
        <f aca="false">IF(D949&lt;&gt;"",IFERROR(VLOOKUP(D949,PROVEEDORES!$A:$C,3,0),""),"")</f>
        <v>S</v>
      </c>
      <c r="G949" s="75" t="s">
        <v>185</v>
      </c>
      <c r="H949" s="52" t="str">
        <f aca="false">IF(G949&lt;&gt;"",IFERROR(VLOOKUP(G949,PRODUCTOS!$A:$B,2,0),"!COD NO ENCONTRADO"),"")</f>
        <v>MACHOS/ REYES/ ALFONSINOS (BYS)</v>
      </c>
      <c r="I949" s="77" t="n">
        <v>2</v>
      </c>
      <c r="J949" s="78" t="n">
        <v>18.5</v>
      </c>
      <c r="K949" s="79" t="n">
        <v>8.95</v>
      </c>
      <c r="L949" s="80" t="n">
        <f aca="false">IF(AND(J949&lt;&gt;"",K949&lt;&gt;""),J949*K949,"")</f>
        <v>165.575</v>
      </c>
      <c r="M949" s="81" t="n">
        <f aca="false">IF(L949&lt;&gt;"",L949*1.1,"")</f>
        <v>182.1325</v>
      </c>
      <c r="N949" s="53" t="n">
        <f aca="false">IF(F949="S",L949*0.02,0)</f>
        <v>3.3115</v>
      </c>
      <c r="O949" s="82" t="n">
        <f aca="false">IF(L949&lt;&gt;"",L949+N949,"")</f>
        <v>168.8865</v>
      </c>
      <c r="P949" s="53" t="n">
        <f aca="false">IF(O949&lt;&gt;"",O949*0.1,"")</f>
        <v>16.88865</v>
      </c>
      <c r="Q949" s="83" t="n">
        <f aca="false">IF(O949&lt;&gt;"",O949+P949,"")</f>
        <v>185.77515</v>
      </c>
      <c r="R949" s="84" t="s">
        <v>365</v>
      </c>
    </row>
    <row r="950" customFormat="false" ht="15" hidden="false" customHeight="true" outlineLevel="0" collapsed="false">
      <c r="A950" s="103" t="n">
        <v>56086</v>
      </c>
      <c r="B950" s="73" t="n">
        <v>46224</v>
      </c>
      <c r="C950" s="86" t="n">
        <v>33788</v>
      </c>
      <c r="D950" s="87" t="n">
        <v>50106</v>
      </c>
      <c r="E950" s="46" t="str">
        <f aca="false">IF(D950&lt;&gt;"",IFERROR(VLOOKUP(D950,PROVEEDORES!$A:$B,2,0),"!COD NO ENCONTRADO"),"")</f>
        <v>SONIA VENTAS S.L</v>
      </c>
      <c r="F950" s="88" t="str">
        <f aca="false">IF(D950&lt;&gt;"",IFERROR(VLOOKUP(D950,PROVEEDORES!$A:$C,3,0),""),"")</f>
        <v>S</v>
      </c>
      <c r="G950" s="87" t="s">
        <v>221</v>
      </c>
      <c r="H950" s="46" t="str">
        <f aca="false">IF(G950&lt;&gt;"",IFERROR(VLOOKUP(G950,PRODUCTOS!$A:$B,2,0),"!COD NO ENCONTRADO"),"")</f>
        <v>MERLUZA EUROPEA PINCHO COSTA 800</v>
      </c>
      <c r="I950" s="89" t="n">
        <v>1</v>
      </c>
      <c r="J950" s="105" t="n">
        <v>14.5</v>
      </c>
      <c r="K950" s="125" t="n">
        <v>5.2</v>
      </c>
      <c r="L950" s="80" t="n">
        <f aca="false">IF(AND(J950&lt;&gt;"",K950&lt;&gt;""),J950*K950,"")</f>
        <v>75.4</v>
      </c>
      <c r="M950" s="81" t="n">
        <f aca="false">IF(L950&lt;&gt;"",L950*1.1,"")</f>
        <v>82.94</v>
      </c>
      <c r="N950" s="47" t="n">
        <f aca="false">IF(F950="S",L950*0.02,0)</f>
        <v>1.508</v>
      </c>
      <c r="O950" s="82" t="n">
        <f aca="false">IF(L950&lt;&gt;"",L950+N950,"")</f>
        <v>76.908</v>
      </c>
      <c r="P950" s="47" t="n">
        <f aca="false">IF(O950&lt;&gt;"",O950*0.1,"")</f>
        <v>7.6908</v>
      </c>
      <c r="Q950" s="83" t="n">
        <f aca="false">IF(O950&lt;&gt;"",O950+P950,"")</f>
        <v>84.5988</v>
      </c>
      <c r="R950" s="84" t="s">
        <v>365</v>
      </c>
    </row>
    <row r="951" customFormat="false" ht="15" hidden="false" customHeight="true" outlineLevel="0" collapsed="false">
      <c r="A951" s="103" t="n">
        <v>56086</v>
      </c>
      <c r="B951" s="73" t="n">
        <v>46224</v>
      </c>
      <c r="C951" s="86" t="n">
        <v>33788</v>
      </c>
      <c r="D951" s="75" t="n">
        <v>50106</v>
      </c>
      <c r="E951" s="52" t="str">
        <f aca="false">IF(D951&lt;&gt;"",IFERROR(VLOOKUP(D951,PROVEEDORES!$A:$B,2,0),"!COD NO ENCONTRADO"),"")</f>
        <v>SONIA VENTAS S.L</v>
      </c>
      <c r="F951" s="76" t="str">
        <f aca="false">IF(D951&lt;&gt;"",IFERROR(VLOOKUP(D951,PROVEEDORES!$A:$C,3,0),""),"")</f>
        <v>S</v>
      </c>
      <c r="G951" s="87" t="s">
        <v>221</v>
      </c>
      <c r="H951" s="52" t="str">
        <f aca="false">IF(G951&lt;&gt;"",IFERROR(VLOOKUP(G951,PRODUCTOS!$A:$B,2,0),"!COD NO ENCONTRADO"),"")</f>
        <v>MERLUZA EUROPEA PINCHO COSTA 800</v>
      </c>
      <c r="I951" s="77" t="n">
        <v>1</v>
      </c>
      <c r="J951" s="105" t="n">
        <v>13.75</v>
      </c>
      <c r="K951" s="125" t="n">
        <v>5.1</v>
      </c>
      <c r="L951" s="80" t="n">
        <f aca="false">IF(AND(J951&lt;&gt;"",K951&lt;&gt;""),J951*K951,"")</f>
        <v>70.125</v>
      </c>
      <c r="M951" s="81" t="n">
        <f aca="false">IF(L951&lt;&gt;"",L951*1.1,"")</f>
        <v>77.1375</v>
      </c>
      <c r="N951" s="53" t="n">
        <f aca="false">IF(F951="S",L951*0.02,0)</f>
        <v>1.4025</v>
      </c>
      <c r="O951" s="82" t="n">
        <f aca="false">IF(L951&lt;&gt;"",L951+N951,"")</f>
        <v>71.5275</v>
      </c>
      <c r="P951" s="53" t="n">
        <f aca="false">IF(O951&lt;&gt;"",O951*0.1,"")</f>
        <v>7.15275</v>
      </c>
      <c r="Q951" s="83" t="n">
        <f aca="false">IF(O951&lt;&gt;"",O951+P951,"")</f>
        <v>78.68025</v>
      </c>
      <c r="R951" s="84" t="s">
        <v>365</v>
      </c>
    </row>
    <row r="952" customFormat="false" ht="15" hidden="false" customHeight="true" outlineLevel="0" collapsed="false">
      <c r="A952" s="103" t="n">
        <v>56086</v>
      </c>
      <c r="B952" s="73" t="n">
        <v>46224</v>
      </c>
      <c r="C952" s="86" t="n">
        <v>33788</v>
      </c>
      <c r="D952" s="75" t="n">
        <v>50106</v>
      </c>
      <c r="E952" s="52" t="str">
        <f aca="false">IF(D952&lt;&gt;"",IFERROR(VLOOKUP(D952,PROVEEDORES!$A:$B,2,0),"!COD NO ENCONTRADO"),"")</f>
        <v>SONIA VENTAS S.L</v>
      </c>
      <c r="F952" s="88" t="str">
        <f aca="false">IF(D952&lt;&gt;"",IFERROR(VLOOKUP(D952,PROVEEDORES!$A:$C,3,0),""),"")</f>
        <v>S</v>
      </c>
      <c r="G952" s="87" t="s">
        <v>221</v>
      </c>
      <c r="H952" s="46" t="str">
        <f aca="false">IF(G952&lt;&gt;"",IFERROR(VLOOKUP(G952,PRODUCTOS!$A:$B,2,0),"!COD NO ENCONTRADO"),"")</f>
        <v>MERLUZA EUROPEA PINCHO COSTA 800</v>
      </c>
      <c r="I952" s="89" t="n">
        <v>1</v>
      </c>
      <c r="J952" s="105" t="n">
        <v>13.75</v>
      </c>
      <c r="K952" s="125" t="n">
        <v>5.5</v>
      </c>
      <c r="L952" s="80" t="n">
        <f aca="false">IF(AND(J952&lt;&gt;"",K952&lt;&gt;""),J952*K952,"")</f>
        <v>75.625</v>
      </c>
      <c r="M952" s="81" t="n">
        <f aca="false">IF(L952&lt;&gt;"",L952*1.1,"")</f>
        <v>83.1875</v>
      </c>
      <c r="N952" s="47" t="n">
        <f aca="false">IF(F952="S",L952*0.02,0)</f>
        <v>1.5125</v>
      </c>
      <c r="O952" s="82" t="n">
        <f aca="false">IF(L952&lt;&gt;"",L952+N952,"")</f>
        <v>77.1375</v>
      </c>
      <c r="P952" s="47" t="n">
        <f aca="false">IF(O952&lt;&gt;"",O952*0.1,"")</f>
        <v>7.71375</v>
      </c>
      <c r="Q952" s="83" t="n">
        <f aca="false">IF(O952&lt;&gt;"",O952+P952,"")</f>
        <v>84.85125</v>
      </c>
      <c r="R952" s="84" t="s">
        <v>365</v>
      </c>
    </row>
    <row r="953" customFormat="false" ht="15" hidden="false" customHeight="true" outlineLevel="0" collapsed="false">
      <c r="A953" s="103" t="n">
        <v>56086</v>
      </c>
      <c r="B953" s="73" t="n">
        <v>46224</v>
      </c>
      <c r="C953" s="86" t="n">
        <v>33788</v>
      </c>
      <c r="D953" s="75" t="n">
        <v>50106</v>
      </c>
      <c r="E953" s="52" t="str">
        <f aca="false">IF(D953&lt;&gt;"",IFERROR(VLOOKUP(D953,PROVEEDORES!$A:$B,2,0),"!COD NO ENCONTRADO"),"")</f>
        <v>SONIA VENTAS S.L</v>
      </c>
      <c r="F953" s="76" t="str">
        <f aca="false">IF(D953&lt;&gt;"",IFERROR(VLOOKUP(D953,PROVEEDORES!$A:$C,3,0),""),"")</f>
        <v>S</v>
      </c>
      <c r="G953" s="87" t="s">
        <v>221</v>
      </c>
      <c r="H953" s="52" t="str">
        <f aca="false">IF(G953&lt;&gt;"",IFERROR(VLOOKUP(G953,PRODUCTOS!$A:$B,2,0),"!COD NO ENCONTRADO"),"")</f>
        <v>MERLUZA EUROPEA PINCHO COSTA 800</v>
      </c>
      <c r="I953" s="77" t="n">
        <v>1</v>
      </c>
      <c r="J953" s="105" t="n">
        <v>14.25</v>
      </c>
      <c r="K953" s="125" t="n">
        <v>5</v>
      </c>
      <c r="L953" s="80" t="n">
        <f aca="false">IF(AND(J953&lt;&gt;"",K953&lt;&gt;""),J953*K953,"")</f>
        <v>71.25</v>
      </c>
      <c r="M953" s="81" t="n">
        <f aca="false">IF(L953&lt;&gt;"",L953*1.1,"")</f>
        <v>78.375</v>
      </c>
      <c r="N953" s="53" t="n">
        <f aca="false">IF(F953="S",L953*0.02,0)</f>
        <v>1.425</v>
      </c>
      <c r="O953" s="82" t="n">
        <f aca="false">IF(L953&lt;&gt;"",L953+N953,"")</f>
        <v>72.675</v>
      </c>
      <c r="P953" s="53" t="n">
        <f aca="false">IF(O953&lt;&gt;"",O953*0.1,"")</f>
        <v>7.2675</v>
      </c>
      <c r="Q953" s="83" t="n">
        <f aca="false">IF(O953&lt;&gt;"",O953+P953,"")</f>
        <v>79.9425</v>
      </c>
      <c r="R953" s="84" t="s">
        <v>365</v>
      </c>
    </row>
    <row r="954" customFormat="false" ht="15" hidden="false" customHeight="true" outlineLevel="0" collapsed="false">
      <c r="A954" s="103" t="n">
        <v>56086</v>
      </c>
      <c r="B954" s="73" t="n">
        <v>46224</v>
      </c>
      <c r="C954" s="86" t="n">
        <v>33788</v>
      </c>
      <c r="D954" s="75" t="n">
        <v>50106</v>
      </c>
      <c r="E954" s="52" t="str">
        <f aca="false">IF(D954&lt;&gt;"",IFERROR(VLOOKUP(D954,PROVEEDORES!$A:$B,2,0),"!COD NO ENCONTRADO"),"")</f>
        <v>SONIA VENTAS S.L</v>
      </c>
      <c r="F954" s="88" t="str">
        <f aca="false">IF(D954&lt;&gt;"",IFERROR(VLOOKUP(D954,PROVEEDORES!$A:$C,3,0),""),"")</f>
        <v>S</v>
      </c>
      <c r="G954" s="87" t="s">
        <v>221</v>
      </c>
      <c r="H954" s="46" t="str">
        <f aca="false">IF(G954&lt;&gt;"",IFERROR(VLOOKUP(G954,PRODUCTOS!$A:$B,2,0),"!COD NO ENCONTRADO"),"")</f>
        <v>MERLUZA EUROPEA PINCHO COSTA 800</v>
      </c>
      <c r="I954" s="89" t="n">
        <v>9</v>
      </c>
      <c r="J954" s="105" t="n">
        <v>124.25</v>
      </c>
      <c r="K954" s="125" t="n">
        <v>6</v>
      </c>
      <c r="L954" s="80" t="n">
        <f aca="false">IF(AND(J954&lt;&gt;"",K954&lt;&gt;""),J954*K954,"")</f>
        <v>745.5</v>
      </c>
      <c r="M954" s="81" t="n">
        <f aca="false">IF(L954&lt;&gt;"",L954*1.1,"")</f>
        <v>820.05</v>
      </c>
      <c r="N954" s="47" t="n">
        <f aca="false">IF(F954="S",L954*0.02,0)</f>
        <v>14.91</v>
      </c>
      <c r="O954" s="82" t="n">
        <f aca="false">IF(L954&lt;&gt;"",L954+N954,"")</f>
        <v>760.41</v>
      </c>
      <c r="P954" s="47" t="n">
        <f aca="false">IF(O954&lt;&gt;"",O954*0.1,"")</f>
        <v>76.041</v>
      </c>
      <c r="Q954" s="83" t="n">
        <f aca="false">IF(O954&lt;&gt;"",O954+P954,"")</f>
        <v>836.451</v>
      </c>
      <c r="R954" s="84" t="s">
        <v>365</v>
      </c>
    </row>
    <row r="955" customFormat="false" ht="15" hidden="false" customHeight="true" outlineLevel="0" collapsed="false">
      <c r="A955" s="103" t="n">
        <v>56086</v>
      </c>
      <c r="B955" s="73" t="n">
        <v>46224</v>
      </c>
      <c r="C955" s="86" t="n">
        <v>33788</v>
      </c>
      <c r="D955" s="75" t="n">
        <v>50106</v>
      </c>
      <c r="E955" s="52" t="str">
        <f aca="false">IF(D955&lt;&gt;"",IFERROR(VLOOKUP(D955,PROVEEDORES!$A:$B,2,0),"!COD NO ENCONTRADO"),"")</f>
        <v>SONIA VENTAS S.L</v>
      </c>
      <c r="F955" s="76" t="str">
        <f aca="false">IF(D955&lt;&gt;"",IFERROR(VLOOKUP(D955,PROVEEDORES!$A:$C,3,0),""),"")</f>
        <v>S</v>
      </c>
      <c r="G955" s="75" t="s">
        <v>221</v>
      </c>
      <c r="H955" s="52" t="str">
        <f aca="false">IF(G955&lt;&gt;"",IFERROR(VLOOKUP(G955,PRODUCTOS!$A:$B,2,0),"!COD NO ENCONTRADO"),"")</f>
        <v>MERLUZA EUROPEA PINCHO COSTA 800</v>
      </c>
      <c r="I955" s="77" t="n">
        <v>4</v>
      </c>
      <c r="J955" s="105" t="n">
        <v>49.5</v>
      </c>
      <c r="K955" s="125" t="n">
        <v>6.1</v>
      </c>
      <c r="L955" s="80" t="n">
        <f aca="false">IF(AND(J955&lt;&gt;"",K955&lt;&gt;""),J955*K955,"")</f>
        <v>301.95</v>
      </c>
      <c r="M955" s="81" t="n">
        <f aca="false">IF(L955&lt;&gt;"",L955*1.1,"")</f>
        <v>332.145</v>
      </c>
      <c r="N955" s="53" t="n">
        <f aca="false">IF(F955="S",L955*0.02,0)</f>
        <v>6.039</v>
      </c>
      <c r="O955" s="82" t="n">
        <f aca="false">IF(L955&lt;&gt;"",L955+N955,"")</f>
        <v>307.989</v>
      </c>
      <c r="P955" s="53" t="n">
        <f aca="false">IF(O955&lt;&gt;"",O955*0.1,"")</f>
        <v>30.7989</v>
      </c>
      <c r="Q955" s="83" t="n">
        <f aca="false">IF(O955&lt;&gt;"",O955+P955,"")</f>
        <v>338.7879</v>
      </c>
      <c r="R955" s="84" t="s">
        <v>365</v>
      </c>
    </row>
    <row r="956" customFormat="false" ht="15" hidden="false" customHeight="true" outlineLevel="0" collapsed="false">
      <c r="A956" s="103" t="n">
        <v>56086</v>
      </c>
      <c r="B956" s="73" t="n">
        <v>46224</v>
      </c>
      <c r="C956" s="86" t="n">
        <v>33788</v>
      </c>
      <c r="D956" s="75" t="n">
        <v>50106</v>
      </c>
      <c r="E956" s="52" t="str">
        <f aca="false">IF(D956&lt;&gt;"",IFERROR(VLOOKUP(D956,PROVEEDORES!$A:$B,2,0),"!COD NO ENCONTRADO"),"")</f>
        <v>SONIA VENTAS S.L</v>
      </c>
      <c r="F956" s="88" t="str">
        <f aca="false">IF(D956&lt;&gt;"",IFERROR(VLOOKUP(D956,PROVEEDORES!$A:$C,3,0),""),"")</f>
        <v>S</v>
      </c>
      <c r="G956" s="87" t="s">
        <v>221</v>
      </c>
      <c r="H956" s="46" t="str">
        <f aca="false">IF(G956&lt;&gt;"",IFERROR(VLOOKUP(G956,PRODUCTOS!$A:$B,2,0),"!COD NO ENCONTRADO"),"")</f>
        <v>MERLUZA EUROPEA PINCHO COSTA 800</v>
      </c>
      <c r="I956" s="89" t="n">
        <v>3</v>
      </c>
      <c r="J956" s="105" t="n">
        <v>41</v>
      </c>
      <c r="K956" s="125" t="n">
        <v>5.8</v>
      </c>
      <c r="L956" s="80" t="n">
        <f aca="false">IF(AND(J956&lt;&gt;"",K956&lt;&gt;""),J956*K956,"")</f>
        <v>237.8</v>
      </c>
      <c r="M956" s="81" t="n">
        <f aca="false">IF(L956&lt;&gt;"",L956*1.1,"")</f>
        <v>261.58</v>
      </c>
      <c r="N956" s="47" t="n">
        <f aca="false">IF(F956="S",L956*0.02,0)</f>
        <v>4.756</v>
      </c>
      <c r="O956" s="82" t="n">
        <f aca="false">IF(L956&lt;&gt;"",L956+N956,"")</f>
        <v>242.556</v>
      </c>
      <c r="P956" s="47" t="n">
        <f aca="false">IF(O956&lt;&gt;"",O956*0.1,"")</f>
        <v>24.2556</v>
      </c>
      <c r="Q956" s="83" t="n">
        <f aca="false">IF(O956&lt;&gt;"",O956+P956,"")</f>
        <v>266.8116</v>
      </c>
      <c r="R956" s="84" t="s">
        <v>365</v>
      </c>
    </row>
    <row r="957" customFormat="false" ht="15" hidden="false" customHeight="true" outlineLevel="0" collapsed="false">
      <c r="A957" s="103" t="n">
        <v>56086</v>
      </c>
      <c r="B957" s="73" t="n">
        <v>46224</v>
      </c>
      <c r="C957" s="86" t="n">
        <v>33788</v>
      </c>
      <c r="D957" s="75" t="n">
        <v>50106</v>
      </c>
      <c r="E957" s="52" t="str">
        <f aca="false">IF(D957&lt;&gt;"",IFERROR(VLOOKUP(D957,PROVEEDORES!$A:$B,2,0),"!COD NO ENCONTRADO"),"")</f>
        <v>SONIA VENTAS S.L</v>
      </c>
      <c r="F957" s="76" t="str">
        <f aca="false">IF(D957&lt;&gt;"",IFERROR(VLOOKUP(D957,PROVEEDORES!$A:$C,3,0),""),"")</f>
        <v>S</v>
      </c>
      <c r="G957" s="75" t="s">
        <v>223</v>
      </c>
      <c r="H957" s="52" t="str">
        <f aca="false">IF(G957&lt;&gt;"",IFERROR(VLOOKUP(G957,PRODUCTOS!$A:$B,2,0),"!COD NO ENCONTRADO"),"")</f>
        <v>MERLUZA EUROPEA PINCHO COSTA 1000</v>
      </c>
      <c r="I957" s="77" t="n">
        <v>8</v>
      </c>
      <c r="J957" s="105" t="n">
        <v>88.25</v>
      </c>
      <c r="K957" s="125" t="n">
        <v>6</v>
      </c>
      <c r="L957" s="80" t="n">
        <f aca="false">IF(AND(J957&lt;&gt;"",K957&lt;&gt;""),J957*K957,"")</f>
        <v>529.5</v>
      </c>
      <c r="M957" s="81" t="n">
        <f aca="false">IF(L957&lt;&gt;"",L957*1.1,"")</f>
        <v>582.45</v>
      </c>
      <c r="N957" s="53" t="n">
        <f aca="false">IF(F957="S",L957*0.02,0)</f>
        <v>10.59</v>
      </c>
      <c r="O957" s="82" t="n">
        <f aca="false">IF(L957&lt;&gt;"",L957+N957,"")</f>
        <v>540.09</v>
      </c>
      <c r="P957" s="53" t="n">
        <f aca="false">IF(O957&lt;&gt;"",O957*0.1,"")</f>
        <v>54.009</v>
      </c>
      <c r="Q957" s="83" t="n">
        <f aca="false">IF(O957&lt;&gt;"",O957+P957,"")</f>
        <v>594.099</v>
      </c>
      <c r="R957" s="84" t="s">
        <v>365</v>
      </c>
    </row>
    <row r="958" customFormat="false" ht="15" hidden="false" customHeight="true" outlineLevel="0" collapsed="false">
      <c r="A958" s="103" t="n">
        <v>56086</v>
      </c>
      <c r="B958" s="73" t="n">
        <v>46224</v>
      </c>
      <c r="C958" s="86" t="n">
        <v>33788</v>
      </c>
      <c r="D958" s="75" t="n">
        <v>50106</v>
      </c>
      <c r="E958" s="52" t="str">
        <f aca="false">IF(D958&lt;&gt;"",IFERROR(VLOOKUP(D958,PROVEEDORES!$A:$B,2,0),"!COD NO ENCONTRADO"),"")</f>
        <v>SONIA VENTAS S.L</v>
      </c>
      <c r="F958" s="88" t="str">
        <f aca="false">IF(D958&lt;&gt;"",IFERROR(VLOOKUP(D958,PROVEEDORES!$A:$C,3,0),""),"")</f>
        <v>S</v>
      </c>
      <c r="G958" s="87" t="s">
        <v>223</v>
      </c>
      <c r="H958" s="46" t="str">
        <f aca="false">IF(G958&lt;&gt;"",IFERROR(VLOOKUP(G958,PRODUCTOS!$A:$B,2,0),"!COD NO ENCONTRADO"),"")</f>
        <v>MERLUZA EUROPEA PINCHO COSTA 1000</v>
      </c>
      <c r="I958" s="89" t="n">
        <v>2</v>
      </c>
      <c r="J958" s="105" t="n">
        <v>28.75</v>
      </c>
      <c r="K958" s="125" t="n">
        <v>6</v>
      </c>
      <c r="L958" s="80" t="n">
        <f aca="false">IF(AND(J958&lt;&gt;"",K958&lt;&gt;""),J958*K958,"")</f>
        <v>172.5</v>
      </c>
      <c r="M958" s="81" t="n">
        <f aca="false">IF(L958&lt;&gt;"",L958*1.1,"")</f>
        <v>189.75</v>
      </c>
      <c r="N958" s="47" t="n">
        <f aca="false">IF(F958="S",L958*0.02,0)</f>
        <v>3.45</v>
      </c>
      <c r="O958" s="82" t="n">
        <f aca="false">IF(L958&lt;&gt;"",L958+N958,"")</f>
        <v>175.95</v>
      </c>
      <c r="P958" s="47" t="n">
        <f aca="false">IF(O958&lt;&gt;"",O958*0.1,"")</f>
        <v>17.595</v>
      </c>
      <c r="Q958" s="83" t="n">
        <f aca="false">IF(O958&lt;&gt;"",O958+P958,"")</f>
        <v>193.545</v>
      </c>
      <c r="R958" s="84" t="s">
        <v>365</v>
      </c>
    </row>
    <row r="959" customFormat="false" ht="15" hidden="false" customHeight="true" outlineLevel="0" collapsed="false">
      <c r="A959" s="103" t="n">
        <v>56086</v>
      </c>
      <c r="B959" s="73" t="n">
        <v>46224</v>
      </c>
      <c r="C959" s="86" t="n">
        <v>33788</v>
      </c>
      <c r="D959" s="75" t="n">
        <v>50106</v>
      </c>
      <c r="E959" s="52" t="str">
        <f aca="false">IF(D959&lt;&gt;"",IFERROR(VLOOKUP(D959,PROVEEDORES!$A:$B,2,0),"!COD NO ENCONTRADO"),"")</f>
        <v>SONIA VENTAS S.L</v>
      </c>
      <c r="F959" s="76" t="str">
        <f aca="false">IF(D959&lt;&gt;"",IFERROR(VLOOKUP(D959,PROVEEDORES!$A:$C,3,0),""),"")</f>
        <v>S</v>
      </c>
      <c r="G959" s="75" t="s">
        <v>223</v>
      </c>
      <c r="H959" s="52" t="str">
        <f aca="false">IF(G959&lt;&gt;"",IFERROR(VLOOKUP(G959,PRODUCTOS!$A:$B,2,0),"!COD NO ENCONTRADO"),"")</f>
        <v>MERLUZA EUROPEA PINCHO COSTA 1000</v>
      </c>
      <c r="I959" s="77" t="n">
        <v>6</v>
      </c>
      <c r="J959" s="105" t="n">
        <v>86.5</v>
      </c>
      <c r="K959" s="125" t="n">
        <v>6</v>
      </c>
      <c r="L959" s="80" t="n">
        <f aca="false">IF(AND(J959&lt;&gt;"",K959&lt;&gt;""),J959*K959,"")</f>
        <v>519</v>
      </c>
      <c r="M959" s="81" t="n">
        <f aca="false">IF(L959&lt;&gt;"",L959*1.1,"")</f>
        <v>570.9</v>
      </c>
      <c r="N959" s="53" t="n">
        <f aca="false">IF(F959="S",L959*0.02,0)</f>
        <v>10.38</v>
      </c>
      <c r="O959" s="82" t="n">
        <f aca="false">IF(L959&lt;&gt;"",L959+N959,"")</f>
        <v>529.38</v>
      </c>
      <c r="P959" s="53" t="n">
        <f aca="false">IF(O959&lt;&gt;"",O959*0.1,"")</f>
        <v>52.938</v>
      </c>
      <c r="Q959" s="83" t="n">
        <f aca="false">IF(O959&lt;&gt;"",O959+P959,"")</f>
        <v>582.318</v>
      </c>
      <c r="R959" s="84" t="s">
        <v>365</v>
      </c>
    </row>
    <row r="960" customFormat="false" ht="15" hidden="false" customHeight="true" outlineLevel="0" collapsed="false">
      <c r="A960" s="103" t="n">
        <v>56086</v>
      </c>
      <c r="B960" s="73" t="n">
        <v>46224</v>
      </c>
      <c r="C960" s="86" t="n">
        <v>33788</v>
      </c>
      <c r="D960" s="75" t="n">
        <v>50106</v>
      </c>
      <c r="E960" s="52" t="str">
        <f aca="false">IF(D960&lt;&gt;"",IFERROR(VLOOKUP(D960,PROVEEDORES!$A:$B,2,0),"!COD NO ENCONTRADO"),"")</f>
        <v>SONIA VENTAS S.L</v>
      </c>
      <c r="F960" s="88" t="str">
        <f aca="false">IF(D960&lt;&gt;"",IFERROR(VLOOKUP(D960,PROVEEDORES!$A:$C,3,0),""),"")</f>
        <v>S</v>
      </c>
      <c r="G960" s="87" t="s">
        <v>225</v>
      </c>
      <c r="H960" s="46" t="str">
        <f aca="false">IF(G960&lt;&gt;"",IFERROR(VLOOKUP(G960,PRODUCTOS!$A:$B,2,0),"!COD NO ENCONTRADO"),"")</f>
        <v>MERLUZA EUROPEA PINCHO COSTA 1,251,5</v>
      </c>
      <c r="I960" s="89" t="n">
        <v>1</v>
      </c>
      <c r="J960" s="105" t="n">
        <v>15.25</v>
      </c>
      <c r="K960" s="125" t="n">
        <v>8.3</v>
      </c>
      <c r="L960" s="80" t="n">
        <f aca="false">IF(AND(J960&lt;&gt;"",K960&lt;&gt;""),J960*K960,"")</f>
        <v>126.575</v>
      </c>
      <c r="M960" s="81" t="n">
        <f aca="false">IF(L960&lt;&gt;"",L960*1.1,"")</f>
        <v>139.2325</v>
      </c>
      <c r="N960" s="47" t="n">
        <f aca="false">IF(F960="S",L960*0.02,0)</f>
        <v>2.5315</v>
      </c>
      <c r="O960" s="82" t="n">
        <f aca="false">IF(L960&lt;&gt;"",L960+N960,"")</f>
        <v>129.1065</v>
      </c>
      <c r="P960" s="47" t="n">
        <f aca="false">IF(O960&lt;&gt;"",O960*0.1,"")</f>
        <v>12.91065</v>
      </c>
      <c r="Q960" s="83" t="n">
        <f aca="false">IF(O960&lt;&gt;"",O960+P960,"")</f>
        <v>142.01715</v>
      </c>
      <c r="R960" s="84" t="s">
        <v>358</v>
      </c>
    </row>
    <row r="961" customFormat="false" ht="15" hidden="false" customHeight="true" outlineLevel="0" collapsed="false">
      <c r="A961" s="103" t="n">
        <v>56087</v>
      </c>
      <c r="B961" s="73" t="n">
        <v>46224</v>
      </c>
      <c r="C961" s="74" t="n">
        <v>6278</v>
      </c>
      <c r="D961" s="75" t="n">
        <v>50019</v>
      </c>
      <c r="E961" s="52" t="str">
        <f aca="false">IF(D961&lt;&gt;"",IFERROR(VLOOKUP(D961,PROVEEDORES!$A:$B,2,0),"!COD NO ENCONTRADO"),"")</f>
        <v>ANGELITA VILLAR</v>
      </c>
      <c r="F961" s="76" t="str">
        <f aca="false">IF(D961&lt;&gt;"",IFERROR(VLOOKUP(D961,PROVEEDORES!$A:$C,3,0),""),"")</f>
        <v>S</v>
      </c>
      <c r="G961" s="75" t="s">
        <v>288</v>
      </c>
      <c r="H961" s="52" t="str">
        <f aca="false">IF(G961&lt;&gt;"",IFERROR(VLOOKUP(G961,PRODUCTOS!$A:$B,2,0),"!COD NO ENCONTRADO"),"")</f>
        <v>RAPE BLANCO DIA (MON)</v>
      </c>
      <c r="I961" s="77" t="n">
        <v>2</v>
      </c>
      <c r="J961" s="78" t="n">
        <v>53.9</v>
      </c>
      <c r="K961" s="79" t="n">
        <v>6.85</v>
      </c>
      <c r="L961" s="80" t="n">
        <f aca="false">IF(AND(J961&lt;&gt;"",K961&lt;&gt;""),J961*K961,"")</f>
        <v>369.215</v>
      </c>
      <c r="M961" s="81" t="n">
        <f aca="false">IF(L961&lt;&gt;"",L961*1.1,"")</f>
        <v>406.1365</v>
      </c>
      <c r="N961" s="53" t="n">
        <f aca="false">IF(F961="S",L961*0.02,0)</f>
        <v>7.3843</v>
      </c>
      <c r="O961" s="82" t="n">
        <f aca="false">IF(L961&lt;&gt;"",L961+N961,"")</f>
        <v>376.5993</v>
      </c>
      <c r="P961" s="53" t="n">
        <f aca="false">IF(O961&lt;&gt;"",O961*0.1,"")</f>
        <v>37.65993</v>
      </c>
      <c r="Q961" s="83" t="n">
        <f aca="false">IF(O961&lt;&gt;"",O961+P961,"")</f>
        <v>414.25923</v>
      </c>
      <c r="R961" s="84" t="s">
        <v>365</v>
      </c>
    </row>
    <row r="962" customFormat="false" ht="15" hidden="false" customHeight="true" outlineLevel="0" collapsed="false">
      <c r="A962" s="103" t="n">
        <v>56088</v>
      </c>
      <c r="B962" s="85" t="n">
        <v>46224</v>
      </c>
      <c r="C962" s="86" t="n">
        <v>20020</v>
      </c>
      <c r="D962" s="87" t="n">
        <v>50163</v>
      </c>
      <c r="E962" s="46" t="str">
        <f aca="false">IF(D962&lt;&gt;"",IFERROR(VLOOKUP(D962,PROVEEDORES!$A:$B,2,0),"!COD NO ENCONTRADO"),"")</f>
        <v>SUBASTAS RIVERA S.L.</v>
      </c>
      <c r="F962" s="88" t="str">
        <f aca="false">IF(D962&lt;&gt;"",IFERROR(VLOOKUP(D962,PROVEEDORES!$A:$C,3,0),""),"")</f>
        <v>S</v>
      </c>
      <c r="G962" s="87" t="s">
        <v>276</v>
      </c>
      <c r="H962" s="46" t="str">
        <f aca="false">IF(G962&lt;&gt;"",IFERROR(VLOOKUP(G962,PRODUCTOS!$A:$B,2,0),"!COD NO ENCONTRADO"),"")</f>
        <v>MERLUZA EUROPEA/ FINA DIA </v>
      </c>
      <c r="I962" s="89" t="n">
        <v>2</v>
      </c>
      <c r="J962" s="90" t="n">
        <v>20.5</v>
      </c>
      <c r="K962" s="91" t="n">
        <v>2.7</v>
      </c>
      <c r="L962" s="80" t="n">
        <f aca="false">IF(AND(J962&lt;&gt;"",K962&lt;&gt;""),J962*K962,"")</f>
        <v>55.35</v>
      </c>
      <c r="M962" s="81" t="n">
        <f aca="false">IF(L962&lt;&gt;"",L962*1.1,"")</f>
        <v>60.885</v>
      </c>
      <c r="N962" s="47" t="n">
        <f aca="false">IF(F962="S",L962*0.02,0)</f>
        <v>1.107</v>
      </c>
      <c r="O962" s="82" t="n">
        <f aca="false">IF(L962&lt;&gt;"",L962+N962,"")</f>
        <v>56.457</v>
      </c>
      <c r="P962" s="47" t="n">
        <f aca="false">IF(O962&lt;&gt;"",O962*0.1,"")</f>
        <v>5.6457</v>
      </c>
      <c r="Q962" s="83" t="n">
        <f aca="false">IF(O962&lt;&gt;"",O962+P962,"")</f>
        <v>62.1027</v>
      </c>
      <c r="R962" s="84" t="s">
        <v>365</v>
      </c>
    </row>
    <row r="963" customFormat="false" ht="15" hidden="false" customHeight="true" outlineLevel="0" collapsed="false">
      <c r="A963" s="103" t="n">
        <v>56088</v>
      </c>
      <c r="B963" s="73" t="n">
        <v>46224</v>
      </c>
      <c r="C963" s="74" t="n">
        <v>20020</v>
      </c>
      <c r="D963" s="75" t="n">
        <v>50163</v>
      </c>
      <c r="E963" s="52" t="str">
        <f aca="false">IF(D963&lt;&gt;"",IFERROR(VLOOKUP(D963,PROVEEDORES!$A:$B,2,0),"!COD NO ENCONTRADO"),"")</f>
        <v>SUBASTAS RIVERA S.L.</v>
      </c>
      <c r="F963" s="76" t="str">
        <f aca="false">IF(D963&lt;&gt;"",IFERROR(VLOOKUP(D963,PROVEEDORES!$A:$C,3,0),""),"")</f>
        <v>S</v>
      </c>
      <c r="G963" s="75" t="s">
        <v>151</v>
      </c>
      <c r="H963" s="52" t="str">
        <f aca="false">IF(G963&lt;&gt;"",IFERROR(VLOOKUP(G963,PRODUCTOS!$A:$B,2,0),"!COD NO ENCONTRADO"),"")</f>
        <v>ESCACHO/ ARETE/ RUBIO (GUR)</v>
      </c>
      <c r="I963" s="77" t="n">
        <v>3</v>
      </c>
      <c r="J963" s="78" t="n">
        <v>33.5</v>
      </c>
      <c r="K963" s="79" t="n">
        <v>0.3</v>
      </c>
      <c r="L963" s="80" t="n">
        <f aca="false">IF(AND(J963&lt;&gt;"",K963&lt;&gt;""),J963*K963,"")</f>
        <v>10.05</v>
      </c>
      <c r="M963" s="81" t="n">
        <f aca="false">IF(L963&lt;&gt;"",L963*1.1,"")</f>
        <v>11.055</v>
      </c>
      <c r="N963" s="53" t="n">
        <f aca="false">IF(F963="S",L963*0.02,0)</f>
        <v>0.201</v>
      </c>
      <c r="O963" s="82" t="n">
        <f aca="false">IF(L963&lt;&gt;"",L963+N963,"")</f>
        <v>10.251</v>
      </c>
      <c r="P963" s="53" t="n">
        <f aca="false">IF(O963&lt;&gt;"",O963*0.1,"")</f>
        <v>1.0251</v>
      </c>
      <c r="Q963" s="83" t="n">
        <f aca="false">IF(O963&lt;&gt;"",O963+P963,"")</f>
        <v>11.2761</v>
      </c>
      <c r="R963" s="84" t="s">
        <v>365</v>
      </c>
    </row>
    <row r="964" customFormat="false" ht="15" hidden="false" customHeight="true" outlineLevel="0" collapsed="false">
      <c r="A964" s="103" t="n">
        <v>56089</v>
      </c>
      <c r="B964" s="85" t="n">
        <v>46224</v>
      </c>
      <c r="C964" s="86" t="s">
        <v>489</v>
      </c>
      <c r="D964" s="87" t="n">
        <v>50048</v>
      </c>
      <c r="E964" s="46" t="str">
        <f aca="false">IF(D964&lt;&gt;"",IFERROR(VLOOKUP(D964,PROVEEDORES!$A:$B,2,0),"!COD NO ENCONTRADO"),"")</f>
        <v>JOSE LUIS CORREA KESSLER S.L.</v>
      </c>
      <c r="F964" s="88" t="str">
        <f aca="false">IF(D964&lt;&gt;"",IFERROR(VLOOKUP(D964,PROVEEDORES!$A:$C,3,0),""),"")</f>
        <v>N</v>
      </c>
      <c r="G964" s="87" t="s">
        <v>324</v>
      </c>
      <c r="H964" s="46" t="str">
        <f aca="false">IF(G964&lt;&gt;"",IFERROR(VLOOKUP(G964,PRODUCTOS!$A:$B,2,0),"!COD NO ENCONTRADO"),"")</f>
        <v>SARDINA    (PIL)</v>
      </c>
      <c r="I964" s="89" t="n">
        <v>16</v>
      </c>
      <c r="J964" s="90" t="n">
        <v>96</v>
      </c>
      <c r="K964" s="125" t="n">
        <v>3.1</v>
      </c>
      <c r="L964" s="80" t="n">
        <f aca="false">IF(AND(J964&lt;&gt;"",K964&lt;&gt;""),J964*K964,"")</f>
        <v>297.6</v>
      </c>
      <c r="M964" s="81" t="n">
        <f aca="false">IF(L964&lt;&gt;"",L964*1.1,"")</f>
        <v>327.36</v>
      </c>
      <c r="N964" s="47" t="n">
        <f aca="false">IF(F964="S",L964*0.02,0)</f>
        <v>0</v>
      </c>
      <c r="O964" s="82" t="n">
        <f aca="false">IF(L964&lt;&gt;"",L964+N964,"")</f>
        <v>297.6</v>
      </c>
      <c r="P964" s="47" t="n">
        <f aca="false">IF(O964&lt;&gt;"",O964*0.1,"")</f>
        <v>29.76</v>
      </c>
      <c r="Q964" s="83" t="n">
        <f aca="false">IF(O964&lt;&gt;"",O964+P964,"")</f>
        <v>327.36</v>
      </c>
      <c r="R964" s="84" t="s">
        <v>365</v>
      </c>
    </row>
    <row r="965" customFormat="false" ht="15" hidden="false" customHeight="true" outlineLevel="0" collapsed="false">
      <c r="A965" s="103" t="n">
        <v>56089</v>
      </c>
      <c r="B965" s="73" t="n">
        <v>46224</v>
      </c>
      <c r="C965" s="74" t="s">
        <v>489</v>
      </c>
      <c r="D965" s="75" t="n">
        <v>50048</v>
      </c>
      <c r="E965" s="52" t="str">
        <f aca="false">IF(D965&lt;&gt;"",IFERROR(VLOOKUP(D965,PROVEEDORES!$A:$B,2,0),"!COD NO ENCONTRADO"),"")</f>
        <v>JOSE LUIS CORREA KESSLER S.L.</v>
      </c>
      <c r="F965" s="76" t="str">
        <f aca="false">IF(D965&lt;&gt;"",IFERROR(VLOOKUP(D965,PROVEEDORES!$A:$C,3,0),""),"")</f>
        <v>N</v>
      </c>
      <c r="G965" s="75" t="s">
        <v>179</v>
      </c>
      <c r="H965" s="52" t="str">
        <f aca="false">IF(G965&lt;&gt;"",IFERROR(VLOOKUP(G965,PRODUCTOS!$A:$B,2,0),"!COD NO ENCONTRADO"),"")</f>
        <v>LIRIO/ BACALADILLA/ PERLA (WHB)</v>
      </c>
      <c r="I965" s="77" t="n">
        <v>4</v>
      </c>
      <c r="J965" s="78" t="n">
        <v>24</v>
      </c>
      <c r="K965" s="125" t="n">
        <v>2.15</v>
      </c>
      <c r="L965" s="80" t="n">
        <f aca="false">IF(AND(J965&lt;&gt;"",K965&lt;&gt;""),J965*K965,"")</f>
        <v>51.6</v>
      </c>
      <c r="M965" s="81" t="n">
        <f aca="false">IF(L965&lt;&gt;"",L965*1.1,"")</f>
        <v>56.76</v>
      </c>
      <c r="N965" s="53" t="n">
        <f aca="false">IF(F965="S",L965*0.02,0)</f>
        <v>0</v>
      </c>
      <c r="O965" s="82" t="n">
        <f aca="false">IF(L965&lt;&gt;"",L965+N965,"")</f>
        <v>51.6</v>
      </c>
      <c r="P965" s="53" t="n">
        <f aca="false">IF(O965&lt;&gt;"",O965*0.1,"")</f>
        <v>5.16</v>
      </c>
      <c r="Q965" s="83" t="n">
        <f aca="false">IF(O965&lt;&gt;"",O965+P965,"")</f>
        <v>56.76</v>
      </c>
      <c r="R965" s="84" t="s">
        <v>365</v>
      </c>
    </row>
    <row r="966" customFormat="false" ht="15" hidden="false" customHeight="true" outlineLevel="0" collapsed="false">
      <c r="A966" s="103" t="n">
        <v>56089</v>
      </c>
      <c r="B966" s="85" t="n">
        <v>46224</v>
      </c>
      <c r="C966" s="86" t="s">
        <v>490</v>
      </c>
      <c r="D966" s="87" t="n">
        <v>50048</v>
      </c>
      <c r="E966" s="46" t="str">
        <f aca="false">IF(D966&lt;&gt;"",IFERROR(VLOOKUP(D966,PROVEEDORES!$A:$B,2,0),"!COD NO ENCONTRADO"),"")</f>
        <v>JOSE LUIS CORREA KESSLER S.L.</v>
      </c>
      <c r="F966" s="88" t="str">
        <f aca="false">IF(D966&lt;&gt;"",IFERROR(VLOOKUP(D966,PROVEEDORES!$A:$C,3,0),""),"")</f>
        <v>N</v>
      </c>
      <c r="G966" s="87" t="s">
        <v>324</v>
      </c>
      <c r="H966" s="46" t="str">
        <f aca="false">IF(G966&lt;&gt;"",IFERROR(VLOOKUP(G966,PRODUCTOS!$A:$B,2,0),"!COD NO ENCONTRADO"),"")</f>
        <v>SARDINA    (PIL)</v>
      </c>
      <c r="I966" s="89" t="n">
        <v>2</v>
      </c>
      <c r="J966" s="90" t="n">
        <v>12</v>
      </c>
      <c r="K966" s="125" t="n">
        <v>2.9</v>
      </c>
      <c r="L966" s="80" t="n">
        <f aca="false">IF(AND(J966&lt;&gt;"",K966&lt;&gt;""),J966*K966,"")</f>
        <v>34.8</v>
      </c>
      <c r="M966" s="81" t="n">
        <f aca="false">IF(L966&lt;&gt;"",L966*1.1,"")</f>
        <v>38.28</v>
      </c>
      <c r="N966" s="47" t="n">
        <f aca="false">IF(F966="S",L966*0.02,0)</f>
        <v>0</v>
      </c>
      <c r="O966" s="82" t="n">
        <f aca="false">IF(L966&lt;&gt;"",L966+N966,"")</f>
        <v>34.8</v>
      </c>
      <c r="P966" s="47" t="n">
        <f aca="false">IF(O966&lt;&gt;"",O966*0.1,"")</f>
        <v>3.48</v>
      </c>
      <c r="Q966" s="83" t="n">
        <f aca="false">IF(O966&lt;&gt;"",O966+P966,"")</f>
        <v>38.28</v>
      </c>
      <c r="R966" s="84" t="s">
        <v>365</v>
      </c>
    </row>
    <row r="967" customFormat="false" ht="15" hidden="false" customHeight="true" outlineLevel="0" collapsed="false">
      <c r="A967" s="103" t="n">
        <v>56090</v>
      </c>
      <c r="B967" s="73" t="n">
        <v>46224</v>
      </c>
      <c r="C967" s="74" t="s">
        <v>491</v>
      </c>
      <c r="D967" s="75" t="n">
        <v>50509</v>
      </c>
      <c r="E967" s="52" t="str">
        <f aca="false">IF(D967&lt;&gt;"",IFERROR(VLOOKUP(D967,PROVEEDORES!$A:$B,2,0),"!COD NO ENCONTRADO"),"")</f>
        <v>AZORFISK UNIPERSONAL LDA</v>
      </c>
      <c r="F967" s="76" t="str">
        <f aca="false">IF(D967&lt;&gt;"",IFERROR(VLOOKUP(D967,PROVEEDORES!$A:$C,3,0),""),"")</f>
        <v>N</v>
      </c>
      <c r="G967" s="75" t="s">
        <v>111</v>
      </c>
      <c r="H967" s="52" t="str">
        <f aca="false">IF(G967&lt;&gt;"",IFERROR(VLOOKUP(G967,PRODUCTOS!$A:$B,2,0),"!COD NO ENCONTRADO"),"")</f>
        <v>CALAMAR VETADO/ FORBES (SQF)</v>
      </c>
      <c r="I967" s="77" t="n">
        <v>1</v>
      </c>
      <c r="J967" s="78" t="n">
        <v>7</v>
      </c>
      <c r="K967" s="79" t="n">
        <v>15.95</v>
      </c>
      <c r="L967" s="80" t="n">
        <f aca="false">IF(AND(J967&lt;&gt;"",K967&lt;&gt;""),J967*K967,"")</f>
        <v>111.65</v>
      </c>
      <c r="M967" s="81" t="n">
        <f aca="false">IF(L967&lt;&gt;"",L967*1.1,"")</f>
        <v>122.815</v>
      </c>
      <c r="N967" s="53" t="n">
        <f aca="false">IF(F967="S",L967*0.02,0)</f>
        <v>0</v>
      </c>
      <c r="O967" s="82" t="n">
        <f aca="false">IF(L967&lt;&gt;"",L967+N967,"")</f>
        <v>111.65</v>
      </c>
      <c r="P967" s="53" t="n">
        <f aca="false">IF(O967&lt;&gt;"",O967*0.1,"")</f>
        <v>11.165</v>
      </c>
      <c r="Q967" s="83" t="n">
        <f aca="false">IF(O967&lt;&gt;"",O967+P967,"")</f>
        <v>122.815</v>
      </c>
      <c r="R967" s="84" t="s">
        <v>365</v>
      </c>
    </row>
    <row r="968" customFormat="false" ht="15" hidden="false" customHeight="true" outlineLevel="0" collapsed="false">
      <c r="A968" s="103" t="n">
        <v>56091</v>
      </c>
      <c r="B968" s="85" t="n">
        <v>46224</v>
      </c>
      <c r="C968" s="86" t="s">
        <v>492</v>
      </c>
      <c r="D968" s="87" t="n">
        <v>50533</v>
      </c>
      <c r="E968" s="46" t="str">
        <f aca="false">IF(D968&lt;&gt;"",IFERROR(VLOOKUP(D968,PROVEEDORES!$A:$B,2,0),"!COD NO ENCONTRADO"),"")</f>
        <v>LURDES MARIÑO, S.L.</v>
      </c>
      <c r="F968" s="88" t="str">
        <f aca="false">IF(D968&lt;&gt;"",IFERROR(VLOOKUP(D968,PROVEEDORES!$A:$C,3,0),""),"")</f>
        <v>N</v>
      </c>
      <c r="G968" s="87" t="s">
        <v>408</v>
      </c>
      <c r="H968" s="46" t="str">
        <f aca="false">IF(G968&lt;&gt;"",IFERROR(VLOOKUP(G968,PRODUCTOS!$A:$B,2,0),"!COD NO ENCONTRADO"),"")</f>
        <v>MEJILLON SACO</v>
      </c>
      <c r="I968" s="89" t="n">
        <v>8</v>
      </c>
      <c r="J968" s="90" t="n">
        <v>40</v>
      </c>
      <c r="K968" s="91" t="n">
        <v>1.4</v>
      </c>
      <c r="L968" s="80" t="n">
        <f aca="false">IF(AND(J968&lt;&gt;"",K968&lt;&gt;""),J968*K968,"")</f>
        <v>56</v>
      </c>
      <c r="M968" s="81" t="n">
        <f aca="false">IF(L968&lt;&gt;"",L968*1.1,"")</f>
        <v>61.6</v>
      </c>
      <c r="N968" s="47" t="n">
        <f aca="false">IF(F968="S",L968*0.02,0)</f>
        <v>0</v>
      </c>
      <c r="O968" s="82" t="n">
        <f aca="false">IF(L968&lt;&gt;"",L968+N968,"")</f>
        <v>56</v>
      </c>
      <c r="P968" s="47" t="n">
        <f aca="false">IF(O968&lt;&gt;"",O968*0.1,"")</f>
        <v>5.6</v>
      </c>
      <c r="Q968" s="83" t="n">
        <f aca="false">IF(O968&lt;&gt;"",O968+P968,"")</f>
        <v>61.6</v>
      </c>
      <c r="R968" s="84" t="s">
        <v>365</v>
      </c>
    </row>
    <row r="969" customFormat="false" ht="15" hidden="false" customHeight="true" outlineLevel="0" collapsed="false">
      <c r="A969" s="103" t="n">
        <v>56092</v>
      </c>
      <c r="B969" s="73" t="n">
        <v>46224</v>
      </c>
      <c r="C969" s="74" t="s">
        <v>493</v>
      </c>
      <c r="D969" s="75" t="n">
        <v>50035</v>
      </c>
      <c r="E969" s="52" t="str">
        <f aca="false">IF(D969&lt;&gt;"",IFERROR(VLOOKUP(D969,PROVEEDORES!$A:$B,2,0),"!COD NO ENCONTRADO"),"")</f>
        <v>SCANFISK SEAFFOD S,L</v>
      </c>
      <c r="F969" s="76" t="str">
        <f aca="false">IF(D969&lt;&gt;"",IFERROR(VLOOKUP(D969,PROVEEDORES!$A:$C,3,0),""),"")</f>
        <v>N</v>
      </c>
      <c r="G969" s="75" t="s">
        <v>246</v>
      </c>
      <c r="H969" s="52" t="str">
        <f aca="false">IF(G969&lt;&gt;"",IFERROR(VLOOKUP(G969,PRODUCTOS!$A:$B,2,0),"!COD NO ENCONTRADO"),"")</f>
        <v>MERLUZA EUROPEA VOLANTA ALTURA</v>
      </c>
      <c r="I969" s="77" t="n">
        <v>3</v>
      </c>
      <c r="J969" s="78" t="n">
        <v>28.9</v>
      </c>
      <c r="K969" s="79" t="n">
        <v>8.8</v>
      </c>
      <c r="L969" s="80" t="n">
        <f aca="false">IF(AND(J969&lt;&gt;"",K969&lt;&gt;""),J969*K969,"")</f>
        <v>254.32</v>
      </c>
      <c r="M969" s="81" t="n">
        <f aca="false">IF(L969&lt;&gt;"",L969*1.1,"")</f>
        <v>279.752</v>
      </c>
      <c r="N969" s="53" t="n">
        <f aca="false">IF(F969="S",L969*0.02,0)</f>
        <v>0</v>
      </c>
      <c r="O969" s="82" t="n">
        <f aca="false">IF(L969&lt;&gt;"",L969+N969,"")</f>
        <v>254.32</v>
      </c>
      <c r="P969" s="53" t="n">
        <f aca="false">IF(O969&lt;&gt;"",O969*0.1,"")</f>
        <v>25.432</v>
      </c>
      <c r="Q969" s="83" t="n">
        <f aca="false">IF(O969&lt;&gt;"",O969+P969,"")</f>
        <v>279.752</v>
      </c>
      <c r="R969" s="84" t="s">
        <v>365</v>
      </c>
    </row>
    <row r="970" customFormat="false" ht="15" hidden="false" customHeight="true" outlineLevel="0" collapsed="false">
      <c r="A970" s="103" t="n">
        <v>56093</v>
      </c>
      <c r="B970" s="73" t="n">
        <v>46225</v>
      </c>
      <c r="C970" s="74" t="s">
        <v>494</v>
      </c>
      <c r="D970" s="75" t="n">
        <v>50232</v>
      </c>
      <c r="E970" s="52" t="str">
        <f aca="false">IF(D970&lt;&gt;"",IFERROR(VLOOKUP(D970,PROVEEDORES!$A:$B,2,0),"!COD NO ENCONTRADO"),"")</f>
        <v>XESTION NOVA LONXA RIVEIRA S.L.</v>
      </c>
      <c r="F970" s="76" t="str">
        <f aca="false">IF(D970&lt;&gt;"",IFERROR(VLOOKUP(D970,PROVEEDORES!$A:$C,3,0),""),"")</f>
        <v>S</v>
      </c>
      <c r="G970" s="75" t="s">
        <v>296</v>
      </c>
      <c r="H970" s="52" t="str">
        <f aca="false">IF(G970&lt;&gt;"",IFERROR(VLOOKUP(G970,PRODUCTOS!$A:$B,2,0),"!COD NO ENCONTRADO"),"")</f>
        <v>RAPE NEGRO (ANK)</v>
      </c>
      <c r="I970" s="77" t="n">
        <v>14</v>
      </c>
      <c r="J970" s="78" t="n">
        <v>98.4</v>
      </c>
      <c r="K970" s="79" t="n">
        <v>6</v>
      </c>
      <c r="L970" s="80" t="n">
        <f aca="false">IF(AND(J970&lt;&gt;"",K970&lt;&gt;""),J970*K970,"")</f>
        <v>590.4</v>
      </c>
      <c r="M970" s="81" t="n">
        <f aca="false">IF(L970&lt;&gt;"",L970*1.1,"")</f>
        <v>649.44</v>
      </c>
      <c r="N970" s="53" t="n">
        <f aca="false">IF(F970="S",L970*0.02,0)</f>
        <v>11.808</v>
      </c>
      <c r="O970" s="82" t="n">
        <f aca="false">IF(L970&lt;&gt;"",L970+N970,"")</f>
        <v>602.208</v>
      </c>
      <c r="P970" s="53" t="n">
        <f aca="false">IF(O970&lt;&gt;"",O970*0.1,"")</f>
        <v>60.2208</v>
      </c>
      <c r="Q970" s="83" t="n">
        <f aca="false">IF(O970&lt;&gt;"",O970+P970,"")</f>
        <v>662.4288</v>
      </c>
      <c r="R970" s="84" t="s">
        <v>365</v>
      </c>
    </row>
    <row r="971" customFormat="false" ht="15" hidden="false" customHeight="true" outlineLevel="0" collapsed="false">
      <c r="A971" s="103" t="n">
        <v>56093</v>
      </c>
      <c r="B971" s="73" t="n">
        <v>46225</v>
      </c>
      <c r="C971" s="74" t="s">
        <v>494</v>
      </c>
      <c r="D971" s="75" t="n">
        <v>50232</v>
      </c>
      <c r="E971" s="52" t="str">
        <f aca="false">IF(D971&lt;&gt;"",IFERROR(VLOOKUP(D971,PROVEEDORES!$A:$B,2,0),"!COD NO ENCONTRADO"),"")</f>
        <v>XESTION NOVA LONXA RIVEIRA S.L.</v>
      </c>
      <c r="F971" s="88" t="str">
        <f aca="false">IF(D971&lt;&gt;"",IFERROR(VLOOKUP(D971,PROVEEDORES!$A:$C,3,0),""),"")</f>
        <v>S</v>
      </c>
      <c r="G971" s="87" t="s">
        <v>296</v>
      </c>
      <c r="H971" s="46" t="str">
        <f aca="false">IF(G971&lt;&gt;"",IFERROR(VLOOKUP(G971,PRODUCTOS!$A:$B,2,0),"!COD NO ENCONTRADO"),"")</f>
        <v>RAPE NEGRO (ANK)</v>
      </c>
      <c r="I971" s="89" t="n">
        <v>1</v>
      </c>
      <c r="J971" s="90" t="n">
        <v>1.4</v>
      </c>
      <c r="K971" s="91" t="n">
        <v>6.4</v>
      </c>
      <c r="L971" s="80" t="n">
        <f aca="false">IF(AND(J971&lt;&gt;"",K971&lt;&gt;""),J971*K971,"")</f>
        <v>8.96</v>
      </c>
      <c r="M971" s="81" t="n">
        <f aca="false">IF(L971&lt;&gt;"",L971*1.1,"")</f>
        <v>9.856</v>
      </c>
      <c r="N971" s="47" t="n">
        <f aca="false">IF(F971="S",L971*0.02,0)</f>
        <v>0.1792</v>
      </c>
      <c r="O971" s="82" t="n">
        <f aca="false">IF(L971&lt;&gt;"",L971+N971,"")</f>
        <v>9.1392</v>
      </c>
      <c r="P971" s="47" t="n">
        <f aca="false">IF(O971&lt;&gt;"",O971*0.1,"")</f>
        <v>0.91392</v>
      </c>
      <c r="Q971" s="83" t="n">
        <f aca="false">IF(O971&lt;&gt;"",O971+P971,"")</f>
        <v>10.05312</v>
      </c>
      <c r="R971" s="84" t="s">
        <v>365</v>
      </c>
    </row>
    <row r="972" customFormat="false" ht="15" hidden="false" customHeight="true" outlineLevel="0" collapsed="false">
      <c r="A972" s="103" t="n">
        <v>56093</v>
      </c>
      <c r="B972" s="73" t="n">
        <v>46225</v>
      </c>
      <c r="C972" s="74" t="s">
        <v>494</v>
      </c>
      <c r="D972" s="75" t="n">
        <v>50232</v>
      </c>
      <c r="E972" s="52" t="str">
        <f aca="false">IF(D972&lt;&gt;"",IFERROR(VLOOKUP(D972,PROVEEDORES!$A:$B,2,0),"!COD NO ENCONTRADO"),"")</f>
        <v>XESTION NOVA LONXA RIVEIRA S.L.</v>
      </c>
      <c r="F972" s="76" t="str">
        <f aca="false">IF(D972&lt;&gt;"",IFERROR(VLOOKUP(D972,PROVEEDORES!$A:$C,3,0),""),"")</f>
        <v>S</v>
      </c>
      <c r="G972" s="75" t="s">
        <v>288</v>
      </c>
      <c r="H972" s="52" t="str">
        <f aca="false">IF(G972&lt;&gt;"",IFERROR(VLOOKUP(G972,PRODUCTOS!$A:$B,2,0),"!COD NO ENCONTRADO"),"")</f>
        <v>RAPE BLANCO DIA (MON)</v>
      </c>
      <c r="I972" s="77" t="n">
        <v>1</v>
      </c>
      <c r="J972" s="78" t="n">
        <v>3.7</v>
      </c>
      <c r="K972" s="79" t="n">
        <v>3</v>
      </c>
      <c r="L972" s="80" t="n">
        <f aca="false">IF(AND(J972&lt;&gt;"",K972&lt;&gt;""),J972*K972,"")</f>
        <v>11.1</v>
      </c>
      <c r="M972" s="81" t="n">
        <f aca="false">IF(L972&lt;&gt;"",L972*1.1,"")</f>
        <v>12.21</v>
      </c>
      <c r="N972" s="53" t="n">
        <f aca="false">IF(F972="S",L972*0.02,0)</f>
        <v>0.222</v>
      </c>
      <c r="O972" s="82" t="n">
        <f aca="false">IF(L972&lt;&gt;"",L972+N972,"")</f>
        <v>11.322</v>
      </c>
      <c r="P972" s="53" t="n">
        <f aca="false">IF(O972&lt;&gt;"",O972*0.1,"")</f>
        <v>1.1322</v>
      </c>
      <c r="Q972" s="83" t="n">
        <f aca="false">IF(O972&lt;&gt;"",O972+P972,"")</f>
        <v>12.4542</v>
      </c>
      <c r="R972" s="84" t="s">
        <v>365</v>
      </c>
    </row>
    <row r="973" customFormat="false" ht="15" hidden="false" customHeight="true" outlineLevel="0" collapsed="false">
      <c r="A973" s="103" t="n">
        <v>56093</v>
      </c>
      <c r="B973" s="73" t="n">
        <v>46225</v>
      </c>
      <c r="C973" s="74" t="s">
        <v>494</v>
      </c>
      <c r="D973" s="75" t="n">
        <v>50232</v>
      </c>
      <c r="E973" s="52" t="str">
        <f aca="false">IF(D973&lt;&gt;"",IFERROR(VLOOKUP(D973,PROVEEDORES!$A:$B,2,0),"!COD NO ENCONTRADO"),"")</f>
        <v>XESTION NOVA LONXA RIVEIRA S.L.</v>
      </c>
      <c r="F973" s="88" t="str">
        <f aca="false">IF(D973&lt;&gt;"",IFERROR(VLOOKUP(D973,PROVEEDORES!$A:$C,3,0),""),"")</f>
        <v>S</v>
      </c>
      <c r="G973" s="87" t="s">
        <v>179</v>
      </c>
      <c r="H973" s="46" t="str">
        <f aca="false">IF(G973&lt;&gt;"",IFERROR(VLOOKUP(G973,PRODUCTOS!$A:$B,2,0),"!COD NO ENCONTRADO"),"")</f>
        <v>LIRIO/ BACALADILLA/ PERLA (WHB)</v>
      </c>
      <c r="I973" s="89" t="n">
        <v>1</v>
      </c>
      <c r="J973" s="90" t="n">
        <v>132</v>
      </c>
      <c r="K973" s="91" t="n">
        <v>1.4</v>
      </c>
      <c r="L973" s="80" t="n">
        <f aca="false">IF(AND(J973&lt;&gt;"",K973&lt;&gt;""),J973*K973,"")</f>
        <v>184.8</v>
      </c>
      <c r="M973" s="81" t="n">
        <f aca="false">IF(L973&lt;&gt;"",L973*1.1,"")</f>
        <v>203.28</v>
      </c>
      <c r="N973" s="47" t="n">
        <f aca="false">IF(F973="S",L973*0.02,0)</f>
        <v>3.696</v>
      </c>
      <c r="O973" s="82" t="n">
        <f aca="false">IF(L973&lt;&gt;"",L973+N973,"")</f>
        <v>188.496</v>
      </c>
      <c r="P973" s="47" t="n">
        <f aca="false">IF(O973&lt;&gt;"",O973*0.1,"")</f>
        <v>18.8496</v>
      </c>
      <c r="Q973" s="83" t="n">
        <f aca="false">IF(O973&lt;&gt;"",O973+P973,"")</f>
        <v>207.3456</v>
      </c>
      <c r="R973" s="84" t="s">
        <v>365</v>
      </c>
    </row>
    <row r="974" customFormat="false" ht="15" hidden="false" customHeight="true" outlineLevel="0" collapsed="false">
      <c r="A974" s="103" t="n">
        <v>56093</v>
      </c>
      <c r="B974" s="73" t="n">
        <v>46225</v>
      </c>
      <c r="C974" s="74" t="s">
        <v>494</v>
      </c>
      <c r="D974" s="75" t="n">
        <v>50232</v>
      </c>
      <c r="E974" s="52" t="str">
        <f aca="false">IF(D974&lt;&gt;"",IFERROR(VLOOKUP(D974,PROVEEDORES!$A:$B,2,0),"!COD NO ENCONTRADO"),"")</f>
        <v>XESTION NOVA LONXA RIVEIRA S.L.</v>
      </c>
      <c r="F974" s="76" t="str">
        <f aca="false">IF(D974&lt;&gt;"",IFERROR(VLOOKUP(D974,PROVEEDORES!$A:$C,3,0),""),"")</f>
        <v>S</v>
      </c>
      <c r="G974" s="75" t="s">
        <v>179</v>
      </c>
      <c r="H974" s="52" t="str">
        <f aca="false">IF(G974&lt;&gt;"",IFERROR(VLOOKUP(G974,PRODUCTOS!$A:$B,2,0),"!COD NO ENCONTRADO"),"")</f>
        <v>LIRIO/ BACALADILLA/ PERLA (WHB)</v>
      </c>
      <c r="I974" s="77" t="n">
        <v>10</v>
      </c>
      <c r="J974" s="78" t="n">
        <v>156.3</v>
      </c>
      <c r="K974" s="79" t="n">
        <v>1.6</v>
      </c>
      <c r="L974" s="80" t="n">
        <f aca="false">IF(AND(J974&lt;&gt;"",K974&lt;&gt;""),J974*K974,"")</f>
        <v>250.08</v>
      </c>
      <c r="M974" s="81" t="n">
        <f aca="false">IF(L974&lt;&gt;"",L974*1.1,"")</f>
        <v>275.088</v>
      </c>
      <c r="N974" s="53" t="n">
        <f aca="false">IF(F974="S",L974*0.02,0)</f>
        <v>5.0016</v>
      </c>
      <c r="O974" s="82" t="n">
        <f aca="false">IF(L974&lt;&gt;"",L974+N974,"")</f>
        <v>255.0816</v>
      </c>
      <c r="P974" s="53" t="n">
        <f aca="false">IF(O974&lt;&gt;"",O974*0.1,"")</f>
        <v>25.50816</v>
      </c>
      <c r="Q974" s="83" t="n">
        <f aca="false">IF(O974&lt;&gt;"",O974+P974,"")</f>
        <v>280.58976</v>
      </c>
      <c r="R974" s="84" t="s">
        <v>358</v>
      </c>
    </row>
    <row r="975" customFormat="false" ht="15" hidden="false" customHeight="true" outlineLevel="0" collapsed="false">
      <c r="A975" s="103" t="n">
        <v>56094</v>
      </c>
      <c r="B975" s="73" t="n">
        <v>46225</v>
      </c>
      <c r="C975" s="74" t="n">
        <v>10656</v>
      </c>
      <c r="D975" s="75" t="n">
        <v>50001</v>
      </c>
      <c r="E975" s="52" t="str">
        <f aca="false">IF(D975&lt;&gt;"",IFERROR(VLOOKUP(D975,PROVEEDORES!$A:$B,2,0),"!COD NO ENCONTRADO"),"")</f>
        <v>COPESA</v>
      </c>
      <c r="F975" s="76" t="str">
        <f aca="false">IF(D975&lt;&gt;"",IFERROR(VLOOKUP(D975,PROVEEDORES!$A:$C,3,0),""),"")</f>
        <v>S</v>
      </c>
      <c r="G975" s="75" t="s">
        <v>292</v>
      </c>
      <c r="H975" s="52" t="str">
        <f aca="false">IF(G975&lt;&gt;"",IFERROR(VLOOKUP(G975,PRODUCTOS!$A:$B,2,0),"!COD NO ENCONTRADO"),"")</f>
        <v>RAPE BLANCO RASCO (MON)</v>
      </c>
      <c r="I975" s="77" t="n">
        <v>4</v>
      </c>
      <c r="J975" s="78" t="n">
        <v>210</v>
      </c>
      <c r="K975" s="79" t="n">
        <v>5.9</v>
      </c>
      <c r="L975" s="80" t="n">
        <f aca="false">IF(AND(J975&lt;&gt;"",K975&lt;&gt;""),J975*K975,"")</f>
        <v>1239</v>
      </c>
      <c r="M975" s="81" t="n">
        <f aca="false">IF(L975&lt;&gt;"",L975*1.1,"")</f>
        <v>1362.9</v>
      </c>
      <c r="N975" s="53" t="n">
        <f aca="false">IF(F975="S",L975*0.02,0)</f>
        <v>24.78</v>
      </c>
      <c r="O975" s="82" t="n">
        <f aca="false">IF(L975&lt;&gt;"",L975+N975,"")</f>
        <v>1263.78</v>
      </c>
      <c r="P975" s="53" t="n">
        <f aca="false">IF(O975&lt;&gt;"",O975*0.1,"")</f>
        <v>126.378</v>
      </c>
      <c r="Q975" s="83" t="n">
        <f aca="false">IF(O975&lt;&gt;"",O975+P975,"")</f>
        <v>1390.158</v>
      </c>
      <c r="R975" s="84" t="s">
        <v>358</v>
      </c>
    </row>
    <row r="976" customFormat="false" ht="15" hidden="false" customHeight="true" outlineLevel="0" collapsed="false">
      <c r="A976" s="103" t="n">
        <v>56094</v>
      </c>
      <c r="B976" s="73" t="n">
        <v>46225</v>
      </c>
      <c r="C976" s="74" t="n">
        <v>10656</v>
      </c>
      <c r="D976" s="75" t="n">
        <v>50001</v>
      </c>
      <c r="E976" s="52" t="str">
        <f aca="false">IF(D976&lt;&gt;"",IFERROR(VLOOKUP(D976,PROVEEDORES!$A:$B,2,0),"!COD NO ENCONTRADO"),"")</f>
        <v>COPESA</v>
      </c>
      <c r="F976" s="88" t="str">
        <f aca="false">IF(D976&lt;&gt;"",IFERROR(VLOOKUP(D976,PROVEEDORES!$A:$C,3,0),""),"")</f>
        <v>S</v>
      </c>
      <c r="G976" s="75" t="s">
        <v>292</v>
      </c>
      <c r="H976" s="46" t="str">
        <f aca="false">IF(G976&lt;&gt;"",IFERROR(VLOOKUP(G976,PRODUCTOS!$A:$B,2,0),"!COD NO ENCONTRADO"),"")</f>
        <v>RAPE BLANCO RASCO (MON)</v>
      </c>
      <c r="I976" s="89" t="n">
        <v>1</v>
      </c>
      <c r="J976" s="90" t="n">
        <v>47.25</v>
      </c>
      <c r="K976" s="91" t="n">
        <v>5.6</v>
      </c>
      <c r="L976" s="80" t="n">
        <f aca="false">IF(AND(J976&lt;&gt;"",K976&lt;&gt;""),J976*K976,"")</f>
        <v>264.6</v>
      </c>
      <c r="M976" s="81" t="n">
        <f aca="false">IF(L976&lt;&gt;"",L976*1.1,"")</f>
        <v>291.06</v>
      </c>
      <c r="N976" s="47" t="n">
        <f aca="false">IF(F976="S",L976*0.02,0)</f>
        <v>5.292</v>
      </c>
      <c r="O976" s="82" t="n">
        <f aca="false">IF(L976&lt;&gt;"",L976+N976,"")</f>
        <v>269.892</v>
      </c>
      <c r="P976" s="47" t="n">
        <f aca="false">IF(O976&lt;&gt;"",O976*0.1,"")</f>
        <v>26.9892</v>
      </c>
      <c r="Q976" s="83" t="n">
        <f aca="false">IF(O976&lt;&gt;"",O976+P976,"")</f>
        <v>296.8812</v>
      </c>
      <c r="R976" s="84" t="s">
        <v>358</v>
      </c>
    </row>
    <row r="977" customFormat="false" ht="15" hidden="false" customHeight="true" outlineLevel="0" collapsed="false">
      <c r="A977" s="103" t="n">
        <v>56094</v>
      </c>
      <c r="B977" s="73" t="n">
        <v>46225</v>
      </c>
      <c r="C977" s="74" t="n">
        <v>10656</v>
      </c>
      <c r="D977" s="75" t="n">
        <v>50001</v>
      </c>
      <c r="E977" s="52" t="str">
        <f aca="false">IF(D977&lt;&gt;"",IFERROR(VLOOKUP(D977,PROVEEDORES!$A:$B,2,0),"!COD NO ENCONTRADO"),"")</f>
        <v>COPESA</v>
      </c>
      <c r="F977" s="76" t="str">
        <f aca="false">IF(D977&lt;&gt;"",IFERROR(VLOOKUP(D977,PROVEEDORES!$A:$C,3,0),""),"")</f>
        <v>S</v>
      </c>
      <c r="G977" s="75" t="s">
        <v>292</v>
      </c>
      <c r="H977" s="52" t="str">
        <f aca="false">IF(G977&lt;&gt;"",IFERROR(VLOOKUP(G977,PRODUCTOS!$A:$B,2,0),"!COD NO ENCONTRADO"),"")</f>
        <v>RAPE BLANCO RASCO (MON)</v>
      </c>
      <c r="I977" s="77" t="n">
        <v>2</v>
      </c>
      <c r="J977" s="78" t="n">
        <v>103</v>
      </c>
      <c r="K977" s="79" t="n">
        <v>5.9</v>
      </c>
      <c r="L977" s="80" t="n">
        <f aca="false">IF(AND(J977&lt;&gt;"",K977&lt;&gt;""),J977*K977,"")</f>
        <v>607.7</v>
      </c>
      <c r="M977" s="81" t="n">
        <f aca="false">IF(L977&lt;&gt;"",L977*1.1,"")</f>
        <v>668.47</v>
      </c>
      <c r="N977" s="53" t="n">
        <f aca="false">IF(F977="S",L977*0.02,0)</f>
        <v>12.154</v>
      </c>
      <c r="O977" s="82" t="n">
        <f aca="false">IF(L977&lt;&gt;"",L977+N977,"")</f>
        <v>619.854</v>
      </c>
      <c r="P977" s="53" t="n">
        <f aca="false">IF(O977&lt;&gt;"",O977*0.1,"")</f>
        <v>61.9854</v>
      </c>
      <c r="Q977" s="83" t="n">
        <f aca="false">IF(O977&lt;&gt;"",O977+P977,"")</f>
        <v>681.8394</v>
      </c>
      <c r="R977" s="84" t="s">
        <v>358</v>
      </c>
    </row>
    <row r="978" customFormat="false" ht="15" hidden="false" customHeight="true" outlineLevel="0" collapsed="false">
      <c r="A978" s="103" t="n">
        <v>56094</v>
      </c>
      <c r="B978" s="73" t="n">
        <v>46225</v>
      </c>
      <c r="C978" s="74" t="n">
        <v>10656</v>
      </c>
      <c r="D978" s="75" t="n">
        <v>50001</v>
      </c>
      <c r="E978" s="52" t="str">
        <f aca="false">IF(D978&lt;&gt;"",IFERROR(VLOOKUP(D978,PROVEEDORES!$A:$B,2,0),"!COD NO ENCONTRADO"),"")</f>
        <v>COPESA</v>
      </c>
      <c r="F978" s="88" t="str">
        <f aca="false">IF(D978&lt;&gt;"",IFERROR(VLOOKUP(D978,PROVEEDORES!$A:$C,3,0),""),"")</f>
        <v>S</v>
      </c>
      <c r="G978" s="75" t="s">
        <v>292</v>
      </c>
      <c r="H978" s="46" t="str">
        <f aca="false">IF(G978&lt;&gt;"",IFERROR(VLOOKUP(G978,PRODUCTOS!$A:$B,2,0),"!COD NO ENCONTRADO"),"")</f>
        <v>RAPE BLANCO RASCO (MON)</v>
      </c>
      <c r="I978" s="89" t="n">
        <v>3</v>
      </c>
      <c r="J978" s="90" t="n">
        <v>148.25</v>
      </c>
      <c r="K978" s="91" t="n">
        <v>5.5</v>
      </c>
      <c r="L978" s="80" t="n">
        <f aca="false">IF(AND(J978&lt;&gt;"",K978&lt;&gt;""),J978*K978,"")</f>
        <v>815.375</v>
      </c>
      <c r="M978" s="81" t="n">
        <f aca="false">IF(L978&lt;&gt;"",L978*1.1,"")</f>
        <v>896.9125</v>
      </c>
      <c r="N978" s="47" t="n">
        <f aca="false">IF(F978="S",L978*0.02,0)</f>
        <v>16.3075</v>
      </c>
      <c r="O978" s="82" t="n">
        <f aca="false">IF(L978&lt;&gt;"",L978+N978,"")</f>
        <v>831.6825</v>
      </c>
      <c r="P978" s="47" t="n">
        <f aca="false">IF(O978&lt;&gt;"",O978*0.1,"")</f>
        <v>83.16825</v>
      </c>
      <c r="Q978" s="83" t="n">
        <f aca="false">IF(O978&lt;&gt;"",O978+P978,"")</f>
        <v>914.85075</v>
      </c>
      <c r="R978" s="84" t="s">
        <v>358</v>
      </c>
    </row>
    <row r="979" customFormat="false" ht="15" hidden="false" customHeight="true" outlineLevel="0" collapsed="false">
      <c r="A979" s="103" t="n">
        <v>56094</v>
      </c>
      <c r="B979" s="73" t="n">
        <v>46225</v>
      </c>
      <c r="C979" s="74" t="n">
        <v>10656</v>
      </c>
      <c r="D979" s="75" t="n">
        <v>50001</v>
      </c>
      <c r="E979" s="52" t="str">
        <f aca="false">IF(D979&lt;&gt;"",IFERROR(VLOOKUP(D979,PROVEEDORES!$A:$B,2,0),"!COD NO ENCONTRADO"),"")</f>
        <v>COPESA</v>
      </c>
      <c r="F979" s="76" t="str">
        <f aca="false">IF(D979&lt;&gt;"",IFERROR(VLOOKUP(D979,PROVEEDORES!$A:$C,3,0),""),"")</f>
        <v>S</v>
      </c>
      <c r="G979" s="75" t="s">
        <v>292</v>
      </c>
      <c r="H979" s="52" t="str">
        <f aca="false">IF(G979&lt;&gt;"",IFERROR(VLOOKUP(G979,PRODUCTOS!$A:$B,2,0),"!COD NO ENCONTRADO"),"")</f>
        <v>RAPE BLANCO RASCO (MON)</v>
      </c>
      <c r="I979" s="77" t="n">
        <v>1</v>
      </c>
      <c r="J979" s="78" t="n">
        <v>45.75</v>
      </c>
      <c r="K979" s="79" t="n">
        <v>6.9</v>
      </c>
      <c r="L979" s="80" t="n">
        <f aca="false">IF(AND(J979&lt;&gt;"",K979&lt;&gt;""),J979*K979,"")</f>
        <v>315.675</v>
      </c>
      <c r="M979" s="81" t="n">
        <f aca="false">IF(L979&lt;&gt;"",L979*1.1,"")</f>
        <v>347.2425</v>
      </c>
      <c r="N979" s="53" t="n">
        <f aca="false">IF(F979="S",L979*0.02,0)</f>
        <v>6.3135</v>
      </c>
      <c r="O979" s="82" t="n">
        <f aca="false">IF(L979&lt;&gt;"",L979+N979,"")</f>
        <v>321.9885</v>
      </c>
      <c r="P979" s="53" t="n">
        <f aca="false">IF(O979&lt;&gt;"",O979*0.1,"")</f>
        <v>32.19885</v>
      </c>
      <c r="Q979" s="83" t="n">
        <f aca="false">IF(O979&lt;&gt;"",O979+P979,"")</f>
        <v>354.18735</v>
      </c>
      <c r="R979" s="84" t="s">
        <v>358</v>
      </c>
    </row>
    <row r="980" customFormat="false" ht="15" hidden="false" customHeight="true" outlineLevel="0" collapsed="false">
      <c r="A980" s="103" t="n">
        <v>56095</v>
      </c>
      <c r="B980" s="73" t="n">
        <v>46225</v>
      </c>
      <c r="C980" s="86" t="n">
        <v>7767</v>
      </c>
      <c r="D980" s="75" t="n">
        <v>50020</v>
      </c>
      <c r="E980" s="52" t="str">
        <f aca="false">IF(D980&lt;&gt;"",IFERROR(VLOOKUP(D980,PROVEEDORES!$A:$B,2,0),"!COD NO ENCONTRADO"),"")</f>
        <v>PACO MOINELO</v>
      </c>
      <c r="F980" s="88" t="str">
        <f aca="false">IF(D980&lt;&gt;"",IFERROR(VLOOKUP(D980,PROVEEDORES!$A:$C,3,0),""),"")</f>
        <v>S</v>
      </c>
      <c r="G980" s="75" t="s">
        <v>135</v>
      </c>
      <c r="H980" s="46" t="str">
        <f aca="false">IF(G980&lt;&gt;"",IFERROR(VLOOKUP(G980,PRODUCTOS!$A:$B,2,0),"!COD NO ENCONTRADO"),"")</f>
        <v>CONGRIO 10+  (COE)</v>
      </c>
      <c r="I980" s="89" t="n">
        <v>1</v>
      </c>
      <c r="J980" s="90" t="n">
        <v>13.75</v>
      </c>
      <c r="K980" s="91" t="n">
        <v>4</v>
      </c>
      <c r="L980" s="80" t="n">
        <f aca="false">IF(AND(J980&lt;&gt;"",K980&lt;&gt;""),J980*K980,"")</f>
        <v>55</v>
      </c>
      <c r="M980" s="81" t="n">
        <f aca="false">IF(L980&lt;&gt;"",L980*1.1,"")</f>
        <v>60.5</v>
      </c>
      <c r="N980" s="47" t="n">
        <f aca="false">IF(F980="S",L980*0.02,0)</f>
        <v>1.1</v>
      </c>
      <c r="O980" s="82" t="n">
        <f aca="false">IF(L980&lt;&gt;"",L980+N980,"")</f>
        <v>56.1</v>
      </c>
      <c r="P980" s="47" t="n">
        <f aca="false">IF(O980&lt;&gt;"",O980*0.1,"")</f>
        <v>5.61</v>
      </c>
      <c r="Q980" s="83" t="n">
        <f aca="false">IF(O980&lt;&gt;"",O980+P980,"")</f>
        <v>61.71</v>
      </c>
      <c r="R980" s="84" t="s">
        <v>358</v>
      </c>
    </row>
    <row r="981" customFormat="false" ht="15" hidden="false" customHeight="true" outlineLevel="0" collapsed="false">
      <c r="A981" s="103" t="n">
        <v>56095</v>
      </c>
      <c r="B981" s="73" t="n">
        <v>46225</v>
      </c>
      <c r="C981" s="74" t="n">
        <v>7767</v>
      </c>
      <c r="D981" s="75" t="n">
        <v>50020</v>
      </c>
      <c r="E981" s="52" t="str">
        <f aca="false">IF(D981&lt;&gt;"",IFERROR(VLOOKUP(D981,PROVEEDORES!$A:$B,2,0),"!COD NO ENCONTRADO"),"")</f>
        <v>PACO MOINELO</v>
      </c>
      <c r="F981" s="76" t="str">
        <f aca="false">IF(D981&lt;&gt;"",IFERROR(VLOOKUP(D981,PROVEEDORES!$A:$C,3,0),""),"")</f>
        <v>S</v>
      </c>
      <c r="G981" s="75" t="s">
        <v>135</v>
      </c>
      <c r="H981" s="52" t="str">
        <f aca="false">IF(G981&lt;&gt;"",IFERROR(VLOOKUP(G981,PRODUCTOS!$A:$B,2,0),"!COD NO ENCONTRADO"),"")</f>
        <v>CONGRIO 10+  (COE)</v>
      </c>
      <c r="I981" s="77" t="n">
        <v>2</v>
      </c>
      <c r="J981" s="78" t="n">
        <v>49.25</v>
      </c>
      <c r="K981" s="79" t="n">
        <v>3.5</v>
      </c>
      <c r="L981" s="80" t="n">
        <f aca="false">IF(AND(J981&lt;&gt;"",K981&lt;&gt;""),J981*K981,"")</f>
        <v>172.375</v>
      </c>
      <c r="M981" s="81" t="n">
        <f aca="false">IF(L981&lt;&gt;"",L981*1.1,"")</f>
        <v>189.6125</v>
      </c>
      <c r="N981" s="53" t="n">
        <f aca="false">IF(F981="S",L981*0.02,0)</f>
        <v>3.4475</v>
      </c>
      <c r="O981" s="82" t="n">
        <f aca="false">IF(L981&lt;&gt;"",L981+N981,"")</f>
        <v>175.8225</v>
      </c>
      <c r="P981" s="53" t="n">
        <f aca="false">IF(O981&lt;&gt;"",O981*0.1,"")</f>
        <v>17.58225</v>
      </c>
      <c r="Q981" s="83" t="n">
        <f aca="false">IF(O981&lt;&gt;"",O981+P981,"")</f>
        <v>193.40475</v>
      </c>
      <c r="R981" s="84" t="s">
        <v>358</v>
      </c>
    </row>
    <row r="982" customFormat="false" ht="15" hidden="false" customHeight="true" outlineLevel="0" collapsed="false">
      <c r="A982" s="103" t="n">
        <v>56096</v>
      </c>
      <c r="B982" s="73" t="n">
        <v>46225</v>
      </c>
      <c r="C982" s="86" t="n">
        <v>17296</v>
      </c>
      <c r="D982" s="75" t="n">
        <v>50160</v>
      </c>
      <c r="E982" s="52" t="str">
        <f aca="false">IF(D982&lt;&gt;"",IFERROR(VLOOKUP(D982,PROVEEDORES!$A:$B,2,0),"!COD NO ENCONTRADO"),"")</f>
        <v>SUBASTAS CORUÑA S.L.</v>
      </c>
      <c r="F982" s="88" t="str">
        <f aca="false">IF(D982&lt;&gt;"",IFERROR(VLOOKUP(D982,PROVEEDORES!$A:$C,3,0),""),"")</f>
        <v>S</v>
      </c>
      <c r="G982" s="75" t="s">
        <v>276</v>
      </c>
      <c r="H982" s="46" t="str">
        <f aca="false">IF(G982&lt;&gt;"",IFERROR(VLOOKUP(G982,PRODUCTOS!$A:$B,2,0),"!COD NO ENCONTRADO"),"")</f>
        <v>MERLUZA EUROPEA/ FINA DIA </v>
      </c>
      <c r="I982" s="89" t="n">
        <v>12</v>
      </c>
      <c r="J982" s="90" t="n">
        <v>78.75</v>
      </c>
      <c r="K982" s="91" t="n">
        <v>2.4</v>
      </c>
      <c r="L982" s="80" t="n">
        <f aca="false">IF(AND(J982&lt;&gt;"",K982&lt;&gt;""),J982*K982,"")</f>
        <v>189</v>
      </c>
      <c r="M982" s="81" t="n">
        <f aca="false">IF(L982&lt;&gt;"",L982*1.1,"")</f>
        <v>207.9</v>
      </c>
      <c r="N982" s="47" t="n">
        <f aca="false">IF(F982="S",L982*0.02,0)</f>
        <v>3.78</v>
      </c>
      <c r="O982" s="82" t="n">
        <f aca="false">IF(L982&lt;&gt;"",L982+N982,"")</f>
        <v>192.78</v>
      </c>
      <c r="P982" s="47" t="n">
        <f aca="false">IF(O982&lt;&gt;"",O982*0.1,"")</f>
        <v>19.278</v>
      </c>
      <c r="Q982" s="83" t="n">
        <f aca="false">IF(O982&lt;&gt;"",O982+P982,"")</f>
        <v>212.058</v>
      </c>
      <c r="R982" s="84" t="s">
        <v>358</v>
      </c>
    </row>
    <row r="983" customFormat="false" ht="15" hidden="false" customHeight="true" outlineLevel="0" collapsed="false">
      <c r="A983" s="103" t="n">
        <v>56096</v>
      </c>
      <c r="B983" s="73" t="n">
        <v>46225</v>
      </c>
      <c r="C983" s="74" t="n">
        <v>17296</v>
      </c>
      <c r="D983" s="75" t="n">
        <v>50160</v>
      </c>
      <c r="E983" s="52" t="str">
        <f aca="false">IF(D983&lt;&gt;"",IFERROR(VLOOKUP(D983,PROVEEDORES!$A:$B,2,0),"!COD NO ENCONTRADO"),"")</f>
        <v>SUBASTAS CORUÑA S.L.</v>
      </c>
      <c r="F983" s="76" t="str">
        <f aca="false">IF(D983&lt;&gt;"",IFERROR(VLOOKUP(D983,PROVEEDORES!$A:$C,3,0),""),"")</f>
        <v>S</v>
      </c>
      <c r="G983" s="75" t="s">
        <v>332</v>
      </c>
      <c r="H983" s="52" t="str">
        <f aca="false">IF(G983&lt;&gt;"",IFERROR(VLOOKUP(G983,PRODUCTOS!$A:$B,2,0),"!COD NO ENCONTRADO"),"")</f>
        <v>VARIADO PEQUEÑO</v>
      </c>
      <c r="I983" s="77" t="n">
        <v>5</v>
      </c>
      <c r="J983" s="78" t="n">
        <v>26</v>
      </c>
      <c r="K983" s="79" t="n">
        <v>0.5</v>
      </c>
      <c r="L983" s="80" t="n">
        <f aca="false">IF(AND(J983&lt;&gt;"",K983&lt;&gt;""),J983*K983,"")</f>
        <v>13</v>
      </c>
      <c r="M983" s="81" t="n">
        <f aca="false">IF(L983&lt;&gt;"",L983*1.1,"")</f>
        <v>14.3</v>
      </c>
      <c r="N983" s="53" t="n">
        <f aca="false">IF(F983="S",L983*0.02,0)</f>
        <v>0.26</v>
      </c>
      <c r="O983" s="82" t="n">
        <f aca="false">IF(L983&lt;&gt;"",L983+N983,"")</f>
        <v>13.26</v>
      </c>
      <c r="P983" s="53" t="n">
        <f aca="false">IF(O983&lt;&gt;"",O983*0.1,"")</f>
        <v>1.326</v>
      </c>
      <c r="Q983" s="83" t="n">
        <f aca="false">IF(O983&lt;&gt;"",O983+P983,"")</f>
        <v>14.586</v>
      </c>
      <c r="R983" s="84" t="s">
        <v>365</v>
      </c>
    </row>
    <row r="984" customFormat="false" ht="15" hidden="false" customHeight="true" outlineLevel="0" collapsed="false">
      <c r="A984" s="103" t="n">
        <v>56097</v>
      </c>
      <c r="B984" s="73" t="n">
        <v>46225</v>
      </c>
      <c r="C984" s="86" t="n">
        <v>20149</v>
      </c>
      <c r="D984" s="87" t="n">
        <v>50163</v>
      </c>
      <c r="E984" s="46" t="str">
        <f aca="false">IF(D984&lt;&gt;"",IFERROR(VLOOKUP(D984,PROVEEDORES!$A:$B,2,0),"!COD NO ENCONTRADO"),"")</f>
        <v>SUBASTAS RIVERA S.L.</v>
      </c>
      <c r="F984" s="88" t="str">
        <f aca="false">IF(D984&lt;&gt;"",IFERROR(VLOOKUP(D984,PROVEEDORES!$A:$C,3,0),""),"")</f>
        <v>S</v>
      </c>
      <c r="G984" s="87" t="s">
        <v>332</v>
      </c>
      <c r="H984" s="46" t="str">
        <f aca="false">IF(G984&lt;&gt;"",IFERROR(VLOOKUP(G984,PRODUCTOS!$A:$B,2,0),"!COD NO ENCONTRADO"),"")</f>
        <v>VARIADO PEQUEÑO</v>
      </c>
      <c r="I984" s="89" t="n">
        <v>2</v>
      </c>
      <c r="J984" s="90" t="n">
        <v>13.5</v>
      </c>
      <c r="K984" s="91" t="n">
        <v>0.3</v>
      </c>
      <c r="L984" s="80" t="n">
        <f aca="false">IF(AND(J984&lt;&gt;"",K984&lt;&gt;""),J984*K984,"")</f>
        <v>4.05</v>
      </c>
      <c r="M984" s="81" t="n">
        <f aca="false">IF(L984&lt;&gt;"",L984*1.1,"")</f>
        <v>4.455</v>
      </c>
      <c r="N984" s="47" t="n">
        <f aca="false">IF(F984="S",L984*0.02,0)</f>
        <v>0.081</v>
      </c>
      <c r="O984" s="82" t="n">
        <f aca="false">IF(L984&lt;&gt;"",L984+N984,"")</f>
        <v>4.131</v>
      </c>
      <c r="P984" s="47" t="n">
        <f aca="false">IF(O984&lt;&gt;"",O984*0.1,"")</f>
        <v>0.4131</v>
      </c>
      <c r="Q984" s="83" t="n">
        <f aca="false">IF(O984&lt;&gt;"",O984+P984,"")</f>
        <v>4.5441</v>
      </c>
      <c r="R984" s="84" t="s">
        <v>365</v>
      </c>
    </row>
    <row r="985" customFormat="false" ht="15" hidden="false" customHeight="true" outlineLevel="0" collapsed="false">
      <c r="A985" s="103" t="n">
        <v>56097</v>
      </c>
      <c r="B985" s="73" t="n">
        <v>46225</v>
      </c>
      <c r="C985" s="86" t="n">
        <v>20149</v>
      </c>
      <c r="D985" s="87" t="n">
        <v>50163</v>
      </c>
      <c r="E985" s="52" t="str">
        <f aca="false">IF(D985&lt;&gt;"",IFERROR(VLOOKUP(D985,PROVEEDORES!$A:$B,2,0),"!COD NO ENCONTRADO"),"")</f>
        <v>SUBASTAS RIVERA S.L.</v>
      </c>
      <c r="F985" s="76" t="str">
        <f aca="false">IF(D985&lt;&gt;"",IFERROR(VLOOKUP(D985,PROVEEDORES!$A:$C,3,0),""),"")</f>
        <v>S</v>
      </c>
      <c r="G985" s="75" t="s">
        <v>332</v>
      </c>
      <c r="H985" s="52" t="str">
        <f aca="false">IF(G985&lt;&gt;"",IFERROR(VLOOKUP(G985,PRODUCTOS!$A:$B,2,0),"!COD NO ENCONTRADO"),"")</f>
        <v>VARIADO PEQUEÑO</v>
      </c>
      <c r="I985" s="77" t="n">
        <v>2</v>
      </c>
      <c r="J985" s="78" t="n">
        <v>11</v>
      </c>
      <c r="K985" s="79" t="n">
        <v>0.3</v>
      </c>
      <c r="L985" s="80" t="n">
        <f aca="false">IF(AND(J985&lt;&gt;"",K985&lt;&gt;""),J985*K985,"")</f>
        <v>3.3</v>
      </c>
      <c r="M985" s="81" t="n">
        <f aca="false">IF(L985&lt;&gt;"",L985*1.1,"")</f>
        <v>3.63</v>
      </c>
      <c r="N985" s="53" t="n">
        <f aca="false">IF(F985="S",L985*0.02,0)</f>
        <v>0.066</v>
      </c>
      <c r="O985" s="82" t="n">
        <f aca="false">IF(L985&lt;&gt;"",L985+N985,"")</f>
        <v>3.366</v>
      </c>
      <c r="P985" s="53" t="n">
        <f aca="false">IF(O985&lt;&gt;"",O985*0.1,"")</f>
        <v>0.3366</v>
      </c>
      <c r="Q985" s="83" t="n">
        <f aca="false">IF(O985&lt;&gt;"",O985+P985,"")</f>
        <v>3.7026</v>
      </c>
      <c r="R985" s="84" t="s">
        <v>365</v>
      </c>
    </row>
    <row r="986" customFormat="false" ht="15" hidden="false" customHeight="true" outlineLevel="0" collapsed="false">
      <c r="A986" s="103" t="n">
        <v>56097</v>
      </c>
      <c r="B986" s="73" t="n">
        <v>46225</v>
      </c>
      <c r="C986" s="86" t="n">
        <v>20149</v>
      </c>
      <c r="D986" s="87" t="n">
        <v>50163</v>
      </c>
      <c r="E986" s="46" t="str">
        <f aca="false">IF(D986&lt;&gt;"",IFERROR(VLOOKUP(D986,PROVEEDORES!$A:$B,2,0),"!COD NO ENCONTRADO"),"")</f>
        <v>SUBASTAS RIVERA S.L.</v>
      </c>
      <c r="F986" s="88" t="str">
        <f aca="false">IF(D986&lt;&gt;"",IFERROR(VLOOKUP(D986,PROVEEDORES!$A:$C,3,0),""),"")</f>
        <v>S</v>
      </c>
      <c r="G986" s="87" t="s">
        <v>231</v>
      </c>
      <c r="H986" s="46" t="str">
        <f aca="false">IF(G986&lt;&gt;"",IFERROR(VLOOKUP(G986,PRODUCTOS!$A:$B,2,0),"!COD NO ENCONTRADO"),"")</f>
        <v>MERLUZA EUROPEA PINCHO COSTA 2,5+</v>
      </c>
      <c r="I986" s="89" t="n">
        <v>1</v>
      </c>
      <c r="J986" s="90" t="n">
        <v>2.25</v>
      </c>
      <c r="K986" s="91" t="n">
        <v>11</v>
      </c>
      <c r="L986" s="80" t="n">
        <f aca="false">IF(AND(J986&lt;&gt;"",K986&lt;&gt;""),J986*K986,"")</f>
        <v>24.75</v>
      </c>
      <c r="M986" s="81" t="n">
        <f aca="false">IF(L986&lt;&gt;"",L986*1.1,"")</f>
        <v>27.225</v>
      </c>
      <c r="N986" s="47" t="n">
        <f aca="false">IF(F986="S",L986*0.02,0)</f>
        <v>0.495</v>
      </c>
      <c r="O986" s="82" t="n">
        <f aca="false">IF(L986&lt;&gt;"",L986+N986,"")</f>
        <v>25.245</v>
      </c>
      <c r="P986" s="47" t="n">
        <f aca="false">IF(O986&lt;&gt;"",O986*0.1,"")</f>
        <v>2.5245</v>
      </c>
      <c r="Q986" s="83" t="n">
        <f aca="false">IF(O986&lt;&gt;"",O986+P986,"")</f>
        <v>27.7695</v>
      </c>
      <c r="R986" s="84" t="s">
        <v>365</v>
      </c>
    </row>
    <row r="987" customFormat="false" ht="15" hidden="false" customHeight="true" outlineLevel="0" collapsed="false">
      <c r="A987" s="103" t="n">
        <v>56097</v>
      </c>
      <c r="B987" s="73" t="n">
        <v>46225</v>
      </c>
      <c r="C987" s="86" t="n">
        <v>20149</v>
      </c>
      <c r="D987" s="87" t="n">
        <v>50163</v>
      </c>
      <c r="E987" s="52" t="str">
        <f aca="false">IF(D987&lt;&gt;"",IFERROR(VLOOKUP(D987,PROVEEDORES!$A:$B,2,0),"!COD NO ENCONTRADO"),"")</f>
        <v>SUBASTAS RIVERA S.L.</v>
      </c>
      <c r="F987" s="76" t="str">
        <f aca="false">IF(D987&lt;&gt;"",IFERROR(VLOOKUP(D987,PROVEEDORES!$A:$C,3,0),""),"")</f>
        <v>S</v>
      </c>
      <c r="G987" s="75" t="s">
        <v>231</v>
      </c>
      <c r="H987" s="52" t="str">
        <f aca="false">IF(G987&lt;&gt;"",IFERROR(VLOOKUP(G987,PRODUCTOS!$A:$B,2,0),"!COD NO ENCONTRADO"),"")</f>
        <v>MERLUZA EUROPEA PINCHO COSTA 2,5+</v>
      </c>
      <c r="I987" s="77" t="n">
        <v>1</v>
      </c>
      <c r="J987" s="78" t="n">
        <v>14</v>
      </c>
      <c r="K987" s="79" t="n">
        <v>12.8</v>
      </c>
      <c r="L987" s="80" t="n">
        <f aca="false">IF(AND(J987&lt;&gt;"",K987&lt;&gt;""),J987*K987,"")</f>
        <v>179.2</v>
      </c>
      <c r="M987" s="81" t="n">
        <f aca="false">IF(L987&lt;&gt;"",L987*1.1,"")</f>
        <v>197.12</v>
      </c>
      <c r="N987" s="53" t="n">
        <f aca="false">IF(F987="S",L987*0.02,0)</f>
        <v>3.584</v>
      </c>
      <c r="O987" s="82" t="n">
        <f aca="false">IF(L987&lt;&gt;"",L987+N987,"")</f>
        <v>182.784</v>
      </c>
      <c r="P987" s="53" t="n">
        <f aca="false">IF(O987&lt;&gt;"",O987*0.1,"")</f>
        <v>18.2784</v>
      </c>
      <c r="Q987" s="83" t="n">
        <f aca="false">IF(O987&lt;&gt;"",O987+P987,"")</f>
        <v>201.0624</v>
      </c>
      <c r="R987" s="84" t="s">
        <v>365</v>
      </c>
    </row>
    <row r="988" customFormat="false" ht="15" hidden="false" customHeight="true" outlineLevel="0" collapsed="false">
      <c r="A988" s="103" t="n">
        <v>56098</v>
      </c>
      <c r="B988" s="85" t="n">
        <v>46225</v>
      </c>
      <c r="C988" s="86" t="s">
        <v>495</v>
      </c>
      <c r="D988" s="87" t="n">
        <v>50525</v>
      </c>
      <c r="E988" s="46" t="str">
        <f aca="false">IF(D988&lt;&gt;"",IFERROR(VLOOKUP(D988,PROVEEDORES!$A:$B,2,0),"!COD NO ENCONTRADO"),"")</f>
        <v>FURIC MAREE</v>
      </c>
      <c r="F988" s="88" t="str">
        <f aca="false">IF(D988&lt;&gt;"",IFERROR(VLOOKUP(D988,PROVEEDORES!$A:$C,3,0),""),"")</f>
        <v>N</v>
      </c>
      <c r="G988" s="87" t="s">
        <v>318</v>
      </c>
      <c r="H988" s="46" t="str">
        <f aca="false">IF(G988&lt;&gt;"",IFERROR(VLOOKUP(G988,PRODUCTOS!$A:$B,2,0),"!COD NO ENCONTRADO"),"")</f>
        <v>SAN MARTIÑOS/ SAN PEDROS (JOD)</v>
      </c>
      <c r="I988" s="89" t="n">
        <v>1</v>
      </c>
      <c r="J988" s="90" t="n">
        <v>12.5</v>
      </c>
      <c r="K988" s="91" t="n">
        <v>23.5</v>
      </c>
      <c r="L988" s="80" t="n">
        <f aca="false">IF(AND(J988&lt;&gt;"",K988&lt;&gt;""),J988*K988,"")</f>
        <v>293.75</v>
      </c>
      <c r="M988" s="81" t="n">
        <f aca="false">IF(L988&lt;&gt;"",L988*1.1,"")</f>
        <v>323.125</v>
      </c>
      <c r="N988" s="47" t="n">
        <f aca="false">IF(F988="S",L988*0.02,0)</f>
        <v>0</v>
      </c>
      <c r="O988" s="82" t="n">
        <f aca="false">IF(L988&lt;&gt;"",L988+N988,"")</f>
        <v>293.75</v>
      </c>
      <c r="P988" s="47" t="n">
        <f aca="false">IF(O988&lt;&gt;"",O988*0.1,"")</f>
        <v>29.375</v>
      </c>
      <c r="Q988" s="83" t="n">
        <f aca="false">IF(O988&lt;&gt;"",O988+P988,"")</f>
        <v>323.125</v>
      </c>
      <c r="R988" s="84" t="s">
        <v>365</v>
      </c>
    </row>
    <row r="989" customFormat="false" ht="15" hidden="false" customHeight="true" outlineLevel="0" collapsed="false">
      <c r="A989" s="103" t="n">
        <v>56098</v>
      </c>
      <c r="B989" s="73" t="n">
        <v>46225</v>
      </c>
      <c r="C989" s="74" t="s">
        <v>495</v>
      </c>
      <c r="D989" s="75" t="n">
        <v>50525</v>
      </c>
      <c r="E989" s="52" t="str">
        <f aca="false">IF(D989&lt;&gt;"",IFERROR(VLOOKUP(D989,PROVEEDORES!$A:$B,2,0),"!COD NO ENCONTRADO"),"")</f>
        <v>FURIC MAREE</v>
      </c>
      <c r="F989" s="76" t="str">
        <f aca="false">IF(D989&lt;&gt;"",IFERROR(VLOOKUP(D989,PROVEEDORES!$A:$C,3,0),""),"")</f>
        <v>N</v>
      </c>
      <c r="G989" s="75" t="s">
        <v>318</v>
      </c>
      <c r="H989" s="52" t="str">
        <f aca="false">IF(G989&lt;&gt;"",IFERROR(VLOOKUP(G989,PRODUCTOS!$A:$B,2,0),"!COD NO ENCONTRADO"),"")</f>
        <v>SAN MARTIÑOS/ SAN PEDROS (JOD)</v>
      </c>
      <c r="I989" s="77" t="n">
        <v>1</v>
      </c>
      <c r="J989" s="78" t="n">
        <v>12.4</v>
      </c>
      <c r="K989" s="79" t="n">
        <v>23.5</v>
      </c>
      <c r="L989" s="80" t="n">
        <f aca="false">IF(AND(J989&lt;&gt;"",K989&lt;&gt;""),J989*K989,"")</f>
        <v>291.4</v>
      </c>
      <c r="M989" s="81" t="n">
        <f aca="false">IF(L989&lt;&gt;"",L989*1.1,"")</f>
        <v>320.54</v>
      </c>
      <c r="N989" s="53" t="n">
        <f aca="false">IF(F989="S",L989*0.02,0)</f>
        <v>0</v>
      </c>
      <c r="O989" s="82" t="n">
        <f aca="false">IF(L989&lt;&gt;"",L989+N989,"")</f>
        <v>291.4</v>
      </c>
      <c r="P989" s="53" t="n">
        <f aca="false">IF(O989&lt;&gt;"",O989*0.1,"")</f>
        <v>29.14</v>
      </c>
      <c r="Q989" s="83" t="n">
        <f aca="false">IF(O989&lt;&gt;"",O989+P989,"")</f>
        <v>320.54</v>
      </c>
      <c r="R989" s="84" t="s">
        <v>358</v>
      </c>
    </row>
    <row r="990" customFormat="false" ht="15" hidden="false" customHeight="true" outlineLevel="0" collapsed="false">
      <c r="A990" s="103" t="n">
        <v>56099</v>
      </c>
      <c r="B990" s="85" t="n">
        <v>46225</v>
      </c>
      <c r="C990" s="86" t="s">
        <v>496</v>
      </c>
      <c r="D990" s="87" t="n">
        <v>50048</v>
      </c>
      <c r="E990" s="46" t="str">
        <f aca="false">IF(D990&lt;&gt;"",IFERROR(VLOOKUP(D990,PROVEEDORES!$A:$B,2,0),"!COD NO ENCONTRADO"),"")</f>
        <v>JOSE LUIS CORREA KESSLER S.L.</v>
      </c>
      <c r="F990" s="88" t="str">
        <f aca="false">IF(D990&lt;&gt;"",IFERROR(VLOOKUP(D990,PROVEEDORES!$A:$C,3,0),""),"")</f>
        <v>N</v>
      </c>
      <c r="G990" s="87" t="s">
        <v>179</v>
      </c>
      <c r="H990" s="46" t="str">
        <f aca="false">IF(G990&lt;&gt;"",IFERROR(VLOOKUP(G990,PRODUCTOS!$A:$B,2,0),"!COD NO ENCONTRADO"),"")</f>
        <v>LIRIO/ BACALADILLA/ PERLA (WHB)</v>
      </c>
      <c r="I990" s="89" t="n">
        <v>42</v>
      </c>
      <c r="J990" s="90" t="n">
        <v>252</v>
      </c>
      <c r="K990" s="125" t="n">
        <v>1.9</v>
      </c>
      <c r="L990" s="80" t="n">
        <f aca="false">IF(AND(J990&lt;&gt;"",K990&lt;&gt;""),J990*K990,"")</f>
        <v>478.8</v>
      </c>
      <c r="M990" s="81" t="n">
        <f aca="false">IF(L990&lt;&gt;"",L990*1.1,"")</f>
        <v>526.68</v>
      </c>
      <c r="N990" s="47" t="n">
        <f aca="false">IF(F990="S",L990*0.02,0)</f>
        <v>0</v>
      </c>
      <c r="O990" s="82" t="n">
        <f aca="false">IF(L990&lt;&gt;"",L990+N990,"")</f>
        <v>478.8</v>
      </c>
      <c r="P990" s="47" t="n">
        <f aca="false">IF(O990&lt;&gt;"",O990*0.1,"")</f>
        <v>47.88</v>
      </c>
      <c r="Q990" s="83" t="n">
        <f aca="false">IF(O990&lt;&gt;"",O990+P990,"")</f>
        <v>526.68</v>
      </c>
      <c r="R990" s="84" t="s">
        <v>365</v>
      </c>
    </row>
    <row r="991" customFormat="false" ht="15" hidden="false" customHeight="true" outlineLevel="0" collapsed="false">
      <c r="A991" s="103" t="n">
        <v>56099</v>
      </c>
      <c r="B991" s="73" t="n">
        <v>46225</v>
      </c>
      <c r="C991" s="74" t="s">
        <v>497</v>
      </c>
      <c r="D991" s="75" t="n">
        <v>50048</v>
      </c>
      <c r="E991" s="52" t="str">
        <f aca="false">IF(D991&lt;&gt;"",IFERROR(VLOOKUP(D991,PROVEEDORES!$A:$B,2,0),"!COD NO ENCONTRADO"),"")</f>
        <v>JOSE LUIS CORREA KESSLER S.L.</v>
      </c>
      <c r="F991" s="76" t="str">
        <f aca="false">IF(D991&lt;&gt;"",IFERROR(VLOOKUP(D991,PROVEEDORES!$A:$C,3,0),""),"")</f>
        <v>N</v>
      </c>
      <c r="G991" s="75" t="s">
        <v>179</v>
      </c>
      <c r="H991" s="52" t="str">
        <f aca="false">IF(G991&lt;&gt;"",IFERROR(VLOOKUP(G991,PRODUCTOS!$A:$B,2,0),"!COD NO ENCONTRADO"),"")</f>
        <v>LIRIO/ BACALADILLA/ PERLA (WHB)</v>
      </c>
      <c r="I991" s="77" t="n">
        <v>4</v>
      </c>
      <c r="J991" s="78" t="n">
        <v>24</v>
      </c>
      <c r="K991" s="125" t="n">
        <v>2.25</v>
      </c>
      <c r="L991" s="80" t="n">
        <f aca="false">IF(AND(J991&lt;&gt;"",K991&lt;&gt;""),J991*K991,"")</f>
        <v>54</v>
      </c>
      <c r="M991" s="81" t="n">
        <f aca="false">IF(L991&lt;&gt;"",L991*1.1,"")</f>
        <v>59.4</v>
      </c>
      <c r="N991" s="53" t="n">
        <f aca="false">IF(F991="S",L991*0.02,0)</f>
        <v>0</v>
      </c>
      <c r="O991" s="82" t="n">
        <f aca="false">IF(L991&lt;&gt;"",L991+N991,"")</f>
        <v>54</v>
      </c>
      <c r="P991" s="53" t="n">
        <f aca="false">IF(O991&lt;&gt;"",O991*0.1,"")</f>
        <v>5.4</v>
      </c>
      <c r="Q991" s="83" t="n">
        <f aca="false">IF(O991&lt;&gt;"",O991+P991,"")</f>
        <v>59.4</v>
      </c>
      <c r="R991" s="84" t="s">
        <v>365</v>
      </c>
    </row>
    <row r="992" customFormat="false" ht="15" hidden="false" customHeight="true" outlineLevel="0" collapsed="false">
      <c r="A992" s="103" t="n">
        <v>56099</v>
      </c>
      <c r="B992" s="85" t="n">
        <v>46225</v>
      </c>
      <c r="C992" s="86" t="s">
        <v>497</v>
      </c>
      <c r="D992" s="87" t="n">
        <v>50048</v>
      </c>
      <c r="E992" s="46" t="str">
        <f aca="false">IF(D992&lt;&gt;"",IFERROR(VLOOKUP(D992,PROVEEDORES!$A:$B,2,0),"!COD NO ENCONTRADO"),"")</f>
        <v>JOSE LUIS CORREA KESSLER S.L.</v>
      </c>
      <c r="F992" s="88" t="str">
        <f aca="false">IF(D992&lt;&gt;"",IFERROR(VLOOKUP(D992,PROVEEDORES!$A:$C,3,0),""),"")</f>
        <v>N</v>
      </c>
      <c r="G992" s="87" t="s">
        <v>179</v>
      </c>
      <c r="H992" s="46" t="str">
        <f aca="false">IF(G992&lt;&gt;"",IFERROR(VLOOKUP(G992,PRODUCTOS!$A:$B,2,0),"!COD NO ENCONTRADO"),"")</f>
        <v>LIRIO/ BACALADILLA/ PERLA (WHB)</v>
      </c>
      <c r="I992" s="89" t="n">
        <v>8</v>
      </c>
      <c r="J992" s="90" t="n">
        <v>48</v>
      </c>
      <c r="K992" s="125" t="n">
        <v>1.95</v>
      </c>
      <c r="L992" s="80" t="n">
        <f aca="false">IF(AND(J992&lt;&gt;"",K992&lt;&gt;""),J992*K992,"")</f>
        <v>93.6</v>
      </c>
      <c r="M992" s="81" t="n">
        <f aca="false">IF(L992&lt;&gt;"",L992*1.1,"")</f>
        <v>102.96</v>
      </c>
      <c r="N992" s="47" t="n">
        <f aca="false">IF(F992="S",L992*0.02,0)</f>
        <v>0</v>
      </c>
      <c r="O992" s="82" t="n">
        <f aca="false">IF(L992&lt;&gt;"",L992+N992,"")</f>
        <v>93.6</v>
      </c>
      <c r="P992" s="47" t="n">
        <f aca="false">IF(O992&lt;&gt;"",O992*0.1,"")</f>
        <v>9.36</v>
      </c>
      <c r="Q992" s="83" t="n">
        <f aca="false">IF(O992&lt;&gt;"",O992+P992,"")</f>
        <v>102.96</v>
      </c>
      <c r="R992" s="84" t="s">
        <v>365</v>
      </c>
    </row>
    <row r="993" customFormat="false" ht="15" hidden="false" customHeight="true" outlineLevel="0" collapsed="false">
      <c r="A993" s="103" t="n">
        <v>56100</v>
      </c>
      <c r="B993" s="85" t="n">
        <v>46225</v>
      </c>
      <c r="C993" s="86" t="s">
        <v>498</v>
      </c>
      <c r="D993" s="87" t="n">
        <v>50509</v>
      </c>
      <c r="E993" s="46" t="str">
        <f aca="false">IF(D993&lt;&gt;"",IFERROR(VLOOKUP(D993,PROVEEDORES!$A:$B,2,0),"!COD NO ENCONTRADO"),"")</f>
        <v>AZORFISK UNIPERSONAL LDA</v>
      </c>
      <c r="F993" s="88" t="str">
        <f aca="false">IF(D993&lt;&gt;"",IFERROR(VLOOKUP(D993,PROVEEDORES!$A:$C,3,0),""),"")</f>
        <v>N</v>
      </c>
      <c r="G993" s="87" t="s">
        <v>336</v>
      </c>
      <c r="H993" s="46" t="str">
        <f aca="false">IF(G993&lt;&gt;"",IFERROR(VLOOKUP(G993,PRODUCTOS!$A:$B,2,0),"!COD NO ENCONTRADO"),"")</f>
        <v>VIRREY/ PALOMETA ROJA</v>
      </c>
      <c r="I993" s="89" t="n">
        <v>1</v>
      </c>
      <c r="J993" s="90" t="n">
        <v>12.8</v>
      </c>
      <c r="K993" s="91" t="n">
        <v>57</v>
      </c>
      <c r="L993" s="80" t="n">
        <f aca="false">IF(AND(J993&lt;&gt;"",K993&lt;&gt;""),J993*K993,"")</f>
        <v>729.6</v>
      </c>
      <c r="M993" s="81" t="n">
        <f aca="false">IF(L993&lt;&gt;"",L993*1.1,"")</f>
        <v>802.56</v>
      </c>
      <c r="N993" s="47" t="n">
        <f aca="false">IF(F993="S",L993*0.02,0)</f>
        <v>0</v>
      </c>
      <c r="O993" s="82" t="n">
        <f aca="false">IF(L993&lt;&gt;"",L993+N993,"")</f>
        <v>729.6</v>
      </c>
      <c r="P993" s="47" t="n">
        <f aca="false">IF(O993&lt;&gt;"",O993*0.1,"")</f>
        <v>72.96</v>
      </c>
      <c r="Q993" s="83" t="n">
        <f aca="false">IF(O993&lt;&gt;"",O993+P993,"")</f>
        <v>802.56</v>
      </c>
      <c r="R993" s="84" t="s">
        <v>358</v>
      </c>
    </row>
    <row r="994" customFormat="false" ht="15" hidden="false" customHeight="true" outlineLevel="0" collapsed="false">
      <c r="A994" s="103" t="n">
        <v>56100</v>
      </c>
      <c r="B994" s="73" t="n">
        <v>46225</v>
      </c>
      <c r="C994" s="74" t="s">
        <v>499</v>
      </c>
      <c r="D994" s="75" t="n">
        <v>50509</v>
      </c>
      <c r="E994" s="52" t="str">
        <f aca="false">IF(D994&lt;&gt;"",IFERROR(VLOOKUP(D994,PROVEEDORES!$A:$B,2,0),"!COD NO ENCONTRADO"),"")</f>
        <v>AZORFISK UNIPERSONAL LDA</v>
      </c>
      <c r="F994" s="76" t="str">
        <f aca="false">IF(D994&lt;&gt;"",IFERROR(VLOOKUP(D994,PROVEEDORES!$A:$C,3,0),""),"")</f>
        <v>N</v>
      </c>
      <c r="G994" s="75" t="s">
        <v>336</v>
      </c>
      <c r="H994" s="52" t="str">
        <f aca="false">IF(G994&lt;&gt;"",IFERROR(VLOOKUP(G994,PRODUCTOS!$A:$B,2,0),"!COD NO ENCONTRADO"),"")</f>
        <v>VIRREY/ PALOMETA ROJA</v>
      </c>
      <c r="I994" s="77" t="n">
        <v>1</v>
      </c>
      <c r="J994" s="78" t="n">
        <v>8.2</v>
      </c>
      <c r="K994" s="79" t="n">
        <v>57</v>
      </c>
      <c r="L994" s="80" t="n">
        <f aca="false">IF(AND(J994&lt;&gt;"",K994&lt;&gt;""),J994*K994,"")</f>
        <v>467.4</v>
      </c>
      <c r="M994" s="81" t="n">
        <f aca="false">IF(L994&lt;&gt;"",L994*1.1,"")</f>
        <v>514.14</v>
      </c>
      <c r="N994" s="53" t="n">
        <f aca="false">IF(F994="S",L994*0.02,0)</f>
        <v>0</v>
      </c>
      <c r="O994" s="82" t="n">
        <f aca="false">IF(L994&lt;&gt;"",L994+N994,"")</f>
        <v>467.4</v>
      </c>
      <c r="P994" s="53" t="n">
        <f aca="false">IF(O994&lt;&gt;"",O994*0.1,"")</f>
        <v>46.74</v>
      </c>
      <c r="Q994" s="83" t="n">
        <f aca="false">IF(O994&lt;&gt;"",O994+P994,"")</f>
        <v>514.14</v>
      </c>
      <c r="R994" s="84" t="s">
        <v>365</v>
      </c>
    </row>
    <row r="995" customFormat="false" ht="15" hidden="false" customHeight="true" outlineLevel="0" collapsed="false">
      <c r="A995" s="103" t="n">
        <v>56101</v>
      </c>
      <c r="B995" s="85" t="n">
        <v>46225</v>
      </c>
      <c r="C995" s="86" t="s">
        <v>500</v>
      </c>
      <c r="D995" s="87" t="n">
        <v>50218</v>
      </c>
      <c r="E995" s="46" t="str">
        <f aca="false">IF(D995&lt;&gt;"",IFERROR(VLOOKUP(D995,PROVEEDORES!$A:$B,2,0),"!COD NO ENCONTRADO"),"")</f>
        <v>ACERGA </v>
      </c>
      <c r="F995" s="88" t="str">
        <f aca="false">IF(D995&lt;&gt;"",IFERROR(VLOOKUP(D995,PROVEEDORES!$A:$C,3,0),""),"")</f>
        <v>S</v>
      </c>
      <c r="G995" s="87" t="s">
        <v>324</v>
      </c>
      <c r="H995" s="46" t="str">
        <f aca="false">IF(G995&lt;&gt;"",IFERROR(VLOOKUP(G995,PRODUCTOS!$A:$B,2,0),"!COD NO ENCONTRADO"),"")</f>
        <v>SARDINA    (PIL)</v>
      </c>
      <c r="I995" s="89" t="n">
        <v>1</v>
      </c>
      <c r="J995" s="90" t="n">
        <v>40</v>
      </c>
      <c r="K995" s="91" t="n">
        <v>2.21</v>
      </c>
      <c r="L995" s="80" t="n">
        <f aca="false">IF(AND(J995&lt;&gt;"",K995&lt;&gt;""),J995*K995,"")</f>
        <v>88.4</v>
      </c>
      <c r="M995" s="81" t="n">
        <f aca="false">IF(L995&lt;&gt;"",L995*1.1,"")</f>
        <v>97.24</v>
      </c>
      <c r="N995" s="47" t="n">
        <f aca="false">IF(F995="S",L995*0.02,0)</f>
        <v>1.768</v>
      </c>
      <c r="O995" s="82" t="n">
        <f aca="false">IF(L995&lt;&gt;"",L995+N995,"")</f>
        <v>90.168</v>
      </c>
      <c r="P995" s="47" t="n">
        <f aca="false">IF(O995&lt;&gt;"",O995*0.1,"")</f>
        <v>9.0168</v>
      </c>
      <c r="Q995" s="83" t="n">
        <f aca="false">IF(O995&lt;&gt;"",O995+P995,"")</f>
        <v>99.1848</v>
      </c>
      <c r="R995" s="84" t="s">
        <v>365</v>
      </c>
    </row>
    <row r="996" customFormat="false" ht="15" hidden="false" customHeight="true" outlineLevel="0" collapsed="false">
      <c r="A996" s="103" t="n">
        <v>56102</v>
      </c>
      <c r="B996" s="73" t="n">
        <v>46225</v>
      </c>
      <c r="C996" s="74" t="s">
        <v>501</v>
      </c>
      <c r="D996" s="75" t="n">
        <v>50521</v>
      </c>
      <c r="E996" s="52" t="str">
        <f aca="false">IF(D996&lt;&gt;"",IFERROR(VLOOKUP(D996,PROVEEDORES!$A:$B,2,0),"!COD NO ENCONTRADO"),"")</f>
        <v>SUBASTAS DE ATLANTICO S.L</v>
      </c>
      <c r="F996" s="76" t="str">
        <f aca="false">IF(D996&lt;&gt;"",IFERROR(VLOOKUP(D996,PROVEEDORES!$A:$C,3,0),""),"")</f>
        <v>S</v>
      </c>
      <c r="G996" s="75" t="s">
        <v>324</v>
      </c>
      <c r="H996" s="52" t="str">
        <f aca="false">IF(G996&lt;&gt;"",IFERROR(VLOOKUP(G996,PRODUCTOS!$A:$B,2,0),"!COD NO ENCONTRADO"),"")</f>
        <v>SARDINA    (PIL)</v>
      </c>
      <c r="I996" s="77" t="n">
        <v>1</v>
      </c>
      <c r="J996" s="78" t="n">
        <v>40</v>
      </c>
      <c r="K996" s="79" t="n">
        <v>1.5</v>
      </c>
      <c r="L996" s="80" t="n">
        <f aca="false">IF(AND(J996&lt;&gt;"",K996&lt;&gt;""),J996*K996,"")</f>
        <v>60</v>
      </c>
      <c r="M996" s="81" t="n">
        <f aca="false">IF(L996&lt;&gt;"",L996*1.1,"")</f>
        <v>66</v>
      </c>
      <c r="N996" s="53" t="n">
        <f aca="false">IF(F996="S",L996*0.02,0)</f>
        <v>1.2</v>
      </c>
      <c r="O996" s="82" t="n">
        <f aca="false">IF(L996&lt;&gt;"",L996+N996,"")</f>
        <v>61.2</v>
      </c>
      <c r="P996" s="53" t="n">
        <f aca="false">IF(O996&lt;&gt;"",O996*0.1,"")</f>
        <v>6.12</v>
      </c>
      <c r="Q996" s="83" t="n">
        <f aca="false">IF(O996&lt;&gt;"",O996+P996,"")</f>
        <v>67.32</v>
      </c>
      <c r="R996" s="84" t="s">
        <v>365</v>
      </c>
    </row>
    <row r="997" customFormat="false" ht="15" hidden="false" customHeight="true" outlineLevel="0" collapsed="false">
      <c r="A997" s="103" t="n">
        <v>56103</v>
      </c>
      <c r="B997" s="73" t="n">
        <v>46225</v>
      </c>
      <c r="C997" s="74" t="s">
        <v>502</v>
      </c>
      <c r="D997" s="75" t="n">
        <v>50533</v>
      </c>
      <c r="E997" s="52" t="str">
        <f aca="false">IF(D997&lt;&gt;"",IFERROR(VLOOKUP(D997,PROVEEDORES!$A:$B,2,0),"!COD NO ENCONTRADO"),"")</f>
        <v>LURDES MARIÑO, S.L.</v>
      </c>
      <c r="F997" s="76" t="str">
        <f aca="false">IF(D997&lt;&gt;"",IFERROR(VLOOKUP(D997,PROVEEDORES!$A:$C,3,0),""),"")</f>
        <v>N</v>
      </c>
      <c r="G997" s="75" t="s">
        <v>408</v>
      </c>
      <c r="H997" s="52" t="str">
        <f aca="false">IF(G997&lt;&gt;"",IFERROR(VLOOKUP(G997,PRODUCTOS!$A:$B,2,0),"!COD NO ENCONTRADO"),"")</f>
        <v>MEJILLON SACO</v>
      </c>
      <c r="I997" s="77" t="n">
        <v>45</v>
      </c>
      <c r="J997" s="78" t="n">
        <v>225</v>
      </c>
      <c r="K997" s="79" t="n">
        <v>1.4</v>
      </c>
      <c r="L997" s="80" t="n">
        <f aca="false">IF(AND(J997&lt;&gt;"",K997&lt;&gt;""),J997*K997,"")</f>
        <v>315</v>
      </c>
      <c r="M997" s="81" t="n">
        <f aca="false">IF(L997&lt;&gt;"",L997*1.1,"")</f>
        <v>346.5</v>
      </c>
      <c r="N997" s="53" t="n">
        <f aca="false">IF(F997="S",L997*0.02,0)</f>
        <v>0</v>
      </c>
      <c r="O997" s="82" t="n">
        <f aca="false">IF(L997&lt;&gt;"",L997+N997,"")</f>
        <v>315</v>
      </c>
      <c r="P997" s="53" t="n">
        <f aca="false">IF(O997&lt;&gt;"",O997*0.1,"")</f>
        <v>31.5</v>
      </c>
      <c r="Q997" s="83" t="n">
        <f aca="false">IF(O997&lt;&gt;"",O997+P997,"")</f>
        <v>346.5</v>
      </c>
      <c r="R997" s="84" t="s">
        <v>365</v>
      </c>
    </row>
    <row r="998" customFormat="false" ht="15" hidden="false" customHeight="true" outlineLevel="0" collapsed="false">
      <c r="A998" s="103" t="n">
        <v>56104</v>
      </c>
      <c r="B998" s="85" t="n">
        <v>46225</v>
      </c>
      <c r="C998" s="86" t="s">
        <v>503</v>
      </c>
      <c r="D998" s="87" t="n">
        <v>50152</v>
      </c>
      <c r="E998" s="46" t="str">
        <f aca="false">IF(D998&lt;&gt;"",IFERROR(VLOOKUP(D998,PROVEEDORES!$A:$B,2,0),"!COD NO ENCONTRADO"),"")</f>
        <v>DOMAR CORUÑA S.L</v>
      </c>
      <c r="F998" s="88" t="str">
        <f aca="false">IF(D998&lt;&gt;"",IFERROR(VLOOKUP(D998,PROVEEDORES!$A:$C,3,0),""),"")</f>
        <v>N</v>
      </c>
      <c r="G998" s="87" t="s">
        <v>125</v>
      </c>
      <c r="H998" s="46" t="str">
        <f aca="false">IF(G998&lt;&gt;"",IFERROR(VLOOKUP(G998,PRODUCTOS!$A:$B,2,0),"!COD NO ENCONTRADO"),"")</f>
        <v>CIGALA "3P" (NEP)</v>
      </c>
      <c r="I998" s="89" t="n">
        <v>3</v>
      </c>
      <c r="J998" s="90" t="n">
        <v>6</v>
      </c>
      <c r="K998" s="91" t="n">
        <v>17.5</v>
      </c>
      <c r="L998" s="80" t="n">
        <f aca="false">IF(AND(J998&lt;&gt;"",K998&lt;&gt;""),J998*K998,"")</f>
        <v>105</v>
      </c>
      <c r="M998" s="81" t="n">
        <f aca="false">IF(L998&lt;&gt;"",L998*1.1,"")</f>
        <v>115.5</v>
      </c>
      <c r="N998" s="47" t="n">
        <f aca="false">IF(F998="S",L998*0.02,0)</f>
        <v>0</v>
      </c>
      <c r="O998" s="82" t="n">
        <f aca="false">IF(L998&lt;&gt;"",L998+N998,"")</f>
        <v>105</v>
      </c>
      <c r="P998" s="47" t="n">
        <f aca="false">IF(O998&lt;&gt;"",O998*0.1,"")</f>
        <v>10.5</v>
      </c>
      <c r="Q998" s="83" t="n">
        <f aca="false">IF(O998&lt;&gt;"",O998+P998,"")</f>
        <v>115.5</v>
      </c>
      <c r="R998" s="84" t="s">
        <v>358</v>
      </c>
    </row>
    <row r="999" customFormat="false" ht="15" hidden="false" customHeight="true" outlineLevel="0" collapsed="false">
      <c r="A999" s="103" t="n">
        <v>56105</v>
      </c>
      <c r="B999" s="85" t="n">
        <v>46225</v>
      </c>
      <c r="C999" s="86" t="s">
        <v>504</v>
      </c>
      <c r="D999" s="87" t="n">
        <v>50035</v>
      </c>
      <c r="E999" s="46" t="str">
        <f aca="false">IF(D999&lt;&gt;"",IFERROR(VLOOKUP(D999,PROVEEDORES!$A:$B,2,0),"!COD NO ENCONTRADO"),"")</f>
        <v>SCANFISK SEAFFOD S,L</v>
      </c>
      <c r="F999" s="88" t="str">
        <f aca="false">IF(D999&lt;&gt;"",IFERROR(VLOOKUP(D999,PROVEEDORES!$A:$C,3,0),""),"")</f>
        <v>N</v>
      </c>
      <c r="G999" s="87" t="s">
        <v>209</v>
      </c>
      <c r="H999" s="46" t="str">
        <f aca="false">IF(G999&lt;&gt;"",IFERROR(VLOOKUP(G999,PRODUCTOS!$A:$B,2,0),"!COD NO ENCONTRADO"),"")</f>
        <v>MERLUZA EUROPEA PINCHO</v>
      </c>
      <c r="I999" s="89" t="n">
        <v>3</v>
      </c>
      <c r="J999" s="90" t="n">
        <v>16.8</v>
      </c>
      <c r="K999" s="91" t="n">
        <v>6.4</v>
      </c>
      <c r="L999" s="80" t="n">
        <f aca="false">IF(AND(J999&lt;&gt;"",K999&lt;&gt;""),J999*K999,"")</f>
        <v>107.52</v>
      </c>
      <c r="M999" s="81" t="n">
        <f aca="false">IF(L999&lt;&gt;"",L999*1.1,"")</f>
        <v>118.272</v>
      </c>
      <c r="N999" s="47" t="n">
        <f aca="false">IF(F999="S",L999*0.02,0)</f>
        <v>0</v>
      </c>
      <c r="O999" s="82" t="n">
        <f aca="false">IF(L999&lt;&gt;"",L999+N999,"")</f>
        <v>107.52</v>
      </c>
      <c r="P999" s="47" t="n">
        <f aca="false">IF(O999&lt;&gt;"",O999*0.1,"")</f>
        <v>10.752</v>
      </c>
      <c r="Q999" s="83" t="n">
        <f aca="false">IF(O999&lt;&gt;"",O999+P999,"")</f>
        <v>118.272</v>
      </c>
      <c r="R999" s="84" t="s">
        <v>365</v>
      </c>
    </row>
    <row r="1000" customFormat="false" ht="15" hidden="false" customHeight="true" outlineLevel="0" collapsed="false">
      <c r="A1000" s="103" t="n">
        <v>56105</v>
      </c>
      <c r="B1000" s="85" t="n">
        <v>46225</v>
      </c>
      <c r="C1000" s="86" t="s">
        <v>504</v>
      </c>
      <c r="D1000" s="75" t="n">
        <v>50035</v>
      </c>
      <c r="E1000" s="52" t="str">
        <f aca="false">IF(D1000&lt;&gt;"",IFERROR(VLOOKUP(D1000,PROVEEDORES!$A:$B,2,0),"!COD NO ENCONTRADO"),"")</f>
        <v>SCANFISK SEAFFOD S,L</v>
      </c>
      <c r="F1000" s="76" t="str">
        <f aca="false">IF(D1000&lt;&gt;"",IFERROR(VLOOKUP(D1000,PROVEEDORES!$A:$C,3,0),""),"")</f>
        <v>N</v>
      </c>
      <c r="G1000" s="75" t="s">
        <v>246</v>
      </c>
      <c r="H1000" s="52" t="str">
        <f aca="false">IF(G1000&lt;&gt;"",IFERROR(VLOOKUP(G1000,PRODUCTOS!$A:$B,2,0),"!COD NO ENCONTRADO"),"")</f>
        <v>MERLUZA EUROPEA VOLANTA ALTURA</v>
      </c>
      <c r="I1000" s="77" t="n">
        <v>3</v>
      </c>
      <c r="J1000" s="78" t="n">
        <v>34.4</v>
      </c>
      <c r="K1000" s="79" t="n">
        <v>7.9</v>
      </c>
      <c r="L1000" s="80" t="n">
        <f aca="false">IF(AND(J1000&lt;&gt;"",K1000&lt;&gt;""),J1000*K1000,"")</f>
        <v>271.76</v>
      </c>
      <c r="M1000" s="81" t="n">
        <f aca="false">IF(L1000&lt;&gt;"",L1000*1.1,"")</f>
        <v>298.936</v>
      </c>
      <c r="N1000" s="53" t="n">
        <f aca="false">IF(F1000="S",L1000*0.02,0)</f>
        <v>0</v>
      </c>
      <c r="O1000" s="82" t="n">
        <f aca="false">IF(L1000&lt;&gt;"",L1000+N1000,"")</f>
        <v>271.76</v>
      </c>
      <c r="P1000" s="53" t="n">
        <f aca="false">IF(O1000&lt;&gt;"",O1000*0.1,"")</f>
        <v>27.176</v>
      </c>
      <c r="Q1000" s="83" t="n">
        <f aca="false">IF(O1000&lt;&gt;"",O1000+P1000,"")</f>
        <v>298.936</v>
      </c>
      <c r="R1000" s="84" t="s">
        <v>365</v>
      </c>
    </row>
    <row r="1001" customFormat="false" ht="15" hidden="false" customHeight="true" outlineLevel="0" collapsed="false">
      <c r="A1001" s="103" t="n">
        <v>56105</v>
      </c>
      <c r="B1001" s="85" t="n">
        <v>46225</v>
      </c>
      <c r="C1001" s="86" t="s">
        <v>504</v>
      </c>
      <c r="D1001" s="87" t="n">
        <v>50035</v>
      </c>
      <c r="E1001" s="46" t="str">
        <f aca="false">IF(D1001&lt;&gt;"",IFERROR(VLOOKUP(D1001,PROVEEDORES!$A:$B,2,0),"!COD NO ENCONTRADO"),"")</f>
        <v>SCANFISK SEAFFOD S,L</v>
      </c>
      <c r="F1001" s="88" t="str">
        <f aca="false">IF(D1001&lt;&gt;"",IFERROR(VLOOKUP(D1001,PROVEEDORES!$A:$C,3,0),""),"")</f>
        <v>N</v>
      </c>
      <c r="G1001" s="87" t="s">
        <v>91</v>
      </c>
      <c r="H1001" s="46" t="str">
        <f aca="false">IF(G1001&lt;&gt;"",IFERROR(VLOOKUP(G1001,PRODUCTOS!$A:$B,2,0),"!COD NO ENCONTRADO"),"")</f>
        <v>BONITO DEL NORTE 5/7</v>
      </c>
      <c r="I1001" s="89" t="n">
        <v>3</v>
      </c>
      <c r="J1001" s="90" t="n">
        <v>32.7</v>
      </c>
      <c r="K1001" s="91" t="n">
        <v>6</v>
      </c>
      <c r="L1001" s="80" t="n">
        <f aca="false">IF(AND(J1001&lt;&gt;"",K1001&lt;&gt;""),J1001*K1001,"")</f>
        <v>196.2</v>
      </c>
      <c r="M1001" s="81" t="n">
        <f aca="false">IF(L1001&lt;&gt;"",L1001*1.1,"")</f>
        <v>215.82</v>
      </c>
      <c r="N1001" s="47" t="n">
        <f aca="false">IF(F1001="S",L1001*0.02,0)</f>
        <v>0</v>
      </c>
      <c r="O1001" s="82" t="n">
        <f aca="false">IF(L1001&lt;&gt;"",L1001+N1001,"")</f>
        <v>196.2</v>
      </c>
      <c r="P1001" s="47" t="n">
        <f aca="false">IF(O1001&lt;&gt;"",O1001*0.1,"")</f>
        <v>19.62</v>
      </c>
      <c r="Q1001" s="83" t="n">
        <f aca="false">IF(O1001&lt;&gt;"",O1001+P1001,"")</f>
        <v>215.82</v>
      </c>
      <c r="R1001" s="84" t="s">
        <v>365</v>
      </c>
    </row>
    <row r="1002" customFormat="false" ht="15" hidden="false" customHeight="true" outlineLevel="0" collapsed="false">
      <c r="A1002" s="103" t="n">
        <v>56105</v>
      </c>
      <c r="B1002" s="73" t="n">
        <v>46225</v>
      </c>
      <c r="C1002" s="74" t="s">
        <v>505</v>
      </c>
      <c r="D1002" s="75" t="n">
        <v>50035</v>
      </c>
      <c r="E1002" s="52" t="str">
        <f aca="false">IF(D1002&lt;&gt;"",IFERROR(VLOOKUP(D1002,PROVEEDORES!$A:$B,2,0),"!COD NO ENCONTRADO"),"")</f>
        <v>SCANFISK SEAFFOD S,L</v>
      </c>
      <c r="F1002" s="76" t="str">
        <f aca="false">IF(D1002&lt;&gt;"",IFERROR(VLOOKUP(D1002,PROVEEDORES!$A:$C,3,0),""),"")</f>
        <v>N</v>
      </c>
      <c r="G1002" s="75" t="s">
        <v>367</v>
      </c>
      <c r="H1002" s="52" t="str">
        <f aca="false">IF(G1002&lt;&gt;"",IFERROR(VLOOKUP(G1002,PRODUCTOS!$A:$B,2,0),"!COD NO ENCONTRADO"),"")</f>
        <v>MERLUZA BAKA DIA</v>
      </c>
      <c r="I1002" s="77" t="n">
        <v>15</v>
      </c>
      <c r="J1002" s="78" t="n">
        <v>139.4</v>
      </c>
      <c r="K1002" s="79" t="n">
        <v>5.7</v>
      </c>
      <c r="L1002" s="80" t="n">
        <f aca="false">IF(AND(J1002&lt;&gt;"",K1002&lt;&gt;""),J1002*K1002,"")</f>
        <v>794.58</v>
      </c>
      <c r="M1002" s="81" t="n">
        <f aca="false">IF(L1002&lt;&gt;"",L1002*1.1,"")</f>
        <v>874.038</v>
      </c>
      <c r="N1002" s="53" t="n">
        <f aca="false">IF(F1002="S",L1002*0.02,0)</f>
        <v>0</v>
      </c>
      <c r="O1002" s="82" t="n">
        <f aca="false">IF(L1002&lt;&gt;"",L1002+N1002,"")</f>
        <v>794.58</v>
      </c>
      <c r="P1002" s="53" t="n">
        <f aca="false">IF(O1002&lt;&gt;"",O1002*0.1,"")</f>
        <v>79.458</v>
      </c>
      <c r="Q1002" s="83" t="n">
        <f aca="false">IF(O1002&lt;&gt;"",O1002+P1002,"")</f>
        <v>874.038</v>
      </c>
      <c r="R1002" s="84" t="s">
        <v>365</v>
      </c>
    </row>
    <row r="1003" customFormat="false" ht="15" hidden="false" customHeight="true" outlineLevel="0" collapsed="false">
      <c r="A1003" s="103" t="n">
        <v>56105</v>
      </c>
      <c r="B1003" s="85" t="n">
        <v>46225</v>
      </c>
      <c r="C1003" s="86" t="s">
        <v>506</v>
      </c>
      <c r="D1003" s="87" t="n">
        <v>50035</v>
      </c>
      <c r="E1003" s="46" t="str">
        <f aca="false">IF(D1003&lt;&gt;"",IFERROR(VLOOKUP(D1003,PROVEEDORES!$A:$B,2,0),"!COD NO ENCONTRADO"),"")</f>
        <v>SCANFISK SEAFFOD S,L</v>
      </c>
      <c r="F1003" s="88" t="str">
        <f aca="false">IF(D1003&lt;&gt;"",IFERROR(VLOOKUP(D1003,PROVEEDORES!$A:$C,3,0),""),"")</f>
        <v>N</v>
      </c>
      <c r="G1003" s="87" t="s">
        <v>367</v>
      </c>
      <c r="H1003" s="46" t="str">
        <f aca="false">IF(G1003&lt;&gt;"",IFERROR(VLOOKUP(G1003,PRODUCTOS!$A:$B,2,0),"!COD NO ENCONTRADO"),"")</f>
        <v>MERLUZA BAKA DIA</v>
      </c>
      <c r="I1003" s="89" t="n">
        <v>5</v>
      </c>
      <c r="J1003" s="90" t="n">
        <v>31.2</v>
      </c>
      <c r="K1003" s="91" t="n">
        <v>5.7</v>
      </c>
      <c r="L1003" s="80" t="n">
        <f aca="false">IF(AND(J1003&lt;&gt;"",K1003&lt;&gt;""),J1003*K1003,"")</f>
        <v>177.84</v>
      </c>
      <c r="M1003" s="81" t="n">
        <f aca="false">IF(L1003&lt;&gt;"",L1003*1.1,"")</f>
        <v>195.624</v>
      </c>
      <c r="N1003" s="47" t="n">
        <f aca="false">IF(F1003="S",L1003*0.02,0)</f>
        <v>0</v>
      </c>
      <c r="O1003" s="82" t="n">
        <f aca="false">IF(L1003&lt;&gt;"",L1003+N1003,"")</f>
        <v>177.84</v>
      </c>
      <c r="P1003" s="47" t="n">
        <f aca="false">IF(O1003&lt;&gt;"",O1003*0.1,"")</f>
        <v>17.784</v>
      </c>
      <c r="Q1003" s="83" t="n">
        <f aca="false">IF(O1003&lt;&gt;"",O1003+P1003,"")</f>
        <v>195.624</v>
      </c>
      <c r="R1003" s="84" t="s">
        <v>365</v>
      </c>
    </row>
    <row r="1004" customFormat="false" ht="15" hidden="false" customHeight="true" outlineLevel="0" collapsed="false">
      <c r="A1004" s="103" t="n">
        <v>56106</v>
      </c>
      <c r="B1004" s="73" t="n">
        <v>46226</v>
      </c>
      <c r="C1004" s="86" t="s">
        <v>507</v>
      </c>
      <c r="D1004" s="75" t="n">
        <v>50232</v>
      </c>
      <c r="E1004" s="52" t="str">
        <f aca="false">IF(D1004&lt;&gt;"",IFERROR(VLOOKUP(D1004,PROVEEDORES!$A:$B,2,0),"!COD NO ENCONTRADO"),"")</f>
        <v>XESTION NOVA LONXA RIVEIRA S.L.</v>
      </c>
      <c r="F1004" s="76" t="str">
        <f aca="false">IF(D1004&lt;&gt;"",IFERROR(VLOOKUP(D1004,PROVEEDORES!$A:$C,3,0),""),"")</f>
        <v>S</v>
      </c>
      <c r="G1004" s="75" t="s">
        <v>179</v>
      </c>
      <c r="H1004" s="52" t="str">
        <f aca="false">IF(G1004&lt;&gt;"",IFERROR(VLOOKUP(G1004,PRODUCTOS!$A:$B,2,0),"!COD NO ENCONTRADO"),"")</f>
        <v>LIRIO/ BACALADILLA/ PERLA (WHB)</v>
      </c>
      <c r="I1004" s="77" t="n">
        <v>4</v>
      </c>
      <c r="J1004" s="78" t="n">
        <v>43</v>
      </c>
      <c r="K1004" s="79" t="n">
        <v>1.2</v>
      </c>
      <c r="L1004" s="80" t="n">
        <f aca="false">IF(AND(J1004&lt;&gt;"",K1004&lt;&gt;""),J1004*K1004,"")</f>
        <v>51.6</v>
      </c>
      <c r="M1004" s="81" t="n">
        <f aca="false">IF(L1004&lt;&gt;"",L1004*1.1,"")</f>
        <v>56.76</v>
      </c>
      <c r="N1004" s="53" t="n">
        <f aca="false">IF(F1004="S",L1004*0.02,0)</f>
        <v>1.032</v>
      </c>
      <c r="O1004" s="82" t="n">
        <f aca="false">IF(L1004&lt;&gt;"",L1004+N1004,"")</f>
        <v>52.632</v>
      </c>
      <c r="P1004" s="53" t="n">
        <f aca="false">IF(O1004&lt;&gt;"",O1004*0.1,"")</f>
        <v>5.2632</v>
      </c>
      <c r="Q1004" s="83" t="n">
        <f aca="false">IF(O1004&lt;&gt;"",O1004+P1004,"")</f>
        <v>57.8952</v>
      </c>
      <c r="R1004" s="84" t="s">
        <v>365</v>
      </c>
    </row>
    <row r="1005" customFormat="false" ht="15" hidden="false" customHeight="true" outlineLevel="0" collapsed="false">
      <c r="A1005" s="103" t="n">
        <v>56106</v>
      </c>
      <c r="B1005" s="73" t="n">
        <v>46226</v>
      </c>
      <c r="C1005" s="86" t="s">
        <v>507</v>
      </c>
      <c r="D1005" s="87" t="n">
        <v>50232</v>
      </c>
      <c r="E1005" s="46" t="str">
        <f aca="false">IF(D1005&lt;&gt;"",IFERROR(VLOOKUP(D1005,PROVEEDORES!$A:$B,2,0),"!COD NO ENCONTRADO"),"")</f>
        <v>XESTION NOVA LONXA RIVEIRA S.L.</v>
      </c>
      <c r="F1005" s="88" t="str">
        <f aca="false">IF(D1005&lt;&gt;"",IFERROR(VLOOKUP(D1005,PROVEEDORES!$A:$C,3,0),""),"")</f>
        <v>S</v>
      </c>
      <c r="G1005" s="87" t="s">
        <v>179</v>
      </c>
      <c r="H1005" s="46" t="str">
        <f aca="false">IF(G1005&lt;&gt;"",IFERROR(VLOOKUP(G1005,PRODUCTOS!$A:$B,2,0),"!COD NO ENCONTRADO"),"")</f>
        <v>LIRIO/ BACALADILLA/ PERLA (WHB)</v>
      </c>
      <c r="I1005" s="112" t="n">
        <v>15</v>
      </c>
      <c r="J1005" s="105" t="n">
        <v>234.4</v>
      </c>
      <c r="K1005" s="125" t="n">
        <v>1.6</v>
      </c>
      <c r="L1005" s="80" t="n">
        <f aca="false">IF(AND(J1005&lt;&gt;"",K1005&lt;&gt;""),J1005*K1005,"")</f>
        <v>375.04</v>
      </c>
      <c r="M1005" s="81" t="n">
        <f aca="false">IF(L1005&lt;&gt;"",L1005*1.1,"")</f>
        <v>412.544</v>
      </c>
      <c r="N1005" s="47" t="n">
        <f aca="false">IF(F1005="S",L1005*0.02,0)</f>
        <v>7.5008</v>
      </c>
      <c r="O1005" s="82" t="n">
        <f aca="false">IF(L1005&lt;&gt;"",L1005+N1005,"")</f>
        <v>382.5408</v>
      </c>
      <c r="P1005" s="47" t="n">
        <f aca="false">IF(O1005&lt;&gt;"",O1005*0.1,"")</f>
        <v>38.25408</v>
      </c>
      <c r="Q1005" s="83" t="n">
        <f aca="false">IF(O1005&lt;&gt;"",O1005+P1005,"")</f>
        <v>420.79488</v>
      </c>
      <c r="R1005" s="84" t="s">
        <v>365</v>
      </c>
    </row>
    <row r="1006" customFormat="false" ht="15" hidden="false" customHeight="true" outlineLevel="0" collapsed="false">
      <c r="A1006" s="103" t="n">
        <v>56106</v>
      </c>
      <c r="B1006" s="85" t="n">
        <v>46226</v>
      </c>
      <c r="C1006" s="86" t="s">
        <v>507</v>
      </c>
      <c r="D1006" s="87" t="n">
        <v>50232</v>
      </c>
      <c r="E1006" s="46" t="str">
        <f aca="false">IF(D1006&lt;&gt;"",IFERROR(VLOOKUP(D1006,PROVEEDORES!$A:$B,2,0),"!COD NO ENCONTRADO"),"")</f>
        <v>XESTION NOVA LONXA RIVEIRA S.L.</v>
      </c>
      <c r="F1006" s="88" t="str">
        <f aca="false">IF(D1006&lt;&gt;"",IFERROR(VLOOKUP(D1006,PROVEEDORES!$A:$C,3,0),""),"")</f>
        <v>S</v>
      </c>
      <c r="G1006" s="87" t="s">
        <v>179</v>
      </c>
      <c r="H1006" s="46" t="str">
        <f aca="false">IF(G1006&lt;&gt;"",IFERROR(VLOOKUP(G1006,PRODUCTOS!$A:$B,2,0),"!COD NO ENCONTRADO"),"")</f>
        <v>LIRIO/ BACALADILLA/ PERLA (WHB)</v>
      </c>
      <c r="I1006" s="89" t="n">
        <v>6</v>
      </c>
      <c r="J1006" s="90" t="n">
        <v>85</v>
      </c>
      <c r="K1006" s="91" t="n">
        <v>1.72</v>
      </c>
      <c r="L1006" s="80" t="n">
        <f aca="false">IF(AND(J1006&lt;&gt;"",K1006&lt;&gt;""),J1006*K1006,"")</f>
        <v>146.2</v>
      </c>
      <c r="M1006" s="81" t="n">
        <f aca="false">IF(L1006&lt;&gt;"",L1006*1.1,"")</f>
        <v>160.82</v>
      </c>
      <c r="N1006" s="47" t="n">
        <f aca="false">IF(F1006="S",L1006*0.02,0)</f>
        <v>2.924</v>
      </c>
      <c r="O1006" s="82" t="n">
        <f aca="false">IF(L1006&lt;&gt;"",L1006+N1006,"")</f>
        <v>149.124</v>
      </c>
      <c r="P1006" s="47" t="n">
        <f aca="false">IF(O1006&lt;&gt;"",O1006*0.1,"")</f>
        <v>14.9124</v>
      </c>
      <c r="Q1006" s="83" t="n">
        <f aca="false">IF(O1006&lt;&gt;"",O1006+P1006,"")</f>
        <v>164.0364</v>
      </c>
      <c r="R1006" s="84" t="s">
        <v>365</v>
      </c>
    </row>
    <row r="1007" customFormat="false" ht="15" hidden="false" customHeight="true" outlineLevel="0" collapsed="false">
      <c r="A1007" s="103" t="n">
        <v>56106</v>
      </c>
      <c r="B1007" s="73" t="n">
        <v>46226</v>
      </c>
      <c r="C1007" s="86" t="s">
        <v>507</v>
      </c>
      <c r="D1007" s="75" t="n">
        <v>50232</v>
      </c>
      <c r="E1007" s="52" t="str">
        <f aca="false">IF(D1007&lt;&gt;"",IFERROR(VLOOKUP(D1007,PROVEEDORES!$A:$B,2,0),"!COD NO ENCONTRADO"),"")</f>
        <v>XESTION NOVA LONXA RIVEIRA S.L.</v>
      </c>
      <c r="F1007" s="76" t="str">
        <f aca="false">IF(D1007&lt;&gt;"",IFERROR(VLOOKUP(D1007,PROVEEDORES!$A:$C,3,0),""),"")</f>
        <v>S</v>
      </c>
      <c r="G1007" s="75" t="s">
        <v>179</v>
      </c>
      <c r="H1007" s="52" t="str">
        <f aca="false">IF(G1007&lt;&gt;"",IFERROR(VLOOKUP(G1007,PRODUCTOS!$A:$B,2,0),"!COD NO ENCONTRADO"),"")</f>
        <v>LIRIO/ BACALADILLA/ PERLA (WHB)</v>
      </c>
      <c r="I1007" s="77" t="n">
        <v>4</v>
      </c>
      <c r="J1007" s="78" t="n">
        <v>60</v>
      </c>
      <c r="K1007" s="79" t="n">
        <v>1.73</v>
      </c>
      <c r="L1007" s="80" t="n">
        <f aca="false">IF(AND(J1007&lt;&gt;"",K1007&lt;&gt;""),J1007*K1007,"")</f>
        <v>103.8</v>
      </c>
      <c r="M1007" s="81" t="n">
        <f aca="false">IF(L1007&lt;&gt;"",L1007*1.1,"")</f>
        <v>114.18</v>
      </c>
      <c r="N1007" s="53" t="n">
        <f aca="false">IF(F1007="S",L1007*0.02,0)</f>
        <v>2.076</v>
      </c>
      <c r="O1007" s="82" t="n">
        <f aca="false">IF(L1007&lt;&gt;"",L1007+N1007,"")</f>
        <v>105.876</v>
      </c>
      <c r="P1007" s="53" t="n">
        <f aca="false">IF(O1007&lt;&gt;"",O1007*0.1,"")</f>
        <v>10.5876</v>
      </c>
      <c r="Q1007" s="83" t="n">
        <f aca="false">IF(O1007&lt;&gt;"",O1007+P1007,"")</f>
        <v>116.4636</v>
      </c>
      <c r="R1007" s="84" t="s">
        <v>365</v>
      </c>
    </row>
    <row r="1008" customFormat="false" ht="15" hidden="false" customHeight="true" outlineLevel="0" collapsed="false">
      <c r="A1008" s="103" t="n">
        <v>56107</v>
      </c>
      <c r="B1008" s="73" t="n">
        <v>46226</v>
      </c>
      <c r="C1008" s="74" t="s">
        <v>508</v>
      </c>
      <c r="D1008" s="75" t="n">
        <v>50525</v>
      </c>
      <c r="E1008" s="52" t="str">
        <f aca="false">IF(D1008&lt;&gt;"",IFERROR(VLOOKUP(D1008,PROVEEDORES!$A:$B,2,0),"!COD NO ENCONTRADO"),"")</f>
        <v>FURIC MAREE</v>
      </c>
      <c r="F1008" s="76" t="str">
        <f aca="false">IF(D1008&lt;&gt;"",IFERROR(VLOOKUP(D1008,PROVEEDORES!$A:$C,3,0),""),"")</f>
        <v>N</v>
      </c>
      <c r="G1008" s="75" t="s">
        <v>318</v>
      </c>
      <c r="H1008" s="52" t="str">
        <f aca="false">IF(G1008&lt;&gt;"",IFERROR(VLOOKUP(G1008,PRODUCTOS!$A:$B,2,0),"!COD NO ENCONTRADO"),"")</f>
        <v>SAN MARTIÑOS/ SAN PEDROS (JOD)</v>
      </c>
      <c r="I1008" s="77" t="n">
        <v>2</v>
      </c>
      <c r="J1008" s="78" t="n">
        <v>12.3</v>
      </c>
      <c r="K1008" s="79" t="n">
        <v>23</v>
      </c>
      <c r="L1008" s="80" t="n">
        <f aca="false">IF(AND(J1008&lt;&gt;"",K1008&lt;&gt;""),J1008*K1008,"")</f>
        <v>282.9</v>
      </c>
      <c r="M1008" s="81" t="n">
        <f aca="false">IF(L1008&lt;&gt;"",L1008*1.1,"")</f>
        <v>311.19</v>
      </c>
      <c r="N1008" s="53" t="n">
        <f aca="false">IF(F1008="S",L1008*0.02,0)</f>
        <v>0</v>
      </c>
      <c r="O1008" s="82" t="n">
        <f aca="false">IF(L1008&lt;&gt;"",L1008+N1008,"")</f>
        <v>282.9</v>
      </c>
      <c r="P1008" s="53" t="n">
        <f aca="false">IF(O1008&lt;&gt;"",O1008*0.1,"")</f>
        <v>28.29</v>
      </c>
      <c r="Q1008" s="83" t="n">
        <f aca="false">IF(O1008&lt;&gt;"",O1008+P1008,"")</f>
        <v>311.19</v>
      </c>
      <c r="R1008" s="84" t="s">
        <v>365</v>
      </c>
    </row>
    <row r="1009" customFormat="false" ht="15" hidden="false" customHeight="true" outlineLevel="0" collapsed="false">
      <c r="A1009" s="103" t="n">
        <v>56107</v>
      </c>
      <c r="B1009" s="73" t="n">
        <v>46226</v>
      </c>
      <c r="C1009" s="86" t="s">
        <v>508</v>
      </c>
      <c r="D1009" s="87" t="n">
        <v>50525</v>
      </c>
      <c r="E1009" s="46" t="str">
        <f aca="false">IF(D1009&lt;&gt;"",IFERROR(VLOOKUP(D1009,PROVEEDORES!$A:$B,2,0),"!COD NO ENCONTRADO"),"")</f>
        <v>FURIC MAREE</v>
      </c>
      <c r="F1009" s="88" t="str">
        <f aca="false">IF(D1009&lt;&gt;"",IFERROR(VLOOKUP(D1009,PROVEEDORES!$A:$C,3,0),""),"")</f>
        <v>N</v>
      </c>
      <c r="G1009" s="87" t="s">
        <v>318</v>
      </c>
      <c r="H1009" s="46" t="str">
        <f aca="false">IF(G1009&lt;&gt;"",IFERROR(VLOOKUP(G1009,PRODUCTOS!$A:$B,2,0),"!COD NO ENCONTRADO"),"")</f>
        <v>SAN MARTIÑOS/ SAN PEDROS (JOD)</v>
      </c>
      <c r="I1009" s="89" t="n">
        <v>2</v>
      </c>
      <c r="J1009" s="90" t="n">
        <v>12.6</v>
      </c>
      <c r="K1009" s="91" t="n">
        <v>23</v>
      </c>
      <c r="L1009" s="80" t="n">
        <f aca="false">IF(AND(J1009&lt;&gt;"",K1009&lt;&gt;""),J1009*K1009,"")</f>
        <v>289.8</v>
      </c>
      <c r="M1009" s="81" t="n">
        <f aca="false">IF(L1009&lt;&gt;"",L1009*1.1,"")</f>
        <v>318.78</v>
      </c>
      <c r="N1009" s="47" t="n">
        <f aca="false">IF(F1009="S",L1009*0.02,0)</f>
        <v>0</v>
      </c>
      <c r="O1009" s="82" t="n">
        <f aca="false">IF(L1009&lt;&gt;"",L1009+N1009,"")</f>
        <v>289.8</v>
      </c>
      <c r="P1009" s="47" t="n">
        <f aca="false">IF(O1009&lt;&gt;"",O1009*0.1,"")</f>
        <v>28.98</v>
      </c>
      <c r="Q1009" s="83" t="n">
        <f aca="false">IF(O1009&lt;&gt;"",O1009+P1009,"")</f>
        <v>318.78</v>
      </c>
      <c r="R1009" s="84" t="s">
        <v>365</v>
      </c>
    </row>
    <row r="1010" customFormat="false" ht="15" hidden="false" customHeight="true" outlineLevel="0" collapsed="false">
      <c r="A1010" s="103" t="n">
        <v>56108</v>
      </c>
      <c r="B1010" s="73" t="n">
        <v>46226</v>
      </c>
      <c r="C1010" s="74" t="s">
        <v>509</v>
      </c>
      <c r="D1010" s="75" t="n">
        <v>50048</v>
      </c>
      <c r="E1010" s="52" t="str">
        <f aca="false">IF(D1010&lt;&gt;"",IFERROR(VLOOKUP(D1010,PROVEEDORES!$A:$B,2,0),"!COD NO ENCONTRADO"),"")</f>
        <v>JOSE LUIS CORREA KESSLER S.L.</v>
      </c>
      <c r="F1010" s="76" t="str">
        <f aca="false">IF(D1010&lt;&gt;"",IFERROR(VLOOKUP(D1010,PROVEEDORES!$A:$C,3,0),""),"")</f>
        <v>N</v>
      </c>
      <c r="G1010" s="75" t="s">
        <v>179</v>
      </c>
      <c r="H1010" s="52" t="str">
        <f aca="false">IF(G1010&lt;&gt;"",IFERROR(VLOOKUP(G1010,PRODUCTOS!$A:$B,2,0),"!COD NO ENCONTRADO"),"")</f>
        <v>LIRIO/ BACALADILLA/ PERLA (WHB)</v>
      </c>
      <c r="I1010" s="77" t="n">
        <v>120</v>
      </c>
      <c r="J1010" s="78" t="n">
        <v>720</v>
      </c>
      <c r="K1010" s="125" t="n">
        <v>1.7</v>
      </c>
      <c r="L1010" s="80" t="n">
        <f aca="false">IF(AND(J1010&lt;&gt;"",K1010&lt;&gt;""),J1010*K1010,"")</f>
        <v>1224</v>
      </c>
      <c r="M1010" s="81" t="n">
        <f aca="false">IF(L1010&lt;&gt;"",L1010*1.1,"")</f>
        <v>1346.4</v>
      </c>
      <c r="N1010" s="53" t="n">
        <f aca="false">IF(F1010="S",L1010*0.02,0)</f>
        <v>0</v>
      </c>
      <c r="O1010" s="82" t="n">
        <f aca="false">IF(L1010&lt;&gt;"",L1010+N1010,"")</f>
        <v>1224</v>
      </c>
      <c r="P1010" s="53" t="n">
        <f aca="false">IF(O1010&lt;&gt;"",O1010*0.1,"")</f>
        <v>122.4</v>
      </c>
      <c r="Q1010" s="83" t="n">
        <f aca="false">IF(O1010&lt;&gt;"",O1010+P1010,"")</f>
        <v>1346.4</v>
      </c>
      <c r="R1010" s="84" t="s">
        <v>358</v>
      </c>
    </row>
    <row r="1011" customFormat="false" ht="15" hidden="false" customHeight="true" outlineLevel="0" collapsed="false">
      <c r="A1011" s="103" t="n">
        <v>56108</v>
      </c>
      <c r="B1011" s="85" t="n">
        <v>46226</v>
      </c>
      <c r="C1011" s="86" t="s">
        <v>509</v>
      </c>
      <c r="D1011" s="87" t="n">
        <v>50048</v>
      </c>
      <c r="E1011" s="46" t="str">
        <f aca="false">IF(D1011&lt;&gt;"",IFERROR(VLOOKUP(D1011,PROVEEDORES!$A:$B,2,0),"!COD NO ENCONTRADO"),"")</f>
        <v>JOSE LUIS CORREA KESSLER S.L.</v>
      </c>
      <c r="F1011" s="88" t="str">
        <f aca="false">IF(D1011&lt;&gt;"",IFERROR(VLOOKUP(D1011,PROVEEDORES!$A:$C,3,0),""),"")</f>
        <v>N</v>
      </c>
      <c r="G1011" s="87" t="s">
        <v>324</v>
      </c>
      <c r="H1011" s="46" t="str">
        <f aca="false">IF(G1011&lt;&gt;"",IFERROR(VLOOKUP(G1011,PRODUCTOS!$A:$B,2,0),"!COD NO ENCONTRADO"),"")</f>
        <v>SARDINA    (PIL)</v>
      </c>
      <c r="I1011" s="89" t="n">
        <v>10</v>
      </c>
      <c r="J1011" s="90" t="n">
        <v>60</v>
      </c>
      <c r="K1011" s="125" t="n">
        <v>2.8</v>
      </c>
      <c r="L1011" s="80" t="n">
        <f aca="false">IF(AND(J1011&lt;&gt;"",K1011&lt;&gt;""),J1011*K1011,"")</f>
        <v>168</v>
      </c>
      <c r="M1011" s="81" t="n">
        <f aca="false">IF(L1011&lt;&gt;"",L1011*1.1,"")</f>
        <v>184.8</v>
      </c>
      <c r="N1011" s="47" t="n">
        <f aca="false">IF(F1011="S",L1011*0.02,0)</f>
        <v>0</v>
      </c>
      <c r="O1011" s="82" t="n">
        <f aca="false">IF(L1011&lt;&gt;"",L1011+N1011,"")</f>
        <v>168</v>
      </c>
      <c r="P1011" s="47" t="n">
        <f aca="false">IF(O1011&lt;&gt;"",O1011*0.1,"")</f>
        <v>16.8</v>
      </c>
      <c r="Q1011" s="83" t="n">
        <f aca="false">IF(O1011&lt;&gt;"",O1011+P1011,"")</f>
        <v>184.8</v>
      </c>
      <c r="R1011" s="84" t="s">
        <v>358</v>
      </c>
    </row>
    <row r="1012" customFormat="false" ht="15" hidden="false" customHeight="true" outlineLevel="0" collapsed="false">
      <c r="A1012" s="103" t="n">
        <v>56109</v>
      </c>
      <c r="B1012" s="85" t="n">
        <v>46226</v>
      </c>
      <c r="C1012" s="86" t="n">
        <v>10717</v>
      </c>
      <c r="D1012" s="87" t="n">
        <v>50001</v>
      </c>
      <c r="E1012" s="46" t="str">
        <f aca="false">IF(D1012&lt;&gt;"",IFERROR(VLOOKUP(D1012,PROVEEDORES!$A:$B,2,0),"!COD NO ENCONTRADO"),"")</f>
        <v>COPESA</v>
      </c>
      <c r="F1012" s="88" t="str">
        <f aca="false">IF(D1012&lt;&gt;"",IFERROR(VLOOKUP(D1012,PROVEEDORES!$A:$C,3,0),""),"")</f>
        <v>S</v>
      </c>
      <c r="G1012" s="87" t="s">
        <v>332</v>
      </c>
      <c r="H1012" s="46" t="str">
        <f aca="false">IF(G1012&lt;&gt;"",IFERROR(VLOOKUP(G1012,PRODUCTOS!$A:$B,2,0),"!COD NO ENCONTRADO"),"")</f>
        <v>VARIADO PEQUEÑO</v>
      </c>
      <c r="I1012" s="89" t="n">
        <v>1</v>
      </c>
      <c r="J1012" s="90" t="n">
        <v>6.5</v>
      </c>
      <c r="K1012" s="91" t="n">
        <v>0.5</v>
      </c>
      <c r="L1012" s="80" t="n">
        <f aca="false">IF(AND(J1012&lt;&gt;"",K1012&lt;&gt;""),J1012*K1012,"")</f>
        <v>3.25</v>
      </c>
      <c r="M1012" s="81" t="n">
        <f aca="false">IF(L1012&lt;&gt;"",L1012*1.1,"")</f>
        <v>3.575</v>
      </c>
      <c r="N1012" s="47" t="n">
        <f aca="false">IF(F1012="S",L1012*0.02,0)</f>
        <v>0.065</v>
      </c>
      <c r="O1012" s="82" t="n">
        <f aca="false">IF(L1012&lt;&gt;"",L1012+N1012,"")</f>
        <v>3.315</v>
      </c>
      <c r="P1012" s="47" t="n">
        <f aca="false">IF(O1012&lt;&gt;"",O1012*0.1,"")</f>
        <v>0.3315</v>
      </c>
      <c r="Q1012" s="83" t="n">
        <f aca="false">IF(O1012&lt;&gt;"",O1012+P1012,"")</f>
        <v>3.6465</v>
      </c>
      <c r="R1012" s="84" t="s">
        <v>365</v>
      </c>
    </row>
    <row r="1013" customFormat="false" ht="15" hidden="false" customHeight="true" outlineLevel="0" collapsed="false">
      <c r="A1013" s="103" t="n">
        <v>56110</v>
      </c>
      <c r="B1013" s="85" t="n">
        <v>46226</v>
      </c>
      <c r="C1013" s="74" t="n">
        <v>8660</v>
      </c>
      <c r="D1013" s="75" t="n">
        <v>50069</v>
      </c>
      <c r="E1013" s="52" t="str">
        <f aca="false">IF(D1013&lt;&gt;"",IFERROR(VLOOKUP(D1013,PROVEEDORES!$A:$B,2,0),"!COD NO ENCONTRADO"),"")</f>
        <v>PESCADOS ILLANES S.L.</v>
      </c>
      <c r="F1013" s="76" t="str">
        <f aca="false">IF(D1013&lt;&gt;"",IFERROR(VLOOKUP(D1013,PROVEEDORES!$A:$C,3,0),""),"")</f>
        <v>S</v>
      </c>
      <c r="G1013" s="75" t="s">
        <v>276</v>
      </c>
      <c r="H1013" s="52" t="str">
        <f aca="false">IF(G1013&lt;&gt;"",IFERROR(VLOOKUP(G1013,PRODUCTOS!$A:$B,2,0),"!COD NO ENCONTRADO"),"")</f>
        <v>MERLUZA EUROPEA/ FINA DIA </v>
      </c>
      <c r="I1013" s="77" t="n">
        <v>3</v>
      </c>
      <c r="J1013" s="78" t="n">
        <v>32</v>
      </c>
      <c r="K1013" s="79" t="n">
        <v>2</v>
      </c>
      <c r="L1013" s="80" t="n">
        <f aca="false">IF(AND(J1013&lt;&gt;"",K1013&lt;&gt;""),J1013*K1013,"")</f>
        <v>64</v>
      </c>
      <c r="M1013" s="81" t="n">
        <f aca="false">IF(L1013&lt;&gt;"",L1013*1.1,"")</f>
        <v>70.4</v>
      </c>
      <c r="N1013" s="53" t="n">
        <f aca="false">IF(F1013="S",L1013*0.02,0)</f>
        <v>1.28</v>
      </c>
      <c r="O1013" s="82" t="n">
        <f aca="false">IF(L1013&lt;&gt;"",L1013+N1013,"")</f>
        <v>65.28</v>
      </c>
      <c r="P1013" s="53" t="n">
        <f aca="false">IF(O1013&lt;&gt;"",O1013*0.1,"")</f>
        <v>6.528</v>
      </c>
      <c r="Q1013" s="83" t="n">
        <f aca="false">IF(O1013&lt;&gt;"",O1013+P1013,"")</f>
        <v>71.808</v>
      </c>
      <c r="R1013" s="84" t="s">
        <v>358</v>
      </c>
    </row>
    <row r="1014" customFormat="false" ht="15" hidden="false" customHeight="true" outlineLevel="0" collapsed="false">
      <c r="A1014" s="103" t="n">
        <v>56111</v>
      </c>
      <c r="B1014" s="85" t="n">
        <v>46226</v>
      </c>
      <c r="C1014" s="86" t="s">
        <v>510</v>
      </c>
      <c r="D1014" s="87" t="n">
        <v>50146</v>
      </c>
      <c r="E1014" s="46" t="str">
        <f aca="false">IF(D1014&lt;&gt;"",IFERROR(VLOOKUP(D1014,PROVEEDORES!$A:$B,2,0),"!COD NO ENCONTRADO"),"")</f>
        <v>MAR BERMEO S.L.</v>
      </c>
      <c r="F1014" s="88" t="str">
        <f aca="false">IF(D1014&lt;&gt;"",IFERROR(VLOOKUP(D1014,PROVEEDORES!$A:$C,3,0),""),"")</f>
        <v>S</v>
      </c>
      <c r="G1014" s="87" t="s">
        <v>101</v>
      </c>
      <c r="H1014" s="46" t="str">
        <f aca="false">IF(G1014&lt;&gt;"",IFERROR(VLOOKUP(G1014,PRODUCTOS!$A:$B,2,0),"!COD NO ENCONTRADO"),"")</f>
        <v>CABRACHO DE FONDO (TJX)</v>
      </c>
      <c r="I1014" s="89" t="n">
        <v>2</v>
      </c>
      <c r="J1014" s="90" t="n">
        <v>28.3</v>
      </c>
      <c r="K1014" s="91" t="n">
        <v>5</v>
      </c>
      <c r="L1014" s="80" t="n">
        <f aca="false">IF(AND(J1014&lt;&gt;"",K1014&lt;&gt;""),J1014*K1014,"")</f>
        <v>141.5</v>
      </c>
      <c r="M1014" s="81" t="n">
        <f aca="false">IF(L1014&lt;&gt;"",L1014*1.1,"")</f>
        <v>155.65</v>
      </c>
      <c r="N1014" s="47" t="n">
        <f aca="false">IF(F1014="S",L1014*0.02,0)</f>
        <v>2.83</v>
      </c>
      <c r="O1014" s="82" t="n">
        <f aca="false">IF(L1014&lt;&gt;"",L1014+N1014,"")</f>
        <v>144.33</v>
      </c>
      <c r="P1014" s="47" t="n">
        <f aca="false">IF(O1014&lt;&gt;"",O1014*0.1,"")</f>
        <v>14.433</v>
      </c>
      <c r="Q1014" s="83" t="n">
        <f aca="false">IF(O1014&lt;&gt;"",O1014+P1014,"")</f>
        <v>158.763</v>
      </c>
      <c r="R1014" s="84" t="s">
        <v>358</v>
      </c>
    </row>
    <row r="1015" customFormat="false" ht="15" hidden="false" customHeight="true" outlineLevel="0" collapsed="false">
      <c r="A1015" s="103" t="n">
        <v>56112</v>
      </c>
      <c r="B1015" s="85" t="n">
        <v>46226</v>
      </c>
      <c r="C1015" s="74" t="n">
        <v>17560</v>
      </c>
      <c r="D1015" s="75" t="n">
        <v>50160</v>
      </c>
      <c r="E1015" s="52" t="str">
        <f aca="false">IF(D1015&lt;&gt;"",IFERROR(VLOOKUP(D1015,PROVEEDORES!$A:$B,2,0),"!COD NO ENCONTRADO"),"")</f>
        <v>SUBASTAS CORUÑA S.L.</v>
      </c>
      <c r="F1015" s="76" t="str">
        <f aca="false">IF(D1015&lt;&gt;"",IFERROR(VLOOKUP(D1015,PROVEEDORES!$A:$C,3,0),""),"")</f>
        <v>S</v>
      </c>
      <c r="G1015" s="75" t="s">
        <v>332</v>
      </c>
      <c r="H1015" s="52" t="str">
        <f aca="false">IF(G1015&lt;&gt;"",IFERROR(VLOOKUP(G1015,PRODUCTOS!$A:$B,2,0),"!COD NO ENCONTRADO"),"")</f>
        <v>VARIADO PEQUEÑO</v>
      </c>
      <c r="I1015" s="77" t="n">
        <v>2</v>
      </c>
      <c r="J1015" s="105" t="n">
        <v>8.75</v>
      </c>
      <c r="K1015" s="125" t="n">
        <v>0.5</v>
      </c>
      <c r="L1015" s="80" t="n">
        <f aca="false">IF(AND(J1015&lt;&gt;"",K1015&lt;&gt;""),J1015*K1015,"")</f>
        <v>4.375</v>
      </c>
      <c r="M1015" s="81" t="n">
        <f aca="false">IF(L1015&lt;&gt;"",L1015*1.1,"")</f>
        <v>4.8125</v>
      </c>
      <c r="N1015" s="53" t="n">
        <f aca="false">IF(F1015="S",L1015*0.02,0)</f>
        <v>0.0875</v>
      </c>
      <c r="O1015" s="82" t="n">
        <f aca="false">IF(L1015&lt;&gt;"",L1015+N1015,"")</f>
        <v>4.4625</v>
      </c>
      <c r="P1015" s="53" t="n">
        <f aca="false">IF(O1015&lt;&gt;"",O1015*0.1,"")</f>
        <v>0.44625</v>
      </c>
      <c r="Q1015" s="83" t="n">
        <f aca="false">IF(O1015&lt;&gt;"",O1015+P1015,"")</f>
        <v>4.90875</v>
      </c>
      <c r="R1015" s="84" t="s">
        <v>358</v>
      </c>
    </row>
    <row r="1016" customFormat="false" ht="15" hidden="false" customHeight="true" outlineLevel="0" collapsed="false">
      <c r="A1016" s="103" t="n">
        <v>56112</v>
      </c>
      <c r="B1016" s="85" t="n">
        <v>46226</v>
      </c>
      <c r="C1016" s="74" t="n">
        <v>17560</v>
      </c>
      <c r="D1016" s="87" t="n">
        <v>50160</v>
      </c>
      <c r="E1016" s="46" t="str">
        <f aca="false">IF(D1016&lt;&gt;"",IFERROR(VLOOKUP(D1016,PROVEEDORES!$A:$B,2,0),"!COD NO ENCONTRADO"),"")</f>
        <v>SUBASTAS CORUÑA S.L.</v>
      </c>
      <c r="F1016" s="88" t="str">
        <f aca="false">IF(D1016&lt;&gt;"",IFERROR(VLOOKUP(D1016,PROVEEDORES!$A:$C,3,0),""),"")</f>
        <v>S</v>
      </c>
      <c r="G1016" s="87" t="s">
        <v>93</v>
      </c>
      <c r="H1016" s="46" t="str">
        <f aca="false">IF(G1016&lt;&gt;"",IFERROR(VLOOKUP(G1016,PRODUCTOS!$A:$B,2,0),"!COD NO ENCONTRADO"),"")</f>
        <v>BOQUERON/ BOCARTE/ ANCHOA (ANE)</v>
      </c>
      <c r="I1016" s="89" t="n">
        <v>44</v>
      </c>
      <c r="J1016" s="105" t="n">
        <v>322</v>
      </c>
      <c r="K1016" s="125" t="n">
        <v>0.9</v>
      </c>
      <c r="L1016" s="80" t="n">
        <f aca="false">IF(AND(J1016&lt;&gt;"",K1016&lt;&gt;""),J1016*K1016,"")</f>
        <v>289.8</v>
      </c>
      <c r="M1016" s="81" t="n">
        <f aca="false">IF(L1016&lt;&gt;"",L1016*1.1,"")</f>
        <v>318.78</v>
      </c>
      <c r="N1016" s="47" t="n">
        <f aca="false">IF(F1016="S",L1016*0.02,0)</f>
        <v>5.796</v>
      </c>
      <c r="O1016" s="82" t="n">
        <f aca="false">IF(L1016&lt;&gt;"",L1016+N1016,"")</f>
        <v>295.596</v>
      </c>
      <c r="P1016" s="47" t="n">
        <f aca="false">IF(O1016&lt;&gt;"",O1016*0.1,"")</f>
        <v>29.5596</v>
      </c>
      <c r="Q1016" s="83" t="n">
        <f aca="false">IF(O1016&lt;&gt;"",O1016+P1016,"")</f>
        <v>325.1556</v>
      </c>
      <c r="R1016" s="84" t="s">
        <v>365</v>
      </c>
    </row>
    <row r="1017" customFormat="false" ht="15" hidden="false" customHeight="true" outlineLevel="0" collapsed="false">
      <c r="A1017" s="103" t="n">
        <v>56112</v>
      </c>
      <c r="B1017" s="85" t="n">
        <v>46226</v>
      </c>
      <c r="C1017" s="74" t="n">
        <v>17560</v>
      </c>
      <c r="D1017" s="75" t="n">
        <v>50160</v>
      </c>
      <c r="E1017" s="52" t="str">
        <f aca="false">IF(D1017&lt;&gt;"",IFERROR(VLOOKUP(D1017,PROVEEDORES!$A:$B,2,0),"!COD NO ENCONTRADO"),"")</f>
        <v>SUBASTAS CORUÑA S.L.</v>
      </c>
      <c r="F1017" s="76" t="str">
        <f aca="false">IF(D1017&lt;&gt;"",IFERROR(VLOOKUP(D1017,PROVEEDORES!$A:$C,3,0),""),"")</f>
        <v>S</v>
      </c>
      <c r="G1017" s="75" t="s">
        <v>93</v>
      </c>
      <c r="H1017" s="52" t="str">
        <f aca="false">IF(G1017&lt;&gt;"",IFERROR(VLOOKUP(G1017,PRODUCTOS!$A:$B,2,0),"!COD NO ENCONTRADO"),"")</f>
        <v>BOQUERON/ BOCARTE/ ANCHOA (ANE)</v>
      </c>
      <c r="I1017" s="77" t="n">
        <v>44</v>
      </c>
      <c r="J1017" s="105" t="n">
        <v>334</v>
      </c>
      <c r="K1017" s="125" t="n">
        <v>0.9</v>
      </c>
      <c r="L1017" s="80" t="n">
        <f aca="false">IF(AND(J1017&lt;&gt;"",K1017&lt;&gt;""),J1017*K1017,"")</f>
        <v>300.6</v>
      </c>
      <c r="M1017" s="81" t="n">
        <f aca="false">IF(L1017&lt;&gt;"",L1017*1.1,"")</f>
        <v>330.66</v>
      </c>
      <c r="N1017" s="53" t="n">
        <f aca="false">IF(F1017="S",L1017*0.02,0)</f>
        <v>6.012</v>
      </c>
      <c r="O1017" s="82" t="n">
        <f aca="false">IF(L1017&lt;&gt;"",L1017+N1017,"")</f>
        <v>306.612</v>
      </c>
      <c r="P1017" s="53" t="n">
        <f aca="false">IF(O1017&lt;&gt;"",O1017*0.1,"")</f>
        <v>30.6612</v>
      </c>
      <c r="Q1017" s="83" t="n">
        <f aca="false">IF(O1017&lt;&gt;"",O1017+P1017,"")</f>
        <v>337.2732</v>
      </c>
      <c r="R1017" s="84" t="s">
        <v>365</v>
      </c>
    </row>
    <row r="1018" customFormat="false" ht="15" hidden="false" customHeight="true" outlineLevel="0" collapsed="false">
      <c r="A1018" s="103" t="n">
        <v>56113</v>
      </c>
      <c r="B1018" s="85" t="n">
        <v>46226</v>
      </c>
      <c r="C1018" s="86" t="n">
        <v>20305</v>
      </c>
      <c r="D1018" s="87" t="n">
        <v>50163</v>
      </c>
      <c r="E1018" s="46" t="str">
        <f aca="false">IF(D1018&lt;&gt;"",IFERROR(VLOOKUP(D1018,PROVEEDORES!$A:$B,2,0),"!COD NO ENCONTRADO"),"")</f>
        <v>SUBASTAS RIVERA S.L.</v>
      </c>
      <c r="F1018" s="88" t="str">
        <f aca="false">IF(D1018&lt;&gt;"",IFERROR(VLOOKUP(D1018,PROVEEDORES!$A:$C,3,0),""),"")</f>
        <v>S</v>
      </c>
      <c r="G1018" s="87" t="s">
        <v>276</v>
      </c>
      <c r="H1018" s="46" t="str">
        <f aca="false">IF(G1018&lt;&gt;"",IFERROR(VLOOKUP(G1018,PRODUCTOS!$A:$B,2,0),"!COD NO ENCONTRADO"),"")</f>
        <v>MERLUZA EUROPEA/ FINA DIA </v>
      </c>
      <c r="I1018" s="89" t="n">
        <v>10</v>
      </c>
      <c r="J1018" s="90" t="n">
        <v>109</v>
      </c>
      <c r="K1018" s="91" t="n">
        <v>2.2</v>
      </c>
      <c r="L1018" s="80" t="n">
        <f aca="false">IF(AND(J1018&lt;&gt;"",K1018&lt;&gt;""),J1018*K1018,"")</f>
        <v>239.8</v>
      </c>
      <c r="M1018" s="81" t="n">
        <f aca="false">IF(L1018&lt;&gt;"",L1018*1.1,"")</f>
        <v>263.78</v>
      </c>
      <c r="N1018" s="47" t="n">
        <f aca="false">IF(F1018="S",L1018*0.02,0)</f>
        <v>4.796</v>
      </c>
      <c r="O1018" s="82" t="n">
        <f aca="false">IF(L1018&lt;&gt;"",L1018+N1018,"")</f>
        <v>244.596</v>
      </c>
      <c r="P1018" s="47" t="n">
        <f aca="false">IF(O1018&lt;&gt;"",O1018*0.1,"")</f>
        <v>24.4596</v>
      </c>
      <c r="Q1018" s="83" t="n">
        <f aca="false">IF(O1018&lt;&gt;"",O1018+P1018,"")</f>
        <v>269.0556</v>
      </c>
      <c r="R1018" s="84" t="s">
        <v>365</v>
      </c>
    </row>
    <row r="1019" customFormat="false" ht="15" hidden="false" customHeight="true" outlineLevel="0" collapsed="false">
      <c r="A1019" s="103" t="n">
        <v>56114</v>
      </c>
      <c r="B1019" s="85" t="n">
        <v>46226</v>
      </c>
      <c r="C1019" s="74" t="s">
        <v>511</v>
      </c>
      <c r="D1019" s="75" t="n">
        <v>50218</v>
      </c>
      <c r="E1019" s="52" t="str">
        <f aca="false">IF(D1019&lt;&gt;"",IFERROR(VLOOKUP(D1019,PROVEEDORES!$A:$B,2,0),"!COD NO ENCONTRADO"),"")</f>
        <v>ACERGA </v>
      </c>
      <c r="F1019" s="76" t="str">
        <f aca="false">IF(D1019&lt;&gt;"",IFERROR(VLOOKUP(D1019,PROVEEDORES!$A:$C,3,0),""),"")</f>
        <v>S</v>
      </c>
      <c r="G1019" s="75" t="s">
        <v>93</v>
      </c>
      <c r="H1019" s="52" t="str">
        <f aca="false">IF(G1019&lt;&gt;"",IFERROR(VLOOKUP(G1019,PRODUCTOS!$A:$B,2,0),"!COD NO ENCONTRADO"),"")</f>
        <v>BOQUERON/ BOCARTE/ ANCHOA (ANE)</v>
      </c>
      <c r="I1019" s="77" t="n">
        <v>42</v>
      </c>
      <c r="J1019" s="78" t="n">
        <v>372</v>
      </c>
      <c r="K1019" s="79" t="n">
        <v>1.05</v>
      </c>
      <c r="L1019" s="80" t="n">
        <f aca="false">IF(AND(J1019&lt;&gt;"",K1019&lt;&gt;""),J1019*K1019,"")</f>
        <v>390.6</v>
      </c>
      <c r="M1019" s="81" t="n">
        <f aca="false">IF(L1019&lt;&gt;"",L1019*1.1,"")</f>
        <v>429.66</v>
      </c>
      <c r="N1019" s="53" t="n">
        <f aca="false">IF(F1019="S",L1019*0.02,0)</f>
        <v>7.812</v>
      </c>
      <c r="O1019" s="82" t="n">
        <f aca="false">IF(L1019&lt;&gt;"",L1019+N1019,"")</f>
        <v>398.412</v>
      </c>
      <c r="P1019" s="53" t="n">
        <f aca="false">IF(O1019&lt;&gt;"",O1019*0.1,"")</f>
        <v>39.8412</v>
      </c>
      <c r="Q1019" s="83" t="n">
        <f aca="false">IF(O1019&lt;&gt;"",O1019+P1019,"")</f>
        <v>438.2532</v>
      </c>
      <c r="R1019" s="84" t="s">
        <v>365</v>
      </c>
    </row>
    <row r="1020" customFormat="false" ht="15" hidden="false" customHeight="true" outlineLevel="0" collapsed="false">
      <c r="A1020" s="103" t="n">
        <v>56115</v>
      </c>
      <c r="B1020" s="73" t="n">
        <v>46226</v>
      </c>
      <c r="C1020" s="74" t="s">
        <v>512</v>
      </c>
      <c r="D1020" s="75" t="n">
        <v>50533</v>
      </c>
      <c r="E1020" s="52" t="str">
        <f aca="false">IF(D1020&lt;&gt;"",IFERROR(VLOOKUP(D1020,PROVEEDORES!$A:$B,2,0),"!COD NO ENCONTRADO"),"")</f>
        <v>LURDES MARIÑO, S.L.</v>
      </c>
      <c r="F1020" s="76" t="str">
        <f aca="false">IF(D1020&lt;&gt;"",IFERROR(VLOOKUP(D1020,PROVEEDORES!$A:$C,3,0),""),"")</f>
        <v>N</v>
      </c>
      <c r="G1020" s="75" t="s">
        <v>408</v>
      </c>
      <c r="H1020" s="52" t="str">
        <f aca="false">IF(G1020&lt;&gt;"",IFERROR(VLOOKUP(G1020,PRODUCTOS!$A:$B,2,0),"!COD NO ENCONTRADO"),"")</f>
        <v>MEJILLON SACO</v>
      </c>
      <c r="I1020" s="77" t="n">
        <v>80</v>
      </c>
      <c r="J1020" s="78" t="n">
        <v>400</v>
      </c>
      <c r="K1020" s="79" t="n">
        <v>1.4</v>
      </c>
      <c r="L1020" s="80" t="n">
        <f aca="false">IF(AND(J1020&lt;&gt;"",K1020&lt;&gt;""),J1020*K1020,"")</f>
        <v>560</v>
      </c>
      <c r="M1020" s="81" t="n">
        <f aca="false">IF(L1020&lt;&gt;"",L1020*1.1,"")</f>
        <v>616</v>
      </c>
      <c r="N1020" s="53" t="n">
        <f aca="false">IF(F1020="S",L1020*0.02,0)</f>
        <v>0</v>
      </c>
      <c r="O1020" s="82" t="n">
        <f aca="false">IF(L1020&lt;&gt;"",L1020+N1020,"")</f>
        <v>560</v>
      </c>
      <c r="P1020" s="53" t="n">
        <f aca="false">IF(O1020&lt;&gt;"",O1020*0.1,"")</f>
        <v>56</v>
      </c>
      <c r="Q1020" s="83" t="n">
        <f aca="false">IF(O1020&lt;&gt;"",O1020+P1020,"")</f>
        <v>616</v>
      </c>
      <c r="R1020" s="84" t="s">
        <v>365</v>
      </c>
    </row>
    <row r="1021" customFormat="false" ht="15" hidden="false" customHeight="true" outlineLevel="0" collapsed="false">
      <c r="A1021" s="103" t="n">
        <v>56116</v>
      </c>
      <c r="B1021" s="85" t="n">
        <v>46226</v>
      </c>
      <c r="C1021" s="86" t="s">
        <v>513</v>
      </c>
      <c r="D1021" s="87" t="n">
        <v>50035</v>
      </c>
      <c r="E1021" s="46" t="str">
        <f aca="false">IF(D1021&lt;&gt;"",IFERROR(VLOOKUP(D1021,PROVEEDORES!$A:$B,2,0),"!COD NO ENCONTRADO"),"")</f>
        <v>SCANFISK SEAFFOD S,L</v>
      </c>
      <c r="F1021" s="88" t="str">
        <f aca="false">IF(D1021&lt;&gt;"",IFERROR(VLOOKUP(D1021,PROVEEDORES!$A:$C,3,0),""),"")</f>
        <v>N</v>
      </c>
      <c r="G1021" s="87" t="s">
        <v>246</v>
      </c>
      <c r="H1021" s="46" t="str">
        <f aca="false">IF(G1021&lt;&gt;"",IFERROR(VLOOKUP(G1021,PRODUCTOS!$A:$B,2,0),"!COD NO ENCONTRADO"),"")</f>
        <v>MERLUZA EUROPEA VOLANTA ALTURA</v>
      </c>
      <c r="I1021" s="89" t="n">
        <v>3</v>
      </c>
      <c r="J1021" s="90" t="n">
        <v>31.4</v>
      </c>
      <c r="K1021" s="91" t="n">
        <v>10.7</v>
      </c>
      <c r="L1021" s="80" t="n">
        <f aca="false">IF(AND(J1021&lt;&gt;"",K1021&lt;&gt;""),J1021*K1021,"")</f>
        <v>335.98</v>
      </c>
      <c r="M1021" s="81" t="n">
        <f aca="false">IF(L1021&lt;&gt;"",L1021*1.1,"")</f>
        <v>369.578</v>
      </c>
      <c r="N1021" s="47" t="n">
        <f aca="false">IF(F1021="S",L1021*0.02,0)</f>
        <v>0</v>
      </c>
      <c r="O1021" s="82" t="n">
        <f aca="false">IF(L1021&lt;&gt;"",L1021+N1021,"")</f>
        <v>335.98</v>
      </c>
      <c r="P1021" s="47" t="n">
        <f aca="false">IF(O1021&lt;&gt;"",O1021*0.1,"")</f>
        <v>33.598</v>
      </c>
      <c r="Q1021" s="83" t="n">
        <f aca="false">IF(O1021&lt;&gt;"",O1021+P1021,"")</f>
        <v>369.578</v>
      </c>
      <c r="R1021" s="84" t="s">
        <v>365</v>
      </c>
    </row>
    <row r="1022" customFormat="false" ht="15" hidden="false" customHeight="true" outlineLevel="0" collapsed="false">
      <c r="A1022" s="103" t="n">
        <v>56117</v>
      </c>
      <c r="B1022" s="73" t="n">
        <v>46227</v>
      </c>
      <c r="C1022" s="74" t="s">
        <v>514</v>
      </c>
      <c r="D1022" s="75" t="n">
        <v>50232</v>
      </c>
      <c r="E1022" s="52" t="str">
        <f aca="false">IF(D1022&lt;&gt;"",IFERROR(VLOOKUP(D1022,PROVEEDORES!$A:$B,2,0),"!COD NO ENCONTRADO"),"")</f>
        <v>XESTION NOVA LONXA RIVEIRA S.L.</v>
      </c>
      <c r="F1022" s="76" t="str">
        <f aca="false">IF(D1022&lt;&gt;"",IFERROR(VLOOKUP(D1022,PROVEEDORES!$A:$C,3,0),""),"")</f>
        <v>S</v>
      </c>
      <c r="G1022" s="75" t="s">
        <v>288</v>
      </c>
      <c r="H1022" s="52" t="str">
        <f aca="false">IF(G1022&lt;&gt;"",IFERROR(VLOOKUP(G1022,PRODUCTOS!$A:$B,2,0),"!COD NO ENCONTRADO"),"")</f>
        <v>RAPE BLANCO DIA (MON)</v>
      </c>
      <c r="I1022" s="77" t="n">
        <v>1</v>
      </c>
      <c r="J1022" s="105" t="n">
        <v>1.8</v>
      </c>
      <c r="K1022" s="125" t="n">
        <v>4.5</v>
      </c>
      <c r="L1022" s="80" t="n">
        <f aca="false">IF(AND(J1022&lt;&gt;"",K1022&lt;&gt;""),J1022*K1022,"")</f>
        <v>8.1</v>
      </c>
      <c r="M1022" s="81" t="n">
        <f aca="false">IF(L1022&lt;&gt;"",L1022*1.1,"")</f>
        <v>8.91</v>
      </c>
      <c r="N1022" s="53" t="n">
        <f aca="false">IF(F1022="S",L1022*0.02,0)</f>
        <v>0.162</v>
      </c>
      <c r="O1022" s="82" t="n">
        <f aca="false">IF(L1022&lt;&gt;"",L1022+N1022,"")</f>
        <v>8.262</v>
      </c>
      <c r="P1022" s="53" t="n">
        <f aca="false">IF(O1022&lt;&gt;"",O1022*0.1,"")</f>
        <v>0.8262</v>
      </c>
      <c r="Q1022" s="83" t="n">
        <f aca="false">IF(O1022&lt;&gt;"",O1022+P1022,"")</f>
        <v>9.0882</v>
      </c>
      <c r="R1022" s="84" t="s">
        <v>365</v>
      </c>
    </row>
    <row r="1023" customFormat="false" ht="15" hidden="false" customHeight="true" outlineLevel="0" collapsed="false">
      <c r="A1023" s="103" t="n">
        <v>56117</v>
      </c>
      <c r="B1023" s="73" t="n">
        <v>46227</v>
      </c>
      <c r="C1023" s="74" t="s">
        <v>514</v>
      </c>
      <c r="D1023" s="87" t="n">
        <v>50232</v>
      </c>
      <c r="E1023" s="46" t="str">
        <f aca="false">IF(D1023&lt;&gt;"",IFERROR(VLOOKUP(D1023,PROVEEDORES!$A:$B,2,0),"!COD NO ENCONTRADO"),"")</f>
        <v>XESTION NOVA LONXA RIVEIRA S.L.</v>
      </c>
      <c r="F1023" s="88" t="str">
        <f aca="false">IF(D1023&lt;&gt;"",IFERROR(VLOOKUP(D1023,PROVEEDORES!$A:$C,3,0),""),"")</f>
        <v>S</v>
      </c>
      <c r="G1023" s="87" t="s">
        <v>296</v>
      </c>
      <c r="H1023" s="46" t="str">
        <f aca="false">IF(G1023&lt;&gt;"",IFERROR(VLOOKUP(G1023,PRODUCTOS!$A:$B,2,0),"!COD NO ENCONTRADO"),"")</f>
        <v>RAPE NEGRO (ANK)</v>
      </c>
      <c r="I1023" s="89" t="n">
        <v>9</v>
      </c>
      <c r="J1023" s="105" t="n">
        <v>63.7</v>
      </c>
      <c r="K1023" s="125" t="n">
        <v>3.2</v>
      </c>
      <c r="L1023" s="80" t="n">
        <f aca="false">IF(AND(J1023&lt;&gt;"",K1023&lt;&gt;""),J1023*K1023,"")</f>
        <v>203.84</v>
      </c>
      <c r="M1023" s="81" t="n">
        <f aca="false">IF(L1023&lt;&gt;"",L1023*1.1,"")</f>
        <v>224.224</v>
      </c>
      <c r="N1023" s="47" t="n">
        <f aca="false">IF(F1023="S",L1023*0.02,0)</f>
        <v>4.0768</v>
      </c>
      <c r="O1023" s="82" t="n">
        <f aca="false">IF(L1023&lt;&gt;"",L1023+N1023,"")</f>
        <v>207.9168</v>
      </c>
      <c r="P1023" s="47" t="n">
        <f aca="false">IF(O1023&lt;&gt;"",O1023*0.1,"")</f>
        <v>20.79168</v>
      </c>
      <c r="Q1023" s="83" t="n">
        <f aca="false">IF(O1023&lt;&gt;"",O1023+P1023,"")</f>
        <v>228.70848</v>
      </c>
      <c r="R1023" s="84" t="s">
        <v>365</v>
      </c>
    </row>
    <row r="1024" customFormat="false" ht="15" hidden="false" customHeight="true" outlineLevel="0" collapsed="false">
      <c r="A1024" s="103" t="n">
        <v>56117</v>
      </c>
      <c r="B1024" s="73" t="n">
        <v>46227</v>
      </c>
      <c r="C1024" s="74" t="s">
        <v>514</v>
      </c>
      <c r="D1024" s="75" t="n">
        <v>50232</v>
      </c>
      <c r="E1024" s="52" t="str">
        <f aca="false">IF(D1024&lt;&gt;"",IFERROR(VLOOKUP(D1024,PROVEEDORES!$A:$B,2,0),"!COD NO ENCONTRADO"),"")</f>
        <v>XESTION NOVA LONXA RIVEIRA S.L.</v>
      </c>
      <c r="F1024" s="76" t="str">
        <f aca="false">IF(D1024&lt;&gt;"",IFERROR(VLOOKUP(D1024,PROVEEDORES!$A:$C,3,0),""),"")</f>
        <v>S</v>
      </c>
      <c r="G1024" s="75" t="s">
        <v>296</v>
      </c>
      <c r="H1024" s="52" t="str">
        <f aca="false">IF(G1024&lt;&gt;"",IFERROR(VLOOKUP(G1024,PRODUCTOS!$A:$B,2,0),"!COD NO ENCONTRADO"),"")</f>
        <v>RAPE NEGRO (ANK)</v>
      </c>
      <c r="I1024" s="77" t="n">
        <v>1</v>
      </c>
      <c r="J1024" s="105" t="n">
        <v>8.2</v>
      </c>
      <c r="K1024" s="125" t="n">
        <v>4.5</v>
      </c>
      <c r="L1024" s="80" t="n">
        <f aca="false">IF(AND(J1024&lt;&gt;"",K1024&lt;&gt;""),J1024*K1024,"")</f>
        <v>36.9</v>
      </c>
      <c r="M1024" s="81" t="n">
        <f aca="false">IF(L1024&lt;&gt;"",L1024*1.1,"")</f>
        <v>40.59</v>
      </c>
      <c r="N1024" s="53" t="n">
        <f aca="false">IF(F1024="S",L1024*0.02,0)</f>
        <v>0.738</v>
      </c>
      <c r="O1024" s="82" t="n">
        <f aca="false">IF(L1024&lt;&gt;"",L1024+N1024,"")</f>
        <v>37.638</v>
      </c>
      <c r="P1024" s="53" t="n">
        <f aca="false">IF(O1024&lt;&gt;"",O1024*0.1,"")</f>
        <v>3.7638</v>
      </c>
      <c r="Q1024" s="83" t="n">
        <f aca="false">IF(O1024&lt;&gt;"",O1024+P1024,"")</f>
        <v>41.4018</v>
      </c>
      <c r="R1024" s="84" t="s">
        <v>365</v>
      </c>
    </row>
    <row r="1025" customFormat="false" ht="15" hidden="false" customHeight="true" outlineLevel="0" collapsed="false">
      <c r="A1025" s="103" t="n">
        <v>56117</v>
      </c>
      <c r="B1025" s="73" t="n">
        <v>46227</v>
      </c>
      <c r="C1025" s="74" t="s">
        <v>514</v>
      </c>
      <c r="D1025" s="87" t="n">
        <v>50232</v>
      </c>
      <c r="E1025" s="46" t="str">
        <f aca="false">IF(D1025&lt;&gt;"",IFERROR(VLOOKUP(D1025,PROVEEDORES!$A:$B,2,0),"!COD NO ENCONTRADO"),"")</f>
        <v>XESTION NOVA LONXA RIVEIRA S.L.</v>
      </c>
      <c r="F1025" s="88" t="str">
        <f aca="false">IF(D1025&lt;&gt;"",IFERROR(VLOOKUP(D1025,PROVEEDORES!$A:$C,3,0),""),"")</f>
        <v>S</v>
      </c>
      <c r="G1025" s="87" t="s">
        <v>296</v>
      </c>
      <c r="H1025" s="46" t="str">
        <f aca="false">IF(G1025&lt;&gt;"",IFERROR(VLOOKUP(G1025,PRODUCTOS!$A:$B,2,0),"!COD NO ENCONTRADO"),"")</f>
        <v>RAPE NEGRO (ANK)</v>
      </c>
      <c r="I1025" s="89" t="n">
        <v>4</v>
      </c>
      <c r="J1025" s="105" t="n">
        <v>9.1</v>
      </c>
      <c r="K1025" s="125" t="n">
        <v>5.5</v>
      </c>
      <c r="L1025" s="80" t="n">
        <f aca="false">IF(AND(J1025&lt;&gt;"",K1025&lt;&gt;""),J1025*K1025,"")</f>
        <v>50.05</v>
      </c>
      <c r="M1025" s="81" t="n">
        <f aca="false">IF(L1025&lt;&gt;"",L1025*1.1,"")</f>
        <v>55.055</v>
      </c>
      <c r="N1025" s="47" t="n">
        <f aca="false">IF(F1025="S",L1025*0.02,0)</f>
        <v>1.001</v>
      </c>
      <c r="O1025" s="82" t="n">
        <f aca="false">IF(L1025&lt;&gt;"",L1025+N1025,"")</f>
        <v>51.051</v>
      </c>
      <c r="P1025" s="47" t="n">
        <f aca="false">IF(O1025&lt;&gt;"",O1025*0.1,"")</f>
        <v>5.1051</v>
      </c>
      <c r="Q1025" s="83" t="n">
        <f aca="false">IF(O1025&lt;&gt;"",O1025+P1025,"")</f>
        <v>56.1561</v>
      </c>
      <c r="R1025" s="84" t="s">
        <v>365</v>
      </c>
    </row>
    <row r="1026" customFormat="false" ht="15" hidden="false" customHeight="true" outlineLevel="0" collapsed="false">
      <c r="A1026" s="103" t="n">
        <v>56117</v>
      </c>
      <c r="B1026" s="73" t="n">
        <v>46227</v>
      </c>
      <c r="C1026" s="74" t="s">
        <v>514</v>
      </c>
      <c r="D1026" s="75" t="n">
        <v>50232</v>
      </c>
      <c r="E1026" s="52" t="str">
        <f aca="false">IF(D1026&lt;&gt;"",IFERROR(VLOOKUP(D1026,PROVEEDORES!$A:$B,2,0),"!COD NO ENCONTRADO"),"")</f>
        <v>XESTION NOVA LONXA RIVEIRA S.L.</v>
      </c>
      <c r="F1026" s="76" t="str">
        <f aca="false">IF(D1026&lt;&gt;"",IFERROR(VLOOKUP(D1026,PROVEEDORES!$A:$C,3,0),""),"")</f>
        <v>S</v>
      </c>
      <c r="G1026" s="75" t="s">
        <v>97</v>
      </c>
      <c r="H1026" s="52" t="str">
        <f aca="false">IF(G1026&lt;&gt;"",IFERROR(VLOOKUP(G1026,PRODUCTOS!$A:$B,2,0),"!COD NO ENCONTRADO"),"")</f>
        <v>CABALL/ SARDA/ VERDEL (MAC)</v>
      </c>
      <c r="I1026" s="77" t="n">
        <v>8</v>
      </c>
      <c r="J1026" s="105" t="n">
        <v>70.1</v>
      </c>
      <c r="K1026" s="125" t="n">
        <v>4</v>
      </c>
      <c r="L1026" s="80" t="n">
        <f aca="false">IF(AND(J1026&lt;&gt;"",K1026&lt;&gt;""),J1026*K1026,"")</f>
        <v>280.4</v>
      </c>
      <c r="M1026" s="81" t="n">
        <f aca="false">IF(L1026&lt;&gt;"",L1026*1.1,"")</f>
        <v>308.44</v>
      </c>
      <c r="N1026" s="53" t="n">
        <f aca="false">IF(F1026="S",L1026*0.02,0)</f>
        <v>5.608</v>
      </c>
      <c r="O1026" s="82" t="n">
        <f aca="false">IF(L1026&lt;&gt;"",L1026+N1026,"")</f>
        <v>286.008</v>
      </c>
      <c r="P1026" s="53" t="n">
        <f aca="false">IF(O1026&lt;&gt;"",O1026*0.1,"")</f>
        <v>28.6008</v>
      </c>
      <c r="Q1026" s="83" t="n">
        <f aca="false">IF(O1026&lt;&gt;"",O1026+P1026,"")</f>
        <v>314.6088</v>
      </c>
      <c r="R1026" s="84" t="s">
        <v>365</v>
      </c>
    </row>
    <row r="1027" customFormat="false" ht="15" hidden="false" customHeight="true" outlineLevel="0" collapsed="false">
      <c r="A1027" s="103" t="n">
        <v>56117</v>
      </c>
      <c r="B1027" s="73" t="n">
        <v>46227</v>
      </c>
      <c r="C1027" s="74" t="s">
        <v>514</v>
      </c>
      <c r="D1027" s="87" t="n">
        <v>50232</v>
      </c>
      <c r="E1027" s="46" t="str">
        <f aca="false">IF(D1027&lt;&gt;"",IFERROR(VLOOKUP(D1027,PROVEEDORES!$A:$B,2,0),"!COD NO ENCONTRADO"),"")</f>
        <v>XESTION NOVA LONXA RIVEIRA S.L.</v>
      </c>
      <c r="F1027" s="88" t="str">
        <f aca="false">IF(D1027&lt;&gt;"",IFERROR(VLOOKUP(D1027,PROVEEDORES!$A:$C,3,0),""),"")</f>
        <v>S</v>
      </c>
      <c r="G1027" s="87" t="s">
        <v>179</v>
      </c>
      <c r="H1027" s="46" t="str">
        <f aca="false">IF(G1027&lt;&gt;"",IFERROR(VLOOKUP(G1027,PRODUCTOS!$A:$B,2,0),"!COD NO ENCONTRADO"),"")</f>
        <v>LIRIO/ BACALADILLA/ PERLA (WHB)</v>
      </c>
      <c r="I1027" s="89" t="n">
        <v>1</v>
      </c>
      <c r="J1027" s="105" t="n">
        <v>118</v>
      </c>
      <c r="K1027" s="125" t="n">
        <v>2.1</v>
      </c>
      <c r="L1027" s="80" t="n">
        <f aca="false">IF(AND(J1027&lt;&gt;"",K1027&lt;&gt;""),J1027*K1027,"")</f>
        <v>247.8</v>
      </c>
      <c r="M1027" s="81" t="n">
        <f aca="false">IF(L1027&lt;&gt;"",L1027*1.1,"")</f>
        <v>272.58</v>
      </c>
      <c r="N1027" s="47" t="n">
        <f aca="false">IF(F1027="S",L1027*0.02,0)</f>
        <v>4.956</v>
      </c>
      <c r="O1027" s="82" t="n">
        <f aca="false">IF(L1027&lt;&gt;"",L1027+N1027,"")</f>
        <v>252.756</v>
      </c>
      <c r="P1027" s="47" t="n">
        <f aca="false">IF(O1027&lt;&gt;"",O1027*0.1,"")</f>
        <v>25.2756</v>
      </c>
      <c r="Q1027" s="83" t="n">
        <f aca="false">IF(O1027&lt;&gt;"",O1027+P1027,"")</f>
        <v>278.0316</v>
      </c>
      <c r="R1027" s="84" t="s">
        <v>365</v>
      </c>
    </row>
    <row r="1028" customFormat="false" ht="15" hidden="false" customHeight="true" outlineLevel="0" collapsed="false">
      <c r="A1028" s="103" t="n">
        <v>56117</v>
      </c>
      <c r="B1028" s="73" t="n">
        <v>46227</v>
      </c>
      <c r="C1028" s="74" t="s">
        <v>514</v>
      </c>
      <c r="D1028" s="75" t="n">
        <v>50232</v>
      </c>
      <c r="E1028" s="52" t="str">
        <f aca="false">IF(D1028&lt;&gt;"",IFERROR(VLOOKUP(D1028,PROVEEDORES!$A:$B,2,0),"!COD NO ENCONTRADO"),"")</f>
        <v>XESTION NOVA LONXA RIVEIRA S.L.</v>
      </c>
      <c r="F1028" s="76" t="str">
        <f aca="false">IF(D1028&lt;&gt;"",IFERROR(VLOOKUP(D1028,PROVEEDORES!$A:$C,3,0),""),"")</f>
        <v>S</v>
      </c>
      <c r="G1028" s="75" t="s">
        <v>179</v>
      </c>
      <c r="H1028" s="52" t="str">
        <f aca="false">IF(G1028&lt;&gt;"",IFERROR(VLOOKUP(G1028,PRODUCTOS!$A:$B,2,0),"!COD NO ENCONTRADO"),"")</f>
        <v>LIRIO/ BACALADILLA/ PERLA (WHB)</v>
      </c>
      <c r="I1028" s="77" t="n">
        <v>10</v>
      </c>
      <c r="J1028" s="78" t="n">
        <v>150</v>
      </c>
      <c r="K1028" s="79" t="n">
        <v>2</v>
      </c>
      <c r="L1028" s="80" t="n">
        <f aca="false">IF(AND(J1028&lt;&gt;"",K1028&lt;&gt;""),J1028*K1028,"")</f>
        <v>300</v>
      </c>
      <c r="M1028" s="81" t="n">
        <f aca="false">IF(L1028&lt;&gt;"",L1028*1.1,"")</f>
        <v>330</v>
      </c>
      <c r="N1028" s="53" t="n">
        <f aca="false">IF(F1028="S",L1028*0.02,0)</f>
        <v>6</v>
      </c>
      <c r="O1028" s="82" t="n">
        <f aca="false">IF(L1028&lt;&gt;"",L1028+N1028,"")</f>
        <v>306</v>
      </c>
      <c r="P1028" s="53" t="n">
        <f aca="false">IF(O1028&lt;&gt;"",O1028*0.1,"")</f>
        <v>30.6</v>
      </c>
      <c r="Q1028" s="83" t="n">
        <f aca="false">IF(O1028&lt;&gt;"",O1028+P1028,"")</f>
        <v>336.6</v>
      </c>
      <c r="R1028" s="84" t="s">
        <v>365</v>
      </c>
    </row>
    <row r="1029" customFormat="false" ht="15" hidden="false" customHeight="true" outlineLevel="0" collapsed="false">
      <c r="A1029" s="103" t="n">
        <v>56118</v>
      </c>
      <c r="B1029" s="73" t="n">
        <v>46227</v>
      </c>
      <c r="C1029" s="74" t="s">
        <v>515</v>
      </c>
      <c r="D1029" s="75" t="n">
        <v>50010</v>
      </c>
      <c r="E1029" s="52" t="str">
        <f aca="false">IF(D1029&lt;&gt;"",IFERROR(VLOOKUP(D1029,PROVEEDORES!$A:$B,2,0),"!COD NO ENCONTRADO"),"")</f>
        <v>PERFECTO MONTERO</v>
      </c>
      <c r="F1029" s="76" t="str">
        <f aca="false">IF(D1029&lt;&gt;"",IFERROR(VLOOKUP(D1029,PROVEEDORES!$A:$C,3,0),""),"")</f>
        <v>S</v>
      </c>
      <c r="G1029" s="75" t="s">
        <v>135</v>
      </c>
      <c r="H1029" s="52" t="str">
        <f aca="false">IF(G1029&lt;&gt;"",IFERROR(VLOOKUP(G1029,PRODUCTOS!$A:$B,2,0),"!COD NO ENCONTRADO"),"")</f>
        <v>CONGRIO 10+  (COE)</v>
      </c>
      <c r="I1029" s="77" t="n">
        <v>2</v>
      </c>
      <c r="J1029" s="78" t="n">
        <v>28.25</v>
      </c>
      <c r="K1029" s="79" t="n">
        <v>4.3</v>
      </c>
      <c r="L1029" s="80" t="n">
        <f aca="false">IF(AND(J1029&lt;&gt;"",K1029&lt;&gt;""),J1029*K1029,"")</f>
        <v>121.475</v>
      </c>
      <c r="M1029" s="81" t="n">
        <f aca="false">IF(L1029&lt;&gt;"",L1029*1.1,"")</f>
        <v>133.6225</v>
      </c>
      <c r="N1029" s="53" t="n">
        <f aca="false">IF(F1029="S",L1029*0.02,0)</f>
        <v>2.4295</v>
      </c>
      <c r="O1029" s="82" t="n">
        <f aca="false">IF(L1029&lt;&gt;"",L1029+N1029,"")</f>
        <v>123.9045</v>
      </c>
      <c r="P1029" s="53" t="n">
        <f aca="false">IF(O1029&lt;&gt;"",O1029*0.1,"")</f>
        <v>12.39045</v>
      </c>
      <c r="Q1029" s="83" t="n">
        <f aca="false">IF(O1029&lt;&gt;"",O1029+P1029,"")</f>
        <v>136.29495</v>
      </c>
      <c r="R1029" s="84" t="s">
        <v>365</v>
      </c>
    </row>
    <row r="1030" customFormat="false" ht="15" hidden="false" customHeight="true" outlineLevel="0" collapsed="false">
      <c r="A1030" s="103" t="n">
        <v>56119</v>
      </c>
      <c r="B1030" s="73" t="n">
        <v>46227</v>
      </c>
      <c r="C1030" s="86" t="n">
        <v>8735</v>
      </c>
      <c r="D1030" s="87" t="n">
        <v>50069</v>
      </c>
      <c r="E1030" s="46" t="str">
        <f aca="false">IF(D1030&lt;&gt;"",IFERROR(VLOOKUP(D1030,PROVEEDORES!$A:$B,2,0),"!COD NO ENCONTRADO"),"")</f>
        <v>PESCADOS ILLANES S.L.</v>
      </c>
      <c r="F1030" s="88" t="str">
        <f aca="false">IF(D1030&lt;&gt;"",IFERROR(VLOOKUP(D1030,PROVEEDORES!$A:$C,3,0),""),"")</f>
        <v>S</v>
      </c>
      <c r="G1030" s="87" t="s">
        <v>276</v>
      </c>
      <c r="H1030" s="46" t="str">
        <f aca="false">IF(G1030&lt;&gt;"",IFERROR(VLOOKUP(G1030,PRODUCTOS!$A:$B,2,0),"!COD NO ENCONTRADO"),"")</f>
        <v>MERLUZA EUROPEA/ FINA DIA </v>
      </c>
      <c r="I1030" s="89" t="n">
        <v>5</v>
      </c>
      <c r="J1030" s="90" t="n">
        <v>49.75</v>
      </c>
      <c r="K1030" s="91" t="n">
        <v>1.7</v>
      </c>
      <c r="L1030" s="80" t="n">
        <f aca="false">IF(AND(J1030&lt;&gt;"",K1030&lt;&gt;""),J1030*K1030,"")</f>
        <v>84.575</v>
      </c>
      <c r="M1030" s="81" t="n">
        <f aca="false">IF(L1030&lt;&gt;"",L1030*1.1,"")</f>
        <v>93.0325</v>
      </c>
      <c r="N1030" s="47" t="n">
        <f aca="false">IF(F1030="S",L1030*0.02,0)</f>
        <v>1.6915</v>
      </c>
      <c r="O1030" s="82" t="n">
        <f aca="false">IF(L1030&lt;&gt;"",L1030+N1030,"")</f>
        <v>86.2665</v>
      </c>
      <c r="P1030" s="47" t="n">
        <f aca="false">IF(O1030&lt;&gt;"",O1030*0.1,"")</f>
        <v>8.62665</v>
      </c>
      <c r="Q1030" s="83" t="n">
        <f aca="false">IF(O1030&lt;&gt;"",O1030+P1030,"")</f>
        <v>94.89315</v>
      </c>
      <c r="R1030" s="84" t="s">
        <v>365</v>
      </c>
    </row>
    <row r="1031" customFormat="false" ht="15" hidden="false" customHeight="true" outlineLevel="0" collapsed="false">
      <c r="A1031" s="103" t="n">
        <v>56119</v>
      </c>
      <c r="B1031" s="73" t="n">
        <v>46227</v>
      </c>
      <c r="C1031" s="74" t="n">
        <v>8735</v>
      </c>
      <c r="D1031" s="75" t="n">
        <v>50069</v>
      </c>
      <c r="E1031" s="52" t="str">
        <f aca="false">IF(D1031&lt;&gt;"",IFERROR(VLOOKUP(D1031,PROVEEDORES!$A:$B,2,0),"!COD NO ENCONTRADO"),"")</f>
        <v>PESCADOS ILLANES S.L.</v>
      </c>
      <c r="F1031" s="76" t="str">
        <f aca="false">IF(D1031&lt;&gt;"",IFERROR(VLOOKUP(D1031,PROVEEDORES!$A:$C,3,0),""),"")</f>
        <v>S</v>
      </c>
      <c r="G1031" s="75" t="s">
        <v>133</v>
      </c>
      <c r="H1031" s="52" t="str">
        <f aca="false">IF(G1031&lt;&gt;"",IFERROR(VLOOKUP(G1031,PRODUCTOS!$A:$B,2,0),"!COD NO ENCONTRADO"),"")</f>
        <v>CINTAS/ PEZ CINTA (CBC)</v>
      </c>
      <c r="I1031" s="77" t="n">
        <v>1</v>
      </c>
      <c r="J1031" s="78" t="n">
        <v>4.5</v>
      </c>
      <c r="K1031" s="79" t="n">
        <v>2.5</v>
      </c>
      <c r="L1031" s="80" t="n">
        <f aca="false">IF(AND(J1031&lt;&gt;"",K1031&lt;&gt;""),J1031*K1031,"")</f>
        <v>11.25</v>
      </c>
      <c r="M1031" s="81" t="n">
        <f aca="false">IF(L1031&lt;&gt;"",L1031*1.1,"")</f>
        <v>12.375</v>
      </c>
      <c r="N1031" s="53" t="n">
        <f aca="false">IF(F1031="S",L1031*0.02,0)</f>
        <v>0.225</v>
      </c>
      <c r="O1031" s="82" t="n">
        <f aca="false">IF(L1031&lt;&gt;"",L1031+N1031,"")</f>
        <v>11.475</v>
      </c>
      <c r="P1031" s="53" t="n">
        <f aca="false">IF(O1031&lt;&gt;"",O1031*0.1,"")</f>
        <v>1.1475</v>
      </c>
      <c r="Q1031" s="83" t="n">
        <f aca="false">IF(O1031&lt;&gt;"",O1031+P1031,"")</f>
        <v>12.6225</v>
      </c>
      <c r="R1031" s="84" t="s">
        <v>365</v>
      </c>
    </row>
    <row r="1032" customFormat="false" ht="15" hidden="false" customHeight="true" outlineLevel="0" collapsed="false">
      <c r="A1032" s="103" t="n">
        <v>56120</v>
      </c>
      <c r="B1032" s="73" t="n">
        <v>46227</v>
      </c>
      <c r="C1032" s="86" t="n">
        <v>17748</v>
      </c>
      <c r="D1032" s="87" t="n">
        <v>50160</v>
      </c>
      <c r="E1032" s="46" t="str">
        <f aca="false">IF(D1032&lt;&gt;"",IFERROR(VLOOKUP(D1032,PROVEEDORES!$A:$B,2,0),"!COD NO ENCONTRADO"),"")</f>
        <v>SUBASTAS CORUÑA S.L.</v>
      </c>
      <c r="F1032" s="88" t="str">
        <f aca="false">IF(D1032&lt;&gt;"",IFERROR(VLOOKUP(D1032,PROVEEDORES!$A:$C,3,0),""),"")</f>
        <v>S</v>
      </c>
      <c r="G1032" s="87" t="s">
        <v>276</v>
      </c>
      <c r="H1032" s="46" t="str">
        <f aca="false">IF(G1032&lt;&gt;"",IFERROR(VLOOKUP(G1032,PRODUCTOS!$A:$B,2,0),"!COD NO ENCONTRADO"),"")</f>
        <v>MERLUZA EUROPEA/ FINA DIA </v>
      </c>
      <c r="I1032" s="89" t="n">
        <v>21</v>
      </c>
      <c r="J1032" s="90" t="n">
        <v>125.75</v>
      </c>
      <c r="K1032" s="91" t="n">
        <v>2</v>
      </c>
      <c r="L1032" s="80" t="n">
        <f aca="false">IF(AND(J1032&lt;&gt;"",K1032&lt;&gt;""),J1032*K1032,"")</f>
        <v>251.5</v>
      </c>
      <c r="M1032" s="81" t="n">
        <f aca="false">IF(L1032&lt;&gt;"",L1032*1.1,"")</f>
        <v>276.65</v>
      </c>
      <c r="N1032" s="47" t="n">
        <f aca="false">IF(F1032="S",L1032*0.02,0)</f>
        <v>5.03</v>
      </c>
      <c r="O1032" s="82" t="n">
        <f aca="false">IF(L1032&lt;&gt;"",L1032+N1032,"")</f>
        <v>256.53</v>
      </c>
      <c r="P1032" s="47" t="n">
        <f aca="false">IF(O1032&lt;&gt;"",O1032*0.1,"")</f>
        <v>25.653</v>
      </c>
      <c r="Q1032" s="83" t="n">
        <f aca="false">IF(O1032&lt;&gt;"",O1032+P1032,"")</f>
        <v>282.183</v>
      </c>
      <c r="R1032" s="84" t="s">
        <v>365</v>
      </c>
    </row>
    <row r="1033" customFormat="false" ht="15" hidden="false" customHeight="true" outlineLevel="0" collapsed="false">
      <c r="A1033" s="103" t="n">
        <v>56121</v>
      </c>
      <c r="B1033" s="73" t="n">
        <v>46227</v>
      </c>
      <c r="C1033" s="74" t="n">
        <v>20566</v>
      </c>
      <c r="D1033" s="75" t="n">
        <v>50163</v>
      </c>
      <c r="E1033" s="52" t="str">
        <f aca="false">IF(D1033&lt;&gt;"",IFERROR(VLOOKUP(D1033,PROVEEDORES!$A:$B,2,0),"!COD NO ENCONTRADO"),"")</f>
        <v>SUBASTAS RIVERA S.L.</v>
      </c>
      <c r="F1033" s="76" t="str">
        <f aca="false">IF(D1033&lt;&gt;"",IFERROR(VLOOKUP(D1033,PROVEEDORES!$A:$C,3,0),""),"")</f>
        <v>S</v>
      </c>
      <c r="G1033" s="75" t="s">
        <v>83</v>
      </c>
      <c r="H1033" s="52" t="str">
        <f aca="false">IF(G1033&lt;&gt;"",IFERROR(VLOOKUP(G1033,PRODUCTOS!$A:$B,2,0),"!COD NO ENCONTRADO"),"")</f>
        <v>BESUGO (BSR)</v>
      </c>
      <c r="I1033" s="77" t="n">
        <v>1</v>
      </c>
      <c r="J1033" s="105" t="n">
        <v>1.3</v>
      </c>
      <c r="K1033" s="125" t="n">
        <v>39</v>
      </c>
      <c r="L1033" s="80" t="n">
        <f aca="false">IF(AND(J1033&lt;&gt;"",K1033&lt;&gt;""),J1033*K1033,"")</f>
        <v>50.7</v>
      </c>
      <c r="M1033" s="81" t="n">
        <f aca="false">IF(L1033&lt;&gt;"",L1033*1.1,"")</f>
        <v>55.77</v>
      </c>
      <c r="N1033" s="53" t="n">
        <f aca="false">IF(F1033="S",L1033*0.02,0)</f>
        <v>1.014</v>
      </c>
      <c r="O1033" s="82" t="n">
        <f aca="false">IF(L1033&lt;&gt;"",L1033+N1033,"")</f>
        <v>51.714</v>
      </c>
      <c r="P1033" s="53" t="n">
        <f aca="false">IF(O1033&lt;&gt;"",O1033*0.1,"")</f>
        <v>5.1714</v>
      </c>
      <c r="Q1033" s="83" t="n">
        <f aca="false">IF(O1033&lt;&gt;"",O1033+P1033,"")</f>
        <v>56.8854</v>
      </c>
      <c r="R1033" s="84" t="s">
        <v>365</v>
      </c>
    </row>
    <row r="1034" customFormat="false" ht="15" hidden="false" customHeight="true" outlineLevel="0" collapsed="false">
      <c r="A1034" s="103" t="n">
        <v>56121</v>
      </c>
      <c r="B1034" s="73" t="n">
        <v>46227</v>
      </c>
      <c r="C1034" s="74" t="n">
        <v>20566</v>
      </c>
      <c r="D1034" s="75" t="n">
        <v>50163</v>
      </c>
      <c r="E1034" s="46" t="str">
        <f aca="false">IF(D1034&lt;&gt;"",IFERROR(VLOOKUP(D1034,PROVEEDORES!$A:$B,2,0),"!COD NO ENCONTRADO"),"")</f>
        <v>SUBASTAS RIVERA S.L.</v>
      </c>
      <c r="F1034" s="88" t="str">
        <f aca="false">IF(D1034&lt;&gt;"",IFERROR(VLOOKUP(D1034,PROVEEDORES!$A:$C,3,0),""),"")</f>
        <v>S</v>
      </c>
      <c r="G1034" s="87" t="s">
        <v>227</v>
      </c>
      <c r="H1034" s="46" t="str">
        <f aca="false">IF(G1034&lt;&gt;"",IFERROR(VLOOKUP(G1034,PRODUCTOS!$A:$B,2,0),"!COD NO ENCONTRADO"),"")</f>
        <v>MERLUZA EUROPEA PINCHO COSTA 1,5/2</v>
      </c>
      <c r="I1034" s="89" t="n">
        <v>1</v>
      </c>
      <c r="J1034" s="105" t="n">
        <v>10</v>
      </c>
      <c r="K1034" s="125" t="n">
        <v>13.2</v>
      </c>
      <c r="L1034" s="80" t="n">
        <f aca="false">IF(AND(J1034&lt;&gt;"",K1034&lt;&gt;""),J1034*K1034,"")</f>
        <v>132</v>
      </c>
      <c r="M1034" s="81" t="n">
        <f aca="false">IF(L1034&lt;&gt;"",L1034*1.1,"")</f>
        <v>145.2</v>
      </c>
      <c r="N1034" s="47" t="n">
        <f aca="false">IF(F1034="S",L1034*0.02,0)</f>
        <v>2.64</v>
      </c>
      <c r="O1034" s="82" t="n">
        <f aca="false">IF(L1034&lt;&gt;"",L1034+N1034,"")</f>
        <v>134.64</v>
      </c>
      <c r="P1034" s="47" t="n">
        <f aca="false">IF(O1034&lt;&gt;"",O1034*0.1,"")</f>
        <v>13.464</v>
      </c>
      <c r="Q1034" s="83" t="n">
        <f aca="false">IF(O1034&lt;&gt;"",O1034+P1034,"")</f>
        <v>148.104</v>
      </c>
      <c r="R1034" s="84" t="s">
        <v>365</v>
      </c>
    </row>
    <row r="1035" customFormat="false" ht="15" hidden="false" customHeight="true" outlineLevel="0" collapsed="false">
      <c r="A1035" s="103" t="n">
        <v>56121</v>
      </c>
      <c r="B1035" s="73" t="n">
        <v>46227</v>
      </c>
      <c r="C1035" s="74" t="n">
        <v>20566</v>
      </c>
      <c r="D1035" s="75" t="n">
        <v>50163</v>
      </c>
      <c r="E1035" s="52" t="str">
        <f aca="false">IF(D1035&lt;&gt;"",IFERROR(VLOOKUP(D1035,PROVEEDORES!$A:$B,2,0),"!COD NO ENCONTRADO"),"")</f>
        <v>SUBASTAS RIVERA S.L.</v>
      </c>
      <c r="F1035" s="76" t="str">
        <f aca="false">IF(D1035&lt;&gt;"",IFERROR(VLOOKUP(D1035,PROVEEDORES!$A:$C,3,0),""),"")</f>
        <v>S</v>
      </c>
      <c r="G1035" s="75" t="s">
        <v>231</v>
      </c>
      <c r="H1035" s="52" t="str">
        <f aca="false">IF(G1035&lt;&gt;"",IFERROR(VLOOKUP(G1035,PRODUCTOS!$A:$B,2,0),"!COD NO ENCONTRADO"),"")</f>
        <v>MERLUZA EUROPEA PINCHO COSTA 2,5+</v>
      </c>
      <c r="I1035" s="77" t="n">
        <v>1</v>
      </c>
      <c r="J1035" s="105" t="n">
        <v>12.25</v>
      </c>
      <c r="K1035" s="125" t="n">
        <v>14</v>
      </c>
      <c r="L1035" s="80" t="n">
        <f aca="false">IF(AND(J1035&lt;&gt;"",K1035&lt;&gt;""),J1035*K1035,"")</f>
        <v>171.5</v>
      </c>
      <c r="M1035" s="81" t="n">
        <f aca="false">IF(L1035&lt;&gt;"",L1035*1.1,"")</f>
        <v>188.65</v>
      </c>
      <c r="N1035" s="53" t="n">
        <f aca="false">IF(F1035="S",L1035*0.02,0)</f>
        <v>3.43</v>
      </c>
      <c r="O1035" s="82" t="n">
        <f aca="false">IF(L1035&lt;&gt;"",L1035+N1035,"")</f>
        <v>174.93</v>
      </c>
      <c r="P1035" s="53" t="n">
        <f aca="false">IF(O1035&lt;&gt;"",O1035*0.1,"")</f>
        <v>17.493</v>
      </c>
      <c r="Q1035" s="83" t="n">
        <f aca="false">IF(O1035&lt;&gt;"",O1035+P1035,"")</f>
        <v>192.423</v>
      </c>
      <c r="R1035" s="84" t="s">
        <v>365</v>
      </c>
    </row>
    <row r="1036" customFormat="false" ht="15" hidden="false" customHeight="true" outlineLevel="0" collapsed="false">
      <c r="A1036" s="103" t="n">
        <v>56121</v>
      </c>
      <c r="B1036" s="73" t="n">
        <v>46227</v>
      </c>
      <c r="C1036" s="74" t="n">
        <v>20566</v>
      </c>
      <c r="D1036" s="75" t="n">
        <v>50163</v>
      </c>
      <c r="E1036" s="46" t="str">
        <f aca="false">IF(D1036&lt;&gt;"",IFERROR(VLOOKUP(D1036,PROVEEDORES!$A:$B,2,0),"!COD NO ENCONTRADO"),"")</f>
        <v>SUBASTAS RIVERA S.L.</v>
      </c>
      <c r="F1036" s="88" t="str">
        <f aca="false">IF(D1036&lt;&gt;"",IFERROR(VLOOKUP(D1036,PROVEEDORES!$A:$C,3,0),""),"")</f>
        <v>S</v>
      </c>
      <c r="G1036" s="87" t="s">
        <v>332</v>
      </c>
      <c r="H1036" s="46" t="str">
        <f aca="false">IF(G1036&lt;&gt;"",IFERROR(VLOOKUP(G1036,PRODUCTOS!$A:$B,2,0),"!COD NO ENCONTRADO"),"")</f>
        <v>VARIADO PEQUEÑO</v>
      </c>
      <c r="I1036" s="89" t="n">
        <v>5</v>
      </c>
      <c r="J1036" s="105" t="n">
        <v>25</v>
      </c>
      <c r="K1036" s="125" t="n">
        <v>0.3</v>
      </c>
      <c r="L1036" s="80" t="n">
        <f aca="false">IF(AND(J1036&lt;&gt;"",K1036&lt;&gt;""),J1036*K1036,"")</f>
        <v>7.5</v>
      </c>
      <c r="M1036" s="81" t="n">
        <f aca="false">IF(L1036&lt;&gt;"",L1036*1.1,"")</f>
        <v>8.25</v>
      </c>
      <c r="N1036" s="47" t="n">
        <f aca="false">IF(F1036="S",L1036*0.02,0)</f>
        <v>0.15</v>
      </c>
      <c r="O1036" s="82" t="n">
        <f aca="false">IF(L1036&lt;&gt;"",L1036+N1036,"")</f>
        <v>7.65</v>
      </c>
      <c r="P1036" s="47" t="n">
        <f aca="false">IF(O1036&lt;&gt;"",O1036*0.1,"")</f>
        <v>0.765</v>
      </c>
      <c r="Q1036" s="83" t="n">
        <f aca="false">IF(O1036&lt;&gt;"",O1036+P1036,"")</f>
        <v>8.415</v>
      </c>
      <c r="R1036" s="84" t="s">
        <v>365</v>
      </c>
    </row>
    <row r="1037" customFormat="false" ht="15" hidden="false" customHeight="true" outlineLevel="0" collapsed="false">
      <c r="A1037" s="103" t="n">
        <v>56121</v>
      </c>
      <c r="B1037" s="73" t="n">
        <v>46227</v>
      </c>
      <c r="C1037" s="74" t="n">
        <v>20566</v>
      </c>
      <c r="D1037" s="75" t="n">
        <v>50163</v>
      </c>
      <c r="E1037" s="52" t="str">
        <f aca="false">IF(D1037&lt;&gt;"",IFERROR(VLOOKUP(D1037,PROVEEDORES!$A:$B,2,0),"!COD NO ENCONTRADO"),"")</f>
        <v>SUBASTAS RIVERA S.L.</v>
      </c>
      <c r="F1037" s="76" t="str">
        <f aca="false">IF(D1037&lt;&gt;"",IFERROR(VLOOKUP(D1037,PROVEEDORES!$A:$C,3,0),""),"")</f>
        <v>S</v>
      </c>
      <c r="G1037" s="75" t="s">
        <v>332</v>
      </c>
      <c r="H1037" s="52" t="str">
        <f aca="false">IF(G1037&lt;&gt;"",IFERROR(VLOOKUP(G1037,PRODUCTOS!$A:$B,2,0),"!COD NO ENCONTRADO"),"")</f>
        <v>VARIADO PEQUEÑO</v>
      </c>
      <c r="I1037" s="77" t="n">
        <v>5</v>
      </c>
      <c r="J1037" s="105" t="n">
        <v>46.75</v>
      </c>
      <c r="K1037" s="125" t="n">
        <v>0.7</v>
      </c>
      <c r="L1037" s="80" t="n">
        <f aca="false">IF(AND(J1037&lt;&gt;"",K1037&lt;&gt;""),J1037*K1037,"")</f>
        <v>32.725</v>
      </c>
      <c r="M1037" s="81" t="n">
        <f aca="false">IF(L1037&lt;&gt;"",L1037*1.1,"")</f>
        <v>35.9975</v>
      </c>
      <c r="N1037" s="53" t="n">
        <f aca="false">IF(F1037="S",L1037*0.02,0)</f>
        <v>0.6545</v>
      </c>
      <c r="O1037" s="82" t="n">
        <f aca="false">IF(L1037&lt;&gt;"",L1037+N1037,"")</f>
        <v>33.3795</v>
      </c>
      <c r="P1037" s="53" t="n">
        <f aca="false">IF(O1037&lt;&gt;"",O1037*0.1,"")</f>
        <v>3.33795</v>
      </c>
      <c r="Q1037" s="83" t="n">
        <f aca="false">IF(O1037&lt;&gt;"",O1037+P1037,"")</f>
        <v>36.71745</v>
      </c>
      <c r="R1037" s="84" t="s">
        <v>365</v>
      </c>
    </row>
    <row r="1038" customFormat="false" ht="15" hidden="false" customHeight="true" outlineLevel="0" collapsed="false">
      <c r="A1038" s="103" t="n">
        <v>56121</v>
      </c>
      <c r="B1038" s="73" t="n">
        <v>46227</v>
      </c>
      <c r="C1038" s="74" t="n">
        <v>20566</v>
      </c>
      <c r="D1038" s="75" t="n">
        <v>50163</v>
      </c>
      <c r="E1038" s="46" t="str">
        <f aca="false">IF(D1038&lt;&gt;"",IFERROR(VLOOKUP(D1038,PROVEEDORES!$A:$B,2,0),"!COD NO ENCONTRADO"),"")</f>
        <v>SUBASTAS RIVERA S.L.</v>
      </c>
      <c r="F1038" s="88" t="str">
        <f aca="false">IF(D1038&lt;&gt;"",IFERROR(VLOOKUP(D1038,PROVEEDORES!$A:$C,3,0),""),"")</f>
        <v>S</v>
      </c>
      <c r="G1038" s="87" t="s">
        <v>332</v>
      </c>
      <c r="H1038" s="46" t="str">
        <f aca="false">IF(G1038&lt;&gt;"",IFERROR(VLOOKUP(G1038,PRODUCTOS!$A:$B,2,0),"!COD NO ENCONTRADO"),"")</f>
        <v>VARIADO PEQUEÑO</v>
      </c>
      <c r="I1038" s="89" t="n">
        <v>3</v>
      </c>
      <c r="J1038" s="105" t="n">
        <v>28</v>
      </c>
      <c r="K1038" s="125" t="n">
        <v>0.7</v>
      </c>
      <c r="L1038" s="80" t="n">
        <f aca="false">IF(AND(J1038&lt;&gt;"",K1038&lt;&gt;""),J1038*K1038,"")</f>
        <v>19.6</v>
      </c>
      <c r="M1038" s="81" t="n">
        <f aca="false">IF(L1038&lt;&gt;"",L1038*1.1,"")</f>
        <v>21.56</v>
      </c>
      <c r="N1038" s="47" t="n">
        <f aca="false">IF(F1038="S",L1038*0.02,0)</f>
        <v>0.392</v>
      </c>
      <c r="O1038" s="82" t="n">
        <f aca="false">IF(L1038&lt;&gt;"",L1038+N1038,"")</f>
        <v>19.992</v>
      </c>
      <c r="P1038" s="47" t="n">
        <f aca="false">IF(O1038&lt;&gt;"",O1038*0.1,"")</f>
        <v>1.9992</v>
      </c>
      <c r="Q1038" s="83" t="n">
        <f aca="false">IF(O1038&lt;&gt;"",O1038+P1038,"")</f>
        <v>21.9912</v>
      </c>
      <c r="R1038" s="84" t="s">
        <v>365</v>
      </c>
    </row>
    <row r="1039" customFormat="false" ht="15" hidden="false" customHeight="true" outlineLevel="0" collapsed="false">
      <c r="A1039" s="103" t="n">
        <v>56121</v>
      </c>
      <c r="B1039" s="73" t="n">
        <v>46227</v>
      </c>
      <c r="C1039" s="74" t="n">
        <v>20566</v>
      </c>
      <c r="D1039" s="75" t="n">
        <v>50163</v>
      </c>
      <c r="E1039" s="46" t="str">
        <f aca="false">IF(D1039&lt;&gt;"",IFERROR(VLOOKUP(D1039,PROVEEDORES!$A:$B,2,0),"!COD NO ENCONTRADO"),"")</f>
        <v>SUBASTAS RIVERA S.L.</v>
      </c>
      <c r="F1039" s="76" t="str">
        <f aca="false">IF(D1039&lt;&gt;"",IFERROR(VLOOKUP(D1039,PROVEEDORES!$A:$C,3,0),""),"")</f>
        <v>S</v>
      </c>
      <c r="G1039" s="75" t="s">
        <v>332</v>
      </c>
      <c r="H1039" s="52" t="str">
        <f aca="false">IF(G1039&lt;&gt;"",IFERROR(VLOOKUP(G1039,PRODUCTOS!$A:$B,2,0),"!COD NO ENCONTRADO"),"")</f>
        <v>VARIADO PEQUEÑO</v>
      </c>
      <c r="I1039" s="77" t="n">
        <v>2</v>
      </c>
      <c r="J1039" s="105" t="n">
        <v>14.5</v>
      </c>
      <c r="K1039" s="125" t="n">
        <v>0.4</v>
      </c>
      <c r="L1039" s="80" t="n">
        <f aca="false">IF(AND(J1039&lt;&gt;"",K1039&lt;&gt;""),J1039*K1039,"")</f>
        <v>5.8</v>
      </c>
      <c r="M1039" s="81" t="n">
        <f aca="false">IF(L1039&lt;&gt;"",L1039*1.1,"")</f>
        <v>6.38</v>
      </c>
      <c r="N1039" s="53" t="n">
        <f aca="false">IF(F1039="S",L1039*0.02,0)</f>
        <v>0.116</v>
      </c>
      <c r="O1039" s="82" t="n">
        <f aca="false">IF(L1039&lt;&gt;"",L1039+N1039,"")</f>
        <v>5.916</v>
      </c>
      <c r="P1039" s="53" t="n">
        <f aca="false">IF(O1039&lt;&gt;"",O1039*0.1,"")</f>
        <v>0.5916</v>
      </c>
      <c r="Q1039" s="83" t="n">
        <f aca="false">IF(O1039&lt;&gt;"",O1039+P1039,"")</f>
        <v>6.5076</v>
      </c>
      <c r="R1039" s="84" t="s">
        <v>365</v>
      </c>
    </row>
    <row r="1040" customFormat="false" ht="15" hidden="false" customHeight="true" outlineLevel="0" collapsed="false">
      <c r="A1040" s="103" t="n">
        <v>56121</v>
      </c>
      <c r="B1040" s="73" t="n">
        <v>46227</v>
      </c>
      <c r="C1040" s="74" t="n">
        <v>20566</v>
      </c>
      <c r="D1040" s="75" t="n">
        <v>50163</v>
      </c>
      <c r="E1040" s="46" t="str">
        <f aca="false">IF(D1040&lt;&gt;"",IFERROR(VLOOKUP(D1040,PROVEEDORES!$A:$B,2,0),"!COD NO ENCONTRADO"),"")</f>
        <v>SUBASTAS RIVERA S.L.</v>
      </c>
      <c r="F1040" s="88" t="str">
        <f aca="false">IF(D1040&lt;&gt;"",IFERROR(VLOOKUP(D1040,PROVEEDORES!$A:$C,3,0),""),"")</f>
        <v>S</v>
      </c>
      <c r="G1040" s="87" t="s">
        <v>316</v>
      </c>
      <c r="H1040" s="46" t="str">
        <f aca="false">IF(G1040&lt;&gt;"",IFERROR(VLOOKUP(G1040,PRODUCTOS!$A:$B,2,0),"!COD NO ENCONTRADO"),"")</f>
        <v>SALMONETE ROCA (MUR)</v>
      </c>
      <c r="I1040" s="89" t="n">
        <v>1</v>
      </c>
      <c r="J1040" s="105" t="n">
        <v>3.1</v>
      </c>
      <c r="K1040" s="125" t="n">
        <v>17</v>
      </c>
      <c r="L1040" s="80" t="n">
        <f aca="false">IF(AND(J1040&lt;&gt;"",K1040&lt;&gt;""),J1040*K1040,"")</f>
        <v>52.7</v>
      </c>
      <c r="M1040" s="81" t="n">
        <f aca="false">IF(L1040&lt;&gt;"",L1040*1.1,"")</f>
        <v>57.97</v>
      </c>
      <c r="N1040" s="47" t="n">
        <f aca="false">IF(F1040="S",L1040*0.02,0)</f>
        <v>1.054</v>
      </c>
      <c r="O1040" s="82" t="n">
        <f aca="false">IF(L1040&lt;&gt;"",L1040+N1040,"")</f>
        <v>53.754</v>
      </c>
      <c r="P1040" s="47" t="n">
        <f aca="false">IF(O1040&lt;&gt;"",O1040*0.1,"")</f>
        <v>5.3754</v>
      </c>
      <c r="Q1040" s="83" t="n">
        <f aca="false">IF(O1040&lt;&gt;"",O1040+P1040,"")</f>
        <v>59.1294</v>
      </c>
      <c r="R1040" s="84" t="s">
        <v>365</v>
      </c>
    </row>
    <row r="1041" customFormat="false" ht="15" hidden="false" customHeight="true" outlineLevel="0" collapsed="false">
      <c r="A1041" s="103" t="n">
        <v>56121</v>
      </c>
      <c r="B1041" s="73" t="n">
        <v>46227</v>
      </c>
      <c r="C1041" s="74" t="n">
        <v>20566</v>
      </c>
      <c r="D1041" s="75" t="n">
        <v>50163</v>
      </c>
      <c r="E1041" s="52" t="str">
        <f aca="false">IF(D1041&lt;&gt;"",IFERROR(VLOOKUP(D1041,PROVEEDORES!$A:$B,2,0),"!COD NO ENCONTRADO"),"")</f>
        <v>SUBASTAS RIVERA S.L.</v>
      </c>
      <c r="F1041" s="76" t="str">
        <f aca="false">IF(D1041&lt;&gt;"",IFERROR(VLOOKUP(D1041,PROVEEDORES!$A:$C,3,0),""),"")</f>
        <v>S</v>
      </c>
      <c r="G1041" s="75" t="s">
        <v>233</v>
      </c>
      <c r="H1041" s="52" t="str">
        <f aca="false">IF(G1041&lt;&gt;"",IFERROR(VLOOKUP(G1041,PRODUCTOS!$A:$B,2,0),"!COD NO ENCONTRADO"),"")</f>
        <v>MERLUZA EUROPEA VOLANTA COSTA</v>
      </c>
      <c r="I1041" s="77" t="n">
        <v>1</v>
      </c>
      <c r="J1041" s="105" t="n">
        <v>4.6</v>
      </c>
      <c r="K1041" s="125" t="n">
        <v>15.5</v>
      </c>
      <c r="L1041" s="80" t="n">
        <f aca="false">IF(AND(J1041&lt;&gt;"",K1041&lt;&gt;""),J1041*K1041,"")</f>
        <v>71.3</v>
      </c>
      <c r="M1041" s="81" t="n">
        <f aca="false">IF(L1041&lt;&gt;"",L1041*1.1,"")</f>
        <v>78.43</v>
      </c>
      <c r="N1041" s="53" t="n">
        <f aca="false">IF(F1041="S",L1041*0.02,0)</f>
        <v>1.426</v>
      </c>
      <c r="O1041" s="82" t="n">
        <f aca="false">IF(L1041&lt;&gt;"",L1041+N1041,"")</f>
        <v>72.726</v>
      </c>
      <c r="P1041" s="53" t="n">
        <f aca="false">IF(O1041&lt;&gt;"",O1041*0.1,"")</f>
        <v>7.2726</v>
      </c>
      <c r="Q1041" s="83" t="n">
        <f aca="false">IF(O1041&lt;&gt;"",O1041+P1041,"")</f>
        <v>79.9986</v>
      </c>
      <c r="R1041" s="84" t="s">
        <v>365</v>
      </c>
    </row>
    <row r="1042" customFormat="false" ht="15" hidden="false" customHeight="true" outlineLevel="0" collapsed="false">
      <c r="A1042" s="103" t="n">
        <v>56121</v>
      </c>
      <c r="B1042" s="73" t="n">
        <v>46227</v>
      </c>
      <c r="C1042" s="74" t="n">
        <v>20566</v>
      </c>
      <c r="D1042" s="87" t="n">
        <v>50163</v>
      </c>
      <c r="E1042" s="46" t="str">
        <f aca="false">IF(D1042&lt;&gt;"",IFERROR(VLOOKUP(D1042,PROVEEDORES!$A:$B,2,0),"!COD NO ENCONTRADO"),"")</f>
        <v>SUBASTAS RIVERA S.L.</v>
      </c>
      <c r="F1042" s="88" t="str">
        <f aca="false">IF(D1042&lt;&gt;"",IFERROR(VLOOKUP(D1042,PROVEEDORES!$A:$C,3,0),""),"")</f>
        <v>S</v>
      </c>
      <c r="G1042" s="87" t="s">
        <v>151</v>
      </c>
      <c r="H1042" s="46" t="str">
        <f aca="false">IF(G1042&lt;&gt;"",IFERROR(VLOOKUP(G1042,PRODUCTOS!$A:$B,2,0),"!COD NO ENCONTRADO"),"")</f>
        <v>ESCACHO/ ARETE/ RUBIO (GUR)</v>
      </c>
      <c r="I1042" s="89" t="n">
        <v>6</v>
      </c>
      <c r="J1042" s="105" t="n">
        <v>58.5</v>
      </c>
      <c r="K1042" s="125" t="n">
        <v>0.3</v>
      </c>
      <c r="L1042" s="80" t="n">
        <f aca="false">IF(AND(J1042&lt;&gt;"",K1042&lt;&gt;""),J1042*K1042,"")</f>
        <v>17.55</v>
      </c>
      <c r="M1042" s="81" t="n">
        <f aca="false">IF(L1042&lt;&gt;"",L1042*1.1,"")</f>
        <v>19.305</v>
      </c>
      <c r="N1042" s="47" t="n">
        <f aca="false">IF(F1042="S",L1042*0.02,0)</f>
        <v>0.351</v>
      </c>
      <c r="O1042" s="82" t="n">
        <f aca="false">IF(L1042&lt;&gt;"",L1042+N1042,"")</f>
        <v>17.901</v>
      </c>
      <c r="P1042" s="47" t="n">
        <f aca="false">IF(O1042&lt;&gt;"",O1042*0.1,"")</f>
        <v>1.7901</v>
      </c>
      <c r="Q1042" s="83" t="n">
        <f aca="false">IF(O1042&lt;&gt;"",O1042+P1042,"")</f>
        <v>19.6911</v>
      </c>
      <c r="R1042" s="84" t="s">
        <v>365</v>
      </c>
    </row>
    <row r="1043" customFormat="false" ht="15" hidden="false" customHeight="true" outlineLevel="0" collapsed="false">
      <c r="A1043" s="103" t="n">
        <v>56122</v>
      </c>
      <c r="B1043" s="73" t="n">
        <v>46227</v>
      </c>
      <c r="C1043" s="74" t="s">
        <v>516</v>
      </c>
      <c r="D1043" s="75" t="n">
        <v>50218</v>
      </c>
      <c r="E1043" s="52" t="str">
        <f aca="false">IF(D1043&lt;&gt;"",IFERROR(VLOOKUP(D1043,PROVEEDORES!$A:$B,2,0),"!COD NO ENCONTRADO"),"")</f>
        <v>ACERGA </v>
      </c>
      <c r="F1043" s="76" t="str">
        <f aca="false">IF(D1043&lt;&gt;"",IFERROR(VLOOKUP(D1043,PROVEEDORES!$A:$C,3,0),""),"")</f>
        <v>S</v>
      </c>
      <c r="G1043" s="75" t="s">
        <v>324</v>
      </c>
      <c r="H1043" s="52" t="str">
        <f aca="false">IF(G1043&lt;&gt;"",IFERROR(VLOOKUP(G1043,PRODUCTOS!$A:$B,2,0),"!COD NO ENCONTRADO"),"")</f>
        <v>SARDINA    (PIL)</v>
      </c>
      <c r="I1043" s="77" t="n">
        <v>1</v>
      </c>
      <c r="J1043" s="78" t="n">
        <v>28</v>
      </c>
      <c r="K1043" s="79" t="n">
        <v>2</v>
      </c>
      <c r="L1043" s="80" t="n">
        <f aca="false">IF(AND(J1043&lt;&gt;"",K1043&lt;&gt;""),J1043*K1043,"")</f>
        <v>56</v>
      </c>
      <c r="M1043" s="81" t="n">
        <f aca="false">IF(L1043&lt;&gt;"",L1043*1.1,"")</f>
        <v>61.6</v>
      </c>
      <c r="N1043" s="53" t="n">
        <f aca="false">IF(F1043="S",L1043*0.02,0)</f>
        <v>1.12</v>
      </c>
      <c r="O1043" s="82" t="n">
        <f aca="false">IF(L1043&lt;&gt;"",L1043+N1043,"")</f>
        <v>57.12</v>
      </c>
      <c r="P1043" s="53" t="n">
        <f aca="false">IF(O1043&lt;&gt;"",O1043*0.1,"")</f>
        <v>5.712</v>
      </c>
      <c r="Q1043" s="83" t="n">
        <f aca="false">IF(O1043&lt;&gt;"",O1043+P1043,"")</f>
        <v>62.832</v>
      </c>
      <c r="R1043" s="84" t="s">
        <v>365</v>
      </c>
    </row>
    <row r="1044" customFormat="false" ht="15" hidden="false" customHeight="true" outlineLevel="0" collapsed="false">
      <c r="A1044" s="103" t="n">
        <v>56122</v>
      </c>
      <c r="B1044" s="73" t="n">
        <v>46227</v>
      </c>
      <c r="C1044" s="86" t="s">
        <v>517</v>
      </c>
      <c r="D1044" s="87" t="n">
        <v>50218</v>
      </c>
      <c r="E1044" s="46" t="str">
        <f aca="false">IF(D1044&lt;&gt;"",IFERROR(VLOOKUP(D1044,PROVEEDORES!$A:$B,2,0),"!COD NO ENCONTRADO"),"")</f>
        <v>ACERGA </v>
      </c>
      <c r="F1044" s="88" t="str">
        <f aca="false">IF(D1044&lt;&gt;"",IFERROR(VLOOKUP(D1044,PROVEEDORES!$A:$C,3,0),""),"")</f>
        <v>S</v>
      </c>
      <c r="G1044" s="87" t="s">
        <v>93</v>
      </c>
      <c r="H1044" s="46" t="str">
        <f aca="false">IF(G1044&lt;&gt;"",IFERROR(VLOOKUP(G1044,PRODUCTOS!$A:$B,2,0),"!COD NO ENCONTRADO"),"")</f>
        <v>BOQUERON/ BOCARTE/ ANCHOA (ANE)</v>
      </c>
      <c r="I1044" s="89" t="n">
        <v>51</v>
      </c>
      <c r="J1044" s="90" t="n">
        <v>429</v>
      </c>
      <c r="K1044" s="91" t="n">
        <v>0.97</v>
      </c>
      <c r="L1044" s="80" t="n">
        <f aca="false">IF(AND(J1044&lt;&gt;"",K1044&lt;&gt;""),J1044*K1044,"")</f>
        <v>416.13</v>
      </c>
      <c r="M1044" s="81" t="n">
        <f aca="false">IF(L1044&lt;&gt;"",L1044*1.1,"")</f>
        <v>457.743</v>
      </c>
      <c r="N1044" s="47" t="n">
        <f aca="false">IF(F1044="S",L1044*0.02,0)</f>
        <v>8.3226</v>
      </c>
      <c r="O1044" s="82" t="n">
        <f aca="false">IF(L1044&lt;&gt;"",L1044+N1044,"")</f>
        <v>424.4526</v>
      </c>
      <c r="P1044" s="47" t="n">
        <f aca="false">IF(O1044&lt;&gt;"",O1044*0.1,"")</f>
        <v>42.44526</v>
      </c>
      <c r="Q1044" s="83" t="n">
        <f aca="false">IF(O1044&lt;&gt;"",O1044+P1044,"")</f>
        <v>466.89786</v>
      </c>
      <c r="R1044" s="84" t="s">
        <v>365</v>
      </c>
    </row>
    <row r="1045" customFormat="false" ht="15" hidden="false" customHeight="true" outlineLevel="0" collapsed="false">
      <c r="A1045" s="103" t="n">
        <v>56122</v>
      </c>
      <c r="B1045" s="73" t="n">
        <v>46227</v>
      </c>
      <c r="C1045" s="86" t="s">
        <v>517</v>
      </c>
      <c r="D1045" s="75" t="n">
        <v>50218</v>
      </c>
      <c r="E1045" s="52" t="str">
        <f aca="false">IF(D1045&lt;&gt;"",IFERROR(VLOOKUP(D1045,PROVEEDORES!$A:$B,2,0),"!COD NO ENCONTRADO"),"")</f>
        <v>ACERGA </v>
      </c>
      <c r="F1045" s="76" t="str">
        <f aca="false">IF(D1045&lt;&gt;"",IFERROR(VLOOKUP(D1045,PROVEEDORES!$A:$C,3,0),""),"")</f>
        <v>S</v>
      </c>
      <c r="G1045" s="75" t="s">
        <v>93</v>
      </c>
      <c r="H1045" s="52" t="str">
        <f aca="false">IF(G1045&lt;&gt;"",IFERROR(VLOOKUP(G1045,PRODUCTOS!$A:$B,2,0),"!COD NO ENCONTRADO"),"")</f>
        <v>BOQUERON/ BOCARTE/ ANCHOA (ANE)</v>
      </c>
      <c r="I1045" s="77" t="n">
        <v>50</v>
      </c>
      <c r="J1045" s="78" t="n">
        <v>403</v>
      </c>
      <c r="K1045" s="79" t="n">
        <v>0.97</v>
      </c>
      <c r="L1045" s="80" t="n">
        <f aca="false">IF(AND(J1045&lt;&gt;"",K1045&lt;&gt;""),J1045*K1045,"")</f>
        <v>390.91</v>
      </c>
      <c r="M1045" s="81" t="n">
        <f aca="false">IF(L1045&lt;&gt;"",L1045*1.1,"")</f>
        <v>430.001</v>
      </c>
      <c r="N1045" s="53" t="n">
        <f aca="false">IF(F1045="S",L1045*0.02,0)</f>
        <v>7.8182</v>
      </c>
      <c r="O1045" s="82" t="n">
        <f aca="false">IF(L1045&lt;&gt;"",L1045+N1045,"")</f>
        <v>398.7282</v>
      </c>
      <c r="P1045" s="53" t="n">
        <f aca="false">IF(O1045&lt;&gt;"",O1045*0.1,"")</f>
        <v>39.87282</v>
      </c>
      <c r="Q1045" s="83" t="n">
        <f aca="false">IF(O1045&lt;&gt;"",O1045+P1045,"")</f>
        <v>438.60102</v>
      </c>
      <c r="R1045" s="84" t="s">
        <v>365</v>
      </c>
    </row>
    <row r="1046" customFormat="false" ht="15" hidden="false" customHeight="true" outlineLevel="0" collapsed="false">
      <c r="A1046" s="103" t="n">
        <v>56123</v>
      </c>
      <c r="B1046" s="85" t="n">
        <v>46227</v>
      </c>
      <c r="C1046" s="86" t="s">
        <v>518</v>
      </c>
      <c r="D1046" s="87" t="n">
        <v>50048</v>
      </c>
      <c r="E1046" s="46" t="str">
        <f aca="false">IF(D1046&lt;&gt;"",IFERROR(VLOOKUP(D1046,PROVEEDORES!$A:$B,2,0),"!COD NO ENCONTRADO"),"")</f>
        <v>JOSE LUIS CORREA KESSLER S.L.</v>
      </c>
      <c r="F1046" s="88" t="str">
        <f aca="false">IF(D1046&lt;&gt;"",IFERROR(VLOOKUP(D1046,PROVEEDORES!$A:$C,3,0),""),"")</f>
        <v>N</v>
      </c>
      <c r="G1046" s="87" t="s">
        <v>179</v>
      </c>
      <c r="H1046" s="46" t="str">
        <f aca="false">IF(G1046&lt;&gt;"",IFERROR(VLOOKUP(G1046,PRODUCTOS!$A:$B,2,0),"!COD NO ENCONTRADO"),"")</f>
        <v>LIRIO/ BACALADILLA/ PERLA (WHB)</v>
      </c>
      <c r="I1046" s="89" t="n">
        <v>30</v>
      </c>
      <c r="J1046" s="90" t="n">
        <v>180</v>
      </c>
      <c r="K1046" s="125" t="n">
        <v>2.05</v>
      </c>
      <c r="L1046" s="80" t="n">
        <f aca="false">IF(AND(J1046&lt;&gt;"",K1046&lt;&gt;""),J1046*K1046,"")</f>
        <v>369</v>
      </c>
      <c r="M1046" s="81" t="n">
        <f aca="false">IF(L1046&lt;&gt;"",L1046*1.1,"")</f>
        <v>405.9</v>
      </c>
      <c r="N1046" s="47" t="n">
        <f aca="false">IF(F1046="S",L1046*0.02,0)</f>
        <v>0</v>
      </c>
      <c r="O1046" s="82" t="n">
        <f aca="false">IF(L1046&lt;&gt;"",L1046+N1046,"")</f>
        <v>369</v>
      </c>
      <c r="P1046" s="47" t="n">
        <f aca="false">IF(O1046&lt;&gt;"",O1046*0.1,"")</f>
        <v>36.9</v>
      </c>
      <c r="Q1046" s="83" t="n">
        <f aca="false">IF(O1046&lt;&gt;"",O1046+P1046,"")</f>
        <v>405.9</v>
      </c>
      <c r="R1046" s="84" t="s">
        <v>358</v>
      </c>
    </row>
    <row r="1047" customFormat="false" ht="15" hidden="false" customHeight="true" outlineLevel="0" collapsed="false">
      <c r="A1047" s="103" t="n">
        <v>56124</v>
      </c>
      <c r="B1047" s="73" t="n">
        <v>46230</v>
      </c>
      <c r="C1047" s="74" t="n">
        <v>10779</v>
      </c>
      <c r="D1047" s="75" t="n">
        <v>50001</v>
      </c>
      <c r="E1047" s="52" t="str">
        <f aca="false">IF(D1047&lt;&gt;"",IFERROR(VLOOKUP(D1047,PROVEEDORES!$A:$B,2,0),"!COD NO ENCONTRADO"),"")</f>
        <v>COPESA</v>
      </c>
      <c r="F1047" s="76" t="str">
        <f aca="false">IF(D1047&lt;&gt;"",IFERROR(VLOOKUP(D1047,PROVEEDORES!$A:$C,3,0),""),"")</f>
        <v>S</v>
      </c>
      <c r="G1047" s="75" t="s">
        <v>209</v>
      </c>
      <c r="H1047" s="52" t="str">
        <f aca="false">IF(G1047&lt;&gt;"",IFERROR(VLOOKUP(G1047,PRODUCTOS!$A:$B,2,0),"!COD NO ENCONTRADO"),"")</f>
        <v>MERLUZA EUROPEA PINCHO</v>
      </c>
      <c r="I1047" s="77" t="n">
        <v>4</v>
      </c>
      <c r="J1047" s="105" t="n">
        <v>16.55</v>
      </c>
      <c r="K1047" s="125" t="n">
        <v>13.4</v>
      </c>
      <c r="L1047" s="80" t="n">
        <f aca="false">IF(AND(J1047&lt;&gt;"",K1047&lt;&gt;""),J1047*K1047,"")</f>
        <v>221.77</v>
      </c>
      <c r="M1047" s="81" t="n">
        <f aca="false">IF(L1047&lt;&gt;"",L1047*1.1,"")</f>
        <v>243.947</v>
      </c>
      <c r="N1047" s="53" t="n">
        <f aca="false">IF(F1047="S",L1047*0.02,0)</f>
        <v>4.4354</v>
      </c>
      <c r="O1047" s="82" t="n">
        <f aca="false">IF(L1047&lt;&gt;"",L1047+N1047,"")</f>
        <v>226.2054</v>
      </c>
      <c r="P1047" s="53" t="n">
        <f aca="false">IF(O1047&lt;&gt;"",O1047*0.1,"")</f>
        <v>22.62054</v>
      </c>
      <c r="Q1047" s="83" t="n">
        <f aca="false">IF(O1047&lt;&gt;"",O1047+P1047,"")</f>
        <v>248.82594</v>
      </c>
      <c r="R1047" s="84" t="s">
        <v>358</v>
      </c>
    </row>
    <row r="1048" customFormat="false" ht="15" hidden="false" customHeight="true" outlineLevel="0" collapsed="false">
      <c r="A1048" s="103" t="n">
        <v>56124</v>
      </c>
      <c r="B1048" s="73" t="n">
        <v>46230</v>
      </c>
      <c r="C1048" s="74" t="n">
        <v>10779</v>
      </c>
      <c r="D1048" s="75" t="n">
        <v>50001</v>
      </c>
      <c r="E1048" s="52" t="str">
        <f aca="false">IF(D1048&lt;&gt;"",IFERROR(VLOOKUP(D1048,PROVEEDORES!$A:$B,2,0),"!COD NO ENCONTRADO"),"")</f>
        <v>COPESA</v>
      </c>
      <c r="F1048" s="88" t="str">
        <f aca="false">IF(D1048&lt;&gt;"",IFERROR(VLOOKUP(D1048,PROVEEDORES!$A:$C,3,0),""),"")</f>
        <v>S</v>
      </c>
      <c r="G1048" s="87" t="s">
        <v>296</v>
      </c>
      <c r="H1048" s="46" t="str">
        <f aca="false">IF(G1048&lt;&gt;"",IFERROR(VLOOKUP(G1048,PRODUCTOS!$A:$B,2,0),"!COD NO ENCONTRADO"),"")</f>
        <v>RAPE NEGRO (ANK)</v>
      </c>
      <c r="I1048" s="89" t="n">
        <v>4</v>
      </c>
      <c r="J1048" s="105" t="n">
        <v>81.75</v>
      </c>
      <c r="K1048" s="125" t="n">
        <v>5.1</v>
      </c>
      <c r="L1048" s="80" t="n">
        <f aca="false">IF(AND(J1048&lt;&gt;"",K1048&lt;&gt;""),J1048*K1048,"")</f>
        <v>416.925</v>
      </c>
      <c r="M1048" s="81" t="n">
        <f aca="false">IF(L1048&lt;&gt;"",L1048*1.1,"")</f>
        <v>458.6175</v>
      </c>
      <c r="N1048" s="47" t="n">
        <f aca="false">IF(F1048="S",L1048*0.02,0)</f>
        <v>8.3385</v>
      </c>
      <c r="O1048" s="82" t="n">
        <f aca="false">IF(L1048&lt;&gt;"",L1048+N1048,"")</f>
        <v>425.2635</v>
      </c>
      <c r="P1048" s="47" t="n">
        <f aca="false">IF(O1048&lt;&gt;"",O1048*0.1,"")</f>
        <v>42.52635</v>
      </c>
      <c r="Q1048" s="83" t="n">
        <f aca="false">IF(O1048&lt;&gt;"",O1048+P1048,"")</f>
        <v>467.78985</v>
      </c>
      <c r="R1048" s="84" t="s">
        <v>358</v>
      </c>
    </row>
    <row r="1049" customFormat="false" ht="15" hidden="false" customHeight="true" outlineLevel="0" collapsed="false">
      <c r="A1049" s="103" t="n">
        <v>56124</v>
      </c>
      <c r="B1049" s="73" t="n">
        <v>46230</v>
      </c>
      <c r="C1049" s="74" t="n">
        <v>10779</v>
      </c>
      <c r="D1049" s="75" t="n">
        <v>50001</v>
      </c>
      <c r="E1049" s="52" t="str">
        <f aca="false">IF(D1049&lt;&gt;"",IFERROR(VLOOKUP(D1049,PROVEEDORES!$A:$B,2,0),"!COD NO ENCONTRADO"),"")</f>
        <v>COPESA</v>
      </c>
      <c r="F1049" s="76" t="str">
        <f aca="false">IF(D1049&lt;&gt;"",IFERROR(VLOOKUP(D1049,PROVEEDORES!$A:$C,3,0),""),"")</f>
        <v>S</v>
      </c>
      <c r="G1049" s="75" t="s">
        <v>193</v>
      </c>
      <c r="H1049" s="52" t="str">
        <f aca="false">IF(G1049&lt;&gt;"",IFERROR(VLOOKUP(G1049,PRODUCTOS!$A:$B,2,0),"!COD NO ENCONTRADO"),"")</f>
        <v>MERLUZA EUROPEA ARRASTRE (HKE) </v>
      </c>
      <c r="I1049" s="77" t="n">
        <v>1</v>
      </c>
      <c r="J1049" s="105" t="n">
        <v>21</v>
      </c>
      <c r="K1049" s="125" t="n">
        <v>5.2</v>
      </c>
      <c r="L1049" s="80" t="n">
        <f aca="false">IF(AND(J1049&lt;&gt;"",K1049&lt;&gt;""),J1049*K1049,"")</f>
        <v>109.2</v>
      </c>
      <c r="M1049" s="81" t="n">
        <f aca="false">IF(L1049&lt;&gt;"",L1049*1.1,"")</f>
        <v>120.12</v>
      </c>
      <c r="N1049" s="53" t="n">
        <f aca="false">IF(F1049="S",L1049*0.02,0)</f>
        <v>2.184</v>
      </c>
      <c r="O1049" s="82" t="n">
        <f aca="false">IF(L1049&lt;&gt;"",L1049+N1049,"")</f>
        <v>111.384</v>
      </c>
      <c r="P1049" s="53" t="n">
        <f aca="false">IF(O1049&lt;&gt;"",O1049*0.1,"")</f>
        <v>11.1384</v>
      </c>
      <c r="Q1049" s="83" t="n">
        <f aca="false">IF(O1049&lt;&gt;"",O1049+P1049,"")</f>
        <v>122.5224</v>
      </c>
      <c r="R1049" s="84" t="s">
        <v>358</v>
      </c>
    </row>
    <row r="1050" customFormat="false" ht="15" hidden="false" customHeight="true" outlineLevel="0" collapsed="false">
      <c r="A1050" s="103" t="n">
        <v>56124</v>
      </c>
      <c r="B1050" s="73" t="n">
        <v>46230</v>
      </c>
      <c r="C1050" s="74" t="n">
        <v>10779</v>
      </c>
      <c r="D1050" s="75" t="n">
        <v>50001</v>
      </c>
      <c r="E1050" s="52" t="str">
        <f aca="false">IF(D1050&lt;&gt;"",IFERROR(VLOOKUP(D1050,PROVEEDORES!$A:$B,2,0),"!COD NO ENCONTRADO"),"")</f>
        <v>COPESA</v>
      </c>
      <c r="F1050" s="88" t="str">
        <f aca="false">IF(D1050&lt;&gt;"",IFERROR(VLOOKUP(D1050,PROVEEDORES!$A:$C,3,0),""),"")</f>
        <v>S</v>
      </c>
      <c r="G1050" s="87" t="s">
        <v>193</v>
      </c>
      <c r="H1050" s="46" t="str">
        <f aca="false">IF(G1050&lt;&gt;"",IFERROR(VLOOKUP(G1050,PRODUCTOS!$A:$B,2,0),"!COD NO ENCONTRADO"),"")</f>
        <v>MERLUZA EUROPEA ARRASTRE (HKE) </v>
      </c>
      <c r="I1050" s="89" t="n">
        <v>2</v>
      </c>
      <c r="J1050" s="105" t="n">
        <v>34</v>
      </c>
      <c r="K1050" s="125" t="n">
        <v>5.9</v>
      </c>
      <c r="L1050" s="80" t="n">
        <f aca="false">IF(AND(J1050&lt;&gt;"",K1050&lt;&gt;""),J1050*K1050,"")</f>
        <v>200.6</v>
      </c>
      <c r="M1050" s="81" t="n">
        <f aca="false">IF(L1050&lt;&gt;"",L1050*1.1,"")</f>
        <v>220.66</v>
      </c>
      <c r="N1050" s="47" t="n">
        <f aca="false">IF(F1050="S",L1050*0.02,0)</f>
        <v>4.012</v>
      </c>
      <c r="O1050" s="82" t="n">
        <f aca="false">IF(L1050&lt;&gt;"",L1050+N1050,"")</f>
        <v>204.612</v>
      </c>
      <c r="P1050" s="47" t="n">
        <f aca="false">IF(O1050&lt;&gt;"",O1050*0.1,"")</f>
        <v>20.4612</v>
      </c>
      <c r="Q1050" s="83" t="n">
        <f aca="false">IF(O1050&lt;&gt;"",O1050+P1050,"")</f>
        <v>225.0732</v>
      </c>
      <c r="R1050" s="84" t="s">
        <v>358</v>
      </c>
    </row>
    <row r="1051" customFormat="false" ht="15" hidden="false" customHeight="true" outlineLevel="0" collapsed="false">
      <c r="A1051" s="103" t="n">
        <v>56124</v>
      </c>
      <c r="B1051" s="73" t="n">
        <v>46230</v>
      </c>
      <c r="C1051" s="74" t="n">
        <v>10779</v>
      </c>
      <c r="D1051" s="75" t="n">
        <v>50001</v>
      </c>
      <c r="E1051" s="52" t="str">
        <f aca="false">IF(D1051&lt;&gt;"",IFERROR(VLOOKUP(D1051,PROVEEDORES!$A:$B,2,0),"!COD NO ENCONTRADO"),"")</f>
        <v>COPESA</v>
      </c>
      <c r="F1051" s="76" t="str">
        <f aca="false">IF(D1051&lt;&gt;"",IFERROR(VLOOKUP(D1051,PROVEEDORES!$A:$C,3,0),""),"")</f>
        <v>S</v>
      </c>
      <c r="G1051" s="75" t="s">
        <v>193</v>
      </c>
      <c r="H1051" s="52" t="str">
        <f aca="false">IF(G1051&lt;&gt;"",IFERROR(VLOOKUP(G1051,PRODUCTOS!$A:$B,2,0),"!COD NO ENCONTRADO"),"")</f>
        <v>MERLUZA EUROPEA ARRASTRE (HKE) </v>
      </c>
      <c r="I1051" s="77" t="n">
        <v>1</v>
      </c>
      <c r="J1051" s="105" t="n">
        <v>15</v>
      </c>
      <c r="K1051" s="125" t="n">
        <v>6.8</v>
      </c>
      <c r="L1051" s="80" t="n">
        <f aca="false">IF(AND(J1051&lt;&gt;"",K1051&lt;&gt;""),J1051*K1051,"")</f>
        <v>102</v>
      </c>
      <c r="M1051" s="81" t="n">
        <f aca="false">IF(L1051&lt;&gt;"",L1051*1.1,"")</f>
        <v>112.2</v>
      </c>
      <c r="N1051" s="53" t="n">
        <f aca="false">IF(F1051="S",L1051*0.02,0)</f>
        <v>2.04</v>
      </c>
      <c r="O1051" s="82" t="n">
        <f aca="false">IF(L1051&lt;&gt;"",L1051+N1051,"")</f>
        <v>104.04</v>
      </c>
      <c r="P1051" s="53" t="n">
        <f aca="false">IF(O1051&lt;&gt;"",O1051*0.1,"")</f>
        <v>10.404</v>
      </c>
      <c r="Q1051" s="83" t="n">
        <f aca="false">IF(O1051&lt;&gt;"",O1051+P1051,"")</f>
        <v>114.444</v>
      </c>
      <c r="R1051" s="84" t="s">
        <v>358</v>
      </c>
    </row>
    <row r="1052" customFormat="false" ht="15" hidden="false" customHeight="true" outlineLevel="0" collapsed="false">
      <c r="A1052" s="103" t="n">
        <v>56124</v>
      </c>
      <c r="B1052" s="73" t="n">
        <v>46230</v>
      </c>
      <c r="C1052" s="74" t="n">
        <v>10779</v>
      </c>
      <c r="D1052" s="75" t="n">
        <v>50001</v>
      </c>
      <c r="E1052" s="52" t="str">
        <f aca="false">IF(D1052&lt;&gt;"",IFERROR(VLOOKUP(D1052,PROVEEDORES!$A:$B,2,0),"!COD NO ENCONTRADO"),"")</f>
        <v>COPESA</v>
      </c>
      <c r="F1052" s="88" t="str">
        <f aca="false">IF(D1052&lt;&gt;"",IFERROR(VLOOKUP(D1052,PROVEEDORES!$A:$C,3,0),""),"")</f>
        <v>S</v>
      </c>
      <c r="G1052" s="87" t="s">
        <v>81</v>
      </c>
      <c r="H1052" s="46" t="str">
        <f aca="false">IF(G1052&lt;&gt;"",IFERROR(VLOOKUP(G1052,PRODUCTOS!$A:$B,2,0),"!COD NO ENCONTRADO"),"")</f>
        <v>BERTORELLA (GFB)</v>
      </c>
      <c r="I1052" s="89" t="n">
        <v>14</v>
      </c>
      <c r="J1052" s="105" t="n">
        <v>216.25</v>
      </c>
      <c r="K1052" s="125" t="n">
        <v>3.2</v>
      </c>
      <c r="L1052" s="80" t="n">
        <f aca="false">IF(AND(J1052&lt;&gt;"",K1052&lt;&gt;""),J1052*K1052,"")</f>
        <v>692</v>
      </c>
      <c r="M1052" s="81" t="n">
        <f aca="false">IF(L1052&lt;&gt;"",L1052*1.1,"")</f>
        <v>761.2</v>
      </c>
      <c r="N1052" s="47" t="n">
        <f aca="false">IF(F1052="S",L1052*0.02,0)</f>
        <v>13.84</v>
      </c>
      <c r="O1052" s="82" t="n">
        <f aca="false">IF(L1052&lt;&gt;"",L1052+N1052,"")</f>
        <v>705.84</v>
      </c>
      <c r="P1052" s="47" t="n">
        <f aca="false">IF(O1052&lt;&gt;"",O1052*0.1,"")</f>
        <v>70.584</v>
      </c>
      <c r="Q1052" s="83" t="n">
        <f aca="false">IF(O1052&lt;&gt;"",O1052+P1052,"")</f>
        <v>776.424</v>
      </c>
      <c r="R1052" s="84" t="s">
        <v>365</v>
      </c>
    </row>
    <row r="1053" customFormat="false" ht="15" hidden="false" customHeight="true" outlineLevel="0" collapsed="false">
      <c r="A1053" s="103" t="n">
        <v>56125</v>
      </c>
      <c r="B1053" s="73" t="n">
        <v>46230</v>
      </c>
      <c r="C1053" s="74" t="s">
        <v>519</v>
      </c>
      <c r="D1053" s="75" t="n">
        <v>50146</v>
      </c>
      <c r="E1053" s="52" t="str">
        <f aca="false">IF(D1053&lt;&gt;"",IFERROR(VLOOKUP(D1053,PROVEEDORES!$A:$B,2,0),"!COD NO ENCONTRADO"),"")</f>
        <v>MAR BERMEO S.L.</v>
      </c>
      <c r="F1053" s="76" t="str">
        <f aca="false">IF(D1053&lt;&gt;"",IFERROR(VLOOKUP(D1053,PROVEEDORES!$A:$C,3,0),""),"")</f>
        <v>S</v>
      </c>
      <c r="G1053" s="75" t="s">
        <v>135</v>
      </c>
      <c r="H1053" s="52" t="str">
        <f aca="false">IF(G1053&lt;&gt;"",IFERROR(VLOOKUP(G1053,PRODUCTOS!$A:$B,2,0),"!COD NO ENCONTRADO"),"")</f>
        <v>CONGRIO 10+  (COE)</v>
      </c>
      <c r="I1053" s="77" t="n">
        <v>4</v>
      </c>
      <c r="J1053" s="78" t="n">
        <v>74.75</v>
      </c>
      <c r="K1053" s="125" t="n">
        <v>3.2</v>
      </c>
      <c r="L1053" s="80" t="n">
        <f aca="false">IF(AND(J1053&lt;&gt;"",K1053&lt;&gt;""),J1053*K1053,"")</f>
        <v>239.2</v>
      </c>
      <c r="M1053" s="81" t="n">
        <f aca="false">IF(L1053&lt;&gt;"",L1053*1.1,"")</f>
        <v>263.12</v>
      </c>
      <c r="N1053" s="53" t="n">
        <f aca="false">IF(F1053="S",L1053*0.02,0)</f>
        <v>4.784</v>
      </c>
      <c r="O1053" s="82" t="n">
        <f aca="false">IF(L1053&lt;&gt;"",L1053+N1053,"")</f>
        <v>243.984</v>
      </c>
      <c r="P1053" s="53" t="n">
        <f aca="false">IF(O1053&lt;&gt;"",O1053*0.1,"")</f>
        <v>24.3984</v>
      </c>
      <c r="Q1053" s="83" t="n">
        <f aca="false">IF(O1053&lt;&gt;"",O1053+P1053,"")</f>
        <v>268.3824</v>
      </c>
      <c r="R1053" s="84" t="s">
        <v>358</v>
      </c>
    </row>
    <row r="1054" customFormat="false" ht="15" hidden="false" customHeight="true" outlineLevel="0" collapsed="false">
      <c r="A1054" s="103" t="n">
        <v>56126</v>
      </c>
      <c r="B1054" s="85" t="n">
        <v>46230</v>
      </c>
      <c r="C1054" s="86" t="s">
        <v>520</v>
      </c>
      <c r="D1054" s="87" t="n">
        <v>50048</v>
      </c>
      <c r="E1054" s="46" t="str">
        <f aca="false">IF(D1054&lt;&gt;"",IFERROR(VLOOKUP(D1054,PROVEEDORES!$A:$B,2,0),"!COD NO ENCONTRADO"),"")</f>
        <v>JOSE LUIS CORREA KESSLER S.L.</v>
      </c>
      <c r="F1054" s="88" t="str">
        <f aca="false">IF(D1054&lt;&gt;"",IFERROR(VLOOKUP(D1054,PROVEEDORES!$A:$C,3,0),""),"")</f>
        <v>N</v>
      </c>
      <c r="G1054" s="87" t="s">
        <v>179</v>
      </c>
      <c r="H1054" s="46" t="str">
        <f aca="false">IF(G1054&lt;&gt;"",IFERROR(VLOOKUP(G1054,PRODUCTOS!$A:$B,2,0),"!COD NO ENCONTRADO"),"")</f>
        <v>LIRIO/ BACALADILLA/ PERLA (WHB)</v>
      </c>
      <c r="I1054" s="89" t="n">
        <v>125</v>
      </c>
      <c r="J1054" s="90" t="n">
        <v>750</v>
      </c>
      <c r="K1054" s="125" t="n">
        <v>2.2</v>
      </c>
      <c r="L1054" s="80" t="n">
        <f aca="false">IF(AND(J1054&lt;&gt;"",K1054&lt;&gt;""),J1054*K1054,"")</f>
        <v>1650</v>
      </c>
      <c r="M1054" s="81" t="n">
        <f aca="false">IF(L1054&lt;&gt;"",L1054*1.1,"")</f>
        <v>1815</v>
      </c>
      <c r="N1054" s="47" t="n">
        <f aca="false">IF(F1054="S",L1054*0.02,0)</f>
        <v>0</v>
      </c>
      <c r="O1054" s="82" t="n">
        <f aca="false">IF(L1054&lt;&gt;"",L1054+N1054,"")</f>
        <v>1650</v>
      </c>
      <c r="P1054" s="47" t="n">
        <f aca="false">IF(O1054&lt;&gt;"",O1054*0.1,"")</f>
        <v>165</v>
      </c>
      <c r="Q1054" s="83" t="n">
        <f aca="false">IF(O1054&lt;&gt;"",O1054+P1054,"")</f>
        <v>1815</v>
      </c>
      <c r="R1054" s="84" t="s">
        <v>365</v>
      </c>
    </row>
    <row r="1055" customFormat="false" ht="15" hidden="false" customHeight="true" outlineLevel="0" collapsed="false">
      <c r="A1055" s="103" t="n">
        <v>56127</v>
      </c>
      <c r="B1055" s="73" t="n">
        <v>46230</v>
      </c>
      <c r="C1055" s="74" t="s">
        <v>521</v>
      </c>
      <c r="D1055" s="75" t="n">
        <v>50525</v>
      </c>
      <c r="E1055" s="52" t="str">
        <f aca="false">IF(D1055&lt;&gt;"",IFERROR(VLOOKUP(D1055,PROVEEDORES!$A:$B,2,0),"!COD NO ENCONTRADO"),"")</f>
        <v>FURIC MAREE</v>
      </c>
      <c r="F1055" s="76" t="str">
        <f aca="false">IF(D1055&lt;&gt;"",IFERROR(VLOOKUP(D1055,PROVEEDORES!$A:$C,3,0),""),"")</f>
        <v>N</v>
      </c>
      <c r="G1055" s="75" t="s">
        <v>318</v>
      </c>
      <c r="H1055" s="52" t="str">
        <f aca="false">IF(G1055&lt;&gt;"",IFERROR(VLOOKUP(G1055,PRODUCTOS!$A:$B,2,0),"!COD NO ENCONTRADO"),"")</f>
        <v>SAN MARTIÑOS/ SAN PEDROS (JOD)</v>
      </c>
      <c r="I1055" s="77" t="n">
        <v>3</v>
      </c>
      <c r="J1055" s="78" t="n">
        <v>19.2</v>
      </c>
      <c r="K1055" s="79" t="n">
        <v>21.5</v>
      </c>
      <c r="L1055" s="80" t="n">
        <f aca="false">IF(AND(J1055&lt;&gt;"",K1055&lt;&gt;""),J1055*K1055,"")</f>
        <v>412.8</v>
      </c>
      <c r="M1055" s="81" t="n">
        <f aca="false">IF(L1055&lt;&gt;"",L1055*1.1,"")</f>
        <v>454.08</v>
      </c>
      <c r="N1055" s="53" t="n">
        <f aca="false">IF(F1055="S",L1055*0.02,0)</f>
        <v>0</v>
      </c>
      <c r="O1055" s="82" t="n">
        <f aca="false">IF(L1055&lt;&gt;"",L1055+N1055,"")</f>
        <v>412.8</v>
      </c>
      <c r="P1055" s="53" t="n">
        <f aca="false">IF(O1055&lt;&gt;"",O1055*0.1,"")</f>
        <v>41.28</v>
      </c>
      <c r="Q1055" s="83" t="n">
        <f aca="false">IF(O1055&lt;&gt;"",O1055+P1055,"")</f>
        <v>454.08</v>
      </c>
      <c r="R1055" s="84" t="s">
        <v>365</v>
      </c>
    </row>
    <row r="1056" customFormat="false" ht="15" hidden="false" customHeight="true" outlineLevel="0" collapsed="false">
      <c r="A1056" s="103" t="n">
        <v>56128</v>
      </c>
      <c r="B1056" s="85" t="n">
        <v>46230</v>
      </c>
      <c r="C1056" s="86" t="s">
        <v>522</v>
      </c>
      <c r="D1056" s="87" t="n">
        <v>50164</v>
      </c>
      <c r="E1056" s="46" t="str">
        <f aca="false">IF(D1056&lt;&gt;"",IFERROR(VLOOKUP(D1056,PROVEEDORES!$A:$B,2,0),"!COD NO ENCONTRADO"),"")</f>
        <v>ABRGO NORTE S.L.</v>
      </c>
      <c r="F1056" s="88" t="str">
        <f aca="false">IF(D1056&lt;&gt;"",IFERROR(VLOOKUP(D1056,PROVEEDORES!$A:$C,3,0),""),"")</f>
        <v>N</v>
      </c>
      <c r="G1056" s="87" t="s">
        <v>302</v>
      </c>
      <c r="H1056" s="46" t="str">
        <f aca="false">IF(G1056&lt;&gt;"",IFERROR(VLOOKUP(G1056,PRODUCTOS!$A:$B,2,0),"!COD NO ENCONTRADO"),"")</f>
        <v>RAYA COMUN (ALAS)</v>
      </c>
      <c r="I1056" s="89" t="n">
        <v>3</v>
      </c>
      <c r="J1056" s="90" t="n">
        <v>9</v>
      </c>
      <c r="K1056" s="91" t="n">
        <v>8</v>
      </c>
      <c r="L1056" s="80" t="n">
        <f aca="false">IF(AND(J1056&lt;&gt;"",K1056&lt;&gt;""),J1056*K1056,"")</f>
        <v>72</v>
      </c>
      <c r="M1056" s="81" t="n">
        <f aca="false">IF(L1056&lt;&gt;"",L1056*1.1,"")</f>
        <v>79.2</v>
      </c>
      <c r="N1056" s="47" t="n">
        <f aca="false">IF(F1056="S",L1056*0.02,0)</f>
        <v>0</v>
      </c>
      <c r="O1056" s="82" t="n">
        <f aca="false">IF(L1056&lt;&gt;"",L1056+N1056,"")</f>
        <v>72</v>
      </c>
      <c r="P1056" s="47" t="n">
        <f aca="false">IF(O1056&lt;&gt;"",O1056*0.1,"")</f>
        <v>7.2</v>
      </c>
      <c r="Q1056" s="83" t="n">
        <f aca="false">IF(O1056&lt;&gt;"",O1056+P1056,"")</f>
        <v>79.2</v>
      </c>
      <c r="R1056" s="84" t="s">
        <v>365</v>
      </c>
    </row>
    <row r="1057" customFormat="false" ht="15" hidden="false" customHeight="true" outlineLevel="0" collapsed="false">
      <c r="A1057" s="103" t="n">
        <v>56128</v>
      </c>
      <c r="B1057" s="73" t="n">
        <v>46230</v>
      </c>
      <c r="C1057" s="74" t="s">
        <v>522</v>
      </c>
      <c r="D1057" s="75" t="n">
        <v>50164</v>
      </c>
      <c r="E1057" s="52" t="str">
        <f aca="false">IF(D1057&lt;&gt;"",IFERROR(VLOOKUP(D1057,PROVEEDORES!$A:$B,2,0),"!COD NO ENCONTRADO"),"")</f>
        <v>ABRGO NORTE S.L.</v>
      </c>
      <c r="F1057" s="76" t="str">
        <f aca="false">IF(D1057&lt;&gt;"",IFERROR(VLOOKUP(D1057,PROVEEDORES!$A:$C,3,0),""),"")</f>
        <v>N</v>
      </c>
      <c r="G1057" s="75" t="s">
        <v>302</v>
      </c>
      <c r="H1057" s="52" t="str">
        <f aca="false">IF(G1057&lt;&gt;"",IFERROR(VLOOKUP(G1057,PRODUCTOS!$A:$B,2,0),"!COD NO ENCONTRADO"),"")</f>
        <v>RAYA COMUN (ALAS)</v>
      </c>
      <c r="I1057" s="77" t="n">
        <v>5</v>
      </c>
      <c r="J1057" s="78" t="n">
        <v>25</v>
      </c>
      <c r="K1057" s="79" t="n">
        <v>8</v>
      </c>
      <c r="L1057" s="80" t="n">
        <f aca="false">IF(AND(J1057&lt;&gt;"",K1057&lt;&gt;""),J1057*K1057,"")</f>
        <v>200</v>
      </c>
      <c r="M1057" s="81" t="n">
        <f aca="false">IF(L1057&lt;&gt;"",L1057*1.1,"")</f>
        <v>220</v>
      </c>
      <c r="N1057" s="53" t="n">
        <f aca="false">IF(F1057="S",L1057*0.02,0)</f>
        <v>0</v>
      </c>
      <c r="O1057" s="82" t="n">
        <f aca="false">IF(L1057&lt;&gt;"",L1057+N1057,"")</f>
        <v>200</v>
      </c>
      <c r="P1057" s="53" t="n">
        <f aca="false">IF(O1057&lt;&gt;"",O1057*0.1,"")</f>
        <v>20</v>
      </c>
      <c r="Q1057" s="83" t="n">
        <f aca="false">IF(O1057&lt;&gt;"",O1057+P1057,"")</f>
        <v>220</v>
      </c>
      <c r="R1057" s="84" t="s">
        <v>365</v>
      </c>
    </row>
    <row r="1058" customFormat="false" ht="15" hidden="false" customHeight="true" outlineLevel="0" collapsed="false">
      <c r="A1058" s="103" t="n">
        <v>56129</v>
      </c>
      <c r="B1058" s="85" t="n">
        <v>46230</v>
      </c>
      <c r="C1058" s="86" t="s">
        <v>523</v>
      </c>
      <c r="D1058" s="87" t="n">
        <v>50533</v>
      </c>
      <c r="E1058" s="46" t="str">
        <f aca="false">IF(D1058&lt;&gt;"",IFERROR(VLOOKUP(D1058,PROVEEDORES!$A:$B,2,0),"!COD NO ENCONTRADO"),"")</f>
        <v>LURDES MARIÑO, S.L.</v>
      </c>
      <c r="F1058" s="88" t="str">
        <f aca="false">IF(D1058&lt;&gt;"",IFERROR(VLOOKUP(D1058,PROVEEDORES!$A:$C,3,0),""),"")</f>
        <v>N</v>
      </c>
      <c r="G1058" s="87" t="s">
        <v>408</v>
      </c>
      <c r="H1058" s="46" t="str">
        <f aca="false">IF(G1058&lt;&gt;"",IFERROR(VLOOKUP(G1058,PRODUCTOS!$A:$B,2,0),"!COD NO ENCONTRADO"),"")</f>
        <v>MEJILLON SACO</v>
      </c>
      <c r="I1058" s="89" t="n">
        <v>8</v>
      </c>
      <c r="J1058" s="90" t="n">
        <v>40</v>
      </c>
      <c r="K1058" s="91" t="n">
        <v>1.4</v>
      </c>
      <c r="L1058" s="80" t="n">
        <f aca="false">IF(AND(J1058&lt;&gt;"",K1058&lt;&gt;""),J1058*K1058,"")</f>
        <v>56</v>
      </c>
      <c r="M1058" s="81" t="n">
        <f aca="false">IF(L1058&lt;&gt;"",L1058*1.1,"")</f>
        <v>61.6</v>
      </c>
      <c r="N1058" s="47" t="n">
        <f aca="false">IF(F1058="S",L1058*0.02,0)</f>
        <v>0</v>
      </c>
      <c r="O1058" s="82" t="n">
        <f aca="false">IF(L1058&lt;&gt;"",L1058+N1058,"")</f>
        <v>56</v>
      </c>
      <c r="P1058" s="47" t="n">
        <f aca="false">IF(O1058&lt;&gt;"",O1058*0.1,"")</f>
        <v>5.6</v>
      </c>
      <c r="Q1058" s="83" t="n">
        <f aca="false">IF(O1058&lt;&gt;"",O1058+P1058,"")</f>
        <v>61.6</v>
      </c>
      <c r="R1058" s="84" t="s">
        <v>365</v>
      </c>
    </row>
    <row r="1059" customFormat="false" ht="15" hidden="false" customHeight="true" outlineLevel="0" collapsed="false">
      <c r="A1059" s="103" t="n">
        <v>56130</v>
      </c>
      <c r="B1059" s="85" t="n">
        <v>46230</v>
      </c>
      <c r="C1059" s="127" t="s">
        <v>524</v>
      </c>
      <c r="D1059" s="87" t="n">
        <v>50152</v>
      </c>
      <c r="E1059" s="46" t="str">
        <f aca="false">IF(D1059&lt;&gt;"",IFERROR(VLOOKUP(D1059,PROVEEDORES!$A:$B,2,0),"!COD NO ENCONTRADO"),"")</f>
        <v>DOMAR CORUÑA S.L</v>
      </c>
      <c r="F1059" s="88" t="str">
        <f aca="false">IF(D1059&lt;&gt;"",IFERROR(VLOOKUP(D1059,PROVEEDORES!$A:$C,3,0),""),"")</f>
        <v>N</v>
      </c>
      <c r="G1059" s="87" t="s">
        <v>129</v>
      </c>
      <c r="H1059" s="46" t="str">
        <f aca="false">IF(G1059&lt;&gt;"",IFERROR(VLOOKUP(G1059,PRODUCTOS!$A:$B,2,0),"!COD NO ENCONTRADO"),"")</f>
        <v>CIGALA "3" (NEP)</v>
      </c>
      <c r="I1059" s="89" t="n">
        <v>5</v>
      </c>
      <c r="J1059" s="90" t="n">
        <v>10</v>
      </c>
      <c r="K1059" s="125" t="n">
        <v>18</v>
      </c>
      <c r="L1059" s="80" t="n">
        <f aca="false">IF(AND(J1059&lt;&gt;"",K1059&lt;&gt;""),J1059*K1059,"")</f>
        <v>180</v>
      </c>
      <c r="M1059" s="81" t="n">
        <f aca="false">IF(L1059&lt;&gt;"",L1059*1.1,"")</f>
        <v>198</v>
      </c>
      <c r="N1059" s="47" t="n">
        <f aca="false">IF(F1059="S",L1059*0.02,0)</f>
        <v>0</v>
      </c>
      <c r="O1059" s="82" t="n">
        <f aca="false">IF(L1059&lt;&gt;"",L1059+N1059,"")</f>
        <v>180</v>
      </c>
      <c r="P1059" s="47" t="n">
        <f aca="false">IF(O1059&lt;&gt;"",O1059*0.1,"")</f>
        <v>18</v>
      </c>
      <c r="Q1059" s="83" t="n">
        <f aca="false">IF(O1059&lt;&gt;"",O1059+P1059,"")</f>
        <v>198</v>
      </c>
      <c r="R1059" s="84" t="s">
        <v>365</v>
      </c>
    </row>
    <row r="1060" customFormat="false" ht="15" hidden="false" customHeight="true" outlineLevel="0" collapsed="false">
      <c r="A1060" s="103" t="n">
        <v>56131</v>
      </c>
      <c r="B1060" s="73" t="n">
        <v>46230</v>
      </c>
      <c r="C1060" s="74" t="s">
        <v>525</v>
      </c>
      <c r="D1060" s="75" t="n">
        <v>50035</v>
      </c>
      <c r="E1060" s="52" t="str">
        <f aca="false">IF(D1060&lt;&gt;"",IFERROR(VLOOKUP(D1060,PROVEEDORES!$A:$B,2,0),"!COD NO ENCONTRADO"),"")</f>
        <v>SCANFISK SEAFFOD S,L</v>
      </c>
      <c r="F1060" s="76" t="str">
        <f aca="false">IF(D1060&lt;&gt;"",IFERROR(VLOOKUP(D1060,PROVEEDORES!$A:$C,3,0),""),"")</f>
        <v>N</v>
      </c>
      <c r="G1060" s="75" t="s">
        <v>246</v>
      </c>
      <c r="H1060" s="52" t="str">
        <f aca="false">IF(G1060&lt;&gt;"",IFERROR(VLOOKUP(G1060,PRODUCTOS!$A:$B,2,0),"!COD NO ENCONTRADO"),"")</f>
        <v>MERLUZA EUROPEA VOLANTA ALTURA</v>
      </c>
      <c r="I1060" s="77" t="n">
        <v>5</v>
      </c>
      <c r="J1060" s="78" t="n">
        <v>51.6</v>
      </c>
      <c r="K1060" s="79" t="n">
        <v>8.8</v>
      </c>
      <c r="L1060" s="80" t="n">
        <f aca="false">IF(AND(J1060&lt;&gt;"",K1060&lt;&gt;""),J1060*K1060,"")</f>
        <v>454.08</v>
      </c>
      <c r="M1060" s="81" t="n">
        <f aca="false">IF(L1060&lt;&gt;"",L1060*1.1,"")</f>
        <v>499.488</v>
      </c>
      <c r="N1060" s="53" t="n">
        <f aca="false">IF(F1060="S",L1060*0.02,0)</f>
        <v>0</v>
      </c>
      <c r="O1060" s="82" t="n">
        <f aca="false">IF(L1060&lt;&gt;"",L1060+N1060,"")</f>
        <v>454.08</v>
      </c>
      <c r="P1060" s="53" t="n">
        <f aca="false">IF(O1060&lt;&gt;"",O1060*0.1,"")</f>
        <v>45.408</v>
      </c>
      <c r="Q1060" s="83" t="n">
        <f aca="false">IF(O1060&lt;&gt;"",O1060+P1060,"")</f>
        <v>499.488</v>
      </c>
      <c r="R1060" s="84" t="s">
        <v>365</v>
      </c>
    </row>
    <row r="1061" customFormat="false" ht="15" hidden="false" customHeight="true" outlineLevel="0" collapsed="false">
      <c r="A1061" s="103" t="n">
        <v>56131</v>
      </c>
      <c r="B1061" s="85" t="n">
        <v>46230</v>
      </c>
      <c r="C1061" s="86" t="s">
        <v>525</v>
      </c>
      <c r="D1061" s="87" t="n">
        <v>50035</v>
      </c>
      <c r="E1061" s="46" t="str">
        <f aca="false">IF(D1061&lt;&gt;"",IFERROR(VLOOKUP(D1061,PROVEEDORES!$A:$B,2,0),"!COD NO ENCONTRADO"),"")</f>
        <v>SCANFISK SEAFFOD S,L</v>
      </c>
      <c r="F1061" s="88" t="str">
        <f aca="false">IF(D1061&lt;&gt;"",IFERROR(VLOOKUP(D1061,PROVEEDORES!$A:$C,3,0),""),"")</f>
        <v>N</v>
      </c>
      <c r="G1061" s="87" t="s">
        <v>211</v>
      </c>
      <c r="H1061" s="46" t="str">
        <f aca="false">IF(G1061&lt;&gt;"",IFERROR(VLOOKUP(G1061,PRODUCTOS!$A:$B,2,0),"!COD NO ENCONTRADO"),"")</f>
        <v>MERLUZA EUROPEA PINCHO</v>
      </c>
      <c r="I1061" s="89" t="n">
        <v>4</v>
      </c>
      <c r="J1061" s="90" t="n">
        <v>21.2</v>
      </c>
      <c r="K1061" s="91" t="n">
        <v>7.1</v>
      </c>
      <c r="L1061" s="80" t="n">
        <f aca="false">IF(AND(J1061&lt;&gt;"",K1061&lt;&gt;""),J1061*K1061,"")</f>
        <v>150.52</v>
      </c>
      <c r="M1061" s="81" t="n">
        <f aca="false">IF(L1061&lt;&gt;"",L1061*1.1,"")</f>
        <v>165.572</v>
      </c>
      <c r="N1061" s="47" t="n">
        <f aca="false">IF(F1061="S",L1061*0.02,0)</f>
        <v>0</v>
      </c>
      <c r="O1061" s="82" t="n">
        <f aca="false">IF(L1061&lt;&gt;"",L1061+N1061,"")</f>
        <v>150.52</v>
      </c>
      <c r="P1061" s="47" t="n">
        <f aca="false">IF(O1061&lt;&gt;"",O1061*0.1,"")</f>
        <v>15.052</v>
      </c>
      <c r="Q1061" s="83" t="n">
        <f aca="false">IF(O1061&lt;&gt;"",O1061+P1061,"")</f>
        <v>165.572</v>
      </c>
      <c r="R1061" s="84" t="s">
        <v>365</v>
      </c>
    </row>
    <row r="1062" customFormat="false" ht="15" hidden="false" customHeight="true" outlineLevel="0" collapsed="false">
      <c r="A1062" s="103" t="n">
        <v>56131</v>
      </c>
      <c r="B1062" s="73" t="n">
        <v>46230</v>
      </c>
      <c r="C1062" s="74" t="s">
        <v>526</v>
      </c>
      <c r="D1062" s="75" t="n">
        <v>50035</v>
      </c>
      <c r="E1062" s="52" t="str">
        <f aca="false">IF(D1062&lt;&gt;"",IFERROR(VLOOKUP(D1062,PROVEEDORES!$A:$B,2,0),"!COD NO ENCONTRADO"),"")</f>
        <v>SCANFISK SEAFFOD S,L</v>
      </c>
      <c r="F1062" s="76" t="str">
        <f aca="false">IF(D1062&lt;&gt;"",IFERROR(VLOOKUP(D1062,PROVEEDORES!$A:$C,3,0),""),"")</f>
        <v>N</v>
      </c>
      <c r="G1062" s="75" t="s">
        <v>246</v>
      </c>
      <c r="H1062" s="52" t="str">
        <f aca="false">IF(G1062&lt;&gt;"",IFERROR(VLOOKUP(G1062,PRODUCTOS!$A:$B,2,0),"!COD NO ENCONTRADO"),"")</f>
        <v>MERLUZA EUROPEA VOLANTA ALTURA</v>
      </c>
      <c r="I1062" s="77" t="n">
        <v>10</v>
      </c>
      <c r="J1062" s="78" t="n">
        <v>62.1</v>
      </c>
      <c r="K1062" s="79" t="n">
        <v>4.7</v>
      </c>
      <c r="L1062" s="80" t="n">
        <f aca="false">IF(AND(J1062&lt;&gt;"",K1062&lt;&gt;""),J1062*K1062,"")</f>
        <v>291.87</v>
      </c>
      <c r="M1062" s="81" t="n">
        <f aca="false">IF(L1062&lt;&gt;"",L1062*1.1,"")</f>
        <v>321.057</v>
      </c>
      <c r="N1062" s="53" t="n">
        <f aca="false">IF(F1062="S",L1062*0.02,0)</f>
        <v>0</v>
      </c>
      <c r="O1062" s="82" t="n">
        <f aca="false">IF(L1062&lt;&gt;"",L1062+N1062,"")</f>
        <v>291.87</v>
      </c>
      <c r="P1062" s="53" t="n">
        <f aca="false">IF(O1062&lt;&gt;"",O1062*0.1,"")</f>
        <v>29.187</v>
      </c>
      <c r="Q1062" s="83" t="n">
        <f aca="false">IF(O1062&lt;&gt;"",O1062+P1062,"")</f>
        <v>321.057</v>
      </c>
      <c r="R1062" s="84" t="s">
        <v>365</v>
      </c>
    </row>
    <row r="1063" customFormat="false" ht="15" hidden="false" customHeight="true" outlineLevel="0" collapsed="false">
      <c r="A1063" s="103" t="n">
        <v>56132</v>
      </c>
      <c r="B1063" s="85" t="n">
        <v>46231</v>
      </c>
      <c r="C1063" s="86" t="s">
        <v>527</v>
      </c>
      <c r="D1063" s="87" t="n">
        <v>50232</v>
      </c>
      <c r="E1063" s="46" t="str">
        <f aca="false">IF(D1063&lt;&gt;"",IFERROR(VLOOKUP(D1063,PROVEEDORES!$A:$B,2,0),"!COD NO ENCONTRADO"),"")</f>
        <v>XESTION NOVA LONXA RIVEIRA S.L.</v>
      </c>
      <c r="F1063" s="88" t="str">
        <f aca="false">IF(D1063&lt;&gt;"",IFERROR(VLOOKUP(D1063,PROVEEDORES!$A:$C,3,0),""),"")</f>
        <v>S</v>
      </c>
      <c r="G1063" s="87" t="s">
        <v>332</v>
      </c>
      <c r="H1063" s="46" t="str">
        <f aca="false">IF(G1063&lt;&gt;"",IFERROR(VLOOKUP(G1063,PRODUCTOS!$A:$B,2,0),"!COD NO ENCONTRADO"),"")</f>
        <v>VARIADO PEQUEÑO</v>
      </c>
      <c r="I1063" s="89" t="n">
        <v>1</v>
      </c>
      <c r="J1063" s="90" t="n">
        <v>15</v>
      </c>
      <c r="K1063" s="91" t="n">
        <v>1</v>
      </c>
      <c r="L1063" s="80" t="n">
        <f aca="false">IF(AND(J1063&lt;&gt;"",K1063&lt;&gt;""),J1063*K1063,"")</f>
        <v>15</v>
      </c>
      <c r="M1063" s="81" t="n">
        <f aca="false">IF(L1063&lt;&gt;"",L1063*1.1,"")</f>
        <v>16.5</v>
      </c>
      <c r="N1063" s="47" t="n">
        <f aca="false">IF(F1063="S",L1063*0.02,0)</f>
        <v>0.3</v>
      </c>
      <c r="O1063" s="82" t="n">
        <f aca="false">IF(L1063&lt;&gt;"",L1063+N1063,"")</f>
        <v>15.3</v>
      </c>
      <c r="P1063" s="47" t="n">
        <f aca="false">IF(O1063&lt;&gt;"",O1063*0.1,"")</f>
        <v>1.53</v>
      </c>
      <c r="Q1063" s="83" t="n">
        <f aca="false">IF(O1063&lt;&gt;"",O1063+P1063,"")</f>
        <v>16.83</v>
      </c>
      <c r="R1063" s="84" t="s">
        <v>358</v>
      </c>
    </row>
    <row r="1064" customFormat="false" ht="15" hidden="false" customHeight="true" outlineLevel="0" collapsed="false">
      <c r="A1064" s="103" t="n">
        <v>56132</v>
      </c>
      <c r="B1064" s="73" t="n">
        <v>46231</v>
      </c>
      <c r="C1064" s="86" t="s">
        <v>527</v>
      </c>
      <c r="D1064" s="75" t="n">
        <v>50232</v>
      </c>
      <c r="E1064" s="52" t="str">
        <f aca="false">IF(D1064&lt;&gt;"",IFERROR(VLOOKUP(D1064,PROVEEDORES!$A:$B,2,0),"!COD NO ENCONTRADO"),"")</f>
        <v>XESTION NOVA LONXA RIVEIRA S.L.</v>
      </c>
      <c r="F1064" s="76" t="str">
        <f aca="false">IF(D1064&lt;&gt;"",IFERROR(VLOOKUP(D1064,PROVEEDORES!$A:$C,3,0),""),"")</f>
        <v>S</v>
      </c>
      <c r="G1064" s="75" t="s">
        <v>179</v>
      </c>
      <c r="H1064" s="52" t="str">
        <f aca="false">IF(G1064&lt;&gt;"",IFERROR(VLOOKUP(G1064,PRODUCTOS!$A:$B,2,0),"!COD NO ENCONTRADO"),"")</f>
        <v>LIRIO/ BACALADILLA/ PERLA (WHB)</v>
      </c>
      <c r="I1064" s="77" t="n">
        <v>10</v>
      </c>
      <c r="J1064" s="78" t="n">
        <v>154.6</v>
      </c>
      <c r="K1064" s="79" t="n">
        <v>2.2</v>
      </c>
      <c r="L1064" s="80" t="n">
        <f aca="false">IF(AND(J1064&lt;&gt;"",K1064&lt;&gt;""),J1064*K1064,"")</f>
        <v>340.12</v>
      </c>
      <c r="M1064" s="81" t="n">
        <f aca="false">IF(L1064&lt;&gt;"",L1064*1.1,"")</f>
        <v>374.132</v>
      </c>
      <c r="N1064" s="53" t="n">
        <f aca="false">IF(F1064="S",L1064*0.02,0)</f>
        <v>6.8024</v>
      </c>
      <c r="O1064" s="82" t="n">
        <f aca="false">IF(L1064&lt;&gt;"",L1064+N1064,"")</f>
        <v>346.9224</v>
      </c>
      <c r="P1064" s="53" t="n">
        <f aca="false">IF(O1064&lt;&gt;"",O1064*0.1,"")</f>
        <v>34.69224</v>
      </c>
      <c r="Q1064" s="83" t="n">
        <f aca="false">IF(O1064&lt;&gt;"",O1064+P1064,"")</f>
        <v>381.61464</v>
      </c>
      <c r="R1064" s="84" t="s">
        <v>365</v>
      </c>
    </row>
    <row r="1065" customFormat="false" ht="15" hidden="false" customHeight="true" outlineLevel="0" collapsed="false">
      <c r="A1065" s="128" t="n">
        <v>56132</v>
      </c>
      <c r="B1065" s="129" t="n">
        <v>46231</v>
      </c>
      <c r="C1065" s="127" t="s">
        <v>527</v>
      </c>
      <c r="D1065" s="92" t="n">
        <v>50232</v>
      </c>
      <c r="E1065" s="46" t="str">
        <f aca="false">IF(D1065&lt;&gt;"",IFERROR(VLOOKUP(D1065,PROVEEDORES!$A:$B,2,0),"!COD NO ENCONTRADO"),"")</f>
        <v>XESTION NOVA LONXA RIVEIRA S.L.</v>
      </c>
      <c r="F1065" s="88" t="str">
        <f aca="false">IF(D1065&lt;&gt;"",IFERROR(VLOOKUP(D1065,PROVEEDORES!$A:$C,3,0),""),"")</f>
        <v>S</v>
      </c>
      <c r="G1065" s="92" t="s">
        <v>332</v>
      </c>
      <c r="H1065" s="46" t="str">
        <f aca="false">IF(G1065&lt;&gt;"",IFERROR(VLOOKUP(G1065,PRODUCTOS!$A:$B,2,0),"!COD NO ENCONTRADO"),"")</f>
        <v>VARIADO PEQUEÑO</v>
      </c>
      <c r="I1065" s="94" t="n">
        <v>1</v>
      </c>
      <c r="J1065" s="130" t="n">
        <v>15</v>
      </c>
      <c r="K1065" s="131" t="n">
        <v>1</v>
      </c>
      <c r="L1065" s="80" t="n">
        <f aca="false">IF(AND(J1065&lt;&gt;"",K1065&lt;&gt;""),J1065*K1065,"")</f>
        <v>15</v>
      </c>
      <c r="M1065" s="81" t="n">
        <f aca="false">IF(L1065&lt;&gt;"",L1065*1.1,"")</f>
        <v>16.5</v>
      </c>
      <c r="N1065" s="47" t="n">
        <f aca="false">IF(F1065="S",L1065*0.02,0)</f>
        <v>0.3</v>
      </c>
      <c r="O1065" s="82" t="n">
        <f aca="false">IF(L1065&lt;&gt;"",L1065+N1065,"")</f>
        <v>15.3</v>
      </c>
      <c r="P1065" s="47" t="n">
        <f aca="false">IF(O1065&lt;&gt;"",O1065*0.1,"")</f>
        <v>1.53</v>
      </c>
      <c r="Q1065" s="83" t="n">
        <f aca="false">IF(O1065&lt;&gt;"",O1065+P1065,"")</f>
        <v>16.83</v>
      </c>
      <c r="R1065" s="84" t="s">
        <v>358</v>
      </c>
    </row>
    <row r="1066" customFormat="false" ht="15" hidden="false" customHeight="true" outlineLevel="0" collapsed="false">
      <c r="A1066" s="128" t="n">
        <v>56132</v>
      </c>
      <c r="B1066" s="132" t="n">
        <v>46231</v>
      </c>
      <c r="C1066" s="133" t="s">
        <v>527</v>
      </c>
      <c r="D1066" s="134" t="n">
        <v>50232</v>
      </c>
      <c r="E1066" s="52" t="str">
        <f aca="false">IF(D1066&lt;&gt;"",IFERROR(VLOOKUP(D1066,PROVEEDORES!$A:$B,2,0),"!COD NO ENCONTRADO"),"")</f>
        <v>XESTION NOVA LONXA RIVEIRA S.L.</v>
      </c>
      <c r="F1066" s="76" t="str">
        <f aca="false">IF(D1066&lt;&gt;"",IFERROR(VLOOKUP(D1066,PROVEEDORES!$A:$C,3,0),""),"")</f>
        <v>S</v>
      </c>
      <c r="G1066" s="134" t="s">
        <v>179</v>
      </c>
      <c r="H1066" s="52" t="str">
        <f aca="false">IF(G1066&lt;&gt;"",IFERROR(VLOOKUP(G1066,PRODUCTOS!$A:$B,2,0),"!COD NO ENCONTRADO"),"")</f>
        <v>LIRIO/ BACALADILLA/ PERLA (WHB)</v>
      </c>
      <c r="I1066" s="135" t="n">
        <v>10</v>
      </c>
      <c r="J1066" s="136" t="n">
        <v>159.1</v>
      </c>
      <c r="K1066" s="137" t="n">
        <v>2.2</v>
      </c>
      <c r="L1066" s="80" t="n">
        <f aca="false">IF(AND(J1066&lt;&gt;"",K1066&lt;&gt;""),J1066*K1066,"")</f>
        <v>350.02</v>
      </c>
      <c r="M1066" s="81" t="n">
        <f aca="false">IF(L1066&lt;&gt;"",L1066*1.1,"")</f>
        <v>385.022</v>
      </c>
      <c r="N1066" s="53" t="n">
        <f aca="false">IF(F1066="S",L1066*0.02,0)</f>
        <v>7.0004</v>
      </c>
      <c r="O1066" s="82" t="n">
        <f aca="false">IF(L1066&lt;&gt;"",L1066+N1066,"")</f>
        <v>357.0204</v>
      </c>
      <c r="P1066" s="53" t="n">
        <f aca="false">IF(O1066&lt;&gt;"",O1066*0.1,"")</f>
        <v>35.70204</v>
      </c>
      <c r="Q1066" s="83" t="n">
        <f aca="false">IF(O1066&lt;&gt;"",O1066+P1066,"")</f>
        <v>392.72244</v>
      </c>
      <c r="R1066" s="84" t="s">
        <v>358</v>
      </c>
    </row>
    <row r="1067" customFormat="false" ht="15" hidden="false" customHeight="true" outlineLevel="0" collapsed="false">
      <c r="A1067" s="128" t="n">
        <v>56133</v>
      </c>
      <c r="B1067" s="129" t="n">
        <v>46231</v>
      </c>
      <c r="C1067" s="127" t="n">
        <v>17825</v>
      </c>
      <c r="D1067" s="92" t="n">
        <v>50160</v>
      </c>
      <c r="E1067" s="46" t="str">
        <f aca="false">IF(D1067&lt;&gt;"",IFERROR(VLOOKUP(D1067,PROVEEDORES!$A:$B,2,0),"!COD NO ENCONTRADO"),"")</f>
        <v>SUBASTAS CORUÑA S.L.</v>
      </c>
      <c r="F1067" s="88" t="str">
        <f aca="false">IF(D1067&lt;&gt;"",IFERROR(VLOOKUP(D1067,PROVEEDORES!$A:$C,3,0),""),"")</f>
        <v>S</v>
      </c>
      <c r="G1067" s="92" t="s">
        <v>276</v>
      </c>
      <c r="H1067" s="46" t="str">
        <f aca="false">IF(G1067&lt;&gt;"",IFERROR(VLOOKUP(G1067,PRODUCTOS!$A:$B,2,0),"!COD NO ENCONTRADO"),"")</f>
        <v>MERLUZA EUROPEA/ FINA DIA </v>
      </c>
      <c r="I1067" s="94" t="n">
        <v>2</v>
      </c>
      <c r="J1067" s="130" t="n">
        <v>14</v>
      </c>
      <c r="K1067" s="131" t="n">
        <v>2.75</v>
      </c>
      <c r="L1067" s="80" t="n">
        <f aca="false">IF(AND(J1067&lt;&gt;"",K1067&lt;&gt;""),J1067*K1067,"")</f>
        <v>38.5</v>
      </c>
      <c r="M1067" s="81" t="n">
        <f aca="false">IF(L1067&lt;&gt;"",L1067*1.1,"")</f>
        <v>42.35</v>
      </c>
      <c r="N1067" s="47" t="n">
        <f aca="false">IF(F1067="S",L1067*0.02,0)</f>
        <v>0.77</v>
      </c>
      <c r="O1067" s="82" t="n">
        <f aca="false">IF(L1067&lt;&gt;"",L1067+N1067,"")</f>
        <v>39.27</v>
      </c>
      <c r="P1067" s="47" t="n">
        <f aca="false">IF(O1067&lt;&gt;"",O1067*0.1,"")</f>
        <v>3.927</v>
      </c>
      <c r="Q1067" s="83" t="n">
        <f aca="false">IF(O1067&lt;&gt;"",O1067+P1067,"")</f>
        <v>43.197</v>
      </c>
      <c r="R1067" s="84" t="s">
        <v>358</v>
      </c>
    </row>
    <row r="1068" customFormat="false" ht="15" hidden="false" customHeight="true" outlineLevel="0" collapsed="false">
      <c r="A1068" s="128" t="n">
        <v>56133</v>
      </c>
      <c r="B1068" s="132" t="n">
        <v>46231</v>
      </c>
      <c r="C1068" s="133" t="n">
        <v>17825</v>
      </c>
      <c r="D1068" s="134" t="n">
        <v>50160</v>
      </c>
      <c r="E1068" s="52" t="str">
        <f aca="false">IF(D1068&lt;&gt;"",IFERROR(VLOOKUP(D1068,PROVEEDORES!$A:$B,2,0),"!COD NO ENCONTRADO"),"")</f>
        <v>SUBASTAS CORUÑA S.L.</v>
      </c>
      <c r="F1068" s="76" t="str">
        <f aca="false">IF(D1068&lt;&gt;"",IFERROR(VLOOKUP(D1068,PROVEEDORES!$A:$C,3,0),""),"")</f>
        <v>S</v>
      </c>
      <c r="G1068" s="134" t="s">
        <v>288</v>
      </c>
      <c r="H1068" s="52" t="str">
        <f aca="false">IF(G1068&lt;&gt;"",IFERROR(VLOOKUP(G1068,PRODUCTOS!$A:$B,2,0),"!COD NO ENCONTRADO"),"")</f>
        <v>RAPE BLANCO DIA (MON)</v>
      </c>
      <c r="I1068" s="135" t="n">
        <v>1</v>
      </c>
      <c r="J1068" s="136" t="n">
        <v>5.8</v>
      </c>
      <c r="K1068" s="137" t="n">
        <v>6.2</v>
      </c>
      <c r="L1068" s="80" t="n">
        <f aca="false">IF(AND(J1068&lt;&gt;"",K1068&lt;&gt;""),J1068*K1068,"")</f>
        <v>35.96</v>
      </c>
      <c r="M1068" s="81" t="n">
        <f aca="false">IF(L1068&lt;&gt;"",L1068*1.1,"")</f>
        <v>39.556</v>
      </c>
      <c r="N1068" s="53" t="n">
        <f aca="false">IF(F1068="S",L1068*0.02,0)</f>
        <v>0.7192</v>
      </c>
      <c r="O1068" s="82" t="n">
        <f aca="false">IF(L1068&lt;&gt;"",L1068+N1068,"")</f>
        <v>36.6792</v>
      </c>
      <c r="P1068" s="53" t="n">
        <f aca="false">IF(O1068&lt;&gt;"",O1068*0.1,"")</f>
        <v>3.66792</v>
      </c>
      <c r="Q1068" s="83" t="n">
        <f aca="false">IF(O1068&lt;&gt;"",O1068+P1068,"")</f>
        <v>40.34712</v>
      </c>
      <c r="R1068" s="84" t="s">
        <v>358</v>
      </c>
    </row>
    <row r="1069" customFormat="false" ht="15" hidden="false" customHeight="true" outlineLevel="0" collapsed="false">
      <c r="A1069" s="128" t="n">
        <v>56133</v>
      </c>
      <c r="B1069" s="129" t="n">
        <v>46231</v>
      </c>
      <c r="C1069" s="127" t="n">
        <v>17825</v>
      </c>
      <c r="D1069" s="92" t="n">
        <v>50160</v>
      </c>
      <c r="E1069" s="46" t="str">
        <f aca="false">IF(D1069&lt;&gt;"",IFERROR(VLOOKUP(D1069,PROVEEDORES!$A:$B,2,0),"!COD NO ENCONTRADO"),"")</f>
        <v>SUBASTAS CORUÑA S.L.</v>
      </c>
      <c r="F1069" s="88" t="str">
        <f aca="false">IF(D1069&lt;&gt;"",IFERROR(VLOOKUP(D1069,PROVEEDORES!$A:$C,3,0),""),"")</f>
        <v>S</v>
      </c>
      <c r="G1069" s="92" t="s">
        <v>332</v>
      </c>
      <c r="H1069" s="46" t="str">
        <f aca="false">IF(G1069&lt;&gt;"",IFERROR(VLOOKUP(G1069,PRODUCTOS!$A:$B,2,0),"!COD NO ENCONTRADO"),"")</f>
        <v>VARIADO PEQUEÑO</v>
      </c>
      <c r="I1069" s="94" t="n">
        <v>4</v>
      </c>
      <c r="J1069" s="130" t="n">
        <v>21.25</v>
      </c>
      <c r="K1069" s="131" t="n">
        <v>0.5</v>
      </c>
      <c r="L1069" s="80" t="n">
        <f aca="false">IF(AND(J1069&lt;&gt;"",K1069&lt;&gt;""),J1069*K1069,"")</f>
        <v>10.625</v>
      </c>
      <c r="M1069" s="81" t="n">
        <f aca="false">IF(L1069&lt;&gt;"",L1069*1.1,"")</f>
        <v>11.6875</v>
      </c>
      <c r="N1069" s="47" t="n">
        <f aca="false">IF(F1069="S",L1069*0.02,0)</f>
        <v>0.2125</v>
      </c>
      <c r="O1069" s="82" t="n">
        <f aca="false">IF(L1069&lt;&gt;"",L1069+N1069,"")</f>
        <v>10.8375</v>
      </c>
      <c r="P1069" s="47" t="n">
        <f aca="false">IF(O1069&lt;&gt;"",O1069*0.1,"")</f>
        <v>1.08375</v>
      </c>
      <c r="Q1069" s="83" t="n">
        <f aca="false">IF(O1069&lt;&gt;"",O1069+P1069,"")</f>
        <v>11.92125</v>
      </c>
      <c r="R1069" s="84" t="s">
        <v>358</v>
      </c>
    </row>
    <row r="1070" customFormat="false" ht="15" hidden="false" customHeight="true" outlineLevel="0" collapsed="false">
      <c r="A1070" s="128" t="n">
        <v>56134</v>
      </c>
      <c r="B1070" s="129" t="n">
        <v>46231</v>
      </c>
      <c r="C1070" s="133" t="n">
        <v>20738</v>
      </c>
      <c r="D1070" s="134" t="n">
        <v>50163</v>
      </c>
      <c r="E1070" s="52" t="str">
        <f aca="false">IF(D1070&lt;&gt;"",IFERROR(VLOOKUP(D1070,PROVEEDORES!$A:$B,2,0),"!COD NO ENCONTRADO"),"")</f>
        <v>SUBASTAS RIVERA S.L.</v>
      </c>
      <c r="F1070" s="76" t="str">
        <f aca="false">IF(D1070&lt;&gt;"",IFERROR(VLOOKUP(D1070,PROVEEDORES!$A:$C,3,0),""),"")</f>
        <v>S</v>
      </c>
      <c r="G1070" s="134" t="s">
        <v>332</v>
      </c>
      <c r="H1070" s="52" t="str">
        <f aca="false">IF(G1070&lt;&gt;"",IFERROR(VLOOKUP(G1070,PRODUCTOS!$A:$B,2,0),"!COD NO ENCONTRADO"),"")</f>
        <v>VARIADO PEQUEÑO</v>
      </c>
      <c r="I1070" s="135" t="n">
        <v>1</v>
      </c>
      <c r="J1070" s="136" t="n">
        <v>7.5</v>
      </c>
      <c r="K1070" s="137" t="n">
        <v>0.3</v>
      </c>
      <c r="L1070" s="80" t="n">
        <f aca="false">IF(AND(J1070&lt;&gt;"",K1070&lt;&gt;""),J1070*K1070,"")</f>
        <v>2.25</v>
      </c>
      <c r="M1070" s="81" t="n">
        <f aca="false">IF(L1070&lt;&gt;"",L1070*1.1,"")</f>
        <v>2.475</v>
      </c>
      <c r="N1070" s="53" t="n">
        <f aca="false">IF(F1070="S",L1070*0.02,0)</f>
        <v>0.045</v>
      </c>
      <c r="O1070" s="82" t="n">
        <f aca="false">IF(L1070&lt;&gt;"",L1070+N1070,"")</f>
        <v>2.295</v>
      </c>
      <c r="P1070" s="53" t="n">
        <f aca="false">IF(O1070&lt;&gt;"",O1070*0.1,"")</f>
        <v>0.2295</v>
      </c>
      <c r="Q1070" s="83" t="n">
        <f aca="false">IF(O1070&lt;&gt;"",O1070+P1070,"")</f>
        <v>2.5245</v>
      </c>
      <c r="R1070" s="84" t="s">
        <v>358</v>
      </c>
    </row>
    <row r="1071" customFormat="false" ht="15" hidden="false" customHeight="true" outlineLevel="0" collapsed="false">
      <c r="A1071" s="128" t="n">
        <v>56134</v>
      </c>
      <c r="B1071" s="129" t="n">
        <v>46231</v>
      </c>
      <c r="C1071" s="127" t="n">
        <v>20738</v>
      </c>
      <c r="D1071" s="92" t="n">
        <v>50163</v>
      </c>
      <c r="E1071" s="46" t="str">
        <f aca="false">IF(D1071&lt;&gt;"",IFERROR(VLOOKUP(D1071,PROVEEDORES!$A:$B,2,0),"!COD NO ENCONTRADO"),"")</f>
        <v>SUBASTAS RIVERA S.L.</v>
      </c>
      <c r="F1071" s="88" t="str">
        <f aca="false">IF(D1071&lt;&gt;"",IFERROR(VLOOKUP(D1071,PROVEEDORES!$A:$C,3,0),""),"")</f>
        <v>S</v>
      </c>
      <c r="G1071" s="92" t="s">
        <v>332</v>
      </c>
      <c r="H1071" s="46" t="str">
        <f aca="false">IF(G1071&lt;&gt;"",IFERROR(VLOOKUP(G1071,PRODUCTOS!$A:$B,2,0),"!COD NO ENCONTRADO"),"")</f>
        <v>VARIADO PEQUEÑO</v>
      </c>
      <c r="I1071" s="94" t="n">
        <v>5</v>
      </c>
      <c r="J1071" s="130" t="n">
        <v>31.75</v>
      </c>
      <c r="K1071" s="131" t="n">
        <v>0.6</v>
      </c>
      <c r="L1071" s="80" t="n">
        <f aca="false">IF(AND(J1071&lt;&gt;"",K1071&lt;&gt;""),J1071*K1071,"")</f>
        <v>19.05</v>
      </c>
      <c r="M1071" s="81" t="n">
        <f aca="false">IF(L1071&lt;&gt;"",L1071*1.1,"")</f>
        <v>20.955</v>
      </c>
      <c r="N1071" s="47" t="n">
        <f aca="false">IF(F1071="S",L1071*0.02,0)</f>
        <v>0.381</v>
      </c>
      <c r="O1071" s="82" t="n">
        <f aca="false">IF(L1071&lt;&gt;"",L1071+N1071,"")</f>
        <v>19.431</v>
      </c>
      <c r="P1071" s="47" t="n">
        <f aca="false">IF(O1071&lt;&gt;"",O1071*0.1,"")</f>
        <v>1.9431</v>
      </c>
      <c r="Q1071" s="83" t="n">
        <f aca="false">IF(O1071&lt;&gt;"",O1071+P1071,"")</f>
        <v>21.3741</v>
      </c>
      <c r="R1071" s="84" t="s">
        <v>358</v>
      </c>
    </row>
    <row r="1072" customFormat="false" ht="15" hidden="false" customHeight="true" outlineLevel="0" collapsed="false">
      <c r="A1072" s="128" t="n">
        <v>56134</v>
      </c>
      <c r="B1072" s="129" t="n">
        <v>46231</v>
      </c>
      <c r="C1072" s="133" t="n">
        <v>20738</v>
      </c>
      <c r="D1072" s="134" t="n">
        <v>50163</v>
      </c>
      <c r="E1072" s="52" t="str">
        <f aca="false">IF(D1072&lt;&gt;"",IFERROR(VLOOKUP(D1072,PROVEEDORES!$A:$B,2,0),"!COD NO ENCONTRADO"),"")</f>
        <v>SUBASTAS RIVERA S.L.</v>
      </c>
      <c r="F1072" s="76" t="str">
        <f aca="false">IF(D1072&lt;&gt;"",IFERROR(VLOOKUP(D1072,PROVEEDORES!$A:$C,3,0),""),"")</f>
        <v>S</v>
      </c>
      <c r="G1072" s="134" t="s">
        <v>332</v>
      </c>
      <c r="H1072" s="52" t="str">
        <f aca="false">IF(G1072&lt;&gt;"",IFERROR(VLOOKUP(G1072,PRODUCTOS!$A:$B,2,0),"!COD NO ENCONTRADO"),"")</f>
        <v>VARIADO PEQUEÑO</v>
      </c>
      <c r="I1072" s="135" t="n">
        <v>2</v>
      </c>
      <c r="J1072" s="136" t="n">
        <v>19</v>
      </c>
      <c r="K1072" s="137" t="n">
        <v>0.7</v>
      </c>
      <c r="L1072" s="80" t="n">
        <f aca="false">IF(AND(J1072&lt;&gt;"",K1072&lt;&gt;""),J1072*K1072,"")</f>
        <v>13.3</v>
      </c>
      <c r="M1072" s="81" t="n">
        <f aca="false">IF(L1072&lt;&gt;"",L1072*1.1,"")</f>
        <v>14.63</v>
      </c>
      <c r="N1072" s="53" t="n">
        <f aca="false">IF(F1072="S",L1072*0.02,0)</f>
        <v>0.266</v>
      </c>
      <c r="O1072" s="82" t="n">
        <f aca="false">IF(L1072&lt;&gt;"",L1072+N1072,"")</f>
        <v>13.566</v>
      </c>
      <c r="P1072" s="53" t="n">
        <f aca="false">IF(O1072&lt;&gt;"",O1072*0.1,"")</f>
        <v>1.3566</v>
      </c>
      <c r="Q1072" s="83" t="n">
        <f aca="false">IF(O1072&lt;&gt;"",O1072+P1072,"")</f>
        <v>14.9226</v>
      </c>
      <c r="R1072" s="84" t="s">
        <v>358</v>
      </c>
    </row>
    <row r="1073" customFormat="false" ht="15" hidden="false" customHeight="true" outlineLevel="0" collapsed="false">
      <c r="A1073" s="128" t="n">
        <v>56135</v>
      </c>
      <c r="B1073" s="129" t="n">
        <v>46231</v>
      </c>
      <c r="C1073" s="127" t="s">
        <v>528</v>
      </c>
      <c r="D1073" s="92" t="n">
        <v>50521</v>
      </c>
      <c r="E1073" s="46" t="str">
        <f aca="false">IF(D1073&lt;&gt;"",IFERROR(VLOOKUP(D1073,PROVEEDORES!$A:$B,2,0),"!COD NO ENCONTRADO"),"")</f>
        <v>SUBASTAS DE ATLANTICO S.L</v>
      </c>
      <c r="F1073" s="88" t="str">
        <f aca="false">IF(D1073&lt;&gt;"",IFERROR(VLOOKUP(D1073,PROVEEDORES!$A:$C,3,0),""),"")</f>
        <v>S</v>
      </c>
      <c r="G1073" s="92" t="s">
        <v>93</v>
      </c>
      <c r="H1073" s="46" t="str">
        <f aca="false">IF(G1073&lt;&gt;"",IFERROR(VLOOKUP(G1073,PRODUCTOS!$A:$B,2,0),"!COD NO ENCONTRADO"),"")</f>
        <v>BOQUERON/ BOCARTE/ ANCHOA (ANE)</v>
      </c>
      <c r="I1073" s="94" t="n">
        <v>22</v>
      </c>
      <c r="J1073" s="130" t="n">
        <v>321</v>
      </c>
      <c r="K1073" s="131" t="n">
        <v>1.8</v>
      </c>
      <c r="L1073" s="80" t="n">
        <f aca="false">IF(AND(J1073&lt;&gt;"",K1073&lt;&gt;""),J1073*K1073,"")</f>
        <v>577.8</v>
      </c>
      <c r="M1073" s="81" t="n">
        <f aca="false">IF(L1073&lt;&gt;"",L1073*1.1,"")</f>
        <v>635.58</v>
      </c>
      <c r="N1073" s="47" t="n">
        <f aca="false">IF(F1073="S",L1073*0.02,0)</f>
        <v>11.556</v>
      </c>
      <c r="O1073" s="82" t="n">
        <f aca="false">IF(L1073&lt;&gt;"",L1073+N1073,"")</f>
        <v>589.356</v>
      </c>
      <c r="P1073" s="47" t="n">
        <f aca="false">IF(O1073&lt;&gt;"",O1073*0.1,"")</f>
        <v>58.9356</v>
      </c>
      <c r="Q1073" s="83" t="n">
        <f aca="false">IF(O1073&lt;&gt;"",O1073+P1073,"")</f>
        <v>648.2916</v>
      </c>
      <c r="R1073" s="84" t="s">
        <v>358</v>
      </c>
    </row>
    <row r="1074" customFormat="false" ht="15" hidden="false" customHeight="true" outlineLevel="0" collapsed="false">
      <c r="A1074" s="128" t="n">
        <v>56136</v>
      </c>
      <c r="B1074" s="132" t="n">
        <v>46231</v>
      </c>
      <c r="C1074" s="133" t="s">
        <v>529</v>
      </c>
      <c r="D1074" s="134" t="n">
        <v>50048</v>
      </c>
      <c r="E1074" s="52" t="str">
        <f aca="false">IF(D1074&lt;&gt;"",IFERROR(VLOOKUP(D1074,PROVEEDORES!$A:$B,2,0),"!COD NO ENCONTRADO"),"")</f>
        <v>JOSE LUIS CORREA KESSLER S.L.</v>
      </c>
      <c r="F1074" s="76" t="str">
        <f aca="false">IF(D1074&lt;&gt;"",IFERROR(VLOOKUP(D1074,PROVEEDORES!$A:$C,3,0),""),"")</f>
        <v>N</v>
      </c>
      <c r="G1074" s="134" t="s">
        <v>179</v>
      </c>
      <c r="H1074" s="52" t="str">
        <f aca="false">IF(G1074&lt;&gt;"",IFERROR(VLOOKUP(G1074,PRODUCTOS!$A:$B,2,0),"!COD NO ENCONTRADO"),"")</f>
        <v>LIRIO/ BACALADILLA/ PERLA (WHB)</v>
      </c>
      <c r="I1074" s="135" t="n">
        <v>100</v>
      </c>
      <c r="J1074" s="136" t="n">
        <v>600</v>
      </c>
      <c r="K1074" s="138" t="n">
        <v>2.55</v>
      </c>
      <c r="L1074" s="80" t="n">
        <f aca="false">IF(AND(J1074&lt;&gt;"",K1074&lt;&gt;""),J1074*K1074,"")</f>
        <v>1530</v>
      </c>
      <c r="M1074" s="81" t="n">
        <f aca="false">IF(L1074&lt;&gt;"",L1074*1.1,"")</f>
        <v>1683</v>
      </c>
      <c r="N1074" s="53" t="n">
        <f aca="false">IF(F1074="S",L1074*0.02,0)</f>
        <v>0</v>
      </c>
      <c r="O1074" s="82" t="n">
        <f aca="false">IF(L1074&lt;&gt;"",L1074+N1074,"")</f>
        <v>1530</v>
      </c>
      <c r="P1074" s="53" t="n">
        <f aca="false">IF(O1074&lt;&gt;"",O1074*0.1,"")</f>
        <v>153</v>
      </c>
      <c r="Q1074" s="83" t="n">
        <f aca="false">IF(O1074&lt;&gt;"",O1074+P1074,"")</f>
        <v>1683</v>
      </c>
      <c r="R1074" s="84" t="s">
        <v>358</v>
      </c>
    </row>
    <row r="1075" customFormat="false" ht="15" hidden="false" customHeight="true" outlineLevel="0" collapsed="false">
      <c r="A1075" s="128" t="n">
        <v>56136</v>
      </c>
      <c r="B1075" s="132" t="n">
        <v>46231</v>
      </c>
      <c r="C1075" s="133" t="s">
        <v>530</v>
      </c>
      <c r="D1075" s="134" t="n">
        <v>50048</v>
      </c>
      <c r="E1075" s="52" t="str">
        <f aca="false">IF(D1075&lt;&gt;"",IFERROR(VLOOKUP(D1075,PROVEEDORES!$A:$B,2,0),"!COD NO ENCONTRADO"),"")</f>
        <v>JOSE LUIS CORREA KESSLER S.L.</v>
      </c>
      <c r="F1075" s="76" t="str">
        <f aca="false">IF(D1075&lt;&gt;"",IFERROR(VLOOKUP(D1075,PROVEEDORES!$A:$C,3,0),""),"")</f>
        <v>N</v>
      </c>
      <c r="G1075" s="134" t="s">
        <v>179</v>
      </c>
      <c r="H1075" s="46" t="str">
        <f aca="false">IF(G1075&lt;&gt;"",IFERROR(VLOOKUP(G1075,PRODUCTOS!$A:$B,2,0),"!COD NO ENCONTRADO"),"")</f>
        <v>LIRIO/ BACALADILLA/ PERLA (WHB)</v>
      </c>
      <c r="I1075" s="135" t="n">
        <v>14</v>
      </c>
      <c r="J1075" s="136" t="n">
        <v>84</v>
      </c>
      <c r="K1075" s="138" t="n">
        <v>2.85</v>
      </c>
      <c r="L1075" s="80" t="n">
        <f aca="false">IF(AND(J1075&lt;&gt;"",K1075&lt;&gt;""),J1075*K1075,"")</f>
        <v>239.4</v>
      </c>
      <c r="M1075" s="81" t="n">
        <f aca="false">IF(L1075&lt;&gt;"",L1075*1.1,"")</f>
        <v>263.34</v>
      </c>
      <c r="N1075" s="47" t="n">
        <f aca="false">IF(F1075="S",L1075*0.02,0)</f>
        <v>0</v>
      </c>
      <c r="O1075" s="82" t="n">
        <f aca="false">IF(L1075&lt;&gt;"",L1075+N1075,"")</f>
        <v>239.4</v>
      </c>
      <c r="P1075" s="47" t="n">
        <f aca="false">IF(O1075&lt;&gt;"",O1075*0.1,"")</f>
        <v>23.94</v>
      </c>
      <c r="Q1075" s="83" t="n">
        <f aca="false">IF(O1075&lt;&gt;"",O1075+P1075,"")</f>
        <v>263.34</v>
      </c>
      <c r="R1075" s="84" t="s">
        <v>358</v>
      </c>
    </row>
    <row r="1076" customFormat="false" ht="15" hidden="false" customHeight="true" outlineLevel="0" collapsed="false">
      <c r="A1076" s="128" t="n">
        <v>56137</v>
      </c>
      <c r="B1076" s="129" t="n">
        <v>46231</v>
      </c>
      <c r="C1076" s="127" t="s">
        <v>531</v>
      </c>
      <c r="D1076" s="92" t="n">
        <v>50533</v>
      </c>
      <c r="E1076" s="46" t="str">
        <f aca="false">IF(D1076&lt;&gt;"",IFERROR(VLOOKUP(D1076,PROVEEDORES!$A:$B,2,0),"!COD NO ENCONTRADO"),"")</f>
        <v>LURDES MARIÑO, S.L.</v>
      </c>
      <c r="F1076" s="88" t="str">
        <f aca="false">IF(D1076&lt;&gt;"",IFERROR(VLOOKUP(D1076,PROVEEDORES!$A:$C,3,0),""),"")</f>
        <v>N</v>
      </c>
      <c r="G1076" s="92" t="s">
        <v>408</v>
      </c>
      <c r="H1076" s="52" t="str">
        <f aca="false">IF(G1076&lt;&gt;"",IFERROR(VLOOKUP(G1076,PRODUCTOS!$A:$B,2,0),"!COD NO ENCONTRADO"),"")</f>
        <v>MEJILLON SACO</v>
      </c>
      <c r="I1076" s="94" t="n">
        <v>12</v>
      </c>
      <c r="J1076" s="130" t="n">
        <v>60</v>
      </c>
      <c r="K1076" s="131" t="n">
        <v>1.4</v>
      </c>
      <c r="L1076" s="80" t="n">
        <f aca="false">IF(AND(J1076&lt;&gt;"",K1076&lt;&gt;""),J1076*K1076,"")</f>
        <v>84</v>
      </c>
      <c r="M1076" s="81" t="n">
        <f aca="false">IF(L1076&lt;&gt;"",L1076*1.1,"")</f>
        <v>92.4</v>
      </c>
      <c r="N1076" s="53" t="n">
        <f aca="false">IF(F1076="S",L1076*0.02,0)</f>
        <v>0</v>
      </c>
      <c r="O1076" s="82" t="n">
        <f aca="false">IF(L1076&lt;&gt;"",L1076+N1076,"")</f>
        <v>84</v>
      </c>
      <c r="P1076" s="53" t="n">
        <f aca="false">IF(O1076&lt;&gt;"",O1076*0.1,"")</f>
        <v>8.4</v>
      </c>
      <c r="Q1076" s="83" t="n">
        <f aca="false">IF(O1076&lt;&gt;"",O1076+P1076,"")</f>
        <v>92.4</v>
      </c>
      <c r="R1076" s="84" t="s">
        <v>358</v>
      </c>
    </row>
    <row r="1077" customFormat="false" ht="15" hidden="false" customHeight="true" outlineLevel="0" collapsed="false">
      <c r="A1077" s="128" t="n">
        <v>56138</v>
      </c>
      <c r="B1077" s="129" t="n">
        <v>46231</v>
      </c>
      <c r="C1077" s="127" t="s">
        <v>532</v>
      </c>
      <c r="D1077" s="92" t="n">
        <v>50531</v>
      </c>
      <c r="E1077" s="46" t="str">
        <f aca="false">IF(D1077&lt;&gt;"",IFERROR(VLOOKUP(D1077,PROVEEDORES!$A:$B,2,0),"!COD NO ENCONTRADO"),"")</f>
        <v>SANCHEZ LOPEZ MIGUEL</v>
      </c>
      <c r="F1077" s="88" t="str">
        <f aca="false">IF(D1077&lt;&gt;"",IFERROR(VLOOKUP(D1077,PROVEEDORES!$A:$C,3,0),""),"")</f>
        <v>N</v>
      </c>
      <c r="G1077" s="92" t="s">
        <v>324</v>
      </c>
      <c r="H1077" s="46" t="str">
        <f aca="false">IF(G1077&lt;&gt;"",IFERROR(VLOOKUP(G1077,PRODUCTOS!$A:$B,2,0),"!COD NO ENCONTRADO"),"")</f>
        <v>SARDINA    (PIL)</v>
      </c>
      <c r="I1077" s="94" t="n">
        <v>6</v>
      </c>
      <c r="J1077" s="130" t="n">
        <v>36</v>
      </c>
      <c r="K1077" s="131" t="n">
        <v>2.8</v>
      </c>
      <c r="L1077" s="80" t="n">
        <f aca="false">IF(AND(J1077&lt;&gt;"",K1077&lt;&gt;""),J1077*K1077,"")</f>
        <v>100.8</v>
      </c>
      <c r="M1077" s="81" t="n">
        <f aca="false">IF(L1077&lt;&gt;"",L1077*1.1,"")</f>
        <v>110.88</v>
      </c>
      <c r="N1077" s="47" t="n">
        <f aca="false">IF(F1077="S",L1077*0.02,0)</f>
        <v>0</v>
      </c>
      <c r="O1077" s="82" t="n">
        <f aca="false">IF(L1077&lt;&gt;"",L1077+N1077,"")</f>
        <v>100.8</v>
      </c>
      <c r="P1077" s="47" t="n">
        <f aca="false">IF(O1077&lt;&gt;"",O1077*0.1,"")</f>
        <v>10.08</v>
      </c>
      <c r="Q1077" s="83" t="n">
        <f aca="false">IF(O1077&lt;&gt;"",O1077+P1077,"")</f>
        <v>110.88</v>
      </c>
      <c r="R1077" s="84" t="s">
        <v>358</v>
      </c>
    </row>
    <row r="1078" customFormat="false" ht="15" hidden="false" customHeight="true" outlineLevel="0" collapsed="false">
      <c r="A1078" s="128" t="n">
        <v>56139</v>
      </c>
      <c r="B1078" s="132" t="n">
        <v>46232</v>
      </c>
      <c r="C1078" s="133" t="s">
        <v>533</v>
      </c>
      <c r="D1078" s="134" t="n">
        <v>50232</v>
      </c>
      <c r="E1078" s="52" t="str">
        <f aca="false">IF(D1078&lt;&gt;"",IFERROR(VLOOKUP(D1078,PROVEEDORES!$A:$B,2,0),"!COD NO ENCONTRADO"),"")</f>
        <v>XESTION NOVA LONXA RIVEIRA S.L.</v>
      </c>
      <c r="F1078" s="76" t="str">
        <f aca="false">IF(D1078&lt;&gt;"",IFERROR(VLOOKUP(D1078,PROVEEDORES!$A:$C,3,0),""),"")</f>
        <v>S</v>
      </c>
      <c r="G1078" s="134" t="s">
        <v>296</v>
      </c>
      <c r="H1078" s="52" t="str">
        <f aca="false">IF(G1078&lt;&gt;"",IFERROR(VLOOKUP(G1078,PRODUCTOS!$A:$B,2,0),"!COD NO ENCONTRADO"),"")</f>
        <v>RAPE NEGRO (ANK)</v>
      </c>
      <c r="I1078" s="135" t="n">
        <v>14</v>
      </c>
      <c r="J1078" s="136" t="n">
        <v>106.1</v>
      </c>
      <c r="K1078" s="137" t="n">
        <v>3</v>
      </c>
      <c r="L1078" s="80" t="n">
        <f aca="false">IF(AND(J1078&lt;&gt;"",K1078&lt;&gt;""),J1078*K1078,"")</f>
        <v>318.3</v>
      </c>
      <c r="M1078" s="81" t="n">
        <f aca="false">IF(L1078&lt;&gt;"",L1078*1.1,"")</f>
        <v>350.13</v>
      </c>
      <c r="N1078" s="53" t="n">
        <f aca="false">IF(F1078="S",L1078*0.02,0)</f>
        <v>6.366</v>
      </c>
      <c r="O1078" s="82" t="n">
        <f aca="false">IF(L1078&lt;&gt;"",L1078+N1078,"")</f>
        <v>324.666</v>
      </c>
      <c r="P1078" s="53" t="n">
        <f aca="false">IF(O1078&lt;&gt;"",O1078*0.1,"")</f>
        <v>32.4666</v>
      </c>
      <c r="Q1078" s="83" t="n">
        <f aca="false">IF(O1078&lt;&gt;"",O1078+P1078,"")</f>
        <v>357.1326</v>
      </c>
      <c r="R1078" s="84" t="s">
        <v>365</v>
      </c>
    </row>
    <row r="1079" customFormat="false" ht="15" hidden="false" customHeight="true" outlineLevel="0" collapsed="false">
      <c r="A1079" s="128" t="n">
        <v>56139</v>
      </c>
      <c r="B1079" s="132" t="n">
        <v>46232</v>
      </c>
      <c r="C1079" s="133" t="s">
        <v>533</v>
      </c>
      <c r="D1079" s="134" t="n">
        <v>50232</v>
      </c>
      <c r="E1079" s="46" t="str">
        <f aca="false">IF(D1079&lt;&gt;"",IFERROR(VLOOKUP(D1079,PROVEEDORES!$A:$B,2,0),"!COD NO ENCONTRADO"),"")</f>
        <v>XESTION NOVA LONXA RIVEIRA S.L.</v>
      </c>
      <c r="F1079" s="88" t="str">
        <f aca="false">IF(D1079&lt;&gt;"",IFERROR(VLOOKUP(D1079,PROVEEDORES!$A:$C,3,0),""),"")</f>
        <v>S</v>
      </c>
      <c r="G1079" s="92" t="s">
        <v>97</v>
      </c>
      <c r="H1079" s="46" t="str">
        <f aca="false">IF(G1079&lt;&gt;"",IFERROR(VLOOKUP(G1079,PRODUCTOS!$A:$B,2,0),"!COD NO ENCONTRADO"),"")</f>
        <v>CABALL/ SARDA/ VERDEL (MAC)</v>
      </c>
      <c r="I1079" s="94" t="n">
        <v>3</v>
      </c>
      <c r="J1079" s="130" t="n">
        <v>31.3</v>
      </c>
      <c r="K1079" s="131" t="n">
        <v>4.5</v>
      </c>
      <c r="L1079" s="80" t="n">
        <f aca="false">IF(AND(J1079&lt;&gt;"",K1079&lt;&gt;""),J1079*K1079,"")</f>
        <v>140.85</v>
      </c>
      <c r="M1079" s="81" t="n">
        <f aca="false">IF(L1079&lt;&gt;"",L1079*1.1,"")</f>
        <v>154.935</v>
      </c>
      <c r="N1079" s="47" t="n">
        <f aca="false">IF(F1079="S",L1079*0.02,0)</f>
        <v>2.817</v>
      </c>
      <c r="O1079" s="82" t="n">
        <f aca="false">IF(L1079&lt;&gt;"",L1079+N1079,"")</f>
        <v>143.667</v>
      </c>
      <c r="P1079" s="47" t="n">
        <f aca="false">IF(O1079&lt;&gt;"",O1079*0.1,"")</f>
        <v>14.3667</v>
      </c>
      <c r="Q1079" s="83" t="n">
        <f aca="false">IF(O1079&lt;&gt;"",O1079+P1079,"")</f>
        <v>158.0337</v>
      </c>
      <c r="R1079" s="84" t="s">
        <v>365</v>
      </c>
    </row>
    <row r="1080" customFormat="false" ht="15" hidden="false" customHeight="true" outlineLevel="0" collapsed="false">
      <c r="A1080" s="128" t="n">
        <v>56139</v>
      </c>
      <c r="B1080" s="132" t="n">
        <v>46232</v>
      </c>
      <c r="C1080" s="133" t="s">
        <v>533</v>
      </c>
      <c r="D1080" s="134" t="n">
        <v>50232</v>
      </c>
      <c r="E1080" s="52" t="str">
        <f aca="false">IF(D1080&lt;&gt;"",IFERROR(VLOOKUP(D1080,PROVEEDORES!$A:$B,2,0),"!COD NO ENCONTRADO"),"")</f>
        <v>XESTION NOVA LONXA RIVEIRA S.L.</v>
      </c>
      <c r="F1080" s="76" t="str">
        <f aca="false">IF(D1080&lt;&gt;"",IFERROR(VLOOKUP(D1080,PROVEEDORES!$A:$C,3,0),""),"")</f>
        <v>S</v>
      </c>
      <c r="G1080" s="134" t="s">
        <v>304</v>
      </c>
      <c r="H1080" s="52" t="str">
        <f aca="false">IF(G1080&lt;&gt;"",IFERROR(VLOOKUP(G1080,PRODUCTOS!$A:$B,2,0),"!COD NO ENCONTRADO"),"")</f>
        <v>RAYA SPP (SKA)</v>
      </c>
      <c r="I1080" s="135" t="n">
        <v>2</v>
      </c>
      <c r="J1080" s="136" t="n">
        <v>4.8</v>
      </c>
      <c r="K1080" s="137" t="n">
        <v>1</v>
      </c>
      <c r="L1080" s="80" t="n">
        <f aca="false">IF(AND(J1080&lt;&gt;"",K1080&lt;&gt;""),J1080*K1080,"")</f>
        <v>4.8</v>
      </c>
      <c r="M1080" s="81" t="n">
        <f aca="false">IF(L1080&lt;&gt;"",L1080*1.1,"")</f>
        <v>5.28</v>
      </c>
      <c r="N1080" s="53" t="n">
        <f aca="false">IF(F1080="S",L1080*0.02,0)</f>
        <v>0.096</v>
      </c>
      <c r="O1080" s="82" t="n">
        <f aca="false">IF(L1080&lt;&gt;"",L1080+N1080,"")</f>
        <v>4.896</v>
      </c>
      <c r="P1080" s="53" t="n">
        <f aca="false">IF(O1080&lt;&gt;"",O1080*0.1,"")</f>
        <v>0.4896</v>
      </c>
      <c r="Q1080" s="83" t="n">
        <f aca="false">IF(O1080&lt;&gt;"",O1080+P1080,"")</f>
        <v>5.3856</v>
      </c>
      <c r="R1080" s="84" t="s">
        <v>365</v>
      </c>
    </row>
    <row r="1081" customFormat="false" ht="15" hidden="false" customHeight="true" outlineLevel="0" collapsed="false">
      <c r="A1081" s="128" t="n">
        <v>56139</v>
      </c>
      <c r="B1081" s="132" t="n">
        <v>46232</v>
      </c>
      <c r="C1081" s="133" t="s">
        <v>533</v>
      </c>
      <c r="D1081" s="134" t="n">
        <v>50232</v>
      </c>
      <c r="E1081" s="46" t="str">
        <f aca="false">IF(D1081&lt;&gt;"",IFERROR(VLOOKUP(D1081,PROVEEDORES!$A:$B,2,0),"!COD NO ENCONTRADO"),"")</f>
        <v>XESTION NOVA LONXA RIVEIRA S.L.</v>
      </c>
      <c r="F1081" s="88" t="str">
        <f aca="false">IF(D1081&lt;&gt;"",IFERROR(VLOOKUP(D1081,PROVEEDORES!$A:$C,3,0),""),"")</f>
        <v>S</v>
      </c>
      <c r="G1081" s="92" t="s">
        <v>304</v>
      </c>
      <c r="H1081" s="46" t="str">
        <f aca="false">IF(G1081&lt;&gt;"",IFERROR(VLOOKUP(G1081,PRODUCTOS!$A:$B,2,0),"!COD NO ENCONTRADO"),"")</f>
        <v>RAYA SPP (SKA)</v>
      </c>
      <c r="I1081" s="94" t="n">
        <v>3</v>
      </c>
      <c r="J1081" s="130" t="n">
        <v>10.9</v>
      </c>
      <c r="K1081" s="131" t="n">
        <v>1</v>
      </c>
      <c r="L1081" s="80" t="n">
        <f aca="false">IF(AND(J1081&lt;&gt;"",K1081&lt;&gt;""),J1081*K1081,"")</f>
        <v>10.9</v>
      </c>
      <c r="M1081" s="81" t="n">
        <f aca="false">IF(L1081&lt;&gt;"",L1081*1.1,"")</f>
        <v>11.99</v>
      </c>
      <c r="N1081" s="47" t="n">
        <f aca="false">IF(F1081="S",L1081*0.02,0)</f>
        <v>0.218</v>
      </c>
      <c r="O1081" s="82" t="n">
        <f aca="false">IF(L1081&lt;&gt;"",L1081+N1081,"")</f>
        <v>11.118</v>
      </c>
      <c r="P1081" s="47" t="n">
        <f aca="false">IF(O1081&lt;&gt;"",O1081*0.1,"")</f>
        <v>1.1118</v>
      </c>
      <c r="Q1081" s="83" t="n">
        <f aca="false">IF(O1081&lt;&gt;"",O1081+P1081,"")</f>
        <v>12.2298</v>
      </c>
      <c r="R1081" s="84" t="s">
        <v>365</v>
      </c>
    </row>
    <row r="1082" customFormat="false" ht="15" hidden="false" customHeight="true" outlineLevel="0" collapsed="false">
      <c r="A1082" s="128" t="n">
        <v>56139</v>
      </c>
      <c r="B1082" s="132" t="n">
        <v>46232</v>
      </c>
      <c r="C1082" s="133" t="s">
        <v>533</v>
      </c>
      <c r="D1082" s="134" t="n">
        <v>50232</v>
      </c>
      <c r="E1082" s="52" t="str">
        <f aca="false">IF(D1082&lt;&gt;"",IFERROR(VLOOKUP(D1082,PROVEEDORES!$A:$B,2,0),"!COD NO ENCONTRADO"),"")</f>
        <v>XESTION NOVA LONXA RIVEIRA S.L.</v>
      </c>
      <c r="F1082" s="76" t="str">
        <f aca="false">IF(D1082&lt;&gt;"",IFERROR(VLOOKUP(D1082,PROVEEDORES!$A:$C,3,0),""),"")</f>
        <v>S</v>
      </c>
      <c r="G1082" s="134" t="s">
        <v>179</v>
      </c>
      <c r="H1082" s="52" t="str">
        <f aca="false">IF(G1082&lt;&gt;"",IFERROR(VLOOKUP(G1082,PRODUCTOS!$A:$B,2,0),"!COD NO ENCONTRADO"),"")</f>
        <v>LIRIO/ BACALADILLA/ PERLA (WHB)</v>
      </c>
      <c r="I1082" s="135" t="n">
        <v>15</v>
      </c>
      <c r="J1082" s="139" t="n">
        <v>177</v>
      </c>
      <c r="K1082" s="138" t="n">
        <v>2.3</v>
      </c>
      <c r="L1082" s="80" t="n">
        <f aca="false">IF(AND(J1082&lt;&gt;"",K1082&lt;&gt;""),J1082*K1082,"")</f>
        <v>407.1</v>
      </c>
      <c r="M1082" s="81" t="n">
        <f aca="false">IF(L1082&lt;&gt;"",L1082*1.1,"")</f>
        <v>447.81</v>
      </c>
      <c r="N1082" s="53" t="n">
        <f aca="false">IF(F1082="S",L1082*0.02,0)</f>
        <v>8.142</v>
      </c>
      <c r="O1082" s="82" t="n">
        <f aca="false">IF(L1082&lt;&gt;"",L1082+N1082,"")</f>
        <v>415.242</v>
      </c>
      <c r="P1082" s="53" t="n">
        <f aca="false">IF(O1082&lt;&gt;"",O1082*0.1,"")</f>
        <v>41.5242</v>
      </c>
      <c r="Q1082" s="83" t="n">
        <f aca="false">IF(O1082&lt;&gt;"",O1082+P1082,"")</f>
        <v>456.7662</v>
      </c>
      <c r="R1082" s="84" t="s">
        <v>365</v>
      </c>
    </row>
    <row r="1083" customFormat="false" ht="15" hidden="false" customHeight="true" outlineLevel="0" collapsed="false">
      <c r="A1083" s="128" t="n">
        <v>56139</v>
      </c>
      <c r="B1083" s="129" t="n">
        <v>46232</v>
      </c>
      <c r="C1083" s="133" t="s">
        <v>533</v>
      </c>
      <c r="D1083" s="92" t="n">
        <v>50232</v>
      </c>
      <c r="E1083" s="46" t="str">
        <f aca="false">IF(D1083&lt;&gt;"",IFERROR(VLOOKUP(D1083,PROVEEDORES!$A:$B,2,0),"!COD NO ENCONTRADO"),"")</f>
        <v>XESTION NOVA LONXA RIVEIRA S.L.</v>
      </c>
      <c r="F1083" s="88" t="str">
        <f aca="false">IF(D1083&lt;&gt;"",IFERROR(VLOOKUP(D1083,PROVEEDORES!$A:$C,3,0),""),"")</f>
        <v>S</v>
      </c>
      <c r="G1083" s="92" t="s">
        <v>179</v>
      </c>
      <c r="H1083" s="46" t="str">
        <f aca="false">IF(G1083&lt;&gt;"",IFERROR(VLOOKUP(G1083,PRODUCTOS!$A:$B,2,0),"!COD NO ENCONTRADO"),"")</f>
        <v>LIRIO/ BACALADILLA/ PERLA (WHB)</v>
      </c>
      <c r="I1083" s="94" t="n">
        <v>10</v>
      </c>
      <c r="J1083" s="139" t="n">
        <v>150</v>
      </c>
      <c r="K1083" s="138" t="n">
        <v>2.2</v>
      </c>
      <c r="L1083" s="80" t="n">
        <f aca="false">IF(AND(J1083&lt;&gt;"",K1083&lt;&gt;""),J1083*K1083,"")</f>
        <v>330</v>
      </c>
      <c r="M1083" s="81" t="n">
        <f aca="false">IF(L1083&lt;&gt;"",L1083*1.1,"")</f>
        <v>363</v>
      </c>
      <c r="N1083" s="47" t="n">
        <f aca="false">IF(F1083="S",L1083*0.02,0)</f>
        <v>6.6</v>
      </c>
      <c r="O1083" s="82" t="n">
        <f aca="false">IF(L1083&lt;&gt;"",L1083+N1083,"")</f>
        <v>336.6</v>
      </c>
      <c r="P1083" s="47" t="n">
        <f aca="false">IF(O1083&lt;&gt;"",O1083*0.1,"")</f>
        <v>33.66</v>
      </c>
      <c r="Q1083" s="83" t="n">
        <f aca="false">IF(O1083&lt;&gt;"",O1083+P1083,"")</f>
        <v>370.26</v>
      </c>
      <c r="R1083" s="84" t="s">
        <v>365</v>
      </c>
    </row>
    <row r="1084" customFormat="false" ht="15" hidden="false" customHeight="true" outlineLevel="0" collapsed="false">
      <c r="A1084" s="128" t="n">
        <v>56140</v>
      </c>
      <c r="B1084" s="132" t="n">
        <v>46232</v>
      </c>
      <c r="C1084" s="127" t="n">
        <v>10914</v>
      </c>
      <c r="D1084" s="92" t="n">
        <v>50001</v>
      </c>
      <c r="E1084" s="46" t="str">
        <f aca="false">IF(D1084&lt;&gt;"",IFERROR(VLOOKUP(D1084,PROVEEDORES!$A:$B,2,0),"!COD NO ENCONTRADO"),"")</f>
        <v>COPESA</v>
      </c>
      <c r="F1084" s="88" t="str">
        <f aca="false">IF(D1084&lt;&gt;"",IFERROR(VLOOKUP(D1084,PROVEEDORES!$A:$C,3,0),""),"")</f>
        <v>S</v>
      </c>
      <c r="G1084" s="92" t="s">
        <v>292</v>
      </c>
      <c r="H1084" s="52" t="str">
        <f aca="false">IF(G1084&lt;&gt;"",IFERROR(VLOOKUP(G1084,PRODUCTOS!$A:$B,2,0),"!COD NO ENCONTRADO"),"")</f>
        <v>RAPE BLANCO RASCO (MON)</v>
      </c>
      <c r="I1084" s="94" t="n">
        <v>3</v>
      </c>
      <c r="J1084" s="130" t="n">
        <v>148.5</v>
      </c>
      <c r="K1084" s="131" t="n">
        <v>7.5</v>
      </c>
      <c r="L1084" s="80" t="n">
        <f aca="false">IF(AND(J1084&lt;&gt;"",K1084&lt;&gt;""),J1084*K1084,"")</f>
        <v>1113.75</v>
      </c>
      <c r="M1084" s="81" t="n">
        <f aca="false">IF(L1084&lt;&gt;"",L1084*1.1,"")</f>
        <v>1225.125</v>
      </c>
      <c r="N1084" s="53" t="n">
        <f aca="false">IF(F1084="S",L1084*0.02,0)</f>
        <v>22.275</v>
      </c>
      <c r="O1084" s="82" t="n">
        <f aca="false">IF(L1084&lt;&gt;"",L1084+N1084,"")</f>
        <v>1136.025</v>
      </c>
      <c r="P1084" s="53" t="n">
        <f aca="false">IF(O1084&lt;&gt;"",O1084*0.1,"")</f>
        <v>113.6025</v>
      </c>
      <c r="Q1084" s="83" t="n">
        <f aca="false">IF(O1084&lt;&gt;"",O1084+P1084,"")</f>
        <v>1249.6275</v>
      </c>
      <c r="R1084" s="84" t="s">
        <v>365</v>
      </c>
    </row>
    <row r="1085" customFormat="false" ht="15" hidden="false" customHeight="true" outlineLevel="0" collapsed="false">
      <c r="A1085" s="128" t="n">
        <v>56140</v>
      </c>
      <c r="B1085" s="132" t="n">
        <v>46232</v>
      </c>
      <c r="C1085" s="133" t="n">
        <v>10914</v>
      </c>
      <c r="D1085" s="134" t="n">
        <v>50001</v>
      </c>
      <c r="E1085" s="52" t="str">
        <f aca="false">IF(D1085&lt;&gt;"",IFERROR(VLOOKUP(D1085,PROVEEDORES!$A:$B,2,0),"!COD NO ENCONTRADO"),"")</f>
        <v>COPESA</v>
      </c>
      <c r="F1085" s="76" t="str">
        <f aca="false">IF(D1085&lt;&gt;"",IFERROR(VLOOKUP(D1085,PROVEEDORES!$A:$C,3,0),""),"")</f>
        <v>S</v>
      </c>
      <c r="G1085" s="134" t="s">
        <v>292</v>
      </c>
      <c r="H1085" s="46" t="str">
        <f aca="false">IF(G1085&lt;&gt;"",IFERROR(VLOOKUP(G1085,PRODUCTOS!$A:$B,2,0),"!COD NO ENCONTRADO"),"")</f>
        <v>RAPE BLANCO RASCO (MON)</v>
      </c>
      <c r="I1085" s="135" t="n">
        <v>4</v>
      </c>
      <c r="J1085" s="136" t="n">
        <v>215</v>
      </c>
      <c r="K1085" s="137" t="n">
        <v>7.6</v>
      </c>
      <c r="L1085" s="80" t="n">
        <f aca="false">IF(AND(J1085&lt;&gt;"",K1085&lt;&gt;""),J1085*K1085,"")</f>
        <v>1634</v>
      </c>
      <c r="M1085" s="81" t="n">
        <f aca="false">IF(L1085&lt;&gt;"",L1085*1.1,"")</f>
        <v>1797.4</v>
      </c>
      <c r="N1085" s="47" t="n">
        <f aca="false">IF(F1085="S",L1085*0.02,0)</f>
        <v>32.68</v>
      </c>
      <c r="O1085" s="82" t="n">
        <f aca="false">IF(L1085&lt;&gt;"",L1085+N1085,"")</f>
        <v>1666.68</v>
      </c>
      <c r="P1085" s="47" t="n">
        <f aca="false">IF(O1085&lt;&gt;"",O1085*0.1,"")</f>
        <v>166.668</v>
      </c>
      <c r="Q1085" s="83" t="n">
        <f aca="false">IF(O1085&lt;&gt;"",O1085+P1085,"")</f>
        <v>1833.348</v>
      </c>
      <c r="R1085" s="84" t="s">
        <v>365</v>
      </c>
    </row>
    <row r="1086" customFormat="false" ht="15" hidden="false" customHeight="true" outlineLevel="0" collapsed="false">
      <c r="A1086" s="128" t="n">
        <v>56140</v>
      </c>
      <c r="B1086" s="132" t="n">
        <v>46232</v>
      </c>
      <c r="C1086" s="127" t="n">
        <v>10914</v>
      </c>
      <c r="D1086" s="92" t="n">
        <v>50001</v>
      </c>
      <c r="E1086" s="46" t="str">
        <f aca="false">IF(D1086&lt;&gt;"",IFERROR(VLOOKUP(D1086,PROVEEDORES!$A:$B,2,0),"!COD NO ENCONTRADO"),"")</f>
        <v>COPESA</v>
      </c>
      <c r="F1086" s="88" t="str">
        <f aca="false">IF(D1086&lt;&gt;"",IFERROR(VLOOKUP(D1086,PROVEEDORES!$A:$C,3,0),""),"")</f>
        <v>S</v>
      </c>
      <c r="G1086" s="92" t="s">
        <v>292</v>
      </c>
      <c r="H1086" s="52" t="str">
        <f aca="false">IF(G1086&lt;&gt;"",IFERROR(VLOOKUP(G1086,PRODUCTOS!$A:$B,2,0),"!COD NO ENCONTRADO"),"")</f>
        <v>RAPE BLANCO RASCO (MON)</v>
      </c>
      <c r="I1086" s="94" t="n">
        <v>2</v>
      </c>
      <c r="J1086" s="130" t="n">
        <v>76.25</v>
      </c>
      <c r="K1086" s="131" t="n">
        <v>9.7</v>
      </c>
      <c r="L1086" s="80" t="n">
        <f aca="false">IF(AND(J1086&lt;&gt;"",K1086&lt;&gt;""),J1086*K1086,"")</f>
        <v>739.625</v>
      </c>
      <c r="M1086" s="81" t="n">
        <f aca="false">IF(L1086&lt;&gt;"",L1086*1.1,"")</f>
        <v>813.5875</v>
      </c>
      <c r="N1086" s="53" t="n">
        <f aca="false">IF(F1086="S",L1086*0.02,0)</f>
        <v>14.7925</v>
      </c>
      <c r="O1086" s="82" t="n">
        <f aca="false">IF(L1086&lt;&gt;"",L1086+N1086,"")</f>
        <v>754.4175</v>
      </c>
      <c r="P1086" s="53" t="n">
        <f aca="false">IF(O1086&lt;&gt;"",O1086*0.1,"")</f>
        <v>75.44175</v>
      </c>
      <c r="Q1086" s="83" t="n">
        <f aca="false">IF(O1086&lt;&gt;"",O1086+P1086,"")</f>
        <v>829.85925</v>
      </c>
      <c r="R1086" s="84" t="s">
        <v>365</v>
      </c>
    </row>
    <row r="1087" customFormat="false" ht="15" hidden="false" customHeight="true" outlineLevel="0" collapsed="false">
      <c r="A1087" s="128" t="n">
        <v>56140</v>
      </c>
      <c r="B1087" s="132" t="n">
        <v>46232</v>
      </c>
      <c r="C1087" s="133" t="n">
        <v>10914</v>
      </c>
      <c r="D1087" s="134" t="n">
        <v>50001</v>
      </c>
      <c r="E1087" s="52" t="str">
        <f aca="false">IF(D1087&lt;&gt;"",IFERROR(VLOOKUP(D1087,PROVEEDORES!$A:$B,2,0),"!COD NO ENCONTRADO"),"")</f>
        <v>COPESA</v>
      </c>
      <c r="F1087" s="76" t="str">
        <f aca="false">IF(D1087&lt;&gt;"",IFERROR(VLOOKUP(D1087,PROVEEDORES!$A:$C,3,0),""),"")</f>
        <v>S</v>
      </c>
      <c r="G1087" s="134" t="s">
        <v>332</v>
      </c>
      <c r="H1087" s="46" t="str">
        <f aca="false">IF(G1087&lt;&gt;"",IFERROR(VLOOKUP(G1087,PRODUCTOS!$A:$B,2,0),"!COD NO ENCONTRADO"),"")</f>
        <v>VARIADO PEQUEÑO</v>
      </c>
      <c r="I1087" s="135" t="n">
        <v>1</v>
      </c>
      <c r="J1087" s="136" t="n">
        <v>4.5</v>
      </c>
      <c r="K1087" s="137" t="n">
        <v>1</v>
      </c>
      <c r="L1087" s="80" t="n">
        <f aca="false">IF(AND(J1087&lt;&gt;"",K1087&lt;&gt;""),J1087*K1087,"")</f>
        <v>4.5</v>
      </c>
      <c r="M1087" s="81" t="n">
        <f aca="false">IF(L1087&lt;&gt;"",L1087*1.1,"")</f>
        <v>4.95</v>
      </c>
      <c r="N1087" s="47" t="n">
        <f aca="false">IF(F1087="S",L1087*0.02,0)</f>
        <v>0.09</v>
      </c>
      <c r="O1087" s="82" t="n">
        <f aca="false">IF(L1087&lt;&gt;"",L1087+N1087,"")</f>
        <v>4.59</v>
      </c>
      <c r="P1087" s="47" t="n">
        <f aca="false">IF(O1087&lt;&gt;"",O1087*0.1,"")</f>
        <v>0.459</v>
      </c>
      <c r="Q1087" s="83" t="n">
        <f aca="false">IF(O1087&lt;&gt;"",O1087+P1087,"")</f>
        <v>5.049</v>
      </c>
      <c r="R1087" s="84" t="s">
        <v>365</v>
      </c>
    </row>
    <row r="1088" customFormat="false" ht="15" hidden="false" customHeight="true" outlineLevel="0" collapsed="false">
      <c r="A1088" s="128" t="n">
        <v>56141</v>
      </c>
      <c r="B1088" s="132" t="n">
        <v>46232</v>
      </c>
      <c r="C1088" s="127" t="s">
        <v>534</v>
      </c>
      <c r="D1088" s="92" t="n">
        <v>50010</v>
      </c>
      <c r="E1088" s="46" t="str">
        <f aca="false">IF(D1088&lt;&gt;"",IFERROR(VLOOKUP(D1088,PROVEEDORES!$A:$B,2,0),"!COD NO ENCONTRADO"),"")</f>
        <v>PERFECTO MONTERO</v>
      </c>
      <c r="F1088" s="88" t="str">
        <f aca="false">IF(D1088&lt;&gt;"",IFERROR(VLOOKUP(D1088,PROVEEDORES!$A:$C,3,0),""),"")</f>
        <v>S</v>
      </c>
      <c r="G1088" s="92" t="s">
        <v>135</v>
      </c>
      <c r="H1088" s="52" t="str">
        <f aca="false">IF(G1088&lt;&gt;"",IFERROR(VLOOKUP(G1088,PRODUCTOS!$A:$B,2,0),"!COD NO ENCONTRADO"),"")</f>
        <v>CONGRIO 10+  (COE)</v>
      </c>
      <c r="I1088" s="94" t="n">
        <v>2</v>
      </c>
      <c r="J1088" s="130" t="n">
        <v>25.75</v>
      </c>
      <c r="K1088" s="131" t="n">
        <v>4.5</v>
      </c>
      <c r="L1088" s="80" t="n">
        <f aca="false">IF(AND(J1088&lt;&gt;"",K1088&lt;&gt;""),J1088*K1088,"")</f>
        <v>115.875</v>
      </c>
      <c r="M1088" s="81" t="n">
        <f aca="false">IF(L1088&lt;&gt;"",L1088*1.1,"")</f>
        <v>127.4625</v>
      </c>
      <c r="N1088" s="53" t="n">
        <f aca="false">IF(F1088="S",L1088*0.02,0)</f>
        <v>2.3175</v>
      </c>
      <c r="O1088" s="82" t="n">
        <f aca="false">IF(L1088&lt;&gt;"",L1088+N1088,"")</f>
        <v>118.1925</v>
      </c>
      <c r="P1088" s="53" t="n">
        <f aca="false">IF(O1088&lt;&gt;"",O1088*0.1,"")</f>
        <v>11.81925</v>
      </c>
      <c r="Q1088" s="83" t="n">
        <f aca="false">IF(O1088&lt;&gt;"",O1088+P1088,"")</f>
        <v>130.01175</v>
      </c>
      <c r="R1088" s="84" t="s">
        <v>365</v>
      </c>
    </row>
    <row r="1089" customFormat="false" ht="15" hidden="false" customHeight="true" outlineLevel="0" collapsed="false">
      <c r="A1089" s="128" t="n">
        <v>56142</v>
      </c>
      <c r="B1089" s="132" t="n">
        <v>46232</v>
      </c>
      <c r="C1089" s="133" t="n">
        <v>8909</v>
      </c>
      <c r="D1089" s="134" t="n">
        <v>50069</v>
      </c>
      <c r="E1089" s="52" t="str">
        <f aca="false">IF(D1089&lt;&gt;"",IFERROR(VLOOKUP(D1089,PROVEEDORES!$A:$B,2,0),"!COD NO ENCONTRADO"),"")</f>
        <v>PESCADOS ILLANES S.L.</v>
      </c>
      <c r="F1089" s="76" t="str">
        <f aca="false">IF(D1089&lt;&gt;"",IFERROR(VLOOKUP(D1089,PROVEEDORES!$A:$C,3,0),""),"")</f>
        <v>S</v>
      </c>
      <c r="G1089" s="134" t="s">
        <v>219</v>
      </c>
      <c r="H1089" s="46" t="str">
        <f aca="false">IF(G1089&lt;&gt;"",IFERROR(VLOOKUP(G1089,PRODUCTOS!$A:$B,2,0),"!COD NO ENCONTRADO"),"")</f>
        <v>MERLUZA EUROPEA PINCHO COSTA 600</v>
      </c>
      <c r="I1089" s="135" t="n">
        <v>2</v>
      </c>
      <c r="J1089" s="136" t="n">
        <v>29.5</v>
      </c>
      <c r="K1089" s="137" t="n">
        <v>4</v>
      </c>
      <c r="L1089" s="80" t="n">
        <f aca="false">IF(AND(J1089&lt;&gt;"",K1089&lt;&gt;""),J1089*K1089,"")</f>
        <v>118</v>
      </c>
      <c r="M1089" s="81" t="n">
        <f aca="false">IF(L1089&lt;&gt;"",L1089*1.1,"")</f>
        <v>129.8</v>
      </c>
      <c r="N1089" s="47" t="n">
        <f aca="false">IF(F1089="S",L1089*0.02,0)</f>
        <v>2.36</v>
      </c>
      <c r="O1089" s="82" t="n">
        <f aca="false">IF(L1089&lt;&gt;"",L1089+N1089,"")</f>
        <v>120.36</v>
      </c>
      <c r="P1089" s="47" t="n">
        <f aca="false">IF(O1089&lt;&gt;"",O1089*0.1,"")</f>
        <v>12.036</v>
      </c>
      <c r="Q1089" s="83" t="n">
        <f aca="false">IF(O1089&lt;&gt;"",O1089+P1089,"")</f>
        <v>132.396</v>
      </c>
      <c r="R1089" s="84" t="s">
        <v>365</v>
      </c>
    </row>
    <row r="1090" customFormat="false" ht="15" hidden="false" customHeight="true" outlineLevel="0" collapsed="false">
      <c r="A1090" s="128" t="n">
        <v>56143</v>
      </c>
      <c r="B1090" s="132" t="n">
        <v>46232</v>
      </c>
      <c r="C1090" s="127" t="n">
        <v>34196</v>
      </c>
      <c r="D1090" s="92" t="n">
        <v>50106</v>
      </c>
      <c r="E1090" s="46" t="str">
        <f aca="false">IF(D1090&lt;&gt;"",IFERROR(VLOOKUP(D1090,PROVEEDORES!$A:$B,2,0),"!COD NO ENCONTRADO"),"")</f>
        <v>SONIA VENTAS S.L</v>
      </c>
      <c r="F1090" s="88" t="str">
        <f aca="false">IF(D1090&lt;&gt;"",IFERROR(VLOOKUP(D1090,PROVEEDORES!$A:$C,3,0),""),"")</f>
        <v>S</v>
      </c>
      <c r="G1090" s="92" t="s">
        <v>221</v>
      </c>
      <c r="H1090" s="52" t="str">
        <f aca="false">IF(G1090&lt;&gt;"",IFERROR(VLOOKUP(G1090,PRODUCTOS!$A:$B,2,0),"!COD NO ENCONTRADO"),"")</f>
        <v>MERLUZA EUROPEA PINCHO COSTA 800</v>
      </c>
      <c r="I1090" s="94" t="n">
        <v>2</v>
      </c>
      <c r="J1090" s="130" t="n">
        <v>28</v>
      </c>
      <c r="K1090" s="131" t="n">
        <v>5.7</v>
      </c>
      <c r="L1090" s="80" t="n">
        <f aca="false">IF(AND(J1090&lt;&gt;"",K1090&lt;&gt;""),J1090*K1090,"")</f>
        <v>159.6</v>
      </c>
      <c r="M1090" s="81" t="n">
        <f aca="false">IF(L1090&lt;&gt;"",L1090*1.1,"")</f>
        <v>175.56</v>
      </c>
      <c r="N1090" s="53" t="n">
        <f aca="false">IF(F1090="S",L1090*0.02,0)</f>
        <v>3.192</v>
      </c>
      <c r="O1090" s="82" t="n">
        <f aca="false">IF(L1090&lt;&gt;"",L1090+N1090,"")</f>
        <v>162.792</v>
      </c>
      <c r="P1090" s="53" t="n">
        <f aca="false">IF(O1090&lt;&gt;"",O1090*0.1,"")</f>
        <v>16.2792</v>
      </c>
      <c r="Q1090" s="83" t="n">
        <f aca="false">IF(O1090&lt;&gt;"",O1090+P1090,"")</f>
        <v>179.0712</v>
      </c>
      <c r="R1090" s="84" t="s">
        <v>365</v>
      </c>
    </row>
    <row r="1091" customFormat="false" ht="15" hidden="false" customHeight="true" outlineLevel="0" collapsed="false">
      <c r="A1091" s="128" t="n">
        <v>56143</v>
      </c>
      <c r="B1091" s="132" t="n">
        <v>46232</v>
      </c>
      <c r="C1091" s="127" t="n">
        <v>34196</v>
      </c>
      <c r="D1091" s="92" t="n">
        <v>50106</v>
      </c>
      <c r="E1091" s="52" t="str">
        <f aca="false">IF(D1091&lt;&gt;"",IFERROR(VLOOKUP(D1091,PROVEEDORES!$A:$B,2,0),"!COD NO ENCONTRADO"),"")</f>
        <v>SONIA VENTAS S.L</v>
      </c>
      <c r="F1091" s="76" t="str">
        <f aca="false">IF(D1091&lt;&gt;"",IFERROR(VLOOKUP(D1091,PROVEEDORES!$A:$C,3,0),""),"")</f>
        <v>S</v>
      </c>
      <c r="G1091" s="134" t="s">
        <v>221</v>
      </c>
      <c r="H1091" s="46" t="str">
        <f aca="false">IF(G1091&lt;&gt;"",IFERROR(VLOOKUP(G1091,PRODUCTOS!$A:$B,2,0),"!COD NO ENCONTRADO"),"")</f>
        <v>MERLUZA EUROPEA PINCHO COSTA 800</v>
      </c>
      <c r="I1091" s="135" t="n">
        <v>8</v>
      </c>
      <c r="J1091" s="136" t="n">
        <v>110.5</v>
      </c>
      <c r="K1091" s="137" t="n">
        <v>5.7</v>
      </c>
      <c r="L1091" s="80" t="n">
        <f aca="false">IF(AND(J1091&lt;&gt;"",K1091&lt;&gt;""),J1091*K1091,"")</f>
        <v>629.85</v>
      </c>
      <c r="M1091" s="81" t="n">
        <f aca="false">IF(L1091&lt;&gt;"",L1091*1.1,"")</f>
        <v>692.835</v>
      </c>
      <c r="N1091" s="47" t="n">
        <f aca="false">IF(F1091="S",L1091*0.02,0)</f>
        <v>12.597</v>
      </c>
      <c r="O1091" s="82" t="n">
        <f aca="false">IF(L1091&lt;&gt;"",L1091+N1091,"")</f>
        <v>642.447</v>
      </c>
      <c r="P1091" s="47" t="n">
        <f aca="false">IF(O1091&lt;&gt;"",O1091*0.1,"")</f>
        <v>64.2447</v>
      </c>
      <c r="Q1091" s="83" t="n">
        <f aca="false">IF(O1091&lt;&gt;"",O1091+P1091,"")</f>
        <v>706.6917</v>
      </c>
      <c r="R1091" s="84" t="s">
        <v>365</v>
      </c>
    </row>
    <row r="1092" customFormat="false" ht="15" hidden="false" customHeight="true" outlineLevel="0" collapsed="false">
      <c r="A1092" s="128" t="n">
        <v>56143</v>
      </c>
      <c r="B1092" s="132" t="n">
        <v>46232</v>
      </c>
      <c r="C1092" s="127" t="n">
        <v>34196</v>
      </c>
      <c r="D1092" s="92" t="n">
        <v>50106</v>
      </c>
      <c r="E1092" s="46" t="str">
        <f aca="false">IF(D1092&lt;&gt;"",IFERROR(VLOOKUP(D1092,PROVEEDORES!$A:$B,2,0),"!COD NO ENCONTRADO"),"")</f>
        <v>SONIA VENTAS S.L</v>
      </c>
      <c r="F1092" s="88" t="str">
        <f aca="false">IF(D1092&lt;&gt;"",IFERROR(VLOOKUP(D1092,PROVEEDORES!$A:$C,3,0),""),"")</f>
        <v>S</v>
      </c>
      <c r="G1092" s="92" t="s">
        <v>223</v>
      </c>
      <c r="H1092" s="52" t="str">
        <f aca="false">IF(G1092&lt;&gt;"",IFERROR(VLOOKUP(G1092,PRODUCTOS!$A:$B,2,0),"!COD NO ENCONTRADO"),"")</f>
        <v>MERLUZA EUROPEA PINCHO COSTA 1000</v>
      </c>
      <c r="I1092" s="94" t="n">
        <v>16</v>
      </c>
      <c r="J1092" s="139" t="n">
        <v>217.25</v>
      </c>
      <c r="K1092" s="138" t="n">
        <v>6</v>
      </c>
      <c r="L1092" s="80" t="n">
        <f aca="false">IF(AND(J1092&lt;&gt;"",K1092&lt;&gt;""),J1092*K1092,"")</f>
        <v>1303.5</v>
      </c>
      <c r="M1092" s="81" t="n">
        <f aca="false">IF(L1092&lt;&gt;"",L1092*1.1,"")</f>
        <v>1433.85</v>
      </c>
      <c r="N1092" s="53" t="n">
        <f aca="false">IF(F1092="S",L1092*0.02,0)</f>
        <v>26.07</v>
      </c>
      <c r="O1092" s="82" t="n">
        <f aca="false">IF(L1092&lt;&gt;"",L1092+N1092,"")</f>
        <v>1329.57</v>
      </c>
      <c r="P1092" s="53" t="n">
        <f aca="false">IF(O1092&lt;&gt;"",O1092*0.1,"")</f>
        <v>132.957</v>
      </c>
      <c r="Q1092" s="83" t="n">
        <f aca="false">IF(O1092&lt;&gt;"",O1092+P1092,"")</f>
        <v>1462.527</v>
      </c>
      <c r="R1092" s="84" t="s">
        <v>365</v>
      </c>
    </row>
    <row r="1093" customFormat="false" ht="15" hidden="false" customHeight="true" outlineLevel="0" collapsed="false">
      <c r="A1093" s="128" t="n">
        <v>56143</v>
      </c>
      <c r="B1093" s="132" t="n">
        <v>46232</v>
      </c>
      <c r="C1093" s="127" t="n">
        <v>34196</v>
      </c>
      <c r="D1093" s="92" t="n">
        <v>50106</v>
      </c>
      <c r="E1093" s="52" t="str">
        <f aca="false">IF(D1093&lt;&gt;"",IFERROR(VLOOKUP(D1093,PROVEEDORES!$A:$B,2,0),"!COD NO ENCONTRADO"),"")</f>
        <v>SONIA VENTAS S.L</v>
      </c>
      <c r="F1093" s="76" t="str">
        <f aca="false">IF(D1093&lt;&gt;"",IFERROR(VLOOKUP(D1093,PROVEEDORES!$A:$C,3,0),""),"")</f>
        <v>S</v>
      </c>
      <c r="G1093" s="134" t="s">
        <v>223</v>
      </c>
      <c r="H1093" s="46" t="str">
        <f aca="false">IF(G1093&lt;&gt;"",IFERROR(VLOOKUP(G1093,PRODUCTOS!$A:$B,2,0),"!COD NO ENCONTRADO"),"")</f>
        <v>MERLUZA EUROPEA PINCHO COSTA 1000</v>
      </c>
      <c r="I1093" s="135" t="n">
        <v>4</v>
      </c>
      <c r="J1093" s="139" t="n">
        <v>57.75</v>
      </c>
      <c r="K1093" s="138" t="n">
        <v>6.2</v>
      </c>
      <c r="L1093" s="80" t="n">
        <f aca="false">IF(AND(J1093&lt;&gt;"",K1093&lt;&gt;""),J1093*K1093,"")</f>
        <v>358.05</v>
      </c>
      <c r="M1093" s="81" t="n">
        <f aca="false">IF(L1093&lt;&gt;"",L1093*1.1,"")</f>
        <v>393.855</v>
      </c>
      <c r="N1093" s="47" t="n">
        <f aca="false">IF(F1093="S",L1093*0.02,0)</f>
        <v>7.161</v>
      </c>
      <c r="O1093" s="82" t="n">
        <f aca="false">IF(L1093&lt;&gt;"",L1093+N1093,"")</f>
        <v>365.211</v>
      </c>
      <c r="P1093" s="47" t="n">
        <f aca="false">IF(O1093&lt;&gt;"",O1093*0.1,"")</f>
        <v>36.5211</v>
      </c>
      <c r="Q1093" s="83" t="n">
        <f aca="false">IF(O1093&lt;&gt;"",O1093+P1093,"")</f>
        <v>401.7321</v>
      </c>
      <c r="R1093" s="84" t="s">
        <v>365</v>
      </c>
    </row>
    <row r="1094" customFormat="false" ht="15" hidden="false" customHeight="true" outlineLevel="0" collapsed="false">
      <c r="A1094" s="128" t="n">
        <v>56143</v>
      </c>
      <c r="B1094" s="132" t="n">
        <v>46232</v>
      </c>
      <c r="C1094" s="127" t="n">
        <v>34196</v>
      </c>
      <c r="D1094" s="92" t="n">
        <v>50106</v>
      </c>
      <c r="E1094" s="46" t="str">
        <f aca="false">IF(D1094&lt;&gt;"",IFERROR(VLOOKUP(D1094,PROVEEDORES!$A:$B,2,0),"!COD NO ENCONTRADO"),"")</f>
        <v>SONIA VENTAS S.L</v>
      </c>
      <c r="F1094" s="88" t="str">
        <f aca="false">IF(D1094&lt;&gt;"",IFERROR(VLOOKUP(D1094,PROVEEDORES!$A:$C,3,0),""),"")</f>
        <v>S</v>
      </c>
      <c r="G1094" s="92" t="s">
        <v>227</v>
      </c>
      <c r="H1094" s="52" t="str">
        <f aca="false">IF(G1094&lt;&gt;"",IFERROR(VLOOKUP(G1094,PRODUCTOS!$A:$B,2,0),"!COD NO ENCONTRADO"),"")</f>
        <v>MERLUZA EUROPEA PINCHO COSTA 1,5/2</v>
      </c>
      <c r="I1094" s="94" t="n">
        <v>2</v>
      </c>
      <c r="J1094" s="139" t="n">
        <v>27.25</v>
      </c>
      <c r="K1094" s="138" t="n">
        <v>11.8</v>
      </c>
      <c r="L1094" s="80" t="n">
        <f aca="false">IF(AND(J1094&lt;&gt;"",K1094&lt;&gt;""),J1094*K1094,"")</f>
        <v>321.55</v>
      </c>
      <c r="M1094" s="81" t="n">
        <f aca="false">IF(L1094&lt;&gt;"",L1094*1.1,"")</f>
        <v>353.705</v>
      </c>
      <c r="N1094" s="53" t="n">
        <f aca="false">IF(F1094="S",L1094*0.02,0)</f>
        <v>6.431</v>
      </c>
      <c r="O1094" s="82" t="n">
        <f aca="false">IF(L1094&lt;&gt;"",L1094+N1094,"")</f>
        <v>327.981</v>
      </c>
      <c r="P1094" s="53" t="n">
        <f aca="false">IF(O1094&lt;&gt;"",O1094*0.1,"")</f>
        <v>32.7981</v>
      </c>
      <c r="Q1094" s="83" t="n">
        <f aca="false">IF(O1094&lt;&gt;"",O1094+P1094,"")</f>
        <v>360.7791</v>
      </c>
      <c r="R1094" s="84" t="s">
        <v>365</v>
      </c>
    </row>
    <row r="1095" customFormat="false" ht="15" hidden="false" customHeight="true" outlineLevel="0" collapsed="false">
      <c r="A1095" s="128" t="n">
        <v>56143</v>
      </c>
      <c r="B1095" s="132" t="n">
        <v>46232</v>
      </c>
      <c r="C1095" s="127" t="n">
        <v>34196</v>
      </c>
      <c r="D1095" s="92" t="n">
        <v>50106</v>
      </c>
      <c r="E1095" s="52" t="str">
        <f aca="false">IF(D1095&lt;&gt;"",IFERROR(VLOOKUP(D1095,PROVEEDORES!$A:$B,2,0),"!COD NO ENCONTRADO"),"")</f>
        <v>SONIA VENTAS S.L</v>
      </c>
      <c r="F1095" s="76" t="str">
        <f aca="false">IF(D1095&lt;&gt;"",IFERROR(VLOOKUP(D1095,PROVEEDORES!$A:$C,3,0),""),"")</f>
        <v>S</v>
      </c>
      <c r="G1095" s="134" t="s">
        <v>227</v>
      </c>
      <c r="H1095" s="46" t="str">
        <f aca="false">IF(G1095&lt;&gt;"",IFERROR(VLOOKUP(G1095,PRODUCTOS!$A:$B,2,0),"!COD NO ENCONTRADO"),"")</f>
        <v>MERLUZA EUROPEA PINCHO COSTA 1,5/2</v>
      </c>
      <c r="I1095" s="135" t="n">
        <v>1</v>
      </c>
      <c r="J1095" s="139" t="n">
        <v>15.25</v>
      </c>
      <c r="K1095" s="138" t="n">
        <v>12.3</v>
      </c>
      <c r="L1095" s="80" t="n">
        <f aca="false">IF(AND(J1095&lt;&gt;"",K1095&lt;&gt;""),J1095*K1095,"")</f>
        <v>187.575</v>
      </c>
      <c r="M1095" s="81" t="n">
        <f aca="false">IF(L1095&lt;&gt;"",L1095*1.1,"")</f>
        <v>206.3325</v>
      </c>
      <c r="N1095" s="47" t="n">
        <f aca="false">IF(F1095="S",L1095*0.02,0)</f>
        <v>3.7515</v>
      </c>
      <c r="O1095" s="82" t="n">
        <f aca="false">IF(L1095&lt;&gt;"",L1095+N1095,"")</f>
        <v>191.3265</v>
      </c>
      <c r="P1095" s="47" t="n">
        <f aca="false">IF(O1095&lt;&gt;"",O1095*0.1,"")</f>
        <v>19.13265</v>
      </c>
      <c r="Q1095" s="83" t="n">
        <f aca="false">IF(O1095&lt;&gt;"",O1095+P1095,"")</f>
        <v>210.45915</v>
      </c>
      <c r="R1095" s="84" t="s">
        <v>365</v>
      </c>
    </row>
    <row r="1096" customFormat="false" ht="15" hidden="false" customHeight="true" outlineLevel="0" collapsed="false">
      <c r="A1096" s="128" t="n">
        <v>56144</v>
      </c>
      <c r="B1096" s="132" t="n">
        <v>46232</v>
      </c>
      <c r="C1096" s="127" t="n">
        <v>17928</v>
      </c>
      <c r="D1096" s="92" t="n">
        <v>50160</v>
      </c>
      <c r="E1096" s="46" t="str">
        <f aca="false">IF(D1096&lt;&gt;"",IFERROR(VLOOKUP(D1096,PROVEEDORES!$A:$B,2,0),"!COD NO ENCONTRADO"),"")</f>
        <v>SUBASTAS CORUÑA S.L.</v>
      </c>
      <c r="F1096" s="88" t="str">
        <f aca="false">IF(D1096&lt;&gt;"",IFERROR(VLOOKUP(D1096,PROVEEDORES!$A:$C,3,0),""),"")</f>
        <v>S</v>
      </c>
      <c r="G1096" s="92" t="s">
        <v>332</v>
      </c>
      <c r="H1096" s="52" t="str">
        <f aca="false">IF(G1096&lt;&gt;"",IFERROR(VLOOKUP(G1096,PRODUCTOS!$A:$B,2,0),"!COD NO ENCONTRADO"),"")</f>
        <v>VARIADO PEQUEÑO</v>
      </c>
      <c r="I1096" s="94" t="n">
        <v>9</v>
      </c>
      <c r="J1096" s="130" t="n">
        <v>44.75</v>
      </c>
      <c r="K1096" s="131" t="n">
        <v>0.5</v>
      </c>
      <c r="L1096" s="80" t="n">
        <f aca="false">IF(AND(J1096&lt;&gt;"",K1096&lt;&gt;""),J1096*K1096,"")</f>
        <v>22.375</v>
      </c>
      <c r="M1096" s="81" t="n">
        <f aca="false">IF(L1096&lt;&gt;"",L1096*1.1,"")</f>
        <v>24.6125</v>
      </c>
      <c r="N1096" s="53" t="n">
        <f aca="false">IF(F1096="S",L1096*0.02,0)</f>
        <v>0.4475</v>
      </c>
      <c r="O1096" s="82" t="n">
        <f aca="false">IF(L1096&lt;&gt;"",L1096+N1096,"")</f>
        <v>22.8225</v>
      </c>
      <c r="P1096" s="53" t="n">
        <f aca="false">IF(O1096&lt;&gt;"",O1096*0.1,"")</f>
        <v>2.28225</v>
      </c>
      <c r="Q1096" s="83" t="n">
        <f aca="false">IF(O1096&lt;&gt;"",O1096+P1096,"")</f>
        <v>25.10475</v>
      </c>
      <c r="R1096" s="84" t="s">
        <v>365</v>
      </c>
    </row>
    <row r="1097" customFormat="false" ht="15" hidden="false" customHeight="true" outlineLevel="0" collapsed="false">
      <c r="A1097" s="128" t="n">
        <v>56144</v>
      </c>
      <c r="B1097" s="132" t="n">
        <v>46232</v>
      </c>
      <c r="C1097" s="133" t="n">
        <v>17928</v>
      </c>
      <c r="D1097" s="134" t="n">
        <v>50160</v>
      </c>
      <c r="E1097" s="52" t="str">
        <f aca="false">IF(D1097&lt;&gt;"",IFERROR(VLOOKUP(D1097,PROVEEDORES!$A:$B,2,0),"!COD NO ENCONTRADO"),"")</f>
        <v>SUBASTAS CORUÑA S.L.</v>
      </c>
      <c r="F1097" s="76" t="str">
        <f aca="false">IF(D1097&lt;&gt;"",IFERROR(VLOOKUP(D1097,PROVEEDORES!$A:$C,3,0),""),"")</f>
        <v>S</v>
      </c>
      <c r="G1097" s="134" t="s">
        <v>276</v>
      </c>
      <c r="H1097" s="46" t="str">
        <f aca="false">IF(G1097&lt;&gt;"",IFERROR(VLOOKUP(G1097,PRODUCTOS!$A:$B,2,0),"!COD NO ENCONTRADO"),"")</f>
        <v>MERLUZA EUROPEA/ FINA DIA </v>
      </c>
      <c r="I1097" s="135" t="n">
        <v>11</v>
      </c>
      <c r="J1097" s="139" t="n">
        <v>67.75</v>
      </c>
      <c r="K1097" s="137" t="n">
        <v>2.6</v>
      </c>
      <c r="L1097" s="80" t="n">
        <f aca="false">IF(AND(J1097&lt;&gt;"",K1097&lt;&gt;""),J1097*K1097,"")</f>
        <v>176.15</v>
      </c>
      <c r="M1097" s="81" t="n">
        <f aca="false">IF(L1097&lt;&gt;"",L1097*1.1,"")</f>
        <v>193.765</v>
      </c>
      <c r="N1097" s="47" t="n">
        <f aca="false">IF(F1097="S",L1097*0.02,0)</f>
        <v>3.523</v>
      </c>
      <c r="O1097" s="82" t="n">
        <f aca="false">IF(L1097&lt;&gt;"",L1097+N1097,"")</f>
        <v>179.673</v>
      </c>
      <c r="P1097" s="47" t="n">
        <f aca="false">IF(O1097&lt;&gt;"",O1097*0.1,"")</f>
        <v>17.9673</v>
      </c>
      <c r="Q1097" s="83" t="n">
        <f aca="false">IF(O1097&lt;&gt;"",O1097+P1097,"")</f>
        <v>197.6403</v>
      </c>
      <c r="R1097" s="84" t="s">
        <v>365</v>
      </c>
    </row>
    <row r="1098" customFormat="false" ht="15" hidden="false" customHeight="true" outlineLevel="0" collapsed="false">
      <c r="A1098" s="128" t="n">
        <v>56145</v>
      </c>
      <c r="B1098" s="132" t="n">
        <v>46232</v>
      </c>
      <c r="C1098" s="127"/>
      <c r="D1098" s="92" t="n">
        <v>50163</v>
      </c>
      <c r="E1098" s="46" t="str">
        <f aca="false">IF(D1098&lt;&gt;"",IFERROR(VLOOKUP(D1098,PROVEEDORES!$A:$B,2,0),"!COD NO ENCONTRADO"),"")</f>
        <v>SUBASTAS RIVERA S.L.</v>
      </c>
      <c r="F1098" s="88" t="str">
        <f aca="false">IF(D1098&lt;&gt;"",IFERROR(VLOOKUP(D1098,PROVEEDORES!$A:$C,3,0),""),"")</f>
        <v>S</v>
      </c>
      <c r="G1098" s="92" t="s">
        <v>135</v>
      </c>
      <c r="H1098" s="52" t="str">
        <f aca="false">IF(G1098&lt;&gt;"",IFERROR(VLOOKUP(G1098,PRODUCTOS!$A:$B,2,0),"!COD NO ENCONTRADO"),"")</f>
        <v>CONGRIO 10+  (COE)</v>
      </c>
      <c r="I1098" s="94" t="n">
        <v>1</v>
      </c>
      <c r="J1098" s="130" t="n">
        <v>13.5</v>
      </c>
      <c r="K1098" s="131" t="n">
        <v>4.2</v>
      </c>
      <c r="L1098" s="80" t="n">
        <f aca="false">IF(AND(J1098&lt;&gt;"",K1098&lt;&gt;""),J1098*K1098,"")</f>
        <v>56.7</v>
      </c>
      <c r="M1098" s="81" t="n">
        <f aca="false">IF(L1098&lt;&gt;"",L1098*1.1,"")</f>
        <v>62.37</v>
      </c>
      <c r="N1098" s="53" t="n">
        <f aca="false">IF(F1098="S",L1098*0.02,0)</f>
        <v>1.134</v>
      </c>
      <c r="O1098" s="82" t="n">
        <f aca="false">IF(L1098&lt;&gt;"",L1098+N1098,"")</f>
        <v>57.834</v>
      </c>
      <c r="P1098" s="53" t="n">
        <f aca="false">IF(O1098&lt;&gt;"",O1098*0.1,"")</f>
        <v>5.7834</v>
      </c>
      <c r="Q1098" s="83" t="n">
        <f aca="false">IF(O1098&lt;&gt;"",O1098+P1098,"")</f>
        <v>63.6174</v>
      </c>
      <c r="R1098" s="84" t="s">
        <v>358</v>
      </c>
    </row>
    <row r="1099" customFormat="false" ht="15" hidden="false" customHeight="true" outlineLevel="0" collapsed="false">
      <c r="A1099" s="128" t="n">
        <v>56145</v>
      </c>
      <c r="B1099" s="132" t="n">
        <v>46232</v>
      </c>
      <c r="C1099" s="133"/>
      <c r="D1099" s="134" t="n">
        <v>50163</v>
      </c>
      <c r="E1099" s="52" t="str">
        <f aca="false">IF(D1099&lt;&gt;"",IFERROR(VLOOKUP(D1099,PROVEEDORES!$A:$B,2,0),"!COD NO ENCONTRADO"),"")</f>
        <v>SUBASTAS RIVERA S.L.</v>
      </c>
      <c r="F1099" s="76" t="str">
        <f aca="false">IF(D1099&lt;&gt;"",IFERROR(VLOOKUP(D1099,PROVEEDORES!$A:$C,3,0),""),"")</f>
        <v>S</v>
      </c>
      <c r="G1099" s="134" t="s">
        <v>288</v>
      </c>
      <c r="H1099" s="46" t="str">
        <f aca="false">IF(G1099&lt;&gt;"",IFERROR(VLOOKUP(G1099,PRODUCTOS!$A:$B,2,0),"!COD NO ENCONTRADO"),"")</f>
        <v>RAPE BLANCO DIA (MON)</v>
      </c>
      <c r="I1099" s="135" t="n">
        <v>1</v>
      </c>
      <c r="J1099" s="136" t="n">
        <v>11</v>
      </c>
      <c r="K1099" s="137" t="n">
        <v>9.5</v>
      </c>
      <c r="L1099" s="80" t="n">
        <f aca="false">IF(AND(J1099&lt;&gt;"",K1099&lt;&gt;""),J1099*K1099,"")</f>
        <v>104.5</v>
      </c>
      <c r="M1099" s="81" t="n">
        <f aca="false">IF(L1099&lt;&gt;"",L1099*1.1,"")</f>
        <v>114.95</v>
      </c>
      <c r="N1099" s="47" t="n">
        <f aca="false">IF(F1099="S",L1099*0.02,0)</f>
        <v>2.09</v>
      </c>
      <c r="O1099" s="82" t="n">
        <f aca="false">IF(L1099&lt;&gt;"",L1099+N1099,"")</f>
        <v>106.59</v>
      </c>
      <c r="P1099" s="47" t="n">
        <f aca="false">IF(O1099&lt;&gt;"",O1099*0.1,"")</f>
        <v>10.659</v>
      </c>
      <c r="Q1099" s="83" t="n">
        <f aca="false">IF(O1099&lt;&gt;"",O1099+P1099,"")</f>
        <v>117.249</v>
      </c>
      <c r="R1099" s="84" t="s">
        <v>358</v>
      </c>
    </row>
    <row r="1100" customFormat="false" ht="15" hidden="false" customHeight="true" outlineLevel="0" collapsed="false">
      <c r="A1100" s="128" t="n">
        <v>56145</v>
      </c>
      <c r="B1100" s="132" t="n">
        <v>46232</v>
      </c>
      <c r="C1100" s="127"/>
      <c r="D1100" s="92" t="n">
        <v>50163</v>
      </c>
      <c r="E1100" s="46" t="str">
        <f aca="false">IF(D1100&lt;&gt;"",IFERROR(VLOOKUP(D1100,PROVEEDORES!$A:$B,2,0),"!COD NO ENCONTRADO"),"")</f>
        <v>SUBASTAS RIVERA S.L.</v>
      </c>
      <c r="F1100" s="88" t="str">
        <f aca="false">IF(D1100&lt;&gt;"",IFERROR(VLOOKUP(D1100,PROVEEDORES!$A:$C,3,0),""),"")</f>
        <v>S</v>
      </c>
      <c r="G1100" s="92" t="s">
        <v>103</v>
      </c>
      <c r="H1100" s="52" t="str">
        <f aca="false">IF(G1100&lt;&gt;"",IFERROR(VLOOKUP(G1100,PRODUCTOS!$A:$B,2,0),"!COD NO ENCONTRADO"),"")</f>
        <v>CABRAS/ GALLINETA (BRF)</v>
      </c>
      <c r="I1100" s="94" t="n">
        <v>1</v>
      </c>
      <c r="J1100" s="130" t="n">
        <v>1.25</v>
      </c>
      <c r="K1100" s="131" t="n">
        <v>7.8</v>
      </c>
      <c r="L1100" s="80" t="n">
        <f aca="false">IF(AND(J1100&lt;&gt;"",K1100&lt;&gt;""),J1100*K1100,"")</f>
        <v>9.75</v>
      </c>
      <c r="M1100" s="81" t="n">
        <f aca="false">IF(L1100&lt;&gt;"",L1100*1.1,"")</f>
        <v>10.725</v>
      </c>
      <c r="N1100" s="53" t="n">
        <f aca="false">IF(F1100="S",L1100*0.02,0)</f>
        <v>0.195</v>
      </c>
      <c r="O1100" s="82" t="n">
        <f aca="false">IF(L1100&lt;&gt;"",L1100+N1100,"")</f>
        <v>9.945</v>
      </c>
      <c r="P1100" s="53" t="n">
        <f aca="false">IF(O1100&lt;&gt;"",O1100*0.1,"")</f>
        <v>0.9945</v>
      </c>
      <c r="Q1100" s="83" t="n">
        <f aca="false">IF(O1100&lt;&gt;"",O1100+P1100,"")</f>
        <v>10.9395</v>
      </c>
      <c r="R1100" s="84" t="s">
        <v>358</v>
      </c>
    </row>
    <row r="1101" customFormat="false" ht="15" hidden="false" customHeight="true" outlineLevel="0" collapsed="false">
      <c r="A1101" s="128" t="n">
        <v>56146</v>
      </c>
      <c r="B1101" s="132" t="n">
        <v>46232</v>
      </c>
      <c r="C1101" s="133" t="s">
        <v>535</v>
      </c>
      <c r="D1101" s="134" t="n">
        <v>50218</v>
      </c>
      <c r="E1101" s="52" t="str">
        <f aca="false">IF(D1101&lt;&gt;"",IFERROR(VLOOKUP(D1101,PROVEEDORES!$A:$B,2,0),"!COD NO ENCONTRADO"),"")</f>
        <v>ACERGA </v>
      </c>
      <c r="F1101" s="76" t="str">
        <f aca="false">IF(D1101&lt;&gt;"",IFERROR(VLOOKUP(D1101,PROVEEDORES!$A:$C,3,0),""),"")</f>
        <v>S</v>
      </c>
      <c r="G1101" s="134" t="s">
        <v>93</v>
      </c>
      <c r="H1101" s="46" t="str">
        <f aca="false">IF(G1101&lt;&gt;"",IFERROR(VLOOKUP(G1101,PRODUCTOS!$A:$B,2,0),"!COD NO ENCONTRADO"),"")</f>
        <v>BOQUERON/ BOCARTE/ ANCHOA (ANE)</v>
      </c>
      <c r="I1101" s="135" t="n">
        <v>40</v>
      </c>
      <c r="J1101" s="136" t="n">
        <v>388</v>
      </c>
      <c r="K1101" s="137" t="n">
        <v>1.55</v>
      </c>
      <c r="L1101" s="80" t="n">
        <f aca="false">IF(AND(J1101&lt;&gt;"",K1101&lt;&gt;""),J1101*K1101,"")</f>
        <v>601.4</v>
      </c>
      <c r="M1101" s="81" t="n">
        <f aca="false">IF(L1101&lt;&gt;"",L1101*1.1,"")</f>
        <v>661.54</v>
      </c>
      <c r="N1101" s="47" t="n">
        <f aca="false">IF(F1101="S",L1101*0.02,0)</f>
        <v>12.028</v>
      </c>
      <c r="O1101" s="82" t="n">
        <f aca="false">IF(L1101&lt;&gt;"",L1101+N1101,"")</f>
        <v>613.428</v>
      </c>
      <c r="P1101" s="47" t="n">
        <f aca="false">IF(O1101&lt;&gt;"",O1101*0.1,"")</f>
        <v>61.3428</v>
      </c>
      <c r="Q1101" s="83" t="n">
        <f aca="false">IF(O1101&lt;&gt;"",O1101+P1101,"")</f>
        <v>674.7708</v>
      </c>
      <c r="R1101" s="84" t="s">
        <v>365</v>
      </c>
    </row>
    <row r="1102" customFormat="false" ht="15" hidden="false" customHeight="true" outlineLevel="0" collapsed="false">
      <c r="A1102" s="128" t="n">
        <v>56146</v>
      </c>
      <c r="B1102" s="132" t="n">
        <v>46232</v>
      </c>
      <c r="C1102" s="133" t="s">
        <v>535</v>
      </c>
      <c r="D1102" s="134" t="n">
        <v>50218</v>
      </c>
      <c r="E1102" s="46" t="str">
        <f aca="false">IF(D1102&lt;&gt;"",IFERROR(VLOOKUP(D1102,PROVEEDORES!$A:$B,2,0),"!COD NO ENCONTRADO"),"")</f>
        <v>ACERGA </v>
      </c>
      <c r="F1102" s="88" t="str">
        <f aca="false">IF(D1102&lt;&gt;"",IFERROR(VLOOKUP(D1102,PROVEEDORES!$A:$C,3,0),""),"")</f>
        <v>S</v>
      </c>
      <c r="G1102" s="92" t="s">
        <v>93</v>
      </c>
      <c r="H1102" s="52" t="str">
        <f aca="false">IF(G1102&lt;&gt;"",IFERROR(VLOOKUP(G1102,PRODUCTOS!$A:$B,2,0),"!COD NO ENCONTRADO"),"")</f>
        <v>BOQUERON/ BOCARTE/ ANCHOA (ANE)</v>
      </c>
      <c r="I1102" s="94" t="n">
        <v>40</v>
      </c>
      <c r="J1102" s="130" t="n">
        <v>370</v>
      </c>
      <c r="K1102" s="131" t="n">
        <v>1.55</v>
      </c>
      <c r="L1102" s="80" t="n">
        <f aca="false">IF(AND(J1102&lt;&gt;"",K1102&lt;&gt;""),J1102*K1102,"")</f>
        <v>573.5</v>
      </c>
      <c r="M1102" s="81" t="n">
        <f aca="false">IF(L1102&lt;&gt;"",L1102*1.1,"")</f>
        <v>630.85</v>
      </c>
      <c r="N1102" s="53" t="n">
        <f aca="false">IF(F1102="S",L1102*0.02,0)</f>
        <v>11.47</v>
      </c>
      <c r="O1102" s="82" t="n">
        <f aca="false">IF(L1102&lt;&gt;"",L1102+N1102,"")</f>
        <v>584.97</v>
      </c>
      <c r="P1102" s="53" t="n">
        <f aca="false">IF(O1102&lt;&gt;"",O1102*0.1,"")</f>
        <v>58.497</v>
      </c>
      <c r="Q1102" s="83" t="n">
        <f aca="false">IF(O1102&lt;&gt;"",O1102+P1102,"")</f>
        <v>643.467</v>
      </c>
      <c r="R1102" s="84" t="s">
        <v>365</v>
      </c>
    </row>
    <row r="1103" customFormat="false" ht="15" hidden="false" customHeight="true" outlineLevel="0" collapsed="false">
      <c r="A1103" s="128" t="n">
        <v>56146</v>
      </c>
      <c r="B1103" s="132" t="n">
        <v>46232</v>
      </c>
      <c r="C1103" s="133" t="s">
        <v>535</v>
      </c>
      <c r="D1103" s="134" t="n">
        <v>50218</v>
      </c>
      <c r="E1103" s="52" t="str">
        <f aca="false">IF(D1103&lt;&gt;"",IFERROR(VLOOKUP(D1103,PROVEEDORES!$A:$B,2,0),"!COD NO ENCONTRADO"),"")</f>
        <v>ACERGA </v>
      </c>
      <c r="F1103" s="76" t="str">
        <f aca="false">IF(D1103&lt;&gt;"",IFERROR(VLOOKUP(D1103,PROVEEDORES!$A:$C,3,0),""),"")</f>
        <v>S</v>
      </c>
      <c r="G1103" s="134" t="s">
        <v>93</v>
      </c>
      <c r="H1103" s="46" t="str">
        <f aca="false">IF(G1103&lt;&gt;"",IFERROR(VLOOKUP(G1103,PRODUCTOS!$A:$B,2,0),"!COD NO ENCONTRADO"),"")</f>
        <v>BOQUERON/ BOCARTE/ ANCHOA (ANE)</v>
      </c>
      <c r="I1103" s="135" t="n">
        <v>40</v>
      </c>
      <c r="J1103" s="136" t="n">
        <v>395</v>
      </c>
      <c r="K1103" s="137" t="n">
        <v>1.65</v>
      </c>
      <c r="L1103" s="80" t="n">
        <f aca="false">IF(AND(J1103&lt;&gt;"",K1103&lt;&gt;""),J1103*K1103,"")</f>
        <v>651.75</v>
      </c>
      <c r="M1103" s="81" t="n">
        <f aca="false">IF(L1103&lt;&gt;"",L1103*1.1,"")</f>
        <v>716.925</v>
      </c>
      <c r="N1103" s="47" t="n">
        <f aca="false">IF(F1103="S",L1103*0.02,0)</f>
        <v>13.035</v>
      </c>
      <c r="O1103" s="82" t="n">
        <f aca="false">IF(L1103&lt;&gt;"",L1103+N1103,"")</f>
        <v>664.785</v>
      </c>
      <c r="P1103" s="47" t="n">
        <f aca="false">IF(O1103&lt;&gt;"",O1103*0.1,"")</f>
        <v>66.4785</v>
      </c>
      <c r="Q1103" s="83" t="n">
        <f aca="false">IF(O1103&lt;&gt;"",O1103+P1103,"")</f>
        <v>731.2635</v>
      </c>
      <c r="R1103" s="84" t="s">
        <v>365</v>
      </c>
    </row>
    <row r="1104" customFormat="false" ht="15" hidden="false" customHeight="true" outlineLevel="0" collapsed="false">
      <c r="A1104" s="128" t="n">
        <v>56146</v>
      </c>
      <c r="B1104" s="132" t="n">
        <v>46232</v>
      </c>
      <c r="C1104" s="133" t="s">
        <v>535</v>
      </c>
      <c r="D1104" s="134" t="n">
        <v>50218</v>
      </c>
      <c r="E1104" s="46" t="str">
        <f aca="false">IF(D1104&lt;&gt;"",IFERROR(VLOOKUP(D1104,PROVEEDORES!$A:$B,2,0),"!COD NO ENCONTRADO"),"")</f>
        <v>ACERGA </v>
      </c>
      <c r="F1104" s="88" t="str">
        <f aca="false">IF(D1104&lt;&gt;"",IFERROR(VLOOKUP(D1104,PROVEEDORES!$A:$C,3,0),""),"")</f>
        <v>S</v>
      </c>
      <c r="G1104" s="92" t="s">
        <v>93</v>
      </c>
      <c r="H1104" s="52" t="str">
        <f aca="false">IF(G1104&lt;&gt;"",IFERROR(VLOOKUP(G1104,PRODUCTOS!$A:$B,2,0),"!COD NO ENCONTRADO"),"")</f>
        <v>BOQUERON/ BOCARTE/ ANCHOA (ANE)</v>
      </c>
      <c r="I1104" s="94" t="n">
        <v>40</v>
      </c>
      <c r="J1104" s="130" t="n">
        <v>414</v>
      </c>
      <c r="K1104" s="131" t="n">
        <v>1.65</v>
      </c>
      <c r="L1104" s="80" t="n">
        <f aca="false">IF(AND(J1104&lt;&gt;"",K1104&lt;&gt;""),J1104*K1104,"")</f>
        <v>683.1</v>
      </c>
      <c r="M1104" s="81" t="n">
        <f aca="false">IF(L1104&lt;&gt;"",L1104*1.1,"")</f>
        <v>751.41</v>
      </c>
      <c r="N1104" s="53" t="n">
        <f aca="false">IF(F1104="S",L1104*0.02,0)</f>
        <v>13.662</v>
      </c>
      <c r="O1104" s="82" t="n">
        <f aca="false">IF(L1104&lt;&gt;"",L1104+N1104,"")</f>
        <v>696.762</v>
      </c>
      <c r="P1104" s="53" t="n">
        <f aca="false">IF(O1104&lt;&gt;"",O1104*0.1,"")</f>
        <v>69.6762</v>
      </c>
      <c r="Q1104" s="83" t="n">
        <f aca="false">IF(O1104&lt;&gt;"",O1104+P1104,"")</f>
        <v>766.4382</v>
      </c>
      <c r="R1104" s="84" t="s">
        <v>365</v>
      </c>
    </row>
    <row r="1105" customFormat="false" ht="15" hidden="false" customHeight="true" outlineLevel="0" collapsed="false">
      <c r="A1105" s="128" t="n">
        <v>56147</v>
      </c>
      <c r="B1105" s="132" t="n">
        <v>46232</v>
      </c>
      <c r="C1105" s="133" t="s">
        <v>536</v>
      </c>
      <c r="D1105" s="134" t="n">
        <v>50048</v>
      </c>
      <c r="E1105" s="52" t="str">
        <f aca="false">IF(D1105&lt;&gt;"",IFERROR(VLOOKUP(D1105,PROVEEDORES!$A:$B,2,0),"!COD NO ENCONTRADO"),"")</f>
        <v>JOSE LUIS CORREA KESSLER S.L.</v>
      </c>
      <c r="F1105" s="76" t="str">
        <f aca="false">IF(D1105&lt;&gt;"",IFERROR(VLOOKUP(D1105,PROVEEDORES!$A:$C,3,0),""),"")</f>
        <v>N</v>
      </c>
      <c r="G1105" s="134" t="s">
        <v>179</v>
      </c>
      <c r="H1105" s="46" t="str">
        <f aca="false">IF(G1105&lt;&gt;"",IFERROR(VLOOKUP(G1105,PRODUCTOS!$A:$B,2,0),"!COD NO ENCONTRADO"),"")</f>
        <v>LIRIO/ BACALADILLA/ PERLA (WHB)</v>
      </c>
      <c r="I1105" s="135" t="n">
        <v>9</v>
      </c>
      <c r="J1105" s="136" t="n">
        <v>54</v>
      </c>
      <c r="K1105" s="138" t="n">
        <v>2.85</v>
      </c>
      <c r="L1105" s="80" t="n">
        <f aca="false">IF(AND(J1105&lt;&gt;"",K1105&lt;&gt;""),J1105*K1105,"")</f>
        <v>153.9</v>
      </c>
      <c r="M1105" s="81" t="n">
        <f aca="false">IF(L1105&lt;&gt;"",L1105*1.1,"")</f>
        <v>169.29</v>
      </c>
      <c r="N1105" s="47" t="n">
        <f aca="false">IF(F1105="S",L1105*0.02,0)</f>
        <v>0</v>
      </c>
      <c r="O1105" s="82" t="n">
        <f aca="false">IF(L1105&lt;&gt;"",L1105+N1105,"")</f>
        <v>153.9</v>
      </c>
      <c r="P1105" s="47" t="n">
        <f aca="false">IF(O1105&lt;&gt;"",O1105*0.1,"")</f>
        <v>15.39</v>
      </c>
      <c r="Q1105" s="83" t="n">
        <f aca="false">IF(O1105&lt;&gt;"",O1105+P1105,"")</f>
        <v>169.29</v>
      </c>
      <c r="R1105" s="84" t="s">
        <v>358</v>
      </c>
    </row>
    <row r="1106" customFormat="false" ht="15" hidden="false" customHeight="true" outlineLevel="0" collapsed="false">
      <c r="A1106" s="128" t="n">
        <v>56147</v>
      </c>
      <c r="B1106" s="132" t="n">
        <v>46232</v>
      </c>
      <c r="C1106" s="133" t="s">
        <v>537</v>
      </c>
      <c r="D1106" s="134" t="n">
        <v>50048</v>
      </c>
      <c r="E1106" s="52" t="str">
        <f aca="false">IF(D1106&lt;&gt;"",IFERROR(VLOOKUP(D1106,PROVEEDORES!$A:$B,2,0),"!COD NO ENCONTRADO"),"")</f>
        <v>JOSE LUIS CORREA KESSLER S.L.</v>
      </c>
      <c r="F1106" s="76" t="str">
        <f aca="false">IF(D1106&lt;&gt;"",IFERROR(VLOOKUP(D1106,PROVEEDORES!$A:$C,3,0),""),"")</f>
        <v>N</v>
      </c>
      <c r="G1106" s="134" t="s">
        <v>179</v>
      </c>
      <c r="H1106" s="52" t="str">
        <f aca="false">IF(G1106&lt;&gt;"",IFERROR(VLOOKUP(G1106,PRODUCTOS!$A:$B,2,0),"!COD NO ENCONTRADO"),"")</f>
        <v>LIRIO/ BACALADILLA/ PERLA (WHB)</v>
      </c>
      <c r="I1106" s="135" t="n">
        <v>4</v>
      </c>
      <c r="J1106" s="136" t="n">
        <v>24</v>
      </c>
      <c r="K1106" s="138" t="n">
        <v>2.85</v>
      </c>
      <c r="L1106" s="80" t="n">
        <f aca="false">IF(AND(J1106&lt;&gt;"",K1106&lt;&gt;""),J1106*K1106,"")</f>
        <v>68.4</v>
      </c>
      <c r="M1106" s="81" t="n">
        <f aca="false">IF(L1106&lt;&gt;"",L1106*1.1,"")</f>
        <v>75.24</v>
      </c>
      <c r="N1106" s="53" t="n">
        <f aca="false">IF(F1106="S",L1106*0.02,0)</f>
        <v>0</v>
      </c>
      <c r="O1106" s="82" t="n">
        <f aca="false">IF(L1106&lt;&gt;"",L1106+N1106,"")</f>
        <v>68.4</v>
      </c>
      <c r="P1106" s="53" t="n">
        <f aca="false">IF(O1106&lt;&gt;"",O1106*0.1,"")</f>
        <v>6.84</v>
      </c>
      <c r="Q1106" s="83" t="n">
        <f aca="false">IF(O1106&lt;&gt;"",O1106+P1106,"")</f>
        <v>75.24</v>
      </c>
      <c r="R1106" s="84" t="s">
        <v>358</v>
      </c>
    </row>
    <row r="1107" customFormat="false" ht="15" hidden="false" customHeight="true" outlineLevel="0" collapsed="false">
      <c r="A1107" s="128" t="n">
        <v>56148</v>
      </c>
      <c r="B1107" s="129" t="n">
        <v>46232</v>
      </c>
      <c r="C1107" s="127" t="s">
        <v>538</v>
      </c>
      <c r="D1107" s="92" t="n">
        <v>50035</v>
      </c>
      <c r="E1107" s="46" t="str">
        <f aca="false">IF(D1107&lt;&gt;"",IFERROR(VLOOKUP(D1107,PROVEEDORES!$A:$B,2,0),"!COD NO ENCONTRADO"),"")</f>
        <v>SCANFISK SEAFFOD S,L</v>
      </c>
      <c r="F1107" s="88" t="str">
        <f aca="false">IF(D1107&lt;&gt;"",IFERROR(VLOOKUP(D1107,PROVEEDORES!$A:$C,3,0),""),"")</f>
        <v>N</v>
      </c>
      <c r="G1107" s="92" t="s">
        <v>91</v>
      </c>
      <c r="H1107" s="46" t="str">
        <f aca="false">IF(G1107&lt;&gt;"",IFERROR(VLOOKUP(G1107,PRODUCTOS!$A:$B,2,0),"!COD NO ENCONTRADO"),"")</f>
        <v>BONITO DEL NORTE 5/7</v>
      </c>
      <c r="I1107" s="94" t="n">
        <v>3</v>
      </c>
      <c r="J1107" s="130" t="n">
        <v>89.7</v>
      </c>
      <c r="K1107" s="131" t="n">
        <v>5.95</v>
      </c>
      <c r="L1107" s="80" t="n">
        <f aca="false">IF(AND(J1107&lt;&gt;"",K1107&lt;&gt;""),J1107*K1107,"")</f>
        <v>533.715</v>
      </c>
      <c r="M1107" s="81" t="n">
        <f aca="false">IF(L1107&lt;&gt;"",L1107*1.1,"")</f>
        <v>587.0865</v>
      </c>
      <c r="N1107" s="47" t="n">
        <f aca="false">IF(F1107="S",L1107*0.02,0)</f>
        <v>0</v>
      </c>
      <c r="O1107" s="82" t="n">
        <f aca="false">IF(L1107&lt;&gt;"",L1107+N1107,"")</f>
        <v>533.715</v>
      </c>
      <c r="P1107" s="47" t="n">
        <f aca="false">IF(O1107&lt;&gt;"",O1107*0.1,"")</f>
        <v>53.3715</v>
      </c>
      <c r="Q1107" s="83" t="n">
        <f aca="false">IF(O1107&lt;&gt;"",O1107+P1107,"")</f>
        <v>587.0865</v>
      </c>
      <c r="R1107" s="84" t="s">
        <v>365</v>
      </c>
    </row>
    <row r="1108" customFormat="false" ht="15" hidden="false" customHeight="true" outlineLevel="0" collapsed="false">
      <c r="A1108" s="128" t="n">
        <v>56148</v>
      </c>
      <c r="B1108" s="132" t="n">
        <v>46232</v>
      </c>
      <c r="C1108" s="133" t="s">
        <v>539</v>
      </c>
      <c r="D1108" s="134" t="n">
        <v>50035</v>
      </c>
      <c r="E1108" s="52" t="str">
        <f aca="false">IF(D1108&lt;&gt;"",IFERROR(VLOOKUP(D1108,PROVEEDORES!$A:$B,2,0),"!COD NO ENCONTRADO"),"")</f>
        <v>SCANFISK SEAFFOD S,L</v>
      </c>
      <c r="F1108" s="76" t="str">
        <f aca="false">IF(D1108&lt;&gt;"",IFERROR(VLOOKUP(D1108,PROVEEDORES!$A:$C,3,0),""),"")</f>
        <v>N</v>
      </c>
      <c r="G1108" s="134" t="s">
        <v>91</v>
      </c>
      <c r="H1108" s="52" t="str">
        <f aca="false">IF(G1108&lt;&gt;"",IFERROR(VLOOKUP(G1108,PRODUCTOS!$A:$B,2,0),"!COD NO ENCONTRADO"),"")</f>
        <v>BONITO DEL NORTE 5/7</v>
      </c>
      <c r="I1108" s="140" t="n">
        <v>1</v>
      </c>
      <c r="J1108" s="139" t="n">
        <v>15</v>
      </c>
      <c r="K1108" s="138" t="n">
        <v>8.9</v>
      </c>
      <c r="L1108" s="80" t="n">
        <f aca="false">IF(AND(J1108&lt;&gt;"",K1108&lt;&gt;""),J1108*K1108,"")</f>
        <v>133.5</v>
      </c>
      <c r="M1108" s="81" t="n">
        <f aca="false">IF(L1108&lt;&gt;"",L1108*1.1,"")</f>
        <v>146.85</v>
      </c>
      <c r="N1108" s="53" t="n">
        <f aca="false">IF(F1108="S",L1108*0.02,0)</f>
        <v>0</v>
      </c>
      <c r="O1108" s="82" t="n">
        <f aca="false">IF(L1108&lt;&gt;"",L1108+N1108,"")</f>
        <v>133.5</v>
      </c>
      <c r="P1108" s="53" t="n">
        <f aca="false">IF(O1108&lt;&gt;"",O1108*0.1,"")</f>
        <v>13.35</v>
      </c>
      <c r="Q1108" s="83" t="n">
        <f aca="false">IF(O1108&lt;&gt;"",O1108+P1108,"")</f>
        <v>146.85</v>
      </c>
      <c r="R1108" s="84" t="s">
        <v>365</v>
      </c>
    </row>
    <row r="1109" customFormat="false" ht="15" hidden="false" customHeight="true" outlineLevel="0" collapsed="false">
      <c r="A1109" s="128" t="n">
        <v>56148</v>
      </c>
      <c r="B1109" s="132" t="n">
        <v>46232</v>
      </c>
      <c r="C1109" s="133" t="s">
        <v>540</v>
      </c>
      <c r="D1109" s="134" t="n">
        <v>50035</v>
      </c>
      <c r="E1109" s="52" t="str">
        <f aca="false">IF(D1109&lt;&gt;"",IFERROR(VLOOKUP(D1109,PROVEEDORES!$A:$B,2,0),"!COD NO ENCONTRADO"),"")</f>
        <v>SCANFISK SEAFFOD S,L</v>
      </c>
      <c r="F1109" s="76" t="str">
        <f aca="false">IF(D1109&lt;&gt;"",IFERROR(VLOOKUP(D1109,PROVEEDORES!$A:$C,3,0),""),"")</f>
        <v>N</v>
      </c>
      <c r="G1109" s="134" t="s">
        <v>246</v>
      </c>
      <c r="H1109" s="46" t="str">
        <f aca="false">IF(G1109&lt;&gt;"",IFERROR(VLOOKUP(G1109,PRODUCTOS!$A:$B,2,0),"!COD NO ENCONTRADO"),"")</f>
        <v>MERLUZA EUROPEA VOLANTA ALTURA</v>
      </c>
      <c r="I1109" s="135" t="n">
        <v>4</v>
      </c>
      <c r="J1109" s="136" t="n">
        <v>41.2</v>
      </c>
      <c r="K1109" s="137" t="n">
        <v>5.5</v>
      </c>
      <c r="L1109" s="80" t="n">
        <f aca="false">IF(AND(J1109&lt;&gt;"",K1109&lt;&gt;""),J1109*K1109,"")</f>
        <v>226.6</v>
      </c>
      <c r="M1109" s="81" t="n">
        <f aca="false">IF(L1109&lt;&gt;"",L1109*1.1,"")</f>
        <v>249.26</v>
      </c>
      <c r="N1109" s="47" t="n">
        <f aca="false">IF(F1109="S",L1109*0.02,0)</f>
        <v>0</v>
      </c>
      <c r="O1109" s="82" t="n">
        <f aca="false">IF(L1109&lt;&gt;"",L1109+N1109,"")</f>
        <v>226.6</v>
      </c>
      <c r="P1109" s="47" t="n">
        <f aca="false">IF(O1109&lt;&gt;"",O1109*0.1,"")</f>
        <v>22.66</v>
      </c>
      <c r="Q1109" s="83" t="n">
        <f aca="false">IF(O1109&lt;&gt;"",O1109+P1109,"")</f>
        <v>249.26</v>
      </c>
      <c r="R1109" s="84" t="s">
        <v>365</v>
      </c>
    </row>
    <row r="1110" customFormat="false" ht="15" hidden="false" customHeight="true" outlineLevel="0" collapsed="false">
      <c r="A1110" s="128" t="n">
        <v>56148</v>
      </c>
      <c r="B1110" s="132" t="n">
        <v>46232</v>
      </c>
      <c r="C1110" s="127" t="s">
        <v>541</v>
      </c>
      <c r="D1110" s="92" t="n">
        <v>50035</v>
      </c>
      <c r="E1110" s="46" t="str">
        <f aca="false">IF(D1110&lt;&gt;"",IFERROR(VLOOKUP(D1110,PROVEEDORES!$A:$B,2,0),"!COD NO ENCONTRADO"),"")</f>
        <v>SCANFISK SEAFFOD S,L</v>
      </c>
      <c r="F1110" s="88" t="str">
        <f aca="false">IF(D1110&lt;&gt;"",IFERROR(VLOOKUP(D1110,PROVEEDORES!$A:$C,3,0),""),"")</f>
        <v>N</v>
      </c>
      <c r="G1110" s="92" t="s">
        <v>209</v>
      </c>
      <c r="H1110" s="52" t="str">
        <f aca="false">IF(G1110&lt;&gt;"",IFERROR(VLOOKUP(G1110,PRODUCTOS!$A:$B,2,0),"!COD NO ENCONTRADO"),"")</f>
        <v>MERLUZA EUROPEA PINCHO</v>
      </c>
      <c r="I1110" s="94" t="n">
        <v>5</v>
      </c>
      <c r="J1110" s="130" t="n">
        <v>53.1</v>
      </c>
      <c r="K1110" s="131" t="n">
        <v>13</v>
      </c>
      <c r="L1110" s="80" t="n">
        <f aca="false">IF(AND(J1110&lt;&gt;"",K1110&lt;&gt;""),J1110*K1110,"")</f>
        <v>690.3</v>
      </c>
      <c r="M1110" s="81" t="n">
        <f aca="false">IF(L1110&lt;&gt;"",L1110*1.1,"")</f>
        <v>759.33</v>
      </c>
      <c r="N1110" s="53" t="n">
        <f aca="false">IF(F1110="S",L1110*0.02,0)</f>
        <v>0</v>
      </c>
      <c r="O1110" s="82" t="n">
        <f aca="false">IF(L1110&lt;&gt;"",L1110+N1110,"")</f>
        <v>690.3</v>
      </c>
      <c r="P1110" s="53" t="n">
        <f aca="false">IF(O1110&lt;&gt;"",O1110*0.1,"")</f>
        <v>69.03</v>
      </c>
      <c r="Q1110" s="83" t="n">
        <f aca="false">IF(O1110&lt;&gt;"",O1110+P1110,"")</f>
        <v>759.33</v>
      </c>
      <c r="R1110" s="84" t="s">
        <v>365</v>
      </c>
    </row>
    <row r="1111" customFormat="false" ht="15" hidden="false" customHeight="true" outlineLevel="0" collapsed="false">
      <c r="A1111" s="128" t="n">
        <v>56148</v>
      </c>
      <c r="B1111" s="132" t="n">
        <v>46232</v>
      </c>
      <c r="C1111" s="133" t="s">
        <v>541</v>
      </c>
      <c r="D1111" s="134" t="n">
        <v>50035</v>
      </c>
      <c r="E1111" s="52" t="str">
        <f aca="false">IF(D1111&lt;&gt;"",IFERROR(VLOOKUP(D1111,PROVEEDORES!$A:$B,2,0),"!COD NO ENCONTRADO"),"")</f>
        <v>SCANFISK SEAFFOD S,L</v>
      </c>
      <c r="F1111" s="76" t="str">
        <f aca="false">IF(D1111&lt;&gt;"",IFERROR(VLOOKUP(D1111,PROVEEDORES!$A:$C,3,0),""),"")</f>
        <v>N</v>
      </c>
      <c r="G1111" s="134" t="s">
        <v>246</v>
      </c>
      <c r="H1111" s="46" t="str">
        <f aca="false">IF(G1111&lt;&gt;"",IFERROR(VLOOKUP(G1111,PRODUCTOS!$A:$B,2,0),"!COD NO ENCONTRADO"),"")</f>
        <v>MERLUZA EUROPEA VOLANTA ALTURA</v>
      </c>
      <c r="I1111" s="135" t="n">
        <v>4</v>
      </c>
      <c r="J1111" s="136" t="n">
        <v>61.2</v>
      </c>
      <c r="K1111" s="137" t="n">
        <v>10.4</v>
      </c>
      <c r="L1111" s="80" t="n">
        <f aca="false">IF(AND(J1111&lt;&gt;"",K1111&lt;&gt;""),J1111*K1111,"")</f>
        <v>636.48</v>
      </c>
      <c r="M1111" s="81" t="n">
        <f aca="false">IF(L1111&lt;&gt;"",L1111*1.1,"")</f>
        <v>700.128</v>
      </c>
      <c r="N1111" s="47" t="n">
        <f aca="false">IF(F1111="S",L1111*0.02,0)</f>
        <v>0</v>
      </c>
      <c r="O1111" s="82" t="n">
        <f aca="false">IF(L1111&lt;&gt;"",L1111+N1111,"")</f>
        <v>636.48</v>
      </c>
      <c r="P1111" s="47" t="n">
        <f aca="false">IF(O1111&lt;&gt;"",O1111*0.1,"")</f>
        <v>63.648</v>
      </c>
      <c r="Q1111" s="83" t="n">
        <f aca="false">IF(O1111&lt;&gt;"",O1111+P1111,"")</f>
        <v>700.128</v>
      </c>
      <c r="R1111" s="84" t="s">
        <v>365</v>
      </c>
    </row>
    <row r="1112" customFormat="false" ht="15" hidden="false" customHeight="true" outlineLevel="0" collapsed="false">
      <c r="A1112" s="128" t="n">
        <v>56149</v>
      </c>
      <c r="B1112" s="129" t="n">
        <v>46232</v>
      </c>
      <c r="C1112" s="127" t="s">
        <v>542</v>
      </c>
      <c r="D1112" s="92" t="n">
        <v>50152</v>
      </c>
      <c r="E1112" s="46" t="str">
        <f aca="false">IF(D1112&lt;&gt;"",IFERROR(VLOOKUP(D1112,PROVEEDORES!$A:$B,2,0),"!COD NO ENCONTRADO"),"")</f>
        <v>DOMAR CORUÑA S.L</v>
      </c>
      <c r="F1112" s="88" t="str">
        <f aca="false">IF(D1112&lt;&gt;"",IFERROR(VLOOKUP(D1112,PROVEEDORES!$A:$C,3,0),""),"")</f>
        <v>N</v>
      </c>
      <c r="G1112" s="92" t="s">
        <v>125</v>
      </c>
      <c r="H1112" s="52" t="str">
        <f aca="false">IF(G1112&lt;&gt;"",IFERROR(VLOOKUP(G1112,PRODUCTOS!$A:$B,2,0),"!COD NO ENCONTRADO"),"")</f>
        <v>CIGALA "3P" (NEP)</v>
      </c>
      <c r="I1112" s="94" t="n">
        <v>2</v>
      </c>
      <c r="J1112" s="130" t="n">
        <v>4</v>
      </c>
      <c r="K1112" s="131" t="n">
        <v>17.5</v>
      </c>
      <c r="L1112" s="80" t="n">
        <f aca="false">IF(AND(J1112&lt;&gt;"",K1112&lt;&gt;""),J1112*K1112,"")</f>
        <v>70</v>
      </c>
      <c r="M1112" s="81" t="n">
        <f aca="false">IF(L1112&lt;&gt;"",L1112*1.1,"")</f>
        <v>77</v>
      </c>
      <c r="N1112" s="53" t="n">
        <f aca="false">IF(F1112="S",L1112*0.02,0)</f>
        <v>0</v>
      </c>
      <c r="O1112" s="82" t="n">
        <f aca="false">IF(L1112&lt;&gt;"",L1112+N1112,"")</f>
        <v>70</v>
      </c>
      <c r="P1112" s="53" t="n">
        <f aca="false">IF(O1112&lt;&gt;"",O1112*0.1,"")</f>
        <v>7</v>
      </c>
      <c r="Q1112" s="83" t="n">
        <f aca="false">IF(O1112&lt;&gt;"",O1112+P1112,"")</f>
        <v>77</v>
      </c>
      <c r="R1112" s="84" t="s">
        <v>365</v>
      </c>
    </row>
    <row r="1113" customFormat="false" ht="15" hidden="false" customHeight="true" outlineLevel="0" collapsed="false">
      <c r="A1113" s="103" t="n">
        <v>56150</v>
      </c>
      <c r="B1113" s="85" t="n">
        <v>46232</v>
      </c>
      <c r="C1113" s="86" t="s">
        <v>543</v>
      </c>
      <c r="D1113" s="87" t="n">
        <v>50533</v>
      </c>
      <c r="E1113" s="46" t="str">
        <f aca="false">IF(D1113&lt;&gt;"",IFERROR(VLOOKUP(D1113,PROVEEDORES!$A:$B,2,0),"!COD NO ENCONTRADO"),"")</f>
        <v>LURDES MARIÑO, S.L.</v>
      </c>
      <c r="F1113" s="88" t="str">
        <f aca="false">IF(D1113&lt;&gt;"",IFERROR(VLOOKUP(D1113,PROVEEDORES!$A:$C,3,0),""),"")</f>
        <v>N</v>
      </c>
      <c r="G1113" s="87" t="s">
        <v>408</v>
      </c>
      <c r="H1113" s="46" t="str">
        <f aca="false">IF(G1113&lt;&gt;"",IFERROR(VLOOKUP(G1113,PRODUCTOS!$A:$B,2,0),"!COD NO ENCONTRADO"),"")</f>
        <v>MEJILLON SACO</v>
      </c>
      <c r="I1113" s="89" t="n">
        <v>10</v>
      </c>
      <c r="J1113" s="90" t="n">
        <v>50</v>
      </c>
      <c r="K1113" s="91" t="n">
        <v>1.4</v>
      </c>
      <c r="L1113" s="80" t="n">
        <f aca="false">IF(AND(J1113&lt;&gt;"",K1113&lt;&gt;""),J1113*K1113,"")</f>
        <v>70</v>
      </c>
      <c r="M1113" s="81" t="n">
        <f aca="false">IF(L1113&lt;&gt;"",L1113*1.1,"")</f>
        <v>77</v>
      </c>
      <c r="N1113" s="47" t="n">
        <f aca="false">IF(F1113="S",L1113*0.02,0)</f>
        <v>0</v>
      </c>
      <c r="O1113" s="82" t="n">
        <f aca="false">IF(L1113&lt;&gt;"",L1113+N1113,"")</f>
        <v>70</v>
      </c>
      <c r="P1113" s="47" t="n">
        <f aca="false">IF(O1113&lt;&gt;"",O1113*0.1,"")</f>
        <v>7</v>
      </c>
      <c r="Q1113" s="83" t="n">
        <f aca="false">IF(O1113&lt;&gt;"",O1113+P1113,"")</f>
        <v>77</v>
      </c>
      <c r="R1113" s="84" t="s">
        <v>365</v>
      </c>
    </row>
    <row r="1114" customFormat="false" ht="15" hidden="false" customHeight="true" outlineLevel="0" collapsed="false">
      <c r="A1114" s="103" t="n">
        <v>56151</v>
      </c>
      <c r="B1114" s="73" t="n">
        <v>46233</v>
      </c>
      <c r="C1114" s="74" t="s">
        <v>544</v>
      </c>
      <c r="D1114" s="75" t="n">
        <v>50232</v>
      </c>
      <c r="E1114" s="52" t="str">
        <f aca="false">IF(D1114&lt;&gt;"",IFERROR(VLOOKUP(D1114,PROVEEDORES!$A:$B,2,0),"!COD NO ENCONTRADO"),"")</f>
        <v>XESTION NOVA LONXA RIVEIRA S.L.</v>
      </c>
      <c r="F1114" s="76" t="str">
        <f aca="false">IF(D1114&lt;&gt;"",IFERROR(VLOOKUP(D1114,PROVEEDORES!$A:$C,3,0),""),"")</f>
        <v>S</v>
      </c>
      <c r="G1114" s="75" t="s">
        <v>97</v>
      </c>
      <c r="H1114" s="52" t="str">
        <f aca="false">IF(G1114&lt;&gt;"",IFERROR(VLOOKUP(G1114,PRODUCTOS!$A:$B,2,0),"!COD NO ENCONTRADO"),"")</f>
        <v>CABALL/ SARDA/ VERDEL (MAC)</v>
      </c>
      <c r="I1114" s="77" t="n">
        <v>15</v>
      </c>
      <c r="J1114" s="78" t="n">
        <v>134.6</v>
      </c>
      <c r="K1114" s="79" t="n">
        <v>4</v>
      </c>
      <c r="L1114" s="80" t="n">
        <f aca="false">IF(AND(J1114&lt;&gt;"",K1114&lt;&gt;""),J1114*K1114,"")</f>
        <v>538.4</v>
      </c>
      <c r="M1114" s="81" t="n">
        <f aca="false">IF(L1114&lt;&gt;"",L1114*1.1,"")</f>
        <v>592.24</v>
      </c>
      <c r="N1114" s="53" t="n">
        <f aca="false">IF(F1114="S",L1114*0.02,0)</f>
        <v>10.768</v>
      </c>
      <c r="O1114" s="82" t="n">
        <f aca="false">IF(L1114&lt;&gt;"",L1114+N1114,"")</f>
        <v>549.168</v>
      </c>
      <c r="P1114" s="53" t="n">
        <f aca="false">IF(O1114&lt;&gt;"",O1114*0.1,"")</f>
        <v>54.9168</v>
      </c>
      <c r="Q1114" s="83" t="n">
        <f aca="false">IF(O1114&lt;&gt;"",O1114+P1114,"")</f>
        <v>604.0848</v>
      </c>
      <c r="R1114" s="84" t="s">
        <v>358</v>
      </c>
    </row>
    <row r="1115" customFormat="false" ht="15" hidden="false" customHeight="true" outlineLevel="0" collapsed="false">
      <c r="A1115" s="103" t="n">
        <v>56151</v>
      </c>
      <c r="B1115" s="85" t="n">
        <v>46233</v>
      </c>
      <c r="C1115" s="86" t="s">
        <v>544</v>
      </c>
      <c r="D1115" s="87" t="n">
        <v>50232</v>
      </c>
      <c r="E1115" s="46" t="str">
        <f aca="false">IF(D1115&lt;&gt;"",IFERROR(VLOOKUP(D1115,PROVEEDORES!$A:$B,2,0),"!COD NO ENCONTRADO"),"")</f>
        <v>XESTION NOVA LONXA RIVEIRA S.L.</v>
      </c>
      <c r="F1115" s="88" t="str">
        <f aca="false">IF(D1115&lt;&gt;"",IFERROR(VLOOKUP(D1115,PROVEEDORES!$A:$C,3,0),""),"")</f>
        <v>S</v>
      </c>
      <c r="G1115" s="87" t="s">
        <v>179</v>
      </c>
      <c r="H1115" s="46" t="str">
        <f aca="false">IF(G1115&lt;&gt;"",IFERROR(VLOOKUP(G1115,PRODUCTOS!$A:$B,2,0),"!COD NO ENCONTRADO"),"")</f>
        <v>LIRIO/ BACALADILLA/ PERLA (WHB)</v>
      </c>
      <c r="I1115" s="89" t="n">
        <v>10</v>
      </c>
      <c r="J1115" s="90" t="n">
        <v>150</v>
      </c>
      <c r="K1115" s="91" t="n">
        <v>2.2</v>
      </c>
      <c r="L1115" s="80" t="n">
        <f aca="false">IF(AND(J1115&lt;&gt;"",K1115&lt;&gt;""),J1115*K1115,"")</f>
        <v>330</v>
      </c>
      <c r="M1115" s="81" t="n">
        <f aca="false">IF(L1115&lt;&gt;"",L1115*1.1,"")</f>
        <v>363</v>
      </c>
      <c r="N1115" s="47" t="n">
        <f aca="false">IF(F1115="S",L1115*0.02,0)</f>
        <v>6.6</v>
      </c>
      <c r="O1115" s="82" t="n">
        <f aca="false">IF(L1115&lt;&gt;"",L1115+N1115,"")</f>
        <v>336.6</v>
      </c>
      <c r="P1115" s="47" t="n">
        <f aca="false">IF(O1115&lt;&gt;"",O1115*0.1,"")</f>
        <v>33.66</v>
      </c>
      <c r="Q1115" s="83" t="n">
        <f aca="false">IF(O1115&lt;&gt;"",O1115+P1115,"")</f>
        <v>370.26</v>
      </c>
      <c r="R1115" s="84" t="s">
        <v>358</v>
      </c>
    </row>
    <row r="1116" customFormat="false" ht="15" hidden="false" customHeight="true" outlineLevel="0" collapsed="false">
      <c r="A1116" s="103" t="n">
        <v>56152</v>
      </c>
      <c r="B1116" s="73" t="n">
        <v>46233</v>
      </c>
      <c r="C1116" s="74" t="s">
        <v>545</v>
      </c>
      <c r="D1116" s="75" t="n">
        <v>50525</v>
      </c>
      <c r="E1116" s="52" t="str">
        <f aca="false">IF(D1116&lt;&gt;"",IFERROR(VLOOKUP(D1116,PROVEEDORES!$A:$B,2,0),"!COD NO ENCONTRADO"),"")</f>
        <v>FURIC MAREE</v>
      </c>
      <c r="F1116" s="76" t="str">
        <f aca="false">IF(D1116&lt;&gt;"",IFERROR(VLOOKUP(D1116,PROVEEDORES!$A:$C,3,0),""),"")</f>
        <v>N</v>
      </c>
      <c r="G1116" s="75" t="s">
        <v>318</v>
      </c>
      <c r="H1116" s="52" t="str">
        <f aca="false">IF(G1116&lt;&gt;"",IFERROR(VLOOKUP(G1116,PRODUCTOS!$A:$B,2,0),"!COD NO ENCONTRADO"),"")</f>
        <v>SAN MARTIÑOS/ SAN PEDROS (JOD)</v>
      </c>
      <c r="I1116" s="77" t="n">
        <v>5</v>
      </c>
      <c r="J1116" s="78" t="n">
        <v>33.3</v>
      </c>
      <c r="K1116" s="79" t="n">
        <v>16</v>
      </c>
      <c r="L1116" s="80" t="n">
        <f aca="false">IF(AND(J1116&lt;&gt;"",K1116&lt;&gt;""),J1116*K1116,"")</f>
        <v>532.8</v>
      </c>
      <c r="M1116" s="81" t="n">
        <f aca="false">IF(L1116&lt;&gt;"",L1116*1.1,"")</f>
        <v>586.08</v>
      </c>
      <c r="N1116" s="53" t="n">
        <f aca="false">IF(F1116="S",L1116*0.02,0)</f>
        <v>0</v>
      </c>
      <c r="O1116" s="82" t="n">
        <f aca="false">IF(L1116&lt;&gt;"",L1116+N1116,"")</f>
        <v>532.8</v>
      </c>
      <c r="P1116" s="53" t="n">
        <f aca="false">IF(O1116&lt;&gt;"",O1116*0.1,"")</f>
        <v>53.28</v>
      </c>
      <c r="Q1116" s="83" t="n">
        <f aca="false">IF(O1116&lt;&gt;"",O1116+P1116,"")</f>
        <v>586.08</v>
      </c>
      <c r="R1116" s="84" t="s">
        <v>365</v>
      </c>
    </row>
    <row r="1117" customFormat="false" ht="15" hidden="false" customHeight="true" outlineLevel="0" collapsed="false">
      <c r="A1117" s="103" t="n">
        <v>56152</v>
      </c>
      <c r="B1117" s="85" t="n">
        <v>46233</v>
      </c>
      <c r="C1117" s="74" t="s">
        <v>545</v>
      </c>
      <c r="D1117" s="87" t="n">
        <v>50525</v>
      </c>
      <c r="E1117" s="46" t="str">
        <f aca="false">IF(D1117&lt;&gt;"",IFERROR(VLOOKUP(D1117,PROVEEDORES!$A:$B,2,0),"!COD NO ENCONTRADO"),"")</f>
        <v>FURIC MAREE</v>
      </c>
      <c r="F1117" s="88" t="str">
        <f aca="false">IF(D1117&lt;&gt;"",IFERROR(VLOOKUP(D1117,PROVEEDORES!$A:$C,3,0),""),"")</f>
        <v>N</v>
      </c>
      <c r="G1117" s="87" t="s">
        <v>288</v>
      </c>
      <c r="H1117" s="46" t="str">
        <f aca="false">IF(G1117&lt;&gt;"",IFERROR(VLOOKUP(G1117,PRODUCTOS!$A:$B,2,0),"!COD NO ENCONTRADO"),"")</f>
        <v>RAPE BLANCO DIA (MON)</v>
      </c>
      <c r="I1117" s="89" t="n">
        <v>2</v>
      </c>
      <c r="J1117" s="90" t="n">
        <v>22.7</v>
      </c>
      <c r="K1117" s="91" t="n">
        <v>8.5</v>
      </c>
      <c r="L1117" s="80" t="n">
        <f aca="false">IF(AND(J1117&lt;&gt;"",K1117&lt;&gt;""),J1117*K1117,"")</f>
        <v>192.95</v>
      </c>
      <c r="M1117" s="81" t="n">
        <f aca="false">IF(L1117&lt;&gt;"",L1117*1.1,"")</f>
        <v>212.245</v>
      </c>
      <c r="N1117" s="47" t="n">
        <f aca="false">IF(F1117="S",L1117*0.02,0)</f>
        <v>0</v>
      </c>
      <c r="O1117" s="82" t="n">
        <f aca="false">IF(L1117&lt;&gt;"",L1117+N1117,"")</f>
        <v>192.95</v>
      </c>
      <c r="P1117" s="47" t="n">
        <f aca="false">IF(O1117&lt;&gt;"",O1117*0.1,"")</f>
        <v>19.295</v>
      </c>
      <c r="Q1117" s="83" t="n">
        <f aca="false">IF(O1117&lt;&gt;"",O1117+P1117,"")</f>
        <v>212.245</v>
      </c>
      <c r="R1117" s="84" t="s">
        <v>365</v>
      </c>
    </row>
    <row r="1118" customFormat="false" ht="15" hidden="false" customHeight="true" outlineLevel="0" collapsed="false">
      <c r="A1118" s="103" t="n">
        <v>56153</v>
      </c>
      <c r="B1118" s="85" t="n">
        <v>46233</v>
      </c>
      <c r="C1118" s="74" t="n">
        <v>11033</v>
      </c>
      <c r="D1118" s="75" t="n">
        <v>50001</v>
      </c>
      <c r="E1118" s="52" t="str">
        <f aca="false">IF(D1118&lt;&gt;"",IFERROR(VLOOKUP(D1118,PROVEEDORES!$A:$B,2,0),"!COD NO ENCONTRADO"),"")</f>
        <v>COPESA</v>
      </c>
      <c r="F1118" s="76" t="str">
        <f aca="false">IF(D1118&lt;&gt;"",IFERROR(VLOOKUP(D1118,PROVEEDORES!$A:$C,3,0),""),"")</f>
        <v>S</v>
      </c>
      <c r="G1118" s="75" t="s">
        <v>193</v>
      </c>
      <c r="H1118" s="52" t="str">
        <f aca="false">IF(G1118&lt;&gt;"",IFERROR(VLOOKUP(G1118,PRODUCTOS!$A:$B,2,0),"!COD NO ENCONTRADO"),"")</f>
        <v>MERLUZA EUROPEA ARRASTRE (HKE) </v>
      </c>
      <c r="I1118" s="77" t="n">
        <v>22</v>
      </c>
      <c r="J1118" s="78" t="n">
        <v>535</v>
      </c>
      <c r="K1118" s="79" t="n">
        <v>1.95</v>
      </c>
      <c r="L1118" s="80" t="n">
        <f aca="false">IF(AND(J1118&lt;&gt;"",K1118&lt;&gt;""),J1118*K1118,"")</f>
        <v>1043.25</v>
      </c>
      <c r="M1118" s="81" t="n">
        <f aca="false">IF(L1118&lt;&gt;"",L1118*1.1,"")</f>
        <v>1147.575</v>
      </c>
      <c r="N1118" s="53" t="n">
        <f aca="false">IF(F1118="S",L1118*0.02,0)</f>
        <v>20.865</v>
      </c>
      <c r="O1118" s="82" t="n">
        <f aca="false">IF(L1118&lt;&gt;"",L1118+N1118,"")</f>
        <v>1064.115</v>
      </c>
      <c r="P1118" s="53" t="n">
        <f aca="false">IF(O1118&lt;&gt;"",O1118*0.1,"")</f>
        <v>106.4115</v>
      </c>
      <c r="Q1118" s="83" t="n">
        <f aca="false">IF(O1118&lt;&gt;"",O1118+P1118,"")</f>
        <v>1170.5265</v>
      </c>
      <c r="R1118" s="84" t="s">
        <v>358</v>
      </c>
    </row>
    <row r="1119" customFormat="false" ht="15" hidden="false" customHeight="true" outlineLevel="0" collapsed="false">
      <c r="A1119" s="103" t="n">
        <v>56153</v>
      </c>
      <c r="B1119" s="85" t="n">
        <v>46233</v>
      </c>
      <c r="C1119" s="74" t="n">
        <v>11033</v>
      </c>
      <c r="D1119" s="87" t="n">
        <v>50001</v>
      </c>
      <c r="E1119" s="46" t="str">
        <f aca="false">IF(D1119&lt;&gt;"",IFERROR(VLOOKUP(D1119,PROVEEDORES!$A:$B,2,0),"!COD NO ENCONTRADO"),"")</f>
        <v>COPESA</v>
      </c>
      <c r="F1119" s="88" t="str">
        <f aca="false">IF(D1119&lt;&gt;"",IFERROR(VLOOKUP(D1119,PROVEEDORES!$A:$C,3,0),""),"")</f>
        <v>S</v>
      </c>
      <c r="G1119" s="87" t="s">
        <v>193</v>
      </c>
      <c r="H1119" s="46" t="str">
        <f aca="false">IF(G1119&lt;&gt;"",IFERROR(VLOOKUP(G1119,PRODUCTOS!$A:$B,2,0),"!COD NO ENCONTRADO"),"")</f>
        <v>MERLUZA EUROPEA ARRASTRE (HKE) </v>
      </c>
      <c r="I1119" s="89" t="n">
        <v>1</v>
      </c>
      <c r="J1119" s="90" t="n">
        <v>18.75</v>
      </c>
      <c r="K1119" s="91" t="n">
        <v>6.8</v>
      </c>
      <c r="L1119" s="80" t="n">
        <f aca="false">IF(AND(J1119&lt;&gt;"",K1119&lt;&gt;""),J1119*K1119,"")</f>
        <v>127.5</v>
      </c>
      <c r="M1119" s="81" t="n">
        <f aca="false">IF(L1119&lt;&gt;"",L1119*1.1,"")</f>
        <v>140.25</v>
      </c>
      <c r="N1119" s="47" t="n">
        <f aca="false">IF(F1119="S",L1119*0.02,0)</f>
        <v>2.55</v>
      </c>
      <c r="O1119" s="82" t="n">
        <f aca="false">IF(L1119&lt;&gt;"",L1119+N1119,"")</f>
        <v>130.05</v>
      </c>
      <c r="P1119" s="47" t="n">
        <f aca="false">IF(O1119&lt;&gt;"",O1119*0.1,"")</f>
        <v>13.005</v>
      </c>
      <c r="Q1119" s="83" t="n">
        <f aca="false">IF(O1119&lt;&gt;"",O1119+P1119,"")</f>
        <v>143.055</v>
      </c>
      <c r="R1119" s="84" t="s">
        <v>358</v>
      </c>
    </row>
    <row r="1120" customFormat="false" ht="15" hidden="false" customHeight="true" outlineLevel="0" collapsed="false">
      <c r="A1120" s="103" t="n">
        <v>56153</v>
      </c>
      <c r="B1120" s="85" t="n">
        <v>46233</v>
      </c>
      <c r="C1120" s="74" t="n">
        <v>11033</v>
      </c>
      <c r="D1120" s="75" t="n">
        <v>50001</v>
      </c>
      <c r="E1120" s="52" t="str">
        <f aca="false">IF(D1120&lt;&gt;"",IFERROR(VLOOKUP(D1120,PROVEEDORES!$A:$B,2,0),"!COD NO ENCONTRADO"),"")</f>
        <v>COPESA</v>
      </c>
      <c r="F1120" s="76" t="str">
        <f aca="false">IF(D1120&lt;&gt;"",IFERROR(VLOOKUP(D1120,PROVEEDORES!$A:$C,3,0),""),"")</f>
        <v>S</v>
      </c>
      <c r="G1120" s="75" t="s">
        <v>292</v>
      </c>
      <c r="H1120" s="52" t="str">
        <f aca="false">IF(G1120&lt;&gt;"",IFERROR(VLOOKUP(G1120,PRODUCTOS!$A:$B,2,0),"!COD NO ENCONTRADO"),"")</f>
        <v>RAPE BLANCO RASCO (MON)</v>
      </c>
      <c r="I1120" s="77" t="n">
        <v>3</v>
      </c>
      <c r="J1120" s="78" t="n">
        <v>89.75</v>
      </c>
      <c r="K1120" s="79" t="n">
        <v>6</v>
      </c>
      <c r="L1120" s="80" t="n">
        <f aca="false">IF(AND(J1120&lt;&gt;"",K1120&lt;&gt;""),J1120*K1120,"")</f>
        <v>538.5</v>
      </c>
      <c r="M1120" s="81" t="n">
        <f aca="false">IF(L1120&lt;&gt;"",L1120*1.1,"")</f>
        <v>592.35</v>
      </c>
      <c r="N1120" s="53" t="n">
        <f aca="false">IF(F1120="S",L1120*0.02,0)</f>
        <v>10.77</v>
      </c>
      <c r="O1120" s="82" t="n">
        <f aca="false">IF(L1120&lt;&gt;"",L1120+N1120,"")</f>
        <v>549.27</v>
      </c>
      <c r="P1120" s="53" t="n">
        <f aca="false">IF(O1120&lt;&gt;"",O1120*0.1,"")</f>
        <v>54.927</v>
      </c>
      <c r="Q1120" s="83" t="n">
        <f aca="false">IF(O1120&lt;&gt;"",O1120+P1120,"")</f>
        <v>604.197</v>
      </c>
      <c r="R1120" s="84" t="s">
        <v>358</v>
      </c>
    </row>
    <row r="1121" customFormat="false" ht="15" hidden="false" customHeight="true" outlineLevel="0" collapsed="false">
      <c r="A1121" s="103" t="n">
        <v>56154</v>
      </c>
      <c r="B1121" s="85" t="n">
        <v>46233</v>
      </c>
      <c r="C1121" s="86" t="s">
        <v>546</v>
      </c>
      <c r="D1121" s="87" t="n">
        <v>50010</v>
      </c>
      <c r="E1121" s="46" t="str">
        <f aca="false">IF(D1121&lt;&gt;"",IFERROR(VLOOKUP(D1121,PROVEEDORES!$A:$B,2,0),"!COD NO ENCONTRADO"),"")</f>
        <v>PERFECTO MONTERO</v>
      </c>
      <c r="F1121" s="88" t="str">
        <f aca="false">IF(D1121&lt;&gt;"",IFERROR(VLOOKUP(D1121,PROVEEDORES!$A:$C,3,0),""),"")</f>
        <v>S</v>
      </c>
      <c r="G1121" s="87" t="s">
        <v>135</v>
      </c>
      <c r="H1121" s="46" t="str">
        <f aca="false">IF(G1121&lt;&gt;"",IFERROR(VLOOKUP(G1121,PRODUCTOS!$A:$B,2,0),"!COD NO ENCONTRADO"),"")</f>
        <v>CONGRIO 10+  (COE)</v>
      </c>
      <c r="I1121" s="89" t="n">
        <v>2</v>
      </c>
      <c r="J1121" s="90" t="n">
        <v>24.75</v>
      </c>
      <c r="K1121" s="91" t="n">
        <v>4.4</v>
      </c>
      <c r="L1121" s="80" t="n">
        <f aca="false">IF(AND(J1121&lt;&gt;"",K1121&lt;&gt;""),J1121*K1121,"")</f>
        <v>108.9</v>
      </c>
      <c r="M1121" s="81" t="n">
        <f aca="false">IF(L1121&lt;&gt;"",L1121*1.1,"")</f>
        <v>119.79</v>
      </c>
      <c r="N1121" s="47" t="n">
        <f aca="false">IF(F1121="S",L1121*0.02,0)</f>
        <v>2.178</v>
      </c>
      <c r="O1121" s="82" t="n">
        <f aca="false">IF(L1121&lt;&gt;"",L1121+N1121,"")</f>
        <v>111.078</v>
      </c>
      <c r="P1121" s="47" t="n">
        <f aca="false">IF(O1121&lt;&gt;"",O1121*0.1,"")</f>
        <v>11.1078</v>
      </c>
      <c r="Q1121" s="83" t="n">
        <f aca="false">IF(O1121&lt;&gt;"",O1121+P1121,"")</f>
        <v>122.1858</v>
      </c>
      <c r="R1121" s="84" t="s">
        <v>365</v>
      </c>
    </row>
    <row r="1122" customFormat="false" ht="15" hidden="false" customHeight="true" outlineLevel="0" collapsed="false">
      <c r="A1122" s="103" t="n">
        <v>56154</v>
      </c>
      <c r="B1122" s="85" t="n">
        <v>46233</v>
      </c>
      <c r="C1122" s="86" t="s">
        <v>546</v>
      </c>
      <c r="D1122" s="75" t="n">
        <v>50010</v>
      </c>
      <c r="E1122" s="52" t="str">
        <f aca="false">IF(D1122&lt;&gt;"",IFERROR(VLOOKUP(D1122,PROVEEDORES!$A:$B,2,0),"!COD NO ENCONTRADO"),"")</f>
        <v>PERFECTO MONTERO</v>
      </c>
      <c r="F1122" s="76" t="str">
        <f aca="false">IF(D1122&lt;&gt;"",IFERROR(VLOOKUP(D1122,PROVEEDORES!$A:$C,3,0),""),"")</f>
        <v>S</v>
      </c>
      <c r="G1122" s="75" t="s">
        <v>91</v>
      </c>
      <c r="H1122" s="52" t="str">
        <f aca="false">IF(G1122&lt;&gt;"",IFERROR(VLOOKUP(G1122,PRODUCTOS!$A:$B,2,0),"!COD NO ENCONTRADO"),"")</f>
        <v>BONITO DEL NORTE 5/7</v>
      </c>
      <c r="I1122" s="77" t="n">
        <v>2</v>
      </c>
      <c r="J1122" s="78" t="n">
        <v>95.25</v>
      </c>
      <c r="K1122" s="79" t="n">
        <v>6</v>
      </c>
      <c r="L1122" s="80" t="n">
        <f aca="false">IF(AND(J1122&lt;&gt;"",K1122&lt;&gt;""),J1122*K1122,"")</f>
        <v>571.5</v>
      </c>
      <c r="M1122" s="81" t="n">
        <f aca="false">IF(L1122&lt;&gt;"",L1122*1.1,"")</f>
        <v>628.65</v>
      </c>
      <c r="N1122" s="53" t="n">
        <f aca="false">IF(F1122="S",L1122*0.02,0)</f>
        <v>11.43</v>
      </c>
      <c r="O1122" s="82" t="n">
        <f aca="false">IF(L1122&lt;&gt;"",L1122+N1122,"")</f>
        <v>582.93</v>
      </c>
      <c r="P1122" s="53" t="n">
        <f aca="false">IF(O1122&lt;&gt;"",O1122*0.1,"")</f>
        <v>58.293</v>
      </c>
      <c r="Q1122" s="83" t="n">
        <f aca="false">IF(O1122&lt;&gt;"",O1122+P1122,"")</f>
        <v>641.223</v>
      </c>
      <c r="R1122" s="84" t="s">
        <v>365</v>
      </c>
    </row>
    <row r="1123" customFormat="false" ht="15" hidden="false" customHeight="true" outlineLevel="0" collapsed="false">
      <c r="A1123" s="103" t="n">
        <v>56154</v>
      </c>
      <c r="B1123" s="85" t="n">
        <v>46233</v>
      </c>
      <c r="C1123" s="86" t="s">
        <v>546</v>
      </c>
      <c r="D1123" s="87" t="n">
        <v>50010</v>
      </c>
      <c r="E1123" s="46" t="str">
        <f aca="false">IF(D1123&lt;&gt;"",IFERROR(VLOOKUP(D1123,PROVEEDORES!$A:$B,2,0),"!COD NO ENCONTRADO"),"")</f>
        <v>PERFECTO MONTERO</v>
      </c>
      <c r="F1123" s="88" t="str">
        <f aca="false">IF(D1123&lt;&gt;"",IFERROR(VLOOKUP(D1123,PROVEEDORES!$A:$C,3,0),""),"")</f>
        <v>S</v>
      </c>
      <c r="G1123" s="87" t="s">
        <v>91</v>
      </c>
      <c r="H1123" s="46" t="str">
        <f aca="false">IF(G1123&lt;&gt;"",IFERROR(VLOOKUP(G1123,PRODUCTOS!$A:$B,2,0),"!COD NO ENCONTRADO"),"")</f>
        <v>BONITO DEL NORTE 5/7</v>
      </c>
      <c r="I1123" s="89" t="n">
        <v>2</v>
      </c>
      <c r="J1123" s="90" t="n">
        <v>55.5</v>
      </c>
      <c r="K1123" s="91" t="n">
        <v>8.7</v>
      </c>
      <c r="L1123" s="80" t="n">
        <f aca="false">IF(AND(J1123&lt;&gt;"",K1123&lt;&gt;""),J1123*K1123,"")</f>
        <v>482.85</v>
      </c>
      <c r="M1123" s="81" t="n">
        <f aca="false">IF(L1123&lt;&gt;"",L1123*1.1,"")</f>
        <v>531.135</v>
      </c>
      <c r="N1123" s="47" t="n">
        <f aca="false">IF(F1123="S",L1123*0.02,0)</f>
        <v>9.657</v>
      </c>
      <c r="O1123" s="82" t="n">
        <f aca="false">IF(L1123&lt;&gt;"",L1123+N1123,"")</f>
        <v>492.507</v>
      </c>
      <c r="P1123" s="47" t="n">
        <f aca="false">IF(O1123&lt;&gt;"",O1123*0.1,"")</f>
        <v>49.2507</v>
      </c>
      <c r="Q1123" s="83" t="n">
        <f aca="false">IF(O1123&lt;&gt;"",O1123+P1123,"")</f>
        <v>541.7577</v>
      </c>
      <c r="R1123" s="84" t="s">
        <v>365</v>
      </c>
    </row>
    <row r="1124" customFormat="false" ht="15" hidden="false" customHeight="true" outlineLevel="0" collapsed="false">
      <c r="A1124" s="103" t="n">
        <v>56155</v>
      </c>
      <c r="B1124" s="85" t="n">
        <v>46233</v>
      </c>
      <c r="C1124" s="74" t="n">
        <v>18065</v>
      </c>
      <c r="D1124" s="75" t="n">
        <v>50160</v>
      </c>
      <c r="E1124" s="52" t="str">
        <f aca="false">IF(D1124&lt;&gt;"",IFERROR(VLOOKUP(D1124,PROVEEDORES!$A:$B,2,0),"!COD NO ENCONTRADO"),"")</f>
        <v>SUBASTAS CORUÑA S.L.</v>
      </c>
      <c r="F1124" s="76" t="str">
        <f aca="false">IF(D1124&lt;&gt;"",IFERROR(VLOOKUP(D1124,PROVEEDORES!$A:$C,3,0),""),"")</f>
        <v>S</v>
      </c>
      <c r="G1124" s="75" t="s">
        <v>233</v>
      </c>
      <c r="H1124" s="52" t="str">
        <f aca="false">IF(G1124&lt;&gt;"",IFERROR(VLOOKUP(G1124,PRODUCTOS!$A:$B,2,0),"!COD NO ENCONTRADO"),"")</f>
        <v>MERLUZA EUROPEA VOLANTA COSTA</v>
      </c>
      <c r="I1124" s="77" t="n">
        <v>1</v>
      </c>
      <c r="J1124" s="78" t="n">
        <v>22</v>
      </c>
      <c r="K1124" s="79" t="n">
        <v>5.5</v>
      </c>
      <c r="L1124" s="80" t="n">
        <f aca="false">IF(AND(J1124&lt;&gt;"",K1124&lt;&gt;""),J1124*K1124,"")</f>
        <v>121</v>
      </c>
      <c r="M1124" s="81" t="n">
        <f aca="false">IF(L1124&lt;&gt;"",L1124*1.1,"")</f>
        <v>133.1</v>
      </c>
      <c r="N1124" s="53" t="n">
        <f aca="false">IF(F1124="S",L1124*0.02,0)</f>
        <v>2.42</v>
      </c>
      <c r="O1124" s="82" t="n">
        <f aca="false">IF(L1124&lt;&gt;"",L1124+N1124,"")</f>
        <v>123.42</v>
      </c>
      <c r="P1124" s="53" t="n">
        <f aca="false">IF(O1124&lt;&gt;"",O1124*0.1,"")</f>
        <v>12.342</v>
      </c>
      <c r="Q1124" s="83" t="n">
        <f aca="false">IF(O1124&lt;&gt;"",O1124+P1124,"")</f>
        <v>135.762</v>
      </c>
      <c r="R1124" s="84" t="s">
        <v>365</v>
      </c>
    </row>
    <row r="1125" customFormat="false" ht="15" hidden="false" customHeight="true" outlineLevel="0" collapsed="false">
      <c r="A1125" s="103" t="n">
        <v>56155</v>
      </c>
      <c r="B1125" s="85" t="n">
        <v>46233</v>
      </c>
      <c r="C1125" s="86" t="n">
        <v>18065</v>
      </c>
      <c r="D1125" s="87" t="n">
        <v>50160</v>
      </c>
      <c r="E1125" s="46" t="str">
        <f aca="false">IF(D1125&lt;&gt;"",IFERROR(VLOOKUP(D1125,PROVEEDORES!$A:$B,2,0),"!COD NO ENCONTRADO"),"")</f>
        <v>SUBASTAS CORUÑA S.L.</v>
      </c>
      <c r="F1125" s="88" t="str">
        <f aca="false">IF(D1125&lt;&gt;"",IFERROR(VLOOKUP(D1125,PROVEEDORES!$A:$C,3,0),""),"")</f>
        <v>S</v>
      </c>
      <c r="G1125" s="87" t="s">
        <v>233</v>
      </c>
      <c r="H1125" s="46" t="str">
        <f aca="false">IF(G1125&lt;&gt;"",IFERROR(VLOOKUP(G1125,PRODUCTOS!$A:$B,2,0),"!COD NO ENCONTRADO"),"")</f>
        <v>MERLUZA EUROPEA VOLANTA COSTA</v>
      </c>
      <c r="I1125" s="89" t="n">
        <v>1</v>
      </c>
      <c r="J1125" s="90" t="n">
        <v>20.75</v>
      </c>
      <c r="K1125" s="91" t="n">
        <v>5</v>
      </c>
      <c r="L1125" s="80" t="n">
        <f aca="false">IF(AND(J1125&lt;&gt;"",K1125&lt;&gt;""),J1125*K1125,"")</f>
        <v>103.75</v>
      </c>
      <c r="M1125" s="81" t="n">
        <f aca="false">IF(L1125&lt;&gt;"",L1125*1.1,"")</f>
        <v>114.125</v>
      </c>
      <c r="N1125" s="47" t="n">
        <f aca="false">IF(F1125="S",L1125*0.02,0)</f>
        <v>2.075</v>
      </c>
      <c r="O1125" s="82" t="n">
        <f aca="false">IF(L1125&lt;&gt;"",L1125+N1125,"")</f>
        <v>105.825</v>
      </c>
      <c r="P1125" s="47" t="n">
        <f aca="false">IF(O1125&lt;&gt;"",O1125*0.1,"")</f>
        <v>10.5825</v>
      </c>
      <c r="Q1125" s="83" t="n">
        <f aca="false">IF(O1125&lt;&gt;"",O1125+P1125,"")</f>
        <v>116.4075</v>
      </c>
      <c r="R1125" s="84" t="s">
        <v>365</v>
      </c>
    </row>
    <row r="1126" customFormat="false" ht="15" hidden="false" customHeight="true" outlineLevel="0" collapsed="false">
      <c r="A1126" s="103" t="n">
        <v>56155</v>
      </c>
      <c r="B1126" s="85" t="n">
        <v>46233</v>
      </c>
      <c r="C1126" s="86" t="n">
        <v>18065</v>
      </c>
      <c r="D1126" s="75" t="n">
        <v>50160</v>
      </c>
      <c r="E1126" s="52" t="str">
        <f aca="false">IF(D1126&lt;&gt;"",IFERROR(VLOOKUP(D1126,PROVEEDORES!$A:$B,2,0),"!COD NO ENCONTRADO"),"")</f>
        <v>SUBASTAS CORUÑA S.L.</v>
      </c>
      <c r="F1126" s="76" t="str">
        <f aca="false">IF(D1126&lt;&gt;"",IFERROR(VLOOKUP(D1126,PROVEEDORES!$A:$C,3,0),""),"")</f>
        <v>S</v>
      </c>
      <c r="G1126" s="75" t="s">
        <v>233</v>
      </c>
      <c r="H1126" s="52" t="str">
        <f aca="false">IF(G1126&lt;&gt;"",IFERROR(VLOOKUP(G1126,PRODUCTOS!$A:$B,2,0),"!COD NO ENCONTRADO"),"")</f>
        <v>MERLUZA EUROPEA VOLANTA COSTA</v>
      </c>
      <c r="I1126" s="77" t="n">
        <v>1</v>
      </c>
      <c r="J1126" s="78" t="n">
        <v>16</v>
      </c>
      <c r="K1126" s="79" t="n">
        <v>5.4</v>
      </c>
      <c r="L1126" s="80" t="n">
        <f aca="false">IF(AND(J1126&lt;&gt;"",K1126&lt;&gt;""),J1126*K1126,"")</f>
        <v>86.4</v>
      </c>
      <c r="M1126" s="81" t="n">
        <f aca="false">IF(L1126&lt;&gt;"",L1126*1.1,"")</f>
        <v>95.04</v>
      </c>
      <c r="N1126" s="53" t="n">
        <f aca="false">IF(F1126="S",L1126*0.02,0)</f>
        <v>1.728</v>
      </c>
      <c r="O1126" s="82" t="n">
        <f aca="false">IF(L1126&lt;&gt;"",L1126+N1126,"")</f>
        <v>88.128</v>
      </c>
      <c r="P1126" s="53" t="n">
        <f aca="false">IF(O1126&lt;&gt;"",O1126*0.1,"")</f>
        <v>8.8128</v>
      </c>
      <c r="Q1126" s="83" t="n">
        <f aca="false">IF(O1126&lt;&gt;"",O1126+P1126,"")</f>
        <v>96.9408</v>
      </c>
      <c r="R1126" s="84" t="s">
        <v>365</v>
      </c>
    </row>
    <row r="1127" customFormat="false" ht="15" hidden="false" customHeight="true" outlineLevel="0" collapsed="false">
      <c r="A1127" s="103" t="n">
        <v>56155</v>
      </c>
      <c r="B1127" s="85" t="n">
        <v>46233</v>
      </c>
      <c r="C1127" s="86" t="n">
        <v>18065</v>
      </c>
      <c r="D1127" s="87" t="n">
        <v>50160</v>
      </c>
      <c r="E1127" s="46" t="str">
        <f aca="false">IF(D1127&lt;&gt;"",IFERROR(VLOOKUP(D1127,PROVEEDORES!$A:$B,2,0),"!COD NO ENCONTRADO"),"")</f>
        <v>SUBASTAS CORUÑA S.L.</v>
      </c>
      <c r="F1127" s="88" t="str">
        <f aca="false">IF(D1127&lt;&gt;"",IFERROR(VLOOKUP(D1127,PROVEEDORES!$A:$C,3,0),""),"")</f>
        <v>S</v>
      </c>
      <c r="G1127" s="87" t="s">
        <v>233</v>
      </c>
      <c r="H1127" s="46" t="str">
        <f aca="false">IF(G1127&lt;&gt;"",IFERROR(VLOOKUP(G1127,PRODUCTOS!$A:$B,2,0),"!COD NO ENCONTRADO"),"")</f>
        <v>MERLUZA EUROPEA VOLANTA COSTA</v>
      </c>
      <c r="I1127" s="89" t="n">
        <v>1</v>
      </c>
      <c r="J1127" s="90" t="n">
        <v>15.5</v>
      </c>
      <c r="K1127" s="91" t="n">
        <v>4.6</v>
      </c>
      <c r="L1127" s="80" t="n">
        <f aca="false">IF(AND(J1127&lt;&gt;"",K1127&lt;&gt;""),J1127*K1127,"")</f>
        <v>71.3</v>
      </c>
      <c r="M1127" s="81" t="n">
        <f aca="false">IF(L1127&lt;&gt;"",L1127*1.1,"")</f>
        <v>78.43</v>
      </c>
      <c r="N1127" s="47" t="n">
        <f aca="false">IF(F1127="S",L1127*0.02,0)</f>
        <v>1.426</v>
      </c>
      <c r="O1127" s="82" t="n">
        <f aca="false">IF(L1127&lt;&gt;"",L1127+N1127,"")</f>
        <v>72.726</v>
      </c>
      <c r="P1127" s="47" t="n">
        <f aca="false">IF(O1127&lt;&gt;"",O1127*0.1,"")</f>
        <v>7.2726</v>
      </c>
      <c r="Q1127" s="83" t="n">
        <f aca="false">IF(O1127&lt;&gt;"",O1127+P1127,"")</f>
        <v>79.9986</v>
      </c>
      <c r="R1127" s="84" t="s">
        <v>365</v>
      </c>
    </row>
    <row r="1128" customFormat="false" ht="15" hidden="false" customHeight="true" outlineLevel="0" collapsed="false">
      <c r="A1128" s="103" t="n">
        <v>56155</v>
      </c>
      <c r="B1128" s="85" t="n">
        <v>46233</v>
      </c>
      <c r="C1128" s="86" t="n">
        <v>18065</v>
      </c>
      <c r="D1128" s="75" t="n">
        <v>50160</v>
      </c>
      <c r="E1128" s="52" t="str">
        <f aca="false">IF(D1128&lt;&gt;"",IFERROR(VLOOKUP(D1128,PROVEEDORES!$A:$B,2,0),"!COD NO ENCONTRADO"),"")</f>
        <v>SUBASTAS CORUÑA S.L.</v>
      </c>
      <c r="F1128" s="76" t="str">
        <f aca="false">IF(D1128&lt;&gt;"",IFERROR(VLOOKUP(D1128,PROVEEDORES!$A:$C,3,0),""),"")</f>
        <v>S</v>
      </c>
      <c r="G1128" s="75" t="s">
        <v>276</v>
      </c>
      <c r="H1128" s="52" t="str">
        <f aca="false">IF(G1128&lt;&gt;"",IFERROR(VLOOKUP(G1128,PRODUCTOS!$A:$B,2,0),"!COD NO ENCONTRADO"),"")</f>
        <v>MERLUZA EUROPEA/ FINA DIA </v>
      </c>
      <c r="I1128" s="77" t="n">
        <v>1</v>
      </c>
      <c r="J1128" s="78" t="n">
        <v>8.75</v>
      </c>
      <c r="K1128" s="79" t="n">
        <v>2.7</v>
      </c>
      <c r="L1128" s="80" t="n">
        <f aca="false">IF(AND(J1128&lt;&gt;"",K1128&lt;&gt;""),J1128*K1128,"")</f>
        <v>23.625</v>
      </c>
      <c r="M1128" s="81" t="n">
        <f aca="false">IF(L1128&lt;&gt;"",L1128*1.1,"")</f>
        <v>25.9875</v>
      </c>
      <c r="N1128" s="53" t="n">
        <f aca="false">IF(F1128="S",L1128*0.02,0)</f>
        <v>0.4725</v>
      </c>
      <c r="O1128" s="82" t="n">
        <f aca="false">IF(L1128&lt;&gt;"",L1128+N1128,"")</f>
        <v>24.0975</v>
      </c>
      <c r="P1128" s="53" t="n">
        <f aca="false">IF(O1128&lt;&gt;"",O1128*0.1,"")</f>
        <v>2.40975</v>
      </c>
      <c r="Q1128" s="83" t="n">
        <f aca="false">IF(O1128&lt;&gt;"",O1128+P1128,"")</f>
        <v>26.50725</v>
      </c>
      <c r="R1128" s="84" t="s">
        <v>365</v>
      </c>
    </row>
    <row r="1129" customFormat="false" ht="15" hidden="false" customHeight="true" outlineLevel="0" collapsed="false">
      <c r="A1129" s="103" t="n">
        <v>56155</v>
      </c>
      <c r="B1129" s="85" t="n">
        <v>46233</v>
      </c>
      <c r="C1129" s="86" t="n">
        <v>18065</v>
      </c>
      <c r="D1129" s="87" t="n">
        <v>50160</v>
      </c>
      <c r="E1129" s="46" t="str">
        <f aca="false">IF(D1129&lt;&gt;"",IFERROR(VLOOKUP(D1129,PROVEEDORES!$A:$B,2,0),"!COD NO ENCONTRADO"),"")</f>
        <v>SUBASTAS CORUÑA S.L.</v>
      </c>
      <c r="F1129" s="88" t="str">
        <f aca="false">IF(D1129&lt;&gt;"",IFERROR(VLOOKUP(D1129,PROVEEDORES!$A:$C,3,0),""),"")</f>
        <v>S</v>
      </c>
      <c r="G1129" s="87" t="s">
        <v>332</v>
      </c>
      <c r="H1129" s="46" t="str">
        <f aca="false">IF(G1129&lt;&gt;"",IFERROR(VLOOKUP(G1129,PRODUCTOS!$A:$B,2,0),"!COD NO ENCONTRADO"),"")</f>
        <v>VARIADO PEQUEÑO</v>
      </c>
      <c r="I1129" s="89" t="n">
        <v>8</v>
      </c>
      <c r="J1129" s="90" t="n">
        <v>41.25</v>
      </c>
      <c r="K1129" s="91" t="n">
        <v>0.5</v>
      </c>
      <c r="L1129" s="80" t="n">
        <f aca="false">IF(AND(J1129&lt;&gt;"",K1129&lt;&gt;""),J1129*K1129,"")</f>
        <v>20.625</v>
      </c>
      <c r="M1129" s="81" t="n">
        <f aca="false">IF(L1129&lt;&gt;"",L1129*1.1,"")</f>
        <v>22.6875</v>
      </c>
      <c r="N1129" s="47" t="n">
        <f aca="false">IF(F1129="S",L1129*0.02,0)</f>
        <v>0.4125</v>
      </c>
      <c r="O1129" s="82" t="n">
        <f aca="false">IF(L1129&lt;&gt;"",L1129+N1129,"")</f>
        <v>21.0375</v>
      </c>
      <c r="P1129" s="47" t="n">
        <f aca="false">IF(O1129&lt;&gt;"",O1129*0.1,"")</f>
        <v>2.10375</v>
      </c>
      <c r="Q1129" s="83" t="n">
        <f aca="false">IF(O1129&lt;&gt;"",O1129+P1129,"")</f>
        <v>23.14125</v>
      </c>
      <c r="R1129" s="84" t="s">
        <v>365</v>
      </c>
    </row>
    <row r="1130" customFormat="false" ht="15" hidden="false" customHeight="true" outlineLevel="0" collapsed="false">
      <c r="A1130" s="103" t="n">
        <v>56156</v>
      </c>
      <c r="B1130" s="85" t="n">
        <v>46233</v>
      </c>
      <c r="C1130" s="74" t="n">
        <v>21124</v>
      </c>
      <c r="D1130" s="75" t="n">
        <v>50163</v>
      </c>
      <c r="E1130" s="52" t="str">
        <f aca="false">IF(D1130&lt;&gt;"",IFERROR(VLOOKUP(D1130,PROVEEDORES!$A:$B,2,0),"!COD NO ENCONTRADO"),"")</f>
        <v>SUBASTAS RIVERA S.L.</v>
      </c>
      <c r="F1130" s="76" t="str">
        <f aca="false">IF(D1130&lt;&gt;"",IFERROR(VLOOKUP(D1130,PROVEEDORES!$A:$C,3,0),""),"")</f>
        <v>S</v>
      </c>
      <c r="G1130" s="75" t="s">
        <v>332</v>
      </c>
      <c r="H1130" s="52" t="str">
        <f aca="false">IF(G1130&lt;&gt;"",IFERROR(VLOOKUP(G1130,PRODUCTOS!$A:$B,2,0),"!COD NO ENCONTRADO"),"")</f>
        <v>VARIADO PEQUEÑO</v>
      </c>
      <c r="I1130" s="77" t="n">
        <v>4</v>
      </c>
      <c r="J1130" s="105" t="n">
        <v>42</v>
      </c>
      <c r="K1130" s="125" t="n">
        <v>0.9</v>
      </c>
      <c r="L1130" s="80" t="n">
        <f aca="false">IF(AND(J1130&lt;&gt;"",K1130&lt;&gt;""),J1130*K1130,"")</f>
        <v>37.8</v>
      </c>
      <c r="M1130" s="81" t="n">
        <f aca="false">IF(L1130&lt;&gt;"",L1130*1.1,"")</f>
        <v>41.58</v>
      </c>
      <c r="N1130" s="53" t="n">
        <f aca="false">IF(F1130="S",L1130*0.02,0)</f>
        <v>0.756</v>
      </c>
      <c r="O1130" s="82" t="n">
        <f aca="false">IF(L1130&lt;&gt;"",L1130+N1130,"")</f>
        <v>38.556</v>
      </c>
      <c r="P1130" s="53" t="n">
        <f aca="false">IF(O1130&lt;&gt;"",O1130*0.1,"")</f>
        <v>3.8556</v>
      </c>
      <c r="Q1130" s="83" t="n">
        <f aca="false">IF(O1130&lt;&gt;"",O1130+P1130,"")</f>
        <v>42.4116</v>
      </c>
      <c r="R1130" s="84" t="s">
        <v>365</v>
      </c>
    </row>
    <row r="1131" customFormat="false" ht="15" hidden="false" customHeight="true" outlineLevel="0" collapsed="false">
      <c r="A1131" s="103" t="n">
        <v>56156</v>
      </c>
      <c r="B1131" s="85" t="n">
        <v>46233</v>
      </c>
      <c r="C1131" s="74" t="n">
        <v>21124</v>
      </c>
      <c r="D1131" s="87" t="n">
        <v>50163</v>
      </c>
      <c r="E1131" s="46" t="str">
        <f aca="false">IF(D1131&lt;&gt;"",IFERROR(VLOOKUP(D1131,PROVEEDORES!$A:$B,2,0),"!COD NO ENCONTRADO"),"")</f>
        <v>SUBASTAS RIVERA S.L.</v>
      </c>
      <c r="F1131" s="88" t="str">
        <f aca="false">IF(D1131&lt;&gt;"",IFERROR(VLOOKUP(D1131,PROVEEDORES!$A:$C,3,0),""),"")</f>
        <v>S</v>
      </c>
      <c r="G1131" s="87" t="s">
        <v>332</v>
      </c>
      <c r="H1131" s="46" t="str">
        <f aca="false">IF(G1131&lt;&gt;"",IFERROR(VLOOKUP(G1131,PRODUCTOS!$A:$B,2,0),"!COD NO ENCONTRADO"),"")</f>
        <v>VARIADO PEQUEÑO</v>
      </c>
      <c r="I1131" s="89" t="n">
        <v>5</v>
      </c>
      <c r="J1131" s="105" t="n">
        <v>39.75</v>
      </c>
      <c r="K1131" s="125" t="n">
        <v>0.3</v>
      </c>
      <c r="L1131" s="80" t="n">
        <f aca="false">IF(AND(J1131&lt;&gt;"",K1131&lt;&gt;""),J1131*K1131,"")</f>
        <v>11.925</v>
      </c>
      <c r="M1131" s="81" t="n">
        <f aca="false">IF(L1131&lt;&gt;"",L1131*1.1,"")</f>
        <v>13.1175</v>
      </c>
      <c r="N1131" s="47" t="n">
        <f aca="false">IF(F1131="S",L1131*0.02,0)</f>
        <v>0.2385</v>
      </c>
      <c r="O1131" s="82" t="n">
        <f aca="false">IF(L1131&lt;&gt;"",L1131+N1131,"")</f>
        <v>12.1635</v>
      </c>
      <c r="P1131" s="47" t="n">
        <f aca="false">IF(O1131&lt;&gt;"",O1131*0.1,"")</f>
        <v>1.21635</v>
      </c>
      <c r="Q1131" s="83" t="n">
        <f aca="false">IF(O1131&lt;&gt;"",O1131+P1131,"")</f>
        <v>13.37985</v>
      </c>
      <c r="R1131" s="84" t="s">
        <v>365</v>
      </c>
    </row>
    <row r="1132" customFormat="false" ht="15" hidden="false" customHeight="true" outlineLevel="0" collapsed="false">
      <c r="A1132" s="103" t="n">
        <v>56156</v>
      </c>
      <c r="B1132" s="85" t="n">
        <v>46233</v>
      </c>
      <c r="C1132" s="74" t="n">
        <v>21124</v>
      </c>
      <c r="D1132" s="75" t="n">
        <v>50163</v>
      </c>
      <c r="E1132" s="52" t="str">
        <f aca="false">IF(D1132&lt;&gt;"",IFERROR(VLOOKUP(D1132,PROVEEDORES!$A:$B,2,0),"!COD NO ENCONTRADO"),"")</f>
        <v>SUBASTAS RIVERA S.L.</v>
      </c>
      <c r="F1132" s="76" t="str">
        <f aca="false">IF(D1132&lt;&gt;"",IFERROR(VLOOKUP(D1132,PROVEEDORES!$A:$C,3,0),""),"")</f>
        <v>S</v>
      </c>
      <c r="G1132" s="75" t="s">
        <v>233</v>
      </c>
      <c r="H1132" s="52" t="str">
        <f aca="false">IF(G1132&lt;&gt;"",IFERROR(VLOOKUP(G1132,PRODUCTOS!$A:$B,2,0),"!COD NO ENCONTRADO"),"")</f>
        <v>MERLUZA EUROPEA VOLANTA COSTA</v>
      </c>
      <c r="I1132" s="77" t="n">
        <v>1</v>
      </c>
      <c r="J1132" s="105" t="n">
        <v>17.5</v>
      </c>
      <c r="K1132" s="125" t="n">
        <v>5.1</v>
      </c>
      <c r="L1132" s="80" t="n">
        <f aca="false">IF(AND(J1132&lt;&gt;"",K1132&lt;&gt;""),J1132*K1132,"")</f>
        <v>89.25</v>
      </c>
      <c r="M1132" s="81" t="n">
        <f aca="false">IF(L1132&lt;&gt;"",L1132*1.1,"")</f>
        <v>98.175</v>
      </c>
      <c r="N1132" s="53" t="n">
        <f aca="false">IF(F1132="S",L1132*0.02,0)</f>
        <v>1.785</v>
      </c>
      <c r="O1132" s="82" t="n">
        <f aca="false">IF(L1132&lt;&gt;"",L1132+N1132,"")</f>
        <v>91.035</v>
      </c>
      <c r="P1132" s="53" t="n">
        <f aca="false">IF(O1132&lt;&gt;"",O1132*0.1,"")</f>
        <v>9.1035</v>
      </c>
      <c r="Q1132" s="83" t="n">
        <f aca="false">IF(O1132&lt;&gt;"",O1132+P1132,"")</f>
        <v>100.1385</v>
      </c>
      <c r="R1132" s="84" t="s">
        <v>365</v>
      </c>
    </row>
    <row r="1133" customFormat="false" ht="15" hidden="false" customHeight="true" outlineLevel="0" collapsed="false">
      <c r="A1133" s="103" t="n">
        <v>56156</v>
      </c>
      <c r="B1133" s="85" t="n">
        <v>46233</v>
      </c>
      <c r="C1133" s="74" t="n">
        <v>21124</v>
      </c>
      <c r="D1133" s="87" t="n">
        <v>50163</v>
      </c>
      <c r="E1133" s="46" t="str">
        <f aca="false">IF(D1133&lt;&gt;"",IFERROR(VLOOKUP(D1133,PROVEEDORES!$A:$B,2,0),"!COD NO ENCONTRADO"),"")</f>
        <v>SUBASTAS RIVERA S.L.</v>
      </c>
      <c r="F1133" s="88" t="str">
        <f aca="false">IF(D1133&lt;&gt;"",IFERROR(VLOOKUP(D1133,PROVEEDORES!$A:$C,3,0),""),"")</f>
        <v>S</v>
      </c>
      <c r="G1133" s="87" t="s">
        <v>229</v>
      </c>
      <c r="H1133" s="46" t="str">
        <f aca="false">IF(G1133&lt;&gt;"",IFERROR(VLOOKUP(G1133,PRODUCTOS!$A:$B,2,0),"!COD NO ENCONTRADO"),"")</f>
        <v>MERLUZA EUROPEA PINCHO COSTA 2+</v>
      </c>
      <c r="I1133" s="89" t="n">
        <v>1</v>
      </c>
      <c r="J1133" s="105" t="n">
        <v>8.9</v>
      </c>
      <c r="K1133" s="125" t="n">
        <v>13</v>
      </c>
      <c r="L1133" s="80" t="n">
        <f aca="false">IF(AND(J1133&lt;&gt;"",K1133&lt;&gt;""),J1133*K1133,"")</f>
        <v>115.7</v>
      </c>
      <c r="M1133" s="81" t="n">
        <f aca="false">IF(L1133&lt;&gt;"",L1133*1.1,"")</f>
        <v>127.27</v>
      </c>
      <c r="N1133" s="47" t="n">
        <f aca="false">IF(F1133="S",L1133*0.02,0)</f>
        <v>2.314</v>
      </c>
      <c r="O1133" s="82" t="n">
        <f aca="false">IF(L1133&lt;&gt;"",L1133+N1133,"")</f>
        <v>118.014</v>
      </c>
      <c r="P1133" s="47" t="n">
        <f aca="false">IF(O1133&lt;&gt;"",O1133*0.1,"")</f>
        <v>11.8014</v>
      </c>
      <c r="Q1133" s="83" t="n">
        <f aca="false">IF(O1133&lt;&gt;"",O1133+P1133,"")</f>
        <v>129.8154</v>
      </c>
      <c r="R1133" s="84" t="s">
        <v>365</v>
      </c>
    </row>
    <row r="1134" customFormat="false" ht="15" hidden="false" customHeight="true" outlineLevel="0" collapsed="false">
      <c r="A1134" s="103" t="n">
        <v>56157</v>
      </c>
      <c r="B1134" s="85" t="n">
        <v>46233</v>
      </c>
      <c r="C1134" s="74" t="s">
        <v>547</v>
      </c>
      <c r="D1134" s="75" t="n">
        <v>50218</v>
      </c>
      <c r="E1134" s="52" t="str">
        <f aca="false">IF(D1134&lt;&gt;"",IFERROR(VLOOKUP(D1134,PROVEEDORES!$A:$B,2,0),"!COD NO ENCONTRADO"),"")</f>
        <v>ACERGA </v>
      </c>
      <c r="F1134" s="76" t="str">
        <f aca="false">IF(D1134&lt;&gt;"",IFERROR(VLOOKUP(D1134,PROVEEDORES!$A:$C,3,0),""),"")</f>
        <v>S</v>
      </c>
      <c r="G1134" s="75" t="s">
        <v>93</v>
      </c>
      <c r="H1134" s="52" t="str">
        <f aca="false">IF(G1134&lt;&gt;"",IFERROR(VLOOKUP(G1134,PRODUCTOS!$A:$B,2,0),"!COD NO ENCONTRADO"),"")</f>
        <v>BOQUERON/ BOCARTE/ ANCHOA (ANE)</v>
      </c>
      <c r="I1134" s="77" t="n">
        <v>40</v>
      </c>
      <c r="J1134" s="78" t="n">
        <v>465</v>
      </c>
      <c r="K1134" s="79" t="n">
        <v>1.3</v>
      </c>
      <c r="L1134" s="80" t="n">
        <f aca="false">IF(AND(J1134&lt;&gt;"",K1134&lt;&gt;""),J1134*K1134,"")</f>
        <v>604.5</v>
      </c>
      <c r="M1134" s="81" t="n">
        <f aca="false">IF(L1134&lt;&gt;"",L1134*1.1,"")</f>
        <v>664.95</v>
      </c>
      <c r="N1134" s="53" t="n">
        <f aca="false">IF(F1134="S",L1134*0.02,0)</f>
        <v>12.09</v>
      </c>
      <c r="O1134" s="82" t="n">
        <f aca="false">IF(L1134&lt;&gt;"",L1134+N1134,"")</f>
        <v>616.59</v>
      </c>
      <c r="P1134" s="53" t="n">
        <f aca="false">IF(O1134&lt;&gt;"",O1134*0.1,"")</f>
        <v>61.659</v>
      </c>
      <c r="Q1134" s="83" t="n">
        <f aca="false">IF(O1134&lt;&gt;"",O1134+P1134,"")</f>
        <v>678.249</v>
      </c>
      <c r="R1134" s="84" t="s">
        <v>365</v>
      </c>
    </row>
    <row r="1135" customFormat="false" ht="15" hidden="false" customHeight="true" outlineLevel="0" collapsed="false">
      <c r="A1135" s="103" t="n">
        <v>56157</v>
      </c>
      <c r="B1135" s="85" t="n">
        <v>46233</v>
      </c>
      <c r="C1135" s="74" t="s">
        <v>547</v>
      </c>
      <c r="D1135" s="87" t="n">
        <v>50218</v>
      </c>
      <c r="E1135" s="46" t="str">
        <f aca="false">IF(D1135&lt;&gt;"",IFERROR(VLOOKUP(D1135,PROVEEDORES!$A:$B,2,0),"!COD NO ENCONTRADO"),"")</f>
        <v>ACERGA </v>
      </c>
      <c r="F1135" s="88" t="str">
        <f aca="false">IF(D1135&lt;&gt;"",IFERROR(VLOOKUP(D1135,PROVEEDORES!$A:$C,3,0),""),"")</f>
        <v>S</v>
      </c>
      <c r="G1135" s="87" t="s">
        <v>93</v>
      </c>
      <c r="H1135" s="46" t="str">
        <f aca="false">IF(G1135&lt;&gt;"",IFERROR(VLOOKUP(G1135,PRODUCTOS!$A:$B,2,0),"!COD NO ENCONTRADO"),"")</f>
        <v>BOQUERON/ BOCARTE/ ANCHOA (ANE)</v>
      </c>
      <c r="I1135" s="89" t="n">
        <v>40</v>
      </c>
      <c r="J1135" s="90" t="n">
        <v>379</v>
      </c>
      <c r="K1135" s="91" t="n">
        <v>1.3</v>
      </c>
      <c r="L1135" s="80" t="n">
        <f aca="false">IF(AND(J1135&lt;&gt;"",K1135&lt;&gt;""),J1135*K1135,"")</f>
        <v>492.7</v>
      </c>
      <c r="M1135" s="81" t="n">
        <f aca="false">IF(L1135&lt;&gt;"",L1135*1.1,"")</f>
        <v>541.97</v>
      </c>
      <c r="N1135" s="47" t="n">
        <f aca="false">IF(F1135="S",L1135*0.02,0)</f>
        <v>9.854</v>
      </c>
      <c r="O1135" s="82" t="n">
        <f aca="false">IF(L1135&lt;&gt;"",L1135+N1135,"")</f>
        <v>502.554</v>
      </c>
      <c r="P1135" s="47" t="n">
        <f aca="false">IF(O1135&lt;&gt;"",O1135*0.1,"")</f>
        <v>50.2554</v>
      </c>
      <c r="Q1135" s="83" t="n">
        <f aca="false">IF(O1135&lt;&gt;"",O1135+P1135,"")</f>
        <v>552.8094</v>
      </c>
      <c r="R1135" s="84" t="s">
        <v>365</v>
      </c>
    </row>
    <row r="1136" customFormat="false" ht="15" hidden="false" customHeight="true" outlineLevel="0" collapsed="false">
      <c r="A1136" s="103" t="n">
        <v>56157</v>
      </c>
      <c r="B1136" s="85" t="n">
        <v>46233</v>
      </c>
      <c r="C1136" s="74" t="s">
        <v>547</v>
      </c>
      <c r="D1136" s="87" t="n">
        <v>50218</v>
      </c>
      <c r="E1136" s="46" t="str">
        <f aca="false">IF(D1136&lt;&gt;"",IFERROR(VLOOKUP(D1136,PROVEEDORES!$A:$B,2,0),"!COD NO ENCONTRADO"),"")</f>
        <v>ACERGA </v>
      </c>
      <c r="F1136" s="76" t="str">
        <f aca="false">IF(D1136&lt;&gt;"",IFERROR(VLOOKUP(D1136,PROVEEDORES!$A:$C,3,0),""),"")</f>
        <v>S</v>
      </c>
      <c r="G1136" s="75" t="s">
        <v>93</v>
      </c>
      <c r="H1136" s="52" t="str">
        <f aca="false">IF(G1136&lt;&gt;"",IFERROR(VLOOKUP(G1136,PRODUCTOS!$A:$B,2,0),"!COD NO ENCONTRADO"),"")</f>
        <v>BOQUERON/ BOCARTE/ ANCHOA (ANE)</v>
      </c>
      <c r="I1136" s="77" t="n">
        <v>40</v>
      </c>
      <c r="J1136" s="78" t="n">
        <v>342</v>
      </c>
      <c r="K1136" s="79" t="n">
        <v>1.2</v>
      </c>
      <c r="L1136" s="80" t="n">
        <f aca="false">IF(AND(J1136&lt;&gt;"",K1136&lt;&gt;""),J1136*K1136,"")</f>
        <v>410.4</v>
      </c>
      <c r="M1136" s="81" t="n">
        <f aca="false">IF(L1136&lt;&gt;"",L1136*1.1,"")</f>
        <v>451.44</v>
      </c>
      <c r="N1136" s="53" t="n">
        <f aca="false">IF(F1136="S",L1136*0.02,0)</f>
        <v>8.208</v>
      </c>
      <c r="O1136" s="82" t="n">
        <f aca="false">IF(L1136&lt;&gt;"",L1136+N1136,"")</f>
        <v>418.608</v>
      </c>
      <c r="P1136" s="53" t="n">
        <f aca="false">IF(O1136&lt;&gt;"",O1136*0.1,"")</f>
        <v>41.8608</v>
      </c>
      <c r="Q1136" s="83" t="n">
        <f aca="false">IF(O1136&lt;&gt;"",O1136+P1136,"")</f>
        <v>460.4688</v>
      </c>
      <c r="R1136" s="84" t="s">
        <v>365</v>
      </c>
    </row>
    <row r="1137" customFormat="false" ht="15" hidden="false" customHeight="true" outlineLevel="0" collapsed="false">
      <c r="A1137" s="103" t="n">
        <v>56157</v>
      </c>
      <c r="B1137" s="85" t="n">
        <v>46233</v>
      </c>
      <c r="C1137" s="74" t="s">
        <v>547</v>
      </c>
      <c r="D1137" s="87" t="n">
        <v>50218</v>
      </c>
      <c r="E1137" s="46" t="str">
        <f aca="false">IF(D1137&lt;&gt;"",IFERROR(VLOOKUP(D1137,PROVEEDORES!$A:$B,2,0),"!COD NO ENCONTRADO"),"")</f>
        <v>ACERGA </v>
      </c>
      <c r="F1137" s="88" t="str">
        <f aca="false">IF(D1137&lt;&gt;"",IFERROR(VLOOKUP(D1137,PROVEEDORES!$A:$C,3,0),""),"")</f>
        <v>S</v>
      </c>
      <c r="G1137" s="87" t="s">
        <v>93</v>
      </c>
      <c r="H1137" s="46" t="str">
        <f aca="false">IF(G1137&lt;&gt;"",IFERROR(VLOOKUP(G1137,PRODUCTOS!$A:$B,2,0),"!COD NO ENCONTRADO"),"")</f>
        <v>BOQUERON/ BOCARTE/ ANCHOA (ANE)</v>
      </c>
      <c r="I1137" s="89" t="n">
        <v>40</v>
      </c>
      <c r="J1137" s="90" t="n">
        <v>334</v>
      </c>
      <c r="K1137" s="91" t="n">
        <v>1.2</v>
      </c>
      <c r="L1137" s="80" t="n">
        <f aca="false">IF(AND(J1137&lt;&gt;"",K1137&lt;&gt;""),J1137*K1137,"")</f>
        <v>400.8</v>
      </c>
      <c r="M1137" s="81" t="n">
        <f aca="false">IF(L1137&lt;&gt;"",L1137*1.1,"")</f>
        <v>440.88</v>
      </c>
      <c r="N1137" s="47" t="n">
        <f aca="false">IF(F1137="S",L1137*0.02,0)</f>
        <v>8.016</v>
      </c>
      <c r="O1137" s="82" t="n">
        <f aca="false">IF(L1137&lt;&gt;"",L1137+N1137,"")</f>
        <v>408.816</v>
      </c>
      <c r="P1137" s="47" t="n">
        <f aca="false">IF(O1137&lt;&gt;"",O1137*0.1,"")</f>
        <v>40.8816</v>
      </c>
      <c r="Q1137" s="83" t="n">
        <f aca="false">IF(O1137&lt;&gt;"",O1137+P1137,"")</f>
        <v>449.6976</v>
      </c>
      <c r="R1137" s="84" t="s">
        <v>365</v>
      </c>
    </row>
    <row r="1138" customFormat="false" ht="15" hidden="false" customHeight="true" outlineLevel="0" collapsed="false">
      <c r="A1138" s="103" t="n">
        <v>56157</v>
      </c>
      <c r="B1138" s="85" t="n">
        <v>46233</v>
      </c>
      <c r="C1138" s="74" t="s">
        <v>547</v>
      </c>
      <c r="D1138" s="87" t="n">
        <v>50218</v>
      </c>
      <c r="E1138" s="46" t="str">
        <f aca="false">IF(D1138&lt;&gt;"",IFERROR(VLOOKUP(D1138,PROVEEDORES!$A:$B,2,0),"!COD NO ENCONTRADO"),"")</f>
        <v>ACERGA </v>
      </c>
      <c r="F1138" s="76" t="str">
        <f aca="false">IF(D1138&lt;&gt;"",IFERROR(VLOOKUP(D1138,PROVEEDORES!$A:$C,3,0),""),"")</f>
        <v>S</v>
      </c>
      <c r="G1138" s="75" t="s">
        <v>93</v>
      </c>
      <c r="H1138" s="52" t="str">
        <f aca="false">IF(G1138&lt;&gt;"",IFERROR(VLOOKUP(G1138,PRODUCTOS!$A:$B,2,0),"!COD NO ENCONTRADO"),"")</f>
        <v>BOQUERON/ BOCARTE/ ANCHOA (ANE)</v>
      </c>
      <c r="I1138" s="77" t="n">
        <v>40</v>
      </c>
      <c r="J1138" s="78" t="n">
        <v>330</v>
      </c>
      <c r="K1138" s="79" t="n">
        <v>1.2</v>
      </c>
      <c r="L1138" s="80" t="n">
        <f aca="false">IF(AND(J1138&lt;&gt;"",K1138&lt;&gt;""),J1138*K1138,"")</f>
        <v>396</v>
      </c>
      <c r="M1138" s="81" t="n">
        <f aca="false">IF(L1138&lt;&gt;"",L1138*1.1,"")</f>
        <v>435.6</v>
      </c>
      <c r="N1138" s="53" t="n">
        <f aca="false">IF(F1138="S",L1138*0.02,0)</f>
        <v>7.92</v>
      </c>
      <c r="O1138" s="82" t="n">
        <f aca="false">IF(L1138&lt;&gt;"",L1138+N1138,"")</f>
        <v>403.92</v>
      </c>
      <c r="P1138" s="53" t="n">
        <f aca="false">IF(O1138&lt;&gt;"",O1138*0.1,"")</f>
        <v>40.392</v>
      </c>
      <c r="Q1138" s="83" t="n">
        <f aca="false">IF(O1138&lt;&gt;"",O1138+P1138,"")</f>
        <v>444.312</v>
      </c>
      <c r="R1138" s="84" t="s">
        <v>365</v>
      </c>
    </row>
    <row r="1139" customFormat="false" ht="15" hidden="false" customHeight="true" outlineLevel="0" collapsed="false">
      <c r="A1139" s="103" t="n">
        <v>56157</v>
      </c>
      <c r="B1139" s="85" t="n">
        <v>46233</v>
      </c>
      <c r="C1139" s="74" t="s">
        <v>547</v>
      </c>
      <c r="D1139" s="87" t="n">
        <v>50218</v>
      </c>
      <c r="E1139" s="46" t="str">
        <f aca="false">IF(D1139&lt;&gt;"",IFERROR(VLOOKUP(D1139,PROVEEDORES!$A:$B,2,0),"!COD NO ENCONTRADO"),"")</f>
        <v>ACERGA </v>
      </c>
      <c r="F1139" s="88" t="str">
        <f aca="false">IF(D1139&lt;&gt;"",IFERROR(VLOOKUP(D1139,PROVEEDORES!$A:$C,3,0),""),"")</f>
        <v>S</v>
      </c>
      <c r="G1139" s="87" t="s">
        <v>93</v>
      </c>
      <c r="H1139" s="46" t="str">
        <f aca="false">IF(G1139&lt;&gt;"",IFERROR(VLOOKUP(G1139,PRODUCTOS!$A:$B,2,0),"!COD NO ENCONTRADO"),"")</f>
        <v>BOQUERON/ BOCARTE/ ANCHOA (ANE)</v>
      </c>
      <c r="I1139" s="89" t="n">
        <v>40</v>
      </c>
      <c r="J1139" s="90" t="n">
        <v>383</v>
      </c>
      <c r="K1139" s="91" t="n">
        <v>1.25</v>
      </c>
      <c r="L1139" s="80" t="n">
        <f aca="false">IF(AND(J1139&lt;&gt;"",K1139&lt;&gt;""),J1139*K1139,"")</f>
        <v>478.75</v>
      </c>
      <c r="M1139" s="81" t="n">
        <f aca="false">IF(L1139&lt;&gt;"",L1139*1.1,"")</f>
        <v>526.625</v>
      </c>
      <c r="N1139" s="47" t="n">
        <f aca="false">IF(F1139="S",L1139*0.02,0)</f>
        <v>9.575</v>
      </c>
      <c r="O1139" s="82" t="n">
        <f aca="false">IF(L1139&lt;&gt;"",L1139+N1139,"")</f>
        <v>488.325</v>
      </c>
      <c r="P1139" s="47" t="n">
        <f aca="false">IF(O1139&lt;&gt;"",O1139*0.1,"")</f>
        <v>48.8325</v>
      </c>
      <c r="Q1139" s="83" t="n">
        <f aca="false">IF(O1139&lt;&gt;"",O1139+P1139,"")</f>
        <v>537.1575</v>
      </c>
      <c r="R1139" s="84" t="s">
        <v>365</v>
      </c>
    </row>
    <row r="1140" customFormat="false" ht="15" hidden="false" customHeight="true" outlineLevel="0" collapsed="false">
      <c r="A1140" s="103" t="n">
        <v>56158</v>
      </c>
      <c r="B1140" s="73" t="n">
        <v>46233</v>
      </c>
      <c r="C1140" s="74" t="n">
        <v>513</v>
      </c>
      <c r="D1140" s="75" t="n">
        <v>50196</v>
      </c>
      <c r="E1140" s="52" t="str">
        <f aca="false">IF(D1140&lt;&gt;"",IFERROR(VLOOKUP(D1140,PROVEEDORES!$A:$B,2,0),"!COD NO ENCONTRADO"),"")</f>
        <v>PORTABALES S.L.</v>
      </c>
      <c r="F1140" s="76" t="str">
        <f aca="false">IF(D1140&lt;&gt;"",IFERROR(VLOOKUP(D1140,PROVEEDORES!$A:$C,3,0),""),"")</f>
        <v>N</v>
      </c>
      <c r="G1140" s="75" t="s">
        <v>276</v>
      </c>
      <c r="H1140" s="52" t="str">
        <f aca="false">IF(G1140&lt;&gt;"",IFERROR(VLOOKUP(G1140,PRODUCTOS!$A:$B,2,0),"!COD NO ENCONTRADO"),"")</f>
        <v>MERLUZA EUROPEA/ FINA DIA </v>
      </c>
      <c r="I1140" s="77" t="n">
        <v>1</v>
      </c>
      <c r="J1140" s="78" t="n">
        <v>10</v>
      </c>
      <c r="K1140" s="79" t="n">
        <v>3</v>
      </c>
      <c r="L1140" s="80" t="n">
        <f aca="false">IF(AND(J1140&lt;&gt;"",K1140&lt;&gt;""),J1140*K1140,"")</f>
        <v>30</v>
      </c>
      <c r="M1140" s="81" t="n">
        <f aca="false">IF(L1140&lt;&gt;"",L1140*1.1,"")</f>
        <v>33</v>
      </c>
      <c r="N1140" s="53" t="n">
        <f aca="false">IF(F1140="S",L1140*0.02,0)</f>
        <v>0</v>
      </c>
      <c r="O1140" s="82" t="n">
        <f aca="false">IF(L1140&lt;&gt;"",L1140+N1140,"")</f>
        <v>30</v>
      </c>
      <c r="P1140" s="53" t="n">
        <f aca="false">IF(O1140&lt;&gt;"",O1140*0.1,"")</f>
        <v>3</v>
      </c>
      <c r="Q1140" s="83" t="n">
        <f aca="false">IF(O1140&lt;&gt;"",O1140+P1140,"")</f>
        <v>33</v>
      </c>
      <c r="R1140" s="84" t="s">
        <v>365</v>
      </c>
    </row>
    <row r="1141" customFormat="false" ht="15" hidden="false" customHeight="true" outlineLevel="0" collapsed="false">
      <c r="A1141" s="103" t="n">
        <v>56159</v>
      </c>
      <c r="B1141" s="85" t="n">
        <v>46233</v>
      </c>
      <c r="C1141" s="86" t="s">
        <v>548</v>
      </c>
      <c r="D1141" s="87" t="n">
        <v>50521</v>
      </c>
      <c r="E1141" s="46" t="str">
        <f aca="false">IF(D1141&lt;&gt;"",IFERROR(VLOOKUP(D1141,PROVEEDORES!$A:$B,2,0),"!COD NO ENCONTRADO"),"")</f>
        <v>SUBASTAS DE ATLANTICO S.L</v>
      </c>
      <c r="F1141" s="88" t="str">
        <f aca="false">IF(D1141&lt;&gt;"",IFERROR(VLOOKUP(D1141,PROVEEDORES!$A:$C,3,0),""),"")</f>
        <v>S</v>
      </c>
      <c r="G1141" s="87" t="s">
        <v>93</v>
      </c>
      <c r="H1141" s="46" t="str">
        <f aca="false">IF(G1141&lt;&gt;"",IFERROR(VLOOKUP(G1141,PRODUCTOS!$A:$B,2,0),"!COD NO ENCONTRADO"),"")</f>
        <v>BOQUERON/ BOCARTE/ ANCHOA (ANE)</v>
      </c>
      <c r="I1141" s="89" t="n">
        <v>40</v>
      </c>
      <c r="J1141" s="90" t="n">
        <v>362</v>
      </c>
      <c r="K1141" s="91" t="n">
        <v>1</v>
      </c>
      <c r="L1141" s="80" t="n">
        <f aca="false">IF(AND(J1141&lt;&gt;"",K1141&lt;&gt;""),J1141*K1141,"")</f>
        <v>362</v>
      </c>
      <c r="M1141" s="81" t="n">
        <f aca="false">IF(L1141&lt;&gt;"",L1141*1.1,"")</f>
        <v>398.2</v>
      </c>
      <c r="N1141" s="47" t="n">
        <f aca="false">IF(F1141="S",L1141*0.02,0)</f>
        <v>7.24</v>
      </c>
      <c r="O1141" s="82" t="n">
        <f aca="false">IF(L1141&lt;&gt;"",L1141+N1141,"")</f>
        <v>369.24</v>
      </c>
      <c r="P1141" s="47" t="n">
        <f aca="false">IF(O1141&lt;&gt;"",O1141*0.1,"")</f>
        <v>36.924</v>
      </c>
      <c r="Q1141" s="83" t="n">
        <f aca="false">IF(O1141&lt;&gt;"",O1141+P1141,"")</f>
        <v>406.164</v>
      </c>
      <c r="R1141" s="84" t="s">
        <v>365</v>
      </c>
    </row>
    <row r="1142" customFormat="false" ht="15" hidden="false" customHeight="true" outlineLevel="0" collapsed="false">
      <c r="A1142" s="103" t="n">
        <v>56160</v>
      </c>
      <c r="B1142" s="73" t="n">
        <v>46233</v>
      </c>
      <c r="C1142" s="74" t="s">
        <v>549</v>
      </c>
      <c r="D1142" s="75" t="n">
        <v>50035</v>
      </c>
      <c r="E1142" s="52" t="str">
        <f aca="false">IF(D1142&lt;&gt;"",IFERROR(VLOOKUP(D1142,PROVEEDORES!$A:$B,2,0),"!COD NO ENCONTRADO"),"")</f>
        <v>SCANFISK SEAFFOD S,L</v>
      </c>
      <c r="F1142" s="76" t="str">
        <f aca="false">IF(D1142&lt;&gt;"",IFERROR(VLOOKUP(D1142,PROVEEDORES!$A:$C,3,0),""),"")</f>
        <v>N</v>
      </c>
      <c r="G1142" s="75" t="s">
        <v>91</v>
      </c>
      <c r="H1142" s="52" t="str">
        <f aca="false">IF(G1142&lt;&gt;"",IFERROR(VLOOKUP(G1142,PRODUCTOS!$A:$B,2,0),"!COD NO ENCONTRADO"),"")</f>
        <v>BONITO DEL NORTE 5/7</v>
      </c>
      <c r="I1142" s="77" t="n">
        <v>1</v>
      </c>
      <c r="J1142" s="78" t="n">
        <v>24.3</v>
      </c>
      <c r="K1142" s="79" t="n">
        <v>6.9</v>
      </c>
      <c r="L1142" s="80" t="n">
        <f aca="false">IF(AND(J1142&lt;&gt;"",K1142&lt;&gt;""),J1142*K1142,"")</f>
        <v>167.67</v>
      </c>
      <c r="M1142" s="81" t="n">
        <f aca="false">IF(L1142&lt;&gt;"",L1142*1.1,"")</f>
        <v>184.437</v>
      </c>
      <c r="N1142" s="53" t="n">
        <f aca="false">IF(F1142="S",L1142*0.02,0)</f>
        <v>0</v>
      </c>
      <c r="O1142" s="82" t="n">
        <f aca="false">IF(L1142&lt;&gt;"",L1142+N1142,"")</f>
        <v>167.67</v>
      </c>
      <c r="P1142" s="53" t="n">
        <f aca="false">IF(O1142&lt;&gt;"",O1142*0.1,"")</f>
        <v>16.767</v>
      </c>
      <c r="Q1142" s="83" t="n">
        <f aca="false">IF(O1142&lt;&gt;"",O1142+P1142,"")</f>
        <v>184.437</v>
      </c>
      <c r="R1142" s="84" t="s">
        <v>365</v>
      </c>
    </row>
    <row r="1143" customFormat="false" ht="15" hidden="false" customHeight="true" outlineLevel="0" collapsed="false">
      <c r="A1143" s="103" t="n">
        <v>56160</v>
      </c>
      <c r="B1143" s="85" t="n">
        <v>46233</v>
      </c>
      <c r="C1143" s="86" t="s">
        <v>550</v>
      </c>
      <c r="D1143" s="87" t="n">
        <v>50035</v>
      </c>
      <c r="E1143" s="46" t="str">
        <f aca="false">IF(D1143&lt;&gt;"",IFERROR(VLOOKUP(D1143,PROVEEDORES!$A:$B,2,0),"!COD NO ENCONTRADO"),"")</f>
        <v>SCANFISK SEAFFOD S,L</v>
      </c>
      <c r="F1143" s="88" t="str">
        <f aca="false">IF(D1143&lt;&gt;"",IFERROR(VLOOKUP(D1143,PROVEEDORES!$A:$C,3,0),""),"")</f>
        <v>N</v>
      </c>
      <c r="G1143" s="87" t="s">
        <v>246</v>
      </c>
      <c r="H1143" s="46" t="str">
        <f aca="false">IF(G1143&lt;&gt;"",IFERROR(VLOOKUP(G1143,PRODUCTOS!$A:$B,2,0),"!COD NO ENCONTRADO"),"")</f>
        <v>MERLUZA EUROPEA VOLANTA ALTURA</v>
      </c>
      <c r="I1143" s="89" t="n">
        <v>2</v>
      </c>
      <c r="J1143" s="90" t="n">
        <v>20.8</v>
      </c>
      <c r="K1143" s="91" t="n">
        <v>8.5</v>
      </c>
      <c r="L1143" s="80" t="n">
        <f aca="false">IF(AND(J1143&lt;&gt;"",K1143&lt;&gt;""),J1143*K1143,"")</f>
        <v>176.8</v>
      </c>
      <c r="M1143" s="81" t="n">
        <f aca="false">IF(L1143&lt;&gt;"",L1143*1.1,"")</f>
        <v>194.48</v>
      </c>
      <c r="N1143" s="47" t="n">
        <f aca="false">IF(F1143="S",L1143*0.02,0)</f>
        <v>0</v>
      </c>
      <c r="O1143" s="82" t="n">
        <f aca="false">IF(L1143&lt;&gt;"",L1143+N1143,"")</f>
        <v>176.8</v>
      </c>
      <c r="P1143" s="47" t="n">
        <f aca="false">IF(O1143&lt;&gt;"",O1143*0.1,"")</f>
        <v>17.68</v>
      </c>
      <c r="Q1143" s="83" t="n">
        <f aca="false">IF(O1143&lt;&gt;"",O1143+P1143,"")</f>
        <v>194.48</v>
      </c>
      <c r="R1143" s="84" t="s">
        <v>365</v>
      </c>
    </row>
    <row r="1144" customFormat="false" ht="15" hidden="false" customHeight="true" outlineLevel="0" collapsed="false">
      <c r="A1144" s="103" t="n">
        <v>56161</v>
      </c>
      <c r="B1144" s="73" t="n">
        <v>46233</v>
      </c>
      <c r="C1144" s="74" t="s">
        <v>551</v>
      </c>
      <c r="D1144" s="75" t="n">
        <v>50533</v>
      </c>
      <c r="E1144" s="52" t="str">
        <f aca="false">IF(D1144&lt;&gt;"",IFERROR(VLOOKUP(D1144,PROVEEDORES!$A:$B,2,0),"!COD NO ENCONTRADO"),"")</f>
        <v>LURDES MARIÑO, S.L.</v>
      </c>
      <c r="F1144" s="76" t="str">
        <f aca="false">IF(D1144&lt;&gt;"",IFERROR(VLOOKUP(D1144,PROVEEDORES!$A:$C,3,0),""),"")</f>
        <v>N</v>
      </c>
      <c r="G1144" s="75" t="s">
        <v>408</v>
      </c>
      <c r="H1144" s="52" t="str">
        <f aca="false">IF(G1144&lt;&gt;"",IFERROR(VLOOKUP(G1144,PRODUCTOS!$A:$B,2,0),"!COD NO ENCONTRADO"),"")</f>
        <v>MEJILLON SACO</v>
      </c>
      <c r="I1144" s="77" t="n">
        <v>35</v>
      </c>
      <c r="J1144" s="78" t="n">
        <v>175</v>
      </c>
      <c r="K1144" s="79" t="n">
        <v>1.4</v>
      </c>
      <c r="L1144" s="80" t="n">
        <f aca="false">IF(AND(J1144&lt;&gt;"",K1144&lt;&gt;""),J1144*K1144,"")</f>
        <v>245</v>
      </c>
      <c r="M1144" s="81" t="n">
        <f aca="false">IF(L1144&lt;&gt;"",L1144*1.1,"")</f>
        <v>269.5</v>
      </c>
      <c r="N1144" s="53" t="n">
        <f aca="false">IF(F1144="S",L1144*0.02,0)</f>
        <v>0</v>
      </c>
      <c r="O1144" s="82" t="n">
        <f aca="false">IF(L1144&lt;&gt;"",L1144+N1144,"")</f>
        <v>245</v>
      </c>
      <c r="P1144" s="53" t="n">
        <f aca="false">IF(O1144&lt;&gt;"",O1144*0.1,"")</f>
        <v>24.5</v>
      </c>
      <c r="Q1144" s="83" t="n">
        <f aca="false">IF(O1144&lt;&gt;"",O1144+P1144,"")</f>
        <v>269.5</v>
      </c>
      <c r="R1144" s="84" t="s">
        <v>365</v>
      </c>
    </row>
    <row r="1145" customFormat="false" ht="15" hidden="false" customHeight="true" outlineLevel="0" collapsed="false">
      <c r="A1145" s="103" t="n">
        <v>56162</v>
      </c>
      <c r="B1145" s="85" t="n">
        <v>46234</v>
      </c>
      <c r="C1145" s="86" t="s">
        <v>552</v>
      </c>
      <c r="D1145" s="87" t="n">
        <v>50232</v>
      </c>
      <c r="E1145" s="46" t="str">
        <f aca="false">IF(D1145&lt;&gt;"",IFERROR(VLOOKUP(D1145,PROVEEDORES!$A:$B,2,0),"!COD NO ENCONTRADO"),"")</f>
        <v>XESTION NOVA LONXA RIVEIRA S.L.</v>
      </c>
      <c r="F1145" s="88" t="str">
        <f aca="false">IF(D1145&lt;&gt;"",IFERROR(VLOOKUP(D1145,PROVEEDORES!$A:$C,3,0),""),"")</f>
        <v>S</v>
      </c>
      <c r="G1145" s="87" t="s">
        <v>179</v>
      </c>
      <c r="H1145" s="46" t="str">
        <f aca="false">IF(G1145&lt;&gt;"",IFERROR(VLOOKUP(G1145,PRODUCTOS!$A:$B,2,0),"!COD NO ENCONTRADO"),"")</f>
        <v>LIRIO/ BACALADILLA/ PERLA (WHB)</v>
      </c>
      <c r="I1145" s="89" t="n">
        <v>20</v>
      </c>
      <c r="J1145" s="121" t="n">
        <v>264.2</v>
      </c>
      <c r="K1145" s="141" t="n">
        <v>2.3</v>
      </c>
      <c r="L1145" s="80" t="n">
        <f aca="false">IF(AND(J1145&lt;&gt;"",K1145&lt;&gt;""),J1145*K1145,"")</f>
        <v>607.66</v>
      </c>
      <c r="M1145" s="81" t="n">
        <f aca="false">IF(L1145&lt;&gt;"",L1145*1.1,"")</f>
        <v>668.426</v>
      </c>
      <c r="N1145" s="47" t="n">
        <f aca="false">IF(F1145="S",L1145*0.02,0)</f>
        <v>12.1532</v>
      </c>
      <c r="O1145" s="82" t="n">
        <f aca="false">IF(L1145&lt;&gt;"",L1145+N1145,"")</f>
        <v>619.8132</v>
      </c>
      <c r="P1145" s="47" t="n">
        <f aca="false">IF(O1145&lt;&gt;"",O1145*0.1,"")</f>
        <v>61.98132</v>
      </c>
      <c r="Q1145" s="83" t="n">
        <f aca="false">IF(O1145&lt;&gt;"",O1145+P1145,"")</f>
        <v>681.79452</v>
      </c>
      <c r="R1145" s="84" t="s">
        <v>358</v>
      </c>
    </row>
    <row r="1146" customFormat="false" ht="15" hidden="false" customHeight="true" outlineLevel="0" collapsed="false">
      <c r="A1146" s="103" t="n">
        <v>56162</v>
      </c>
      <c r="B1146" s="85" t="n">
        <v>46234</v>
      </c>
      <c r="C1146" s="86" t="s">
        <v>552</v>
      </c>
      <c r="D1146" s="87" t="n">
        <v>50232</v>
      </c>
      <c r="E1146" s="46" t="str">
        <f aca="false">IF(D1146&lt;&gt;"",IFERROR(VLOOKUP(D1146,PROVEEDORES!$A:$B,2,0),"!COD NO ENCONTRADO"),"")</f>
        <v>XESTION NOVA LONXA RIVEIRA S.L.</v>
      </c>
      <c r="F1146" s="88" t="str">
        <f aca="false">IF(D1146&lt;&gt;"",IFERROR(VLOOKUP(D1146,PROVEEDORES!$A:$C,3,0),""),"")</f>
        <v>S</v>
      </c>
      <c r="G1146" s="87" t="s">
        <v>179</v>
      </c>
      <c r="H1146" s="52" t="str">
        <f aca="false">IF(G1146&lt;&gt;"",IFERROR(VLOOKUP(G1146,PRODUCTOS!$A:$B,2,0),"!COD NO ENCONTRADO"),"")</f>
        <v>LIRIO/ BACALADILLA/ PERLA (WHB)</v>
      </c>
      <c r="I1146" s="77" t="n">
        <v>5</v>
      </c>
      <c r="J1146" s="121" t="n">
        <v>75</v>
      </c>
      <c r="K1146" s="141" t="n">
        <v>2.26</v>
      </c>
      <c r="L1146" s="80" t="n">
        <f aca="false">IF(AND(J1146&lt;&gt;"",K1146&lt;&gt;""),J1146*K1146,"")</f>
        <v>169.5</v>
      </c>
      <c r="M1146" s="81" t="n">
        <f aca="false">IF(L1146&lt;&gt;"",L1146*1.1,"")</f>
        <v>186.45</v>
      </c>
      <c r="N1146" s="53" t="n">
        <f aca="false">IF(F1146="S",L1146*0.02,0)</f>
        <v>3.39</v>
      </c>
      <c r="O1146" s="82" t="n">
        <f aca="false">IF(L1146&lt;&gt;"",L1146+N1146,"")</f>
        <v>172.89</v>
      </c>
      <c r="P1146" s="53" t="n">
        <f aca="false">IF(O1146&lt;&gt;"",O1146*0.1,"")</f>
        <v>17.289</v>
      </c>
      <c r="Q1146" s="83" t="n">
        <f aca="false">IF(O1146&lt;&gt;"",O1146+P1146,"")</f>
        <v>190.179</v>
      </c>
      <c r="R1146" s="84" t="s">
        <v>358</v>
      </c>
    </row>
    <row r="1147" customFormat="false" ht="15" hidden="false" customHeight="true" outlineLevel="0" collapsed="false">
      <c r="A1147" s="103" t="n">
        <v>56162</v>
      </c>
      <c r="B1147" s="85" t="n">
        <v>46234</v>
      </c>
      <c r="C1147" s="86" t="s">
        <v>552</v>
      </c>
      <c r="D1147" s="87" t="n">
        <v>50232</v>
      </c>
      <c r="E1147" s="46" t="str">
        <f aca="false">IF(D1147&lt;&gt;"",IFERROR(VLOOKUP(D1147,PROVEEDORES!$A:$B,2,0),"!COD NO ENCONTRADO"),"")</f>
        <v>XESTION NOVA LONXA RIVEIRA S.L.</v>
      </c>
      <c r="F1147" s="88" t="str">
        <f aca="false">IF(D1147&lt;&gt;"",IFERROR(VLOOKUP(D1147,PROVEEDORES!$A:$C,3,0),""),"")</f>
        <v>S</v>
      </c>
      <c r="G1147" s="87" t="s">
        <v>179</v>
      </c>
      <c r="H1147" s="46" t="str">
        <f aca="false">IF(G1147&lt;&gt;"",IFERROR(VLOOKUP(G1147,PRODUCTOS!$A:$B,2,0),"!COD NO ENCONTRADO"),"")</f>
        <v>LIRIO/ BACALADILLA/ PERLA (WHB)</v>
      </c>
      <c r="I1147" s="89" t="n">
        <v>20</v>
      </c>
      <c r="J1147" s="121" t="n">
        <v>291.7</v>
      </c>
      <c r="K1147" s="141" t="n">
        <v>2.4</v>
      </c>
      <c r="L1147" s="80" t="n">
        <f aca="false">IF(AND(J1147&lt;&gt;"",K1147&lt;&gt;""),J1147*K1147,"")</f>
        <v>700.08</v>
      </c>
      <c r="M1147" s="81" t="n">
        <f aca="false">IF(L1147&lt;&gt;"",L1147*1.1,"")</f>
        <v>770.088</v>
      </c>
      <c r="N1147" s="47" t="n">
        <f aca="false">IF(F1147="S",L1147*0.02,0)</f>
        <v>14.0016</v>
      </c>
      <c r="O1147" s="82" t="n">
        <f aca="false">IF(L1147&lt;&gt;"",L1147+N1147,"")</f>
        <v>714.0816</v>
      </c>
      <c r="P1147" s="47" t="n">
        <f aca="false">IF(O1147&lt;&gt;"",O1147*0.1,"")</f>
        <v>71.40816</v>
      </c>
      <c r="Q1147" s="83" t="n">
        <f aca="false">IF(O1147&lt;&gt;"",O1147+P1147,"")</f>
        <v>785.48976</v>
      </c>
      <c r="R1147" s="84" t="s">
        <v>358</v>
      </c>
    </row>
    <row r="1148" customFormat="false" ht="15" hidden="false" customHeight="true" outlineLevel="0" collapsed="false">
      <c r="A1148" s="103" t="n">
        <v>56163</v>
      </c>
      <c r="B1148" s="85" t="n">
        <v>46234</v>
      </c>
      <c r="C1148" s="74" t="n">
        <v>11081</v>
      </c>
      <c r="D1148" s="75" t="n">
        <v>50001</v>
      </c>
      <c r="E1148" s="52" t="str">
        <f aca="false">IF(D1148&lt;&gt;"",IFERROR(VLOOKUP(D1148,PROVEEDORES!$A:$B,2,0),"!COD NO ENCONTRADO"),"")</f>
        <v>COPESA</v>
      </c>
      <c r="F1148" s="76" t="str">
        <f aca="false">IF(D1148&lt;&gt;"",IFERROR(VLOOKUP(D1148,PROVEEDORES!$A:$C,3,0),""),"")</f>
        <v>S</v>
      </c>
      <c r="G1148" s="75" t="s">
        <v>276</v>
      </c>
      <c r="H1148" s="52" t="str">
        <f aca="false">IF(G1148&lt;&gt;"",IFERROR(VLOOKUP(G1148,PRODUCTOS!$A:$B,2,0),"!COD NO ENCONTRADO"),"")</f>
        <v>MERLUZA EUROPEA/ FINA DIA </v>
      </c>
      <c r="I1148" s="77" t="n">
        <v>5</v>
      </c>
      <c r="J1148" s="78" t="n">
        <v>27.75</v>
      </c>
      <c r="K1148" s="79" t="n">
        <v>2.4</v>
      </c>
      <c r="L1148" s="80" t="n">
        <f aca="false">IF(AND(J1148&lt;&gt;"",K1148&lt;&gt;""),J1148*K1148,"")</f>
        <v>66.6</v>
      </c>
      <c r="M1148" s="81" t="n">
        <f aca="false">IF(L1148&lt;&gt;"",L1148*1.1,"")</f>
        <v>73.26</v>
      </c>
      <c r="N1148" s="53" t="n">
        <f aca="false">IF(F1148="S",L1148*0.02,0)</f>
        <v>1.332</v>
      </c>
      <c r="O1148" s="82" t="n">
        <f aca="false">IF(L1148&lt;&gt;"",L1148+N1148,"")</f>
        <v>67.932</v>
      </c>
      <c r="P1148" s="53" t="n">
        <f aca="false">IF(O1148&lt;&gt;"",O1148*0.1,"")</f>
        <v>6.7932</v>
      </c>
      <c r="Q1148" s="83" t="n">
        <f aca="false">IF(O1148&lt;&gt;"",O1148+P1148,"")</f>
        <v>74.7252</v>
      </c>
      <c r="R1148" s="84" t="s">
        <v>358</v>
      </c>
    </row>
    <row r="1149" customFormat="false" ht="15" hidden="false" customHeight="true" outlineLevel="0" collapsed="false">
      <c r="A1149" s="103" t="n">
        <v>56163</v>
      </c>
      <c r="B1149" s="85" t="n">
        <v>46234</v>
      </c>
      <c r="C1149" s="86" t="n">
        <v>11081</v>
      </c>
      <c r="D1149" s="87" t="n">
        <v>50001</v>
      </c>
      <c r="E1149" s="46" t="str">
        <f aca="false">IF(D1149&lt;&gt;"",IFERROR(VLOOKUP(D1149,PROVEEDORES!$A:$B,2,0),"!COD NO ENCONTRADO"),"")</f>
        <v>COPESA</v>
      </c>
      <c r="F1149" s="88" t="str">
        <f aca="false">IF(D1149&lt;&gt;"",IFERROR(VLOOKUP(D1149,PROVEEDORES!$A:$C,3,0),""),"")</f>
        <v>S</v>
      </c>
      <c r="G1149" s="87" t="s">
        <v>276</v>
      </c>
      <c r="H1149" s="46" t="str">
        <f aca="false">IF(G1149&lt;&gt;"",IFERROR(VLOOKUP(G1149,PRODUCTOS!$A:$B,2,0),"!COD NO ENCONTRADO"),"")</f>
        <v>MERLUZA EUROPEA/ FINA DIA </v>
      </c>
      <c r="I1149" s="89" t="n">
        <v>4</v>
      </c>
      <c r="J1149" s="90" t="n">
        <v>21.75</v>
      </c>
      <c r="K1149" s="91" t="n">
        <v>2.6</v>
      </c>
      <c r="L1149" s="80" t="n">
        <f aca="false">IF(AND(J1149&lt;&gt;"",K1149&lt;&gt;""),J1149*K1149,"")</f>
        <v>56.55</v>
      </c>
      <c r="M1149" s="81" t="n">
        <f aca="false">IF(L1149&lt;&gt;"",L1149*1.1,"")</f>
        <v>62.205</v>
      </c>
      <c r="N1149" s="47" t="n">
        <f aca="false">IF(F1149="S",L1149*0.02,0)</f>
        <v>1.131</v>
      </c>
      <c r="O1149" s="82" t="n">
        <f aca="false">IF(L1149&lt;&gt;"",L1149+N1149,"")</f>
        <v>57.681</v>
      </c>
      <c r="P1149" s="47" t="n">
        <f aca="false">IF(O1149&lt;&gt;"",O1149*0.1,"")</f>
        <v>5.7681</v>
      </c>
      <c r="Q1149" s="83" t="n">
        <f aca="false">IF(O1149&lt;&gt;"",O1149+P1149,"")</f>
        <v>63.4491</v>
      </c>
      <c r="R1149" s="84" t="s">
        <v>358</v>
      </c>
    </row>
    <row r="1150" customFormat="false" ht="15" hidden="false" customHeight="true" outlineLevel="0" collapsed="false">
      <c r="A1150" s="103" t="n">
        <v>56163</v>
      </c>
      <c r="B1150" s="85" t="n">
        <v>46234</v>
      </c>
      <c r="C1150" s="74" t="n">
        <v>11081</v>
      </c>
      <c r="D1150" s="75" t="n">
        <v>50001</v>
      </c>
      <c r="E1150" s="52" t="str">
        <f aca="false">IF(D1150&lt;&gt;"",IFERROR(VLOOKUP(D1150,PROVEEDORES!$A:$B,2,0),"!COD NO ENCONTRADO"),"")</f>
        <v>COPESA</v>
      </c>
      <c r="F1150" s="76" t="str">
        <f aca="false">IF(D1150&lt;&gt;"",IFERROR(VLOOKUP(D1150,PROVEEDORES!$A:$C,3,0),""),"")</f>
        <v>S</v>
      </c>
      <c r="G1150" s="75" t="s">
        <v>233</v>
      </c>
      <c r="H1150" s="52" t="str">
        <f aca="false">IF(G1150&lt;&gt;"",IFERROR(VLOOKUP(G1150,PRODUCTOS!$A:$B,2,0),"!COD NO ENCONTRADO"),"")</f>
        <v>MERLUZA EUROPEA VOLANTA COSTA</v>
      </c>
      <c r="I1150" s="77" t="n">
        <v>2</v>
      </c>
      <c r="J1150" s="78" t="n">
        <v>7.9</v>
      </c>
      <c r="K1150" s="79" t="n">
        <v>3.4</v>
      </c>
      <c r="L1150" s="80" t="n">
        <f aca="false">IF(AND(J1150&lt;&gt;"",K1150&lt;&gt;""),J1150*K1150,"")</f>
        <v>26.86</v>
      </c>
      <c r="M1150" s="81" t="n">
        <f aca="false">IF(L1150&lt;&gt;"",L1150*1.1,"")</f>
        <v>29.546</v>
      </c>
      <c r="N1150" s="53" t="n">
        <f aca="false">IF(F1150="S",L1150*0.02,0)</f>
        <v>0.5372</v>
      </c>
      <c r="O1150" s="82" t="n">
        <f aca="false">IF(L1150&lt;&gt;"",L1150+N1150,"")</f>
        <v>27.3972</v>
      </c>
      <c r="P1150" s="53" t="n">
        <f aca="false">IF(O1150&lt;&gt;"",O1150*0.1,"")</f>
        <v>2.73972</v>
      </c>
      <c r="Q1150" s="83" t="n">
        <f aca="false">IF(O1150&lt;&gt;"",O1150+P1150,"")</f>
        <v>30.13692</v>
      </c>
      <c r="R1150" s="84" t="s">
        <v>358</v>
      </c>
    </row>
    <row r="1151" customFormat="false" ht="15" hidden="false" customHeight="true" outlineLevel="0" collapsed="false">
      <c r="A1151" s="103" t="n">
        <v>56163</v>
      </c>
      <c r="B1151" s="85" t="n">
        <v>46234</v>
      </c>
      <c r="C1151" s="86" t="n">
        <v>11081</v>
      </c>
      <c r="D1151" s="87" t="n">
        <v>50001</v>
      </c>
      <c r="E1151" s="46" t="str">
        <f aca="false">IF(D1151&lt;&gt;"",IFERROR(VLOOKUP(D1151,PROVEEDORES!$A:$B,2,0),"!COD NO ENCONTRADO"),"")</f>
        <v>COPESA</v>
      </c>
      <c r="F1151" s="88" t="str">
        <f aca="false">IF(D1151&lt;&gt;"",IFERROR(VLOOKUP(D1151,PROVEEDORES!$A:$C,3,0),""),"")</f>
        <v>S</v>
      </c>
      <c r="G1151" s="87" t="s">
        <v>233</v>
      </c>
      <c r="H1151" s="46" t="str">
        <f aca="false">IF(G1151&lt;&gt;"",IFERROR(VLOOKUP(G1151,PRODUCTOS!$A:$B,2,0),"!COD NO ENCONTRADO"),"")</f>
        <v>MERLUZA EUROPEA VOLANTA COSTA</v>
      </c>
      <c r="I1151" s="89" t="n">
        <v>1</v>
      </c>
      <c r="J1151" s="90" t="n">
        <v>2.2</v>
      </c>
      <c r="K1151" s="91" t="n">
        <v>3.6</v>
      </c>
      <c r="L1151" s="80" t="n">
        <f aca="false">IF(AND(J1151&lt;&gt;"",K1151&lt;&gt;""),J1151*K1151,"")</f>
        <v>7.92</v>
      </c>
      <c r="M1151" s="81" t="n">
        <f aca="false">IF(L1151&lt;&gt;"",L1151*1.1,"")</f>
        <v>8.712</v>
      </c>
      <c r="N1151" s="47" t="n">
        <f aca="false">IF(F1151="S",L1151*0.02,0)</f>
        <v>0.1584</v>
      </c>
      <c r="O1151" s="82" t="n">
        <f aca="false">IF(L1151&lt;&gt;"",L1151+N1151,"")</f>
        <v>8.0784</v>
      </c>
      <c r="P1151" s="47" t="n">
        <f aca="false">IF(O1151&lt;&gt;"",O1151*0.1,"")</f>
        <v>0.80784</v>
      </c>
      <c r="Q1151" s="83" t="n">
        <f aca="false">IF(O1151&lt;&gt;"",O1151+P1151,"")</f>
        <v>8.88624</v>
      </c>
      <c r="R1151" s="84" t="s">
        <v>358</v>
      </c>
    </row>
    <row r="1152" customFormat="false" ht="15" hidden="false" customHeight="true" outlineLevel="0" collapsed="false">
      <c r="A1152" s="103" t="n">
        <v>56164</v>
      </c>
      <c r="B1152" s="85" t="n">
        <v>46234</v>
      </c>
      <c r="C1152" s="74" t="n">
        <v>9075</v>
      </c>
      <c r="D1152" s="75" t="n">
        <v>50069</v>
      </c>
      <c r="E1152" s="52" t="str">
        <f aca="false">IF(D1152&lt;&gt;"",IFERROR(VLOOKUP(D1152,PROVEEDORES!$A:$B,2,0),"!COD NO ENCONTRADO"),"")</f>
        <v>PESCADOS ILLANES S.L.</v>
      </c>
      <c r="F1152" s="76" t="str">
        <f aca="false">IF(D1152&lt;&gt;"",IFERROR(VLOOKUP(D1152,PROVEEDORES!$A:$C,3,0),""),"")</f>
        <v>S</v>
      </c>
      <c r="G1152" s="75" t="s">
        <v>332</v>
      </c>
      <c r="H1152" s="52" t="str">
        <f aca="false">IF(G1152&lt;&gt;"",IFERROR(VLOOKUP(G1152,PRODUCTOS!$A:$B,2,0),"!COD NO ENCONTRADO"),"")</f>
        <v>VARIADO PEQUEÑO</v>
      </c>
      <c r="I1152" s="77" t="n">
        <v>1</v>
      </c>
      <c r="J1152" s="105" t="n">
        <v>6.75</v>
      </c>
      <c r="K1152" s="125" t="n">
        <v>0.5</v>
      </c>
      <c r="L1152" s="80" t="n">
        <f aca="false">IF(AND(J1152&lt;&gt;"",K1152&lt;&gt;""),J1152*K1152,"")</f>
        <v>3.375</v>
      </c>
      <c r="M1152" s="81" t="n">
        <f aca="false">IF(L1152&lt;&gt;"",L1152*1.1,"")</f>
        <v>3.7125</v>
      </c>
      <c r="N1152" s="53" t="n">
        <f aca="false">IF(F1152="S",L1152*0.02,0)</f>
        <v>0.0675</v>
      </c>
      <c r="O1152" s="82" t="n">
        <f aca="false">IF(L1152&lt;&gt;"",L1152+N1152,"")</f>
        <v>3.4425</v>
      </c>
      <c r="P1152" s="53" t="n">
        <f aca="false">IF(O1152&lt;&gt;"",O1152*0.1,"")</f>
        <v>0.34425</v>
      </c>
      <c r="Q1152" s="83" t="n">
        <f aca="false">IF(O1152&lt;&gt;"",O1152+P1152,"")</f>
        <v>3.78675</v>
      </c>
      <c r="R1152" s="84" t="s">
        <v>365</v>
      </c>
    </row>
    <row r="1153" customFormat="false" ht="15" hidden="false" customHeight="true" outlineLevel="0" collapsed="false">
      <c r="A1153" s="103" t="n">
        <v>56164</v>
      </c>
      <c r="B1153" s="85" t="n">
        <v>46234</v>
      </c>
      <c r="C1153" s="74" t="n">
        <v>9075</v>
      </c>
      <c r="D1153" s="87" t="n">
        <v>50069</v>
      </c>
      <c r="E1153" s="46" t="str">
        <f aca="false">IF(D1153&lt;&gt;"",IFERROR(VLOOKUP(D1153,PROVEEDORES!$A:$B,2,0),"!COD NO ENCONTRADO"),"")</f>
        <v>PESCADOS ILLANES S.L.</v>
      </c>
      <c r="F1153" s="88" t="str">
        <f aca="false">IF(D1153&lt;&gt;"",IFERROR(VLOOKUP(D1153,PROVEEDORES!$A:$C,3,0),""),"")</f>
        <v>S</v>
      </c>
      <c r="G1153" s="87" t="s">
        <v>276</v>
      </c>
      <c r="H1153" s="46" t="str">
        <f aca="false">IF(G1153&lt;&gt;"",IFERROR(VLOOKUP(G1153,PRODUCTOS!$A:$B,2,0),"!COD NO ENCONTRADO"),"")</f>
        <v>MERLUZA EUROPEA/ FINA DIA </v>
      </c>
      <c r="I1153" s="89" t="n">
        <v>5</v>
      </c>
      <c r="J1153" s="105" t="n">
        <v>58</v>
      </c>
      <c r="K1153" s="125" t="n">
        <v>2.5</v>
      </c>
      <c r="L1153" s="80" t="n">
        <f aca="false">IF(AND(J1153&lt;&gt;"",K1153&lt;&gt;""),J1153*K1153,"")</f>
        <v>145</v>
      </c>
      <c r="M1153" s="81" t="n">
        <f aca="false">IF(L1153&lt;&gt;"",L1153*1.1,"")</f>
        <v>159.5</v>
      </c>
      <c r="N1153" s="47" t="n">
        <f aca="false">IF(F1153="S",L1153*0.02,0)</f>
        <v>2.9</v>
      </c>
      <c r="O1153" s="82" t="n">
        <f aca="false">IF(L1153&lt;&gt;"",L1153+N1153,"")</f>
        <v>147.9</v>
      </c>
      <c r="P1153" s="47" t="n">
        <f aca="false">IF(O1153&lt;&gt;"",O1153*0.1,"")</f>
        <v>14.79</v>
      </c>
      <c r="Q1153" s="83" t="n">
        <f aca="false">IF(O1153&lt;&gt;"",O1153+P1153,"")</f>
        <v>162.69</v>
      </c>
      <c r="R1153" s="84" t="s">
        <v>365</v>
      </c>
    </row>
    <row r="1154" customFormat="false" ht="15" hidden="false" customHeight="true" outlineLevel="0" collapsed="false">
      <c r="A1154" s="103" t="n">
        <v>56164</v>
      </c>
      <c r="B1154" s="85" t="n">
        <v>46234</v>
      </c>
      <c r="C1154" s="74" t="n">
        <v>9075</v>
      </c>
      <c r="D1154" s="75" t="n">
        <v>50069</v>
      </c>
      <c r="E1154" s="52" t="str">
        <f aca="false">IF(D1154&lt;&gt;"",IFERROR(VLOOKUP(D1154,PROVEEDORES!$A:$B,2,0),"!COD NO ENCONTRADO"),"")</f>
        <v>PESCADOS ILLANES S.L.</v>
      </c>
      <c r="F1154" s="76" t="str">
        <f aca="false">IF(D1154&lt;&gt;"",IFERROR(VLOOKUP(D1154,PROVEEDORES!$A:$C,3,0),""),"")</f>
        <v>S</v>
      </c>
      <c r="G1154" s="75" t="s">
        <v>233</v>
      </c>
      <c r="H1154" s="52" t="str">
        <f aca="false">IF(G1154&lt;&gt;"",IFERROR(VLOOKUP(G1154,PRODUCTOS!$A:$B,2,0),"!COD NO ENCONTRADO"),"")</f>
        <v>MERLUZA EUROPEA VOLANTA COSTA</v>
      </c>
      <c r="I1154" s="77" t="n">
        <v>2</v>
      </c>
      <c r="J1154" s="105" t="n">
        <v>5.1</v>
      </c>
      <c r="K1154" s="125" t="n">
        <v>7</v>
      </c>
      <c r="L1154" s="80" t="n">
        <f aca="false">IF(AND(J1154&lt;&gt;"",K1154&lt;&gt;""),J1154*K1154,"")</f>
        <v>35.7</v>
      </c>
      <c r="M1154" s="81" t="n">
        <f aca="false">IF(L1154&lt;&gt;"",L1154*1.1,"")</f>
        <v>39.27</v>
      </c>
      <c r="N1154" s="53" t="n">
        <f aca="false">IF(F1154="S",L1154*0.02,0)</f>
        <v>0.714</v>
      </c>
      <c r="O1154" s="82" t="n">
        <f aca="false">IF(L1154&lt;&gt;"",L1154+N1154,"")</f>
        <v>36.414</v>
      </c>
      <c r="P1154" s="53" t="n">
        <f aca="false">IF(O1154&lt;&gt;"",O1154*0.1,"")</f>
        <v>3.6414</v>
      </c>
      <c r="Q1154" s="83" t="n">
        <f aca="false">IF(O1154&lt;&gt;"",O1154+P1154,"")</f>
        <v>40.0554</v>
      </c>
      <c r="R1154" s="84" t="s">
        <v>365</v>
      </c>
    </row>
    <row r="1155" customFormat="false" ht="15" hidden="false" customHeight="true" outlineLevel="0" collapsed="false">
      <c r="A1155" s="103" t="n">
        <v>56164</v>
      </c>
      <c r="B1155" s="85" t="n">
        <v>46234</v>
      </c>
      <c r="C1155" s="74" t="n">
        <v>9075</v>
      </c>
      <c r="D1155" s="75" t="n">
        <v>50069</v>
      </c>
      <c r="E1155" s="52" t="str">
        <f aca="false">IF(D1155&lt;&gt;"",IFERROR(VLOOKUP(D1155,PROVEEDORES!$A:$B,2,0),"!COD NO ENCONTRADO"),"")</f>
        <v>PESCADOS ILLANES S.L.</v>
      </c>
      <c r="F1155" s="88" t="str">
        <f aca="false">IF(D1155&lt;&gt;"",IFERROR(VLOOKUP(D1155,PROVEEDORES!$A:$C,3,0),""),"")</f>
        <v>S</v>
      </c>
      <c r="G1155" s="87" t="s">
        <v>219</v>
      </c>
      <c r="H1155" s="46" t="str">
        <f aca="false">IF(G1155&lt;&gt;"",IFERROR(VLOOKUP(G1155,PRODUCTOS!$A:$B,2,0),"!COD NO ENCONTRADO"),"")</f>
        <v>MERLUZA EUROPEA PINCHO COSTA 600</v>
      </c>
      <c r="I1155" s="89" t="n">
        <v>1</v>
      </c>
      <c r="J1155" s="105" t="n">
        <v>7.75</v>
      </c>
      <c r="K1155" s="125" t="n">
        <v>3.8</v>
      </c>
      <c r="L1155" s="80" t="n">
        <f aca="false">IF(AND(J1155&lt;&gt;"",K1155&lt;&gt;""),J1155*K1155,"")</f>
        <v>29.45</v>
      </c>
      <c r="M1155" s="81" t="n">
        <f aca="false">IF(L1155&lt;&gt;"",L1155*1.1,"")</f>
        <v>32.395</v>
      </c>
      <c r="N1155" s="47" t="n">
        <f aca="false">IF(F1155="S",L1155*0.02,0)</f>
        <v>0.589</v>
      </c>
      <c r="O1155" s="82" t="n">
        <f aca="false">IF(L1155&lt;&gt;"",L1155+N1155,"")</f>
        <v>30.039</v>
      </c>
      <c r="P1155" s="47" t="n">
        <f aca="false">IF(O1155&lt;&gt;"",O1155*0.1,"")</f>
        <v>3.0039</v>
      </c>
      <c r="Q1155" s="83" t="n">
        <f aca="false">IF(O1155&lt;&gt;"",O1155+P1155,"")</f>
        <v>33.0429</v>
      </c>
      <c r="R1155" s="84" t="s">
        <v>365</v>
      </c>
    </row>
    <row r="1156" customFormat="false" ht="15" hidden="false" customHeight="true" outlineLevel="0" collapsed="false">
      <c r="A1156" s="103" t="n">
        <v>56164</v>
      </c>
      <c r="B1156" s="85" t="n">
        <v>46234</v>
      </c>
      <c r="C1156" s="74" t="n">
        <v>9075</v>
      </c>
      <c r="D1156" s="75" t="n">
        <v>50069</v>
      </c>
      <c r="E1156" s="52" t="str">
        <f aca="false">IF(D1156&lt;&gt;"",IFERROR(VLOOKUP(D1156,PROVEEDORES!$A:$B,2,0),"!COD NO ENCONTRADO"),"")</f>
        <v>PESCADOS ILLANES S.L.</v>
      </c>
      <c r="F1156" s="76" t="str">
        <f aca="false">IF(D1156&lt;&gt;"",IFERROR(VLOOKUP(D1156,PROVEEDORES!$A:$C,3,0),""),"")</f>
        <v>S</v>
      </c>
      <c r="G1156" s="75" t="s">
        <v>221</v>
      </c>
      <c r="H1156" s="52" t="str">
        <f aca="false">IF(G1156&lt;&gt;"",IFERROR(VLOOKUP(G1156,PRODUCTOS!$A:$B,2,0),"!COD NO ENCONTRADO"),"")</f>
        <v>MERLUZA EUROPEA PINCHO COSTA 800</v>
      </c>
      <c r="I1156" s="77" t="n">
        <v>3</v>
      </c>
      <c r="J1156" s="105" t="n">
        <v>43.5</v>
      </c>
      <c r="K1156" s="125" t="n">
        <v>6.5</v>
      </c>
      <c r="L1156" s="80" t="n">
        <f aca="false">IF(AND(J1156&lt;&gt;"",K1156&lt;&gt;""),J1156*K1156,"")</f>
        <v>282.75</v>
      </c>
      <c r="M1156" s="81" t="n">
        <f aca="false">IF(L1156&lt;&gt;"",L1156*1.1,"")</f>
        <v>311.025</v>
      </c>
      <c r="N1156" s="53" t="n">
        <f aca="false">IF(F1156="S",L1156*0.02,0)</f>
        <v>5.655</v>
      </c>
      <c r="O1156" s="82" t="n">
        <f aca="false">IF(L1156&lt;&gt;"",L1156+N1156,"")</f>
        <v>288.405</v>
      </c>
      <c r="P1156" s="53" t="n">
        <f aca="false">IF(O1156&lt;&gt;"",O1156*0.1,"")</f>
        <v>28.8405</v>
      </c>
      <c r="Q1156" s="83" t="n">
        <f aca="false">IF(O1156&lt;&gt;"",O1156+P1156,"")</f>
        <v>317.2455</v>
      </c>
      <c r="R1156" s="84" t="s">
        <v>365</v>
      </c>
    </row>
    <row r="1157" customFormat="false" ht="15" hidden="false" customHeight="true" outlineLevel="0" collapsed="false">
      <c r="A1157" s="103" t="n">
        <v>56164</v>
      </c>
      <c r="B1157" s="85" t="n">
        <v>46234</v>
      </c>
      <c r="C1157" s="74" t="n">
        <v>9075</v>
      </c>
      <c r="D1157" s="75" t="n">
        <v>50069</v>
      </c>
      <c r="E1157" s="52" t="str">
        <f aca="false">IF(D1157&lt;&gt;"",IFERROR(VLOOKUP(D1157,PROVEEDORES!$A:$B,2,0),"!COD NO ENCONTRADO"),"")</f>
        <v>PESCADOS ILLANES S.L.</v>
      </c>
      <c r="F1157" s="88" t="str">
        <f aca="false">IF(D1157&lt;&gt;"",IFERROR(VLOOKUP(D1157,PROVEEDORES!$A:$C,3,0),""),"")</f>
        <v>S</v>
      </c>
      <c r="G1157" s="87" t="s">
        <v>223</v>
      </c>
      <c r="H1157" s="46" t="str">
        <f aca="false">IF(G1157&lt;&gt;"",IFERROR(VLOOKUP(G1157,PRODUCTOS!$A:$B,2,0),"!COD NO ENCONTRADO"),"")</f>
        <v>MERLUZA EUROPEA PINCHO COSTA 1000</v>
      </c>
      <c r="I1157" s="89" t="n">
        <v>1</v>
      </c>
      <c r="J1157" s="105" t="n">
        <v>16</v>
      </c>
      <c r="K1157" s="125" t="n">
        <v>12</v>
      </c>
      <c r="L1157" s="80" t="n">
        <f aca="false">IF(AND(J1157&lt;&gt;"",K1157&lt;&gt;""),J1157*K1157,"")</f>
        <v>192</v>
      </c>
      <c r="M1157" s="81" t="n">
        <f aca="false">IF(L1157&lt;&gt;"",L1157*1.1,"")</f>
        <v>211.2</v>
      </c>
      <c r="N1157" s="47" t="n">
        <f aca="false">IF(F1157="S",L1157*0.02,0)</f>
        <v>3.84</v>
      </c>
      <c r="O1157" s="82" t="n">
        <f aca="false">IF(L1157&lt;&gt;"",L1157+N1157,"")</f>
        <v>195.84</v>
      </c>
      <c r="P1157" s="47" t="n">
        <f aca="false">IF(O1157&lt;&gt;"",O1157*0.1,"")</f>
        <v>19.584</v>
      </c>
      <c r="Q1157" s="83" t="n">
        <f aca="false">IF(O1157&lt;&gt;"",O1157+P1157,"")</f>
        <v>215.424</v>
      </c>
      <c r="R1157" s="84" t="s">
        <v>365</v>
      </c>
    </row>
    <row r="1158" customFormat="false" ht="15" hidden="false" customHeight="true" outlineLevel="0" collapsed="false">
      <c r="A1158" s="103" t="n">
        <v>56165</v>
      </c>
      <c r="B1158" s="85" t="n">
        <v>46234</v>
      </c>
      <c r="C1158" s="74" t="n">
        <v>18208</v>
      </c>
      <c r="D1158" s="75" t="n">
        <v>50160</v>
      </c>
      <c r="E1158" s="52" t="str">
        <f aca="false">IF(D1158&lt;&gt;"",IFERROR(VLOOKUP(D1158,PROVEEDORES!$A:$B,2,0),"!COD NO ENCONTRADO"),"")</f>
        <v>SUBASTAS CORUÑA S.L.</v>
      </c>
      <c r="F1158" s="76" t="str">
        <f aca="false">IF(D1158&lt;&gt;"",IFERROR(VLOOKUP(D1158,PROVEEDORES!$A:$C,3,0),""),"")</f>
        <v>S</v>
      </c>
      <c r="G1158" s="75" t="s">
        <v>332</v>
      </c>
      <c r="H1158" s="52" t="str">
        <f aca="false">IF(G1158&lt;&gt;"",IFERROR(VLOOKUP(G1158,PRODUCTOS!$A:$B,2,0),"!COD NO ENCONTRADO"),"")</f>
        <v>VARIADO PEQUEÑO</v>
      </c>
      <c r="I1158" s="77" t="n">
        <v>13</v>
      </c>
      <c r="J1158" s="78" t="n">
        <v>74</v>
      </c>
      <c r="K1158" s="79" t="n">
        <v>0.5</v>
      </c>
      <c r="L1158" s="80" t="n">
        <f aca="false">IF(AND(J1158&lt;&gt;"",K1158&lt;&gt;""),J1158*K1158,"")</f>
        <v>37</v>
      </c>
      <c r="M1158" s="81" t="n">
        <f aca="false">IF(L1158&lt;&gt;"",L1158*1.1,"")</f>
        <v>40.7</v>
      </c>
      <c r="N1158" s="53" t="n">
        <f aca="false">IF(F1158="S",L1158*0.02,0)</f>
        <v>0.74</v>
      </c>
      <c r="O1158" s="82" t="n">
        <f aca="false">IF(L1158&lt;&gt;"",L1158+N1158,"")</f>
        <v>37.74</v>
      </c>
      <c r="P1158" s="53" t="n">
        <f aca="false">IF(O1158&lt;&gt;"",O1158*0.1,"")</f>
        <v>3.774</v>
      </c>
      <c r="Q1158" s="83" t="n">
        <f aca="false">IF(O1158&lt;&gt;"",O1158+P1158,"")</f>
        <v>41.514</v>
      </c>
      <c r="R1158" s="84" t="s">
        <v>365</v>
      </c>
    </row>
    <row r="1159" customFormat="false" ht="15" hidden="false" customHeight="true" outlineLevel="0" collapsed="false">
      <c r="A1159" s="103" t="n">
        <v>56165</v>
      </c>
      <c r="B1159" s="85" t="n">
        <v>46234</v>
      </c>
      <c r="C1159" s="74" t="n">
        <v>18208</v>
      </c>
      <c r="D1159" s="75" t="n">
        <v>50160</v>
      </c>
      <c r="E1159" s="46" t="str">
        <f aca="false">IF(D1159&lt;&gt;"",IFERROR(VLOOKUP(D1159,PROVEEDORES!$A:$B,2,0),"!COD NO ENCONTRADO"),"")</f>
        <v>SUBASTAS CORUÑA S.L.</v>
      </c>
      <c r="F1159" s="88" t="str">
        <f aca="false">IF(D1159&lt;&gt;"",IFERROR(VLOOKUP(D1159,PROVEEDORES!$A:$C,3,0),""),"")</f>
        <v>S</v>
      </c>
      <c r="G1159" s="87" t="s">
        <v>332</v>
      </c>
      <c r="H1159" s="46" t="str">
        <f aca="false">IF(G1159&lt;&gt;"",IFERROR(VLOOKUP(G1159,PRODUCTOS!$A:$B,2,0),"!COD NO ENCONTRADO"),"")</f>
        <v>VARIADO PEQUEÑO</v>
      </c>
      <c r="I1159" s="89" t="n">
        <v>1</v>
      </c>
      <c r="J1159" s="90" t="n">
        <v>1.25</v>
      </c>
      <c r="K1159" s="91" t="n">
        <v>0.3</v>
      </c>
      <c r="L1159" s="80" t="n">
        <f aca="false">IF(AND(J1159&lt;&gt;"",K1159&lt;&gt;""),J1159*K1159,"")</f>
        <v>0.375</v>
      </c>
      <c r="M1159" s="81" t="n">
        <f aca="false">IF(L1159&lt;&gt;"",L1159*1.1,"")</f>
        <v>0.4125</v>
      </c>
      <c r="N1159" s="47" t="n">
        <f aca="false">IF(F1159="S",L1159*0.02,0)</f>
        <v>0.0075</v>
      </c>
      <c r="O1159" s="82" t="n">
        <f aca="false">IF(L1159&lt;&gt;"",L1159+N1159,"")</f>
        <v>0.3825</v>
      </c>
      <c r="P1159" s="47" t="n">
        <f aca="false">IF(O1159&lt;&gt;"",O1159*0.1,"")</f>
        <v>0.03825</v>
      </c>
      <c r="Q1159" s="83" t="n">
        <f aca="false">IF(O1159&lt;&gt;"",O1159+P1159,"")</f>
        <v>0.42075</v>
      </c>
      <c r="R1159" s="84" t="s">
        <v>365</v>
      </c>
    </row>
    <row r="1160" customFormat="false" ht="15" hidden="false" customHeight="true" outlineLevel="0" collapsed="false">
      <c r="A1160" s="103" t="n">
        <v>56165</v>
      </c>
      <c r="B1160" s="85" t="n">
        <v>46234</v>
      </c>
      <c r="C1160" s="74" t="n">
        <v>18208</v>
      </c>
      <c r="D1160" s="75" t="n">
        <v>50160</v>
      </c>
      <c r="E1160" s="52" t="str">
        <f aca="false">IF(D1160&lt;&gt;"",IFERROR(VLOOKUP(D1160,PROVEEDORES!$A:$B,2,0),"!COD NO ENCONTRADO"),"")</f>
        <v>SUBASTAS CORUÑA S.L.</v>
      </c>
      <c r="F1160" s="76" t="str">
        <f aca="false">IF(D1160&lt;&gt;"",IFERROR(VLOOKUP(D1160,PROVEEDORES!$A:$C,3,0),""),"")</f>
        <v>S</v>
      </c>
      <c r="G1160" s="75" t="s">
        <v>332</v>
      </c>
      <c r="H1160" s="52" t="str">
        <f aca="false">IF(G1160&lt;&gt;"",IFERROR(VLOOKUP(G1160,PRODUCTOS!$A:$B,2,0),"!COD NO ENCONTRADO"),"")</f>
        <v>VARIADO PEQUEÑO</v>
      </c>
      <c r="I1160" s="77" t="n">
        <v>4</v>
      </c>
      <c r="J1160" s="78" t="n">
        <v>25</v>
      </c>
      <c r="K1160" s="79" t="n">
        <v>0.3</v>
      </c>
      <c r="L1160" s="80" t="n">
        <f aca="false">IF(AND(J1160&lt;&gt;"",K1160&lt;&gt;""),J1160*K1160,"")</f>
        <v>7.5</v>
      </c>
      <c r="M1160" s="81" t="n">
        <f aca="false">IF(L1160&lt;&gt;"",L1160*1.1,"")</f>
        <v>8.25</v>
      </c>
      <c r="N1160" s="53" t="n">
        <f aca="false">IF(F1160="S",L1160*0.02,0)</f>
        <v>0.15</v>
      </c>
      <c r="O1160" s="82" t="n">
        <f aca="false">IF(L1160&lt;&gt;"",L1160+N1160,"")</f>
        <v>7.65</v>
      </c>
      <c r="P1160" s="53" t="n">
        <f aca="false">IF(O1160&lt;&gt;"",O1160*0.1,"")</f>
        <v>0.765</v>
      </c>
      <c r="Q1160" s="83" t="n">
        <f aca="false">IF(O1160&lt;&gt;"",O1160+P1160,"")</f>
        <v>8.415</v>
      </c>
      <c r="R1160" s="84" t="s">
        <v>365</v>
      </c>
    </row>
    <row r="1161" customFormat="false" ht="15" hidden="false" customHeight="true" outlineLevel="0" collapsed="false">
      <c r="A1161" s="103" t="n">
        <v>56165</v>
      </c>
      <c r="B1161" s="85" t="n">
        <v>46234</v>
      </c>
      <c r="C1161" s="74" t="n">
        <v>18208</v>
      </c>
      <c r="D1161" s="75" t="n">
        <v>50160</v>
      </c>
      <c r="E1161" s="46" t="str">
        <f aca="false">IF(D1161&lt;&gt;"",IFERROR(VLOOKUP(D1161,PROVEEDORES!$A:$B,2,0),"!COD NO ENCONTRADO"),"")</f>
        <v>SUBASTAS CORUÑA S.L.</v>
      </c>
      <c r="F1161" s="88" t="str">
        <f aca="false">IF(D1161&lt;&gt;"",IFERROR(VLOOKUP(D1161,PROVEEDORES!$A:$C,3,0),""),"")</f>
        <v>S</v>
      </c>
      <c r="G1161" s="87" t="s">
        <v>233</v>
      </c>
      <c r="H1161" s="46" t="str">
        <f aca="false">IF(G1161&lt;&gt;"",IFERROR(VLOOKUP(G1161,PRODUCTOS!$A:$B,2,0),"!COD NO ENCONTRADO"),"")</f>
        <v>MERLUZA EUROPEA VOLANTA COSTA</v>
      </c>
      <c r="I1161" s="89" t="n">
        <v>4</v>
      </c>
      <c r="J1161" s="90" t="n">
        <v>95</v>
      </c>
      <c r="K1161" s="91" t="n">
        <v>5</v>
      </c>
      <c r="L1161" s="80" t="n">
        <f aca="false">IF(AND(J1161&lt;&gt;"",K1161&lt;&gt;""),J1161*K1161,"")</f>
        <v>475</v>
      </c>
      <c r="M1161" s="81" t="n">
        <f aca="false">IF(L1161&lt;&gt;"",L1161*1.1,"")</f>
        <v>522.5</v>
      </c>
      <c r="N1161" s="47" t="n">
        <f aca="false">IF(F1161="S",L1161*0.02,0)</f>
        <v>9.5</v>
      </c>
      <c r="O1161" s="82" t="n">
        <f aca="false">IF(L1161&lt;&gt;"",L1161+N1161,"")</f>
        <v>484.5</v>
      </c>
      <c r="P1161" s="47" t="n">
        <f aca="false">IF(O1161&lt;&gt;"",O1161*0.1,"")</f>
        <v>48.45</v>
      </c>
      <c r="Q1161" s="83" t="n">
        <f aca="false">IF(O1161&lt;&gt;"",O1161+P1161,"")</f>
        <v>532.95</v>
      </c>
      <c r="R1161" s="84" t="s">
        <v>365</v>
      </c>
    </row>
    <row r="1162" customFormat="false" ht="15" hidden="false" customHeight="true" outlineLevel="0" collapsed="false">
      <c r="A1162" s="103" t="n">
        <v>56165</v>
      </c>
      <c r="B1162" s="85" t="n">
        <v>46234</v>
      </c>
      <c r="C1162" s="74" t="n">
        <v>18208</v>
      </c>
      <c r="D1162" s="75" t="n">
        <v>50160</v>
      </c>
      <c r="E1162" s="52" t="str">
        <f aca="false">IF(D1162&lt;&gt;"",IFERROR(VLOOKUP(D1162,PROVEEDORES!$A:$B,2,0),"!COD NO ENCONTRADO"),"")</f>
        <v>SUBASTAS CORUÑA S.L.</v>
      </c>
      <c r="F1162" s="76" t="str">
        <f aca="false">IF(D1162&lt;&gt;"",IFERROR(VLOOKUP(D1162,PROVEEDORES!$A:$C,3,0),""),"")</f>
        <v>S</v>
      </c>
      <c r="G1162" s="75" t="s">
        <v>233</v>
      </c>
      <c r="H1162" s="52" t="str">
        <f aca="false">IF(G1162&lt;&gt;"",IFERROR(VLOOKUP(G1162,PRODUCTOS!$A:$B,2,0),"!COD NO ENCONTRADO"),"")</f>
        <v>MERLUZA EUROPEA VOLANTA COSTA</v>
      </c>
      <c r="I1162" s="77" t="n">
        <v>1</v>
      </c>
      <c r="J1162" s="78" t="n">
        <v>19.25</v>
      </c>
      <c r="K1162" s="79" t="n">
        <v>5.4</v>
      </c>
      <c r="L1162" s="80" t="n">
        <f aca="false">IF(AND(J1162&lt;&gt;"",K1162&lt;&gt;""),J1162*K1162,"")</f>
        <v>103.95</v>
      </c>
      <c r="M1162" s="81" t="n">
        <f aca="false">IF(L1162&lt;&gt;"",L1162*1.1,"")</f>
        <v>114.345</v>
      </c>
      <c r="N1162" s="53" t="n">
        <f aca="false">IF(F1162="S",L1162*0.02,0)</f>
        <v>2.079</v>
      </c>
      <c r="O1162" s="82" t="n">
        <f aca="false">IF(L1162&lt;&gt;"",L1162+N1162,"")</f>
        <v>106.029</v>
      </c>
      <c r="P1162" s="53" t="n">
        <f aca="false">IF(O1162&lt;&gt;"",O1162*0.1,"")</f>
        <v>10.6029</v>
      </c>
      <c r="Q1162" s="83" t="n">
        <f aca="false">IF(O1162&lt;&gt;"",O1162+P1162,"")</f>
        <v>116.6319</v>
      </c>
      <c r="R1162" s="84" t="s">
        <v>365</v>
      </c>
    </row>
    <row r="1163" customFormat="false" ht="15" hidden="false" customHeight="true" outlineLevel="0" collapsed="false">
      <c r="A1163" s="103" t="n">
        <v>56165</v>
      </c>
      <c r="B1163" s="85" t="n">
        <v>46234</v>
      </c>
      <c r="C1163" s="74" t="n">
        <v>18208</v>
      </c>
      <c r="D1163" s="75" t="n">
        <v>50160</v>
      </c>
      <c r="E1163" s="52" t="str">
        <f aca="false">IF(D1163&lt;&gt;"",IFERROR(VLOOKUP(D1163,PROVEEDORES!$A:$B,2,0),"!COD NO ENCONTRADO"),"")</f>
        <v>SUBASTAS CORUÑA S.L.</v>
      </c>
      <c r="F1163" s="88" t="str">
        <f aca="false">IF(D1163&lt;&gt;"",IFERROR(VLOOKUP(D1163,PROVEEDORES!$A:$C,3,0),""),"")</f>
        <v>S</v>
      </c>
      <c r="G1163" s="87" t="s">
        <v>233</v>
      </c>
      <c r="H1163" s="46" t="str">
        <f aca="false">IF(G1163&lt;&gt;"",IFERROR(VLOOKUP(G1163,PRODUCTOS!$A:$B,2,0),"!COD NO ENCONTRADO"),"")</f>
        <v>MERLUZA EUROPEA VOLANTA COSTA</v>
      </c>
      <c r="I1163" s="89" t="n">
        <v>2</v>
      </c>
      <c r="J1163" s="90" t="n">
        <v>38</v>
      </c>
      <c r="K1163" s="91" t="n">
        <v>4.8</v>
      </c>
      <c r="L1163" s="80" t="n">
        <f aca="false">IF(AND(J1163&lt;&gt;"",K1163&lt;&gt;""),J1163*K1163,"")</f>
        <v>182.4</v>
      </c>
      <c r="M1163" s="81" t="n">
        <f aca="false">IF(L1163&lt;&gt;"",L1163*1.1,"")</f>
        <v>200.64</v>
      </c>
      <c r="N1163" s="47" t="n">
        <f aca="false">IF(F1163="S",L1163*0.02,0)</f>
        <v>3.648</v>
      </c>
      <c r="O1163" s="82" t="n">
        <f aca="false">IF(L1163&lt;&gt;"",L1163+N1163,"")</f>
        <v>186.048</v>
      </c>
      <c r="P1163" s="47" t="n">
        <f aca="false">IF(O1163&lt;&gt;"",O1163*0.1,"")</f>
        <v>18.6048</v>
      </c>
      <c r="Q1163" s="83" t="n">
        <f aca="false">IF(O1163&lt;&gt;"",O1163+P1163,"")</f>
        <v>204.6528</v>
      </c>
      <c r="R1163" s="84" t="s">
        <v>365</v>
      </c>
    </row>
    <row r="1164" customFormat="false" ht="15" hidden="false" customHeight="true" outlineLevel="0" collapsed="false">
      <c r="A1164" s="103" t="n">
        <v>56165</v>
      </c>
      <c r="B1164" s="85" t="n">
        <v>46234</v>
      </c>
      <c r="C1164" s="74" t="n">
        <v>18208</v>
      </c>
      <c r="D1164" s="75" t="n">
        <v>50160</v>
      </c>
      <c r="E1164" s="52" t="str">
        <f aca="false">IF(D1164&lt;&gt;"",IFERROR(VLOOKUP(D1164,PROVEEDORES!$A:$B,2,0),"!COD NO ENCONTRADO"),"")</f>
        <v>SUBASTAS CORUÑA S.L.</v>
      </c>
      <c r="F1164" s="76" t="str">
        <f aca="false">IF(D1164&lt;&gt;"",IFERROR(VLOOKUP(D1164,PROVEEDORES!$A:$C,3,0),""),"")</f>
        <v>S</v>
      </c>
      <c r="G1164" s="75" t="s">
        <v>233</v>
      </c>
      <c r="H1164" s="52" t="str">
        <f aca="false">IF(G1164&lt;&gt;"",IFERROR(VLOOKUP(G1164,PRODUCTOS!$A:$B,2,0),"!COD NO ENCONTRADO"),"")</f>
        <v>MERLUZA EUROPEA VOLANTA COSTA</v>
      </c>
      <c r="I1164" s="77" t="n">
        <v>2</v>
      </c>
      <c r="J1164" s="78" t="n">
        <v>43.5</v>
      </c>
      <c r="K1164" s="79" t="n">
        <v>5</v>
      </c>
      <c r="L1164" s="80" t="n">
        <f aca="false">IF(AND(J1164&lt;&gt;"",K1164&lt;&gt;""),J1164*K1164,"")</f>
        <v>217.5</v>
      </c>
      <c r="M1164" s="81" t="n">
        <f aca="false">IF(L1164&lt;&gt;"",L1164*1.1,"")</f>
        <v>239.25</v>
      </c>
      <c r="N1164" s="53" t="n">
        <f aca="false">IF(F1164="S",L1164*0.02,0)</f>
        <v>4.35</v>
      </c>
      <c r="O1164" s="82" t="n">
        <f aca="false">IF(L1164&lt;&gt;"",L1164+N1164,"")</f>
        <v>221.85</v>
      </c>
      <c r="P1164" s="53" t="n">
        <f aca="false">IF(O1164&lt;&gt;"",O1164*0.1,"")</f>
        <v>22.185</v>
      </c>
      <c r="Q1164" s="83" t="n">
        <f aca="false">IF(O1164&lt;&gt;"",O1164+P1164,"")</f>
        <v>244.035</v>
      </c>
      <c r="R1164" s="84" t="s">
        <v>365</v>
      </c>
    </row>
    <row r="1165" customFormat="false" ht="15" hidden="false" customHeight="true" outlineLevel="0" collapsed="false">
      <c r="A1165" s="103" t="n">
        <v>56166</v>
      </c>
      <c r="B1165" s="85" t="n">
        <v>46234</v>
      </c>
      <c r="C1165" s="86" t="n">
        <v>21164</v>
      </c>
      <c r="D1165" s="87" t="n">
        <v>50163</v>
      </c>
      <c r="E1165" s="46" t="str">
        <f aca="false">IF(D1165&lt;&gt;"",IFERROR(VLOOKUP(D1165,PROVEEDORES!$A:$B,2,0),"!COD NO ENCONTRADO"),"")</f>
        <v>SUBASTAS RIVERA S.L.</v>
      </c>
      <c r="F1165" s="88" t="str">
        <f aca="false">IF(D1165&lt;&gt;"",IFERROR(VLOOKUP(D1165,PROVEEDORES!$A:$C,3,0),""),"")</f>
        <v>S</v>
      </c>
      <c r="G1165" s="87" t="s">
        <v>332</v>
      </c>
      <c r="H1165" s="46" t="str">
        <f aca="false">IF(G1165&lt;&gt;"",IFERROR(VLOOKUP(G1165,PRODUCTOS!$A:$B,2,0),"!COD NO ENCONTRADO"),"")</f>
        <v>VARIADO PEQUEÑO</v>
      </c>
      <c r="I1165" s="89" t="n">
        <v>3</v>
      </c>
      <c r="J1165" s="90" t="n">
        <v>32</v>
      </c>
      <c r="K1165" s="91" t="n">
        <v>1</v>
      </c>
      <c r="L1165" s="80" t="n">
        <f aca="false">IF(AND(J1165&lt;&gt;"",K1165&lt;&gt;""),J1165*K1165,"")</f>
        <v>32</v>
      </c>
      <c r="M1165" s="81" t="n">
        <f aca="false">IF(L1165&lt;&gt;"",L1165*1.1,"")</f>
        <v>35.2</v>
      </c>
      <c r="N1165" s="47" t="n">
        <f aca="false">IF(F1165="S",L1165*0.02,0)</f>
        <v>0.64</v>
      </c>
      <c r="O1165" s="82" t="n">
        <f aca="false">IF(L1165&lt;&gt;"",L1165+N1165,"")</f>
        <v>32.64</v>
      </c>
      <c r="P1165" s="47" t="n">
        <f aca="false">IF(O1165&lt;&gt;"",O1165*0.1,"")</f>
        <v>3.264</v>
      </c>
      <c r="Q1165" s="83" t="n">
        <f aca="false">IF(O1165&lt;&gt;"",O1165+P1165,"")</f>
        <v>35.904</v>
      </c>
      <c r="R1165" s="84" t="s">
        <v>365</v>
      </c>
    </row>
    <row r="1166" customFormat="false" ht="15" hidden="false" customHeight="true" outlineLevel="0" collapsed="false">
      <c r="A1166" s="103" t="n">
        <v>56166</v>
      </c>
      <c r="B1166" s="85" t="n">
        <v>46234</v>
      </c>
      <c r="C1166" s="86" t="n">
        <v>21164</v>
      </c>
      <c r="D1166" s="87" t="n">
        <v>50163</v>
      </c>
      <c r="E1166" s="46" t="str">
        <f aca="false">IF(D1166&lt;&gt;"",IFERROR(VLOOKUP(D1166,PROVEEDORES!$A:$B,2,0),"!COD NO ENCONTRADO"),"")</f>
        <v>SUBASTAS RIVERA S.L.</v>
      </c>
      <c r="F1166" s="76" t="str">
        <f aca="false">IF(D1166&lt;&gt;"",IFERROR(VLOOKUP(D1166,PROVEEDORES!$A:$C,3,0),""),"")</f>
        <v>S</v>
      </c>
      <c r="G1166" s="75" t="s">
        <v>332</v>
      </c>
      <c r="H1166" s="52" t="str">
        <f aca="false">IF(G1166&lt;&gt;"",IFERROR(VLOOKUP(G1166,PRODUCTOS!$A:$B,2,0),"!COD NO ENCONTRADO"),"")</f>
        <v>VARIADO PEQUEÑO</v>
      </c>
      <c r="I1166" s="77" t="n">
        <v>4</v>
      </c>
      <c r="J1166" s="78" t="n">
        <v>31.75</v>
      </c>
      <c r="K1166" s="79" t="n">
        <v>0.3</v>
      </c>
      <c r="L1166" s="80" t="n">
        <f aca="false">IF(AND(J1166&lt;&gt;"",K1166&lt;&gt;""),J1166*K1166,"")</f>
        <v>9.525</v>
      </c>
      <c r="M1166" s="81" t="n">
        <f aca="false">IF(L1166&lt;&gt;"",L1166*1.1,"")</f>
        <v>10.4775</v>
      </c>
      <c r="N1166" s="53" t="n">
        <f aca="false">IF(F1166="S",L1166*0.02,0)</f>
        <v>0.1905</v>
      </c>
      <c r="O1166" s="82" t="n">
        <f aca="false">IF(L1166&lt;&gt;"",L1166+N1166,"")</f>
        <v>9.7155</v>
      </c>
      <c r="P1166" s="53" t="n">
        <f aca="false">IF(O1166&lt;&gt;"",O1166*0.1,"")</f>
        <v>0.97155</v>
      </c>
      <c r="Q1166" s="83" t="n">
        <f aca="false">IF(O1166&lt;&gt;"",O1166+P1166,"")</f>
        <v>10.68705</v>
      </c>
      <c r="R1166" s="84" t="s">
        <v>365</v>
      </c>
    </row>
    <row r="1167" customFormat="false" ht="15" hidden="false" customHeight="true" outlineLevel="0" collapsed="false">
      <c r="A1167" s="103" t="n">
        <v>56166</v>
      </c>
      <c r="B1167" s="85" t="n">
        <v>46234</v>
      </c>
      <c r="C1167" s="86" t="n">
        <v>21164</v>
      </c>
      <c r="D1167" s="87" t="n">
        <v>50163</v>
      </c>
      <c r="E1167" s="46" t="str">
        <f aca="false">IF(D1167&lt;&gt;"",IFERROR(VLOOKUP(D1167,PROVEEDORES!$A:$B,2,0),"!COD NO ENCONTRADO"),"")</f>
        <v>SUBASTAS RIVERA S.L.</v>
      </c>
      <c r="F1167" s="88" t="str">
        <f aca="false">IF(D1167&lt;&gt;"",IFERROR(VLOOKUP(D1167,PROVEEDORES!$A:$C,3,0),""),"")</f>
        <v>S</v>
      </c>
      <c r="G1167" s="87" t="s">
        <v>135</v>
      </c>
      <c r="H1167" s="46" t="str">
        <f aca="false">IF(G1167&lt;&gt;"",IFERROR(VLOOKUP(G1167,PRODUCTOS!$A:$B,2,0),"!COD NO ENCONTRADO"),"")</f>
        <v>CONGRIO 10+  (COE)</v>
      </c>
      <c r="I1167" s="89" t="n">
        <v>1</v>
      </c>
      <c r="J1167" s="105" t="n">
        <v>25.5</v>
      </c>
      <c r="K1167" s="125" t="n">
        <v>4.1</v>
      </c>
      <c r="L1167" s="80" t="n">
        <f aca="false">IF(AND(J1167&lt;&gt;"",K1167&lt;&gt;""),J1167*K1167,"")</f>
        <v>104.55</v>
      </c>
      <c r="M1167" s="81" t="n">
        <f aca="false">IF(L1167&lt;&gt;"",L1167*1.1,"")</f>
        <v>115.005</v>
      </c>
      <c r="N1167" s="47" t="n">
        <f aca="false">IF(F1167="S",L1167*0.02,0)</f>
        <v>2.091</v>
      </c>
      <c r="O1167" s="82" t="n">
        <f aca="false">IF(L1167&lt;&gt;"",L1167+N1167,"")</f>
        <v>106.641</v>
      </c>
      <c r="P1167" s="47" t="n">
        <f aca="false">IF(O1167&lt;&gt;"",O1167*0.1,"")</f>
        <v>10.6641</v>
      </c>
      <c r="Q1167" s="83" t="n">
        <f aca="false">IF(O1167&lt;&gt;"",O1167+P1167,"")</f>
        <v>117.3051</v>
      </c>
      <c r="R1167" s="84" t="s">
        <v>365</v>
      </c>
    </row>
    <row r="1168" customFormat="false" ht="15" hidden="false" customHeight="true" outlineLevel="0" collapsed="false">
      <c r="A1168" s="103" t="n">
        <v>56166</v>
      </c>
      <c r="B1168" s="85" t="n">
        <v>46234</v>
      </c>
      <c r="C1168" s="86" t="n">
        <v>21164</v>
      </c>
      <c r="D1168" s="87" t="n">
        <v>50163</v>
      </c>
      <c r="E1168" s="46" t="str">
        <f aca="false">IF(D1168&lt;&gt;"",IFERROR(VLOOKUP(D1168,PROVEEDORES!$A:$B,2,0),"!COD NO ENCONTRADO"),"")</f>
        <v>SUBASTAS RIVERA S.L.</v>
      </c>
      <c r="F1168" s="76" t="str">
        <f aca="false">IF(D1168&lt;&gt;"",IFERROR(VLOOKUP(D1168,PROVEEDORES!$A:$C,3,0),""),"")</f>
        <v>S</v>
      </c>
      <c r="G1168" s="75" t="s">
        <v>233</v>
      </c>
      <c r="H1168" s="52" t="str">
        <f aca="false">IF(G1168&lt;&gt;"",IFERROR(VLOOKUP(G1168,PRODUCTOS!$A:$B,2,0),"!COD NO ENCONTRADO"),"")</f>
        <v>MERLUZA EUROPEA VOLANTA COSTA</v>
      </c>
      <c r="I1168" s="77" t="n">
        <v>2</v>
      </c>
      <c r="J1168" s="105" t="n">
        <v>33.75</v>
      </c>
      <c r="K1168" s="125" t="n">
        <v>4.7</v>
      </c>
      <c r="L1168" s="80" t="n">
        <f aca="false">IF(AND(J1168&lt;&gt;"",K1168&lt;&gt;""),J1168*K1168,"")</f>
        <v>158.625</v>
      </c>
      <c r="M1168" s="81" t="n">
        <f aca="false">IF(L1168&lt;&gt;"",L1168*1.1,"")</f>
        <v>174.4875</v>
      </c>
      <c r="N1168" s="53" t="n">
        <f aca="false">IF(F1168="S",L1168*0.02,0)</f>
        <v>3.1725</v>
      </c>
      <c r="O1168" s="82" t="n">
        <f aca="false">IF(L1168&lt;&gt;"",L1168+N1168,"")</f>
        <v>161.7975</v>
      </c>
      <c r="P1168" s="53" t="n">
        <f aca="false">IF(O1168&lt;&gt;"",O1168*0.1,"")</f>
        <v>16.17975</v>
      </c>
      <c r="Q1168" s="83" t="n">
        <f aca="false">IF(O1168&lt;&gt;"",O1168+P1168,"")</f>
        <v>177.97725</v>
      </c>
      <c r="R1168" s="84" t="s">
        <v>365</v>
      </c>
    </row>
    <row r="1169" customFormat="false" ht="15" hidden="false" customHeight="true" outlineLevel="0" collapsed="false">
      <c r="A1169" s="103" t="n">
        <v>56166</v>
      </c>
      <c r="B1169" s="85" t="n">
        <v>46234</v>
      </c>
      <c r="C1169" s="86" t="n">
        <v>21164</v>
      </c>
      <c r="D1169" s="87" t="n">
        <v>50163</v>
      </c>
      <c r="E1169" s="46" t="str">
        <f aca="false">IF(D1169&lt;&gt;"",IFERROR(VLOOKUP(D1169,PROVEEDORES!$A:$B,2,0),"!COD NO ENCONTRADO"),"")</f>
        <v>SUBASTAS RIVERA S.L.</v>
      </c>
      <c r="F1169" s="88" t="str">
        <f aca="false">IF(D1169&lt;&gt;"",IFERROR(VLOOKUP(D1169,PROVEEDORES!$A:$C,3,0),""),"")</f>
        <v>S</v>
      </c>
      <c r="G1169" s="87" t="s">
        <v>233</v>
      </c>
      <c r="H1169" s="46" t="str">
        <f aca="false">IF(G1169&lt;&gt;"",IFERROR(VLOOKUP(G1169,PRODUCTOS!$A:$B,2,0),"!COD NO ENCONTRADO"),"")</f>
        <v>MERLUZA EUROPEA VOLANTA COSTA</v>
      </c>
      <c r="I1169" s="89" t="n">
        <v>1</v>
      </c>
      <c r="J1169" s="105" t="n">
        <v>18.25</v>
      </c>
      <c r="K1169" s="125" t="n">
        <v>4.3</v>
      </c>
      <c r="L1169" s="80" t="n">
        <f aca="false">IF(AND(J1169&lt;&gt;"",K1169&lt;&gt;""),J1169*K1169,"")</f>
        <v>78.475</v>
      </c>
      <c r="M1169" s="81" t="n">
        <f aca="false">IF(L1169&lt;&gt;"",L1169*1.1,"")</f>
        <v>86.3225</v>
      </c>
      <c r="N1169" s="47" t="n">
        <f aca="false">IF(F1169="S",L1169*0.02,0)</f>
        <v>1.5695</v>
      </c>
      <c r="O1169" s="82" t="n">
        <f aca="false">IF(L1169&lt;&gt;"",L1169+N1169,"")</f>
        <v>80.0445</v>
      </c>
      <c r="P1169" s="47" t="n">
        <f aca="false">IF(O1169&lt;&gt;"",O1169*0.1,"")</f>
        <v>8.00445</v>
      </c>
      <c r="Q1169" s="83" t="n">
        <f aca="false">IF(O1169&lt;&gt;"",O1169+P1169,"")</f>
        <v>88.04895</v>
      </c>
      <c r="R1169" s="84" t="s">
        <v>365</v>
      </c>
    </row>
    <row r="1170" customFormat="false" ht="15" hidden="false" customHeight="true" outlineLevel="0" collapsed="false">
      <c r="A1170" s="103" t="n">
        <v>56166</v>
      </c>
      <c r="B1170" s="73" t="n">
        <v>46234</v>
      </c>
      <c r="C1170" s="86" t="n">
        <v>21164</v>
      </c>
      <c r="D1170" s="87" t="n">
        <v>50163</v>
      </c>
      <c r="E1170" s="46" t="str">
        <f aca="false">IF(D1170&lt;&gt;"",IFERROR(VLOOKUP(D1170,PROVEEDORES!$A:$B,2,0),"!COD NO ENCONTRADO"),"")</f>
        <v>SUBASTAS RIVERA S.L.</v>
      </c>
      <c r="F1170" s="76" t="str">
        <f aca="false">IF(D1170&lt;&gt;"",IFERROR(VLOOKUP(D1170,PROVEEDORES!$A:$C,3,0),""),"")</f>
        <v>S</v>
      </c>
      <c r="G1170" s="75" t="s">
        <v>233</v>
      </c>
      <c r="H1170" s="52" t="str">
        <f aca="false">IF(G1170&lt;&gt;"",IFERROR(VLOOKUP(G1170,PRODUCTOS!$A:$B,2,0),"!COD NO ENCONTRADO"),"")</f>
        <v>MERLUZA EUROPEA VOLANTA COSTA</v>
      </c>
      <c r="I1170" s="77" t="n">
        <v>2</v>
      </c>
      <c r="J1170" s="105" t="n">
        <v>56.25</v>
      </c>
      <c r="K1170" s="125" t="n">
        <v>4.7</v>
      </c>
      <c r="L1170" s="80" t="n">
        <f aca="false">IF(AND(J1170&lt;&gt;"",K1170&lt;&gt;""),J1170*K1170,"")</f>
        <v>264.375</v>
      </c>
      <c r="M1170" s="81" t="n">
        <f aca="false">IF(L1170&lt;&gt;"",L1170*1.1,"")</f>
        <v>290.8125</v>
      </c>
      <c r="N1170" s="53" t="n">
        <f aca="false">IF(F1170="S",L1170*0.02,0)</f>
        <v>5.2875</v>
      </c>
      <c r="O1170" s="82" t="n">
        <f aca="false">IF(L1170&lt;&gt;"",L1170+N1170,"")</f>
        <v>269.6625</v>
      </c>
      <c r="P1170" s="53" t="n">
        <f aca="false">IF(O1170&lt;&gt;"",O1170*0.1,"")</f>
        <v>26.96625</v>
      </c>
      <c r="Q1170" s="83" t="n">
        <f aca="false">IF(O1170&lt;&gt;"",O1170+P1170,"")</f>
        <v>296.62875</v>
      </c>
      <c r="R1170" s="84" t="s">
        <v>365</v>
      </c>
    </row>
    <row r="1171" customFormat="false" ht="15" hidden="false" customHeight="true" outlineLevel="0" collapsed="false">
      <c r="A1171" s="103" t="n">
        <v>56166</v>
      </c>
      <c r="B1171" s="85" t="n">
        <v>46234</v>
      </c>
      <c r="C1171" s="86" t="n">
        <v>21164</v>
      </c>
      <c r="D1171" s="87" t="n">
        <v>50163</v>
      </c>
      <c r="E1171" s="46" t="str">
        <f aca="false">IF(D1171&lt;&gt;"",IFERROR(VLOOKUP(D1171,PROVEEDORES!$A:$B,2,0),"!COD NO ENCONTRADO"),"")</f>
        <v>SUBASTAS RIVERA S.L.</v>
      </c>
      <c r="F1171" s="88" t="str">
        <f aca="false">IF(D1171&lt;&gt;"",IFERROR(VLOOKUP(D1171,PROVEEDORES!$A:$C,3,0),""),"")</f>
        <v>S</v>
      </c>
      <c r="G1171" s="87" t="s">
        <v>216</v>
      </c>
      <c r="H1171" s="46" t="str">
        <f aca="false">IF(G1171&lt;&gt;"",IFERROR(VLOOKUP(G1171,PRODUCTOS!$A:$B,2,0),"!COD NO ENCONTRADO"),"")</f>
        <v>MERLUZA EUROPEA PINCHO COSTA</v>
      </c>
      <c r="I1171" s="89" t="n">
        <v>2</v>
      </c>
      <c r="J1171" s="105" t="n">
        <v>18.25</v>
      </c>
      <c r="K1171" s="125" t="n">
        <v>13.8</v>
      </c>
      <c r="L1171" s="80" t="n">
        <f aca="false">IF(AND(J1171&lt;&gt;"",K1171&lt;&gt;""),J1171*K1171,"")</f>
        <v>251.85</v>
      </c>
      <c r="M1171" s="81" t="n">
        <f aca="false">IF(L1171&lt;&gt;"",L1171*1.1,"")</f>
        <v>277.035</v>
      </c>
      <c r="N1171" s="47" t="n">
        <f aca="false">IF(F1171="S",L1171*0.02,0)</f>
        <v>5.037</v>
      </c>
      <c r="O1171" s="82" t="n">
        <f aca="false">IF(L1171&lt;&gt;"",L1171+N1171,"")</f>
        <v>256.887</v>
      </c>
      <c r="P1171" s="47" t="n">
        <f aca="false">IF(O1171&lt;&gt;"",O1171*0.1,"")</f>
        <v>25.6887</v>
      </c>
      <c r="Q1171" s="83" t="n">
        <f aca="false">IF(O1171&lt;&gt;"",O1171+P1171,"")</f>
        <v>282.5757</v>
      </c>
      <c r="R1171" s="84" t="s">
        <v>365</v>
      </c>
    </row>
    <row r="1172" customFormat="false" ht="15" hidden="false" customHeight="true" outlineLevel="0" collapsed="false">
      <c r="A1172" s="103" t="n">
        <v>56167</v>
      </c>
      <c r="B1172" s="73" t="n">
        <v>46235</v>
      </c>
      <c r="C1172" s="74" t="s">
        <v>553</v>
      </c>
      <c r="D1172" s="75" t="n">
        <v>50010</v>
      </c>
      <c r="E1172" s="52" t="str">
        <f aca="false">IF(D1172&lt;&gt;"",IFERROR(VLOOKUP(D1172,PROVEEDORES!$A:$B,2,0),"!COD NO ENCONTRADO"),"")</f>
        <v>PERFECTO MONTERO</v>
      </c>
      <c r="F1172" s="76" t="str">
        <f aca="false">IF(D1172&lt;&gt;"",IFERROR(VLOOKUP(D1172,PROVEEDORES!$A:$C,3,0),""),"")</f>
        <v>S</v>
      </c>
      <c r="G1172" s="75" t="s">
        <v>135</v>
      </c>
      <c r="H1172" s="52" t="str">
        <f aca="false">IF(G1172&lt;&gt;"",IFERROR(VLOOKUP(G1172,PRODUCTOS!$A:$B,2,0),"!COD NO ENCONTRADO"),"")</f>
        <v>CONGRIO 10+  (COE)</v>
      </c>
      <c r="I1172" s="77" t="n">
        <v>2</v>
      </c>
      <c r="J1172" s="78" t="n">
        <v>33.5</v>
      </c>
      <c r="K1172" s="79" t="n">
        <v>4.2</v>
      </c>
      <c r="L1172" s="80" t="n">
        <f aca="false">IF(AND(J1172&lt;&gt;"",K1172&lt;&gt;""),J1172*K1172,"")</f>
        <v>140.7</v>
      </c>
      <c r="M1172" s="81" t="n">
        <f aca="false">IF(L1172&lt;&gt;"",L1172*1.1,"")</f>
        <v>154.77</v>
      </c>
      <c r="N1172" s="53" t="n">
        <f aca="false">IF(F1172="S",L1172*0.02,0)</f>
        <v>2.814</v>
      </c>
      <c r="O1172" s="82" t="n">
        <f aca="false">IF(L1172&lt;&gt;"",L1172+N1172,"")</f>
        <v>143.514</v>
      </c>
      <c r="P1172" s="53" t="n">
        <f aca="false">IF(O1172&lt;&gt;"",O1172*0.1,"")</f>
        <v>14.3514</v>
      </c>
      <c r="Q1172" s="83" t="n">
        <f aca="false">IF(O1172&lt;&gt;"",O1172+P1172,"")</f>
        <v>157.8654</v>
      </c>
      <c r="R1172" s="84" t="s">
        <v>358</v>
      </c>
    </row>
    <row r="1173" customFormat="false" ht="15" hidden="false" customHeight="true" outlineLevel="0" collapsed="false">
      <c r="A1173" s="103" t="n">
        <v>56168</v>
      </c>
      <c r="B1173" s="73" t="n">
        <v>46235</v>
      </c>
      <c r="C1173" s="86" t="n">
        <v>34498</v>
      </c>
      <c r="D1173" s="87" t="n">
        <v>50106</v>
      </c>
      <c r="E1173" s="46" t="str">
        <f aca="false">IF(D1173&lt;&gt;"",IFERROR(VLOOKUP(D1173,PROVEEDORES!$A:$B,2,0),"!COD NO ENCONTRADO"),"")</f>
        <v>SONIA VENTAS S.L</v>
      </c>
      <c r="F1173" s="88" t="str">
        <f aca="false">IF(D1173&lt;&gt;"",IFERROR(VLOOKUP(D1173,PROVEEDORES!$A:$C,3,0),""),"")</f>
        <v>S</v>
      </c>
      <c r="G1173" s="87" t="s">
        <v>83</v>
      </c>
      <c r="H1173" s="46" t="str">
        <f aca="false">IF(G1173&lt;&gt;"",IFERROR(VLOOKUP(G1173,PRODUCTOS!$A:$B,2,0),"!COD NO ENCONTRADO"),"")</f>
        <v>BESUGO (BSR)</v>
      </c>
      <c r="I1173" s="89" t="n">
        <v>2</v>
      </c>
      <c r="J1173" s="90" t="n">
        <v>4.9</v>
      </c>
      <c r="K1173" s="91" t="n">
        <v>32.8</v>
      </c>
      <c r="L1173" s="80" t="n">
        <f aca="false">IF(AND(J1173&lt;&gt;"",K1173&lt;&gt;""),J1173*K1173,"")</f>
        <v>160.72</v>
      </c>
      <c r="M1173" s="81" t="n">
        <f aca="false">IF(L1173&lt;&gt;"",L1173*1.1,"")</f>
        <v>176.792</v>
      </c>
      <c r="N1173" s="47" t="n">
        <f aca="false">IF(F1173="S",L1173*0.02,0)</f>
        <v>3.2144</v>
      </c>
      <c r="O1173" s="82" t="n">
        <f aca="false">IF(L1173&lt;&gt;"",L1173+N1173,"")</f>
        <v>163.9344</v>
      </c>
      <c r="P1173" s="47" t="n">
        <f aca="false">IF(O1173&lt;&gt;"",O1173*0.1,"")</f>
        <v>16.39344</v>
      </c>
      <c r="Q1173" s="83" t="n">
        <f aca="false">IF(O1173&lt;&gt;"",O1173+P1173,"")</f>
        <v>180.32784</v>
      </c>
      <c r="R1173" s="84" t="s">
        <v>358</v>
      </c>
    </row>
    <row r="1174" customFormat="false" ht="15" hidden="false" customHeight="true" outlineLevel="0" collapsed="false">
      <c r="A1174" s="103" t="n">
        <v>56168</v>
      </c>
      <c r="B1174" s="73" t="n">
        <v>46235</v>
      </c>
      <c r="C1174" s="86" t="n">
        <v>34498</v>
      </c>
      <c r="D1174" s="87" t="n">
        <v>50106</v>
      </c>
      <c r="E1174" s="52" t="str">
        <f aca="false">IF(D1174&lt;&gt;"",IFERROR(VLOOKUP(D1174,PROVEEDORES!$A:$B,2,0),"!COD NO ENCONTRADO"),"")</f>
        <v>SONIA VENTAS S.L</v>
      </c>
      <c r="F1174" s="76" t="str">
        <f aca="false">IF(D1174&lt;&gt;"",IFERROR(VLOOKUP(D1174,PROVEEDORES!$A:$C,3,0),""),"")</f>
        <v>S</v>
      </c>
      <c r="G1174" s="87" t="s">
        <v>219</v>
      </c>
      <c r="H1174" s="52" t="str">
        <f aca="false">IF(G1174&lt;&gt;"",IFERROR(VLOOKUP(G1174,PRODUCTOS!$A:$B,2,0),"!COD NO ENCONTRADO"),"")</f>
        <v>MERLUZA EUROPEA PINCHO COSTA 600</v>
      </c>
      <c r="I1174" s="77" t="n">
        <v>2</v>
      </c>
      <c r="J1174" s="78" t="n">
        <v>26</v>
      </c>
      <c r="K1174" s="79" t="n">
        <v>4</v>
      </c>
      <c r="L1174" s="80" t="n">
        <f aca="false">IF(AND(J1174&lt;&gt;"",K1174&lt;&gt;""),J1174*K1174,"")</f>
        <v>104</v>
      </c>
      <c r="M1174" s="81" t="n">
        <f aca="false">IF(L1174&lt;&gt;"",L1174*1.1,"")</f>
        <v>114.4</v>
      </c>
      <c r="N1174" s="53" t="n">
        <f aca="false">IF(F1174="S",L1174*0.02,0)</f>
        <v>2.08</v>
      </c>
      <c r="O1174" s="82" t="n">
        <f aca="false">IF(L1174&lt;&gt;"",L1174+N1174,"")</f>
        <v>106.08</v>
      </c>
      <c r="P1174" s="53" t="n">
        <f aca="false">IF(O1174&lt;&gt;"",O1174*0.1,"")</f>
        <v>10.608</v>
      </c>
      <c r="Q1174" s="83" t="n">
        <f aca="false">IF(O1174&lt;&gt;"",O1174+P1174,"")</f>
        <v>116.688</v>
      </c>
      <c r="R1174" s="84" t="s">
        <v>358</v>
      </c>
    </row>
    <row r="1175" customFormat="false" ht="15" hidden="false" customHeight="true" outlineLevel="0" collapsed="false">
      <c r="A1175" s="103" t="n">
        <v>56168</v>
      </c>
      <c r="B1175" s="73" t="n">
        <v>46235</v>
      </c>
      <c r="C1175" s="86" t="n">
        <v>34498</v>
      </c>
      <c r="D1175" s="87" t="n">
        <v>50106</v>
      </c>
      <c r="E1175" s="46" t="str">
        <f aca="false">IF(D1175&lt;&gt;"",IFERROR(VLOOKUP(D1175,PROVEEDORES!$A:$B,2,0),"!COD NO ENCONTRADO"),"")</f>
        <v>SONIA VENTAS S.L</v>
      </c>
      <c r="F1175" s="88" t="str">
        <f aca="false">IF(D1175&lt;&gt;"",IFERROR(VLOOKUP(D1175,PROVEEDORES!$A:$C,3,0),""),"")</f>
        <v>S</v>
      </c>
      <c r="G1175" s="87" t="s">
        <v>221</v>
      </c>
      <c r="H1175" s="46" t="str">
        <f aca="false">IF(G1175&lt;&gt;"",IFERROR(VLOOKUP(G1175,PRODUCTOS!$A:$B,2,0),"!COD NO ENCONTRADO"),"")</f>
        <v>MERLUZA EUROPEA PINCHO COSTA 800</v>
      </c>
      <c r="I1175" s="89" t="n">
        <v>3</v>
      </c>
      <c r="J1175" s="90" t="n">
        <v>41</v>
      </c>
      <c r="K1175" s="91" t="n">
        <v>5.7</v>
      </c>
      <c r="L1175" s="80" t="n">
        <f aca="false">IF(AND(J1175&lt;&gt;"",K1175&lt;&gt;""),J1175*K1175,"")</f>
        <v>233.7</v>
      </c>
      <c r="M1175" s="81" t="n">
        <f aca="false">IF(L1175&lt;&gt;"",L1175*1.1,"")</f>
        <v>257.07</v>
      </c>
      <c r="N1175" s="47" t="n">
        <f aca="false">IF(F1175="S",L1175*0.02,0)</f>
        <v>4.674</v>
      </c>
      <c r="O1175" s="82" t="n">
        <f aca="false">IF(L1175&lt;&gt;"",L1175+N1175,"")</f>
        <v>238.374</v>
      </c>
      <c r="P1175" s="47" t="n">
        <f aca="false">IF(O1175&lt;&gt;"",O1175*0.1,"")</f>
        <v>23.8374</v>
      </c>
      <c r="Q1175" s="83" t="n">
        <f aca="false">IF(O1175&lt;&gt;"",O1175+P1175,"")</f>
        <v>262.2114</v>
      </c>
      <c r="R1175" s="84" t="s">
        <v>358</v>
      </c>
    </row>
    <row r="1176" customFormat="false" ht="15" hidden="false" customHeight="true" outlineLevel="0" collapsed="false">
      <c r="A1176" s="103" t="n">
        <v>56169</v>
      </c>
      <c r="B1176" s="73" t="n">
        <v>46235</v>
      </c>
      <c r="C1176" s="74" t="n">
        <v>18397</v>
      </c>
      <c r="D1176" s="87" t="n">
        <v>50160</v>
      </c>
      <c r="E1176" s="52" t="str">
        <f aca="false">IF(D1176&lt;&gt;"",IFERROR(VLOOKUP(D1176,PROVEEDORES!$A:$B,2,0),"!COD NO ENCONTRADO"),"")</f>
        <v>SUBASTAS CORUÑA S.L.</v>
      </c>
      <c r="F1176" s="76" t="str">
        <f aca="false">IF(D1176&lt;&gt;"",IFERROR(VLOOKUP(D1176,PROVEEDORES!$A:$C,3,0),""),"")</f>
        <v>S</v>
      </c>
      <c r="G1176" s="87" t="s">
        <v>233</v>
      </c>
      <c r="H1176" s="52" t="str">
        <f aca="false">IF(G1176&lt;&gt;"",IFERROR(VLOOKUP(G1176,PRODUCTOS!$A:$B,2,0),"!COD NO ENCONTRADO"),"")</f>
        <v>MERLUZA EUROPEA VOLANTA COSTA</v>
      </c>
      <c r="I1176" s="77" t="n">
        <v>3</v>
      </c>
      <c r="J1176" s="78" t="n">
        <v>60.5</v>
      </c>
      <c r="K1176" s="79" t="n">
        <v>3.8</v>
      </c>
      <c r="L1176" s="80" t="n">
        <f aca="false">IF(AND(J1176&lt;&gt;"",K1176&lt;&gt;""),J1176*K1176,"")</f>
        <v>229.9</v>
      </c>
      <c r="M1176" s="81" t="n">
        <f aca="false">IF(L1176&lt;&gt;"",L1176*1.1,"")</f>
        <v>252.89</v>
      </c>
      <c r="N1176" s="53" t="n">
        <f aca="false">IF(F1176="S",L1176*0.02,0)</f>
        <v>4.598</v>
      </c>
      <c r="O1176" s="82" t="n">
        <f aca="false">IF(L1176&lt;&gt;"",L1176+N1176,"")</f>
        <v>234.498</v>
      </c>
      <c r="P1176" s="53" t="n">
        <f aca="false">IF(O1176&lt;&gt;"",O1176*0.1,"")</f>
        <v>23.4498</v>
      </c>
      <c r="Q1176" s="83" t="n">
        <f aca="false">IF(O1176&lt;&gt;"",O1176+P1176,"")</f>
        <v>257.9478</v>
      </c>
      <c r="R1176" s="84" t="s">
        <v>365</v>
      </c>
    </row>
    <row r="1177" customFormat="false" ht="15" hidden="false" customHeight="true" outlineLevel="0" collapsed="false">
      <c r="A1177" s="103" t="n">
        <v>56170</v>
      </c>
      <c r="B1177" s="73" t="n">
        <v>46235</v>
      </c>
      <c r="C1177" s="86" t="n">
        <v>21348</v>
      </c>
      <c r="D1177" s="87" t="n">
        <v>50163</v>
      </c>
      <c r="E1177" s="46" t="str">
        <f aca="false">IF(D1177&lt;&gt;"",IFERROR(VLOOKUP(D1177,PROVEEDORES!$A:$B,2,0),"!COD NO ENCONTRADO"),"")</f>
        <v>SUBASTAS RIVERA S.L.</v>
      </c>
      <c r="F1177" s="88" t="str">
        <f aca="false">IF(D1177&lt;&gt;"",IFERROR(VLOOKUP(D1177,PROVEEDORES!$A:$C,3,0),""),"")</f>
        <v>S</v>
      </c>
      <c r="G1177" s="87" t="s">
        <v>133</v>
      </c>
      <c r="H1177" s="46" t="str">
        <f aca="false">IF(G1177&lt;&gt;"",IFERROR(VLOOKUP(G1177,PRODUCTOS!$A:$B,2,0),"!COD NO ENCONTRADO"),"")</f>
        <v>CINTAS/ PEZ CINTA (CBC)</v>
      </c>
      <c r="I1177" s="112" t="n">
        <v>2</v>
      </c>
      <c r="J1177" s="105" t="n">
        <v>14.25</v>
      </c>
      <c r="K1177" s="125" t="n">
        <v>2.1</v>
      </c>
      <c r="L1177" s="80" t="n">
        <f aca="false">IF(AND(J1177&lt;&gt;"",K1177&lt;&gt;""),J1177*K1177,"")</f>
        <v>29.925</v>
      </c>
      <c r="M1177" s="81" t="n">
        <f aca="false">IF(L1177&lt;&gt;"",L1177*1.1,"")</f>
        <v>32.9175</v>
      </c>
      <c r="N1177" s="47" t="n">
        <f aca="false">IF(F1177="S",L1177*0.02,0)</f>
        <v>0.5985</v>
      </c>
      <c r="O1177" s="82" t="n">
        <f aca="false">IF(L1177&lt;&gt;"",L1177+N1177,"")</f>
        <v>30.5235</v>
      </c>
      <c r="P1177" s="47" t="n">
        <f aca="false">IF(O1177&lt;&gt;"",O1177*0.1,"")</f>
        <v>3.05235</v>
      </c>
      <c r="Q1177" s="83" t="n">
        <f aca="false">IF(O1177&lt;&gt;"",O1177+P1177,"")</f>
        <v>33.57585</v>
      </c>
      <c r="R1177" s="84" t="s">
        <v>365</v>
      </c>
    </row>
    <row r="1178" customFormat="false" ht="15" hidden="false" customHeight="true" outlineLevel="0" collapsed="false">
      <c r="A1178" s="103" t="n">
        <v>56170</v>
      </c>
      <c r="B1178" s="73" t="n">
        <v>46235</v>
      </c>
      <c r="C1178" s="86" t="n">
        <v>21348</v>
      </c>
      <c r="D1178" s="87" t="n">
        <v>50163</v>
      </c>
      <c r="E1178" s="52" t="str">
        <f aca="false">IF(D1178&lt;&gt;"",IFERROR(VLOOKUP(D1178,PROVEEDORES!$A:$B,2,0),"!COD NO ENCONTRADO"),"")</f>
        <v>SUBASTAS RIVERA S.L.</v>
      </c>
      <c r="F1178" s="76" t="str">
        <f aca="false">IF(D1178&lt;&gt;"",IFERROR(VLOOKUP(D1178,PROVEEDORES!$A:$C,3,0),""),"")</f>
        <v>S</v>
      </c>
      <c r="G1178" s="87" t="s">
        <v>151</v>
      </c>
      <c r="H1178" s="52" t="str">
        <f aca="false">IF(G1178&lt;&gt;"",IFERROR(VLOOKUP(G1178,PRODUCTOS!$A:$B,2,0),"!COD NO ENCONTRADO"),"")</f>
        <v>ESCACHO/ ARETE/ RUBIO (GUR)</v>
      </c>
      <c r="I1178" s="112" t="n">
        <v>7</v>
      </c>
      <c r="J1178" s="105" t="n">
        <v>66.25</v>
      </c>
      <c r="K1178" s="125" t="n">
        <v>0.3</v>
      </c>
      <c r="L1178" s="80" t="n">
        <f aca="false">IF(AND(J1178&lt;&gt;"",K1178&lt;&gt;""),J1178*K1178,"")</f>
        <v>19.875</v>
      </c>
      <c r="M1178" s="81" t="n">
        <f aca="false">IF(L1178&lt;&gt;"",L1178*1.1,"")</f>
        <v>21.8625</v>
      </c>
      <c r="N1178" s="53" t="n">
        <f aca="false">IF(F1178="S",L1178*0.02,0)</f>
        <v>0.3975</v>
      </c>
      <c r="O1178" s="82" t="n">
        <f aca="false">IF(L1178&lt;&gt;"",L1178+N1178,"")</f>
        <v>20.2725</v>
      </c>
      <c r="P1178" s="53" t="n">
        <f aca="false">IF(O1178&lt;&gt;"",O1178*0.1,"")</f>
        <v>2.02725</v>
      </c>
      <c r="Q1178" s="83" t="n">
        <f aca="false">IF(O1178&lt;&gt;"",O1178+P1178,"")</f>
        <v>22.29975</v>
      </c>
      <c r="R1178" s="84" t="s">
        <v>365</v>
      </c>
    </row>
    <row r="1179" customFormat="false" ht="15" hidden="false" customHeight="true" outlineLevel="0" collapsed="false">
      <c r="A1179" s="103" t="n">
        <v>56170</v>
      </c>
      <c r="B1179" s="73" t="n">
        <v>46235</v>
      </c>
      <c r="C1179" s="86" t="n">
        <v>21348</v>
      </c>
      <c r="D1179" s="87" t="n">
        <v>50163</v>
      </c>
      <c r="E1179" s="46" t="str">
        <f aca="false">IF(D1179&lt;&gt;"",IFERROR(VLOOKUP(D1179,PROVEEDORES!$A:$B,2,0),"!COD NO ENCONTRADO"),"")</f>
        <v>SUBASTAS RIVERA S.L.</v>
      </c>
      <c r="F1179" s="88" t="str">
        <f aca="false">IF(D1179&lt;&gt;"",IFERROR(VLOOKUP(D1179,PROVEEDORES!$A:$C,3,0),""),"")</f>
        <v>S</v>
      </c>
      <c r="G1179" s="87" t="s">
        <v>276</v>
      </c>
      <c r="H1179" s="46" t="str">
        <f aca="false">IF(G1179&lt;&gt;"",IFERROR(VLOOKUP(G1179,PRODUCTOS!$A:$B,2,0),"!COD NO ENCONTRADO"),"")</f>
        <v>MERLUZA EUROPEA/ FINA DIA </v>
      </c>
      <c r="I1179" s="112" t="n">
        <v>2</v>
      </c>
      <c r="J1179" s="105" t="n">
        <v>13.25</v>
      </c>
      <c r="K1179" s="125" t="n">
        <v>2.4</v>
      </c>
      <c r="L1179" s="80" t="n">
        <f aca="false">IF(AND(J1179&lt;&gt;"",K1179&lt;&gt;""),J1179*K1179,"")</f>
        <v>31.8</v>
      </c>
      <c r="M1179" s="81" t="n">
        <f aca="false">IF(L1179&lt;&gt;"",L1179*1.1,"")</f>
        <v>34.98</v>
      </c>
      <c r="N1179" s="47" t="n">
        <f aca="false">IF(F1179="S",L1179*0.02,0)</f>
        <v>0.636</v>
      </c>
      <c r="O1179" s="82" t="n">
        <f aca="false">IF(L1179&lt;&gt;"",L1179+N1179,"")</f>
        <v>32.436</v>
      </c>
      <c r="P1179" s="47" t="n">
        <f aca="false">IF(O1179&lt;&gt;"",O1179*0.1,"")</f>
        <v>3.2436</v>
      </c>
      <c r="Q1179" s="83" t="n">
        <f aca="false">IF(O1179&lt;&gt;"",O1179+P1179,"")</f>
        <v>35.6796</v>
      </c>
      <c r="R1179" s="84" t="s">
        <v>365</v>
      </c>
    </row>
    <row r="1180" customFormat="false" ht="15" hidden="false" customHeight="true" outlineLevel="0" collapsed="false">
      <c r="A1180" s="103" t="n">
        <v>56170</v>
      </c>
      <c r="B1180" s="73" t="n">
        <v>46235</v>
      </c>
      <c r="C1180" s="86" t="n">
        <v>21348</v>
      </c>
      <c r="D1180" s="87" t="n">
        <v>50163</v>
      </c>
      <c r="E1180" s="52" t="str">
        <f aca="false">IF(D1180&lt;&gt;"",IFERROR(VLOOKUP(D1180,PROVEEDORES!$A:$B,2,0),"!COD NO ENCONTRADO"),"")</f>
        <v>SUBASTAS RIVERA S.L.</v>
      </c>
      <c r="F1180" s="76" t="str">
        <f aca="false">IF(D1180&lt;&gt;"",IFERROR(VLOOKUP(D1180,PROVEEDORES!$A:$C,3,0),""),"")</f>
        <v>S</v>
      </c>
      <c r="G1180" s="75" t="s">
        <v>276</v>
      </c>
      <c r="H1180" s="52" t="str">
        <f aca="false">IF(G1180&lt;&gt;"",IFERROR(VLOOKUP(G1180,PRODUCTOS!$A:$B,2,0),"!COD NO ENCONTRADO"),"")</f>
        <v>MERLUZA EUROPEA/ FINA DIA </v>
      </c>
      <c r="I1180" s="112" t="n">
        <v>14</v>
      </c>
      <c r="J1180" s="105" t="n">
        <v>88.5</v>
      </c>
      <c r="K1180" s="125" t="n">
        <v>2.6</v>
      </c>
      <c r="L1180" s="80" t="n">
        <f aca="false">IF(AND(J1180&lt;&gt;"",K1180&lt;&gt;""),J1180*K1180,"")</f>
        <v>230.1</v>
      </c>
      <c r="M1180" s="81" t="n">
        <f aca="false">IF(L1180&lt;&gt;"",L1180*1.1,"")</f>
        <v>253.11</v>
      </c>
      <c r="N1180" s="53" t="n">
        <f aca="false">IF(F1180="S",L1180*0.02,0)</f>
        <v>4.602</v>
      </c>
      <c r="O1180" s="82" t="n">
        <f aca="false">IF(L1180&lt;&gt;"",L1180+N1180,"")</f>
        <v>234.702</v>
      </c>
      <c r="P1180" s="53" t="n">
        <f aca="false">IF(O1180&lt;&gt;"",O1180*0.1,"")</f>
        <v>23.4702</v>
      </c>
      <c r="Q1180" s="83" t="n">
        <f aca="false">IF(O1180&lt;&gt;"",O1180+P1180,"")</f>
        <v>258.1722</v>
      </c>
      <c r="R1180" s="84" t="s">
        <v>365</v>
      </c>
    </row>
    <row r="1181" customFormat="false" ht="15" hidden="false" customHeight="true" outlineLevel="0" collapsed="false">
      <c r="A1181" s="103" t="n">
        <v>56170</v>
      </c>
      <c r="B1181" s="73" t="n">
        <v>46235</v>
      </c>
      <c r="C1181" s="86" t="n">
        <v>21348</v>
      </c>
      <c r="D1181" s="87" t="n">
        <v>50163</v>
      </c>
      <c r="E1181" s="46" t="str">
        <f aca="false">IF(D1181&lt;&gt;"",IFERROR(VLOOKUP(D1181,PROVEEDORES!$A:$B,2,0),"!COD NO ENCONTRADO"),"")</f>
        <v>SUBASTAS RIVERA S.L.</v>
      </c>
      <c r="F1181" s="88" t="str">
        <f aca="false">IF(D1181&lt;&gt;"",IFERROR(VLOOKUP(D1181,PROVEEDORES!$A:$C,3,0),""),"")</f>
        <v>S</v>
      </c>
      <c r="G1181" s="87" t="s">
        <v>276</v>
      </c>
      <c r="H1181" s="46" t="str">
        <f aca="false">IF(G1181&lt;&gt;"",IFERROR(VLOOKUP(G1181,PRODUCTOS!$A:$B,2,0),"!COD NO ENCONTRADO"),"")</f>
        <v>MERLUZA EUROPEA/ FINA DIA </v>
      </c>
      <c r="I1181" s="112" t="n">
        <v>10</v>
      </c>
      <c r="J1181" s="105" t="n">
        <v>59.75</v>
      </c>
      <c r="K1181" s="125" t="n">
        <v>3</v>
      </c>
      <c r="L1181" s="80" t="n">
        <f aca="false">IF(AND(J1181&lt;&gt;"",K1181&lt;&gt;""),J1181*K1181,"")</f>
        <v>179.25</v>
      </c>
      <c r="M1181" s="81" t="n">
        <f aca="false">IF(L1181&lt;&gt;"",L1181*1.1,"")</f>
        <v>197.175</v>
      </c>
      <c r="N1181" s="47" t="n">
        <f aca="false">IF(F1181="S",L1181*0.02,0)</f>
        <v>3.585</v>
      </c>
      <c r="O1181" s="82" t="n">
        <f aca="false">IF(L1181&lt;&gt;"",L1181+N1181,"")</f>
        <v>182.835</v>
      </c>
      <c r="P1181" s="47" t="n">
        <f aca="false">IF(O1181&lt;&gt;"",O1181*0.1,"")</f>
        <v>18.2835</v>
      </c>
      <c r="Q1181" s="83" t="n">
        <f aca="false">IF(O1181&lt;&gt;"",O1181+P1181,"")</f>
        <v>201.1185</v>
      </c>
      <c r="R1181" s="84" t="s">
        <v>365</v>
      </c>
    </row>
    <row r="1182" customFormat="false" ht="15" hidden="false" customHeight="true" outlineLevel="0" collapsed="false">
      <c r="A1182" s="103" t="n">
        <v>56170</v>
      </c>
      <c r="B1182" s="73" t="n">
        <v>46235</v>
      </c>
      <c r="C1182" s="86" t="n">
        <v>21348</v>
      </c>
      <c r="D1182" s="87" t="n">
        <v>50163</v>
      </c>
      <c r="E1182" s="52" t="str">
        <f aca="false">IF(D1182&lt;&gt;"",IFERROR(VLOOKUP(D1182,PROVEEDORES!$A:$B,2,0),"!COD NO ENCONTRADO"),"")</f>
        <v>SUBASTAS RIVERA S.L.</v>
      </c>
      <c r="F1182" s="76" t="str">
        <f aca="false">IF(D1182&lt;&gt;"",IFERROR(VLOOKUP(D1182,PROVEEDORES!$A:$C,3,0),""),"")</f>
        <v>S</v>
      </c>
      <c r="G1182" s="75" t="s">
        <v>227</v>
      </c>
      <c r="H1182" s="52" t="str">
        <f aca="false">IF(G1182&lt;&gt;"",IFERROR(VLOOKUP(G1182,PRODUCTOS!$A:$B,2,0),"!COD NO ENCONTRADO"),"")</f>
        <v>MERLUZA EUROPEA PINCHO COSTA 1,5/2</v>
      </c>
      <c r="I1182" s="77" t="n">
        <v>1</v>
      </c>
      <c r="J1182" s="78" t="n">
        <v>14.5</v>
      </c>
      <c r="K1182" s="79" t="n">
        <v>10.6</v>
      </c>
      <c r="L1182" s="80" t="n">
        <f aca="false">IF(AND(J1182&lt;&gt;"",K1182&lt;&gt;""),J1182*K1182,"")</f>
        <v>153.7</v>
      </c>
      <c r="M1182" s="81" t="n">
        <f aca="false">IF(L1182&lt;&gt;"",L1182*1.1,"")</f>
        <v>169.07</v>
      </c>
      <c r="N1182" s="53" t="n">
        <f aca="false">IF(F1182="S",L1182*0.02,0)</f>
        <v>3.074</v>
      </c>
      <c r="O1182" s="82" t="n">
        <f aca="false">IF(L1182&lt;&gt;"",L1182+N1182,"")</f>
        <v>156.774</v>
      </c>
      <c r="P1182" s="53" t="n">
        <f aca="false">IF(O1182&lt;&gt;"",O1182*0.1,"")</f>
        <v>15.6774</v>
      </c>
      <c r="Q1182" s="83" t="n">
        <f aca="false">IF(O1182&lt;&gt;"",O1182+P1182,"")</f>
        <v>172.4514</v>
      </c>
      <c r="R1182" s="84" t="s">
        <v>365</v>
      </c>
    </row>
    <row r="1183" customFormat="false" ht="15" hidden="false" customHeight="true" outlineLevel="0" collapsed="false">
      <c r="A1183" s="103" t="n">
        <v>56170</v>
      </c>
      <c r="B1183" s="73" t="n">
        <v>46235</v>
      </c>
      <c r="C1183" s="86" t="n">
        <v>21348</v>
      </c>
      <c r="D1183" s="87" t="n">
        <v>50163</v>
      </c>
      <c r="E1183" s="46" t="str">
        <f aca="false">IF(D1183&lt;&gt;"",IFERROR(VLOOKUP(D1183,PROVEEDORES!$A:$B,2,0),"!COD NO ENCONTRADO"),"")</f>
        <v>SUBASTAS RIVERA S.L.</v>
      </c>
      <c r="F1183" s="88" t="str">
        <f aca="false">IF(D1183&lt;&gt;"",IFERROR(VLOOKUP(D1183,PROVEEDORES!$A:$C,3,0),""),"")</f>
        <v>S</v>
      </c>
      <c r="G1183" s="87" t="s">
        <v>231</v>
      </c>
      <c r="H1183" s="46" t="str">
        <f aca="false">IF(G1183&lt;&gt;"",IFERROR(VLOOKUP(G1183,PRODUCTOS!$A:$B,2,0),"!COD NO ENCONTRADO"),"")</f>
        <v>MERLUZA EUROPEA PINCHO COSTA 2,5+</v>
      </c>
      <c r="I1183" s="89" t="n">
        <v>3</v>
      </c>
      <c r="J1183" s="90" t="n">
        <v>15.6</v>
      </c>
      <c r="K1183" s="91" t="n">
        <v>13.8</v>
      </c>
      <c r="L1183" s="80" t="n">
        <f aca="false">IF(AND(J1183&lt;&gt;"",K1183&lt;&gt;""),J1183*K1183,"")</f>
        <v>215.28</v>
      </c>
      <c r="M1183" s="81" t="n">
        <f aca="false">IF(L1183&lt;&gt;"",L1183*1.1,"")</f>
        <v>236.808</v>
      </c>
      <c r="N1183" s="47" t="n">
        <f aca="false">IF(F1183="S",L1183*0.02,0)</f>
        <v>4.3056</v>
      </c>
      <c r="O1183" s="82" t="n">
        <f aca="false">IF(L1183&lt;&gt;"",L1183+N1183,"")</f>
        <v>219.5856</v>
      </c>
      <c r="P1183" s="47" t="n">
        <f aca="false">IF(O1183&lt;&gt;"",O1183*0.1,"")</f>
        <v>21.95856</v>
      </c>
      <c r="Q1183" s="83" t="n">
        <f aca="false">IF(O1183&lt;&gt;"",O1183+P1183,"")</f>
        <v>241.54416</v>
      </c>
      <c r="R1183" s="84" t="s">
        <v>365</v>
      </c>
    </row>
    <row r="1184" customFormat="false" ht="15" hidden="false" customHeight="true" outlineLevel="0" collapsed="false">
      <c r="A1184" s="103" t="n">
        <v>56171</v>
      </c>
      <c r="B1184" s="73" t="n">
        <v>46235</v>
      </c>
      <c r="C1184" s="74" t="s">
        <v>554</v>
      </c>
      <c r="D1184" s="75" t="n">
        <v>50048</v>
      </c>
      <c r="E1184" s="52" t="str">
        <f aca="false">IF(D1184&lt;&gt;"",IFERROR(VLOOKUP(D1184,PROVEEDORES!$A:$B,2,0),"!COD NO ENCONTRADO"),"")</f>
        <v>JOSE LUIS CORREA KESSLER S.L.</v>
      </c>
      <c r="F1184" s="76" t="str">
        <f aca="false">IF(D1184&lt;&gt;"",IFERROR(VLOOKUP(D1184,PROVEEDORES!$A:$C,3,0),""),"")</f>
        <v>N</v>
      </c>
      <c r="G1184" s="75" t="s">
        <v>179</v>
      </c>
      <c r="H1184" s="52" t="str">
        <f aca="false">IF(G1184&lt;&gt;"",IFERROR(VLOOKUP(G1184,PRODUCTOS!$A:$B,2,0),"!COD NO ENCONTRADO"),"")</f>
        <v>LIRIO/ BACALADILLA/ PERLA (WHB)</v>
      </c>
      <c r="I1184" s="77" t="n">
        <v>6</v>
      </c>
      <c r="J1184" s="121" t="n">
        <v>24</v>
      </c>
      <c r="K1184" s="125" t="n">
        <v>2.65</v>
      </c>
      <c r="L1184" s="80" t="n">
        <f aca="false">IF(AND(J1184&lt;&gt;"",K1184&lt;&gt;""),J1184*K1184,"")</f>
        <v>63.6</v>
      </c>
      <c r="M1184" s="81" t="n">
        <f aca="false">IF(L1184&lt;&gt;"",L1184*1.1,"")</f>
        <v>69.96</v>
      </c>
      <c r="N1184" s="53" t="n">
        <f aca="false">IF(F1184="S",L1184*0.02,0)</f>
        <v>0</v>
      </c>
      <c r="O1184" s="82" t="n">
        <f aca="false">IF(L1184&lt;&gt;"",L1184+N1184,"")</f>
        <v>63.6</v>
      </c>
      <c r="P1184" s="53" t="n">
        <f aca="false">IF(O1184&lt;&gt;"",O1184*0.1,"")</f>
        <v>6.36</v>
      </c>
      <c r="Q1184" s="83" t="n">
        <f aca="false">IF(O1184&lt;&gt;"",O1184+P1184,"")</f>
        <v>69.96</v>
      </c>
      <c r="R1184" s="84" t="s">
        <v>358</v>
      </c>
    </row>
    <row r="1185" customFormat="false" ht="15" hidden="false" customHeight="true" outlineLevel="0" collapsed="false">
      <c r="A1185" s="103" t="n">
        <v>56172</v>
      </c>
      <c r="B1185" s="85" t="n">
        <v>46237</v>
      </c>
      <c r="C1185" s="86" t="n">
        <v>11230</v>
      </c>
      <c r="D1185" s="87" t="n">
        <v>50001</v>
      </c>
      <c r="E1185" s="46" t="str">
        <f aca="false">IF(D1185&lt;&gt;"",IFERROR(VLOOKUP(D1185,PROVEEDORES!$A:$B,2,0),"!COD NO ENCONTRADO"),"")</f>
        <v>COPESA</v>
      </c>
      <c r="F1185" s="88" t="str">
        <f aca="false">IF(D1185&lt;&gt;"",IFERROR(VLOOKUP(D1185,PROVEEDORES!$A:$C,3,0),""),"")</f>
        <v>S</v>
      </c>
      <c r="G1185" s="87" t="s">
        <v>193</v>
      </c>
      <c r="H1185" s="46" t="str">
        <f aca="false">IF(G1185&lt;&gt;"",IFERROR(VLOOKUP(G1185,PRODUCTOS!$A:$B,2,0),"!COD NO ENCONTRADO"),"")</f>
        <v>MERLUZA EUROPEA ARRASTRE (HKE) </v>
      </c>
      <c r="I1185" s="89" t="n">
        <v>4</v>
      </c>
      <c r="J1185" s="105" t="n">
        <v>54.75</v>
      </c>
      <c r="K1185" s="125" t="n">
        <v>7</v>
      </c>
      <c r="L1185" s="80" t="n">
        <f aca="false">IF(AND(J1185&lt;&gt;"",K1185&lt;&gt;""),J1185*K1185,"")</f>
        <v>383.25</v>
      </c>
      <c r="M1185" s="81" t="n">
        <f aca="false">IF(L1185&lt;&gt;"",L1185*1.1,"")</f>
        <v>421.575</v>
      </c>
      <c r="N1185" s="47" t="n">
        <f aca="false">IF(F1185="S",L1185*0.02,0)</f>
        <v>7.665</v>
      </c>
      <c r="O1185" s="82" t="n">
        <f aca="false">IF(L1185&lt;&gt;"",L1185+N1185,"")</f>
        <v>390.915</v>
      </c>
      <c r="P1185" s="47" t="n">
        <f aca="false">IF(O1185&lt;&gt;"",O1185*0.1,"")</f>
        <v>39.0915</v>
      </c>
      <c r="Q1185" s="83" t="n">
        <f aca="false">IF(O1185&lt;&gt;"",O1185+P1185,"")</f>
        <v>430.0065</v>
      </c>
      <c r="R1185" s="84" t="s">
        <v>358</v>
      </c>
    </row>
    <row r="1186" customFormat="false" ht="15" hidden="false" customHeight="true" outlineLevel="0" collapsed="false">
      <c r="A1186" s="103" t="n">
        <v>56173</v>
      </c>
      <c r="B1186" s="85" t="n">
        <v>46237</v>
      </c>
      <c r="C1186" s="74" t="s">
        <v>555</v>
      </c>
      <c r="D1186" s="75" t="n">
        <v>50010</v>
      </c>
      <c r="E1186" s="52" t="str">
        <f aca="false">IF(D1186&lt;&gt;"",IFERROR(VLOOKUP(D1186,PROVEEDORES!$A:$B,2,0),"!COD NO ENCONTRADO"),"")</f>
        <v>PERFECTO MONTERO</v>
      </c>
      <c r="F1186" s="76" t="str">
        <f aca="false">IF(D1186&lt;&gt;"",IFERROR(VLOOKUP(D1186,PROVEEDORES!$A:$C,3,0),""),"")</f>
        <v>S</v>
      </c>
      <c r="G1186" s="75" t="s">
        <v>91</v>
      </c>
      <c r="H1186" s="52" t="str">
        <f aca="false">IF(G1186&lt;&gt;"",IFERROR(VLOOKUP(G1186,PRODUCTOS!$A:$B,2,0),"!COD NO ENCONTRADO"),"")</f>
        <v>BONITO DEL NORTE 5/7</v>
      </c>
      <c r="I1186" s="77" t="n">
        <v>1</v>
      </c>
      <c r="J1186" s="121" t="n">
        <v>21.25</v>
      </c>
      <c r="K1186" s="141" t="n">
        <v>4.85</v>
      </c>
      <c r="L1186" s="80" t="n">
        <f aca="false">IF(AND(J1186&lt;&gt;"",K1186&lt;&gt;""),J1186*K1186,"")</f>
        <v>103.0625</v>
      </c>
      <c r="M1186" s="81" t="n">
        <f aca="false">IF(L1186&lt;&gt;"",L1186*1.1,"")</f>
        <v>113.36875</v>
      </c>
      <c r="N1186" s="53" t="n">
        <f aca="false">IF(F1186="S",L1186*0.02,0)</f>
        <v>2.06125</v>
      </c>
      <c r="O1186" s="82" t="n">
        <f aca="false">IF(L1186&lt;&gt;"",L1186+N1186,"")</f>
        <v>105.12375</v>
      </c>
      <c r="P1186" s="53" t="n">
        <f aca="false">IF(O1186&lt;&gt;"",O1186*0.1,"")</f>
        <v>10.512375</v>
      </c>
      <c r="Q1186" s="83" t="n">
        <f aca="false">IF(O1186&lt;&gt;"",O1186+P1186,"")</f>
        <v>115.636125</v>
      </c>
      <c r="R1186" s="84" t="s">
        <v>358</v>
      </c>
    </row>
    <row r="1187" customFormat="false" ht="15" hidden="false" customHeight="true" outlineLevel="0" collapsed="false">
      <c r="A1187" s="103" t="n">
        <v>56173</v>
      </c>
      <c r="B1187" s="85" t="n">
        <v>46237</v>
      </c>
      <c r="C1187" s="74" t="s">
        <v>555</v>
      </c>
      <c r="D1187" s="75" t="n">
        <v>50010</v>
      </c>
      <c r="E1187" s="52" t="str">
        <f aca="false">IF(D1187&lt;&gt;"",IFERROR(VLOOKUP(D1187,PROVEEDORES!$A:$B,2,0),"!COD NO ENCONTRADO"),"")</f>
        <v>PERFECTO MONTERO</v>
      </c>
      <c r="F1187" s="88" t="str">
        <f aca="false">IF(D1187&lt;&gt;"",IFERROR(VLOOKUP(D1187,PROVEEDORES!$A:$C,3,0),""),"")</f>
        <v>S</v>
      </c>
      <c r="G1187" s="87" t="s">
        <v>91</v>
      </c>
      <c r="H1187" s="46" t="str">
        <f aca="false">IF(G1187&lt;&gt;"",IFERROR(VLOOKUP(G1187,PRODUCTOS!$A:$B,2,0),"!COD NO ENCONTRADO"),"")</f>
        <v>BONITO DEL NORTE 5/7</v>
      </c>
      <c r="I1187" s="89" t="n">
        <v>3</v>
      </c>
      <c r="J1187" s="90" t="n">
        <v>67.5</v>
      </c>
      <c r="K1187" s="91" t="n">
        <v>5.2</v>
      </c>
      <c r="L1187" s="80" t="n">
        <f aca="false">IF(AND(J1187&lt;&gt;"",K1187&lt;&gt;""),J1187*K1187,"")</f>
        <v>351</v>
      </c>
      <c r="M1187" s="81" t="n">
        <f aca="false">IF(L1187&lt;&gt;"",L1187*1.1,"")</f>
        <v>386.1</v>
      </c>
      <c r="N1187" s="47" t="n">
        <f aca="false">IF(F1187="S",L1187*0.02,0)</f>
        <v>7.02</v>
      </c>
      <c r="O1187" s="82" t="n">
        <f aca="false">IF(L1187&lt;&gt;"",L1187+N1187,"")</f>
        <v>358.02</v>
      </c>
      <c r="P1187" s="47" t="n">
        <f aca="false">IF(O1187&lt;&gt;"",O1187*0.1,"")</f>
        <v>35.802</v>
      </c>
      <c r="Q1187" s="83" t="n">
        <f aca="false">IF(O1187&lt;&gt;"",O1187+P1187,"")</f>
        <v>393.822</v>
      </c>
      <c r="R1187" s="84" t="s">
        <v>358</v>
      </c>
    </row>
    <row r="1188" customFormat="false" ht="15" hidden="false" customHeight="true" outlineLevel="0" collapsed="false">
      <c r="A1188" s="103" t="n">
        <v>56173</v>
      </c>
      <c r="B1188" s="85" t="n">
        <v>46237</v>
      </c>
      <c r="C1188" s="74" t="s">
        <v>555</v>
      </c>
      <c r="D1188" s="75" t="n">
        <v>50010</v>
      </c>
      <c r="E1188" s="52" t="str">
        <f aca="false">IF(D1188&lt;&gt;"",IFERROR(VLOOKUP(D1188,PROVEEDORES!$A:$B,2,0),"!COD NO ENCONTRADO"),"")</f>
        <v>PERFECTO MONTERO</v>
      </c>
      <c r="F1188" s="76" t="str">
        <f aca="false">IF(D1188&lt;&gt;"",IFERROR(VLOOKUP(D1188,PROVEEDORES!$A:$C,3,0),""),"")</f>
        <v>S</v>
      </c>
      <c r="G1188" s="75" t="s">
        <v>91</v>
      </c>
      <c r="H1188" s="52" t="str">
        <f aca="false">IF(G1188&lt;&gt;"",IFERROR(VLOOKUP(G1188,PRODUCTOS!$A:$B,2,0),"!COD NO ENCONTRADO"),"")</f>
        <v>BONITO DEL NORTE 5/7</v>
      </c>
      <c r="I1188" s="77" t="n">
        <v>1</v>
      </c>
      <c r="J1188" s="78" t="n">
        <v>29</v>
      </c>
      <c r="K1188" s="79" t="n">
        <v>5.2</v>
      </c>
      <c r="L1188" s="80" t="n">
        <f aca="false">IF(AND(J1188&lt;&gt;"",K1188&lt;&gt;""),J1188*K1188,"")</f>
        <v>150.8</v>
      </c>
      <c r="M1188" s="81" t="n">
        <f aca="false">IF(L1188&lt;&gt;"",L1188*1.1,"")</f>
        <v>165.88</v>
      </c>
      <c r="N1188" s="53" t="n">
        <f aca="false">IF(F1188="S",L1188*0.02,0)</f>
        <v>3.016</v>
      </c>
      <c r="O1188" s="82" t="n">
        <f aca="false">IF(L1188&lt;&gt;"",L1188+N1188,"")</f>
        <v>153.816</v>
      </c>
      <c r="P1188" s="53" t="n">
        <f aca="false">IF(O1188&lt;&gt;"",O1188*0.1,"")</f>
        <v>15.3816</v>
      </c>
      <c r="Q1188" s="83" t="n">
        <f aca="false">IF(O1188&lt;&gt;"",O1188+P1188,"")</f>
        <v>169.1976</v>
      </c>
      <c r="R1188" s="84" t="s">
        <v>358</v>
      </c>
    </row>
    <row r="1189" customFormat="false" ht="15" hidden="false" customHeight="true" outlineLevel="0" collapsed="false">
      <c r="A1189" s="103" t="n">
        <v>56173</v>
      </c>
      <c r="B1189" s="85" t="n">
        <v>46237</v>
      </c>
      <c r="C1189" s="74" t="s">
        <v>555</v>
      </c>
      <c r="D1189" s="75" t="n">
        <v>50010</v>
      </c>
      <c r="E1189" s="52" t="str">
        <f aca="false">IF(D1189&lt;&gt;"",IFERROR(VLOOKUP(D1189,PROVEEDORES!$A:$B,2,0),"!COD NO ENCONTRADO"),"")</f>
        <v>PERFECTO MONTERO</v>
      </c>
      <c r="F1189" s="88" t="str">
        <f aca="false">IF(D1189&lt;&gt;"",IFERROR(VLOOKUP(D1189,PROVEEDORES!$A:$C,3,0),""),"")</f>
        <v>S</v>
      </c>
      <c r="G1189" s="87" t="s">
        <v>91</v>
      </c>
      <c r="H1189" s="46" t="str">
        <f aca="false">IF(G1189&lt;&gt;"",IFERROR(VLOOKUP(G1189,PRODUCTOS!$A:$B,2,0),"!COD NO ENCONTRADO"),"")</f>
        <v>BONITO DEL NORTE 5/7</v>
      </c>
      <c r="I1189" s="89" t="n">
        <v>2</v>
      </c>
      <c r="J1189" s="90" t="n">
        <v>62.75</v>
      </c>
      <c r="K1189" s="91" t="n">
        <v>5.6</v>
      </c>
      <c r="L1189" s="80" t="n">
        <f aca="false">IF(AND(J1189&lt;&gt;"",K1189&lt;&gt;""),J1189*K1189,"")</f>
        <v>351.4</v>
      </c>
      <c r="M1189" s="81" t="n">
        <f aca="false">IF(L1189&lt;&gt;"",L1189*1.1,"")</f>
        <v>386.54</v>
      </c>
      <c r="N1189" s="47" t="n">
        <f aca="false">IF(F1189="S",L1189*0.02,0)</f>
        <v>7.028</v>
      </c>
      <c r="O1189" s="82" t="n">
        <f aca="false">IF(L1189&lt;&gt;"",L1189+N1189,"")</f>
        <v>358.428</v>
      </c>
      <c r="P1189" s="47" t="n">
        <f aca="false">IF(O1189&lt;&gt;"",O1189*0.1,"")</f>
        <v>35.8428</v>
      </c>
      <c r="Q1189" s="83" t="n">
        <f aca="false">IF(O1189&lt;&gt;"",O1189+P1189,"")</f>
        <v>394.2708</v>
      </c>
      <c r="R1189" s="84" t="s">
        <v>358</v>
      </c>
    </row>
    <row r="1190" customFormat="false" ht="15" hidden="false" customHeight="true" outlineLevel="0" collapsed="false">
      <c r="A1190" s="103" t="n">
        <v>56174</v>
      </c>
      <c r="B1190" s="85" t="n">
        <v>46237</v>
      </c>
      <c r="C1190" s="74" t="s">
        <v>556</v>
      </c>
      <c r="D1190" s="75" t="n">
        <v>50525</v>
      </c>
      <c r="E1190" s="52" t="str">
        <f aca="false">IF(D1190&lt;&gt;"",IFERROR(VLOOKUP(D1190,PROVEEDORES!$A:$B,2,0),"!COD NO ENCONTRADO"),"")</f>
        <v>FURIC MAREE</v>
      </c>
      <c r="F1190" s="76" t="str">
        <f aca="false">IF(D1190&lt;&gt;"",IFERROR(VLOOKUP(D1190,PROVEEDORES!$A:$C,3,0),""),"")</f>
        <v>N</v>
      </c>
      <c r="G1190" s="75" t="s">
        <v>256</v>
      </c>
      <c r="H1190" s="52" t="str">
        <f aca="false">IF(G1190&lt;&gt;"",IFERROR(VLOOKUP(G1190,PRODUCTOS!$A:$B,2,0),"!COD NO ENCONTRADO"),"")</f>
        <v>MERO AMERICANO/ CHERNA (WRF)</v>
      </c>
      <c r="I1190" s="77" t="n">
        <v>5</v>
      </c>
      <c r="J1190" s="78" t="n">
        <v>31.4</v>
      </c>
      <c r="K1190" s="79" t="n">
        <v>25.5</v>
      </c>
      <c r="L1190" s="80" t="n">
        <f aca="false">IF(AND(J1190&lt;&gt;"",K1190&lt;&gt;""),J1190*K1190,"")</f>
        <v>800.7</v>
      </c>
      <c r="M1190" s="81" t="n">
        <f aca="false">IF(L1190&lt;&gt;"",L1190*1.1,"")</f>
        <v>880.77</v>
      </c>
      <c r="N1190" s="53" t="n">
        <f aca="false">IF(F1190="S",L1190*0.02,0)</f>
        <v>0</v>
      </c>
      <c r="O1190" s="82" t="n">
        <f aca="false">IF(L1190&lt;&gt;"",L1190+N1190,"")</f>
        <v>800.7</v>
      </c>
      <c r="P1190" s="53" t="n">
        <f aca="false">IF(O1190&lt;&gt;"",O1190*0.1,"")</f>
        <v>80.07</v>
      </c>
      <c r="Q1190" s="83" t="n">
        <f aca="false">IF(O1190&lt;&gt;"",O1190+P1190,"")</f>
        <v>880.77</v>
      </c>
      <c r="R1190" s="84" t="s">
        <v>365</v>
      </c>
    </row>
    <row r="1191" customFormat="false" ht="15" hidden="false" customHeight="true" outlineLevel="0" collapsed="false">
      <c r="A1191" s="103" t="n">
        <v>56174</v>
      </c>
      <c r="B1191" s="85" t="n">
        <v>46237</v>
      </c>
      <c r="C1191" s="86" t="s">
        <v>556</v>
      </c>
      <c r="D1191" s="87" t="n">
        <v>50525</v>
      </c>
      <c r="E1191" s="46" t="str">
        <f aca="false">IF(D1191&lt;&gt;"",IFERROR(VLOOKUP(D1191,PROVEEDORES!$A:$B,2,0),"!COD NO ENCONTRADO"),"")</f>
        <v>FURIC MAREE</v>
      </c>
      <c r="F1191" s="88" t="str">
        <f aca="false">IF(D1191&lt;&gt;"",IFERROR(VLOOKUP(D1191,PROVEEDORES!$A:$C,3,0),""),"")</f>
        <v>N</v>
      </c>
      <c r="G1191" s="87" t="s">
        <v>318</v>
      </c>
      <c r="H1191" s="46" t="str">
        <f aca="false">IF(G1191&lt;&gt;"",IFERROR(VLOOKUP(G1191,PRODUCTOS!$A:$B,2,0),"!COD NO ENCONTRADO"),"")</f>
        <v>SAN MARTIÑOS/ SAN PEDROS (JOD)</v>
      </c>
      <c r="I1191" s="89" t="n">
        <v>2</v>
      </c>
      <c r="J1191" s="90" t="n">
        <v>12.2</v>
      </c>
      <c r="K1191" s="91" t="n">
        <v>25</v>
      </c>
      <c r="L1191" s="80" t="n">
        <f aca="false">IF(AND(J1191&lt;&gt;"",K1191&lt;&gt;""),J1191*K1191,"")</f>
        <v>305</v>
      </c>
      <c r="M1191" s="81" t="n">
        <f aca="false">IF(L1191&lt;&gt;"",L1191*1.1,"")</f>
        <v>335.5</v>
      </c>
      <c r="N1191" s="47" t="n">
        <f aca="false">IF(F1191="S",L1191*0.02,0)</f>
        <v>0</v>
      </c>
      <c r="O1191" s="82" t="n">
        <f aca="false">IF(L1191&lt;&gt;"",L1191+N1191,"")</f>
        <v>305</v>
      </c>
      <c r="P1191" s="47" t="n">
        <f aca="false">IF(O1191&lt;&gt;"",O1191*0.1,"")</f>
        <v>30.5</v>
      </c>
      <c r="Q1191" s="83" t="n">
        <f aca="false">IF(O1191&lt;&gt;"",O1191+P1191,"")</f>
        <v>335.5</v>
      </c>
      <c r="R1191" s="84" t="s">
        <v>365</v>
      </c>
    </row>
    <row r="1192" customFormat="false" ht="15" hidden="false" customHeight="true" outlineLevel="0" collapsed="false">
      <c r="A1192" s="103" t="n">
        <v>56175</v>
      </c>
      <c r="B1192" s="85" t="n">
        <v>46237</v>
      </c>
      <c r="C1192" s="74" t="s">
        <v>557</v>
      </c>
      <c r="D1192" s="75" t="n">
        <v>50526</v>
      </c>
      <c r="E1192" s="52" t="str">
        <f aca="false">IF(D1192&lt;&gt;"",IFERROR(VLOOKUP(D1192,PROVEEDORES!$A:$B,2,0),"!COD NO ENCONTRADO"),"")</f>
        <v>BARROS PESCAGALICIA, S.L.</v>
      </c>
      <c r="F1192" s="76" t="str">
        <f aca="false">IF(D1192&lt;&gt;"",IFERROR(VLOOKUP(D1192,PROVEEDORES!$A:$C,3,0),""),"")</f>
        <v>N</v>
      </c>
      <c r="G1192" s="75" t="s">
        <v>290</v>
      </c>
      <c r="H1192" s="52" t="str">
        <f aca="false">IF(G1192&lt;&gt;"",IFERROR(VLOOKUP(G1192,PRODUCTOS!$A:$B,2,0),"!COD NO ENCONTRADO"),"")</f>
        <v>HUESOS DE RAPE (MON)</v>
      </c>
      <c r="I1192" s="77" t="n">
        <v>1</v>
      </c>
      <c r="J1192" s="78" t="n">
        <v>18</v>
      </c>
      <c r="K1192" s="79" t="n">
        <v>4.5</v>
      </c>
      <c r="L1192" s="80" t="n">
        <f aca="false">IF(AND(J1192&lt;&gt;"",K1192&lt;&gt;""),J1192*K1192,"")</f>
        <v>81</v>
      </c>
      <c r="M1192" s="81" t="n">
        <f aca="false">IF(L1192&lt;&gt;"",L1192*1.1,"")</f>
        <v>89.1</v>
      </c>
      <c r="N1192" s="53" t="n">
        <f aca="false">IF(F1192="S",L1192*0.02,0)</f>
        <v>0</v>
      </c>
      <c r="O1192" s="82" t="n">
        <f aca="false">IF(L1192&lt;&gt;"",L1192+N1192,"")</f>
        <v>81</v>
      </c>
      <c r="P1192" s="53" t="n">
        <f aca="false">IF(O1192&lt;&gt;"",O1192*0.1,"")</f>
        <v>8.1</v>
      </c>
      <c r="Q1192" s="83" t="n">
        <f aca="false">IF(O1192&lt;&gt;"",O1192+P1192,"")</f>
        <v>89.1</v>
      </c>
      <c r="R1192" s="84" t="s">
        <v>365</v>
      </c>
    </row>
    <row r="1193" customFormat="false" ht="15" hidden="false" customHeight="true" outlineLevel="0" collapsed="false">
      <c r="A1193" s="103" t="n">
        <v>56175</v>
      </c>
      <c r="B1193" s="85" t="n">
        <v>46237</v>
      </c>
      <c r="C1193" s="74" t="s">
        <v>557</v>
      </c>
      <c r="D1193" s="75" t="n">
        <v>50526</v>
      </c>
      <c r="E1193" s="46" t="str">
        <f aca="false">IF(D1193&lt;&gt;"",IFERROR(VLOOKUP(D1193,PROVEEDORES!$A:$B,2,0),"!COD NO ENCONTRADO"),"")</f>
        <v>BARROS PESCAGALICIA, S.L.</v>
      </c>
      <c r="F1193" s="88" t="str">
        <f aca="false">IF(D1193&lt;&gt;"",IFERROR(VLOOKUP(D1193,PROVEEDORES!$A:$C,3,0),""),"")</f>
        <v>N</v>
      </c>
      <c r="G1193" s="87" t="s">
        <v>290</v>
      </c>
      <c r="H1193" s="46" t="str">
        <f aca="false">IF(G1193&lt;&gt;"",IFERROR(VLOOKUP(G1193,PRODUCTOS!$A:$B,2,0),"!COD NO ENCONTRADO"),"")</f>
        <v>HUESOS DE RAPE (MON)</v>
      </c>
      <c r="I1193" s="89" t="n">
        <v>1</v>
      </c>
      <c r="J1193" s="90" t="n">
        <v>15</v>
      </c>
      <c r="K1193" s="91" t="n">
        <v>3.5</v>
      </c>
      <c r="L1193" s="80" t="n">
        <f aca="false">IF(AND(J1193&lt;&gt;"",K1193&lt;&gt;""),J1193*K1193,"")</f>
        <v>52.5</v>
      </c>
      <c r="M1193" s="81" t="n">
        <f aca="false">IF(L1193&lt;&gt;"",L1193*1.1,"")</f>
        <v>57.75</v>
      </c>
      <c r="N1193" s="47" t="n">
        <f aca="false">IF(F1193="S",L1193*0.02,0)</f>
        <v>0</v>
      </c>
      <c r="O1193" s="82" t="n">
        <f aca="false">IF(L1193&lt;&gt;"",L1193+N1193,"")</f>
        <v>52.5</v>
      </c>
      <c r="P1193" s="47" t="n">
        <f aca="false">IF(O1193&lt;&gt;"",O1193*0.1,"")</f>
        <v>5.25</v>
      </c>
      <c r="Q1193" s="83" t="n">
        <f aca="false">IF(O1193&lt;&gt;"",O1193+P1193,"")</f>
        <v>57.75</v>
      </c>
      <c r="R1193" s="84" t="s">
        <v>365</v>
      </c>
    </row>
    <row r="1194" customFormat="false" ht="15" hidden="false" customHeight="true" outlineLevel="0" collapsed="false">
      <c r="A1194" s="103" t="n">
        <v>56175</v>
      </c>
      <c r="B1194" s="85" t="n">
        <v>46237</v>
      </c>
      <c r="C1194" s="74" t="s">
        <v>557</v>
      </c>
      <c r="D1194" s="75" t="n">
        <v>50526</v>
      </c>
      <c r="E1194" s="52" t="str">
        <f aca="false">IF(D1194&lt;&gt;"",IFERROR(VLOOKUP(D1194,PROVEEDORES!$A:$B,2,0),"!COD NO ENCONTRADO"),"")</f>
        <v>BARROS PESCAGALICIA, S.L.</v>
      </c>
      <c r="F1194" s="76" t="str">
        <f aca="false">IF(D1194&lt;&gt;"",IFERROR(VLOOKUP(D1194,PROVEEDORES!$A:$C,3,0),""),"")</f>
        <v>N</v>
      </c>
      <c r="G1194" s="75" t="s">
        <v>290</v>
      </c>
      <c r="H1194" s="52" t="str">
        <f aca="false">IF(G1194&lt;&gt;"",IFERROR(VLOOKUP(G1194,PRODUCTOS!$A:$B,2,0),"!COD NO ENCONTRADO"),"")</f>
        <v>HUESOS DE RAPE (MON)</v>
      </c>
      <c r="I1194" s="77" t="n">
        <v>1</v>
      </c>
      <c r="J1194" s="78" t="n">
        <v>6</v>
      </c>
      <c r="K1194" s="79" t="n">
        <v>2.5</v>
      </c>
      <c r="L1194" s="80" t="n">
        <f aca="false">IF(AND(J1194&lt;&gt;"",K1194&lt;&gt;""),J1194*K1194,"")</f>
        <v>15</v>
      </c>
      <c r="M1194" s="81" t="n">
        <f aca="false">IF(L1194&lt;&gt;"",L1194*1.1,"")</f>
        <v>16.5</v>
      </c>
      <c r="N1194" s="53" t="n">
        <f aca="false">IF(F1194="S",L1194*0.02,0)</f>
        <v>0</v>
      </c>
      <c r="O1194" s="82" t="n">
        <f aca="false">IF(L1194&lt;&gt;"",L1194+N1194,"")</f>
        <v>15</v>
      </c>
      <c r="P1194" s="53" t="n">
        <f aca="false">IF(O1194&lt;&gt;"",O1194*0.1,"")</f>
        <v>1.5</v>
      </c>
      <c r="Q1194" s="83" t="n">
        <f aca="false">IF(O1194&lt;&gt;"",O1194+P1194,"")</f>
        <v>16.5</v>
      </c>
      <c r="R1194" s="84" t="s">
        <v>365</v>
      </c>
    </row>
    <row r="1195" customFormat="false" ht="15" hidden="false" customHeight="true" outlineLevel="0" collapsed="false">
      <c r="A1195" s="103" t="n">
        <v>56176</v>
      </c>
      <c r="B1195" s="85" t="n">
        <v>46237</v>
      </c>
      <c r="C1195" s="86" t="s">
        <v>558</v>
      </c>
      <c r="D1195" s="87" t="n">
        <v>50164</v>
      </c>
      <c r="E1195" s="46" t="str">
        <f aca="false">IF(D1195&lt;&gt;"",IFERROR(VLOOKUP(D1195,PROVEEDORES!$A:$B,2,0),"!COD NO ENCONTRADO"),"")</f>
        <v>ABRGO NORTE S.L.</v>
      </c>
      <c r="F1195" s="88" t="str">
        <f aca="false">IF(D1195&lt;&gt;"",IFERROR(VLOOKUP(D1195,PROVEEDORES!$A:$C,3,0),""),"")</f>
        <v>N</v>
      </c>
      <c r="G1195" s="87" t="s">
        <v>302</v>
      </c>
      <c r="H1195" s="46" t="str">
        <f aca="false">IF(G1195&lt;&gt;"",IFERROR(VLOOKUP(G1195,PRODUCTOS!$A:$B,2,0),"!COD NO ENCONTRADO"),"")</f>
        <v>RAYA COMUN (ALAS)</v>
      </c>
      <c r="I1195" s="89" t="n">
        <v>1</v>
      </c>
      <c r="J1195" s="90" t="n">
        <v>20</v>
      </c>
      <c r="K1195" s="91" t="n">
        <v>8</v>
      </c>
      <c r="L1195" s="80" t="n">
        <f aca="false">IF(AND(J1195&lt;&gt;"",K1195&lt;&gt;""),J1195*K1195,"")</f>
        <v>160</v>
      </c>
      <c r="M1195" s="81" t="n">
        <f aca="false">IF(L1195&lt;&gt;"",L1195*1.1,"")</f>
        <v>176</v>
      </c>
      <c r="N1195" s="47" t="n">
        <f aca="false">IF(F1195="S",L1195*0.02,0)</f>
        <v>0</v>
      </c>
      <c r="O1195" s="82" t="n">
        <f aca="false">IF(L1195&lt;&gt;"",L1195+N1195,"")</f>
        <v>160</v>
      </c>
      <c r="P1195" s="47" t="n">
        <f aca="false">IF(O1195&lt;&gt;"",O1195*0.1,"")</f>
        <v>16</v>
      </c>
      <c r="Q1195" s="83" t="n">
        <f aca="false">IF(O1195&lt;&gt;"",O1195+P1195,"")</f>
        <v>176</v>
      </c>
      <c r="R1195" s="84" t="s">
        <v>365</v>
      </c>
    </row>
    <row r="1196" customFormat="false" ht="15" hidden="false" customHeight="true" outlineLevel="0" collapsed="false">
      <c r="A1196" s="103" t="n">
        <v>56176</v>
      </c>
      <c r="B1196" s="73" t="n">
        <v>46237</v>
      </c>
      <c r="C1196" s="74" t="s">
        <v>558</v>
      </c>
      <c r="D1196" s="75" t="n">
        <v>50164</v>
      </c>
      <c r="E1196" s="52" t="str">
        <f aca="false">IF(D1196&lt;&gt;"",IFERROR(VLOOKUP(D1196,PROVEEDORES!$A:$B,2,0),"!COD NO ENCONTRADO"),"")</f>
        <v>ABRGO NORTE S.L.</v>
      </c>
      <c r="F1196" s="76" t="str">
        <f aca="false">IF(D1196&lt;&gt;"",IFERROR(VLOOKUP(D1196,PROVEEDORES!$A:$C,3,0),""),"")</f>
        <v>N</v>
      </c>
      <c r="G1196" s="75" t="s">
        <v>302</v>
      </c>
      <c r="H1196" s="52" t="str">
        <f aca="false">IF(G1196&lt;&gt;"",IFERROR(VLOOKUP(G1196,PRODUCTOS!$A:$B,2,0),"!COD NO ENCONTRADO"),"")</f>
        <v>RAYA COMUN (ALAS)</v>
      </c>
      <c r="I1196" s="77" t="n">
        <v>1</v>
      </c>
      <c r="J1196" s="78" t="n">
        <v>9</v>
      </c>
      <c r="K1196" s="79" t="n">
        <v>8</v>
      </c>
      <c r="L1196" s="80" t="n">
        <f aca="false">IF(AND(J1196&lt;&gt;"",K1196&lt;&gt;""),J1196*K1196,"")</f>
        <v>72</v>
      </c>
      <c r="M1196" s="81" t="n">
        <f aca="false">IF(L1196&lt;&gt;"",L1196*1.1,"")</f>
        <v>79.2</v>
      </c>
      <c r="N1196" s="53" t="n">
        <f aca="false">IF(F1196="S",L1196*0.02,0)</f>
        <v>0</v>
      </c>
      <c r="O1196" s="82" t="n">
        <f aca="false">IF(L1196&lt;&gt;"",L1196+N1196,"")</f>
        <v>72</v>
      </c>
      <c r="P1196" s="53" t="n">
        <f aca="false">IF(O1196&lt;&gt;"",O1196*0.1,"")</f>
        <v>7.2</v>
      </c>
      <c r="Q1196" s="83" t="n">
        <f aca="false">IF(O1196&lt;&gt;"",O1196+P1196,"")</f>
        <v>79.2</v>
      </c>
      <c r="R1196" s="84" t="s">
        <v>365</v>
      </c>
    </row>
    <row r="1197" customFormat="false" ht="15" hidden="false" customHeight="true" outlineLevel="0" collapsed="false">
      <c r="A1197" s="103" t="n">
        <v>56177</v>
      </c>
      <c r="B1197" s="85" t="n">
        <v>46237</v>
      </c>
      <c r="C1197" s="86" t="s">
        <v>559</v>
      </c>
      <c r="D1197" s="87" t="n">
        <v>50048</v>
      </c>
      <c r="E1197" s="46" t="str">
        <f aca="false">IF(D1197&lt;&gt;"",IFERROR(VLOOKUP(D1197,PROVEEDORES!$A:$B,2,0),"!COD NO ENCONTRADO"),"")</f>
        <v>JOSE LUIS CORREA KESSLER S.L.</v>
      </c>
      <c r="F1197" s="88" t="str">
        <f aca="false">IF(D1197&lt;&gt;"",IFERROR(VLOOKUP(D1197,PROVEEDORES!$A:$C,3,0),""),"")</f>
        <v>N</v>
      </c>
      <c r="G1197" s="87" t="s">
        <v>179</v>
      </c>
      <c r="H1197" s="46" t="str">
        <f aca="false">IF(G1197&lt;&gt;"",IFERROR(VLOOKUP(G1197,PRODUCTOS!$A:$B,2,0),"!COD NO ENCONTRADO"),"")</f>
        <v>LIRIO/ BACALADILLA/ PERLA (WHB)</v>
      </c>
      <c r="I1197" s="89" t="n">
        <v>16</v>
      </c>
      <c r="J1197" s="90" t="n">
        <v>96</v>
      </c>
      <c r="K1197" s="91" t="n">
        <v>2.95</v>
      </c>
      <c r="L1197" s="80" t="n">
        <f aca="false">IF(AND(J1197&lt;&gt;"",K1197&lt;&gt;""),J1197*K1197,"")</f>
        <v>283.2</v>
      </c>
      <c r="M1197" s="81" t="n">
        <f aca="false">IF(L1197&lt;&gt;"",L1197*1.1,"")</f>
        <v>311.52</v>
      </c>
      <c r="N1197" s="47" t="n">
        <f aca="false">IF(F1197="S",L1197*0.02,0)</f>
        <v>0</v>
      </c>
      <c r="O1197" s="82" t="n">
        <f aca="false">IF(L1197&lt;&gt;"",L1197+N1197,"")</f>
        <v>283.2</v>
      </c>
      <c r="P1197" s="47" t="n">
        <f aca="false">IF(O1197&lt;&gt;"",O1197*0.1,"")</f>
        <v>28.32</v>
      </c>
      <c r="Q1197" s="83" t="n">
        <f aca="false">IF(O1197&lt;&gt;"",O1197+P1197,"")</f>
        <v>311.52</v>
      </c>
      <c r="R1197" s="84" t="s">
        <v>365</v>
      </c>
    </row>
    <row r="1198" customFormat="false" ht="15" hidden="false" customHeight="true" outlineLevel="0" collapsed="false">
      <c r="A1198" s="103" t="n">
        <v>56178</v>
      </c>
      <c r="B1198" s="73" t="n">
        <v>46237</v>
      </c>
      <c r="C1198" s="74" t="s">
        <v>560</v>
      </c>
      <c r="D1198" s="75" t="n">
        <v>50035</v>
      </c>
      <c r="E1198" s="52" t="str">
        <f aca="false">IF(D1198&lt;&gt;"",IFERROR(VLOOKUP(D1198,PROVEEDORES!$A:$B,2,0),"!COD NO ENCONTRADO"),"")</f>
        <v>SCANFISK SEAFFOD S,L</v>
      </c>
      <c r="F1198" s="76" t="str">
        <f aca="false">IF(D1198&lt;&gt;"",IFERROR(VLOOKUP(D1198,PROVEEDORES!$A:$C,3,0),""),"")</f>
        <v>N</v>
      </c>
      <c r="G1198" s="75" t="s">
        <v>246</v>
      </c>
      <c r="H1198" s="52" t="str">
        <f aca="false">IF(G1198&lt;&gt;"",IFERROR(VLOOKUP(G1198,PRODUCTOS!$A:$B,2,0),"!COD NO ENCONTRADO"),"")</f>
        <v>MERLUZA EUROPEA VOLANTA ALTURA</v>
      </c>
      <c r="I1198" s="77" t="n">
        <v>4</v>
      </c>
      <c r="J1198" s="78" t="n">
        <v>60.6</v>
      </c>
      <c r="K1198" s="79" t="n">
        <v>7.8</v>
      </c>
      <c r="L1198" s="80" t="n">
        <f aca="false">IF(AND(J1198&lt;&gt;"",K1198&lt;&gt;""),J1198*K1198,"")</f>
        <v>472.68</v>
      </c>
      <c r="M1198" s="81" t="n">
        <f aca="false">IF(L1198&lt;&gt;"",L1198*1.1,"")</f>
        <v>519.948</v>
      </c>
      <c r="N1198" s="53" t="n">
        <f aca="false">IF(F1198="S",L1198*0.02,0)</f>
        <v>0</v>
      </c>
      <c r="O1198" s="82" t="n">
        <f aca="false">IF(L1198&lt;&gt;"",L1198+N1198,"")</f>
        <v>472.68</v>
      </c>
      <c r="P1198" s="53" t="n">
        <f aca="false">IF(O1198&lt;&gt;"",O1198*0.1,"")</f>
        <v>47.268</v>
      </c>
      <c r="Q1198" s="83" t="n">
        <f aca="false">IF(O1198&lt;&gt;"",O1198+P1198,"")</f>
        <v>519.948</v>
      </c>
      <c r="R1198" s="84" t="s">
        <v>365</v>
      </c>
    </row>
    <row r="1199" customFormat="false" ht="15" hidden="false" customHeight="true" outlineLevel="0" collapsed="false">
      <c r="A1199" s="103" t="n">
        <v>56178</v>
      </c>
      <c r="B1199" s="73" t="n">
        <v>46237</v>
      </c>
      <c r="C1199" s="86" t="s">
        <v>561</v>
      </c>
      <c r="D1199" s="87" t="n">
        <v>50035</v>
      </c>
      <c r="E1199" s="46" t="str">
        <f aca="false">IF(D1199&lt;&gt;"",IFERROR(VLOOKUP(D1199,PROVEEDORES!$A:$B,2,0),"!COD NO ENCONTRADO"),"")</f>
        <v>SCANFISK SEAFFOD S,L</v>
      </c>
      <c r="F1199" s="88" t="str">
        <f aca="false">IF(D1199&lt;&gt;"",IFERROR(VLOOKUP(D1199,PROVEEDORES!$A:$C,3,0),""),"")</f>
        <v>N</v>
      </c>
      <c r="G1199" s="87" t="s">
        <v>246</v>
      </c>
      <c r="H1199" s="46" t="str">
        <f aca="false">IF(G1199&lt;&gt;"",IFERROR(VLOOKUP(G1199,PRODUCTOS!$A:$B,2,0),"!COD NO ENCONTRADO"),"")</f>
        <v>MERLUZA EUROPEA VOLANTA ALTURA</v>
      </c>
      <c r="I1199" s="89" t="n">
        <v>1</v>
      </c>
      <c r="J1199" s="90" t="n">
        <v>15.9</v>
      </c>
      <c r="K1199" s="91" t="n">
        <v>6.4</v>
      </c>
      <c r="L1199" s="80" t="n">
        <f aca="false">IF(AND(J1199&lt;&gt;"",K1199&lt;&gt;""),J1199*K1199,"")</f>
        <v>101.76</v>
      </c>
      <c r="M1199" s="81" t="n">
        <f aca="false">IF(L1199&lt;&gt;"",L1199*1.1,"")</f>
        <v>111.936</v>
      </c>
      <c r="N1199" s="47" t="n">
        <f aca="false">IF(F1199="S",L1199*0.02,0)</f>
        <v>0</v>
      </c>
      <c r="O1199" s="82" t="n">
        <f aca="false">IF(L1199&lt;&gt;"",L1199+N1199,"")</f>
        <v>101.76</v>
      </c>
      <c r="P1199" s="47" t="n">
        <f aca="false">IF(O1199&lt;&gt;"",O1199*0.1,"")</f>
        <v>10.176</v>
      </c>
      <c r="Q1199" s="83" t="n">
        <f aca="false">IF(O1199&lt;&gt;"",O1199+P1199,"")</f>
        <v>111.936</v>
      </c>
      <c r="R1199" s="84" t="s">
        <v>365</v>
      </c>
    </row>
    <row r="1200" customFormat="false" ht="15" hidden="false" customHeight="true" outlineLevel="0" collapsed="false">
      <c r="A1200" s="103" t="n">
        <v>56178</v>
      </c>
      <c r="B1200" s="73" t="n">
        <v>46237</v>
      </c>
      <c r="C1200" s="74" t="s">
        <v>562</v>
      </c>
      <c r="D1200" s="75" t="n">
        <v>50035</v>
      </c>
      <c r="E1200" s="52" t="str">
        <f aca="false">IF(D1200&lt;&gt;"",IFERROR(VLOOKUP(D1200,PROVEEDORES!$A:$B,2,0),"!COD NO ENCONTRADO"),"")</f>
        <v>SCANFISK SEAFFOD S,L</v>
      </c>
      <c r="F1200" s="76" t="str">
        <f aca="false">IF(D1200&lt;&gt;"",IFERROR(VLOOKUP(D1200,PROVEEDORES!$A:$C,3,0),""),"")</f>
        <v>N</v>
      </c>
      <c r="G1200" s="75" t="s">
        <v>367</v>
      </c>
      <c r="H1200" s="52" t="str">
        <f aca="false">IF(G1200&lt;&gt;"",IFERROR(VLOOKUP(G1200,PRODUCTOS!$A:$B,2,0),"!COD NO ENCONTRADO"),"")</f>
        <v>MERLUZA BAKA DIA</v>
      </c>
      <c r="I1200" s="77" t="n">
        <v>5</v>
      </c>
      <c r="J1200" s="78" t="n">
        <v>31.9</v>
      </c>
      <c r="K1200" s="79" t="n">
        <v>4.8</v>
      </c>
      <c r="L1200" s="80" t="n">
        <f aca="false">IF(AND(J1200&lt;&gt;"",K1200&lt;&gt;""),J1200*K1200,"")</f>
        <v>153.12</v>
      </c>
      <c r="M1200" s="81" t="n">
        <f aca="false">IF(L1200&lt;&gt;"",L1200*1.1,"")</f>
        <v>168.432</v>
      </c>
      <c r="N1200" s="53" t="n">
        <f aca="false">IF(F1200="S",L1200*0.02,0)</f>
        <v>0</v>
      </c>
      <c r="O1200" s="82" t="n">
        <f aca="false">IF(L1200&lt;&gt;"",L1200+N1200,"")</f>
        <v>153.12</v>
      </c>
      <c r="P1200" s="53" t="n">
        <f aca="false">IF(O1200&lt;&gt;"",O1200*0.1,"")</f>
        <v>15.312</v>
      </c>
      <c r="Q1200" s="83" t="n">
        <f aca="false">IF(O1200&lt;&gt;"",O1200+P1200,"")</f>
        <v>168.432</v>
      </c>
      <c r="R1200" s="84" t="s">
        <v>365</v>
      </c>
    </row>
    <row r="1201" customFormat="false" ht="15" hidden="false" customHeight="true" outlineLevel="0" collapsed="false">
      <c r="A1201" s="103" t="n">
        <v>56178</v>
      </c>
      <c r="B1201" s="85" t="n">
        <v>46237</v>
      </c>
      <c r="C1201" s="86" t="s">
        <v>562</v>
      </c>
      <c r="D1201" s="87" t="n">
        <v>50035</v>
      </c>
      <c r="E1201" s="46" t="str">
        <f aca="false">IF(D1201&lt;&gt;"",IFERROR(VLOOKUP(D1201,PROVEEDORES!$A:$B,2,0),"!COD NO ENCONTRADO"),"")</f>
        <v>SCANFISK SEAFFOD S,L</v>
      </c>
      <c r="F1201" s="88" t="str">
        <f aca="false">IF(D1201&lt;&gt;"",IFERROR(VLOOKUP(D1201,PROVEEDORES!$A:$C,3,0),""),"")</f>
        <v>N</v>
      </c>
      <c r="G1201" s="87" t="s">
        <v>246</v>
      </c>
      <c r="H1201" s="46" t="str">
        <f aca="false">IF(G1201&lt;&gt;"",IFERROR(VLOOKUP(G1201,PRODUCTOS!$A:$B,2,0),"!COD NO ENCONTRADO"),"")</f>
        <v>MERLUZA EUROPEA VOLANTA ALTURA</v>
      </c>
      <c r="I1201" s="89" t="n">
        <v>1</v>
      </c>
      <c r="J1201" s="90" t="n">
        <v>17</v>
      </c>
      <c r="K1201" s="91" t="n">
        <v>8.6</v>
      </c>
      <c r="L1201" s="80" t="n">
        <f aca="false">IF(AND(J1201&lt;&gt;"",K1201&lt;&gt;""),J1201*K1201,"")</f>
        <v>146.2</v>
      </c>
      <c r="M1201" s="81" t="n">
        <f aca="false">IF(L1201&lt;&gt;"",L1201*1.1,"")</f>
        <v>160.82</v>
      </c>
      <c r="N1201" s="47" t="n">
        <f aca="false">IF(F1201="S",L1201*0.02,0)</f>
        <v>0</v>
      </c>
      <c r="O1201" s="82" t="n">
        <f aca="false">IF(L1201&lt;&gt;"",L1201+N1201,"")</f>
        <v>146.2</v>
      </c>
      <c r="P1201" s="47" t="n">
        <f aca="false">IF(O1201&lt;&gt;"",O1201*0.1,"")</f>
        <v>14.62</v>
      </c>
      <c r="Q1201" s="83" t="n">
        <f aca="false">IF(O1201&lt;&gt;"",O1201+P1201,"")</f>
        <v>160.82</v>
      </c>
      <c r="R1201" s="84" t="s">
        <v>365</v>
      </c>
    </row>
    <row r="1202" customFormat="false" ht="15" hidden="false" customHeight="true" outlineLevel="0" collapsed="false">
      <c r="A1202" s="103" t="n">
        <v>56179</v>
      </c>
      <c r="B1202" s="73" t="n">
        <v>46238</v>
      </c>
      <c r="C1202" s="74" t="s">
        <v>563</v>
      </c>
      <c r="D1202" s="75" t="n">
        <v>50232</v>
      </c>
      <c r="E1202" s="52" t="str">
        <f aca="false">IF(D1202&lt;&gt;"",IFERROR(VLOOKUP(D1202,PROVEEDORES!$A:$B,2,0),"!COD NO ENCONTRADO"),"")</f>
        <v>XESTION NOVA LONXA RIVEIRA S.L.</v>
      </c>
      <c r="F1202" s="76" t="str">
        <f aca="false">IF(D1202&lt;&gt;"",IFERROR(VLOOKUP(D1202,PROVEEDORES!$A:$C,3,0),""),"")</f>
        <v>S</v>
      </c>
      <c r="G1202" s="75" t="s">
        <v>296</v>
      </c>
      <c r="H1202" s="52" t="str">
        <f aca="false">IF(G1202&lt;&gt;"",IFERROR(VLOOKUP(G1202,PRODUCTOS!$A:$B,2,0),"!COD NO ENCONTRADO"),"")</f>
        <v>RAPE NEGRO (ANK)</v>
      </c>
      <c r="I1202" s="77" t="n">
        <v>2</v>
      </c>
      <c r="J1202" s="78" t="n">
        <v>13.9</v>
      </c>
      <c r="K1202" s="79" t="n">
        <v>4</v>
      </c>
      <c r="L1202" s="80" t="n">
        <f aca="false">IF(AND(J1202&lt;&gt;"",K1202&lt;&gt;""),J1202*K1202,"")</f>
        <v>55.6</v>
      </c>
      <c r="M1202" s="81" t="n">
        <f aca="false">IF(L1202&lt;&gt;"",L1202*1.1,"")</f>
        <v>61.16</v>
      </c>
      <c r="N1202" s="53" t="n">
        <f aca="false">IF(F1202="S",L1202*0.02,0)</f>
        <v>1.112</v>
      </c>
      <c r="O1202" s="82" t="n">
        <f aca="false">IF(L1202&lt;&gt;"",L1202+N1202,"")</f>
        <v>56.712</v>
      </c>
      <c r="P1202" s="53" t="n">
        <f aca="false">IF(O1202&lt;&gt;"",O1202*0.1,"")</f>
        <v>5.6712</v>
      </c>
      <c r="Q1202" s="83" t="n">
        <f aca="false">IF(O1202&lt;&gt;"",O1202+P1202,"")</f>
        <v>62.3832</v>
      </c>
      <c r="R1202" s="84" t="s">
        <v>365</v>
      </c>
    </row>
    <row r="1203" customFormat="false" ht="15" hidden="false" customHeight="true" outlineLevel="0" collapsed="false">
      <c r="A1203" s="103" t="n">
        <v>56179</v>
      </c>
      <c r="B1203" s="85" t="n">
        <v>46238</v>
      </c>
      <c r="C1203" s="74" t="s">
        <v>563</v>
      </c>
      <c r="D1203" s="87" t="n">
        <v>50232</v>
      </c>
      <c r="E1203" s="46" t="str">
        <f aca="false">IF(D1203&lt;&gt;"",IFERROR(VLOOKUP(D1203,PROVEEDORES!$A:$B,2,0),"!COD NO ENCONTRADO"),"")</f>
        <v>XESTION NOVA LONXA RIVEIRA S.L.</v>
      </c>
      <c r="F1203" s="88" t="str">
        <f aca="false">IF(D1203&lt;&gt;"",IFERROR(VLOOKUP(D1203,PROVEEDORES!$A:$C,3,0),""),"")</f>
        <v>S</v>
      </c>
      <c r="G1203" s="87" t="s">
        <v>310</v>
      </c>
      <c r="H1203" s="46" t="str">
        <f aca="false">IF(G1203&lt;&gt;"",IFERROR(VLOOKUP(G1203,PRODUCTOS!$A:$B,2,0),"!COD NO ENCONTRADO"),"")</f>
        <v>SABOGA/ SALEMA/ SALMA (SLM)</v>
      </c>
      <c r="I1203" s="89" t="n">
        <v>5</v>
      </c>
      <c r="J1203" s="90" t="n">
        <v>47.8</v>
      </c>
      <c r="K1203" s="91" t="n">
        <v>0.8</v>
      </c>
      <c r="L1203" s="80" t="n">
        <f aca="false">IF(AND(J1203&lt;&gt;"",K1203&lt;&gt;""),J1203*K1203,"")</f>
        <v>38.24</v>
      </c>
      <c r="M1203" s="81" t="n">
        <f aca="false">IF(L1203&lt;&gt;"",L1203*1.1,"")</f>
        <v>42.064</v>
      </c>
      <c r="N1203" s="47" t="n">
        <f aca="false">IF(F1203="S",L1203*0.02,0)</f>
        <v>0.7648</v>
      </c>
      <c r="O1203" s="82" t="n">
        <f aca="false">IF(L1203&lt;&gt;"",L1203+N1203,"")</f>
        <v>39.0048</v>
      </c>
      <c r="P1203" s="47" t="n">
        <f aca="false">IF(O1203&lt;&gt;"",O1203*0.1,"")</f>
        <v>3.90048</v>
      </c>
      <c r="Q1203" s="83" t="n">
        <f aca="false">IF(O1203&lt;&gt;"",O1203+P1203,"")</f>
        <v>42.90528</v>
      </c>
      <c r="R1203" s="84" t="s">
        <v>365</v>
      </c>
    </row>
    <row r="1204" customFormat="false" ht="15" hidden="false" customHeight="true" outlineLevel="0" collapsed="false">
      <c r="A1204" s="103" t="n">
        <v>56180</v>
      </c>
      <c r="B1204" s="85" t="n">
        <v>46238</v>
      </c>
      <c r="C1204" s="74" t="n">
        <v>11283</v>
      </c>
      <c r="D1204" s="75" t="n">
        <v>50001</v>
      </c>
      <c r="E1204" s="52" t="str">
        <f aca="false">IF(D1204&lt;&gt;"",IFERROR(VLOOKUP(D1204,PROVEEDORES!$A:$B,2,0),"!COD NO ENCONTRADO"),"")</f>
        <v>COPESA</v>
      </c>
      <c r="F1204" s="76" t="str">
        <f aca="false">IF(D1204&lt;&gt;"",IFERROR(VLOOKUP(D1204,PROVEEDORES!$A:$C,3,0),""),"")</f>
        <v>S</v>
      </c>
      <c r="G1204" s="75" t="s">
        <v>91</v>
      </c>
      <c r="H1204" s="52" t="str">
        <f aca="false">IF(G1204&lt;&gt;"",IFERROR(VLOOKUP(G1204,PRODUCTOS!$A:$B,2,0),"!COD NO ENCONTRADO"),"")</f>
        <v>BONITO DEL NORTE 5/7</v>
      </c>
      <c r="I1204" s="77" t="n">
        <v>4</v>
      </c>
      <c r="J1204" s="105" t="n">
        <v>184</v>
      </c>
      <c r="K1204" s="125" t="n">
        <v>4</v>
      </c>
      <c r="L1204" s="80" t="n">
        <f aca="false">IF(AND(J1204&lt;&gt;"",K1204&lt;&gt;""),J1204*K1204,"")</f>
        <v>736</v>
      </c>
      <c r="M1204" s="81" t="n">
        <f aca="false">IF(L1204&lt;&gt;"",L1204*1.1,"")</f>
        <v>809.6</v>
      </c>
      <c r="N1204" s="53" t="n">
        <f aca="false">IF(F1204="S",L1204*0.02,0)</f>
        <v>14.72</v>
      </c>
      <c r="O1204" s="82" t="n">
        <f aca="false">IF(L1204&lt;&gt;"",L1204+N1204,"")</f>
        <v>750.72</v>
      </c>
      <c r="P1204" s="53" t="n">
        <f aca="false">IF(O1204&lt;&gt;"",O1204*0.1,"")</f>
        <v>75.072</v>
      </c>
      <c r="Q1204" s="83" t="n">
        <f aca="false">IF(O1204&lt;&gt;"",O1204+P1204,"")</f>
        <v>825.792</v>
      </c>
      <c r="R1204" s="84" t="s">
        <v>365</v>
      </c>
    </row>
    <row r="1205" customFormat="false" ht="15" hidden="false" customHeight="true" outlineLevel="0" collapsed="false">
      <c r="A1205" s="103" t="n">
        <v>56180</v>
      </c>
      <c r="B1205" s="85" t="n">
        <v>46238</v>
      </c>
      <c r="C1205" s="74" t="n">
        <v>11283</v>
      </c>
      <c r="D1205" s="75" t="n">
        <v>50001</v>
      </c>
      <c r="E1205" s="46" t="str">
        <f aca="false">IF(D1205&lt;&gt;"",IFERROR(VLOOKUP(D1205,PROVEEDORES!$A:$B,2,0),"!COD NO ENCONTRADO"),"")</f>
        <v>COPESA</v>
      </c>
      <c r="F1205" s="88" t="str">
        <f aca="false">IF(D1205&lt;&gt;"",IFERROR(VLOOKUP(D1205,PROVEEDORES!$A:$C,3,0),""),"")</f>
        <v>S</v>
      </c>
      <c r="G1205" s="75" t="s">
        <v>91</v>
      </c>
      <c r="H1205" s="46" t="str">
        <f aca="false">IF(G1205&lt;&gt;"",IFERROR(VLOOKUP(G1205,PRODUCTOS!$A:$B,2,0),"!COD NO ENCONTRADO"),"")</f>
        <v>BONITO DEL NORTE 5/7</v>
      </c>
      <c r="I1205" s="89" t="n">
        <v>13</v>
      </c>
      <c r="J1205" s="105" t="n">
        <v>362.5</v>
      </c>
      <c r="K1205" s="125" t="n">
        <v>4.1</v>
      </c>
      <c r="L1205" s="80" t="n">
        <f aca="false">IF(AND(J1205&lt;&gt;"",K1205&lt;&gt;""),J1205*K1205,"")</f>
        <v>1486.25</v>
      </c>
      <c r="M1205" s="81" t="n">
        <f aca="false">IF(L1205&lt;&gt;"",L1205*1.1,"")</f>
        <v>1634.875</v>
      </c>
      <c r="N1205" s="47" t="n">
        <f aca="false">IF(F1205="S",L1205*0.02,0)</f>
        <v>29.725</v>
      </c>
      <c r="O1205" s="82" t="n">
        <f aca="false">IF(L1205&lt;&gt;"",L1205+N1205,"")</f>
        <v>1515.975</v>
      </c>
      <c r="P1205" s="47" t="n">
        <f aca="false">IF(O1205&lt;&gt;"",O1205*0.1,"")</f>
        <v>151.5975</v>
      </c>
      <c r="Q1205" s="83" t="n">
        <f aca="false">IF(O1205&lt;&gt;"",O1205+P1205,"")</f>
        <v>1667.5725</v>
      </c>
      <c r="R1205" s="84" t="s">
        <v>365</v>
      </c>
    </row>
    <row r="1206" customFormat="false" ht="15" hidden="false" customHeight="true" outlineLevel="0" collapsed="false">
      <c r="A1206" s="103" t="n">
        <v>56180</v>
      </c>
      <c r="B1206" s="85" t="n">
        <v>46238</v>
      </c>
      <c r="C1206" s="74" t="n">
        <v>11283</v>
      </c>
      <c r="D1206" s="75" t="n">
        <v>50001</v>
      </c>
      <c r="E1206" s="52" t="str">
        <f aca="false">IF(D1206&lt;&gt;"",IFERROR(VLOOKUP(D1206,PROVEEDORES!$A:$B,2,0),"!COD NO ENCONTRADO"),"")</f>
        <v>COPESA</v>
      </c>
      <c r="F1206" s="76" t="str">
        <f aca="false">IF(D1206&lt;&gt;"",IFERROR(VLOOKUP(D1206,PROVEEDORES!$A:$C,3,0),""),"")</f>
        <v>S</v>
      </c>
      <c r="G1206" s="75" t="s">
        <v>292</v>
      </c>
      <c r="H1206" s="52" t="str">
        <f aca="false">IF(G1206&lt;&gt;"",IFERROR(VLOOKUP(G1206,PRODUCTOS!$A:$B,2,0),"!COD NO ENCONTRADO"),"")</f>
        <v>RAPE BLANCO RASCO (MON)</v>
      </c>
      <c r="I1206" s="77" t="n">
        <v>3</v>
      </c>
      <c r="J1206" s="105" t="n">
        <v>173</v>
      </c>
      <c r="K1206" s="125" t="n">
        <v>6.7</v>
      </c>
      <c r="L1206" s="80" t="n">
        <f aca="false">IF(AND(J1206&lt;&gt;"",K1206&lt;&gt;""),J1206*K1206,"")</f>
        <v>1159.1</v>
      </c>
      <c r="M1206" s="81" t="n">
        <f aca="false">IF(L1206&lt;&gt;"",L1206*1.1,"")</f>
        <v>1275.01</v>
      </c>
      <c r="N1206" s="53" t="n">
        <f aca="false">IF(F1206="S",L1206*0.02,0)</f>
        <v>23.182</v>
      </c>
      <c r="O1206" s="82" t="n">
        <f aca="false">IF(L1206&lt;&gt;"",L1206+N1206,"")</f>
        <v>1182.282</v>
      </c>
      <c r="P1206" s="53" t="n">
        <f aca="false">IF(O1206&lt;&gt;"",O1206*0.1,"")</f>
        <v>118.2282</v>
      </c>
      <c r="Q1206" s="83" t="n">
        <f aca="false">IF(O1206&lt;&gt;"",O1206+P1206,"")</f>
        <v>1300.5102</v>
      </c>
      <c r="R1206" s="84" t="s">
        <v>365</v>
      </c>
    </row>
    <row r="1207" customFormat="false" ht="15" hidden="false" customHeight="true" outlineLevel="0" collapsed="false">
      <c r="A1207" s="103" t="n">
        <v>56180</v>
      </c>
      <c r="B1207" s="85" t="n">
        <v>46238</v>
      </c>
      <c r="C1207" s="74" t="n">
        <v>11283</v>
      </c>
      <c r="D1207" s="75" t="n">
        <v>50001</v>
      </c>
      <c r="E1207" s="46" t="str">
        <f aca="false">IF(D1207&lt;&gt;"",IFERROR(VLOOKUP(D1207,PROVEEDORES!$A:$B,2,0),"!COD NO ENCONTRADO"),"")</f>
        <v>COPESA</v>
      </c>
      <c r="F1207" s="88" t="str">
        <f aca="false">IF(D1207&lt;&gt;"",IFERROR(VLOOKUP(D1207,PROVEEDORES!$A:$C,3,0),""),"")</f>
        <v>S</v>
      </c>
      <c r="G1207" s="75" t="s">
        <v>292</v>
      </c>
      <c r="H1207" s="46" t="str">
        <f aca="false">IF(G1207&lt;&gt;"",IFERROR(VLOOKUP(G1207,PRODUCTOS!$A:$B,2,0),"!COD NO ENCONTRADO"),"")</f>
        <v>RAPE BLANCO RASCO (MON)</v>
      </c>
      <c r="I1207" s="89" t="n">
        <v>2</v>
      </c>
      <c r="J1207" s="105" t="n">
        <v>111.75</v>
      </c>
      <c r="K1207" s="125" t="n">
        <v>6.5</v>
      </c>
      <c r="L1207" s="80" t="n">
        <f aca="false">IF(AND(J1207&lt;&gt;"",K1207&lt;&gt;""),J1207*K1207,"")</f>
        <v>726.375</v>
      </c>
      <c r="M1207" s="81" t="n">
        <f aca="false">IF(L1207&lt;&gt;"",L1207*1.1,"")</f>
        <v>799.0125</v>
      </c>
      <c r="N1207" s="47" t="n">
        <f aca="false">IF(F1207="S",L1207*0.02,0)</f>
        <v>14.5275</v>
      </c>
      <c r="O1207" s="82" t="n">
        <f aca="false">IF(L1207&lt;&gt;"",L1207+N1207,"")</f>
        <v>740.9025</v>
      </c>
      <c r="P1207" s="47" t="n">
        <f aca="false">IF(O1207&lt;&gt;"",O1207*0.1,"")</f>
        <v>74.09025</v>
      </c>
      <c r="Q1207" s="83" t="n">
        <f aca="false">IF(O1207&lt;&gt;"",O1207+P1207,"")</f>
        <v>814.99275</v>
      </c>
      <c r="R1207" s="84" t="s">
        <v>365</v>
      </c>
    </row>
    <row r="1208" customFormat="false" ht="15" hidden="false" customHeight="true" outlineLevel="0" collapsed="false">
      <c r="A1208" s="103" t="n">
        <v>56180</v>
      </c>
      <c r="B1208" s="85" t="n">
        <v>46238</v>
      </c>
      <c r="C1208" s="74" t="n">
        <v>11283</v>
      </c>
      <c r="D1208" s="75" t="n">
        <v>50001</v>
      </c>
      <c r="E1208" s="52" t="str">
        <f aca="false">IF(D1208&lt;&gt;"",IFERROR(VLOOKUP(D1208,PROVEEDORES!$A:$B,2,0),"!COD NO ENCONTRADO"),"")</f>
        <v>COPESA</v>
      </c>
      <c r="F1208" s="76" t="str">
        <f aca="false">IF(D1208&lt;&gt;"",IFERROR(VLOOKUP(D1208,PROVEEDORES!$A:$C,3,0),""),"")</f>
        <v>S</v>
      </c>
      <c r="G1208" s="75" t="s">
        <v>292</v>
      </c>
      <c r="H1208" s="52" t="str">
        <f aca="false">IF(G1208&lt;&gt;"",IFERROR(VLOOKUP(G1208,PRODUCTOS!$A:$B,2,0),"!COD NO ENCONTRADO"),"")</f>
        <v>RAPE BLANCO RASCO (MON)</v>
      </c>
      <c r="I1208" s="77" t="n">
        <v>4</v>
      </c>
      <c r="J1208" s="105" t="n">
        <v>250.25</v>
      </c>
      <c r="K1208" s="125" t="n">
        <v>6.6</v>
      </c>
      <c r="L1208" s="80" t="n">
        <f aca="false">IF(AND(J1208&lt;&gt;"",K1208&lt;&gt;""),J1208*K1208,"")</f>
        <v>1651.65</v>
      </c>
      <c r="M1208" s="81" t="n">
        <f aca="false">IF(L1208&lt;&gt;"",L1208*1.1,"")</f>
        <v>1816.815</v>
      </c>
      <c r="N1208" s="53" t="n">
        <f aca="false">IF(F1208="S",L1208*0.02,0)</f>
        <v>33.033</v>
      </c>
      <c r="O1208" s="82" t="n">
        <f aca="false">IF(L1208&lt;&gt;"",L1208+N1208,"")</f>
        <v>1684.683</v>
      </c>
      <c r="P1208" s="53" t="n">
        <f aca="false">IF(O1208&lt;&gt;"",O1208*0.1,"")</f>
        <v>168.4683</v>
      </c>
      <c r="Q1208" s="83" t="n">
        <f aca="false">IF(O1208&lt;&gt;"",O1208+P1208,"")</f>
        <v>1853.1513</v>
      </c>
      <c r="R1208" s="84" t="s">
        <v>365</v>
      </c>
    </row>
    <row r="1209" customFormat="false" ht="15" hidden="false" customHeight="true" outlineLevel="0" collapsed="false">
      <c r="A1209" s="103" t="n">
        <v>56180</v>
      </c>
      <c r="B1209" s="85" t="n">
        <v>46238</v>
      </c>
      <c r="C1209" s="74" t="n">
        <v>11283</v>
      </c>
      <c r="D1209" s="75" t="n">
        <v>50001</v>
      </c>
      <c r="E1209" s="46" t="str">
        <f aca="false">IF(D1209&lt;&gt;"",IFERROR(VLOOKUP(D1209,PROVEEDORES!$A:$B,2,0),"!COD NO ENCONTRADO"),"")</f>
        <v>COPESA</v>
      </c>
      <c r="F1209" s="88" t="str">
        <f aca="false">IF(D1209&lt;&gt;"",IFERROR(VLOOKUP(D1209,PROVEEDORES!$A:$C,3,0),""),"")</f>
        <v>S</v>
      </c>
      <c r="G1209" s="87" t="s">
        <v>292</v>
      </c>
      <c r="H1209" s="46" t="str">
        <f aca="false">IF(G1209&lt;&gt;"",IFERROR(VLOOKUP(G1209,PRODUCTOS!$A:$B,2,0),"!COD NO ENCONTRADO"),"")</f>
        <v>RAPE BLANCO RASCO (MON)</v>
      </c>
      <c r="I1209" s="89" t="n">
        <v>3</v>
      </c>
      <c r="J1209" s="105" t="n">
        <v>184.5</v>
      </c>
      <c r="K1209" s="125" t="n">
        <v>6.6</v>
      </c>
      <c r="L1209" s="80" t="n">
        <f aca="false">IF(AND(J1209&lt;&gt;"",K1209&lt;&gt;""),J1209*K1209,"")</f>
        <v>1217.7</v>
      </c>
      <c r="M1209" s="81" t="n">
        <f aca="false">IF(L1209&lt;&gt;"",L1209*1.1,"")</f>
        <v>1339.47</v>
      </c>
      <c r="N1209" s="47" t="n">
        <f aca="false">IF(F1209="S",L1209*0.02,0)</f>
        <v>24.354</v>
      </c>
      <c r="O1209" s="82" t="n">
        <f aca="false">IF(L1209&lt;&gt;"",L1209+N1209,"")</f>
        <v>1242.054</v>
      </c>
      <c r="P1209" s="47" t="n">
        <f aca="false">IF(O1209&lt;&gt;"",O1209*0.1,"")</f>
        <v>124.2054</v>
      </c>
      <c r="Q1209" s="83" t="n">
        <f aca="false">IF(O1209&lt;&gt;"",O1209+P1209,"")</f>
        <v>1366.2594</v>
      </c>
      <c r="R1209" s="84" t="s">
        <v>365</v>
      </c>
    </row>
    <row r="1210" customFormat="false" ht="15" hidden="false" customHeight="true" outlineLevel="0" collapsed="false">
      <c r="A1210" s="103" t="n">
        <v>56180</v>
      </c>
      <c r="B1210" s="85" t="n">
        <v>46238</v>
      </c>
      <c r="C1210" s="74" t="n">
        <v>11283</v>
      </c>
      <c r="D1210" s="75" t="n">
        <v>50001</v>
      </c>
      <c r="E1210" s="52" t="str">
        <f aca="false">IF(D1210&lt;&gt;"",IFERROR(VLOOKUP(D1210,PROVEEDORES!$A:$B,2,0),"!COD NO ENCONTRADO"),"")</f>
        <v>COPESA</v>
      </c>
      <c r="F1210" s="76" t="str">
        <f aca="false">IF(D1210&lt;&gt;"",IFERROR(VLOOKUP(D1210,PROVEEDORES!$A:$C,3,0),""),"")</f>
        <v>S</v>
      </c>
      <c r="G1210" s="75" t="s">
        <v>292</v>
      </c>
      <c r="H1210" s="52" t="str">
        <f aca="false">IF(G1210&lt;&gt;"",IFERROR(VLOOKUP(G1210,PRODUCTOS!$A:$B,2,0),"!COD NO ENCONTRADO"),"")</f>
        <v>RAPE BLANCO RASCO (MON)</v>
      </c>
      <c r="I1210" s="77" t="n">
        <v>2</v>
      </c>
      <c r="J1210" s="105" t="n">
        <v>17.75</v>
      </c>
      <c r="K1210" s="125" t="n">
        <v>7.3</v>
      </c>
      <c r="L1210" s="80" t="n">
        <f aca="false">IF(AND(J1210&lt;&gt;"",K1210&lt;&gt;""),J1210*K1210,"")</f>
        <v>129.575</v>
      </c>
      <c r="M1210" s="81" t="n">
        <f aca="false">IF(L1210&lt;&gt;"",L1210*1.1,"")</f>
        <v>142.5325</v>
      </c>
      <c r="N1210" s="53" t="n">
        <f aca="false">IF(F1210="S",L1210*0.02,0)</f>
        <v>2.5915</v>
      </c>
      <c r="O1210" s="82" t="n">
        <f aca="false">IF(L1210&lt;&gt;"",L1210+N1210,"")</f>
        <v>132.1665</v>
      </c>
      <c r="P1210" s="53" t="n">
        <f aca="false">IF(O1210&lt;&gt;"",O1210*0.1,"")</f>
        <v>13.21665</v>
      </c>
      <c r="Q1210" s="83" t="n">
        <f aca="false">IF(O1210&lt;&gt;"",O1210+P1210,"")</f>
        <v>145.38315</v>
      </c>
      <c r="R1210" s="84" t="s">
        <v>365</v>
      </c>
    </row>
    <row r="1211" customFormat="false" ht="15" hidden="false" customHeight="true" outlineLevel="0" collapsed="false">
      <c r="A1211" s="103" t="n">
        <v>56181</v>
      </c>
      <c r="B1211" s="85" t="n">
        <v>46238</v>
      </c>
      <c r="C1211" s="86" t="s">
        <v>564</v>
      </c>
      <c r="D1211" s="75" t="n">
        <v>50010</v>
      </c>
      <c r="E1211" s="46" t="str">
        <f aca="false">IF(D1211&lt;&gt;"",IFERROR(VLOOKUP(D1211,PROVEEDORES!$A:$B,2,0),"!COD NO ENCONTRADO"),"")</f>
        <v>PERFECTO MONTERO</v>
      </c>
      <c r="F1211" s="88" t="str">
        <f aca="false">IF(D1211&lt;&gt;"",IFERROR(VLOOKUP(D1211,PROVEEDORES!$A:$C,3,0),""),"")</f>
        <v>S</v>
      </c>
      <c r="G1211" s="87" t="s">
        <v>135</v>
      </c>
      <c r="H1211" s="46" t="str">
        <f aca="false">IF(G1211&lt;&gt;"",IFERROR(VLOOKUP(G1211,PRODUCTOS!$A:$B,2,0),"!COD NO ENCONTRADO"),"")</f>
        <v>CONGRIO 10+  (COE)</v>
      </c>
      <c r="I1211" s="89" t="n">
        <v>2</v>
      </c>
      <c r="J1211" s="90" t="n">
        <v>31</v>
      </c>
      <c r="K1211" s="91" t="n">
        <v>4.5</v>
      </c>
      <c r="L1211" s="80" t="n">
        <f aca="false">IF(AND(J1211&lt;&gt;"",K1211&lt;&gt;""),J1211*K1211,"")</f>
        <v>139.5</v>
      </c>
      <c r="M1211" s="81" t="n">
        <f aca="false">IF(L1211&lt;&gt;"",L1211*1.1,"")</f>
        <v>153.45</v>
      </c>
      <c r="N1211" s="47" t="n">
        <f aca="false">IF(F1211="S",L1211*0.02,0)</f>
        <v>2.79</v>
      </c>
      <c r="O1211" s="82" t="n">
        <f aca="false">IF(L1211&lt;&gt;"",L1211+N1211,"")</f>
        <v>142.29</v>
      </c>
      <c r="P1211" s="47" t="n">
        <f aca="false">IF(O1211&lt;&gt;"",O1211*0.1,"")</f>
        <v>14.229</v>
      </c>
      <c r="Q1211" s="83" t="n">
        <f aca="false">IF(O1211&lt;&gt;"",O1211+P1211,"")</f>
        <v>156.519</v>
      </c>
      <c r="R1211" s="84" t="s">
        <v>365</v>
      </c>
    </row>
    <row r="1212" customFormat="false" ht="15" hidden="false" customHeight="true" outlineLevel="0" collapsed="false">
      <c r="A1212" s="103" t="n">
        <v>56181</v>
      </c>
      <c r="B1212" s="85" t="n">
        <v>46238</v>
      </c>
      <c r="C1212" s="74" t="s">
        <v>564</v>
      </c>
      <c r="D1212" s="75" t="n">
        <v>50010</v>
      </c>
      <c r="E1212" s="52" t="str">
        <f aca="false">IF(D1212&lt;&gt;"",IFERROR(VLOOKUP(D1212,PROVEEDORES!$A:$B,2,0),"!COD NO ENCONTRADO"),"")</f>
        <v>PERFECTO MONTERO</v>
      </c>
      <c r="F1212" s="76" t="str">
        <f aca="false">IF(D1212&lt;&gt;"",IFERROR(VLOOKUP(D1212,PROVEEDORES!$A:$C,3,0),""),"")</f>
        <v>S</v>
      </c>
      <c r="G1212" s="75" t="s">
        <v>103</v>
      </c>
      <c r="H1212" s="52" t="str">
        <f aca="false">IF(G1212&lt;&gt;"",IFERROR(VLOOKUP(G1212,PRODUCTOS!$A:$B,2,0),"!COD NO ENCONTRADO"),"")</f>
        <v>CABRAS/ GALLINETA (BRF)</v>
      </c>
      <c r="I1212" s="77" t="n">
        <v>1</v>
      </c>
      <c r="J1212" s="78" t="n">
        <v>1.25</v>
      </c>
      <c r="K1212" s="79" t="n">
        <v>10</v>
      </c>
      <c r="L1212" s="80" t="n">
        <f aca="false">IF(AND(J1212&lt;&gt;"",K1212&lt;&gt;""),J1212*K1212,"")</f>
        <v>12.5</v>
      </c>
      <c r="M1212" s="81" t="n">
        <f aca="false">IF(L1212&lt;&gt;"",L1212*1.1,"")</f>
        <v>13.75</v>
      </c>
      <c r="N1212" s="53" t="n">
        <f aca="false">IF(F1212="S",L1212*0.02,0)</f>
        <v>0.25</v>
      </c>
      <c r="O1212" s="82" t="n">
        <f aca="false">IF(L1212&lt;&gt;"",L1212+N1212,"")</f>
        <v>12.75</v>
      </c>
      <c r="P1212" s="53" t="n">
        <f aca="false">IF(O1212&lt;&gt;"",O1212*0.1,"")</f>
        <v>1.275</v>
      </c>
      <c r="Q1212" s="83" t="n">
        <f aca="false">IF(O1212&lt;&gt;"",O1212+P1212,"")</f>
        <v>14.025</v>
      </c>
      <c r="R1212" s="84" t="s">
        <v>365</v>
      </c>
    </row>
    <row r="1213" customFormat="false" ht="15" hidden="false" customHeight="true" outlineLevel="0" collapsed="false">
      <c r="A1213" s="103" t="n">
        <v>56182</v>
      </c>
      <c r="B1213" s="85" t="n">
        <v>46238</v>
      </c>
      <c r="C1213" s="86" t="n">
        <v>9202</v>
      </c>
      <c r="D1213" s="87" t="n">
        <v>50069</v>
      </c>
      <c r="E1213" s="46" t="str">
        <f aca="false">IF(D1213&lt;&gt;"",IFERROR(VLOOKUP(D1213,PROVEEDORES!$A:$B,2,0),"!COD NO ENCONTRADO"),"")</f>
        <v>PESCADOS ILLANES S.L.</v>
      </c>
      <c r="F1213" s="88" t="str">
        <f aca="false">IF(D1213&lt;&gt;"",IFERROR(VLOOKUP(D1213,PROVEEDORES!$A:$C,3,0),""),"")</f>
        <v>S</v>
      </c>
      <c r="G1213" s="87" t="s">
        <v>276</v>
      </c>
      <c r="H1213" s="46" t="str">
        <f aca="false">IF(G1213&lt;&gt;"",IFERROR(VLOOKUP(G1213,PRODUCTOS!$A:$B,2,0),"!COD NO ENCONTRADO"),"")</f>
        <v>MERLUZA EUROPEA/ FINA DIA </v>
      </c>
      <c r="I1213" s="89" t="n">
        <v>2</v>
      </c>
      <c r="J1213" s="90" t="n">
        <v>24.75</v>
      </c>
      <c r="K1213" s="91" t="n">
        <v>2.3</v>
      </c>
      <c r="L1213" s="80" t="n">
        <f aca="false">IF(AND(J1213&lt;&gt;"",K1213&lt;&gt;""),J1213*K1213,"")</f>
        <v>56.925</v>
      </c>
      <c r="M1213" s="81" t="n">
        <f aca="false">IF(L1213&lt;&gt;"",L1213*1.1,"")</f>
        <v>62.6175</v>
      </c>
      <c r="N1213" s="47" t="n">
        <f aca="false">IF(F1213="S",L1213*0.02,0)</f>
        <v>1.1385</v>
      </c>
      <c r="O1213" s="82" t="n">
        <f aca="false">IF(L1213&lt;&gt;"",L1213+N1213,"")</f>
        <v>58.0635</v>
      </c>
      <c r="P1213" s="47" t="n">
        <f aca="false">IF(O1213&lt;&gt;"",O1213*0.1,"")</f>
        <v>5.80635</v>
      </c>
      <c r="Q1213" s="83" t="n">
        <f aca="false">IF(O1213&lt;&gt;"",O1213+P1213,"")</f>
        <v>63.86985</v>
      </c>
      <c r="R1213" s="84" t="s">
        <v>358</v>
      </c>
    </row>
    <row r="1214" customFormat="false" ht="15" hidden="false" customHeight="true" outlineLevel="0" collapsed="false">
      <c r="A1214" s="103" t="n">
        <v>56182</v>
      </c>
      <c r="B1214" s="85" t="n">
        <v>46238</v>
      </c>
      <c r="C1214" s="74" t="n">
        <v>9202</v>
      </c>
      <c r="D1214" s="75" t="n">
        <v>50069</v>
      </c>
      <c r="E1214" s="52" t="str">
        <f aca="false">IF(D1214&lt;&gt;"",IFERROR(VLOOKUP(D1214,PROVEEDORES!$A:$B,2,0),"!COD NO ENCONTRADO"),"")</f>
        <v>PESCADOS ILLANES S.L.</v>
      </c>
      <c r="F1214" s="76" t="str">
        <f aca="false">IF(D1214&lt;&gt;"",IFERROR(VLOOKUP(D1214,PROVEEDORES!$A:$C,3,0),""),"")</f>
        <v>S</v>
      </c>
      <c r="G1214" s="75" t="s">
        <v>276</v>
      </c>
      <c r="H1214" s="52" t="str">
        <f aca="false">IF(G1214&lt;&gt;"",IFERROR(VLOOKUP(G1214,PRODUCTOS!$A:$B,2,0),"!COD NO ENCONTRADO"),"")</f>
        <v>MERLUZA EUROPEA/ FINA DIA </v>
      </c>
      <c r="I1214" s="77" t="n">
        <v>3</v>
      </c>
      <c r="J1214" s="78" t="n">
        <v>40.75</v>
      </c>
      <c r="K1214" s="79" t="n">
        <v>2.7</v>
      </c>
      <c r="L1214" s="80" t="n">
        <f aca="false">IF(AND(J1214&lt;&gt;"",K1214&lt;&gt;""),J1214*K1214,"")</f>
        <v>110.025</v>
      </c>
      <c r="M1214" s="81" t="n">
        <f aca="false">IF(L1214&lt;&gt;"",L1214*1.1,"")</f>
        <v>121.0275</v>
      </c>
      <c r="N1214" s="53" t="n">
        <f aca="false">IF(F1214="S",L1214*0.02,0)</f>
        <v>2.2005</v>
      </c>
      <c r="O1214" s="82" t="n">
        <f aca="false">IF(L1214&lt;&gt;"",L1214+N1214,"")</f>
        <v>112.2255</v>
      </c>
      <c r="P1214" s="53" t="n">
        <f aca="false">IF(O1214&lt;&gt;"",O1214*0.1,"")</f>
        <v>11.22255</v>
      </c>
      <c r="Q1214" s="83" t="n">
        <f aca="false">IF(O1214&lt;&gt;"",O1214+P1214,"")</f>
        <v>123.44805</v>
      </c>
      <c r="R1214" s="84" t="s">
        <v>358</v>
      </c>
    </row>
    <row r="1215" customFormat="false" ht="15" hidden="false" customHeight="true" outlineLevel="0" collapsed="false">
      <c r="A1215" s="103" t="n">
        <v>56182</v>
      </c>
      <c r="B1215" s="85" t="n">
        <v>46238</v>
      </c>
      <c r="C1215" s="74" t="n">
        <v>9202</v>
      </c>
      <c r="D1215" s="75" t="n">
        <v>50069</v>
      </c>
      <c r="E1215" s="52" t="str">
        <f aca="false">IF(D1215&lt;&gt;"",IFERROR(VLOOKUP(D1215,PROVEEDORES!$A:$B,2,0),"!COD NO ENCONTRADO"),"")</f>
        <v>PESCADOS ILLANES S.L.</v>
      </c>
      <c r="F1215" s="76" t="str">
        <f aca="false">IF(D1215&lt;&gt;"",IFERROR(VLOOKUP(D1215,PROVEEDORES!$A:$C,3,0),""),"")</f>
        <v>S</v>
      </c>
      <c r="G1215" s="75" t="s">
        <v>133</v>
      </c>
      <c r="H1215" s="46" t="str">
        <f aca="false">IF(G1215&lt;&gt;"",IFERROR(VLOOKUP(G1215,PRODUCTOS!$A:$B,2,0),"!COD NO ENCONTRADO"),"")</f>
        <v>CINTAS/ PEZ CINTA (CBC)</v>
      </c>
      <c r="I1215" s="89" t="n">
        <v>2</v>
      </c>
      <c r="J1215" s="90" t="n">
        <v>10</v>
      </c>
      <c r="K1215" s="91" t="n">
        <v>2.5</v>
      </c>
      <c r="L1215" s="80" t="n">
        <f aca="false">IF(AND(J1215&lt;&gt;"",K1215&lt;&gt;""),J1215*K1215,"")</f>
        <v>25</v>
      </c>
      <c r="M1215" s="81" t="n">
        <f aca="false">IF(L1215&lt;&gt;"",L1215*1.1,"")</f>
        <v>27.5</v>
      </c>
      <c r="N1215" s="47" t="n">
        <f aca="false">IF(F1215="S",L1215*0.02,0)</f>
        <v>0.5</v>
      </c>
      <c r="O1215" s="82" t="n">
        <f aca="false">IF(L1215&lt;&gt;"",L1215+N1215,"")</f>
        <v>25.5</v>
      </c>
      <c r="P1215" s="47" t="n">
        <f aca="false">IF(O1215&lt;&gt;"",O1215*0.1,"")</f>
        <v>2.55</v>
      </c>
      <c r="Q1215" s="83" t="n">
        <f aca="false">IF(O1215&lt;&gt;"",O1215+P1215,"")</f>
        <v>28.05</v>
      </c>
      <c r="R1215" s="84" t="s">
        <v>358</v>
      </c>
    </row>
    <row r="1216" customFormat="false" ht="15" hidden="false" customHeight="true" outlineLevel="0" collapsed="false">
      <c r="A1216" s="103" t="n">
        <v>56183</v>
      </c>
      <c r="B1216" s="85" t="n">
        <v>46238</v>
      </c>
      <c r="C1216" s="74" t="n">
        <v>18440</v>
      </c>
      <c r="D1216" s="75" t="n">
        <v>50160</v>
      </c>
      <c r="E1216" s="52" t="str">
        <f aca="false">IF(D1216&lt;&gt;"",IFERROR(VLOOKUP(D1216,PROVEEDORES!$A:$B,2,0),"!COD NO ENCONTRADO"),"")</f>
        <v>SUBASTAS CORUÑA S.L.</v>
      </c>
      <c r="F1216" s="76" t="str">
        <f aca="false">IF(D1216&lt;&gt;"",IFERROR(VLOOKUP(D1216,PROVEEDORES!$A:$C,3,0),""),"")</f>
        <v>S</v>
      </c>
      <c r="G1216" s="75" t="s">
        <v>332</v>
      </c>
      <c r="H1216" s="52" t="str">
        <f aca="false">IF(G1216&lt;&gt;"",IFERROR(VLOOKUP(G1216,PRODUCTOS!$A:$B,2,0),"!COD NO ENCONTRADO"),"")</f>
        <v>VARIADO PEQUEÑO</v>
      </c>
      <c r="I1216" s="77" t="n">
        <v>6</v>
      </c>
      <c r="J1216" s="78" t="n">
        <v>35.5</v>
      </c>
      <c r="K1216" s="79" t="n">
        <v>0.5</v>
      </c>
      <c r="L1216" s="80" t="n">
        <f aca="false">IF(AND(J1216&lt;&gt;"",K1216&lt;&gt;""),J1216*K1216,"")</f>
        <v>17.75</v>
      </c>
      <c r="M1216" s="81" t="n">
        <f aca="false">IF(L1216&lt;&gt;"",L1216*1.1,"")</f>
        <v>19.525</v>
      </c>
      <c r="N1216" s="53" t="n">
        <f aca="false">IF(F1216="S",L1216*0.02,0)</f>
        <v>0.355</v>
      </c>
      <c r="O1216" s="82" t="n">
        <f aca="false">IF(L1216&lt;&gt;"",L1216+N1216,"")</f>
        <v>18.105</v>
      </c>
      <c r="P1216" s="53" t="n">
        <f aca="false">IF(O1216&lt;&gt;"",O1216*0.1,"")</f>
        <v>1.8105</v>
      </c>
      <c r="Q1216" s="83" t="n">
        <f aca="false">IF(O1216&lt;&gt;"",O1216+P1216,"")</f>
        <v>19.9155</v>
      </c>
      <c r="R1216" s="84" t="s">
        <v>365</v>
      </c>
    </row>
    <row r="1217" customFormat="false" ht="15" hidden="false" customHeight="true" outlineLevel="0" collapsed="false">
      <c r="A1217" s="103" t="n">
        <v>56183</v>
      </c>
      <c r="B1217" s="85" t="n">
        <v>46238</v>
      </c>
      <c r="C1217" s="86" t="n">
        <v>18440</v>
      </c>
      <c r="D1217" s="87" t="n">
        <v>50160</v>
      </c>
      <c r="E1217" s="46" t="str">
        <f aca="false">IF(D1217&lt;&gt;"",IFERROR(VLOOKUP(D1217,PROVEEDORES!$A:$B,2,0),"!COD NO ENCONTRADO"),"")</f>
        <v>SUBASTAS CORUÑA S.L.</v>
      </c>
      <c r="F1217" s="88" t="str">
        <f aca="false">IF(D1217&lt;&gt;"",IFERROR(VLOOKUP(D1217,PROVEEDORES!$A:$C,3,0),""),"")</f>
        <v>S</v>
      </c>
      <c r="G1217" s="87" t="s">
        <v>332</v>
      </c>
      <c r="H1217" s="46" t="str">
        <f aca="false">IF(G1217&lt;&gt;"",IFERROR(VLOOKUP(G1217,PRODUCTOS!$A:$B,2,0),"!COD NO ENCONTRADO"),"")</f>
        <v>VARIADO PEQUEÑO</v>
      </c>
      <c r="I1217" s="89" t="n">
        <v>12</v>
      </c>
      <c r="J1217" s="90" t="n">
        <v>74.25</v>
      </c>
      <c r="K1217" s="91" t="n">
        <v>0.5</v>
      </c>
      <c r="L1217" s="80" t="n">
        <f aca="false">IF(AND(J1217&lt;&gt;"",K1217&lt;&gt;""),J1217*K1217,"")</f>
        <v>37.125</v>
      </c>
      <c r="M1217" s="81" t="n">
        <f aca="false">IF(L1217&lt;&gt;"",L1217*1.1,"")</f>
        <v>40.8375</v>
      </c>
      <c r="N1217" s="47" t="n">
        <f aca="false">IF(F1217="S",L1217*0.02,0)</f>
        <v>0.7425</v>
      </c>
      <c r="O1217" s="82" t="n">
        <f aca="false">IF(L1217&lt;&gt;"",L1217+N1217,"")</f>
        <v>37.8675</v>
      </c>
      <c r="P1217" s="47" t="n">
        <f aca="false">IF(O1217&lt;&gt;"",O1217*0.1,"")</f>
        <v>3.78675</v>
      </c>
      <c r="Q1217" s="83" t="n">
        <f aca="false">IF(O1217&lt;&gt;"",O1217+P1217,"")</f>
        <v>41.65425</v>
      </c>
      <c r="R1217" s="84" t="s">
        <v>365</v>
      </c>
    </row>
    <row r="1218" customFormat="false" ht="15" hidden="false" customHeight="true" outlineLevel="0" collapsed="false">
      <c r="A1218" s="103" t="n">
        <v>56184</v>
      </c>
      <c r="B1218" s="85" t="n">
        <v>46238</v>
      </c>
      <c r="C1218" s="74" t="n">
        <v>21551</v>
      </c>
      <c r="D1218" s="75" t="n">
        <v>50163</v>
      </c>
      <c r="E1218" s="52" t="str">
        <f aca="false">IF(D1218&lt;&gt;"",IFERROR(VLOOKUP(D1218,PROVEEDORES!$A:$B,2,0),"!COD NO ENCONTRADO"),"")</f>
        <v>SUBASTAS RIVERA S.L.</v>
      </c>
      <c r="F1218" s="76" t="str">
        <f aca="false">IF(D1218&lt;&gt;"",IFERROR(VLOOKUP(D1218,PROVEEDORES!$A:$C,3,0),""),"")</f>
        <v>S</v>
      </c>
      <c r="G1218" s="75" t="s">
        <v>221</v>
      </c>
      <c r="H1218" s="52" t="str">
        <f aca="false">IF(G1218&lt;&gt;"",IFERROR(VLOOKUP(G1218,PRODUCTOS!$A:$B,2,0),"!COD NO ENCONTRADO"),"")</f>
        <v>MERLUZA EUROPEA PINCHO COSTA 800</v>
      </c>
      <c r="I1218" s="77" t="n">
        <v>3</v>
      </c>
      <c r="J1218" s="78" t="n">
        <v>37.25</v>
      </c>
      <c r="K1218" s="79" t="n">
        <v>6.3</v>
      </c>
      <c r="L1218" s="80" t="n">
        <f aca="false">IF(AND(J1218&lt;&gt;"",K1218&lt;&gt;""),J1218*K1218,"")</f>
        <v>234.675</v>
      </c>
      <c r="M1218" s="81" t="n">
        <f aca="false">IF(L1218&lt;&gt;"",L1218*1.1,"")</f>
        <v>258.1425</v>
      </c>
      <c r="N1218" s="53" t="n">
        <f aca="false">IF(F1218="S",L1218*0.02,0)</f>
        <v>4.6935</v>
      </c>
      <c r="O1218" s="82" t="n">
        <f aca="false">IF(L1218&lt;&gt;"",L1218+N1218,"")</f>
        <v>239.3685</v>
      </c>
      <c r="P1218" s="53" t="n">
        <f aca="false">IF(O1218&lt;&gt;"",O1218*0.1,"")</f>
        <v>23.93685</v>
      </c>
      <c r="Q1218" s="83" t="n">
        <f aca="false">IF(O1218&lt;&gt;"",O1218+P1218,"")</f>
        <v>263.30535</v>
      </c>
      <c r="R1218" s="84" t="s">
        <v>358</v>
      </c>
    </row>
    <row r="1219" customFormat="false" ht="15" hidden="false" customHeight="true" outlineLevel="0" collapsed="false">
      <c r="A1219" s="103" t="n">
        <v>56184</v>
      </c>
      <c r="B1219" s="85" t="n">
        <v>46238</v>
      </c>
      <c r="C1219" s="86" t="n">
        <v>21551</v>
      </c>
      <c r="D1219" s="87" t="n">
        <v>50163</v>
      </c>
      <c r="E1219" s="46" t="str">
        <f aca="false">IF(D1219&lt;&gt;"",IFERROR(VLOOKUP(D1219,PROVEEDORES!$A:$B,2,0),"!COD NO ENCONTRADO"),"")</f>
        <v>SUBASTAS RIVERA S.L.</v>
      </c>
      <c r="F1219" s="88" t="str">
        <f aca="false">IF(D1219&lt;&gt;"",IFERROR(VLOOKUP(D1219,PROVEEDORES!$A:$C,3,0),""),"")</f>
        <v>S</v>
      </c>
      <c r="G1219" s="87" t="s">
        <v>221</v>
      </c>
      <c r="H1219" s="46" t="str">
        <f aca="false">IF(G1219&lt;&gt;"",IFERROR(VLOOKUP(G1219,PRODUCTOS!$A:$B,2,0),"!COD NO ENCONTRADO"),"")</f>
        <v>MERLUZA EUROPEA PINCHO COSTA 800</v>
      </c>
      <c r="I1219" s="89" t="n">
        <v>1</v>
      </c>
      <c r="J1219" s="90" t="n">
        <v>12.75</v>
      </c>
      <c r="K1219" s="91" t="n">
        <v>7.1</v>
      </c>
      <c r="L1219" s="80" t="n">
        <f aca="false">IF(AND(J1219&lt;&gt;"",K1219&lt;&gt;""),J1219*K1219,"")</f>
        <v>90.525</v>
      </c>
      <c r="M1219" s="81" t="n">
        <f aca="false">IF(L1219&lt;&gt;"",L1219*1.1,"")</f>
        <v>99.5775</v>
      </c>
      <c r="N1219" s="47" t="n">
        <f aca="false">IF(F1219="S",L1219*0.02,0)</f>
        <v>1.8105</v>
      </c>
      <c r="O1219" s="82" t="n">
        <f aca="false">IF(L1219&lt;&gt;"",L1219+N1219,"")</f>
        <v>92.3355</v>
      </c>
      <c r="P1219" s="47" t="n">
        <f aca="false">IF(O1219&lt;&gt;"",O1219*0.1,"")</f>
        <v>9.23355</v>
      </c>
      <c r="Q1219" s="83" t="n">
        <f aca="false">IF(O1219&lt;&gt;"",O1219+P1219,"")</f>
        <v>101.56905</v>
      </c>
      <c r="R1219" s="84" t="s">
        <v>358</v>
      </c>
    </row>
    <row r="1220" customFormat="false" ht="15" hidden="false" customHeight="true" outlineLevel="0" collapsed="false">
      <c r="A1220" s="103" t="n">
        <v>56185</v>
      </c>
      <c r="B1220" s="85" t="n">
        <v>46238</v>
      </c>
      <c r="C1220" s="74" t="s">
        <v>565</v>
      </c>
      <c r="D1220" s="75" t="n">
        <v>50218</v>
      </c>
      <c r="E1220" s="52" t="str">
        <f aca="false">IF(D1220&lt;&gt;"",IFERROR(VLOOKUP(D1220,PROVEEDORES!$A:$B,2,0),"!COD NO ENCONTRADO"),"")</f>
        <v>ACERGA </v>
      </c>
      <c r="F1220" s="76" t="str">
        <f aca="false">IF(D1220&lt;&gt;"",IFERROR(VLOOKUP(D1220,PROVEEDORES!$A:$C,3,0),""),"")</f>
        <v>S</v>
      </c>
      <c r="G1220" s="75" t="s">
        <v>93</v>
      </c>
      <c r="H1220" s="52" t="str">
        <f aca="false">IF(G1220&lt;&gt;"",IFERROR(VLOOKUP(G1220,PRODUCTOS!$A:$B,2,0),"!COD NO ENCONTRADO"),"")</f>
        <v>BOQUERON/ BOCARTE/ ANCHOA (ANE)</v>
      </c>
      <c r="I1220" s="77" t="n">
        <v>44</v>
      </c>
      <c r="J1220" s="78" t="n">
        <v>388</v>
      </c>
      <c r="K1220" s="79" t="n">
        <v>1.25</v>
      </c>
      <c r="L1220" s="80" t="n">
        <f aca="false">IF(AND(J1220&lt;&gt;"",K1220&lt;&gt;""),J1220*K1220,"")</f>
        <v>485</v>
      </c>
      <c r="M1220" s="81" t="n">
        <f aca="false">IF(L1220&lt;&gt;"",L1220*1.1,"")</f>
        <v>533.5</v>
      </c>
      <c r="N1220" s="53" t="n">
        <f aca="false">IF(F1220="S",L1220*0.02,0)</f>
        <v>9.7</v>
      </c>
      <c r="O1220" s="82" t="n">
        <f aca="false">IF(L1220&lt;&gt;"",L1220+N1220,"")</f>
        <v>494.7</v>
      </c>
      <c r="P1220" s="53" t="n">
        <f aca="false">IF(O1220&lt;&gt;"",O1220*0.1,"")</f>
        <v>49.47</v>
      </c>
      <c r="Q1220" s="83" t="n">
        <f aca="false">IF(O1220&lt;&gt;"",O1220+P1220,"")</f>
        <v>544.17</v>
      </c>
      <c r="R1220" s="84" t="s">
        <v>365</v>
      </c>
    </row>
    <row r="1221" customFormat="false" ht="15" hidden="false" customHeight="true" outlineLevel="0" collapsed="false">
      <c r="A1221" s="103" t="n">
        <v>56185</v>
      </c>
      <c r="B1221" s="85" t="n">
        <v>46238</v>
      </c>
      <c r="C1221" s="86" t="s">
        <v>565</v>
      </c>
      <c r="D1221" s="87" t="n">
        <v>50218</v>
      </c>
      <c r="E1221" s="46" t="str">
        <f aca="false">IF(D1221&lt;&gt;"",IFERROR(VLOOKUP(D1221,PROVEEDORES!$A:$B,2,0),"!COD NO ENCONTRADO"),"")</f>
        <v>ACERGA </v>
      </c>
      <c r="F1221" s="88" t="str">
        <f aca="false">IF(D1221&lt;&gt;"",IFERROR(VLOOKUP(D1221,PROVEEDORES!$A:$C,3,0),""),"")</f>
        <v>S</v>
      </c>
      <c r="G1221" s="87" t="s">
        <v>93</v>
      </c>
      <c r="H1221" s="46" t="str">
        <f aca="false">IF(G1221&lt;&gt;"",IFERROR(VLOOKUP(G1221,PRODUCTOS!$A:$B,2,0),"!COD NO ENCONTRADO"),"")</f>
        <v>BOQUERON/ BOCARTE/ ANCHOA (ANE)</v>
      </c>
      <c r="I1221" s="89" t="n">
        <v>44</v>
      </c>
      <c r="J1221" s="90" t="n">
        <v>362</v>
      </c>
      <c r="K1221" s="91" t="n">
        <v>1.25</v>
      </c>
      <c r="L1221" s="80" t="n">
        <f aca="false">IF(AND(J1221&lt;&gt;"",K1221&lt;&gt;""),J1221*K1221,"")</f>
        <v>452.5</v>
      </c>
      <c r="M1221" s="81" t="n">
        <f aca="false">IF(L1221&lt;&gt;"",L1221*1.1,"")</f>
        <v>497.75</v>
      </c>
      <c r="N1221" s="47" t="n">
        <f aca="false">IF(F1221="S",L1221*0.02,0)</f>
        <v>9.05</v>
      </c>
      <c r="O1221" s="82" t="n">
        <f aca="false">IF(L1221&lt;&gt;"",L1221+N1221,"")</f>
        <v>461.55</v>
      </c>
      <c r="P1221" s="47" t="n">
        <f aca="false">IF(O1221&lt;&gt;"",O1221*0.1,"")</f>
        <v>46.155</v>
      </c>
      <c r="Q1221" s="83" t="n">
        <f aca="false">IF(O1221&lt;&gt;"",O1221+P1221,"")</f>
        <v>507.705</v>
      </c>
      <c r="R1221" s="84" t="s">
        <v>365</v>
      </c>
    </row>
    <row r="1222" customFormat="false" ht="15" hidden="false" customHeight="true" outlineLevel="0" collapsed="false">
      <c r="A1222" s="103" t="n">
        <v>56186</v>
      </c>
      <c r="B1222" s="85" t="n">
        <v>46238</v>
      </c>
      <c r="C1222" s="86" t="n">
        <v>8419</v>
      </c>
      <c r="D1222" s="87" t="n">
        <v>50020</v>
      </c>
      <c r="E1222" s="46" t="str">
        <f aca="false">IF(D1222&lt;&gt;"",IFERROR(VLOOKUP(D1222,PROVEEDORES!$A:$B,2,0),"!COD NO ENCONTRADO"),"")</f>
        <v>PACO MOINELO</v>
      </c>
      <c r="F1222" s="88" t="str">
        <f aca="false">IF(D1222&lt;&gt;"",IFERROR(VLOOKUP(D1222,PROVEEDORES!$A:$C,3,0),""),"")</f>
        <v>S</v>
      </c>
      <c r="G1222" s="87" t="s">
        <v>99</v>
      </c>
      <c r="H1222" s="46" t="str">
        <f aca="false">IF(G1222&lt;&gt;"",IFERROR(VLOOKUP(G1222,PRODUCTOS!$A:$B,2,0),"!COD NO ENCONTRADO"),"")</f>
        <v>CABRACHO/ ESCARAPOTE (RSE)</v>
      </c>
      <c r="I1222" s="89" t="n">
        <v>3</v>
      </c>
      <c r="J1222" s="90" t="n">
        <v>33.25</v>
      </c>
      <c r="K1222" s="91" t="n">
        <v>8.45</v>
      </c>
      <c r="L1222" s="80" t="n">
        <f aca="false">IF(AND(J1222&lt;&gt;"",K1222&lt;&gt;""),J1222*K1222,"")</f>
        <v>280.9625</v>
      </c>
      <c r="M1222" s="81" t="n">
        <f aca="false">IF(L1222&lt;&gt;"",L1222*1.1,"")</f>
        <v>309.05875</v>
      </c>
      <c r="N1222" s="47" t="n">
        <f aca="false">IF(F1222="S",L1222*0.02,0)</f>
        <v>5.61925</v>
      </c>
      <c r="O1222" s="82" t="n">
        <f aca="false">IF(L1222&lt;&gt;"",L1222+N1222,"")</f>
        <v>286.58175</v>
      </c>
      <c r="P1222" s="47" t="n">
        <f aca="false">IF(O1222&lt;&gt;"",O1222*0.1,"")</f>
        <v>28.658175</v>
      </c>
      <c r="Q1222" s="83" t="n">
        <f aca="false">IF(O1222&lt;&gt;"",O1222+P1222,"")</f>
        <v>315.239925</v>
      </c>
      <c r="R1222" s="84" t="s">
        <v>365</v>
      </c>
    </row>
    <row r="1223" customFormat="false" ht="15" hidden="false" customHeight="true" outlineLevel="0" collapsed="false">
      <c r="A1223" s="103" t="n">
        <v>56186</v>
      </c>
      <c r="B1223" s="85" t="n">
        <v>46238</v>
      </c>
      <c r="C1223" s="86" t="n">
        <v>8419</v>
      </c>
      <c r="D1223" s="75" t="n">
        <v>50020</v>
      </c>
      <c r="E1223" s="52" t="str">
        <f aca="false">IF(D1223&lt;&gt;"",IFERROR(VLOOKUP(D1223,PROVEEDORES!$A:$B,2,0),"!COD NO ENCONTRADO"),"")</f>
        <v>PACO MOINELO</v>
      </c>
      <c r="F1223" s="76" t="str">
        <f aca="false">IF(D1223&lt;&gt;"",IFERROR(VLOOKUP(D1223,PROVEEDORES!$A:$C,3,0),""),"")</f>
        <v>S</v>
      </c>
      <c r="G1223" s="75" t="s">
        <v>99</v>
      </c>
      <c r="H1223" s="52" t="str">
        <f aca="false">IF(G1223&lt;&gt;"",IFERROR(VLOOKUP(G1223,PRODUCTOS!$A:$B,2,0),"!COD NO ENCONTRADO"),"")</f>
        <v>CABRACHO/ ESCARAPOTE (RSE)</v>
      </c>
      <c r="I1223" s="77" t="n">
        <v>1</v>
      </c>
      <c r="J1223" s="78" t="n">
        <v>10.25</v>
      </c>
      <c r="K1223" s="79" t="n">
        <v>9.8</v>
      </c>
      <c r="L1223" s="80" t="n">
        <f aca="false">IF(AND(J1223&lt;&gt;"",K1223&lt;&gt;""),J1223*K1223,"")</f>
        <v>100.45</v>
      </c>
      <c r="M1223" s="81" t="n">
        <f aca="false">IF(L1223&lt;&gt;"",L1223*1.1,"")</f>
        <v>110.495</v>
      </c>
      <c r="N1223" s="53" t="n">
        <f aca="false">IF(F1223="S",L1223*0.02,0)</f>
        <v>2.009</v>
      </c>
      <c r="O1223" s="82" t="n">
        <f aca="false">IF(L1223&lt;&gt;"",L1223+N1223,"")</f>
        <v>102.459</v>
      </c>
      <c r="P1223" s="53" t="n">
        <f aca="false">IF(O1223&lt;&gt;"",O1223*0.1,"")</f>
        <v>10.2459</v>
      </c>
      <c r="Q1223" s="83" t="n">
        <f aca="false">IF(O1223&lt;&gt;"",O1223+P1223,"")</f>
        <v>112.7049</v>
      </c>
      <c r="R1223" s="84" t="s">
        <v>365</v>
      </c>
    </row>
    <row r="1224" customFormat="false" ht="15" hidden="false" customHeight="true" outlineLevel="0" collapsed="false">
      <c r="A1224" s="103" t="n">
        <v>56186</v>
      </c>
      <c r="B1224" s="85" t="n">
        <v>46238</v>
      </c>
      <c r="C1224" s="86" t="n">
        <v>8419</v>
      </c>
      <c r="D1224" s="87" t="n">
        <v>50020</v>
      </c>
      <c r="E1224" s="46" t="str">
        <f aca="false">IF(D1224&lt;&gt;"",IFERROR(VLOOKUP(D1224,PROVEEDORES!$A:$B,2,0),"!COD NO ENCONTRADO"),"")</f>
        <v>PACO MOINELO</v>
      </c>
      <c r="F1224" s="88" t="str">
        <f aca="false">IF(D1224&lt;&gt;"",IFERROR(VLOOKUP(D1224,PROVEEDORES!$A:$C,3,0),""),"")</f>
        <v>S</v>
      </c>
      <c r="G1224" s="87" t="s">
        <v>99</v>
      </c>
      <c r="H1224" s="46" t="str">
        <f aca="false">IF(G1224&lt;&gt;"",IFERROR(VLOOKUP(G1224,PRODUCTOS!$A:$B,2,0),"!COD NO ENCONTRADO"),"")</f>
        <v>CABRACHO/ ESCARAPOTE (RSE)</v>
      </c>
      <c r="I1224" s="89" t="n">
        <v>1</v>
      </c>
      <c r="J1224" s="90" t="n">
        <v>11.25</v>
      </c>
      <c r="K1224" s="91" t="n">
        <v>11.8</v>
      </c>
      <c r="L1224" s="80" t="n">
        <f aca="false">IF(AND(J1224&lt;&gt;"",K1224&lt;&gt;""),J1224*K1224,"")</f>
        <v>132.75</v>
      </c>
      <c r="M1224" s="81" t="n">
        <f aca="false">IF(L1224&lt;&gt;"",L1224*1.1,"")</f>
        <v>146.025</v>
      </c>
      <c r="N1224" s="47" t="n">
        <f aca="false">IF(F1224="S",L1224*0.02,0)</f>
        <v>2.655</v>
      </c>
      <c r="O1224" s="82" t="n">
        <f aca="false">IF(L1224&lt;&gt;"",L1224+N1224,"")</f>
        <v>135.405</v>
      </c>
      <c r="P1224" s="47" t="n">
        <f aca="false">IF(O1224&lt;&gt;"",O1224*0.1,"")</f>
        <v>13.5405</v>
      </c>
      <c r="Q1224" s="83" t="n">
        <f aca="false">IF(O1224&lt;&gt;"",O1224+P1224,"")</f>
        <v>148.9455</v>
      </c>
      <c r="R1224" s="84" t="s">
        <v>365</v>
      </c>
    </row>
    <row r="1225" customFormat="false" ht="15" hidden="false" customHeight="true" outlineLevel="0" collapsed="false">
      <c r="A1225" s="103" t="n">
        <v>56186</v>
      </c>
      <c r="B1225" s="85" t="n">
        <v>46238</v>
      </c>
      <c r="C1225" s="86" t="n">
        <v>8419</v>
      </c>
      <c r="D1225" s="75" t="n">
        <v>50020</v>
      </c>
      <c r="E1225" s="52" t="str">
        <f aca="false">IF(D1225&lt;&gt;"",IFERROR(VLOOKUP(D1225,PROVEEDORES!$A:$B,2,0),"!COD NO ENCONTRADO"),"")</f>
        <v>PACO MOINELO</v>
      </c>
      <c r="F1225" s="76" t="str">
        <f aca="false">IF(D1225&lt;&gt;"",IFERROR(VLOOKUP(D1225,PROVEEDORES!$A:$C,3,0),""),"")</f>
        <v>S</v>
      </c>
      <c r="G1225" s="75" t="s">
        <v>99</v>
      </c>
      <c r="H1225" s="52" t="str">
        <f aca="false">IF(G1225&lt;&gt;"",IFERROR(VLOOKUP(G1225,PRODUCTOS!$A:$B,2,0),"!COD NO ENCONTRADO"),"")</f>
        <v>CABRACHO/ ESCARAPOTE (RSE)</v>
      </c>
      <c r="I1225" s="77" t="n">
        <v>1</v>
      </c>
      <c r="J1225" s="78" t="n">
        <v>9.75</v>
      </c>
      <c r="K1225" s="79" t="n">
        <v>12</v>
      </c>
      <c r="L1225" s="80" t="n">
        <f aca="false">IF(AND(J1225&lt;&gt;"",K1225&lt;&gt;""),J1225*K1225,"")</f>
        <v>117</v>
      </c>
      <c r="M1225" s="81" t="n">
        <f aca="false">IF(L1225&lt;&gt;"",L1225*1.1,"")</f>
        <v>128.7</v>
      </c>
      <c r="N1225" s="53" t="n">
        <f aca="false">IF(F1225="S",L1225*0.02,0)</f>
        <v>2.34</v>
      </c>
      <c r="O1225" s="82" t="n">
        <f aca="false">IF(L1225&lt;&gt;"",L1225+N1225,"")</f>
        <v>119.34</v>
      </c>
      <c r="P1225" s="53" t="n">
        <f aca="false">IF(O1225&lt;&gt;"",O1225*0.1,"")</f>
        <v>11.934</v>
      </c>
      <c r="Q1225" s="83" t="n">
        <f aca="false">IF(O1225&lt;&gt;"",O1225+P1225,"")</f>
        <v>131.274</v>
      </c>
      <c r="R1225" s="84" t="s">
        <v>365</v>
      </c>
    </row>
    <row r="1226" customFormat="false" ht="15" hidden="false" customHeight="true" outlineLevel="0" collapsed="false">
      <c r="A1226" s="103" t="n">
        <v>56187</v>
      </c>
      <c r="B1226" s="85" t="n">
        <v>46238</v>
      </c>
      <c r="C1226" s="86" t="s">
        <v>566</v>
      </c>
      <c r="D1226" s="87" t="n">
        <v>50146</v>
      </c>
      <c r="E1226" s="46" t="str">
        <f aca="false">IF(D1226&lt;&gt;"",IFERROR(VLOOKUP(D1226,PROVEEDORES!$A:$B,2,0),"!COD NO ENCONTRADO"),"")</f>
        <v>MAR BERMEO S.L.</v>
      </c>
      <c r="F1226" s="88" t="str">
        <f aca="false">IF(D1226&lt;&gt;"",IFERROR(VLOOKUP(D1226,PROVEEDORES!$A:$C,3,0),""),"")</f>
        <v>S</v>
      </c>
      <c r="G1226" s="87" t="s">
        <v>93</v>
      </c>
      <c r="H1226" s="46" t="str">
        <f aca="false">IF(G1226&lt;&gt;"",IFERROR(VLOOKUP(G1226,PRODUCTOS!$A:$B,2,0),"!COD NO ENCONTRADO"),"")</f>
        <v>BOQUERON/ BOCARTE/ ANCHOA (ANE)</v>
      </c>
      <c r="I1226" s="89" t="n">
        <v>40</v>
      </c>
      <c r="J1226" s="90" t="n">
        <v>314</v>
      </c>
      <c r="K1226" s="91" t="n">
        <v>1.4</v>
      </c>
      <c r="L1226" s="80" t="n">
        <f aca="false">IF(AND(J1226&lt;&gt;"",K1226&lt;&gt;""),J1226*K1226,"")</f>
        <v>439.6</v>
      </c>
      <c r="M1226" s="81" t="n">
        <f aca="false">IF(L1226&lt;&gt;"",L1226*1.1,"")</f>
        <v>483.56</v>
      </c>
      <c r="N1226" s="47" t="n">
        <f aca="false">IF(F1226="S",L1226*0.02,0)</f>
        <v>8.792</v>
      </c>
      <c r="O1226" s="82" t="n">
        <f aca="false">IF(L1226&lt;&gt;"",L1226+N1226,"")</f>
        <v>448.392</v>
      </c>
      <c r="P1226" s="47" t="n">
        <f aca="false">IF(O1226&lt;&gt;"",O1226*0.1,"")</f>
        <v>44.8392</v>
      </c>
      <c r="Q1226" s="83" t="n">
        <f aca="false">IF(O1226&lt;&gt;"",O1226+P1226,"")</f>
        <v>493.2312</v>
      </c>
      <c r="R1226" s="84" t="s">
        <v>365</v>
      </c>
    </row>
    <row r="1227" customFormat="false" ht="15" hidden="false" customHeight="true" outlineLevel="0" collapsed="false">
      <c r="A1227" s="103" t="n">
        <v>56187</v>
      </c>
      <c r="B1227" s="85" t="n">
        <v>46238</v>
      </c>
      <c r="C1227" s="74" t="s">
        <v>566</v>
      </c>
      <c r="D1227" s="75" t="n">
        <v>50146</v>
      </c>
      <c r="E1227" s="52" t="str">
        <f aca="false">IF(D1227&lt;&gt;"",IFERROR(VLOOKUP(D1227,PROVEEDORES!$A:$B,2,0),"!COD NO ENCONTRADO"),"")</f>
        <v>MAR BERMEO S.L.</v>
      </c>
      <c r="F1227" s="76" t="str">
        <f aca="false">IF(D1227&lt;&gt;"",IFERROR(VLOOKUP(D1227,PROVEEDORES!$A:$C,3,0),""),"")</f>
        <v>S</v>
      </c>
      <c r="G1227" s="75" t="s">
        <v>93</v>
      </c>
      <c r="H1227" s="52" t="str">
        <f aca="false">IF(G1227&lt;&gt;"",IFERROR(VLOOKUP(G1227,PRODUCTOS!$A:$B,2,0),"!COD NO ENCONTRADO"),"")</f>
        <v>BOQUERON/ BOCARTE/ ANCHOA (ANE)</v>
      </c>
      <c r="I1227" s="77" t="n">
        <v>40</v>
      </c>
      <c r="J1227" s="78" t="n">
        <v>295</v>
      </c>
      <c r="K1227" s="79" t="n">
        <v>1.4</v>
      </c>
      <c r="L1227" s="80" t="n">
        <f aca="false">IF(AND(J1227&lt;&gt;"",K1227&lt;&gt;""),J1227*K1227,"")</f>
        <v>413</v>
      </c>
      <c r="M1227" s="81" t="n">
        <f aca="false">IF(L1227&lt;&gt;"",L1227*1.1,"")</f>
        <v>454.3</v>
      </c>
      <c r="N1227" s="53" t="n">
        <f aca="false">IF(F1227="S",L1227*0.02,0)</f>
        <v>8.26</v>
      </c>
      <c r="O1227" s="82" t="n">
        <f aca="false">IF(L1227&lt;&gt;"",L1227+N1227,"")</f>
        <v>421.26</v>
      </c>
      <c r="P1227" s="53" t="n">
        <f aca="false">IF(O1227&lt;&gt;"",O1227*0.1,"")</f>
        <v>42.126</v>
      </c>
      <c r="Q1227" s="83" t="n">
        <f aca="false">IF(O1227&lt;&gt;"",O1227+P1227,"")</f>
        <v>463.386</v>
      </c>
      <c r="R1227" s="84" t="s">
        <v>365</v>
      </c>
    </row>
    <row r="1228" customFormat="false" ht="15" hidden="false" customHeight="true" outlineLevel="0" collapsed="false">
      <c r="A1228" s="103" t="n">
        <v>56188</v>
      </c>
      <c r="B1228" s="85" t="n">
        <v>46238</v>
      </c>
      <c r="C1228" s="74" t="s">
        <v>567</v>
      </c>
      <c r="D1228" s="75" t="n">
        <v>50048</v>
      </c>
      <c r="E1228" s="52" t="str">
        <f aca="false">IF(D1228&lt;&gt;"",IFERROR(VLOOKUP(D1228,PROVEEDORES!$A:$B,2,0),"!COD NO ENCONTRADO"),"")</f>
        <v>JOSE LUIS CORREA KESSLER S.L.</v>
      </c>
      <c r="F1228" s="76" t="str">
        <f aca="false">IF(D1228&lt;&gt;"",IFERROR(VLOOKUP(D1228,PROVEEDORES!$A:$C,3,0),""),"")</f>
        <v>N</v>
      </c>
      <c r="G1228" s="75" t="s">
        <v>179</v>
      </c>
      <c r="H1228" s="52" t="str">
        <f aca="false">IF(G1228&lt;&gt;"",IFERROR(VLOOKUP(G1228,PRODUCTOS!$A:$B,2,0),"!COD NO ENCONTRADO"),"")</f>
        <v>LIRIO/ BACALADILLA/ PERLA (WHB)</v>
      </c>
      <c r="I1228" s="77" t="n">
        <v>120</v>
      </c>
      <c r="J1228" s="78" t="n">
        <v>720</v>
      </c>
      <c r="K1228" s="125" t="n">
        <v>3</v>
      </c>
      <c r="L1228" s="80" t="n">
        <f aca="false">IF(AND(J1228&lt;&gt;"",K1228&lt;&gt;""),J1228*K1228,"")</f>
        <v>2160</v>
      </c>
      <c r="M1228" s="81" t="n">
        <f aca="false">IF(L1228&lt;&gt;"",L1228*1.1,"")</f>
        <v>2376</v>
      </c>
      <c r="N1228" s="53" t="n">
        <f aca="false">IF(F1228="S",L1228*0.02,0)</f>
        <v>0</v>
      </c>
      <c r="O1228" s="82" t="n">
        <f aca="false">IF(L1228&lt;&gt;"",L1228+N1228,"")</f>
        <v>2160</v>
      </c>
      <c r="P1228" s="53" t="n">
        <f aca="false">IF(O1228&lt;&gt;"",O1228*0.1,"")</f>
        <v>216</v>
      </c>
      <c r="Q1228" s="83" t="n">
        <f aca="false">IF(O1228&lt;&gt;"",O1228+P1228,"")</f>
        <v>2376</v>
      </c>
      <c r="R1228" s="84" t="s">
        <v>365</v>
      </c>
    </row>
    <row r="1229" customFormat="false" ht="15" hidden="false" customHeight="true" outlineLevel="0" collapsed="false">
      <c r="A1229" s="103" t="n">
        <v>56188</v>
      </c>
      <c r="B1229" s="85" t="n">
        <v>46238</v>
      </c>
      <c r="C1229" s="86" t="s">
        <v>568</v>
      </c>
      <c r="D1229" s="87" t="n">
        <v>50048</v>
      </c>
      <c r="E1229" s="46" t="str">
        <f aca="false">IF(D1229&lt;&gt;"",IFERROR(VLOOKUP(D1229,PROVEEDORES!$A:$B,2,0),"!COD NO ENCONTRADO"),"")</f>
        <v>JOSE LUIS CORREA KESSLER S.L.</v>
      </c>
      <c r="F1229" s="88" t="str">
        <f aca="false">IF(D1229&lt;&gt;"",IFERROR(VLOOKUP(D1229,PROVEEDORES!$A:$C,3,0),""),"")</f>
        <v>N</v>
      </c>
      <c r="G1229" s="87" t="s">
        <v>179</v>
      </c>
      <c r="H1229" s="46" t="str">
        <f aca="false">IF(G1229&lt;&gt;"",IFERROR(VLOOKUP(G1229,PRODUCTOS!$A:$B,2,0),"!COD NO ENCONTRADO"),"")</f>
        <v>LIRIO/ BACALADILLA/ PERLA (WHB)</v>
      </c>
      <c r="I1229" s="89" t="n">
        <v>5</v>
      </c>
      <c r="J1229" s="90" t="n">
        <v>30</v>
      </c>
      <c r="K1229" s="125" t="n">
        <v>3.3</v>
      </c>
      <c r="L1229" s="80" t="n">
        <f aca="false">IF(AND(J1229&lt;&gt;"",K1229&lt;&gt;""),J1229*K1229,"")</f>
        <v>99</v>
      </c>
      <c r="M1229" s="81" t="n">
        <f aca="false">IF(L1229&lt;&gt;"",L1229*1.1,"")</f>
        <v>108.9</v>
      </c>
      <c r="N1229" s="47" t="n">
        <f aca="false">IF(F1229="S",L1229*0.02,0)</f>
        <v>0</v>
      </c>
      <c r="O1229" s="82" t="n">
        <f aca="false">IF(L1229&lt;&gt;"",L1229+N1229,"")</f>
        <v>99</v>
      </c>
      <c r="P1229" s="47" t="n">
        <f aca="false">IF(O1229&lt;&gt;"",O1229*0.1,"")</f>
        <v>9.9</v>
      </c>
      <c r="Q1229" s="83" t="n">
        <f aca="false">IF(O1229&lt;&gt;"",O1229+P1229,"")</f>
        <v>108.9</v>
      </c>
      <c r="R1229" s="84" t="s">
        <v>365</v>
      </c>
    </row>
    <row r="1230" customFormat="false" ht="15" hidden="false" customHeight="true" outlineLevel="0" collapsed="false">
      <c r="A1230" s="103" t="n">
        <v>56188</v>
      </c>
      <c r="B1230" s="85" t="n">
        <v>46238</v>
      </c>
      <c r="C1230" s="74" t="s">
        <v>567</v>
      </c>
      <c r="D1230" s="75" t="n">
        <v>50048</v>
      </c>
      <c r="E1230" s="52" t="str">
        <f aca="false">IF(D1230&lt;&gt;"",IFERROR(VLOOKUP(D1230,PROVEEDORES!$A:$B,2,0),"!COD NO ENCONTRADO"),"")</f>
        <v>JOSE LUIS CORREA KESSLER S.L.</v>
      </c>
      <c r="F1230" s="76" t="str">
        <f aca="false">IF(D1230&lt;&gt;"",IFERROR(VLOOKUP(D1230,PROVEEDORES!$A:$C,3,0),""),"")</f>
        <v>N</v>
      </c>
      <c r="G1230" s="75" t="s">
        <v>282</v>
      </c>
      <c r="H1230" s="52" t="str">
        <f aca="false">IF(G1230&lt;&gt;"",IFERROR(VLOOKUP(G1230,PRODUCTOS!$A:$B,2,0),"!COD NO ENCONTRADO"),"")</f>
        <v>POTA (SQI)</v>
      </c>
      <c r="I1230" s="77" t="n">
        <v>6</v>
      </c>
      <c r="J1230" s="105" t="n">
        <v>30</v>
      </c>
      <c r="K1230" s="125" t="n">
        <v>4.75</v>
      </c>
      <c r="L1230" s="80" t="n">
        <f aca="false">IF(AND(J1230&lt;&gt;"",K1230&lt;&gt;""),J1230*K1230,"")</f>
        <v>142.5</v>
      </c>
      <c r="M1230" s="81" t="n">
        <f aca="false">IF(L1230&lt;&gt;"",L1230*1.1,"")</f>
        <v>156.75</v>
      </c>
      <c r="N1230" s="53" t="n">
        <f aca="false">IF(F1230="S",L1230*0.02,0)</f>
        <v>0</v>
      </c>
      <c r="O1230" s="82" t="n">
        <f aca="false">IF(L1230&lt;&gt;"",L1230+N1230,"")</f>
        <v>142.5</v>
      </c>
      <c r="P1230" s="53" t="n">
        <f aca="false">IF(O1230&lt;&gt;"",O1230*0.1,"")</f>
        <v>14.25</v>
      </c>
      <c r="Q1230" s="83" t="n">
        <f aca="false">IF(O1230&lt;&gt;"",O1230+P1230,"")</f>
        <v>156.75</v>
      </c>
      <c r="R1230" s="84" t="s">
        <v>365</v>
      </c>
    </row>
    <row r="1231" customFormat="false" ht="15" hidden="false" customHeight="true" outlineLevel="0" collapsed="false">
      <c r="A1231" s="103" t="n">
        <v>56188</v>
      </c>
      <c r="B1231" s="85" t="n">
        <v>46238</v>
      </c>
      <c r="C1231" s="86" t="s">
        <v>569</v>
      </c>
      <c r="D1231" s="87" t="n">
        <v>50048</v>
      </c>
      <c r="E1231" s="46" t="str">
        <f aca="false">IF(D1231&lt;&gt;"",IFERROR(VLOOKUP(D1231,PROVEEDORES!$A:$B,2,0),"!COD NO ENCONTRADO"),"")</f>
        <v>JOSE LUIS CORREA KESSLER S.L.</v>
      </c>
      <c r="F1231" s="88" t="str">
        <f aca="false">IF(D1231&lt;&gt;"",IFERROR(VLOOKUP(D1231,PROVEEDORES!$A:$C,3,0),""),"")</f>
        <v>N</v>
      </c>
      <c r="G1231" s="87" t="s">
        <v>324</v>
      </c>
      <c r="H1231" s="46" t="str">
        <f aca="false">IF(G1231&lt;&gt;"",IFERROR(VLOOKUP(G1231,PRODUCTOS!$A:$B,2,0),"!COD NO ENCONTRADO"),"")</f>
        <v>SARDINA    (PIL)</v>
      </c>
      <c r="I1231" s="112" t="n">
        <v>6</v>
      </c>
      <c r="J1231" s="105" t="n">
        <v>36</v>
      </c>
      <c r="K1231" s="125" t="n">
        <v>3.45</v>
      </c>
      <c r="L1231" s="80" t="n">
        <f aca="false">IF(AND(J1231&lt;&gt;"",K1231&lt;&gt;""),J1231*K1231,"")</f>
        <v>124.2</v>
      </c>
      <c r="M1231" s="81" t="n">
        <f aca="false">IF(L1231&lt;&gt;"",L1231*1.1,"")</f>
        <v>136.62</v>
      </c>
      <c r="N1231" s="47" t="n">
        <f aca="false">IF(F1231="S",L1231*0.02,0)</f>
        <v>0</v>
      </c>
      <c r="O1231" s="82" t="n">
        <f aca="false">IF(L1231&lt;&gt;"",L1231+N1231,"")</f>
        <v>124.2</v>
      </c>
      <c r="P1231" s="47" t="n">
        <f aca="false">IF(O1231&lt;&gt;"",O1231*0.1,"")</f>
        <v>12.42</v>
      </c>
      <c r="Q1231" s="83" t="n">
        <f aca="false">IF(O1231&lt;&gt;"",O1231+P1231,"")</f>
        <v>136.62</v>
      </c>
      <c r="R1231" s="84" t="s">
        <v>365</v>
      </c>
    </row>
    <row r="1232" customFormat="false" ht="15" hidden="false" customHeight="true" outlineLevel="0" collapsed="false">
      <c r="A1232" s="103" t="n">
        <v>56189</v>
      </c>
      <c r="B1232" s="73" t="n">
        <v>46238</v>
      </c>
      <c r="C1232" s="74" t="s">
        <v>570</v>
      </c>
      <c r="D1232" s="75" t="n">
        <v>50531</v>
      </c>
      <c r="E1232" s="52" t="str">
        <f aca="false">IF(D1232&lt;&gt;"",IFERROR(VLOOKUP(D1232,PROVEEDORES!$A:$B,2,0),"!COD NO ENCONTRADO"),"")</f>
        <v>SANCHEZ LOPEZ MIGUEL</v>
      </c>
      <c r="F1232" s="76" t="str">
        <f aca="false">IF(D1232&lt;&gt;"",IFERROR(VLOOKUP(D1232,PROVEEDORES!$A:$C,3,0),""),"")</f>
        <v>N</v>
      </c>
      <c r="G1232" s="75" t="s">
        <v>93</v>
      </c>
      <c r="H1232" s="52" t="str">
        <f aca="false">IF(G1232&lt;&gt;"",IFERROR(VLOOKUP(G1232,PRODUCTOS!$A:$B,2,0),"!COD NO ENCONTRADO"),"")</f>
        <v>BOQUERON/ BOCARTE/ ANCHOA (ANE)</v>
      </c>
      <c r="I1232" s="77" t="n">
        <v>6</v>
      </c>
      <c r="J1232" s="78" t="n">
        <v>36</v>
      </c>
      <c r="K1232" s="79" t="n">
        <v>2</v>
      </c>
      <c r="L1232" s="80" t="n">
        <f aca="false">IF(AND(J1232&lt;&gt;"",K1232&lt;&gt;""),J1232*K1232,"")</f>
        <v>72</v>
      </c>
      <c r="M1232" s="81" t="n">
        <f aca="false">IF(L1232&lt;&gt;"",L1232*1.1,"")</f>
        <v>79.2</v>
      </c>
      <c r="N1232" s="53" t="n">
        <f aca="false">IF(F1232="S",L1232*0.02,0)</f>
        <v>0</v>
      </c>
      <c r="O1232" s="82" t="n">
        <f aca="false">IF(L1232&lt;&gt;"",L1232+N1232,"")</f>
        <v>72</v>
      </c>
      <c r="P1232" s="53" t="n">
        <f aca="false">IF(O1232&lt;&gt;"",O1232*0.1,"")</f>
        <v>7.2</v>
      </c>
      <c r="Q1232" s="83" t="n">
        <f aca="false">IF(O1232&lt;&gt;"",O1232+P1232,"")</f>
        <v>79.2</v>
      </c>
      <c r="R1232" s="84" t="s">
        <v>358</v>
      </c>
    </row>
    <row r="1233" customFormat="false" ht="15" hidden="false" customHeight="true" outlineLevel="0" collapsed="false">
      <c r="A1233" s="103" t="n">
        <v>56190</v>
      </c>
      <c r="B1233" s="85" t="n">
        <v>46238</v>
      </c>
      <c r="C1233" s="86" t="s">
        <v>571</v>
      </c>
      <c r="D1233" s="87" t="n">
        <v>50035</v>
      </c>
      <c r="E1233" s="46" t="str">
        <f aca="false">IF(D1233&lt;&gt;"",IFERROR(VLOOKUP(D1233,PROVEEDORES!$A:$B,2,0),"!COD NO ENCONTRADO"),"")</f>
        <v>SCANFISK SEAFFOD S,L</v>
      </c>
      <c r="F1233" s="88" t="str">
        <f aca="false">IF(D1233&lt;&gt;"",IFERROR(VLOOKUP(D1233,PROVEEDORES!$A:$C,3,0),""),"")</f>
        <v>N</v>
      </c>
      <c r="G1233" s="87" t="s">
        <v>246</v>
      </c>
      <c r="H1233" s="46" t="str">
        <f aca="false">IF(G1233&lt;&gt;"",IFERROR(VLOOKUP(G1233,PRODUCTOS!$A:$B,2,0),"!COD NO ENCONTRADO"),"")</f>
        <v>MERLUZA EUROPEA VOLANTA ALTURA</v>
      </c>
      <c r="I1233" s="89" t="n">
        <v>2</v>
      </c>
      <c r="J1233" s="90" t="n">
        <v>21.3</v>
      </c>
      <c r="K1233" s="91" t="n">
        <v>7.9</v>
      </c>
      <c r="L1233" s="80" t="n">
        <f aca="false">IF(AND(J1233&lt;&gt;"",K1233&lt;&gt;""),J1233*K1233,"")</f>
        <v>168.27</v>
      </c>
      <c r="M1233" s="81" t="n">
        <f aca="false">IF(L1233&lt;&gt;"",L1233*1.1,"")</f>
        <v>185.097</v>
      </c>
      <c r="N1233" s="47" t="n">
        <f aca="false">IF(F1233="S",L1233*0.02,0)</f>
        <v>0</v>
      </c>
      <c r="O1233" s="82" t="n">
        <f aca="false">IF(L1233&lt;&gt;"",L1233+N1233,"")</f>
        <v>168.27</v>
      </c>
      <c r="P1233" s="47" t="n">
        <f aca="false">IF(O1233&lt;&gt;"",O1233*0.1,"")</f>
        <v>16.827</v>
      </c>
      <c r="Q1233" s="83" t="n">
        <f aca="false">IF(O1233&lt;&gt;"",O1233+P1233,"")</f>
        <v>185.097</v>
      </c>
      <c r="R1233" s="84" t="s">
        <v>365</v>
      </c>
    </row>
    <row r="1234" customFormat="false" ht="15" hidden="false" customHeight="true" outlineLevel="0" collapsed="false">
      <c r="A1234" s="103" t="n">
        <v>56190</v>
      </c>
      <c r="B1234" s="73" t="n">
        <v>46238</v>
      </c>
      <c r="C1234" s="74" t="s">
        <v>572</v>
      </c>
      <c r="D1234" s="75" t="n">
        <v>50035</v>
      </c>
      <c r="E1234" s="52" t="str">
        <f aca="false">IF(D1234&lt;&gt;"",IFERROR(VLOOKUP(D1234,PROVEEDORES!$A:$B,2,0),"!COD NO ENCONTRADO"),"")</f>
        <v>SCANFISK SEAFFOD S,L</v>
      </c>
      <c r="F1234" s="76" t="str">
        <f aca="false">IF(D1234&lt;&gt;"",IFERROR(VLOOKUP(D1234,PROVEEDORES!$A:$C,3,0),""),"")</f>
        <v>N</v>
      </c>
      <c r="G1234" s="75" t="s">
        <v>209</v>
      </c>
      <c r="H1234" s="52" t="str">
        <f aca="false">IF(G1234&lt;&gt;"",IFERROR(VLOOKUP(G1234,PRODUCTOS!$A:$B,2,0),"!COD NO ENCONTRADO"),"")</f>
        <v>MERLUZA EUROPEA PINCHO</v>
      </c>
      <c r="I1234" s="77" t="n">
        <v>2</v>
      </c>
      <c r="J1234" s="78" t="n">
        <v>10.5</v>
      </c>
      <c r="K1234" s="79" t="n">
        <v>4.9</v>
      </c>
      <c r="L1234" s="80" t="n">
        <f aca="false">IF(AND(J1234&lt;&gt;"",K1234&lt;&gt;""),J1234*K1234,"")</f>
        <v>51.45</v>
      </c>
      <c r="M1234" s="81" t="n">
        <f aca="false">IF(L1234&lt;&gt;"",L1234*1.1,"")</f>
        <v>56.595</v>
      </c>
      <c r="N1234" s="53" t="n">
        <f aca="false">IF(F1234="S",L1234*0.02,0)</f>
        <v>0</v>
      </c>
      <c r="O1234" s="82" t="n">
        <f aca="false">IF(L1234&lt;&gt;"",L1234+N1234,"")</f>
        <v>51.45</v>
      </c>
      <c r="P1234" s="53" t="n">
        <f aca="false">IF(O1234&lt;&gt;"",O1234*0.1,"")</f>
        <v>5.145</v>
      </c>
      <c r="Q1234" s="83" t="n">
        <f aca="false">IF(O1234&lt;&gt;"",O1234+P1234,"")</f>
        <v>56.595</v>
      </c>
      <c r="R1234" s="84" t="s">
        <v>365</v>
      </c>
    </row>
    <row r="1235" customFormat="false" ht="15" hidden="false" customHeight="true" outlineLevel="0" collapsed="false">
      <c r="A1235" s="103" t="n">
        <v>56191</v>
      </c>
      <c r="B1235" s="85" t="n">
        <v>46239</v>
      </c>
      <c r="C1235" s="86" t="s">
        <v>573</v>
      </c>
      <c r="D1235" s="87" t="n">
        <v>50232</v>
      </c>
      <c r="E1235" s="46" t="str">
        <f aca="false">IF(D1235&lt;&gt;"",IFERROR(VLOOKUP(D1235,PROVEEDORES!$A:$B,2,0),"!COD NO ENCONTRADO"),"")</f>
        <v>XESTION NOVA LONXA RIVEIRA S.L.</v>
      </c>
      <c r="F1235" s="88" t="str">
        <f aca="false">IF(D1235&lt;&gt;"",IFERROR(VLOOKUP(D1235,PROVEEDORES!$A:$C,3,0),""),"")</f>
        <v>S</v>
      </c>
      <c r="G1235" s="87" t="s">
        <v>296</v>
      </c>
      <c r="H1235" s="46" t="str">
        <f aca="false">IF(G1235&lt;&gt;"",IFERROR(VLOOKUP(G1235,PRODUCTOS!$A:$B,2,0),"!COD NO ENCONTRADO"),"")</f>
        <v>RAPE NEGRO (ANK)</v>
      </c>
      <c r="I1235" s="89" t="n">
        <v>12</v>
      </c>
      <c r="J1235" s="90" t="n">
        <v>97.6</v>
      </c>
      <c r="K1235" s="91" t="n">
        <v>4</v>
      </c>
      <c r="L1235" s="80" t="n">
        <f aca="false">IF(AND(J1235&lt;&gt;"",K1235&lt;&gt;""),J1235*K1235,"")</f>
        <v>390.4</v>
      </c>
      <c r="M1235" s="81" t="n">
        <f aca="false">IF(L1235&lt;&gt;"",L1235*1.1,"")</f>
        <v>429.44</v>
      </c>
      <c r="N1235" s="47" t="n">
        <f aca="false">IF(F1235="S",L1235*0.02,0)</f>
        <v>7.808</v>
      </c>
      <c r="O1235" s="82" t="n">
        <f aca="false">IF(L1235&lt;&gt;"",L1235+N1235,"")</f>
        <v>398.208</v>
      </c>
      <c r="P1235" s="47" t="n">
        <f aca="false">IF(O1235&lt;&gt;"",O1235*0.1,"")</f>
        <v>39.8208</v>
      </c>
      <c r="Q1235" s="83" t="n">
        <f aca="false">IF(O1235&lt;&gt;"",O1235+P1235,"")</f>
        <v>438.0288</v>
      </c>
      <c r="R1235" s="84" t="s">
        <v>358</v>
      </c>
    </row>
    <row r="1236" customFormat="false" ht="15" hidden="false" customHeight="true" outlineLevel="0" collapsed="false">
      <c r="A1236" s="103" t="n">
        <v>56191</v>
      </c>
      <c r="B1236" s="85" t="n">
        <v>46239</v>
      </c>
      <c r="C1236" s="86" t="s">
        <v>573</v>
      </c>
      <c r="D1236" s="87" t="n">
        <v>50232</v>
      </c>
      <c r="E1236" s="46" t="str">
        <f aca="false">IF(D1236&lt;&gt;"",IFERROR(VLOOKUP(D1236,PROVEEDORES!$A:$B,2,0),"!COD NO ENCONTRADO"),"")</f>
        <v>XESTION NOVA LONXA RIVEIRA S.L.</v>
      </c>
      <c r="F1236" s="76" t="str">
        <f aca="false">IF(D1236&lt;&gt;"",IFERROR(VLOOKUP(D1236,PROVEEDORES!$A:$C,3,0),""),"")</f>
        <v>S</v>
      </c>
      <c r="G1236" s="75" t="s">
        <v>296</v>
      </c>
      <c r="H1236" s="52" t="str">
        <f aca="false">IF(G1236&lt;&gt;"",IFERROR(VLOOKUP(G1236,PRODUCTOS!$A:$B,2,0),"!COD NO ENCONTRADO"),"")</f>
        <v>RAPE NEGRO (ANK)</v>
      </c>
      <c r="I1236" s="77" t="n">
        <v>2</v>
      </c>
      <c r="J1236" s="78" t="n">
        <v>17.5</v>
      </c>
      <c r="K1236" s="79" t="n">
        <v>5.5</v>
      </c>
      <c r="L1236" s="80" t="n">
        <f aca="false">IF(AND(J1236&lt;&gt;"",K1236&lt;&gt;""),J1236*K1236,"")</f>
        <v>96.25</v>
      </c>
      <c r="M1236" s="81" t="n">
        <f aca="false">IF(L1236&lt;&gt;"",L1236*1.1,"")</f>
        <v>105.875</v>
      </c>
      <c r="N1236" s="53" t="n">
        <f aca="false">IF(F1236="S",L1236*0.02,0)</f>
        <v>1.925</v>
      </c>
      <c r="O1236" s="82" t="n">
        <f aca="false">IF(L1236&lt;&gt;"",L1236+N1236,"")</f>
        <v>98.175</v>
      </c>
      <c r="P1236" s="53" t="n">
        <f aca="false">IF(O1236&lt;&gt;"",O1236*0.1,"")</f>
        <v>9.8175</v>
      </c>
      <c r="Q1236" s="83" t="n">
        <f aca="false">IF(O1236&lt;&gt;"",O1236+P1236,"")</f>
        <v>107.9925</v>
      </c>
      <c r="R1236" s="84" t="s">
        <v>358</v>
      </c>
    </row>
    <row r="1237" customFormat="false" ht="15" hidden="false" customHeight="true" outlineLevel="0" collapsed="false">
      <c r="A1237" s="103" t="n">
        <v>56191</v>
      </c>
      <c r="B1237" s="85" t="n">
        <v>46239</v>
      </c>
      <c r="C1237" s="86" t="s">
        <v>573</v>
      </c>
      <c r="D1237" s="87" t="n">
        <v>50232</v>
      </c>
      <c r="E1237" s="46" t="str">
        <f aca="false">IF(D1237&lt;&gt;"",IFERROR(VLOOKUP(D1237,PROVEEDORES!$A:$B,2,0),"!COD NO ENCONTRADO"),"")</f>
        <v>XESTION NOVA LONXA RIVEIRA S.L.</v>
      </c>
      <c r="F1237" s="88" t="str">
        <f aca="false">IF(D1237&lt;&gt;"",IFERROR(VLOOKUP(D1237,PROVEEDORES!$A:$C,3,0),""),"")</f>
        <v>S</v>
      </c>
      <c r="G1237" s="87" t="s">
        <v>310</v>
      </c>
      <c r="H1237" s="46" t="str">
        <f aca="false">IF(G1237&lt;&gt;"",IFERROR(VLOOKUP(G1237,PRODUCTOS!$A:$B,2,0),"!COD NO ENCONTRADO"),"")</f>
        <v>SABOGA/ SALEMA/ SALMA (SLM)</v>
      </c>
      <c r="I1237" s="89" t="n">
        <v>2</v>
      </c>
      <c r="J1237" s="90" t="n">
        <v>12.7</v>
      </c>
      <c r="K1237" s="91" t="n">
        <v>0.8</v>
      </c>
      <c r="L1237" s="80" t="n">
        <f aca="false">IF(AND(J1237&lt;&gt;"",K1237&lt;&gt;""),J1237*K1237,"")</f>
        <v>10.16</v>
      </c>
      <c r="M1237" s="81" t="n">
        <f aca="false">IF(L1237&lt;&gt;"",L1237*1.1,"")</f>
        <v>11.176</v>
      </c>
      <c r="N1237" s="47" t="n">
        <f aca="false">IF(F1237="S",L1237*0.02,0)</f>
        <v>0.2032</v>
      </c>
      <c r="O1237" s="82" t="n">
        <f aca="false">IF(L1237&lt;&gt;"",L1237+N1237,"")</f>
        <v>10.3632</v>
      </c>
      <c r="P1237" s="47" t="n">
        <f aca="false">IF(O1237&lt;&gt;"",O1237*0.1,"")</f>
        <v>1.03632</v>
      </c>
      <c r="Q1237" s="83" t="n">
        <f aca="false">IF(O1237&lt;&gt;"",O1237+P1237,"")</f>
        <v>11.39952</v>
      </c>
      <c r="R1237" s="84" t="s">
        <v>358</v>
      </c>
    </row>
    <row r="1238" customFormat="false" ht="15" hidden="false" customHeight="true" outlineLevel="0" collapsed="false">
      <c r="A1238" s="103" t="n">
        <v>56191</v>
      </c>
      <c r="B1238" s="85" t="n">
        <v>46239</v>
      </c>
      <c r="C1238" s="86" t="s">
        <v>573</v>
      </c>
      <c r="D1238" s="87" t="n">
        <v>50232</v>
      </c>
      <c r="E1238" s="46" t="str">
        <f aca="false">IF(D1238&lt;&gt;"",IFERROR(VLOOKUP(D1238,PROVEEDORES!$A:$B,2,0),"!COD NO ENCONTRADO"),"")</f>
        <v>XESTION NOVA LONXA RIVEIRA S.L.</v>
      </c>
      <c r="F1238" s="76" t="str">
        <f aca="false">IF(D1238&lt;&gt;"",IFERROR(VLOOKUP(D1238,PROVEEDORES!$A:$C,3,0),""),"")</f>
        <v>S</v>
      </c>
      <c r="G1238" s="75" t="s">
        <v>97</v>
      </c>
      <c r="H1238" s="52" t="str">
        <f aca="false">IF(G1238&lt;&gt;"",IFERROR(VLOOKUP(G1238,PRODUCTOS!$A:$B,2,0),"!COD NO ENCONTRADO"),"")</f>
        <v>CABALL/ SARDA/ VERDEL (MAC)</v>
      </c>
      <c r="I1238" s="77" t="n">
        <v>28</v>
      </c>
      <c r="J1238" s="78" t="n">
        <v>294.8</v>
      </c>
      <c r="K1238" s="79" t="n">
        <v>4</v>
      </c>
      <c r="L1238" s="80" t="n">
        <f aca="false">IF(AND(J1238&lt;&gt;"",K1238&lt;&gt;""),J1238*K1238,"")</f>
        <v>1179.2</v>
      </c>
      <c r="M1238" s="81" t="n">
        <f aca="false">IF(L1238&lt;&gt;"",L1238*1.1,"")</f>
        <v>1297.12</v>
      </c>
      <c r="N1238" s="53" t="n">
        <f aca="false">IF(F1238="S",L1238*0.02,0)</f>
        <v>23.584</v>
      </c>
      <c r="O1238" s="82" t="n">
        <f aca="false">IF(L1238&lt;&gt;"",L1238+N1238,"")</f>
        <v>1202.784</v>
      </c>
      <c r="P1238" s="53" t="n">
        <f aca="false">IF(O1238&lt;&gt;"",O1238*0.1,"")</f>
        <v>120.2784</v>
      </c>
      <c r="Q1238" s="83" t="n">
        <f aca="false">IF(O1238&lt;&gt;"",O1238+P1238,"")</f>
        <v>1323.0624</v>
      </c>
      <c r="R1238" s="84" t="s">
        <v>358</v>
      </c>
    </row>
    <row r="1239" customFormat="false" ht="15" hidden="false" customHeight="true" outlineLevel="0" collapsed="false">
      <c r="A1239" s="103" t="n">
        <v>56191</v>
      </c>
      <c r="B1239" s="85" t="n">
        <v>46239</v>
      </c>
      <c r="C1239" s="86" t="s">
        <v>573</v>
      </c>
      <c r="D1239" s="87" t="n">
        <v>50232</v>
      </c>
      <c r="E1239" s="46" t="str">
        <f aca="false">IF(D1239&lt;&gt;"",IFERROR(VLOOKUP(D1239,PROVEEDORES!$A:$B,2,0),"!COD NO ENCONTRADO"),"")</f>
        <v>XESTION NOVA LONXA RIVEIRA S.L.</v>
      </c>
      <c r="F1239" s="88" t="str">
        <f aca="false">IF(D1239&lt;&gt;"",IFERROR(VLOOKUP(D1239,PROVEEDORES!$A:$C,3,0),""),"")</f>
        <v>S</v>
      </c>
      <c r="G1239" s="87" t="s">
        <v>304</v>
      </c>
      <c r="H1239" s="46" t="str">
        <f aca="false">IF(G1239&lt;&gt;"",IFERROR(VLOOKUP(G1239,PRODUCTOS!$A:$B,2,0),"!COD NO ENCONTRADO"),"")</f>
        <v>RAYA SPP (SKA)</v>
      </c>
      <c r="I1239" s="89" t="n">
        <v>4</v>
      </c>
      <c r="J1239" s="90" t="n">
        <v>22.6</v>
      </c>
      <c r="K1239" s="91" t="n">
        <v>0.6</v>
      </c>
      <c r="L1239" s="80" t="n">
        <f aca="false">IF(AND(J1239&lt;&gt;"",K1239&lt;&gt;""),J1239*K1239,"")</f>
        <v>13.56</v>
      </c>
      <c r="M1239" s="81" t="n">
        <f aca="false">IF(L1239&lt;&gt;"",L1239*1.1,"")</f>
        <v>14.916</v>
      </c>
      <c r="N1239" s="47" t="n">
        <f aca="false">IF(F1239="S",L1239*0.02,0)</f>
        <v>0.2712</v>
      </c>
      <c r="O1239" s="82" t="n">
        <f aca="false">IF(L1239&lt;&gt;"",L1239+N1239,"")</f>
        <v>13.8312</v>
      </c>
      <c r="P1239" s="47" t="n">
        <f aca="false">IF(O1239&lt;&gt;"",O1239*0.1,"")</f>
        <v>1.38312</v>
      </c>
      <c r="Q1239" s="83" t="n">
        <f aca="false">IF(O1239&lt;&gt;"",O1239+P1239,"")</f>
        <v>15.21432</v>
      </c>
      <c r="R1239" s="84" t="s">
        <v>358</v>
      </c>
    </row>
    <row r="1240" customFormat="false" ht="15" hidden="false" customHeight="true" outlineLevel="0" collapsed="false">
      <c r="A1240" s="103" t="n">
        <v>56192</v>
      </c>
      <c r="B1240" s="73" t="n">
        <v>46239</v>
      </c>
      <c r="C1240" s="74" t="s">
        <v>574</v>
      </c>
      <c r="D1240" s="75" t="n">
        <v>50509</v>
      </c>
      <c r="E1240" s="52" t="str">
        <f aca="false">IF(D1240&lt;&gt;"",IFERROR(VLOOKUP(D1240,PROVEEDORES!$A:$B,2,0),"!COD NO ENCONTRADO"),"")</f>
        <v>AZORFISK UNIPERSONAL LDA</v>
      </c>
      <c r="F1240" s="76" t="str">
        <f aca="false">IF(D1240&lt;&gt;"",IFERROR(VLOOKUP(D1240,PROVEEDORES!$A:$C,3,0),""),"")</f>
        <v>N</v>
      </c>
      <c r="G1240" s="75" t="s">
        <v>83</v>
      </c>
      <c r="H1240" s="52" t="str">
        <f aca="false">IF(G1240&lt;&gt;"",IFERROR(VLOOKUP(G1240,PRODUCTOS!$A:$B,2,0),"!COD NO ENCONTRADO"),"")</f>
        <v>BESUGO (BSR)</v>
      </c>
      <c r="I1240" s="77" t="n">
        <v>2</v>
      </c>
      <c r="J1240" s="78" t="n">
        <v>17.5</v>
      </c>
      <c r="K1240" s="79" t="n">
        <v>24</v>
      </c>
      <c r="L1240" s="80" t="n">
        <f aca="false">IF(AND(J1240&lt;&gt;"",K1240&lt;&gt;""),J1240*K1240,"")</f>
        <v>420</v>
      </c>
      <c r="M1240" s="81" t="n">
        <f aca="false">IF(L1240&lt;&gt;"",L1240*1.1,"")</f>
        <v>462</v>
      </c>
      <c r="N1240" s="53" t="n">
        <f aca="false">IF(F1240="S",L1240*0.02,0)</f>
        <v>0</v>
      </c>
      <c r="O1240" s="82" t="n">
        <f aca="false">IF(L1240&lt;&gt;"",L1240+N1240,"")</f>
        <v>420</v>
      </c>
      <c r="P1240" s="53" t="n">
        <f aca="false">IF(O1240&lt;&gt;"",O1240*0.1,"")</f>
        <v>42</v>
      </c>
      <c r="Q1240" s="83" t="n">
        <f aca="false">IF(O1240&lt;&gt;"",O1240+P1240,"")</f>
        <v>462</v>
      </c>
      <c r="R1240" s="84" t="s">
        <v>358</v>
      </c>
    </row>
    <row r="1241" customFormat="false" ht="15" hidden="false" customHeight="true" outlineLevel="0" collapsed="false">
      <c r="A1241" s="103" t="n">
        <v>56193</v>
      </c>
      <c r="B1241" s="85" t="n">
        <v>46239</v>
      </c>
      <c r="C1241" s="86" t="s">
        <v>575</v>
      </c>
      <c r="D1241" s="87" t="n">
        <v>50048</v>
      </c>
      <c r="E1241" s="46" t="str">
        <f aca="false">IF(D1241&lt;&gt;"",IFERROR(VLOOKUP(D1241,PROVEEDORES!$A:$B,2,0),"!COD NO ENCONTRADO"),"")</f>
        <v>JOSE LUIS CORREA KESSLER S.L.</v>
      </c>
      <c r="F1241" s="88" t="str">
        <f aca="false">IF(D1241&lt;&gt;"",IFERROR(VLOOKUP(D1241,PROVEEDORES!$A:$C,3,0),""),"")</f>
        <v>N</v>
      </c>
      <c r="G1241" s="87" t="s">
        <v>179</v>
      </c>
      <c r="H1241" s="46" t="str">
        <f aca="false">IF(G1241&lt;&gt;"",IFERROR(VLOOKUP(G1241,PRODUCTOS!$A:$B,2,0),"!COD NO ENCONTRADO"),"")</f>
        <v>LIRIO/ BACALADILLA/ PERLA (WHB)</v>
      </c>
      <c r="I1241" s="89" t="n">
        <v>31</v>
      </c>
      <c r="J1241" s="90" t="n">
        <v>186</v>
      </c>
      <c r="K1241" s="91" t="n">
        <v>3.3</v>
      </c>
      <c r="L1241" s="80" t="n">
        <f aca="false">IF(AND(J1241&lt;&gt;"",K1241&lt;&gt;""),J1241*K1241,"")</f>
        <v>613.8</v>
      </c>
      <c r="M1241" s="81" t="n">
        <f aca="false">IF(L1241&lt;&gt;"",L1241*1.1,"")</f>
        <v>675.18</v>
      </c>
      <c r="N1241" s="47" t="n">
        <f aca="false">IF(F1241="S",L1241*0.02,0)</f>
        <v>0</v>
      </c>
      <c r="O1241" s="82" t="n">
        <f aca="false">IF(L1241&lt;&gt;"",L1241+N1241,"")</f>
        <v>613.8</v>
      </c>
      <c r="P1241" s="47" t="n">
        <f aca="false">IF(O1241&lt;&gt;"",O1241*0.1,"")</f>
        <v>61.38</v>
      </c>
      <c r="Q1241" s="83" t="n">
        <f aca="false">IF(O1241&lt;&gt;"",O1241+P1241,"")</f>
        <v>675.18</v>
      </c>
      <c r="R1241" s="84" t="s">
        <v>358</v>
      </c>
    </row>
    <row r="1242" customFormat="false" ht="15" hidden="false" customHeight="true" outlineLevel="0" collapsed="false">
      <c r="A1242" s="103" t="n">
        <v>56193</v>
      </c>
      <c r="B1242" s="73" t="n">
        <v>46239</v>
      </c>
      <c r="C1242" s="74" t="s">
        <v>576</v>
      </c>
      <c r="D1242" s="75" t="n">
        <v>50048</v>
      </c>
      <c r="E1242" s="52" t="str">
        <f aca="false">IF(D1242&lt;&gt;"",IFERROR(VLOOKUP(D1242,PROVEEDORES!$A:$B,2,0),"!COD NO ENCONTRADO"),"")</f>
        <v>JOSE LUIS CORREA KESSLER S.L.</v>
      </c>
      <c r="F1242" s="76" t="str">
        <f aca="false">IF(D1242&lt;&gt;"",IFERROR(VLOOKUP(D1242,PROVEEDORES!$A:$C,3,0),""),"")</f>
        <v>N</v>
      </c>
      <c r="G1242" s="75" t="s">
        <v>179</v>
      </c>
      <c r="H1242" s="52" t="str">
        <f aca="false">IF(G1242&lt;&gt;"",IFERROR(VLOOKUP(G1242,PRODUCTOS!$A:$B,2,0),"!COD NO ENCONTRADO"),"")</f>
        <v>LIRIO/ BACALADILLA/ PERLA (WHB)</v>
      </c>
      <c r="I1242" s="77" t="n">
        <v>40</v>
      </c>
      <c r="J1242" s="78" t="n">
        <v>240</v>
      </c>
      <c r="K1242" s="79" t="n">
        <v>3</v>
      </c>
      <c r="L1242" s="80" t="n">
        <f aca="false">IF(AND(J1242&lt;&gt;"",K1242&lt;&gt;""),J1242*K1242,"")</f>
        <v>720</v>
      </c>
      <c r="M1242" s="81" t="n">
        <f aca="false">IF(L1242&lt;&gt;"",L1242*1.1,"")</f>
        <v>792</v>
      </c>
      <c r="N1242" s="53" t="n">
        <f aca="false">IF(F1242="S",L1242*0.02,0)</f>
        <v>0</v>
      </c>
      <c r="O1242" s="82" t="n">
        <f aca="false">IF(L1242&lt;&gt;"",L1242+N1242,"")</f>
        <v>720</v>
      </c>
      <c r="P1242" s="53" t="n">
        <f aca="false">IF(O1242&lt;&gt;"",O1242*0.1,"")</f>
        <v>72</v>
      </c>
      <c r="Q1242" s="83" t="n">
        <f aca="false">IF(O1242&lt;&gt;"",O1242+P1242,"")</f>
        <v>792</v>
      </c>
      <c r="R1242" s="84" t="s">
        <v>358</v>
      </c>
    </row>
    <row r="1243" customFormat="false" ht="15" hidden="false" customHeight="true" outlineLevel="0" collapsed="false">
      <c r="A1243" s="103" t="n">
        <v>56194</v>
      </c>
      <c r="B1243" s="73" t="n">
        <v>46239</v>
      </c>
      <c r="C1243" s="86" t="n">
        <v>11339</v>
      </c>
      <c r="D1243" s="87" t="n">
        <v>50001</v>
      </c>
      <c r="E1243" s="46" t="str">
        <f aca="false">IF(D1243&lt;&gt;"",IFERROR(VLOOKUP(D1243,PROVEEDORES!$A:$B,2,0),"!COD NO ENCONTRADO"),"")</f>
        <v>COPESA</v>
      </c>
      <c r="F1243" s="88" t="str">
        <f aca="false">IF(D1243&lt;&gt;"",IFERROR(VLOOKUP(D1243,PROVEEDORES!$A:$C,3,0),""),"")</f>
        <v>S</v>
      </c>
      <c r="G1243" s="87" t="s">
        <v>193</v>
      </c>
      <c r="H1243" s="46" t="str">
        <f aca="false">IF(G1243&lt;&gt;"",IFERROR(VLOOKUP(G1243,PRODUCTOS!$A:$B,2,0),"!COD NO ENCONTRADO"),"")</f>
        <v>MERLUZA EUROPEA ARRASTRE (HKE) </v>
      </c>
      <c r="I1243" s="89" t="n">
        <v>3</v>
      </c>
      <c r="J1243" s="105" t="n">
        <v>52.5</v>
      </c>
      <c r="K1243" s="125" t="n">
        <v>4.8</v>
      </c>
      <c r="L1243" s="80" t="n">
        <f aca="false">IF(AND(J1243&lt;&gt;"",K1243&lt;&gt;""),J1243*K1243,"")</f>
        <v>252</v>
      </c>
      <c r="M1243" s="81" t="n">
        <f aca="false">IF(L1243&lt;&gt;"",L1243*1.1,"")</f>
        <v>277.2</v>
      </c>
      <c r="N1243" s="47" t="n">
        <f aca="false">IF(F1243="S",L1243*0.02,0)</f>
        <v>5.04</v>
      </c>
      <c r="O1243" s="82" t="n">
        <f aca="false">IF(L1243&lt;&gt;"",L1243+N1243,"")</f>
        <v>257.04</v>
      </c>
      <c r="P1243" s="47" t="n">
        <f aca="false">IF(O1243&lt;&gt;"",O1243*0.1,"")</f>
        <v>25.704</v>
      </c>
      <c r="Q1243" s="83" t="n">
        <f aca="false">IF(O1243&lt;&gt;"",O1243+P1243,"")</f>
        <v>282.744</v>
      </c>
      <c r="R1243" s="84" t="s">
        <v>358</v>
      </c>
    </row>
    <row r="1244" customFormat="false" ht="15" hidden="false" customHeight="true" outlineLevel="0" collapsed="false">
      <c r="A1244" s="103" t="n">
        <v>56194</v>
      </c>
      <c r="B1244" s="73" t="n">
        <v>46239</v>
      </c>
      <c r="C1244" s="86" t="n">
        <v>11339</v>
      </c>
      <c r="D1244" s="87" t="n">
        <v>50001</v>
      </c>
      <c r="E1244" s="46" t="str">
        <f aca="false">IF(D1244&lt;&gt;"",IFERROR(VLOOKUP(D1244,PROVEEDORES!$A:$B,2,0),"!COD NO ENCONTRADO"),"")</f>
        <v>COPESA</v>
      </c>
      <c r="F1244" s="76" t="str">
        <f aca="false">IF(D1244&lt;&gt;"",IFERROR(VLOOKUP(D1244,PROVEEDORES!$A:$C,3,0),""),"")</f>
        <v>S</v>
      </c>
      <c r="G1244" s="75" t="s">
        <v>103</v>
      </c>
      <c r="H1244" s="52" t="str">
        <f aca="false">IF(G1244&lt;&gt;"",IFERROR(VLOOKUP(G1244,PRODUCTOS!$A:$B,2,0),"!COD NO ENCONTRADO"),"")</f>
        <v>CABRAS/ GALLINETA (BRF)</v>
      </c>
      <c r="I1244" s="77" t="n">
        <v>4</v>
      </c>
      <c r="J1244" s="105" t="n">
        <v>89.75</v>
      </c>
      <c r="K1244" s="125" t="n">
        <v>2.2</v>
      </c>
      <c r="L1244" s="80" t="n">
        <f aca="false">IF(AND(J1244&lt;&gt;"",K1244&lt;&gt;""),J1244*K1244,"")</f>
        <v>197.45</v>
      </c>
      <c r="M1244" s="81" t="n">
        <f aca="false">IF(L1244&lt;&gt;"",L1244*1.1,"")</f>
        <v>217.195</v>
      </c>
      <c r="N1244" s="53" t="n">
        <f aca="false">IF(F1244="S",L1244*0.02,0)</f>
        <v>3.949</v>
      </c>
      <c r="O1244" s="82" t="n">
        <f aca="false">IF(L1244&lt;&gt;"",L1244+N1244,"")</f>
        <v>201.399</v>
      </c>
      <c r="P1244" s="53" t="n">
        <f aca="false">IF(O1244&lt;&gt;"",O1244*0.1,"")</f>
        <v>20.1399</v>
      </c>
      <c r="Q1244" s="83" t="n">
        <f aca="false">IF(O1244&lt;&gt;"",O1244+P1244,"")</f>
        <v>221.5389</v>
      </c>
      <c r="R1244" s="84" t="s">
        <v>358</v>
      </c>
    </row>
    <row r="1245" customFormat="false" ht="15" hidden="false" customHeight="true" outlineLevel="0" collapsed="false">
      <c r="A1245" s="103" t="n">
        <v>56194</v>
      </c>
      <c r="B1245" s="73" t="n">
        <v>46239</v>
      </c>
      <c r="C1245" s="86" t="n">
        <v>11339</v>
      </c>
      <c r="D1245" s="87" t="n">
        <v>50001</v>
      </c>
      <c r="E1245" s="46" t="str">
        <f aca="false">IF(D1245&lt;&gt;"",IFERROR(VLOOKUP(D1245,PROVEEDORES!$A:$B,2,0),"!COD NO ENCONTRADO"),"")</f>
        <v>COPESA</v>
      </c>
      <c r="F1245" s="88" t="str">
        <f aca="false">IF(D1245&lt;&gt;"",IFERROR(VLOOKUP(D1245,PROVEEDORES!$A:$C,3,0),""),"")</f>
        <v>S</v>
      </c>
      <c r="G1245" s="87" t="s">
        <v>276</v>
      </c>
      <c r="H1245" s="46" t="str">
        <f aca="false">IF(G1245&lt;&gt;"",IFERROR(VLOOKUP(G1245,PRODUCTOS!$A:$B,2,0),"!COD NO ENCONTRADO"),"")</f>
        <v>MERLUZA EUROPEA/ FINA DIA </v>
      </c>
      <c r="I1245" s="89" t="n">
        <v>7</v>
      </c>
      <c r="J1245" s="105" t="n">
        <v>42</v>
      </c>
      <c r="K1245" s="125" t="n">
        <v>2.25</v>
      </c>
      <c r="L1245" s="80" t="n">
        <f aca="false">IF(AND(J1245&lt;&gt;"",K1245&lt;&gt;""),J1245*K1245,"")</f>
        <v>94.5</v>
      </c>
      <c r="M1245" s="81" t="n">
        <f aca="false">IF(L1245&lt;&gt;"",L1245*1.1,"")</f>
        <v>103.95</v>
      </c>
      <c r="N1245" s="47" t="n">
        <f aca="false">IF(F1245="S",L1245*0.02,0)</f>
        <v>1.89</v>
      </c>
      <c r="O1245" s="82" t="n">
        <f aca="false">IF(L1245&lt;&gt;"",L1245+N1245,"")</f>
        <v>96.39</v>
      </c>
      <c r="P1245" s="47" t="n">
        <f aca="false">IF(O1245&lt;&gt;"",O1245*0.1,"")</f>
        <v>9.639</v>
      </c>
      <c r="Q1245" s="83" t="n">
        <f aca="false">IF(O1245&lt;&gt;"",O1245+P1245,"")</f>
        <v>106.029</v>
      </c>
      <c r="R1245" s="84" t="s">
        <v>358</v>
      </c>
    </row>
    <row r="1246" customFormat="false" ht="15" hidden="false" customHeight="true" outlineLevel="0" collapsed="false">
      <c r="A1246" s="103" t="n">
        <v>56194</v>
      </c>
      <c r="B1246" s="73" t="n">
        <v>46239</v>
      </c>
      <c r="C1246" s="86" t="n">
        <v>11339</v>
      </c>
      <c r="D1246" s="87" t="n">
        <v>50001</v>
      </c>
      <c r="E1246" s="46" t="str">
        <f aca="false">IF(D1246&lt;&gt;"",IFERROR(VLOOKUP(D1246,PROVEEDORES!$A:$B,2,0),"!COD NO ENCONTRADO"),"")</f>
        <v>COPESA</v>
      </c>
      <c r="F1246" s="76" t="str">
        <f aca="false">IF(D1246&lt;&gt;"",IFERROR(VLOOKUP(D1246,PROVEEDORES!$A:$C,3,0),""),"")</f>
        <v>S</v>
      </c>
      <c r="G1246" s="75" t="s">
        <v>276</v>
      </c>
      <c r="H1246" s="52" t="str">
        <f aca="false">IF(G1246&lt;&gt;"",IFERROR(VLOOKUP(G1246,PRODUCTOS!$A:$B,2,0),"!COD NO ENCONTRADO"),"")</f>
        <v>MERLUZA EUROPEA/ FINA DIA </v>
      </c>
      <c r="I1246" s="77" t="n">
        <v>5</v>
      </c>
      <c r="J1246" s="105" t="n">
        <v>32.25</v>
      </c>
      <c r="K1246" s="125" t="n">
        <v>3.3</v>
      </c>
      <c r="L1246" s="80" t="n">
        <f aca="false">IF(AND(J1246&lt;&gt;"",K1246&lt;&gt;""),J1246*K1246,"")</f>
        <v>106.425</v>
      </c>
      <c r="M1246" s="81" t="n">
        <f aca="false">IF(L1246&lt;&gt;"",L1246*1.1,"")</f>
        <v>117.0675</v>
      </c>
      <c r="N1246" s="53" t="n">
        <f aca="false">IF(F1246="S",L1246*0.02,0)</f>
        <v>2.1285</v>
      </c>
      <c r="O1246" s="82" t="n">
        <f aca="false">IF(L1246&lt;&gt;"",L1246+N1246,"")</f>
        <v>108.5535</v>
      </c>
      <c r="P1246" s="53" t="n">
        <f aca="false">IF(O1246&lt;&gt;"",O1246*0.1,"")</f>
        <v>10.85535</v>
      </c>
      <c r="Q1246" s="83" t="n">
        <f aca="false">IF(O1246&lt;&gt;"",O1246+P1246,"")</f>
        <v>119.40885</v>
      </c>
      <c r="R1246" s="84" t="s">
        <v>358</v>
      </c>
    </row>
    <row r="1247" customFormat="false" ht="15" hidden="false" customHeight="true" outlineLevel="0" collapsed="false">
      <c r="A1247" s="103" t="n">
        <v>56195</v>
      </c>
      <c r="B1247" s="73" t="n">
        <v>46239</v>
      </c>
      <c r="C1247" s="86" t="s">
        <v>577</v>
      </c>
      <c r="D1247" s="87" t="n">
        <v>50010</v>
      </c>
      <c r="E1247" s="46" t="str">
        <f aca="false">IF(D1247&lt;&gt;"",IFERROR(VLOOKUP(D1247,PROVEEDORES!$A:$B,2,0),"!COD NO ENCONTRADO"),"")</f>
        <v>PERFECTO MONTERO</v>
      </c>
      <c r="F1247" s="88" t="str">
        <f aca="false">IF(D1247&lt;&gt;"",IFERROR(VLOOKUP(D1247,PROVEEDORES!$A:$C,3,0),""),"")</f>
        <v>S</v>
      </c>
      <c r="G1247" s="87" t="s">
        <v>324</v>
      </c>
      <c r="H1247" s="46" t="str">
        <f aca="false">IF(G1247&lt;&gt;"",IFERROR(VLOOKUP(G1247,PRODUCTOS!$A:$B,2,0),"!COD NO ENCONTRADO"),"")</f>
        <v>SARDINA    (PIL)</v>
      </c>
      <c r="I1247" s="89" t="n">
        <v>5</v>
      </c>
      <c r="J1247" s="90" t="n">
        <v>62.75</v>
      </c>
      <c r="K1247" s="91" t="n">
        <v>3.35</v>
      </c>
      <c r="L1247" s="80" t="n">
        <f aca="false">IF(AND(J1247&lt;&gt;"",K1247&lt;&gt;""),J1247*K1247,"")</f>
        <v>210.2125</v>
      </c>
      <c r="M1247" s="81" t="n">
        <f aca="false">IF(L1247&lt;&gt;"",L1247*1.1,"")</f>
        <v>231.23375</v>
      </c>
      <c r="N1247" s="47" t="n">
        <f aca="false">IF(F1247="S",L1247*0.02,0)</f>
        <v>4.20425</v>
      </c>
      <c r="O1247" s="82" t="n">
        <f aca="false">IF(L1247&lt;&gt;"",L1247+N1247,"")</f>
        <v>214.41675</v>
      </c>
      <c r="P1247" s="47" t="n">
        <f aca="false">IF(O1247&lt;&gt;"",O1247*0.1,"")</f>
        <v>21.441675</v>
      </c>
      <c r="Q1247" s="83" t="n">
        <f aca="false">IF(O1247&lt;&gt;"",O1247+P1247,"")</f>
        <v>235.858425</v>
      </c>
      <c r="R1247" s="84" t="s">
        <v>365</v>
      </c>
    </row>
    <row r="1248" customFormat="false" ht="15" hidden="false" customHeight="true" outlineLevel="0" collapsed="false">
      <c r="A1248" s="103" t="n">
        <v>56196</v>
      </c>
      <c r="B1248" s="73" t="n">
        <v>46239</v>
      </c>
      <c r="C1248" s="74" t="n">
        <v>18743</v>
      </c>
      <c r="D1248" s="75" t="n">
        <v>50160</v>
      </c>
      <c r="E1248" s="52" t="str">
        <f aca="false">IF(D1248&lt;&gt;"",IFERROR(VLOOKUP(D1248,PROVEEDORES!$A:$B,2,0),"!COD NO ENCONTRADO"),"")</f>
        <v>SUBASTAS CORUÑA S.L.</v>
      </c>
      <c r="F1248" s="76" t="str">
        <f aca="false">IF(D1248&lt;&gt;"",IFERROR(VLOOKUP(D1248,PROVEEDORES!$A:$C,3,0),""),"")</f>
        <v>S</v>
      </c>
      <c r="G1248" s="75" t="s">
        <v>332</v>
      </c>
      <c r="H1248" s="52" t="str">
        <f aca="false">IF(G1248&lt;&gt;"",IFERROR(VLOOKUP(G1248,PRODUCTOS!$A:$B,2,0),"!COD NO ENCONTRADO"),"")</f>
        <v>VARIADO PEQUEÑO</v>
      </c>
      <c r="I1248" s="77" t="n">
        <v>9</v>
      </c>
      <c r="J1248" s="78" t="n">
        <v>47.25</v>
      </c>
      <c r="K1248" s="79" t="n">
        <v>0.5</v>
      </c>
      <c r="L1248" s="80" t="n">
        <f aca="false">IF(AND(J1248&lt;&gt;"",K1248&lt;&gt;""),J1248*K1248,"")</f>
        <v>23.625</v>
      </c>
      <c r="M1248" s="81" t="n">
        <f aca="false">IF(L1248&lt;&gt;"",L1248*1.1,"")</f>
        <v>25.9875</v>
      </c>
      <c r="N1248" s="53" t="n">
        <f aca="false">IF(F1248="S",L1248*0.02,0)</f>
        <v>0.4725</v>
      </c>
      <c r="O1248" s="82" t="n">
        <f aca="false">IF(L1248&lt;&gt;"",L1248+N1248,"")</f>
        <v>24.0975</v>
      </c>
      <c r="P1248" s="53" t="n">
        <f aca="false">IF(O1248&lt;&gt;"",O1248*0.1,"")</f>
        <v>2.40975</v>
      </c>
      <c r="Q1248" s="83" t="n">
        <f aca="false">IF(O1248&lt;&gt;"",O1248+P1248,"")</f>
        <v>26.50725</v>
      </c>
      <c r="R1248" s="84" t="s">
        <v>365</v>
      </c>
    </row>
    <row r="1249" customFormat="false" ht="15" hidden="false" customHeight="true" outlineLevel="0" collapsed="false">
      <c r="A1249" s="103" t="n">
        <v>56197</v>
      </c>
      <c r="B1249" s="73" t="n">
        <v>46239</v>
      </c>
      <c r="C1249" s="86" t="n">
        <v>21656</v>
      </c>
      <c r="D1249" s="87" t="n">
        <v>50163</v>
      </c>
      <c r="E1249" s="46" t="str">
        <f aca="false">IF(D1249&lt;&gt;"",IFERROR(VLOOKUP(D1249,PROVEEDORES!$A:$B,2,0),"!COD NO ENCONTRADO"),"")</f>
        <v>SUBASTAS RIVERA S.L.</v>
      </c>
      <c r="F1249" s="88" t="str">
        <f aca="false">IF(D1249&lt;&gt;"",IFERROR(VLOOKUP(D1249,PROVEEDORES!$A:$C,3,0),""),"")</f>
        <v>S</v>
      </c>
      <c r="G1249" s="87" t="s">
        <v>332</v>
      </c>
      <c r="H1249" s="46" t="str">
        <f aca="false">IF(G1249&lt;&gt;"",IFERROR(VLOOKUP(G1249,PRODUCTOS!$A:$B,2,0),"!COD NO ENCONTRADO"),"")</f>
        <v>VARIADO PEQUEÑO</v>
      </c>
      <c r="I1249" s="89" t="n">
        <v>2</v>
      </c>
      <c r="J1249" s="90" t="n">
        <v>20</v>
      </c>
      <c r="K1249" s="91" t="n">
        <v>0.85</v>
      </c>
      <c r="L1249" s="80" t="n">
        <f aca="false">IF(AND(J1249&lt;&gt;"",K1249&lt;&gt;""),J1249*K1249,"")</f>
        <v>17</v>
      </c>
      <c r="M1249" s="81" t="n">
        <f aca="false">IF(L1249&lt;&gt;"",L1249*1.1,"")</f>
        <v>18.7</v>
      </c>
      <c r="N1249" s="47" t="n">
        <f aca="false">IF(F1249="S",L1249*0.02,0)</f>
        <v>0.34</v>
      </c>
      <c r="O1249" s="82" t="n">
        <f aca="false">IF(L1249&lt;&gt;"",L1249+N1249,"")</f>
        <v>17.34</v>
      </c>
      <c r="P1249" s="47" t="n">
        <f aca="false">IF(O1249&lt;&gt;"",O1249*0.1,"")</f>
        <v>1.734</v>
      </c>
      <c r="Q1249" s="83" t="n">
        <f aca="false">IF(O1249&lt;&gt;"",O1249+P1249,"")</f>
        <v>19.074</v>
      </c>
      <c r="R1249" s="84" t="s">
        <v>358</v>
      </c>
    </row>
    <row r="1250" customFormat="false" ht="15" hidden="false" customHeight="true" outlineLevel="0" collapsed="false">
      <c r="A1250" s="103" t="n">
        <v>56197</v>
      </c>
      <c r="B1250" s="73" t="n">
        <v>46239</v>
      </c>
      <c r="C1250" s="74" t="n">
        <v>21656</v>
      </c>
      <c r="D1250" s="75" t="n">
        <v>50163</v>
      </c>
      <c r="E1250" s="52" t="str">
        <f aca="false">IF(D1250&lt;&gt;"",IFERROR(VLOOKUP(D1250,PROVEEDORES!$A:$B,2,0),"!COD NO ENCONTRADO"),"")</f>
        <v>SUBASTAS RIVERA S.L.</v>
      </c>
      <c r="F1250" s="76" t="str">
        <f aca="false">IF(D1250&lt;&gt;"",IFERROR(VLOOKUP(D1250,PROVEEDORES!$A:$C,3,0),""),"")</f>
        <v>S</v>
      </c>
      <c r="G1250" s="75" t="s">
        <v>151</v>
      </c>
      <c r="H1250" s="52" t="str">
        <f aca="false">IF(G1250&lt;&gt;"",IFERROR(VLOOKUP(G1250,PRODUCTOS!$A:$B,2,0),"!COD NO ENCONTRADO"),"")</f>
        <v>ESCACHO/ ARETE/ RUBIO (GUR)</v>
      </c>
      <c r="I1250" s="77" t="n">
        <v>2</v>
      </c>
      <c r="J1250" s="78" t="n">
        <v>8</v>
      </c>
      <c r="K1250" s="79" t="n">
        <v>0.85</v>
      </c>
      <c r="L1250" s="80" t="n">
        <f aca="false">IF(AND(J1250&lt;&gt;"",K1250&lt;&gt;""),J1250*K1250,"")</f>
        <v>6.8</v>
      </c>
      <c r="M1250" s="81" t="n">
        <f aca="false">IF(L1250&lt;&gt;"",L1250*1.1,"")</f>
        <v>7.48</v>
      </c>
      <c r="N1250" s="53" t="n">
        <f aca="false">IF(F1250="S",L1250*0.02,0)</f>
        <v>0.136</v>
      </c>
      <c r="O1250" s="82" t="n">
        <f aca="false">IF(L1250&lt;&gt;"",L1250+N1250,"")</f>
        <v>6.936</v>
      </c>
      <c r="P1250" s="53" t="n">
        <f aca="false">IF(O1250&lt;&gt;"",O1250*0.1,"")</f>
        <v>0.6936</v>
      </c>
      <c r="Q1250" s="83" t="n">
        <f aca="false">IF(O1250&lt;&gt;"",O1250+P1250,"")</f>
        <v>7.6296</v>
      </c>
      <c r="R1250" s="84" t="s">
        <v>365</v>
      </c>
    </row>
    <row r="1251" customFormat="false" ht="15" hidden="false" customHeight="true" outlineLevel="0" collapsed="false">
      <c r="A1251" s="103" t="n">
        <v>56198</v>
      </c>
      <c r="B1251" s="73" t="n">
        <v>46239</v>
      </c>
      <c r="C1251" s="74" t="n">
        <v>8480</v>
      </c>
      <c r="D1251" s="75" t="n">
        <v>50020</v>
      </c>
      <c r="E1251" s="52" t="str">
        <f aca="false">IF(D1251&lt;&gt;"",IFERROR(VLOOKUP(D1251,PROVEEDORES!$A:$B,2,0),"!COD NO ENCONTRADO"),"")</f>
        <v>PACO MOINELO</v>
      </c>
      <c r="F1251" s="76" t="str">
        <f aca="false">IF(D1251&lt;&gt;"",IFERROR(VLOOKUP(D1251,PROVEEDORES!$A:$C,3,0),""),"")</f>
        <v>S</v>
      </c>
      <c r="G1251" s="75" t="s">
        <v>135</v>
      </c>
      <c r="H1251" s="52" t="str">
        <f aca="false">IF(G1251&lt;&gt;"",IFERROR(VLOOKUP(G1251,PRODUCTOS!$A:$B,2,0),"!COD NO ENCONTRADO"),"")</f>
        <v>CONGRIO 10+  (COE)</v>
      </c>
      <c r="I1251" s="77" t="n">
        <v>1</v>
      </c>
      <c r="J1251" s="78" t="n">
        <v>31</v>
      </c>
      <c r="K1251" s="79" t="n">
        <v>4.5</v>
      </c>
      <c r="L1251" s="80" t="n">
        <f aca="false">IF(AND(J1251&lt;&gt;"",K1251&lt;&gt;""),J1251*K1251,"")</f>
        <v>139.5</v>
      </c>
      <c r="M1251" s="81" t="n">
        <f aca="false">IF(L1251&lt;&gt;"",L1251*1.1,"")</f>
        <v>153.45</v>
      </c>
      <c r="N1251" s="53" t="n">
        <f aca="false">IF(F1251="S",L1251*0.02,0)</f>
        <v>2.79</v>
      </c>
      <c r="O1251" s="82" t="n">
        <f aca="false">IF(L1251&lt;&gt;"",L1251+N1251,"")</f>
        <v>142.29</v>
      </c>
      <c r="P1251" s="53" t="n">
        <f aca="false">IF(O1251&lt;&gt;"",O1251*0.1,"")</f>
        <v>14.229</v>
      </c>
      <c r="Q1251" s="83" t="n">
        <f aca="false">IF(O1251&lt;&gt;"",O1251+P1251,"")</f>
        <v>156.519</v>
      </c>
      <c r="R1251" s="84" t="s">
        <v>358</v>
      </c>
    </row>
    <row r="1252" customFormat="false" ht="15" hidden="false" customHeight="true" outlineLevel="0" collapsed="false">
      <c r="A1252" s="103" t="n">
        <v>56199</v>
      </c>
      <c r="B1252" s="85" t="n">
        <v>46239</v>
      </c>
      <c r="C1252" s="86" t="s">
        <v>578</v>
      </c>
      <c r="D1252" s="87" t="n">
        <v>50521</v>
      </c>
      <c r="E1252" s="46" t="str">
        <f aca="false">IF(D1252&lt;&gt;"",IFERROR(VLOOKUP(D1252,PROVEEDORES!$A:$B,2,0),"!COD NO ENCONTRADO"),"")</f>
        <v>SUBASTAS DE ATLANTICO S.L</v>
      </c>
      <c r="F1252" s="88" t="str">
        <f aca="false">IF(D1252&lt;&gt;"",IFERROR(VLOOKUP(D1252,PROVEEDORES!$A:$C,3,0),""),"")</f>
        <v>S</v>
      </c>
      <c r="G1252" s="87" t="s">
        <v>93</v>
      </c>
      <c r="H1252" s="46" t="str">
        <f aca="false">IF(G1252&lt;&gt;"",IFERROR(VLOOKUP(G1252,PRODUCTOS!$A:$B,2,0),"!COD NO ENCONTRADO"),"")</f>
        <v>BOQUERON/ BOCARTE/ ANCHOA (ANE)</v>
      </c>
      <c r="I1252" s="89" t="n">
        <v>44</v>
      </c>
      <c r="J1252" s="90" t="n">
        <v>404</v>
      </c>
      <c r="K1252" s="91" t="n">
        <v>1.45</v>
      </c>
      <c r="L1252" s="80" t="n">
        <f aca="false">IF(AND(J1252&lt;&gt;"",K1252&lt;&gt;""),J1252*K1252,"")</f>
        <v>585.8</v>
      </c>
      <c r="M1252" s="81" t="n">
        <f aca="false">IF(L1252&lt;&gt;"",L1252*1.1,"")</f>
        <v>644.38</v>
      </c>
      <c r="N1252" s="47" t="n">
        <f aca="false">IF(F1252="S",L1252*0.02,0)</f>
        <v>11.716</v>
      </c>
      <c r="O1252" s="82" t="n">
        <f aca="false">IF(L1252&lt;&gt;"",L1252+N1252,"")</f>
        <v>597.516</v>
      </c>
      <c r="P1252" s="47" t="n">
        <f aca="false">IF(O1252&lt;&gt;"",O1252*0.1,"")</f>
        <v>59.7516</v>
      </c>
      <c r="Q1252" s="83" t="n">
        <f aca="false">IF(O1252&lt;&gt;"",O1252+P1252,"")</f>
        <v>657.2676</v>
      </c>
      <c r="R1252" s="84" t="s">
        <v>365</v>
      </c>
    </row>
    <row r="1253" customFormat="false" ht="15" hidden="false" customHeight="true" outlineLevel="0" collapsed="false">
      <c r="A1253" s="103" t="n">
        <v>56200</v>
      </c>
      <c r="B1253" s="85" t="n">
        <v>46239</v>
      </c>
      <c r="C1253" s="74" t="s">
        <v>579</v>
      </c>
      <c r="D1253" s="75" t="n">
        <v>50035</v>
      </c>
      <c r="E1253" s="52" t="str">
        <f aca="false">IF(D1253&lt;&gt;"",IFERROR(VLOOKUP(D1253,PROVEEDORES!$A:$B,2,0),"!COD NO ENCONTRADO"),"")</f>
        <v>SCANFISK SEAFFOD S,L</v>
      </c>
      <c r="F1253" s="76" t="str">
        <f aca="false">IF(D1253&lt;&gt;"",IFERROR(VLOOKUP(D1253,PROVEEDORES!$A:$C,3,0),""),"")</f>
        <v>N</v>
      </c>
      <c r="G1253" s="75" t="s">
        <v>246</v>
      </c>
      <c r="H1253" s="52" t="str">
        <f aca="false">IF(G1253&lt;&gt;"",IFERROR(VLOOKUP(G1253,PRODUCTOS!$A:$B,2,0),"!COD NO ENCONTRADO"),"")</f>
        <v>MERLUZA EUROPEA VOLANTA ALTURA</v>
      </c>
      <c r="I1253" s="77" t="n">
        <v>4</v>
      </c>
      <c r="J1253" s="78" t="n">
        <v>61.2</v>
      </c>
      <c r="K1253" s="79" t="n">
        <v>7.8</v>
      </c>
      <c r="L1253" s="80" t="n">
        <f aca="false">IF(AND(J1253&lt;&gt;"",K1253&lt;&gt;""),J1253*K1253,"")</f>
        <v>477.36</v>
      </c>
      <c r="M1253" s="81" t="n">
        <f aca="false">IF(L1253&lt;&gt;"",L1253*1.1,"")</f>
        <v>525.096</v>
      </c>
      <c r="N1253" s="53" t="n">
        <f aca="false">IF(F1253="S",L1253*0.02,0)</f>
        <v>0</v>
      </c>
      <c r="O1253" s="82" t="n">
        <f aca="false">IF(L1253&lt;&gt;"",L1253+N1253,"")</f>
        <v>477.36</v>
      </c>
      <c r="P1253" s="53" t="n">
        <f aca="false">IF(O1253&lt;&gt;"",O1253*0.1,"")</f>
        <v>47.736</v>
      </c>
      <c r="Q1253" s="83" t="n">
        <f aca="false">IF(O1253&lt;&gt;"",O1253+P1253,"")</f>
        <v>525.096</v>
      </c>
      <c r="R1253" s="84" t="s">
        <v>365</v>
      </c>
    </row>
    <row r="1254" customFormat="false" ht="15" hidden="false" customHeight="true" outlineLevel="0" collapsed="false">
      <c r="A1254" s="103" t="n">
        <v>56200</v>
      </c>
      <c r="B1254" s="85" t="n">
        <v>46239</v>
      </c>
      <c r="C1254" s="86" t="s">
        <v>579</v>
      </c>
      <c r="D1254" s="87" t="n">
        <v>50035</v>
      </c>
      <c r="E1254" s="46" t="str">
        <f aca="false">IF(D1254&lt;&gt;"",IFERROR(VLOOKUP(D1254,PROVEEDORES!$A:$B,2,0),"!COD NO ENCONTRADO"),"")</f>
        <v>SCANFISK SEAFFOD S,L</v>
      </c>
      <c r="F1254" s="88" t="str">
        <f aca="false">IF(D1254&lt;&gt;"",IFERROR(VLOOKUP(D1254,PROVEEDORES!$A:$C,3,0),""),"")</f>
        <v>N</v>
      </c>
      <c r="G1254" s="87" t="s">
        <v>209</v>
      </c>
      <c r="H1254" s="46" t="str">
        <f aca="false">IF(G1254&lt;&gt;"",IFERROR(VLOOKUP(G1254,PRODUCTOS!$A:$B,2,0),"!COD NO ENCONTRADO"),"")</f>
        <v>MERLUZA EUROPEA PINCHO</v>
      </c>
      <c r="I1254" s="89" t="n">
        <v>5</v>
      </c>
      <c r="J1254" s="90" t="n">
        <v>32.7</v>
      </c>
      <c r="K1254" s="91" t="n">
        <v>6.9</v>
      </c>
      <c r="L1254" s="80" t="n">
        <f aca="false">IF(AND(J1254&lt;&gt;"",K1254&lt;&gt;""),J1254*K1254,"")</f>
        <v>225.63</v>
      </c>
      <c r="M1254" s="81" t="n">
        <f aca="false">IF(L1254&lt;&gt;"",L1254*1.1,"")</f>
        <v>248.193</v>
      </c>
      <c r="N1254" s="47" t="n">
        <f aca="false">IF(F1254="S",L1254*0.02,0)</f>
        <v>0</v>
      </c>
      <c r="O1254" s="82" t="n">
        <f aca="false">IF(L1254&lt;&gt;"",L1254+N1254,"")</f>
        <v>225.63</v>
      </c>
      <c r="P1254" s="47" t="n">
        <f aca="false">IF(O1254&lt;&gt;"",O1254*0.1,"")</f>
        <v>22.563</v>
      </c>
      <c r="Q1254" s="83" t="n">
        <f aca="false">IF(O1254&lt;&gt;"",O1254+P1254,"")</f>
        <v>248.193</v>
      </c>
      <c r="R1254" s="84" t="s">
        <v>365</v>
      </c>
    </row>
    <row r="1255" customFormat="false" ht="15" hidden="false" customHeight="true" outlineLevel="0" collapsed="false">
      <c r="A1255" s="103" t="n">
        <v>56201</v>
      </c>
      <c r="B1255" s="85" t="n">
        <v>46240</v>
      </c>
      <c r="C1255" s="86" t="s">
        <v>580</v>
      </c>
      <c r="D1255" s="87" t="n">
        <v>50232</v>
      </c>
      <c r="E1255" s="46" t="str">
        <f aca="false">IF(D1255&lt;&gt;"",IFERROR(VLOOKUP(D1255,PROVEEDORES!$A:$B,2,0),"!COD NO ENCONTRADO"),"")</f>
        <v>XESTION NOVA LONXA RIVEIRA S.L.</v>
      </c>
      <c r="F1255" s="88" t="str">
        <f aca="false">IF(D1255&lt;&gt;"",IFERROR(VLOOKUP(D1255,PROVEEDORES!$A:$C,3,0),""),"")</f>
        <v>S</v>
      </c>
      <c r="G1255" s="87" t="s">
        <v>326</v>
      </c>
      <c r="H1255" s="46" t="str">
        <f aca="false">IF(G1255&lt;&gt;"",IFERROR(VLOOKUP(G1255,PRODUCTOS!$A:$B,2,0),"!COD NO ENCONTRADO"),"")</f>
        <v>SARGO RIA (SWA)</v>
      </c>
      <c r="I1255" s="89" t="n">
        <v>1</v>
      </c>
      <c r="J1255" s="90" t="n">
        <v>6.7</v>
      </c>
      <c r="K1255" s="91" t="n">
        <v>14</v>
      </c>
      <c r="L1255" s="80" t="n">
        <f aca="false">IF(AND(J1255&lt;&gt;"",K1255&lt;&gt;""),J1255*K1255,"")</f>
        <v>93.8</v>
      </c>
      <c r="M1255" s="81" t="n">
        <f aca="false">IF(L1255&lt;&gt;"",L1255*1.1,"")</f>
        <v>103.18</v>
      </c>
      <c r="N1255" s="47" t="n">
        <f aca="false">IF(F1255="S",L1255*0.02,0)</f>
        <v>1.876</v>
      </c>
      <c r="O1255" s="82" t="n">
        <f aca="false">IF(L1255&lt;&gt;"",L1255+N1255,"")</f>
        <v>95.676</v>
      </c>
      <c r="P1255" s="47" t="n">
        <f aca="false">IF(O1255&lt;&gt;"",O1255*0.1,"")</f>
        <v>9.5676</v>
      </c>
      <c r="Q1255" s="83" t="n">
        <f aca="false">IF(O1255&lt;&gt;"",O1255+P1255,"")</f>
        <v>105.2436</v>
      </c>
      <c r="R1255" s="84" t="s">
        <v>358</v>
      </c>
    </row>
    <row r="1256" customFormat="false" ht="15" hidden="false" customHeight="true" outlineLevel="0" collapsed="false">
      <c r="A1256" s="103" t="n">
        <v>56201</v>
      </c>
      <c r="B1256" s="85" t="n">
        <v>46240</v>
      </c>
      <c r="C1256" s="86" t="s">
        <v>580</v>
      </c>
      <c r="D1256" s="75" t="n">
        <v>50232</v>
      </c>
      <c r="E1256" s="52" t="str">
        <f aca="false">IF(D1256&lt;&gt;"",IFERROR(VLOOKUP(D1256,PROVEEDORES!$A:$B,2,0),"!COD NO ENCONTRADO"),"")</f>
        <v>XESTION NOVA LONXA RIVEIRA S.L.</v>
      </c>
      <c r="F1256" s="76" t="str">
        <f aca="false">IF(D1256&lt;&gt;"",IFERROR(VLOOKUP(D1256,PROVEEDORES!$A:$C,3,0),""),"")</f>
        <v>S</v>
      </c>
      <c r="G1256" s="75" t="s">
        <v>326</v>
      </c>
      <c r="H1256" s="52" t="str">
        <f aca="false">IF(G1256&lt;&gt;"",IFERROR(VLOOKUP(G1256,PRODUCTOS!$A:$B,2,0),"!COD NO ENCONTRADO"),"")</f>
        <v>SARGO RIA (SWA)</v>
      </c>
      <c r="I1256" s="77" t="n">
        <v>11</v>
      </c>
      <c r="J1256" s="78" t="n">
        <v>60.9</v>
      </c>
      <c r="K1256" s="79" t="n">
        <v>15.5</v>
      </c>
      <c r="L1256" s="80" t="n">
        <f aca="false">IF(AND(J1256&lt;&gt;"",K1256&lt;&gt;""),J1256*K1256,"")</f>
        <v>943.95</v>
      </c>
      <c r="M1256" s="81" t="n">
        <f aca="false">IF(L1256&lt;&gt;"",L1256*1.1,"")</f>
        <v>1038.345</v>
      </c>
      <c r="N1256" s="53" t="n">
        <f aca="false">IF(F1256="S",L1256*0.02,0)</f>
        <v>18.879</v>
      </c>
      <c r="O1256" s="82" t="n">
        <f aca="false">IF(L1256&lt;&gt;"",L1256+N1256,"")</f>
        <v>962.829</v>
      </c>
      <c r="P1256" s="53" t="n">
        <f aca="false">IF(O1256&lt;&gt;"",O1256*0.1,"")</f>
        <v>96.2829</v>
      </c>
      <c r="Q1256" s="83" t="n">
        <f aca="false">IF(O1256&lt;&gt;"",O1256+P1256,"")</f>
        <v>1059.1119</v>
      </c>
      <c r="R1256" s="84" t="s">
        <v>358</v>
      </c>
    </row>
    <row r="1257" customFormat="false" ht="15" hidden="false" customHeight="true" outlineLevel="0" collapsed="false">
      <c r="A1257" s="103" t="n">
        <v>56201</v>
      </c>
      <c r="B1257" s="85" t="n">
        <v>46240</v>
      </c>
      <c r="C1257" s="86" t="s">
        <v>580</v>
      </c>
      <c r="D1257" s="87" t="n">
        <v>50232</v>
      </c>
      <c r="E1257" s="46" t="str">
        <f aca="false">IF(D1257&lt;&gt;"",IFERROR(VLOOKUP(D1257,PROVEEDORES!$A:$B,2,0),"!COD NO ENCONTRADO"),"")</f>
        <v>XESTION NOVA LONXA RIVEIRA S.L.</v>
      </c>
      <c r="F1257" s="88" t="str">
        <f aca="false">IF(D1257&lt;&gt;"",IFERROR(VLOOKUP(D1257,PROVEEDORES!$A:$C,3,0),""),"")</f>
        <v>S</v>
      </c>
      <c r="G1257" s="87" t="s">
        <v>179</v>
      </c>
      <c r="H1257" s="46" t="str">
        <f aca="false">IF(G1257&lt;&gt;"",IFERROR(VLOOKUP(G1257,PRODUCTOS!$A:$B,2,0),"!COD NO ENCONTRADO"),"")</f>
        <v>LIRIO/ BACALADILLA/ PERLA (WHB)</v>
      </c>
      <c r="I1257" s="89" t="n">
        <v>1</v>
      </c>
      <c r="J1257" s="90" t="n">
        <v>145.1</v>
      </c>
      <c r="K1257" s="125" t="n">
        <v>2.55</v>
      </c>
      <c r="L1257" s="80" t="n">
        <f aca="false">IF(AND(J1257&lt;&gt;"",K1257&lt;&gt;""),J1257*K1257,"")</f>
        <v>370.005</v>
      </c>
      <c r="M1257" s="81" t="n">
        <f aca="false">IF(L1257&lt;&gt;"",L1257*1.1,"")</f>
        <v>407.0055</v>
      </c>
      <c r="N1257" s="47" t="n">
        <f aca="false">IF(F1257="S",L1257*0.02,0)</f>
        <v>7.4001</v>
      </c>
      <c r="O1257" s="82" t="n">
        <f aca="false">IF(L1257&lt;&gt;"",L1257+N1257,"")</f>
        <v>377.4051</v>
      </c>
      <c r="P1257" s="47" t="n">
        <f aca="false">IF(O1257&lt;&gt;"",O1257*0.1,"")</f>
        <v>37.74051</v>
      </c>
      <c r="Q1257" s="83" t="n">
        <f aca="false">IF(O1257&lt;&gt;"",O1257+P1257,"")</f>
        <v>415.14561</v>
      </c>
      <c r="R1257" s="84" t="s">
        <v>358</v>
      </c>
    </row>
    <row r="1258" customFormat="false" ht="15" hidden="false" customHeight="true" outlineLevel="0" collapsed="false">
      <c r="A1258" s="103" t="n">
        <v>56202</v>
      </c>
      <c r="B1258" s="85" t="n">
        <v>46240</v>
      </c>
      <c r="C1258" s="74" t="n">
        <v>11463</v>
      </c>
      <c r="D1258" s="75" t="n">
        <v>50001</v>
      </c>
      <c r="E1258" s="52" t="str">
        <f aca="false">IF(D1258&lt;&gt;"",IFERROR(VLOOKUP(D1258,PROVEEDORES!$A:$B,2,0),"!COD NO ENCONTRADO"),"")</f>
        <v>COPESA</v>
      </c>
      <c r="F1258" s="76" t="str">
        <f aca="false">IF(D1258&lt;&gt;"",IFERROR(VLOOKUP(D1258,PROVEEDORES!$A:$C,3,0),""),"")</f>
        <v>S</v>
      </c>
      <c r="G1258" s="75" t="s">
        <v>292</v>
      </c>
      <c r="H1258" s="52" t="str">
        <f aca="false">IF(G1258&lt;&gt;"",IFERROR(VLOOKUP(G1258,PRODUCTOS!$A:$B,2,0),"!COD NO ENCONTRADO"),"")</f>
        <v>RAPE BLANCO RASCO (MON)</v>
      </c>
      <c r="I1258" s="77" t="n">
        <v>1</v>
      </c>
      <c r="J1258" s="78" t="n">
        <v>23.5</v>
      </c>
      <c r="K1258" s="79" t="n">
        <v>6</v>
      </c>
      <c r="L1258" s="80" t="n">
        <f aca="false">IF(AND(J1258&lt;&gt;"",K1258&lt;&gt;""),J1258*K1258,"")</f>
        <v>141</v>
      </c>
      <c r="M1258" s="81" t="n">
        <f aca="false">IF(L1258&lt;&gt;"",L1258*1.1,"")</f>
        <v>155.1</v>
      </c>
      <c r="N1258" s="53" t="n">
        <f aca="false">IF(F1258="S",L1258*0.02,0)</f>
        <v>2.82</v>
      </c>
      <c r="O1258" s="82" t="n">
        <f aca="false">IF(L1258&lt;&gt;"",L1258+N1258,"")</f>
        <v>143.82</v>
      </c>
      <c r="P1258" s="53" t="n">
        <f aca="false">IF(O1258&lt;&gt;"",O1258*0.1,"")</f>
        <v>14.382</v>
      </c>
      <c r="Q1258" s="83" t="n">
        <f aca="false">IF(O1258&lt;&gt;"",O1258+P1258,"")</f>
        <v>158.202</v>
      </c>
      <c r="R1258" s="84" t="s">
        <v>365</v>
      </c>
    </row>
    <row r="1259" customFormat="false" ht="15" hidden="false" customHeight="true" outlineLevel="0" collapsed="false">
      <c r="A1259" s="103" t="n">
        <v>56202</v>
      </c>
      <c r="B1259" s="85" t="n">
        <v>46240</v>
      </c>
      <c r="C1259" s="86" t="n">
        <v>11463</v>
      </c>
      <c r="D1259" s="87" t="n">
        <v>50001</v>
      </c>
      <c r="E1259" s="46" t="str">
        <f aca="false">IF(D1259&lt;&gt;"",IFERROR(VLOOKUP(D1259,PROVEEDORES!$A:$B,2,0),"!COD NO ENCONTRADO"),"")</f>
        <v>COPESA</v>
      </c>
      <c r="F1259" s="88" t="str">
        <f aca="false">IF(D1259&lt;&gt;"",IFERROR(VLOOKUP(D1259,PROVEEDORES!$A:$C,3,0),""),"")</f>
        <v>S</v>
      </c>
      <c r="G1259" s="87" t="s">
        <v>93</v>
      </c>
      <c r="H1259" s="46" t="str">
        <f aca="false">IF(G1259&lt;&gt;"",IFERROR(VLOOKUP(G1259,PRODUCTOS!$A:$B,2,0),"!COD NO ENCONTRADO"),"")</f>
        <v>BOQUERON/ BOCARTE/ ANCHOA (ANE)</v>
      </c>
      <c r="I1259" s="89" t="n">
        <v>40</v>
      </c>
      <c r="J1259" s="90" t="n">
        <v>360</v>
      </c>
      <c r="K1259" s="91" t="n">
        <v>1.84</v>
      </c>
      <c r="L1259" s="80" t="n">
        <f aca="false">IF(AND(J1259&lt;&gt;"",K1259&lt;&gt;""),J1259*K1259,"")</f>
        <v>662.4</v>
      </c>
      <c r="M1259" s="81" t="n">
        <f aca="false">IF(L1259&lt;&gt;"",L1259*1.1,"")</f>
        <v>728.64</v>
      </c>
      <c r="N1259" s="47" t="n">
        <f aca="false">IF(F1259="S",L1259*0.02,0)</f>
        <v>13.248</v>
      </c>
      <c r="O1259" s="82" t="n">
        <f aca="false">IF(L1259&lt;&gt;"",L1259+N1259,"")</f>
        <v>675.648</v>
      </c>
      <c r="P1259" s="47" t="n">
        <f aca="false">IF(O1259&lt;&gt;"",O1259*0.1,"")</f>
        <v>67.5648</v>
      </c>
      <c r="Q1259" s="83" t="n">
        <f aca="false">IF(O1259&lt;&gt;"",O1259+P1259,"")</f>
        <v>743.2128</v>
      </c>
      <c r="R1259" s="84" t="s">
        <v>358</v>
      </c>
    </row>
    <row r="1260" customFormat="false" ht="15" hidden="false" customHeight="true" outlineLevel="0" collapsed="false">
      <c r="A1260" s="103" t="n">
        <v>56203</v>
      </c>
      <c r="B1260" s="85" t="n">
        <v>46240</v>
      </c>
      <c r="C1260" s="86" t="n">
        <v>9418</v>
      </c>
      <c r="D1260" s="87" t="n">
        <v>50069</v>
      </c>
      <c r="E1260" s="46" t="str">
        <f aca="false">IF(D1260&lt;&gt;"",IFERROR(VLOOKUP(D1260,PROVEEDORES!$A:$B,2,0),"!COD NO ENCONTRADO"),"")</f>
        <v>PESCADOS ILLANES S.L.</v>
      </c>
      <c r="F1260" s="88" t="str">
        <f aca="false">IF(D1260&lt;&gt;"",IFERROR(VLOOKUP(D1260,PROVEEDORES!$A:$C,3,0),""),"")</f>
        <v>S</v>
      </c>
      <c r="G1260" s="87" t="s">
        <v>276</v>
      </c>
      <c r="H1260" s="46" t="str">
        <f aca="false">IF(G1260&lt;&gt;"",IFERROR(VLOOKUP(G1260,PRODUCTOS!$A:$B,2,0),"!COD NO ENCONTRADO"),"")</f>
        <v>MERLUZA EUROPEA/ FINA DIA </v>
      </c>
      <c r="I1260" s="89" t="n">
        <v>2</v>
      </c>
      <c r="J1260" s="90" t="n">
        <v>22.75</v>
      </c>
      <c r="K1260" s="91" t="n">
        <v>2.4</v>
      </c>
      <c r="L1260" s="80" t="n">
        <f aca="false">IF(AND(J1260&lt;&gt;"",K1260&lt;&gt;""),J1260*K1260,"")</f>
        <v>54.6</v>
      </c>
      <c r="M1260" s="81" t="n">
        <f aca="false">IF(L1260&lt;&gt;"",L1260*1.1,"")</f>
        <v>60.06</v>
      </c>
      <c r="N1260" s="47" t="n">
        <f aca="false">IF(F1260="S",L1260*0.02,0)</f>
        <v>1.092</v>
      </c>
      <c r="O1260" s="82" t="n">
        <f aca="false">IF(L1260&lt;&gt;"",L1260+N1260,"")</f>
        <v>55.692</v>
      </c>
      <c r="P1260" s="47" t="n">
        <f aca="false">IF(O1260&lt;&gt;"",O1260*0.1,"")</f>
        <v>5.5692</v>
      </c>
      <c r="Q1260" s="83" t="n">
        <f aca="false">IF(O1260&lt;&gt;"",O1260+P1260,"")</f>
        <v>61.2612</v>
      </c>
      <c r="R1260" s="84" t="s">
        <v>365</v>
      </c>
    </row>
    <row r="1261" customFormat="false" ht="15" hidden="false" customHeight="true" outlineLevel="0" collapsed="false">
      <c r="A1261" s="103" t="n">
        <v>56204</v>
      </c>
      <c r="B1261" s="85" t="n">
        <v>46240</v>
      </c>
      <c r="C1261" s="74" t="n">
        <v>18908</v>
      </c>
      <c r="D1261" s="75" t="n">
        <v>50160</v>
      </c>
      <c r="E1261" s="52" t="str">
        <f aca="false">IF(D1261&lt;&gt;"",IFERROR(VLOOKUP(D1261,PROVEEDORES!$A:$B,2,0),"!COD NO ENCONTRADO"),"")</f>
        <v>SUBASTAS CORUÑA S.L.</v>
      </c>
      <c r="F1261" s="76" t="str">
        <f aca="false">IF(D1261&lt;&gt;"",IFERROR(VLOOKUP(D1261,PROVEEDORES!$A:$C,3,0),""),"")</f>
        <v>S</v>
      </c>
      <c r="G1261" s="75" t="s">
        <v>276</v>
      </c>
      <c r="H1261" s="52" t="str">
        <f aca="false">IF(G1261&lt;&gt;"",IFERROR(VLOOKUP(G1261,PRODUCTOS!$A:$B,2,0),"!COD NO ENCONTRADO"),"")</f>
        <v>MERLUZA EUROPEA/ FINA DIA </v>
      </c>
      <c r="I1261" s="77" t="n">
        <v>10</v>
      </c>
      <c r="J1261" s="78" t="n">
        <v>61.5</v>
      </c>
      <c r="K1261" s="79" t="n">
        <v>3</v>
      </c>
      <c r="L1261" s="80" t="n">
        <f aca="false">IF(AND(J1261&lt;&gt;"",K1261&lt;&gt;""),J1261*K1261,"")</f>
        <v>184.5</v>
      </c>
      <c r="M1261" s="81" t="n">
        <f aca="false">IF(L1261&lt;&gt;"",L1261*1.1,"")</f>
        <v>202.95</v>
      </c>
      <c r="N1261" s="53" t="n">
        <f aca="false">IF(F1261="S",L1261*0.02,0)</f>
        <v>3.69</v>
      </c>
      <c r="O1261" s="82" t="n">
        <f aca="false">IF(L1261&lt;&gt;"",L1261+N1261,"")</f>
        <v>188.19</v>
      </c>
      <c r="P1261" s="53" t="n">
        <f aca="false">IF(O1261&lt;&gt;"",O1261*0.1,"")</f>
        <v>18.819</v>
      </c>
      <c r="Q1261" s="83" t="n">
        <f aca="false">IF(O1261&lt;&gt;"",O1261+P1261,"")</f>
        <v>207.009</v>
      </c>
      <c r="R1261" s="84" t="s">
        <v>365</v>
      </c>
    </row>
    <row r="1262" customFormat="false" ht="15" hidden="false" customHeight="true" outlineLevel="0" collapsed="false">
      <c r="A1262" s="103" t="n">
        <v>56204</v>
      </c>
      <c r="B1262" s="85" t="n">
        <v>46240</v>
      </c>
      <c r="C1262" s="74" t="n">
        <v>18908</v>
      </c>
      <c r="D1262" s="87" t="n">
        <v>50160</v>
      </c>
      <c r="E1262" s="46" t="str">
        <f aca="false">IF(D1262&lt;&gt;"",IFERROR(VLOOKUP(D1262,PROVEEDORES!$A:$B,2,0),"!COD NO ENCONTRADO"),"")</f>
        <v>SUBASTAS CORUÑA S.L.</v>
      </c>
      <c r="F1262" s="88" t="str">
        <f aca="false">IF(D1262&lt;&gt;"",IFERROR(VLOOKUP(D1262,PROVEEDORES!$A:$C,3,0),""),"")</f>
        <v>S</v>
      </c>
      <c r="G1262" s="87" t="s">
        <v>93</v>
      </c>
      <c r="H1262" s="46" t="str">
        <f aca="false">IF(G1262&lt;&gt;"",IFERROR(VLOOKUP(G1262,PRODUCTOS!$A:$B,2,0),"!COD NO ENCONTRADO"),"")</f>
        <v>BOQUERON/ BOCARTE/ ANCHOA (ANE)</v>
      </c>
      <c r="I1262" s="89" t="n">
        <v>40</v>
      </c>
      <c r="J1262" s="90" t="n">
        <v>352</v>
      </c>
      <c r="K1262" s="91" t="n">
        <v>1.38</v>
      </c>
      <c r="L1262" s="80" t="n">
        <f aca="false">IF(AND(J1262&lt;&gt;"",K1262&lt;&gt;""),J1262*K1262,"")</f>
        <v>485.76</v>
      </c>
      <c r="M1262" s="81" t="n">
        <f aca="false">IF(L1262&lt;&gt;"",L1262*1.1,"")</f>
        <v>534.336</v>
      </c>
      <c r="N1262" s="47" t="n">
        <f aca="false">IF(F1262="S",L1262*0.02,0)</f>
        <v>9.7152</v>
      </c>
      <c r="O1262" s="82" t="n">
        <f aca="false">IF(L1262&lt;&gt;"",L1262+N1262,"")</f>
        <v>495.4752</v>
      </c>
      <c r="P1262" s="47" t="n">
        <f aca="false">IF(O1262&lt;&gt;"",O1262*0.1,"")</f>
        <v>49.54752</v>
      </c>
      <c r="Q1262" s="83" t="n">
        <f aca="false">IF(O1262&lt;&gt;"",O1262+P1262,"")</f>
        <v>545.02272</v>
      </c>
      <c r="R1262" s="84" t="s">
        <v>365</v>
      </c>
    </row>
    <row r="1263" customFormat="false" ht="15" hidden="false" customHeight="true" outlineLevel="0" collapsed="false">
      <c r="A1263" s="103" t="n">
        <v>56204</v>
      </c>
      <c r="B1263" s="85" t="n">
        <v>46240</v>
      </c>
      <c r="C1263" s="74" t="n">
        <v>18908</v>
      </c>
      <c r="D1263" s="75" t="n">
        <v>50160</v>
      </c>
      <c r="E1263" s="52" t="str">
        <f aca="false">IF(D1263&lt;&gt;"",IFERROR(VLOOKUP(D1263,PROVEEDORES!$A:$B,2,0),"!COD NO ENCONTRADO"),"")</f>
        <v>SUBASTAS CORUÑA S.L.</v>
      </c>
      <c r="F1263" s="76" t="str">
        <f aca="false">IF(D1263&lt;&gt;"",IFERROR(VLOOKUP(D1263,PROVEEDORES!$A:$C,3,0),""),"")</f>
        <v>S</v>
      </c>
      <c r="G1263" s="75" t="s">
        <v>93</v>
      </c>
      <c r="H1263" s="52" t="str">
        <f aca="false">IF(G1263&lt;&gt;"",IFERROR(VLOOKUP(G1263,PRODUCTOS!$A:$B,2,0),"!COD NO ENCONTRADO"),"")</f>
        <v>BOQUERON/ BOCARTE/ ANCHOA (ANE)</v>
      </c>
      <c r="I1263" s="77" t="n">
        <v>40</v>
      </c>
      <c r="J1263" s="78" t="n">
        <v>353</v>
      </c>
      <c r="K1263" s="79" t="n">
        <v>1.38</v>
      </c>
      <c r="L1263" s="80" t="n">
        <f aca="false">IF(AND(J1263&lt;&gt;"",K1263&lt;&gt;""),J1263*K1263,"")</f>
        <v>487.14</v>
      </c>
      <c r="M1263" s="81" t="n">
        <f aca="false">IF(L1263&lt;&gt;"",L1263*1.1,"")</f>
        <v>535.854</v>
      </c>
      <c r="N1263" s="53" t="n">
        <f aca="false">IF(F1263="S",L1263*0.02,0)</f>
        <v>9.7428</v>
      </c>
      <c r="O1263" s="82" t="n">
        <f aca="false">IF(L1263&lt;&gt;"",L1263+N1263,"")</f>
        <v>496.8828</v>
      </c>
      <c r="P1263" s="53" t="n">
        <f aca="false">IF(O1263&lt;&gt;"",O1263*0.1,"")</f>
        <v>49.68828</v>
      </c>
      <c r="Q1263" s="83" t="n">
        <f aca="false">IF(O1263&lt;&gt;"",O1263+P1263,"")</f>
        <v>546.57108</v>
      </c>
      <c r="R1263" s="84" t="s">
        <v>365</v>
      </c>
    </row>
    <row r="1264" customFormat="false" ht="15" hidden="false" customHeight="true" outlineLevel="0" collapsed="false">
      <c r="A1264" s="103" t="n">
        <v>56204</v>
      </c>
      <c r="B1264" s="85" t="n">
        <v>46240</v>
      </c>
      <c r="C1264" s="74" t="n">
        <v>18908</v>
      </c>
      <c r="D1264" s="87" t="n">
        <v>50160</v>
      </c>
      <c r="E1264" s="46" t="str">
        <f aca="false">IF(D1264&lt;&gt;"",IFERROR(VLOOKUP(D1264,PROVEEDORES!$A:$B,2,0),"!COD NO ENCONTRADO"),"")</f>
        <v>SUBASTAS CORUÑA S.L.</v>
      </c>
      <c r="F1264" s="88" t="str">
        <f aca="false">IF(D1264&lt;&gt;"",IFERROR(VLOOKUP(D1264,PROVEEDORES!$A:$C,3,0),""),"")</f>
        <v>S</v>
      </c>
      <c r="G1264" s="87" t="s">
        <v>93</v>
      </c>
      <c r="H1264" s="46" t="str">
        <f aca="false">IF(G1264&lt;&gt;"",IFERROR(VLOOKUP(G1264,PRODUCTOS!$A:$B,2,0),"!COD NO ENCONTRADO"),"")</f>
        <v>BOQUERON/ BOCARTE/ ANCHOA (ANE)</v>
      </c>
      <c r="I1264" s="89" t="n">
        <v>40</v>
      </c>
      <c r="J1264" s="90" t="n">
        <v>371</v>
      </c>
      <c r="K1264" s="91" t="n">
        <v>1.38</v>
      </c>
      <c r="L1264" s="80" t="n">
        <f aca="false">IF(AND(J1264&lt;&gt;"",K1264&lt;&gt;""),J1264*K1264,"")</f>
        <v>511.98</v>
      </c>
      <c r="M1264" s="81" t="n">
        <f aca="false">IF(L1264&lt;&gt;"",L1264*1.1,"")</f>
        <v>563.178</v>
      </c>
      <c r="N1264" s="47" t="n">
        <f aca="false">IF(F1264="S",L1264*0.02,0)</f>
        <v>10.2396</v>
      </c>
      <c r="O1264" s="82" t="n">
        <f aca="false">IF(L1264&lt;&gt;"",L1264+N1264,"")</f>
        <v>522.2196</v>
      </c>
      <c r="P1264" s="47" t="n">
        <f aca="false">IF(O1264&lt;&gt;"",O1264*0.1,"")</f>
        <v>52.22196</v>
      </c>
      <c r="Q1264" s="83" t="n">
        <f aca="false">IF(O1264&lt;&gt;"",O1264+P1264,"")</f>
        <v>574.44156</v>
      </c>
      <c r="R1264" s="84" t="s">
        <v>365</v>
      </c>
    </row>
    <row r="1265" customFormat="false" ht="15" hidden="false" customHeight="true" outlineLevel="0" collapsed="false">
      <c r="A1265" s="103" t="n">
        <v>56204</v>
      </c>
      <c r="B1265" s="85" t="n">
        <v>46240</v>
      </c>
      <c r="C1265" s="74" t="n">
        <v>18908</v>
      </c>
      <c r="D1265" s="75" t="n">
        <v>50160</v>
      </c>
      <c r="E1265" s="52" t="str">
        <f aca="false">IF(D1265&lt;&gt;"",IFERROR(VLOOKUP(D1265,PROVEEDORES!$A:$B,2,0),"!COD NO ENCONTRADO"),"")</f>
        <v>SUBASTAS CORUÑA S.L.</v>
      </c>
      <c r="F1265" s="76" t="str">
        <f aca="false">IF(D1265&lt;&gt;"",IFERROR(VLOOKUP(D1265,PROVEEDORES!$A:$C,3,0),""),"")</f>
        <v>S</v>
      </c>
      <c r="G1265" s="75" t="s">
        <v>93</v>
      </c>
      <c r="H1265" s="52" t="str">
        <f aca="false">IF(G1265&lt;&gt;"",IFERROR(VLOOKUP(G1265,PRODUCTOS!$A:$B,2,0),"!COD NO ENCONTRADO"),"")</f>
        <v>BOQUERON/ BOCARTE/ ANCHOA (ANE)</v>
      </c>
      <c r="I1265" s="77" t="n">
        <v>40</v>
      </c>
      <c r="J1265" s="78" t="n">
        <v>355</v>
      </c>
      <c r="K1265" s="79" t="n">
        <v>1.38</v>
      </c>
      <c r="L1265" s="80" t="n">
        <f aca="false">IF(AND(J1265&lt;&gt;"",K1265&lt;&gt;""),J1265*K1265,"")</f>
        <v>489.9</v>
      </c>
      <c r="M1265" s="81" t="n">
        <f aca="false">IF(L1265&lt;&gt;"",L1265*1.1,"")</f>
        <v>538.89</v>
      </c>
      <c r="N1265" s="53" t="n">
        <f aca="false">IF(F1265="S",L1265*0.02,0)</f>
        <v>9.798</v>
      </c>
      <c r="O1265" s="82" t="n">
        <f aca="false">IF(L1265&lt;&gt;"",L1265+N1265,"")</f>
        <v>499.698</v>
      </c>
      <c r="P1265" s="53" t="n">
        <f aca="false">IF(O1265&lt;&gt;"",O1265*0.1,"")</f>
        <v>49.9698</v>
      </c>
      <c r="Q1265" s="83" t="n">
        <f aca="false">IF(O1265&lt;&gt;"",O1265+P1265,"")</f>
        <v>549.6678</v>
      </c>
      <c r="R1265" s="84" t="s">
        <v>365</v>
      </c>
    </row>
    <row r="1266" customFormat="false" ht="15" hidden="false" customHeight="true" outlineLevel="0" collapsed="false">
      <c r="A1266" s="103" t="n">
        <v>56204</v>
      </c>
      <c r="B1266" s="73" t="n">
        <v>46240</v>
      </c>
      <c r="C1266" s="74" t="n">
        <v>18908</v>
      </c>
      <c r="D1266" s="75" t="n">
        <v>50160</v>
      </c>
      <c r="E1266" s="52" t="str">
        <f aca="false">IF(D1266&lt;&gt;"",IFERROR(VLOOKUP(D1266,PROVEEDORES!$A:$B,2,0),"!COD NO ENCONTRADO"),"")</f>
        <v>SUBASTAS CORUÑA S.L.</v>
      </c>
      <c r="F1266" s="76" t="str">
        <f aca="false">IF(D1266&lt;&gt;"",IFERROR(VLOOKUP(D1266,PROVEEDORES!$A:$C,3,0),""),"")</f>
        <v>S</v>
      </c>
      <c r="G1266" s="111" t="s">
        <v>581</v>
      </c>
      <c r="H1266" s="104" t="str">
        <f aca="false">IF(G1266&lt;&gt;"",IFERROR(VLOOKUP(G1266,PRODUCTOS!$A:$B,2,0),"!COD NO ENCONTRADO"),"")</f>
        <v>ALCRIQUE-PAPARDA-AGULLA-AGUJA</v>
      </c>
      <c r="I1266" s="77" t="n">
        <v>5</v>
      </c>
      <c r="J1266" s="78" t="n">
        <v>86</v>
      </c>
      <c r="K1266" s="79" t="n">
        <v>1.15</v>
      </c>
      <c r="L1266" s="80" t="n">
        <f aca="false">IF(AND(J1266&lt;&gt;"",K1266&lt;&gt;""),J1266*K1266,"")</f>
        <v>98.9</v>
      </c>
      <c r="M1266" s="81" t="n">
        <f aca="false">IF(L1266&lt;&gt;"",L1266*1.1,"")</f>
        <v>108.79</v>
      </c>
      <c r="N1266" s="53" t="n">
        <f aca="false">IF(F1266="S",L1266*0.02,0)</f>
        <v>1.978</v>
      </c>
      <c r="O1266" s="82" t="n">
        <f aca="false">IF(L1266&lt;&gt;"",L1266+N1266,"")</f>
        <v>100.878</v>
      </c>
      <c r="P1266" s="53" t="n">
        <f aca="false">IF(O1266&lt;&gt;"",O1266*0.1,"")</f>
        <v>10.0878</v>
      </c>
      <c r="Q1266" s="83" t="n">
        <f aca="false">IF(O1266&lt;&gt;"",O1266+P1266,"")</f>
        <v>110.9658</v>
      </c>
      <c r="R1266" s="84" t="s">
        <v>365</v>
      </c>
    </row>
    <row r="1267" customFormat="false" ht="15" hidden="false" customHeight="true" outlineLevel="0" collapsed="false">
      <c r="A1267" s="103" t="n">
        <v>56205</v>
      </c>
      <c r="B1267" s="85" t="n">
        <v>46240</v>
      </c>
      <c r="C1267" s="86" t="n">
        <v>21847</v>
      </c>
      <c r="D1267" s="87" t="n">
        <v>50163</v>
      </c>
      <c r="E1267" s="46" t="str">
        <f aca="false">IF(D1267&lt;&gt;"",IFERROR(VLOOKUP(D1267,PROVEEDORES!$A:$B,2,0),"!COD NO ENCONTRADO"),"")</f>
        <v>SUBASTAS RIVERA S.L.</v>
      </c>
      <c r="F1267" s="88" t="str">
        <f aca="false">IF(D1267&lt;&gt;"",IFERROR(VLOOKUP(D1267,PROVEEDORES!$A:$C,3,0),""),"")</f>
        <v>S</v>
      </c>
      <c r="G1267" s="87" t="s">
        <v>223</v>
      </c>
      <c r="H1267" s="46" t="str">
        <f aca="false">IF(G1267&lt;&gt;"",IFERROR(VLOOKUP(G1267,PRODUCTOS!$A:$B,2,0),"!COD NO ENCONTRADO"),"")</f>
        <v>MERLUZA EUROPEA PINCHO COSTA 1000</v>
      </c>
      <c r="I1267" s="89" t="n">
        <v>1</v>
      </c>
      <c r="J1267" s="90" t="n">
        <v>14.75</v>
      </c>
      <c r="K1267" s="91" t="n">
        <v>8.2</v>
      </c>
      <c r="L1267" s="80" t="n">
        <f aca="false">IF(AND(J1267&lt;&gt;"",K1267&lt;&gt;""),J1267*K1267,"")</f>
        <v>120.95</v>
      </c>
      <c r="M1267" s="81" t="n">
        <f aca="false">IF(L1267&lt;&gt;"",L1267*1.1,"")</f>
        <v>133.045</v>
      </c>
      <c r="N1267" s="47" t="n">
        <f aca="false">IF(F1267="S",L1267*0.02,0)</f>
        <v>2.419</v>
      </c>
      <c r="O1267" s="82" t="n">
        <f aca="false">IF(L1267&lt;&gt;"",L1267+N1267,"")</f>
        <v>123.369</v>
      </c>
      <c r="P1267" s="47" t="n">
        <f aca="false">IF(O1267&lt;&gt;"",O1267*0.1,"")</f>
        <v>12.3369</v>
      </c>
      <c r="Q1267" s="83" t="n">
        <f aca="false">IF(O1267&lt;&gt;"",O1267+P1267,"")</f>
        <v>135.7059</v>
      </c>
      <c r="R1267" s="84" t="s">
        <v>365</v>
      </c>
    </row>
    <row r="1268" customFormat="false" ht="15" hidden="false" customHeight="true" outlineLevel="0" collapsed="false">
      <c r="A1268" s="103" t="n">
        <v>56205</v>
      </c>
      <c r="B1268" s="85" t="n">
        <v>46240</v>
      </c>
      <c r="C1268" s="74" t="n">
        <v>21847</v>
      </c>
      <c r="D1268" s="75" t="n">
        <v>50163</v>
      </c>
      <c r="E1268" s="52" t="str">
        <f aca="false">IF(D1268&lt;&gt;"",IFERROR(VLOOKUP(D1268,PROVEEDORES!$A:$B,2,0),"!COD NO ENCONTRADO"),"")</f>
        <v>SUBASTAS RIVERA S.L.</v>
      </c>
      <c r="F1268" s="76" t="str">
        <f aca="false">IF(D1268&lt;&gt;"",IFERROR(VLOOKUP(D1268,PROVEEDORES!$A:$C,3,0),""),"")</f>
        <v>S</v>
      </c>
      <c r="G1268" s="75" t="s">
        <v>229</v>
      </c>
      <c r="H1268" s="52" t="str">
        <f aca="false">IF(G1268&lt;&gt;"",IFERROR(VLOOKUP(G1268,PRODUCTOS!$A:$B,2,0),"!COD NO ENCONTRADO"),"")</f>
        <v>MERLUZA EUROPEA PINCHO COSTA 2+</v>
      </c>
      <c r="I1268" s="77" t="n">
        <v>2</v>
      </c>
      <c r="J1268" s="78" t="n">
        <v>31</v>
      </c>
      <c r="K1268" s="79" t="n">
        <v>14.6</v>
      </c>
      <c r="L1268" s="80" t="n">
        <f aca="false">IF(AND(J1268&lt;&gt;"",K1268&lt;&gt;""),J1268*K1268,"")</f>
        <v>452.6</v>
      </c>
      <c r="M1268" s="81" t="n">
        <f aca="false">IF(L1268&lt;&gt;"",L1268*1.1,"")</f>
        <v>497.86</v>
      </c>
      <c r="N1268" s="53" t="n">
        <f aca="false">IF(F1268="S",L1268*0.02,0)</f>
        <v>9.052</v>
      </c>
      <c r="O1268" s="82" t="n">
        <f aca="false">IF(L1268&lt;&gt;"",L1268+N1268,"")</f>
        <v>461.652</v>
      </c>
      <c r="P1268" s="53" t="n">
        <f aca="false">IF(O1268&lt;&gt;"",O1268*0.1,"")</f>
        <v>46.1652</v>
      </c>
      <c r="Q1268" s="83" t="n">
        <f aca="false">IF(O1268&lt;&gt;"",O1268+P1268,"")</f>
        <v>507.8172</v>
      </c>
      <c r="R1268" s="84" t="s">
        <v>365</v>
      </c>
    </row>
    <row r="1269" customFormat="false" ht="15" hidden="false" customHeight="true" outlineLevel="0" collapsed="false">
      <c r="A1269" s="103" t="n">
        <v>56206</v>
      </c>
      <c r="B1269" s="85" t="n">
        <v>46240</v>
      </c>
      <c r="C1269" s="86" t="s">
        <v>582</v>
      </c>
      <c r="D1269" s="87" t="n">
        <v>50010</v>
      </c>
      <c r="E1269" s="46" t="str">
        <f aca="false">IF(D1269&lt;&gt;"",IFERROR(VLOOKUP(D1269,PROVEEDORES!$A:$B,2,0),"!COD NO ENCONTRADO"),"")</f>
        <v>PERFECTO MONTERO</v>
      </c>
      <c r="F1269" s="88" t="str">
        <f aca="false">IF(D1269&lt;&gt;"",IFERROR(VLOOKUP(D1269,PROVEEDORES!$A:$C,3,0),""),"")</f>
        <v>S</v>
      </c>
      <c r="G1269" s="87" t="s">
        <v>135</v>
      </c>
      <c r="H1269" s="46" t="str">
        <f aca="false">IF(G1269&lt;&gt;"",IFERROR(VLOOKUP(G1269,PRODUCTOS!$A:$B,2,0),"!COD NO ENCONTRADO"),"")</f>
        <v>CONGRIO 10+  (COE)</v>
      </c>
      <c r="I1269" s="89" t="n">
        <v>1</v>
      </c>
      <c r="J1269" s="90" t="n">
        <v>15.5</v>
      </c>
      <c r="K1269" s="91" t="n">
        <v>5.2</v>
      </c>
      <c r="L1269" s="80" t="n">
        <f aca="false">IF(AND(J1269&lt;&gt;"",K1269&lt;&gt;""),J1269*K1269,"")</f>
        <v>80.6</v>
      </c>
      <c r="M1269" s="81" t="n">
        <f aca="false">IF(L1269&lt;&gt;"",L1269*1.1,"")</f>
        <v>88.66</v>
      </c>
      <c r="N1269" s="47" t="n">
        <f aca="false">IF(F1269="S",L1269*0.02,0)</f>
        <v>1.612</v>
      </c>
      <c r="O1269" s="82" t="n">
        <f aca="false">IF(L1269&lt;&gt;"",L1269+N1269,"")</f>
        <v>82.212</v>
      </c>
      <c r="P1269" s="47" t="n">
        <f aca="false">IF(O1269&lt;&gt;"",O1269*0.1,"")</f>
        <v>8.2212</v>
      </c>
      <c r="Q1269" s="83" t="n">
        <f aca="false">IF(O1269&lt;&gt;"",O1269+P1269,"")</f>
        <v>90.4332</v>
      </c>
      <c r="R1269" s="84" t="s">
        <v>365</v>
      </c>
    </row>
    <row r="1270" customFormat="false" ht="15" hidden="false" customHeight="true" outlineLevel="0" collapsed="false">
      <c r="A1270" s="103" t="n">
        <v>56207</v>
      </c>
      <c r="B1270" s="73" t="n">
        <v>46240</v>
      </c>
      <c r="C1270" s="74" t="s">
        <v>583</v>
      </c>
      <c r="D1270" s="75" t="n">
        <v>50521</v>
      </c>
      <c r="E1270" s="52" t="str">
        <f aca="false">IF(D1270&lt;&gt;"",IFERROR(VLOOKUP(D1270,PROVEEDORES!$A:$B,2,0),"!COD NO ENCONTRADO"),"")</f>
        <v>SUBASTAS DE ATLANTICO S.L</v>
      </c>
      <c r="F1270" s="76" t="str">
        <f aca="false">IF(D1270&lt;&gt;"",IFERROR(VLOOKUP(D1270,PROVEEDORES!$A:$C,3,0),""),"")</f>
        <v>S</v>
      </c>
      <c r="G1270" s="75" t="s">
        <v>93</v>
      </c>
      <c r="H1270" s="52" t="str">
        <f aca="false">IF(G1270&lt;&gt;"",IFERROR(VLOOKUP(G1270,PRODUCTOS!$A:$B,2,0),"!COD NO ENCONTRADO"),"")</f>
        <v>BOQUERON/ BOCARTE/ ANCHOA (ANE)</v>
      </c>
      <c r="I1270" s="77" t="n">
        <v>40</v>
      </c>
      <c r="J1270" s="78" t="n">
        <v>327</v>
      </c>
      <c r="K1270" s="79" t="n">
        <v>2.4</v>
      </c>
      <c r="L1270" s="80" t="n">
        <f aca="false">IF(AND(J1270&lt;&gt;"",K1270&lt;&gt;""),J1270*K1270,"")</f>
        <v>784.8</v>
      </c>
      <c r="M1270" s="81" t="n">
        <f aca="false">IF(L1270&lt;&gt;"",L1270*1.1,"")</f>
        <v>863.28</v>
      </c>
      <c r="N1270" s="53" t="n">
        <f aca="false">IF(F1270="S",L1270*0.02,0)</f>
        <v>15.696</v>
      </c>
      <c r="O1270" s="82" t="n">
        <f aca="false">IF(L1270&lt;&gt;"",L1270+N1270,"")</f>
        <v>800.496</v>
      </c>
      <c r="P1270" s="53" t="n">
        <f aca="false">IF(O1270&lt;&gt;"",O1270*0.1,"")</f>
        <v>80.0496</v>
      </c>
      <c r="Q1270" s="83" t="n">
        <f aca="false">IF(O1270&lt;&gt;"",O1270+P1270,"")</f>
        <v>880.5456</v>
      </c>
      <c r="R1270" s="84" t="s">
        <v>365</v>
      </c>
    </row>
    <row r="1271" customFormat="false" ht="15" hidden="false" customHeight="true" outlineLevel="0" collapsed="false">
      <c r="A1271" s="103" t="n">
        <v>56208</v>
      </c>
      <c r="B1271" s="85" t="n">
        <v>46240</v>
      </c>
      <c r="C1271" s="86" t="s">
        <v>584</v>
      </c>
      <c r="D1271" s="87" t="n">
        <v>50514</v>
      </c>
      <c r="E1271" s="46" t="str">
        <f aca="false">IF(D1271&lt;&gt;"",IFERROR(VLOOKUP(D1271,PROVEEDORES!$A:$B,2,0),"!COD NO ENCONTRADO"),"")</f>
        <v>PESCADO Y MARISCOS ADELAIDA S.L.</v>
      </c>
      <c r="F1271" s="88" t="str">
        <f aca="false">IF(D1271&lt;&gt;"",IFERROR(VLOOKUP(D1271,PROVEEDORES!$A:$C,3,0),""),"")</f>
        <v>N</v>
      </c>
      <c r="G1271" s="87" t="s">
        <v>326</v>
      </c>
      <c r="H1271" s="46" t="str">
        <f aca="false">IF(G1271&lt;&gt;"",IFERROR(VLOOKUP(G1271,PRODUCTOS!$A:$B,2,0),"!COD NO ENCONTRADO"),"")</f>
        <v>SARGO RIA (SWA)</v>
      </c>
      <c r="I1271" s="89" t="n">
        <v>1</v>
      </c>
      <c r="J1271" s="90" t="n">
        <v>5.6</v>
      </c>
      <c r="K1271" s="91" t="n">
        <v>5.8</v>
      </c>
      <c r="L1271" s="80" t="n">
        <f aca="false">IF(AND(J1271&lt;&gt;"",K1271&lt;&gt;""),J1271*K1271,"")</f>
        <v>32.48</v>
      </c>
      <c r="M1271" s="81" t="n">
        <f aca="false">IF(L1271&lt;&gt;"",L1271*1.1,"")</f>
        <v>35.728</v>
      </c>
      <c r="N1271" s="47" t="n">
        <f aca="false">IF(F1271="S",L1271*0.02,0)</f>
        <v>0</v>
      </c>
      <c r="O1271" s="82" t="n">
        <f aca="false">IF(L1271&lt;&gt;"",L1271+N1271,"")</f>
        <v>32.48</v>
      </c>
      <c r="P1271" s="47" t="n">
        <f aca="false">IF(O1271&lt;&gt;"",O1271*0.1,"")</f>
        <v>3.248</v>
      </c>
      <c r="Q1271" s="83" t="n">
        <f aca="false">IF(O1271&lt;&gt;"",O1271+P1271,"")</f>
        <v>35.728</v>
      </c>
      <c r="R1271" s="84" t="s">
        <v>365</v>
      </c>
    </row>
    <row r="1272" customFormat="false" ht="15" hidden="false" customHeight="true" outlineLevel="0" collapsed="false">
      <c r="A1272" s="103" t="n">
        <v>56208</v>
      </c>
      <c r="B1272" s="85" t="n">
        <v>46240</v>
      </c>
      <c r="C1272" s="86" t="s">
        <v>584</v>
      </c>
      <c r="D1272" s="87" t="n">
        <v>50514</v>
      </c>
      <c r="E1272" s="46" t="str">
        <f aca="false">IF(D1272&lt;&gt;"",IFERROR(VLOOKUP(D1272,PROVEEDORES!$A:$B,2,0),"!COD NO ENCONTRADO"),"")</f>
        <v>PESCADO Y MARISCOS ADELAIDA S.L.</v>
      </c>
      <c r="F1272" s="88" t="str">
        <f aca="false">IF(D1272&lt;&gt;"",IFERROR(VLOOKUP(D1272,PROVEEDORES!$A:$C,3,0),""),"")</f>
        <v>N</v>
      </c>
      <c r="G1272" s="87" t="s">
        <v>326</v>
      </c>
      <c r="H1272" s="52" t="str">
        <f aca="false">IF(G1272&lt;&gt;"",IFERROR(VLOOKUP(G1272,PRODUCTOS!$A:$B,2,0),"!COD NO ENCONTRADO"),"")</f>
        <v>SARGO RIA (SWA)</v>
      </c>
      <c r="I1272" s="77" t="n">
        <v>1</v>
      </c>
      <c r="J1272" s="78" t="n">
        <v>5.8</v>
      </c>
      <c r="K1272" s="79" t="n">
        <v>5.8</v>
      </c>
      <c r="L1272" s="80" t="n">
        <f aca="false">IF(AND(J1272&lt;&gt;"",K1272&lt;&gt;""),J1272*K1272,"")</f>
        <v>33.64</v>
      </c>
      <c r="M1272" s="81" t="n">
        <f aca="false">IF(L1272&lt;&gt;"",L1272*1.1,"")</f>
        <v>37.004</v>
      </c>
      <c r="N1272" s="53" t="n">
        <f aca="false">IF(F1272="S",L1272*0.02,0)</f>
        <v>0</v>
      </c>
      <c r="O1272" s="82" t="n">
        <f aca="false">IF(L1272&lt;&gt;"",L1272+N1272,"")</f>
        <v>33.64</v>
      </c>
      <c r="P1272" s="53" t="n">
        <f aca="false">IF(O1272&lt;&gt;"",O1272*0.1,"")</f>
        <v>3.364</v>
      </c>
      <c r="Q1272" s="83" t="n">
        <f aca="false">IF(O1272&lt;&gt;"",O1272+P1272,"")</f>
        <v>37.004</v>
      </c>
      <c r="R1272" s="84" t="s">
        <v>365</v>
      </c>
    </row>
    <row r="1273" customFormat="false" ht="15" hidden="false" customHeight="true" outlineLevel="0" collapsed="false">
      <c r="A1273" s="103" t="n">
        <v>56208</v>
      </c>
      <c r="B1273" s="85" t="n">
        <v>46240</v>
      </c>
      <c r="C1273" s="86" t="s">
        <v>584</v>
      </c>
      <c r="D1273" s="87" t="n">
        <v>50514</v>
      </c>
      <c r="E1273" s="46" t="str">
        <f aca="false">IF(D1273&lt;&gt;"",IFERROR(VLOOKUP(D1273,PROVEEDORES!$A:$B,2,0),"!COD NO ENCONTRADO"),"")</f>
        <v>PESCADO Y MARISCOS ADELAIDA S.L.</v>
      </c>
      <c r="F1273" s="88" t="str">
        <f aca="false">IF(D1273&lt;&gt;"",IFERROR(VLOOKUP(D1273,PROVEEDORES!$A:$C,3,0),""),"")</f>
        <v>N</v>
      </c>
      <c r="G1273" s="87" t="s">
        <v>326</v>
      </c>
      <c r="H1273" s="46" t="str">
        <f aca="false">IF(G1273&lt;&gt;"",IFERROR(VLOOKUP(G1273,PRODUCTOS!$A:$B,2,0),"!COD NO ENCONTRADO"),"")</f>
        <v>SARGO RIA (SWA)</v>
      </c>
      <c r="I1273" s="89" t="n">
        <v>1</v>
      </c>
      <c r="J1273" s="90" t="n">
        <v>5.1</v>
      </c>
      <c r="K1273" s="91" t="n">
        <v>10.8</v>
      </c>
      <c r="L1273" s="80" t="n">
        <f aca="false">IF(AND(J1273&lt;&gt;"",K1273&lt;&gt;""),J1273*K1273,"")</f>
        <v>55.08</v>
      </c>
      <c r="M1273" s="81" t="n">
        <f aca="false">IF(L1273&lt;&gt;"",L1273*1.1,"")</f>
        <v>60.588</v>
      </c>
      <c r="N1273" s="47" t="n">
        <f aca="false">IF(F1273="S",L1273*0.02,0)</f>
        <v>0</v>
      </c>
      <c r="O1273" s="82" t="n">
        <f aca="false">IF(L1273&lt;&gt;"",L1273+N1273,"")</f>
        <v>55.08</v>
      </c>
      <c r="P1273" s="47" t="n">
        <f aca="false">IF(O1273&lt;&gt;"",O1273*0.1,"")</f>
        <v>5.508</v>
      </c>
      <c r="Q1273" s="83" t="n">
        <f aca="false">IF(O1273&lt;&gt;"",O1273+P1273,"")</f>
        <v>60.588</v>
      </c>
      <c r="R1273" s="84" t="s">
        <v>365</v>
      </c>
    </row>
    <row r="1274" customFormat="false" ht="15" hidden="false" customHeight="true" outlineLevel="0" collapsed="false">
      <c r="A1274" s="103" t="n">
        <v>56208</v>
      </c>
      <c r="B1274" s="85" t="n">
        <v>46240</v>
      </c>
      <c r="C1274" s="86" t="s">
        <v>584</v>
      </c>
      <c r="D1274" s="87" t="n">
        <v>50514</v>
      </c>
      <c r="E1274" s="46" t="str">
        <f aca="false">IF(D1274&lt;&gt;"",IFERROR(VLOOKUP(D1274,PROVEEDORES!$A:$B,2,0),"!COD NO ENCONTRADO"),"")</f>
        <v>PESCADO Y MARISCOS ADELAIDA S.L.</v>
      </c>
      <c r="F1274" s="88" t="str">
        <f aca="false">IF(D1274&lt;&gt;"",IFERROR(VLOOKUP(D1274,PROVEEDORES!$A:$C,3,0),""),"")</f>
        <v>N</v>
      </c>
      <c r="G1274" s="87" t="s">
        <v>326</v>
      </c>
      <c r="H1274" s="52" t="str">
        <f aca="false">IF(G1274&lt;&gt;"",IFERROR(VLOOKUP(G1274,PRODUCTOS!$A:$B,2,0),"!COD NO ENCONTRADO"),"")</f>
        <v>SARGO RIA (SWA)</v>
      </c>
      <c r="I1274" s="77" t="n">
        <v>1</v>
      </c>
      <c r="J1274" s="78" t="n">
        <v>4.7</v>
      </c>
      <c r="K1274" s="79" t="n">
        <v>10.8</v>
      </c>
      <c r="L1274" s="80" t="n">
        <f aca="false">IF(AND(J1274&lt;&gt;"",K1274&lt;&gt;""),J1274*K1274,"")</f>
        <v>50.76</v>
      </c>
      <c r="M1274" s="81" t="n">
        <f aca="false">IF(L1274&lt;&gt;"",L1274*1.1,"")</f>
        <v>55.836</v>
      </c>
      <c r="N1274" s="53" t="n">
        <f aca="false">IF(F1274="S",L1274*0.02,0)</f>
        <v>0</v>
      </c>
      <c r="O1274" s="82" t="n">
        <f aca="false">IF(L1274&lt;&gt;"",L1274+N1274,"")</f>
        <v>50.76</v>
      </c>
      <c r="P1274" s="53" t="n">
        <f aca="false">IF(O1274&lt;&gt;"",O1274*0.1,"")</f>
        <v>5.076</v>
      </c>
      <c r="Q1274" s="83" t="n">
        <f aca="false">IF(O1274&lt;&gt;"",O1274+P1274,"")</f>
        <v>55.836</v>
      </c>
      <c r="R1274" s="84" t="s">
        <v>365</v>
      </c>
    </row>
    <row r="1275" customFormat="false" ht="15" hidden="false" customHeight="true" outlineLevel="0" collapsed="false">
      <c r="A1275" s="103" t="n">
        <v>56208</v>
      </c>
      <c r="B1275" s="85" t="n">
        <v>46240</v>
      </c>
      <c r="C1275" s="86" t="s">
        <v>584</v>
      </c>
      <c r="D1275" s="87" t="n">
        <v>50514</v>
      </c>
      <c r="E1275" s="46" t="str">
        <f aca="false">IF(D1275&lt;&gt;"",IFERROR(VLOOKUP(D1275,PROVEEDORES!$A:$B,2,0),"!COD NO ENCONTRADO"),"")</f>
        <v>PESCADO Y MARISCOS ADELAIDA S.L.</v>
      </c>
      <c r="F1275" s="88" t="str">
        <f aca="false">IF(D1275&lt;&gt;"",IFERROR(VLOOKUP(D1275,PROVEEDORES!$A:$C,3,0),""),"")</f>
        <v>N</v>
      </c>
      <c r="G1275" s="87" t="s">
        <v>326</v>
      </c>
      <c r="H1275" s="46" t="str">
        <f aca="false">IF(G1275&lt;&gt;"",IFERROR(VLOOKUP(G1275,PRODUCTOS!$A:$B,2,0),"!COD NO ENCONTRADO"),"")</f>
        <v>SARGO RIA (SWA)</v>
      </c>
      <c r="I1275" s="89" t="n">
        <v>1</v>
      </c>
      <c r="J1275" s="90" t="n">
        <v>5.2</v>
      </c>
      <c r="K1275" s="91" t="n">
        <v>10.8</v>
      </c>
      <c r="L1275" s="80" t="n">
        <f aca="false">IF(AND(J1275&lt;&gt;"",K1275&lt;&gt;""),J1275*K1275,"")</f>
        <v>56.16</v>
      </c>
      <c r="M1275" s="81" t="n">
        <f aca="false">IF(L1275&lt;&gt;"",L1275*1.1,"")</f>
        <v>61.776</v>
      </c>
      <c r="N1275" s="47" t="n">
        <f aca="false">IF(F1275="S",L1275*0.02,0)</f>
        <v>0</v>
      </c>
      <c r="O1275" s="82" t="n">
        <f aca="false">IF(L1275&lt;&gt;"",L1275+N1275,"")</f>
        <v>56.16</v>
      </c>
      <c r="P1275" s="47" t="n">
        <f aca="false">IF(O1275&lt;&gt;"",O1275*0.1,"")</f>
        <v>5.616</v>
      </c>
      <c r="Q1275" s="83" t="n">
        <f aca="false">IF(O1275&lt;&gt;"",O1275+P1275,"")</f>
        <v>61.776</v>
      </c>
      <c r="R1275" s="84" t="s">
        <v>365</v>
      </c>
    </row>
    <row r="1276" customFormat="false" ht="15" hidden="false" customHeight="true" outlineLevel="0" collapsed="false">
      <c r="A1276" s="103" t="n">
        <v>56208</v>
      </c>
      <c r="B1276" s="85" t="n">
        <v>46240</v>
      </c>
      <c r="C1276" s="86" t="s">
        <v>584</v>
      </c>
      <c r="D1276" s="87" t="n">
        <v>50514</v>
      </c>
      <c r="E1276" s="46" t="str">
        <f aca="false">IF(D1276&lt;&gt;"",IFERROR(VLOOKUP(D1276,PROVEEDORES!$A:$B,2,0),"!COD NO ENCONTRADO"),"")</f>
        <v>PESCADO Y MARISCOS ADELAIDA S.L.</v>
      </c>
      <c r="F1276" s="88" t="str">
        <f aca="false">IF(D1276&lt;&gt;"",IFERROR(VLOOKUP(D1276,PROVEEDORES!$A:$C,3,0),""),"")</f>
        <v>N</v>
      </c>
      <c r="G1276" s="87" t="s">
        <v>326</v>
      </c>
      <c r="H1276" s="52" t="str">
        <f aca="false">IF(G1276&lt;&gt;"",IFERROR(VLOOKUP(G1276,PRODUCTOS!$A:$B,2,0),"!COD NO ENCONTRADO"),"")</f>
        <v>SARGO RIA (SWA)</v>
      </c>
      <c r="I1276" s="77" t="n">
        <v>1</v>
      </c>
      <c r="J1276" s="78" t="n">
        <v>4</v>
      </c>
      <c r="K1276" s="79" t="n">
        <v>12.8</v>
      </c>
      <c r="L1276" s="80" t="n">
        <f aca="false">IF(AND(J1276&lt;&gt;"",K1276&lt;&gt;""),J1276*K1276,"")</f>
        <v>51.2</v>
      </c>
      <c r="M1276" s="81" t="n">
        <f aca="false">IF(L1276&lt;&gt;"",L1276*1.1,"")</f>
        <v>56.32</v>
      </c>
      <c r="N1276" s="53" t="n">
        <f aca="false">IF(F1276="S",L1276*0.02,0)</f>
        <v>0</v>
      </c>
      <c r="O1276" s="82" t="n">
        <f aca="false">IF(L1276&lt;&gt;"",L1276+N1276,"")</f>
        <v>51.2</v>
      </c>
      <c r="P1276" s="53" t="n">
        <f aca="false">IF(O1276&lt;&gt;"",O1276*0.1,"")</f>
        <v>5.12</v>
      </c>
      <c r="Q1276" s="83" t="n">
        <f aca="false">IF(O1276&lt;&gt;"",O1276+P1276,"")</f>
        <v>56.32</v>
      </c>
      <c r="R1276" s="84" t="s">
        <v>365</v>
      </c>
    </row>
    <row r="1277" customFormat="false" ht="15" hidden="false" customHeight="true" outlineLevel="0" collapsed="false">
      <c r="A1277" s="103" t="n">
        <v>56209</v>
      </c>
      <c r="B1277" s="85" t="n">
        <v>46240</v>
      </c>
      <c r="C1277" s="86" t="s">
        <v>585</v>
      </c>
      <c r="D1277" s="87" t="n">
        <v>50048</v>
      </c>
      <c r="E1277" s="46" t="str">
        <f aca="false">IF(D1277&lt;&gt;"",IFERROR(VLOOKUP(D1277,PROVEEDORES!$A:$B,2,0),"!COD NO ENCONTRADO"),"")</f>
        <v>JOSE LUIS CORREA KESSLER S.L.</v>
      </c>
      <c r="F1277" s="88" t="str">
        <f aca="false">IF(D1277&lt;&gt;"",IFERROR(VLOOKUP(D1277,PROVEEDORES!$A:$C,3,0),""),"")</f>
        <v>N</v>
      </c>
      <c r="G1277" s="87" t="s">
        <v>179</v>
      </c>
      <c r="H1277" s="46" t="str">
        <f aca="false">IF(G1277&lt;&gt;"",IFERROR(VLOOKUP(G1277,PRODUCTOS!$A:$B,2,0),"!COD NO ENCONTRADO"),"")</f>
        <v>LIRIO/ BACALADILLA/ PERLA (WHB)</v>
      </c>
      <c r="I1277" s="89" t="n">
        <v>6</v>
      </c>
      <c r="J1277" s="90" t="n">
        <v>36</v>
      </c>
      <c r="K1277" s="125" t="n">
        <v>3</v>
      </c>
      <c r="L1277" s="80" t="n">
        <f aca="false">IF(AND(J1277&lt;&gt;"",K1277&lt;&gt;""),J1277*K1277,"")</f>
        <v>108</v>
      </c>
      <c r="M1277" s="81" t="n">
        <f aca="false">IF(L1277&lt;&gt;"",L1277*1.1,"")</f>
        <v>118.8</v>
      </c>
      <c r="N1277" s="47" t="n">
        <f aca="false">IF(F1277="S",L1277*0.02,0)</f>
        <v>0</v>
      </c>
      <c r="O1277" s="82" t="n">
        <f aca="false">IF(L1277&lt;&gt;"",L1277+N1277,"")</f>
        <v>108</v>
      </c>
      <c r="P1277" s="47" t="n">
        <f aca="false">IF(O1277&lt;&gt;"",O1277*0.1,"")</f>
        <v>10.8</v>
      </c>
      <c r="Q1277" s="83" t="n">
        <f aca="false">IF(O1277&lt;&gt;"",O1277+P1277,"")</f>
        <v>118.8</v>
      </c>
      <c r="R1277" s="84" t="s">
        <v>365</v>
      </c>
    </row>
    <row r="1278" customFormat="false" ht="15" hidden="false" customHeight="true" outlineLevel="0" collapsed="false">
      <c r="A1278" s="103" t="n">
        <v>56210</v>
      </c>
      <c r="B1278" s="85" t="n">
        <v>46240</v>
      </c>
      <c r="C1278" s="74" t="s">
        <v>586</v>
      </c>
      <c r="D1278" s="75" t="n">
        <v>50035</v>
      </c>
      <c r="E1278" s="52" t="str">
        <f aca="false">IF(D1278&lt;&gt;"",IFERROR(VLOOKUP(D1278,PROVEEDORES!$A:$B,2,0),"!COD NO ENCONTRADO"),"")</f>
        <v>SCANFISK SEAFFOD S,L</v>
      </c>
      <c r="F1278" s="76" t="str">
        <f aca="false">IF(D1278&lt;&gt;"",IFERROR(VLOOKUP(D1278,PROVEEDORES!$A:$C,3,0),""),"")</f>
        <v>N</v>
      </c>
      <c r="G1278" s="75" t="s">
        <v>209</v>
      </c>
      <c r="H1278" s="52" t="str">
        <f aca="false">IF(G1278&lt;&gt;"",IFERROR(VLOOKUP(G1278,PRODUCTOS!$A:$B,2,0),"!COD NO ENCONTRADO"),"")</f>
        <v>MERLUZA EUROPEA PINCHO</v>
      </c>
      <c r="I1278" s="77" t="n">
        <v>7</v>
      </c>
      <c r="J1278" s="78" t="n">
        <v>126</v>
      </c>
      <c r="K1278" s="79" t="n">
        <v>6.3</v>
      </c>
      <c r="L1278" s="80" t="n">
        <f aca="false">IF(AND(J1278&lt;&gt;"",K1278&lt;&gt;""),J1278*K1278,"")</f>
        <v>793.8</v>
      </c>
      <c r="M1278" s="81" t="n">
        <f aca="false">IF(L1278&lt;&gt;"",L1278*1.1,"")</f>
        <v>873.18</v>
      </c>
      <c r="N1278" s="53" t="n">
        <f aca="false">IF(F1278="S",L1278*0.02,0)</f>
        <v>0</v>
      </c>
      <c r="O1278" s="82" t="n">
        <f aca="false">IF(L1278&lt;&gt;"",L1278+N1278,"")</f>
        <v>793.8</v>
      </c>
      <c r="P1278" s="53" t="n">
        <f aca="false">IF(O1278&lt;&gt;"",O1278*0.1,"")</f>
        <v>79.38</v>
      </c>
      <c r="Q1278" s="83" t="n">
        <f aca="false">IF(O1278&lt;&gt;"",O1278+P1278,"")</f>
        <v>873.18</v>
      </c>
      <c r="R1278" s="84" t="s">
        <v>365</v>
      </c>
    </row>
    <row r="1279" customFormat="false" ht="15" hidden="false" customHeight="true" outlineLevel="0" collapsed="false">
      <c r="A1279" s="103" t="n">
        <v>56210</v>
      </c>
      <c r="B1279" s="85" t="n">
        <v>46240</v>
      </c>
      <c r="C1279" s="86" t="s">
        <v>587</v>
      </c>
      <c r="D1279" s="87" t="n">
        <v>50035</v>
      </c>
      <c r="E1279" s="46" t="str">
        <f aca="false">IF(D1279&lt;&gt;"",IFERROR(VLOOKUP(D1279,PROVEEDORES!$A:$B,2,0),"!COD NO ENCONTRADO"),"")</f>
        <v>SCANFISK SEAFFOD S,L</v>
      </c>
      <c r="F1279" s="88" t="str">
        <f aca="false">IF(D1279&lt;&gt;"",IFERROR(VLOOKUP(D1279,PROVEEDORES!$A:$C,3,0),""),"")</f>
        <v>N</v>
      </c>
      <c r="G1279" s="87" t="s">
        <v>246</v>
      </c>
      <c r="H1279" s="46" t="str">
        <f aca="false">IF(G1279&lt;&gt;"",IFERROR(VLOOKUP(G1279,PRODUCTOS!$A:$B,2,0),"!COD NO ENCONTRADO"),"")</f>
        <v>MERLUZA EUROPEA VOLANTA ALTURA</v>
      </c>
      <c r="I1279" s="89" t="n">
        <v>4</v>
      </c>
      <c r="J1279" s="90" t="n">
        <v>42.3</v>
      </c>
      <c r="K1279" s="91" t="n">
        <v>7.3</v>
      </c>
      <c r="L1279" s="80" t="n">
        <f aca="false">IF(AND(J1279&lt;&gt;"",K1279&lt;&gt;""),J1279*K1279,"")</f>
        <v>308.79</v>
      </c>
      <c r="M1279" s="81" t="n">
        <f aca="false">IF(L1279&lt;&gt;"",L1279*1.1,"")</f>
        <v>339.669</v>
      </c>
      <c r="N1279" s="47" t="n">
        <f aca="false">IF(F1279="S",L1279*0.02,0)</f>
        <v>0</v>
      </c>
      <c r="O1279" s="82" t="n">
        <f aca="false">IF(L1279&lt;&gt;"",L1279+N1279,"")</f>
        <v>308.79</v>
      </c>
      <c r="P1279" s="47" t="n">
        <f aca="false">IF(O1279&lt;&gt;"",O1279*0.1,"")</f>
        <v>30.879</v>
      </c>
      <c r="Q1279" s="83" t="n">
        <f aca="false">IF(O1279&lt;&gt;"",O1279+P1279,"")</f>
        <v>339.669</v>
      </c>
      <c r="R1279" s="84" t="s">
        <v>365</v>
      </c>
    </row>
    <row r="1280" customFormat="false" ht="15" hidden="false" customHeight="true" outlineLevel="0" collapsed="false">
      <c r="A1280" s="103" t="n">
        <v>56210</v>
      </c>
      <c r="B1280" s="85" t="n">
        <v>46240</v>
      </c>
      <c r="C1280" s="74" t="s">
        <v>588</v>
      </c>
      <c r="D1280" s="75" t="n">
        <v>50035</v>
      </c>
      <c r="E1280" s="52" t="str">
        <f aca="false">IF(D1280&lt;&gt;"",IFERROR(VLOOKUP(D1280,PROVEEDORES!$A:$B,2,0),"!COD NO ENCONTRADO"),"")</f>
        <v>SCANFISK SEAFFOD S,L</v>
      </c>
      <c r="F1280" s="76" t="str">
        <f aca="false">IF(D1280&lt;&gt;"",IFERROR(VLOOKUP(D1280,PROVEEDORES!$A:$C,3,0),""),"")</f>
        <v>N</v>
      </c>
      <c r="G1280" s="75" t="s">
        <v>367</v>
      </c>
      <c r="H1280" s="52" t="str">
        <f aca="false">IF(G1280&lt;&gt;"",IFERROR(VLOOKUP(G1280,PRODUCTOS!$A:$B,2,0),"!COD NO ENCONTRADO"),"")</f>
        <v>MERLUZA BAKA DIA</v>
      </c>
      <c r="I1280" s="77" t="n">
        <v>5</v>
      </c>
      <c r="J1280" s="78" t="n">
        <v>30.9</v>
      </c>
      <c r="K1280" s="79" t="n">
        <v>4.5</v>
      </c>
      <c r="L1280" s="80" t="n">
        <f aca="false">IF(AND(J1280&lt;&gt;"",K1280&lt;&gt;""),J1280*K1280,"")</f>
        <v>139.05</v>
      </c>
      <c r="M1280" s="81" t="n">
        <f aca="false">IF(L1280&lt;&gt;"",L1280*1.1,"")</f>
        <v>152.955</v>
      </c>
      <c r="N1280" s="53" t="n">
        <f aca="false">IF(F1280="S",L1280*0.02,0)</f>
        <v>0</v>
      </c>
      <c r="O1280" s="82" t="n">
        <f aca="false">IF(L1280&lt;&gt;"",L1280+N1280,"")</f>
        <v>139.05</v>
      </c>
      <c r="P1280" s="53" t="n">
        <f aca="false">IF(O1280&lt;&gt;"",O1280*0.1,"")</f>
        <v>13.905</v>
      </c>
      <c r="Q1280" s="83" t="n">
        <f aca="false">IF(O1280&lt;&gt;"",O1280+P1280,"")</f>
        <v>152.955</v>
      </c>
      <c r="R1280" s="84" t="s">
        <v>365</v>
      </c>
    </row>
    <row r="1281" customFormat="false" ht="15" hidden="false" customHeight="true" outlineLevel="0" collapsed="false">
      <c r="A1281" s="103" t="n">
        <v>56210</v>
      </c>
      <c r="B1281" s="85" t="n">
        <v>46240</v>
      </c>
      <c r="C1281" s="86" t="s">
        <v>589</v>
      </c>
      <c r="D1281" s="87" t="n">
        <v>50035</v>
      </c>
      <c r="E1281" s="46" t="str">
        <f aca="false">IF(D1281&lt;&gt;"",IFERROR(VLOOKUP(D1281,PROVEEDORES!$A:$B,2,0),"!COD NO ENCONTRADO"),"")</f>
        <v>SCANFISK SEAFFOD S,L</v>
      </c>
      <c r="F1281" s="88" t="str">
        <f aca="false">IF(D1281&lt;&gt;"",IFERROR(VLOOKUP(D1281,PROVEEDORES!$A:$C,3,0),""),"")</f>
        <v>N</v>
      </c>
      <c r="G1281" s="87" t="s">
        <v>91</v>
      </c>
      <c r="H1281" s="46" t="str">
        <f aca="false">IF(G1281&lt;&gt;"",IFERROR(VLOOKUP(G1281,PRODUCTOS!$A:$B,2,0),"!COD NO ENCONTRADO"),"")</f>
        <v>BONITO DEL NORTE 5/7</v>
      </c>
      <c r="I1281" s="89" t="n">
        <v>1</v>
      </c>
      <c r="J1281" s="90" t="n">
        <v>17.6</v>
      </c>
      <c r="K1281" s="91" t="n">
        <v>5.9</v>
      </c>
      <c r="L1281" s="80" t="n">
        <f aca="false">IF(AND(J1281&lt;&gt;"",K1281&lt;&gt;""),J1281*K1281,"")</f>
        <v>103.84</v>
      </c>
      <c r="M1281" s="81" t="n">
        <f aca="false">IF(L1281&lt;&gt;"",L1281*1.1,"")</f>
        <v>114.224</v>
      </c>
      <c r="N1281" s="47" t="n">
        <f aca="false">IF(F1281="S",L1281*0.02,0)</f>
        <v>0</v>
      </c>
      <c r="O1281" s="82" t="n">
        <f aca="false">IF(L1281&lt;&gt;"",L1281+N1281,"")</f>
        <v>103.84</v>
      </c>
      <c r="P1281" s="47" t="n">
        <f aca="false">IF(O1281&lt;&gt;"",O1281*0.1,"")</f>
        <v>10.384</v>
      </c>
      <c r="Q1281" s="83" t="n">
        <f aca="false">IF(O1281&lt;&gt;"",O1281+P1281,"")</f>
        <v>114.224</v>
      </c>
      <c r="R1281" s="84" t="s">
        <v>365</v>
      </c>
    </row>
    <row r="1282" customFormat="false" ht="15" hidden="false" customHeight="true" outlineLevel="0" collapsed="false">
      <c r="A1282" s="103" t="n">
        <v>56211</v>
      </c>
      <c r="B1282" s="73" t="n">
        <v>46241</v>
      </c>
      <c r="C1282" s="86" t="s">
        <v>590</v>
      </c>
      <c r="D1282" s="75" t="n">
        <v>50001</v>
      </c>
      <c r="E1282" s="52" t="str">
        <f aca="false">IF(D1282&lt;&gt;"",IFERROR(VLOOKUP(D1282,PROVEEDORES!$A:$B,2,0),"!COD NO ENCONTRADO"),"")</f>
        <v>COPESA</v>
      </c>
      <c r="F1282" s="76" t="str">
        <f aca="false">IF(D1282&lt;&gt;"",IFERROR(VLOOKUP(D1282,PROVEEDORES!$A:$C,3,0),""),"")</f>
        <v>S</v>
      </c>
      <c r="G1282" s="75" t="s">
        <v>276</v>
      </c>
      <c r="H1282" s="52" t="str">
        <f aca="false">IF(G1282&lt;&gt;"",IFERROR(VLOOKUP(G1282,PRODUCTOS!$A:$B,2,0),"!COD NO ENCONTRADO"),"")</f>
        <v>MERLUZA EUROPEA/ FINA DIA </v>
      </c>
      <c r="I1282" s="77" t="n">
        <v>10</v>
      </c>
      <c r="J1282" s="78" t="n">
        <v>57.5</v>
      </c>
      <c r="K1282" s="79" t="n">
        <v>2.7</v>
      </c>
      <c r="L1282" s="80" t="n">
        <f aca="false">IF(AND(J1282&lt;&gt;"",K1282&lt;&gt;""),J1282*K1282,"")</f>
        <v>155.25</v>
      </c>
      <c r="M1282" s="142" t="n">
        <f aca="false">IF(L1282&lt;&gt;"",L1282*1.1,"")</f>
        <v>170.775</v>
      </c>
      <c r="N1282" s="143" t="n">
        <f aca="false">IF(F1282="S",L1282*0.02,0)</f>
        <v>3.105</v>
      </c>
      <c r="O1282" s="144" t="n">
        <f aca="false">IF(L1282&lt;&gt;"",L1282+N1282,"")</f>
        <v>158.355</v>
      </c>
      <c r="P1282" s="143" t="n">
        <f aca="false">IF(O1282&lt;&gt;"",O1282*0.1,"")</f>
        <v>15.8355</v>
      </c>
      <c r="Q1282" s="145" t="n">
        <f aca="false">IF(O1282&lt;&gt;"",O1282+P1282,"")</f>
        <v>174.1905</v>
      </c>
      <c r="R1282" s="146" t="s">
        <v>365</v>
      </c>
    </row>
    <row r="1283" customFormat="false" ht="15" hidden="false" customHeight="true" outlineLevel="0" collapsed="false">
      <c r="A1283" s="103" t="n">
        <v>56211</v>
      </c>
      <c r="B1283" s="85" t="n">
        <v>46241</v>
      </c>
      <c r="C1283" s="86" t="s">
        <v>590</v>
      </c>
      <c r="D1283" s="75" t="n">
        <v>50001</v>
      </c>
      <c r="E1283" s="52" t="str">
        <f aca="false">IF(D1283&lt;&gt;"",IFERROR(VLOOKUP(D1283,PROVEEDORES!$A:$B,2,0),"!COD NO ENCONTRADO"),"")</f>
        <v>COPESA</v>
      </c>
      <c r="F1283" s="76" t="str">
        <f aca="false">IF(D1283&lt;&gt;"",IFERROR(VLOOKUP(D1283,PROVEEDORES!$A:$C,3,0),""),"")</f>
        <v>S</v>
      </c>
      <c r="G1283" s="75" t="s">
        <v>332</v>
      </c>
      <c r="H1283" s="52" t="str">
        <f aca="false">IF(G1283&lt;&gt;"",IFERROR(VLOOKUP(G1283,PRODUCTOS!$A:$B,2,0),"!COD NO ENCONTRADO"),"")</f>
        <v>VARIADO PEQUEÑO</v>
      </c>
      <c r="I1283" s="77" t="n">
        <v>1</v>
      </c>
      <c r="J1283" s="78" t="n">
        <v>12.5</v>
      </c>
      <c r="K1283" s="79" t="n">
        <v>0.3</v>
      </c>
      <c r="L1283" s="80" t="n">
        <f aca="false">IF(AND(J1283&lt;&gt;"",K1283&lt;&gt;""),J1283*K1283,"")</f>
        <v>3.75</v>
      </c>
      <c r="M1283" s="142" t="n">
        <f aca="false">IF(L1283&lt;&gt;"",L1283*1.1,"")</f>
        <v>4.125</v>
      </c>
      <c r="N1283" s="143" t="n">
        <f aca="false">IF(F1283="S",L1283*0.02,0)</f>
        <v>0.075</v>
      </c>
      <c r="O1283" s="144" t="n">
        <f aca="false">IF(L1283&lt;&gt;"",L1283+N1283,"")</f>
        <v>3.825</v>
      </c>
      <c r="P1283" s="143" t="n">
        <f aca="false">IF(O1283&lt;&gt;"",O1283*0.1,"")</f>
        <v>0.3825</v>
      </c>
      <c r="Q1283" s="145" t="n">
        <f aca="false">IF(O1283&lt;&gt;"",O1283+P1283,"")</f>
        <v>4.2075</v>
      </c>
      <c r="R1283" s="146" t="s">
        <v>365</v>
      </c>
    </row>
    <row r="1284" customFormat="false" ht="15" hidden="false" customHeight="true" outlineLevel="0" collapsed="false">
      <c r="A1284" s="103" t="n">
        <v>56211</v>
      </c>
      <c r="B1284" s="85" t="n">
        <v>46241</v>
      </c>
      <c r="C1284" s="86" t="s">
        <v>590</v>
      </c>
      <c r="D1284" s="75" t="n">
        <v>50001</v>
      </c>
      <c r="E1284" s="52" t="str">
        <f aca="false">IF(D1284&lt;&gt;"",IFERROR(VLOOKUP(D1284,PROVEEDORES!$A:$B,2,0),"!COD NO ENCONTRADO"),"")</f>
        <v>COPESA</v>
      </c>
      <c r="F1284" s="76" t="str">
        <f aca="false">IF(D1284&lt;&gt;"",IFERROR(VLOOKUP(D1284,PROVEEDORES!$A:$C,3,0),""),"")</f>
        <v>S</v>
      </c>
      <c r="G1284" s="75" t="s">
        <v>332</v>
      </c>
      <c r="H1284" s="52" t="str">
        <f aca="false">IF(G1284&lt;&gt;"",IFERROR(VLOOKUP(G1284,PRODUCTOS!$A:$B,2,0),"!COD NO ENCONTRADO"),"")</f>
        <v>VARIADO PEQUEÑO</v>
      </c>
      <c r="I1284" s="77" t="n">
        <v>1</v>
      </c>
      <c r="J1284" s="78" t="n">
        <v>4.5</v>
      </c>
      <c r="K1284" s="79" t="n">
        <v>0.3</v>
      </c>
      <c r="L1284" s="80" t="n">
        <f aca="false">IF(AND(J1284&lt;&gt;"",K1284&lt;&gt;""),J1284*K1284,"")</f>
        <v>1.35</v>
      </c>
      <c r="M1284" s="142" t="n">
        <f aca="false">IF(L1284&lt;&gt;"",L1284*1.1,"")</f>
        <v>1.485</v>
      </c>
      <c r="N1284" s="143" t="n">
        <f aca="false">IF(F1284="S",L1284*0.02,0)</f>
        <v>0.027</v>
      </c>
      <c r="O1284" s="144" t="n">
        <f aca="false">IF(L1284&lt;&gt;"",L1284+N1284,"")</f>
        <v>1.377</v>
      </c>
      <c r="P1284" s="143" t="n">
        <f aca="false">IF(O1284&lt;&gt;"",O1284*0.1,"")</f>
        <v>0.1377</v>
      </c>
      <c r="Q1284" s="145" t="n">
        <f aca="false">IF(O1284&lt;&gt;"",O1284+P1284,"")</f>
        <v>1.5147</v>
      </c>
      <c r="R1284" s="146" t="s">
        <v>365</v>
      </c>
    </row>
    <row r="1285" customFormat="false" ht="15" hidden="false" customHeight="true" outlineLevel="0" collapsed="false">
      <c r="A1285" s="103" t="n">
        <v>56212</v>
      </c>
      <c r="B1285" s="73" t="n">
        <v>46241</v>
      </c>
      <c r="C1285" s="86" t="s">
        <v>591</v>
      </c>
      <c r="D1285" s="87" t="n">
        <v>50048</v>
      </c>
      <c r="E1285" s="46" t="str">
        <f aca="false">IF(D1285&lt;&gt;"",IFERROR(VLOOKUP(D1285,PROVEEDORES!$A:$B,2,0),"!COD NO ENCONTRADO"),"")</f>
        <v>JOSE LUIS CORREA KESSLER S.L.</v>
      </c>
      <c r="F1285" s="88" t="str">
        <f aca="false">IF(D1285&lt;&gt;"",IFERROR(VLOOKUP(D1285,PROVEEDORES!$A:$C,3,0),""),"")</f>
        <v>N</v>
      </c>
      <c r="G1285" s="87" t="s">
        <v>91</v>
      </c>
      <c r="H1285" s="46" t="str">
        <f aca="false">IF(G1285&lt;&gt;"",IFERROR(VLOOKUP(G1285,PRODUCTOS!$A:$B,2,0),"!COD NO ENCONTRADO"),"")</f>
        <v>BONITO DEL NORTE 5/7</v>
      </c>
      <c r="I1285" s="89" t="n">
        <v>1</v>
      </c>
      <c r="J1285" s="105" t="n">
        <v>40.5</v>
      </c>
      <c r="K1285" s="125" t="n">
        <v>5.4</v>
      </c>
      <c r="L1285" s="80" t="n">
        <f aca="false">IF(AND(J1285&lt;&gt;"",K1285&lt;&gt;""),J1285*K1285,"")</f>
        <v>218.7</v>
      </c>
      <c r="M1285" s="142" t="n">
        <f aca="false">IF(L1285&lt;&gt;"",L1285*1.1,"")</f>
        <v>240.57</v>
      </c>
      <c r="N1285" s="147" t="n">
        <f aca="false">IF(F1285="S",L1285*0.02,0)</f>
        <v>0</v>
      </c>
      <c r="O1285" s="144" t="n">
        <f aca="false">IF(L1285&lt;&gt;"",L1285+N1285,"")</f>
        <v>218.7</v>
      </c>
      <c r="P1285" s="147" t="n">
        <f aca="false">IF(O1285&lt;&gt;"",O1285*0.1,"")</f>
        <v>21.87</v>
      </c>
      <c r="Q1285" s="145" t="n">
        <f aca="false">IF(O1285&lt;&gt;"",O1285+P1285,"")</f>
        <v>240.57</v>
      </c>
      <c r="R1285" s="146" t="s">
        <v>365</v>
      </c>
    </row>
    <row r="1286" customFormat="false" ht="15" hidden="false" customHeight="true" outlineLevel="0" collapsed="false">
      <c r="A1286" s="103" t="n">
        <v>56212</v>
      </c>
      <c r="B1286" s="73" t="n">
        <v>46241</v>
      </c>
      <c r="C1286" s="86" t="s">
        <v>591</v>
      </c>
      <c r="D1286" s="87" t="n">
        <v>50048</v>
      </c>
      <c r="E1286" s="46" t="str">
        <f aca="false">IF(D1286&lt;&gt;"",IFERROR(VLOOKUP(D1286,PROVEEDORES!$A:$B,2,0),"!COD NO ENCONTRADO"),"")</f>
        <v>JOSE LUIS CORREA KESSLER S.L.</v>
      </c>
      <c r="F1286" s="88" t="str">
        <f aca="false">IF(D1286&lt;&gt;"",IFERROR(VLOOKUP(D1286,PROVEEDORES!$A:$C,3,0),""),"")</f>
        <v>N</v>
      </c>
      <c r="G1286" s="87" t="s">
        <v>91</v>
      </c>
      <c r="H1286" s="52" t="str">
        <f aca="false">IF(G1286&lt;&gt;"",IFERROR(VLOOKUP(G1286,PRODUCTOS!$A:$B,2,0),"!COD NO ENCONTRADO"),"")</f>
        <v>BONITO DEL NORTE 5/7</v>
      </c>
      <c r="I1286" s="77" t="n">
        <v>2</v>
      </c>
      <c r="J1286" s="105" t="n">
        <v>57.75</v>
      </c>
      <c r="K1286" s="125" t="n">
        <v>4.3</v>
      </c>
      <c r="L1286" s="80" t="n">
        <f aca="false">IF(AND(J1286&lt;&gt;"",K1286&lt;&gt;""),J1286*K1286,"")</f>
        <v>248.325</v>
      </c>
      <c r="M1286" s="142" t="n">
        <f aca="false">IF(L1286&lt;&gt;"",L1286*1.1,"")</f>
        <v>273.1575</v>
      </c>
      <c r="N1286" s="143" t="n">
        <f aca="false">IF(F1286="S",L1286*0.02,0)</f>
        <v>0</v>
      </c>
      <c r="O1286" s="144" t="n">
        <f aca="false">IF(L1286&lt;&gt;"",L1286+N1286,"")</f>
        <v>248.325</v>
      </c>
      <c r="P1286" s="143" t="n">
        <f aca="false">IF(O1286&lt;&gt;"",O1286*0.1,"")</f>
        <v>24.8325</v>
      </c>
      <c r="Q1286" s="145" t="n">
        <f aca="false">IF(O1286&lt;&gt;"",O1286+P1286,"")</f>
        <v>273.1575</v>
      </c>
      <c r="R1286" s="146" t="s">
        <v>365</v>
      </c>
    </row>
    <row r="1287" customFormat="false" ht="15" hidden="false" customHeight="true" outlineLevel="0" collapsed="false">
      <c r="A1287" s="103" t="n">
        <v>56212</v>
      </c>
      <c r="B1287" s="73" t="n">
        <v>46241</v>
      </c>
      <c r="C1287" s="86" t="s">
        <v>591</v>
      </c>
      <c r="D1287" s="87" t="n">
        <v>50048</v>
      </c>
      <c r="E1287" s="46" t="str">
        <f aca="false">IF(D1287&lt;&gt;"",IFERROR(VLOOKUP(D1287,PROVEEDORES!$A:$B,2,0),"!COD NO ENCONTRADO"),"")</f>
        <v>JOSE LUIS CORREA KESSLER S.L.</v>
      </c>
      <c r="F1287" s="88" t="str">
        <f aca="false">IF(D1287&lt;&gt;"",IFERROR(VLOOKUP(D1287,PROVEEDORES!$A:$C,3,0),""),"")</f>
        <v>N</v>
      </c>
      <c r="G1287" s="87" t="s">
        <v>91</v>
      </c>
      <c r="H1287" s="46" t="str">
        <f aca="false">IF(G1287&lt;&gt;"",IFERROR(VLOOKUP(G1287,PRODUCTOS!$A:$B,2,0),"!COD NO ENCONTRADO"),"")</f>
        <v>BONITO DEL NORTE 5/7</v>
      </c>
      <c r="I1287" s="89" t="n">
        <v>1</v>
      </c>
      <c r="J1287" s="90" t="n">
        <v>28.5</v>
      </c>
      <c r="K1287" s="91" t="n">
        <v>4.7</v>
      </c>
      <c r="L1287" s="80" t="n">
        <f aca="false">IF(AND(J1287&lt;&gt;"",K1287&lt;&gt;""),J1287*K1287,"")</f>
        <v>133.95</v>
      </c>
      <c r="M1287" s="142" t="n">
        <f aca="false">IF(L1287&lt;&gt;"",L1287*1.1,"")</f>
        <v>147.345</v>
      </c>
      <c r="N1287" s="147" t="n">
        <f aca="false">IF(F1287="S",L1287*0.02,0)</f>
        <v>0</v>
      </c>
      <c r="O1287" s="144" t="n">
        <f aca="false">IF(L1287&lt;&gt;"",L1287+N1287,"")</f>
        <v>133.95</v>
      </c>
      <c r="P1287" s="147" t="n">
        <f aca="false">IF(O1287&lt;&gt;"",O1287*0.1,"")</f>
        <v>13.395</v>
      </c>
      <c r="Q1287" s="145" t="n">
        <f aca="false">IF(O1287&lt;&gt;"",O1287+P1287,"")</f>
        <v>147.345</v>
      </c>
      <c r="R1287" s="146" t="s">
        <v>365</v>
      </c>
    </row>
    <row r="1288" customFormat="false" ht="15" hidden="false" customHeight="true" outlineLevel="0" collapsed="false">
      <c r="A1288" s="103" t="n">
        <v>56213</v>
      </c>
      <c r="B1288" s="73" t="n">
        <v>46241</v>
      </c>
      <c r="C1288" s="74" t="s">
        <v>592</v>
      </c>
      <c r="D1288" s="75" t="n">
        <v>50069</v>
      </c>
      <c r="E1288" s="52" t="str">
        <f aca="false">IF(D1288&lt;&gt;"",IFERROR(VLOOKUP(D1288,PROVEEDORES!$A:$B,2,0),"!COD NO ENCONTRADO"),"")</f>
        <v>PESCADOS ILLANES S.L.</v>
      </c>
      <c r="F1288" s="76" t="str">
        <f aca="false">IF(D1288&lt;&gt;"",IFERROR(VLOOKUP(D1288,PROVEEDORES!$A:$C,3,0),""),"")</f>
        <v>S</v>
      </c>
      <c r="G1288" s="75" t="s">
        <v>216</v>
      </c>
      <c r="H1288" s="52" t="str">
        <f aca="false">IF(G1288&lt;&gt;"",IFERROR(VLOOKUP(G1288,PRODUCTOS!$A:$B,2,0),"!COD NO ENCONTRADO"),"")</f>
        <v>MERLUZA EUROPEA PINCHO COSTA</v>
      </c>
      <c r="I1288" s="77" t="n">
        <v>2</v>
      </c>
      <c r="J1288" s="78" t="n">
        <v>28.25</v>
      </c>
      <c r="K1288" s="79" t="n">
        <v>4.4</v>
      </c>
      <c r="L1288" s="80" t="n">
        <f aca="false">IF(AND(J1288&lt;&gt;"",K1288&lt;&gt;""),J1288*K1288,"")</f>
        <v>124.3</v>
      </c>
      <c r="M1288" s="142" t="n">
        <f aca="false">IF(L1288&lt;&gt;"",L1288*1.1,"")</f>
        <v>136.73</v>
      </c>
      <c r="N1288" s="143" t="n">
        <f aca="false">IF(F1288="S",L1288*0.02,0)</f>
        <v>2.486</v>
      </c>
      <c r="O1288" s="144" t="n">
        <f aca="false">IF(L1288&lt;&gt;"",L1288+N1288,"")</f>
        <v>126.786</v>
      </c>
      <c r="P1288" s="143" t="n">
        <f aca="false">IF(O1288&lt;&gt;"",O1288*0.1,"")</f>
        <v>12.6786</v>
      </c>
      <c r="Q1288" s="145" t="n">
        <f aca="false">IF(O1288&lt;&gt;"",O1288+P1288,"")</f>
        <v>139.4646</v>
      </c>
      <c r="R1288" s="146" t="s">
        <v>365</v>
      </c>
    </row>
    <row r="1289" customFormat="false" ht="15" hidden="false" customHeight="true" outlineLevel="0" collapsed="false">
      <c r="A1289" s="103" t="n">
        <v>56213</v>
      </c>
      <c r="B1289" s="73" t="n">
        <v>46241</v>
      </c>
      <c r="C1289" s="86" t="s">
        <v>592</v>
      </c>
      <c r="D1289" s="87" t="n">
        <v>50069</v>
      </c>
      <c r="E1289" s="46" t="str">
        <f aca="false">IF(D1289&lt;&gt;"",IFERROR(VLOOKUP(D1289,PROVEEDORES!$A:$B,2,0),"!COD NO ENCONTRADO"),"")</f>
        <v>PESCADOS ILLANES S.L.</v>
      </c>
      <c r="F1289" s="88" t="str">
        <f aca="false">IF(D1289&lt;&gt;"",IFERROR(VLOOKUP(D1289,PROVEEDORES!$A:$C,3,0),""),"")</f>
        <v>S</v>
      </c>
      <c r="G1289" s="87" t="s">
        <v>216</v>
      </c>
      <c r="H1289" s="46" t="str">
        <f aca="false">IF(G1289&lt;&gt;"",IFERROR(VLOOKUP(G1289,PRODUCTOS!$A:$B,2,0),"!COD NO ENCONTRADO"),"")</f>
        <v>MERLUZA EUROPEA PINCHO COSTA</v>
      </c>
      <c r="I1289" s="89" t="n">
        <v>5</v>
      </c>
      <c r="J1289" s="90" t="n">
        <v>79</v>
      </c>
      <c r="K1289" s="91" t="n">
        <v>7</v>
      </c>
      <c r="L1289" s="80" t="n">
        <f aca="false">IF(AND(J1289&lt;&gt;"",K1289&lt;&gt;""),J1289*K1289,"")</f>
        <v>553</v>
      </c>
      <c r="M1289" s="142" t="n">
        <f aca="false">IF(L1289&lt;&gt;"",L1289*1.1,"")</f>
        <v>608.3</v>
      </c>
      <c r="N1289" s="147" t="n">
        <f aca="false">IF(F1289="S",L1289*0.02,0)</f>
        <v>11.06</v>
      </c>
      <c r="O1289" s="144" t="n">
        <f aca="false">IF(L1289&lt;&gt;"",L1289+N1289,"")</f>
        <v>564.06</v>
      </c>
      <c r="P1289" s="147" t="n">
        <f aca="false">IF(O1289&lt;&gt;"",O1289*0.1,"")</f>
        <v>56.406</v>
      </c>
      <c r="Q1289" s="145" t="n">
        <f aca="false">IF(O1289&lt;&gt;"",O1289+P1289,"")</f>
        <v>620.466</v>
      </c>
      <c r="R1289" s="146" t="s">
        <v>365</v>
      </c>
    </row>
    <row r="1290" customFormat="false" ht="15" hidden="false" customHeight="true" outlineLevel="0" collapsed="false">
      <c r="A1290" s="103" t="n">
        <v>56213</v>
      </c>
      <c r="B1290" s="85" t="n">
        <v>46241</v>
      </c>
      <c r="C1290" s="86" t="s">
        <v>592</v>
      </c>
      <c r="D1290" s="87" t="n">
        <v>50069</v>
      </c>
      <c r="E1290" s="46" t="str">
        <f aca="false">IF(D1290&lt;&gt;"",IFERROR(VLOOKUP(D1290,PROVEEDORES!$A:$B,2,0),"!COD NO ENCONTRADO"),"")</f>
        <v>PESCADOS ILLANES S.L.</v>
      </c>
      <c r="F1290" s="88" t="str">
        <f aca="false">IF(D1290&lt;&gt;"",IFERROR(VLOOKUP(D1290,PROVEEDORES!$A:$C,3,0),""),"")</f>
        <v>S</v>
      </c>
      <c r="G1290" s="87" t="s">
        <v>332</v>
      </c>
      <c r="H1290" s="46" t="str">
        <f aca="false">IF(G1290&lt;&gt;"",IFERROR(VLOOKUP(G1290,PRODUCTOS!$A:$B,2,0),"!COD NO ENCONTRADO"),"")</f>
        <v>VARIADO PEQUEÑO</v>
      </c>
      <c r="I1290" s="89" t="n">
        <v>1</v>
      </c>
      <c r="J1290" s="90" t="n">
        <v>6.75</v>
      </c>
      <c r="K1290" s="91" t="n">
        <v>0.3</v>
      </c>
      <c r="L1290" s="80" t="n">
        <f aca="false">IF(AND(J1290&lt;&gt;"",K1290&lt;&gt;""),J1290*K1290,"")</f>
        <v>2.025</v>
      </c>
      <c r="M1290" s="142" t="n">
        <f aca="false">IF(L1290&lt;&gt;"",L1290*1.1,"")</f>
        <v>2.2275</v>
      </c>
      <c r="N1290" s="147" t="n">
        <f aca="false">IF(F1290="S",L1290*0.02,0)</f>
        <v>0.0405</v>
      </c>
      <c r="O1290" s="144" t="n">
        <f aca="false">IF(L1290&lt;&gt;"",L1290+N1290,"")</f>
        <v>2.0655</v>
      </c>
      <c r="P1290" s="147" t="n">
        <f aca="false">IF(O1290&lt;&gt;"",O1290*0.1,"")</f>
        <v>0.20655</v>
      </c>
      <c r="Q1290" s="145" t="n">
        <f aca="false">IF(O1290&lt;&gt;"",O1290+P1290,"")</f>
        <v>2.27205</v>
      </c>
      <c r="R1290" s="146" t="s">
        <v>365</v>
      </c>
    </row>
    <row r="1291" customFormat="false" ht="15" hidden="false" customHeight="true" outlineLevel="0" collapsed="false">
      <c r="A1291" s="103" t="n">
        <v>56214</v>
      </c>
      <c r="B1291" s="73" t="n">
        <v>46241</v>
      </c>
      <c r="C1291" s="74" t="s">
        <v>593</v>
      </c>
      <c r="D1291" s="75" t="n">
        <v>50160</v>
      </c>
      <c r="E1291" s="52" t="str">
        <f aca="false">IF(D1291&lt;&gt;"",IFERROR(VLOOKUP(D1291,PROVEEDORES!$A:$B,2,0),"!COD NO ENCONTRADO"),"")</f>
        <v>SUBASTAS CORUÑA S.L.</v>
      </c>
      <c r="F1291" s="76" t="str">
        <f aca="false">IF(D1291&lt;&gt;"",IFERROR(VLOOKUP(D1291,PROVEEDORES!$A:$C,3,0),""),"")</f>
        <v>S</v>
      </c>
      <c r="G1291" s="75" t="s">
        <v>332</v>
      </c>
      <c r="H1291" s="52" t="str">
        <f aca="false">IF(G1291&lt;&gt;"",IFERROR(VLOOKUP(G1291,PRODUCTOS!$A:$B,2,0),"!COD NO ENCONTRADO"),"")</f>
        <v>VARIADO PEQUEÑO</v>
      </c>
      <c r="I1291" s="77" t="n">
        <v>7</v>
      </c>
      <c r="J1291" s="78" t="n">
        <v>37.25</v>
      </c>
      <c r="K1291" s="79" t="n">
        <v>0.5</v>
      </c>
      <c r="L1291" s="80" t="n">
        <f aca="false">IF(AND(J1291&lt;&gt;"",K1291&lt;&gt;""),J1291*K1291,"")</f>
        <v>18.625</v>
      </c>
      <c r="M1291" s="142" t="n">
        <f aca="false">IF(L1291&lt;&gt;"",L1291*1.1,"")</f>
        <v>20.4875</v>
      </c>
      <c r="N1291" s="143" t="n">
        <f aca="false">IF(F1291="S",L1291*0.02,0)</f>
        <v>0.3725</v>
      </c>
      <c r="O1291" s="144" t="n">
        <f aca="false">IF(L1291&lt;&gt;"",L1291+N1291,"")</f>
        <v>18.9975</v>
      </c>
      <c r="P1291" s="143" t="n">
        <f aca="false">IF(O1291&lt;&gt;"",O1291*0.1,"")</f>
        <v>1.89975</v>
      </c>
      <c r="Q1291" s="145" t="n">
        <f aca="false">IF(O1291&lt;&gt;"",O1291+P1291,"")</f>
        <v>20.89725</v>
      </c>
      <c r="R1291" s="146" t="s">
        <v>358</v>
      </c>
    </row>
    <row r="1292" customFormat="false" ht="15" hidden="false" customHeight="true" outlineLevel="0" collapsed="false">
      <c r="A1292" s="103" t="n">
        <v>56214</v>
      </c>
      <c r="B1292" s="73" t="n">
        <v>46241</v>
      </c>
      <c r="C1292" s="74" t="s">
        <v>593</v>
      </c>
      <c r="D1292" s="87" t="n">
        <v>50160</v>
      </c>
      <c r="E1292" s="46" t="str">
        <f aca="false">IF(D1292&lt;&gt;"",IFERROR(VLOOKUP(D1292,PROVEEDORES!$A:$B,2,0),"!COD NO ENCONTRADO"),"")</f>
        <v>SUBASTAS CORUÑA S.L.</v>
      </c>
      <c r="F1292" s="88" t="str">
        <f aca="false">IF(D1292&lt;&gt;"",IFERROR(VLOOKUP(D1292,PROVEEDORES!$A:$C,3,0),""),"")</f>
        <v>S</v>
      </c>
      <c r="G1292" s="87" t="s">
        <v>276</v>
      </c>
      <c r="H1292" s="46" t="str">
        <f aca="false">IF(G1292&lt;&gt;"",IFERROR(VLOOKUP(G1292,PRODUCTOS!$A:$B,2,0),"!COD NO ENCONTRADO"),"")</f>
        <v>MERLUZA EUROPEA/ FINA DIA </v>
      </c>
      <c r="I1292" s="89" t="n">
        <v>4</v>
      </c>
      <c r="J1292" s="90" t="n">
        <v>37</v>
      </c>
      <c r="K1292" s="91" t="n">
        <v>3</v>
      </c>
      <c r="L1292" s="80" t="n">
        <f aca="false">IF(AND(J1292&lt;&gt;"",K1292&lt;&gt;""),J1292*K1292,"")</f>
        <v>111</v>
      </c>
      <c r="M1292" s="142" t="n">
        <f aca="false">IF(L1292&lt;&gt;"",L1292*1.1,"")</f>
        <v>122.1</v>
      </c>
      <c r="N1292" s="147" t="n">
        <f aca="false">IF(F1292="S",L1292*0.02,0)</f>
        <v>2.22</v>
      </c>
      <c r="O1292" s="144" t="n">
        <f aca="false">IF(L1292&lt;&gt;"",L1292+N1292,"")</f>
        <v>113.22</v>
      </c>
      <c r="P1292" s="147" t="n">
        <f aca="false">IF(O1292&lt;&gt;"",O1292*0.1,"")</f>
        <v>11.322</v>
      </c>
      <c r="Q1292" s="145" t="n">
        <f aca="false">IF(O1292&lt;&gt;"",O1292+P1292,"")</f>
        <v>124.542</v>
      </c>
      <c r="R1292" s="146" t="s">
        <v>358</v>
      </c>
    </row>
    <row r="1293" customFormat="false" ht="15" hidden="false" customHeight="true" outlineLevel="0" collapsed="false">
      <c r="A1293" s="103" t="n">
        <v>56214</v>
      </c>
      <c r="B1293" s="85" t="n">
        <v>46241</v>
      </c>
      <c r="C1293" s="74" t="s">
        <v>593</v>
      </c>
      <c r="D1293" s="87" t="n">
        <v>50160</v>
      </c>
      <c r="E1293" s="46" t="str">
        <f aca="false">IF(D1293&lt;&gt;"",IFERROR(VLOOKUP(D1293,PROVEEDORES!$A:$B,2,0),"!COD NO ENCONTRADO"),"")</f>
        <v>SUBASTAS CORUÑA S.L.</v>
      </c>
      <c r="F1293" s="88" t="str">
        <f aca="false">IF(D1293&lt;&gt;"",IFERROR(VLOOKUP(D1293,PROVEEDORES!$A:$C,3,0),""),"")</f>
        <v>S</v>
      </c>
      <c r="G1293" s="87" t="s">
        <v>133</v>
      </c>
      <c r="H1293" s="46" t="str">
        <f aca="false">IF(G1293&lt;&gt;"",IFERROR(VLOOKUP(G1293,PRODUCTOS!$A:$B,2,0),"!COD NO ENCONTRADO"),"")</f>
        <v>CINTAS/ PEZ CINTA (CBC)</v>
      </c>
      <c r="I1293" s="89" t="n">
        <v>1</v>
      </c>
      <c r="J1293" s="90" t="n">
        <v>2.5</v>
      </c>
      <c r="K1293" s="91" t="n">
        <v>1.9</v>
      </c>
      <c r="L1293" s="80" t="n">
        <f aca="false">IF(AND(J1293&lt;&gt;"",K1293&lt;&gt;""),J1293*K1293,"")</f>
        <v>4.75</v>
      </c>
      <c r="M1293" s="142" t="n">
        <f aca="false">IF(L1293&lt;&gt;"",L1293*1.1,"")</f>
        <v>5.225</v>
      </c>
      <c r="N1293" s="147" t="n">
        <f aca="false">IF(F1293="S",L1293*0.02,0)</f>
        <v>0.095</v>
      </c>
      <c r="O1293" s="144" t="n">
        <f aca="false">IF(L1293&lt;&gt;"",L1293+N1293,"")</f>
        <v>4.845</v>
      </c>
      <c r="P1293" s="147" t="n">
        <f aca="false">IF(O1293&lt;&gt;"",O1293*0.1,"")</f>
        <v>0.4845</v>
      </c>
      <c r="Q1293" s="145" t="n">
        <f aca="false">IF(O1293&lt;&gt;"",O1293+P1293,"")</f>
        <v>5.3295</v>
      </c>
      <c r="R1293" s="146" t="s">
        <v>358</v>
      </c>
    </row>
    <row r="1294" customFormat="false" ht="15" hidden="false" customHeight="true" outlineLevel="0" collapsed="false">
      <c r="A1294" s="103" t="n">
        <v>56214</v>
      </c>
      <c r="B1294" s="85" t="n">
        <v>46241</v>
      </c>
      <c r="C1294" s="74" t="s">
        <v>593</v>
      </c>
      <c r="D1294" s="75" t="n">
        <v>50160</v>
      </c>
      <c r="E1294" s="52" t="str">
        <f aca="false">IF(D1294&lt;&gt;"",IFERROR(VLOOKUP(D1294,PROVEEDORES!$A:$B,2,0),"!COD NO ENCONTRADO"),"")</f>
        <v>SUBASTAS CORUÑA S.L.</v>
      </c>
      <c r="F1294" s="76" t="str">
        <f aca="false">IF(D1294&lt;&gt;"",IFERROR(VLOOKUP(D1294,PROVEEDORES!$A:$C,3,0),""),"")</f>
        <v>S</v>
      </c>
      <c r="G1294" s="75" t="s">
        <v>332</v>
      </c>
      <c r="H1294" s="52" t="str">
        <f aca="false">IF(G1294&lt;&gt;"",IFERROR(VLOOKUP(G1294,PRODUCTOS!$A:$B,2,0),"!COD NO ENCONTRADO"),"")</f>
        <v>VARIADO PEQUEÑO</v>
      </c>
      <c r="I1294" s="77" t="n">
        <v>1</v>
      </c>
      <c r="J1294" s="78" t="n">
        <v>5.25</v>
      </c>
      <c r="K1294" s="79" t="n">
        <v>0.4</v>
      </c>
      <c r="L1294" s="80" t="n">
        <f aca="false">IF(AND(J1294&lt;&gt;"",K1294&lt;&gt;""),J1294*K1294,"")</f>
        <v>2.1</v>
      </c>
      <c r="M1294" s="142" t="n">
        <f aca="false">IF(L1294&lt;&gt;"",L1294*1.1,"")</f>
        <v>2.31</v>
      </c>
      <c r="N1294" s="143" t="n">
        <f aca="false">IF(F1294="S",L1294*0.02,0)</f>
        <v>0.042</v>
      </c>
      <c r="O1294" s="144" t="n">
        <f aca="false">IF(L1294&lt;&gt;"",L1294+N1294,"")</f>
        <v>2.142</v>
      </c>
      <c r="P1294" s="143" t="n">
        <f aca="false">IF(O1294&lt;&gt;"",O1294*0.1,"")</f>
        <v>0.2142</v>
      </c>
      <c r="Q1294" s="145" t="n">
        <f aca="false">IF(O1294&lt;&gt;"",O1294+P1294,"")</f>
        <v>2.3562</v>
      </c>
      <c r="R1294" s="146" t="s">
        <v>358</v>
      </c>
    </row>
    <row r="1295" customFormat="false" ht="15" hidden="false" customHeight="true" outlineLevel="0" collapsed="false">
      <c r="A1295" s="103" t="n">
        <v>56214</v>
      </c>
      <c r="B1295" s="85" t="n">
        <v>46241</v>
      </c>
      <c r="C1295" s="74" t="s">
        <v>593</v>
      </c>
      <c r="D1295" s="87" t="n">
        <v>50160</v>
      </c>
      <c r="E1295" s="46" t="str">
        <f aca="false">IF(D1295&lt;&gt;"",IFERROR(VLOOKUP(D1295,PROVEEDORES!$A:$B,2,0),"!COD NO ENCONTRADO"),"")</f>
        <v>SUBASTAS CORUÑA S.L.</v>
      </c>
      <c r="F1295" s="88" t="str">
        <f aca="false">IF(D1295&lt;&gt;"",IFERROR(VLOOKUP(D1295,PROVEEDORES!$A:$C,3,0),""),"")</f>
        <v>S</v>
      </c>
      <c r="G1295" s="87" t="s">
        <v>332</v>
      </c>
      <c r="H1295" s="46" t="str">
        <f aca="false">IF(G1295&lt;&gt;"",IFERROR(VLOOKUP(G1295,PRODUCTOS!$A:$B,2,0),"!COD NO ENCONTRADO"),"")</f>
        <v>VARIADO PEQUEÑO</v>
      </c>
      <c r="I1295" s="89" t="n">
        <v>3</v>
      </c>
      <c r="J1295" s="90" t="n">
        <v>18.75</v>
      </c>
      <c r="K1295" s="91" t="n">
        <v>0.4</v>
      </c>
      <c r="L1295" s="80" t="n">
        <f aca="false">IF(AND(J1295&lt;&gt;"",K1295&lt;&gt;""),J1295*K1295,"")</f>
        <v>7.5</v>
      </c>
      <c r="M1295" s="142" t="n">
        <f aca="false">IF(L1295&lt;&gt;"",L1295*1.1,"")</f>
        <v>8.25</v>
      </c>
      <c r="N1295" s="147" t="n">
        <f aca="false">IF(F1295="S",L1295*0.02,0)</f>
        <v>0.15</v>
      </c>
      <c r="O1295" s="144" t="n">
        <f aca="false">IF(L1295&lt;&gt;"",L1295+N1295,"")</f>
        <v>7.65</v>
      </c>
      <c r="P1295" s="147" t="n">
        <f aca="false">IF(O1295&lt;&gt;"",O1295*0.1,"")</f>
        <v>0.765</v>
      </c>
      <c r="Q1295" s="145" t="n">
        <f aca="false">IF(O1295&lt;&gt;"",O1295+P1295,"")</f>
        <v>8.415</v>
      </c>
      <c r="R1295" s="146" t="s">
        <v>358</v>
      </c>
    </row>
    <row r="1296" customFormat="false" ht="15" hidden="false" customHeight="true" outlineLevel="0" collapsed="false">
      <c r="A1296" s="103" t="n">
        <v>56214</v>
      </c>
      <c r="B1296" s="85" t="n">
        <v>46241</v>
      </c>
      <c r="C1296" s="74" t="s">
        <v>593</v>
      </c>
      <c r="D1296" s="87" t="n">
        <v>50160</v>
      </c>
      <c r="E1296" s="46" t="str">
        <f aca="false">IF(D1296&lt;&gt;"",IFERROR(VLOOKUP(D1296,PROVEEDORES!$A:$B,2,0),"!COD NO ENCONTRADO"),"")</f>
        <v>SUBASTAS CORUÑA S.L.</v>
      </c>
      <c r="F1296" s="88" t="str">
        <f aca="false">IF(D1296&lt;&gt;"",IFERROR(VLOOKUP(D1296,PROVEEDORES!$A:$C,3,0),""),"")</f>
        <v>S</v>
      </c>
      <c r="G1296" s="87" t="s">
        <v>151</v>
      </c>
      <c r="H1296" s="46" t="str">
        <f aca="false">IF(G1296&lt;&gt;"",IFERROR(VLOOKUP(G1296,PRODUCTOS!$A:$B,2,0),"!COD NO ENCONTRADO"),"")</f>
        <v>ESCACHO/ ARETE/ RUBIO (GUR)</v>
      </c>
      <c r="I1296" s="89" t="n">
        <v>7</v>
      </c>
      <c r="J1296" s="90" t="n">
        <v>68</v>
      </c>
      <c r="K1296" s="91" t="n">
        <v>0.4</v>
      </c>
      <c r="L1296" s="80" t="n">
        <f aca="false">IF(AND(J1296&lt;&gt;"",K1296&lt;&gt;""),J1296*K1296,"")</f>
        <v>27.2</v>
      </c>
      <c r="M1296" s="142" t="n">
        <f aca="false">IF(L1296&lt;&gt;"",L1296*1.1,"")</f>
        <v>29.92</v>
      </c>
      <c r="N1296" s="147" t="n">
        <f aca="false">IF(F1296="S",L1296*0.02,0)</f>
        <v>0.544</v>
      </c>
      <c r="O1296" s="144" t="n">
        <f aca="false">IF(L1296&lt;&gt;"",L1296+N1296,"")</f>
        <v>27.744</v>
      </c>
      <c r="P1296" s="147" t="n">
        <f aca="false">IF(O1296&lt;&gt;"",O1296*0.1,"")</f>
        <v>2.7744</v>
      </c>
      <c r="Q1296" s="145" t="n">
        <f aca="false">IF(O1296&lt;&gt;"",O1296+P1296,"")</f>
        <v>30.5184</v>
      </c>
      <c r="R1296" s="146" t="s">
        <v>358</v>
      </c>
    </row>
    <row r="1297" customFormat="false" ht="15" hidden="false" customHeight="true" outlineLevel="0" collapsed="false">
      <c r="A1297" s="103" t="n">
        <v>56215</v>
      </c>
      <c r="B1297" s="73" t="n">
        <v>46241</v>
      </c>
      <c r="C1297" s="74" t="s">
        <v>594</v>
      </c>
      <c r="D1297" s="75" t="n">
        <v>50163</v>
      </c>
      <c r="E1297" s="52" t="str">
        <f aca="false">IF(D1297&lt;&gt;"",IFERROR(VLOOKUP(D1297,PROVEEDORES!$A:$B,2,0),"!COD NO ENCONTRADO"),"")</f>
        <v>SUBASTAS RIVERA S.L.</v>
      </c>
      <c r="F1297" s="76" t="str">
        <f aca="false">IF(D1297&lt;&gt;"",IFERROR(VLOOKUP(D1297,PROVEEDORES!$A:$C,3,0),""),"")</f>
        <v>S</v>
      </c>
      <c r="G1297" s="75" t="s">
        <v>216</v>
      </c>
      <c r="H1297" s="52" t="str">
        <f aca="false">IF(G1297&lt;&gt;"",IFERROR(VLOOKUP(G1297,PRODUCTOS!$A:$B,2,0),"!COD NO ENCONTRADO"),"")</f>
        <v>MERLUZA EUROPEA PINCHO COSTA</v>
      </c>
      <c r="I1297" s="77" t="n">
        <v>2</v>
      </c>
      <c r="J1297" s="78" t="n">
        <v>31</v>
      </c>
      <c r="K1297" s="79" t="n">
        <v>6.2</v>
      </c>
      <c r="L1297" s="80" t="n">
        <f aca="false">IF(AND(J1297&lt;&gt;"",K1297&lt;&gt;""),J1297*K1297,"")</f>
        <v>192.2</v>
      </c>
      <c r="M1297" s="142" t="n">
        <f aca="false">IF(L1297&lt;&gt;"",L1297*1.1,"")</f>
        <v>211.42</v>
      </c>
      <c r="N1297" s="143" t="n">
        <f aca="false">IF(F1297="S",L1297*0.02,0)</f>
        <v>3.844</v>
      </c>
      <c r="O1297" s="144" t="n">
        <f aca="false">IF(L1297&lt;&gt;"",L1297+N1297,"")</f>
        <v>196.044</v>
      </c>
      <c r="P1297" s="143" t="n">
        <f aca="false">IF(O1297&lt;&gt;"",O1297*0.1,"")</f>
        <v>19.6044</v>
      </c>
      <c r="Q1297" s="145" t="n">
        <f aca="false">IF(O1297&lt;&gt;"",O1297+P1297,"")</f>
        <v>215.6484</v>
      </c>
      <c r="R1297" s="146" t="s">
        <v>358</v>
      </c>
    </row>
    <row r="1298" customFormat="false" ht="15" hidden="false" customHeight="true" outlineLevel="0" collapsed="false">
      <c r="A1298" s="103" t="n">
        <v>56215</v>
      </c>
      <c r="B1298" s="73" t="n">
        <v>46241</v>
      </c>
      <c r="C1298" s="86" t="s">
        <v>594</v>
      </c>
      <c r="D1298" s="87" t="n">
        <v>50163</v>
      </c>
      <c r="E1298" s="46" t="str">
        <f aca="false">IF(D1298&lt;&gt;"",IFERROR(VLOOKUP(D1298,PROVEEDORES!$A:$B,2,0),"!COD NO ENCONTRADO"),"")</f>
        <v>SUBASTAS RIVERA S.L.</v>
      </c>
      <c r="F1298" s="88" t="str">
        <f aca="false">IF(D1298&lt;&gt;"",IFERROR(VLOOKUP(D1298,PROVEEDORES!$A:$C,3,0),""),"")</f>
        <v>S</v>
      </c>
      <c r="G1298" s="87" t="s">
        <v>216</v>
      </c>
      <c r="H1298" s="46" t="str">
        <f aca="false">IF(G1298&lt;&gt;"",IFERROR(VLOOKUP(G1298,PRODUCTOS!$A:$B,2,0),"!COD NO ENCONTRADO"),"")</f>
        <v>MERLUZA EUROPEA PINCHO COSTA</v>
      </c>
      <c r="I1298" s="89" t="n">
        <v>1</v>
      </c>
      <c r="J1298" s="90" t="n">
        <v>9</v>
      </c>
      <c r="K1298" s="91" t="n">
        <v>14.3</v>
      </c>
      <c r="L1298" s="80" t="n">
        <f aca="false">IF(AND(J1298&lt;&gt;"",K1298&lt;&gt;""),J1298*K1298,"")</f>
        <v>128.7</v>
      </c>
      <c r="M1298" s="142" t="n">
        <f aca="false">IF(L1298&lt;&gt;"",L1298*1.1,"")</f>
        <v>141.57</v>
      </c>
      <c r="N1298" s="147" t="n">
        <f aca="false">IF(F1298="S",L1298*0.02,0)</f>
        <v>2.574</v>
      </c>
      <c r="O1298" s="144" t="n">
        <f aca="false">IF(L1298&lt;&gt;"",L1298+N1298,"")</f>
        <v>131.274</v>
      </c>
      <c r="P1298" s="147" t="n">
        <f aca="false">IF(O1298&lt;&gt;"",O1298*0.1,"")</f>
        <v>13.1274</v>
      </c>
      <c r="Q1298" s="145" t="n">
        <f aca="false">IF(O1298&lt;&gt;"",O1298+P1298,"")</f>
        <v>144.4014</v>
      </c>
      <c r="R1298" s="146" t="s">
        <v>365</v>
      </c>
    </row>
    <row r="1299" customFormat="false" ht="15" hidden="false" customHeight="true" outlineLevel="0" collapsed="false">
      <c r="A1299" s="103" t="n">
        <v>56216</v>
      </c>
      <c r="B1299" s="73" t="n">
        <v>46241</v>
      </c>
      <c r="C1299" s="74" t="s">
        <v>595</v>
      </c>
      <c r="D1299" s="75" t="n">
        <v>50010</v>
      </c>
      <c r="E1299" s="52" t="str">
        <f aca="false">IF(D1299&lt;&gt;"",IFERROR(VLOOKUP(D1299,PROVEEDORES!$A:$B,2,0),"!COD NO ENCONTRADO"),"")</f>
        <v>PERFECTO MONTERO</v>
      </c>
      <c r="F1299" s="76" t="str">
        <f aca="false">IF(D1299&lt;&gt;"",IFERROR(VLOOKUP(D1299,PROVEEDORES!$A:$C,3,0),""),"")</f>
        <v>S</v>
      </c>
      <c r="G1299" s="75" t="s">
        <v>135</v>
      </c>
      <c r="H1299" s="52" t="str">
        <f aca="false">IF(G1299&lt;&gt;"",IFERROR(VLOOKUP(G1299,PRODUCTOS!$A:$B,2,0),"!COD NO ENCONTRADO"),"")</f>
        <v>CONGRIO 10+  (COE)</v>
      </c>
      <c r="I1299" s="112" t="n">
        <v>1</v>
      </c>
      <c r="J1299" s="105" t="n">
        <v>12.25</v>
      </c>
      <c r="K1299" s="79" t="n">
        <v>5.4</v>
      </c>
      <c r="L1299" s="80" t="n">
        <f aca="false">IF(AND(J1299&lt;&gt;"",K1299&lt;&gt;""),J1299*K1299,"")</f>
        <v>66.15</v>
      </c>
      <c r="M1299" s="142" t="n">
        <f aca="false">IF(L1299&lt;&gt;"",L1299*1.1,"")</f>
        <v>72.765</v>
      </c>
      <c r="N1299" s="143" t="n">
        <f aca="false">IF(F1299="S",L1299*0.02,0)</f>
        <v>1.323</v>
      </c>
      <c r="O1299" s="144" t="n">
        <f aca="false">IF(L1299&lt;&gt;"",L1299+N1299,"")</f>
        <v>67.473</v>
      </c>
      <c r="P1299" s="143" t="n">
        <f aca="false">IF(O1299&lt;&gt;"",O1299*0.1,"")</f>
        <v>6.7473</v>
      </c>
      <c r="Q1299" s="145" t="n">
        <f aca="false">IF(O1299&lt;&gt;"",O1299+P1299,"")</f>
        <v>74.2203</v>
      </c>
      <c r="R1299" s="146" t="s">
        <v>365</v>
      </c>
    </row>
    <row r="1300" customFormat="false" ht="15" hidden="false" customHeight="true" outlineLevel="0" collapsed="false">
      <c r="A1300" s="103" t="n">
        <v>56217</v>
      </c>
      <c r="B1300" s="73" t="n">
        <v>46241</v>
      </c>
      <c r="C1300" s="86" t="s">
        <v>596</v>
      </c>
      <c r="D1300" s="87" t="n">
        <v>50232</v>
      </c>
      <c r="E1300" s="46" t="str">
        <f aca="false">IF(D1300&lt;&gt;"",IFERROR(VLOOKUP(D1300,PROVEEDORES!$A:$B,2,0),"!COD NO ENCONTRADO"),"")</f>
        <v>XESTION NOVA LONXA RIVEIRA S.L.</v>
      </c>
      <c r="F1300" s="88" t="str">
        <f aca="false">IF(D1300&lt;&gt;"",IFERROR(VLOOKUP(D1300,PROVEEDORES!$A:$C,3,0),""),"")</f>
        <v>S</v>
      </c>
      <c r="G1300" s="87" t="s">
        <v>332</v>
      </c>
      <c r="H1300" s="46" t="str">
        <f aca="false">IF(G1300&lt;&gt;"",IFERROR(VLOOKUP(G1300,PRODUCTOS!$A:$B,2,0),"!COD NO ENCONTRADO"),"")</f>
        <v>VARIADO PEQUEÑO</v>
      </c>
      <c r="I1300" s="89" t="n">
        <v>3</v>
      </c>
      <c r="J1300" s="90" t="n">
        <v>19</v>
      </c>
      <c r="K1300" s="91" t="n">
        <v>0.5</v>
      </c>
      <c r="L1300" s="80" t="n">
        <f aca="false">IF(AND(J1300&lt;&gt;"",K1300&lt;&gt;""),J1300*K1300,"")</f>
        <v>9.5</v>
      </c>
      <c r="M1300" s="142" t="n">
        <f aca="false">IF(L1300&lt;&gt;"",L1300*1.1,"")</f>
        <v>10.45</v>
      </c>
      <c r="N1300" s="147" t="n">
        <f aca="false">IF(F1300="S",L1300*0.02,0)</f>
        <v>0.19</v>
      </c>
      <c r="O1300" s="144" t="n">
        <f aca="false">IF(L1300&lt;&gt;"",L1300+N1300,"")</f>
        <v>9.69</v>
      </c>
      <c r="P1300" s="147" t="n">
        <f aca="false">IF(O1300&lt;&gt;"",O1300*0.1,"")</f>
        <v>0.969</v>
      </c>
      <c r="Q1300" s="145" t="n">
        <f aca="false">IF(O1300&lt;&gt;"",O1300+P1300,"")</f>
        <v>10.659</v>
      </c>
      <c r="R1300" s="146" t="s">
        <v>358</v>
      </c>
    </row>
    <row r="1301" customFormat="false" ht="15" hidden="false" customHeight="true" outlineLevel="0" collapsed="false">
      <c r="A1301" s="103" t="n">
        <v>56217</v>
      </c>
      <c r="B1301" s="73" t="n">
        <v>46241</v>
      </c>
      <c r="C1301" s="86" t="s">
        <v>596</v>
      </c>
      <c r="D1301" s="87" t="n">
        <v>50232</v>
      </c>
      <c r="E1301" s="52" t="str">
        <f aca="false">IF(D1301&lt;&gt;"",IFERROR(VLOOKUP(D1301,PROVEEDORES!$A:$B,2,0),"!COD NO ENCONTRADO"),"")</f>
        <v>XESTION NOVA LONXA RIVEIRA S.L.</v>
      </c>
      <c r="F1301" s="76" t="str">
        <f aca="false">IF(D1301&lt;&gt;"",IFERROR(VLOOKUP(D1301,PROVEEDORES!$A:$C,3,0),""),"")</f>
        <v>S</v>
      </c>
      <c r="G1301" s="75" t="s">
        <v>296</v>
      </c>
      <c r="H1301" s="52" t="str">
        <f aca="false">IF(G1301&lt;&gt;"",IFERROR(VLOOKUP(G1301,PRODUCTOS!$A:$B,2,0),"!COD NO ENCONTRADO"),"")</f>
        <v>RAPE NEGRO (ANK)</v>
      </c>
      <c r="I1301" s="77" t="n">
        <v>7</v>
      </c>
      <c r="J1301" s="78" t="n">
        <v>58.5</v>
      </c>
      <c r="K1301" s="79" t="n">
        <v>4.5</v>
      </c>
      <c r="L1301" s="80" t="n">
        <f aca="false">IF(AND(J1301&lt;&gt;"",K1301&lt;&gt;""),J1301*K1301,"")</f>
        <v>263.25</v>
      </c>
      <c r="M1301" s="142" t="n">
        <f aca="false">IF(L1301&lt;&gt;"",L1301*1.1,"")</f>
        <v>289.575</v>
      </c>
      <c r="N1301" s="143" t="n">
        <f aca="false">IF(F1301="S",L1301*0.02,0)</f>
        <v>5.265</v>
      </c>
      <c r="O1301" s="144" t="n">
        <f aca="false">IF(L1301&lt;&gt;"",L1301+N1301,"")</f>
        <v>268.515</v>
      </c>
      <c r="P1301" s="143" t="n">
        <f aca="false">IF(O1301&lt;&gt;"",O1301*0.1,"")</f>
        <v>26.8515</v>
      </c>
      <c r="Q1301" s="145" t="n">
        <f aca="false">IF(O1301&lt;&gt;"",O1301+P1301,"")</f>
        <v>295.3665</v>
      </c>
      <c r="R1301" s="146" t="s">
        <v>358</v>
      </c>
    </row>
    <row r="1302" customFormat="false" ht="15" hidden="false" customHeight="true" outlineLevel="0" collapsed="false">
      <c r="A1302" s="103" t="n">
        <v>56217</v>
      </c>
      <c r="B1302" s="73" t="n">
        <v>46241</v>
      </c>
      <c r="C1302" s="86" t="s">
        <v>596</v>
      </c>
      <c r="D1302" s="87" t="n">
        <v>50232</v>
      </c>
      <c r="E1302" s="46" t="str">
        <f aca="false">IF(D1302&lt;&gt;"",IFERROR(VLOOKUP(D1302,PROVEEDORES!$A:$B,2,0),"!COD NO ENCONTRADO"),"")</f>
        <v>XESTION NOVA LONXA RIVEIRA S.L.</v>
      </c>
      <c r="F1302" s="88" t="str">
        <f aca="false">IF(D1302&lt;&gt;"",IFERROR(VLOOKUP(D1302,PROVEEDORES!$A:$C,3,0),""),"")</f>
        <v>S</v>
      </c>
      <c r="G1302" s="87" t="s">
        <v>296</v>
      </c>
      <c r="H1302" s="46" t="str">
        <f aca="false">IF(G1302&lt;&gt;"",IFERROR(VLOOKUP(G1302,PRODUCTOS!$A:$B,2,0),"!COD NO ENCONTRADO"),"")</f>
        <v>RAPE NEGRO (ANK)</v>
      </c>
      <c r="I1302" s="89" t="n">
        <v>2</v>
      </c>
      <c r="J1302" s="90" t="n">
        <v>18.7</v>
      </c>
      <c r="K1302" s="91" t="n">
        <v>5</v>
      </c>
      <c r="L1302" s="80" t="n">
        <f aca="false">IF(AND(J1302&lt;&gt;"",K1302&lt;&gt;""),J1302*K1302,"")</f>
        <v>93.5</v>
      </c>
      <c r="M1302" s="142" t="n">
        <f aca="false">IF(L1302&lt;&gt;"",L1302*1.1,"")</f>
        <v>102.85</v>
      </c>
      <c r="N1302" s="147" t="n">
        <f aca="false">IF(F1302="S",L1302*0.02,0)</f>
        <v>1.87</v>
      </c>
      <c r="O1302" s="144" t="n">
        <f aca="false">IF(L1302&lt;&gt;"",L1302+N1302,"")</f>
        <v>95.37</v>
      </c>
      <c r="P1302" s="147" t="n">
        <f aca="false">IF(O1302&lt;&gt;"",O1302*0.1,"")</f>
        <v>9.537</v>
      </c>
      <c r="Q1302" s="145" t="n">
        <f aca="false">IF(O1302&lt;&gt;"",O1302+P1302,"")</f>
        <v>104.907</v>
      </c>
      <c r="R1302" s="146" t="s">
        <v>358</v>
      </c>
    </row>
    <row r="1303" customFormat="false" ht="15" hidden="false" customHeight="true" outlineLevel="0" collapsed="false">
      <c r="A1303" s="103" t="n">
        <v>56217</v>
      </c>
      <c r="B1303" s="73" t="n">
        <v>46241</v>
      </c>
      <c r="C1303" s="86" t="s">
        <v>596</v>
      </c>
      <c r="D1303" s="87" t="n">
        <v>50232</v>
      </c>
      <c r="E1303" s="52" t="str">
        <f aca="false">IF(D1303&lt;&gt;"",IFERROR(VLOOKUP(D1303,PROVEEDORES!$A:$B,2,0),"!COD NO ENCONTRADO"),"")</f>
        <v>XESTION NOVA LONXA RIVEIRA S.L.</v>
      </c>
      <c r="F1303" s="76" t="str">
        <f aca="false">IF(D1303&lt;&gt;"",IFERROR(VLOOKUP(D1303,PROVEEDORES!$A:$C,3,0),""),"")</f>
        <v>S</v>
      </c>
      <c r="G1303" s="75" t="s">
        <v>296</v>
      </c>
      <c r="H1303" s="52" t="str">
        <f aca="false">IF(G1303&lt;&gt;"",IFERROR(VLOOKUP(G1303,PRODUCTOS!$A:$B,2,0),"!COD NO ENCONTRADO"),"")</f>
        <v>RAPE NEGRO (ANK)</v>
      </c>
      <c r="I1303" s="77" t="n">
        <v>2</v>
      </c>
      <c r="J1303" s="78" t="n">
        <v>9.4</v>
      </c>
      <c r="K1303" s="79" t="n">
        <v>6.3</v>
      </c>
      <c r="L1303" s="80" t="n">
        <f aca="false">IF(AND(J1303&lt;&gt;"",K1303&lt;&gt;""),J1303*K1303,"")</f>
        <v>59.22</v>
      </c>
      <c r="M1303" s="142" t="n">
        <f aca="false">IF(L1303&lt;&gt;"",L1303*1.1,"")</f>
        <v>65.142</v>
      </c>
      <c r="N1303" s="143" t="n">
        <f aca="false">IF(F1303="S",L1303*0.02,0)</f>
        <v>1.1844</v>
      </c>
      <c r="O1303" s="144" t="n">
        <f aca="false">IF(L1303&lt;&gt;"",L1303+N1303,"")</f>
        <v>60.4044</v>
      </c>
      <c r="P1303" s="143" t="n">
        <f aca="false">IF(O1303&lt;&gt;"",O1303*0.1,"")</f>
        <v>6.04044</v>
      </c>
      <c r="Q1303" s="145" t="n">
        <f aca="false">IF(O1303&lt;&gt;"",O1303+P1303,"")</f>
        <v>66.44484</v>
      </c>
      <c r="R1303" s="146" t="s">
        <v>358</v>
      </c>
    </row>
    <row r="1304" customFormat="false" ht="15" hidden="false" customHeight="true" outlineLevel="0" collapsed="false">
      <c r="A1304" s="103" t="n">
        <v>56217</v>
      </c>
      <c r="B1304" s="73" t="n">
        <v>46241</v>
      </c>
      <c r="C1304" s="86" t="s">
        <v>596</v>
      </c>
      <c r="D1304" s="87" t="n">
        <v>50232</v>
      </c>
      <c r="E1304" s="46" t="str">
        <f aca="false">IF(D1304&lt;&gt;"",IFERROR(VLOOKUP(D1304,PROVEEDORES!$A:$B,2,0),"!COD NO ENCONTRADO"),"")</f>
        <v>XESTION NOVA LONXA RIVEIRA S.L.</v>
      </c>
      <c r="F1304" s="88" t="str">
        <f aca="false">IF(D1304&lt;&gt;"",IFERROR(VLOOKUP(D1304,PROVEEDORES!$A:$C,3,0),""),"")</f>
        <v>S</v>
      </c>
      <c r="G1304" s="75" t="s">
        <v>296</v>
      </c>
      <c r="H1304" s="52" t="str">
        <f aca="false">IF(G1304&lt;&gt;"",IFERROR(VLOOKUP(G1304,PRODUCTOS!$A:$B,2,0),"!COD NO ENCONTRADO"),"")</f>
        <v>RAPE NEGRO (ANK)</v>
      </c>
      <c r="I1304" s="89" t="n">
        <v>3</v>
      </c>
      <c r="J1304" s="90" t="n">
        <v>15.5</v>
      </c>
      <c r="K1304" s="91" t="n">
        <v>6.8</v>
      </c>
      <c r="L1304" s="80" t="n">
        <f aca="false">IF(AND(J1304&lt;&gt;"",K1304&lt;&gt;""),J1304*K1304,"")</f>
        <v>105.4</v>
      </c>
      <c r="M1304" s="142" t="n">
        <f aca="false">IF(L1304&lt;&gt;"",L1304*1.1,"")</f>
        <v>115.94</v>
      </c>
      <c r="N1304" s="147" t="n">
        <f aca="false">IF(F1304="S",L1304*0.02,0)</f>
        <v>2.108</v>
      </c>
      <c r="O1304" s="144" t="n">
        <f aca="false">IF(L1304&lt;&gt;"",L1304+N1304,"")</f>
        <v>107.508</v>
      </c>
      <c r="P1304" s="147" t="n">
        <f aca="false">IF(O1304&lt;&gt;"",O1304*0.1,"")</f>
        <v>10.7508</v>
      </c>
      <c r="Q1304" s="145" t="n">
        <f aca="false">IF(O1304&lt;&gt;"",O1304+P1304,"")</f>
        <v>118.2588</v>
      </c>
      <c r="R1304" s="146" t="s">
        <v>358</v>
      </c>
    </row>
    <row r="1305" customFormat="false" ht="15" hidden="false" customHeight="true" outlineLevel="0" collapsed="false">
      <c r="A1305" s="103" t="n">
        <v>56217</v>
      </c>
      <c r="B1305" s="73" t="n">
        <v>46241</v>
      </c>
      <c r="C1305" s="86" t="s">
        <v>596</v>
      </c>
      <c r="D1305" s="87" t="n">
        <v>50232</v>
      </c>
      <c r="E1305" s="52" t="str">
        <f aca="false">IF(D1305&lt;&gt;"",IFERROR(VLOOKUP(D1305,PROVEEDORES!$A:$B,2,0),"!COD NO ENCONTRADO"),"")</f>
        <v>XESTION NOVA LONXA RIVEIRA S.L.</v>
      </c>
      <c r="F1305" s="76" t="str">
        <f aca="false">IF(D1305&lt;&gt;"",IFERROR(VLOOKUP(D1305,PROVEEDORES!$A:$C,3,0),""),"")</f>
        <v>S</v>
      </c>
      <c r="G1305" s="75" t="s">
        <v>97</v>
      </c>
      <c r="H1305" s="52" t="str">
        <f aca="false">IF(G1305&lt;&gt;"",IFERROR(VLOOKUP(G1305,PRODUCTOS!$A:$B,2,0),"!COD NO ENCONTRADO"),"")</f>
        <v>CABALL/ SARDA/ VERDEL (MAC)</v>
      </c>
      <c r="I1305" s="77" t="n">
        <v>2</v>
      </c>
      <c r="J1305" s="78" t="n">
        <v>22.9</v>
      </c>
      <c r="K1305" s="79" t="n">
        <v>3.6</v>
      </c>
      <c r="L1305" s="80" t="n">
        <f aca="false">IF(AND(J1305&lt;&gt;"",K1305&lt;&gt;""),J1305*K1305,"")</f>
        <v>82.44</v>
      </c>
      <c r="M1305" s="142" t="n">
        <f aca="false">IF(L1305&lt;&gt;"",L1305*1.1,"")</f>
        <v>90.684</v>
      </c>
      <c r="N1305" s="143" t="n">
        <f aca="false">IF(F1305="S",L1305*0.02,0)</f>
        <v>1.6488</v>
      </c>
      <c r="O1305" s="144" t="n">
        <f aca="false">IF(L1305&lt;&gt;"",L1305+N1305,"")</f>
        <v>84.0888</v>
      </c>
      <c r="P1305" s="143" t="n">
        <f aca="false">IF(O1305&lt;&gt;"",O1305*0.1,"")</f>
        <v>8.40888</v>
      </c>
      <c r="Q1305" s="145" t="n">
        <f aca="false">IF(O1305&lt;&gt;"",O1305+P1305,"")</f>
        <v>92.49768</v>
      </c>
      <c r="R1305" s="146" t="s">
        <v>358</v>
      </c>
    </row>
    <row r="1306" customFormat="false" ht="15" hidden="false" customHeight="true" outlineLevel="0" collapsed="false">
      <c r="A1306" s="103" t="n">
        <v>56217</v>
      </c>
      <c r="B1306" s="73" t="n">
        <v>46241</v>
      </c>
      <c r="C1306" s="86" t="s">
        <v>596</v>
      </c>
      <c r="D1306" s="87" t="n">
        <v>50232</v>
      </c>
      <c r="E1306" s="46" t="str">
        <f aca="false">IF(D1306&lt;&gt;"",IFERROR(VLOOKUP(D1306,PROVEEDORES!$A:$B,2,0),"!COD NO ENCONTRADO"),"")</f>
        <v>XESTION NOVA LONXA RIVEIRA S.L.</v>
      </c>
      <c r="F1306" s="88" t="str">
        <f aca="false">IF(D1306&lt;&gt;"",IFERROR(VLOOKUP(D1306,PROVEEDORES!$A:$C,3,0),""),"")</f>
        <v>S</v>
      </c>
      <c r="G1306" s="87" t="s">
        <v>97</v>
      </c>
      <c r="H1306" s="46" t="str">
        <f aca="false">IF(G1306&lt;&gt;"",IFERROR(VLOOKUP(G1306,PRODUCTOS!$A:$B,2,0),"!COD NO ENCONTRADO"),"")</f>
        <v>CABALL/ SARDA/ VERDEL (MAC)</v>
      </c>
      <c r="I1306" s="89" t="n">
        <v>19</v>
      </c>
      <c r="J1306" s="90" t="n">
        <v>153.9</v>
      </c>
      <c r="K1306" s="91" t="n">
        <v>4</v>
      </c>
      <c r="L1306" s="80" t="n">
        <f aca="false">IF(AND(J1306&lt;&gt;"",K1306&lt;&gt;""),J1306*K1306,"")</f>
        <v>615.6</v>
      </c>
      <c r="M1306" s="142" t="n">
        <f aca="false">IF(L1306&lt;&gt;"",L1306*1.1,"")</f>
        <v>677.16</v>
      </c>
      <c r="N1306" s="147" t="n">
        <f aca="false">IF(F1306="S",L1306*0.02,0)</f>
        <v>12.312</v>
      </c>
      <c r="O1306" s="144" t="n">
        <f aca="false">IF(L1306&lt;&gt;"",L1306+N1306,"")</f>
        <v>627.912</v>
      </c>
      <c r="P1306" s="147" t="n">
        <f aca="false">IF(O1306&lt;&gt;"",O1306*0.1,"")</f>
        <v>62.7912</v>
      </c>
      <c r="Q1306" s="145" t="n">
        <f aca="false">IF(O1306&lt;&gt;"",O1306+P1306,"")</f>
        <v>690.7032</v>
      </c>
      <c r="R1306" s="146" t="s">
        <v>358</v>
      </c>
    </row>
    <row r="1307" customFormat="false" ht="15" hidden="false" customHeight="true" outlineLevel="0" collapsed="false">
      <c r="A1307" s="103" t="n">
        <v>56217</v>
      </c>
      <c r="B1307" s="73" t="n">
        <v>46241</v>
      </c>
      <c r="C1307" s="86" t="s">
        <v>596</v>
      </c>
      <c r="D1307" s="87" t="n">
        <v>50232</v>
      </c>
      <c r="E1307" s="52" t="str">
        <f aca="false">IF(D1307&lt;&gt;"",IFERROR(VLOOKUP(D1307,PROVEEDORES!$A:$B,2,0),"!COD NO ENCONTRADO"),"")</f>
        <v>XESTION NOVA LONXA RIVEIRA S.L.</v>
      </c>
      <c r="F1307" s="76" t="str">
        <f aca="false">IF(D1307&lt;&gt;"",IFERROR(VLOOKUP(D1307,PROVEEDORES!$A:$C,3,0),""),"")</f>
        <v>S</v>
      </c>
      <c r="G1307" s="75" t="s">
        <v>304</v>
      </c>
      <c r="H1307" s="52" t="str">
        <f aca="false">IF(G1307&lt;&gt;"",IFERROR(VLOOKUP(G1307,PRODUCTOS!$A:$B,2,0),"!COD NO ENCONTRADO"),"")</f>
        <v>RAYA SPP (SKA)</v>
      </c>
      <c r="I1307" s="77" t="n">
        <v>9</v>
      </c>
      <c r="J1307" s="78" t="n">
        <v>48.8</v>
      </c>
      <c r="K1307" s="79" t="n">
        <v>0.6</v>
      </c>
      <c r="L1307" s="80" t="n">
        <f aca="false">IF(AND(J1307&lt;&gt;"",K1307&lt;&gt;""),J1307*K1307,"")</f>
        <v>29.28</v>
      </c>
      <c r="M1307" s="142" t="n">
        <f aca="false">IF(L1307&lt;&gt;"",L1307*1.1,"")</f>
        <v>32.208</v>
      </c>
      <c r="N1307" s="143" t="n">
        <f aca="false">IF(F1307="S",L1307*0.02,0)</f>
        <v>0.5856</v>
      </c>
      <c r="O1307" s="144" t="n">
        <f aca="false">IF(L1307&lt;&gt;"",L1307+N1307,"")</f>
        <v>29.8656</v>
      </c>
      <c r="P1307" s="143" t="n">
        <f aca="false">IF(O1307&lt;&gt;"",O1307*0.1,"")</f>
        <v>2.98656</v>
      </c>
      <c r="Q1307" s="145" t="n">
        <f aca="false">IF(O1307&lt;&gt;"",O1307+P1307,"")</f>
        <v>32.85216</v>
      </c>
      <c r="R1307" s="146" t="s">
        <v>365</v>
      </c>
    </row>
    <row r="1308" customFormat="false" ht="15" hidden="false" customHeight="true" outlineLevel="0" collapsed="false">
      <c r="A1308" s="103" t="n">
        <v>56218</v>
      </c>
      <c r="B1308" s="85" t="n">
        <v>46241</v>
      </c>
      <c r="C1308" s="86" t="s">
        <v>597</v>
      </c>
      <c r="D1308" s="87" t="n">
        <v>50525</v>
      </c>
      <c r="E1308" s="46" t="str">
        <f aca="false">IF(D1308&lt;&gt;"",IFERROR(VLOOKUP(D1308,PROVEEDORES!$A:$B,2,0),"!COD NO ENCONTRADO"),"")</f>
        <v>FURIC MAREE</v>
      </c>
      <c r="F1308" s="88" t="str">
        <f aca="false">IF(D1308&lt;&gt;"",IFERROR(VLOOKUP(D1308,PROVEEDORES!$A:$C,3,0),""),"")</f>
        <v>N</v>
      </c>
      <c r="G1308" s="87" t="s">
        <v>318</v>
      </c>
      <c r="H1308" s="46" t="str">
        <f aca="false">IF(G1308&lt;&gt;"",IFERROR(VLOOKUP(G1308,PRODUCTOS!$A:$B,2,0),"!COD NO ENCONTRADO"),"")</f>
        <v>SAN MARTIÑOS/ SAN PEDROS (JOD)</v>
      </c>
      <c r="I1308" s="112" t="n">
        <v>4</v>
      </c>
      <c r="J1308" s="105" t="n">
        <v>25.1</v>
      </c>
      <c r="K1308" s="91" t="n">
        <v>25.5</v>
      </c>
      <c r="L1308" s="80" t="n">
        <f aca="false">IF(AND(J1308&lt;&gt;"",K1308&lt;&gt;""),J1308*K1308,"")</f>
        <v>640.05</v>
      </c>
      <c r="M1308" s="142" t="n">
        <f aca="false">IF(L1308&lt;&gt;"",L1308*1.1,"")</f>
        <v>704.055</v>
      </c>
      <c r="N1308" s="147" t="n">
        <f aca="false">IF(F1308="S",L1308*0.02,0)</f>
        <v>0</v>
      </c>
      <c r="O1308" s="144" t="n">
        <f aca="false">IF(L1308&lt;&gt;"",L1308+N1308,"")</f>
        <v>640.05</v>
      </c>
      <c r="P1308" s="147" t="n">
        <f aca="false">IF(O1308&lt;&gt;"",O1308*0.1,"")</f>
        <v>64.005</v>
      </c>
      <c r="Q1308" s="145" t="n">
        <f aca="false">IF(O1308&lt;&gt;"",O1308+P1308,"")</f>
        <v>704.055</v>
      </c>
      <c r="R1308" s="146" t="s">
        <v>365</v>
      </c>
    </row>
    <row r="1309" customFormat="false" ht="15" hidden="false" customHeight="true" outlineLevel="0" collapsed="false">
      <c r="A1309" s="103" t="n">
        <v>56218</v>
      </c>
      <c r="B1309" s="85" t="n">
        <v>46241</v>
      </c>
      <c r="C1309" s="86" t="s">
        <v>597</v>
      </c>
      <c r="D1309" s="87" t="n">
        <v>50525</v>
      </c>
      <c r="E1309" s="46" t="str">
        <f aca="false">IF(D1309&lt;&gt;"",IFERROR(VLOOKUP(D1309,PROVEEDORES!$A:$B,2,0),"!COD NO ENCONTRADO"),"")</f>
        <v>FURIC MAREE</v>
      </c>
      <c r="F1309" s="88" t="str">
        <f aca="false">IF(D1309&lt;&gt;"",IFERROR(VLOOKUP(D1309,PROVEEDORES!$A:$C,3,0),""),"")</f>
        <v>N</v>
      </c>
      <c r="G1309" s="87" t="s">
        <v>318</v>
      </c>
      <c r="H1309" s="52" t="str">
        <f aca="false">IF(G1309&lt;&gt;"",IFERROR(VLOOKUP(G1309,PRODUCTOS!$A:$B,2,0),"!COD NO ENCONTRADO"),"")</f>
        <v>SAN MARTIÑOS/ SAN PEDROS (JOD)</v>
      </c>
      <c r="I1309" s="77" t="n">
        <v>4</v>
      </c>
      <c r="J1309" s="78" t="n">
        <v>25.3</v>
      </c>
      <c r="K1309" s="79" t="n">
        <v>17.8</v>
      </c>
      <c r="L1309" s="80" t="n">
        <f aca="false">IF(AND(J1309&lt;&gt;"",K1309&lt;&gt;""),J1309*K1309,"")</f>
        <v>450.34</v>
      </c>
      <c r="M1309" s="142" t="n">
        <f aca="false">IF(L1309&lt;&gt;"",L1309*1.1,"")</f>
        <v>495.374</v>
      </c>
      <c r="N1309" s="143" t="n">
        <f aca="false">IF(F1309="S",L1309*0.02,0)</f>
        <v>0</v>
      </c>
      <c r="O1309" s="144" t="n">
        <f aca="false">IF(L1309&lt;&gt;"",L1309+N1309,"")</f>
        <v>450.34</v>
      </c>
      <c r="P1309" s="143" t="n">
        <f aca="false">IF(O1309&lt;&gt;"",O1309*0.1,"")</f>
        <v>45.034</v>
      </c>
      <c r="Q1309" s="145" t="n">
        <f aca="false">IF(O1309&lt;&gt;"",O1309+P1309,"")</f>
        <v>495.374</v>
      </c>
      <c r="R1309" s="146" t="s">
        <v>358</v>
      </c>
    </row>
    <row r="1310" customFormat="false" ht="15" hidden="false" customHeight="true" outlineLevel="0" collapsed="false">
      <c r="A1310" s="103" t="n">
        <v>56219</v>
      </c>
      <c r="B1310" s="73" t="n">
        <v>46241</v>
      </c>
      <c r="C1310" s="74" t="s">
        <v>598</v>
      </c>
      <c r="D1310" s="75" t="n">
        <v>50514</v>
      </c>
      <c r="E1310" s="52" t="str">
        <f aca="false">IF(D1310&lt;&gt;"",IFERROR(VLOOKUP(D1310,PROVEEDORES!$A:$B,2,0),"!COD NO ENCONTRADO"),"")</f>
        <v>PESCADO Y MARISCOS ADELAIDA S.L.</v>
      </c>
      <c r="F1310" s="76" t="str">
        <f aca="false">IF(D1310&lt;&gt;"",IFERROR(VLOOKUP(D1310,PROVEEDORES!$A:$C,3,0),""),"")</f>
        <v>N</v>
      </c>
      <c r="G1310" s="75" t="s">
        <v>97</v>
      </c>
      <c r="H1310" s="52" t="str">
        <f aca="false">IF(G1310&lt;&gt;"",IFERROR(VLOOKUP(G1310,PRODUCTOS!$A:$B,2,0),"!COD NO ENCONTRADO"),"")</f>
        <v>CABALL/ SARDA/ VERDEL (MAC)</v>
      </c>
      <c r="I1310" s="77" t="n">
        <v>20</v>
      </c>
      <c r="J1310" s="78" t="n">
        <v>121</v>
      </c>
      <c r="K1310" s="79" t="n">
        <v>3.8</v>
      </c>
      <c r="L1310" s="80" t="n">
        <f aca="false">IF(AND(J1310&lt;&gt;"",K1310&lt;&gt;""),J1310*K1310,"")</f>
        <v>459.8</v>
      </c>
      <c r="M1310" s="142" t="n">
        <f aca="false">IF(L1310&lt;&gt;"",L1310*1.1,"")</f>
        <v>505.78</v>
      </c>
      <c r="N1310" s="143" t="n">
        <f aca="false">IF(F1310="S",L1310*0.02,0)</f>
        <v>0</v>
      </c>
      <c r="O1310" s="144" t="n">
        <f aca="false">IF(L1310&lt;&gt;"",L1310+N1310,"")</f>
        <v>459.8</v>
      </c>
      <c r="P1310" s="143" t="n">
        <f aca="false">IF(O1310&lt;&gt;"",O1310*0.1,"")</f>
        <v>45.98</v>
      </c>
      <c r="Q1310" s="145" t="n">
        <f aca="false">IF(O1310&lt;&gt;"",O1310+P1310,"")</f>
        <v>505.78</v>
      </c>
      <c r="R1310" s="146" t="s">
        <v>365</v>
      </c>
    </row>
    <row r="1311" customFormat="false" ht="15" hidden="false" customHeight="true" outlineLevel="0" collapsed="false">
      <c r="A1311" s="103" t="n">
        <v>56220</v>
      </c>
      <c r="B1311" s="85" t="n">
        <v>46242</v>
      </c>
      <c r="C1311" s="86" t="s">
        <v>599</v>
      </c>
      <c r="D1311" s="87" t="n">
        <v>50001</v>
      </c>
      <c r="E1311" s="46" t="str">
        <f aca="false">IF(D1311&lt;&gt;"",IFERROR(VLOOKUP(D1311,PROVEEDORES!$A:$B,2,0),"!COD NO ENCONTRADO"),"")</f>
        <v>COPESA</v>
      </c>
      <c r="F1311" s="88" t="str">
        <f aca="false">IF(D1311&lt;&gt;"",IFERROR(VLOOKUP(D1311,PROVEEDORES!$A:$C,3,0),""),"")</f>
        <v>S</v>
      </c>
      <c r="G1311" s="87" t="s">
        <v>332</v>
      </c>
      <c r="H1311" s="46" t="str">
        <f aca="false">IF(G1311&lt;&gt;"",IFERROR(VLOOKUP(G1311,PRODUCTOS!$A:$B,2,0),"!COD NO ENCONTRADO"),"")</f>
        <v>VARIADO PEQUEÑO</v>
      </c>
      <c r="I1311" s="89" t="n">
        <v>4</v>
      </c>
      <c r="J1311" s="90" t="n">
        <v>28.25</v>
      </c>
      <c r="K1311" s="91" t="n">
        <v>0.3</v>
      </c>
      <c r="L1311" s="80" t="n">
        <f aca="false">IF(AND(J1311&lt;&gt;"",K1311&lt;&gt;""),J1311*K1311,"")</f>
        <v>8.475</v>
      </c>
      <c r="M1311" s="142" t="n">
        <f aca="false">IF(L1311&lt;&gt;"",L1311*1.1,"")</f>
        <v>9.3225</v>
      </c>
      <c r="N1311" s="147" t="n">
        <f aca="false">IF(F1311="S",L1311*0.02,0)</f>
        <v>0.1695</v>
      </c>
      <c r="O1311" s="144" t="n">
        <f aca="false">IF(L1311&lt;&gt;"",L1311+N1311,"")</f>
        <v>8.6445</v>
      </c>
      <c r="P1311" s="147" t="n">
        <f aca="false">IF(O1311&lt;&gt;"",O1311*0.1,"")</f>
        <v>0.86445</v>
      </c>
      <c r="Q1311" s="145" t="n">
        <f aca="false">IF(O1311&lt;&gt;"",O1311+P1311,"")</f>
        <v>9.50895</v>
      </c>
      <c r="R1311" s="146" t="s">
        <v>358</v>
      </c>
    </row>
    <row r="1312" customFormat="false" ht="15" hidden="false" customHeight="true" outlineLevel="0" collapsed="false">
      <c r="A1312" s="103" t="n">
        <v>56221</v>
      </c>
      <c r="B1312" s="85" t="n">
        <v>46242</v>
      </c>
      <c r="C1312" s="74" t="s">
        <v>600</v>
      </c>
      <c r="D1312" s="75" t="n">
        <v>50010</v>
      </c>
      <c r="E1312" s="52" t="str">
        <f aca="false">IF(D1312&lt;&gt;"",IFERROR(VLOOKUP(D1312,PROVEEDORES!$A:$B,2,0),"!COD NO ENCONTRADO"),"")</f>
        <v>PERFECTO MONTERO</v>
      </c>
      <c r="F1312" s="76" t="str">
        <f aca="false">IF(D1312&lt;&gt;"",IFERROR(VLOOKUP(D1312,PROVEEDORES!$A:$C,3,0),""),"")</f>
        <v>S</v>
      </c>
      <c r="G1312" s="75" t="s">
        <v>221</v>
      </c>
      <c r="H1312" s="52" t="str">
        <f aca="false">IF(G1312&lt;&gt;"",IFERROR(VLOOKUP(G1312,PRODUCTOS!$A:$B,2,0),"!COD NO ENCONTRADO"),"")</f>
        <v>MERLUZA EUROPEA PINCHO COSTA 800</v>
      </c>
      <c r="I1312" s="77" t="n">
        <v>2</v>
      </c>
      <c r="J1312" s="78" t="n">
        <v>27.75</v>
      </c>
      <c r="K1312" s="79" t="n">
        <v>6.8</v>
      </c>
      <c r="L1312" s="80" t="n">
        <f aca="false">IF(AND(J1312&lt;&gt;"",K1312&lt;&gt;""),J1312*K1312,"")</f>
        <v>188.7</v>
      </c>
      <c r="M1312" s="142" t="n">
        <f aca="false">IF(L1312&lt;&gt;"",L1312*1.1,"")</f>
        <v>207.57</v>
      </c>
      <c r="N1312" s="143" t="n">
        <f aca="false">IF(F1312="S",L1312*0.02,0)</f>
        <v>3.774</v>
      </c>
      <c r="O1312" s="144" t="n">
        <f aca="false">IF(L1312&lt;&gt;"",L1312+N1312,"")</f>
        <v>192.474</v>
      </c>
      <c r="P1312" s="143" t="n">
        <f aca="false">IF(O1312&lt;&gt;"",O1312*0.1,"")</f>
        <v>19.2474</v>
      </c>
      <c r="Q1312" s="145" t="n">
        <f aca="false">IF(O1312&lt;&gt;"",O1312+P1312,"")</f>
        <v>211.7214</v>
      </c>
      <c r="R1312" s="146" t="s">
        <v>365</v>
      </c>
    </row>
    <row r="1313" customFormat="false" ht="15" hidden="false" customHeight="true" outlineLevel="0" collapsed="false">
      <c r="A1313" s="103" t="n">
        <v>56222</v>
      </c>
      <c r="B1313" s="85" t="n">
        <v>46242</v>
      </c>
      <c r="C1313" s="86" t="s">
        <v>601</v>
      </c>
      <c r="D1313" s="87" t="n">
        <v>50106</v>
      </c>
      <c r="E1313" s="46" t="str">
        <f aca="false">IF(D1313&lt;&gt;"",IFERROR(VLOOKUP(D1313,PROVEEDORES!$A:$B,2,0),"!COD NO ENCONTRADO"),"")</f>
        <v>SONIA VENTAS S.L</v>
      </c>
      <c r="F1313" s="88" t="str">
        <f aca="false">IF(D1313&lt;&gt;"",IFERROR(VLOOKUP(D1313,PROVEEDORES!$A:$C,3,0),""),"")</f>
        <v>S</v>
      </c>
      <c r="G1313" s="87" t="s">
        <v>221</v>
      </c>
      <c r="H1313" s="46" t="str">
        <f aca="false">IF(G1313&lt;&gt;"",IFERROR(VLOOKUP(G1313,PRODUCTOS!$A:$B,2,0),"!COD NO ENCONTRADO"),"")</f>
        <v>MERLUZA EUROPEA PINCHO COSTA 800</v>
      </c>
      <c r="I1313" s="89" t="n">
        <v>1</v>
      </c>
      <c r="J1313" s="90" t="n">
        <v>13.25</v>
      </c>
      <c r="K1313" s="91" t="n">
        <v>6</v>
      </c>
      <c r="L1313" s="80" t="n">
        <f aca="false">IF(AND(J1313&lt;&gt;"",K1313&lt;&gt;""),J1313*K1313,"")</f>
        <v>79.5</v>
      </c>
      <c r="M1313" s="142" t="n">
        <f aca="false">IF(L1313&lt;&gt;"",L1313*1.1,"")</f>
        <v>87.45</v>
      </c>
      <c r="N1313" s="147" t="n">
        <f aca="false">IF(F1313="S",L1313*0.02,0)</f>
        <v>1.59</v>
      </c>
      <c r="O1313" s="144" t="n">
        <f aca="false">IF(L1313&lt;&gt;"",L1313+N1313,"")</f>
        <v>81.09</v>
      </c>
      <c r="P1313" s="147" t="n">
        <f aca="false">IF(O1313&lt;&gt;"",O1313*0.1,"")</f>
        <v>8.109</v>
      </c>
      <c r="Q1313" s="145" t="n">
        <f aca="false">IF(O1313&lt;&gt;"",O1313+P1313,"")</f>
        <v>89.199</v>
      </c>
      <c r="R1313" s="146" t="s">
        <v>365</v>
      </c>
    </row>
    <row r="1314" customFormat="false" ht="15" hidden="false" customHeight="true" outlineLevel="0" collapsed="false">
      <c r="A1314" s="103" t="n">
        <v>56222</v>
      </c>
      <c r="B1314" s="85" t="n">
        <v>46242</v>
      </c>
      <c r="C1314" s="74" t="s">
        <v>601</v>
      </c>
      <c r="D1314" s="75" t="n">
        <v>50106</v>
      </c>
      <c r="E1314" s="52" t="str">
        <f aca="false">IF(D1314&lt;&gt;"",IFERROR(VLOOKUP(D1314,PROVEEDORES!$A:$B,2,0),"!COD NO ENCONTRADO"),"")</f>
        <v>SONIA VENTAS S.L</v>
      </c>
      <c r="F1314" s="76" t="str">
        <f aca="false">IF(D1314&lt;&gt;"",IFERROR(VLOOKUP(D1314,PROVEEDORES!$A:$C,3,0),""),"")</f>
        <v>S</v>
      </c>
      <c r="G1314" s="75" t="s">
        <v>223</v>
      </c>
      <c r="H1314" s="52" t="str">
        <f aca="false">IF(G1314&lt;&gt;"",IFERROR(VLOOKUP(G1314,PRODUCTOS!$A:$B,2,0),"!COD NO ENCONTRADO"),"")</f>
        <v>MERLUZA EUROPEA PINCHO COSTA 1000</v>
      </c>
      <c r="I1314" s="77" t="n">
        <v>1</v>
      </c>
      <c r="J1314" s="78" t="n">
        <v>9.5</v>
      </c>
      <c r="K1314" s="79" t="n">
        <v>7.7</v>
      </c>
      <c r="L1314" s="80" t="n">
        <f aca="false">IF(AND(J1314&lt;&gt;"",K1314&lt;&gt;""),J1314*K1314,"")</f>
        <v>73.15</v>
      </c>
      <c r="M1314" s="142" t="n">
        <f aca="false">IF(L1314&lt;&gt;"",L1314*1.1,"")</f>
        <v>80.465</v>
      </c>
      <c r="N1314" s="143" t="n">
        <f aca="false">IF(F1314="S",L1314*0.02,0)</f>
        <v>1.463</v>
      </c>
      <c r="O1314" s="144" t="n">
        <f aca="false">IF(L1314&lt;&gt;"",L1314+N1314,"")</f>
        <v>74.613</v>
      </c>
      <c r="P1314" s="143" t="n">
        <f aca="false">IF(O1314&lt;&gt;"",O1314*0.1,"")</f>
        <v>7.4613</v>
      </c>
      <c r="Q1314" s="145" t="n">
        <f aca="false">IF(O1314&lt;&gt;"",O1314+P1314,"")</f>
        <v>82.0743</v>
      </c>
      <c r="R1314" s="146" t="s">
        <v>365</v>
      </c>
    </row>
    <row r="1315" customFormat="false" ht="15" hidden="false" customHeight="true" outlineLevel="0" collapsed="false">
      <c r="A1315" s="103" t="n">
        <v>56222</v>
      </c>
      <c r="B1315" s="85" t="n">
        <v>46242</v>
      </c>
      <c r="C1315" s="86" t="s">
        <v>601</v>
      </c>
      <c r="D1315" s="87" t="n">
        <v>50106</v>
      </c>
      <c r="E1315" s="46" t="str">
        <f aca="false">IF(D1315&lt;&gt;"",IFERROR(VLOOKUP(D1315,PROVEEDORES!$A:$B,2,0),"!COD NO ENCONTRADO"),"")</f>
        <v>SONIA VENTAS S.L</v>
      </c>
      <c r="F1315" s="88" t="str">
        <f aca="false">IF(D1315&lt;&gt;"",IFERROR(VLOOKUP(D1315,PROVEEDORES!$A:$C,3,0),""),"")</f>
        <v>S</v>
      </c>
      <c r="G1315" s="87" t="s">
        <v>227</v>
      </c>
      <c r="H1315" s="46" t="str">
        <f aca="false">IF(G1315&lt;&gt;"",IFERROR(VLOOKUP(G1315,PRODUCTOS!$A:$B,2,0),"!COD NO ENCONTRADO"),"")</f>
        <v>MERLUZA EUROPEA PINCHO COSTA 1,5/2</v>
      </c>
      <c r="I1315" s="89" t="n">
        <v>1</v>
      </c>
      <c r="J1315" s="90" t="n">
        <v>15.5</v>
      </c>
      <c r="K1315" s="91" t="n">
        <v>10.7</v>
      </c>
      <c r="L1315" s="80" t="n">
        <f aca="false">IF(AND(J1315&lt;&gt;"",K1315&lt;&gt;""),J1315*K1315,"")</f>
        <v>165.85</v>
      </c>
      <c r="M1315" s="142" t="n">
        <f aca="false">IF(L1315&lt;&gt;"",L1315*1.1,"")</f>
        <v>182.435</v>
      </c>
      <c r="N1315" s="147" t="n">
        <f aca="false">IF(F1315="S",L1315*0.02,0)</f>
        <v>3.317</v>
      </c>
      <c r="O1315" s="144" t="n">
        <f aca="false">IF(L1315&lt;&gt;"",L1315+N1315,"")</f>
        <v>169.167</v>
      </c>
      <c r="P1315" s="147" t="n">
        <f aca="false">IF(O1315&lt;&gt;"",O1315*0.1,"")</f>
        <v>16.9167</v>
      </c>
      <c r="Q1315" s="145" t="n">
        <f aca="false">IF(O1315&lt;&gt;"",O1315+P1315,"")</f>
        <v>186.0837</v>
      </c>
      <c r="R1315" s="146" t="s">
        <v>365</v>
      </c>
    </row>
    <row r="1316" customFormat="false" ht="15" hidden="false" customHeight="true" outlineLevel="0" collapsed="false">
      <c r="A1316" s="103" t="n">
        <v>56222</v>
      </c>
      <c r="B1316" s="85" t="n">
        <v>46242</v>
      </c>
      <c r="C1316" s="74" t="s">
        <v>601</v>
      </c>
      <c r="D1316" s="75" t="n">
        <v>50106</v>
      </c>
      <c r="E1316" s="52" t="str">
        <f aca="false">IF(D1316&lt;&gt;"",IFERROR(VLOOKUP(D1316,PROVEEDORES!$A:$B,2,0),"!COD NO ENCONTRADO"),"")</f>
        <v>SONIA VENTAS S.L</v>
      </c>
      <c r="F1316" s="76" t="str">
        <f aca="false">IF(D1316&lt;&gt;"",IFERROR(VLOOKUP(D1316,PROVEEDORES!$A:$C,3,0),""),"")</f>
        <v>S</v>
      </c>
      <c r="G1316" s="75" t="s">
        <v>227</v>
      </c>
      <c r="H1316" s="52" t="str">
        <f aca="false">IF(G1316&lt;&gt;"",IFERROR(VLOOKUP(G1316,PRODUCTOS!$A:$B,2,0),"!COD NO ENCONTRADO"),"")</f>
        <v>MERLUZA EUROPEA PINCHO COSTA 1,5/2</v>
      </c>
      <c r="I1316" s="77" t="n">
        <v>1</v>
      </c>
      <c r="J1316" s="78" t="n">
        <v>15.5</v>
      </c>
      <c r="K1316" s="79" t="n">
        <v>11</v>
      </c>
      <c r="L1316" s="80" t="n">
        <f aca="false">IF(AND(J1316&lt;&gt;"",K1316&lt;&gt;""),J1316*K1316,"")</f>
        <v>170.5</v>
      </c>
      <c r="M1316" s="142" t="n">
        <f aca="false">IF(L1316&lt;&gt;"",L1316*1.1,"")</f>
        <v>187.55</v>
      </c>
      <c r="N1316" s="143" t="n">
        <f aca="false">IF(F1316="S",L1316*0.02,0)</f>
        <v>3.41</v>
      </c>
      <c r="O1316" s="144" t="n">
        <f aca="false">IF(L1316&lt;&gt;"",L1316+N1316,"")</f>
        <v>173.91</v>
      </c>
      <c r="P1316" s="143" t="n">
        <f aca="false">IF(O1316&lt;&gt;"",O1316*0.1,"")</f>
        <v>17.391</v>
      </c>
      <c r="Q1316" s="145" t="n">
        <f aca="false">IF(O1316&lt;&gt;"",O1316+P1316,"")</f>
        <v>191.301</v>
      </c>
      <c r="R1316" s="146" t="s">
        <v>365</v>
      </c>
    </row>
    <row r="1317" customFormat="false" ht="15" hidden="false" customHeight="true" outlineLevel="0" collapsed="false">
      <c r="A1317" s="103" t="n">
        <v>56223</v>
      </c>
      <c r="B1317" s="85" t="n">
        <v>46242</v>
      </c>
      <c r="C1317" s="86" t="s">
        <v>602</v>
      </c>
      <c r="D1317" s="87" t="n">
        <v>50160</v>
      </c>
      <c r="E1317" s="46" t="str">
        <f aca="false">IF(D1317&lt;&gt;"",IFERROR(VLOOKUP(D1317,PROVEEDORES!$A:$B,2,0),"!COD NO ENCONTRADO"),"")</f>
        <v>SUBASTAS CORUÑA S.L.</v>
      </c>
      <c r="F1317" s="88" t="str">
        <f aca="false">IF(D1317&lt;&gt;"",IFERROR(VLOOKUP(D1317,PROVEEDORES!$A:$C,3,0),""),"")</f>
        <v>S</v>
      </c>
      <c r="G1317" s="87" t="s">
        <v>233</v>
      </c>
      <c r="H1317" s="46" t="str">
        <f aca="false">IF(G1317&lt;&gt;"",IFERROR(VLOOKUP(G1317,PRODUCTOS!$A:$B,2,0),"!COD NO ENCONTRADO"),"")</f>
        <v>MERLUZA EUROPEA VOLANTA COSTA</v>
      </c>
      <c r="I1317" s="89" t="n">
        <v>1</v>
      </c>
      <c r="J1317" s="90" t="n">
        <v>18.5</v>
      </c>
      <c r="K1317" s="91" t="n">
        <v>4.9</v>
      </c>
      <c r="L1317" s="80" t="n">
        <f aca="false">IF(AND(J1317&lt;&gt;"",K1317&lt;&gt;""),J1317*K1317,"")</f>
        <v>90.65</v>
      </c>
      <c r="M1317" s="142" t="n">
        <f aca="false">IF(L1317&lt;&gt;"",L1317*1.1,"")</f>
        <v>99.715</v>
      </c>
      <c r="N1317" s="147" t="n">
        <f aca="false">IF(F1317="S",L1317*0.02,0)</f>
        <v>1.813</v>
      </c>
      <c r="O1317" s="144" t="n">
        <f aca="false">IF(L1317&lt;&gt;"",L1317+N1317,"")</f>
        <v>92.463</v>
      </c>
      <c r="P1317" s="147" t="n">
        <f aca="false">IF(O1317&lt;&gt;"",O1317*0.1,"")</f>
        <v>9.2463</v>
      </c>
      <c r="Q1317" s="145" t="n">
        <f aca="false">IF(O1317&lt;&gt;"",O1317+P1317,"")</f>
        <v>101.7093</v>
      </c>
      <c r="R1317" s="146" t="s">
        <v>365</v>
      </c>
    </row>
    <row r="1318" customFormat="false" ht="15" hidden="false" customHeight="true" outlineLevel="0" collapsed="false">
      <c r="A1318" s="103" t="n">
        <v>56223</v>
      </c>
      <c r="B1318" s="85" t="n">
        <v>46242</v>
      </c>
      <c r="C1318" s="74" t="s">
        <v>602</v>
      </c>
      <c r="D1318" s="75" t="n">
        <v>50160</v>
      </c>
      <c r="E1318" s="52" t="str">
        <f aca="false">IF(D1318&lt;&gt;"",IFERROR(VLOOKUP(D1318,PROVEEDORES!$A:$B,2,0),"!COD NO ENCONTRADO"),"")</f>
        <v>SUBASTAS CORUÑA S.L.</v>
      </c>
      <c r="F1318" s="76" t="str">
        <f aca="false">IF(D1318&lt;&gt;"",IFERROR(VLOOKUP(D1318,PROVEEDORES!$A:$C,3,0),""),"")</f>
        <v>S</v>
      </c>
      <c r="G1318" s="75" t="s">
        <v>233</v>
      </c>
      <c r="H1318" s="52" t="str">
        <f aca="false">IF(G1318&lt;&gt;"",IFERROR(VLOOKUP(G1318,PRODUCTOS!$A:$B,2,0),"!COD NO ENCONTRADO"),"")</f>
        <v>MERLUZA EUROPEA VOLANTA COSTA</v>
      </c>
      <c r="I1318" s="77" t="n">
        <v>2</v>
      </c>
      <c r="J1318" s="78" t="n">
        <v>37.25</v>
      </c>
      <c r="K1318" s="79" t="n">
        <v>5</v>
      </c>
      <c r="L1318" s="80" t="n">
        <f aca="false">IF(AND(J1318&lt;&gt;"",K1318&lt;&gt;""),J1318*K1318,"")</f>
        <v>186.25</v>
      </c>
      <c r="M1318" s="142" t="n">
        <f aca="false">IF(L1318&lt;&gt;"",L1318*1.1,"")</f>
        <v>204.875</v>
      </c>
      <c r="N1318" s="143" t="n">
        <f aca="false">IF(F1318="S",L1318*0.02,0)</f>
        <v>3.725</v>
      </c>
      <c r="O1318" s="144" t="n">
        <f aca="false">IF(L1318&lt;&gt;"",L1318+N1318,"")</f>
        <v>189.975</v>
      </c>
      <c r="P1318" s="143" t="n">
        <f aca="false">IF(O1318&lt;&gt;"",O1318*0.1,"")</f>
        <v>18.9975</v>
      </c>
      <c r="Q1318" s="145" t="n">
        <f aca="false">IF(O1318&lt;&gt;"",O1318+P1318,"")</f>
        <v>208.9725</v>
      </c>
      <c r="R1318" s="146" t="s">
        <v>365</v>
      </c>
    </row>
    <row r="1319" customFormat="false" ht="15" hidden="false" customHeight="true" outlineLevel="0" collapsed="false">
      <c r="A1319" s="103" t="n">
        <v>56223</v>
      </c>
      <c r="B1319" s="85" t="n">
        <v>46242</v>
      </c>
      <c r="C1319" s="86" t="s">
        <v>602</v>
      </c>
      <c r="D1319" s="87" t="n">
        <v>50160</v>
      </c>
      <c r="E1319" s="46" t="str">
        <f aca="false">IF(D1319&lt;&gt;"",IFERROR(VLOOKUP(D1319,PROVEEDORES!$A:$B,2,0),"!COD NO ENCONTRADO"),"")</f>
        <v>SUBASTAS CORUÑA S.L.</v>
      </c>
      <c r="F1319" s="88" t="str">
        <f aca="false">IF(D1319&lt;&gt;"",IFERROR(VLOOKUP(D1319,PROVEEDORES!$A:$C,3,0),""),"")</f>
        <v>S</v>
      </c>
      <c r="G1319" s="87" t="s">
        <v>233</v>
      </c>
      <c r="H1319" s="46" t="str">
        <f aca="false">IF(G1319&lt;&gt;"",IFERROR(VLOOKUP(G1319,PRODUCTOS!$A:$B,2,0),"!COD NO ENCONTRADO"),"")</f>
        <v>MERLUZA EUROPEA VOLANTA COSTA</v>
      </c>
      <c r="I1319" s="89" t="n">
        <v>1</v>
      </c>
      <c r="J1319" s="90" t="n">
        <v>15.5</v>
      </c>
      <c r="K1319" s="91" t="n">
        <v>5.2</v>
      </c>
      <c r="L1319" s="80" t="n">
        <f aca="false">IF(AND(J1319&lt;&gt;"",K1319&lt;&gt;""),J1319*K1319,"")</f>
        <v>80.6</v>
      </c>
      <c r="M1319" s="142" t="n">
        <f aca="false">IF(L1319&lt;&gt;"",L1319*1.1,"")</f>
        <v>88.66</v>
      </c>
      <c r="N1319" s="147" t="n">
        <f aca="false">IF(F1319="S",L1319*0.02,0)</f>
        <v>1.612</v>
      </c>
      <c r="O1319" s="144" t="n">
        <f aca="false">IF(L1319&lt;&gt;"",L1319+N1319,"")</f>
        <v>82.212</v>
      </c>
      <c r="P1319" s="147" t="n">
        <f aca="false">IF(O1319&lt;&gt;"",O1319*0.1,"")</f>
        <v>8.2212</v>
      </c>
      <c r="Q1319" s="145" t="n">
        <f aca="false">IF(O1319&lt;&gt;"",O1319+P1319,"")</f>
        <v>90.4332</v>
      </c>
      <c r="R1319" s="146" t="s">
        <v>365</v>
      </c>
    </row>
    <row r="1320" customFormat="false" ht="15" hidden="false" customHeight="true" outlineLevel="0" collapsed="false">
      <c r="A1320" s="103" t="n">
        <v>56224</v>
      </c>
      <c r="B1320" s="85" t="n">
        <v>46242</v>
      </c>
      <c r="C1320" s="74" t="s">
        <v>603</v>
      </c>
      <c r="D1320" s="75" t="n">
        <v>50163</v>
      </c>
      <c r="E1320" s="52" t="str">
        <f aca="false">IF(D1320&lt;&gt;"",IFERROR(VLOOKUP(D1320,PROVEEDORES!$A:$B,2,0),"!COD NO ENCONTRADO"),"")</f>
        <v>SUBASTAS RIVERA S.L.</v>
      </c>
      <c r="F1320" s="76" t="str">
        <f aca="false">IF(D1320&lt;&gt;"",IFERROR(VLOOKUP(D1320,PROVEEDORES!$A:$C,3,0),""),"")</f>
        <v>S</v>
      </c>
      <c r="G1320" s="75" t="s">
        <v>332</v>
      </c>
      <c r="H1320" s="52" t="str">
        <f aca="false">IF(G1320&lt;&gt;"",IFERROR(VLOOKUP(G1320,PRODUCTOS!$A:$B,2,0),"!COD NO ENCONTRADO"),"")</f>
        <v>VARIADO PEQUEÑO</v>
      </c>
      <c r="I1320" s="77" t="n">
        <v>3</v>
      </c>
      <c r="J1320" s="105" t="n">
        <v>32.5</v>
      </c>
      <c r="K1320" s="125" t="n">
        <v>0.3</v>
      </c>
      <c r="L1320" s="80" t="n">
        <f aca="false">IF(AND(J1320&lt;&gt;"",K1320&lt;&gt;""),J1320*K1320,"")</f>
        <v>9.75</v>
      </c>
      <c r="M1320" s="142" t="n">
        <f aca="false">IF(L1320&lt;&gt;"",L1320*1.1,"")</f>
        <v>10.725</v>
      </c>
      <c r="N1320" s="143" t="n">
        <f aca="false">IF(F1320="S",L1320*0.02,0)</f>
        <v>0.195</v>
      </c>
      <c r="O1320" s="144" t="n">
        <f aca="false">IF(L1320&lt;&gt;"",L1320+N1320,"")</f>
        <v>9.945</v>
      </c>
      <c r="P1320" s="143" t="n">
        <f aca="false">IF(O1320&lt;&gt;"",O1320*0.1,"")</f>
        <v>0.9945</v>
      </c>
      <c r="Q1320" s="145" t="n">
        <f aca="false">IF(O1320&lt;&gt;"",O1320+P1320,"")</f>
        <v>10.9395</v>
      </c>
      <c r="R1320" s="146" t="s">
        <v>365</v>
      </c>
    </row>
    <row r="1321" customFormat="false" ht="15" hidden="false" customHeight="true" outlineLevel="0" collapsed="false">
      <c r="A1321" s="103" t="n">
        <v>56224</v>
      </c>
      <c r="B1321" s="85" t="n">
        <v>46242</v>
      </c>
      <c r="C1321" s="74" t="s">
        <v>603</v>
      </c>
      <c r="D1321" s="75" t="n">
        <v>50163</v>
      </c>
      <c r="E1321" s="46" t="str">
        <f aca="false">IF(D1321&lt;&gt;"",IFERROR(VLOOKUP(D1321,PROVEEDORES!$A:$B,2,0),"!COD NO ENCONTRADO"),"")</f>
        <v>SUBASTAS RIVERA S.L.</v>
      </c>
      <c r="F1321" s="88" t="str">
        <f aca="false">IF(D1321&lt;&gt;"",IFERROR(VLOOKUP(D1321,PROVEEDORES!$A:$C,3,0),""),"")</f>
        <v>S</v>
      </c>
      <c r="G1321" s="87" t="s">
        <v>276</v>
      </c>
      <c r="H1321" s="46" t="str">
        <f aca="false">IF(G1321&lt;&gt;"",IFERROR(VLOOKUP(G1321,PRODUCTOS!$A:$B,2,0),"!COD NO ENCONTRADO"),"")</f>
        <v>MERLUZA EUROPEA/ FINA DIA </v>
      </c>
      <c r="I1321" s="89" t="n">
        <v>1</v>
      </c>
      <c r="J1321" s="105" t="n">
        <v>7.75</v>
      </c>
      <c r="K1321" s="125" t="n">
        <v>2.4</v>
      </c>
      <c r="L1321" s="80" t="n">
        <f aca="false">IF(AND(J1321&lt;&gt;"",K1321&lt;&gt;""),J1321*K1321,"")</f>
        <v>18.6</v>
      </c>
      <c r="M1321" s="142" t="n">
        <f aca="false">IF(L1321&lt;&gt;"",L1321*1.1,"")</f>
        <v>20.46</v>
      </c>
      <c r="N1321" s="147" t="n">
        <f aca="false">IF(F1321="S",L1321*0.02,0)</f>
        <v>0.372</v>
      </c>
      <c r="O1321" s="144" t="n">
        <f aca="false">IF(L1321&lt;&gt;"",L1321+N1321,"")</f>
        <v>18.972</v>
      </c>
      <c r="P1321" s="147" t="n">
        <f aca="false">IF(O1321&lt;&gt;"",O1321*0.1,"")</f>
        <v>1.8972</v>
      </c>
      <c r="Q1321" s="145" t="n">
        <f aca="false">IF(O1321&lt;&gt;"",O1321+P1321,"")</f>
        <v>20.8692</v>
      </c>
      <c r="R1321" s="146" t="s">
        <v>365</v>
      </c>
    </row>
    <row r="1322" customFormat="false" ht="15" hidden="false" customHeight="true" outlineLevel="0" collapsed="false">
      <c r="A1322" s="103" t="n">
        <v>56224</v>
      </c>
      <c r="B1322" s="85" t="n">
        <v>46242</v>
      </c>
      <c r="C1322" s="74" t="s">
        <v>603</v>
      </c>
      <c r="D1322" s="75" t="n">
        <v>50163</v>
      </c>
      <c r="E1322" s="52" t="str">
        <f aca="false">IF(D1322&lt;&gt;"",IFERROR(VLOOKUP(D1322,PROVEEDORES!$A:$B,2,0),"!COD NO ENCONTRADO"),"")</f>
        <v>SUBASTAS RIVERA S.L.</v>
      </c>
      <c r="F1322" s="76" t="str">
        <f aca="false">IF(D1322&lt;&gt;"",IFERROR(VLOOKUP(D1322,PROVEEDORES!$A:$C,3,0),""),"")</f>
        <v>S</v>
      </c>
      <c r="G1322" s="75" t="s">
        <v>276</v>
      </c>
      <c r="H1322" s="52" t="str">
        <f aca="false">IF(G1322&lt;&gt;"",IFERROR(VLOOKUP(G1322,PRODUCTOS!$A:$B,2,0),"!COD NO ENCONTRADO"),"")</f>
        <v>MERLUZA EUROPEA/ FINA DIA </v>
      </c>
      <c r="I1322" s="77" t="n">
        <v>2</v>
      </c>
      <c r="J1322" s="105" t="n">
        <v>14.5</v>
      </c>
      <c r="K1322" s="125" t="n">
        <v>2.6</v>
      </c>
      <c r="L1322" s="80" t="n">
        <f aca="false">IF(AND(J1322&lt;&gt;"",K1322&lt;&gt;""),J1322*K1322,"")</f>
        <v>37.7</v>
      </c>
      <c r="M1322" s="142" t="n">
        <f aca="false">IF(L1322&lt;&gt;"",L1322*1.1,"")</f>
        <v>41.47</v>
      </c>
      <c r="N1322" s="143" t="n">
        <f aca="false">IF(F1322="S",L1322*0.02,0)</f>
        <v>0.754</v>
      </c>
      <c r="O1322" s="144" t="n">
        <f aca="false">IF(L1322&lt;&gt;"",L1322+N1322,"")</f>
        <v>38.454</v>
      </c>
      <c r="P1322" s="143" t="n">
        <f aca="false">IF(O1322&lt;&gt;"",O1322*0.1,"")</f>
        <v>3.8454</v>
      </c>
      <c r="Q1322" s="145" t="n">
        <f aca="false">IF(O1322&lt;&gt;"",O1322+P1322,"")</f>
        <v>42.2994</v>
      </c>
      <c r="R1322" s="146" t="s">
        <v>365</v>
      </c>
    </row>
    <row r="1323" customFormat="false" ht="15" hidden="false" customHeight="true" outlineLevel="0" collapsed="false">
      <c r="A1323" s="103" t="n">
        <v>56224</v>
      </c>
      <c r="B1323" s="85" t="n">
        <v>46242</v>
      </c>
      <c r="C1323" s="74" t="s">
        <v>603</v>
      </c>
      <c r="D1323" s="75" t="n">
        <v>50163</v>
      </c>
      <c r="E1323" s="46" t="str">
        <f aca="false">IF(D1323&lt;&gt;"",IFERROR(VLOOKUP(D1323,PROVEEDORES!$A:$B,2,0),"!COD NO ENCONTRADO"),"")</f>
        <v>SUBASTAS RIVERA S.L.</v>
      </c>
      <c r="F1323" s="88" t="str">
        <f aca="false">IF(D1323&lt;&gt;"",IFERROR(VLOOKUP(D1323,PROVEEDORES!$A:$C,3,0),""),"")</f>
        <v>S</v>
      </c>
      <c r="G1323" s="87" t="s">
        <v>276</v>
      </c>
      <c r="H1323" s="46" t="str">
        <f aca="false">IF(G1323&lt;&gt;"",IFERROR(VLOOKUP(G1323,PRODUCTOS!$A:$B,2,0),"!COD NO ENCONTRADO"),"")</f>
        <v>MERLUZA EUROPEA/ FINA DIA </v>
      </c>
      <c r="I1323" s="89" t="n">
        <v>1</v>
      </c>
      <c r="J1323" s="105" t="n">
        <v>7</v>
      </c>
      <c r="K1323" s="125" t="n">
        <v>2.7</v>
      </c>
      <c r="L1323" s="80" t="n">
        <f aca="false">IF(AND(J1323&lt;&gt;"",K1323&lt;&gt;""),J1323*K1323,"")</f>
        <v>18.9</v>
      </c>
      <c r="M1323" s="142" t="n">
        <f aca="false">IF(L1323&lt;&gt;"",L1323*1.1,"")</f>
        <v>20.79</v>
      </c>
      <c r="N1323" s="147" t="n">
        <f aca="false">IF(F1323="S",L1323*0.02,0)</f>
        <v>0.378</v>
      </c>
      <c r="O1323" s="144" t="n">
        <f aca="false">IF(L1323&lt;&gt;"",L1323+N1323,"")</f>
        <v>19.278</v>
      </c>
      <c r="P1323" s="147" t="n">
        <f aca="false">IF(O1323&lt;&gt;"",O1323*0.1,"")</f>
        <v>1.9278</v>
      </c>
      <c r="Q1323" s="145" t="n">
        <f aca="false">IF(O1323&lt;&gt;"",O1323+P1323,"")</f>
        <v>21.2058</v>
      </c>
      <c r="R1323" s="146" t="s">
        <v>365</v>
      </c>
    </row>
    <row r="1324" customFormat="false" ht="15" hidden="false" customHeight="true" outlineLevel="0" collapsed="false">
      <c r="A1324" s="103" t="n">
        <v>56224</v>
      </c>
      <c r="B1324" s="85" t="n">
        <v>46242</v>
      </c>
      <c r="C1324" s="74" t="s">
        <v>603</v>
      </c>
      <c r="D1324" s="75" t="n">
        <v>50163</v>
      </c>
      <c r="E1324" s="52" t="str">
        <f aca="false">IF(D1324&lt;&gt;"",IFERROR(VLOOKUP(D1324,PROVEEDORES!$A:$B,2,0),"!COD NO ENCONTRADO"),"")</f>
        <v>SUBASTAS RIVERA S.L.</v>
      </c>
      <c r="F1324" s="76" t="str">
        <f aca="false">IF(D1324&lt;&gt;"",IFERROR(VLOOKUP(D1324,PROVEEDORES!$A:$C,3,0),""),"")</f>
        <v>S</v>
      </c>
      <c r="G1324" s="75" t="s">
        <v>133</v>
      </c>
      <c r="H1324" s="52" t="str">
        <f aca="false">IF(G1324&lt;&gt;"",IFERROR(VLOOKUP(G1324,PRODUCTOS!$A:$B,2,0),"!COD NO ENCONTRADO"),"")</f>
        <v>CINTAS/ PEZ CINTA (CBC)</v>
      </c>
      <c r="I1324" s="112" t="n">
        <v>7</v>
      </c>
      <c r="J1324" s="105" t="n">
        <v>53</v>
      </c>
      <c r="K1324" s="125" t="n">
        <v>2.4</v>
      </c>
      <c r="L1324" s="80" t="n">
        <f aca="false">IF(AND(J1324&lt;&gt;"",K1324&lt;&gt;""),J1324*K1324,"")</f>
        <v>127.2</v>
      </c>
      <c r="M1324" s="142" t="n">
        <f aca="false">IF(L1324&lt;&gt;"",L1324*1.1,"")</f>
        <v>139.92</v>
      </c>
      <c r="N1324" s="143" t="n">
        <f aca="false">IF(F1324="S",L1324*0.02,0)</f>
        <v>2.544</v>
      </c>
      <c r="O1324" s="144" t="n">
        <f aca="false">IF(L1324&lt;&gt;"",L1324+N1324,"")</f>
        <v>129.744</v>
      </c>
      <c r="P1324" s="143" t="n">
        <f aca="false">IF(O1324&lt;&gt;"",O1324*0.1,"")</f>
        <v>12.9744</v>
      </c>
      <c r="Q1324" s="145" t="n">
        <f aca="false">IF(O1324&lt;&gt;"",O1324+P1324,"")</f>
        <v>142.7184</v>
      </c>
      <c r="R1324" s="146" t="s">
        <v>365</v>
      </c>
    </row>
    <row r="1325" customFormat="false" ht="15" hidden="false" customHeight="true" outlineLevel="0" collapsed="false">
      <c r="A1325" s="103" t="n">
        <v>56224</v>
      </c>
      <c r="B1325" s="85" t="n">
        <v>46242</v>
      </c>
      <c r="C1325" s="74" t="s">
        <v>603</v>
      </c>
      <c r="D1325" s="75" t="n">
        <v>50163</v>
      </c>
      <c r="E1325" s="46" t="str">
        <f aca="false">IF(D1325&lt;&gt;"",IFERROR(VLOOKUP(D1325,PROVEEDORES!$A:$B,2,0),"!COD NO ENCONTRADO"),"")</f>
        <v>SUBASTAS RIVERA S.L.</v>
      </c>
      <c r="F1325" s="88" t="str">
        <f aca="false">IF(D1325&lt;&gt;"",IFERROR(VLOOKUP(D1325,PROVEEDORES!$A:$C,3,0),""),"")</f>
        <v>S</v>
      </c>
      <c r="G1325" s="87" t="s">
        <v>233</v>
      </c>
      <c r="H1325" s="46" t="str">
        <f aca="false">IF(G1325&lt;&gt;"",IFERROR(VLOOKUP(G1325,PRODUCTOS!$A:$B,2,0),"!COD NO ENCONTRADO"),"")</f>
        <v>MERLUZA EUROPEA VOLANTA COSTA</v>
      </c>
      <c r="I1325" s="89" t="n">
        <v>1</v>
      </c>
      <c r="J1325" s="105" t="n">
        <v>19.25</v>
      </c>
      <c r="K1325" s="125" t="n">
        <v>4.9</v>
      </c>
      <c r="L1325" s="80" t="n">
        <f aca="false">IF(AND(J1325&lt;&gt;"",K1325&lt;&gt;""),J1325*K1325,"")</f>
        <v>94.325</v>
      </c>
      <c r="M1325" s="142" t="n">
        <f aca="false">IF(L1325&lt;&gt;"",L1325*1.1,"")</f>
        <v>103.7575</v>
      </c>
      <c r="N1325" s="147" t="n">
        <f aca="false">IF(F1325="S",L1325*0.02,0)</f>
        <v>1.8865</v>
      </c>
      <c r="O1325" s="144" t="n">
        <f aca="false">IF(L1325&lt;&gt;"",L1325+N1325,"")</f>
        <v>96.2115</v>
      </c>
      <c r="P1325" s="147" t="n">
        <f aca="false">IF(O1325&lt;&gt;"",O1325*0.1,"")</f>
        <v>9.62115</v>
      </c>
      <c r="Q1325" s="145" t="n">
        <f aca="false">IF(O1325&lt;&gt;"",O1325+P1325,"")</f>
        <v>105.83265</v>
      </c>
      <c r="R1325" s="146" t="s">
        <v>365</v>
      </c>
    </row>
    <row r="1326" customFormat="false" ht="15" hidden="false" customHeight="true" outlineLevel="0" collapsed="false">
      <c r="A1326" s="103" t="n">
        <v>56224</v>
      </c>
      <c r="B1326" s="85" t="n">
        <v>46242</v>
      </c>
      <c r="C1326" s="74" t="s">
        <v>603</v>
      </c>
      <c r="D1326" s="75" t="n">
        <v>50163</v>
      </c>
      <c r="E1326" s="52" t="str">
        <f aca="false">IF(D1326&lt;&gt;"",IFERROR(VLOOKUP(D1326,PROVEEDORES!$A:$B,2,0),"!COD NO ENCONTRADO"),"")</f>
        <v>SUBASTAS RIVERA S.L.</v>
      </c>
      <c r="F1326" s="76" t="str">
        <f aca="false">IF(D1326&lt;&gt;"",IFERROR(VLOOKUP(D1326,PROVEEDORES!$A:$C,3,0),""),"")</f>
        <v>S</v>
      </c>
      <c r="G1326" s="75" t="s">
        <v>221</v>
      </c>
      <c r="H1326" s="52" t="str">
        <f aca="false">IF(G1326&lt;&gt;"",IFERROR(VLOOKUP(G1326,PRODUCTOS!$A:$B,2,0),"!COD NO ENCONTRADO"),"")</f>
        <v>MERLUZA EUROPEA PINCHO COSTA 800</v>
      </c>
      <c r="I1326" s="77" t="n">
        <v>2</v>
      </c>
      <c r="J1326" s="105" t="n">
        <v>24.5</v>
      </c>
      <c r="K1326" s="125" t="n">
        <v>6.5</v>
      </c>
      <c r="L1326" s="80" t="n">
        <f aca="false">IF(AND(J1326&lt;&gt;"",K1326&lt;&gt;""),J1326*K1326,"")</f>
        <v>159.25</v>
      </c>
      <c r="M1326" s="142" t="n">
        <f aca="false">IF(L1326&lt;&gt;"",L1326*1.1,"")</f>
        <v>175.175</v>
      </c>
      <c r="N1326" s="143" t="n">
        <f aca="false">IF(F1326="S",L1326*0.02,0)</f>
        <v>3.185</v>
      </c>
      <c r="O1326" s="144" t="n">
        <f aca="false">IF(L1326&lt;&gt;"",L1326+N1326,"")</f>
        <v>162.435</v>
      </c>
      <c r="P1326" s="143" t="n">
        <f aca="false">IF(O1326&lt;&gt;"",O1326*0.1,"")</f>
        <v>16.2435</v>
      </c>
      <c r="Q1326" s="145" t="n">
        <f aca="false">IF(O1326&lt;&gt;"",O1326+P1326,"")</f>
        <v>178.6785</v>
      </c>
      <c r="R1326" s="146" t="s">
        <v>365</v>
      </c>
    </row>
    <row r="1327" customFormat="false" ht="15" hidden="false" customHeight="true" outlineLevel="0" collapsed="false">
      <c r="A1327" s="103" t="n">
        <v>56224</v>
      </c>
      <c r="B1327" s="85" t="n">
        <v>46242</v>
      </c>
      <c r="C1327" s="74" t="s">
        <v>603</v>
      </c>
      <c r="D1327" s="75" t="n">
        <v>50163</v>
      </c>
      <c r="E1327" s="46" t="str">
        <f aca="false">IF(D1327&lt;&gt;"",IFERROR(VLOOKUP(D1327,PROVEEDORES!$A:$B,2,0),"!COD NO ENCONTRADO"),"")</f>
        <v>SUBASTAS RIVERA S.L.</v>
      </c>
      <c r="F1327" s="88" t="str">
        <f aca="false">IF(D1327&lt;&gt;"",IFERROR(VLOOKUP(D1327,PROVEEDORES!$A:$C,3,0),""),"")</f>
        <v>S</v>
      </c>
      <c r="G1327" s="87" t="s">
        <v>223</v>
      </c>
      <c r="H1327" s="46" t="str">
        <f aca="false">IF(G1327&lt;&gt;"",IFERROR(VLOOKUP(G1327,PRODUCTOS!$A:$B,2,0),"!COD NO ENCONTRADO"),"")</f>
        <v>MERLUZA EUROPEA PINCHO COSTA 1000</v>
      </c>
      <c r="I1327" s="89" t="n">
        <v>1</v>
      </c>
      <c r="J1327" s="105" t="n">
        <v>14</v>
      </c>
      <c r="K1327" s="125" t="n">
        <v>8.2</v>
      </c>
      <c r="L1327" s="80" t="n">
        <f aca="false">IF(AND(J1327&lt;&gt;"",K1327&lt;&gt;""),J1327*K1327,"")</f>
        <v>114.8</v>
      </c>
      <c r="M1327" s="142" t="n">
        <f aca="false">IF(L1327&lt;&gt;"",L1327*1.1,"")</f>
        <v>126.28</v>
      </c>
      <c r="N1327" s="147" t="n">
        <f aca="false">IF(F1327="S",L1327*0.02,0)</f>
        <v>2.296</v>
      </c>
      <c r="O1327" s="144" t="n">
        <f aca="false">IF(L1327&lt;&gt;"",L1327+N1327,"")</f>
        <v>117.096</v>
      </c>
      <c r="P1327" s="147" t="n">
        <f aca="false">IF(O1327&lt;&gt;"",O1327*0.1,"")</f>
        <v>11.7096</v>
      </c>
      <c r="Q1327" s="145" t="n">
        <f aca="false">IF(O1327&lt;&gt;"",O1327+P1327,"")</f>
        <v>128.8056</v>
      </c>
      <c r="R1327" s="146" t="s">
        <v>365</v>
      </c>
    </row>
    <row r="1328" customFormat="false" ht="15" hidden="false" customHeight="true" outlineLevel="0" collapsed="false">
      <c r="A1328" s="103" t="n">
        <v>56225</v>
      </c>
      <c r="B1328" s="73" t="n">
        <v>46242</v>
      </c>
      <c r="C1328" s="74" t="s">
        <v>604</v>
      </c>
      <c r="D1328" s="75" t="n">
        <v>50160</v>
      </c>
      <c r="E1328" s="52" t="str">
        <f aca="false">IF(D1328&lt;&gt;"",IFERROR(VLOOKUP(D1328,PROVEEDORES!$A:$B,2,0),"!COD NO ENCONTRADO"),"")</f>
        <v>SUBASTAS CORUÑA S.L.</v>
      </c>
      <c r="F1328" s="76" t="str">
        <f aca="false">IF(D1328&lt;&gt;"",IFERROR(VLOOKUP(D1328,PROVEEDORES!$A:$C,3,0),""),"")</f>
        <v>S</v>
      </c>
      <c r="G1328" s="75" t="s">
        <v>179</v>
      </c>
      <c r="H1328" s="52" t="str">
        <f aca="false">IF(G1328&lt;&gt;"",IFERROR(VLOOKUP(G1328,PRODUCTOS!$A:$B,2,0),"!COD NO ENCONTRADO"),"")</f>
        <v>LIRIO/ BACALADILLA/ PERLA (WHB)</v>
      </c>
      <c r="I1328" s="77" t="n">
        <v>30</v>
      </c>
      <c r="J1328" s="105" t="n">
        <v>450</v>
      </c>
      <c r="K1328" s="125" t="n">
        <v>1.6</v>
      </c>
      <c r="L1328" s="80" t="n">
        <f aca="false">IF(AND(J1328&lt;&gt;"",K1328&lt;&gt;""),J1328*K1328,"")</f>
        <v>720</v>
      </c>
      <c r="M1328" s="142" t="n">
        <f aca="false">IF(L1328&lt;&gt;"",L1328*1.1,"")</f>
        <v>792</v>
      </c>
      <c r="N1328" s="143" t="n">
        <f aca="false">IF(F1328="S",L1328*0.02,0)</f>
        <v>14.4</v>
      </c>
      <c r="O1328" s="144" t="n">
        <f aca="false">IF(L1328&lt;&gt;"",L1328+N1328,"")</f>
        <v>734.4</v>
      </c>
      <c r="P1328" s="143" t="n">
        <f aca="false">IF(O1328&lt;&gt;"",O1328*0.1,"")</f>
        <v>73.44</v>
      </c>
      <c r="Q1328" s="145" t="n">
        <f aca="false">IF(O1328&lt;&gt;"",O1328+P1328,"")</f>
        <v>807.84</v>
      </c>
      <c r="R1328" s="146" t="s">
        <v>365</v>
      </c>
    </row>
    <row r="1329" customFormat="false" ht="15" hidden="false" customHeight="true" outlineLevel="0" collapsed="false">
      <c r="A1329" s="103" t="n">
        <v>56226</v>
      </c>
      <c r="B1329" s="73" t="n">
        <v>46242</v>
      </c>
      <c r="C1329" s="86" t="s">
        <v>605</v>
      </c>
      <c r="D1329" s="87" t="n">
        <v>50232</v>
      </c>
      <c r="E1329" s="46" t="str">
        <f aca="false">IF(D1329&lt;&gt;"",IFERROR(VLOOKUP(D1329,PROVEEDORES!$A:$B,2,0),"!COD NO ENCONTRADO"),"")</f>
        <v>XESTION NOVA LONXA RIVEIRA S.L.</v>
      </c>
      <c r="F1329" s="88" t="str">
        <f aca="false">IF(D1329&lt;&gt;"",IFERROR(VLOOKUP(D1329,PROVEEDORES!$A:$C,3,0),""),"")</f>
        <v>S</v>
      </c>
      <c r="G1329" s="87" t="s">
        <v>332</v>
      </c>
      <c r="H1329" s="46" t="str">
        <f aca="false">IF(G1329&lt;&gt;"",IFERROR(VLOOKUP(G1329,PRODUCTOS!$A:$B,2,0),"!COD NO ENCONTRADO"),"")</f>
        <v>VARIADO PEQUEÑO</v>
      </c>
      <c r="I1329" s="89" t="n">
        <v>2</v>
      </c>
      <c r="J1329" s="90" t="n">
        <v>4.5</v>
      </c>
      <c r="K1329" s="91" t="n">
        <v>0.5</v>
      </c>
      <c r="L1329" s="80" t="n">
        <f aca="false">IF(AND(J1329&lt;&gt;"",K1329&lt;&gt;""),J1329*K1329,"")</f>
        <v>2.25</v>
      </c>
      <c r="M1329" s="142" t="n">
        <f aca="false">IF(L1329&lt;&gt;"",L1329*1.1,"")</f>
        <v>2.475</v>
      </c>
      <c r="N1329" s="147" t="n">
        <f aca="false">IF(F1329="S",L1329*0.02,0)</f>
        <v>0.045</v>
      </c>
      <c r="O1329" s="144" t="n">
        <f aca="false">IF(L1329&lt;&gt;"",L1329+N1329,"")</f>
        <v>2.295</v>
      </c>
      <c r="P1329" s="147" t="n">
        <f aca="false">IF(O1329&lt;&gt;"",O1329*0.1,"")</f>
        <v>0.2295</v>
      </c>
      <c r="Q1329" s="145" t="n">
        <f aca="false">IF(O1329&lt;&gt;"",O1329+P1329,"")</f>
        <v>2.5245</v>
      </c>
      <c r="R1329" s="146" t="s">
        <v>365</v>
      </c>
    </row>
    <row r="1330" customFormat="false" ht="15" hidden="false" customHeight="true" outlineLevel="0" collapsed="false">
      <c r="A1330" s="103" t="n">
        <v>56226</v>
      </c>
      <c r="B1330" s="73" t="n">
        <v>46242</v>
      </c>
      <c r="C1330" s="86" t="s">
        <v>605</v>
      </c>
      <c r="D1330" s="87" t="n">
        <v>50232</v>
      </c>
      <c r="E1330" s="52" t="str">
        <f aca="false">IF(D1330&lt;&gt;"",IFERROR(VLOOKUP(D1330,PROVEEDORES!$A:$B,2,0),"!COD NO ENCONTRADO"),"")</f>
        <v>XESTION NOVA LONXA RIVEIRA S.L.</v>
      </c>
      <c r="F1330" s="76" t="str">
        <f aca="false">IF(D1330&lt;&gt;"",IFERROR(VLOOKUP(D1330,PROVEEDORES!$A:$C,3,0),""),"")</f>
        <v>S</v>
      </c>
      <c r="G1330" s="75" t="s">
        <v>316</v>
      </c>
      <c r="H1330" s="52" t="str">
        <f aca="false">IF(G1330&lt;&gt;"",IFERROR(VLOOKUP(G1330,PRODUCTOS!$A:$B,2,0),"!COD NO ENCONTRADO"),"")</f>
        <v>SALMONETE ROCA (MUR)</v>
      </c>
      <c r="I1330" s="77" t="n">
        <v>3</v>
      </c>
      <c r="J1330" s="78" t="n">
        <v>13</v>
      </c>
      <c r="K1330" s="79" t="n">
        <v>16.8</v>
      </c>
      <c r="L1330" s="80" t="n">
        <f aca="false">IF(AND(J1330&lt;&gt;"",K1330&lt;&gt;""),J1330*K1330,"")</f>
        <v>218.4</v>
      </c>
      <c r="M1330" s="142" t="n">
        <f aca="false">IF(L1330&lt;&gt;"",L1330*1.1,"")</f>
        <v>240.24</v>
      </c>
      <c r="N1330" s="143" t="n">
        <f aca="false">IF(F1330="S",L1330*0.02,0)</f>
        <v>4.368</v>
      </c>
      <c r="O1330" s="144" t="n">
        <f aca="false">IF(L1330&lt;&gt;"",L1330+N1330,"")</f>
        <v>222.768</v>
      </c>
      <c r="P1330" s="143" t="n">
        <f aca="false">IF(O1330&lt;&gt;"",O1330*0.1,"")</f>
        <v>22.2768</v>
      </c>
      <c r="Q1330" s="145" t="n">
        <f aca="false">IF(O1330&lt;&gt;"",O1330+P1330,"")</f>
        <v>245.0448</v>
      </c>
      <c r="R1330" s="146" t="s">
        <v>365</v>
      </c>
    </row>
    <row r="1331" customFormat="false" ht="15" hidden="false" customHeight="true" outlineLevel="0" collapsed="false">
      <c r="A1331" s="103" t="n">
        <v>56226</v>
      </c>
      <c r="B1331" s="73" t="n">
        <v>46242</v>
      </c>
      <c r="C1331" s="86" t="s">
        <v>605</v>
      </c>
      <c r="D1331" s="87" t="n">
        <v>50232</v>
      </c>
      <c r="E1331" s="46" t="str">
        <f aca="false">IF(D1331&lt;&gt;"",IFERROR(VLOOKUP(D1331,PROVEEDORES!$A:$B,2,0),"!COD NO ENCONTRADO"),"")</f>
        <v>XESTION NOVA LONXA RIVEIRA S.L.</v>
      </c>
      <c r="F1331" s="88" t="str">
        <f aca="false">IF(D1331&lt;&gt;"",IFERROR(VLOOKUP(D1331,PROVEEDORES!$A:$C,3,0),""),"")</f>
        <v>S</v>
      </c>
      <c r="G1331" s="87" t="s">
        <v>326</v>
      </c>
      <c r="H1331" s="46" t="str">
        <f aca="false">IF(G1331&lt;&gt;"",IFERROR(VLOOKUP(G1331,PRODUCTOS!$A:$B,2,0),"!COD NO ENCONTRADO"),"")</f>
        <v>SARGO RIA (SWA)</v>
      </c>
      <c r="I1331" s="89" t="n">
        <v>9</v>
      </c>
      <c r="J1331" s="90" t="n">
        <v>28.5</v>
      </c>
      <c r="K1331" s="91" t="n">
        <v>15.5</v>
      </c>
      <c r="L1331" s="80" t="n">
        <f aca="false">IF(AND(J1331&lt;&gt;"",K1331&lt;&gt;""),J1331*K1331,"")</f>
        <v>441.75</v>
      </c>
      <c r="M1331" s="142" t="n">
        <f aca="false">IF(L1331&lt;&gt;"",L1331*1.1,"")</f>
        <v>485.925</v>
      </c>
      <c r="N1331" s="147" t="n">
        <f aca="false">IF(F1331="S",L1331*0.02,0)</f>
        <v>8.835</v>
      </c>
      <c r="O1331" s="144" t="n">
        <f aca="false">IF(L1331&lt;&gt;"",L1331+N1331,"")</f>
        <v>450.585</v>
      </c>
      <c r="P1331" s="147" t="n">
        <f aca="false">IF(O1331&lt;&gt;"",O1331*0.1,"")</f>
        <v>45.0585</v>
      </c>
      <c r="Q1331" s="145" t="n">
        <f aca="false">IF(O1331&lt;&gt;"",O1331+P1331,"")</f>
        <v>495.6435</v>
      </c>
      <c r="R1331" s="146" t="s">
        <v>365</v>
      </c>
    </row>
    <row r="1332" customFormat="false" ht="15" hidden="false" customHeight="true" outlineLevel="0" collapsed="false">
      <c r="A1332" s="103" t="n">
        <v>56226</v>
      </c>
      <c r="B1332" s="73" t="n">
        <v>46242</v>
      </c>
      <c r="C1332" s="86" t="s">
        <v>605</v>
      </c>
      <c r="D1332" s="87" t="n">
        <v>50232</v>
      </c>
      <c r="E1332" s="52" t="str">
        <f aca="false">IF(D1332&lt;&gt;"",IFERROR(VLOOKUP(D1332,PROVEEDORES!$A:$B,2,0),"!COD NO ENCONTRADO"),"")</f>
        <v>XESTION NOVA LONXA RIVEIRA S.L.</v>
      </c>
      <c r="F1332" s="76" t="str">
        <f aca="false">IF(D1332&lt;&gt;"",IFERROR(VLOOKUP(D1332,PROVEEDORES!$A:$C,3,0),""),"")</f>
        <v>S</v>
      </c>
      <c r="G1332" s="75" t="s">
        <v>97</v>
      </c>
      <c r="H1332" s="52" t="str">
        <f aca="false">IF(G1332&lt;&gt;"",IFERROR(VLOOKUP(G1332,PRODUCTOS!$A:$B,2,0),"!COD NO ENCONTRADO"),"")</f>
        <v>CABALL/ SARDA/ VERDEL (MAC)</v>
      </c>
      <c r="I1332" s="77" t="n">
        <v>24</v>
      </c>
      <c r="J1332" s="78" t="n">
        <v>249.5</v>
      </c>
      <c r="K1332" s="79" t="n">
        <v>3.5</v>
      </c>
      <c r="L1332" s="80" t="n">
        <f aca="false">IF(AND(J1332&lt;&gt;"",K1332&lt;&gt;""),J1332*K1332,"")</f>
        <v>873.25</v>
      </c>
      <c r="M1332" s="142" t="n">
        <f aca="false">IF(L1332&lt;&gt;"",L1332*1.1,"")</f>
        <v>960.575</v>
      </c>
      <c r="N1332" s="143" t="n">
        <f aca="false">IF(F1332="S",L1332*0.02,0)</f>
        <v>17.465</v>
      </c>
      <c r="O1332" s="144" t="n">
        <f aca="false">IF(L1332&lt;&gt;"",L1332+N1332,"")</f>
        <v>890.715</v>
      </c>
      <c r="P1332" s="143" t="n">
        <f aca="false">IF(O1332&lt;&gt;"",O1332*0.1,"")</f>
        <v>89.0715</v>
      </c>
      <c r="Q1332" s="145" t="n">
        <f aca="false">IF(O1332&lt;&gt;"",O1332+P1332,"")</f>
        <v>979.7865</v>
      </c>
      <c r="R1332" s="146" t="s">
        <v>365</v>
      </c>
    </row>
    <row r="1333" customFormat="false" ht="15" hidden="false" customHeight="true" outlineLevel="0" collapsed="false">
      <c r="A1333" s="103" t="n">
        <v>56226</v>
      </c>
      <c r="B1333" s="73" t="n">
        <v>46242</v>
      </c>
      <c r="C1333" s="86" t="s">
        <v>605</v>
      </c>
      <c r="D1333" s="87" t="n">
        <v>50232</v>
      </c>
      <c r="E1333" s="46" t="str">
        <f aca="false">IF(D1333&lt;&gt;"",IFERROR(VLOOKUP(D1333,PROVEEDORES!$A:$B,2,0),"!COD NO ENCONTRADO"),"")</f>
        <v>XESTION NOVA LONXA RIVEIRA S.L.</v>
      </c>
      <c r="F1333" s="88" t="str">
        <f aca="false">IF(D1333&lt;&gt;"",IFERROR(VLOOKUP(D1333,PROVEEDORES!$A:$C,3,0),""),"")</f>
        <v>S</v>
      </c>
      <c r="G1333" s="87" t="s">
        <v>115</v>
      </c>
      <c r="H1333" s="46" t="str">
        <f aca="false">IF(G1333&lt;&gt;"",IFERROR(VLOOKUP(G1333,PRODUCTOS!$A:$B,2,0),"!COD NO ENCONTRADO"),"")</f>
        <v>CHICHARRO/ JUREL/ XURELO (HOM)</v>
      </c>
      <c r="I1333" s="89" t="n">
        <v>13</v>
      </c>
      <c r="J1333" s="90" t="n">
        <v>95.8</v>
      </c>
      <c r="K1333" s="91" t="n">
        <v>1.8</v>
      </c>
      <c r="L1333" s="80" t="n">
        <f aca="false">IF(AND(J1333&lt;&gt;"",K1333&lt;&gt;""),J1333*K1333,"")</f>
        <v>172.44</v>
      </c>
      <c r="M1333" s="142" t="n">
        <f aca="false">IF(L1333&lt;&gt;"",L1333*1.1,"")</f>
        <v>189.684</v>
      </c>
      <c r="N1333" s="147" t="n">
        <f aca="false">IF(F1333="S",L1333*0.02,0)</f>
        <v>3.4488</v>
      </c>
      <c r="O1333" s="144" t="n">
        <f aca="false">IF(L1333&lt;&gt;"",L1333+N1333,"")</f>
        <v>175.8888</v>
      </c>
      <c r="P1333" s="147" t="n">
        <f aca="false">IF(O1333&lt;&gt;"",O1333*0.1,"")</f>
        <v>17.58888</v>
      </c>
      <c r="Q1333" s="145" t="n">
        <f aca="false">IF(O1333&lt;&gt;"",O1333+P1333,"")</f>
        <v>193.47768</v>
      </c>
      <c r="R1333" s="146" t="s">
        <v>365</v>
      </c>
    </row>
    <row r="1334" customFormat="false" ht="15" hidden="false" customHeight="true" outlineLevel="0" collapsed="false">
      <c r="A1334" s="103" t="n">
        <v>56226</v>
      </c>
      <c r="B1334" s="73" t="n">
        <v>46242</v>
      </c>
      <c r="C1334" s="86" t="s">
        <v>605</v>
      </c>
      <c r="D1334" s="87" t="n">
        <v>50232</v>
      </c>
      <c r="E1334" s="52" t="str">
        <f aca="false">IF(D1334&lt;&gt;"",IFERROR(VLOOKUP(D1334,PROVEEDORES!$A:$B,2,0),"!COD NO ENCONTRADO"),"")</f>
        <v>XESTION NOVA LONXA RIVEIRA S.L.</v>
      </c>
      <c r="F1334" s="76" t="str">
        <f aca="false">IF(D1334&lt;&gt;"",IFERROR(VLOOKUP(D1334,PROVEEDORES!$A:$C,3,0),""),"")</f>
        <v>S</v>
      </c>
      <c r="G1334" s="75" t="s">
        <v>179</v>
      </c>
      <c r="H1334" s="52" t="str">
        <f aca="false">IF(G1334&lt;&gt;"",IFERROR(VLOOKUP(G1334,PRODUCTOS!$A:$B,2,0),"!COD NO ENCONTRADO"),"")</f>
        <v>LIRIO/ BACALADILLA/ PERLA (WHB)</v>
      </c>
      <c r="I1334" s="77" t="n">
        <v>15</v>
      </c>
      <c r="J1334" s="105" t="n">
        <v>220.6</v>
      </c>
      <c r="K1334" s="125" t="n">
        <v>1.7</v>
      </c>
      <c r="L1334" s="80" t="n">
        <f aca="false">IF(AND(J1334&lt;&gt;"",K1334&lt;&gt;""),J1334*K1334,"")</f>
        <v>375.02</v>
      </c>
      <c r="M1334" s="142" t="n">
        <f aca="false">IF(L1334&lt;&gt;"",L1334*1.1,"")</f>
        <v>412.522</v>
      </c>
      <c r="N1334" s="143" t="n">
        <f aca="false">IF(F1334="S",L1334*0.02,0)</f>
        <v>7.5004</v>
      </c>
      <c r="O1334" s="144" t="n">
        <f aca="false">IF(L1334&lt;&gt;"",L1334+N1334,"")</f>
        <v>382.5204</v>
      </c>
      <c r="P1334" s="143" t="n">
        <f aca="false">IF(O1334&lt;&gt;"",O1334*0.1,"")</f>
        <v>38.25204</v>
      </c>
      <c r="Q1334" s="145" t="n">
        <f aca="false">IF(O1334&lt;&gt;"",O1334+P1334,"")</f>
        <v>420.77244</v>
      </c>
      <c r="R1334" s="146" t="s">
        <v>365</v>
      </c>
    </row>
    <row r="1335" customFormat="false" ht="15" hidden="false" customHeight="true" outlineLevel="0" collapsed="false">
      <c r="A1335" s="103" t="n">
        <v>56227</v>
      </c>
      <c r="B1335" s="73" t="n">
        <v>46242</v>
      </c>
      <c r="C1335" s="86" t="s">
        <v>606</v>
      </c>
      <c r="D1335" s="87" t="n">
        <v>50020</v>
      </c>
      <c r="E1335" s="46" t="str">
        <f aca="false">IF(D1335&lt;&gt;"",IFERROR(VLOOKUP(D1335,PROVEEDORES!$A:$B,2,0),"!COD NO ENCONTRADO"),"")</f>
        <v>PACO MOINELO</v>
      </c>
      <c r="F1335" s="88" t="str">
        <f aca="false">IF(D1335&lt;&gt;"",IFERROR(VLOOKUP(D1335,PROVEEDORES!$A:$C,3,0),""),"")</f>
        <v>S</v>
      </c>
      <c r="G1335" s="87" t="s">
        <v>135</v>
      </c>
      <c r="H1335" s="46" t="str">
        <f aca="false">IF(G1335&lt;&gt;"",IFERROR(VLOOKUP(G1335,PRODUCTOS!$A:$B,2,0),"!COD NO ENCONTRADO"),"")</f>
        <v>CONGRIO 10+  (COE)</v>
      </c>
      <c r="I1335" s="89" t="n">
        <v>1</v>
      </c>
      <c r="J1335" s="90" t="n">
        <v>14.5</v>
      </c>
      <c r="K1335" s="91" t="n">
        <v>5.3</v>
      </c>
      <c r="L1335" s="80" t="n">
        <f aca="false">IF(AND(J1335&lt;&gt;"",K1335&lt;&gt;""),J1335*K1335,"")</f>
        <v>76.85</v>
      </c>
      <c r="M1335" s="142" t="n">
        <f aca="false">IF(L1335&lt;&gt;"",L1335*1.1,"")</f>
        <v>84.535</v>
      </c>
      <c r="N1335" s="147" t="n">
        <f aca="false">IF(F1335="S",L1335*0.02,0)</f>
        <v>1.537</v>
      </c>
      <c r="O1335" s="144" t="n">
        <f aca="false">IF(L1335&lt;&gt;"",L1335+N1335,"")</f>
        <v>78.387</v>
      </c>
      <c r="P1335" s="147" t="n">
        <f aca="false">IF(O1335&lt;&gt;"",O1335*0.1,"")</f>
        <v>7.8387</v>
      </c>
      <c r="Q1335" s="145" t="n">
        <f aca="false">IF(O1335&lt;&gt;"",O1335+P1335,"")</f>
        <v>86.2257</v>
      </c>
      <c r="R1335" s="146" t="s">
        <v>365</v>
      </c>
    </row>
    <row r="1336" customFormat="false" ht="15" hidden="false" customHeight="true" outlineLevel="0" collapsed="false">
      <c r="A1336" s="103" t="n">
        <v>56228</v>
      </c>
      <c r="B1336" s="73" t="n">
        <v>46244</v>
      </c>
      <c r="C1336" s="74" t="s">
        <v>607</v>
      </c>
      <c r="D1336" s="87" t="n">
        <v>50001</v>
      </c>
      <c r="E1336" s="52" t="str">
        <f aca="false">IF(D1336&lt;&gt;"",IFERROR(VLOOKUP(D1336,PROVEEDORES!$A:$B,2,0),"!COD NO ENCONTRADO"),"")</f>
        <v>COPESA</v>
      </c>
      <c r="F1336" s="76" t="str">
        <f aca="false">IF(D1336&lt;&gt;"",IFERROR(VLOOKUP(D1336,PROVEEDORES!$A:$C,3,0),""),"")</f>
        <v>S</v>
      </c>
      <c r="G1336" s="75" t="s">
        <v>81</v>
      </c>
      <c r="H1336" s="52" t="str">
        <f aca="false">IF(G1336&lt;&gt;"",IFERROR(VLOOKUP(G1336,PRODUCTOS!$A:$B,2,0),"!COD NO ENCONTRADO"),"")</f>
        <v>BERTORELLA (GFB)</v>
      </c>
      <c r="I1336" s="77" t="n">
        <v>3</v>
      </c>
      <c r="J1336" s="78" t="n">
        <v>77.25</v>
      </c>
      <c r="K1336" s="79" t="n">
        <v>2.8</v>
      </c>
      <c r="L1336" s="80" t="n">
        <f aca="false">IF(AND(J1336&lt;&gt;"",K1336&lt;&gt;""),J1336*K1336,"")</f>
        <v>216.3</v>
      </c>
      <c r="M1336" s="142" t="n">
        <f aca="false">IF(L1336&lt;&gt;"",L1336*1.1,"")</f>
        <v>237.93</v>
      </c>
      <c r="N1336" s="143" t="n">
        <f aca="false">IF(F1336="S",L1336*0.02,0)</f>
        <v>4.326</v>
      </c>
      <c r="O1336" s="144" t="n">
        <f aca="false">IF(L1336&lt;&gt;"",L1336+N1336,"")</f>
        <v>220.626</v>
      </c>
      <c r="P1336" s="143" t="n">
        <f aca="false">IF(O1336&lt;&gt;"",O1336*0.1,"")</f>
        <v>22.0626</v>
      </c>
      <c r="Q1336" s="145" t="n">
        <f aca="false">IF(O1336&lt;&gt;"",O1336+P1336,"")</f>
        <v>242.6886</v>
      </c>
      <c r="R1336" s="84" t="s">
        <v>358</v>
      </c>
    </row>
    <row r="1337" customFormat="false" ht="15" hidden="false" customHeight="true" outlineLevel="0" collapsed="false">
      <c r="A1337" s="103" t="n">
        <v>56228</v>
      </c>
      <c r="B1337" s="73" t="n">
        <v>46244</v>
      </c>
      <c r="C1337" s="74" t="s">
        <v>607</v>
      </c>
      <c r="D1337" s="87" t="n">
        <v>50001</v>
      </c>
      <c r="E1337" s="46" t="str">
        <f aca="false">IF(D1337&lt;&gt;"",IFERROR(VLOOKUP(D1337,PROVEEDORES!$A:$B,2,0),"!COD NO ENCONTRADO"),"")</f>
        <v>COPESA</v>
      </c>
      <c r="F1337" s="88" t="str">
        <f aca="false">IF(D1337&lt;&gt;"",IFERROR(VLOOKUP(D1337,PROVEEDORES!$A:$C,3,0),""),"")</f>
        <v>S</v>
      </c>
      <c r="G1337" s="87" t="s">
        <v>81</v>
      </c>
      <c r="H1337" s="46" t="str">
        <f aca="false">IF(G1337&lt;&gt;"",IFERROR(VLOOKUP(G1337,PRODUCTOS!$A:$B,2,0),"!COD NO ENCONTRADO"),"")</f>
        <v>BERTORELLA (GFB)</v>
      </c>
      <c r="I1337" s="89" t="n">
        <v>3</v>
      </c>
      <c r="J1337" s="105" t="n">
        <v>75.25</v>
      </c>
      <c r="K1337" s="125" t="n">
        <v>3.6</v>
      </c>
      <c r="L1337" s="80" t="n">
        <f aca="false">IF(AND(J1337&lt;&gt;"",K1337&lt;&gt;""),J1337*K1337,"")</f>
        <v>270.9</v>
      </c>
      <c r="M1337" s="142" t="n">
        <f aca="false">IF(L1337&lt;&gt;"",L1337*1.1,"")</f>
        <v>297.99</v>
      </c>
      <c r="N1337" s="147" t="n">
        <f aca="false">IF(F1337="S",L1337*0.02,0)</f>
        <v>5.418</v>
      </c>
      <c r="O1337" s="144" t="n">
        <f aca="false">IF(L1337&lt;&gt;"",L1337+N1337,"")</f>
        <v>276.318</v>
      </c>
      <c r="P1337" s="147" t="n">
        <f aca="false">IF(O1337&lt;&gt;"",O1337*0.1,"")</f>
        <v>27.6318</v>
      </c>
      <c r="Q1337" s="145" t="n">
        <f aca="false">IF(O1337&lt;&gt;"",O1337+P1337,"")</f>
        <v>303.9498</v>
      </c>
      <c r="R1337" s="84" t="s">
        <v>358</v>
      </c>
    </row>
    <row r="1338" customFormat="false" ht="15" hidden="false" customHeight="true" outlineLevel="0" collapsed="false">
      <c r="A1338" s="103" t="n">
        <v>56228</v>
      </c>
      <c r="B1338" s="73" t="n">
        <v>46244</v>
      </c>
      <c r="C1338" s="74" t="s">
        <v>607</v>
      </c>
      <c r="D1338" s="75" t="n">
        <v>50001</v>
      </c>
      <c r="E1338" s="52" t="str">
        <f aca="false">IF(D1338&lt;&gt;"",IFERROR(VLOOKUP(D1338,PROVEEDORES!$A:$B,2,0),"!COD NO ENCONTRADO"),"")</f>
        <v>COPESA</v>
      </c>
      <c r="F1338" s="76" t="str">
        <f aca="false">IF(D1338&lt;&gt;"",IFERROR(VLOOKUP(D1338,PROVEEDORES!$A:$C,3,0),""),"")</f>
        <v>S</v>
      </c>
      <c r="G1338" s="75" t="s">
        <v>81</v>
      </c>
      <c r="H1338" s="52" t="str">
        <f aca="false">IF(G1338&lt;&gt;"",IFERROR(VLOOKUP(G1338,PRODUCTOS!$A:$B,2,0),"!COD NO ENCONTRADO"),"")</f>
        <v>BERTORELLA (GFB)</v>
      </c>
      <c r="I1338" s="77" t="n">
        <v>2</v>
      </c>
      <c r="J1338" s="105" t="n">
        <v>49.5</v>
      </c>
      <c r="K1338" s="125" t="n">
        <v>4.7</v>
      </c>
      <c r="L1338" s="80" t="n">
        <f aca="false">IF(AND(J1338&lt;&gt;"",K1338&lt;&gt;""),J1338*K1338,"")</f>
        <v>232.65</v>
      </c>
      <c r="M1338" s="142" t="n">
        <f aca="false">IF(L1338&lt;&gt;"",L1338*1.1,"")</f>
        <v>255.915</v>
      </c>
      <c r="N1338" s="143" t="n">
        <f aca="false">IF(F1338="S",L1338*0.02,0)</f>
        <v>4.653</v>
      </c>
      <c r="O1338" s="144" t="n">
        <f aca="false">IF(L1338&lt;&gt;"",L1338+N1338,"")</f>
        <v>237.303</v>
      </c>
      <c r="P1338" s="143" t="n">
        <f aca="false">IF(O1338&lt;&gt;"",O1338*0.1,"")</f>
        <v>23.7303</v>
      </c>
      <c r="Q1338" s="145" t="n">
        <f aca="false">IF(O1338&lt;&gt;"",O1338+P1338,"")</f>
        <v>261.0333</v>
      </c>
      <c r="R1338" s="84" t="s">
        <v>358</v>
      </c>
    </row>
    <row r="1339" customFormat="false" ht="15" hidden="false" customHeight="true" outlineLevel="0" collapsed="false">
      <c r="A1339" s="103" t="n">
        <v>56228</v>
      </c>
      <c r="B1339" s="73" t="n">
        <v>46244</v>
      </c>
      <c r="C1339" s="74" t="s">
        <v>607</v>
      </c>
      <c r="D1339" s="75" t="n">
        <v>50001</v>
      </c>
      <c r="E1339" s="52" t="str">
        <f aca="false">IF(D1339&lt;&gt;"",IFERROR(VLOOKUP(D1339,PROVEEDORES!$A:$B,2,0),"!COD NO ENCONTRADO"),"")</f>
        <v>COPESA</v>
      </c>
      <c r="F1339" s="88" t="str">
        <f aca="false">IF(D1339&lt;&gt;"",IFERROR(VLOOKUP(D1339,PROVEEDORES!$A:$C,3,0),""),"")</f>
        <v>S</v>
      </c>
      <c r="G1339" s="87" t="s">
        <v>193</v>
      </c>
      <c r="H1339" s="46" t="str">
        <f aca="false">IF(G1339&lt;&gt;"",IFERROR(VLOOKUP(G1339,PRODUCTOS!$A:$B,2,0),"!COD NO ENCONTRADO"),"")</f>
        <v>MERLUZA EUROPEA ARRASTRE (HKE) </v>
      </c>
      <c r="I1339" s="89" t="n">
        <v>2</v>
      </c>
      <c r="J1339" s="105" t="n">
        <v>50.5</v>
      </c>
      <c r="K1339" s="125" t="n">
        <v>2.1</v>
      </c>
      <c r="L1339" s="80" t="n">
        <f aca="false">IF(AND(J1339&lt;&gt;"",K1339&lt;&gt;""),J1339*K1339,"")</f>
        <v>106.05</v>
      </c>
      <c r="M1339" s="142" t="n">
        <f aca="false">IF(L1339&lt;&gt;"",L1339*1.1,"")</f>
        <v>116.655</v>
      </c>
      <c r="N1339" s="147" t="n">
        <f aca="false">IF(F1339="S",L1339*0.02,0)</f>
        <v>2.121</v>
      </c>
      <c r="O1339" s="144" t="n">
        <f aca="false">IF(L1339&lt;&gt;"",L1339+N1339,"")</f>
        <v>108.171</v>
      </c>
      <c r="P1339" s="147" t="n">
        <f aca="false">IF(O1339&lt;&gt;"",O1339*0.1,"")</f>
        <v>10.8171</v>
      </c>
      <c r="Q1339" s="145" t="n">
        <f aca="false">IF(O1339&lt;&gt;"",O1339+P1339,"")</f>
        <v>118.9881</v>
      </c>
      <c r="R1339" s="84" t="s">
        <v>358</v>
      </c>
    </row>
    <row r="1340" customFormat="false" ht="15" hidden="false" customHeight="true" outlineLevel="0" collapsed="false">
      <c r="A1340" s="103" t="n">
        <v>56228</v>
      </c>
      <c r="B1340" s="73" t="n">
        <v>46244</v>
      </c>
      <c r="C1340" s="74" t="s">
        <v>607</v>
      </c>
      <c r="D1340" s="75" t="n">
        <v>50001</v>
      </c>
      <c r="E1340" s="52" t="str">
        <f aca="false">IF(D1340&lt;&gt;"",IFERROR(VLOOKUP(D1340,PROVEEDORES!$A:$B,2,0),"!COD NO ENCONTRADO"),"")</f>
        <v>COPESA</v>
      </c>
      <c r="F1340" s="76" t="str">
        <f aca="false">IF(D1340&lt;&gt;"",IFERROR(VLOOKUP(D1340,PROVEEDORES!$A:$C,3,0),""),"")</f>
        <v>S</v>
      </c>
      <c r="G1340" s="75" t="s">
        <v>193</v>
      </c>
      <c r="H1340" s="52" t="str">
        <f aca="false">IF(G1340&lt;&gt;"",IFERROR(VLOOKUP(G1340,PRODUCTOS!$A:$B,2,0),"!COD NO ENCONTRADO"),"")</f>
        <v>MERLUZA EUROPEA ARRASTRE (HKE) </v>
      </c>
      <c r="I1340" s="77" t="n">
        <v>3</v>
      </c>
      <c r="J1340" s="105" t="n">
        <v>85.25</v>
      </c>
      <c r="K1340" s="125" t="n">
        <v>3.5</v>
      </c>
      <c r="L1340" s="80" t="n">
        <f aca="false">IF(AND(J1340&lt;&gt;"",K1340&lt;&gt;""),J1340*K1340,"")</f>
        <v>298.375</v>
      </c>
      <c r="M1340" s="142" t="n">
        <f aca="false">IF(L1340&lt;&gt;"",L1340*1.1,"")</f>
        <v>328.2125</v>
      </c>
      <c r="N1340" s="143" t="n">
        <f aca="false">IF(F1340="S",L1340*0.02,0)</f>
        <v>5.9675</v>
      </c>
      <c r="O1340" s="144" t="n">
        <f aca="false">IF(L1340&lt;&gt;"",L1340+N1340,"")</f>
        <v>304.3425</v>
      </c>
      <c r="P1340" s="143" t="n">
        <f aca="false">IF(O1340&lt;&gt;"",O1340*0.1,"")</f>
        <v>30.43425</v>
      </c>
      <c r="Q1340" s="145" t="n">
        <f aca="false">IF(O1340&lt;&gt;"",O1340+P1340,"")</f>
        <v>334.77675</v>
      </c>
      <c r="R1340" s="84" t="s">
        <v>358</v>
      </c>
    </row>
    <row r="1341" customFormat="false" ht="15" hidden="false" customHeight="true" outlineLevel="0" collapsed="false">
      <c r="A1341" s="103" t="n">
        <v>56228</v>
      </c>
      <c r="B1341" s="73" t="n">
        <v>46244</v>
      </c>
      <c r="C1341" s="74" t="s">
        <v>607</v>
      </c>
      <c r="D1341" s="75" t="n">
        <v>50001</v>
      </c>
      <c r="E1341" s="52" t="str">
        <f aca="false">IF(D1341&lt;&gt;"",IFERROR(VLOOKUP(D1341,PROVEEDORES!$A:$B,2,0),"!COD NO ENCONTRADO"),"")</f>
        <v>COPESA</v>
      </c>
      <c r="F1341" s="88" t="str">
        <f aca="false">IF(D1341&lt;&gt;"",IFERROR(VLOOKUP(D1341,PROVEEDORES!$A:$C,3,0),""),"")</f>
        <v>S</v>
      </c>
      <c r="G1341" s="87" t="s">
        <v>193</v>
      </c>
      <c r="H1341" s="46" t="str">
        <f aca="false">IF(G1341&lt;&gt;"",IFERROR(VLOOKUP(G1341,PRODUCTOS!$A:$B,2,0),"!COD NO ENCONTRADO"),"")</f>
        <v>MERLUZA EUROPEA ARRASTRE (HKE) </v>
      </c>
      <c r="I1341" s="89" t="n">
        <v>1</v>
      </c>
      <c r="J1341" s="105" t="n">
        <v>19.5</v>
      </c>
      <c r="K1341" s="125" t="n">
        <v>7.9</v>
      </c>
      <c r="L1341" s="80" t="n">
        <f aca="false">IF(AND(J1341&lt;&gt;"",K1341&lt;&gt;""),J1341*K1341,"")</f>
        <v>154.05</v>
      </c>
      <c r="M1341" s="142" t="n">
        <f aca="false">IF(L1341&lt;&gt;"",L1341*1.1,"")</f>
        <v>169.455</v>
      </c>
      <c r="N1341" s="147" t="n">
        <f aca="false">IF(F1341="S",L1341*0.02,0)</f>
        <v>3.081</v>
      </c>
      <c r="O1341" s="144" t="n">
        <f aca="false">IF(L1341&lt;&gt;"",L1341+N1341,"")</f>
        <v>157.131</v>
      </c>
      <c r="P1341" s="147" t="n">
        <f aca="false">IF(O1341&lt;&gt;"",O1341*0.1,"")</f>
        <v>15.7131</v>
      </c>
      <c r="Q1341" s="145" t="n">
        <f aca="false">IF(O1341&lt;&gt;"",O1341+P1341,"")</f>
        <v>172.8441</v>
      </c>
      <c r="R1341" s="84" t="s">
        <v>358</v>
      </c>
    </row>
    <row r="1342" customFormat="false" ht="15" hidden="false" customHeight="true" outlineLevel="0" collapsed="false">
      <c r="A1342" s="103" t="n">
        <v>56229</v>
      </c>
      <c r="B1342" s="73" t="n">
        <v>46244</v>
      </c>
      <c r="C1342" s="74" t="s">
        <v>608</v>
      </c>
      <c r="D1342" s="75" t="n">
        <v>50163</v>
      </c>
      <c r="E1342" s="52" t="str">
        <f aca="false">IF(D1342&lt;&gt;"",IFERROR(VLOOKUP(D1342,PROVEEDORES!$A:$B,2,0),"!COD NO ENCONTRADO"),"")</f>
        <v>SUBASTAS RIVERA S.L.</v>
      </c>
      <c r="F1342" s="76" t="str">
        <f aca="false">IF(D1342&lt;&gt;"",IFERROR(VLOOKUP(D1342,PROVEEDORES!$A:$C,3,0),""),"")</f>
        <v>S</v>
      </c>
      <c r="G1342" s="75" t="s">
        <v>89</v>
      </c>
      <c r="H1342" s="52" t="str">
        <f aca="false">IF(G1342&lt;&gt;"",IFERROR(VLOOKUP(G1342,PRODUCTOS!$A:$B,2,0),"!COD NO ENCONTRADO"),"")</f>
        <v>BONITO DEL NORTE 5/7</v>
      </c>
      <c r="I1342" s="77" t="n">
        <v>3</v>
      </c>
      <c r="J1342" s="78" t="n">
        <v>145.75</v>
      </c>
      <c r="K1342" s="79" t="n">
        <v>5.2</v>
      </c>
      <c r="L1342" s="80" t="n">
        <f aca="false">IF(AND(J1342&lt;&gt;"",K1342&lt;&gt;""),J1342*K1342,"")</f>
        <v>757.9</v>
      </c>
      <c r="M1342" s="142" t="n">
        <f aca="false">IF(L1342&lt;&gt;"",L1342*1.1,"")</f>
        <v>833.69</v>
      </c>
      <c r="N1342" s="143" t="n">
        <f aca="false">IF(F1342="S",L1342*0.02,0)</f>
        <v>15.158</v>
      </c>
      <c r="O1342" s="144" t="n">
        <f aca="false">IF(L1342&lt;&gt;"",L1342+N1342,"")</f>
        <v>773.058</v>
      </c>
      <c r="P1342" s="143" t="n">
        <f aca="false">IF(O1342&lt;&gt;"",O1342*0.1,"")</f>
        <v>77.3058</v>
      </c>
      <c r="Q1342" s="145" t="n">
        <f aca="false">IF(O1342&lt;&gt;"",O1342+P1342,"")</f>
        <v>850.3638</v>
      </c>
      <c r="R1342" s="84" t="s">
        <v>358</v>
      </c>
    </row>
    <row r="1343" customFormat="false" ht="15" hidden="false" customHeight="true" outlineLevel="0" collapsed="false">
      <c r="A1343" s="103" t="n">
        <v>56229</v>
      </c>
      <c r="B1343" s="73" t="n">
        <v>46244</v>
      </c>
      <c r="C1343" s="86" t="s">
        <v>608</v>
      </c>
      <c r="D1343" s="87" t="n">
        <v>50163</v>
      </c>
      <c r="E1343" s="46" t="str">
        <f aca="false">IF(D1343&lt;&gt;"",IFERROR(VLOOKUP(D1343,PROVEEDORES!$A:$B,2,0),"!COD NO ENCONTRADO"),"")</f>
        <v>SUBASTAS RIVERA S.L.</v>
      </c>
      <c r="F1343" s="88" t="str">
        <f aca="false">IF(D1343&lt;&gt;"",IFERROR(VLOOKUP(D1343,PROVEEDORES!$A:$C,3,0),""),"")</f>
        <v>S</v>
      </c>
      <c r="G1343" s="87" t="s">
        <v>91</v>
      </c>
      <c r="H1343" s="46" t="str">
        <f aca="false">IF(G1343&lt;&gt;"",IFERROR(VLOOKUP(G1343,PRODUCTOS!$A:$B,2,0),"!COD NO ENCONTRADO"),"")</f>
        <v>BONITO DEL NORTE 5/7</v>
      </c>
      <c r="I1343" s="89" t="n">
        <v>1</v>
      </c>
      <c r="J1343" s="90" t="n">
        <v>36.25</v>
      </c>
      <c r="K1343" s="91" t="n">
        <v>5.35</v>
      </c>
      <c r="L1343" s="80" t="n">
        <f aca="false">IF(AND(J1343&lt;&gt;"",K1343&lt;&gt;""),J1343*K1343,"")</f>
        <v>193.9375</v>
      </c>
      <c r="M1343" s="142" t="n">
        <f aca="false">IF(L1343&lt;&gt;"",L1343*1.1,"")</f>
        <v>213.33125</v>
      </c>
      <c r="N1343" s="147" t="n">
        <f aca="false">IF(F1343="S",L1343*0.02,0)</f>
        <v>3.87875</v>
      </c>
      <c r="O1343" s="144" t="n">
        <f aca="false">IF(L1343&lt;&gt;"",L1343+N1343,"")</f>
        <v>197.81625</v>
      </c>
      <c r="P1343" s="147" t="n">
        <f aca="false">IF(O1343&lt;&gt;"",O1343*0.1,"")</f>
        <v>19.781625</v>
      </c>
      <c r="Q1343" s="145" t="n">
        <f aca="false">IF(O1343&lt;&gt;"",O1343+P1343,"")</f>
        <v>217.597875</v>
      </c>
      <c r="R1343" s="84" t="s">
        <v>358</v>
      </c>
    </row>
    <row r="1344" customFormat="false" ht="15" hidden="false" customHeight="true" outlineLevel="0" collapsed="false">
      <c r="A1344" s="103" t="n">
        <v>56230</v>
      </c>
      <c r="B1344" s="73" t="n">
        <v>46244</v>
      </c>
      <c r="C1344" s="74" t="s">
        <v>609</v>
      </c>
      <c r="D1344" s="75" t="n">
        <v>50048</v>
      </c>
      <c r="E1344" s="52" t="str">
        <f aca="false">IF(D1344&lt;&gt;"",IFERROR(VLOOKUP(D1344,PROVEEDORES!$A:$B,2,0),"!COD NO ENCONTRADO"),"")</f>
        <v>JOSE LUIS CORREA KESSLER S.L.</v>
      </c>
      <c r="F1344" s="76" t="str">
        <f aca="false">IF(D1344&lt;&gt;"",IFERROR(VLOOKUP(D1344,PROVEEDORES!$A:$C,3,0),""),"")</f>
        <v>N</v>
      </c>
      <c r="G1344" s="75" t="s">
        <v>179</v>
      </c>
      <c r="H1344" s="52" t="str">
        <f aca="false">IF(G1344&lt;&gt;"",IFERROR(VLOOKUP(G1344,PRODUCTOS!$A:$B,2,0),"!COD NO ENCONTRADO"),"")</f>
        <v>LIRIO/ BACALADILLA/ PERLA (WHB)</v>
      </c>
      <c r="I1344" s="77" t="n">
        <v>12</v>
      </c>
      <c r="J1344" s="78" t="n">
        <v>72</v>
      </c>
      <c r="K1344" s="125" t="n">
        <v>2.3</v>
      </c>
      <c r="L1344" s="80" t="n">
        <f aca="false">IF(AND(J1344&lt;&gt;"",K1344&lt;&gt;""),J1344*K1344,"")</f>
        <v>165.6</v>
      </c>
      <c r="M1344" s="142" t="n">
        <f aca="false">IF(L1344&lt;&gt;"",L1344*1.1,"")</f>
        <v>182.16</v>
      </c>
      <c r="N1344" s="143" t="n">
        <f aca="false">IF(F1344="S",L1344*0.02,0)</f>
        <v>0</v>
      </c>
      <c r="O1344" s="144" t="n">
        <f aca="false">IF(L1344&lt;&gt;"",L1344+N1344,"")</f>
        <v>165.6</v>
      </c>
      <c r="P1344" s="143" t="n">
        <f aca="false">IF(O1344&lt;&gt;"",O1344*0.1,"")</f>
        <v>16.56</v>
      </c>
      <c r="Q1344" s="145" t="n">
        <f aca="false">IF(O1344&lt;&gt;"",O1344+P1344,"")</f>
        <v>182.16</v>
      </c>
      <c r="R1344" s="84" t="s">
        <v>365</v>
      </c>
    </row>
    <row r="1345" customFormat="false" ht="15" hidden="false" customHeight="true" outlineLevel="0" collapsed="false">
      <c r="A1345" s="103" t="n">
        <v>56230</v>
      </c>
      <c r="B1345" s="73" t="n">
        <v>46244</v>
      </c>
      <c r="C1345" s="74" t="s">
        <v>610</v>
      </c>
      <c r="D1345" s="75" t="n">
        <v>50048</v>
      </c>
      <c r="E1345" s="52" t="str">
        <f aca="false">IF(D1345&lt;&gt;"",IFERROR(VLOOKUP(D1345,PROVEEDORES!$A:$B,2,0),"!COD NO ENCONTRADO"),"")</f>
        <v>JOSE LUIS CORREA KESSLER S.L.</v>
      </c>
      <c r="F1345" s="76" t="str">
        <f aca="false">IF(D1345&lt;&gt;"",IFERROR(VLOOKUP(D1345,PROVEEDORES!$A:$C,3,0),""),"")</f>
        <v>N</v>
      </c>
      <c r="G1345" s="75" t="s">
        <v>179</v>
      </c>
      <c r="H1345" s="52" t="str">
        <f aca="false">IF(G1345&lt;&gt;"",IFERROR(VLOOKUP(G1345,PRODUCTOS!$A:$B,2,0),"!COD NO ENCONTRADO"),"")</f>
        <v>LIRIO/ BACALADILLA/ PERLA (WHB)</v>
      </c>
      <c r="I1345" s="77" t="n">
        <v>5</v>
      </c>
      <c r="J1345" s="78" t="n">
        <v>30</v>
      </c>
      <c r="K1345" s="125" t="n">
        <v>2.3</v>
      </c>
      <c r="L1345" s="80" t="n">
        <f aca="false">IF(AND(J1345&lt;&gt;"",K1345&lt;&gt;""),J1345*K1345,"")</f>
        <v>69</v>
      </c>
      <c r="M1345" s="142" t="n">
        <f aca="false">IF(L1345&lt;&gt;"",L1345*1.1,"")</f>
        <v>75.9</v>
      </c>
      <c r="N1345" s="143" t="n">
        <f aca="false">IF(F1345="S",L1345*0.02,0)</f>
        <v>0</v>
      </c>
      <c r="O1345" s="144" t="n">
        <f aca="false">IF(L1345&lt;&gt;"",L1345+N1345,"")</f>
        <v>69</v>
      </c>
      <c r="P1345" s="143" t="n">
        <f aca="false">IF(O1345&lt;&gt;"",O1345*0.1,"")</f>
        <v>6.9</v>
      </c>
      <c r="Q1345" s="145" t="n">
        <f aca="false">IF(O1345&lt;&gt;"",O1345+P1345,"")</f>
        <v>75.9</v>
      </c>
      <c r="R1345" s="84" t="s">
        <v>365</v>
      </c>
    </row>
    <row r="1346" customFormat="false" ht="15" hidden="false" customHeight="true" outlineLevel="0" collapsed="false">
      <c r="A1346" s="103" t="n">
        <v>56231</v>
      </c>
      <c r="B1346" s="85" t="n">
        <v>46244</v>
      </c>
      <c r="C1346" s="86" t="s">
        <v>611</v>
      </c>
      <c r="D1346" s="87" t="n">
        <v>50525</v>
      </c>
      <c r="E1346" s="46" t="str">
        <f aca="false">IF(D1346&lt;&gt;"",IFERROR(VLOOKUP(D1346,PROVEEDORES!$A:$B,2,0),"!COD NO ENCONTRADO"),"")</f>
        <v>FURIC MAREE</v>
      </c>
      <c r="F1346" s="88" t="str">
        <f aca="false">IF(D1346&lt;&gt;"",IFERROR(VLOOKUP(D1346,PROVEEDORES!$A:$C,3,0),""),"")</f>
        <v>N</v>
      </c>
      <c r="G1346" s="87" t="s">
        <v>318</v>
      </c>
      <c r="H1346" s="46" t="str">
        <f aca="false">IF(G1346&lt;&gt;"",IFERROR(VLOOKUP(G1346,PRODUCTOS!$A:$B,2,0),"!COD NO ENCONTRADO"),"")</f>
        <v>SAN MARTIÑOS/ SAN PEDROS (JOD)</v>
      </c>
      <c r="I1346" s="89" t="n">
        <v>3</v>
      </c>
      <c r="J1346" s="90" t="n">
        <v>18.5</v>
      </c>
      <c r="K1346" s="91" t="n">
        <v>18.9</v>
      </c>
      <c r="L1346" s="80" t="n">
        <f aca="false">IF(AND(J1346&lt;&gt;"",K1346&lt;&gt;""),J1346*K1346,"")</f>
        <v>349.65</v>
      </c>
      <c r="M1346" s="142" t="n">
        <f aca="false">IF(L1346&lt;&gt;"",L1346*1.1,"")</f>
        <v>384.615</v>
      </c>
      <c r="N1346" s="147" t="n">
        <f aca="false">IF(F1346="S",L1346*0.02,0)</f>
        <v>0</v>
      </c>
      <c r="O1346" s="144" t="n">
        <f aca="false">IF(L1346&lt;&gt;"",L1346+N1346,"")</f>
        <v>349.65</v>
      </c>
      <c r="P1346" s="147" t="n">
        <f aca="false">IF(O1346&lt;&gt;"",O1346*0.1,"")</f>
        <v>34.965</v>
      </c>
      <c r="Q1346" s="145" t="n">
        <f aca="false">IF(O1346&lt;&gt;"",O1346+P1346,"")</f>
        <v>384.615</v>
      </c>
      <c r="R1346" s="84" t="s">
        <v>365</v>
      </c>
    </row>
    <row r="1347" customFormat="false" ht="15" hidden="false" customHeight="true" outlineLevel="0" collapsed="false">
      <c r="A1347" s="103" t="n">
        <v>56231</v>
      </c>
      <c r="B1347" s="73" t="n">
        <v>46244</v>
      </c>
      <c r="C1347" s="74" t="s">
        <v>611</v>
      </c>
      <c r="D1347" s="75" t="n">
        <v>50525</v>
      </c>
      <c r="E1347" s="52" t="str">
        <f aca="false">IF(D1347&lt;&gt;"",IFERROR(VLOOKUP(D1347,PROVEEDORES!$A:$B,2,0),"!COD NO ENCONTRADO"),"")</f>
        <v>FURIC MAREE</v>
      </c>
      <c r="F1347" s="76" t="str">
        <f aca="false">IF(D1347&lt;&gt;"",IFERROR(VLOOKUP(D1347,PROVEEDORES!$A:$C,3,0),""),"")</f>
        <v>N</v>
      </c>
      <c r="G1347" s="75" t="s">
        <v>318</v>
      </c>
      <c r="H1347" s="52" t="str">
        <f aca="false">IF(G1347&lt;&gt;"",IFERROR(VLOOKUP(G1347,PRODUCTOS!$A:$B,2,0),"!COD NO ENCONTRADO"),"")</f>
        <v>SAN MARTIÑOS/ SAN PEDROS (JOD)</v>
      </c>
      <c r="I1347" s="77" t="n">
        <v>5</v>
      </c>
      <c r="J1347" s="78" t="n">
        <v>31</v>
      </c>
      <c r="K1347" s="79" t="n">
        <v>23.8</v>
      </c>
      <c r="L1347" s="80" t="n">
        <f aca="false">IF(AND(J1347&lt;&gt;"",K1347&lt;&gt;""),J1347*K1347,"")</f>
        <v>737.8</v>
      </c>
      <c r="M1347" s="142" t="n">
        <f aca="false">IF(L1347&lt;&gt;"",L1347*1.1,"")</f>
        <v>811.58</v>
      </c>
      <c r="N1347" s="143" t="n">
        <f aca="false">IF(F1347="S",L1347*0.02,0)</f>
        <v>0</v>
      </c>
      <c r="O1347" s="144" t="n">
        <f aca="false">IF(L1347&lt;&gt;"",L1347+N1347,"")</f>
        <v>737.8</v>
      </c>
      <c r="P1347" s="143" t="n">
        <f aca="false">IF(O1347&lt;&gt;"",O1347*0.1,"")</f>
        <v>73.78</v>
      </c>
      <c r="Q1347" s="145" t="n">
        <f aca="false">IF(O1347&lt;&gt;"",O1347+P1347,"")</f>
        <v>811.58</v>
      </c>
      <c r="R1347" s="84" t="s">
        <v>365</v>
      </c>
    </row>
    <row r="1348" customFormat="false" ht="15" hidden="false" customHeight="true" outlineLevel="0" collapsed="false">
      <c r="A1348" s="103" t="n">
        <v>56232</v>
      </c>
      <c r="B1348" s="85" t="n">
        <v>46244</v>
      </c>
      <c r="C1348" s="86" t="s">
        <v>612</v>
      </c>
      <c r="D1348" s="87" t="n">
        <v>50035</v>
      </c>
      <c r="E1348" s="46" t="str">
        <f aca="false">IF(D1348&lt;&gt;"",IFERROR(VLOOKUP(D1348,PROVEEDORES!$A:$B,2,0),"!COD NO ENCONTRADO"),"")</f>
        <v>SCANFISK SEAFFOD S,L</v>
      </c>
      <c r="F1348" s="88" t="str">
        <f aca="false">IF(D1348&lt;&gt;"",IFERROR(VLOOKUP(D1348,PROVEEDORES!$A:$C,3,0),""),"")</f>
        <v>N</v>
      </c>
      <c r="G1348" s="87" t="s">
        <v>246</v>
      </c>
      <c r="H1348" s="46" t="str">
        <f aca="false">IF(G1348&lt;&gt;"",IFERROR(VLOOKUP(G1348,PRODUCTOS!$A:$B,2,0),"!COD NO ENCONTRADO"),"")</f>
        <v>MERLUZA EUROPEA VOLANTA ALTURA</v>
      </c>
      <c r="I1348" s="89" t="n">
        <v>4</v>
      </c>
      <c r="J1348" s="90" t="n">
        <v>43</v>
      </c>
      <c r="K1348" s="125" t="n">
        <v>7.8</v>
      </c>
      <c r="L1348" s="80" t="n">
        <f aca="false">IF(AND(J1348&lt;&gt;"",K1348&lt;&gt;""),J1348*K1348,"")</f>
        <v>335.4</v>
      </c>
      <c r="M1348" s="142" t="n">
        <f aca="false">IF(L1348&lt;&gt;"",L1348*1.1,"")</f>
        <v>368.94</v>
      </c>
      <c r="N1348" s="147" t="n">
        <f aca="false">IF(F1348="S",L1348*0.02,0)</f>
        <v>0</v>
      </c>
      <c r="O1348" s="144" t="n">
        <f aca="false">IF(L1348&lt;&gt;"",L1348+N1348,"")</f>
        <v>335.4</v>
      </c>
      <c r="P1348" s="147" t="n">
        <f aca="false">IF(O1348&lt;&gt;"",O1348*0.1,"")</f>
        <v>33.54</v>
      </c>
      <c r="Q1348" s="145" t="n">
        <f aca="false">IF(O1348&lt;&gt;"",O1348+P1348,"")</f>
        <v>368.94</v>
      </c>
      <c r="R1348" s="84" t="s">
        <v>365</v>
      </c>
    </row>
    <row r="1349" customFormat="false" ht="15" hidden="false" customHeight="true" outlineLevel="0" collapsed="false">
      <c r="A1349" s="103" t="n">
        <v>56232</v>
      </c>
      <c r="B1349" s="85" t="n">
        <v>46244</v>
      </c>
      <c r="C1349" s="86" t="s">
        <v>613</v>
      </c>
      <c r="D1349" s="87" t="n">
        <v>50035</v>
      </c>
      <c r="E1349" s="46" t="str">
        <f aca="false">IF(D1349&lt;&gt;"",IFERROR(VLOOKUP(D1349,PROVEEDORES!$A:$B,2,0),"!COD NO ENCONTRADO"),"")</f>
        <v>SCANFISK SEAFFOD S,L</v>
      </c>
      <c r="F1349" s="88" t="str">
        <f aca="false">IF(D1349&lt;&gt;"",IFERROR(VLOOKUP(D1349,PROVEEDORES!$A:$C,3,0),""),"")</f>
        <v>N</v>
      </c>
      <c r="G1349" s="87" t="s">
        <v>246</v>
      </c>
      <c r="H1349" s="46" t="str">
        <f aca="false">IF(G1349&lt;&gt;"",IFERROR(VLOOKUP(G1349,PRODUCTOS!$A:$B,2,0),"!COD NO ENCONTRADO"),"")</f>
        <v>MERLUZA EUROPEA VOLANTA ALTURA</v>
      </c>
      <c r="I1349" s="89" t="n">
        <v>2</v>
      </c>
      <c r="J1349" s="90" t="n">
        <v>30.7</v>
      </c>
      <c r="K1349" s="91" t="n">
        <v>7.8</v>
      </c>
      <c r="L1349" s="80" t="n">
        <f aca="false">IF(AND(J1349&lt;&gt;"",K1349&lt;&gt;""),J1349*K1349,"")</f>
        <v>239.46</v>
      </c>
      <c r="M1349" s="142" t="n">
        <f aca="false">IF(L1349&lt;&gt;"",L1349*1.1,"")</f>
        <v>263.406</v>
      </c>
      <c r="N1349" s="147" t="n">
        <f aca="false">IF(F1349="S",L1349*0.02,0)</f>
        <v>0</v>
      </c>
      <c r="O1349" s="144" t="n">
        <f aca="false">IF(L1349&lt;&gt;"",L1349+N1349,"")</f>
        <v>239.46</v>
      </c>
      <c r="P1349" s="147" t="n">
        <f aca="false">IF(O1349&lt;&gt;"",O1349*0.1,"")</f>
        <v>23.946</v>
      </c>
      <c r="Q1349" s="145" t="n">
        <f aca="false">IF(O1349&lt;&gt;"",O1349+P1349,"")</f>
        <v>263.406</v>
      </c>
      <c r="R1349" s="84" t="s">
        <v>365</v>
      </c>
    </row>
    <row r="1350" customFormat="false" ht="15" hidden="false" customHeight="true" outlineLevel="0" collapsed="false">
      <c r="A1350" s="103" t="n">
        <v>56232</v>
      </c>
      <c r="B1350" s="85" t="n">
        <v>46244</v>
      </c>
      <c r="C1350" s="74" t="s">
        <v>614</v>
      </c>
      <c r="D1350" s="75" t="n">
        <v>50035</v>
      </c>
      <c r="E1350" s="52" t="str">
        <f aca="false">IF(D1350&lt;&gt;"",IFERROR(VLOOKUP(D1350,PROVEEDORES!$A:$B,2,0),"!COD NO ENCONTRADO"),"")</f>
        <v>SCANFISK SEAFFOD S,L</v>
      </c>
      <c r="F1350" s="76" t="str">
        <f aca="false">IF(D1350&lt;&gt;"",IFERROR(VLOOKUP(D1350,PROVEEDORES!$A:$C,3,0),""),"")</f>
        <v>N</v>
      </c>
      <c r="G1350" s="75" t="s">
        <v>367</v>
      </c>
      <c r="H1350" s="52" t="str">
        <f aca="false">IF(G1350&lt;&gt;"",IFERROR(VLOOKUP(G1350,PRODUCTOS!$A:$B,2,0),"!COD NO ENCONTRADO"),"")</f>
        <v>MERLUZA BAKA DIA</v>
      </c>
      <c r="I1350" s="77" t="n">
        <v>14</v>
      </c>
      <c r="J1350" s="78" t="n">
        <v>86.8</v>
      </c>
      <c r="K1350" s="79" t="n">
        <v>3.7</v>
      </c>
      <c r="L1350" s="80" t="n">
        <f aca="false">IF(AND(J1350&lt;&gt;"",K1350&lt;&gt;""),J1350*K1350,"")</f>
        <v>321.16</v>
      </c>
      <c r="M1350" s="142" t="n">
        <f aca="false">IF(L1350&lt;&gt;"",L1350*1.1,"")</f>
        <v>353.276</v>
      </c>
      <c r="N1350" s="143" t="n">
        <f aca="false">IF(F1350="S",L1350*0.02,0)</f>
        <v>0</v>
      </c>
      <c r="O1350" s="144" t="n">
        <f aca="false">IF(L1350&lt;&gt;"",L1350+N1350,"")</f>
        <v>321.16</v>
      </c>
      <c r="P1350" s="143" t="n">
        <f aca="false">IF(O1350&lt;&gt;"",O1350*0.1,"")</f>
        <v>32.116</v>
      </c>
      <c r="Q1350" s="145" t="n">
        <f aca="false">IF(O1350&lt;&gt;"",O1350+P1350,"")</f>
        <v>353.276</v>
      </c>
      <c r="R1350" s="84" t="s">
        <v>365</v>
      </c>
    </row>
    <row r="1351" customFormat="false" ht="15" hidden="false" customHeight="true" outlineLevel="0" collapsed="false">
      <c r="A1351" s="103" t="n">
        <v>56232</v>
      </c>
      <c r="B1351" s="73" t="n">
        <v>46244</v>
      </c>
      <c r="C1351" s="74" t="s">
        <v>614</v>
      </c>
      <c r="D1351" s="75" t="n">
        <v>50035</v>
      </c>
      <c r="E1351" s="52" t="str">
        <f aca="false">IF(D1351&lt;&gt;"",IFERROR(VLOOKUP(D1351,PROVEEDORES!$A:$B,2,0),"!COD NO ENCONTRADO"),"")</f>
        <v>SCANFISK SEAFFOD S,L</v>
      </c>
      <c r="F1351" s="76" t="str">
        <f aca="false">IF(D1351&lt;&gt;"",IFERROR(VLOOKUP(D1351,PROVEEDORES!$A:$C,3,0),""),"")</f>
        <v>N</v>
      </c>
      <c r="G1351" s="75" t="s">
        <v>246</v>
      </c>
      <c r="H1351" s="52" t="str">
        <f aca="false">IF(G1351&lt;&gt;"",IFERROR(VLOOKUP(G1351,PRODUCTOS!$A:$B,2,0),"!COD NO ENCONTRADO"),"")</f>
        <v>MERLUZA EUROPEA VOLANTA ALTURA</v>
      </c>
      <c r="I1351" s="77" t="n">
        <v>1</v>
      </c>
      <c r="J1351" s="78" t="n">
        <v>14.5</v>
      </c>
      <c r="K1351" s="79" t="n">
        <v>8.8</v>
      </c>
      <c r="L1351" s="80" t="n">
        <f aca="false">IF(AND(J1351&lt;&gt;"",K1351&lt;&gt;""),J1351*K1351,"")</f>
        <v>127.6</v>
      </c>
      <c r="M1351" s="142" t="n">
        <f aca="false">IF(L1351&lt;&gt;"",L1351*1.1,"")</f>
        <v>140.36</v>
      </c>
      <c r="N1351" s="143" t="n">
        <f aca="false">IF(F1351="S",L1351*0.02,0)</f>
        <v>0</v>
      </c>
      <c r="O1351" s="144" t="n">
        <f aca="false">IF(L1351&lt;&gt;"",L1351+N1351,"")</f>
        <v>127.6</v>
      </c>
      <c r="P1351" s="143" t="n">
        <f aca="false">IF(O1351&lt;&gt;"",O1351*0.1,"")</f>
        <v>12.76</v>
      </c>
      <c r="Q1351" s="145" t="n">
        <f aca="false">IF(O1351&lt;&gt;"",O1351+P1351,"")</f>
        <v>140.36</v>
      </c>
      <c r="R1351" s="84" t="s">
        <v>365</v>
      </c>
    </row>
    <row r="1352" customFormat="false" ht="15" hidden="false" customHeight="true" outlineLevel="0" collapsed="false">
      <c r="A1352" s="103" t="n">
        <v>56233</v>
      </c>
      <c r="B1352" s="85" t="n">
        <v>46244</v>
      </c>
      <c r="C1352" s="86" t="s">
        <v>615</v>
      </c>
      <c r="D1352" s="87" t="n">
        <v>50164</v>
      </c>
      <c r="E1352" s="46" t="str">
        <f aca="false">IF(D1352&lt;&gt;"",IFERROR(VLOOKUP(D1352,PROVEEDORES!$A:$B,2,0),"!COD NO ENCONTRADO"),"")</f>
        <v>ABRGO NORTE S.L.</v>
      </c>
      <c r="F1352" s="88" t="str">
        <f aca="false">IF(D1352&lt;&gt;"",IFERROR(VLOOKUP(D1352,PROVEEDORES!$A:$C,3,0),""),"")</f>
        <v>N</v>
      </c>
      <c r="G1352" s="87" t="s">
        <v>302</v>
      </c>
      <c r="H1352" s="46" t="str">
        <f aca="false">IF(G1352&lt;&gt;"",IFERROR(VLOOKUP(G1352,PRODUCTOS!$A:$B,2,0),"!COD NO ENCONTRADO"),"")</f>
        <v>RAYA COMUN (ALAS)</v>
      </c>
      <c r="I1352" s="89" t="n">
        <v>1</v>
      </c>
      <c r="J1352" s="90" t="n">
        <v>5</v>
      </c>
      <c r="K1352" s="91" t="n">
        <v>8</v>
      </c>
      <c r="L1352" s="80" t="n">
        <f aca="false">IF(AND(J1352&lt;&gt;"",K1352&lt;&gt;""),J1352*K1352,"")</f>
        <v>40</v>
      </c>
      <c r="M1352" s="142" t="n">
        <f aca="false">IF(L1352&lt;&gt;"",L1352*1.1,"")</f>
        <v>44</v>
      </c>
      <c r="N1352" s="147" t="n">
        <f aca="false">IF(F1352="S",L1352*0.02,0)</f>
        <v>0</v>
      </c>
      <c r="O1352" s="144" t="n">
        <f aca="false">IF(L1352&lt;&gt;"",L1352+N1352,"")</f>
        <v>40</v>
      </c>
      <c r="P1352" s="147" t="n">
        <f aca="false">IF(O1352&lt;&gt;"",O1352*0.1,"")</f>
        <v>4</v>
      </c>
      <c r="Q1352" s="145" t="n">
        <f aca="false">IF(O1352&lt;&gt;"",O1352+P1352,"")</f>
        <v>44</v>
      </c>
      <c r="R1352" s="84" t="s">
        <v>365</v>
      </c>
    </row>
    <row r="1353" customFormat="false" ht="15" hidden="false" customHeight="true" outlineLevel="0" collapsed="false">
      <c r="A1353" s="103" t="n">
        <v>56234</v>
      </c>
      <c r="B1353" s="85" t="n">
        <v>46245</v>
      </c>
      <c r="C1353" s="86" t="s">
        <v>616</v>
      </c>
      <c r="D1353" s="87" t="n">
        <v>50232</v>
      </c>
      <c r="E1353" s="46" t="str">
        <f aca="false">IF(D1353&lt;&gt;"",IFERROR(VLOOKUP(D1353,PROVEEDORES!$A:$B,2,0),"!COD NO ENCONTRADO"),"")</f>
        <v>XESTION NOVA LONXA RIVEIRA S.L.</v>
      </c>
      <c r="F1353" s="88" t="str">
        <f aca="false">IF(D1353&lt;&gt;"",IFERROR(VLOOKUP(D1353,PROVEEDORES!$A:$C,3,0),""),"")</f>
        <v>S</v>
      </c>
      <c r="G1353" s="87" t="s">
        <v>276</v>
      </c>
      <c r="H1353" s="46" t="str">
        <f aca="false">IF(G1353&lt;&gt;"",IFERROR(VLOOKUP(G1353,PRODUCTOS!$A:$B,2,0),"!COD NO ENCONTRADO"),"")</f>
        <v>MERLUZA EUROPEA/ FINA DIA </v>
      </c>
      <c r="I1353" s="89" t="n">
        <v>9</v>
      </c>
      <c r="J1353" s="90" t="n">
        <v>83.9</v>
      </c>
      <c r="K1353" s="91" t="n">
        <v>3.7</v>
      </c>
      <c r="L1353" s="80" t="n">
        <f aca="false">IF(AND(J1353&lt;&gt;"",K1353&lt;&gt;""),J1353*K1353,"")</f>
        <v>310.43</v>
      </c>
      <c r="M1353" s="142" t="n">
        <f aca="false">IF(L1353&lt;&gt;"",L1353*1.1,"")</f>
        <v>341.473</v>
      </c>
      <c r="N1353" s="147" t="n">
        <f aca="false">IF(F1353="S",L1353*0.02,0)</f>
        <v>6.2086</v>
      </c>
      <c r="O1353" s="144" t="n">
        <f aca="false">IF(L1353&lt;&gt;"",L1353+N1353,"")</f>
        <v>316.6386</v>
      </c>
      <c r="P1353" s="147" t="n">
        <f aca="false">IF(O1353&lt;&gt;"",O1353*0.1,"")</f>
        <v>31.66386</v>
      </c>
      <c r="Q1353" s="145" t="n">
        <f aca="false">IF(O1353&lt;&gt;"",O1353+P1353,"")</f>
        <v>348.30246</v>
      </c>
      <c r="R1353" s="146" t="s">
        <v>358</v>
      </c>
    </row>
    <row r="1354" customFormat="false" ht="15" hidden="false" customHeight="true" outlineLevel="0" collapsed="false">
      <c r="A1354" s="103" t="n">
        <v>56234</v>
      </c>
      <c r="B1354" s="85" t="n">
        <v>46245</v>
      </c>
      <c r="C1354" s="86" t="s">
        <v>616</v>
      </c>
      <c r="D1354" s="75" t="n">
        <v>50232</v>
      </c>
      <c r="E1354" s="52" t="str">
        <f aca="false">IF(D1354&lt;&gt;"",IFERROR(VLOOKUP(D1354,PROVEEDORES!$A:$B,2,0),"!COD NO ENCONTRADO"),"")</f>
        <v>XESTION NOVA LONXA RIVEIRA S.L.</v>
      </c>
      <c r="F1354" s="76" t="str">
        <f aca="false">IF(D1354&lt;&gt;"",IFERROR(VLOOKUP(D1354,PROVEEDORES!$A:$C,3,0),""),"")</f>
        <v>S</v>
      </c>
      <c r="G1354" s="75" t="s">
        <v>310</v>
      </c>
      <c r="H1354" s="52" t="str">
        <f aca="false">IF(G1354&lt;&gt;"",IFERROR(VLOOKUP(G1354,PRODUCTOS!$A:$B,2,0),"!COD NO ENCONTRADO"),"")</f>
        <v>SABOGA/ SALEMA/ SALMA (SLM)</v>
      </c>
      <c r="I1354" s="77" t="n">
        <v>3</v>
      </c>
      <c r="J1354" s="78" t="n">
        <v>25.2</v>
      </c>
      <c r="K1354" s="79" t="n">
        <v>0.8</v>
      </c>
      <c r="L1354" s="80" t="n">
        <f aca="false">IF(AND(J1354&lt;&gt;"",K1354&lt;&gt;""),J1354*K1354,"")</f>
        <v>20.16</v>
      </c>
      <c r="M1354" s="142" t="n">
        <f aca="false">IF(L1354&lt;&gt;"",L1354*1.1,"")</f>
        <v>22.176</v>
      </c>
      <c r="N1354" s="143" t="n">
        <f aca="false">IF(F1354="S",L1354*0.02,0)</f>
        <v>0.4032</v>
      </c>
      <c r="O1354" s="144" t="n">
        <f aca="false">IF(L1354&lt;&gt;"",L1354+N1354,"")</f>
        <v>20.5632</v>
      </c>
      <c r="P1354" s="143" t="n">
        <f aca="false">IF(O1354&lt;&gt;"",O1354*0.1,"")</f>
        <v>2.05632</v>
      </c>
      <c r="Q1354" s="145" t="n">
        <f aca="false">IF(O1354&lt;&gt;"",O1354+P1354,"")</f>
        <v>22.61952</v>
      </c>
      <c r="R1354" s="146" t="s">
        <v>358</v>
      </c>
    </row>
    <row r="1355" customFormat="false" ht="15" hidden="false" customHeight="true" outlineLevel="0" collapsed="false">
      <c r="A1355" s="103" t="n">
        <v>56234</v>
      </c>
      <c r="B1355" s="85" t="n">
        <v>46245</v>
      </c>
      <c r="C1355" s="86" t="s">
        <v>616</v>
      </c>
      <c r="D1355" s="87" t="n">
        <v>50232</v>
      </c>
      <c r="E1355" s="46" t="str">
        <f aca="false">IF(D1355&lt;&gt;"",IFERROR(VLOOKUP(D1355,PROVEEDORES!$A:$B,2,0),"!COD NO ENCONTRADO"),"")</f>
        <v>XESTION NOVA LONXA RIVEIRA S.L.</v>
      </c>
      <c r="F1355" s="88" t="str">
        <f aca="false">IF(D1355&lt;&gt;"",IFERROR(VLOOKUP(D1355,PROVEEDORES!$A:$C,3,0),""),"")</f>
        <v>S</v>
      </c>
      <c r="G1355" s="87" t="s">
        <v>326</v>
      </c>
      <c r="H1355" s="46" t="str">
        <f aca="false">IF(G1355&lt;&gt;"",IFERROR(VLOOKUP(G1355,PRODUCTOS!$A:$B,2,0),"!COD NO ENCONTRADO"),"")</f>
        <v>SARGO RIA (SWA)</v>
      </c>
      <c r="I1355" s="89" t="n">
        <v>1</v>
      </c>
      <c r="J1355" s="90" t="n">
        <v>0.9</v>
      </c>
      <c r="K1355" s="91" t="n">
        <v>11.5</v>
      </c>
      <c r="L1355" s="80" t="n">
        <f aca="false">IF(AND(J1355&lt;&gt;"",K1355&lt;&gt;""),J1355*K1355,"")</f>
        <v>10.35</v>
      </c>
      <c r="M1355" s="142" t="n">
        <f aca="false">IF(L1355&lt;&gt;"",L1355*1.1,"")</f>
        <v>11.385</v>
      </c>
      <c r="N1355" s="147" t="n">
        <f aca="false">IF(F1355="S",L1355*0.02,0)</f>
        <v>0.207</v>
      </c>
      <c r="O1355" s="144" t="n">
        <f aca="false">IF(L1355&lt;&gt;"",L1355+N1355,"")</f>
        <v>10.557</v>
      </c>
      <c r="P1355" s="147" t="n">
        <f aca="false">IF(O1355&lt;&gt;"",O1355*0.1,"")</f>
        <v>1.0557</v>
      </c>
      <c r="Q1355" s="145" t="n">
        <f aca="false">IF(O1355&lt;&gt;"",O1355+P1355,"")</f>
        <v>11.6127</v>
      </c>
      <c r="R1355" s="146" t="s">
        <v>358</v>
      </c>
    </row>
    <row r="1356" customFormat="false" ht="15" hidden="false" customHeight="true" outlineLevel="0" collapsed="false">
      <c r="A1356" s="103" t="n">
        <v>56234</v>
      </c>
      <c r="B1356" s="85" t="n">
        <v>46245</v>
      </c>
      <c r="C1356" s="86" t="s">
        <v>616</v>
      </c>
      <c r="D1356" s="75" t="n">
        <v>50232</v>
      </c>
      <c r="E1356" s="52" t="str">
        <f aca="false">IF(D1356&lt;&gt;"",IFERROR(VLOOKUP(D1356,PROVEEDORES!$A:$B,2,0),"!COD NO ENCONTRADO"),"")</f>
        <v>XESTION NOVA LONXA RIVEIRA S.L.</v>
      </c>
      <c r="F1356" s="76" t="str">
        <f aca="false">IF(D1356&lt;&gt;"",IFERROR(VLOOKUP(D1356,PROVEEDORES!$A:$C,3,0),""),"")</f>
        <v>S</v>
      </c>
      <c r="G1356" s="75" t="s">
        <v>179</v>
      </c>
      <c r="H1356" s="52" t="str">
        <f aca="false">IF(G1356&lt;&gt;"",IFERROR(VLOOKUP(G1356,PRODUCTOS!$A:$B,2,0),"!COD NO ENCONTRADO"),"")</f>
        <v>LIRIO/ BACALADILLA/ PERLA (WHB)</v>
      </c>
      <c r="I1356" s="77" t="n">
        <v>10</v>
      </c>
      <c r="J1356" s="78" t="n">
        <v>152.2</v>
      </c>
      <c r="K1356" s="79" t="n">
        <v>2.3</v>
      </c>
      <c r="L1356" s="80" t="n">
        <f aca="false">IF(AND(J1356&lt;&gt;"",K1356&lt;&gt;""),J1356*K1356,"")</f>
        <v>350.06</v>
      </c>
      <c r="M1356" s="142" t="n">
        <f aca="false">IF(L1356&lt;&gt;"",L1356*1.1,"")</f>
        <v>385.066</v>
      </c>
      <c r="N1356" s="143" t="n">
        <f aca="false">IF(F1356="S",L1356*0.02,0)</f>
        <v>7.0012</v>
      </c>
      <c r="O1356" s="144" t="n">
        <f aca="false">IF(L1356&lt;&gt;"",L1356+N1356,"")</f>
        <v>357.0612</v>
      </c>
      <c r="P1356" s="143" t="n">
        <f aca="false">IF(O1356&lt;&gt;"",O1356*0.1,"")</f>
        <v>35.70612</v>
      </c>
      <c r="Q1356" s="145" t="n">
        <f aca="false">IF(O1356&lt;&gt;"",O1356+P1356,"")</f>
        <v>392.76732</v>
      </c>
      <c r="R1356" s="146" t="s">
        <v>358</v>
      </c>
    </row>
    <row r="1357" customFormat="false" ht="15" hidden="false" customHeight="true" outlineLevel="0" collapsed="false">
      <c r="A1357" s="103" t="n">
        <v>56235</v>
      </c>
      <c r="B1357" s="85" t="n">
        <v>46245</v>
      </c>
      <c r="C1357" s="86" t="s">
        <v>617</v>
      </c>
      <c r="D1357" s="87" t="n">
        <v>50160</v>
      </c>
      <c r="E1357" s="46" t="str">
        <f aca="false">IF(D1357&lt;&gt;"",IFERROR(VLOOKUP(D1357,PROVEEDORES!$A:$B,2,0),"!COD NO ENCONTRADO"),"")</f>
        <v>SUBASTAS CORUÑA S.L.</v>
      </c>
      <c r="F1357" s="88" t="str">
        <f aca="false">IF(D1357&lt;&gt;"",IFERROR(VLOOKUP(D1357,PROVEEDORES!$A:$C,3,0),""),"")</f>
        <v>S</v>
      </c>
      <c r="G1357" s="87" t="s">
        <v>179</v>
      </c>
      <c r="H1357" s="46" t="str">
        <f aca="false">IF(G1357&lt;&gt;"",IFERROR(VLOOKUP(G1357,PRODUCTOS!$A:$B,2,0),"!COD NO ENCONTRADO"),"")</f>
        <v>LIRIO/ BACALADILLA/ PERLA (WHB)</v>
      </c>
      <c r="I1357" s="89" t="n">
        <v>10</v>
      </c>
      <c r="J1357" s="90" t="n">
        <v>152.2</v>
      </c>
      <c r="K1357" s="91" t="n">
        <v>2.3</v>
      </c>
      <c r="L1357" s="80" t="n">
        <f aca="false">IF(AND(J1357&lt;&gt;"",K1357&lt;&gt;""),J1357*K1357,"")</f>
        <v>350.06</v>
      </c>
      <c r="M1357" s="142" t="n">
        <f aca="false">IF(L1357&lt;&gt;"",L1357*1.1,"")</f>
        <v>385.066</v>
      </c>
      <c r="N1357" s="147" t="n">
        <f aca="false">IF(F1357="S",L1357*0.02,0)</f>
        <v>7.0012</v>
      </c>
      <c r="O1357" s="144" t="n">
        <f aca="false">IF(L1357&lt;&gt;"",L1357+N1357,"")</f>
        <v>357.0612</v>
      </c>
      <c r="P1357" s="147" t="n">
        <f aca="false">IF(O1357&lt;&gt;"",O1357*0.1,"")</f>
        <v>35.70612</v>
      </c>
      <c r="Q1357" s="145" t="n">
        <f aca="false">IF(O1357&lt;&gt;"",O1357+P1357,"")</f>
        <v>392.76732</v>
      </c>
      <c r="R1357" s="146" t="s">
        <v>358</v>
      </c>
    </row>
    <row r="1358" customFormat="false" ht="15" hidden="false" customHeight="true" outlineLevel="0" collapsed="false">
      <c r="A1358" s="103" t="n">
        <v>56236</v>
      </c>
      <c r="B1358" s="73" t="n">
        <v>46245</v>
      </c>
      <c r="C1358" s="74" t="s">
        <v>618</v>
      </c>
      <c r="D1358" s="75" t="n">
        <v>50001</v>
      </c>
      <c r="E1358" s="52" t="str">
        <f aca="false">IF(D1358&lt;&gt;"",IFERROR(VLOOKUP(D1358,PROVEEDORES!$A:$B,2,0),"!COD NO ENCONTRADO"),"")</f>
        <v>COPESA</v>
      </c>
      <c r="F1358" s="76" t="str">
        <f aca="false">IF(D1358&lt;&gt;"",IFERROR(VLOOKUP(D1358,PROVEEDORES!$A:$C,3,0),""),"")</f>
        <v>S</v>
      </c>
      <c r="G1358" s="75" t="s">
        <v>292</v>
      </c>
      <c r="H1358" s="52" t="str">
        <f aca="false">IF(G1358&lt;&gt;"",IFERROR(VLOOKUP(G1358,PRODUCTOS!$A:$B,2,0),"!COD NO ENCONTRADO"),"")</f>
        <v>RAPE BLANCO RASCO (MON)</v>
      </c>
      <c r="I1358" s="77" t="n">
        <v>1</v>
      </c>
      <c r="J1358" s="78" t="n">
        <v>22.75</v>
      </c>
      <c r="K1358" s="79" t="n">
        <v>6.4</v>
      </c>
      <c r="L1358" s="80" t="n">
        <f aca="false">IF(AND(J1358&lt;&gt;"",K1358&lt;&gt;""),J1358*K1358,"")</f>
        <v>145.6</v>
      </c>
      <c r="M1358" s="142" t="n">
        <f aca="false">IF(L1358&lt;&gt;"",L1358*1.1,"")</f>
        <v>160.16</v>
      </c>
      <c r="N1358" s="143" t="n">
        <f aca="false">IF(F1358="S",L1358*0.02,0)</f>
        <v>2.912</v>
      </c>
      <c r="O1358" s="144" t="n">
        <f aca="false">IF(L1358&lt;&gt;"",L1358+N1358,"")</f>
        <v>148.512</v>
      </c>
      <c r="P1358" s="143" t="n">
        <f aca="false">IF(O1358&lt;&gt;"",O1358*0.1,"")</f>
        <v>14.8512</v>
      </c>
      <c r="Q1358" s="145" t="n">
        <f aca="false">IF(O1358&lt;&gt;"",O1358+P1358,"")</f>
        <v>163.3632</v>
      </c>
      <c r="R1358" s="146" t="s">
        <v>358</v>
      </c>
    </row>
    <row r="1359" customFormat="false" ht="15" hidden="false" customHeight="true" outlineLevel="0" collapsed="false">
      <c r="A1359" s="103" t="n">
        <v>56237</v>
      </c>
      <c r="B1359" s="73" t="n">
        <v>46245</v>
      </c>
      <c r="C1359" s="86" t="s">
        <v>619</v>
      </c>
      <c r="D1359" s="87" t="n">
        <v>50069</v>
      </c>
      <c r="E1359" s="46" t="str">
        <f aca="false">IF(D1359&lt;&gt;"",IFERROR(VLOOKUP(D1359,PROVEEDORES!$A:$B,2,0),"!COD NO ENCONTRADO"),"")</f>
        <v>PESCADOS ILLANES S.L.</v>
      </c>
      <c r="F1359" s="88" t="str">
        <f aca="false">IF(D1359&lt;&gt;"",IFERROR(VLOOKUP(D1359,PROVEEDORES!$A:$C,3,0),""),"")</f>
        <v>S</v>
      </c>
      <c r="G1359" s="87" t="s">
        <v>332</v>
      </c>
      <c r="H1359" s="46" t="str">
        <f aca="false">IF(G1359&lt;&gt;"",IFERROR(VLOOKUP(G1359,PRODUCTOS!$A:$B,2,0),"!COD NO ENCONTRADO"),"")</f>
        <v>VARIADO PEQUEÑO</v>
      </c>
      <c r="I1359" s="89" t="n">
        <v>3</v>
      </c>
      <c r="J1359" s="90" t="n">
        <v>20</v>
      </c>
      <c r="K1359" s="91" t="n">
        <v>0.5</v>
      </c>
      <c r="L1359" s="80" t="n">
        <f aca="false">IF(AND(J1359&lt;&gt;"",K1359&lt;&gt;""),J1359*K1359,"")</f>
        <v>10</v>
      </c>
      <c r="M1359" s="142" t="n">
        <f aca="false">IF(L1359&lt;&gt;"",L1359*1.1,"")</f>
        <v>11</v>
      </c>
      <c r="N1359" s="147" t="n">
        <f aca="false">IF(F1359="S",L1359*0.02,0)</f>
        <v>0.2</v>
      </c>
      <c r="O1359" s="144" t="n">
        <f aca="false">IF(L1359&lt;&gt;"",L1359+N1359,"")</f>
        <v>10.2</v>
      </c>
      <c r="P1359" s="147" t="n">
        <f aca="false">IF(O1359&lt;&gt;"",O1359*0.1,"")</f>
        <v>1.02</v>
      </c>
      <c r="Q1359" s="145" t="n">
        <f aca="false">IF(O1359&lt;&gt;"",O1359+P1359,"")</f>
        <v>11.22</v>
      </c>
      <c r="R1359" s="146" t="s">
        <v>358</v>
      </c>
    </row>
    <row r="1360" customFormat="false" ht="15" hidden="false" customHeight="true" outlineLevel="0" collapsed="false">
      <c r="A1360" s="103" t="n">
        <v>56237</v>
      </c>
      <c r="B1360" s="73" t="n">
        <v>46245</v>
      </c>
      <c r="C1360" s="74" t="s">
        <v>619</v>
      </c>
      <c r="D1360" s="75" t="n">
        <v>50069</v>
      </c>
      <c r="E1360" s="52" t="str">
        <f aca="false">IF(D1360&lt;&gt;"",IFERROR(VLOOKUP(D1360,PROVEEDORES!$A:$B,2,0),"!COD NO ENCONTRADO"),"")</f>
        <v>PESCADOS ILLANES S.L.</v>
      </c>
      <c r="F1360" s="76" t="str">
        <f aca="false">IF(D1360&lt;&gt;"",IFERROR(VLOOKUP(D1360,PROVEEDORES!$A:$C,3,0),""),"")</f>
        <v>S</v>
      </c>
      <c r="G1360" s="75" t="s">
        <v>332</v>
      </c>
      <c r="H1360" s="52" t="str">
        <f aca="false">IF(G1360&lt;&gt;"",IFERROR(VLOOKUP(G1360,PRODUCTOS!$A:$B,2,0),"!COD NO ENCONTRADO"),"")</f>
        <v>VARIADO PEQUEÑO</v>
      </c>
      <c r="I1360" s="77" t="n">
        <v>1</v>
      </c>
      <c r="J1360" s="78" t="n">
        <v>10.75</v>
      </c>
      <c r="K1360" s="79" t="n">
        <v>1</v>
      </c>
      <c r="L1360" s="80" t="n">
        <f aca="false">IF(AND(J1360&lt;&gt;"",K1360&lt;&gt;""),J1360*K1360,"")</f>
        <v>10.75</v>
      </c>
      <c r="M1360" s="142" t="n">
        <f aca="false">IF(L1360&lt;&gt;"",L1360*1.1,"")</f>
        <v>11.825</v>
      </c>
      <c r="N1360" s="143" t="n">
        <f aca="false">IF(F1360="S",L1360*0.02,0)</f>
        <v>0.215</v>
      </c>
      <c r="O1360" s="144" t="n">
        <f aca="false">IF(L1360&lt;&gt;"",L1360+N1360,"")</f>
        <v>10.965</v>
      </c>
      <c r="P1360" s="143" t="n">
        <f aca="false">IF(O1360&lt;&gt;"",O1360*0.1,"")</f>
        <v>1.0965</v>
      </c>
      <c r="Q1360" s="145" t="n">
        <f aca="false">IF(O1360&lt;&gt;"",O1360+P1360,"")</f>
        <v>12.0615</v>
      </c>
      <c r="R1360" s="146" t="s">
        <v>358</v>
      </c>
    </row>
    <row r="1361" customFormat="false" ht="15" hidden="false" customHeight="true" outlineLevel="0" collapsed="false">
      <c r="A1361" s="103" t="n">
        <v>56238</v>
      </c>
      <c r="B1361" s="73" t="n">
        <v>46245</v>
      </c>
      <c r="C1361" s="86" t="s">
        <v>620</v>
      </c>
      <c r="D1361" s="87" t="n">
        <v>50106</v>
      </c>
      <c r="E1361" s="46" t="str">
        <f aca="false">IF(D1361&lt;&gt;"",IFERROR(VLOOKUP(D1361,PROVEEDORES!$A:$B,2,0),"!COD NO ENCONTRADO"),"")</f>
        <v>SONIA VENTAS S.L</v>
      </c>
      <c r="F1361" s="88" t="str">
        <f aca="false">IF(D1361&lt;&gt;"",IFERROR(VLOOKUP(D1361,PROVEEDORES!$A:$C,3,0),""),"")</f>
        <v>S</v>
      </c>
      <c r="G1361" s="87" t="s">
        <v>292</v>
      </c>
      <c r="H1361" s="46" t="str">
        <f aca="false">IF(G1361&lt;&gt;"",IFERROR(VLOOKUP(G1361,PRODUCTOS!$A:$B,2,0),"!COD NO ENCONTRADO"),"")</f>
        <v>RAPE BLANCO RASCO (MON)</v>
      </c>
      <c r="I1361" s="89" t="n">
        <v>1</v>
      </c>
      <c r="J1361" s="90" t="n">
        <v>8</v>
      </c>
      <c r="K1361" s="91" t="n">
        <v>7</v>
      </c>
      <c r="L1361" s="80" t="n">
        <f aca="false">IF(AND(J1361&lt;&gt;"",K1361&lt;&gt;""),J1361*K1361,"")</f>
        <v>56</v>
      </c>
      <c r="M1361" s="142" t="n">
        <f aca="false">IF(L1361&lt;&gt;"",L1361*1.1,"")</f>
        <v>61.6</v>
      </c>
      <c r="N1361" s="147" t="n">
        <f aca="false">IF(F1361="S",L1361*0.02,0)</f>
        <v>1.12</v>
      </c>
      <c r="O1361" s="144" t="n">
        <f aca="false">IF(L1361&lt;&gt;"",L1361+N1361,"")</f>
        <v>57.12</v>
      </c>
      <c r="P1361" s="147" t="n">
        <f aca="false">IF(O1361&lt;&gt;"",O1361*0.1,"")</f>
        <v>5.712</v>
      </c>
      <c r="Q1361" s="145" t="n">
        <f aca="false">IF(O1361&lt;&gt;"",O1361+P1361,"")</f>
        <v>62.832</v>
      </c>
      <c r="R1361" s="146" t="s">
        <v>358</v>
      </c>
    </row>
    <row r="1362" customFormat="false" ht="15" hidden="false" customHeight="true" outlineLevel="0" collapsed="false">
      <c r="A1362" s="103" t="n">
        <v>56238</v>
      </c>
      <c r="B1362" s="73" t="n">
        <v>46245</v>
      </c>
      <c r="C1362" s="74" t="s">
        <v>620</v>
      </c>
      <c r="D1362" s="75" t="n">
        <v>50106</v>
      </c>
      <c r="E1362" s="52" t="str">
        <f aca="false">IF(D1362&lt;&gt;"",IFERROR(VLOOKUP(D1362,PROVEEDORES!$A:$B,2,0),"!COD NO ENCONTRADO"),"")</f>
        <v>SONIA VENTAS S.L</v>
      </c>
      <c r="F1362" s="76" t="str">
        <f aca="false">IF(D1362&lt;&gt;"",IFERROR(VLOOKUP(D1362,PROVEEDORES!$A:$C,3,0),""),"")</f>
        <v>S</v>
      </c>
      <c r="G1362" s="75" t="s">
        <v>292</v>
      </c>
      <c r="H1362" s="52" t="str">
        <f aca="false">IF(G1362&lt;&gt;"",IFERROR(VLOOKUP(G1362,PRODUCTOS!$A:$B,2,0),"!COD NO ENCONTRADO"),"")</f>
        <v>RAPE BLANCO RASCO (MON)</v>
      </c>
      <c r="I1362" s="77" t="n">
        <v>7</v>
      </c>
      <c r="J1362" s="78" t="n">
        <v>19.45</v>
      </c>
      <c r="K1362" s="79" t="n">
        <v>6.5</v>
      </c>
      <c r="L1362" s="80" t="n">
        <f aca="false">IF(AND(J1362&lt;&gt;"",K1362&lt;&gt;""),J1362*K1362,"")</f>
        <v>126.425</v>
      </c>
      <c r="M1362" s="142" t="n">
        <f aca="false">IF(L1362&lt;&gt;"",L1362*1.1,"")</f>
        <v>139.0675</v>
      </c>
      <c r="N1362" s="143" t="n">
        <f aca="false">IF(F1362="S",L1362*0.02,0)</f>
        <v>2.5285</v>
      </c>
      <c r="O1362" s="144" t="n">
        <f aca="false">IF(L1362&lt;&gt;"",L1362+N1362,"")</f>
        <v>128.9535</v>
      </c>
      <c r="P1362" s="143" t="n">
        <f aca="false">IF(O1362&lt;&gt;"",O1362*0.1,"")</f>
        <v>12.89535</v>
      </c>
      <c r="Q1362" s="145" t="n">
        <f aca="false">IF(O1362&lt;&gt;"",O1362+P1362,"")</f>
        <v>141.84885</v>
      </c>
      <c r="R1362" s="146" t="s">
        <v>358</v>
      </c>
    </row>
    <row r="1363" customFormat="false" ht="15" hidden="false" customHeight="true" outlineLevel="0" collapsed="false">
      <c r="A1363" s="103" t="n">
        <v>56239</v>
      </c>
      <c r="B1363" s="73" t="n">
        <v>46245</v>
      </c>
      <c r="C1363" s="86" t="s">
        <v>621</v>
      </c>
      <c r="D1363" s="87" t="n">
        <v>50160</v>
      </c>
      <c r="E1363" s="46" t="str">
        <f aca="false">IF(D1363&lt;&gt;"",IFERROR(VLOOKUP(D1363,PROVEEDORES!$A:$B,2,0),"!COD NO ENCONTRADO"),"")</f>
        <v>SUBASTAS CORUÑA S.L.</v>
      </c>
      <c r="F1363" s="88" t="str">
        <f aca="false">IF(D1363&lt;&gt;"",IFERROR(VLOOKUP(D1363,PROVEEDORES!$A:$C,3,0),""),"")</f>
        <v>S</v>
      </c>
      <c r="G1363" s="87" t="s">
        <v>332</v>
      </c>
      <c r="H1363" s="46" t="str">
        <f aca="false">IF(G1363&lt;&gt;"",IFERROR(VLOOKUP(G1363,PRODUCTOS!$A:$B,2,0),"!COD NO ENCONTRADO"),"")</f>
        <v>VARIADO PEQUEÑO</v>
      </c>
      <c r="I1363" s="89" t="n">
        <v>2</v>
      </c>
      <c r="J1363" s="90" t="n">
        <v>12.5</v>
      </c>
      <c r="K1363" s="91" t="n">
        <v>0.5</v>
      </c>
      <c r="L1363" s="80" t="n">
        <f aca="false">IF(AND(J1363&lt;&gt;"",K1363&lt;&gt;""),J1363*K1363,"")</f>
        <v>6.25</v>
      </c>
      <c r="M1363" s="142" t="n">
        <f aca="false">IF(L1363&lt;&gt;"",L1363*1.1,"")</f>
        <v>6.875</v>
      </c>
      <c r="N1363" s="147" t="n">
        <f aca="false">IF(F1363="S",L1363*0.02,0)</f>
        <v>0.125</v>
      </c>
      <c r="O1363" s="144" t="n">
        <f aca="false">IF(L1363&lt;&gt;"",L1363+N1363,"")</f>
        <v>6.375</v>
      </c>
      <c r="P1363" s="147" t="n">
        <f aca="false">IF(O1363&lt;&gt;"",O1363*0.1,"")</f>
        <v>0.6375</v>
      </c>
      <c r="Q1363" s="145" t="n">
        <f aca="false">IF(O1363&lt;&gt;"",O1363+P1363,"")</f>
        <v>7.0125</v>
      </c>
      <c r="R1363" s="146" t="s">
        <v>358</v>
      </c>
    </row>
    <row r="1364" customFormat="false" ht="15" hidden="false" customHeight="true" outlineLevel="0" collapsed="false">
      <c r="A1364" s="103" t="n">
        <v>56239</v>
      </c>
      <c r="B1364" s="73" t="n">
        <v>46245</v>
      </c>
      <c r="C1364" s="74" t="s">
        <v>621</v>
      </c>
      <c r="D1364" s="75" t="n">
        <v>50160</v>
      </c>
      <c r="E1364" s="52" t="str">
        <f aca="false">IF(D1364&lt;&gt;"",IFERROR(VLOOKUP(D1364,PROVEEDORES!$A:$B,2,0),"!COD NO ENCONTRADO"),"")</f>
        <v>SUBASTAS CORUÑA S.L.</v>
      </c>
      <c r="F1364" s="76" t="str">
        <f aca="false">IF(D1364&lt;&gt;"",IFERROR(VLOOKUP(D1364,PROVEEDORES!$A:$C,3,0),""),"")</f>
        <v>S</v>
      </c>
      <c r="G1364" s="75" t="s">
        <v>93</v>
      </c>
      <c r="H1364" s="52" t="str">
        <f aca="false">IF(G1364&lt;&gt;"",IFERROR(VLOOKUP(G1364,PRODUCTOS!$A:$B,2,0),"!COD NO ENCONTRADO"),"")</f>
        <v>BOQUERON/ BOCARTE/ ANCHOA (ANE)</v>
      </c>
      <c r="I1364" s="77" t="n">
        <v>40</v>
      </c>
      <c r="J1364" s="78" t="n">
        <v>340</v>
      </c>
      <c r="K1364" s="79" t="n">
        <v>1.35</v>
      </c>
      <c r="L1364" s="80" t="n">
        <f aca="false">IF(AND(J1364&lt;&gt;"",K1364&lt;&gt;""),J1364*K1364,"")</f>
        <v>459</v>
      </c>
      <c r="M1364" s="142" t="n">
        <f aca="false">IF(L1364&lt;&gt;"",L1364*1.1,"")</f>
        <v>504.9</v>
      </c>
      <c r="N1364" s="143" t="n">
        <f aca="false">IF(F1364="S",L1364*0.02,0)</f>
        <v>9.18</v>
      </c>
      <c r="O1364" s="144" t="n">
        <f aca="false">IF(L1364&lt;&gt;"",L1364+N1364,"")</f>
        <v>468.18</v>
      </c>
      <c r="P1364" s="143" t="n">
        <f aca="false">IF(O1364&lt;&gt;"",O1364*0.1,"")</f>
        <v>46.818</v>
      </c>
      <c r="Q1364" s="145" t="n">
        <f aca="false">IF(O1364&lt;&gt;"",O1364+P1364,"")</f>
        <v>514.998</v>
      </c>
      <c r="R1364" s="146" t="s">
        <v>358</v>
      </c>
    </row>
    <row r="1365" customFormat="false" ht="15" hidden="false" customHeight="true" outlineLevel="0" collapsed="false">
      <c r="A1365" s="103" t="n">
        <v>56239</v>
      </c>
      <c r="B1365" s="73" t="n">
        <v>46245</v>
      </c>
      <c r="C1365" s="86" t="s">
        <v>621</v>
      </c>
      <c r="D1365" s="87" t="n">
        <v>50160</v>
      </c>
      <c r="E1365" s="46" t="str">
        <f aca="false">IF(D1365&lt;&gt;"",IFERROR(VLOOKUP(D1365,PROVEEDORES!$A:$B,2,0),"!COD NO ENCONTRADO"),"")</f>
        <v>SUBASTAS CORUÑA S.L.</v>
      </c>
      <c r="F1365" s="88" t="str">
        <f aca="false">IF(D1365&lt;&gt;"",IFERROR(VLOOKUP(D1365,PROVEEDORES!$A:$C,3,0),""),"")</f>
        <v>S</v>
      </c>
      <c r="G1365" s="87" t="s">
        <v>93</v>
      </c>
      <c r="H1365" s="46" t="str">
        <f aca="false">IF(G1365&lt;&gt;"",IFERROR(VLOOKUP(G1365,PRODUCTOS!$A:$B,2,0),"!COD NO ENCONTRADO"),"")</f>
        <v>BOQUERON/ BOCARTE/ ANCHOA (ANE)</v>
      </c>
      <c r="I1365" s="89" t="n">
        <v>40</v>
      </c>
      <c r="J1365" s="90" t="n">
        <v>362</v>
      </c>
      <c r="K1365" s="91" t="n">
        <v>1.35</v>
      </c>
      <c r="L1365" s="80" t="n">
        <f aca="false">IF(AND(J1365&lt;&gt;"",K1365&lt;&gt;""),J1365*K1365,"")</f>
        <v>488.7</v>
      </c>
      <c r="M1365" s="142" t="n">
        <f aca="false">IF(L1365&lt;&gt;"",L1365*1.1,"")</f>
        <v>537.57</v>
      </c>
      <c r="N1365" s="147" t="n">
        <f aca="false">IF(F1365="S",L1365*0.02,0)</f>
        <v>9.774</v>
      </c>
      <c r="O1365" s="144" t="n">
        <f aca="false">IF(L1365&lt;&gt;"",L1365+N1365,"")</f>
        <v>498.474</v>
      </c>
      <c r="P1365" s="147" t="n">
        <f aca="false">IF(O1365&lt;&gt;"",O1365*0.1,"")</f>
        <v>49.8474</v>
      </c>
      <c r="Q1365" s="145" t="n">
        <f aca="false">IF(O1365&lt;&gt;"",O1365+P1365,"")</f>
        <v>548.3214</v>
      </c>
      <c r="R1365" s="146" t="s">
        <v>358</v>
      </c>
    </row>
    <row r="1366" customFormat="false" ht="15" hidden="false" customHeight="true" outlineLevel="0" collapsed="false">
      <c r="A1366" s="103" t="n">
        <v>56239</v>
      </c>
      <c r="B1366" s="73" t="n">
        <v>46245</v>
      </c>
      <c r="C1366" s="74" t="s">
        <v>621</v>
      </c>
      <c r="D1366" s="75" t="n">
        <v>50160</v>
      </c>
      <c r="E1366" s="52" t="str">
        <f aca="false">IF(D1366&lt;&gt;"",IFERROR(VLOOKUP(D1366,PROVEEDORES!$A:$B,2,0),"!COD NO ENCONTRADO"),"")</f>
        <v>SUBASTAS CORUÑA S.L.</v>
      </c>
      <c r="F1366" s="76" t="str">
        <f aca="false">IF(D1366&lt;&gt;"",IFERROR(VLOOKUP(D1366,PROVEEDORES!$A:$C,3,0),""),"")</f>
        <v>S</v>
      </c>
      <c r="G1366" s="75" t="s">
        <v>93</v>
      </c>
      <c r="H1366" s="52" t="str">
        <f aca="false">IF(G1366&lt;&gt;"",IFERROR(VLOOKUP(G1366,PRODUCTOS!$A:$B,2,0),"!COD NO ENCONTRADO"),"")</f>
        <v>BOQUERON/ BOCARTE/ ANCHOA (ANE)</v>
      </c>
      <c r="I1366" s="77" t="n">
        <v>40</v>
      </c>
      <c r="J1366" s="78" t="n">
        <v>335</v>
      </c>
      <c r="K1366" s="79" t="n">
        <v>1.35</v>
      </c>
      <c r="L1366" s="80" t="n">
        <f aca="false">IF(AND(J1366&lt;&gt;"",K1366&lt;&gt;""),J1366*K1366,"")</f>
        <v>452.25</v>
      </c>
      <c r="M1366" s="142" t="n">
        <f aca="false">IF(L1366&lt;&gt;"",L1366*1.1,"")</f>
        <v>497.475</v>
      </c>
      <c r="N1366" s="143" t="n">
        <f aca="false">IF(F1366="S",L1366*0.02,0)</f>
        <v>9.045</v>
      </c>
      <c r="O1366" s="144" t="n">
        <f aca="false">IF(L1366&lt;&gt;"",L1366+N1366,"")</f>
        <v>461.295</v>
      </c>
      <c r="P1366" s="143" t="n">
        <f aca="false">IF(O1366&lt;&gt;"",O1366*0.1,"")</f>
        <v>46.1295</v>
      </c>
      <c r="Q1366" s="145" t="n">
        <f aca="false">IF(O1366&lt;&gt;"",O1366+P1366,"")</f>
        <v>507.4245</v>
      </c>
      <c r="R1366" s="146" t="s">
        <v>358</v>
      </c>
    </row>
    <row r="1367" customFormat="false" ht="15" hidden="false" customHeight="true" outlineLevel="0" collapsed="false">
      <c r="A1367" s="103" t="n">
        <v>56240</v>
      </c>
      <c r="B1367" s="73" t="n">
        <v>46245</v>
      </c>
      <c r="C1367" s="86" t="s">
        <v>622</v>
      </c>
      <c r="D1367" s="87" t="n">
        <v>50163</v>
      </c>
      <c r="E1367" s="46" t="str">
        <f aca="false">IF(D1367&lt;&gt;"",IFERROR(VLOOKUP(D1367,PROVEEDORES!$A:$B,2,0),"!COD NO ENCONTRADO"),"")</f>
        <v>SUBASTAS RIVERA S.L.</v>
      </c>
      <c r="F1367" s="88" t="str">
        <f aca="false">IF(D1367&lt;&gt;"",IFERROR(VLOOKUP(D1367,PROVEEDORES!$A:$C,3,0),""),"")</f>
        <v>S</v>
      </c>
      <c r="G1367" s="87" t="s">
        <v>133</v>
      </c>
      <c r="H1367" s="46" t="str">
        <f aca="false">IF(G1367&lt;&gt;"",IFERROR(VLOOKUP(G1367,PRODUCTOS!$A:$B,2,0),"!COD NO ENCONTRADO"),"")</f>
        <v>CINTAS/ PEZ CINTA (CBC)</v>
      </c>
      <c r="I1367" s="89" t="n">
        <v>1</v>
      </c>
      <c r="J1367" s="90" t="n">
        <v>1.25</v>
      </c>
      <c r="K1367" s="91" t="n">
        <v>0.5</v>
      </c>
      <c r="L1367" s="80" t="n">
        <f aca="false">IF(AND(J1367&lt;&gt;"",K1367&lt;&gt;""),J1367*K1367,"")</f>
        <v>0.625</v>
      </c>
      <c r="M1367" s="142" t="n">
        <f aca="false">IF(L1367&lt;&gt;"",L1367*1.1,"")</f>
        <v>0.6875</v>
      </c>
      <c r="N1367" s="147" t="n">
        <f aca="false">IF(F1367="S",L1367*0.02,0)</f>
        <v>0.0125</v>
      </c>
      <c r="O1367" s="144" t="n">
        <f aca="false">IF(L1367&lt;&gt;"",L1367+N1367,"")</f>
        <v>0.6375</v>
      </c>
      <c r="P1367" s="147" t="n">
        <f aca="false">IF(O1367&lt;&gt;"",O1367*0.1,"")</f>
        <v>0.06375</v>
      </c>
      <c r="Q1367" s="145" t="n">
        <f aca="false">IF(O1367&lt;&gt;"",O1367+P1367,"")</f>
        <v>0.70125</v>
      </c>
      <c r="R1367" s="146" t="s">
        <v>358</v>
      </c>
    </row>
    <row r="1368" customFormat="false" ht="15" hidden="false" customHeight="true" outlineLevel="0" collapsed="false">
      <c r="A1368" s="103" t="n">
        <v>56240</v>
      </c>
      <c r="B1368" s="73" t="n">
        <v>46245</v>
      </c>
      <c r="C1368" s="74" t="s">
        <v>622</v>
      </c>
      <c r="D1368" s="75" t="n">
        <v>50163</v>
      </c>
      <c r="E1368" s="52" t="str">
        <f aca="false">IF(D1368&lt;&gt;"",IFERROR(VLOOKUP(D1368,PROVEEDORES!$A:$B,2,0),"!COD NO ENCONTRADO"),"")</f>
        <v>SUBASTAS RIVERA S.L.</v>
      </c>
      <c r="F1368" s="76" t="str">
        <f aca="false">IF(D1368&lt;&gt;"",IFERROR(VLOOKUP(D1368,PROVEEDORES!$A:$C,3,0),""),"")</f>
        <v>S</v>
      </c>
      <c r="G1368" s="75" t="s">
        <v>332</v>
      </c>
      <c r="H1368" s="52" t="str">
        <f aca="false">IF(G1368&lt;&gt;"",IFERROR(VLOOKUP(G1368,PRODUCTOS!$A:$B,2,0),"!COD NO ENCONTRADO"),"")</f>
        <v>VARIADO PEQUEÑO</v>
      </c>
      <c r="I1368" s="77" t="n">
        <v>1</v>
      </c>
      <c r="J1368" s="78" t="n">
        <v>8.5</v>
      </c>
      <c r="K1368" s="79" t="n">
        <v>1</v>
      </c>
      <c r="L1368" s="80" t="n">
        <f aca="false">IF(AND(J1368&lt;&gt;"",K1368&lt;&gt;""),J1368*K1368,"")</f>
        <v>8.5</v>
      </c>
      <c r="M1368" s="142" t="n">
        <f aca="false">IF(L1368&lt;&gt;"",L1368*1.1,"")</f>
        <v>9.35</v>
      </c>
      <c r="N1368" s="143" t="n">
        <f aca="false">IF(F1368="S",L1368*0.02,0)</f>
        <v>0.17</v>
      </c>
      <c r="O1368" s="144" t="n">
        <f aca="false">IF(L1368&lt;&gt;"",L1368+N1368,"")</f>
        <v>8.67</v>
      </c>
      <c r="P1368" s="143" t="n">
        <f aca="false">IF(O1368&lt;&gt;"",O1368*0.1,"")</f>
        <v>0.867</v>
      </c>
      <c r="Q1368" s="145" t="n">
        <f aca="false">IF(O1368&lt;&gt;"",O1368+P1368,"")</f>
        <v>9.537</v>
      </c>
      <c r="R1368" s="146" t="s">
        <v>358</v>
      </c>
    </row>
    <row r="1369" customFormat="false" ht="15" hidden="false" customHeight="true" outlineLevel="0" collapsed="false">
      <c r="A1369" s="103" t="n">
        <v>56240</v>
      </c>
      <c r="B1369" s="73" t="n">
        <v>46245</v>
      </c>
      <c r="C1369" s="86" t="s">
        <v>622</v>
      </c>
      <c r="D1369" s="87" t="n">
        <v>50163</v>
      </c>
      <c r="E1369" s="46" t="str">
        <f aca="false">IF(D1369&lt;&gt;"",IFERROR(VLOOKUP(D1369,PROVEEDORES!$A:$B,2,0),"!COD NO ENCONTRADO"),"")</f>
        <v>SUBASTAS RIVERA S.L.</v>
      </c>
      <c r="F1369" s="88" t="str">
        <f aca="false">IF(D1369&lt;&gt;"",IFERROR(VLOOKUP(D1369,PROVEEDORES!$A:$C,3,0),""),"")</f>
        <v>S</v>
      </c>
      <c r="G1369" s="87" t="s">
        <v>332</v>
      </c>
      <c r="H1369" s="46" t="str">
        <f aca="false">IF(G1369&lt;&gt;"",IFERROR(VLOOKUP(G1369,PRODUCTOS!$A:$B,2,0),"!COD NO ENCONTRADO"),"")</f>
        <v>VARIADO PEQUEÑO</v>
      </c>
      <c r="I1369" s="89" t="n">
        <v>5</v>
      </c>
      <c r="J1369" s="90" t="n">
        <v>36.5</v>
      </c>
      <c r="K1369" s="91" t="n">
        <v>0.3</v>
      </c>
      <c r="L1369" s="80" t="n">
        <f aca="false">IF(AND(J1369&lt;&gt;"",K1369&lt;&gt;""),J1369*K1369,"")</f>
        <v>10.95</v>
      </c>
      <c r="M1369" s="142" t="n">
        <f aca="false">IF(L1369&lt;&gt;"",L1369*1.1,"")</f>
        <v>12.045</v>
      </c>
      <c r="N1369" s="147" t="n">
        <f aca="false">IF(F1369="S",L1369*0.02,0)</f>
        <v>0.219</v>
      </c>
      <c r="O1369" s="144" t="n">
        <f aca="false">IF(L1369&lt;&gt;"",L1369+N1369,"")</f>
        <v>11.169</v>
      </c>
      <c r="P1369" s="147" t="n">
        <f aca="false">IF(O1369&lt;&gt;"",O1369*0.1,"")</f>
        <v>1.1169</v>
      </c>
      <c r="Q1369" s="145" t="n">
        <f aca="false">IF(O1369&lt;&gt;"",O1369+P1369,"")</f>
        <v>12.2859</v>
      </c>
      <c r="R1369" s="146" t="s">
        <v>358</v>
      </c>
    </row>
    <row r="1370" customFormat="false" ht="15" hidden="false" customHeight="true" outlineLevel="0" collapsed="false">
      <c r="A1370" s="103" t="n">
        <v>56241</v>
      </c>
      <c r="B1370" s="73" t="n">
        <v>46245</v>
      </c>
      <c r="C1370" s="74" t="s">
        <v>623</v>
      </c>
      <c r="D1370" s="75" t="n">
        <v>50218</v>
      </c>
      <c r="E1370" s="52" t="str">
        <f aca="false">IF(D1370&lt;&gt;"",IFERROR(VLOOKUP(D1370,PROVEEDORES!$A:$B,2,0),"!COD NO ENCONTRADO"),"")</f>
        <v>ACERGA </v>
      </c>
      <c r="F1370" s="76" t="str">
        <f aca="false">IF(D1370&lt;&gt;"",IFERROR(VLOOKUP(D1370,PROVEEDORES!$A:$C,3,0),""),"")</f>
        <v>S</v>
      </c>
      <c r="G1370" s="75" t="s">
        <v>93</v>
      </c>
      <c r="H1370" s="52" t="str">
        <f aca="false">IF(G1370&lt;&gt;"",IFERROR(VLOOKUP(G1370,PRODUCTOS!$A:$B,2,0),"!COD NO ENCONTRADO"),"")</f>
        <v>BOQUERON/ BOCARTE/ ANCHOA (ANE)</v>
      </c>
      <c r="I1370" s="77" t="n">
        <v>40</v>
      </c>
      <c r="J1370" s="78" t="n">
        <v>329</v>
      </c>
      <c r="K1370" s="79" t="n">
        <v>1.15</v>
      </c>
      <c r="L1370" s="80" t="n">
        <f aca="false">IF(AND(J1370&lt;&gt;"",K1370&lt;&gt;""),J1370*K1370,"")</f>
        <v>378.35</v>
      </c>
      <c r="M1370" s="142" t="n">
        <f aca="false">IF(L1370&lt;&gt;"",L1370*1.1,"")</f>
        <v>416.185</v>
      </c>
      <c r="N1370" s="143" t="n">
        <f aca="false">IF(F1370="S",L1370*0.02,0)</f>
        <v>7.567</v>
      </c>
      <c r="O1370" s="144" t="n">
        <f aca="false">IF(L1370&lt;&gt;"",L1370+N1370,"")</f>
        <v>385.917</v>
      </c>
      <c r="P1370" s="143" t="n">
        <f aca="false">IF(O1370&lt;&gt;"",O1370*0.1,"")</f>
        <v>38.5917</v>
      </c>
      <c r="Q1370" s="145" t="n">
        <f aca="false">IF(O1370&lt;&gt;"",O1370+P1370,"")</f>
        <v>424.5087</v>
      </c>
      <c r="R1370" s="146" t="s">
        <v>365</v>
      </c>
    </row>
    <row r="1371" customFormat="false" ht="15" hidden="false" customHeight="true" outlineLevel="0" collapsed="false">
      <c r="A1371" s="103" t="n">
        <v>56241</v>
      </c>
      <c r="B1371" s="73" t="n">
        <v>46245</v>
      </c>
      <c r="C1371" s="74" t="s">
        <v>623</v>
      </c>
      <c r="D1371" s="87" t="n">
        <v>50218</v>
      </c>
      <c r="E1371" s="46" t="str">
        <f aca="false">IF(D1371&lt;&gt;"",IFERROR(VLOOKUP(D1371,PROVEEDORES!$A:$B,2,0),"!COD NO ENCONTRADO"),"")</f>
        <v>ACERGA </v>
      </c>
      <c r="F1371" s="88" t="str">
        <f aca="false">IF(D1371&lt;&gt;"",IFERROR(VLOOKUP(D1371,PROVEEDORES!$A:$C,3,0),""),"")</f>
        <v>S</v>
      </c>
      <c r="G1371" s="87" t="s">
        <v>93</v>
      </c>
      <c r="H1371" s="46" t="str">
        <f aca="false">IF(G1371&lt;&gt;"",IFERROR(VLOOKUP(G1371,PRODUCTOS!$A:$B,2,0),"!COD NO ENCONTRADO"),"")</f>
        <v>BOQUERON/ BOCARTE/ ANCHOA (ANE)</v>
      </c>
      <c r="I1371" s="89" t="n">
        <v>40</v>
      </c>
      <c r="J1371" s="90" t="n">
        <v>338</v>
      </c>
      <c r="K1371" s="91" t="n">
        <v>1.15</v>
      </c>
      <c r="L1371" s="80" t="n">
        <f aca="false">IF(AND(J1371&lt;&gt;"",K1371&lt;&gt;""),J1371*K1371,"")</f>
        <v>388.7</v>
      </c>
      <c r="M1371" s="142" t="n">
        <f aca="false">IF(L1371&lt;&gt;"",L1371*1.1,"")</f>
        <v>427.57</v>
      </c>
      <c r="N1371" s="147" t="n">
        <f aca="false">IF(F1371="S",L1371*0.02,0)</f>
        <v>7.774</v>
      </c>
      <c r="O1371" s="144" t="n">
        <f aca="false">IF(L1371&lt;&gt;"",L1371+N1371,"")</f>
        <v>396.474</v>
      </c>
      <c r="P1371" s="147" t="n">
        <f aca="false">IF(O1371&lt;&gt;"",O1371*0.1,"")</f>
        <v>39.6474</v>
      </c>
      <c r="Q1371" s="145" t="n">
        <f aca="false">IF(O1371&lt;&gt;"",O1371+P1371,"")</f>
        <v>436.1214</v>
      </c>
      <c r="R1371" s="146" t="s">
        <v>365</v>
      </c>
    </row>
    <row r="1372" customFormat="false" ht="15" hidden="false" customHeight="true" outlineLevel="0" collapsed="false">
      <c r="A1372" s="103" t="n">
        <v>56241</v>
      </c>
      <c r="B1372" s="73" t="n">
        <v>46245</v>
      </c>
      <c r="C1372" s="74" t="s">
        <v>623</v>
      </c>
      <c r="D1372" s="75" t="n">
        <v>50218</v>
      </c>
      <c r="E1372" s="52" t="str">
        <f aca="false">IF(D1372&lt;&gt;"",IFERROR(VLOOKUP(D1372,PROVEEDORES!$A:$B,2,0),"!COD NO ENCONTRADO"),"")</f>
        <v>ACERGA </v>
      </c>
      <c r="F1372" s="76" t="str">
        <f aca="false">IF(D1372&lt;&gt;"",IFERROR(VLOOKUP(D1372,PROVEEDORES!$A:$C,3,0),""),"")</f>
        <v>S</v>
      </c>
      <c r="G1372" s="75" t="s">
        <v>93</v>
      </c>
      <c r="H1372" s="52" t="str">
        <f aca="false">IF(G1372&lt;&gt;"",IFERROR(VLOOKUP(G1372,PRODUCTOS!$A:$B,2,0),"!COD NO ENCONTRADO"),"")</f>
        <v>BOQUERON/ BOCARTE/ ANCHOA (ANE)</v>
      </c>
      <c r="I1372" s="77" t="n">
        <v>40</v>
      </c>
      <c r="J1372" s="78" t="n">
        <v>347</v>
      </c>
      <c r="K1372" s="79" t="n">
        <v>1.15</v>
      </c>
      <c r="L1372" s="80" t="n">
        <f aca="false">IF(AND(J1372&lt;&gt;"",K1372&lt;&gt;""),J1372*K1372,"")</f>
        <v>399.05</v>
      </c>
      <c r="M1372" s="142" t="n">
        <f aca="false">IF(L1372&lt;&gt;"",L1372*1.1,"")</f>
        <v>438.955</v>
      </c>
      <c r="N1372" s="143" t="n">
        <f aca="false">IF(F1372="S",L1372*0.02,0)</f>
        <v>7.981</v>
      </c>
      <c r="O1372" s="144" t="n">
        <f aca="false">IF(L1372&lt;&gt;"",L1372+N1372,"")</f>
        <v>407.031</v>
      </c>
      <c r="P1372" s="143" t="n">
        <f aca="false">IF(O1372&lt;&gt;"",O1372*0.1,"")</f>
        <v>40.7031</v>
      </c>
      <c r="Q1372" s="145" t="n">
        <f aca="false">IF(O1372&lt;&gt;"",O1372+P1372,"")</f>
        <v>447.7341</v>
      </c>
      <c r="R1372" s="146" t="s">
        <v>365</v>
      </c>
    </row>
    <row r="1373" customFormat="false" ht="15" hidden="false" customHeight="true" outlineLevel="0" collapsed="false">
      <c r="A1373" s="103" t="n">
        <v>56242</v>
      </c>
      <c r="B1373" s="73" t="n">
        <v>46245</v>
      </c>
      <c r="C1373" s="86"/>
      <c r="D1373" s="87" t="n">
        <v>50521</v>
      </c>
      <c r="E1373" s="46" t="str">
        <f aca="false">IF(D1373&lt;&gt;"",IFERROR(VLOOKUP(D1373,PROVEEDORES!$A:$B,2,0),"!COD NO ENCONTRADO"),"")</f>
        <v>SUBASTAS DE ATLANTICO S.L</v>
      </c>
      <c r="F1373" s="88" t="str">
        <f aca="false">IF(D1373&lt;&gt;"",IFERROR(VLOOKUP(D1373,PROVEEDORES!$A:$C,3,0),""),"")</f>
        <v>S</v>
      </c>
      <c r="G1373" s="87" t="s">
        <v>93</v>
      </c>
      <c r="H1373" s="46" t="str">
        <f aca="false">IF(G1373&lt;&gt;"",IFERROR(VLOOKUP(G1373,PRODUCTOS!$A:$B,2,0),"!COD NO ENCONTRADO"),"")</f>
        <v>BOQUERON/ BOCARTE/ ANCHOA (ANE)</v>
      </c>
      <c r="I1373" s="89" t="n">
        <v>48</v>
      </c>
      <c r="J1373" s="148" t="n">
        <v>387</v>
      </c>
      <c r="K1373" s="149" t="n">
        <v>1.45</v>
      </c>
      <c r="L1373" s="80" t="n">
        <f aca="false">IF(AND(J1373&lt;&gt;"",K1373&lt;&gt;""),J1373*K1373,"")</f>
        <v>561.15</v>
      </c>
      <c r="M1373" s="142" t="n">
        <f aca="false">IF(L1373&lt;&gt;"",L1373*1.1,"")</f>
        <v>617.265</v>
      </c>
      <c r="N1373" s="147" t="n">
        <f aca="false">IF(F1373="S",L1373*0.02,0)</f>
        <v>11.223</v>
      </c>
      <c r="O1373" s="144" t="n">
        <f aca="false">IF(L1373&lt;&gt;"",L1373+N1373,"")</f>
        <v>572.373</v>
      </c>
      <c r="P1373" s="147" t="n">
        <f aca="false">IF(O1373&lt;&gt;"",O1373*0.1,"")</f>
        <v>57.2373</v>
      </c>
      <c r="Q1373" s="145" t="n">
        <f aca="false">IF(O1373&lt;&gt;"",O1373+P1373,"")</f>
        <v>629.6103</v>
      </c>
      <c r="R1373" s="146"/>
    </row>
    <row r="1374" customFormat="false" ht="15" hidden="false" customHeight="true" outlineLevel="0" collapsed="false">
      <c r="A1374" s="103" t="n">
        <v>56242</v>
      </c>
      <c r="B1374" s="85" t="n">
        <v>46245</v>
      </c>
      <c r="C1374" s="86" t="s">
        <v>624</v>
      </c>
      <c r="D1374" s="87" t="n">
        <v>50521</v>
      </c>
      <c r="E1374" s="46" t="str">
        <f aca="false">IF(D1374&lt;&gt;"",IFERROR(VLOOKUP(D1374,PROVEEDORES!$A:$B,2,0),"!COD NO ENCONTRADO"),"")</f>
        <v>SUBASTAS DE ATLANTICO S.L</v>
      </c>
      <c r="F1374" s="88" t="str">
        <f aca="false">IF(D1374&lt;&gt;"",IFERROR(VLOOKUP(D1374,PROVEEDORES!$A:$C,3,0),""),"")</f>
        <v>S</v>
      </c>
      <c r="G1374" s="87" t="s">
        <v>93</v>
      </c>
      <c r="H1374" s="46" t="str">
        <f aca="false">IF(G1374&lt;&gt;"",IFERROR(VLOOKUP(G1374,PRODUCTOS!$A:$B,2,0),"!COD NO ENCONTRADO"),"")</f>
        <v>BOQUERON/ BOCARTE/ ANCHOA (ANE)</v>
      </c>
      <c r="I1374" s="89" t="n">
        <v>40</v>
      </c>
      <c r="J1374" s="105" t="n">
        <v>323</v>
      </c>
      <c r="K1374" s="125" t="n">
        <v>1.15</v>
      </c>
      <c r="L1374" s="80" t="n">
        <f aca="false">IF(AND(J1374&lt;&gt;"",K1374&lt;&gt;""),J1374*K1374,"")</f>
        <v>371.45</v>
      </c>
      <c r="M1374" s="142" t="n">
        <f aca="false">IF(L1374&lt;&gt;"",L1374*1.1,"")</f>
        <v>408.595</v>
      </c>
      <c r="N1374" s="143" t="n">
        <f aca="false">IF(F1374="S",L1374*0.02,0)</f>
        <v>7.429</v>
      </c>
      <c r="O1374" s="144" t="n">
        <f aca="false">IF(L1374&lt;&gt;"",L1374+N1374,"")</f>
        <v>378.879</v>
      </c>
      <c r="P1374" s="143" t="n">
        <f aca="false">IF(O1374&lt;&gt;"",O1374*0.1,"")</f>
        <v>37.8879</v>
      </c>
      <c r="Q1374" s="145" t="n">
        <f aca="false">IF(O1374&lt;&gt;"",O1374+P1374,"")</f>
        <v>416.7669</v>
      </c>
      <c r="R1374" s="146" t="s">
        <v>358</v>
      </c>
    </row>
    <row r="1375" customFormat="false" ht="15" hidden="false" customHeight="true" outlineLevel="0" collapsed="false">
      <c r="A1375" s="103" t="n">
        <v>56242</v>
      </c>
      <c r="B1375" s="73" t="n">
        <v>46245</v>
      </c>
      <c r="C1375" s="74" t="s">
        <v>624</v>
      </c>
      <c r="D1375" s="75" t="n">
        <v>50521</v>
      </c>
      <c r="E1375" s="52" t="str">
        <f aca="false">IF(D1375&lt;&gt;"",IFERROR(VLOOKUP(D1375,PROVEEDORES!$A:$B,2,0),"!COD NO ENCONTRADO"),"")</f>
        <v>SUBASTAS DE ATLANTICO S.L</v>
      </c>
      <c r="F1375" s="76" t="str">
        <f aca="false">IF(D1375&lt;&gt;"",IFERROR(VLOOKUP(D1375,PROVEEDORES!$A:$C,3,0),""),"")</f>
        <v>S</v>
      </c>
      <c r="G1375" s="75" t="s">
        <v>93</v>
      </c>
      <c r="H1375" s="52" t="str">
        <f aca="false">IF(G1375&lt;&gt;"",IFERROR(VLOOKUP(G1375,PRODUCTOS!$A:$B,2,0),"!COD NO ENCONTRADO"),"")</f>
        <v>BOQUERON/ BOCARTE/ ANCHOA (ANE)</v>
      </c>
      <c r="I1375" s="77" t="n">
        <v>40</v>
      </c>
      <c r="J1375" s="105" t="n">
        <v>315</v>
      </c>
      <c r="K1375" s="125" t="n">
        <v>1.05</v>
      </c>
      <c r="L1375" s="80" t="n">
        <f aca="false">IF(AND(J1375&lt;&gt;"",K1375&lt;&gt;""),J1375*K1375,"")</f>
        <v>330.75</v>
      </c>
      <c r="M1375" s="142" t="n">
        <f aca="false">IF(L1375&lt;&gt;"",L1375*1.1,"")</f>
        <v>363.825</v>
      </c>
      <c r="N1375" s="147" t="n">
        <f aca="false">IF(F1375="S",L1375*0.02,0)</f>
        <v>6.615</v>
      </c>
      <c r="O1375" s="144" t="n">
        <f aca="false">IF(L1375&lt;&gt;"",L1375+N1375,"")</f>
        <v>337.365</v>
      </c>
      <c r="P1375" s="147" t="n">
        <f aca="false">IF(O1375&lt;&gt;"",O1375*0.1,"")</f>
        <v>33.7365</v>
      </c>
      <c r="Q1375" s="145" t="n">
        <f aca="false">IF(O1375&lt;&gt;"",O1375+P1375,"")</f>
        <v>371.1015</v>
      </c>
      <c r="R1375" s="146" t="s">
        <v>358</v>
      </c>
    </row>
    <row r="1376" customFormat="false" ht="15" hidden="false" customHeight="true" outlineLevel="0" collapsed="false">
      <c r="A1376" s="103" t="n">
        <v>56243</v>
      </c>
      <c r="B1376" s="73" t="n">
        <v>46245</v>
      </c>
      <c r="C1376" s="74" t="s">
        <v>625</v>
      </c>
      <c r="D1376" s="75" t="n">
        <v>50048</v>
      </c>
      <c r="E1376" s="52" t="str">
        <f aca="false">IF(D1376&lt;&gt;"",IFERROR(VLOOKUP(D1376,PROVEEDORES!$A:$B,2,0),"!COD NO ENCONTRADO"),"")</f>
        <v>JOSE LUIS CORREA KESSLER S.L.</v>
      </c>
      <c r="F1376" s="76" t="str">
        <f aca="false">IF(D1376&lt;&gt;"",IFERROR(VLOOKUP(D1376,PROVEEDORES!$A:$C,3,0),""),"")</f>
        <v>N</v>
      </c>
      <c r="G1376" s="75" t="s">
        <v>179</v>
      </c>
      <c r="H1376" s="52" t="str">
        <f aca="false">IF(G1376&lt;&gt;"",IFERROR(VLOOKUP(G1376,PRODUCTOS!$A:$B,2,0),"!COD NO ENCONTRADO"),"")</f>
        <v>LIRIO/ BACALADILLA/ PERLA (WHB)</v>
      </c>
      <c r="I1376" s="77" t="n">
        <v>6</v>
      </c>
      <c r="J1376" s="78" t="n">
        <v>36</v>
      </c>
      <c r="K1376" s="125" t="n">
        <v>2.9</v>
      </c>
      <c r="L1376" s="80" t="n">
        <f aca="false">IF(AND(J1376&lt;&gt;"",K1376&lt;&gt;""),J1376*K1376,"")</f>
        <v>104.4</v>
      </c>
      <c r="M1376" s="142" t="n">
        <f aca="false">IF(L1376&lt;&gt;"",L1376*1.1,"")</f>
        <v>114.84</v>
      </c>
      <c r="N1376" s="143" t="n">
        <f aca="false">IF(F1376="S",L1376*0.02,0)</f>
        <v>0</v>
      </c>
      <c r="O1376" s="144" t="n">
        <f aca="false">IF(L1376&lt;&gt;"",L1376+N1376,"")</f>
        <v>104.4</v>
      </c>
      <c r="P1376" s="143" t="n">
        <f aca="false">IF(O1376&lt;&gt;"",O1376*0.1,"")</f>
        <v>10.44</v>
      </c>
      <c r="Q1376" s="145" t="n">
        <f aca="false">IF(O1376&lt;&gt;"",O1376+P1376,"")</f>
        <v>114.84</v>
      </c>
      <c r="R1376" s="146" t="s">
        <v>365</v>
      </c>
    </row>
    <row r="1377" customFormat="false" ht="15" hidden="false" customHeight="true" outlineLevel="0" collapsed="false">
      <c r="A1377" s="103" t="n">
        <v>56244</v>
      </c>
      <c r="B1377" s="85" t="n">
        <v>46245</v>
      </c>
      <c r="C1377" s="86" t="s">
        <v>626</v>
      </c>
      <c r="D1377" s="87" t="n">
        <v>50035</v>
      </c>
      <c r="E1377" s="46" t="str">
        <f aca="false">IF(D1377&lt;&gt;"",IFERROR(VLOOKUP(D1377,PROVEEDORES!$A:$B,2,0),"!COD NO ENCONTRADO"),"")</f>
        <v>SCANFISK SEAFFOD S,L</v>
      </c>
      <c r="F1377" s="88" t="str">
        <f aca="false">IF(D1377&lt;&gt;"",IFERROR(VLOOKUP(D1377,PROVEEDORES!$A:$C,3,0),""),"")</f>
        <v>N</v>
      </c>
      <c r="G1377" s="87" t="s">
        <v>246</v>
      </c>
      <c r="H1377" s="46" t="str">
        <f aca="false">IF(G1377&lt;&gt;"",IFERROR(VLOOKUP(G1377,PRODUCTOS!$A:$B,2,0),"!COD NO ENCONTRADO"),"")</f>
        <v>MERLUZA EUROPEA VOLANTA ALTURA</v>
      </c>
      <c r="I1377" s="89" t="n">
        <v>2</v>
      </c>
      <c r="J1377" s="90" t="n">
        <v>21.5</v>
      </c>
      <c r="K1377" s="91" t="n">
        <v>8</v>
      </c>
      <c r="L1377" s="80" t="n">
        <f aca="false">IF(AND(J1377&lt;&gt;"",K1377&lt;&gt;""),J1377*K1377,"")</f>
        <v>172</v>
      </c>
      <c r="M1377" s="142" t="n">
        <f aca="false">IF(L1377&lt;&gt;"",L1377*1.1,"")</f>
        <v>189.2</v>
      </c>
      <c r="N1377" s="147" t="n">
        <f aca="false">IF(F1377="S",L1377*0.02,0)</f>
        <v>0</v>
      </c>
      <c r="O1377" s="144" t="n">
        <f aca="false">IF(L1377&lt;&gt;"",L1377+N1377,"")</f>
        <v>172</v>
      </c>
      <c r="P1377" s="147" t="n">
        <f aca="false">IF(O1377&lt;&gt;"",O1377*0.1,"")</f>
        <v>17.2</v>
      </c>
      <c r="Q1377" s="145" t="n">
        <f aca="false">IF(O1377&lt;&gt;"",O1377+P1377,"")</f>
        <v>189.2</v>
      </c>
      <c r="R1377" s="146" t="s">
        <v>365</v>
      </c>
    </row>
    <row r="1378" customFormat="false" ht="15" hidden="false" customHeight="true" outlineLevel="0" collapsed="false">
      <c r="A1378" s="103" t="n">
        <v>56245</v>
      </c>
      <c r="B1378" s="73" t="n">
        <v>46245</v>
      </c>
      <c r="C1378" s="74" t="s">
        <v>627</v>
      </c>
      <c r="D1378" s="75" t="n">
        <v>50514</v>
      </c>
      <c r="E1378" s="52" t="str">
        <f aca="false">IF(D1378&lt;&gt;"",IFERROR(VLOOKUP(D1378,PROVEEDORES!$A:$B,2,0),"!COD NO ENCONTRADO"),"")</f>
        <v>PESCADO Y MARISCOS ADELAIDA S.L.</v>
      </c>
      <c r="F1378" s="76" t="str">
        <f aca="false">IF(D1378&lt;&gt;"",IFERROR(VLOOKUP(D1378,PROVEEDORES!$A:$C,3,0),""),"")</f>
        <v>N</v>
      </c>
      <c r="G1378" s="75" t="s">
        <v>332</v>
      </c>
      <c r="H1378" s="52" t="str">
        <f aca="false">IF(G1378&lt;&gt;"",IFERROR(VLOOKUP(G1378,PRODUCTOS!$A:$B,2,0),"!COD NO ENCONTRADO"),"")</f>
        <v>VARIADO PEQUEÑO</v>
      </c>
      <c r="I1378" s="77" t="n">
        <v>5</v>
      </c>
      <c r="J1378" s="78" t="n">
        <v>18.4</v>
      </c>
      <c r="K1378" s="79" t="n">
        <v>1</v>
      </c>
      <c r="L1378" s="80" t="n">
        <f aca="false">IF(AND(J1378&lt;&gt;"",K1378&lt;&gt;""),J1378*K1378,"")</f>
        <v>18.4</v>
      </c>
      <c r="M1378" s="142" t="n">
        <f aca="false">IF(L1378&lt;&gt;"",L1378*1.1,"")</f>
        <v>20.24</v>
      </c>
      <c r="N1378" s="143" t="n">
        <f aca="false">IF(F1378="S",L1378*0.02,0)</f>
        <v>0</v>
      </c>
      <c r="O1378" s="144" t="n">
        <f aca="false">IF(L1378&lt;&gt;"",L1378+N1378,"")</f>
        <v>18.4</v>
      </c>
      <c r="P1378" s="143" t="n">
        <f aca="false">IF(O1378&lt;&gt;"",O1378*0.1,"")</f>
        <v>1.84</v>
      </c>
      <c r="Q1378" s="145" t="n">
        <f aca="false">IF(O1378&lt;&gt;"",O1378+P1378,"")</f>
        <v>20.24</v>
      </c>
      <c r="R1378" s="146" t="s">
        <v>365</v>
      </c>
    </row>
    <row r="1379" customFormat="false" ht="15" hidden="false" customHeight="true" outlineLevel="0" collapsed="false">
      <c r="A1379" s="103" t="n">
        <v>56245</v>
      </c>
      <c r="B1379" s="73" t="n">
        <v>46245</v>
      </c>
      <c r="C1379" s="74" t="s">
        <v>627</v>
      </c>
      <c r="D1379" s="87" t="n">
        <v>50514</v>
      </c>
      <c r="E1379" s="46" t="str">
        <f aca="false">IF(D1379&lt;&gt;"",IFERROR(VLOOKUP(D1379,PROVEEDORES!$A:$B,2,0),"!COD NO ENCONTRADO"),"")</f>
        <v>PESCADO Y MARISCOS ADELAIDA S.L.</v>
      </c>
      <c r="F1379" s="88" t="str">
        <f aca="false">IF(D1379&lt;&gt;"",IFERROR(VLOOKUP(D1379,PROVEEDORES!$A:$C,3,0),""),"")</f>
        <v>N</v>
      </c>
      <c r="G1379" s="87" t="s">
        <v>332</v>
      </c>
      <c r="H1379" s="46" t="str">
        <f aca="false">IF(G1379&lt;&gt;"",IFERROR(VLOOKUP(G1379,PRODUCTOS!$A:$B,2,0),"!COD NO ENCONTRADO"),"")</f>
        <v>VARIADO PEQUEÑO</v>
      </c>
      <c r="I1379" s="89" t="n">
        <v>1</v>
      </c>
      <c r="J1379" s="90" t="n">
        <v>5.1</v>
      </c>
      <c r="K1379" s="91" t="n">
        <v>1.8</v>
      </c>
      <c r="L1379" s="80" t="n">
        <f aca="false">IF(AND(J1379&lt;&gt;"",K1379&lt;&gt;""),J1379*K1379,"")</f>
        <v>9.18</v>
      </c>
      <c r="M1379" s="142" t="n">
        <f aca="false">IF(L1379&lt;&gt;"",L1379*1.1,"")</f>
        <v>10.098</v>
      </c>
      <c r="N1379" s="147" t="n">
        <f aca="false">IF(F1379="S",L1379*0.02,0)</f>
        <v>0</v>
      </c>
      <c r="O1379" s="144" t="n">
        <f aca="false">IF(L1379&lt;&gt;"",L1379+N1379,"")</f>
        <v>9.18</v>
      </c>
      <c r="P1379" s="147" t="n">
        <f aca="false">IF(O1379&lt;&gt;"",O1379*0.1,"")</f>
        <v>0.918</v>
      </c>
      <c r="Q1379" s="145" t="n">
        <f aca="false">IF(O1379&lt;&gt;"",O1379+P1379,"")</f>
        <v>10.098</v>
      </c>
      <c r="R1379" s="146" t="s">
        <v>365</v>
      </c>
    </row>
    <row r="1380" customFormat="false" ht="15" hidden="false" customHeight="true" outlineLevel="0" collapsed="false">
      <c r="A1380" s="103" t="n">
        <v>56245</v>
      </c>
      <c r="B1380" s="73" t="n">
        <v>46245</v>
      </c>
      <c r="C1380" s="74" t="s">
        <v>627</v>
      </c>
      <c r="D1380" s="75" t="n">
        <v>50514</v>
      </c>
      <c r="E1380" s="52" t="str">
        <f aca="false">IF(D1380&lt;&gt;"",IFERROR(VLOOKUP(D1380,PROVEEDORES!$A:$B,2,0),"!COD NO ENCONTRADO"),"")</f>
        <v>PESCADO Y MARISCOS ADELAIDA S.L.</v>
      </c>
      <c r="F1380" s="76" t="str">
        <f aca="false">IF(D1380&lt;&gt;"",IFERROR(VLOOKUP(D1380,PROVEEDORES!$A:$C,3,0),""),"")</f>
        <v>N</v>
      </c>
      <c r="G1380" s="75" t="s">
        <v>97</v>
      </c>
      <c r="H1380" s="52" t="str">
        <f aca="false">IF(G1380&lt;&gt;"",IFERROR(VLOOKUP(G1380,PRODUCTOS!$A:$B,2,0),"!COD NO ENCONTRADO"),"")</f>
        <v>CABALL/ SARDA/ VERDEL (MAC)</v>
      </c>
      <c r="I1380" s="77" t="n">
        <v>30</v>
      </c>
      <c r="J1380" s="105" t="n">
        <v>179.65</v>
      </c>
      <c r="K1380" s="79" t="n">
        <v>3.8</v>
      </c>
      <c r="L1380" s="80" t="n">
        <f aca="false">IF(AND(J1380&lt;&gt;"",K1380&lt;&gt;""),J1380*K1380,"")</f>
        <v>682.67</v>
      </c>
      <c r="M1380" s="142" t="n">
        <f aca="false">IF(L1380&lt;&gt;"",L1380*1.1,"")</f>
        <v>750.937</v>
      </c>
      <c r="N1380" s="143" t="n">
        <f aca="false">IF(F1380="S",L1380*0.02,0)</f>
        <v>0</v>
      </c>
      <c r="O1380" s="144" t="n">
        <f aca="false">IF(L1380&lt;&gt;"",L1380+N1380,"")</f>
        <v>682.67</v>
      </c>
      <c r="P1380" s="143" t="n">
        <f aca="false">IF(O1380&lt;&gt;"",O1380*0.1,"")</f>
        <v>68.267</v>
      </c>
      <c r="Q1380" s="145" t="n">
        <f aca="false">IF(O1380&lt;&gt;"",O1380+P1380,"")</f>
        <v>750.937</v>
      </c>
      <c r="R1380" s="146" t="s">
        <v>358</v>
      </c>
    </row>
    <row r="1381" customFormat="false" ht="15" hidden="false" customHeight="true" outlineLevel="0" collapsed="false">
      <c r="A1381" s="103" t="n">
        <v>56246</v>
      </c>
      <c r="B1381" s="85" t="n">
        <v>46246</v>
      </c>
      <c r="C1381" s="86" t="s">
        <v>628</v>
      </c>
      <c r="D1381" s="87" t="n">
        <v>50160</v>
      </c>
      <c r="E1381" s="46" t="str">
        <f aca="false">IF(D1381&lt;&gt;"",IFERROR(VLOOKUP(D1381,PROVEEDORES!$A:$B,2,0),"!COD NO ENCONTRADO"),"")</f>
        <v>SUBASTAS CORUÑA S.L.</v>
      </c>
      <c r="F1381" s="88" t="str">
        <f aca="false">IF(D1381&lt;&gt;"",IFERROR(VLOOKUP(D1381,PROVEEDORES!$A:$C,3,0),""),"")</f>
        <v>S</v>
      </c>
      <c r="G1381" s="87" t="s">
        <v>179</v>
      </c>
      <c r="H1381" s="46" t="str">
        <f aca="false">IF(G1381&lt;&gt;"",IFERROR(VLOOKUP(G1381,PRODUCTOS!$A:$B,2,0),"!COD NO ENCONTRADO"),"")</f>
        <v>LIRIO/ BACALADILLA/ PERLA (WHB)</v>
      </c>
      <c r="I1381" s="89" t="n">
        <v>10</v>
      </c>
      <c r="J1381" s="105" t="n">
        <v>154.3</v>
      </c>
      <c r="K1381" s="91" t="n">
        <v>1.75</v>
      </c>
      <c r="L1381" s="80" t="n">
        <f aca="false">IF(AND(J1381&lt;&gt;"",K1381&lt;&gt;""),J1381*K1381,"")</f>
        <v>270.025</v>
      </c>
      <c r="M1381" s="142" t="n">
        <f aca="false">IF(L1381&lt;&gt;"",L1381*1.1,"")</f>
        <v>297.0275</v>
      </c>
      <c r="N1381" s="147" t="n">
        <f aca="false">IF(F1381="S",L1381*0.02,0)</f>
        <v>5.4005</v>
      </c>
      <c r="O1381" s="144" t="n">
        <f aca="false">IF(L1381&lt;&gt;"",L1381+N1381,"")</f>
        <v>275.4255</v>
      </c>
      <c r="P1381" s="147" t="n">
        <f aca="false">IF(O1381&lt;&gt;"",O1381*0.1,"")</f>
        <v>27.54255</v>
      </c>
      <c r="Q1381" s="145" t="n">
        <f aca="false">IF(O1381&lt;&gt;"",O1381+P1381,"")</f>
        <v>302.96805</v>
      </c>
      <c r="R1381" s="146" t="s">
        <v>365</v>
      </c>
    </row>
    <row r="1382" customFormat="false" ht="15" hidden="false" customHeight="true" outlineLevel="0" collapsed="false">
      <c r="A1382" s="103" t="n">
        <v>56247</v>
      </c>
      <c r="B1382" s="73" t="n">
        <v>46246</v>
      </c>
      <c r="C1382" s="74" t="s">
        <v>629</v>
      </c>
      <c r="D1382" s="75" t="n">
        <v>50232</v>
      </c>
      <c r="E1382" s="52" t="str">
        <f aca="false">IF(D1382&lt;&gt;"",IFERROR(VLOOKUP(D1382,PROVEEDORES!$A:$B,2,0),"!COD NO ENCONTRADO"),"")</f>
        <v>XESTION NOVA LONXA RIVEIRA S.L.</v>
      </c>
      <c r="F1382" s="76" t="str">
        <f aca="false">IF(D1382&lt;&gt;"",IFERROR(VLOOKUP(D1382,PROVEEDORES!$A:$C,3,0),""),"")</f>
        <v>S</v>
      </c>
      <c r="G1382" s="75" t="s">
        <v>179</v>
      </c>
      <c r="H1382" s="52" t="str">
        <f aca="false">IF(G1382&lt;&gt;"",IFERROR(VLOOKUP(G1382,PRODUCTOS!$A:$B,2,0),"!COD NO ENCONTRADO"),"")</f>
        <v>LIRIO/ BACALADILLA/ PERLA (WHB)</v>
      </c>
      <c r="I1382" s="77" t="n">
        <v>10</v>
      </c>
      <c r="J1382" s="78" t="n">
        <v>155.6</v>
      </c>
      <c r="K1382" s="79" t="n">
        <v>1.8</v>
      </c>
      <c r="L1382" s="80" t="n">
        <f aca="false">IF(AND(J1382&lt;&gt;"",K1382&lt;&gt;""),J1382*K1382,"")</f>
        <v>280.08</v>
      </c>
      <c r="M1382" s="142" t="n">
        <f aca="false">IF(L1382&lt;&gt;"",L1382*1.1,"")</f>
        <v>308.088</v>
      </c>
      <c r="N1382" s="143" t="n">
        <f aca="false">IF(F1382="S",L1382*0.02,0)</f>
        <v>5.6016</v>
      </c>
      <c r="O1382" s="144" t="n">
        <f aca="false">IF(L1382&lt;&gt;"",L1382+N1382,"")</f>
        <v>285.6816</v>
      </c>
      <c r="P1382" s="143" t="n">
        <f aca="false">IF(O1382&lt;&gt;"",O1382*0.1,"")</f>
        <v>28.56816</v>
      </c>
      <c r="Q1382" s="145" t="n">
        <f aca="false">IF(O1382&lt;&gt;"",O1382+P1382,"")</f>
        <v>314.24976</v>
      </c>
      <c r="R1382" s="146" t="s">
        <v>365</v>
      </c>
    </row>
    <row r="1383" customFormat="false" ht="15" hidden="false" customHeight="true" outlineLevel="0" collapsed="false">
      <c r="A1383" s="103" t="n">
        <v>56247</v>
      </c>
      <c r="B1383" s="73" t="n">
        <v>46246</v>
      </c>
      <c r="C1383" s="74" t="s">
        <v>629</v>
      </c>
      <c r="D1383" s="75" t="n">
        <v>50232</v>
      </c>
      <c r="E1383" s="46" t="str">
        <f aca="false">IF(D1383&lt;&gt;"",IFERROR(VLOOKUP(D1383,PROVEEDORES!$A:$B,2,0),"!COD NO ENCONTRADO"),"")</f>
        <v>XESTION NOVA LONXA RIVEIRA S.L.</v>
      </c>
      <c r="F1383" s="88" t="str">
        <f aca="false">IF(D1383&lt;&gt;"",IFERROR(VLOOKUP(D1383,PROVEEDORES!$A:$C,3,0),""),"")</f>
        <v>S</v>
      </c>
      <c r="G1383" s="87" t="s">
        <v>276</v>
      </c>
      <c r="H1383" s="46" t="str">
        <f aca="false">IF(G1383&lt;&gt;"",IFERROR(VLOOKUP(G1383,PRODUCTOS!$A:$B,2,0),"!COD NO ENCONTRADO"),"")</f>
        <v>MERLUZA EUROPEA/ FINA DIA </v>
      </c>
      <c r="I1383" s="89" t="n">
        <v>1</v>
      </c>
      <c r="J1383" s="90" t="n">
        <v>11.5</v>
      </c>
      <c r="K1383" s="91" t="n">
        <v>3</v>
      </c>
      <c r="L1383" s="80" t="n">
        <f aca="false">IF(AND(J1383&lt;&gt;"",K1383&lt;&gt;""),J1383*K1383,"")</f>
        <v>34.5</v>
      </c>
      <c r="M1383" s="142" t="n">
        <f aca="false">IF(L1383&lt;&gt;"",L1383*1.1,"")</f>
        <v>37.95</v>
      </c>
      <c r="N1383" s="147" t="n">
        <f aca="false">IF(F1383="S",L1383*0.02,0)</f>
        <v>0.69</v>
      </c>
      <c r="O1383" s="144" t="n">
        <f aca="false">IF(L1383&lt;&gt;"",L1383+N1383,"")</f>
        <v>35.19</v>
      </c>
      <c r="P1383" s="147" t="n">
        <f aca="false">IF(O1383&lt;&gt;"",O1383*0.1,"")</f>
        <v>3.519</v>
      </c>
      <c r="Q1383" s="145" t="n">
        <f aca="false">IF(O1383&lt;&gt;"",O1383+P1383,"")</f>
        <v>38.709</v>
      </c>
      <c r="R1383" s="146" t="s">
        <v>365</v>
      </c>
    </row>
    <row r="1384" customFormat="false" ht="15" hidden="false" customHeight="true" outlineLevel="0" collapsed="false">
      <c r="A1384" s="103" t="n">
        <v>56247</v>
      </c>
      <c r="B1384" s="73" t="n">
        <v>46246</v>
      </c>
      <c r="C1384" s="74" t="s">
        <v>629</v>
      </c>
      <c r="D1384" s="75" t="n">
        <v>50232</v>
      </c>
      <c r="E1384" s="52" t="str">
        <f aca="false">IF(D1384&lt;&gt;"",IFERROR(VLOOKUP(D1384,PROVEEDORES!$A:$B,2,0),"!COD NO ENCONTRADO"),"")</f>
        <v>XESTION NOVA LONXA RIVEIRA S.L.</v>
      </c>
      <c r="F1384" s="76" t="str">
        <f aca="false">IF(D1384&lt;&gt;"",IFERROR(VLOOKUP(D1384,PROVEEDORES!$A:$C,3,0),""),"")</f>
        <v>S</v>
      </c>
      <c r="G1384" s="75" t="s">
        <v>276</v>
      </c>
      <c r="H1384" s="52" t="str">
        <f aca="false">IF(G1384&lt;&gt;"",IFERROR(VLOOKUP(G1384,PRODUCTOS!$A:$B,2,0),"!COD NO ENCONTRADO"),"")</f>
        <v>MERLUZA EUROPEA/ FINA DIA </v>
      </c>
      <c r="I1384" s="77" t="n">
        <v>23</v>
      </c>
      <c r="J1384" s="105" t="n">
        <v>214.8</v>
      </c>
      <c r="K1384" s="79" t="n">
        <v>3.7</v>
      </c>
      <c r="L1384" s="80" t="n">
        <f aca="false">IF(AND(J1384&lt;&gt;"",K1384&lt;&gt;""),J1384*K1384,"")</f>
        <v>794.76</v>
      </c>
      <c r="M1384" s="142" t="n">
        <f aca="false">IF(L1384&lt;&gt;"",L1384*1.1,"")</f>
        <v>874.236</v>
      </c>
      <c r="N1384" s="143" t="n">
        <f aca="false">IF(F1384="S",L1384*0.02,0)</f>
        <v>15.8952</v>
      </c>
      <c r="O1384" s="144" t="n">
        <f aca="false">IF(L1384&lt;&gt;"",L1384+N1384,"")</f>
        <v>810.6552</v>
      </c>
      <c r="P1384" s="143" t="n">
        <f aca="false">IF(O1384&lt;&gt;"",O1384*0.1,"")</f>
        <v>81.06552</v>
      </c>
      <c r="Q1384" s="145" t="n">
        <f aca="false">IF(O1384&lt;&gt;"",O1384+P1384,"")</f>
        <v>891.72072</v>
      </c>
      <c r="R1384" s="146" t="s">
        <v>365</v>
      </c>
    </row>
    <row r="1385" customFormat="false" ht="15" hidden="false" customHeight="true" outlineLevel="0" collapsed="false">
      <c r="A1385" s="103" t="n">
        <v>56247</v>
      </c>
      <c r="B1385" s="73" t="n">
        <v>46246</v>
      </c>
      <c r="C1385" s="74" t="s">
        <v>629</v>
      </c>
      <c r="D1385" s="75" t="n">
        <v>50232</v>
      </c>
      <c r="E1385" s="46" t="str">
        <f aca="false">IF(D1385&lt;&gt;"",IFERROR(VLOOKUP(D1385,PROVEEDORES!$A:$B,2,0),"!COD NO ENCONTRADO"),"")</f>
        <v>XESTION NOVA LONXA RIVEIRA S.L.</v>
      </c>
      <c r="F1385" s="88" t="str">
        <f aca="false">IF(D1385&lt;&gt;"",IFERROR(VLOOKUP(D1385,PROVEEDORES!$A:$C,3,0),""),"")</f>
        <v>S</v>
      </c>
      <c r="G1385" s="87" t="s">
        <v>310</v>
      </c>
      <c r="H1385" s="46" t="str">
        <f aca="false">IF(G1385&lt;&gt;"",IFERROR(VLOOKUP(G1385,PRODUCTOS!$A:$B,2,0),"!COD NO ENCONTRADO"),"")</f>
        <v>SABOGA/ SALEMA/ SALMA (SLM)</v>
      </c>
      <c r="I1385" s="89" t="n">
        <v>3</v>
      </c>
      <c r="J1385" s="90" t="n">
        <v>44.6</v>
      </c>
      <c r="K1385" s="91" t="n">
        <v>0.8</v>
      </c>
      <c r="L1385" s="80" t="n">
        <f aca="false">IF(AND(J1385&lt;&gt;"",K1385&lt;&gt;""),J1385*K1385,"")</f>
        <v>35.68</v>
      </c>
      <c r="M1385" s="142" t="n">
        <f aca="false">IF(L1385&lt;&gt;"",L1385*1.1,"")</f>
        <v>39.248</v>
      </c>
      <c r="N1385" s="147" t="n">
        <f aca="false">IF(F1385="S",L1385*0.02,0)</f>
        <v>0.7136</v>
      </c>
      <c r="O1385" s="144" t="n">
        <f aca="false">IF(L1385&lt;&gt;"",L1385+N1385,"")</f>
        <v>36.3936</v>
      </c>
      <c r="P1385" s="147" t="n">
        <f aca="false">IF(O1385&lt;&gt;"",O1385*0.1,"")</f>
        <v>3.63936</v>
      </c>
      <c r="Q1385" s="145" t="n">
        <f aca="false">IF(O1385&lt;&gt;"",O1385+P1385,"")</f>
        <v>40.03296</v>
      </c>
      <c r="R1385" s="146" t="s">
        <v>365</v>
      </c>
    </row>
    <row r="1386" customFormat="false" ht="15" hidden="false" customHeight="true" outlineLevel="0" collapsed="false">
      <c r="A1386" s="103" t="n">
        <v>56247</v>
      </c>
      <c r="B1386" s="73" t="n">
        <v>46246</v>
      </c>
      <c r="C1386" s="74" t="s">
        <v>629</v>
      </c>
      <c r="D1386" s="75" t="n">
        <v>50232</v>
      </c>
      <c r="E1386" s="52" t="str">
        <f aca="false">IF(D1386&lt;&gt;"",IFERROR(VLOOKUP(D1386,PROVEEDORES!$A:$B,2,0),"!COD NO ENCONTRADO"),"")</f>
        <v>XESTION NOVA LONXA RIVEIRA S.L.</v>
      </c>
      <c r="F1386" s="76" t="str">
        <f aca="false">IF(D1386&lt;&gt;"",IFERROR(VLOOKUP(D1386,PROVEEDORES!$A:$C,3,0),""),"")</f>
        <v>S</v>
      </c>
      <c r="G1386" s="75" t="s">
        <v>270</v>
      </c>
      <c r="H1386" s="52" t="str">
        <f aca="false">IF(G1386&lt;&gt;"",IFERROR(VLOOKUP(G1386,PRODUCTOS!$A:$B,2,0),"!COD NO ENCONTRADO"),"")</f>
        <v>PEON/ PION (ATP)</v>
      </c>
      <c r="I1386" s="77" t="n">
        <v>3</v>
      </c>
      <c r="J1386" s="78" t="n">
        <v>24</v>
      </c>
      <c r="K1386" s="79" t="n">
        <v>4</v>
      </c>
      <c r="L1386" s="80" t="n">
        <f aca="false">IF(AND(J1386&lt;&gt;"",K1386&lt;&gt;""),J1386*K1386,"")</f>
        <v>96</v>
      </c>
      <c r="M1386" s="142" t="n">
        <f aca="false">IF(L1386&lt;&gt;"",L1386*1.1,"")</f>
        <v>105.6</v>
      </c>
      <c r="N1386" s="143" t="n">
        <f aca="false">IF(F1386="S",L1386*0.02,0)</f>
        <v>1.92</v>
      </c>
      <c r="O1386" s="144" t="n">
        <f aca="false">IF(L1386&lt;&gt;"",L1386+N1386,"")</f>
        <v>97.92</v>
      </c>
      <c r="P1386" s="143" t="n">
        <f aca="false">IF(O1386&lt;&gt;"",O1386*0.1,"")</f>
        <v>9.792</v>
      </c>
      <c r="Q1386" s="145" t="n">
        <f aca="false">IF(O1386&lt;&gt;"",O1386+P1386,"")</f>
        <v>107.712</v>
      </c>
      <c r="R1386" s="146" t="s">
        <v>365</v>
      </c>
    </row>
    <row r="1387" customFormat="false" ht="15" hidden="false" customHeight="true" outlineLevel="0" collapsed="false">
      <c r="A1387" s="103" t="n">
        <v>56247</v>
      </c>
      <c r="B1387" s="73" t="n">
        <v>46246</v>
      </c>
      <c r="C1387" s="74" t="s">
        <v>630</v>
      </c>
      <c r="D1387" s="75" t="n">
        <v>50232</v>
      </c>
      <c r="E1387" s="52" t="str">
        <f aca="false">IF(D1387&lt;&gt;"",IFERROR(VLOOKUP(D1387,PROVEEDORES!$A:$B,2,0),"!COD NO ENCONTRADO"),"")</f>
        <v>XESTION NOVA LONXA RIVEIRA S.L.</v>
      </c>
      <c r="F1387" s="88" t="str">
        <f aca="false">IF(D1387&lt;&gt;"",IFERROR(VLOOKUP(D1387,PROVEEDORES!$A:$C,3,0),""),"")</f>
        <v>S</v>
      </c>
      <c r="G1387" s="87" t="s">
        <v>631</v>
      </c>
      <c r="H1387" s="46" t="str">
        <f aca="false">IF(G1387&lt;&gt;"",IFERROR(VLOOKUP(G1387,PRODUCTOS!$A:$B,2,0),"!COD NO ENCONTRADO"),"")</f>
        <v>ATUN ROJO (BFT)</v>
      </c>
      <c r="I1387" s="89" t="n">
        <v>1</v>
      </c>
      <c r="J1387" s="90" t="n">
        <v>235</v>
      </c>
      <c r="K1387" s="91" t="n">
        <v>10.2</v>
      </c>
      <c r="L1387" s="80" t="n">
        <f aca="false">IF(AND(J1387&lt;&gt;"",K1387&lt;&gt;""),J1387*K1387,"")</f>
        <v>2397</v>
      </c>
      <c r="M1387" s="142" t="n">
        <f aca="false">IF(L1387&lt;&gt;"",L1387*1.1,"")</f>
        <v>2636.7</v>
      </c>
      <c r="N1387" s="147" t="n">
        <f aca="false">IF(F1387="S",L1387*0.02,0)</f>
        <v>47.94</v>
      </c>
      <c r="O1387" s="144" t="n">
        <f aca="false">IF(L1387&lt;&gt;"",L1387+N1387,"")</f>
        <v>2444.94</v>
      </c>
      <c r="P1387" s="147" t="n">
        <f aca="false">IF(O1387&lt;&gt;"",O1387*0.1,"")</f>
        <v>244.494</v>
      </c>
      <c r="Q1387" s="145" t="n">
        <f aca="false">IF(O1387&lt;&gt;"",O1387+P1387,"")</f>
        <v>2689.434</v>
      </c>
      <c r="R1387" s="146" t="s">
        <v>365</v>
      </c>
    </row>
    <row r="1388" customFormat="false" ht="15" hidden="false" customHeight="true" outlineLevel="0" collapsed="false">
      <c r="A1388" s="103" t="n">
        <v>56247</v>
      </c>
      <c r="B1388" s="85" t="n">
        <v>46246</v>
      </c>
      <c r="C1388" s="74" t="s">
        <v>629</v>
      </c>
      <c r="D1388" s="87" t="n">
        <v>50232</v>
      </c>
      <c r="E1388" s="46" t="str">
        <f aca="false">IF(D1388&lt;&gt;"",IFERROR(VLOOKUP(D1388,PROVEEDORES!$A:$B,2,0),"!COD NO ENCONTRADO"),"")</f>
        <v>XESTION NOVA LONXA RIVEIRA S.L.</v>
      </c>
      <c r="F1388" s="88" t="str">
        <f aca="false">IF(D1388&lt;&gt;"",IFERROR(VLOOKUP(D1388,PROVEEDORES!$A:$C,3,0),""),"")</f>
        <v>S</v>
      </c>
      <c r="G1388" s="87" t="s">
        <v>288</v>
      </c>
      <c r="H1388" s="46" t="str">
        <f aca="false">IF(G1388&lt;&gt;"",IFERROR(VLOOKUP(G1388,PRODUCTOS!$A:$B,2,0),"!COD NO ENCONTRADO"),"")</f>
        <v>RAPE BLANCO DIA (MON)</v>
      </c>
      <c r="I1388" s="89" t="n">
        <v>1</v>
      </c>
      <c r="J1388" s="90" t="n">
        <v>13</v>
      </c>
      <c r="K1388" s="91" t="n">
        <v>5</v>
      </c>
      <c r="L1388" s="80" t="n">
        <f aca="false">IF(AND(J1388&lt;&gt;"",K1388&lt;&gt;""),J1388*K1388,"")</f>
        <v>65</v>
      </c>
      <c r="M1388" s="142" t="n">
        <f aca="false">IF(L1388&lt;&gt;"",L1388*1.1,"")</f>
        <v>71.5</v>
      </c>
      <c r="N1388" s="147" t="n">
        <f aca="false">IF(F1388="S",L1388*0.02,0)</f>
        <v>1.3</v>
      </c>
      <c r="O1388" s="144" t="n">
        <f aca="false">IF(L1388&lt;&gt;"",L1388+N1388,"")</f>
        <v>66.3</v>
      </c>
      <c r="P1388" s="147" t="n">
        <f aca="false">IF(O1388&lt;&gt;"",O1388*0.1,"")</f>
        <v>6.63</v>
      </c>
      <c r="Q1388" s="145" t="n">
        <f aca="false">IF(O1388&lt;&gt;"",O1388+P1388,"")</f>
        <v>72.93</v>
      </c>
      <c r="R1388" s="146" t="s">
        <v>365</v>
      </c>
    </row>
    <row r="1389" customFormat="false" ht="15" hidden="false" customHeight="true" outlineLevel="0" collapsed="false">
      <c r="A1389" s="103" t="n">
        <v>56248</v>
      </c>
      <c r="B1389" s="73" t="n">
        <v>46246</v>
      </c>
      <c r="C1389" s="74" t="s">
        <v>632</v>
      </c>
      <c r="D1389" s="75" t="n">
        <v>50001</v>
      </c>
      <c r="E1389" s="52" t="str">
        <f aca="false">IF(D1389&lt;&gt;"",IFERROR(VLOOKUP(D1389,PROVEEDORES!$A:$B,2,0),"!COD NO ENCONTRADO"),"")</f>
        <v>COPESA</v>
      </c>
      <c r="F1389" s="76" t="str">
        <f aca="false">IF(D1389&lt;&gt;"",IFERROR(VLOOKUP(D1389,PROVEEDORES!$A:$C,3,0),""),"")</f>
        <v>S</v>
      </c>
      <c r="G1389" s="75" t="s">
        <v>292</v>
      </c>
      <c r="H1389" s="52" t="str">
        <f aca="false">IF(G1389&lt;&gt;"",IFERROR(VLOOKUP(G1389,PRODUCTOS!$A:$B,2,0),"!COD NO ENCONTRADO"),"")</f>
        <v>RAPE BLANCO RASCO (MON)</v>
      </c>
      <c r="I1389" s="77" t="n">
        <v>2</v>
      </c>
      <c r="J1389" s="78" t="n">
        <v>36</v>
      </c>
      <c r="K1389" s="79" t="n">
        <v>6</v>
      </c>
      <c r="L1389" s="80" t="n">
        <f aca="false">IF(AND(J1389&lt;&gt;"",K1389&lt;&gt;""),J1389*K1389,"")</f>
        <v>216</v>
      </c>
      <c r="M1389" s="142" t="n">
        <f aca="false">IF(L1389&lt;&gt;"",L1389*1.1,"")</f>
        <v>237.6</v>
      </c>
      <c r="N1389" s="143" t="n">
        <f aca="false">IF(F1389="S",L1389*0.02,0)</f>
        <v>4.32</v>
      </c>
      <c r="O1389" s="144" t="n">
        <f aca="false">IF(L1389&lt;&gt;"",L1389+N1389,"")</f>
        <v>220.32</v>
      </c>
      <c r="P1389" s="143" t="n">
        <f aca="false">IF(O1389&lt;&gt;"",O1389*0.1,"")</f>
        <v>22.032</v>
      </c>
      <c r="Q1389" s="145" t="n">
        <f aca="false">IF(O1389&lt;&gt;"",O1389+P1389,"")</f>
        <v>242.352</v>
      </c>
      <c r="R1389" s="146" t="s">
        <v>365</v>
      </c>
    </row>
    <row r="1390" customFormat="false" ht="15" hidden="false" customHeight="true" outlineLevel="0" collapsed="false">
      <c r="A1390" s="103" t="n">
        <v>56248</v>
      </c>
      <c r="B1390" s="73" t="n">
        <v>46246</v>
      </c>
      <c r="C1390" s="74" t="s">
        <v>632</v>
      </c>
      <c r="D1390" s="75" t="n">
        <v>50001</v>
      </c>
      <c r="E1390" s="46" t="str">
        <f aca="false">IF(D1390&lt;&gt;"",IFERROR(VLOOKUP(D1390,PROVEEDORES!$A:$B,2,0),"!COD NO ENCONTRADO"),"")</f>
        <v>COPESA</v>
      </c>
      <c r="F1390" s="88" t="str">
        <f aca="false">IF(D1390&lt;&gt;"",IFERROR(VLOOKUP(D1390,PROVEEDORES!$A:$C,3,0),""),"")</f>
        <v>S</v>
      </c>
      <c r="G1390" s="87" t="s">
        <v>193</v>
      </c>
      <c r="H1390" s="46" t="str">
        <f aca="false">IF(G1390&lt;&gt;"",IFERROR(VLOOKUP(G1390,PRODUCTOS!$A:$B,2,0),"!COD NO ENCONTRADO"),"")</f>
        <v>MERLUZA EUROPEA ARRASTRE (HKE) </v>
      </c>
      <c r="I1390" s="89" t="n">
        <v>3</v>
      </c>
      <c r="J1390" s="105" t="n">
        <v>53.25</v>
      </c>
      <c r="K1390" s="125" t="n">
        <v>3.6</v>
      </c>
      <c r="L1390" s="80" t="n">
        <f aca="false">IF(AND(J1390&lt;&gt;"",K1390&lt;&gt;""),J1390*K1390,"")</f>
        <v>191.7</v>
      </c>
      <c r="M1390" s="142" t="n">
        <f aca="false">IF(L1390&lt;&gt;"",L1390*1.1,"")</f>
        <v>210.87</v>
      </c>
      <c r="N1390" s="147" t="n">
        <f aca="false">IF(F1390="S",L1390*0.02,0)</f>
        <v>3.834</v>
      </c>
      <c r="O1390" s="144" t="n">
        <f aca="false">IF(L1390&lt;&gt;"",L1390+N1390,"")</f>
        <v>195.534</v>
      </c>
      <c r="P1390" s="147" t="n">
        <f aca="false">IF(O1390&lt;&gt;"",O1390*0.1,"")</f>
        <v>19.5534</v>
      </c>
      <c r="Q1390" s="145" t="n">
        <f aca="false">IF(O1390&lt;&gt;"",O1390+P1390,"")</f>
        <v>215.0874</v>
      </c>
      <c r="R1390" s="146" t="s">
        <v>365</v>
      </c>
    </row>
    <row r="1391" customFormat="false" ht="15" hidden="false" customHeight="true" outlineLevel="0" collapsed="false">
      <c r="A1391" s="103" t="n">
        <v>56248</v>
      </c>
      <c r="B1391" s="73" t="n">
        <v>46246</v>
      </c>
      <c r="C1391" s="74" t="s">
        <v>632</v>
      </c>
      <c r="D1391" s="75" t="n">
        <v>50001</v>
      </c>
      <c r="E1391" s="46" t="str">
        <f aca="false">IF(D1391&lt;&gt;"",IFERROR(VLOOKUP(D1391,PROVEEDORES!$A:$B,2,0),"!COD NO ENCONTRADO"),"")</f>
        <v>COPESA</v>
      </c>
      <c r="F1391" s="88" t="str">
        <f aca="false">IF(D1391&lt;&gt;"",IFERROR(VLOOKUP(D1391,PROVEEDORES!$A:$C,3,0),""),"")</f>
        <v>S</v>
      </c>
      <c r="G1391" s="87" t="s">
        <v>193</v>
      </c>
      <c r="H1391" s="52" t="str">
        <f aca="false">IF(G1391&lt;&gt;"",IFERROR(VLOOKUP(G1391,PRODUCTOS!$A:$B,2,0),"!COD NO ENCONTRADO"),"")</f>
        <v>MERLUZA EUROPEA ARRASTRE (HKE) </v>
      </c>
      <c r="I1391" s="77" t="n">
        <v>2</v>
      </c>
      <c r="J1391" s="105" t="n">
        <v>35.75</v>
      </c>
      <c r="K1391" s="125" t="n">
        <v>6</v>
      </c>
      <c r="L1391" s="80" t="n">
        <f aca="false">IF(AND(J1391&lt;&gt;"",K1391&lt;&gt;""),J1391*K1391,"")</f>
        <v>214.5</v>
      </c>
      <c r="M1391" s="142" t="n">
        <f aca="false">IF(L1391&lt;&gt;"",L1391*1.1,"")</f>
        <v>235.95</v>
      </c>
      <c r="N1391" s="143" t="n">
        <f aca="false">IF(F1391="S",L1391*0.02,0)</f>
        <v>4.29</v>
      </c>
      <c r="O1391" s="144" t="n">
        <f aca="false">IF(L1391&lt;&gt;"",L1391+N1391,"")</f>
        <v>218.79</v>
      </c>
      <c r="P1391" s="143" t="n">
        <f aca="false">IF(O1391&lt;&gt;"",O1391*0.1,"")</f>
        <v>21.879</v>
      </c>
      <c r="Q1391" s="145" t="n">
        <f aca="false">IF(O1391&lt;&gt;"",O1391+P1391,"")</f>
        <v>240.669</v>
      </c>
      <c r="R1391" s="146" t="s">
        <v>365</v>
      </c>
    </row>
    <row r="1392" customFormat="false" ht="15" hidden="false" customHeight="true" outlineLevel="0" collapsed="false">
      <c r="A1392" s="103" t="n">
        <v>56248</v>
      </c>
      <c r="B1392" s="73" t="n">
        <v>46246</v>
      </c>
      <c r="C1392" s="74" t="s">
        <v>632</v>
      </c>
      <c r="D1392" s="87" t="n">
        <v>50001</v>
      </c>
      <c r="E1392" s="46" t="str">
        <f aca="false">IF(D1392&lt;&gt;"",IFERROR(VLOOKUP(D1392,PROVEEDORES!$A:$B,2,0),"!COD NO ENCONTRADO"),"")</f>
        <v>COPESA</v>
      </c>
      <c r="F1392" s="88" t="str">
        <f aca="false">IF(D1392&lt;&gt;"",IFERROR(VLOOKUP(D1392,PROVEEDORES!$A:$C,3,0),""),"")</f>
        <v>S</v>
      </c>
      <c r="G1392" s="87" t="s">
        <v>332</v>
      </c>
      <c r="H1392" s="46" t="str">
        <f aca="false">IF(G1392&lt;&gt;"",IFERROR(VLOOKUP(G1392,PRODUCTOS!$A:$B,2,0),"!COD NO ENCONTRADO"),"")</f>
        <v>VARIADO PEQUEÑO</v>
      </c>
      <c r="I1392" s="89" t="n">
        <v>2</v>
      </c>
      <c r="J1392" s="105" t="n">
        <v>35</v>
      </c>
      <c r="K1392" s="125" t="n">
        <v>0.3</v>
      </c>
      <c r="L1392" s="80" t="n">
        <f aca="false">IF(AND(J1392&lt;&gt;"",K1392&lt;&gt;""),J1392*K1392,"")</f>
        <v>10.5</v>
      </c>
      <c r="M1392" s="142" t="n">
        <f aca="false">IF(L1392&lt;&gt;"",L1392*1.1,"")</f>
        <v>11.55</v>
      </c>
      <c r="N1392" s="147" t="n">
        <f aca="false">IF(F1392="S",L1392*0.02,0)</f>
        <v>0.21</v>
      </c>
      <c r="O1392" s="144" t="n">
        <f aca="false">IF(L1392&lt;&gt;"",L1392+N1392,"")</f>
        <v>10.71</v>
      </c>
      <c r="P1392" s="147" t="n">
        <f aca="false">IF(O1392&lt;&gt;"",O1392*0.1,"")</f>
        <v>1.071</v>
      </c>
      <c r="Q1392" s="145" t="n">
        <f aca="false">IF(O1392&lt;&gt;"",O1392+P1392,"")</f>
        <v>11.781</v>
      </c>
      <c r="R1392" s="146" t="s">
        <v>365</v>
      </c>
    </row>
    <row r="1393" customFormat="false" ht="15" hidden="false" customHeight="true" outlineLevel="0" collapsed="false">
      <c r="A1393" s="103" t="n">
        <v>56248</v>
      </c>
      <c r="B1393" s="73" t="n">
        <v>46246</v>
      </c>
      <c r="C1393" s="74" t="s">
        <v>632</v>
      </c>
      <c r="D1393" s="75" t="n">
        <v>50001</v>
      </c>
      <c r="E1393" s="52" t="str">
        <f aca="false">IF(D1393&lt;&gt;"",IFERROR(VLOOKUP(D1393,PROVEEDORES!$A:$B,2,0),"!COD NO ENCONTRADO"),"")</f>
        <v>COPESA</v>
      </c>
      <c r="F1393" s="76" t="str">
        <f aca="false">IF(D1393&lt;&gt;"",IFERROR(VLOOKUP(D1393,PROVEEDORES!$A:$C,3,0),""),"")</f>
        <v>S</v>
      </c>
      <c r="G1393" s="75" t="s">
        <v>332</v>
      </c>
      <c r="H1393" s="52" t="str">
        <f aca="false">IF(G1393&lt;&gt;"",IFERROR(VLOOKUP(G1393,PRODUCTOS!$A:$B,2,0),"!COD NO ENCONTRADO"),"")</f>
        <v>VARIADO PEQUEÑO</v>
      </c>
      <c r="I1393" s="77" t="n">
        <v>1</v>
      </c>
      <c r="J1393" s="105" t="n">
        <v>8</v>
      </c>
      <c r="K1393" s="125" t="n">
        <v>0.3</v>
      </c>
      <c r="L1393" s="80" t="n">
        <f aca="false">IF(AND(J1393&lt;&gt;"",K1393&lt;&gt;""),J1393*K1393,"")</f>
        <v>2.4</v>
      </c>
      <c r="M1393" s="142" t="n">
        <f aca="false">IF(L1393&lt;&gt;"",L1393*1.1,"")</f>
        <v>2.64</v>
      </c>
      <c r="N1393" s="143" t="n">
        <f aca="false">IF(F1393="S",L1393*0.02,0)</f>
        <v>0.048</v>
      </c>
      <c r="O1393" s="144" t="n">
        <f aca="false">IF(L1393&lt;&gt;"",L1393+N1393,"")</f>
        <v>2.448</v>
      </c>
      <c r="P1393" s="143" t="n">
        <f aca="false">IF(O1393&lt;&gt;"",O1393*0.1,"")</f>
        <v>0.2448</v>
      </c>
      <c r="Q1393" s="145" t="n">
        <f aca="false">IF(O1393&lt;&gt;"",O1393+P1393,"")</f>
        <v>2.6928</v>
      </c>
      <c r="R1393" s="146" t="s">
        <v>365</v>
      </c>
    </row>
    <row r="1394" customFormat="false" ht="15" hidden="false" customHeight="true" outlineLevel="0" collapsed="false">
      <c r="A1394" s="103" t="n">
        <v>56248</v>
      </c>
      <c r="B1394" s="73" t="n">
        <v>46246</v>
      </c>
      <c r="C1394" s="74" t="s">
        <v>632</v>
      </c>
      <c r="D1394" s="75" t="n">
        <v>50001</v>
      </c>
      <c r="E1394" s="52" t="str">
        <f aca="false">IF(D1394&lt;&gt;"",IFERROR(VLOOKUP(D1394,PROVEEDORES!$A:$B,2,0),"!COD NO ENCONTRADO"),"")</f>
        <v>COPESA</v>
      </c>
      <c r="F1394" s="88" t="str">
        <f aca="false">IF(D1394&lt;&gt;"",IFERROR(VLOOKUP(D1394,PROVEEDORES!$A:$C,3,0),""),"")</f>
        <v>S</v>
      </c>
      <c r="G1394" s="87" t="s">
        <v>93</v>
      </c>
      <c r="H1394" s="46" t="str">
        <f aca="false">IF(G1394&lt;&gt;"",IFERROR(VLOOKUP(G1394,PRODUCTOS!$A:$B,2,0),"!COD NO ENCONTRADO"),"")</f>
        <v>BOQUERON/ BOCARTE/ ANCHOA (ANE)</v>
      </c>
      <c r="I1394" s="89" t="n">
        <v>1</v>
      </c>
      <c r="J1394" s="105" t="n">
        <v>201</v>
      </c>
      <c r="K1394" s="125" t="n">
        <v>1.25</v>
      </c>
      <c r="L1394" s="80" t="n">
        <f aca="false">IF(AND(J1394&lt;&gt;"",K1394&lt;&gt;""),J1394*K1394,"")</f>
        <v>251.25</v>
      </c>
      <c r="M1394" s="142" t="n">
        <f aca="false">IF(L1394&lt;&gt;"",L1394*1.1,"")</f>
        <v>276.375</v>
      </c>
      <c r="N1394" s="147" t="n">
        <f aca="false">IF(F1394="S",L1394*0.02,0)</f>
        <v>5.025</v>
      </c>
      <c r="O1394" s="144" t="n">
        <f aca="false">IF(L1394&lt;&gt;"",L1394+N1394,"")</f>
        <v>256.275</v>
      </c>
      <c r="P1394" s="147" t="n">
        <f aca="false">IF(O1394&lt;&gt;"",O1394*0.1,"")</f>
        <v>25.6275</v>
      </c>
      <c r="Q1394" s="145" t="n">
        <f aca="false">IF(O1394&lt;&gt;"",O1394+P1394,"")</f>
        <v>281.9025</v>
      </c>
      <c r="R1394" s="146" t="s">
        <v>365</v>
      </c>
    </row>
    <row r="1395" customFormat="false" ht="15" hidden="false" customHeight="true" outlineLevel="0" collapsed="false">
      <c r="A1395" s="103" t="n">
        <v>56248</v>
      </c>
      <c r="B1395" s="73" t="n">
        <v>46246</v>
      </c>
      <c r="C1395" s="74" t="s">
        <v>632</v>
      </c>
      <c r="D1395" s="75" t="n">
        <v>50001</v>
      </c>
      <c r="E1395" s="52" t="str">
        <f aca="false">IF(D1395&lt;&gt;"",IFERROR(VLOOKUP(D1395,PROVEEDORES!$A:$B,2,0),"!COD NO ENCONTRADO"),"")</f>
        <v>COPESA</v>
      </c>
      <c r="F1395" s="76" t="str">
        <f aca="false">IF(D1395&lt;&gt;"",IFERROR(VLOOKUP(D1395,PROVEEDORES!$A:$C,3,0),""),"")</f>
        <v>S</v>
      </c>
      <c r="G1395" s="75" t="s">
        <v>276</v>
      </c>
      <c r="H1395" s="52" t="str">
        <f aca="false">IF(G1395&lt;&gt;"",IFERROR(VLOOKUP(G1395,PRODUCTOS!$A:$B,2,0),"!COD NO ENCONTRADO"),"")</f>
        <v>MERLUZA EUROPEA/ FINA DIA </v>
      </c>
      <c r="I1395" s="77" t="n">
        <v>3</v>
      </c>
      <c r="J1395" s="105" t="n">
        <v>18</v>
      </c>
      <c r="K1395" s="125" t="n">
        <v>3</v>
      </c>
      <c r="L1395" s="80" t="n">
        <f aca="false">IF(AND(J1395&lt;&gt;"",K1395&lt;&gt;""),J1395*K1395,"")</f>
        <v>54</v>
      </c>
      <c r="M1395" s="142" t="n">
        <f aca="false">IF(L1395&lt;&gt;"",L1395*1.1,"")</f>
        <v>59.4</v>
      </c>
      <c r="N1395" s="143" t="n">
        <f aca="false">IF(F1395="S",L1395*0.02,0)</f>
        <v>1.08</v>
      </c>
      <c r="O1395" s="144" t="n">
        <f aca="false">IF(L1395&lt;&gt;"",L1395+N1395,"")</f>
        <v>55.08</v>
      </c>
      <c r="P1395" s="143" t="n">
        <f aca="false">IF(O1395&lt;&gt;"",O1395*0.1,"")</f>
        <v>5.508</v>
      </c>
      <c r="Q1395" s="145" t="n">
        <f aca="false">IF(O1395&lt;&gt;"",O1395+P1395,"")</f>
        <v>60.588</v>
      </c>
      <c r="R1395" s="146" t="s">
        <v>358</v>
      </c>
    </row>
    <row r="1396" customFormat="false" ht="15" hidden="false" customHeight="true" outlineLevel="0" collapsed="false">
      <c r="A1396" s="103" t="n">
        <v>56249</v>
      </c>
      <c r="B1396" s="73" t="n">
        <v>46246</v>
      </c>
      <c r="C1396" s="86" t="s">
        <v>633</v>
      </c>
      <c r="D1396" s="87" t="n">
        <v>50106</v>
      </c>
      <c r="E1396" s="46" t="str">
        <f aca="false">IF(D1396&lt;&gt;"",IFERROR(VLOOKUP(D1396,PROVEEDORES!$A:$B,2,0),"!COD NO ENCONTRADO"),"")</f>
        <v>SONIA VENTAS S.L</v>
      </c>
      <c r="F1396" s="88" t="str">
        <f aca="false">IF(D1396&lt;&gt;"",IFERROR(VLOOKUP(D1396,PROVEEDORES!$A:$C,3,0),""),"")</f>
        <v>S</v>
      </c>
      <c r="G1396" s="87" t="s">
        <v>219</v>
      </c>
      <c r="H1396" s="46" t="str">
        <f aca="false">IF(G1396&lt;&gt;"",IFERROR(VLOOKUP(G1396,PRODUCTOS!$A:$B,2,0),"!COD NO ENCONTRADO"),"")</f>
        <v>MERLUZA EUROPEA PINCHO COSTA 600</v>
      </c>
      <c r="I1396" s="89" t="n">
        <v>1</v>
      </c>
      <c r="J1396" s="90" t="n">
        <v>11.5</v>
      </c>
      <c r="K1396" s="91" t="n">
        <v>3</v>
      </c>
      <c r="L1396" s="80" t="n">
        <f aca="false">IF(AND(J1396&lt;&gt;"",K1396&lt;&gt;""),J1396*K1396,"")</f>
        <v>34.5</v>
      </c>
      <c r="M1396" s="142" t="n">
        <f aca="false">IF(L1396&lt;&gt;"",L1396*1.1,"")</f>
        <v>37.95</v>
      </c>
      <c r="N1396" s="147" t="n">
        <f aca="false">IF(F1396="S",L1396*0.02,0)</f>
        <v>0.69</v>
      </c>
      <c r="O1396" s="144" t="n">
        <f aca="false">IF(L1396&lt;&gt;"",L1396+N1396,"")</f>
        <v>35.19</v>
      </c>
      <c r="P1396" s="147" t="n">
        <f aca="false">IF(O1396&lt;&gt;"",O1396*0.1,"")</f>
        <v>3.519</v>
      </c>
      <c r="Q1396" s="145" t="n">
        <f aca="false">IF(O1396&lt;&gt;"",O1396+P1396,"")</f>
        <v>38.709</v>
      </c>
      <c r="R1396" s="146" t="s">
        <v>358</v>
      </c>
    </row>
    <row r="1397" customFormat="false" ht="15" hidden="false" customHeight="true" outlineLevel="0" collapsed="false">
      <c r="A1397" s="103" t="n">
        <v>56249</v>
      </c>
      <c r="B1397" s="73" t="n">
        <v>46246</v>
      </c>
      <c r="C1397" s="86" t="s">
        <v>633</v>
      </c>
      <c r="D1397" s="75" t="n">
        <v>50106</v>
      </c>
      <c r="E1397" s="52" t="str">
        <f aca="false">IF(D1397&lt;&gt;"",IFERROR(VLOOKUP(D1397,PROVEEDORES!$A:$B,2,0),"!COD NO ENCONTRADO"),"")</f>
        <v>SONIA VENTAS S.L</v>
      </c>
      <c r="F1397" s="76" t="str">
        <f aca="false">IF(D1397&lt;&gt;"",IFERROR(VLOOKUP(D1397,PROVEEDORES!$A:$C,3,0),""),"")</f>
        <v>S</v>
      </c>
      <c r="G1397" s="75" t="s">
        <v>221</v>
      </c>
      <c r="H1397" s="52" t="str">
        <f aca="false">IF(G1397&lt;&gt;"",IFERROR(VLOOKUP(G1397,PRODUCTOS!$A:$B,2,0),"!COD NO ENCONTRADO"),"")</f>
        <v>MERLUZA EUROPEA PINCHO COSTA 800</v>
      </c>
      <c r="I1397" s="77" t="n">
        <v>12</v>
      </c>
      <c r="J1397" s="78" t="n">
        <v>165</v>
      </c>
      <c r="K1397" s="79" t="n">
        <v>6.3</v>
      </c>
      <c r="L1397" s="80" t="n">
        <f aca="false">IF(AND(J1397&lt;&gt;"",K1397&lt;&gt;""),J1397*K1397,"")</f>
        <v>1039.5</v>
      </c>
      <c r="M1397" s="142" t="n">
        <f aca="false">IF(L1397&lt;&gt;"",L1397*1.1,"")</f>
        <v>1143.45</v>
      </c>
      <c r="N1397" s="143" t="n">
        <f aca="false">IF(F1397="S",L1397*0.02,0)</f>
        <v>20.79</v>
      </c>
      <c r="O1397" s="144" t="n">
        <f aca="false">IF(L1397&lt;&gt;"",L1397+N1397,"")</f>
        <v>1060.29</v>
      </c>
      <c r="P1397" s="143" t="n">
        <f aca="false">IF(O1397&lt;&gt;"",O1397*0.1,"")</f>
        <v>106.029</v>
      </c>
      <c r="Q1397" s="145" t="n">
        <f aca="false">IF(O1397&lt;&gt;"",O1397+P1397,"")</f>
        <v>1166.319</v>
      </c>
      <c r="R1397" s="146" t="s">
        <v>358</v>
      </c>
    </row>
    <row r="1398" customFormat="false" ht="15" hidden="false" customHeight="true" outlineLevel="0" collapsed="false">
      <c r="A1398" s="103" t="n">
        <v>56249</v>
      </c>
      <c r="B1398" s="73" t="n">
        <v>46246</v>
      </c>
      <c r="C1398" s="86" t="s">
        <v>633</v>
      </c>
      <c r="D1398" s="87" t="n">
        <v>50106</v>
      </c>
      <c r="E1398" s="46" t="str">
        <f aca="false">IF(D1398&lt;&gt;"",IFERROR(VLOOKUP(D1398,PROVEEDORES!$A:$B,2,0),"!COD NO ENCONTRADO"),"")</f>
        <v>SONIA VENTAS S.L</v>
      </c>
      <c r="F1398" s="88" t="str">
        <f aca="false">IF(D1398&lt;&gt;"",IFERROR(VLOOKUP(D1398,PROVEEDORES!$A:$C,3,0),""),"")</f>
        <v>S</v>
      </c>
      <c r="G1398" s="87" t="s">
        <v>221</v>
      </c>
      <c r="H1398" s="46" t="str">
        <f aca="false">IF(G1398&lt;&gt;"",IFERROR(VLOOKUP(G1398,PRODUCTOS!$A:$B,2,0),"!COD NO ENCONTRADO"),"")</f>
        <v>MERLUZA EUROPEA PINCHO COSTA 800</v>
      </c>
      <c r="I1398" s="89" t="n">
        <v>1</v>
      </c>
      <c r="J1398" s="90" t="n">
        <v>13.75</v>
      </c>
      <c r="K1398" s="91" t="n">
        <v>5.4</v>
      </c>
      <c r="L1398" s="80" t="n">
        <f aca="false">IF(AND(J1398&lt;&gt;"",K1398&lt;&gt;""),J1398*K1398,"")</f>
        <v>74.25</v>
      </c>
      <c r="M1398" s="142" t="n">
        <f aca="false">IF(L1398&lt;&gt;"",L1398*1.1,"")</f>
        <v>81.675</v>
      </c>
      <c r="N1398" s="147" t="n">
        <f aca="false">IF(F1398="S",L1398*0.02,0)</f>
        <v>1.485</v>
      </c>
      <c r="O1398" s="144" t="n">
        <f aca="false">IF(L1398&lt;&gt;"",L1398+N1398,"")</f>
        <v>75.735</v>
      </c>
      <c r="P1398" s="147" t="n">
        <f aca="false">IF(O1398&lt;&gt;"",O1398*0.1,"")</f>
        <v>7.5735</v>
      </c>
      <c r="Q1398" s="145" t="n">
        <f aca="false">IF(O1398&lt;&gt;"",O1398+P1398,"")</f>
        <v>83.3085</v>
      </c>
      <c r="R1398" s="146" t="s">
        <v>358</v>
      </c>
    </row>
    <row r="1399" customFormat="false" ht="15" hidden="false" customHeight="true" outlineLevel="0" collapsed="false">
      <c r="A1399" s="103" t="n">
        <v>56249</v>
      </c>
      <c r="B1399" s="73" t="n">
        <v>46246</v>
      </c>
      <c r="C1399" s="86" t="s">
        <v>633</v>
      </c>
      <c r="D1399" s="75" t="n">
        <v>50106</v>
      </c>
      <c r="E1399" s="52" t="str">
        <f aca="false">IF(D1399&lt;&gt;"",IFERROR(VLOOKUP(D1399,PROVEEDORES!$A:$B,2,0),"!COD NO ENCONTRADO"),"")</f>
        <v>SONIA VENTAS S.L</v>
      </c>
      <c r="F1399" s="76" t="str">
        <f aca="false">IF(D1399&lt;&gt;"",IFERROR(VLOOKUP(D1399,PROVEEDORES!$A:$C,3,0),""),"")</f>
        <v>S</v>
      </c>
      <c r="G1399" s="75" t="s">
        <v>223</v>
      </c>
      <c r="H1399" s="52" t="str">
        <f aca="false">IF(G1399&lt;&gt;"",IFERROR(VLOOKUP(G1399,PRODUCTOS!$A:$B,2,0),"!COD NO ENCONTRADO"),"")</f>
        <v>MERLUZA EUROPEA PINCHO COSTA 1000</v>
      </c>
      <c r="I1399" s="77" t="n">
        <v>7</v>
      </c>
      <c r="J1399" s="78" t="n">
        <v>100.5</v>
      </c>
      <c r="K1399" s="79" t="n">
        <v>6.4</v>
      </c>
      <c r="L1399" s="80" t="n">
        <f aca="false">IF(AND(J1399&lt;&gt;"",K1399&lt;&gt;""),J1399*K1399,"")</f>
        <v>643.2</v>
      </c>
      <c r="M1399" s="142" t="n">
        <f aca="false">IF(L1399&lt;&gt;"",L1399*1.1,"")</f>
        <v>707.52</v>
      </c>
      <c r="N1399" s="143" t="n">
        <f aca="false">IF(F1399="S",L1399*0.02,0)</f>
        <v>12.864</v>
      </c>
      <c r="O1399" s="144" t="n">
        <f aca="false">IF(L1399&lt;&gt;"",L1399+N1399,"")</f>
        <v>656.064</v>
      </c>
      <c r="P1399" s="143" t="n">
        <f aca="false">IF(O1399&lt;&gt;"",O1399*0.1,"")</f>
        <v>65.6064</v>
      </c>
      <c r="Q1399" s="145" t="n">
        <f aca="false">IF(O1399&lt;&gt;"",O1399+P1399,"")</f>
        <v>721.6704</v>
      </c>
      <c r="R1399" s="146" t="s">
        <v>358</v>
      </c>
    </row>
    <row r="1400" customFormat="false" ht="15" hidden="false" customHeight="true" outlineLevel="0" collapsed="false">
      <c r="A1400" s="103" t="n">
        <v>56249</v>
      </c>
      <c r="B1400" s="73" t="n">
        <v>46246</v>
      </c>
      <c r="C1400" s="86" t="s">
        <v>633</v>
      </c>
      <c r="D1400" s="87" t="n">
        <v>50106</v>
      </c>
      <c r="E1400" s="46" t="str">
        <f aca="false">IF(D1400&lt;&gt;"",IFERROR(VLOOKUP(D1400,PROVEEDORES!$A:$B,2,0),"!COD NO ENCONTRADO"),"")</f>
        <v>SONIA VENTAS S.L</v>
      </c>
      <c r="F1400" s="88" t="str">
        <f aca="false">IF(D1400&lt;&gt;"",IFERROR(VLOOKUP(D1400,PROVEEDORES!$A:$C,3,0),""),"")</f>
        <v>S</v>
      </c>
      <c r="G1400" s="87" t="s">
        <v>227</v>
      </c>
      <c r="H1400" s="46" t="str">
        <f aca="false">IF(G1400&lt;&gt;"",IFERROR(VLOOKUP(G1400,PRODUCTOS!$A:$B,2,0),"!COD NO ENCONTRADO"),"")</f>
        <v>MERLUZA EUROPEA PINCHO COSTA 1,5/2</v>
      </c>
      <c r="I1400" s="89" t="n">
        <v>2</v>
      </c>
      <c r="J1400" s="90" t="n">
        <v>28</v>
      </c>
      <c r="K1400" s="91" t="n">
        <v>11.5</v>
      </c>
      <c r="L1400" s="80" t="n">
        <f aca="false">IF(AND(J1400&lt;&gt;"",K1400&lt;&gt;""),J1400*K1400,"")</f>
        <v>322</v>
      </c>
      <c r="M1400" s="142" t="n">
        <f aca="false">IF(L1400&lt;&gt;"",L1400*1.1,"")</f>
        <v>354.2</v>
      </c>
      <c r="N1400" s="147" t="n">
        <f aca="false">IF(F1400="S",L1400*0.02,0)</f>
        <v>6.44</v>
      </c>
      <c r="O1400" s="144" t="n">
        <f aca="false">IF(L1400&lt;&gt;"",L1400+N1400,"")</f>
        <v>328.44</v>
      </c>
      <c r="P1400" s="147" t="n">
        <f aca="false">IF(O1400&lt;&gt;"",O1400*0.1,"")</f>
        <v>32.844</v>
      </c>
      <c r="Q1400" s="145" t="n">
        <f aca="false">IF(O1400&lt;&gt;"",O1400+P1400,"")</f>
        <v>361.284</v>
      </c>
      <c r="R1400" s="146" t="s">
        <v>358</v>
      </c>
    </row>
    <row r="1401" customFormat="false" ht="15" hidden="false" customHeight="true" outlineLevel="0" collapsed="false">
      <c r="A1401" s="103" t="n">
        <v>56249</v>
      </c>
      <c r="B1401" s="73" t="n">
        <v>46246</v>
      </c>
      <c r="C1401" s="86" t="s">
        <v>633</v>
      </c>
      <c r="D1401" s="75" t="n">
        <v>50106</v>
      </c>
      <c r="E1401" s="52" t="str">
        <f aca="false">IF(D1401&lt;&gt;"",IFERROR(VLOOKUP(D1401,PROVEEDORES!$A:$B,2,0),"!COD NO ENCONTRADO"),"")</f>
        <v>SONIA VENTAS S.L</v>
      </c>
      <c r="F1401" s="76" t="str">
        <f aca="false">IF(D1401&lt;&gt;"",IFERROR(VLOOKUP(D1401,PROVEEDORES!$A:$C,3,0),""),"")</f>
        <v>S</v>
      </c>
      <c r="G1401" s="75" t="s">
        <v>221</v>
      </c>
      <c r="H1401" s="52" t="str">
        <f aca="false">IF(G1401&lt;&gt;"",IFERROR(VLOOKUP(G1401,PRODUCTOS!$A:$B,2,0),"!COD NO ENCONTRADO"),"")</f>
        <v>MERLUZA EUROPEA PINCHO COSTA 800</v>
      </c>
      <c r="I1401" s="77" t="n">
        <v>4</v>
      </c>
      <c r="J1401" s="78" t="n">
        <v>54.75</v>
      </c>
      <c r="K1401" s="79" t="n">
        <v>5.7</v>
      </c>
      <c r="L1401" s="80" t="n">
        <f aca="false">IF(AND(J1401&lt;&gt;"",K1401&lt;&gt;""),J1401*K1401,"")</f>
        <v>312.075</v>
      </c>
      <c r="M1401" s="142" t="n">
        <f aca="false">IF(L1401&lt;&gt;"",L1401*1.1,"")</f>
        <v>343.2825</v>
      </c>
      <c r="N1401" s="143" t="n">
        <f aca="false">IF(F1401="S",L1401*0.02,0)</f>
        <v>6.2415</v>
      </c>
      <c r="O1401" s="144" t="n">
        <f aca="false">IF(L1401&lt;&gt;"",L1401+N1401,"")</f>
        <v>318.3165</v>
      </c>
      <c r="P1401" s="143" t="n">
        <f aca="false">IF(O1401&lt;&gt;"",O1401*0.1,"")</f>
        <v>31.83165</v>
      </c>
      <c r="Q1401" s="145" t="n">
        <f aca="false">IF(O1401&lt;&gt;"",O1401+P1401,"")</f>
        <v>350.14815</v>
      </c>
      <c r="R1401" s="146" t="s">
        <v>365</v>
      </c>
    </row>
    <row r="1402" customFormat="false" ht="15" hidden="false" customHeight="true" outlineLevel="0" collapsed="false">
      <c r="A1402" s="103" t="n">
        <v>56249</v>
      </c>
      <c r="B1402" s="73" t="n">
        <v>46246</v>
      </c>
      <c r="C1402" s="86" t="s">
        <v>633</v>
      </c>
      <c r="D1402" s="87" t="n">
        <v>50106</v>
      </c>
      <c r="E1402" s="46" t="str">
        <f aca="false">IF(D1402&lt;&gt;"",IFERROR(VLOOKUP(D1402,PROVEEDORES!$A:$B,2,0),"!COD NO ENCONTRADO"),"")</f>
        <v>SONIA VENTAS S.L</v>
      </c>
      <c r="F1402" s="88" t="str">
        <f aca="false">IF(D1402&lt;&gt;"",IFERROR(VLOOKUP(D1402,PROVEEDORES!$A:$C,3,0),""),"")</f>
        <v>S</v>
      </c>
      <c r="G1402" s="87" t="s">
        <v>221</v>
      </c>
      <c r="H1402" s="46" t="str">
        <f aca="false">IF(G1402&lt;&gt;"",IFERROR(VLOOKUP(G1402,PRODUCTOS!$A:$B,2,0),"!COD NO ENCONTRADO"),"")</f>
        <v>MERLUZA EUROPEA PINCHO COSTA 800</v>
      </c>
      <c r="I1402" s="89" t="n">
        <v>5</v>
      </c>
      <c r="J1402" s="90" t="n">
        <v>70.5</v>
      </c>
      <c r="K1402" s="91" t="n">
        <v>5.6</v>
      </c>
      <c r="L1402" s="80" t="n">
        <f aca="false">IF(AND(J1402&lt;&gt;"",K1402&lt;&gt;""),J1402*K1402,"")</f>
        <v>394.8</v>
      </c>
      <c r="M1402" s="142" t="n">
        <f aca="false">IF(L1402&lt;&gt;"",L1402*1.1,"")</f>
        <v>434.28</v>
      </c>
      <c r="N1402" s="147" t="n">
        <f aca="false">IF(F1402="S",L1402*0.02,0)</f>
        <v>7.896</v>
      </c>
      <c r="O1402" s="144" t="n">
        <f aca="false">IF(L1402&lt;&gt;"",L1402+N1402,"")</f>
        <v>402.696</v>
      </c>
      <c r="P1402" s="147" t="n">
        <f aca="false">IF(O1402&lt;&gt;"",O1402*0.1,"")</f>
        <v>40.2696</v>
      </c>
      <c r="Q1402" s="145" t="n">
        <f aca="false">IF(O1402&lt;&gt;"",O1402+P1402,"")</f>
        <v>442.9656</v>
      </c>
      <c r="R1402" s="146" t="s">
        <v>365</v>
      </c>
    </row>
    <row r="1403" customFormat="false" ht="15" hidden="false" customHeight="true" outlineLevel="0" collapsed="false">
      <c r="A1403" s="103" t="n">
        <v>56250</v>
      </c>
      <c r="B1403" s="73" t="n">
        <v>46246</v>
      </c>
      <c r="C1403" s="74" t="s">
        <v>634</v>
      </c>
      <c r="D1403" s="75" t="n">
        <v>50020</v>
      </c>
      <c r="E1403" s="52" t="str">
        <f aca="false">IF(D1403&lt;&gt;"",IFERROR(VLOOKUP(D1403,PROVEEDORES!$A:$B,2,0),"!COD NO ENCONTRADO"),"")</f>
        <v>PACO MOINELO</v>
      </c>
      <c r="F1403" s="76" t="str">
        <f aca="false">IF(D1403&lt;&gt;"",IFERROR(VLOOKUP(D1403,PROVEEDORES!$A:$C,3,0),""),"")</f>
        <v>S</v>
      </c>
      <c r="G1403" s="75" t="s">
        <v>135</v>
      </c>
      <c r="H1403" s="52" t="str">
        <f aca="false">IF(G1403&lt;&gt;"",IFERROR(VLOOKUP(G1403,PRODUCTOS!$A:$B,2,0),"!COD NO ENCONTRADO"),"")</f>
        <v>CONGRIO 10+  (COE)</v>
      </c>
      <c r="I1403" s="77" t="n">
        <v>3</v>
      </c>
      <c r="J1403" s="78" t="n">
        <v>60.5</v>
      </c>
      <c r="K1403" s="79" t="n">
        <v>5.2</v>
      </c>
      <c r="L1403" s="80" t="n">
        <f aca="false">IF(AND(J1403&lt;&gt;"",K1403&lt;&gt;""),J1403*K1403,"")</f>
        <v>314.6</v>
      </c>
      <c r="M1403" s="142" t="n">
        <f aca="false">IF(L1403&lt;&gt;"",L1403*1.1,"")</f>
        <v>346.06</v>
      </c>
      <c r="N1403" s="143" t="n">
        <f aca="false">IF(F1403="S",L1403*0.02,0)</f>
        <v>6.292</v>
      </c>
      <c r="O1403" s="144" t="n">
        <f aca="false">IF(L1403&lt;&gt;"",L1403+N1403,"")</f>
        <v>320.892</v>
      </c>
      <c r="P1403" s="143" t="n">
        <f aca="false">IF(O1403&lt;&gt;"",O1403*0.1,"")</f>
        <v>32.0892</v>
      </c>
      <c r="Q1403" s="145" t="n">
        <f aca="false">IF(O1403&lt;&gt;"",O1403+P1403,"")</f>
        <v>352.9812</v>
      </c>
      <c r="R1403" s="146" t="s">
        <v>365</v>
      </c>
    </row>
    <row r="1404" customFormat="false" ht="15" hidden="false" customHeight="true" outlineLevel="0" collapsed="false">
      <c r="A1404" s="103" t="n">
        <v>56251</v>
      </c>
      <c r="B1404" s="73" t="n">
        <v>46246</v>
      </c>
      <c r="C1404" s="86" t="s">
        <v>628</v>
      </c>
      <c r="D1404" s="87" t="n">
        <v>50160</v>
      </c>
      <c r="E1404" s="46" t="str">
        <f aca="false">IF(D1404&lt;&gt;"",IFERROR(VLOOKUP(D1404,PROVEEDORES!$A:$B,2,0),"!COD NO ENCONTRADO"),"")</f>
        <v>SUBASTAS CORUÑA S.L.</v>
      </c>
      <c r="F1404" s="88" t="str">
        <f aca="false">IF(D1404&lt;&gt;"",IFERROR(VLOOKUP(D1404,PROVEEDORES!$A:$C,3,0),""),"")</f>
        <v>S</v>
      </c>
      <c r="G1404" s="87" t="s">
        <v>332</v>
      </c>
      <c r="H1404" s="46" t="str">
        <f aca="false">IF(G1404&lt;&gt;"",IFERROR(VLOOKUP(G1404,PRODUCTOS!$A:$B,2,0),"!COD NO ENCONTRADO"),"")</f>
        <v>VARIADO PEQUEÑO</v>
      </c>
      <c r="I1404" s="89" t="n">
        <v>3</v>
      </c>
      <c r="J1404" s="105" t="n">
        <v>28.5</v>
      </c>
      <c r="K1404" s="125" t="n">
        <v>0.5</v>
      </c>
      <c r="L1404" s="80" t="n">
        <f aca="false">IF(AND(J1404&lt;&gt;"",K1404&lt;&gt;""),J1404*K1404,"")</f>
        <v>14.25</v>
      </c>
      <c r="M1404" s="142" t="n">
        <f aca="false">IF(L1404&lt;&gt;"",L1404*1.1,"")</f>
        <v>15.675</v>
      </c>
      <c r="N1404" s="147" t="n">
        <f aca="false">IF(F1404="S",L1404*0.02,0)</f>
        <v>0.285</v>
      </c>
      <c r="O1404" s="144" t="n">
        <f aca="false">IF(L1404&lt;&gt;"",L1404+N1404,"")</f>
        <v>14.535</v>
      </c>
      <c r="P1404" s="147" t="n">
        <f aca="false">IF(O1404&lt;&gt;"",O1404*0.1,"")</f>
        <v>1.4535</v>
      </c>
      <c r="Q1404" s="145" t="n">
        <f aca="false">IF(O1404&lt;&gt;"",O1404+P1404,"")</f>
        <v>15.9885</v>
      </c>
      <c r="R1404" s="146" t="s">
        <v>365</v>
      </c>
    </row>
    <row r="1405" customFormat="false" ht="15" hidden="false" customHeight="true" outlineLevel="0" collapsed="false">
      <c r="A1405" s="103" t="n">
        <v>56251</v>
      </c>
      <c r="B1405" s="73" t="n">
        <v>46246</v>
      </c>
      <c r="C1405" s="86" t="s">
        <v>628</v>
      </c>
      <c r="D1405" s="87" t="n">
        <v>50160</v>
      </c>
      <c r="E1405" s="52" t="str">
        <f aca="false">IF(D1405&lt;&gt;"",IFERROR(VLOOKUP(D1405,PROVEEDORES!$A:$B,2,0),"!COD NO ENCONTRADO"),"")</f>
        <v>SUBASTAS CORUÑA S.L.</v>
      </c>
      <c r="F1405" s="76" t="str">
        <f aca="false">IF(D1405&lt;&gt;"",IFERROR(VLOOKUP(D1405,PROVEEDORES!$A:$C,3,0),""),"")</f>
        <v>S</v>
      </c>
      <c r="G1405" s="75" t="s">
        <v>332</v>
      </c>
      <c r="H1405" s="52" t="str">
        <f aca="false">IF(G1405&lt;&gt;"",IFERROR(VLOOKUP(G1405,PRODUCTOS!$A:$B,2,0),"!COD NO ENCONTRADO"),"")</f>
        <v>VARIADO PEQUEÑO</v>
      </c>
      <c r="I1405" s="77" t="n">
        <v>1</v>
      </c>
      <c r="J1405" s="105" t="n">
        <v>13</v>
      </c>
      <c r="K1405" s="125" t="n">
        <v>0.5</v>
      </c>
      <c r="L1405" s="80" t="n">
        <f aca="false">IF(AND(J1405&lt;&gt;"",K1405&lt;&gt;""),J1405*K1405,"")</f>
        <v>6.5</v>
      </c>
      <c r="M1405" s="142" t="n">
        <f aca="false">IF(L1405&lt;&gt;"",L1405*1.1,"")</f>
        <v>7.15</v>
      </c>
      <c r="N1405" s="143" t="n">
        <f aca="false">IF(F1405="S",L1405*0.02,0)</f>
        <v>0.13</v>
      </c>
      <c r="O1405" s="144" t="n">
        <f aca="false">IF(L1405&lt;&gt;"",L1405+N1405,"")</f>
        <v>6.63</v>
      </c>
      <c r="P1405" s="143" t="n">
        <f aca="false">IF(O1405&lt;&gt;"",O1405*0.1,"")</f>
        <v>0.663</v>
      </c>
      <c r="Q1405" s="145" t="n">
        <f aca="false">IF(O1405&lt;&gt;"",O1405+P1405,"")</f>
        <v>7.293</v>
      </c>
      <c r="R1405" s="146" t="s">
        <v>365</v>
      </c>
    </row>
    <row r="1406" customFormat="false" ht="15" hidden="false" customHeight="true" outlineLevel="0" collapsed="false">
      <c r="A1406" s="103" t="n">
        <v>56251</v>
      </c>
      <c r="B1406" s="73" t="n">
        <v>46246</v>
      </c>
      <c r="C1406" s="86" t="s">
        <v>628</v>
      </c>
      <c r="D1406" s="87" t="n">
        <v>50160</v>
      </c>
      <c r="E1406" s="46" t="str">
        <f aca="false">IF(D1406&lt;&gt;"",IFERROR(VLOOKUP(D1406,PROVEEDORES!$A:$B,2,0),"!COD NO ENCONTRADO"),"")</f>
        <v>SUBASTAS CORUÑA S.L.</v>
      </c>
      <c r="F1406" s="88" t="str">
        <f aca="false">IF(D1406&lt;&gt;"",IFERROR(VLOOKUP(D1406,PROVEEDORES!$A:$C,3,0),""),"")</f>
        <v>S</v>
      </c>
      <c r="G1406" s="87" t="s">
        <v>276</v>
      </c>
      <c r="H1406" s="46" t="str">
        <f aca="false">IF(G1406&lt;&gt;"",IFERROR(VLOOKUP(G1406,PRODUCTOS!$A:$B,2,0),"!COD NO ENCONTRADO"),"")</f>
        <v>MERLUZA EUROPEA/ FINA DIA </v>
      </c>
      <c r="I1406" s="89" t="n">
        <v>8</v>
      </c>
      <c r="J1406" s="105" t="n">
        <v>52</v>
      </c>
      <c r="K1406" s="125" t="n">
        <v>2</v>
      </c>
      <c r="L1406" s="80" t="n">
        <f aca="false">IF(AND(J1406&lt;&gt;"",K1406&lt;&gt;""),J1406*K1406,"")</f>
        <v>104</v>
      </c>
      <c r="M1406" s="142" t="n">
        <f aca="false">IF(L1406&lt;&gt;"",L1406*1.1,"")</f>
        <v>114.4</v>
      </c>
      <c r="N1406" s="147" t="n">
        <f aca="false">IF(F1406="S",L1406*0.02,0)</f>
        <v>2.08</v>
      </c>
      <c r="O1406" s="144" t="n">
        <f aca="false">IF(L1406&lt;&gt;"",L1406+N1406,"")</f>
        <v>106.08</v>
      </c>
      <c r="P1406" s="147" t="n">
        <f aca="false">IF(O1406&lt;&gt;"",O1406*0.1,"")</f>
        <v>10.608</v>
      </c>
      <c r="Q1406" s="145" t="n">
        <f aca="false">IF(O1406&lt;&gt;"",O1406+P1406,"")</f>
        <v>116.688</v>
      </c>
      <c r="R1406" s="146" t="s">
        <v>365</v>
      </c>
    </row>
    <row r="1407" customFormat="false" ht="15" hidden="false" customHeight="true" outlineLevel="0" collapsed="false">
      <c r="A1407" s="103" t="n">
        <v>56251</v>
      </c>
      <c r="B1407" s="73" t="n">
        <v>46246</v>
      </c>
      <c r="C1407" s="86" t="s">
        <v>628</v>
      </c>
      <c r="D1407" s="87" t="n">
        <v>50160</v>
      </c>
      <c r="E1407" s="52" t="str">
        <f aca="false">IF(D1407&lt;&gt;"",IFERROR(VLOOKUP(D1407,PROVEEDORES!$A:$B,2,0),"!COD NO ENCONTRADO"),"")</f>
        <v>SUBASTAS CORUÑA S.L.</v>
      </c>
      <c r="F1407" s="76" t="str">
        <f aca="false">IF(D1407&lt;&gt;"",IFERROR(VLOOKUP(D1407,PROVEEDORES!$A:$C,3,0),""),"")</f>
        <v>S</v>
      </c>
      <c r="G1407" s="75" t="s">
        <v>276</v>
      </c>
      <c r="H1407" s="52" t="str">
        <f aca="false">IF(G1407&lt;&gt;"",IFERROR(VLOOKUP(G1407,PRODUCTOS!$A:$B,2,0),"!COD NO ENCONTRADO"),"")</f>
        <v>MERLUZA EUROPEA/ FINA DIA </v>
      </c>
      <c r="I1407" s="77" t="n">
        <v>3</v>
      </c>
      <c r="J1407" s="105" t="n">
        <v>19.75</v>
      </c>
      <c r="K1407" s="125" t="n">
        <v>3</v>
      </c>
      <c r="L1407" s="80" t="n">
        <f aca="false">IF(AND(J1407&lt;&gt;"",K1407&lt;&gt;""),J1407*K1407,"")</f>
        <v>59.25</v>
      </c>
      <c r="M1407" s="142" t="n">
        <f aca="false">IF(L1407&lt;&gt;"",L1407*1.1,"")</f>
        <v>65.175</v>
      </c>
      <c r="N1407" s="143" t="n">
        <f aca="false">IF(F1407="S",L1407*0.02,0)</f>
        <v>1.185</v>
      </c>
      <c r="O1407" s="144" t="n">
        <f aca="false">IF(L1407&lt;&gt;"",L1407+N1407,"")</f>
        <v>60.435</v>
      </c>
      <c r="P1407" s="143" t="n">
        <f aca="false">IF(O1407&lt;&gt;"",O1407*0.1,"")</f>
        <v>6.0435</v>
      </c>
      <c r="Q1407" s="145" t="n">
        <f aca="false">IF(O1407&lt;&gt;"",O1407+P1407,"")</f>
        <v>66.4785</v>
      </c>
      <c r="R1407" s="146" t="s">
        <v>365</v>
      </c>
    </row>
    <row r="1408" customFormat="false" ht="15" hidden="false" customHeight="true" outlineLevel="0" collapsed="false">
      <c r="A1408" s="103" t="n">
        <v>56251</v>
      </c>
      <c r="B1408" s="85" t="n">
        <v>46246</v>
      </c>
      <c r="C1408" s="86" t="s">
        <v>628</v>
      </c>
      <c r="D1408" s="87" t="n">
        <v>50160</v>
      </c>
      <c r="E1408" s="46" t="str">
        <f aca="false">IF(D1408&lt;&gt;"",IFERROR(VLOOKUP(D1408,PROVEEDORES!$A:$B,2,0),"!COD NO ENCONTRADO"),"")</f>
        <v>SUBASTAS CORUÑA S.L.</v>
      </c>
      <c r="F1408" s="88" t="str">
        <f aca="false">IF(D1408&lt;&gt;"",IFERROR(VLOOKUP(D1408,PROVEEDORES!$A:$C,3,0),""),"")</f>
        <v>S</v>
      </c>
      <c r="G1408" s="87" t="s">
        <v>324</v>
      </c>
      <c r="H1408" s="46" t="str">
        <f aca="false">IF(G1408&lt;&gt;"",IFERROR(VLOOKUP(G1408,PRODUCTOS!$A:$B,2,0),"!COD NO ENCONTRADO"),"")</f>
        <v>SARDINA    (PIL)</v>
      </c>
      <c r="I1408" s="89" t="n">
        <v>1</v>
      </c>
      <c r="J1408" s="105" t="n">
        <v>68</v>
      </c>
      <c r="K1408" s="125" t="n">
        <v>2.35</v>
      </c>
      <c r="L1408" s="80" t="n">
        <f aca="false">IF(AND(J1408&lt;&gt;"",K1408&lt;&gt;""),J1408*K1408,"")</f>
        <v>159.8</v>
      </c>
      <c r="M1408" s="142" t="n">
        <f aca="false">IF(L1408&lt;&gt;"",L1408*1.1,"")</f>
        <v>175.78</v>
      </c>
      <c r="N1408" s="147" t="n">
        <f aca="false">IF(F1408="S",L1408*0.02,0)</f>
        <v>3.196</v>
      </c>
      <c r="O1408" s="144" t="n">
        <f aca="false">IF(L1408&lt;&gt;"",L1408+N1408,"")</f>
        <v>162.996</v>
      </c>
      <c r="P1408" s="147" t="n">
        <f aca="false">IF(O1408&lt;&gt;"",O1408*0.1,"")</f>
        <v>16.2996</v>
      </c>
      <c r="Q1408" s="145" t="n">
        <f aca="false">IF(O1408&lt;&gt;"",O1408+P1408,"")</f>
        <v>179.2956</v>
      </c>
      <c r="R1408" s="146" t="s">
        <v>365</v>
      </c>
    </row>
    <row r="1409" customFormat="false" ht="15" hidden="false" customHeight="true" outlineLevel="0" collapsed="false">
      <c r="A1409" s="103" t="n">
        <v>56251</v>
      </c>
      <c r="B1409" s="85" t="n">
        <v>46246</v>
      </c>
      <c r="C1409" s="86" t="s">
        <v>628</v>
      </c>
      <c r="D1409" s="75" t="n">
        <v>50160</v>
      </c>
      <c r="E1409" s="52" t="str">
        <f aca="false">IF(D1409&lt;&gt;"",IFERROR(VLOOKUP(D1409,PROVEEDORES!$A:$B,2,0),"!COD NO ENCONTRADO"),"")</f>
        <v>SUBASTAS CORUÑA S.L.</v>
      </c>
      <c r="F1409" s="76" t="str">
        <f aca="false">IF(D1409&lt;&gt;"",IFERROR(VLOOKUP(D1409,PROVEEDORES!$A:$C,3,0),""),"")</f>
        <v>S</v>
      </c>
      <c r="G1409" s="75" t="s">
        <v>93</v>
      </c>
      <c r="H1409" s="52" t="str">
        <f aca="false">IF(G1409&lt;&gt;"",IFERROR(VLOOKUP(G1409,PRODUCTOS!$A:$B,2,0),"!COD NO ENCONTRADO"),"")</f>
        <v>BOQUERON/ BOCARTE/ ANCHOA (ANE)</v>
      </c>
      <c r="I1409" s="77" t="n">
        <v>40</v>
      </c>
      <c r="J1409" s="78" t="n">
        <v>324</v>
      </c>
      <c r="K1409" s="79" t="n">
        <v>1.13</v>
      </c>
      <c r="L1409" s="80" t="n">
        <f aca="false">IF(AND(J1409&lt;&gt;"",K1409&lt;&gt;""),J1409*K1409,"")</f>
        <v>366.12</v>
      </c>
      <c r="M1409" s="142" t="n">
        <f aca="false">IF(L1409&lt;&gt;"",L1409*1.1,"")</f>
        <v>402.732</v>
      </c>
      <c r="N1409" s="143" t="n">
        <f aca="false">IF(F1409="S",L1409*0.02,0)</f>
        <v>7.3224</v>
      </c>
      <c r="O1409" s="144" t="n">
        <f aca="false">IF(L1409&lt;&gt;"",L1409+N1409,"")</f>
        <v>373.4424</v>
      </c>
      <c r="P1409" s="143" t="n">
        <f aca="false">IF(O1409&lt;&gt;"",O1409*0.1,"")</f>
        <v>37.34424</v>
      </c>
      <c r="Q1409" s="145" t="n">
        <f aca="false">IF(O1409&lt;&gt;"",O1409+P1409,"")</f>
        <v>410.78664</v>
      </c>
      <c r="R1409" s="146" t="s">
        <v>365</v>
      </c>
    </row>
    <row r="1410" customFormat="false" ht="15" hidden="false" customHeight="true" outlineLevel="0" collapsed="false">
      <c r="A1410" s="103" t="n">
        <v>56251</v>
      </c>
      <c r="B1410" s="85" t="n">
        <v>46246</v>
      </c>
      <c r="C1410" s="86" t="s">
        <v>628</v>
      </c>
      <c r="D1410" s="75" t="n">
        <v>50160</v>
      </c>
      <c r="E1410" s="46" t="str">
        <f aca="false">IF(D1410&lt;&gt;"",IFERROR(VLOOKUP(D1410,PROVEEDORES!$A:$B,2,0),"!COD NO ENCONTRADO"),"")</f>
        <v>SUBASTAS CORUÑA S.L.</v>
      </c>
      <c r="F1410" s="88" t="str">
        <f aca="false">IF(D1410&lt;&gt;"",IFERROR(VLOOKUP(D1410,PROVEEDORES!$A:$C,3,0),""),"")</f>
        <v>S</v>
      </c>
      <c r="G1410" s="87" t="s">
        <v>93</v>
      </c>
      <c r="H1410" s="46" t="str">
        <f aca="false">IF(G1410&lt;&gt;"",IFERROR(VLOOKUP(G1410,PRODUCTOS!$A:$B,2,0),"!COD NO ENCONTRADO"),"")</f>
        <v>BOQUERON/ BOCARTE/ ANCHOA (ANE)</v>
      </c>
      <c r="I1410" s="89" t="n">
        <v>40</v>
      </c>
      <c r="J1410" s="90" t="n">
        <v>323</v>
      </c>
      <c r="K1410" s="91" t="n">
        <v>1.13</v>
      </c>
      <c r="L1410" s="80" t="n">
        <f aca="false">IF(AND(J1410&lt;&gt;"",K1410&lt;&gt;""),J1410*K1410,"")</f>
        <v>364.99</v>
      </c>
      <c r="M1410" s="142" t="n">
        <f aca="false">IF(L1410&lt;&gt;"",L1410*1.1,"")</f>
        <v>401.489</v>
      </c>
      <c r="N1410" s="147" t="n">
        <f aca="false">IF(F1410="S",L1410*0.02,0)</f>
        <v>7.2998</v>
      </c>
      <c r="O1410" s="144" t="n">
        <f aca="false">IF(L1410&lt;&gt;"",L1410+N1410,"")</f>
        <v>372.2898</v>
      </c>
      <c r="P1410" s="147" t="n">
        <f aca="false">IF(O1410&lt;&gt;"",O1410*0.1,"")</f>
        <v>37.22898</v>
      </c>
      <c r="Q1410" s="145" t="n">
        <f aca="false">IF(O1410&lt;&gt;"",O1410+P1410,"")</f>
        <v>409.51878</v>
      </c>
      <c r="R1410" s="146" t="s">
        <v>365</v>
      </c>
    </row>
    <row r="1411" customFormat="false" ht="15" hidden="false" customHeight="true" outlineLevel="0" collapsed="false">
      <c r="A1411" s="103" t="n">
        <v>56252</v>
      </c>
      <c r="B1411" s="73" t="n">
        <v>46246</v>
      </c>
      <c r="C1411" s="74" t="s">
        <v>635</v>
      </c>
      <c r="D1411" s="75" t="n">
        <v>50163</v>
      </c>
      <c r="E1411" s="104" t="str">
        <f aca="false">IF(D1411&lt;&gt;"",IFERROR(VLOOKUP(D1411,PROVEEDORES!$A:$B,2,0),"!COD NO ENCONTRADO"),"")</f>
        <v>SUBASTAS RIVERA S.L.</v>
      </c>
      <c r="F1411" s="122" t="str">
        <f aca="false">IF(D1411&lt;&gt;"",IFERROR(VLOOKUP(D1411,PROVEEDORES!$A:$C,3,0),""),"")</f>
        <v>S</v>
      </c>
      <c r="G1411" s="111" t="s">
        <v>233</v>
      </c>
      <c r="H1411" s="104" t="str">
        <f aca="false">IF(G1411&lt;&gt;"",IFERROR(VLOOKUP(G1411,PRODUCTOS!$A:$B,2,0),"!COD NO ENCONTRADO"),"")</f>
        <v>MERLUZA EUROPEA VOLANTA COSTA</v>
      </c>
      <c r="I1411" s="77" t="n">
        <v>2</v>
      </c>
      <c r="J1411" s="105" t="n">
        <v>30.25</v>
      </c>
      <c r="K1411" s="125" t="n">
        <v>3.6</v>
      </c>
      <c r="L1411" s="80" t="n">
        <f aca="false">IF(AND(J1411&lt;&gt;"",K1411&lt;&gt;""),J1411*K1411,"")</f>
        <v>108.9</v>
      </c>
      <c r="M1411" s="142" t="n">
        <f aca="false">IF(L1411&lt;&gt;"",L1411*1.1,"")</f>
        <v>119.79</v>
      </c>
      <c r="N1411" s="143" t="n">
        <f aca="false">IF(F1411="S",L1411*0.02,0)</f>
        <v>2.178</v>
      </c>
      <c r="O1411" s="144" t="n">
        <f aca="false">IF(L1411&lt;&gt;"",L1411+N1411,"")</f>
        <v>111.078</v>
      </c>
      <c r="P1411" s="143" t="n">
        <f aca="false">IF(O1411&lt;&gt;"",O1411*0.1,"")</f>
        <v>11.1078</v>
      </c>
      <c r="Q1411" s="145" t="n">
        <f aca="false">IF(O1411&lt;&gt;"",O1411+P1411,"")</f>
        <v>122.1858</v>
      </c>
      <c r="R1411" s="146" t="s">
        <v>365</v>
      </c>
    </row>
    <row r="1412" customFormat="false" ht="15" hidden="false" customHeight="true" outlineLevel="0" collapsed="false">
      <c r="A1412" s="103" t="n">
        <v>56252</v>
      </c>
      <c r="B1412" s="85" t="n">
        <v>46246</v>
      </c>
      <c r="C1412" s="74" t="s">
        <v>635</v>
      </c>
      <c r="D1412" s="87" t="n">
        <v>50163</v>
      </c>
      <c r="E1412" s="104" t="str">
        <f aca="false">IF(D1412&lt;&gt;"",IFERROR(VLOOKUP(D1412,PROVEEDORES!$A:$B,2,0),"!COD NO ENCONTRADO"),"")</f>
        <v>SUBASTAS RIVERA S.L.</v>
      </c>
      <c r="F1412" s="122" t="str">
        <f aca="false">IF(D1412&lt;&gt;"",IFERROR(VLOOKUP(D1412,PROVEEDORES!$A:$C,3,0),""),"")</f>
        <v>S</v>
      </c>
      <c r="G1412" s="111" t="s">
        <v>233</v>
      </c>
      <c r="H1412" s="104" t="str">
        <f aca="false">IF(G1412&lt;&gt;"",IFERROR(VLOOKUP(G1412,PRODUCTOS!$A:$B,2,0),"!COD NO ENCONTRADO"),"")</f>
        <v>MERLUZA EUROPEA VOLANTA COSTA</v>
      </c>
      <c r="I1412" s="89" t="n">
        <v>1</v>
      </c>
      <c r="J1412" s="105" t="n">
        <v>18.25</v>
      </c>
      <c r="K1412" s="125" t="n">
        <v>5.2</v>
      </c>
      <c r="L1412" s="80" t="n">
        <f aca="false">IF(AND(J1412&lt;&gt;"",K1412&lt;&gt;""),J1412*K1412,"")</f>
        <v>94.9</v>
      </c>
      <c r="M1412" s="142" t="n">
        <f aca="false">IF(L1412&lt;&gt;"",L1412*1.1,"")</f>
        <v>104.39</v>
      </c>
      <c r="N1412" s="147" t="n">
        <f aca="false">IF(F1412="S",L1412*0.02,0)</f>
        <v>1.898</v>
      </c>
      <c r="O1412" s="144" t="n">
        <f aca="false">IF(L1412&lt;&gt;"",L1412+N1412,"")</f>
        <v>96.798</v>
      </c>
      <c r="P1412" s="147" t="n">
        <f aca="false">IF(O1412&lt;&gt;"",O1412*0.1,"")</f>
        <v>9.6798</v>
      </c>
      <c r="Q1412" s="145" t="n">
        <f aca="false">IF(O1412&lt;&gt;"",O1412+P1412,"")</f>
        <v>106.4778</v>
      </c>
      <c r="R1412" s="146" t="s">
        <v>365</v>
      </c>
    </row>
    <row r="1413" customFormat="false" ht="15" hidden="false" customHeight="true" outlineLevel="0" collapsed="false">
      <c r="A1413" s="103" t="n">
        <v>56252</v>
      </c>
      <c r="B1413" s="85" t="n">
        <v>46246</v>
      </c>
      <c r="C1413" s="74" t="s">
        <v>635</v>
      </c>
      <c r="D1413" s="75" t="n">
        <v>50163</v>
      </c>
      <c r="E1413" s="52" t="str">
        <f aca="false">IF(D1413&lt;&gt;"",IFERROR(VLOOKUP(D1413,PROVEEDORES!$A:$B,2,0),"!COD NO ENCONTRADO"),"")</f>
        <v>SUBASTAS RIVERA S.L.</v>
      </c>
      <c r="F1413" s="76" t="str">
        <f aca="false">IF(D1413&lt;&gt;"",IFERROR(VLOOKUP(D1413,PROVEEDORES!$A:$C,3,0),""),"")</f>
        <v>S</v>
      </c>
      <c r="G1413" s="75" t="s">
        <v>233</v>
      </c>
      <c r="H1413" s="52" t="str">
        <f aca="false">IF(G1413&lt;&gt;"",IFERROR(VLOOKUP(G1413,PRODUCTOS!$A:$B,2,0),"!COD NO ENCONTRADO"),"")</f>
        <v>MERLUZA EUROPEA VOLANTA COSTA</v>
      </c>
      <c r="I1413" s="77" t="n">
        <v>1</v>
      </c>
      <c r="J1413" s="105" t="n">
        <v>18.5</v>
      </c>
      <c r="K1413" s="125" t="n">
        <v>5</v>
      </c>
      <c r="L1413" s="80" t="n">
        <f aca="false">IF(AND(J1413&lt;&gt;"",K1413&lt;&gt;""),J1413*K1413,"")</f>
        <v>92.5</v>
      </c>
      <c r="M1413" s="142" t="n">
        <f aca="false">IF(L1413&lt;&gt;"",L1413*1.1,"")</f>
        <v>101.75</v>
      </c>
      <c r="N1413" s="143" t="n">
        <f aca="false">IF(F1413="S",L1413*0.02,0)</f>
        <v>1.85</v>
      </c>
      <c r="O1413" s="144" t="n">
        <f aca="false">IF(L1413&lt;&gt;"",L1413+N1413,"")</f>
        <v>94.35</v>
      </c>
      <c r="P1413" s="143" t="n">
        <f aca="false">IF(O1413&lt;&gt;"",O1413*0.1,"")</f>
        <v>9.435</v>
      </c>
      <c r="Q1413" s="145" t="n">
        <f aca="false">IF(O1413&lt;&gt;"",O1413+P1413,"")</f>
        <v>103.785</v>
      </c>
      <c r="R1413" s="146" t="s">
        <v>365</v>
      </c>
    </row>
    <row r="1414" customFormat="false" ht="15" hidden="false" customHeight="true" outlineLevel="0" collapsed="false">
      <c r="A1414" s="103" t="n">
        <v>56252</v>
      </c>
      <c r="B1414" s="85" t="n">
        <v>46246</v>
      </c>
      <c r="C1414" s="74" t="s">
        <v>635</v>
      </c>
      <c r="D1414" s="75" t="n">
        <v>50163</v>
      </c>
      <c r="E1414" s="46" t="str">
        <f aca="false">IF(D1414&lt;&gt;"",IFERROR(VLOOKUP(D1414,PROVEEDORES!$A:$B,2,0),"!COD NO ENCONTRADO"),"")</f>
        <v>SUBASTAS RIVERA S.L.</v>
      </c>
      <c r="F1414" s="88" t="str">
        <f aca="false">IF(D1414&lt;&gt;"",IFERROR(VLOOKUP(D1414,PROVEEDORES!$A:$C,3,0),""),"")</f>
        <v>S</v>
      </c>
      <c r="G1414" s="87" t="s">
        <v>332</v>
      </c>
      <c r="H1414" s="46" t="str">
        <f aca="false">IF(G1414&lt;&gt;"",IFERROR(VLOOKUP(G1414,PRODUCTOS!$A:$B,2,0),"!COD NO ENCONTRADO"),"")</f>
        <v>VARIADO PEQUEÑO</v>
      </c>
      <c r="I1414" s="89" t="n">
        <v>2</v>
      </c>
      <c r="J1414" s="105" t="n">
        <v>19</v>
      </c>
      <c r="K1414" s="125" t="n">
        <v>1</v>
      </c>
      <c r="L1414" s="80" t="n">
        <f aca="false">IF(AND(J1414&lt;&gt;"",K1414&lt;&gt;""),J1414*K1414,"")</f>
        <v>19</v>
      </c>
      <c r="M1414" s="142" t="n">
        <f aca="false">IF(L1414&lt;&gt;"",L1414*1.1,"")</f>
        <v>20.9</v>
      </c>
      <c r="N1414" s="147" t="n">
        <f aca="false">IF(F1414="S",L1414*0.02,0)</f>
        <v>0.38</v>
      </c>
      <c r="O1414" s="144" t="n">
        <f aca="false">IF(L1414&lt;&gt;"",L1414+N1414,"")</f>
        <v>19.38</v>
      </c>
      <c r="P1414" s="147" t="n">
        <f aca="false">IF(O1414&lt;&gt;"",O1414*0.1,"")</f>
        <v>1.938</v>
      </c>
      <c r="Q1414" s="145" t="n">
        <f aca="false">IF(O1414&lt;&gt;"",O1414+P1414,"")</f>
        <v>21.318</v>
      </c>
      <c r="R1414" s="146" t="s">
        <v>365</v>
      </c>
    </row>
    <row r="1415" customFormat="false" ht="15" hidden="false" customHeight="true" outlineLevel="0" collapsed="false">
      <c r="A1415" s="103" t="n">
        <v>56252</v>
      </c>
      <c r="B1415" s="85" t="n">
        <v>46246</v>
      </c>
      <c r="C1415" s="74" t="s">
        <v>635</v>
      </c>
      <c r="D1415" s="75" t="n">
        <v>50163</v>
      </c>
      <c r="E1415" s="52" t="str">
        <f aca="false">IF(D1415&lt;&gt;"",IFERROR(VLOOKUP(D1415,PROVEEDORES!$A:$B,2,0),"!COD NO ENCONTRADO"),"")</f>
        <v>SUBASTAS RIVERA S.L.</v>
      </c>
      <c r="F1415" s="76" t="str">
        <f aca="false">IF(D1415&lt;&gt;"",IFERROR(VLOOKUP(D1415,PROVEEDORES!$A:$C,3,0),""),"")</f>
        <v>S</v>
      </c>
      <c r="G1415" s="75" t="s">
        <v>332</v>
      </c>
      <c r="H1415" s="52" t="str">
        <f aca="false">IF(G1415&lt;&gt;"",IFERROR(VLOOKUP(G1415,PRODUCTOS!$A:$B,2,0),"!COD NO ENCONTRADO"),"")</f>
        <v>VARIADO PEQUEÑO</v>
      </c>
      <c r="I1415" s="77" t="n">
        <v>4</v>
      </c>
      <c r="J1415" s="105" t="n">
        <v>25.25</v>
      </c>
      <c r="K1415" s="125" t="n">
        <v>0.2</v>
      </c>
      <c r="L1415" s="80" t="n">
        <f aca="false">IF(AND(J1415&lt;&gt;"",K1415&lt;&gt;""),J1415*K1415,"")</f>
        <v>5.05</v>
      </c>
      <c r="M1415" s="142" t="n">
        <f aca="false">IF(L1415&lt;&gt;"",L1415*1.1,"")</f>
        <v>5.555</v>
      </c>
      <c r="N1415" s="143" t="n">
        <f aca="false">IF(F1415="S",L1415*0.02,0)</f>
        <v>0.101</v>
      </c>
      <c r="O1415" s="144" t="n">
        <f aca="false">IF(L1415&lt;&gt;"",L1415+N1415,"")</f>
        <v>5.151</v>
      </c>
      <c r="P1415" s="143" t="n">
        <f aca="false">IF(O1415&lt;&gt;"",O1415*0.1,"")</f>
        <v>0.5151</v>
      </c>
      <c r="Q1415" s="145" t="n">
        <f aca="false">IF(O1415&lt;&gt;"",O1415+P1415,"")</f>
        <v>5.6661</v>
      </c>
      <c r="R1415" s="146" t="s">
        <v>365</v>
      </c>
    </row>
    <row r="1416" customFormat="false" ht="15" hidden="false" customHeight="true" outlineLevel="0" collapsed="false">
      <c r="A1416" s="103" t="n">
        <v>56252</v>
      </c>
      <c r="B1416" s="85" t="n">
        <v>46246</v>
      </c>
      <c r="C1416" s="74" t="s">
        <v>635</v>
      </c>
      <c r="D1416" s="75" t="n">
        <v>50163</v>
      </c>
      <c r="E1416" s="46" t="str">
        <f aca="false">IF(D1416&lt;&gt;"",IFERROR(VLOOKUP(D1416,PROVEEDORES!$A:$B,2,0),"!COD NO ENCONTRADO"),"")</f>
        <v>SUBASTAS RIVERA S.L.</v>
      </c>
      <c r="F1416" s="88" t="str">
        <f aca="false">IF(D1416&lt;&gt;"",IFERROR(VLOOKUP(D1416,PROVEEDORES!$A:$C,3,0),""),"")</f>
        <v>S</v>
      </c>
      <c r="G1416" s="87" t="s">
        <v>89</v>
      </c>
      <c r="H1416" s="46" t="str">
        <f aca="false">IF(G1416&lt;&gt;"",IFERROR(VLOOKUP(G1416,PRODUCTOS!$A:$B,2,0),"!COD NO ENCONTRADO"),"")</f>
        <v>BONITO DEL NORTE 5/7</v>
      </c>
      <c r="I1416" s="89" t="n">
        <v>3</v>
      </c>
      <c r="J1416" s="105" t="n">
        <v>132.25</v>
      </c>
      <c r="K1416" s="125" t="n">
        <v>3</v>
      </c>
      <c r="L1416" s="80" t="n">
        <f aca="false">IF(AND(J1416&lt;&gt;"",K1416&lt;&gt;""),J1416*K1416,"")</f>
        <v>396.75</v>
      </c>
      <c r="M1416" s="142" t="n">
        <f aca="false">IF(L1416&lt;&gt;"",L1416*1.1,"")</f>
        <v>436.425</v>
      </c>
      <c r="N1416" s="147" t="n">
        <f aca="false">IF(F1416="S",L1416*0.02,0)</f>
        <v>7.935</v>
      </c>
      <c r="O1416" s="144" t="n">
        <f aca="false">IF(L1416&lt;&gt;"",L1416+N1416,"")</f>
        <v>404.685</v>
      </c>
      <c r="P1416" s="147" t="n">
        <f aca="false">IF(O1416&lt;&gt;"",O1416*0.1,"")</f>
        <v>40.4685</v>
      </c>
      <c r="Q1416" s="145" t="n">
        <f aca="false">IF(O1416&lt;&gt;"",O1416+P1416,"")</f>
        <v>445.1535</v>
      </c>
      <c r="R1416" s="146" t="s">
        <v>365</v>
      </c>
    </row>
    <row r="1417" customFormat="false" ht="15" hidden="false" customHeight="true" outlineLevel="0" collapsed="false">
      <c r="A1417" s="103" t="n">
        <v>56252</v>
      </c>
      <c r="B1417" s="85" t="n">
        <v>46246</v>
      </c>
      <c r="C1417" s="74" t="s">
        <v>635</v>
      </c>
      <c r="D1417" s="75" t="n">
        <v>50163</v>
      </c>
      <c r="E1417" s="52" t="str">
        <f aca="false">IF(D1417&lt;&gt;"",IFERROR(VLOOKUP(D1417,PROVEEDORES!$A:$B,2,0),"!COD NO ENCONTRADO"),"")</f>
        <v>SUBASTAS RIVERA S.L.</v>
      </c>
      <c r="F1417" s="76" t="str">
        <f aca="false">IF(D1417&lt;&gt;"",IFERROR(VLOOKUP(D1417,PROVEEDORES!$A:$C,3,0),""),"")</f>
        <v>S</v>
      </c>
      <c r="G1417" s="75" t="s">
        <v>292</v>
      </c>
      <c r="H1417" s="52" t="str">
        <f aca="false">IF(G1417&lt;&gt;"",IFERROR(VLOOKUP(G1417,PRODUCTOS!$A:$B,2,0),"!COD NO ENCONTRADO"),"")</f>
        <v>RAPE BLANCO RASCO (MON)</v>
      </c>
      <c r="I1417" s="77" t="n">
        <v>2</v>
      </c>
      <c r="J1417" s="105" t="n">
        <v>20.25</v>
      </c>
      <c r="K1417" s="125" t="n">
        <v>6.5</v>
      </c>
      <c r="L1417" s="80" t="n">
        <f aca="false">IF(AND(J1417&lt;&gt;"",K1417&lt;&gt;""),J1417*K1417,"")</f>
        <v>131.625</v>
      </c>
      <c r="M1417" s="142" t="n">
        <f aca="false">IF(L1417&lt;&gt;"",L1417*1.1,"")</f>
        <v>144.7875</v>
      </c>
      <c r="N1417" s="143" t="n">
        <f aca="false">IF(F1417="S",L1417*0.02,0)</f>
        <v>2.6325</v>
      </c>
      <c r="O1417" s="144" t="n">
        <f aca="false">IF(L1417&lt;&gt;"",L1417+N1417,"")</f>
        <v>134.2575</v>
      </c>
      <c r="P1417" s="143" t="n">
        <f aca="false">IF(O1417&lt;&gt;"",O1417*0.1,"")</f>
        <v>13.42575</v>
      </c>
      <c r="Q1417" s="145" t="n">
        <f aca="false">IF(O1417&lt;&gt;"",O1417+P1417,"")</f>
        <v>147.68325</v>
      </c>
      <c r="R1417" s="146" t="s">
        <v>365</v>
      </c>
    </row>
    <row r="1418" customFormat="false" ht="15" hidden="false" customHeight="true" outlineLevel="0" collapsed="false">
      <c r="A1418" s="103" t="n">
        <v>56252</v>
      </c>
      <c r="B1418" s="85" t="n">
        <v>46246</v>
      </c>
      <c r="C1418" s="74" t="s">
        <v>635</v>
      </c>
      <c r="D1418" s="75" t="n">
        <v>50163</v>
      </c>
      <c r="E1418" s="46" t="str">
        <f aca="false">IF(D1418&lt;&gt;"",IFERROR(VLOOKUP(D1418,PROVEEDORES!$A:$B,2,0),"!COD NO ENCONTRADO"),"")</f>
        <v>SUBASTAS RIVERA S.L.</v>
      </c>
      <c r="F1418" s="88" t="str">
        <f aca="false">IF(D1418&lt;&gt;"",IFERROR(VLOOKUP(D1418,PROVEEDORES!$A:$C,3,0),""),"")</f>
        <v>S</v>
      </c>
      <c r="G1418" s="87" t="s">
        <v>133</v>
      </c>
      <c r="H1418" s="46" t="str">
        <f aca="false">IF(G1418&lt;&gt;"",IFERROR(VLOOKUP(G1418,PRODUCTOS!$A:$B,2,0),"!COD NO ENCONTRADO"),"")</f>
        <v>CINTAS/ PEZ CINTA (CBC)</v>
      </c>
      <c r="I1418" s="89" t="n">
        <v>1</v>
      </c>
      <c r="J1418" s="105" t="n">
        <v>4.75</v>
      </c>
      <c r="K1418" s="125" t="n">
        <v>1.7</v>
      </c>
      <c r="L1418" s="80" t="n">
        <f aca="false">IF(AND(J1418&lt;&gt;"",K1418&lt;&gt;""),J1418*K1418,"")</f>
        <v>8.075</v>
      </c>
      <c r="M1418" s="142" t="n">
        <f aca="false">IF(L1418&lt;&gt;"",L1418*1.1,"")</f>
        <v>8.8825</v>
      </c>
      <c r="N1418" s="147" t="n">
        <f aca="false">IF(F1418="S",L1418*0.02,0)</f>
        <v>0.1615</v>
      </c>
      <c r="O1418" s="144" t="n">
        <f aca="false">IF(L1418&lt;&gt;"",L1418+N1418,"")</f>
        <v>8.2365</v>
      </c>
      <c r="P1418" s="147" t="n">
        <f aca="false">IF(O1418&lt;&gt;"",O1418*0.1,"")</f>
        <v>0.82365</v>
      </c>
      <c r="Q1418" s="145" t="n">
        <f aca="false">IF(O1418&lt;&gt;"",O1418+P1418,"")</f>
        <v>9.06015</v>
      </c>
      <c r="R1418" s="146" t="s">
        <v>365</v>
      </c>
    </row>
    <row r="1419" customFormat="false" ht="15" hidden="false" customHeight="true" outlineLevel="0" collapsed="false">
      <c r="A1419" s="103" t="n">
        <v>56253</v>
      </c>
      <c r="B1419" s="73" t="n">
        <v>46246</v>
      </c>
      <c r="C1419" s="74" t="s">
        <v>636</v>
      </c>
      <c r="D1419" s="75" t="n">
        <v>50218</v>
      </c>
      <c r="E1419" s="52" t="str">
        <f aca="false">IF(D1419&lt;&gt;"",IFERROR(VLOOKUP(D1419,PROVEEDORES!$A:$B,2,0),"!COD NO ENCONTRADO"),"")</f>
        <v>ACERGA </v>
      </c>
      <c r="F1419" s="76" t="str">
        <f aca="false">IF(D1419&lt;&gt;"",IFERROR(VLOOKUP(D1419,PROVEEDORES!$A:$C,3,0),""),"")</f>
        <v>S</v>
      </c>
      <c r="G1419" s="75" t="s">
        <v>93</v>
      </c>
      <c r="H1419" s="52" t="str">
        <f aca="false">IF(G1419&lt;&gt;"",IFERROR(VLOOKUP(G1419,PRODUCTOS!$A:$B,2,0),"!COD NO ENCONTRADO"),"")</f>
        <v>BOQUERON/ BOCARTE/ ANCHOA (ANE)</v>
      </c>
      <c r="I1419" s="77" t="n">
        <v>40</v>
      </c>
      <c r="J1419" s="78" t="n">
        <v>292</v>
      </c>
      <c r="K1419" s="79" t="n">
        <v>1.14</v>
      </c>
      <c r="L1419" s="80" t="n">
        <f aca="false">IF(AND(J1419&lt;&gt;"",K1419&lt;&gt;""),J1419*K1419,"")</f>
        <v>332.88</v>
      </c>
      <c r="M1419" s="142" t="n">
        <f aca="false">IF(L1419&lt;&gt;"",L1419*1.1,"")</f>
        <v>366.168</v>
      </c>
      <c r="N1419" s="143" t="n">
        <f aca="false">IF(F1419="S",L1419*0.02,0)</f>
        <v>6.6576</v>
      </c>
      <c r="O1419" s="144" t="n">
        <f aca="false">IF(L1419&lt;&gt;"",L1419+N1419,"")</f>
        <v>339.5376</v>
      </c>
      <c r="P1419" s="143" t="n">
        <f aca="false">IF(O1419&lt;&gt;"",O1419*0.1,"")</f>
        <v>33.95376</v>
      </c>
      <c r="Q1419" s="145" t="n">
        <f aca="false">IF(O1419&lt;&gt;"",O1419+P1419,"")</f>
        <v>373.49136</v>
      </c>
      <c r="R1419" s="146" t="s">
        <v>365</v>
      </c>
    </row>
    <row r="1420" customFormat="false" ht="15" hidden="false" customHeight="true" outlineLevel="0" collapsed="false">
      <c r="A1420" s="103" t="n">
        <v>56253</v>
      </c>
      <c r="B1420" s="85" t="n">
        <v>46246</v>
      </c>
      <c r="C1420" s="74" t="s">
        <v>636</v>
      </c>
      <c r="D1420" s="87" t="n">
        <v>50218</v>
      </c>
      <c r="E1420" s="46" t="str">
        <f aca="false">IF(D1420&lt;&gt;"",IFERROR(VLOOKUP(D1420,PROVEEDORES!$A:$B,2,0),"!COD NO ENCONTRADO"),"")</f>
        <v>ACERGA </v>
      </c>
      <c r="F1420" s="88" t="str">
        <f aca="false">IF(D1420&lt;&gt;"",IFERROR(VLOOKUP(D1420,PROVEEDORES!$A:$C,3,0),""),"")</f>
        <v>S</v>
      </c>
      <c r="G1420" s="87" t="s">
        <v>93</v>
      </c>
      <c r="H1420" s="46" t="str">
        <f aca="false">IF(G1420&lt;&gt;"",IFERROR(VLOOKUP(G1420,PRODUCTOS!$A:$B,2,0),"!COD NO ENCONTRADO"),"")</f>
        <v>BOQUERON/ BOCARTE/ ANCHOA (ANE)</v>
      </c>
      <c r="I1420" s="89" t="n">
        <v>40</v>
      </c>
      <c r="J1420" s="90" t="n">
        <v>359</v>
      </c>
      <c r="K1420" s="91" t="n">
        <v>1.14</v>
      </c>
      <c r="L1420" s="80" t="n">
        <f aca="false">IF(AND(J1420&lt;&gt;"",K1420&lt;&gt;""),J1420*K1420,"")</f>
        <v>409.26</v>
      </c>
      <c r="M1420" s="142" t="n">
        <f aca="false">IF(L1420&lt;&gt;"",L1420*1.1,"")</f>
        <v>450.186</v>
      </c>
      <c r="N1420" s="147" t="n">
        <f aca="false">IF(F1420="S",L1420*0.02,0)</f>
        <v>8.1852</v>
      </c>
      <c r="O1420" s="144" t="n">
        <f aca="false">IF(L1420&lt;&gt;"",L1420+N1420,"")</f>
        <v>417.4452</v>
      </c>
      <c r="P1420" s="147" t="n">
        <f aca="false">IF(O1420&lt;&gt;"",O1420*0.1,"")</f>
        <v>41.74452</v>
      </c>
      <c r="Q1420" s="145" t="n">
        <f aca="false">IF(O1420&lt;&gt;"",O1420+P1420,"")</f>
        <v>459.18972</v>
      </c>
      <c r="R1420" s="146" t="s">
        <v>358</v>
      </c>
    </row>
    <row r="1421" customFormat="false" ht="15" hidden="false" customHeight="true" outlineLevel="0" collapsed="false">
      <c r="A1421" s="103" t="n">
        <v>56254</v>
      </c>
      <c r="B1421" s="73" t="n">
        <v>46246</v>
      </c>
      <c r="C1421" s="74" t="s">
        <v>637</v>
      </c>
      <c r="D1421" s="75" t="n">
        <v>50521</v>
      </c>
      <c r="E1421" s="52" t="str">
        <f aca="false">IF(D1421&lt;&gt;"",IFERROR(VLOOKUP(D1421,PROVEEDORES!$A:$B,2,0),"!COD NO ENCONTRADO"),"")</f>
        <v>SUBASTAS DE ATLANTICO S.L</v>
      </c>
      <c r="F1421" s="76" t="str">
        <f aca="false">IF(D1421&lt;&gt;"",IFERROR(VLOOKUP(D1421,PROVEEDORES!$A:$C,3,0),""),"")</f>
        <v>S</v>
      </c>
      <c r="G1421" s="75" t="s">
        <v>93</v>
      </c>
      <c r="H1421" s="52" t="str">
        <f aca="false">IF(G1421&lt;&gt;"",IFERROR(VLOOKUP(G1421,PRODUCTOS!$A:$B,2,0),"!COD NO ENCONTRADO"),"")</f>
        <v>BOQUERON/ BOCARTE/ ANCHOA (ANE)</v>
      </c>
      <c r="I1421" s="77" t="n">
        <v>40</v>
      </c>
      <c r="J1421" s="78" t="n">
        <v>432</v>
      </c>
      <c r="K1421" s="79" t="n">
        <v>1.1</v>
      </c>
      <c r="L1421" s="80" t="n">
        <f aca="false">IF(AND(J1421&lt;&gt;"",K1421&lt;&gt;""),J1421*K1421,"")</f>
        <v>475.2</v>
      </c>
      <c r="M1421" s="142" t="n">
        <f aca="false">IF(L1421&lt;&gt;"",L1421*1.1,"")</f>
        <v>522.72</v>
      </c>
      <c r="N1421" s="143" t="n">
        <f aca="false">IF(F1421="S",L1421*0.02,0)</f>
        <v>9.504</v>
      </c>
      <c r="O1421" s="144" t="n">
        <f aca="false">IF(L1421&lt;&gt;"",L1421+N1421,"")</f>
        <v>484.704</v>
      </c>
      <c r="P1421" s="143" t="n">
        <f aca="false">IF(O1421&lt;&gt;"",O1421*0.1,"")</f>
        <v>48.4704</v>
      </c>
      <c r="Q1421" s="145" t="n">
        <f aca="false">IF(O1421&lt;&gt;"",O1421+P1421,"")</f>
        <v>533.1744</v>
      </c>
      <c r="R1421" s="146" t="s">
        <v>358</v>
      </c>
    </row>
    <row r="1422" customFormat="false" ht="15" hidden="false" customHeight="true" outlineLevel="0" collapsed="false">
      <c r="A1422" s="103" t="n">
        <v>56254</v>
      </c>
      <c r="B1422" s="85" t="n">
        <v>46246</v>
      </c>
      <c r="C1422" s="86" t="s">
        <v>637</v>
      </c>
      <c r="D1422" s="87" t="n">
        <v>50521</v>
      </c>
      <c r="E1422" s="46" t="str">
        <f aca="false">IF(D1422&lt;&gt;"",IFERROR(VLOOKUP(D1422,PROVEEDORES!$A:$B,2,0),"!COD NO ENCONTRADO"),"")</f>
        <v>SUBASTAS DE ATLANTICO S.L</v>
      </c>
      <c r="F1422" s="88" t="str">
        <f aca="false">IF(D1422&lt;&gt;"",IFERROR(VLOOKUP(D1422,PROVEEDORES!$A:$C,3,0),""),"")</f>
        <v>S</v>
      </c>
      <c r="G1422" s="87" t="s">
        <v>93</v>
      </c>
      <c r="H1422" s="46" t="str">
        <f aca="false">IF(G1422&lt;&gt;"",IFERROR(VLOOKUP(G1422,PRODUCTOS!$A:$B,2,0),"!COD NO ENCONTRADO"),"")</f>
        <v>BOQUERON/ BOCARTE/ ANCHOA (ANE)</v>
      </c>
      <c r="I1422" s="89" t="n">
        <v>40</v>
      </c>
      <c r="J1422" s="90" t="n">
        <v>466</v>
      </c>
      <c r="K1422" s="91" t="n">
        <v>1.1</v>
      </c>
      <c r="L1422" s="80" t="n">
        <f aca="false">IF(AND(J1422&lt;&gt;"",K1422&lt;&gt;""),J1422*K1422,"")</f>
        <v>512.6</v>
      </c>
      <c r="M1422" s="142" t="n">
        <f aca="false">IF(L1422&lt;&gt;"",L1422*1.1,"")</f>
        <v>563.86</v>
      </c>
      <c r="N1422" s="147" t="n">
        <f aca="false">IF(F1422="S",L1422*0.02,0)</f>
        <v>10.252</v>
      </c>
      <c r="O1422" s="144" t="n">
        <f aca="false">IF(L1422&lt;&gt;"",L1422+N1422,"")</f>
        <v>522.852</v>
      </c>
      <c r="P1422" s="147" t="n">
        <f aca="false">IF(O1422&lt;&gt;"",O1422*0.1,"")</f>
        <v>52.2852</v>
      </c>
      <c r="Q1422" s="145" t="n">
        <f aca="false">IF(O1422&lt;&gt;"",O1422+P1422,"")</f>
        <v>575.1372</v>
      </c>
      <c r="R1422" s="146" t="s">
        <v>365</v>
      </c>
    </row>
    <row r="1423" customFormat="false" ht="15" hidden="false" customHeight="true" outlineLevel="0" collapsed="false">
      <c r="A1423" s="103" t="n">
        <v>56255</v>
      </c>
      <c r="B1423" s="73" t="n">
        <v>46246</v>
      </c>
      <c r="C1423" s="74" t="s">
        <v>638</v>
      </c>
      <c r="D1423" s="75" t="n">
        <v>50048</v>
      </c>
      <c r="E1423" s="52" t="str">
        <f aca="false">IF(D1423&lt;&gt;"",IFERROR(VLOOKUP(D1423,PROVEEDORES!$A:$B,2,0),"!COD NO ENCONTRADO"),"")</f>
        <v>JOSE LUIS CORREA KESSLER S.L.</v>
      </c>
      <c r="F1423" s="76" t="str">
        <f aca="false">IF(D1423&lt;&gt;"",IFERROR(VLOOKUP(D1423,PROVEEDORES!$A:$C,3,0),""),"")</f>
        <v>N</v>
      </c>
      <c r="G1423" s="75" t="s">
        <v>179</v>
      </c>
      <c r="H1423" s="52" t="str">
        <f aca="false">IF(G1423&lt;&gt;"",IFERROR(VLOOKUP(G1423,PRODUCTOS!$A:$B,2,0),"!COD NO ENCONTRADO"),"")</f>
        <v>LIRIO/ BACALADILLA/ PERLA (WHB)</v>
      </c>
      <c r="I1423" s="77" t="n">
        <v>4</v>
      </c>
      <c r="J1423" s="78" t="n">
        <v>24</v>
      </c>
      <c r="K1423" s="79" t="n">
        <v>2.15</v>
      </c>
      <c r="L1423" s="80" t="n">
        <f aca="false">IF(AND(J1423&lt;&gt;"",K1423&lt;&gt;""),J1423*K1423,"")</f>
        <v>51.6</v>
      </c>
      <c r="M1423" s="142" t="n">
        <f aca="false">IF(L1423&lt;&gt;"",L1423*1.1,"")</f>
        <v>56.76</v>
      </c>
      <c r="N1423" s="143" t="n">
        <f aca="false">IF(F1423="S",L1423*0.02,0)</f>
        <v>0</v>
      </c>
      <c r="O1423" s="144" t="n">
        <f aca="false">IF(L1423&lt;&gt;"",L1423+N1423,"")</f>
        <v>51.6</v>
      </c>
      <c r="P1423" s="143" t="n">
        <f aca="false">IF(O1423&lt;&gt;"",O1423*0.1,"")</f>
        <v>5.16</v>
      </c>
      <c r="Q1423" s="145" t="n">
        <f aca="false">IF(O1423&lt;&gt;"",O1423+P1423,"")</f>
        <v>56.76</v>
      </c>
      <c r="R1423" s="146" t="s">
        <v>365</v>
      </c>
    </row>
    <row r="1424" customFormat="false" ht="15" hidden="false" customHeight="true" outlineLevel="0" collapsed="false">
      <c r="A1424" s="103" t="n">
        <v>56256</v>
      </c>
      <c r="B1424" s="73" t="n">
        <v>46246</v>
      </c>
      <c r="C1424" s="86" t="s">
        <v>639</v>
      </c>
      <c r="D1424" s="87" t="n">
        <v>50035</v>
      </c>
      <c r="E1424" s="46" t="str">
        <f aca="false">IF(D1424&lt;&gt;"",IFERROR(VLOOKUP(D1424,PROVEEDORES!$A:$B,2,0),"!COD NO ENCONTRADO"),"")</f>
        <v>SCANFISK SEAFFOD S,L</v>
      </c>
      <c r="F1424" s="88" t="str">
        <f aca="false">IF(D1424&lt;&gt;"",IFERROR(VLOOKUP(D1424,PROVEEDORES!$A:$C,3,0),""),"")</f>
        <v>N</v>
      </c>
      <c r="G1424" s="87" t="s">
        <v>246</v>
      </c>
      <c r="H1424" s="46" t="str">
        <f aca="false">IF(G1424&lt;&gt;"",IFERROR(VLOOKUP(G1424,PRODUCTOS!$A:$B,2,0),"!COD NO ENCONTRADO"),"")</f>
        <v>MERLUZA EUROPEA VOLANTA ALTURA</v>
      </c>
      <c r="I1424" s="89" t="n">
        <v>8</v>
      </c>
      <c r="J1424" s="90" t="n">
        <v>80.5</v>
      </c>
      <c r="K1424" s="91" t="n">
        <v>7.7</v>
      </c>
      <c r="L1424" s="80" t="n">
        <f aca="false">IF(AND(J1424&lt;&gt;"",K1424&lt;&gt;""),J1424*K1424,"")</f>
        <v>619.85</v>
      </c>
      <c r="M1424" s="142" t="n">
        <f aca="false">IF(L1424&lt;&gt;"",L1424*1.1,"")</f>
        <v>681.835</v>
      </c>
      <c r="N1424" s="147" t="n">
        <f aca="false">IF(F1424="S",L1424*0.02,0)</f>
        <v>0</v>
      </c>
      <c r="O1424" s="144" t="n">
        <f aca="false">IF(L1424&lt;&gt;"",L1424+N1424,"")</f>
        <v>619.85</v>
      </c>
      <c r="P1424" s="147" t="n">
        <f aca="false">IF(O1424&lt;&gt;"",O1424*0.1,"")</f>
        <v>61.985</v>
      </c>
      <c r="Q1424" s="145" t="n">
        <f aca="false">IF(O1424&lt;&gt;"",O1424+P1424,"")</f>
        <v>681.835</v>
      </c>
      <c r="R1424" s="146" t="s">
        <v>365</v>
      </c>
    </row>
    <row r="1425" customFormat="false" ht="15" hidden="false" customHeight="true" outlineLevel="0" collapsed="false">
      <c r="A1425" s="103" t="n">
        <v>56256</v>
      </c>
      <c r="B1425" s="73" t="n">
        <v>46246</v>
      </c>
      <c r="C1425" s="74" t="s">
        <v>640</v>
      </c>
      <c r="D1425" s="75" t="n">
        <v>50035</v>
      </c>
      <c r="E1425" s="52" t="str">
        <f aca="false">IF(D1425&lt;&gt;"",IFERROR(VLOOKUP(D1425,PROVEEDORES!$A:$B,2,0),"!COD NO ENCONTRADO"),"")</f>
        <v>SCANFISK SEAFFOD S,L</v>
      </c>
      <c r="F1425" s="76" t="str">
        <f aca="false">IF(D1425&lt;&gt;"",IFERROR(VLOOKUP(D1425,PROVEEDORES!$A:$C,3,0),""),"")</f>
        <v>N</v>
      </c>
      <c r="G1425" s="75" t="s">
        <v>367</v>
      </c>
      <c r="H1425" s="52" t="str">
        <f aca="false">IF(G1425&lt;&gt;"",IFERROR(VLOOKUP(G1425,PRODUCTOS!$A:$B,2,0),"!COD NO ENCONTRADO"),"")</f>
        <v>MERLUZA BAKA DIA</v>
      </c>
      <c r="I1425" s="77" t="n">
        <v>9</v>
      </c>
      <c r="J1425" s="78" t="n">
        <v>55.1</v>
      </c>
      <c r="K1425" s="79" t="n">
        <v>3.3</v>
      </c>
      <c r="L1425" s="80" t="n">
        <f aca="false">IF(AND(J1425&lt;&gt;"",K1425&lt;&gt;""),J1425*K1425,"")</f>
        <v>181.83</v>
      </c>
      <c r="M1425" s="142" t="n">
        <f aca="false">IF(L1425&lt;&gt;"",L1425*1.1,"")</f>
        <v>200.013</v>
      </c>
      <c r="N1425" s="143" t="n">
        <f aca="false">IF(F1425="S",L1425*0.02,0)</f>
        <v>0</v>
      </c>
      <c r="O1425" s="144" t="n">
        <f aca="false">IF(L1425&lt;&gt;"",L1425+N1425,"")</f>
        <v>181.83</v>
      </c>
      <c r="P1425" s="143" t="n">
        <f aca="false">IF(O1425&lt;&gt;"",O1425*0.1,"")</f>
        <v>18.183</v>
      </c>
      <c r="Q1425" s="145" t="n">
        <f aca="false">IF(O1425&lt;&gt;"",O1425+P1425,"")</f>
        <v>200.013</v>
      </c>
      <c r="R1425" s="146" t="s">
        <v>365</v>
      </c>
    </row>
    <row r="1426" customFormat="false" ht="15" hidden="false" customHeight="true" outlineLevel="0" collapsed="false">
      <c r="A1426" s="103" t="n">
        <v>56257</v>
      </c>
      <c r="B1426" s="73" t="n">
        <v>46247</v>
      </c>
      <c r="C1426" s="74" t="s">
        <v>641</v>
      </c>
      <c r="D1426" s="75" t="n">
        <v>50001</v>
      </c>
      <c r="E1426" s="52" t="str">
        <f aca="false">IF(D1426&lt;&gt;"",IFERROR(VLOOKUP(D1426,PROVEEDORES!$A:$B,2,0),"!COD NO ENCONTRADO"),"")</f>
        <v>COPESA</v>
      </c>
      <c r="F1426" s="76" t="str">
        <f aca="false">IF(D1426&lt;&gt;"",IFERROR(VLOOKUP(D1426,PROVEEDORES!$A:$C,3,0),""),"")</f>
        <v>S</v>
      </c>
      <c r="G1426" s="75" t="s">
        <v>292</v>
      </c>
      <c r="H1426" s="52" t="str">
        <f aca="false">IF(G1426&lt;&gt;"",IFERROR(VLOOKUP(G1426,PRODUCTOS!$A:$B,2,0),"!COD NO ENCONTRADO"),"")</f>
        <v>RAPE BLANCO RASCO (MON)</v>
      </c>
      <c r="I1426" s="77" t="n">
        <v>2</v>
      </c>
      <c r="J1426" s="78" t="n">
        <v>21.5</v>
      </c>
      <c r="K1426" s="79" t="n">
        <v>6.4</v>
      </c>
      <c r="L1426" s="80" t="n">
        <f aca="false">IF(AND(J1426&lt;&gt;"",K1426&lt;&gt;""),J1426*K1426,"")</f>
        <v>137.6</v>
      </c>
      <c r="M1426" s="142" t="n">
        <f aca="false">IF(L1426&lt;&gt;"",L1426*1.1,"")</f>
        <v>151.36</v>
      </c>
      <c r="N1426" s="143" t="n">
        <f aca="false">IF(F1426="S",L1426*0.02,0)</f>
        <v>2.752</v>
      </c>
      <c r="O1426" s="144" t="n">
        <f aca="false">IF(L1426&lt;&gt;"",L1426+N1426,"")</f>
        <v>140.352</v>
      </c>
      <c r="P1426" s="143" t="n">
        <f aca="false">IF(O1426&lt;&gt;"",O1426*0.1,"")</f>
        <v>14.0352</v>
      </c>
      <c r="Q1426" s="145" t="n">
        <f aca="false">IF(O1426&lt;&gt;"",O1426+P1426,"")</f>
        <v>154.3872</v>
      </c>
      <c r="R1426" s="84" t="s">
        <v>358</v>
      </c>
    </row>
    <row r="1427" customFormat="false" ht="15" hidden="false" customHeight="true" outlineLevel="0" collapsed="false">
      <c r="A1427" s="103" t="n">
        <v>56257</v>
      </c>
      <c r="B1427" s="73" t="n">
        <v>46247</v>
      </c>
      <c r="C1427" s="86" t="s">
        <v>641</v>
      </c>
      <c r="D1427" s="87" t="n">
        <v>50001</v>
      </c>
      <c r="E1427" s="46" t="str">
        <f aca="false">IF(D1427&lt;&gt;"",IFERROR(VLOOKUP(D1427,PROVEEDORES!$A:$B,2,0),"!COD NO ENCONTRADO"),"")</f>
        <v>COPESA</v>
      </c>
      <c r="F1427" s="88" t="str">
        <f aca="false">IF(D1427&lt;&gt;"",IFERROR(VLOOKUP(D1427,PROVEEDORES!$A:$C,3,0),""),"")</f>
        <v>S</v>
      </c>
      <c r="G1427" s="87" t="s">
        <v>292</v>
      </c>
      <c r="H1427" s="46" t="str">
        <f aca="false">IF(G1427&lt;&gt;"",IFERROR(VLOOKUP(G1427,PRODUCTOS!$A:$B,2,0),"!COD NO ENCONTRADO"),"")</f>
        <v>RAPE BLANCO RASCO (MON)</v>
      </c>
      <c r="I1427" s="89" t="n">
        <v>1</v>
      </c>
      <c r="J1427" s="90" t="n">
        <v>10.75</v>
      </c>
      <c r="K1427" s="91" t="n">
        <v>6.6</v>
      </c>
      <c r="L1427" s="80" t="n">
        <f aca="false">IF(AND(J1427&lt;&gt;"",K1427&lt;&gt;""),J1427*K1427,"")</f>
        <v>70.95</v>
      </c>
      <c r="M1427" s="142" t="n">
        <f aca="false">IF(L1427&lt;&gt;"",L1427*1.1,"")</f>
        <v>78.045</v>
      </c>
      <c r="N1427" s="147" t="n">
        <f aca="false">IF(F1427="S",L1427*0.02,0)</f>
        <v>1.419</v>
      </c>
      <c r="O1427" s="144" t="n">
        <f aca="false">IF(L1427&lt;&gt;"",L1427+N1427,"")</f>
        <v>72.369</v>
      </c>
      <c r="P1427" s="147" t="n">
        <f aca="false">IF(O1427&lt;&gt;"",O1427*0.1,"")</f>
        <v>7.2369</v>
      </c>
      <c r="Q1427" s="145" t="n">
        <f aca="false">IF(O1427&lt;&gt;"",O1427+P1427,"")</f>
        <v>79.6059</v>
      </c>
      <c r="R1427" s="84" t="s">
        <v>358</v>
      </c>
    </row>
    <row r="1428" customFormat="false" ht="15" hidden="false" customHeight="true" outlineLevel="0" collapsed="false">
      <c r="A1428" s="103" t="n">
        <v>56258</v>
      </c>
      <c r="B1428" s="73" t="n">
        <v>46247</v>
      </c>
      <c r="C1428" s="74" t="s">
        <v>642</v>
      </c>
      <c r="D1428" s="75" t="n">
        <v>50106</v>
      </c>
      <c r="E1428" s="52" t="str">
        <f aca="false">IF(D1428&lt;&gt;"",IFERROR(VLOOKUP(D1428,PROVEEDORES!$A:$B,2,0),"!COD NO ENCONTRADO"),"")</f>
        <v>SONIA VENTAS S.L</v>
      </c>
      <c r="F1428" s="76" t="str">
        <f aca="false">IF(D1428&lt;&gt;"",IFERROR(VLOOKUP(D1428,PROVEEDORES!$A:$C,3,0),""),"")</f>
        <v>S</v>
      </c>
      <c r="G1428" s="75" t="s">
        <v>227</v>
      </c>
      <c r="H1428" s="52" t="str">
        <f aca="false">IF(G1428&lt;&gt;"",IFERROR(VLOOKUP(G1428,PRODUCTOS!$A:$B,2,0),"!COD NO ENCONTRADO"),"")</f>
        <v>MERLUZA EUROPEA PINCHO COSTA 1,5/2</v>
      </c>
      <c r="I1428" s="77" t="n">
        <v>1</v>
      </c>
      <c r="J1428" s="78" t="n">
        <v>15</v>
      </c>
      <c r="K1428" s="79" t="n">
        <v>10.6</v>
      </c>
      <c r="L1428" s="80" t="n">
        <f aca="false">IF(AND(J1428&lt;&gt;"",K1428&lt;&gt;""),J1428*K1428,"")</f>
        <v>159</v>
      </c>
      <c r="M1428" s="142" t="n">
        <f aca="false">IF(L1428&lt;&gt;"",L1428*1.1,"")</f>
        <v>174.9</v>
      </c>
      <c r="N1428" s="143" t="n">
        <f aca="false">IF(F1428="S",L1428*0.02,0)</f>
        <v>3.18</v>
      </c>
      <c r="O1428" s="144" t="n">
        <f aca="false">IF(L1428&lt;&gt;"",L1428+N1428,"")</f>
        <v>162.18</v>
      </c>
      <c r="P1428" s="143" t="n">
        <f aca="false">IF(O1428&lt;&gt;"",O1428*0.1,"")</f>
        <v>16.218</v>
      </c>
      <c r="Q1428" s="145" t="n">
        <f aca="false">IF(O1428&lt;&gt;"",O1428+P1428,"")</f>
        <v>178.398</v>
      </c>
      <c r="R1428" s="84" t="s">
        <v>365</v>
      </c>
    </row>
    <row r="1429" customFormat="false" ht="15" hidden="false" customHeight="true" outlineLevel="0" collapsed="false">
      <c r="A1429" s="103" t="n">
        <v>56259</v>
      </c>
      <c r="B1429" s="73" t="n">
        <v>46247</v>
      </c>
      <c r="C1429" s="86" t="s">
        <v>643</v>
      </c>
      <c r="D1429" s="87" t="n">
        <v>50160</v>
      </c>
      <c r="E1429" s="46" t="str">
        <f aca="false">IF(D1429&lt;&gt;"",IFERROR(VLOOKUP(D1429,PROVEEDORES!$A:$B,2,0),"!COD NO ENCONTRADO"),"")</f>
        <v>SUBASTAS CORUÑA S.L.</v>
      </c>
      <c r="F1429" s="88" t="str">
        <f aca="false">IF(D1429&lt;&gt;"",IFERROR(VLOOKUP(D1429,PROVEEDORES!$A:$C,3,0),""),"")</f>
        <v>S</v>
      </c>
      <c r="G1429" s="87" t="s">
        <v>270</v>
      </c>
      <c r="H1429" s="46" t="str">
        <f aca="false">IF(G1429&lt;&gt;"",IFERROR(VLOOKUP(G1429,PRODUCTOS!$A:$B,2,0),"!COD NO ENCONTRADO"),"")</f>
        <v>PEON/ PION (ATP)</v>
      </c>
      <c r="I1429" s="89" t="n">
        <v>5</v>
      </c>
      <c r="J1429" s="90" t="n">
        <v>21.75</v>
      </c>
      <c r="K1429" s="91" t="n">
        <v>4.8</v>
      </c>
      <c r="L1429" s="80" t="n">
        <f aca="false">IF(AND(J1429&lt;&gt;"",K1429&lt;&gt;""),J1429*K1429,"")</f>
        <v>104.4</v>
      </c>
      <c r="M1429" s="142" t="n">
        <f aca="false">IF(L1429&lt;&gt;"",L1429*1.1,"")</f>
        <v>114.84</v>
      </c>
      <c r="N1429" s="147" t="n">
        <f aca="false">IF(F1429="S",L1429*0.02,0)</f>
        <v>2.088</v>
      </c>
      <c r="O1429" s="144" t="n">
        <f aca="false">IF(L1429&lt;&gt;"",L1429+N1429,"")</f>
        <v>106.488</v>
      </c>
      <c r="P1429" s="147" t="n">
        <f aca="false">IF(O1429&lt;&gt;"",O1429*0.1,"")</f>
        <v>10.6488</v>
      </c>
      <c r="Q1429" s="145" t="n">
        <f aca="false">IF(O1429&lt;&gt;"",O1429+P1429,"")</f>
        <v>117.1368</v>
      </c>
      <c r="R1429" s="84" t="s">
        <v>358</v>
      </c>
    </row>
    <row r="1430" customFormat="false" ht="15" hidden="false" customHeight="true" outlineLevel="0" collapsed="false">
      <c r="A1430" s="103" t="n">
        <v>56259</v>
      </c>
      <c r="B1430" s="73" t="n">
        <v>46247</v>
      </c>
      <c r="C1430" s="86" t="s">
        <v>643</v>
      </c>
      <c r="D1430" s="75" t="n">
        <v>50160</v>
      </c>
      <c r="E1430" s="52" t="str">
        <f aca="false">IF(D1430&lt;&gt;"",IFERROR(VLOOKUP(D1430,PROVEEDORES!$A:$B,2,0),"!COD NO ENCONTRADO"),"")</f>
        <v>SUBASTAS CORUÑA S.L.</v>
      </c>
      <c r="F1430" s="88" t="str">
        <f aca="false">IF(D1430&lt;&gt;"",IFERROR(VLOOKUP(D1430,PROVEEDORES!$A:$C,3,0),""),"")</f>
        <v>S</v>
      </c>
      <c r="G1430" s="87" t="s">
        <v>93</v>
      </c>
      <c r="H1430" s="46" t="str">
        <f aca="false">IF(G1430&lt;&gt;"",IFERROR(VLOOKUP(G1430,PRODUCTOS!$A:$B,2,0),"!COD NO ENCONTRADO"),"")</f>
        <v>BOQUERON/ BOCARTE/ ANCHOA (ANE)</v>
      </c>
      <c r="I1430" s="89" t="n">
        <v>40</v>
      </c>
      <c r="J1430" s="90" t="n">
        <v>497</v>
      </c>
      <c r="K1430" s="91" t="n">
        <v>0.95</v>
      </c>
      <c r="L1430" s="80" t="n">
        <f aca="false">IF(AND(J1430&lt;&gt;"",K1430&lt;&gt;""),J1430*K1430,"")</f>
        <v>472.15</v>
      </c>
      <c r="M1430" s="142" t="n">
        <f aca="false">IF(L1430&lt;&gt;"",L1430*1.1,"")</f>
        <v>519.365</v>
      </c>
      <c r="N1430" s="147" t="n">
        <f aca="false">IF(F1430="S",L1430*0.02,0)</f>
        <v>9.443</v>
      </c>
      <c r="O1430" s="144" t="n">
        <f aca="false">IF(L1430&lt;&gt;"",L1430+N1430,"")</f>
        <v>481.593</v>
      </c>
      <c r="P1430" s="147" t="n">
        <f aca="false">IF(O1430&lt;&gt;"",O1430*0.1,"")</f>
        <v>48.1593</v>
      </c>
      <c r="Q1430" s="145" t="n">
        <f aca="false">IF(O1430&lt;&gt;"",O1430+P1430,"")</f>
        <v>529.7523</v>
      </c>
      <c r="R1430" s="84" t="s">
        <v>358</v>
      </c>
    </row>
    <row r="1431" customFormat="false" ht="15" hidden="false" customHeight="true" outlineLevel="0" collapsed="false">
      <c r="A1431" s="103" t="n">
        <v>56259</v>
      </c>
      <c r="B1431" s="73" t="n">
        <v>46247</v>
      </c>
      <c r="C1431" s="86" t="s">
        <v>643</v>
      </c>
      <c r="D1431" s="75" t="n">
        <v>50160</v>
      </c>
      <c r="E1431" s="52" t="str">
        <f aca="false">IF(D1431&lt;&gt;"",IFERROR(VLOOKUP(D1431,PROVEEDORES!$A:$B,2,0),"!COD NO ENCONTRADO"),"")</f>
        <v>SUBASTAS CORUÑA S.L.</v>
      </c>
      <c r="F1431" s="76" t="str">
        <f aca="false">IF(D1431&lt;&gt;"",IFERROR(VLOOKUP(D1431,PROVEEDORES!$A:$C,3,0),""),"")</f>
        <v>S</v>
      </c>
      <c r="G1431" s="75" t="s">
        <v>93</v>
      </c>
      <c r="H1431" s="52" t="str">
        <f aca="false">IF(G1431&lt;&gt;"",IFERROR(VLOOKUP(G1431,PRODUCTOS!$A:$B,2,0),"!COD NO ENCONTRADO"),"")</f>
        <v>BOQUERON/ BOCARTE/ ANCHOA (ANE)</v>
      </c>
      <c r="I1431" s="77" t="n">
        <v>40</v>
      </c>
      <c r="J1431" s="78" t="n">
        <v>564</v>
      </c>
      <c r="K1431" s="79" t="n">
        <v>0.95</v>
      </c>
      <c r="L1431" s="80" t="n">
        <f aca="false">IF(AND(J1431&lt;&gt;"",K1431&lt;&gt;""),J1431*K1431,"")</f>
        <v>535.8</v>
      </c>
      <c r="M1431" s="142" t="n">
        <f aca="false">IF(L1431&lt;&gt;"",L1431*1.1,"")</f>
        <v>589.38</v>
      </c>
      <c r="N1431" s="143" t="n">
        <f aca="false">IF(F1431="S",L1431*0.02,0)</f>
        <v>10.716</v>
      </c>
      <c r="O1431" s="144" t="n">
        <f aca="false">IF(L1431&lt;&gt;"",L1431+N1431,"")</f>
        <v>546.516</v>
      </c>
      <c r="P1431" s="143" t="n">
        <f aca="false">IF(O1431&lt;&gt;"",O1431*0.1,"")</f>
        <v>54.6516</v>
      </c>
      <c r="Q1431" s="145" t="n">
        <f aca="false">IF(O1431&lt;&gt;"",O1431+P1431,"")</f>
        <v>601.1676</v>
      </c>
      <c r="R1431" s="84" t="s">
        <v>358</v>
      </c>
    </row>
    <row r="1432" customFormat="false" ht="15" hidden="false" customHeight="true" outlineLevel="0" collapsed="false">
      <c r="A1432" s="103" t="n">
        <v>56259</v>
      </c>
      <c r="B1432" s="73" t="n">
        <v>46247</v>
      </c>
      <c r="C1432" s="86" t="s">
        <v>643</v>
      </c>
      <c r="D1432" s="87" t="n">
        <v>50160</v>
      </c>
      <c r="E1432" s="46" t="str">
        <f aca="false">IF(D1432&lt;&gt;"",IFERROR(VLOOKUP(D1432,PROVEEDORES!$A:$B,2,0),"!COD NO ENCONTRADO"),"")</f>
        <v>SUBASTAS CORUÑA S.L.</v>
      </c>
      <c r="F1432" s="88" t="str">
        <f aca="false">IF(D1432&lt;&gt;"",IFERROR(VLOOKUP(D1432,PROVEEDORES!$A:$C,3,0),""),"")</f>
        <v>S</v>
      </c>
      <c r="G1432" s="87" t="s">
        <v>93</v>
      </c>
      <c r="H1432" s="46" t="str">
        <f aca="false">IF(G1432&lt;&gt;"",IFERROR(VLOOKUP(G1432,PRODUCTOS!$A:$B,2,0),"!COD NO ENCONTRADO"),"")</f>
        <v>BOQUERON/ BOCARTE/ ANCHOA (ANE)</v>
      </c>
      <c r="I1432" s="89" t="n">
        <v>40</v>
      </c>
      <c r="J1432" s="90" t="n">
        <v>455</v>
      </c>
      <c r="K1432" s="91" t="n">
        <v>0.95</v>
      </c>
      <c r="L1432" s="80" t="n">
        <f aca="false">IF(AND(J1432&lt;&gt;"",K1432&lt;&gt;""),J1432*K1432,"")</f>
        <v>432.25</v>
      </c>
      <c r="M1432" s="142" t="n">
        <f aca="false">IF(L1432&lt;&gt;"",L1432*1.1,"")</f>
        <v>475.475</v>
      </c>
      <c r="N1432" s="147" t="n">
        <f aca="false">IF(F1432="S",L1432*0.02,0)</f>
        <v>8.645</v>
      </c>
      <c r="O1432" s="144" t="n">
        <f aca="false">IF(L1432&lt;&gt;"",L1432+N1432,"")</f>
        <v>440.895</v>
      </c>
      <c r="P1432" s="147" t="n">
        <f aca="false">IF(O1432&lt;&gt;"",O1432*0.1,"")</f>
        <v>44.0895</v>
      </c>
      <c r="Q1432" s="145" t="n">
        <f aca="false">IF(O1432&lt;&gt;"",O1432+P1432,"")</f>
        <v>484.9845</v>
      </c>
      <c r="R1432" s="84" t="s">
        <v>358</v>
      </c>
    </row>
    <row r="1433" customFormat="false" ht="15" hidden="false" customHeight="true" outlineLevel="0" collapsed="false">
      <c r="A1433" s="103" t="n">
        <v>56260</v>
      </c>
      <c r="B1433" s="73" t="n">
        <v>46247</v>
      </c>
      <c r="C1433" s="74" t="s">
        <v>644</v>
      </c>
      <c r="D1433" s="75" t="n">
        <v>50163</v>
      </c>
      <c r="E1433" s="52" t="str">
        <f aca="false">IF(D1433&lt;&gt;"",IFERROR(VLOOKUP(D1433,PROVEEDORES!$A:$B,2,0),"!COD NO ENCONTRADO"),"")</f>
        <v>SUBASTAS RIVERA S.L.</v>
      </c>
      <c r="F1433" s="76" t="str">
        <f aca="false">IF(D1433&lt;&gt;"",IFERROR(VLOOKUP(D1433,PROVEEDORES!$A:$C,3,0),""),"")</f>
        <v>S</v>
      </c>
      <c r="G1433" s="75" t="s">
        <v>231</v>
      </c>
      <c r="H1433" s="52" t="str">
        <f aca="false">IF(G1433&lt;&gt;"",IFERROR(VLOOKUP(G1433,PRODUCTOS!$A:$B,2,0),"!COD NO ENCONTRADO"),"")</f>
        <v>MERLUZA EUROPEA PINCHO COSTA 2,5+</v>
      </c>
      <c r="I1433" s="77" t="n">
        <v>1</v>
      </c>
      <c r="J1433" s="105" t="n">
        <v>10.5</v>
      </c>
      <c r="K1433" s="79" t="n">
        <v>14.4</v>
      </c>
      <c r="L1433" s="80" t="n">
        <f aca="false">IF(AND(J1433&lt;&gt;"",K1433&lt;&gt;""),J1433*K1433,"")</f>
        <v>151.2</v>
      </c>
      <c r="M1433" s="142" t="n">
        <f aca="false">IF(L1433&lt;&gt;"",L1433*1.1,"")</f>
        <v>166.32</v>
      </c>
      <c r="N1433" s="143" t="n">
        <f aca="false">IF(F1433="S",L1433*0.02,0)</f>
        <v>3.024</v>
      </c>
      <c r="O1433" s="144" t="n">
        <f aca="false">IF(L1433&lt;&gt;"",L1433+N1433,"")</f>
        <v>154.224</v>
      </c>
      <c r="P1433" s="143" t="n">
        <f aca="false">IF(O1433&lt;&gt;"",O1433*0.1,"")</f>
        <v>15.4224</v>
      </c>
      <c r="Q1433" s="145" t="n">
        <f aca="false">IF(O1433&lt;&gt;"",O1433+P1433,"")</f>
        <v>169.6464</v>
      </c>
      <c r="R1433" s="84" t="s">
        <v>358</v>
      </c>
    </row>
    <row r="1434" customFormat="false" ht="15" hidden="false" customHeight="true" outlineLevel="0" collapsed="false">
      <c r="A1434" s="103" t="n">
        <v>56261</v>
      </c>
      <c r="B1434" s="73" t="n">
        <v>46247</v>
      </c>
      <c r="C1434" s="86" t="s">
        <v>645</v>
      </c>
      <c r="D1434" s="87" t="n">
        <v>50218</v>
      </c>
      <c r="E1434" s="46" t="str">
        <f aca="false">IF(D1434&lt;&gt;"",IFERROR(VLOOKUP(D1434,PROVEEDORES!$A:$B,2,0),"!COD NO ENCONTRADO"),"")</f>
        <v>ACERGA </v>
      </c>
      <c r="F1434" s="88" t="str">
        <f aca="false">IF(D1434&lt;&gt;"",IFERROR(VLOOKUP(D1434,PROVEEDORES!$A:$C,3,0),""),"")</f>
        <v>S</v>
      </c>
      <c r="G1434" s="87" t="s">
        <v>93</v>
      </c>
      <c r="H1434" s="46" t="str">
        <f aca="false">IF(G1434&lt;&gt;"",IFERROR(VLOOKUP(G1434,PRODUCTOS!$A:$B,2,0),"!COD NO ENCONTRADO"),"")</f>
        <v>BOQUERON/ BOCARTE/ ANCHOA (ANE)</v>
      </c>
      <c r="I1434" s="89" t="n">
        <v>40</v>
      </c>
      <c r="J1434" s="90" t="n">
        <v>356</v>
      </c>
      <c r="K1434" s="91" t="n">
        <v>1.03</v>
      </c>
      <c r="L1434" s="80" t="n">
        <f aca="false">IF(AND(J1434&lt;&gt;"",K1434&lt;&gt;""),J1434*K1434,"")</f>
        <v>366.68</v>
      </c>
      <c r="M1434" s="142" t="n">
        <f aca="false">IF(L1434&lt;&gt;"",L1434*1.1,"")</f>
        <v>403.348</v>
      </c>
      <c r="N1434" s="147" t="n">
        <f aca="false">IF(F1434="S",L1434*0.02,0)</f>
        <v>7.3336</v>
      </c>
      <c r="O1434" s="144" t="n">
        <f aca="false">IF(L1434&lt;&gt;"",L1434+N1434,"")</f>
        <v>374.0136</v>
      </c>
      <c r="P1434" s="147" t="n">
        <f aca="false">IF(O1434&lt;&gt;"",O1434*0.1,"")</f>
        <v>37.40136</v>
      </c>
      <c r="Q1434" s="145" t="n">
        <f aca="false">IF(O1434&lt;&gt;"",O1434+P1434,"")</f>
        <v>411.41496</v>
      </c>
      <c r="R1434" s="84" t="s">
        <v>365</v>
      </c>
    </row>
    <row r="1435" customFormat="false" ht="15" hidden="false" customHeight="true" outlineLevel="0" collapsed="false">
      <c r="A1435" s="103" t="n">
        <v>56261</v>
      </c>
      <c r="B1435" s="73" t="n">
        <v>46247</v>
      </c>
      <c r="C1435" s="74" t="s">
        <v>645</v>
      </c>
      <c r="D1435" s="75" t="n">
        <v>50218</v>
      </c>
      <c r="E1435" s="52" t="str">
        <f aca="false">IF(D1435&lt;&gt;"",IFERROR(VLOOKUP(D1435,PROVEEDORES!$A:$B,2,0),"!COD NO ENCONTRADO"),"")</f>
        <v>ACERGA </v>
      </c>
      <c r="F1435" s="76" t="str">
        <f aca="false">IF(D1435&lt;&gt;"",IFERROR(VLOOKUP(D1435,PROVEEDORES!$A:$C,3,0),""),"")</f>
        <v>S</v>
      </c>
      <c r="G1435" s="75" t="s">
        <v>93</v>
      </c>
      <c r="H1435" s="52" t="str">
        <f aca="false">IF(G1435&lt;&gt;"",IFERROR(VLOOKUP(G1435,PRODUCTOS!$A:$B,2,0),"!COD NO ENCONTRADO"),"")</f>
        <v>BOQUERON/ BOCARTE/ ANCHOA (ANE)</v>
      </c>
      <c r="I1435" s="77" t="n">
        <v>40</v>
      </c>
      <c r="J1435" s="78" t="n">
        <v>353</v>
      </c>
      <c r="K1435" s="79" t="n">
        <v>1.03</v>
      </c>
      <c r="L1435" s="80" t="n">
        <f aca="false">IF(AND(J1435&lt;&gt;"",K1435&lt;&gt;""),J1435*K1435,"")</f>
        <v>363.59</v>
      </c>
      <c r="M1435" s="142" t="n">
        <f aca="false">IF(L1435&lt;&gt;"",L1435*1.1,"")</f>
        <v>399.949</v>
      </c>
      <c r="N1435" s="143" t="n">
        <f aca="false">IF(F1435="S",L1435*0.02,0)</f>
        <v>7.2718</v>
      </c>
      <c r="O1435" s="144" t="n">
        <f aca="false">IF(L1435&lt;&gt;"",L1435+N1435,"")</f>
        <v>370.8618</v>
      </c>
      <c r="P1435" s="143" t="n">
        <f aca="false">IF(O1435&lt;&gt;"",O1435*0.1,"")</f>
        <v>37.08618</v>
      </c>
      <c r="Q1435" s="145" t="n">
        <f aca="false">IF(O1435&lt;&gt;"",O1435+P1435,"")</f>
        <v>407.94798</v>
      </c>
      <c r="R1435" s="84" t="s">
        <v>365</v>
      </c>
    </row>
    <row r="1436" customFormat="false" ht="15" hidden="false" customHeight="true" outlineLevel="0" collapsed="false">
      <c r="A1436" s="103" t="n">
        <v>56262</v>
      </c>
      <c r="B1436" s="73" t="n">
        <v>46247</v>
      </c>
      <c r="C1436" s="86" t="s">
        <v>646</v>
      </c>
      <c r="D1436" s="87" t="n">
        <v>50521</v>
      </c>
      <c r="E1436" s="46" t="str">
        <f aca="false">IF(D1436&lt;&gt;"",IFERROR(VLOOKUP(D1436,PROVEEDORES!$A:$B,2,0),"!COD NO ENCONTRADO"),"")</f>
        <v>SUBASTAS DE ATLANTICO S.L</v>
      </c>
      <c r="F1436" s="88" t="str">
        <f aca="false">IF(D1436&lt;&gt;"",IFERROR(VLOOKUP(D1436,PROVEEDORES!$A:$C,3,0),""),"")</f>
        <v>S</v>
      </c>
      <c r="G1436" s="87" t="s">
        <v>91</v>
      </c>
      <c r="H1436" s="46" t="str">
        <f aca="false">IF(G1436&lt;&gt;"",IFERROR(VLOOKUP(G1436,PRODUCTOS!$A:$B,2,0),"!COD NO ENCONTRADO"),"")</f>
        <v>BONITO DEL NORTE 5/7</v>
      </c>
      <c r="I1436" s="89" t="n">
        <v>1</v>
      </c>
      <c r="J1436" s="90" t="n">
        <v>33.25</v>
      </c>
      <c r="K1436" s="91" t="n">
        <v>5.75</v>
      </c>
      <c r="L1436" s="80" t="n">
        <f aca="false">IF(AND(J1436&lt;&gt;"",K1436&lt;&gt;""),J1436*K1436,"")</f>
        <v>191.1875</v>
      </c>
      <c r="M1436" s="142" t="n">
        <f aca="false">IF(L1436&lt;&gt;"",L1436*1.1,"")</f>
        <v>210.30625</v>
      </c>
      <c r="N1436" s="147" t="n">
        <f aca="false">IF(F1436="S",L1436*0.02,0)</f>
        <v>3.82375</v>
      </c>
      <c r="O1436" s="144" t="n">
        <f aca="false">IF(L1436&lt;&gt;"",L1436+N1436,"")</f>
        <v>195.01125</v>
      </c>
      <c r="P1436" s="147" t="n">
        <f aca="false">IF(O1436&lt;&gt;"",O1436*0.1,"")</f>
        <v>19.501125</v>
      </c>
      <c r="Q1436" s="145" t="n">
        <f aca="false">IF(O1436&lt;&gt;"",O1436+P1436,"")</f>
        <v>214.512375</v>
      </c>
      <c r="R1436" s="84" t="s">
        <v>358</v>
      </c>
    </row>
    <row r="1437" customFormat="false" ht="15" hidden="false" customHeight="true" outlineLevel="0" collapsed="false">
      <c r="A1437" s="103" t="n">
        <v>56263</v>
      </c>
      <c r="B1437" s="73" t="n">
        <v>46247</v>
      </c>
      <c r="C1437" s="74" t="s">
        <v>630</v>
      </c>
      <c r="D1437" s="75" t="n">
        <v>50232</v>
      </c>
      <c r="E1437" s="52" t="str">
        <f aca="false">IF(D1437&lt;&gt;"",IFERROR(VLOOKUP(D1437,PROVEEDORES!$A:$B,2,0),"!COD NO ENCONTRADO"),"")</f>
        <v>XESTION NOVA LONXA RIVEIRA S.L.</v>
      </c>
      <c r="F1437" s="76" t="str">
        <f aca="false">IF(D1437&lt;&gt;"",IFERROR(VLOOKUP(D1437,PROVEEDORES!$A:$C,3,0),""),"")</f>
        <v>S</v>
      </c>
      <c r="G1437" s="75" t="s">
        <v>276</v>
      </c>
      <c r="H1437" s="52" t="str">
        <f aca="false">IF(G1437&lt;&gt;"",IFERROR(VLOOKUP(G1437,PRODUCTOS!$A:$B,2,0),"!COD NO ENCONTRADO"),"")</f>
        <v>MERLUZA EUROPEA/ FINA DIA </v>
      </c>
      <c r="I1437" s="77" t="n">
        <v>24</v>
      </c>
      <c r="J1437" s="78" t="n">
        <v>201</v>
      </c>
      <c r="K1437" s="125" t="n">
        <v>3.7</v>
      </c>
      <c r="L1437" s="80" t="n">
        <f aca="false">IF(AND(J1437&lt;&gt;"",K1437&lt;&gt;""),J1437*K1437,"")</f>
        <v>743.7</v>
      </c>
      <c r="M1437" s="142" t="n">
        <f aca="false">IF(L1437&lt;&gt;"",L1437*1.1,"")</f>
        <v>818.07</v>
      </c>
      <c r="N1437" s="143" t="n">
        <f aca="false">IF(F1437="S",L1437*0.02,0)</f>
        <v>14.874</v>
      </c>
      <c r="O1437" s="144" t="n">
        <f aca="false">IF(L1437&lt;&gt;"",L1437+N1437,"")</f>
        <v>758.574</v>
      </c>
      <c r="P1437" s="143" t="n">
        <f aca="false">IF(O1437&lt;&gt;"",O1437*0.1,"")</f>
        <v>75.8574</v>
      </c>
      <c r="Q1437" s="145" t="n">
        <f aca="false">IF(O1437&lt;&gt;"",O1437+P1437,"")</f>
        <v>834.4314</v>
      </c>
      <c r="R1437" s="84" t="s">
        <v>365</v>
      </c>
    </row>
    <row r="1438" customFormat="false" ht="15" hidden="false" customHeight="true" outlineLevel="0" collapsed="false">
      <c r="A1438" s="103" t="n">
        <v>56263</v>
      </c>
      <c r="B1438" s="73" t="n">
        <v>46247</v>
      </c>
      <c r="C1438" s="74" t="s">
        <v>630</v>
      </c>
      <c r="D1438" s="75" t="n">
        <v>50232</v>
      </c>
      <c r="E1438" s="52" t="str">
        <f aca="false">IF(D1438&lt;&gt;"",IFERROR(VLOOKUP(D1438,PROVEEDORES!$A:$B,2,0),"!COD NO ENCONTRADO"),"")</f>
        <v>XESTION NOVA LONXA RIVEIRA S.L.</v>
      </c>
      <c r="F1438" s="88" t="str">
        <f aca="false">IF(D1438&lt;&gt;"",IFERROR(VLOOKUP(D1438,PROVEEDORES!$A:$C,3,0),""),"")</f>
        <v>S</v>
      </c>
      <c r="G1438" s="87" t="s">
        <v>310</v>
      </c>
      <c r="H1438" s="46" t="str">
        <f aca="false">IF(G1438&lt;&gt;"",IFERROR(VLOOKUP(G1438,PRODUCTOS!$A:$B,2,0),"!COD NO ENCONTRADO"),"")</f>
        <v>SABOGA/ SALEMA/ SALMA (SLM)</v>
      </c>
      <c r="I1438" s="89" t="n">
        <v>4</v>
      </c>
      <c r="J1438" s="90" t="n">
        <v>32.2</v>
      </c>
      <c r="K1438" s="91" t="n">
        <v>0.8</v>
      </c>
      <c r="L1438" s="80" t="n">
        <f aca="false">IF(AND(J1438&lt;&gt;"",K1438&lt;&gt;""),J1438*K1438,"")</f>
        <v>25.76</v>
      </c>
      <c r="M1438" s="142" t="n">
        <f aca="false">IF(L1438&lt;&gt;"",L1438*1.1,"")</f>
        <v>28.336</v>
      </c>
      <c r="N1438" s="147" t="n">
        <f aca="false">IF(F1438="S",L1438*0.02,0)</f>
        <v>0.5152</v>
      </c>
      <c r="O1438" s="144" t="n">
        <f aca="false">IF(L1438&lt;&gt;"",L1438+N1438,"")</f>
        <v>26.2752</v>
      </c>
      <c r="P1438" s="147" t="n">
        <f aca="false">IF(O1438&lt;&gt;"",O1438*0.1,"")</f>
        <v>2.62752</v>
      </c>
      <c r="Q1438" s="145" t="n">
        <f aca="false">IF(O1438&lt;&gt;"",O1438+P1438,"")</f>
        <v>28.90272</v>
      </c>
      <c r="R1438" s="84" t="s">
        <v>365</v>
      </c>
    </row>
    <row r="1439" customFormat="false" ht="15" hidden="false" customHeight="true" outlineLevel="0" collapsed="false">
      <c r="A1439" s="103" t="n">
        <v>56263</v>
      </c>
      <c r="B1439" s="73" t="n">
        <v>46247</v>
      </c>
      <c r="C1439" s="74"/>
      <c r="D1439" s="75"/>
      <c r="E1439" s="52" t="str">
        <f aca="false">IF(D1439&lt;&gt;"",IFERROR(VLOOKUP(D1439,PROVEEDORES!$A:$B,2,0),"!COD NO ENCONTRADO"),"")</f>
        <v/>
      </c>
      <c r="F1439" s="76" t="str">
        <f aca="false">IF(D1439&lt;&gt;"",IFERROR(VLOOKUP(D1439,PROVEEDORES!$A:$C,3,0),""),"")</f>
        <v/>
      </c>
      <c r="G1439" s="75"/>
      <c r="H1439" s="52" t="str">
        <f aca="false">IF(G1439&lt;&gt;"",IFERROR(VLOOKUP(G1439,PRODUCTOS!$A:$B,2,0),"!COD NO ENCONTRADO"),"")</f>
        <v/>
      </c>
      <c r="I1439" s="77"/>
      <c r="J1439" s="78"/>
      <c r="K1439" s="79"/>
      <c r="L1439" s="80" t="str">
        <f aca="false">IF(AND(J1439&lt;&gt;"",K1439&lt;&gt;""),J1439*K1439,"")</f>
        <v/>
      </c>
      <c r="M1439" s="142" t="str">
        <f aca="false">IF(L1439&lt;&gt;"",L1439*1.1,"")</f>
        <v/>
      </c>
      <c r="N1439" s="143" t="n">
        <f aca="false">IF(F1439="S",L1439*0.02,0)</f>
        <v>0</v>
      </c>
      <c r="O1439" s="144" t="str">
        <f aca="false">IF(L1439&lt;&gt;"",L1439+N1439,"")</f>
        <v/>
      </c>
      <c r="P1439" s="143" t="str">
        <f aca="false">IF(O1439&lt;&gt;"",O1439*0.1,"")</f>
        <v/>
      </c>
      <c r="Q1439" s="145" t="str">
        <f aca="false">IF(O1439&lt;&gt;"",O1439+P1439,"")</f>
        <v/>
      </c>
      <c r="R1439" s="84"/>
    </row>
    <row r="1440" customFormat="false" ht="15" hidden="false" customHeight="true" outlineLevel="0" collapsed="false">
      <c r="A1440" s="103" t="n">
        <v>56264</v>
      </c>
      <c r="B1440" s="73" t="n">
        <v>46247</v>
      </c>
      <c r="C1440" s="74" t="s">
        <v>647</v>
      </c>
      <c r="D1440" s="75" t="n">
        <v>50514</v>
      </c>
      <c r="E1440" s="52" t="str">
        <f aca="false">IF(D1440&lt;&gt;"",IFERROR(VLOOKUP(D1440,PROVEEDORES!$A:$B,2,0),"!COD NO ENCONTRADO"),"")</f>
        <v>PESCADO Y MARISCOS ADELAIDA S.L.</v>
      </c>
      <c r="F1440" s="76" t="str">
        <f aca="false">IF(D1440&lt;&gt;"",IFERROR(VLOOKUP(D1440,PROVEEDORES!$A:$C,3,0),""),"")</f>
        <v>N</v>
      </c>
      <c r="G1440" s="75" t="s">
        <v>233</v>
      </c>
      <c r="H1440" s="52" t="str">
        <f aca="false">IF(G1440&lt;&gt;"",IFERROR(VLOOKUP(G1440,PRODUCTOS!$A:$B,2,0),"!COD NO ENCONTRADO"),"")</f>
        <v>MERLUZA EUROPEA VOLANTA COSTA</v>
      </c>
      <c r="I1440" s="77" t="n">
        <v>1</v>
      </c>
      <c r="J1440" s="121" t="n">
        <v>5.75</v>
      </c>
      <c r="K1440" s="141" t="n">
        <v>1.5</v>
      </c>
      <c r="L1440" s="80" t="n">
        <f aca="false">IF(AND(J1440&lt;&gt;"",K1440&lt;&gt;""),J1440*K1440,"")</f>
        <v>8.625</v>
      </c>
      <c r="M1440" s="81" t="n">
        <f aca="false">IF(L1440&lt;&gt;"",L1440*1.1,"")</f>
        <v>9.4875</v>
      </c>
      <c r="N1440" s="53" t="n">
        <f aca="false">IF(F1440="S",L1440*0.02,0)</f>
        <v>0</v>
      </c>
      <c r="O1440" s="82" t="n">
        <f aca="false">IF(L1440&lt;&gt;"",L1440+N1440,"")</f>
        <v>8.625</v>
      </c>
      <c r="P1440" s="53" t="n">
        <f aca="false">IF(O1440&lt;&gt;"",O1440*0.1,"")</f>
        <v>0.8625</v>
      </c>
      <c r="Q1440" s="83" t="n">
        <f aca="false">IF(O1440&lt;&gt;"",O1440+P1440,"")</f>
        <v>9.4875</v>
      </c>
      <c r="R1440" s="84" t="s">
        <v>365</v>
      </c>
    </row>
    <row r="1441" customFormat="false" ht="15" hidden="false" customHeight="true" outlineLevel="0" collapsed="false">
      <c r="A1441" s="103" t="n">
        <v>56264</v>
      </c>
      <c r="B1441" s="73" t="n">
        <v>46247</v>
      </c>
      <c r="C1441" s="74" t="s">
        <v>647</v>
      </c>
      <c r="D1441" s="87" t="n">
        <v>50514</v>
      </c>
      <c r="E1441" s="46" t="str">
        <f aca="false">IF(D1441&lt;&gt;"",IFERROR(VLOOKUP(D1441,PROVEEDORES!$A:$B,2,0),"!COD NO ENCONTRADO"),"")</f>
        <v>PESCADO Y MARISCOS ADELAIDA S.L.</v>
      </c>
      <c r="F1441" s="88" t="str">
        <f aca="false">IF(D1441&lt;&gt;"",IFERROR(VLOOKUP(D1441,PROVEEDORES!$A:$C,3,0),""),"")</f>
        <v>N</v>
      </c>
      <c r="G1441" s="87" t="s">
        <v>316</v>
      </c>
      <c r="H1441" s="46" t="str">
        <f aca="false">IF(G1441&lt;&gt;"",IFERROR(VLOOKUP(G1441,PRODUCTOS!$A:$B,2,0),"!COD NO ENCONTRADO"),"")</f>
        <v>SALMONETE ROCA (MUR)</v>
      </c>
      <c r="I1441" s="89" t="n">
        <v>1</v>
      </c>
      <c r="J1441" s="121" t="n">
        <v>9.85</v>
      </c>
      <c r="K1441" s="141" t="n">
        <v>14</v>
      </c>
      <c r="L1441" s="80" t="n">
        <f aca="false">IF(AND(J1441&lt;&gt;"",K1441&lt;&gt;""),J1441*K1441,"")</f>
        <v>137.9</v>
      </c>
      <c r="M1441" s="81" t="n">
        <f aca="false">IF(L1441&lt;&gt;"",L1441*1.1,"")</f>
        <v>151.69</v>
      </c>
      <c r="N1441" s="47" t="n">
        <f aca="false">IF(F1441="S",L1441*0.02,0)</f>
        <v>0</v>
      </c>
      <c r="O1441" s="82" t="n">
        <f aca="false">IF(L1441&lt;&gt;"",L1441+N1441,"")</f>
        <v>137.9</v>
      </c>
      <c r="P1441" s="47" t="n">
        <f aca="false">IF(O1441&lt;&gt;"",O1441*0.1,"")</f>
        <v>13.79</v>
      </c>
      <c r="Q1441" s="83" t="n">
        <f aca="false">IF(O1441&lt;&gt;"",O1441+P1441,"")</f>
        <v>151.69</v>
      </c>
      <c r="R1441" s="84" t="s">
        <v>365</v>
      </c>
    </row>
    <row r="1442" customFormat="false" ht="15" hidden="false" customHeight="true" outlineLevel="0" collapsed="false">
      <c r="A1442" s="103" t="n">
        <v>56264</v>
      </c>
      <c r="B1442" s="73" t="n">
        <v>46247</v>
      </c>
      <c r="C1442" s="74" t="s">
        <v>647</v>
      </c>
      <c r="D1442" s="75" t="n">
        <v>50514</v>
      </c>
      <c r="E1442" s="52" t="str">
        <f aca="false">IF(D1442&lt;&gt;"",IFERROR(VLOOKUP(D1442,PROVEEDORES!$A:$B,2,0),"!COD NO ENCONTRADO"),"")</f>
        <v>PESCADO Y MARISCOS ADELAIDA S.L.</v>
      </c>
      <c r="F1442" s="76" t="str">
        <f aca="false">IF(D1442&lt;&gt;"",IFERROR(VLOOKUP(D1442,PROVEEDORES!$A:$C,3,0),""),"")</f>
        <v>N</v>
      </c>
      <c r="G1442" s="75" t="s">
        <v>115</v>
      </c>
      <c r="H1442" s="52" t="str">
        <f aca="false">IF(G1442&lt;&gt;"",IFERROR(VLOOKUP(G1442,PRODUCTOS!$A:$B,2,0),"!COD NO ENCONTRADO"),"")</f>
        <v>CHICHARRO/ JUREL/ XURELO (HOM)</v>
      </c>
      <c r="I1442" s="77" t="n">
        <v>1</v>
      </c>
      <c r="J1442" s="121" t="n">
        <v>14.8</v>
      </c>
      <c r="K1442" s="141" t="n">
        <v>0.6</v>
      </c>
      <c r="L1442" s="80" t="n">
        <f aca="false">IF(AND(J1442&lt;&gt;"",K1442&lt;&gt;""),J1442*K1442,"")</f>
        <v>8.88</v>
      </c>
      <c r="M1442" s="81" t="n">
        <f aca="false">IF(L1442&lt;&gt;"",L1442*1.1,"")</f>
        <v>9.768</v>
      </c>
      <c r="N1442" s="53" t="n">
        <f aca="false">IF(F1442="S",L1442*0.02,0)</f>
        <v>0</v>
      </c>
      <c r="O1442" s="82" t="n">
        <f aca="false">IF(L1442&lt;&gt;"",L1442+N1442,"")</f>
        <v>8.88</v>
      </c>
      <c r="P1442" s="53" t="n">
        <f aca="false">IF(O1442&lt;&gt;"",O1442*0.1,"")</f>
        <v>0.888</v>
      </c>
      <c r="Q1442" s="83" t="n">
        <f aca="false">IF(O1442&lt;&gt;"",O1442+P1442,"")</f>
        <v>9.768</v>
      </c>
      <c r="R1442" s="84" t="s">
        <v>365</v>
      </c>
    </row>
    <row r="1443" customFormat="false" ht="15" hidden="false" customHeight="true" outlineLevel="0" collapsed="false">
      <c r="A1443" s="103" t="n">
        <v>56264</v>
      </c>
      <c r="B1443" s="85" t="n">
        <v>46247</v>
      </c>
      <c r="C1443" s="74" t="s">
        <v>647</v>
      </c>
      <c r="D1443" s="87" t="n">
        <v>50514</v>
      </c>
      <c r="E1443" s="46" t="str">
        <f aca="false">IF(D1443&lt;&gt;"",IFERROR(VLOOKUP(D1443,PROVEEDORES!$A:$B,2,0),"!COD NO ENCONTRADO"),"")</f>
        <v>PESCADO Y MARISCOS ADELAIDA S.L.</v>
      </c>
      <c r="F1443" s="88" t="str">
        <f aca="false">IF(D1443&lt;&gt;"",IFERROR(VLOOKUP(D1443,PROVEEDORES!$A:$C,3,0),""),"")</f>
        <v>N</v>
      </c>
      <c r="G1443" s="87" t="s">
        <v>103</v>
      </c>
      <c r="H1443" s="46" t="str">
        <f aca="false">IF(G1443&lt;&gt;"",IFERROR(VLOOKUP(G1443,PRODUCTOS!$A:$B,2,0),"!COD NO ENCONTRADO"),"")</f>
        <v>CABRAS/ GALLINETA (BRF)</v>
      </c>
      <c r="I1443" s="89" t="n">
        <v>1</v>
      </c>
      <c r="J1443" s="121" t="n">
        <v>5.05</v>
      </c>
      <c r="K1443" s="141" t="n">
        <v>0.1</v>
      </c>
      <c r="L1443" s="80" t="n">
        <f aca="false">IF(AND(J1443&lt;&gt;"",K1443&lt;&gt;""),J1443*K1443,"")</f>
        <v>0.505</v>
      </c>
      <c r="M1443" s="81" t="n">
        <f aca="false">IF(L1443&lt;&gt;"",L1443*1.1,"")</f>
        <v>0.5555</v>
      </c>
      <c r="N1443" s="47" t="n">
        <f aca="false">IF(F1443="S",L1443*0.02,0)</f>
        <v>0</v>
      </c>
      <c r="O1443" s="82" t="n">
        <f aca="false">IF(L1443&lt;&gt;"",L1443+N1443,"")</f>
        <v>0.505</v>
      </c>
      <c r="P1443" s="47" t="n">
        <f aca="false">IF(O1443&lt;&gt;"",O1443*0.1,"")</f>
        <v>0.0505</v>
      </c>
      <c r="Q1443" s="83" t="n">
        <f aca="false">IF(O1443&lt;&gt;"",O1443+P1443,"")</f>
        <v>0.5555</v>
      </c>
      <c r="R1443" s="84" t="s">
        <v>365</v>
      </c>
    </row>
    <row r="1444" customFormat="false" ht="15" hidden="false" customHeight="true" outlineLevel="0" collapsed="false">
      <c r="A1444" s="103" t="n">
        <v>56264</v>
      </c>
      <c r="B1444" s="73" t="n">
        <v>46247</v>
      </c>
      <c r="C1444" s="74" t="s">
        <v>647</v>
      </c>
      <c r="D1444" s="75" t="n">
        <v>50514</v>
      </c>
      <c r="E1444" s="52" t="str">
        <f aca="false">IF(D1444&lt;&gt;"",IFERROR(VLOOKUP(D1444,PROVEEDORES!$A:$B,2,0),"!COD NO ENCONTRADO"),"")</f>
        <v>PESCADO Y MARISCOS ADELAIDA S.L.</v>
      </c>
      <c r="F1444" s="76" t="str">
        <f aca="false">IF(D1444&lt;&gt;"",IFERROR(VLOOKUP(D1444,PROVEEDORES!$A:$C,3,0),""),"")</f>
        <v>N</v>
      </c>
      <c r="G1444" s="75" t="s">
        <v>155</v>
      </c>
      <c r="H1444" s="52" t="str">
        <f aca="false">IF(G1444&lt;&gt;"",IFERROR(VLOOKUP(G1444,PRODUCTOS!$A:$B,2,0),"!COD NO ENCONTRADO"),"")</f>
        <v>FANECA (BIB)</v>
      </c>
      <c r="I1444" s="77" t="n">
        <v>2</v>
      </c>
      <c r="J1444" s="121" t="n">
        <v>9.9</v>
      </c>
      <c r="K1444" s="141" t="n">
        <v>1.9</v>
      </c>
      <c r="L1444" s="80" t="n">
        <f aca="false">IF(AND(J1444&lt;&gt;"",K1444&lt;&gt;""),J1444*K1444,"")</f>
        <v>18.81</v>
      </c>
      <c r="M1444" s="81" t="n">
        <f aca="false">IF(L1444&lt;&gt;"",L1444*1.1,"")</f>
        <v>20.691</v>
      </c>
      <c r="N1444" s="53" t="n">
        <f aca="false">IF(F1444="S",L1444*0.02,0)</f>
        <v>0</v>
      </c>
      <c r="O1444" s="82" t="n">
        <f aca="false">IF(L1444&lt;&gt;"",L1444+N1444,"")</f>
        <v>18.81</v>
      </c>
      <c r="P1444" s="53" t="n">
        <f aca="false">IF(O1444&lt;&gt;"",O1444*0.1,"")</f>
        <v>1.881</v>
      </c>
      <c r="Q1444" s="83" t="n">
        <f aca="false">IF(O1444&lt;&gt;"",O1444+P1444,"")</f>
        <v>20.691</v>
      </c>
      <c r="R1444" s="84" t="s">
        <v>365</v>
      </c>
    </row>
    <row r="1445" customFormat="false" ht="15" hidden="false" customHeight="true" outlineLevel="0" collapsed="false">
      <c r="A1445" s="103" t="n">
        <v>56264</v>
      </c>
      <c r="B1445" s="85" t="n">
        <v>46247</v>
      </c>
      <c r="C1445" s="74" t="s">
        <v>647</v>
      </c>
      <c r="D1445" s="87" t="n">
        <v>50514</v>
      </c>
      <c r="E1445" s="46" t="str">
        <f aca="false">IF(D1445&lt;&gt;"",IFERROR(VLOOKUP(D1445,PROVEEDORES!$A:$B,2,0),"!COD NO ENCONTRADO"),"")</f>
        <v>PESCADO Y MARISCOS ADELAIDA S.L.</v>
      </c>
      <c r="F1445" s="88" t="str">
        <f aca="false">IF(D1445&lt;&gt;"",IFERROR(VLOOKUP(D1445,PROVEEDORES!$A:$C,3,0),""),"")</f>
        <v>N</v>
      </c>
      <c r="G1445" s="87" t="s">
        <v>155</v>
      </c>
      <c r="H1445" s="46" t="str">
        <f aca="false">IF(G1445&lt;&gt;"",IFERROR(VLOOKUP(G1445,PRODUCTOS!$A:$B,2,0),"!COD NO ENCONTRADO"),"")</f>
        <v>FANECA (BIB)</v>
      </c>
      <c r="I1445" s="89" t="n">
        <v>2</v>
      </c>
      <c r="J1445" s="121" t="n">
        <v>17.9</v>
      </c>
      <c r="K1445" s="141" t="n">
        <v>1</v>
      </c>
      <c r="L1445" s="80" t="n">
        <f aca="false">IF(AND(J1445&lt;&gt;"",K1445&lt;&gt;""),J1445*K1445,"")</f>
        <v>17.9</v>
      </c>
      <c r="M1445" s="81" t="n">
        <f aca="false">IF(L1445&lt;&gt;"",L1445*1.1,"")</f>
        <v>19.69</v>
      </c>
      <c r="N1445" s="47" t="n">
        <f aca="false">IF(F1445="S",L1445*0.02,0)</f>
        <v>0</v>
      </c>
      <c r="O1445" s="82" t="n">
        <f aca="false">IF(L1445&lt;&gt;"",L1445+N1445,"")</f>
        <v>17.9</v>
      </c>
      <c r="P1445" s="47" t="n">
        <f aca="false">IF(O1445&lt;&gt;"",O1445*0.1,"")</f>
        <v>1.79</v>
      </c>
      <c r="Q1445" s="83" t="n">
        <f aca="false">IF(O1445&lt;&gt;"",O1445+P1445,"")</f>
        <v>19.69</v>
      </c>
      <c r="R1445" s="84" t="s">
        <v>365</v>
      </c>
    </row>
    <row r="1446" customFormat="false" ht="15" hidden="false" customHeight="true" outlineLevel="0" collapsed="false">
      <c r="A1446" s="103" t="n">
        <v>56264</v>
      </c>
      <c r="B1446" s="73" t="n">
        <v>46247</v>
      </c>
      <c r="C1446" s="74" t="s">
        <v>647</v>
      </c>
      <c r="D1446" s="75" t="n">
        <v>50514</v>
      </c>
      <c r="E1446" s="52" t="str">
        <f aca="false">IF(D1446&lt;&gt;"",IFERROR(VLOOKUP(D1446,PROVEEDORES!$A:$B,2,0),"!COD NO ENCONTRADO"),"")</f>
        <v>PESCADO Y MARISCOS ADELAIDA S.L.</v>
      </c>
      <c r="F1446" s="76" t="str">
        <f aca="false">IF(D1446&lt;&gt;"",IFERROR(VLOOKUP(D1446,PROVEEDORES!$A:$C,3,0),""),"")</f>
        <v>N</v>
      </c>
      <c r="G1446" s="75" t="s">
        <v>97</v>
      </c>
      <c r="H1446" s="52" t="str">
        <f aca="false">IF(G1446&lt;&gt;"",IFERROR(VLOOKUP(G1446,PRODUCTOS!$A:$B,2,0),"!COD NO ENCONTRADO"),"")</f>
        <v>CABALL/ SARDA/ VERDEL (MAC)</v>
      </c>
      <c r="I1446" s="77" t="n">
        <v>1</v>
      </c>
      <c r="J1446" s="121" t="n">
        <v>17.55</v>
      </c>
      <c r="K1446" s="141" t="n">
        <v>0.5</v>
      </c>
      <c r="L1446" s="80" t="n">
        <f aca="false">IF(AND(J1446&lt;&gt;"",K1446&lt;&gt;""),J1446*K1446,"")</f>
        <v>8.775</v>
      </c>
      <c r="M1446" s="81" t="n">
        <f aca="false">IF(L1446&lt;&gt;"",L1446*1.1,"")</f>
        <v>9.6525</v>
      </c>
      <c r="N1446" s="53" t="n">
        <f aca="false">IF(F1446="S",L1446*0.02,0)</f>
        <v>0</v>
      </c>
      <c r="O1446" s="82" t="n">
        <f aca="false">IF(L1446&lt;&gt;"",L1446+N1446,"")</f>
        <v>8.775</v>
      </c>
      <c r="P1446" s="53" t="n">
        <f aca="false">IF(O1446&lt;&gt;"",O1446*0.1,"")</f>
        <v>0.8775</v>
      </c>
      <c r="Q1446" s="83" t="n">
        <f aca="false">IF(O1446&lt;&gt;"",O1446+P1446,"")</f>
        <v>9.6525</v>
      </c>
      <c r="R1446" s="84" t="s">
        <v>365</v>
      </c>
    </row>
    <row r="1447" customFormat="false" ht="15" hidden="false" customHeight="true" outlineLevel="0" collapsed="false">
      <c r="A1447" s="103" t="n">
        <v>56264</v>
      </c>
      <c r="B1447" s="85" t="n">
        <v>46247</v>
      </c>
      <c r="C1447" s="74" t="s">
        <v>647</v>
      </c>
      <c r="D1447" s="87" t="n">
        <v>50514</v>
      </c>
      <c r="E1447" s="46" t="str">
        <f aca="false">IF(D1447&lt;&gt;"",IFERROR(VLOOKUP(D1447,PROVEEDORES!$A:$B,2,0),"!COD NO ENCONTRADO"),"")</f>
        <v>PESCADO Y MARISCOS ADELAIDA S.L.</v>
      </c>
      <c r="F1447" s="88" t="str">
        <f aca="false">IF(D1447&lt;&gt;"",IFERROR(VLOOKUP(D1447,PROVEEDORES!$A:$C,3,0),""),"")</f>
        <v>N</v>
      </c>
      <c r="G1447" s="87" t="s">
        <v>233</v>
      </c>
      <c r="H1447" s="46" t="str">
        <f aca="false">IF(G1447&lt;&gt;"",IFERROR(VLOOKUP(G1447,PRODUCTOS!$A:$B,2,0),"!COD NO ENCONTRADO"),"")</f>
        <v>MERLUZA EUROPEA VOLANTA COSTA</v>
      </c>
      <c r="I1447" s="89" t="n">
        <v>5</v>
      </c>
      <c r="J1447" s="121" t="n">
        <v>22.3</v>
      </c>
      <c r="K1447" s="141" t="n">
        <v>1.5</v>
      </c>
      <c r="L1447" s="80" t="n">
        <f aca="false">IF(AND(J1447&lt;&gt;"",K1447&lt;&gt;""),J1447*K1447,"")</f>
        <v>33.45</v>
      </c>
      <c r="M1447" s="81" t="n">
        <f aca="false">IF(L1447&lt;&gt;"",L1447*1.1,"")</f>
        <v>36.795</v>
      </c>
      <c r="N1447" s="47" t="n">
        <f aca="false">IF(F1447="S",L1447*0.02,0)</f>
        <v>0</v>
      </c>
      <c r="O1447" s="82" t="n">
        <f aca="false">IF(L1447&lt;&gt;"",L1447+N1447,"")</f>
        <v>33.45</v>
      </c>
      <c r="P1447" s="47" t="n">
        <f aca="false">IF(O1447&lt;&gt;"",O1447*0.1,"")</f>
        <v>3.345</v>
      </c>
      <c r="Q1447" s="83" t="n">
        <f aca="false">IF(O1447&lt;&gt;"",O1447+P1447,"")</f>
        <v>36.795</v>
      </c>
      <c r="R1447" s="84" t="s">
        <v>365</v>
      </c>
    </row>
    <row r="1448" customFormat="false" ht="15" hidden="false" customHeight="true" outlineLevel="0" collapsed="false">
      <c r="A1448" s="103" t="n">
        <v>56265</v>
      </c>
      <c r="B1448" s="73" t="n">
        <v>46248</v>
      </c>
      <c r="C1448" s="74" t="s">
        <v>648</v>
      </c>
      <c r="D1448" s="75" t="n">
        <v>50525</v>
      </c>
      <c r="E1448" s="52" t="str">
        <f aca="false">IF(D1448&lt;&gt;"",IFERROR(VLOOKUP(D1448,PROVEEDORES!$A:$B,2,0),"!COD NO ENCONTRADO"),"")</f>
        <v>FURIC MAREE</v>
      </c>
      <c r="F1448" s="76" t="str">
        <f aca="false">IF(D1448&lt;&gt;"",IFERROR(VLOOKUP(D1448,PROVEEDORES!$A:$C,3,0),""),"")</f>
        <v>N</v>
      </c>
      <c r="G1448" s="75" t="s">
        <v>318</v>
      </c>
      <c r="H1448" s="52" t="str">
        <f aca="false">IF(G1448&lt;&gt;"",IFERROR(VLOOKUP(G1448,PRODUCTOS!$A:$B,2,0),"!COD NO ENCONTRADO"),"")</f>
        <v>SAN MARTIÑOS/ SAN PEDROS (JOD)</v>
      </c>
      <c r="I1448" s="77" t="n">
        <v>2</v>
      </c>
      <c r="J1448" s="78" t="n">
        <v>12.6</v>
      </c>
      <c r="K1448" s="79" t="n">
        <v>29.5</v>
      </c>
      <c r="L1448" s="80" t="n">
        <f aca="false">IF(AND(J1448&lt;&gt;"",K1448&lt;&gt;""),J1448*K1448,"")</f>
        <v>371.7</v>
      </c>
      <c r="M1448" s="81" t="n">
        <f aca="false">IF(L1448&lt;&gt;"",L1448*1.1,"")</f>
        <v>408.87</v>
      </c>
      <c r="N1448" s="53" t="n">
        <f aca="false">IF(F1448="S",L1448*0.02,0)</f>
        <v>0</v>
      </c>
      <c r="O1448" s="82" t="n">
        <f aca="false">IF(L1448&lt;&gt;"",L1448+N1448,"")</f>
        <v>371.7</v>
      </c>
      <c r="P1448" s="53" t="n">
        <f aca="false">IF(O1448&lt;&gt;"",O1448*0.1,"")</f>
        <v>37.17</v>
      </c>
      <c r="Q1448" s="83" t="n">
        <f aca="false">IF(O1448&lt;&gt;"",O1448+P1448,"")</f>
        <v>408.87</v>
      </c>
      <c r="R1448" s="84" t="s">
        <v>365</v>
      </c>
    </row>
    <row r="1449" customFormat="false" ht="15" hidden="false" customHeight="true" outlineLevel="0" collapsed="false">
      <c r="A1449" s="103" t="n">
        <v>56265</v>
      </c>
      <c r="B1449" s="85" t="n">
        <v>46248</v>
      </c>
      <c r="C1449" s="74" t="s">
        <v>648</v>
      </c>
      <c r="D1449" s="87" t="n">
        <v>50525</v>
      </c>
      <c r="E1449" s="46" t="str">
        <f aca="false">IF(D1449&lt;&gt;"",IFERROR(VLOOKUP(D1449,PROVEEDORES!$A:$B,2,0),"!COD NO ENCONTRADO"),"")</f>
        <v>FURIC MAREE</v>
      </c>
      <c r="F1449" s="88" t="str">
        <f aca="false">IF(D1449&lt;&gt;"",IFERROR(VLOOKUP(D1449,PROVEEDORES!$A:$C,3,0),""),"")</f>
        <v>N</v>
      </c>
      <c r="G1449" s="87" t="s">
        <v>107</v>
      </c>
      <c r="H1449" s="46" t="str">
        <f aca="false">IF(G1449&lt;&gt;"",IFERROR(VLOOKUP(G1449,PRODUCTOS!$A:$B,2,0),"!COD NO ENCONTRADO"),"")</f>
        <v>CALAAMR COMUN (SQR)</v>
      </c>
      <c r="I1449" s="89" t="n">
        <v>5</v>
      </c>
      <c r="J1449" s="90" t="n">
        <v>15</v>
      </c>
      <c r="K1449" s="91" t="n">
        <v>13.8</v>
      </c>
      <c r="L1449" s="80" t="n">
        <f aca="false">IF(AND(J1449&lt;&gt;"",K1449&lt;&gt;""),J1449*K1449,"")</f>
        <v>207</v>
      </c>
      <c r="M1449" s="81" t="n">
        <f aca="false">IF(L1449&lt;&gt;"",L1449*1.1,"")</f>
        <v>227.7</v>
      </c>
      <c r="N1449" s="47" t="n">
        <f aca="false">IF(F1449="S",L1449*0.02,0)</f>
        <v>0</v>
      </c>
      <c r="O1449" s="82" t="n">
        <f aca="false">IF(L1449&lt;&gt;"",L1449+N1449,"")</f>
        <v>207</v>
      </c>
      <c r="P1449" s="47" t="n">
        <f aca="false">IF(O1449&lt;&gt;"",O1449*0.1,"")</f>
        <v>20.7</v>
      </c>
      <c r="Q1449" s="83" t="n">
        <f aca="false">IF(O1449&lt;&gt;"",O1449+P1449,"")</f>
        <v>227.7</v>
      </c>
      <c r="R1449" s="84" t="s">
        <v>365</v>
      </c>
    </row>
    <row r="1450" customFormat="false" ht="15" hidden="false" customHeight="true" outlineLevel="0" collapsed="false">
      <c r="A1450" s="103" t="n">
        <v>56265</v>
      </c>
      <c r="B1450" s="73" t="n">
        <v>46248</v>
      </c>
      <c r="C1450" s="74" t="s">
        <v>648</v>
      </c>
      <c r="D1450" s="75" t="n">
        <v>50525</v>
      </c>
      <c r="E1450" s="52" t="str">
        <f aca="false">IF(D1450&lt;&gt;"",IFERROR(VLOOKUP(D1450,PROVEEDORES!$A:$B,2,0),"!COD NO ENCONTRADO"),"")</f>
        <v>FURIC MAREE</v>
      </c>
      <c r="F1450" s="76" t="str">
        <f aca="false">IF(D1450&lt;&gt;"",IFERROR(VLOOKUP(D1450,PROVEEDORES!$A:$C,3,0),""),"")</f>
        <v>N</v>
      </c>
      <c r="G1450" s="75" t="s">
        <v>143</v>
      </c>
      <c r="H1450" s="52" t="str">
        <f aca="false">IF(G1450&lt;&gt;"",IFERROR(VLOOKUP(G1450,PRODUCTOS!$A:$B,2,0),"!COD NO ENCONTRADO"),"")</f>
        <v>CORUXO/ SOLLO/ REMOL (BLL)</v>
      </c>
      <c r="I1450" s="77" t="n">
        <v>2</v>
      </c>
      <c r="J1450" s="78" t="n">
        <v>12.9</v>
      </c>
      <c r="K1450" s="79" t="n">
        <v>27.8</v>
      </c>
      <c r="L1450" s="80" t="n">
        <f aca="false">IF(AND(J1450&lt;&gt;"",K1450&lt;&gt;""),J1450*K1450,"")</f>
        <v>358.62</v>
      </c>
      <c r="M1450" s="81" t="n">
        <f aca="false">IF(L1450&lt;&gt;"",L1450*1.1,"")</f>
        <v>394.482</v>
      </c>
      <c r="N1450" s="53" t="n">
        <f aca="false">IF(F1450="S",L1450*0.02,0)</f>
        <v>0</v>
      </c>
      <c r="O1450" s="82" t="n">
        <f aca="false">IF(L1450&lt;&gt;"",L1450+N1450,"")</f>
        <v>358.62</v>
      </c>
      <c r="P1450" s="53" t="n">
        <f aca="false">IF(O1450&lt;&gt;"",O1450*0.1,"")</f>
        <v>35.862</v>
      </c>
      <c r="Q1450" s="83" t="n">
        <f aca="false">IF(O1450&lt;&gt;"",O1450+P1450,"")</f>
        <v>394.482</v>
      </c>
      <c r="R1450" s="84" t="s">
        <v>365</v>
      </c>
    </row>
    <row r="1451" customFormat="false" ht="15" hidden="false" customHeight="true" outlineLevel="0" collapsed="false">
      <c r="A1451" s="103" t="n">
        <v>56266</v>
      </c>
      <c r="B1451" s="85" t="n">
        <v>46248</v>
      </c>
      <c r="C1451" s="86" t="s">
        <v>649</v>
      </c>
      <c r="D1451" s="87" t="n">
        <v>50232</v>
      </c>
      <c r="E1451" s="46" t="str">
        <f aca="false">IF(D1451&lt;&gt;"",IFERROR(VLOOKUP(D1451,PROVEEDORES!$A:$B,2,0),"!COD NO ENCONTRADO"),"")</f>
        <v>XESTION NOVA LONXA RIVEIRA S.L.</v>
      </c>
      <c r="F1451" s="88" t="str">
        <f aca="false">IF(D1451&lt;&gt;"",IFERROR(VLOOKUP(D1451,PROVEEDORES!$A:$C,3,0),""),"")</f>
        <v>S</v>
      </c>
      <c r="G1451" s="87" t="s">
        <v>276</v>
      </c>
      <c r="H1451" s="46" t="str">
        <f aca="false">IF(G1451&lt;&gt;"",IFERROR(VLOOKUP(G1451,PRODUCTOS!$A:$B,2,0),"!COD NO ENCONTRADO"),"")</f>
        <v>MERLUZA EUROPEA/ FINA DIA </v>
      </c>
      <c r="I1451" s="112" t="n">
        <v>23</v>
      </c>
      <c r="J1451" s="105" t="n">
        <v>246.9</v>
      </c>
      <c r="K1451" s="125" t="n">
        <v>3.9</v>
      </c>
      <c r="L1451" s="80" t="n">
        <f aca="false">IF(AND(J1451&lt;&gt;"",K1451&lt;&gt;""),J1451*K1451,"")</f>
        <v>962.91</v>
      </c>
      <c r="M1451" s="81" t="n">
        <f aca="false">IF(L1451&lt;&gt;"",L1451*1.1,"")</f>
        <v>1059.201</v>
      </c>
      <c r="N1451" s="47" t="n">
        <f aca="false">IF(F1451="S",L1451*0.02,0)</f>
        <v>19.2582</v>
      </c>
      <c r="O1451" s="82" t="n">
        <f aca="false">IF(L1451&lt;&gt;"",L1451+N1451,"")</f>
        <v>982.1682</v>
      </c>
      <c r="P1451" s="47" t="n">
        <f aca="false">IF(O1451&lt;&gt;"",O1451*0.1,"")</f>
        <v>98.21682</v>
      </c>
      <c r="Q1451" s="83" t="n">
        <f aca="false">IF(O1451&lt;&gt;"",O1451+P1451,"")</f>
        <v>1080.38502</v>
      </c>
      <c r="R1451" s="84" t="s">
        <v>358</v>
      </c>
    </row>
    <row r="1452" customFormat="false" ht="15" hidden="false" customHeight="true" outlineLevel="0" collapsed="false">
      <c r="A1452" s="103" t="n">
        <v>56266</v>
      </c>
      <c r="B1452" s="85" t="n">
        <v>46248</v>
      </c>
      <c r="C1452" s="86" t="s">
        <v>649</v>
      </c>
      <c r="D1452" s="87" t="n">
        <v>50232</v>
      </c>
      <c r="E1452" s="52" t="str">
        <f aca="false">IF(D1452&lt;&gt;"",IFERROR(VLOOKUP(D1452,PROVEEDORES!$A:$B,2,0),"!COD NO ENCONTRADO"),"")</f>
        <v>XESTION NOVA LONXA RIVEIRA S.L.</v>
      </c>
      <c r="F1452" s="76" t="str">
        <f aca="false">IF(D1452&lt;&gt;"",IFERROR(VLOOKUP(D1452,PROVEEDORES!$A:$C,3,0),""),"")</f>
        <v>S</v>
      </c>
      <c r="G1452" s="75" t="s">
        <v>296</v>
      </c>
      <c r="H1452" s="52" t="str">
        <f aca="false">IF(G1452&lt;&gt;"",IFERROR(VLOOKUP(G1452,PRODUCTOS!$A:$B,2,0),"!COD NO ENCONTRADO"),"")</f>
        <v>RAPE NEGRO (ANK)</v>
      </c>
      <c r="I1452" s="112" t="n">
        <v>11</v>
      </c>
      <c r="J1452" s="105" t="n">
        <v>76.2</v>
      </c>
      <c r="K1452" s="125" t="n">
        <v>4</v>
      </c>
      <c r="L1452" s="80" t="n">
        <f aca="false">IF(AND(J1452&lt;&gt;"",K1452&lt;&gt;""),J1452*K1452,"")</f>
        <v>304.8</v>
      </c>
      <c r="M1452" s="81" t="n">
        <f aca="false">IF(L1452&lt;&gt;"",L1452*1.1,"")</f>
        <v>335.28</v>
      </c>
      <c r="N1452" s="53" t="n">
        <f aca="false">IF(F1452="S",L1452*0.02,0)</f>
        <v>6.096</v>
      </c>
      <c r="O1452" s="82" t="n">
        <f aca="false">IF(L1452&lt;&gt;"",L1452+N1452,"")</f>
        <v>310.896</v>
      </c>
      <c r="P1452" s="53" t="n">
        <f aca="false">IF(O1452&lt;&gt;"",O1452*0.1,"")</f>
        <v>31.0896</v>
      </c>
      <c r="Q1452" s="83" t="n">
        <f aca="false">IF(O1452&lt;&gt;"",O1452+P1452,"")</f>
        <v>341.9856</v>
      </c>
      <c r="R1452" s="84" t="s">
        <v>358</v>
      </c>
    </row>
    <row r="1453" customFormat="false" ht="15" hidden="false" customHeight="true" outlineLevel="0" collapsed="false">
      <c r="A1453" s="103" t="n">
        <v>56266</v>
      </c>
      <c r="B1453" s="85" t="n">
        <v>46248</v>
      </c>
      <c r="C1453" s="86" t="s">
        <v>649</v>
      </c>
      <c r="D1453" s="87" t="n">
        <v>50232</v>
      </c>
      <c r="E1453" s="46" t="str">
        <f aca="false">IF(D1453&lt;&gt;"",IFERROR(VLOOKUP(D1453,PROVEEDORES!$A:$B,2,0),"!COD NO ENCONTRADO"),"")</f>
        <v>XESTION NOVA LONXA RIVEIRA S.L.</v>
      </c>
      <c r="F1453" s="88" t="str">
        <f aca="false">IF(D1453&lt;&gt;"",IFERROR(VLOOKUP(D1453,PROVEEDORES!$A:$C,3,0),""),"")</f>
        <v>S</v>
      </c>
      <c r="G1453" s="87" t="s">
        <v>310</v>
      </c>
      <c r="H1453" s="46" t="str">
        <f aca="false">IF(G1453&lt;&gt;"",IFERROR(VLOOKUP(G1453,PRODUCTOS!$A:$B,2,0),"!COD NO ENCONTRADO"),"")</f>
        <v>SABOGA/ SALEMA/ SALMA (SLM)</v>
      </c>
      <c r="I1453" s="112" t="n">
        <v>1</v>
      </c>
      <c r="J1453" s="105" t="n">
        <v>11.8</v>
      </c>
      <c r="K1453" s="125" t="n">
        <v>0.8</v>
      </c>
      <c r="L1453" s="80" t="n">
        <f aca="false">IF(AND(J1453&lt;&gt;"",K1453&lt;&gt;""),J1453*K1453,"")</f>
        <v>9.44</v>
      </c>
      <c r="M1453" s="81" t="n">
        <f aca="false">IF(L1453&lt;&gt;"",L1453*1.1,"")</f>
        <v>10.384</v>
      </c>
      <c r="N1453" s="47" t="n">
        <f aca="false">IF(F1453="S",L1453*0.02,0)</f>
        <v>0.1888</v>
      </c>
      <c r="O1453" s="82" t="n">
        <f aca="false">IF(L1453&lt;&gt;"",L1453+N1453,"")</f>
        <v>9.6288</v>
      </c>
      <c r="P1453" s="47" t="n">
        <f aca="false">IF(O1453&lt;&gt;"",O1453*0.1,"")</f>
        <v>0.96288</v>
      </c>
      <c r="Q1453" s="83" t="n">
        <f aca="false">IF(O1453&lt;&gt;"",O1453+P1453,"")</f>
        <v>10.59168</v>
      </c>
      <c r="R1453" s="84" t="s">
        <v>358</v>
      </c>
    </row>
    <row r="1454" customFormat="false" ht="15" hidden="false" customHeight="true" outlineLevel="0" collapsed="false">
      <c r="A1454" s="103" t="n">
        <v>56266</v>
      </c>
      <c r="B1454" s="85" t="n">
        <v>46248</v>
      </c>
      <c r="C1454" s="86" t="s">
        <v>649</v>
      </c>
      <c r="D1454" s="87" t="n">
        <v>50232</v>
      </c>
      <c r="E1454" s="52" t="str">
        <f aca="false">IF(D1454&lt;&gt;"",IFERROR(VLOOKUP(D1454,PROVEEDORES!$A:$B,2,0),"!COD NO ENCONTRADO"),"")</f>
        <v>XESTION NOVA LONXA RIVEIRA S.L.</v>
      </c>
      <c r="F1454" s="76" t="str">
        <f aca="false">IF(D1454&lt;&gt;"",IFERROR(VLOOKUP(D1454,PROVEEDORES!$A:$C,3,0),""),"")</f>
        <v>S</v>
      </c>
      <c r="G1454" s="75" t="s">
        <v>97</v>
      </c>
      <c r="H1454" s="52" t="str">
        <f aca="false">IF(G1454&lt;&gt;"",IFERROR(VLOOKUP(G1454,PRODUCTOS!$A:$B,2,0),"!COD NO ENCONTRADO"),"")</f>
        <v>CABALL/ SARDA/ VERDEL (MAC)</v>
      </c>
      <c r="I1454" s="112" t="n">
        <v>25</v>
      </c>
      <c r="J1454" s="105" t="n">
        <v>239.5</v>
      </c>
      <c r="K1454" s="125" t="n">
        <v>3.7</v>
      </c>
      <c r="L1454" s="80" t="n">
        <f aca="false">IF(AND(J1454&lt;&gt;"",K1454&lt;&gt;""),J1454*K1454,"")</f>
        <v>886.15</v>
      </c>
      <c r="M1454" s="81" t="n">
        <f aca="false">IF(L1454&lt;&gt;"",L1454*1.1,"")</f>
        <v>974.765</v>
      </c>
      <c r="N1454" s="53" t="n">
        <f aca="false">IF(F1454="S",L1454*0.02,0)</f>
        <v>17.723</v>
      </c>
      <c r="O1454" s="82" t="n">
        <f aca="false">IF(L1454&lt;&gt;"",L1454+N1454,"")</f>
        <v>903.873</v>
      </c>
      <c r="P1454" s="53" t="n">
        <f aca="false">IF(O1454&lt;&gt;"",O1454*0.1,"")</f>
        <v>90.3873</v>
      </c>
      <c r="Q1454" s="83" t="n">
        <f aca="false">IF(O1454&lt;&gt;"",O1454+P1454,"")</f>
        <v>994.2603</v>
      </c>
      <c r="R1454" s="84" t="s">
        <v>358</v>
      </c>
    </row>
    <row r="1455" customFormat="false" ht="15" hidden="false" customHeight="true" outlineLevel="0" collapsed="false">
      <c r="A1455" s="103" t="n">
        <v>56266</v>
      </c>
      <c r="B1455" s="85" t="n">
        <v>46248</v>
      </c>
      <c r="C1455" s="86" t="s">
        <v>649</v>
      </c>
      <c r="D1455" s="87" t="n">
        <v>50232</v>
      </c>
      <c r="E1455" s="46" t="str">
        <f aca="false">IF(D1455&lt;&gt;"",IFERROR(VLOOKUP(D1455,PROVEEDORES!$A:$B,2,0),"!COD NO ENCONTRADO"),"")</f>
        <v>XESTION NOVA LONXA RIVEIRA S.L.</v>
      </c>
      <c r="F1455" s="88" t="str">
        <f aca="false">IF(D1455&lt;&gt;"",IFERROR(VLOOKUP(D1455,PROVEEDORES!$A:$C,3,0),""),"")</f>
        <v>S</v>
      </c>
      <c r="G1455" s="87" t="s">
        <v>97</v>
      </c>
      <c r="H1455" s="46" t="str">
        <f aca="false">IF(G1455&lt;&gt;"",IFERROR(VLOOKUP(G1455,PRODUCTOS!$A:$B,2,0),"!COD NO ENCONTRADO"),"")</f>
        <v>CABALL/ SARDA/ VERDEL (MAC)</v>
      </c>
      <c r="I1455" s="112" t="n">
        <v>7</v>
      </c>
      <c r="J1455" s="105" t="n">
        <v>81.5</v>
      </c>
      <c r="K1455" s="125" t="n">
        <v>4</v>
      </c>
      <c r="L1455" s="80" t="n">
        <f aca="false">IF(AND(J1455&lt;&gt;"",K1455&lt;&gt;""),J1455*K1455,"")</f>
        <v>326</v>
      </c>
      <c r="M1455" s="81" t="n">
        <f aca="false">IF(L1455&lt;&gt;"",L1455*1.1,"")</f>
        <v>358.6</v>
      </c>
      <c r="N1455" s="47" t="n">
        <f aca="false">IF(F1455="S",L1455*0.02,0)</f>
        <v>6.52</v>
      </c>
      <c r="O1455" s="82" t="n">
        <f aca="false">IF(L1455&lt;&gt;"",L1455+N1455,"")</f>
        <v>332.52</v>
      </c>
      <c r="P1455" s="47" t="n">
        <f aca="false">IF(O1455&lt;&gt;"",O1455*0.1,"")</f>
        <v>33.252</v>
      </c>
      <c r="Q1455" s="83" t="n">
        <f aca="false">IF(O1455&lt;&gt;"",O1455+P1455,"")</f>
        <v>365.772</v>
      </c>
      <c r="R1455" s="84" t="s">
        <v>358</v>
      </c>
    </row>
    <row r="1456" customFormat="false" ht="15" hidden="false" customHeight="true" outlineLevel="0" collapsed="false">
      <c r="A1456" s="103" t="n">
        <v>56266</v>
      </c>
      <c r="B1456" s="85" t="n">
        <v>46248</v>
      </c>
      <c r="C1456" s="86" t="s">
        <v>649</v>
      </c>
      <c r="D1456" s="87" t="n">
        <v>50232</v>
      </c>
      <c r="E1456" s="52" t="str">
        <f aca="false">IF(D1456&lt;&gt;"",IFERROR(VLOOKUP(D1456,PROVEEDORES!$A:$B,2,0),"!COD NO ENCONTRADO"),"")</f>
        <v>XESTION NOVA LONXA RIVEIRA S.L.</v>
      </c>
      <c r="F1456" s="76" t="str">
        <f aca="false">IF(D1456&lt;&gt;"",IFERROR(VLOOKUP(D1456,PROVEEDORES!$A:$C,3,0),""),"")</f>
        <v>S</v>
      </c>
      <c r="G1456" s="75" t="s">
        <v>183</v>
      </c>
      <c r="H1456" s="52" t="str">
        <f aca="false">IF(G1456&lt;&gt;"",IFERROR(VLOOKUP(G1456,PRODUCTOS!$A:$B,2,0),"!COD NO ENCONTRADO"),"")</f>
        <v>LUBINA RIA/ ROBALIZA (BSS)</v>
      </c>
      <c r="I1456" s="77" t="n">
        <v>2</v>
      </c>
      <c r="J1456" s="78" t="n">
        <v>6.4</v>
      </c>
      <c r="K1456" s="79" t="n">
        <v>31</v>
      </c>
      <c r="L1456" s="80" t="n">
        <f aca="false">IF(AND(J1456&lt;&gt;"",K1456&lt;&gt;""),J1456*K1456,"")</f>
        <v>198.4</v>
      </c>
      <c r="M1456" s="81" t="n">
        <f aca="false">IF(L1456&lt;&gt;"",L1456*1.1,"")</f>
        <v>218.24</v>
      </c>
      <c r="N1456" s="53" t="n">
        <f aca="false">IF(F1456="S",L1456*0.02,0)</f>
        <v>3.968</v>
      </c>
      <c r="O1456" s="82" t="n">
        <f aca="false">IF(L1456&lt;&gt;"",L1456+N1456,"")</f>
        <v>202.368</v>
      </c>
      <c r="P1456" s="53" t="n">
        <f aca="false">IF(O1456&lt;&gt;"",O1456*0.1,"")</f>
        <v>20.2368</v>
      </c>
      <c r="Q1456" s="83" t="n">
        <f aca="false">IF(O1456&lt;&gt;"",O1456+P1456,"")</f>
        <v>222.6048</v>
      </c>
      <c r="R1456" s="84" t="s">
        <v>358</v>
      </c>
    </row>
    <row r="1457" customFormat="false" ht="15" hidden="false" customHeight="true" outlineLevel="0" collapsed="false">
      <c r="A1457" s="103" t="n">
        <v>56266</v>
      </c>
      <c r="B1457" s="85" t="n">
        <v>46248</v>
      </c>
      <c r="C1457" s="86" t="s">
        <v>649</v>
      </c>
      <c r="D1457" s="87" t="n">
        <v>50232</v>
      </c>
      <c r="E1457" s="46" t="str">
        <f aca="false">IF(D1457&lt;&gt;"",IFERROR(VLOOKUP(D1457,PROVEEDORES!$A:$B,2,0),"!COD NO ENCONTRADO"),"")</f>
        <v>XESTION NOVA LONXA RIVEIRA S.L.</v>
      </c>
      <c r="F1457" s="88" t="str">
        <f aca="false">IF(D1457&lt;&gt;"",IFERROR(VLOOKUP(D1457,PROVEEDORES!$A:$C,3,0),""),"")</f>
        <v>S</v>
      </c>
      <c r="G1457" s="87" t="s">
        <v>183</v>
      </c>
      <c r="H1457" s="46" t="str">
        <f aca="false">IF(G1457&lt;&gt;"",IFERROR(VLOOKUP(G1457,PRODUCTOS!$A:$B,2,0),"!COD NO ENCONTRADO"),"")</f>
        <v>LUBINA RIA/ ROBALIZA (BSS)</v>
      </c>
      <c r="I1457" s="89" t="n">
        <v>3</v>
      </c>
      <c r="J1457" s="90" t="n">
        <v>7.5</v>
      </c>
      <c r="K1457" s="91" t="n">
        <v>31.5</v>
      </c>
      <c r="L1457" s="80" t="n">
        <f aca="false">IF(AND(J1457&lt;&gt;"",K1457&lt;&gt;""),J1457*K1457,"")</f>
        <v>236.25</v>
      </c>
      <c r="M1457" s="81" t="n">
        <f aca="false">IF(L1457&lt;&gt;"",L1457*1.1,"")</f>
        <v>259.875</v>
      </c>
      <c r="N1457" s="47" t="n">
        <f aca="false">IF(F1457="S",L1457*0.02,0)</f>
        <v>4.725</v>
      </c>
      <c r="O1457" s="82" t="n">
        <f aca="false">IF(L1457&lt;&gt;"",L1457+N1457,"")</f>
        <v>240.975</v>
      </c>
      <c r="P1457" s="47" t="n">
        <f aca="false">IF(O1457&lt;&gt;"",O1457*0.1,"")</f>
        <v>24.0975</v>
      </c>
      <c r="Q1457" s="83" t="n">
        <f aca="false">IF(O1457&lt;&gt;"",O1457+P1457,"")</f>
        <v>265.0725</v>
      </c>
      <c r="R1457" s="84" t="s">
        <v>358</v>
      </c>
    </row>
    <row r="1458" customFormat="false" ht="15" hidden="false" customHeight="true" outlineLevel="0" collapsed="false">
      <c r="A1458" s="103" t="n">
        <v>56266</v>
      </c>
      <c r="B1458" s="85" t="n">
        <v>46248</v>
      </c>
      <c r="C1458" s="86" t="s">
        <v>649</v>
      </c>
      <c r="D1458" s="87" t="n">
        <v>50232</v>
      </c>
      <c r="E1458" s="52" t="str">
        <f aca="false">IF(D1458&lt;&gt;"",IFERROR(VLOOKUP(D1458,PROVEEDORES!$A:$B,2,0),"!COD NO ENCONTRADO"),"")</f>
        <v>XESTION NOVA LONXA RIVEIRA S.L.</v>
      </c>
      <c r="F1458" s="76" t="str">
        <f aca="false">IF(D1458&lt;&gt;"",IFERROR(VLOOKUP(D1458,PROVEEDORES!$A:$C,3,0),""),"")</f>
        <v>S</v>
      </c>
      <c r="G1458" s="75" t="s">
        <v>183</v>
      </c>
      <c r="H1458" s="52" t="str">
        <f aca="false">IF(G1458&lt;&gt;"",IFERROR(VLOOKUP(G1458,PRODUCTOS!$A:$B,2,0),"!COD NO ENCONTRADO"),"")</f>
        <v>LUBINA RIA/ ROBALIZA (BSS)</v>
      </c>
      <c r="I1458" s="77" t="n">
        <v>9</v>
      </c>
      <c r="J1458" s="78" t="n">
        <v>21.1</v>
      </c>
      <c r="K1458" s="79" t="n">
        <v>33.5</v>
      </c>
      <c r="L1458" s="80" t="n">
        <f aca="false">IF(AND(J1458&lt;&gt;"",K1458&lt;&gt;""),J1458*K1458,"")</f>
        <v>706.85</v>
      </c>
      <c r="M1458" s="81" t="n">
        <f aca="false">IF(L1458&lt;&gt;"",L1458*1.1,"")</f>
        <v>777.535</v>
      </c>
      <c r="N1458" s="53" t="n">
        <f aca="false">IF(F1458="S",L1458*0.02,0)</f>
        <v>14.137</v>
      </c>
      <c r="O1458" s="82" t="n">
        <f aca="false">IF(L1458&lt;&gt;"",L1458+N1458,"")</f>
        <v>720.987</v>
      </c>
      <c r="P1458" s="53" t="n">
        <f aca="false">IF(O1458&lt;&gt;"",O1458*0.1,"")</f>
        <v>72.0987</v>
      </c>
      <c r="Q1458" s="83" t="n">
        <f aca="false">IF(O1458&lt;&gt;"",O1458+P1458,"")</f>
        <v>793.0857</v>
      </c>
      <c r="R1458" s="84" t="s">
        <v>358</v>
      </c>
    </row>
    <row r="1459" customFormat="false" ht="15" hidden="false" customHeight="true" outlineLevel="0" collapsed="false">
      <c r="A1459" s="103" t="n">
        <v>56266</v>
      </c>
      <c r="B1459" s="85" t="n">
        <v>46248</v>
      </c>
      <c r="C1459" s="86" t="s">
        <v>649</v>
      </c>
      <c r="D1459" s="87" t="n">
        <v>50232</v>
      </c>
      <c r="E1459" s="46" t="str">
        <f aca="false">IF(D1459&lt;&gt;"",IFERROR(VLOOKUP(D1459,PROVEEDORES!$A:$B,2,0),"!COD NO ENCONTRADO"),"")</f>
        <v>XESTION NOVA LONXA RIVEIRA S.L.</v>
      </c>
      <c r="F1459" s="88" t="str">
        <f aca="false">IF(D1459&lt;&gt;"",IFERROR(VLOOKUP(D1459,PROVEEDORES!$A:$C,3,0),""),"")</f>
        <v>S</v>
      </c>
      <c r="G1459" s="87" t="s">
        <v>288</v>
      </c>
      <c r="H1459" s="46" t="str">
        <f aca="false">IF(G1459&lt;&gt;"",IFERROR(VLOOKUP(G1459,PRODUCTOS!$A:$B,2,0),"!COD NO ENCONTRADO"),"")</f>
        <v>RAPE BLANCO DIA (MON)</v>
      </c>
      <c r="I1459" s="89" t="n">
        <v>2</v>
      </c>
      <c r="J1459" s="90" t="n">
        <v>2.4</v>
      </c>
      <c r="K1459" s="91" t="n">
        <v>3</v>
      </c>
      <c r="L1459" s="80" t="n">
        <f aca="false">IF(AND(J1459&lt;&gt;"",K1459&lt;&gt;""),J1459*K1459,"")</f>
        <v>7.2</v>
      </c>
      <c r="M1459" s="81" t="n">
        <f aca="false">IF(L1459&lt;&gt;"",L1459*1.1,"")</f>
        <v>7.92</v>
      </c>
      <c r="N1459" s="47" t="n">
        <f aca="false">IF(F1459="S",L1459*0.02,0)</f>
        <v>0.144</v>
      </c>
      <c r="O1459" s="82" t="n">
        <f aca="false">IF(L1459&lt;&gt;"",L1459+N1459,"")</f>
        <v>7.344</v>
      </c>
      <c r="P1459" s="47" t="n">
        <f aca="false">IF(O1459&lt;&gt;"",O1459*0.1,"")</f>
        <v>0.7344</v>
      </c>
      <c r="Q1459" s="83" t="n">
        <f aca="false">IF(O1459&lt;&gt;"",O1459+P1459,"")</f>
        <v>8.0784</v>
      </c>
      <c r="R1459" s="84" t="s">
        <v>358</v>
      </c>
    </row>
    <row r="1460" customFormat="false" ht="15" hidden="false" customHeight="true" outlineLevel="0" collapsed="false">
      <c r="A1460" s="103" t="n">
        <v>56267</v>
      </c>
      <c r="B1460" s="73" t="n">
        <v>46248</v>
      </c>
      <c r="C1460" s="74" t="s">
        <v>650</v>
      </c>
      <c r="D1460" s="75" t="n">
        <v>50001</v>
      </c>
      <c r="E1460" s="52" t="str">
        <f aca="false">IF(D1460&lt;&gt;"",IFERROR(VLOOKUP(D1460,PROVEEDORES!$A:$B,2,0),"!COD NO ENCONTRADO"),"")</f>
        <v>COPESA</v>
      </c>
      <c r="F1460" s="76" t="str">
        <f aca="false">IF(D1460&lt;&gt;"",IFERROR(VLOOKUP(D1460,PROVEEDORES!$A:$C,3,0),""),"")</f>
        <v>S</v>
      </c>
      <c r="G1460" s="75" t="s">
        <v>205</v>
      </c>
      <c r="H1460" s="52" t="str">
        <f aca="false">IF(G1460&lt;&gt;"",IFERROR(VLOOKUP(G1460,PRODUCTOS!$A:$B,2,0),"!COD NO ENCONTRADO"),"")</f>
        <v>MERLUZA EUROPEA GDA (HKE)</v>
      </c>
      <c r="I1460" s="77" t="n">
        <v>1</v>
      </c>
      <c r="J1460" s="78" t="n">
        <v>5.9</v>
      </c>
      <c r="K1460" s="79" t="n">
        <v>9</v>
      </c>
      <c r="L1460" s="80" t="n">
        <f aca="false">IF(AND(J1460&lt;&gt;"",K1460&lt;&gt;""),J1460*K1460,"")</f>
        <v>53.1</v>
      </c>
      <c r="M1460" s="81" t="n">
        <f aca="false">IF(L1460&lt;&gt;"",L1460*1.1,"")</f>
        <v>58.41</v>
      </c>
      <c r="N1460" s="53" t="n">
        <f aca="false">IF(F1460="S",L1460*0.02,0)</f>
        <v>1.062</v>
      </c>
      <c r="O1460" s="82" t="n">
        <f aca="false">IF(L1460&lt;&gt;"",L1460+N1460,"")</f>
        <v>54.162</v>
      </c>
      <c r="P1460" s="53" t="n">
        <f aca="false">IF(O1460&lt;&gt;"",O1460*0.1,"")</f>
        <v>5.4162</v>
      </c>
      <c r="Q1460" s="83" t="n">
        <f aca="false">IF(O1460&lt;&gt;"",O1460+P1460,"")</f>
        <v>59.5782</v>
      </c>
      <c r="R1460" s="84" t="s">
        <v>358</v>
      </c>
    </row>
    <row r="1461" customFormat="false" ht="15" hidden="false" customHeight="true" outlineLevel="0" collapsed="false">
      <c r="A1461" s="103" t="n">
        <v>56268</v>
      </c>
      <c r="B1461" s="73" t="n">
        <v>46248</v>
      </c>
      <c r="C1461" s="86" t="s">
        <v>651</v>
      </c>
      <c r="D1461" s="87" t="n">
        <v>50020</v>
      </c>
      <c r="E1461" s="46" t="str">
        <f aca="false">IF(D1461&lt;&gt;"",IFERROR(VLOOKUP(D1461,PROVEEDORES!$A:$B,2,0),"!COD NO ENCONTRADO"),"")</f>
        <v>PACO MOINELO</v>
      </c>
      <c r="F1461" s="88" t="str">
        <f aca="false">IF(D1461&lt;&gt;"",IFERROR(VLOOKUP(D1461,PROVEEDORES!$A:$C,3,0),""),"")</f>
        <v>S</v>
      </c>
      <c r="G1461" s="87" t="s">
        <v>135</v>
      </c>
      <c r="H1461" s="46" t="str">
        <f aca="false">IF(G1461&lt;&gt;"",IFERROR(VLOOKUP(G1461,PRODUCTOS!$A:$B,2,0),"!COD NO ENCONTRADO"),"")</f>
        <v>CONGRIO 10+  (COE)</v>
      </c>
      <c r="I1461" s="89" t="n">
        <v>5</v>
      </c>
      <c r="J1461" s="90" t="n">
        <v>79.25</v>
      </c>
      <c r="K1461" s="91" t="n">
        <v>5</v>
      </c>
      <c r="L1461" s="80" t="n">
        <f aca="false">IF(AND(J1461&lt;&gt;"",K1461&lt;&gt;""),J1461*K1461,"")</f>
        <v>396.25</v>
      </c>
      <c r="M1461" s="81" t="n">
        <f aca="false">IF(L1461&lt;&gt;"",L1461*1.1,"")</f>
        <v>435.875</v>
      </c>
      <c r="N1461" s="47" t="n">
        <f aca="false">IF(F1461="S",L1461*0.02,0)</f>
        <v>7.925</v>
      </c>
      <c r="O1461" s="82" t="n">
        <f aca="false">IF(L1461&lt;&gt;"",L1461+N1461,"")</f>
        <v>404.175</v>
      </c>
      <c r="P1461" s="47" t="n">
        <f aca="false">IF(O1461&lt;&gt;"",O1461*0.1,"")</f>
        <v>40.4175</v>
      </c>
      <c r="Q1461" s="83" t="n">
        <f aca="false">IF(O1461&lt;&gt;"",O1461+P1461,"")</f>
        <v>444.5925</v>
      </c>
      <c r="R1461" s="84" t="s">
        <v>365</v>
      </c>
    </row>
    <row r="1462" customFormat="false" ht="15" hidden="false" customHeight="true" outlineLevel="0" collapsed="false">
      <c r="A1462" s="103" t="n">
        <v>56269</v>
      </c>
      <c r="B1462" s="73" t="n">
        <v>46248</v>
      </c>
      <c r="C1462" s="74" t="s">
        <v>652</v>
      </c>
      <c r="D1462" s="75" t="n">
        <v>50048</v>
      </c>
      <c r="E1462" s="52" t="str">
        <f aca="false">IF(D1462&lt;&gt;"",IFERROR(VLOOKUP(D1462,PROVEEDORES!$A:$B,2,0),"!COD NO ENCONTRADO"),"")</f>
        <v>JOSE LUIS CORREA KESSLER S.L.</v>
      </c>
      <c r="F1462" s="76" t="str">
        <f aca="false">IF(D1462&lt;&gt;"",IFERROR(VLOOKUP(D1462,PROVEEDORES!$A:$C,3,0),""),"")</f>
        <v>N</v>
      </c>
      <c r="G1462" s="75" t="s">
        <v>270</v>
      </c>
      <c r="H1462" s="52" t="str">
        <f aca="false">IF(G1462&lt;&gt;"",IFERROR(VLOOKUP(G1462,PRODUCTOS!$A:$B,2,0),"!COD NO ENCONTRADO"),"")</f>
        <v>PEON/ PION (ATP)</v>
      </c>
      <c r="I1462" s="77" t="n">
        <v>1</v>
      </c>
      <c r="J1462" s="78" t="n">
        <v>2.75</v>
      </c>
      <c r="K1462" s="79" t="n">
        <v>3.9</v>
      </c>
      <c r="L1462" s="80" t="n">
        <f aca="false">IF(AND(J1462&lt;&gt;"",K1462&lt;&gt;""),J1462*K1462,"")</f>
        <v>10.725</v>
      </c>
      <c r="M1462" s="81" t="n">
        <f aca="false">IF(L1462&lt;&gt;"",L1462*1.1,"")</f>
        <v>11.7975</v>
      </c>
      <c r="N1462" s="53" t="n">
        <f aca="false">IF(F1462="S",L1462*0.02,0)</f>
        <v>0</v>
      </c>
      <c r="O1462" s="82" t="n">
        <f aca="false">IF(L1462&lt;&gt;"",L1462+N1462,"")</f>
        <v>10.725</v>
      </c>
      <c r="P1462" s="53" t="n">
        <f aca="false">IF(O1462&lt;&gt;"",O1462*0.1,"")</f>
        <v>1.0725</v>
      </c>
      <c r="Q1462" s="83" t="n">
        <f aca="false">IF(O1462&lt;&gt;"",O1462+P1462,"")</f>
        <v>11.7975</v>
      </c>
      <c r="R1462" s="84" t="s">
        <v>365</v>
      </c>
    </row>
    <row r="1463" customFormat="false" ht="15" hidden="false" customHeight="true" outlineLevel="0" collapsed="false">
      <c r="A1463" s="103" t="n">
        <v>56270</v>
      </c>
      <c r="B1463" s="73" t="n">
        <v>46248</v>
      </c>
      <c r="C1463" s="86" t="s">
        <v>653</v>
      </c>
      <c r="D1463" s="87" t="n">
        <v>50069</v>
      </c>
      <c r="E1463" s="46" t="str">
        <f aca="false">IF(D1463&lt;&gt;"",IFERROR(VLOOKUP(D1463,PROVEEDORES!$A:$B,2,0),"!COD NO ENCONTRADO"),"")</f>
        <v>PESCADOS ILLANES S.L.</v>
      </c>
      <c r="F1463" s="88" t="str">
        <f aca="false">IF(D1463&lt;&gt;"",IFERROR(VLOOKUP(D1463,PROVEEDORES!$A:$C,3,0),""),"")</f>
        <v>S</v>
      </c>
      <c r="G1463" s="87" t="s">
        <v>223</v>
      </c>
      <c r="H1463" s="46" t="str">
        <f aca="false">IF(G1463&lt;&gt;"",IFERROR(VLOOKUP(G1463,PRODUCTOS!$A:$B,2,0),"!COD NO ENCONTRADO"),"")</f>
        <v>MERLUZA EUROPEA PINCHO COSTA 1000</v>
      </c>
      <c r="I1463" s="89" t="n">
        <v>5</v>
      </c>
      <c r="J1463" s="90" t="n">
        <v>73</v>
      </c>
      <c r="K1463" s="91" t="n">
        <v>5.8</v>
      </c>
      <c r="L1463" s="80" t="n">
        <f aca="false">IF(AND(J1463&lt;&gt;"",K1463&lt;&gt;""),J1463*K1463,"")</f>
        <v>423.4</v>
      </c>
      <c r="M1463" s="81" t="n">
        <f aca="false">IF(L1463&lt;&gt;"",L1463*1.1,"")</f>
        <v>465.74</v>
      </c>
      <c r="N1463" s="47" t="n">
        <f aca="false">IF(F1463="S",L1463*0.02,0)</f>
        <v>8.468</v>
      </c>
      <c r="O1463" s="82" t="n">
        <f aca="false">IF(L1463&lt;&gt;"",L1463+N1463,"")</f>
        <v>431.868</v>
      </c>
      <c r="P1463" s="47" t="n">
        <f aca="false">IF(O1463&lt;&gt;"",O1463*0.1,"")</f>
        <v>43.1868</v>
      </c>
      <c r="Q1463" s="83" t="n">
        <f aca="false">IF(O1463&lt;&gt;"",O1463+P1463,"")</f>
        <v>475.0548</v>
      </c>
      <c r="R1463" s="84" t="s">
        <v>365</v>
      </c>
    </row>
    <row r="1464" customFormat="false" ht="15" hidden="false" customHeight="true" outlineLevel="0" collapsed="false">
      <c r="A1464" s="103" t="n">
        <v>56271</v>
      </c>
      <c r="B1464" s="73" t="n">
        <v>46248</v>
      </c>
      <c r="C1464" s="74" t="s">
        <v>654</v>
      </c>
      <c r="D1464" s="75" t="n">
        <v>50160</v>
      </c>
      <c r="E1464" s="52" t="str">
        <f aca="false">IF(D1464&lt;&gt;"",IFERROR(VLOOKUP(D1464,PROVEEDORES!$A:$B,2,0),"!COD NO ENCONTRADO"),"")</f>
        <v>SUBASTAS CORUÑA S.L.</v>
      </c>
      <c r="F1464" s="76" t="str">
        <f aca="false">IF(D1464&lt;&gt;"",IFERROR(VLOOKUP(D1464,PROVEEDORES!$A:$C,3,0),""),"")</f>
        <v>S</v>
      </c>
      <c r="G1464" s="75" t="s">
        <v>233</v>
      </c>
      <c r="H1464" s="52" t="str">
        <f aca="false">IF(G1464&lt;&gt;"",IFERROR(VLOOKUP(G1464,PRODUCTOS!$A:$B,2,0),"!COD NO ENCONTRADO"),"")</f>
        <v>MERLUZA EUROPEA VOLANTA COSTA</v>
      </c>
      <c r="I1464" s="77" t="n">
        <v>2</v>
      </c>
      <c r="J1464" s="78" t="n">
        <v>41.25</v>
      </c>
      <c r="K1464" s="79" t="n">
        <v>5.3</v>
      </c>
      <c r="L1464" s="80" t="n">
        <f aca="false">IF(AND(J1464&lt;&gt;"",K1464&lt;&gt;""),J1464*K1464,"")</f>
        <v>218.625</v>
      </c>
      <c r="M1464" s="81" t="n">
        <f aca="false">IF(L1464&lt;&gt;"",L1464*1.1,"")</f>
        <v>240.4875</v>
      </c>
      <c r="N1464" s="53" t="n">
        <f aca="false">IF(F1464="S",L1464*0.02,0)</f>
        <v>4.3725</v>
      </c>
      <c r="O1464" s="82" t="n">
        <f aca="false">IF(L1464&lt;&gt;"",L1464+N1464,"")</f>
        <v>222.9975</v>
      </c>
      <c r="P1464" s="53" t="n">
        <f aca="false">IF(O1464&lt;&gt;"",O1464*0.1,"")</f>
        <v>22.29975</v>
      </c>
      <c r="Q1464" s="83" t="n">
        <f aca="false">IF(O1464&lt;&gt;"",O1464+P1464,"")</f>
        <v>245.29725</v>
      </c>
      <c r="R1464" s="84" t="s">
        <v>365</v>
      </c>
    </row>
    <row r="1465" customFormat="false" ht="15" hidden="false" customHeight="true" outlineLevel="0" collapsed="false">
      <c r="A1465" s="103" t="n">
        <v>56271</v>
      </c>
      <c r="B1465" s="73" t="n">
        <v>46248</v>
      </c>
      <c r="C1465" s="86" t="s">
        <v>654</v>
      </c>
      <c r="D1465" s="87" t="n">
        <v>50160</v>
      </c>
      <c r="E1465" s="46" t="str">
        <f aca="false">IF(D1465&lt;&gt;"",IFERROR(VLOOKUP(D1465,PROVEEDORES!$A:$B,2,0),"!COD NO ENCONTRADO"),"")</f>
        <v>SUBASTAS CORUÑA S.L.</v>
      </c>
      <c r="F1465" s="88" t="str">
        <f aca="false">IF(D1465&lt;&gt;"",IFERROR(VLOOKUP(D1465,PROVEEDORES!$A:$C,3,0),""),"")</f>
        <v>S</v>
      </c>
      <c r="G1465" s="87" t="s">
        <v>332</v>
      </c>
      <c r="H1465" s="46" t="str">
        <f aca="false">IF(G1465&lt;&gt;"",IFERROR(VLOOKUP(G1465,PRODUCTOS!$A:$B,2,0),"!COD NO ENCONTRADO"),"")</f>
        <v>VARIADO PEQUEÑO</v>
      </c>
      <c r="I1465" s="89" t="n">
        <v>8</v>
      </c>
      <c r="J1465" s="90" t="n">
        <v>40.5</v>
      </c>
      <c r="K1465" s="91" t="n">
        <v>0.5</v>
      </c>
      <c r="L1465" s="80" t="n">
        <f aca="false">IF(AND(J1465&lt;&gt;"",K1465&lt;&gt;""),J1465*K1465,"")</f>
        <v>20.25</v>
      </c>
      <c r="M1465" s="81" t="n">
        <f aca="false">IF(L1465&lt;&gt;"",L1465*1.1,"")</f>
        <v>22.275</v>
      </c>
      <c r="N1465" s="47" t="n">
        <f aca="false">IF(F1465="S",L1465*0.02,0)</f>
        <v>0.405</v>
      </c>
      <c r="O1465" s="82" t="n">
        <f aca="false">IF(L1465&lt;&gt;"",L1465+N1465,"")</f>
        <v>20.655</v>
      </c>
      <c r="P1465" s="47" t="n">
        <f aca="false">IF(O1465&lt;&gt;"",O1465*0.1,"")</f>
        <v>2.0655</v>
      </c>
      <c r="Q1465" s="83" t="n">
        <f aca="false">IF(O1465&lt;&gt;"",O1465+P1465,"")</f>
        <v>22.7205</v>
      </c>
      <c r="R1465" s="84" t="s">
        <v>365</v>
      </c>
    </row>
    <row r="1466" customFormat="false" ht="15" hidden="false" customHeight="true" outlineLevel="0" collapsed="false">
      <c r="A1466" s="103" t="n">
        <v>56272</v>
      </c>
      <c r="B1466" s="73" t="n">
        <v>46248</v>
      </c>
      <c r="C1466" s="74" t="s">
        <v>655</v>
      </c>
      <c r="D1466" s="75" t="n">
        <v>50163</v>
      </c>
      <c r="E1466" s="52" t="str">
        <f aca="false">IF(D1466&lt;&gt;"",IFERROR(VLOOKUP(D1466,PROVEEDORES!$A:$B,2,0),"!COD NO ENCONTRADO"),"")</f>
        <v>SUBASTAS RIVERA S.L.</v>
      </c>
      <c r="F1466" s="76" t="str">
        <f aca="false">IF(D1466&lt;&gt;"",IFERROR(VLOOKUP(D1466,PROVEEDORES!$A:$C,3,0),""),"")</f>
        <v>S</v>
      </c>
      <c r="G1466" s="75" t="s">
        <v>332</v>
      </c>
      <c r="H1466" s="52" t="str">
        <f aca="false">IF(G1466&lt;&gt;"",IFERROR(VLOOKUP(G1466,PRODUCTOS!$A:$B,2,0),"!COD NO ENCONTRADO"),"")</f>
        <v>VARIADO PEQUEÑO</v>
      </c>
      <c r="I1466" s="112" t="n">
        <v>2</v>
      </c>
      <c r="J1466" s="105" t="n">
        <v>10.5</v>
      </c>
      <c r="K1466" s="125" t="n">
        <v>0.2</v>
      </c>
      <c r="L1466" s="80" t="n">
        <f aca="false">IF(AND(J1466&lt;&gt;"",K1466&lt;&gt;""),J1466*K1466,"")</f>
        <v>2.1</v>
      </c>
      <c r="M1466" s="81" t="n">
        <f aca="false">IF(L1466&lt;&gt;"",L1466*1.1,"")</f>
        <v>2.31</v>
      </c>
      <c r="N1466" s="53" t="n">
        <f aca="false">IF(F1466="S",L1466*0.02,0)</f>
        <v>0.042</v>
      </c>
      <c r="O1466" s="82" t="n">
        <f aca="false">IF(L1466&lt;&gt;"",L1466+N1466,"")</f>
        <v>2.142</v>
      </c>
      <c r="P1466" s="53" t="n">
        <f aca="false">IF(O1466&lt;&gt;"",O1466*0.1,"")</f>
        <v>0.2142</v>
      </c>
      <c r="Q1466" s="83" t="n">
        <f aca="false">IF(O1466&lt;&gt;"",O1466+P1466,"")</f>
        <v>2.3562</v>
      </c>
      <c r="R1466" s="84" t="s">
        <v>365</v>
      </c>
    </row>
    <row r="1467" customFormat="false" ht="15" hidden="false" customHeight="true" outlineLevel="0" collapsed="false">
      <c r="A1467" s="103" t="n">
        <v>56272</v>
      </c>
      <c r="B1467" s="73" t="n">
        <v>46248</v>
      </c>
      <c r="C1467" s="74" t="s">
        <v>655</v>
      </c>
      <c r="D1467" s="75" t="n">
        <v>50163</v>
      </c>
      <c r="E1467" s="52" t="str">
        <f aca="false">IF(D1467&lt;&gt;"",IFERROR(VLOOKUP(D1467,PROVEEDORES!$A:$B,2,0),"!COD NO ENCONTRADO"),"")</f>
        <v>SUBASTAS RIVERA S.L.</v>
      </c>
      <c r="F1467" s="88" t="str">
        <f aca="false">IF(D1467&lt;&gt;"",IFERROR(VLOOKUP(D1467,PROVEEDORES!$A:$C,3,0),""),"")</f>
        <v>S</v>
      </c>
      <c r="G1467" s="87" t="s">
        <v>151</v>
      </c>
      <c r="H1467" s="46" t="str">
        <f aca="false">IF(G1467&lt;&gt;"",IFERROR(VLOOKUP(G1467,PRODUCTOS!$A:$B,2,0),"!COD NO ENCONTRADO"),"")</f>
        <v>ESCACHO/ ARETE/ RUBIO (GUR)</v>
      </c>
      <c r="I1467" s="112" t="n">
        <v>3</v>
      </c>
      <c r="J1467" s="105" t="n">
        <v>31</v>
      </c>
      <c r="K1467" s="125" t="n">
        <v>0.2</v>
      </c>
      <c r="L1467" s="80" t="n">
        <f aca="false">IF(AND(J1467&lt;&gt;"",K1467&lt;&gt;""),J1467*K1467,"")</f>
        <v>6.2</v>
      </c>
      <c r="M1467" s="81" t="n">
        <f aca="false">IF(L1467&lt;&gt;"",L1467*1.1,"")</f>
        <v>6.82</v>
      </c>
      <c r="N1467" s="47" t="n">
        <f aca="false">IF(F1467="S",L1467*0.02,0)</f>
        <v>0.124</v>
      </c>
      <c r="O1467" s="82" t="n">
        <f aca="false">IF(L1467&lt;&gt;"",L1467+N1467,"")</f>
        <v>6.324</v>
      </c>
      <c r="P1467" s="47" t="n">
        <f aca="false">IF(O1467&lt;&gt;"",O1467*0.1,"")</f>
        <v>0.6324</v>
      </c>
      <c r="Q1467" s="83" t="n">
        <f aca="false">IF(O1467&lt;&gt;"",O1467+P1467,"")</f>
        <v>6.9564</v>
      </c>
      <c r="R1467" s="84" t="s">
        <v>365</v>
      </c>
    </row>
    <row r="1468" customFormat="false" ht="15" hidden="false" customHeight="true" outlineLevel="0" collapsed="false">
      <c r="A1468" s="103" t="n">
        <v>56272</v>
      </c>
      <c r="B1468" s="73" t="n">
        <v>46248</v>
      </c>
      <c r="C1468" s="74" t="s">
        <v>655</v>
      </c>
      <c r="D1468" s="75" t="n">
        <v>50163</v>
      </c>
      <c r="E1468" s="52" t="str">
        <f aca="false">IF(D1468&lt;&gt;"",IFERROR(VLOOKUP(D1468,PROVEEDORES!$A:$B,2,0),"!COD NO ENCONTRADO"),"")</f>
        <v>SUBASTAS RIVERA S.L.</v>
      </c>
      <c r="F1468" s="76" t="str">
        <f aca="false">IF(D1468&lt;&gt;"",IFERROR(VLOOKUP(D1468,PROVEEDORES!$A:$C,3,0),""),"")</f>
        <v>S</v>
      </c>
      <c r="G1468" s="75" t="s">
        <v>332</v>
      </c>
      <c r="H1468" s="52" t="str">
        <f aca="false">IF(G1468&lt;&gt;"",IFERROR(VLOOKUP(G1468,PRODUCTOS!$A:$B,2,0),"!COD NO ENCONTRADO"),"")</f>
        <v>VARIADO PEQUEÑO</v>
      </c>
      <c r="I1468" s="112" t="n">
        <v>1</v>
      </c>
      <c r="J1468" s="105" t="n">
        <v>5.75</v>
      </c>
      <c r="K1468" s="125" t="n">
        <v>1</v>
      </c>
      <c r="L1468" s="80" t="n">
        <f aca="false">IF(AND(J1468&lt;&gt;"",K1468&lt;&gt;""),J1468*K1468,"")</f>
        <v>5.75</v>
      </c>
      <c r="M1468" s="81" t="n">
        <f aca="false">IF(L1468&lt;&gt;"",L1468*1.1,"")</f>
        <v>6.325</v>
      </c>
      <c r="N1468" s="53" t="n">
        <f aca="false">IF(F1468="S",L1468*0.02,0)</f>
        <v>0.115</v>
      </c>
      <c r="O1468" s="82" t="n">
        <f aca="false">IF(L1468&lt;&gt;"",L1468+N1468,"")</f>
        <v>5.865</v>
      </c>
      <c r="P1468" s="53" t="n">
        <f aca="false">IF(O1468&lt;&gt;"",O1468*0.1,"")</f>
        <v>0.5865</v>
      </c>
      <c r="Q1468" s="83" t="n">
        <f aca="false">IF(O1468&lt;&gt;"",O1468+P1468,"")</f>
        <v>6.4515</v>
      </c>
      <c r="R1468" s="84" t="s">
        <v>365</v>
      </c>
    </row>
    <row r="1469" customFormat="false" ht="15" hidden="false" customHeight="true" outlineLevel="0" collapsed="false">
      <c r="A1469" s="103" t="n">
        <v>56272</v>
      </c>
      <c r="B1469" s="73" t="n">
        <v>46248</v>
      </c>
      <c r="C1469" s="74" t="s">
        <v>655</v>
      </c>
      <c r="D1469" s="75" t="n">
        <v>50163</v>
      </c>
      <c r="E1469" s="52" t="str">
        <f aca="false">IF(D1469&lt;&gt;"",IFERROR(VLOOKUP(D1469,PROVEEDORES!$A:$B,2,0),"!COD NO ENCONTRADO"),"")</f>
        <v>SUBASTAS RIVERA S.L.</v>
      </c>
      <c r="F1469" s="88" t="str">
        <f aca="false">IF(D1469&lt;&gt;"",IFERROR(VLOOKUP(D1469,PROVEEDORES!$A:$C,3,0),""),"")</f>
        <v>S</v>
      </c>
      <c r="G1469" s="87" t="s">
        <v>276</v>
      </c>
      <c r="H1469" s="46" t="str">
        <f aca="false">IF(G1469&lt;&gt;"",IFERROR(VLOOKUP(G1469,PRODUCTOS!$A:$B,2,0),"!COD NO ENCONTRADO"),"")</f>
        <v>MERLUZA EUROPEA/ FINA DIA </v>
      </c>
      <c r="I1469" s="112" t="n">
        <v>20</v>
      </c>
      <c r="J1469" s="105" t="n">
        <v>183.5</v>
      </c>
      <c r="K1469" s="125" t="n">
        <v>2.3</v>
      </c>
      <c r="L1469" s="80" t="n">
        <f aca="false">IF(AND(J1469&lt;&gt;"",K1469&lt;&gt;""),J1469*K1469,"")</f>
        <v>422.05</v>
      </c>
      <c r="M1469" s="81" t="n">
        <f aca="false">IF(L1469&lt;&gt;"",L1469*1.1,"")</f>
        <v>464.255</v>
      </c>
      <c r="N1469" s="47" t="n">
        <f aca="false">IF(F1469="S",L1469*0.02,0)</f>
        <v>8.441</v>
      </c>
      <c r="O1469" s="82" t="n">
        <f aca="false">IF(L1469&lt;&gt;"",L1469+N1469,"")</f>
        <v>430.491</v>
      </c>
      <c r="P1469" s="47" t="n">
        <f aca="false">IF(O1469&lt;&gt;"",O1469*0.1,"")</f>
        <v>43.0491</v>
      </c>
      <c r="Q1469" s="83" t="n">
        <f aca="false">IF(O1469&lt;&gt;"",O1469+P1469,"")</f>
        <v>473.5401</v>
      </c>
      <c r="R1469" s="84" t="s">
        <v>365</v>
      </c>
    </row>
    <row r="1470" customFormat="false" ht="15" hidden="false" customHeight="true" outlineLevel="0" collapsed="false">
      <c r="A1470" s="103" t="n">
        <v>56272</v>
      </c>
      <c r="B1470" s="73" t="n">
        <v>46248</v>
      </c>
      <c r="C1470" s="74" t="s">
        <v>655</v>
      </c>
      <c r="D1470" s="75" t="n">
        <v>50163</v>
      </c>
      <c r="E1470" s="52" t="str">
        <f aca="false">IF(D1470&lt;&gt;"",IFERROR(VLOOKUP(D1470,PROVEEDORES!$A:$B,2,0),"!COD NO ENCONTRADO"),"")</f>
        <v>SUBASTAS RIVERA S.L.</v>
      </c>
      <c r="F1470" s="76" t="str">
        <f aca="false">IF(D1470&lt;&gt;"",IFERROR(VLOOKUP(D1470,PROVEEDORES!$A:$C,3,0),""),"")</f>
        <v>S</v>
      </c>
      <c r="G1470" s="75" t="s">
        <v>221</v>
      </c>
      <c r="H1470" s="52" t="str">
        <f aca="false">IF(G1470&lt;&gt;"",IFERROR(VLOOKUP(G1470,PRODUCTOS!$A:$B,2,0),"!COD NO ENCONTRADO"),"")</f>
        <v>MERLUZA EUROPEA PINCHO COSTA 800</v>
      </c>
      <c r="I1470" s="112" t="n">
        <v>2</v>
      </c>
      <c r="J1470" s="105" t="n">
        <v>27</v>
      </c>
      <c r="K1470" s="125" t="n">
        <v>5.3</v>
      </c>
      <c r="L1470" s="80" t="n">
        <f aca="false">IF(AND(J1470&lt;&gt;"",K1470&lt;&gt;""),J1470*K1470,"")</f>
        <v>143.1</v>
      </c>
      <c r="M1470" s="81" t="n">
        <f aca="false">IF(L1470&lt;&gt;"",L1470*1.1,"")</f>
        <v>157.41</v>
      </c>
      <c r="N1470" s="53" t="n">
        <f aca="false">IF(F1470="S",L1470*0.02,0)</f>
        <v>2.862</v>
      </c>
      <c r="O1470" s="82" t="n">
        <f aca="false">IF(L1470&lt;&gt;"",L1470+N1470,"")</f>
        <v>145.962</v>
      </c>
      <c r="P1470" s="53" t="n">
        <f aca="false">IF(O1470&lt;&gt;"",O1470*0.1,"")</f>
        <v>14.5962</v>
      </c>
      <c r="Q1470" s="83" t="n">
        <f aca="false">IF(O1470&lt;&gt;"",O1470+P1470,"")</f>
        <v>160.5582</v>
      </c>
      <c r="R1470" s="84" t="s">
        <v>365</v>
      </c>
    </row>
    <row r="1471" customFormat="false" ht="15" hidden="false" customHeight="true" outlineLevel="0" collapsed="false">
      <c r="A1471" s="103" t="n">
        <v>56272</v>
      </c>
      <c r="B1471" s="73" t="n">
        <v>46248</v>
      </c>
      <c r="C1471" s="74" t="s">
        <v>655</v>
      </c>
      <c r="D1471" s="75" t="n">
        <v>50163</v>
      </c>
      <c r="E1471" s="52" t="str">
        <f aca="false">IF(D1471&lt;&gt;"",IFERROR(VLOOKUP(D1471,PROVEEDORES!$A:$B,2,0),"!COD NO ENCONTRADO"),"")</f>
        <v>SUBASTAS RIVERA S.L.</v>
      </c>
      <c r="F1471" s="88" t="str">
        <f aca="false">IF(D1471&lt;&gt;"",IFERROR(VLOOKUP(D1471,PROVEEDORES!$A:$C,3,0),""),"")</f>
        <v>S</v>
      </c>
      <c r="G1471" s="87" t="s">
        <v>223</v>
      </c>
      <c r="H1471" s="46" t="str">
        <f aca="false">IF(G1471&lt;&gt;"",IFERROR(VLOOKUP(G1471,PRODUCTOS!$A:$B,2,0),"!COD NO ENCONTRADO"),"")</f>
        <v>MERLUZA EUROPEA PINCHO COSTA 1000</v>
      </c>
      <c r="I1471" s="112" t="n">
        <v>2</v>
      </c>
      <c r="J1471" s="105" t="n">
        <v>30.75</v>
      </c>
      <c r="K1471" s="125" t="n">
        <v>9.9</v>
      </c>
      <c r="L1471" s="80" t="n">
        <f aca="false">IF(AND(J1471&lt;&gt;"",K1471&lt;&gt;""),J1471*K1471,"")</f>
        <v>304.425</v>
      </c>
      <c r="M1471" s="81" t="n">
        <f aca="false">IF(L1471&lt;&gt;"",L1471*1.1,"")</f>
        <v>334.8675</v>
      </c>
      <c r="N1471" s="47" t="n">
        <f aca="false">IF(F1471="S",L1471*0.02,0)</f>
        <v>6.0885</v>
      </c>
      <c r="O1471" s="82" t="n">
        <f aca="false">IF(L1471&lt;&gt;"",L1471+N1471,"")</f>
        <v>310.5135</v>
      </c>
      <c r="P1471" s="47" t="n">
        <f aca="false">IF(O1471&lt;&gt;"",O1471*0.1,"")</f>
        <v>31.05135</v>
      </c>
      <c r="Q1471" s="83" t="n">
        <f aca="false">IF(O1471&lt;&gt;"",O1471+P1471,"")</f>
        <v>341.56485</v>
      </c>
      <c r="R1471" s="84" t="s">
        <v>365</v>
      </c>
    </row>
    <row r="1472" customFormat="false" ht="15" hidden="false" customHeight="true" outlineLevel="0" collapsed="false">
      <c r="A1472" s="103" t="n">
        <v>56272</v>
      </c>
      <c r="B1472" s="73" t="n">
        <v>46248</v>
      </c>
      <c r="C1472" s="74" t="s">
        <v>655</v>
      </c>
      <c r="D1472" s="75" t="n">
        <v>50163</v>
      </c>
      <c r="E1472" s="52" t="str">
        <f aca="false">IF(D1472&lt;&gt;"",IFERROR(VLOOKUP(D1472,PROVEEDORES!$A:$B,2,0),"!COD NO ENCONTRADO"),"")</f>
        <v>SUBASTAS RIVERA S.L.</v>
      </c>
      <c r="F1472" s="76" t="str">
        <f aca="false">IF(D1472&lt;&gt;"",IFERROR(VLOOKUP(D1472,PROVEEDORES!$A:$C,3,0),""),"")</f>
        <v>S</v>
      </c>
      <c r="G1472" s="75" t="s">
        <v>231</v>
      </c>
      <c r="H1472" s="52" t="str">
        <f aca="false">IF(G1472&lt;&gt;"",IFERROR(VLOOKUP(G1472,PRODUCTOS!$A:$B,2,0),"!COD NO ENCONTRADO"),"")</f>
        <v>MERLUZA EUROPEA PINCHO COSTA 2,5+</v>
      </c>
      <c r="I1472" s="112" t="n">
        <v>1</v>
      </c>
      <c r="J1472" s="105" t="n">
        <v>10.25</v>
      </c>
      <c r="K1472" s="125" t="n">
        <v>12.6</v>
      </c>
      <c r="L1472" s="80" t="n">
        <f aca="false">IF(AND(J1472&lt;&gt;"",K1472&lt;&gt;""),J1472*K1472,"")</f>
        <v>129.15</v>
      </c>
      <c r="M1472" s="81" t="n">
        <f aca="false">IF(L1472&lt;&gt;"",L1472*1.1,"")</f>
        <v>142.065</v>
      </c>
      <c r="N1472" s="53" t="n">
        <f aca="false">IF(F1472="S",L1472*0.02,0)</f>
        <v>2.583</v>
      </c>
      <c r="O1472" s="82" t="n">
        <f aca="false">IF(L1472&lt;&gt;"",L1472+N1472,"")</f>
        <v>131.733</v>
      </c>
      <c r="P1472" s="53" t="n">
        <f aca="false">IF(O1472&lt;&gt;"",O1472*0.1,"")</f>
        <v>13.1733</v>
      </c>
      <c r="Q1472" s="83" t="n">
        <f aca="false">IF(O1472&lt;&gt;"",O1472+P1472,"")</f>
        <v>144.9063</v>
      </c>
      <c r="R1472" s="84" t="s">
        <v>365</v>
      </c>
    </row>
    <row r="1473" customFormat="false" ht="15" hidden="false" customHeight="true" outlineLevel="0" collapsed="false">
      <c r="A1473" s="103" t="n">
        <v>56272</v>
      </c>
      <c r="B1473" s="73" t="n">
        <v>46248</v>
      </c>
      <c r="C1473" s="74" t="s">
        <v>655</v>
      </c>
      <c r="D1473" s="75" t="n">
        <v>50163</v>
      </c>
      <c r="E1473" s="52" t="str">
        <f aca="false">IF(D1473&lt;&gt;"",IFERROR(VLOOKUP(D1473,PROVEEDORES!$A:$B,2,0),"!COD NO ENCONTRADO"),"")</f>
        <v>SUBASTAS RIVERA S.L.</v>
      </c>
      <c r="F1473" s="88" t="str">
        <f aca="false">IF(D1473&lt;&gt;"",IFERROR(VLOOKUP(D1473,PROVEEDORES!$A:$C,3,0),""),"")</f>
        <v>S</v>
      </c>
      <c r="G1473" s="87" t="s">
        <v>179</v>
      </c>
      <c r="H1473" s="46" t="str">
        <f aca="false">IF(G1473&lt;&gt;"",IFERROR(VLOOKUP(G1473,PRODUCTOS!$A:$B,2,0),"!COD NO ENCONTRADO"),"")</f>
        <v>LIRIO/ BACALADILLA/ PERLA (WHB)</v>
      </c>
      <c r="I1473" s="112" t="n">
        <v>12</v>
      </c>
      <c r="J1473" s="105" t="n">
        <v>43.25</v>
      </c>
      <c r="K1473" s="125" t="n">
        <v>1</v>
      </c>
      <c r="L1473" s="80" t="n">
        <f aca="false">IF(AND(J1473&lt;&gt;"",K1473&lt;&gt;""),J1473*K1473,"")</f>
        <v>43.25</v>
      </c>
      <c r="M1473" s="81" t="n">
        <f aca="false">IF(L1473&lt;&gt;"",L1473*1.1,"")</f>
        <v>47.575</v>
      </c>
      <c r="N1473" s="47" t="n">
        <f aca="false">IF(F1473="S",L1473*0.02,0)</f>
        <v>0.865</v>
      </c>
      <c r="O1473" s="82" t="n">
        <f aca="false">IF(L1473&lt;&gt;"",L1473+N1473,"")</f>
        <v>44.115</v>
      </c>
      <c r="P1473" s="47" t="n">
        <f aca="false">IF(O1473&lt;&gt;"",O1473*0.1,"")</f>
        <v>4.4115</v>
      </c>
      <c r="Q1473" s="83" t="n">
        <f aca="false">IF(O1473&lt;&gt;"",O1473+P1473,"")</f>
        <v>48.5265</v>
      </c>
      <c r="R1473" s="84" t="s">
        <v>365</v>
      </c>
    </row>
    <row r="1474" customFormat="false" ht="15" hidden="false" customHeight="true" outlineLevel="0" collapsed="false">
      <c r="A1474" s="103" t="n">
        <v>56272</v>
      </c>
      <c r="B1474" s="85" t="n">
        <v>46248</v>
      </c>
      <c r="C1474" s="74" t="s">
        <v>655</v>
      </c>
      <c r="D1474" s="87" t="n">
        <v>50163</v>
      </c>
      <c r="E1474" s="46" t="str">
        <f aca="false">IF(D1474&lt;&gt;"",IFERROR(VLOOKUP(D1474,PROVEEDORES!$A:$B,2,0),"!COD NO ENCONTRADO"),"")</f>
        <v>SUBASTAS RIVERA S.L.</v>
      </c>
      <c r="F1474" s="88" t="str">
        <f aca="false">IF(D1474&lt;&gt;"",IFERROR(VLOOKUP(D1474,PROVEEDORES!$A:$C,3,0),""),"")</f>
        <v>S</v>
      </c>
      <c r="G1474" s="87" t="s">
        <v>332</v>
      </c>
      <c r="H1474" s="46" t="str">
        <f aca="false">IF(G1474&lt;&gt;"",IFERROR(VLOOKUP(G1474,PRODUCTOS!$A:$B,2,0),"!COD NO ENCONTRADO"),"")</f>
        <v>VARIADO PEQUEÑO</v>
      </c>
      <c r="I1474" s="112" t="n">
        <v>1</v>
      </c>
      <c r="J1474" s="105" t="n">
        <v>9.5</v>
      </c>
      <c r="K1474" s="125" t="n">
        <v>0.2</v>
      </c>
      <c r="L1474" s="80" t="n">
        <f aca="false">IF(AND(J1474&lt;&gt;"",K1474&lt;&gt;""),J1474*K1474,"")</f>
        <v>1.9</v>
      </c>
      <c r="M1474" s="81" t="n">
        <f aca="false">IF(L1474&lt;&gt;"",L1474*1.1,"")</f>
        <v>2.09</v>
      </c>
      <c r="N1474" s="47" t="n">
        <f aca="false">IF(F1474="S",L1474*0.02,0)</f>
        <v>0.038</v>
      </c>
      <c r="O1474" s="82" t="n">
        <f aca="false">IF(L1474&lt;&gt;"",L1474+N1474,"")</f>
        <v>1.938</v>
      </c>
      <c r="P1474" s="47" t="n">
        <f aca="false">IF(O1474&lt;&gt;"",O1474*0.1,"")</f>
        <v>0.1938</v>
      </c>
      <c r="Q1474" s="83" t="n">
        <f aca="false">IF(O1474&lt;&gt;"",O1474+P1474,"")</f>
        <v>2.1318</v>
      </c>
      <c r="R1474" s="84" t="s">
        <v>358</v>
      </c>
    </row>
    <row r="1475" customFormat="false" ht="15" hidden="false" customHeight="true" outlineLevel="0" collapsed="false">
      <c r="A1475" s="103" t="n">
        <v>56273</v>
      </c>
      <c r="B1475" s="73" t="n">
        <v>46248</v>
      </c>
      <c r="C1475" s="74" t="s">
        <v>656</v>
      </c>
      <c r="D1475" s="75" t="n">
        <v>50010</v>
      </c>
      <c r="E1475" s="52" t="str">
        <f aca="false">IF(D1475&lt;&gt;"",IFERROR(VLOOKUP(D1475,PROVEEDORES!$A:$B,2,0),"!COD NO ENCONTRADO"),"")</f>
        <v>PERFECTO MONTERO</v>
      </c>
      <c r="F1475" s="76" t="str">
        <f aca="false">IF(D1475&lt;&gt;"",IFERROR(VLOOKUP(D1475,PROVEEDORES!$A:$C,3,0),""),"")</f>
        <v>S</v>
      </c>
      <c r="G1475" s="75" t="s">
        <v>91</v>
      </c>
      <c r="H1475" s="52" t="str">
        <f aca="false">IF(G1475&lt;&gt;"",IFERROR(VLOOKUP(G1475,PRODUCTOS!$A:$B,2,0),"!COD NO ENCONTRADO"),"")</f>
        <v>BONITO DEL NORTE 5/7</v>
      </c>
      <c r="I1475" s="77" t="n">
        <v>2</v>
      </c>
      <c r="J1475" s="78" t="n">
        <v>45</v>
      </c>
      <c r="K1475" s="79" t="n">
        <v>5.3</v>
      </c>
      <c r="L1475" s="80" t="n">
        <f aca="false">IF(AND(J1475&lt;&gt;"",K1475&lt;&gt;""),J1475*K1475,"")</f>
        <v>238.5</v>
      </c>
      <c r="M1475" s="81" t="n">
        <f aca="false">IF(L1475&lt;&gt;"",L1475*1.1,"")</f>
        <v>262.35</v>
      </c>
      <c r="N1475" s="53" t="n">
        <f aca="false">IF(F1475="S",L1475*0.02,0)</f>
        <v>4.77</v>
      </c>
      <c r="O1475" s="82" t="n">
        <f aca="false">IF(L1475&lt;&gt;"",L1475+N1475,"")</f>
        <v>243.27</v>
      </c>
      <c r="P1475" s="53" t="n">
        <f aca="false">IF(O1475&lt;&gt;"",O1475*0.1,"")</f>
        <v>24.327</v>
      </c>
      <c r="Q1475" s="83" t="n">
        <f aca="false">IF(O1475&lt;&gt;"",O1475+P1475,"")</f>
        <v>267.597</v>
      </c>
      <c r="R1475" s="84" t="s">
        <v>365</v>
      </c>
    </row>
    <row r="1476" customFormat="false" ht="15" hidden="false" customHeight="true" outlineLevel="0" collapsed="false">
      <c r="A1476" s="103" t="n">
        <v>56273</v>
      </c>
      <c r="B1476" s="85" t="n">
        <v>46248</v>
      </c>
      <c r="C1476" s="86" t="s">
        <v>656</v>
      </c>
      <c r="D1476" s="87" t="n">
        <v>50010</v>
      </c>
      <c r="E1476" s="46" t="str">
        <f aca="false">IF(D1476&lt;&gt;"",IFERROR(VLOOKUP(D1476,PROVEEDORES!$A:$B,2,0),"!COD NO ENCONTRADO"),"")</f>
        <v>PERFECTO MONTERO</v>
      </c>
      <c r="F1476" s="88" t="str">
        <f aca="false">IF(D1476&lt;&gt;"",IFERROR(VLOOKUP(D1476,PROVEEDORES!$A:$C,3,0),""),"")</f>
        <v>S</v>
      </c>
      <c r="G1476" s="87" t="s">
        <v>91</v>
      </c>
      <c r="H1476" s="46" t="str">
        <f aca="false">IF(G1476&lt;&gt;"",IFERROR(VLOOKUP(G1476,PRODUCTOS!$A:$B,2,0),"!COD NO ENCONTRADO"),"")</f>
        <v>BONITO DEL NORTE 5/7</v>
      </c>
      <c r="I1476" s="89" t="n">
        <v>2</v>
      </c>
      <c r="J1476" s="90" t="n">
        <v>27.5</v>
      </c>
      <c r="K1476" s="91" t="n">
        <v>5.6</v>
      </c>
      <c r="L1476" s="80" t="n">
        <f aca="false">IF(AND(J1476&lt;&gt;"",K1476&lt;&gt;""),J1476*K1476,"")</f>
        <v>154</v>
      </c>
      <c r="M1476" s="81" t="n">
        <f aca="false">IF(L1476&lt;&gt;"",L1476*1.1,"")</f>
        <v>169.4</v>
      </c>
      <c r="N1476" s="47" t="n">
        <f aca="false">IF(F1476="S",L1476*0.02,0)</f>
        <v>3.08</v>
      </c>
      <c r="O1476" s="82" t="n">
        <f aca="false">IF(L1476&lt;&gt;"",L1476+N1476,"")</f>
        <v>157.08</v>
      </c>
      <c r="P1476" s="47" t="n">
        <f aca="false">IF(O1476&lt;&gt;"",O1476*0.1,"")</f>
        <v>15.708</v>
      </c>
      <c r="Q1476" s="83" t="n">
        <f aca="false">IF(O1476&lt;&gt;"",O1476+P1476,"")</f>
        <v>172.788</v>
      </c>
      <c r="R1476" s="84" t="s">
        <v>365</v>
      </c>
    </row>
    <row r="1477" customFormat="false" ht="15" hidden="false" customHeight="true" outlineLevel="0" collapsed="false">
      <c r="A1477" s="103" t="n">
        <v>56274</v>
      </c>
      <c r="B1477" s="73" t="n">
        <v>46248</v>
      </c>
      <c r="C1477" s="74" t="s">
        <v>657</v>
      </c>
      <c r="D1477" s="75" t="n">
        <v>50035</v>
      </c>
      <c r="E1477" s="52" t="str">
        <f aca="false">IF(D1477&lt;&gt;"",IFERROR(VLOOKUP(D1477,PROVEEDORES!$A:$B,2,0),"!COD NO ENCONTRADO"),"")</f>
        <v>SCANFISK SEAFFOD S,L</v>
      </c>
      <c r="F1477" s="76" t="str">
        <f aca="false">IF(D1477&lt;&gt;"",IFERROR(VLOOKUP(D1477,PROVEEDORES!$A:$C,3,0),""),"")</f>
        <v>N</v>
      </c>
      <c r="G1477" s="75" t="s">
        <v>246</v>
      </c>
      <c r="H1477" s="52" t="str">
        <f aca="false">IF(G1477&lt;&gt;"",IFERROR(VLOOKUP(G1477,PRODUCTOS!$A:$B,2,0),"!COD NO ENCONTRADO"),"")</f>
        <v>MERLUZA EUROPEA VOLANTA ALTURA</v>
      </c>
      <c r="I1477" s="77" t="n">
        <v>3</v>
      </c>
      <c r="J1477" s="78" t="n">
        <v>33</v>
      </c>
      <c r="K1477" s="79" t="n">
        <v>7.7</v>
      </c>
      <c r="L1477" s="80" t="n">
        <f aca="false">IF(AND(J1477&lt;&gt;"",K1477&lt;&gt;""),J1477*K1477,"")</f>
        <v>254.1</v>
      </c>
      <c r="M1477" s="81" t="n">
        <f aca="false">IF(L1477&lt;&gt;"",L1477*1.1,"")</f>
        <v>279.51</v>
      </c>
      <c r="N1477" s="53" t="n">
        <f aca="false">IF(F1477="S",L1477*0.02,0)</f>
        <v>0</v>
      </c>
      <c r="O1477" s="82" t="n">
        <f aca="false">IF(L1477&lt;&gt;"",L1477+N1477,"")</f>
        <v>254.1</v>
      </c>
      <c r="P1477" s="53" t="n">
        <f aca="false">IF(O1477&lt;&gt;"",O1477*0.1,"")</f>
        <v>25.41</v>
      </c>
      <c r="Q1477" s="83" t="n">
        <f aca="false">IF(O1477&lt;&gt;"",O1477+P1477,"")</f>
        <v>279.51</v>
      </c>
      <c r="R1477" s="84" t="s">
        <v>365</v>
      </c>
    </row>
    <row r="1478" customFormat="false" ht="15" hidden="false" customHeight="true" outlineLevel="0" collapsed="false">
      <c r="A1478" s="103" t="n">
        <v>56275</v>
      </c>
      <c r="B1478" s="73" t="n">
        <v>46249</v>
      </c>
      <c r="C1478" s="74" t="s">
        <v>658</v>
      </c>
      <c r="D1478" s="75" t="n">
        <v>50232</v>
      </c>
      <c r="E1478" s="52" t="str">
        <f aca="false">IF(D1478&lt;&gt;"",IFERROR(VLOOKUP(D1478,PROVEEDORES!$A:$B,2,0),"!COD NO ENCONTRADO"),"")</f>
        <v>XESTION NOVA LONXA RIVEIRA S.L.</v>
      </c>
      <c r="F1478" s="76" t="str">
        <f aca="false">IF(D1478&lt;&gt;"",IFERROR(VLOOKUP(D1478,PROVEEDORES!$A:$C,3,0),""),"")</f>
        <v>S</v>
      </c>
      <c r="G1478" s="75" t="s">
        <v>316</v>
      </c>
      <c r="H1478" s="52" t="str">
        <f aca="false">IF(G1478&lt;&gt;"",IFERROR(VLOOKUP(G1478,PRODUCTOS!$A:$B,2,0),"!COD NO ENCONTRADO"),"")</f>
        <v>SALMONETE ROCA (MUR)</v>
      </c>
      <c r="I1478" s="77" t="n">
        <v>6</v>
      </c>
      <c r="J1478" s="78" t="n">
        <v>26.7</v>
      </c>
      <c r="K1478" s="79" t="n">
        <v>16.5</v>
      </c>
      <c r="L1478" s="80" t="n">
        <f aca="false">IF(AND(J1478&lt;&gt;"",K1478&lt;&gt;""),J1478*K1478,"")</f>
        <v>440.55</v>
      </c>
      <c r="M1478" s="81" t="n">
        <f aca="false">IF(L1478&lt;&gt;"",L1478*1.1,"")</f>
        <v>484.605</v>
      </c>
      <c r="N1478" s="53" t="n">
        <f aca="false">IF(F1478="S",L1478*0.02,0)</f>
        <v>8.811</v>
      </c>
      <c r="O1478" s="82" t="n">
        <f aca="false">IF(L1478&lt;&gt;"",L1478+N1478,"")</f>
        <v>449.361</v>
      </c>
      <c r="P1478" s="53" t="n">
        <f aca="false">IF(O1478&lt;&gt;"",O1478*0.1,"")</f>
        <v>44.9361</v>
      </c>
      <c r="Q1478" s="83" t="n">
        <f aca="false">IF(O1478&lt;&gt;"",O1478+P1478,"")</f>
        <v>494.2971</v>
      </c>
      <c r="R1478" s="84" t="s">
        <v>358</v>
      </c>
    </row>
    <row r="1479" customFormat="false" ht="15" hidden="false" customHeight="true" outlineLevel="0" collapsed="false">
      <c r="A1479" s="103" t="n">
        <v>56275</v>
      </c>
      <c r="B1479" s="85" t="n">
        <v>46249</v>
      </c>
      <c r="C1479" s="86" t="s">
        <v>658</v>
      </c>
      <c r="D1479" s="87" t="n">
        <v>50232</v>
      </c>
      <c r="E1479" s="46" t="str">
        <f aca="false">IF(D1479&lt;&gt;"",IFERROR(VLOOKUP(D1479,PROVEEDORES!$A:$B,2,0),"!COD NO ENCONTRADO"),"")</f>
        <v>XESTION NOVA LONXA RIVEIRA S.L.</v>
      </c>
      <c r="F1479" s="88" t="str">
        <f aca="false">IF(D1479&lt;&gt;"",IFERROR(VLOOKUP(D1479,PROVEEDORES!$A:$C,3,0),""),"")</f>
        <v>S</v>
      </c>
      <c r="G1479" s="87" t="s">
        <v>304</v>
      </c>
      <c r="H1479" s="46" t="str">
        <f aca="false">IF(G1479&lt;&gt;"",IFERROR(VLOOKUP(G1479,PRODUCTOS!$A:$B,2,0),"!COD NO ENCONTRADO"),"")</f>
        <v>RAYA SPP (SKA)</v>
      </c>
      <c r="I1479" s="89" t="n">
        <v>14</v>
      </c>
      <c r="J1479" s="90" t="n">
        <v>90.9</v>
      </c>
      <c r="K1479" s="91" t="n">
        <v>0.5</v>
      </c>
      <c r="L1479" s="80" t="n">
        <f aca="false">IF(AND(J1479&lt;&gt;"",K1479&lt;&gt;""),J1479*K1479,"")</f>
        <v>45.45</v>
      </c>
      <c r="M1479" s="81" t="n">
        <f aca="false">IF(L1479&lt;&gt;"",L1479*1.1,"")</f>
        <v>49.995</v>
      </c>
      <c r="N1479" s="47" t="n">
        <f aca="false">IF(F1479="S",L1479*0.02,0)</f>
        <v>0.909</v>
      </c>
      <c r="O1479" s="82" t="n">
        <f aca="false">IF(L1479&lt;&gt;"",L1479+N1479,"")</f>
        <v>46.359</v>
      </c>
      <c r="P1479" s="47" t="n">
        <f aca="false">IF(O1479&lt;&gt;"",O1479*0.1,"")</f>
        <v>4.6359</v>
      </c>
      <c r="Q1479" s="83" t="n">
        <f aca="false">IF(O1479&lt;&gt;"",O1479+P1479,"")</f>
        <v>50.9949</v>
      </c>
      <c r="R1479" s="84" t="s">
        <v>358</v>
      </c>
    </row>
    <row r="1480" customFormat="false" ht="15" hidden="false" customHeight="true" outlineLevel="0" collapsed="false">
      <c r="A1480" s="103" t="n">
        <v>56275</v>
      </c>
      <c r="B1480" s="73" t="n">
        <v>46249</v>
      </c>
      <c r="C1480" s="74" t="s">
        <v>658</v>
      </c>
      <c r="D1480" s="75" t="n">
        <v>50232</v>
      </c>
      <c r="E1480" s="52" t="str">
        <f aca="false">IF(D1480&lt;&gt;"",IFERROR(VLOOKUP(D1480,PROVEEDORES!$A:$B,2,0),"!COD NO ENCONTRADO"),"")</f>
        <v>XESTION NOVA LONXA RIVEIRA S.L.</v>
      </c>
      <c r="F1480" s="76" t="str">
        <f aca="false">IF(D1480&lt;&gt;"",IFERROR(VLOOKUP(D1480,PROVEEDORES!$A:$C,3,0),""),"")</f>
        <v>S</v>
      </c>
      <c r="G1480" s="75" t="s">
        <v>179</v>
      </c>
      <c r="H1480" s="104" t="str">
        <f aca="false">IF(G1480&lt;&gt;"",IFERROR(VLOOKUP(G1480,PRODUCTOS!$A:$B,2,0),"!COD NO ENCONTRADO"),"")</f>
        <v>LIRIO/ BACALADILLA/ PERLA (WHB)</v>
      </c>
      <c r="I1480" s="112" t="n">
        <v>10</v>
      </c>
      <c r="J1480" s="105" t="n">
        <v>151.8</v>
      </c>
      <c r="K1480" s="125" t="n">
        <v>1.45</v>
      </c>
      <c r="L1480" s="80" t="n">
        <f aca="false">IF(AND(J1480&lt;&gt;"",K1480&lt;&gt;""),J1480*K1480,"")</f>
        <v>220.11</v>
      </c>
      <c r="M1480" s="81" t="n">
        <f aca="false">IF(L1480&lt;&gt;"",L1480*1.1,"")</f>
        <v>242.121</v>
      </c>
      <c r="N1480" s="53" t="n">
        <f aca="false">IF(F1480="S",L1480*0.02,0)</f>
        <v>4.4022</v>
      </c>
      <c r="O1480" s="82" t="n">
        <f aca="false">IF(L1480&lt;&gt;"",L1480+N1480,"")</f>
        <v>224.5122</v>
      </c>
      <c r="P1480" s="53" t="n">
        <f aca="false">IF(O1480&lt;&gt;"",O1480*0.1,"")</f>
        <v>22.45122</v>
      </c>
      <c r="Q1480" s="83" t="n">
        <f aca="false">IF(O1480&lt;&gt;"",O1480+P1480,"")</f>
        <v>246.96342</v>
      </c>
      <c r="R1480" s="84" t="s">
        <v>358</v>
      </c>
    </row>
    <row r="1481" customFormat="false" ht="15" hidden="false" customHeight="true" outlineLevel="0" collapsed="false">
      <c r="A1481" s="103" t="n">
        <v>56276</v>
      </c>
      <c r="B1481" s="85" t="n">
        <v>46249</v>
      </c>
      <c r="C1481" s="86" t="s">
        <v>659</v>
      </c>
      <c r="D1481" s="87" t="n">
        <v>50160</v>
      </c>
      <c r="E1481" s="46" t="str">
        <f aca="false">IF(D1481&lt;&gt;"",IFERROR(VLOOKUP(D1481,PROVEEDORES!$A:$B,2,0),"!COD NO ENCONTRADO"),"")</f>
        <v>SUBASTAS CORUÑA S.L.</v>
      </c>
      <c r="F1481" s="88" t="str">
        <f aca="false">IF(D1481&lt;&gt;"",IFERROR(VLOOKUP(D1481,PROVEEDORES!$A:$C,3,0),""),"")</f>
        <v>S</v>
      </c>
      <c r="G1481" s="87" t="s">
        <v>179</v>
      </c>
      <c r="H1481" s="46" t="str">
        <f aca="false">IF(G1481&lt;&gt;"",IFERROR(VLOOKUP(G1481,PRODUCTOS!$A:$B,2,0),"!COD NO ENCONTRADO"),"")</f>
        <v>LIRIO/ BACALADILLA/ PERLA (WHB)</v>
      </c>
      <c r="I1481" s="89" t="n">
        <v>30</v>
      </c>
      <c r="J1481" s="121" t="n">
        <v>440</v>
      </c>
      <c r="K1481" s="141" t="n">
        <v>1.5</v>
      </c>
      <c r="L1481" s="80" t="n">
        <f aca="false">IF(AND(J1481&lt;&gt;"",K1481&lt;&gt;""),J1481*K1481,"")</f>
        <v>660</v>
      </c>
      <c r="M1481" s="81" t="n">
        <f aca="false">IF(L1481&lt;&gt;"",L1481*1.1,"")</f>
        <v>726</v>
      </c>
      <c r="N1481" s="47" t="n">
        <f aca="false">IF(F1481="S",L1481*0.02,0)</f>
        <v>13.2</v>
      </c>
      <c r="O1481" s="82" t="n">
        <f aca="false">IF(L1481&lt;&gt;"",L1481+N1481,"")</f>
        <v>673.2</v>
      </c>
      <c r="P1481" s="47" t="n">
        <f aca="false">IF(O1481&lt;&gt;"",O1481*0.1,"")</f>
        <v>67.32</v>
      </c>
      <c r="Q1481" s="83" t="n">
        <f aca="false">IF(O1481&lt;&gt;"",O1481+P1481,"")</f>
        <v>740.52</v>
      </c>
      <c r="R1481" s="84" t="s">
        <v>365</v>
      </c>
    </row>
    <row r="1482" customFormat="false" ht="15" hidden="false" customHeight="true" outlineLevel="0" collapsed="false">
      <c r="A1482" s="103" t="n">
        <v>56277</v>
      </c>
      <c r="B1482" s="73" t="n">
        <v>46251</v>
      </c>
      <c r="C1482" s="74" t="s">
        <v>660</v>
      </c>
      <c r="D1482" s="75" t="n">
        <v>50001</v>
      </c>
      <c r="E1482" s="52" t="str">
        <f aca="false">IF(D1482&lt;&gt;"",IFERROR(VLOOKUP(D1482,PROVEEDORES!$A:$B,2,0),"!COD NO ENCONTRADO"),"")</f>
        <v>COPESA</v>
      </c>
      <c r="F1482" s="76" t="str">
        <f aca="false">IF(D1482&lt;&gt;"",IFERROR(VLOOKUP(D1482,PROVEEDORES!$A:$C,3,0),""),"")</f>
        <v>S</v>
      </c>
      <c r="G1482" s="75" t="s">
        <v>292</v>
      </c>
      <c r="H1482" s="52" t="str">
        <f aca="false">IF(G1482&lt;&gt;"",IFERROR(VLOOKUP(G1482,PRODUCTOS!$A:$B,2,0),"!COD NO ENCONTRADO"),"")</f>
        <v>RAPE BLANCO RASCO (MON)</v>
      </c>
      <c r="I1482" s="77" t="n">
        <v>3</v>
      </c>
      <c r="J1482" s="105" t="n">
        <v>177.5</v>
      </c>
      <c r="K1482" s="79" t="n">
        <v>7.3</v>
      </c>
      <c r="L1482" s="80" t="n">
        <f aca="false">IF(AND(J1482&lt;&gt;"",K1482&lt;&gt;""),J1482*K1482,"")</f>
        <v>1295.75</v>
      </c>
      <c r="M1482" s="81" t="n">
        <f aca="false">IF(L1482&lt;&gt;"",L1482*1.1,"")</f>
        <v>1425.325</v>
      </c>
      <c r="N1482" s="53" t="n">
        <f aca="false">IF(F1482="S",L1482*0.02,0)</f>
        <v>25.915</v>
      </c>
      <c r="O1482" s="82" t="n">
        <f aca="false">IF(L1482&lt;&gt;"",L1482+N1482,"")</f>
        <v>1321.665</v>
      </c>
      <c r="P1482" s="53" t="n">
        <f aca="false">IF(O1482&lt;&gt;"",O1482*0.1,"")</f>
        <v>132.1665</v>
      </c>
      <c r="Q1482" s="83" t="n">
        <f aca="false">IF(O1482&lt;&gt;"",O1482+P1482,"")</f>
        <v>1453.8315</v>
      </c>
      <c r="R1482" s="84" t="s">
        <v>365</v>
      </c>
    </row>
    <row r="1483" customFormat="false" ht="15" hidden="false" customHeight="true" outlineLevel="0" collapsed="false">
      <c r="A1483" s="103" t="n">
        <v>56277</v>
      </c>
      <c r="B1483" s="73" t="n">
        <v>46251</v>
      </c>
      <c r="C1483" s="74" t="s">
        <v>660</v>
      </c>
      <c r="D1483" s="75" t="n">
        <v>50001</v>
      </c>
      <c r="E1483" s="52" t="str">
        <f aca="false">IF(D1483&lt;&gt;"",IFERROR(VLOOKUP(D1483,PROVEEDORES!$A:$B,2,0),"!COD NO ENCONTRADO"),"")</f>
        <v>COPESA</v>
      </c>
      <c r="F1483" s="76" t="str">
        <f aca="false">IF(D1483&lt;&gt;"",IFERROR(VLOOKUP(D1483,PROVEEDORES!$A:$C,3,0),""),"")</f>
        <v>S</v>
      </c>
      <c r="G1483" s="75" t="s">
        <v>292</v>
      </c>
      <c r="H1483" s="46" t="str">
        <f aca="false">IF(G1483&lt;&gt;"",IFERROR(VLOOKUP(G1483,PRODUCTOS!$A:$B,2,0),"!COD NO ENCONTRADO"),"")</f>
        <v>RAPE BLANCO RASCO (MON)</v>
      </c>
      <c r="I1483" s="89" t="n">
        <v>4</v>
      </c>
      <c r="J1483" s="90" t="n">
        <v>187.75</v>
      </c>
      <c r="K1483" s="91" t="n">
        <v>6.2</v>
      </c>
      <c r="L1483" s="80" t="n">
        <f aca="false">IF(AND(J1483&lt;&gt;"",K1483&lt;&gt;""),J1483*K1483,"")</f>
        <v>1164.05</v>
      </c>
      <c r="M1483" s="81" t="n">
        <f aca="false">IF(L1483&lt;&gt;"",L1483*1.1,"")</f>
        <v>1280.455</v>
      </c>
      <c r="N1483" s="47" t="n">
        <f aca="false">IF(F1483="S",L1483*0.02,0)</f>
        <v>23.281</v>
      </c>
      <c r="O1483" s="82" t="n">
        <f aca="false">IF(L1483&lt;&gt;"",L1483+N1483,"")</f>
        <v>1187.331</v>
      </c>
      <c r="P1483" s="47" t="n">
        <f aca="false">IF(O1483&lt;&gt;"",O1483*0.1,"")</f>
        <v>118.7331</v>
      </c>
      <c r="Q1483" s="83" t="n">
        <f aca="false">IF(O1483&lt;&gt;"",O1483+P1483,"")</f>
        <v>1306.0641</v>
      </c>
      <c r="R1483" s="84" t="s">
        <v>365</v>
      </c>
    </row>
    <row r="1484" customFormat="false" ht="15" hidden="false" customHeight="true" outlineLevel="0" collapsed="false">
      <c r="A1484" s="103" t="n">
        <v>56277</v>
      </c>
      <c r="B1484" s="73" t="n">
        <v>46251</v>
      </c>
      <c r="C1484" s="74" t="s">
        <v>660</v>
      </c>
      <c r="D1484" s="75" t="n">
        <v>50001</v>
      </c>
      <c r="E1484" s="52" t="str">
        <f aca="false">IF(D1484&lt;&gt;"",IFERROR(VLOOKUP(D1484,PROVEEDORES!$A:$B,2,0),"!COD NO ENCONTRADO"),"")</f>
        <v>COPESA</v>
      </c>
      <c r="F1484" s="76" t="str">
        <f aca="false">IF(D1484&lt;&gt;"",IFERROR(VLOOKUP(D1484,PROVEEDORES!$A:$C,3,0),""),"")</f>
        <v>S</v>
      </c>
      <c r="G1484" s="75" t="s">
        <v>292</v>
      </c>
      <c r="H1484" s="52" t="str">
        <f aca="false">IF(G1484&lt;&gt;"",IFERROR(VLOOKUP(G1484,PRODUCTOS!$A:$B,2,0),"!COD NO ENCONTRADO"),"")</f>
        <v>RAPE BLANCO RASCO (MON)</v>
      </c>
      <c r="I1484" s="77" t="n">
        <v>2</v>
      </c>
      <c r="J1484" s="78" t="n">
        <v>126</v>
      </c>
      <c r="K1484" s="79" t="n">
        <v>6.4</v>
      </c>
      <c r="L1484" s="80" t="n">
        <f aca="false">IF(AND(J1484&lt;&gt;"",K1484&lt;&gt;""),J1484*K1484,"")</f>
        <v>806.4</v>
      </c>
      <c r="M1484" s="81" t="n">
        <f aca="false">IF(L1484&lt;&gt;"",L1484*1.1,"")</f>
        <v>887.04</v>
      </c>
      <c r="N1484" s="53" t="n">
        <f aca="false">IF(F1484="S",L1484*0.02,0)</f>
        <v>16.128</v>
      </c>
      <c r="O1484" s="82" t="n">
        <f aca="false">IF(L1484&lt;&gt;"",L1484+N1484,"")</f>
        <v>822.528</v>
      </c>
      <c r="P1484" s="53" t="n">
        <f aca="false">IF(O1484&lt;&gt;"",O1484*0.1,"")</f>
        <v>82.2528</v>
      </c>
      <c r="Q1484" s="83" t="n">
        <f aca="false">IF(O1484&lt;&gt;"",O1484+P1484,"")</f>
        <v>904.7808</v>
      </c>
      <c r="R1484" s="84" t="s">
        <v>365</v>
      </c>
    </row>
    <row r="1485" customFormat="false" ht="15" hidden="false" customHeight="true" outlineLevel="0" collapsed="false">
      <c r="A1485" s="103" t="n">
        <v>56277</v>
      </c>
      <c r="B1485" s="73" t="n">
        <v>46251</v>
      </c>
      <c r="C1485" s="74" t="s">
        <v>660</v>
      </c>
      <c r="D1485" s="75" t="n">
        <v>50001</v>
      </c>
      <c r="E1485" s="52" t="str">
        <f aca="false">IF(D1485&lt;&gt;"",IFERROR(VLOOKUP(D1485,PROVEEDORES!$A:$B,2,0),"!COD NO ENCONTRADO"),"")</f>
        <v>COPESA</v>
      </c>
      <c r="F1485" s="76" t="str">
        <f aca="false">IF(D1485&lt;&gt;"",IFERROR(VLOOKUP(D1485,PROVEEDORES!$A:$C,3,0),""),"")</f>
        <v>S</v>
      </c>
      <c r="G1485" s="75" t="s">
        <v>292</v>
      </c>
      <c r="H1485" s="46" t="str">
        <f aca="false">IF(G1485&lt;&gt;"",IFERROR(VLOOKUP(G1485,PRODUCTOS!$A:$B,2,0),"!COD NO ENCONTRADO"),"")</f>
        <v>RAPE BLANCO RASCO (MON)</v>
      </c>
      <c r="I1485" s="89" t="n">
        <v>3</v>
      </c>
      <c r="J1485" s="90" t="n">
        <v>175.5</v>
      </c>
      <c r="K1485" s="91" t="n">
        <v>6.6</v>
      </c>
      <c r="L1485" s="80" t="n">
        <f aca="false">IF(AND(J1485&lt;&gt;"",K1485&lt;&gt;""),J1485*K1485,"")</f>
        <v>1158.3</v>
      </c>
      <c r="M1485" s="81" t="n">
        <f aca="false">IF(L1485&lt;&gt;"",L1485*1.1,"")</f>
        <v>1274.13</v>
      </c>
      <c r="N1485" s="47" t="n">
        <f aca="false">IF(F1485="S",L1485*0.02,0)</f>
        <v>23.166</v>
      </c>
      <c r="O1485" s="82" t="n">
        <f aca="false">IF(L1485&lt;&gt;"",L1485+N1485,"")</f>
        <v>1181.466</v>
      </c>
      <c r="P1485" s="47" t="n">
        <f aca="false">IF(O1485&lt;&gt;"",O1485*0.1,"")</f>
        <v>118.1466</v>
      </c>
      <c r="Q1485" s="83" t="n">
        <f aca="false">IF(O1485&lt;&gt;"",O1485+P1485,"")</f>
        <v>1299.6126</v>
      </c>
      <c r="R1485" s="84" t="s">
        <v>365</v>
      </c>
    </row>
    <row r="1486" customFormat="false" ht="15" hidden="false" customHeight="true" outlineLevel="0" collapsed="false">
      <c r="A1486" s="103" t="n">
        <v>56277</v>
      </c>
      <c r="B1486" s="73" t="n">
        <v>46251</v>
      </c>
      <c r="C1486" s="74" t="s">
        <v>660</v>
      </c>
      <c r="D1486" s="75" t="n">
        <v>50001</v>
      </c>
      <c r="E1486" s="52" t="str">
        <f aca="false">IF(D1486&lt;&gt;"",IFERROR(VLOOKUP(D1486,PROVEEDORES!$A:$B,2,0),"!COD NO ENCONTRADO"),"")</f>
        <v>COPESA</v>
      </c>
      <c r="F1486" s="76" t="str">
        <f aca="false">IF(D1486&lt;&gt;"",IFERROR(VLOOKUP(D1486,PROVEEDORES!$A:$C,3,0),""),"")</f>
        <v>S</v>
      </c>
      <c r="G1486" s="75" t="s">
        <v>292</v>
      </c>
      <c r="H1486" s="52" t="str">
        <f aca="false">IF(G1486&lt;&gt;"",IFERROR(VLOOKUP(G1486,PRODUCTOS!$A:$B,2,0),"!COD NO ENCONTRADO"),"")</f>
        <v>RAPE BLANCO RASCO (MON)</v>
      </c>
      <c r="I1486" s="77" t="n">
        <v>2</v>
      </c>
      <c r="J1486" s="78" t="n">
        <v>113.75</v>
      </c>
      <c r="K1486" s="79" t="n">
        <v>7.1</v>
      </c>
      <c r="L1486" s="80" t="n">
        <f aca="false">IF(AND(J1486&lt;&gt;"",K1486&lt;&gt;""),J1486*K1486,"")</f>
        <v>807.625</v>
      </c>
      <c r="M1486" s="81" t="n">
        <f aca="false">IF(L1486&lt;&gt;"",L1486*1.1,"")</f>
        <v>888.3875</v>
      </c>
      <c r="N1486" s="53" t="n">
        <f aca="false">IF(F1486="S",L1486*0.02,0)</f>
        <v>16.1525</v>
      </c>
      <c r="O1486" s="82" t="n">
        <f aca="false">IF(L1486&lt;&gt;"",L1486+N1486,"")</f>
        <v>823.7775</v>
      </c>
      <c r="P1486" s="53" t="n">
        <f aca="false">IF(O1486&lt;&gt;"",O1486*0.1,"")</f>
        <v>82.37775</v>
      </c>
      <c r="Q1486" s="83" t="n">
        <f aca="false">IF(O1486&lt;&gt;"",O1486+P1486,"")</f>
        <v>906.15525</v>
      </c>
      <c r="R1486" s="84" t="s">
        <v>365</v>
      </c>
    </row>
    <row r="1487" customFormat="false" ht="15" hidden="false" customHeight="true" outlineLevel="0" collapsed="false">
      <c r="A1487" s="103" t="n">
        <v>56278</v>
      </c>
      <c r="B1487" s="73" t="n">
        <v>46251</v>
      </c>
      <c r="C1487" s="86" t="s">
        <v>661</v>
      </c>
      <c r="D1487" s="87" t="n">
        <v>50010</v>
      </c>
      <c r="E1487" s="46" t="str">
        <f aca="false">IF(D1487&lt;&gt;"",IFERROR(VLOOKUP(D1487,PROVEEDORES!$A:$B,2,0),"!COD NO ENCONTRADO"),"")</f>
        <v>PERFECTO MONTERO</v>
      </c>
      <c r="F1487" s="88" t="str">
        <f aca="false">IF(D1487&lt;&gt;"",IFERROR(VLOOKUP(D1487,PROVEEDORES!$A:$C,3,0),""),"")</f>
        <v>S</v>
      </c>
      <c r="G1487" s="87" t="s">
        <v>91</v>
      </c>
      <c r="H1487" s="46" t="str">
        <f aca="false">IF(G1487&lt;&gt;"",IFERROR(VLOOKUP(G1487,PRODUCTOS!$A:$B,2,0),"!COD NO ENCONTRADO"),"")</f>
        <v>BONITO DEL NORTE 5/7</v>
      </c>
      <c r="I1487" s="89" t="n">
        <v>2</v>
      </c>
      <c r="J1487" s="90" t="n">
        <v>94.5</v>
      </c>
      <c r="K1487" s="91" t="n">
        <v>4.2</v>
      </c>
      <c r="L1487" s="80" t="n">
        <f aca="false">IF(AND(J1487&lt;&gt;"",K1487&lt;&gt;""),J1487*K1487,"")</f>
        <v>396.9</v>
      </c>
      <c r="M1487" s="81" t="n">
        <f aca="false">IF(L1487&lt;&gt;"",L1487*1.1,"")</f>
        <v>436.59</v>
      </c>
      <c r="N1487" s="47" t="n">
        <f aca="false">IF(F1487="S",L1487*0.02,0)</f>
        <v>7.938</v>
      </c>
      <c r="O1487" s="82" t="n">
        <f aca="false">IF(L1487&lt;&gt;"",L1487+N1487,"")</f>
        <v>404.838</v>
      </c>
      <c r="P1487" s="47" t="n">
        <f aca="false">IF(O1487&lt;&gt;"",O1487*0.1,"")</f>
        <v>40.4838</v>
      </c>
      <c r="Q1487" s="83" t="n">
        <f aca="false">IF(O1487&lt;&gt;"",O1487+P1487,"")</f>
        <v>445.3218</v>
      </c>
      <c r="R1487" s="84" t="s">
        <v>365</v>
      </c>
    </row>
    <row r="1488" customFormat="false" ht="15" hidden="false" customHeight="true" outlineLevel="0" collapsed="false">
      <c r="A1488" s="103" t="n">
        <v>56278</v>
      </c>
      <c r="B1488" s="73" t="n">
        <v>46251</v>
      </c>
      <c r="C1488" s="74" t="s">
        <v>661</v>
      </c>
      <c r="D1488" s="75" t="n">
        <v>50010</v>
      </c>
      <c r="E1488" s="52" t="str">
        <f aca="false">IF(D1488&lt;&gt;"",IFERROR(VLOOKUP(D1488,PROVEEDORES!$A:$B,2,0),"!COD NO ENCONTRADO"),"")</f>
        <v>PERFECTO MONTERO</v>
      </c>
      <c r="F1488" s="76" t="str">
        <f aca="false">IF(D1488&lt;&gt;"",IFERROR(VLOOKUP(D1488,PROVEEDORES!$A:$C,3,0),""),"")</f>
        <v>S</v>
      </c>
      <c r="G1488" s="75" t="s">
        <v>452</v>
      </c>
      <c r="H1488" s="52" t="str">
        <f aca="false">IF(G1488&lt;&gt;"",IFERROR(VLOOKUP(G1488,PRODUCTOS!$A:$B,2,0),"!COD NO ENCONTRADO"),"")</f>
        <v>BONITO DEL NORTE  +10 (ALB)</v>
      </c>
      <c r="I1488" s="77" t="n">
        <v>2</v>
      </c>
      <c r="J1488" s="78" t="n">
        <v>61.75</v>
      </c>
      <c r="K1488" s="79" t="n">
        <v>4.65</v>
      </c>
      <c r="L1488" s="80" t="n">
        <f aca="false">IF(AND(J1488&lt;&gt;"",K1488&lt;&gt;""),J1488*K1488,"")</f>
        <v>287.1375</v>
      </c>
      <c r="M1488" s="81" t="n">
        <f aca="false">IF(L1488&lt;&gt;"",L1488*1.1,"")</f>
        <v>315.85125</v>
      </c>
      <c r="N1488" s="53" t="n">
        <f aca="false">IF(F1488="S",L1488*0.02,0)</f>
        <v>5.74275</v>
      </c>
      <c r="O1488" s="82" t="n">
        <f aca="false">IF(L1488&lt;&gt;"",L1488+N1488,"")</f>
        <v>292.88025</v>
      </c>
      <c r="P1488" s="53" t="n">
        <f aca="false">IF(O1488&lt;&gt;"",O1488*0.1,"")</f>
        <v>29.288025</v>
      </c>
      <c r="Q1488" s="83" t="n">
        <f aca="false">IF(O1488&lt;&gt;"",O1488+P1488,"")</f>
        <v>322.168275</v>
      </c>
      <c r="R1488" s="84" t="s">
        <v>365</v>
      </c>
    </row>
    <row r="1489" customFormat="false" ht="15" hidden="false" customHeight="true" outlineLevel="0" collapsed="false">
      <c r="A1489" s="103" t="n">
        <v>56279</v>
      </c>
      <c r="B1489" s="73" t="n">
        <v>46251</v>
      </c>
      <c r="C1489" s="86" t="s">
        <v>662</v>
      </c>
      <c r="D1489" s="87" t="n">
        <v>50035</v>
      </c>
      <c r="E1489" s="46" t="str">
        <f aca="false">IF(D1489&lt;&gt;"",IFERROR(VLOOKUP(D1489,PROVEEDORES!$A:$B,2,0),"!COD NO ENCONTRADO"),"")</f>
        <v>SCANFISK SEAFFOD S,L</v>
      </c>
      <c r="F1489" s="88" t="str">
        <f aca="false">IF(D1489&lt;&gt;"",IFERROR(VLOOKUP(D1489,PROVEEDORES!$A:$C,3,0),""),"")</f>
        <v>N</v>
      </c>
      <c r="G1489" s="87" t="s">
        <v>246</v>
      </c>
      <c r="H1489" s="46" t="str">
        <f aca="false">IF(G1489&lt;&gt;"",IFERROR(VLOOKUP(G1489,PRODUCTOS!$A:$B,2,0),"!COD NO ENCONTRADO"),"")</f>
        <v>MERLUZA EUROPEA VOLANTA ALTURA</v>
      </c>
      <c r="I1489" s="89" t="n">
        <v>6</v>
      </c>
      <c r="J1489" s="90" t="n">
        <v>84.2</v>
      </c>
      <c r="K1489" s="91" t="n">
        <v>10</v>
      </c>
      <c r="L1489" s="80" t="n">
        <f aca="false">IF(AND(J1489&lt;&gt;"",K1489&lt;&gt;""),J1489*K1489,"")</f>
        <v>842</v>
      </c>
      <c r="M1489" s="81" t="n">
        <f aca="false">IF(L1489&lt;&gt;"",L1489*1.1,"")</f>
        <v>926.2</v>
      </c>
      <c r="N1489" s="47" t="n">
        <f aca="false">IF(F1489="S",L1489*0.02,0)</f>
        <v>0</v>
      </c>
      <c r="O1489" s="82" t="n">
        <f aca="false">IF(L1489&lt;&gt;"",L1489+N1489,"")</f>
        <v>842</v>
      </c>
      <c r="P1489" s="47" t="n">
        <f aca="false">IF(O1489&lt;&gt;"",O1489*0.1,"")</f>
        <v>84.2</v>
      </c>
      <c r="Q1489" s="83" t="n">
        <f aca="false">IF(O1489&lt;&gt;"",O1489+P1489,"")</f>
        <v>926.2</v>
      </c>
      <c r="R1489" s="84" t="s">
        <v>365</v>
      </c>
    </row>
    <row r="1490" customFormat="false" ht="15" hidden="false" customHeight="true" outlineLevel="0" collapsed="false">
      <c r="A1490" s="103" t="n">
        <v>56279</v>
      </c>
      <c r="B1490" s="85" t="n">
        <v>46251</v>
      </c>
      <c r="C1490" s="86" t="s">
        <v>663</v>
      </c>
      <c r="D1490" s="87" t="n">
        <v>50035</v>
      </c>
      <c r="E1490" s="46" t="str">
        <f aca="false">IF(D1490&lt;&gt;"",IFERROR(VLOOKUP(D1490,PROVEEDORES!$A:$B,2,0),"!COD NO ENCONTRADO"),"")</f>
        <v>SCANFISK SEAFFOD S,L</v>
      </c>
      <c r="F1490" s="88" t="str">
        <f aca="false">IF(D1490&lt;&gt;"",IFERROR(VLOOKUP(D1490,PROVEEDORES!$A:$C,3,0),""),"")</f>
        <v>N</v>
      </c>
      <c r="G1490" s="87" t="s">
        <v>367</v>
      </c>
      <c r="H1490" s="46" t="str">
        <f aca="false">IF(G1490&lt;&gt;"",IFERROR(VLOOKUP(G1490,PRODUCTOS!$A:$B,2,0),"!COD NO ENCONTRADO"),"")</f>
        <v>MERLUZA BAKA DIA</v>
      </c>
      <c r="I1490" s="89" t="n">
        <v>12</v>
      </c>
      <c r="J1490" s="90" t="n">
        <v>74.9</v>
      </c>
      <c r="K1490" s="91" t="n">
        <v>3.4</v>
      </c>
      <c r="L1490" s="80" t="n">
        <f aca="false">IF(AND(J1490&lt;&gt;"",K1490&lt;&gt;""),J1490*K1490,"")</f>
        <v>254.66</v>
      </c>
      <c r="M1490" s="81" t="n">
        <f aca="false">IF(L1490&lt;&gt;"",L1490*1.1,"")</f>
        <v>280.126</v>
      </c>
      <c r="N1490" s="47" t="n">
        <f aca="false">IF(F1490="S",L1490*0.02,0)</f>
        <v>0</v>
      </c>
      <c r="O1490" s="82" t="n">
        <f aca="false">IF(L1490&lt;&gt;"",L1490+N1490,"")</f>
        <v>254.66</v>
      </c>
      <c r="P1490" s="47" t="n">
        <f aca="false">IF(O1490&lt;&gt;"",O1490*0.1,"")</f>
        <v>25.466</v>
      </c>
      <c r="Q1490" s="83" t="n">
        <f aca="false">IF(O1490&lt;&gt;"",O1490+P1490,"")</f>
        <v>280.126</v>
      </c>
      <c r="R1490" s="84" t="s">
        <v>365</v>
      </c>
    </row>
    <row r="1491" customFormat="false" ht="15" hidden="false" customHeight="true" outlineLevel="0" collapsed="false">
      <c r="A1491" s="103" t="n">
        <v>56280</v>
      </c>
      <c r="B1491" s="73" t="n">
        <v>46251</v>
      </c>
      <c r="C1491" s="74" t="s">
        <v>664</v>
      </c>
      <c r="D1491" s="75" t="n">
        <v>50164</v>
      </c>
      <c r="E1491" s="52" t="str">
        <f aca="false">IF(D1491&lt;&gt;"",IFERROR(VLOOKUP(D1491,PROVEEDORES!$A:$B,2,0),"!COD NO ENCONTRADO"),"")</f>
        <v>ABRGO NORTE S.L.</v>
      </c>
      <c r="F1491" s="76" t="str">
        <f aca="false">IF(D1491&lt;&gt;"",IFERROR(VLOOKUP(D1491,PROVEEDORES!$A:$C,3,0),""),"")</f>
        <v>N</v>
      </c>
      <c r="G1491" s="75" t="s">
        <v>302</v>
      </c>
      <c r="H1491" s="52" t="str">
        <f aca="false">IF(G1491&lt;&gt;"",IFERROR(VLOOKUP(G1491,PRODUCTOS!$A:$B,2,0),"!COD NO ENCONTRADO"),"")</f>
        <v>RAYA COMUN (ALAS)</v>
      </c>
      <c r="I1491" s="77" t="n">
        <v>1</v>
      </c>
      <c r="J1491" s="78" t="n">
        <v>5</v>
      </c>
      <c r="K1491" s="79" t="n">
        <v>8.2</v>
      </c>
      <c r="L1491" s="80" t="n">
        <f aca="false">IF(AND(J1491&lt;&gt;"",K1491&lt;&gt;""),J1491*K1491,"")</f>
        <v>41</v>
      </c>
      <c r="M1491" s="81" t="n">
        <f aca="false">IF(L1491&lt;&gt;"",L1491*1.1,"")</f>
        <v>45.1</v>
      </c>
      <c r="N1491" s="53" t="n">
        <f aca="false">IF(F1491="S",L1491*0.02,0)</f>
        <v>0</v>
      </c>
      <c r="O1491" s="82" t="n">
        <f aca="false">IF(L1491&lt;&gt;"",L1491+N1491,"")</f>
        <v>41</v>
      </c>
      <c r="P1491" s="53" t="n">
        <f aca="false">IF(O1491&lt;&gt;"",O1491*0.1,"")</f>
        <v>4.1</v>
      </c>
      <c r="Q1491" s="83" t="n">
        <f aca="false">IF(O1491&lt;&gt;"",O1491+P1491,"")</f>
        <v>45.1</v>
      </c>
      <c r="R1491" s="84" t="s">
        <v>365</v>
      </c>
    </row>
    <row r="1492" customFormat="false" ht="15" hidden="false" customHeight="true" outlineLevel="0" collapsed="false">
      <c r="A1492" s="103" t="n">
        <v>56281</v>
      </c>
      <c r="B1492" s="73" t="n">
        <v>46251</v>
      </c>
      <c r="C1492" s="86" t="s">
        <v>665</v>
      </c>
      <c r="D1492" s="87" t="n">
        <v>50048</v>
      </c>
      <c r="E1492" s="46" t="str">
        <f aca="false">IF(D1492&lt;&gt;"",IFERROR(VLOOKUP(D1492,PROVEEDORES!$A:$B,2,0),"!COD NO ENCONTRADO"),"")</f>
        <v>JOSE LUIS CORREA KESSLER S.L.</v>
      </c>
      <c r="F1492" s="88" t="str">
        <f aca="false">IF(D1492&lt;&gt;"",IFERROR(VLOOKUP(D1492,PROVEEDORES!$A:$C,3,0),""),"")</f>
        <v>N</v>
      </c>
      <c r="G1492" s="87" t="s">
        <v>179</v>
      </c>
      <c r="H1492" s="46" t="str">
        <f aca="false">IF(G1492&lt;&gt;"",IFERROR(VLOOKUP(G1492,PRODUCTOS!$A:$B,2,0),"!COD NO ENCONTRADO"),"")</f>
        <v>LIRIO/ BACALADILLA/ PERLA (WHB)</v>
      </c>
      <c r="I1492" s="89" t="n">
        <v>3</v>
      </c>
      <c r="J1492" s="90" t="n">
        <v>18</v>
      </c>
      <c r="K1492" s="125" t="n">
        <v>2.2</v>
      </c>
      <c r="L1492" s="80" t="n">
        <f aca="false">IF(AND(J1492&lt;&gt;"",K1492&lt;&gt;""),J1492*K1492,"")</f>
        <v>39.6</v>
      </c>
      <c r="M1492" s="81" t="n">
        <f aca="false">IF(L1492&lt;&gt;"",L1492*1.1,"")</f>
        <v>43.56</v>
      </c>
      <c r="N1492" s="47" t="n">
        <f aca="false">IF(F1492="S",L1492*0.02,0)</f>
        <v>0</v>
      </c>
      <c r="O1492" s="82" t="n">
        <f aca="false">IF(L1492&lt;&gt;"",L1492+N1492,"")</f>
        <v>39.6</v>
      </c>
      <c r="P1492" s="47" t="n">
        <f aca="false">IF(O1492&lt;&gt;"",O1492*0.1,"")</f>
        <v>3.96</v>
      </c>
      <c r="Q1492" s="83" t="n">
        <f aca="false">IF(O1492&lt;&gt;"",O1492+P1492,"")</f>
        <v>43.56</v>
      </c>
      <c r="R1492" s="84" t="s">
        <v>358</v>
      </c>
    </row>
    <row r="1493" customFormat="false" ht="15" hidden="false" customHeight="true" outlineLevel="0" collapsed="false">
      <c r="A1493" s="103" t="n">
        <v>56281</v>
      </c>
      <c r="B1493" s="73" t="n">
        <v>46251</v>
      </c>
      <c r="C1493" s="74" t="s">
        <v>666</v>
      </c>
      <c r="D1493" s="75" t="n">
        <v>50048</v>
      </c>
      <c r="E1493" s="52" t="str">
        <f aca="false">IF(D1493&lt;&gt;"",IFERROR(VLOOKUP(D1493,PROVEEDORES!$A:$B,2,0),"!COD NO ENCONTRADO"),"")</f>
        <v>JOSE LUIS CORREA KESSLER S.L.</v>
      </c>
      <c r="F1493" s="76" t="str">
        <f aca="false">IF(D1493&lt;&gt;"",IFERROR(VLOOKUP(D1493,PROVEEDORES!$A:$C,3,0),""),"")</f>
        <v>N</v>
      </c>
      <c r="G1493" s="75" t="s">
        <v>179</v>
      </c>
      <c r="H1493" s="52" t="str">
        <f aca="false">IF(G1493&lt;&gt;"",IFERROR(VLOOKUP(G1493,PRODUCTOS!$A:$B,2,0),"!COD NO ENCONTRADO"),"")</f>
        <v>LIRIO/ BACALADILLA/ PERLA (WHB)</v>
      </c>
      <c r="I1493" s="77" t="n">
        <v>4</v>
      </c>
      <c r="J1493" s="78" t="n">
        <v>24</v>
      </c>
      <c r="K1493" s="125" t="n">
        <v>2.2</v>
      </c>
      <c r="L1493" s="80" t="n">
        <f aca="false">IF(AND(J1493&lt;&gt;"",K1493&lt;&gt;""),J1493*K1493,"")</f>
        <v>52.8</v>
      </c>
      <c r="M1493" s="81" t="n">
        <f aca="false">IF(L1493&lt;&gt;"",L1493*1.1,"")</f>
        <v>58.08</v>
      </c>
      <c r="N1493" s="53" t="n">
        <f aca="false">IF(F1493="S",L1493*0.02,0)</f>
        <v>0</v>
      </c>
      <c r="O1493" s="82" t="n">
        <f aca="false">IF(L1493&lt;&gt;"",L1493+N1493,"")</f>
        <v>52.8</v>
      </c>
      <c r="P1493" s="53" t="n">
        <f aca="false">IF(O1493&lt;&gt;"",O1493*0.1,"")</f>
        <v>5.28</v>
      </c>
      <c r="Q1493" s="83" t="n">
        <f aca="false">IF(O1493&lt;&gt;"",O1493+P1493,"")</f>
        <v>58.08</v>
      </c>
      <c r="R1493" s="84" t="s">
        <v>358</v>
      </c>
    </row>
    <row r="1494" customFormat="false" ht="15" hidden="false" customHeight="true" outlineLevel="0" collapsed="false">
      <c r="A1494" s="103" t="n">
        <v>56282</v>
      </c>
      <c r="B1494" s="73" t="n">
        <v>46252</v>
      </c>
      <c r="C1494" s="74" t="s">
        <v>667</v>
      </c>
      <c r="D1494" s="75" t="n">
        <v>50232</v>
      </c>
      <c r="E1494" s="52" t="str">
        <f aca="false">IF(D1494&lt;&gt;"",IFERROR(VLOOKUP(D1494,PROVEEDORES!$A:$B,2,0),"!COD NO ENCONTRADO"),"")</f>
        <v>XESTION NOVA LONXA RIVEIRA S.L.</v>
      </c>
      <c r="F1494" s="76" t="str">
        <f aca="false">IF(D1494&lt;&gt;"",IFERROR(VLOOKUP(D1494,PROVEEDORES!$A:$C,3,0),""),"")</f>
        <v>S</v>
      </c>
      <c r="G1494" s="75" t="s">
        <v>310</v>
      </c>
      <c r="H1494" s="52" t="str">
        <f aca="false">IF(G1494&lt;&gt;"",IFERROR(VLOOKUP(G1494,PRODUCTOS!$A:$B,2,0),"!COD NO ENCONTRADO"),"")</f>
        <v>SABOGA/ SALEMA/ SALMA (SLM)</v>
      </c>
      <c r="I1494" s="77" t="n">
        <v>1</v>
      </c>
      <c r="J1494" s="78" t="n">
        <v>5.4</v>
      </c>
      <c r="K1494" s="79" t="n">
        <v>0.8</v>
      </c>
      <c r="L1494" s="80" t="n">
        <f aca="false">IF(AND(J1494&lt;&gt;"",K1494&lt;&gt;""),J1494*K1494,"")</f>
        <v>4.32</v>
      </c>
      <c r="M1494" s="81" t="n">
        <f aca="false">IF(L1494&lt;&gt;"",L1494*1.1,"")</f>
        <v>4.752</v>
      </c>
      <c r="N1494" s="53" t="n">
        <f aca="false">IF(F1494="S",L1494*0.02,0)</f>
        <v>0.0864</v>
      </c>
      <c r="O1494" s="82" t="n">
        <f aca="false">IF(L1494&lt;&gt;"",L1494+N1494,"")</f>
        <v>4.4064</v>
      </c>
      <c r="P1494" s="53" t="n">
        <f aca="false">IF(O1494&lt;&gt;"",O1494*0.1,"")</f>
        <v>0.44064</v>
      </c>
      <c r="Q1494" s="83" t="n">
        <f aca="false">IF(O1494&lt;&gt;"",O1494+P1494,"")</f>
        <v>4.84704</v>
      </c>
      <c r="R1494" s="84" t="s">
        <v>365</v>
      </c>
    </row>
    <row r="1495" customFormat="false" ht="15" hidden="false" customHeight="true" outlineLevel="0" collapsed="false">
      <c r="A1495" s="103" t="n">
        <v>56282</v>
      </c>
      <c r="B1495" s="85" t="n">
        <v>46252</v>
      </c>
      <c r="C1495" s="86" t="s">
        <v>667</v>
      </c>
      <c r="D1495" s="87" t="n">
        <v>50232</v>
      </c>
      <c r="E1495" s="46" t="str">
        <f aca="false">IF(D1495&lt;&gt;"",IFERROR(VLOOKUP(D1495,PROVEEDORES!$A:$B,2,0),"!COD NO ENCONTRADO"),"")</f>
        <v>XESTION NOVA LONXA RIVEIRA S.L.</v>
      </c>
      <c r="F1495" s="88" t="str">
        <f aca="false">IF(D1495&lt;&gt;"",IFERROR(VLOOKUP(D1495,PROVEEDORES!$A:$C,3,0),""),"")</f>
        <v>S</v>
      </c>
      <c r="G1495" s="87" t="s">
        <v>179</v>
      </c>
      <c r="H1495" s="46" t="str">
        <f aca="false">IF(G1495&lt;&gt;"",IFERROR(VLOOKUP(G1495,PRODUCTOS!$A:$B,2,0),"!COD NO ENCONTRADO"),"")</f>
        <v>LIRIO/ BACALADILLA/ PERLA (WHB)</v>
      </c>
      <c r="I1495" s="89" t="n">
        <v>10</v>
      </c>
      <c r="J1495" s="90" t="n">
        <v>150</v>
      </c>
      <c r="K1495" s="91" t="n">
        <v>2</v>
      </c>
      <c r="L1495" s="80" t="n">
        <f aca="false">IF(AND(J1495&lt;&gt;"",K1495&lt;&gt;""),J1495*K1495,"")</f>
        <v>300</v>
      </c>
      <c r="M1495" s="81" t="n">
        <f aca="false">IF(L1495&lt;&gt;"",L1495*1.1,"")</f>
        <v>330</v>
      </c>
      <c r="N1495" s="47" t="n">
        <f aca="false">IF(F1495="S",L1495*0.02,0)</f>
        <v>6</v>
      </c>
      <c r="O1495" s="82" t="n">
        <f aca="false">IF(L1495&lt;&gt;"",L1495+N1495,"")</f>
        <v>306</v>
      </c>
      <c r="P1495" s="47" t="n">
        <f aca="false">IF(O1495&lt;&gt;"",O1495*0.1,"")</f>
        <v>30.6</v>
      </c>
      <c r="Q1495" s="83" t="n">
        <f aca="false">IF(O1495&lt;&gt;"",O1495+P1495,"")</f>
        <v>336.6</v>
      </c>
      <c r="R1495" s="84" t="s">
        <v>365</v>
      </c>
    </row>
    <row r="1496" customFormat="false" ht="15" hidden="false" customHeight="true" outlineLevel="0" collapsed="false">
      <c r="A1496" s="103" t="n">
        <v>56283</v>
      </c>
      <c r="B1496" s="73" t="n">
        <v>46252</v>
      </c>
      <c r="C1496" s="74" t="s">
        <v>668</v>
      </c>
      <c r="D1496" s="75" t="n">
        <v>50160</v>
      </c>
      <c r="E1496" s="52" t="str">
        <f aca="false">IF(D1496&lt;&gt;"",IFERROR(VLOOKUP(D1496,PROVEEDORES!$A:$B,2,0),"!COD NO ENCONTRADO"),"")</f>
        <v>SUBASTAS CORUÑA S.L.</v>
      </c>
      <c r="F1496" s="76" t="str">
        <f aca="false">IF(D1496&lt;&gt;"",IFERROR(VLOOKUP(D1496,PROVEEDORES!$A:$C,3,0),""),"")</f>
        <v>S</v>
      </c>
      <c r="G1496" s="75" t="s">
        <v>179</v>
      </c>
      <c r="H1496" s="52" t="str">
        <f aca="false">IF(G1496&lt;&gt;"",IFERROR(VLOOKUP(G1496,PRODUCTOS!$A:$B,2,0),"!COD NO ENCONTRADO"),"")</f>
        <v>LIRIO/ BACALADILLA/ PERLA (WHB)</v>
      </c>
      <c r="I1496" s="77" t="n">
        <v>15</v>
      </c>
      <c r="J1496" s="121" t="n">
        <v>217.5</v>
      </c>
      <c r="K1496" s="79" t="n">
        <v>2</v>
      </c>
      <c r="L1496" s="80" t="n">
        <f aca="false">IF(AND(J1496&lt;&gt;"",K1496&lt;&gt;""),J1496*K1496,"")</f>
        <v>435</v>
      </c>
      <c r="M1496" s="81" t="n">
        <f aca="false">IF(L1496&lt;&gt;"",L1496*1.1,"")</f>
        <v>478.5</v>
      </c>
      <c r="N1496" s="53" t="n">
        <f aca="false">IF(F1496="S",L1496*0.02,0)</f>
        <v>8.7</v>
      </c>
      <c r="O1496" s="82" t="n">
        <f aca="false">IF(L1496&lt;&gt;"",L1496+N1496,"")</f>
        <v>443.7</v>
      </c>
      <c r="P1496" s="53" t="n">
        <f aca="false">IF(O1496&lt;&gt;"",O1496*0.1,"")</f>
        <v>44.37</v>
      </c>
      <c r="Q1496" s="83" t="n">
        <f aca="false">IF(O1496&lt;&gt;"",O1496+P1496,"")</f>
        <v>488.07</v>
      </c>
      <c r="R1496" s="84" t="s">
        <v>358</v>
      </c>
    </row>
    <row r="1497" customFormat="false" ht="15" hidden="false" customHeight="true" outlineLevel="0" collapsed="false">
      <c r="A1497" s="103" t="n">
        <v>56284</v>
      </c>
      <c r="B1497" s="85" t="n">
        <v>46252</v>
      </c>
      <c r="C1497" s="86" t="s">
        <v>669</v>
      </c>
      <c r="D1497" s="87" t="n">
        <v>50001</v>
      </c>
      <c r="E1497" s="46" t="str">
        <f aca="false">IF(D1497&lt;&gt;"",IFERROR(VLOOKUP(D1497,PROVEEDORES!$A:$B,2,0),"!COD NO ENCONTRADO"),"")</f>
        <v>COPESA</v>
      </c>
      <c r="F1497" s="88" t="str">
        <f aca="false">IF(D1497&lt;&gt;"",IFERROR(VLOOKUP(D1497,PROVEEDORES!$A:$C,3,0),""),"")</f>
        <v>S</v>
      </c>
      <c r="G1497" s="87" t="s">
        <v>193</v>
      </c>
      <c r="H1497" s="46" t="str">
        <f aca="false">IF(G1497&lt;&gt;"",IFERROR(VLOOKUP(G1497,PRODUCTOS!$A:$B,2,0),"!COD NO ENCONTRADO"),"")</f>
        <v>MERLUZA EUROPEA ARRASTRE (HKE) </v>
      </c>
      <c r="I1497" s="89" t="n">
        <v>5</v>
      </c>
      <c r="J1497" s="90" t="n">
        <v>140.75</v>
      </c>
      <c r="K1497" s="91" t="n">
        <v>2.5</v>
      </c>
      <c r="L1497" s="80" t="n">
        <f aca="false">IF(AND(J1497&lt;&gt;"",K1497&lt;&gt;""),J1497*K1497,"")</f>
        <v>351.875</v>
      </c>
      <c r="M1497" s="81" t="n">
        <f aca="false">IF(L1497&lt;&gt;"",L1497*1.1,"")</f>
        <v>387.0625</v>
      </c>
      <c r="N1497" s="47" t="n">
        <f aca="false">IF(F1497="S",L1497*0.02,0)</f>
        <v>7.0375</v>
      </c>
      <c r="O1497" s="82" t="n">
        <f aca="false">IF(L1497&lt;&gt;"",L1497+N1497,"")</f>
        <v>358.9125</v>
      </c>
      <c r="P1497" s="47" t="n">
        <f aca="false">IF(O1497&lt;&gt;"",O1497*0.1,"")</f>
        <v>35.89125</v>
      </c>
      <c r="Q1497" s="83" t="n">
        <f aca="false">IF(O1497&lt;&gt;"",O1497+P1497,"")</f>
        <v>394.80375</v>
      </c>
      <c r="R1497" s="84" t="s">
        <v>358</v>
      </c>
    </row>
    <row r="1498" customFormat="false" ht="15" hidden="false" customHeight="true" outlineLevel="0" collapsed="false">
      <c r="A1498" s="103" t="n">
        <v>56284</v>
      </c>
      <c r="B1498" s="73" t="n">
        <v>46252</v>
      </c>
      <c r="C1498" s="86" t="s">
        <v>669</v>
      </c>
      <c r="D1498" s="87" t="n">
        <v>50001</v>
      </c>
      <c r="E1498" s="52" t="str">
        <f aca="false">IF(D1498&lt;&gt;"",IFERROR(VLOOKUP(D1498,PROVEEDORES!$A:$B,2,0),"!COD NO ENCONTRADO"),"")</f>
        <v>COPESA</v>
      </c>
      <c r="F1498" s="76" t="str">
        <f aca="false">IF(D1498&lt;&gt;"",IFERROR(VLOOKUP(D1498,PROVEEDORES!$A:$C,3,0),""),"")</f>
        <v>S</v>
      </c>
      <c r="G1498" s="75" t="s">
        <v>193</v>
      </c>
      <c r="H1498" s="52" t="str">
        <f aca="false">IF(G1498&lt;&gt;"",IFERROR(VLOOKUP(G1498,PRODUCTOS!$A:$B,2,0),"!COD NO ENCONTRADO"),"")</f>
        <v>MERLUZA EUROPEA ARRASTRE (HKE) </v>
      </c>
      <c r="I1498" s="77" t="n">
        <v>15</v>
      </c>
      <c r="J1498" s="78" t="n">
        <v>416.5</v>
      </c>
      <c r="K1498" s="79" t="n">
        <v>2.85</v>
      </c>
      <c r="L1498" s="80" t="n">
        <f aca="false">IF(AND(J1498&lt;&gt;"",K1498&lt;&gt;""),J1498*K1498,"")</f>
        <v>1187.025</v>
      </c>
      <c r="M1498" s="81" t="n">
        <f aca="false">IF(L1498&lt;&gt;"",L1498*1.1,"")</f>
        <v>1305.7275</v>
      </c>
      <c r="N1498" s="53" t="n">
        <f aca="false">IF(F1498="S",L1498*0.02,0)</f>
        <v>23.7405</v>
      </c>
      <c r="O1498" s="82" t="n">
        <f aca="false">IF(L1498&lt;&gt;"",L1498+N1498,"")</f>
        <v>1210.7655</v>
      </c>
      <c r="P1498" s="53" t="n">
        <f aca="false">IF(O1498&lt;&gt;"",O1498*0.1,"")</f>
        <v>121.07655</v>
      </c>
      <c r="Q1498" s="83" t="n">
        <f aca="false">IF(O1498&lt;&gt;"",O1498+P1498,"")</f>
        <v>1331.84205</v>
      </c>
      <c r="R1498" s="84" t="s">
        <v>358</v>
      </c>
    </row>
    <row r="1499" customFormat="false" ht="15" hidden="false" customHeight="true" outlineLevel="0" collapsed="false">
      <c r="A1499" s="103" t="n">
        <v>56284</v>
      </c>
      <c r="B1499" s="73" t="n">
        <v>46252</v>
      </c>
      <c r="C1499" s="86" t="s">
        <v>669</v>
      </c>
      <c r="D1499" s="87" t="n">
        <v>50001</v>
      </c>
      <c r="E1499" s="46" t="str">
        <f aca="false">IF(D1499&lt;&gt;"",IFERROR(VLOOKUP(D1499,PROVEEDORES!$A:$B,2,0),"!COD NO ENCONTRADO"),"")</f>
        <v>COPESA</v>
      </c>
      <c r="F1499" s="88" t="str">
        <f aca="false">IF(D1499&lt;&gt;"",IFERROR(VLOOKUP(D1499,PROVEEDORES!$A:$C,3,0),""),"")</f>
        <v>S</v>
      </c>
      <c r="G1499" s="87" t="s">
        <v>81</v>
      </c>
      <c r="H1499" s="46" t="str">
        <f aca="false">IF(G1499&lt;&gt;"",IFERROR(VLOOKUP(G1499,PRODUCTOS!$A:$B,2,0),"!COD NO ENCONTRADO"),"")</f>
        <v>BERTORELLA (GFB)</v>
      </c>
      <c r="I1499" s="89" t="n">
        <v>5</v>
      </c>
      <c r="J1499" s="105" t="n">
        <v>123</v>
      </c>
      <c r="K1499" s="125" t="n">
        <v>1</v>
      </c>
      <c r="L1499" s="80" t="n">
        <f aca="false">IF(AND(J1499&lt;&gt;"",K1499&lt;&gt;""),J1499*K1499,"")</f>
        <v>123</v>
      </c>
      <c r="M1499" s="81" t="n">
        <f aca="false">IF(L1499&lt;&gt;"",L1499*1.1,"")</f>
        <v>135.3</v>
      </c>
      <c r="N1499" s="47" t="n">
        <f aca="false">IF(F1499="S",L1499*0.02,0)</f>
        <v>2.46</v>
      </c>
      <c r="O1499" s="82" t="n">
        <f aca="false">IF(L1499&lt;&gt;"",L1499+N1499,"")</f>
        <v>125.46</v>
      </c>
      <c r="P1499" s="47" t="n">
        <f aca="false">IF(O1499&lt;&gt;"",O1499*0.1,"")</f>
        <v>12.546</v>
      </c>
      <c r="Q1499" s="83" t="n">
        <f aca="false">IF(O1499&lt;&gt;"",O1499+P1499,"")</f>
        <v>138.006</v>
      </c>
      <c r="R1499" s="84" t="s">
        <v>358</v>
      </c>
    </row>
    <row r="1500" customFormat="false" ht="15" hidden="false" customHeight="true" outlineLevel="0" collapsed="false">
      <c r="A1500" s="103" t="n">
        <v>56284</v>
      </c>
      <c r="B1500" s="73" t="n">
        <v>46252</v>
      </c>
      <c r="C1500" s="86" t="s">
        <v>669</v>
      </c>
      <c r="D1500" s="87" t="n">
        <v>50001</v>
      </c>
      <c r="E1500" s="52" t="str">
        <f aca="false">IF(D1500&lt;&gt;"",IFERROR(VLOOKUP(D1500,PROVEEDORES!$A:$B,2,0),"!COD NO ENCONTRADO"),"")</f>
        <v>COPESA</v>
      </c>
      <c r="F1500" s="76" t="str">
        <f aca="false">IF(D1500&lt;&gt;"",IFERROR(VLOOKUP(D1500,PROVEEDORES!$A:$C,3,0),""),"")</f>
        <v>S</v>
      </c>
      <c r="G1500" s="75" t="s">
        <v>81</v>
      </c>
      <c r="H1500" s="52" t="str">
        <f aca="false">IF(G1500&lt;&gt;"",IFERROR(VLOOKUP(G1500,PRODUCTOS!$A:$B,2,0),"!COD NO ENCONTRADO"),"")</f>
        <v>BERTORELLA (GFB)</v>
      </c>
      <c r="I1500" s="77" t="n">
        <v>2</v>
      </c>
      <c r="J1500" s="105" t="n">
        <v>51.25</v>
      </c>
      <c r="K1500" s="125" t="n">
        <v>2.4</v>
      </c>
      <c r="L1500" s="80" t="n">
        <f aca="false">IF(AND(J1500&lt;&gt;"",K1500&lt;&gt;""),J1500*K1500,"")</f>
        <v>123</v>
      </c>
      <c r="M1500" s="81" t="n">
        <f aca="false">IF(L1500&lt;&gt;"",L1500*1.1,"")</f>
        <v>135.3</v>
      </c>
      <c r="N1500" s="53" t="n">
        <f aca="false">IF(F1500="S",L1500*0.02,0)</f>
        <v>2.46</v>
      </c>
      <c r="O1500" s="82" t="n">
        <f aca="false">IF(L1500&lt;&gt;"",L1500+N1500,"")</f>
        <v>125.46</v>
      </c>
      <c r="P1500" s="53" t="n">
        <f aca="false">IF(O1500&lt;&gt;"",O1500*0.1,"")</f>
        <v>12.546</v>
      </c>
      <c r="Q1500" s="83" t="n">
        <f aca="false">IF(O1500&lt;&gt;"",O1500+P1500,"")</f>
        <v>138.006</v>
      </c>
      <c r="R1500" s="84" t="s">
        <v>358</v>
      </c>
    </row>
    <row r="1501" customFormat="false" ht="15" hidden="false" customHeight="true" outlineLevel="0" collapsed="false">
      <c r="A1501" s="103" t="n">
        <v>56284</v>
      </c>
      <c r="B1501" s="85" t="n">
        <v>46252</v>
      </c>
      <c r="C1501" s="86" t="s">
        <v>669</v>
      </c>
      <c r="D1501" s="87" t="n">
        <v>50001</v>
      </c>
      <c r="E1501" s="46" t="str">
        <f aca="false">IF(D1501&lt;&gt;"",IFERROR(VLOOKUP(D1501,PROVEEDORES!$A:$B,2,0),"!COD NO ENCONTRADO"),"")</f>
        <v>COPESA</v>
      </c>
      <c r="F1501" s="88" t="str">
        <f aca="false">IF(D1501&lt;&gt;"",IFERROR(VLOOKUP(D1501,PROVEEDORES!$A:$C,3,0),""),"")</f>
        <v>S</v>
      </c>
      <c r="G1501" s="87" t="s">
        <v>81</v>
      </c>
      <c r="H1501" s="46" t="str">
        <f aca="false">IF(G1501&lt;&gt;"",IFERROR(VLOOKUP(G1501,PRODUCTOS!$A:$B,2,0),"!COD NO ENCONTRADO"),"")</f>
        <v>BERTORELLA (GFB)</v>
      </c>
      <c r="I1501" s="89" t="n">
        <v>3</v>
      </c>
      <c r="J1501" s="105" t="n">
        <v>74</v>
      </c>
      <c r="K1501" s="125" t="n">
        <v>3.9</v>
      </c>
      <c r="L1501" s="80" t="n">
        <f aca="false">IF(AND(J1501&lt;&gt;"",K1501&lt;&gt;""),J1501*K1501,"")</f>
        <v>288.6</v>
      </c>
      <c r="M1501" s="81" t="n">
        <f aca="false">IF(L1501&lt;&gt;"",L1501*1.1,"")</f>
        <v>317.46</v>
      </c>
      <c r="N1501" s="47" t="n">
        <f aca="false">IF(F1501="S",L1501*0.02,0)</f>
        <v>5.772</v>
      </c>
      <c r="O1501" s="82" t="n">
        <f aca="false">IF(L1501&lt;&gt;"",L1501+N1501,"")</f>
        <v>294.372</v>
      </c>
      <c r="P1501" s="47" t="n">
        <f aca="false">IF(O1501&lt;&gt;"",O1501*0.1,"")</f>
        <v>29.4372</v>
      </c>
      <c r="Q1501" s="83" t="n">
        <f aca="false">IF(O1501&lt;&gt;"",O1501+P1501,"")</f>
        <v>323.8092</v>
      </c>
      <c r="R1501" s="84" t="s">
        <v>358</v>
      </c>
    </row>
    <row r="1502" customFormat="false" ht="15" hidden="false" customHeight="true" outlineLevel="0" collapsed="false">
      <c r="A1502" s="103" t="n">
        <v>56284</v>
      </c>
      <c r="B1502" s="73" t="n">
        <v>46252</v>
      </c>
      <c r="C1502" s="86" t="s">
        <v>669</v>
      </c>
      <c r="D1502" s="75" t="n">
        <v>50001</v>
      </c>
      <c r="E1502" s="52" t="str">
        <f aca="false">IF(D1502&lt;&gt;"",IFERROR(VLOOKUP(D1502,PROVEEDORES!$A:$B,2,0),"!COD NO ENCONTRADO"),"")</f>
        <v>COPESA</v>
      </c>
      <c r="F1502" s="76" t="str">
        <f aca="false">IF(D1502&lt;&gt;"",IFERROR(VLOOKUP(D1502,PROVEEDORES!$A:$C,3,0),""),"")</f>
        <v>S</v>
      </c>
      <c r="G1502" s="75" t="s">
        <v>81</v>
      </c>
      <c r="H1502" s="52" t="str">
        <f aca="false">IF(G1502&lt;&gt;"",IFERROR(VLOOKUP(G1502,PRODUCTOS!$A:$B,2,0),"!COD NO ENCONTRADO"),"")</f>
        <v>BERTORELLA (GFB)</v>
      </c>
      <c r="I1502" s="77" t="n">
        <v>2</v>
      </c>
      <c r="J1502" s="105" t="n">
        <v>56</v>
      </c>
      <c r="K1502" s="125" t="n">
        <v>3.7</v>
      </c>
      <c r="L1502" s="80" t="n">
        <f aca="false">IF(AND(J1502&lt;&gt;"",K1502&lt;&gt;""),J1502*K1502,"")</f>
        <v>207.2</v>
      </c>
      <c r="M1502" s="81" t="n">
        <f aca="false">IF(L1502&lt;&gt;"",L1502*1.1,"")</f>
        <v>227.92</v>
      </c>
      <c r="N1502" s="53" t="n">
        <f aca="false">IF(F1502="S",L1502*0.02,0)</f>
        <v>4.144</v>
      </c>
      <c r="O1502" s="82" t="n">
        <f aca="false">IF(L1502&lt;&gt;"",L1502+N1502,"")</f>
        <v>211.344</v>
      </c>
      <c r="P1502" s="53" t="n">
        <f aca="false">IF(O1502&lt;&gt;"",O1502*0.1,"")</f>
        <v>21.1344</v>
      </c>
      <c r="Q1502" s="83" t="n">
        <f aca="false">IF(O1502&lt;&gt;"",O1502+P1502,"")</f>
        <v>232.4784</v>
      </c>
      <c r="R1502" s="84" t="s">
        <v>358</v>
      </c>
    </row>
    <row r="1503" customFormat="false" ht="15" hidden="false" customHeight="true" outlineLevel="0" collapsed="false">
      <c r="A1503" s="103" t="n">
        <v>56284</v>
      </c>
      <c r="B1503" s="85" t="n">
        <v>46252</v>
      </c>
      <c r="C1503" s="86" t="s">
        <v>669</v>
      </c>
      <c r="D1503" s="87" t="n">
        <v>50001</v>
      </c>
      <c r="E1503" s="46" t="str">
        <f aca="false">IF(D1503&lt;&gt;"",IFERROR(VLOOKUP(D1503,PROVEEDORES!$A:$B,2,0),"!COD NO ENCONTRADO"),"")</f>
        <v>COPESA</v>
      </c>
      <c r="F1503" s="88" t="str">
        <f aca="false">IF(D1503&lt;&gt;"",IFERROR(VLOOKUP(D1503,PROVEEDORES!$A:$C,3,0),""),"")</f>
        <v>S</v>
      </c>
      <c r="G1503" s="87" t="s">
        <v>103</v>
      </c>
      <c r="H1503" s="46" t="str">
        <f aca="false">IF(G1503&lt;&gt;"",IFERROR(VLOOKUP(G1503,PRODUCTOS!$A:$B,2,0),"!COD NO ENCONTRADO"),"")</f>
        <v>CABRAS/ GALLINETA (BRF)</v>
      </c>
      <c r="I1503" s="89" t="n">
        <v>1</v>
      </c>
      <c r="J1503" s="105" t="n">
        <v>20.5</v>
      </c>
      <c r="K1503" s="125" t="n">
        <v>2.6</v>
      </c>
      <c r="L1503" s="80" t="n">
        <f aca="false">IF(AND(J1503&lt;&gt;"",K1503&lt;&gt;""),J1503*K1503,"")</f>
        <v>53.3</v>
      </c>
      <c r="M1503" s="81" t="n">
        <f aca="false">IF(L1503&lt;&gt;"",L1503*1.1,"")</f>
        <v>58.63</v>
      </c>
      <c r="N1503" s="47" t="n">
        <f aca="false">IF(F1503="S",L1503*0.02,0)</f>
        <v>1.066</v>
      </c>
      <c r="O1503" s="82" t="n">
        <f aca="false">IF(L1503&lt;&gt;"",L1503+N1503,"")</f>
        <v>54.366</v>
      </c>
      <c r="P1503" s="47" t="n">
        <f aca="false">IF(O1503&lt;&gt;"",O1503*0.1,"")</f>
        <v>5.4366</v>
      </c>
      <c r="Q1503" s="83" t="n">
        <f aca="false">IF(O1503&lt;&gt;"",O1503+P1503,"")</f>
        <v>59.8026</v>
      </c>
      <c r="R1503" s="84" t="s">
        <v>358</v>
      </c>
    </row>
    <row r="1504" customFormat="false" ht="15" hidden="false" customHeight="true" outlineLevel="0" collapsed="false">
      <c r="A1504" s="103" t="n">
        <v>56285</v>
      </c>
      <c r="B1504" s="85" t="n">
        <v>46252</v>
      </c>
      <c r="C1504" s="86" t="s">
        <v>670</v>
      </c>
      <c r="D1504" s="87" t="n">
        <v>50010</v>
      </c>
      <c r="E1504" s="46" t="str">
        <f aca="false">IF(D1504&lt;&gt;"",IFERROR(VLOOKUP(D1504,PROVEEDORES!$A:$B,2,0),"!COD NO ENCONTRADO"),"")</f>
        <v>PERFECTO MONTERO</v>
      </c>
      <c r="F1504" s="88" t="str">
        <f aca="false">IF(D1504&lt;&gt;"",IFERROR(VLOOKUP(D1504,PROVEEDORES!$A:$C,3,0),""),"")</f>
        <v>S</v>
      </c>
      <c r="G1504" s="87" t="s">
        <v>135</v>
      </c>
      <c r="H1504" s="46" t="str">
        <f aca="false">IF(G1504&lt;&gt;"",IFERROR(VLOOKUP(G1504,PRODUCTOS!$A:$B,2,0),"!COD NO ENCONTRADO"),"")</f>
        <v>CONGRIO 10+  (COE)</v>
      </c>
      <c r="I1504" s="89" t="n">
        <v>1</v>
      </c>
      <c r="J1504" s="90" t="n">
        <v>36</v>
      </c>
      <c r="K1504" s="125" t="n">
        <v>5.4</v>
      </c>
      <c r="L1504" s="80" t="n">
        <f aca="false">IF(AND(J1504&lt;&gt;"",K1504&lt;&gt;""),J1504*K1504,"")</f>
        <v>194.4</v>
      </c>
      <c r="M1504" s="81" t="n">
        <f aca="false">IF(L1504&lt;&gt;"",L1504*1.1,"")</f>
        <v>213.84</v>
      </c>
      <c r="N1504" s="47" t="n">
        <f aca="false">IF(F1504="S",L1504*0.02,0)</f>
        <v>3.888</v>
      </c>
      <c r="O1504" s="82" t="n">
        <f aca="false">IF(L1504&lt;&gt;"",L1504+N1504,"")</f>
        <v>198.288</v>
      </c>
      <c r="P1504" s="47" t="n">
        <f aca="false">IF(O1504&lt;&gt;"",O1504*0.1,"")</f>
        <v>19.8288</v>
      </c>
      <c r="Q1504" s="83" t="n">
        <f aca="false">IF(O1504&lt;&gt;"",O1504+P1504,"")</f>
        <v>218.1168</v>
      </c>
      <c r="R1504" s="84" t="s">
        <v>358</v>
      </c>
    </row>
    <row r="1505" customFormat="false" ht="15" hidden="false" customHeight="true" outlineLevel="0" collapsed="false">
      <c r="A1505" s="103" t="n">
        <v>56286</v>
      </c>
      <c r="B1505" s="73" t="n">
        <v>46252</v>
      </c>
      <c r="C1505" s="74" t="s">
        <v>671</v>
      </c>
      <c r="D1505" s="75" t="n">
        <v>50020</v>
      </c>
      <c r="E1505" s="52" t="str">
        <f aca="false">IF(D1505&lt;&gt;"",IFERROR(VLOOKUP(D1505,PROVEEDORES!$A:$B,2,0),"!COD NO ENCONTRADO"),"")</f>
        <v>PACO MOINELO</v>
      </c>
      <c r="F1505" s="76" t="str">
        <f aca="false">IF(D1505&lt;&gt;"",IFERROR(VLOOKUP(D1505,PROVEEDORES!$A:$C,3,0),""),"")</f>
        <v>S</v>
      </c>
      <c r="G1505" s="75" t="s">
        <v>99</v>
      </c>
      <c r="H1505" s="52" t="str">
        <f aca="false">IF(G1505&lt;&gt;"",IFERROR(VLOOKUP(G1505,PRODUCTOS!$A:$B,2,0),"!COD NO ENCONTRADO"),"")</f>
        <v>CABRACHO/ ESCARAPOTE (RSE)</v>
      </c>
      <c r="I1505" s="77" t="n">
        <v>2</v>
      </c>
      <c r="J1505" s="105" t="n">
        <v>23.25</v>
      </c>
      <c r="K1505" s="125" t="n">
        <v>5.8</v>
      </c>
      <c r="L1505" s="80" t="n">
        <f aca="false">IF(AND(J1505&lt;&gt;"",K1505&lt;&gt;""),J1505*K1505,"")</f>
        <v>134.85</v>
      </c>
      <c r="M1505" s="81" t="n">
        <f aca="false">IF(L1505&lt;&gt;"",L1505*1.1,"")</f>
        <v>148.335</v>
      </c>
      <c r="N1505" s="53" t="n">
        <f aca="false">IF(F1505="S",L1505*0.02,0)</f>
        <v>2.697</v>
      </c>
      <c r="O1505" s="82" t="n">
        <f aca="false">IF(L1505&lt;&gt;"",L1505+N1505,"")</f>
        <v>137.547</v>
      </c>
      <c r="P1505" s="53" t="n">
        <f aca="false">IF(O1505&lt;&gt;"",O1505*0.1,"")</f>
        <v>13.7547</v>
      </c>
      <c r="Q1505" s="83" t="n">
        <f aca="false">IF(O1505&lt;&gt;"",O1505+P1505,"")</f>
        <v>151.3017</v>
      </c>
      <c r="R1505" s="84" t="s">
        <v>365</v>
      </c>
    </row>
    <row r="1506" customFormat="false" ht="15" hidden="false" customHeight="true" outlineLevel="0" collapsed="false">
      <c r="A1506" s="103" t="n">
        <v>56286</v>
      </c>
      <c r="B1506" s="73" t="n">
        <v>46252</v>
      </c>
      <c r="C1506" s="74" t="s">
        <v>671</v>
      </c>
      <c r="D1506" s="75" t="n">
        <v>50020</v>
      </c>
      <c r="E1506" s="52" t="str">
        <f aca="false">IF(D1506&lt;&gt;"",IFERROR(VLOOKUP(D1506,PROVEEDORES!$A:$B,2,0),"!COD NO ENCONTRADO"),"")</f>
        <v>PACO MOINELO</v>
      </c>
      <c r="F1506" s="76" t="str">
        <f aca="false">IF(D1506&lt;&gt;"",IFERROR(VLOOKUP(D1506,PROVEEDORES!$A:$C,3,0),""),"")</f>
        <v>S</v>
      </c>
      <c r="G1506" s="75" t="s">
        <v>99</v>
      </c>
      <c r="H1506" s="46" t="str">
        <f aca="false">IF(G1506&lt;&gt;"",IFERROR(VLOOKUP(G1506,PRODUCTOS!$A:$B,2,0),"!COD NO ENCONTRADO"),"")</f>
        <v>CABRACHO/ ESCARAPOTE (RSE)</v>
      </c>
      <c r="I1506" s="89" t="n">
        <v>1</v>
      </c>
      <c r="J1506" s="105" t="n">
        <v>7.5</v>
      </c>
      <c r="K1506" s="125" t="n">
        <v>6</v>
      </c>
      <c r="L1506" s="80" t="n">
        <f aca="false">IF(AND(J1506&lt;&gt;"",K1506&lt;&gt;""),J1506*K1506,"")</f>
        <v>45</v>
      </c>
      <c r="M1506" s="81" t="n">
        <f aca="false">IF(L1506&lt;&gt;"",L1506*1.1,"")</f>
        <v>49.5</v>
      </c>
      <c r="N1506" s="47" t="n">
        <f aca="false">IF(F1506="S",L1506*0.02,0)</f>
        <v>0.9</v>
      </c>
      <c r="O1506" s="82" t="n">
        <f aca="false">IF(L1506&lt;&gt;"",L1506+N1506,"")</f>
        <v>45.9</v>
      </c>
      <c r="P1506" s="47" t="n">
        <f aca="false">IF(O1506&lt;&gt;"",O1506*0.1,"")</f>
        <v>4.59</v>
      </c>
      <c r="Q1506" s="83" t="n">
        <f aca="false">IF(O1506&lt;&gt;"",O1506+P1506,"")</f>
        <v>50.49</v>
      </c>
      <c r="R1506" s="84" t="s">
        <v>365</v>
      </c>
    </row>
    <row r="1507" customFormat="false" ht="15" hidden="false" customHeight="true" outlineLevel="0" collapsed="false">
      <c r="A1507" s="103" t="n">
        <v>56286</v>
      </c>
      <c r="B1507" s="73" t="n">
        <v>46252</v>
      </c>
      <c r="C1507" s="74" t="s">
        <v>671</v>
      </c>
      <c r="D1507" s="75" t="n">
        <v>50020</v>
      </c>
      <c r="E1507" s="52" t="str">
        <f aca="false">IF(D1507&lt;&gt;"",IFERROR(VLOOKUP(D1507,PROVEEDORES!$A:$B,2,0),"!COD NO ENCONTRADO"),"")</f>
        <v>PACO MOINELO</v>
      </c>
      <c r="F1507" s="76" t="str">
        <f aca="false">IF(D1507&lt;&gt;"",IFERROR(VLOOKUP(D1507,PROVEEDORES!$A:$C,3,0),""),"")</f>
        <v>S</v>
      </c>
      <c r="G1507" s="75" t="s">
        <v>99</v>
      </c>
      <c r="H1507" s="52" t="str">
        <f aca="false">IF(G1507&lt;&gt;"",IFERROR(VLOOKUP(G1507,PRODUCTOS!$A:$B,2,0),"!COD NO ENCONTRADO"),"")</f>
        <v>CABRACHO/ ESCARAPOTE (RSE)</v>
      </c>
      <c r="I1507" s="77" t="n">
        <v>2</v>
      </c>
      <c r="J1507" s="105" t="n">
        <v>20.5</v>
      </c>
      <c r="K1507" s="125" t="n">
        <v>7.4</v>
      </c>
      <c r="L1507" s="80" t="n">
        <f aca="false">IF(AND(J1507&lt;&gt;"",K1507&lt;&gt;""),J1507*K1507,"")</f>
        <v>151.7</v>
      </c>
      <c r="M1507" s="81" t="n">
        <f aca="false">IF(L1507&lt;&gt;"",L1507*1.1,"")</f>
        <v>166.87</v>
      </c>
      <c r="N1507" s="53" t="n">
        <f aca="false">IF(F1507="S",L1507*0.02,0)</f>
        <v>3.034</v>
      </c>
      <c r="O1507" s="82" t="n">
        <f aca="false">IF(L1507&lt;&gt;"",L1507+N1507,"")</f>
        <v>154.734</v>
      </c>
      <c r="P1507" s="53" t="n">
        <f aca="false">IF(O1507&lt;&gt;"",O1507*0.1,"")</f>
        <v>15.4734</v>
      </c>
      <c r="Q1507" s="83" t="n">
        <f aca="false">IF(O1507&lt;&gt;"",O1507+P1507,"")</f>
        <v>170.2074</v>
      </c>
      <c r="R1507" s="84" t="s">
        <v>365</v>
      </c>
    </row>
    <row r="1508" customFormat="false" ht="15" hidden="false" customHeight="true" outlineLevel="0" collapsed="false">
      <c r="A1508" s="103" t="n">
        <v>56286</v>
      </c>
      <c r="B1508" s="73" t="n">
        <v>46252</v>
      </c>
      <c r="C1508" s="74" t="s">
        <v>671</v>
      </c>
      <c r="D1508" s="75" t="n">
        <v>50020</v>
      </c>
      <c r="E1508" s="52" t="str">
        <f aca="false">IF(D1508&lt;&gt;"",IFERROR(VLOOKUP(D1508,PROVEEDORES!$A:$B,2,0),"!COD NO ENCONTRADO"),"")</f>
        <v>PACO MOINELO</v>
      </c>
      <c r="F1508" s="76" t="str">
        <f aca="false">IF(D1508&lt;&gt;"",IFERROR(VLOOKUP(D1508,PROVEEDORES!$A:$C,3,0),""),"")</f>
        <v>S</v>
      </c>
      <c r="G1508" s="75" t="s">
        <v>99</v>
      </c>
      <c r="H1508" s="46" t="str">
        <f aca="false">IF(G1508&lt;&gt;"",IFERROR(VLOOKUP(G1508,PRODUCTOS!$A:$B,2,0),"!COD NO ENCONTRADO"),"")</f>
        <v>CABRACHO/ ESCARAPOTE (RSE)</v>
      </c>
      <c r="I1508" s="89" t="n">
        <v>3</v>
      </c>
      <c r="J1508" s="105" t="n">
        <v>34</v>
      </c>
      <c r="K1508" s="125" t="n">
        <v>8.5</v>
      </c>
      <c r="L1508" s="80" t="n">
        <f aca="false">IF(AND(J1508&lt;&gt;"",K1508&lt;&gt;""),J1508*K1508,"")</f>
        <v>289</v>
      </c>
      <c r="M1508" s="81" t="n">
        <f aca="false">IF(L1508&lt;&gt;"",L1508*1.1,"")</f>
        <v>317.9</v>
      </c>
      <c r="N1508" s="47" t="n">
        <f aca="false">IF(F1508="S",L1508*0.02,0)</f>
        <v>5.78</v>
      </c>
      <c r="O1508" s="82" t="n">
        <f aca="false">IF(L1508&lt;&gt;"",L1508+N1508,"")</f>
        <v>294.78</v>
      </c>
      <c r="P1508" s="47" t="n">
        <f aca="false">IF(O1508&lt;&gt;"",O1508*0.1,"")</f>
        <v>29.478</v>
      </c>
      <c r="Q1508" s="83" t="n">
        <f aca="false">IF(O1508&lt;&gt;"",O1508+P1508,"")</f>
        <v>324.258</v>
      </c>
      <c r="R1508" s="84" t="s">
        <v>365</v>
      </c>
    </row>
    <row r="1509" customFormat="false" ht="15" hidden="false" customHeight="true" outlineLevel="0" collapsed="false">
      <c r="A1509" s="103" t="n">
        <v>56286</v>
      </c>
      <c r="B1509" s="73" t="n">
        <v>46252</v>
      </c>
      <c r="C1509" s="74" t="s">
        <v>671</v>
      </c>
      <c r="D1509" s="75" t="n">
        <v>50020</v>
      </c>
      <c r="E1509" s="52" t="str">
        <f aca="false">IF(D1509&lt;&gt;"",IFERROR(VLOOKUP(D1509,PROVEEDORES!$A:$B,2,0),"!COD NO ENCONTRADO"),"")</f>
        <v>PACO MOINELO</v>
      </c>
      <c r="F1509" s="76" t="str">
        <f aca="false">IF(D1509&lt;&gt;"",IFERROR(VLOOKUP(D1509,PROVEEDORES!$A:$C,3,0),""),"")</f>
        <v>S</v>
      </c>
      <c r="G1509" s="75" t="s">
        <v>99</v>
      </c>
      <c r="H1509" s="52" t="str">
        <f aca="false">IF(G1509&lt;&gt;"",IFERROR(VLOOKUP(G1509,PRODUCTOS!$A:$B,2,0),"!COD NO ENCONTRADO"),"")</f>
        <v>CABRACHO/ ESCARAPOTE (RSE)</v>
      </c>
      <c r="I1509" s="77" t="n">
        <v>3</v>
      </c>
      <c r="J1509" s="78" t="n">
        <v>36.25</v>
      </c>
      <c r="K1509" s="79" t="n">
        <v>11</v>
      </c>
      <c r="L1509" s="80" t="n">
        <f aca="false">IF(AND(J1509&lt;&gt;"",K1509&lt;&gt;""),J1509*K1509,"")</f>
        <v>398.75</v>
      </c>
      <c r="M1509" s="81" t="n">
        <f aca="false">IF(L1509&lt;&gt;"",L1509*1.1,"")</f>
        <v>438.625</v>
      </c>
      <c r="N1509" s="53" t="n">
        <f aca="false">IF(F1509="S",L1509*0.02,0)</f>
        <v>7.975</v>
      </c>
      <c r="O1509" s="82" t="n">
        <f aca="false">IF(L1509&lt;&gt;"",L1509+N1509,"")</f>
        <v>406.725</v>
      </c>
      <c r="P1509" s="53" t="n">
        <f aca="false">IF(O1509&lt;&gt;"",O1509*0.1,"")</f>
        <v>40.6725</v>
      </c>
      <c r="Q1509" s="83" t="n">
        <f aca="false">IF(O1509&lt;&gt;"",O1509+P1509,"")</f>
        <v>447.3975</v>
      </c>
      <c r="R1509" s="84" t="s">
        <v>365</v>
      </c>
    </row>
    <row r="1510" customFormat="false" ht="15" hidden="false" customHeight="true" outlineLevel="0" collapsed="false">
      <c r="A1510" s="103" t="n">
        <v>56287</v>
      </c>
      <c r="B1510" s="73" t="n">
        <v>46252</v>
      </c>
      <c r="C1510" s="74" t="s">
        <v>672</v>
      </c>
      <c r="D1510" s="75" t="n">
        <v>50069</v>
      </c>
      <c r="E1510" s="52" t="str">
        <f aca="false">IF(D1510&lt;&gt;"",IFERROR(VLOOKUP(D1510,PROVEEDORES!$A:$B,2,0),"!COD NO ENCONTRADO"),"")</f>
        <v>PESCADOS ILLANES S.L.</v>
      </c>
      <c r="F1510" s="76" t="str">
        <f aca="false">IF(D1510&lt;&gt;"",IFERROR(VLOOKUP(D1510,PROVEEDORES!$A:$C,3,0),""),"")</f>
        <v>S</v>
      </c>
      <c r="G1510" s="75" t="s">
        <v>216</v>
      </c>
      <c r="H1510" s="52" t="str">
        <f aca="false">IF(G1510&lt;&gt;"",IFERROR(VLOOKUP(G1510,PRODUCTOS!$A:$B,2,0),"!COD NO ENCONTRADO"),"")</f>
        <v>MERLUZA EUROPEA PINCHO COSTA</v>
      </c>
      <c r="I1510" s="77" t="n">
        <v>1</v>
      </c>
      <c r="J1510" s="78" t="n">
        <v>17.25</v>
      </c>
      <c r="K1510" s="79" t="n">
        <v>13</v>
      </c>
      <c r="L1510" s="80" t="n">
        <f aca="false">IF(AND(J1510&lt;&gt;"",K1510&lt;&gt;""),J1510*K1510,"")</f>
        <v>224.25</v>
      </c>
      <c r="M1510" s="81" t="n">
        <f aca="false">IF(L1510&lt;&gt;"",L1510*1.1,"")</f>
        <v>246.675</v>
      </c>
      <c r="N1510" s="53" t="n">
        <f aca="false">IF(F1510="S",L1510*0.02,0)</f>
        <v>4.485</v>
      </c>
      <c r="O1510" s="82" t="n">
        <f aca="false">IF(L1510&lt;&gt;"",L1510+N1510,"")</f>
        <v>228.735</v>
      </c>
      <c r="P1510" s="53" t="n">
        <f aca="false">IF(O1510&lt;&gt;"",O1510*0.1,"")</f>
        <v>22.8735</v>
      </c>
      <c r="Q1510" s="83" t="n">
        <f aca="false">IF(O1510&lt;&gt;"",O1510+P1510,"")</f>
        <v>251.6085</v>
      </c>
      <c r="R1510" s="84" t="s">
        <v>358</v>
      </c>
    </row>
    <row r="1511" customFormat="false" ht="15" hidden="false" customHeight="true" outlineLevel="0" collapsed="false">
      <c r="A1511" s="103" t="n">
        <v>56288</v>
      </c>
      <c r="B1511" s="85" t="n">
        <v>46252</v>
      </c>
      <c r="C1511" s="86" t="s">
        <v>673</v>
      </c>
      <c r="D1511" s="87" t="n">
        <v>50163</v>
      </c>
      <c r="E1511" s="46" t="str">
        <f aca="false">IF(D1511&lt;&gt;"",IFERROR(VLOOKUP(D1511,PROVEEDORES!$A:$B,2,0),"!COD NO ENCONTRADO"),"")</f>
        <v>SUBASTAS RIVERA S.L.</v>
      </c>
      <c r="F1511" s="88" t="str">
        <f aca="false">IF(D1511&lt;&gt;"",IFERROR(VLOOKUP(D1511,PROVEEDORES!$A:$C,3,0),""),"")</f>
        <v>S</v>
      </c>
      <c r="G1511" s="87" t="s">
        <v>133</v>
      </c>
      <c r="H1511" s="46" t="str">
        <f aca="false">IF(G1511&lt;&gt;"",IFERROR(VLOOKUP(G1511,PRODUCTOS!$A:$B,2,0),"!COD NO ENCONTRADO"),"")</f>
        <v>CINTAS/ PEZ CINTA (CBC)</v>
      </c>
      <c r="I1511" s="89" t="n">
        <v>1</v>
      </c>
      <c r="J1511" s="90" t="n">
        <v>4</v>
      </c>
      <c r="K1511" s="91" t="n">
        <v>2.5</v>
      </c>
      <c r="L1511" s="80" t="n">
        <f aca="false">IF(AND(J1511&lt;&gt;"",K1511&lt;&gt;""),J1511*K1511,"")</f>
        <v>10</v>
      </c>
      <c r="M1511" s="81" t="n">
        <f aca="false">IF(L1511&lt;&gt;"",L1511*1.1,"")</f>
        <v>11</v>
      </c>
      <c r="N1511" s="47" t="n">
        <f aca="false">IF(F1511="S",L1511*0.02,0)</f>
        <v>0.2</v>
      </c>
      <c r="O1511" s="82" t="n">
        <f aca="false">IF(L1511&lt;&gt;"",L1511+N1511,"")</f>
        <v>10.2</v>
      </c>
      <c r="P1511" s="47" t="n">
        <f aca="false">IF(O1511&lt;&gt;"",O1511*0.1,"")</f>
        <v>1.02</v>
      </c>
      <c r="Q1511" s="83" t="n">
        <f aca="false">IF(O1511&lt;&gt;"",O1511+P1511,"")</f>
        <v>11.22</v>
      </c>
      <c r="R1511" s="84" t="s">
        <v>365</v>
      </c>
    </row>
    <row r="1512" customFormat="false" ht="15" hidden="false" customHeight="true" outlineLevel="0" collapsed="false">
      <c r="A1512" s="103" t="n">
        <v>56288</v>
      </c>
      <c r="B1512" s="85" t="n">
        <v>46252</v>
      </c>
      <c r="C1512" s="86" t="s">
        <v>673</v>
      </c>
      <c r="D1512" s="87" t="n">
        <v>50163</v>
      </c>
      <c r="E1512" s="52" t="str">
        <f aca="false">IF(D1512&lt;&gt;"",IFERROR(VLOOKUP(D1512,PROVEEDORES!$A:$B,2,0),"!COD NO ENCONTRADO"),"")</f>
        <v>SUBASTAS RIVERA S.L.</v>
      </c>
      <c r="F1512" s="76" t="str">
        <f aca="false">IF(D1512&lt;&gt;"",IFERROR(VLOOKUP(D1512,PROVEEDORES!$A:$C,3,0),""),"")</f>
        <v>S</v>
      </c>
      <c r="G1512" s="75" t="s">
        <v>332</v>
      </c>
      <c r="H1512" s="52" t="str">
        <f aca="false">IF(G1512&lt;&gt;"",IFERROR(VLOOKUP(G1512,PRODUCTOS!$A:$B,2,0),"!COD NO ENCONTRADO"),"")</f>
        <v>VARIADO PEQUEÑO</v>
      </c>
      <c r="I1512" s="77" t="n">
        <v>7</v>
      </c>
      <c r="J1512" s="105" t="n">
        <v>46.75</v>
      </c>
      <c r="K1512" s="79" t="n">
        <v>0.5</v>
      </c>
      <c r="L1512" s="80" t="n">
        <f aca="false">IF(AND(J1512&lt;&gt;"",K1512&lt;&gt;""),J1512*K1512,"")</f>
        <v>23.375</v>
      </c>
      <c r="M1512" s="81" t="n">
        <f aca="false">IF(L1512&lt;&gt;"",L1512*1.1,"")</f>
        <v>25.7125</v>
      </c>
      <c r="N1512" s="53" t="n">
        <f aca="false">IF(F1512="S",L1512*0.02,0)</f>
        <v>0.4675</v>
      </c>
      <c r="O1512" s="82" t="n">
        <f aca="false">IF(L1512&lt;&gt;"",L1512+N1512,"")</f>
        <v>23.8425</v>
      </c>
      <c r="P1512" s="53" t="n">
        <f aca="false">IF(O1512&lt;&gt;"",O1512*0.1,"")</f>
        <v>2.38425</v>
      </c>
      <c r="Q1512" s="83" t="n">
        <f aca="false">IF(O1512&lt;&gt;"",O1512+P1512,"")</f>
        <v>26.22675</v>
      </c>
      <c r="R1512" s="84" t="s">
        <v>365</v>
      </c>
    </row>
    <row r="1513" customFormat="false" ht="15" hidden="false" customHeight="true" outlineLevel="0" collapsed="false">
      <c r="A1513" s="103" t="n">
        <v>56288</v>
      </c>
      <c r="B1513" s="85" t="n">
        <v>46252</v>
      </c>
      <c r="C1513" s="86" t="s">
        <v>673</v>
      </c>
      <c r="D1513" s="87" t="n">
        <v>50163</v>
      </c>
      <c r="E1513" s="46" t="str">
        <f aca="false">IF(D1513&lt;&gt;"",IFERROR(VLOOKUP(D1513,PROVEEDORES!$A:$B,2,0),"!COD NO ENCONTRADO"),"")</f>
        <v>SUBASTAS RIVERA S.L.</v>
      </c>
      <c r="F1513" s="88" t="str">
        <f aca="false">IF(D1513&lt;&gt;"",IFERROR(VLOOKUP(D1513,PROVEEDORES!$A:$C,3,0),""),"")</f>
        <v>S</v>
      </c>
      <c r="G1513" s="87" t="s">
        <v>276</v>
      </c>
      <c r="H1513" s="46" t="str">
        <f aca="false">IF(G1513&lt;&gt;"",IFERROR(VLOOKUP(G1513,PRODUCTOS!$A:$B,2,0),"!COD NO ENCONTRADO"),"")</f>
        <v>MERLUZA EUROPEA/ FINA DIA </v>
      </c>
      <c r="I1513" s="89" t="n">
        <v>3</v>
      </c>
      <c r="J1513" s="90" t="n">
        <v>18</v>
      </c>
      <c r="K1513" s="91" t="n">
        <v>4</v>
      </c>
      <c r="L1513" s="80" t="n">
        <f aca="false">IF(AND(J1513&lt;&gt;"",K1513&lt;&gt;""),J1513*K1513,"")</f>
        <v>72</v>
      </c>
      <c r="M1513" s="81" t="n">
        <f aca="false">IF(L1513&lt;&gt;"",L1513*1.1,"")</f>
        <v>79.2</v>
      </c>
      <c r="N1513" s="47" t="n">
        <f aca="false">IF(F1513="S",L1513*0.02,0)</f>
        <v>1.44</v>
      </c>
      <c r="O1513" s="82" t="n">
        <f aca="false">IF(L1513&lt;&gt;"",L1513+N1513,"")</f>
        <v>73.44</v>
      </c>
      <c r="P1513" s="47" t="n">
        <f aca="false">IF(O1513&lt;&gt;"",O1513*0.1,"")</f>
        <v>7.344</v>
      </c>
      <c r="Q1513" s="83" t="n">
        <f aca="false">IF(O1513&lt;&gt;"",O1513+P1513,"")</f>
        <v>80.784</v>
      </c>
      <c r="R1513" s="84" t="s">
        <v>365</v>
      </c>
    </row>
    <row r="1514" customFormat="false" ht="15" hidden="false" customHeight="true" outlineLevel="0" collapsed="false">
      <c r="A1514" s="103" t="n">
        <v>56288</v>
      </c>
      <c r="B1514" s="85" t="n">
        <v>46252</v>
      </c>
      <c r="C1514" s="86" t="s">
        <v>673</v>
      </c>
      <c r="D1514" s="87" t="n">
        <v>50163</v>
      </c>
      <c r="E1514" s="52" t="str">
        <f aca="false">IF(D1514&lt;&gt;"",IFERROR(VLOOKUP(D1514,PROVEEDORES!$A:$B,2,0),"!COD NO ENCONTRADO"),"")</f>
        <v>SUBASTAS RIVERA S.L.</v>
      </c>
      <c r="F1514" s="76" t="str">
        <f aca="false">IF(D1514&lt;&gt;"",IFERROR(VLOOKUP(D1514,PROVEEDORES!$A:$C,3,0),""),"")</f>
        <v>S</v>
      </c>
      <c r="G1514" s="75" t="s">
        <v>276</v>
      </c>
      <c r="H1514" s="52" t="str">
        <f aca="false">IF(G1514&lt;&gt;"",IFERROR(VLOOKUP(G1514,PRODUCTOS!$A:$B,2,0),"!COD NO ENCONTRADO"),"")</f>
        <v>MERLUZA EUROPEA/ FINA DIA </v>
      </c>
      <c r="I1514" s="77" t="n">
        <v>3</v>
      </c>
      <c r="J1514" s="78" t="n">
        <v>17.75</v>
      </c>
      <c r="K1514" s="79" t="n">
        <v>3.8</v>
      </c>
      <c r="L1514" s="80" t="n">
        <f aca="false">IF(AND(J1514&lt;&gt;"",K1514&lt;&gt;""),J1514*K1514,"")</f>
        <v>67.45</v>
      </c>
      <c r="M1514" s="81" t="n">
        <f aca="false">IF(L1514&lt;&gt;"",L1514*1.1,"")</f>
        <v>74.195</v>
      </c>
      <c r="N1514" s="53" t="n">
        <f aca="false">IF(F1514="S",L1514*0.02,0)</f>
        <v>1.349</v>
      </c>
      <c r="O1514" s="82" t="n">
        <f aca="false">IF(L1514&lt;&gt;"",L1514+N1514,"")</f>
        <v>68.799</v>
      </c>
      <c r="P1514" s="53" t="n">
        <f aca="false">IF(O1514&lt;&gt;"",O1514*0.1,"")</f>
        <v>6.8799</v>
      </c>
      <c r="Q1514" s="83" t="n">
        <f aca="false">IF(O1514&lt;&gt;"",O1514+P1514,"")</f>
        <v>75.6789</v>
      </c>
      <c r="R1514" s="84" t="s">
        <v>365</v>
      </c>
    </row>
    <row r="1515" customFormat="false" ht="15" hidden="false" customHeight="true" outlineLevel="0" collapsed="false">
      <c r="A1515" s="103" t="n">
        <v>56288</v>
      </c>
      <c r="B1515" s="85" t="n">
        <v>46252</v>
      </c>
      <c r="C1515" s="86" t="s">
        <v>673</v>
      </c>
      <c r="D1515" s="87" t="n">
        <v>50163</v>
      </c>
      <c r="E1515" s="46" t="str">
        <f aca="false">IF(D1515&lt;&gt;"",IFERROR(VLOOKUP(D1515,PROVEEDORES!$A:$B,2,0),"!COD NO ENCONTRADO"),"")</f>
        <v>SUBASTAS RIVERA S.L.</v>
      </c>
      <c r="F1515" s="88" t="str">
        <f aca="false">IF(D1515&lt;&gt;"",IFERROR(VLOOKUP(D1515,PROVEEDORES!$A:$C,3,0),""),"")</f>
        <v>S</v>
      </c>
      <c r="G1515" s="87" t="s">
        <v>332</v>
      </c>
      <c r="H1515" s="46" t="str">
        <f aca="false">IF(G1515&lt;&gt;"",IFERROR(VLOOKUP(G1515,PRODUCTOS!$A:$B,2,0),"!COD NO ENCONTRADO"),"")</f>
        <v>VARIADO PEQUEÑO</v>
      </c>
      <c r="I1515" s="89" t="n">
        <v>2</v>
      </c>
      <c r="J1515" s="90" t="n">
        <v>21</v>
      </c>
      <c r="K1515" s="91" t="n">
        <v>1.3</v>
      </c>
      <c r="L1515" s="80" t="n">
        <f aca="false">IF(AND(J1515&lt;&gt;"",K1515&lt;&gt;""),J1515*K1515,"")</f>
        <v>27.3</v>
      </c>
      <c r="M1515" s="81" t="n">
        <f aca="false">IF(L1515&lt;&gt;"",L1515*1.1,"")</f>
        <v>30.03</v>
      </c>
      <c r="N1515" s="47" t="n">
        <f aca="false">IF(F1515="S",L1515*0.02,0)</f>
        <v>0.546</v>
      </c>
      <c r="O1515" s="82" t="n">
        <f aca="false">IF(L1515&lt;&gt;"",L1515+N1515,"")</f>
        <v>27.846</v>
      </c>
      <c r="P1515" s="47" t="n">
        <f aca="false">IF(O1515&lt;&gt;"",O1515*0.1,"")</f>
        <v>2.7846</v>
      </c>
      <c r="Q1515" s="83" t="n">
        <f aca="false">IF(O1515&lt;&gt;"",O1515+P1515,"")</f>
        <v>30.6306</v>
      </c>
      <c r="R1515" s="84" t="s">
        <v>365</v>
      </c>
    </row>
    <row r="1516" customFormat="false" ht="15" hidden="false" customHeight="true" outlineLevel="0" collapsed="false">
      <c r="A1516" s="103" t="n">
        <v>56288</v>
      </c>
      <c r="B1516" s="85" t="n">
        <v>46252</v>
      </c>
      <c r="C1516" s="86" t="s">
        <v>673</v>
      </c>
      <c r="D1516" s="87" t="n">
        <v>50163</v>
      </c>
      <c r="E1516" s="52" t="str">
        <f aca="false">IF(D1516&lt;&gt;"",IFERROR(VLOOKUP(D1516,PROVEEDORES!$A:$B,2,0),"!COD NO ENCONTRADO"),"")</f>
        <v>SUBASTAS RIVERA S.L.</v>
      </c>
      <c r="F1516" s="76" t="str">
        <f aca="false">IF(D1516&lt;&gt;"",IFERROR(VLOOKUP(D1516,PROVEEDORES!$A:$C,3,0),""),"")</f>
        <v>S</v>
      </c>
      <c r="G1516" s="75" t="s">
        <v>216</v>
      </c>
      <c r="H1516" s="52" t="str">
        <f aca="false">IF(G1516&lt;&gt;"",IFERROR(VLOOKUP(G1516,PRODUCTOS!$A:$B,2,0),"!COD NO ENCONTRADO"),"")</f>
        <v>MERLUZA EUROPEA PINCHO COSTA</v>
      </c>
      <c r="I1516" s="77" t="n">
        <v>1</v>
      </c>
      <c r="J1516" s="78" t="n">
        <v>15.25</v>
      </c>
      <c r="K1516" s="79" t="n">
        <v>10.9</v>
      </c>
      <c r="L1516" s="80" t="n">
        <f aca="false">IF(AND(J1516&lt;&gt;"",K1516&lt;&gt;""),J1516*K1516,"")</f>
        <v>166.225</v>
      </c>
      <c r="M1516" s="81" t="n">
        <f aca="false">IF(L1516&lt;&gt;"",L1516*1.1,"")</f>
        <v>182.8475</v>
      </c>
      <c r="N1516" s="53" t="n">
        <f aca="false">IF(F1516="S",L1516*0.02,0)</f>
        <v>3.3245</v>
      </c>
      <c r="O1516" s="82" t="n">
        <f aca="false">IF(L1516&lt;&gt;"",L1516+N1516,"")</f>
        <v>169.5495</v>
      </c>
      <c r="P1516" s="53" t="n">
        <f aca="false">IF(O1516&lt;&gt;"",O1516*0.1,"")</f>
        <v>16.95495</v>
      </c>
      <c r="Q1516" s="83" t="n">
        <f aca="false">IF(O1516&lt;&gt;"",O1516+P1516,"")</f>
        <v>186.50445</v>
      </c>
      <c r="R1516" s="84" t="s">
        <v>365</v>
      </c>
    </row>
    <row r="1517" customFormat="false" ht="15" hidden="false" customHeight="true" outlineLevel="0" collapsed="false">
      <c r="A1517" s="103" t="n">
        <v>56289</v>
      </c>
      <c r="B1517" s="85" t="n">
        <v>46252</v>
      </c>
      <c r="C1517" s="86" t="s">
        <v>674</v>
      </c>
      <c r="D1517" s="87" t="n">
        <v>50048</v>
      </c>
      <c r="E1517" s="46" t="str">
        <f aca="false">IF(D1517&lt;&gt;"",IFERROR(VLOOKUP(D1517,PROVEEDORES!$A:$B,2,0),"!COD NO ENCONTRADO"),"")</f>
        <v>JOSE LUIS CORREA KESSLER S.L.</v>
      </c>
      <c r="F1517" s="88" t="str">
        <f aca="false">IF(D1517&lt;&gt;"",IFERROR(VLOOKUP(D1517,PROVEEDORES!$A:$C,3,0),""),"")</f>
        <v>N</v>
      </c>
      <c r="G1517" s="87" t="s">
        <v>179</v>
      </c>
      <c r="H1517" s="46" t="str">
        <f aca="false">IF(G1517&lt;&gt;"",IFERROR(VLOOKUP(G1517,PRODUCTOS!$A:$B,2,0),"!COD NO ENCONTRADO"),"")</f>
        <v>LIRIO/ BACALADILLA/ PERLA (WHB)</v>
      </c>
      <c r="I1517" s="89" t="n">
        <v>60</v>
      </c>
      <c r="J1517" s="90" t="n">
        <v>360</v>
      </c>
      <c r="K1517" s="125" t="n">
        <v>1.55</v>
      </c>
      <c r="L1517" s="80" t="n">
        <f aca="false">IF(AND(J1517&lt;&gt;"",K1517&lt;&gt;""),J1517*K1517,"")</f>
        <v>558</v>
      </c>
      <c r="M1517" s="81" t="n">
        <f aca="false">IF(L1517&lt;&gt;"",L1517*1.1,"")</f>
        <v>613.8</v>
      </c>
      <c r="N1517" s="47" t="n">
        <f aca="false">IF(F1517="S",L1517*0.02,0)</f>
        <v>0</v>
      </c>
      <c r="O1517" s="82" t="n">
        <f aca="false">IF(L1517&lt;&gt;"",L1517+N1517,"")</f>
        <v>558</v>
      </c>
      <c r="P1517" s="47" t="n">
        <f aca="false">IF(O1517&lt;&gt;"",O1517*0.1,"")</f>
        <v>55.8</v>
      </c>
      <c r="Q1517" s="83" t="n">
        <f aca="false">IF(O1517&lt;&gt;"",O1517+P1517,"")</f>
        <v>613.8</v>
      </c>
      <c r="R1517" s="84" t="s">
        <v>358</v>
      </c>
    </row>
    <row r="1518" customFormat="false" ht="15" hidden="false" customHeight="true" outlineLevel="0" collapsed="false">
      <c r="A1518" s="103" t="n">
        <v>56289</v>
      </c>
      <c r="B1518" s="73" t="n">
        <v>46252</v>
      </c>
      <c r="C1518" s="74" t="s">
        <v>675</v>
      </c>
      <c r="D1518" s="75" t="n">
        <v>50048</v>
      </c>
      <c r="E1518" s="52" t="str">
        <f aca="false">IF(D1518&lt;&gt;"",IFERROR(VLOOKUP(D1518,PROVEEDORES!$A:$B,2,0),"!COD NO ENCONTRADO"),"")</f>
        <v>JOSE LUIS CORREA KESSLER S.L.</v>
      </c>
      <c r="F1518" s="76" t="str">
        <f aca="false">IF(D1518&lt;&gt;"",IFERROR(VLOOKUP(D1518,PROVEEDORES!$A:$C,3,0),""),"")</f>
        <v>N</v>
      </c>
      <c r="G1518" s="75" t="s">
        <v>324</v>
      </c>
      <c r="H1518" s="52" t="str">
        <f aca="false">IF(G1518&lt;&gt;"",IFERROR(VLOOKUP(G1518,PRODUCTOS!$A:$B,2,0),"!COD NO ENCONTRADO"),"")</f>
        <v>SARDINA    (PIL)</v>
      </c>
      <c r="I1518" s="77" t="n">
        <v>9</v>
      </c>
      <c r="J1518" s="78" t="n">
        <v>54</v>
      </c>
      <c r="K1518" s="125" t="n">
        <v>3.25</v>
      </c>
      <c r="L1518" s="80" t="n">
        <f aca="false">IF(AND(J1518&lt;&gt;"",K1518&lt;&gt;""),J1518*K1518,"")</f>
        <v>175.5</v>
      </c>
      <c r="M1518" s="81" t="n">
        <f aca="false">IF(L1518&lt;&gt;"",L1518*1.1,"")</f>
        <v>193.05</v>
      </c>
      <c r="N1518" s="53" t="n">
        <f aca="false">IF(F1518="S",L1518*0.02,0)</f>
        <v>0</v>
      </c>
      <c r="O1518" s="82" t="n">
        <f aca="false">IF(L1518&lt;&gt;"",L1518+N1518,"")</f>
        <v>175.5</v>
      </c>
      <c r="P1518" s="53" t="n">
        <f aca="false">IF(O1518&lt;&gt;"",O1518*0.1,"")</f>
        <v>17.55</v>
      </c>
      <c r="Q1518" s="83" t="n">
        <f aca="false">IF(O1518&lt;&gt;"",O1518+P1518,"")</f>
        <v>193.05</v>
      </c>
      <c r="R1518" s="84" t="s">
        <v>358</v>
      </c>
    </row>
    <row r="1519" customFormat="false" ht="15" hidden="false" customHeight="true" outlineLevel="0" collapsed="false">
      <c r="A1519" s="103" t="n">
        <v>56289</v>
      </c>
      <c r="B1519" s="85" t="n">
        <v>46252</v>
      </c>
      <c r="C1519" s="86" t="s">
        <v>676</v>
      </c>
      <c r="D1519" s="87" t="n">
        <v>50048</v>
      </c>
      <c r="E1519" s="46" t="str">
        <f aca="false">IF(D1519&lt;&gt;"",IFERROR(VLOOKUP(D1519,PROVEEDORES!$A:$B,2,0),"!COD NO ENCONTRADO"),"")</f>
        <v>JOSE LUIS CORREA KESSLER S.L.</v>
      </c>
      <c r="F1519" s="88" t="str">
        <f aca="false">IF(D1519&lt;&gt;"",IFERROR(VLOOKUP(D1519,PROVEEDORES!$A:$C,3,0),""),"")</f>
        <v>N</v>
      </c>
      <c r="G1519" s="87" t="s">
        <v>179</v>
      </c>
      <c r="H1519" s="46" t="str">
        <f aca="false">IF(G1519&lt;&gt;"",IFERROR(VLOOKUP(G1519,PRODUCTOS!$A:$B,2,0),"!COD NO ENCONTRADO"),"")</f>
        <v>LIRIO/ BACALADILLA/ PERLA (WHB)</v>
      </c>
      <c r="I1519" s="89" t="n">
        <v>6</v>
      </c>
      <c r="J1519" s="90" t="n">
        <v>36</v>
      </c>
      <c r="K1519" s="125" t="n">
        <v>2.25</v>
      </c>
      <c r="L1519" s="80" t="n">
        <f aca="false">IF(AND(J1519&lt;&gt;"",K1519&lt;&gt;""),J1519*K1519,"")</f>
        <v>81</v>
      </c>
      <c r="M1519" s="81" t="n">
        <f aca="false">IF(L1519&lt;&gt;"",L1519*1.1,"")</f>
        <v>89.1</v>
      </c>
      <c r="N1519" s="47" t="n">
        <f aca="false">IF(F1519="S",L1519*0.02,0)</f>
        <v>0</v>
      </c>
      <c r="O1519" s="82" t="n">
        <f aca="false">IF(L1519&lt;&gt;"",L1519+N1519,"")</f>
        <v>81</v>
      </c>
      <c r="P1519" s="47" t="n">
        <f aca="false">IF(O1519&lt;&gt;"",O1519*0.1,"")</f>
        <v>8.1</v>
      </c>
      <c r="Q1519" s="83" t="n">
        <f aca="false">IF(O1519&lt;&gt;"",O1519+P1519,"")</f>
        <v>89.1</v>
      </c>
      <c r="R1519" s="84" t="s">
        <v>358</v>
      </c>
    </row>
    <row r="1520" customFormat="false" ht="15" hidden="false" customHeight="true" outlineLevel="0" collapsed="false">
      <c r="A1520" s="103" t="n">
        <v>56290</v>
      </c>
      <c r="B1520" s="85" t="n">
        <v>46252</v>
      </c>
      <c r="C1520" s="86" t="s">
        <v>677</v>
      </c>
      <c r="D1520" s="87" t="n">
        <v>50035</v>
      </c>
      <c r="E1520" s="46" t="str">
        <f aca="false">IF(D1520&lt;&gt;"",IFERROR(VLOOKUP(D1520,PROVEEDORES!$A:$B,2,0),"!COD NO ENCONTRADO"),"")</f>
        <v>SCANFISK SEAFFOD S,L</v>
      </c>
      <c r="F1520" s="88" t="str">
        <f aca="false">IF(D1520&lt;&gt;"",IFERROR(VLOOKUP(D1520,PROVEEDORES!$A:$C,3,0),""),"")</f>
        <v>N</v>
      </c>
      <c r="G1520" s="87" t="s">
        <v>231</v>
      </c>
      <c r="H1520" s="46" t="str">
        <f aca="false">IF(G1520&lt;&gt;"",IFERROR(VLOOKUP(G1520,PRODUCTOS!$A:$B,2,0),"!COD NO ENCONTRADO"),"")</f>
        <v>MERLUZA EUROPEA PINCHO COSTA 2,5+</v>
      </c>
      <c r="I1520" s="89" t="n">
        <v>4</v>
      </c>
      <c r="J1520" s="90" t="n">
        <v>42.5</v>
      </c>
      <c r="K1520" s="91" t="n">
        <v>10.3</v>
      </c>
      <c r="L1520" s="80" t="n">
        <f aca="false">IF(AND(J1520&lt;&gt;"",K1520&lt;&gt;""),J1520*K1520,"")</f>
        <v>437.75</v>
      </c>
      <c r="M1520" s="81" t="n">
        <f aca="false">IF(L1520&lt;&gt;"",L1520*1.1,"")</f>
        <v>481.525</v>
      </c>
      <c r="N1520" s="47" t="n">
        <f aca="false">IF(F1520="S",L1520*0.02,0)</f>
        <v>0</v>
      </c>
      <c r="O1520" s="82" t="n">
        <f aca="false">IF(L1520&lt;&gt;"",L1520+N1520,"")</f>
        <v>437.75</v>
      </c>
      <c r="P1520" s="47" t="n">
        <f aca="false">IF(O1520&lt;&gt;"",O1520*0.1,"")</f>
        <v>43.775</v>
      </c>
      <c r="Q1520" s="83" t="n">
        <f aca="false">IF(O1520&lt;&gt;"",O1520+P1520,"")</f>
        <v>481.525</v>
      </c>
      <c r="R1520" s="84" t="s">
        <v>365</v>
      </c>
    </row>
    <row r="1521" customFormat="false" ht="15" hidden="false" customHeight="true" outlineLevel="0" collapsed="false">
      <c r="A1521" s="103" t="n">
        <v>56290</v>
      </c>
      <c r="B1521" s="73" t="n">
        <v>46252</v>
      </c>
      <c r="C1521" s="74" t="s">
        <v>678</v>
      </c>
      <c r="D1521" s="75" t="n">
        <v>50035</v>
      </c>
      <c r="E1521" s="52" t="str">
        <f aca="false">IF(D1521&lt;&gt;"",IFERROR(VLOOKUP(D1521,PROVEEDORES!$A:$B,2,0),"!COD NO ENCONTRADO"),"")</f>
        <v>SCANFISK SEAFFOD S,L</v>
      </c>
      <c r="F1521" s="76" t="str">
        <f aca="false">IF(D1521&lt;&gt;"",IFERROR(VLOOKUP(D1521,PROVEEDORES!$A:$C,3,0),""),"")</f>
        <v>N</v>
      </c>
      <c r="G1521" s="75" t="s">
        <v>221</v>
      </c>
      <c r="H1521" s="52" t="str">
        <f aca="false">IF(G1521&lt;&gt;"",IFERROR(VLOOKUP(G1521,PRODUCTOS!$A:$B,2,0),"!COD NO ENCONTRADO"),"")</f>
        <v>MERLUZA EUROPEA PINCHO COSTA 800</v>
      </c>
      <c r="I1521" s="77" t="n">
        <v>7</v>
      </c>
      <c r="J1521" s="78" t="n">
        <v>119.5</v>
      </c>
      <c r="K1521" s="79" t="n">
        <v>6.3</v>
      </c>
      <c r="L1521" s="80" t="n">
        <f aca="false">IF(AND(J1521&lt;&gt;"",K1521&lt;&gt;""),J1521*K1521,"")</f>
        <v>752.85</v>
      </c>
      <c r="M1521" s="81" t="n">
        <f aca="false">IF(L1521&lt;&gt;"",L1521*1.1,"")</f>
        <v>828.135</v>
      </c>
      <c r="N1521" s="53" t="n">
        <f aca="false">IF(F1521="S",L1521*0.02,0)</f>
        <v>0</v>
      </c>
      <c r="O1521" s="82" t="n">
        <f aca="false">IF(L1521&lt;&gt;"",L1521+N1521,"")</f>
        <v>752.85</v>
      </c>
      <c r="P1521" s="53" t="n">
        <f aca="false">IF(O1521&lt;&gt;"",O1521*0.1,"")</f>
        <v>75.285</v>
      </c>
      <c r="Q1521" s="83" t="n">
        <f aca="false">IF(O1521&lt;&gt;"",O1521+P1521,"")</f>
        <v>828.135</v>
      </c>
      <c r="R1521" s="84" t="s">
        <v>365</v>
      </c>
    </row>
    <row r="1522" customFormat="false" ht="15" hidden="false" customHeight="true" outlineLevel="0" collapsed="false">
      <c r="A1522" s="103" t="n">
        <v>56291</v>
      </c>
      <c r="B1522" s="73" t="n">
        <v>46252</v>
      </c>
      <c r="C1522" s="74" t="s">
        <v>679</v>
      </c>
      <c r="D1522" s="75" t="n">
        <v>50164</v>
      </c>
      <c r="E1522" s="52" t="str">
        <f aca="false">IF(D1522&lt;&gt;"",IFERROR(VLOOKUP(D1522,PROVEEDORES!$A:$B,2,0),"!COD NO ENCONTRADO"),"")</f>
        <v>ABRGO NORTE S.L.</v>
      </c>
      <c r="F1522" s="76" t="str">
        <f aca="false">IF(D1522&lt;&gt;"",IFERROR(VLOOKUP(D1522,PROVEEDORES!$A:$C,3,0),""),"")</f>
        <v>N</v>
      </c>
      <c r="G1522" s="75" t="s">
        <v>302</v>
      </c>
      <c r="H1522" s="52" t="str">
        <f aca="false">IF(G1522&lt;&gt;"",IFERROR(VLOOKUP(G1522,PRODUCTOS!$A:$B,2,0),"!COD NO ENCONTRADO"),"")</f>
        <v>RAYA COMUN (ALAS)</v>
      </c>
      <c r="I1522" s="77" t="n">
        <v>3</v>
      </c>
      <c r="J1522" s="78" t="n">
        <v>15</v>
      </c>
      <c r="K1522" s="79" t="n">
        <v>8.6</v>
      </c>
      <c r="L1522" s="80" t="n">
        <f aca="false">IF(AND(J1522&lt;&gt;"",K1522&lt;&gt;""),J1522*K1522,"")</f>
        <v>129</v>
      </c>
      <c r="M1522" s="81" t="n">
        <f aca="false">IF(L1522&lt;&gt;"",L1522*1.1,"")</f>
        <v>141.9</v>
      </c>
      <c r="N1522" s="53" t="n">
        <f aca="false">IF(F1522="S",L1522*0.02,0)</f>
        <v>0</v>
      </c>
      <c r="O1522" s="82" t="n">
        <f aca="false">IF(L1522&lt;&gt;"",L1522+N1522,"")</f>
        <v>129</v>
      </c>
      <c r="P1522" s="53" t="n">
        <f aca="false">IF(O1522&lt;&gt;"",O1522*0.1,"")</f>
        <v>12.9</v>
      </c>
      <c r="Q1522" s="83" t="n">
        <f aca="false">IF(O1522&lt;&gt;"",O1522+P1522,"")</f>
        <v>141.9</v>
      </c>
      <c r="R1522" s="84" t="s">
        <v>365</v>
      </c>
    </row>
    <row r="1523" customFormat="false" ht="15" hidden="false" customHeight="true" outlineLevel="0" collapsed="false">
      <c r="A1523" s="103" t="n">
        <v>56292</v>
      </c>
      <c r="B1523" s="85" t="n">
        <v>46253</v>
      </c>
      <c r="C1523" s="86" t="s">
        <v>680</v>
      </c>
      <c r="D1523" s="87" t="n">
        <v>50525</v>
      </c>
      <c r="E1523" s="46" t="str">
        <f aca="false">IF(D1523&lt;&gt;"",IFERROR(VLOOKUP(D1523,PROVEEDORES!$A:$B,2,0),"!COD NO ENCONTRADO"),"")</f>
        <v>FURIC MAREE</v>
      </c>
      <c r="F1523" s="88" t="str">
        <f aca="false">IF(D1523&lt;&gt;"",IFERROR(VLOOKUP(D1523,PROVEEDORES!$A:$C,3,0),""),"")</f>
        <v>N</v>
      </c>
      <c r="G1523" s="87" t="s">
        <v>318</v>
      </c>
      <c r="H1523" s="46" t="str">
        <f aca="false">IF(G1523&lt;&gt;"",IFERROR(VLOOKUP(G1523,PRODUCTOS!$A:$B,2,0),"!COD NO ENCONTRADO"),"")</f>
        <v>SAN MARTIÑOS/ SAN PEDROS (JOD)</v>
      </c>
      <c r="I1523" s="89" t="n">
        <v>3</v>
      </c>
      <c r="J1523" s="90" t="n">
        <v>17.9</v>
      </c>
      <c r="K1523" s="91" t="n">
        <v>20.2</v>
      </c>
      <c r="L1523" s="80" t="n">
        <f aca="false">IF(AND(J1523&lt;&gt;"",K1523&lt;&gt;""),J1523*K1523,"")</f>
        <v>361.58</v>
      </c>
      <c r="M1523" s="81" t="n">
        <f aca="false">IF(L1523&lt;&gt;"",L1523*1.1,"")</f>
        <v>397.738</v>
      </c>
      <c r="N1523" s="47" t="n">
        <f aca="false">IF(F1523="S",L1523*0.02,0)</f>
        <v>0</v>
      </c>
      <c r="O1523" s="82" t="n">
        <f aca="false">IF(L1523&lt;&gt;"",L1523+N1523,"")</f>
        <v>361.58</v>
      </c>
      <c r="P1523" s="47" t="n">
        <f aca="false">IF(O1523&lt;&gt;"",O1523*0.1,"")</f>
        <v>36.158</v>
      </c>
      <c r="Q1523" s="83" t="n">
        <f aca="false">IF(O1523&lt;&gt;"",O1523+P1523,"")</f>
        <v>397.738</v>
      </c>
      <c r="R1523" s="84" t="s">
        <v>365</v>
      </c>
    </row>
    <row r="1524" customFormat="false" ht="15" hidden="false" customHeight="true" outlineLevel="0" collapsed="false">
      <c r="A1524" s="103" t="n">
        <v>56292</v>
      </c>
      <c r="B1524" s="73" t="n">
        <v>46253</v>
      </c>
      <c r="C1524" s="74" t="s">
        <v>680</v>
      </c>
      <c r="D1524" s="75" t="n">
        <v>50525</v>
      </c>
      <c r="E1524" s="52" t="str">
        <f aca="false">IF(D1524&lt;&gt;"",IFERROR(VLOOKUP(D1524,PROVEEDORES!$A:$B,2,0),"!COD NO ENCONTRADO"),"")</f>
        <v>FURIC MAREE</v>
      </c>
      <c r="F1524" s="76" t="str">
        <f aca="false">IF(D1524&lt;&gt;"",IFERROR(VLOOKUP(D1524,PROVEEDORES!$A:$C,3,0),""),"")</f>
        <v>N</v>
      </c>
      <c r="G1524" s="75" t="s">
        <v>318</v>
      </c>
      <c r="H1524" s="52" t="str">
        <f aca="false">IF(G1524&lt;&gt;"",IFERROR(VLOOKUP(G1524,PRODUCTOS!$A:$B,2,0),"!COD NO ENCONTRADO"),"")</f>
        <v>SAN MARTIÑOS/ SAN PEDROS (JOD)</v>
      </c>
      <c r="I1524" s="77" t="n">
        <v>3</v>
      </c>
      <c r="J1524" s="78" t="n">
        <v>18.3</v>
      </c>
      <c r="K1524" s="79" t="n">
        <v>17.2</v>
      </c>
      <c r="L1524" s="80" t="n">
        <f aca="false">IF(AND(J1524&lt;&gt;"",K1524&lt;&gt;""),J1524*K1524,"")</f>
        <v>314.76</v>
      </c>
      <c r="M1524" s="81" t="n">
        <f aca="false">IF(L1524&lt;&gt;"",L1524*1.1,"")</f>
        <v>346.236</v>
      </c>
      <c r="N1524" s="53" t="n">
        <f aca="false">IF(F1524="S",L1524*0.02,0)</f>
        <v>0</v>
      </c>
      <c r="O1524" s="82" t="n">
        <f aca="false">IF(L1524&lt;&gt;"",L1524+N1524,"")</f>
        <v>314.76</v>
      </c>
      <c r="P1524" s="53" t="n">
        <f aca="false">IF(O1524&lt;&gt;"",O1524*0.1,"")</f>
        <v>31.476</v>
      </c>
      <c r="Q1524" s="83" t="n">
        <f aca="false">IF(O1524&lt;&gt;"",O1524+P1524,"")</f>
        <v>346.236</v>
      </c>
      <c r="R1524" s="84" t="s">
        <v>365</v>
      </c>
    </row>
    <row r="1525" customFormat="false" ht="15" hidden="false" customHeight="true" outlineLevel="0" collapsed="false">
      <c r="A1525" s="103" t="n">
        <v>56293</v>
      </c>
      <c r="B1525" s="73" t="n">
        <v>46253</v>
      </c>
      <c r="C1525" s="86" t="s">
        <v>681</v>
      </c>
      <c r="D1525" s="87" t="n">
        <v>50232</v>
      </c>
      <c r="E1525" s="46" t="str">
        <f aca="false">IF(D1525&lt;&gt;"",IFERROR(VLOOKUP(D1525,PROVEEDORES!$A:$B,2,0),"!COD NO ENCONTRADO"),"")</f>
        <v>XESTION NOVA LONXA RIVEIRA S.L.</v>
      </c>
      <c r="F1525" s="88" t="str">
        <f aca="false">IF(D1525&lt;&gt;"",IFERROR(VLOOKUP(D1525,PROVEEDORES!$A:$C,3,0),""),"")</f>
        <v>S</v>
      </c>
      <c r="G1525" s="87" t="s">
        <v>276</v>
      </c>
      <c r="H1525" s="46" t="str">
        <f aca="false">IF(G1525&lt;&gt;"",IFERROR(VLOOKUP(G1525,PRODUCTOS!$A:$B,2,0),"!COD NO ENCONTRADO"),"")</f>
        <v>MERLUZA EUROPEA/ FINA DIA </v>
      </c>
      <c r="I1525" s="89" t="n">
        <v>1</v>
      </c>
      <c r="J1525" s="90" t="n">
        <v>6</v>
      </c>
      <c r="K1525" s="91" t="n">
        <v>2.5</v>
      </c>
      <c r="L1525" s="80" t="n">
        <f aca="false">IF(AND(J1525&lt;&gt;"",K1525&lt;&gt;""),J1525*K1525,"")</f>
        <v>15</v>
      </c>
      <c r="M1525" s="81" t="n">
        <f aca="false">IF(L1525&lt;&gt;"",L1525*1.1,"")</f>
        <v>16.5</v>
      </c>
      <c r="N1525" s="47" t="n">
        <f aca="false">IF(F1525="S",L1525*0.02,0)</f>
        <v>0.3</v>
      </c>
      <c r="O1525" s="82" t="n">
        <f aca="false">IF(L1525&lt;&gt;"",L1525+N1525,"")</f>
        <v>15.3</v>
      </c>
      <c r="P1525" s="47" t="n">
        <f aca="false">IF(O1525&lt;&gt;"",O1525*0.1,"")</f>
        <v>1.53</v>
      </c>
      <c r="Q1525" s="83" t="n">
        <f aca="false">IF(O1525&lt;&gt;"",O1525+P1525,"")</f>
        <v>16.83</v>
      </c>
      <c r="R1525" s="84" t="s">
        <v>358</v>
      </c>
    </row>
    <row r="1526" customFormat="false" ht="15" hidden="false" customHeight="true" outlineLevel="0" collapsed="false">
      <c r="A1526" s="103" t="n">
        <v>56293</v>
      </c>
      <c r="B1526" s="73" t="n">
        <v>46253</v>
      </c>
      <c r="C1526" s="86" t="s">
        <v>681</v>
      </c>
      <c r="D1526" s="87" t="n">
        <v>50232</v>
      </c>
      <c r="E1526" s="52" t="str">
        <f aca="false">IF(D1526&lt;&gt;"",IFERROR(VLOOKUP(D1526,PROVEEDORES!$A:$B,2,0),"!COD NO ENCONTRADO"),"")</f>
        <v>XESTION NOVA LONXA RIVEIRA S.L.</v>
      </c>
      <c r="F1526" s="76" t="str">
        <f aca="false">IF(D1526&lt;&gt;"",IFERROR(VLOOKUP(D1526,PROVEEDORES!$A:$C,3,0),""),"")</f>
        <v>S</v>
      </c>
      <c r="G1526" s="75" t="s">
        <v>310</v>
      </c>
      <c r="H1526" s="52" t="str">
        <f aca="false">IF(G1526&lt;&gt;"",IFERROR(VLOOKUP(G1526,PRODUCTOS!$A:$B,2,0),"!COD NO ENCONTRADO"),"")</f>
        <v>SABOGA/ SALEMA/ SALMA (SLM)</v>
      </c>
      <c r="I1526" s="77" t="n">
        <v>1</v>
      </c>
      <c r="J1526" s="78" t="n">
        <v>11.2</v>
      </c>
      <c r="K1526" s="79" t="n">
        <v>0.8</v>
      </c>
      <c r="L1526" s="80" t="n">
        <f aca="false">IF(AND(J1526&lt;&gt;"",K1526&lt;&gt;""),J1526*K1526,"")</f>
        <v>8.96</v>
      </c>
      <c r="M1526" s="81" t="n">
        <f aca="false">IF(L1526&lt;&gt;"",L1526*1.1,"")</f>
        <v>9.856</v>
      </c>
      <c r="N1526" s="53" t="n">
        <f aca="false">IF(F1526="S",L1526*0.02,0)</f>
        <v>0.1792</v>
      </c>
      <c r="O1526" s="82" t="n">
        <f aca="false">IF(L1526&lt;&gt;"",L1526+N1526,"")</f>
        <v>9.1392</v>
      </c>
      <c r="P1526" s="53" t="n">
        <f aca="false">IF(O1526&lt;&gt;"",O1526*0.1,"")</f>
        <v>0.91392</v>
      </c>
      <c r="Q1526" s="83" t="n">
        <f aca="false">IF(O1526&lt;&gt;"",O1526+P1526,"")</f>
        <v>10.05312</v>
      </c>
      <c r="R1526" s="84" t="s">
        <v>358</v>
      </c>
    </row>
    <row r="1527" customFormat="false" ht="15" hidden="false" customHeight="true" outlineLevel="0" collapsed="false">
      <c r="A1527" s="103" t="n">
        <v>56293</v>
      </c>
      <c r="B1527" s="73" t="n">
        <v>46253</v>
      </c>
      <c r="C1527" s="86" t="s">
        <v>681</v>
      </c>
      <c r="D1527" s="87" t="n">
        <v>50232</v>
      </c>
      <c r="E1527" s="46" t="str">
        <f aca="false">IF(D1527&lt;&gt;"",IFERROR(VLOOKUP(D1527,PROVEEDORES!$A:$B,2,0),"!COD NO ENCONTRADO"),"")</f>
        <v>XESTION NOVA LONXA RIVEIRA S.L.</v>
      </c>
      <c r="F1527" s="88" t="str">
        <f aca="false">IF(D1527&lt;&gt;"",IFERROR(VLOOKUP(D1527,PROVEEDORES!$A:$C,3,0),""),"")</f>
        <v>S</v>
      </c>
      <c r="G1527" s="87" t="s">
        <v>97</v>
      </c>
      <c r="H1527" s="46" t="str">
        <f aca="false">IF(G1527&lt;&gt;"",IFERROR(VLOOKUP(G1527,PRODUCTOS!$A:$B,2,0),"!COD NO ENCONTRADO"),"")</f>
        <v>CABALL/ SARDA/ VERDEL (MAC)</v>
      </c>
      <c r="I1527" s="89" t="n">
        <v>9</v>
      </c>
      <c r="J1527" s="90" t="n">
        <v>74.2</v>
      </c>
      <c r="K1527" s="91" t="n">
        <v>3.5</v>
      </c>
      <c r="L1527" s="80" t="n">
        <f aca="false">IF(AND(J1527&lt;&gt;"",K1527&lt;&gt;""),J1527*K1527,"")</f>
        <v>259.7</v>
      </c>
      <c r="M1527" s="81" t="n">
        <f aca="false">IF(L1527&lt;&gt;"",L1527*1.1,"")</f>
        <v>285.67</v>
      </c>
      <c r="N1527" s="47" t="n">
        <f aca="false">IF(F1527="S",L1527*0.02,0)</f>
        <v>5.194</v>
      </c>
      <c r="O1527" s="82" t="n">
        <f aca="false">IF(L1527&lt;&gt;"",L1527+N1527,"")</f>
        <v>264.894</v>
      </c>
      <c r="P1527" s="47" t="n">
        <f aca="false">IF(O1527&lt;&gt;"",O1527*0.1,"")</f>
        <v>26.4894</v>
      </c>
      <c r="Q1527" s="83" t="n">
        <f aca="false">IF(O1527&lt;&gt;"",O1527+P1527,"")</f>
        <v>291.3834</v>
      </c>
      <c r="R1527" s="84" t="s">
        <v>358</v>
      </c>
    </row>
    <row r="1528" customFormat="false" ht="15" hidden="false" customHeight="true" outlineLevel="0" collapsed="false">
      <c r="A1528" s="103" t="n">
        <v>56293</v>
      </c>
      <c r="B1528" s="73" t="n">
        <v>46253</v>
      </c>
      <c r="C1528" s="86" t="s">
        <v>681</v>
      </c>
      <c r="D1528" s="87" t="n">
        <v>50232</v>
      </c>
      <c r="E1528" s="52" t="str">
        <f aca="false">IF(D1528&lt;&gt;"",IFERROR(VLOOKUP(D1528,PROVEEDORES!$A:$B,2,0),"!COD NO ENCONTRADO"),"")</f>
        <v>XESTION NOVA LONXA RIVEIRA S.L.</v>
      </c>
      <c r="F1528" s="76" t="str">
        <f aca="false">IF(D1528&lt;&gt;"",IFERROR(VLOOKUP(D1528,PROVEEDORES!$A:$C,3,0),""),"")</f>
        <v>S</v>
      </c>
      <c r="G1528" s="75" t="s">
        <v>179</v>
      </c>
      <c r="H1528" s="52" t="str">
        <f aca="false">IF(G1528&lt;&gt;"",IFERROR(VLOOKUP(G1528,PRODUCTOS!$A:$B,2,0),"!COD NO ENCONTRADO"),"")</f>
        <v>LIRIO/ BACALADILLA/ PERLA (WHB)</v>
      </c>
      <c r="I1528" s="77" t="n">
        <v>10</v>
      </c>
      <c r="J1528" s="78" t="n">
        <v>150</v>
      </c>
      <c r="K1528" s="79" t="n">
        <v>1.8</v>
      </c>
      <c r="L1528" s="80" t="n">
        <f aca="false">IF(AND(J1528&lt;&gt;"",K1528&lt;&gt;""),J1528*K1528,"")</f>
        <v>270</v>
      </c>
      <c r="M1528" s="81" t="n">
        <f aca="false">IF(L1528&lt;&gt;"",L1528*1.1,"")</f>
        <v>297</v>
      </c>
      <c r="N1528" s="53" t="n">
        <f aca="false">IF(F1528="S",L1528*0.02,0)</f>
        <v>5.4</v>
      </c>
      <c r="O1528" s="82" t="n">
        <f aca="false">IF(L1528&lt;&gt;"",L1528+N1528,"")</f>
        <v>275.4</v>
      </c>
      <c r="P1528" s="53" t="n">
        <f aca="false">IF(O1528&lt;&gt;"",O1528*0.1,"")</f>
        <v>27.54</v>
      </c>
      <c r="Q1528" s="83" t="n">
        <f aca="false">IF(O1528&lt;&gt;"",O1528+P1528,"")</f>
        <v>302.94</v>
      </c>
      <c r="R1528" s="84" t="s">
        <v>358</v>
      </c>
    </row>
    <row r="1529" customFormat="false" ht="15" hidden="false" customHeight="true" outlineLevel="0" collapsed="false">
      <c r="A1529" s="103" t="n">
        <v>56293</v>
      </c>
      <c r="B1529" s="73" t="n">
        <v>46253</v>
      </c>
      <c r="C1529" s="86" t="s">
        <v>681</v>
      </c>
      <c r="D1529" s="87" t="n">
        <v>50232</v>
      </c>
      <c r="E1529" s="46" t="str">
        <f aca="false">IF(D1529&lt;&gt;"",IFERROR(VLOOKUP(D1529,PROVEEDORES!$A:$B,2,0),"!COD NO ENCONTRADO"),"")</f>
        <v>XESTION NOVA LONXA RIVEIRA S.L.</v>
      </c>
      <c r="F1529" s="88" t="str">
        <f aca="false">IF(D1529&lt;&gt;"",IFERROR(VLOOKUP(D1529,PROVEEDORES!$A:$C,3,0),""),"")</f>
        <v>S</v>
      </c>
      <c r="G1529" s="87" t="s">
        <v>179</v>
      </c>
      <c r="H1529" s="46" t="str">
        <f aca="false">IF(G1529&lt;&gt;"",IFERROR(VLOOKUP(G1529,PRODUCTOS!$A:$B,2,0),"!COD NO ENCONTRADO"),"")</f>
        <v>LIRIO/ BACALADILLA/ PERLA (WHB)</v>
      </c>
      <c r="I1529" s="89" t="n">
        <v>10</v>
      </c>
      <c r="J1529" s="90" t="n">
        <v>155.6</v>
      </c>
      <c r="K1529" s="91" t="n">
        <v>1.8</v>
      </c>
      <c r="L1529" s="80" t="n">
        <f aca="false">IF(AND(J1529&lt;&gt;"",K1529&lt;&gt;""),J1529*K1529,"")</f>
        <v>280.08</v>
      </c>
      <c r="M1529" s="81" t="n">
        <f aca="false">IF(L1529&lt;&gt;"",L1529*1.1,"")</f>
        <v>308.088</v>
      </c>
      <c r="N1529" s="47" t="n">
        <f aca="false">IF(F1529="S",L1529*0.02,0)</f>
        <v>5.6016</v>
      </c>
      <c r="O1529" s="82" t="n">
        <f aca="false">IF(L1529&lt;&gt;"",L1529+N1529,"")</f>
        <v>285.6816</v>
      </c>
      <c r="P1529" s="47" t="n">
        <f aca="false">IF(O1529&lt;&gt;"",O1529*0.1,"")</f>
        <v>28.56816</v>
      </c>
      <c r="Q1529" s="83" t="n">
        <f aca="false">IF(O1529&lt;&gt;"",O1529+P1529,"")</f>
        <v>314.24976</v>
      </c>
      <c r="R1529" s="84" t="s">
        <v>358</v>
      </c>
    </row>
    <row r="1530" customFormat="false" ht="15" hidden="false" customHeight="true" outlineLevel="0" collapsed="false">
      <c r="A1530" s="103" t="n">
        <v>56294</v>
      </c>
      <c r="B1530" s="73" t="n">
        <v>46253</v>
      </c>
      <c r="C1530" s="74" t="s">
        <v>682</v>
      </c>
      <c r="D1530" s="75" t="n">
        <v>50001</v>
      </c>
      <c r="E1530" s="52" t="str">
        <f aca="false">IF(D1530&lt;&gt;"",IFERROR(VLOOKUP(D1530,PROVEEDORES!$A:$B,2,0),"!COD NO ENCONTRADO"),"")</f>
        <v>COPESA</v>
      </c>
      <c r="F1530" s="76" t="str">
        <f aca="false">IF(D1530&lt;&gt;"",IFERROR(VLOOKUP(D1530,PROVEEDORES!$A:$C,3,0),""),"")</f>
        <v>S</v>
      </c>
      <c r="G1530" s="75" t="s">
        <v>115</v>
      </c>
      <c r="H1530" s="52" t="str">
        <f aca="false">IF(G1530&lt;&gt;"",IFERROR(VLOOKUP(G1530,PRODUCTOS!$A:$B,2,0),"!COD NO ENCONTRADO"),"")</f>
        <v>CHICHARRO/ JUREL/ XURELO (HOM)</v>
      </c>
      <c r="I1530" s="77" t="n">
        <v>1</v>
      </c>
      <c r="J1530" s="150" t="n">
        <v>12.75</v>
      </c>
      <c r="K1530" s="151" t="n">
        <v>4.5</v>
      </c>
      <c r="L1530" s="80" t="n">
        <f aca="false">IF(AND(J1530&lt;&gt;"",K1530&lt;&gt;""),J1530*K1530,"")</f>
        <v>57.375</v>
      </c>
      <c r="M1530" s="81" t="n">
        <f aca="false">IF(L1530&lt;&gt;"",L1530*1.1,"")</f>
        <v>63.1125</v>
      </c>
      <c r="N1530" s="53" t="n">
        <f aca="false">IF(F1530="S",L1530*0.02,0)</f>
        <v>1.1475</v>
      </c>
      <c r="O1530" s="82" t="n">
        <f aca="false">IF(L1530&lt;&gt;"",L1530+N1530,"")</f>
        <v>58.5225</v>
      </c>
      <c r="P1530" s="53" t="n">
        <f aca="false">IF(O1530&lt;&gt;"",O1530*0.1,"")</f>
        <v>5.85225</v>
      </c>
      <c r="Q1530" s="83" t="n">
        <f aca="false">IF(O1530&lt;&gt;"",O1530+P1530,"")</f>
        <v>64.37475</v>
      </c>
      <c r="R1530" s="84" t="s">
        <v>358</v>
      </c>
    </row>
    <row r="1531" customFormat="false" ht="15" hidden="false" customHeight="true" outlineLevel="0" collapsed="false">
      <c r="A1531" s="103" t="n">
        <v>56294</v>
      </c>
      <c r="B1531" s="73" t="n">
        <v>46253</v>
      </c>
      <c r="C1531" s="74" t="s">
        <v>682</v>
      </c>
      <c r="D1531" s="75" t="n">
        <v>50001</v>
      </c>
      <c r="E1531" s="52" t="str">
        <f aca="false">IF(D1531&lt;&gt;"",IFERROR(VLOOKUP(D1531,PROVEEDORES!$A:$B,2,0),"!COD NO ENCONTRADO"),"")</f>
        <v>COPESA</v>
      </c>
      <c r="F1531" s="76" t="str">
        <f aca="false">IF(D1531&lt;&gt;"",IFERROR(VLOOKUP(D1531,PROVEEDORES!$A:$C,3,0),""),"")</f>
        <v>S</v>
      </c>
      <c r="G1531" s="75" t="s">
        <v>276</v>
      </c>
      <c r="H1531" s="52" t="str">
        <f aca="false">IF(G1531&lt;&gt;"",IFERROR(VLOOKUP(G1531,PRODUCTOS!$A:$B,2,0),"!COD NO ENCONTRADO"),"")</f>
        <v>MERLUZA EUROPEA/ FINA DIA </v>
      </c>
      <c r="I1531" s="77" t="n">
        <v>11</v>
      </c>
      <c r="J1531" s="78" t="n">
        <v>68.5</v>
      </c>
      <c r="K1531" s="79" t="n">
        <v>1.7</v>
      </c>
      <c r="L1531" s="80" t="n">
        <f aca="false">IF(AND(J1531&lt;&gt;"",K1531&lt;&gt;""),J1531*K1531,"")</f>
        <v>116.45</v>
      </c>
      <c r="M1531" s="81" t="n">
        <f aca="false">IF(L1531&lt;&gt;"",L1531*1.1,"")</f>
        <v>128.095</v>
      </c>
      <c r="N1531" s="53" t="n">
        <f aca="false">IF(F1531="S",L1531*0.02,0)</f>
        <v>2.329</v>
      </c>
      <c r="O1531" s="82" t="n">
        <f aca="false">IF(L1531&lt;&gt;"",L1531+N1531,"")</f>
        <v>118.779</v>
      </c>
      <c r="P1531" s="53" t="n">
        <f aca="false">IF(O1531&lt;&gt;"",O1531*0.1,"")</f>
        <v>11.8779</v>
      </c>
      <c r="Q1531" s="83" t="n">
        <f aca="false">IF(O1531&lt;&gt;"",O1531+P1531,"")</f>
        <v>130.6569</v>
      </c>
      <c r="R1531" s="84" t="s">
        <v>358</v>
      </c>
    </row>
    <row r="1532" customFormat="false" ht="15" hidden="false" customHeight="true" outlineLevel="0" collapsed="false">
      <c r="A1532" s="103" t="n">
        <v>56294</v>
      </c>
      <c r="B1532" s="73" t="n">
        <v>46253</v>
      </c>
      <c r="C1532" s="86" t="s">
        <v>682</v>
      </c>
      <c r="D1532" s="75" t="n">
        <v>50001</v>
      </c>
      <c r="E1532" s="46" t="str">
        <f aca="false">IF(D1532&lt;&gt;"",IFERROR(VLOOKUP(D1532,PROVEEDORES!$A:$B,2,0),"!COD NO ENCONTRADO"),"")</f>
        <v>COPESA</v>
      </c>
      <c r="F1532" s="88" t="str">
        <f aca="false">IF(D1532&lt;&gt;"",IFERROR(VLOOKUP(D1532,PROVEEDORES!$A:$C,3,0),""),"")</f>
        <v>S</v>
      </c>
      <c r="G1532" s="75" t="s">
        <v>276</v>
      </c>
      <c r="H1532" s="46" t="str">
        <f aca="false">IF(G1532&lt;&gt;"",IFERROR(VLOOKUP(G1532,PRODUCTOS!$A:$B,2,0),"!COD NO ENCONTRADO"),"")</f>
        <v>MERLUZA EUROPEA/ FINA DIA </v>
      </c>
      <c r="I1532" s="89" t="n">
        <v>3</v>
      </c>
      <c r="J1532" s="90" t="n">
        <v>22.5</v>
      </c>
      <c r="K1532" s="91" t="n">
        <v>3.3</v>
      </c>
      <c r="L1532" s="80" t="n">
        <f aca="false">IF(AND(J1532&lt;&gt;"",K1532&lt;&gt;""),J1532*K1532,"")</f>
        <v>74.25</v>
      </c>
      <c r="M1532" s="81" t="n">
        <f aca="false">IF(L1532&lt;&gt;"",L1532*1.1,"")</f>
        <v>81.675</v>
      </c>
      <c r="N1532" s="47" t="n">
        <f aca="false">IF(F1532="S",L1532*0.02,0)</f>
        <v>1.485</v>
      </c>
      <c r="O1532" s="82" t="n">
        <f aca="false">IF(L1532&lt;&gt;"",L1532+N1532,"")</f>
        <v>75.735</v>
      </c>
      <c r="P1532" s="47" t="n">
        <f aca="false">IF(O1532&lt;&gt;"",O1532*0.1,"")</f>
        <v>7.5735</v>
      </c>
      <c r="Q1532" s="83" t="n">
        <f aca="false">IF(O1532&lt;&gt;"",O1532+P1532,"")</f>
        <v>83.3085</v>
      </c>
      <c r="R1532" s="84" t="s">
        <v>358</v>
      </c>
    </row>
    <row r="1533" customFormat="false" ht="15" hidden="false" customHeight="true" outlineLevel="0" collapsed="false">
      <c r="A1533" s="103" t="n">
        <v>56295</v>
      </c>
      <c r="B1533" s="73" t="n">
        <v>46253</v>
      </c>
      <c r="C1533" s="86" t="s">
        <v>682</v>
      </c>
      <c r="D1533" s="87" t="n">
        <v>50001</v>
      </c>
      <c r="E1533" s="46" t="str">
        <f aca="false">IF(D1533&lt;&gt;"",IFERROR(VLOOKUP(D1533,PROVEEDORES!$A:$B,2,0),"!COD NO ENCONTRADO"),"")</f>
        <v>COPESA</v>
      </c>
      <c r="F1533" s="88" t="str">
        <f aca="false">IF(D1533&lt;&gt;"",IFERROR(VLOOKUP(D1533,PROVEEDORES!$A:$C,3,0),""),"")</f>
        <v>S</v>
      </c>
      <c r="G1533" s="87" t="s">
        <v>276</v>
      </c>
      <c r="H1533" s="46" t="str">
        <f aca="false">IF(G1533&lt;&gt;"",IFERROR(VLOOKUP(G1533,PRODUCTOS!$A:$B,2,0),"!COD NO ENCONTRADO"),"")</f>
        <v>MERLUZA EUROPEA/ FINA DIA </v>
      </c>
      <c r="I1533" s="89" t="n">
        <v>4</v>
      </c>
      <c r="J1533" s="90" t="n">
        <v>26</v>
      </c>
      <c r="K1533" s="91" t="n">
        <v>3.2</v>
      </c>
      <c r="L1533" s="80" t="n">
        <f aca="false">IF(AND(J1533&lt;&gt;"",K1533&lt;&gt;""),J1533*K1533,"")</f>
        <v>83.2</v>
      </c>
      <c r="M1533" s="81" t="n">
        <f aca="false">IF(L1533&lt;&gt;"",L1533*1.1,"")</f>
        <v>91.52</v>
      </c>
      <c r="N1533" s="47" t="n">
        <f aca="false">IF(F1533="S",L1533*0.02,0)</f>
        <v>1.664</v>
      </c>
      <c r="O1533" s="82" t="n">
        <f aca="false">IF(L1533&lt;&gt;"",L1533+N1533,"")</f>
        <v>84.864</v>
      </c>
      <c r="P1533" s="47" t="n">
        <f aca="false">IF(O1533&lt;&gt;"",O1533*0.1,"")</f>
        <v>8.4864</v>
      </c>
      <c r="Q1533" s="83" t="n">
        <f aca="false">IF(O1533&lt;&gt;"",O1533+P1533,"")</f>
        <v>93.3504</v>
      </c>
      <c r="R1533" s="84" t="s">
        <v>358</v>
      </c>
    </row>
    <row r="1534" customFormat="false" ht="15" hidden="false" customHeight="true" outlineLevel="0" collapsed="false">
      <c r="A1534" s="103" t="n">
        <v>56296</v>
      </c>
      <c r="B1534" s="73" t="n">
        <v>46253</v>
      </c>
      <c r="C1534" s="74" t="s">
        <v>683</v>
      </c>
      <c r="D1534" s="75" t="n">
        <v>50163</v>
      </c>
      <c r="E1534" s="52" t="str">
        <f aca="false">IF(D1534&lt;&gt;"",IFERROR(VLOOKUP(D1534,PROVEEDORES!$A:$B,2,0),"!COD NO ENCONTRADO"),"")</f>
        <v>SUBASTAS RIVERA S.L.</v>
      </c>
      <c r="F1534" s="76" t="str">
        <f aca="false">IF(D1534&lt;&gt;"",IFERROR(VLOOKUP(D1534,PROVEEDORES!$A:$C,3,0),""),"")</f>
        <v>S</v>
      </c>
      <c r="G1534" s="75" t="s">
        <v>276</v>
      </c>
      <c r="H1534" s="52" t="str">
        <f aca="false">IF(G1534&lt;&gt;"",IFERROR(VLOOKUP(G1534,PRODUCTOS!$A:$B,2,0),"!COD NO ENCONTRADO"),"")</f>
        <v>MERLUZA EUROPEA/ FINA DIA </v>
      </c>
      <c r="I1534" s="77" t="n">
        <v>2</v>
      </c>
      <c r="J1534" s="78" t="n">
        <v>22.75</v>
      </c>
      <c r="K1534" s="79" t="n">
        <v>4</v>
      </c>
      <c r="L1534" s="80" t="n">
        <f aca="false">IF(AND(J1534&lt;&gt;"",K1534&lt;&gt;""),J1534*K1534,"")</f>
        <v>91</v>
      </c>
      <c r="M1534" s="81" t="n">
        <f aca="false">IF(L1534&lt;&gt;"",L1534*1.1,"")</f>
        <v>100.1</v>
      </c>
      <c r="N1534" s="53" t="n">
        <f aca="false">IF(F1534="S",L1534*0.02,0)</f>
        <v>1.82</v>
      </c>
      <c r="O1534" s="82" t="n">
        <f aca="false">IF(L1534&lt;&gt;"",L1534+N1534,"")</f>
        <v>92.82</v>
      </c>
      <c r="P1534" s="53" t="n">
        <f aca="false">IF(O1534&lt;&gt;"",O1534*0.1,"")</f>
        <v>9.282</v>
      </c>
      <c r="Q1534" s="83" t="n">
        <f aca="false">IF(O1534&lt;&gt;"",O1534+P1534,"")</f>
        <v>102.102</v>
      </c>
      <c r="R1534" s="84" t="s">
        <v>358</v>
      </c>
    </row>
    <row r="1535" customFormat="false" ht="15" hidden="false" customHeight="true" outlineLevel="0" collapsed="false">
      <c r="A1535" s="103" t="n">
        <v>56296</v>
      </c>
      <c r="B1535" s="73" t="n">
        <v>46253</v>
      </c>
      <c r="C1535" s="86" t="s">
        <v>683</v>
      </c>
      <c r="D1535" s="75" t="n">
        <v>50163</v>
      </c>
      <c r="E1535" s="46" t="str">
        <f aca="false">IF(D1535&lt;&gt;"",IFERROR(VLOOKUP(D1535,PROVEEDORES!$A:$B,2,0),"!COD NO ENCONTRADO"),"")</f>
        <v>SUBASTAS RIVERA S.L.</v>
      </c>
      <c r="F1535" s="88" t="str">
        <f aca="false">IF(D1535&lt;&gt;"",IFERROR(VLOOKUP(D1535,PROVEEDORES!$A:$C,3,0),""),"")</f>
        <v>S</v>
      </c>
      <c r="G1535" s="87" t="s">
        <v>151</v>
      </c>
      <c r="H1535" s="46" t="str">
        <f aca="false">IF(G1535&lt;&gt;"",IFERROR(VLOOKUP(G1535,PRODUCTOS!$A:$B,2,0),"!COD NO ENCONTRADO"),"")</f>
        <v>ESCACHO/ ARETE/ RUBIO (GUR)</v>
      </c>
      <c r="I1535" s="89" t="n">
        <v>2</v>
      </c>
      <c r="J1535" s="90" t="n">
        <v>20.5</v>
      </c>
      <c r="K1535" s="91" t="n">
        <v>1</v>
      </c>
      <c r="L1535" s="80" t="n">
        <f aca="false">IF(AND(J1535&lt;&gt;"",K1535&lt;&gt;""),J1535*K1535,"")</f>
        <v>20.5</v>
      </c>
      <c r="M1535" s="81" t="n">
        <f aca="false">IF(L1535&lt;&gt;"",L1535*1.1,"")</f>
        <v>22.55</v>
      </c>
      <c r="N1535" s="47" t="n">
        <f aca="false">IF(F1535="S",L1535*0.02,0)</f>
        <v>0.41</v>
      </c>
      <c r="O1535" s="82" t="n">
        <f aca="false">IF(L1535&lt;&gt;"",L1535+N1535,"")</f>
        <v>20.91</v>
      </c>
      <c r="P1535" s="47" t="n">
        <f aca="false">IF(O1535&lt;&gt;"",O1535*0.1,"")</f>
        <v>2.091</v>
      </c>
      <c r="Q1535" s="83" t="n">
        <f aca="false">IF(O1535&lt;&gt;"",O1535+P1535,"")</f>
        <v>23.001</v>
      </c>
      <c r="R1535" s="84" t="s">
        <v>358</v>
      </c>
    </row>
    <row r="1536" customFormat="false" ht="15" hidden="false" customHeight="true" outlineLevel="0" collapsed="false">
      <c r="A1536" s="103" t="n">
        <v>56297</v>
      </c>
      <c r="B1536" s="73" t="n">
        <v>46253</v>
      </c>
      <c r="C1536" s="74" t="s">
        <v>684</v>
      </c>
      <c r="D1536" s="75" t="n">
        <v>50521</v>
      </c>
      <c r="E1536" s="52" t="str">
        <f aca="false">IF(D1536&lt;&gt;"",IFERROR(VLOOKUP(D1536,PROVEEDORES!$A:$B,2,0),"!COD NO ENCONTRADO"),"")</f>
        <v>SUBASTAS DE ATLANTICO S.L</v>
      </c>
      <c r="F1536" s="76" t="str">
        <f aca="false">IF(D1536&lt;&gt;"",IFERROR(VLOOKUP(D1536,PROVEEDORES!$A:$C,3,0),""),"")</f>
        <v>S</v>
      </c>
      <c r="G1536" s="75" t="s">
        <v>93</v>
      </c>
      <c r="H1536" s="52" t="str">
        <f aca="false">IF(G1536&lt;&gt;"",IFERROR(VLOOKUP(G1536,PRODUCTOS!$A:$B,2,0),"!COD NO ENCONTRADO"),"")</f>
        <v>BOQUERON/ BOCARTE/ ANCHOA (ANE)</v>
      </c>
      <c r="I1536" s="77" t="n">
        <v>40</v>
      </c>
      <c r="J1536" s="78" t="n">
        <v>355</v>
      </c>
      <c r="K1536" s="125" t="n">
        <v>1.85</v>
      </c>
      <c r="L1536" s="80" t="n">
        <f aca="false">IF(AND(J1536&lt;&gt;"",K1536&lt;&gt;""),J1536*K1536,"")</f>
        <v>656.75</v>
      </c>
      <c r="M1536" s="81" t="n">
        <f aca="false">IF(L1536&lt;&gt;"",L1536*1.1,"")</f>
        <v>722.425</v>
      </c>
      <c r="N1536" s="53" t="n">
        <f aca="false">IF(F1536="S",L1536*0.02,0)</f>
        <v>13.135</v>
      </c>
      <c r="O1536" s="82" t="n">
        <f aca="false">IF(L1536&lt;&gt;"",L1536+N1536,"")</f>
        <v>669.885</v>
      </c>
      <c r="P1536" s="53" t="n">
        <f aca="false">IF(O1536&lt;&gt;"",O1536*0.1,"")</f>
        <v>66.9885</v>
      </c>
      <c r="Q1536" s="83" t="n">
        <f aca="false">IF(O1536&lt;&gt;"",O1536+P1536,"")</f>
        <v>736.8735</v>
      </c>
      <c r="R1536" s="84" t="s">
        <v>358</v>
      </c>
    </row>
    <row r="1537" customFormat="false" ht="15" hidden="false" customHeight="true" outlineLevel="0" collapsed="false">
      <c r="A1537" s="103" t="n">
        <v>56297</v>
      </c>
      <c r="B1537" s="73" t="n">
        <v>46253</v>
      </c>
      <c r="C1537" s="74" t="s">
        <v>684</v>
      </c>
      <c r="D1537" s="87" t="n">
        <v>50521</v>
      </c>
      <c r="E1537" s="46" t="str">
        <f aca="false">IF(D1537&lt;&gt;"",IFERROR(VLOOKUP(D1537,PROVEEDORES!$A:$B,2,0),"!COD NO ENCONTRADO"),"")</f>
        <v>SUBASTAS DE ATLANTICO S.L</v>
      </c>
      <c r="F1537" s="88" t="str">
        <f aca="false">IF(D1537&lt;&gt;"",IFERROR(VLOOKUP(D1537,PROVEEDORES!$A:$C,3,0),""),"")</f>
        <v>S</v>
      </c>
      <c r="G1537" s="87" t="s">
        <v>93</v>
      </c>
      <c r="H1537" s="46" t="str">
        <f aca="false">IF(G1537&lt;&gt;"",IFERROR(VLOOKUP(G1537,PRODUCTOS!$A:$B,2,0),"!COD NO ENCONTRADO"),"")</f>
        <v>BOQUERON/ BOCARTE/ ANCHOA (ANE)</v>
      </c>
      <c r="I1537" s="89" t="n">
        <v>40</v>
      </c>
      <c r="J1537" s="90" t="n">
        <v>431</v>
      </c>
      <c r="K1537" s="125" t="n">
        <v>1.85</v>
      </c>
      <c r="L1537" s="80" t="n">
        <f aca="false">IF(AND(J1537&lt;&gt;"",K1537&lt;&gt;""),J1537*K1537,"")</f>
        <v>797.35</v>
      </c>
      <c r="M1537" s="81" t="n">
        <f aca="false">IF(L1537&lt;&gt;"",L1537*1.1,"")</f>
        <v>877.085</v>
      </c>
      <c r="N1537" s="47" t="n">
        <f aca="false">IF(F1537="S",L1537*0.02,0)</f>
        <v>15.947</v>
      </c>
      <c r="O1537" s="82" t="n">
        <f aca="false">IF(L1537&lt;&gt;"",L1537+N1537,"")</f>
        <v>813.297</v>
      </c>
      <c r="P1537" s="47" t="n">
        <f aca="false">IF(O1537&lt;&gt;"",O1537*0.1,"")</f>
        <v>81.3297</v>
      </c>
      <c r="Q1537" s="83" t="n">
        <f aca="false">IF(O1537&lt;&gt;"",O1537+P1537,"")</f>
        <v>894.6267</v>
      </c>
      <c r="R1537" s="84" t="s">
        <v>358</v>
      </c>
    </row>
    <row r="1538" customFormat="false" ht="15" hidden="false" customHeight="true" outlineLevel="0" collapsed="false">
      <c r="A1538" s="103" t="n">
        <v>56297</v>
      </c>
      <c r="B1538" s="73" t="n">
        <v>46253</v>
      </c>
      <c r="C1538" s="74" t="s">
        <v>684</v>
      </c>
      <c r="D1538" s="75" t="n">
        <v>50521</v>
      </c>
      <c r="E1538" s="52" t="str">
        <f aca="false">IF(D1538&lt;&gt;"",IFERROR(VLOOKUP(D1538,PROVEEDORES!$A:$B,2,0),"!COD NO ENCONTRADO"),"")</f>
        <v>SUBASTAS DE ATLANTICO S.L</v>
      </c>
      <c r="F1538" s="76" t="str">
        <f aca="false">IF(D1538&lt;&gt;"",IFERROR(VLOOKUP(D1538,PROVEEDORES!$A:$C,3,0),""),"")</f>
        <v>S</v>
      </c>
      <c r="G1538" s="75" t="s">
        <v>93</v>
      </c>
      <c r="H1538" s="52" t="str">
        <f aca="false">IF(G1538&lt;&gt;"",IFERROR(VLOOKUP(G1538,PRODUCTOS!$A:$B,2,0),"!COD NO ENCONTRADO"),"")</f>
        <v>BOQUERON/ BOCARTE/ ANCHOA (ANE)</v>
      </c>
      <c r="I1538" s="77" t="n">
        <v>40</v>
      </c>
      <c r="J1538" s="78" t="n">
        <v>353</v>
      </c>
      <c r="K1538" s="125" t="n">
        <v>1.85</v>
      </c>
      <c r="L1538" s="80" t="n">
        <f aca="false">IF(AND(J1538&lt;&gt;"",K1538&lt;&gt;""),J1538*K1538,"")</f>
        <v>653.05</v>
      </c>
      <c r="M1538" s="81" t="n">
        <f aca="false">IF(L1538&lt;&gt;"",L1538*1.1,"")</f>
        <v>718.355</v>
      </c>
      <c r="N1538" s="53" t="n">
        <f aca="false">IF(F1538="S",L1538*0.02,0)</f>
        <v>13.061</v>
      </c>
      <c r="O1538" s="82" t="n">
        <f aca="false">IF(L1538&lt;&gt;"",L1538+N1538,"")</f>
        <v>666.111</v>
      </c>
      <c r="P1538" s="53" t="n">
        <f aca="false">IF(O1538&lt;&gt;"",O1538*0.1,"")</f>
        <v>66.6111</v>
      </c>
      <c r="Q1538" s="83" t="n">
        <f aca="false">IF(O1538&lt;&gt;"",O1538+P1538,"")</f>
        <v>732.7221</v>
      </c>
      <c r="R1538" s="84" t="s">
        <v>358</v>
      </c>
    </row>
    <row r="1539" customFormat="false" ht="15" hidden="false" customHeight="true" outlineLevel="0" collapsed="false">
      <c r="A1539" s="103" t="n">
        <v>56297</v>
      </c>
      <c r="B1539" s="73" t="n">
        <v>46253</v>
      </c>
      <c r="C1539" s="74" t="s">
        <v>684</v>
      </c>
      <c r="D1539" s="87" t="n">
        <v>50521</v>
      </c>
      <c r="E1539" s="46" t="str">
        <f aca="false">IF(D1539&lt;&gt;"",IFERROR(VLOOKUP(D1539,PROVEEDORES!$A:$B,2,0),"!COD NO ENCONTRADO"),"")</f>
        <v>SUBASTAS DE ATLANTICO S.L</v>
      </c>
      <c r="F1539" s="88" t="str">
        <f aca="false">IF(D1539&lt;&gt;"",IFERROR(VLOOKUP(D1539,PROVEEDORES!$A:$C,3,0),""),"")</f>
        <v>S</v>
      </c>
      <c r="G1539" s="87" t="s">
        <v>93</v>
      </c>
      <c r="H1539" s="46" t="str">
        <f aca="false">IF(G1539&lt;&gt;"",IFERROR(VLOOKUP(G1539,PRODUCTOS!$A:$B,2,0),"!COD NO ENCONTRADO"),"")</f>
        <v>BOQUERON/ BOCARTE/ ANCHOA (ANE)</v>
      </c>
      <c r="I1539" s="89" t="n">
        <v>40</v>
      </c>
      <c r="J1539" s="90" t="n">
        <v>354</v>
      </c>
      <c r="K1539" s="125" t="n">
        <v>1.85</v>
      </c>
      <c r="L1539" s="80" t="n">
        <f aca="false">IF(AND(J1539&lt;&gt;"",K1539&lt;&gt;""),J1539*K1539,"")</f>
        <v>654.9</v>
      </c>
      <c r="M1539" s="81" t="n">
        <f aca="false">IF(L1539&lt;&gt;"",L1539*1.1,"")</f>
        <v>720.39</v>
      </c>
      <c r="N1539" s="47" t="n">
        <f aca="false">IF(F1539="S",L1539*0.02,0)</f>
        <v>13.098</v>
      </c>
      <c r="O1539" s="82" t="n">
        <f aca="false">IF(L1539&lt;&gt;"",L1539+N1539,"")</f>
        <v>667.998</v>
      </c>
      <c r="P1539" s="47" t="n">
        <f aca="false">IF(O1539&lt;&gt;"",O1539*0.1,"")</f>
        <v>66.7998</v>
      </c>
      <c r="Q1539" s="83" t="n">
        <f aca="false">IF(O1539&lt;&gt;"",O1539+P1539,"")</f>
        <v>734.7978</v>
      </c>
      <c r="R1539" s="84" t="s">
        <v>358</v>
      </c>
    </row>
    <row r="1540" customFormat="false" ht="15" hidden="false" customHeight="true" outlineLevel="0" collapsed="false">
      <c r="A1540" s="103" t="n">
        <v>56298</v>
      </c>
      <c r="B1540" s="73" t="n">
        <v>46253</v>
      </c>
      <c r="C1540" s="74" t="s">
        <v>685</v>
      </c>
      <c r="D1540" s="75" t="n">
        <v>50164</v>
      </c>
      <c r="E1540" s="52" t="str">
        <f aca="false">IF(D1540&lt;&gt;"",IFERROR(VLOOKUP(D1540,PROVEEDORES!$A:$B,2,0),"!COD NO ENCONTRADO"),"")</f>
        <v>ABRGO NORTE S.L.</v>
      </c>
      <c r="F1540" s="76" t="str">
        <f aca="false">IF(D1540&lt;&gt;"",IFERROR(VLOOKUP(D1540,PROVEEDORES!$A:$C,3,0),""),"")</f>
        <v>N</v>
      </c>
      <c r="G1540" s="75" t="s">
        <v>302</v>
      </c>
      <c r="H1540" s="52" t="str">
        <f aca="false">IF(G1540&lt;&gt;"",IFERROR(VLOOKUP(G1540,PRODUCTOS!$A:$B,2,0),"!COD NO ENCONTRADO"),"")</f>
        <v>RAYA COMUN (ALAS)</v>
      </c>
      <c r="I1540" s="77" t="n">
        <v>2</v>
      </c>
      <c r="J1540" s="78" t="n">
        <v>10</v>
      </c>
      <c r="K1540" s="79" t="n">
        <v>8.4</v>
      </c>
      <c r="L1540" s="80" t="n">
        <f aca="false">IF(AND(J1540&lt;&gt;"",K1540&lt;&gt;""),J1540*K1540,"")</f>
        <v>84</v>
      </c>
      <c r="M1540" s="81" t="n">
        <f aca="false">IF(L1540&lt;&gt;"",L1540*1.1,"")</f>
        <v>92.4</v>
      </c>
      <c r="N1540" s="53" t="n">
        <f aca="false">IF(F1540="S",L1540*0.02,0)</f>
        <v>0</v>
      </c>
      <c r="O1540" s="82" t="n">
        <f aca="false">IF(L1540&lt;&gt;"",L1540+N1540,"")</f>
        <v>84</v>
      </c>
      <c r="P1540" s="53" t="n">
        <f aca="false">IF(O1540&lt;&gt;"",O1540*0.1,"")</f>
        <v>8.4</v>
      </c>
      <c r="Q1540" s="83" t="n">
        <f aca="false">IF(O1540&lt;&gt;"",O1540+P1540,"")</f>
        <v>92.4</v>
      </c>
      <c r="R1540" s="84" t="s">
        <v>365</v>
      </c>
    </row>
    <row r="1541" customFormat="false" ht="15" hidden="false" customHeight="true" outlineLevel="0" collapsed="false">
      <c r="A1541" s="103" t="n">
        <v>56299</v>
      </c>
      <c r="B1541" s="85" t="n">
        <v>46253</v>
      </c>
      <c r="C1541" s="86" t="s">
        <v>686</v>
      </c>
      <c r="D1541" s="87" t="n">
        <v>50048</v>
      </c>
      <c r="E1541" s="46" t="str">
        <f aca="false">IF(D1541&lt;&gt;"",IFERROR(VLOOKUP(D1541,PROVEEDORES!$A:$B,2,0),"!COD NO ENCONTRADO"),"")</f>
        <v>JOSE LUIS CORREA KESSLER S.L.</v>
      </c>
      <c r="F1541" s="88" t="str">
        <f aca="false">IF(D1541&lt;&gt;"",IFERROR(VLOOKUP(D1541,PROVEEDORES!$A:$C,3,0),""),"")</f>
        <v>N</v>
      </c>
      <c r="G1541" s="87" t="s">
        <v>179</v>
      </c>
      <c r="H1541" s="46" t="str">
        <f aca="false">IF(G1541&lt;&gt;"",IFERROR(VLOOKUP(G1541,PRODUCTOS!$A:$B,2,0),"!COD NO ENCONTRADO"),"")</f>
        <v>LIRIO/ BACALADILLA/ PERLA (WHB)</v>
      </c>
      <c r="I1541" s="89" t="n">
        <v>2</v>
      </c>
      <c r="J1541" s="90" t="n">
        <v>12</v>
      </c>
      <c r="K1541" s="125" t="n">
        <v>2.2</v>
      </c>
      <c r="L1541" s="80" t="n">
        <f aca="false">IF(AND(J1541&lt;&gt;"",K1541&lt;&gt;""),J1541*K1541,"")</f>
        <v>26.4</v>
      </c>
      <c r="M1541" s="81" t="n">
        <f aca="false">IF(L1541&lt;&gt;"",L1541*1.1,"")</f>
        <v>29.04</v>
      </c>
      <c r="N1541" s="47" t="n">
        <f aca="false">IF(F1541="S",L1541*0.02,0)</f>
        <v>0</v>
      </c>
      <c r="O1541" s="82" t="n">
        <f aca="false">IF(L1541&lt;&gt;"",L1541+N1541,"")</f>
        <v>26.4</v>
      </c>
      <c r="P1541" s="47" t="n">
        <f aca="false">IF(O1541&lt;&gt;"",O1541*0.1,"")</f>
        <v>2.64</v>
      </c>
      <c r="Q1541" s="83" t="n">
        <f aca="false">IF(O1541&lt;&gt;"",O1541+P1541,"")</f>
        <v>29.04</v>
      </c>
      <c r="R1541" s="84" t="s">
        <v>365</v>
      </c>
    </row>
    <row r="1542" customFormat="false" ht="15" hidden="false" customHeight="true" outlineLevel="0" collapsed="false">
      <c r="A1542" s="103" t="n">
        <v>56300</v>
      </c>
      <c r="B1542" s="85" t="n">
        <v>46253</v>
      </c>
      <c r="C1542" s="74" t="s">
        <v>687</v>
      </c>
      <c r="D1542" s="75" t="n">
        <v>50035</v>
      </c>
      <c r="E1542" s="52" t="str">
        <f aca="false">IF(D1542&lt;&gt;"",IFERROR(VLOOKUP(D1542,PROVEEDORES!$A:$B,2,0),"!COD NO ENCONTRADO"),"")</f>
        <v>SCANFISK SEAFFOD S,L</v>
      </c>
      <c r="F1542" s="76" t="str">
        <f aca="false">IF(D1542&lt;&gt;"",IFERROR(VLOOKUP(D1542,PROVEEDORES!$A:$C,3,0),""),"")</f>
        <v>N</v>
      </c>
      <c r="G1542" s="75" t="s">
        <v>209</v>
      </c>
      <c r="H1542" s="52" t="str">
        <f aca="false">IF(G1542&lt;&gt;"",IFERROR(VLOOKUP(G1542,PRODUCTOS!$A:$B,2,0),"!COD NO ENCONTRADO"),"")</f>
        <v>MERLUZA EUROPEA PINCHO</v>
      </c>
      <c r="I1542" s="77" t="n">
        <v>6</v>
      </c>
      <c r="J1542" s="78" t="n">
        <v>100</v>
      </c>
      <c r="K1542" s="79" t="n">
        <v>4.8</v>
      </c>
      <c r="L1542" s="80" t="n">
        <f aca="false">IF(AND(J1542&lt;&gt;"",K1542&lt;&gt;""),J1542*K1542,"")</f>
        <v>480</v>
      </c>
      <c r="M1542" s="81" t="n">
        <f aca="false">IF(L1542&lt;&gt;"",L1542*1.1,"")</f>
        <v>528</v>
      </c>
      <c r="N1542" s="53" t="n">
        <f aca="false">IF(F1542="S",L1542*0.02,0)</f>
        <v>0</v>
      </c>
      <c r="O1542" s="82" t="n">
        <f aca="false">IF(L1542&lt;&gt;"",L1542+N1542,"")</f>
        <v>480</v>
      </c>
      <c r="P1542" s="53" t="n">
        <f aca="false">IF(O1542&lt;&gt;"",O1542*0.1,"")</f>
        <v>48</v>
      </c>
      <c r="Q1542" s="83" t="n">
        <f aca="false">IF(O1542&lt;&gt;"",O1542+P1542,"")</f>
        <v>528</v>
      </c>
      <c r="R1542" s="84" t="s">
        <v>365</v>
      </c>
    </row>
    <row r="1543" customFormat="false" ht="15" hidden="false" customHeight="true" outlineLevel="0" collapsed="false">
      <c r="A1543" s="103" t="n">
        <v>56300</v>
      </c>
      <c r="B1543" s="85" t="n">
        <v>46253</v>
      </c>
      <c r="C1543" s="86" t="s">
        <v>688</v>
      </c>
      <c r="D1543" s="87" t="n">
        <v>50035</v>
      </c>
      <c r="E1543" s="46" t="str">
        <f aca="false">IF(D1543&lt;&gt;"",IFERROR(VLOOKUP(D1543,PROVEEDORES!$A:$B,2,0),"!COD NO ENCONTRADO"),"")</f>
        <v>SCANFISK SEAFFOD S,L</v>
      </c>
      <c r="F1543" s="88" t="str">
        <f aca="false">IF(D1543&lt;&gt;"",IFERROR(VLOOKUP(D1543,PROVEEDORES!$A:$C,3,0),""),"")</f>
        <v>N</v>
      </c>
      <c r="G1543" s="87" t="s">
        <v>246</v>
      </c>
      <c r="H1543" s="46" t="str">
        <f aca="false">IF(G1543&lt;&gt;"",IFERROR(VLOOKUP(G1543,PRODUCTOS!$A:$B,2,0),"!COD NO ENCONTRADO"),"")</f>
        <v>MERLUZA EUROPEA VOLANTA ALTURA</v>
      </c>
      <c r="I1543" s="89" t="n">
        <v>8</v>
      </c>
      <c r="J1543" s="90" t="n">
        <v>83.2</v>
      </c>
      <c r="K1543" s="91" t="n">
        <v>8.2</v>
      </c>
      <c r="L1543" s="80" t="n">
        <f aca="false">IF(AND(J1543&lt;&gt;"",K1543&lt;&gt;""),J1543*K1543,"")</f>
        <v>682.24</v>
      </c>
      <c r="M1543" s="81" t="n">
        <f aca="false">IF(L1543&lt;&gt;"",L1543*1.1,"")</f>
        <v>750.464</v>
      </c>
      <c r="N1543" s="47" t="n">
        <f aca="false">IF(F1543="S",L1543*0.02,0)</f>
        <v>0</v>
      </c>
      <c r="O1543" s="82" t="n">
        <f aca="false">IF(L1543&lt;&gt;"",L1543+N1543,"")</f>
        <v>682.24</v>
      </c>
      <c r="P1543" s="47" t="n">
        <f aca="false">IF(O1543&lt;&gt;"",O1543*0.1,"")</f>
        <v>68.224</v>
      </c>
      <c r="Q1543" s="83" t="n">
        <f aca="false">IF(O1543&lt;&gt;"",O1543+P1543,"")</f>
        <v>750.464</v>
      </c>
      <c r="R1543" s="84" t="s">
        <v>365</v>
      </c>
    </row>
    <row r="1544" customFormat="false" ht="15" hidden="false" customHeight="true" outlineLevel="0" collapsed="false">
      <c r="A1544" s="103" t="n">
        <v>56300</v>
      </c>
      <c r="B1544" s="85" t="n">
        <v>46253</v>
      </c>
      <c r="C1544" s="74" t="s">
        <v>689</v>
      </c>
      <c r="D1544" s="75" t="n">
        <v>50035</v>
      </c>
      <c r="E1544" s="52" t="str">
        <f aca="false">IF(D1544&lt;&gt;"",IFERROR(VLOOKUP(D1544,PROVEEDORES!$A:$B,2,0),"!COD NO ENCONTRADO"),"")</f>
        <v>SCANFISK SEAFFOD S,L</v>
      </c>
      <c r="F1544" s="76" t="str">
        <f aca="false">IF(D1544&lt;&gt;"",IFERROR(VLOOKUP(D1544,PROVEEDORES!$A:$C,3,0),""),"")</f>
        <v>N</v>
      </c>
      <c r="G1544" s="75" t="s">
        <v>367</v>
      </c>
      <c r="H1544" s="52" t="str">
        <f aca="false">IF(G1544&lt;&gt;"",IFERROR(VLOOKUP(G1544,PRODUCTOS!$A:$B,2,0),"!COD NO ENCONTRADO"),"")</f>
        <v>MERLUZA BAKA DIA</v>
      </c>
      <c r="I1544" s="77" t="n">
        <v>9</v>
      </c>
      <c r="J1544" s="78" t="n">
        <v>55.9</v>
      </c>
      <c r="K1544" s="79" t="n">
        <v>2.3</v>
      </c>
      <c r="L1544" s="80" t="n">
        <f aca="false">IF(AND(J1544&lt;&gt;"",K1544&lt;&gt;""),J1544*K1544,"")</f>
        <v>128.57</v>
      </c>
      <c r="M1544" s="81" t="n">
        <f aca="false">IF(L1544&lt;&gt;"",L1544*1.1,"")</f>
        <v>141.427</v>
      </c>
      <c r="N1544" s="53" t="n">
        <f aca="false">IF(F1544="S",L1544*0.02,0)</f>
        <v>0</v>
      </c>
      <c r="O1544" s="82" t="n">
        <f aca="false">IF(L1544&lt;&gt;"",L1544+N1544,"")</f>
        <v>128.57</v>
      </c>
      <c r="P1544" s="53" t="n">
        <f aca="false">IF(O1544&lt;&gt;"",O1544*0.1,"")</f>
        <v>12.857</v>
      </c>
      <c r="Q1544" s="83" t="n">
        <f aca="false">IF(O1544&lt;&gt;"",O1544+P1544,"")</f>
        <v>141.427</v>
      </c>
      <c r="R1544" s="84" t="s">
        <v>365</v>
      </c>
    </row>
    <row r="1545" customFormat="false" ht="15" hidden="false" customHeight="true" outlineLevel="0" collapsed="false">
      <c r="A1545" s="103" t="n">
        <v>56300</v>
      </c>
      <c r="B1545" s="85" t="n">
        <v>46253</v>
      </c>
      <c r="C1545" s="86" t="s">
        <v>689</v>
      </c>
      <c r="D1545" s="87" t="n">
        <v>50035</v>
      </c>
      <c r="E1545" s="46" t="str">
        <f aca="false">IF(D1545&lt;&gt;"",IFERROR(VLOOKUP(D1545,PROVEEDORES!$A:$B,2,0),"!COD NO ENCONTRADO"),"")</f>
        <v>SCANFISK SEAFFOD S,L</v>
      </c>
      <c r="F1545" s="88" t="str">
        <f aca="false">IF(D1545&lt;&gt;"",IFERROR(VLOOKUP(D1545,PROVEEDORES!$A:$C,3,0),""),"")</f>
        <v>N</v>
      </c>
      <c r="G1545" s="87" t="s">
        <v>246</v>
      </c>
      <c r="H1545" s="46" t="str">
        <f aca="false">IF(G1545&lt;&gt;"",IFERROR(VLOOKUP(G1545,PRODUCTOS!$A:$B,2,0),"!COD NO ENCONTRADO"),"")</f>
        <v>MERLUZA EUROPEA VOLANTA ALTURA</v>
      </c>
      <c r="I1545" s="89" t="n">
        <v>1</v>
      </c>
      <c r="J1545" s="90" t="n">
        <v>16.2</v>
      </c>
      <c r="K1545" s="91" t="n">
        <v>8.2</v>
      </c>
      <c r="L1545" s="80" t="n">
        <f aca="false">IF(AND(J1545&lt;&gt;"",K1545&lt;&gt;""),J1545*K1545,"")</f>
        <v>132.84</v>
      </c>
      <c r="M1545" s="81" t="n">
        <f aca="false">IF(L1545&lt;&gt;"",L1545*1.1,"")</f>
        <v>146.124</v>
      </c>
      <c r="N1545" s="47" t="n">
        <f aca="false">IF(F1545="S",L1545*0.02,0)</f>
        <v>0</v>
      </c>
      <c r="O1545" s="82" t="n">
        <f aca="false">IF(L1545&lt;&gt;"",L1545+N1545,"")</f>
        <v>132.84</v>
      </c>
      <c r="P1545" s="47" t="n">
        <f aca="false">IF(O1545&lt;&gt;"",O1545*0.1,"")</f>
        <v>13.284</v>
      </c>
      <c r="Q1545" s="83" t="n">
        <f aca="false">IF(O1545&lt;&gt;"",O1545+P1545,"")</f>
        <v>146.124</v>
      </c>
      <c r="R1545" s="84" t="s">
        <v>365</v>
      </c>
    </row>
    <row r="1546" customFormat="false" ht="15" hidden="false" customHeight="true" outlineLevel="0" collapsed="false">
      <c r="A1546" s="103" t="n">
        <v>56301</v>
      </c>
      <c r="B1546" s="73" t="n">
        <v>46254</v>
      </c>
      <c r="C1546" s="74" t="s">
        <v>690</v>
      </c>
      <c r="D1546" s="75" t="n">
        <v>50525</v>
      </c>
      <c r="E1546" s="52" t="str">
        <f aca="false">IF(D1546&lt;&gt;"",IFERROR(VLOOKUP(D1546,PROVEEDORES!$A:$B,2,0),"!COD NO ENCONTRADO"),"")</f>
        <v>FURIC MAREE</v>
      </c>
      <c r="F1546" s="76" t="str">
        <f aca="false">IF(D1546&lt;&gt;"",IFERROR(VLOOKUP(D1546,PROVEEDORES!$A:$C,3,0),""),"")</f>
        <v>N</v>
      </c>
      <c r="G1546" s="75" t="s">
        <v>318</v>
      </c>
      <c r="H1546" s="52" t="str">
        <f aca="false">IF(G1546&lt;&gt;"",IFERROR(VLOOKUP(G1546,PRODUCTOS!$A:$B,2,0),"!COD NO ENCONTRADO"),"")</f>
        <v>SAN MARTIÑOS/ SAN PEDROS (JOD)</v>
      </c>
      <c r="I1546" s="77" t="n">
        <v>3</v>
      </c>
      <c r="J1546" s="78" t="n">
        <v>17.6</v>
      </c>
      <c r="K1546" s="79" t="n">
        <v>19.5</v>
      </c>
      <c r="L1546" s="80" t="n">
        <f aca="false">IF(AND(J1546&lt;&gt;"",K1546&lt;&gt;""),J1546*K1546,"")</f>
        <v>343.2</v>
      </c>
      <c r="M1546" s="81" t="n">
        <f aca="false">IF(L1546&lt;&gt;"",L1546*1.1,"")</f>
        <v>377.52</v>
      </c>
      <c r="N1546" s="53" t="n">
        <f aca="false">IF(F1546="S",L1546*0.02,0)</f>
        <v>0</v>
      </c>
      <c r="O1546" s="82" t="n">
        <f aca="false">IF(L1546&lt;&gt;"",L1546+N1546,"")</f>
        <v>343.2</v>
      </c>
      <c r="P1546" s="53" t="n">
        <f aca="false">IF(O1546&lt;&gt;"",O1546*0.1,"")</f>
        <v>34.32</v>
      </c>
      <c r="Q1546" s="83" t="n">
        <f aca="false">IF(O1546&lt;&gt;"",O1546+P1546,"")</f>
        <v>377.52</v>
      </c>
      <c r="R1546" s="84" t="s">
        <v>365</v>
      </c>
    </row>
    <row r="1547" customFormat="false" ht="15" hidden="false" customHeight="true" outlineLevel="0" collapsed="false">
      <c r="A1547" s="103" t="n">
        <v>56301</v>
      </c>
      <c r="B1547" s="85" t="n">
        <v>46254</v>
      </c>
      <c r="C1547" s="86" t="s">
        <v>690</v>
      </c>
      <c r="D1547" s="87" t="n">
        <v>50525</v>
      </c>
      <c r="E1547" s="46" t="str">
        <f aca="false">IF(D1547&lt;&gt;"",IFERROR(VLOOKUP(D1547,PROVEEDORES!$A:$B,2,0),"!COD NO ENCONTRADO"),"")</f>
        <v>FURIC MAREE</v>
      </c>
      <c r="F1547" s="88" t="str">
        <f aca="false">IF(D1547&lt;&gt;"",IFERROR(VLOOKUP(D1547,PROVEEDORES!$A:$C,3,0),""),"")</f>
        <v>N</v>
      </c>
      <c r="G1547" s="87" t="s">
        <v>318</v>
      </c>
      <c r="H1547" s="46" t="str">
        <f aca="false">IF(G1547&lt;&gt;"",IFERROR(VLOOKUP(G1547,PRODUCTOS!$A:$B,2,0),"!COD NO ENCONTRADO"),"")</f>
        <v>SAN MARTIÑOS/ SAN PEDROS (JOD)</v>
      </c>
      <c r="I1547" s="89" t="n">
        <v>3</v>
      </c>
      <c r="J1547" s="90" t="n">
        <v>18.1</v>
      </c>
      <c r="K1547" s="91" t="n">
        <v>15.5</v>
      </c>
      <c r="L1547" s="80" t="n">
        <f aca="false">IF(AND(J1547&lt;&gt;"",K1547&lt;&gt;""),J1547*K1547,"")</f>
        <v>280.55</v>
      </c>
      <c r="M1547" s="81" t="n">
        <f aca="false">IF(L1547&lt;&gt;"",L1547*1.1,"")</f>
        <v>308.605</v>
      </c>
      <c r="N1547" s="47" t="n">
        <f aca="false">IF(F1547="S",L1547*0.02,0)</f>
        <v>0</v>
      </c>
      <c r="O1547" s="82" t="n">
        <f aca="false">IF(L1547&lt;&gt;"",L1547+N1547,"")</f>
        <v>280.55</v>
      </c>
      <c r="P1547" s="47" t="n">
        <f aca="false">IF(O1547&lt;&gt;"",O1547*0.1,"")</f>
        <v>28.055</v>
      </c>
      <c r="Q1547" s="83" t="n">
        <f aca="false">IF(O1547&lt;&gt;"",O1547+P1547,"")</f>
        <v>308.605</v>
      </c>
      <c r="R1547" s="84" t="s">
        <v>365</v>
      </c>
    </row>
    <row r="1548" customFormat="false" ht="15" hidden="false" customHeight="true" outlineLevel="0" collapsed="false">
      <c r="A1548" s="103" t="n">
        <v>56302</v>
      </c>
      <c r="B1548" s="73" t="n">
        <v>46254</v>
      </c>
      <c r="C1548" s="74" t="s">
        <v>691</v>
      </c>
      <c r="D1548" s="75" t="n">
        <v>50514</v>
      </c>
      <c r="E1548" s="52" t="str">
        <f aca="false">IF(D1548&lt;&gt;"",IFERROR(VLOOKUP(D1548,PROVEEDORES!$A:$B,2,0),"!COD NO ENCONTRADO"),"")</f>
        <v>PESCADO Y MARISCOS ADELAIDA S.L.</v>
      </c>
      <c r="F1548" s="76" t="str">
        <f aca="false">IF(D1548&lt;&gt;"",IFERROR(VLOOKUP(D1548,PROVEEDORES!$A:$C,3,0),""),"")</f>
        <v>N</v>
      </c>
      <c r="G1548" s="75" t="s">
        <v>316</v>
      </c>
      <c r="H1548" s="52" t="str">
        <f aca="false">IF(G1548&lt;&gt;"",IFERROR(VLOOKUP(G1548,PRODUCTOS!$A:$B,2,0),"!COD NO ENCONTRADO"),"")</f>
        <v>SALMONETE ROCA (MUR)</v>
      </c>
      <c r="I1548" s="77" t="n">
        <v>2</v>
      </c>
      <c r="J1548" s="78" t="n">
        <v>12.05</v>
      </c>
      <c r="K1548" s="79" t="n">
        <v>13.5</v>
      </c>
      <c r="L1548" s="80" t="n">
        <f aca="false">IF(AND(J1548&lt;&gt;"",K1548&lt;&gt;""),J1548*K1548,"")</f>
        <v>162.675</v>
      </c>
      <c r="M1548" s="81" t="n">
        <f aca="false">IF(L1548&lt;&gt;"",L1548*1.1,"")</f>
        <v>178.9425</v>
      </c>
      <c r="N1548" s="53" t="n">
        <f aca="false">IF(F1548="S",L1548*0.02,0)</f>
        <v>0</v>
      </c>
      <c r="O1548" s="82" t="n">
        <f aca="false">IF(L1548&lt;&gt;"",L1548+N1548,"")</f>
        <v>162.675</v>
      </c>
      <c r="P1548" s="53" t="n">
        <f aca="false">IF(O1548&lt;&gt;"",O1548*0.1,"")</f>
        <v>16.2675</v>
      </c>
      <c r="Q1548" s="83" t="n">
        <f aca="false">IF(O1548&lt;&gt;"",O1548+P1548,"")</f>
        <v>178.9425</v>
      </c>
      <c r="R1548" s="84" t="s">
        <v>365</v>
      </c>
    </row>
    <row r="1549" customFormat="false" ht="15" hidden="false" customHeight="true" outlineLevel="0" collapsed="false">
      <c r="A1549" s="103" t="n">
        <v>56302</v>
      </c>
      <c r="B1549" s="85" t="n">
        <v>46254</v>
      </c>
      <c r="C1549" s="86" t="s">
        <v>691</v>
      </c>
      <c r="D1549" s="87" t="n">
        <v>50514</v>
      </c>
      <c r="E1549" s="46" t="str">
        <f aca="false">IF(D1549&lt;&gt;"",IFERROR(VLOOKUP(D1549,PROVEEDORES!$A:$B,2,0),"!COD NO ENCONTRADO"),"")</f>
        <v>PESCADO Y MARISCOS ADELAIDA S.L.</v>
      </c>
      <c r="F1549" s="88" t="str">
        <f aca="false">IF(D1549&lt;&gt;"",IFERROR(VLOOKUP(D1549,PROVEEDORES!$A:$C,3,0),""),"")</f>
        <v>N</v>
      </c>
      <c r="G1549" s="87" t="s">
        <v>316</v>
      </c>
      <c r="H1549" s="46" t="str">
        <f aca="false">IF(G1549&lt;&gt;"",IFERROR(VLOOKUP(G1549,PRODUCTOS!$A:$B,2,0),"!COD NO ENCONTRADO"),"")</f>
        <v>SALMONETE ROCA (MUR)</v>
      </c>
      <c r="I1549" s="89" t="n">
        <v>5</v>
      </c>
      <c r="J1549" s="90" t="n">
        <v>31</v>
      </c>
      <c r="K1549" s="91" t="n">
        <v>13.5</v>
      </c>
      <c r="L1549" s="80" t="n">
        <f aca="false">IF(AND(J1549&lt;&gt;"",K1549&lt;&gt;""),J1549*K1549,"")</f>
        <v>418.5</v>
      </c>
      <c r="M1549" s="81" t="n">
        <f aca="false">IF(L1549&lt;&gt;"",L1549*1.1,"")</f>
        <v>460.35</v>
      </c>
      <c r="N1549" s="47" t="n">
        <f aca="false">IF(F1549="S",L1549*0.02,0)</f>
        <v>0</v>
      </c>
      <c r="O1549" s="82" t="n">
        <f aca="false">IF(L1549&lt;&gt;"",L1549+N1549,"")</f>
        <v>418.5</v>
      </c>
      <c r="P1549" s="47" t="n">
        <f aca="false">IF(O1549&lt;&gt;"",O1549*0.1,"")</f>
        <v>41.85</v>
      </c>
      <c r="Q1549" s="83" t="n">
        <f aca="false">IF(O1549&lt;&gt;"",O1549+P1549,"")</f>
        <v>460.35</v>
      </c>
      <c r="R1549" s="84" t="s">
        <v>365</v>
      </c>
    </row>
    <row r="1550" customFormat="false" ht="15" hidden="false" customHeight="true" outlineLevel="0" collapsed="false">
      <c r="A1550" s="103" t="n">
        <v>56302</v>
      </c>
      <c r="B1550" s="85" t="n">
        <v>46254</v>
      </c>
      <c r="C1550" s="86" t="s">
        <v>691</v>
      </c>
      <c r="D1550" s="87" t="n">
        <v>50514</v>
      </c>
      <c r="E1550" s="46" t="str">
        <f aca="false">IF(D1550&lt;&gt;"",IFERROR(VLOOKUP(D1550,PROVEEDORES!$A:$B,2,0),"!COD NO ENCONTRADO"),"")</f>
        <v>PESCADO Y MARISCOS ADELAIDA S.L.</v>
      </c>
      <c r="F1550" s="88" t="str">
        <f aca="false">IF(D1550&lt;&gt;"",IFERROR(VLOOKUP(D1550,PROVEEDORES!$A:$C,3,0),""),"")</f>
        <v>N</v>
      </c>
      <c r="G1550" s="87" t="s">
        <v>316</v>
      </c>
      <c r="H1550" s="46" t="str">
        <f aca="false">IF(G1550&lt;&gt;"",IFERROR(VLOOKUP(G1550,PRODUCTOS!$A:$B,2,0),"!COD NO ENCONTRADO"),"")</f>
        <v>SALMONETE ROCA (MUR)</v>
      </c>
      <c r="I1550" s="77" t="n">
        <v>1</v>
      </c>
      <c r="J1550" s="78" t="n">
        <v>8.95</v>
      </c>
      <c r="K1550" s="79" t="n">
        <v>13.5</v>
      </c>
      <c r="L1550" s="80" t="n">
        <f aca="false">IF(AND(J1550&lt;&gt;"",K1550&lt;&gt;""),J1550*K1550,"")</f>
        <v>120.825</v>
      </c>
      <c r="M1550" s="81" t="n">
        <f aca="false">IF(L1550&lt;&gt;"",L1550*1.1,"")</f>
        <v>132.9075</v>
      </c>
      <c r="N1550" s="53" t="n">
        <f aca="false">IF(F1550="S",L1550*0.02,0)</f>
        <v>0</v>
      </c>
      <c r="O1550" s="82" t="n">
        <f aca="false">IF(L1550&lt;&gt;"",L1550+N1550,"")</f>
        <v>120.825</v>
      </c>
      <c r="P1550" s="53" t="n">
        <f aca="false">IF(O1550&lt;&gt;"",O1550*0.1,"")</f>
        <v>12.0825</v>
      </c>
      <c r="Q1550" s="83" t="n">
        <f aca="false">IF(O1550&lt;&gt;"",O1550+P1550,"")</f>
        <v>132.9075</v>
      </c>
      <c r="R1550" s="84" t="s">
        <v>365</v>
      </c>
    </row>
    <row r="1551" customFormat="false" ht="15" hidden="false" customHeight="true" outlineLevel="0" collapsed="false">
      <c r="A1551" s="103" t="n">
        <v>56302</v>
      </c>
      <c r="B1551" s="85" t="n">
        <v>46254</v>
      </c>
      <c r="C1551" s="152" t="s">
        <v>692</v>
      </c>
      <c r="D1551" s="87" t="n">
        <v>50514</v>
      </c>
      <c r="E1551" s="46" t="str">
        <f aca="false">IF(D1551&lt;&gt;"",IFERROR(VLOOKUP(D1551,PROVEEDORES!$A:$B,2,0),"!COD NO ENCONTRADO"),"")</f>
        <v>PESCADO Y MARISCOS ADELAIDA S.L.</v>
      </c>
      <c r="F1551" s="88" t="str">
        <f aca="false">IF(D1551&lt;&gt;"",IFERROR(VLOOKUP(D1551,PROVEEDORES!$A:$C,3,0),""),"")</f>
        <v>N</v>
      </c>
      <c r="G1551" s="87" t="s">
        <v>316</v>
      </c>
      <c r="H1551" s="46" t="str">
        <f aca="false">IF(G1551&lt;&gt;"",IFERROR(VLOOKUP(G1551,PRODUCTOS!$A:$B,2,0),"!COD NO ENCONTRADO"),"")</f>
        <v>SALMONETE ROCA (MUR)</v>
      </c>
      <c r="I1551" s="89" t="n">
        <v>1</v>
      </c>
      <c r="J1551" s="121" t="n">
        <v>0</v>
      </c>
      <c r="K1551" s="141" t="n">
        <v>0</v>
      </c>
      <c r="L1551" s="80" t="n">
        <f aca="false">IF(AND(J1551&lt;&gt;"",K1551&lt;&gt;""),J1551*K1551,"")</f>
        <v>0</v>
      </c>
      <c r="M1551" s="81" t="n">
        <f aca="false">IF(L1551&lt;&gt;"",L1551*1.1,"")</f>
        <v>0</v>
      </c>
      <c r="N1551" s="47" t="n">
        <f aca="false">IF(F1551="S",L1551*0.02,0)</f>
        <v>0</v>
      </c>
      <c r="O1551" s="82" t="n">
        <f aca="false">IF(L1551&lt;&gt;"",L1551+N1551,"")</f>
        <v>0</v>
      </c>
      <c r="P1551" s="47" t="n">
        <f aca="false">IF(O1551&lt;&gt;"",O1551*0.1,"")</f>
        <v>0</v>
      </c>
      <c r="Q1551" s="83" t="n">
        <f aca="false">IF(O1551&lt;&gt;"",O1551+P1551,"")</f>
        <v>0</v>
      </c>
      <c r="R1551" s="84"/>
    </row>
    <row r="1552" customFormat="false" ht="15" hidden="false" customHeight="true" outlineLevel="0" collapsed="false">
      <c r="A1552" s="103" t="n">
        <v>56303</v>
      </c>
      <c r="B1552" s="73" t="n">
        <v>46254</v>
      </c>
      <c r="C1552" s="74" t="s">
        <v>693</v>
      </c>
      <c r="D1552" s="75" t="n">
        <v>50509</v>
      </c>
      <c r="E1552" s="52" t="str">
        <f aca="false">IF(D1552&lt;&gt;"",IFERROR(VLOOKUP(D1552,PROVEEDORES!$A:$B,2,0),"!COD NO ENCONTRADO"),"")</f>
        <v>AZORFISK UNIPERSONAL LDA</v>
      </c>
      <c r="F1552" s="76" t="str">
        <f aca="false">IF(D1552&lt;&gt;"",IFERROR(VLOOKUP(D1552,PROVEEDORES!$A:$C,3,0),""),"")</f>
        <v>N</v>
      </c>
      <c r="G1552" s="75" t="s">
        <v>83</v>
      </c>
      <c r="H1552" s="52" t="str">
        <f aca="false">IF(G1552&lt;&gt;"",IFERROR(VLOOKUP(G1552,PRODUCTOS!$A:$B,2,0),"!COD NO ENCONTRADO"),"")</f>
        <v>BESUGO (BSR)</v>
      </c>
      <c r="I1552" s="77" t="n">
        <v>1</v>
      </c>
      <c r="J1552" s="78" t="n">
        <v>6.1</v>
      </c>
      <c r="K1552" s="79" t="n">
        <v>22.5</v>
      </c>
      <c r="L1552" s="80" t="n">
        <f aca="false">IF(AND(J1552&lt;&gt;"",K1552&lt;&gt;""),J1552*K1552,"")</f>
        <v>137.25</v>
      </c>
      <c r="M1552" s="81" t="n">
        <f aca="false">IF(L1552&lt;&gt;"",L1552*1.1,"")</f>
        <v>150.975</v>
      </c>
      <c r="N1552" s="53" t="n">
        <f aca="false">IF(F1552="S",L1552*0.02,0)</f>
        <v>0</v>
      </c>
      <c r="O1552" s="82" t="n">
        <f aca="false">IF(L1552&lt;&gt;"",L1552+N1552,"")</f>
        <v>137.25</v>
      </c>
      <c r="P1552" s="53" t="n">
        <f aca="false">IF(O1552&lt;&gt;"",O1552*0.1,"")</f>
        <v>13.725</v>
      </c>
      <c r="Q1552" s="83" t="n">
        <f aca="false">IF(O1552&lt;&gt;"",O1552+P1552,"")</f>
        <v>150.975</v>
      </c>
      <c r="R1552" s="84" t="s">
        <v>365</v>
      </c>
    </row>
    <row r="1553" customFormat="false" ht="15" hidden="false" customHeight="true" outlineLevel="0" collapsed="false">
      <c r="A1553" s="103" t="n">
        <v>56303</v>
      </c>
      <c r="B1553" s="85" t="n">
        <v>46254</v>
      </c>
      <c r="C1553" s="74" t="s">
        <v>693</v>
      </c>
      <c r="D1553" s="87" t="n">
        <v>50509</v>
      </c>
      <c r="E1553" s="46" t="str">
        <f aca="false">IF(D1553&lt;&gt;"",IFERROR(VLOOKUP(D1553,PROVEEDORES!$A:$B,2,0),"!COD NO ENCONTRADO"),"")</f>
        <v>AZORFISK UNIPERSONAL LDA</v>
      </c>
      <c r="F1553" s="88" t="str">
        <f aca="false">IF(D1553&lt;&gt;"",IFERROR(VLOOKUP(D1553,PROVEEDORES!$A:$C,3,0),""),"")</f>
        <v>N</v>
      </c>
      <c r="G1553" s="87" t="s">
        <v>83</v>
      </c>
      <c r="H1553" s="46" t="str">
        <f aca="false">IF(G1553&lt;&gt;"",IFERROR(VLOOKUP(G1553,PRODUCTOS!$A:$B,2,0),"!COD NO ENCONTRADO"),"")</f>
        <v>BESUGO (BSR)</v>
      </c>
      <c r="I1553" s="89" t="n">
        <v>3</v>
      </c>
      <c r="J1553" s="90" t="n">
        <v>17</v>
      </c>
      <c r="K1553" s="91" t="n">
        <v>22.5</v>
      </c>
      <c r="L1553" s="80" t="n">
        <f aca="false">IF(AND(J1553&lt;&gt;"",K1553&lt;&gt;""),J1553*K1553,"")</f>
        <v>382.5</v>
      </c>
      <c r="M1553" s="81" t="n">
        <f aca="false">IF(L1553&lt;&gt;"",L1553*1.1,"")</f>
        <v>420.75</v>
      </c>
      <c r="N1553" s="47" t="n">
        <f aca="false">IF(F1553="S",L1553*0.02,0)</f>
        <v>0</v>
      </c>
      <c r="O1553" s="82" t="n">
        <f aca="false">IF(L1553&lt;&gt;"",L1553+N1553,"")</f>
        <v>382.5</v>
      </c>
      <c r="P1553" s="47" t="n">
        <f aca="false">IF(O1553&lt;&gt;"",O1553*0.1,"")</f>
        <v>38.25</v>
      </c>
      <c r="Q1553" s="83" t="n">
        <f aca="false">IF(O1553&lt;&gt;"",O1553+P1553,"")</f>
        <v>420.75</v>
      </c>
      <c r="R1553" s="84" t="s">
        <v>365</v>
      </c>
    </row>
    <row r="1554" customFormat="false" ht="15" hidden="false" customHeight="true" outlineLevel="0" collapsed="false">
      <c r="A1554" s="103" t="n">
        <v>56304</v>
      </c>
      <c r="B1554" s="85" t="n">
        <v>46254</v>
      </c>
      <c r="C1554" s="74" t="s">
        <v>694</v>
      </c>
      <c r="D1554" s="75" t="n">
        <v>50232</v>
      </c>
      <c r="E1554" s="52" t="str">
        <f aca="false">IF(D1554&lt;&gt;"",IFERROR(VLOOKUP(D1554,PROVEEDORES!$A:$B,2,0),"!COD NO ENCONTRADO"),"")</f>
        <v>XESTION NOVA LONXA RIVEIRA S.L.</v>
      </c>
      <c r="F1554" s="76" t="str">
        <f aca="false">IF(D1554&lt;&gt;"",IFERROR(VLOOKUP(D1554,PROVEEDORES!$A:$C,3,0),""),"")</f>
        <v>S</v>
      </c>
      <c r="G1554" s="75" t="s">
        <v>310</v>
      </c>
      <c r="H1554" s="52" t="str">
        <f aca="false">IF(G1554&lt;&gt;"",IFERROR(VLOOKUP(G1554,PRODUCTOS!$A:$B,2,0),"!COD NO ENCONTRADO"),"")</f>
        <v>SABOGA/ SALEMA/ SALMA (SLM)</v>
      </c>
      <c r="I1554" s="77" t="n">
        <v>3</v>
      </c>
      <c r="J1554" s="78" t="n">
        <v>12.2</v>
      </c>
      <c r="K1554" s="79" t="n">
        <v>0.8</v>
      </c>
      <c r="L1554" s="80" t="n">
        <f aca="false">IF(AND(J1554&lt;&gt;"",K1554&lt;&gt;""),J1554*K1554,"")</f>
        <v>9.76</v>
      </c>
      <c r="M1554" s="81" t="n">
        <f aca="false">IF(L1554&lt;&gt;"",L1554*1.1,"")</f>
        <v>10.736</v>
      </c>
      <c r="N1554" s="53" t="n">
        <f aca="false">IF(F1554="S",L1554*0.02,0)</f>
        <v>0.1952</v>
      </c>
      <c r="O1554" s="82" t="n">
        <f aca="false">IF(L1554&lt;&gt;"",L1554+N1554,"")</f>
        <v>9.9552</v>
      </c>
      <c r="P1554" s="53" t="n">
        <f aca="false">IF(O1554&lt;&gt;"",O1554*0.1,"")</f>
        <v>0.99552</v>
      </c>
      <c r="Q1554" s="83" t="n">
        <f aca="false">IF(O1554&lt;&gt;"",O1554+P1554,"")</f>
        <v>10.95072</v>
      </c>
      <c r="R1554" s="84" t="s">
        <v>365</v>
      </c>
    </row>
    <row r="1555" customFormat="false" ht="15" hidden="false" customHeight="true" outlineLevel="0" collapsed="false">
      <c r="A1555" s="103" t="n">
        <v>56304</v>
      </c>
      <c r="B1555" s="85" t="n">
        <v>46254</v>
      </c>
      <c r="C1555" s="86" t="s">
        <v>694</v>
      </c>
      <c r="D1555" s="87" t="n">
        <v>50232</v>
      </c>
      <c r="E1555" s="46" t="str">
        <f aca="false">IF(D1555&lt;&gt;"",IFERROR(VLOOKUP(D1555,PROVEEDORES!$A:$B,2,0),"!COD NO ENCONTRADO"),"")</f>
        <v>XESTION NOVA LONXA RIVEIRA S.L.</v>
      </c>
      <c r="F1555" s="88" t="str">
        <f aca="false">IF(D1555&lt;&gt;"",IFERROR(VLOOKUP(D1555,PROVEEDORES!$A:$C,3,0),""),"")</f>
        <v>S</v>
      </c>
      <c r="G1555" s="87" t="s">
        <v>97</v>
      </c>
      <c r="H1555" s="46" t="str">
        <f aca="false">IF(G1555&lt;&gt;"",IFERROR(VLOOKUP(G1555,PRODUCTOS!$A:$B,2,0),"!COD NO ENCONTRADO"),"")</f>
        <v>CABALL/ SARDA/ VERDEL (MAC)</v>
      </c>
      <c r="I1555" s="89" t="n">
        <v>5</v>
      </c>
      <c r="J1555" s="90" t="n">
        <v>66.5</v>
      </c>
      <c r="K1555" s="91" t="n">
        <v>3.5</v>
      </c>
      <c r="L1555" s="80" t="n">
        <f aca="false">IF(AND(J1555&lt;&gt;"",K1555&lt;&gt;""),J1555*K1555,"")</f>
        <v>232.75</v>
      </c>
      <c r="M1555" s="81" t="n">
        <f aca="false">IF(L1555&lt;&gt;"",L1555*1.1,"")</f>
        <v>256.025</v>
      </c>
      <c r="N1555" s="47" t="n">
        <f aca="false">IF(F1555="S",L1555*0.02,0)</f>
        <v>4.655</v>
      </c>
      <c r="O1555" s="82" t="n">
        <f aca="false">IF(L1555&lt;&gt;"",L1555+N1555,"")</f>
        <v>237.405</v>
      </c>
      <c r="P1555" s="47" t="n">
        <f aca="false">IF(O1555&lt;&gt;"",O1555*0.1,"")</f>
        <v>23.7405</v>
      </c>
      <c r="Q1555" s="83" t="n">
        <f aca="false">IF(O1555&lt;&gt;"",O1555+P1555,"")</f>
        <v>261.1455</v>
      </c>
      <c r="R1555" s="84" t="s">
        <v>365</v>
      </c>
    </row>
    <row r="1556" customFormat="false" ht="15" hidden="false" customHeight="true" outlineLevel="0" collapsed="false">
      <c r="A1556" s="103" t="n">
        <v>56304</v>
      </c>
      <c r="B1556" s="85" t="n">
        <v>46254</v>
      </c>
      <c r="C1556" s="86" t="s">
        <v>694</v>
      </c>
      <c r="D1556" s="87" t="n">
        <v>50232</v>
      </c>
      <c r="E1556" s="46" t="str">
        <f aca="false">IF(D1556&lt;&gt;"",IFERROR(VLOOKUP(D1556,PROVEEDORES!$A:$B,2,0),"!COD NO ENCONTRADO"),"")</f>
        <v>XESTION NOVA LONXA RIVEIRA S.L.</v>
      </c>
      <c r="F1556" s="88" t="str">
        <f aca="false">IF(D1556&lt;&gt;"",IFERROR(VLOOKUP(D1556,PROVEEDORES!$A:$C,3,0),""),"")</f>
        <v>S</v>
      </c>
      <c r="G1556" s="87" t="s">
        <v>97</v>
      </c>
      <c r="H1556" s="52" t="str">
        <f aca="false">IF(G1556&lt;&gt;"",IFERROR(VLOOKUP(G1556,PRODUCTOS!$A:$B,2,0),"!COD NO ENCONTRADO"),"")</f>
        <v>CABALL/ SARDA/ VERDEL (MAC)</v>
      </c>
      <c r="I1556" s="77" t="n">
        <v>14</v>
      </c>
      <c r="J1556" s="78" t="n">
        <v>154.8</v>
      </c>
      <c r="K1556" s="79" t="n">
        <v>4</v>
      </c>
      <c r="L1556" s="80" t="n">
        <f aca="false">IF(AND(J1556&lt;&gt;"",K1556&lt;&gt;""),J1556*K1556,"")</f>
        <v>619.2</v>
      </c>
      <c r="M1556" s="81" t="n">
        <f aca="false">IF(L1556&lt;&gt;"",L1556*1.1,"")</f>
        <v>681.12</v>
      </c>
      <c r="N1556" s="53" t="n">
        <f aca="false">IF(F1556="S",L1556*0.02,0)</f>
        <v>12.384</v>
      </c>
      <c r="O1556" s="82" t="n">
        <f aca="false">IF(L1556&lt;&gt;"",L1556+N1556,"")</f>
        <v>631.584</v>
      </c>
      <c r="P1556" s="53" t="n">
        <f aca="false">IF(O1556&lt;&gt;"",O1556*0.1,"")</f>
        <v>63.1584</v>
      </c>
      <c r="Q1556" s="83" t="n">
        <f aca="false">IF(O1556&lt;&gt;"",O1556+P1556,"")</f>
        <v>694.7424</v>
      </c>
      <c r="R1556" s="84" t="s">
        <v>365</v>
      </c>
    </row>
    <row r="1557" customFormat="false" ht="15" hidden="false" customHeight="true" outlineLevel="0" collapsed="false">
      <c r="A1557" s="103" t="n">
        <v>56305</v>
      </c>
      <c r="B1557" s="73" t="n">
        <v>46254</v>
      </c>
      <c r="C1557" s="74" t="s">
        <v>695</v>
      </c>
      <c r="D1557" s="75" t="n">
        <v>50001</v>
      </c>
      <c r="E1557" s="52" t="str">
        <f aca="false">IF(D1557&lt;&gt;"",IFERROR(VLOOKUP(D1557,PROVEEDORES!$A:$B,2,0),"!COD NO ENCONTRADO"),"")</f>
        <v>COPESA</v>
      </c>
      <c r="F1557" s="76" t="str">
        <f aca="false">IF(D1557&lt;&gt;"",IFERROR(VLOOKUP(D1557,PROVEEDORES!$A:$C,3,0),""),"")</f>
        <v>S</v>
      </c>
      <c r="G1557" s="75" t="s">
        <v>93</v>
      </c>
      <c r="H1557" s="52" t="str">
        <f aca="false">IF(G1557&lt;&gt;"",IFERROR(VLOOKUP(G1557,PRODUCTOS!$A:$B,2,0),"!COD NO ENCONTRADO"),"")</f>
        <v>BOQUERON/ BOCARTE/ ANCHOA (ANE)</v>
      </c>
      <c r="I1557" s="77" t="n">
        <v>40</v>
      </c>
      <c r="J1557" s="78" t="n">
        <v>334</v>
      </c>
      <c r="K1557" s="125" t="n">
        <v>1.8</v>
      </c>
      <c r="L1557" s="80" t="n">
        <f aca="false">IF(AND(J1557&lt;&gt;"",K1557&lt;&gt;""),J1557*K1557,"")</f>
        <v>601.2</v>
      </c>
      <c r="M1557" s="81" t="n">
        <f aca="false">IF(L1557&lt;&gt;"",L1557*1.1,"")</f>
        <v>661.32</v>
      </c>
      <c r="N1557" s="53" t="n">
        <f aca="false">IF(F1557="S",L1557*0.02,0)</f>
        <v>12.024</v>
      </c>
      <c r="O1557" s="82" t="n">
        <f aca="false">IF(L1557&lt;&gt;"",L1557+N1557,"")</f>
        <v>613.224</v>
      </c>
      <c r="P1557" s="53" t="n">
        <f aca="false">IF(O1557&lt;&gt;"",O1557*0.1,"")</f>
        <v>61.3224</v>
      </c>
      <c r="Q1557" s="83" t="n">
        <f aca="false">IF(O1557&lt;&gt;"",O1557+P1557,"")</f>
        <v>674.5464</v>
      </c>
      <c r="R1557" s="84" t="s">
        <v>358</v>
      </c>
    </row>
    <row r="1558" customFormat="false" ht="15" hidden="false" customHeight="true" outlineLevel="0" collapsed="false">
      <c r="A1558" s="103" t="n">
        <v>56305</v>
      </c>
      <c r="B1558" s="85" t="n">
        <v>46254</v>
      </c>
      <c r="C1558" s="74" t="s">
        <v>695</v>
      </c>
      <c r="D1558" s="87" t="n">
        <v>50001</v>
      </c>
      <c r="E1558" s="46" t="str">
        <f aca="false">IF(D1558&lt;&gt;"",IFERROR(VLOOKUP(D1558,PROVEEDORES!$A:$B,2,0),"!COD NO ENCONTRADO"),"")</f>
        <v>COPESA</v>
      </c>
      <c r="F1558" s="88" t="str">
        <f aca="false">IF(D1558&lt;&gt;"",IFERROR(VLOOKUP(D1558,PROVEEDORES!$A:$C,3,0),""),"")</f>
        <v>S</v>
      </c>
      <c r="G1558" s="87" t="s">
        <v>93</v>
      </c>
      <c r="H1558" s="46" t="str">
        <f aca="false">IF(G1558&lt;&gt;"",IFERROR(VLOOKUP(G1558,PRODUCTOS!$A:$B,2,0),"!COD NO ENCONTRADO"),"")</f>
        <v>BOQUERON/ BOCARTE/ ANCHOA (ANE)</v>
      </c>
      <c r="I1558" s="89" t="n">
        <v>40</v>
      </c>
      <c r="J1558" s="90" t="n">
        <v>329</v>
      </c>
      <c r="K1558" s="125" t="n">
        <v>1.8</v>
      </c>
      <c r="L1558" s="80" t="n">
        <f aca="false">IF(AND(J1558&lt;&gt;"",K1558&lt;&gt;""),J1558*K1558,"")</f>
        <v>592.2</v>
      </c>
      <c r="M1558" s="81" t="n">
        <f aca="false">IF(L1558&lt;&gt;"",L1558*1.1,"")</f>
        <v>651.42</v>
      </c>
      <c r="N1558" s="47" t="n">
        <f aca="false">IF(F1558="S",L1558*0.02,0)</f>
        <v>11.844</v>
      </c>
      <c r="O1558" s="82" t="n">
        <f aca="false">IF(L1558&lt;&gt;"",L1558+N1558,"")</f>
        <v>604.044</v>
      </c>
      <c r="P1558" s="47" t="n">
        <f aca="false">IF(O1558&lt;&gt;"",O1558*0.1,"")</f>
        <v>60.4044</v>
      </c>
      <c r="Q1558" s="83" t="n">
        <f aca="false">IF(O1558&lt;&gt;"",O1558+P1558,"")</f>
        <v>664.4484</v>
      </c>
      <c r="R1558" s="84" t="s">
        <v>358</v>
      </c>
    </row>
    <row r="1559" customFormat="false" ht="15" hidden="false" customHeight="true" outlineLevel="0" collapsed="false">
      <c r="A1559" s="103" t="n">
        <v>56305</v>
      </c>
      <c r="B1559" s="85" t="n">
        <v>46254</v>
      </c>
      <c r="C1559" s="74" t="s">
        <v>695</v>
      </c>
      <c r="D1559" s="87" t="n">
        <v>50001</v>
      </c>
      <c r="E1559" s="46" t="str">
        <f aca="false">IF(D1559&lt;&gt;"",IFERROR(VLOOKUP(D1559,PROVEEDORES!$A:$B,2,0),"!COD NO ENCONTRADO"),"")</f>
        <v>COPESA</v>
      </c>
      <c r="F1559" s="88" t="str">
        <f aca="false">IF(D1559&lt;&gt;"",IFERROR(VLOOKUP(D1559,PROVEEDORES!$A:$C,3,0),""),"")</f>
        <v>S</v>
      </c>
      <c r="G1559" s="87" t="s">
        <v>103</v>
      </c>
      <c r="H1559" s="46" t="str">
        <f aca="false">IF(G1559&lt;&gt;"",IFERROR(VLOOKUP(G1559,PRODUCTOS!$A:$B,2,0),"!COD NO ENCONTRADO"),"")</f>
        <v>CABRAS/ GALLINETA (BRF)</v>
      </c>
      <c r="I1559" s="89" t="n">
        <v>4</v>
      </c>
      <c r="J1559" s="90" t="n">
        <v>88.75</v>
      </c>
      <c r="K1559" s="91" t="n">
        <v>2.5</v>
      </c>
      <c r="L1559" s="80" t="n">
        <f aca="false">IF(AND(J1559&lt;&gt;"",K1559&lt;&gt;""),J1559*K1559,"")</f>
        <v>221.875</v>
      </c>
      <c r="M1559" s="81" t="n">
        <f aca="false">IF(L1559&lt;&gt;"",L1559*1.1,"")</f>
        <v>244.0625</v>
      </c>
      <c r="N1559" s="47" t="n">
        <f aca="false">IF(F1559="S",L1559*0.02,0)</f>
        <v>4.4375</v>
      </c>
      <c r="O1559" s="82" t="n">
        <f aca="false">IF(L1559&lt;&gt;"",L1559+N1559,"")</f>
        <v>226.3125</v>
      </c>
      <c r="P1559" s="47" t="n">
        <f aca="false">IF(O1559&lt;&gt;"",O1559*0.1,"")</f>
        <v>22.63125</v>
      </c>
      <c r="Q1559" s="83" t="n">
        <f aca="false">IF(O1559&lt;&gt;"",O1559+P1559,"")</f>
        <v>248.94375</v>
      </c>
      <c r="R1559" s="84" t="s">
        <v>365</v>
      </c>
    </row>
    <row r="1560" customFormat="false" ht="15" hidden="false" customHeight="true" outlineLevel="0" collapsed="false">
      <c r="A1560" s="103" t="n">
        <v>56305</v>
      </c>
      <c r="B1560" s="85" t="n">
        <v>46254</v>
      </c>
      <c r="C1560" s="74" t="s">
        <v>695</v>
      </c>
      <c r="D1560" s="75" t="n">
        <v>50001</v>
      </c>
      <c r="E1560" s="52" t="str">
        <f aca="false">IF(D1560&lt;&gt;"",IFERROR(VLOOKUP(D1560,PROVEEDORES!$A:$B,2,0),"!COD NO ENCONTRADO"),"")</f>
        <v>COPESA</v>
      </c>
      <c r="F1560" s="76" t="str">
        <f aca="false">IF(D1560&lt;&gt;"",IFERROR(VLOOKUP(D1560,PROVEEDORES!$A:$C,3,0),""),"")</f>
        <v>S</v>
      </c>
      <c r="G1560" s="75" t="s">
        <v>288</v>
      </c>
      <c r="H1560" s="52" t="str">
        <f aca="false">IF(G1560&lt;&gt;"",IFERROR(VLOOKUP(G1560,PRODUCTOS!$A:$B,2,0),"!COD NO ENCONTRADO"),"")</f>
        <v>RAPE BLANCO DIA (MON)</v>
      </c>
      <c r="I1560" s="77" t="n">
        <v>2</v>
      </c>
      <c r="J1560" s="78" t="n">
        <v>7.4</v>
      </c>
      <c r="K1560" s="79" t="n">
        <v>6.8</v>
      </c>
      <c r="L1560" s="80" t="n">
        <f aca="false">IF(AND(J1560&lt;&gt;"",K1560&lt;&gt;""),J1560*K1560,"")</f>
        <v>50.32</v>
      </c>
      <c r="M1560" s="81" t="n">
        <f aca="false">IF(L1560&lt;&gt;"",L1560*1.1,"")</f>
        <v>55.352</v>
      </c>
      <c r="N1560" s="53" t="n">
        <f aca="false">IF(F1560="S",L1560*0.02,0)</f>
        <v>1.0064</v>
      </c>
      <c r="O1560" s="82" t="n">
        <f aca="false">IF(L1560&lt;&gt;"",L1560+N1560,"")</f>
        <v>51.3264</v>
      </c>
      <c r="P1560" s="53" t="n">
        <f aca="false">IF(O1560&lt;&gt;"",O1560*0.1,"")</f>
        <v>5.13264</v>
      </c>
      <c r="Q1560" s="83" t="n">
        <f aca="false">IF(O1560&lt;&gt;"",O1560+P1560,"")</f>
        <v>56.45904</v>
      </c>
      <c r="R1560" s="84" t="s">
        <v>365</v>
      </c>
    </row>
    <row r="1561" customFormat="false" ht="15" hidden="false" customHeight="true" outlineLevel="0" collapsed="false">
      <c r="A1561" s="103" t="n">
        <v>56306</v>
      </c>
      <c r="B1561" s="85" t="n">
        <v>46254</v>
      </c>
      <c r="C1561" s="74" t="s">
        <v>696</v>
      </c>
      <c r="D1561" s="75" t="n">
        <v>50010</v>
      </c>
      <c r="E1561" s="52" t="str">
        <f aca="false">IF(D1561&lt;&gt;"",IFERROR(VLOOKUP(D1561,PROVEEDORES!$A:$B,2,0),"!COD NO ENCONTRADO"),"")</f>
        <v>PERFECTO MONTERO</v>
      </c>
      <c r="F1561" s="76" t="str">
        <f aca="false">IF(D1561&lt;&gt;"",IFERROR(VLOOKUP(D1561,PROVEEDORES!$A:$C,3,0),""),"")</f>
        <v>S</v>
      </c>
      <c r="G1561" s="75" t="s">
        <v>452</v>
      </c>
      <c r="H1561" s="52" t="str">
        <f aca="false">IF(G1561&lt;&gt;"",IFERROR(VLOOKUP(G1561,PRODUCTOS!$A:$B,2,0),"!COD NO ENCONTRADO"),"")</f>
        <v>BONITO DEL NORTE  +10 (ALB)</v>
      </c>
      <c r="I1561" s="77" t="n">
        <v>1</v>
      </c>
      <c r="J1561" s="78" t="n">
        <v>30.5</v>
      </c>
      <c r="K1561" s="79" t="n">
        <v>5.6</v>
      </c>
      <c r="L1561" s="80" t="n">
        <f aca="false">IF(AND(J1561&lt;&gt;"",K1561&lt;&gt;""),J1561*K1561,"")</f>
        <v>170.8</v>
      </c>
      <c r="M1561" s="81" t="n">
        <f aca="false">IF(L1561&lt;&gt;"",L1561*1.1,"")</f>
        <v>187.88</v>
      </c>
      <c r="N1561" s="53" t="n">
        <f aca="false">IF(F1561="S",L1561*0.02,0)</f>
        <v>3.416</v>
      </c>
      <c r="O1561" s="82" t="n">
        <f aca="false">IF(L1561&lt;&gt;"",L1561+N1561,"")</f>
        <v>174.216</v>
      </c>
      <c r="P1561" s="53" t="n">
        <f aca="false">IF(O1561&lt;&gt;"",O1561*0.1,"")</f>
        <v>17.4216</v>
      </c>
      <c r="Q1561" s="83" t="n">
        <f aca="false">IF(O1561&lt;&gt;"",O1561+P1561,"")</f>
        <v>191.6376</v>
      </c>
      <c r="R1561" s="84" t="s">
        <v>365</v>
      </c>
    </row>
    <row r="1562" customFormat="false" ht="15" hidden="false" customHeight="true" outlineLevel="0" collapsed="false">
      <c r="A1562" s="103" t="n">
        <v>56306</v>
      </c>
      <c r="B1562" s="85" t="n">
        <v>46254</v>
      </c>
      <c r="C1562" s="86" t="s">
        <v>696</v>
      </c>
      <c r="D1562" s="87" t="n">
        <v>50010</v>
      </c>
      <c r="E1562" s="46" t="str">
        <f aca="false">IF(D1562&lt;&gt;"",IFERROR(VLOOKUP(D1562,PROVEEDORES!$A:$B,2,0),"!COD NO ENCONTRADO"),"")</f>
        <v>PERFECTO MONTERO</v>
      </c>
      <c r="F1562" s="88" t="str">
        <f aca="false">IF(D1562&lt;&gt;"",IFERROR(VLOOKUP(D1562,PROVEEDORES!$A:$C,3,0),""),"")</f>
        <v>S</v>
      </c>
      <c r="G1562" s="87" t="s">
        <v>91</v>
      </c>
      <c r="H1562" s="46" t="str">
        <f aca="false">IF(G1562&lt;&gt;"",IFERROR(VLOOKUP(G1562,PRODUCTOS!$A:$B,2,0),"!COD NO ENCONTRADO"),"")</f>
        <v>BONITO DEL NORTE 5/7</v>
      </c>
      <c r="I1562" s="89" t="n">
        <v>2</v>
      </c>
      <c r="J1562" s="90" t="n">
        <v>82</v>
      </c>
      <c r="K1562" s="91" t="n">
        <v>5.3</v>
      </c>
      <c r="L1562" s="80" t="n">
        <f aca="false">IF(AND(J1562&lt;&gt;"",K1562&lt;&gt;""),J1562*K1562,"")</f>
        <v>434.6</v>
      </c>
      <c r="M1562" s="81" t="n">
        <f aca="false">IF(L1562&lt;&gt;"",L1562*1.1,"")</f>
        <v>478.06</v>
      </c>
      <c r="N1562" s="47" t="n">
        <f aca="false">IF(F1562="S",L1562*0.02,0)</f>
        <v>8.692</v>
      </c>
      <c r="O1562" s="82" t="n">
        <f aca="false">IF(L1562&lt;&gt;"",L1562+N1562,"")</f>
        <v>443.292</v>
      </c>
      <c r="P1562" s="47" t="n">
        <f aca="false">IF(O1562&lt;&gt;"",O1562*0.1,"")</f>
        <v>44.3292</v>
      </c>
      <c r="Q1562" s="83" t="n">
        <f aca="false">IF(O1562&lt;&gt;"",O1562+P1562,"")</f>
        <v>487.6212</v>
      </c>
      <c r="R1562" s="84" t="s">
        <v>365</v>
      </c>
    </row>
    <row r="1563" customFormat="false" ht="15" hidden="false" customHeight="true" outlineLevel="0" collapsed="false">
      <c r="A1563" s="103" t="n">
        <v>56307</v>
      </c>
      <c r="B1563" s="85" t="n">
        <v>46254</v>
      </c>
      <c r="C1563" s="86" t="s">
        <v>697</v>
      </c>
      <c r="D1563" s="87" t="n">
        <v>50069</v>
      </c>
      <c r="E1563" s="46" t="str">
        <f aca="false">IF(D1563&lt;&gt;"",IFERROR(VLOOKUP(D1563,PROVEEDORES!$A:$B,2,0),"!COD NO ENCONTRADO"),"")</f>
        <v>PESCADOS ILLANES S.L.</v>
      </c>
      <c r="F1563" s="88" t="str">
        <f aca="false">IF(D1563&lt;&gt;"",IFERROR(VLOOKUP(D1563,PROVEEDORES!$A:$C,3,0),""),"")</f>
        <v>S</v>
      </c>
      <c r="G1563" s="87" t="s">
        <v>227</v>
      </c>
      <c r="H1563" s="46" t="str">
        <f aca="false">IF(G1563&lt;&gt;"",IFERROR(VLOOKUP(G1563,PRODUCTOS!$A:$B,2,0),"!COD NO ENCONTRADO"),"")</f>
        <v>MERLUZA EUROPEA PINCHO COSTA 1,5/2</v>
      </c>
      <c r="I1563" s="89" t="n">
        <v>3</v>
      </c>
      <c r="J1563" s="90" t="n">
        <v>52</v>
      </c>
      <c r="K1563" s="91" t="n">
        <v>8.8</v>
      </c>
      <c r="L1563" s="80" t="n">
        <f aca="false">IF(AND(J1563&lt;&gt;"",K1563&lt;&gt;""),J1563*K1563,"")</f>
        <v>457.6</v>
      </c>
      <c r="M1563" s="81" t="n">
        <f aca="false">IF(L1563&lt;&gt;"",L1563*1.1,"")</f>
        <v>503.36</v>
      </c>
      <c r="N1563" s="47" t="n">
        <f aca="false">IF(F1563="S",L1563*0.02,0)</f>
        <v>9.152</v>
      </c>
      <c r="O1563" s="82" t="n">
        <f aca="false">IF(L1563&lt;&gt;"",L1563+N1563,"")</f>
        <v>466.752</v>
      </c>
      <c r="P1563" s="47" t="n">
        <f aca="false">IF(O1563&lt;&gt;"",O1563*0.1,"")</f>
        <v>46.6752</v>
      </c>
      <c r="Q1563" s="83" t="n">
        <f aca="false">IF(O1563&lt;&gt;"",O1563+P1563,"")</f>
        <v>513.4272</v>
      </c>
      <c r="R1563" s="84" t="s">
        <v>358</v>
      </c>
    </row>
    <row r="1564" customFormat="false" ht="15" hidden="false" customHeight="true" outlineLevel="0" collapsed="false">
      <c r="A1564" s="103" t="n">
        <v>56308</v>
      </c>
      <c r="B1564" s="85" t="n">
        <v>46254</v>
      </c>
      <c r="C1564" s="74" t="s">
        <v>698</v>
      </c>
      <c r="D1564" s="75" t="n">
        <v>50106</v>
      </c>
      <c r="E1564" s="52" t="str">
        <f aca="false">IF(D1564&lt;&gt;"",IFERROR(VLOOKUP(D1564,PROVEEDORES!$A:$B,2,0),"!COD NO ENCONTRADO"),"")</f>
        <v>SONIA VENTAS S.L</v>
      </c>
      <c r="F1564" s="76" t="str">
        <f aca="false">IF(D1564&lt;&gt;"",IFERROR(VLOOKUP(D1564,PROVEEDORES!$A:$C,3,0),""),"")</f>
        <v>S</v>
      </c>
      <c r="G1564" s="75" t="s">
        <v>221</v>
      </c>
      <c r="H1564" s="52" t="str">
        <f aca="false">IF(G1564&lt;&gt;"",IFERROR(VLOOKUP(G1564,PRODUCTOS!$A:$B,2,0),"!COD NO ENCONTRADO"),"")</f>
        <v>MERLUZA EUROPEA PINCHO COSTA 800</v>
      </c>
      <c r="I1564" s="77" t="n">
        <v>2</v>
      </c>
      <c r="J1564" s="78" t="n">
        <v>28.25</v>
      </c>
      <c r="K1564" s="79" t="n">
        <v>4.9</v>
      </c>
      <c r="L1564" s="80" t="n">
        <f aca="false">IF(AND(J1564&lt;&gt;"",K1564&lt;&gt;""),J1564*K1564,"")</f>
        <v>138.425</v>
      </c>
      <c r="M1564" s="81" t="n">
        <f aca="false">IF(L1564&lt;&gt;"",L1564*1.1,"")</f>
        <v>152.2675</v>
      </c>
      <c r="N1564" s="53" t="n">
        <f aca="false">IF(F1564="S",L1564*0.02,0)</f>
        <v>2.7685</v>
      </c>
      <c r="O1564" s="82" t="n">
        <f aca="false">IF(L1564&lt;&gt;"",L1564+N1564,"")</f>
        <v>141.1935</v>
      </c>
      <c r="P1564" s="53" t="n">
        <f aca="false">IF(O1564&lt;&gt;"",O1564*0.1,"")</f>
        <v>14.11935</v>
      </c>
      <c r="Q1564" s="83" t="n">
        <f aca="false">IF(O1564&lt;&gt;"",O1564+P1564,"")</f>
        <v>155.31285</v>
      </c>
      <c r="R1564" s="84" t="s">
        <v>365</v>
      </c>
    </row>
    <row r="1565" customFormat="false" ht="15" hidden="false" customHeight="true" outlineLevel="0" collapsed="false">
      <c r="A1565" s="103" t="n">
        <v>56308</v>
      </c>
      <c r="B1565" s="85" t="n">
        <v>46254</v>
      </c>
      <c r="C1565" s="86" t="s">
        <v>698</v>
      </c>
      <c r="D1565" s="87" t="n">
        <v>50106</v>
      </c>
      <c r="E1565" s="46" t="str">
        <f aca="false">IF(D1565&lt;&gt;"",IFERROR(VLOOKUP(D1565,PROVEEDORES!$A:$B,2,0),"!COD NO ENCONTRADO"),"")</f>
        <v>SONIA VENTAS S.L</v>
      </c>
      <c r="F1565" s="88" t="str">
        <f aca="false">IF(D1565&lt;&gt;"",IFERROR(VLOOKUP(D1565,PROVEEDORES!$A:$C,3,0),""),"")</f>
        <v>S</v>
      </c>
      <c r="G1565" s="87" t="s">
        <v>221</v>
      </c>
      <c r="H1565" s="46" t="str">
        <f aca="false">IF(G1565&lt;&gt;"",IFERROR(VLOOKUP(G1565,PRODUCTOS!$A:$B,2,0),"!COD NO ENCONTRADO"),"")</f>
        <v>MERLUZA EUROPEA PINCHO COSTA 800</v>
      </c>
      <c r="I1565" s="89" t="n">
        <v>2</v>
      </c>
      <c r="J1565" s="90" t="n">
        <v>27.75</v>
      </c>
      <c r="K1565" s="91" t="n">
        <v>5.2</v>
      </c>
      <c r="L1565" s="80" t="n">
        <f aca="false">IF(AND(J1565&lt;&gt;"",K1565&lt;&gt;""),J1565*K1565,"")</f>
        <v>144.3</v>
      </c>
      <c r="M1565" s="81" t="n">
        <f aca="false">IF(L1565&lt;&gt;"",L1565*1.1,"")</f>
        <v>158.73</v>
      </c>
      <c r="N1565" s="47" t="n">
        <f aca="false">IF(F1565="S",L1565*0.02,0)</f>
        <v>2.886</v>
      </c>
      <c r="O1565" s="82" t="n">
        <f aca="false">IF(L1565&lt;&gt;"",L1565+N1565,"")</f>
        <v>147.186</v>
      </c>
      <c r="P1565" s="47" t="n">
        <f aca="false">IF(O1565&lt;&gt;"",O1565*0.1,"")</f>
        <v>14.7186</v>
      </c>
      <c r="Q1565" s="83" t="n">
        <f aca="false">IF(O1565&lt;&gt;"",O1565+P1565,"")</f>
        <v>161.9046</v>
      </c>
      <c r="R1565" s="84" t="s">
        <v>365</v>
      </c>
    </row>
    <row r="1566" customFormat="false" ht="15" hidden="false" customHeight="true" outlineLevel="0" collapsed="false">
      <c r="A1566" s="103" t="n">
        <v>56309</v>
      </c>
      <c r="B1566" s="85" t="n">
        <v>46254</v>
      </c>
      <c r="C1566" s="74" t="s">
        <v>699</v>
      </c>
      <c r="D1566" s="75" t="n">
        <v>50160</v>
      </c>
      <c r="E1566" s="52" t="str">
        <f aca="false">IF(D1566&lt;&gt;"",IFERROR(VLOOKUP(D1566,PROVEEDORES!$A:$B,2,0),"!COD NO ENCONTRADO"),"")</f>
        <v>SUBASTAS CORUÑA S.L.</v>
      </c>
      <c r="F1566" s="76" t="str">
        <f aca="false">IF(D1566&lt;&gt;"",IFERROR(VLOOKUP(D1566,PROVEEDORES!$A:$C,3,0),""),"")</f>
        <v>S</v>
      </c>
      <c r="G1566" s="75" t="s">
        <v>332</v>
      </c>
      <c r="H1566" s="52" t="str">
        <f aca="false">IF(G1566&lt;&gt;"",IFERROR(VLOOKUP(G1566,PRODUCTOS!$A:$B,2,0),"!COD NO ENCONTRADO"),"")</f>
        <v>VARIADO PEQUEÑO</v>
      </c>
      <c r="I1566" s="77" t="n">
        <v>6</v>
      </c>
      <c r="J1566" s="78" t="n">
        <v>35.5</v>
      </c>
      <c r="K1566" s="79" t="n">
        <v>0.5</v>
      </c>
      <c r="L1566" s="80" t="n">
        <f aca="false">IF(AND(J1566&lt;&gt;"",K1566&lt;&gt;""),J1566*K1566,"")</f>
        <v>17.75</v>
      </c>
      <c r="M1566" s="81" t="n">
        <f aca="false">IF(L1566&lt;&gt;"",L1566*1.1,"")</f>
        <v>19.525</v>
      </c>
      <c r="N1566" s="53" t="n">
        <f aca="false">IF(F1566="S",L1566*0.02,0)</f>
        <v>0.355</v>
      </c>
      <c r="O1566" s="82" t="n">
        <f aca="false">IF(L1566&lt;&gt;"",L1566+N1566,"")</f>
        <v>18.105</v>
      </c>
      <c r="P1566" s="53" t="n">
        <f aca="false">IF(O1566&lt;&gt;"",O1566*0.1,"")</f>
        <v>1.8105</v>
      </c>
      <c r="Q1566" s="83" t="n">
        <f aca="false">IF(O1566&lt;&gt;"",O1566+P1566,"")</f>
        <v>19.9155</v>
      </c>
      <c r="R1566" s="84" t="s">
        <v>365</v>
      </c>
    </row>
    <row r="1567" customFormat="false" ht="15" hidden="false" customHeight="true" outlineLevel="0" collapsed="false">
      <c r="A1567" s="103" t="n">
        <v>56310</v>
      </c>
      <c r="B1567" s="85" t="n">
        <v>46254</v>
      </c>
      <c r="C1567" s="86" t="s">
        <v>700</v>
      </c>
      <c r="D1567" s="87" t="n">
        <v>50163</v>
      </c>
      <c r="E1567" s="46" t="str">
        <f aca="false">IF(D1567&lt;&gt;"",IFERROR(VLOOKUP(D1567,PROVEEDORES!$A:$B,2,0),"!COD NO ENCONTRADO"),"")</f>
        <v>SUBASTAS RIVERA S.L.</v>
      </c>
      <c r="F1567" s="88" t="str">
        <f aca="false">IF(D1567&lt;&gt;"",IFERROR(VLOOKUP(D1567,PROVEEDORES!$A:$C,3,0),""),"")</f>
        <v>S</v>
      </c>
      <c r="G1567" s="87" t="s">
        <v>135</v>
      </c>
      <c r="H1567" s="46" t="str">
        <f aca="false">IF(G1567&lt;&gt;"",IFERROR(VLOOKUP(G1567,PRODUCTOS!$A:$B,2,0),"!COD NO ENCONTRADO"),"")</f>
        <v>CONGRIO 10+  (COE)</v>
      </c>
      <c r="I1567" s="89" t="n">
        <v>3</v>
      </c>
      <c r="J1567" s="105" t="n">
        <v>42</v>
      </c>
      <c r="K1567" s="125" t="n">
        <v>5.2</v>
      </c>
      <c r="L1567" s="80" t="n">
        <f aca="false">IF(AND(J1567&lt;&gt;"",K1567&lt;&gt;""),J1567*K1567,"")</f>
        <v>218.4</v>
      </c>
      <c r="M1567" s="81" t="n">
        <f aca="false">IF(L1567&lt;&gt;"",L1567*1.1,"")</f>
        <v>240.24</v>
      </c>
      <c r="N1567" s="47" t="n">
        <f aca="false">IF(F1567="S",L1567*0.02,0)</f>
        <v>4.368</v>
      </c>
      <c r="O1567" s="82" t="n">
        <f aca="false">IF(L1567&lt;&gt;"",L1567+N1567,"")</f>
        <v>222.768</v>
      </c>
      <c r="P1567" s="47" t="n">
        <f aca="false">IF(O1567&lt;&gt;"",O1567*0.1,"")</f>
        <v>22.2768</v>
      </c>
      <c r="Q1567" s="83" t="n">
        <f aca="false">IF(O1567&lt;&gt;"",O1567+P1567,"")</f>
        <v>245.0448</v>
      </c>
      <c r="R1567" s="84" t="s">
        <v>365</v>
      </c>
    </row>
    <row r="1568" customFormat="false" ht="15" hidden="false" customHeight="true" outlineLevel="0" collapsed="false">
      <c r="A1568" s="103" t="n">
        <v>56310</v>
      </c>
      <c r="B1568" s="85" t="n">
        <v>46254</v>
      </c>
      <c r="C1568" s="74" t="s">
        <v>700</v>
      </c>
      <c r="D1568" s="75" t="n">
        <v>50163</v>
      </c>
      <c r="E1568" s="52" t="str">
        <f aca="false">IF(D1568&lt;&gt;"",IFERROR(VLOOKUP(D1568,PROVEEDORES!$A:$B,2,0),"!COD NO ENCONTRADO"),"")</f>
        <v>SUBASTAS RIVERA S.L.</v>
      </c>
      <c r="F1568" s="76" t="str">
        <f aca="false">IF(D1568&lt;&gt;"",IFERROR(VLOOKUP(D1568,PROVEEDORES!$A:$C,3,0),""),"")</f>
        <v>S</v>
      </c>
      <c r="G1568" s="75" t="s">
        <v>288</v>
      </c>
      <c r="H1568" s="52" t="str">
        <f aca="false">IF(G1568&lt;&gt;"",IFERROR(VLOOKUP(G1568,PRODUCTOS!$A:$B,2,0),"!COD NO ENCONTRADO"),"")</f>
        <v>RAPE BLANCO DIA (MON)</v>
      </c>
      <c r="I1568" s="77" t="n">
        <v>1</v>
      </c>
      <c r="J1568" s="105" t="n">
        <v>10.8</v>
      </c>
      <c r="K1568" s="125" t="n">
        <v>8.4</v>
      </c>
      <c r="L1568" s="80" t="n">
        <f aca="false">IF(AND(J1568&lt;&gt;"",K1568&lt;&gt;""),J1568*K1568,"")</f>
        <v>90.72</v>
      </c>
      <c r="M1568" s="81" t="n">
        <f aca="false">IF(L1568&lt;&gt;"",L1568*1.1,"")</f>
        <v>99.792</v>
      </c>
      <c r="N1568" s="53" t="n">
        <f aca="false">IF(F1568="S",L1568*0.02,0)</f>
        <v>1.8144</v>
      </c>
      <c r="O1568" s="82" t="n">
        <f aca="false">IF(L1568&lt;&gt;"",L1568+N1568,"")</f>
        <v>92.5344</v>
      </c>
      <c r="P1568" s="53" t="n">
        <f aca="false">IF(O1568&lt;&gt;"",O1568*0.1,"")</f>
        <v>9.25344</v>
      </c>
      <c r="Q1568" s="83" t="n">
        <f aca="false">IF(O1568&lt;&gt;"",O1568+P1568,"")</f>
        <v>101.78784</v>
      </c>
      <c r="R1568" s="84" t="s">
        <v>358</v>
      </c>
    </row>
    <row r="1569" customFormat="false" ht="15" hidden="false" customHeight="true" outlineLevel="0" collapsed="false">
      <c r="A1569" s="103" t="n">
        <v>56310</v>
      </c>
      <c r="B1569" s="85" t="n">
        <v>46254</v>
      </c>
      <c r="C1569" s="74" t="s">
        <v>700</v>
      </c>
      <c r="D1569" s="75" t="n">
        <v>50163</v>
      </c>
      <c r="E1569" s="46" t="str">
        <f aca="false">IF(D1569&lt;&gt;"",IFERROR(VLOOKUP(D1569,PROVEEDORES!$A:$B,2,0),"!COD NO ENCONTRADO"),"")</f>
        <v>SUBASTAS RIVERA S.L.</v>
      </c>
      <c r="F1569" s="88" t="str">
        <f aca="false">IF(D1569&lt;&gt;"",IFERROR(VLOOKUP(D1569,PROVEEDORES!$A:$C,3,0),""),"")</f>
        <v>S</v>
      </c>
      <c r="G1569" s="87" t="s">
        <v>288</v>
      </c>
      <c r="H1569" s="46" t="str">
        <f aca="false">IF(G1569&lt;&gt;"",IFERROR(VLOOKUP(G1569,PRODUCTOS!$A:$B,2,0),"!COD NO ENCONTRADO"),"")</f>
        <v>RAPE BLANCO DIA (MON)</v>
      </c>
      <c r="I1569" s="89" t="n">
        <v>1</v>
      </c>
      <c r="J1569" s="105" t="n">
        <v>3.7</v>
      </c>
      <c r="K1569" s="125" t="n">
        <v>6</v>
      </c>
      <c r="L1569" s="80" t="n">
        <f aca="false">IF(AND(J1569&lt;&gt;"",K1569&lt;&gt;""),J1569*K1569,"")</f>
        <v>22.2</v>
      </c>
      <c r="M1569" s="81" t="n">
        <f aca="false">IF(L1569&lt;&gt;"",L1569*1.1,"")</f>
        <v>24.42</v>
      </c>
      <c r="N1569" s="47" t="n">
        <f aca="false">IF(F1569="S",L1569*0.02,0)</f>
        <v>0.444</v>
      </c>
      <c r="O1569" s="82" t="n">
        <f aca="false">IF(L1569&lt;&gt;"",L1569+N1569,"")</f>
        <v>22.644</v>
      </c>
      <c r="P1569" s="47" t="n">
        <f aca="false">IF(O1569&lt;&gt;"",O1569*0.1,"")</f>
        <v>2.2644</v>
      </c>
      <c r="Q1569" s="83" t="n">
        <f aca="false">IF(O1569&lt;&gt;"",O1569+P1569,"")</f>
        <v>24.9084</v>
      </c>
      <c r="R1569" s="84" t="s">
        <v>358</v>
      </c>
    </row>
    <row r="1570" customFormat="false" ht="15" hidden="false" customHeight="true" outlineLevel="0" collapsed="false">
      <c r="A1570" s="103" t="n">
        <v>56310</v>
      </c>
      <c r="B1570" s="85" t="n">
        <v>46254</v>
      </c>
      <c r="C1570" s="74" t="s">
        <v>700</v>
      </c>
      <c r="D1570" s="75" t="n">
        <v>50163</v>
      </c>
      <c r="E1570" s="52" t="str">
        <f aca="false">IF(D1570&lt;&gt;"",IFERROR(VLOOKUP(D1570,PROVEEDORES!$A:$B,2,0),"!COD NO ENCONTRADO"),"")</f>
        <v>SUBASTAS RIVERA S.L.</v>
      </c>
      <c r="F1570" s="76" t="str">
        <f aca="false">IF(D1570&lt;&gt;"",IFERROR(VLOOKUP(D1570,PROVEEDORES!$A:$C,3,0),""),"")</f>
        <v>S</v>
      </c>
      <c r="G1570" s="75" t="s">
        <v>332</v>
      </c>
      <c r="H1570" s="52" t="str">
        <f aca="false">IF(G1570&lt;&gt;"",IFERROR(VLOOKUP(G1570,PRODUCTOS!$A:$B,2,0),"!COD NO ENCONTRADO"),"")</f>
        <v>VARIADO PEQUEÑO</v>
      </c>
      <c r="I1570" s="77" t="n">
        <v>2</v>
      </c>
      <c r="J1570" s="105" t="n">
        <v>20.5</v>
      </c>
      <c r="K1570" s="125" t="n">
        <v>0.3</v>
      </c>
      <c r="L1570" s="80" t="n">
        <f aca="false">IF(AND(J1570&lt;&gt;"",K1570&lt;&gt;""),J1570*K1570,"")</f>
        <v>6.15</v>
      </c>
      <c r="M1570" s="81" t="n">
        <f aca="false">IF(L1570&lt;&gt;"",L1570*1.1,"")</f>
        <v>6.765</v>
      </c>
      <c r="N1570" s="53" t="n">
        <f aca="false">IF(F1570="S",L1570*0.02,0)</f>
        <v>0.123</v>
      </c>
      <c r="O1570" s="82" t="n">
        <f aca="false">IF(L1570&lt;&gt;"",L1570+N1570,"")</f>
        <v>6.273</v>
      </c>
      <c r="P1570" s="53" t="n">
        <f aca="false">IF(O1570&lt;&gt;"",O1570*0.1,"")</f>
        <v>0.6273</v>
      </c>
      <c r="Q1570" s="83" t="n">
        <f aca="false">IF(O1570&lt;&gt;"",O1570+P1570,"")</f>
        <v>6.9003</v>
      </c>
      <c r="R1570" s="84" t="s">
        <v>358</v>
      </c>
    </row>
    <row r="1571" customFormat="false" ht="15" hidden="false" customHeight="true" outlineLevel="0" collapsed="false">
      <c r="A1571" s="103" t="n">
        <v>56310</v>
      </c>
      <c r="B1571" s="85" t="n">
        <v>46254</v>
      </c>
      <c r="C1571" s="74" t="s">
        <v>700</v>
      </c>
      <c r="D1571" s="75" t="n">
        <v>50163</v>
      </c>
      <c r="E1571" s="46" t="str">
        <f aca="false">IF(D1571&lt;&gt;"",IFERROR(VLOOKUP(D1571,PROVEEDORES!$A:$B,2,0),"!COD NO ENCONTRADO"),"")</f>
        <v>SUBASTAS RIVERA S.L.</v>
      </c>
      <c r="F1571" s="88" t="str">
        <f aca="false">IF(D1571&lt;&gt;"",IFERROR(VLOOKUP(D1571,PROVEEDORES!$A:$C,3,0),""),"")</f>
        <v>S</v>
      </c>
      <c r="G1571" s="87" t="s">
        <v>332</v>
      </c>
      <c r="H1571" s="46" t="str">
        <f aca="false">IF(G1571&lt;&gt;"",IFERROR(VLOOKUP(G1571,PRODUCTOS!$A:$B,2,0),"!COD NO ENCONTRADO"),"")</f>
        <v>VARIADO PEQUEÑO</v>
      </c>
      <c r="I1571" s="89" t="n">
        <v>4</v>
      </c>
      <c r="J1571" s="105" t="n">
        <v>31.5</v>
      </c>
      <c r="K1571" s="125" t="n">
        <v>0.3</v>
      </c>
      <c r="L1571" s="80" t="n">
        <f aca="false">IF(AND(J1571&lt;&gt;"",K1571&lt;&gt;""),J1571*K1571,"")</f>
        <v>9.45</v>
      </c>
      <c r="M1571" s="81" t="n">
        <f aca="false">IF(L1571&lt;&gt;"",L1571*1.1,"")</f>
        <v>10.395</v>
      </c>
      <c r="N1571" s="47" t="n">
        <f aca="false">IF(F1571="S",L1571*0.02,0)</f>
        <v>0.189</v>
      </c>
      <c r="O1571" s="82" t="n">
        <f aca="false">IF(L1571&lt;&gt;"",L1571+N1571,"")</f>
        <v>9.639</v>
      </c>
      <c r="P1571" s="47" t="n">
        <f aca="false">IF(O1571&lt;&gt;"",O1571*0.1,"")</f>
        <v>0.9639</v>
      </c>
      <c r="Q1571" s="83" t="n">
        <f aca="false">IF(O1571&lt;&gt;"",O1571+P1571,"")</f>
        <v>10.6029</v>
      </c>
      <c r="R1571" s="84" t="s">
        <v>358</v>
      </c>
    </row>
    <row r="1572" customFormat="false" ht="15" hidden="false" customHeight="true" outlineLevel="0" collapsed="false">
      <c r="A1572" s="103" t="n">
        <v>56310</v>
      </c>
      <c r="B1572" s="85" t="n">
        <v>46254</v>
      </c>
      <c r="C1572" s="74" t="s">
        <v>700</v>
      </c>
      <c r="D1572" s="75" t="n">
        <v>50163</v>
      </c>
      <c r="E1572" s="52" t="str">
        <f aca="false">IF(D1572&lt;&gt;"",IFERROR(VLOOKUP(D1572,PROVEEDORES!$A:$B,2,0),"!COD NO ENCONTRADO"),"")</f>
        <v>SUBASTAS RIVERA S.L.</v>
      </c>
      <c r="F1572" s="76" t="str">
        <f aca="false">IF(D1572&lt;&gt;"",IFERROR(VLOOKUP(D1572,PROVEEDORES!$A:$C,3,0),""),"")</f>
        <v>S</v>
      </c>
      <c r="G1572" s="75" t="s">
        <v>332</v>
      </c>
      <c r="H1572" s="52" t="str">
        <f aca="false">IF(G1572&lt;&gt;"",IFERROR(VLOOKUP(G1572,PRODUCTOS!$A:$B,2,0),"!COD NO ENCONTRADO"),"")</f>
        <v>VARIADO PEQUEÑO</v>
      </c>
      <c r="I1572" s="77" t="n">
        <v>3</v>
      </c>
      <c r="J1572" s="105" t="n">
        <v>22.75</v>
      </c>
      <c r="K1572" s="125" t="n">
        <v>1</v>
      </c>
      <c r="L1572" s="80" t="n">
        <f aca="false">IF(AND(J1572&lt;&gt;"",K1572&lt;&gt;""),J1572*K1572,"")</f>
        <v>22.75</v>
      </c>
      <c r="M1572" s="81" t="n">
        <f aca="false">IF(L1572&lt;&gt;"",L1572*1.1,"")</f>
        <v>25.025</v>
      </c>
      <c r="N1572" s="53" t="n">
        <f aca="false">IF(F1572="S",L1572*0.02,0)</f>
        <v>0.455</v>
      </c>
      <c r="O1572" s="82" t="n">
        <f aca="false">IF(L1572&lt;&gt;"",L1572+N1572,"")</f>
        <v>23.205</v>
      </c>
      <c r="P1572" s="53" t="n">
        <f aca="false">IF(O1572&lt;&gt;"",O1572*0.1,"")</f>
        <v>2.3205</v>
      </c>
      <c r="Q1572" s="83" t="n">
        <f aca="false">IF(O1572&lt;&gt;"",O1572+P1572,"")</f>
        <v>25.5255</v>
      </c>
      <c r="R1572" s="84" t="s">
        <v>358</v>
      </c>
    </row>
    <row r="1573" customFormat="false" ht="15" hidden="false" customHeight="true" outlineLevel="0" collapsed="false">
      <c r="A1573" s="103" t="n">
        <v>56310</v>
      </c>
      <c r="B1573" s="85" t="n">
        <v>46254</v>
      </c>
      <c r="C1573" s="74" t="s">
        <v>700</v>
      </c>
      <c r="D1573" s="87" t="n">
        <v>50163</v>
      </c>
      <c r="E1573" s="46" t="str">
        <f aca="false">IF(D1573&lt;&gt;"",IFERROR(VLOOKUP(D1573,PROVEEDORES!$A:$B,2,0),"!COD NO ENCONTRADO"),"")</f>
        <v>SUBASTAS RIVERA S.L.</v>
      </c>
      <c r="F1573" s="88" t="str">
        <f aca="false">IF(D1573&lt;&gt;"",IFERROR(VLOOKUP(D1573,PROVEEDORES!$A:$C,3,0),""),"")</f>
        <v>S</v>
      </c>
      <c r="G1573" s="87" t="s">
        <v>229</v>
      </c>
      <c r="H1573" s="46" t="str">
        <f aca="false">IF(G1573&lt;&gt;"",IFERROR(VLOOKUP(G1573,PRODUCTOS!$A:$B,2,0),"!COD NO ENCONTRADO"),"")</f>
        <v>MERLUZA EUROPEA PINCHO COSTA 2+</v>
      </c>
      <c r="I1573" s="89" t="n">
        <v>1</v>
      </c>
      <c r="J1573" s="90" t="n">
        <v>7</v>
      </c>
      <c r="K1573" s="91" t="n">
        <v>12</v>
      </c>
      <c r="L1573" s="80" t="n">
        <f aca="false">IF(AND(J1573&lt;&gt;"",K1573&lt;&gt;""),J1573*K1573,"")</f>
        <v>84</v>
      </c>
      <c r="M1573" s="81" t="n">
        <f aca="false">IF(L1573&lt;&gt;"",L1573*1.1,"")</f>
        <v>92.4</v>
      </c>
      <c r="N1573" s="47" t="n">
        <f aca="false">IF(F1573="S",L1573*0.02,0)</f>
        <v>1.68</v>
      </c>
      <c r="O1573" s="82" t="n">
        <f aca="false">IF(L1573&lt;&gt;"",L1573+N1573,"")</f>
        <v>85.68</v>
      </c>
      <c r="P1573" s="47" t="n">
        <f aca="false">IF(O1573&lt;&gt;"",O1573*0.1,"")</f>
        <v>8.568</v>
      </c>
      <c r="Q1573" s="83" t="n">
        <f aca="false">IF(O1573&lt;&gt;"",O1573+P1573,"")</f>
        <v>94.248</v>
      </c>
      <c r="R1573" s="84" t="s">
        <v>358</v>
      </c>
    </row>
    <row r="1574" customFormat="false" ht="15" hidden="false" customHeight="true" outlineLevel="0" collapsed="false">
      <c r="A1574" s="103" t="n">
        <v>56311</v>
      </c>
      <c r="B1574" s="85" t="n">
        <v>46254</v>
      </c>
      <c r="C1574" s="74" t="s">
        <v>701</v>
      </c>
      <c r="D1574" s="75" t="n">
        <v>50048</v>
      </c>
      <c r="E1574" s="52" t="str">
        <f aca="false">IF(D1574&lt;&gt;"",IFERROR(VLOOKUP(D1574,PROVEEDORES!$A:$B,2,0),"!COD NO ENCONTRADO"),"")</f>
        <v>JOSE LUIS CORREA KESSLER S.L.</v>
      </c>
      <c r="F1574" s="76" t="str">
        <f aca="false">IF(D1574&lt;&gt;"",IFERROR(VLOOKUP(D1574,PROVEEDORES!$A:$C,3,0),""),"")</f>
        <v>N</v>
      </c>
      <c r="G1574" s="75" t="s">
        <v>93</v>
      </c>
      <c r="H1574" s="52" t="str">
        <f aca="false">IF(G1574&lt;&gt;"",IFERROR(VLOOKUP(G1574,PRODUCTOS!$A:$B,2,0),"!COD NO ENCONTRADO"),"")</f>
        <v>BOQUERON/ BOCARTE/ ANCHOA (ANE)</v>
      </c>
      <c r="I1574" s="77" t="n">
        <v>9</v>
      </c>
      <c r="J1574" s="105" t="n">
        <v>54</v>
      </c>
      <c r="K1574" s="125" t="n">
        <v>2.25</v>
      </c>
      <c r="L1574" s="80" t="n">
        <f aca="false">IF(AND(J1574&lt;&gt;"",K1574&lt;&gt;""),J1574*K1574,"")</f>
        <v>121.5</v>
      </c>
      <c r="M1574" s="81" t="n">
        <f aca="false">IF(L1574&lt;&gt;"",L1574*1.1,"")</f>
        <v>133.65</v>
      </c>
      <c r="N1574" s="53" t="n">
        <f aca="false">IF(F1574="S",L1574*0.02,0)</f>
        <v>0</v>
      </c>
      <c r="O1574" s="82" t="n">
        <f aca="false">IF(L1574&lt;&gt;"",L1574+N1574,"")</f>
        <v>121.5</v>
      </c>
      <c r="P1574" s="53" t="n">
        <f aca="false">IF(O1574&lt;&gt;"",O1574*0.1,"")</f>
        <v>12.15</v>
      </c>
      <c r="Q1574" s="83" t="n">
        <f aca="false">IF(O1574&lt;&gt;"",O1574+P1574,"")</f>
        <v>133.65</v>
      </c>
      <c r="R1574" s="84" t="s">
        <v>365</v>
      </c>
    </row>
    <row r="1575" customFormat="false" ht="15" hidden="false" customHeight="true" outlineLevel="0" collapsed="false">
      <c r="A1575" s="103" t="n">
        <v>56311</v>
      </c>
      <c r="B1575" s="85" t="n">
        <v>46254</v>
      </c>
      <c r="C1575" s="86" t="s">
        <v>702</v>
      </c>
      <c r="D1575" s="87" t="n">
        <v>50048</v>
      </c>
      <c r="E1575" s="46" t="str">
        <f aca="false">IF(D1575&lt;&gt;"",IFERROR(VLOOKUP(D1575,PROVEEDORES!$A:$B,2,0),"!COD NO ENCONTRADO"),"")</f>
        <v>JOSE LUIS CORREA KESSLER S.L.</v>
      </c>
      <c r="F1575" s="88" t="str">
        <f aca="false">IF(D1575&lt;&gt;"",IFERROR(VLOOKUP(D1575,PROVEEDORES!$A:$C,3,0),""),"")</f>
        <v>N</v>
      </c>
      <c r="G1575" s="87" t="s">
        <v>93</v>
      </c>
      <c r="H1575" s="46" t="str">
        <f aca="false">IF(G1575&lt;&gt;"",IFERROR(VLOOKUP(G1575,PRODUCTOS!$A:$B,2,0),"!COD NO ENCONTRADO"),"")</f>
        <v>BOQUERON/ BOCARTE/ ANCHOA (ANE)</v>
      </c>
      <c r="I1575" s="89" t="n">
        <v>3</v>
      </c>
      <c r="J1575" s="105" t="n">
        <v>18</v>
      </c>
      <c r="K1575" s="125" t="n">
        <v>2.25</v>
      </c>
      <c r="L1575" s="80" t="n">
        <f aca="false">IF(AND(J1575&lt;&gt;"",K1575&lt;&gt;""),J1575*K1575,"")</f>
        <v>40.5</v>
      </c>
      <c r="M1575" s="81" t="n">
        <f aca="false">IF(L1575&lt;&gt;"",L1575*1.1,"")</f>
        <v>44.55</v>
      </c>
      <c r="N1575" s="47" t="n">
        <f aca="false">IF(F1575="S",L1575*0.02,0)</f>
        <v>0</v>
      </c>
      <c r="O1575" s="82" t="n">
        <f aca="false">IF(L1575&lt;&gt;"",L1575+N1575,"")</f>
        <v>40.5</v>
      </c>
      <c r="P1575" s="47" t="n">
        <f aca="false">IF(O1575&lt;&gt;"",O1575*0.1,"")</f>
        <v>4.05</v>
      </c>
      <c r="Q1575" s="83" t="n">
        <f aca="false">IF(O1575&lt;&gt;"",O1575+P1575,"")</f>
        <v>44.55</v>
      </c>
      <c r="R1575" s="84" t="s">
        <v>365</v>
      </c>
    </row>
    <row r="1576" customFormat="false" ht="15" hidden="false" customHeight="true" outlineLevel="0" collapsed="false">
      <c r="A1576" s="103" t="n">
        <v>56312</v>
      </c>
      <c r="B1576" s="85" t="n">
        <v>46254</v>
      </c>
      <c r="C1576" s="74" t="s">
        <v>703</v>
      </c>
      <c r="D1576" s="75" t="n">
        <v>50035</v>
      </c>
      <c r="E1576" s="52" t="str">
        <f aca="false">IF(D1576&lt;&gt;"",IFERROR(VLOOKUP(D1576,PROVEEDORES!$A:$B,2,0),"!COD NO ENCONTRADO"),"")</f>
        <v>SCANFISK SEAFFOD S,L</v>
      </c>
      <c r="F1576" s="76" t="str">
        <f aca="false">IF(D1576&lt;&gt;"",IFERROR(VLOOKUP(D1576,PROVEEDORES!$A:$C,3,0),""),"")</f>
        <v>N</v>
      </c>
      <c r="G1576" s="75" t="s">
        <v>209</v>
      </c>
      <c r="H1576" s="52" t="str">
        <f aca="false">IF(G1576&lt;&gt;"",IFERROR(VLOOKUP(G1576,PRODUCTOS!$A:$B,2,0),"!COD NO ENCONTRADO"),"")</f>
        <v>MERLUZA EUROPEA PINCHO</v>
      </c>
      <c r="I1576" s="77" t="n">
        <v>5</v>
      </c>
      <c r="J1576" s="78" t="n">
        <v>84.5</v>
      </c>
      <c r="K1576" s="125" t="n">
        <v>3.3</v>
      </c>
      <c r="L1576" s="80" t="n">
        <f aca="false">IF(AND(J1576&lt;&gt;"",K1576&lt;&gt;""),J1576*K1576,"")</f>
        <v>278.85</v>
      </c>
      <c r="M1576" s="81" t="n">
        <f aca="false">IF(L1576&lt;&gt;"",L1576*1.1,"")</f>
        <v>306.735</v>
      </c>
      <c r="N1576" s="53" t="n">
        <f aca="false">IF(F1576="S",L1576*0.02,0)</f>
        <v>0</v>
      </c>
      <c r="O1576" s="82" t="n">
        <f aca="false">IF(L1576&lt;&gt;"",L1576+N1576,"")</f>
        <v>278.85</v>
      </c>
      <c r="P1576" s="53" t="n">
        <f aca="false">IF(O1576&lt;&gt;"",O1576*0.1,"")</f>
        <v>27.885</v>
      </c>
      <c r="Q1576" s="83" t="n">
        <f aca="false">IF(O1576&lt;&gt;"",O1576+P1576,"")</f>
        <v>306.735</v>
      </c>
      <c r="R1576" s="84" t="s">
        <v>358</v>
      </c>
    </row>
    <row r="1577" customFormat="false" ht="15" hidden="false" customHeight="true" outlineLevel="0" collapsed="false">
      <c r="A1577" s="103" t="n">
        <v>56312</v>
      </c>
      <c r="B1577" s="85" t="n">
        <v>46254</v>
      </c>
      <c r="C1577" s="74" t="s">
        <v>704</v>
      </c>
      <c r="D1577" s="87" t="n">
        <v>50035</v>
      </c>
      <c r="E1577" s="46" t="str">
        <f aca="false">IF(D1577&lt;&gt;"",IFERROR(VLOOKUP(D1577,PROVEEDORES!$A:$B,2,0),"!COD NO ENCONTRADO"),"")</f>
        <v>SCANFISK SEAFFOD S,L</v>
      </c>
      <c r="F1577" s="88" t="str">
        <f aca="false">IF(D1577&lt;&gt;"",IFERROR(VLOOKUP(D1577,PROVEEDORES!$A:$C,3,0),""),"")</f>
        <v>N</v>
      </c>
      <c r="G1577" s="87" t="s">
        <v>209</v>
      </c>
      <c r="H1577" s="46" t="str">
        <f aca="false">IF(G1577&lt;&gt;"",IFERROR(VLOOKUP(G1577,PRODUCTOS!$A:$B,2,0),"!COD NO ENCONTRADO"),"")</f>
        <v>MERLUZA EUROPEA PINCHO</v>
      </c>
      <c r="I1577" s="89" t="n">
        <v>2</v>
      </c>
      <c r="J1577" s="90" t="n">
        <v>20.2</v>
      </c>
      <c r="K1577" s="91" t="n">
        <v>7.3</v>
      </c>
      <c r="L1577" s="80" t="n">
        <f aca="false">IF(AND(J1577&lt;&gt;"",K1577&lt;&gt;""),J1577*K1577,"")</f>
        <v>147.46</v>
      </c>
      <c r="M1577" s="81" t="n">
        <f aca="false">IF(L1577&lt;&gt;"",L1577*1.1,"")</f>
        <v>162.206</v>
      </c>
      <c r="N1577" s="47" t="n">
        <f aca="false">IF(F1577="S",L1577*0.02,0)</f>
        <v>0</v>
      </c>
      <c r="O1577" s="82" t="n">
        <f aca="false">IF(L1577&lt;&gt;"",L1577+N1577,"")</f>
        <v>147.46</v>
      </c>
      <c r="P1577" s="47" t="n">
        <f aca="false">IF(O1577&lt;&gt;"",O1577*0.1,"")</f>
        <v>14.746</v>
      </c>
      <c r="Q1577" s="83" t="n">
        <f aca="false">IF(O1577&lt;&gt;"",O1577+P1577,"")</f>
        <v>162.206</v>
      </c>
      <c r="R1577" s="84" t="s">
        <v>365</v>
      </c>
    </row>
    <row r="1578" customFormat="false" ht="15" hidden="false" customHeight="true" outlineLevel="0" collapsed="false">
      <c r="A1578" s="103" t="n">
        <v>56312</v>
      </c>
      <c r="B1578" s="85" t="n">
        <v>46254</v>
      </c>
      <c r="C1578" s="74" t="s">
        <v>705</v>
      </c>
      <c r="D1578" s="75" t="n">
        <v>50035</v>
      </c>
      <c r="E1578" s="52" t="str">
        <f aca="false">IF(D1578&lt;&gt;"",IFERROR(VLOOKUP(D1578,PROVEEDORES!$A:$B,2,0),"!COD NO ENCONTRADO"),"")</f>
        <v>SCANFISK SEAFFOD S,L</v>
      </c>
      <c r="F1578" s="76" t="str">
        <f aca="false">IF(D1578&lt;&gt;"",IFERROR(VLOOKUP(D1578,PROVEEDORES!$A:$C,3,0),""),"")</f>
        <v>N</v>
      </c>
      <c r="G1578" s="75" t="s">
        <v>209</v>
      </c>
      <c r="H1578" s="52" t="str">
        <f aca="false">IF(G1578&lt;&gt;"",IFERROR(VLOOKUP(G1578,PRODUCTOS!$A:$B,2,0),"!COD NO ENCONTRADO"),"")</f>
        <v>MERLUZA EUROPEA PINCHO</v>
      </c>
      <c r="I1578" s="77" t="n">
        <v>2</v>
      </c>
      <c r="J1578" s="78" t="n">
        <v>21</v>
      </c>
      <c r="K1578" s="79" t="n">
        <v>7.3</v>
      </c>
      <c r="L1578" s="80" t="n">
        <f aca="false">IF(AND(J1578&lt;&gt;"",K1578&lt;&gt;""),J1578*K1578,"")</f>
        <v>153.3</v>
      </c>
      <c r="M1578" s="81" t="n">
        <f aca="false">IF(L1578&lt;&gt;"",L1578*1.1,"")</f>
        <v>168.63</v>
      </c>
      <c r="N1578" s="53" t="n">
        <f aca="false">IF(F1578="S",L1578*0.02,0)</f>
        <v>0</v>
      </c>
      <c r="O1578" s="82" t="n">
        <f aca="false">IF(L1578&lt;&gt;"",L1578+N1578,"")</f>
        <v>153.3</v>
      </c>
      <c r="P1578" s="53" t="n">
        <f aca="false">IF(O1578&lt;&gt;"",O1578*0.1,"")</f>
        <v>15.33</v>
      </c>
      <c r="Q1578" s="83" t="n">
        <f aca="false">IF(O1578&lt;&gt;"",O1578+P1578,"")</f>
        <v>168.63</v>
      </c>
      <c r="R1578" s="84" t="s">
        <v>365</v>
      </c>
    </row>
    <row r="1579" customFormat="false" ht="15" hidden="false" customHeight="true" outlineLevel="0" collapsed="false">
      <c r="A1579" s="103" t="n">
        <v>56313</v>
      </c>
      <c r="B1579" s="85" t="n">
        <v>46255</v>
      </c>
      <c r="C1579" s="86" t="s">
        <v>706</v>
      </c>
      <c r="D1579" s="87" t="n">
        <v>50510</v>
      </c>
      <c r="E1579" s="46" t="str">
        <f aca="false">IF(D1579&lt;&gt;"",IFERROR(VLOOKUP(D1579,PROVEEDORES!$A:$B,2,0),"!COD NO ENCONTRADO"),"")</f>
        <v>PETACA CHICO S.L.</v>
      </c>
      <c r="F1579" s="88" t="str">
        <f aca="false">IF(D1579&lt;&gt;"",IFERROR(VLOOKUP(D1579,PROVEEDORES!$A:$C,3,0),""),"")</f>
        <v>N</v>
      </c>
      <c r="G1579" s="87" t="s">
        <v>107</v>
      </c>
      <c r="H1579" s="46" t="str">
        <f aca="false">IF(G1579&lt;&gt;"",IFERROR(VLOOKUP(G1579,PRODUCTOS!$A:$B,2,0),"!COD NO ENCONTRADO"),"")</f>
        <v>CALAAMR COMUN (SQR)</v>
      </c>
      <c r="I1579" s="89" t="n">
        <v>7</v>
      </c>
      <c r="J1579" s="90" t="n">
        <v>21.2</v>
      </c>
      <c r="K1579" s="91" t="n">
        <v>16.7</v>
      </c>
      <c r="L1579" s="80" t="n">
        <f aca="false">IF(AND(J1579&lt;&gt;"",K1579&lt;&gt;""),J1579*K1579,"")</f>
        <v>354.04</v>
      </c>
      <c r="M1579" s="81" t="n">
        <f aca="false">IF(L1579&lt;&gt;"",L1579*1.1,"")</f>
        <v>389.444</v>
      </c>
      <c r="N1579" s="47" t="n">
        <f aca="false">IF(F1579="S",L1579*0.02,0)</f>
        <v>0</v>
      </c>
      <c r="O1579" s="82" t="n">
        <f aca="false">IF(L1579&lt;&gt;"",L1579+N1579,"")</f>
        <v>354.04</v>
      </c>
      <c r="P1579" s="47" t="n">
        <f aca="false">IF(O1579&lt;&gt;"",O1579*0.1,"")</f>
        <v>35.404</v>
      </c>
      <c r="Q1579" s="83" t="n">
        <f aca="false">IF(O1579&lt;&gt;"",O1579+P1579,"")</f>
        <v>389.444</v>
      </c>
      <c r="R1579" s="84" t="s">
        <v>365</v>
      </c>
    </row>
    <row r="1580" customFormat="false" ht="15" hidden="false" customHeight="true" outlineLevel="0" collapsed="false">
      <c r="A1580" s="103" t="n">
        <v>56314</v>
      </c>
      <c r="B1580" s="85" t="n">
        <v>46255</v>
      </c>
      <c r="C1580" s="74" t="s">
        <v>707</v>
      </c>
      <c r="D1580" s="75" t="n">
        <v>50232</v>
      </c>
      <c r="E1580" s="52" t="str">
        <f aca="false">IF(D1580&lt;&gt;"",IFERROR(VLOOKUP(D1580,PROVEEDORES!$A:$B,2,0),"!COD NO ENCONTRADO"),"")</f>
        <v>XESTION NOVA LONXA RIVEIRA S.L.</v>
      </c>
      <c r="F1580" s="76" t="str">
        <f aca="false">IF(D1580&lt;&gt;"",IFERROR(VLOOKUP(D1580,PROVEEDORES!$A:$C,3,0),""),"")</f>
        <v>S</v>
      </c>
      <c r="G1580" s="75" t="s">
        <v>97</v>
      </c>
      <c r="H1580" s="52" t="str">
        <f aca="false">IF(G1580&lt;&gt;"",IFERROR(VLOOKUP(G1580,PRODUCTOS!$A:$B,2,0),"!COD NO ENCONTRADO"),"")</f>
        <v>CABALL/ SARDA/ VERDEL (MAC)</v>
      </c>
      <c r="I1580" s="77" t="n">
        <v>6</v>
      </c>
      <c r="J1580" s="78" t="n">
        <v>81.8</v>
      </c>
      <c r="K1580" s="79" t="n">
        <v>3.5</v>
      </c>
      <c r="L1580" s="80" t="n">
        <f aca="false">IF(AND(J1580&lt;&gt;"",K1580&lt;&gt;""),J1580*K1580,"")</f>
        <v>286.3</v>
      </c>
      <c r="M1580" s="81" t="n">
        <f aca="false">IF(L1580&lt;&gt;"",L1580*1.1,"")</f>
        <v>314.93</v>
      </c>
      <c r="N1580" s="53" t="n">
        <f aca="false">IF(F1580="S",L1580*0.02,0)</f>
        <v>5.726</v>
      </c>
      <c r="O1580" s="82" t="n">
        <f aca="false">IF(L1580&lt;&gt;"",L1580+N1580,"")</f>
        <v>292.026</v>
      </c>
      <c r="P1580" s="53" t="n">
        <f aca="false">IF(O1580&lt;&gt;"",O1580*0.1,"")</f>
        <v>29.2026</v>
      </c>
      <c r="Q1580" s="83" t="n">
        <f aca="false">IF(O1580&lt;&gt;"",O1580+P1580,"")</f>
        <v>321.2286</v>
      </c>
      <c r="R1580" s="84" t="s">
        <v>365</v>
      </c>
    </row>
    <row r="1581" customFormat="false" ht="15" hidden="false" customHeight="true" outlineLevel="0" collapsed="false">
      <c r="A1581" s="103" t="n">
        <v>56314</v>
      </c>
      <c r="B1581" s="85" t="n">
        <v>46255</v>
      </c>
      <c r="C1581" s="74" t="s">
        <v>707</v>
      </c>
      <c r="D1581" s="75" t="n">
        <v>50232</v>
      </c>
      <c r="E1581" s="46" t="str">
        <f aca="false">IF(D1581&lt;&gt;"",IFERROR(VLOOKUP(D1581,PROVEEDORES!$A:$B,2,0),"!COD NO ENCONTRADO"),"")</f>
        <v>XESTION NOVA LONXA RIVEIRA S.L.</v>
      </c>
      <c r="F1581" s="88" t="str">
        <f aca="false">IF(D1581&lt;&gt;"",IFERROR(VLOOKUP(D1581,PROVEEDORES!$A:$C,3,0),""),"")</f>
        <v>S</v>
      </c>
      <c r="G1581" s="87" t="s">
        <v>270</v>
      </c>
      <c r="H1581" s="46" t="str">
        <f aca="false">IF(G1581&lt;&gt;"",IFERROR(VLOOKUP(G1581,PRODUCTOS!$A:$B,2,0),"!COD NO ENCONTRADO"),"")</f>
        <v>PEON/ PION (ATP)</v>
      </c>
      <c r="I1581" s="89" t="n">
        <v>5</v>
      </c>
      <c r="J1581" s="90" t="n">
        <v>31</v>
      </c>
      <c r="K1581" s="91" t="n">
        <v>3.7</v>
      </c>
      <c r="L1581" s="80" t="n">
        <f aca="false">IF(AND(J1581&lt;&gt;"",K1581&lt;&gt;""),J1581*K1581,"")</f>
        <v>114.7</v>
      </c>
      <c r="M1581" s="81" t="n">
        <f aca="false">IF(L1581&lt;&gt;"",L1581*1.1,"")</f>
        <v>126.17</v>
      </c>
      <c r="N1581" s="47" t="n">
        <f aca="false">IF(F1581="S",L1581*0.02,0)</f>
        <v>2.294</v>
      </c>
      <c r="O1581" s="82" t="n">
        <f aca="false">IF(L1581&lt;&gt;"",L1581+N1581,"")</f>
        <v>116.994</v>
      </c>
      <c r="P1581" s="47" t="n">
        <f aca="false">IF(O1581&lt;&gt;"",O1581*0.1,"")</f>
        <v>11.6994</v>
      </c>
      <c r="Q1581" s="83" t="n">
        <f aca="false">IF(O1581&lt;&gt;"",O1581+P1581,"")</f>
        <v>128.6934</v>
      </c>
      <c r="R1581" s="84" t="s">
        <v>365</v>
      </c>
    </row>
    <row r="1582" customFormat="false" ht="15" hidden="false" customHeight="true" outlineLevel="0" collapsed="false">
      <c r="A1582" s="103" t="n">
        <v>56314</v>
      </c>
      <c r="B1582" s="85" t="n">
        <v>46255</v>
      </c>
      <c r="C1582" s="74" t="s">
        <v>707</v>
      </c>
      <c r="D1582" s="75" t="n">
        <v>50232</v>
      </c>
      <c r="E1582" s="52" t="str">
        <f aca="false">IF(D1582&lt;&gt;"",IFERROR(VLOOKUP(D1582,PROVEEDORES!$A:$B,2,0),"!COD NO ENCONTRADO"),"")</f>
        <v>XESTION NOVA LONXA RIVEIRA S.L.</v>
      </c>
      <c r="F1582" s="76" t="str">
        <f aca="false">IF(D1582&lt;&gt;"",IFERROR(VLOOKUP(D1582,PROVEEDORES!$A:$C,3,0),""),"")</f>
        <v>S</v>
      </c>
      <c r="G1582" s="75" t="s">
        <v>304</v>
      </c>
      <c r="H1582" s="52" t="str">
        <f aca="false">IF(G1582&lt;&gt;"",IFERROR(VLOOKUP(G1582,PRODUCTOS!$A:$B,2,0),"!COD NO ENCONTRADO"),"")</f>
        <v>RAYA SPP (SKA)</v>
      </c>
      <c r="I1582" s="77" t="n">
        <v>1</v>
      </c>
      <c r="J1582" s="78" t="n">
        <v>1.5</v>
      </c>
      <c r="K1582" s="79" t="n">
        <v>0.5</v>
      </c>
      <c r="L1582" s="80" t="n">
        <f aca="false">IF(AND(J1582&lt;&gt;"",K1582&lt;&gt;""),J1582*K1582,"")</f>
        <v>0.75</v>
      </c>
      <c r="M1582" s="81" t="n">
        <f aca="false">IF(L1582&lt;&gt;"",L1582*1.1,"")</f>
        <v>0.825</v>
      </c>
      <c r="N1582" s="53" t="n">
        <f aca="false">IF(F1582="S",L1582*0.02,0)</f>
        <v>0.015</v>
      </c>
      <c r="O1582" s="82" t="n">
        <f aca="false">IF(L1582&lt;&gt;"",L1582+N1582,"")</f>
        <v>0.765</v>
      </c>
      <c r="P1582" s="53" t="n">
        <f aca="false">IF(O1582&lt;&gt;"",O1582*0.1,"")</f>
        <v>0.0765</v>
      </c>
      <c r="Q1582" s="83" t="n">
        <f aca="false">IF(O1582&lt;&gt;"",O1582+P1582,"")</f>
        <v>0.8415</v>
      </c>
      <c r="R1582" s="84" t="s">
        <v>365</v>
      </c>
    </row>
    <row r="1583" customFormat="false" ht="15" hidden="false" customHeight="true" outlineLevel="0" collapsed="false">
      <c r="A1583" s="103" t="n">
        <v>56314</v>
      </c>
      <c r="B1583" s="85" t="n">
        <v>46255</v>
      </c>
      <c r="C1583" s="74" t="s">
        <v>707</v>
      </c>
      <c r="D1583" s="75" t="n">
        <v>50232</v>
      </c>
      <c r="E1583" s="46" t="str">
        <f aca="false">IF(D1583&lt;&gt;"",IFERROR(VLOOKUP(D1583,PROVEEDORES!$A:$B,2,0),"!COD NO ENCONTRADO"),"")</f>
        <v>XESTION NOVA LONXA RIVEIRA S.L.</v>
      </c>
      <c r="F1583" s="88" t="str">
        <f aca="false">IF(D1583&lt;&gt;"",IFERROR(VLOOKUP(D1583,PROVEEDORES!$A:$C,3,0),""),"")</f>
        <v>S</v>
      </c>
      <c r="G1583" s="75" t="s">
        <v>304</v>
      </c>
      <c r="H1583" s="46" t="str">
        <f aca="false">IF(G1583&lt;&gt;"",IFERROR(VLOOKUP(G1583,PRODUCTOS!$A:$B,2,0),"!COD NO ENCONTRADO"),"")</f>
        <v>RAYA SPP (SKA)</v>
      </c>
      <c r="I1583" s="89" t="n">
        <v>12</v>
      </c>
      <c r="J1583" s="90" t="n">
        <v>58.3</v>
      </c>
      <c r="K1583" s="91" t="n">
        <v>0.5</v>
      </c>
      <c r="L1583" s="80" t="n">
        <f aca="false">IF(AND(J1583&lt;&gt;"",K1583&lt;&gt;""),J1583*K1583,"")</f>
        <v>29.15</v>
      </c>
      <c r="M1583" s="81" t="n">
        <f aca="false">IF(L1583&lt;&gt;"",L1583*1.1,"")</f>
        <v>32.065</v>
      </c>
      <c r="N1583" s="47" t="n">
        <f aca="false">IF(F1583="S",L1583*0.02,0)</f>
        <v>0.583</v>
      </c>
      <c r="O1583" s="82" t="n">
        <f aca="false">IF(L1583&lt;&gt;"",L1583+N1583,"")</f>
        <v>29.733</v>
      </c>
      <c r="P1583" s="47" t="n">
        <f aca="false">IF(O1583&lt;&gt;"",O1583*0.1,"")</f>
        <v>2.9733</v>
      </c>
      <c r="Q1583" s="83" t="n">
        <f aca="false">IF(O1583&lt;&gt;"",O1583+P1583,"")</f>
        <v>32.7063</v>
      </c>
      <c r="R1583" s="84" t="s">
        <v>365</v>
      </c>
    </row>
    <row r="1584" customFormat="false" ht="15" hidden="false" customHeight="true" outlineLevel="0" collapsed="false">
      <c r="A1584" s="103" t="n">
        <v>56314</v>
      </c>
      <c r="B1584" s="85" t="n">
        <v>46255</v>
      </c>
      <c r="C1584" s="74" t="s">
        <v>707</v>
      </c>
      <c r="D1584" s="75" t="n">
        <v>50232</v>
      </c>
      <c r="E1584" s="52" t="str">
        <f aca="false">IF(D1584&lt;&gt;"",IFERROR(VLOOKUP(D1584,PROVEEDORES!$A:$B,2,0),"!COD NO ENCONTRADO"),"")</f>
        <v>XESTION NOVA LONXA RIVEIRA S.L.</v>
      </c>
      <c r="F1584" s="76" t="str">
        <f aca="false">IF(D1584&lt;&gt;"",IFERROR(VLOOKUP(D1584,PROVEEDORES!$A:$C,3,0),""),"")</f>
        <v>S</v>
      </c>
      <c r="G1584" s="75" t="s">
        <v>304</v>
      </c>
      <c r="H1584" s="52" t="str">
        <f aca="false">IF(G1584&lt;&gt;"",IFERROR(VLOOKUP(G1584,PRODUCTOS!$A:$B,2,0),"!COD NO ENCONTRADO"),"")</f>
        <v>RAYA SPP (SKA)</v>
      </c>
      <c r="I1584" s="77" t="n">
        <v>3</v>
      </c>
      <c r="J1584" s="78" t="n">
        <v>17.4</v>
      </c>
      <c r="K1584" s="79" t="n">
        <v>0.5</v>
      </c>
      <c r="L1584" s="80" t="n">
        <f aca="false">IF(AND(J1584&lt;&gt;"",K1584&lt;&gt;""),J1584*K1584,"")</f>
        <v>8.7</v>
      </c>
      <c r="M1584" s="81" t="n">
        <f aca="false">IF(L1584&lt;&gt;"",L1584*1.1,"")</f>
        <v>9.57</v>
      </c>
      <c r="N1584" s="53" t="n">
        <f aca="false">IF(F1584="S",L1584*0.02,0)</f>
        <v>0.174</v>
      </c>
      <c r="O1584" s="82" t="n">
        <f aca="false">IF(L1584&lt;&gt;"",L1584+N1584,"")</f>
        <v>8.874</v>
      </c>
      <c r="P1584" s="53" t="n">
        <f aca="false">IF(O1584&lt;&gt;"",O1584*0.1,"")</f>
        <v>0.8874</v>
      </c>
      <c r="Q1584" s="83" t="n">
        <f aca="false">IF(O1584&lt;&gt;"",O1584+P1584,"")</f>
        <v>9.7614</v>
      </c>
      <c r="R1584" s="84" t="s">
        <v>365</v>
      </c>
    </row>
    <row r="1585" customFormat="false" ht="15" hidden="false" customHeight="true" outlineLevel="0" collapsed="false">
      <c r="A1585" s="103" t="n">
        <v>56315</v>
      </c>
      <c r="B1585" s="85" t="n">
        <v>46255</v>
      </c>
      <c r="C1585" s="86" t="s">
        <v>708</v>
      </c>
      <c r="D1585" s="87" t="n">
        <v>50160</v>
      </c>
      <c r="E1585" s="46" t="str">
        <f aca="false">IF(D1585&lt;&gt;"",IFERROR(VLOOKUP(D1585,PROVEEDORES!$A:$B,2,0),"!COD NO ENCONTRADO"),"")</f>
        <v>SUBASTAS CORUÑA S.L.</v>
      </c>
      <c r="F1585" s="88" t="str">
        <f aca="false">IF(D1585&lt;&gt;"",IFERROR(VLOOKUP(D1585,PROVEEDORES!$A:$C,3,0),""),"")</f>
        <v>S</v>
      </c>
      <c r="G1585" s="87" t="s">
        <v>233</v>
      </c>
      <c r="H1585" s="46" t="str">
        <f aca="false">IF(G1585&lt;&gt;"",IFERROR(VLOOKUP(G1585,PRODUCTOS!$A:$B,2,0),"!COD NO ENCONTRADO"),"")</f>
        <v>MERLUZA EUROPEA VOLANTA COSTA</v>
      </c>
      <c r="I1585" s="89" t="n">
        <v>1</v>
      </c>
      <c r="J1585" s="90" t="n">
        <v>17</v>
      </c>
      <c r="K1585" s="91" t="n">
        <v>4.7</v>
      </c>
      <c r="L1585" s="80" t="n">
        <f aca="false">IF(AND(J1585&lt;&gt;"",K1585&lt;&gt;""),J1585*K1585,"")</f>
        <v>79.9</v>
      </c>
      <c r="M1585" s="81" t="n">
        <f aca="false">IF(L1585&lt;&gt;"",L1585*1.1,"")</f>
        <v>87.89</v>
      </c>
      <c r="N1585" s="47" t="n">
        <f aca="false">IF(F1585="S",L1585*0.02,0)</f>
        <v>1.598</v>
      </c>
      <c r="O1585" s="82" t="n">
        <f aca="false">IF(L1585&lt;&gt;"",L1585+N1585,"")</f>
        <v>81.498</v>
      </c>
      <c r="P1585" s="47" t="n">
        <f aca="false">IF(O1585&lt;&gt;"",O1585*0.1,"")</f>
        <v>8.1498</v>
      </c>
      <c r="Q1585" s="83" t="n">
        <f aca="false">IF(O1585&lt;&gt;"",O1585+P1585,"")</f>
        <v>89.6478</v>
      </c>
      <c r="R1585" s="84" t="s">
        <v>365</v>
      </c>
    </row>
    <row r="1586" customFormat="false" ht="15" hidden="false" customHeight="true" outlineLevel="0" collapsed="false">
      <c r="A1586" s="103" t="n">
        <v>56315</v>
      </c>
      <c r="B1586" s="85" t="n">
        <v>46255</v>
      </c>
      <c r="C1586" s="86" t="s">
        <v>708</v>
      </c>
      <c r="D1586" s="87" t="n">
        <v>50160</v>
      </c>
      <c r="E1586" s="46" t="str">
        <f aca="false">IF(D1586&lt;&gt;"",IFERROR(VLOOKUP(D1586,PROVEEDORES!$A:$B,2,0),"!COD NO ENCONTRADO"),"")</f>
        <v>SUBASTAS CORUÑA S.L.</v>
      </c>
      <c r="F1586" s="88" t="str">
        <f aca="false">IF(D1586&lt;&gt;"",IFERROR(VLOOKUP(D1586,PROVEEDORES!$A:$C,3,0),""),"")</f>
        <v>S</v>
      </c>
      <c r="G1586" s="87" t="s">
        <v>233</v>
      </c>
      <c r="H1586" s="52" t="str">
        <f aca="false">IF(G1586&lt;&gt;"",IFERROR(VLOOKUP(G1586,PRODUCTOS!$A:$B,2,0),"!COD NO ENCONTRADO"),"")</f>
        <v>MERLUZA EUROPEA VOLANTA COSTA</v>
      </c>
      <c r="I1586" s="77" t="n">
        <v>4</v>
      </c>
      <c r="J1586" s="78" t="n">
        <v>71.5</v>
      </c>
      <c r="K1586" s="79" t="n">
        <v>5.2</v>
      </c>
      <c r="L1586" s="80" t="n">
        <f aca="false">IF(AND(J1586&lt;&gt;"",K1586&lt;&gt;""),J1586*K1586,"")</f>
        <v>371.8</v>
      </c>
      <c r="M1586" s="81" t="n">
        <f aca="false">IF(L1586&lt;&gt;"",L1586*1.1,"")</f>
        <v>408.98</v>
      </c>
      <c r="N1586" s="53" t="n">
        <f aca="false">IF(F1586="S",L1586*0.02,0)</f>
        <v>7.436</v>
      </c>
      <c r="O1586" s="82" t="n">
        <f aca="false">IF(L1586&lt;&gt;"",L1586+N1586,"")</f>
        <v>379.236</v>
      </c>
      <c r="P1586" s="53" t="n">
        <f aca="false">IF(O1586&lt;&gt;"",O1586*0.1,"")</f>
        <v>37.9236</v>
      </c>
      <c r="Q1586" s="83" t="n">
        <f aca="false">IF(O1586&lt;&gt;"",O1586+P1586,"")</f>
        <v>417.1596</v>
      </c>
      <c r="R1586" s="84" t="s">
        <v>365</v>
      </c>
    </row>
    <row r="1587" customFormat="false" ht="15" hidden="false" customHeight="true" outlineLevel="0" collapsed="false">
      <c r="A1587" s="103" t="n">
        <v>56315</v>
      </c>
      <c r="B1587" s="85" t="n">
        <v>46255</v>
      </c>
      <c r="C1587" s="86" t="s">
        <v>708</v>
      </c>
      <c r="D1587" s="87" t="n">
        <v>50160</v>
      </c>
      <c r="E1587" s="46" t="str">
        <f aca="false">IF(D1587&lt;&gt;"",IFERROR(VLOOKUP(D1587,PROVEEDORES!$A:$B,2,0),"!COD NO ENCONTRADO"),"")</f>
        <v>SUBASTAS CORUÑA S.L.</v>
      </c>
      <c r="F1587" s="88" t="str">
        <f aca="false">IF(D1587&lt;&gt;"",IFERROR(VLOOKUP(D1587,PROVEEDORES!$A:$C,3,0),""),"")</f>
        <v>S</v>
      </c>
      <c r="G1587" s="87" t="s">
        <v>233</v>
      </c>
      <c r="H1587" s="46" t="str">
        <f aca="false">IF(G1587&lt;&gt;"",IFERROR(VLOOKUP(G1587,PRODUCTOS!$A:$B,2,0),"!COD NO ENCONTRADO"),"")</f>
        <v>MERLUZA EUROPEA VOLANTA COSTA</v>
      </c>
      <c r="I1587" s="89" t="n">
        <v>1</v>
      </c>
      <c r="J1587" s="90" t="n">
        <v>20.25</v>
      </c>
      <c r="K1587" s="91" t="n">
        <v>5</v>
      </c>
      <c r="L1587" s="80" t="n">
        <f aca="false">IF(AND(J1587&lt;&gt;"",K1587&lt;&gt;""),J1587*K1587,"")</f>
        <v>101.25</v>
      </c>
      <c r="M1587" s="81" t="n">
        <f aca="false">IF(L1587&lt;&gt;"",L1587*1.1,"")</f>
        <v>111.375</v>
      </c>
      <c r="N1587" s="47" t="n">
        <f aca="false">IF(F1587="S",L1587*0.02,0)</f>
        <v>2.025</v>
      </c>
      <c r="O1587" s="82" t="n">
        <f aca="false">IF(L1587&lt;&gt;"",L1587+N1587,"")</f>
        <v>103.275</v>
      </c>
      <c r="P1587" s="47" t="n">
        <f aca="false">IF(O1587&lt;&gt;"",O1587*0.1,"")</f>
        <v>10.3275</v>
      </c>
      <c r="Q1587" s="83" t="n">
        <f aca="false">IF(O1587&lt;&gt;"",O1587+P1587,"")</f>
        <v>113.6025</v>
      </c>
      <c r="R1587" s="84" t="s">
        <v>365</v>
      </c>
    </row>
    <row r="1588" customFormat="false" ht="15" hidden="false" customHeight="true" outlineLevel="0" collapsed="false">
      <c r="A1588" s="103" t="n">
        <v>56315</v>
      </c>
      <c r="B1588" s="85" t="n">
        <v>46255</v>
      </c>
      <c r="C1588" s="86" t="s">
        <v>708</v>
      </c>
      <c r="D1588" s="87" t="n">
        <v>50160</v>
      </c>
      <c r="E1588" s="46" t="str">
        <f aca="false">IF(D1588&lt;&gt;"",IFERROR(VLOOKUP(D1588,PROVEEDORES!$A:$B,2,0),"!COD NO ENCONTRADO"),"")</f>
        <v>SUBASTAS CORUÑA S.L.</v>
      </c>
      <c r="F1588" s="88" t="str">
        <f aca="false">IF(D1588&lt;&gt;"",IFERROR(VLOOKUP(D1588,PROVEEDORES!$A:$C,3,0),""),"")</f>
        <v>S</v>
      </c>
      <c r="G1588" s="87" t="s">
        <v>332</v>
      </c>
      <c r="H1588" s="46" t="str">
        <f aca="false">IF(G1588&lt;&gt;"",IFERROR(VLOOKUP(G1588,PRODUCTOS!$A:$B,2,0),"!COD NO ENCONTRADO"),"")</f>
        <v>VARIADO PEQUEÑO</v>
      </c>
      <c r="I1588" s="89" t="n">
        <v>12</v>
      </c>
      <c r="J1588" s="105" t="n">
        <v>65</v>
      </c>
      <c r="K1588" s="125" t="n">
        <v>0.5</v>
      </c>
      <c r="L1588" s="80" t="n">
        <f aca="false">IF(AND(J1588&lt;&gt;"",K1588&lt;&gt;""),J1588*K1588,"")</f>
        <v>32.5</v>
      </c>
      <c r="M1588" s="81" t="n">
        <f aca="false">IF(L1588&lt;&gt;"",L1588*1.1,"")</f>
        <v>35.75</v>
      </c>
      <c r="N1588" s="47" t="n">
        <f aca="false">IF(F1588="S",L1588*0.02,0)</f>
        <v>0.65</v>
      </c>
      <c r="O1588" s="82" t="n">
        <f aca="false">IF(L1588&lt;&gt;"",L1588+N1588,"")</f>
        <v>33.15</v>
      </c>
      <c r="P1588" s="47" t="n">
        <f aca="false">IF(O1588&lt;&gt;"",O1588*0.1,"")</f>
        <v>3.315</v>
      </c>
      <c r="Q1588" s="83" t="n">
        <f aca="false">IF(O1588&lt;&gt;"",O1588+P1588,"")</f>
        <v>36.465</v>
      </c>
      <c r="R1588" s="84" t="s">
        <v>365</v>
      </c>
    </row>
    <row r="1589" customFormat="false" ht="15" hidden="false" customHeight="true" outlineLevel="0" collapsed="false">
      <c r="A1589" s="103" t="n">
        <v>56315</v>
      </c>
      <c r="B1589" s="73" t="n">
        <v>46255</v>
      </c>
      <c r="C1589" s="86" t="s">
        <v>708</v>
      </c>
      <c r="D1589" s="75" t="n">
        <v>50160</v>
      </c>
      <c r="E1589" s="52" t="str">
        <f aca="false">IF(D1589&lt;&gt;"",IFERROR(VLOOKUP(D1589,PROVEEDORES!$A:$B,2,0),"!COD NO ENCONTRADO"),"")</f>
        <v>SUBASTAS CORUÑA S.L.</v>
      </c>
      <c r="F1589" s="76" t="str">
        <f aca="false">IF(D1589&lt;&gt;"",IFERROR(VLOOKUP(D1589,PROVEEDORES!$A:$C,3,0),""),"")</f>
        <v>S</v>
      </c>
      <c r="G1589" s="75" t="s">
        <v>233</v>
      </c>
      <c r="H1589" s="52" t="str">
        <f aca="false">IF(G1589&lt;&gt;"",IFERROR(VLOOKUP(G1589,PRODUCTOS!$A:$B,2,0),"!COD NO ENCONTRADO"),"")</f>
        <v>MERLUZA EUROPEA VOLANTA COSTA</v>
      </c>
      <c r="I1589" s="77" t="n">
        <v>1</v>
      </c>
      <c r="J1589" s="78" t="n">
        <v>21</v>
      </c>
      <c r="K1589" s="79" t="n">
        <v>4.7</v>
      </c>
      <c r="L1589" s="80" t="n">
        <f aca="false">IF(AND(J1589&lt;&gt;"",K1589&lt;&gt;""),J1589*K1589,"")</f>
        <v>98.7</v>
      </c>
      <c r="M1589" s="81" t="n">
        <f aca="false">IF(L1589&lt;&gt;"",L1589*1.1,"")</f>
        <v>108.57</v>
      </c>
      <c r="N1589" s="53" t="n">
        <f aca="false">IF(F1589="S",L1589*0.02,0)</f>
        <v>1.974</v>
      </c>
      <c r="O1589" s="82" t="n">
        <f aca="false">IF(L1589&lt;&gt;"",L1589+N1589,"")</f>
        <v>100.674</v>
      </c>
      <c r="P1589" s="53" t="n">
        <f aca="false">IF(O1589&lt;&gt;"",O1589*0.1,"")</f>
        <v>10.0674</v>
      </c>
      <c r="Q1589" s="83" t="n">
        <f aca="false">IF(O1589&lt;&gt;"",O1589+P1589,"")</f>
        <v>110.7414</v>
      </c>
      <c r="R1589" s="84" t="s">
        <v>365</v>
      </c>
    </row>
    <row r="1590" customFormat="false" ht="15" hidden="false" customHeight="true" outlineLevel="0" collapsed="false">
      <c r="A1590" s="103" t="n">
        <v>56316</v>
      </c>
      <c r="B1590" s="85" t="n">
        <v>46255</v>
      </c>
      <c r="C1590" s="86" t="s">
        <v>709</v>
      </c>
      <c r="D1590" s="87" t="n">
        <v>50163</v>
      </c>
      <c r="E1590" s="46" t="str">
        <f aca="false">IF(D1590&lt;&gt;"",IFERROR(VLOOKUP(D1590,PROVEEDORES!$A:$B,2,0),"!COD NO ENCONTRADO"),"")</f>
        <v>SUBASTAS RIVERA S.L.</v>
      </c>
      <c r="F1590" s="88" t="str">
        <f aca="false">IF(D1590&lt;&gt;"",IFERROR(VLOOKUP(D1590,PROVEEDORES!$A:$C,3,0),""),"")</f>
        <v>S</v>
      </c>
      <c r="G1590" s="87" t="s">
        <v>332</v>
      </c>
      <c r="H1590" s="46" t="str">
        <f aca="false">IF(G1590&lt;&gt;"",IFERROR(VLOOKUP(G1590,PRODUCTOS!$A:$B,2,0),"!COD NO ENCONTRADO"),"")</f>
        <v>VARIADO PEQUEÑO</v>
      </c>
      <c r="I1590" s="89" t="n">
        <v>1</v>
      </c>
      <c r="J1590" s="105" t="n">
        <v>8</v>
      </c>
      <c r="K1590" s="125" t="n">
        <v>0.3</v>
      </c>
      <c r="L1590" s="80" t="n">
        <f aca="false">IF(AND(J1590&lt;&gt;"",K1590&lt;&gt;""),J1590*K1590,"")</f>
        <v>2.4</v>
      </c>
      <c r="M1590" s="81" t="n">
        <f aca="false">IF(L1590&lt;&gt;"",L1590*1.1,"")</f>
        <v>2.64</v>
      </c>
      <c r="N1590" s="47" t="n">
        <f aca="false">IF(F1590="S",L1590*0.02,0)</f>
        <v>0.048</v>
      </c>
      <c r="O1590" s="82" t="n">
        <f aca="false">IF(L1590&lt;&gt;"",L1590+N1590,"")</f>
        <v>2.448</v>
      </c>
      <c r="P1590" s="47" t="n">
        <f aca="false">IF(O1590&lt;&gt;"",O1590*0.1,"")</f>
        <v>0.2448</v>
      </c>
      <c r="Q1590" s="83" t="n">
        <f aca="false">IF(O1590&lt;&gt;"",O1590+P1590,"")</f>
        <v>2.6928</v>
      </c>
      <c r="R1590" s="84" t="s">
        <v>365</v>
      </c>
    </row>
    <row r="1591" customFormat="false" ht="15" hidden="false" customHeight="true" outlineLevel="0" collapsed="false">
      <c r="A1591" s="103" t="n">
        <v>56316</v>
      </c>
      <c r="B1591" s="85" t="n">
        <v>46255</v>
      </c>
      <c r="C1591" s="86" t="s">
        <v>709</v>
      </c>
      <c r="D1591" s="75" t="n">
        <v>50163</v>
      </c>
      <c r="E1591" s="52" t="str">
        <f aca="false">IF(D1591&lt;&gt;"",IFERROR(VLOOKUP(D1591,PROVEEDORES!$A:$B,2,0),"!COD NO ENCONTRADO"),"")</f>
        <v>SUBASTAS RIVERA S.L.</v>
      </c>
      <c r="F1591" s="76" t="str">
        <f aca="false">IF(D1591&lt;&gt;"",IFERROR(VLOOKUP(D1591,PROVEEDORES!$A:$C,3,0),""),"")</f>
        <v>S</v>
      </c>
      <c r="G1591" s="75" t="s">
        <v>332</v>
      </c>
      <c r="H1591" s="52" t="str">
        <f aca="false">IF(G1591&lt;&gt;"",IFERROR(VLOOKUP(G1591,PRODUCTOS!$A:$B,2,0),"!COD NO ENCONTRADO"),"")</f>
        <v>VARIADO PEQUEÑO</v>
      </c>
      <c r="I1591" s="77" t="n">
        <v>1</v>
      </c>
      <c r="J1591" s="78" t="n">
        <v>7.75</v>
      </c>
      <c r="K1591" s="141" t="n">
        <v>1</v>
      </c>
      <c r="L1591" s="80" t="n">
        <f aca="false">IF(AND(J1591&lt;&gt;"",K1591&lt;&gt;""),J1591*K1591,"")</f>
        <v>7.75</v>
      </c>
      <c r="M1591" s="81" t="n">
        <f aca="false">IF(L1591&lt;&gt;"",L1591*1.1,"")</f>
        <v>8.525</v>
      </c>
      <c r="N1591" s="53" t="n">
        <f aca="false">IF(F1591="S",L1591*0.02,0)</f>
        <v>0.155</v>
      </c>
      <c r="O1591" s="82" t="n">
        <f aca="false">IF(L1591&lt;&gt;"",L1591+N1591,"")</f>
        <v>7.905</v>
      </c>
      <c r="P1591" s="53" t="n">
        <f aca="false">IF(O1591&lt;&gt;"",O1591*0.1,"")</f>
        <v>0.7905</v>
      </c>
      <c r="Q1591" s="83" t="n">
        <f aca="false">IF(O1591&lt;&gt;"",O1591+P1591,"")</f>
        <v>8.6955</v>
      </c>
      <c r="R1591" s="84" t="s">
        <v>365</v>
      </c>
    </row>
    <row r="1592" customFormat="false" ht="15" hidden="false" customHeight="true" outlineLevel="0" collapsed="false">
      <c r="A1592" s="103" t="n">
        <v>56316</v>
      </c>
      <c r="B1592" s="85" t="n">
        <v>46255</v>
      </c>
      <c r="C1592" s="86" t="s">
        <v>709</v>
      </c>
      <c r="D1592" s="75" t="n">
        <v>50163</v>
      </c>
      <c r="E1592" s="46" t="str">
        <f aca="false">IF(D1592&lt;&gt;"",IFERROR(VLOOKUP(D1592,PROVEEDORES!$A:$B,2,0),"!COD NO ENCONTRADO"),"")</f>
        <v>SUBASTAS RIVERA S.L.</v>
      </c>
      <c r="F1592" s="88" t="str">
        <f aca="false">IF(D1592&lt;&gt;"",IFERROR(VLOOKUP(D1592,PROVEEDORES!$A:$C,3,0),""),"")</f>
        <v>S</v>
      </c>
      <c r="G1592" s="87" t="s">
        <v>332</v>
      </c>
      <c r="H1592" s="46" t="str">
        <f aca="false">IF(G1592&lt;&gt;"",IFERROR(VLOOKUP(G1592,PRODUCTOS!$A:$B,2,0),"!COD NO ENCONTRADO"),"")</f>
        <v>VARIADO PEQUEÑO</v>
      </c>
      <c r="I1592" s="89" t="n">
        <v>1</v>
      </c>
      <c r="J1592" s="90" t="n">
        <v>8.25</v>
      </c>
      <c r="K1592" s="141" t="n">
        <v>1</v>
      </c>
      <c r="L1592" s="80" t="n">
        <f aca="false">IF(AND(J1592&lt;&gt;"",K1592&lt;&gt;""),J1592*K1592,"")</f>
        <v>8.25</v>
      </c>
      <c r="M1592" s="81" t="n">
        <f aca="false">IF(L1592&lt;&gt;"",L1592*1.1,"")</f>
        <v>9.075</v>
      </c>
      <c r="N1592" s="47" t="n">
        <f aca="false">IF(F1592="S",L1592*0.02,0)</f>
        <v>0.165</v>
      </c>
      <c r="O1592" s="82" t="n">
        <f aca="false">IF(L1592&lt;&gt;"",L1592+N1592,"")</f>
        <v>8.415</v>
      </c>
      <c r="P1592" s="47" t="n">
        <f aca="false">IF(O1592&lt;&gt;"",O1592*0.1,"")</f>
        <v>0.8415</v>
      </c>
      <c r="Q1592" s="83" t="n">
        <f aca="false">IF(O1592&lt;&gt;"",O1592+P1592,"")</f>
        <v>9.2565</v>
      </c>
      <c r="R1592" s="84" t="s">
        <v>365</v>
      </c>
    </row>
    <row r="1593" customFormat="false" ht="15" hidden="false" customHeight="true" outlineLevel="0" collapsed="false">
      <c r="A1593" s="103" t="n">
        <v>56316</v>
      </c>
      <c r="B1593" s="85" t="n">
        <v>46255</v>
      </c>
      <c r="C1593" s="86" t="s">
        <v>709</v>
      </c>
      <c r="D1593" s="75" t="n">
        <v>50163</v>
      </c>
      <c r="E1593" s="52" t="str">
        <f aca="false">IF(D1593&lt;&gt;"",IFERROR(VLOOKUP(D1593,PROVEEDORES!$A:$B,2,0),"!COD NO ENCONTRADO"),"")</f>
        <v>SUBASTAS RIVERA S.L.</v>
      </c>
      <c r="F1593" s="76" t="str">
        <f aca="false">IF(D1593&lt;&gt;"",IFERROR(VLOOKUP(D1593,PROVEEDORES!$A:$C,3,0),""),"")</f>
        <v>S</v>
      </c>
      <c r="G1593" s="75" t="s">
        <v>332</v>
      </c>
      <c r="H1593" s="52" t="str">
        <f aca="false">IF(G1593&lt;&gt;"",IFERROR(VLOOKUP(G1593,PRODUCTOS!$A:$B,2,0),"!COD NO ENCONTRADO"),"")</f>
        <v>VARIADO PEQUEÑO</v>
      </c>
      <c r="I1593" s="153" t="n">
        <v>2</v>
      </c>
      <c r="J1593" s="150" t="n">
        <v>23.75</v>
      </c>
      <c r="K1593" s="151" t="n">
        <v>1</v>
      </c>
      <c r="L1593" s="80" t="n">
        <f aca="false">IF(AND(J1593&lt;&gt;"",K1593&lt;&gt;""),J1593*K1593,"")</f>
        <v>23.75</v>
      </c>
      <c r="M1593" s="81" t="n">
        <f aca="false">IF(L1593&lt;&gt;"",L1593*1.1,"")</f>
        <v>26.125</v>
      </c>
      <c r="N1593" s="53" t="n">
        <f aca="false">IF(F1593="S",L1593*0.02,0)</f>
        <v>0.475</v>
      </c>
      <c r="O1593" s="82" t="n">
        <f aca="false">IF(L1593&lt;&gt;"",L1593+N1593,"")</f>
        <v>24.225</v>
      </c>
      <c r="P1593" s="53" t="n">
        <f aca="false">IF(O1593&lt;&gt;"",O1593*0.1,"")</f>
        <v>2.4225</v>
      </c>
      <c r="Q1593" s="83" t="n">
        <f aca="false">IF(O1593&lt;&gt;"",O1593+P1593,"")</f>
        <v>26.6475</v>
      </c>
      <c r="R1593" s="84" t="s">
        <v>365</v>
      </c>
    </row>
    <row r="1594" customFormat="false" ht="15" hidden="false" customHeight="true" outlineLevel="0" collapsed="false">
      <c r="A1594" s="103" t="n">
        <v>56316</v>
      </c>
      <c r="B1594" s="85" t="n">
        <v>46255</v>
      </c>
      <c r="C1594" s="86" t="s">
        <v>709</v>
      </c>
      <c r="D1594" s="75" t="n">
        <v>50163</v>
      </c>
      <c r="E1594" s="46" t="str">
        <f aca="false">IF(D1594&lt;&gt;"",IFERROR(VLOOKUP(D1594,PROVEEDORES!$A:$B,2,0),"!COD NO ENCONTRADO"),"")</f>
        <v>SUBASTAS RIVERA S.L.</v>
      </c>
      <c r="F1594" s="88" t="str">
        <f aca="false">IF(D1594&lt;&gt;"",IFERROR(VLOOKUP(D1594,PROVEEDORES!$A:$C,3,0),""),"")</f>
        <v>S</v>
      </c>
      <c r="G1594" s="87" t="s">
        <v>276</v>
      </c>
      <c r="H1594" s="46" t="str">
        <f aca="false">IF(G1594&lt;&gt;"",IFERROR(VLOOKUP(G1594,PRODUCTOS!$A:$B,2,0),"!COD NO ENCONTRADO"),"")</f>
        <v>MERLUZA EUROPEA/ FINA DIA </v>
      </c>
      <c r="I1594" s="153" t="n">
        <v>4</v>
      </c>
      <c r="J1594" s="150" t="n">
        <v>31.25</v>
      </c>
      <c r="K1594" s="151" t="n">
        <v>2.2</v>
      </c>
      <c r="L1594" s="80" t="n">
        <f aca="false">IF(AND(J1594&lt;&gt;"",K1594&lt;&gt;""),J1594*K1594,"")</f>
        <v>68.75</v>
      </c>
      <c r="M1594" s="81" t="n">
        <f aca="false">IF(L1594&lt;&gt;"",L1594*1.1,"")</f>
        <v>75.625</v>
      </c>
      <c r="N1594" s="47" t="n">
        <f aca="false">IF(F1594="S",L1594*0.02,0)</f>
        <v>1.375</v>
      </c>
      <c r="O1594" s="82" t="n">
        <f aca="false">IF(L1594&lt;&gt;"",L1594+N1594,"")</f>
        <v>70.125</v>
      </c>
      <c r="P1594" s="47" t="n">
        <f aca="false">IF(O1594&lt;&gt;"",O1594*0.1,"")</f>
        <v>7.0125</v>
      </c>
      <c r="Q1594" s="83" t="n">
        <f aca="false">IF(O1594&lt;&gt;"",O1594+P1594,"")</f>
        <v>77.1375</v>
      </c>
      <c r="R1594" s="84" t="s">
        <v>365</v>
      </c>
    </row>
    <row r="1595" customFormat="false" ht="15" hidden="false" customHeight="true" outlineLevel="0" collapsed="false">
      <c r="A1595" s="103" t="n">
        <v>56316</v>
      </c>
      <c r="B1595" s="85" t="n">
        <v>46255</v>
      </c>
      <c r="C1595" s="86" t="s">
        <v>709</v>
      </c>
      <c r="D1595" s="75" t="n">
        <v>50163</v>
      </c>
      <c r="E1595" s="52" t="str">
        <f aca="false">IF(D1595&lt;&gt;"",IFERROR(VLOOKUP(D1595,PROVEEDORES!$A:$B,2,0),"!COD NO ENCONTRADO"),"")</f>
        <v>SUBASTAS RIVERA S.L.</v>
      </c>
      <c r="F1595" s="76" t="str">
        <f aca="false">IF(D1595&lt;&gt;"",IFERROR(VLOOKUP(D1595,PROVEEDORES!$A:$C,3,0),""),"")</f>
        <v>S</v>
      </c>
      <c r="G1595" s="75" t="s">
        <v>288</v>
      </c>
      <c r="H1595" s="52" t="str">
        <f aca="false">IF(G1595&lt;&gt;"",IFERROR(VLOOKUP(G1595,PRODUCTOS!$A:$B,2,0),"!COD NO ENCONTRADO"),"")</f>
        <v>RAPE BLANCO DIA (MON)</v>
      </c>
      <c r="I1595" s="153" t="n">
        <v>3</v>
      </c>
      <c r="J1595" s="150" t="n">
        <v>30.85</v>
      </c>
      <c r="K1595" s="151" t="n">
        <v>8.6</v>
      </c>
      <c r="L1595" s="80" t="n">
        <f aca="false">IF(AND(J1595&lt;&gt;"",K1595&lt;&gt;""),J1595*K1595,"")</f>
        <v>265.31</v>
      </c>
      <c r="M1595" s="81" t="n">
        <f aca="false">IF(L1595&lt;&gt;"",L1595*1.1,"")</f>
        <v>291.841</v>
      </c>
      <c r="N1595" s="53" t="n">
        <f aca="false">IF(F1595="S",L1595*0.02,0)</f>
        <v>5.3062</v>
      </c>
      <c r="O1595" s="82" t="n">
        <f aca="false">IF(L1595&lt;&gt;"",L1595+N1595,"")</f>
        <v>270.6162</v>
      </c>
      <c r="P1595" s="53" t="n">
        <f aca="false">IF(O1595&lt;&gt;"",O1595*0.1,"")</f>
        <v>27.06162</v>
      </c>
      <c r="Q1595" s="83" t="n">
        <f aca="false">IF(O1595&lt;&gt;"",O1595+P1595,"")</f>
        <v>297.67782</v>
      </c>
      <c r="R1595" s="84" t="s">
        <v>365</v>
      </c>
    </row>
    <row r="1596" customFormat="false" ht="15" hidden="false" customHeight="true" outlineLevel="0" collapsed="false">
      <c r="A1596" s="103" t="n">
        <v>56316</v>
      </c>
      <c r="B1596" s="85" t="n">
        <v>46255</v>
      </c>
      <c r="C1596" s="86" t="s">
        <v>709</v>
      </c>
      <c r="D1596" s="87" t="n">
        <v>50163</v>
      </c>
      <c r="E1596" s="46" t="str">
        <f aca="false">IF(D1596&lt;&gt;"",IFERROR(VLOOKUP(D1596,PROVEEDORES!$A:$B,2,0),"!COD NO ENCONTRADO"),"")</f>
        <v>SUBASTAS RIVERA S.L.</v>
      </c>
      <c r="F1596" s="88" t="str">
        <f aca="false">IF(D1596&lt;&gt;"",IFERROR(VLOOKUP(D1596,PROVEEDORES!$A:$C,3,0),""),"")</f>
        <v>S</v>
      </c>
      <c r="G1596" s="87" t="s">
        <v>288</v>
      </c>
      <c r="H1596" s="46" t="str">
        <f aca="false">IF(G1596&lt;&gt;"",IFERROR(VLOOKUP(G1596,PRODUCTOS!$A:$B,2,0),"!COD NO ENCONTRADO"),"")</f>
        <v>RAPE BLANCO DIA (MON)</v>
      </c>
      <c r="I1596" s="153" t="n">
        <v>1</v>
      </c>
      <c r="J1596" s="150" t="n">
        <v>7.1</v>
      </c>
      <c r="K1596" s="151" t="n">
        <v>5.3</v>
      </c>
      <c r="L1596" s="80" t="n">
        <f aca="false">IF(AND(J1596&lt;&gt;"",K1596&lt;&gt;""),J1596*K1596,"")</f>
        <v>37.63</v>
      </c>
      <c r="M1596" s="81" t="n">
        <f aca="false">IF(L1596&lt;&gt;"",L1596*1.1,"")</f>
        <v>41.393</v>
      </c>
      <c r="N1596" s="47" t="n">
        <f aca="false">IF(F1596="S",L1596*0.02,0)</f>
        <v>0.7526</v>
      </c>
      <c r="O1596" s="82" t="n">
        <f aca="false">IF(L1596&lt;&gt;"",L1596+N1596,"")</f>
        <v>38.3826</v>
      </c>
      <c r="P1596" s="47" t="n">
        <f aca="false">IF(O1596&lt;&gt;"",O1596*0.1,"")</f>
        <v>3.83826</v>
      </c>
      <c r="Q1596" s="83" t="n">
        <f aca="false">IF(O1596&lt;&gt;"",O1596+P1596,"")</f>
        <v>42.22086</v>
      </c>
      <c r="R1596" s="84" t="s">
        <v>365</v>
      </c>
    </row>
    <row r="1597" customFormat="false" ht="15" hidden="false" customHeight="true" outlineLevel="0" collapsed="false">
      <c r="A1597" s="103" t="n">
        <v>56316</v>
      </c>
      <c r="B1597" s="73" t="n">
        <v>46255</v>
      </c>
      <c r="C1597" s="86" t="s">
        <v>709</v>
      </c>
      <c r="D1597" s="75" t="n">
        <v>50163</v>
      </c>
      <c r="E1597" s="52" t="str">
        <f aca="false">IF(D1597&lt;&gt;"",IFERROR(VLOOKUP(D1597,PROVEEDORES!$A:$B,2,0),"!COD NO ENCONTRADO"),"")</f>
        <v>SUBASTAS RIVERA S.L.</v>
      </c>
      <c r="F1597" s="76" t="str">
        <f aca="false">IF(D1597&lt;&gt;"",IFERROR(VLOOKUP(D1597,PROVEEDORES!$A:$C,3,0),""),"")</f>
        <v>S</v>
      </c>
      <c r="G1597" s="75" t="s">
        <v>151</v>
      </c>
      <c r="H1597" s="52" t="str">
        <f aca="false">IF(G1597&lt;&gt;"",IFERROR(VLOOKUP(G1597,PRODUCTOS!$A:$B,2,0),"!COD NO ENCONTRADO"),"")</f>
        <v>ESCACHO/ ARETE/ RUBIO (GUR)</v>
      </c>
      <c r="I1597" s="77" t="n">
        <v>17</v>
      </c>
      <c r="J1597" s="78" t="n">
        <v>68</v>
      </c>
      <c r="K1597" s="141" t="n">
        <v>1</v>
      </c>
      <c r="L1597" s="80" t="n">
        <f aca="false">IF(AND(J1597&lt;&gt;"",K1597&lt;&gt;""),J1597*K1597,"")</f>
        <v>68</v>
      </c>
      <c r="M1597" s="81" t="n">
        <f aca="false">IF(L1597&lt;&gt;"",L1597*1.1,"")</f>
        <v>74.8</v>
      </c>
      <c r="N1597" s="53" t="n">
        <f aca="false">IF(F1597="S",L1597*0.02,0)</f>
        <v>1.36</v>
      </c>
      <c r="O1597" s="82" t="n">
        <f aca="false">IF(L1597&lt;&gt;"",L1597+N1597,"")</f>
        <v>69.36</v>
      </c>
      <c r="P1597" s="53" t="n">
        <f aca="false">IF(O1597&lt;&gt;"",O1597*0.1,"")</f>
        <v>6.936</v>
      </c>
      <c r="Q1597" s="83" t="n">
        <f aca="false">IF(O1597&lt;&gt;"",O1597+P1597,"")</f>
        <v>76.296</v>
      </c>
      <c r="R1597" s="84" t="s">
        <v>365</v>
      </c>
    </row>
    <row r="1598" customFormat="false" ht="15" hidden="false" customHeight="true" outlineLevel="0" collapsed="false">
      <c r="A1598" s="103" t="n">
        <v>56316</v>
      </c>
      <c r="B1598" s="85" t="n">
        <v>46255</v>
      </c>
      <c r="C1598" s="86" t="s">
        <v>709</v>
      </c>
      <c r="D1598" s="87" t="n">
        <v>50163</v>
      </c>
      <c r="E1598" s="46" t="str">
        <f aca="false">IF(D1598&lt;&gt;"",IFERROR(VLOOKUP(D1598,PROVEEDORES!$A:$B,2,0),"!COD NO ENCONTRADO"),"")</f>
        <v>SUBASTAS RIVERA S.L.</v>
      </c>
      <c r="F1598" s="88" t="str">
        <f aca="false">IF(D1598&lt;&gt;"",IFERROR(VLOOKUP(D1598,PROVEEDORES!$A:$C,3,0),""),"")</f>
        <v>S</v>
      </c>
      <c r="G1598" s="87" t="s">
        <v>133</v>
      </c>
      <c r="H1598" s="46" t="str">
        <f aca="false">IF(G1598&lt;&gt;"",IFERROR(VLOOKUP(G1598,PRODUCTOS!$A:$B,2,0),"!COD NO ENCONTRADO"),"")</f>
        <v>CINTAS/ PEZ CINTA (CBC)</v>
      </c>
      <c r="I1598" s="89" t="n">
        <v>1</v>
      </c>
      <c r="J1598" s="105" t="n">
        <v>3.25</v>
      </c>
      <c r="K1598" s="125" t="n">
        <v>2.3</v>
      </c>
      <c r="L1598" s="80" t="n">
        <f aca="false">IF(AND(J1598&lt;&gt;"",K1598&lt;&gt;""),J1598*K1598,"")</f>
        <v>7.475</v>
      </c>
      <c r="M1598" s="81" t="n">
        <f aca="false">IF(L1598&lt;&gt;"",L1598*1.1,"")</f>
        <v>8.2225</v>
      </c>
      <c r="N1598" s="47" t="n">
        <f aca="false">IF(F1598="S",L1598*0.02,0)</f>
        <v>0.1495</v>
      </c>
      <c r="O1598" s="82" t="n">
        <f aca="false">IF(L1598&lt;&gt;"",L1598+N1598,"")</f>
        <v>7.6245</v>
      </c>
      <c r="P1598" s="47" t="n">
        <f aca="false">IF(O1598&lt;&gt;"",O1598*0.1,"")</f>
        <v>0.76245</v>
      </c>
      <c r="Q1598" s="83" t="n">
        <f aca="false">IF(O1598&lt;&gt;"",O1598+P1598,"")</f>
        <v>8.38695</v>
      </c>
      <c r="R1598" s="84" t="s">
        <v>365</v>
      </c>
    </row>
    <row r="1599" customFormat="false" ht="15" hidden="false" customHeight="true" outlineLevel="0" collapsed="false">
      <c r="A1599" s="103" t="n">
        <v>56317</v>
      </c>
      <c r="B1599" s="73" t="n">
        <v>46255</v>
      </c>
      <c r="C1599" s="74" t="s">
        <v>710</v>
      </c>
      <c r="D1599" s="75" t="n">
        <v>50001</v>
      </c>
      <c r="E1599" s="52" t="str">
        <f aca="false">IF(D1599&lt;&gt;"",IFERROR(VLOOKUP(D1599,PROVEEDORES!$A:$B,2,0),"!COD NO ENCONTRADO"),"")</f>
        <v>COPESA</v>
      </c>
      <c r="F1599" s="76" t="str">
        <f aca="false">IF(D1599&lt;&gt;"",IFERROR(VLOOKUP(D1599,PROVEEDORES!$A:$C,3,0),""),"")</f>
        <v>S</v>
      </c>
      <c r="G1599" s="75" t="s">
        <v>276</v>
      </c>
      <c r="H1599" s="52" t="str">
        <f aca="false">IF(G1599&lt;&gt;"",IFERROR(VLOOKUP(G1599,PRODUCTOS!$A:$B,2,0),"!COD NO ENCONTRADO"),"")</f>
        <v>MERLUZA EUROPEA/ FINA DIA </v>
      </c>
      <c r="I1599" s="77" t="n">
        <v>22</v>
      </c>
      <c r="J1599" s="78" t="n">
        <v>146</v>
      </c>
      <c r="K1599" s="79" t="n">
        <v>2.1</v>
      </c>
      <c r="L1599" s="80" t="n">
        <f aca="false">IF(AND(J1599&lt;&gt;"",K1599&lt;&gt;""),J1599*K1599,"")</f>
        <v>306.6</v>
      </c>
      <c r="M1599" s="81" t="n">
        <f aca="false">IF(L1599&lt;&gt;"",L1599*1.1,"")</f>
        <v>337.26</v>
      </c>
      <c r="N1599" s="53" t="n">
        <f aca="false">IF(F1599="S",L1599*0.02,0)</f>
        <v>6.132</v>
      </c>
      <c r="O1599" s="82" t="n">
        <f aca="false">IF(L1599&lt;&gt;"",L1599+N1599,"")</f>
        <v>312.732</v>
      </c>
      <c r="P1599" s="53" t="n">
        <f aca="false">IF(O1599&lt;&gt;"",O1599*0.1,"")</f>
        <v>31.2732</v>
      </c>
      <c r="Q1599" s="83" t="n">
        <f aca="false">IF(O1599&lt;&gt;"",O1599+P1599,"")</f>
        <v>344.0052</v>
      </c>
      <c r="R1599" s="84" t="s">
        <v>365</v>
      </c>
    </row>
    <row r="1600" customFormat="false" ht="15" hidden="false" customHeight="true" outlineLevel="0" collapsed="false">
      <c r="A1600" s="103" t="n">
        <v>56318</v>
      </c>
      <c r="B1600" s="73" t="n">
        <v>46255</v>
      </c>
      <c r="C1600" s="74" t="s">
        <v>711</v>
      </c>
      <c r="D1600" s="75" t="n">
        <v>50069</v>
      </c>
      <c r="E1600" s="52" t="str">
        <f aca="false">IF(D1600&lt;&gt;"",IFERROR(VLOOKUP(D1600,PROVEEDORES!$A:$B,2,0),"!COD NO ENCONTRADO"),"")</f>
        <v>PESCADOS ILLANES S.L.</v>
      </c>
      <c r="F1600" s="76" t="str">
        <f aca="false">IF(D1600&lt;&gt;"",IFERROR(VLOOKUP(D1600,PROVEEDORES!$A:$C,3,0),""),"")</f>
        <v>S</v>
      </c>
      <c r="G1600" s="75" t="s">
        <v>133</v>
      </c>
      <c r="H1600" s="52" t="str">
        <f aca="false">IF(G1600&lt;&gt;"",IFERROR(VLOOKUP(G1600,PRODUCTOS!$A:$B,2,0),"!COD NO ENCONTRADO"),"")</f>
        <v>CINTAS/ PEZ CINTA (CBC)</v>
      </c>
      <c r="I1600" s="77" t="n">
        <v>1</v>
      </c>
      <c r="J1600" s="78" t="n">
        <v>3.25</v>
      </c>
      <c r="K1600" s="79" t="n">
        <v>2.3</v>
      </c>
      <c r="L1600" s="80" t="n">
        <f aca="false">IF(AND(J1600&lt;&gt;"",K1600&lt;&gt;""),J1600*K1600,"")</f>
        <v>7.475</v>
      </c>
      <c r="M1600" s="81" t="n">
        <f aca="false">IF(L1600&lt;&gt;"",L1600*1.1,"")</f>
        <v>8.2225</v>
      </c>
      <c r="N1600" s="53" t="n">
        <f aca="false">IF(F1600="S",L1600*0.02,0)</f>
        <v>0.1495</v>
      </c>
      <c r="O1600" s="82" t="n">
        <f aca="false">IF(L1600&lt;&gt;"",L1600+N1600,"")</f>
        <v>7.6245</v>
      </c>
      <c r="P1600" s="53" t="n">
        <f aca="false">IF(O1600&lt;&gt;"",O1600*0.1,"")</f>
        <v>0.76245</v>
      </c>
      <c r="Q1600" s="83" t="n">
        <f aca="false">IF(O1600&lt;&gt;"",O1600+P1600,"")</f>
        <v>8.38695</v>
      </c>
      <c r="R1600" s="84" t="s">
        <v>365</v>
      </c>
    </row>
    <row r="1601" customFormat="false" ht="15" hidden="false" customHeight="true" outlineLevel="0" collapsed="false">
      <c r="A1601" s="103" t="n">
        <v>56319</v>
      </c>
      <c r="B1601" s="85" t="n">
        <v>46255</v>
      </c>
      <c r="C1601" s="86" t="s">
        <v>712</v>
      </c>
      <c r="D1601" s="87" t="n">
        <v>50048</v>
      </c>
      <c r="E1601" s="46" t="str">
        <f aca="false">IF(D1601&lt;&gt;"",IFERROR(VLOOKUP(D1601,PROVEEDORES!$A:$B,2,0),"!COD NO ENCONTRADO"),"")</f>
        <v>JOSE LUIS CORREA KESSLER S.L.</v>
      </c>
      <c r="F1601" s="88" t="str">
        <f aca="false">IF(D1601&lt;&gt;"",IFERROR(VLOOKUP(D1601,PROVEEDORES!$A:$C,3,0),""),"")</f>
        <v>N</v>
      </c>
      <c r="G1601" s="87" t="s">
        <v>288</v>
      </c>
      <c r="H1601" s="46" t="str">
        <f aca="false">IF(G1601&lt;&gt;"",IFERROR(VLOOKUP(G1601,PRODUCTOS!$A:$B,2,0),"!COD NO ENCONTRADO"),"")</f>
        <v>RAPE BLANCO DIA (MON)</v>
      </c>
      <c r="I1601" s="89" t="n">
        <v>1</v>
      </c>
      <c r="J1601" s="90" t="n">
        <v>7.5</v>
      </c>
      <c r="K1601" s="91" t="n">
        <v>6.2</v>
      </c>
      <c r="L1601" s="80" t="n">
        <f aca="false">IF(AND(J1601&lt;&gt;"",K1601&lt;&gt;""),J1601*K1601,"")</f>
        <v>46.5</v>
      </c>
      <c r="M1601" s="81" t="n">
        <f aca="false">IF(L1601&lt;&gt;"",L1601*1.1,"")</f>
        <v>51.15</v>
      </c>
      <c r="N1601" s="47" t="n">
        <f aca="false">IF(F1601="S",L1601*0.02,0)</f>
        <v>0</v>
      </c>
      <c r="O1601" s="82" t="n">
        <f aca="false">IF(L1601&lt;&gt;"",L1601+N1601,"")</f>
        <v>46.5</v>
      </c>
      <c r="P1601" s="47" t="n">
        <f aca="false">IF(O1601&lt;&gt;"",O1601*0.1,"")</f>
        <v>4.65</v>
      </c>
      <c r="Q1601" s="83" t="n">
        <f aca="false">IF(O1601&lt;&gt;"",O1601+P1601,"")</f>
        <v>51.15</v>
      </c>
      <c r="R1601" s="84" t="s">
        <v>365</v>
      </c>
    </row>
    <row r="1602" customFormat="false" ht="15" hidden="false" customHeight="true" outlineLevel="0" collapsed="false">
      <c r="A1602" s="103" t="n">
        <v>56320</v>
      </c>
      <c r="B1602" s="85" t="n">
        <v>46255</v>
      </c>
      <c r="C1602" s="86" t="s">
        <v>713</v>
      </c>
      <c r="D1602" s="87" t="n">
        <v>50531</v>
      </c>
      <c r="E1602" s="46" t="str">
        <f aca="false">IF(D1602&lt;&gt;"",IFERROR(VLOOKUP(D1602,PROVEEDORES!$A:$B,2,0),"!COD NO ENCONTRADO"),"")</f>
        <v>SANCHEZ LOPEZ MIGUEL</v>
      </c>
      <c r="F1602" s="88" t="str">
        <f aca="false">IF(D1602&lt;&gt;"",IFERROR(VLOOKUP(D1602,PROVEEDORES!$A:$C,3,0),""),"")</f>
        <v>N</v>
      </c>
      <c r="G1602" s="87" t="s">
        <v>115</v>
      </c>
      <c r="H1602" s="46" t="str">
        <f aca="false">IF(G1602&lt;&gt;"",IFERROR(VLOOKUP(G1602,PRODUCTOS!$A:$B,2,0),"!COD NO ENCONTRADO"),"")</f>
        <v>CHICHARRO/ JUREL/ XURELO (HOM)</v>
      </c>
      <c r="I1602" s="112" t="n">
        <v>1</v>
      </c>
      <c r="J1602" s="121" t="n">
        <v>75</v>
      </c>
      <c r="K1602" s="141" t="n">
        <v>6.7</v>
      </c>
      <c r="L1602" s="80" t="n">
        <f aca="false">IF(AND(J1602&lt;&gt;"",K1602&lt;&gt;""),J1602*K1602,"")</f>
        <v>502.5</v>
      </c>
      <c r="M1602" s="81" t="n">
        <f aca="false">IF(L1602&lt;&gt;"",L1602*1.1,"")</f>
        <v>552.75</v>
      </c>
      <c r="N1602" s="47" t="n">
        <f aca="false">IF(F1602="S",L1602*0.02,0)</f>
        <v>0</v>
      </c>
      <c r="O1602" s="82" t="n">
        <f aca="false">IF(L1602&lt;&gt;"",L1602+N1602,"")</f>
        <v>502.5</v>
      </c>
      <c r="P1602" s="47" t="n">
        <f aca="false">IF(O1602&lt;&gt;"",O1602*0.1,"")</f>
        <v>50.25</v>
      </c>
      <c r="Q1602" s="83" t="n">
        <f aca="false">IF(O1602&lt;&gt;"",O1602+P1602,"")</f>
        <v>552.75</v>
      </c>
      <c r="R1602" s="84" t="s">
        <v>358</v>
      </c>
    </row>
    <row r="1603" customFormat="false" ht="15" hidden="false" customHeight="true" outlineLevel="0" collapsed="false">
      <c r="A1603" s="103" t="n">
        <v>56321</v>
      </c>
      <c r="B1603" s="73" t="n">
        <v>46255</v>
      </c>
      <c r="C1603" s="74" t="s">
        <v>714</v>
      </c>
      <c r="D1603" s="75" t="n">
        <v>50035</v>
      </c>
      <c r="E1603" s="52" t="str">
        <f aca="false">IF(D1603&lt;&gt;"",IFERROR(VLOOKUP(D1603,PROVEEDORES!$A:$B,2,0),"!COD NO ENCONTRADO"),"")</f>
        <v>SCANFISK SEAFFOD S,L</v>
      </c>
      <c r="F1603" s="76" t="str">
        <f aca="false">IF(D1603&lt;&gt;"",IFERROR(VLOOKUP(D1603,PROVEEDORES!$A:$C,3,0),""),"")</f>
        <v>N</v>
      </c>
      <c r="G1603" s="75" t="s">
        <v>246</v>
      </c>
      <c r="H1603" s="52" t="str">
        <f aca="false">IF(G1603&lt;&gt;"",IFERROR(VLOOKUP(G1603,PRODUCTOS!$A:$B,2,0),"!COD NO ENCONTRADO"),"")</f>
        <v>MERLUZA EUROPEA VOLANTA ALTURA</v>
      </c>
      <c r="I1603" s="77" t="n">
        <v>4</v>
      </c>
      <c r="J1603" s="78" t="n">
        <v>44.6</v>
      </c>
      <c r="K1603" s="79" t="n">
        <v>8.1</v>
      </c>
      <c r="L1603" s="80" t="n">
        <f aca="false">IF(AND(J1603&lt;&gt;"",K1603&lt;&gt;""),J1603*K1603,"")</f>
        <v>361.26</v>
      </c>
      <c r="M1603" s="81" t="n">
        <f aca="false">IF(L1603&lt;&gt;"",L1603*1.1,"")</f>
        <v>397.386</v>
      </c>
      <c r="N1603" s="53" t="n">
        <f aca="false">IF(F1603="S",L1603*0.02,0)</f>
        <v>0</v>
      </c>
      <c r="O1603" s="82" t="n">
        <f aca="false">IF(L1603&lt;&gt;"",L1603+N1603,"")</f>
        <v>361.26</v>
      </c>
      <c r="P1603" s="53" t="n">
        <f aca="false">IF(O1603&lt;&gt;"",O1603*0.1,"")</f>
        <v>36.126</v>
      </c>
      <c r="Q1603" s="83" t="n">
        <f aca="false">IF(O1603&lt;&gt;"",O1603+P1603,"")</f>
        <v>397.386</v>
      </c>
      <c r="R1603" s="84" t="s">
        <v>365</v>
      </c>
    </row>
    <row r="1604" customFormat="false" ht="15" hidden="false" customHeight="true" outlineLevel="0" collapsed="false">
      <c r="A1604" s="103" t="n">
        <v>56322</v>
      </c>
      <c r="B1604" s="73" t="n">
        <v>46256</v>
      </c>
      <c r="C1604" s="74" t="s">
        <v>715</v>
      </c>
      <c r="D1604" s="75" t="n">
        <v>50232</v>
      </c>
      <c r="E1604" s="52" t="str">
        <f aca="false">IF(D1604&lt;&gt;"",IFERROR(VLOOKUP(D1604,PROVEEDORES!$A:$B,2,0),"!COD NO ENCONTRADO"),"")</f>
        <v>XESTION NOVA LONXA RIVEIRA S.L.</v>
      </c>
      <c r="F1604" s="76" t="str">
        <f aca="false">IF(D1604&lt;&gt;"",IFERROR(VLOOKUP(D1604,PROVEEDORES!$A:$C,3,0),""),"")</f>
        <v>S</v>
      </c>
      <c r="G1604" s="75" t="s">
        <v>332</v>
      </c>
      <c r="H1604" s="52" t="str">
        <f aca="false">IF(G1604&lt;&gt;"",IFERROR(VLOOKUP(G1604,PRODUCTOS!$A:$B,2,0),"!COD NO ENCONTRADO"),"")</f>
        <v>VARIADO PEQUEÑO</v>
      </c>
      <c r="I1604" s="77" t="n">
        <v>1</v>
      </c>
      <c r="J1604" s="78" t="n">
        <v>7.1</v>
      </c>
      <c r="K1604" s="79" t="n">
        <v>0.5</v>
      </c>
      <c r="L1604" s="80" t="n">
        <f aca="false">IF(AND(J1604&lt;&gt;"",K1604&lt;&gt;""),J1604*K1604,"")</f>
        <v>3.55</v>
      </c>
      <c r="M1604" s="81" t="n">
        <f aca="false">IF(L1604&lt;&gt;"",L1604*1.1,"")</f>
        <v>3.905</v>
      </c>
      <c r="N1604" s="53" t="n">
        <f aca="false">IF(F1604="S",L1604*0.02,0)</f>
        <v>0.071</v>
      </c>
      <c r="O1604" s="82" t="n">
        <f aca="false">IF(L1604&lt;&gt;"",L1604+N1604,"")</f>
        <v>3.621</v>
      </c>
      <c r="P1604" s="53" t="n">
        <f aca="false">IF(O1604&lt;&gt;"",O1604*0.1,"")</f>
        <v>0.3621</v>
      </c>
      <c r="Q1604" s="83" t="n">
        <f aca="false">IF(O1604&lt;&gt;"",O1604+P1604,"")</f>
        <v>3.9831</v>
      </c>
      <c r="R1604" s="84" t="s">
        <v>358</v>
      </c>
    </row>
    <row r="1605" customFormat="false" ht="15" hidden="false" customHeight="true" outlineLevel="0" collapsed="false">
      <c r="A1605" s="103" t="n">
        <v>56322</v>
      </c>
      <c r="B1605" s="73" t="n">
        <v>46256</v>
      </c>
      <c r="C1605" s="74" t="s">
        <v>715</v>
      </c>
      <c r="D1605" s="75" t="n">
        <v>50232</v>
      </c>
      <c r="E1605" s="46" t="str">
        <f aca="false">IF(D1605&lt;&gt;"",IFERROR(VLOOKUP(D1605,PROVEEDORES!$A:$B,2,0),"!COD NO ENCONTRADO"),"")</f>
        <v>XESTION NOVA LONXA RIVEIRA S.L.</v>
      </c>
      <c r="F1605" s="88" t="str">
        <f aca="false">IF(D1605&lt;&gt;"",IFERROR(VLOOKUP(D1605,PROVEEDORES!$A:$C,3,0),""),"")</f>
        <v>S</v>
      </c>
      <c r="G1605" s="87" t="s">
        <v>332</v>
      </c>
      <c r="H1605" s="46" t="str">
        <f aca="false">IF(G1605&lt;&gt;"",IFERROR(VLOOKUP(G1605,PRODUCTOS!$A:$B,2,0),"!COD NO ENCONTRADO"),"")</f>
        <v>VARIADO PEQUEÑO</v>
      </c>
      <c r="I1605" s="89" t="n">
        <v>1</v>
      </c>
      <c r="J1605" s="90" t="n">
        <v>0.2</v>
      </c>
      <c r="K1605" s="91" t="n">
        <v>0.5</v>
      </c>
      <c r="L1605" s="80" t="n">
        <f aca="false">IF(AND(J1605&lt;&gt;"",K1605&lt;&gt;""),J1605*K1605,"")</f>
        <v>0.1</v>
      </c>
      <c r="M1605" s="81" t="n">
        <f aca="false">IF(L1605&lt;&gt;"",L1605*1.1,"")</f>
        <v>0.11</v>
      </c>
      <c r="N1605" s="47" t="n">
        <f aca="false">IF(F1605="S",L1605*0.02,0)</f>
        <v>0.002</v>
      </c>
      <c r="O1605" s="82" t="n">
        <f aca="false">IF(L1605&lt;&gt;"",L1605+N1605,"")</f>
        <v>0.102</v>
      </c>
      <c r="P1605" s="47" t="n">
        <f aca="false">IF(O1605&lt;&gt;"",O1605*0.1,"")</f>
        <v>0.0102</v>
      </c>
      <c r="Q1605" s="83" t="n">
        <f aca="false">IF(O1605&lt;&gt;"",O1605+P1605,"")</f>
        <v>0.1122</v>
      </c>
      <c r="R1605" s="84" t="s">
        <v>358</v>
      </c>
    </row>
    <row r="1606" customFormat="false" ht="15" hidden="false" customHeight="true" outlineLevel="0" collapsed="false">
      <c r="A1606" s="103" t="n">
        <v>56322</v>
      </c>
      <c r="B1606" s="73" t="n">
        <v>46256</v>
      </c>
      <c r="C1606" s="74" t="s">
        <v>715</v>
      </c>
      <c r="D1606" s="75" t="n">
        <v>50232</v>
      </c>
      <c r="E1606" s="52" t="str">
        <f aca="false">IF(D1606&lt;&gt;"",IFERROR(VLOOKUP(D1606,PROVEEDORES!$A:$B,2,0),"!COD NO ENCONTRADO"),"")</f>
        <v>XESTION NOVA LONXA RIVEIRA S.L.</v>
      </c>
      <c r="F1606" s="76" t="str">
        <f aca="false">IF(D1606&lt;&gt;"",IFERROR(VLOOKUP(D1606,PROVEEDORES!$A:$C,3,0),""),"")</f>
        <v>S</v>
      </c>
      <c r="G1606" s="75" t="s">
        <v>332</v>
      </c>
      <c r="H1606" s="52" t="str">
        <f aca="false">IF(G1606&lt;&gt;"",IFERROR(VLOOKUP(G1606,PRODUCTOS!$A:$B,2,0),"!COD NO ENCONTRADO"),"")</f>
        <v>VARIADO PEQUEÑO</v>
      </c>
      <c r="I1606" s="77" t="n">
        <v>5</v>
      </c>
      <c r="J1606" s="78" t="n">
        <v>9.6</v>
      </c>
      <c r="K1606" s="79" t="n">
        <v>0.5</v>
      </c>
      <c r="L1606" s="80" t="n">
        <f aca="false">IF(AND(J1606&lt;&gt;"",K1606&lt;&gt;""),J1606*K1606,"")</f>
        <v>4.8</v>
      </c>
      <c r="M1606" s="81" t="n">
        <f aca="false">IF(L1606&lt;&gt;"",L1606*1.1,"")</f>
        <v>5.28</v>
      </c>
      <c r="N1606" s="53" t="n">
        <f aca="false">IF(F1606="S",L1606*0.02,0)</f>
        <v>0.096</v>
      </c>
      <c r="O1606" s="82" t="n">
        <f aca="false">IF(L1606&lt;&gt;"",L1606+N1606,"")</f>
        <v>4.896</v>
      </c>
      <c r="P1606" s="53" t="n">
        <f aca="false">IF(O1606&lt;&gt;"",O1606*0.1,"")</f>
        <v>0.4896</v>
      </c>
      <c r="Q1606" s="83" t="n">
        <f aca="false">IF(O1606&lt;&gt;"",O1606+P1606,"")</f>
        <v>5.3856</v>
      </c>
      <c r="R1606" s="84" t="s">
        <v>358</v>
      </c>
    </row>
    <row r="1607" customFormat="false" ht="15" hidden="false" customHeight="true" outlineLevel="0" collapsed="false">
      <c r="A1607" s="103" t="n">
        <v>56322</v>
      </c>
      <c r="B1607" s="73" t="n">
        <v>46256</v>
      </c>
      <c r="C1607" s="74" t="s">
        <v>715</v>
      </c>
      <c r="D1607" s="75" t="n">
        <v>50232</v>
      </c>
      <c r="E1607" s="46" t="str">
        <f aca="false">IF(D1607&lt;&gt;"",IFERROR(VLOOKUP(D1607,PROVEEDORES!$A:$B,2,0),"!COD NO ENCONTRADO"),"")</f>
        <v>XESTION NOVA LONXA RIVEIRA S.L.</v>
      </c>
      <c r="F1607" s="88" t="str">
        <f aca="false">IF(D1607&lt;&gt;"",IFERROR(VLOOKUP(D1607,PROVEEDORES!$A:$C,3,0),""),"")</f>
        <v>S</v>
      </c>
      <c r="G1607" s="87" t="s">
        <v>332</v>
      </c>
      <c r="H1607" s="46" t="str">
        <f aca="false">IF(G1607&lt;&gt;"",IFERROR(VLOOKUP(G1607,PRODUCTOS!$A:$B,2,0),"!COD NO ENCONTRADO"),"")</f>
        <v>VARIADO PEQUEÑO</v>
      </c>
      <c r="I1607" s="89" t="n">
        <v>1</v>
      </c>
      <c r="J1607" s="90" t="n">
        <v>0.7</v>
      </c>
      <c r="K1607" s="91" t="n">
        <v>0.5</v>
      </c>
      <c r="L1607" s="80" t="n">
        <f aca="false">IF(AND(J1607&lt;&gt;"",K1607&lt;&gt;""),J1607*K1607,"")</f>
        <v>0.35</v>
      </c>
      <c r="M1607" s="81" t="n">
        <f aca="false">IF(L1607&lt;&gt;"",L1607*1.1,"")</f>
        <v>0.385</v>
      </c>
      <c r="N1607" s="47" t="n">
        <f aca="false">IF(F1607="S",L1607*0.02,0)</f>
        <v>0.007</v>
      </c>
      <c r="O1607" s="82" t="n">
        <f aca="false">IF(L1607&lt;&gt;"",L1607+N1607,"")</f>
        <v>0.357</v>
      </c>
      <c r="P1607" s="47" t="n">
        <f aca="false">IF(O1607&lt;&gt;"",O1607*0.1,"")</f>
        <v>0.0357</v>
      </c>
      <c r="Q1607" s="83" t="n">
        <f aca="false">IF(O1607&lt;&gt;"",O1607+P1607,"")</f>
        <v>0.3927</v>
      </c>
      <c r="R1607" s="84" t="s">
        <v>358</v>
      </c>
    </row>
    <row r="1608" customFormat="false" ht="15" hidden="false" customHeight="true" outlineLevel="0" collapsed="false">
      <c r="A1608" s="103" t="n">
        <v>56322</v>
      </c>
      <c r="B1608" s="73" t="n">
        <v>46256</v>
      </c>
      <c r="C1608" s="74" t="s">
        <v>715</v>
      </c>
      <c r="D1608" s="75" t="n">
        <v>50232</v>
      </c>
      <c r="E1608" s="52" t="str">
        <f aca="false">IF(D1608&lt;&gt;"",IFERROR(VLOOKUP(D1608,PROVEEDORES!$A:$B,2,0),"!COD NO ENCONTRADO"),"")</f>
        <v>XESTION NOVA LONXA RIVEIRA S.L.</v>
      </c>
      <c r="F1608" s="76" t="str">
        <f aca="false">IF(D1608&lt;&gt;"",IFERROR(VLOOKUP(D1608,PROVEEDORES!$A:$C,3,0),""),"")</f>
        <v>S</v>
      </c>
      <c r="G1608" s="75" t="s">
        <v>332</v>
      </c>
      <c r="H1608" s="52" t="str">
        <f aca="false">IF(G1608&lt;&gt;"",IFERROR(VLOOKUP(G1608,PRODUCTOS!$A:$B,2,0),"!COD NO ENCONTRADO"),"")</f>
        <v>VARIADO PEQUEÑO</v>
      </c>
      <c r="I1608" s="77" t="n">
        <v>4</v>
      </c>
      <c r="J1608" s="78" t="n">
        <v>6</v>
      </c>
      <c r="K1608" s="79" t="n">
        <v>0.5</v>
      </c>
      <c r="L1608" s="80" t="n">
        <f aca="false">IF(AND(J1608&lt;&gt;"",K1608&lt;&gt;""),J1608*K1608,"")</f>
        <v>3</v>
      </c>
      <c r="M1608" s="81" t="n">
        <f aca="false">IF(L1608&lt;&gt;"",L1608*1.1,"")</f>
        <v>3.3</v>
      </c>
      <c r="N1608" s="53" t="n">
        <f aca="false">IF(F1608="S",L1608*0.02,0)</f>
        <v>0.06</v>
      </c>
      <c r="O1608" s="82" t="n">
        <f aca="false">IF(L1608&lt;&gt;"",L1608+N1608,"")</f>
        <v>3.06</v>
      </c>
      <c r="P1608" s="53" t="n">
        <f aca="false">IF(O1608&lt;&gt;"",O1608*0.1,"")</f>
        <v>0.306</v>
      </c>
      <c r="Q1608" s="83" t="n">
        <f aca="false">IF(O1608&lt;&gt;"",O1608+P1608,"")</f>
        <v>3.366</v>
      </c>
      <c r="R1608" s="84" t="s">
        <v>358</v>
      </c>
    </row>
    <row r="1609" customFormat="false" ht="15" hidden="false" customHeight="true" outlineLevel="0" collapsed="false">
      <c r="A1609" s="103" t="n">
        <v>56322</v>
      </c>
      <c r="B1609" s="73" t="n">
        <v>46256</v>
      </c>
      <c r="C1609" s="74" t="s">
        <v>715</v>
      </c>
      <c r="D1609" s="75" t="n">
        <v>50232</v>
      </c>
      <c r="E1609" s="46" t="str">
        <f aca="false">IF(D1609&lt;&gt;"",IFERROR(VLOOKUP(D1609,PROVEEDORES!$A:$B,2,0),"!COD NO ENCONTRADO"),"")</f>
        <v>XESTION NOVA LONXA RIVEIRA S.L.</v>
      </c>
      <c r="F1609" s="88" t="str">
        <f aca="false">IF(D1609&lt;&gt;"",IFERROR(VLOOKUP(D1609,PROVEEDORES!$A:$C,3,0),""),"")</f>
        <v>S</v>
      </c>
      <c r="G1609" s="87" t="s">
        <v>83</v>
      </c>
      <c r="H1609" s="46" t="str">
        <f aca="false">IF(G1609&lt;&gt;"",IFERROR(VLOOKUP(G1609,PRODUCTOS!$A:$B,2,0),"!COD NO ENCONTRADO"),"")</f>
        <v>BESUGO (BSR)</v>
      </c>
      <c r="I1609" s="89" t="n">
        <v>5</v>
      </c>
      <c r="J1609" s="90" t="n">
        <v>9.7</v>
      </c>
      <c r="K1609" s="91" t="n">
        <v>45</v>
      </c>
      <c r="L1609" s="80" t="n">
        <f aca="false">IF(AND(J1609&lt;&gt;"",K1609&lt;&gt;""),J1609*K1609,"")</f>
        <v>436.5</v>
      </c>
      <c r="M1609" s="81" t="n">
        <f aca="false">IF(L1609&lt;&gt;"",L1609*1.1,"")</f>
        <v>480.15</v>
      </c>
      <c r="N1609" s="47" t="n">
        <f aca="false">IF(F1609="S",L1609*0.02,0)</f>
        <v>8.73</v>
      </c>
      <c r="O1609" s="82" t="n">
        <f aca="false">IF(L1609&lt;&gt;"",L1609+N1609,"")</f>
        <v>445.23</v>
      </c>
      <c r="P1609" s="47" t="n">
        <f aca="false">IF(O1609&lt;&gt;"",O1609*0.1,"")</f>
        <v>44.523</v>
      </c>
      <c r="Q1609" s="83" t="n">
        <f aca="false">IF(O1609&lt;&gt;"",O1609+P1609,"")</f>
        <v>489.753</v>
      </c>
      <c r="R1609" s="84" t="s">
        <v>358</v>
      </c>
    </row>
    <row r="1610" customFormat="false" ht="15" hidden="false" customHeight="true" outlineLevel="0" collapsed="false">
      <c r="A1610" s="103" t="n">
        <v>56322</v>
      </c>
      <c r="B1610" s="73" t="n">
        <v>46256</v>
      </c>
      <c r="C1610" s="74" t="s">
        <v>715</v>
      </c>
      <c r="D1610" s="75" t="n">
        <v>50232</v>
      </c>
      <c r="E1610" s="52" t="str">
        <f aca="false">IF(D1610&lt;&gt;"",IFERROR(VLOOKUP(D1610,PROVEEDORES!$A:$B,2,0),"!COD NO ENCONTRADO"),"")</f>
        <v>XESTION NOVA LONXA RIVEIRA S.L.</v>
      </c>
      <c r="F1610" s="76" t="str">
        <f aca="false">IF(D1610&lt;&gt;"",IFERROR(VLOOKUP(D1610,PROVEEDORES!$A:$C,3,0),""),"")</f>
        <v>S</v>
      </c>
      <c r="G1610" s="75" t="s">
        <v>316</v>
      </c>
      <c r="H1610" s="52" t="str">
        <f aca="false">IF(G1610&lt;&gt;"",IFERROR(VLOOKUP(G1610,PRODUCTOS!$A:$B,2,0),"!COD NO ENCONTRADO"),"")</f>
        <v>SALMONETE ROCA (MUR)</v>
      </c>
      <c r="I1610" s="77" t="n">
        <v>8</v>
      </c>
      <c r="J1610" s="78" t="n">
        <v>29.2</v>
      </c>
      <c r="K1610" s="79" t="n">
        <v>13.5</v>
      </c>
      <c r="L1610" s="80" t="n">
        <f aca="false">IF(AND(J1610&lt;&gt;"",K1610&lt;&gt;""),J1610*K1610,"")</f>
        <v>394.2</v>
      </c>
      <c r="M1610" s="81" t="n">
        <f aca="false">IF(L1610&lt;&gt;"",L1610*1.1,"")</f>
        <v>433.62</v>
      </c>
      <c r="N1610" s="53" t="n">
        <f aca="false">IF(F1610="S",L1610*0.02,0)</f>
        <v>7.884</v>
      </c>
      <c r="O1610" s="82" t="n">
        <f aca="false">IF(L1610&lt;&gt;"",L1610+N1610,"")</f>
        <v>402.084</v>
      </c>
      <c r="P1610" s="53" t="n">
        <f aca="false">IF(O1610&lt;&gt;"",O1610*0.1,"")</f>
        <v>40.2084</v>
      </c>
      <c r="Q1610" s="83" t="n">
        <f aca="false">IF(O1610&lt;&gt;"",O1610+P1610,"")</f>
        <v>442.2924</v>
      </c>
      <c r="R1610" s="84" t="s">
        <v>358</v>
      </c>
    </row>
    <row r="1611" customFormat="false" ht="15" hidden="false" customHeight="true" outlineLevel="0" collapsed="false">
      <c r="A1611" s="103" t="n">
        <v>56322</v>
      </c>
      <c r="B1611" s="73" t="n">
        <v>46256</v>
      </c>
      <c r="C1611" s="74" t="s">
        <v>715</v>
      </c>
      <c r="D1611" s="75" t="n">
        <v>50232</v>
      </c>
      <c r="E1611" s="46" t="str">
        <f aca="false">IF(D1611&lt;&gt;"",IFERROR(VLOOKUP(D1611,PROVEEDORES!$A:$B,2,0),"!COD NO ENCONTRADO"),"")</f>
        <v>XESTION NOVA LONXA RIVEIRA S.L.</v>
      </c>
      <c r="F1611" s="88" t="str">
        <f aca="false">IF(D1611&lt;&gt;"",IFERROR(VLOOKUP(D1611,PROVEEDORES!$A:$C,3,0),""),"")</f>
        <v>S</v>
      </c>
      <c r="G1611" s="87" t="s">
        <v>97</v>
      </c>
      <c r="H1611" s="46" t="str">
        <f aca="false">IF(G1611&lt;&gt;"",IFERROR(VLOOKUP(G1611,PRODUCTOS!$A:$B,2,0),"!COD NO ENCONTRADO"),"")</f>
        <v>CABALL/ SARDA/ VERDEL (MAC)</v>
      </c>
      <c r="I1611" s="89" t="n">
        <v>14</v>
      </c>
      <c r="J1611" s="90" t="n">
        <v>167.9</v>
      </c>
      <c r="K1611" s="91" t="n">
        <v>3.6</v>
      </c>
      <c r="L1611" s="80" t="n">
        <f aca="false">IF(AND(J1611&lt;&gt;"",K1611&lt;&gt;""),J1611*K1611,"")</f>
        <v>604.44</v>
      </c>
      <c r="M1611" s="81" t="n">
        <f aca="false">IF(L1611&lt;&gt;"",L1611*1.1,"")</f>
        <v>664.884</v>
      </c>
      <c r="N1611" s="47" t="n">
        <f aca="false">IF(F1611="S",L1611*0.02,0)</f>
        <v>12.0888</v>
      </c>
      <c r="O1611" s="82" t="n">
        <f aca="false">IF(L1611&lt;&gt;"",L1611+N1611,"")</f>
        <v>616.5288</v>
      </c>
      <c r="P1611" s="47" t="n">
        <f aca="false">IF(O1611&lt;&gt;"",O1611*0.1,"")</f>
        <v>61.65288</v>
      </c>
      <c r="Q1611" s="83" t="n">
        <f aca="false">IF(O1611&lt;&gt;"",O1611+P1611,"")</f>
        <v>678.18168</v>
      </c>
      <c r="R1611" s="84" t="s">
        <v>358</v>
      </c>
    </row>
    <row r="1612" customFormat="false" ht="15" hidden="false" customHeight="true" outlineLevel="0" collapsed="false">
      <c r="A1612" s="103" t="n">
        <v>56322</v>
      </c>
      <c r="B1612" s="73" t="n">
        <v>46256</v>
      </c>
      <c r="C1612" s="74" t="s">
        <v>715</v>
      </c>
      <c r="D1612" s="75" t="n">
        <v>50232</v>
      </c>
      <c r="E1612" s="52" t="str">
        <f aca="false">IF(D1612&lt;&gt;"",IFERROR(VLOOKUP(D1612,PROVEEDORES!$A:$B,2,0),"!COD NO ENCONTRADO"),"")</f>
        <v>XESTION NOVA LONXA RIVEIRA S.L.</v>
      </c>
      <c r="F1612" s="76" t="str">
        <f aca="false">IF(D1612&lt;&gt;"",IFERROR(VLOOKUP(D1612,PROVEEDORES!$A:$C,3,0),""),"")</f>
        <v>S</v>
      </c>
      <c r="G1612" s="75" t="s">
        <v>270</v>
      </c>
      <c r="H1612" s="52" t="str">
        <f aca="false">IF(G1612&lt;&gt;"",IFERROR(VLOOKUP(G1612,PRODUCTOS!$A:$B,2,0),"!COD NO ENCONTRADO"),"")</f>
        <v>PEON/ PION (ATP)</v>
      </c>
      <c r="I1612" s="77" t="n">
        <v>3</v>
      </c>
      <c r="J1612" s="78" t="n">
        <v>19.2</v>
      </c>
      <c r="K1612" s="79" t="n">
        <v>3.5</v>
      </c>
      <c r="L1612" s="80" t="n">
        <f aca="false">IF(AND(J1612&lt;&gt;"",K1612&lt;&gt;""),J1612*K1612,"")</f>
        <v>67.2</v>
      </c>
      <c r="M1612" s="81" t="n">
        <f aca="false">IF(L1612&lt;&gt;"",L1612*1.1,"")</f>
        <v>73.92</v>
      </c>
      <c r="N1612" s="53" t="n">
        <f aca="false">IF(F1612="S",L1612*0.02,0)</f>
        <v>1.344</v>
      </c>
      <c r="O1612" s="82" t="n">
        <f aca="false">IF(L1612&lt;&gt;"",L1612+N1612,"")</f>
        <v>68.544</v>
      </c>
      <c r="P1612" s="53" t="n">
        <f aca="false">IF(O1612&lt;&gt;"",O1612*0.1,"")</f>
        <v>6.8544</v>
      </c>
      <c r="Q1612" s="83" t="n">
        <f aca="false">IF(O1612&lt;&gt;"",O1612+P1612,"")</f>
        <v>75.3984</v>
      </c>
      <c r="R1612" s="84" t="s">
        <v>358</v>
      </c>
    </row>
    <row r="1613" customFormat="false" ht="15" hidden="false" customHeight="true" outlineLevel="0" collapsed="false">
      <c r="A1613" s="103" t="n">
        <v>56322</v>
      </c>
      <c r="B1613" s="73" t="n">
        <v>46256</v>
      </c>
      <c r="C1613" s="74" t="s">
        <v>715</v>
      </c>
      <c r="D1613" s="75" t="n">
        <v>50232</v>
      </c>
      <c r="E1613" s="46" t="str">
        <f aca="false">IF(D1613&lt;&gt;"",IFERROR(VLOOKUP(D1613,PROVEEDORES!$A:$B,2,0),"!COD NO ENCONTRADO"),"")</f>
        <v>XESTION NOVA LONXA RIVEIRA S.L.</v>
      </c>
      <c r="F1613" s="88" t="str">
        <f aca="false">IF(D1613&lt;&gt;"",IFERROR(VLOOKUP(D1613,PROVEEDORES!$A:$C,3,0),""),"")</f>
        <v>S</v>
      </c>
      <c r="G1613" s="87" t="s">
        <v>179</v>
      </c>
      <c r="H1613" s="46" t="str">
        <f aca="false">IF(G1613&lt;&gt;"",IFERROR(VLOOKUP(G1613,PRODUCTOS!$A:$B,2,0),"!COD NO ENCONTRADO"),"")</f>
        <v>LIRIO/ BACALADILLA/ PERLA (WHB)</v>
      </c>
      <c r="I1613" s="89" t="n">
        <v>10</v>
      </c>
      <c r="J1613" s="121" t="n">
        <v>150</v>
      </c>
      <c r="K1613" s="141" t="n">
        <v>1.87</v>
      </c>
      <c r="L1613" s="80" t="n">
        <f aca="false">IF(AND(J1613&lt;&gt;"",K1613&lt;&gt;""),J1613*K1613,"")</f>
        <v>280.5</v>
      </c>
      <c r="M1613" s="81" t="n">
        <f aca="false">IF(L1613&lt;&gt;"",L1613*1.1,"")</f>
        <v>308.55</v>
      </c>
      <c r="N1613" s="47" t="n">
        <f aca="false">IF(F1613="S",L1613*0.02,0)</f>
        <v>5.61</v>
      </c>
      <c r="O1613" s="82" t="n">
        <f aca="false">IF(L1613&lt;&gt;"",L1613+N1613,"")</f>
        <v>286.11</v>
      </c>
      <c r="P1613" s="47" t="n">
        <f aca="false">IF(O1613&lt;&gt;"",O1613*0.1,"")</f>
        <v>28.611</v>
      </c>
      <c r="Q1613" s="83" t="n">
        <f aca="false">IF(O1613&lt;&gt;"",O1613+P1613,"")</f>
        <v>314.721</v>
      </c>
      <c r="R1613" s="84" t="s">
        <v>358</v>
      </c>
    </row>
    <row r="1614" customFormat="false" ht="15" hidden="false" customHeight="true" outlineLevel="0" collapsed="false">
      <c r="A1614" s="103" t="n">
        <v>56322</v>
      </c>
      <c r="B1614" s="73" t="n">
        <v>46256</v>
      </c>
      <c r="C1614" s="74" t="s">
        <v>715</v>
      </c>
      <c r="D1614" s="75" t="n">
        <v>50232</v>
      </c>
      <c r="E1614" s="52" t="str">
        <f aca="false">IF(D1614&lt;&gt;"",IFERROR(VLOOKUP(D1614,PROVEEDORES!$A:$B,2,0),"!COD NO ENCONTRADO"),"")</f>
        <v>XESTION NOVA LONXA RIVEIRA S.L.</v>
      </c>
      <c r="F1614" s="76" t="str">
        <f aca="false">IF(D1614&lt;&gt;"",IFERROR(VLOOKUP(D1614,PROVEEDORES!$A:$C,3,0),""),"")</f>
        <v>S</v>
      </c>
      <c r="G1614" s="75" t="s">
        <v>179</v>
      </c>
      <c r="H1614" s="52" t="str">
        <f aca="false">IF(G1614&lt;&gt;"",IFERROR(VLOOKUP(G1614,PRODUCTOS!$A:$B,2,0),"!COD NO ENCONTRADO"),"")</f>
        <v>LIRIO/ BACALADILLA/ PERLA (WHB)</v>
      </c>
      <c r="I1614" s="77" t="n">
        <v>25</v>
      </c>
      <c r="J1614" s="121" t="n">
        <v>315.3</v>
      </c>
      <c r="K1614" s="141" t="n">
        <v>2.3</v>
      </c>
      <c r="L1614" s="80" t="n">
        <f aca="false">IF(AND(J1614&lt;&gt;"",K1614&lt;&gt;""),J1614*K1614,"")</f>
        <v>725.19</v>
      </c>
      <c r="M1614" s="81" t="n">
        <f aca="false">IF(L1614&lt;&gt;"",L1614*1.1,"")</f>
        <v>797.709</v>
      </c>
      <c r="N1614" s="53" t="n">
        <f aca="false">IF(F1614="S",L1614*0.02,0)</f>
        <v>14.5038</v>
      </c>
      <c r="O1614" s="82" t="n">
        <f aca="false">IF(L1614&lt;&gt;"",L1614+N1614,"")</f>
        <v>739.6938</v>
      </c>
      <c r="P1614" s="53" t="n">
        <f aca="false">IF(O1614&lt;&gt;"",O1614*0.1,"")</f>
        <v>73.96938</v>
      </c>
      <c r="Q1614" s="83" t="n">
        <f aca="false">IF(O1614&lt;&gt;"",O1614+P1614,"")</f>
        <v>813.66318</v>
      </c>
      <c r="R1614" s="84" t="s">
        <v>358</v>
      </c>
    </row>
    <row r="1615" customFormat="false" ht="15" hidden="false" customHeight="true" outlineLevel="0" collapsed="false">
      <c r="A1615" s="103" t="n">
        <v>56323</v>
      </c>
      <c r="B1615" s="73" t="n">
        <v>46256</v>
      </c>
      <c r="C1615" s="86" t="s">
        <v>716</v>
      </c>
      <c r="D1615" s="87" t="n">
        <v>50001</v>
      </c>
      <c r="E1615" s="46" t="str">
        <f aca="false">IF(D1615&lt;&gt;"",IFERROR(VLOOKUP(D1615,PROVEEDORES!$A:$B,2,0),"!COD NO ENCONTRADO"),"")</f>
        <v>COPESA</v>
      </c>
      <c r="F1615" s="88" t="str">
        <f aca="false">IF(D1615&lt;&gt;"",IFERROR(VLOOKUP(D1615,PROVEEDORES!$A:$C,3,0),""),"")</f>
        <v>S</v>
      </c>
      <c r="G1615" s="87" t="s">
        <v>296</v>
      </c>
      <c r="H1615" s="46" t="str">
        <f aca="false">IF(G1615&lt;&gt;"",IFERROR(VLOOKUP(G1615,PRODUCTOS!$A:$B,2,0),"!COD NO ENCONTRADO"),"")</f>
        <v>RAPE NEGRO (ANK)</v>
      </c>
      <c r="I1615" s="89" t="n">
        <v>1</v>
      </c>
      <c r="J1615" s="90" t="n">
        <v>11</v>
      </c>
      <c r="K1615" s="91" t="n">
        <v>4.5</v>
      </c>
      <c r="L1615" s="80" t="n">
        <f aca="false">IF(AND(J1615&lt;&gt;"",K1615&lt;&gt;""),J1615*K1615,"")</f>
        <v>49.5</v>
      </c>
      <c r="M1615" s="81" t="n">
        <f aca="false">IF(L1615&lt;&gt;"",L1615*1.1,"")</f>
        <v>54.45</v>
      </c>
      <c r="N1615" s="47" t="n">
        <f aca="false">IF(F1615="S",L1615*0.02,0)</f>
        <v>0.99</v>
      </c>
      <c r="O1615" s="82" t="n">
        <f aca="false">IF(L1615&lt;&gt;"",L1615+N1615,"")</f>
        <v>50.49</v>
      </c>
      <c r="P1615" s="47" t="n">
        <f aca="false">IF(O1615&lt;&gt;"",O1615*0.1,"")</f>
        <v>5.049</v>
      </c>
      <c r="Q1615" s="83" t="n">
        <f aca="false">IF(O1615&lt;&gt;"",O1615+P1615,"")</f>
        <v>55.539</v>
      </c>
      <c r="R1615" s="84" t="s">
        <v>365</v>
      </c>
    </row>
    <row r="1616" customFormat="false" ht="15" hidden="false" customHeight="true" outlineLevel="0" collapsed="false">
      <c r="A1616" s="103" t="n">
        <v>56323</v>
      </c>
      <c r="B1616" s="73" t="n">
        <v>46256</v>
      </c>
      <c r="C1616" s="74" t="s">
        <v>716</v>
      </c>
      <c r="D1616" s="75" t="n">
        <v>50001</v>
      </c>
      <c r="E1616" s="52" t="str">
        <f aca="false">IF(D1616&lt;&gt;"",IFERROR(VLOOKUP(D1616,PROVEEDORES!$A:$B,2,0),"!COD NO ENCONTRADO"),"")</f>
        <v>COPESA</v>
      </c>
      <c r="F1616" s="76" t="str">
        <f aca="false">IF(D1616&lt;&gt;"",IFERROR(VLOOKUP(D1616,PROVEEDORES!$A:$C,3,0),""),"")</f>
        <v>S</v>
      </c>
      <c r="G1616" s="75" t="s">
        <v>276</v>
      </c>
      <c r="H1616" s="52" t="str">
        <f aca="false">IF(G1616&lt;&gt;"",IFERROR(VLOOKUP(G1616,PRODUCTOS!$A:$B,2,0),"!COD NO ENCONTRADO"),"")</f>
        <v>MERLUZA EUROPEA/ FINA DIA </v>
      </c>
      <c r="I1616" s="77" t="n">
        <v>8</v>
      </c>
      <c r="J1616" s="78" t="n">
        <v>50.75</v>
      </c>
      <c r="K1616" s="79" t="n">
        <v>2</v>
      </c>
      <c r="L1616" s="80" t="n">
        <f aca="false">IF(AND(J1616&lt;&gt;"",K1616&lt;&gt;""),J1616*K1616,"")</f>
        <v>101.5</v>
      </c>
      <c r="M1616" s="81" t="n">
        <f aca="false">IF(L1616&lt;&gt;"",L1616*1.1,"")</f>
        <v>111.65</v>
      </c>
      <c r="N1616" s="53" t="n">
        <f aca="false">IF(F1616="S",L1616*0.02,0)</f>
        <v>2.03</v>
      </c>
      <c r="O1616" s="82" t="n">
        <f aca="false">IF(L1616&lt;&gt;"",L1616+N1616,"")</f>
        <v>103.53</v>
      </c>
      <c r="P1616" s="53" t="n">
        <f aca="false">IF(O1616&lt;&gt;"",O1616*0.1,"")</f>
        <v>10.353</v>
      </c>
      <c r="Q1616" s="83" t="n">
        <f aca="false">IF(O1616&lt;&gt;"",O1616+P1616,"")</f>
        <v>113.883</v>
      </c>
      <c r="R1616" s="84" t="s">
        <v>365</v>
      </c>
    </row>
    <row r="1617" customFormat="false" ht="15" hidden="false" customHeight="true" outlineLevel="0" collapsed="false">
      <c r="A1617" s="103" t="n">
        <v>56323</v>
      </c>
      <c r="B1617" s="73" t="n">
        <v>46256</v>
      </c>
      <c r="C1617" s="86" t="s">
        <v>716</v>
      </c>
      <c r="D1617" s="87" t="n">
        <v>50001</v>
      </c>
      <c r="E1617" s="46" t="str">
        <f aca="false">IF(D1617&lt;&gt;"",IFERROR(VLOOKUP(D1617,PROVEEDORES!$A:$B,2,0),"!COD NO ENCONTRADO"),"")</f>
        <v>COPESA</v>
      </c>
      <c r="F1617" s="88" t="str">
        <f aca="false">IF(D1617&lt;&gt;"",IFERROR(VLOOKUP(D1617,PROVEEDORES!$A:$C,3,0),""),"")</f>
        <v>S</v>
      </c>
      <c r="G1617" s="87" t="s">
        <v>276</v>
      </c>
      <c r="H1617" s="46" t="str">
        <f aca="false">IF(G1617&lt;&gt;"",IFERROR(VLOOKUP(G1617,PRODUCTOS!$A:$B,2,0),"!COD NO ENCONTRADO"),"")</f>
        <v>MERLUZA EUROPEA/ FINA DIA </v>
      </c>
      <c r="I1617" s="89" t="n">
        <v>9</v>
      </c>
      <c r="J1617" s="90" t="n">
        <v>58.75</v>
      </c>
      <c r="K1617" s="91" t="n">
        <v>2</v>
      </c>
      <c r="L1617" s="80" t="n">
        <f aca="false">IF(AND(J1617&lt;&gt;"",K1617&lt;&gt;""),J1617*K1617,"")</f>
        <v>117.5</v>
      </c>
      <c r="M1617" s="81" t="n">
        <f aca="false">IF(L1617&lt;&gt;"",L1617*1.1,"")</f>
        <v>129.25</v>
      </c>
      <c r="N1617" s="47" t="n">
        <f aca="false">IF(F1617="S",L1617*0.02,0)</f>
        <v>2.35</v>
      </c>
      <c r="O1617" s="82" t="n">
        <f aca="false">IF(L1617&lt;&gt;"",L1617+N1617,"")</f>
        <v>119.85</v>
      </c>
      <c r="P1617" s="47" t="n">
        <f aca="false">IF(O1617&lt;&gt;"",O1617*0.1,"")</f>
        <v>11.985</v>
      </c>
      <c r="Q1617" s="83" t="n">
        <f aca="false">IF(O1617&lt;&gt;"",O1617+P1617,"")</f>
        <v>131.835</v>
      </c>
      <c r="R1617" s="84" t="s">
        <v>365</v>
      </c>
    </row>
    <row r="1618" customFormat="false" ht="15" hidden="false" customHeight="true" outlineLevel="0" collapsed="false">
      <c r="A1618" s="103" t="n">
        <v>56324</v>
      </c>
      <c r="B1618" s="73" t="n">
        <v>46256</v>
      </c>
      <c r="C1618" s="74" t="s">
        <v>717</v>
      </c>
      <c r="D1618" s="75" t="n">
        <v>50106</v>
      </c>
      <c r="E1618" s="52" t="str">
        <f aca="false">IF(D1618&lt;&gt;"",IFERROR(VLOOKUP(D1618,PROVEEDORES!$A:$B,2,0),"!COD NO ENCONTRADO"),"")</f>
        <v>SONIA VENTAS S.L</v>
      </c>
      <c r="F1618" s="76" t="str">
        <f aca="false">IF(D1618&lt;&gt;"",IFERROR(VLOOKUP(D1618,PROVEEDORES!$A:$C,3,0),""),"")</f>
        <v>S</v>
      </c>
      <c r="G1618" s="75" t="s">
        <v>288</v>
      </c>
      <c r="H1618" s="52" t="str">
        <f aca="false">IF(G1618&lt;&gt;"",IFERROR(VLOOKUP(G1618,PRODUCTOS!$A:$B,2,0),"!COD NO ENCONTRADO"),"")</f>
        <v>RAPE BLANCO DIA (MON)</v>
      </c>
      <c r="I1618" s="77" t="n">
        <v>2</v>
      </c>
      <c r="J1618" s="78" t="n">
        <v>7.85</v>
      </c>
      <c r="K1618" s="79" t="n">
        <v>6</v>
      </c>
      <c r="L1618" s="80" t="n">
        <f aca="false">IF(AND(J1618&lt;&gt;"",K1618&lt;&gt;""),J1618*K1618,"")</f>
        <v>47.1</v>
      </c>
      <c r="M1618" s="81" t="n">
        <f aca="false">IF(L1618&lt;&gt;"",L1618*1.1,"")</f>
        <v>51.81</v>
      </c>
      <c r="N1618" s="53" t="n">
        <f aca="false">IF(F1618="S",L1618*0.02,0)</f>
        <v>0.942</v>
      </c>
      <c r="O1618" s="82" t="n">
        <f aca="false">IF(L1618&lt;&gt;"",L1618+N1618,"")</f>
        <v>48.042</v>
      </c>
      <c r="P1618" s="53" t="n">
        <f aca="false">IF(O1618&lt;&gt;"",O1618*0.1,"")</f>
        <v>4.8042</v>
      </c>
      <c r="Q1618" s="83" t="n">
        <f aca="false">IF(O1618&lt;&gt;"",O1618+P1618,"")</f>
        <v>52.8462</v>
      </c>
      <c r="R1618" s="84" t="s">
        <v>358</v>
      </c>
    </row>
    <row r="1619" customFormat="false" ht="15" hidden="false" customHeight="true" outlineLevel="0" collapsed="false">
      <c r="A1619" s="103" t="n">
        <v>56324</v>
      </c>
      <c r="B1619" s="73" t="n">
        <v>46256</v>
      </c>
      <c r="C1619" s="74" t="s">
        <v>717</v>
      </c>
      <c r="D1619" s="75" t="n">
        <v>50106</v>
      </c>
      <c r="E1619" s="52" t="str">
        <f aca="false">IF(D1619&lt;&gt;"",IFERROR(VLOOKUP(D1619,PROVEEDORES!$A:$B,2,0),"!COD NO ENCONTRADO"),"")</f>
        <v>SONIA VENTAS S.L</v>
      </c>
      <c r="F1619" s="76" t="str">
        <f aca="false">IF(D1619&lt;&gt;"",IFERROR(VLOOKUP(D1619,PROVEEDORES!$A:$C,3,0),""),"")</f>
        <v>S</v>
      </c>
      <c r="G1619" s="75" t="s">
        <v>288</v>
      </c>
      <c r="H1619" s="46" t="str">
        <f aca="false">IF(G1619&lt;&gt;"",IFERROR(VLOOKUP(G1619,PRODUCTOS!$A:$B,2,0),"!COD NO ENCONTRADO"),"")</f>
        <v>RAPE BLANCO DIA (MON)</v>
      </c>
      <c r="I1619" s="89" t="n">
        <v>8</v>
      </c>
      <c r="J1619" s="90" t="n">
        <v>30.45</v>
      </c>
      <c r="K1619" s="91" t="n">
        <v>7</v>
      </c>
      <c r="L1619" s="80" t="n">
        <f aca="false">IF(AND(J1619&lt;&gt;"",K1619&lt;&gt;""),J1619*K1619,"")</f>
        <v>213.15</v>
      </c>
      <c r="M1619" s="81" t="n">
        <f aca="false">IF(L1619&lt;&gt;"",L1619*1.1,"")</f>
        <v>234.465</v>
      </c>
      <c r="N1619" s="47" t="n">
        <f aca="false">IF(F1619="S",L1619*0.02,0)</f>
        <v>4.263</v>
      </c>
      <c r="O1619" s="82" t="n">
        <f aca="false">IF(L1619&lt;&gt;"",L1619+N1619,"")</f>
        <v>217.413</v>
      </c>
      <c r="P1619" s="47" t="n">
        <f aca="false">IF(O1619&lt;&gt;"",O1619*0.1,"")</f>
        <v>21.7413</v>
      </c>
      <c r="Q1619" s="83" t="n">
        <f aca="false">IF(O1619&lt;&gt;"",O1619+P1619,"")</f>
        <v>239.1543</v>
      </c>
      <c r="R1619" s="84" t="s">
        <v>358</v>
      </c>
    </row>
    <row r="1620" customFormat="false" ht="15" hidden="false" customHeight="true" outlineLevel="0" collapsed="false">
      <c r="A1620" s="103" t="n">
        <v>56325</v>
      </c>
      <c r="B1620" s="73" t="n">
        <v>46256</v>
      </c>
      <c r="C1620" s="74" t="s">
        <v>718</v>
      </c>
      <c r="D1620" s="75" t="n">
        <v>50160</v>
      </c>
      <c r="E1620" s="52" t="str">
        <f aca="false">IF(D1620&lt;&gt;"",IFERROR(VLOOKUP(D1620,PROVEEDORES!$A:$B,2,0),"!COD NO ENCONTRADO"),"")</f>
        <v>SUBASTAS CORUÑA S.L.</v>
      </c>
      <c r="F1620" s="76" t="str">
        <f aca="false">IF(D1620&lt;&gt;"",IFERROR(VLOOKUP(D1620,PROVEEDORES!$A:$C,3,0),""),"")</f>
        <v>S</v>
      </c>
      <c r="G1620" s="75" t="s">
        <v>233</v>
      </c>
      <c r="H1620" s="52" t="str">
        <f aca="false">IF(G1620&lt;&gt;"",IFERROR(VLOOKUP(G1620,PRODUCTOS!$A:$B,2,0),"!COD NO ENCONTRADO"),"")</f>
        <v>MERLUZA EUROPEA VOLANTA COSTA</v>
      </c>
      <c r="I1620" s="77" t="n">
        <v>1</v>
      </c>
      <c r="J1620" s="105" t="n">
        <v>18</v>
      </c>
      <c r="K1620" s="125" t="n">
        <v>4.7</v>
      </c>
      <c r="L1620" s="80" t="n">
        <f aca="false">IF(AND(J1620&lt;&gt;"",K1620&lt;&gt;""),J1620*K1620,"")</f>
        <v>84.6</v>
      </c>
      <c r="M1620" s="81" t="n">
        <f aca="false">IF(L1620&lt;&gt;"",L1620*1.1,"")</f>
        <v>93.06</v>
      </c>
      <c r="N1620" s="53" t="n">
        <f aca="false">IF(F1620="S",L1620*0.02,0)</f>
        <v>1.692</v>
      </c>
      <c r="O1620" s="82" t="n">
        <f aca="false">IF(L1620&lt;&gt;"",L1620+N1620,"")</f>
        <v>86.292</v>
      </c>
      <c r="P1620" s="53" t="n">
        <f aca="false">IF(O1620&lt;&gt;"",O1620*0.1,"")</f>
        <v>8.6292</v>
      </c>
      <c r="Q1620" s="83" t="n">
        <f aca="false">IF(O1620&lt;&gt;"",O1620+P1620,"")</f>
        <v>94.9212</v>
      </c>
      <c r="R1620" s="84" t="s">
        <v>365</v>
      </c>
    </row>
    <row r="1621" customFormat="false" ht="15" hidden="false" customHeight="true" outlineLevel="0" collapsed="false">
      <c r="A1621" s="103" t="n">
        <v>56325</v>
      </c>
      <c r="B1621" s="73" t="n">
        <v>46256</v>
      </c>
      <c r="C1621" s="74" t="s">
        <v>718</v>
      </c>
      <c r="D1621" s="75" t="n">
        <v>50160</v>
      </c>
      <c r="E1621" s="52" t="str">
        <f aca="false">IF(D1621&lt;&gt;"",IFERROR(VLOOKUP(D1621,PROVEEDORES!$A:$B,2,0),"!COD NO ENCONTRADO"),"")</f>
        <v>SUBASTAS CORUÑA S.L.</v>
      </c>
      <c r="F1621" s="76" t="str">
        <f aca="false">IF(D1621&lt;&gt;"",IFERROR(VLOOKUP(D1621,PROVEEDORES!$A:$C,3,0),""),"")</f>
        <v>S</v>
      </c>
      <c r="G1621" s="75" t="s">
        <v>233</v>
      </c>
      <c r="H1621" s="46" t="str">
        <f aca="false">IF(G1621&lt;&gt;"",IFERROR(VLOOKUP(G1621,PRODUCTOS!$A:$B,2,0),"!COD NO ENCONTRADO"),"")</f>
        <v>MERLUZA EUROPEA VOLANTA COSTA</v>
      </c>
      <c r="I1621" s="89" t="n">
        <v>3</v>
      </c>
      <c r="J1621" s="105" t="n">
        <v>64.75</v>
      </c>
      <c r="K1621" s="125" t="n">
        <v>5.8</v>
      </c>
      <c r="L1621" s="80" t="n">
        <f aca="false">IF(AND(J1621&lt;&gt;"",K1621&lt;&gt;""),J1621*K1621,"")</f>
        <v>375.55</v>
      </c>
      <c r="M1621" s="81" t="n">
        <f aca="false">IF(L1621&lt;&gt;"",L1621*1.1,"")</f>
        <v>413.105</v>
      </c>
      <c r="N1621" s="47" t="n">
        <f aca="false">IF(F1621="S",L1621*0.02,0)</f>
        <v>7.511</v>
      </c>
      <c r="O1621" s="82" t="n">
        <f aca="false">IF(L1621&lt;&gt;"",L1621+N1621,"")</f>
        <v>383.061</v>
      </c>
      <c r="P1621" s="47" t="n">
        <f aca="false">IF(O1621&lt;&gt;"",O1621*0.1,"")</f>
        <v>38.3061</v>
      </c>
      <c r="Q1621" s="83" t="n">
        <f aca="false">IF(O1621&lt;&gt;"",O1621+P1621,"")</f>
        <v>421.3671</v>
      </c>
      <c r="R1621" s="84" t="s">
        <v>365</v>
      </c>
    </row>
    <row r="1622" customFormat="false" ht="15" hidden="false" customHeight="true" outlineLevel="0" collapsed="false">
      <c r="A1622" s="103" t="n">
        <v>56325</v>
      </c>
      <c r="B1622" s="73" t="n">
        <v>46256</v>
      </c>
      <c r="C1622" s="74" t="s">
        <v>718</v>
      </c>
      <c r="D1622" s="75" t="n">
        <v>50160</v>
      </c>
      <c r="E1622" s="52" t="str">
        <f aca="false">IF(D1622&lt;&gt;"",IFERROR(VLOOKUP(D1622,PROVEEDORES!$A:$B,2,0),"!COD NO ENCONTRADO"),"")</f>
        <v>SUBASTAS CORUÑA S.L.</v>
      </c>
      <c r="F1622" s="76" t="str">
        <f aca="false">IF(D1622&lt;&gt;"",IFERROR(VLOOKUP(D1622,PROVEEDORES!$A:$C,3,0),""),"")</f>
        <v>S</v>
      </c>
      <c r="G1622" s="75" t="s">
        <v>233</v>
      </c>
      <c r="H1622" s="52" t="str">
        <f aca="false">IF(G1622&lt;&gt;"",IFERROR(VLOOKUP(G1622,PRODUCTOS!$A:$B,2,0),"!COD NO ENCONTRADO"),"")</f>
        <v>MERLUZA EUROPEA VOLANTA COSTA</v>
      </c>
      <c r="I1622" s="77" t="n">
        <v>4</v>
      </c>
      <c r="J1622" s="105" t="n">
        <v>10.4</v>
      </c>
      <c r="K1622" s="125" t="n">
        <v>6.6</v>
      </c>
      <c r="L1622" s="80" t="n">
        <f aca="false">IF(AND(J1622&lt;&gt;"",K1622&lt;&gt;""),J1622*K1622,"")</f>
        <v>68.64</v>
      </c>
      <c r="M1622" s="81" t="n">
        <f aca="false">IF(L1622&lt;&gt;"",L1622*1.1,"")</f>
        <v>75.504</v>
      </c>
      <c r="N1622" s="53" t="n">
        <f aca="false">IF(F1622="S",L1622*0.02,0)</f>
        <v>1.3728</v>
      </c>
      <c r="O1622" s="82" t="n">
        <f aca="false">IF(L1622&lt;&gt;"",L1622+N1622,"")</f>
        <v>70.0128</v>
      </c>
      <c r="P1622" s="53" t="n">
        <f aca="false">IF(O1622&lt;&gt;"",O1622*0.1,"")</f>
        <v>7.00128</v>
      </c>
      <c r="Q1622" s="83" t="n">
        <f aca="false">IF(O1622&lt;&gt;"",O1622+P1622,"")</f>
        <v>77.01408</v>
      </c>
      <c r="R1622" s="84" t="s">
        <v>365</v>
      </c>
    </row>
    <row r="1623" customFormat="false" ht="15" hidden="false" customHeight="true" outlineLevel="0" collapsed="false">
      <c r="A1623" s="103" t="n">
        <v>56325</v>
      </c>
      <c r="B1623" s="73" t="n">
        <v>46256</v>
      </c>
      <c r="C1623" s="74" t="s">
        <v>718</v>
      </c>
      <c r="D1623" s="75" t="n">
        <v>50160</v>
      </c>
      <c r="E1623" s="52" t="str">
        <f aca="false">IF(D1623&lt;&gt;"",IFERROR(VLOOKUP(D1623,PROVEEDORES!$A:$B,2,0),"!COD NO ENCONTRADO"),"")</f>
        <v>SUBASTAS CORUÑA S.L.</v>
      </c>
      <c r="F1623" s="76" t="str">
        <f aca="false">IF(D1623&lt;&gt;"",IFERROR(VLOOKUP(D1623,PROVEEDORES!$A:$C,3,0),""),"")</f>
        <v>S</v>
      </c>
      <c r="G1623" s="75" t="s">
        <v>233</v>
      </c>
      <c r="H1623" s="46" t="str">
        <f aca="false">IF(G1623&lt;&gt;"",IFERROR(VLOOKUP(G1623,PRODUCTOS!$A:$B,2,0),"!COD NO ENCONTRADO"),"")</f>
        <v>MERLUZA EUROPEA VOLANTA COSTA</v>
      </c>
      <c r="I1623" s="89" t="n">
        <v>1</v>
      </c>
      <c r="J1623" s="105" t="n">
        <v>3.3</v>
      </c>
      <c r="K1623" s="125" t="n">
        <v>8</v>
      </c>
      <c r="L1623" s="80" t="n">
        <f aca="false">IF(AND(J1623&lt;&gt;"",K1623&lt;&gt;""),J1623*K1623,"")</f>
        <v>26.4</v>
      </c>
      <c r="M1623" s="81" t="n">
        <f aca="false">IF(L1623&lt;&gt;"",L1623*1.1,"")</f>
        <v>29.04</v>
      </c>
      <c r="N1623" s="47" t="n">
        <f aca="false">IF(F1623="S",L1623*0.02,0)</f>
        <v>0.528</v>
      </c>
      <c r="O1623" s="82" t="n">
        <f aca="false">IF(L1623&lt;&gt;"",L1623+N1623,"")</f>
        <v>26.928</v>
      </c>
      <c r="P1623" s="47" t="n">
        <f aca="false">IF(O1623&lt;&gt;"",O1623*0.1,"")</f>
        <v>2.6928</v>
      </c>
      <c r="Q1623" s="83" t="n">
        <f aca="false">IF(O1623&lt;&gt;"",O1623+P1623,"")</f>
        <v>29.6208</v>
      </c>
      <c r="R1623" s="84" t="s">
        <v>365</v>
      </c>
    </row>
    <row r="1624" customFormat="false" ht="15" hidden="false" customHeight="true" outlineLevel="0" collapsed="false">
      <c r="A1624" s="103" t="n">
        <v>56325</v>
      </c>
      <c r="B1624" s="73" t="n">
        <v>46256</v>
      </c>
      <c r="C1624" s="74" t="s">
        <v>718</v>
      </c>
      <c r="D1624" s="75" t="n">
        <v>50160</v>
      </c>
      <c r="E1624" s="52" t="str">
        <f aca="false">IF(D1624&lt;&gt;"",IFERROR(VLOOKUP(D1624,PROVEEDORES!$A:$B,2,0),"!COD NO ENCONTRADO"),"")</f>
        <v>SUBASTAS CORUÑA S.L.</v>
      </c>
      <c r="F1624" s="76" t="str">
        <f aca="false">IF(D1624&lt;&gt;"",IFERROR(VLOOKUP(D1624,PROVEEDORES!$A:$C,3,0),""),"")</f>
        <v>S</v>
      </c>
      <c r="G1624" s="75" t="s">
        <v>233</v>
      </c>
      <c r="H1624" s="52" t="str">
        <f aca="false">IF(G1624&lt;&gt;"",IFERROR(VLOOKUP(G1624,PRODUCTOS!$A:$B,2,0),"!COD NO ENCONTRADO"),"")</f>
        <v>MERLUZA EUROPEA VOLANTA COSTA</v>
      </c>
      <c r="I1624" s="77" t="n">
        <v>2</v>
      </c>
      <c r="J1624" s="105" t="n">
        <v>5.1</v>
      </c>
      <c r="K1624" s="125" t="n">
        <v>7.4</v>
      </c>
      <c r="L1624" s="80" t="n">
        <f aca="false">IF(AND(J1624&lt;&gt;"",K1624&lt;&gt;""),J1624*K1624,"")</f>
        <v>37.74</v>
      </c>
      <c r="M1624" s="81" t="n">
        <f aca="false">IF(L1624&lt;&gt;"",L1624*1.1,"")</f>
        <v>41.514</v>
      </c>
      <c r="N1624" s="53" t="n">
        <f aca="false">IF(F1624="S",L1624*0.02,0)</f>
        <v>0.7548</v>
      </c>
      <c r="O1624" s="82" t="n">
        <f aca="false">IF(L1624&lt;&gt;"",L1624+N1624,"")</f>
        <v>38.4948</v>
      </c>
      <c r="P1624" s="53" t="n">
        <f aca="false">IF(O1624&lt;&gt;"",O1624*0.1,"")</f>
        <v>3.84948</v>
      </c>
      <c r="Q1624" s="83" t="n">
        <f aca="false">IF(O1624&lt;&gt;"",O1624+P1624,"")</f>
        <v>42.34428</v>
      </c>
      <c r="R1624" s="84" t="s">
        <v>365</v>
      </c>
    </row>
    <row r="1625" customFormat="false" ht="15" hidden="false" customHeight="true" outlineLevel="0" collapsed="false">
      <c r="A1625" s="103" t="n">
        <v>56325</v>
      </c>
      <c r="B1625" s="73" t="n">
        <v>46256</v>
      </c>
      <c r="C1625" s="74" t="s">
        <v>718</v>
      </c>
      <c r="D1625" s="75" t="n">
        <v>50160</v>
      </c>
      <c r="E1625" s="52" t="str">
        <f aca="false">IF(D1625&lt;&gt;"",IFERROR(VLOOKUP(D1625,PROVEEDORES!$A:$B,2,0),"!COD NO ENCONTRADO"),"")</f>
        <v>SUBASTAS CORUÑA S.L.</v>
      </c>
      <c r="F1625" s="76" t="str">
        <f aca="false">IF(D1625&lt;&gt;"",IFERROR(VLOOKUP(D1625,PROVEEDORES!$A:$C,3,0),""),"")</f>
        <v>S</v>
      </c>
      <c r="G1625" s="75" t="s">
        <v>233</v>
      </c>
      <c r="H1625" s="46" t="str">
        <f aca="false">IF(G1625&lt;&gt;"",IFERROR(VLOOKUP(G1625,PRODUCTOS!$A:$B,2,0),"!COD NO ENCONTRADO"),"")</f>
        <v>MERLUZA EUROPEA VOLANTA COSTA</v>
      </c>
      <c r="I1625" s="89" t="n">
        <v>5</v>
      </c>
      <c r="J1625" s="105" t="n">
        <v>15.4</v>
      </c>
      <c r="K1625" s="125" t="n">
        <v>7.4</v>
      </c>
      <c r="L1625" s="80" t="n">
        <f aca="false">IF(AND(J1625&lt;&gt;"",K1625&lt;&gt;""),J1625*K1625,"")</f>
        <v>113.96</v>
      </c>
      <c r="M1625" s="81" t="n">
        <f aca="false">IF(L1625&lt;&gt;"",L1625*1.1,"")</f>
        <v>125.356</v>
      </c>
      <c r="N1625" s="47" t="n">
        <f aca="false">IF(F1625="S",L1625*0.02,0)</f>
        <v>2.2792</v>
      </c>
      <c r="O1625" s="82" t="n">
        <f aca="false">IF(L1625&lt;&gt;"",L1625+N1625,"")</f>
        <v>116.2392</v>
      </c>
      <c r="P1625" s="47" t="n">
        <f aca="false">IF(O1625&lt;&gt;"",O1625*0.1,"")</f>
        <v>11.62392</v>
      </c>
      <c r="Q1625" s="83" t="n">
        <f aca="false">IF(O1625&lt;&gt;"",O1625+P1625,"")</f>
        <v>127.86312</v>
      </c>
      <c r="R1625" s="84" t="s">
        <v>365</v>
      </c>
    </row>
    <row r="1626" customFormat="false" ht="15" hidden="false" customHeight="true" outlineLevel="0" collapsed="false">
      <c r="A1626" s="103" t="n">
        <v>56325</v>
      </c>
      <c r="B1626" s="73" t="n">
        <v>46256</v>
      </c>
      <c r="C1626" s="74" t="s">
        <v>718</v>
      </c>
      <c r="D1626" s="75" t="n">
        <v>50160</v>
      </c>
      <c r="E1626" s="52" t="str">
        <f aca="false">IF(D1626&lt;&gt;"",IFERROR(VLOOKUP(D1626,PROVEEDORES!$A:$B,2,0),"!COD NO ENCONTRADO"),"")</f>
        <v>SUBASTAS CORUÑA S.L.</v>
      </c>
      <c r="F1626" s="76" t="str">
        <f aca="false">IF(D1626&lt;&gt;"",IFERROR(VLOOKUP(D1626,PROVEEDORES!$A:$C,3,0),""),"")</f>
        <v>S</v>
      </c>
      <c r="G1626" s="75" t="s">
        <v>233</v>
      </c>
      <c r="H1626" s="52" t="str">
        <f aca="false">IF(G1626&lt;&gt;"",IFERROR(VLOOKUP(G1626,PRODUCTOS!$A:$B,2,0),"!COD NO ENCONTRADO"),"")</f>
        <v>MERLUZA EUROPEA VOLANTA COSTA</v>
      </c>
      <c r="I1626" s="77" t="n">
        <v>1</v>
      </c>
      <c r="J1626" s="105" t="n">
        <v>3.7</v>
      </c>
      <c r="K1626" s="125" t="n">
        <v>7.5</v>
      </c>
      <c r="L1626" s="80" t="n">
        <f aca="false">IF(AND(J1626&lt;&gt;"",K1626&lt;&gt;""),J1626*K1626,"")</f>
        <v>27.75</v>
      </c>
      <c r="M1626" s="81" t="n">
        <f aca="false">IF(L1626&lt;&gt;"",L1626*1.1,"")</f>
        <v>30.525</v>
      </c>
      <c r="N1626" s="53" t="n">
        <f aca="false">IF(F1626="S",L1626*0.02,0)</f>
        <v>0.555</v>
      </c>
      <c r="O1626" s="82" t="n">
        <f aca="false">IF(L1626&lt;&gt;"",L1626+N1626,"")</f>
        <v>28.305</v>
      </c>
      <c r="P1626" s="53" t="n">
        <f aca="false">IF(O1626&lt;&gt;"",O1626*0.1,"")</f>
        <v>2.8305</v>
      </c>
      <c r="Q1626" s="83" t="n">
        <f aca="false">IF(O1626&lt;&gt;"",O1626+P1626,"")</f>
        <v>31.1355</v>
      </c>
      <c r="R1626" s="84" t="s">
        <v>365</v>
      </c>
    </row>
    <row r="1627" customFormat="false" ht="15" hidden="false" customHeight="true" outlineLevel="0" collapsed="false">
      <c r="A1627" s="103" t="n">
        <v>56326</v>
      </c>
      <c r="B1627" s="73" t="n">
        <v>46256</v>
      </c>
      <c r="C1627" s="86" t="s">
        <v>719</v>
      </c>
      <c r="D1627" s="87" t="n">
        <v>50163</v>
      </c>
      <c r="E1627" s="46" t="str">
        <f aca="false">IF(D1627&lt;&gt;"",IFERROR(VLOOKUP(D1627,PROVEEDORES!$A:$B,2,0),"!COD NO ENCONTRADO"),"")</f>
        <v>SUBASTAS RIVERA S.L.</v>
      </c>
      <c r="F1627" s="88" t="str">
        <f aca="false">IF(D1627&lt;&gt;"",IFERROR(VLOOKUP(D1627,PROVEEDORES!$A:$C,3,0),""),"")</f>
        <v>S</v>
      </c>
      <c r="G1627" s="87" t="s">
        <v>135</v>
      </c>
      <c r="H1627" s="46" t="str">
        <f aca="false">IF(G1627&lt;&gt;"",IFERROR(VLOOKUP(G1627,PRODUCTOS!$A:$B,2,0),"!COD NO ENCONTRADO"),"")</f>
        <v>CONGRIO 10+  (COE)</v>
      </c>
      <c r="I1627" s="89" t="n">
        <v>1</v>
      </c>
      <c r="J1627" s="90" t="n">
        <v>13</v>
      </c>
      <c r="K1627" s="91" t="n">
        <v>4.2</v>
      </c>
      <c r="L1627" s="80" t="n">
        <f aca="false">IF(AND(J1627&lt;&gt;"",K1627&lt;&gt;""),J1627*K1627,"")</f>
        <v>54.6</v>
      </c>
      <c r="M1627" s="81" t="n">
        <f aca="false">IF(L1627&lt;&gt;"",L1627*1.1,"")</f>
        <v>60.06</v>
      </c>
      <c r="N1627" s="47" t="n">
        <f aca="false">IF(F1627="S",L1627*0.02,0)</f>
        <v>1.092</v>
      </c>
      <c r="O1627" s="82" t="n">
        <f aca="false">IF(L1627&lt;&gt;"",L1627+N1627,"")</f>
        <v>55.692</v>
      </c>
      <c r="P1627" s="47" t="n">
        <f aca="false">IF(O1627&lt;&gt;"",O1627*0.1,"")</f>
        <v>5.5692</v>
      </c>
      <c r="Q1627" s="83" t="n">
        <f aca="false">IF(O1627&lt;&gt;"",O1627+P1627,"")</f>
        <v>61.2612</v>
      </c>
      <c r="R1627" s="84" t="s">
        <v>358</v>
      </c>
    </row>
    <row r="1628" customFormat="false" ht="15" hidden="false" customHeight="true" outlineLevel="0" collapsed="false">
      <c r="A1628" s="103" t="n">
        <v>56326</v>
      </c>
      <c r="B1628" s="73" t="n">
        <v>46256</v>
      </c>
      <c r="C1628" s="86" t="s">
        <v>719</v>
      </c>
      <c r="D1628" s="87" t="n">
        <v>50163</v>
      </c>
      <c r="E1628" s="52" t="str">
        <f aca="false">IF(D1628&lt;&gt;"",IFERROR(VLOOKUP(D1628,PROVEEDORES!$A:$B,2,0),"!COD NO ENCONTRADO"),"")</f>
        <v>SUBASTAS RIVERA S.L.</v>
      </c>
      <c r="F1628" s="76" t="str">
        <f aca="false">IF(D1628&lt;&gt;"",IFERROR(VLOOKUP(D1628,PROVEEDORES!$A:$C,3,0),""),"")</f>
        <v>S</v>
      </c>
      <c r="G1628" s="75" t="s">
        <v>288</v>
      </c>
      <c r="H1628" s="52" t="str">
        <f aca="false">IF(G1628&lt;&gt;"",IFERROR(VLOOKUP(G1628,PRODUCTOS!$A:$B,2,0),"!COD NO ENCONTRADO"),"")</f>
        <v>RAPE BLANCO DIA (MON)</v>
      </c>
      <c r="I1628" s="77" t="n">
        <v>4</v>
      </c>
      <c r="J1628" s="78" t="n">
        <v>30.1</v>
      </c>
      <c r="K1628" s="79" t="n">
        <v>6.5</v>
      </c>
      <c r="L1628" s="80" t="n">
        <f aca="false">IF(AND(J1628&lt;&gt;"",K1628&lt;&gt;""),J1628*K1628,"")</f>
        <v>195.65</v>
      </c>
      <c r="M1628" s="81" t="n">
        <f aca="false">IF(L1628&lt;&gt;"",L1628*1.1,"")</f>
        <v>215.215</v>
      </c>
      <c r="N1628" s="53" t="n">
        <f aca="false">IF(F1628="S",L1628*0.02,0)</f>
        <v>3.913</v>
      </c>
      <c r="O1628" s="82" t="n">
        <f aca="false">IF(L1628&lt;&gt;"",L1628+N1628,"")</f>
        <v>199.563</v>
      </c>
      <c r="P1628" s="53" t="n">
        <f aca="false">IF(O1628&lt;&gt;"",O1628*0.1,"")</f>
        <v>19.9563</v>
      </c>
      <c r="Q1628" s="83" t="n">
        <f aca="false">IF(O1628&lt;&gt;"",O1628+P1628,"")</f>
        <v>219.5193</v>
      </c>
      <c r="R1628" s="84" t="s">
        <v>358</v>
      </c>
    </row>
    <row r="1629" customFormat="false" ht="15" hidden="false" customHeight="true" outlineLevel="0" collapsed="false">
      <c r="A1629" s="103" t="n">
        <v>56326</v>
      </c>
      <c r="B1629" s="73" t="n">
        <v>46256</v>
      </c>
      <c r="C1629" s="86" t="s">
        <v>719</v>
      </c>
      <c r="D1629" s="87" t="n">
        <v>50163</v>
      </c>
      <c r="E1629" s="46" t="str">
        <f aca="false">IF(D1629&lt;&gt;"",IFERROR(VLOOKUP(D1629,PROVEEDORES!$A:$B,2,0),"!COD NO ENCONTRADO"),"")</f>
        <v>SUBASTAS RIVERA S.L.</v>
      </c>
      <c r="F1629" s="88" t="str">
        <f aca="false">IF(D1629&lt;&gt;"",IFERROR(VLOOKUP(D1629,PROVEEDORES!$A:$C,3,0),""),"")</f>
        <v>S</v>
      </c>
      <c r="G1629" s="87" t="s">
        <v>288</v>
      </c>
      <c r="H1629" s="46" t="str">
        <f aca="false">IF(G1629&lt;&gt;"",IFERROR(VLOOKUP(G1629,PRODUCTOS!$A:$B,2,0),"!COD NO ENCONTRADO"),"")</f>
        <v>RAPE BLANCO DIA (MON)</v>
      </c>
      <c r="I1629" s="89" t="n">
        <v>1</v>
      </c>
      <c r="J1629" s="90" t="n">
        <v>6.25</v>
      </c>
      <c r="K1629" s="91" t="n">
        <v>7.3</v>
      </c>
      <c r="L1629" s="80" t="n">
        <f aca="false">IF(AND(J1629&lt;&gt;"",K1629&lt;&gt;""),J1629*K1629,"")</f>
        <v>45.625</v>
      </c>
      <c r="M1629" s="81" t="n">
        <f aca="false">IF(L1629&lt;&gt;"",L1629*1.1,"")</f>
        <v>50.1875</v>
      </c>
      <c r="N1629" s="47" t="n">
        <f aca="false">IF(F1629="S",L1629*0.02,0)</f>
        <v>0.9125</v>
      </c>
      <c r="O1629" s="82" t="n">
        <f aca="false">IF(L1629&lt;&gt;"",L1629+N1629,"")</f>
        <v>46.5375</v>
      </c>
      <c r="P1629" s="47" t="n">
        <f aca="false">IF(O1629&lt;&gt;"",O1629*0.1,"")</f>
        <v>4.65375</v>
      </c>
      <c r="Q1629" s="83" t="n">
        <f aca="false">IF(O1629&lt;&gt;"",O1629+P1629,"")</f>
        <v>51.19125</v>
      </c>
      <c r="R1629" s="84" t="s">
        <v>358</v>
      </c>
    </row>
    <row r="1630" customFormat="false" ht="15" hidden="false" customHeight="true" outlineLevel="0" collapsed="false">
      <c r="A1630" s="103" t="n">
        <v>56326</v>
      </c>
      <c r="B1630" s="73" t="n">
        <v>46256</v>
      </c>
      <c r="C1630" s="86" t="s">
        <v>719</v>
      </c>
      <c r="D1630" s="87" t="n">
        <v>50163</v>
      </c>
      <c r="E1630" s="52" t="str">
        <f aca="false">IF(D1630&lt;&gt;"",IFERROR(VLOOKUP(D1630,PROVEEDORES!$A:$B,2,0),"!COD NO ENCONTRADO"),"")</f>
        <v>SUBASTAS RIVERA S.L.</v>
      </c>
      <c r="F1630" s="76" t="str">
        <f aca="false">IF(D1630&lt;&gt;"",IFERROR(VLOOKUP(D1630,PROVEEDORES!$A:$C,3,0),""),"")</f>
        <v>S</v>
      </c>
      <c r="G1630" s="75" t="s">
        <v>288</v>
      </c>
      <c r="H1630" s="52" t="str">
        <f aca="false">IF(G1630&lt;&gt;"",IFERROR(VLOOKUP(G1630,PRODUCTOS!$A:$B,2,0),"!COD NO ENCONTRADO"),"")</f>
        <v>RAPE BLANCO DIA (MON)</v>
      </c>
      <c r="I1630" s="77" t="n">
        <v>2</v>
      </c>
      <c r="J1630" s="78" t="n">
        <v>19</v>
      </c>
      <c r="K1630" s="79" t="n">
        <v>8.4</v>
      </c>
      <c r="L1630" s="80" t="n">
        <f aca="false">IF(AND(J1630&lt;&gt;"",K1630&lt;&gt;""),J1630*K1630,"")</f>
        <v>159.6</v>
      </c>
      <c r="M1630" s="81" t="n">
        <f aca="false">IF(L1630&lt;&gt;"",L1630*1.1,"")</f>
        <v>175.56</v>
      </c>
      <c r="N1630" s="53" t="n">
        <f aca="false">IF(F1630="S",L1630*0.02,0)</f>
        <v>3.192</v>
      </c>
      <c r="O1630" s="82" t="n">
        <f aca="false">IF(L1630&lt;&gt;"",L1630+N1630,"")</f>
        <v>162.792</v>
      </c>
      <c r="P1630" s="53" t="n">
        <f aca="false">IF(O1630&lt;&gt;"",O1630*0.1,"")</f>
        <v>16.2792</v>
      </c>
      <c r="Q1630" s="83" t="n">
        <f aca="false">IF(O1630&lt;&gt;"",O1630+P1630,"")</f>
        <v>179.0712</v>
      </c>
      <c r="R1630" s="84" t="s">
        <v>358</v>
      </c>
    </row>
    <row r="1631" customFormat="false" ht="15" hidden="false" customHeight="true" outlineLevel="0" collapsed="false">
      <c r="A1631" s="103" t="n">
        <v>56326</v>
      </c>
      <c r="B1631" s="73" t="n">
        <v>46256</v>
      </c>
      <c r="C1631" s="86" t="s">
        <v>719</v>
      </c>
      <c r="D1631" s="87" t="n">
        <v>50163</v>
      </c>
      <c r="E1631" s="46" t="str">
        <f aca="false">IF(D1631&lt;&gt;"",IFERROR(VLOOKUP(D1631,PROVEEDORES!$A:$B,2,0),"!COD NO ENCONTRADO"),"")</f>
        <v>SUBASTAS RIVERA S.L.</v>
      </c>
      <c r="F1631" s="88" t="str">
        <f aca="false">IF(D1631&lt;&gt;"",IFERROR(VLOOKUP(D1631,PROVEEDORES!$A:$C,3,0),""),"")</f>
        <v>S</v>
      </c>
      <c r="G1631" s="87" t="s">
        <v>227</v>
      </c>
      <c r="H1631" s="46" t="str">
        <f aca="false">IF(G1631&lt;&gt;"",IFERROR(VLOOKUP(G1631,PRODUCTOS!$A:$B,2,0),"!COD NO ENCONTRADO"),"")</f>
        <v>MERLUZA EUROPEA PINCHO COSTA 1,5/2</v>
      </c>
      <c r="I1631" s="89" t="n">
        <v>1</v>
      </c>
      <c r="J1631" s="90" t="n">
        <v>14.5</v>
      </c>
      <c r="K1631" s="91" t="n">
        <v>8.2</v>
      </c>
      <c r="L1631" s="80" t="n">
        <f aca="false">IF(AND(J1631&lt;&gt;"",K1631&lt;&gt;""),J1631*K1631,"")</f>
        <v>118.9</v>
      </c>
      <c r="M1631" s="81" t="n">
        <f aca="false">IF(L1631&lt;&gt;"",L1631*1.1,"")</f>
        <v>130.79</v>
      </c>
      <c r="N1631" s="47" t="n">
        <f aca="false">IF(F1631="S",L1631*0.02,0)</f>
        <v>2.378</v>
      </c>
      <c r="O1631" s="82" t="n">
        <f aca="false">IF(L1631&lt;&gt;"",L1631+N1631,"")</f>
        <v>121.278</v>
      </c>
      <c r="P1631" s="47" t="n">
        <f aca="false">IF(O1631&lt;&gt;"",O1631*0.1,"")</f>
        <v>12.1278</v>
      </c>
      <c r="Q1631" s="83" t="n">
        <f aca="false">IF(O1631&lt;&gt;"",O1631+P1631,"")</f>
        <v>133.4058</v>
      </c>
      <c r="R1631" s="84" t="s">
        <v>358</v>
      </c>
    </row>
    <row r="1632" customFormat="false" ht="15" hidden="false" customHeight="true" outlineLevel="0" collapsed="false">
      <c r="A1632" s="103" t="n">
        <v>56327</v>
      </c>
      <c r="B1632" s="73" t="n">
        <v>46258</v>
      </c>
      <c r="C1632" s="74" t="s">
        <v>720</v>
      </c>
      <c r="D1632" s="75" t="n">
        <v>50509</v>
      </c>
      <c r="E1632" s="52" t="str">
        <f aca="false">IF(D1632&lt;&gt;"",IFERROR(VLOOKUP(D1632,PROVEEDORES!$A:$B,2,0),"!COD NO ENCONTRADO"),"")</f>
        <v>AZORFISK UNIPERSONAL LDA</v>
      </c>
      <c r="F1632" s="76" t="str">
        <f aca="false">IF(D1632&lt;&gt;"",IFERROR(VLOOKUP(D1632,PROVEEDORES!$A:$C,3,0),""),"")</f>
        <v>N</v>
      </c>
      <c r="G1632" s="75" t="s">
        <v>83</v>
      </c>
      <c r="H1632" s="52" t="str">
        <f aca="false">IF(G1632&lt;&gt;"",IFERROR(VLOOKUP(G1632,PRODUCTOS!$A:$B,2,0),"!COD NO ENCONTRADO"),"")</f>
        <v>BESUGO (BSR)</v>
      </c>
      <c r="I1632" s="77" t="n">
        <v>3</v>
      </c>
      <c r="J1632" s="78" t="n">
        <v>24.4</v>
      </c>
      <c r="K1632" s="79" t="n">
        <v>24.3</v>
      </c>
      <c r="L1632" s="80" t="n">
        <f aca="false">IF(AND(J1632&lt;&gt;"",K1632&lt;&gt;""),J1632*K1632,"")</f>
        <v>592.92</v>
      </c>
      <c r="M1632" s="81" t="n">
        <f aca="false">IF(L1632&lt;&gt;"",L1632*1.1,"")</f>
        <v>652.212</v>
      </c>
      <c r="N1632" s="53" t="n">
        <f aca="false">IF(F1632="S",L1632*0.02,0)</f>
        <v>0</v>
      </c>
      <c r="O1632" s="82" t="n">
        <f aca="false">IF(L1632&lt;&gt;"",L1632+N1632,"")</f>
        <v>592.92</v>
      </c>
      <c r="P1632" s="53" t="n">
        <f aca="false">IF(O1632&lt;&gt;"",O1632*0.1,"")</f>
        <v>59.292</v>
      </c>
      <c r="Q1632" s="83" t="n">
        <f aca="false">IF(O1632&lt;&gt;"",O1632+P1632,"")</f>
        <v>652.212</v>
      </c>
      <c r="R1632" s="84" t="s">
        <v>365</v>
      </c>
    </row>
    <row r="1633" customFormat="false" ht="15" hidden="false" customHeight="true" outlineLevel="0" collapsed="false">
      <c r="A1633" s="103" t="n">
        <v>56328</v>
      </c>
      <c r="B1633" s="85" t="n">
        <v>46258</v>
      </c>
      <c r="C1633" s="86" t="s">
        <v>721</v>
      </c>
      <c r="D1633" s="87" t="n">
        <v>50048</v>
      </c>
      <c r="E1633" s="46" t="str">
        <f aca="false">IF(D1633&lt;&gt;"",IFERROR(VLOOKUP(D1633,PROVEEDORES!$A:$B,2,0),"!COD NO ENCONTRADO"),"")</f>
        <v>JOSE LUIS CORREA KESSLER S.L.</v>
      </c>
      <c r="F1633" s="88" t="str">
        <f aca="false">IF(D1633&lt;&gt;"",IFERROR(VLOOKUP(D1633,PROVEEDORES!$A:$C,3,0),""),"")</f>
        <v>N</v>
      </c>
      <c r="G1633" s="87" t="s">
        <v>179</v>
      </c>
      <c r="H1633" s="46" t="str">
        <f aca="false">IF(G1633&lt;&gt;"",IFERROR(VLOOKUP(G1633,PRODUCTOS!$A:$B,2,0),"!COD NO ENCONTRADO"),"")</f>
        <v>LIRIO/ BACALADILLA/ PERLA (WHB)</v>
      </c>
      <c r="I1633" s="89" t="n">
        <v>20</v>
      </c>
      <c r="J1633" s="90" t="n">
        <v>120</v>
      </c>
      <c r="K1633" s="125" t="n">
        <v>2.2</v>
      </c>
      <c r="L1633" s="80" t="n">
        <f aca="false">IF(AND(J1633&lt;&gt;"",K1633&lt;&gt;""),J1633*K1633,"")</f>
        <v>264</v>
      </c>
      <c r="M1633" s="81" t="n">
        <f aca="false">IF(L1633&lt;&gt;"",L1633*1.1,"")</f>
        <v>290.4</v>
      </c>
      <c r="N1633" s="47" t="n">
        <f aca="false">IF(F1633="S",L1633*0.02,0)</f>
        <v>0</v>
      </c>
      <c r="O1633" s="82" t="n">
        <f aca="false">IF(L1633&lt;&gt;"",L1633+N1633,"")</f>
        <v>264</v>
      </c>
      <c r="P1633" s="47" t="n">
        <f aca="false">IF(O1633&lt;&gt;"",O1633*0.1,"")</f>
        <v>26.4</v>
      </c>
      <c r="Q1633" s="83" t="n">
        <f aca="false">IF(O1633&lt;&gt;"",O1633+P1633,"")</f>
        <v>290.4</v>
      </c>
      <c r="R1633" s="84" t="s">
        <v>365</v>
      </c>
    </row>
    <row r="1634" customFormat="false" ht="15" hidden="false" customHeight="true" outlineLevel="0" collapsed="false">
      <c r="A1634" s="103" t="n">
        <v>56328</v>
      </c>
      <c r="B1634" s="73" t="n">
        <v>46258</v>
      </c>
      <c r="C1634" s="74" t="s">
        <v>722</v>
      </c>
      <c r="D1634" s="75" t="n">
        <v>50048</v>
      </c>
      <c r="E1634" s="52" t="str">
        <f aca="false">IF(D1634&lt;&gt;"",IFERROR(VLOOKUP(D1634,PROVEEDORES!$A:$B,2,0),"!COD NO ENCONTRADO"),"")</f>
        <v>JOSE LUIS CORREA KESSLER S.L.</v>
      </c>
      <c r="F1634" s="76" t="str">
        <f aca="false">IF(D1634&lt;&gt;"",IFERROR(VLOOKUP(D1634,PROVEEDORES!$A:$C,3,0),""),"")</f>
        <v>N</v>
      </c>
      <c r="G1634" s="75" t="s">
        <v>179</v>
      </c>
      <c r="H1634" s="52" t="str">
        <f aca="false">IF(G1634&lt;&gt;"",IFERROR(VLOOKUP(G1634,PRODUCTOS!$A:$B,2,0),"!COD NO ENCONTRADO"),"")</f>
        <v>LIRIO/ BACALADILLA/ PERLA (WHB)</v>
      </c>
      <c r="I1634" s="77" t="n">
        <v>8</v>
      </c>
      <c r="J1634" s="78" t="n">
        <v>48</v>
      </c>
      <c r="K1634" s="125" t="n">
        <v>1.95</v>
      </c>
      <c r="L1634" s="80" t="n">
        <f aca="false">IF(AND(J1634&lt;&gt;"",K1634&lt;&gt;""),J1634*K1634,"")</f>
        <v>93.6</v>
      </c>
      <c r="M1634" s="81" t="n">
        <f aca="false">IF(L1634&lt;&gt;"",L1634*1.1,"")</f>
        <v>102.96</v>
      </c>
      <c r="N1634" s="53" t="n">
        <f aca="false">IF(F1634="S",L1634*0.02,0)</f>
        <v>0</v>
      </c>
      <c r="O1634" s="82" t="n">
        <f aca="false">IF(L1634&lt;&gt;"",L1634+N1634,"")</f>
        <v>93.6</v>
      </c>
      <c r="P1634" s="53" t="n">
        <f aca="false">IF(O1634&lt;&gt;"",O1634*0.1,"")</f>
        <v>9.36</v>
      </c>
      <c r="Q1634" s="83" t="n">
        <f aca="false">IF(O1634&lt;&gt;"",O1634+P1634,"")</f>
        <v>102.96</v>
      </c>
      <c r="R1634" s="84" t="s">
        <v>365</v>
      </c>
    </row>
    <row r="1635" customFormat="false" ht="15" hidden="false" customHeight="true" outlineLevel="0" collapsed="false">
      <c r="A1635" s="103" t="n">
        <v>56328</v>
      </c>
      <c r="B1635" s="73" t="n">
        <v>46258</v>
      </c>
      <c r="C1635" s="86" t="s">
        <v>723</v>
      </c>
      <c r="D1635" s="87" t="n">
        <v>50048</v>
      </c>
      <c r="E1635" s="46" t="str">
        <f aca="false">IF(D1635&lt;&gt;"",IFERROR(VLOOKUP(D1635,PROVEEDORES!$A:$B,2,0),"!COD NO ENCONTRADO"),"")</f>
        <v>JOSE LUIS CORREA KESSLER S.L.</v>
      </c>
      <c r="F1635" s="88" t="str">
        <f aca="false">IF(D1635&lt;&gt;"",IFERROR(VLOOKUP(D1635,PROVEEDORES!$A:$C,3,0),""),"")</f>
        <v>N</v>
      </c>
      <c r="G1635" s="87" t="s">
        <v>179</v>
      </c>
      <c r="H1635" s="46" t="str">
        <f aca="false">IF(G1635&lt;&gt;"",IFERROR(VLOOKUP(G1635,PRODUCTOS!$A:$B,2,0),"!COD NO ENCONTRADO"),"")</f>
        <v>LIRIO/ BACALADILLA/ PERLA (WHB)</v>
      </c>
      <c r="I1635" s="89" t="n">
        <v>10</v>
      </c>
      <c r="J1635" s="90" t="n">
        <v>60</v>
      </c>
      <c r="K1635" s="125" t="n">
        <v>1.95</v>
      </c>
      <c r="L1635" s="80" t="n">
        <f aca="false">IF(AND(J1635&lt;&gt;"",K1635&lt;&gt;""),J1635*K1635,"")</f>
        <v>117</v>
      </c>
      <c r="M1635" s="81" t="n">
        <f aca="false">IF(L1635&lt;&gt;"",L1635*1.1,"")</f>
        <v>128.7</v>
      </c>
      <c r="N1635" s="47" t="n">
        <f aca="false">IF(F1635="S",L1635*0.02,0)</f>
        <v>0</v>
      </c>
      <c r="O1635" s="82" t="n">
        <f aca="false">IF(L1635&lt;&gt;"",L1635+N1635,"")</f>
        <v>117</v>
      </c>
      <c r="P1635" s="47" t="n">
        <f aca="false">IF(O1635&lt;&gt;"",O1635*0.1,"")</f>
        <v>11.7</v>
      </c>
      <c r="Q1635" s="83" t="n">
        <f aca="false">IF(O1635&lt;&gt;"",O1635+P1635,"")</f>
        <v>128.7</v>
      </c>
      <c r="R1635" s="84" t="s">
        <v>365</v>
      </c>
    </row>
    <row r="1636" customFormat="false" ht="15" hidden="false" customHeight="true" outlineLevel="0" collapsed="false">
      <c r="A1636" s="103" t="n">
        <v>56329</v>
      </c>
      <c r="B1636" s="85" t="n">
        <v>46258</v>
      </c>
      <c r="C1636" s="86" t="s">
        <v>724</v>
      </c>
      <c r="D1636" s="87" t="n">
        <v>50146</v>
      </c>
      <c r="E1636" s="46" t="str">
        <f aca="false">IF(D1636&lt;&gt;"",IFERROR(VLOOKUP(D1636,PROVEEDORES!$A:$B,2,0),"!COD NO ENCONTRADO"),"")</f>
        <v>MAR BERMEO S.L.</v>
      </c>
      <c r="F1636" s="88" t="str">
        <f aca="false">IF(D1636&lt;&gt;"",IFERROR(VLOOKUP(D1636,PROVEEDORES!$A:$C,3,0),""),"")</f>
        <v>S</v>
      </c>
      <c r="G1636" s="87" t="s">
        <v>135</v>
      </c>
      <c r="H1636" s="46" t="str">
        <f aca="false">IF(G1636&lt;&gt;"",IFERROR(VLOOKUP(G1636,PRODUCTOS!$A:$B,2,0),"!COD NO ENCONTRADO"),"")</f>
        <v>CONGRIO 10+  (COE)</v>
      </c>
      <c r="I1636" s="89" t="n">
        <v>1</v>
      </c>
      <c r="J1636" s="90" t="n">
        <v>23</v>
      </c>
      <c r="K1636" s="91" t="n">
        <v>3</v>
      </c>
      <c r="L1636" s="80" t="n">
        <f aca="false">IF(AND(J1636&lt;&gt;"",K1636&lt;&gt;""),J1636*K1636,"")</f>
        <v>69</v>
      </c>
      <c r="M1636" s="81" t="n">
        <f aca="false">IF(L1636&lt;&gt;"",L1636*1.1,"")</f>
        <v>75.9</v>
      </c>
      <c r="N1636" s="47" t="n">
        <f aca="false">IF(F1636="S",L1636*0.02,0)</f>
        <v>1.38</v>
      </c>
      <c r="O1636" s="82" t="n">
        <f aca="false">IF(L1636&lt;&gt;"",L1636+N1636,"")</f>
        <v>70.38</v>
      </c>
      <c r="P1636" s="47" t="n">
        <f aca="false">IF(O1636&lt;&gt;"",O1636*0.1,"")</f>
        <v>7.038</v>
      </c>
      <c r="Q1636" s="83" t="n">
        <f aca="false">IF(O1636&lt;&gt;"",O1636+P1636,"")</f>
        <v>77.418</v>
      </c>
      <c r="R1636" s="84" t="s">
        <v>365</v>
      </c>
    </row>
    <row r="1637" customFormat="false" ht="15" hidden="false" customHeight="true" outlineLevel="0" collapsed="false">
      <c r="A1637" s="103" t="n">
        <v>56329</v>
      </c>
      <c r="B1637" s="85" t="n">
        <v>46258</v>
      </c>
      <c r="C1637" s="86" t="s">
        <v>724</v>
      </c>
      <c r="D1637" s="87" t="n">
        <v>50146</v>
      </c>
      <c r="E1637" s="46" t="str">
        <f aca="false">IF(D1637&lt;&gt;"",IFERROR(VLOOKUP(D1637,PROVEEDORES!$A:$B,2,0),"!COD NO ENCONTRADO"),"")</f>
        <v>MAR BERMEO S.L.</v>
      </c>
      <c r="F1637" s="88" t="str">
        <f aca="false">IF(D1637&lt;&gt;"",IFERROR(VLOOKUP(D1637,PROVEEDORES!$A:$C,3,0),""),"")</f>
        <v>S</v>
      </c>
      <c r="G1637" s="87" t="s">
        <v>135</v>
      </c>
      <c r="H1637" s="52" t="str">
        <f aca="false">IF(G1637&lt;&gt;"",IFERROR(VLOOKUP(G1637,PRODUCTOS!$A:$B,2,0),"!COD NO ENCONTRADO"),"")</f>
        <v>CONGRIO 10+  (COE)</v>
      </c>
      <c r="I1637" s="77" t="n">
        <v>1</v>
      </c>
      <c r="J1637" s="78" t="n">
        <v>28.25</v>
      </c>
      <c r="K1637" s="79" t="n">
        <v>3.5</v>
      </c>
      <c r="L1637" s="80" t="n">
        <f aca="false">IF(AND(J1637&lt;&gt;"",K1637&lt;&gt;""),J1637*K1637,"")</f>
        <v>98.875</v>
      </c>
      <c r="M1637" s="81" t="n">
        <f aca="false">IF(L1637&lt;&gt;"",L1637*1.1,"")</f>
        <v>108.7625</v>
      </c>
      <c r="N1637" s="53" t="n">
        <f aca="false">IF(F1637="S",L1637*0.02,0)</f>
        <v>1.9775</v>
      </c>
      <c r="O1637" s="82" t="n">
        <f aca="false">IF(L1637&lt;&gt;"",L1637+N1637,"")</f>
        <v>100.8525</v>
      </c>
      <c r="P1637" s="53" t="n">
        <f aca="false">IF(O1637&lt;&gt;"",O1637*0.1,"")</f>
        <v>10.08525</v>
      </c>
      <c r="Q1637" s="83" t="n">
        <f aca="false">IF(O1637&lt;&gt;"",O1637+P1637,"")</f>
        <v>110.93775</v>
      </c>
      <c r="R1637" s="84" t="s">
        <v>365</v>
      </c>
    </row>
    <row r="1638" customFormat="false" ht="15" hidden="false" customHeight="true" outlineLevel="0" collapsed="false">
      <c r="A1638" s="103" t="n">
        <v>56329</v>
      </c>
      <c r="B1638" s="85" t="n">
        <v>46258</v>
      </c>
      <c r="C1638" s="86" t="s">
        <v>724</v>
      </c>
      <c r="D1638" s="87" t="n">
        <v>50146</v>
      </c>
      <c r="E1638" s="46" t="str">
        <f aca="false">IF(D1638&lt;&gt;"",IFERROR(VLOOKUP(D1638,PROVEEDORES!$A:$B,2,0),"!COD NO ENCONTRADO"),"")</f>
        <v>MAR BERMEO S.L.</v>
      </c>
      <c r="F1638" s="88" t="str">
        <f aca="false">IF(D1638&lt;&gt;"",IFERROR(VLOOKUP(D1638,PROVEEDORES!$A:$C,3,0),""),"")</f>
        <v>S</v>
      </c>
      <c r="G1638" s="87" t="s">
        <v>135</v>
      </c>
      <c r="H1638" s="46" t="str">
        <f aca="false">IF(G1638&lt;&gt;"",IFERROR(VLOOKUP(G1638,PRODUCTOS!$A:$B,2,0),"!COD NO ENCONTRADO"),"")</f>
        <v>CONGRIO 10+  (COE)</v>
      </c>
      <c r="I1638" s="89" t="n">
        <v>1</v>
      </c>
      <c r="J1638" s="90" t="n">
        <v>26.75</v>
      </c>
      <c r="K1638" s="91" t="n">
        <v>4.5</v>
      </c>
      <c r="L1638" s="80" t="n">
        <f aca="false">IF(AND(J1638&lt;&gt;"",K1638&lt;&gt;""),J1638*K1638,"")</f>
        <v>120.375</v>
      </c>
      <c r="M1638" s="81" t="n">
        <f aca="false">IF(L1638&lt;&gt;"",L1638*1.1,"")</f>
        <v>132.4125</v>
      </c>
      <c r="N1638" s="47" t="n">
        <f aca="false">IF(F1638="S",L1638*0.02,0)</f>
        <v>2.4075</v>
      </c>
      <c r="O1638" s="82" t="n">
        <f aca="false">IF(L1638&lt;&gt;"",L1638+N1638,"")</f>
        <v>122.7825</v>
      </c>
      <c r="P1638" s="47" t="n">
        <f aca="false">IF(O1638&lt;&gt;"",O1638*0.1,"")</f>
        <v>12.27825</v>
      </c>
      <c r="Q1638" s="83" t="n">
        <f aca="false">IF(O1638&lt;&gt;"",O1638+P1638,"")</f>
        <v>135.06075</v>
      </c>
      <c r="R1638" s="84" t="s">
        <v>365</v>
      </c>
    </row>
    <row r="1639" customFormat="false" ht="15" hidden="false" customHeight="true" outlineLevel="0" collapsed="false">
      <c r="A1639" s="103" t="n">
        <v>56330</v>
      </c>
      <c r="B1639" s="73" t="n">
        <v>46258</v>
      </c>
      <c r="C1639" s="74" t="s">
        <v>725</v>
      </c>
      <c r="D1639" s="75" t="n">
        <v>50164</v>
      </c>
      <c r="E1639" s="52" t="str">
        <f aca="false">IF(D1639&lt;&gt;"",IFERROR(VLOOKUP(D1639,PROVEEDORES!$A:$B,2,0),"!COD NO ENCONTRADO"),"")</f>
        <v>ABRGO NORTE S.L.</v>
      </c>
      <c r="F1639" s="76" t="str">
        <f aca="false">IF(D1639&lt;&gt;"",IFERROR(VLOOKUP(D1639,PROVEEDORES!$A:$C,3,0),""),"")</f>
        <v>N</v>
      </c>
      <c r="G1639" s="75" t="s">
        <v>302</v>
      </c>
      <c r="H1639" s="52" t="str">
        <f aca="false">IF(G1639&lt;&gt;"",IFERROR(VLOOKUP(G1639,PRODUCTOS!$A:$B,2,0),"!COD NO ENCONTRADO"),"")</f>
        <v>RAYA COMUN (ALAS)</v>
      </c>
      <c r="I1639" s="77" t="n">
        <v>3</v>
      </c>
      <c r="J1639" s="78" t="n">
        <v>15</v>
      </c>
      <c r="K1639" s="79" t="n">
        <v>8.2</v>
      </c>
      <c r="L1639" s="80" t="n">
        <f aca="false">IF(AND(J1639&lt;&gt;"",K1639&lt;&gt;""),J1639*K1639,"")</f>
        <v>123</v>
      </c>
      <c r="M1639" s="81" t="n">
        <f aca="false">IF(L1639&lt;&gt;"",L1639*1.1,"")</f>
        <v>135.3</v>
      </c>
      <c r="N1639" s="53" t="n">
        <f aca="false">IF(F1639="S",L1639*0.02,0)</f>
        <v>0</v>
      </c>
      <c r="O1639" s="82" t="n">
        <f aca="false">IF(L1639&lt;&gt;"",L1639+N1639,"")</f>
        <v>123</v>
      </c>
      <c r="P1639" s="53" t="n">
        <f aca="false">IF(O1639&lt;&gt;"",O1639*0.1,"")</f>
        <v>12.3</v>
      </c>
      <c r="Q1639" s="83" t="n">
        <f aca="false">IF(O1639&lt;&gt;"",O1639+P1639,"")</f>
        <v>135.3</v>
      </c>
      <c r="R1639" s="84" t="s">
        <v>365</v>
      </c>
    </row>
    <row r="1640" customFormat="false" ht="15" hidden="false" customHeight="true" outlineLevel="0" collapsed="false">
      <c r="A1640" s="103" t="n">
        <v>56331</v>
      </c>
      <c r="B1640" s="73" t="n">
        <v>46258</v>
      </c>
      <c r="C1640" s="86" t="s">
        <v>726</v>
      </c>
      <c r="D1640" s="87" t="n">
        <v>50525</v>
      </c>
      <c r="E1640" s="46" t="str">
        <f aca="false">IF(D1640&lt;&gt;"",IFERROR(VLOOKUP(D1640,PROVEEDORES!$A:$B,2,0),"!COD NO ENCONTRADO"),"")</f>
        <v>FURIC MAREE</v>
      </c>
      <c r="F1640" s="88" t="str">
        <f aca="false">IF(D1640&lt;&gt;"",IFERROR(VLOOKUP(D1640,PROVEEDORES!$A:$C,3,0),""),"")</f>
        <v>N</v>
      </c>
      <c r="G1640" s="87" t="s">
        <v>318</v>
      </c>
      <c r="H1640" s="46" t="str">
        <f aca="false">IF(G1640&lt;&gt;"",IFERROR(VLOOKUP(G1640,PRODUCTOS!$A:$B,2,0),"!COD NO ENCONTRADO"),"")</f>
        <v>SAN MARTIÑOS/ SAN PEDROS (JOD)</v>
      </c>
      <c r="I1640" s="89" t="n">
        <v>3</v>
      </c>
      <c r="J1640" s="90" t="n">
        <v>18.2</v>
      </c>
      <c r="K1640" s="91" t="n">
        <v>14.9</v>
      </c>
      <c r="L1640" s="80" t="n">
        <f aca="false">IF(AND(J1640&lt;&gt;"",K1640&lt;&gt;""),J1640*K1640,"")</f>
        <v>271.18</v>
      </c>
      <c r="M1640" s="81" t="n">
        <f aca="false">IF(L1640&lt;&gt;"",L1640*1.1,"")</f>
        <v>298.298</v>
      </c>
      <c r="N1640" s="47" t="n">
        <f aca="false">IF(F1640="S",L1640*0.02,0)</f>
        <v>0</v>
      </c>
      <c r="O1640" s="82" t="n">
        <f aca="false">IF(L1640&lt;&gt;"",L1640+N1640,"")</f>
        <v>271.18</v>
      </c>
      <c r="P1640" s="47" t="n">
        <f aca="false">IF(O1640&lt;&gt;"",O1640*0.1,"")</f>
        <v>27.118</v>
      </c>
      <c r="Q1640" s="83" t="n">
        <f aca="false">IF(O1640&lt;&gt;"",O1640+P1640,"")</f>
        <v>298.298</v>
      </c>
      <c r="R1640" s="84" t="s">
        <v>365</v>
      </c>
    </row>
    <row r="1641" customFormat="false" ht="15" hidden="false" customHeight="true" outlineLevel="0" collapsed="false">
      <c r="A1641" s="103" t="n">
        <v>56331</v>
      </c>
      <c r="B1641" s="73" t="n">
        <v>46258</v>
      </c>
      <c r="C1641" s="86" t="s">
        <v>726</v>
      </c>
      <c r="D1641" s="75" t="n">
        <v>50525</v>
      </c>
      <c r="E1641" s="52" t="str">
        <f aca="false">IF(D1641&lt;&gt;"",IFERROR(VLOOKUP(D1641,PROVEEDORES!$A:$B,2,0),"!COD NO ENCONTRADO"),"")</f>
        <v>FURIC MAREE</v>
      </c>
      <c r="F1641" s="76" t="str">
        <f aca="false">IF(D1641&lt;&gt;"",IFERROR(VLOOKUP(D1641,PROVEEDORES!$A:$C,3,0),""),"")</f>
        <v>N</v>
      </c>
      <c r="G1641" s="75" t="s">
        <v>318</v>
      </c>
      <c r="H1641" s="52" t="str">
        <f aca="false">IF(G1641&lt;&gt;"",IFERROR(VLOOKUP(G1641,PRODUCTOS!$A:$B,2,0),"!COD NO ENCONTRADO"),"")</f>
        <v>SAN MARTIÑOS/ SAN PEDROS (JOD)</v>
      </c>
      <c r="I1641" s="77" t="n">
        <v>2</v>
      </c>
      <c r="J1641" s="78" t="n">
        <v>12.4</v>
      </c>
      <c r="K1641" s="79" t="n">
        <v>19</v>
      </c>
      <c r="L1641" s="80" t="n">
        <f aca="false">IF(AND(J1641&lt;&gt;"",K1641&lt;&gt;""),J1641*K1641,"")</f>
        <v>235.6</v>
      </c>
      <c r="M1641" s="81" t="n">
        <f aca="false">IF(L1641&lt;&gt;"",L1641*1.1,"")</f>
        <v>259.16</v>
      </c>
      <c r="N1641" s="53" t="n">
        <f aca="false">IF(F1641="S",L1641*0.02,0)</f>
        <v>0</v>
      </c>
      <c r="O1641" s="82" t="n">
        <f aca="false">IF(L1641&lt;&gt;"",L1641+N1641,"")</f>
        <v>235.6</v>
      </c>
      <c r="P1641" s="53" t="n">
        <f aca="false">IF(O1641&lt;&gt;"",O1641*0.1,"")</f>
        <v>23.56</v>
      </c>
      <c r="Q1641" s="83" t="n">
        <f aca="false">IF(O1641&lt;&gt;"",O1641+P1641,"")</f>
        <v>259.16</v>
      </c>
      <c r="R1641" s="84" t="s">
        <v>365</v>
      </c>
    </row>
    <row r="1642" customFormat="false" ht="15" hidden="false" customHeight="true" outlineLevel="0" collapsed="false">
      <c r="A1642" s="103" t="n">
        <v>56332</v>
      </c>
      <c r="B1642" s="73" t="n">
        <v>46258</v>
      </c>
      <c r="C1642" s="74" t="s">
        <v>727</v>
      </c>
      <c r="D1642" s="75" t="n">
        <v>50035</v>
      </c>
      <c r="E1642" s="52" t="str">
        <f aca="false">IF(D1642&lt;&gt;"",IFERROR(VLOOKUP(D1642,PROVEEDORES!$A:$B,2,0),"!COD NO ENCONTRADO"),"")</f>
        <v>SCANFISK SEAFFOD S,L</v>
      </c>
      <c r="F1642" s="76" t="str">
        <f aca="false">IF(D1642&lt;&gt;"",IFERROR(VLOOKUP(D1642,PROVEEDORES!$A:$C,3,0),""),"")</f>
        <v>N</v>
      </c>
      <c r="G1642" s="75" t="s">
        <v>209</v>
      </c>
      <c r="H1642" s="52" t="str">
        <f aca="false">IF(G1642&lt;&gt;"",IFERROR(VLOOKUP(G1642,PRODUCTOS!$A:$B,2,0),"!COD NO ENCONTRADO"),"")</f>
        <v>MERLUZA EUROPEA PINCHO</v>
      </c>
      <c r="I1642" s="77" t="n">
        <v>5</v>
      </c>
      <c r="J1642" s="78" t="n">
        <v>85</v>
      </c>
      <c r="K1642" s="125" t="n">
        <v>4.5</v>
      </c>
      <c r="L1642" s="80" t="n">
        <f aca="false">IF(AND(J1642&lt;&gt;"",K1642&lt;&gt;""),J1642*K1642,"")</f>
        <v>382.5</v>
      </c>
      <c r="M1642" s="81" t="n">
        <f aca="false">IF(L1642&lt;&gt;"",L1642*1.1,"")</f>
        <v>420.75</v>
      </c>
      <c r="N1642" s="53" t="n">
        <f aca="false">IF(F1642="S",L1642*0.02,0)</f>
        <v>0</v>
      </c>
      <c r="O1642" s="82" t="n">
        <f aca="false">IF(L1642&lt;&gt;"",L1642+N1642,"")</f>
        <v>382.5</v>
      </c>
      <c r="P1642" s="53" t="n">
        <f aca="false">IF(O1642&lt;&gt;"",O1642*0.1,"")</f>
        <v>38.25</v>
      </c>
      <c r="Q1642" s="83" t="n">
        <f aca="false">IF(O1642&lt;&gt;"",O1642+P1642,"")</f>
        <v>420.75</v>
      </c>
      <c r="R1642" s="84" t="s">
        <v>365</v>
      </c>
    </row>
    <row r="1643" customFormat="false" ht="15" hidden="false" customHeight="true" outlineLevel="0" collapsed="false">
      <c r="A1643" s="103" t="n">
        <v>56332</v>
      </c>
      <c r="B1643" s="73" t="n">
        <v>46258</v>
      </c>
      <c r="C1643" s="74" t="s">
        <v>728</v>
      </c>
      <c r="D1643" s="75" t="n">
        <v>50035</v>
      </c>
      <c r="E1643" s="52" t="str">
        <f aca="false">IF(D1643&lt;&gt;"",IFERROR(VLOOKUP(D1643,PROVEEDORES!$A:$B,2,0),"!COD NO ENCONTRADO"),"")</f>
        <v>SCANFISK SEAFFOD S,L</v>
      </c>
      <c r="F1643" s="76" t="str">
        <f aca="false">IF(D1643&lt;&gt;"",IFERROR(VLOOKUP(D1643,PROVEEDORES!$A:$C,3,0),""),"")</f>
        <v>N</v>
      </c>
      <c r="G1643" s="75" t="s">
        <v>209</v>
      </c>
      <c r="H1643" s="46" t="str">
        <f aca="false">IF(G1643&lt;&gt;"",IFERROR(VLOOKUP(G1643,PRODUCTOS!$A:$B,2,0),"!COD NO ENCONTRADO"),"")</f>
        <v>MERLUZA EUROPEA PINCHO</v>
      </c>
      <c r="I1643" s="89" t="n">
        <v>2</v>
      </c>
      <c r="J1643" s="90" t="n">
        <v>20.8</v>
      </c>
      <c r="K1643" s="91" t="n">
        <v>5.5</v>
      </c>
      <c r="L1643" s="80" t="n">
        <f aca="false">IF(AND(J1643&lt;&gt;"",K1643&lt;&gt;""),J1643*K1643,"")</f>
        <v>114.4</v>
      </c>
      <c r="M1643" s="81" t="n">
        <f aca="false">IF(L1643&lt;&gt;"",L1643*1.1,"")</f>
        <v>125.84</v>
      </c>
      <c r="N1643" s="47" t="n">
        <f aca="false">IF(F1643="S",L1643*0.02,0)</f>
        <v>0</v>
      </c>
      <c r="O1643" s="82" t="n">
        <f aca="false">IF(L1643&lt;&gt;"",L1643+N1643,"")</f>
        <v>114.4</v>
      </c>
      <c r="P1643" s="47" t="n">
        <f aca="false">IF(O1643&lt;&gt;"",O1643*0.1,"")</f>
        <v>11.44</v>
      </c>
      <c r="Q1643" s="83" t="n">
        <f aca="false">IF(O1643&lt;&gt;"",O1643+P1643,"")</f>
        <v>125.84</v>
      </c>
      <c r="R1643" s="84" t="s">
        <v>365</v>
      </c>
    </row>
    <row r="1644" customFormat="false" ht="15" hidden="false" customHeight="true" outlineLevel="0" collapsed="false">
      <c r="A1644" s="103" t="n">
        <v>56332</v>
      </c>
      <c r="B1644" s="73" t="n">
        <v>46258</v>
      </c>
      <c r="C1644" s="74" t="s">
        <v>728</v>
      </c>
      <c r="D1644" s="75" t="n">
        <v>50035</v>
      </c>
      <c r="E1644" s="52" t="str">
        <f aca="false">IF(D1644&lt;&gt;"",IFERROR(VLOOKUP(D1644,PROVEEDORES!$A:$B,2,0),"!COD NO ENCONTRADO"),"")</f>
        <v>SCANFISK SEAFFOD S,L</v>
      </c>
      <c r="F1644" s="76" t="str">
        <f aca="false">IF(D1644&lt;&gt;"",IFERROR(VLOOKUP(D1644,PROVEEDORES!$A:$C,3,0),""),"")</f>
        <v>N</v>
      </c>
      <c r="G1644" s="75" t="s">
        <v>209</v>
      </c>
      <c r="H1644" s="52" t="str">
        <f aca="false">IF(G1644&lt;&gt;"",IFERROR(VLOOKUP(G1644,PRODUCTOS!$A:$B,2,0),"!COD NO ENCONTRADO"),"")</f>
        <v>MERLUZA EUROPEA PINCHO</v>
      </c>
      <c r="I1644" s="77" t="n">
        <v>3</v>
      </c>
      <c r="J1644" s="78" t="n">
        <v>31.4</v>
      </c>
      <c r="K1644" s="79" t="n">
        <v>9.5</v>
      </c>
      <c r="L1644" s="80" t="n">
        <f aca="false">IF(AND(J1644&lt;&gt;"",K1644&lt;&gt;""),J1644*K1644,"")</f>
        <v>298.3</v>
      </c>
      <c r="M1644" s="81" t="n">
        <f aca="false">IF(L1644&lt;&gt;"",L1644*1.1,"")</f>
        <v>328.13</v>
      </c>
      <c r="N1644" s="53" t="n">
        <f aca="false">IF(F1644="S",L1644*0.02,0)</f>
        <v>0</v>
      </c>
      <c r="O1644" s="82" t="n">
        <f aca="false">IF(L1644&lt;&gt;"",L1644+N1644,"")</f>
        <v>298.3</v>
      </c>
      <c r="P1644" s="53" t="n">
        <f aca="false">IF(O1644&lt;&gt;"",O1644*0.1,"")</f>
        <v>29.83</v>
      </c>
      <c r="Q1644" s="83" t="n">
        <f aca="false">IF(O1644&lt;&gt;"",O1644+P1644,"")</f>
        <v>328.13</v>
      </c>
      <c r="R1644" s="84" t="s">
        <v>365</v>
      </c>
    </row>
    <row r="1645" customFormat="false" ht="15" hidden="false" customHeight="true" outlineLevel="0" collapsed="false">
      <c r="A1645" s="103" t="n">
        <v>56332</v>
      </c>
      <c r="B1645" s="85" t="n">
        <v>46258</v>
      </c>
      <c r="C1645" s="86" t="s">
        <v>729</v>
      </c>
      <c r="D1645" s="87" t="n">
        <v>50035</v>
      </c>
      <c r="E1645" s="46" t="str">
        <f aca="false">IF(D1645&lt;&gt;"",IFERROR(VLOOKUP(D1645,PROVEEDORES!$A:$B,2,0),"!COD NO ENCONTRADO"),"")</f>
        <v>SCANFISK SEAFFOD S,L</v>
      </c>
      <c r="F1645" s="88" t="str">
        <f aca="false">IF(D1645&lt;&gt;"",IFERROR(VLOOKUP(D1645,PROVEEDORES!$A:$C,3,0),""),"")</f>
        <v>N</v>
      </c>
      <c r="G1645" s="87" t="s">
        <v>246</v>
      </c>
      <c r="H1645" s="46" t="str">
        <f aca="false">IF(G1645&lt;&gt;"",IFERROR(VLOOKUP(G1645,PRODUCTOS!$A:$B,2,0),"!COD NO ENCONTRADO"),"")</f>
        <v>MERLUZA EUROPEA VOLANTA ALTURA</v>
      </c>
      <c r="I1645" s="89" t="n">
        <v>5</v>
      </c>
      <c r="J1645" s="90" t="n">
        <v>30.7</v>
      </c>
      <c r="K1645" s="91" t="n">
        <v>3.8</v>
      </c>
      <c r="L1645" s="80" t="n">
        <f aca="false">IF(AND(J1645&lt;&gt;"",K1645&lt;&gt;""),J1645*K1645,"")</f>
        <v>116.66</v>
      </c>
      <c r="M1645" s="81" t="n">
        <f aca="false">IF(L1645&lt;&gt;"",L1645*1.1,"")</f>
        <v>128.326</v>
      </c>
      <c r="N1645" s="47" t="n">
        <f aca="false">IF(F1645="S",L1645*0.02,0)</f>
        <v>0</v>
      </c>
      <c r="O1645" s="82" t="n">
        <f aca="false">IF(L1645&lt;&gt;"",L1645+N1645,"")</f>
        <v>116.66</v>
      </c>
      <c r="P1645" s="47" t="n">
        <f aca="false">IF(O1645&lt;&gt;"",O1645*0.1,"")</f>
        <v>11.666</v>
      </c>
      <c r="Q1645" s="83" t="n">
        <f aca="false">IF(O1645&lt;&gt;"",O1645+P1645,"")</f>
        <v>128.326</v>
      </c>
      <c r="R1645" s="84" t="s">
        <v>365</v>
      </c>
    </row>
    <row r="1646" customFormat="false" ht="15" hidden="false" customHeight="true" outlineLevel="0" collapsed="false">
      <c r="A1646" s="103" t="n">
        <v>56333</v>
      </c>
      <c r="B1646" s="73" t="n">
        <v>46259</v>
      </c>
      <c r="C1646" s="74" t="s">
        <v>730</v>
      </c>
      <c r="D1646" s="75" t="n">
        <v>50035</v>
      </c>
      <c r="E1646" s="52" t="str">
        <f aca="false">IF(D1646&lt;&gt;"",IFERROR(VLOOKUP(D1646,PROVEEDORES!$A:$B,2,0),"!COD NO ENCONTRADO"),"")</f>
        <v>SCANFISK SEAFFOD S,L</v>
      </c>
      <c r="F1646" s="76" t="str">
        <f aca="false">IF(D1646&lt;&gt;"",IFERROR(VLOOKUP(D1646,PROVEEDORES!$A:$C,3,0),""),"")</f>
        <v>N</v>
      </c>
      <c r="G1646" s="75" t="s">
        <v>91</v>
      </c>
      <c r="H1646" s="52" t="str">
        <f aca="false">IF(G1646&lt;&gt;"",IFERROR(VLOOKUP(G1646,PRODUCTOS!$A:$B,2,0),"!COD NO ENCONTRADO"),"")</f>
        <v>BONITO DEL NORTE 5/7</v>
      </c>
      <c r="I1646" s="77" t="n">
        <v>2</v>
      </c>
      <c r="J1646" s="78" t="n">
        <v>62.6</v>
      </c>
      <c r="K1646" s="79" t="n">
        <v>5.9</v>
      </c>
      <c r="L1646" s="80" t="n">
        <f aca="false">IF(AND(J1646&lt;&gt;"",K1646&lt;&gt;""),J1646*K1646,"")</f>
        <v>369.34</v>
      </c>
      <c r="M1646" s="81" t="n">
        <f aca="false">IF(L1646&lt;&gt;"",L1646*1.1,"")</f>
        <v>406.274</v>
      </c>
      <c r="N1646" s="53" t="n">
        <f aca="false">IF(F1646="S",L1646*0.02,0)</f>
        <v>0</v>
      </c>
      <c r="O1646" s="82" t="n">
        <f aca="false">IF(L1646&lt;&gt;"",L1646+N1646,"")</f>
        <v>369.34</v>
      </c>
      <c r="P1646" s="53" t="n">
        <f aca="false">IF(O1646&lt;&gt;"",O1646*0.1,"")</f>
        <v>36.934</v>
      </c>
      <c r="Q1646" s="83" t="n">
        <f aca="false">IF(O1646&lt;&gt;"",O1646+P1646,"")</f>
        <v>406.274</v>
      </c>
      <c r="R1646" s="84" t="s">
        <v>365</v>
      </c>
    </row>
    <row r="1647" customFormat="false" ht="15" hidden="false" customHeight="true" outlineLevel="0" collapsed="false">
      <c r="A1647" s="103" t="n">
        <v>56333</v>
      </c>
      <c r="B1647" s="85" t="n">
        <v>46259</v>
      </c>
      <c r="C1647" s="86" t="s">
        <v>731</v>
      </c>
      <c r="D1647" s="87" t="n">
        <v>50035</v>
      </c>
      <c r="E1647" s="46" t="str">
        <f aca="false">IF(D1647&lt;&gt;"",IFERROR(VLOOKUP(D1647,PROVEEDORES!$A:$B,2,0),"!COD NO ENCONTRADO"),"")</f>
        <v>SCANFISK SEAFFOD S,L</v>
      </c>
      <c r="F1647" s="88" t="str">
        <f aca="false">IF(D1647&lt;&gt;"",IFERROR(VLOOKUP(D1647,PROVEEDORES!$A:$C,3,0),""),"")</f>
        <v>N</v>
      </c>
      <c r="G1647" s="87" t="s">
        <v>246</v>
      </c>
      <c r="H1647" s="46" t="str">
        <f aca="false">IF(G1647&lt;&gt;"",IFERROR(VLOOKUP(G1647,PRODUCTOS!$A:$B,2,0),"!COD NO ENCONTRADO"),"")</f>
        <v>MERLUZA EUROPEA VOLANTA ALTURA</v>
      </c>
      <c r="I1647" s="89" t="n">
        <v>4</v>
      </c>
      <c r="J1647" s="90" t="n">
        <v>44.3</v>
      </c>
      <c r="K1647" s="91" t="n">
        <v>8.1</v>
      </c>
      <c r="L1647" s="80" t="n">
        <f aca="false">IF(AND(J1647&lt;&gt;"",K1647&lt;&gt;""),J1647*K1647,"")</f>
        <v>358.83</v>
      </c>
      <c r="M1647" s="81" t="n">
        <f aca="false">IF(L1647&lt;&gt;"",L1647*1.1,"")</f>
        <v>394.713</v>
      </c>
      <c r="N1647" s="47" t="n">
        <f aca="false">IF(F1647="S",L1647*0.02,0)</f>
        <v>0</v>
      </c>
      <c r="O1647" s="82" t="n">
        <f aca="false">IF(L1647&lt;&gt;"",L1647+N1647,"")</f>
        <v>358.83</v>
      </c>
      <c r="P1647" s="47" t="n">
        <f aca="false">IF(O1647&lt;&gt;"",O1647*0.1,"")</f>
        <v>35.883</v>
      </c>
      <c r="Q1647" s="83" t="n">
        <f aca="false">IF(O1647&lt;&gt;"",O1647+P1647,"")</f>
        <v>394.713</v>
      </c>
      <c r="R1647" s="84" t="s">
        <v>365</v>
      </c>
    </row>
    <row r="1648" customFormat="false" ht="15" hidden="false" customHeight="true" outlineLevel="0" collapsed="false">
      <c r="A1648" s="103" t="n">
        <v>56334</v>
      </c>
      <c r="B1648" s="85" t="n">
        <v>46259</v>
      </c>
      <c r="C1648" s="86" t="s">
        <v>732</v>
      </c>
      <c r="D1648" s="87" t="n">
        <v>50048</v>
      </c>
      <c r="E1648" s="46" t="str">
        <f aca="false">IF(D1648&lt;&gt;"",IFERROR(VLOOKUP(D1648,PROVEEDORES!$A:$B,2,0),"!COD NO ENCONTRADO"),"")</f>
        <v>JOSE LUIS CORREA KESSLER S.L.</v>
      </c>
      <c r="F1648" s="88" t="str">
        <f aca="false">IF(D1648&lt;&gt;"",IFERROR(VLOOKUP(D1648,PROVEEDORES!$A:$C,3,0),""),"")</f>
        <v>N</v>
      </c>
      <c r="G1648" s="87" t="s">
        <v>179</v>
      </c>
      <c r="H1648" s="46" t="str">
        <f aca="false">IF(G1648&lt;&gt;"",IFERROR(VLOOKUP(G1648,PRODUCTOS!$A:$B,2,0),"!COD NO ENCONTRADO"),"")</f>
        <v>LIRIO/ BACALADILLA/ PERLA (WHB)</v>
      </c>
      <c r="I1648" s="89" t="n">
        <v>54</v>
      </c>
      <c r="J1648" s="105" t="n">
        <v>297</v>
      </c>
      <c r="K1648" s="125" t="n">
        <v>2.55</v>
      </c>
      <c r="L1648" s="80" t="n">
        <f aca="false">IF(AND(J1648&lt;&gt;"",K1648&lt;&gt;""),J1648*K1648,"")</f>
        <v>757.35</v>
      </c>
      <c r="M1648" s="81" t="n">
        <f aca="false">IF(L1648&lt;&gt;"",L1648*1.1,"")</f>
        <v>833.085</v>
      </c>
      <c r="N1648" s="47" t="n">
        <f aca="false">IF(F1648="S",L1648*0.02,0)</f>
        <v>0</v>
      </c>
      <c r="O1648" s="82" t="n">
        <f aca="false">IF(L1648&lt;&gt;"",L1648+N1648,"")</f>
        <v>757.35</v>
      </c>
      <c r="P1648" s="47" t="n">
        <f aca="false">IF(O1648&lt;&gt;"",O1648*0.1,"")</f>
        <v>75.735</v>
      </c>
      <c r="Q1648" s="83" t="n">
        <f aca="false">IF(O1648&lt;&gt;"",O1648+P1648,"")</f>
        <v>833.085</v>
      </c>
      <c r="R1648" s="84" t="s">
        <v>365</v>
      </c>
    </row>
    <row r="1649" customFormat="false" ht="15" hidden="false" customHeight="true" outlineLevel="0" collapsed="false">
      <c r="A1649" s="103" t="n">
        <v>56334</v>
      </c>
      <c r="B1649" s="73" t="n">
        <v>46259</v>
      </c>
      <c r="C1649" s="86" t="s">
        <v>732</v>
      </c>
      <c r="D1649" s="75" t="n">
        <v>50048</v>
      </c>
      <c r="E1649" s="52" t="str">
        <f aca="false">IF(D1649&lt;&gt;"",IFERROR(VLOOKUP(D1649,PROVEEDORES!$A:$B,2,0),"!COD NO ENCONTRADO"),"")</f>
        <v>JOSE LUIS CORREA KESSLER S.L.</v>
      </c>
      <c r="F1649" s="76" t="str">
        <f aca="false">IF(D1649&lt;&gt;"",IFERROR(VLOOKUP(D1649,PROVEEDORES!$A:$C,3,0),""),"")</f>
        <v>N</v>
      </c>
      <c r="G1649" s="75" t="s">
        <v>179</v>
      </c>
      <c r="H1649" s="52" t="str">
        <f aca="false">IF(G1649&lt;&gt;"",IFERROR(VLOOKUP(G1649,PRODUCTOS!$A:$B,2,0),"!COD NO ENCONTRADO"),"")</f>
        <v>LIRIO/ BACALADILLA/ PERLA (WHB)</v>
      </c>
      <c r="I1649" s="77" t="n">
        <v>180</v>
      </c>
      <c r="J1649" s="105" t="n">
        <v>1080</v>
      </c>
      <c r="K1649" s="125" t="n">
        <v>1.8</v>
      </c>
      <c r="L1649" s="80" t="n">
        <f aca="false">IF(AND(J1649&lt;&gt;"",K1649&lt;&gt;""),J1649*K1649,"")</f>
        <v>1944</v>
      </c>
      <c r="M1649" s="81" t="n">
        <f aca="false">IF(L1649&lt;&gt;"",L1649*1.1,"")</f>
        <v>2138.4</v>
      </c>
      <c r="N1649" s="53" t="n">
        <f aca="false">IF(F1649="S",L1649*0.02,0)</f>
        <v>0</v>
      </c>
      <c r="O1649" s="82" t="n">
        <f aca="false">IF(L1649&lt;&gt;"",L1649+N1649,"")</f>
        <v>1944</v>
      </c>
      <c r="P1649" s="53" t="n">
        <f aca="false">IF(O1649&lt;&gt;"",O1649*0.1,"")</f>
        <v>194.4</v>
      </c>
      <c r="Q1649" s="83" t="n">
        <f aca="false">IF(O1649&lt;&gt;"",O1649+P1649,"")</f>
        <v>2138.4</v>
      </c>
      <c r="R1649" s="84" t="s">
        <v>365</v>
      </c>
    </row>
    <row r="1650" customFormat="false" ht="15" hidden="false" customHeight="true" outlineLevel="0" collapsed="false">
      <c r="A1650" s="103" t="n">
        <v>56335</v>
      </c>
      <c r="B1650" s="85" t="n">
        <v>46259</v>
      </c>
      <c r="C1650" s="86" t="s">
        <v>733</v>
      </c>
      <c r="D1650" s="87" t="n">
        <v>50232</v>
      </c>
      <c r="E1650" s="46" t="str">
        <f aca="false">IF(D1650&lt;&gt;"",IFERROR(VLOOKUP(D1650,PROVEEDORES!$A:$B,2,0),"!COD NO ENCONTRADO"),"")</f>
        <v>XESTION NOVA LONXA RIVEIRA S.L.</v>
      </c>
      <c r="F1650" s="88" t="str">
        <f aca="false">IF(D1650&lt;&gt;"",IFERROR(VLOOKUP(D1650,PROVEEDORES!$A:$C,3,0),""),"")</f>
        <v>S</v>
      </c>
      <c r="G1650" s="87" t="s">
        <v>179</v>
      </c>
      <c r="H1650" s="46" t="str">
        <f aca="false">IF(G1650&lt;&gt;"",IFERROR(VLOOKUP(G1650,PRODUCTOS!$A:$B,2,0),"!COD NO ENCONTRADO"),"")</f>
        <v>LIRIO/ BACALADILLA/ PERLA (WHB)</v>
      </c>
      <c r="I1650" s="112" t="n">
        <v>5</v>
      </c>
      <c r="J1650" s="105" t="n">
        <v>75</v>
      </c>
      <c r="K1650" s="125" t="n">
        <v>2.4</v>
      </c>
      <c r="L1650" s="80" t="n">
        <f aca="false">IF(AND(J1650&lt;&gt;"",K1650&lt;&gt;""),J1650*K1650,"")</f>
        <v>180</v>
      </c>
      <c r="M1650" s="81" t="n">
        <f aca="false">IF(L1650&lt;&gt;"",L1650*1.1,"")</f>
        <v>198</v>
      </c>
      <c r="N1650" s="47" t="n">
        <f aca="false">IF(F1650="S",L1650*0.02,0)</f>
        <v>3.6</v>
      </c>
      <c r="O1650" s="82" t="n">
        <f aca="false">IF(L1650&lt;&gt;"",L1650+N1650,"")</f>
        <v>183.6</v>
      </c>
      <c r="P1650" s="47" t="n">
        <f aca="false">IF(O1650&lt;&gt;"",O1650*0.1,"")</f>
        <v>18.36</v>
      </c>
      <c r="Q1650" s="83" t="n">
        <f aca="false">IF(O1650&lt;&gt;"",O1650+P1650,"")</f>
        <v>201.96</v>
      </c>
      <c r="R1650" s="84" t="s">
        <v>365</v>
      </c>
    </row>
    <row r="1651" customFormat="false" ht="15" hidden="false" customHeight="true" outlineLevel="0" collapsed="false">
      <c r="A1651" s="103" t="n">
        <v>56336</v>
      </c>
      <c r="B1651" s="85" t="n">
        <v>46259</v>
      </c>
      <c r="C1651" s="74" t="s">
        <v>734</v>
      </c>
      <c r="D1651" s="75" t="n">
        <v>50010</v>
      </c>
      <c r="E1651" s="52" t="str">
        <f aca="false">IF(D1651&lt;&gt;"",IFERROR(VLOOKUP(D1651,PROVEEDORES!$A:$B,2,0),"!COD NO ENCONTRADO"),"")</f>
        <v>PERFECTO MONTERO</v>
      </c>
      <c r="F1651" s="76" t="str">
        <f aca="false">IF(D1651&lt;&gt;"",IFERROR(VLOOKUP(D1651,PROVEEDORES!$A:$C,3,0),""),"")</f>
        <v>S</v>
      </c>
      <c r="G1651" s="75" t="s">
        <v>452</v>
      </c>
      <c r="H1651" s="52" t="str">
        <f aca="false">IF(G1651&lt;&gt;"",IFERROR(VLOOKUP(G1651,PRODUCTOS!$A:$B,2,0),"!COD NO ENCONTRADO"),"")</f>
        <v>BONITO DEL NORTE  +10 (ALB)</v>
      </c>
      <c r="I1651" s="77" t="n">
        <v>2</v>
      </c>
      <c r="J1651" s="105" t="n">
        <v>56.75</v>
      </c>
      <c r="K1651" s="125" t="n">
        <v>5</v>
      </c>
      <c r="L1651" s="80" t="n">
        <f aca="false">IF(AND(J1651&lt;&gt;"",K1651&lt;&gt;""),J1651*K1651,"")</f>
        <v>283.75</v>
      </c>
      <c r="M1651" s="81" t="n">
        <f aca="false">IF(L1651&lt;&gt;"",L1651*1.1,"")</f>
        <v>312.125</v>
      </c>
      <c r="N1651" s="53" t="n">
        <f aca="false">IF(F1651="S",L1651*0.02,0)</f>
        <v>5.675</v>
      </c>
      <c r="O1651" s="82" t="n">
        <f aca="false">IF(L1651&lt;&gt;"",L1651+N1651,"")</f>
        <v>289.425</v>
      </c>
      <c r="P1651" s="53" t="n">
        <f aca="false">IF(O1651&lt;&gt;"",O1651*0.1,"")</f>
        <v>28.9425</v>
      </c>
      <c r="Q1651" s="83" t="n">
        <f aca="false">IF(O1651&lt;&gt;"",O1651+P1651,"")</f>
        <v>318.3675</v>
      </c>
      <c r="R1651" s="84" t="s">
        <v>365</v>
      </c>
    </row>
    <row r="1652" customFormat="false" ht="15" hidden="false" customHeight="true" outlineLevel="0" collapsed="false">
      <c r="A1652" s="103" t="n">
        <v>56336</v>
      </c>
      <c r="B1652" s="85" t="n">
        <v>46259</v>
      </c>
      <c r="C1652" s="74" t="s">
        <v>734</v>
      </c>
      <c r="D1652" s="75" t="n">
        <v>50010</v>
      </c>
      <c r="E1652" s="52" t="str">
        <f aca="false">IF(D1652&lt;&gt;"",IFERROR(VLOOKUP(D1652,PROVEEDORES!$A:$B,2,0),"!COD NO ENCONTRADO"),"")</f>
        <v>PERFECTO MONTERO</v>
      </c>
      <c r="F1652" s="76" t="str">
        <f aca="false">IF(D1652&lt;&gt;"",IFERROR(VLOOKUP(D1652,PROVEEDORES!$A:$C,3,0),""),"")</f>
        <v>S</v>
      </c>
      <c r="G1652" s="75" t="s">
        <v>452</v>
      </c>
      <c r="H1652" s="46" t="str">
        <f aca="false">IF(G1652&lt;&gt;"",IFERROR(VLOOKUP(G1652,PRODUCTOS!$A:$B,2,0),"!COD NO ENCONTRADO"),"")</f>
        <v>BONITO DEL NORTE  +10 (ALB)</v>
      </c>
      <c r="I1652" s="89" t="n">
        <v>2</v>
      </c>
      <c r="J1652" s="105" t="n">
        <v>66.5</v>
      </c>
      <c r="K1652" s="125" t="n">
        <v>5.6</v>
      </c>
      <c r="L1652" s="80" t="n">
        <f aca="false">IF(AND(J1652&lt;&gt;"",K1652&lt;&gt;""),J1652*K1652,"")</f>
        <v>372.4</v>
      </c>
      <c r="M1652" s="81" t="n">
        <f aca="false">IF(L1652&lt;&gt;"",L1652*1.1,"")</f>
        <v>409.64</v>
      </c>
      <c r="N1652" s="47" t="n">
        <f aca="false">IF(F1652="S",L1652*0.02,0)</f>
        <v>7.448</v>
      </c>
      <c r="O1652" s="82" t="n">
        <f aca="false">IF(L1652&lt;&gt;"",L1652+N1652,"")</f>
        <v>379.848</v>
      </c>
      <c r="P1652" s="47" t="n">
        <f aca="false">IF(O1652&lt;&gt;"",O1652*0.1,"")</f>
        <v>37.9848</v>
      </c>
      <c r="Q1652" s="83" t="n">
        <f aca="false">IF(O1652&lt;&gt;"",O1652+P1652,"")</f>
        <v>417.8328</v>
      </c>
      <c r="R1652" s="84" t="s">
        <v>365</v>
      </c>
    </row>
    <row r="1653" customFormat="false" ht="15" hidden="false" customHeight="true" outlineLevel="0" collapsed="false">
      <c r="A1653" s="103" t="n">
        <v>56336</v>
      </c>
      <c r="B1653" s="85" t="n">
        <v>46259</v>
      </c>
      <c r="C1653" s="74" t="s">
        <v>734</v>
      </c>
      <c r="D1653" s="75" t="n">
        <v>50010</v>
      </c>
      <c r="E1653" s="52" t="str">
        <f aca="false">IF(D1653&lt;&gt;"",IFERROR(VLOOKUP(D1653,PROVEEDORES!$A:$B,2,0),"!COD NO ENCONTRADO"),"")</f>
        <v>PERFECTO MONTERO</v>
      </c>
      <c r="F1653" s="76" t="str">
        <f aca="false">IF(D1653&lt;&gt;"",IFERROR(VLOOKUP(D1653,PROVEEDORES!$A:$C,3,0),""),"")</f>
        <v>S</v>
      </c>
      <c r="G1653" s="75" t="s">
        <v>135</v>
      </c>
      <c r="H1653" s="52" t="str">
        <f aca="false">IF(G1653&lt;&gt;"",IFERROR(VLOOKUP(G1653,PRODUCTOS!$A:$B,2,0),"!COD NO ENCONTRADO"),"")</f>
        <v>CONGRIO 10+  (COE)</v>
      </c>
      <c r="I1653" s="77" t="n">
        <v>1</v>
      </c>
      <c r="J1653" s="105" t="n">
        <v>13</v>
      </c>
      <c r="K1653" s="125" t="n">
        <v>4.2</v>
      </c>
      <c r="L1653" s="80" t="n">
        <f aca="false">IF(AND(J1653&lt;&gt;"",K1653&lt;&gt;""),J1653*K1653,"")</f>
        <v>54.6</v>
      </c>
      <c r="M1653" s="81" t="n">
        <f aca="false">IF(L1653&lt;&gt;"",L1653*1.1,"")</f>
        <v>60.06</v>
      </c>
      <c r="N1653" s="53" t="n">
        <f aca="false">IF(F1653="S",L1653*0.02,0)</f>
        <v>1.092</v>
      </c>
      <c r="O1653" s="82" t="n">
        <f aca="false">IF(L1653&lt;&gt;"",L1653+N1653,"")</f>
        <v>55.692</v>
      </c>
      <c r="P1653" s="53" t="n">
        <f aca="false">IF(O1653&lt;&gt;"",O1653*0.1,"")</f>
        <v>5.5692</v>
      </c>
      <c r="Q1653" s="83" t="n">
        <f aca="false">IF(O1653&lt;&gt;"",O1653+P1653,"")</f>
        <v>61.2612</v>
      </c>
      <c r="R1653" s="84" t="s">
        <v>365</v>
      </c>
    </row>
    <row r="1654" customFormat="false" ht="15" hidden="false" customHeight="true" outlineLevel="0" collapsed="false">
      <c r="A1654" s="103" t="n">
        <v>56336</v>
      </c>
      <c r="B1654" s="85" t="n">
        <v>46259</v>
      </c>
      <c r="C1654" s="74" t="s">
        <v>734</v>
      </c>
      <c r="D1654" s="87" t="n">
        <v>50010</v>
      </c>
      <c r="E1654" s="46" t="str">
        <f aca="false">IF(D1654&lt;&gt;"",IFERROR(VLOOKUP(D1654,PROVEEDORES!$A:$B,2,0),"!COD NO ENCONTRADO"),"")</f>
        <v>PERFECTO MONTERO</v>
      </c>
      <c r="F1654" s="88" t="str">
        <f aca="false">IF(D1654&lt;&gt;"",IFERROR(VLOOKUP(D1654,PROVEEDORES!$A:$C,3,0),""),"")</f>
        <v>S</v>
      </c>
      <c r="G1654" s="87" t="s">
        <v>139</v>
      </c>
      <c r="H1654" s="46" t="str">
        <f aca="false">IF(G1654&lt;&gt;"",IFERROR(VLOOKUP(G1654,PRODUCTOS!$A:$B,2,0),"!COD NO ENCONTRADO"),"")</f>
        <v>CONGRIO 5/07 (COE)</v>
      </c>
      <c r="I1654" s="89" t="n">
        <v>2</v>
      </c>
      <c r="J1654" s="105" t="n">
        <v>22.75</v>
      </c>
      <c r="K1654" s="125" t="n">
        <v>2.8</v>
      </c>
      <c r="L1654" s="80" t="n">
        <f aca="false">IF(AND(J1654&lt;&gt;"",K1654&lt;&gt;""),J1654*K1654,"")</f>
        <v>63.7</v>
      </c>
      <c r="M1654" s="81" t="n">
        <f aca="false">IF(L1654&lt;&gt;"",L1654*1.1,"")</f>
        <v>70.07</v>
      </c>
      <c r="N1654" s="47" t="n">
        <f aca="false">IF(F1654="S",L1654*0.02,0)</f>
        <v>1.274</v>
      </c>
      <c r="O1654" s="82" t="n">
        <f aca="false">IF(L1654&lt;&gt;"",L1654+N1654,"")</f>
        <v>64.974</v>
      </c>
      <c r="P1654" s="47" t="n">
        <f aca="false">IF(O1654&lt;&gt;"",O1654*0.1,"")</f>
        <v>6.4974</v>
      </c>
      <c r="Q1654" s="83" t="n">
        <f aca="false">IF(O1654&lt;&gt;"",O1654+P1654,"")</f>
        <v>71.4714</v>
      </c>
      <c r="R1654" s="84" t="s">
        <v>365</v>
      </c>
    </row>
    <row r="1655" customFormat="false" ht="15" hidden="false" customHeight="true" outlineLevel="0" collapsed="false">
      <c r="A1655" s="103" t="n">
        <v>56337</v>
      </c>
      <c r="B1655" s="85" t="n">
        <v>46259</v>
      </c>
      <c r="C1655" s="74" t="s">
        <v>735</v>
      </c>
      <c r="D1655" s="75" t="n">
        <v>50001</v>
      </c>
      <c r="E1655" s="52" t="str">
        <f aca="false">IF(D1655&lt;&gt;"",IFERROR(VLOOKUP(D1655,PROVEEDORES!$A:$B,2,0),"!COD NO ENCONTRADO"),"")</f>
        <v>COPESA</v>
      </c>
      <c r="F1655" s="76" t="str">
        <f aca="false">IF(D1655&lt;&gt;"",IFERROR(VLOOKUP(D1655,PROVEEDORES!$A:$C,3,0),""),"")</f>
        <v>S</v>
      </c>
      <c r="G1655" s="75" t="s">
        <v>288</v>
      </c>
      <c r="H1655" s="52" t="str">
        <f aca="false">IF(G1655&lt;&gt;"",IFERROR(VLOOKUP(G1655,PRODUCTOS!$A:$B,2,0),"!COD NO ENCONTRADO"),"")</f>
        <v>RAPE BLANCO DIA (MON)</v>
      </c>
      <c r="I1655" s="77" t="n">
        <v>1</v>
      </c>
      <c r="J1655" s="78" t="n">
        <v>3.8</v>
      </c>
      <c r="K1655" s="79" t="n">
        <v>6.3</v>
      </c>
      <c r="L1655" s="80" t="n">
        <f aca="false">IF(AND(J1655&lt;&gt;"",K1655&lt;&gt;""),J1655*K1655,"")</f>
        <v>23.94</v>
      </c>
      <c r="M1655" s="81" t="n">
        <f aca="false">IF(L1655&lt;&gt;"",L1655*1.1,"")</f>
        <v>26.334</v>
      </c>
      <c r="N1655" s="53" t="n">
        <f aca="false">IF(F1655="S",L1655*0.02,0)</f>
        <v>0.4788</v>
      </c>
      <c r="O1655" s="82" t="n">
        <f aca="false">IF(L1655&lt;&gt;"",L1655+N1655,"")</f>
        <v>24.4188</v>
      </c>
      <c r="P1655" s="53" t="n">
        <f aca="false">IF(O1655&lt;&gt;"",O1655*0.1,"")</f>
        <v>2.44188</v>
      </c>
      <c r="Q1655" s="83" t="n">
        <f aca="false">IF(O1655&lt;&gt;"",O1655+P1655,"")</f>
        <v>26.86068</v>
      </c>
      <c r="R1655" s="84" t="s">
        <v>365</v>
      </c>
    </row>
    <row r="1656" customFormat="false" ht="15" hidden="false" customHeight="true" outlineLevel="0" collapsed="false">
      <c r="A1656" s="103" t="n">
        <v>56337</v>
      </c>
      <c r="B1656" s="85" t="n">
        <v>46259</v>
      </c>
      <c r="C1656" s="74" t="s">
        <v>735</v>
      </c>
      <c r="D1656" s="87" t="n">
        <v>50001</v>
      </c>
      <c r="E1656" s="46" t="str">
        <f aca="false">IF(D1656&lt;&gt;"",IFERROR(VLOOKUP(D1656,PROVEEDORES!$A:$B,2,0),"!COD NO ENCONTRADO"),"")</f>
        <v>COPESA</v>
      </c>
      <c r="F1656" s="88" t="str">
        <f aca="false">IF(D1656&lt;&gt;"",IFERROR(VLOOKUP(D1656,PROVEEDORES!$A:$C,3,0),""),"")</f>
        <v>S</v>
      </c>
      <c r="G1656" s="87" t="s">
        <v>288</v>
      </c>
      <c r="H1656" s="46" t="str">
        <f aca="false">IF(G1656&lt;&gt;"",IFERROR(VLOOKUP(G1656,PRODUCTOS!$A:$B,2,0),"!COD NO ENCONTRADO"),"")</f>
        <v>RAPE BLANCO DIA (MON)</v>
      </c>
      <c r="I1656" s="89" t="n">
        <v>1</v>
      </c>
      <c r="J1656" s="90" t="n">
        <v>3</v>
      </c>
      <c r="K1656" s="91" t="n">
        <v>5.6</v>
      </c>
      <c r="L1656" s="80" t="n">
        <f aca="false">IF(AND(J1656&lt;&gt;"",K1656&lt;&gt;""),J1656*K1656,"")</f>
        <v>16.8</v>
      </c>
      <c r="M1656" s="81" t="n">
        <f aca="false">IF(L1656&lt;&gt;"",L1656*1.1,"")</f>
        <v>18.48</v>
      </c>
      <c r="N1656" s="47" t="n">
        <f aca="false">IF(F1656="S",L1656*0.02,0)</f>
        <v>0.336</v>
      </c>
      <c r="O1656" s="82" t="n">
        <f aca="false">IF(L1656&lt;&gt;"",L1656+N1656,"")</f>
        <v>17.136</v>
      </c>
      <c r="P1656" s="47" t="n">
        <f aca="false">IF(O1656&lt;&gt;"",O1656*0.1,"")</f>
        <v>1.7136</v>
      </c>
      <c r="Q1656" s="83" t="n">
        <f aca="false">IF(O1656&lt;&gt;"",O1656+P1656,"")</f>
        <v>18.8496</v>
      </c>
      <c r="R1656" s="84" t="s">
        <v>365</v>
      </c>
    </row>
    <row r="1657" customFormat="false" ht="15" hidden="false" customHeight="true" outlineLevel="0" collapsed="false">
      <c r="A1657" s="103" t="n">
        <v>56337</v>
      </c>
      <c r="B1657" s="73" t="n">
        <v>46259</v>
      </c>
      <c r="C1657" s="74" t="s">
        <v>735</v>
      </c>
      <c r="D1657" s="75" t="n">
        <v>50001</v>
      </c>
      <c r="E1657" s="52" t="str">
        <f aca="false">IF(D1657&lt;&gt;"",IFERROR(VLOOKUP(D1657,PROVEEDORES!$A:$B,2,0),"!COD NO ENCONTRADO"),"")</f>
        <v>COPESA</v>
      </c>
      <c r="F1657" s="76" t="str">
        <f aca="false">IF(D1657&lt;&gt;"",IFERROR(VLOOKUP(D1657,PROVEEDORES!$A:$C,3,0),""),"")</f>
        <v>S</v>
      </c>
      <c r="G1657" s="75" t="s">
        <v>296</v>
      </c>
      <c r="H1657" s="52" t="str">
        <f aca="false">IF(G1657&lt;&gt;"",IFERROR(VLOOKUP(G1657,PRODUCTOS!$A:$B,2,0),"!COD NO ENCONTRADO"),"")</f>
        <v>RAPE NEGRO (ANK)</v>
      </c>
      <c r="I1657" s="77" t="n">
        <v>1</v>
      </c>
      <c r="J1657" s="78" t="n">
        <v>5.9</v>
      </c>
      <c r="K1657" s="79" t="n">
        <v>5.5</v>
      </c>
      <c r="L1657" s="80" t="n">
        <f aca="false">IF(AND(J1657&lt;&gt;"",K1657&lt;&gt;""),J1657*K1657,"")</f>
        <v>32.45</v>
      </c>
      <c r="M1657" s="81" t="n">
        <f aca="false">IF(L1657&lt;&gt;"",L1657*1.1,"")</f>
        <v>35.695</v>
      </c>
      <c r="N1657" s="53" t="n">
        <f aca="false">IF(F1657="S",L1657*0.02,0)</f>
        <v>0.649</v>
      </c>
      <c r="O1657" s="82" t="n">
        <f aca="false">IF(L1657&lt;&gt;"",L1657+N1657,"")</f>
        <v>33.099</v>
      </c>
      <c r="P1657" s="53" t="n">
        <f aca="false">IF(O1657&lt;&gt;"",O1657*0.1,"")</f>
        <v>3.3099</v>
      </c>
      <c r="Q1657" s="83" t="n">
        <f aca="false">IF(O1657&lt;&gt;"",O1657+P1657,"")</f>
        <v>36.4089</v>
      </c>
      <c r="R1657" s="84" t="s">
        <v>365</v>
      </c>
    </row>
    <row r="1658" customFormat="false" ht="15" hidden="false" customHeight="true" outlineLevel="0" collapsed="false">
      <c r="A1658" s="103" t="n">
        <v>56338</v>
      </c>
      <c r="B1658" s="85" t="n">
        <v>46259</v>
      </c>
      <c r="C1658" s="74" t="s">
        <v>736</v>
      </c>
      <c r="D1658" s="75" t="n">
        <v>50020</v>
      </c>
      <c r="E1658" s="52" t="str">
        <f aca="false">IF(D1658&lt;&gt;"",IFERROR(VLOOKUP(D1658,PROVEEDORES!$A:$B,2,0),"!COD NO ENCONTRADO"),"")</f>
        <v>PACO MOINELO</v>
      </c>
      <c r="F1658" s="76" t="str">
        <f aca="false">IF(D1658&lt;&gt;"",IFERROR(VLOOKUP(D1658,PROVEEDORES!$A:$C,3,0),""),"")</f>
        <v>S</v>
      </c>
      <c r="G1658" s="75" t="s">
        <v>99</v>
      </c>
      <c r="H1658" s="52" t="str">
        <f aca="false">IF(G1658&lt;&gt;"",IFERROR(VLOOKUP(G1658,PRODUCTOS!$A:$B,2,0),"!COD NO ENCONTRADO"),"")</f>
        <v>CABRACHO/ ESCARAPOTE (RSE)</v>
      </c>
      <c r="I1658" s="77" t="n">
        <v>1</v>
      </c>
      <c r="J1658" s="105" t="n">
        <v>10.5</v>
      </c>
      <c r="K1658" s="125" t="n">
        <v>5.8</v>
      </c>
      <c r="L1658" s="80" t="n">
        <f aca="false">IF(AND(J1658&lt;&gt;"",K1658&lt;&gt;""),J1658*K1658,"")</f>
        <v>60.9</v>
      </c>
      <c r="M1658" s="81" t="n">
        <f aca="false">IF(L1658&lt;&gt;"",L1658*1.1,"")</f>
        <v>66.99</v>
      </c>
      <c r="N1658" s="53" t="n">
        <f aca="false">IF(F1658="S",L1658*0.02,0)</f>
        <v>1.218</v>
      </c>
      <c r="O1658" s="82" t="n">
        <f aca="false">IF(L1658&lt;&gt;"",L1658+N1658,"")</f>
        <v>62.118</v>
      </c>
      <c r="P1658" s="53" t="n">
        <f aca="false">IF(O1658&lt;&gt;"",O1658*0.1,"")</f>
        <v>6.2118</v>
      </c>
      <c r="Q1658" s="83" t="n">
        <f aca="false">IF(O1658&lt;&gt;"",O1658+P1658,"")</f>
        <v>68.3298</v>
      </c>
      <c r="R1658" s="84" t="s">
        <v>365</v>
      </c>
    </row>
    <row r="1659" customFormat="false" ht="15" hidden="false" customHeight="true" outlineLevel="0" collapsed="false">
      <c r="A1659" s="103" t="n">
        <v>56338</v>
      </c>
      <c r="B1659" s="85" t="n">
        <v>46259</v>
      </c>
      <c r="C1659" s="74" t="s">
        <v>736</v>
      </c>
      <c r="D1659" s="75" t="n">
        <v>50020</v>
      </c>
      <c r="E1659" s="52" t="str">
        <f aca="false">IF(D1659&lt;&gt;"",IFERROR(VLOOKUP(D1659,PROVEEDORES!$A:$B,2,0),"!COD NO ENCONTRADO"),"")</f>
        <v>PACO MOINELO</v>
      </c>
      <c r="F1659" s="76" t="str">
        <f aca="false">IF(D1659&lt;&gt;"",IFERROR(VLOOKUP(D1659,PROVEEDORES!$A:$C,3,0),""),"")</f>
        <v>S</v>
      </c>
      <c r="G1659" s="75" t="s">
        <v>99</v>
      </c>
      <c r="H1659" s="46" t="str">
        <f aca="false">IF(G1659&lt;&gt;"",IFERROR(VLOOKUP(G1659,PRODUCTOS!$A:$B,2,0),"!COD NO ENCONTRADO"),"")</f>
        <v>CABRACHO/ ESCARAPOTE (RSE)</v>
      </c>
      <c r="I1659" s="89" t="n">
        <v>2</v>
      </c>
      <c r="J1659" s="105" t="n">
        <v>24</v>
      </c>
      <c r="K1659" s="125" t="n">
        <v>6.6</v>
      </c>
      <c r="L1659" s="80" t="n">
        <f aca="false">IF(AND(J1659&lt;&gt;"",K1659&lt;&gt;""),J1659*K1659,"")</f>
        <v>158.4</v>
      </c>
      <c r="M1659" s="81" t="n">
        <f aca="false">IF(L1659&lt;&gt;"",L1659*1.1,"")</f>
        <v>174.24</v>
      </c>
      <c r="N1659" s="47" t="n">
        <f aca="false">IF(F1659="S",L1659*0.02,0)</f>
        <v>3.168</v>
      </c>
      <c r="O1659" s="82" t="n">
        <f aca="false">IF(L1659&lt;&gt;"",L1659+N1659,"")</f>
        <v>161.568</v>
      </c>
      <c r="P1659" s="47" t="n">
        <f aca="false">IF(O1659&lt;&gt;"",O1659*0.1,"")</f>
        <v>16.1568</v>
      </c>
      <c r="Q1659" s="83" t="n">
        <f aca="false">IF(O1659&lt;&gt;"",O1659+P1659,"")</f>
        <v>177.7248</v>
      </c>
      <c r="R1659" s="84" t="s">
        <v>365</v>
      </c>
    </row>
    <row r="1660" customFormat="false" ht="15" hidden="false" customHeight="true" outlineLevel="0" collapsed="false">
      <c r="A1660" s="103" t="n">
        <v>56338</v>
      </c>
      <c r="B1660" s="85" t="n">
        <v>46259</v>
      </c>
      <c r="C1660" s="74" t="s">
        <v>736</v>
      </c>
      <c r="D1660" s="75" t="n">
        <v>50020</v>
      </c>
      <c r="E1660" s="52" t="str">
        <f aca="false">IF(D1660&lt;&gt;"",IFERROR(VLOOKUP(D1660,PROVEEDORES!$A:$B,2,0),"!COD NO ENCONTRADO"),"")</f>
        <v>PACO MOINELO</v>
      </c>
      <c r="F1660" s="76" t="str">
        <f aca="false">IF(D1660&lt;&gt;"",IFERROR(VLOOKUP(D1660,PROVEEDORES!$A:$C,3,0),""),"")</f>
        <v>S</v>
      </c>
      <c r="G1660" s="75" t="s">
        <v>99</v>
      </c>
      <c r="H1660" s="52" t="str">
        <f aca="false">IF(G1660&lt;&gt;"",IFERROR(VLOOKUP(G1660,PRODUCTOS!$A:$B,2,0),"!COD NO ENCONTRADO"),"")</f>
        <v>CABRACHO/ ESCARAPOTE (RSE)</v>
      </c>
      <c r="I1660" s="77" t="n">
        <v>1</v>
      </c>
      <c r="J1660" s="105" t="n">
        <v>6.25</v>
      </c>
      <c r="K1660" s="125" t="n">
        <v>7.9</v>
      </c>
      <c r="L1660" s="80" t="n">
        <f aca="false">IF(AND(J1660&lt;&gt;"",K1660&lt;&gt;""),J1660*K1660,"")</f>
        <v>49.375</v>
      </c>
      <c r="M1660" s="81" t="n">
        <f aca="false">IF(L1660&lt;&gt;"",L1660*1.1,"")</f>
        <v>54.3125</v>
      </c>
      <c r="N1660" s="53" t="n">
        <f aca="false">IF(F1660="S",L1660*0.02,0)</f>
        <v>0.9875</v>
      </c>
      <c r="O1660" s="82" t="n">
        <f aca="false">IF(L1660&lt;&gt;"",L1660+N1660,"")</f>
        <v>50.3625</v>
      </c>
      <c r="P1660" s="53" t="n">
        <f aca="false">IF(O1660&lt;&gt;"",O1660*0.1,"")</f>
        <v>5.03625</v>
      </c>
      <c r="Q1660" s="83" t="n">
        <f aca="false">IF(O1660&lt;&gt;"",O1660+P1660,"")</f>
        <v>55.39875</v>
      </c>
      <c r="R1660" s="84" t="s">
        <v>365</v>
      </c>
    </row>
    <row r="1661" customFormat="false" ht="15" hidden="false" customHeight="true" outlineLevel="0" collapsed="false">
      <c r="A1661" s="103" t="n">
        <v>56338</v>
      </c>
      <c r="B1661" s="85" t="n">
        <v>46259</v>
      </c>
      <c r="C1661" s="74" t="s">
        <v>736</v>
      </c>
      <c r="D1661" s="75" t="n">
        <v>50020</v>
      </c>
      <c r="E1661" s="52" t="str">
        <f aca="false">IF(D1661&lt;&gt;"",IFERROR(VLOOKUP(D1661,PROVEEDORES!$A:$B,2,0),"!COD NO ENCONTRADO"),"")</f>
        <v>PACO MOINELO</v>
      </c>
      <c r="F1661" s="76" t="str">
        <f aca="false">IF(D1661&lt;&gt;"",IFERROR(VLOOKUP(D1661,PROVEEDORES!$A:$C,3,0),""),"")</f>
        <v>S</v>
      </c>
      <c r="G1661" s="75" t="s">
        <v>99</v>
      </c>
      <c r="H1661" s="46" t="str">
        <f aca="false">IF(G1661&lt;&gt;"",IFERROR(VLOOKUP(G1661,PRODUCTOS!$A:$B,2,0),"!COD NO ENCONTRADO"),"")</f>
        <v>CABRACHO/ ESCARAPOTE (RSE)</v>
      </c>
      <c r="I1661" s="89" t="n">
        <v>1</v>
      </c>
      <c r="J1661" s="105" t="n">
        <v>10.5</v>
      </c>
      <c r="K1661" s="125" t="n">
        <v>9</v>
      </c>
      <c r="L1661" s="80" t="n">
        <f aca="false">IF(AND(J1661&lt;&gt;"",K1661&lt;&gt;""),J1661*K1661,"")</f>
        <v>94.5</v>
      </c>
      <c r="M1661" s="81" t="n">
        <f aca="false">IF(L1661&lt;&gt;"",L1661*1.1,"")</f>
        <v>103.95</v>
      </c>
      <c r="N1661" s="47" t="n">
        <f aca="false">IF(F1661="S",L1661*0.02,0)</f>
        <v>1.89</v>
      </c>
      <c r="O1661" s="82" t="n">
        <f aca="false">IF(L1661&lt;&gt;"",L1661+N1661,"")</f>
        <v>96.39</v>
      </c>
      <c r="P1661" s="47" t="n">
        <f aca="false">IF(O1661&lt;&gt;"",O1661*0.1,"")</f>
        <v>9.639</v>
      </c>
      <c r="Q1661" s="83" t="n">
        <f aca="false">IF(O1661&lt;&gt;"",O1661+P1661,"")</f>
        <v>106.029</v>
      </c>
      <c r="R1661" s="84" t="s">
        <v>365</v>
      </c>
    </row>
    <row r="1662" customFormat="false" ht="15" hidden="false" customHeight="true" outlineLevel="0" collapsed="false">
      <c r="A1662" s="103" t="n">
        <v>56338</v>
      </c>
      <c r="B1662" s="85" t="n">
        <v>46259</v>
      </c>
      <c r="C1662" s="74" t="s">
        <v>736</v>
      </c>
      <c r="D1662" s="75" t="n">
        <v>50020</v>
      </c>
      <c r="E1662" s="52" t="str">
        <f aca="false">IF(D1662&lt;&gt;"",IFERROR(VLOOKUP(D1662,PROVEEDORES!$A:$B,2,0),"!COD NO ENCONTRADO"),"")</f>
        <v>PACO MOINELO</v>
      </c>
      <c r="F1662" s="76" t="str">
        <f aca="false">IF(D1662&lt;&gt;"",IFERROR(VLOOKUP(D1662,PROVEEDORES!$A:$C,3,0),""),"")</f>
        <v>S</v>
      </c>
      <c r="G1662" s="75" t="s">
        <v>99</v>
      </c>
      <c r="H1662" s="52" t="str">
        <f aca="false">IF(G1662&lt;&gt;"",IFERROR(VLOOKUP(G1662,PRODUCTOS!$A:$B,2,0),"!COD NO ENCONTRADO"),"")</f>
        <v>CABRACHO/ ESCARAPOTE (RSE)</v>
      </c>
      <c r="I1662" s="77" t="n">
        <v>1</v>
      </c>
      <c r="J1662" s="105" t="n">
        <v>9.5</v>
      </c>
      <c r="K1662" s="125" t="n">
        <v>10.8</v>
      </c>
      <c r="L1662" s="80" t="n">
        <f aca="false">IF(AND(J1662&lt;&gt;"",K1662&lt;&gt;""),J1662*K1662,"")</f>
        <v>102.6</v>
      </c>
      <c r="M1662" s="81" t="n">
        <f aca="false">IF(L1662&lt;&gt;"",L1662*1.1,"")</f>
        <v>112.86</v>
      </c>
      <c r="N1662" s="53" t="n">
        <f aca="false">IF(F1662="S",L1662*0.02,0)</f>
        <v>2.052</v>
      </c>
      <c r="O1662" s="82" t="n">
        <f aca="false">IF(L1662&lt;&gt;"",L1662+N1662,"")</f>
        <v>104.652</v>
      </c>
      <c r="P1662" s="53" t="n">
        <f aca="false">IF(O1662&lt;&gt;"",O1662*0.1,"")</f>
        <v>10.4652</v>
      </c>
      <c r="Q1662" s="83" t="n">
        <f aca="false">IF(O1662&lt;&gt;"",O1662+P1662,"")</f>
        <v>115.1172</v>
      </c>
      <c r="R1662" s="84" t="s">
        <v>365</v>
      </c>
    </row>
    <row r="1663" customFormat="false" ht="15" hidden="false" customHeight="true" outlineLevel="0" collapsed="false">
      <c r="A1663" s="103" t="n">
        <v>56338</v>
      </c>
      <c r="B1663" s="85" t="n">
        <v>46259</v>
      </c>
      <c r="C1663" s="74" t="s">
        <v>736</v>
      </c>
      <c r="D1663" s="75" t="n">
        <v>50020</v>
      </c>
      <c r="E1663" s="52" t="str">
        <f aca="false">IF(D1663&lt;&gt;"",IFERROR(VLOOKUP(D1663,PROVEEDORES!$A:$B,2,0),"!COD NO ENCONTRADO"),"")</f>
        <v>PACO MOINELO</v>
      </c>
      <c r="F1663" s="76" t="str">
        <f aca="false">IF(D1663&lt;&gt;"",IFERROR(VLOOKUP(D1663,PROVEEDORES!$A:$C,3,0),""),"")</f>
        <v>S</v>
      </c>
      <c r="G1663" s="75" t="s">
        <v>99</v>
      </c>
      <c r="H1663" s="46" t="str">
        <f aca="false">IF(G1663&lt;&gt;"",IFERROR(VLOOKUP(G1663,PRODUCTOS!$A:$B,2,0),"!COD NO ENCONTRADO"),"")</f>
        <v>CABRACHO/ ESCARAPOTE (RSE)</v>
      </c>
      <c r="I1663" s="89" t="n">
        <v>3</v>
      </c>
      <c r="J1663" s="105" t="n">
        <v>31.75</v>
      </c>
      <c r="K1663" s="125" t="n">
        <v>10.8</v>
      </c>
      <c r="L1663" s="80" t="n">
        <f aca="false">IF(AND(J1663&lt;&gt;"",K1663&lt;&gt;""),J1663*K1663,"")</f>
        <v>342.9</v>
      </c>
      <c r="M1663" s="81" t="n">
        <f aca="false">IF(L1663&lt;&gt;"",L1663*1.1,"")</f>
        <v>377.19</v>
      </c>
      <c r="N1663" s="47" t="n">
        <f aca="false">IF(F1663="S",L1663*0.02,0)</f>
        <v>6.858</v>
      </c>
      <c r="O1663" s="82" t="n">
        <f aca="false">IF(L1663&lt;&gt;"",L1663+N1663,"")</f>
        <v>349.758</v>
      </c>
      <c r="P1663" s="47" t="n">
        <f aca="false">IF(O1663&lt;&gt;"",O1663*0.1,"")</f>
        <v>34.9758</v>
      </c>
      <c r="Q1663" s="83" t="n">
        <f aca="false">IF(O1663&lt;&gt;"",O1663+P1663,"")</f>
        <v>384.7338</v>
      </c>
      <c r="R1663" s="84" t="s">
        <v>365</v>
      </c>
    </row>
    <row r="1664" customFormat="false" ht="15" hidden="false" customHeight="true" outlineLevel="0" collapsed="false">
      <c r="A1664" s="103" t="n">
        <v>56338</v>
      </c>
      <c r="B1664" s="85" t="n">
        <v>46259</v>
      </c>
      <c r="C1664" s="74" t="s">
        <v>736</v>
      </c>
      <c r="D1664" s="75" t="n">
        <v>50020</v>
      </c>
      <c r="E1664" s="52" t="str">
        <f aca="false">IF(D1664&lt;&gt;"",IFERROR(VLOOKUP(D1664,PROVEEDORES!$A:$B,2,0),"!COD NO ENCONTRADO"),"")</f>
        <v>PACO MOINELO</v>
      </c>
      <c r="F1664" s="76" t="str">
        <f aca="false">IF(D1664&lt;&gt;"",IFERROR(VLOOKUP(D1664,PROVEEDORES!$A:$C,3,0),""),"")</f>
        <v>S</v>
      </c>
      <c r="G1664" s="75" t="s">
        <v>99</v>
      </c>
      <c r="H1664" s="52" t="str">
        <f aca="false">IF(G1664&lt;&gt;"",IFERROR(VLOOKUP(G1664,PRODUCTOS!$A:$B,2,0),"!COD NO ENCONTRADO"),"")</f>
        <v>CABRACHO/ ESCARAPOTE (RSE)</v>
      </c>
      <c r="I1664" s="77" t="n">
        <v>4</v>
      </c>
      <c r="J1664" s="105" t="n">
        <v>35.5</v>
      </c>
      <c r="K1664" s="125" t="n">
        <v>12.8</v>
      </c>
      <c r="L1664" s="80" t="n">
        <f aca="false">IF(AND(J1664&lt;&gt;"",K1664&lt;&gt;""),J1664*K1664,"")</f>
        <v>454.4</v>
      </c>
      <c r="M1664" s="81" t="n">
        <f aca="false">IF(L1664&lt;&gt;"",L1664*1.1,"")</f>
        <v>499.84</v>
      </c>
      <c r="N1664" s="53" t="n">
        <f aca="false">IF(F1664="S",L1664*0.02,0)</f>
        <v>9.088</v>
      </c>
      <c r="O1664" s="82" t="n">
        <f aca="false">IF(L1664&lt;&gt;"",L1664+N1664,"")</f>
        <v>463.488</v>
      </c>
      <c r="P1664" s="53" t="n">
        <f aca="false">IF(O1664&lt;&gt;"",O1664*0.1,"")</f>
        <v>46.3488</v>
      </c>
      <c r="Q1664" s="83" t="n">
        <f aca="false">IF(O1664&lt;&gt;"",O1664+P1664,"")</f>
        <v>509.8368</v>
      </c>
      <c r="R1664" s="84" t="s">
        <v>365</v>
      </c>
    </row>
    <row r="1665" customFormat="false" ht="15" hidden="false" customHeight="true" outlineLevel="0" collapsed="false">
      <c r="A1665" s="103" t="n">
        <v>56338</v>
      </c>
      <c r="B1665" s="73" t="n">
        <v>46259</v>
      </c>
      <c r="C1665" s="74" t="s">
        <v>736</v>
      </c>
      <c r="D1665" s="75" t="n">
        <v>50020</v>
      </c>
      <c r="E1665" s="52" t="str">
        <f aca="false">IF(D1665&lt;&gt;"",IFERROR(VLOOKUP(D1665,PROVEEDORES!$A:$B,2,0),"!COD NO ENCONTRADO"),"")</f>
        <v>PACO MOINELO</v>
      </c>
      <c r="F1665" s="76" t="str">
        <f aca="false">IF(D1665&lt;&gt;"",IFERROR(VLOOKUP(D1665,PROVEEDORES!$A:$C,3,0),""),"")</f>
        <v>S</v>
      </c>
      <c r="G1665" s="75" t="s">
        <v>99</v>
      </c>
      <c r="H1665" s="52" t="str">
        <f aca="false">IF(G1665&lt;&gt;"",IFERROR(VLOOKUP(G1665,PRODUCTOS!$A:$B,2,0),"!COD NO ENCONTRADO"),"")</f>
        <v>CABRACHO/ ESCARAPOTE (RSE)</v>
      </c>
      <c r="I1665" s="77" t="n">
        <v>1</v>
      </c>
      <c r="J1665" s="78" t="n">
        <v>9.5</v>
      </c>
      <c r="K1665" s="79" t="n">
        <v>9</v>
      </c>
      <c r="L1665" s="80" t="n">
        <f aca="false">IF(AND(J1665&lt;&gt;"",K1665&lt;&gt;""),J1665*K1665,"")</f>
        <v>85.5</v>
      </c>
      <c r="M1665" s="81" t="n">
        <f aca="false">IF(L1665&lt;&gt;"",L1665*1.1,"")</f>
        <v>94.05</v>
      </c>
      <c r="N1665" s="53" t="n">
        <f aca="false">IF(F1665="S",L1665*0.02,0)</f>
        <v>1.71</v>
      </c>
      <c r="O1665" s="82" t="n">
        <f aca="false">IF(L1665&lt;&gt;"",L1665+N1665,"")</f>
        <v>87.21</v>
      </c>
      <c r="P1665" s="53" t="n">
        <f aca="false">IF(O1665&lt;&gt;"",O1665*0.1,"")</f>
        <v>8.721</v>
      </c>
      <c r="Q1665" s="83" t="n">
        <f aca="false">IF(O1665&lt;&gt;"",O1665+P1665,"")</f>
        <v>95.931</v>
      </c>
      <c r="R1665" s="84" t="s">
        <v>365</v>
      </c>
    </row>
    <row r="1666" customFormat="false" ht="15" hidden="false" customHeight="true" outlineLevel="0" collapsed="false">
      <c r="A1666" s="103" t="n">
        <v>56339</v>
      </c>
      <c r="B1666" s="85" t="n">
        <v>46259</v>
      </c>
      <c r="C1666" s="86" t="s">
        <v>737</v>
      </c>
      <c r="D1666" s="87" t="n">
        <v>50106</v>
      </c>
      <c r="E1666" s="46" t="str">
        <f aca="false">IF(D1666&lt;&gt;"",IFERROR(VLOOKUP(D1666,PROVEEDORES!$A:$B,2,0),"!COD NO ENCONTRADO"),"")</f>
        <v>SONIA VENTAS S.L</v>
      </c>
      <c r="F1666" s="88" t="str">
        <f aca="false">IF(D1666&lt;&gt;"",IFERROR(VLOOKUP(D1666,PROVEEDORES!$A:$C,3,0),""),"")</f>
        <v>S</v>
      </c>
      <c r="G1666" s="87" t="s">
        <v>288</v>
      </c>
      <c r="H1666" s="46" t="str">
        <f aca="false">IF(G1666&lt;&gt;"",IFERROR(VLOOKUP(G1666,PRODUCTOS!$A:$B,2,0),"!COD NO ENCONTRADO"),"")</f>
        <v>RAPE BLANCO DIA (MON)</v>
      </c>
      <c r="I1666" s="89" t="n">
        <v>5</v>
      </c>
      <c r="J1666" s="90" t="n">
        <v>22.8</v>
      </c>
      <c r="K1666" s="91" t="n">
        <v>6.8</v>
      </c>
      <c r="L1666" s="80" t="n">
        <f aca="false">IF(AND(J1666&lt;&gt;"",K1666&lt;&gt;""),J1666*K1666,"")</f>
        <v>155.04</v>
      </c>
      <c r="M1666" s="81" t="n">
        <f aca="false">IF(L1666&lt;&gt;"",L1666*1.1,"")</f>
        <v>170.544</v>
      </c>
      <c r="N1666" s="47" t="n">
        <f aca="false">IF(F1666="S",L1666*0.02,0)</f>
        <v>3.1008</v>
      </c>
      <c r="O1666" s="82" t="n">
        <f aca="false">IF(L1666&lt;&gt;"",L1666+N1666,"")</f>
        <v>158.1408</v>
      </c>
      <c r="P1666" s="47" t="n">
        <f aca="false">IF(O1666&lt;&gt;"",O1666*0.1,"")</f>
        <v>15.81408</v>
      </c>
      <c r="Q1666" s="83" t="n">
        <f aca="false">IF(O1666&lt;&gt;"",O1666+P1666,"")</f>
        <v>173.95488</v>
      </c>
      <c r="R1666" s="84" t="s">
        <v>365</v>
      </c>
    </row>
    <row r="1667" customFormat="false" ht="15" hidden="false" customHeight="true" outlineLevel="0" collapsed="false">
      <c r="A1667" s="103" t="n">
        <v>56339</v>
      </c>
      <c r="B1667" s="85" t="n">
        <v>46259</v>
      </c>
      <c r="C1667" s="86" t="s">
        <v>737</v>
      </c>
      <c r="D1667" s="87" t="n">
        <v>50106</v>
      </c>
      <c r="E1667" s="52" t="str">
        <f aca="false">IF(D1667&lt;&gt;"",IFERROR(VLOOKUP(D1667,PROVEEDORES!$A:$B,2,0),"!COD NO ENCONTRADO"),"")</f>
        <v>SONIA VENTAS S.L</v>
      </c>
      <c r="F1667" s="76" t="str">
        <f aca="false">IF(D1667&lt;&gt;"",IFERROR(VLOOKUP(D1667,PROVEEDORES!$A:$C,3,0),""),"")</f>
        <v>S</v>
      </c>
      <c r="G1667" s="75" t="s">
        <v>221</v>
      </c>
      <c r="H1667" s="52" t="str">
        <f aca="false">IF(G1667&lt;&gt;"",IFERROR(VLOOKUP(G1667,PRODUCTOS!$A:$B,2,0),"!COD NO ENCONTRADO"),"")</f>
        <v>MERLUZA EUROPEA PINCHO COSTA 800</v>
      </c>
      <c r="I1667" s="77" t="n">
        <v>1</v>
      </c>
      <c r="J1667" s="78" t="n">
        <v>14.25</v>
      </c>
      <c r="K1667" s="79" t="n">
        <v>4.5</v>
      </c>
      <c r="L1667" s="80" t="n">
        <f aca="false">IF(AND(J1667&lt;&gt;"",K1667&lt;&gt;""),J1667*K1667,"")</f>
        <v>64.125</v>
      </c>
      <c r="M1667" s="81" t="n">
        <f aca="false">IF(L1667&lt;&gt;"",L1667*1.1,"")</f>
        <v>70.5375</v>
      </c>
      <c r="N1667" s="53" t="n">
        <f aca="false">IF(F1667="S",L1667*0.02,0)</f>
        <v>1.2825</v>
      </c>
      <c r="O1667" s="82" t="n">
        <f aca="false">IF(L1667&lt;&gt;"",L1667+N1667,"")</f>
        <v>65.4075</v>
      </c>
      <c r="P1667" s="53" t="n">
        <f aca="false">IF(O1667&lt;&gt;"",O1667*0.1,"")</f>
        <v>6.54075</v>
      </c>
      <c r="Q1667" s="83" t="n">
        <f aca="false">IF(O1667&lt;&gt;"",O1667+P1667,"")</f>
        <v>71.94825</v>
      </c>
      <c r="R1667" s="84" t="s">
        <v>365</v>
      </c>
    </row>
    <row r="1668" customFormat="false" ht="15" hidden="false" customHeight="true" outlineLevel="0" collapsed="false">
      <c r="A1668" s="103" t="n">
        <v>56339</v>
      </c>
      <c r="B1668" s="85" t="n">
        <v>46259</v>
      </c>
      <c r="C1668" s="86" t="s">
        <v>737</v>
      </c>
      <c r="D1668" s="87" t="n">
        <v>50106</v>
      </c>
      <c r="E1668" s="46" t="str">
        <f aca="false">IF(D1668&lt;&gt;"",IFERROR(VLOOKUP(D1668,PROVEEDORES!$A:$B,2,0),"!COD NO ENCONTRADO"),"")</f>
        <v>SONIA VENTAS S.L</v>
      </c>
      <c r="F1668" s="88" t="str">
        <f aca="false">IF(D1668&lt;&gt;"",IFERROR(VLOOKUP(D1668,PROVEEDORES!$A:$C,3,0),""),"")</f>
        <v>S</v>
      </c>
      <c r="G1668" s="87" t="s">
        <v>221</v>
      </c>
      <c r="H1668" s="46" t="str">
        <f aca="false">IF(G1668&lt;&gt;"",IFERROR(VLOOKUP(G1668,PRODUCTOS!$A:$B,2,0),"!COD NO ENCONTRADO"),"")</f>
        <v>MERLUZA EUROPEA PINCHO COSTA 800</v>
      </c>
      <c r="I1668" s="89" t="n">
        <v>1</v>
      </c>
      <c r="J1668" s="90" t="n">
        <v>14.5</v>
      </c>
      <c r="K1668" s="91" t="n">
        <v>4.4</v>
      </c>
      <c r="L1668" s="80" t="n">
        <f aca="false">IF(AND(J1668&lt;&gt;"",K1668&lt;&gt;""),J1668*K1668,"")</f>
        <v>63.8</v>
      </c>
      <c r="M1668" s="81" t="n">
        <f aca="false">IF(L1668&lt;&gt;"",L1668*1.1,"")</f>
        <v>70.18</v>
      </c>
      <c r="N1668" s="47" t="n">
        <f aca="false">IF(F1668="S",L1668*0.02,0)</f>
        <v>1.276</v>
      </c>
      <c r="O1668" s="82" t="n">
        <f aca="false">IF(L1668&lt;&gt;"",L1668+N1668,"")</f>
        <v>65.076</v>
      </c>
      <c r="P1668" s="47" t="n">
        <f aca="false">IF(O1668&lt;&gt;"",O1668*0.1,"")</f>
        <v>6.5076</v>
      </c>
      <c r="Q1668" s="83" t="n">
        <f aca="false">IF(O1668&lt;&gt;"",O1668+P1668,"")</f>
        <v>71.5836</v>
      </c>
      <c r="R1668" s="84" t="s">
        <v>365</v>
      </c>
    </row>
    <row r="1669" customFormat="false" ht="15" hidden="false" customHeight="true" outlineLevel="0" collapsed="false">
      <c r="A1669" s="103" t="n">
        <v>56339</v>
      </c>
      <c r="B1669" s="85" t="n">
        <v>46259</v>
      </c>
      <c r="C1669" s="86" t="s">
        <v>737</v>
      </c>
      <c r="D1669" s="87" t="n">
        <v>50106</v>
      </c>
      <c r="E1669" s="52" t="str">
        <f aca="false">IF(D1669&lt;&gt;"",IFERROR(VLOOKUP(D1669,PROVEEDORES!$A:$B,2,0),"!COD NO ENCONTRADO"),"")</f>
        <v>SONIA VENTAS S.L</v>
      </c>
      <c r="F1669" s="76" t="str">
        <f aca="false">IF(D1669&lt;&gt;"",IFERROR(VLOOKUP(D1669,PROVEEDORES!$A:$C,3,0),""),"")</f>
        <v>S</v>
      </c>
      <c r="G1669" s="75" t="s">
        <v>221</v>
      </c>
      <c r="H1669" s="52" t="str">
        <f aca="false">IF(G1669&lt;&gt;"",IFERROR(VLOOKUP(G1669,PRODUCTOS!$A:$B,2,0),"!COD NO ENCONTRADO"),"")</f>
        <v>MERLUZA EUROPEA PINCHO COSTA 800</v>
      </c>
      <c r="I1669" s="77" t="n">
        <v>3</v>
      </c>
      <c r="J1669" s="78" t="n">
        <v>43.25</v>
      </c>
      <c r="K1669" s="79" t="n">
        <v>5.3</v>
      </c>
      <c r="L1669" s="80" t="n">
        <f aca="false">IF(AND(J1669&lt;&gt;"",K1669&lt;&gt;""),J1669*K1669,"")</f>
        <v>229.225</v>
      </c>
      <c r="M1669" s="81" t="n">
        <f aca="false">IF(L1669&lt;&gt;"",L1669*1.1,"")</f>
        <v>252.1475</v>
      </c>
      <c r="N1669" s="53" t="n">
        <f aca="false">IF(F1669="S",L1669*0.02,0)</f>
        <v>4.5845</v>
      </c>
      <c r="O1669" s="82" t="n">
        <f aca="false">IF(L1669&lt;&gt;"",L1669+N1669,"")</f>
        <v>233.8095</v>
      </c>
      <c r="P1669" s="53" t="n">
        <f aca="false">IF(O1669&lt;&gt;"",O1669*0.1,"")</f>
        <v>23.38095</v>
      </c>
      <c r="Q1669" s="83" t="n">
        <f aca="false">IF(O1669&lt;&gt;"",O1669+P1669,"")</f>
        <v>257.19045</v>
      </c>
      <c r="R1669" s="84" t="s">
        <v>365</v>
      </c>
    </row>
    <row r="1670" customFormat="false" ht="15" hidden="false" customHeight="true" outlineLevel="0" collapsed="false">
      <c r="A1670" s="103" t="n">
        <v>56340</v>
      </c>
      <c r="B1670" s="73" t="n">
        <v>46259</v>
      </c>
      <c r="C1670" s="74" t="s">
        <v>738</v>
      </c>
      <c r="D1670" s="75" t="n">
        <v>50160</v>
      </c>
      <c r="E1670" s="52" t="str">
        <f aca="false">IF(D1670&lt;&gt;"",IFERROR(VLOOKUP(D1670,PROVEEDORES!$A:$B,2,0),"!COD NO ENCONTRADO"),"")</f>
        <v>SUBASTAS CORUÑA S.L.</v>
      </c>
      <c r="F1670" s="88" t="str">
        <f aca="false">IF(D1670&lt;&gt;"",IFERROR(VLOOKUP(D1670,PROVEEDORES!$A:$C,3,0),""),"")</f>
        <v>S</v>
      </c>
      <c r="G1670" s="87" t="s">
        <v>332</v>
      </c>
      <c r="H1670" s="46" t="str">
        <f aca="false">IF(G1670&lt;&gt;"",IFERROR(VLOOKUP(G1670,PRODUCTOS!$A:$B,2,0),"!COD NO ENCONTRADO"),"")</f>
        <v>VARIADO PEQUEÑO</v>
      </c>
      <c r="I1670" s="89" t="n">
        <v>14</v>
      </c>
      <c r="J1670" s="105" t="n">
        <v>90</v>
      </c>
      <c r="K1670" s="125" t="n">
        <v>0.6</v>
      </c>
      <c r="L1670" s="80" t="n">
        <f aca="false">IF(AND(J1670&lt;&gt;"",K1670&lt;&gt;""),J1670*K1670,"")</f>
        <v>54</v>
      </c>
      <c r="M1670" s="81" t="n">
        <f aca="false">IF(L1670&lt;&gt;"",L1670*1.1,"")</f>
        <v>59.4</v>
      </c>
      <c r="N1670" s="47" t="n">
        <f aca="false">IF(F1670="S",L1670*0.02,0)</f>
        <v>1.08</v>
      </c>
      <c r="O1670" s="82" t="n">
        <f aca="false">IF(L1670&lt;&gt;"",L1670+N1670,"")</f>
        <v>55.08</v>
      </c>
      <c r="P1670" s="47" t="n">
        <f aca="false">IF(O1670&lt;&gt;"",O1670*0.1,"")</f>
        <v>5.508</v>
      </c>
      <c r="Q1670" s="83" t="n">
        <f aca="false">IF(O1670&lt;&gt;"",O1670+P1670,"")</f>
        <v>60.588</v>
      </c>
      <c r="R1670" s="84" t="s">
        <v>365</v>
      </c>
    </row>
    <row r="1671" customFormat="false" ht="15" hidden="false" customHeight="true" outlineLevel="0" collapsed="false">
      <c r="A1671" s="103" t="n">
        <v>56340</v>
      </c>
      <c r="B1671" s="73" t="n">
        <v>46259</v>
      </c>
      <c r="C1671" s="74" t="s">
        <v>738</v>
      </c>
      <c r="D1671" s="75" t="n">
        <v>50160</v>
      </c>
      <c r="E1671" s="52" t="str">
        <f aca="false">IF(D1671&lt;&gt;"",IFERROR(VLOOKUP(D1671,PROVEEDORES!$A:$B,2,0),"!COD NO ENCONTRADO"),"")</f>
        <v>SUBASTAS CORUÑA S.L.</v>
      </c>
      <c r="F1671" s="76" t="str">
        <f aca="false">IF(D1671&lt;&gt;"",IFERROR(VLOOKUP(D1671,PROVEEDORES!$A:$C,3,0),""),"")</f>
        <v>S</v>
      </c>
      <c r="G1671" s="75" t="s">
        <v>103</v>
      </c>
      <c r="H1671" s="52" t="str">
        <f aca="false">IF(G1671&lt;&gt;"",IFERROR(VLOOKUP(G1671,PRODUCTOS!$A:$B,2,0),"!COD NO ENCONTRADO"),"")</f>
        <v>CABRAS/ GALLINETA (BRF)</v>
      </c>
      <c r="I1671" s="77" t="n">
        <v>1</v>
      </c>
      <c r="J1671" s="105" t="n">
        <v>0.75</v>
      </c>
      <c r="K1671" s="125" t="n">
        <v>6.6</v>
      </c>
      <c r="L1671" s="80" t="n">
        <f aca="false">IF(AND(J1671&lt;&gt;"",K1671&lt;&gt;""),J1671*K1671,"")</f>
        <v>4.95</v>
      </c>
      <c r="M1671" s="81" t="n">
        <f aca="false">IF(L1671&lt;&gt;"",L1671*1.1,"")</f>
        <v>5.445</v>
      </c>
      <c r="N1671" s="53" t="n">
        <f aca="false">IF(F1671="S",L1671*0.02,0)</f>
        <v>0.099</v>
      </c>
      <c r="O1671" s="82" t="n">
        <f aca="false">IF(L1671&lt;&gt;"",L1671+N1671,"")</f>
        <v>5.049</v>
      </c>
      <c r="P1671" s="53" t="n">
        <f aca="false">IF(O1671&lt;&gt;"",O1671*0.1,"")</f>
        <v>0.5049</v>
      </c>
      <c r="Q1671" s="83" t="n">
        <f aca="false">IF(O1671&lt;&gt;"",O1671+P1671,"")</f>
        <v>5.5539</v>
      </c>
      <c r="R1671" s="84" t="s">
        <v>365</v>
      </c>
    </row>
    <row r="1672" customFormat="false" ht="15" hidden="false" customHeight="true" outlineLevel="0" collapsed="false">
      <c r="A1672" s="103" t="n">
        <v>56340</v>
      </c>
      <c r="B1672" s="73" t="n">
        <v>46259</v>
      </c>
      <c r="C1672" s="74" t="s">
        <v>738</v>
      </c>
      <c r="D1672" s="75" t="n">
        <v>50160</v>
      </c>
      <c r="E1672" s="46" t="str">
        <f aca="false">IF(D1672&lt;&gt;"",IFERROR(VLOOKUP(D1672,PROVEEDORES!$A:$B,2,0),"!COD NO ENCONTRADO"),"")</f>
        <v>SUBASTAS CORUÑA S.L.</v>
      </c>
      <c r="F1672" s="88" t="str">
        <f aca="false">IF(D1672&lt;&gt;"",IFERROR(VLOOKUP(D1672,PROVEEDORES!$A:$C,3,0),""),"")</f>
        <v>S</v>
      </c>
      <c r="G1672" s="87" t="s">
        <v>276</v>
      </c>
      <c r="H1672" s="46" t="str">
        <f aca="false">IF(G1672&lt;&gt;"",IFERROR(VLOOKUP(G1672,PRODUCTOS!$A:$B,2,0),"!COD NO ENCONTRADO"),"")</f>
        <v>MERLUZA EUROPEA/ FINA DIA </v>
      </c>
      <c r="I1672" s="89" t="n">
        <v>8</v>
      </c>
      <c r="J1672" s="105" t="n">
        <v>80.5</v>
      </c>
      <c r="K1672" s="125" t="n">
        <v>1.9</v>
      </c>
      <c r="L1672" s="80" t="n">
        <f aca="false">IF(AND(J1672&lt;&gt;"",K1672&lt;&gt;""),J1672*K1672,"")</f>
        <v>152.95</v>
      </c>
      <c r="M1672" s="81" t="n">
        <f aca="false">IF(L1672&lt;&gt;"",L1672*1.1,"")</f>
        <v>168.245</v>
      </c>
      <c r="N1672" s="47" t="n">
        <f aca="false">IF(F1672="S",L1672*0.02,0)</f>
        <v>3.059</v>
      </c>
      <c r="O1672" s="82" t="n">
        <f aca="false">IF(L1672&lt;&gt;"",L1672+N1672,"")</f>
        <v>156.009</v>
      </c>
      <c r="P1672" s="47" t="n">
        <f aca="false">IF(O1672&lt;&gt;"",O1672*0.1,"")</f>
        <v>15.6009</v>
      </c>
      <c r="Q1672" s="83" t="n">
        <f aca="false">IF(O1672&lt;&gt;"",O1672+P1672,"")</f>
        <v>171.6099</v>
      </c>
      <c r="R1672" s="84" t="s">
        <v>365</v>
      </c>
    </row>
    <row r="1673" customFormat="false" ht="15" hidden="false" customHeight="true" outlineLevel="0" collapsed="false">
      <c r="A1673" s="103" t="n">
        <v>56340</v>
      </c>
      <c r="B1673" s="73" t="n">
        <v>46259</v>
      </c>
      <c r="C1673" s="74" t="s">
        <v>738</v>
      </c>
      <c r="D1673" s="75" t="n">
        <v>50160</v>
      </c>
      <c r="E1673" s="52" t="str">
        <f aca="false">IF(D1673&lt;&gt;"",IFERROR(VLOOKUP(D1673,PROVEEDORES!$A:$B,2,0),"!COD NO ENCONTRADO"),"")</f>
        <v>SUBASTAS CORUÑA S.L.</v>
      </c>
      <c r="F1673" s="76" t="str">
        <f aca="false">IF(D1673&lt;&gt;"",IFERROR(VLOOKUP(D1673,PROVEEDORES!$A:$C,3,0),""),"")</f>
        <v>S</v>
      </c>
      <c r="G1673" s="75" t="s">
        <v>288</v>
      </c>
      <c r="H1673" s="52" t="str">
        <f aca="false">IF(G1673&lt;&gt;"",IFERROR(VLOOKUP(G1673,PRODUCTOS!$A:$B,2,0),"!COD NO ENCONTRADO"),"")</f>
        <v>RAPE BLANCO DIA (MON)</v>
      </c>
      <c r="I1673" s="77" t="n">
        <v>1</v>
      </c>
      <c r="J1673" s="78" t="n">
        <v>7</v>
      </c>
      <c r="K1673" s="79" t="n">
        <v>6.2</v>
      </c>
      <c r="L1673" s="80" t="n">
        <f aca="false">IF(AND(J1673&lt;&gt;"",K1673&lt;&gt;""),J1673*K1673,"")</f>
        <v>43.4</v>
      </c>
      <c r="M1673" s="81" t="n">
        <f aca="false">IF(L1673&lt;&gt;"",L1673*1.1,"")</f>
        <v>47.74</v>
      </c>
      <c r="N1673" s="53" t="n">
        <f aca="false">IF(F1673="S",L1673*0.02,0)</f>
        <v>0.868</v>
      </c>
      <c r="O1673" s="82" t="n">
        <f aca="false">IF(L1673&lt;&gt;"",L1673+N1673,"")</f>
        <v>44.268</v>
      </c>
      <c r="P1673" s="53" t="n">
        <f aca="false">IF(O1673&lt;&gt;"",O1673*0.1,"")</f>
        <v>4.4268</v>
      </c>
      <c r="Q1673" s="83" t="n">
        <f aca="false">IF(O1673&lt;&gt;"",O1673+P1673,"")</f>
        <v>48.6948</v>
      </c>
      <c r="R1673" s="84" t="s">
        <v>365</v>
      </c>
    </row>
    <row r="1674" customFormat="false" ht="15" hidden="false" customHeight="true" outlineLevel="0" collapsed="false">
      <c r="A1674" s="103" t="n">
        <v>56340</v>
      </c>
      <c r="B1674" s="73" t="n">
        <v>46259</v>
      </c>
      <c r="C1674" s="74" t="s">
        <v>738</v>
      </c>
      <c r="D1674" s="75" t="n">
        <v>50160</v>
      </c>
      <c r="E1674" s="46" t="str">
        <f aca="false">IF(D1674&lt;&gt;"",IFERROR(VLOOKUP(D1674,PROVEEDORES!$A:$B,2,0),"!COD NO ENCONTRADO"),"")</f>
        <v>SUBASTAS CORUÑA S.L.</v>
      </c>
      <c r="F1674" s="88" t="str">
        <f aca="false">IF(D1674&lt;&gt;"",IFERROR(VLOOKUP(D1674,PROVEEDORES!$A:$C,3,0),""),"")</f>
        <v>S</v>
      </c>
      <c r="G1674" s="87" t="s">
        <v>288</v>
      </c>
      <c r="H1674" s="46" t="str">
        <f aca="false">IF(G1674&lt;&gt;"",IFERROR(VLOOKUP(G1674,PRODUCTOS!$A:$B,2,0),"!COD NO ENCONTRADO"),"")</f>
        <v>RAPE BLANCO DIA (MON)</v>
      </c>
      <c r="I1674" s="89" t="n">
        <v>1</v>
      </c>
      <c r="J1674" s="90" t="n">
        <v>12.7</v>
      </c>
      <c r="K1674" s="91" t="n">
        <v>7.1</v>
      </c>
      <c r="L1674" s="80" t="n">
        <f aca="false">IF(AND(J1674&lt;&gt;"",K1674&lt;&gt;""),J1674*K1674,"")</f>
        <v>90.17</v>
      </c>
      <c r="M1674" s="81" t="n">
        <f aca="false">IF(L1674&lt;&gt;"",L1674*1.1,"")</f>
        <v>99.187</v>
      </c>
      <c r="N1674" s="47" t="n">
        <f aca="false">IF(F1674="S",L1674*0.02,0)</f>
        <v>1.8034</v>
      </c>
      <c r="O1674" s="82" t="n">
        <f aca="false">IF(L1674&lt;&gt;"",L1674+N1674,"")</f>
        <v>91.9734</v>
      </c>
      <c r="P1674" s="47" t="n">
        <f aca="false">IF(O1674&lt;&gt;"",O1674*0.1,"")</f>
        <v>9.19734</v>
      </c>
      <c r="Q1674" s="83" t="n">
        <f aca="false">IF(O1674&lt;&gt;"",O1674+P1674,"")</f>
        <v>101.17074</v>
      </c>
      <c r="R1674" s="84" t="s">
        <v>365</v>
      </c>
    </row>
    <row r="1675" customFormat="false" ht="15" hidden="false" customHeight="true" outlineLevel="0" collapsed="false">
      <c r="A1675" s="103" t="n">
        <v>56341</v>
      </c>
      <c r="B1675" s="73" t="n">
        <v>46259</v>
      </c>
      <c r="C1675" s="74" t="s">
        <v>739</v>
      </c>
      <c r="D1675" s="75" t="n">
        <v>50163</v>
      </c>
      <c r="E1675" s="52" t="str">
        <f aca="false">IF(D1675&lt;&gt;"",IFERROR(VLOOKUP(D1675,PROVEEDORES!$A:$B,2,0),"!COD NO ENCONTRADO"),"")</f>
        <v>SUBASTAS RIVERA S.L.</v>
      </c>
      <c r="F1675" s="76" t="str">
        <f aca="false">IF(D1675&lt;&gt;"",IFERROR(VLOOKUP(D1675,PROVEEDORES!$A:$C,3,0),""),"")</f>
        <v>S</v>
      </c>
      <c r="G1675" s="75" t="s">
        <v>332</v>
      </c>
      <c r="H1675" s="52" t="str">
        <f aca="false">IF(G1675&lt;&gt;"",IFERROR(VLOOKUP(G1675,PRODUCTOS!$A:$B,2,0),"!COD NO ENCONTRADO"),"")</f>
        <v>VARIADO PEQUEÑO</v>
      </c>
      <c r="I1675" s="77" t="n">
        <v>3</v>
      </c>
      <c r="J1675" s="105" t="n">
        <v>16.5</v>
      </c>
      <c r="K1675" s="125" t="n">
        <v>0.75</v>
      </c>
      <c r="L1675" s="80" t="n">
        <f aca="false">IF(AND(J1675&lt;&gt;"",K1675&lt;&gt;""),J1675*K1675,"")</f>
        <v>12.375</v>
      </c>
      <c r="M1675" s="81" t="n">
        <f aca="false">IF(L1675&lt;&gt;"",L1675*1.1,"")</f>
        <v>13.6125</v>
      </c>
      <c r="N1675" s="53" t="n">
        <f aca="false">IF(F1675="S",L1675*0.02,0)</f>
        <v>0.2475</v>
      </c>
      <c r="O1675" s="82" t="n">
        <f aca="false">IF(L1675&lt;&gt;"",L1675+N1675,"")</f>
        <v>12.6225</v>
      </c>
      <c r="P1675" s="53" t="n">
        <f aca="false">IF(O1675&lt;&gt;"",O1675*0.1,"")</f>
        <v>1.26225</v>
      </c>
      <c r="Q1675" s="83" t="n">
        <f aca="false">IF(O1675&lt;&gt;"",O1675+P1675,"")</f>
        <v>13.88475</v>
      </c>
      <c r="R1675" s="84" t="s">
        <v>365</v>
      </c>
    </row>
    <row r="1676" customFormat="false" ht="15" hidden="false" customHeight="true" outlineLevel="0" collapsed="false">
      <c r="A1676" s="103" t="n">
        <v>56341</v>
      </c>
      <c r="B1676" s="73" t="n">
        <v>46259</v>
      </c>
      <c r="C1676" s="74" t="s">
        <v>739</v>
      </c>
      <c r="D1676" s="75" t="n">
        <v>50163</v>
      </c>
      <c r="E1676" s="46" t="str">
        <f aca="false">IF(D1676&lt;&gt;"",IFERROR(VLOOKUP(D1676,PROVEEDORES!$A:$B,2,0),"!COD NO ENCONTRADO"),"")</f>
        <v>SUBASTAS RIVERA S.L.</v>
      </c>
      <c r="F1676" s="88" t="str">
        <f aca="false">IF(D1676&lt;&gt;"",IFERROR(VLOOKUP(D1676,PROVEEDORES!$A:$C,3,0),""),"")</f>
        <v>S</v>
      </c>
      <c r="G1676" s="87" t="s">
        <v>332</v>
      </c>
      <c r="H1676" s="46" t="str">
        <f aca="false">IF(G1676&lt;&gt;"",IFERROR(VLOOKUP(G1676,PRODUCTOS!$A:$B,2,0),"!COD NO ENCONTRADO"),"")</f>
        <v>VARIADO PEQUEÑO</v>
      </c>
      <c r="I1676" s="89" t="n">
        <v>2</v>
      </c>
      <c r="J1676" s="105" t="n">
        <v>24.5</v>
      </c>
      <c r="K1676" s="125" t="n">
        <v>0.8</v>
      </c>
      <c r="L1676" s="80" t="n">
        <f aca="false">IF(AND(J1676&lt;&gt;"",K1676&lt;&gt;""),J1676*K1676,"")</f>
        <v>19.6</v>
      </c>
      <c r="M1676" s="81" t="n">
        <f aca="false">IF(L1676&lt;&gt;"",L1676*1.1,"")</f>
        <v>21.56</v>
      </c>
      <c r="N1676" s="47" t="n">
        <f aca="false">IF(F1676="S",L1676*0.02,0)</f>
        <v>0.392</v>
      </c>
      <c r="O1676" s="82" t="n">
        <f aca="false">IF(L1676&lt;&gt;"",L1676+N1676,"")</f>
        <v>19.992</v>
      </c>
      <c r="P1676" s="47" t="n">
        <f aca="false">IF(O1676&lt;&gt;"",O1676*0.1,"")</f>
        <v>1.9992</v>
      </c>
      <c r="Q1676" s="83" t="n">
        <f aca="false">IF(O1676&lt;&gt;"",O1676+P1676,"")</f>
        <v>21.9912</v>
      </c>
      <c r="R1676" s="84" t="s">
        <v>365</v>
      </c>
    </row>
    <row r="1677" customFormat="false" ht="15" hidden="false" customHeight="true" outlineLevel="0" collapsed="false">
      <c r="A1677" s="103" t="n">
        <v>56341</v>
      </c>
      <c r="B1677" s="73" t="n">
        <v>46259</v>
      </c>
      <c r="C1677" s="74" t="s">
        <v>739</v>
      </c>
      <c r="D1677" s="75" t="n">
        <v>50163</v>
      </c>
      <c r="E1677" s="52" t="str">
        <f aca="false">IF(D1677&lt;&gt;"",IFERROR(VLOOKUP(D1677,PROVEEDORES!$A:$B,2,0),"!COD NO ENCONTRADO"),"")</f>
        <v>SUBASTAS RIVERA S.L.</v>
      </c>
      <c r="F1677" s="76" t="str">
        <f aca="false">IF(D1677&lt;&gt;"",IFERROR(VLOOKUP(D1677,PROVEEDORES!$A:$C,3,0),""),"")</f>
        <v>S</v>
      </c>
      <c r="G1677" s="75" t="s">
        <v>233</v>
      </c>
      <c r="H1677" s="52" t="str">
        <f aca="false">IF(G1677&lt;&gt;"",IFERROR(VLOOKUP(G1677,PRODUCTOS!$A:$B,2,0),"!COD NO ENCONTRADO"),"")</f>
        <v>MERLUZA EUROPEA VOLANTA COSTA</v>
      </c>
      <c r="I1677" s="77" t="n">
        <v>1</v>
      </c>
      <c r="J1677" s="105" t="n">
        <v>18.5</v>
      </c>
      <c r="K1677" s="125" t="n">
        <v>4.8</v>
      </c>
      <c r="L1677" s="80" t="n">
        <f aca="false">IF(AND(J1677&lt;&gt;"",K1677&lt;&gt;""),J1677*K1677,"")</f>
        <v>88.8</v>
      </c>
      <c r="M1677" s="81" t="n">
        <f aca="false">IF(L1677&lt;&gt;"",L1677*1.1,"")</f>
        <v>97.68</v>
      </c>
      <c r="N1677" s="53" t="n">
        <f aca="false">IF(F1677="S",L1677*0.02,0)</f>
        <v>1.776</v>
      </c>
      <c r="O1677" s="82" t="n">
        <f aca="false">IF(L1677&lt;&gt;"",L1677+N1677,"")</f>
        <v>90.576</v>
      </c>
      <c r="P1677" s="53" t="n">
        <f aca="false">IF(O1677&lt;&gt;"",O1677*0.1,"")</f>
        <v>9.0576</v>
      </c>
      <c r="Q1677" s="83" t="n">
        <f aca="false">IF(O1677&lt;&gt;"",O1677+P1677,"")</f>
        <v>99.6336</v>
      </c>
      <c r="R1677" s="84" t="s">
        <v>365</v>
      </c>
    </row>
    <row r="1678" customFormat="false" ht="15" hidden="false" customHeight="true" outlineLevel="0" collapsed="false">
      <c r="A1678" s="103" t="n">
        <v>56341</v>
      </c>
      <c r="B1678" s="73" t="n">
        <v>46259</v>
      </c>
      <c r="C1678" s="74" t="s">
        <v>739</v>
      </c>
      <c r="D1678" s="75" t="n">
        <v>50163</v>
      </c>
      <c r="E1678" s="46" t="str">
        <f aca="false">IF(D1678&lt;&gt;"",IFERROR(VLOOKUP(D1678,PROVEEDORES!$A:$B,2,0),"!COD NO ENCONTRADO"),"")</f>
        <v>SUBASTAS RIVERA S.L.</v>
      </c>
      <c r="F1678" s="88" t="str">
        <f aca="false">IF(D1678&lt;&gt;"",IFERROR(VLOOKUP(D1678,PROVEEDORES!$A:$C,3,0),""),"")</f>
        <v>S</v>
      </c>
      <c r="G1678" s="87" t="s">
        <v>233</v>
      </c>
      <c r="H1678" s="46" t="str">
        <f aca="false">IF(G1678&lt;&gt;"",IFERROR(VLOOKUP(G1678,PRODUCTOS!$A:$B,2,0),"!COD NO ENCONTRADO"),"")</f>
        <v>MERLUZA EUROPEA VOLANTA COSTA</v>
      </c>
      <c r="I1678" s="89" t="n">
        <v>2</v>
      </c>
      <c r="J1678" s="105" t="n">
        <v>36.25</v>
      </c>
      <c r="K1678" s="125" t="n">
        <v>4.3</v>
      </c>
      <c r="L1678" s="80" t="n">
        <f aca="false">IF(AND(J1678&lt;&gt;"",K1678&lt;&gt;""),J1678*K1678,"")</f>
        <v>155.875</v>
      </c>
      <c r="M1678" s="81" t="n">
        <f aca="false">IF(L1678&lt;&gt;"",L1678*1.1,"")</f>
        <v>171.4625</v>
      </c>
      <c r="N1678" s="47" t="n">
        <f aca="false">IF(F1678="S",L1678*0.02,0)</f>
        <v>3.1175</v>
      </c>
      <c r="O1678" s="82" t="n">
        <f aca="false">IF(L1678&lt;&gt;"",L1678+N1678,"")</f>
        <v>158.9925</v>
      </c>
      <c r="P1678" s="47" t="n">
        <f aca="false">IF(O1678&lt;&gt;"",O1678*0.1,"")</f>
        <v>15.89925</v>
      </c>
      <c r="Q1678" s="83" t="n">
        <f aca="false">IF(O1678&lt;&gt;"",O1678+P1678,"")</f>
        <v>174.89175</v>
      </c>
      <c r="R1678" s="84" t="s">
        <v>365</v>
      </c>
    </row>
    <row r="1679" customFormat="false" ht="15" hidden="false" customHeight="true" outlineLevel="0" collapsed="false">
      <c r="A1679" s="103" t="n">
        <v>56341</v>
      </c>
      <c r="B1679" s="73" t="n">
        <v>46259</v>
      </c>
      <c r="C1679" s="74" t="s">
        <v>739</v>
      </c>
      <c r="D1679" s="75" t="n">
        <v>50163</v>
      </c>
      <c r="E1679" s="52" t="str">
        <f aca="false">IF(D1679&lt;&gt;"",IFERROR(VLOOKUP(D1679,PROVEEDORES!$A:$B,2,0),"!COD NO ENCONTRADO"),"")</f>
        <v>SUBASTAS RIVERA S.L.</v>
      </c>
      <c r="F1679" s="76" t="str">
        <f aca="false">IF(D1679&lt;&gt;"",IFERROR(VLOOKUP(D1679,PROVEEDORES!$A:$C,3,0),""),"")</f>
        <v>S</v>
      </c>
      <c r="G1679" s="75" t="s">
        <v>137</v>
      </c>
      <c r="H1679" s="52" t="str">
        <f aca="false">IF(G1679&lt;&gt;"",IFERROR(VLOOKUP(G1679,PRODUCTOS!$A:$B,2,0),"!COD NO ENCONTRADO"),"")</f>
        <v>CONGRIO 7/10 (COE)</v>
      </c>
      <c r="I1679" s="77" t="n">
        <v>1</v>
      </c>
      <c r="J1679" s="105" t="n">
        <v>20.75</v>
      </c>
      <c r="K1679" s="125" t="n">
        <v>2.75</v>
      </c>
      <c r="L1679" s="80" t="n">
        <f aca="false">IF(AND(J1679&lt;&gt;"",K1679&lt;&gt;""),J1679*K1679,"")</f>
        <v>57.0625</v>
      </c>
      <c r="M1679" s="81" t="n">
        <f aca="false">IF(L1679&lt;&gt;"",L1679*1.1,"")</f>
        <v>62.76875</v>
      </c>
      <c r="N1679" s="53" t="n">
        <f aca="false">IF(F1679="S",L1679*0.02,0)</f>
        <v>1.14125</v>
      </c>
      <c r="O1679" s="82" t="n">
        <f aca="false">IF(L1679&lt;&gt;"",L1679+N1679,"")</f>
        <v>58.20375</v>
      </c>
      <c r="P1679" s="53" t="n">
        <f aca="false">IF(O1679&lt;&gt;"",O1679*0.1,"")</f>
        <v>5.820375</v>
      </c>
      <c r="Q1679" s="83" t="n">
        <f aca="false">IF(O1679&lt;&gt;"",O1679+P1679,"")</f>
        <v>64.024125</v>
      </c>
      <c r="R1679" s="84" t="s">
        <v>365</v>
      </c>
    </row>
    <row r="1680" customFormat="false" ht="15" hidden="false" customHeight="true" outlineLevel="0" collapsed="false">
      <c r="A1680" s="103" t="n">
        <v>56341</v>
      </c>
      <c r="B1680" s="73" t="n">
        <v>46259</v>
      </c>
      <c r="C1680" s="74" t="s">
        <v>739</v>
      </c>
      <c r="D1680" s="75" t="n">
        <v>50163</v>
      </c>
      <c r="E1680" s="52" t="str">
        <f aca="false">IF(D1680&lt;&gt;"",IFERROR(VLOOKUP(D1680,PROVEEDORES!$A:$B,2,0),"!COD NO ENCONTRADO"),"")</f>
        <v>SUBASTAS RIVERA S.L.</v>
      </c>
      <c r="F1680" s="76" t="str">
        <f aca="false">IF(D1680&lt;&gt;"",IFERROR(VLOOKUP(D1680,PROVEEDORES!$A:$C,3,0),""),"")</f>
        <v>S</v>
      </c>
      <c r="G1680" s="75" t="s">
        <v>135</v>
      </c>
      <c r="H1680" s="46" t="str">
        <f aca="false">IF(G1680&lt;&gt;"",IFERROR(VLOOKUP(G1680,PRODUCTOS!$A:$B,2,0),"!COD NO ENCONTRADO"),"")</f>
        <v>CONGRIO 10+  (COE)</v>
      </c>
      <c r="I1680" s="89" t="n">
        <v>5</v>
      </c>
      <c r="J1680" s="105" t="n">
        <v>112.25</v>
      </c>
      <c r="K1680" s="125" t="n">
        <v>4.6</v>
      </c>
      <c r="L1680" s="80" t="n">
        <f aca="false">IF(AND(J1680&lt;&gt;"",K1680&lt;&gt;""),J1680*K1680,"")</f>
        <v>516.35</v>
      </c>
      <c r="M1680" s="81" t="n">
        <f aca="false">IF(L1680&lt;&gt;"",L1680*1.1,"")</f>
        <v>567.985</v>
      </c>
      <c r="N1680" s="47" t="n">
        <f aca="false">IF(F1680="S",L1680*0.02,0)</f>
        <v>10.327</v>
      </c>
      <c r="O1680" s="82" t="n">
        <f aca="false">IF(L1680&lt;&gt;"",L1680+N1680,"")</f>
        <v>526.677</v>
      </c>
      <c r="P1680" s="47" t="n">
        <f aca="false">IF(O1680&lt;&gt;"",O1680*0.1,"")</f>
        <v>52.6677</v>
      </c>
      <c r="Q1680" s="83" t="n">
        <f aca="false">IF(O1680&lt;&gt;"",O1680+P1680,"")</f>
        <v>579.3447</v>
      </c>
      <c r="R1680" s="84" t="s">
        <v>365</v>
      </c>
    </row>
    <row r="1681" customFormat="false" ht="15" hidden="false" customHeight="true" outlineLevel="0" collapsed="false">
      <c r="A1681" s="103" t="n">
        <v>56341</v>
      </c>
      <c r="B1681" s="73" t="n">
        <v>46259</v>
      </c>
      <c r="C1681" s="74" t="s">
        <v>739</v>
      </c>
      <c r="D1681" s="75" t="n">
        <v>50163</v>
      </c>
      <c r="E1681" s="52" t="str">
        <f aca="false">IF(D1681&lt;&gt;"",IFERROR(VLOOKUP(D1681,PROVEEDORES!$A:$B,2,0),"!COD NO ENCONTRADO"),"")</f>
        <v>SUBASTAS RIVERA S.L.</v>
      </c>
      <c r="F1681" s="76" t="str">
        <f aca="false">IF(D1681&lt;&gt;"",IFERROR(VLOOKUP(D1681,PROVEEDORES!$A:$C,3,0),""),"")</f>
        <v>S</v>
      </c>
      <c r="G1681" s="75" t="s">
        <v>91</v>
      </c>
      <c r="H1681" s="52" t="str">
        <f aca="false">IF(G1681&lt;&gt;"",IFERROR(VLOOKUP(G1681,PRODUCTOS!$A:$B,2,0),"!COD NO ENCONTRADO"),"")</f>
        <v>BONITO DEL NORTE 5/7</v>
      </c>
      <c r="I1681" s="77" t="n">
        <v>1</v>
      </c>
      <c r="J1681" s="105" t="n">
        <v>44.75</v>
      </c>
      <c r="K1681" s="125" t="n">
        <v>4.55</v>
      </c>
      <c r="L1681" s="80" t="n">
        <f aca="false">IF(AND(J1681&lt;&gt;"",K1681&lt;&gt;""),J1681*K1681,"")</f>
        <v>203.6125</v>
      </c>
      <c r="M1681" s="81" t="n">
        <f aca="false">IF(L1681&lt;&gt;"",L1681*1.1,"")</f>
        <v>223.97375</v>
      </c>
      <c r="N1681" s="53" t="n">
        <f aca="false">IF(F1681="S",L1681*0.02,0)</f>
        <v>4.07225</v>
      </c>
      <c r="O1681" s="82" t="n">
        <f aca="false">IF(L1681&lt;&gt;"",L1681+N1681,"")</f>
        <v>207.68475</v>
      </c>
      <c r="P1681" s="53" t="n">
        <f aca="false">IF(O1681&lt;&gt;"",O1681*0.1,"")</f>
        <v>20.768475</v>
      </c>
      <c r="Q1681" s="83" t="n">
        <f aca="false">IF(O1681&lt;&gt;"",O1681+P1681,"")</f>
        <v>228.453225</v>
      </c>
      <c r="R1681" s="84" t="s">
        <v>365</v>
      </c>
    </row>
    <row r="1682" customFormat="false" ht="15" hidden="false" customHeight="true" outlineLevel="0" collapsed="false">
      <c r="A1682" s="103" t="n">
        <v>56341</v>
      </c>
      <c r="B1682" s="73" t="n">
        <v>46259</v>
      </c>
      <c r="C1682" s="74" t="s">
        <v>739</v>
      </c>
      <c r="D1682" s="75" t="n">
        <v>50163</v>
      </c>
      <c r="E1682" s="52" t="str">
        <f aca="false">IF(D1682&lt;&gt;"",IFERROR(VLOOKUP(D1682,PROVEEDORES!$A:$B,2,0),"!COD NO ENCONTRADO"),"")</f>
        <v>SUBASTAS RIVERA S.L.</v>
      </c>
      <c r="F1682" s="88" t="str">
        <f aca="false">IF(D1682&lt;&gt;"",IFERROR(VLOOKUP(D1682,PROVEEDORES!$A:$C,3,0),""),"")</f>
        <v>S</v>
      </c>
      <c r="G1682" s="87" t="s">
        <v>91</v>
      </c>
      <c r="H1682" s="46" t="str">
        <f aca="false">IF(G1682&lt;&gt;"",IFERROR(VLOOKUP(G1682,PRODUCTOS!$A:$B,2,0),"!COD NO ENCONTRADO"),"")</f>
        <v>BONITO DEL NORTE 5/7</v>
      </c>
      <c r="I1682" s="89" t="n">
        <v>3</v>
      </c>
      <c r="J1682" s="105" t="n">
        <v>140.25</v>
      </c>
      <c r="K1682" s="125" t="n">
        <v>5</v>
      </c>
      <c r="L1682" s="80" t="n">
        <f aca="false">IF(AND(J1682&lt;&gt;"",K1682&lt;&gt;""),J1682*K1682,"")</f>
        <v>701.25</v>
      </c>
      <c r="M1682" s="81" t="n">
        <f aca="false">IF(L1682&lt;&gt;"",L1682*1.1,"")</f>
        <v>771.375</v>
      </c>
      <c r="N1682" s="47" t="n">
        <f aca="false">IF(F1682="S",L1682*0.02,0)</f>
        <v>14.025</v>
      </c>
      <c r="O1682" s="82" t="n">
        <f aca="false">IF(L1682&lt;&gt;"",L1682+N1682,"")</f>
        <v>715.275</v>
      </c>
      <c r="P1682" s="47" t="n">
        <f aca="false">IF(O1682&lt;&gt;"",O1682*0.1,"")</f>
        <v>71.5275</v>
      </c>
      <c r="Q1682" s="83" t="n">
        <f aca="false">IF(O1682&lt;&gt;"",O1682+P1682,"")</f>
        <v>786.8025</v>
      </c>
      <c r="R1682" s="84" t="s">
        <v>365</v>
      </c>
    </row>
    <row r="1683" customFormat="false" ht="15" hidden="false" customHeight="true" outlineLevel="0" collapsed="false">
      <c r="A1683" s="103" t="n">
        <v>56342</v>
      </c>
      <c r="B1683" s="85" t="n">
        <v>46259</v>
      </c>
      <c r="C1683" s="86" t="s">
        <v>740</v>
      </c>
      <c r="D1683" s="87" t="n">
        <v>50164</v>
      </c>
      <c r="E1683" s="46" t="str">
        <f aca="false">IF(D1683&lt;&gt;"",IFERROR(VLOOKUP(D1683,PROVEEDORES!$A:$B,2,0),"!COD NO ENCONTRADO"),"")</f>
        <v>ABRGO NORTE S.L.</v>
      </c>
      <c r="F1683" s="88" t="str">
        <f aca="false">IF(D1683&lt;&gt;"",IFERROR(VLOOKUP(D1683,PROVEEDORES!$A:$C,3,0),""),"")</f>
        <v>N</v>
      </c>
      <c r="G1683" s="87" t="s">
        <v>302</v>
      </c>
      <c r="H1683" s="46" t="str">
        <f aca="false">IF(G1683&lt;&gt;"",IFERROR(VLOOKUP(G1683,PRODUCTOS!$A:$B,2,0),"!COD NO ENCONTRADO"),"")</f>
        <v>RAYA COMUN (ALAS)</v>
      </c>
      <c r="I1683" s="89" t="n">
        <v>2</v>
      </c>
      <c r="J1683" s="90" t="n">
        <v>10</v>
      </c>
      <c r="K1683" s="91" t="n">
        <v>7</v>
      </c>
      <c r="L1683" s="80" t="n">
        <f aca="false">IF(AND(J1683&lt;&gt;"",K1683&lt;&gt;""),J1683*K1683,"")</f>
        <v>70</v>
      </c>
      <c r="M1683" s="81" t="n">
        <f aca="false">IF(L1683&lt;&gt;"",L1683*1.1,"")</f>
        <v>77</v>
      </c>
      <c r="N1683" s="47" t="n">
        <f aca="false">IF(F1683="S",L1683*0.02,0)</f>
        <v>0</v>
      </c>
      <c r="O1683" s="82" t="n">
        <f aca="false">IF(L1683&lt;&gt;"",L1683+N1683,"")</f>
        <v>70</v>
      </c>
      <c r="P1683" s="47" t="n">
        <f aca="false">IF(O1683&lt;&gt;"",O1683*0.1,"")</f>
        <v>7</v>
      </c>
      <c r="Q1683" s="83" t="n">
        <f aca="false">IF(O1683&lt;&gt;"",O1683+P1683,"")</f>
        <v>77</v>
      </c>
      <c r="R1683" s="84" t="s">
        <v>365</v>
      </c>
    </row>
    <row r="1684" customFormat="false" ht="15" hidden="false" customHeight="true" outlineLevel="0" collapsed="false">
      <c r="A1684" s="103" t="n">
        <v>56343</v>
      </c>
      <c r="B1684" s="73" t="n">
        <v>46260</v>
      </c>
      <c r="C1684" s="74" t="s">
        <v>741</v>
      </c>
      <c r="D1684" s="75" t="n">
        <v>50509</v>
      </c>
      <c r="E1684" s="52" t="str">
        <f aca="false">IF(D1684&lt;&gt;"",IFERROR(VLOOKUP(D1684,PROVEEDORES!$A:$B,2,0),"!COD NO ENCONTRADO"),"")</f>
        <v>AZORFISK UNIPERSONAL LDA</v>
      </c>
      <c r="F1684" s="76" t="str">
        <f aca="false">IF(D1684&lt;&gt;"",IFERROR(VLOOKUP(D1684,PROVEEDORES!$A:$C,3,0),""),"")</f>
        <v>N</v>
      </c>
      <c r="G1684" s="75" t="s">
        <v>83</v>
      </c>
      <c r="H1684" s="52" t="str">
        <f aca="false">IF(G1684&lt;&gt;"",IFERROR(VLOOKUP(G1684,PRODUCTOS!$A:$B,2,0),"!COD NO ENCONTRADO"),"")</f>
        <v>BESUGO (BSR)</v>
      </c>
      <c r="I1684" s="77" t="n">
        <v>1</v>
      </c>
      <c r="J1684" s="78" t="n">
        <v>2</v>
      </c>
      <c r="K1684" s="79" t="n">
        <v>22.75</v>
      </c>
      <c r="L1684" s="80" t="n">
        <f aca="false">IF(AND(J1684&lt;&gt;"",K1684&lt;&gt;""),J1684*K1684,"")</f>
        <v>45.5</v>
      </c>
      <c r="M1684" s="81" t="n">
        <f aca="false">IF(L1684&lt;&gt;"",L1684*1.1,"")</f>
        <v>50.05</v>
      </c>
      <c r="N1684" s="53" t="n">
        <f aca="false">IF(F1684="S",L1684*0.02,0)</f>
        <v>0</v>
      </c>
      <c r="O1684" s="82" t="n">
        <f aca="false">IF(L1684&lt;&gt;"",L1684+N1684,"")</f>
        <v>45.5</v>
      </c>
      <c r="P1684" s="53" t="n">
        <f aca="false">IF(O1684&lt;&gt;"",O1684*0.1,"")</f>
        <v>4.55</v>
      </c>
      <c r="Q1684" s="83" t="n">
        <f aca="false">IF(O1684&lt;&gt;"",O1684+P1684,"")</f>
        <v>50.05</v>
      </c>
      <c r="R1684" s="84" t="s">
        <v>365</v>
      </c>
    </row>
    <row r="1685" customFormat="false" ht="15" hidden="false" customHeight="true" outlineLevel="0" collapsed="false">
      <c r="A1685" s="103" t="n">
        <v>56343</v>
      </c>
      <c r="B1685" s="73" t="n">
        <v>46260</v>
      </c>
      <c r="C1685" s="74" t="s">
        <v>741</v>
      </c>
      <c r="D1685" s="75" t="n">
        <v>50509</v>
      </c>
      <c r="E1685" s="52" t="str">
        <f aca="false">IF(D1685&lt;&gt;"",IFERROR(VLOOKUP(D1685,PROVEEDORES!$A:$B,2,0),"!COD NO ENCONTRADO"),"")</f>
        <v>AZORFISK UNIPERSONAL LDA</v>
      </c>
      <c r="F1685" s="76" t="str">
        <f aca="false">IF(D1685&lt;&gt;"",IFERROR(VLOOKUP(D1685,PROVEEDORES!$A:$C,3,0),""),"")</f>
        <v>N</v>
      </c>
      <c r="G1685" s="75" t="s">
        <v>83</v>
      </c>
      <c r="H1685" s="46" t="str">
        <f aca="false">IF(G1685&lt;&gt;"",IFERROR(VLOOKUP(G1685,PRODUCTOS!$A:$B,2,0),"!COD NO ENCONTRADO"),"")</f>
        <v>BESUGO (BSR)</v>
      </c>
      <c r="I1685" s="89" t="n">
        <v>1</v>
      </c>
      <c r="J1685" s="90" t="n">
        <v>9</v>
      </c>
      <c r="K1685" s="91" t="n">
        <v>22.75</v>
      </c>
      <c r="L1685" s="80" t="n">
        <f aca="false">IF(AND(J1685&lt;&gt;"",K1685&lt;&gt;""),J1685*K1685,"")</f>
        <v>204.75</v>
      </c>
      <c r="M1685" s="81" t="n">
        <f aca="false">IF(L1685&lt;&gt;"",L1685*1.1,"")</f>
        <v>225.225</v>
      </c>
      <c r="N1685" s="47" t="n">
        <f aca="false">IF(F1685="S",L1685*0.02,0)</f>
        <v>0</v>
      </c>
      <c r="O1685" s="82" t="n">
        <f aca="false">IF(L1685&lt;&gt;"",L1685+N1685,"")</f>
        <v>204.75</v>
      </c>
      <c r="P1685" s="47" t="n">
        <f aca="false">IF(O1685&lt;&gt;"",O1685*0.1,"")</f>
        <v>20.475</v>
      </c>
      <c r="Q1685" s="83" t="n">
        <f aca="false">IF(O1685&lt;&gt;"",O1685+P1685,"")</f>
        <v>225.225</v>
      </c>
      <c r="R1685" s="84" t="s">
        <v>365</v>
      </c>
    </row>
    <row r="1686" customFormat="false" ht="15" hidden="false" customHeight="true" outlineLevel="0" collapsed="false">
      <c r="A1686" s="103" t="n">
        <v>56344</v>
      </c>
      <c r="B1686" s="73" t="n">
        <v>46260</v>
      </c>
      <c r="C1686" s="74" t="s">
        <v>742</v>
      </c>
      <c r="D1686" s="75" t="n">
        <v>50514</v>
      </c>
      <c r="E1686" s="52" t="str">
        <f aca="false">IF(D1686&lt;&gt;"",IFERROR(VLOOKUP(D1686,PROVEEDORES!$A:$B,2,0),"!COD NO ENCONTRADO"),"")</f>
        <v>PESCADO Y MARISCOS ADELAIDA S.L.</v>
      </c>
      <c r="F1686" s="76" t="str">
        <f aca="false">IF(D1686&lt;&gt;"",IFERROR(VLOOKUP(D1686,PROVEEDORES!$A:$C,3,0),""),"")</f>
        <v>N</v>
      </c>
      <c r="G1686" s="75" t="s">
        <v>316</v>
      </c>
      <c r="H1686" s="52" t="str">
        <f aca="false">IF(G1686&lt;&gt;"",IFERROR(VLOOKUP(G1686,PRODUCTOS!$A:$B,2,0),"!COD NO ENCONTRADO"),"")</f>
        <v>SALMONETE ROCA (MUR)</v>
      </c>
      <c r="I1686" s="77" t="n">
        <v>10</v>
      </c>
      <c r="J1686" s="105" t="n">
        <v>63.1</v>
      </c>
      <c r="K1686" s="125" t="n">
        <v>15</v>
      </c>
      <c r="L1686" s="80" t="n">
        <f aca="false">IF(AND(J1686&lt;&gt;"",K1686&lt;&gt;""),J1686*K1686,"")</f>
        <v>946.5</v>
      </c>
      <c r="M1686" s="81" t="n">
        <f aca="false">IF(L1686&lt;&gt;"",L1686*1.1,"")</f>
        <v>1041.15</v>
      </c>
      <c r="N1686" s="53" t="n">
        <f aca="false">IF(F1686="S",L1686*0.02,0)</f>
        <v>0</v>
      </c>
      <c r="O1686" s="82" t="n">
        <f aca="false">IF(L1686&lt;&gt;"",L1686+N1686,"")</f>
        <v>946.5</v>
      </c>
      <c r="P1686" s="53" t="n">
        <f aca="false">IF(O1686&lt;&gt;"",O1686*0.1,"")</f>
        <v>94.65</v>
      </c>
      <c r="Q1686" s="83" t="n">
        <f aca="false">IF(O1686&lt;&gt;"",O1686+P1686,"")</f>
        <v>1041.15</v>
      </c>
      <c r="R1686" s="84" t="s">
        <v>365</v>
      </c>
    </row>
    <row r="1687" customFormat="false" ht="15" hidden="false" customHeight="true" outlineLevel="0" collapsed="false">
      <c r="A1687" s="103" t="n">
        <v>56345</v>
      </c>
      <c r="B1687" s="85" t="n">
        <v>46260</v>
      </c>
      <c r="C1687" s="86" t="s">
        <v>743</v>
      </c>
      <c r="D1687" s="87" t="n">
        <v>50510</v>
      </c>
      <c r="E1687" s="46" t="str">
        <f aca="false">IF(D1687&lt;&gt;"",IFERROR(VLOOKUP(D1687,PROVEEDORES!$A:$B,2,0),"!COD NO ENCONTRADO"),"")</f>
        <v>PETACA CHICO S.L.</v>
      </c>
      <c r="F1687" s="88" t="str">
        <f aca="false">IF(D1687&lt;&gt;"",IFERROR(VLOOKUP(D1687,PROVEEDORES!$A:$C,3,0),""),"")</f>
        <v>N</v>
      </c>
      <c r="G1687" s="87" t="s">
        <v>107</v>
      </c>
      <c r="H1687" s="46" t="str">
        <f aca="false">IF(G1687&lt;&gt;"",IFERROR(VLOOKUP(G1687,PRODUCTOS!$A:$B,2,0),"!COD NO ENCONTRADO"),"")</f>
        <v>CALAAMR COMUN (SQR)</v>
      </c>
      <c r="I1687" s="89" t="n">
        <v>2</v>
      </c>
      <c r="J1687" s="105" t="n">
        <v>19.8</v>
      </c>
      <c r="K1687" s="125" t="n">
        <v>17</v>
      </c>
      <c r="L1687" s="80" t="n">
        <f aca="false">IF(AND(J1687&lt;&gt;"",K1687&lt;&gt;""),J1687*K1687,"")</f>
        <v>336.6</v>
      </c>
      <c r="M1687" s="81" t="n">
        <f aca="false">IF(L1687&lt;&gt;"",L1687*1.1,"")</f>
        <v>370.26</v>
      </c>
      <c r="N1687" s="47" t="n">
        <f aca="false">IF(F1687="S",L1687*0.02,0)</f>
        <v>0</v>
      </c>
      <c r="O1687" s="82" t="n">
        <f aca="false">IF(L1687&lt;&gt;"",L1687+N1687,"")</f>
        <v>336.6</v>
      </c>
      <c r="P1687" s="47" t="n">
        <f aca="false">IF(O1687&lt;&gt;"",O1687*0.1,"")</f>
        <v>33.66</v>
      </c>
      <c r="Q1687" s="83" t="n">
        <f aca="false">IF(O1687&lt;&gt;"",O1687+P1687,"")</f>
        <v>370.26</v>
      </c>
      <c r="R1687" s="84" t="s">
        <v>358</v>
      </c>
    </row>
    <row r="1688" customFormat="false" ht="15" hidden="false" customHeight="true" outlineLevel="0" collapsed="false">
      <c r="A1688" s="103" t="n">
        <v>56346</v>
      </c>
      <c r="B1688" s="73" t="n">
        <v>46260</v>
      </c>
      <c r="C1688" s="74" t="s">
        <v>744</v>
      </c>
      <c r="D1688" s="75" t="n">
        <v>50232</v>
      </c>
      <c r="E1688" s="52" t="str">
        <f aca="false">IF(D1688&lt;&gt;"",IFERROR(VLOOKUP(D1688,PROVEEDORES!$A:$B,2,0),"!COD NO ENCONTRADO"),"")</f>
        <v>XESTION NOVA LONXA RIVEIRA S.L.</v>
      </c>
      <c r="F1688" s="76" t="str">
        <f aca="false">IF(D1688&lt;&gt;"",IFERROR(VLOOKUP(D1688,PROVEEDORES!$A:$C,3,0),""),"")</f>
        <v>S</v>
      </c>
      <c r="G1688" s="75" t="s">
        <v>276</v>
      </c>
      <c r="H1688" s="52" t="str">
        <f aca="false">IF(G1688&lt;&gt;"",IFERROR(VLOOKUP(G1688,PRODUCTOS!$A:$B,2,0),"!COD NO ENCONTRADO"),"")</f>
        <v>MERLUZA EUROPEA/ FINA DIA </v>
      </c>
      <c r="I1688" s="77" t="n">
        <v>6</v>
      </c>
      <c r="J1688" s="78" t="n">
        <v>61.4</v>
      </c>
      <c r="K1688" s="79" t="n">
        <v>3.5</v>
      </c>
      <c r="L1688" s="80" t="n">
        <f aca="false">IF(AND(J1688&lt;&gt;"",K1688&lt;&gt;""),J1688*K1688,"")</f>
        <v>214.9</v>
      </c>
      <c r="M1688" s="81" t="n">
        <f aca="false">IF(L1688&lt;&gt;"",L1688*1.1,"")</f>
        <v>236.39</v>
      </c>
      <c r="N1688" s="53" t="n">
        <f aca="false">IF(F1688="S",L1688*0.02,0)</f>
        <v>4.298</v>
      </c>
      <c r="O1688" s="82" t="n">
        <f aca="false">IF(L1688&lt;&gt;"",L1688+N1688,"")</f>
        <v>219.198</v>
      </c>
      <c r="P1688" s="53" t="n">
        <f aca="false">IF(O1688&lt;&gt;"",O1688*0.1,"")</f>
        <v>21.9198</v>
      </c>
      <c r="Q1688" s="83" t="n">
        <f aca="false">IF(O1688&lt;&gt;"",O1688+P1688,"")</f>
        <v>241.1178</v>
      </c>
      <c r="R1688" s="84" t="s">
        <v>365</v>
      </c>
    </row>
    <row r="1689" customFormat="false" ht="15" hidden="false" customHeight="true" outlineLevel="0" collapsed="false">
      <c r="A1689" s="103" t="n">
        <v>56346</v>
      </c>
      <c r="B1689" s="73" t="n">
        <v>46260</v>
      </c>
      <c r="C1689" s="74" t="s">
        <v>744</v>
      </c>
      <c r="D1689" s="75" t="n">
        <v>50232</v>
      </c>
      <c r="E1689" s="52" t="str">
        <f aca="false">IF(D1689&lt;&gt;"",IFERROR(VLOOKUP(D1689,PROVEEDORES!$A:$B,2,0),"!COD NO ENCONTRADO"),"")</f>
        <v>XESTION NOVA LONXA RIVEIRA S.L.</v>
      </c>
      <c r="F1689" s="88" t="str">
        <f aca="false">IF(D1689&lt;&gt;"",IFERROR(VLOOKUP(D1689,PROVEEDORES!$A:$C,3,0),""),"")</f>
        <v>S</v>
      </c>
      <c r="G1689" s="87" t="s">
        <v>296</v>
      </c>
      <c r="H1689" s="46" t="str">
        <f aca="false">IF(G1689&lt;&gt;"",IFERROR(VLOOKUP(G1689,PRODUCTOS!$A:$B,2,0),"!COD NO ENCONTRADO"),"")</f>
        <v>RAPE NEGRO (ANK)</v>
      </c>
      <c r="I1689" s="89" t="n">
        <v>9</v>
      </c>
      <c r="J1689" s="90" t="n">
        <v>64</v>
      </c>
      <c r="K1689" s="91" t="n">
        <v>3</v>
      </c>
      <c r="L1689" s="80" t="n">
        <f aca="false">IF(AND(J1689&lt;&gt;"",K1689&lt;&gt;""),J1689*K1689,"")</f>
        <v>192</v>
      </c>
      <c r="M1689" s="81" t="n">
        <f aca="false">IF(L1689&lt;&gt;"",L1689*1.1,"")</f>
        <v>211.2</v>
      </c>
      <c r="N1689" s="47" t="n">
        <f aca="false">IF(F1689="S",L1689*0.02,0)</f>
        <v>3.84</v>
      </c>
      <c r="O1689" s="82" t="n">
        <f aca="false">IF(L1689&lt;&gt;"",L1689+N1689,"")</f>
        <v>195.84</v>
      </c>
      <c r="P1689" s="47" t="n">
        <f aca="false">IF(O1689&lt;&gt;"",O1689*0.1,"")</f>
        <v>19.584</v>
      </c>
      <c r="Q1689" s="83" t="n">
        <f aca="false">IF(O1689&lt;&gt;"",O1689+P1689,"")</f>
        <v>215.424</v>
      </c>
      <c r="R1689" s="84" t="s">
        <v>365</v>
      </c>
    </row>
    <row r="1690" customFormat="false" ht="15" hidden="false" customHeight="true" outlineLevel="0" collapsed="false">
      <c r="A1690" s="103" t="n">
        <v>56346</v>
      </c>
      <c r="B1690" s="73" t="n">
        <v>46260</v>
      </c>
      <c r="C1690" s="74" t="s">
        <v>744</v>
      </c>
      <c r="D1690" s="75" t="n">
        <v>50232</v>
      </c>
      <c r="E1690" s="52" t="str">
        <f aca="false">IF(D1690&lt;&gt;"",IFERROR(VLOOKUP(D1690,PROVEEDORES!$A:$B,2,0),"!COD NO ENCONTRADO"),"")</f>
        <v>XESTION NOVA LONXA RIVEIRA S.L.</v>
      </c>
      <c r="F1690" s="76" t="str">
        <f aca="false">IF(D1690&lt;&gt;"",IFERROR(VLOOKUP(D1690,PROVEEDORES!$A:$C,3,0),""),"")</f>
        <v>S</v>
      </c>
      <c r="G1690" s="75" t="s">
        <v>288</v>
      </c>
      <c r="H1690" s="52" t="str">
        <f aca="false">IF(G1690&lt;&gt;"",IFERROR(VLOOKUP(G1690,PRODUCTOS!$A:$B,2,0),"!COD NO ENCONTRADO"),"")</f>
        <v>RAPE BLANCO DIA (MON)</v>
      </c>
      <c r="I1690" s="77" t="n">
        <v>1</v>
      </c>
      <c r="J1690" s="105" t="n">
        <v>5.5</v>
      </c>
      <c r="K1690" s="125" t="n">
        <v>2.5</v>
      </c>
      <c r="L1690" s="80" t="n">
        <f aca="false">IF(AND(J1690&lt;&gt;"",K1690&lt;&gt;""),J1690*K1690,"")</f>
        <v>13.75</v>
      </c>
      <c r="M1690" s="81" t="n">
        <f aca="false">IF(L1690&lt;&gt;"",L1690*1.1,"")</f>
        <v>15.125</v>
      </c>
      <c r="N1690" s="53" t="n">
        <f aca="false">IF(F1690="S",L1690*0.02,0)</f>
        <v>0.275</v>
      </c>
      <c r="O1690" s="82" t="n">
        <f aca="false">IF(L1690&lt;&gt;"",L1690+N1690,"")</f>
        <v>14.025</v>
      </c>
      <c r="P1690" s="53" t="n">
        <f aca="false">IF(O1690&lt;&gt;"",O1690*0.1,"")</f>
        <v>1.4025</v>
      </c>
      <c r="Q1690" s="83" t="n">
        <f aca="false">IF(O1690&lt;&gt;"",O1690+P1690,"")</f>
        <v>15.4275</v>
      </c>
      <c r="R1690" s="84" t="s">
        <v>365</v>
      </c>
    </row>
    <row r="1691" customFormat="false" ht="15" hidden="false" customHeight="true" outlineLevel="0" collapsed="false">
      <c r="A1691" s="103" t="n">
        <v>56346</v>
      </c>
      <c r="B1691" s="73" t="n">
        <v>46260</v>
      </c>
      <c r="C1691" s="74" t="s">
        <v>744</v>
      </c>
      <c r="D1691" s="75" t="n">
        <v>50232</v>
      </c>
      <c r="E1691" s="52" t="str">
        <f aca="false">IF(D1691&lt;&gt;"",IFERROR(VLOOKUP(D1691,PROVEEDORES!$A:$B,2,0),"!COD NO ENCONTRADO"),"")</f>
        <v>XESTION NOVA LONXA RIVEIRA S.L.</v>
      </c>
      <c r="F1691" s="88" t="str">
        <f aca="false">IF(D1691&lt;&gt;"",IFERROR(VLOOKUP(D1691,PROVEEDORES!$A:$C,3,0),""),"")</f>
        <v>S</v>
      </c>
      <c r="G1691" s="87" t="s">
        <v>270</v>
      </c>
      <c r="H1691" s="46" t="str">
        <f aca="false">IF(G1691&lt;&gt;"",IFERROR(VLOOKUP(G1691,PRODUCTOS!$A:$B,2,0),"!COD NO ENCONTRADO"),"")</f>
        <v>PEON/ PION (ATP)</v>
      </c>
      <c r="I1691" s="89" t="n">
        <v>1</v>
      </c>
      <c r="J1691" s="90" t="n">
        <v>8.6</v>
      </c>
      <c r="K1691" s="91" t="n">
        <v>3.5</v>
      </c>
      <c r="L1691" s="80" t="n">
        <f aca="false">IF(AND(J1691&lt;&gt;"",K1691&lt;&gt;""),J1691*K1691,"")</f>
        <v>30.1</v>
      </c>
      <c r="M1691" s="81" t="n">
        <f aca="false">IF(L1691&lt;&gt;"",L1691*1.1,"")</f>
        <v>33.11</v>
      </c>
      <c r="N1691" s="47" t="n">
        <f aca="false">IF(F1691="S",L1691*0.02,0)</f>
        <v>0.602</v>
      </c>
      <c r="O1691" s="82" t="n">
        <f aca="false">IF(L1691&lt;&gt;"",L1691+N1691,"")</f>
        <v>30.702</v>
      </c>
      <c r="P1691" s="47" t="n">
        <f aca="false">IF(O1691&lt;&gt;"",O1691*0.1,"")</f>
        <v>3.0702</v>
      </c>
      <c r="Q1691" s="83" t="n">
        <f aca="false">IF(O1691&lt;&gt;"",O1691+P1691,"")</f>
        <v>33.7722</v>
      </c>
      <c r="R1691" s="84" t="s">
        <v>365</v>
      </c>
    </row>
    <row r="1692" customFormat="false" ht="15" hidden="false" customHeight="true" outlineLevel="0" collapsed="false">
      <c r="A1692" s="103" t="n">
        <v>56346</v>
      </c>
      <c r="B1692" s="73" t="n">
        <v>46260</v>
      </c>
      <c r="C1692" s="74" t="s">
        <v>744</v>
      </c>
      <c r="D1692" s="75" t="n">
        <v>50232</v>
      </c>
      <c r="E1692" s="52" t="str">
        <f aca="false">IF(D1692&lt;&gt;"",IFERROR(VLOOKUP(D1692,PROVEEDORES!$A:$B,2,0),"!COD NO ENCONTRADO"),"")</f>
        <v>XESTION NOVA LONXA RIVEIRA S.L.</v>
      </c>
      <c r="F1692" s="76" t="str">
        <f aca="false">IF(D1692&lt;&gt;"",IFERROR(VLOOKUP(D1692,PROVEEDORES!$A:$C,3,0),""),"")</f>
        <v>S</v>
      </c>
      <c r="G1692" s="75" t="s">
        <v>270</v>
      </c>
      <c r="H1692" s="52" t="str">
        <f aca="false">IF(G1692&lt;&gt;"",IFERROR(VLOOKUP(G1692,PRODUCTOS!$A:$B,2,0),"!COD NO ENCONTRADO"),"")</f>
        <v>PEON/ PION (ATP)</v>
      </c>
      <c r="I1692" s="77" t="n">
        <v>1</v>
      </c>
      <c r="J1692" s="78" t="n">
        <v>5.8</v>
      </c>
      <c r="K1692" s="79" t="n">
        <v>4</v>
      </c>
      <c r="L1692" s="80" t="n">
        <f aca="false">IF(AND(J1692&lt;&gt;"",K1692&lt;&gt;""),J1692*K1692,"")</f>
        <v>23.2</v>
      </c>
      <c r="M1692" s="81" t="n">
        <f aca="false">IF(L1692&lt;&gt;"",L1692*1.1,"")</f>
        <v>25.52</v>
      </c>
      <c r="N1692" s="53" t="n">
        <f aca="false">IF(F1692="S",L1692*0.02,0)</f>
        <v>0.464</v>
      </c>
      <c r="O1692" s="82" t="n">
        <f aca="false">IF(L1692&lt;&gt;"",L1692+N1692,"")</f>
        <v>23.664</v>
      </c>
      <c r="P1692" s="53" t="n">
        <f aca="false">IF(O1692&lt;&gt;"",O1692*0.1,"")</f>
        <v>2.3664</v>
      </c>
      <c r="Q1692" s="83" t="n">
        <f aca="false">IF(O1692&lt;&gt;"",O1692+P1692,"")</f>
        <v>26.0304</v>
      </c>
      <c r="R1692" s="84" t="s">
        <v>365</v>
      </c>
    </row>
    <row r="1693" customFormat="false" ht="15" hidden="false" customHeight="true" outlineLevel="0" collapsed="false">
      <c r="A1693" s="103" t="n">
        <v>56346</v>
      </c>
      <c r="B1693" s="73" t="n">
        <v>46260</v>
      </c>
      <c r="C1693" s="74" t="s">
        <v>744</v>
      </c>
      <c r="D1693" s="75" t="n">
        <v>50232</v>
      </c>
      <c r="E1693" s="52" t="str">
        <f aca="false">IF(D1693&lt;&gt;"",IFERROR(VLOOKUP(D1693,PROVEEDORES!$A:$B,2,0),"!COD NO ENCONTRADO"),"")</f>
        <v>XESTION NOVA LONXA RIVEIRA S.L.</v>
      </c>
      <c r="F1693" s="88" t="str">
        <f aca="false">IF(D1693&lt;&gt;"",IFERROR(VLOOKUP(D1693,PROVEEDORES!$A:$C,3,0),""),"")</f>
        <v>S</v>
      </c>
      <c r="G1693" s="87" t="s">
        <v>304</v>
      </c>
      <c r="H1693" s="46" t="str">
        <f aca="false">IF(G1693&lt;&gt;"",IFERROR(VLOOKUP(G1693,PRODUCTOS!$A:$B,2,0),"!COD NO ENCONTRADO"),"")</f>
        <v>RAYA SPP (SKA)</v>
      </c>
      <c r="I1693" s="89" t="n">
        <v>1</v>
      </c>
      <c r="J1693" s="90" t="n">
        <v>9.5</v>
      </c>
      <c r="K1693" s="91" t="n">
        <v>3</v>
      </c>
      <c r="L1693" s="80" t="n">
        <f aca="false">IF(AND(J1693&lt;&gt;"",K1693&lt;&gt;""),J1693*K1693,"")</f>
        <v>28.5</v>
      </c>
      <c r="M1693" s="81" t="n">
        <f aca="false">IF(L1693&lt;&gt;"",L1693*1.1,"")</f>
        <v>31.35</v>
      </c>
      <c r="N1693" s="47" t="n">
        <f aca="false">IF(F1693="S",L1693*0.02,0)</f>
        <v>0.57</v>
      </c>
      <c r="O1693" s="82" t="n">
        <f aca="false">IF(L1693&lt;&gt;"",L1693+N1693,"")</f>
        <v>29.07</v>
      </c>
      <c r="P1693" s="47" t="n">
        <f aca="false">IF(O1693&lt;&gt;"",O1693*0.1,"")</f>
        <v>2.907</v>
      </c>
      <c r="Q1693" s="83" t="n">
        <f aca="false">IF(O1693&lt;&gt;"",O1693+P1693,"")</f>
        <v>31.977</v>
      </c>
      <c r="R1693" s="84" t="s">
        <v>365</v>
      </c>
    </row>
    <row r="1694" customFormat="false" ht="15" hidden="false" customHeight="true" outlineLevel="0" collapsed="false">
      <c r="A1694" s="103" t="n">
        <v>56346</v>
      </c>
      <c r="B1694" s="73" t="n">
        <v>46260</v>
      </c>
      <c r="C1694" s="74" t="s">
        <v>744</v>
      </c>
      <c r="D1694" s="75" t="n">
        <v>50232</v>
      </c>
      <c r="E1694" s="52" t="str">
        <f aca="false">IF(D1694&lt;&gt;"",IFERROR(VLOOKUP(D1694,PROVEEDORES!$A:$B,2,0),"!COD NO ENCONTRADO"),"")</f>
        <v>XESTION NOVA LONXA RIVEIRA S.L.</v>
      </c>
      <c r="F1694" s="88" t="str">
        <f aca="false">IF(D1694&lt;&gt;"",IFERROR(VLOOKUP(D1694,PROVEEDORES!$A:$C,3,0),""),"")</f>
        <v>S</v>
      </c>
      <c r="G1694" s="87" t="s">
        <v>304</v>
      </c>
      <c r="H1694" s="52" t="str">
        <f aca="false">IF(G1694&lt;&gt;"",IFERROR(VLOOKUP(G1694,PRODUCTOS!$A:$B,2,0),"!COD NO ENCONTRADO"),"")</f>
        <v>RAYA SPP (SKA)</v>
      </c>
      <c r="I1694" s="77" t="n">
        <v>3</v>
      </c>
      <c r="J1694" s="78" t="n">
        <v>9.7</v>
      </c>
      <c r="K1694" s="79" t="n">
        <v>3</v>
      </c>
      <c r="L1694" s="80" t="n">
        <f aca="false">IF(AND(J1694&lt;&gt;"",K1694&lt;&gt;""),J1694*K1694,"")</f>
        <v>29.1</v>
      </c>
      <c r="M1694" s="81" t="n">
        <f aca="false">IF(L1694&lt;&gt;"",L1694*1.1,"")</f>
        <v>32.01</v>
      </c>
      <c r="N1694" s="53" t="n">
        <f aca="false">IF(F1694="S",L1694*0.02,0)</f>
        <v>0.582</v>
      </c>
      <c r="O1694" s="82" t="n">
        <f aca="false">IF(L1694&lt;&gt;"",L1694+N1694,"")</f>
        <v>29.682</v>
      </c>
      <c r="P1694" s="53" t="n">
        <f aca="false">IF(O1694&lt;&gt;"",O1694*0.1,"")</f>
        <v>2.9682</v>
      </c>
      <c r="Q1694" s="83" t="n">
        <f aca="false">IF(O1694&lt;&gt;"",O1694+P1694,"")</f>
        <v>32.6502</v>
      </c>
      <c r="R1694" s="84" t="s">
        <v>365</v>
      </c>
    </row>
    <row r="1695" customFormat="false" ht="15" hidden="false" customHeight="true" outlineLevel="0" collapsed="false">
      <c r="A1695" s="103" t="n">
        <v>56346</v>
      </c>
      <c r="B1695" s="85" t="n">
        <v>46260</v>
      </c>
      <c r="C1695" s="86" t="s">
        <v>744</v>
      </c>
      <c r="D1695" s="87" t="n">
        <v>50232</v>
      </c>
      <c r="E1695" s="46" t="str">
        <f aca="false">IF(D1695&lt;&gt;"",IFERROR(VLOOKUP(D1695,PROVEEDORES!$A:$B,2,0),"!COD NO ENCONTRADO"),"")</f>
        <v>XESTION NOVA LONXA RIVEIRA S.L.</v>
      </c>
      <c r="F1695" s="88" t="str">
        <f aca="false">IF(D1695&lt;&gt;"",IFERROR(VLOOKUP(D1695,PROVEEDORES!$A:$C,3,0),""),"")</f>
        <v>S</v>
      </c>
      <c r="G1695" s="87" t="s">
        <v>179</v>
      </c>
      <c r="H1695" s="46" t="str">
        <f aca="false">IF(G1695&lt;&gt;"",IFERROR(VLOOKUP(G1695,PRODUCTOS!$A:$B,2,0),"!COD NO ENCONTRADO"),"")</f>
        <v>LIRIO/ BACALADILLA/ PERLA (WHB)</v>
      </c>
      <c r="I1695" s="89" t="n">
        <v>1</v>
      </c>
      <c r="J1695" s="90" t="n">
        <v>150</v>
      </c>
      <c r="K1695" s="125" t="n">
        <v>1.8</v>
      </c>
      <c r="L1695" s="80" t="n">
        <f aca="false">IF(AND(J1695&lt;&gt;"",K1695&lt;&gt;""),J1695*K1695,"")</f>
        <v>270</v>
      </c>
      <c r="M1695" s="81" t="n">
        <f aca="false">IF(L1695&lt;&gt;"",L1695*1.1,"")</f>
        <v>297</v>
      </c>
      <c r="N1695" s="47" t="n">
        <f aca="false">IF(F1695="S",L1695*0.02,0)</f>
        <v>5.4</v>
      </c>
      <c r="O1695" s="82" t="n">
        <f aca="false">IF(L1695&lt;&gt;"",L1695+N1695,"")</f>
        <v>275.4</v>
      </c>
      <c r="P1695" s="47" t="n">
        <f aca="false">IF(O1695&lt;&gt;"",O1695*0.1,"")</f>
        <v>27.54</v>
      </c>
      <c r="Q1695" s="83" t="n">
        <f aca="false">IF(O1695&lt;&gt;"",O1695+P1695,"")</f>
        <v>302.94</v>
      </c>
      <c r="R1695" s="84" t="s">
        <v>365</v>
      </c>
    </row>
    <row r="1696" customFormat="false" ht="15" hidden="false" customHeight="true" outlineLevel="0" collapsed="false">
      <c r="A1696" s="103" t="n">
        <v>56346</v>
      </c>
      <c r="B1696" s="85" t="n">
        <v>46260</v>
      </c>
      <c r="C1696" s="86" t="s">
        <v>744</v>
      </c>
      <c r="D1696" s="87" t="n">
        <v>50232</v>
      </c>
      <c r="E1696" s="46" t="str">
        <f aca="false">IF(D1696&lt;&gt;"",IFERROR(VLOOKUP(D1696,PROVEEDORES!$A:$B,2,0),"!COD NO ENCONTRADO"),"")</f>
        <v>XESTION NOVA LONXA RIVEIRA S.L.</v>
      </c>
      <c r="F1696" s="88" t="str">
        <f aca="false">IF(D1696&lt;&gt;"",IFERROR(VLOOKUP(D1696,PROVEEDORES!$A:$C,3,0),""),"")</f>
        <v>S</v>
      </c>
      <c r="G1696" s="87" t="s">
        <v>179</v>
      </c>
      <c r="H1696" s="46" t="str">
        <f aca="false">IF(G1696&lt;&gt;"",IFERROR(VLOOKUP(G1696,PRODUCTOS!$A:$B,2,0),"!COD NO ENCONTRADO"),"")</f>
        <v>LIRIO/ BACALADILLA/ PERLA (WHB)</v>
      </c>
      <c r="I1696" s="89" t="n">
        <v>10</v>
      </c>
      <c r="J1696" s="90" t="n">
        <v>152.7</v>
      </c>
      <c r="K1696" s="91" t="n">
        <v>1.9</v>
      </c>
      <c r="L1696" s="80" t="n">
        <f aca="false">IF(AND(J1696&lt;&gt;"",K1696&lt;&gt;""),J1696*K1696,"")</f>
        <v>290.13</v>
      </c>
      <c r="M1696" s="81" t="n">
        <f aca="false">IF(L1696&lt;&gt;"",L1696*1.1,"")</f>
        <v>319.143</v>
      </c>
      <c r="N1696" s="47" t="n">
        <f aca="false">IF(F1696="S",L1696*0.02,0)</f>
        <v>5.8026</v>
      </c>
      <c r="O1696" s="82" t="n">
        <f aca="false">IF(L1696&lt;&gt;"",L1696+N1696,"")</f>
        <v>295.9326</v>
      </c>
      <c r="P1696" s="47" t="n">
        <f aca="false">IF(O1696&lt;&gt;"",O1696*0.1,"")</f>
        <v>29.59326</v>
      </c>
      <c r="Q1696" s="83" t="n">
        <f aca="false">IF(O1696&lt;&gt;"",O1696+P1696,"")</f>
        <v>325.52586</v>
      </c>
      <c r="R1696" s="84" t="s">
        <v>365</v>
      </c>
    </row>
    <row r="1697" customFormat="false" ht="15" hidden="false" customHeight="true" outlineLevel="0" collapsed="false">
      <c r="A1697" s="103" t="n">
        <v>56347</v>
      </c>
      <c r="B1697" s="73" t="n">
        <v>46260</v>
      </c>
      <c r="C1697" s="74" t="s">
        <v>745</v>
      </c>
      <c r="D1697" s="75" t="n">
        <v>50019</v>
      </c>
      <c r="E1697" s="52" t="str">
        <f aca="false">IF(D1697&lt;&gt;"",IFERROR(VLOOKUP(D1697,PROVEEDORES!$A:$B,2,0),"!COD NO ENCONTRADO"),"")</f>
        <v>ANGELITA VILLAR</v>
      </c>
      <c r="F1697" s="76" t="str">
        <f aca="false">IF(D1697&lt;&gt;"",IFERROR(VLOOKUP(D1697,PROVEEDORES!$A:$C,3,0),""),"")</f>
        <v>S</v>
      </c>
      <c r="G1697" s="75" t="s">
        <v>91</v>
      </c>
      <c r="H1697" s="52" t="str">
        <f aca="false">IF(G1697&lt;&gt;"",IFERROR(VLOOKUP(G1697,PRODUCTOS!$A:$B,2,0),"!COD NO ENCONTRADO"),"")</f>
        <v>BONITO DEL NORTE 5/7</v>
      </c>
      <c r="I1697" s="77" t="n">
        <v>1</v>
      </c>
      <c r="J1697" s="78" t="n">
        <v>27.5</v>
      </c>
      <c r="K1697" s="79" t="n">
        <v>5.4</v>
      </c>
      <c r="L1697" s="80" t="n">
        <f aca="false">IF(AND(J1697&lt;&gt;"",K1697&lt;&gt;""),J1697*K1697,"")</f>
        <v>148.5</v>
      </c>
      <c r="M1697" s="81" t="n">
        <f aca="false">IF(L1697&lt;&gt;"",L1697*1.1,"")</f>
        <v>163.35</v>
      </c>
      <c r="N1697" s="53" t="n">
        <f aca="false">IF(F1697="S",L1697*0.02,0)</f>
        <v>2.97</v>
      </c>
      <c r="O1697" s="82" t="n">
        <f aca="false">IF(L1697&lt;&gt;"",L1697+N1697,"")</f>
        <v>151.47</v>
      </c>
      <c r="P1697" s="53" t="n">
        <f aca="false">IF(O1697&lt;&gt;"",O1697*0.1,"")</f>
        <v>15.147</v>
      </c>
      <c r="Q1697" s="83" t="n">
        <f aca="false">IF(O1697&lt;&gt;"",O1697+P1697,"")</f>
        <v>166.617</v>
      </c>
      <c r="R1697" s="84" t="s">
        <v>365</v>
      </c>
    </row>
    <row r="1698" customFormat="false" ht="15" hidden="false" customHeight="true" outlineLevel="0" collapsed="false">
      <c r="A1698" s="103" t="n">
        <v>56347</v>
      </c>
      <c r="B1698" s="73" t="n">
        <v>46260</v>
      </c>
      <c r="C1698" s="86" t="s">
        <v>745</v>
      </c>
      <c r="D1698" s="87" t="n">
        <v>50019</v>
      </c>
      <c r="E1698" s="46" t="str">
        <f aca="false">IF(D1698&lt;&gt;"",IFERROR(VLOOKUP(D1698,PROVEEDORES!$A:$B,2,0),"!COD NO ENCONTRADO"),"")</f>
        <v>ANGELITA VILLAR</v>
      </c>
      <c r="F1698" s="88" t="str">
        <f aca="false">IF(D1698&lt;&gt;"",IFERROR(VLOOKUP(D1698,PROVEEDORES!$A:$C,3,0),""),"")</f>
        <v>S</v>
      </c>
      <c r="G1698" s="87" t="s">
        <v>91</v>
      </c>
      <c r="H1698" s="46" t="str">
        <f aca="false">IF(G1698&lt;&gt;"",IFERROR(VLOOKUP(G1698,PRODUCTOS!$A:$B,2,0),"!COD NO ENCONTRADO"),"")</f>
        <v>BONITO DEL NORTE 5/7</v>
      </c>
      <c r="I1698" s="89" t="n">
        <v>1</v>
      </c>
      <c r="J1698" s="90" t="n">
        <v>40.5</v>
      </c>
      <c r="K1698" s="91" t="n">
        <v>5.75</v>
      </c>
      <c r="L1698" s="80" t="n">
        <f aca="false">IF(AND(J1698&lt;&gt;"",K1698&lt;&gt;""),J1698*K1698,"")</f>
        <v>232.875</v>
      </c>
      <c r="M1698" s="81" t="n">
        <f aca="false">IF(L1698&lt;&gt;"",L1698*1.1,"")</f>
        <v>256.1625</v>
      </c>
      <c r="N1698" s="47" t="n">
        <f aca="false">IF(F1698="S",L1698*0.02,0)</f>
        <v>4.6575</v>
      </c>
      <c r="O1698" s="82" t="n">
        <f aca="false">IF(L1698&lt;&gt;"",L1698+N1698,"")</f>
        <v>237.5325</v>
      </c>
      <c r="P1698" s="47" t="n">
        <f aca="false">IF(O1698&lt;&gt;"",O1698*0.1,"")</f>
        <v>23.75325</v>
      </c>
      <c r="Q1698" s="83" t="n">
        <f aca="false">IF(O1698&lt;&gt;"",O1698+P1698,"")</f>
        <v>261.28575</v>
      </c>
      <c r="R1698" s="84" t="s">
        <v>365</v>
      </c>
    </row>
    <row r="1699" customFormat="false" ht="15" hidden="false" customHeight="true" outlineLevel="0" collapsed="false">
      <c r="A1699" s="103" t="n">
        <v>56348</v>
      </c>
      <c r="B1699" s="73" t="n">
        <v>46260</v>
      </c>
      <c r="C1699" s="74" t="s">
        <v>746</v>
      </c>
      <c r="D1699" s="75" t="n">
        <v>50160</v>
      </c>
      <c r="E1699" s="52" t="str">
        <f aca="false">IF(D1699&lt;&gt;"",IFERROR(VLOOKUP(D1699,PROVEEDORES!$A:$B,2,0),"!COD NO ENCONTRADO"),"")</f>
        <v>SUBASTAS CORUÑA S.L.</v>
      </c>
      <c r="F1699" s="76" t="str">
        <f aca="false">IF(D1699&lt;&gt;"",IFERROR(VLOOKUP(D1699,PROVEEDORES!$A:$C,3,0),""),"")</f>
        <v>S</v>
      </c>
      <c r="G1699" s="75" t="s">
        <v>308</v>
      </c>
      <c r="H1699" s="52" t="str">
        <f aca="false">IF(G1699&lt;&gt;"",IFERROR(VLOOKUP(G1699,PRODUCTOS!$A:$B,2,0),"!COD NO ENCONTRADO"),"")</f>
        <v>SABLE BLANCO (SFS)</v>
      </c>
      <c r="I1699" s="77" t="n">
        <v>1</v>
      </c>
      <c r="J1699" s="105" t="n">
        <v>3.25</v>
      </c>
      <c r="K1699" s="125" t="n">
        <v>5.6</v>
      </c>
      <c r="L1699" s="80" t="n">
        <f aca="false">IF(AND(J1699&lt;&gt;"",K1699&lt;&gt;""),J1699*K1699,"")</f>
        <v>18.2</v>
      </c>
      <c r="M1699" s="81" t="n">
        <f aca="false">IF(L1699&lt;&gt;"",L1699*1.1,"")</f>
        <v>20.02</v>
      </c>
      <c r="N1699" s="53" t="n">
        <f aca="false">IF(F1699="S",L1699*0.02,0)</f>
        <v>0.364</v>
      </c>
      <c r="O1699" s="82" t="n">
        <f aca="false">IF(L1699&lt;&gt;"",L1699+N1699,"")</f>
        <v>18.564</v>
      </c>
      <c r="P1699" s="53" t="n">
        <f aca="false">IF(O1699&lt;&gt;"",O1699*0.1,"")</f>
        <v>1.8564</v>
      </c>
      <c r="Q1699" s="83" t="n">
        <f aca="false">IF(O1699&lt;&gt;"",O1699+P1699,"")</f>
        <v>20.4204</v>
      </c>
      <c r="R1699" s="84" t="s">
        <v>365</v>
      </c>
    </row>
    <row r="1700" customFormat="false" ht="15" hidden="false" customHeight="true" outlineLevel="0" collapsed="false">
      <c r="A1700" s="103" t="n">
        <v>56348</v>
      </c>
      <c r="B1700" s="73" t="n">
        <v>46260</v>
      </c>
      <c r="C1700" s="74" t="s">
        <v>746</v>
      </c>
      <c r="D1700" s="75" t="n">
        <v>50160</v>
      </c>
      <c r="E1700" s="46" t="str">
        <f aca="false">IF(D1700&lt;&gt;"",IFERROR(VLOOKUP(D1700,PROVEEDORES!$A:$B,2,0),"!COD NO ENCONTRADO"),"")</f>
        <v>SUBASTAS CORUÑA S.L.</v>
      </c>
      <c r="F1700" s="88" t="str">
        <f aca="false">IF(D1700&lt;&gt;"",IFERROR(VLOOKUP(D1700,PROVEEDORES!$A:$C,3,0),""),"")</f>
        <v>S</v>
      </c>
      <c r="G1700" s="87" t="s">
        <v>276</v>
      </c>
      <c r="H1700" s="46" t="str">
        <f aca="false">IF(G1700&lt;&gt;"",IFERROR(VLOOKUP(G1700,PRODUCTOS!$A:$B,2,0),"!COD NO ENCONTRADO"),"")</f>
        <v>MERLUZA EUROPEA/ FINA DIA </v>
      </c>
      <c r="I1700" s="89" t="n">
        <v>10</v>
      </c>
      <c r="J1700" s="105" t="n">
        <v>87.5</v>
      </c>
      <c r="K1700" s="125" t="n">
        <v>2.4</v>
      </c>
      <c r="L1700" s="80" t="n">
        <f aca="false">IF(AND(J1700&lt;&gt;"",K1700&lt;&gt;""),J1700*K1700,"")</f>
        <v>210</v>
      </c>
      <c r="M1700" s="81" t="n">
        <f aca="false">IF(L1700&lt;&gt;"",L1700*1.1,"")</f>
        <v>231</v>
      </c>
      <c r="N1700" s="47" t="n">
        <f aca="false">IF(F1700="S",L1700*0.02,0)</f>
        <v>4.2</v>
      </c>
      <c r="O1700" s="82" t="n">
        <f aca="false">IF(L1700&lt;&gt;"",L1700+N1700,"")</f>
        <v>214.2</v>
      </c>
      <c r="P1700" s="47" t="n">
        <f aca="false">IF(O1700&lt;&gt;"",O1700*0.1,"")</f>
        <v>21.42</v>
      </c>
      <c r="Q1700" s="83" t="n">
        <f aca="false">IF(O1700&lt;&gt;"",O1700+P1700,"")</f>
        <v>235.62</v>
      </c>
      <c r="R1700" s="84" t="s">
        <v>365</v>
      </c>
    </row>
    <row r="1701" customFormat="false" ht="15" hidden="false" customHeight="true" outlineLevel="0" collapsed="false">
      <c r="A1701" s="103" t="n">
        <v>56348</v>
      </c>
      <c r="B1701" s="73" t="n">
        <v>46260</v>
      </c>
      <c r="C1701" s="74" t="s">
        <v>746</v>
      </c>
      <c r="D1701" s="75" t="n">
        <v>50160</v>
      </c>
      <c r="E1701" s="52" t="str">
        <f aca="false">IF(D1701&lt;&gt;"",IFERROR(VLOOKUP(D1701,PROVEEDORES!$A:$B,2,0),"!COD NO ENCONTRADO"),"")</f>
        <v>SUBASTAS CORUÑA S.L.</v>
      </c>
      <c r="F1701" s="76" t="str">
        <f aca="false">IF(D1701&lt;&gt;"",IFERROR(VLOOKUP(D1701,PROVEEDORES!$A:$C,3,0),""),"")</f>
        <v>S</v>
      </c>
      <c r="G1701" s="75" t="s">
        <v>276</v>
      </c>
      <c r="H1701" s="52" t="str">
        <f aca="false">IF(G1701&lt;&gt;"",IFERROR(VLOOKUP(G1701,PRODUCTOS!$A:$B,2,0),"!COD NO ENCONTRADO"),"")</f>
        <v>MERLUZA EUROPEA/ FINA DIA </v>
      </c>
      <c r="I1701" s="77" t="n">
        <v>10</v>
      </c>
      <c r="J1701" s="105" t="n">
        <v>92.25</v>
      </c>
      <c r="K1701" s="125" t="n">
        <v>2.35</v>
      </c>
      <c r="L1701" s="80" t="n">
        <f aca="false">IF(AND(J1701&lt;&gt;"",K1701&lt;&gt;""),J1701*K1701,"")</f>
        <v>216.7875</v>
      </c>
      <c r="M1701" s="81" t="n">
        <f aca="false">IF(L1701&lt;&gt;"",L1701*1.1,"")</f>
        <v>238.46625</v>
      </c>
      <c r="N1701" s="53" t="n">
        <f aca="false">IF(F1701="S",L1701*0.02,0)</f>
        <v>4.33575</v>
      </c>
      <c r="O1701" s="82" t="n">
        <f aca="false">IF(L1701&lt;&gt;"",L1701+N1701,"")</f>
        <v>221.12325</v>
      </c>
      <c r="P1701" s="53" t="n">
        <f aca="false">IF(O1701&lt;&gt;"",O1701*0.1,"")</f>
        <v>22.112325</v>
      </c>
      <c r="Q1701" s="83" t="n">
        <f aca="false">IF(O1701&lt;&gt;"",O1701+P1701,"")</f>
        <v>243.235575</v>
      </c>
      <c r="R1701" s="84" t="s">
        <v>365</v>
      </c>
    </row>
    <row r="1702" customFormat="false" ht="15" hidden="false" customHeight="true" outlineLevel="0" collapsed="false">
      <c r="A1702" s="103" t="n">
        <v>56348</v>
      </c>
      <c r="B1702" s="73" t="n">
        <v>46260</v>
      </c>
      <c r="C1702" s="74" t="s">
        <v>746</v>
      </c>
      <c r="D1702" s="75" t="n">
        <v>50160</v>
      </c>
      <c r="E1702" s="46" t="str">
        <f aca="false">IF(D1702&lt;&gt;"",IFERROR(VLOOKUP(D1702,PROVEEDORES!$A:$B,2,0),"!COD NO ENCONTRADO"),"")</f>
        <v>SUBASTAS CORUÑA S.L.</v>
      </c>
      <c r="F1702" s="88" t="str">
        <f aca="false">IF(D1702&lt;&gt;"",IFERROR(VLOOKUP(D1702,PROVEEDORES!$A:$C,3,0),""),"")</f>
        <v>S</v>
      </c>
      <c r="G1702" s="75" t="s">
        <v>288</v>
      </c>
      <c r="H1702" s="52" t="str">
        <f aca="false">IF(G1702&lt;&gt;"",IFERROR(VLOOKUP(G1702,PRODUCTOS!$A:$B,2,0),"!COD NO ENCONTRADO"),"")</f>
        <v>RAPE BLANCO DIA (MON)</v>
      </c>
      <c r="I1702" s="77" t="n">
        <v>1</v>
      </c>
      <c r="J1702" s="105" t="n">
        <v>19.75</v>
      </c>
      <c r="K1702" s="125" t="n">
        <v>7.2</v>
      </c>
      <c r="L1702" s="80" t="n">
        <f aca="false">IF(AND(J1702&lt;&gt;"",K1702&lt;&gt;""),J1702*K1702,"")</f>
        <v>142.2</v>
      </c>
      <c r="M1702" s="81" t="n">
        <f aca="false">IF(L1702&lt;&gt;"",L1702*1.1,"")</f>
        <v>156.42</v>
      </c>
      <c r="N1702" s="47" t="n">
        <f aca="false">IF(F1702="S",L1702*0.02,0)</f>
        <v>2.844</v>
      </c>
      <c r="O1702" s="82" t="n">
        <f aca="false">IF(L1702&lt;&gt;"",L1702+N1702,"")</f>
        <v>145.044</v>
      </c>
      <c r="P1702" s="47" t="n">
        <f aca="false">IF(O1702&lt;&gt;"",O1702*0.1,"")</f>
        <v>14.5044</v>
      </c>
      <c r="Q1702" s="83" t="n">
        <f aca="false">IF(O1702&lt;&gt;"",O1702+P1702,"")</f>
        <v>159.5484</v>
      </c>
      <c r="R1702" s="84" t="s">
        <v>365</v>
      </c>
    </row>
    <row r="1703" customFormat="false" ht="15" hidden="false" customHeight="true" outlineLevel="0" collapsed="false">
      <c r="A1703" s="103" t="n">
        <v>56348</v>
      </c>
      <c r="B1703" s="73" t="n">
        <v>46260</v>
      </c>
      <c r="C1703" s="74" t="s">
        <v>746</v>
      </c>
      <c r="D1703" s="75" t="n">
        <v>50160</v>
      </c>
      <c r="E1703" s="52" t="str">
        <f aca="false">IF(D1703&lt;&gt;"",IFERROR(VLOOKUP(D1703,PROVEEDORES!$A:$B,2,0),"!COD NO ENCONTRADO"),"")</f>
        <v>SUBASTAS CORUÑA S.L.</v>
      </c>
      <c r="F1703" s="76" t="str">
        <f aca="false">IF(D1703&lt;&gt;"",IFERROR(VLOOKUP(D1703,PROVEEDORES!$A:$C,3,0),""),"")</f>
        <v>S</v>
      </c>
      <c r="G1703" s="87" t="s">
        <v>288</v>
      </c>
      <c r="H1703" s="46" t="str">
        <f aca="false">IF(G1703&lt;&gt;"",IFERROR(VLOOKUP(G1703,PRODUCTOS!$A:$B,2,0),"!COD NO ENCONTRADO"),"")</f>
        <v>RAPE BLANCO DIA (MON)</v>
      </c>
      <c r="I1703" s="89" t="n">
        <v>2</v>
      </c>
      <c r="J1703" s="105" t="n">
        <v>32.5</v>
      </c>
      <c r="K1703" s="125" t="n">
        <v>7.6</v>
      </c>
      <c r="L1703" s="80" t="n">
        <f aca="false">IF(AND(J1703&lt;&gt;"",K1703&lt;&gt;""),J1703*K1703,"")</f>
        <v>247</v>
      </c>
      <c r="M1703" s="81" t="n">
        <f aca="false">IF(L1703&lt;&gt;"",L1703*1.1,"")</f>
        <v>271.7</v>
      </c>
      <c r="N1703" s="53" t="n">
        <f aca="false">IF(F1703="S",L1703*0.02,0)</f>
        <v>4.94</v>
      </c>
      <c r="O1703" s="82" t="n">
        <f aca="false">IF(L1703&lt;&gt;"",L1703+N1703,"")</f>
        <v>251.94</v>
      </c>
      <c r="P1703" s="53" t="n">
        <f aca="false">IF(O1703&lt;&gt;"",O1703*0.1,"")</f>
        <v>25.194</v>
      </c>
      <c r="Q1703" s="83" t="n">
        <f aca="false">IF(O1703&lt;&gt;"",O1703+P1703,"")</f>
        <v>277.134</v>
      </c>
      <c r="R1703" s="84" t="s">
        <v>365</v>
      </c>
    </row>
    <row r="1704" customFormat="false" ht="15" hidden="false" customHeight="true" outlineLevel="0" collapsed="false">
      <c r="A1704" s="103" t="n">
        <v>56348</v>
      </c>
      <c r="B1704" s="73" t="n">
        <v>46260</v>
      </c>
      <c r="C1704" s="74" t="s">
        <v>746</v>
      </c>
      <c r="D1704" s="75" t="n">
        <v>50160</v>
      </c>
      <c r="E1704" s="46" t="str">
        <f aca="false">IF(D1704&lt;&gt;"",IFERROR(VLOOKUP(D1704,PROVEEDORES!$A:$B,2,0),"!COD NO ENCONTRADO"),"")</f>
        <v>SUBASTAS CORUÑA S.L.</v>
      </c>
      <c r="F1704" s="88" t="str">
        <f aca="false">IF(D1704&lt;&gt;"",IFERROR(VLOOKUP(D1704,PROVEEDORES!$A:$C,3,0),""),"")</f>
        <v>S</v>
      </c>
      <c r="G1704" s="75" t="s">
        <v>288</v>
      </c>
      <c r="H1704" s="52" t="str">
        <f aca="false">IF(G1704&lt;&gt;"",IFERROR(VLOOKUP(G1704,PRODUCTOS!$A:$B,2,0),"!COD NO ENCONTRADO"),"")</f>
        <v>RAPE BLANCO DIA (MON)</v>
      </c>
      <c r="I1704" s="77" t="n">
        <v>1</v>
      </c>
      <c r="J1704" s="105" t="n">
        <v>9.75</v>
      </c>
      <c r="K1704" s="125" t="n">
        <v>6.2</v>
      </c>
      <c r="L1704" s="80" t="n">
        <f aca="false">IF(AND(J1704&lt;&gt;"",K1704&lt;&gt;""),J1704*K1704,"")</f>
        <v>60.45</v>
      </c>
      <c r="M1704" s="81" t="n">
        <f aca="false">IF(L1704&lt;&gt;"",L1704*1.1,"")</f>
        <v>66.495</v>
      </c>
      <c r="N1704" s="47" t="n">
        <f aca="false">IF(F1704="S",L1704*0.02,0)</f>
        <v>1.209</v>
      </c>
      <c r="O1704" s="82" t="n">
        <f aca="false">IF(L1704&lt;&gt;"",L1704+N1704,"")</f>
        <v>61.659</v>
      </c>
      <c r="P1704" s="47" t="n">
        <f aca="false">IF(O1704&lt;&gt;"",O1704*0.1,"")</f>
        <v>6.1659</v>
      </c>
      <c r="Q1704" s="83" t="n">
        <f aca="false">IF(O1704&lt;&gt;"",O1704+P1704,"")</f>
        <v>67.8249</v>
      </c>
      <c r="R1704" s="84" t="s">
        <v>365</v>
      </c>
    </row>
    <row r="1705" customFormat="false" ht="15" hidden="false" customHeight="true" outlineLevel="0" collapsed="false">
      <c r="A1705" s="103" t="n">
        <v>56348</v>
      </c>
      <c r="B1705" s="73" t="n">
        <v>46260</v>
      </c>
      <c r="C1705" s="74" t="s">
        <v>746</v>
      </c>
      <c r="D1705" s="75" t="n">
        <v>50160</v>
      </c>
      <c r="E1705" s="52" t="str">
        <f aca="false">IF(D1705&lt;&gt;"",IFERROR(VLOOKUP(D1705,PROVEEDORES!$A:$B,2,0),"!COD NO ENCONTRADO"),"")</f>
        <v>SUBASTAS CORUÑA S.L.</v>
      </c>
      <c r="F1705" s="76" t="str">
        <f aca="false">IF(D1705&lt;&gt;"",IFERROR(VLOOKUP(D1705,PROVEEDORES!$A:$C,3,0),""),"")</f>
        <v>S</v>
      </c>
      <c r="G1705" s="75" t="s">
        <v>332</v>
      </c>
      <c r="H1705" s="52" t="str">
        <f aca="false">IF(G1705&lt;&gt;"",IFERROR(VLOOKUP(G1705,PRODUCTOS!$A:$B,2,0),"!COD NO ENCONTRADO"),"")</f>
        <v>VARIADO PEQUEÑO</v>
      </c>
      <c r="I1705" s="77" t="n">
        <v>12</v>
      </c>
      <c r="J1705" s="105" t="n">
        <v>72.25</v>
      </c>
      <c r="K1705" s="125" t="n">
        <v>0.5</v>
      </c>
      <c r="L1705" s="80" t="n">
        <f aca="false">IF(AND(J1705&lt;&gt;"",K1705&lt;&gt;""),J1705*K1705,"")</f>
        <v>36.125</v>
      </c>
      <c r="M1705" s="81" t="n">
        <f aca="false">IF(L1705&lt;&gt;"",L1705*1.1,"")</f>
        <v>39.7375</v>
      </c>
      <c r="N1705" s="53" t="n">
        <f aca="false">IF(F1705="S",L1705*0.02,0)</f>
        <v>0.7225</v>
      </c>
      <c r="O1705" s="82" t="n">
        <f aca="false">IF(L1705&lt;&gt;"",L1705+N1705,"")</f>
        <v>36.8475</v>
      </c>
      <c r="P1705" s="53" t="n">
        <f aca="false">IF(O1705&lt;&gt;"",O1705*0.1,"")</f>
        <v>3.68475</v>
      </c>
      <c r="Q1705" s="83" t="n">
        <f aca="false">IF(O1705&lt;&gt;"",O1705+P1705,"")</f>
        <v>40.53225</v>
      </c>
      <c r="R1705" s="84" t="s">
        <v>365</v>
      </c>
    </row>
    <row r="1706" customFormat="false" ht="15" hidden="false" customHeight="true" outlineLevel="0" collapsed="false">
      <c r="A1706" s="103" t="n">
        <v>56348</v>
      </c>
      <c r="B1706" s="73" t="n">
        <v>46260</v>
      </c>
      <c r="C1706" s="74" t="s">
        <v>746</v>
      </c>
      <c r="D1706" s="87" t="n">
        <v>50160</v>
      </c>
      <c r="E1706" s="46" t="str">
        <f aca="false">IF(D1706&lt;&gt;"",IFERROR(VLOOKUP(D1706,PROVEEDORES!$A:$B,2,0),"!COD NO ENCONTRADO"),"")</f>
        <v>SUBASTAS CORUÑA S.L.</v>
      </c>
      <c r="F1706" s="88" t="str">
        <f aca="false">IF(D1706&lt;&gt;"",IFERROR(VLOOKUP(D1706,PROVEEDORES!$A:$C,3,0),""),"")</f>
        <v>S</v>
      </c>
      <c r="G1706" s="87" t="s">
        <v>288</v>
      </c>
      <c r="H1706" s="46" t="str">
        <f aca="false">IF(G1706&lt;&gt;"",IFERROR(VLOOKUP(G1706,PRODUCTOS!$A:$B,2,0),"!COD NO ENCONTRADO"),"")</f>
        <v>RAPE BLANCO DIA (MON)</v>
      </c>
      <c r="I1706" s="89" t="n">
        <v>1</v>
      </c>
      <c r="J1706" s="105" t="n">
        <v>22</v>
      </c>
      <c r="K1706" s="125" t="n">
        <v>7.6</v>
      </c>
      <c r="L1706" s="80" t="n">
        <f aca="false">IF(AND(J1706&lt;&gt;"",K1706&lt;&gt;""),J1706*K1706,"")</f>
        <v>167.2</v>
      </c>
      <c r="M1706" s="81" t="n">
        <f aca="false">IF(L1706&lt;&gt;"",L1706*1.1,"")</f>
        <v>183.92</v>
      </c>
      <c r="N1706" s="47" t="n">
        <f aca="false">IF(F1706="S",L1706*0.02,0)</f>
        <v>3.344</v>
      </c>
      <c r="O1706" s="82" t="n">
        <f aca="false">IF(L1706&lt;&gt;"",L1706+N1706,"")</f>
        <v>170.544</v>
      </c>
      <c r="P1706" s="47" t="n">
        <f aca="false">IF(O1706&lt;&gt;"",O1706*0.1,"")</f>
        <v>17.0544</v>
      </c>
      <c r="Q1706" s="83" t="n">
        <f aca="false">IF(O1706&lt;&gt;"",O1706+P1706,"")</f>
        <v>187.5984</v>
      </c>
      <c r="R1706" s="84" t="s">
        <v>365</v>
      </c>
    </row>
    <row r="1707" customFormat="false" ht="15" hidden="false" customHeight="true" outlineLevel="0" collapsed="false">
      <c r="A1707" s="103" t="n">
        <v>56349</v>
      </c>
      <c r="B1707" s="73" t="n">
        <v>46260</v>
      </c>
      <c r="C1707" s="86" t="s">
        <v>747</v>
      </c>
      <c r="D1707" s="75" t="n">
        <v>50001</v>
      </c>
      <c r="E1707" s="46" t="str">
        <f aca="false">IF(D1707&lt;&gt;"",IFERROR(VLOOKUP(D1707,PROVEEDORES!$A:$B,2,0),"!COD NO ENCONTRADO"),"")</f>
        <v>COPESA</v>
      </c>
      <c r="F1707" s="88" t="str">
        <f aca="false">IF(D1707&lt;&gt;"",IFERROR(VLOOKUP(D1707,PROVEEDORES!$A:$C,3,0),""),"")</f>
        <v>S</v>
      </c>
      <c r="G1707" s="87" t="s">
        <v>332</v>
      </c>
      <c r="H1707" s="46" t="str">
        <f aca="false">IF(G1707&lt;&gt;"",IFERROR(VLOOKUP(G1707,PRODUCTOS!$A:$B,2,0),"!COD NO ENCONTRADO"),"")</f>
        <v>VARIADO PEQUEÑO</v>
      </c>
      <c r="I1707" s="89" t="n">
        <v>2</v>
      </c>
      <c r="J1707" s="90" t="n">
        <v>11.75</v>
      </c>
      <c r="K1707" s="91" t="n">
        <v>0.3</v>
      </c>
      <c r="L1707" s="80" t="n">
        <f aca="false">IF(AND(J1707&lt;&gt;"",K1707&lt;&gt;""),J1707*K1707,"")</f>
        <v>3.525</v>
      </c>
      <c r="M1707" s="81" t="n">
        <f aca="false">IF(L1707&lt;&gt;"",L1707*1.1,"")</f>
        <v>3.8775</v>
      </c>
      <c r="N1707" s="47" t="n">
        <f aca="false">IF(F1707="S",L1707*0.02,0)</f>
        <v>0.0705</v>
      </c>
      <c r="O1707" s="82" t="n">
        <f aca="false">IF(L1707&lt;&gt;"",L1707+N1707,"")</f>
        <v>3.5955</v>
      </c>
      <c r="P1707" s="47" t="n">
        <f aca="false">IF(O1707&lt;&gt;"",O1707*0.1,"")</f>
        <v>0.35955</v>
      </c>
      <c r="Q1707" s="83" t="n">
        <f aca="false">IF(O1707&lt;&gt;"",O1707+P1707,"")</f>
        <v>3.95505</v>
      </c>
      <c r="R1707" s="84" t="s">
        <v>358</v>
      </c>
    </row>
    <row r="1708" customFormat="false" ht="15" hidden="false" customHeight="true" outlineLevel="0" collapsed="false">
      <c r="A1708" s="103" t="n">
        <v>56349</v>
      </c>
      <c r="B1708" s="73" t="n">
        <v>46260</v>
      </c>
      <c r="C1708" s="74" t="s">
        <v>747</v>
      </c>
      <c r="D1708" s="75" t="n">
        <v>50001</v>
      </c>
      <c r="E1708" s="52" t="str">
        <f aca="false">IF(D1708&lt;&gt;"",IFERROR(VLOOKUP(D1708,PROVEEDORES!$A:$B,2,0),"!COD NO ENCONTRADO"),"")</f>
        <v>COPESA</v>
      </c>
      <c r="F1708" s="76" t="str">
        <f aca="false">IF(D1708&lt;&gt;"",IFERROR(VLOOKUP(D1708,PROVEEDORES!$A:$C,3,0),""),"")</f>
        <v>S</v>
      </c>
      <c r="G1708" s="75" t="s">
        <v>332</v>
      </c>
      <c r="H1708" s="52" t="str">
        <f aca="false">IF(G1708&lt;&gt;"",IFERROR(VLOOKUP(G1708,PRODUCTOS!$A:$B,2,0),"!COD NO ENCONTRADO"),"")</f>
        <v>VARIADO PEQUEÑO</v>
      </c>
      <c r="I1708" s="77" t="n">
        <v>3</v>
      </c>
      <c r="J1708" s="78" t="n">
        <v>28</v>
      </c>
      <c r="K1708" s="79" t="n">
        <v>0.3</v>
      </c>
      <c r="L1708" s="80" t="n">
        <f aca="false">IF(AND(J1708&lt;&gt;"",K1708&lt;&gt;""),J1708*K1708,"")</f>
        <v>8.4</v>
      </c>
      <c r="M1708" s="81" t="n">
        <f aca="false">IF(L1708&lt;&gt;"",L1708*1.1,"")</f>
        <v>9.24</v>
      </c>
      <c r="N1708" s="53" t="n">
        <f aca="false">IF(F1708="S",L1708*0.02,0)</f>
        <v>0.168</v>
      </c>
      <c r="O1708" s="82" t="n">
        <f aca="false">IF(L1708&lt;&gt;"",L1708+N1708,"")</f>
        <v>8.568</v>
      </c>
      <c r="P1708" s="53" t="n">
        <f aca="false">IF(O1708&lt;&gt;"",O1708*0.1,"")</f>
        <v>0.8568</v>
      </c>
      <c r="Q1708" s="83" t="n">
        <f aca="false">IF(O1708&lt;&gt;"",O1708+P1708,"")</f>
        <v>9.4248</v>
      </c>
      <c r="R1708" s="84" t="s">
        <v>365</v>
      </c>
    </row>
    <row r="1709" customFormat="false" ht="15" hidden="false" customHeight="true" outlineLevel="0" collapsed="false">
      <c r="A1709" s="103" t="n">
        <v>56349</v>
      </c>
      <c r="B1709" s="73" t="n">
        <v>46260</v>
      </c>
      <c r="C1709" s="74" t="s">
        <v>747</v>
      </c>
      <c r="D1709" s="75" t="n">
        <v>50001</v>
      </c>
      <c r="E1709" s="52" t="str">
        <f aca="false">IF(D1709&lt;&gt;"",IFERROR(VLOOKUP(D1709,PROVEEDORES!$A:$B,2,0),"!COD NO ENCONTRADO"),"")</f>
        <v>COPESA</v>
      </c>
      <c r="F1709" s="88" t="str">
        <f aca="false">IF(D1709&lt;&gt;"",IFERROR(VLOOKUP(D1709,PROVEEDORES!$A:$C,3,0),""),"")</f>
        <v>S</v>
      </c>
      <c r="G1709" s="87" t="s">
        <v>97</v>
      </c>
      <c r="H1709" s="46" t="str">
        <f aca="false">IF(G1709&lt;&gt;"",IFERROR(VLOOKUP(G1709,PRODUCTOS!$A:$B,2,0),"!COD NO ENCONTRADO"),"")</f>
        <v>CABALL/ SARDA/ VERDEL (MAC)</v>
      </c>
      <c r="I1709" s="89" t="n">
        <v>1</v>
      </c>
      <c r="J1709" s="90" t="n">
        <v>50</v>
      </c>
      <c r="K1709" s="125" t="n">
        <v>4</v>
      </c>
      <c r="L1709" s="80" t="n">
        <f aca="false">IF(AND(J1709&lt;&gt;"",K1709&lt;&gt;""),J1709*K1709,"")</f>
        <v>200</v>
      </c>
      <c r="M1709" s="81" t="n">
        <f aca="false">IF(L1709&lt;&gt;"",L1709*1.1,"")</f>
        <v>220</v>
      </c>
      <c r="N1709" s="47" t="n">
        <f aca="false">IF(F1709="S",L1709*0.02,0)</f>
        <v>4</v>
      </c>
      <c r="O1709" s="82" t="n">
        <f aca="false">IF(L1709&lt;&gt;"",L1709+N1709,"")</f>
        <v>204</v>
      </c>
      <c r="P1709" s="47" t="n">
        <f aca="false">IF(O1709&lt;&gt;"",O1709*0.1,"")</f>
        <v>20.4</v>
      </c>
      <c r="Q1709" s="83" t="n">
        <f aca="false">IF(O1709&lt;&gt;"",O1709+P1709,"")</f>
        <v>224.4</v>
      </c>
      <c r="R1709" s="84" t="s">
        <v>365</v>
      </c>
    </row>
    <row r="1710" customFormat="false" ht="15" hidden="false" customHeight="true" outlineLevel="0" collapsed="false">
      <c r="A1710" s="103" t="n">
        <v>56350</v>
      </c>
      <c r="B1710" s="73" t="n">
        <v>46260</v>
      </c>
      <c r="C1710" s="74" t="s">
        <v>748</v>
      </c>
      <c r="D1710" s="75" t="n">
        <v>50218</v>
      </c>
      <c r="E1710" s="52" t="str">
        <f aca="false">IF(D1710&lt;&gt;"",IFERROR(VLOOKUP(D1710,PROVEEDORES!$A:$B,2,0),"!COD NO ENCONTRADO"),"")</f>
        <v>ACERGA </v>
      </c>
      <c r="F1710" s="76" t="str">
        <f aca="false">IF(D1710&lt;&gt;"",IFERROR(VLOOKUP(D1710,PROVEEDORES!$A:$C,3,0),""),"")</f>
        <v>S</v>
      </c>
      <c r="G1710" s="75" t="s">
        <v>97</v>
      </c>
      <c r="H1710" s="52" t="str">
        <f aca="false">IF(G1710&lt;&gt;"",IFERROR(VLOOKUP(G1710,PRODUCTOS!$A:$B,2,0),"!COD NO ENCONTRADO"),"")</f>
        <v>CABALL/ SARDA/ VERDEL (MAC)</v>
      </c>
      <c r="I1710" s="77" t="n">
        <v>1</v>
      </c>
      <c r="J1710" s="78" t="n">
        <v>9</v>
      </c>
      <c r="K1710" s="125" t="n">
        <v>4</v>
      </c>
      <c r="L1710" s="80" t="n">
        <f aca="false">IF(AND(J1710&lt;&gt;"",K1710&lt;&gt;""),J1710*K1710,"")</f>
        <v>36</v>
      </c>
      <c r="M1710" s="81" t="n">
        <f aca="false">IF(L1710&lt;&gt;"",L1710*1.1,"")</f>
        <v>39.6</v>
      </c>
      <c r="N1710" s="53" t="n">
        <f aca="false">IF(F1710="S",L1710*0.02,0)</f>
        <v>0.72</v>
      </c>
      <c r="O1710" s="82" t="n">
        <f aca="false">IF(L1710&lt;&gt;"",L1710+N1710,"")</f>
        <v>36.72</v>
      </c>
      <c r="P1710" s="53" t="n">
        <f aca="false">IF(O1710&lt;&gt;"",O1710*0.1,"")</f>
        <v>3.672</v>
      </c>
      <c r="Q1710" s="83" t="n">
        <f aca="false">IF(O1710&lt;&gt;"",O1710+P1710,"")</f>
        <v>40.392</v>
      </c>
      <c r="R1710" s="84" t="s">
        <v>365</v>
      </c>
    </row>
    <row r="1711" customFormat="false" ht="15" hidden="false" customHeight="true" outlineLevel="0" collapsed="false">
      <c r="A1711" s="103" t="n">
        <v>56350</v>
      </c>
      <c r="B1711" s="73" t="n">
        <v>46260</v>
      </c>
      <c r="C1711" s="74" t="s">
        <v>748</v>
      </c>
      <c r="D1711" s="75" t="n">
        <v>50218</v>
      </c>
      <c r="E1711" s="46" t="str">
        <f aca="false">IF(D1711&lt;&gt;"",IFERROR(VLOOKUP(D1711,PROVEEDORES!$A:$B,2,0),"!COD NO ENCONTRADO"),"")</f>
        <v>ACERGA </v>
      </c>
      <c r="F1711" s="88" t="str">
        <f aca="false">IF(D1711&lt;&gt;"",IFERROR(VLOOKUP(D1711,PROVEEDORES!$A:$C,3,0),""),"")</f>
        <v>S</v>
      </c>
      <c r="G1711" s="87" t="s">
        <v>93</v>
      </c>
      <c r="H1711" s="46" t="str">
        <f aca="false">IF(G1711&lt;&gt;"",IFERROR(VLOOKUP(G1711,PRODUCTOS!$A:$B,2,0),"!COD NO ENCONTRADO"),"")</f>
        <v>BOQUERON/ BOCARTE/ ANCHOA (ANE)</v>
      </c>
      <c r="I1711" s="89" t="n">
        <v>1</v>
      </c>
      <c r="J1711" s="90" t="n">
        <v>378</v>
      </c>
      <c r="K1711" s="91" t="n">
        <v>1.8</v>
      </c>
      <c r="L1711" s="80" t="n">
        <f aca="false">IF(AND(J1711&lt;&gt;"",K1711&lt;&gt;""),J1711*K1711,"")</f>
        <v>680.4</v>
      </c>
      <c r="M1711" s="81" t="n">
        <f aca="false">IF(L1711&lt;&gt;"",L1711*1.1,"")</f>
        <v>748.44</v>
      </c>
      <c r="N1711" s="47" t="n">
        <f aca="false">IF(F1711="S",L1711*0.02,0)</f>
        <v>13.608</v>
      </c>
      <c r="O1711" s="82" t="n">
        <f aca="false">IF(L1711&lt;&gt;"",L1711+N1711,"")</f>
        <v>694.008</v>
      </c>
      <c r="P1711" s="47" t="n">
        <f aca="false">IF(O1711&lt;&gt;"",O1711*0.1,"")</f>
        <v>69.4008</v>
      </c>
      <c r="Q1711" s="83" t="n">
        <f aca="false">IF(O1711&lt;&gt;"",O1711+P1711,"")</f>
        <v>763.4088</v>
      </c>
      <c r="R1711" s="84" t="s">
        <v>365</v>
      </c>
    </row>
    <row r="1712" customFormat="false" ht="15" hidden="false" customHeight="true" outlineLevel="0" collapsed="false">
      <c r="A1712" s="103" t="n">
        <v>56350</v>
      </c>
      <c r="B1712" s="73" t="n">
        <v>46260</v>
      </c>
      <c r="C1712" s="74" t="s">
        <v>748</v>
      </c>
      <c r="D1712" s="75" t="n">
        <v>50218</v>
      </c>
      <c r="E1712" s="52" t="str">
        <f aca="false">IF(D1712&lt;&gt;"",IFERROR(VLOOKUP(D1712,PROVEEDORES!$A:$B,2,0),"!COD NO ENCONTRADO"),"")</f>
        <v>ACERGA </v>
      </c>
      <c r="F1712" s="76" t="str">
        <f aca="false">IF(D1712&lt;&gt;"",IFERROR(VLOOKUP(D1712,PROVEEDORES!$A:$C,3,0),""),"")</f>
        <v>S</v>
      </c>
      <c r="G1712" s="75" t="s">
        <v>115</v>
      </c>
      <c r="H1712" s="52" t="str">
        <f aca="false">IF(G1712&lt;&gt;"",IFERROR(VLOOKUP(G1712,PRODUCTOS!$A:$B,2,0),"!COD NO ENCONTRADO"),"")</f>
        <v>CHICHARRO/ JUREL/ XURELO (HOM)</v>
      </c>
      <c r="I1712" s="77" t="n">
        <v>1</v>
      </c>
      <c r="J1712" s="78" t="n">
        <v>506</v>
      </c>
      <c r="K1712" s="79" t="n">
        <v>0.8</v>
      </c>
      <c r="L1712" s="80" t="n">
        <f aca="false">IF(AND(J1712&lt;&gt;"",K1712&lt;&gt;""),J1712*K1712,"")</f>
        <v>404.8</v>
      </c>
      <c r="M1712" s="81" t="n">
        <f aca="false">IF(L1712&lt;&gt;"",L1712*1.1,"")</f>
        <v>445.28</v>
      </c>
      <c r="N1712" s="53" t="n">
        <f aca="false">IF(F1712="S",L1712*0.02,0)</f>
        <v>8.096</v>
      </c>
      <c r="O1712" s="82" t="n">
        <f aca="false">IF(L1712&lt;&gt;"",L1712+N1712,"")</f>
        <v>412.896</v>
      </c>
      <c r="P1712" s="53" t="n">
        <f aca="false">IF(O1712&lt;&gt;"",O1712*0.1,"")</f>
        <v>41.2896</v>
      </c>
      <c r="Q1712" s="83" t="n">
        <f aca="false">IF(O1712&lt;&gt;"",O1712+P1712,"")</f>
        <v>454.1856</v>
      </c>
      <c r="R1712" s="84" t="s">
        <v>365</v>
      </c>
    </row>
    <row r="1713" customFormat="false" ht="15" hidden="false" customHeight="true" outlineLevel="0" collapsed="false">
      <c r="A1713" s="103" t="n">
        <v>56351</v>
      </c>
      <c r="B1713" s="73" t="n">
        <v>46260</v>
      </c>
      <c r="C1713" s="86" t="s">
        <v>749</v>
      </c>
      <c r="D1713" s="87" t="n">
        <v>50163</v>
      </c>
      <c r="E1713" s="46" t="str">
        <f aca="false">IF(D1713&lt;&gt;"",IFERROR(VLOOKUP(D1713,PROVEEDORES!$A:$B,2,0),"!COD NO ENCONTRADO"),"")</f>
        <v>SUBASTAS RIVERA S.L.</v>
      </c>
      <c r="F1713" s="88" t="str">
        <f aca="false">IF(D1713&lt;&gt;"",IFERROR(VLOOKUP(D1713,PROVEEDORES!$A:$C,3,0),""),"")</f>
        <v>S</v>
      </c>
      <c r="G1713" s="87" t="s">
        <v>135</v>
      </c>
      <c r="H1713" s="46" t="str">
        <f aca="false">IF(G1713&lt;&gt;"",IFERROR(VLOOKUP(G1713,PRODUCTOS!$A:$B,2,0),"!COD NO ENCONTRADO"),"")</f>
        <v>CONGRIO 10+  (COE)</v>
      </c>
      <c r="I1713" s="89" t="n">
        <v>1</v>
      </c>
      <c r="J1713" s="105" t="n">
        <v>12.75</v>
      </c>
      <c r="K1713" s="125" t="n">
        <v>4.5</v>
      </c>
      <c r="L1713" s="80" t="n">
        <f aca="false">IF(AND(J1713&lt;&gt;"",K1713&lt;&gt;""),J1713*K1713,"")</f>
        <v>57.375</v>
      </c>
      <c r="M1713" s="81" t="n">
        <f aca="false">IF(L1713&lt;&gt;"",L1713*1.1,"")</f>
        <v>63.1125</v>
      </c>
      <c r="N1713" s="47" t="n">
        <f aca="false">IF(F1713="S",L1713*0.02,0)</f>
        <v>1.1475</v>
      </c>
      <c r="O1713" s="82" t="n">
        <f aca="false">IF(L1713&lt;&gt;"",L1713+N1713,"")</f>
        <v>58.5225</v>
      </c>
      <c r="P1713" s="47" t="n">
        <f aca="false">IF(O1713&lt;&gt;"",O1713*0.1,"")</f>
        <v>5.85225</v>
      </c>
      <c r="Q1713" s="83" t="n">
        <f aca="false">IF(O1713&lt;&gt;"",O1713+P1713,"")</f>
        <v>64.37475</v>
      </c>
      <c r="R1713" s="84" t="s">
        <v>365</v>
      </c>
    </row>
    <row r="1714" customFormat="false" ht="15" hidden="false" customHeight="true" outlineLevel="0" collapsed="false">
      <c r="A1714" s="103" t="n">
        <v>56351</v>
      </c>
      <c r="B1714" s="73" t="n">
        <v>46260</v>
      </c>
      <c r="C1714" s="86" t="s">
        <v>749</v>
      </c>
      <c r="D1714" s="87" t="n">
        <v>50163</v>
      </c>
      <c r="E1714" s="52" t="str">
        <f aca="false">IF(D1714&lt;&gt;"",IFERROR(VLOOKUP(D1714,PROVEEDORES!$A:$B,2,0),"!COD NO ENCONTRADO"),"")</f>
        <v>SUBASTAS RIVERA S.L.</v>
      </c>
      <c r="F1714" s="76" t="str">
        <f aca="false">IF(D1714&lt;&gt;"",IFERROR(VLOOKUP(D1714,PROVEEDORES!$A:$C,3,0),""),"")</f>
        <v>S</v>
      </c>
      <c r="G1714" s="75" t="s">
        <v>316</v>
      </c>
      <c r="H1714" s="52" t="str">
        <f aca="false">IF(G1714&lt;&gt;"",IFERROR(VLOOKUP(G1714,PRODUCTOS!$A:$B,2,0),"!COD NO ENCONTRADO"),"")</f>
        <v>SALMONETE ROCA (MUR)</v>
      </c>
      <c r="I1714" s="77" t="n">
        <v>1</v>
      </c>
      <c r="J1714" s="105" t="n">
        <v>3.6</v>
      </c>
      <c r="K1714" s="125" t="n">
        <v>12.7</v>
      </c>
      <c r="L1714" s="80" t="n">
        <f aca="false">IF(AND(J1714&lt;&gt;"",K1714&lt;&gt;""),J1714*K1714,"")</f>
        <v>45.72</v>
      </c>
      <c r="M1714" s="81" t="n">
        <f aca="false">IF(L1714&lt;&gt;"",L1714*1.1,"")</f>
        <v>50.292</v>
      </c>
      <c r="N1714" s="53" t="n">
        <f aca="false">IF(F1714="S",L1714*0.02,0)</f>
        <v>0.9144</v>
      </c>
      <c r="O1714" s="82" t="n">
        <f aca="false">IF(L1714&lt;&gt;"",L1714+N1714,"")</f>
        <v>46.6344</v>
      </c>
      <c r="P1714" s="53" t="n">
        <f aca="false">IF(O1714&lt;&gt;"",O1714*0.1,"")</f>
        <v>4.66344</v>
      </c>
      <c r="Q1714" s="83" t="n">
        <f aca="false">IF(O1714&lt;&gt;"",O1714+P1714,"")</f>
        <v>51.29784</v>
      </c>
      <c r="R1714" s="84" t="s">
        <v>365</v>
      </c>
    </row>
    <row r="1715" customFormat="false" ht="15" hidden="false" customHeight="true" outlineLevel="0" collapsed="false">
      <c r="A1715" s="103" t="n">
        <v>56351</v>
      </c>
      <c r="B1715" s="73" t="n">
        <v>46260</v>
      </c>
      <c r="C1715" s="86" t="s">
        <v>749</v>
      </c>
      <c r="D1715" s="87" t="n">
        <v>50163</v>
      </c>
      <c r="E1715" s="46" t="str">
        <f aca="false">IF(D1715&lt;&gt;"",IFERROR(VLOOKUP(D1715,PROVEEDORES!$A:$B,2,0),"!COD NO ENCONTRADO"),"")</f>
        <v>SUBASTAS RIVERA S.L.</v>
      </c>
      <c r="F1715" s="88" t="str">
        <f aca="false">IF(D1715&lt;&gt;"",IFERROR(VLOOKUP(D1715,PROVEEDORES!$A:$C,3,0),""),"")</f>
        <v>S</v>
      </c>
      <c r="G1715" s="87" t="s">
        <v>288</v>
      </c>
      <c r="H1715" s="52" t="str">
        <f aca="false">IF(G1715&lt;&gt;"",IFERROR(VLOOKUP(G1715,PRODUCTOS!$A:$B,2,0),"!COD NO ENCONTRADO"),"")</f>
        <v>RAPE BLANCO DIA (MON)</v>
      </c>
      <c r="I1715" s="77" t="n">
        <v>1</v>
      </c>
      <c r="J1715" s="148" t="n">
        <v>15</v>
      </c>
      <c r="K1715" s="149" t="n">
        <v>8.1</v>
      </c>
      <c r="L1715" s="80" t="n">
        <f aca="false">IF(AND(J1715&lt;&gt;"",K1715&lt;&gt;""),J1715*K1715,"")</f>
        <v>121.5</v>
      </c>
      <c r="M1715" s="81" t="n">
        <f aca="false">IF(L1715&lt;&gt;"",L1715*1.1,"")</f>
        <v>133.65</v>
      </c>
      <c r="N1715" s="53" t="n">
        <f aca="false">IF(F1715="S",L1715*0.02,0)</f>
        <v>2.43</v>
      </c>
      <c r="O1715" s="82" t="n">
        <f aca="false">IF(L1715&lt;&gt;"",L1715+N1715,"")</f>
        <v>123.93</v>
      </c>
      <c r="P1715" s="53" t="n">
        <f aca="false">IF(O1715&lt;&gt;"",O1715*0.1,"")</f>
        <v>12.393</v>
      </c>
      <c r="Q1715" s="83" t="n">
        <f aca="false">IF(O1715&lt;&gt;"",O1715+P1715,"")</f>
        <v>136.323</v>
      </c>
      <c r="R1715" s="84"/>
    </row>
    <row r="1716" customFormat="false" ht="15" hidden="false" customHeight="true" outlineLevel="0" collapsed="false">
      <c r="A1716" s="103" t="n">
        <v>56351</v>
      </c>
      <c r="B1716" s="73" t="n">
        <v>46260</v>
      </c>
      <c r="C1716" s="86" t="s">
        <v>749</v>
      </c>
      <c r="D1716" s="87" t="n">
        <v>50163</v>
      </c>
      <c r="E1716" s="46" t="str">
        <f aca="false">IF(D1716&lt;&gt;"",IFERROR(VLOOKUP(D1716,PROVEEDORES!$A:$B,2,0),"!COD NO ENCONTRADO"),"")</f>
        <v>SUBASTAS RIVERA S.L.</v>
      </c>
      <c r="F1716" s="88" t="str">
        <f aca="false">IF(D1716&lt;&gt;"",IFERROR(VLOOKUP(D1716,PROVEEDORES!$A:$C,3,0),""),"")</f>
        <v>S</v>
      </c>
      <c r="G1716" s="87" t="s">
        <v>288</v>
      </c>
      <c r="H1716" s="46" t="str">
        <f aca="false">IF(G1716&lt;&gt;"",IFERROR(VLOOKUP(G1716,PRODUCTOS!$A:$B,2,0),"!COD NO ENCONTRADO"),"")</f>
        <v>RAPE BLANCO DIA (MON)</v>
      </c>
      <c r="I1716" s="89" t="n">
        <v>4</v>
      </c>
      <c r="J1716" s="105" t="n">
        <v>20.5</v>
      </c>
      <c r="K1716" s="125" t="n">
        <v>6.9</v>
      </c>
      <c r="L1716" s="80" t="n">
        <f aca="false">IF(AND(J1716&lt;&gt;"",K1716&lt;&gt;""),J1716*K1716,"")</f>
        <v>141.45</v>
      </c>
      <c r="M1716" s="81" t="n">
        <f aca="false">IF(L1716&lt;&gt;"",L1716*1.1,"")</f>
        <v>155.595</v>
      </c>
      <c r="N1716" s="47" t="n">
        <f aca="false">IF(F1716="S",L1716*0.02,0)</f>
        <v>2.829</v>
      </c>
      <c r="O1716" s="82" t="n">
        <f aca="false">IF(L1716&lt;&gt;"",L1716+N1716,"")</f>
        <v>144.279</v>
      </c>
      <c r="P1716" s="47" t="n">
        <f aca="false">IF(O1716&lt;&gt;"",O1716*0.1,"")</f>
        <v>14.4279</v>
      </c>
      <c r="Q1716" s="83" t="n">
        <f aca="false">IF(O1716&lt;&gt;"",O1716+P1716,"")</f>
        <v>158.7069</v>
      </c>
      <c r="R1716" s="84" t="s">
        <v>365</v>
      </c>
    </row>
    <row r="1717" customFormat="false" ht="15" hidden="false" customHeight="true" outlineLevel="0" collapsed="false">
      <c r="A1717" s="103" t="n">
        <v>56351</v>
      </c>
      <c r="B1717" s="73" t="n">
        <v>46260</v>
      </c>
      <c r="C1717" s="86" t="s">
        <v>749</v>
      </c>
      <c r="D1717" s="87" t="n">
        <v>50163</v>
      </c>
      <c r="E1717" s="46" t="str">
        <f aca="false">IF(D1717&lt;&gt;"",IFERROR(VLOOKUP(D1717,PROVEEDORES!$A:$B,2,0),"!COD NO ENCONTRADO"),"")</f>
        <v>SUBASTAS RIVERA S.L.</v>
      </c>
      <c r="F1717" s="88" t="str">
        <f aca="false">IF(D1717&lt;&gt;"",IFERROR(VLOOKUP(D1717,PROVEEDORES!$A:$C,3,0),""),"")</f>
        <v>S</v>
      </c>
      <c r="G1717" s="87" t="s">
        <v>288</v>
      </c>
      <c r="H1717" s="52" t="str">
        <f aca="false">IF(G1717&lt;&gt;"",IFERROR(VLOOKUP(G1717,PRODUCTOS!$A:$B,2,0),"!COD NO ENCONTRADO"),"")</f>
        <v>RAPE BLANCO DIA (MON)</v>
      </c>
      <c r="I1717" s="77" t="n">
        <v>2</v>
      </c>
      <c r="J1717" s="105" t="n">
        <v>11.3</v>
      </c>
      <c r="K1717" s="125" t="n">
        <v>8</v>
      </c>
      <c r="L1717" s="80" t="n">
        <f aca="false">IF(AND(J1717&lt;&gt;"",K1717&lt;&gt;""),J1717*K1717,"")</f>
        <v>90.4</v>
      </c>
      <c r="M1717" s="81" t="n">
        <f aca="false">IF(L1717&lt;&gt;"",L1717*1.1,"")</f>
        <v>99.44</v>
      </c>
      <c r="N1717" s="53" t="n">
        <f aca="false">IF(F1717="S",L1717*0.02,0)</f>
        <v>1.808</v>
      </c>
      <c r="O1717" s="82" t="n">
        <f aca="false">IF(L1717&lt;&gt;"",L1717+N1717,"")</f>
        <v>92.208</v>
      </c>
      <c r="P1717" s="53" t="n">
        <f aca="false">IF(O1717&lt;&gt;"",O1717*0.1,"")</f>
        <v>9.2208</v>
      </c>
      <c r="Q1717" s="83" t="n">
        <f aca="false">IF(O1717&lt;&gt;"",O1717+P1717,"")</f>
        <v>101.4288</v>
      </c>
      <c r="R1717" s="84" t="s">
        <v>365</v>
      </c>
    </row>
    <row r="1718" customFormat="false" ht="15" hidden="false" customHeight="true" outlineLevel="0" collapsed="false">
      <c r="A1718" s="103" t="n">
        <v>56351</v>
      </c>
      <c r="B1718" s="73" t="n">
        <v>46260</v>
      </c>
      <c r="C1718" s="86" t="s">
        <v>749</v>
      </c>
      <c r="D1718" s="87" t="n">
        <v>50163</v>
      </c>
      <c r="E1718" s="46" t="str">
        <f aca="false">IF(D1718&lt;&gt;"",IFERROR(VLOOKUP(D1718,PROVEEDORES!$A:$B,2,0),"!COD NO ENCONTRADO"),"")</f>
        <v>SUBASTAS RIVERA S.L.</v>
      </c>
      <c r="F1718" s="88" t="str">
        <f aca="false">IF(D1718&lt;&gt;"",IFERROR(VLOOKUP(D1718,PROVEEDORES!$A:$C,3,0),""),"")</f>
        <v>S</v>
      </c>
      <c r="G1718" s="87" t="s">
        <v>288</v>
      </c>
      <c r="H1718" s="46" t="str">
        <f aca="false">IF(G1718&lt;&gt;"",IFERROR(VLOOKUP(G1718,PRODUCTOS!$A:$B,2,0),"!COD NO ENCONTRADO"),"")</f>
        <v>RAPE BLANCO DIA (MON)</v>
      </c>
      <c r="I1718" s="89" t="n">
        <v>4</v>
      </c>
      <c r="J1718" s="105" t="n">
        <v>26.1</v>
      </c>
      <c r="K1718" s="125" t="n">
        <v>6.5</v>
      </c>
      <c r="L1718" s="80" t="n">
        <f aca="false">IF(AND(J1718&lt;&gt;"",K1718&lt;&gt;""),J1718*K1718,"")</f>
        <v>169.65</v>
      </c>
      <c r="M1718" s="81" t="n">
        <f aca="false">IF(L1718&lt;&gt;"",L1718*1.1,"")</f>
        <v>186.615</v>
      </c>
      <c r="N1718" s="47" t="n">
        <f aca="false">IF(F1718="S",L1718*0.02,0)</f>
        <v>3.393</v>
      </c>
      <c r="O1718" s="82" t="n">
        <f aca="false">IF(L1718&lt;&gt;"",L1718+N1718,"")</f>
        <v>173.043</v>
      </c>
      <c r="P1718" s="47" t="n">
        <f aca="false">IF(O1718&lt;&gt;"",O1718*0.1,"")</f>
        <v>17.3043</v>
      </c>
      <c r="Q1718" s="83" t="n">
        <f aca="false">IF(O1718&lt;&gt;"",O1718+P1718,"")</f>
        <v>190.3473</v>
      </c>
      <c r="R1718" s="84" t="s">
        <v>365</v>
      </c>
    </row>
    <row r="1719" customFormat="false" ht="15" hidden="false" customHeight="true" outlineLevel="0" collapsed="false">
      <c r="A1719" s="103" t="n">
        <v>56351</v>
      </c>
      <c r="B1719" s="73" t="n">
        <v>46260</v>
      </c>
      <c r="C1719" s="86" t="s">
        <v>749</v>
      </c>
      <c r="D1719" s="87" t="n">
        <v>50163</v>
      </c>
      <c r="E1719" s="46" t="str">
        <f aca="false">IF(D1719&lt;&gt;"",IFERROR(VLOOKUP(D1719,PROVEEDORES!$A:$B,2,0),"!COD NO ENCONTRADO"),"")</f>
        <v>SUBASTAS RIVERA S.L.</v>
      </c>
      <c r="F1719" s="88" t="str">
        <f aca="false">IF(D1719&lt;&gt;"",IFERROR(VLOOKUP(D1719,PROVEEDORES!$A:$C,3,0),""),"")</f>
        <v>S</v>
      </c>
      <c r="G1719" s="87" t="s">
        <v>288</v>
      </c>
      <c r="H1719" s="52" t="str">
        <f aca="false">IF(G1719&lt;&gt;"",IFERROR(VLOOKUP(G1719,PRODUCTOS!$A:$B,2,0),"!COD NO ENCONTRADO"),"")</f>
        <v>RAPE BLANCO DIA (MON)</v>
      </c>
      <c r="I1719" s="77" t="n">
        <v>1</v>
      </c>
      <c r="J1719" s="105" t="n">
        <v>8.3</v>
      </c>
      <c r="K1719" s="125" t="n">
        <v>6</v>
      </c>
      <c r="L1719" s="80" t="n">
        <f aca="false">IF(AND(J1719&lt;&gt;"",K1719&lt;&gt;""),J1719*K1719,"")</f>
        <v>49.8</v>
      </c>
      <c r="M1719" s="81" t="n">
        <f aca="false">IF(L1719&lt;&gt;"",L1719*1.1,"")</f>
        <v>54.78</v>
      </c>
      <c r="N1719" s="53" t="n">
        <f aca="false">IF(F1719="S",L1719*0.02,0)</f>
        <v>0.996</v>
      </c>
      <c r="O1719" s="82" t="n">
        <f aca="false">IF(L1719&lt;&gt;"",L1719+N1719,"")</f>
        <v>50.796</v>
      </c>
      <c r="P1719" s="53" t="n">
        <f aca="false">IF(O1719&lt;&gt;"",O1719*0.1,"")</f>
        <v>5.0796</v>
      </c>
      <c r="Q1719" s="83" t="n">
        <f aca="false">IF(O1719&lt;&gt;"",O1719+P1719,"")</f>
        <v>55.8756</v>
      </c>
      <c r="R1719" s="84" t="s">
        <v>365</v>
      </c>
    </row>
    <row r="1720" customFormat="false" ht="15" hidden="false" customHeight="true" outlineLevel="0" collapsed="false">
      <c r="A1720" s="103" t="n">
        <v>56351</v>
      </c>
      <c r="B1720" s="73" t="n">
        <v>46260</v>
      </c>
      <c r="C1720" s="86" t="s">
        <v>749</v>
      </c>
      <c r="D1720" s="87" t="n">
        <v>50163</v>
      </c>
      <c r="E1720" s="46" t="str">
        <f aca="false">IF(D1720&lt;&gt;"",IFERROR(VLOOKUP(D1720,PROVEEDORES!$A:$B,2,0),"!COD NO ENCONTRADO"),"")</f>
        <v>SUBASTAS RIVERA S.L.</v>
      </c>
      <c r="F1720" s="88" t="str">
        <f aca="false">IF(D1720&lt;&gt;"",IFERROR(VLOOKUP(D1720,PROVEEDORES!$A:$C,3,0),""),"")</f>
        <v>S</v>
      </c>
      <c r="G1720" s="87" t="s">
        <v>288</v>
      </c>
      <c r="H1720" s="46" t="str">
        <f aca="false">IF(G1720&lt;&gt;"",IFERROR(VLOOKUP(G1720,PRODUCTOS!$A:$B,2,0),"!COD NO ENCONTRADO"),"")</f>
        <v>RAPE BLANCO DIA (MON)</v>
      </c>
      <c r="I1720" s="89" t="n">
        <v>5</v>
      </c>
      <c r="J1720" s="105" t="n">
        <v>40.15</v>
      </c>
      <c r="K1720" s="125" t="n">
        <v>8.4</v>
      </c>
      <c r="L1720" s="80" t="n">
        <f aca="false">IF(AND(J1720&lt;&gt;"",K1720&lt;&gt;""),J1720*K1720,"")</f>
        <v>337.26</v>
      </c>
      <c r="M1720" s="81" t="n">
        <f aca="false">IF(L1720&lt;&gt;"",L1720*1.1,"")</f>
        <v>370.986</v>
      </c>
      <c r="N1720" s="47" t="n">
        <f aca="false">IF(F1720="S",L1720*0.02,0)</f>
        <v>6.7452</v>
      </c>
      <c r="O1720" s="82" t="n">
        <f aca="false">IF(L1720&lt;&gt;"",L1720+N1720,"")</f>
        <v>344.0052</v>
      </c>
      <c r="P1720" s="47" t="n">
        <f aca="false">IF(O1720&lt;&gt;"",O1720*0.1,"")</f>
        <v>34.40052</v>
      </c>
      <c r="Q1720" s="83" t="n">
        <f aca="false">IF(O1720&lt;&gt;"",O1720+P1720,"")</f>
        <v>378.40572</v>
      </c>
      <c r="R1720" s="84" t="s">
        <v>365</v>
      </c>
    </row>
    <row r="1721" customFormat="false" ht="15" hidden="false" customHeight="true" outlineLevel="0" collapsed="false">
      <c r="A1721" s="103" t="n">
        <v>56351</v>
      </c>
      <c r="B1721" s="73" t="n">
        <v>46260</v>
      </c>
      <c r="C1721" s="86" t="s">
        <v>749</v>
      </c>
      <c r="D1721" s="87" t="n">
        <v>50163</v>
      </c>
      <c r="E1721" s="46" t="str">
        <f aca="false">IF(D1721&lt;&gt;"",IFERROR(VLOOKUP(D1721,PROVEEDORES!$A:$B,2,0),"!COD NO ENCONTRADO"),"")</f>
        <v>SUBASTAS RIVERA S.L.</v>
      </c>
      <c r="F1721" s="88" t="str">
        <f aca="false">IF(D1721&lt;&gt;"",IFERROR(VLOOKUP(D1721,PROVEEDORES!$A:$C,3,0),""),"")</f>
        <v>S</v>
      </c>
      <c r="G1721" s="87" t="s">
        <v>288</v>
      </c>
      <c r="H1721" s="46" t="str">
        <f aca="false">IF(G1721&lt;&gt;"",IFERROR(VLOOKUP(G1721,PRODUCTOS!$A:$B,2,0),"!COD NO ENCONTRADO"),"")</f>
        <v>RAPE BLANCO DIA (MON)</v>
      </c>
      <c r="I1721" s="77" t="n">
        <v>2</v>
      </c>
      <c r="J1721" s="105" t="n">
        <v>14.6</v>
      </c>
      <c r="K1721" s="125" t="n">
        <v>6.5</v>
      </c>
      <c r="L1721" s="80" t="n">
        <f aca="false">IF(AND(J1721&lt;&gt;"",K1721&lt;&gt;""),J1721*K1721,"")</f>
        <v>94.9</v>
      </c>
      <c r="M1721" s="81" t="n">
        <f aca="false">IF(L1721&lt;&gt;"",L1721*1.1,"")</f>
        <v>104.39</v>
      </c>
      <c r="N1721" s="53" t="n">
        <f aca="false">IF(F1721="S",L1721*0.02,0)</f>
        <v>1.898</v>
      </c>
      <c r="O1721" s="82" t="n">
        <f aca="false">IF(L1721&lt;&gt;"",L1721+N1721,"")</f>
        <v>96.798</v>
      </c>
      <c r="P1721" s="53" t="n">
        <f aca="false">IF(O1721&lt;&gt;"",O1721*0.1,"")</f>
        <v>9.6798</v>
      </c>
      <c r="Q1721" s="83" t="n">
        <f aca="false">IF(O1721&lt;&gt;"",O1721+P1721,"")</f>
        <v>106.4778</v>
      </c>
      <c r="R1721" s="84" t="s">
        <v>365</v>
      </c>
    </row>
    <row r="1722" customFormat="false" ht="15" hidden="false" customHeight="true" outlineLevel="0" collapsed="false">
      <c r="A1722" s="103" t="n">
        <v>56351</v>
      </c>
      <c r="B1722" s="73" t="n">
        <v>46260</v>
      </c>
      <c r="C1722" s="86" t="s">
        <v>749</v>
      </c>
      <c r="D1722" s="87" t="n">
        <v>50163</v>
      </c>
      <c r="E1722" s="46" t="str">
        <f aca="false">IF(D1722&lt;&gt;"",IFERROR(VLOOKUP(D1722,PROVEEDORES!$A:$B,2,0),"!COD NO ENCONTRADO"),"")</f>
        <v>SUBASTAS RIVERA S.L.</v>
      </c>
      <c r="F1722" s="88" t="str">
        <f aca="false">IF(D1722&lt;&gt;"",IFERROR(VLOOKUP(D1722,PROVEEDORES!$A:$C,3,0),""),"")</f>
        <v>S</v>
      </c>
      <c r="G1722" s="87" t="s">
        <v>288</v>
      </c>
      <c r="H1722" s="46" t="str">
        <f aca="false">IF(G1722&lt;&gt;"",IFERROR(VLOOKUP(G1722,PRODUCTOS!$A:$B,2,0),"!COD NO ENCONTRADO"),"")</f>
        <v>RAPE BLANCO DIA (MON)</v>
      </c>
      <c r="I1722" s="89" t="n">
        <v>1</v>
      </c>
      <c r="J1722" s="105" t="n">
        <v>3.7</v>
      </c>
      <c r="K1722" s="125" t="n">
        <v>6.5</v>
      </c>
      <c r="L1722" s="80" t="n">
        <f aca="false">IF(AND(J1722&lt;&gt;"",K1722&lt;&gt;""),J1722*K1722,"")</f>
        <v>24.05</v>
      </c>
      <c r="M1722" s="81" t="n">
        <f aca="false">IF(L1722&lt;&gt;"",L1722*1.1,"")</f>
        <v>26.455</v>
      </c>
      <c r="N1722" s="47" t="n">
        <f aca="false">IF(F1722="S",L1722*0.02,0)</f>
        <v>0.481</v>
      </c>
      <c r="O1722" s="82" t="n">
        <f aca="false">IF(L1722&lt;&gt;"",L1722+N1722,"")</f>
        <v>24.531</v>
      </c>
      <c r="P1722" s="47" t="n">
        <f aca="false">IF(O1722&lt;&gt;"",O1722*0.1,"")</f>
        <v>2.4531</v>
      </c>
      <c r="Q1722" s="83" t="n">
        <f aca="false">IF(O1722&lt;&gt;"",O1722+P1722,"")</f>
        <v>26.9841</v>
      </c>
      <c r="R1722" s="84" t="s">
        <v>365</v>
      </c>
    </row>
    <row r="1723" customFormat="false" ht="15" hidden="false" customHeight="true" outlineLevel="0" collapsed="false">
      <c r="A1723" s="103" t="n">
        <v>56351</v>
      </c>
      <c r="B1723" s="73" t="n">
        <v>46260</v>
      </c>
      <c r="C1723" s="86" t="s">
        <v>749</v>
      </c>
      <c r="D1723" s="87" t="n">
        <v>50163</v>
      </c>
      <c r="E1723" s="46" t="str">
        <f aca="false">IF(D1723&lt;&gt;"",IFERROR(VLOOKUP(D1723,PROVEEDORES!$A:$B,2,0),"!COD NO ENCONTRADO"),"")</f>
        <v>SUBASTAS RIVERA S.L.</v>
      </c>
      <c r="F1723" s="88" t="str">
        <f aca="false">IF(D1723&lt;&gt;"",IFERROR(VLOOKUP(D1723,PROVEEDORES!$A:$C,3,0),""),"")</f>
        <v>S</v>
      </c>
      <c r="G1723" s="87" t="s">
        <v>288</v>
      </c>
      <c r="H1723" s="46" t="str">
        <f aca="false">IF(G1723&lt;&gt;"",IFERROR(VLOOKUP(G1723,PRODUCTOS!$A:$B,2,0),"!COD NO ENCONTRADO"),"")</f>
        <v>RAPE BLANCO DIA (MON)</v>
      </c>
      <c r="I1723" s="77" t="n">
        <v>2</v>
      </c>
      <c r="J1723" s="105" t="n">
        <v>15.4</v>
      </c>
      <c r="K1723" s="125" t="n">
        <v>6</v>
      </c>
      <c r="L1723" s="80" t="n">
        <f aca="false">IF(AND(J1723&lt;&gt;"",K1723&lt;&gt;""),J1723*K1723,"")</f>
        <v>92.4</v>
      </c>
      <c r="M1723" s="81" t="n">
        <f aca="false">IF(L1723&lt;&gt;"",L1723*1.1,"")</f>
        <v>101.64</v>
      </c>
      <c r="N1723" s="53" t="n">
        <f aca="false">IF(F1723="S",L1723*0.02,0)</f>
        <v>1.848</v>
      </c>
      <c r="O1723" s="82" t="n">
        <f aca="false">IF(L1723&lt;&gt;"",L1723+N1723,"")</f>
        <v>94.248</v>
      </c>
      <c r="P1723" s="53" t="n">
        <f aca="false">IF(O1723&lt;&gt;"",O1723*0.1,"")</f>
        <v>9.4248</v>
      </c>
      <c r="Q1723" s="83" t="n">
        <f aca="false">IF(O1723&lt;&gt;"",O1723+P1723,"")</f>
        <v>103.6728</v>
      </c>
      <c r="R1723" s="84" t="s">
        <v>365</v>
      </c>
    </row>
    <row r="1724" customFormat="false" ht="15" hidden="false" customHeight="true" outlineLevel="0" collapsed="false">
      <c r="A1724" s="103" t="n">
        <v>56352</v>
      </c>
      <c r="B1724" s="85" t="n">
        <v>46260</v>
      </c>
      <c r="C1724" s="86" t="s">
        <v>750</v>
      </c>
      <c r="D1724" s="87" t="n">
        <v>50164</v>
      </c>
      <c r="E1724" s="46" t="str">
        <f aca="false">IF(D1724&lt;&gt;"",IFERROR(VLOOKUP(D1724,PROVEEDORES!$A:$B,2,0),"!COD NO ENCONTRADO"),"")</f>
        <v>ABRGO NORTE S.L.</v>
      </c>
      <c r="F1724" s="88" t="str">
        <f aca="false">IF(D1724&lt;&gt;"",IFERROR(VLOOKUP(D1724,PROVEEDORES!$A:$C,3,0),""),"")</f>
        <v>N</v>
      </c>
      <c r="G1724" s="87" t="s">
        <v>302</v>
      </c>
      <c r="H1724" s="46" t="str">
        <f aca="false">IF(G1724&lt;&gt;"",IFERROR(VLOOKUP(G1724,PRODUCTOS!$A:$B,2,0),"!COD NO ENCONTRADO"),"")</f>
        <v>RAYA COMUN (ALAS)</v>
      </c>
      <c r="I1724" s="89" t="n">
        <v>2</v>
      </c>
      <c r="J1724" s="90" t="n">
        <v>10</v>
      </c>
      <c r="K1724" s="91" t="n">
        <v>8.4</v>
      </c>
      <c r="L1724" s="80" t="n">
        <f aca="false">IF(AND(J1724&lt;&gt;"",K1724&lt;&gt;""),J1724*K1724,"")</f>
        <v>84</v>
      </c>
      <c r="M1724" s="81" t="n">
        <f aca="false">IF(L1724&lt;&gt;"",L1724*1.1,"")</f>
        <v>92.4</v>
      </c>
      <c r="N1724" s="47" t="n">
        <f aca="false">IF(F1724="S",L1724*0.02,0)</f>
        <v>0</v>
      </c>
      <c r="O1724" s="82" t="n">
        <f aca="false">IF(L1724&lt;&gt;"",L1724+N1724,"")</f>
        <v>84</v>
      </c>
      <c r="P1724" s="47" t="n">
        <f aca="false">IF(O1724&lt;&gt;"",O1724*0.1,"")</f>
        <v>8.4</v>
      </c>
      <c r="Q1724" s="83" t="n">
        <f aca="false">IF(O1724&lt;&gt;"",O1724+P1724,"")</f>
        <v>92.4</v>
      </c>
      <c r="R1724" s="84" t="s">
        <v>365</v>
      </c>
    </row>
    <row r="1725" customFormat="false" ht="15" hidden="false" customHeight="true" outlineLevel="0" collapsed="false">
      <c r="A1725" s="103" t="n">
        <v>56353</v>
      </c>
      <c r="B1725" s="73" t="n">
        <v>46260</v>
      </c>
      <c r="C1725" s="74" t="s">
        <v>751</v>
      </c>
      <c r="D1725" s="75" t="n">
        <v>50152</v>
      </c>
      <c r="E1725" s="52" t="str">
        <f aca="false">IF(D1725&lt;&gt;"",IFERROR(VLOOKUP(D1725,PROVEEDORES!$A:$B,2,0),"!COD NO ENCONTRADO"),"")</f>
        <v>DOMAR CORUÑA S.L</v>
      </c>
      <c r="F1725" s="76" t="str">
        <f aca="false">IF(D1725&lt;&gt;"",IFERROR(VLOOKUP(D1725,PROVEEDORES!$A:$C,3,0),""),"")</f>
        <v>N</v>
      </c>
      <c r="G1725" s="75" t="s">
        <v>125</v>
      </c>
      <c r="H1725" s="104" t="str">
        <f aca="false">IF(G1725&lt;&gt;"",IFERROR(VLOOKUP(G1725,PRODUCTOS!$A:$B,2,0),"!COD NO ENCONTRADO"),"")</f>
        <v>CIGALA "3P" (NEP)</v>
      </c>
      <c r="I1725" s="112" t="n">
        <v>2</v>
      </c>
      <c r="J1725" s="105" t="n">
        <v>4</v>
      </c>
      <c r="K1725" s="125" t="n">
        <v>17.5</v>
      </c>
      <c r="L1725" s="80" t="n">
        <f aca="false">IF(AND(J1725&lt;&gt;"",K1725&lt;&gt;""),J1725*K1725,"")</f>
        <v>70</v>
      </c>
      <c r="M1725" s="81" t="n">
        <f aca="false">IF(L1725&lt;&gt;"",L1725*1.1,"")</f>
        <v>77</v>
      </c>
      <c r="N1725" s="53" t="n">
        <f aca="false">IF(F1725="S",L1725*0.02,0)</f>
        <v>0</v>
      </c>
      <c r="O1725" s="82" t="n">
        <f aca="false">IF(L1725&lt;&gt;"",L1725+N1725,"")</f>
        <v>70</v>
      </c>
      <c r="P1725" s="53" t="n">
        <f aca="false">IF(O1725&lt;&gt;"",O1725*0.1,"")</f>
        <v>7</v>
      </c>
      <c r="Q1725" s="83" t="n">
        <f aca="false">IF(O1725&lt;&gt;"",O1725+P1725,"")</f>
        <v>77</v>
      </c>
      <c r="R1725" s="84" t="s">
        <v>365</v>
      </c>
    </row>
    <row r="1726" customFormat="false" ht="15" hidden="false" customHeight="true" outlineLevel="0" collapsed="false">
      <c r="A1726" s="103" t="n">
        <v>56354</v>
      </c>
      <c r="B1726" s="73" t="n">
        <v>46260</v>
      </c>
      <c r="C1726" s="74" t="s">
        <v>752</v>
      </c>
      <c r="D1726" s="75" t="n">
        <v>50010</v>
      </c>
      <c r="E1726" s="52" t="str">
        <f aca="false">IF(D1726&lt;&gt;"",IFERROR(VLOOKUP(D1726,PROVEEDORES!$A:$B,2,0),"!COD NO ENCONTRADO"),"")</f>
        <v>PERFECTO MONTERO</v>
      </c>
      <c r="F1726" s="76" t="str">
        <f aca="false">IF(D1726&lt;&gt;"",IFERROR(VLOOKUP(D1726,PROVEEDORES!$A:$C,3,0),""),"")</f>
        <v>S</v>
      </c>
      <c r="G1726" s="75" t="s">
        <v>135</v>
      </c>
      <c r="H1726" s="52" t="str">
        <f aca="false">IF(G1726&lt;&gt;"",IFERROR(VLOOKUP(G1726,PRODUCTOS!$A:$B,2,0),"!COD NO ENCONTRADO"),"")</f>
        <v>CONGRIO 10+  (COE)</v>
      </c>
      <c r="I1726" s="77" t="n">
        <v>2</v>
      </c>
      <c r="J1726" s="78" t="n">
        <v>23</v>
      </c>
      <c r="K1726" s="79" t="n">
        <v>2.7</v>
      </c>
      <c r="L1726" s="80" t="n">
        <f aca="false">IF(AND(J1726&lt;&gt;"",K1726&lt;&gt;""),J1726*K1726,"")</f>
        <v>62.1</v>
      </c>
      <c r="M1726" s="81" t="n">
        <f aca="false">IF(L1726&lt;&gt;"",L1726*1.1,"")</f>
        <v>68.31</v>
      </c>
      <c r="N1726" s="53" t="n">
        <f aca="false">IF(F1726="S",L1726*0.02,0)</f>
        <v>1.242</v>
      </c>
      <c r="O1726" s="82" t="n">
        <f aca="false">IF(L1726&lt;&gt;"",L1726+N1726,"")</f>
        <v>63.342</v>
      </c>
      <c r="P1726" s="53" t="n">
        <f aca="false">IF(O1726&lt;&gt;"",O1726*0.1,"")</f>
        <v>6.3342</v>
      </c>
      <c r="Q1726" s="83" t="n">
        <f aca="false">IF(O1726&lt;&gt;"",O1726+P1726,"")</f>
        <v>69.6762</v>
      </c>
      <c r="R1726" s="84" t="s">
        <v>365</v>
      </c>
    </row>
    <row r="1727" customFormat="false" ht="15" hidden="false" customHeight="true" outlineLevel="0" collapsed="false">
      <c r="A1727" s="103" t="n">
        <v>56354</v>
      </c>
      <c r="B1727" s="73" t="n">
        <v>46260</v>
      </c>
      <c r="C1727" s="86" t="s">
        <v>752</v>
      </c>
      <c r="D1727" s="87" t="n">
        <v>50010</v>
      </c>
      <c r="E1727" s="46" t="str">
        <f aca="false">IF(D1727&lt;&gt;"",IFERROR(VLOOKUP(D1727,PROVEEDORES!$A:$B,2,0),"!COD NO ENCONTRADO"),"")</f>
        <v>PERFECTO MONTERO</v>
      </c>
      <c r="F1727" s="88" t="str">
        <f aca="false">IF(D1727&lt;&gt;"",IFERROR(VLOOKUP(D1727,PROVEEDORES!$A:$C,3,0),""),"")</f>
        <v>S</v>
      </c>
      <c r="G1727" s="87" t="s">
        <v>135</v>
      </c>
      <c r="H1727" s="46" t="str">
        <f aca="false">IF(G1727&lt;&gt;"",IFERROR(VLOOKUP(G1727,PRODUCTOS!$A:$B,2,0),"!COD NO ENCONTRADO"),"")</f>
        <v>CONGRIO 10+  (COE)</v>
      </c>
      <c r="I1727" s="89" t="n">
        <v>1</v>
      </c>
      <c r="J1727" s="90" t="n">
        <v>13</v>
      </c>
      <c r="K1727" s="91" t="n">
        <v>4.3</v>
      </c>
      <c r="L1727" s="80" t="n">
        <f aca="false">IF(AND(J1727&lt;&gt;"",K1727&lt;&gt;""),J1727*K1727,"")</f>
        <v>55.9</v>
      </c>
      <c r="M1727" s="81" t="n">
        <f aca="false">IF(L1727&lt;&gt;"",L1727*1.1,"")</f>
        <v>61.49</v>
      </c>
      <c r="N1727" s="47" t="n">
        <f aca="false">IF(F1727="S",L1727*0.02,0)</f>
        <v>1.118</v>
      </c>
      <c r="O1727" s="82" t="n">
        <f aca="false">IF(L1727&lt;&gt;"",L1727+N1727,"")</f>
        <v>57.018</v>
      </c>
      <c r="P1727" s="47" t="n">
        <f aca="false">IF(O1727&lt;&gt;"",O1727*0.1,"")</f>
        <v>5.7018</v>
      </c>
      <c r="Q1727" s="83" t="n">
        <f aca="false">IF(O1727&lt;&gt;"",O1727+P1727,"")</f>
        <v>62.7198</v>
      </c>
      <c r="R1727" s="84" t="s">
        <v>365</v>
      </c>
    </row>
    <row r="1728" customFormat="false" ht="15" hidden="false" customHeight="true" outlineLevel="0" collapsed="false">
      <c r="A1728" s="103" t="n">
        <v>56355</v>
      </c>
      <c r="B1728" s="73" t="n">
        <v>46260</v>
      </c>
      <c r="C1728" s="74" t="s">
        <v>753</v>
      </c>
      <c r="D1728" s="75" t="n">
        <v>50035</v>
      </c>
      <c r="E1728" s="52" t="str">
        <f aca="false">IF(D1728&lt;&gt;"",IFERROR(VLOOKUP(D1728,PROVEEDORES!$A:$B,2,0),"!COD NO ENCONTRADO"),"")</f>
        <v>SCANFISK SEAFFOD S,L</v>
      </c>
      <c r="F1728" s="76" t="str">
        <f aca="false">IF(D1728&lt;&gt;"",IFERROR(VLOOKUP(D1728,PROVEEDORES!$A:$C,3,0),""),"")</f>
        <v>N</v>
      </c>
      <c r="G1728" s="75" t="s">
        <v>209</v>
      </c>
      <c r="H1728" s="52" t="str">
        <f aca="false">IF(G1728&lt;&gt;"",IFERROR(VLOOKUP(G1728,PRODUCTOS!$A:$B,2,0),"!COD NO ENCONTRADO"),"")</f>
        <v>MERLUZA EUROPEA PINCHO</v>
      </c>
      <c r="I1728" s="77" t="n">
        <v>3</v>
      </c>
      <c r="J1728" s="78" t="n">
        <v>30.6</v>
      </c>
      <c r="K1728" s="79" t="n">
        <v>4.4</v>
      </c>
      <c r="L1728" s="80" t="n">
        <f aca="false">IF(AND(J1728&lt;&gt;"",K1728&lt;&gt;""),J1728*K1728,"")</f>
        <v>134.64</v>
      </c>
      <c r="M1728" s="81" t="n">
        <f aca="false">IF(L1728&lt;&gt;"",L1728*1.1,"")</f>
        <v>148.104</v>
      </c>
      <c r="N1728" s="53" t="n">
        <f aca="false">IF(F1728="S",L1728*0.02,0)</f>
        <v>0</v>
      </c>
      <c r="O1728" s="82" t="n">
        <f aca="false">IF(L1728&lt;&gt;"",L1728+N1728,"")</f>
        <v>134.64</v>
      </c>
      <c r="P1728" s="53" t="n">
        <f aca="false">IF(O1728&lt;&gt;"",O1728*0.1,"")</f>
        <v>13.464</v>
      </c>
      <c r="Q1728" s="83" t="n">
        <f aca="false">IF(O1728&lt;&gt;"",O1728+P1728,"")</f>
        <v>148.104</v>
      </c>
      <c r="R1728" s="84" t="s">
        <v>365</v>
      </c>
    </row>
    <row r="1729" customFormat="false" ht="15" hidden="false" customHeight="true" outlineLevel="0" collapsed="false">
      <c r="A1729" s="103" t="n">
        <v>56355</v>
      </c>
      <c r="B1729" s="73" t="n">
        <v>46260</v>
      </c>
      <c r="C1729" s="86" t="s">
        <v>754</v>
      </c>
      <c r="D1729" s="87" t="n">
        <v>50035</v>
      </c>
      <c r="E1729" s="46" t="str">
        <f aca="false">IF(D1729&lt;&gt;"",IFERROR(VLOOKUP(D1729,PROVEEDORES!$A:$B,2,0),"!COD NO ENCONTRADO"),"")</f>
        <v>SCANFISK SEAFFOD S,L</v>
      </c>
      <c r="F1729" s="88" t="str">
        <f aca="false">IF(D1729&lt;&gt;"",IFERROR(VLOOKUP(D1729,PROVEEDORES!$A:$C,3,0),""),"")</f>
        <v>N</v>
      </c>
      <c r="G1729" s="87" t="s">
        <v>209</v>
      </c>
      <c r="H1729" s="46" t="str">
        <f aca="false">IF(G1729&lt;&gt;"",IFERROR(VLOOKUP(G1729,PRODUCTOS!$A:$B,2,0),"!COD NO ENCONTRADO"),"")</f>
        <v>MERLUZA EUROPEA PINCHO</v>
      </c>
      <c r="I1729" s="89" t="n">
        <v>8</v>
      </c>
      <c r="J1729" s="90" t="n">
        <v>49.2</v>
      </c>
      <c r="K1729" s="91" t="n">
        <v>3.3</v>
      </c>
      <c r="L1729" s="80" t="n">
        <f aca="false">IF(AND(J1729&lt;&gt;"",K1729&lt;&gt;""),J1729*K1729,"")</f>
        <v>162.36</v>
      </c>
      <c r="M1729" s="81" t="n">
        <f aca="false">IF(L1729&lt;&gt;"",L1729*1.1,"")</f>
        <v>178.596</v>
      </c>
      <c r="N1729" s="47" t="n">
        <f aca="false">IF(F1729="S",L1729*0.02,0)</f>
        <v>0</v>
      </c>
      <c r="O1729" s="82" t="n">
        <f aca="false">IF(L1729&lt;&gt;"",L1729+N1729,"")</f>
        <v>162.36</v>
      </c>
      <c r="P1729" s="47" t="n">
        <f aca="false">IF(O1729&lt;&gt;"",O1729*0.1,"")</f>
        <v>16.236</v>
      </c>
      <c r="Q1729" s="83" t="n">
        <f aca="false">IF(O1729&lt;&gt;"",O1729+P1729,"")</f>
        <v>178.596</v>
      </c>
      <c r="R1729" s="84" t="s">
        <v>365</v>
      </c>
    </row>
    <row r="1730" customFormat="false" ht="15" hidden="false" customHeight="true" outlineLevel="0" collapsed="false">
      <c r="A1730" s="103" t="n">
        <v>56356</v>
      </c>
      <c r="B1730" s="73" t="n">
        <v>46261</v>
      </c>
      <c r="C1730" s="74" t="s">
        <v>755</v>
      </c>
      <c r="D1730" s="75" t="n">
        <v>50232</v>
      </c>
      <c r="E1730" s="52" t="str">
        <f aca="false">IF(D1730&lt;&gt;"",IFERROR(VLOOKUP(D1730,PROVEEDORES!$A:$B,2,0),"!COD NO ENCONTRADO"),"")</f>
        <v>XESTION NOVA LONXA RIVEIRA S.L.</v>
      </c>
      <c r="F1730" s="76" t="str">
        <f aca="false">IF(D1730&lt;&gt;"",IFERROR(VLOOKUP(D1730,PROVEEDORES!$A:$C,3,0),""),"")</f>
        <v>S</v>
      </c>
      <c r="G1730" s="75" t="s">
        <v>205</v>
      </c>
      <c r="H1730" s="52" t="str">
        <f aca="false">IF(G1730&lt;&gt;"",IFERROR(VLOOKUP(G1730,PRODUCTOS!$A:$B,2,0),"!COD NO ENCONTRADO"),"")</f>
        <v>MERLUZA EUROPEA GDA (HKE)</v>
      </c>
      <c r="I1730" s="77" t="n">
        <v>1</v>
      </c>
      <c r="J1730" s="78" t="n">
        <v>2.9</v>
      </c>
      <c r="K1730" s="79" t="n">
        <v>14.8</v>
      </c>
      <c r="L1730" s="80" t="n">
        <f aca="false">IF(AND(J1730&lt;&gt;"",K1730&lt;&gt;""),J1730*K1730,"")</f>
        <v>42.92</v>
      </c>
      <c r="M1730" s="81" t="n">
        <f aca="false">IF(L1730&lt;&gt;"",L1730*1.1,"")</f>
        <v>47.212</v>
      </c>
      <c r="N1730" s="53" t="n">
        <f aca="false">IF(F1730="S",L1730*0.02,0)</f>
        <v>0.8584</v>
      </c>
      <c r="O1730" s="82" t="n">
        <f aca="false">IF(L1730&lt;&gt;"",L1730+N1730,"")</f>
        <v>43.7784</v>
      </c>
      <c r="P1730" s="53" t="n">
        <f aca="false">IF(O1730&lt;&gt;"",O1730*0.1,"")</f>
        <v>4.37784</v>
      </c>
      <c r="Q1730" s="83" t="n">
        <f aca="false">IF(O1730&lt;&gt;"",O1730+P1730,"")</f>
        <v>48.15624</v>
      </c>
      <c r="R1730" s="84" t="s">
        <v>358</v>
      </c>
    </row>
    <row r="1731" customFormat="false" ht="15" hidden="false" customHeight="true" outlineLevel="0" collapsed="false">
      <c r="A1731" s="103" t="n">
        <v>56356</v>
      </c>
      <c r="B1731" s="85" t="n">
        <v>46261</v>
      </c>
      <c r="C1731" s="74" t="s">
        <v>755</v>
      </c>
      <c r="D1731" s="87" t="n">
        <v>50232</v>
      </c>
      <c r="E1731" s="46" t="str">
        <f aca="false">IF(D1731&lt;&gt;"",IFERROR(VLOOKUP(D1731,PROVEEDORES!$A:$B,2,0),"!COD NO ENCONTRADO"),"")</f>
        <v>XESTION NOVA LONXA RIVEIRA S.L.</v>
      </c>
      <c r="F1731" s="88" t="str">
        <f aca="false">IF(D1731&lt;&gt;"",IFERROR(VLOOKUP(D1731,PROVEEDORES!$A:$C,3,0),""),"")</f>
        <v>S</v>
      </c>
      <c r="G1731" s="87" t="s">
        <v>205</v>
      </c>
      <c r="H1731" s="46" t="str">
        <f aca="false">IF(G1731&lt;&gt;"",IFERROR(VLOOKUP(G1731,PRODUCTOS!$A:$B,2,0),"!COD NO ENCONTRADO"),"")</f>
        <v>MERLUZA EUROPEA GDA (HKE)</v>
      </c>
      <c r="I1731" s="89" t="n">
        <v>4</v>
      </c>
      <c r="J1731" s="105" t="n">
        <v>18.6</v>
      </c>
      <c r="K1731" s="125" t="n">
        <v>15.5</v>
      </c>
      <c r="L1731" s="80" t="n">
        <f aca="false">IF(AND(J1731&lt;&gt;"",K1731&lt;&gt;""),J1731*K1731,"")</f>
        <v>288.3</v>
      </c>
      <c r="M1731" s="81" t="n">
        <f aca="false">IF(L1731&lt;&gt;"",L1731*1.1,"")</f>
        <v>317.13</v>
      </c>
      <c r="N1731" s="47" t="n">
        <f aca="false">IF(F1731="S",L1731*0.02,0)</f>
        <v>5.766</v>
      </c>
      <c r="O1731" s="82" t="n">
        <f aca="false">IF(L1731&lt;&gt;"",L1731+N1731,"")</f>
        <v>294.066</v>
      </c>
      <c r="P1731" s="47" t="n">
        <f aca="false">IF(O1731&lt;&gt;"",O1731*0.1,"")</f>
        <v>29.4066</v>
      </c>
      <c r="Q1731" s="83" t="n">
        <f aca="false">IF(O1731&lt;&gt;"",O1731+P1731,"")</f>
        <v>323.4726</v>
      </c>
      <c r="R1731" s="84" t="s">
        <v>358</v>
      </c>
    </row>
    <row r="1732" customFormat="false" ht="15" hidden="false" customHeight="true" outlineLevel="0" collapsed="false">
      <c r="A1732" s="103" t="n">
        <v>56356</v>
      </c>
      <c r="B1732" s="73" t="n">
        <v>46261</v>
      </c>
      <c r="C1732" s="74" t="s">
        <v>755</v>
      </c>
      <c r="D1732" s="75" t="n">
        <v>50232</v>
      </c>
      <c r="E1732" s="52" t="str">
        <f aca="false">IF(D1732&lt;&gt;"",IFERROR(VLOOKUP(D1732,PROVEEDORES!$A:$B,2,0),"!COD NO ENCONTRADO"),"")</f>
        <v>XESTION NOVA LONXA RIVEIRA S.L.</v>
      </c>
      <c r="F1732" s="76" t="str">
        <f aca="false">IF(D1732&lt;&gt;"",IFERROR(VLOOKUP(D1732,PROVEEDORES!$A:$C,3,0),""),"")</f>
        <v>S</v>
      </c>
      <c r="G1732" s="75" t="s">
        <v>179</v>
      </c>
      <c r="H1732" s="52" t="str">
        <f aca="false">IF(G1732&lt;&gt;"",IFERROR(VLOOKUP(G1732,PRODUCTOS!$A:$B,2,0),"!COD NO ENCONTRADO"),"")</f>
        <v>LIRIO/ BACALADILLA/ PERLA (WHB)</v>
      </c>
      <c r="I1732" s="77" t="n">
        <v>5</v>
      </c>
      <c r="J1732" s="78" t="n">
        <v>75</v>
      </c>
      <c r="K1732" s="125" t="n">
        <v>2</v>
      </c>
      <c r="L1732" s="80" t="n">
        <f aca="false">IF(AND(J1732&lt;&gt;"",K1732&lt;&gt;""),J1732*K1732,"")</f>
        <v>150</v>
      </c>
      <c r="M1732" s="81" t="n">
        <f aca="false">IF(L1732&lt;&gt;"",L1732*1.1,"")</f>
        <v>165</v>
      </c>
      <c r="N1732" s="53" t="n">
        <f aca="false">IF(F1732="S",L1732*0.02,0)</f>
        <v>3</v>
      </c>
      <c r="O1732" s="82" t="n">
        <f aca="false">IF(L1732&lt;&gt;"",L1732+N1732,"")</f>
        <v>153</v>
      </c>
      <c r="P1732" s="53" t="n">
        <f aca="false">IF(O1732&lt;&gt;"",O1732*0.1,"")</f>
        <v>15.3</v>
      </c>
      <c r="Q1732" s="83" t="n">
        <f aca="false">IF(O1732&lt;&gt;"",O1732+P1732,"")</f>
        <v>168.3</v>
      </c>
      <c r="R1732" s="84" t="s">
        <v>358</v>
      </c>
    </row>
    <row r="1733" customFormat="false" ht="15" hidden="false" customHeight="true" outlineLevel="0" collapsed="false">
      <c r="A1733" s="103" t="n">
        <v>56357</v>
      </c>
      <c r="B1733" s="73" t="n">
        <v>46261</v>
      </c>
      <c r="C1733" s="86" t="s">
        <v>756</v>
      </c>
      <c r="D1733" s="87" t="n">
        <v>50001</v>
      </c>
      <c r="E1733" s="46" t="str">
        <f aca="false">IF(D1733&lt;&gt;"",IFERROR(VLOOKUP(D1733,PROVEEDORES!$A:$B,2,0),"!COD NO ENCONTRADO"),"")</f>
        <v>COPESA</v>
      </c>
      <c r="F1733" s="88" t="str">
        <f aca="false">IF(D1733&lt;&gt;"",IFERROR(VLOOKUP(D1733,PROVEEDORES!$A:$C,3,0),""),"")</f>
        <v>S</v>
      </c>
      <c r="G1733" s="87" t="s">
        <v>193</v>
      </c>
      <c r="H1733" s="46" t="str">
        <f aca="false">IF(G1733&lt;&gt;"",IFERROR(VLOOKUP(G1733,PRODUCTOS!$A:$B,2,0),"!COD NO ENCONTRADO"),"")</f>
        <v>MERLUZA EUROPEA ARRASTRE (HKE) </v>
      </c>
      <c r="I1733" s="89" t="n">
        <v>10</v>
      </c>
      <c r="J1733" s="90" t="n">
        <v>259.5</v>
      </c>
      <c r="K1733" s="91" t="n">
        <v>1.45</v>
      </c>
      <c r="L1733" s="80" t="n">
        <f aca="false">IF(AND(J1733&lt;&gt;"",K1733&lt;&gt;""),J1733*K1733,"")</f>
        <v>376.275</v>
      </c>
      <c r="M1733" s="81" t="n">
        <f aca="false">IF(L1733&lt;&gt;"",L1733*1.1,"")</f>
        <v>413.9025</v>
      </c>
      <c r="N1733" s="47" t="n">
        <f aca="false">IF(F1733="S",L1733*0.02,0)</f>
        <v>7.5255</v>
      </c>
      <c r="O1733" s="82" t="n">
        <f aca="false">IF(L1733&lt;&gt;"",L1733+N1733,"")</f>
        <v>383.8005</v>
      </c>
      <c r="P1733" s="47" t="n">
        <f aca="false">IF(O1733&lt;&gt;"",O1733*0.1,"")</f>
        <v>38.38005</v>
      </c>
      <c r="Q1733" s="83" t="n">
        <f aca="false">IF(O1733&lt;&gt;"",O1733+P1733,"")</f>
        <v>422.18055</v>
      </c>
      <c r="R1733" s="84" t="s">
        <v>358</v>
      </c>
    </row>
    <row r="1734" customFormat="false" ht="15" hidden="false" customHeight="true" outlineLevel="0" collapsed="false">
      <c r="A1734" s="103" t="n">
        <v>56357</v>
      </c>
      <c r="B1734" s="73" t="n">
        <v>46261</v>
      </c>
      <c r="C1734" s="86" t="s">
        <v>756</v>
      </c>
      <c r="D1734" s="87" t="n">
        <v>50001</v>
      </c>
      <c r="E1734" s="46" t="str">
        <f aca="false">IF(D1734&lt;&gt;"",IFERROR(VLOOKUP(D1734,PROVEEDORES!$A:$B,2,0),"!COD NO ENCONTRADO"),"")</f>
        <v>COPESA</v>
      </c>
      <c r="F1734" s="88" t="str">
        <f aca="false">IF(D1734&lt;&gt;"",IFERROR(VLOOKUP(D1734,PROVEEDORES!$A:$C,3,0),""),"")</f>
        <v>S</v>
      </c>
      <c r="G1734" s="87" t="s">
        <v>193</v>
      </c>
      <c r="H1734" s="52" t="str">
        <f aca="false">IF(G1734&lt;&gt;"",IFERROR(VLOOKUP(G1734,PRODUCTOS!$A:$B,2,0),"!COD NO ENCONTRADO"),"")</f>
        <v>MERLUZA EUROPEA ARRASTRE (HKE) </v>
      </c>
      <c r="I1734" s="77" t="n">
        <v>18</v>
      </c>
      <c r="J1734" s="78" t="n">
        <v>463</v>
      </c>
      <c r="K1734" s="79" t="n">
        <v>1.75</v>
      </c>
      <c r="L1734" s="80" t="n">
        <f aca="false">IF(AND(J1734&lt;&gt;"",K1734&lt;&gt;""),J1734*K1734,"")</f>
        <v>810.25</v>
      </c>
      <c r="M1734" s="81" t="n">
        <f aca="false">IF(L1734&lt;&gt;"",L1734*1.1,"")</f>
        <v>891.275</v>
      </c>
      <c r="N1734" s="53" t="n">
        <f aca="false">IF(F1734="S",L1734*0.02,0)</f>
        <v>16.205</v>
      </c>
      <c r="O1734" s="82" t="n">
        <f aca="false">IF(L1734&lt;&gt;"",L1734+N1734,"")</f>
        <v>826.455</v>
      </c>
      <c r="P1734" s="53" t="n">
        <f aca="false">IF(O1734&lt;&gt;"",O1734*0.1,"")</f>
        <v>82.6455</v>
      </c>
      <c r="Q1734" s="83" t="n">
        <f aca="false">IF(O1734&lt;&gt;"",O1734+P1734,"")</f>
        <v>909.1005</v>
      </c>
      <c r="R1734" s="84" t="s">
        <v>358</v>
      </c>
    </row>
    <row r="1735" customFormat="false" ht="15" hidden="false" customHeight="true" outlineLevel="0" collapsed="false">
      <c r="A1735" s="103" t="n">
        <v>56357</v>
      </c>
      <c r="B1735" s="85" t="n">
        <v>46261</v>
      </c>
      <c r="C1735" s="86" t="s">
        <v>756</v>
      </c>
      <c r="D1735" s="87" t="n">
        <v>50001</v>
      </c>
      <c r="E1735" s="46" t="str">
        <f aca="false">IF(D1735&lt;&gt;"",IFERROR(VLOOKUP(D1735,PROVEEDORES!$A:$B,2,0),"!COD NO ENCONTRADO"),"")</f>
        <v>COPESA</v>
      </c>
      <c r="F1735" s="88" t="str">
        <f aca="false">IF(D1735&lt;&gt;"",IFERROR(VLOOKUP(D1735,PROVEEDORES!$A:$C,3,0),""),"")</f>
        <v>S</v>
      </c>
      <c r="G1735" s="87" t="s">
        <v>103</v>
      </c>
      <c r="H1735" s="46" t="str">
        <f aca="false">IF(G1735&lt;&gt;"",IFERROR(VLOOKUP(G1735,PRODUCTOS!$A:$B,2,0),"!COD NO ENCONTRADO"),"")</f>
        <v>CABRAS/ GALLINETA (BRF)</v>
      </c>
      <c r="I1735" s="89" t="n">
        <v>1</v>
      </c>
      <c r="J1735" s="90" t="n">
        <v>20</v>
      </c>
      <c r="K1735" s="91" t="n">
        <v>2.7</v>
      </c>
      <c r="L1735" s="80" t="n">
        <f aca="false">IF(AND(J1735&lt;&gt;"",K1735&lt;&gt;""),J1735*K1735,"")</f>
        <v>54</v>
      </c>
      <c r="M1735" s="81" t="n">
        <f aca="false">IF(L1735&lt;&gt;"",L1735*1.1,"")</f>
        <v>59.4</v>
      </c>
      <c r="N1735" s="47" t="n">
        <f aca="false">IF(F1735="S",L1735*0.02,0)</f>
        <v>1.08</v>
      </c>
      <c r="O1735" s="82" t="n">
        <f aca="false">IF(L1735&lt;&gt;"",L1735+N1735,"")</f>
        <v>55.08</v>
      </c>
      <c r="P1735" s="47" t="n">
        <f aca="false">IF(O1735&lt;&gt;"",O1735*0.1,"")</f>
        <v>5.508</v>
      </c>
      <c r="Q1735" s="83" t="n">
        <f aca="false">IF(O1735&lt;&gt;"",O1735+P1735,"")</f>
        <v>60.588</v>
      </c>
      <c r="R1735" s="84" t="s">
        <v>358</v>
      </c>
    </row>
    <row r="1736" customFormat="false" ht="15" hidden="false" customHeight="true" outlineLevel="0" collapsed="false">
      <c r="A1736" s="103" t="n">
        <v>56358</v>
      </c>
      <c r="B1736" s="73" t="n">
        <v>46261</v>
      </c>
      <c r="C1736" s="86" t="s">
        <v>757</v>
      </c>
      <c r="D1736" s="87" t="n">
        <v>50146</v>
      </c>
      <c r="E1736" s="46" t="str">
        <f aca="false">IF(D1736&lt;&gt;"",IFERROR(VLOOKUP(D1736,PROVEEDORES!$A:$B,2,0),"!COD NO ENCONTRADO"),"")</f>
        <v>MAR BERMEO S.L.</v>
      </c>
      <c r="F1736" s="88" t="str">
        <f aca="false">IF(D1736&lt;&gt;"",IFERROR(VLOOKUP(D1736,PROVEEDORES!$A:$C,3,0),""),"")</f>
        <v>S</v>
      </c>
      <c r="G1736" s="87" t="s">
        <v>326</v>
      </c>
      <c r="H1736" s="46" t="str">
        <f aca="false">IF(G1736&lt;&gt;"",IFERROR(VLOOKUP(G1736,PRODUCTOS!$A:$B,2,0),"!COD NO ENCONTRADO"),"")</f>
        <v>SARGO RIA (SWA)</v>
      </c>
      <c r="I1736" s="89" t="n">
        <v>1</v>
      </c>
      <c r="J1736" s="90" t="n">
        <v>4.35</v>
      </c>
      <c r="K1736" s="91" t="n">
        <v>17</v>
      </c>
      <c r="L1736" s="80" t="n">
        <f aca="false">IF(AND(J1736&lt;&gt;"",K1736&lt;&gt;""),J1736*K1736,"")</f>
        <v>73.95</v>
      </c>
      <c r="M1736" s="81" t="n">
        <f aca="false">IF(L1736&lt;&gt;"",L1736*1.1,"")</f>
        <v>81.345</v>
      </c>
      <c r="N1736" s="47" t="n">
        <f aca="false">IF(F1736="S",L1736*0.02,0)</f>
        <v>1.479</v>
      </c>
      <c r="O1736" s="82" t="n">
        <f aca="false">IF(L1736&lt;&gt;"",L1736+N1736,"")</f>
        <v>75.429</v>
      </c>
      <c r="P1736" s="47" t="n">
        <f aca="false">IF(O1736&lt;&gt;"",O1736*0.1,"")</f>
        <v>7.5429</v>
      </c>
      <c r="Q1736" s="83" t="n">
        <f aca="false">IF(O1736&lt;&gt;"",O1736+P1736,"")</f>
        <v>82.9719</v>
      </c>
      <c r="R1736" s="84" t="s">
        <v>365</v>
      </c>
    </row>
    <row r="1737" customFormat="false" ht="15" hidden="false" customHeight="true" outlineLevel="0" collapsed="false">
      <c r="A1737" s="103" t="n">
        <v>56359</v>
      </c>
      <c r="B1737" s="73" t="n">
        <v>46261</v>
      </c>
      <c r="C1737" s="74" t="s">
        <v>758</v>
      </c>
      <c r="D1737" s="75" t="n">
        <v>50163</v>
      </c>
      <c r="E1737" s="52" t="str">
        <f aca="false">IF(D1737&lt;&gt;"",IFERROR(VLOOKUP(D1737,PROVEEDORES!$A:$B,2,0),"!COD NO ENCONTRADO"),"")</f>
        <v>SUBASTAS RIVERA S.L.</v>
      </c>
      <c r="F1737" s="76" t="str">
        <f aca="false">IF(D1737&lt;&gt;"",IFERROR(VLOOKUP(D1737,PROVEEDORES!$A:$C,3,0),""),"")</f>
        <v>S</v>
      </c>
      <c r="G1737" s="75" t="s">
        <v>308</v>
      </c>
      <c r="H1737" s="52" t="str">
        <f aca="false">IF(G1737&lt;&gt;"",IFERROR(VLOOKUP(G1737,PRODUCTOS!$A:$B,2,0),"!COD NO ENCONTRADO"),"")</f>
        <v>SABLE BLANCO (SFS)</v>
      </c>
      <c r="I1737" s="77" t="n">
        <v>1</v>
      </c>
      <c r="J1737" s="78" t="n">
        <v>2.5</v>
      </c>
      <c r="K1737" s="79" t="n">
        <v>6.3</v>
      </c>
      <c r="L1737" s="80" t="n">
        <f aca="false">IF(AND(J1737&lt;&gt;"",K1737&lt;&gt;""),J1737*K1737,"")</f>
        <v>15.75</v>
      </c>
      <c r="M1737" s="81" t="n">
        <f aca="false">IF(L1737&lt;&gt;"",L1737*1.1,"")</f>
        <v>17.325</v>
      </c>
      <c r="N1737" s="53" t="n">
        <f aca="false">IF(F1737="S",L1737*0.02,0)</f>
        <v>0.315</v>
      </c>
      <c r="O1737" s="82" t="n">
        <f aca="false">IF(L1737&lt;&gt;"",L1737+N1737,"")</f>
        <v>16.065</v>
      </c>
      <c r="P1737" s="53" t="n">
        <f aca="false">IF(O1737&lt;&gt;"",O1737*0.1,"")</f>
        <v>1.6065</v>
      </c>
      <c r="Q1737" s="83" t="n">
        <f aca="false">IF(O1737&lt;&gt;"",O1737+P1737,"")</f>
        <v>17.6715</v>
      </c>
      <c r="R1737" s="84" t="s">
        <v>358</v>
      </c>
    </row>
    <row r="1738" customFormat="false" ht="15" hidden="false" customHeight="true" outlineLevel="0" collapsed="false">
      <c r="A1738" s="103" t="n">
        <v>56359</v>
      </c>
      <c r="B1738" s="73" t="n">
        <v>46261</v>
      </c>
      <c r="C1738" s="74" t="s">
        <v>758</v>
      </c>
      <c r="D1738" s="75" t="n">
        <v>50163</v>
      </c>
      <c r="E1738" s="46" t="str">
        <f aca="false">IF(D1738&lt;&gt;"",IFERROR(VLOOKUP(D1738,PROVEEDORES!$A:$B,2,0),"!COD NO ENCONTRADO"),"")</f>
        <v>SUBASTAS RIVERA S.L.</v>
      </c>
      <c r="F1738" s="88" t="str">
        <f aca="false">IF(D1738&lt;&gt;"",IFERROR(VLOOKUP(D1738,PROVEEDORES!$A:$C,3,0),""),"")</f>
        <v>S</v>
      </c>
      <c r="G1738" s="87" t="s">
        <v>135</v>
      </c>
      <c r="H1738" s="46" t="str">
        <f aca="false">IF(G1738&lt;&gt;"",IFERROR(VLOOKUP(G1738,PRODUCTOS!$A:$B,2,0),"!COD NO ENCONTRADO"),"")</f>
        <v>CONGRIO 10+  (COE)</v>
      </c>
      <c r="I1738" s="89" t="n">
        <v>1</v>
      </c>
      <c r="J1738" s="90" t="n">
        <v>12.75</v>
      </c>
      <c r="K1738" s="91" t="n">
        <v>2.7</v>
      </c>
      <c r="L1738" s="80" t="n">
        <f aca="false">IF(AND(J1738&lt;&gt;"",K1738&lt;&gt;""),J1738*K1738,"")</f>
        <v>34.425</v>
      </c>
      <c r="M1738" s="81" t="n">
        <f aca="false">IF(L1738&lt;&gt;"",L1738*1.1,"")</f>
        <v>37.8675</v>
      </c>
      <c r="N1738" s="47" t="n">
        <f aca="false">IF(F1738="S",L1738*0.02,0)</f>
        <v>0.6885</v>
      </c>
      <c r="O1738" s="82" t="n">
        <f aca="false">IF(L1738&lt;&gt;"",L1738+N1738,"")</f>
        <v>35.1135</v>
      </c>
      <c r="P1738" s="47" t="n">
        <f aca="false">IF(O1738&lt;&gt;"",O1738*0.1,"")</f>
        <v>3.51135</v>
      </c>
      <c r="Q1738" s="83" t="n">
        <f aca="false">IF(O1738&lt;&gt;"",O1738+P1738,"")</f>
        <v>38.62485</v>
      </c>
      <c r="R1738" s="84" t="s">
        <v>358</v>
      </c>
    </row>
    <row r="1739" customFormat="false" ht="15" hidden="false" customHeight="true" outlineLevel="0" collapsed="false">
      <c r="A1739" s="103" t="n">
        <v>56359</v>
      </c>
      <c r="B1739" s="73" t="n">
        <v>46261</v>
      </c>
      <c r="C1739" s="74" t="s">
        <v>758</v>
      </c>
      <c r="D1739" s="75" t="n">
        <v>50163</v>
      </c>
      <c r="E1739" s="52" t="str">
        <f aca="false">IF(D1739&lt;&gt;"",IFERROR(VLOOKUP(D1739,PROVEEDORES!$A:$B,2,0),"!COD NO ENCONTRADO"),"")</f>
        <v>SUBASTAS RIVERA S.L.</v>
      </c>
      <c r="F1739" s="76" t="str">
        <f aca="false">IF(D1739&lt;&gt;"",IFERROR(VLOOKUP(D1739,PROVEEDORES!$A:$C,3,0),""),"")</f>
        <v>S</v>
      </c>
      <c r="G1739" s="75" t="s">
        <v>316</v>
      </c>
      <c r="H1739" s="52" t="str">
        <f aca="false">IF(G1739&lt;&gt;"",IFERROR(VLOOKUP(G1739,PRODUCTOS!$A:$B,2,0),"!COD NO ENCONTRADO"),"")</f>
        <v>SALMONETE ROCA (MUR)</v>
      </c>
      <c r="I1739" s="77" t="n">
        <v>1</v>
      </c>
      <c r="J1739" s="78" t="n">
        <v>4.2</v>
      </c>
      <c r="K1739" s="79" t="n">
        <v>16</v>
      </c>
      <c r="L1739" s="80" t="n">
        <f aca="false">IF(AND(J1739&lt;&gt;"",K1739&lt;&gt;""),J1739*K1739,"")</f>
        <v>67.2</v>
      </c>
      <c r="M1739" s="81" t="n">
        <f aca="false">IF(L1739&lt;&gt;"",L1739*1.1,"")</f>
        <v>73.92</v>
      </c>
      <c r="N1739" s="53" t="n">
        <f aca="false">IF(F1739="S",L1739*0.02,0)</f>
        <v>1.344</v>
      </c>
      <c r="O1739" s="82" t="n">
        <f aca="false">IF(L1739&lt;&gt;"",L1739+N1739,"")</f>
        <v>68.544</v>
      </c>
      <c r="P1739" s="53" t="n">
        <f aca="false">IF(O1739&lt;&gt;"",O1739*0.1,"")</f>
        <v>6.8544</v>
      </c>
      <c r="Q1739" s="83" t="n">
        <f aca="false">IF(O1739&lt;&gt;"",O1739+P1739,"")</f>
        <v>75.3984</v>
      </c>
      <c r="R1739" s="84" t="s">
        <v>358</v>
      </c>
    </row>
    <row r="1740" customFormat="false" ht="15" hidden="false" customHeight="true" outlineLevel="0" collapsed="false">
      <c r="A1740" s="103" t="n">
        <v>56359</v>
      </c>
      <c r="B1740" s="73" t="n">
        <v>46261</v>
      </c>
      <c r="C1740" s="74" t="s">
        <v>758</v>
      </c>
      <c r="D1740" s="75" t="n">
        <v>50163</v>
      </c>
      <c r="E1740" s="46" t="str">
        <f aca="false">IF(D1740&lt;&gt;"",IFERROR(VLOOKUP(D1740,PROVEEDORES!$A:$B,2,0),"!COD NO ENCONTRADO"),"")</f>
        <v>SUBASTAS RIVERA S.L.</v>
      </c>
      <c r="F1740" s="88" t="str">
        <f aca="false">IF(D1740&lt;&gt;"",IFERROR(VLOOKUP(D1740,PROVEEDORES!$A:$C,3,0),""),"")</f>
        <v>S</v>
      </c>
      <c r="G1740" s="87" t="s">
        <v>316</v>
      </c>
      <c r="H1740" s="46" t="str">
        <f aca="false">IF(G1740&lt;&gt;"",IFERROR(VLOOKUP(G1740,PRODUCTOS!$A:$B,2,0),"!COD NO ENCONTRADO"),"")</f>
        <v>SALMONETE ROCA (MUR)</v>
      </c>
      <c r="I1740" s="89" t="n">
        <v>1</v>
      </c>
      <c r="J1740" s="90" t="n">
        <v>4.5</v>
      </c>
      <c r="K1740" s="91" t="n">
        <v>16.9</v>
      </c>
      <c r="L1740" s="80" t="n">
        <f aca="false">IF(AND(J1740&lt;&gt;"",K1740&lt;&gt;""),J1740*K1740,"")</f>
        <v>76.05</v>
      </c>
      <c r="M1740" s="81" t="n">
        <f aca="false">IF(L1740&lt;&gt;"",L1740*1.1,"")</f>
        <v>83.655</v>
      </c>
      <c r="N1740" s="47" t="n">
        <f aca="false">IF(F1740="S",L1740*0.02,0)</f>
        <v>1.521</v>
      </c>
      <c r="O1740" s="82" t="n">
        <f aca="false">IF(L1740&lt;&gt;"",L1740+N1740,"")</f>
        <v>77.571</v>
      </c>
      <c r="P1740" s="47" t="n">
        <f aca="false">IF(O1740&lt;&gt;"",O1740*0.1,"")</f>
        <v>7.7571</v>
      </c>
      <c r="Q1740" s="83" t="n">
        <f aca="false">IF(O1740&lt;&gt;"",O1740+P1740,"")</f>
        <v>85.3281</v>
      </c>
      <c r="R1740" s="84" t="s">
        <v>358</v>
      </c>
    </row>
    <row r="1741" customFormat="false" ht="15" hidden="false" customHeight="true" outlineLevel="0" collapsed="false">
      <c r="A1741" s="103" t="n">
        <v>56360</v>
      </c>
      <c r="B1741" s="73" t="n">
        <v>46261</v>
      </c>
      <c r="C1741" s="74" t="s">
        <v>759</v>
      </c>
      <c r="D1741" s="75" t="n">
        <v>50048</v>
      </c>
      <c r="E1741" s="52" t="str">
        <f aca="false">IF(D1741&lt;&gt;"",IFERROR(VLOOKUP(D1741,PROVEEDORES!$A:$B,2,0),"!COD NO ENCONTRADO"),"")</f>
        <v>JOSE LUIS CORREA KESSLER S.L.</v>
      </c>
      <c r="F1741" s="76" t="str">
        <f aca="false">IF(D1741&lt;&gt;"",IFERROR(VLOOKUP(D1741,PROVEEDORES!$A:$C,3,0),""),"")</f>
        <v>N</v>
      </c>
      <c r="G1741" s="75" t="s">
        <v>179</v>
      </c>
      <c r="H1741" s="52" t="str">
        <f aca="false">IF(G1741&lt;&gt;"",IFERROR(VLOOKUP(G1741,PRODUCTOS!$A:$B,2,0),"!COD NO ENCONTRADO"),"")</f>
        <v>LIRIO/ BACALADILLA/ PERLA (WHB)</v>
      </c>
      <c r="I1741" s="77" t="n">
        <v>10</v>
      </c>
      <c r="J1741" s="78" t="n">
        <v>60</v>
      </c>
      <c r="K1741" s="125" t="n">
        <v>2.45</v>
      </c>
      <c r="L1741" s="80" t="n">
        <f aca="false">IF(AND(J1741&lt;&gt;"",K1741&lt;&gt;""),J1741*K1741,"")</f>
        <v>147</v>
      </c>
      <c r="M1741" s="81" t="n">
        <f aca="false">IF(L1741&lt;&gt;"",L1741*1.1,"")</f>
        <v>161.7</v>
      </c>
      <c r="N1741" s="53" t="n">
        <f aca="false">IF(F1741="S",L1741*0.02,0)</f>
        <v>0</v>
      </c>
      <c r="O1741" s="82" t="n">
        <f aca="false">IF(L1741&lt;&gt;"",L1741+N1741,"")</f>
        <v>147</v>
      </c>
      <c r="P1741" s="53" t="n">
        <f aca="false">IF(O1741&lt;&gt;"",O1741*0.1,"")</f>
        <v>14.7</v>
      </c>
      <c r="Q1741" s="83" t="n">
        <f aca="false">IF(O1741&lt;&gt;"",O1741+P1741,"")</f>
        <v>161.7</v>
      </c>
      <c r="R1741" s="84" t="s">
        <v>358</v>
      </c>
    </row>
    <row r="1742" customFormat="false" ht="15" hidden="false" customHeight="true" outlineLevel="0" collapsed="false">
      <c r="A1742" s="103" t="n">
        <v>56361</v>
      </c>
      <c r="B1742" s="85" t="n">
        <v>46261</v>
      </c>
      <c r="C1742" s="74" t="s">
        <v>760</v>
      </c>
      <c r="D1742" s="111" t="n">
        <v>50521</v>
      </c>
      <c r="E1742" s="52" t="str">
        <f aca="false">IF(D1742&lt;&gt;"",IFERROR(VLOOKUP(D1742,PROVEEDORES!$A:$B,2,0),"!COD NO ENCONTRADO"),"")</f>
        <v>SUBASTAS DE ATLANTICO S.L</v>
      </c>
      <c r="F1742" s="76" t="str">
        <f aca="false">IF(D1742&lt;&gt;"",IFERROR(VLOOKUP(D1742,PROVEEDORES!$A:$C,3,0),""),"")</f>
        <v>S</v>
      </c>
      <c r="G1742" s="75" t="s">
        <v>93</v>
      </c>
      <c r="H1742" s="52" t="str">
        <f aca="false">IF(G1742&lt;&gt;"",IFERROR(VLOOKUP(G1742,PRODUCTOS!$A:$B,2,0),"!COD NO ENCONTRADO"),"")</f>
        <v>BOQUERON/ BOCARTE/ ANCHOA (ANE)</v>
      </c>
      <c r="I1742" s="77" t="n">
        <v>40</v>
      </c>
      <c r="J1742" s="78" t="n">
        <v>326</v>
      </c>
      <c r="K1742" s="125" t="n">
        <v>1.45</v>
      </c>
      <c r="L1742" s="80" t="n">
        <f aca="false">IF(AND(J1742&lt;&gt;"",K1742&lt;&gt;""),J1742*K1742,"")</f>
        <v>472.7</v>
      </c>
      <c r="M1742" s="81" t="n">
        <f aca="false">IF(L1742&lt;&gt;"",L1742*1.1,"")</f>
        <v>519.97</v>
      </c>
      <c r="N1742" s="53" t="n">
        <f aca="false">IF(F1742="S",L1742*0.02,0)</f>
        <v>9.454</v>
      </c>
      <c r="O1742" s="82" t="n">
        <f aca="false">IF(L1742&lt;&gt;"",L1742+N1742,"")</f>
        <v>482.154</v>
      </c>
      <c r="P1742" s="53" t="n">
        <f aca="false">IF(O1742&lt;&gt;"",O1742*0.1,"")</f>
        <v>48.2154</v>
      </c>
      <c r="Q1742" s="83" t="n">
        <f aca="false">IF(O1742&lt;&gt;"",O1742+P1742,"")</f>
        <v>530.3694</v>
      </c>
      <c r="R1742" s="84" t="s">
        <v>358</v>
      </c>
    </row>
    <row r="1743" customFormat="false" ht="15" hidden="false" customHeight="true" outlineLevel="0" collapsed="false">
      <c r="A1743" s="103" t="n">
        <v>56361</v>
      </c>
      <c r="B1743" s="85" t="n">
        <v>46261</v>
      </c>
      <c r="C1743" s="86" t="s">
        <v>760</v>
      </c>
      <c r="D1743" s="111" t="n">
        <v>50521</v>
      </c>
      <c r="E1743" s="46" t="str">
        <f aca="false">IF(D1743&lt;&gt;"",IFERROR(VLOOKUP(D1743,PROVEEDORES!$A:$B,2,0),"!COD NO ENCONTRADO"),"")</f>
        <v>SUBASTAS DE ATLANTICO S.L</v>
      </c>
      <c r="F1743" s="88" t="str">
        <f aca="false">IF(D1743&lt;&gt;"",IFERROR(VLOOKUP(D1743,PROVEEDORES!$A:$C,3,0),""),"")</f>
        <v>S</v>
      </c>
      <c r="G1743" s="87" t="s">
        <v>93</v>
      </c>
      <c r="H1743" s="46" t="str">
        <f aca="false">IF(G1743&lt;&gt;"",IFERROR(VLOOKUP(G1743,PRODUCTOS!$A:$B,2,0),"!COD NO ENCONTRADO"),"")</f>
        <v>BOQUERON/ BOCARTE/ ANCHOA (ANE)</v>
      </c>
      <c r="I1743" s="89" t="n">
        <v>40</v>
      </c>
      <c r="J1743" s="90" t="n">
        <v>329</v>
      </c>
      <c r="K1743" s="125" t="n">
        <v>1.45</v>
      </c>
      <c r="L1743" s="80" t="n">
        <f aca="false">IF(AND(J1743&lt;&gt;"",K1743&lt;&gt;""),J1743*K1743,"")</f>
        <v>477.05</v>
      </c>
      <c r="M1743" s="81" t="n">
        <f aca="false">IF(L1743&lt;&gt;"",L1743*1.1,"")</f>
        <v>524.755</v>
      </c>
      <c r="N1743" s="47" t="n">
        <f aca="false">IF(F1743="S",L1743*0.02,0)</f>
        <v>9.541</v>
      </c>
      <c r="O1743" s="82" t="n">
        <f aca="false">IF(L1743&lt;&gt;"",L1743+N1743,"")</f>
        <v>486.591</v>
      </c>
      <c r="P1743" s="47" t="n">
        <f aca="false">IF(O1743&lt;&gt;"",O1743*0.1,"")</f>
        <v>48.6591</v>
      </c>
      <c r="Q1743" s="83" t="n">
        <f aca="false">IF(O1743&lt;&gt;"",O1743+P1743,"")</f>
        <v>535.2501</v>
      </c>
      <c r="R1743" s="84" t="s">
        <v>358</v>
      </c>
    </row>
    <row r="1744" customFormat="false" ht="15" hidden="false" customHeight="true" outlineLevel="0" collapsed="false">
      <c r="A1744" s="103" t="n">
        <v>56362</v>
      </c>
      <c r="B1744" s="73" t="n">
        <v>46261</v>
      </c>
      <c r="C1744" s="110" t="s">
        <v>761</v>
      </c>
      <c r="D1744" s="111" t="n">
        <v>50035</v>
      </c>
      <c r="E1744" s="52" t="str">
        <f aca="false">IF(D1744&lt;&gt;"",IFERROR(VLOOKUP(D1744,PROVEEDORES!$A:$B,2,0),"!COD NO ENCONTRADO"),"")</f>
        <v>SCANFISK SEAFFOD S,L</v>
      </c>
      <c r="F1744" s="76" t="str">
        <f aca="false">IF(D1744&lt;&gt;"",IFERROR(VLOOKUP(D1744,PROVEEDORES!$A:$C,3,0),""),"")</f>
        <v>N</v>
      </c>
      <c r="G1744" s="75" t="s">
        <v>246</v>
      </c>
      <c r="H1744" s="52" t="str">
        <f aca="false">IF(G1744&lt;&gt;"",IFERROR(VLOOKUP(G1744,PRODUCTOS!$A:$B,2,0),"!COD NO ENCONTRADO"),"")</f>
        <v>MERLUZA EUROPEA VOLANTA ALTURA</v>
      </c>
      <c r="I1744" s="112" t="n">
        <v>2</v>
      </c>
      <c r="J1744" s="105" t="n">
        <v>27.6</v>
      </c>
      <c r="K1744" s="125" t="n">
        <v>10.8</v>
      </c>
      <c r="L1744" s="80" t="n">
        <f aca="false">IF(AND(J1744&lt;&gt;"",K1744&lt;&gt;""),J1744*K1744,"")</f>
        <v>298.08</v>
      </c>
      <c r="M1744" s="81" t="n">
        <f aca="false">IF(L1744&lt;&gt;"",L1744*1.1,"")</f>
        <v>327.888</v>
      </c>
      <c r="N1744" s="53" t="n">
        <f aca="false">IF(F1744="S",L1744*0.02,0)</f>
        <v>0</v>
      </c>
      <c r="O1744" s="82" t="n">
        <f aca="false">IF(L1744&lt;&gt;"",L1744+N1744,"")</f>
        <v>298.08</v>
      </c>
      <c r="P1744" s="53" t="n">
        <f aca="false">IF(O1744&lt;&gt;"",O1744*0.1,"")</f>
        <v>29.808</v>
      </c>
      <c r="Q1744" s="83" t="n">
        <f aca="false">IF(O1744&lt;&gt;"",O1744+P1744,"")</f>
        <v>327.888</v>
      </c>
      <c r="R1744" s="84" t="s">
        <v>358</v>
      </c>
    </row>
    <row r="1745" customFormat="false" ht="15" hidden="false" customHeight="true" outlineLevel="0" collapsed="false">
      <c r="A1745" s="103" t="n">
        <v>56362</v>
      </c>
      <c r="B1745" s="85" t="n">
        <v>46261</v>
      </c>
      <c r="C1745" s="110" t="s">
        <v>762</v>
      </c>
      <c r="D1745" s="87" t="n">
        <v>50035</v>
      </c>
      <c r="E1745" s="46" t="str">
        <f aca="false">IF(D1745&lt;&gt;"",IFERROR(VLOOKUP(D1745,PROVEEDORES!$A:$B,2,0),"!COD NO ENCONTRADO"),"")</f>
        <v>SCANFISK SEAFFOD S,L</v>
      </c>
      <c r="F1745" s="88" t="str">
        <f aca="false">IF(D1745&lt;&gt;"",IFERROR(VLOOKUP(D1745,PROVEEDORES!$A:$C,3,0),""),"")</f>
        <v>N</v>
      </c>
      <c r="G1745" s="87" t="s">
        <v>246</v>
      </c>
      <c r="H1745" s="46" t="str">
        <f aca="false">IF(G1745&lt;&gt;"",IFERROR(VLOOKUP(G1745,PRODUCTOS!$A:$B,2,0),"!COD NO ENCONTRADO"),"")</f>
        <v>MERLUZA EUROPEA VOLANTA ALTURA</v>
      </c>
      <c r="I1745" s="112" t="n">
        <v>7</v>
      </c>
      <c r="J1745" s="105" t="n">
        <v>94.2</v>
      </c>
      <c r="K1745" s="125" t="n">
        <v>10.8</v>
      </c>
      <c r="L1745" s="80" t="n">
        <f aca="false">IF(AND(J1745&lt;&gt;"",K1745&lt;&gt;""),J1745*K1745,"")</f>
        <v>1017.36</v>
      </c>
      <c r="M1745" s="81" t="n">
        <f aca="false">IF(L1745&lt;&gt;"",L1745*1.1,"")</f>
        <v>1119.096</v>
      </c>
      <c r="N1745" s="47" t="n">
        <f aca="false">IF(F1745="S",L1745*0.02,0)</f>
        <v>0</v>
      </c>
      <c r="O1745" s="82" t="n">
        <f aca="false">IF(L1745&lt;&gt;"",L1745+N1745,"")</f>
        <v>1017.36</v>
      </c>
      <c r="P1745" s="47" t="n">
        <f aca="false">IF(O1745&lt;&gt;"",O1745*0.1,"")</f>
        <v>101.736</v>
      </c>
      <c r="Q1745" s="83" t="n">
        <f aca="false">IF(O1745&lt;&gt;"",O1745+P1745,"")</f>
        <v>1119.096</v>
      </c>
      <c r="R1745" s="84" t="s">
        <v>358</v>
      </c>
    </row>
    <row r="1746" customFormat="false" ht="15" hidden="false" customHeight="true" outlineLevel="0" collapsed="false">
      <c r="A1746" s="103" t="n">
        <v>56362</v>
      </c>
      <c r="B1746" s="73" t="n">
        <v>46261</v>
      </c>
      <c r="C1746" s="74" t="s">
        <v>763</v>
      </c>
      <c r="D1746" s="75" t="n">
        <v>50035</v>
      </c>
      <c r="E1746" s="52" t="str">
        <f aca="false">IF(D1746&lt;&gt;"",IFERROR(VLOOKUP(D1746,PROVEEDORES!$A:$B,2,0),"!COD NO ENCONTRADO"),"")</f>
        <v>SCANFISK SEAFFOD S,L</v>
      </c>
      <c r="F1746" s="76" t="str">
        <f aca="false">IF(D1746&lt;&gt;"",IFERROR(VLOOKUP(D1746,PROVEEDORES!$A:$C,3,0),""),"")</f>
        <v>N</v>
      </c>
      <c r="G1746" s="75" t="s">
        <v>91</v>
      </c>
      <c r="H1746" s="52" t="str">
        <f aca="false">IF(G1746&lt;&gt;"",IFERROR(VLOOKUP(G1746,PRODUCTOS!$A:$B,2,0),"!COD NO ENCONTRADO"),"")</f>
        <v>BONITO DEL NORTE 5/7</v>
      </c>
      <c r="I1746" s="77" t="n">
        <v>1</v>
      </c>
      <c r="J1746" s="78" t="n">
        <v>30.1</v>
      </c>
      <c r="K1746" s="125" t="n">
        <v>5.4</v>
      </c>
      <c r="L1746" s="80" t="n">
        <f aca="false">IF(AND(J1746&lt;&gt;"",K1746&lt;&gt;""),J1746*K1746,"")</f>
        <v>162.54</v>
      </c>
      <c r="M1746" s="81" t="n">
        <f aca="false">IF(L1746&lt;&gt;"",L1746*1.1,"")</f>
        <v>178.794</v>
      </c>
      <c r="N1746" s="53" t="n">
        <f aca="false">IF(F1746="S",L1746*0.02,0)</f>
        <v>0</v>
      </c>
      <c r="O1746" s="82" t="n">
        <f aca="false">IF(L1746&lt;&gt;"",L1746+N1746,"")</f>
        <v>162.54</v>
      </c>
      <c r="P1746" s="53" t="n">
        <f aca="false">IF(O1746&lt;&gt;"",O1746*0.1,"")</f>
        <v>16.254</v>
      </c>
      <c r="Q1746" s="83" t="n">
        <f aca="false">IF(O1746&lt;&gt;"",O1746+P1746,"")</f>
        <v>178.794</v>
      </c>
      <c r="R1746" s="84" t="s">
        <v>365</v>
      </c>
    </row>
    <row r="1747" customFormat="false" ht="15" hidden="false" customHeight="true" outlineLevel="0" collapsed="false">
      <c r="A1747" s="103" t="n">
        <v>56363</v>
      </c>
      <c r="B1747" s="85" t="n">
        <v>46262</v>
      </c>
      <c r="C1747" s="86" t="s">
        <v>764</v>
      </c>
      <c r="D1747" s="87" t="n">
        <v>50232</v>
      </c>
      <c r="E1747" s="46" t="str">
        <f aca="false">IF(D1747&lt;&gt;"",IFERROR(VLOOKUP(D1747,PROVEEDORES!$A:$B,2,0),"!COD NO ENCONTRADO"),"")</f>
        <v>XESTION NOVA LONXA RIVEIRA S.L.</v>
      </c>
      <c r="F1747" s="88" t="str">
        <f aca="false">IF(D1747&lt;&gt;"",IFERROR(VLOOKUP(D1747,PROVEEDORES!$A:$C,3,0),""),"")</f>
        <v>S</v>
      </c>
      <c r="G1747" s="87" t="s">
        <v>97</v>
      </c>
      <c r="H1747" s="46" t="str">
        <f aca="false">IF(G1747&lt;&gt;"",IFERROR(VLOOKUP(G1747,PRODUCTOS!$A:$B,2,0),"!COD NO ENCONTRADO"),"")</f>
        <v>CABALL/ SARDA/ VERDEL (MAC)</v>
      </c>
      <c r="I1747" s="89" t="n">
        <v>14</v>
      </c>
      <c r="J1747" s="90" t="n">
        <v>93.1</v>
      </c>
      <c r="K1747" s="91" t="n">
        <v>4</v>
      </c>
      <c r="L1747" s="80" t="n">
        <f aca="false">IF(AND(J1747&lt;&gt;"",K1747&lt;&gt;""),J1747*K1747,"")</f>
        <v>372.4</v>
      </c>
      <c r="M1747" s="81" t="n">
        <f aca="false">IF(L1747&lt;&gt;"",L1747*1.1,"")</f>
        <v>409.64</v>
      </c>
      <c r="N1747" s="47" t="n">
        <f aca="false">IF(F1747="S",L1747*0.02,0)</f>
        <v>7.448</v>
      </c>
      <c r="O1747" s="82" t="n">
        <f aca="false">IF(L1747&lt;&gt;"",L1747+N1747,"")</f>
        <v>379.848</v>
      </c>
      <c r="P1747" s="47" t="n">
        <f aca="false">IF(O1747&lt;&gt;"",O1747*0.1,"")</f>
        <v>37.9848</v>
      </c>
      <c r="Q1747" s="83" t="n">
        <f aca="false">IF(O1747&lt;&gt;"",O1747+P1747,"")</f>
        <v>417.8328</v>
      </c>
      <c r="R1747" s="84" t="s">
        <v>365</v>
      </c>
    </row>
    <row r="1748" customFormat="false" ht="15" hidden="false" customHeight="true" outlineLevel="0" collapsed="false">
      <c r="A1748" s="103" t="n">
        <v>56363</v>
      </c>
      <c r="B1748" s="73" t="n">
        <v>46262</v>
      </c>
      <c r="C1748" s="86" t="s">
        <v>764</v>
      </c>
      <c r="D1748" s="75" t="n">
        <v>50232</v>
      </c>
      <c r="E1748" s="52" t="str">
        <f aca="false">IF(D1748&lt;&gt;"",IFERROR(VLOOKUP(D1748,PROVEEDORES!$A:$B,2,0),"!COD NO ENCONTRADO"),"")</f>
        <v>XESTION NOVA LONXA RIVEIRA S.L.</v>
      </c>
      <c r="F1748" s="76" t="str">
        <f aca="false">IF(D1748&lt;&gt;"",IFERROR(VLOOKUP(D1748,PROVEEDORES!$A:$C,3,0),""),"")</f>
        <v>S</v>
      </c>
      <c r="G1748" s="75" t="s">
        <v>270</v>
      </c>
      <c r="H1748" s="52" t="str">
        <f aca="false">IF(G1748&lt;&gt;"",IFERROR(VLOOKUP(G1748,PRODUCTOS!$A:$B,2,0),"!COD NO ENCONTRADO"),"")</f>
        <v>PEON/ PION (ATP)</v>
      </c>
      <c r="I1748" s="77" t="n">
        <v>2</v>
      </c>
      <c r="J1748" s="78" t="n">
        <v>8.3</v>
      </c>
      <c r="K1748" s="79" t="n">
        <v>2.5</v>
      </c>
      <c r="L1748" s="80" t="n">
        <f aca="false">IF(AND(J1748&lt;&gt;"",K1748&lt;&gt;""),J1748*K1748,"")</f>
        <v>20.75</v>
      </c>
      <c r="M1748" s="81" t="n">
        <f aca="false">IF(L1748&lt;&gt;"",L1748*1.1,"")</f>
        <v>22.825</v>
      </c>
      <c r="N1748" s="53" t="n">
        <f aca="false">IF(F1748="S",L1748*0.02,0)</f>
        <v>0.415</v>
      </c>
      <c r="O1748" s="82" t="n">
        <f aca="false">IF(L1748&lt;&gt;"",L1748+N1748,"")</f>
        <v>21.165</v>
      </c>
      <c r="P1748" s="53" t="n">
        <f aca="false">IF(O1748&lt;&gt;"",O1748*0.1,"")</f>
        <v>2.1165</v>
      </c>
      <c r="Q1748" s="83" t="n">
        <f aca="false">IF(O1748&lt;&gt;"",O1748+P1748,"")</f>
        <v>23.2815</v>
      </c>
      <c r="R1748" s="84" t="s">
        <v>365</v>
      </c>
    </row>
    <row r="1749" customFormat="false" ht="15" hidden="false" customHeight="true" outlineLevel="0" collapsed="false">
      <c r="A1749" s="103" t="n">
        <v>56363</v>
      </c>
      <c r="B1749" s="85" t="n">
        <v>46262</v>
      </c>
      <c r="C1749" s="86" t="s">
        <v>764</v>
      </c>
      <c r="D1749" s="87" t="n">
        <v>50232</v>
      </c>
      <c r="E1749" s="46" t="str">
        <f aca="false">IF(D1749&lt;&gt;"",IFERROR(VLOOKUP(D1749,PROVEEDORES!$A:$B,2,0),"!COD NO ENCONTRADO"),"")</f>
        <v>XESTION NOVA LONXA RIVEIRA S.L.</v>
      </c>
      <c r="F1749" s="88" t="str">
        <f aca="false">IF(D1749&lt;&gt;"",IFERROR(VLOOKUP(D1749,PROVEEDORES!$A:$C,3,0),""),"")</f>
        <v>S</v>
      </c>
      <c r="G1749" s="87" t="s">
        <v>270</v>
      </c>
      <c r="H1749" s="46" t="str">
        <f aca="false">IF(G1749&lt;&gt;"",IFERROR(VLOOKUP(G1749,PRODUCTOS!$A:$B,2,0),"!COD NO ENCONTRADO"),"")</f>
        <v>PEON/ PION (ATP)</v>
      </c>
      <c r="I1749" s="89" t="n">
        <v>1</v>
      </c>
      <c r="J1749" s="90" t="n">
        <v>8</v>
      </c>
      <c r="K1749" s="91" t="n">
        <v>3.5</v>
      </c>
      <c r="L1749" s="80" t="n">
        <f aca="false">IF(AND(J1749&lt;&gt;"",K1749&lt;&gt;""),J1749*K1749,"")</f>
        <v>28</v>
      </c>
      <c r="M1749" s="81" t="n">
        <f aca="false">IF(L1749&lt;&gt;"",L1749*1.1,"")</f>
        <v>30.8</v>
      </c>
      <c r="N1749" s="47" t="n">
        <f aca="false">IF(F1749="S",L1749*0.02,0)</f>
        <v>0.56</v>
      </c>
      <c r="O1749" s="82" t="n">
        <f aca="false">IF(L1749&lt;&gt;"",L1749+N1749,"")</f>
        <v>28.56</v>
      </c>
      <c r="P1749" s="47" t="n">
        <f aca="false">IF(O1749&lt;&gt;"",O1749*0.1,"")</f>
        <v>2.856</v>
      </c>
      <c r="Q1749" s="83" t="n">
        <f aca="false">IF(O1749&lt;&gt;"",O1749+P1749,"")</f>
        <v>31.416</v>
      </c>
      <c r="R1749" s="84" t="s">
        <v>365</v>
      </c>
    </row>
    <row r="1750" customFormat="false" ht="15" hidden="false" customHeight="true" outlineLevel="0" collapsed="false">
      <c r="A1750" s="103" t="n">
        <v>56364</v>
      </c>
      <c r="B1750" s="85" t="n">
        <v>46262</v>
      </c>
      <c r="C1750" s="74" t="s">
        <v>765</v>
      </c>
      <c r="D1750" s="75" t="n">
        <v>50001</v>
      </c>
      <c r="E1750" s="52" t="str">
        <f aca="false">IF(D1750&lt;&gt;"",IFERROR(VLOOKUP(D1750,PROVEEDORES!$A:$B,2,0),"!COD NO ENCONTRADO"),"")</f>
        <v>COPESA</v>
      </c>
      <c r="F1750" s="76" t="str">
        <f aca="false">IF(D1750&lt;&gt;"",IFERROR(VLOOKUP(D1750,PROVEEDORES!$A:$C,3,0),""),"")</f>
        <v>S</v>
      </c>
      <c r="G1750" s="75" t="s">
        <v>332</v>
      </c>
      <c r="H1750" s="52" t="str">
        <f aca="false">IF(G1750&lt;&gt;"",IFERROR(VLOOKUP(G1750,PRODUCTOS!$A:$B,2,0),"!COD NO ENCONTRADO"),"")</f>
        <v>VARIADO PEQUEÑO</v>
      </c>
      <c r="I1750" s="77" t="n">
        <v>1</v>
      </c>
      <c r="J1750" s="78" t="n">
        <v>11.75</v>
      </c>
      <c r="K1750" s="79" t="n">
        <v>0.6</v>
      </c>
      <c r="L1750" s="80" t="n">
        <f aca="false">IF(AND(J1750&lt;&gt;"",K1750&lt;&gt;""),J1750*K1750,"")</f>
        <v>7.05</v>
      </c>
      <c r="M1750" s="81" t="n">
        <f aca="false">IF(L1750&lt;&gt;"",L1750*1.1,"")</f>
        <v>7.755</v>
      </c>
      <c r="N1750" s="53" t="n">
        <f aca="false">IF(F1750="S",L1750*0.02,0)</f>
        <v>0.141</v>
      </c>
      <c r="O1750" s="82" t="n">
        <f aca="false">IF(L1750&lt;&gt;"",L1750+N1750,"")</f>
        <v>7.191</v>
      </c>
      <c r="P1750" s="53" t="n">
        <f aca="false">IF(O1750&lt;&gt;"",O1750*0.1,"")</f>
        <v>0.7191</v>
      </c>
      <c r="Q1750" s="83" t="n">
        <f aca="false">IF(O1750&lt;&gt;"",O1750+P1750,"")</f>
        <v>7.9101</v>
      </c>
      <c r="R1750" s="84" t="s">
        <v>365</v>
      </c>
    </row>
    <row r="1751" customFormat="false" ht="15" hidden="false" customHeight="true" outlineLevel="0" collapsed="false">
      <c r="A1751" s="103" t="n">
        <v>56364</v>
      </c>
      <c r="B1751" s="85" t="n">
        <v>46262</v>
      </c>
      <c r="C1751" s="74" t="s">
        <v>765</v>
      </c>
      <c r="D1751" s="87" t="n">
        <v>50001</v>
      </c>
      <c r="E1751" s="46" t="str">
        <f aca="false">IF(D1751&lt;&gt;"",IFERROR(VLOOKUP(D1751,PROVEEDORES!$A:$B,2,0),"!COD NO ENCONTRADO"),"")</f>
        <v>COPESA</v>
      </c>
      <c r="F1751" s="88" t="str">
        <f aca="false">IF(D1751&lt;&gt;"",IFERROR(VLOOKUP(D1751,PROVEEDORES!$A:$C,3,0),""),"")</f>
        <v>S</v>
      </c>
      <c r="G1751" s="87" t="s">
        <v>332</v>
      </c>
      <c r="H1751" s="46" t="str">
        <f aca="false">IF(G1751&lt;&gt;"",IFERROR(VLOOKUP(G1751,PRODUCTOS!$A:$B,2,0),"!COD NO ENCONTRADO"),"")</f>
        <v>VARIADO PEQUEÑO</v>
      </c>
      <c r="I1751" s="89" t="n">
        <v>4</v>
      </c>
      <c r="J1751" s="90" t="n">
        <v>31.25</v>
      </c>
      <c r="K1751" s="91" t="n">
        <v>0.5</v>
      </c>
      <c r="L1751" s="80" t="n">
        <f aca="false">IF(AND(J1751&lt;&gt;"",K1751&lt;&gt;""),J1751*K1751,"")</f>
        <v>15.625</v>
      </c>
      <c r="M1751" s="81" t="n">
        <f aca="false">IF(L1751&lt;&gt;"",L1751*1.1,"")</f>
        <v>17.1875</v>
      </c>
      <c r="N1751" s="47" t="n">
        <f aca="false">IF(F1751="S",L1751*0.02,0)</f>
        <v>0.3125</v>
      </c>
      <c r="O1751" s="82" t="n">
        <f aca="false">IF(L1751&lt;&gt;"",L1751+N1751,"")</f>
        <v>15.9375</v>
      </c>
      <c r="P1751" s="47" t="n">
        <f aca="false">IF(O1751&lt;&gt;"",O1751*0.1,"")</f>
        <v>1.59375</v>
      </c>
      <c r="Q1751" s="83" t="n">
        <f aca="false">IF(O1751&lt;&gt;"",O1751+P1751,"")</f>
        <v>17.53125</v>
      </c>
      <c r="R1751" s="84" t="s">
        <v>365</v>
      </c>
    </row>
    <row r="1752" customFormat="false" ht="15" hidden="false" customHeight="true" outlineLevel="0" collapsed="false">
      <c r="A1752" s="103" t="n">
        <v>56364</v>
      </c>
      <c r="B1752" s="85" t="n">
        <v>46262</v>
      </c>
      <c r="C1752" s="74" t="s">
        <v>765</v>
      </c>
      <c r="D1752" s="75" t="n">
        <v>50001</v>
      </c>
      <c r="E1752" s="52" t="str">
        <f aca="false">IF(D1752&lt;&gt;"",IFERROR(VLOOKUP(D1752,PROVEEDORES!$A:$B,2,0),"!COD NO ENCONTRADO"),"")</f>
        <v>COPESA</v>
      </c>
      <c r="F1752" s="76" t="str">
        <f aca="false">IF(D1752&lt;&gt;"",IFERROR(VLOOKUP(D1752,PROVEEDORES!$A:$C,3,0),""),"")</f>
        <v>S</v>
      </c>
      <c r="G1752" s="75" t="s">
        <v>276</v>
      </c>
      <c r="H1752" s="52" t="str">
        <f aca="false">IF(G1752&lt;&gt;"",IFERROR(VLOOKUP(G1752,PRODUCTOS!$A:$B,2,0),"!COD NO ENCONTRADO"),"")</f>
        <v>MERLUZA EUROPEA/ FINA DIA </v>
      </c>
      <c r="I1752" s="77" t="n">
        <v>4</v>
      </c>
      <c r="J1752" s="78" t="n">
        <v>23.5</v>
      </c>
      <c r="K1752" s="79" t="n">
        <v>2.6</v>
      </c>
      <c r="L1752" s="80" t="n">
        <f aca="false">IF(AND(J1752&lt;&gt;"",K1752&lt;&gt;""),J1752*K1752,"")</f>
        <v>61.1</v>
      </c>
      <c r="M1752" s="81" t="n">
        <f aca="false">IF(L1752&lt;&gt;"",L1752*1.1,"")</f>
        <v>67.21</v>
      </c>
      <c r="N1752" s="53" t="n">
        <f aca="false">IF(F1752="S",L1752*0.02,0)</f>
        <v>1.222</v>
      </c>
      <c r="O1752" s="82" t="n">
        <f aca="false">IF(L1752&lt;&gt;"",L1752+N1752,"")</f>
        <v>62.322</v>
      </c>
      <c r="P1752" s="53" t="n">
        <f aca="false">IF(O1752&lt;&gt;"",O1752*0.1,"")</f>
        <v>6.2322</v>
      </c>
      <c r="Q1752" s="83" t="n">
        <f aca="false">IF(O1752&lt;&gt;"",O1752+P1752,"")</f>
        <v>68.5542</v>
      </c>
      <c r="R1752" s="84" t="s">
        <v>365</v>
      </c>
    </row>
    <row r="1753" customFormat="false" ht="15" hidden="false" customHeight="true" outlineLevel="0" collapsed="false">
      <c r="A1753" s="103" t="n">
        <v>56365</v>
      </c>
      <c r="B1753" s="85" t="n">
        <v>46262</v>
      </c>
      <c r="C1753" s="86" t="s">
        <v>766</v>
      </c>
      <c r="D1753" s="87" t="n">
        <v>50010</v>
      </c>
      <c r="E1753" s="46" t="str">
        <f aca="false">IF(D1753&lt;&gt;"",IFERROR(VLOOKUP(D1753,PROVEEDORES!$A:$B,2,0),"!COD NO ENCONTRADO"),"")</f>
        <v>PERFECTO MONTERO</v>
      </c>
      <c r="F1753" s="88" t="str">
        <f aca="false">IF(D1753&lt;&gt;"",IFERROR(VLOOKUP(D1753,PROVEEDORES!$A:$C,3,0),""),"")</f>
        <v>S</v>
      </c>
      <c r="G1753" s="87" t="s">
        <v>137</v>
      </c>
      <c r="H1753" s="46" t="str">
        <f aca="false">IF(G1753&lt;&gt;"",IFERROR(VLOOKUP(G1753,PRODUCTOS!$A:$B,2,0),"!COD NO ENCONTRADO"),"")</f>
        <v>CONGRIO 7/10 (COE)</v>
      </c>
      <c r="I1753" s="89" t="n">
        <v>2</v>
      </c>
      <c r="J1753" s="90" t="n">
        <v>17.5</v>
      </c>
      <c r="K1753" s="91" t="n">
        <v>2.2</v>
      </c>
      <c r="L1753" s="80" t="n">
        <f aca="false">IF(AND(J1753&lt;&gt;"",K1753&lt;&gt;""),J1753*K1753,"")</f>
        <v>38.5</v>
      </c>
      <c r="M1753" s="81" t="n">
        <f aca="false">IF(L1753&lt;&gt;"",L1753*1.1,"")</f>
        <v>42.35</v>
      </c>
      <c r="N1753" s="47" t="n">
        <f aca="false">IF(F1753="S",L1753*0.02,0)</f>
        <v>0.77</v>
      </c>
      <c r="O1753" s="82" t="n">
        <f aca="false">IF(L1753&lt;&gt;"",L1753+N1753,"")</f>
        <v>39.27</v>
      </c>
      <c r="P1753" s="47" t="n">
        <f aca="false">IF(O1753&lt;&gt;"",O1753*0.1,"")</f>
        <v>3.927</v>
      </c>
      <c r="Q1753" s="83" t="n">
        <f aca="false">IF(O1753&lt;&gt;"",O1753+P1753,"")</f>
        <v>43.197</v>
      </c>
      <c r="R1753" s="84" t="s">
        <v>358</v>
      </c>
    </row>
    <row r="1754" customFormat="false" ht="15" hidden="false" customHeight="true" outlineLevel="0" collapsed="false">
      <c r="A1754" s="103" t="n">
        <v>56365</v>
      </c>
      <c r="B1754" s="85" t="n">
        <v>46262</v>
      </c>
      <c r="C1754" s="86" t="s">
        <v>766</v>
      </c>
      <c r="D1754" s="75" t="n">
        <v>50010</v>
      </c>
      <c r="E1754" s="52" t="str">
        <f aca="false">IF(D1754&lt;&gt;"",IFERROR(VLOOKUP(D1754,PROVEEDORES!$A:$B,2,0),"!COD NO ENCONTRADO"),"")</f>
        <v>PERFECTO MONTERO</v>
      </c>
      <c r="F1754" s="76" t="str">
        <f aca="false">IF(D1754&lt;&gt;"",IFERROR(VLOOKUP(D1754,PROVEEDORES!$A:$C,3,0),""),"")</f>
        <v>S</v>
      </c>
      <c r="G1754" s="75" t="s">
        <v>137</v>
      </c>
      <c r="H1754" s="52" t="str">
        <f aca="false">IF(G1754&lt;&gt;"",IFERROR(VLOOKUP(G1754,PRODUCTOS!$A:$B,2,0),"!COD NO ENCONTRADO"),"")</f>
        <v>CONGRIO 7/10 (COE)</v>
      </c>
      <c r="I1754" s="77" t="n">
        <v>1</v>
      </c>
      <c r="J1754" s="78" t="n">
        <v>10.25</v>
      </c>
      <c r="K1754" s="79" t="n">
        <v>2.4</v>
      </c>
      <c r="L1754" s="80" t="n">
        <f aca="false">IF(AND(J1754&lt;&gt;"",K1754&lt;&gt;""),J1754*K1754,"")</f>
        <v>24.6</v>
      </c>
      <c r="M1754" s="81" t="n">
        <f aca="false">IF(L1754&lt;&gt;"",L1754*1.1,"")</f>
        <v>27.06</v>
      </c>
      <c r="N1754" s="53" t="n">
        <f aca="false">IF(F1754="S",L1754*0.02,0)</f>
        <v>0.492</v>
      </c>
      <c r="O1754" s="82" t="n">
        <f aca="false">IF(L1754&lt;&gt;"",L1754+N1754,"")</f>
        <v>25.092</v>
      </c>
      <c r="P1754" s="53" t="n">
        <f aca="false">IF(O1754&lt;&gt;"",O1754*0.1,"")</f>
        <v>2.5092</v>
      </c>
      <c r="Q1754" s="83" t="n">
        <f aca="false">IF(O1754&lt;&gt;"",O1754+P1754,"")</f>
        <v>27.6012</v>
      </c>
      <c r="R1754" s="84" t="s">
        <v>358</v>
      </c>
    </row>
    <row r="1755" customFormat="false" ht="15" hidden="false" customHeight="true" outlineLevel="0" collapsed="false">
      <c r="A1755" s="103" t="n">
        <v>56365</v>
      </c>
      <c r="B1755" s="85" t="n">
        <v>46262</v>
      </c>
      <c r="C1755" s="86" t="s">
        <v>766</v>
      </c>
      <c r="D1755" s="87" t="n">
        <v>50010</v>
      </c>
      <c r="E1755" s="46" t="str">
        <f aca="false">IF(D1755&lt;&gt;"",IFERROR(VLOOKUP(D1755,PROVEEDORES!$A:$B,2,0),"!COD NO ENCONTRADO"),"")</f>
        <v>PERFECTO MONTERO</v>
      </c>
      <c r="F1755" s="88" t="str">
        <f aca="false">IF(D1755&lt;&gt;"",IFERROR(VLOOKUP(D1755,PROVEEDORES!$A:$C,3,0),""),"")</f>
        <v>S</v>
      </c>
      <c r="G1755" s="87" t="s">
        <v>137</v>
      </c>
      <c r="H1755" s="46" t="str">
        <f aca="false">IF(G1755&lt;&gt;"",IFERROR(VLOOKUP(G1755,PRODUCTOS!$A:$B,2,0),"!COD NO ENCONTRADO"),"")</f>
        <v>CONGRIO 7/10 (COE)</v>
      </c>
      <c r="I1755" s="89" t="n">
        <v>2</v>
      </c>
      <c r="J1755" s="90" t="n">
        <v>24</v>
      </c>
      <c r="K1755" s="91" t="n">
        <v>3.1</v>
      </c>
      <c r="L1755" s="80" t="n">
        <f aca="false">IF(AND(J1755&lt;&gt;"",K1755&lt;&gt;""),J1755*K1755,"")</f>
        <v>74.4</v>
      </c>
      <c r="M1755" s="81" t="n">
        <f aca="false">IF(L1755&lt;&gt;"",L1755*1.1,"")</f>
        <v>81.84</v>
      </c>
      <c r="N1755" s="47" t="n">
        <f aca="false">IF(F1755="S",L1755*0.02,0)</f>
        <v>1.488</v>
      </c>
      <c r="O1755" s="82" t="n">
        <f aca="false">IF(L1755&lt;&gt;"",L1755+N1755,"")</f>
        <v>75.888</v>
      </c>
      <c r="P1755" s="47" t="n">
        <f aca="false">IF(O1755&lt;&gt;"",O1755*0.1,"")</f>
        <v>7.5888</v>
      </c>
      <c r="Q1755" s="83" t="n">
        <f aca="false">IF(O1755&lt;&gt;"",O1755+P1755,"")</f>
        <v>83.4768</v>
      </c>
      <c r="R1755" s="84" t="s">
        <v>358</v>
      </c>
    </row>
    <row r="1756" customFormat="false" ht="15" hidden="false" customHeight="true" outlineLevel="0" collapsed="false">
      <c r="A1756" s="103" t="n">
        <v>56366</v>
      </c>
      <c r="B1756" s="85" t="n">
        <v>46262</v>
      </c>
      <c r="C1756" s="74" t="s">
        <v>767</v>
      </c>
      <c r="D1756" s="75" t="n">
        <v>50020</v>
      </c>
      <c r="E1756" s="52" t="str">
        <f aca="false">IF(D1756&lt;&gt;"",IFERROR(VLOOKUP(D1756,PROVEEDORES!$A:$B,2,0),"!COD NO ENCONTRADO"),"")</f>
        <v>PACO MOINELO</v>
      </c>
      <c r="F1756" s="76" t="str">
        <f aca="false">IF(D1756&lt;&gt;"",IFERROR(VLOOKUP(D1756,PROVEEDORES!$A:$C,3,0),""),"")</f>
        <v>S</v>
      </c>
      <c r="G1756" s="75" t="s">
        <v>326</v>
      </c>
      <c r="H1756" s="52" t="str">
        <f aca="false">IF(G1756&lt;&gt;"",IFERROR(VLOOKUP(G1756,PRODUCTOS!$A:$B,2,0),"!COD NO ENCONTRADO"),"")</f>
        <v>SARGO RIA (SWA)</v>
      </c>
      <c r="I1756" s="77" t="n">
        <v>4</v>
      </c>
      <c r="J1756" s="78" t="n">
        <v>4.35</v>
      </c>
      <c r="K1756" s="79" t="n">
        <v>17</v>
      </c>
      <c r="L1756" s="80" t="n">
        <f aca="false">IF(AND(J1756&lt;&gt;"",K1756&lt;&gt;""),J1756*K1756,"")</f>
        <v>73.95</v>
      </c>
      <c r="M1756" s="81" t="n">
        <f aca="false">IF(L1756&lt;&gt;"",L1756*1.1,"")</f>
        <v>81.345</v>
      </c>
      <c r="N1756" s="53" t="n">
        <f aca="false">IF(F1756="S",L1756*0.02,0)</f>
        <v>1.479</v>
      </c>
      <c r="O1756" s="82" t="n">
        <f aca="false">IF(L1756&lt;&gt;"",L1756+N1756,"")</f>
        <v>75.429</v>
      </c>
      <c r="P1756" s="53" t="n">
        <f aca="false">IF(O1756&lt;&gt;"",O1756*0.1,"")</f>
        <v>7.5429</v>
      </c>
      <c r="Q1756" s="83" t="n">
        <f aca="false">IF(O1756&lt;&gt;"",O1756+P1756,"")</f>
        <v>82.9719</v>
      </c>
      <c r="R1756" s="84" t="s">
        <v>358</v>
      </c>
    </row>
    <row r="1757" customFormat="false" ht="15" hidden="false" customHeight="true" outlineLevel="0" collapsed="false">
      <c r="A1757" s="103" t="n">
        <v>56366</v>
      </c>
      <c r="B1757" s="85" t="n">
        <v>46262</v>
      </c>
      <c r="C1757" s="74" t="s">
        <v>767</v>
      </c>
      <c r="D1757" s="75" t="n">
        <v>50020</v>
      </c>
      <c r="E1757" s="46" t="str">
        <f aca="false">IF(D1757&lt;&gt;"",IFERROR(VLOOKUP(D1757,PROVEEDORES!$A:$B,2,0),"!COD NO ENCONTRADO"),"")</f>
        <v>PACO MOINELO</v>
      </c>
      <c r="F1757" s="88" t="str">
        <f aca="false">IF(D1757&lt;&gt;"",IFERROR(VLOOKUP(D1757,PROVEEDORES!$A:$C,3,0),""),"")</f>
        <v>S</v>
      </c>
      <c r="G1757" s="87" t="s">
        <v>135</v>
      </c>
      <c r="H1757" s="46" t="str">
        <f aca="false">IF(G1757&lt;&gt;"",IFERROR(VLOOKUP(G1757,PRODUCTOS!$A:$B,2,0),"!COD NO ENCONTRADO"),"")</f>
        <v>CONGRIO 10+  (COE)</v>
      </c>
      <c r="I1757" s="89" t="n">
        <v>2</v>
      </c>
      <c r="J1757" s="90" t="n">
        <v>36</v>
      </c>
      <c r="K1757" s="91" t="n">
        <v>4</v>
      </c>
      <c r="L1757" s="80" t="n">
        <f aca="false">IF(AND(J1757&lt;&gt;"",K1757&lt;&gt;""),J1757*K1757,"")</f>
        <v>144</v>
      </c>
      <c r="M1757" s="81" t="n">
        <f aca="false">IF(L1757&lt;&gt;"",L1757*1.1,"")</f>
        <v>158.4</v>
      </c>
      <c r="N1757" s="47" t="n">
        <f aca="false">IF(F1757="S",L1757*0.02,0)</f>
        <v>2.88</v>
      </c>
      <c r="O1757" s="82" t="n">
        <f aca="false">IF(L1757&lt;&gt;"",L1757+N1757,"")</f>
        <v>146.88</v>
      </c>
      <c r="P1757" s="47" t="n">
        <f aca="false">IF(O1757&lt;&gt;"",O1757*0.1,"")</f>
        <v>14.688</v>
      </c>
      <c r="Q1757" s="83" t="n">
        <f aca="false">IF(O1757&lt;&gt;"",O1757+P1757,"")</f>
        <v>161.568</v>
      </c>
      <c r="R1757" s="84" t="s">
        <v>358</v>
      </c>
    </row>
    <row r="1758" customFormat="false" ht="15" hidden="false" customHeight="true" outlineLevel="0" collapsed="false">
      <c r="A1758" s="103" t="n">
        <v>56367</v>
      </c>
      <c r="B1758" s="85" t="n">
        <v>46262</v>
      </c>
      <c r="C1758" s="74" t="s">
        <v>768</v>
      </c>
      <c r="D1758" s="75" t="n">
        <v>50069</v>
      </c>
      <c r="E1758" s="52" t="str">
        <f aca="false">IF(D1758&lt;&gt;"",IFERROR(VLOOKUP(D1758,PROVEEDORES!$A:$B,2,0),"!COD NO ENCONTRADO"),"")</f>
        <v>PESCADOS ILLANES S.L.</v>
      </c>
      <c r="F1758" s="76" t="str">
        <f aca="false">IF(D1758&lt;&gt;"",IFERROR(VLOOKUP(D1758,PROVEEDORES!$A:$C,3,0),""),"")</f>
        <v>S</v>
      </c>
      <c r="G1758" s="75" t="s">
        <v>288</v>
      </c>
      <c r="H1758" s="52" t="str">
        <f aca="false">IF(G1758&lt;&gt;"",IFERROR(VLOOKUP(G1758,PRODUCTOS!$A:$B,2,0),"!COD NO ENCONTRADO"),"")</f>
        <v>RAPE BLANCO DIA (MON)</v>
      </c>
      <c r="I1758" s="77" t="n">
        <v>2</v>
      </c>
      <c r="J1758" s="78" t="n">
        <v>6.7</v>
      </c>
      <c r="K1758" s="79" t="n">
        <v>6.8</v>
      </c>
      <c r="L1758" s="80" t="n">
        <f aca="false">IF(AND(J1758&lt;&gt;"",K1758&lt;&gt;""),J1758*K1758,"")</f>
        <v>45.56</v>
      </c>
      <c r="M1758" s="81" t="n">
        <f aca="false">IF(L1758&lt;&gt;"",L1758*1.1,"")</f>
        <v>50.116</v>
      </c>
      <c r="N1758" s="53" t="n">
        <f aca="false">IF(F1758="S",L1758*0.02,0)</f>
        <v>0.9112</v>
      </c>
      <c r="O1758" s="82" t="n">
        <f aca="false">IF(L1758&lt;&gt;"",L1758+N1758,"")</f>
        <v>46.4712</v>
      </c>
      <c r="P1758" s="53" t="n">
        <f aca="false">IF(O1758&lt;&gt;"",O1758*0.1,"")</f>
        <v>4.64712</v>
      </c>
      <c r="Q1758" s="83" t="n">
        <f aca="false">IF(O1758&lt;&gt;"",O1758+P1758,"")</f>
        <v>51.11832</v>
      </c>
      <c r="R1758" s="84" t="s">
        <v>365</v>
      </c>
    </row>
    <row r="1759" customFormat="false" ht="15" hidden="false" customHeight="true" outlineLevel="0" collapsed="false">
      <c r="A1759" s="103" t="n">
        <v>56368</v>
      </c>
      <c r="B1759" s="85" t="n">
        <v>46262</v>
      </c>
      <c r="C1759" s="74" t="s">
        <v>769</v>
      </c>
      <c r="D1759" s="75" t="n">
        <v>50146</v>
      </c>
      <c r="E1759" s="46" t="str">
        <f aca="false">IF(D1759&lt;&gt;"",IFERROR(VLOOKUP(D1759,PROVEEDORES!$A:$B,2,0),"!COD NO ENCONTRADO"),"")</f>
        <v>MAR BERMEO S.L.</v>
      </c>
      <c r="F1759" s="88" t="str">
        <f aca="false">IF(D1759&lt;&gt;"",IFERROR(VLOOKUP(D1759,PROVEEDORES!$A:$C,3,0),""),"")</f>
        <v>S</v>
      </c>
      <c r="G1759" s="87" t="s">
        <v>326</v>
      </c>
      <c r="H1759" s="46" t="str">
        <f aca="false">IF(G1759&lt;&gt;"",IFERROR(VLOOKUP(G1759,PRODUCTOS!$A:$B,2,0),"!COD NO ENCONTRADO"),"")</f>
        <v>SARGO RIA (SWA)</v>
      </c>
      <c r="I1759" s="89" t="n">
        <v>1</v>
      </c>
      <c r="J1759" s="90" t="n">
        <v>3.1</v>
      </c>
      <c r="K1759" s="91" t="n">
        <v>17.1</v>
      </c>
      <c r="L1759" s="80" t="n">
        <f aca="false">IF(AND(J1759&lt;&gt;"",K1759&lt;&gt;""),J1759*K1759,"")</f>
        <v>53.01</v>
      </c>
      <c r="M1759" s="81" t="n">
        <f aca="false">IF(L1759&lt;&gt;"",L1759*1.1,"")</f>
        <v>58.311</v>
      </c>
      <c r="N1759" s="47" t="n">
        <f aca="false">IF(F1759="S",L1759*0.02,0)</f>
        <v>1.0602</v>
      </c>
      <c r="O1759" s="82" t="n">
        <f aca="false">IF(L1759&lt;&gt;"",L1759+N1759,"")</f>
        <v>54.0702</v>
      </c>
      <c r="P1759" s="47" t="n">
        <f aca="false">IF(O1759&lt;&gt;"",O1759*0.1,"")</f>
        <v>5.40702</v>
      </c>
      <c r="Q1759" s="83" t="n">
        <f aca="false">IF(O1759&lt;&gt;"",O1759+P1759,"")</f>
        <v>59.47722</v>
      </c>
      <c r="R1759" s="84" t="s">
        <v>358</v>
      </c>
    </row>
    <row r="1760" customFormat="false" ht="15" hidden="false" customHeight="true" outlineLevel="0" collapsed="false">
      <c r="A1760" s="103" t="n">
        <v>56369</v>
      </c>
      <c r="B1760" s="85" t="n">
        <v>46262</v>
      </c>
      <c r="C1760" s="74" t="s">
        <v>770</v>
      </c>
      <c r="D1760" s="75" t="n">
        <v>50160</v>
      </c>
      <c r="E1760" s="52" t="str">
        <f aca="false">IF(D1760&lt;&gt;"",IFERROR(VLOOKUP(D1760,PROVEEDORES!$A:$B,2,0),"!COD NO ENCONTRADO"),"")</f>
        <v>SUBASTAS CORUÑA S.L.</v>
      </c>
      <c r="F1760" s="76" t="str">
        <f aca="false">IF(D1760&lt;&gt;"",IFERROR(VLOOKUP(D1760,PROVEEDORES!$A:$C,3,0),""),"")</f>
        <v>S</v>
      </c>
      <c r="G1760" s="75" t="s">
        <v>332</v>
      </c>
      <c r="H1760" s="52" t="str">
        <f aca="false">IF(G1760&lt;&gt;"",IFERROR(VLOOKUP(G1760,PRODUCTOS!$A:$B,2,0),"!COD NO ENCONTRADO"),"")</f>
        <v>VARIADO PEQUEÑO</v>
      </c>
      <c r="I1760" s="77" t="n">
        <v>2</v>
      </c>
      <c r="J1760" s="105" t="n">
        <v>21.75</v>
      </c>
      <c r="K1760" s="125" t="n">
        <v>0.5</v>
      </c>
      <c r="L1760" s="80" t="n">
        <f aca="false">IF(AND(J1760&lt;&gt;"",K1760&lt;&gt;""),J1760*K1760,"")</f>
        <v>10.875</v>
      </c>
      <c r="M1760" s="81" t="n">
        <f aca="false">IF(L1760&lt;&gt;"",L1760*1.1,"")</f>
        <v>11.9625</v>
      </c>
      <c r="N1760" s="53" t="n">
        <f aca="false">IF(F1760="S",L1760*0.02,0)</f>
        <v>0.2175</v>
      </c>
      <c r="O1760" s="82" t="n">
        <f aca="false">IF(L1760&lt;&gt;"",L1760+N1760,"")</f>
        <v>11.0925</v>
      </c>
      <c r="P1760" s="53" t="n">
        <f aca="false">IF(O1760&lt;&gt;"",O1760*0.1,"")</f>
        <v>1.10925</v>
      </c>
      <c r="Q1760" s="83" t="n">
        <f aca="false">IF(O1760&lt;&gt;"",O1760+P1760,"")</f>
        <v>12.20175</v>
      </c>
      <c r="R1760" s="84" t="s">
        <v>365</v>
      </c>
    </row>
    <row r="1761" customFormat="false" ht="15" hidden="false" customHeight="true" outlineLevel="0" collapsed="false">
      <c r="A1761" s="103" t="n">
        <v>56369</v>
      </c>
      <c r="B1761" s="85" t="n">
        <v>46262</v>
      </c>
      <c r="C1761" s="74" t="s">
        <v>770</v>
      </c>
      <c r="D1761" s="75" t="n">
        <v>50160</v>
      </c>
      <c r="E1761" s="46" t="str">
        <f aca="false">IF(D1761&lt;&gt;"",IFERROR(VLOOKUP(D1761,PROVEEDORES!$A:$B,2,0),"!COD NO ENCONTRADO"),"")</f>
        <v>SUBASTAS CORUÑA S.L.</v>
      </c>
      <c r="F1761" s="88" t="str">
        <f aca="false">IF(D1761&lt;&gt;"",IFERROR(VLOOKUP(D1761,PROVEEDORES!$A:$C,3,0),""),"")</f>
        <v>S</v>
      </c>
      <c r="G1761" s="87" t="s">
        <v>332</v>
      </c>
      <c r="H1761" s="46" t="str">
        <f aca="false">IF(G1761&lt;&gt;"",IFERROR(VLOOKUP(G1761,PRODUCTOS!$A:$B,2,0),"!COD NO ENCONTRADO"),"")</f>
        <v>VARIADO PEQUEÑO</v>
      </c>
      <c r="I1761" s="89" t="n">
        <v>11</v>
      </c>
      <c r="J1761" s="105" t="n">
        <v>63.75</v>
      </c>
      <c r="K1761" s="125" t="n">
        <v>0.5</v>
      </c>
      <c r="L1761" s="80" t="n">
        <f aca="false">IF(AND(J1761&lt;&gt;"",K1761&lt;&gt;""),J1761*K1761,"")</f>
        <v>31.875</v>
      </c>
      <c r="M1761" s="81" t="n">
        <f aca="false">IF(L1761&lt;&gt;"",L1761*1.1,"")</f>
        <v>35.0625</v>
      </c>
      <c r="N1761" s="47" t="n">
        <f aca="false">IF(F1761="S",L1761*0.02,0)</f>
        <v>0.6375</v>
      </c>
      <c r="O1761" s="82" t="n">
        <f aca="false">IF(L1761&lt;&gt;"",L1761+N1761,"")</f>
        <v>32.5125</v>
      </c>
      <c r="P1761" s="47" t="n">
        <f aca="false">IF(O1761&lt;&gt;"",O1761*0.1,"")</f>
        <v>3.25125</v>
      </c>
      <c r="Q1761" s="83" t="n">
        <f aca="false">IF(O1761&lt;&gt;"",O1761+P1761,"")</f>
        <v>35.76375</v>
      </c>
      <c r="R1761" s="84" t="s">
        <v>365</v>
      </c>
    </row>
    <row r="1762" customFormat="false" ht="15" hidden="false" customHeight="true" outlineLevel="0" collapsed="false">
      <c r="A1762" s="103" t="n">
        <v>56369</v>
      </c>
      <c r="B1762" s="85" t="n">
        <v>46262</v>
      </c>
      <c r="C1762" s="74" t="s">
        <v>770</v>
      </c>
      <c r="D1762" s="75" t="n">
        <v>50160</v>
      </c>
      <c r="E1762" s="52" t="str">
        <f aca="false">IF(D1762&lt;&gt;"",IFERROR(VLOOKUP(D1762,PROVEEDORES!$A:$B,2,0),"!COD NO ENCONTRADO"),"")</f>
        <v>SUBASTAS CORUÑA S.L.</v>
      </c>
      <c r="F1762" s="76" t="str">
        <f aca="false">IF(D1762&lt;&gt;"",IFERROR(VLOOKUP(D1762,PROVEEDORES!$A:$C,3,0),""),"")</f>
        <v>S</v>
      </c>
      <c r="G1762" s="75" t="s">
        <v>288</v>
      </c>
      <c r="H1762" s="52" t="str">
        <f aca="false">IF(G1762&lt;&gt;"",IFERROR(VLOOKUP(G1762,PRODUCTOS!$A:$B,2,0),"!COD NO ENCONTRADO"),"")</f>
        <v>RAPE BLANCO DIA (MON)</v>
      </c>
      <c r="I1762" s="77" t="n">
        <v>1</v>
      </c>
      <c r="J1762" s="105" t="n">
        <v>11.75</v>
      </c>
      <c r="K1762" s="125" t="n">
        <v>6.3</v>
      </c>
      <c r="L1762" s="80" t="n">
        <f aca="false">IF(AND(J1762&lt;&gt;"",K1762&lt;&gt;""),J1762*K1762,"")</f>
        <v>74.025</v>
      </c>
      <c r="M1762" s="81" t="n">
        <f aca="false">IF(L1762&lt;&gt;"",L1762*1.1,"")</f>
        <v>81.4275</v>
      </c>
      <c r="N1762" s="53" t="n">
        <f aca="false">IF(F1762="S",L1762*0.02,0)</f>
        <v>1.4805</v>
      </c>
      <c r="O1762" s="82" t="n">
        <f aca="false">IF(L1762&lt;&gt;"",L1762+N1762,"")</f>
        <v>75.5055</v>
      </c>
      <c r="P1762" s="53" t="n">
        <f aca="false">IF(O1762&lt;&gt;"",O1762*0.1,"")</f>
        <v>7.55055</v>
      </c>
      <c r="Q1762" s="83" t="n">
        <f aca="false">IF(O1762&lt;&gt;"",O1762+P1762,"")</f>
        <v>83.05605</v>
      </c>
      <c r="R1762" s="84" t="s">
        <v>365</v>
      </c>
    </row>
    <row r="1763" customFormat="false" ht="15" hidden="false" customHeight="true" outlineLevel="0" collapsed="false">
      <c r="A1763" s="103" t="n">
        <v>56369</v>
      </c>
      <c r="B1763" s="85" t="n">
        <v>46262</v>
      </c>
      <c r="C1763" s="74" t="s">
        <v>770</v>
      </c>
      <c r="D1763" s="75" t="n">
        <v>50160</v>
      </c>
      <c r="E1763" s="46" t="str">
        <f aca="false">IF(D1763&lt;&gt;"",IFERROR(VLOOKUP(D1763,PROVEEDORES!$A:$B,2,0),"!COD NO ENCONTRADO"),"")</f>
        <v>SUBASTAS CORUÑA S.L.</v>
      </c>
      <c r="F1763" s="88" t="str">
        <f aca="false">IF(D1763&lt;&gt;"",IFERROR(VLOOKUP(D1763,PROVEEDORES!$A:$C,3,0),""),"")</f>
        <v>S</v>
      </c>
      <c r="G1763" s="87" t="s">
        <v>288</v>
      </c>
      <c r="H1763" s="46" t="str">
        <f aca="false">IF(G1763&lt;&gt;"",IFERROR(VLOOKUP(G1763,PRODUCTOS!$A:$B,2,0),"!COD NO ENCONTRADO"),"")</f>
        <v>RAPE BLANCO DIA (MON)</v>
      </c>
      <c r="I1763" s="89" t="n">
        <v>1</v>
      </c>
      <c r="J1763" s="105" t="n">
        <v>13.75</v>
      </c>
      <c r="K1763" s="125" t="n">
        <v>6.8</v>
      </c>
      <c r="L1763" s="80" t="n">
        <f aca="false">IF(AND(J1763&lt;&gt;"",K1763&lt;&gt;""),J1763*K1763,"")</f>
        <v>93.5</v>
      </c>
      <c r="M1763" s="81" t="n">
        <f aca="false">IF(L1763&lt;&gt;"",L1763*1.1,"")</f>
        <v>102.85</v>
      </c>
      <c r="N1763" s="47" t="n">
        <f aca="false">IF(F1763="S",L1763*0.02,0)</f>
        <v>1.87</v>
      </c>
      <c r="O1763" s="82" t="n">
        <f aca="false">IF(L1763&lt;&gt;"",L1763+N1763,"")</f>
        <v>95.37</v>
      </c>
      <c r="P1763" s="47" t="n">
        <f aca="false">IF(O1763&lt;&gt;"",O1763*0.1,"")</f>
        <v>9.537</v>
      </c>
      <c r="Q1763" s="83" t="n">
        <f aca="false">IF(O1763&lt;&gt;"",O1763+P1763,"")</f>
        <v>104.907</v>
      </c>
      <c r="R1763" s="84" t="s">
        <v>365</v>
      </c>
    </row>
    <row r="1764" customFormat="false" ht="15" hidden="false" customHeight="true" outlineLevel="0" collapsed="false">
      <c r="A1764" s="103" t="n">
        <v>56369</v>
      </c>
      <c r="B1764" s="85" t="n">
        <v>46262</v>
      </c>
      <c r="C1764" s="74" t="s">
        <v>770</v>
      </c>
      <c r="D1764" s="75" t="n">
        <v>50160</v>
      </c>
      <c r="E1764" s="52" t="str">
        <f aca="false">IF(D1764&lt;&gt;"",IFERROR(VLOOKUP(D1764,PROVEEDORES!$A:$B,2,0),"!COD NO ENCONTRADO"),"")</f>
        <v>SUBASTAS CORUÑA S.L.</v>
      </c>
      <c r="F1764" s="76" t="str">
        <f aca="false">IF(D1764&lt;&gt;"",IFERROR(VLOOKUP(D1764,PROVEEDORES!$A:$C,3,0),""),"")</f>
        <v>S</v>
      </c>
      <c r="G1764" s="75" t="s">
        <v>276</v>
      </c>
      <c r="H1764" s="52" t="str">
        <f aca="false">IF(G1764&lt;&gt;"",IFERROR(VLOOKUP(G1764,PRODUCTOS!$A:$B,2,0),"!COD NO ENCONTRADO"),"")</f>
        <v>MERLUZA EUROPEA/ FINA DIA </v>
      </c>
      <c r="I1764" s="77" t="n">
        <v>21</v>
      </c>
      <c r="J1764" s="78" t="n">
        <v>204.75</v>
      </c>
      <c r="K1764" s="79" t="n">
        <v>2.3</v>
      </c>
      <c r="L1764" s="80" t="n">
        <f aca="false">IF(AND(J1764&lt;&gt;"",K1764&lt;&gt;""),J1764*K1764,"")</f>
        <v>470.925</v>
      </c>
      <c r="M1764" s="81" t="n">
        <f aca="false">IF(L1764&lt;&gt;"",L1764*1.1,"")</f>
        <v>518.0175</v>
      </c>
      <c r="N1764" s="53" t="n">
        <f aca="false">IF(F1764="S",L1764*0.02,0)</f>
        <v>9.4185</v>
      </c>
      <c r="O1764" s="82" t="n">
        <f aca="false">IF(L1764&lt;&gt;"",L1764+N1764,"")</f>
        <v>480.3435</v>
      </c>
      <c r="P1764" s="53" t="n">
        <f aca="false">IF(O1764&lt;&gt;"",O1764*0.1,"")</f>
        <v>48.03435</v>
      </c>
      <c r="Q1764" s="83" t="n">
        <f aca="false">IF(O1764&lt;&gt;"",O1764+P1764,"")</f>
        <v>528.37785</v>
      </c>
      <c r="R1764" s="84" t="s">
        <v>365</v>
      </c>
    </row>
    <row r="1765" customFormat="false" ht="15" hidden="false" customHeight="true" outlineLevel="0" collapsed="false">
      <c r="A1765" s="103" t="n">
        <v>56369</v>
      </c>
      <c r="B1765" s="85" t="n">
        <v>46262</v>
      </c>
      <c r="C1765" s="74" t="s">
        <v>770</v>
      </c>
      <c r="D1765" s="75" t="n">
        <v>50160</v>
      </c>
      <c r="E1765" s="46" t="str">
        <f aca="false">IF(D1765&lt;&gt;"",IFERROR(VLOOKUP(D1765,PROVEEDORES!$A:$B,2,0),"!COD NO ENCONTRADO"),"")</f>
        <v>SUBASTAS CORUÑA S.L.</v>
      </c>
      <c r="F1765" s="88" t="str">
        <f aca="false">IF(D1765&lt;&gt;"",IFERROR(VLOOKUP(D1765,PROVEEDORES!$A:$C,3,0),""),"")</f>
        <v>S</v>
      </c>
      <c r="G1765" s="87" t="s">
        <v>276</v>
      </c>
      <c r="H1765" s="46" t="str">
        <f aca="false">IF(G1765&lt;&gt;"",IFERROR(VLOOKUP(G1765,PRODUCTOS!$A:$B,2,0),"!COD NO ENCONTRADO"),"")</f>
        <v>MERLUZA EUROPEA/ FINA DIA </v>
      </c>
      <c r="I1765" s="89" t="n">
        <v>4</v>
      </c>
      <c r="J1765" s="90" t="n">
        <v>35.75</v>
      </c>
      <c r="K1765" s="91" t="n">
        <v>2.75</v>
      </c>
      <c r="L1765" s="80" t="n">
        <f aca="false">IF(AND(J1765&lt;&gt;"",K1765&lt;&gt;""),J1765*K1765,"")</f>
        <v>98.3125</v>
      </c>
      <c r="M1765" s="81" t="n">
        <f aca="false">IF(L1765&lt;&gt;"",L1765*1.1,"")</f>
        <v>108.14375</v>
      </c>
      <c r="N1765" s="47" t="n">
        <f aca="false">IF(F1765="S",L1765*0.02,0)</f>
        <v>1.96625</v>
      </c>
      <c r="O1765" s="82" t="n">
        <f aca="false">IF(L1765&lt;&gt;"",L1765+N1765,"")</f>
        <v>100.27875</v>
      </c>
      <c r="P1765" s="47" t="n">
        <f aca="false">IF(O1765&lt;&gt;"",O1765*0.1,"")</f>
        <v>10.027875</v>
      </c>
      <c r="Q1765" s="83" t="n">
        <f aca="false">IF(O1765&lt;&gt;"",O1765+P1765,"")</f>
        <v>110.306625</v>
      </c>
      <c r="R1765" s="84" t="s">
        <v>365</v>
      </c>
    </row>
    <row r="1766" customFormat="false" ht="15" hidden="false" customHeight="true" outlineLevel="0" collapsed="false">
      <c r="A1766" s="103" t="n">
        <v>56370</v>
      </c>
      <c r="B1766" s="73" t="n">
        <v>46262</v>
      </c>
      <c r="C1766" s="74" t="s">
        <v>771</v>
      </c>
      <c r="D1766" s="75" t="n">
        <v>50163</v>
      </c>
      <c r="E1766" s="52" t="str">
        <f aca="false">IF(D1766&lt;&gt;"",IFERROR(VLOOKUP(D1766,PROVEEDORES!$A:$B,2,0),"!COD NO ENCONTRADO"),"")</f>
        <v>SUBASTAS RIVERA S.L.</v>
      </c>
      <c r="F1766" s="76" t="str">
        <f aca="false">IF(D1766&lt;&gt;"",IFERROR(VLOOKUP(D1766,PROVEEDORES!$A:$C,3,0),""),"")</f>
        <v>S</v>
      </c>
      <c r="G1766" s="75" t="s">
        <v>332</v>
      </c>
      <c r="H1766" s="52" t="str">
        <f aca="false">IF(G1766&lt;&gt;"",IFERROR(VLOOKUP(G1766,PRODUCTOS!$A:$B,2,0),"!COD NO ENCONTRADO"),"")</f>
        <v>VARIADO PEQUEÑO</v>
      </c>
      <c r="I1766" s="77" t="n">
        <v>5</v>
      </c>
      <c r="J1766" s="78" t="n">
        <v>29.9</v>
      </c>
      <c r="K1766" s="79" t="n">
        <v>1</v>
      </c>
      <c r="L1766" s="80" t="n">
        <f aca="false">IF(AND(J1766&lt;&gt;"",K1766&lt;&gt;""),J1766*K1766,"")</f>
        <v>29.9</v>
      </c>
      <c r="M1766" s="81" t="n">
        <f aca="false">IF(L1766&lt;&gt;"",L1766*1.1,"")</f>
        <v>32.89</v>
      </c>
      <c r="N1766" s="53" t="n">
        <f aca="false">IF(F1766="S",L1766*0.02,0)</f>
        <v>0.598</v>
      </c>
      <c r="O1766" s="82" t="n">
        <f aca="false">IF(L1766&lt;&gt;"",L1766+N1766,"")</f>
        <v>30.498</v>
      </c>
      <c r="P1766" s="53" t="n">
        <f aca="false">IF(O1766&lt;&gt;"",O1766*0.1,"")</f>
        <v>3.0498</v>
      </c>
      <c r="Q1766" s="83" t="n">
        <f aca="false">IF(O1766&lt;&gt;"",O1766+P1766,"")</f>
        <v>33.5478</v>
      </c>
      <c r="R1766" s="84" t="s">
        <v>365</v>
      </c>
    </row>
    <row r="1767" customFormat="false" ht="15" hidden="false" customHeight="true" outlineLevel="0" collapsed="false">
      <c r="A1767" s="103" t="n">
        <v>56370</v>
      </c>
      <c r="B1767" s="73" t="n">
        <v>46262</v>
      </c>
      <c r="C1767" s="74" t="s">
        <v>771</v>
      </c>
      <c r="D1767" s="75" t="n">
        <v>50163</v>
      </c>
      <c r="E1767" s="46" t="str">
        <f aca="false">IF(D1767&lt;&gt;"",IFERROR(VLOOKUP(D1767,PROVEEDORES!$A:$B,2,0),"!COD NO ENCONTRADO"),"")</f>
        <v>SUBASTAS RIVERA S.L.</v>
      </c>
      <c r="F1767" s="88" t="str">
        <f aca="false">IF(D1767&lt;&gt;"",IFERROR(VLOOKUP(D1767,PROVEEDORES!$A:$C,3,0),""),"")</f>
        <v>S</v>
      </c>
      <c r="G1767" s="87" t="s">
        <v>179</v>
      </c>
      <c r="H1767" s="46" t="str">
        <f aca="false">IF(G1767&lt;&gt;"",IFERROR(VLOOKUP(G1767,PRODUCTOS!$A:$B,2,0),"!COD NO ENCONTRADO"),"")</f>
        <v>LIRIO/ BACALADILLA/ PERLA (WHB)</v>
      </c>
      <c r="I1767" s="89" t="n">
        <v>4</v>
      </c>
      <c r="J1767" s="90" t="n">
        <v>31.75</v>
      </c>
      <c r="K1767" s="91" t="n">
        <v>1.4</v>
      </c>
      <c r="L1767" s="80" t="n">
        <f aca="false">IF(AND(J1767&lt;&gt;"",K1767&lt;&gt;""),J1767*K1767,"")</f>
        <v>44.45</v>
      </c>
      <c r="M1767" s="81" t="n">
        <f aca="false">IF(L1767&lt;&gt;"",L1767*1.1,"")</f>
        <v>48.895</v>
      </c>
      <c r="N1767" s="47" t="n">
        <f aca="false">IF(F1767="S",L1767*0.02,0)</f>
        <v>0.889</v>
      </c>
      <c r="O1767" s="82" t="n">
        <f aca="false">IF(L1767&lt;&gt;"",L1767+N1767,"")</f>
        <v>45.339</v>
      </c>
      <c r="P1767" s="47" t="n">
        <f aca="false">IF(O1767&lt;&gt;"",O1767*0.1,"")</f>
        <v>4.5339</v>
      </c>
      <c r="Q1767" s="83" t="n">
        <f aca="false">IF(O1767&lt;&gt;"",O1767+P1767,"")</f>
        <v>49.8729</v>
      </c>
      <c r="R1767" s="84" t="s">
        <v>365</v>
      </c>
    </row>
    <row r="1768" customFormat="false" ht="15" hidden="false" customHeight="true" outlineLevel="0" collapsed="false">
      <c r="A1768" s="103" t="n">
        <v>56370</v>
      </c>
      <c r="B1768" s="73" t="n">
        <v>46262</v>
      </c>
      <c r="C1768" s="74" t="s">
        <v>771</v>
      </c>
      <c r="D1768" s="75" t="n">
        <v>50163</v>
      </c>
      <c r="E1768" s="52" t="str">
        <f aca="false">IF(D1768&lt;&gt;"",IFERROR(VLOOKUP(D1768,PROVEEDORES!$A:$B,2,0),"!COD NO ENCONTRADO"),"")</f>
        <v>SUBASTAS RIVERA S.L.</v>
      </c>
      <c r="F1768" s="76" t="str">
        <f aca="false">IF(D1768&lt;&gt;"",IFERROR(VLOOKUP(D1768,PROVEEDORES!$A:$C,3,0),""),"")</f>
        <v>S</v>
      </c>
      <c r="G1768" s="75" t="s">
        <v>288</v>
      </c>
      <c r="H1768" s="52" t="str">
        <f aca="false">IF(G1768&lt;&gt;"",IFERROR(VLOOKUP(G1768,PRODUCTOS!$A:$B,2,0),"!COD NO ENCONTRADO"),"")</f>
        <v>RAPE BLANCO DIA (MON)</v>
      </c>
      <c r="I1768" s="77" t="n">
        <v>2</v>
      </c>
      <c r="J1768" s="78" t="n">
        <v>10.75</v>
      </c>
      <c r="K1768" s="79" t="n">
        <v>7.1</v>
      </c>
      <c r="L1768" s="80" t="n">
        <f aca="false">IF(AND(J1768&lt;&gt;"",K1768&lt;&gt;""),J1768*K1768,"")</f>
        <v>76.325</v>
      </c>
      <c r="M1768" s="81" t="n">
        <f aca="false">IF(L1768&lt;&gt;"",L1768*1.1,"")</f>
        <v>83.9575</v>
      </c>
      <c r="N1768" s="53" t="n">
        <f aca="false">IF(F1768="S",L1768*0.02,0)</f>
        <v>1.5265</v>
      </c>
      <c r="O1768" s="82" t="n">
        <f aca="false">IF(L1768&lt;&gt;"",L1768+N1768,"")</f>
        <v>77.8515</v>
      </c>
      <c r="P1768" s="53" t="n">
        <f aca="false">IF(O1768&lt;&gt;"",O1768*0.1,"")</f>
        <v>7.78515</v>
      </c>
      <c r="Q1768" s="83" t="n">
        <f aca="false">IF(O1768&lt;&gt;"",O1768+P1768,"")</f>
        <v>85.63665</v>
      </c>
      <c r="R1768" s="84" t="s">
        <v>365</v>
      </c>
    </row>
    <row r="1769" customFormat="false" ht="15" hidden="false" customHeight="true" outlineLevel="0" collapsed="false">
      <c r="A1769" s="103" t="n">
        <v>56370</v>
      </c>
      <c r="B1769" s="85" t="n">
        <v>46262</v>
      </c>
      <c r="C1769" s="74" t="s">
        <v>771</v>
      </c>
      <c r="D1769" s="87" t="n">
        <v>50163</v>
      </c>
      <c r="E1769" s="46" t="str">
        <f aca="false">IF(D1769&lt;&gt;"",IFERROR(VLOOKUP(D1769,PROVEEDORES!$A:$B,2,0),"!COD NO ENCONTRADO"),"")</f>
        <v>SUBASTAS RIVERA S.L.</v>
      </c>
      <c r="F1769" s="88" t="str">
        <f aca="false">IF(D1769&lt;&gt;"",IFERROR(VLOOKUP(D1769,PROVEEDORES!$A:$C,3,0),""),"")</f>
        <v>S</v>
      </c>
      <c r="G1769" s="87" t="s">
        <v>216</v>
      </c>
      <c r="H1769" s="46" t="str">
        <f aca="false">IF(G1769&lt;&gt;"",IFERROR(VLOOKUP(G1769,PRODUCTOS!$A:$B,2,0),"!COD NO ENCONTRADO"),"")</f>
        <v>MERLUZA EUROPEA PINCHO COSTA</v>
      </c>
      <c r="I1769" s="89" t="n">
        <v>1</v>
      </c>
      <c r="J1769" s="90" t="n">
        <v>14.25</v>
      </c>
      <c r="K1769" s="91" t="n">
        <v>13.5</v>
      </c>
      <c r="L1769" s="80" t="n">
        <f aca="false">IF(AND(J1769&lt;&gt;"",K1769&lt;&gt;""),J1769*K1769,"")</f>
        <v>192.375</v>
      </c>
      <c r="M1769" s="81" t="n">
        <f aca="false">IF(L1769&lt;&gt;"",L1769*1.1,"")</f>
        <v>211.6125</v>
      </c>
      <c r="N1769" s="47" t="n">
        <f aca="false">IF(F1769="S",L1769*0.02,0)</f>
        <v>3.8475</v>
      </c>
      <c r="O1769" s="82" t="n">
        <f aca="false">IF(L1769&lt;&gt;"",L1769+N1769,"")</f>
        <v>196.2225</v>
      </c>
      <c r="P1769" s="47" t="n">
        <f aca="false">IF(O1769&lt;&gt;"",O1769*0.1,"")</f>
        <v>19.62225</v>
      </c>
      <c r="Q1769" s="83" t="n">
        <f aca="false">IF(O1769&lt;&gt;"",O1769+P1769,"")</f>
        <v>215.84475</v>
      </c>
      <c r="R1769" s="84" t="s">
        <v>365</v>
      </c>
    </row>
    <row r="1770" customFormat="false" ht="15" hidden="false" customHeight="true" outlineLevel="0" collapsed="false">
      <c r="A1770" s="103" t="n">
        <v>56370</v>
      </c>
      <c r="B1770" s="85" t="n">
        <v>46262</v>
      </c>
      <c r="C1770" s="74" t="s">
        <v>771</v>
      </c>
      <c r="D1770" s="87" t="n">
        <v>50163</v>
      </c>
      <c r="E1770" s="46" t="str">
        <f aca="false">IF(D1770&lt;&gt;"",IFERROR(VLOOKUP(D1770,PROVEEDORES!$A:$B,2,0),"!COD NO ENCONTRADO"),"")</f>
        <v>SUBASTAS RIVERA S.L.</v>
      </c>
      <c r="F1770" s="88" t="str">
        <f aca="false">IF(D1770&lt;&gt;"",IFERROR(VLOOKUP(D1770,PROVEEDORES!$A:$C,3,0),""),"")</f>
        <v>S</v>
      </c>
      <c r="G1770" s="87" t="s">
        <v>316</v>
      </c>
      <c r="H1770" s="46" t="str">
        <f aca="false">IF(G1770&lt;&gt;"",IFERROR(VLOOKUP(G1770,PRODUCTOS!$A:$B,2,0),"!COD NO ENCONTRADO"),"")</f>
        <v>SALMONETE ROCA (MUR)</v>
      </c>
      <c r="I1770" s="89" t="n">
        <v>3</v>
      </c>
      <c r="J1770" s="105" t="n">
        <v>13.15</v>
      </c>
      <c r="K1770" s="91" t="n">
        <v>16</v>
      </c>
      <c r="L1770" s="80" t="n">
        <f aca="false">IF(AND(J1770&lt;&gt;"",K1770&lt;&gt;""),J1770*K1770,"")</f>
        <v>210.4</v>
      </c>
      <c r="M1770" s="81" t="n">
        <f aca="false">IF(L1770&lt;&gt;"",L1770*1.1,"")</f>
        <v>231.44</v>
      </c>
      <c r="N1770" s="47" t="n">
        <f aca="false">IF(F1770="S",L1770*0.02,0)</f>
        <v>4.208</v>
      </c>
      <c r="O1770" s="82" t="n">
        <f aca="false">IF(L1770&lt;&gt;"",L1770+N1770,"")</f>
        <v>214.608</v>
      </c>
      <c r="P1770" s="47" t="n">
        <f aca="false">IF(O1770&lt;&gt;"",O1770*0.1,"")</f>
        <v>21.4608</v>
      </c>
      <c r="Q1770" s="83" t="n">
        <f aca="false">IF(O1770&lt;&gt;"",O1770+P1770,"")</f>
        <v>236.0688</v>
      </c>
      <c r="R1770" s="84" t="s">
        <v>365</v>
      </c>
    </row>
    <row r="1771" customFormat="false" ht="15" hidden="false" customHeight="true" outlineLevel="0" collapsed="false">
      <c r="A1771" s="103" t="n">
        <v>56370</v>
      </c>
      <c r="B1771" s="73" t="n">
        <v>46262</v>
      </c>
      <c r="C1771" s="74" t="s">
        <v>771</v>
      </c>
      <c r="D1771" s="75" t="n">
        <v>50163</v>
      </c>
      <c r="E1771" s="52" t="str">
        <f aca="false">IF(D1771&lt;&gt;"",IFERROR(VLOOKUP(D1771,PROVEEDORES!$A:$B,2,0),"!COD NO ENCONTRADO"),"")</f>
        <v>SUBASTAS RIVERA S.L.</v>
      </c>
      <c r="F1771" s="76" t="str">
        <f aca="false">IF(D1771&lt;&gt;"",IFERROR(VLOOKUP(D1771,PROVEEDORES!$A:$C,3,0),""),"")</f>
        <v>S</v>
      </c>
      <c r="G1771" s="75" t="s">
        <v>151</v>
      </c>
      <c r="H1771" s="52" t="str">
        <f aca="false">IF(G1771&lt;&gt;"",IFERROR(VLOOKUP(G1771,PRODUCTOS!$A:$B,2,0),"!COD NO ENCONTRADO"),"")</f>
        <v>ESCACHO/ ARETE/ RUBIO (GUR)</v>
      </c>
      <c r="I1771" s="77" t="n">
        <v>9</v>
      </c>
      <c r="J1771" s="78" t="n">
        <v>34.6</v>
      </c>
      <c r="K1771" s="79" t="n">
        <v>1</v>
      </c>
      <c r="L1771" s="80" t="n">
        <f aca="false">IF(AND(J1771&lt;&gt;"",K1771&lt;&gt;""),J1771*K1771,"")</f>
        <v>34.6</v>
      </c>
      <c r="M1771" s="81" t="n">
        <f aca="false">IF(L1771&lt;&gt;"",L1771*1.1,"")</f>
        <v>38.06</v>
      </c>
      <c r="N1771" s="53" t="n">
        <f aca="false">IF(F1771="S",L1771*0.02,0)</f>
        <v>0.692</v>
      </c>
      <c r="O1771" s="82" t="n">
        <f aca="false">IF(L1771&lt;&gt;"",L1771+N1771,"")</f>
        <v>35.292</v>
      </c>
      <c r="P1771" s="53" t="n">
        <f aca="false">IF(O1771&lt;&gt;"",O1771*0.1,"")</f>
        <v>3.5292</v>
      </c>
      <c r="Q1771" s="83" t="n">
        <f aca="false">IF(O1771&lt;&gt;"",O1771+P1771,"")</f>
        <v>38.8212</v>
      </c>
      <c r="R1771" s="84" t="s">
        <v>365</v>
      </c>
    </row>
    <row r="1772" customFormat="false" ht="15" hidden="false" customHeight="true" outlineLevel="0" collapsed="false">
      <c r="A1772" s="103" t="n">
        <v>56371</v>
      </c>
      <c r="B1772" s="73" t="n">
        <v>46262</v>
      </c>
      <c r="C1772" s="74" t="s">
        <v>772</v>
      </c>
      <c r="D1772" s="75" t="n">
        <v>50048</v>
      </c>
      <c r="E1772" s="52" t="str">
        <f aca="false">IF(D1772&lt;&gt;"",IFERROR(VLOOKUP(D1772,PROVEEDORES!$A:$B,2,0),"!COD NO ENCONTRADO"),"")</f>
        <v>JOSE LUIS CORREA KESSLER S.L.</v>
      </c>
      <c r="F1772" s="76" t="str">
        <f aca="false">IF(D1772&lt;&gt;"",IFERROR(VLOOKUP(D1772,PROVEEDORES!$A:$C,3,0),""),"")</f>
        <v>N</v>
      </c>
      <c r="G1772" s="75" t="s">
        <v>179</v>
      </c>
      <c r="H1772" s="52" t="str">
        <f aca="false">IF(G1772&lt;&gt;"",IFERROR(VLOOKUP(G1772,PRODUCTOS!$A:$B,2,0),"!COD NO ENCONTRADO"),"")</f>
        <v>LIRIO/ BACALADILLA/ PERLA (WHB)</v>
      </c>
      <c r="I1772" s="77" t="n">
        <v>5</v>
      </c>
      <c r="J1772" s="78" t="n">
        <v>30</v>
      </c>
      <c r="K1772" s="125" t="n">
        <v>2.35</v>
      </c>
      <c r="L1772" s="80" t="n">
        <f aca="false">IF(AND(J1772&lt;&gt;"",K1772&lt;&gt;""),J1772*K1772,"")</f>
        <v>70.5</v>
      </c>
      <c r="M1772" s="81" t="n">
        <f aca="false">IF(L1772&lt;&gt;"",L1772*1.1,"")</f>
        <v>77.55</v>
      </c>
      <c r="N1772" s="53" t="n">
        <f aca="false">IF(F1772="S",L1772*0.02,0)</f>
        <v>0</v>
      </c>
      <c r="O1772" s="82" t="n">
        <f aca="false">IF(L1772&lt;&gt;"",L1772+N1772,"")</f>
        <v>70.5</v>
      </c>
      <c r="P1772" s="53" t="n">
        <f aca="false">IF(O1772&lt;&gt;"",O1772*0.1,"")</f>
        <v>7.05</v>
      </c>
      <c r="Q1772" s="83" t="n">
        <f aca="false">IF(O1772&lt;&gt;"",O1772+P1772,"")</f>
        <v>77.55</v>
      </c>
      <c r="R1772" s="84" t="s">
        <v>365</v>
      </c>
    </row>
    <row r="1773" customFormat="false" ht="15" hidden="false" customHeight="true" outlineLevel="0" collapsed="false">
      <c r="A1773" s="103" t="n">
        <v>56372</v>
      </c>
      <c r="B1773" s="85" t="n">
        <v>46262</v>
      </c>
      <c r="C1773" s="86" t="s">
        <v>773</v>
      </c>
      <c r="D1773" s="87" t="n">
        <v>50233</v>
      </c>
      <c r="E1773" s="46" t="str">
        <f aca="false">IF(D1773&lt;&gt;"",IFERROR(VLOOKUP(D1773,PROVEEDORES!$A:$B,2,0),"!COD NO ENCONTRADO"),"")</f>
        <v>ANGELPESCA S.L.</v>
      </c>
      <c r="F1773" s="88" t="str">
        <f aca="false">IF(D1773&lt;&gt;"",IFERROR(VLOOKUP(D1773,PROVEEDORES!$A:$C,3,0),""),"")</f>
        <v>N</v>
      </c>
      <c r="G1773" s="87" t="s">
        <v>179</v>
      </c>
      <c r="H1773" s="46" t="str">
        <f aca="false">IF(G1773&lt;&gt;"",IFERROR(VLOOKUP(G1773,PRODUCTOS!$A:$B,2,0),"!COD NO ENCONTRADO"),"")</f>
        <v>LIRIO/ BACALADILLA/ PERLA (WHB)</v>
      </c>
      <c r="I1773" s="89" t="n">
        <v>72</v>
      </c>
      <c r="J1773" s="90" t="n">
        <v>430</v>
      </c>
      <c r="K1773" s="91" t="n">
        <v>1.22</v>
      </c>
      <c r="L1773" s="80" t="n">
        <f aca="false">IF(AND(J1773&lt;&gt;"",K1773&lt;&gt;""),J1773*K1773,"")</f>
        <v>524.6</v>
      </c>
      <c r="M1773" s="81" t="n">
        <f aca="false">IF(L1773&lt;&gt;"",L1773*1.1,"")</f>
        <v>577.06</v>
      </c>
      <c r="N1773" s="47" t="n">
        <f aca="false">IF(F1773="S",L1773*0.02,0)</f>
        <v>0</v>
      </c>
      <c r="O1773" s="82" t="n">
        <f aca="false">IF(L1773&lt;&gt;"",L1773+N1773,"")</f>
        <v>524.6</v>
      </c>
      <c r="P1773" s="47" t="n">
        <f aca="false">IF(O1773&lt;&gt;"",O1773*0.1,"")</f>
        <v>52.46</v>
      </c>
      <c r="Q1773" s="83" t="n">
        <f aca="false">IF(O1773&lt;&gt;"",O1773+P1773,"")</f>
        <v>577.06</v>
      </c>
      <c r="R1773" s="84" t="s">
        <v>358</v>
      </c>
    </row>
    <row r="1774" customFormat="false" ht="15" hidden="false" customHeight="true" outlineLevel="0" collapsed="false">
      <c r="A1774" s="103" t="n">
        <v>56372</v>
      </c>
      <c r="B1774" s="73" t="n">
        <v>46262</v>
      </c>
      <c r="C1774" s="86" t="s">
        <v>773</v>
      </c>
      <c r="D1774" s="75" t="n">
        <v>50233</v>
      </c>
      <c r="E1774" s="52" t="str">
        <f aca="false">IF(D1774&lt;&gt;"",IFERROR(VLOOKUP(D1774,PROVEEDORES!$A:$B,2,0),"!COD NO ENCONTRADO"),"")</f>
        <v>ANGELPESCA S.L.</v>
      </c>
      <c r="F1774" s="76" t="str">
        <f aca="false">IF(D1774&lt;&gt;"",IFERROR(VLOOKUP(D1774,PROVEEDORES!$A:$C,3,0),""),"")</f>
        <v>N</v>
      </c>
      <c r="G1774" s="75" t="s">
        <v>276</v>
      </c>
      <c r="H1774" s="52" t="str">
        <f aca="false">IF(G1774&lt;&gt;"",IFERROR(VLOOKUP(G1774,PRODUCTOS!$A:$B,2,0),"!COD NO ENCONTRADO"),"")</f>
        <v>MERLUZA EUROPEA/ FINA DIA </v>
      </c>
      <c r="I1774" s="77" t="n">
        <v>1</v>
      </c>
      <c r="J1774" s="105" t="n">
        <v>30</v>
      </c>
      <c r="K1774" s="125" t="n">
        <v>3.5</v>
      </c>
      <c r="L1774" s="80" t="n">
        <f aca="false">IF(AND(J1774&lt;&gt;"",K1774&lt;&gt;""),J1774*K1774,"")</f>
        <v>105</v>
      </c>
      <c r="M1774" s="81" t="n">
        <f aca="false">IF(L1774&lt;&gt;"",L1774*1.1,"")</f>
        <v>115.5</v>
      </c>
      <c r="N1774" s="53" t="n">
        <f aca="false">IF(F1774="S",L1774*0.02,0)</f>
        <v>0</v>
      </c>
      <c r="O1774" s="82" t="n">
        <f aca="false">IF(L1774&lt;&gt;"",L1774+N1774,"")</f>
        <v>105</v>
      </c>
      <c r="P1774" s="53" t="n">
        <f aca="false">IF(O1774&lt;&gt;"",O1774*0.1,"")</f>
        <v>10.5</v>
      </c>
      <c r="Q1774" s="83" t="n">
        <f aca="false">IF(O1774&lt;&gt;"",O1774+P1774,"")</f>
        <v>115.5</v>
      </c>
      <c r="R1774" s="84" t="s">
        <v>358</v>
      </c>
    </row>
    <row r="1775" customFormat="false" ht="15" hidden="false" customHeight="true" outlineLevel="0" collapsed="false">
      <c r="A1775" s="103" t="n">
        <v>56373</v>
      </c>
      <c r="B1775" s="85" t="n">
        <v>46262</v>
      </c>
      <c r="C1775" s="86" t="s">
        <v>774</v>
      </c>
      <c r="D1775" s="87" t="n">
        <v>50035</v>
      </c>
      <c r="E1775" s="46" t="str">
        <f aca="false">IF(D1775&lt;&gt;"",IFERROR(VLOOKUP(D1775,PROVEEDORES!$A:$B,2,0),"!COD NO ENCONTRADO"),"")</f>
        <v>SCANFISK SEAFFOD S,L</v>
      </c>
      <c r="F1775" s="88" t="str">
        <f aca="false">IF(D1775&lt;&gt;"",IFERROR(VLOOKUP(D1775,PROVEEDORES!$A:$C,3,0),""),"")</f>
        <v>N</v>
      </c>
      <c r="G1775" s="87" t="s">
        <v>246</v>
      </c>
      <c r="H1775" s="46" t="str">
        <f aca="false">IF(G1775&lt;&gt;"",IFERROR(VLOOKUP(G1775,PRODUCTOS!$A:$B,2,0),"!COD NO ENCONTRADO"),"")</f>
        <v>MERLUZA EUROPEA VOLANTA ALTURA</v>
      </c>
      <c r="I1775" s="89" t="n">
        <v>2</v>
      </c>
      <c r="J1775" s="90" t="n">
        <v>31.7</v>
      </c>
      <c r="K1775" s="91" t="n">
        <v>8.1</v>
      </c>
      <c r="L1775" s="80" t="n">
        <f aca="false">IF(AND(J1775&lt;&gt;"",K1775&lt;&gt;""),J1775*K1775,"")</f>
        <v>256.77</v>
      </c>
      <c r="M1775" s="81" t="n">
        <f aca="false">IF(L1775&lt;&gt;"",L1775*1.1,"")</f>
        <v>282.447</v>
      </c>
      <c r="N1775" s="47" t="n">
        <f aca="false">IF(F1775="S",L1775*0.02,0)</f>
        <v>0</v>
      </c>
      <c r="O1775" s="82" t="n">
        <f aca="false">IF(L1775&lt;&gt;"",L1775+N1775,"")</f>
        <v>256.77</v>
      </c>
      <c r="P1775" s="47" t="n">
        <f aca="false">IF(O1775&lt;&gt;"",O1775*0.1,"")</f>
        <v>25.677</v>
      </c>
      <c r="Q1775" s="83" t="n">
        <f aca="false">IF(O1775&lt;&gt;"",O1775+P1775,"")</f>
        <v>282.447</v>
      </c>
      <c r="R1775" s="84" t="s">
        <v>365</v>
      </c>
    </row>
    <row r="1776" customFormat="false" ht="15" hidden="false" customHeight="true" outlineLevel="0" collapsed="false">
      <c r="A1776" s="103" t="n">
        <v>56374</v>
      </c>
      <c r="B1776" s="73" t="n">
        <v>46263</v>
      </c>
      <c r="C1776" s="74" t="s">
        <v>775</v>
      </c>
      <c r="D1776" s="75" t="n">
        <v>50232</v>
      </c>
      <c r="E1776" s="52" t="str">
        <f aca="false">IF(D1776&lt;&gt;"",IFERROR(VLOOKUP(D1776,PROVEEDORES!$A:$B,2,0),"!COD NO ENCONTRADO"),"")</f>
        <v>XESTION NOVA LONXA RIVEIRA S.L.</v>
      </c>
      <c r="F1776" s="76" t="str">
        <f aca="false">IF(D1776&lt;&gt;"",IFERROR(VLOOKUP(D1776,PROVEEDORES!$A:$C,3,0),""),"")</f>
        <v>S</v>
      </c>
      <c r="G1776" s="75" t="s">
        <v>332</v>
      </c>
      <c r="H1776" s="52" t="str">
        <f aca="false">IF(G1776&lt;&gt;"",IFERROR(VLOOKUP(G1776,PRODUCTOS!$A:$B,2,0),"!COD NO ENCONTRADO"),"")</f>
        <v>VARIADO PEQUEÑO</v>
      </c>
      <c r="I1776" s="77" t="n">
        <v>3</v>
      </c>
      <c r="J1776" s="78" t="n">
        <v>28.8</v>
      </c>
      <c r="K1776" s="79" t="n">
        <v>0.8</v>
      </c>
      <c r="L1776" s="80" t="n">
        <f aca="false">IF(AND(J1776&lt;&gt;"",K1776&lt;&gt;""),J1776*K1776,"")</f>
        <v>23.04</v>
      </c>
      <c r="M1776" s="81" t="n">
        <f aca="false">IF(L1776&lt;&gt;"",L1776*1.1,"")</f>
        <v>25.344</v>
      </c>
      <c r="N1776" s="53" t="n">
        <f aca="false">IF(F1776="S",L1776*0.02,0)</f>
        <v>0.4608</v>
      </c>
      <c r="O1776" s="82" t="n">
        <f aca="false">IF(L1776&lt;&gt;"",L1776+N1776,"")</f>
        <v>23.5008</v>
      </c>
      <c r="P1776" s="53" t="n">
        <f aca="false">IF(O1776&lt;&gt;"",O1776*0.1,"")</f>
        <v>2.35008</v>
      </c>
      <c r="Q1776" s="83" t="n">
        <f aca="false">IF(O1776&lt;&gt;"",O1776+P1776,"")</f>
        <v>25.85088</v>
      </c>
      <c r="R1776" s="84" t="s">
        <v>365</v>
      </c>
    </row>
    <row r="1777" customFormat="false" ht="15" hidden="false" customHeight="true" outlineLevel="0" collapsed="false">
      <c r="A1777" s="103" t="n">
        <v>56374</v>
      </c>
      <c r="B1777" s="73" t="n">
        <v>46263</v>
      </c>
      <c r="C1777" s="74" t="s">
        <v>775</v>
      </c>
      <c r="D1777" s="75" t="n">
        <v>50232</v>
      </c>
      <c r="E1777" s="52" t="str">
        <f aca="false">IF(D1777&lt;&gt;"",IFERROR(VLOOKUP(D1777,PROVEEDORES!$A:$B,2,0),"!COD NO ENCONTRADO"),"")</f>
        <v>XESTION NOVA LONXA RIVEIRA S.L.</v>
      </c>
      <c r="F1777" s="88" t="str">
        <f aca="false">IF(D1777&lt;&gt;"",IFERROR(VLOOKUP(D1777,PROVEEDORES!$A:$C,3,0),""),"")</f>
        <v>S</v>
      </c>
      <c r="G1777" s="87" t="s">
        <v>296</v>
      </c>
      <c r="H1777" s="46" t="str">
        <f aca="false">IF(G1777&lt;&gt;"",IFERROR(VLOOKUP(G1777,PRODUCTOS!$A:$B,2,0),"!COD NO ENCONTRADO"),"")</f>
        <v>RAPE NEGRO (ANK)</v>
      </c>
      <c r="I1777" s="89" t="n">
        <v>7</v>
      </c>
      <c r="J1777" s="90" t="n">
        <v>65.9</v>
      </c>
      <c r="K1777" s="91" t="n">
        <v>4.5</v>
      </c>
      <c r="L1777" s="80" t="n">
        <f aca="false">IF(AND(J1777&lt;&gt;"",K1777&lt;&gt;""),J1777*K1777,"")</f>
        <v>296.55</v>
      </c>
      <c r="M1777" s="81" t="n">
        <f aca="false">IF(L1777&lt;&gt;"",L1777*1.1,"")</f>
        <v>326.205</v>
      </c>
      <c r="N1777" s="47" t="n">
        <f aca="false">IF(F1777="S",L1777*0.02,0)</f>
        <v>5.931</v>
      </c>
      <c r="O1777" s="82" t="n">
        <f aca="false">IF(L1777&lt;&gt;"",L1777+N1777,"")</f>
        <v>302.481</v>
      </c>
      <c r="P1777" s="47" t="n">
        <f aca="false">IF(O1777&lt;&gt;"",O1777*0.1,"")</f>
        <v>30.2481</v>
      </c>
      <c r="Q1777" s="83" t="n">
        <f aca="false">IF(O1777&lt;&gt;"",O1777+P1777,"")</f>
        <v>332.7291</v>
      </c>
      <c r="R1777" s="84" t="s">
        <v>365</v>
      </c>
    </row>
    <row r="1778" customFormat="false" ht="15" hidden="false" customHeight="true" outlineLevel="0" collapsed="false">
      <c r="A1778" s="103" t="n">
        <v>56374</v>
      </c>
      <c r="B1778" s="73" t="n">
        <v>46263</v>
      </c>
      <c r="C1778" s="74" t="s">
        <v>775</v>
      </c>
      <c r="D1778" s="75" t="n">
        <v>50232</v>
      </c>
      <c r="E1778" s="52" t="str">
        <f aca="false">IF(D1778&lt;&gt;"",IFERROR(VLOOKUP(D1778,PROVEEDORES!$A:$B,2,0),"!COD NO ENCONTRADO"),"")</f>
        <v>XESTION NOVA LONXA RIVEIRA S.L.</v>
      </c>
      <c r="F1778" s="76" t="str">
        <f aca="false">IF(D1778&lt;&gt;"",IFERROR(VLOOKUP(D1778,PROVEEDORES!$A:$C,3,0),""),"")</f>
        <v>S</v>
      </c>
      <c r="G1778" s="75" t="s">
        <v>270</v>
      </c>
      <c r="H1778" s="52" t="str">
        <f aca="false">IF(G1778&lt;&gt;"",IFERROR(VLOOKUP(G1778,PRODUCTOS!$A:$B,2,0),"!COD NO ENCONTRADO"),"")</f>
        <v>PEON/ PION (ATP)</v>
      </c>
      <c r="I1778" s="77" t="n">
        <v>3</v>
      </c>
      <c r="J1778" s="78" t="n">
        <v>24.8</v>
      </c>
      <c r="K1778" s="79" t="n">
        <v>3.5</v>
      </c>
      <c r="L1778" s="80" t="n">
        <f aca="false">IF(AND(J1778&lt;&gt;"",K1778&lt;&gt;""),J1778*K1778,"")</f>
        <v>86.8</v>
      </c>
      <c r="M1778" s="81" t="n">
        <f aca="false">IF(L1778&lt;&gt;"",L1778*1.1,"")</f>
        <v>95.48</v>
      </c>
      <c r="N1778" s="53" t="n">
        <f aca="false">IF(F1778="S",L1778*0.02,0)</f>
        <v>1.736</v>
      </c>
      <c r="O1778" s="82" t="n">
        <f aca="false">IF(L1778&lt;&gt;"",L1778+N1778,"")</f>
        <v>88.536</v>
      </c>
      <c r="P1778" s="53" t="n">
        <f aca="false">IF(O1778&lt;&gt;"",O1778*0.1,"")</f>
        <v>8.8536</v>
      </c>
      <c r="Q1778" s="83" t="n">
        <f aca="false">IF(O1778&lt;&gt;"",O1778+P1778,"")</f>
        <v>97.3896</v>
      </c>
      <c r="R1778" s="84" t="s">
        <v>365</v>
      </c>
    </row>
    <row r="1779" customFormat="false" ht="15" hidden="false" customHeight="true" outlineLevel="0" collapsed="false">
      <c r="A1779" s="103" t="n">
        <v>56374</v>
      </c>
      <c r="B1779" s="73" t="n">
        <v>46263</v>
      </c>
      <c r="C1779" s="74" t="s">
        <v>775</v>
      </c>
      <c r="D1779" s="75" t="n">
        <v>50232</v>
      </c>
      <c r="E1779" s="52" t="str">
        <f aca="false">IF(D1779&lt;&gt;"",IFERROR(VLOOKUP(D1779,PROVEEDORES!$A:$B,2,0),"!COD NO ENCONTRADO"),"")</f>
        <v>XESTION NOVA LONXA RIVEIRA S.L.</v>
      </c>
      <c r="F1779" s="88" t="str">
        <f aca="false">IF(D1779&lt;&gt;"",IFERROR(VLOOKUP(D1779,PROVEEDORES!$A:$C,3,0),""),"")</f>
        <v>S</v>
      </c>
      <c r="G1779" s="87" t="s">
        <v>179</v>
      </c>
      <c r="H1779" s="46" t="str">
        <f aca="false">IF(G1779&lt;&gt;"",IFERROR(VLOOKUP(G1779,PRODUCTOS!$A:$B,2,0),"!COD NO ENCONTRADO"),"")</f>
        <v>LIRIO/ BACALADILLA/ PERLA (WHB)</v>
      </c>
      <c r="I1779" s="112" t="n">
        <v>10</v>
      </c>
      <c r="J1779" s="105" t="n">
        <v>180</v>
      </c>
      <c r="K1779" s="125" t="n">
        <v>1.83</v>
      </c>
      <c r="L1779" s="80" t="n">
        <f aca="false">IF(AND(J1779&lt;&gt;"",K1779&lt;&gt;""),J1779*K1779,"")</f>
        <v>329.4</v>
      </c>
      <c r="M1779" s="81" t="n">
        <f aca="false">IF(L1779&lt;&gt;"",L1779*1.1,"")</f>
        <v>362.34</v>
      </c>
      <c r="N1779" s="47" t="n">
        <f aca="false">IF(F1779="S",L1779*0.02,0)</f>
        <v>6.588</v>
      </c>
      <c r="O1779" s="82" t="n">
        <f aca="false">IF(L1779&lt;&gt;"",L1779+N1779,"")</f>
        <v>335.988</v>
      </c>
      <c r="P1779" s="47" t="n">
        <f aca="false">IF(O1779&lt;&gt;"",O1779*0.1,"")</f>
        <v>33.5988</v>
      </c>
      <c r="Q1779" s="83" t="n">
        <f aca="false">IF(O1779&lt;&gt;"",O1779+P1779,"")</f>
        <v>369.5868</v>
      </c>
      <c r="R1779" s="84" t="s">
        <v>365</v>
      </c>
    </row>
    <row r="1780" customFormat="false" ht="15" hidden="false" customHeight="true" outlineLevel="0" collapsed="false">
      <c r="A1780" s="103" t="n">
        <v>56374</v>
      </c>
      <c r="B1780" s="73" t="n">
        <v>46263</v>
      </c>
      <c r="C1780" s="74" t="s">
        <v>775</v>
      </c>
      <c r="D1780" s="75" t="n">
        <v>50232</v>
      </c>
      <c r="E1780" s="52" t="str">
        <f aca="false">IF(D1780&lt;&gt;"",IFERROR(VLOOKUP(D1780,PROVEEDORES!$A:$B,2,0),"!COD NO ENCONTRADO"),"")</f>
        <v>XESTION NOVA LONXA RIVEIRA S.L.</v>
      </c>
      <c r="F1780" s="76" t="str">
        <f aca="false">IF(D1780&lt;&gt;"",IFERROR(VLOOKUP(D1780,PROVEEDORES!$A:$C,3,0),""),"")</f>
        <v>S</v>
      </c>
      <c r="G1780" s="75" t="s">
        <v>179</v>
      </c>
      <c r="H1780" s="52" t="str">
        <f aca="false">IF(G1780&lt;&gt;"",IFERROR(VLOOKUP(G1780,PRODUCTOS!$A:$B,2,0),"!COD NO ENCONTRADO"),"")</f>
        <v>LIRIO/ BACALADILLA/ PERLA (WHB)</v>
      </c>
      <c r="I1780" s="112" t="n">
        <v>15</v>
      </c>
      <c r="J1780" s="105" t="n">
        <v>215</v>
      </c>
      <c r="K1780" s="125" t="n">
        <v>1.84</v>
      </c>
      <c r="L1780" s="80" t="n">
        <f aca="false">IF(AND(J1780&lt;&gt;"",K1780&lt;&gt;""),J1780*K1780,"")</f>
        <v>395.6</v>
      </c>
      <c r="M1780" s="81" t="n">
        <f aca="false">IF(L1780&lt;&gt;"",L1780*1.1,"")</f>
        <v>435.16</v>
      </c>
      <c r="N1780" s="53" t="n">
        <f aca="false">IF(F1780="S",L1780*0.02,0)</f>
        <v>7.912</v>
      </c>
      <c r="O1780" s="82" t="n">
        <f aca="false">IF(L1780&lt;&gt;"",L1780+N1780,"")</f>
        <v>403.512</v>
      </c>
      <c r="P1780" s="53" t="n">
        <f aca="false">IF(O1780&lt;&gt;"",O1780*0.1,"")</f>
        <v>40.3512</v>
      </c>
      <c r="Q1780" s="83" t="n">
        <f aca="false">IF(O1780&lt;&gt;"",O1780+P1780,"")</f>
        <v>443.8632</v>
      </c>
      <c r="R1780" s="84" t="s">
        <v>365</v>
      </c>
    </row>
    <row r="1781" customFormat="false" ht="15" hidden="false" customHeight="true" outlineLevel="0" collapsed="false">
      <c r="A1781" s="103" t="n">
        <v>56374</v>
      </c>
      <c r="B1781" s="73" t="n">
        <v>46263</v>
      </c>
      <c r="C1781" s="74" t="s">
        <v>775</v>
      </c>
      <c r="D1781" s="75" t="n">
        <v>50232</v>
      </c>
      <c r="E1781" s="52" t="str">
        <f aca="false">IF(D1781&lt;&gt;"",IFERROR(VLOOKUP(D1781,PROVEEDORES!$A:$B,2,0),"!COD NO ENCONTRADO"),"")</f>
        <v>XESTION NOVA LONXA RIVEIRA S.L.</v>
      </c>
      <c r="F1781" s="76" t="str">
        <f aca="false">IF(D1781&lt;&gt;"",IFERROR(VLOOKUP(D1781,PROVEEDORES!$A:$C,3,0),""),"")</f>
        <v>S</v>
      </c>
      <c r="G1781" s="75" t="s">
        <v>179</v>
      </c>
      <c r="H1781" s="52" t="str">
        <f aca="false">IF(G1781&lt;&gt;"",IFERROR(VLOOKUP(G1781,PRODUCTOS!$A:$B,2,0),"!COD NO ENCONTRADO"),"")</f>
        <v>LIRIO/ BACALADILLA/ PERLA (WHB)</v>
      </c>
      <c r="I1781" s="112" t="n">
        <v>10</v>
      </c>
      <c r="J1781" s="105" t="n">
        <v>192</v>
      </c>
      <c r="K1781" s="125" t="n">
        <v>2</v>
      </c>
      <c r="L1781" s="80" t="n">
        <f aca="false">IF(AND(J1781&lt;&gt;"",K1781&lt;&gt;""),J1781*K1781,"")</f>
        <v>384</v>
      </c>
      <c r="M1781" s="81" t="n">
        <f aca="false">IF(L1781&lt;&gt;"",L1781*1.1,"")</f>
        <v>422.4</v>
      </c>
      <c r="N1781" s="53" t="n">
        <f aca="false">IF(F1781="S",L1781*0.02,0)</f>
        <v>7.68</v>
      </c>
      <c r="O1781" s="82" t="n">
        <f aca="false">IF(L1781&lt;&gt;"",L1781+N1781,"")</f>
        <v>391.68</v>
      </c>
      <c r="P1781" s="53" t="n">
        <f aca="false">IF(O1781&lt;&gt;"",O1781*0.1,"")</f>
        <v>39.168</v>
      </c>
      <c r="Q1781" s="83" t="n">
        <f aca="false">IF(O1781&lt;&gt;"",O1781+P1781,"")</f>
        <v>430.848</v>
      </c>
      <c r="R1781" s="84" t="s">
        <v>365</v>
      </c>
    </row>
    <row r="1782" customFormat="false" ht="15" hidden="false" customHeight="true" outlineLevel="0" collapsed="false">
      <c r="A1782" s="103" t="n">
        <v>56374</v>
      </c>
      <c r="B1782" s="73" t="n">
        <v>46263</v>
      </c>
      <c r="C1782" s="74" t="s">
        <v>775</v>
      </c>
      <c r="D1782" s="75" t="n">
        <v>50232</v>
      </c>
      <c r="E1782" s="52" t="str">
        <f aca="false">IF(D1782&lt;&gt;"",IFERROR(VLOOKUP(D1782,PROVEEDORES!$A:$B,2,0),"!COD NO ENCONTRADO"),"")</f>
        <v>XESTION NOVA LONXA RIVEIRA S.L.</v>
      </c>
      <c r="F1782" s="76" t="str">
        <f aca="false">IF(D1782&lt;&gt;"",IFERROR(VLOOKUP(D1782,PROVEEDORES!$A:$C,3,0),""),"")</f>
        <v>S</v>
      </c>
      <c r="G1782" s="75" t="s">
        <v>179</v>
      </c>
      <c r="H1782" s="52" t="str">
        <f aca="false">IF(G1782&lt;&gt;"",IFERROR(VLOOKUP(G1782,PRODUCTOS!$A:$B,2,0),"!COD NO ENCONTRADO"),"")</f>
        <v>LIRIO/ BACALADILLA/ PERLA (WHB)</v>
      </c>
      <c r="I1782" s="77" t="n">
        <v>15</v>
      </c>
      <c r="J1782" s="78" t="n">
        <v>189.9</v>
      </c>
      <c r="K1782" s="79" t="n">
        <v>2.37</v>
      </c>
      <c r="L1782" s="80" t="n">
        <f aca="false">IF(AND(J1782&lt;&gt;"",K1782&lt;&gt;""),J1782*K1782,"")</f>
        <v>450.063</v>
      </c>
      <c r="M1782" s="81" t="n">
        <f aca="false">IF(L1782&lt;&gt;"",L1782*1.1,"")</f>
        <v>495.0693</v>
      </c>
      <c r="N1782" s="53" t="n">
        <f aca="false">IF(F1782="S",L1782*0.02,0)</f>
        <v>9.00126</v>
      </c>
      <c r="O1782" s="82" t="n">
        <f aca="false">IF(L1782&lt;&gt;"",L1782+N1782,"")</f>
        <v>459.06426</v>
      </c>
      <c r="P1782" s="53" t="n">
        <f aca="false">IF(O1782&lt;&gt;"",O1782*0.1,"")</f>
        <v>45.906426</v>
      </c>
      <c r="Q1782" s="83" t="n">
        <f aca="false">IF(O1782&lt;&gt;"",O1782+P1782,"")</f>
        <v>504.970686</v>
      </c>
      <c r="R1782" s="84" t="s">
        <v>365</v>
      </c>
    </row>
    <row r="1783" customFormat="false" ht="15" hidden="false" customHeight="true" outlineLevel="0" collapsed="false">
      <c r="A1783" s="103" t="n">
        <v>56375</v>
      </c>
      <c r="B1783" s="85" t="n">
        <v>46263</v>
      </c>
      <c r="C1783" s="86" t="s">
        <v>776</v>
      </c>
      <c r="D1783" s="87" t="n">
        <v>50160</v>
      </c>
      <c r="E1783" s="46" t="str">
        <f aca="false">IF(D1783&lt;&gt;"",IFERROR(VLOOKUP(D1783,PROVEEDORES!$A:$B,2,0),"!COD NO ENCONTRADO"),"")</f>
        <v>SUBASTAS CORUÑA S.L.</v>
      </c>
      <c r="F1783" s="88" t="str">
        <f aca="false">IF(D1783&lt;&gt;"",IFERROR(VLOOKUP(D1783,PROVEEDORES!$A:$C,3,0),""),"")</f>
        <v>S</v>
      </c>
      <c r="G1783" s="87" t="s">
        <v>91</v>
      </c>
      <c r="H1783" s="46" t="str">
        <f aca="false">IF(G1783&lt;&gt;"",IFERROR(VLOOKUP(G1783,PRODUCTOS!$A:$B,2,0),"!COD NO ENCONTRADO"),"")</f>
        <v>BONITO DEL NORTE 5/7</v>
      </c>
      <c r="I1783" s="89" t="n">
        <v>1</v>
      </c>
      <c r="J1783" s="90" t="n">
        <v>29.25</v>
      </c>
      <c r="K1783" s="91" t="n">
        <v>4.9</v>
      </c>
      <c r="L1783" s="80" t="n">
        <f aca="false">IF(AND(J1783&lt;&gt;"",K1783&lt;&gt;""),J1783*K1783,"")</f>
        <v>143.325</v>
      </c>
      <c r="M1783" s="81" t="n">
        <f aca="false">IF(L1783&lt;&gt;"",L1783*1.1,"")</f>
        <v>157.6575</v>
      </c>
      <c r="N1783" s="47" t="n">
        <f aca="false">IF(F1783="S",L1783*0.02,0)</f>
        <v>2.8665</v>
      </c>
      <c r="O1783" s="82" t="n">
        <f aca="false">IF(L1783&lt;&gt;"",L1783+N1783,"")</f>
        <v>146.1915</v>
      </c>
      <c r="P1783" s="47" t="n">
        <f aca="false">IF(O1783&lt;&gt;"",O1783*0.1,"")</f>
        <v>14.61915</v>
      </c>
      <c r="Q1783" s="83" t="n">
        <f aca="false">IF(O1783&lt;&gt;"",O1783+P1783,"")</f>
        <v>160.81065</v>
      </c>
      <c r="R1783" s="84" t="s">
        <v>365</v>
      </c>
    </row>
    <row r="1784" customFormat="false" ht="15" hidden="false" customHeight="true" outlineLevel="0" collapsed="false">
      <c r="A1784" s="103" t="n">
        <v>56375</v>
      </c>
      <c r="B1784" s="85" t="n">
        <v>46263</v>
      </c>
      <c r="C1784" s="86" t="s">
        <v>776</v>
      </c>
      <c r="D1784" s="87" t="n">
        <v>50160</v>
      </c>
      <c r="E1784" s="46" t="str">
        <f aca="false">IF(D1784&lt;&gt;"",IFERROR(VLOOKUP(D1784,PROVEEDORES!$A:$B,2,0),"!COD NO ENCONTRADO"),"")</f>
        <v>SUBASTAS CORUÑA S.L.</v>
      </c>
      <c r="F1784" s="88" t="str">
        <f aca="false">IF(D1784&lt;&gt;"",IFERROR(VLOOKUP(D1784,PROVEEDORES!$A:$C,3,0),""),"")</f>
        <v>S</v>
      </c>
      <c r="G1784" s="87" t="s">
        <v>91</v>
      </c>
      <c r="H1784" s="52" t="str">
        <f aca="false">IF(G1784&lt;&gt;"",IFERROR(VLOOKUP(G1784,PRODUCTOS!$A:$B,2,0),"!COD NO ENCONTRADO"),"")</f>
        <v>BONITO DEL NORTE 5/7</v>
      </c>
      <c r="I1784" s="77" t="n">
        <v>1</v>
      </c>
      <c r="J1784" s="78" t="n">
        <v>28.25</v>
      </c>
      <c r="K1784" s="79" t="n">
        <v>4.45</v>
      </c>
      <c r="L1784" s="80" t="n">
        <f aca="false">IF(AND(J1784&lt;&gt;"",K1784&lt;&gt;""),J1784*K1784,"")</f>
        <v>125.7125</v>
      </c>
      <c r="M1784" s="81" t="n">
        <f aca="false">IF(L1784&lt;&gt;"",L1784*1.1,"")</f>
        <v>138.28375</v>
      </c>
      <c r="N1784" s="53" t="n">
        <f aca="false">IF(F1784="S",L1784*0.02,0)</f>
        <v>2.51425</v>
      </c>
      <c r="O1784" s="82" t="n">
        <f aca="false">IF(L1784&lt;&gt;"",L1784+N1784,"")</f>
        <v>128.22675</v>
      </c>
      <c r="P1784" s="53" t="n">
        <f aca="false">IF(O1784&lt;&gt;"",O1784*0.1,"")</f>
        <v>12.822675</v>
      </c>
      <c r="Q1784" s="83" t="n">
        <f aca="false">IF(O1784&lt;&gt;"",O1784+P1784,"")</f>
        <v>141.049425</v>
      </c>
      <c r="R1784" s="84" t="s">
        <v>358</v>
      </c>
    </row>
    <row r="1785" customFormat="false" ht="15" hidden="false" customHeight="true" outlineLevel="0" collapsed="false">
      <c r="A1785" s="103" t="n">
        <v>56376</v>
      </c>
      <c r="B1785" s="85" t="n">
        <v>46263</v>
      </c>
      <c r="C1785" s="86" t="s">
        <v>777</v>
      </c>
      <c r="D1785" s="87" t="n">
        <v>50163</v>
      </c>
      <c r="E1785" s="46" t="str">
        <f aca="false">IF(D1785&lt;&gt;"",IFERROR(VLOOKUP(D1785,PROVEEDORES!$A:$B,2,0),"!COD NO ENCONTRADO"),"")</f>
        <v>SUBASTAS RIVERA S.L.</v>
      </c>
      <c r="F1785" s="88" t="str">
        <f aca="false">IF(D1785&lt;&gt;"",IFERROR(VLOOKUP(D1785,PROVEEDORES!$A:$C,3,0),""),"")</f>
        <v>S</v>
      </c>
      <c r="G1785" s="87" t="s">
        <v>316</v>
      </c>
      <c r="H1785" s="46" t="str">
        <f aca="false">IF(G1785&lt;&gt;"",IFERROR(VLOOKUP(G1785,PRODUCTOS!$A:$B,2,0),"!COD NO ENCONTRADO"),"")</f>
        <v>SALMONETE ROCA (MUR)</v>
      </c>
      <c r="I1785" s="89" t="n">
        <v>1</v>
      </c>
      <c r="J1785" s="90" t="n">
        <v>2.5</v>
      </c>
      <c r="K1785" s="91" t="n">
        <v>12.8</v>
      </c>
      <c r="L1785" s="80" t="n">
        <f aca="false">IF(AND(J1785&lt;&gt;"",K1785&lt;&gt;""),J1785*K1785,"")</f>
        <v>32</v>
      </c>
      <c r="M1785" s="81" t="n">
        <f aca="false">IF(L1785&lt;&gt;"",L1785*1.1,"")</f>
        <v>35.2</v>
      </c>
      <c r="N1785" s="47" t="n">
        <f aca="false">IF(F1785="S",L1785*0.02,0)</f>
        <v>0.64</v>
      </c>
      <c r="O1785" s="82" t="n">
        <f aca="false">IF(L1785&lt;&gt;"",L1785+N1785,"")</f>
        <v>32.64</v>
      </c>
      <c r="P1785" s="47" t="n">
        <f aca="false">IF(O1785&lt;&gt;"",O1785*0.1,"")</f>
        <v>3.264</v>
      </c>
      <c r="Q1785" s="83" t="n">
        <f aca="false">IF(O1785&lt;&gt;"",O1785+P1785,"")</f>
        <v>35.904</v>
      </c>
      <c r="R1785" s="84" t="s">
        <v>365</v>
      </c>
    </row>
    <row r="1786" customFormat="false" ht="15" hidden="false" customHeight="true" outlineLevel="0" collapsed="false">
      <c r="A1786" s="103" t="n">
        <v>56377</v>
      </c>
      <c r="B1786" s="85" t="n">
        <v>46265</v>
      </c>
      <c r="C1786" s="86" t="s">
        <v>778</v>
      </c>
      <c r="D1786" s="87" t="n">
        <v>50001</v>
      </c>
      <c r="E1786" s="46" t="str">
        <f aca="false">IF(D1786&lt;&gt;"",IFERROR(VLOOKUP(D1786,PROVEEDORES!$A:$B,2,0),"!COD NO ENCONTRADO"),"")</f>
        <v>COPESA</v>
      </c>
      <c r="F1786" s="88" t="str">
        <f aca="false">IF(D1786&lt;&gt;"",IFERROR(VLOOKUP(D1786,PROVEEDORES!$A:$C,3,0),""),"")</f>
        <v>S</v>
      </c>
      <c r="G1786" s="87" t="s">
        <v>292</v>
      </c>
      <c r="H1786" s="46" t="str">
        <f aca="false">IF(G1786&lt;&gt;"",IFERROR(VLOOKUP(G1786,PRODUCTOS!$A:$B,2,0),"!COD NO ENCONTRADO"),"")</f>
        <v>RAPE BLANCO RASCO (MON)</v>
      </c>
      <c r="I1786" s="89" t="n">
        <v>4</v>
      </c>
      <c r="J1786" s="90" t="n">
        <v>214.25</v>
      </c>
      <c r="K1786" s="91" t="n">
        <v>6.1</v>
      </c>
      <c r="L1786" s="80" t="n">
        <f aca="false">IF(AND(J1786&lt;&gt;"",K1786&lt;&gt;""),J1786*K1786,"")</f>
        <v>1306.925</v>
      </c>
      <c r="M1786" s="81" t="n">
        <f aca="false">IF(L1786&lt;&gt;"",L1786*1.1,"")</f>
        <v>1437.6175</v>
      </c>
      <c r="N1786" s="47" t="n">
        <f aca="false">IF(F1786="S",L1786*0.02,0)</f>
        <v>26.1385</v>
      </c>
      <c r="O1786" s="82" t="n">
        <f aca="false">IF(L1786&lt;&gt;"",L1786+N1786,"")</f>
        <v>1333.0635</v>
      </c>
      <c r="P1786" s="47" t="n">
        <f aca="false">IF(O1786&lt;&gt;"",O1786*0.1,"")</f>
        <v>133.30635</v>
      </c>
      <c r="Q1786" s="83" t="n">
        <f aca="false">IF(O1786&lt;&gt;"",O1786+P1786,"")</f>
        <v>1466.36985</v>
      </c>
      <c r="R1786" s="154" t="s">
        <v>365</v>
      </c>
    </row>
    <row r="1787" customFormat="false" ht="15" hidden="false" customHeight="true" outlineLevel="0" collapsed="false">
      <c r="A1787" s="103" t="n">
        <v>56377</v>
      </c>
      <c r="B1787" s="85" t="n">
        <v>46265</v>
      </c>
      <c r="C1787" s="86" t="s">
        <v>778</v>
      </c>
      <c r="D1787" s="87" t="n">
        <v>50001</v>
      </c>
      <c r="E1787" s="46" t="str">
        <f aca="false">IF(D1787&lt;&gt;"",IFERROR(VLOOKUP(D1787,PROVEEDORES!$A:$B,2,0),"!COD NO ENCONTRADO"),"")</f>
        <v>COPESA</v>
      </c>
      <c r="F1787" s="88" t="str">
        <f aca="false">IF(D1787&lt;&gt;"",IFERROR(VLOOKUP(D1787,PROVEEDORES!$A:$C,3,0),""),"")</f>
        <v>S</v>
      </c>
      <c r="G1787" s="87" t="s">
        <v>292</v>
      </c>
      <c r="H1787" s="52" t="str">
        <f aca="false">IF(G1787&lt;&gt;"",IFERROR(VLOOKUP(G1787,PRODUCTOS!$A:$B,2,0),"!COD NO ENCONTRADO"),"")</f>
        <v>RAPE BLANCO RASCO (MON)</v>
      </c>
      <c r="I1787" s="77" t="n">
        <v>3</v>
      </c>
      <c r="J1787" s="78" t="n">
        <v>178.5</v>
      </c>
      <c r="K1787" s="79" t="n">
        <v>6.25</v>
      </c>
      <c r="L1787" s="80" t="n">
        <f aca="false">IF(AND(J1787&lt;&gt;"",K1787&lt;&gt;""),J1787*K1787,"")</f>
        <v>1115.625</v>
      </c>
      <c r="M1787" s="81" t="n">
        <f aca="false">IF(L1787&lt;&gt;"",L1787*1.1,"")</f>
        <v>1227.1875</v>
      </c>
      <c r="N1787" s="53" t="n">
        <f aca="false">IF(F1787="S",L1787*0.02,0)</f>
        <v>22.3125</v>
      </c>
      <c r="O1787" s="82" t="n">
        <f aca="false">IF(L1787&lt;&gt;"",L1787+N1787,"")</f>
        <v>1137.9375</v>
      </c>
      <c r="P1787" s="53" t="n">
        <f aca="false">IF(O1787&lt;&gt;"",O1787*0.1,"")</f>
        <v>113.79375</v>
      </c>
      <c r="Q1787" s="83" t="n">
        <f aca="false">IF(O1787&lt;&gt;"",O1787+P1787,"")</f>
        <v>1251.73125</v>
      </c>
      <c r="R1787" s="154" t="s">
        <v>365</v>
      </c>
    </row>
    <row r="1788" customFormat="false" ht="15" hidden="false" customHeight="true" outlineLevel="0" collapsed="false">
      <c r="A1788" s="103" t="n">
        <v>56377</v>
      </c>
      <c r="B1788" s="85" t="n">
        <v>46265</v>
      </c>
      <c r="C1788" s="86" t="s">
        <v>778</v>
      </c>
      <c r="D1788" s="87" t="n">
        <v>50001</v>
      </c>
      <c r="E1788" s="46" t="str">
        <f aca="false">IF(D1788&lt;&gt;"",IFERROR(VLOOKUP(D1788,PROVEEDORES!$A:$B,2,0),"!COD NO ENCONTRADO"),"")</f>
        <v>COPESA</v>
      </c>
      <c r="F1788" s="88" t="str">
        <f aca="false">IF(D1788&lt;&gt;"",IFERROR(VLOOKUP(D1788,PROVEEDORES!$A:$C,3,0),""),"")</f>
        <v>S</v>
      </c>
      <c r="G1788" s="87" t="s">
        <v>292</v>
      </c>
      <c r="H1788" s="46" t="str">
        <f aca="false">IF(G1788&lt;&gt;"",IFERROR(VLOOKUP(G1788,PRODUCTOS!$A:$B,2,0),"!COD NO ENCONTRADO"),"")</f>
        <v>RAPE BLANCO RASCO (MON)</v>
      </c>
      <c r="I1788" s="89" t="n">
        <v>1</v>
      </c>
      <c r="J1788" s="90" t="n">
        <v>60.25</v>
      </c>
      <c r="K1788" s="91" t="n">
        <v>6.5</v>
      </c>
      <c r="L1788" s="80" t="n">
        <f aca="false">IF(AND(J1788&lt;&gt;"",K1788&lt;&gt;""),J1788*K1788,"")</f>
        <v>391.625</v>
      </c>
      <c r="M1788" s="81" t="n">
        <f aca="false">IF(L1788&lt;&gt;"",L1788*1.1,"")</f>
        <v>430.7875</v>
      </c>
      <c r="N1788" s="47" t="n">
        <f aca="false">IF(F1788="S",L1788*0.02,0)</f>
        <v>7.8325</v>
      </c>
      <c r="O1788" s="82" t="n">
        <f aca="false">IF(L1788&lt;&gt;"",L1788+N1788,"")</f>
        <v>399.4575</v>
      </c>
      <c r="P1788" s="47" t="n">
        <f aca="false">IF(O1788&lt;&gt;"",O1788*0.1,"")</f>
        <v>39.94575</v>
      </c>
      <c r="Q1788" s="83" t="n">
        <f aca="false">IF(O1788&lt;&gt;"",O1788+P1788,"")</f>
        <v>439.40325</v>
      </c>
      <c r="R1788" s="154" t="s">
        <v>365</v>
      </c>
    </row>
    <row r="1789" customFormat="false" ht="15" hidden="false" customHeight="true" outlineLevel="0" collapsed="false">
      <c r="A1789" s="103" t="n">
        <v>56377</v>
      </c>
      <c r="B1789" s="85" t="n">
        <v>46265</v>
      </c>
      <c r="C1789" s="86" t="s">
        <v>778</v>
      </c>
      <c r="D1789" s="87" t="n">
        <v>50001</v>
      </c>
      <c r="E1789" s="46" t="str">
        <f aca="false">IF(D1789&lt;&gt;"",IFERROR(VLOOKUP(D1789,PROVEEDORES!$A:$B,2,0),"!COD NO ENCONTRADO"),"")</f>
        <v>COPESA</v>
      </c>
      <c r="F1789" s="88" t="str">
        <f aca="false">IF(D1789&lt;&gt;"",IFERROR(VLOOKUP(D1789,PROVEEDORES!$A:$C,3,0),""),"")</f>
        <v>S</v>
      </c>
      <c r="G1789" s="87" t="s">
        <v>292</v>
      </c>
      <c r="H1789" s="52" t="str">
        <f aca="false">IF(G1789&lt;&gt;"",IFERROR(VLOOKUP(G1789,PRODUCTOS!$A:$B,2,0),"!COD NO ENCONTRADO"),"")</f>
        <v>RAPE BLANCO RASCO (MON)</v>
      </c>
      <c r="I1789" s="77" t="n">
        <v>4</v>
      </c>
      <c r="J1789" s="78" t="n">
        <v>226</v>
      </c>
      <c r="K1789" s="79" t="n">
        <v>6.5</v>
      </c>
      <c r="L1789" s="80" t="n">
        <f aca="false">IF(AND(J1789&lt;&gt;"",K1789&lt;&gt;""),J1789*K1789,"")</f>
        <v>1469</v>
      </c>
      <c r="M1789" s="81" t="n">
        <f aca="false">IF(L1789&lt;&gt;"",L1789*1.1,"")</f>
        <v>1615.9</v>
      </c>
      <c r="N1789" s="53" t="n">
        <f aca="false">IF(F1789="S",L1789*0.02,0)</f>
        <v>29.38</v>
      </c>
      <c r="O1789" s="82" t="n">
        <f aca="false">IF(L1789&lt;&gt;"",L1789+N1789,"")</f>
        <v>1498.38</v>
      </c>
      <c r="P1789" s="53" t="n">
        <f aca="false">IF(O1789&lt;&gt;"",O1789*0.1,"")</f>
        <v>149.838</v>
      </c>
      <c r="Q1789" s="83" t="n">
        <f aca="false">IF(O1789&lt;&gt;"",O1789+P1789,"")</f>
        <v>1648.218</v>
      </c>
      <c r="R1789" s="154" t="s">
        <v>365</v>
      </c>
    </row>
    <row r="1790" customFormat="false" ht="15" hidden="false" customHeight="true" outlineLevel="0" collapsed="false">
      <c r="A1790" s="103" t="n">
        <v>56377</v>
      </c>
      <c r="B1790" s="85" t="n">
        <v>46265</v>
      </c>
      <c r="C1790" s="86" t="s">
        <v>778</v>
      </c>
      <c r="D1790" s="87" t="n">
        <v>50001</v>
      </c>
      <c r="E1790" s="46" t="str">
        <f aca="false">IF(D1790&lt;&gt;"",IFERROR(VLOOKUP(D1790,PROVEEDORES!$A:$B,2,0),"!COD NO ENCONTRADO"),"")</f>
        <v>COPESA</v>
      </c>
      <c r="F1790" s="88" t="str">
        <f aca="false">IF(D1790&lt;&gt;"",IFERROR(VLOOKUP(D1790,PROVEEDORES!$A:$C,3,0),""),"")</f>
        <v>S</v>
      </c>
      <c r="G1790" s="87" t="s">
        <v>292</v>
      </c>
      <c r="H1790" s="46" t="str">
        <f aca="false">IF(G1790&lt;&gt;"",IFERROR(VLOOKUP(G1790,PRODUCTOS!$A:$B,2,0),"!COD NO ENCONTRADO"),"")</f>
        <v>RAPE BLANCO RASCO (MON)</v>
      </c>
      <c r="I1790" s="89" t="n">
        <v>2</v>
      </c>
      <c r="J1790" s="105" t="n">
        <v>113.5</v>
      </c>
      <c r="K1790" s="125" t="n">
        <v>6.5</v>
      </c>
      <c r="L1790" s="80" t="n">
        <f aca="false">IF(AND(J1790&lt;&gt;"",K1790&lt;&gt;""),J1790*K1790,"")</f>
        <v>737.75</v>
      </c>
      <c r="M1790" s="81" t="n">
        <f aca="false">IF(L1790&lt;&gt;"",L1790*1.1,"")</f>
        <v>811.525</v>
      </c>
      <c r="N1790" s="47" t="n">
        <f aca="false">IF(F1790="S",L1790*0.02,0)</f>
        <v>14.755</v>
      </c>
      <c r="O1790" s="82" t="n">
        <f aca="false">IF(L1790&lt;&gt;"",L1790+N1790,"")</f>
        <v>752.505</v>
      </c>
      <c r="P1790" s="47" t="n">
        <f aca="false">IF(O1790&lt;&gt;"",O1790*0.1,"")</f>
        <v>75.2505</v>
      </c>
      <c r="Q1790" s="83" t="n">
        <f aca="false">IF(O1790&lt;&gt;"",O1790+P1790,"")</f>
        <v>827.7555</v>
      </c>
      <c r="R1790" s="154" t="s">
        <v>365</v>
      </c>
    </row>
    <row r="1791" customFormat="false" ht="15" hidden="false" customHeight="true" outlineLevel="0" collapsed="false">
      <c r="A1791" s="103" t="n">
        <v>56377</v>
      </c>
      <c r="B1791" s="85" t="n">
        <v>46265</v>
      </c>
      <c r="C1791" s="86" t="s">
        <v>778</v>
      </c>
      <c r="D1791" s="87" t="n">
        <v>50001</v>
      </c>
      <c r="E1791" s="46" t="str">
        <f aca="false">IF(D1791&lt;&gt;"",IFERROR(VLOOKUP(D1791,PROVEEDORES!$A:$B,2,0),"!COD NO ENCONTRADO"),"")</f>
        <v>COPESA</v>
      </c>
      <c r="F1791" s="88" t="str">
        <f aca="false">IF(D1791&lt;&gt;"",IFERROR(VLOOKUP(D1791,PROVEEDORES!$A:$C,3,0),""),"")</f>
        <v>S</v>
      </c>
      <c r="G1791" s="87" t="s">
        <v>292</v>
      </c>
      <c r="H1791" s="52" t="str">
        <f aca="false">IF(G1791&lt;&gt;"",IFERROR(VLOOKUP(G1791,PRODUCTOS!$A:$B,2,0),"!COD NO ENCONTRADO"),"")</f>
        <v>RAPE BLANCO RASCO (MON)</v>
      </c>
      <c r="I1791" s="77" t="n">
        <v>1</v>
      </c>
      <c r="J1791" s="105" t="n">
        <v>59.25</v>
      </c>
      <c r="K1791" s="125" t="n">
        <v>6.8</v>
      </c>
      <c r="L1791" s="80" t="n">
        <f aca="false">IF(AND(J1791&lt;&gt;"",K1791&lt;&gt;""),J1791*K1791,"")</f>
        <v>402.9</v>
      </c>
      <c r="M1791" s="81" t="n">
        <f aca="false">IF(L1791&lt;&gt;"",L1791*1.1,"")</f>
        <v>443.19</v>
      </c>
      <c r="N1791" s="53" t="n">
        <f aca="false">IF(F1791="S",L1791*0.02,0)</f>
        <v>8.058</v>
      </c>
      <c r="O1791" s="82" t="n">
        <f aca="false">IF(L1791&lt;&gt;"",L1791+N1791,"")</f>
        <v>410.958</v>
      </c>
      <c r="P1791" s="53" t="n">
        <f aca="false">IF(O1791&lt;&gt;"",O1791*0.1,"")</f>
        <v>41.0958</v>
      </c>
      <c r="Q1791" s="83" t="n">
        <f aca="false">IF(O1791&lt;&gt;"",O1791+P1791,"")</f>
        <v>452.0538</v>
      </c>
      <c r="R1791" s="154" t="s">
        <v>365</v>
      </c>
    </row>
    <row r="1792" customFormat="false" ht="15" hidden="false" customHeight="true" outlineLevel="0" collapsed="false">
      <c r="A1792" s="103" t="n">
        <v>56377</v>
      </c>
      <c r="B1792" s="85" t="n">
        <v>46265</v>
      </c>
      <c r="C1792" s="86" t="s">
        <v>778</v>
      </c>
      <c r="D1792" s="87" t="n">
        <v>50001</v>
      </c>
      <c r="E1792" s="46" t="str">
        <f aca="false">IF(D1792&lt;&gt;"",IFERROR(VLOOKUP(D1792,PROVEEDORES!$A:$B,2,0),"!COD NO ENCONTRADO"),"")</f>
        <v>COPESA</v>
      </c>
      <c r="F1792" s="88" t="str">
        <f aca="false">IF(D1792&lt;&gt;"",IFERROR(VLOOKUP(D1792,PROVEEDORES!$A:$C,3,0),""),"")</f>
        <v>S</v>
      </c>
      <c r="G1792" s="87" t="s">
        <v>292</v>
      </c>
      <c r="H1792" s="46" t="str">
        <f aca="false">IF(G1792&lt;&gt;"",IFERROR(VLOOKUP(G1792,PRODUCTOS!$A:$B,2,0),"!COD NO ENCONTRADO"),"")</f>
        <v>RAPE BLANCO RASCO (MON)</v>
      </c>
      <c r="I1792" s="89" t="n">
        <v>2</v>
      </c>
      <c r="J1792" s="105" t="n">
        <v>111</v>
      </c>
      <c r="K1792" s="125" t="n">
        <v>7.1</v>
      </c>
      <c r="L1792" s="80" t="n">
        <f aca="false">IF(AND(J1792&lt;&gt;"",K1792&lt;&gt;""),J1792*K1792,"")</f>
        <v>788.1</v>
      </c>
      <c r="M1792" s="81" t="n">
        <f aca="false">IF(L1792&lt;&gt;"",L1792*1.1,"")</f>
        <v>866.91</v>
      </c>
      <c r="N1792" s="47" t="n">
        <f aca="false">IF(F1792="S",L1792*0.02,0)</f>
        <v>15.762</v>
      </c>
      <c r="O1792" s="82" t="n">
        <f aca="false">IF(L1792&lt;&gt;"",L1792+N1792,"")</f>
        <v>803.862</v>
      </c>
      <c r="P1792" s="47" t="n">
        <f aca="false">IF(O1792&lt;&gt;"",O1792*0.1,"")</f>
        <v>80.3862</v>
      </c>
      <c r="Q1792" s="83" t="n">
        <f aca="false">IF(O1792&lt;&gt;"",O1792+P1792,"")</f>
        <v>884.2482</v>
      </c>
      <c r="R1792" s="154" t="s">
        <v>365</v>
      </c>
    </row>
    <row r="1793" customFormat="false" ht="15" hidden="false" customHeight="true" outlineLevel="0" collapsed="false">
      <c r="A1793" s="103" t="n">
        <v>56377</v>
      </c>
      <c r="B1793" s="85" t="n">
        <v>46265</v>
      </c>
      <c r="C1793" s="86" t="s">
        <v>778</v>
      </c>
      <c r="D1793" s="87" t="n">
        <v>50001</v>
      </c>
      <c r="E1793" s="46" t="str">
        <f aca="false">IF(D1793&lt;&gt;"",IFERROR(VLOOKUP(D1793,PROVEEDORES!$A:$B,2,0),"!COD NO ENCONTRADO"),"")</f>
        <v>COPESA</v>
      </c>
      <c r="F1793" s="88" t="str">
        <f aca="false">IF(D1793&lt;&gt;"",IFERROR(VLOOKUP(D1793,PROVEEDORES!$A:$C,3,0),""),"")</f>
        <v>S</v>
      </c>
      <c r="G1793" s="87" t="s">
        <v>292</v>
      </c>
      <c r="H1793" s="52" t="str">
        <f aca="false">IF(G1793&lt;&gt;"",IFERROR(VLOOKUP(G1793,PRODUCTOS!$A:$B,2,0),"!COD NO ENCONTRADO"),"")</f>
        <v>RAPE BLANCO RASCO (MON)</v>
      </c>
      <c r="I1793" s="77" t="n">
        <v>3</v>
      </c>
      <c r="J1793" s="105" t="n">
        <v>171</v>
      </c>
      <c r="K1793" s="125" t="n">
        <v>7.4</v>
      </c>
      <c r="L1793" s="80" t="n">
        <f aca="false">IF(AND(J1793&lt;&gt;"",K1793&lt;&gt;""),J1793*K1793,"")</f>
        <v>1265.4</v>
      </c>
      <c r="M1793" s="81" t="n">
        <f aca="false">IF(L1793&lt;&gt;"",L1793*1.1,"")</f>
        <v>1391.94</v>
      </c>
      <c r="N1793" s="53" t="n">
        <f aca="false">IF(F1793="S",L1793*0.02,0)</f>
        <v>25.308</v>
      </c>
      <c r="O1793" s="82" t="n">
        <f aca="false">IF(L1793&lt;&gt;"",L1793+N1793,"")</f>
        <v>1290.708</v>
      </c>
      <c r="P1793" s="53" t="n">
        <f aca="false">IF(O1793&lt;&gt;"",O1793*0.1,"")</f>
        <v>129.0708</v>
      </c>
      <c r="Q1793" s="83" t="n">
        <f aca="false">IF(O1793&lt;&gt;"",O1793+P1793,"")</f>
        <v>1419.7788</v>
      </c>
      <c r="R1793" s="154" t="s">
        <v>365</v>
      </c>
    </row>
    <row r="1794" customFormat="false" ht="15" hidden="false" customHeight="true" outlineLevel="0" collapsed="false">
      <c r="A1794" s="103" t="n">
        <v>56377</v>
      </c>
      <c r="B1794" s="85" t="n">
        <v>46265</v>
      </c>
      <c r="C1794" s="86" t="s">
        <v>778</v>
      </c>
      <c r="D1794" s="87" t="n">
        <v>50001</v>
      </c>
      <c r="E1794" s="46" t="str">
        <f aca="false">IF(D1794&lt;&gt;"",IFERROR(VLOOKUP(D1794,PROVEEDORES!$A:$B,2,0),"!COD NO ENCONTRADO"),"")</f>
        <v>COPESA</v>
      </c>
      <c r="F1794" s="88" t="str">
        <f aca="false">IF(D1794&lt;&gt;"",IFERROR(VLOOKUP(D1794,PROVEEDORES!$A:$C,3,0),""),"")</f>
        <v>S</v>
      </c>
      <c r="G1794" s="87" t="s">
        <v>103</v>
      </c>
      <c r="H1794" s="46" t="str">
        <f aca="false">IF(G1794&lt;&gt;"",IFERROR(VLOOKUP(G1794,PRODUCTOS!$A:$B,2,0),"!COD NO ENCONTRADO"),"")</f>
        <v>CABRAS/ GALLINETA (BRF)</v>
      </c>
      <c r="I1794" s="89" t="n">
        <v>5</v>
      </c>
      <c r="J1794" s="105" t="n">
        <v>64.75</v>
      </c>
      <c r="K1794" s="125" t="n">
        <v>2.7</v>
      </c>
      <c r="L1794" s="80" t="n">
        <f aca="false">IF(AND(J1794&lt;&gt;"",K1794&lt;&gt;""),J1794*K1794,"")</f>
        <v>174.825</v>
      </c>
      <c r="M1794" s="81" t="n">
        <f aca="false">IF(L1794&lt;&gt;"",L1794*1.1,"")</f>
        <v>192.3075</v>
      </c>
      <c r="N1794" s="47" t="n">
        <f aca="false">IF(F1794="S",L1794*0.02,0)</f>
        <v>3.4965</v>
      </c>
      <c r="O1794" s="82" t="n">
        <f aca="false">IF(L1794&lt;&gt;"",L1794+N1794,"")</f>
        <v>178.3215</v>
      </c>
      <c r="P1794" s="47" t="n">
        <f aca="false">IF(O1794&lt;&gt;"",O1794*0.1,"")</f>
        <v>17.83215</v>
      </c>
      <c r="Q1794" s="83" t="n">
        <f aca="false">IF(O1794&lt;&gt;"",O1794+P1794,"")</f>
        <v>196.15365</v>
      </c>
      <c r="R1794" s="154" t="s">
        <v>365</v>
      </c>
    </row>
    <row r="1795" customFormat="false" ht="15" hidden="false" customHeight="true" outlineLevel="0" collapsed="false">
      <c r="A1795" s="103" t="n">
        <v>56378</v>
      </c>
      <c r="B1795" s="85" t="n">
        <v>46265</v>
      </c>
      <c r="C1795" s="74" t="s">
        <v>779</v>
      </c>
      <c r="D1795" s="75" t="n">
        <v>50164</v>
      </c>
      <c r="E1795" s="52" t="str">
        <f aca="false">IF(D1795&lt;&gt;"",IFERROR(VLOOKUP(D1795,PROVEEDORES!$A:$B,2,0),"!COD NO ENCONTRADO"),"")</f>
        <v>ABRGO NORTE S.L.</v>
      </c>
      <c r="F1795" s="76" t="str">
        <f aca="false">IF(D1795&lt;&gt;"",IFERROR(VLOOKUP(D1795,PROVEEDORES!$A:$C,3,0),""),"")</f>
        <v>N</v>
      </c>
      <c r="G1795" s="75" t="s">
        <v>302</v>
      </c>
      <c r="H1795" s="52" t="str">
        <f aca="false">IF(G1795&lt;&gt;"",IFERROR(VLOOKUP(G1795,PRODUCTOS!$A:$B,2,0),"!COD NO ENCONTRADO"),"")</f>
        <v>RAYA COMUN (ALAS)</v>
      </c>
      <c r="I1795" s="77" t="n">
        <v>5</v>
      </c>
      <c r="J1795" s="78" t="n">
        <v>25</v>
      </c>
      <c r="K1795" s="79" t="n">
        <v>8.5</v>
      </c>
      <c r="L1795" s="80" t="n">
        <f aca="false">IF(AND(J1795&lt;&gt;"",K1795&lt;&gt;""),J1795*K1795,"")</f>
        <v>212.5</v>
      </c>
      <c r="M1795" s="81" t="n">
        <f aca="false">IF(L1795&lt;&gt;"",L1795*1.1,"")</f>
        <v>233.75</v>
      </c>
      <c r="N1795" s="53" t="n">
        <f aca="false">IF(F1795="S",L1795*0.02,0)</f>
        <v>0</v>
      </c>
      <c r="O1795" s="82" t="n">
        <f aca="false">IF(L1795&lt;&gt;"",L1795+N1795,"")</f>
        <v>212.5</v>
      </c>
      <c r="P1795" s="53" t="n">
        <f aca="false">IF(O1795&lt;&gt;"",O1795*0.1,"")</f>
        <v>21.25</v>
      </c>
      <c r="Q1795" s="83" t="n">
        <f aca="false">IF(O1795&lt;&gt;"",O1795+P1795,"")</f>
        <v>233.75</v>
      </c>
      <c r="R1795" s="154" t="s">
        <v>365</v>
      </c>
    </row>
    <row r="1796" customFormat="false" ht="15" hidden="false" customHeight="true" outlineLevel="0" collapsed="false">
      <c r="A1796" s="103" t="n">
        <v>56378</v>
      </c>
      <c r="B1796" s="85" t="n">
        <v>46265</v>
      </c>
      <c r="C1796" s="74" t="s">
        <v>779</v>
      </c>
      <c r="D1796" s="75" t="n">
        <v>50164</v>
      </c>
      <c r="E1796" s="46" t="str">
        <f aca="false">IF(D1796&lt;&gt;"",IFERROR(VLOOKUP(D1796,PROVEEDORES!$A:$B,2,0),"!COD NO ENCONTRADO"),"")</f>
        <v>ABRGO NORTE S.L.</v>
      </c>
      <c r="F1796" s="88" t="str">
        <f aca="false">IF(D1796&lt;&gt;"",IFERROR(VLOOKUP(D1796,PROVEEDORES!$A:$C,3,0),""),"")</f>
        <v>N</v>
      </c>
      <c r="G1796" s="87" t="s">
        <v>302</v>
      </c>
      <c r="H1796" s="46" t="str">
        <f aca="false">IF(G1796&lt;&gt;"",IFERROR(VLOOKUP(G1796,PRODUCTOS!$A:$B,2,0),"!COD NO ENCONTRADO"),"")</f>
        <v>RAYA COMUN (ALAS)</v>
      </c>
      <c r="I1796" s="89" t="n">
        <v>2</v>
      </c>
      <c r="J1796" s="90" t="n">
        <v>6</v>
      </c>
      <c r="K1796" s="91" t="n">
        <v>8.5</v>
      </c>
      <c r="L1796" s="80" t="n">
        <f aca="false">IF(AND(J1796&lt;&gt;"",K1796&lt;&gt;""),J1796*K1796,"")</f>
        <v>51</v>
      </c>
      <c r="M1796" s="81" t="n">
        <f aca="false">IF(L1796&lt;&gt;"",L1796*1.1,"")</f>
        <v>56.1</v>
      </c>
      <c r="N1796" s="47" t="n">
        <f aca="false">IF(F1796="S",L1796*0.02,0)</f>
        <v>0</v>
      </c>
      <c r="O1796" s="82" t="n">
        <f aca="false">IF(L1796&lt;&gt;"",L1796+N1796,"")</f>
        <v>51</v>
      </c>
      <c r="P1796" s="47" t="n">
        <f aca="false">IF(O1796&lt;&gt;"",O1796*0.1,"")</f>
        <v>5.1</v>
      </c>
      <c r="Q1796" s="83" t="n">
        <f aca="false">IF(O1796&lt;&gt;"",O1796+P1796,"")</f>
        <v>56.1</v>
      </c>
      <c r="R1796" s="154" t="s">
        <v>365</v>
      </c>
    </row>
    <row r="1797" customFormat="false" ht="15" hidden="false" customHeight="true" outlineLevel="0" collapsed="false">
      <c r="A1797" s="103" t="n">
        <v>56378</v>
      </c>
      <c r="B1797" s="85" t="n">
        <v>46265</v>
      </c>
      <c r="C1797" s="74" t="s">
        <v>779</v>
      </c>
      <c r="D1797" s="75" t="n">
        <v>50164</v>
      </c>
      <c r="E1797" s="52" t="str">
        <f aca="false">IF(D1797&lt;&gt;"",IFERROR(VLOOKUP(D1797,PROVEEDORES!$A:$B,2,0),"!COD NO ENCONTRADO"),"")</f>
        <v>ABRGO NORTE S.L.</v>
      </c>
      <c r="F1797" s="76" t="str">
        <f aca="false">IF(D1797&lt;&gt;"",IFERROR(VLOOKUP(D1797,PROVEEDORES!$A:$C,3,0),""),"")</f>
        <v>N</v>
      </c>
      <c r="G1797" s="75" t="s">
        <v>302</v>
      </c>
      <c r="H1797" s="52" t="str">
        <f aca="false">IF(G1797&lt;&gt;"",IFERROR(VLOOKUP(G1797,PRODUCTOS!$A:$B,2,0),"!COD NO ENCONTRADO"),"")</f>
        <v>RAYA COMUN (ALAS)</v>
      </c>
      <c r="I1797" s="77" t="n">
        <v>1</v>
      </c>
      <c r="J1797" s="78" t="n">
        <v>3</v>
      </c>
      <c r="K1797" s="79" t="n">
        <v>8.5</v>
      </c>
      <c r="L1797" s="80" t="n">
        <f aca="false">IF(AND(J1797&lt;&gt;"",K1797&lt;&gt;""),J1797*K1797,"")</f>
        <v>25.5</v>
      </c>
      <c r="M1797" s="81" t="n">
        <f aca="false">IF(L1797&lt;&gt;"",L1797*1.1,"")</f>
        <v>28.05</v>
      </c>
      <c r="N1797" s="53" t="n">
        <f aca="false">IF(F1797="S",L1797*0.02,0)</f>
        <v>0</v>
      </c>
      <c r="O1797" s="82" t="n">
        <f aca="false">IF(L1797&lt;&gt;"",L1797+N1797,"")</f>
        <v>25.5</v>
      </c>
      <c r="P1797" s="53" t="n">
        <f aca="false">IF(O1797&lt;&gt;"",O1797*0.1,"")</f>
        <v>2.55</v>
      </c>
      <c r="Q1797" s="83" t="n">
        <f aca="false">IF(O1797&lt;&gt;"",O1797+P1797,"")</f>
        <v>28.05</v>
      </c>
      <c r="R1797" s="154" t="s">
        <v>358</v>
      </c>
    </row>
    <row r="1798" customFormat="false" ht="15" hidden="false" customHeight="true" outlineLevel="0" collapsed="false">
      <c r="A1798" s="103" t="n">
        <v>56379</v>
      </c>
      <c r="B1798" s="85" t="n">
        <v>46265</v>
      </c>
      <c r="C1798" s="86" t="s">
        <v>780</v>
      </c>
      <c r="D1798" s="87" t="n">
        <v>50048</v>
      </c>
      <c r="E1798" s="46" t="str">
        <f aca="false">IF(D1798&lt;&gt;"",IFERROR(VLOOKUP(D1798,PROVEEDORES!$A:$B,2,0),"!COD NO ENCONTRADO"),"")</f>
        <v>JOSE LUIS CORREA KESSLER S.L.</v>
      </c>
      <c r="F1798" s="88" t="str">
        <f aca="false">IF(D1798&lt;&gt;"",IFERROR(VLOOKUP(D1798,PROVEEDORES!$A:$C,3,0),""),"")</f>
        <v>N</v>
      </c>
      <c r="G1798" s="87" t="s">
        <v>179</v>
      </c>
      <c r="H1798" s="46" t="str">
        <f aca="false">IF(G1798&lt;&gt;"",IFERROR(VLOOKUP(G1798,PRODUCTOS!$A:$B,2,0),"!COD NO ENCONTRADO"),"")</f>
        <v>LIRIO/ BACALADILLA/ PERLA (WHB)</v>
      </c>
      <c r="I1798" s="89" t="n">
        <v>10</v>
      </c>
      <c r="J1798" s="90" t="n">
        <v>60</v>
      </c>
      <c r="K1798" s="125" t="n">
        <v>2.75</v>
      </c>
      <c r="L1798" s="80" t="n">
        <f aca="false">IF(AND(J1798&lt;&gt;"",K1798&lt;&gt;""),J1798*K1798,"")</f>
        <v>165</v>
      </c>
      <c r="M1798" s="81" t="n">
        <f aca="false">IF(L1798&lt;&gt;"",L1798*1.1,"")</f>
        <v>181.5</v>
      </c>
      <c r="N1798" s="47" t="n">
        <f aca="false">IF(F1798="S",L1798*0.02,0)</f>
        <v>0</v>
      </c>
      <c r="O1798" s="82" t="n">
        <f aca="false">IF(L1798&lt;&gt;"",L1798+N1798,"")</f>
        <v>165</v>
      </c>
      <c r="P1798" s="47" t="n">
        <f aca="false">IF(O1798&lt;&gt;"",O1798*0.1,"")</f>
        <v>16.5</v>
      </c>
      <c r="Q1798" s="83" t="n">
        <f aca="false">IF(O1798&lt;&gt;"",O1798+P1798,"")</f>
        <v>181.5</v>
      </c>
      <c r="R1798" s="154" t="s">
        <v>358</v>
      </c>
    </row>
    <row r="1799" customFormat="false" ht="15" hidden="false" customHeight="true" outlineLevel="0" collapsed="false">
      <c r="A1799" s="103" t="n">
        <v>56379</v>
      </c>
      <c r="B1799" s="73" t="n">
        <v>46265</v>
      </c>
      <c r="C1799" s="74" t="s">
        <v>781</v>
      </c>
      <c r="D1799" s="75" t="n">
        <v>50048</v>
      </c>
      <c r="E1799" s="52" t="str">
        <f aca="false">IF(D1799&lt;&gt;"",IFERROR(VLOOKUP(D1799,PROVEEDORES!$A:$B,2,0),"!COD NO ENCONTRADO"),"")</f>
        <v>JOSE LUIS CORREA KESSLER S.L.</v>
      </c>
      <c r="F1799" s="76" t="str">
        <f aca="false">IF(D1799&lt;&gt;"",IFERROR(VLOOKUP(D1799,PROVEEDORES!$A:$C,3,0),""),"")</f>
        <v>N</v>
      </c>
      <c r="G1799" s="75" t="s">
        <v>179</v>
      </c>
      <c r="H1799" s="52" t="str">
        <f aca="false">IF(G1799&lt;&gt;"",IFERROR(VLOOKUP(G1799,PRODUCTOS!$A:$B,2,0),"!COD NO ENCONTRADO"),"")</f>
        <v>LIRIO/ BACALADILLA/ PERLA (WHB)</v>
      </c>
      <c r="I1799" s="77" t="n">
        <v>4</v>
      </c>
      <c r="J1799" s="78" t="n">
        <v>24</v>
      </c>
      <c r="K1799" s="125" t="n">
        <v>2.2</v>
      </c>
      <c r="L1799" s="80" t="n">
        <f aca="false">IF(AND(J1799&lt;&gt;"",K1799&lt;&gt;""),J1799*K1799,"")</f>
        <v>52.8</v>
      </c>
      <c r="M1799" s="81" t="n">
        <f aca="false">IF(L1799&lt;&gt;"",L1799*1.1,"")</f>
        <v>58.08</v>
      </c>
      <c r="N1799" s="53" t="n">
        <f aca="false">IF(F1799="S",L1799*0.02,0)</f>
        <v>0</v>
      </c>
      <c r="O1799" s="82" t="n">
        <f aca="false">IF(L1799&lt;&gt;"",L1799+N1799,"")</f>
        <v>52.8</v>
      </c>
      <c r="P1799" s="53" t="n">
        <f aca="false">IF(O1799&lt;&gt;"",O1799*0.1,"")</f>
        <v>5.28</v>
      </c>
      <c r="Q1799" s="83" t="n">
        <f aca="false">IF(O1799&lt;&gt;"",O1799+P1799,"")</f>
        <v>58.08</v>
      </c>
      <c r="R1799" s="154" t="s">
        <v>365</v>
      </c>
    </row>
    <row r="1800" customFormat="false" ht="15" hidden="false" customHeight="true" outlineLevel="0" collapsed="false">
      <c r="A1800" s="103" t="n">
        <v>56380</v>
      </c>
      <c r="B1800" s="85" t="n">
        <v>46265</v>
      </c>
      <c r="C1800" s="86" t="s">
        <v>782</v>
      </c>
      <c r="D1800" s="87" t="n">
        <v>50035</v>
      </c>
      <c r="E1800" s="46" t="str">
        <f aca="false">IF(D1800&lt;&gt;"",IFERROR(VLOOKUP(D1800,PROVEEDORES!$A:$B,2,0),"!COD NO ENCONTRADO"),"")</f>
        <v>SCANFISK SEAFFOD S,L</v>
      </c>
      <c r="F1800" s="88" t="str">
        <f aca="false">IF(D1800&lt;&gt;"",IFERROR(VLOOKUP(D1800,PROVEEDORES!$A:$C,3,0),""),"")</f>
        <v>N</v>
      </c>
      <c r="G1800" s="87" t="s">
        <v>211</v>
      </c>
      <c r="H1800" s="46" t="str">
        <f aca="false">IF(G1800&lt;&gt;"",IFERROR(VLOOKUP(G1800,PRODUCTOS!$A:$B,2,0),"!COD NO ENCONTRADO"),"")</f>
        <v>MERLUZA EUROPEA PINCHO</v>
      </c>
      <c r="I1800" s="89" t="n">
        <v>5</v>
      </c>
      <c r="J1800" s="90" t="n">
        <v>86.5</v>
      </c>
      <c r="K1800" s="125" t="n">
        <v>7.65</v>
      </c>
      <c r="L1800" s="80" t="n">
        <f aca="false">IF(AND(J1800&lt;&gt;"",K1800&lt;&gt;""),J1800*K1800,"")</f>
        <v>661.725</v>
      </c>
      <c r="M1800" s="81" t="n">
        <f aca="false">IF(L1800&lt;&gt;"",L1800*1.1,"")</f>
        <v>727.8975</v>
      </c>
      <c r="N1800" s="47" t="n">
        <f aca="false">IF(F1800="S",L1800*0.02,0)</f>
        <v>0</v>
      </c>
      <c r="O1800" s="82" t="n">
        <f aca="false">IF(L1800&lt;&gt;"",L1800+N1800,"")</f>
        <v>661.725</v>
      </c>
      <c r="P1800" s="47" t="n">
        <f aca="false">IF(O1800&lt;&gt;"",O1800*0.1,"")</f>
        <v>66.1725</v>
      </c>
      <c r="Q1800" s="83" t="n">
        <f aca="false">IF(O1800&lt;&gt;"",O1800+P1800,"")</f>
        <v>727.8975</v>
      </c>
      <c r="R1800" s="154" t="s">
        <v>365</v>
      </c>
    </row>
    <row r="1801" customFormat="false" ht="15" hidden="false" customHeight="true" outlineLevel="0" collapsed="false">
      <c r="A1801" s="103" t="n">
        <v>56380</v>
      </c>
      <c r="B1801" s="85" t="n">
        <v>46265</v>
      </c>
      <c r="C1801" s="86" t="s">
        <v>783</v>
      </c>
      <c r="D1801" s="87" t="n">
        <v>50035</v>
      </c>
      <c r="E1801" s="46" t="str">
        <f aca="false">IF(D1801&lt;&gt;"",IFERROR(VLOOKUP(D1801,PROVEEDORES!$A:$B,2,0),"!COD NO ENCONTRADO"),"")</f>
        <v>SCANFISK SEAFFOD S,L</v>
      </c>
      <c r="F1801" s="88" t="str">
        <f aca="false">IF(D1801&lt;&gt;"",IFERROR(VLOOKUP(D1801,PROVEEDORES!$A:$C,3,0),""),"")</f>
        <v>N</v>
      </c>
      <c r="G1801" s="87" t="s">
        <v>246</v>
      </c>
      <c r="H1801" s="46" t="str">
        <f aca="false">IF(G1801&lt;&gt;"",IFERROR(VLOOKUP(G1801,PRODUCTOS!$A:$B,2,0),"!COD NO ENCONTRADO"),"")</f>
        <v>MERLUZA EUROPEA VOLANTA ALTURA</v>
      </c>
      <c r="I1801" s="89" t="n">
        <v>3</v>
      </c>
      <c r="J1801" s="90" t="n">
        <v>40</v>
      </c>
      <c r="K1801" s="91" t="n">
        <v>9.8</v>
      </c>
      <c r="L1801" s="80" t="n">
        <f aca="false">IF(AND(J1801&lt;&gt;"",K1801&lt;&gt;""),J1801*K1801,"")</f>
        <v>392</v>
      </c>
      <c r="M1801" s="81" t="n">
        <f aca="false">IF(L1801&lt;&gt;"",L1801*1.1,"")</f>
        <v>431.2</v>
      </c>
      <c r="N1801" s="47" t="n">
        <f aca="false">IF(F1801="S",L1801*0.02,0)</f>
        <v>0</v>
      </c>
      <c r="O1801" s="82" t="n">
        <f aca="false">IF(L1801&lt;&gt;"",L1801+N1801,"")</f>
        <v>392</v>
      </c>
      <c r="P1801" s="47" t="n">
        <f aca="false">IF(O1801&lt;&gt;"",O1801*0.1,"")</f>
        <v>39.2</v>
      </c>
      <c r="Q1801" s="83" t="n">
        <f aca="false">IF(O1801&lt;&gt;"",O1801+P1801,"")</f>
        <v>431.2</v>
      </c>
      <c r="R1801" s="154" t="s">
        <v>365</v>
      </c>
    </row>
    <row r="1802" customFormat="false" ht="15" hidden="false" customHeight="true" outlineLevel="0" collapsed="false">
      <c r="A1802" s="103" t="n">
        <v>56381</v>
      </c>
      <c r="B1802" s="73" t="n">
        <v>46265</v>
      </c>
      <c r="C1802" s="74"/>
      <c r="D1802" s="75" t="n">
        <v>50510</v>
      </c>
      <c r="E1802" s="52" t="str">
        <f aca="false">IF(D1802&lt;&gt;"",IFERROR(VLOOKUP(D1802,PROVEEDORES!$A:$B,2,0),"!COD NO ENCONTRADO"),"")</f>
        <v>PETACA CHICO S.L.</v>
      </c>
      <c r="F1802" s="76" t="str">
        <f aca="false">IF(D1802&lt;&gt;"",IFERROR(VLOOKUP(D1802,PROVEEDORES!$A:$C,3,0),""),"")</f>
        <v>N</v>
      </c>
      <c r="G1802" s="75" t="s">
        <v>107</v>
      </c>
      <c r="H1802" s="52" t="str">
        <f aca="false">IF(G1802&lt;&gt;"",IFERROR(VLOOKUP(G1802,PRODUCTOS!$A:$B,2,0),"!COD NO ENCONTRADO"),"")</f>
        <v>CALAAMR COMUN (SQR)</v>
      </c>
      <c r="I1802" s="77" t="n">
        <v>1</v>
      </c>
      <c r="J1802" s="78" t="n">
        <v>12</v>
      </c>
      <c r="K1802" s="149" t="n">
        <v>15.9</v>
      </c>
      <c r="L1802" s="80" t="n">
        <f aca="false">IF(AND(J1802&lt;&gt;"",K1802&lt;&gt;""),J1802*K1802,"")</f>
        <v>190.8</v>
      </c>
      <c r="M1802" s="81" t="n">
        <f aca="false">IF(L1802&lt;&gt;"",L1802*1.1,"")</f>
        <v>209.88</v>
      </c>
      <c r="N1802" s="53" t="n">
        <f aca="false">IF(F1802="S",L1802*0.02,0)</f>
        <v>0</v>
      </c>
      <c r="O1802" s="82" t="n">
        <f aca="false">IF(L1802&lt;&gt;"",L1802+N1802,"")</f>
        <v>190.8</v>
      </c>
      <c r="P1802" s="53" t="n">
        <f aca="false">IF(O1802&lt;&gt;"",O1802*0.1,"")</f>
        <v>19.08</v>
      </c>
      <c r="Q1802" s="83" t="n">
        <f aca="false">IF(O1802&lt;&gt;"",O1802+P1802,"")</f>
        <v>209.88</v>
      </c>
      <c r="R1802" s="154"/>
    </row>
    <row r="1803" customFormat="false" ht="15" hidden="false" customHeight="true" outlineLevel="0" collapsed="false">
      <c r="A1803" s="103" t="n">
        <v>56382</v>
      </c>
      <c r="B1803" s="85" t="n">
        <v>46265</v>
      </c>
      <c r="C1803" s="86" t="s">
        <v>784</v>
      </c>
      <c r="D1803" s="87" t="n">
        <v>50233</v>
      </c>
      <c r="E1803" s="46" t="str">
        <f aca="false">IF(D1803&lt;&gt;"",IFERROR(VLOOKUP(D1803,PROVEEDORES!$A:$B,2,0),"!COD NO ENCONTRADO"),"")</f>
        <v>ANGELPESCA S.L.</v>
      </c>
      <c r="F1803" s="88" t="str">
        <f aca="false">IF(D1803&lt;&gt;"",IFERROR(VLOOKUP(D1803,PROVEEDORES!$A:$C,3,0),""),"")</f>
        <v>N</v>
      </c>
      <c r="G1803" s="87" t="s">
        <v>276</v>
      </c>
      <c r="H1803" s="46" t="str">
        <f aca="false">IF(G1803&lt;&gt;"",IFERROR(VLOOKUP(G1803,PRODUCTOS!$A:$B,2,0),"!COD NO ENCONTRADO"),"")</f>
        <v>MERLUZA EUROPEA/ FINA DIA </v>
      </c>
      <c r="I1803" s="89" t="n">
        <v>3</v>
      </c>
      <c r="J1803" s="90" t="n">
        <v>18</v>
      </c>
      <c r="K1803" s="91" t="n">
        <v>3.6</v>
      </c>
      <c r="L1803" s="80" t="n">
        <f aca="false">IF(AND(J1803&lt;&gt;"",K1803&lt;&gt;""),J1803*K1803,"")</f>
        <v>64.8</v>
      </c>
      <c r="M1803" s="81" t="n">
        <f aca="false">IF(L1803&lt;&gt;"",L1803*1.1,"")</f>
        <v>71.28</v>
      </c>
      <c r="N1803" s="47" t="n">
        <f aca="false">IF(F1803="S",L1803*0.02,0)</f>
        <v>0</v>
      </c>
      <c r="O1803" s="82" t="n">
        <f aca="false">IF(L1803&lt;&gt;"",L1803+N1803,"")</f>
        <v>64.8</v>
      </c>
      <c r="P1803" s="47" t="n">
        <f aca="false">IF(O1803&lt;&gt;"",O1803*0.1,"")</f>
        <v>6.48</v>
      </c>
      <c r="Q1803" s="83" t="n">
        <f aca="false">IF(O1803&lt;&gt;"",O1803+P1803,"")</f>
        <v>71.28</v>
      </c>
      <c r="R1803" s="154"/>
    </row>
    <row r="1804" customFormat="false" ht="15" hidden="false" customHeight="true" outlineLevel="0" collapsed="false">
      <c r="A1804" s="103" t="n">
        <v>56383</v>
      </c>
      <c r="B1804" s="73" t="n">
        <v>46266</v>
      </c>
      <c r="C1804" s="74" t="s">
        <v>785</v>
      </c>
      <c r="D1804" s="75" t="n">
        <v>50232</v>
      </c>
      <c r="E1804" s="52" t="str">
        <f aca="false">IF(D1804&lt;&gt;"",IFERROR(VLOOKUP(D1804,PROVEEDORES!$A:$B,2,0),"!COD NO ENCONTRADO"),"")</f>
        <v>XESTION NOVA LONXA RIVEIRA S.L.</v>
      </c>
      <c r="F1804" s="76" t="str">
        <f aca="false">IF(D1804&lt;&gt;"",IFERROR(VLOOKUP(D1804,PROVEEDORES!$A:$C,3,0),""),"")</f>
        <v>S</v>
      </c>
      <c r="G1804" s="75" t="s">
        <v>179</v>
      </c>
      <c r="H1804" s="52" t="str">
        <f aca="false">IF(G1804&lt;&gt;"",IFERROR(VLOOKUP(G1804,PRODUCTOS!$A:$B,2,0),"!COD NO ENCONTRADO"),"")</f>
        <v>LIRIO/ BACALADILLA/ PERLA (WHB)</v>
      </c>
      <c r="I1804" s="77" t="n">
        <v>10</v>
      </c>
      <c r="J1804" s="105" t="n">
        <v>152.2</v>
      </c>
      <c r="K1804" s="125" t="n">
        <v>2.3</v>
      </c>
      <c r="L1804" s="80" t="n">
        <f aca="false">IF(AND(J1804&lt;&gt;"",K1804&lt;&gt;""),J1804*K1804,"")</f>
        <v>350.06</v>
      </c>
      <c r="M1804" s="81" t="n">
        <f aca="false">IF(L1804&lt;&gt;"",L1804*1.1,"")</f>
        <v>385.066</v>
      </c>
      <c r="N1804" s="53" t="n">
        <f aca="false">IF(F1804="S",L1804*0.02,0)</f>
        <v>7.0012</v>
      </c>
      <c r="O1804" s="82" t="n">
        <f aca="false">IF(L1804&lt;&gt;"",L1804+N1804,"")</f>
        <v>357.0612</v>
      </c>
      <c r="P1804" s="53" t="n">
        <f aca="false">IF(O1804&lt;&gt;"",O1804*0.1,"")</f>
        <v>35.70612</v>
      </c>
      <c r="Q1804" s="83" t="n">
        <f aca="false">IF(O1804&lt;&gt;"",O1804+P1804,"")</f>
        <v>392.76732</v>
      </c>
      <c r="R1804" s="84" t="s">
        <v>365</v>
      </c>
    </row>
    <row r="1805" customFormat="false" ht="15" hidden="false" customHeight="true" outlineLevel="0" collapsed="false">
      <c r="A1805" s="103" t="n">
        <v>56383</v>
      </c>
      <c r="B1805" s="73" t="n">
        <v>46266</v>
      </c>
      <c r="C1805" s="74" t="s">
        <v>785</v>
      </c>
      <c r="D1805" s="75" t="n">
        <v>50232</v>
      </c>
      <c r="E1805" s="52" t="str">
        <f aca="false">IF(D1805&lt;&gt;"",IFERROR(VLOOKUP(D1805,PROVEEDORES!$A:$B,2,0),"!COD NO ENCONTRADO"),"")</f>
        <v>XESTION NOVA LONXA RIVEIRA S.L.</v>
      </c>
      <c r="F1805" s="76" t="str">
        <f aca="false">IF(D1805&lt;&gt;"",IFERROR(VLOOKUP(D1805,PROVEEDORES!$A:$C,3,0),""),"")</f>
        <v>S</v>
      </c>
      <c r="G1805" s="75" t="s">
        <v>179</v>
      </c>
      <c r="H1805" s="46" t="str">
        <f aca="false">IF(G1805&lt;&gt;"",IFERROR(VLOOKUP(G1805,PRODUCTOS!$A:$B,2,0),"!COD NO ENCONTRADO"),"")</f>
        <v>LIRIO/ BACALADILLA/ PERLA (WHB)</v>
      </c>
      <c r="I1805" s="89" t="n">
        <v>5</v>
      </c>
      <c r="J1805" s="105" t="n">
        <v>75</v>
      </c>
      <c r="K1805" s="125" t="n">
        <v>2.4</v>
      </c>
      <c r="L1805" s="80" t="n">
        <f aca="false">IF(AND(J1805&lt;&gt;"",K1805&lt;&gt;""),J1805*K1805,"")</f>
        <v>180</v>
      </c>
      <c r="M1805" s="81" t="n">
        <f aca="false">IF(L1805&lt;&gt;"",L1805*1.1,"")</f>
        <v>198</v>
      </c>
      <c r="N1805" s="47" t="n">
        <f aca="false">IF(F1805="S",L1805*0.02,0)</f>
        <v>3.6</v>
      </c>
      <c r="O1805" s="82" t="n">
        <f aca="false">IF(L1805&lt;&gt;"",L1805+N1805,"")</f>
        <v>183.6</v>
      </c>
      <c r="P1805" s="47" t="n">
        <f aca="false">IF(O1805&lt;&gt;"",O1805*0.1,"")</f>
        <v>18.36</v>
      </c>
      <c r="Q1805" s="83" t="n">
        <f aca="false">IF(O1805&lt;&gt;"",O1805+P1805,"")</f>
        <v>201.96</v>
      </c>
      <c r="R1805" s="84" t="s">
        <v>365</v>
      </c>
    </row>
    <row r="1806" customFormat="false" ht="15" hidden="false" customHeight="true" outlineLevel="0" collapsed="false">
      <c r="A1806" s="103" t="n">
        <v>56384</v>
      </c>
      <c r="B1806" s="73" t="n">
        <v>46266</v>
      </c>
      <c r="C1806" s="74" t="s">
        <v>786</v>
      </c>
      <c r="D1806" s="75" t="n">
        <v>50160</v>
      </c>
      <c r="E1806" s="52" t="str">
        <f aca="false">IF(D1806&lt;&gt;"",IFERROR(VLOOKUP(D1806,PROVEEDORES!$A:$B,2,0),"!COD NO ENCONTRADO"),"")</f>
        <v>SUBASTAS CORUÑA S.L.</v>
      </c>
      <c r="F1806" s="76" t="str">
        <f aca="false">IF(D1806&lt;&gt;"",IFERROR(VLOOKUP(D1806,PROVEEDORES!$A:$C,3,0),""),"")</f>
        <v>S</v>
      </c>
      <c r="G1806" s="75" t="s">
        <v>179</v>
      </c>
      <c r="H1806" s="52" t="str">
        <f aca="false">IF(G1806&lt;&gt;"",IFERROR(VLOOKUP(G1806,PRODUCTOS!$A:$B,2,0),"!COD NO ENCONTRADO"),"")</f>
        <v>LIRIO/ BACALADILLA/ PERLA (WHB)</v>
      </c>
      <c r="I1806" s="77" t="n">
        <v>10</v>
      </c>
      <c r="J1806" s="105" t="n">
        <v>150</v>
      </c>
      <c r="K1806" s="125" t="n">
        <v>2.4</v>
      </c>
      <c r="L1806" s="80" t="n">
        <f aca="false">IF(AND(J1806&lt;&gt;"",K1806&lt;&gt;""),J1806*K1806,"")</f>
        <v>360</v>
      </c>
      <c r="M1806" s="81" t="n">
        <f aca="false">IF(L1806&lt;&gt;"",L1806*1.1,"")</f>
        <v>396</v>
      </c>
      <c r="N1806" s="53" t="n">
        <f aca="false">IF(F1806="S",L1806*0.02,0)</f>
        <v>7.2</v>
      </c>
      <c r="O1806" s="82" t="n">
        <f aca="false">IF(L1806&lt;&gt;"",L1806+N1806,"")</f>
        <v>367.2</v>
      </c>
      <c r="P1806" s="53" t="n">
        <f aca="false">IF(O1806&lt;&gt;"",O1806*0.1,"")</f>
        <v>36.72</v>
      </c>
      <c r="Q1806" s="83" t="n">
        <f aca="false">IF(O1806&lt;&gt;"",O1806+P1806,"")</f>
        <v>403.92</v>
      </c>
      <c r="R1806" s="84" t="s">
        <v>358</v>
      </c>
    </row>
    <row r="1807" customFormat="false" ht="15" hidden="false" customHeight="true" outlineLevel="0" collapsed="false">
      <c r="A1807" s="103" t="n">
        <v>56385</v>
      </c>
      <c r="B1807" s="73" t="n">
        <v>46266</v>
      </c>
      <c r="C1807" s="86" t="s">
        <v>787</v>
      </c>
      <c r="D1807" s="87" t="n">
        <v>50233</v>
      </c>
      <c r="E1807" s="46" t="str">
        <f aca="false">IF(D1807&lt;&gt;"",IFERROR(VLOOKUP(D1807,PROVEEDORES!$A:$B,2,0),"!COD NO ENCONTRADO"),"")</f>
        <v>ANGELPESCA S.L.</v>
      </c>
      <c r="F1807" s="88" t="str">
        <f aca="false">IF(D1807&lt;&gt;"",IFERROR(VLOOKUP(D1807,PROVEEDORES!$A:$C,3,0),""),"")</f>
        <v>N</v>
      </c>
      <c r="G1807" s="87" t="s">
        <v>179</v>
      </c>
      <c r="H1807" s="46" t="str">
        <f aca="false">IF(G1807&lt;&gt;"",IFERROR(VLOOKUP(G1807,PRODUCTOS!$A:$B,2,0),"!COD NO ENCONTRADO"),"")</f>
        <v>LIRIO/ BACALADILLA/ PERLA (WHB)</v>
      </c>
      <c r="I1807" s="155" t="n">
        <v>74</v>
      </c>
      <c r="J1807" s="148" t="n">
        <v>442</v>
      </c>
      <c r="K1807" s="149" t="n">
        <v>1.63</v>
      </c>
      <c r="L1807" s="80" t="n">
        <f aca="false">IF(AND(J1807&lt;&gt;"",K1807&lt;&gt;""),J1807*K1807,"")</f>
        <v>720.46</v>
      </c>
      <c r="M1807" s="81" t="n">
        <f aca="false">IF(L1807&lt;&gt;"",L1807*1.1,"")</f>
        <v>792.506</v>
      </c>
      <c r="N1807" s="47" t="n">
        <f aca="false">IF(F1807="S",L1807*0.02,0)</f>
        <v>0</v>
      </c>
      <c r="O1807" s="82" t="n">
        <f aca="false">IF(L1807&lt;&gt;"",L1807+N1807,"")</f>
        <v>720.46</v>
      </c>
      <c r="P1807" s="47" t="n">
        <f aca="false">IF(O1807&lt;&gt;"",O1807*0.1,"")</f>
        <v>72.046</v>
      </c>
      <c r="Q1807" s="83" t="n">
        <f aca="false">IF(O1807&lt;&gt;"",O1807+P1807,"")</f>
        <v>792.506</v>
      </c>
      <c r="R1807" s="84"/>
    </row>
    <row r="1808" customFormat="false" ht="15" hidden="false" customHeight="true" outlineLevel="0" collapsed="false">
      <c r="A1808" s="103" t="n">
        <v>56386</v>
      </c>
      <c r="B1808" s="73" t="n">
        <v>46266</v>
      </c>
      <c r="C1808" s="74" t="s">
        <v>788</v>
      </c>
      <c r="D1808" s="75" t="n">
        <v>50001</v>
      </c>
      <c r="E1808" s="52" t="str">
        <f aca="false">IF(D1808&lt;&gt;"",IFERROR(VLOOKUP(D1808,PROVEEDORES!$A:$B,2,0),"!COD NO ENCONTRADO"),"")</f>
        <v>COPESA</v>
      </c>
      <c r="F1808" s="76" t="str">
        <f aca="false">IF(D1808&lt;&gt;"",IFERROR(VLOOKUP(D1808,PROVEEDORES!$A:$C,3,0),""),"")</f>
        <v>S</v>
      </c>
      <c r="G1808" s="75" t="s">
        <v>276</v>
      </c>
      <c r="H1808" s="52" t="str">
        <f aca="false">IF(G1808&lt;&gt;"",IFERROR(VLOOKUP(G1808,PRODUCTOS!$A:$B,2,0),"!COD NO ENCONTRADO"),"")</f>
        <v>MERLUZA EUROPEA/ FINA DIA </v>
      </c>
      <c r="I1808" s="77" t="n">
        <v>2</v>
      </c>
      <c r="J1808" s="78" t="n">
        <v>13</v>
      </c>
      <c r="K1808" s="79" t="n">
        <v>3.5</v>
      </c>
      <c r="L1808" s="80" t="n">
        <f aca="false">IF(AND(J1808&lt;&gt;"",K1808&lt;&gt;""),J1808*K1808,"")</f>
        <v>45.5</v>
      </c>
      <c r="M1808" s="81" t="n">
        <f aca="false">IF(L1808&lt;&gt;"",L1808*1.1,"")</f>
        <v>50.05</v>
      </c>
      <c r="N1808" s="53" t="n">
        <f aca="false">IF(F1808="S",L1808*0.02,0)</f>
        <v>0.91</v>
      </c>
      <c r="O1808" s="82" t="n">
        <f aca="false">IF(L1808&lt;&gt;"",L1808+N1808,"")</f>
        <v>46.41</v>
      </c>
      <c r="P1808" s="53" t="n">
        <f aca="false">IF(O1808&lt;&gt;"",O1808*0.1,"")</f>
        <v>4.641</v>
      </c>
      <c r="Q1808" s="83" t="n">
        <f aca="false">IF(O1808&lt;&gt;"",O1808+P1808,"")</f>
        <v>51.051</v>
      </c>
      <c r="R1808" s="84" t="s">
        <v>358</v>
      </c>
    </row>
    <row r="1809" customFormat="false" ht="15" hidden="false" customHeight="true" outlineLevel="0" collapsed="false">
      <c r="A1809" s="103" t="n">
        <v>56387</v>
      </c>
      <c r="B1809" s="73" t="n">
        <v>46266</v>
      </c>
      <c r="C1809" s="74" t="s">
        <v>789</v>
      </c>
      <c r="D1809" s="87" t="n">
        <v>50106</v>
      </c>
      <c r="E1809" s="46" t="str">
        <f aca="false">IF(D1809&lt;&gt;"",IFERROR(VLOOKUP(D1809,PROVEEDORES!$A:$B,2,0),"!COD NO ENCONTRADO"),"")</f>
        <v>SONIA VENTAS S.L</v>
      </c>
      <c r="F1809" s="88" t="str">
        <f aca="false">IF(D1809&lt;&gt;"",IFERROR(VLOOKUP(D1809,PROVEEDORES!$A:$C,3,0),""),"")</f>
        <v>S</v>
      </c>
      <c r="G1809" s="87" t="s">
        <v>216</v>
      </c>
      <c r="H1809" s="46" t="str">
        <f aca="false">IF(G1809&lt;&gt;"",IFERROR(VLOOKUP(G1809,PRODUCTOS!$A:$B,2,0),"!COD NO ENCONTRADO"),"")</f>
        <v>MERLUZA EUROPEA PINCHO COSTA</v>
      </c>
      <c r="I1809" s="89" t="n">
        <v>1</v>
      </c>
      <c r="J1809" s="105" t="n">
        <v>13.75</v>
      </c>
      <c r="K1809" s="125" t="n">
        <v>5.4</v>
      </c>
      <c r="L1809" s="80" t="n">
        <f aca="false">IF(AND(J1809&lt;&gt;"",K1809&lt;&gt;""),J1809*K1809,"")</f>
        <v>74.25</v>
      </c>
      <c r="M1809" s="81" t="n">
        <f aca="false">IF(L1809&lt;&gt;"",L1809*1.1,"")</f>
        <v>81.675</v>
      </c>
      <c r="N1809" s="47" t="n">
        <f aca="false">IF(F1809="S",L1809*0.02,0)</f>
        <v>1.485</v>
      </c>
      <c r="O1809" s="82" t="n">
        <f aca="false">IF(L1809&lt;&gt;"",L1809+N1809,"")</f>
        <v>75.735</v>
      </c>
      <c r="P1809" s="47" t="n">
        <f aca="false">IF(O1809&lt;&gt;"",O1809*0.1,"")</f>
        <v>7.5735</v>
      </c>
      <c r="Q1809" s="83" t="n">
        <f aca="false">IF(O1809&lt;&gt;"",O1809+P1809,"")</f>
        <v>83.3085</v>
      </c>
      <c r="R1809" s="84" t="s">
        <v>365</v>
      </c>
    </row>
    <row r="1810" customFormat="false" ht="15" hidden="false" customHeight="true" outlineLevel="0" collapsed="false">
      <c r="A1810" s="103" t="n">
        <v>56387</v>
      </c>
      <c r="B1810" s="73" t="n">
        <v>46266</v>
      </c>
      <c r="C1810" s="74" t="s">
        <v>789</v>
      </c>
      <c r="D1810" s="75" t="n">
        <v>50106</v>
      </c>
      <c r="E1810" s="52" t="str">
        <f aca="false">IF(D1810&lt;&gt;"",IFERROR(VLOOKUP(D1810,PROVEEDORES!$A:$B,2,0),"!COD NO ENCONTRADO"),"")</f>
        <v>SONIA VENTAS S.L</v>
      </c>
      <c r="F1810" s="76" t="str">
        <f aca="false">IF(D1810&lt;&gt;"",IFERROR(VLOOKUP(D1810,PROVEEDORES!$A:$C,3,0),""),"")</f>
        <v>S</v>
      </c>
      <c r="G1810" s="75" t="s">
        <v>216</v>
      </c>
      <c r="H1810" s="52" t="str">
        <f aca="false">IF(G1810&lt;&gt;"",IFERROR(VLOOKUP(G1810,PRODUCTOS!$A:$B,2,0),"!COD NO ENCONTRADO"),"")</f>
        <v>MERLUZA EUROPEA PINCHO COSTA</v>
      </c>
      <c r="I1810" s="77" t="n">
        <v>2</v>
      </c>
      <c r="J1810" s="105" t="n">
        <v>27.75</v>
      </c>
      <c r="K1810" s="125" t="n">
        <v>6</v>
      </c>
      <c r="L1810" s="80" t="n">
        <f aca="false">IF(AND(J1810&lt;&gt;"",K1810&lt;&gt;""),J1810*K1810,"")</f>
        <v>166.5</v>
      </c>
      <c r="M1810" s="81" t="n">
        <f aca="false">IF(L1810&lt;&gt;"",L1810*1.1,"")</f>
        <v>183.15</v>
      </c>
      <c r="N1810" s="53" t="n">
        <f aca="false">IF(F1810="S",L1810*0.02,0)</f>
        <v>3.33</v>
      </c>
      <c r="O1810" s="82" t="n">
        <f aca="false">IF(L1810&lt;&gt;"",L1810+N1810,"")</f>
        <v>169.83</v>
      </c>
      <c r="P1810" s="53" t="n">
        <f aca="false">IF(O1810&lt;&gt;"",O1810*0.1,"")</f>
        <v>16.983</v>
      </c>
      <c r="Q1810" s="83" t="n">
        <f aca="false">IF(O1810&lt;&gt;"",O1810+P1810,"")</f>
        <v>186.813</v>
      </c>
      <c r="R1810" s="84" t="s">
        <v>365</v>
      </c>
    </row>
    <row r="1811" customFormat="false" ht="15" hidden="false" customHeight="true" outlineLevel="0" collapsed="false">
      <c r="A1811" s="103" t="n">
        <v>56387</v>
      </c>
      <c r="B1811" s="73" t="n">
        <v>46266</v>
      </c>
      <c r="C1811" s="86" t="s">
        <v>789</v>
      </c>
      <c r="D1811" s="87" t="n">
        <v>50106</v>
      </c>
      <c r="E1811" s="46" t="str">
        <f aca="false">IF(D1811&lt;&gt;"",IFERROR(VLOOKUP(D1811,PROVEEDORES!$A:$B,2,0),"!COD NO ENCONTRADO"),"")</f>
        <v>SONIA VENTAS S.L</v>
      </c>
      <c r="F1811" s="88" t="str">
        <f aca="false">IF(D1811&lt;&gt;"",IFERROR(VLOOKUP(D1811,PROVEEDORES!$A:$C,3,0),""),"")</f>
        <v>S</v>
      </c>
      <c r="G1811" s="87" t="s">
        <v>316</v>
      </c>
      <c r="H1811" s="46" t="str">
        <f aca="false">IF(G1811&lt;&gt;"",IFERROR(VLOOKUP(G1811,PRODUCTOS!$A:$B,2,0),"!COD NO ENCONTRADO"),"")</f>
        <v>SALMONETE ROCA (MUR)</v>
      </c>
      <c r="I1811" s="89" t="n">
        <v>1</v>
      </c>
      <c r="J1811" s="105" t="n">
        <v>4</v>
      </c>
      <c r="K1811" s="125" t="n">
        <v>16</v>
      </c>
      <c r="L1811" s="80" t="n">
        <f aca="false">IF(AND(J1811&lt;&gt;"",K1811&lt;&gt;""),J1811*K1811,"")</f>
        <v>64</v>
      </c>
      <c r="M1811" s="81" t="n">
        <f aca="false">IF(L1811&lt;&gt;"",L1811*1.1,"")</f>
        <v>70.4</v>
      </c>
      <c r="N1811" s="47" t="n">
        <f aca="false">IF(F1811="S",L1811*0.02,0)</f>
        <v>1.28</v>
      </c>
      <c r="O1811" s="82" t="n">
        <f aca="false">IF(L1811&lt;&gt;"",L1811+N1811,"")</f>
        <v>65.28</v>
      </c>
      <c r="P1811" s="47" t="n">
        <f aca="false">IF(O1811&lt;&gt;"",O1811*0.1,"")</f>
        <v>6.528</v>
      </c>
      <c r="Q1811" s="83" t="n">
        <f aca="false">IF(O1811&lt;&gt;"",O1811+P1811,"")</f>
        <v>71.808</v>
      </c>
      <c r="R1811" s="84" t="s">
        <v>365</v>
      </c>
    </row>
    <row r="1812" customFormat="false" ht="15" hidden="false" customHeight="true" outlineLevel="0" collapsed="false">
      <c r="A1812" s="103" t="n">
        <v>56387</v>
      </c>
      <c r="B1812" s="73" t="n">
        <v>46266</v>
      </c>
      <c r="C1812" s="74" t="s">
        <v>789</v>
      </c>
      <c r="D1812" s="87" t="n">
        <v>50106</v>
      </c>
      <c r="E1812" s="46" t="str">
        <f aca="false">IF(D1812&lt;&gt;"",IFERROR(VLOOKUP(D1812,PROVEEDORES!$A:$B,2,0),"!COD NO ENCONTRADO"),"")</f>
        <v>SONIA VENTAS S.L</v>
      </c>
      <c r="F1812" s="88" t="str">
        <f aca="false">IF(D1812&lt;&gt;"",IFERROR(VLOOKUP(D1812,PROVEEDORES!$A:$C,3,0),""),"")</f>
        <v>S</v>
      </c>
      <c r="G1812" s="87" t="s">
        <v>216</v>
      </c>
      <c r="H1812" s="46" t="str">
        <f aca="false">IF(G1812&lt;&gt;"",IFERROR(VLOOKUP(G1812,PRODUCTOS!$A:$B,2,0),"!COD NO ENCONTRADO"),"")</f>
        <v>MERLUZA EUROPEA PINCHO COSTA</v>
      </c>
      <c r="I1812" s="89" t="n">
        <v>1</v>
      </c>
      <c r="J1812" s="90" t="n">
        <v>13.75</v>
      </c>
      <c r="K1812" s="91" t="n">
        <v>5.3</v>
      </c>
      <c r="L1812" s="80" t="n">
        <f aca="false">IF(AND(J1812&lt;&gt;"",K1812&lt;&gt;""),J1812*K1812,"")</f>
        <v>72.875</v>
      </c>
      <c r="M1812" s="81" t="n">
        <f aca="false">IF(L1812&lt;&gt;"",L1812*1.1,"")</f>
        <v>80.1625</v>
      </c>
      <c r="N1812" s="47" t="n">
        <f aca="false">IF(F1812="S",L1812*0.02,0)</f>
        <v>1.4575</v>
      </c>
      <c r="O1812" s="82" t="n">
        <f aca="false">IF(L1812&lt;&gt;"",L1812+N1812,"")</f>
        <v>74.3325</v>
      </c>
      <c r="P1812" s="47" t="n">
        <f aca="false">IF(O1812&lt;&gt;"",O1812*0.1,"")</f>
        <v>7.43325</v>
      </c>
      <c r="Q1812" s="83" t="n">
        <f aca="false">IF(O1812&lt;&gt;"",O1812+P1812,"")</f>
        <v>81.76575</v>
      </c>
      <c r="R1812" s="84" t="s">
        <v>365</v>
      </c>
    </row>
    <row r="1813" customFormat="false" ht="15" hidden="false" customHeight="true" outlineLevel="0" collapsed="false">
      <c r="A1813" s="103" t="n">
        <v>56388</v>
      </c>
      <c r="B1813" s="73" t="n">
        <v>46266</v>
      </c>
      <c r="C1813" s="74" t="s">
        <v>786</v>
      </c>
      <c r="D1813" s="75" t="n">
        <v>50160</v>
      </c>
      <c r="E1813" s="52" t="str">
        <f aca="false">IF(D1813&lt;&gt;"",IFERROR(VLOOKUP(D1813,PROVEEDORES!$A:$B,2,0),"!COD NO ENCONTRADO"),"")</f>
        <v>SUBASTAS CORUÑA S.L.</v>
      </c>
      <c r="F1813" s="76" t="str">
        <f aca="false">IF(D1813&lt;&gt;"",IFERROR(VLOOKUP(D1813,PROVEEDORES!$A:$C,3,0),""),"")</f>
        <v>S</v>
      </c>
      <c r="G1813" s="75" t="s">
        <v>233</v>
      </c>
      <c r="H1813" s="52" t="str">
        <f aca="false">IF(G1813&lt;&gt;"",IFERROR(VLOOKUP(G1813,PRODUCTOS!$A:$B,2,0),"!COD NO ENCONTRADO"),"")</f>
        <v>MERLUZA EUROPEA VOLANTA COSTA</v>
      </c>
      <c r="I1813" s="77" t="n">
        <v>1</v>
      </c>
      <c r="J1813" s="78" t="n">
        <v>18</v>
      </c>
      <c r="K1813" s="79" t="n">
        <v>7.8</v>
      </c>
      <c r="L1813" s="80" t="n">
        <f aca="false">IF(AND(J1813&lt;&gt;"",K1813&lt;&gt;""),J1813*K1813,"")</f>
        <v>140.4</v>
      </c>
      <c r="M1813" s="81" t="n">
        <f aca="false">IF(L1813&lt;&gt;"",L1813*1.1,"")</f>
        <v>154.44</v>
      </c>
      <c r="N1813" s="53" t="n">
        <f aca="false">IF(F1813="S",L1813*0.02,0)</f>
        <v>2.808</v>
      </c>
      <c r="O1813" s="82" t="n">
        <f aca="false">IF(L1813&lt;&gt;"",L1813+N1813,"")</f>
        <v>143.208</v>
      </c>
      <c r="P1813" s="53" t="n">
        <f aca="false">IF(O1813&lt;&gt;"",O1813*0.1,"")</f>
        <v>14.3208</v>
      </c>
      <c r="Q1813" s="83" t="n">
        <f aca="false">IF(O1813&lt;&gt;"",O1813+P1813,"")</f>
        <v>157.5288</v>
      </c>
      <c r="R1813" s="84" t="s">
        <v>358</v>
      </c>
    </row>
    <row r="1814" customFormat="false" ht="15" hidden="false" customHeight="true" outlineLevel="0" collapsed="false">
      <c r="A1814" s="103" t="n">
        <v>56388</v>
      </c>
      <c r="B1814" s="73" t="n">
        <v>46266</v>
      </c>
      <c r="C1814" s="86" t="s">
        <v>786</v>
      </c>
      <c r="D1814" s="87" t="n">
        <v>50160</v>
      </c>
      <c r="E1814" s="46" t="str">
        <f aca="false">IF(D1814&lt;&gt;"",IFERROR(VLOOKUP(D1814,PROVEEDORES!$A:$B,2,0),"!COD NO ENCONTRADO"),"")</f>
        <v>SUBASTAS CORUÑA S.L.</v>
      </c>
      <c r="F1814" s="88" t="str">
        <f aca="false">IF(D1814&lt;&gt;"",IFERROR(VLOOKUP(D1814,PROVEEDORES!$A:$C,3,0),""),"")</f>
        <v>S</v>
      </c>
      <c r="G1814" s="87" t="s">
        <v>452</v>
      </c>
      <c r="H1814" s="46" t="str">
        <f aca="false">IF(G1814&lt;&gt;"",IFERROR(VLOOKUP(G1814,PRODUCTOS!$A:$B,2,0),"!COD NO ENCONTRADO"),"")</f>
        <v>BONITO DEL NORTE  +10 (ALB)</v>
      </c>
      <c r="I1814" s="89" t="n">
        <v>1</v>
      </c>
      <c r="J1814" s="105" t="n">
        <v>24.5</v>
      </c>
      <c r="K1814" s="125" t="n">
        <v>5.1</v>
      </c>
      <c r="L1814" s="80" t="n">
        <f aca="false">IF(AND(J1814&lt;&gt;"",K1814&lt;&gt;""),J1814*K1814,"")</f>
        <v>124.95</v>
      </c>
      <c r="M1814" s="81" t="n">
        <f aca="false">IF(L1814&lt;&gt;"",L1814*1.1,"")</f>
        <v>137.445</v>
      </c>
      <c r="N1814" s="47" t="n">
        <f aca="false">IF(F1814="S",L1814*0.02,0)</f>
        <v>2.499</v>
      </c>
      <c r="O1814" s="82" t="n">
        <f aca="false">IF(L1814&lt;&gt;"",L1814+N1814,"")</f>
        <v>127.449</v>
      </c>
      <c r="P1814" s="47" t="n">
        <f aca="false">IF(O1814&lt;&gt;"",O1814*0.1,"")</f>
        <v>12.7449</v>
      </c>
      <c r="Q1814" s="83" t="n">
        <f aca="false">IF(O1814&lt;&gt;"",O1814+P1814,"")</f>
        <v>140.1939</v>
      </c>
      <c r="R1814" s="84" t="s">
        <v>358</v>
      </c>
    </row>
    <row r="1815" customFormat="false" ht="15" hidden="false" customHeight="true" outlineLevel="0" collapsed="false">
      <c r="A1815" s="103" t="n">
        <v>56388</v>
      </c>
      <c r="B1815" s="73" t="n">
        <v>46266</v>
      </c>
      <c r="C1815" s="74" t="s">
        <v>786</v>
      </c>
      <c r="D1815" s="75" t="n">
        <v>50160</v>
      </c>
      <c r="E1815" s="52" t="str">
        <f aca="false">IF(D1815&lt;&gt;"",IFERROR(VLOOKUP(D1815,PROVEEDORES!$A:$B,2,0),"!COD NO ENCONTRADO"),"")</f>
        <v>SUBASTAS CORUÑA S.L.</v>
      </c>
      <c r="F1815" s="76" t="str">
        <f aca="false">IF(D1815&lt;&gt;"",IFERROR(VLOOKUP(D1815,PROVEEDORES!$A:$C,3,0),""),"")</f>
        <v>S</v>
      </c>
      <c r="G1815" s="75" t="s">
        <v>91</v>
      </c>
      <c r="H1815" s="52" t="str">
        <f aca="false">IF(G1815&lt;&gt;"",IFERROR(VLOOKUP(G1815,PRODUCTOS!$A:$B,2,0),"!COD NO ENCONTRADO"),"")</f>
        <v>BONITO DEL NORTE 5/7</v>
      </c>
      <c r="I1815" s="89" t="n">
        <v>5</v>
      </c>
      <c r="J1815" s="105" t="n">
        <v>114.75</v>
      </c>
      <c r="K1815" s="125" t="n">
        <v>5.2</v>
      </c>
      <c r="L1815" s="80" t="n">
        <f aca="false">IF(AND(J1815&lt;&gt;"",K1815&lt;&gt;""),J1815*K1815,"")</f>
        <v>596.7</v>
      </c>
      <c r="M1815" s="81" t="n">
        <f aca="false">IF(L1815&lt;&gt;"",L1815*1.1,"")</f>
        <v>656.37</v>
      </c>
      <c r="N1815" s="53" t="n">
        <f aca="false">IF(F1815="S",L1815*0.02,0)</f>
        <v>11.934</v>
      </c>
      <c r="O1815" s="82" t="n">
        <f aca="false">IF(L1815&lt;&gt;"",L1815+N1815,"")</f>
        <v>608.634</v>
      </c>
      <c r="P1815" s="53" t="n">
        <f aca="false">IF(O1815&lt;&gt;"",O1815*0.1,"")</f>
        <v>60.8634</v>
      </c>
      <c r="Q1815" s="83" t="n">
        <f aca="false">IF(O1815&lt;&gt;"",O1815+P1815,"")</f>
        <v>669.4974</v>
      </c>
      <c r="R1815" s="84" t="s">
        <v>358</v>
      </c>
    </row>
    <row r="1816" customFormat="false" ht="15" hidden="false" customHeight="true" outlineLevel="0" collapsed="false">
      <c r="A1816" s="103" t="n">
        <v>56388</v>
      </c>
      <c r="B1816" s="73" t="n">
        <v>46266</v>
      </c>
      <c r="C1816" s="86" t="s">
        <v>786</v>
      </c>
      <c r="D1816" s="87" t="n">
        <v>50160</v>
      </c>
      <c r="E1816" s="46" t="str">
        <f aca="false">IF(D1816&lt;&gt;"",IFERROR(VLOOKUP(D1816,PROVEEDORES!$A:$B,2,0),"!COD NO ENCONTRADO"),"")</f>
        <v>SUBASTAS CORUÑA S.L.</v>
      </c>
      <c r="F1816" s="88" t="str">
        <f aca="false">IF(D1816&lt;&gt;"",IFERROR(VLOOKUP(D1816,PROVEEDORES!$A:$C,3,0),""),"")</f>
        <v>S</v>
      </c>
      <c r="G1816" s="87" t="s">
        <v>91</v>
      </c>
      <c r="H1816" s="46" t="str">
        <f aca="false">IF(G1816&lt;&gt;"",IFERROR(VLOOKUP(G1816,PRODUCTOS!$A:$B,2,0),"!COD NO ENCONTRADO"),"")</f>
        <v>BONITO DEL NORTE 5/7</v>
      </c>
      <c r="I1816" s="77" t="n">
        <v>1</v>
      </c>
      <c r="J1816" s="105" t="n">
        <v>29.5</v>
      </c>
      <c r="K1816" s="125" t="n">
        <v>5.2</v>
      </c>
      <c r="L1816" s="80" t="n">
        <f aca="false">IF(AND(J1816&lt;&gt;"",K1816&lt;&gt;""),J1816*K1816,"")</f>
        <v>153.4</v>
      </c>
      <c r="M1816" s="81" t="n">
        <f aca="false">IF(L1816&lt;&gt;"",L1816*1.1,"")</f>
        <v>168.74</v>
      </c>
      <c r="N1816" s="47" t="n">
        <f aca="false">IF(F1816="S",L1816*0.02,0)</f>
        <v>3.068</v>
      </c>
      <c r="O1816" s="82" t="n">
        <f aca="false">IF(L1816&lt;&gt;"",L1816+N1816,"")</f>
        <v>156.468</v>
      </c>
      <c r="P1816" s="47" t="n">
        <f aca="false">IF(O1816&lt;&gt;"",O1816*0.1,"")</f>
        <v>15.6468</v>
      </c>
      <c r="Q1816" s="83" t="n">
        <f aca="false">IF(O1816&lt;&gt;"",O1816+P1816,"")</f>
        <v>172.1148</v>
      </c>
      <c r="R1816" s="84" t="s">
        <v>358</v>
      </c>
    </row>
    <row r="1817" customFormat="false" ht="15" hidden="false" customHeight="true" outlineLevel="0" collapsed="false">
      <c r="A1817" s="103" t="n">
        <v>56389</v>
      </c>
      <c r="B1817" s="73" t="n">
        <v>46266</v>
      </c>
      <c r="C1817" s="74" t="s">
        <v>790</v>
      </c>
      <c r="D1817" s="75" t="n">
        <v>50163</v>
      </c>
      <c r="E1817" s="52" t="str">
        <f aca="false">IF(D1817&lt;&gt;"",IFERROR(VLOOKUP(D1817,PROVEEDORES!$A:$B,2,0),"!COD NO ENCONTRADO"),"")</f>
        <v>SUBASTAS RIVERA S.L.</v>
      </c>
      <c r="F1817" s="76" t="str">
        <f aca="false">IF(D1817&lt;&gt;"",IFERROR(VLOOKUP(D1817,PROVEEDORES!$A:$C,3,0),""),"")</f>
        <v>S</v>
      </c>
      <c r="G1817" s="75" t="s">
        <v>308</v>
      </c>
      <c r="H1817" s="52" t="str">
        <f aca="false">IF(G1817&lt;&gt;"",IFERROR(VLOOKUP(G1817,PRODUCTOS!$A:$B,2,0),"!COD NO ENCONTRADO"),"")</f>
        <v>SABLE BLANCO (SFS)</v>
      </c>
      <c r="I1817" s="77" t="n">
        <v>1</v>
      </c>
      <c r="J1817" s="78" t="n">
        <v>2.75</v>
      </c>
      <c r="K1817" s="79" t="n">
        <v>5.9</v>
      </c>
      <c r="L1817" s="80" t="n">
        <f aca="false">IF(AND(J1817&lt;&gt;"",K1817&lt;&gt;""),J1817*K1817,"")</f>
        <v>16.225</v>
      </c>
      <c r="M1817" s="81" t="n">
        <f aca="false">IF(L1817&lt;&gt;"",L1817*1.1,"")</f>
        <v>17.8475</v>
      </c>
      <c r="N1817" s="53" t="n">
        <f aca="false">IF(F1817="S",L1817*0.02,0)</f>
        <v>0.3245</v>
      </c>
      <c r="O1817" s="82" t="n">
        <f aca="false">IF(L1817&lt;&gt;"",L1817+N1817,"")</f>
        <v>16.5495</v>
      </c>
      <c r="P1817" s="53" t="n">
        <f aca="false">IF(O1817&lt;&gt;"",O1817*0.1,"")</f>
        <v>1.65495</v>
      </c>
      <c r="Q1817" s="83" t="n">
        <f aca="false">IF(O1817&lt;&gt;"",O1817+P1817,"")</f>
        <v>18.20445</v>
      </c>
      <c r="R1817" s="84" t="s">
        <v>358</v>
      </c>
    </row>
    <row r="1818" customFormat="false" ht="15" hidden="false" customHeight="true" outlineLevel="0" collapsed="false">
      <c r="A1818" s="103" t="n">
        <v>56390</v>
      </c>
      <c r="B1818" s="73" t="n">
        <v>46266</v>
      </c>
      <c r="C1818" s="74" t="s">
        <v>791</v>
      </c>
      <c r="D1818" s="75" t="n">
        <v>50521</v>
      </c>
      <c r="E1818" s="52" t="str">
        <f aca="false">IF(D1818&lt;&gt;"",IFERROR(VLOOKUP(D1818,PROVEEDORES!$A:$B,2,0),"!COD NO ENCONTRADO"),"")</f>
        <v>SUBASTAS DE ATLANTICO S.L</v>
      </c>
      <c r="F1818" s="76" t="str">
        <f aca="false">IF(D1818&lt;&gt;"",IFERROR(VLOOKUP(D1818,PROVEEDORES!$A:$C,3,0),""),"")</f>
        <v>S</v>
      </c>
      <c r="G1818" s="75" t="s">
        <v>93</v>
      </c>
      <c r="H1818" s="52" t="str">
        <f aca="false">IF(G1818&lt;&gt;"",IFERROR(VLOOKUP(G1818,PRODUCTOS!$A:$B,2,0),"!COD NO ENCONTRADO"),"")</f>
        <v>BOQUERON/ BOCARTE/ ANCHOA (ANE)</v>
      </c>
      <c r="I1818" s="77" t="n">
        <v>40</v>
      </c>
      <c r="J1818" s="78" t="n">
        <v>414</v>
      </c>
      <c r="K1818" s="79" t="n">
        <v>1.8</v>
      </c>
      <c r="L1818" s="80" t="n">
        <f aca="false">IF(AND(J1818&lt;&gt;"",K1818&lt;&gt;""),J1818*K1818,"")</f>
        <v>745.2</v>
      </c>
      <c r="M1818" s="81" t="n">
        <f aca="false">IF(L1818&lt;&gt;"",L1818*1.1,"")</f>
        <v>819.72</v>
      </c>
      <c r="N1818" s="53" t="n">
        <f aca="false">IF(F1818="S",L1818*0.02,0)</f>
        <v>14.904</v>
      </c>
      <c r="O1818" s="82" t="n">
        <f aca="false">IF(L1818&lt;&gt;"",L1818+N1818,"")</f>
        <v>760.104</v>
      </c>
      <c r="P1818" s="53" t="n">
        <f aca="false">IF(O1818&lt;&gt;"",O1818*0.1,"")</f>
        <v>76.0104</v>
      </c>
      <c r="Q1818" s="83" t="n">
        <f aca="false">IF(O1818&lt;&gt;"",O1818+P1818,"")</f>
        <v>836.1144</v>
      </c>
      <c r="R1818" s="84" t="s">
        <v>358</v>
      </c>
    </row>
    <row r="1819" customFormat="false" ht="15" hidden="false" customHeight="true" outlineLevel="0" collapsed="false">
      <c r="A1819" s="103" t="n">
        <v>56391</v>
      </c>
      <c r="B1819" s="85" t="n">
        <v>46266</v>
      </c>
      <c r="C1819" s="86" t="s">
        <v>792</v>
      </c>
      <c r="D1819" s="87" t="n">
        <v>50048</v>
      </c>
      <c r="E1819" s="46" t="str">
        <f aca="false">IF(D1819&lt;&gt;"",IFERROR(VLOOKUP(D1819,PROVEEDORES!$A:$B,2,0),"!COD NO ENCONTRADO"),"")</f>
        <v>JOSE LUIS CORREA KESSLER S.L.</v>
      </c>
      <c r="F1819" s="88" t="str">
        <f aca="false">IF(D1819&lt;&gt;"",IFERROR(VLOOKUP(D1819,PROVEEDORES!$A:$C,3,0),""),"")</f>
        <v>N</v>
      </c>
      <c r="G1819" s="87" t="s">
        <v>179</v>
      </c>
      <c r="H1819" s="46" t="str">
        <f aca="false">IF(G1819&lt;&gt;"",IFERROR(VLOOKUP(G1819,PRODUCTOS!$A:$B,2,0),"!COD NO ENCONTRADO"),"")</f>
        <v>LIRIO/ BACALADILLA/ PERLA (WHB)</v>
      </c>
      <c r="I1819" s="89" t="n">
        <v>6</v>
      </c>
      <c r="J1819" s="90" t="n">
        <v>36</v>
      </c>
      <c r="K1819" s="125" t="n">
        <v>2.6</v>
      </c>
      <c r="L1819" s="80" t="n">
        <f aca="false">IF(AND(J1819&lt;&gt;"",K1819&lt;&gt;""),J1819*K1819,"")</f>
        <v>93.6</v>
      </c>
      <c r="M1819" s="81" t="n">
        <f aca="false">IF(L1819&lt;&gt;"",L1819*1.1,"")</f>
        <v>102.96</v>
      </c>
      <c r="N1819" s="47" t="n">
        <f aca="false">IF(F1819="S",L1819*0.02,0)</f>
        <v>0</v>
      </c>
      <c r="O1819" s="82" t="n">
        <f aca="false">IF(L1819&lt;&gt;"",L1819+N1819,"")</f>
        <v>93.6</v>
      </c>
      <c r="P1819" s="47" t="n">
        <f aca="false">IF(O1819&lt;&gt;"",O1819*0.1,"")</f>
        <v>9.36</v>
      </c>
      <c r="Q1819" s="83" t="n">
        <f aca="false">IF(O1819&lt;&gt;"",O1819+P1819,"")</f>
        <v>102.96</v>
      </c>
      <c r="R1819" s="84" t="s">
        <v>365</v>
      </c>
    </row>
    <row r="1820" customFormat="false" ht="15" hidden="false" customHeight="true" outlineLevel="0" collapsed="false">
      <c r="A1820" s="103" t="n">
        <v>56391</v>
      </c>
      <c r="B1820" s="73" t="n">
        <v>46266</v>
      </c>
      <c r="C1820" s="74" t="s">
        <v>793</v>
      </c>
      <c r="D1820" s="75" t="n">
        <v>50048</v>
      </c>
      <c r="E1820" s="52" t="str">
        <f aca="false">IF(D1820&lt;&gt;"",IFERROR(VLOOKUP(D1820,PROVEEDORES!$A:$B,2,0),"!COD NO ENCONTRADO"),"")</f>
        <v>JOSE LUIS CORREA KESSLER S.L.</v>
      </c>
      <c r="F1820" s="76" t="str">
        <f aca="false">IF(D1820&lt;&gt;"",IFERROR(VLOOKUP(D1820,PROVEEDORES!$A:$C,3,0),""),"")</f>
        <v>N</v>
      </c>
      <c r="G1820" s="75" t="s">
        <v>115</v>
      </c>
      <c r="H1820" s="52" t="str">
        <f aca="false">IF(G1820&lt;&gt;"",IFERROR(VLOOKUP(G1820,PRODUCTOS!$A:$B,2,0),"!COD NO ENCONTRADO"),"")</f>
        <v>CHICHARRO/ JUREL/ XURELO (HOM)</v>
      </c>
      <c r="I1820" s="77" t="n">
        <v>2</v>
      </c>
      <c r="J1820" s="78" t="n">
        <v>12</v>
      </c>
      <c r="K1820" s="125" t="n">
        <v>1.75</v>
      </c>
      <c r="L1820" s="80" t="n">
        <f aca="false">IF(AND(J1820&lt;&gt;"",K1820&lt;&gt;""),J1820*K1820,"")</f>
        <v>21</v>
      </c>
      <c r="M1820" s="81" t="n">
        <f aca="false">IF(L1820&lt;&gt;"",L1820*1.1,"")</f>
        <v>23.1</v>
      </c>
      <c r="N1820" s="53" t="n">
        <f aca="false">IF(F1820="S",L1820*0.02,0)</f>
        <v>0</v>
      </c>
      <c r="O1820" s="82" t="n">
        <f aca="false">IF(L1820&lt;&gt;"",L1820+N1820,"")</f>
        <v>21</v>
      </c>
      <c r="P1820" s="53" t="n">
        <f aca="false">IF(O1820&lt;&gt;"",O1820*0.1,"")</f>
        <v>2.1</v>
      </c>
      <c r="Q1820" s="83" t="n">
        <f aca="false">IF(O1820&lt;&gt;"",O1820+P1820,"")</f>
        <v>23.1</v>
      </c>
      <c r="R1820" s="84" t="s">
        <v>365</v>
      </c>
    </row>
    <row r="1821" customFormat="false" ht="15" hidden="false" customHeight="true" outlineLevel="0" collapsed="false">
      <c r="A1821" s="103" t="n">
        <v>56392</v>
      </c>
      <c r="B1821" s="73" t="n">
        <v>46266</v>
      </c>
      <c r="C1821" s="74" t="s">
        <v>794</v>
      </c>
      <c r="D1821" s="75" t="n">
        <v>50218</v>
      </c>
      <c r="E1821" s="52" t="str">
        <f aca="false">IF(D1821&lt;&gt;"",IFERROR(VLOOKUP(D1821,PROVEEDORES!$A:$B,2,0),"!COD NO ENCONTRADO"),"")</f>
        <v>ACERGA </v>
      </c>
      <c r="F1821" s="76" t="str">
        <f aca="false">IF(D1821&lt;&gt;"",IFERROR(VLOOKUP(D1821,PROVEEDORES!$A:$C,3,0),""),"")</f>
        <v>S</v>
      </c>
      <c r="G1821" s="75" t="s">
        <v>93</v>
      </c>
      <c r="H1821" s="52" t="str">
        <f aca="false">IF(G1821&lt;&gt;"",IFERROR(VLOOKUP(G1821,PRODUCTOS!$A:$B,2,0),"!COD NO ENCONTRADO"),"")</f>
        <v>BOQUERON/ BOCARTE/ ANCHOA (ANE)</v>
      </c>
      <c r="I1821" s="77" t="n">
        <v>40</v>
      </c>
      <c r="J1821" s="78" t="n">
        <v>348</v>
      </c>
      <c r="K1821" s="79" t="n">
        <v>2.25</v>
      </c>
      <c r="L1821" s="80" t="n">
        <f aca="false">IF(AND(J1821&lt;&gt;"",K1821&lt;&gt;""),J1821*K1821,"")</f>
        <v>783</v>
      </c>
      <c r="M1821" s="81" t="n">
        <f aca="false">IF(L1821&lt;&gt;"",L1821*1.1,"")</f>
        <v>861.3</v>
      </c>
      <c r="N1821" s="53" t="n">
        <f aca="false">IF(F1821="S",L1821*0.02,0)</f>
        <v>15.66</v>
      </c>
      <c r="O1821" s="82" t="n">
        <f aca="false">IF(L1821&lt;&gt;"",L1821+N1821,"")</f>
        <v>798.66</v>
      </c>
      <c r="P1821" s="53" t="n">
        <f aca="false">IF(O1821&lt;&gt;"",O1821*0.1,"")</f>
        <v>79.866</v>
      </c>
      <c r="Q1821" s="83" t="n">
        <f aca="false">IF(O1821&lt;&gt;"",O1821+P1821,"")</f>
        <v>878.526</v>
      </c>
      <c r="R1821" s="84" t="s">
        <v>365</v>
      </c>
    </row>
    <row r="1822" customFormat="false" ht="15" hidden="false" customHeight="true" outlineLevel="0" collapsed="false">
      <c r="A1822" s="103" t="n">
        <v>56392</v>
      </c>
      <c r="B1822" s="73" t="n">
        <v>46266</v>
      </c>
      <c r="C1822" s="74" t="s">
        <v>794</v>
      </c>
      <c r="D1822" s="75" t="n">
        <v>50218</v>
      </c>
      <c r="E1822" s="52" t="str">
        <f aca="false">IF(D1822&lt;&gt;"",IFERROR(VLOOKUP(D1822,PROVEEDORES!$A:$B,2,0),"!COD NO ENCONTRADO"),"")</f>
        <v>ACERGA </v>
      </c>
      <c r="F1822" s="76" t="str">
        <f aca="false">IF(D1822&lt;&gt;"",IFERROR(VLOOKUP(D1822,PROVEEDORES!$A:$C,3,0),""),"")</f>
        <v>S</v>
      </c>
      <c r="G1822" s="75" t="s">
        <v>93</v>
      </c>
      <c r="H1822" s="46" t="str">
        <f aca="false">IF(G1822&lt;&gt;"",IFERROR(VLOOKUP(G1822,PRODUCTOS!$A:$B,2,0),"!COD NO ENCONTRADO"),"")</f>
        <v>BOQUERON/ BOCARTE/ ANCHOA (ANE)</v>
      </c>
      <c r="I1822" s="89" t="n">
        <v>40</v>
      </c>
      <c r="J1822" s="105" t="n">
        <v>330</v>
      </c>
      <c r="K1822" s="125" t="n">
        <v>2.25</v>
      </c>
      <c r="L1822" s="80" t="n">
        <f aca="false">IF(AND(J1822&lt;&gt;"",K1822&lt;&gt;""),J1822*K1822,"")</f>
        <v>742.5</v>
      </c>
      <c r="M1822" s="81" t="n">
        <f aca="false">IF(L1822&lt;&gt;"",L1822*1.1,"")</f>
        <v>816.75</v>
      </c>
      <c r="N1822" s="47" t="n">
        <f aca="false">IF(F1822="S",L1822*0.02,0)</f>
        <v>14.85</v>
      </c>
      <c r="O1822" s="82" t="n">
        <f aca="false">IF(L1822&lt;&gt;"",L1822+N1822,"")</f>
        <v>757.35</v>
      </c>
      <c r="P1822" s="47" t="n">
        <f aca="false">IF(O1822&lt;&gt;"",O1822*0.1,"")</f>
        <v>75.735</v>
      </c>
      <c r="Q1822" s="83" t="n">
        <f aca="false">IF(O1822&lt;&gt;"",O1822+P1822,"")</f>
        <v>833.085</v>
      </c>
      <c r="R1822" s="84" t="s">
        <v>358</v>
      </c>
    </row>
    <row r="1823" customFormat="false" ht="15" hidden="false" customHeight="true" outlineLevel="0" collapsed="false">
      <c r="A1823" s="103" t="n">
        <v>56393</v>
      </c>
      <c r="B1823" s="73" t="n">
        <v>46266</v>
      </c>
      <c r="C1823" s="86" t="s">
        <v>795</v>
      </c>
      <c r="D1823" s="87" t="n">
        <v>50035</v>
      </c>
      <c r="E1823" s="46" t="str">
        <f aca="false">IF(D1823&lt;&gt;"",IFERROR(VLOOKUP(D1823,PROVEEDORES!$A:$B,2,0),"!COD NO ENCONTRADO"),"")</f>
        <v>SCANFISK SEAFFOD S,L</v>
      </c>
      <c r="F1823" s="88" t="str">
        <f aca="false">IF(D1823&lt;&gt;"",IFERROR(VLOOKUP(D1823,PROVEEDORES!$A:$C,3,0),""),"")</f>
        <v>N</v>
      </c>
      <c r="G1823" s="87" t="s">
        <v>246</v>
      </c>
      <c r="H1823" s="46" t="str">
        <f aca="false">IF(G1823&lt;&gt;"",IFERROR(VLOOKUP(G1823,PRODUCTOS!$A:$B,2,0),"!COD NO ENCONTRADO"),"")</f>
        <v>MERLUZA EUROPEA VOLANTA ALTURA</v>
      </c>
      <c r="I1823" s="112" t="n">
        <v>2</v>
      </c>
      <c r="J1823" s="105" t="n">
        <v>20</v>
      </c>
      <c r="K1823" s="125" t="n">
        <v>9.8</v>
      </c>
      <c r="L1823" s="80" t="n">
        <f aca="false">IF(AND(J1823&lt;&gt;"",K1823&lt;&gt;""),J1823*K1823,"")</f>
        <v>196</v>
      </c>
      <c r="M1823" s="81" t="n">
        <f aca="false">IF(L1823&lt;&gt;"",L1823*1.1,"")</f>
        <v>215.6</v>
      </c>
      <c r="N1823" s="47" t="n">
        <f aca="false">IF(F1823="S",L1823*0.02,0)</f>
        <v>0</v>
      </c>
      <c r="O1823" s="82" t="n">
        <f aca="false">IF(L1823&lt;&gt;"",L1823+N1823,"")</f>
        <v>196</v>
      </c>
      <c r="P1823" s="47" t="n">
        <f aca="false">IF(O1823&lt;&gt;"",O1823*0.1,"")</f>
        <v>19.6</v>
      </c>
      <c r="Q1823" s="83" t="n">
        <f aca="false">IF(O1823&lt;&gt;"",O1823+P1823,"")</f>
        <v>215.6</v>
      </c>
      <c r="R1823" s="84" t="s">
        <v>365</v>
      </c>
    </row>
    <row r="1824" customFormat="false" ht="15" hidden="false" customHeight="true" outlineLevel="0" collapsed="false">
      <c r="A1824" s="103" t="n">
        <v>56393</v>
      </c>
      <c r="B1824" s="73" t="n">
        <v>46266</v>
      </c>
      <c r="C1824" s="74" t="s">
        <v>796</v>
      </c>
      <c r="D1824" s="75" t="n">
        <v>50035</v>
      </c>
      <c r="E1824" s="52" t="str">
        <f aca="false">IF(D1824&lt;&gt;"",IFERROR(VLOOKUP(D1824,PROVEEDORES!$A:$B,2,0),"!COD NO ENCONTRADO"),"")</f>
        <v>SCANFISK SEAFFOD S,L</v>
      </c>
      <c r="F1824" s="76" t="str">
        <f aca="false">IF(D1824&lt;&gt;"",IFERROR(VLOOKUP(D1824,PROVEEDORES!$A:$C,3,0),""),"")</f>
        <v>N</v>
      </c>
      <c r="G1824" s="75" t="s">
        <v>246</v>
      </c>
      <c r="H1824" s="52" t="str">
        <f aca="false">IF(G1824&lt;&gt;"",IFERROR(VLOOKUP(G1824,PRODUCTOS!$A:$B,2,0),"!COD NO ENCONTRADO"),"")</f>
        <v>MERLUZA EUROPEA VOLANTA ALTURA</v>
      </c>
      <c r="I1824" s="112" t="n">
        <v>5</v>
      </c>
      <c r="J1824" s="105" t="n">
        <v>81.5</v>
      </c>
      <c r="K1824" s="125" t="n">
        <v>9.8</v>
      </c>
      <c r="L1824" s="80" t="n">
        <f aca="false">IF(AND(J1824&lt;&gt;"",K1824&lt;&gt;""),J1824*K1824,"")</f>
        <v>798.7</v>
      </c>
      <c r="M1824" s="81" t="n">
        <f aca="false">IF(L1824&lt;&gt;"",L1824*1.1,"")</f>
        <v>878.57</v>
      </c>
      <c r="N1824" s="53" t="n">
        <f aca="false">IF(F1824="S",L1824*0.02,0)</f>
        <v>0</v>
      </c>
      <c r="O1824" s="82" t="n">
        <f aca="false">IF(L1824&lt;&gt;"",L1824+N1824,"")</f>
        <v>798.7</v>
      </c>
      <c r="P1824" s="53" t="n">
        <f aca="false">IF(O1824&lt;&gt;"",O1824*0.1,"")</f>
        <v>79.87</v>
      </c>
      <c r="Q1824" s="83" t="n">
        <f aca="false">IF(O1824&lt;&gt;"",O1824+P1824,"")</f>
        <v>878.57</v>
      </c>
      <c r="R1824" s="84" t="s">
        <v>365</v>
      </c>
    </row>
    <row r="1825" customFormat="false" ht="15" hidden="false" customHeight="true" outlineLevel="0" collapsed="false">
      <c r="A1825" s="103" t="n">
        <v>56393</v>
      </c>
      <c r="B1825" s="73" t="n">
        <v>46266</v>
      </c>
      <c r="C1825" s="86" t="s">
        <v>797</v>
      </c>
      <c r="D1825" s="87" t="n">
        <v>50035</v>
      </c>
      <c r="E1825" s="46" t="str">
        <f aca="false">IF(D1825&lt;&gt;"",IFERROR(VLOOKUP(D1825,PROVEEDORES!$A:$B,2,0),"!COD NO ENCONTRADO"),"")</f>
        <v>SCANFISK SEAFFOD S,L</v>
      </c>
      <c r="F1825" s="88" t="str">
        <f aca="false">IF(D1825&lt;&gt;"",IFERROR(VLOOKUP(D1825,PROVEEDORES!$A:$C,3,0),""),"")</f>
        <v>N</v>
      </c>
      <c r="G1825" s="87" t="s">
        <v>135</v>
      </c>
      <c r="H1825" s="46" t="str">
        <f aca="false">IF(G1825&lt;&gt;"",IFERROR(VLOOKUP(G1825,PRODUCTOS!$A:$B,2,0),"!COD NO ENCONTRADO"),"")</f>
        <v>CONGRIO 10+  (COE)</v>
      </c>
      <c r="I1825" s="112" t="n">
        <v>5</v>
      </c>
      <c r="J1825" s="105" t="n">
        <v>55.8</v>
      </c>
      <c r="K1825" s="125" t="n">
        <v>4.2</v>
      </c>
      <c r="L1825" s="80" t="n">
        <f aca="false">IF(AND(J1825&lt;&gt;"",K1825&lt;&gt;""),J1825*K1825,"")</f>
        <v>234.36</v>
      </c>
      <c r="M1825" s="81" t="n">
        <f aca="false">IF(L1825&lt;&gt;"",L1825*1.1,"")</f>
        <v>257.796</v>
      </c>
      <c r="N1825" s="47" t="n">
        <f aca="false">IF(F1825="S",L1825*0.02,0)</f>
        <v>0</v>
      </c>
      <c r="O1825" s="82" t="n">
        <f aca="false">IF(L1825&lt;&gt;"",L1825+N1825,"")</f>
        <v>234.36</v>
      </c>
      <c r="P1825" s="47" t="n">
        <f aca="false">IF(O1825&lt;&gt;"",O1825*0.1,"")</f>
        <v>23.436</v>
      </c>
      <c r="Q1825" s="83" t="n">
        <f aca="false">IF(O1825&lt;&gt;"",O1825+P1825,"")</f>
        <v>257.796</v>
      </c>
      <c r="R1825" s="84" t="s">
        <v>358</v>
      </c>
    </row>
    <row r="1826" customFormat="false" ht="15" hidden="false" customHeight="true" outlineLevel="0" collapsed="false">
      <c r="A1826" s="103" t="n">
        <v>56394</v>
      </c>
      <c r="B1826" s="73" t="n">
        <v>46267</v>
      </c>
      <c r="C1826" s="74" t="s">
        <v>798</v>
      </c>
      <c r="D1826" s="75" t="n">
        <v>50232</v>
      </c>
      <c r="E1826" s="52" t="str">
        <f aca="false">IF(D1826&lt;&gt;"",IFERROR(VLOOKUP(D1826,PROVEEDORES!$A:$B,2,0),"!COD NO ENCONTRADO"),"")</f>
        <v>XESTION NOVA LONXA RIVEIRA S.L.</v>
      </c>
      <c r="F1826" s="76" t="str">
        <f aca="false">IF(D1826&lt;&gt;"",IFERROR(VLOOKUP(D1826,PROVEEDORES!$A:$C,3,0),""),"")</f>
        <v>S</v>
      </c>
      <c r="G1826" s="75" t="s">
        <v>296</v>
      </c>
      <c r="H1826" s="52" t="str">
        <f aca="false">IF(G1826&lt;&gt;"",IFERROR(VLOOKUP(G1826,PRODUCTOS!$A:$B,2,0),"!COD NO ENCONTRADO"),"")</f>
        <v>RAPE NEGRO (ANK)</v>
      </c>
      <c r="I1826" s="77" t="n">
        <v>4</v>
      </c>
      <c r="J1826" s="78" t="n">
        <v>17.6</v>
      </c>
      <c r="K1826" s="79" t="n">
        <v>3.5</v>
      </c>
      <c r="L1826" s="80" t="n">
        <f aca="false">IF(AND(J1826&lt;&gt;"",K1826&lt;&gt;""),J1826*K1826,"")</f>
        <v>61.6</v>
      </c>
      <c r="M1826" s="81" t="n">
        <f aca="false">IF(L1826&lt;&gt;"",L1826*1.1,"")</f>
        <v>67.76</v>
      </c>
      <c r="N1826" s="53" t="n">
        <f aca="false">IF(F1826="S",L1826*0.02,0)</f>
        <v>1.232</v>
      </c>
      <c r="O1826" s="82" t="n">
        <f aca="false">IF(L1826&lt;&gt;"",L1826+N1826,"")</f>
        <v>62.832</v>
      </c>
      <c r="P1826" s="53" t="n">
        <f aca="false">IF(O1826&lt;&gt;"",O1826*0.1,"")</f>
        <v>6.2832</v>
      </c>
      <c r="Q1826" s="83" t="n">
        <f aca="false">IF(O1826&lt;&gt;"",O1826+P1826,"")</f>
        <v>69.1152</v>
      </c>
      <c r="R1826" s="84" t="s">
        <v>358</v>
      </c>
    </row>
    <row r="1827" customFormat="false" ht="15" hidden="false" customHeight="true" outlineLevel="0" collapsed="false">
      <c r="A1827" s="103" t="n">
        <v>56394</v>
      </c>
      <c r="B1827" s="73" t="n">
        <v>46267</v>
      </c>
      <c r="C1827" s="74" t="s">
        <v>798</v>
      </c>
      <c r="D1827" s="75" t="n">
        <v>50232</v>
      </c>
      <c r="E1827" s="46" t="str">
        <f aca="false">IF(D1827&lt;&gt;"",IFERROR(VLOOKUP(D1827,PROVEEDORES!$A:$B,2,0),"!COD NO ENCONTRADO"),"")</f>
        <v>XESTION NOVA LONXA RIVEIRA S.L.</v>
      </c>
      <c r="F1827" s="88" t="str">
        <f aca="false">IF(D1827&lt;&gt;"",IFERROR(VLOOKUP(D1827,PROVEEDORES!$A:$C,3,0),""),"")</f>
        <v>S</v>
      </c>
      <c r="G1827" s="87" t="s">
        <v>296</v>
      </c>
      <c r="H1827" s="46" t="str">
        <f aca="false">IF(G1827&lt;&gt;"",IFERROR(VLOOKUP(G1827,PRODUCTOS!$A:$B,2,0),"!COD NO ENCONTRADO"),"")</f>
        <v>RAPE NEGRO (ANK)</v>
      </c>
      <c r="I1827" s="89" t="n">
        <v>1</v>
      </c>
      <c r="J1827" s="90" t="n">
        <v>6.5</v>
      </c>
      <c r="K1827" s="91" t="n">
        <v>5</v>
      </c>
      <c r="L1827" s="80" t="n">
        <f aca="false">IF(AND(J1827&lt;&gt;"",K1827&lt;&gt;""),J1827*K1827,"")</f>
        <v>32.5</v>
      </c>
      <c r="M1827" s="81" t="n">
        <f aca="false">IF(L1827&lt;&gt;"",L1827*1.1,"")</f>
        <v>35.75</v>
      </c>
      <c r="N1827" s="47" t="n">
        <f aca="false">IF(F1827="S",L1827*0.02,0)</f>
        <v>0.65</v>
      </c>
      <c r="O1827" s="82" t="n">
        <f aca="false">IF(L1827&lt;&gt;"",L1827+N1827,"")</f>
        <v>33.15</v>
      </c>
      <c r="P1827" s="47" t="n">
        <f aca="false">IF(O1827&lt;&gt;"",O1827*0.1,"")</f>
        <v>3.315</v>
      </c>
      <c r="Q1827" s="83" t="n">
        <f aca="false">IF(O1827&lt;&gt;"",O1827+P1827,"")</f>
        <v>36.465</v>
      </c>
      <c r="R1827" s="84" t="s">
        <v>358</v>
      </c>
    </row>
    <row r="1828" customFormat="false" ht="15" hidden="false" customHeight="true" outlineLevel="0" collapsed="false">
      <c r="A1828" s="103" t="n">
        <v>56394</v>
      </c>
      <c r="B1828" s="73" t="n">
        <v>46267</v>
      </c>
      <c r="C1828" s="74" t="s">
        <v>798</v>
      </c>
      <c r="D1828" s="75" t="n">
        <v>50232</v>
      </c>
      <c r="E1828" s="52" t="str">
        <f aca="false">IF(D1828&lt;&gt;"",IFERROR(VLOOKUP(D1828,PROVEEDORES!$A:$B,2,0),"!COD NO ENCONTRADO"),"")</f>
        <v>XESTION NOVA LONXA RIVEIRA S.L.</v>
      </c>
      <c r="F1828" s="76" t="str">
        <f aca="false">IF(D1828&lt;&gt;"",IFERROR(VLOOKUP(D1828,PROVEEDORES!$A:$C,3,0),""),"")</f>
        <v>S</v>
      </c>
      <c r="G1828" s="75" t="s">
        <v>296</v>
      </c>
      <c r="H1828" s="52" t="str">
        <f aca="false">IF(G1828&lt;&gt;"",IFERROR(VLOOKUP(G1828,PRODUCTOS!$A:$B,2,0),"!COD NO ENCONTRADO"),"")</f>
        <v>RAPE NEGRO (ANK)</v>
      </c>
      <c r="I1828" s="77" t="n">
        <v>2</v>
      </c>
      <c r="J1828" s="78" t="n">
        <v>7.4</v>
      </c>
      <c r="K1828" s="79" t="n">
        <v>6.5</v>
      </c>
      <c r="L1828" s="80" t="n">
        <f aca="false">IF(AND(J1828&lt;&gt;"",K1828&lt;&gt;""),J1828*K1828,"")</f>
        <v>48.1</v>
      </c>
      <c r="M1828" s="81" t="n">
        <f aca="false">IF(L1828&lt;&gt;"",L1828*1.1,"")</f>
        <v>52.91</v>
      </c>
      <c r="N1828" s="53" t="n">
        <f aca="false">IF(F1828="S",L1828*0.02,0)</f>
        <v>0.962</v>
      </c>
      <c r="O1828" s="82" t="n">
        <f aca="false">IF(L1828&lt;&gt;"",L1828+N1828,"")</f>
        <v>49.062</v>
      </c>
      <c r="P1828" s="53" t="n">
        <f aca="false">IF(O1828&lt;&gt;"",O1828*0.1,"")</f>
        <v>4.9062</v>
      </c>
      <c r="Q1828" s="83" t="n">
        <f aca="false">IF(O1828&lt;&gt;"",O1828+P1828,"")</f>
        <v>53.9682</v>
      </c>
      <c r="R1828" s="84" t="s">
        <v>358</v>
      </c>
    </row>
    <row r="1829" customFormat="false" ht="15" hidden="false" customHeight="true" outlineLevel="0" collapsed="false">
      <c r="A1829" s="103" t="n">
        <v>56394</v>
      </c>
      <c r="B1829" s="73" t="n">
        <v>46267</v>
      </c>
      <c r="C1829" s="74" t="s">
        <v>798</v>
      </c>
      <c r="D1829" s="75" t="n">
        <v>50232</v>
      </c>
      <c r="E1829" s="46" t="str">
        <f aca="false">IF(D1829&lt;&gt;"",IFERROR(VLOOKUP(D1829,PROVEEDORES!$A:$B,2,0),"!COD NO ENCONTRADO"),"")</f>
        <v>XESTION NOVA LONXA RIVEIRA S.L.</v>
      </c>
      <c r="F1829" s="88" t="str">
        <f aca="false">IF(D1829&lt;&gt;"",IFERROR(VLOOKUP(D1829,PROVEEDORES!$A:$C,3,0),""),"")</f>
        <v>S</v>
      </c>
      <c r="G1829" s="87" t="s">
        <v>183</v>
      </c>
      <c r="H1829" s="46" t="str">
        <f aca="false">IF(G1829&lt;&gt;"",IFERROR(VLOOKUP(G1829,PRODUCTOS!$A:$B,2,0),"!COD NO ENCONTRADO"),"")</f>
        <v>LUBINA RIA/ ROBALIZA (BSS)</v>
      </c>
      <c r="I1829" s="89" t="n">
        <v>5</v>
      </c>
      <c r="J1829" s="90" t="n">
        <v>11.6</v>
      </c>
      <c r="K1829" s="91" t="n">
        <v>30</v>
      </c>
      <c r="L1829" s="80" t="n">
        <f aca="false">IF(AND(J1829&lt;&gt;"",K1829&lt;&gt;""),J1829*K1829,"")</f>
        <v>348</v>
      </c>
      <c r="M1829" s="81" t="n">
        <f aca="false">IF(L1829&lt;&gt;"",L1829*1.1,"")</f>
        <v>382.8</v>
      </c>
      <c r="N1829" s="47" t="n">
        <f aca="false">IF(F1829="S",L1829*0.02,0)</f>
        <v>6.96</v>
      </c>
      <c r="O1829" s="82" t="n">
        <f aca="false">IF(L1829&lt;&gt;"",L1829+N1829,"")</f>
        <v>354.96</v>
      </c>
      <c r="P1829" s="47" t="n">
        <f aca="false">IF(O1829&lt;&gt;"",O1829*0.1,"")</f>
        <v>35.496</v>
      </c>
      <c r="Q1829" s="83" t="n">
        <f aca="false">IF(O1829&lt;&gt;"",O1829+P1829,"")</f>
        <v>390.456</v>
      </c>
      <c r="R1829" s="84" t="s">
        <v>358</v>
      </c>
    </row>
    <row r="1830" customFormat="false" ht="15" hidden="false" customHeight="true" outlineLevel="0" collapsed="false">
      <c r="A1830" s="103" t="n">
        <v>56394</v>
      </c>
      <c r="B1830" s="73" t="n">
        <v>46267</v>
      </c>
      <c r="C1830" s="74" t="s">
        <v>798</v>
      </c>
      <c r="D1830" s="75" t="n">
        <v>50232</v>
      </c>
      <c r="E1830" s="52" t="str">
        <f aca="false">IF(D1830&lt;&gt;"",IFERROR(VLOOKUP(D1830,PROVEEDORES!$A:$B,2,0),"!COD NO ENCONTRADO"),"")</f>
        <v>XESTION NOVA LONXA RIVEIRA S.L.</v>
      </c>
      <c r="F1830" s="76" t="str">
        <f aca="false">IF(D1830&lt;&gt;"",IFERROR(VLOOKUP(D1830,PROVEEDORES!$A:$C,3,0),""),"")</f>
        <v>S</v>
      </c>
      <c r="G1830" s="75" t="s">
        <v>288</v>
      </c>
      <c r="H1830" s="52" t="str">
        <f aca="false">IF(G1830&lt;&gt;"",IFERROR(VLOOKUP(G1830,PRODUCTOS!$A:$B,2,0),"!COD NO ENCONTRADO"),"")</f>
        <v>RAPE BLANCO DIA (MON)</v>
      </c>
      <c r="I1830" s="77" t="n">
        <v>2</v>
      </c>
      <c r="J1830" s="78" t="n">
        <v>3</v>
      </c>
      <c r="K1830" s="79" t="n">
        <v>3</v>
      </c>
      <c r="L1830" s="80" t="n">
        <f aca="false">IF(AND(J1830&lt;&gt;"",K1830&lt;&gt;""),J1830*K1830,"")</f>
        <v>9</v>
      </c>
      <c r="M1830" s="81" t="n">
        <f aca="false">IF(L1830&lt;&gt;"",L1830*1.1,"")</f>
        <v>9.9</v>
      </c>
      <c r="N1830" s="53" t="n">
        <f aca="false">IF(F1830="S",L1830*0.02,0)</f>
        <v>0.18</v>
      </c>
      <c r="O1830" s="82" t="n">
        <f aca="false">IF(L1830&lt;&gt;"",L1830+N1830,"")</f>
        <v>9.18</v>
      </c>
      <c r="P1830" s="53" t="n">
        <f aca="false">IF(O1830&lt;&gt;"",O1830*0.1,"")</f>
        <v>0.918</v>
      </c>
      <c r="Q1830" s="83" t="n">
        <f aca="false">IF(O1830&lt;&gt;"",O1830+P1830,"")</f>
        <v>10.098</v>
      </c>
      <c r="R1830" s="84" t="s">
        <v>358</v>
      </c>
    </row>
    <row r="1831" customFormat="false" ht="15" hidden="false" customHeight="true" outlineLevel="0" collapsed="false">
      <c r="A1831" s="103" t="n">
        <v>56394</v>
      </c>
      <c r="B1831" s="73" t="n">
        <v>46267</v>
      </c>
      <c r="C1831" s="74" t="s">
        <v>798</v>
      </c>
      <c r="D1831" s="75" t="n">
        <v>50232</v>
      </c>
      <c r="E1831" s="46" t="str">
        <f aca="false">IF(D1831&lt;&gt;"",IFERROR(VLOOKUP(D1831,PROVEEDORES!$A:$B,2,0),"!COD NO ENCONTRADO"),"")</f>
        <v>XESTION NOVA LONXA RIVEIRA S.L.</v>
      </c>
      <c r="F1831" s="88" t="str">
        <f aca="false">IF(D1831&lt;&gt;"",IFERROR(VLOOKUP(D1831,PROVEEDORES!$A:$C,3,0),""),"")</f>
        <v>S</v>
      </c>
      <c r="G1831" s="87" t="s">
        <v>304</v>
      </c>
      <c r="H1831" s="46" t="str">
        <f aca="false">IF(G1831&lt;&gt;"",IFERROR(VLOOKUP(G1831,PRODUCTOS!$A:$B,2,0),"!COD NO ENCONTRADO"),"")</f>
        <v>RAYA SPP (SKA)</v>
      </c>
      <c r="I1831" s="89" t="n">
        <v>38</v>
      </c>
      <c r="J1831" s="90" t="n">
        <v>233.6</v>
      </c>
      <c r="K1831" s="91" t="n">
        <v>1.92</v>
      </c>
      <c r="L1831" s="80" t="n">
        <f aca="false">IF(AND(J1831&lt;&gt;"",K1831&lt;&gt;""),J1831*K1831,"")</f>
        <v>448.512</v>
      </c>
      <c r="M1831" s="81" t="n">
        <f aca="false">IF(L1831&lt;&gt;"",L1831*1.1,"")</f>
        <v>493.3632</v>
      </c>
      <c r="N1831" s="47" t="n">
        <f aca="false">IF(F1831="S",L1831*0.02,0)</f>
        <v>8.97024</v>
      </c>
      <c r="O1831" s="82" t="n">
        <f aca="false">IF(L1831&lt;&gt;"",L1831+N1831,"")</f>
        <v>457.48224</v>
      </c>
      <c r="P1831" s="47" t="n">
        <f aca="false">IF(O1831&lt;&gt;"",O1831*0.1,"")</f>
        <v>45.748224</v>
      </c>
      <c r="Q1831" s="83" t="n">
        <f aca="false">IF(O1831&lt;&gt;"",O1831+P1831,"")</f>
        <v>503.230464</v>
      </c>
      <c r="R1831" s="84" t="s">
        <v>358</v>
      </c>
    </row>
    <row r="1832" customFormat="false" ht="15" hidden="false" customHeight="true" outlineLevel="0" collapsed="false">
      <c r="A1832" s="103" t="n">
        <v>56394</v>
      </c>
      <c r="B1832" s="73" t="n">
        <v>46267</v>
      </c>
      <c r="C1832" s="74" t="s">
        <v>798</v>
      </c>
      <c r="D1832" s="75" t="n">
        <v>50232</v>
      </c>
      <c r="E1832" s="52" t="str">
        <f aca="false">IF(D1832&lt;&gt;"",IFERROR(VLOOKUP(D1832,PROVEEDORES!$A:$B,2,0),"!COD NO ENCONTRADO"),"")</f>
        <v>XESTION NOVA LONXA RIVEIRA S.L.</v>
      </c>
      <c r="F1832" s="76" t="str">
        <f aca="false">IF(D1832&lt;&gt;"",IFERROR(VLOOKUP(D1832,PROVEEDORES!$A:$C,3,0),""),"")</f>
        <v>S</v>
      </c>
      <c r="G1832" s="75" t="s">
        <v>179</v>
      </c>
      <c r="H1832" s="52" t="str">
        <f aca="false">IF(G1832&lt;&gt;"",IFERROR(VLOOKUP(G1832,PRODUCTOS!$A:$B,2,0),"!COD NO ENCONTRADO"),"")</f>
        <v>LIRIO/ BACALADILLA/ PERLA (WHB)</v>
      </c>
      <c r="I1832" s="77" t="n">
        <v>10</v>
      </c>
      <c r="J1832" s="105" t="n">
        <v>169.8</v>
      </c>
      <c r="K1832" s="125" t="n">
        <v>2.05</v>
      </c>
      <c r="L1832" s="80" t="n">
        <f aca="false">IF(AND(J1832&lt;&gt;"",K1832&lt;&gt;""),J1832*K1832,"")</f>
        <v>348.09</v>
      </c>
      <c r="M1832" s="81" t="n">
        <f aca="false">IF(L1832&lt;&gt;"",L1832*1.1,"")</f>
        <v>382.899</v>
      </c>
      <c r="N1832" s="53" t="n">
        <f aca="false">IF(F1832="S",L1832*0.02,0)</f>
        <v>6.9618</v>
      </c>
      <c r="O1832" s="82" t="n">
        <f aca="false">IF(L1832&lt;&gt;"",L1832+N1832,"")</f>
        <v>355.0518</v>
      </c>
      <c r="P1832" s="53" t="n">
        <f aca="false">IF(O1832&lt;&gt;"",O1832*0.1,"")</f>
        <v>35.50518</v>
      </c>
      <c r="Q1832" s="83" t="n">
        <f aca="false">IF(O1832&lt;&gt;"",O1832+P1832,"")</f>
        <v>390.55698</v>
      </c>
      <c r="R1832" s="84" t="s">
        <v>358</v>
      </c>
    </row>
    <row r="1833" customFormat="false" ht="15" hidden="false" customHeight="true" outlineLevel="0" collapsed="false">
      <c r="A1833" s="103" t="n">
        <v>56395</v>
      </c>
      <c r="B1833" s="73" t="n">
        <v>46267</v>
      </c>
      <c r="C1833" s="74" t="s">
        <v>799</v>
      </c>
      <c r="D1833" s="75" t="n">
        <v>50514</v>
      </c>
      <c r="E1833" s="46" t="str">
        <f aca="false">IF(D1833&lt;&gt;"",IFERROR(VLOOKUP(D1833,PROVEEDORES!$A:$B,2,0),"!COD NO ENCONTRADO"),"")</f>
        <v>PESCADO Y MARISCOS ADELAIDA S.L.</v>
      </c>
      <c r="F1833" s="88" t="str">
        <f aca="false">IF(D1833&lt;&gt;"",IFERROR(VLOOKUP(D1833,PROVEEDORES!$A:$C,3,0),""),"")</f>
        <v>N</v>
      </c>
      <c r="G1833" s="87" t="s">
        <v>316</v>
      </c>
      <c r="H1833" s="46" t="str">
        <f aca="false">IF(G1833&lt;&gt;"",IFERROR(VLOOKUP(G1833,PRODUCTOS!$A:$B,2,0),"!COD NO ENCONTRADO"),"")</f>
        <v>SALMONETE ROCA (MUR)</v>
      </c>
      <c r="I1833" s="89" t="n">
        <v>8</v>
      </c>
      <c r="J1833" s="90" t="n">
        <v>34.6</v>
      </c>
      <c r="K1833" s="91" t="n">
        <v>16.35</v>
      </c>
      <c r="L1833" s="80" t="n">
        <f aca="false">IF(AND(J1833&lt;&gt;"",K1833&lt;&gt;""),J1833*K1833,"")</f>
        <v>565.71</v>
      </c>
      <c r="M1833" s="81" t="n">
        <f aca="false">IF(L1833&lt;&gt;"",L1833*1.1,"")</f>
        <v>622.281</v>
      </c>
      <c r="N1833" s="47" t="n">
        <f aca="false">IF(F1833="S",L1833*0.02,0)</f>
        <v>0</v>
      </c>
      <c r="O1833" s="82" t="n">
        <f aca="false">IF(L1833&lt;&gt;"",L1833+N1833,"")</f>
        <v>565.71</v>
      </c>
      <c r="P1833" s="47" t="n">
        <f aca="false">IF(O1833&lt;&gt;"",O1833*0.1,"")</f>
        <v>56.571</v>
      </c>
      <c r="Q1833" s="83" t="n">
        <f aca="false">IF(O1833&lt;&gt;"",O1833+P1833,"")</f>
        <v>622.281</v>
      </c>
      <c r="R1833" s="84" t="s">
        <v>365</v>
      </c>
    </row>
    <row r="1834" customFormat="false" ht="15" hidden="false" customHeight="true" outlineLevel="0" collapsed="false">
      <c r="A1834" s="103" t="n">
        <v>56395</v>
      </c>
      <c r="B1834" s="73" t="n">
        <v>46267</v>
      </c>
      <c r="C1834" s="74" t="s">
        <v>799</v>
      </c>
      <c r="D1834" s="75" t="n">
        <v>50514</v>
      </c>
      <c r="E1834" s="52" t="str">
        <f aca="false">IF(D1834&lt;&gt;"",IFERROR(VLOOKUP(D1834,PROVEEDORES!$A:$B,2,0),"!COD NO ENCONTRADO"),"")</f>
        <v>PESCADO Y MARISCOS ADELAIDA S.L.</v>
      </c>
      <c r="F1834" s="76" t="str">
        <f aca="false">IF(D1834&lt;&gt;"",IFERROR(VLOOKUP(D1834,PROVEEDORES!$A:$C,3,0),""),"")</f>
        <v>N</v>
      </c>
      <c r="G1834" s="75" t="s">
        <v>332</v>
      </c>
      <c r="H1834" s="52" t="str">
        <f aca="false">IF(G1834&lt;&gt;"",IFERROR(VLOOKUP(G1834,PRODUCTOS!$A:$B,2,0),"!COD NO ENCONTRADO"),"")</f>
        <v>VARIADO PEQUEÑO</v>
      </c>
      <c r="I1834" s="77" t="n">
        <v>3</v>
      </c>
      <c r="J1834" s="78" t="n">
        <v>8.8</v>
      </c>
      <c r="K1834" s="79" t="n">
        <v>1.3</v>
      </c>
      <c r="L1834" s="80" t="n">
        <f aca="false">IF(AND(J1834&lt;&gt;"",K1834&lt;&gt;""),J1834*K1834,"")</f>
        <v>11.44</v>
      </c>
      <c r="M1834" s="81" t="n">
        <f aca="false">IF(L1834&lt;&gt;"",L1834*1.1,"")</f>
        <v>12.584</v>
      </c>
      <c r="N1834" s="53" t="n">
        <f aca="false">IF(F1834="S",L1834*0.02,0)</f>
        <v>0</v>
      </c>
      <c r="O1834" s="82" t="n">
        <f aca="false">IF(L1834&lt;&gt;"",L1834+N1834,"")</f>
        <v>11.44</v>
      </c>
      <c r="P1834" s="53" t="n">
        <f aca="false">IF(O1834&lt;&gt;"",O1834*0.1,"")</f>
        <v>1.144</v>
      </c>
      <c r="Q1834" s="83" t="n">
        <f aca="false">IF(O1834&lt;&gt;"",O1834+P1834,"")</f>
        <v>12.584</v>
      </c>
      <c r="R1834" s="84" t="s">
        <v>365</v>
      </c>
    </row>
    <row r="1835" customFormat="false" ht="15" hidden="false" customHeight="true" outlineLevel="0" collapsed="false">
      <c r="A1835" s="103" t="n">
        <v>56396</v>
      </c>
      <c r="B1835" s="85" t="n">
        <v>46267</v>
      </c>
      <c r="C1835" s="86" t="s">
        <v>800</v>
      </c>
      <c r="D1835" s="87" t="n">
        <v>50160</v>
      </c>
      <c r="E1835" s="46" t="str">
        <f aca="false">IF(D1835&lt;&gt;"",IFERROR(VLOOKUP(D1835,PROVEEDORES!$A:$B,2,0),"!COD NO ENCONTRADO"),"")</f>
        <v>SUBASTAS CORUÑA S.L.</v>
      </c>
      <c r="F1835" s="88" t="str">
        <f aca="false">IF(D1835&lt;&gt;"",IFERROR(VLOOKUP(D1835,PROVEEDORES!$A:$C,3,0),""),"")</f>
        <v>S</v>
      </c>
      <c r="G1835" s="87" t="s">
        <v>179</v>
      </c>
      <c r="H1835" s="46" t="str">
        <f aca="false">IF(G1835&lt;&gt;"",IFERROR(VLOOKUP(G1835,PRODUCTOS!$A:$B,2,0),"!COD NO ENCONTRADO"),"")</f>
        <v>LIRIO/ BACALADILLA/ PERLA (WHB)</v>
      </c>
      <c r="I1835" s="89" t="n">
        <v>10</v>
      </c>
      <c r="J1835" s="105" t="n">
        <v>144</v>
      </c>
      <c r="K1835" s="125" t="n">
        <v>2.03</v>
      </c>
      <c r="L1835" s="80" t="n">
        <f aca="false">IF(AND(J1835&lt;&gt;"",K1835&lt;&gt;""),J1835*K1835,"")</f>
        <v>292.32</v>
      </c>
      <c r="M1835" s="81" t="n">
        <f aca="false">IF(L1835&lt;&gt;"",L1835*1.1,"")</f>
        <v>321.552</v>
      </c>
      <c r="N1835" s="47" t="n">
        <f aca="false">IF(F1835="S",L1835*0.02,0)</f>
        <v>5.8464</v>
      </c>
      <c r="O1835" s="82" t="n">
        <f aca="false">IF(L1835&lt;&gt;"",L1835+N1835,"")</f>
        <v>298.1664</v>
      </c>
      <c r="P1835" s="47" t="n">
        <f aca="false">IF(O1835&lt;&gt;"",O1835*0.1,"")</f>
        <v>29.81664</v>
      </c>
      <c r="Q1835" s="83" t="n">
        <f aca="false">IF(O1835&lt;&gt;"",O1835+P1835,"")</f>
        <v>327.98304</v>
      </c>
      <c r="R1835" s="84" t="s">
        <v>365</v>
      </c>
    </row>
    <row r="1836" customFormat="false" ht="15" hidden="false" customHeight="true" outlineLevel="0" collapsed="false">
      <c r="A1836" s="103" t="n">
        <v>56396</v>
      </c>
      <c r="B1836" s="73" t="n">
        <v>46267</v>
      </c>
      <c r="C1836" s="86" t="s">
        <v>800</v>
      </c>
      <c r="D1836" s="75" t="n">
        <v>50160</v>
      </c>
      <c r="E1836" s="52" t="str">
        <f aca="false">IF(D1836&lt;&gt;"",IFERROR(VLOOKUP(D1836,PROVEEDORES!$A:$B,2,0),"!COD NO ENCONTRADO"),"")</f>
        <v>SUBASTAS CORUÑA S.L.</v>
      </c>
      <c r="F1836" s="76" t="str">
        <f aca="false">IF(D1836&lt;&gt;"",IFERROR(VLOOKUP(D1836,PROVEEDORES!$A:$C,3,0),""),"")</f>
        <v>S</v>
      </c>
      <c r="G1836" s="75" t="s">
        <v>179</v>
      </c>
      <c r="H1836" s="52" t="str">
        <f aca="false">IF(G1836&lt;&gt;"",IFERROR(VLOOKUP(G1836,PRODUCTOS!$A:$B,2,0),"!COD NO ENCONTRADO"),"")</f>
        <v>LIRIO/ BACALADILLA/ PERLA (WHB)</v>
      </c>
      <c r="I1836" s="77" t="n">
        <v>5</v>
      </c>
      <c r="J1836" s="105" t="n">
        <v>92</v>
      </c>
      <c r="K1836" s="125" t="n">
        <v>2.04</v>
      </c>
      <c r="L1836" s="80" t="n">
        <f aca="false">IF(AND(J1836&lt;&gt;"",K1836&lt;&gt;""),J1836*K1836,"")</f>
        <v>187.68</v>
      </c>
      <c r="M1836" s="81" t="n">
        <f aca="false">IF(L1836&lt;&gt;"",L1836*1.1,"")</f>
        <v>206.448</v>
      </c>
      <c r="N1836" s="53" t="n">
        <f aca="false">IF(F1836="S",L1836*0.02,0)</f>
        <v>3.7536</v>
      </c>
      <c r="O1836" s="82" t="n">
        <f aca="false">IF(L1836&lt;&gt;"",L1836+N1836,"")</f>
        <v>191.4336</v>
      </c>
      <c r="P1836" s="53" t="n">
        <f aca="false">IF(O1836&lt;&gt;"",O1836*0.1,"")</f>
        <v>19.14336</v>
      </c>
      <c r="Q1836" s="83" t="n">
        <f aca="false">IF(O1836&lt;&gt;"",O1836+P1836,"")</f>
        <v>210.57696</v>
      </c>
      <c r="R1836" s="84" t="s">
        <v>365</v>
      </c>
    </row>
    <row r="1837" customFormat="false" ht="15" hidden="false" customHeight="true" outlineLevel="0" collapsed="false">
      <c r="A1837" s="103" t="n">
        <v>56397</v>
      </c>
      <c r="B1837" s="85" t="n">
        <v>46267</v>
      </c>
      <c r="C1837" s="74" t="s">
        <v>801</v>
      </c>
      <c r="D1837" s="75" t="n">
        <v>50001</v>
      </c>
      <c r="E1837" s="52" t="str">
        <f aca="false">IF(D1837&lt;&gt;"",IFERROR(VLOOKUP(D1837,PROVEEDORES!$A:$B,2,0),"!COD NO ENCONTRADO"),"")</f>
        <v>COPESA</v>
      </c>
      <c r="F1837" s="76" t="str">
        <f aca="false">IF(D1837&lt;&gt;"",IFERROR(VLOOKUP(D1837,PROVEEDORES!$A:$C,3,0),""),"")</f>
        <v>S</v>
      </c>
      <c r="G1837" s="75" t="s">
        <v>93</v>
      </c>
      <c r="H1837" s="52" t="str">
        <f aca="false">IF(G1837&lt;&gt;"",IFERROR(VLOOKUP(G1837,PRODUCTOS!$A:$B,2,0),"!COD NO ENCONTRADO"),"")</f>
        <v>BOQUERON/ BOCARTE/ ANCHOA (ANE)</v>
      </c>
      <c r="I1837" s="77" t="n">
        <v>40</v>
      </c>
      <c r="J1837" s="78" t="n">
        <v>339</v>
      </c>
      <c r="K1837" s="79" t="n">
        <v>1.9</v>
      </c>
      <c r="L1837" s="80" t="n">
        <f aca="false">IF(AND(J1837&lt;&gt;"",K1837&lt;&gt;""),J1837*K1837,"")</f>
        <v>644.1</v>
      </c>
      <c r="M1837" s="81" t="n">
        <f aca="false">IF(L1837&lt;&gt;"",L1837*1.1,"")</f>
        <v>708.51</v>
      </c>
      <c r="N1837" s="53" t="n">
        <f aca="false">IF(F1837="S",L1837*0.02,0)</f>
        <v>12.882</v>
      </c>
      <c r="O1837" s="82" t="n">
        <f aca="false">IF(L1837&lt;&gt;"",L1837+N1837,"")</f>
        <v>656.982</v>
      </c>
      <c r="P1837" s="53" t="n">
        <f aca="false">IF(O1837&lt;&gt;"",O1837*0.1,"")</f>
        <v>65.6982</v>
      </c>
      <c r="Q1837" s="83" t="n">
        <f aca="false">IF(O1837&lt;&gt;"",O1837+P1837,"")</f>
        <v>722.6802</v>
      </c>
      <c r="R1837" s="84" t="s">
        <v>365</v>
      </c>
    </row>
    <row r="1838" customFormat="false" ht="15" hidden="false" customHeight="true" outlineLevel="0" collapsed="false">
      <c r="A1838" s="103" t="n">
        <v>56397</v>
      </c>
      <c r="B1838" s="85" t="n">
        <v>46267</v>
      </c>
      <c r="C1838" s="74" t="s">
        <v>801</v>
      </c>
      <c r="D1838" s="75" t="n">
        <v>50001</v>
      </c>
      <c r="E1838" s="52" t="str">
        <f aca="false">IF(D1838&lt;&gt;"",IFERROR(VLOOKUP(D1838,PROVEEDORES!$A:$B,2,0),"!COD NO ENCONTRADO"),"")</f>
        <v>COPESA</v>
      </c>
      <c r="F1838" s="76" t="str">
        <f aca="false">IF(D1838&lt;&gt;"",IFERROR(VLOOKUP(D1838,PROVEEDORES!$A:$C,3,0),""),"")</f>
        <v>S</v>
      </c>
      <c r="G1838" s="75" t="s">
        <v>93</v>
      </c>
      <c r="H1838" s="46" t="str">
        <f aca="false">IF(G1838&lt;&gt;"",IFERROR(VLOOKUP(G1838,PRODUCTOS!$A:$B,2,0),"!COD NO ENCONTRADO"),"")</f>
        <v>BOQUERON/ BOCARTE/ ANCHOA (ANE)</v>
      </c>
      <c r="I1838" s="89" t="n">
        <v>5</v>
      </c>
      <c r="J1838" s="90" t="n">
        <v>45</v>
      </c>
      <c r="K1838" s="91" t="n">
        <v>1.9</v>
      </c>
      <c r="L1838" s="80" t="n">
        <f aca="false">IF(AND(J1838&lt;&gt;"",K1838&lt;&gt;""),J1838*K1838,"")</f>
        <v>85.5</v>
      </c>
      <c r="M1838" s="81" t="n">
        <f aca="false">IF(L1838&lt;&gt;"",L1838*1.1,"")</f>
        <v>94.05</v>
      </c>
      <c r="N1838" s="47" t="n">
        <f aca="false">IF(F1838="S",L1838*0.02,0)</f>
        <v>1.71</v>
      </c>
      <c r="O1838" s="82" t="n">
        <f aca="false">IF(L1838&lt;&gt;"",L1838+N1838,"")</f>
        <v>87.21</v>
      </c>
      <c r="P1838" s="47" t="n">
        <f aca="false">IF(O1838&lt;&gt;"",O1838*0.1,"")</f>
        <v>8.721</v>
      </c>
      <c r="Q1838" s="83" t="n">
        <f aca="false">IF(O1838&lt;&gt;"",O1838+P1838,"")</f>
        <v>95.931</v>
      </c>
      <c r="R1838" s="84" t="s">
        <v>365</v>
      </c>
    </row>
    <row r="1839" customFormat="false" ht="15" hidden="false" customHeight="true" outlineLevel="0" collapsed="false">
      <c r="A1839" s="103" t="n">
        <v>56397</v>
      </c>
      <c r="B1839" s="85" t="n">
        <v>46267</v>
      </c>
      <c r="C1839" s="74" t="s">
        <v>801</v>
      </c>
      <c r="D1839" s="75" t="n">
        <v>50001</v>
      </c>
      <c r="E1839" s="52" t="str">
        <f aca="false">IF(D1839&lt;&gt;"",IFERROR(VLOOKUP(D1839,PROVEEDORES!$A:$B,2,0),"!COD NO ENCONTRADO"),"")</f>
        <v>COPESA</v>
      </c>
      <c r="F1839" s="76" t="str">
        <f aca="false">IF(D1839&lt;&gt;"",IFERROR(VLOOKUP(D1839,PROVEEDORES!$A:$C,3,0),""),"")</f>
        <v>S</v>
      </c>
      <c r="G1839" s="75" t="s">
        <v>276</v>
      </c>
      <c r="H1839" s="52" t="str">
        <f aca="false">IF(G1839&lt;&gt;"",IFERROR(VLOOKUP(G1839,PRODUCTOS!$A:$B,2,0),"!COD NO ENCONTRADO"),"")</f>
        <v>MERLUZA EUROPEA/ FINA DIA </v>
      </c>
      <c r="I1839" s="77" t="n">
        <v>6</v>
      </c>
      <c r="J1839" s="78" t="n">
        <v>40</v>
      </c>
      <c r="K1839" s="79" t="n">
        <v>3.6</v>
      </c>
      <c r="L1839" s="80" t="n">
        <f aca="false">IF(AND(J1839&lt;&gt;"",K1839&lt;&gt;""),J1839*K1839,"")</f>
        <v>144</v>
      </c>
      <c r="M1839" s="81" t="n">
        <f aca="false">IF(L1839&lt;&gt;"",L1839*1.1,"")</f>
        <v>158.4</v>
      </c>
      <c r="N1839" s="53" t="n">
        <f aca="false">IF(F1839="S",L1839*0.02,0)</f>
        <v>2.88</v>
      </c>
      <c r="O1839" s="82" t="n">
        <f aca="false">IF(L1839&lt;&gt;"",L1839+N1839,"")</f>
        <v>146.88</v>
      </c>
      <c r="P1839" s="53" t="n">
        <f aca="false">IF(O1839&lt;&gt;"",O1839*0.1,"")</f>
        <v>14.688</v>
      </c>
      <c r="Q1839" s="83" t="n">
        <f aca="false">IF(O1839&lt;&gt;"",O1839+P1839,"")</f>
        <v>161.568</v>
      </c>
      <c r="R1839" s="84" t="s">
        <v>365</v>
      </c>
    </row>
    <row r="1840" customFormat="false" ht="15" hidden="false" customHeight="true" outlineLevel="0" collapsed="false">
      <c r="A1840" s="103" t="n">
        <v>56398</v>
      </c>
      <c r="B1840" s="85" t="n">
        <v>46267</v>
      </c>
      <c r="C1840" s="86" t="s">
        <v>802</v>
      </c>
      <c r="D1840" s="87" t="n">
        <v>50010</v>
      </c>
      <c r="E1840" s="46" t="str">
        <f aca="false">IF(D1840&lt;&gt;"",IFERROR(VLOOKUP(D1840,PROVEEDORES!$A:$B,2,0),"!COD NO ENCONTRADO"),"")</f>
        <v>PERFECTO MONTERO</v>
      </c>
      <c r="F1840" s="88" t="str">
        <f aca="false">IF(D1840&lt;&gt;"",IFERROR(VLOOKUP(D1840,PROVEEDORES!$A:$C,3,0),""),"")</f>
        <v>S</v>
      </c>
      <c r="G1840" s="87" t="s">
        <v>91</v>
      </c>
      <c r="H1840" s="46" t="str">
        <f aca="false">IF(G1840&lt;&gt;"",IFERROR(VLOOKUP(G1840,PRODUCTOS!$A:$B,2,0),"!COD NO ENCONTRADO"),"")</f>
        <v>BONITO DEL NORTE 5/7</v>
      </c>
      <c r="I1840" s="89" t="n">
        <v>1</v>
      </c>
      <c r="J1840" s="90" t="n">
        <v>27.75</v>
      </c>
      <c r="K1840" s="91" t="n">
        <v>5.4</v>
      </c>
      <c r="L1840" s="80" t="n">
        <f aca="false">IF(AND(J1840&lt;&gt;"",K1840&lt;&gt;""),J1840*K1840,"")</f>
        <v>149.85</v>
      </c>
      <c r="M1840" s="81" t="n">
        <f aca="false">IF(L1840&lt;&gt;"",L1840*1.1,"")</f>
        <v>164.835</v>
      </c>
      <c r="N1840" s="47" t="n">
        <f aca="false">IF(F1840="S",L1840*0.02,0)</f>
        <v>2.997</v>
      </c>
      <c r="O1840" s="82" t="n">
        <f aca="false">IF(L1840&lt;&gt;"",L1840+N1840,"")</f>
        <v>152.847</v>
      </c>
      <c r="P1840" s="47" t="n">
        <f aca="false">IF(O1840&lt;&gt;"",O1840*0.1,"")</f>
        <v>15.2847</v>
      </c>
      <c r="Q1840" s="83" t="n">
        <f aca="false">IF(O1840&lt;&gt;"",O1840+P1840,"")</f>
        <v>168.1317</v>
      </c>
      <c r="R1840" s="84" t="s">
        <v>365</v>
      </c>
    </row>
    <row r="1841" customFormat="false" ht="15" hidden="false" customHeight="true" outlineLevel="0" collapsed="false">
      <c r="A1841" s="103" t="n">
        <v>56398</v>
      </c>
      <c r="B1841" s="85" t="n">
        <v>46267</v>
      </c>
      <c r="C1841" s="86" t="s">
        <v>802</v>
      </c>
      <c r="D1841" s="75" t="n">
        <v>50010</v>
      </c>
      <c r="E1841" s="52" t="str">
        <f aca="false">IF(D1841&lt;&gt;"",IFERROR(VLOOKUP(D1841,PROVEEDORES!$A:$B,2,0),"!COD NO ENCONTRADO"),"")</f>
        <v>PERFECTO MONTERO</v>
      </c>
      <c r="F1841" s="76" t="str">
        <f aca="false">IF(D1841&lt;&gt;"",IFERROR(VLOOKUP(D1841,PROVEEDORES!$A:$C,3,0),""),"")</f>
        <v>S</v>
      </c>
      <c r="G1841" s="75" t="s">
        <v>91</v>
      </c>
      <c r="H1841" s="52" t="str">
        <f aca="false">IF(G1841&lt;&gt;"",IFERROR(VLOOKUP(G1841,PRODUCTOS!$A:$B,2,0),"!COD NO ENCONTRADO"),"")</f>
        <v>BONITO DEL NORTE 5/7</v>
      </c>
      <c r="I1841" s="77" t="n">
        <v>1</v>
      </c>
      <c r="J1841" s="78" t="n">
        <v>16.5</v>
      </c>
      <c r="K1841" s="79" t="n">
        <v>5.4</v>
      </c>
      <c r="L1841" s="80" t="n">
        <f aca="false">IF(AND(J1841&lt;&gt;"",K1841&lt;&gt;""),J1841*K1841,"")</f>
        <v>89.1</v>
      </c>
      <c r="M1841" s="81" t="n">
        <f aca="false">IF(L1841&lt;&gt;"",L1841*1.1,"")</f>
        <v>98.01</v>
      </c>
      <c r="N1841" s="53" t="n">
        <f aca="false">IF(F1841="S",L1841*0.02,0)</f>
        <v>1.782</v>
      </c>
      <c r="O1841" s="82" t="n">
        <f aca="false">IF(L1841&lt;&gt;"",L1841+N1841,"")</f>
        <v>90.882</v>
      </c>
      <c r="P1841" s="53" t="n">
        <f aca="false">IF(O1841&lt;&gt;"",O1841*0.1,"")</f>
        <v>9.0882</v>
      </c>
      <c r="Q1841" s="83" t="n">
        <f aca="false">IF(O1841&lt;&gt;"",O1841+P1841,"")</f>
        <v>99.9702</v>
      </c>
      <c r="R1841" s="84" t="s">
        <v>365</v>
      </c>
    </row>
    <row r="1842" customFormat="false" ht="15" hidden="false" customHeight="true" outlineLevel="0" collapsed="false">
      <c r="A1842" s="103" t="n">
        <v>56399</v>
      </c>
      <c r="B1842" s="85" t="n">
        <v>46267</v>
      </c>
      <c r="C1842" s="86" t="s">
        <v>800</v>
      </c>
      <c r="D1842" s="87" t="n">
        <v>50160</v>
      </c>
      <c r="E1842" s="46" t="str">
        <f aca="false">IF(D1842&lt;&gt;"",IFERROR(VLOOKUP(D1842,PROVEEDORES!$A:$B,2,0),"!COD NO ENCONTRADO"),"")</f>
        <v>SUBASTAS CORUÑA S.L.</v>
      </c>
      <c r="F1842" s="88" t="str">
        <f aca="false">IF(D1842&lt;&gt;"",IFERROR(VLOOKUP(D1842,PROVEEDORES!$A:$C,3,0),""),"")</f>
        <v>S</v>
      </c>
      <c r="G1842" s="87" t="s">
        <v>332</v>
      </c>
      <c r="H1842" s="46" t="str">
        <f aca="false">IF(G1842&lt;&gt;"",IFERROR(VLOOKUP(G1842,PRODUCTOS!$A:$B,2,0),"!COD NO ENCONTRADO"),"")</f>
        <v>VARIADO PEQUEÑO</v>
      </c>
      <c r="I1842" s="89" t="n">
        <v>1</v>
      </c>
      <c r="J1842" s="105" t="n">
        <v>7.75</v>
      </c>
      <c r="K1842" s="125" t="n">
        <v>0.5</v>
      </c>
      <c r="L1842" s="80" t="n">
        <f aca="false">IF(AND(J1842&lt;&gt;"",K1842&lt;&gt;""),J1842*K1842,"")</f>
        <v>3.875</v>
      </c>
      <c r="M1842" s="81" t="n">
        <f aca="false">IF(L1842&lt;&gt;"",L1842*1.1,"")</f>
        <v>4.2625</v>
      </c>
      <c r="N1842" s="47" t="n">
        <f aca="false">IF(F1842="S",L1842*0.02,0)</f>
        <v>0.0775</v>
      </c>
      <c r="O1842" s="82" t="n">
        <f aca="false">IF(L1842&lt;&gt;"",L1842+N1842,"")</f>
        <v>3.9525</v>
      </c>
      <c r="P1842" s="47" t="n">
        <f aca="false">IF(O1842&lt;&gt;"",O1842*0.1,"")</f>
        <v>0.39525</v>
      </c>
      <c r="Q1842" s="83" t="n">
        <f aca="false">IF(O1842&lt;&gt;"",O1842+P1842,"")</f>
        <v>4.34775</v>
      </c>
      <c r="R1842" s="84" t="s">
        <v>365</v>
      </c>
    </row>
    <row r="1843" customFormat="false" ht="15" hidden="false" customHeight="true" outlineLevel="0" collapsed="false">
      <c r="A1843" s="103" t="n">
        <v>56399</v>
      </c>
      <c r="B1843" s="85" t="n">
        <v>46267</v>
      </c>
      <c r="C1843" s="86" t="s">
        <v>800</v>
      </c>
      <c r="D1843" s="75" t="n">
        <v>50160</v>
      </c>
      <c r="E1843" s="52" t="str">
        <f aca="false">IF(D1843&lt;&gt;"",IFERROR(VLOOKUP(D1843,PROVEEDORES!$A:$B,2,0),"!COD NO ENCONTRADO"),"")</f>
        <v>SUBASTAS CORUÑA S.L.</v>
      </c>
      <c r="F1843" s="76" t="str">
        <f aca="false">IF(D1843&lt;&gt;"",IFERROR(VLOOKUP(D1843,PROVEEDORES!$A:$C,3,0),""),"")</f>
        <v>S</v>
      </c>
      <c r="G1843" s="75" t="s">
        <v>332</v>
      </c>
      <c r="H1843" s="52" t="str">
        <f aca="false">IF(G1843&lt;&gt;"",IFERROR(VLOOKUP(G1843,PRODUCTOS!$A:$B,2,0),"!COD NO ENCONTRADO"),"")</f>
        <v>VARIADO PEQUEÑO</v>
      </c>
      <c r="I1843" s="77" t="n">
        <v>4</v>
      </c>
      <c r="J1843" s="105" t="n">
        <v>42.25</v>
      </c>
      <c r="K1843" s="125" t="n">
        <v>0.5</v>
      </c>
      <c r="L1843" s="80" t="n">
        <f aca="false">IF(AND(J1843&lt;&gt;"",K1843&lt;&gt;""),J1843*K1843,"")</f>
        <v>21.125</v>
      </c>
      <c r="M1843" s="81" t="n">
        <f aca="false">IF(L1843&lt;&gt;"",L1843*1.1,"")</f>
        <v>23.2375</v>
      </c>
      <c r="N1843" s="53" t="n">
        <f aca="false">IF(F1843="S",L1843*0.02,0)</f>
        <v>0.4225</v>
      </c>
      <c r="O1843" s="82" t="n">
        <f aca="false">IF(L1843&lt;&gt;"",L1843+N1843,"")</f>
        <v>21.5475</v>
      </c>
      <c r="P1843" s="53" t="n">
        <f aca="false">IF(O1843&lt;&gt;"",O1843*0.1,"")</f>
        <v>2.15475</v>
      </c>
      <c r="Q1843" s="83" t="n">
        <f aca="false">IF(O1843&lt;&gt;"",O1843+P1843,"")</f>
        <v>23.70225</v>
      </c>
      <c r="R1843" s="84" t="s">
        <v>365</v>
      </c>
    </row>
    <row r="1844" customFormat="false" ht="15" hidden="false" customHeight="true" outlineLevel="0" collapsed="false">
      <c r="A1844" s="103" t="n">
        <v>56399</v>
      </c>
      <c r="B1844" s="85" t="n">
        <v>46267</v>
      </c>
      <c r="C1844" s="86" t="s">
        <v>800</v>
      </c>
      <c r="D1844" s="75" t="n">
        <v>50160</v>
      </c>
      <c r="E1844" s="46" t="str">
        <f aca="false">IF(D1844&lt;&gt;"",IFERROR(VLOOKUP(D1844,PROVEEDORES!$A:$B,2,0),"!COD NO ENCONTRADO"),"")</f>
        <v>SUBASTAS CORUÑA S.L.</v>
      </c>
      <c r="F1844" s="88" t="str">
        <f aca="false">IF(D1844&lt;&gt;"",IFERROR(VLOOKUP(D1844,PROVEEDORES!$A:$C,3,0),""),"")</f>
        <v>S</v>
      </c>
      <c r="G1844" s="87" t="s">
        <v>276</v>
      </c>
      <c r="H1844" s="46" t="str">
        <f aca="false">IF(G1844&lt;&gt;"",IFERROR(VLOOKUP(G1844,PRODUCTOS!$A:$B,2,0),"!COD NO ENCONTRADO"),"")</f>
        <v>MERLUZA EUROPEA/ FINA DIA </v>
      </c>
      <c r="I1844" s="89" t="n">
        <v>4</v>
      </c>
      <c r="J1844" s="105" t="n">
        <v>41.75</v>
      </c>
      <c r="K1844" s="125" t="n">
        <v>3</v>
      </c>
      <c r="L1844" s="80" t="n">
        <f aca="false">IF(AND(J1844&lt;&gt;"",K1844&lt;&gt;""),J1844*K1844,"")</f>
        <v>125.25</v>
      </c>
      <c r="M1844" s="81" t="n">
        <f aca="false">IF(L1844&lt;&gt;"",L1844*1.1,"")</f>
        <v>137.775</v>
      </c>
      <c r="N1844" s="47" t="n">
        <f aca="false">IF(F1844="S",L1844*0.02,0)</f>
        <v>2.505</v>
      </c>
      <c r="O1844" s="82" t="n">
        <f aca="false">IF(L1844&lt;&gt;"",L1844+N1844,"")</f>
        <v>127.755</v>
      </c>
      <c r="P1844" s="47" t="n">
        <f aca="false">IF(O1844&lt;&gt;"",O1844*0.1,"")</f>
        <v>12.7755</v>
      </c>
      <c r="Q1844" s="83" t="n">
        <f aca="false">IF(O1844&lt;&gt;"",O1844+P1844,"")</f>
        <v>140.5305</v>
      </c>
      <c r="R1844" s="84" t="s">
        <v>365</v>
      </c>
    </row>
    <row r="1845" customFormat="false" ht="15" hidden="false" customHeight="true" outlineLevel="0" collapsed="false">
      <c r="A1845" s="103" t="n">
        <v>56399</v>
      </c>
      <c r="B1845" s="85" t="n">
        <v>46267</v>
      </c>
      <c r="C1845" s="86" t="s">
        <v>800</v>
      </c>
      <c r="D1845" s="75" t="n">
        <v>50160</v>
      </c>
      <c r="E1845" s="52" t="str">
        <f aca="false">IF(D1845&lt;&gt;"",IFERROR(VLOOKUP(D1845,PROVEEDORES!$A:$B,2,0),"!COD NO ENCONTRADO"),"")</f>
        <v>SUBASTAS CORUÑA S.L.</v>
      </c>
      <c r="F1845" s="76" t="str">
        <f aca="false">IF(D1845&lt;&gt;"",IFERROR(VLOOKUP(D1845,PROVEEDORES!$A:$C,3,0),""),"")</f>
        <v>S</v>
      </c>
      <c r="G1845" s="75" t="s">
        <v>276</v>
      </c>
      <c r="H1845" s="52" t="str">
        <f aca="false">IF(G1845&lt;&gt;"",IFERROR(VLOOKUP(G1845,PRODUCTOS!$A:$B,2,0),"!COD NO ENCONTRADO"),"")</f>
        <v>MERLUZA EUROPEA/ FINA DIA </v>
      </c>
      <c r="I1845" s="77" t="n">
        <v>3</v>
      </c>
      <c r="J1845" s="105" t="n">
        <v>27.75</v>
      </c>
      <c r="K1845" s="125" t="n">
        <v>3.8</v>
      </c>
      <c r="L1845" s="80" t="n">
        <f aca="false">IF(AND(J1845&lt;&gt;"",K1845&lt;&gt;""),J1845*K1845,"")</f>
        <v>105.45</v>
      </c>
      <c r="M1845" s="81" t="n">
        <f aca="false">IF(L1845&lt;&gt;"",L1845*1.1,"")</f>
        <v>115.995</v>
      </c>
      <c r="N1845" s="53" t="n">
        <f aca="false">IF(F1845="S",L1845*0.02,0)</f>
        <v>2.109</v>
      </c>
      <c r="O1845" s="82" t="n">
        <f aca="false">IF(L1845&lt;&gt;"",L1845+N1845,"")</f>
        <v>107.559</v>
      </c>
      <c r="P1845" s="53" t="n">
        <f aca="false">IF(O1845&lt;&gt;"",O1845*0.1,"")</f>
        <v>10.7559</v>
      </c>
      <c r="Q1845" s="83" t="n">
        <f aca="false">IF(O1845&lt;&gt;"",O1845+P1845,"")</f>
        <v>118.3149</v>
      </c>
      <c r="R1845" s="84" t="s">
        <v>365</v>
      </c>
    </row>
    <row r="1846" customFormat="false" ht="15" hidden="false" customHeight="true" outlineLevel="0" collapsed="false">
      <c r="A1846" s="103" t="n">
        <v>56399</v>
      </c>
      <c r="B1846" s="85" t="n">
        <v>46267</v>
      </c>
      <c r="C1846" s="86" t="s">
        <v>800</v>
      </c>
      <c r="D1846" s="75" t="n">
        <v>50160</v>
      </c>
      <c r="E1846" s="46" t="str">
        <f aca="false">IF(D1846&lt;&gt;"",IFERROR(VLOOKUP(D1846,PROVEEDORES!$A:$B,2,0),"!COD NO ENCONTRADO"),"")</f>
        <v>SUBASTAS CORUÑA S.L.</v>
      </c>
      <c r="F1846" s="88" t="str">
        <f aca="false">IF(D1846&lt;&gt;"",IFERROR(VLOOKUP(D1846,PROVEEDORES!$A:$C,3,0),""),"")</f>
        <v>S</v>
      </c>
      <c r="G1846" s="87" t="s">
        <v>93</v>
      </c>
      <c r="H1846" s="46" t="str">
        <f aca="false">IF(G1846&lt;&gt;"",IFERROR(VLOOKUP(G1846,PRODUCTOS!$A:$B,2,0),"!COD NO ENCONTRADO"),"")</f>
        <v>BOQUERON/ BOCARTE/ ANCHOA (ANE)</v>
      </c>
      <c r="I1846" s="89" t="n">
        <v>40</v>
      </c>
      <c r="J1846" s="121" t="n">
        <v>319</v>
      </c>
      <c r="K1846" s="125" t="n">
        <v>1.78</v>
      </c>
      <c r="L1846" s="80" t="n">
        <f aca="false">IF(AND(J1846&lt;&gt;"",K1846&lt;&gt;""),J1846*K1846,"")</f>
        <v>567.82</v>
      </c>
      <c r="M1846" s="81" t="n">
        <f aca="false">IF(L1846&lt;&gt;"",L1846*1.1,"")</f>
        <v>624.602</v>
      </c>
      <c r="N1846" s="47" t="n">
        <f aca="false">IF(F1846="S",L1846*0.02,0)</f>
        <v>11.3564</v>
      </c>
      <c r="O1846" s="82" t="n">
        <f aca="false">IF(L1846&lt;&gt;"",L1846+N1846,"")</f>
        <v>579.1764</v>
      </c>
      <c r="P1846" s="47" t="n">
        <f aca="false">IF(O1846&lt;&gt;"",O1846*0.1,"")</f>
        <v>57.91764</v>
      </c>
      <c r="Q1846" s="83" t="n">
        <f aca="false">IF(O1846&lt;&gt;"",O1846+P1846,"")</f>
        <v>637.09404</v>
      </c>
      <c r="R1846" s="84" t="s">
        <v>365</v>
      </c>
    </row>
    <row r="1847" customFormat="false" ht="15" hidden="false" customHeight="true" outlineLevel="0" collapsed="false">
      <c r="A1847" s="103" t="n">
        <v>56399</v>
      </c>
      <c r="B1847" s="85" t="n">
        <v>46267</v>
      </c>
      <c r="C1847" s="86" t="s">
        <v>800</v>
      </c>
      <c r="D1847" s="75" t="n">
        <v>50160</v>
      </c>
      <c r="E1847" s="52" t="str">
        <f aca="false">IF(D1847&lt;&gt;"",IFERROR(VLOOKUP(D1847,PROVEEDORES!$A:$B,2,0),"!COD NO ENCONTRADO"),"")</f>
        <v>SUBASTAS CORUÑA S.L.</v>
      </c>
      <c r="F1847" s="76" t="str">
        <f aca="false">IF(D1847&lt;&gt;"",IFERROR(VLOOKUP(D1847,PROVEEDORES!$A:$C,3,0),""),"")</f>
        <v>S</v>
      </c>
      <c r="G1847" s="75" t="s">
        <v>93</v>
      </c>
      <c r="H1847" s="52" t="str">
        <f aca="false">IF(G1847&lt;&gt;"",IFERROR(VLOOKUP(G1847,PRODUCTOS!$A:$B,2,0),"!COD NO ENCONTRADO"),"")</f>
        <v>BOQUERON/ BOCARTE/ ANCHOA (ANE)</v>
      </c>
      <c r="I1847" s="77" t="n">
        <v>40</v>
      </c>
      <c r="J1847" s="105" t="n">
        <v>317</v>
      </c>
      <c r="K1847" s="125" t="n">
        <v>1.78</v>
      </c>
      <c r="L1847" s="80" t="n">
        <f aca="false">IF(AND(J1847&lt;&gt;"",K1847&lt;&gt;""),J1847*K1847,"")</f>
        <v>564.26</v>
      </c>
      <c r="M1847" s="81" t="n">
        <f aca="false">IF(L1847&lt;&gt;"",L1847*1.1,"")</f>
        <v>620.686</v>
      </c>
      <c r="N1847" s="53" t="n">
        <f aca="false">IF(F1847="S",L1847*0.02,0)</f>
        <v>11.2852</v>
      </c>
      <c r="O1847" s="82" t="n">
        <f aca="false">IF(L1847&lt;&gt;"",L1847+N1847,"")</f>
        <v>575.5452</v>
      </c>
      <c r="P1847" s="53" t="n">
        <f aca="false">IF(O1847&lt;&gt;"",O1847*0.1,"")</f>
        <v>57.55452</v>
      </c>
      <c r="Q1847" s="83" t="n">
        <f aca="false">IF(O1847&lt;&gt;"",O1847+P1847,"")</f>
        <v>633.09972</v>
      </c>
      <c r="R1847" s="84" t="s">
        <v>365</v>
      </c>
    </row>
    <row r="1848" customFormat="false" ht="15" hidden="false" customHeight="true" outlineLevel="0" collapsed="false">
      <c r="A1848" s="103" t="n">
        <v>56400</v>
      </c>
      <c r="B1848" s="85" t="n">
        <v>46267</v>
      </c>
      <c r="C1848" s="86" t="s">
        <v>803</v>
      </c>
      <c r="D1848" s="87" t="n">
        <v>50521</v>
      </c>
      <c r="E1848" s="46" t="str">
        <f aca="false">IF(D1848&lt;&gt;"",IFERROR(VLOOKUP(D1848,PROVEEDORES!$A:$B,2,0),"!COD NO ENCONTRADO"),"")</f>
        <v>SUBASTAS DE ATLANTICO S.L</v>
      </c>
      <c r="F1848" s="88" t="str">
        <f aca="false">IF(D1848&lt;&gt;"",IFERROR(VLOOKUP(D1848,PROVEEDORES!$A:$C,3,0),""),"")</f>
        <v>S</v>
      </c>
      <c r="G1848" s="87" t="s">
        <v>93</v>
      </c>
      <c r="H1848" s="46" t="str">
        <f aca="false">IF(G1848&lt;&gt;"",IFERROR(VLOOKUP(G1848,PRODUCTOS!$A:$B,2,0),"!COD NO ENCONTRADO"),"")</f>
        <v>BOQUERON/ BOCARTE/ ANCHOA (ANE)</v>
      </c>
      <c r="I1848" s="89" t="n">
        <v>50</v>
      </c>
      <c r="J1848" s="105" t="n">
        <v>460</v>
      </c>
      <c r="K1848" s="91" t="n">
        <v>1.9</v>
      </c>
      <c r="L1848" s="80" t="n">
        <f aca="false">IF(AND(J1848&lt;&gt;"",K1848&lt;&gt;""),J1848*K1848,"")</f>
        <v>874</v>
      </c>
      <c r="M1848" s="81" t="n">
        <f aca="false">IF(L1848&lt;&gt;"",L1848*1.1,"")</f>
        <v>961.4</v>
      </c>
      <c r="N1848" s="47" t="n">
        <f aca="false">IF(F1848="S",L1848*0.02,0)</f>
        <v>17.48</v>
      </c>
      <c r="O1848" s="82" t="n">
        <f aca="false">IF(L1848&lt;&gt;"",L1848+N1848,"")</f>
        <v>891.48</v>
      </c>
      <c r="P1848" s="47" t="n">
        <f aca="false">IF(O1848&lt;&gt;"",O1848*0.1,"")</f>
        <v>89.148</v>
      </c>
      <c r="Q1848" s="83" t="n">
        <f aca="false">IF(O1848&lt;&gt;"",O1848+P1848,"")</f>
        <v>980.628</v>
      </c>
      <c r="R1848" s="84" t="s">
        <v>365</v>
      </c>
    </row>
    <row r="1849" customFormat="false" ht="15" hidden="false" customHeight="true" outlineLevel="0" collapsed="false">
      <c r="A1849" s="103" t="n">
        <v>56400</v>
      </c>
      <c r="B1849" s="73" t="n">
        <v>46267</v>
      </c>
      <c r="C1849" s="74" t="s">
        <v>803</v>
      </c>
      <c r="D1849" s="75" t="n">
        <v>50521</v>
      </c>
      <c r="E1849" s="52" t="str">
        <f aca="false">IF(D1849&lt;&gt;"",IFERROR(VLOOKUP(D1849,PROVEEDORES!$A:$B,2,0),"!COD NO ENCONTRADO"),"")</f>
        <v>SUBASTAS DE ATLANTICO S.L</v>
      </c>
      <c r="F1849" s="76" t="str">
        <f aca="false">IF(D1849&lt;&gt;"",IFERROR(VLOOKUP(D1849,PROVEEDORES!$A:$C,3,0),""),"")</f>
        <v>S</v>
      </c>
      <c r="G1849" s="75" t="s">
        <v>93</v>
      </c>
      <c r="H1849" s="52" t="str">
        <f aca="false">IF(G1849&lt;&gt;"",IFERROR(VLOOKUP(G1849,PRODUCTOS!$A:$B,2,0),"!COD NO ENCONTRADO"),"")</f>
        <v>BOQUERON/ BOCARTE/ ANCHOA (ANE)</v>
      </c>
      <c r="I1849" s="77" t="n">
        <v>30</v>
      </c>
      <c r="J1849" s="78" t="n">
        <v>256</v>
      </c>
      <c r="K1849" s="79" t="n">
        <v>1.9</v>
      </c>
      <c r="L1849" s="80" t="n">
        <f aca="false">IF(AND(J1849&lt;&gt;"",K1849&lt;&gt;""),J1849*K1849,"")</f>
        <v>486.4</v>
      </c>
      <c r="M1849" s="81" t="n">
        <f aca="false">IF(L1849&lt;&gt;"",L1849*1.1,"")</f>
        <v>535.04</v>
      </c>
      <c r="N1849" s="53" t="n">
        <f aca="false">IF(F1849="S",L1849*0.02,0)</f>
        <v>9.728</v>
      </c>
      <c r="O1849" s="82" t="n">
        <f aca="false">IF(L1849&lt;&gt;"",L1849+N1849,"")</f>
        <v>496.128</v>
      </c>
      <c r="P1849" s="53" t="n">
        <f aca="false">IF(O1849&lt;&gt;"",O1849*0.1,"")</f>
        <v>49.6128</v>
      </c>
      <c r="Q1849" s="83" t="n">
        <f aca="false">IF(O1849&lt;&gt;"",O1849+P1849,"")</f>
        <v>545.7408</v>
      </c>
      <c r="R1849" s="84" t="s">
        <v>365</v>
      </c>
    </row>
    <row r="1850" customFormat="false" ht="15" hidden="false" customHeight="true" outlineLevel="0" collapsed="false">
      <c r="A1850" s="103" t="n">
        <v>56401</v>
      </c>
      <c r="B1850" s="85" t="n">
        <v>46267</v>
      </c>
      <c r="C1850" s="86" t="s">
        <v>804</v>
      </c>
      <c r="D1850" s="87" t="n">
        <v>50048</v>
      </c>
      <c r="E1850" s="46" t="str">
        <f aca="false">IF(D1850&lt;&gt;"",IFERROR(VLOOKUP(D1850,PROVEEDORES!$A:$B,2,0),"!COD NO ENCONTRADO"),"")</f>
        <v>JOSE LUIS CORREA KESSLER S.L.</v>
      </c>
      <c r="F1850" s="88" t="str">
        <f aca="false">IF(D1850&lt;&gt;"",IFERROR(VLOOKUP(D1850,PROVEEDORES!$A:$C,3,0),""),"")</f>
        <v>N</v>
      </c>
      <c r="G1850" s="87" t="s">
        <v>179</v>
      </c>
      <c r="H1850" s="46" t="str">
        <f aca="false">IF(G1850&lt;&gt;"",IFERROR(VLOOKUP(G1850,PRODUCTOS!$A:$B,2,0),"!COD NO ENCONTRADO"),"")</f>
        <v>LIRIO/ BACALADILLA/ PERLA (WHB)</v>
      </c>
      <c r="I1850" s="89" t="n">
        <v>10</v>
      </c>
      <c r="J1850" s="90" t="n">
        <v>60</v>
      </c>
      <c r="K1850" s="125" t="n">
        <v>1.9</v>
      </c>
      <c r="L1850" s="80" t="n">
        <f aca="false">IF(AND(J1850&lt;&gt;"",K1850&lt;&gt;""),J1850*K1850,"")</f>
        <v>114</v>
      </c>
      <c r="M1850" s="81" t="n">
        <f aca="false">IF(L1850&lt;&gt;"",L1850*1.1,"")</f>
        <v>125.4</v>
      </c>
      <c r="N1850" s="47" t="n">
        <f aca="false">IF(F1850="S",L1850*0.02,0)</f>
        <v>0</v>
      </c>
      <c r="O1850" s="82" t="n">
        <f aca="false">IF(L1850&lt;&gt;"",L1850+N1850,"")</f>
        <v>114</v>
      </c>
      <c r="P1850" s="47" t="n">
        <f aca="false">IF(O1850&lt;&gt;"",O1850*0.1,"")</f>
        <v>11.4</v>
      </c>
      <c r="Q1850" s="83" t="n">
        <f aca="false">IF(O1850&lt;&gt;"",O1850+P1850,"")</f>
        <v>125.4</v>
      </c>
      <c r="R1850" s="84" t="s">
        <v>365</v>
      </c>
    </row>
    <row r="1851" customFormat="false" ht="15" hidden="false" customHeight="true" outlineLevel="0" collapsed="false">
      <c r="A1851" s="103" t="n">
        <v>56401</v>
      </c>
      <c r="B1851" s="85" t="n">
        <v>46267</v>
      </c>
      <c r="C1851" s="86" t="s">
        <v>804</v>
      </c>
      <c r="D1851" s="87" t="n">
        <v>50048</v>
      </c>
      <c r="E1851" s="46" t="str">
        <f aca="false">IF(D1851&lt;&gt;"",IFERROR(VLOOKUP(D1851,PROVEEDORES!$A:$B,2,0),"!COD NO ENCONTRADO"),"")</f>
        <v>JOSE LUIS CORREA KESSLER S.L.</v>
      </c>
      <c r="F1851" s="88" t="str">
        <f aca="false">IF(D1851&lt;&gt;"",IFERROR(VLOOKUP(D1851,PROVEEDORES!$A:$C,3,0),""),"")</f>
        <v>N</v>
      </c>
      <c r="G1851" s="87" t="s">
        <v>324</v>
      </c>
      <c r="H1851" s="46" t="str">
        <f aca="false">IF(G1851&lt;&gt;"",IFERROR(VLOOKUP(G1851,PRODUCTOS!$A:$B,2,0),"!COD NO ENCONTRADO"),"")</f>
        <v>SARDINA    (PIL)</v>
      </c>
      <c r="I1851" s="89" t="n">
        <v>5</v>
      </c>
      <c r="J1851" s="90" t="n">
        <v>30</v>
      </c>
      <c r="K1851" s="125" t="n">
        <v>2.95</v>
      </c>
      <c r="L1851" s="80" t="n">
        <f aca="false">IF(AND(J1851&lt;&gt;"",K1851&lt;&gt;""),J1851*K1851,"")</f>
        <v>88.5</v>
      </c>
      <c r="M1851" s="81" t="n">
        <f aca="false">IF(L1851&lt;&gt;"",L1851*1.1,"")</f>
        <v>97.35</v>
      </c>
      <c r="N1851" s="47" t="n">
        <f aca="false">IF(F1851="S",L1851*0.02,0)</f>
        <v>0</v>
      </c>
      <c r="O1851" s="82" t="n">
        <f aca="false">IF(L1851&lt;&gt;"",L1851+N1851,"")</f>
        <v>88.5</v>
      </c>
      <c r="P1851" s="47" t="n">
        <f aca="false">IF(O1851&lt;&gt;"",O1851*0.1,"")</f>
        <v>8.85</v>
      </c>
      <c r="Q1851" s="83" t="n">
        <f aca="false">IF(O1851&lt;&gt;"",O1851+P1851,"")</f>
        <v>97.35</v>
      </c>
      <c r="R1851" s="84" t="s">
        <v>365</v>
      </c>
    </row>
    <row r="1852" customFormat="false" ht="15" hidden="false" customHeight="true" outlineLevel="0" collapsed="false">
      <c r="A1852" s="103" t="n">
        <v>56402</v>
      </c>
      <c r="B1852" s="73" t="n">
        <v>46267</v>
      </c>
      <c r="C1852" s="74" t="s">
        <v>805</v>
      </c>
      <c r="D1852" s="75" t="n">
        <v>50152</v>
      </c>
      <c r="E1852" s="52" t="str">
        <f aca="false">IF(D1852&lt;&gt;"",IFERROR(VLOOKUP(D1852,PROVEEDORES!$A:$B,2,0),"!COD NO ENCONTRADO"),"")</f>
        <v>DOMAR CORUÑA S.L</v>
      </c>
      <c r="F1852" s="76" t="str">
        <f aca="false">IF(D1852&lt;&gt;"",IFERROR(VLOOKUP(D1852,PROVEEDORES!$A:$C,3,0),""),"")</f>
        <v>N</v>
      </c>
      <c r="G1852" s="75" t="s">
        <v>125</v>
      </c>
      <c r="H1852" s="52" t="str">
        <f aca="false">IF(G1852&lt;&gt;"",IFERROR(VLOOKUP(G1852,PRODUCTOS!$A:$B,2,0),"!COD NO ENCONTRADO"),"")</f>
        <v>CIGALA "3P" (NEP)</v>
      </c>
      <c r="I1852" s="77" t="n">
        <v>2</v>
      </c>
      <c r="J1852" s="78" t="n">
        <v>4</v>
      </c>
      <c r="K1852" s="125" t="n">
        <v>17.5</v>
      </c>
      <c r="L1852" s="80" t="n">
        <f aca="false">IF(AND(J1852&lt;&gt;"",K1852&lt;&gt;""),J1852*K1852,"")</f>
        <v>70</v>
      </c>
      <c r="M1852" s="81" t="n">
        <f aca="false">IF(L1852&lt;&gt;"",L1852*1.1,"")</f>
        <v>77</v>
      </c>
      <c r="N1852" s="53" t="n">
        <f aca="false">IF(F1852="S",L1852*0.02,0)</f>
        <v>0</v>
      </c>
      <c r="O1852" s="82" t="n">
        <f aca="false">IF(L1852&lt;&gt;"",L1852+N1852,"")</f>
        <v>70</v>
      </c>
      <c r="P1852" s="53" t="n">
        <f aca="false">IF(O1852&lt;&gt;"",O1852*0.1,"")</f>
        <v>7</v>
      </c>
      <c r="Q1852" s="83" t="n">
        <f aca="false">IF(O1852&lt;&gt;"",O1852+P1852,"")</f>
        <v>77</v>
      </c>
      <c r="R1852" s="84" t="s">
        <v>365</v>
      </c>
    </row>
    <row r="1853" customFormat="false" ht="15" hidden="false" customHeight="true" outlineLevel="0" collapsed="false">
      <c r="A1853" s="103" t="n">
        <v>56403</v>
      </c>
      <c r="B1853" s="85" t="n">
        <v>46267</v>
      </c>
      <c r="C1853" s="86" t="s">
        <v>806</v>
      </c>
      <c r="D1853" s="87" t="n">
        <v>50233</v>
      </c>
      <c r="E1853" s="46" t="str">
        <f aca="false">IF(D1853&lt;&gt;"",IFERROR(VLOOKUP(D1853,PROVEEDORES!$A:$B,2,0),"!COD NO ENCONTRADO"),"")</f>
        <v>ANGELPESCA S.L.</v>
      </c>
      <c r="F1853" s="88" t="str">
        <f aca="false">IF(D1853&lt;&gt;"",IFERROR(VLOOKUP(D1853,PROVEEDORES!$A:$C,3,0),""),"")</f>
        <v>N</v>
      </c>
      <c r="G1853" s="87" t="s">
        <v>276</v>
      </c>
      <c r="H1853" s="46" t="str">
        <f aca="false">IF(G1853&lt;&gt;"",IFERROR(VLOOKUP(G1853,PRODUCTOS!$A:$B,2,0),"!COD NO ENCONTRADO"),"")</f>
        <v>MERLUZA EUROPEA/ FINA DIA </v>
      </c>
      <c r="I1853" s="89" t="n">
        <v>5</v>
      </c>
      <c r="J1853" s="90" t="n">
        <v>30</v>
      </c>
      <c r="K1853" s="149" t="n">
        <v>3.5</v>
      </c>
      <c r="L1853" s="80" t="n">
        <f aca="false">IF(AND(J1853&lt;&gt;"",K1853&lt;&gt;""),J1853*K1853,"")</f>
        <v>105</v>
      </c>
      <c r="M1853" s="81" t="n">
        <f aca="false">IF(L1853&lt;&gt;"",L1853*1.1,"")</f>
        <v>115.5</v>
      </c>
      <c r="N1853" s="47" t="n">
        <f aca="false">IF(F1853="S",L1853*0.02,0)</f>
        <v>0</v>
      </c>
      <c r="O1853" s="82" t="n">
        <f aca="false">IF(L1853&lt;&gt;"",L1853+N1853,"")</f>
        <v>105</v>
      </c>
      <c r="P1853" s="47" t="n">
        <f aca="false">IF(O1853&lt;&gt;"",O1853*0.1,"")</f>
        <v>10.5</v>
      </c>
      <c r="Q1853" s="83" t="n">
        <f aca="false">IF(O1853&lt;&gt;"",O1853+P1853,"")</f>
        <v>115.5</v>
      </c>
      <c r="R1853" s="84"/>
    </row>
    <row r="1854" customFormat="false" ht="15" hidden="false" customHeight="true" outlineLevel="0" collapsed="false">
      <c r="A1854" s="103" t="n">
        <v>56404</v>
      </c>
      <c r="B1854" s="73" t="n">
        <v>46268</v>
      </c>
      <c r="C1854" s="74" t="s">
        <v>807</v>
      </c>
      <c r="D1854" s="87" t="n">
        <v>50514</v>
      </c>
      <c r="E1854" s="46" t="str">
        <f aca="false">IF(D1854&lt;&gt;"",IFERROR(VLOOKUP(D1854,PROVEEDORES!$A:$B,2,0),"!COD NO ENCONTRADO"),"")</f>
        <v>PESCADO Y MARISCOS ADELAIDA S.L.</v>
      </c>
      <c r="F1854" s="76" t="str">
        <f aca="false">IF(D1854&lt;&gt;"",IFERROR(VLOOKUP(D1854,PROVEEDORES!$A:$C,3,0),""),"")</f>
        <v>N</v>
      </c>
      <c r="G1854" s="75" t="s">
        <v>316</v>
      </c>
      <c r="H1854" s="52" t="str">
        <f aca="false">IF(G1854&lt;&gt;"",IFERROR(VLOOKUP(G1854,PRODUCTOS!$A:$B,2,0),"!COD NO ENCONTRADO"),"")</f>
        <v>SALMONETE ROCA (MUR)</v>
      </c>
      <c r="I1854" s="77" t="n">
        <v>6</v>
      </c>
      <c r="J1854" s="105" t="n">
        <v>21.85</v>
      </c>
      <c r="K1854" s="125" t="n">
        <v>16.35</v>
      </c>
      <c r="L1854" s="80" t="n">
        <f aca="false">IF(AND(J1854&lt;&gt;"",K1854&lt;&gt;""),J1854*K1854,"")</f>
        <v>357.2475</v>
      </c>
      <c r="M1854" s="81" t="n">
        <f aca="false">IF(L1854&lt;&gt;"",L1854*1.1,"")</f>
        <v>392.97225</v>
      </c>
      <c r="N1854" s="53" t="n">
        <f aca="false">IF(F1854="S",L1854*0.02,0)</f>
        <v>0</v>
      </c>
      <c r="O1854" s="82" t="n">
        <f aca="false">IF(L1854&lt;&gt;"",L1854+N1854,"")</f>
        <v>357.2475</v>
      </c>
      <c r="P1854" s="53" t="n">
        <f aca="false">IF(O1854&lt;&gt;"",O1854*0.1,"")</f>
        <v>35.72475</v>
      </c>
      <c r="Q1854" s="83" t="n">
        <f aca="false">IF(O1854&lt;&gt;"",O1854+P1854,"")</f>
        <v>392.97225</v>
      </c>
      <c r="R1854" s="84" t="s">
        <v>365</v>
      </c>
    </row>
    <row r="1855" customFormat="false" ht="15" hidden="false" customHeight="true" outlineLevel="0" collapsed="false">
      <c r="A1855" s="103" t="n">
        <v>56404</v>
      </c>
      <c r="B1855" s="73" t="n">
        <v>46268</v>
      </c>
      <c r="C1855" s="74" t="s">
        <v>807</v>
      </c>
      <c r="D1855" s="87" t="n">
        <v>50514</v>
      </c>
      <c r="E1855" s="46" t="str">
        <f aca="false">IF(D1855&lt;&gt;"",IFERROR(VLOOKUP(D1855,PROVEEDORES!$A:$B,2,0),"!COD NO ENCONTRADO"),"")</f>
        <v>PESCADO Y MARISCOS ADELAIDA S.L.</v>
      </c>
      <c r="F1855" s="88" t="str">
        <f aca="false">IF(D1855&lt;&gt;"",IFERROR(VLOOKUP(D1855,PROVEEDORES!$A:$C,3,0),""),"")</f>
        <v>N</v>
      </c>
      <c r="G1855" s="87" t="s">
        <v>332</v>
      </c>
      <c r="H1855" s="46" t="str">
        <f aca="false">IF(G1855&lt;&gt;"",IFERROR(VLOOKUP(G1855,PRODUCTOS!$A:$B,2,0),"!COD NO ENCONTRADO"),"")</f>
        <v>VARIADO PEQUEÑO</v>
      </c>
      <c r="I1855" s="89" t="n">
        <v>2</v>
      </c>
      <c r="J1855" s="105" t="n">
        <v>7.65</v>
      </c>
      <c r="K1855" s="125" t="n">
        <v>1</v>
      </c>
      <c r="L1855" s="80" t="n">
        <f aca="false">IF(AND(J1855&lt;&gt;"",K1855&lt;&gt;""),J1855*K1855,"")</f>
        <v>7.65</v>
      </c>
      <c r="M1855" s="81" t="n">
        <f aca="false">IF(L1855&lt;&gt;"",L1855*1.1,"")</f>
        <v>8.415</v>
      </c>
      <c r="N1855" s="47" t="n">
        <f aca="false">IF(F1855="S",L1855*0.02,0)</f>
        <v>0</v>
      </c>
      <c r="O1855" s="82" t="n">
        <f aca="false">IF(L1855&lt;&gt;"",L1855+N1855,"")</f>
        <v>7.65</v>
      </c>
      <c r="P1855" s="47" t="n">
        <f aca="false">IF(O1855&lt;&gt;"",O1855*0.1,"")</f>
        <v>0.765</v>
      </c>
      <c r="Q1855" s="83" t="n">
        <f aca="false">IF(O1855&lt;&gt;"",O1855+P1855,"")</f>
        <v>8.415</v>
      </c>
      <c r="R1855" s="84" t="s">
        <v>365</v>
      </c>
    </row>
    <row r="1856" customFormat="false" ht="15" hidden="false" customHeight="true" outlineLevel="0" collapsed="false">
      <c r="A1856" s="103" t="n">
        <v>56405</v>
      </c>
      <c r="B1856" s="73" t="n">
        <v>46268</v>
      </c>
      <c r="C1856" s="74" t="s">
        <v>808</v>
      </c>
      <c r="D1856" s="75" t="n">
        <v>50232</v>
      </c>
      <c r="E1856" s="52" t="str">
        <f aca="false">IF(D1856&lt;&gt;"",IFERROR(VLOOKUP(D1856,PROVEEDORES!$A:$B,2,0),"!COD NO ENCONTRADO"),"")</f>
        <v>XESTION NOVA LONXA RIVEIRA S.L.</v>
      </c>
      <c r="F1856" s="76" t="str">
        <f aca="false">IF(D1856&lt;&gt;"",IFERROR(VLOOKUP(D1856,PROVEEDORES!$A:$C,3,0),""),"")</f>
        <v>S</v>
      </c>
      <c r="G1856" s="75" t="s">
        <v>332</v>
      </c>
      <c r="H1856" s="52" t="str">
        <f aca="false">IF(G1856&lt;&gt;"",IFERROR(VLOOKUP(G1856,PRODUCTOS!$A:$B,2,0),"!COD NO ENCONTRADO"),"")</f>
        <v>VARIADO PEQUEÑO</v>
      </c>
      <c r="I1856" s="77" t="n">
        <v>1</v>
      </c>
      <c r="J1856" s="78" t="n">
        <v>6</v>
      </c>
      <c r="K1856" s="79" t="n">
        <v>1.5</v>
      </c>
      <c r="L1856" s="80" t="n">
        <f aca="false">IF(AND(J1856&lt;&gt;"",K1856&lt;&gt;""),J1856*K1856,"")</f>
        <v>9</v>
      </c>
      <c r="M1856" s="81" t="n">
        <f aca="false">IF(L1856&lt;&gt;"",L1856*1.1,"")</f>
        <v>9.9</v>
      </c>
      <c r="N1856" s="53" t="n">
        <f aca="false">IF(F1856="S",L1856*0.02,0)</f>
        <v>0.18</v>
      </c>
      <c r="O1856" s="82" t="n">
        <f aca="false">IF(L1856&lt;&gt;"",L1856+N1856,"")</f>
        <v>9.18</v>
      </c>
      <c r="P1856" s="53" t="n">
        <f aca="false">IF(O1856&lt;&gt;"",O1856*0.1,"")</f>
        <v>0.918</v>
      </c>
      <c r="Q1856" s="83" t="n">
        <f aca="false">IF(O1856&lt;&gt;"",O1856+P1856,"")</f>
        <v>10.098</v>
      </c>
      <c r="R1856" s="84" t="s">
        <v>358</v>
      </c>
    </row>
    <row r="1857" customFormat="false" ht="15" hidden="false" customHeight="true" outlineLevel="0" collapsed="false">
      <c r="A1857" s="103" t="n">
        <v>56405</v>
      </c>
      <c r="B1857" s="73" t="n">
        <v>46268</v>
      </c>
      <c r="C1857" s="74" t="s">
        <v>808</v>
      </c>
      <c r="D1857" s="75" t="n">
        <v>50232</v>
      </c>
      <c r="E1857" s="46" t="str">
        <f aca="false">IF(D1857&lt;&gt;"",IFERROR(VLOOKUP(D1857,PROVEEDORES!$A:$B,2,0),"!COD NO ENCONTRADO"),"")</f>
        <v>XESTION NOVA LONXA RIVEIRA S.L.</v>
      </c>
      <c r="F1857" s="88" t="str">
        <f aca="false">IF(D1857&lt;&gt;"",IFERROR(VLOOKUP(D1857,PROVEEDORES!$A:$C,3,0),""),"")</f>
        <v>S</v>
      </c>
      <c r="G1857" s="87" t="s">
        <v>332</v>
      </c>
      <c r="H1857" s="46" t="str">
        <f aca="false">IF(G1857&lt;&gt;"",IFERROR(VLOOKUP(G1857,PRODUCTOS!$A:$B,2,0),"!COD NO ENCONTRADO"),"")</f>
        <v>VARIADO PEQUEÑO</v>
      </c>
      <c r="I1857" s="89" t="n">
        <v>3</v>
      </c>
      <c r="J1857" s="90" t="n">
        <v>17.5</v>
      </c>
      <c r="K1857" s="91" t="n">
        <v>0.5</v>
      </c>
      <c r="L1857" s="80" t="n">
        <f aca="false">IF(AND(J1857&lt;&gt;"",K1857&lt;&gt;""),J1857*K1857,"")</f>
        <v>8.75</v>
      </c>
      <c r="M1857" s="81" t="n">
        <f aca="false">IF(L1857&lt;&gt;"",L1857*1.1,"")</f>
        <v>9.625</v>
      </c>
      <c r="N1857" s="47" t="n">
        <f aca="false">IF(F1857="S",L1857*0.02,0)</f>
        <v>0.175</v>
      </c>
      <c r="O1857" s="82" t="n">
        <f aca="false">IF(L1857&lt;&gt;"",L1857+N1857,"")</f>
        <v>8.925</v>
      </c>
      <c r="P1857" s="47" t="n">
        <f aca="false">IF(O1857&lt;&gt;"",O1857*0.1,"")</f>
        <v>0.8925</v>
      </c>
      <c r="Q1857" s="83" t="n">
        <f aca="false">IF(O1857&lt;&gt;"",O1857+P1857,"")</f>
        <v>9.8175</v>
      </c>
      <c r="R1857" s="84" t="s">
        <v>358</v>
      </c>
    </row>
    <row r="1858" customFormat="false" ht="15" hidden="false" customHeight="true" outlineLevel="0" collapsed="false">
      <c r="A1858" s="103" t="n">
        <v>56405</v>
      </c>
      <c r="B1858" s="73" t="n">
        <v>46268</v>
      </c>
      <c r="C1858" s="74" t="s">
        <v>808</v>
      </c>
      <c r="D1858" s="75" t="n">
        <v>50232</v>
      </c>
      <c r="E1858" s="52" t="str">
        <f aca="false">IF(D1858&lt;&gt;"",IFERROR(VLOOKUP(D1858,PROVEEDORES!$A:$B,2,0),"!COD NO ENCONTRADO"),"")</f>
        <v>XESTION NOVA LONXA RIVEIRA S.L.</v>
      </c>
      <c r="F1858" s="76" t="str">
        <f aca="false">IF(D1858&lt;&gt;"",IFERROR(VLOOKUP(D1858,PROVEEDORES!$A:$C,3,0),""),"")</f>
        <v>S</v>
      </c>
      <c r="G1858" s="75" t="s">
        <v>270</v>
      </c>
      <c r="H1858" s="52" t="str">
        <f aca="false">IF(G1858&lt;&gt;"",IFERROR(VLOOKUP(G1858,PRODUCTOS!$A:$B,2,0),"!COD NO ENCONTRADO"),"")</f>
        <v>PEON/ PION (ATP)</v>
      </c>
      <c r="I1858" s="77" t="n">
        <v>2</v>
      </c>
      <c r="J1858" s="78" t="n">
        <v>10</v>
      </c>
      <c r="K1858" s="79" t="n">
        <v>4.5</v>
      </c>
      <c r="L1858" s="80" t="n">
        <f aca="false">IF(AND(J1858&lt;&gt;"",K1858&lt;&gt;""),J1858*K1858,"")</f>
        <v>45</v>
      </c>
      <c r="M1858" s="81" t="n">
        <f aca="false">IF(L1858&lt;&gt;"",L1858*1.1,"")</f>
        <v>49.5</v>
      </c>
      <c r="N1858" s="53" t="n">
        <f aca="false">IF(F1858="S",L1858*0.02,0)</f>
        <v>0.9</v>
      </c>
      <c r="O1858" s="82" t="n">
        <f aca="false">IF(L1858&lt;&gt;"",L1858+N1858,"")</f>
        <v>45.9</v>
      </c>
      <c r="P1858" s="53" t="n">
        <f aca="false">IF(O1858&lt;&gt;"",O1858*0.1,"")</f>
        <v>4.59</v>
      </c>
      <c r="Q1858" s="83" t="n">
        <f aca="false">IF(O1858&lt;&gt;"",O1858+P1858,"")</f>
        <v>50.49</v>
      </c>
      <c r="R1858" s="84" t="s">
        <v>358</v>
      </c>
    </row>
    <row r="1859" customFormat="false" ht="15" hidden="false" customHeight="true" outlineLevel="0" collapsed="false">
      <c r="A1859" s="103" t="n">
        <v>56405</v>
      </c>
      <c r="B1859" s="73" t="n">
        <v>46268</v>
      </c>
      <c r="C1859" s="74" t="s">
        <v>808</v>
      </c>
      <c r="D1859" s="75" t="n">
        <v>50232</v>
      </c>
      <c r="E1859" s="46" t="str">
        <f aca="false">IF(D1859&lt;&gt;"",IFERROR(VLOOKUP(D1859,PROVEEDORES!$A:$B,2,0),"!COD NO ENCONTRADO"),"")</f>
        <v>XESTION NOVA LONXA RIVEIRA S.L.</v>
      </c>
      <c r="F1859" s="88" t="str">
        <f aca="false">IF(D1859&lt;&gt;"",IFERROR(VLOOKUP(D1859,PROVEEDORES!$A:$C,3,0),""),"")</f>
        <v>S</v>
      </c>
      <c r="G1859" s="87" t="s">
        <v>97</v>
      </c>
      <c r="H1859" s="46" t="str">
        <f aca="false">IF(G1859&lt;&gt;"",IFERROR(VLOOKUP(G1859,PRODUCTOS!$A:$B,2,0),"!COD NO ENCONTRADO"),"")</f>
        <v>CABALL/ SARDA/ VERDEL (MAC)</v>
      </c>
      <c r="I1859" s="89" t="n">
        <v>1</v>
      </c>
      <c r="J1859" s="90" t="n">
        <v>7.6</v>
      </c>
      <c r="K1859" s="91" t="n">
        <v>2</v>
      </c>
      <c r="L1859" s="80" t="n">
        <f aca="false">IF(AND(J1859&lt;&gt;"",K1859&lt;&gt;""),J1859*K1859,"")</f>
        <v>15.2</v>
      </c>
      <c r="M1859" s="81" t="n">
        <f aca="false">IF(L1859&lt;&gt;"",L1859*1.1,"")</f>
        <v>16.72</v>
      </c>
      <c r="N1859" s="47" t="n">
        <f aca="false">IF(F1859="S",L1859*0.02,0)</f>
        <v>0.304</v>
      </c>
      <c r="O1859" s="82" t="n">
        <f aca="false">IF(L1859&lt;&gt;"",L1859+N1859,"")</f>
        <v>15.504</v>
      </c>
      <c r="P1859" s="47" t="n">
        <f aca="false">IF(O1859&lt;&gt;"",O1859*0.1,"")</f>
        <v>1.5504</v>
      </c>
      <c r="Q1859" s="83" t="n">
        <f aca="false">IF(O1859&lt;&gt;"",O1859+P1859,"")</f>
        <v>17.0544</v>
      </c>
      <c r="R1859" s="84" t="s">
        <v>358</v>
      </c>
    </row>
    <row r="1860" customFormat="false" ht="15" hidden="false" customHeight="true" outlineLevel="0" collapsed="false">
      <c r="A1860" s="103" t="n">
        <v>56405</v>
      </c>
      <c r="B1860" s="73" t="n">
        <v>46268</v>
      </c>
      <c r="C1860" s="74" t="s">
        <v>808</v>
      </c>
      <c r="D1860" s="75" t="n">
        <v>50232</v>
      </c>
      <c r="E1860" s="52" t="str">
        <f aca="false">IF(D1860&lt;&gt;"",IFERROR(VLOOKUP(D1860,PROVEEDORES!$A:$B,2,0),"!COD NO ENCONTRADO"),"")</f>
        <v>XESTION NOVA LONXA RIVEIRA S.L.</v>
      </c>
      <c r="F1860" s="76" t="str">
        <f aca="false">IF(D1860&lt;&gt;"",IFERROR(VLOOKUP(D1860,PROVEEDORES!$A:$C,3,0),""),"")</f>
        <v>S</v>
      </c>
      <c r="G1860" s="75" t="s">
        <v>97</v>
      </c>
      <c r="H1860" s="52" t="str">
        <f aca="false">IF(G1860&lt;&gt;"",IFERROR(VLOOKUP(G1860,PRODUCTOS!$A:$B,2,0),"!COD NO ENCONTRADO"),"")</f>
        <v>CABALL/ SARDA/ VERDEL (MAC)</v>
      </c>
      <c r="I1860" s="77" t="n">
        <v>9</v>
      </c>
      <c r="J1860" s="78" t="n">
        <v>56.4</v>
      </c>
      <c r="K1860" s="79" t="n">
        <v>4</v>
      </c>
      <c r="L1860" s="80" t="n">
        <f aca="false">IF(AND(J1860&lt;&gt;"",K1860&lt;&gt;""),J1860*K1860,"")</f>
        <v>225.6</v>
      </c>
      <c r="M1860" s="81" t="n">
        <f aca="false">IF(L1860&lt;&gt;"",L1860*1.1,"")</f>
        <v>248.16</v>
      </c>
      <c r="N1860" s="53" t="n">
        <f aca="false">IF(F1860="S",L1860*0.02,0)</f>
        <v>4.512</v>
      </c>
      <c r="O1860" s="82" t="n">
        <f aca="false">IF(L1860&lt;&gt;"",L1860+N1860,"")</f>
        <v>230.112</v>
      </c>
      <c r="P1860" s="53" t="n">
        <f aca="false">IF(O1860&lt;&gt;"",O1860*0.1,"")</f>
        <v>23.0112</v>
      </c>
      <c r="Q1860" s="83" t="n">
        <f aca="false">IF(O1860&lt;&gt;"",O1860+P1860,"")</f>
        <v>253.1232</v>
      </c>
      <c r="R1860" s="84" t="s">
        <v>358</v>
      </c>
    </row>
    <row r="1861" customFormat="false" ht="15" hidden="false" customHeight="true" outlineLevel="0" collapsed="false">
      <c r="A1861" s="103" t="n">
        <v>56405</v>
      </c>
      <c r="B1861" s="73" t="n">
        <v>46268</v>
      </c>
      <c r="C1861" s="74" t="s">
        <v>808</v>
      </c>
      <c r="D1861" s="75" t="n">
        <v>50232</v>
      </c>
      <c r="E1861" s="46" t="str">
        <f aca="false">IF(D1861&lt;&gt;"",IFERROR(VLOOKUP(D1861,PROVEEDORES!$A:$B,2,0),"!COD NO ENCONTRADO"),"")</f>
        <v>XESTION NOVA LONXA RIVEIRA S.L.</v>
      </c>
      <c r="F1861" s="88" t="str">
        <f aca="false">IF(D1861&lt;&gt;"",IFERROR(VLOOKUP(D1861,PROVEEDORES!$A:$C,3,0),""),"")</f>
        <v>S</v>
      </c>
      <c r="G1861" s="87" t="s">
        <v>97</v>
      </c>
      <c r="H1861" s="46" t="str">
        <f aca="false">IF(G1861&lt;&gt;"",IFERROR(VLOOKUP(G1861,PRODUCTOS!$A:$B,2,0),"!COD NO ENCONTRADO"),"")</f>
        <v>CABALL/ SARDA/ VERDEL (MAC)</v>
      </c>
      <c r="I1861" s="89" t="n">
        <v>1</v>
      </c>
      <c r="J1861" s="90" t="n">
        <v>28</v>
      </c>
      <c r="K1861" s="91" t="n">
        <v>4.7</v>
      </c>
      <c r="L1861" s="80" t="n">
        <f aca="false">IF(AND(J1861&lt;&gt;"",K1861&lt;&gt;""),J1861*K1861,"")</f>
        <v>131.6</v>
      </c>
      <c r="M1861" s="81" t="n">
        <f aca="false">IF(L1861&lt;&gt;"",L1861*1.1,"")</f>
        <v>144.76</v>
      </c>
      <c r="N1861" s="47" t="n">
        <f aca="false">IF(F1861="S",L1861*0.02,0)</f>
        <v>2.632</v>
      </c>
      <c r="O1861" s="82" t="n">
        <f aca="false">IF(L1861&lt;&gt;"",L1861+N1861,"")</f>
        <v>134.232</v>
      </c>
      <c r="P1861" s="47" t="n">
        <f aca="false">IF(O1861&lt;&gt;"",O1861*0.1,"")</f>
        <v>13.4232</v>
      </c>
      <c r="Q1861" s="83" t="n">
        <f aca="false">IF(O1861&lt;&gt;"",O1861+P1861,"")</f>
        <v>147.6552</v>
      </c>
      <c r="R1861" s="84" t="s">
        <v>358</v>
      </c>
    </row>
    <row r="1862" customFormat="false" ht="15" hidden="false" customHeight="true" outlineLevel="0" collapsed="false">
      <c r="A1862" s="103" t="n">
        <v>56405</v>
      </c>
      <c r="B1862" s="73" t="n">
        <v>46268</v>
      </c>
      <c r="C1862" s="74" t="s">
        <v>808</v>
      </c>
      <c r="D1862" s="75" t="n">
        <v>50232</v>
      </c>
      <c r="E1862" s="52" t="str">
        <f aca="false">IF(D1862&lt;&gt;"",IFERROR(VLOOKUP(D1862,PROVEEDORES!$A:$B,2,0),"!COD NO ENCONTRADO"),"")</f>
        <v>XESTION NOVA LONXA RIVEIRA S.L.</v>
      </c>
      <c r="F1862" s="76" t="str">
        <f aca="false">IF(D1862&lt;&gt;"",IFERROR(VLOOKUP(D1862,PROVEEDORES!$A:$C,3,0),""),"")</f>
        <v>S</v>
      </c>
      <c r="G1862" s="75" t="s">
        <v>304</v>
      </c>
      <c r="H1862" s="52" t="str">
        <f aca="false">IF(G1862&lt;&gt;"",IFERROR(VLOOKUP(G1862,PRODUCTOS!$A:$B,2,0),"!COD NO ENCONTRADO"),"")</f>
        <v>RAYA SPP (SKA)</v>
      </c>
      <c r="I1862" s="77" t="n">
        <v>1</v>
      </c>
      <c r="J1862" s="78" t="n">
        <v>2.1</v>
      </c>
      <c r="K1862" s="79" t="n">
        <v>2</v>
      </c>
      <c r="L1862" s="80" t="n">
        <f aca="false">IF(AND(J1862&lt;&gt;"",K1862&lt;&gt;""),J1862*K1862,"")</f>
        <v>4.2</v>
      </c>
      <c r="M1862" s="81" t="n">
        <f aca="false">IF(L1862&lt;&gt;"",L1862*1.1,"")</f>
        <v>4.62</v>
      </c>
      <c r="N1862" s="53" t="n">
        <f aca="false">IF(F1862="S",L1862*0.02,0)</f>
        <v>0.084</v>
      </c>
      <c r="O1862" s="82" t="n">
        <f aca="false">IF(L1862&lt;&gt;"",L1862+N1862,"")</f>
        <v>4.284</v>
      </c>
      <c r="P1862" s="53" t="n">
        <f aca="false">IF(O1862&lt;&gt;"",O1862*0.1,"")</f>
        <v>0.4284</v>
      </c>
      <c r="Q1862" s="83" t="n">
        <f aca="false">IF(O1862&lt;&gt;"",O1862+P1862,"")</f>
        <v>4.7124</v>
      </c>
      <c r="R1862" s="84" t="s">
        <v>358</v>
      </c>
    </row>
    <row r="1863" customFormat="false" ht="15" hidden="false" customHeight="true" outlineLevel="0" collapsed="false">
      <c r="A1863" s="103" t="n">
        <v>56405</v>
      </c>
      <c r="B1863" s="73" t="n">
        <v>46268</v>
      </c>
      <c r="C1863" s="74" t="s">
        <v>808</v>
      </c>
      <c r="D1863" s="75" t="n">
        <v>50232</v>
      </c>
      <c r="E1863" s="46" t="str">
        <f aca="false">IF(D1863&lt;&gt;"",IFERROR(VLOOKUP(D1863,PROVEEDORES!$A:$B,2,0),"!COD NO ENCONTRADO"),"")</f>
        <v>XESTION NOVA LONXA RIVEIRA S.L.</v>
      </c>
      <c r="F1863" s="88" t="str">
        <f aca="false">IF(D1863&lt;&gt;"",IFERROR(VLOOKUP(D1863,PROVEEDORES!$A:$C,3,0),""),"")</f>
        <v>S</v>
      </c>
      <c r="G1863" s="87" t="s">
        <v>304</v>
      </c>
      <c r="H1863" s="46" t="str">
        <f aca="false">IF(G1863&lt;&gt;"",IFERROR(VLOOKUP(G1863,PRODUCTOS!$A:$B,2,0),"!COD NO ENCONTRADO"),"")</f>
        <v>RAYA SPP (SKA)</v>
      </c>
      <c r="I1863" s="89" t="n">
        <v>1</v>
      </c>
      <c r="J1863" s="90" t="n">
        <v>3.2</v>
      </c>
      <c r="K1863" s="91" t="n">
        <v>3</v>
      </c>
      <c r="L1863" s="80" t="n">
        <f aca="false">IF(AND(J1863&lt;&gt;"",K1863&lt;&gt;""),J1863*K1863,"")</f>
        <v>9.6</v>
      </c>
      <c r="M1863" s="81" t="n">
        <f aca="false">IF(L1863&lt;&gt;"",L1863*1.1,"")</f>
        <v>10.56</v>
      </c>
      <c r="N1863" s="47" t="n">
        <f aca="false">IF(F1863="S",L1863*0.02,0)</f>
        <v>0.192</v>
      </c>
      <c r="O1863" s="82" t="n">
        <f aca="false">IF(L1863&lt;&gt;"",L1863+N1863,"")</f>
        <v>9.792</v>
      </c>
      <c r="P1863" s="47" t="n">
        <f aca="false">IF(O1863&lt;&gt;"",O1863*0.1,"")</f>
        <v>0.9792</v>
      </c>
      <c r="Q1863" s="83" t="n">
        <f aca="false">IF(O1863&lt;&gt;"",O1863+P1863,"")</f>
        <v>10.7712</v>
      </c>
      <c r="R1863" s="84" t="s">
        <v>358</v>
      </c>
    </row>
    <row r="1864" customFormat="false" ht="15" hidden="false" customHeight="true" outlineLevel="0" collapsed="false">
      <c r="A1864" s="103" t="n">
        <v>56405</v>
      </c>
      <c r="B1864" s="73" t="n">
        <v>46268</v>
      </c>
      <c r="C1864" s="74" t="s">
        <v>808</v>
      </c>
      <c r="D1864" s="75" t="n">
        <v>50232</v>
      </c>
      <c r="E1864" s="52" t="str">
        <f aca="false">IF(D1864&lt;&gt;"",IFERROR(VLOOKUP(D1864,PROVEEDORES!$A:$B,2,0),"!COD NO ENCONTRADO"),"")</f>
        <v>XESTION NOVA LONXA RIVEIRA S.L.</v>
      </c>
      <c r="F1864" s="76" t="str">
        <f aca="false">IF(D1864&lt;&gt;"",IFERROR(VLOOKUP(D1864,PROVEEDORES!$A:$C,3,0),""),"")</f>
        <v>S</v>
      </c>
      <c r="G1864" s="75" t="s">
        <v>304</v>
      </c>
      <c r="H1864" s="52" t="str">
        <f aca="false">IF(G1864&lt;&gt;"",IFERROR(VLOOKUP(G1864,PRODUCTOS!$A:$B,2,0),"!COD NO ENCONTRADO"),"")</f>
        <v>RAYA SPP (SKA)</v>
      </c>
      <c r="I1864" s="77" t="n">
        <v>2</v>
      </c>
      <c r="J1864" s="78" t="n">
        <v>15.2</v>
      </c>
      <c r="K1864" s="79" t="n">
        <v>1</v>
      </c>
      <c r="L1864" s="80" t="n">
        <f aca="false">IF(AND(J1864&lt;&gt;"",K1864&lt;&gt;""),J1864*K1864,"")</f>
        <v>15.2</v>
      </c>
      <c r="M1864" s="81" t="n">
        <f aca="false">IF(L1864&lt;&gt;"",L1864*1.1,"")</f>
        <v>16.72</v>
      </c>
      <c r="N1864" s="53" t="n">
        <f aca="false">IF(F1864="S",L1864*0.02,0)</f>
        <v>0.304</v>
      </c>
      <c r="O1864" s="82" t="n">
        <f aca="false">IF(L1864&lt;&gt;"",L1864+N1864,"")</f>
        <v>15.504</v>
      </c>
      <c r="P1864" s="53" t="n">
        <f aca="false">IF(O1864&lt;&gt;"",O1864*0.1,"")</f>
        <v>1.5504</v>
      </c>
      <c r="Q1864" s="83" t="n">
        <f aca="false">IF(O1864&lt;&gt;"",O1864+P1864,"")</f>
        <v>17.0544</v>
      </c>
      <c r="R1864" s="84" t="s">
        <v>358</v>
      </c>
    </row>
    <row r="1865" customFormat="false" ht="15" hidden="false" customHeight="true" outlineLevel="0" collapsed="false">
      <c r="A1865" s="103" t="n">
        <v>56405</v>
      </c>
      <c r="B1865" s="73" t="n">
        <v>46268</v>
      </c>
      <c r="C1865" s="74" t="s">
        <v>808</v>
      </c>
      <c r="D1865" s="75" t="n">
        <v>50232</v>
      </c>
      <c r="E1865" s="52" t="str">
        <f aca="false">IF(D1865&lt;&gt;"",IFERROR(VLOOKUP(D1865,PROVEEDORES!$A:$B,2,0),"!COD NO ENCONTRADO"),"")</f>
        <v>XESTION NOVA LONXA RIVEIRA S.L.</v>
      </c>
      <c r="F1865" s="76" t="str">
        <f aca="false">IF(D1865&lt;&gt;"",IFERROR(VLOOKUP(D1865,PROVEEDORES!$A:$C,3,0),""),"")</f>
        <v>S</v>
      </c>
      <c r="G1865" s="75" t="s">
        <v>304</v>
      </c>
      <c r="H1865" s="52" t="str">
        <f aca="false">IF(G1865&lt;&gt;"",IFERROR(VLOOKUP(G1865,PRODUCTOS!$A:$B,2,0),"!COD NO ENCONTRADO"),"")</f>
        <v>RAYA SPP (SKA)</v>
      </c>
      <c r="I1865" s="89" t="n">
        <v>1</v>
      </c>
      <c r="J1865" s="90" t="n">
        <v>4.6</v>
      </c>
      <c r="K1865" s="91" t="n">
        <v>2</v>
      </c>
      <c r="L1865" s="80" t="n">
        <f aca="false">IF(AND(J1865&lt;&gt;"",K1865&lt;&gt;""),J1865*K1865,"")</f>
        <v>9.2</v>
      </c>
      <c r="M1865" s="81" t="n">
        <f aca="false">IF(L1865&lt;&gt;"",L1865*1.1,"")</f>
        <v>10.12</v>
      </c>
      <c r="N1865" s="47" t="n">
        <f aca="false">IF(F1865="S",L1865*0.02,0)</f>
        <v>0.184</v>
      </c>
      <c r="O1865" s="82" t="n">
        <f aca="false">IF(L1865&lt;&gt;"",L1865+N1865,"")</f>
        <v>9.384</v>
      </c>
      <c r="P1865" s="47" t="n">
        <f aca="false">IF(O1865&lt;&gt;"",O1865*0.1,"")</f>
        <v>0.9384</v>
      </c>
      <c r="Q1865" s="83" t="n">
        <f aca="false">IF(O1865&lt;&gt;"",O1865+P1865,"")</f>
        <v>10.3224</v>
      </c>
      <c r="R1865" s="84" t="s">
        <v>358</v>
      </c>
    </row>
    <row r="1866" customFormat="false" ht="15" hidden="false" customHeight="true" outlineLevel="0" collapsed="false">
      <c r="A1866" s="103" t="n">
        <v>56405</v>
      </c>
      <c r="B1866" s="73" t="n">
        <v>46268</v>
      </c>
      <c r="C1866" s="74" t="s">
        <v>808</v>
      </c>
      <c r="D1866" s="75" t="n">
        <v>50232</v>
      </c>
      <c r="E1866" s="52" t="str">
        <f aca="false">IF(D1866&lt;&gt;"",IFERROR(VLOOKUP(D1866,PROVEEDORES!$A:$B,2,0),"!COD NO ENCONTRADO"),"")</f>
        <v>XESTION NOVA LONXA RIVEIRA S.L.</v>
      </c>
      <c r="F1866" s="76" t="str">
        <f aca="false">IF(D1866&lt;&gt;"",IFERROR(VLOOKUP(D1866,PROVEEDORES!$A:$C,3,0),""),"")</f>
        <v>S</v>
      </c>
      <c r="G1866" s="75" t="s">
        <v>304</v>
      </c>
      <c r="H1866" s="52" t="str">
        <f aca="false">IF(G1866&lt;&gt;"",IFERROR(VLOOKUP(G1866,PRODUCTOS!$A:$B,2,0),"!COD NO ENCONTRADO"),"")</f>
        <v>RAYA SPP (SKA)</v>
      </c>
      <c r="I1866" s="77" t="n">
        <v>22</v>
      </c>
      <c r="J1866" s="78" t="n">
        <v>150.8</v>
      </c>
      <c r="K1866" s="79" t="n">
        <v>3</v>
      </c>
      <c r="L1866" s="80" t="n">
        <f aca="false">IF(AND(J1866&lt;&gt;"",K1866&lt;&gt;""),J1866*K1866,"")</f>
        <v>452.4</v>
      </c>
      <c r="M1866" s="81" t="n">
        <f aca="false">IF(L1866&lt;&gt;"",L1866*1.1,"")</f>
        <v>497.64</v>
      </c>
      <c r="N1866" s="53" t="n">
        <f aca="false">IF(F1866="S",L1866*0.02,0)</f>
        <v>9.048</v>
      </c>
      <c r="O1866" s="82" t="n">
        <f aca="false">IF(L1866&lt;&gt;"",L1866+N1866,"")</f>
        <v>461.448</v>
      </c>
      <c r="P1866" s="53" t="n">
        <f aca="false">IF(O1866&lt;&gt;"",O1866*0.1,"")</f>
        <v>46.1448</v>
      </c>
      <c r="Q1866" s="83" t="n">
        <f aca="false">IF(O1866&lt;&gt;"",O1866+P1866,"")</f>
        <v>507.5928</v>
      </c>
      <c r="R1866" s="84" t="s">
        <v>358</v>
      </c>
    </row>
    <row r="1867" customFormat="false" ht="15" hidden="false" customHeight="true" outlineLevel="0" collapsed="false">
      <c r="A1867" s="103" t="n">
        <v>56405</v>
      </c>
      <c r="B1867" s="73" t="n">
        <v>46268</v>
      </c>
      <c r="C1867" s="74" t="s">
        <v>808</v>
      </c>
      <c r="D1867" s="75" t="n">
        <v>50232</v>
      </c>
      <c r="E1867" s="52" t="str">
        <f aca="false">IF(D1867&lt;&gt;"",IFERROR(VLOOKUP(D1867,PROVEEDORES!$A:$B,2,0),"!COD NO ENCONTRADO"),"")</f>
        <v>XESTION NOVA LONXA RIVEIRA S.L.</v>
      </c>
      <c r="F1867" s="76" t="str">
        <f aca="false">IF(D1867&lt;&gt;"",IFERROR(VLOOKUP(D1867,PROVEEDORES!$A:$C,3,0),""),"")</f>
        <v>S</v>
      </c>
      <c r="G1867" s="75" t="s">
        <v>304</v>
      </c>
      <c r="H1867" s="46" t="str">
        <f aca="false">IF(G1867&lt;&gt;"",IFERROR(VLOOKUP(G1867,PRODUCTOS!$A:$B,2,0),"!COD NO ENCONTRADO"),"")</f>
        <v>RAYA SPP (SKA)</v>
      </c>
      <c r="I1867" s="89" t="n">
        <v>3</v>
      </c>
      <c r="J1867" s="90" t="n">
        <v>13.1</v>
      </c>
      <c r="K1867" s="91" t="n">
        <v>3</v>
      </c>
      <c r="L1867" s="80" t="n">
        <f aca="false">IF(AND(J1867&lt;&gt;"",K1867&lt;&gt;""),J1867*K1867,"")</f>
        <v>39.3</v>
      </c>
      <c r="M1867" s="81" t="n">
        <f aca="false">IF(L1867&lt;&gt;"",L1867*1.1,"")</f>
        <v>43.23</v>
      </c>
      <c r="N1867" s="47" t="n">
        <f aca="false">IF(F1867="S",L1867*0.02,0)</f>
        <v>0.786</v>
      </c>
      <c r="O1867" s="82" t="n">
        <f aca="false">IF(L1867&lt;&gt;"",L1867+N1867,"")</f>
        <v>40.086</v>
      </c>
      <c r="P1867" s="47" t="n">
        <f aca="false">IF(O1867&lt;&gt;"",O1867*0.1,"")</f>
        <v>4.0086</v>
      </c>
      <c r="Q1867" s="83" t="n">
        <f aca="false">IF(O1867&lt;&gt;"",O1867+P1867,"")</f>
        <v>44.0946</v>
      </c>
      <c r="R1867" s="84" t="s">
        <v>358</v>
      </c>
    </row>
    <row r="1868" customFormat="false" ht="15" hidden="false" customHeight="true" outlineLevel="0" collapsed="false">
      <c r="A1868" s="103" t="n">
        <v>56406</v>
      </c>
      <c r="B1868" s="73" t="n">
        <v>46268</v>
      </c>
      <c r="C1868" s="74" t="s">
        <v>809</v>
      </c>
      <c r="D1868" s="75" t="n">
        <v>50160</v>
      </c>
      <c r="E1868" s="52" t="str">
        <f aca="false">IF(D1868&lt;&gt;"",IFERROR(VLOOKUP(D1868,PROVEEDORES!$A:$B,2,0),"!COD NO ENCONTRADO"),"")</f>
        <v>SUBASTAS CORUÑA S.L.</v>
      </c>
      <c r="F1868" s="76" t="str">
        <f aca="false">IF(D1868&lt;&gt;"",IFERROR(VLOOKUP(D1868,PROVEEDORES!$A:$C,3,0),""),"")</f>
        <v>S</v>
      </c>
      <c r="G1868" s="75" t="s">
        <v>179</v>
      </c>
      <c r="H1868" s="52" t="str">
        <f aca="false">IF(G1868&lt;&gt;"",IFERROR(VLOOKUP(G1868,PRODUCTOS!$A:$B,2,0),"!COD NO ENCONTRADO"),"")</f>
        <v>LIRIO/ BACALADILLA/ PERLA (WHB)</v>
      </c>
      <c r="I1868" s="77" t="n">
        <v>10</v>
      </c>
      <c r="J1868" s="78" t="n">
        <v>150</v>
      </c>
      <c r="K1868" s="79" t="n">
        <v>1.8</v>
      </c>
      <c r="L1868" s="80" t="n">
        <f aca="false">IF(AND(J1868&lt;&gt;"",K1868&lt;&gt;""),J1868*K1868,"")</f>
        <v>270</v>
      </c>
      <c r="M1868" s="81" t="n">
        <f aca="false">IF(L1868&lt;&gt;"",L1868*1.1,"")</f>
        <v>297</v>
      </c>
      <c r="N1868" s="53" t="n">
        <f aca="false">IF(F1868="S",L1868*0.02,0)</f>
        <v>5.4</v>
      </c>
      <c r="O1868" s="82" t="n">
        <f aca="false">IF(L1868&lt;&gt;"",L1868+N1868,"")</f>
        <v>275.4</v>
      </c>
      <c r="P1868" s="53" t="n">
        <f aca="false">IF(O1868&lt;&gt;"",O1868*0.1,"")</f>
        <v>27.54</v>
      </c>
      <c r="Q1868" s="83" t="n">
        <f aca="false">IF(O1868&lt;&gt;"",O1868+P1868,"")</f>
        <v>302.94</v>
      </c>
      <c r="R1868" s="84" t="s">
        <v>365</v>
      </c>
    </row>
    <row r="1869" customFormat="false" ht="15" hidden="false" customHeight="true" outlineLevel="0" collapsed="false">
      <c r="A1869" s="103" t="n">
        <v>56407</v>
      </c>
      <c r="B1869" s="73" t="n">
        <v>46268</v>
      </c>
      <c r="C1869" s="86" t="s">
        <v>810</v>
      </c>
      <c r="D1869" s="87" t="n">
        <v>50001</v>
      </c>
      <c r="E1869" s="46" t="str">
        <f aca="false">IF(D1869&lt;&gt;"",IFERROR(VLOOKUP(D1869,PROVEEDORES!$A:$B,2,0),"!COD NO ENCONTRADO"),"")</f>
        <v>COPESA</v>
      </c>
      <c r="F1869" s="88" t="str">
        <f aca="false">IF(D1869&lt;&gt;"",IFERROR(VLOOKUP(D1869,PROVEEDORES!$A:$C,3,0),""),"")</f>
        <v>S</v>
      </c>
      <c r="G1869" s="87" t="s">
        <v>276</v>
      </c>
      <c r="H1869" s="46" t="str">
        <f aca="false">IF(G1869&lt;&gt;"",IFERROR(VLOOKUP(G1869,PRODUCTOS!$A:$B,2,0),"!COD NO ENCONTRADO"),"")</f>
        <v>MERLUZA EUROPEA/ FINA DIA </v>
      </c>
      <c r="I1869" s="89" t="n">
        <v>5</v>
      </c>
      <c r="J1869" s="90" t="n">
        <v>34</v>
      </c>
      <c r="K1869" s="91" t="n">
        <v>3.4</v>
      </c>
      <c r="L1869" s="80" t="n">
        <f aca="false">IF(AND(J1869&lt;&gt;"",K1869&lt;&gt;""),J1869*K1869,"")</f>
        <v>115.6</v>
      </c>
      <c r="M1869" s="81" t="n">
        <f aca="false">IF(L1869&lt;&gt;"",L1869*1.1,"")</f>
        <v>127.16</v>
      </c>
      <c r="N1869" s="47" t="n">
        <f aca="false">IF(F1869="S",L1869*0.02,0)</f>
        <v>2.312</v>
      </c>
      <c r="O1869" s="82" t="n">
        <f aca="false">IF(L1869&lt;&gt;"",L1869+N1869,"")</f>
        <v>117.912</v>
      </c>
      <c r="P1869" s="47" t="n">
        <f aca="false">IF(O1869&lt;&gt;"",O1869*0.1,"")</f>
        <v>11.7912</v>
      </c>
      <c r="Q1869" s="83" t="n">
        <f aca="false">IF(O1869&lt;&gt;"",O1869+P1869,"")</f>
        <v>129.7032</v>
      </c>
      <c r="R1869" s="84" t="s">
        <v>365</v>
      </c>
    </row>
    <row r="1870" customFormat="false" ht="15" hidden="false" customHeight="true" outlineLevel="0" collapsed="false">
      <c r="A1870" s="103" t="n">
        <v>56407</v>
      </c>
      <c r="B1870" s="73" t="n">
        <v>46268</v>
      </c>
      <c r="C1870" s="74" t="s">
        <v>810</v>
      </c>
      <c r="D1870" s="75" t="n">
        <v>50001</v>
      </c>
      <c r="E1870" s="52" t="str">
        <f aca="false">IF(D1870&lt;&gt;"",IFERROR(VLOOKUP(D1870,PROVEEDORES!$A:$B,2,0),"!COD NO ENCONTRADO"),"")</f>
        <v>COPESA</v>
      </c>
      <c r="F1870" s="76" t="str">
        <f aca="false">IF(D1870&lt;&gt;"",IFERROR(VLOOKUP(D1870,PROVEEDORES!$A:$C,3,0),""),"")</f>
        <v>S</v>
      </c>
      <c r="G1870" s="75" t="s">
        <v>83</v>
      </c>
      <c r="H1870" s="52" t="str">
        <f aca="false">IF(G1870&lt;&gt;"",IFERROR(VLOOKUP(G1870,PRODUCTOS!$A:$B,2,0),"!COD NO ENCONTRADO"),"")</f>
        <v>BESUGO (BSR)</v>
      </c>
      <c r="I1870" s="77" t="n">
        <v>1</v>
      </c>
      <c r="J1870" s="78" t="n">
        <v>2.4</v>
      </c>
      <c r="K1870" s="79" t="n">
        <v>33.8</v>
      </c>
      <c r="L1870" s="80" t="n">
        <f aca="false">IF(AND(J1870&lt;&gt;"",K1870&lt;&gt;""),J1870*K1870,"")</f>
        <v>81.12</v>
      </c>
      <c r="M1870" s="81" t="n">
        <f aca="false">IF(L1870&lt;&gt;"",L1870*1.1,"")</f>
        <v>89.232</v>
      </c>
      <c r="N1870" s="53" t="n">
        <f aca="false">IF(F1870="S",L1870*0.02,0)</f>
        <v>1.6224</v>
      </c>
      <c r="O1870" s="82" t="n">
        <f aca="false">IF(L1870&lt;&gt;"",L1870+N1870,"")</f>
        <v>82.7424</v>
      </c>
      <c r="P1870" s="53" t="n">
        <f aca="false">IF(O1870&lt;&gt;"",O1870*0.1,"")</f>
        <v>8.27424</v>
      </c>
      <c r="Q1870" s="83" t="n">
        <f aca="false">IF(O1870&lt;&gt;"",O1870+P1870,"")</f>
        <v>91.01664</v>
      </c>
      <c r="R1870" s="84" t="s">
        <v>365</v>
      </c>
    </row>
    <row r="1871" customFormat="false" ht="15" hidden="false" customHeight="true" outlineLevel="0" collapsed="false">
      <c r="A1871" s="103" t="n">
        <v>56408</v>
      </c>
      <c r="B1871" s="73" t="n">
        <v>46268</v>
      </c>
      <c r="C1871" s="86" t="s">
        <v>811</v>
      </c>
      <c r="D1871" s="87" t="n">
        <v>50010</v>
      </c>
      <c r="E1871" s="46" t="str">
        <f aca="false">IF(D1871&lt;&gt;"",IFERROR(VLOOKUP(D1871,PROVEEDORES!$A:$B,2,0),"!COD NO ENCONTRADO"),"")</f>
        <v>PERFECTO MONTERO</v>
      </c>
      <c r="F1871" s="88" t="str">
        <f aca="false">IF(D1871&lt;&gt;"",IFERROR(VLOOKUP(D1871,PROVEEDORES!$A:$C,3,0),""),"")</f>
        <v>S</v>
      </c>
      <c r="G1871" s="87" t="s">
        <v>97</v>
      </c>
      <c r="H1871" s="46" t="str">
        <f aca="false">IF(G1871&lt;&gt;"",IFERROR(VLOOKUP(G1871,PRODUCTOS!$A:$B,2,0),"!COD NO ENCONTRADO"),"")</f>
        <v>CABALL/ SARDA/ VERDEL (MAC)</v>
      </c>
      <c r="I1871" s="89" t="n">
        <v>1</v>
      </c>
      <c r="J1871" s="105" t="n">
        <v>10.25</v>
      </c>
      <c r="K1871" s="125" t="n">
        <v>2</v>
      </c>
      <c r="L1871" s="80" t="n">
        <f aca="false">IF(AND(J1871&lt;&gt;"",K1871&lt;&gt;""),J1871*K1871,"")</f>
        <v>20.5</v>
      </c>
      <c r="M1871" s="81" t="n">
        <f aca="false">IF(L1871&lt;&gt;"",L1871*1.1,"")</f>
        <v>22.55</v>
      </c>
      <c r="N1871" s="47" t="n">
        <f aca="false">IF(F1871="S",L1871*0.02,0)</f>
        <v>0.41</v>
      </c>
      <c r="O1871" s="82" t="n">
        <f aca="false">IF(L1871&lt;&gt;"",L1871+N1871,"")</f>
        <v>20.91</v>
      </c>
      <c r="P1871" s="47" t="n">
        <f aca="false">IF(O1871&lt;&gt;"",O1871*0.1,"")</f>
        <v>2.091</v>
      </c>
      <c r="Q1871" s="83" t="n">
        <f aca="false">IF(O1871&lt;&gt;"",O1871+P1871,"")</f>
        <v>23.001</v>
      </c>
      <c r="R1871" s="84" t="s">
        <v>365</v>
      </c>
    </row>
    <row r="1872" customFormat="false" ht="15" hidden="false" customHeight="true" outlineLevel="0" collapsed="false">
      <c r="A1872" s="103" t="n">
        <v>56408</v>
      </c>
      <c r="B1872" s="73" t="n">
        <v>46268</v>
      </c>
      <c r="C1872" s="86" t="s">
        <v>811</v>
      </c>
      <c r="D1872" s="87" t="n">
        <v>50010</v>
      </c>
      <c r="E1872" s="52" t="str">
        <f aca="false">IF(D1872&lt;&gt;"",IFERROR(VLOOKUP(D1872,PROVEEDORES!$A:$B,2,0),"!COD NO ENCONTRADO"),"")</f>
        <v>PERFECTO MONTERO</v>
      </c>
      <c r="F1872" s="76" t="str">
        <f aca="false">IF(D1872&lt;&gt;"",IFERROR(VLOOKUP(D1872,PROVEEDORES!$A:$C,3,0),""),"")</f>
        <v>S</v>
      </c>
      <c r="G1872" s="75" t="s">
        <v>103</v>
      </c>
      <c r="H1872" s="52" t="str">
        <f aca="false">IF(G1872&lt;&gt;"",IFERROR(VLOOKUP(G1872,PRODUCTOS!$A:$B,2,0),"!COD NO ENCONTRADO"),"")</f>
        <v>CABRAS/ GALLINETA (BRF)</v>
      </c>
      <c r="I1872" s="77" t="n">
        <v>1</v>
      </c>
      <c r="J1872" s="105" t="n">
        <v>18.75</v>
      </c>
      <c r="K1872" s="125" t="n">
        <v>10.7</v>
      </c>
      <c r="L1872" s="80" t="n">
        <f aca="false">IF(AND(J1872&lt;&gt;"",K1872&lt;&gt;""),J1872*K1872,"")</f>
        <v>200.625</v>
      </c>
      <c r="M1872" s="81" t="n">
        <f aca="false">IF(L1872&lt;&gt;"",L1872*1.1,"")</f>
        <v>220.6875</v>
      </c>
      <c r="N1872" s="53" t="n">
        <f aca="false">IF(F1872="S",L1872*0.02,0)</f>
        <v>4.0125</v>
      </c>
      <c r="O1872" s="82" t="n">
        <f aca="false">IF(L1872&lt;&gt;"",L1872+N1872,"")</f>
        <v>204.6375</v>
      </c>
      <c r="P1872" s="53" t="n">
        <f aca="false">IF(O1872&lt;&gt;"",O1872*0.1,"")</f>
        <v>20.46375</v>
      </c>
      <c r="Q1872" s="83" t="n">
        <f aca="false">IF(O1872&lt;&gt;"",O1872+P1872,"")</f>
        <v>225.10125</v>
      </c>
      <c r="R1872" s="84" t="s">
        <v>365</v>
      </c>
    </row>
    <row r="1873" customFormat="false" ht="15" hidden="false" customHeight="true" outlineLevel="0" collapsed="false">
      <c r="A1873" s="103" t="n">
        <v>56408</v>
      </c>
      <c r="B1873" s="73" t="n">
        <v>46268</v>
      </c>
      <c r="C1873" s="86" t="s">
        <v>811</v>
      </c>
      <c r="D1873" s="87" t="n">
        <v>50010</v>
      </c>
      <c r="E1873" s="46" t="str">
        <f aca="false">IF(D1873&lt;&gt;"",IFERROR(VLOOKUP(D1873,PROVEEDORES!$A:$B,2,0),"!COD NO ENCONTRADO"),"")</f>
        <v>PERFECTO MONTERO</v>
      </c>
      <c r="F1873" s="88" t="str">
        <f aca="false">IF(D1873&lt;&gt;"",IFERROR(VLOOKUP(D1873,PROVEEDORES!$A:$C,3,0),""),"")</f>
        <v>S</v>
      </c>
      <c r="G1873" s="87" t="s">
        <v>103</v>
      </c>
      <c r="H1873" s="46" t="str">
        <f aca="false">IF(G1873&lt;&gt;"",IFERROR(VLOOKUP(G1873,PRODUCTOS!$A:$B,2,0),"!COD NO ENCONTRADO"),"")</f>
        <v>CABRAS/ GALLINETA (BRF)</v>
      </c>
      <c r="I1873" s="77" t="n">
        <v>1</v>
      </c>
      <c r="J1873" s="105" t="n">
        <v>10</v>
      </c>
      <c r="K1873" s="125" t="n">
        <v>12.6</v>
      </c>
      <c r="L1873" s="80" t="n">
        <f aca="false">IF(AND(J1873&lt;&gt;"",K1873&lt;&gt;""),J1873*K1873,"")</f>
        <v>126</v>
      </c>
      <c r="M1873" s="81" t="n">
        <f aca="false">IF(L1873&lt;&gt;"",L1873*1.1,"")</f>
        <v>138.6</v>
      </c>
      <c r="N1873" s="47" t="n">
        <f aca="false">IF(F1873="S",L1873*0.02,0)</f>
        <v>2.52</v>
      </c>
      <c r="O1873" s="82" t="n">
        <f aca="false">IF(L1873&lt;&gt;"",L1873+N1873,"")</f>
        <v>128.52</v>
      </c>
      <c r="P1873" s="47" t="n">
        <f aca="false">IF(O1873&lt;&gt;"",O1873*0.1,"")</f>
        <v>12.852</v>
      </c>
      <c r="Q1873" s="83" t="n">
        <f aca="false">IF(O1873&lt;&gt;"",O1873+P1873,"")</f>
        <v>141.372</v>
      </c>
      <c r="R1873" s="84" t="s">
        <v>365</v>
      </c>
    </row>
    <row r="1874" customFormat="false" ht="15" hidden="false" customHeight="true" outlineLevel="0" collapsed="false">
      <c r="A1874" s="103" t="n">
        <v>56408</v>
      </c>
      <c r="B1874" s="73" t="n">
        <v>46268</v>
      </c>
      <c r="C1874" s="86" t="s">
        <v>811</v>
      </c>
      <c r="D1874" s="87" t="n">
        <v>50010</v>
      </c>
      <c r="E1874" s="52" t="str">
        <f aca="false">IF(D1874&lt;&gt;"",IFERROR(VLOOKUP(D1874,PROVEEDORES!$A:$B,2,0),"!COD NO ENCONTRADO"),"")</f>
        <v>PERFECTO MONTERO</v>
      </c>
      <c r="F1874" s="76" t="str">
        <f aca="false">IF(D1874&lt;&gt;"",IFERROR(VLOOKUP(D1874,PROVEEDORES!$A:$C,3,0),""),"")</f>
        <v>S</v>
      </c>
      <c r="G1874" s="75" t="s">
        <v>103</v>
      </c>
      <c r="H1874" s="52" t="str">
        <f aca="false">IF(G1874&lt;&gt;"",IFERROR(VLOOKUP(G1874,PRODUCTOS!$A:$B,2,0),"!COD NO ENCONTRADO"),"")</f>
        <v>CABRAS/ GALLINETA (BRF)</v>
      </c>
      <c r="I1874" s="89" t="n">
        <v>4</v>
      </c>
      <c r="J1874" s="105" t="n">
        <v>20.9</v>
      </c>
      <c r="K1874" s="125" t="n">
        <v>18</v>
      </c>
      <c r="L1874" s="80" t="n">
        <f aca="false">IF(AND(J1874&lt;&gt;"",K1874&lt;&gt;""),J1874*K1874,"")</f>
        <v>376.2</v>
      </c>
      <c r="M1874" s="81" t="n">
        <f aca="false">IF(L1874&lt;&gt;"",L1874*1.1,"")</f>
        <v>413.82</v>
      </c>
      <c r="N1874" s="53" t="n">
        <f aca="false">IF(F1874="S",L1874*0.02,0)</f>
        <v>7.524</v>
      </c>
      <c r="O1874" s="82" t="n">
        <f aca="false">IF(L1874&lt;&gt;"",L1874+N1874,"")</f>
        <v>383.724</v>
      </c>
      <c r="P1874" s="53" t="n">
        <f aca="false">IF(O1874&lt;&gt;"",O1874*0.1,"")</f>
        <v>38.3724</v>
      </c>
      <c r="Q1874" s="83" t="n">
        <f aca="false">IF(O1874&lt;&gt;"",O1874+P1874,"")</f>
        <v>422.0964</v>
      </c>
      <c r="R1874" s="84" t="s">
        <v>365</v>
      </c>
    </row>
    <row r="1875" customFormat="false" ht="15" hidden="false" customHeight="true" outlineLevel="0" collapsed="false">
      <c r="A1875" s="103" t="n">
        <v>56408</v>
      </c>
      <c r="B1875" s="73" t="n">
        <v>46268</v>
      </c>
      <c r="C1875" s="86" t="s">
        <v>811</v>
      </c>
      <c r="D1875" s="87" t="n">
        <v>50010</v>
      </c>
      <c r="E1875" s="46" t="str">
        <f aca="false">IF(D1875&lt;&gt;"",IFERROR(VLOOKUP(D1875,PROVEEDORES!$A:$B,2,0),"!COD NO ENCONTRADO"),"")</f>
        <v>PERFECTO MONTERO</v>
      </c>
      <c r="F1875" s="88" t="str">
        <f aca="false">IF(D1875&lt;&gt;"",IFERROR(VLOOKUP(D1875,PROVEEDORES!$A:$C,3,0),""),"")</f>
        <v>S</v>
      </c>
      <c r="G1875" s="87" t="s">
        <v>288</v>
      </c>
      <c r="H1875" s="46" t="str">
        <f aca="false">IF(G1875&lt;&gt;"",IFERROR(VLOOKUP(G1875,PRODUCTOS!$A:$B,2,0),"!COD NO ENCONTRADO"),"")</f>
        <v>RAPE BLANCO DIA (MON)</v>
      </c>
      <c r="I1875" s="89" t="n">
        <v>1</v>
      </c>
      <c r="J1875" s="105" t="n">
        <v>4.1</v>
      </c>
      <c r="K1875" s="125" t="n">
        <v>7</v>
      </c>
      <c r="L1875" s="80" t="n">
        <f aca="false">IF(AND(J1875&lt;&gt;"",K1875&lt;&gt;""),J1875*K1875,"")</f>
        <v>28.7</v>
      </c>
      <c r="M1875" s="81" t="n">
        <f aca="false">IF(L1875&lt;&gt;"",L1875*1.1,"")</f>
        <v>31.57</v>
      </c>
      <c r="N1875" s="47" t="n">
        <f aca="false">IF(F1875="S",L1875*0.02,0)</f>
        <v>0.574</v>
      </c>
      <c r="O1875" s="82" t="n">
        <f aca="false">IF(L1875&lt;&gt;"",L1875+N1875,"")</f>
        <v>29.274</v>
      </c>
      <c r="P1875" s="47" t="n">
        <f aca="false">IF(O1875&lt;&gt;"",O1875*0.1,"")</f>
        <v>2.9274</v>
      </c>
      <c r="Q1875" s="83" t="n">
        <f aca="false">IF(O1875&lt;&gt;"",O1875+P1875,"")</f>
        <v>32.2014</v>
      </c>
      <c r="R1875" s="84" t="s">
        <v>365</v>
      </c>
    </row>
    <row r="1876" customFormat="false" ht="15" hidden="false" customHeight="true" outlineLevel="0" collapsed="false">
      <c r="A1876" s="103" t="n">
        <v>56408</v>
      </c>
      <c r="B1876" s="73" t="n">
        <v>46268</v>
      </c>
      <c r="C1876" s="86" t="s">
        <v>811</v>
      </c>
      <c r="D1876" s="87" t="n">
        <v>50010</v>
      </c>
      <c r="E1876" s="46" t="str">
        <f aca="false">IF(D1876&lt;&gt;"",IFERROR(VLOOKUP(D1876,PROVEEDORES!$A:$B,2,0),"!COD NO ENCONTRADO"),"")</f>
        <v>PERFECTO MONTERO</v>
      </c>
      <c r="F1876" s="76" t="str">
        <f aca="false">IF(D1876&lt;&gt;"",IFERROR(VLOOKUP(D1876,PROVEEDORES!$A:$C,3,0),""),"")</f>
        <v>S</v>
      </c>
      <c r="G1876" s="75" t="s">
        <v>288</v>
      </c>
      <c r="H1876" s="52" t="str">
        <f aca="false">IF(G1876&lt;&gt;"",IFERROR(VLOOKUP(G1876,PRODUCTOS!$A:$B,2,0),"!COD NO ENCONTRADO"),"")</f>
        <v>RAPE BLANCO DIA (MON)</v>
      </c>
      <c r="I1876" s="77" t="n">
        <v>1</v>
      </c>
      <c r="J1876" s="105" t="n">
        <v>9.25</v>
      </c>
      <c r="K1876" s="125" t="n">
        <v>7</v>
      </c>
      <c r="L1876" s="80" t="n">
        <f aca="false">IF(AND(J1876&lt;&gt;"",K1876&lt;&gt;""),J1876*K1876,"")</f>
        <v>64.75</v>
      </c>
      <c r="M1876" s="81" t="n">
        <f aca="false">IF(L1876&lt;&gt;"",L1876*1.1,"")</f>
        <v>71.225</v>
      </c>
      <c r="N1876" s="53" t="n">
        <f aca="false">IF(F1876="S",L1876*0.02,0)</f>
        <v>1.295</v>
      </c>
      <c r="O1876" s="82" t="n">
        <f aca="false">IF(L1876&lt;&gt;"",L1876+N1876,"")</f>
        <v>66.045</v>
      </c>
      <c r="P1876" s="53" t="n">
        <f aca="false">IF(O1876&lt;&gt;"",O1876*0.1,"")</f>
        <v>6.6045</v>
      </c>
      <c r="Q1876" s="83" t="n">
        <f aca="false">IF(O1876&lt;&gt;"",O1876+P1876,"")</f>
        <v>72.6495</v>
      </c>
      <c r="R1876" s="84" t="s">
        <v>365</v>
      </c>
    </row>
    <row r="1877" customFormat="false" ht="15" hidden="false" customHeight="true" outlineLevel="0" collapsed="false">
      <c r="A1877" s="103" t="n">
        <v>56409</v>
      </c>
      <c r="B1877" s="85" t="n">
        <v>46268</v>
      </c>
      <c r="C1877" s="86" t="s">
        <v>812</v>
      </c>
      <c r="D1877" s="87" t="n">
        <v>50020</v>
      </c>
      <c r="E1877" s="46" t="str">
        <f aca="false">IF(D1877&lt;&gt;"",IFERROR(VLOOKUP(D1877,PROVEEDORES!$A:$B,2,0),"!COD NO ENCONTRADO"),"")</f>
        <v>PACO MOINELO</v>
      </c>
      <c r="F1877" s="88" t="str">
        <f aca="false">IF(D1877&lt;&gt;"",IFERROR(VLOOKUP(D1877,PROVEEDORES!$A:$C,3,0),""),"")</f>
        <v>S</v>
      </c>
      <c r="G1877" s="87" t="s">
        <v>135</v>
      </c>
      <c r="H1877" s="46" t="str">
        <f aca="false">IF(G1877&lt;&gt;"",IFERROR(VLOOKUP(G1877,PRODUCTOS!$A:$B,2,0),"!COD NO ENCONTRADO"),"")</f>
        <v>CONGRIO 10+  (COE)</v>
      </c>
      <c r="I1877" s="89" t="n">
        <v>1</v>
      </c>
      <c r="J1877" s="105" t="n">
        <v>14</v>
      </c>
      <c r="K1877" s="125" t="n">
        <v>4</v>
      </c>
      <c r="L1877" s="80" t="n">
        <f aca="false">IF(AND(J1877&lt;&gt;"",K1877&lt;&gt;""),J1877*K1877,"")</f>
        <v>56</v>
      </c>
      <c r="M1877" s="81" t="n">
        <f aca="false">IF(L1877&lt;&gt;"",L1877*1.1,"")</f>
        <v>61.6</v>
      </c>
      <c r="N1877" s="47" t="n">
        <f aca="false">IF(F1877="S",L1877*0.02,0)</f>
        <v>1.12</v>
      </c>
      <c r="O1877" s="82" t="n">
        <f aca="false">IF(L1877&lt;&gt;"",L1877+N1877,"")</f>
        <v>57.12</v>
      </c>
      <c r="P1877" s="47" t="n">
        <f aca="false">IF(O1877&lt;&gt;"",O1877*0.1,"")</f>
        <v>5.712</v>
      </c>
      <c r="Q1877" s="83" t="n">
        <f aca="false">IF(O1877&lt;&gt;"",O1877+P1877,"")</f>
        <v>62.832</v>
      </c>
      <c r="R1877" s="84" t="s">
        <v>365</v>
      </c>
    </row>
    <row r="1878" customFormat="false" ht="15" hidden="false" customHeight="true" outlineLevel="0" collapsed="false">
      <c r="A1878" s="103" t="n">
        <v>56409</v>
      </c>
      <c r="B1878" s="85" t="n">
        <v>46268</v>
      </c>
      <c r="C1878" s="86" t="s">
        <v>812</v>
      </c>
      <c r="D1878" s="87" t="n">
        <v>50020</v>
      </c>
      <c r="E1878" s="52" t="str">
        <f aca="false">IF(D1878&lt;&gt;"",IFERROR(VLOOKUP(D1878,PROVEEDORES!$A:$B,2,0),"!COD NO ENCONTRADO"),"")</f>
        <v>PACO MOINELO</v>
      </c>
      <c r="F1878" s="76" t="str">
        <f aca="false">IF(D1878&lt;&gt;"",IFERROR(VLOOKUP(D1878,PROVEEDORES!$A:$C,3,0),""),"")</f>
        <v>S</v>
      </c>
      <c r="G1878" s="75" t="s">
        <v>276</v>
      </c>
      <c r="H1878" s="52" t="str">
        <f aca="false">IF(G1878&lt;&gt;"",IFERROR(VLOOKUP(G1878,PRODUCTOS!$A:$B,2,0),"!COD NO ENCONTRADO"),"")</f>
        <v>MERLUZA EUROPEA/ FINA DIA </v>
      </c>
      <c r="I1878" s="77" t="n">
        <v>4</v>
      </c>
      <c r="J1878" s="78" t="n">
        <v>21.85</v>
      </c>
      <c r="K1878" s="79" t="n">
        <v>3</v>
      </c>
      <c r="L1878" s="80" t="n">
        <f aca="false">IF(AND(J1878&lt;&gt;"",K1878&lt;&gt;""),J1878*K1878,"")</f>
        <v>65.55</v>
      </c>
      <c r="M1878" s="81" t="n">
        <f aca="false">IF(L1878&lt;&gt;"",L1878*1.1,"")</f>
        <v>72.105</v>
      </c>
      <c r="N1878" s="53" t="n">
        <f aca="false">IF(F1878="S",L1878*0.02,0)</f>
        <v>1.311</v>
      </c>
      <c r="O1878" s="82" t="n">
        <f aca="false">IF(L1878&lt;&gt;"",L1878+N1878,"")</f>
        <v>66.861</v>
      </c>
      <c r="P1878" s="53" t="n">
        <f aca="false">IF(O1878&lt;&gt;"",O1878*0.1,"")</f>
        <v>6.6861</v>
      </c>
      <c r="Q1878" s="83" t="n">
        <f aca="false">IF(O1878&lt;&gt;"",O1878+P1878,"")</f>
        <v>73.5471</v>
      </c>
      <c r="R1878" s="84" t="s">
        <v>365</v>
      </c>
    </row>
    <row r="1879" customFormat="false" ht="15" hidden="false" customHeight="true" outlineLevel="0" collapsed="false">
      <c r="A1879" s="103" t="n">
        <v>56410</v>
      </c>
      <c r="B1879" s="85" t="n">
        <v>46268</v>
      </c>
      <c r="C1879" s="86" t="s">
        <v>813</v>
      </c>
      <c r="D1879" s="87" t="n">
        <v>50106</v>
      </c>
      <c r="E1879" s="46" t="str">
        <f aca="false">IF(D1879&lt;&gt;"",IFERROR(VLOOKUP(D1879,PROVEEDORES!$A:$B,2,0),"!COD NO ENCONTRADO"),"")</f>
        <v>SONIA VENTAS S.L</v>
      </c>
      <c r="F1879" s="88" t="str">
        <f aca="false">IF(D1879&lt;&gt;"",IFERROR(VLOOKUP(D1879,PROVEEDORES!$A:$C,3,0),""),"")</f>
        <v>S</v>
      </c>
      <c r="G1879" s="87" t="s">
        <v>216</v>
      </c>
      <c r="H1879" s="46" t="str">
        <f aca="false">IF(G1879&lt;&gt;"",IFERROR(VLOOKUP(G1879,PRODUCTOS!$A:$B,2,0),"!COD NO ENCONTRADO"),"")</f>
        <v>MERLUZA EUROPEA PINCHO COSTA</v>
      </c>
      <c r="I1879" s="89" t="n">
        <v>2</v>
      </c>
      <c r="J1879" s="90" t="n">
        <v>21.75</v>
      </c>
      <c r="K1879" s="91" t="n">
        <v>14.5</v>
      </c>
      <c r="L1879" s="80" t="n">
        <f aca="false">IF(AND(J1879&lt;&gt;"",K1879&lt;&gt;""),J1879*K1879,"")</f>
        <v>315.375</v>
      </c>
      <c r="M1879" s="81" t="n">
        <f aca="false">IF(L1879&lt;&gt;"",L1879*1.1,"")</f>
        <v>346.9125</v>
      </c>
      <c r="N1879" s="47" t="n">
        <f aca="false">IF(F1879="S",L1879*0.02,0)</f>
        <v>6.3075</v>
      </c>
      <c r="O1879" s="82" t="n">
        <f aca="false">IF(L1879&lt;&gt;"",L1879+N1879,"")</f>
        <v>321.6825</v>
      </c>
      <c r="P1879" s="47" t="n">
        <f aca="false">IF(O1879&lt;&gt;"",O1879*0.1,"")</f>
        <v>32.16825</v>
      </c>
      <c r="Q1879" s="83" t="n">
        <f aca="false">IF(O1879&lt;&gt;"",O1879+P1879,"")</f>
        <v>353.85075</v>
      </c>
      <c r="R1879" s="84" t="s">
        <v>365</v>
      </c>
    </row>
    <row r="1880" customFormat="false" ht="15" hidden="false" customHeight="true" outlineLevel="0" collapsed="false">
      <c r="A1880" s="103" t="n">
        <v>56411</v>
      </c>
      <c r="B1880" s="85" t="n">
        <v>46268</v>
      </c>
      <c r="C1880" s="86" t="s">
        <v>814</v>
      </c>
      <c r="D1880" s="87" t="n">
        <v>50146</v>
      </c>
      <c r="E1880" s="52" t="str">
        <f aca="false">IF(D1880&lt;&gt;"",IFERROR(VLOOKUP(D1880,PROVEEDORES!$A:$B,2,0),"!COD NO ENCONTRADO"),"")</f>
        <v>MAR BERMEO S.L.</v>
      </c>
      <c r="F1880" s="76" t="str">
        <f aca="false">IF(D1880&lt;&gt;"",IFERROR(VLOOKUP(D1880,PROVEEDORES!$A:$C,3,0),""),"")</f>
        <v>S</v>
      </c>
      <c r="G1880" s="75" t="s">
        <v>326</v>
      </c>
      <c r="H1880" s="52" t="str">
        <f aca="false">IF(G1880&lt;&gt;"",IFERROR(VLOOKUP(G1880,PRODUCTOS!$A:$B,2,0),"!COD NO ENCONTRADO"),"")</f>
        <v>SARGO RIA (SWA)</v>
      </c>
      <c r="I1880" s="77" t="n">
        <v>2</v>
      </c>
      <c r="J1880" s="78" t="n">
        <v>6.15</v>
      </c>
      <c r="K1880" s="79" t="n">
        <v>17</v>
      </c>
      <c r="L1880" s="80" t="n">
        <f aca="false">IF(AND(J1880&lt;&gt;"",K1880&lt;&gt;""),J1880*K1880,"")</f>
        <v>104.55</v>
      </c>
      <c r="M1880" s="81" t="n">
        <f aca="false">IF(L1880&lt;&gt;"",L1880*1.1,"")</f>
        <v>115.005</v>
      </c>
      <c r="N1880" s="53" t="n">
        <f aca="false">IF(F1880="S",L1880*0.02,0)</f>
        <v>2.091</v>
      </c>
      <c r="O1880" s="82" t="n">
        <f aca="false">IF(L1880&lt;&gt;"",L1880+N1880,"")</f>
        <v>106.641</v>
      </c>
      <c r="P1880" s="53" t="n">
        <f aca="false">IF(O1880&lt;&gt;"",O1880*0.1,"")</f>
        <v>10.6641</v>
      </c>
      <c r="Q1880" s="83" t="n">
        <f aca="false">IF(O1880&lt;&gt;"",O1880+P1880,"")</f>
        <v>117.3051</v>
      </c>
      <c r="R1880" s="84" t="s">
        <v>365</v>
      </c>
    </row>
    <row r="1881" customFormat="false" ht="15" hidden="false" customHeight="true" outlineLevel="0" collapsed="false">
      <c r="A1881" s="103" t="n">
        <v>56412</v>
      </c>
      <c r="B1881" s="85" t="n">
        <v>46268</v>
      </c>
      <c r="C1881" s="74" t="s">
        <v>809</v>
      </c>
      <c r="D1881" s="87" t="n">
        <v>50160</v>
      </c>
      <c r="E1881" s="46" t="str">
        <f aca="false">IF(D1881&lt;&gt;"",IFERROR(VLOOKUP(D1881,PROVEEDORES!$A:$B,2,0),"!COD NO ENCONTRADO"),"")</f>
        <v>SUBASTAS CORUÑA S.L.</v>
      </c>
      <c r="F1881" s="88" t="str">
        <f aca="false">IF(D1881&lt;&gt;"",IFERROR(VLOOKUP(D1881,PROVEEDORES!$A:$C,3,0),""),"")</f>
        <v>S</v>
      </c>
      <c r="G1881" s="87" t="s">
        <v>332</v>
      </c>
      <c r="H1881" s="46" t="str">
        <f aca="false">IF(G1881&lt;&gt;"",IFERROR(VLOOKUP(G1881,PRODUCTOS!$A:$B,2,0),"!COD NO ENCONTRADO"),"")</f>
        <v>VARIADO PEQUEÑO</v>
      </c>
      <c r="I1881" s="89" t="n">
        <v>3</v>
      </c>
      <c r="J1881" s="90" t="n">
        <v>32.5</v>
      </c>
      <c r="K1881" s="91" t="n">
        <v>0.5</v>
      </c>
      <c r="L1881" s="80" t="n">
        <f aca="false">IF(AND(J1881&lt;&gt;"",K1881&lt;&gt;""),J1881*K1881,"")</f>
        <v>16.25</v>
      </c>
      <c r="M1881" s="81" t="n">
        <f aca="false">IF(L1881&lt;&gt;"",L1881*1.1,"")</f>
        <v>17.875</v>
      </c>
      <c r="N1881" s="47" t="n">
        <f aca="false">IF(F1881="S",L1881*0.02,0)</f>
        <v>0.325</v>
      </c>
      <c r="O1881" s="82" t="n">
        <f aca="false">IF(L1881&lt;&gt;"",L1881+N1881,"")</f>
        <v>16.575</v>
      </c>
      <c r="P1881" s="47" t="n">
        <f aca="false">IF(O1881&lt;&gt;"",O1881*0.1,"")</f>
        <v>1.6575</v>
      </c>
      <c r="Q1881" s="83" t="n">
        <f aca="false">IF(O1881&lt;&gt;"",O1881+P1881,"")</f>
        <v>18.2325</v>
      </c>
      <c r="R1881" s="84" t="s">
        <v>365</v>
      </c>
    </row>
    <row r="1882" customFormat="false" ht="15" hidden="false" customHeight="true" outlineLevel="0" collapsed="false">
      <c r="A1882" s="103" t="n">
        <v>56412</v>
      </c>
      <c r="B1882" s="85" t="n">
        <v>46268</v>
      </c>
      <c r="C1882" s="74" t="s">
        <v>809</v>
      </c>
      <c r="D1882" s="87" t="n">
        <v>50160</v>
      </c>
      <c r="E1882" s="52" t="str">
        <f aca="false">IF(D1882&lt;&gt;"",IFERROR(VLOOKUP(D1882,PROVEEDORES!$A:$B,2,0),"!COD NO ENCONTRADO"),"")</f>
        <v>SUBASTAS CORUÑA S.L.</v>
      </c>
      <c r="F1882" s="76" t="str">
        <f aca="false">IF(D1882&lt;&gt;"",IFERROR(VLOOKUP(D1882,PROVEEDORES!$A:$C,3,0),""),"")</f>
        <v>S</v>
      </c>
      <c r="G1882" s="75" t="s">
        <v>276</v>
      </c>
      <c r="H1882" s="52" t="str">
        <f aca="false">IF(G1882&lt;&gt;"",IFERROR(VLOOKUP(G1882,PRODUCTOS!$A:$B,2,0),"!COD NO ENCONTRADO"),"")</f>
        <v>MERLUZA EUROPEA/ FINA DIA </v>
      </c>
      <c r="I1882" s="77" t="n">
        <v>2</v>
      </c>
      <c r="J1882" s="78" t="n">
        <v>19.25</v>
      </c>
      <c r="K1882" s="79" t="n">
        <v>3.2</v>
      </c>
      <c r="L1882" s="80" t="n">
        <f aca="false">IF(AND(J1882&lt;&gt;"",K1882&lt;&gt;""),J1882*K1882,"")</f>
        <v>61.6</v>
      </c>
      <c r="M1882" s="81" t="n">
        <f aca="false">IF(L1882&lt;&gt;"",L1882*1.1,"")</f>
        <v>67.76</v>
      </c>
      <c r="N1882" s="53" t="n">
        <f aca="false">IF(F1882="S",L1882*0.02,0)</f>
        <v>1.232</v>
      </c>
      <c r="O1882" s="82" t="n">
        <f aca="false">IF(L1882&lt;&gt;"",L1882+N1882,"")</f>
        <v>62.832</v>
      </c>
      <c r="P1882" s="53" t="n">
        <f aca="false">IF(O1882&lt;&gt;"",O1882*0.1,"")</f>
        <v>6.2832</v>
      </c>
      <c r="Q1882" s="83" t="n">
        <f aca="false">IF(O1882&lt;&gt;"",O1882+P1882,"")</f>
        <v>69.1152</v>
      </c>
      <c r="R1882" s="84" t="s">
        <v>365</v>
      </c>
    </row>
    <row r="1883" customFormat="false" ht="15" hidden="false" customHeight="true" outlineLevel="0" collapsed="false">
      <c r="A1883" s="103" t="n">
        <v>56413</v>
      </c>
      <c r="B1883" s="85" t="n">
        <v>46268</v>
      </c>
      <c r="C1883" s="86" t="s">
        <v>815</v>
      </c>
      <c r="D1883" s="87" t="n">
        <v>50163</v>
      </c>
      <c r="E1883" s="46" t="str">
        <f aca="false">IF(D1883&lt;&gt;"",IFERROR(VLOOKUP(D1883,PROVEEDORES!$A:$B,2,0),"!COD NO ENCONTRADO"),"")</f>
        <v>SUBASTAS RIVERA S.L.</v>
      </c>
      <c r="F1883" s="88" t="str">
        <f aca="false">IF(D1883&lt;&gt;"",IFERROR(VLOOKUP(D1883,PROVEEDORES!$A:$C,3,0),""),"")</f>
        <v>S</v>
      </c>
      <c r="G1883" s="87" t="s">
        <v>452</v>
      </c>
      <c r="H1883" s="46" t="str">
        <f aca="false">IF(G1883&lt;&gt;"",IFERROR(VLOOKUP(G1883,PRODUCTOS!$A:$B,2,0),"!COD NO ENCONTRADO"),"")</f>
        <v>BONITO DEL NORTE  +10 (ALB)</v>
      </c>
      <c r="I1883" s="89" t="n">
        <v>1</v>
      </c>
      <c r="J1883" s="90" t="n">
        <v>39.5</v>
      </c>
      <c r="K1883" s="91" t="n">
        <v>5.15</v>
      </c>
      <c r="L1883" s="80" t="n">
        <f aca="false">IF(AND(J1883&lt;&gt;"",K1883&lt;&gt;""),J1883*K1883,"")</f>
        <v>203.425</v>
      </c>
      <c r="M1883" s="81" t="n">
        <f aca="false">IF(L1883&lt;&gt;"",L1883*1.1,"")</f>
        <v>223.7675</v>
      </c>
      <c r="N1883" s="47" t="n">
        <f aca="false">IF(F1883="S",L1883*0.02,0)</f>
        <v>4.0685</v>
      </c>
      <c r="O1883" s="82" t="n">
        <f aca="false">IF(L1883&lt;&gt;"",L1883+N1883,"")</f>
        <v>207.4935</v>
      </c>
      <c r="P1883" s="47" t="n">
        <f aca="false">IF(O1883&lt;&gt;"",O1883*0.1,"")</f>
        <v>20.74935</v>
      </c>
      <c r="Q1883" s="83" t="n">
        <f aca="false">IF(O1883&lt;&gt;"",O1883+P1883,"")</f>
        <v>228.24285</v>
      </c>
      <c r="R1883" s="84" t="s">
        <v>365</v>
      </c>
    </row>
    <row r="1884" customFormat="false" ht="15" hidden="false" customHeight="true" outlineLevel="0" collapsed="false">
      <c r="A1884" s="103" t="n">
        <v>56413</v>
      </c>
      <c r="B1884" s="85" t="n">
        <v>46268</v>
      </c>
      <c r="C1884" s="86" t="s">
        <v>815</v>
      </c>
      <c r="D1884" s="87" t="n">
        <v>50163</v>
      </c>
      <c r="E1884" s="52" t="str">
        <f aca="false">IF(D1884&lt;&gt;"",IFERROR(VLOOKUP(D1884,PROVEEDORES!$A:$B,2,0),"!COD NO ENCONTRADO"),"")</f>
        <v>SUBASTAS RIVERA S.L.</v>
      </c>
      <c r="F1884" s="76" t="str">
        <f aca="false">IF(D1884&lt;&gt;"",IFERROR(VLOOKUP(D1884,PROVEEDORES!$A:$C,3,0),""),"")</f>
        <v>S</v>
      </c>
      <c r="G1884" s="75" t="s">
        <v>452</v>
      </c>
      <c r="H1884" s="52" t="str">
        <f aca="false">IF(G1884&lt;&gt;"",IFERROR(VLOOKUP(G1884,PRODUCTOS!$A:$B,2,0),"!COD NO ENCONTRADO"),"")</f>
        <v>BONITO DEL NORTE  +10 (ALB)</v>
      </c>
      <c r="I1884" s="77" t="n">
        <v>1</v>
      </c>
      <c r="J1884" s="78" t="n">
        <v>40.5</v>
      </c>
      <c r="K1884" s="79" t="n">
        <v>5.15</v>
      </c>
      <c r="L1884" s="80" t="n">
        <f aca="false">IF(AND(J1884&lt;&gt;"",K1884&lt;&gt;""),J1884*K1884,"")</f>
        <v>208.575</v>
      </c>
      <c r="M1884" s="81" t="n">
        <f aca="false">IF(L1884&lt;&gt;"",L1884*1.1,"")</f>
        <v>229.4325</v>
      </c>
      <c r="N1884" s="53" t="n">
        <f aca="false">IF(F1884="S",L1884*0.02,0)</f>
        <v>4.1715</v>
      </c>
      <c r="O1884" s="82" t="n">
        <f aca="false">IF(L1884&lt;&gt;"",L1884+N1884,"")</f>
        <v>212.7465</v>
      </c>
      <c r="P1884" s="53" t="n">
        <f aca="false">IF(O1884&lt;&gt;"",O1884*0.1,"")</f>
        <v>21.27465</v>
      </c>
      <c r="Q1884" s="83" t="n">
        <f aca="false">IF(O1884&lt;&gt;"",O1884+P1884,"")</f>
        <v>234.02115</v>
      </c>
      <c r="R1884" s="84" t="s">
        <v>365</v>
      </c>
    </row>
    <row r="1885" customFormat="false" ht="15" hidden="false" customHeight="true" outlineLevel="0" collapsed="false">
      <c r="A1885" s="103" t="n">
        <v>56413</v>
      </c>
      <c r="B1885" s="85" t="n">
        <v>46268</v>
      </c>
      <c r="C1885" s="86" t="s">
        <v>815</v>
      </c>
      <c r="D1885" s="87" t="n">
        <v>50163</v>
      </c>
      <c r="E1885" s="52" t="str">
        <f aca="false">IF(D1885&lt;&gt;"",IFERROR(VLOOKUP(D1885,PROVEEDORES!$A:$B,2,0),"!COD NO ENCONTRADO"),"")</f>
        <v>SUBASTAS RIVERA S.L.</v>
      </c>
      <c r="F1885" s="76" t="str">
        <f aca="false">IF(D1885&lt;&gt;"",IFERROR(VLOOKUP(D1885,PROVEEDORES!$A:$C,3,0),""),"")</f>
        <v>S</v>
      </c>
      <c r="G1885" s="75" t="s">
        <v>452</v>
      </c>
      <c r="H1885" s="46" t="str">
        <f aca="false">IF(G1885&lt;&gt;"",IFERROR(VLOOKUP(G1885,PRODUCTOS!$A:$B,2,0),"!COD NO ENCONTRADO"),"")</f>
        <v>BONITO DEL NORTE  +10 (ALB)</v>
      </c>
      <c r="I1885" s="89" t="n">
        <v>1</v>
      </c>
      <c r="J1885" s="90" t="n">
        <v>16.25</v>
      </c>
      <c r="K1885" s="91" t="n">
        <v>5.1</v>
      </c>
      <c r="L1885" s="80" t="n">
        <f aca="false">IF(AND(J1885&lt;&gt;"",K1885&lt;&gt;""),J1885*K1885,"")</f>
        <v>82.875</v>
      </c>
      <c r="M1885" s="81" t="n">
        <f aca="false">IF(L1885&lt;&gt;"",L1885*1.1,"")</f>
        <v>91.1625</v>
      </c>
      <c r="N1885" s="47" t="n">
        <f aca="false">IF(F1885="S",L1885*0.02,0)</f>
        <v>1.6575</v>
      </c>
      <c r="O1885" s="82" t="n">
        <f aca="false">IF(L1885&lt;&gt;"",L1885+N1885,"")</f>
        <v>84.5325</v>
      </c>
      <c r="P1885" s="47" t="n">
        <f aca="false">IF(O1885&lt;&gt;"",O1885*0.1,"")</f>
        <v>8.45325</v>
      </c>
      <c r="Q1885" s="83" t="n">
        <f aca="false">IF(O1885&lt;&gt;"",O1885+P1885,"")</f>
        <v>92.98575</v>
      </c>
      <c r="R1885" s="84" t="s">
        <v>365</v>
      </c>
    </row>
    <row r="1886" customFormat="false" ht="15" hidden="false" customHeight="true" outlineLevel="0" collapsed="false">
      <c r="A1886" s="103" t="n">
        <v>56413</v>
      </c>
      <c r="B1886" s="85" t="n">
        <v>46268</v>
      </c>
      <c r="C1886" s="86" t="s">
        <v>815</v>
      </c>
      <c r="D1886" s="87" t="n">
        <v>50163</v>
      </c>
      <c r="E1886" s="52" t="str">
        <f aca="false">IF(D1886&lt;&gt;"",IFERROR(VLOOKUP(D1886,PROVEEDORES!$A:$B,2,0),"!COD NO ENCONTRADO"),"")</f>
        <v>SUBASTAS RIVERA S.L.</v>
      </c>
      <c r="F1886" s="76" t="str">
        <f aca="false">IF(D1886&lt;&gt;"",IFERROR(VLOOKUP(D1886,PROVEEDORES!$A:$C,3,0),""),"")</f>
        <v>S</v>
      </c>
      <c r="G1886" s="75" t="s">
        <v>452</v>
      </c>
      <c r="H1886" s="52" t="str">
        <f aca="false">IF(G1886&lt;&gt;"",IFERROR(VLOOKUP(G1886,PRODUCTOS!$A:$B,2,0),"!COD NO ENCONTRADO"),"")</f>
        <v>BONITO DEL NORTE  +10 (ALB)</v>
      </c>
      <c r="I1886" s="77" t="n">
        <v>1</v>
      </c>
      <c r="J1886" s="78" t="n">
        <v>32.75</v>
      </c>
      <c r="K1886" s="79" t="n">
        <v>5.1</v>
      </c>
      <c r="L1886" s="80" t="n">
        <f aca="false">IF(AND(J1886&lt;&gt;"",K1886&lt;&gt;""),J1886*K1886,"")</f>
        <v>167.025</v>
      </c>
      <c r="M1886" s="81" t="n">
        <f aca="false">IF(L1886&lt;&gt;"",L1886*1.1,"")</f>
        <v>183.7275</v>
      </c>
      <c r="N1886" s="53" t="n">
        <f aca="false">IF(F1886="S",L1886*0.02,0)</f>
        <v>3.3405</v>
      </c>
      <c r="O1886" s="82" t="n">
        <f aca="false">IF(L1886&lt;&gt;"",L1886+N1886,"")</f>
        <v>170.3655</v>
      </c>
      <c r="P1886" s="53" t="n">
        <f aca="false">IF(O1886&lt;&gt;"",O1886*0.1,"")</f>
        <v>17.03655</v>
      </c>
      <c r="Q1886" s="83" t="n">
        <f aca="false">IF(O1886&lt;&gt;"",O1886+P1886,"")</f>
        <v>187.40205</v>
      </c>
      <c r="R1886" s="84" t="s">
        <v>365</v>
      </c>
    </row>
    <row r="1887" customFormat="false" ht="15" hidden="false" customHeight="true" outlineLevel="0" collapsed="false">
      <c r="A1887" s="103" t="n">
        <v>56413</v>
      </c>
      <c r="B1887" s="85" t="n">
        <v>46268</v>
      </c>
      <c r="C1887" s="86" t="s">
        <v>815</v>
      </c>
      <c r="D1887" s="87" t="n">
        <v>50163</v>
      </c>
      <c r="E1887" s="52" t="str">
        <f aca="false">IF(D1887&lt;&gt;"",IFERROR(VLOOKUP(D1887,PROVEEDORES!$A:$B,2,0),"!COD NO ENCONTRADO"),"")</f>
        <v>SUBASTAS RIVERA S.L.</v>
      </c>
      <c r="F1887" s="76" t="str">
        <f aca="false">IF(D1887&lt;&gt;"",IFERROR(VLOOKUP(D1887,PROVEEDORES!$A:$C,3,0),""),"")</f>
        <v>S</v>
      </c>
      <c r="G1887" s="75" t="s">
        <v>452</v>
      </c>
      <c r="H1887" s="46" t="str">
        <f aca="false">IF(G1887&lt;&gt;"",IFERROR(VLOOKUP(G1887,PRODUCTOS!$A:$B,2,0),"!COD NO ENCONTRADO"),"")</f>
        <v>BONITO DEL NORTE  +10 (ALB)</v>
      </c>
      <c r="I1887" s="89" t="n">
        <v>1</v>
      </c>
      <c r="J1887" s="90" t="n">
        <v>27.75</v>
      </c>
      <c r="K1887" s="91" t="n">
        <v>5</v>
      </c>
      <c r="L1887" s="80" t="n">
        <f aca="false">IF(AND(J1887&lt;&gt;"",K1887&lt;&gt;""),J1887*K1887,"")</f>
        <v>138.75</v>
      </c>
      <c r="M1887" s="81" t="n">
        <f aca="false">IF(L1887&lt;&gt;"",L1887*1.1,"")</f>
        <v>152.625</v>
      </c>
      <c r="N1887" s="47" t="n">
        <f aca="false">IF(F1887="S",L1887*0.02,0)</f>
        <v>2.775</v>
      </c>
      <c r="O1887" s="82" t="n">
        <f aca="false">IF(L1887&lt;&gt;"",L1887+N1887,"")</f>
        <v>141.525</v>
      </c>
      <c r="P1887" s="47" t="n">
        <f aca="false">IF(O1887&lt;&gt;"",O1887*0.1,"")</f>
        <v>14.1525</v>
      </c>
      <c r="Q1887" s="83" t="n">
        <f aca="false">IF(O1887&lt;&gt;"",O1887+P1887,"")</f>
        <v>155.6775</v>
      </c>
      <c r="R1887" s="84" t="s">
        <v>365</v>
      </c>
    </row>
    <row r="1888" customFormat="false" ht="15" hidden="false" customHeight="true" outlineLevel="0" collapsed="false">
      <c r="A1888" s="103" t="n">
        <v>56414</v>
      </c>
      <c r="B1888" s="73" t="n">
        <v>46268</v>
      </c>
      <c r="C1888" s="74" t="s">
        <v>816</v>
      </c>
      <c r="D1888" s="75" t="n">
        <v>50521</v>
      </c>
      <c r="E1888" s="52" t="str">
        <f aca="false">IF(D1888&lt;&gt;"",IFERROR(VLOOKUP(D1888,PROVEEDORES!$A:$B,2,0),"!COD NO ENCONTRADO"),"")</f>
        <v>SUBASTAS DE ATLANTICO S.L</v>
      </c>
      <c r="F1888" s="76" t="str">
        <f aca="false">IF(D1888&lt;&gt;"",IFERROR(VLOOKUP(D1888,PROVEEDORES!$A:$C,3,0),""),"")</f>
        <v>S</v>
      </c>
      <c r="G1888" s="75" t="s">
        <v>93</v>
      </c>
      <c r="H1888" s="52" t="str">
        <f aca="false">IF(G1888&lt;&gt;"",IFERROR(VLOOKUP(G1888,PRODUCTOS!$A:$B,2,0),"!COD NO ENCONTRADO"),"")</f>
        <v>BOQUERON/ BOCARTE/ ANCHOA (ANE)</v>
      </c>
      <c r="I1888" s="77" t="n">
        <v>20</v>
      </c>
      <c r="J1888" s="78" t="n">
        <v>138</v>
      </c>
      <c r="K1888" s="79" t="n">
        <v>1.5</v>
      </c>
      <c r="L1888" s="80" t="n">
        <f aca="false">IF(AND(J1888&lt;&gt;"",K1888&lt;&gt;""),J1888*K1888,"")</f>
        <v>207</v>
      </c>
      <c r="M1888" s="81" t="n">
        <f aca="false">IF(L1888&lt;&gt;"",L1888*1.1,"")</f>
        <v>227.7</v>
      </c>
      <c r="N1888" s="53" t="n">
        <f aca="false">IF(F1888="S",L1888*0.02,0)</f>
        <v>4.14</v>
      </c>
      <c r="O1888" s="82" t="n">
        <f aca="false">IF(L1888&lt;&gt;"",L1888+N1888,"")</f>
        <v>211.14</v>
      </c>
      <c r="P1888" s="53" t="n">
        <f aca="false">IF(O1888&lt;&gt;"",O1888*0.1,"")</f>
        <v>21.114</v>
      </c>
      <c r="Q1888" s="83" t="n">
        <f aca="false">IF(O1888&lt;&gt;"",O1888+P1888,"")</f>
        <v>232.254</v>
      </c>
      <c r="R1888" s="84" t="s">
        <v>365</v>
      </c>
    </row>
    <row r="1889" customFormat="false" ht="15" hidden="false" customHeight="true" outlineLevel="0" collapsed="false">
      <c r="A1889" s="103" t="n">
        <v>56414</v>
      </c>
      <c r="B1889" s="73" t="n">
        <v>46268</v>
      </c>
      <c r="C1889" s="74" t="s">
        <v>816</v>
      </c>
      <c r="D1889" s="75" t="n">
        <v>50521</v>
      </c>
      <c r="E1889" s="52" t="str">
        <f aca="false">IF(D1889&lt;&gt;"",IFERROR(VLOOKUP(D1889,PROVEEDORES!$A:$B,2,0),"!COD NO ENCONTRADO"),"")</f>
        <v>SUBASTAS DE ATLANTICO S.L</v>
      </c>
      <c r="F1889" s="76" t="str">
        <f aca="false">IF(D1889&lt;&gt;"",IFERROR(VLOOKUP(D1889,PROVEEDORES!$A:$C,3,0),""),"")</f>
        <v>S</v>
      </c>
      <c r="G1889" s="75" t="s">
        <v>93</v>
      </c>
      <c r="H1889" s="46" t="str">
        <f aca="false">IF(G1889&lt;&gt;"",IFERROR(VLOOKUP(G1889,PRODUCTOS!$A:$B,2,0),"!COD NO ENCONTRADO"),"")</f>
        <v>BOQUERON/ BOCARTE/ ANCHOA (ANE)</v>
      </c>
      <c r="I1889" s="89" t="n">
        <v>40</v>
      </c>
      <c r="J1889" s="90" t="n">
        <v>394</v>
      </c>
      <c r="K1889" s="91" t="n">
        <v>1.45</v>
      </c>
      <c r="L1889" s="80" t="n">
        <f aca="false">IF(AND(J1889&lt;&gt;"",K1889&lt;&gt;""),J1889*K1889,"")</f>
        <v>571.3</v>
      </c>
      <c r="M1889" s="81" t="n">
        <f aca="false">IF(L1889&lt;&gt;"",L1889*1.1,"")</f>
        <v>628.43</v>
      </c>
      <c r="N1889" s="47" t="n">
        <f aca="false">IF(F1889="S",L1889*0.02,0)</f>
        <v>11.426</v>
      </c>
      <c r="O1889" s="82" t="n">
        <f aca="false">IF(L1889&lt;&gt;"",L1889+N1889,"")</f>
        <v>582.726</v>
      </c>
      <c r="P1889" s="47" t="n">
        <f aca="false">IF(O1889&lt;&gt;"",O1889*0.1,"")</f>
        <v>58.2726</v>
      </c>
      <c r="Q1889" s="83" t="n">
        <f aca="false">IF(O1889&lt;&gt;"",O1889+P1889,"")</f>
        <v>640.9986</v>
      </c>
      <c r="R1889" s="84" t="s">
        <v>365</v>
      </c>
    </row>
    <row r="1890" customFormat="false" ht="15" hidden="false" customHeight="true" outlineLevel="0" collapsed="false">
      <c r="A1890" s="103" t="n">
        <v>56414</v>
      </c>
      <c r="B1890" s="73" t="n">
        <v>46268</v>
      </c>
      <c r="C1890" s="74" t="s">
        <v>816</v>
      </c>
      <c r="D1890" s="75" t="n">
        <v>50521</v>
      </c>
      <c r="E1890" s="52" t="str">
        <f aca="false">IF(D1890&lt;&gt;"",IFERROR(VLOOKUP(D1890,PROVEEDORES!$A:$B,2,0),"!COD NO ENCONTRADO"),"")</f>
        <v>SUBASTAS DE ATLANTICO S.L</v>
      </c>
      <c r="F1890" s="76" t="str">
        <f aca="false">IF(D1890&lt;&gt;"",IFERROR(VLOOKUP(D1890,PROVEEDORES!$A:$C,3,0),""),"")</f>
        <v>S</v>
      </c>
      <c r="G1890" s="75" t="s">
        <v>93</v>
      </c>
      <c r="H1890" s="52" t="str">
        <f aca="false">IF(G1890&lt;&gt;"",IFERROR(VLOOKUP(G1890,PRODUCTOS!$A:$B,2,0),"!COD NO ENCONTRADO"),"")</f>
        <v>BOQUERON/ BOCARTE/ ANCHOA (ANE)</v>
      </c>
      <c r="I1890" s="77" t="n">
        <v>40</v>
      </c>
      <c r="J1890" s="78" t="n">
        <v>435</v>
      </c>
      <c r="K1890" s="79" t="n">
        <v>1.45</v>
      </c>
      <c r="L1890" s="80" t="n">
        <f aca="false">IF(AND(J1890&lt;&gt;"",K1890&lt;&gt;""),J1890*K1890,"")</f>
        <v>630.75</v>
      </c>
      <c r="M1890" s="81" t="n">
        <f aca="false">IF(L1890&lt;&gt;"",L1890*1.1,"")</f>
        <v>693.825</v>
      </c>
      <c r="N1890" s="53" t="n">
        <f aca="false">IF(F1890="S",L1890*0.02,0)</f>
        <v>12.615</v>
      </c>
      <c r="O1890" s="82" t="n">
        <f aca="false">IF(L1890&lt;&gt;"",L1890+N1890,"")</f>
        <v>643.365</v>
      </c>
      <c r="P1890" s="53" t="n">
        <f aca="false">IF(O1890&lt;&gt;"",O1890*0.1,"")</f>
        <v>64.3365</v>
      </c>
      <c r="Q1890" s="83" t="n">
        <f aca="false">IF(O1890&lt;&gt;"",O1890+P1890,"")</f>
        <v>707.7015</v>
      </c>
      <c r="R1890" s="84" t="s">
        <v>365</v>
      </c>
    </row>
    <row r="1891" customFormat="false" ht="15" hidden="false" customHeight="true" outlineLevel="0" collapsed="false">
      <c r="A1891" s="103" t="n">
        <v>56415</v>
      </c>
      <c r="B1891" s="85" t="n">
        <v>46268</v>
      </c>
      <c r="C1891" s="86" t="s">
        <v>817</v>
      </c>
      <c r="D1891" s="87" t="n">
        <v>50218</v>
      </c>
      <c r="E1891" s="46" t="str">
        <f aca="false">IF(D1891&lt;&gt;"",IFERROR(VLOOKUP(D1891,PROVEEDORES!$A:$B,2,0),"!COD NO ENCONTRADO"),"")</f>
        <v>ACERGA </v>
      </c>
      <c r="F1891" s="88" t="str">
        <f aca="false">IF(D1891&lt;&gt;"",IFERROR(VLOOKUP(D1891,PROVEEDORES!$A:$C,3,0),""),"")</f>
        <v>S</v>
      </c>
      <c r="G1891" s="87" t="s">
        <v>93</v>
      </c>
      <c r="H1891" s="46" t="str">
        <f aca="false">IF(G1891&lt;&gt;"",IFERROR(VLOOKUP(G1891,PRODUCTOS!$A:$B,2,0),"!COD NO ENCONTRADO"),"")</f>
        <v>BOQUERON/ BOCARTE/ ANCHOA (ANE)</v>
      </c>
      <c r="I1891" s="89" t="n">
        <v>40</v>
      </c>
      <c r="J1891" s="90" t="n">
        <v>321</v>
      </c>
      <c r="K1891" s="91" t="n">
        <v>1.83</v>
      </c>
      <c r="L1891" s="80" t="n">
        <f aca="false">IF(AND(J1891&lt;&gt;"",K1891&lt;&gt;""),J1891*K1891,"")</f>
        <v>587.43</v>
      </c>
      <c r="M1891" s="81" t="n">
        <f aca="false">IF(L1891&lt;&gt;"",L1891*1.1,"")</f>
        <v>646.173</v>
      </c>
      <c r="N1891" s="47" t="n">
        <f aca="false">IF(F1891="S",L1891*0.02,0)</f>
        <v>11.7486</v>
      </c>
      <c r="O1891" s="82" t="n">
        <f aca="false">IF(L1891&lt;&gt;"",L1891+N1891,"")</f>
        <v>599.1786</v>
      </c>
      <c r="P1891" s="47" t="n">
        <f aca="false">IF(O1891&lt;&gt;"",O1891*0.1,"")</f>
        <v>59.91786</v>
      </c>
      <c r="Q1891" s="83" t="n">
        <f aca="false">IF(O1891&lt;&gt;"",O1891+P1891,"")</f>
        <v>659.09646</v>
      </c>
      <c r="R1891" s="84" t="s">
        <v>365</v>
      </c>
    </row>
    <row r="1892" customFormat="false" ht="15" hidden="false" customHeight="true" outlineLevel="0" collapsed="false">
      <c r="A1892" s="103" t="n">
        <v>56415</v>
      </c>
      <c r="B1892" s="85" t="n">
        <v>46268</v>
      </c>
      <c r="C1892" s="86" t="s">
        <v>817</v>
      </c>
      <c r="D1892" s="87" t="n">
        <v>50218</v>
      </c>
      <c r="E1892" s="52" t="str">
        <f aca="false">IF(D1892&lt;&gt;"",IFERROR(VLOOKUP(D1892,PROVEEDORES!$A:$B,2,0),"!COD NO ENCONTRADO"),"")</f>
        <v>ACERGA </v>
      </c>
      <c r="F1892" s="76" t="str">
        <f aca="false">IF(D1892&lt;&gt;"",IFERROR(VLOOKUP(D1892,PROVEEDORES!$A:$C,3,0),""),"")</f>
        <v>S</v>
      </c>
      <c r="G1892" s="75" t="s">
        <v>93</v>
      </c>
      <c r="H1892" s="52" t="str">
        <f aca="false">IF(G1892&lt;&gt;"",IFERROR(VLOOKUP(G1892,PRODUCTOS!$A:$B,2,0),"!COD NO ENCONTRADO"),"")</f>
        <v>BOQUERON/ BOCARTE/ ANCHOA (ANE)</v>
      </c>
      <c r="I1892" s="77" t="n">
        <v>40</v>
      </c>
      <c r="J1892" s="78" t="n">
        <v>367</v>
      </c>
      <c r="K1892" s="79" t="n">
        <v>1.57</v>
      </c>
      <c r="L1892" s="80" t="n">
        <f aca="false">IF(AND(J1892&lt;&gt;"",K1892&lt;&gt;""),J1892*K1892,"")</f>
        <v>576.19</v>
      </c>
      <c r="M1892" s="81" t="n">
        <f aca="false">IF(L1892&lt;&gt;"",L1892*1.1,"")</f>
        <v>633.809</v>
      </c>
      <c r="N1892" s="53" t="n">
        <f aca="false">IF(F1892="S",L1892*0.02,0)</f>
        <v>11.5238</v>
      </c>
      <c r="O1892" s="82" t="n">
        <f aca="false">IF(L1892&lt;&gt;"",L1892+N1892,"")</f>
        <v>587.7138</v>
      </c>
      <c r="P1892" s="53" t="n">
        <f aca="false">IF(O1892&lt;&gt;"",O1892*0.1,"")</f>
        <v>58.77138</v>
      </c>
      <c r="Q1892" s="83" t="n">
        <f aca="false">IF(O1892&lt;&gt;"",O1892+P1892,"")</f>
        <v>646.48518</v>
      </c>
      <c r="R1892" s="84" t="s">
        <v>365</v>
      </c>
    </row>
    <row r="1893" customFormat="false" ht="15" hidden="false" customHeight="true" outlineLevel="0" collapsed="false">
      <c r="A1893" s="103" t="n">
        <v>56416</v>
      </c>
      <c r="B1893" s="85" t="n">
        <v>46268</v>
      </c>
      <c r="C1893" s="86" t="s">
        <v>818</v>
      </c>
      <c r="D1893" s="87" t="n">
        <v>50048</v>
      </c>
      <c r="E1893" s="46" t="str">
        <f aca="false">IF(D1893&lt;&gt;"",IFERROR(VLOOKUP(D1893,PROVEEDORES!$A:$B,2,0),"!COD NO ENCONTRADO"),"")</f>
        <v>JOSE LUIS CORREA KESSLER S.L.</v>
      </c>
      <c r="F1893" s="88" t="str">
        <f aca="false">IF(D1893&lt;&gt;"",IFERROR(VLOOKUP(D1893,PROVEEDORES!$A:$C,3,0),""),"")</f>
        <v>N</v>
      </c>
      <c r="G1893" s="87" t="s">
        <v>179</v>
      </c>
      <c r="H1893" s="46" t="str">
        <f aca="false">IF(G1893&lt;&gt;"",IFERROR(VLOOKUP(G1893,PRODUCTOS!$A:$B,2,0),"!COD NO ENCONTRADO"),"")</f>
        <v>LIRIO/ BACALADILLA/ PERLA (WHB)</v>
      </c>
      <c r="I1893" s="89" t="n">
        <v>60</v>
      </c>
      <c r="J1893" s="90" t="n">
        <v>360</v>
      </c>
      <c r="K1893" s="125" t="n">
        <v>1.75</v>
      </c>
      <c r="L1893" s="80" t="n">
        <f aca="false">IF(AND(J1893&lt;&gt;"",K1893&lt;&gt;""),J1893*K1893,"")</f>
        <v>630</v>
      </c>
      <c r="M1893" s="81" t="n">
        <f aca="false">IF(L1893&lt;&gt;"",L1893*1.1,"")</f>
        <v>693</v>
      </c>
      <c r="N1893" s="47" t="n">
        <f aca="false">IF(F1893="S",L1893*0.02,0)</f>
        <v>0</v>
      </c>
      <c r="O1893" s="82" t="n">
        <f aca="false">IF(L1893&lt;&gt;"",L1893+N1893,"")</f>
        <v>630</v>
      </c>
      <c r="P1893" s="47" t="n">
        <f aca="false">IF(O1893&lt;&gt;"",O1893*0.1,"")</f>
        <v>63</v>
      </c>
      <c r="Q1893" s="83" t="n">
        <f aca="false">IF(O1893&lt;&gt;"",O1893+P1893,"")</f>
        <v>693</v>
      </c>
      <c r="R1893" s="84" t="s">
        <v>365</v>
      </c>
    </row>
    <row r="1894" customFormat="false" ht="15" hidden="false" customHeight="true" outlineLevel="0" collapsed="false">
      <c r="A1894" s="103" t="n">
        <v>56416</v>
      </c>
      <c r="B1894" s="85" t="n">
        <v>46268</v>
      </c>
      <c r="C1894" s="86" t="s">
        <v>819</v>
      </c>
      <c r="D1894" s="87" t="n">
        <v>50048</v>
      </c>
      <c r="E1894" s="46" t="str">
        <f aca="false">IF(D1894&lt;&gt;"",IFERROR(VLOOKUP(D1894,PROVEEDORES!$A:$B,2,0),"!COD NO ENCONTRADO"),"")</f>
        <v>JOSE LUIS CORREA KESSLER S.L.</v>
      </c>
      <c r="F1894" s="88" t="str">
        <f aca="false">IF(D1894&lt;&gt;"",IFERROR(VLOOKUP(D1894,PROVEEDORES!$A:$C,3,0),""),"")</f>
        <v>N</v>
      </c>
      <c r="G1894" s="87" t="s">
        <v>179</v>
      </c>
      <c r="H1894" s="46" t="str">
        <f aca="false">IF(G1894&lt;&gt;"",IFERROR(VLOOKUP(G1894,PRODUCTOS!$A:$B,2,0),"!COD NO ENCONTRADO"),"")</f>
        <v>LIRIO/ BACALADILLA/ PERLA (WHB)</v>
      </c>
      <c r="I1894" s="89" t="n">
        <v>3</v>
      </c>
      <c r="J1894" s="90" t="n">
        <v>18</v>
      </c>
      <c r="K1894" s="125" t="n">
        <v>2.2</v>
      </c>
      <c r="L1894" s="80" t="n">
        <f aca="false">IF(AND(J1894&lt;&gt;"",K1894&lt;&gt;""),J1894*K1894,"")</f>
        <v>39.6</v>
      </c>
      <c r="M1894" s="81" t="n">
        <f aca="false">IF(L1894&lt;&gt;"",L1894*1.1,"")</f>
        <v>43.56</v>
      </c>
      <c r="N1894" s="47" t="n">
        <f aca="false">IF(F1894="S",L1894*0.02,0)</f>
        <v>0</v>
      </c>
      <c r="O1894" s="82" t="n">
        <f aca="false">IF(L1894&lt;&gt;"",L1894+N1894,"")</f>
        <v>39.6</v>
      </c>
      <c r="P1894" s="47" t="n">
        <f aca="false">IF(O1894&lt;&gt;"",O1894*0.1,"")</f>
        <v>3.96</v>
      </c>
      <c r="Q1894" s="83" t="n">
        <f aca="false">IF(O1894&lt;&gt;"",O1894+P1894,"")</f>
        <v>43.56</v>
      </c>
      <c r="R1894" s="84" t="s">
        <v>365</v>
      </c>
    </row>
    <row r="1895" customFormat="false" ht="15" hidden="false" customHeight="true" outlineLevel="0" collapsed="false">
      <c r="A1895" s="103" t="n">
        <v>56417</v>
      </c>
      <c r="B1895" s="73" t="n">
        <v>46268</v>
      </c>
      <c r="C1895" s="74" t="s">
        <v>820</v>
      </c>
      <c r="D1895" s="75" t="n">
        <v>50164</v>
      </c>
      <c r="E1895" s="52" t="str">
        <f aca="false">IF(D1895&lt;&gt;"",IFERROR(VLOOKUP(D1895,PROVEEDORES!$A:$B,2,0),"!COD NO ENCONTRADO"),"")</f>
        <v>ABRGO NORTE S.L.</v>
      </c>
      <c r="F1895" s="76" t="str">
        <f aca="false">IF(D1895&lt;&gt;"",IFERROR(VLOOKUP(D1895,PROVEEDORES!$A:$C,3,0),""),"")</f>
        <v>N</v>
      </c>
      <c r="G1895" s="75" t="s">
        <v>302</v>
      </c>
      <c r="H1895" s="52" t="str">
        <f aca="false">IF(G1895&lt;&gt;"",IFERROR(VLOOKUP(G1895,PRODUCTOS!$A:$B,2,0),"!COD NO ENCONTRADO"),"")</f>
        <v>RAYA COMUN (ALAS)</v>
      </c>
      <c r="I1895" s="77" t="n">
        <v>2</v>
      </c>
      <c r="J1895" s="78" t="n">
        <v>10</v>
      </c>
      <c r="K1895" s="79" t="n">
        <v>9.2</v>
      </c>
      <c r="L1895" s="80" t="n">
        <f aca="false">IF(AND(J1895&lt;&gt;"",K1895&lt;&gt;""),J1895*K1895,"")</f>
        <v>92</v>
      </c>
      <c r="M1895" s="81" t="n">
        <f aca="false">IF(L1895&lt;&gt;"",L1895*1.1,"")</f>
        <v>101.2</v>
      </c>
      <c r="N1895" s="53" t="n">
        <f aca="false">IF(F1895="S",L1895*0.02,0)</f>
        <v>0</v>
      </c>
      <c r="O1895" s="82" t="n">
        <f aca="false">IF(L1895&lt;&gt;"",L1895+N1895,"")</f>
        <v>92</v>
      </c>
      <c r="P1895" s="53" t="n">
        <f aca="false">IF(O1895&lt;&gt;"",O1895*0.1,"")</f>
        <v>9.2</v>
      </c>
      <c r="Q1895" s="83" t="n">
        <f aca="false">IF(O1895&lt;&gt;"",O1895+P1895,"")</f>
        <v>101.2</v>
      </c>
      <c r="R1895" s="84" t="s">
        <v>365</v>
      </c>
    </row>
    <row r="1896" customFormat="false" ht="15" hidden="false" customHeight="true" outlineLevel="0" collapsed="false">
      <c r="A1896" s="103" t="n">
        <v>56418</v>
      </c>
      <c r="B1896" s="73" t="n">
        <v>46269</v>
      </c>
      <c r="C1896" s="74" t="s">
        <v>821</v>
      </c>
      <c r="D1896" s="75" t="n">
        <v>50232</v>
      </c>
      <c r="E1896" s="52" t="str">
        <f aca="false">IF(D1896&lt;&gt;"",IFERROR(VLOOKUP(D1896,PROVEEDORES!$A:$B,2,0),"!COD NO ENCONTRADO"),"")</f>
        <v>XESTION NOVA LONXA RIVEIRA S.L.</v>
      </c>
      <c r="F1896" s="76" t="str">
        <f aca="false">IF(D1896&lt;&gt;"",IFERROR(VLOOKUP(D1896,PROVEEDORES!$A:$C,3,0),""),"")</f>
        <v>S</v>
      </c>
      <c r="G1896" s="75" t="s">
        <v>332</v>
      </c>
      <c r="H1896" s="52" t="str">
        <f aca="false">IF(G1896&lt;&gt;"",IFERROR(VLOOKUP(G1896,PRODUCTOS!$A:$B,2,0),"!COD NO ENCONTRADO"),"")</f>
        <v>VARIADO PEQUEÑO</v>
      </c>
      <c r="I1896" s="77" t="n">
        <v>2</v>
      </c>
      <c r="J1896" s="78" t="n">
        <v>20</v>
      </c>
      <c r="K1896" s="79" t="n">
        <v>2</v>
      </c>
      <c r="L1896" s="80" t="n">
        <f aca="false">IF(AND(J1896&lt;&gt;"",K1896&lt;&gt;""),J1896*K1896,"")</f>
        <v>40</v>
      </c>
      <c r="M1896" s="81" t="n">
        <f aca="false">IF(L1896&lt;&gt;"",L1896*1.1,"")</f>
        <v>44</v>
      </c>
      <c r="N1896" s="53" t="n">
        <f aca="false">IF(F1896="S",L1896*0.02,0)</f>
        <v>0.8</v>
      </c>
      <c r="O1896" s="82" t="n">
        <f aca="false">IF(L1896&lt;&gt;"",L1896+N1896,"")</f>
        <v>40.8</v>
      </c>
      <c r="P1896" s="53" t="n">
        <f aca="false">IF(O1896&lt;&gt;"",O1896*0.1,"")</f>
        <v>4.08</v>
      </c>
      <c r="Q1896" s="83" t="n">
        <f aca="false">IF(O1896&lt;&gt;"",O1896+P1896,"")</f>
        <v>44.88</v>
      </c>
      <c r="R1896" s="84" t="s">
        <v>365</v>
      </c>
    </row>
    <row r="1897" customFormat="false" ht="15" hidden="false" customHeight="true" outlineLevel="0" collapsed="false">
      <c r="A1897" s="103" t="n">
        <v>56418</v>
      </c>
      <c r="B1897" s="73" t="n">
        <v>46269</v>
      </c>
      <c r="C1897" s="74" t="s">
        <v>821</v>
      </c>
      <c r="D1897" s="75" t="n">
        <v>50232</v>
      </c>
      <c r="E1897" s="46" t="str">
        <f aca="false">IF(D1897&lt;&gt;"",IFERROR(VLOOKUP(D1897,PROVEEDORES!$A:$B,2,0),"!COD NO ENCONTRADO"),"")</f>
        <v>XESTION NOVA LONXA RIVEIRA S.L.</v>
      </c>
      <c r="F1897" s="88" t="str">
        <f aca="false">IF(D1897&lt;&gt;"",IFERROR(VLOOKUP(D1897,PROVEEDORES!$A:$C,3,0),""),"")</f>
        <v>S</v>
      </c>
      <c r="G1897" s="87" t="s">
        <v>332</v>
      </c>
      <c r="H1897" s="46" t="str">
        <f aca="false">IF(G1897&lt;&gt;"",IFERROR(VLOOKUP(G1897,PRODUCTOS!$A:$B,2,0),"!COD NO ENCONTRADO"),"")</f>
        <v>VARIADO PEQUEÑO</v>
      </c>
      <c r="I1897" s="89" t="n">
        <v>3</v>
      </c>
      <c r="J1897" s="90" t="n">
        <v>19.25</v>
      </c>
      <c r="K1897" s="91" t="n">
        <v>1.5</v>
      </c>
      <c r="L1897" s="80" t="n">
        <f aca="false">IF(AND(J1897&lt;&gt;"",K1897&lt;&gt;""),J1897*K1897,"")</f>
        <v>28.875</v>
      </c>
      <c r="M1897" s="81" t="n">
        <f aca="false">IF(L1897&lt;&gt;"",L1897*1.1,"")</f>
        <v>31.7625</v>
      </c>
      <c r="N1897" s="47" t="n">
        <f aca="false">IF(F1897="S",L1897*0.02,0)</f>
        <v>0.5775</v>
      </c>
      <c r="O1897" s="82" t="n">
        <f aca="false">IF(L1897&lt;&gt;"",L1897+N1897,"")</f>
        <v>29.4525</v>
      </c>
      <c r="P1897" s="47" t="n">
        <f aca="false">IF(O1897&lt;&gt;"",O1897*0.1,"")</f>
        <v>2.94525</v>
      </c>
      <c r="Q1897" s="83" t="n">
        <f aca="false">IF(O1897&lt;&gt;"",O1897+P1897,"")</f>
        <v>32.39775</v>
      </c>
      <c r="R1897" s="84" t="s">
        <v>365</v>
      </c>
    </row>
    <row r="1898" customFormat="false" ht="15" hidden="false" customHeight="true" outlineLevel="0" collapsed="false">
      <c r="A1898" s="103" t="n">
        <v>56418</v>
      </c>
      <c r="B1898" s="73" t="n">
        <v>46269</v>
      </c>
      <c r="C1898" s="74" t="s">
        <v>821</v>
      </c>
      <c r="D1898" s="75" t="n">
        <v>50232</v>
      </c>
      <c r="E1898" s="52" t="str">
        <f aca="false">IF(D1898&lt;&gt;"",IFERROR(VLOOKUP(D1898,PROVEEDORES!$A:$B,2,0),"!COD NO ENCONTRADO"),"")</f>
        <v>XESTION NOVA LONXA RIVEIRA S.L.</v>
      </c>
      <c r="F1898" s="76" t="str">
        <f aca="false">IF(D1898&lt;&gt;"",IFERROR(VLOOKUP(D1898,PROVEEDORES!$A:$C,3,0),""),"")</f>
        <v>S</v>
      </c>
      <c r="G1898" s="75" t="s">
        <v>270</v>
      </c>
      <c r="H1898" s="52" t="str">
        <f aca="false">IF(G1898&lt;&gt;"",IFERROR(VLOOKUP(G1898,PRODUCTOS!$A:$B,2,0),"!COD NO ENCONTRADO"),"")</f>
        <v>PEON/ PION (ATP)</v>
      </c>
      <c r="I1898" s="77" t="n">
        <v>4</v>
      </c>
      <c r="J1898" s="78" t="n">
        <v>20</v>
      </c>
      <c r="K1898" s="79" t="n">
        <v>4.5</v>
      </c>
      <c r="L1898" s="80" t="n">
        <f aca="false">IF(AND(J1898&lt;&gt;"",K1898&lt;&gt;""),J1898*K1898,"")</f>
        <v>90</v>
      </c>
      <c r="M1898" s="81" t="n">
        <f aca="false">IF(L1898&lt;&gt;"",L1898*1.1,"")</f>
        <v>99</v>
      </c>
      <c r="N1898" s="53" t="n">
        <f aca="false">IF(F1898="S",L1898*0.02,0)</f>
        <v>1.8</v>
      </c>
      <c r="O1898" s="82" t="n">
        <f aca="false">IF(L1898&lt;&gt;"",L1898+N1898,"")</f>
        <v>91.8</v>
      </c>
      <c r="P1898" s="53" t="n">
        <f aca="false">IF(O1898&lt;&gt;"",O1898*0.1,"")</f>
        <v>9.18</v>
      </c>
      <c r="Q1898" s="83" t="n">
        <f aca="false">IF(O1898&lt;&gt;"",O1898+P1898,"")</f>
        <v>100.98</v>
      </c>
      <c r="R1898" s="84" t="s">
        <v>365</v>
      </c>
    </row>
    <row r="1899" customFormat="false" ht="15" hidden="false" customHeight="true" outlineLevel="0" collapsed="false">
      <c r="A1899" s="103" t="n">
        <v>56418</v>
      </c>
      <c r="B1899" s="73" t="n">
        <v>46269</v>
      </c>
      <c r="C1899" s="74" t="s">
        <v>821</v>
      </c>
      <c r="D1899" s="75" t="n">
        <v>50232</v>
      </c>
      <c r="E1899" s="46" t="str">
        <f aca="false">IF(D1899&lt;&gt;"",IFERROR(VLOOKUP(D1899,PROVEEDORES!$A:$B,2,0),"!COD NO ENCONTRADO"),"")</f>
        <v>XESTION NOVA LONXA RIVEIRA S.L.</v>
      </c>
      <c r="F1899" s="88" t="str">
        <f aca="false">IF(D1899&lt;&gt;"",IFERROR(VLOOKUP(D1899,PROVEEDORES!$A:$C,3,0),""),"")</f>
        <v>S</v>
      </c>
      <c r="G1899" s="87" t="s">
        <v>270</v>
      </c>
      <c r="H1899" s="46" t="str">
        <f aca="false">IF(G1899&lt;&gt;"",IFERROR(VLOOKUP(G1899,PRODUCTOS!$A:$B,2,0),"!COD NO ENCONTRADO"),"")</f>
        <v>PEON/ PION (ATP)</v>
      </c>
      <c r="I1899" s="89" t="n">
        <v>2</v>
      </c>
      <c r="J1899" s="90" t="n">
        <v>15.8</v>
      </c>
      <c r="K1899" s="91" t="n">
        <v>3.5</v>
      </c>
      <c r="L1899" s="80" t="n">
        <f aca="false">IF(AND(J1899&lt;&gt;"",K1899&lt;&gt;""),J1899*K1899,"")</f>
        <v>55.3</v>
      </c>
      <c r="M1899" s="81" t="n">
        <f aca="false">IF(L1899&lt;&gt;"",L1899*1.1,"")</f>
        <v>60.83</v>
      </c>
      <c r="N1899" s="47" t="n">
        <f aca="false">IF(F1899="S",L1899*0.02,0)</f>
        <v>1.106</v>
      </c>
      <c r="O1899" s="82" t="n">
        <f aca="false">IF(L1899&lt;&gt;"",L1899+N1899,"")</f>
        <v>56.406</v>
      </c>
      <c r="P1899" s="47" t="n">
        <f aca="false">IF(O1899&lt;&gt;"",O1899*0.1,"")</f>
        <v>5.6406</v>
      </c>
      <c r="Q1899" s="83" t="n">
        <f aca="false">IF(O1899&lt;&gt;"",O1899+P1899,"")</f>
        <v>62.0466</v>
      </c>
      <c r="R1899" s="84" t="s">
        <v>365</v>
      </c>
    </row>
    <row r="1900" customFormat="false" ht="15" hidden="false" customHeight="true" outlineLevel="0" collapsed="false">
      <c r="A1900" s="103" t="n">
        <v>56418</v>
      </c>
      <c r="B1900" s="73" t="n">
        <v>46269</v>
      </c>
      <c r="C1900" s="74" t="s">
        <v>821</v>
      </c>
      <c r="D1900" s="75" t="n">
        <v>50232</v>
      </c>
      <c r="E1900" s="52" t="str">
        <f aca="false">IF(D1900&lt;&gt;"",IFERROR(VLOOKUP(D1900,PROVEEDORES!$A:$B,2,0),"!COD NO ENCONTRADO"),"")</f>
        <v>XESTION NOVA LONXA RIVEIRA S.L.</v>
      </c>
      <c r="F1900" s="76" t="str">
        <f aca="false">IF(D1900&lt;&gt;"",IFERROR(VLOOKUP(D1900,PROVEEDORES!$A:$C,3,0),""),"")</f>
        <v>S</v>
      </c>
      <c r="G1900" s="75" t="s">
        <v>296</v>
      </c>
      <c r="H1900" s="52" t="str">
        <f aca="false">IF(G1900&lt;&gt;"",IFERROR(VLOOKUP(G1900,PRODUCTOS!$A:$B,2,0),"!COD NO ENCONTRADO"),"")</f>
        <v>RAPE NEGRO (ANK)</v>
      </c>
      <c r="I1900" s="77" t="n">
        <v>5</v>
      </c>
      <c r="J1900" s="78" t="n">
        <v>26.6</v>
      </c>
      <c r="K1900" s="79" t="n">
        <v>4.5</v>
      </c>
      <c r="L1900" s="80" t="n">
        <f aca="false">IF(AND(J1900&lt;&gt;"",K1900&lt;&gt;""),J1900*K1900,"")</f>
        <v>119.7</v>
      </c>
      <c r="M1900" s="81" t="n">
        <f aca="false">IF(L1900&lt;&gt;"",L1900*1.1,"")</f>
        <v>131.67</v>
      </c>
      <c r="N1900" s="53" t="n">
        <f aca="false">IF(F1900="S",L1900*0.02,0)</f>
        <v>2.394</v>
      </c>
      <c r="O1900" s="82" t="n">
        <f aca="false">IF(L1900&lt;&gt;"",L1900+N1900,"")</f>
        <v>122.094</v>
      </c>
      <c r="P1900" s="53" t="n">
        <f aca="false">IF(O1900&lt;&gt;"",O1900*0.1,"")</f>
        <v>12.2094</v>
      </c>
      <c r="Q1900" s="83" t="n">
        <f aca="false">IF(O1900&lt;&gt;"",O1900+P1900,"")</f>
        <v>134.3034</v>
      </c>
      <c r="R1900" s="84" t="s">
        <v>365</v>
      </c>
    </row>
    <row r="1901" customFormat="false" ht="15" hidden="false" customHeight="true" outlineLevel="0" collapsed="false">
      <c r="A1901" s="103" t="n">
        <v>56418</v>
      </c>
      <c r="B1901" s="73" t="n">
        <v>46269</v>
      </c>
      <c r="C1901" s="74" t="s">
        <v>821</v>
      </c>
      <c r="D1901" s="75" t="n">
        <v>50232</v>
      </c>
      <c r="E1901" s="46" t="str">
        <f aca="false">IF(D1901&lt;&gt;"",IFERROR(VLOOKUP(D1901,PROVEEDORES!$A:$B,2,0),"!COD NO ENCONTRADO"),"")</f>
        <v>XESTION NOVA LONXA RIVEIRA S.L.</v>
      </c>
      <c r="F1901" s="88" t="str">
        <f aca="false">IF(D1901&lt;&gt;"",IFERROR(VLOOKUP(D1901,PROVEEDORES!$A:$C,3,0),""),"")</f>
        <v>S</v>
      </c>
      <c r="G1901" s="87" t="s">
        <v>296</v>
      </c>
      <c r="H1901" s="46" t="str">
        <f aca="false">IF(G1901&lt;&gt;"",IFERROR(VLOOKUP(G1901,PRODUCTOS!$A:$B,2,0),"!COD NO ENCONTRADO"),"")</f>
        <v>RAPE NEGRO (ANK)</v>
      </c>
      <c r="I1901" s="89" t="n">
        <v>1</v>
      </c>
      <c r="J1901" s="90" t="n">
        <v>5.8</v>
      </c>
      <c r="K1901" s="91" t="n">
        <v>5.5</v>
      </c>
      <c r="L1901" s="80" t="n">
        <f aca="false">IF(AND(J1901&lt;&gt;"",K1901&lt;&gt;""),J1901*K1901,"")</f>
        <v>31.9</v>
      </c>
      <c r="M1901" s="81" t="n">
        <f aca="false">IF(L1901&lt;&gt;"",L1901*1.1,"")</f>
        <v>35.09</v>
      </c>
      <c r="N1901" s="47" t="n">
        <f aca="false">IF(F1901="S",L1901*0.02,0)</f>
        <v>0.638</v>
      </c>
      <c r="O1901" s="82" t="n">
        <f aca="false">IF(L1901&lt;&gt;"",L1901+N1901,"")</f>
        <v>32.538</v>
      </c>
      <c r="P1901" s="47" t="n">
        <f aca="false">IF(O1901&lt;&gt;"",O1901*0.1,"")</f>
        <v>3.2538</v>
      </c>
      <c r="Q1901" s="83" t="n">
        <f aca="false">IF(O1901&lt;&gt;"",O1901+P1901,"")</f>
        <v>35.7918</v>
      </c>
      <c r="R1901" s="84" t="s">
        <v>365</v>
      </c>
    </row>
    <row r="1902" customFormat="false" ht="15" hidden="false" customHeight="true" outlineLevel="0" collapsed="false">
      <c r="A1902" s="103" t="n">
        <v>56418</v>
      </c>
      <c r="B1902" s="73" t="n">
        <v>46269</v>
      </c>
      <c r="C1902" s="74" t="s">
        <v>821</v>
      </c>
      <c r="D1902" s="75" t="n">
        <v>50232</v>
      </c>
      <c r="E1902" s="52" t="str">
        <f aca="false">IF(D1902&lt;&gt;"",IFERROR(VLOOKUP(D1902,PROVEEDORES!$A:$B,2,0),"!COD NO ENCONTRADO"),"")</f>
        <v>XESTION NOVA LONXA RIVEIRA S.L.</v>
      </c>
      <c r="F1902" s="76" t="str">
        <f aca="false">IF(D1902&lt;&gt;"",IFERROR(VLOOKUP(D1902,PROVEEDORES!$A:$C,3,0),""),"")</f>
        <v>S</v>
      </c>
      <c r="G1902" s="75" t="s">
        <v>97</v>
      </c>
      <c r="H1902" s="52" t="str">
        <f aca="false">IF(G1902&lt;&gt;"",IFERROR(VLOOKUP(G1902,PRODUCTOS!$A:$B,2,0),"!COD NO ENCONTRADO"),"")</f>
        <v>CABALL/ SARDA/ VERDEL (MAC)</v>
      </c>
      <c r="I1902" s="77" t="n">
        <v>9</v>
      </c>
      <c r="J1902" s="78" t="n">
        <v>57.8</v>
      </c>
      <c r="K1902" s="79" t="n">
        <v>3.8</v>
      </c>
      <c r="L1902" s="80" t="n">
        <f aca="false">IF(AND(J1902&lt;&gt;"",K1902&lt;&gt;""),J1902*K1902,"")</f>
        <v>219.64</v>
      </c>
      <c r="M1902" s="81" t="n">
        <f aca="false">IF(L1902&lt;&gt;"",L1902*1.1,"")</f>
        <v>241.604</v>
      </c>
      <c r="N1902" s="53" t="n">
        <f aca="false">IF(F1902="S",L1902*0.02,0)</f>
        <v>4.3928</v>
      </c>
      <c r="O1902" s="82" t="n">
        <f aca="false">IF(L1902&lt;&gt;"",L1902+N1902,"")</f>
        <v>224.0328</v>
      </c>
      <c r="P1902" s="53" t="n">
        <f aca="false">IF(O1902&lt;&gt;"",O1902*0.1,"")</f>
        <v>22.40328</v>
      </c>
      <c r="Q1902" s="83" t="n">
        <f aca="false">IF(O1902&lt;&gt;"",O1902+P1902,"")</f>
        <v>246.43608</v>
      </c>
      <c r="R1902" s="84" t="s">
        <v>365</v>
      </c>
    </row>
    <row r="1903" customFormat="false" ht="15" hidden="false" customHeight="true" outlineLevel="0" collapsed="false">
      <c r="A1903" s="103" t="n">
        <v>56418</v>
      </c>
      <c r="B1903" s="73" t="n">
        <v>46269</v>
      </c>
      <c r="C1903" s="74" t="s">
        <v>821</v>
      </c>
      <c r="D1903" s="75" t="n">
        <v>50232</v>
      </c>
      <c r="E1903" s="46" t="str">
        <f aca="false">IF(D1903&lt;&gt;"",IFERROR(VLOOKUP(D1903,PROVEEDORES!$A:$B,2,0),"!COD NO ENCONTRADO"),"")</f>
        <v>XESTION NOVA LONXA RIVEIRA S.L.</v>
      </c>
      <c r="F1903" s="88" t="str">
        <f aca="false">IF(D1903&lt;&gt;"",IFERROR(VLOOKUP(D1903,PROVEEDORES!$A:$C,3,0),""),"")</f>
        <v>S</v>
      </c>
      <c r="G1903" s="87" t="s">
        <v>97</v>
      </c>
      <c r="H1903" s="46" t="str">
        <f aca="false">IF(G1903&lt;&gt;"",IFERROR(VLOOKUP(G1903,PRODUCTOS!$A:$B,2,0),"!COD NO ENCONTRADO"),"")</f>
        <v>CABALL/ SARDA/ VERDEL (MAC)</v>
      </c>
      <c r="I1903" s="89" t="n">
        <v>1</v>
      </c>
      <c r="J1903" s="90" t="n">
        <v>17</v>
      </c>
      <c r="K1903" s="91" t="n">
        <v>4.5</v>
      </c>
      <c r="L1903" s="80" t="n">
        <f aca="false">IF(AND(J1903&lt;&gt;"",K1903&lt;&gt;""),J1903*K1903,"")</f>
        <v>76.5</v>
      </c>
      <c r="M1903" s="81" t="n">
        <f aca="false">IF(L1903&lt;&gt;"",L1903*1.1,"")</f>
        <v>84.15</v>
      </c>
      <c r="N1903" s="47" t="n">
        <f aca="false">IF(F1903="S",L1903*0.02,0)</f>
        <v>1.53</v>
      </c>
      <c r="O1903" s="82" t="n">
        <f aca="false">IF(L1903&lt;&gt;"",L1903+N1903,"")</f>
        <v>78.03</v>
      </c>
      <c r="P1903" s="47" t="n">
        <f aca="false">IF(O1903&lt;&gt;"",O1903*0.1,"")</f>
        <v>7.803</v>
      </c>
      <c r="Q1903" s="83" t="n">
        <f aca="false">IF(O1903&lt;&gt;"",O1903+P1903,"")</f>
        <v>85.833</v>
      </c>
      <c r="R1903" s="84" t="s">
        <v>365</v>
      </c>
    </row>
    <row r="1904" customFormat="false" ht="15" hidden="false" customHeight="true" outlineLevel="0" collapsed="false">
      <c r="A1904" s="103" t="n">
        <v>56418</v>
      </c>
      <c r="B1904" s="73" t="n">
        <v>46269</v>
      </c>
      <c r="C1904" s="74" t="s">
        <v>821</v>
      </c>
      <c r="D1904" s="75" t="n">
        <v>50232</v>
      </c>
      <c r="E1904" s="52" t="str">
        <f aca="false">IF(D1904&lt;&gt;"",IFERROR(VLOOKUP(D1904,PROVEEDORES!$A:$B,2,0),"!COD NO ENCONTRADO"),"")</f>
        <v>XESTION NOVA LONXA RIVEIRA S.L.</v>
      </c>
      <c r="F1904" s="76" t="str">
        <f aca="false">IF(D1904&lt;&gt;"",IFERROR(VLOOKUP(D1904,PROVEEDORES!$A:$C,3,0),""),"")</f>
        <v>S</v>
      </c>
      <c r="G1904" s="75" t="s">
        <v>288</v>
      </c>
      <c r="H1904" s="52" t="str">
        <f aca="false">IF(G1904&lt;&gt;"",IFERROR(VLOOKUP(G1904,PRODUCTOS!$A:$B,2,0),"!COD NO ENCONTRADO"),"")</f>
        <v>RAPE BLANCO DIA (MON)</v>
      </c>
      <c r="I1904" s="77" t="n">
        <v>3</v>
      </c>
      <c r="J1904" s="78" t="n">
        <v>6</v>
      </c>
      <c r="K1904" s="79" t="n">
        <v>3.5</v>
      </c>
      <c r="L1904" s="80" t="n">
        <f aca="false">IF(AND(J1904&lt;&gt;"",K1904&lt;&gt;""),J1904*K1904,"")</f>
        <v>21</v>
      </c>
      <c r="M1904" s="81" t="n">
        <f aca="false">IF(L1904&lt;&gt;"",L1904*1.1,"")</f>
        <v>23.1</v>
      </c>
      <c r="N1904" s="53" t="n">
        <f aca="false">IF(F1904="S",L1904*0.02,0)</f>
        <v>0.42</v>
      </c>
      <c r="O1904" s="82" t="n">
        <f aca="false">IF(L1904&lt;&gt;"",L1904+N1904,"")</f>
        <v>21.42</v>
      </c>
      <c r="P1904" s="53" t="n">
        <f aca="false">IF(O1904&lt;&gt;"",O1904*0.1,"")</f>
        <v>2.142</v>
      </c>
      <c r="Q1904" s="83" t="n">
        <f aca="false">IF(O1904&lt;&gt;"",O1904+P1904,"")</f>
        <v>23.562</v>
      </c>
      <c r="R1904" s="84" t="s">
        <v>365</v>
      </c>
    </row>
    <row r="1905" customFormat="false" ht="15" hidden="false" customHeight="true" outlineLevel="0" collapsed="false">
      <c r="A1905" s="103" t="n">
        <v>56418</v>
      </c>
      <c r="B1905" s="73" t="n">
        <v>46269</v>
      </c>
      <c r="C1905" s="74" t="s">
        <v>821</v>
      </c>
      <c r="D1905" s="75" t="n">
        <v>50232</v>
      </c>
      <c r="E1905" s="52" t="str">
        <f aca="false">IF(D1905&lt;&gt;"",IFERROR(VLOOKUP(D1905,PROVEEDORES!$A:$B,2,0),"!COD NO ENCONTRADO"),"")</f>
        <v>XESTION NOVA LONXA RIVEIRA S.L.</v>
      </c>
      <c r="F1905" s="88" t="str">
        <f aca="false">IF(D1905&lt;&gt;"",IFERROR(VLOOKUP(D1905,PROVEEDORES!$A:$C,3,0),""),"")</f>
        <v>S</v>
      </c>
      <c r="G1905" s="87" t="s">
        <v>304</v>
      </c>
      <c r="H1905" s="46" t="str">
        <f aca="false">IF(G1905&lt;&gt;"",IFERROR(VLOOKUP(G1905,PRODUCTOS!$A:$B,2,0),"!COD NO ENCONTRADO"),"")</f>
        <v>RAYA SPP (SKA)</v>
      </c>
      <c r="I1905" s="89" t="n">
        <v>2</v>
      </c>
      <c r="J1905" s="90" t="n">
        <v>7.3</v>
      </c>
      <c r="K1905" s="91" t="n">
        <v>1</v>
      </c>
      <c r="L1905" s="80" t="n">
        <f aca="false">IF(AND(J1905&lt;&gt;"",K1905&lt;&gt;""),J1905*K1905,"")</f>
        <v>7.3</v>
      </c>
      <c r="M1905" s="81" t="n">
        <f aca="false">IF(L1905&lt;&gt;"",L1905*1.1,"")</f>
        <v>8.03</v>
      </c>
      <c r="N1905" s="47" t="n">
        <f aca="false">IF(F1905="S",L1905*0.02,0)</f>
        <v>0.146</v>
      </c>
      <c r="O1905" s="82" t="n">
        <f aca="false">IF(L1905&lt;&gt;"",L1905+N1905,"")</f>
        <v>7.446</v>
      </c>
      <c r="P1905" s="47" t="n">
        <f aca="false">IF(O1905&lt;&gt;"",O1905*0.1,"")</f>
        <v>0.7446</v>
      </c>
      <c r="Q1905" s="83" t="n">
        <f aca="false">IF(O1905&lt;&gt;"",O1905+P1905,"")</f>
        <v>8.1906</v>
      </c>
      <c r="R1905" s="84" t="s">
        <v>365</v>
      </c>
    </row>
    <row r="1906" customFormat="false" ht="15" hidden="false" customHeight="true" outlineLevel="0" collapsed="false">
      <c r="A1906" s="103" t="n">
        <v>56418</v>
      </c>
      <c r="B1906" s="73" t="n">
        <v>46269</v>
      </c>
      <c r="C1906" s="74" t="s">
        <v>821</v>
      </c>
      <c r="D1906" s="75" t="n">
        <v>50232</v>
      </c>
      <c r="E1906" s="52" t="str">
        <f aca="false">IF(D1906&lt;&gt;"",IFERROR(VLOOKUP(D1906,PROVEEDORES!$A:$B,2,0),"!COD NO ENCONTRADO"),"")</f>
        <v>XESTION NOVA LONXA RIVEIRA S.L.</v>
      </c>
      <c r="F1906" s="76" t="str">
        <f aca="false">IF(D1906&lt;&gt;"",IFERROR(VLOOKUP(D1906,PROVEEDORES!$A:$C,3,0),""),"")</f>
        <v>S</v>
      </c>
      <c r="G1906" s="87" t="s">
        <v>304</v>
      </c>
      <c r="H1906" s="52" t="str">
        <f aca="false">IF(G1906&lt;&gt;"",IFERROR(VLOOKUP(G1906,PRODUCTOS!$A:$B,2,0),"!COD NO ENCONTRADO"),"")</f>
        <v>RAYA SPP (SKA)</v>
      </c>
      <c r="I1906" s="77" t="n">
        <v>2</v>
      </c>
      <c r="J1906" s="78" t="n">
        <v>9.8</v>
      </c>
      <c r="K1906" s="79" t="n">
        <v>1</v>
      </c>
      <c r="L1906" s="80" t="n">
        <f aca="false">IF(AND(J1906&lt;&gt;"",K1906&lt;&gt;""),J1906*K1906,"")</f>
        <v>9.8</v>
      </c>
      <c r="M1906" s="81" t="n">
        <f aca="false">IF(L1906&lt;&gt;"",L1906*1.1,"")</f>
        <v>10.78</v>
      </c>
      <c r="N1906" s="53" t="n">
        <f aca="false">IF(F1906="S",L1906*0.02,0)</f>
        <v>0.196</v>
      </c>
      <c r="O1906" s="82" t="n">
        <f aca="false">IF(L1906&lt;&gt;"",L1906+N1906,"")</f>
        <v>9.996</v>
      </c>
      <c r="P1906" s="53" t="n">
        <f aca="false">IF(O1906&lt;&gt;"",O1906*0.1,"")</f>
        <v>0.9996</v>
      </c>
      <c r="Q1906" s="83" t="n">
        <f aca="false">IF(O1906&lt;&gt;"",O1906+P1906,"")</f>
        <v>10.9956</v>
      </c>
      <c r="R1906" s="84" t="s">
        <v>365</v>
      </c>
    </row>
    <row r="1907" customFormat="false" ht="15" hidden="false" customHeight="true" outlineLevel="0" collapsed="false">
      <c r="A1907" s="103" t="n">
        <v>56418</v>
      </c>
      <c r="B1907" s="73" t="n">
        <v>46269</v>
      </c>
      <c r="C1907" s="74" t="s">
        <v>821</v>
      </c>
      <c r="D1907" s="75" t="n">
        <v>50232</v>
      </c>
      <c r="E1907" s="52" t="str">
        <f aca="false">IF(D1907&lt;&gt;"",IFERROR(VLOOKUP(D1907,PROVEEDORES!$A:$B,2,0),"!COD NO ENCONTRADO"),"")</f>
        <v>XESTION NOVA LONXA RIVEIRA S.L.</v>
      </c>
      <c r="F1907" s="88" t="str">
        <f aca="false">IF(D1907&lt;&gt;"",IFERROR(VLOOKUP(D1907,PROVEEDORES!$A:$C,3,0),""),"")</f>
        <v>S</v>
      </c>
      <c r="G1907" s="87" t="s">
        <v>304</v>
      </c>
      <c r="H1907" s="46" t="str">
        <f aca="false">IF(G1907&lt;&gt;"",IFERROR(VLOOKUP(G1907,PRODUCTOS!$A:$B,2,0),"!COD NO ENCONTRADO"),"")</f>
        <v>RAYA SPP (SKA)</v>
      </c>
      <c r="I1907" s="89" t="n">
        <v>1</v>
      </c>
      <c r="J1907" s="90" t="n">
        <v>3.2</v>
      </c>
      <c r="K1907" s="91" t="n">
        <v>2</v>
      </c>
      <c r="L1907" s="80" t="n">
        <f aca="false">IF(AND(J1907&lt;&gt;"",K1907&lt;&gt;""),J1907*K1907,"")</f>
        <v>6.4</v>
      </c>
      <c r="M1907" s="81" t="n">
        <f aca="false">IF(L1907&lt;&gt;"",L1907*1.1,"")</f>
        <v>7.04</v>
      </c>
      <c r="N1907" s="47" t="n">
        <f aca="false">IF(F1907="S",L1907*0.02,0)</f>
        <v>0.128</v>
      </c>
      <c r="O1907" s="82" t="n">
        <f aca="false">IF(L1907&lt;&gt;"",L1907+N1907,"")</f>
        <v>6.528</v>
      </c>
      <c r="P1907" s="47" t="n">
        <f aca="false">IF(O1907&lt;&gt;"",O1907*0.1,"")</f>
        <v>0.6528</v>
      </c>
      <c r="Q1907" s="83" t="n">
        <f aca="false">IF(O1907&lt;&gt;"",O1907+P1907,"")</f>
        <v>7.1808</v>
      </c>
      <c r="R1907" s="84" t="s">
        <v>365</v>
      </c>
    </row>
    <row r="1908" customFormat="false" ht="15" hidden="false" customHeight="true" outlineLevel="0" collapsed="false">
      <c r="A1908" s="103" t="n">
        <v>56418</v>
      </c>
      <c r="B1908" s="73" t="n">
        <v>46269</v>
      </c>
      <c r="C1908" s="74" t="s">
        <v>821</v>
      </c>
      <c r="D1908" s="75" t="n">
        <v>50232</v>
      </c>
      <c r="E1908" s="52" t="str">
        <f aca="false">IF(D1908&lt;&gt;"",IFERROR(VLOOKUP(D1908,PROVEEDORES!$A:$B,2,0),"!COD NO ENCONTRADO"),"")</f>
        <v>XESTION NOVA LONXA RIVEIRA S.L.</v>
      </c>
      <c r="F1908" s="88" t="str">
        <f aca="false">IF(D1908&lt;&gt;"",IFERROR(VLOOKUP(D1908,PROVEEDORES!$A:$C,3,0),""),"")</f>
        <v>S</v>
      </c>
      <c r="G1908" s="87" t="s">
        <v>304</v>
      </c>
      <c r="H1908" s="52" t="str">
        <f aca="false">IF(G1908&lt;&gt;"",IFERROR(VLOOKUP(G1908,PRODUCTOS!$A:$B,2,0),"!COD NO ENCONTRADO"),"")</f>
        <v>RAYA SPP (SKA)</v>
      </c>
      <c r="I1908" s="77" t="n">
        <v>11</v>
      </c>
      <c r="J1908" s="78" t="n">
        <v>68</v>
      </c>
      <c r="K1908" s="79" t="n">
        <v>1</v>
      </c>
      <c r="L1908" s="80" t="n">
        <f aca="false">IF(AND(J1908&lt;&gt;"",K1908&lt;&gt;""),J1908*K1908,"")</f>
        <v>68</v>
      </c>
      <c r="M1908" s="81" t="n">
        <f aca="false">IF(L1908&lt;&gt;"",L1908*1.1,"")</f>
        <v>74.8</v>
      </c>
      <c r="N1908" s="53" t="n">
        <f aca="false">IF(F1908="S",L1908*0.02,0)</f>
        <v>1.36</v>
      </c>
      <c r="O1908" s="82" t="n">
        <f aca="false">IF(L1908&lt;&gt;"",L1908+N1908,"")</f>
        <v>69.36</v>
      </c>
      <c r="P1908" s="53" t="n">
        <f aca="false">IF(O1908&lt;&gt;"",O1908*0.1,"")</f>
        <v>6.936</v>
      </c>
      <c r="Q1908" s="83" t="n">
        <f aca="false">IF(O1908&lt;&gt;"",O1908+P1908,"")</f>
        <v>76.296</v>
      </c>
      <c r="R1908" s="84" t="s">
        <v>365</v>
      </c>
    </row>
    <row r="1909" customFormat="false" ht="15" hidden="false" customHeight="true" outlineLevel="0" collapsed="false">
      <c r="A1909" s="103" t="n">
        <v>56418</v>
      </c>
      <c r="B1909" s="73" t="n">
        <v>46269</v>
      </c>
      <c r="C1909" s="74" t="s">
        <v>821</v>
      </c>
      <c r="D1909" s="75" t="n">
        <v>50232</v>
      </c>
      <c r="E1909" s="52" t="str">
        <f aca="false">IF(D1909&lt;&gt;"",IFERROR(VLOOKUP(D1909,PROVEEDORES!$A:$B,2,0),"!COD NO ENCONTRADO"),"")</f>
        <v>XESTION NOVA LONXA RIVEIRA S.L.</v>
      </c>
      <c r="F1909" s="88" t="str">
        <f aca="false">IF(D1909&lt;&gt;"",IFERROR(VLOOKUP(D1909,PROVEEDORES!$A:$C,3,0),""),"")</f>
        <v>S</v>
      </c>
      <c r="G1909" s="87" t="s">
        <v>304</v>
      </c>
      <c r="H1909" s="46" t="str">
        <f aca="false">IF(G1909&lt;&gt;"",IFERROR(VLOOKUP(G1909,PRODUCTOS!$A:$B,2,0),"!COD NO ENCONTRADO"),"")</f>
        <v>RAYA SPP (SKA)</v>
      </c>
      <c r="I1909" s="89" t="n">
        <v>5</v>
      </c>
      <c r="J1909" s="90" t="n">
        <v>25.3</v>
      </c>
      <c r="K1909" s="91" t="n">
        <v>2</v>
      </c>
      <c r="L1909" s="80" t="n">
        <f aca="false">IF(AND(J1909&lt;&gt;"",K1909&lt;&gt;""),J1909*K1909,"")</f>
        <v>50.6</v>
      </c>
      <c r="M1909" s="81" t="n">
        <f aca="false">IF(L1909&lt;&gt;"",L1909*1.1,"")</f>
        <v>55.66</v>
      </c>
      <c r="N1909" s="47" t="n">
        <f aca="false">IF(F1909="S",L1909*0.02,0)</f>
        <v>1.012</v>
      </c>
      <c r="O1909" s="82" t="n">
        <f aca="false">IF(L1909&lt;&gt;"",L1909+N1909,"")</f>
        <v>51.612</v>
      </c>
      <c r="P1909" s="47" t="n">
        <f aca="false">IF(O1909&lt;&gt;"",O1909*0.1,"")</f>
        <v>5.1612</v>
      </c>
      <c r="Q1909" s="83" t="n">
        <f aca="false">IF(O1909&lt;&gt;"",O1909+P1909,"")</f>
        <v>56.7732</v>
      </c>
      <c r="R1909" s="84" t="s">
        <v>365</v>
      </c>
    </row>
    <row r="1910" customFormat="false" ht="15" hidden="false" customHeight="true" outlineLevel="0" collapsed="false">
      <c r="A1910" s="103" t="n">
        <v>56418</v>
      </c>
      <c r="B1910" s="73" t="n">
        <v>46269</v>
      </c>
      <c r="C1910" s="74" t="s">
        <v>821</v>
      </c>
      <c r="D1910" s="75" t="n">
        <v>50232</v>
      </c>
      <c r="E1910" s="52" t="str">
        <f aca="false">IF(D1910&lt;&gt;"",IFERROR(VLOOKUP(D1910,PROVEEDORES!$A:$B,2,0),"!COD NO ENCONTRADO"),"")</f>
        <v>XESTION NOVA LONXA RIVEIRA S.L.</v>
      </c>
      <c r="F1910" s="88" t="str">
        <f aca="false">IF(D1910&lt;&gt;"",IFERROR(VLOOKUP(D1910,PROVEEDORES!$A:$C,3,0),""),"")</f>
        <v>S</v>
      </c>
      <c r="G1910" s="87" t="s">
        <v>304</v>
      </c>
      <c r="H1910" s="52" t="str">
        <f aca="false">IF(G1910&lt;&gt;"",IFERROR(VLOOKUP(G1910,PRODUCTOS!$A:$B,2,0),"!COD NO ENCONTRADO"),"")</f>
        <v>RAYA SPP (SKA)</v>
      </c>
      <c r="I1910" s="77" t="n">
        <v>1</v>
      </c>
      <c r="J1910" s="78" t="n">
        <v>6.3</v>
      </c>
      <c r="K1910" s="79" t="n">
        <v>1</v>
      </c>
      <c r="L1910" s="80" t="n">
        <f aca="false">IF(AND(J1910&lt;&gt;"",K1910&lt;&gt;""),J1910*K1910,"")</f>
        <v>6.3</v>
      </c>
      <c r="M1910" s="81" t="n">
        <f aca="false">IF(L1910&lt;&gt;"",L1910*1.1,"")</f>
        <v>6.93</v>
      </c>
      <c r="N1910" s="53" t="n">
        <f aca="false">IF(F1910="S",L1910*0.02,0)</f>
        <v>0.126</v>
      </c>
      <c r="O1910" s="82" t="n">
        <f aca="false">IF(L1910&lt;&gt;"",L1910+N1910,"")</f>
        <v>6.426</v>
      </c>
      <c r="P1910" s="53" t="n">
        <f aca="false">IF(O1910&lt;&gt;"",O1910*0.1,"")</f>
        <v>0.6426</v>
      </c>
      <c r="Q1910" s="83" t="n">
        <f aca="false">IF(O1910&lt;&gt;"",O1910+P1910,"")</f>
        <v>7.0686</v>
      </c>
      <c r="R1910" s="84" t="s">
        <v>365</v>
      </c>
    </row>
    <row r="1911" customFormat="false" ht="15" hidden="false" customHeight="true" outlineLevel="0" collapsed="false">
      <c r="A1911" s="103" t="n">
        <v>56418</v>
      </c>
      <c r="B1911" s="73" t="n">
        <v>46269</v>
      </c>
      <c r="C1911" s="74" t="s">
        <v>821</v>
      </c>
      <c r="D1911" s="75" t="n">
        <v>50232</v>
      </c>
      <c r="E1911" s="52" t="str">
        <f aca="false">IF(D1911&lt;&gt;"",IFERROR(VLOOKUP(D1911,PROVEEDORES!$A:$B,2,0),"!COD NO ENCONTRADO"),"")</f>
        <v>XESTION NOVA LONXA RIVEIRA S.L.</v>
      </c>
      <c r="F1911" s="88" t="str">
        <f aca="false">IF(D1911&lt;&gt;"",IFERROR(VLOOKUP(D1911,PROVEEDORES!$A:$C,3,0),""),"")</f>
        <v>S</v>
      </c>
      <c r="G1911" s="87" t="s">
        <v>179</v>
      </c>
      <c r="H1911" s="46" t="str">
        <f aca="false">IF(G1911&lt;&gt;"",IFERROR(VLOOKUP(G1911,PRODUCTOS!$A:$B,2,0),"!COD NO ENCONTRADO"),"")</f>
        <v>LIRIO/ BACALADILLA/ PERLA (WHB)</v>
      </c>
      <c r="I1911" s="89" t="n">
        <v>25</v>
      </c>
      <c r="J1911" s="121" t="n">
        <v>230.5</v>
      </c>
      <c r="K1911" s="141" t="n">
        <v>1.25</v>
      </c>
      <c r="L1911" s="80" t="n">
        <f aca="false">IF(AND(J1911&lt;&gt;"",K1911&lt;&gt;""),J1911*K1911,"")</f>
        <v>288.125</v>
      </c>
      <c r="M1911" s="81" t="n">
        <f aca="false">IF(L1911&lt;&gt;"",L1911*1.1,"")</f>
        <v>316.9375</v>
      </c>
      <c r="N1911" s="47" t="n">
        <f aca="false">IF(F1911="S",L1911*0.02,0)</f>
        <v>5.7625</v>
      </c>
      <c r="O1911" s="82" t="n">
        <f aca="false">IF(L1911&lt;&gt;"",L1911+N1911,"")</f>
        <v>293.8875</v>
      </c>
      <c r="P1911" s="47" t="n">
        <f aca="false">IF(O1911&lt;&gt;"",O1911*0.1,"")</f>
        <v>29.38875</v>
      </c>
      <c r="Q1911" s="83" t="n">
        <f aca="false">IF(O1911&lt;&gt;"",O1911+P1911,"")</f>
        <v>323.27625</v>
      </c>
      <c r="R1911" s="84" t="s">
        <v>365</v>
      </c>
    </row>
    <row r="1912" customFormat="false" ht="15" hidden="false" customHeight="true" outlineLevel="0" collapsed="false">
      <c r="A1912" s="103" t="n">
        <v>56419</v>
      </c>
      <c r="B1912" s="73" t="n">
        <v>46269</v>
      </c>
      <c r="C1912" s="74" t="s">
        <v>822</v>
      </c>
      <c r="D1912" s="75" t="n">
        <v>50514</v>
      </c>
      <c r="E1912" s="52" t="str">
        <f aca="false">IF(D1912&lt;&gt;"",IFERROR(VLOOKUP(D1912,PROVEEDORES!$A:$B,2,0),"!COD NO ENCONTRADO"),"")</f>
        <v>PESCADO Y MARISCOS ADELAIDA S.L.</v>
      </c>
      <c r="F1912" s="76" t="str">
        <f aca="false">IF(D1912&lt;&gt;"",IFERROR(VLOOKUP(D1912,PROVEEDORES!$A:$C,3,0),""),"")</f>
        <v>N</v>
      </c>
      <c r="G1912" s="75" t="s">
        <v>97</v>
      </c>
      <c r="H1912" s="52" t="str">
        <f aca="false">IF(G1912&lt;&gt;"",IFERROR(VLOOKUP(G1912,PRODUCTOS!$A:$B,2,0),"!COD NO ENCONTRADO"),"")</f>
        <v>CABALL/ SARDA/ VERDEL (MAC)</v>
      </c>
      <c r="I1912" s="77" t="n">
        <v>10</v>
      </c>
      <c r="J1912" s="78" t="n">
        <v>132</v>
      </c>
      <c r="K1912" s="79" t="n">
        <v>4.8</v>
      </c>
      <c r="L1912" s="80" t="n">
        <f aca="false">IF(AND(J1912&lt;&gt;"",K1912&lt;&gt;""),J1912*K1912,"")</f>
        <v>633.6</v>
      </c>
      <c r="M1912" s="81" t="n">
        <f aca="false">IF(L1912&lt;&gt;"",L1912*1.1,"")</f>
        <v>696.96</v>
      </c>
      <c r="N1912" s="53" t="n">
        <f aca="false">IF(F1912="S",L1912*0.02,0)</f>
        <v>0</v>
      </c>
      <c r="O1912" s="82" t="n">
        <f aca="false">IF(L1912&lt;&gt;"",L1912+N1912,"")</f>
        <v>633.6</v>
      </c>
      <c r="P1912" s="53" t="n">
        <f aca="false">IF(O1912&lt;&gt;"",O1912*0.1,"")</f>
        <v>63.36</v>
      </c>
      <c r="Q1912" s="83" t="n">
        <f aca="false">IF(O1912&lt;&gt;"",O1912+P1912,"")</f>
        <v>696.96</v>
      </c>
      <c r="R1912" s="84" t="s">
        <v>365</v>
      </c>
    </row>
    <row r="1913" customFormat="false" ht="15" hidden="false" customHeight="true" outlineLevel="0" collapsed="false">
      <c r="A1913" s="103" t="n">
        <v>56419</v>
      </c>
      <c r="B1913" s="73" t="n">
        <v>46269</v>
      </c>
      <c r="C1913" s="74" t="s">
        <v>822</v>
      </c>
      <c r="D1913" s="75" t="n">
        <v>50514</v>
      </c>
      <c r="E1913" s="46" t="str">
        <f aca="false">IF(D1913&lt;&gt;"",IFERROR(VLOOKUP(D1913,PROVEEDORES!$A:$B,2,0),"!COD NO ENCONTRADO"),"")</f>
        <v>PESCADO Y MARISCOS ADELAIDA S.L.</v>
      </c>
      <c r="F1913" s="88" t="str">
        <f aca="false">IF(D1913&lt;&gt;"",IFERROR(VLOOKUP(D1913,PROVEEDORES!$A:$C,3,0),""),"")</f>
        <v>N</v>
      </c>
      <c r="G1913" s="87" t="s">
        <v>183</v>
      </c>
      <c r="H1913" s="46" t="str">
        <f aca="false">IF(G1913&lt;&gt;"",IFERROR(VLOOKUP(G1913,PRODUCTOS!$A:$B,2,0),"!COD NO ENCONTRADO"),"")</f>
        <v>LUBINA RIA/ ROBALIZA (BSS)</v>
      </c>
      <c r="I1913" s="89" t="n">
        <v>1</v>
      </c>
      <c r="J1913" s="90" t="n">
        <v>0.74</v>
      </c>
      <c r="K1913" s="91" t="n">
        <v>16.5</v>
      </c>
      <c r="L1913" s="80" t="n">
        <f aca="false">IF(AND(J1913&lt;&gt;"",K1913&lt;&gt;""),J1913*K1913,"")</f>
        <v>12.21</v>
      </c>
      <c r="M1913" s="81" t="n">
        <f aca="false">IF(L1913&lt;&gt;"",L1913*1.1,"")</f>
        <v>13.431</v>
      </c>
      <c r="N1913" s="47" t="n">
        <f aca="false">IF(F1913="S",L1913*0.02,0)</f>
        <v>0</v>
      </c>
      <c r="O1913" s="82" t="n">
        <f aca="false">IF(L1913&lt;&gt;"",L1913+N1913,"")</f>
        <v>12.21</v>
      </c>
      <c r="P1913" s="47" t="n">
        <f aca="false">IF(O1913&lt;&gt;"",O1913*0.1,"")</f>
        <v>1.221</v>
      </c>
      <c r="Q1913" s="83" t="n">
        <f aca="false">IF(O1913&lt;&gt;"",O1913+P1913,"")</f>
        <v>13.431</v>
      </c>
      <c r="R1913" s="84" t="s">
        <v>365</v>
      </c>
    </row>
    <row r="1914" customFormat="false" ht="15" hidden="false" customHeight="true" outlineLevel="0" collapsed="false">
      <c r="A1914" s="103" t="n">
        <v>56419</v>
      </c>
      <c r="B1914" s="73" t="n">
        <v>46269</v>
      </c>
      <c r="C1914" s="74" t="s">
        <v>822</v>
      </c>
      <c r="D1914" s="75" t="n">
        <v>50514</v>
      </c>
      <c r="E1914" s="52" t="str">
        <f aca="false">IF(D1914&lt;&gt;"",IFERROR(VLOOKUP(D1914,PROVEEDORES!$A:$B,2,0),"!COD NO ENCONTRADO"),"")</f>
        <v>PESCADO Y MARISCOS ADELAIDA S.L.</v>
      </c>
      <c r="F1914" s="76" t="str">
        <f aca="false">IF(D1914&lt;&gt;"",IFERROR(VLOOKUP(D1914,PROVEEDORES!$A:$C,3,0),""),"")</f>
        <v>N</v>
      </c>
      <c r="G1914" s="75" t="s">
        <v>326</v>
      </c>
      <c r="H1914" s="52" t="str">
        <f aca="false">IF(G1914&lt;&gt;"",IFERROR(VLOOKUP(G1914,PRODUCTOS!$A:$B,2,0),"!COD NO ENCONTRADO"),"")</f>
        <v>SARGO RIA (SWA)</v>
      </c>
      <c r="I1914" s="77" t="n">
        <v>1</v>
      </c>
      <c r="J1914" s="78" t="n">
        <v>4.2</v>
      </c>
      <c r="K1914" s="79" t="n">
        <v>7.5</v>
      </c>
      <c r="L1914" s="80" t="n">
        <f aca="false">IF(AND(J1914&lt;&gt;"",K1914&lt;&gt;""),J1914*K1914,"")</f>
        <v>31.5</v>
      </c>
      <c r="M1914" s="81" t="n">
        <f aca="false">IF(L1914&lt;&gt;"",L1914*1.1,"")</f>
        <v>34.65</v>
      </c>
      <c r="N1914" s="53" t="n">
        <f aca="false">IF(F1914="S",L1914*0.02,0)</f>
        <v>0</v>
      </c>
      <c r="O1914" s="82" t="n">
        <f aca="false">IF(L1914&lt;&gt;"",L1914+N1914,"")</f>
        <v>31.5</v>
      </c>
      <c r="P1914" s="53" t="n">
        <f aca="false">IF(O1914&lt;&gt;"",O1914*0.1,"")</f>
        <v>3.15</v>
      </c>
      <c r="Q1914" s="83" t="n">
        <f aca="false">IF(O1914&lt;&gt;"",O1914+P1914,"")</f>
        <v>34.65</v>
      </c>
      <c r="R1914" s="84" t="s">
        <v>365</v>
      </c>
    </row>
    <row r="1915" customFormat="false" ht="15" hidden="false" customHeight="true" outlineLevel="0" collapsed="false">
      <c r="A1915" s="103" t="n">
        <v>56419</v>
      </c>
      <c r="B1915" s="73" t="n">
        <v>46269</v>
      </c>
      <c r="C1915" s="74" t="s">
        <v>822</v>
      </c>
      <c r="D1915" s="75" t="n">
        <v>50514</v>
      </c>
      <c r="E1915" s="46" t="str">
        <f aca="false">IF(D1915&lt;&gt;"",IFERROR(VLOOKUP(D1915,PROVEEDORES!$A:$B,2,0),"!COD NO ENCONTRADO"),"")</f>
        <v>PESCADO Y MARISCOS ADELAIDA S.L.</v>
      </c>
      <c r="F1915" s="88" t="str">
        <f aca="false">IF(D1915&lt;&gt;"",IFERROR(VLOOKUP(D1915,PROVEEDORES!$A:$C,3,0),""),"")</f>
        <v>N</v>
      </c>
      <c r="G1915" s="87" t="s">
        <v>332</v>
      </c>
      <c r="H1915" s="46" t="str">
        <f aca="false">IF(G1915&lt;&gt;"",IFERROR(VLOOKUP(G1915,PRODUCTOS!$A:$B,2,0),"!COD NO ENCONTRADO"),"")</f>
        <v>VARIADO PEQUEÑO</v>
      </c>
      <c r="I1915" s="89" t="n">
        <v>4</v>
      </c>
      <c r="J1915" s="90" t="n">
        <v>13.9</v>
      </c>
      <c r="K1915" s="91" t="n">
        <v>1</v>
      </c>
      <c r="L1915" s="80" t="n">
        <f aca="false">IF(AND(J1915&lt;&gt;"",K1915&lt;&gt;""),J1915*K1915,"")</f>
        <v>13.9</v>
      </c>
      <c r="M1915" s="81" t="n">
        <f aca="false">IF(L1915&lt;&gt;"",L1915*1.1,"")</f>
        <v>15.29</v>
      </c>
      <c r="N1915" s="47" t="n">
        <f aca="false">IF(F1915="S",L1915*0.02,0)</f>
        <v>0</v>
      </c>
      <c r="O1915" s="82" t="n">
        <f aca="false">IF(L1915&lt;&gt;"",L1915+N1915,"")</f>
        <v>13.9</v>
      </c>
      <c r="P1915" s="47" t="n">
        <f aca="false">IF(O1915&lt;&gt;"",O1915*0.1,"")</f>
        <v>1.39</v>
      </c>
      <c r="Q1915" s="83" t="n">
        <f aca="false">IF(O1915&lt;&gt;"",O1915+P1915,"")</f>
        <v>15.29</v>
      </c>
      <c r="R1915" s="84" t="s">
        <v>365</v>
      </c>
    </row>
    <row r="1916" customFormat="false" ht="15" hidden="false" customHeight="true" outlineLevel="0" collapsed="false">
      <c r="A1916" s="103" t="n">
        <v>56420</v>
      </c>
      <c r="B1916" s="73" t="n">
        <v>46269</v>
      </c>
      <c r="C1916" s="74" t="s">
        <v>823</v>
      </c>
      <c r="D1916" s="75" t="n">
        <v>50010</v>
      </c>
      <c r="E1916" s="52" t="str">
        <f aca="false">IF(D1916&lt;&gt;"",IFERROR(VLOOKUP(D1916,PROVEEDORES!$A:$B,2,0),"!COD NO ENCONTRADO"),"")</f>
        <v>PERFECTO MONTERO</v>
      </c>
      <c r="F1916" s="76" t="str">
        <f aca="false">IF(D1916&lt;&gt;"",IFERROR(VLOOKUP(D1916,PROVEEDORES!$A:$C,3,0),""),"")</f>
        <v>S</v>
      </c>
      <c r="G1916" s="75" t="s">
        <v>135</v>
      </c>
      <c r="H1916" s="52" t="str">
        <f aca="false">IF(G1916&lt;&gt;"",IFERROR(VLOOKUP(G1916,PRODUCTOS!$A:$B,2,0),"!COD NO ENCONTRADO"),"")</f>
        <v>CONGRIO 10+  (COE)</v>
      </c>
      <c r="I1916" s="77" t="n">
        <v>2</v>
      </c>
      <c r="J1916" s="78" t="n">
        <v>27.75</v>
      </c>
      <c r="K1916" s="79" t="n">
        <v>4.1</v>
      </c>
      <c r="L1916" s="80" t="n">
        <f aca="false">IF(AND(J1916&lt;&gt;"",K1916&lt;&gt;""),J1916*K1916,"")</f>
        <v>113.775</v>
      </c>
      <c r="M1916" s="81" t="n">
        <f aca="false">IF(L1916&lt;&gt;"",L1916*1.1,"")</f>
        <v>125.1525</v>
      </c>
      <c r="N1916" s="53" t="n">
        <f aca="false">IF(F1916="S",L1916*0.02,0)</f>
        <v>2.2755</v>
      </c>
      <c r="O1916" s="82" t="n">
        <f aca="false">IF(L1916&lt;&gt;"",L1916+N1916,"")</f>
        <v>116.0505</v>
      </c>
      <c r="P1916" s="53" t="n">
        <f aca="false">IF(O1916&lt;&gt;"",O1916*0.1,"")</f>
        <v>11.60505</v>
      </c>
      <c r="Q1916" s="83" t="n">
        <f aca="false">IF(O1916&lt;&gt;"",O1916+P1916,"")</f>
        <v>127.65555</v>
      </c>
      <c r="R1916" s="84" t="s">
        <v>365</v>
      </c>
    </row>
    <row r="1917" customFormat="false" ht="15" hidden="false" customHeight="true" outlineLevel="0" collapsed="false">
      <c r="A1917" s="103" t="n">
        <v>56420</v>
      </c>
      <c r="B1917" s="73" t="n">
        <v>46269</v>
      </c>
      <c r="C1917" s="74" t="s">
        <v>823</v>
      </c>
      <c r="D1917" s="87" t="n">
        <v>50010</v>
      </c>
      <c r="E1917" s="46" t="str">
        <f aca="false">IF(D1917&lt;&gt;"",IFERROR(VLOOKUP(D1917,PROVEEDORES!$A:$B,2,0),"!COD NO ENCONTRADO"),"")</f>
        <v>PERFECTO MONTERO</v>
      </c>
      <c r="F1917" s="88" t="str">
        <f aca="false">IF(D1917&lt;&gt;"",IFERROR(VLOOKUP(D1917,PROVEEDORES!$A:$C,3,0),""),"")</f>
        <v>S</v>
      </c>
      <c r="G1917" s="87" t="s">
        <v>276</v>
      </c>
      <c r="H1917" s="46" t="str">
        <f aca="false">IF(G1917&lt;&gt;"",IFERROR(VLOOKUP(G1917,PRODUCTOS!$A:$B,2,0),"!COD NO ENCONTRADO"),"")</f>
        <v>MERLUZA EUROPEA/ FINA DIA </v>
      </c>
      <c r="I1917" s="89" t="n">
        <v>5</v>
      </c>
      <c r="J1917" s="90" t="n">
        <v>23.85</v>
      </c>
      <c r="K1917" s="91" t="n">
        <v>3</v>
      </c>
      <c r="L1917" s="80" t="n">
        <f aca="false">IF(AND(J1917&lt;&gt;"",K1917&lt;&gt;""),J1917*K1917,"")</f>
        <v>71.55</v>
      </c>
      <c r="M1917" s="81" t="n">
        <f aca="false">IF(L1917&lt;&gt;"",L1917*1.1,"")</f>
        <v>78.705</v>
      </c>
      <c r="N1917" s="47" t="n">
        <f aca="false">IF(F1917="S",L1917*0.02,0)</f>
        <v>1.431</v>
      </c>
      <c r="O1917" s="82" t="n">
        <f aca="false">IF(L1917&lt;&gt;"",L1917+N1917,"")</f>
        <v>72.981</v>
      </c>
      <c r="P1917" s="47" t="n">
        <f aca="false">IF(O1917&lt;&gt;"",O1917*0.1,"")</f>
        <v>7.2981</v>
      </c>
      <c r="Q1917" s="83" t="n">
        <f aca="false">IF(O1917&lt;&gt;"",O1917+P1917,"")</f>
        <v>80.2791</v>
      </c>
      <c r="R1917" s="84" t="s">
        <v>365</v>
      </c>
    </row>
    <row r="1918" customFormat="false" ht="15" hidden="false" customHeight="true" outlineLevel="0" collapsed="false">
      <c r="A1918" s="103" t="n">
        <v>56421</v>
      </c>
      <c r="B1918" s="73" t="n">
        <v>46269</v>
      </c>
      <c r="C1918" s="74" t="s">
        <v>824</v>
      </c>
      <c r="D1918" s="75" t="n">
        <v>50020</v>
      </c>
      <c r="E1918" s="52" t="str">
        <f aca="false">IF(D1918&lt;&gt;"",IFERROR(VLOOKUP(D1918,PROVEEDORES!$A:$B,2,0),"!COD NO ENCONTRADO"),"")</f>
        <v>PACO MOINELO</v>
      </c>
      <c r="F1918" s="76" t="str">
        <f aca="false">IF(D1918&lt;&gt;"",IFERROR(VLOOKUP(D1918,PROVEEDORES!$A:$C,3,0),""),"")</f>
        <v>S</v>
      </c>
      <c r="G1918" s="75" t="s">
        <v>135</v>
      </c>
      <c r="H1918" s="52" t="str">
        <f aca="false">IF(G1918&lt;&gt;"",IFERROR(VLOOKUP(G1918,PRODUCTOS!$A:$B,2,0),"!COD NO ENCONTRADO"),"")</f>
        <v>CONGRIO 10+  (COE)</v>
      </c>
      <c r="I1918" s="77" t="n">
        <v>1</v>
      </c>
      <c r="J1918" s="78" t="n">
        <v>17.75</v>
      </c>
      <c r="K1918" s="79" t="n">
        <v>4.5</v>
      </c>
      <c r="L1918" s="80" t="n">
        <f aca="false">IF(AND(J1918&lt;&gt;"",K1918&lt;&gt;""),J1918*K1918,"")</f>
        <v>79.875</v>
      </c>
      <c r="M1918" s="81" t="n">
        <f aca="false">IF(L1918&lt;&gt;"",L1918*1.1,"")</f>
        <v>87.8625</v>
      </c>
      <c r="N1918" s="53" t="n">
        <f aca="false">IF(F1918="S",L1918*0.02,0)</f>
        <v>1.5975</v>
      </c>
      <c r="O1918" s="82" t="n">
        <f aca="false">IF(L1918&lt;&gt;"",L1918+N1918,"")</f>
        <v>81.4725</v>
      </c>
      <c r="P1918" s="53" t="n">
        <f aca="false">IF(O1918&lt;&gt;"",O1918*0.1,"")</f>
        <v>8.14725</v>
      </c>
      <c r="Q1918" s="83" t="n">
        <f aca="false">IF(O1918&lt;&gt;"",O1918+P1918,"")</f>
        <v>89.61975</v>
      </c>
      <c r="R1918" s="84" t="s">
        <v>358</v>
      </c>
    </row>
    <row r="1919" customFormat="false" ht="15" hidden="false" customHeight="true" outlineLevel="0" collapsed="false">
      <c r="A1919" s="103" t="n">
        <v>56421</v>
      </c>
      <c r="B1919" s="73" t="n">
        <v>46269</v>
      </c>
      <c r="C1919" s="86" t="s">
        <v>824</v>
      </c>
      <c r="D1919" s="87" t="n">
        <v>50020</v>
      </c>
      <c r="E1919" s="46" t="str">
        <f aca="false">IF(D1919&lt;&gt;"",IFERROR(VLOOKUP(D1919,PROVEEDORES!$A:$B,2,0),"!COD NO ENCONTRADO"),"")</f>
        <v>PACO MOINELO</v>
      </c>
      <c r="F1919" s="88" t="str">
        <f aca="false">IF(D1919&lt;&gt;"",IFERROR(VLOOKUP(D1919,PROVEEDORES!$A:$C,3,0),""),"")</f>
        <v>S</v>
      </c>
      <c r="G1919" s="87" t="s">
        <v>135</v>
      </c>
      <c r="H1919" s="46" t="str">
        <f aca="false">IF(G1919&lt;&gt;"",IFERROR(VLOOKUP(G1919,PRODUCTOS!$A:$B,2,0),"!COD NO ENCONTRADO"),"")</f>
        <v>CONGRIO 10+  (COE)</v>
      </c>
      <c r="I1919" s="89" t="n">
        <v>2</v>
      </c>
      <c r="J1919" s="90" t="n">
        <v>39.75</v>
      </c>
      <c r="K1919" s="91" t="n">
        <v>4.5</v>
      </c>
      <c r="L1919" s="80" t="n">
        <f aca="false">IF(AND(J1919&lt;&gt;"",K1919&lt;&gt;""),J1919*K1919,"")</f>
        <v>178.875</v>
      </c>
      <c r="M1919" s="81" t="n">
        <f aca="false">IF(L1919&lt;&gt;"",L1919*1.1,"")</f>
        <v>196.7625</v>
      </c>
      <c r="N1919" s="47" t="n">
        <f aca="false">IF(F1919="S",L1919*0.02,0)</f>
        <v>3.5775</v>
      </c>
      <c r="O1919" s="82" t="n">
        <f aca="false">IF(L1919&lt;&gt;"",L1919+N1919,"")</f>
        <v>182.4525</v>
      </c>
      <c r="P1919" s="47" t="n">
        <f aca="false">IF(O1919&lt;&gt;"",O1919*0.1,"")</f>
        <v>18.24525</v>
      </c>
      <c r="Q1919" s="83" t="n">
        <f aca="false">IF(O1919&lt;&gt;"",O1919+P1919,"")</f>
        <v>200.69775</v>
      </c>
      <c r="R1919" s="84" t="s">
        <v>358</v>
      </c>
    </row>
    <row r="1920" customFormat="false" ht="15" hidden="false" customHeight="true" outlineLevel="0" collapsed="false">
      <c r="A1920" s="103" t="n">
        <v>56421</v>
      </c>
      <c r="B1920" s="73" t="n">
        <v>46269</v>
      </c>
      <c r="C1920" s="74" t="s">
        <v>824</v>
      </c>
      <c r="D1920" s="75" t="n">
        <v>50020</v>
      </c>
      <c r="E1920" s="52" t="str">
        <f aca="false">IF(D1920&lt;&gt;"",IFERROR(VLOOKUP(D1920,PROVEEDORES!$A:$B,2,0),"!COD NO ENCONTRADO"),"")</f>
        <v>PACO MOINELO</v>
      </c>
      <c r="F1920" s="76" t="str">
        <f aca="false">IF(D1920&lt;&gt;"",IFERROR(VLOOKUP(D1920,PROVEEDORES!$A:$C,3,0),""),"")</f>
        <v>S</v>
      </c>
      <c r="G1920" s="75" t="s">
        <v>276</v>
      </c>
      <c r="H1920" s="52" t="str">
        <f aca="false">IF(G1920&lt;&gt;"",IFERROR(VLOOKUP(G1920,PRODUCTOS!$A:$B,2,0),"!COD NO ENCONTRADO"),"")</f>
        <v>MERLUZA EUROPEA/ FINA DIA </v>
      </c>
      <c r="I1920" s="77" t="n">
        <v>6</v>
      </c>
      <c r="J1920" s="78" t="n">
        <v>25.3</v>
      </c>
      <c r="K1920" s="79" t="n">
        <v>3</v>
      </c>
      <c r="L1920" s="80" t="n">
        <f aca="false">IF(AND(J1920&lt;&gt;"",K1920&lt;&gt;""),J1920*K1920,"")</f>
        <v>75.9</v>
      </c>
      <c r="M1920" s="81" t="n">
        <f aca="false">IF(L1920&lt;&gt;"",L1920*1.1,"")</f>
        <v>83.49</v>
      </c>
      <c r="N1920" s="53" t="n">
        <f aca="false">IF(F1920="S",L1920*0.02,0)</f>
        <v>1.518</v>
      </c>
      <c r="O1920" s="82" t="n">
        <f aca="false">IF(L1920&lt;&gt;"",L1920+N1920,"")</f>
        <v>77.418</v>
      </c>
      <c r="P1920" s="53" t="n">
        <f aca="false">IF(O1920&lt;&gt;"",O1920*0.1,"")</f>
        <v>7.7418</v>
      </c>
      <c r="Q1920" s="83" t="n">
        <f aca="false">IF(O1920&lt;&gt;"",O1920+P1920,"")</f>
        <v>85.1598</v>
      </c>
      <c r="R1920" s="84" t="s">
        <v>358</v>
      </c>
    </row>
    <row r="1921" customFormat="false" ht="15" hidden="false" customHeight="true" outlineLevel="0" collapsed="false">
      <c r="A1921" s="103" t="n">
        <v>56422</v>
      </c>
      <c r="B1921" s="73" t="n">
        <v>46269</v>
      </c>
      <c r="C1921" s="86" t="s">
        <v>825</v>
      </c>
      <c r="D1921" s="87" t="n">
        <v>50106</v>
      </c>
      <c r="E1921" s="46" t="str">
        <f aca="false">IF(D1921&lt;&gt;"",IFERROR(VLOOKUP(D1921,PROVEEDORES!$A:$B,2,0),"!COD NO ENCONTRADO"),"")</f>
        <v>SONIA VENTAS S.L</v>
      </c>
      <c r="F1921" s="88" t="str">
        <f aca="false">IF(D1921&lt;&gt;"",IFERROR(VLOOKUP(D1921,PROVEEDORES!$A:$C,3,0),""),"")</f>
        <v>S</v>
      </c>
      <c r="G1921" s="87" t="s">
        <v>219</v>
      </c>
      <c r="H1921" s="46" t="str">
        <f aca="false">IF(G1921&lt;&gt;"",IFERROR(VLOOKUP(G1921,PRODUCTOS!$A:$B,2,0),"!COD NO ENCONTRADO"),"")</f>
        <v>MERLUZA EUROPEA PINCHO COSTA 600</v>
      </c>
      <c r="I1921" s="89" t="n">
        <v>1</v>
      </c>
      <c r="J1921" s="105" t="n">
        <v>7.25</v>
      </c>
      <c r="K1921" s="125" t="n">
        <v>4</v>
      </c>
      <c r="L1921" s="80" t="n">
        <f aca="false">IF(AND(J1921&lt;&gt;"",K1921&lt;&gt;""),J1921*K1921,"")</f>
        <v>29</v>
      </c>
      <c r="M1921" s="81" t="n">
        <f aca="false">IF(L1921&lt;&gt;"",L1921*1.1,"")</f>
        <v>31.9</v>
      </c>
      <c r="N1921" s="47" t="n">
        <f aca="false">IF(F1921="S",L1921*0.02,0)</f>
        <v>0.58</v>
      </c>
      <c r="O1921" s="82" t="n">
        <f aca="false">IF(L1921&lt;&gt;"",L1921+N1921,"")</f>
        <v>29.58</v>
      </c>
      <c r="P1921" s="47" t="n">
        <f aca="false">IF(O1921&lt;&gt;"",O1921*0.1,"")</f>
        <v>2.958</v>
      </c>
      <c r="Q1921" s="83" t="n">
        <f aca="false">IF(O1921&lt;&gt;"",O1921+P1921,"")</f>
        <v>32.538</v>
      </c>
      <c r="R1921" s="84" t="s">
        <v>365</v>
      </c>
    </row>
    <row r="1922" customFormat="false" ht="15" hidden="false" customHeight="true" outlineLevel="0" collapsed="false">
      <c r="A1922" s="103" t="n">
        <v>56422</v>
      </c>
      <c r="B1922" s="73" t="n">
        <v>46269</v>
      </c>
      <c r="C1922" s="86" t="s">
        <v>825</v>
      </c>
      <c r="D1922" s="87" t="n">
        <v>50106</v>
      </c>
      <c r="E1922" s="46" t="str">
        <f aca="false">IF(D1922&lt;&gt;"",IFERROR(VLOOKUP(D1922,PROVEEDORES!$A:$B,2,0),"!COD NO ENCONTRADO"),"")</f>
        <v>SONIA VENTAS S.L</v>
      </c>
      <c r="F1922" s="88" t="str">
        <f aca="false">IF(D1922&lt;&gt;"",IFERROR(VLOOKUP(D1922,PROVEEDORES!$A:$C,3,0),""),"")</f>
        <v>S</v>
      </c>
      <c r="G1922" s="87" t="s">
        <v>221</v>
      </c>
      <c r="H1922" s="52" t="str">
        <f aca="false">IF(G1922&lt;&gt;"",IFERROR(VLOOKUP(G1922,PRODUCTOS!$A:$B,2,0),"!COD NO ENCONTRADO"),"")</f>
        <v>MERLUZA EUROPEA PINCHO COSTA 800</v>
      </c>
      <c r="I1922" s="77" t="n">
        <v>1</v>
      </c>
      <c r="J1922" s="105" t="n">
        <v>12.25</v>
      </c>
      <c r="K1922" s="125" t="n">
        <v>5.8</v>
      </c>
      <c r="L1922" s="80" t="n">
        <f aca="false">IF(AND(J1922&lt;&gt;"",K1922&lt;&gt;""),J1922*K1922,"")</f>
        <v>71.05</v>
      </c>
      <c r="M1922" s="81" t="n">
        <f aca="false">IF(L1922&lt;&gt;"",L1922*1.1,"")</f>
        <v>78.155</v>
      </c>
      <c r="N1922" s="53" t="n">
        <f aca="false">IF(F1922="S",L1922*0.02,0)</f>
        <v>1.421</v>
      </c>
      <c r="O1922" s="82" t="n">
        <f aca="false">IF(L1922&lt;&gt;"",L1922+N1922,"")</f>
        <v>72.471</v>
      </c>
      <c r="P1922" s="53" t="n">
        <f aca="false">IF(O1922&lt;&gt;"",O1922*0.1,"")</f>
        <v>7.2471</v>
      </c>
      <c r="Q1922" s="83" t="n">
        <f aca="false">IF(O1922&lt;&gt;"",O1922+P1922,"")</f>
        <v>79.7181</v>
      </c>
      <c r="R1922" s="84" t="s">
        <v>365</v>
      </c>
    </row>
    <row r="1923" customFormat="false" ht="15" hidden="false" customHeight="true" outlineLevel="0" collapsed="false">
      <c r="A1923" s="103" t="n">
        <v>56422</v>
      </c>
      <c r="B1923" s="73" t="n">
        <v>46269</v>
      </c>
      <c r="C1923" s="86" t="s">
        <v>825</v>
      </c>
      <c r="D1923" s="87" t="n">
        <v>50106</v>
      </c>
      <c r="E1923" s="46" t="str">
        <f aca="false">IF(D1923&lt;&gt;"",IFERROR(VLOOKUP(D1923,PROVEEDORES!$A:$B,2,0),"!COD NO ENCONTRADO"),"")</f>
        <v>SONIA VENTAS S.L</v>
      </c>
      <c r="F1923" s="88" t="str">
        <f aca="false">IF(D1923&lt;&gt;"",IFERROR(VLOOKUP(D1923,PROVEEDORES!$A:$C,3,0),""),"")</f>
        <v>S</v>
      </c>
      <c r="G1923" s="87" t="s">
        <v>219</v>
      </c>
      <c r="H1923" s="46" t="str">
        <f aca="false">IF(G1923&lt;&gt;"",IFERROR(VLOOKUP(G1923,PRODUCTOS!$A:$B,2,0),"!COD NO ENCONTRADO"),"")</f>
        <v>MERLUZA EUROPEA PINCHO COSTA 600</v>
      </c>
      <c r="I1923" s="89" t="n">
        <v>3</v>
      </c>
      <c r="J1923" s="105" t="n">
        <v>37</v>
      </c>
      <c r="K1923" s="125" t="n">
        <v>4</v>
      </c>
      <c r="L1923" s="80" t="n">
        <f aca="false">IF(AND(J1923&lt;&gt;"",K1923&lt;&gt;""),J1923*K1923,"")</f>
        <v>148</v>
      </c>
      <c r="M1923" s="81" t="n">
        <f aca="false">IF(L1923&lt;&gt;"",L1923*1.1,"")</f>
        <v>162.8</v>
      </c>
      <c r="N1923" s="47" t="n">
        <f aca="false">IF(F1923="S",L1923*0.02,0)</f>
        <v>2.96</v>
      </c>
      <c r="O1923" s="82" t="n">
        <f aca="false">IF(L1923&lt;&gt;"",L1923+N1923,"")</f>
        <v>150.96</v>
      </c>
      <c r="P1923" s="47" t="n">
        <f aca="false">IF(O1923&lt;&gt;"",O1923*0.1,"")</f>
        <v>15.096</v>
      </c>
      <c r="Q1923" s="83" t="n">
        <f aca="false">IF(O1923&lt;&gt;"",O1923+P1923,"")</f>
        <v>166.056</v>
      </c>
      <c r="R1923" s="84" t="s">
        <v>365</v>
      </c>
    </row>
    <row r="1924" customFormat="false" ht="15" hidden="false" customHeight="true" outlineLevel="0" collapsed="false">
      <c r="A1924" s="103" t="n">
        <v>56422</v>
      </c>
      <c r="B1924" s="73" t="n">
        <v>46269</v>
      </c>
      <c r="C1924" s="86" t="s">
        <v>825</v>
      </c>
      <c r="D1924" s="87" t="n">
        <v>50106</v>
      </c>
      <c r="E1924" s="46" t="str">
        <f aca="false">IF(D1924&lt;&gt;"",IFERROR(VLOOKUP(D1924,PROVEEDORES!$A:$B,2,0),"!COD NO ENCONTRADO"),"")</f>
        <v>SONIA VENTAS S.L</v>
      </c>
      <c r="F1924" s="88" t="str">
        <f aca="false">IF(D1924&lt;&gt;"",IFERROR(VLOOKUP(D1924,PROVEEDORES!$A:$C,3,0),""),"")</f>
        <v>S</v>
      </c>
      <c r="G1924" s="87" t="s">
        <v>221</v>
      </c>
      <c r="H1924" s="52" t="str">
        <f aca="false">IF(G1924&lt;&gt;"",IFERROR(VLOOKUP(G1924,PRODUCTOS!$A:$B,2,0),"!COD NO ENCONTRADO"),"")</f>
        <v>MERLUZA EUROPEA PINCHO COSTA 800</v>
      </c>
      <c r="I1924" s="77" t="n">
        <v>2</v>
      </c>
      <c r="J1924" s="105" t="n">
        <v>29.25</v>
      </c>
      <c r="K1924" s="125" t="n">
        <v>6.3</v>
      </c>
      <c r="L1924" s="80" t="n">
        <f aca="false">IF(AND(J1924&lt;&gt;"",K1924&lt;&gt;""),J1924*K1924,"")</f>
        <v>184.275</v>
      </c>
      <c r="M1924" s="81" t="n">
        <f aca="false">IF(L1924&lt;&gt;"",L1924*1.1,"")</f>
        <v>202.7025</v>
      </c>
      <c r="N1924" s="53" t="n">
        <f aca="false">IF(F1924="S",L1924*0.02,0)</f>
        <v>3.6855</v>
      </c>
      <c r="O1924" s="82" t="n">
        <f aca="false">IF(L1924&lt;&gt;"",L1924+N1924,"")</f>
        <v>187.9605</v>
      </c>
      <c r="P1924" s="53" t="n">
        <f aca="false">IF(O1924&lt;&gt;"",O1924*0.1,"")</f>
        <v>18.79605</v>
      </c>
      <c r="Q1924" s="83" t="n">
        <f aca="false">IF(O1924&lt;&gt;"",O1924+P1924,"")</f>
        <v>206.75655</v>
      </c>
      <c r="R1924" s="84" t="s">
        <v>365</v>
      </c>
    </row>
    <row r="1925" customFormat="false" ht="15" hidden="false" customHeight="true" outlineLevel="0" collapsed="false">
      <c r="A1925" s="103" t="n">
        <v>56422</v>
      </c>
      <c r="B1925" s="73" t="n">
        <v>46269</v>
      </c>
      <c r="C1925" s="86" t="s">
        <v>825</v>
      </c>
      <c r="D1925" s="87" t="n">
        <v>50106</v>
      </c>
      <c r="E1925" s="46" t="str">
        <f aca="false">IF(D1925&lt;&gt;"",IFERROR(VLOOKUP(D1925,PROVEEDORES!$A:$B,2,0),"!COD NO ENCONTRADO"),"")</f>
        <v>SONIA VENTAS S.L</v>
      </c>
      <c r="F1925" s="88" t="str">
        <f aca="false">IF(D1925&lt;&gt;"",IFERROR(VLOOKUP(D1925,PROVEEDORES!$A:$C,3,0),""),"")</f>
        <v>S</v>
      </c>
      <c r="G1925" s="87" t="s">
        <v>221</v>
      </c>
      <c r="H1925" s="46" t="str">
        <f aca="false">IF(G1925&lt;&gt;"",IFERROR(VLOOKUP(G1925,PRODUCTOS!$A:$B,2,0),"!COD NO ENCONTRADO"),"")</f>
        <v>MERLUZA EUROPEA PINCHO COSTA 800</v>
      </c>
      <c r="I1925" s="89" t="n">
        <v>1</v>
      </c>
      <c r="J1925" s="105" t="n">
        <v>10.25</v>
      </c>
      <c r="K1925" s="125" t="n">
        <v>6.8</v>
      </c>
      <c r="L1925" s="80" t="n">
        <f aca="false">IF(AND(J1925&lt;&gt;"",K1925&lt;&gt;""),J1925*K1925,"")</f>
        <v>69.7</v>
      </c>
      <c r="M1925" s="81" t="n">
        <f aca="false">IF(L1925&lt;&gt;"",L1925*1.1,"")</f>
        <v>76.67</v>
      </c>
      <c r="N1925" s="47" t="n">
        <f aca="false">IF(F1925="S",L1925*0.02,0)</f>
        <v>1.394</v>
      </c>
      <c r="O1925" s="82" t="n">
        <f aca="false">IF(L1925&lt;&gt;"",L1925+N1925,"")</f>
        <v>71.094</v>
      </c>
      <c r="P1925" s="47" t="n">
        <f aca="false">IF(O1925&lt;&gt;"",O1925*0.1,"")</f>
        <v>7.1094</v>
      </c>
      <c r="Q1925" s="83" t="n">
        <f aca="false">IF(O1925&lt;&gt;"",O1925+P1925,"")</f>
        <v>78.2034</v>
      </c>
      <c r="R1925" s="84" t="s">
        <v>365</v>
      </c>
    </row>
    <row r="1926" customFormat="false" ht="15" hidden="false" customHeight="true" outlineLevel="0" collapsed="false">
      <c r="A1926" s="103" t="n">
        <v>56422</v>
      </c>
      <c r="B1926" s="73" t="n">
        <v>46269</v>
      </c>
      <c r="C1926" s="86" t="s">
        <v>825</v>
      </c>
      <c r="D1926" s="87" t="n">
        <v>50106</v>
      </c>
      <c r="E1926" s="46" t="str">
        <f aca="false">IF(D1926&lt;&gt;"",IFERROR(VLOOKUP(D1926,PROVEEDORES!$A:$B,2,0),"!COD NO ENCONTRADO"),"")</f>
        <v>SONIA VENTAS S.L</v>
      </c>
      <c r="F1926" s="88" t="str">
        <f aca="false">IF(D1926&lt;&gt;"",IFERROR(VLOOKUP(D1926,PROVEEDORES!$A:$C,3,0),""),"")</f>
        <v>S</v>
      </c>
      <c r="G1926" s="87" t="s">
        <v>223</v>
      </c>
      <c r="H1926" s="52" t="str">
        <f aca="false">IF(G1926&lt;&gt;"",IFERROR(VLOOKUP(G1926,PRODUCTOS!$A:$B,2,0),"!COD NO ENCONTRADO"),"")</f>
        <v>MERLUZA EUROPEA PINCHO COSTA 1000</v>
      </c>
      <c r="I1926" s="77" t="n">
        <v>1</v>
      </c>
      <c r="J1926" s="105" t="n">
        <v>14.5</v>
      </c>
      <c r="K1926" s="125" t="n">
        <v>8.3</v>
      </c>
      <c r="L1926" s="80" t="n">
        <f aca="false">IF(AND(J1926&lt;&gt;"",K1926&lt;&gt;""),J1926*K1926,"")</f>
        <v>120.35</v>
      </c>
      <c r="M1926" s="81" t="n">
        <f aca="false">IF(L1926&lt;&gt;"",L1926*1.1,"")</f>
        <v>132.385</v>
      </c>
      <c r="N1926" s="53" t="n">
        <f aca="false">IF(F1926="S",L1926*0.02,0)</f>
        <v>2.407</v>
      </c>
      <c r="O1926" s="82" t="n">
        <f aca="false">IF(L1926&lt;&gt;"",L1926+N1926,"")</f>
        <v>122.757</v>
      </c>
      <c r="P1926" s="53" t="n">
        <f aca="false">IF(O1926&lt;&gt;"",O1926*0.1,"")</f>
        <v>12.2757</v>
      </c>
      <c r="Q1926" s="83" t="n">
        <f aca="false">IF(O1926&lt;&gt;"",O1926+P1926,"")</f>
        <v>135.0327</v>
      </c>
      <c r="R1926" s="84" t="s">
        <v>365</v>
      </c>
    </row>
    <row r="1927" customFormat="false" ht="15" hidden="false" customHeight="true" outlineLevel="0" collapsed="false">
      <c r="A1927" s="103" t="n">
        <v>56422</v>
      </c>
      <c r="B1927" s="73" t="n">
        <v>46269</v>
      </c>
      <c r="C1927" s="86" t="s">
        <v>825</v>
      </c>
      <c r="D1927" s="87" t="n">
        <v>50106</v>
      </c>
      <c r="E1927" s="46" t="str">
        <f aca="false">IF(D1927&lt;&gt;"",IFERROR(VLOOKUP(D1927,PROVEEDORES!$A:$B,2,0),"!COD NO ENCONTRADO"),"")</f>
        <v>SONIA VENTAS S.L</v>
      </c>
      <c r="F1927" s="88" t="str">
        <f aca="false">IF(D1927&lt;&gt;"",IFERROR(VLOOKUP(D1927,PROVEEDORES!$A:$C,3,0),""),"")</f>
        <v>S</v>
      </c>
      <c r="G1927" s="87" t="s">
        <v>223</v>
      </c>
      <c r="H1927" s="46" t="str">
        <f aca="false">IF(G1927&lt;&gt;"",IFERROR(VLOOKUP(G1927,PRODUCTOS!$A:$B,2,0),"!COD NO ENCONTRADO"),"")</f>
        <v>MERLUZA EUROPEA PINCHO COSTA 1000</v>
      </c>
      <c r="I1927" s="89" t="n">
        <v>2</v>
      </c>
      <c r="J1927" s="105" t="n">
        <v>25.25</v>
      </c>
      <c r="K1927" s="125" t="n">
        <v>8.4</v>
      </c>
      <c r="L1927" s="80" t="n">
        <f aca="false">IF(AND(J1927&lt;&gt;"",K1927&lt;&gt;""),J1927*K1927,"")</f>
        <v>212.1</v>
      </c>
      <c r="M1927" s="81" t="n">
        <f aca="false">IF(L1927&lt;&gt;"",L1927*1.1,"")</f>
        <v>233.31</v>
      </c>
      <c r="N1927" s="47" t="n">
        <f aca="false">IF(F1927="S",L1927*0.02,0)</f>
        <v>4.242</v>
      </c>
      <c r="O1927" s="82" t="n">
        <f aca="false">IF(L1927&lt;&gt;"",L1927+N1927,"")</f>
        <v>216.342</v>
      </c>
      <c r="P1927" s="47" t="n">
        <f aca="false">IF(O1927&lt;&gt;"",O1927*0.1,"")</f>
        <v>21.6342</v>
      </c>
      <c r="Q1927" s="83" t="n">
        <f aca="false">IF(O1927&lt;&gt;"",O1927+P1927,"")</f>
        <v>237.9762</v>
      </c>
      <c r="R1927" s="84" t="s">
        <v>365</v>
      </c>
    </row>
    <row r="1928" customFormat="false" ht="15" hidden="false" customHeight="true" outlineLevel="0" collapsed="false">
      <c r="A1928" s="103" t="n">
        <v>56422</v>
      </c>
      <c r="B1928" s="73" t="n">
        <v>46269</v>
      </c>
      <c r="C1928" s="86" t="s">
        <v>825</v>
      </c>
      <c r="D1928" s="87" t="n">
        <v>50106</v>
      </c>
      <c r="E1928" s="46" t="str">
        <f aca="false">IF(D1928&lt;&gt;"",IFERROR(VLOOKUP(D1928,PROVEEDORES!$A:$B,2,0),"!COD NO ENCONTRADO"),"")</f>
        <v>SONIA VENTAS S.L</v>
      </c>
      <c r="F1928" s="88" t="str">
        <f aca="false">IF(D1928&lt;&gt;"",IFERROR(VLOOKUP(D1928,PROVEEDORES!$A:$C,3,0),""),"")</f>
        <v>S</v>
      </c>
      <c r="G1928" s="87" t="s">
        <v>223</v>
      </c>
      <c r="H1928" s="52" t="str">
        <f aca="false">IF(G1928&lt;&gt;"",IFERROR(VLOOKUP(G1928,PRODUCTOS!$A:$B,2,0),"!COD NO ENCONTRADO"),"")</f>
        <v>MERLUZA EUROPEA PINCHO COSTA 1000</v>
      </c>
      <c r="I1928" s="77" t="n">
        <v>1</v>
      </c>
      <c r="J1928" s="105" t="n">
        <v>14.75</v>
      </c>
      <c r="K1928" s="125" t="n">
        <v>9</v>
      </c>
      <c r="L1928" s="80" t="n">
        <f aca="false">IF(AND(J1928&lt;&gt;"",K1928&lt;&gt;""),J1928*K1928,"")</f>
        <v>132.75</v>
      </c>
      <c r="M1928" s="81" t="n">
        <f aca="false">IF(L1928&lt;&gt;"",L1928*1.1,"")</f>
        <v>146.025</v>
      </c>
      <c r="N1928" s="53" t="n">
        <f aca="false">IF(F1928="S",L1928*0.02,0)</f>
        <v>2.655</v>
      </c>
      <c r="O1928" s="82" t="n">
        <f aca="false">IF(L1928&lt;&gt;"",L1928+N1928,"")</f>
        <v>135.405</v>
      </c>
      <c r="P1928" s="53" t="n">
        <f aca="false">IF(O1928&lt;&gt;"",O1928*0.1,"")</f>
        <v>13.5405</v>
      </c>
      <c r="Q1928" s="83" t="n">
        <f aca="false">IF(O1928&lt;&gt;"",O1928+P1928,"")</f>
        <v>148.9455</v>
      </c>
      <c r="R1928" s="84" t="s">
        <v>365</v>
      </c>
    </row>
    <row r="1929" customFormat="false" ht="15" hidden="false" customHeight="true" outlineLevel="0" collapsed="false">
      <c r="A1929" s="103" t="n">
        <v>56423</v>
      </c>
      <c r="B1929" s="73" t="n">
        <v>46269</v>
      </c>
      <c r="C1929" s="86" t="s">
        <v>826</v>
      </c>
      <c r="D1929" s="87" t="n">
        <v>50163</v>
      </c>
      <c r="E1929" s="46" t="str">
        <f aca="false">IF(D1929&lt;&gt;"",IFERROR(VLOOKUP(D1929,PROVEEDORES!$A:$B,2,0),"!COD NO ENCONTRADO"),"")</f>
        <v>SUBASTAS RIVERA S.L.</v>
      </c>
      <c r="F1929" s="88" t="str">
        <f aca="false">IF(D1929&lt;&gt;"",IFERROR(VLOOKUP(D1929,PROVEEDORES!$A:$C,3,0),""),"")</f>
        <v>S</v>
      </c>
      <c r="G1929" s="87" t="s">
        <v>219</v>
      </c>
      <c r="H1929" s="46" t="str">
        <f aca="false">IF(G1929&lt;&gt;"",IFERROR(VLOOKUP(G1929,PRODUCTOS!$A:$B,2,0),"!COD NO ENCONTRADO"),"")</f>
        <v>MERLUZA EUROPEA PINCHO COSTA 600</v>
      </c>
      <c r="I1929" s="89" t="n">
        <v>1</v>
      </c>
      <c r="J1929" s="90" t="n">
        <v>10.25</v>
      </c>
      <c r="K1929" s="91" t="n">
        <v>4.7</v>
      </c>
      <c r="L1929" s="80" t="n">
        <f aca="false">IF(AND(J1929&lt;&gt;"",K1929&lt;&gt;""),J1929*K1929,"")</f>
        <v>48.175</v>
      </c>
      <c r="M1929" s="81" t="n">
        <f aca="false">IF(L1929&lt;&gt;"",L1929*1.1,"")</f>
        <v>52.9925</v>
      </c>
      <c r="N1929" s="47" t="n">
        <f aca="false">IF(F1929="S",L1929*0.02,0)</f>
        <v>0.9635</v>
      </c>
      <c r="O1929" s="82" t="n">
        <f aca="false">IF(L1929&lt;&gt;"",L1929+N1929,"")</f>
        <v>49.1385</v>
      </c>
      <c r="P1929" s="47" t="n">
        <f aca="false">IF(O1929&lt;&gt;"",O1929*0.1,"")</f>
        <v>4.91385</v>
      </c>
      <c r="Q1929" s="83" t="n">
        <f aca="false">IF(O1929&lt;&gt;"",O1929+P1929,"")</f>
        <v>54.05235</v>
      </c>
      <c r="R1929" s="84" t="s">
        <v>365</v>
      </c>
    </row>
    <row r="1930" customFormat="false" ht="15" hidden="false" customHeight="true" outlineLevel="0" collapsed="false">
      <c r="A1930" s="103" t="n">
        <v>56423</v>
      </c>
      <c r="B1930" s="73" t="n">
        <v>46269</v>
      </c>
      <c r="C1930" s="86" t="s">
        <v>826</v>
      </c>
      <c r="D1930" s="75" t="n">
        <v>50163</v>
      </c>
      <c r="E1930" s="52" t="str">
        <f aca="false">IF(D1930&lt;&gt;"",IFERROR(VLOOKUP(D1930,PROVEEDORES!$A:$B,2,0),"!COD NO ENCONTRADO"),"")</f>
        <v>SUBASTAS RIVERA S.L.</v>
      </c>
      <c r="F1930" s="76" t="str">
        <f aca="false">IF(D1930&lt;&gt;"",IFERROR(VLOOKUP(D1930,PROVEEDORES!$A:$C,3,0),""),"")</f>
        <v>S</v>
      </c>
      <c r="G1930" s="75" t="s">
        <v>221</v>
      </c>
      <c r="H1930" s="52" t="str">
        <f aca="false">IF(G1930&lt;&gt;"",IFERROR(VLOOKUP(G1930,PRODUCTOS!$A:$B,2,0),"!COD NO ENCONTRADO"),"")</f>
        <v>MERLUZA EUROPEA PINCHO COSTA 800</v>
      </c>
      <c r="I1930" s="77" t="n">
        <v>1</v>
      </c>
      <c r="J1930" s="78" t="n">
        <v>12.25</v>
      </c>
      <c r="K1930" s="79" t="n">
        <v>5.3</v>
      </c>
      <c r="L1930" s="80" t="n">
        <f aca="false">IF(AND(J1930&lt;&gt;"",K1930&lt;&gt;""),J1930*K1930,"")</f>
        <v>64.925</v>
      </c>
      <c r="M1930" s="81" t="n">
        <f aca="false">IF(L1930&lt;&gt;"",L1930*1.1,"")</f>
        <v>71.4175</v>
      </c>
      <c r="N1930" s="53" t="n">
        <f aca="false">IF(F1930="S",L1930*0.02,0)</f>
        <v>1.2985</v>
      </c>
      <c r="O1930" s="82" t="n">
        <f aca="false">IF(L1930&lt;&gt;"",L1930+N1930,"")</f>
        <v>66.2235</v>
      </c>
      <c r="P1930" s="53" t="n">
        <f aca="false">IF(O1930&lt;&gt;"",O1930*0.1,"")</f>
        <v>6.62235</v>
      </c>
      <c r="Q1930" s="83" t="n">
        <f aca="false">IF(O1930&lt;&gt;"",O1930+P1930,"")</f>
        <v>72.84585</v>
      </c>
      <c r="R1930" s="84" t="s">
        <v>365</v>
      </c>
    </row>
    <row r="1931" customFormat="false" ht="15" hidden="false" customHeight="true" outlineLevel="0" collapsed="false">
      <c r="A1931" s="103" t="n">
        <v>56423</v>
      </c>
      <c r="B1931" s="73" t="n">
        <v>46269</v>
      </c>
      <c r="C1931" s="86" t="s">
        <v>826</v>
      </c>
      <c r="D1931" s="75" t="n">
        <v>50163</v>
      </c>
      <c r="E1931" s="46" t="str">
        <f aca="false">IF(D1931&lt;&gt;"",IFERROR(VLOOKUP(D1931,PROVEEDORES!$A:$B,2,0),"!COD NO ENCONTRADO"),"")</f>
        <v>SUBASTAS RIVERA S.L.</v>
      </c>
      <c r="F1931" s="88" t="str">
        <f aca="false">IF(D1931&lt;&gt;"",IFERROR(VLOOKUP(D1931,PROVEEDORES!$A:$C,3,0),""),"")</f>
        <v>S</v>
      </c>
      <c r="G1931" s="87" t="s">
        <v>221</v>
      </c>
      <c r="H1931" s="46" t="str">
        <f aca="false">IF(G1931&lt;&gt;"",IFERROR(VLOOKUP(G1931,PRODUCTOS!$A:$B,2,0),"!COD NO ENCONTRADO"),"")</f>
        <v>MERLUZA EUROPEA PINCHO COSTA 800</v>
      </c>
      <c r="I1931" s="89" t="n">
        <v>4</v>
      </c>
      <c r="J1931" s="90" t="n">
        <v>47.5</v>
      </c>
      <c r="K1931" s="91" t="n">
        <v>6.9</v>
      </c>
      <c r="L1931" s="80" t="n">
        <f aca="false">IF(AND(J1931&lt;&gt;"",K1931&lt;&gt;""),J1931*K1931,"")</f>
        <v>327.75</v>
      </c>
      <c r="M1931" s="81" t="n">
        <f aca="false">IF(L1931&lt;&gt;"",L1931*1.1,"")</f>
        <v>360.525</v>
      </c>
      <c r="N1931" s="47" t="n">
        <f aca="false">IF(F1931="S",L1931*0.02,0)</f>
        <v>6.555</v>
      </c>
      <c r="O1931" s="82" t="n">
        <f aca="false">IF(L1931&lt;&gt;"",L1931+N1931,"")</f>
        <v>334.305</v>
      </c>
      <c r="P1931" s="47" t="n">
        <f aca="false">IF(O1931&lt;&gt;"",O1931*0.1,"")</f>
        <v>33.4305</v>
      </c>
      <c r="Q1931" s="83" t="n">
        <f aca="false">IF(O1931&lt;&gt;"",O1931+P1931,"")</f>
        <v>367.7355</v>
      </c>
      <c r="R1931" s="84" t="s">
        <v>365</v>
      </c>
    </row>
    <row r="1932" customFormat="false" ht="15" hidden="false" customHeight="true" outlineLevel="0" collapsed="false">
      <c r="A1932" s="103" t="n">
        <v>56423</v>
      </c>
      <c r="B1932" s="73" t="n">
        <v>46269</v>
      </c>
      <c r="C1932" s="86" t="s">
        <v>826</v>
      </c>
      <c r="D1932" s="75" t="n">
        <v>50163</v>
      </c>
      <c r="E1932" s="52" t="str">
        <f aca="false">IF(D1932&lt;&gt;"",IFERROR(VLOOKUP(D1932,PROVEEDORES!$A:$B,2,0),"!COD NO ENCONTRADO"),"")</f>
        <v>SUBASTAS RIVERA S.L.</v>
      </c>
      <c r="F1932" s="76" t="str">
        <f aca="false">IF(D1932&lt;&gt;"",IFERROR(VLOOKUP(D1932,PROVEEDORES!$A:$C,3,0),""),"")</f>
        <v>S</v>
      </c>
      <c r="G1932" s="75" t="s">
        <v>276</v>
      </c>
      <c r="H1932" s="52" t="str">
        <f aca="false">IF(G1932&lt;&gt;"",IFERROR(VLOOKUP(G1932,PRODUCTOS!$A:$B,2,0),"!COD NO ENCONTRADO"),"")</f>
        <v>MERLUZA EUROPEA/ FINA DIA </v>
      </c>
      <c r="I1932" s="77" t="n">
        <v>6</v>
      </c>
      <c r="J1932" s="78" t="n">
        <v>32.5</v>
      </c>
      <c r="K1932" s="79" t="n">
        <v>2.2</v>
      </c>
      <c r="L1932" s="80" t="n">
        <f aca="false">IF(AND(J1932&lt;&gt;"",K1932&lt;&gt;""),J1932*K1932,"")</f>
        <v>71.5</v>
      </c>
      <c r="M1932" s="81" t="n">
        <f aca="false">IF(L1932&lt;&gt;"",L1932*1.1,"")</f>
        <v>78.65</v>
      </c>
      <c r="N1932" s="53" t="n">
        <f aca="false">IF(F1932="S",L1932*0.02,0)</f>
        <v>1.43</v>
      </c>
      <c r="O1932" s="82" t="n">
        <f aca="false">IF(L1932&lt;&gt;"",L1932+N1932,"")</f>
        <v>72.93</v>
      </c>
      <c r="P1932" s="53" t="n">
        <f aca="false">IF(O1932&lt;&gt;"",O1932*0.1,"")</f>
        <v>7.293</v>
      </c>
      <c r="Q1932" s="83" t="n">
        <f aca="false">IF(O1932&lt;&gt;"",O1932+P1932,"")</f>
        <v>80.223</v>
      </c>
      <c r="R1932" s="84" t="s">
        <v>365</v>
      </c>
    </row>
    <row r="1933" customFormat="false" ht="15" hidden="false" customHeight="true" outlineLevel="0" collapsed="false">
      <c r="A1933" s="103" t="n">
        <v>56423</v>
      </c>
      <c r="B1933" s="73" t="n">
        <v>46269</v>
      </c>
      <c r="C1933" s="86" t="s">
        <v>826</v>
      </c>
      <c r="D1933" s="75" t="n">
        <v>50163</v>
      </c>
      <c r="E1933" s="46" t="str">
        <f aca="false">IF(D1933&lt;&gt;"",IFERROR(VLOOKUP(D1933,PROVEEDORES!$A:$B,2,0),"!COD NO ENCONTRADO"),"")</f>
        <v>SUBASTAS RIVERA S.L.</v>
      </c>
      <c r="F1933" s="88" t="str">
        <f aca="false">IF(D1933&lt;&gt;"",IFERROR(VLOOKUP(D1933,PROVEEDORES!$A:$C,3,0),""),"")</f>
        <v>S</v>
      </c>
      <c r="G1933" s="87" t="s">
        <v>276</v>
      </c>
      <c r="H1933" s="46" t="str">
        <f aca="false">IF(G1933&lt;&gt;"",IFERROR(VLOOKUP(G1933,PRODUCTOS!$A:$B,2,0),"!COD NO ENCONTRADO"),"")</f>
        <v>MERLUZA EUROPEA/ FINA DIA </v>
      </c>
      <c r="I1933" s="89" t="n">
        <v>16</v>
      </c>
      <c r="J1933" s="90" t="n">
        <v>91</v>
      </c>
      <c r="K1933" s="91" t="n">
        <v>2.6</v>
      </c>
      <c r="L1933" s="80" t="n">
        <f aca="false">IF(AND(J1933&lt;&gt;"",K1933&lt;&gt;""),J1933*K1933,"")</f>
        <v>236.6</v>
      </c>
      <c r="M1933" s="81" t="n">
        <f aca="false">IF(L1933&lt;&gt;"",L1933*1.1,"")</f>
        <v>260.26</v>
      </c>
      <c r="N1933" s="47" t="n">
        <f aca="false">IF(F1933="S",L1933*0.02,0)</f>
        <v>4.732</v>
      </c>
      <c r="O1933" s="82" t="n">
        <f aca="false">IF(L1933&lt;&gt;"",L1933+N1933,"")</f>
        <v>241.332</v>
      </c>
      <c r="P1933" s="47" t="n">
        <f aca="false">IF(O1933&lt;&gt;"",O1933*0.1,"")</f>
        <v>24.1332</v>
      </c>
      <c r="Q1933" s="83" t="n">
        <f aca="false">IF(O1933&lt;&gt;"",O1933+P1933,"")</f>
        <v>265.4652</v>
      </c>
      <c r="R1933" s="84" t="s">
        <v>365</v>
      </c>
    </row>
    <row r="1934" customFormat="false" ht="15" hidden="false" customHeight="true" outlineLevel="0" collapsed="false">
      <c r="A1934" s="103" t="n">
        <v>56423</v>
      </c>
      <c r="B1934" s="73" t="n">
        <v>46269</v>
      </c>
      <c r="C1934" s="86" t="s">
        <v>826</v>
      </c>
      <c r="D1934" s="75" t="n">
        <v>50163</v>
      </c>
      <c r="E1934" s="52" t="str">
        <f aca="false">IF(D1934&lt;&gt;"",IFERROR(VLOOKUP(D1934,PROVEEDORES!$A:$B,2,0),"!COD NO ENCONTRADO"),"")</f>
        <v>SUBASTAS RIVERA S.L.</v>
      </c>
      <c r="F1934" s="76" t="str">
        <f aca="false">IF(D1934&lt;&gt;"",IFERROR(VLOOKUP(D1934,PROVEEDORES!$A:$C,3,0),""),"")</f>
        <v>S</v>
      </c>
      <c r="G1934" s="75" t="s">
        <v>276</v>
      </c>
      <c r="H1934" s="52" t="str">
        <f aca="false">IF(G1934&lt;&gt;"",IFERROR(VLOOKUP(G1934,PRODUCTOS!$A:$B,2,0),"!COD NO ENCONTRADO"),"")</f>
        <v>MERLUZA EUROPEA/ FINA DIA </v>
      </c>
      <c r="I1934" s="77" t="n">
        <v>4</v>
      </c>
      <c r="J1934" s="78" t="n">
        <v>44.5</v>
      </c>
      <c r="K1934" s="79" t="n">
        <v>3.4</v>
      </c>
      <c r="L1934" s="80" t="n">
        <f aca="false">IF(AND(J1934&lt;&gt;"",K1934&lt;&gt;""),J1934*K1934,"")</f>
        <v>151.3</v>
      </c>
      <c r="M1934" s="81" t="n">
        <f aca="false">IF(L1934&lt;&gt;"",L1934*1.1,"")</f>
        <v>166.43</v>
      </c>
      <c r="N1934" s="53" t="n">
        <f aca="false">IF(F1934="S",L1934*0.02,0)</f>
        <v>3.026</v>
      </c>
      <c r="O1934" s="82" t="n">
        <f aca="false">IF(L1934&lt;&gt;"",L1934+N1934,"")</f>
        <v>154.326</v>
      </c>
      <c r="P1934" s="53" t="n">
        <f aca="false">IF(O1934&lt;&gt;"",O1934*0.1,"")</f>
        <v>15.4326</v>
      </c>
      <c r="Q1934" s="83" t="n">
        <f aca="false">IF(O1934&lt;&gt;"",O1934+P1934,"")</f>
        <v>169.7586</v>
      </c>
      <c r="R1934" s="84" t="s">
        <v>365</v>
      </c>
    </row>
    <row r="1935" customFormat="false" ht="15" hidden="false" customHeight="true" outlineLevel="0" collapsed="false">
      <c r="A1935" s="103" t="n">
        <v>56424</v>
      </c>
      <c r="B1935" s="73" t="n">
        <v>46269</v>
      </c>
      <c r="C1935" s="86" t="s">
        <v>827</v>
      </c>
      <c r="D1935" s="87" t="n">
        <v>50019</v>
      </c>
      <c r="E1935" s="46" t="str">
        <f aca="false">IF(D1935&lt;&gt;"",IFERROR(VLOOKUP(D1935,PROVEEDORES!$A:$B,2,0),"!COD NO ENCONTRADO"),"")</f>
        <v>ANGELITA VILLAR</v>
      </c>
      <c r="F1935" s="88" t="str">
        <f aca="false">IF(D1935&lt;&gt;"",IFERROR(VLOOKUP(D1935,PROVEEDORES!$A:$C,3,0),""),"")</f>
        <v>S</v>
      </c>
      <c r="G1935" s="87" t="s">
        <v>316</v>
      </c>
      <c r="H1935" s="46" t="str">
        <f aca="false">IF(G1935&lt;&gt;"",IFERROR(VLOOKUP(G1935,PRODUCTOS!$A:$B,2,0),"!COD NO ENCONTRADO"),"")</f>
        <v>SALMONETE ROCA (MUR)</v>
      </c>
      <c r="I1935" s="89" t="n">
        <v>1</v>
      </c>
      <c r="J1935" s="90" t="n">
        <v>6.2</v>
      </c>
      <c r="K1935" s="91" t="n">
        <v>16.5</v>
      </c>
      <c r="L1935" s="80" t="n">
        <f aca="false">IF(AND(J1935&lt;&gt;"",K1935&lt;&gt;""),J1935*K1935,"")</f>
        <v>102.3</v>
      </c>
      <c r="M1935" s="81" t="n">
        <f aca="false">IF(L1935&lt;&gt;"",L1935*1.1,"")</f>
        <v>112.53</v>
      </c>
      <c r="N1935" s="47" t="n">
        <f aca="false">IF(F1935="S",L1935*0.02,0)</f>
        <v>2.046</v>
      </c>
      <c r="O1935" s="82" t="n">
        <f aca="false">IF(L1935&lt;&gt;"",L1935+N1935,"")</f>
        <v>104.346</v>
      </c>
      <c r="P1935" s="47" t="n">
        <f aca="false">IF(O1935&lt;&gt;"",O1935*0.1,"")</f>
        <v>10.4346</v>
      </c>
      <c r="Q1935" s="83" t="n">
        <f aca="false">IF(O1935&lt;&gt;"",O1935+P1935,"")</f>
        <v>114.7806</v>
      </c>
      <c r="R1935" s="84" t="s">
        <v>365</v>
      </c>
    </row>
    <row r="1936" customFormat="false" ht="15" hidden="false" customHeight="true" outlineLevel="0" collapsed="false">
      <c r="A1936" s="103" t="n">
        <v>56425</v>
      </c>
      <c r="B1936" s="73" t="n">
        <v>46269</v>
      </c>
      <c r="C1936" s="74" t="s">
        <v>828</v>
      </c>
      <c r="D1936" s="75" t="n">
        <v>50531</v>
      </c>
      <c r="E1936" s="52" t="str">
        <f aca="false">IF(D1936&lt;&gt;"",IFERROR(VLOOKUP(D1936,PROVEEDORES!$A:$B,2,0),"!COD NO ENCONTRADO"),"")</f>
        <v>SANCHEZ LOPEZ MIGUEL</v>
      </c>
      <c r="F1936" s="76" t="str">
        <f aca="false">IF(D1936&lt;&gt;"",IFERROR(VLOOKUP(D1936,PROVEEDORES!$A:$C,3,0),""),"")</f>
        <v>N</v>
      </c>
      <c r="G1936" s="75" t="s">
        <v>93</v>
      </c>
      <c r="H1936" s="52" t="str">
        <f aca="false">IF(G1936&lt;&gt;"",IFERROR(VLOOKUP(G1936,PRODUCTOS!$A:$B,2,0),"!COD NO ENCONTRADO"),"")</f>
        <v>BOQUERON/ BOCARTE/ ANCHOA (ANE)</v>
      </c>
      <c r="I1936" s="77" t="n">
        <v>19</v>
      </c>
      <c r="J1936" s="78" t="n">
        <v>114</v>
      </c>
      <c r="K1936" s="79" t="n">
        <v>2.1</v>
      </c>
      <c r="L1936" s="80" t="n">
        <f aca="false">IF(AND(J1936&lt;&gt;"",K1936&lt;&gt;""),J1936*K1936,"")</f>
        <v>239.4</v>
      </c>
      <c r="M1936" s="81" t="n">
        <f aca="false">IF(L1936&lt;&gt;"",L1936*1.1,"")</f>
        <v>263.34</v>
      </c>
      <c r="N1936" s="53" t="n">
        <f aca="false">IF(F1936="S",L1936*0.02,0)</f>
        <v>0</v>
      </c>
      <c r="O1936" s="82" t="n">
        <f aca="false">IF(L1936&lt;&gt;"",L1936+N1936,"")</f>
        <v>239.4</v>
      </c>
      <c r="P1936" s="53" t="n">
        <f aca="false">IF(O1936&lt;&gt;"",O1936*0.1,"")</f>
        <v>23.94</v>
      </c>
      <c r="Q1936" s="83" t="n">
        <f aca="false">IF(O1936&lt;&gt;"",O1936+P1936,"")</f>
        <v>263.34</v>
      </c>
      <c r="R1936" s="84" t="s">
        <v>365</v>
      </c>
    </row>
    <row r="1937" customFormat="false" ht="15" hidden="false" customHeight="true" outlineLevel="0" collapsed="false">
      <c r="A1937" s="103" t="n">
        <v>56426</v>
      </c>
      <c r="B1937" s="85" t="n">
        <v>46269</v>
      </c>
      <c r="C1937" s="86" t="s">
        <v>829</v>
      </c>
      <c r="D1937" s="87" t="n">
        <v>50035</v>
      </c>
      <c r="E1937" s="46" t="str">
        <f aca="false">IF(D1937&lt;&gt;"",IFERROR(VLOOKUP(D1937,PROVEEDORES!$A:$B,2,0),"!COD NO ENCONTRADO"),"")</f>
        <v>SCANFISK SEAFFOD S,L</v>
      </c>
      <c r="F1937" s="88" t="str">
        <f aca="false">IF(D1937&lt;&gt;"",IFERROR(VLOOKUP(D1937,PROVEEDORES!$A:$C,3,0),""),"")</f>
        <v>N</v>
      </c>
      <c r="G1937" s="87" t="s">
        <v>246</v>
      </c>
      <c r="H1937" s="46" t="str">
        <f aca="false">IF(G1937&lt;&gt;"",IFERROR(VLOOKUP(G1937,PRODUCTOS!$A:$B,2,0),"!COD NO ENCONTRADO"),"")</f>
        <v>MERLUZA EUROPEA VOLANTA ALTURA</v>
      </c>
      <c r="I1937" s="89" t="n">
        <v>3</v>
      </c>
      <c r="J1937" s="90" t="n">
        <v>46.1</v>
      </c>
      <c r="K1937" s="91" t="n">
        <v>10.5</v>
      </c>
      <c r="L1937" s="80" t="n">
        <f aca="false">IF(AND(J1937&lt;&gt;"",K1937&lt;&gt;""),J1937*K1937,"")</f>
        <v>484.05</v>
      </c>
      <c r="M1937" s="81" t="n">
        <f aca="false">IF(L1937&lt;&gt;"",L1937*1.1,"")</f>
        <v>532.455</v>
      </c>
      <c r="N1937" s="47" t="n">
        <f aca="false">IF(F1937="S",L1937*0.02,0)</f>
        <v>0</v>
      </c>
      <c r="O1937" s="82" t="n">
        <f aca="false">IF(L1937&lt;&gt;"",L1937+N1937,"")</f>
        <v>484.05</v>
      </c>
      <c r="P1937" s="47" t="n">
        <f aca="false">IF(O1937&lt;&gt;"",O1937*0.1,"")</f>
        <v>48.405</v>
      </c>
      <c r="Q1937" s="83" t="n">
        <f aca="false">IF(O1937&lt;&gt;"",O1937+P1937,"")</f>
        <v>532.455</v>
      </c>
      <c r="R1937" s="84" t="s">
        <v>365</v>
      </c>
    </row>
    <row r="1938" customFormat="false" ht="15" hidden="false" customHeight="true" outlineLevel="0" collapsed="false">
      <c r="A1938" s="103" t="n">
        <v>56427</v>
      </c>
      <c r="B1938" s="73" t="n">
        <v>46270</v>
      </c>
      <c r="C1938" s="74" t="s">
        <v>830</v>
      </c>
      <c r="D1938" s="75" t="n">
        <v>50232</v>
      </c>
      <c r="E1938" s="52" t="str">
        <f aca="false">IF(D1938&lt;&gt;"",IFERROR(VLOOKUP(D1938,PROVEEDORES!$A:$B,2,0),"!COD NO ENCONTRADO"),"")</f>
        <v>XESTION NOVA LONXA RIVEIRA S.L.</v>
      </c>
      <c r="F1938" s="76" t="str">
        <f aca="false">IF(D1938&lt;&gt;"",IFERROR(VLOOKUP(D1938,PROVEEDORES!$A:$C,3,0),""),"")</f>
        <v>S</v>
      </c>
      <c r="G1938" s="75" t="s">
        <v>332</v>
      </c>
      <c r="H1938" s="52" t="str">
        <f aca="false">IF(G1938&lt;&gt;"",IFERROR(VLOOKUP(G1938,PRODUCTOS!$A:$B,2,0),"!COD NO ENCONTRADO"),"")</f>
        <v>VARIADO PEQUEÑO</v>
      </c>
      <c r="I1938" s="77" t="n">
        <v>2</v>
      </c>
      <c r="J1938" s="78" t="n">
        <v>6</v>
      </c>
      <c r="K1938" s="79" t="n">
        <v>0.5</v>
      </c>
      <c r="L1938" s="80" t="n">
        <f aca="false">IF(AND(J1938&lt;&gt;"",K1938&lt;&gt;""),J1938*K1938,"")</f>
        <v>3</v>
      </c>
      <c r="M1938" s="81" t="n">
        <f aca="false">IF(L1938&lt;&gt;"",L1938*1.1,"")</f>
        <v>3.3</v>
      </c>
      <c r="N1938" s="53" t="n">
        <f aca="false">IF(F1938="S",L1938*0.02,0)</f>
        <v>0.06</v>
      </c>
      <c r="O1938" s="82" t="n">
        <f aca="false">IF(L1938&lt;&gt;"",L1938+N1938,"")</f>
        <v>3.06</v>
      </c>
      <c r="P1938" s="53" t="n">
        <f aca="false">IF(O1938&lt;&gt;"",O1938*0.1,"")</f>
        <v>0.306</v>
      </c>
      <c r="Q1938" s="83" t="n">
        <f aca="false">IF(O1938&lt;&gt;"",O1938+P1938,"")</f>
        <v>3.366</v>
      </c>
      <c r="R1938" s="84" t="s">
        <v>358</v>
      </c>
    </row>
    <row r="1939" customFormat="false" ht="15" hidden="false" customHeight="true" outlineLevel="0" collapsed="false">
      <c r="A1939" s="103" t="n">
        <v>56427</v>
      </c>
      <c r="B1939" s="73" t="n">
        <v>46270</v>
      </c>
      <c r="C1939" s="74" t="s">
        <v>830</v>
      </c>
      <c r="D1939" s="75" t="n">
        <v>50232</v>
      </c>
      <c r="E1939" s="46" t="str">
        <f aca="false">IF(D1939&lt;&gt;"",IFERROR(VLOOKUP(D1939,PROVEEDORES!$A:$B,2,0),"!COD NO ENCONTRADO"),"")</f>
        <v>XESTION NOVA LONXA RIVEIRA S.L.</v>
      </c>
      <c r="F1939" s="88" t="str">
        <f aca="false">IF(D1939&lt;&gt;"",IFERROR(VLOOKUP(D1939,PROVEEDORES!$A:$C,3,0),""),"")</f>
        <v>S</v>
      </c>
      <c r="G1939" s="87" t="s">
        <v>332</v>
      </c>
      <c r="H1939" s="46" t="str">
        <f aca="false">IF(G1939&lt;&gt;"",IFERROR(VLOOKUP(G1939,PRODUCTOS!$A:$B,2,0),"!COD NO ENCONTRADO"),"")</f>
        <v>VARIADO PEQUEÑO</v>
      </c>
      <c r="I1939" s="89" t="n">
        <v>3</v>
      </c>
      <c r="J1939" s="90" t="n">
        <v>7.2</v>
      </c>
      <c r="K1939" s="91" t="n">
        <v>0.5</v>
      </c>
      <c r="L1939" s="80" t="n">
        <f aca="false">IF(AND(J1939&lt;&gt;"",K1939&lt;&gt;""),J1939*K1939,"")</f>
        <v>3.6</v>
      </c>
      <c r="M1939" s="81" t="n">
        <f aca="false">IF(L1939&lt;&gt;"",L1939*1.1,"")</f>
        <v>3.96</v>
      </c>
      <c r="N1939" s="47" t="n">
        <f aca="false">IF(F1939="S",L1939*0.02,0)</f>
        <v>0.072</v>
      </c>
      <c r="O1939" s="82" t="n">
        <f aca="false">IF(L1939&lt;&gt;"",L1939+N1939,"")</f>
        <v>3.672</v>
      </c>
      <c r="P1939" s="47" t="n">
        <f aca="false">IF(O1939&lt;&gt;"",O1939*0.1,"")</f>
        <v>0.3672</v>
      </c>
      <c r="Q1939" s="83" t="n">
        <f aca="false">IF(O1939&lt;&gt;"",O1939+P1939,"")</f>
        <v>4.0392</v>
      </c>
      <c r="R1939" s="84" t="s">
        <v>358</v>
      </c>
    </row>
    <row r="1940" customFormat="false" ht="15" hidden="false" customHeight="true" outlineLevel="0" collapsed="false">
      <c r="A1940" s="103" t="n">
        <v>56427</v>
      </c>
      <c r="B1940" s="73" t="n">
        <v>46270</v>
      </c>
      <c r="C1940" s="74" t="s">
        <v>830</v>
      </c>
      <c r="D1940" s="75" t="n">
        <v>50232</v>
      </c>
      <c r="E1940" s="52" t="str">
        <f aca="false">IF(D1940&lt;&gt;"",IFERROR(VLOOKUP(D1940,PROVEEDORES!$A:$B,2,0),"!COD NO ENCONTRADO"),"")</f>
        <v>XESTION NOVA LONXA RIVEIRA S.L.</v>
      </c>
      <c r="F1940" s="76" t="str">
        <f aca="false">IF(D1940&lt;&gt;"",IFERROR(VLOOKUP(D1940,PROVEEDORES!$A:$C,3,0),""),"")</f>
        <v>S</v>
      </c>
      <c r="G1940" s="75" t="s">
        <v>332</v>
      </c>
      <c r="H1940" s="52" t="str">
        <f aca="false">IF(G1940&lt;&gt;"",IFERROR(VLOOKUP(G1940,PRODUCTOS!$A:$B,2,0),"!COD NO ENCONTRADO"),"")</f>
        <v>VARIADO PEQUEÑO</v>
      </c>
      <c r="I1940" s="77" t="n">
        <v>1</v>
      </c>
      <c r="J1940" s="78" t="n">
        <v>1.2</v>
      </c>
      <c r="K1940" s="79" t="n">
        <v>0.5</v>
      </c>
      <c r="L1940" s="80" t="n">
        <f aca="false">IF(AND(J1940&lt;&gt;"",K1940&lt;&gt;""),J1940*K1940,"")</f>
        <v>0.6</v>
      </c>
      <c r="M1940" s="81" t="n">
        <f aca="false">IF(L1940&lt;&gt;"",L1940*1.1,"")</f>
        <v>0.66</v>
      </c>
      <c r="N1940" s="53" t="n">
        <f aca="false">IF(F1940="S",L1940*0.02,0)</f>
        <v>0.012</v>
      </c>
      <c r="O1940" s="82" t="n">
        <f aca="false">IF(L1940&lt;&gt;"",L1940+N1940,"")</f>
        <v>0.612</v>
      </c>
      <c r="P1940" s="53" t="n">
        <f aca="false">IF(O1940&lt;&gt;"",O1940*0.1,"")</f>
        <v>0.0612</v>
      </c>
      <c r="Q1940" s="83" t="n">
        <f aca="false">IF(O1940&lt;&gt;"",O1940+P1940,"")</f>
        <v>0.6732</v>
      </c>
      <c r="R1940" s="84" t="s">
        <v>358</v>
      </c>
    </row>
    <row r="1941" customFormat="false" ht="15" hidden="false" customHeight="true" outlineLevel="0" collapsed="false">
      <c r="A1941" s="103" t="n">
        <v>56427</v>
      </c>
      <c r="B1941" s="73" t="n">
        <v>46270</v>
      </c>
      <c r="C1941" s="74" t="s">
        <v>830</v>
      </c>
      <c r="D1941" s="75" t="n">
        <v>50232</v>
      </c>
      <c r="E1941" s="46" t="str">
        <f aca="false">IF(D1941&lt;&gt;"",IFERROR(VLOOKUP(D1941,PROVEEDORES!$A:$B,2,0),"!COD NO ENCONTRADO"),"")</f>
        <v>XESTION NOVA LONXA RIVEIRA S.L.</v>
      </c>
      <c r="F1941" s="88" t="str">
        <f aca="false">IF(D1941&lt;&gt;"",IFERROR(VLOOKUP(D1941,PROVEEDORES!$A:$C,3,0),""),"")</f>
        <v>S</v>
      </c>
      <c r="G1941" s="87" t="s">
        <v>332</v>
      </c>
      <c r="H1941" s="46" t="str">
        <f aca="false">IF(G1941&lt;&gt;"",IFERROR(VLOOKUP(G1941,PRODUCTOS!$A:$B,2,0),"!COD NO ENCONTRADO"),"")</f>
        <v>VARIADO PEQUEÑO</v>
      </c>
      <c r="I1941" s="89" t="n">
        <v>1</v>
      </c>
      <c r="J1941" s="90" t="n">
        <v>0.3</v>
      </c>
      <c r="K1941" s="91" t="n">
        <v>0.5</v>
      </c>
      <c r="L1941" s="80" t="n">
        <f aca="false">IF(AND(J1941&lt;&gt;"",K1941&lt;&gt;""),J1941*K1941,"")</f>
        <v>0.15</v>
      </c>
      <c r="M1941" s="81" t="n">
        <f aca="false">IF(L1941&lt;&gt;"",L1941*1.1,"")</f>
        <v>0.165</v>
      </c>
      <c r="N1941" s="47" t="n">
        <f aca="false">IF(F1941="S",L1941*0.02,0)</f>
        <v>0.003</v>
      </c>
      <c r="O1941" s="82" t="n">
        <f aca="false">IF(L1941&lt;&gt;"",L1941+N1941,"")</f>
        <v>0.153</v>
      </c>
      <c r="P1941" s="47" t="n">
        <f aca="false">IF(O1941&lt;&gt;"",O1941*0.1,"")</f>
        <v>0.0153</v>
      </c>
      <c r="Q1941" s="83" t="n">
        <f aca="false">IF(O1941&lt;&gt;"",O1941+P1941,"")</f>
        <v>0.1683</v>
      </c>
      <c r="R1941" s="84" t="s">
        <v>358</v>
      </c>
    </row>
    <row r="1942" customFormat="false" ht="15" hidden="false" customHeight="true" outlineLevel="0" collapsed="false">
      <c r="A1942" s="103" t="n">
        <v>56427</v>
      </c>
      <c r="B1942" s="73" t="n">
        <v>46270</v>
      </c>
      <c r="C1942" s="74" t="s">
        <v>830</v>
      </c>
      <c r="D1942" s="75" t="n">
        <v>50232</v>
      </c>
      <c r="E1942" s="52" t="str">
        <f aca="false">IF(D1942&lt;&gt;"",IFERROR(VLOOKUP(D1942,PROVEEDORES!$A:$B,2,0),"!COD NO ENCONTRADO"),"")</f>
        <v>XESTION NOVA LONXA RIVEIRA S.L.</v>
      </c>
      <c r="F1942" s="76" t="str">
        <f aca="false">IF(D1942&lt;&gt;"",IFERROR(VLOOKUP(D1942,PROVEEDORES!$A:$C,3,0),""),"")</f>
        <v>S</v>
      </c>
      <c r="G1942" s="75" t="s">
        <v>332</v>
      </c>
      <c r="H1942" s="52" t="str">
        <f aca="false">IF(G1942&lt;&gt;"",IFERROR(VLOOKUP(G1942,PRODUCTOS!$A:$B,2,0),"!COD NO ENCONTRADO"),"")</f>
        <v>VARIADO PEQUEÑO</v>
      </c>
      <c r="I1942" s="77" t="n">
        <v>6</v>
      </c>
      <c r="J1942" s="78" t="n">
        <v>31.6</v>
      </c>
      <c r="K1942" s="79" t="n">
        <v>0.5</v>
      </c>
      <c r="L1942" s="80" t="n">
        <f aca="false">IF(AND(J1942&lt;&gt;"",K1942&lt;&gt;""),J1942*K1942,"")</f>
        <v>15.8</v>
      </c>
      <c r="M1942" s="81" t="n">
        <f aca="false">IF(L1942&lt;&gt;"",L1942*1.1,"")</f>
        <v>17.38</v>
      </c>
      <c r="N1942" s="53" t="n">
        <f aca="false">IF(F1942="S",L1942*0.02,0)</f>
        <v>0.316</v>
      </c>
      <c r="O1942" s="82" t="n">
        <f aca="false">IF(L1942&lt;&gt;"",L1942+N1942,"")</f>
        <v>16.116</v>
      </c>
      <c r="P1942" s="53" t="n">
        <f aca="false">IF(O1942&lt;&gt;"",O1942*0.1,"")</f>
        <v>1.6116</v>
      </c>
      <c r="Q1942" s="83" t="n">
        <f aca="false">IF(O1942&lt;&gt;"",O1942+P1942,"")</f>
        <v>17.7276</v>
      </c>
      <c r="R1942" s="84" t="s">
        <v>358</v>
      </c>
    </row>
    <row r="1943" customFormat="false" ht="15" hidden="false" customHeight="true" outlineLevel="0" collapsed="false">
      <c r="A1943" s="103" t="n">
        <v>56427</v>
      </c>
      <c r="B1943" s="73" t="n">
        <v>46270</v>
      </c>
      <c r="C1943" s="74" t="s">
        <v>830</v>
      </c>
      <c r="D1943" s="75" t="n">
        <v>50232</v>
      </c>
      <c r="E1943" s="46" t="str">
        <f aca="false">IF(D1943&lt;&gt;"",IFERROR(VLOOKUP(D1943,PROVEEDORES!$A:$B,2,0),"!COD NO ENCONTRADO"),"")</f>
        <v>XESTION NOVA LONXA RIVEIRA S.L.</v>
      </c>
      <c r="F1943" s="88" t="str">
        <f aca="false">IF(D1943&lt;&gt;"",IFERROR(VLOOKUP(D1943,PROVEEDORES!$A:$C,3,0),""),"")</f>
        <v>S</v>
      </c>
      <c r="G1943" s="87" t="s">
        <v>332</v>
      </c>
      <c r="H1943" s="46" t="str">
        <f aca="false">IF(G1943&lt;&gt;"",IFERROR(VLOOKUP(G1943,PRODUCTOS!$A:$B,2,0),"!COD NO ENCONTRADO"),"")</f>
        <v>VARIADO PEQUEÑO</v>
      </c>
      <c r="I1943" s="89" t="n">
        <v>6</v>
      </c>
      <c r="J1943" s="90" t="n">
        <v>7.8</v>
      </c>
      <c r="K1943" s="91" t="n">
        <v>0.5</v>
      </c>
      <c r="L1943" s="80" t="n">
        <f aca="false">IF(AND(J1943&lt;&gt;"",K1943&lt;&gt;""),J1943*K1943,"")</f>
        <v>3.9</v>
      </c>
      <c r="M1943" s="81" t="n">
        <f aca="false">IF(L1943&lt;&gt;"",L1943*1.1,"")</f>
        <v>4.29</v>
      </c>
      <c r="N1943" s="47" t="n">
        <f aca="false">IF(F1943="S",L1943*0.02,0)</f>
        <v>0.078</v>
      </c>
      <c r="O1943" s="82" t="n">
        <f aca="false">IF(L1943&lt;&gt;"",L1943+N1943,"")</f>
        <v>3.978</v>
      </c>
      <c r="P1943" s="47" t="n">
        <f aca="false">IF(O1943&lt;&gt;"",O1943*0.1,"")</f>
        <v>0.3978</v>
      </c>
      <c r="Q1943" s="83" t="n">
        <f aca="false">IF(O1943&lt;&gt;"",O1943+P1943,"")</f>
        <v>4.3758</v>
      </c>
      <c r="R1943" s="84" t="s">
        <v>358</v>
      </c>
    </row>
    <row r="1944" customFormat="false" ht="15" hidden="false" customHeight="true" outlineLevel="0" collapsed="false">
      <c r="A1944" s="103" t="n">
        <v>56427</v>
      </c>
      <c r="B1944" s="73" t="n">
        <v>46270</v>
      </c>
      <c r="C1944" s="74" t="s">
        <v>830</v>
      </c>
      <c r="D1944" s="75" t="n">
        <v>50232</v>
      </c>
      <c r="E1944" s="52" t="str">
        <f aca="false">IF(D1944&lt;&gt;"",IFERROR(VLOOKUP(D1944,PROVEEDORES!$A:$B,2,0),"!COD NO ENCONTRADO"),"")</f>
        <v>XESTION NOVA LONXA RIVEIRA S.L.</v>
      </c>
      <c r="F1944" s="76" t="str">
        <f aca="false">IF(D1944&lt;&gt;"",IFERROR(VLOOKUP(D1944,PROVEEDORES!$A:$C,3,0),""),"")</f>
        <v>S</v>
      </c>
      <c r="G1944" s="75" t="s">
        <v>332</v>
      </c>
      <c r="H1944" s="52" t="str">
        <f aca="false">IF(G1944&lt;&gt;"",IFERROR(VLOOKUP(G1944,PRODUCTOS!$A:$B,2,0),"!COD NO ENCONTRADO"),"")</f>
        <v>VARIADO PEQUEÑO</v>
      </c>
      <c r="I1944" s="77" t="n">
        <v>1</v>
      </c>
      <c r="J1944" s="78" t="n">
        <v>0.2</v>
      </c>
      <c r="K1944" s="125" t="n">
        <v>0.5</v>
      </c>
      <c r="L1944" s="80" t="n">
        <f aca="false">IF(AND(J1944&lt;&gt;"",K1944&lt;&gt;""),J1944*K1944,"")</f>
        <v>0.1</v>
      </c>
      <c r="M1944" s="81" t="n">
        <f aca="false">IF(L1944&lt;&gt;"",L1944*1.1,"")</f>
        <v>0.11</v>
      </c>
      <c r="N1944" s="53" t="n">
        <f aca="false">IF(F1944="S",L1944*0.02,0)</f>
        <v>0.002</v>
      </c>
      <c r="O1944" s="82" t="n">
        <f aca="false">IF(L1944&lt;&gt;"",L1944+N1944,"")</f>
        <v>0.102</v>
      </c>
      <c r="P1944" s="53" t="n">
        <f aca="false">IF(O1944&lt;&gt;"",O1944*0.1,"")</f>
        <v>0.0102</v>
      </c>
      <c r="Q1944" s="83" t="n">
        <f aca="false">IF(O1944&lt;&gt;"",O1944+P1944,"")</f>
        <v>0.1122</v>
      </c>
      <c r="R1944" s="84" t="s">
        <v>358</v>
      </c>
    </row>
    <row r="1945" customFormat="false" ht="15" hidden="false" customHeight="true" outlineLevel="0" collapsed="false">
      <c r="A1945" s="103" t="n">
        <v>56427</v>
      </c>
      <c r="B1945" s="73" t="n">
        <v>46270</v>
      </c>
      <c r="C1945" s="74" t="s">
        <v>830</v>
      </c>
      <c r="D1945" s="75" t="n">
        <v>50232</v>
      </c>
      <c r="E1945" s="52" t="str">
        <f aca="false">IF(D1945&lt;&gt;"",IFERROR(VLOOKUP(D1945,PROVEEDORES!$A:$B,2,0),"!COD NO ENCONTRADO"),"")</f>
        <v>XESTION NOVA LONXA RIVEIRA S.L.</v>
      </c>
      <c r="F1945" s="76" t="str">
        <f aca="false">IF(D1945&lt;&gt;"",IFERROR(VLOOKUP(D1945,PROVEEDORES!$A:$C,3,0),""),"")</f>
        <v>S</v>
      </c>
      <c r="G1945" s="75" t="s">
        <v>179</v>
      </c>
      <c r="H1945" s="46" t="str">
        <f aca="false">IF(G1945&lt;&gt;"",IFERROR(VLOOKUP(G1945,PRODUCTOS!$A:$B,2,0),"!COD NO ENCONTRADO"),"")</f>
        <v>LIRIO/ BACALADILLA/ PERLA (WHB)</v>
      </c>
      <c r="I1945" s="89" t="n">
        <v>10</v>
      </c>
      <c r="J1945" s="90" t="n">
        <v>125</v>
      </c>
      <c r="K1945" s="141" t="n">
        <v>2.2</v>
      </c>
      <c r="L1945" s="80" t="n">
        <f aca="false">IF(AND(J1945&lt;&gt;"",K1945&lt;&gt;""),J1945*K1945,"")</f>
        <v>275</v>
      </c>
      <c r="M1945" s="81" t="n">
        <f aca="false">IF(L1945&lt;&gt;"",L1945*1.1,"")</f>
        <v>302.5</v>
      </c>
      <c r="N1945" s="47" t="n">
        <f aca="false">IF(F1945="S",L1945*0.02,0)</f>
        <v>5.5</v>
      </c>
      <c r="O1945" s="82" t="n">
        <f aca="false">IF(L1945&lt;&gt;"",L1945+N1945,"")</f>
        <v>280.5</v>
      </c>
      <c r="P1945" s="47" t="n">
        <f aca="false">IF(O1945&lt;&gt;"",O1945*0.1,"")</f>
        <v>28.05</v>
      </c>
      <c r="Q1945" s="83" t="n">
        <f aca="false">IF(O1945&lt;&gt;"",O1945+P1945,"")</f>
        <v>308.55</v>
      </c>
      <c r="R1945" s="84" t="s">
        <v>358</v>
      </c>
    </row>
    <row r="1946" customFormat="false" ht="15" hidden="false" customHeight="true" outlineLevel="0" collapsed="false">
      <c r="A1946" s="103" t="n">
        <v>56427</v>
      </c>
      <c r="B1946" s="85" t="n">
        <v>46270</v>
      </c>
      <c r="C1946" s="86" t="s">
        <v>830</v>
      </c>
      <c r="D1946" s="87" t="n">
        <v>50232</v>
      </c>
      <c r="E1946" s="46" t="str">
        <f aca="false">IF(D1946&lt;&gt;"",IFERROR(VLOOKUP(D1946,PROVEEDORES!$A:$B,2,0),"!COD NO ENCONTRADO"),"")</f>
        <v>XESTION NOVA LONXA RIVEIRA S.L.</v>
      </c>
      <c r="F1946" s="88" t="str">
        <f aca="false">IF(D1946&lt;&gt;"",IFERROR(VLOOKUP(D1946,PROVEEDORES!$A:$C,3,0),""),"")</f>
        <v>S</v>
      </c>
      <c r="G1946" s="87" t="s">
        <v>179</v>
      </c>
      <c r="H1946" s="46" t="str">
        <f aca="false">IF(G1946&lt;&gt;"",IFERROR(VLOOKUP(G1946,PRODUCTOS!$A:$B,2,0),"!COD NO ENCONTRADO"),"")</f>
        <v>LIRIO/ BACALADILLA/ PERLA (WHB)</v>
      </c>
      <c r="I1946" s="89" t="n">
        <v>15</v>
      </c>
      <c r="J1946" s="121" t="n">
        <v>213.3</v>
      </c>
      <c r="K1946" s="141" t="n">
        <v>2.2</v>
      </c>
      <c r="L1946" s="80" t="n">
        <f aca="false">IF(AND(J1946&lt;&gt;"",K1946&lt;&gt;""),J1946*K1946,"")</f>
        <v>469.26</v>
      </c>
      <c r="M1946" s="81" t="n">
        <f aca="false">IF(L1946&lt;&gt;"",L1946*1.1,"")</f>
        <v>516.186</v>
      </c>
      <c r="N1946" s="47" t="n">
        <f aca="false">IF(F1946="S",L1946*0.02,0)</f>
        <v>9.3852</v>
      </c>
      <c r="O1946" s="82" t="n">
        <f aca="false">IF(L1946&lt;&gt;"",L1946+N1946,"")</f>
        <v>478.6452</v>
      </c>
      <c r="P1946" s="47" t="n">
        <f aca="false">IF(O1946&lt;&gt;"",O1946*0.1,"")</f>
        <v>47.86452</v>
      </c>
      <c r="Q1946" s="83" t="n">
        <f aca="false">IF(O1946&lt;&gt;"",O1946+P1946,"")</f>
        <v>526.50972</v>
      </c>
      <c r="R1946" s="84" t="s">
        <v>358</v>
      </c>
    </row>
    <row r="1947" customFormat="false" ht="15" hidden="false" customHeight="true" outlineLevel="0" collapsed="false">
      <c r="A1947" s="103" t="n">
        <v>56428</v>
      </c>
      <c r="B1947" s="73" t="n">
        <v>46270</v>
      </c>
      <c r="C1947" s="74" t="s">
        <v>831</v>
      </c>
      <c r="D1947" s="75" t="n">
        <v>50001</v>
      </c>
      <c r="E1947" s="52" t="str">
        <f aca="false">IF(D1947&lt;&gt;"",IFERROR(VLOOKUP(D1947,PROVEEDORES!$A:$B,2,0),"!COD NO ENCONTRADO"),"")</f>
        <v>COPESA</v>
      </c>
      <c r="F1947" s="76" t="str">
        <f aca="false">IF(D1947&lt;&gt;"",IFERROR(VLOOKUP(D1947,PROVEEDORES!$A:$C,3,0),""),"")</f>
        <v>S</v>
      </c>
      <c r="G1947" s="75" t="s">
        <v>133</v>
      </c>
      <c r="H1947" s="52" t="str">
        <f aca="false">IF(G1947&lt;&gt;"",IFERROR(VLOOKUP(G1947,PRODUCTOS!$A:$B,2,0),"!COD NO ENCONTRADO"),"")</f>
        <v>CINTAS/ PEZ CINTA (CBC)</v>
      </c>
      <c r="I1947" s="77" t="n">
        <v>7</v>
      </c>
      <c r="J1947" s="78" t="n">
        <v>48.25</v>
      </c>
      <c r="K1947" s="79" t="n">
        <v>2.5</v>
      </c>
      <c r="L1947" s="80" t="n">
        <f aca="false">IF(AND(J1947&lt;&gt;"",K1947&lt;&gt;""),J1947*K1947,"")</f>
        <v>120.625</v>
      </c>
      <c r="M1947" s="81" t="n">
        <f aca="false">IF(L1947&lt;&gt;"",L1947*1.1,"")</f>
        <v>132.6875</v>
      </c>
      <c r="N1947" s="53" t="n">
        <f aca="false">IF(F1947="S",L1947*0.02,0)</f>
        <v>2.4125</v>
      </c>
      <c r="O1947" s="82" t="n">
        <f aca="false">IF(L1947&lt;&gt;"",L1947+N1947,"")</f>
        <v>123.0375</v>
      </c>
      <c r="P1947" s="53" t="n">
        <f aca="false">IF(O1947&lt;&gt;"",O1947*0.1,"")</f>
        <v>12.30375</v>
      </c>
      <c r="Q1947" s="83" t="n">
        <f aca="false">IF(O1947&lt;&gt;"",O1947+P1947,"")</f>
        <v>135.34125</v>
      </c>
      <c r="R1947" s="84" t="s">
        <v>365</v>
      </c>
    </row>
    <row r="1948" customFormat="false" ht="15" hidden="false" customHeight="true" outlineLevel="0" collapsed="false">
      <c r="A1948" s="103" t="n">
        <v>56428</v>
      </c>
      <c r="B1948" s="73" t="n">
        <v>46270</v>
      </c>
      <c r="C1948" s="86" t="s">
        <v>831</v>
      </c>
      <c r="D1948" s="87" t="n">
        <v>50001</v>
      </c>
      <c r="E1948" s="46" t="str">
        <f aca="false">IF(D1948&lt;&gt;"",IFERROR(VLOOKUP(D1948,PROVEEDORES!$A:$B,2,0),"!COD NO ENCONTRADO"),"")</f>
        <v>COPESA</v>
      </c>
      <c r="F1948" s="88" t="str">
        <f aca="false">IF(D1948&lt;&gt;"",IFERROR(VLOOKUP(D1948,PROVEEDORES!$A:$C,3,0),""),"")</f>
        <v>S</v>
      </c>
      <c r="G1948" s="87" t="s">
        <v>276</v>
      </c>
      <c r="H1948" s="46" t="str">
        <f aca="false">IF(G1948&lt;&gt;"",IFERROR(VLOOKUP(G1948,PRODUCTOS!$A:$B,2,0),"!COD NO ENCONTRADO"),"")</f>
        <v>MERLUZA EUROPEA/ FINA DIA </v>
      </c>
      <c r="I1948" s="89" t="n">
        <v>4</v>
      </c>
      <c r="J1948" s="90" t="n">
        <v>22.75</v>
      </c>
      <c r="K1948" s="91" t="n">
        <v>3.2</v>
      </c>
      <c r="L1948" s="80" t="n">
        <f aca="false">IF(AND(J1948&lt;&gt;"",K1948&lt;&gt;""),J1948*K1948,"")</f>
        <v>72.8</v>
      </c>
      <c r="M1948" s="81" t="n">
        <f aca="false">IF(L1948&lt;&gt;"",L1948*1.1,"")</f>
        <v>80.08</v>
      </c>
      <c r="N1948" s="47" t="n">
        <f aca="false">IF(F1948="S",L1948*0.02,0)</f>
        <v>1.456</v>
      </c>
      <c r="O1948" s="82" t="n">
        <f aca="false">IF(L1948&lt;&gt;"",L1948+N1948,"")</f>
        <v>74.256</v>
      </c>
      <c r="P1948" s="47" t="n">
        <f aca="false">IF(O1948&lt;&gt;"",O1948*0.1,"")</f>
        <v>7.4256</v>
      </c>
      <c r="Q1948" s="83" t="n">
        <f aca="false">IF(O1948&lt;&gt;"",O1948+P1948,"")</f>
        <v>81.6816</v>
      </c>
      <c r="R1948" s="84" t="s">
        <v>358</v>
      </c>
    </row>
    <row r="1949" customFormat="false" ht="15" hidden="false" customHeight="true" outlineLevel="0" collapsed="false">
      <c r="A1949" s="103" t="n">
        <v>56428</v>
      </c>
      <c r="B1949" s="73" t="n">
        <v>46270</v>
      </c>
      <c r="C1949" s="74" t="s">
        <v>831</v>
      </c>
      <c r="D1949" s="75" t="n">
        <v>50001</v>
      </c>
      <c r="E1949" s="52" t="str">
        <f aca="false">IF(D1949&lt;&gt;"",IFERROR(VLOOKUP(D1949,PROVEEDORES!$A:$B,2,0),"!COD NO ENCONTRADO"),"")</f>
        <v>COPESA</v>
      </c>
      <c r="F1949" s="76" t="str">
        <f aca="false">IF(D1949&lt;&gt;"",IFERROR(VLOOKUP(D1949,PROVEEDORES!$A:$C,3,0),""),"")</f>
        <v>S</v>
      </c>
      <c r="G1949" s="75" t="s">
        <v>151</v>
      </c>
      <c r="H1949" s="52" t="str">
        <f aca="false">IF(G1949&lt;&gt;"",IFERROR(VLOOKUP(G1949,PRODUCTOS!$A:$B,2,0),"!COD NO ENCONTRADO"),"")</f>
        <v>ESCACHO/ ARETE/ RUBIO (GUR)</v>
      </c>
      <c r="I1949" s="77" t="n">
        <v>2</v>
      </c>
      <c r="J1949" s="78" t="n">
        <v>12</v>
      </c>
      <c r="K1949" s="79" t="n">
        <v>1.5</v>
      </c>
      <c r="L1949" s="80" t="n">
        <f aca="false">IF(AND(J1949&lt;&gt;"",K1949&lt;&gt;""),J1949*K1949,"")</f>
        <v>18</v>
      </c>
      <c r="M1949" s="81" t="n">
        <f aca="false">IF(L1949&lt;&gt;"",L1949*1.1,"")</f>
        <v>19.8</v>
      </c>
      <c r="N1949" s="53" t="n">
        <f aca="false">IF(F1949="S",L1949*0.02,0)</f>
        <v>0.36</v>
      </c>
      <c r="O1949" s="82" t="n">
        <f aca="false">IF(L1949&lt;&gt;"",L1949+N1949,"")</f>
        <v>18.36</v>
      </c>
      <c r="P1949" s="53" t="n">
        <f aca="false">IF(O1949&lt;&gt;"",O1949*0.1,"")</f>
        <v>1.836</v>
      </c>
      <c r="Q1949" s="83" t="n">
        <f aca="false">IF(O1949&lt;&gt;"",O1949+P1949,"")</f>
        <v>20.196</v>
      </c>
      <c r="R1949" s="84" t="s">
        <v>358</v>
      </c>
    </row>
    <row r="1950" customFormat="false" ht="15" hidden="false" customHeight="true" outlineLevel="0" collapsed="false">
      <c r="A1950" s="103" t="n">
        <v>56429</v>
      </c>
      <c r="B1950" s="73" t="n">
        <v>46270</v>
      </c>
      <c r="C1950" s="86" t="s">
        <v>832</v>
      </c>
      <c r="D1950" s="87" t="n">
        <v>50106</v>
      </c>
      <c r="E1950" s="46" t="str">
        <f aca="false">IF(D1950&lt;&gt;"",IFERROR(VLOOKUP(D1950,PROVEEDORES!$A:$B,2,0),"!COD NO ENCONTRADO"),"")</f>
        <v>SONIA VENTAS S.L</v>
      </c>
      <c r="F1950" s="88" t="str">
        <f aca="false">IF(D1950&lt;&gt;"",IFERROR(VLOOKUP(D1950,PROVEEDORES!$A:$C,3,0),""),"")</f>
        <v>S</v>
      </c>
      <c r="G1950" s="87" t="s">
        <v>103</v>
      </c>
      <c r="H1950" s="46" t="str">
        <f aca="false">IF(G1950&lt;&gt;"",IFERROR(VLOOKUP(G1950,PRODUCTOS!$A:$B,2,0),"!COD NO ENCONTRADO"),"")</f>
        <v>CABRAS/ GALLINETA (BRF)</v>
      </c>
      <c r="I1950" s="89" t="n">
        <v>3</v>
      </c>
      <c r="J1950" s="90" t="n">
        <v>30.6</v>
      </c>
      <c r="K1950" s="91" t="n">
        <v>11</v>
      </c>
      <c r="L1950" s="80" t="n">
        <f aca="false">IF(AND(J1950&lt;&gt;"",K1950&lt;&gt;""),J1950*K1950,"")</f>
        <v>336.6</v>
      </c>
      <c r="M1950" s="81" t="n">
        <f aca="false">IF(L1950&lt;&gt;"",L1950*1.1,"")</f>
        <v>370.26</v>
      </c>
      <c r="N1950" s="47" t="n">
        <f aca="false">IF(F1950="S",L1950*0.02,0)</f>
        <v>6.732</v>
      </c>
      <c r="O1950" s="82" t="n">
        <f aca="false">IF(L1950&lt;&gt;"",L1950+N1950,"")</f>
        <v>343.332</v>
      </c>
      <c r="P1950" s="47" t="n">
        <f aca="false">IF(O1950&lt;&gt;"",O1950*0.1,"")</f>
        <v>34.3332</v>
      </c>
      <c r="Q1950" s="83" t="n">
        <f aca="false">IF(O1950&lt;&gt;"",O1950+P1950,"")</f>
        <v>377.6652</v>
      </c>
      <c r="R1950" s="84" t="s">
        <v>358</v>
      </c>
    </row>
    <row r="1951" customFormat="false" ht="15" hidden="false" customHeight="true" outlineLevel="0" collapsed="false">
      <c r="A1951" s="103" t="n">
        <v>56429</v>
      </c>
      <c r="B1951" s="73" t="n">
        <v>46270</v>
      </c>
      <c r="C1951" s="86" t="s">
        <v>832</v>
      </c>
      <c r="D1951" s="87" t="n">
        <v>50106</v>
      </c>
      <c r="E1951" s="46" t="str">
        <f aca="false">IF(D1951&lt;&gt;"",IFERROR(VLOOKUP(D1951,PROVEEDORES!$A:$B,2,0),"!COD NO ENCONTRADO"),"")</f>
        <v>SONIA VENTAS S.L</v>
      </c>
      <c r="F1951" s="88" t="str">
        <f aca="false">IF(D1951&lt;&gt;"",IFERROR(VLOOKUP(D1951,PROVEEDORES!$A:$C,3,0),""),"")</f>
        <v>S</v>
      </c>
      <c r="G1951" s="87" t="s">
        <v>103</v>
      </c>
      <c r="H1951" s="52" t="str">
        <f aca="false">IF(G1951&lt;&gt;"",IFERROR(VLOOKUP(G1951,PRODUCTOS!$A:$B,2,0),"!COD NO ENCONTRADO"),"")</f>
        <v>CABRAS/ GALLINETA (BRF)</v>
      </c>
      <c r="I1951" s="77" t="n">
        <v>1</v>
      </c>
      <c r="J1951" s="78" t="n">
        <v>9.3</v>
      </c>
      <c r="K1951" s="79" t="n">
        <v>7.9</v>
      </c>
      <c r="L1951" s="80" t="n">
        <f aca="false">IF(AND(J1951&lt;&gt;"",K1951&lt;&gt;""),J1951*K1951,"")</f>
        <v>73.47</v>
      </c>
      <c r="M1951" s="81" t="n">
        <f aca="false">IF(L1951&lt;&gt;"",L1951*1.1,"")</f>
        <v>80.817</v>
      </c>
      <c r="N1951" s="53" t="n">
        <f aca="false">IF(F1951="S",L1951*0.02,0)</f>
        <v>1.4694</v>
      </c>
      <c r="O1951" s="82" t="n">
        <f aca="false">IF(L1951&lt;&gt;"",L1951+N1951,"")</f>
        <v>74.9394</v>
      </c>
      <c r="P1951" s="53" t="n">
        <f aca="false">IF(O1951&lt;&gt;"",O1951*0.1,"")</f>
        <v>7.49394</v>
      </c>
      <c r="Q1951" s="83" t="n">
        <f aca="false">IF(O1951&lt;&gt;"",O1951+P1951,"")</f>
        <v>82.43334</v>
      </c>
      <c r="R1951" s="84" t="s">
        <v>358</v>
      </c>
    </row>
    <row r="1952" customFormat="false" ht="15" hidden="false" customHeight="true" outlineLevel="0" collapsed="false">
      <c r="A1952" s="103" t="n">
        <v>56429</v>
      </c>
      <c r="B1952" s="73" t="n">
        <v>46270</v>
      </c>
      <c r="C1952" s="86" t="s">
        <v>832</v>
      </c>
      <c r="D1952" s="87" t="n">
        <v>50106</v>
      </c>
      <c r="E1952" s="46" t="str">
        <f aca="false">IF(D1952&lt;&gt;"",IFERROR(VLOOKUP(D1952,PROVEEDORES!$A:$B,2,0),"!COD NO ENCONTRADO"),"")</f>
        <v>SONIA VENTAS S.L</v>
      </c>
      <c r="F1952" s="88" t="str">
        <f aca="false">IF(D1952&lt;&gt;"",IFERROR(VLOOKUP(D1952,PROVEEDORES!$A:$C,3,0),""),"")</f>
        <v>S</v>
      </c>
      <c r="G1952" s="87" t="s">
        <v>221</v>
      </c>
      <c r="H1952" s="46" t="str">
        <f aca="false">IF(G1952&lt;&gt;"",IFERROR(VLOOKUP(G1952,PRODUCTOS!$A:$B,2,0),"!COD NO ENCONTRADO"),"")</f>
        <v>MERLUZA EUROPEA PINCHO COSTA 800</v>
      </c>
      <c r="I1952" s="89" t="n">
        <v>1</v>
      </c>
      <c r="J1952" s="90" t="n">
        <v>12.25</v>
      </c>
      <c r="K1952" s="91" t="n">
        <v>6.3</v>
      </c>
      <c r="L1952" s="80" t="n">
        <f aca="false">IF(AND(J1952&lt;&gt;"",K1952&lt;&gt;""),J1952*K1952,"")</f>
        <v>77.175</v>
      </c>
      <c r="M1952" s="81" t="n">
        <f aca="false">IF(L1952&lt;&gt;"",L1952*1.1,"")</f>
        <v>84.8925</v>
      </c>
      <c r="N1952" s="47" t="n">
        <f aca="false">IF(F1952="S",L1952*0.02,0)</f>
        <v>1.5435</v>
      </c>
      <c r="O1952" s="82" t="n">
        <f aca="false">IF(L1952&lt;&gt;"",L1952+N1952,"")</f>
        <v>78.7185</v>
      </c>
      <c r="P1952" s="47" t="n">
        <f aca="false">IF(O1952&lt;&gt;"",O1952*0.1,"")</f>
        <v>7.87185</v>
      </c>
      <c r="Q1952" s="83" t="n">
        <f aca="false">IF(O1952&lt;&gt;"",O1952+P1952,"")</f>
        <v>86.59035</v>
      </c>
      <c r="R1952" s="84" t="s">
        <v>365</v>
      </c>
    </row>
    <row r="1953" customFormat="false" ht="15" hidden="false" customHeight="true" outlineLevel="0" collapsed="false">
      <c r="A1953" s="103" t="n">
        <v>56430</v>
      </c>
      <c r="B1953" s="73" t="n">
        <v>46270</v>
      </c>
      <c r="C1953" s="74" t="s">
        <v>833</v>
      </c>
      <c r="D1953" s="75" t="n">
        <v>50160</v>
      </c>
      <c r="E1953" s="52" t="str">
        <f aca="false">IF(D1953&lt;&gt;"",IFERROR(VLOOKUP(D1953,PROVEEDORES!$A:$B,2,0),"!COD NO ENCONTRADO"),"")</f>
        <v>SUBASTAS CORUÑA S.L.</v>
      </c>
      <c r="F1953" s="76" t="str">
        <f aca="false">IF(D1953&lt;&gt;"",IFERROR(VLOOKUP(D1953,PROVEEDORES!$A:$C,3,0),""),"")</f>
        <v>S</v>
      </c>
      <c r="G1953" s="75" t="s">
        <v>452</v>
      </c>
      <c r="H1953" s="52" t="str">
        <f aca="false">IF(G1953&lt;&gt;"",IFERROR(VLOOKUP(G1953,PRODUCTOS!$A:$B,2,0),"!COD NO ENCONTRADO"),"")</f>
        <v>BONITO DEL NORTE  +10 (ALB)</v>
      </c>
      <c r="I1953" s="77" t="n">
        <v>2</v>
      </c>
      <c r="J1953" s="78" t="n">
        <v>52.25</v>
      </c>
      <c r="K1953" s="79" t="n">
        <v>4.3</v>
      </c>
      <c r="L1953" s="80" t="n">
        <f aca="false">IF(AND(J1953&lt;&gt;"",K1953&lt;&gt;""),J1953*K1953,"")</f>
        <v>224.675</v>
      </c>
      <c r="M1953" s="81" t="n">
        <f aca="false">IF(L1953&lt;&gt;"",L1953*1.1,"")</f>
        <v>247.1425</v>
      </c>
      <c r="N1953" s="53" t="n">
        <f aca="false">IF(F1953="S",L1953*0.02,0)</f>
        <v>4.4935</v>
      </c>
      <c r="O1953" s="82" t="n">
        <f aca="false">IF(L1953&lt;&gt;"",L1953+N1953,"")</f>
        <v>229.1685</v>
      </c>
      <c r="P1953" s="53" t="n">
        <f aca="false">IF(O1953&lt;&gt;"",O1953*0.1,"")</f>
        <v>22.91685</v>
      </c>
      <c r="Q1953" s="83" t="n">
        <f aca="false">IF(O1953&lt;&gt;"",O1953+P1953,"")</f>
        <v>252.08535</v>
      </c>
      <c r="R1953" s="84" t="s">
        <v>365</v>
      </c>
    </row>
    <row r="1954" customFormat="false" ht="15" hidden="false" customHeight="true" outlineLevel="0" collapsed="false">
      <c r="A1954" s="103" t="n">
        <v>56431</v>
      </c>
      <c r="B1954" s="85" t="n">
        <v>46270</v>
      </c>
      <c r="C1954" s="86" t="s">
        <v>834</v>
      </c>
      <c r="D1954" s="87" t="n">
        <v>50163</v>
      </c>
      <c r="E1954" s="46" t="str">
        <f aca="false">IF(D1954&lt;&gt;"",IFERROR(VLOOKUP(D1954,PROVEEDORES!$A:$B,2,0),"!COD NO ENCONTRADO"),"")</f>
        <v>SUBASTAS RIVERA S.L.</v>
      </c>
      <c r="F1954" s="88" t="str">
        <f aca="false">IF(D1954&lt;&gt;"",IFERROR(VLOOKUP(D1954,PROVEEDORES!$A:$C,3,0),""),"")</f>
        <v>S</v>
      </c>
      <c r="G1954" s="87" t="s">
        <v>452</v>
      </c>
      <c r="H1954" s="104" t="str">
        <f aca="false">IF(G1954&lt;&gt;"",IFERROR(VLOOKUP(G1954,PRODUCTOS!$A:$B,2,0),"!COD NO ENCONTRADO"),"")</f>
        <v>BONITO DEL NORTE  +10 (ALB)</v>
      </c>
      <c r="I1954" s="112" t="n">
        <v>4</v>
      </c>
      <c r="J1954" s="105" t="n">
        <v>107</v>
      </c>
      <c r="K1954" s="125" t="n">
        <v>4.4</v>
      </c>
      <c r="L1954" s="80" t="n">
        <f aca="false">IF(AND(J1954&lt;&gt;"",K1954&lt;&gt;""),J1954*K1954,"")</f>
        <v>470.8</v>
      </c>
      <c r="M1954" s="81" t="n">
        <f aca="false">IF(L1954&lt;&gt;"",L1954*1.1,"")</f>
        <v>517.88</v>
      </c>
      <c r="N1954" s="47" t="n">
        <f aca="false">IF(F1954="S",L1954*0.02,0)</f>
        <v>9.416</v>
      </c>
      <c r="O1954" s="82" t="n">
        <f aca="false">IF(L1954&lt;&gt;"",L1954+N1954,"")</f>
        <v>480.216</v>
      </c>
      <c r="P1954" s="47" t="n">
        <f aca="false">IF(O1954&lt;&gt;"",O1954*0.1,"")</f>
        <v>48.0216</v>
      </c>
      <c r="Q1954" s="83" t="n">
        <f aca="false">IF(O1954&lt;&gt;"",O1954+P1954,"")</f>
        <v>528.2376</v>
      </c>
      <c r="R1954" s="84" t="s">
        <v>365</v>
      </c>
    </row>
    <row r="1955" customFormat="false" ht="15" hidden="false" customHeight="true" outlineLevel="0" collapsed="false">
      <c r="A1955" s="103" t="n">
        <v>56431</v>
      </c>
      <c r="B1955" s="73" t="n">
        <v>46270</v>
      </c>
      <c r="C1955" s="86" t="s">
        <v>834</v>
      </c>
      <c r="D1955" s="75" t="n">
        <v>50163</v>
      </c>
      <c r="E1955" s="52" t="str">
        <f aca="false">IF(D1955&lt;&gt;"",IFERROR(VLOOKUP(D1955,PROVEEDORES!$A:$B,2,0),"!COD NO ENCONTRADO"),"")</f>
        <v>SUBASTAS RIVERA S.L.</v>
      </c>
      <c r="F1955" s="76" t="str">
        <f aca="false">IF(D1955&lt;&gt;"",IFERROR(VLOOKUP(D1955,PROVEEDORES!$A:$C,3,0),""),"")</f>
        <v>S</v>
      </c>
      <c r="G1955" s="75" t="s">
        <v>179</v>
      </c>
      <c r="H1955" s="104" t="str">
        <f aca="false">IF(G1955&lt;&gt;"",IFERROR(VLOOKUP(G1955,PRODUCTOS!$A:$B,2,0),"!COD NO ENCONTRADO"),"")</f>
        <v>LIRIO/ BACALADILLA/ PERLA (WHB)</v>
      </c>
      <c r="I1955" s="112" t="n">
        <v>2</v>
      </c>
      <c r="J1955" s="105" t="n">
        <v>11.75</v>
      </c>
      <c r="K1955" s="125" t="n">
        <v>1</v>
      </c>
      <c r="L1955" s="80" t="n">
        <f aca="false">IF(AND(J1955&lt;&gt;"",K1955&lt;&gt;""),J1955*K1955,"")</f>
        <v>11.75</v>
      </c>
      <c r="M1955" s="81" t="n">
        <f aca="false">IF(L1955&lt;&gt;"",L1955*1.1,"")</f>
        <v>12.925</v>
      </c>
      <c r="N1955" s="53" t="n">
        <f aca="false">IF(F1955="S",L1955*0.02,0)</f>
        <v>0.235</v>
      </c>
      <c r="O1955" s="82" t="n">
        <f aca="false">IF(L1955&lt;&gt;"",L1955+N1955,"")</f>
        <v>11.985</v>
      </c>
      <c r="P1955" s="53" t="n">
        <f aca="false">IF(O1955&lt;&gt;"",O1955*0.1,"")</f>
        <v>1.1985</v>
      </c>
      <c r="Q1955" s="83" t="n">
        <f aca="false">IF(O1955&lt;&gt;"",O1955+P1955,"")</f>
        <v>13.1835</v>
      </c>
      <c r="R1955" s="84" t="s">
        <v>365</v>
      </c>
    </row>
    <row r="1956" customFormat="false" ht="15" hidden="false" customHeight="true" outlineLevel="0" collapsed="false">
      <c r="A1956" s="103" t="n">
        <v>56431</v>
      </c>
      <c r="B1956" s="85" t="n">
        <v>46270</v>
      </c>
      <c r="C1956" s="86" t="s">
        <v>834</v>
      </c>
      <c r="D1956" s="87" t="n">
        <v>50163</v>
      </c>
      <c r="E1956" s="46" t="str">
        <f aca="false">IF(D1956&lt;&gt;"",IFERROR(VLOOKUP(D1956,PROVEEDORES!$A:$B,2,0),"!COD NO ENCONTRADO"),"")</f>
        <v>SUBASTAS RIVERA S.L.</v>
      </c>
      <c r="F1956" s="88" t="str">
        <f aca="false">IF(D1956&lt;&gt;"",IFERROR(VLOOKUP(D1956,PROVEEDORES!$A:$C,3,0),""),"")</f>
        <v>S</v>
      </c>
      <c r="G1956" s="87" t="s">
        <v>233</v>
      </c>
      <c r="H1956" s="104" t="str">
        <f aca="false">IF(G1956&lt;&gt;"",IFERROR(VLOOKUP(G1956,PRODUCTOS!$A:$B,2,0),"!COD NO ENCONTRADO"),"")</f>
        <v>MERLUZA EUROPEA VOLANTA COSTA</v>
      </c>
      <c r="I1956" s="112" t="n">
        <v>1</v>
      </c>
      <c r="J1956" s="105" t="n">
        <v>5.25</v>
      </c>
      <c r="K1956" s="125" t="n">
        <v>6</v>
      </c>
      <c r="L1956" s="80" t="n">
        <f aca="false">IF(AND(J1956&lt;&gt;"",K1956&lt;&gt;""),J1956*K1956,"")</f>
        <v>31.5</v>
      </c>
      <c r="M1956" s="81" t="n">
        <f aca="false">IF(L1956&lt;&gt;"",L1956*1.1,"")</f>
        <v>34.65</v>
      </c>
      <c r="N1956" s="47" t="n">
        <f aca="false">IF(F1956="S",L1956*0.02,0)</f>
        <v>0.63</v>
      </c>
      <c r="O1956" s="82" t="n">
        <f aca="false">IF(L1956&lt;&gt;"",L1956+N1956,"")</f>
        <v>32.13</v>
      </c>
      <c r="P1956" s="47" t="n">
        <f aca="false">IF(O1956&lt;&gt;"",O1956*0.1,"")</f>
        <v>3.213</v>
      </c>
      <c r="Q1956" s="83" t="n">
        <f aca="false">IF(O1956&lt;&gt;"",O1956+P1956,"")</f>
        <v>35.343</v>
      </c>
      <c r="R1956" s="84" t="s">
        <v>365</v>
      </c>
    </row>
    <row r="1957" customFormat="false" ht="15" hidden="false" customHeight="true" outlineLevel="0" collapsed="false">
      <c r="A1957" s="103" t="n">
        <v>56431</v>
      </c>
      <c r="B1957" s="73" t="n">
        <v>46270</v>
      </c>
      <c r="C1957" s="86" t="s">
        <v>834</v>
      </c>
      <c r="D1957" s="75" t="n">
        <v>50163</v>
      </c>
      <c r="E1957" s="52" t="str">
        <f aca="false">IF(D1957&lt;&gt;"",IFERROR(VLOOKUP(D1957,PROVEEDORES!$A:$B,2,0),"!COD NO ENCONTRADO"),"")</f>
        <v>SUBASTAS RIVERA S.L.</v>
      </c>
      <c r="F1957" s="76" t="str">
        <f aca="false">IF(D1957&lt;&gt;"",IFERROR(VLOOKUP(D1957,PROVEEDORES!$A:$C,3,0),""),"")</f>
        <v>S</v>
      </c>
      <c r="G1957" s="75" t="s">
        <v>276</v>
      </c>
      <c r="H1957" s="104" t="str">
        <f aca="false">IF(G1957&lt;&gt;"",IFERROR(VLOOKUP(G1957,PRODUCTOS!$A:$B,2,0),"!COD NO ENCONTRADO"),"")</f>
        <v>MERLUZA EUROPEA/ FINA DIA </v>
      </c>
      <c r="I1957" s="112" t="n">
        <v>5</v>
      </c>
      <c r="J1957" s="105" t="n">
        <v>29.25</v>
      </c>
      <c r="K1957" s="125" t="n">
        <v>2.3</v>
      </c>
      <c r="L1957" s="80" t="n">
        <f aca="false">IF(AND(J1957&lt;&gt;"",K1957&lt;&gt;""),J1957*K1957,"")</f>
        <v>67.275</v>
      </c>
      <c r="M1957" s="81" t="n">
        <f aca="false">IF(L1957&lt;&gt;"",L1957*1.1,"")</f>
        <v>74.0025</v>
      </c>
      <c r="N1957" s="53" t="n">
        <f aca="false">IF(F1957="S",L1957*0.02,0)</f>
        <v>1.3455</v>
      </c>
      <c r="O1957" s="82" t="n">
        <f aca="false">IF(L1957&lt;&gt;"",L1957+N1957,"")</f>
        <v>68.6205</v>
      </c>
      <c r="P1957" s="53" t="n">
        <f aca="false">IF(O1957&lt;&gt;"",O1957*0.1,"")</f>
        <v>6.86205</v>
      </c>
      <c r="Q1957" s="83" t="n">
        <f aca="false">IF(O1957&lt;&gt;"",O1957+P1957,"")</f>
        <v>75.48255</v>
      </c>
      <c r="R1957" s="84" t="s">
        <v>365</v>
      </c>
    </row>
    <row r="1958" customFormat="false" ht="15" hidden="false" customHeight="true" outlineLevel="0" collapsed="false">
      <c r="A1958" s="103" t="n">
        <v>56431</v>
      </c>
      <c r="B1958" s="85" t="n">
        <v>46270</v>
      </c>
      <c r="C1958" s="86" t="s">
        <v>834</v>
      </c>
      <c r="D1958" s="87" t="n">
        <v>50163</v>
      </c>
      <c r="E1958" s="46" t="str">
        <f aca="false">IF(D1958&lt;&gt;"",IFERROR(VLOOKUP(D1958,PROVEEDORES!$A:$B,2,0),"!COD NO ENCONTRADO"),"")</f>
        <v>SUBASTAS RIVERA S.L.</v>
      </c>
      <c r="F1958" s="88" t="str">
        <f aca="false">IF(D1958&lt;&gt;"",IFERROR(VLOOKUP(D1958,PROVEEDORES!$A:$C,3,0),""),"")</f>
        <v>S</v>
      </c>
      <c r="G1958" s="87" t="s">
        <v>233</v>
      </c>
      <c r="H1958" s="104" t="str">
        <f aca="false">IF(G1958&lt;&gt;"",IFERROR(VLOOKUP(G1958,PRODUCTOS!$A:$B,2,0),"!COD NO ENCONTRADO"),"")</f>
        <v>MERLUZA EUROPEA VOLANTA COSTA</v>
      </c>
      <c r="I1958" s="112" t="n">
        <v>1</v>
      </c>
      <c r="J1958" s="105" t="n">
        <v>19.75</v>
      </c>
      <c r="K1958" s="125" t="n">
        <v>7.3</v>
      </c>
      <c r="L1958" s="80" t="n">
        <f aca="false">IF(AND(J1958&lt;&gt;"",K1958&lt;&gt;""),J1958*K1958,"")</f>
        <v>144.175</v>
      </c>
      <c r="M1958" s="81" t="n">
        <f aca="false">IF(L1958&lt;&gt;"",L1958*1.1,"")</f>
        <v>158.5925</v>
      </c>
      <c r="N1958" s="47" t="n">
        <f aca="false">IF(F1958="S",L1958*0.02,0)</f>
        <v>2.8835</v>
      </c>
      <c r="O1958" s="82" t="n">
        <f aca="false">IF(L1958&lt;&gt;"",L1958+N1958,"")</f>
        <v>147.0585</v>
      </c>
      <c r="P1958" s="47" t="n">
        <f aca="false">IF(O1958&lt;&gt;"",O1958*0.1,"")</f>
        <v>14.70585</v>
      </c>
      <c r="Q1958" s="83" t="n">
        <f aca="false">IF(O1958&lt;&gt;"",O1958+P1958,"")</f>
        <v>161.76435</v>
      </c>
      <c r="R1958" s="84" t="s">
        <v>365</v>
      </c>
    </row>
    <row r="1959" customFormat="false" ht="15" hidden="false" customHeight="true" outlineLevel="0" collapsed="false">
      <c r="A1959" s="103" t="n">
        <v>56431</v>
      </c>
      <c r="B1959" s="73" t="n">
        <v>46270</v>
      </c>
      <c r="C1959" s="86" t="s">
        <v>834</v>
      </c>
      <c r="D1959" s="75" t="n">
        <v>50163</v>
      </c>
      <c r="E1959" s="52" t="str">
        <f aca="false">IF(D1959&lt;&gt;"",IFERROR(VLOOKUP(D1959,PROVEEDORES!$A:$B,2,0),"!COD NO ENCONTRADO"),"")</f>
        <v>SUBASTAS RIVERA S.L.</v>
      </c>
      <c r="F1959" s="76" t="str">
        <f aca="false">IF(D1959&lt;&gt;"",IFERROR(VLOOKUP(D1959,PROVEEDORES!$A:$C,3,0),""),"")</f>
        <v>S</v>
      </c>
      <c r="G1959" s="75" t="s">
        <v>233</v>
      </c>
      <c r="H1959" s="52" t="str">
        <f aca="false">IF(G1959&lt;&gt;"",IFERROR(VLOOKUP(G1959,PRODUCTOS!$A:$B,2,0),"!COD NO ENCONTRADO"),"")</f>
        <v>MERLUZA EUROPEA VOLANTA COSTA</v>
      </c>
      <c r="I1959" s="77" t="n">
        <v>1</v>
      </c>
      <c r="J1959" s="78" t="n">
        <v>5.25</v>
      </c>
      <c r="K1959" s="79" t="n">
        <v>7.9</v>
      </c>
      <c r="L1959" s="80" t="n">
        <f aca="false">IF(AND(J1959&lt;&gt;"",K1959&lt;&gt;""),J1959*K1959,"")</f>
        <v>41.475</v>
      </c>
      <c r="M1959" s="81" t="n">
        <f aca="false">IF(L1959&lt;&gt;"",L1959*1.1,"")</f>
        <v>45.6225</v>
      </c>
      <c r="N1959" s="53" t="n">
        <f aca="false">IF(F1959="S",L1959*0.02,0)</f>
        <v>0.8295</v>
      </c>
      <c r="O1959" s="82" t="n">
        <f aca="false">IF(L1959&lt;&gt;"",L1959+N1959,"")</f>
        <v>42.3045</v>
      </c>
      <c r="P1959" s="53" t="n">
        <f aca="false">IF(O1959&lt;&gt;"",O1959*0.1,"")</f>
        <v>4.23045</v>
      </c>
      <c r="Q1959" s="83" t="n">
        <f aca="false">IF(O1959&lt;&gt;"",O1959+P1959,"")</f>
        <v>46.53495</v>
      </c>
      <c r="R1959" s="84" t="s">
        <v>365</v>
      </c>
    </row>
    <row r="1960" customFormat="false" ht="15" hidden="false" customHeight="true" outlineLevel="0" collapsed="false">
      <c r="A1960" s="103" t="n">
        <v>56432</v>
      </c>
      <c r="B1960" s="73" t="n">
        <v>46270</v>
      </c>
      <c r="C1960" s="74" t="s">
        <v>835</v>
      </c>
      <c r="D1960" s="111" t="n">
        <v>50160</v>
      </c>
      <c r="E1960" s="104" t="str">
        <f aca="false">IF(D1960&lt;&gt;"",IFERROR(VLOOKUP(D1960,PROVEEDORES!$A:$B,2,0),"!COD NO ENCONTRADO"),"")</f>
        <v>SUBASTAS CORUÑA S.L.</v>
      </c>
      <c r="F1960" s="76" t="str">
        <f aca="false">IF(D1960&lt;&gt;"",IFERROR(VLOOKUP(D1960,PROVEEDORES!$A:$C,3,0),""),"")</f>
        <v>S</v>
      </c>
      <c r="G1960" s="75" t="s">
        <v>179</v>
      </c>
      <c r="H1960" s="52" t="str">
        <f aca="false">IF(G1960&lt;&gt;"",IFERROR(VLOOKUP(G1960,PRODUCTOS!$A:$B,2,0),"!COD NO ENCONTRADO"),"")</f>
        <v>LIRIO/ BACALADILLA/ PERLA (WHB)</v>
      </c>
      <c r="I1960" s="77" t="n">
        <v>10</v>
      </c>
      <c r="J1960" s="121" t="n">
        <v>139.6</v>
      </c>
      <c r="K1960" s="141" t="n">
        <v>2.15</v>
      </c>
      <c r="L1960" s="80" t="n">
        <f aca="false">IF(AND(J1960&lt;&gt;"",K1960&lt;&gt;""),J1960*K1960,"")</f>
        <v>300.14</v>
      </c>
      <c r="M1960" s="81" t="n">
        <f aca="false">IF(L1960&lt;&gt;"",L1960*1.1,"")</f>
        <v>330.154</v>
      </c>
      <c r="N1960" s="53" t="n">
        <f aca="false">IF(F1960="S",L1960*0.02,0)</f>
        <v>6.0028</v>
      </c>
      <c r="O1960" s="82" t="n">
        <f aca="false">IF(L1960&lt;&gt;"",L1960+N1960,"")</f>
        <v>306.1428</v>
      </c>
      <c r="P1960" s="53" t="n">
        <f aca="false">IF(O1960&lt;&gt;"",O1960*0.1,"")</f>
        <v>30.61428</v>
      </c>
      <c r="Q1960" s="83" t="n">
        <f aca="false">IF(O1960&lt;&gt;"",O1960+P1960,"")</f>
        <v>336.75708</v>
      </c>
      <c r="R1960" s="84" t="s">
        <v>358</v>
      </c>
    </row>
    <row r="1961" customFormat="false" ht="15" hidden="false" customHeight="true" outlineLevel="0" collapsed="false">
      <c r="A1961" s="153" t="n">
        <v>56433</v>
      </c>
      <c r="B1961" s="156" t="n">
        <v>46272</v>
      </c>
      <c r="C1961" s="84" t="s">
        <v>836</v>
      </c>
      <c r="D1961" s="111" t="n">
        <v>50048</v>
      </c>
      <c r="E1961" s="104" t="str">
        <f aca="false">IF(D1961&lt;&gt;"",IFERROR(VLOOKUP(D1961,PROVEEDORES!$A:$B,2,0),"!COD NO ENCONTRADO"),"")</f>
        <v>JOSE LUIS CORREA KESSLER S.L.</v>
      </c>
      <c r="F1961" s="122" t="str">
        <f aca="false">IF(D1961&lt;&gt;"",IFERROR(VLOOKUP(D1961,PROVEEDORES!$A:$C,3,0),""),"")</f>
        <v>N</v>
      </c>
      <c r="G1961" s="111" t="s">
        <v>179</v>
      </c>
      <c r="H1961" s="104" t="str">
        <f aca="false">IF(G1961&lt;&gt;"",IFERROR(VLOOKUP(G1961,PRODUCTOS!$A:$B,2,0),"!COD NO ENCONTRADO"),"")</f>
        <v>LIRIO/ BACALADILLA/ PERLA (WHB)</v>
      </c>
      <c r="I1961" s="112" t="n">
        <v>10</v>
      </c>
      <c r="J1961" s="105" t="n">
        <v>60</v>
      </c>
      <c r="K1961" s="125" t="n">
        <v>2.5</v>
      </c>
      <c r="L1961" s="157" t="n">
        <f aca="false">IF(AND(J1961&lt;&gt;"",K1961&lt;&gt;""),J1961*K1961,"")</f>
        <v>150</v>
      </c>
      <c r="M1961" s="158" t="n">
        <f aca="false">IF(L1961&lt;&gt;"",L1961*1.1,"")</f>
        <v>165</v>
      </c>
      <c r="N1961" s="57" t="n">
        <f aca="false">IF(F1961="S",L1961*0.02,0)</f>
        <v>0</v>
      </c>
      <c r="O1961" s="98" t="n">
        <f aca="false">IF(L1961&lt;&gt;"",L1961+N1961,"")</f>
        <v>150</v>
      </c>
      <c r="P1961" s="57" t="n">
        <f aca="false">IF(O1961&lt;&gt;"",O1961*0.1,"")</f>
        <v>15</v>
      </c>
      <c r="Q1961" s="100" t="n">
        <f aca="false">IF(O1961&lt;&gt;"",O1961+P1961,"")</f>
        <v>165</v>
      </c>
      <c r="R1961" s="84" t="s">
        <v>358</v>
      </c>
    </row>
    <row r="1962" customFormat="false" ht="15" hidden="false" customHeight="true" outlineLevel="0" collapsed="false">
      <c r="A1962" s="153" t="n">
        <v>56434</v>
      </c>
      <c r="B1962" s="156" t="n">
        <v>46272</v>
      </c>
      <c r="C1962" s="84" t="s">
        <v>837</v>
      </c>
      <c r="D1962" s="111" t="n">
        <v>50001</v>
      </c>
      <c r="E1962" s="104" t="str">
        <f aca="false">IF(D1962&lt;&gt;"",IFERROR(VLOOKUP(D1962,PROVEEDORES!$A:$B,2,0),"!COD NO ENCONTRADO"),"")</f>
        <v>COPESA</v>
      </c>
      <c r="F1962" s="122" t="str">
        <f aca="false">IF(D1962&lt;&gt;"",IFERROR(VLOOKUP(D1962,PROVEEDORES!$A:$C,3,0),""),"")</f>
        <v>S</v>
      </c>
      <c r="G1962" s="111" t="s">
        <v>193</v>
      </c>
      <c r="H1962" s="104" t="str">
        <f aca="false">IF(G1962&lt;&gt;"",IFERROR(VLOOKUP(G1962,PRODUCTOS!$A:$B,2,0),"!COD NO ENCONTRADO"),"")</f>
        <v>MERLUZA EUROPEA ARRASTRE (HKE) </v>
      </c>
      <c r="I1962" s="112" t="n">
        <v>5</v>
      </c>
      <c r="J1962" s="105" t="n">
        <v>129.25</v>
      </c>
      <c r="K1962" s="125" t="n">
        <v>3.25</v>
      </c>
      <c r="L1962" s="157" t="n">
        <f aca="false">IF(AND(J1962&lt;&gt;"",K1962&lt;&gt;""),J1962*K1962,"")</f>
        <v>420.0625</v>
      </c>
      <c r="M1962" s="158" t="n">
        <f aca="false">IF(L1962&lt;&gt;"",L1962*1.1,"")</f>
        <v>462.06875</v>
      </c>
      <c r="N1962" s="57" t="n">
        <f aca="false">IF(F1962="S",L1962*0.02,0)</f>
        <v>8.40125</v>
      </c>
      <c r="O1962" s="98" t="n">
        <f aca="false">IF(L1962&lt;&gt;"",L1962+N1962,"")</f>
        <v>428.46375</v>
      </c>
      <c r="P1962" s="57" t="n">
        <f aca="false">IF(O1962&lt;&gt;"",O1962*0.1,"")</f>
        <v>42.846375</v>
      </c>
      <c r="Q1962" s="100" t="n">
        <f aca="false">IF(O1962&lt;&gt;"",O1962+P1962,"")</f>
        <v>471.310125</v>
      </c>
      <c r="R1962" s="84" t="s">
        <v>365</v>
      </c>
    </row>
    <row r="1963" customFormat="false" ht="15" hidden="false" customHeight="true" outlineLevel="0" collapsed="false">
      <c r="A1963" s="153" t="n">
        <v>56434</v>
      </c>
      <c r="B1963" s="156" t="n">
        <v>46272</v>
      </c>
      <c r="C1963" s="84" t="s">
        <v>837</v>
      </c>
      <c r="D1963" s="111" t="n">
        <v>50001</v>
      </c>
      <c r="E1963" s="104" t="str">
        <f aca="false">IF(D1963&lt;&gt;"",IFERROR(VLOOKUP(D1963,PROVEEDORES!$A:$B,2,0),"!COD NO ENCONTRADO"),"")</f>
        <v>COPESA</v>
      </c>
      <c r="F1963" s="122" t="str">
        <f aca="false">IF(D1963&lt;&gt;"",IFERROR(VLOOKUP(D1963,PROVEEDORES!$A:$C,3,0),""),"")</f>
        <v>S</v>
      </c>
      <c r="G1963" s="111" t="s">
        <v>193</v>
      </c>
      <c r="H1963" s="104" t="str">
        <f aca="false">IF(G1963&lt;&gt;"",IFERROR(VLOOKUP(G1963,PRODUCTOS!$A:$B,2,0),"!COD NO ENCONTRADO"),"")</f>
        <v>MERLUZA EUROPEA ARRASTRE (HKE) </v>
      </c>
      <c r="I1963" s="112" t="n">
        <v>5</v>
      </c>
      <c r="J1963" s="105" t="n">
        <v>131.25</v>
      </c>
      <c r="K1963" s="125" t="n">
        <v>3.25</v>
      </c>
      <c r="L1963" s="157" t="n">
        <f aca="false">IF(AND(J1963&lt;&gt;"",K1963&lt;&gt;""),J1963*K1963,"")</f>
        <v>426.5625</v>
      </c>
      <c r="M1963" s="158" t="n">
        <f aca="false">IF(L1963&lt;&gt;"",L1963*1.1,"")</f>
        <v>469.21875</v>
      </c>
      <c r="N1963" s="57" t="n">
        <f aca="false">IF(F1963="S",L1963*0.02,0)</f>
        <v>8.53125</v>
      </c>
      <c r="O1963" s="98" t="n">
        <f aca="false">IF(L1963&lt;&gt;"",L1963+N1963,"")</f>
        <v>435.09375</v>
      </c>
      <c r="P1963" s="57" t="n">
        <f aca="false">IF(O1963&lt;&gt;"",O1963*0.1,"")</f>
        <v>43.509375</v>
      </c>
      <c r="Q1963" s="100" t="n">
        <f aca="false">IF(O1963&lt;&gt;"",O1963+P1963,"")</f>
        <v>478.603125</v>
      </c>
      <c r="R1963" s="84" t="s">
        <v>365</v>
      </c>
    </row>
    <row r="1964" customFormat="false" ht="15" hidden="false" customHeight="true" outlineLevel="0" collapsed="false">
      <c r="A1964" s="153" t="n">
        <v>56434</v>
      </c>
      <c r="B1964" s="156" t="n">
        <v>46272</v>
      </c>
      <c r="C1964" s="84" t="s">
        <v>837</v>
      </c>
      <c r="D1964" s="111" t="n">
        <v>50001</v>
      </c>
      <c r="E1964" s="104" t="str">
        <f aca="false">IF(D1964&lt;&gt;"",IFERROR(VLOOKUP(D1964,PROVEEDORES!$A:$B,2,0),"!COD NO ENCONTRADO"),"")</f>
        <v>COPESA</v>
      </c>
      <c r="F1964" s="122" t="str">
        <f aca="false">IF(D1964&lt;&gt;"",IFERROR(VLOOKUP(D1964,PROVEEDORES!$A:$C,3,0),""),"")</f>
        <v>S</v>
      </c>
      <c r="G1964" s="111" t="s">
        <v>193</v>
      </c>
      <c r="H1964" s="104" t="str">
        <f aca="false">IF(G1964&lt;&gt;"",IFERROR(VLOOKUP(G1964,PRODUCTOS!$A:$B,2,0),"!COD NO ENCONTRADO"),"")</f>
        <v>MERLUZA EUROPEA ARRASTRE (HKE) </v>
      </c>
      <c r="I1964" s="112" t="n">
        <v>10</v>
      </c>
      <c r="J1964" s="105" t="n">
        <v>253</v>
      </c>
      <c r="K1964" s="125" t="n">
        <v>3.25</v>
      </c>
      <c r="L1964" s="157" t="n">
        <f aca="false">IF(AND(J1964&lt;&gt;"",K1964&lt;&gt;""),J1964*K1964,"")</f>
        <v>822.25</v>
      </c>
      <c r="M1964" s="158" t="n">
        <f aca="false">IF(L1964&lt;&gt;"",L1964*1.1,"")</f>
        <v>904.475</v>
      </c>
      <c r="N1964" s="57" t="n">
        <f aca="false">IF(F1964="S",L1964*0.02,0)</f>
        <v>16.445</v>
      </c>
      <c r="O1964" s="98" t="n">
        <f aca="false">IF(L1964&lt;&gt;"",L1964+N1964,"")</f>
        <v>838.695</v>
      </c>
      <c r="P1964" s="57" t="n">
        <f aca="false">IF(O1964&lt;&gt;"",O1964*0.1,"")</f>
        <v>83.8695</v>
      </c>
      <c r="Q1964" s="100" t="n">
        <f aca="false">IF(O1964&lt;&gt;"",O1964+P1964,"")</f>
        <v>922.5645</v>
      </c>
      <c r="R1964" s="84" t="s">
        <v>365</v>
      </c>
    </row>
    <row r="1965" customFormat="false" ht="15" hidden="false" customHeight="true" outlineLevel="0" collapsed="false">
      <c r="A1965" s="153" t="n">
        <v>56434</v>
      </c>
      <c r="B1965" s="156" t="n">
        <v>46272</v>
      </c>
      <c r="C1965" s="84" t="s">
        <v>837</v>
      </c>
      <c r="D1965" s="111" t="n">
        <v>50001</v>
      </c>
      <c r="E1965" s="104" t="str">
        <f aca="false">IF(D1965&lt;&gt;"",IFERROR(VLOOKUP(D1965,PROVEEDORES!$A:$B,2,0),"!COD NO ENCONTRADO"),"")</f>
        <v>COPESA</v>
      </c>
      <c r="F1965" s="122" t="str">
        <f aca="false">IF(D1965&lt;&gt;"",IFERROR(VLOOKUP(D1965,PROVEEDORES!$A:$C,3,0),""),"")</f>
        <v>S</v>
      </c>
      <c r="G1965" s="111" t="s">
        <v>193</v>
      </c>
      <c r="H1965" s="104" t="str">
        <f aca="false">IF(G1965&lt;&gt;"",IFERROR(VLOOKUP(G1965,PRODUCTOS!$A:$B,2,0),"!COD NO ENCONTRADO"),"")</f>
        <v>MERLUZA EUROPEA ARRASTRE (HKE) </v>
      </c>
      <c r="I1965" s="112" t="n">
        <v>4</v>
      </c>
      <c r="J1965" s="105" t="n">
        <v>78</v>
      </c>
      <c r="K1965" s="125" t="n">
        <v>6.4</v>
      </c>
      <c r="L1965" s="157" t="n">
        <f aca="false">IF(AND(J1965&lt;&gt;"",K1965&lt;&gt;""),J1965*K1965,"")</f>
        <v>499.2</v>
      </c>
      <c r="M1965" s="158" t="n">
        <f aca="false">IF(L1965&lt;&gt;"",L1965*1.1,"")</f>
        <v>549.12</v>
      </c>
      <c r="N1965" s="57" t="n">
        <f aca="false">IF(F1965="S",L1965*0.02,0)</f>
        <v>9.984</v>
      </c>
      <c r="O1965" s="98" t="n">
        <f aca="false">IF(L1965&lt;&gt;"",L1965+N1965,"")</f>
        <v>509.184</v>
      </c>
      <c r="P1965" s="57" t="n">
        <f aca="false">IF(O1965&lt;&gt;"",O1965*0.1,"")</f>
        <v>50.9184</v>
      </c>
      <c r="Q1965" s="100" t="n">
        <f aca="false">IF(O1965&lt;&gt;"",O1965+P1965,"")</f>
        <v>560.1024</v>
      </c>
      <c r="R1965" s="84" t="s">
        <v>365</v>
      </c>
    </row>
    <row r="1966" customFormat="false" ht="15" hidden="false" customHeight="true" outlineLevel="0" collapsed="false">
      <c r="A1966" s="153" t="n">
        <v>56434</v>
      </c>
      <c r="B1966" s="156" t="n">
        <v>46272</v>
      </c>
      <c r="C1966" s="84" t="s">
        <v>837</v>
      </c>
      <c r="D1966" s="111" t="n">
        <v>50001</v>
      </c>
      <c r="E1966" s="104" t="str">
        <f aca="false">IF(D1966&lt;&gt;"",IFERROR(VLOOKUP(D1966,PROVEEDORES!$A:$B,2,0),"!COD NO ENCONTRADO"),"")</f>
        <v>COPESA</v>
      </c>
      <c r="F1966" s="122" t="str">
        <f aca="false">IF(D1966&lt;&gt;"",IFERROR(VLOOKUP(D1966,PROVEEDORES!$A:$C,3,0),""),"")</f>
        <v>S</v>
      </c>
      <c r="G1966" s="111" t="s">
        <v>193</v>
      </c>
      <c r="H1966" s="104" t="str">
        <f aca="false">IF(G1966&lt;&gt;"",IFERROR(VLOOKUP(G1966,PRODUCTOS!$A:$B,2,0),"!COD NO ENCONTRADO"),"")</f>
        <v>MERLUZA EUROPEA ARRASTRE (HKE) </v>
      </c>
      <c r="I1966" s="112" t="n">
        <v>1</v>
      </c>
      <c r="J1966" s="105" t="n">
        <v>17.75</v>
      </c>
      <c r="K1966" s="125" t="n">
        <v>6.8</v>
      </c>
      <c r="L1966" s="157" t="n">
        <f aca="false">IF(AND(J1966&lt;&gt;"",K1966&lt;&gt;""),J1966*K1966,"")</f>
        <v>120.7</v>
      </c>
      <c r="M1966" s="158" t="n">
        <f aca="false">IF(L1966&lt;&gt;"",L1966*1.1,"")</f>
        <v>132.77</v>
      </c>
      <c r="N1966" s="57" t="n">
        <f aca="false">IF(F1966="S",L1966*0.02,0)</f>
        <v>2.414</v>
      </c>
      <c r="O1966" s="98" t="n">
        <f aca="false">IF(L1966&lt;&gt;"",L1966+N1966,"")</f>
        <v>123.114</v>
      </c>
      <c r="P1966" s="57" t="n">
        <f aca="false">IF(O1966&lt;&gt;"",O1966*0.1,"")</f>
        <v>12.3114</v>
      </c>
      <c r="Q1966" s="100" t="n">
        <f aca="false">IF(O1966&lt;&gt;"",O1966+P1966,"")</f>
        <v>135.4254</v>
      </c>
      <c r="R1966" s="84" t="s">
        <v>365</v>
      </c>
    </row>
    <row r="1967" customFormat="false" ht="15" hidden="false" customHeight="true" outlineLevel="0" collapsed="false">
      <c r="A1967" s="153" t="n">
        <v>56434</v>
      </c>
      <c r="B1967" s="156" t="n">
        <v>46272</v>
      </c>
      <c r="C1967" s="84" t="s">
        <v>837</v>
      </c>
      <c r="D1967" s="111" t="n">
        <v>50001</v>
      </c>
      <c r="E1967" s="104" t="str">
        <f aca="false">IF(D1967&lt;&gt;"",IFERROR(VLOOKUP(D1967,PROVEEDORES!$A:$B,2,0),"!COD NO ENCONTRADO"),"")</f>
        <v>COPESA</v>
      </c>
      <c r="F1967" s="122" t="str">
        <f aca="false">IF(D1967&lt;&gt;"",IFERROR(VLOOKUP(D1967,PROVEEDORES!$A:$C,3,0),""),"")</f>
        <v>S</v>
      </c>
      <c r="G1967" s="111" t="s">
        <v>193</v>
      </c>
      <c r="H1967" s="104" t="str">
        <f aca="false">IF(G1967&lt;&gt;"",IFERROR(VLOOKUP(G1967,PRODUCTOS!$A:$B,2,0),"!COD NO ENCONTRADO"),"")</f>
        <v>MERLUZA EUROPEA ARRASTRE (HKE) </v>
      </c>
      <c r="I1967" s="112" t="n">
        <v>2</v>
      </c>
      <c r="J1967" s="105" t="n">
        <v>31</v>
      </c>
      <c r="K1967" s="125" t="n">
        <v>7.8</v>
      </c>
      <c r="L1967" s="157" t="n">
        <f aca="false">IF(AND(J1967&lt;&gt;"",K1967&lt;&gt;""),J1967*K1967,"")</f>
        <v>241.8</v>
      </c>
      <c r="M1967" s="158" t="n">
        <f aca="false">IF(L1967&lt;&gt;"",L1967*1.1,"")</f>
        <v>265.98</v>
      </c>
      <c r="N1967" s="57" t="n">
        <f aca="false">IF(F1967="S",L1967*0.02,0)</f>
        <v>4.836</v>
      </c>
      <c r="O1967" s="98" t="n">
        <f aca="false">IF(L1967&lt;&gt;"",L1967+N1967,"")</f>
        <v>246.636</v>
      </c>
      <c r="P1967" s="57" t="n">
        <f aca="false">IF(O1967&lt;&gt;"",O1967*0.1,"")</f>
        <v>24.6636</v>
      </c>
      <c r="Q1967" s="100" t="n">
        <f aca="false">IF(O1967&lt;&gt;"",O1967+P1967,"")</f>
        <v>271.2996</v>
      </c>
      <c r="R1967" s="84" t="s">
        <v>365</v>
      </c>
    </row>
    <row r="1968" customFormat="false" ht="15" hidden="false" customHeight="true" outlineLevel="0" collapsed="false">
      <c r="A1968" s="153" t="n">
        <v>56435</v>
      </c>
      <c r="B1968" s="156" t="n">
        <v>46272</v>
      </c>
      <c r="C1968" s="84" t="s">
        <v>838</v>
      </c>
      <c r="D1968" s="111" t="n">
        <v>50160</v>
      </c>
      <c r="E1968" s="104" t="str">
        <f aca="false">IF(D1968&lt;&gt;"",IFERROR(VLOOKUP(D1968,PROVEEDORES!$A:$B,2,0),"!COD NO ENCONTRADO"),"")</f>
        <v>SUBASTAS CORUÑA S.L.</v>
      </c>
      <c r="F1968" s="122" t="str">
        <f aca="false">IF(D1968&lt;&gt;"",IFERROR(VLOOKUP(D1968,PROVEEDORES!$A:$C,3,0),""),"")</f>
        <v>S</v>
      </c>
      <c r="G1968" s="111" t="s">
        <v>452</v>
      </c>
      <c r="H1968" s="104" t="str">
        <f aca="false">IF(G1968&lt;&gt;"",IFERROR(VLOOKUP(G1968,PRODUCTOS!$A:$B,2,0),"!COD NO ENCONTRADO"),"")</f>
        <v>BONITO DEL NORTE  +10 (ALB)</v>
      </c>
      <c r="I1968" s="112" t="n">
        <v>1</v>
      </c>
      <c r="J1968" s="105" t="n">
        <v>35.5</v>
      </c>
      <c r="K1968" s="125" t="n">
        <v>4.6</v>
      </c>
      <c r="L1968" s="157" t="n">
        <f aca="false">IF(AND(J1968&lt;&gt;"",K1968&lt;&gt;""),J1968*K1968,"")</f>
        <v>163.3</v>
      </c>
      <c r="M1968" s="158" t="n">
        <f aca="false">IF(L1968&lt;&gt;"",L1968*1.1,"")</f>
        <v>179.63</v>
      </c>
      <c r="N1968" s="57" t="n">
        <f aca="false">IF(F1968="S",L1968*0.02,0)</f>
        <v>3.266</v>
      </c>
      <c r="O1968" s="98" t="n">
        <f aca="false">IF(L1968&lt;&gt;"",L1968+N1968,"")</f>
        <v>166.566</v>
      </c>
      <c r="P1968" s="57" t="n">
        <f aca="false">IF(O1968&lt;&gt;"",O1968*0.1,"")</f>
        <v>16.6566</v>
      </c>
      <c r="Q1968" s="100" t="n">
        <f aca="false">IF(O1968&lt;&gt;"",O1968+P1968,"")</f>
        <v>183.2226</v>
      </c>
      <c r="R1968" s="84" t="s">
        <v>365</v>
      </c>
    </row>
    <row r="1969" customFormat="false" ht="15" hidden="false" customHeight="true" outlineLevel="0" collapsed="false">
      <c r="A1969" s="153" t="n">
        <v>56436</v>
      </c>
      <c r="B1969" s="156" t="n">
        <v>46272</v>
      </c>
      <c r="C1969" s="84" t="s">
        <v>839</v>
      </c>
      <c r="D1969" s="111" t="n">
        <v>50035</v>
      </c>
      <c r="E1969" s="104" t="str">
        <f aca="false">IF(D1969&lt;&gt;"",IFERROR(VLOOKUP(D1969,PROVEEDORES!$A:$B,2,0),"!COD NO ENCONTRADO"),"")</f>
        <v>SCANFISK SEAFFOD S,L</v>
      </c>
      <c r="F1969" s="122" t="str">
        <f aca="false">IF(D1969&lt;&gt;"",IFERROR(VLOOKUP(D1969,PROVEEDORES!$A:$C,3,0),""),"")</f>
        <v>N</v>
      </c>
      <c r="G1969" s="111" t="s">
        <v>246</v>
      </c>
      <c r="H1969" s="104" t="str">
        <f aca="false">IF(G1969&lt;&gt;"",IFERROR(VLOOKUP(G1969,PRODUCTOS!$A:$B,2,0),"!COD NO ENCONTRADO"),"")</f>
        <v>MERLUZA EUROPEA VOLANTA ALTURA</v>
      </c>
      <c r="I1969" s="112" t="n">
        <v>2</v>
      </c>
      <c r="J1969" s="105" t="n">
        <v>30.9</v>
      </c>
      <c r="K1969" s="125" t="n">
        <v>11.4</v>
      </c>
      <c r="L1969" s="157" t="n">
        <f aca="false">IF(AND(J1969&lt;&gt;"",K1969&lt;&gt;""),J1969*K1969,"")</f>
        <v>352.26</v>
      </c>
      <c r="M1969" s="158" t="n">
        <f aca="false">IF(L1969&lt;&gt;"",L1969*1.1,"")</f>
        <v>387.486</v>
      </c>
      <c r="N1969" s="57" t="n">
        <f aca="false">IF(F1969="S",L1969*0.02,0)</f>
        <v>0</v>
      </c>
      <c r="O1969" s="98" t="n">
        <f aca="false">IF(L1969&lt;&gt;"",L1969+N1969,"")</f>
        <v>352.26</v>
      </c>
      <c r="P1969" s="57" t="n">
        <f aca="false">IF(O1969&lt;&gt;"",O1969*0.1,"")</f>
        <v>35.226</v>
      </c>
      <c r="Q1969" s="100" t="n">
        <f aca="false">IF(O1969&lt;&gt;"",O1969+P1969,"")</f>
        <v>387.486</v>
      </c>
      <c r="R1969" s="84" t="s">
        <v>365</v>
      </c>
    </row>
    <row r="1970" customFormat="false" ht="15" hidden="false" customHeight="true" outlineLevel="0" collapsed="false">
      <c r="A1970" s="153" t="n">
        <v>56436</v>
      </c>
      <c r="B1970" s="156" t="n">
        <v>46272</v>
      </c>
      <c r="C1970" s="84" t="s">
        <v>839</v>
      </c>
      <c r="D1970" s="111" t="n">
        <v>50035</v>
      </c>
      <c r="E1970" s="104" t="str">
        <f aca="false">IF(D1970&lt;&gt;"",IFERROR(VLOOKUP(D1970,PROVEEDORES!$A:$B,2,0),"!COD NO ENCONTRADO"),"")</f>
        <v>SCANFISK SEAFFOD S,L</v>
      </c>
      <c r="F1970" s="122" t="str">
        <f aca="false">IF(D1970&lt;&gt;"",IFERROR(VLOOKUP(D1970,PROVEEDORES!$A:$C,3,0),""),"")</f>
        <v>N</v>
      </c>
      <c r="G1970" s="111" t="s">
        <v>246</v>
      </c>
      <c r="H1970" s="104" t="str">
        <f aca="false">IF(G1970&lt;&gt;"",IFERROR(VLOOKUP(G1970,PRODUCTOS!$A:$B,2,0),"!COD NO ENCONTRADO"),"")</f>
        <v>MERLUZA EUROPEA VOLANTA ALTURA</v>
      </c>
      <c r="I1970" s="112" t="n">
        <v>3</v>
      </c>
      <c r="J1970" s="105" t="n">
        <v>17.4</v>
      </c>
      <c r="K1970" s="125" t="n">
        <v>6.4</v>
      </c>
      <c r="L1970" s="157" t="n">
        <f aca="false">IF(AND(J1970&lt;&gt;"",K1970&lt;&gt;""),J1970*K1970,"")</f>
        <v>111.36</v>
      </c>
      <c r="M1970" s="158" t="n">
        <f aca="false">IF(L1970&lt;&gt;"",L1970*1.1,"")</f>
        <v>122.496</v>
      </c>
      <c r="N1970" s="57" t="n">
        <f aca="false">IF(F1970="S",L1970*0.02,0)</f>
        <v>0</v>
      </c>
      <c r="O1970" s="98" t="n">
        <f aca="false">IF(L1970&lt;&gt;"",L1970+N1970,"")</f>
        <v>111.36</v>
      </c>
      <c r="P1970" s="57" t="n">
        <f aca="false">IF(O1970&lt;&gt;"",O1970*0.1,"")</f>
        <v>11.136</v>
      </c>
      <c r="Q1970" s="100" t="n">
        <f aca="false">IF(O1970&lt;&gt;"",O1970+P1970,"")</f>
        <v>122.496</v>
      </c>
      <c r="R1970" s="84" t="s">
        <v>365</v>
      </c>
    </row>
    <row r="1971" customFormat="false" ht="15" hidden="false" customHeight="true" outlineLevel="0" collapsed="false">
      <c r="A1971" s="153" t="n">
        <v>56436</v>
      </c>
      <c r="B1971" s="156" t="n">
        <v>46272</v>
      </c>
      <c r="C1971" s="84" t="s">
        <v>839</v>
      </c>
      <c r="D1971" s="111" t="n">
        <v>50035</v>
      </c>
      <c r="E1971" s="104" t="str">
        <f aca="false">IF(D1971&lt;&gt;"",IFERROR(VLOOKUP(D1971,PROVEEDORES!$A:$B,2,0),"!COD NO ENCONTRADO"),"")</f>
        <v>SCANFISK SEAFFOD S,L</v>
      </c>
      <c r="F1971" s="122" t="str">
        <f aca="false">IF(D1971&lt;&gt;"",IFERROR(VLOOKUP(D1971,PROVEEDORES!$A:$C,3,0),""),"")</f>
        <v>N</v>
      </c>
      <c r="G1971" s="111" t="s">
        <v>367</v>
      </c>
      <c r="H1971" s="104" t="str">
        <f aca="false">IF(G1971&lt;&gt;"",IFERROR(VLOOKUP(G1971,PRODUCTOS!$A:$B,2,0),"!COD NO ENCONTRADO"),"")</f>
        <v>MERLUZA BAKA DIA</v>
      </c>
      <c r="I1971" s="112" t="n">
        <v>8</v>
      </c>
      <c r="J1971" s="105" t="n">
        <v>50.8</v>
      </c>
      <c r="K1971" s="125" t="n">
        <v>5.4</v>
      </c>
      <c r="L1971" s="157" t="n">
        <f aca="false">IF(AND(J1971&lt;&gt;"",K1971&lt;&gt;""),J1971*K1971,"")</f>
        <v>274.32</v>
      </c>
      <c r="M1971" s="158" t="n">
        <f aca="false">IF(L1971&lt;&gt;"",L1971*1.1,"")</f>
        <v>301.752</v>
      </c>
      <c r="N1971" s="57" t="n">
        <f aca="false">IF(F1971="S",L1971*0.02,0)</f>
        <v>0</v>
      </c>
      <c r="O1971" s="98" t="n">
        <f aca="false">IF(L1971&lt;&gt;"",L1971+N1971,"")</f>
        <v>274.32</v>
      </c>
      <c r="P1971" s="57" t="n">
        <f aca="false">IF(O1971&lt;&gt;"",O1971*0.1,"")</f>
        <v>27.432</v>
      </c>
      <c r="Q1971" s="100" t="n">
        <f aca="false">IF(O1971&lt;&gt;"",O1971+P1971,"")</f>
        <v>301.752</v>
      </c>
      <c r="R1971" s="84" t="s">
        <v>365</v>
      </c>
    </row>
    <row r="1972" customFormat="false" ht="15" hidden="false" customHeight="true" outlineLevel="0" collapsed="false">
      <c r="A1972" s="103" t="n">
        <v>56437</v>
      </c>
      <c r="B1972" s="73" t="n">
        <v>46272</v>
      </c>
      <c r="C1972" s="74"/>
      <c r="D1972" s="75" t="n">
        <v>50233</v>
      </c>
      <c r="E1972" s="52" t="str">
        <f aca="false">IF(D1972&lt;&gt;"",IFERROR(VLOOKUP(D1972,PROVEEDORES!$A:$B,2,0),"!COD NO ENCONTRADO"),"")</f>
        <v>ANGELPESCA S.L.</v>
      </c>
      <c r="F1972" s="76" t="str">
        <f aca="false">IF(D1972&lt;&gt;"",IFERROR(VLOOKUP(D1972,PROVEEDORES!$A:$C,3,0),""),"")</f>
        <v>N</v>
      </c>
      <c r="G1972" s="75" t="s">
        <v>97</v>
      </c>
      <c r="H1972" s="52" t="str">
        <f aca="false">IF(G1972&lt;&gt;"",IFERROR(VLOOKUP(G1972,PRODUCTOS!$A:$B,2,0),"!COD NO ENCONTRADO"),"")</f>
        <v>CABALL/ SARDA/ VERDEL (MAC)</v>
      </c>
      <c r="I1972" s="77" t="n">
        <v>1</v>
      </c>
      <c r="J1972" s="121" t="n">
        <v>80</v>
      </c>
      <c r="K1972" s="141" t="n">
        <v>4.4</v>
      </c>
      <c r="L1972" s="80" t="n">
        <f aca="false">IF(AND(J1972&lt;&gt;"",K1972&lt;&gt;""),J1972*K1972,"")</f>
        <v>352</v>
      </c>
      <c r="M1972" s="81" t="n">
        <f aca="false">IF(L1972&lt;&gt;"",L1972*1.1,"")</f>
        <v>387.2</v>
      </c>
      <c r="N1972" s="53" t="n">
        <f aca="false">IF(F1972="S",L1972*0.02,0)</f>
        <v>0</v>
      </c>
      <c r="O1972" s="82" t="n">
        <f aca="false">IF(L1972&lt;&gt;"",L1972+N1972,"")</f>
        <v>352</v>
      </c>
      <c r="P1972" s="53" t="n">
        <f aca="false">IF(O1972&lt;&gt;"",O1972*0.1,"")</f>
        <v>35.2</v>
      </c>
      <c r="Q1972" s="83" t="n">
        <f aca="false">IF(O1972&lt;&gt;"",O1972+P1972,"")</f>
        <v>387.2</v>
      </c>
      <c r="R1972" s="84"/>
    </row>
    <row r="1973" customFormat="false" ht="15" hidden="false" customHeight="true" outlineLevel="0" collapsed="false">
      <c r="A1973" s="103" t="n">
        <v>56438</v>
      </c>
      <c r="B1973" s="85" t="n">
        <v>46273</v>
      </c>
      <c r="C1973" s="86" t="s">
        <v>840</v>
      </c>
      <c r="D1973" s="87" t="n">
        <v>50232</v>
      </c>
      <c r="E1973" s="46" t="str">
        <f aca="false">IF(D1973&lt;&gt;"",IFERROR(VLOOKUP(D1973,PROVEEDORES!$A:$B,2,0),"!COD NO ENCONTRADO"),"")</f>
        <v>XESTION NOVA LONXA RIVEIRA S.L.</v>
      </c>
      <c r="F1973" s="88" t="str">
        <f aca="false">IF(D1973&lt;&gt;"",IFERROR(VLOOKUP(D1973,PROVEEDORES!$A:$C,3,0),""),"")</f>
        <v>S</v>
      </c>
      <c r="G1973" s="87" t="s">
        <v>83</v>
      </c>
      <c r="H1973" s="46" t="str">
        <f aca="false">IF(G1973&lt;&gt;"",IFERROR(VLOOKUP(G1973,PRODUCTOS!$A:$B,2,0),"!COD NO ENCONTRADO"),"")</f>
        <v>BESUGO (BSR)</v>
      </c>
      <c r="I1973" s="89" t="n">
        <v>1</v>
      </c>
      <c r="J1973" s="90" t="n">
        <v>2.8</v>
      </c>
      <c r="K1973" s="91" t="n">
        <v>41</v>
      </c>
      <c r="L1973" s="80" t="n">
        <f aca="false">IF(AND(J1973&lt;&gt;"",K1973&lt;&gt;""),J1973*K1973,"")</f>
        <v>114.8</v>
      </c>
      <c r="M1973" s="81" t="n">
        <f aca="false">IF(L1973&lt;&gt;"",L1973*1.1,"")</f>
        <v>126.28</v>
      </c>
      <c r="N1973" s="47" t="n">
        <f aca="false">IF(F1973="S",L1973*0.02,0)</f>
        <v>2.296</v>
      </c>
      <c r="O1973" s="82" t="n">
        <f aca="false">IF(L1973&lt;&gt;"",L1973+N1973,"")</f>
        <v>117.096</v>
      </c>
      <c r="P1973" s="47" t="n">
        <f aca="false">IF(O1973&lt;&gt;"",O1973*0.1,"")</f>
        <v>11.7096</v>
      </c>
      <c r="Q1973" s="83" t="n">
        <f aca="false">IF(O1973&lt;&gt;"",O1973+P1973,"")</f>
        <v>128.8056</v>
      </c>
      <c r="R1973" s="84" t="s">
        <v>365</v>
      </c>
    </row>
    <row r="1974" customFormat="false" ht="15" hidden="false" customHeight="true" outlineLevel="0" collapsed="false">
      <c r="A1974" s="103" t="n">
        <v>56438</v>
      </c>
      <c r="B1974" s="85" t="n">
        <v>46273</v>
      </c>
      <c r="C1974" s="86" t="s">
        <v>840</v>
      </c>
      <c r="D1974" s="87" t="n">
        <v>50232</v>
      </c>
      <c r="E1974" s="52" t="str">
        <f aca="false">IF(D1974&lt;&gt;"",IFERROR(VLOOKUP(D1974,PROVEEDORES!$A:$B,2,0),"!COD NO ENCONTRADO"),"")</f>
        <v>XESTION NOVA LONXA RIVEIRA S.L.</v>
      </c>
      <c r="F1974" s="76" t="str">
        <f aca="false">IF(D1974&lt;&gt;"",IFERROR(VLOOKUP(D1974,PROVEEDORES!$A:$C,3,0),""),"")</f>
        <v>S</v>
      </c>
      <c r="G1974" s="75" t="s">
        <v>83</v>
      </c>
      <c r="H1974" s="52" t="str">
        <f aca="false">IF(G1974&lt;&gt;"",IFERROR(VLOOKUP(G1974,PRODUCTOS!$A:$B,2,0),"!COD NO ENCONTRADO"),"")</f>
        <v>BESUGO (BSR)</v>
      </c>
      <c r="I1974" s="77" t="n">
        <v>1</v>
      </c>
      <c r="J1974" s="78" t="n">
        <v>7.5</v>
      </c>
      <c r="K1974" s="79" t="n">
        <v>43</v>
      </c>
      <c r="L1974" s="80" t="n">
        <f aca="false">IF(AND(J1974&lt;&gt;"",K1974&lt;&gt;""),J1974*K1974,"")</f>
        <v>322.5</v>
      </c>
      <c r="M1974" s="81" t="n">
        <f aca="false">IF(L1974&lt;&gt;"",L1974*1.1,"")</f>
        <v>354.75</v>
      </c>
      <c r="N1974" s="53" t="n">
        <f aca="false">IF(F1974="S",L1974*0.02,0)</f>
        <v>6.45</v>
      </c>
      <c r="O1974" s="82" t="n">
        <f aca="false">IF(L1974&lt;&gt;"",L1974+N1974,"")</f>
        <v>328.95</v>
      </c>
      <c r="P1974" s="53" t="n">
        <f aca="false">IF(O1974&lt;&gt;"",O1974*0.1,"")</f>
        <v>32.895</v>
      </c>
      <c r="Q1974" s="83" t="n">
        <f aca="false">IF(O1974&lt;&gt;"",O1974+P1974,"")</f>
        <v>361.845</v>
      </c>
      <c r="R1974" s="84" t="s">
        <v>365</v>
      </c>
    </row>
    <row r="1975" customFormat="false" ht="15" hidden="false" customHeight="true" outlineLevel="0" collapsed="false">
      <c r="A1975" s="103" t="n">
        <v>56438</v>
      </c>
      <c r="B1975" s="85" t="n">
        <v>46273</v>
      </c>
      <c r="C1975" s="86" t="s">
        <v>840</v>
      </c>
      <c r="D1975" s="87" t="n">
        <v>50232</v>
      </c>
      <c r="E1975" s="46" t="str">
        <f aca="false">IF(D1975&lt;&gt;"",IFERROR(VLOOKUP(D1975,PROVEEDORES!$A:$B,2,0),"!COD NO ENCONTRADO"),"")</f>
        <v>XESTION NOVA LONXA RIVEIRA S.L.</v>
      </c>
      <c r="F1975" s="88" t="str">
        <f aca="false">IF(D1975&lt;&gt;"",IFERROR(VLOOKUP(D1975,PROVEEDORES!$A:$C,3,0),""),"")</f>
        <v>S</v>
      </c>
      <c r="G1975" s="87" t="s">
        <v>83</v>
      </c>
      <c r="H1975" s="46" t="str">
        <f aca="false">IF(G1975&lt;&gt;"",IFERROR(VLOOKUP(G1975,PRODUCTOS!$A:$B,2,0),"!COD NO ENCONTRADO"),"")</f>
        <v>BESUGO (BSR)</v>
      </c>
      <c r="I1975" s="89" t="n">
        <v>1</v>
      </c>
      <c r="J1975" s="90" t="n">
        <v>5.3</v>
      </c>
      <c r="K1975" s="91" t="n">
        <v>44.5</v>
      </c>
      <c r="L1975" s="80" t="n">
        <f aca="false">IF(AND(J1975&lt;&gt;"",K1975&lt;&gt;""),J1975*K1975,"")</f>
        <v>235.85</v>
      </c>
      <c r="M1975" s="81" t="n">
        <f aca="false">IF(L1975&lt;&gt;"",L1975*1.1,"")</f>
        <v>259.435</v>
      </c>
      <c r="N1975" s="47" t="n">
        <f aca="false">IF(F1975="S",L1975*0.02,0)</f>
        <v>4.717</v>
      </c>
      <c r="O1975" s="82" t="n">
        <f aca="false">IF(L1975&lt;&gt;"",L1975+N1975,"")</f>
        <v>240.567</v>
      </c>
      <c r="P1975" s="47" t="n">
        <f aca="false">IF(O1975&lt;&gt;"",O1975*0.1,"")</f>
        <v>24.0567</v>
      </c>
      <c r="Q1975" s="83" t="n">
        <f aca="false">IF(O1975&lt;&gt;"",O1975+P1975,"")</f>
        <v>264.6237</v>
      </c>
      <c r="R1975" s="84" t="s">
        <v>365</v>
      </c>
    </row>
    <row r="1976" customFormat="false" ht="15" hidden="false" customHeight="true" outlineLevel="0" collapsed="false">
      <c r="A1976" s="103" t="n">
        <v>56438</v>
      </c>
      <c r="B1976" s="85" t="n">
        <v>46273</v>
      </c>
      <c r="C1976" s="86" t="s">
        <v>840</v>
      </c>
      <c r="D1976" s="87" t="n">
        <v>50232</v>
      </c>
      <c r="E1976" s="52" t="str">
        <f aca="false">IF(D1976&lt;&gt;"",IFERROR(VLOOKUP(D1976,PROVEEDORES!$A:$B,2,0),"!COD NO ENCONTRADO"),"")</f>
        <v>XESTION NOVA LONXA RIVEIRA S.L.</v>
      </c>
      <c r="F1976" s="76" t="str">
        <f aca="false">IF(D1976&lt;&gt;"",IFERROR(VLOOKUP(D1976,PROVEEDORES!$A:$C,3,0),""),"")</f>
        <v>S</v>
      </c>
      <c r="G1976" s="75" t="s">
        <v>332</v>
      </c>
      <c r="H1976" s="52" t="str">
        <f aca="false">IF(G1976&lt;&gt;"",IFERROR(VLOOKUP(G1976,PRODUCTOS!$A:$B,2,0),"!COD NO ENCONTRADO"),"")</f>
        <v>VARIADO PEQUEÑO</v>
      </c>
      <c r="I1976" s="77" t="n">
        <v>1</v>
      </c>
      <c r="J1976" s="78" t="n">
        <v>6.25</v>
      </c>
      <c r="K1976" s="79" t="n">
        <v>2</v>
      </c>
      <c r="L1976" s="80" t="n">
        <f aca="false">IF(AND(J1976&lt;&gt;"",K1976&lt;&gt;""),J1976*K1976,"")</f>
        <v>12.5</v>
      </c>
      <c r="M1976" s="81" t="n">
        <f aca="false">IF(L1976&lt;&gt;"",L1976*1.1,"")</f>
        <v>13.75</v>
      </c>
      <c r="N1976" s="53" t="n">
        <f aca="false">IF(F1976="S",L1976*0.02,0)</f>
        <v>0.25</v>
      </c>
      <c r="O1976" s="82" t="n">
        <f aca="false">IF(L1976&lt;&gt;"",L1976+N1976,"")</f>
        <v>12.75</v>
      </c>
      <c r="P1976" s="53" t="n">
        <f aca="false">IF(O1976&lt;&gt;"",O1976*0.1,"")</f>
        <v>1.275</v>
      </c>
      <c r="Q1976" s="83" t="n">
        <f aca="false">IF(O1976&lt;&gt;"",O1976+P1976,"")</f>
        <v>14.025</v>
      </c>
      <c r="R1976" s="84" t="s">
        <v>365</v>
      </c>
    </row>
    <row r="1977" customFormat="false" ht="15" hidden="false" customHeight="true" outlineLevel="0" collapsed="false">
      <c r="A1977" s="103" t="n">
        <v>56438</v>
      </c>
      <c r="B1977" s="85" t="n">
        <v>46273</v>
      </c>
      <c r="C1977" s="86" t="s">
        <v>840</v>
      </c>
      <c r="D1977" s="87" t="n">
        <v>50232</v>
      </c>
      <c r="E1977" s="46" t="str">
        <f aca="false">IF(D1977&lt;&gt;"",IFERROR(VLOOKUP(D1977,PROVEEDORES!$A:$B,2,0),"!COD NO ENCONTRADO"),"")</f>
        <v>XESTION NOVA LONXA RIVEIRA S.L.</v>
      </c>
      <c r="F1977" s="88" t="str">
        <f aca="false">IF(D1977&lt;&gt;"",IFERROR(VLOOKUP(D1977,PROVEEDORES!$A:$C,3,0),""),"")</f>
        <v>S</v>
      </c>
      <c r="G1977" s="87" t="s">
        <v>332</v>
      </c>
      <c r="H1977" s="46" t="str">
        <f aca="false">IF(G1977&lt;&gt;"",IFERROR(VLOOKUP(G1977,PRODUCTOS!$A:$B,2,0),"!COD NO ENCONTRADO"),"")</f>
        <v>VARIADO PEQUEÑO</v>
      </c>
      <c r="I1977" s="89" t="n">
        <v>4</v>
      </c>
      <c r="J1977" s="90" t="n">
        <v>34</v>
      </c>
      <c r="K1977" s="91" t="n">
        <v>1.5</v>
      </c>
      <c r="L1977" s="80" t="n">
        <f aca="false">IF(AND(J1977&lt;&gt;"",K1977&lt;&gt;""),J1977*K1977,"")</f>
        <v>51</v>
      </c>
      <c r="M1977" s="81" t="n">
        <f aca="false">IF(L1977&lt;&gt;"",L1977*1.1,"")</f>
        <v>56.1</v>
      </c>
      <c r="N1977" s="47" t="n">
        <f aca="false">IF(F1977="S",L1977*0.02,0)</f>
        <v>1.02</v>
      </c>
      <c r="O1977" s="82" t="n">
        <f aca="false">IF(L1977&lt;&gt;"",L1977+N1977,"")</f>
        <v>52.02</v>
      </c>
      <c r="P1977" s="47" t="n">
        <f aca="false">IF(O1977&lt;&gt;"",O1977*0.1,"")</f>
        <v>5.202</v>
      </c>
      <c r="Q1977" s="83" t="n">
        <f aca="false">IF(O1977&lt;&gt;"",O1977+P1977,"")</f>
        <v>57.222</v>
      </c>
      <c r="R1977" s="84" t="s">
        <v>365</v>
      </c>
    </row>
    <row r="1978" customFormat="false" ht="15" hidden="false" customHeight="true" outlineLevel="0" collapsed="false">
      <c r="A1978" s="103" t="n">
        <v>56438</v>
      </c>
      <c r="B1978" s="85" t="n">
        <v>46273</v>
      </c>
      <c r="C1978" s="86" t="s">
        <v>840</v>
      </c>
      <c r="D1978" s="87" t="n">
        <v>50232</v>
      </c>
      <c r="E1978" s="52" t="str">
        <f aca="false">IF(D1978&lt;&gt;"",IFERROR(VLOOKUP(D1978,PROVEEDORES!$A:$B,2,0),"!COD NO ENCONTRADO"),"")</f>
        <v>XESTION NOVA LONXA RIVEIRA S.L.</v>
      </c>
      <c r="F1978" s="76" t="str">
        <f aca="false">IF(D1978&lt;&gt;"",IFERROR(VLOOKUP(D1978,PROVEEDORES!$A:$C,3,0),""),"")</f>
        <v>S</v>
      </c>
      <c r="G1978" s="75" t="s">
        <v>270</v>
      </c>
      <c r="H1978" s="52" t="str">
        <f aca="false">IF(G1978&lt;&gt;"",IFERROR(VLOOKUP(G1978,PRODUCTOS!$A:$B,2,0),"!COD NO ENCONTRADO"),"")</f>
        <v>PEON/ PION (ATP)</v>
      </c>
      <c r="I1978" s="77" t="n">
        <v>7</v>
      </c>
      <c r="J1978" s="78" t="n">
        <v>33.25</v>
      </c>
      <c r="K1978" s="79" t="n">
        <v>4.5</v>
      </c>
      <c r="L1978" s="80" t="n">
        <f aca="false">IF(AND(J1978&lt;&gt;"",K1978&lt;&gt;""),J1978*K1978,"")</f>
        <v>149.625</v>
      </c>
      <c r="M1978" s="81" t="n">
        <f aca="false">IF(L1978&lt;&gt;"",L1978*1.1,"")</f>
        <v>164.5875</v>
      </c>
      <c r="N1978" s="53" t="n">
        <f aca="false">IF(F1978="S",L1978*0.02,0)</f>
        <v>2.9925</v>
      </c>
      <c r="O1978" s="82" t="n">
        <f aca="false">IF(L1978&lt;&gt;"",L1978+N1978,"")</f>
        <v>152.6175</v>
      </c>
      <c r="P1978" s="53" t="n">
        <f aca="false">IF(O1978&lt;&gt;"",O1978*0.1,"")</f>
        <v>15.26175</v>
      </c>
      <c r="Q1978" s="83" t="n">
        <f aca="false">IF(O1978&lt;&gt;"",O1978+P1978,"")</f>
        <v>167.87925</v>
      </c>
      <c r="R1978" s="84" t="s">
        <v>365</v>
      </c>
    </row>
    <row r="1979" customFormat="false" ht="15" hidden="false" customHeight="true" outlineLevel="0" collapsed="false">
      <c r="A1979" s="103" t="n">
        <v>56438</v>
      </c>
      <c r="B1979" s="85" t="n">
        <v>46273</v>
      </c>
      <c r="C1979" s="86" t="s">
        <v>840</v>
      </c>
      <c r="D1979" s="87" t="n">
        <v>50232</v>
      </c>
      <c r="E1979" s="46" t="str">
        <f aca="false">IF(D1979&lt;&gt;"",IFERROR(VLOOKUP(D1979,PROVEEDORES!$A:$B,2,0),"!COD NO ENCONTRADO"),"")</f>
        <v>XESTION NOVA LONXA RIVEIRA S.L.</v>
      </c>
      <c r="F1979" s="88" t="str">
        <f aca="false">IF(D1979&lt;&gt;"",IFERROR(VLOOKUP(D1979,PROVEEDORES!$A:$C,3,0),""),"")</f>
        <v>S</v>
      </c>
      <c r="G1979" s="87" t="s">
        <v>316</v>
      </c>
      <c r="H1979" s="46" t="str">
        <f aca="false">IF(G1979&lt;&gt;"",IFERROR(VLOOKUP(G1979,PRODUCTOS!$A:$B,2,0),"!COD NO ENCONTRADO"),"")</f>
        <v>SALMONETE ROCA (MUR)</v>
      </c>
      <c r="I1979" s="89" t="n">
        <v>1</v>
      </c>
      <c r="J1979" s="90" t="n">
        <v>5.4</v>
      </c>
      <c r="K1979" s="91" t="n">
        <v>14</v>
      </c>
      <c r="L1979" s="80" t="n">
        <f aca="false">IF(AND(J1979&lt;&gt;"",K1979&lt;&gt;""),J1979*K1979,"")</f>
        <v>75.6</v>
      </c>
      <c r="M1979" s="81" t="n">
        <f aca="false">IF(L1979&lt;&gt;"",L1979*1.1,"")</f>
        <v>83.16</v>
      </c>
      <c r="N1979" s="47" t="n">
        <f aca="false">IF(F1979="S",L1979*0.02,0)</f>
        <v>1.512</v>
      </c>
      <c r="O1979" s="82" t="n">
        <f aca="false">IF(L1979&lt;&gt;"",L1979+N1979,"")</f>
        <v>77.112</v>
      </c>
      <c r="P1979" s="47" t="n">
        <f aca="false">IF(O1979&lt;&gt;"",O1979*0.1,"")</f>
        <v>7.7112</v>
      </c>
      <c r="Q1979" s="83" t="n">
        <f aca="false">IF(O1979&lt;&gt;"",O1979+P1979,"")</f>
        <v>84.8232</v>
      </c>
      <c r="R1979" s="84" t="s">
        <v>365</v>
      </c>
    </row>
    <row r="1980" customFormat="false" ht="15" hidden="false" customHeight="true" outlineLevel="0" collapsed="false">
      <c r="A1980" s="103" t="n">
        <v>56438</v>
      </c>
      <c r="B1980" s="85" t="n">
        <v>46273</v>
      </c>
      <c r="C1980" s="86" t="s">
        <v>840</v>
      </c>
      <c r="D1980" s="87" t="n">
        <v>50232</v>
      </c>
      <c r="E1980" s="52" t="str">
        <f aca="false">IF(D1980&lt;&gt;"",IFERROR(VLOOKUP(D1980,PROVEEDORES!$A:$B,2,0),"!COD NO ENCONTRADO"),"")</f>
        <v>XESTION NOVA LONXA RIVEIRA S.L.</v>
      </c>
      <c r="F1980" s="76" t="str">
        <f aca="false">IF(D1980&lt;&gt;"",IFERROR(VLOOKUP(D1980,PROVEEDORES!$A:$C,3,0),""),"")</f>
        <v>S</v>
      </c>
      <c r="G1980" s="75" t="s">
        <v>97</v>
      </c>
      <c r="H1980" s="52" t="str">
        <f aca="false">IF(G1980&lt;&gt;"",IFERROR(VLOOKUP(G1980,PRODUCTOS!$A:$B,2,0),"!COD NO ENCONTRADO"),"")</f>
        <v>CABALL/ SARDA/ VERDEL (MAC)</v>
      </c>
      <c r="I1980" s="77" t="n">
        <v>4</v>
      </c>
      <c r="J1980" s="78" t="n">
        <v>13.5</v>
      </c>
      <c r="K1980" s="79" t="n">
        <v>3.3</v>
      </c>
      <c r="L1980" s="80" t="n">
        <f aca="false">IF(AND(J1980&lt;&gt;"",K1980&lt;&gt;""),J1980*K1980,"")</f>
        <v>44.55</v>
      </c>
      <c r="M1980" s="81" t="n">
        <f aca="false">IF(L1980&lt;&gt;"",L1980*1.1,"")</f>
        <v>49.005</v>
      </c>
      <c r="N1980" s="53" t="n">
        <f aca="false">IF(F1980="S",L1980*0.02,0)</f>
        <v>0.891</v>
      </c>
      <c r="O1980" s="82" t="n">
        <f aca="false">IF(L1980&lt;&gt;"",L1980+N1980,"")</f>
        <v>45.441</v>
      </c>
      <c r="P1980" s="53" t="n">
        <f aca="false">IF(O1980&lt;&gt;"",O1980*0.1,"")</f>
        <v>4.5441</v>
      </c>
      <c r="Q1980" s="83" t="n">
        <f aca="false">IF(O1980&lt;&gt;"",O1980+P1980,"")</f>
        <v>49.9851</v>
      </c>
      <c r="R1980" s="84" t="s">
        <v>365</v>
      </c>
    </row>
    <row r="1981" customFormat="false" ht="15" hidden="false" customHeight="true" outlineLevel="0" collapsed="false">
      <c r="A1981" s="103" t="n">
        <v>56438</v>
      </c>
      <c r="B1981" s="85" t="n">
        <v>46273</v>
      </c>
      <c r="C1981" s="86" t="s">
        <v>840</v>
      </c>
      <c r="D1981" s="87" t="n">
        <v>50232</v>
      </c>
      <c r="E1981" s="46" t="str">
        <f aca="false">IF(D1981&lt;&gt;"",IFERROR(VLOOKUP(D1981,PROVEEDORES!$A:$B,2,0),"!COD NO ENCONTRADO"),"")</f>
        <v>XESTION NOVA LONXA RIVEIRA S.L.</v>
      </c>
      <c r="F1981" s="88" t="str">
        <f aca="false">IF(D1981&lt;&gt;"",IFERROR(VLOOKUP(D1981,PROVEEDORES!$A:$C,3,0),""),"")</f>
        <v>S</v>
      </c>
      <c r="G1981" s="87" t="s">
        <v>183</v>
      </c>
      <c r="H1981" s="46" t="str">
        <f aca="false">IF(G1981&lt;&gt;"",IFERROR(VLOOKUP(G1981,PRODUCTOS!$A:$B,2,0),"!COD NO ENCONTRADO"),"")</f>
        <v>LUBINA RIA/ ROBALIZA (BSS)</v>
      </c>
      <c r="I1981" s="89" t="n">
        <v>4</v>
      </c>
      <c r="J1981" s="90" t="n">
        <v>13.1</v>
      </c>
      <c r="K1981" s="91" t="n">
        <v>26.5</v>
      </c>
      <c r="L1981" s="80" t="n">
        <f aca="false">IF(AND(J1981&lt;&gt;"",K1981&lt;&gt;""),J1981*K1981,"")</f>
        <v>347.15</v>
      </c>
      <c r="M1981" s="81" t="n">
        <f aca="false">IF(L1981&lt;&gt;"",L1981*1.1,"")</f>
        <v>381.865</v>
      </c>
      <c r="N1981" s="47" t="n">
        <f aca="false">IF(F1981="S",L1981*0.02,0)</f>
        <v>6.943</v>
      </c>
      <c r="O1981" s="82" t="n">
        <f aca="false">IF(L1981&lt;&gt;"",L1981+N1981,"")</f>
        <v>354.093</v>
      </c>
      <c r="P1981" s="47" t="n">
        <f aca="false">IF(O1981&lt;&gt;"",O1981*0.1,"")</f>
        <v>35.4093</v>
      </c>
      <c r="Q1981" s="83" t="n">
        <f aca="false">IF(O1981&lt;&gt;"",O1981+P1981,"")</f>
        <v>389.5023</v>
      </c>
      <c r="R1981" s="84" t="s">
        <v>365</v>
      </c>
    </row>
    <row r="1982" customFormat="false" ht="15" hidden="false" customHeight="true" outlineLevel="0" collapsed="false">
      <c r="A1982" s="103" t="n">
        <v>56438</v>
      </c>
      <c r="B1982" s="85" t="n">
        <v>46273</v>
      </c>
      <c r="C1982" s="86" t="s">
        <v>840</v>
      </c>
      <c r="D1982" s="87" t="n">
        <v>50232</v>
      </c>
      <c r="E1982" s="52" t="str">
        <f aca="false">IF(D1982&lt;&gt;"",IFERROR(VLOOKUP(D1982,PROVEEDORES!$A:$B,2,0),"!COD NO ENCONTRADO"),"")</f>
        <v>XESTION NOVA LONXA RIVEIRA S.L.</v>
      </c>
      <c r="F1982" s="76" t="str">
        <f aca="false">IF(D1982&lt;&gt;"",IFERROR(VLOOKUP(D1982,PROVEEDORES!$A:$C,3,0),""),"")</f>
        <v>S</v>
      </c>
      <c r="G1982" s="75" t="s">
        <v>304</v>
      </c>
      <c r="H1982" s="52" t="str">
        <f aca="false">IF(G1982&lt;&gt;"",IFERROR(VLOOKUP(G1982,PRODUCTOS!$A:$B,2,0),"!COD NO ENCONTRADO"),"")</f>
        <v>RAYA SPP (SKA)</v>
      </c>
      <c r="I1982" s="77" t="n">
        <v>1</v>
      </c>
      <c r="J1982" s="78" t="n">
        <v>2.1</v>
      </c>
      <c r="K1982" s="79" t="n">
        <v>2</v>
      </c>
      <c r="L1982" s="80" t="n">
        <f aca="false">IF(AND(J1982&lt;&gt;"",K1982&lt;&gt;""),J1982*K1982,"")</f>
        <v>4.2</v>
      </c>
      <c r="M1982" s="81" t="n">
        <f aca="false">IF(L1982&lt;&gt;"",L1982*1.1,"")</f>
        <v>4.62</v>
      </c>
      <c r="N1982" s="53" t="n">
        <f aca="false">IF(F1982="S",L1982*0.02,0)</f>
        <v>0.084</v>
      </c>
      <c r="O1982" s="82" t="n">
        <f aca="false">IF(L1982&lt;&gt;"",L1982+N1982,"")</f>
        <v>4.284</v>
      </c>
      <c r="P1982" s="53" t="n">
        <f aca="false">IF(O1982&lt;&gt;"",O1982*0.1,"")</f>
        <v>0.4284</v>
      </c>
      <c r="Q1982" s="83" t="n">
        <f aca="false">IF(O1982&lt;&gt;"",O1982+P1982,"")</f>
        <v>4.7124</v>
      </c>
      <c r="R1982" s="84" t="s">
        <v>365</v>
      </c>
    </row>
    <row r="1983" customFormat="false" ht="15" hidden="false" customHeight="true" outlineLevel="0" collapsed="false">
      <c r="A1983" s="103" t="n">
        <v>56438</v>
      </c>
      <c r="B1983" s="85" t="n">
        <v>46273</v>
      </c>
      <c r="C1983" s="86" t="s">
        <v>840</v>
      </c>
      <c r="D1983" s="87" t="n">
        <v>50232</v>
      </c>
      <c r="E1983" s="46" t="str">
        <f aca="false">IF(D1983&lt;&gt;"",IFERROR(VLOOKUP(D1983,PROVEEDORES!$A:$B,2,0),"!COD NO ENCONTRADO"),"")</f>
        <v>XESTION NOVA LONXA RIVEIRA S.L.</v>
      </c>
      <c r="F1983" s="88" t="str">
        <f aca="false">IF(D1983&lt;&gt;"",IFERROR(VLOOKUP(D1983,PROVEEDORES!$A:$C,3,0),""),"")</f>
        <v>S</v>
      </c>
      <c r="G1983" s="87" t="s">
        <v>304</v>
      </c>
      <c r="H1983" s="46" t="str">
        <f aca="false">IF(G1983&lt;&gt;"",IFERROR(VLOOKUP(G1983,PRODUCTOS!$A:$B,2,0),"!COD NO ENCONTRADO"),"")</f>
        <v>RAYA SPP (SKA)</v>
      </c>
      <c r="I1983" s="89" t="n">
        <v>14</v>
      </c>
      <c r="J1983" s="90" t="n">
        <v>105</v>
      </c>
      <c r="K1983" s="91" t="n">
        <v>2.55</v>
      </c>
      <c r="L1983" s="80" t="n">
        <f aca="false">IF(AND(J1983&lt;&gt;"",K1983&lt;&gt;""),J1983*K1983,"")</f>
        <v>267.75</v>
      </c>
      <c r="M1983" s="81" t="n">
        <f aca="false">IF(L1983&lt;&gt;"",L1983*1.1,"")</f>
        <v>294.525</v>
      </c>
      <c r="N1983" s="47" t="n">
        <f aca="false">IF(F1983="S",L1983*0.02,0)</f>
        <v>5.355</v>
      </c>
      <c r="O1983" s="82" t="n">
        <f aca="false">IF(L1983&lt;&gt;"",L1983+N1983,"")</f>
        <v>273.105</v>
      </c>
      <c r="P1983" s="47" t="n">
        <f aca="false">IF(O1983&lt;&gt;"",O1983*0.1,"")</f>
        <v>27.3105</v>
      </c>
      <c r="Q1983" s="83" t="n">
        <f aca="false">IF(O1983&lt;&gt;"",O1983+P1983,"")</f>
        <v>300.4155</v>
      </c>
      <c r="R1983" s="84" t="s">
        <v>365</v>
      </c>
    </row>
    <row r="1984" customFormat="false" ht="15" hidden="false" customHeight="true" outlineLevel="0" collapsed="false">
      <c r="A1984" s="103" t="n">
        <v>56438</v>
      </c>
      <c r="B1984" s="85" t="n">
        <v>46273</v>
      </c>
      <c r="C1984" s="86" t="s">
        <v>840</v>
      </c>
      <c r="D1984" s="87" t="n">
        <v>50232</v>
      </c>
      <c r="E1984" s="52" t="str">
        <f aca="false">IF(D1984&lt;&gt;"",IFERROR(VLOOKUP(D1984,PROVEEDORES!$A:$B,2,0),"!COD NO ENCONTRADO"),"")</f>
        <v>XESTION NOVA LONXA RIVEIRA S.L.</v>
      </c>
      <c r="F1984" s="76" t="str">
        <f aca="false">IF(D1984&lt;&gt;"",IFERROR(VLOOKUP(D1984,PROVEEDORES!$A:$C,3,0),""),"")</f>
        <v>S</v>
      </c>
      <c r="G1984" s="75" t="s">
        <v>179</v>
      </c>
      <c r="H1984" s="52" t="str">
        <f aca="false">IF(G1984&lt;&gt;"",IFERROR(VLOOKUP(G1984,PRODUCTOS!$A:$B,2,0),"!COD NO ENCONTRADO"),"")</f>
        <v>LIRIO/ BACALADILLA/ PERLA (WHB)</v>
      </c>
      <c r="I1984" s="77" t="n">
        <v>1</v>
      </c>
      <c r="J1984" s="78" t="n">
        <v>118</v>
      </c>
      <c r="K1984" s="141" t="n">
        <v>2.03</v>
      </c>
      <c r="L1984" s="80" t="n">
        <f aca="false">IF(AND(J1984&lt;&gt;"",K1984&lt;&gt;""),J1984*K1984,"")</f>
        <v>239.54</v>
      </c>
      <c r="M1984" s="81" t="n">
        <f aca="false">IF(L1984&lt;&gt;"",L1984*1.1,"")</f>
        <v>263.494</v>
      </c>
      <c r="N1984" s="53" t="n">
        <f aca="false">IF(F1984="S",L1984*0.02,0)</f>
        <v>4.7908</v>
      </c>
      <c r="O1984" s="82" t="n">
        <f aca="false">IF(L1984&lt;&gt;"",L1984+N1984,"")</f>
        <v>244.3308</v>
      </c>
      <c r="P1984" s="53" t="n">
        <f aca="false">IF(O1984&lt;&gt;"",O1984*0.1,"")</f>
        <v>24.43308</v>
      </c>
      <c r="Q1984" s="83" t="n">
        <f aca="false">IF(O1984&lt;&gt;"",O1984+P1984,"")</f>
        <v>268.76388</v>
      </c>
      <c r="R1984" s="84" t="s">
        <v>365</v>
      </c>
    </row>
    <row r="1985" customFormat="false" ht="15" hidden="false" customHeight="true" outlineLevel="0" collapsed="false">
      <c r="A1985" s="103" t="n">
        <v>56438</v>
      </c>
      <c r="B1985" s="85" t="n">
        <v>46273</v>
      </c>
      <c r="C1985" s="86" t="s">
        <v>840</v>
      </c>
      <c r="D1985" s="87" t="n">
        <v>50232</v>
      </c>
      <c r="E1985" s="46" t="str">
        <f aca="false">IF(D1985&lt;&gt;"",IFERROR(VLOOKUP(D1985,PROVEEDORES!$A:$B,2,0),"!COD NO ENCONTRADO"),"")</f>
        <v>XESTION NOVA LONXA RIVEIRA S.L.</v>
      </c>
      <c r="F1985" s="88" t="str">
        <f aca="false">IF(D1985&lt;&gt;"",IFERROR(VLOOKUP(D1985,PROVEEDORES!$A:$C,3,0),""),"")</f>
        <v>S</v>
      </c>
      <c r="G1985" s="87" t="s">
        <v>179</v>
      </c>
      <c r="H1985" s="46" t="str">
        <f aca="false">IF(G1985&lt;&gt;"",IFERROR(VLOOKUP(G1985,PRODUCTOS!$A:$B,2,0),"!COD NO ENCONTRADO"),"")</f>
        <v>LIRIO/ BACALADILLA/ PERLA (WHB)</v>
      </c>
      <c r="I1985" s="89" t="n">
        <v>1</v>
      </c>
      <c r="J1985" s="90" t="n">
        <v>200</v>
      </c>
      <c r="K1985" s="141" t="n">
        <v>2</v>
      </c>
      <c r="L1985" s="80" t="n">
        <f aca="false">IF(AND(J1985&lt;&gt;"",K1985&lt;&gt;""),J1985*K1985,"")</f>
        <v>400</v>
      </c>
      <c r="M1985" s="81" t="n">
        <f aca="false">IF(L1985&lt;&gt;"",L1985*1.1,"")</f>
        <v>440</v>
      </c>
      <c r="N1985" s="47" t="n">
        <f aca="false">IF(F1985="S",L1985*0.02,0)</f>
        <v>8</v>
      </c>
      <c r="O1985" s="82" t="n">
        <f aca="false">IF(L1985&lt;&gt;"",L1985+N1985,"")</f>
        <v>408</v>
      </c>
      <c r="P1985" s="47" t="n">
        <f aca="false">IF(O1985&lt;&gt;"",O1985*0.1,"")</f>
        <v>40.8</v>
      </c>
      <c r="Q1985" s="83" t="n">
        <f aca="false">IF(O1985&lt;&gt;"",O1985+P1985,"")</f>
        <v>448.8</v>
      </c>
      <c r="R1985" s="84" t="s">
        <v>365</v>
      </c>
    </row>
    <row r="1986" customFormat="false" ht="15" hidden="false" customHeight="true" outlineLevel="0" collapsed="false">
      <c r="A1986" s="103" t="n">
        <v>56438</v>
      </c>
      <c r="B1986" s="85" t="n">
        <v>46273</v>
      </c>
      <c r="C1986" s="86" t="s">
        <v>840</v>
      </c>
      <c r="D1986" s="87" t="n">
        <v>50232</v>
      </c>
      <c r="E1986" s="46" t="str">
        <f aca="false">IF(D1986&lt;&gt;"",IFERROR(VLOOKUP(D1986,PROVEEDORES!$A:$B,2,0),"!COD NO ENCONTRADO"),"")</f>
        <v>XESTION NOVA LONXA RIVEIRA S.L.</v>
      </c>
      <c r="F1986" s="76" t="str">
        <f aca="false">IF(D1986&lt;&gt;"",IFERROR(VLOOKUP(D1986,PROVEEDORES!$A:$C,3,0),""),"")</f>
        <v>S</v>
      </c>
      <c r="G1986" s="75" t="s">
        <v>179</v>
      </c>
      <c r="H1986" s="52" t="str">
        <f aca="false">IF(G1986&lt;&gt;"",IFERROR(VLOOKUP(G1986,PRODUCTOS!$A:$B,2,0),"!COD NO ENCONTRADO"),"")</f>
        <v>LIRIO/ BACALADILLA/ PERLA (WHB)</v>
      </c>
      <c r="I1986" s="77" t="n">
        <v>10</v>
      </c>
      <c r="J1986" s="121" t="n">
        <v>145.5</v>
      </c>
      <c r="K1986" s="141" t="n">
        <v>2.2</v>
      </c>
      <c r="L1986" s="80" t="n">
        <f aca="false">IF(AND(J1986&lt;&gt;"",K1986&lt;&gt;""),J1986*K1986,"")</f>
        <v>320.1</v>
      </c>
      <c r="M1986" s="81" t="n">
        <f aca="false">IF(L1986&lt;&gt;"",L1986*1.1,"")</f>
        <v>352.11</v>
      </c>
      <c r="N1986" s="53" t="n">
        <f aca="false">IF(F1986="S",L1986*0.02,0)</f>
        <v>6.402</v>
      </c>
      <c r="O1986" s="82" t="n">
        <f aca="false">IF(L1986&lt;&gt;"",L1986+N1986,"")</f>
        <v>326.502</v>
      </c>
      <c r="P1986" s="53" t="n">
        <f aca="false">IF(O1986&lt;&gt;"",O1986*0.1,"")</f>
        <v>32.6502</v>
      </c>
      <c r="Q1986" s="83" t="n">
        <f aca="false">IF(O1986&lt;&gt;"",O1986+P1986,"")</f>
        <v>359.1522</v>
      </c>
      <c r="R1986" s="84" t="s">
        <v>365</v>
      </c>
    </row>
    <row r="1987" customFormat="false" ht="15" hidden="false" customHeight="true" outlineLevel="0" collapsed="false">
      <c r="A1987" s="103" t="n">
        <v>56439</v>
      </c>
      <c r="B1987" s="85" t="n">
        <v>46273</v>
      </c>
      <c r="C1987" s="86"/>
      <c r="D1987" s="87" t="n">
        <v>50001</v>
      </c>
      <c r="E1987" s="46" t="str">
        <f aca="false">IF(D1987&lt;&gt;"",IFERROR(VLOOKUP(D1987,PROVEEDORES!$A:$B,2,0),"!COD NO ENCONTRADO"),"")</f>
        <v>COPESA</v>
      </c>
      <c r="F1987" s="88" t="str">
        <f aca="false">IF(D1987&lt;&gt;"",IFERROR(VLOOKUP(D1987,PROVEEDORES!$A:$C,3,0),""),"")</f>
        <v>S</v>
      </c>
      <c r="G1987" s="87" t="s">
        <v>332</v>
      </c>
      <c r="H1987" s="46" t="str">
        <f aca="false">IF(G1987&lt;&gt;"",IFERROR(VLOOKUP(G1987,PRODUCTOS!$A:$B,2,0),"!COD NO ENCONTRADO"),"")</f>
        <v>VARIADO PEQUEÑO</v>
      </c>
      <c r="I1987" s="89" t="n">
        <v>1</v>
      </c>
      <c r="J1987" s="148" t="n">
        <v>7.25</v>
      </c>
      <c r="K1987" s="149" t="n">
        <v>0.5</v>
      </c>
      <c r="L1987" s="80" t="n">
        <f aca="false">IF(AND(J1987&lt;&gt;"",K1987&lt;&gt;""),J1987*K1987,"")</f>
        <v>3.625</v>
      </c>
      <c r="M1987" s="81" t="n">
        <f aca="false">IF(L1987&lt;&gt;"",L1987*1.1,"")</f>
        <v>3.9875</v>
      </c>
      <c r="N1987" s="47" t="n">
        <f aca="false">IF(F1987="S",L1987*0.02,0)</f>
        <v>0.0725</v>
      </c>
      <c r="O1987" s="82" t="n">
        <f aca="false">IF(L1987&lt;&gt;"",L1987+N1987,"")</f>
        <v>3.6975</v>
      </c>
      <c r="P1987" s="47" t="n">
        <f aca="false">IF(O1987&lt;&gt;"",O1987*0.1,"")</f>
        <v>0.36975</v>
      </c>
      <c r="Q1987" s="83" t="n">
        <f aca="false">IF(O1987&lt;&gt;"",O1987+P1987,"")</f>
        <v>4.06725</v>
      </c>
      <c r="R1987" s="84"/>
    </row>
    <row r="1988" customFormat="false" ht="15" hidden="false" customHeight="true" outlineLevel="0" collapsed="false">
      <c r="A1988" s="103" t="n">
        <v>56439</v>
      </c>
      <c r="B1988" s="85" t="n">
        <v>46273</v>
      </c>
      <c r="C1988" s="86" t="s">
        <v>841</v>
      </c>
      <c r="D1988" s="87" t="n">
        <v>50001</v>
      </c>
      <c r="E1988" s="52" t="str">
        <f aca="false">IF(D1988&lt;&gt;"",IFERROR(VLOOKUP(D1988,PROVEEDORES!$A:$B,2,0),"!COD NO ENCONTRADO"),"")</f>
        <v>COPESA</v>
      </c>
      <c r="F1988" s="76" t="str">
        <f aca="false">IF(D1988&lt;&gt;"",IFERROR(VLOOKUP(D1988,PROVEEDORES!$A:$C,3,0),""),"")</f>
        <v>S</v>
      </c>
      <c r="G1988" s="75" t="s">
        <v>296</v>
      </c>
      <c r="H1988" s="52" t="str">
        <f aca="false">IF(G1988&lt;&gt;"",IFERROR(VLOOKUP(G1988,PRODUCTOS!$A:$B,2,0),"!COD NO ENCONTRADO"),"")</f>
        <v>RAPE NEGRO (ANK)</v>
      </c>
      <c r="I1988" s="77" t="n">
        <v>3</v>
      </c>
      <c r="J1988" s="105" t="n">
        <v>54.5</v>
      </c>
      <c r="K1988" s="125" t="n">
        <v>5.2</v>
      </c>
      <c r="L1988" s="80" t="n">
        <f aca="false">IF(AND(J1988&lt;&gt;"",K1988&lt;&gt;""),J1988*K1988,"")</f>
        <v>283.4</v>
      </c>
      <c r="M1988" s="81" t="n">
        <f aca="false">IF(L1988&lt;&gt;"",L1988*1.1,"")</f>
        <v>311.74</v>
      </c>
      <c r="N1988" s="53" t="n">
        <f aca="false">IF(F1988="S",L1988*0.02,0)</f>
        <v>5.668</v>
      </c>
      <c r="O1988" s="82" t="n">
        <f aca="false">IF(L1988&lt;&gt;"",L1988+N1988,"")</f>
        <v>289.068</v>
      </c>
      <c r="P1988" s="53" t="n">
        <f aca="false">IF(O1988&lt;&gt;"",O1988*0.1,"")</f>
        <v>28.9068</v>
      </c>
      <c r="Q1988" s="83" t="n">
        <f aca="false">IF(O1988&lt;&gt;"",O1988+P1988,"")</f>
        <v>317.9748</v>
      </c>
      <c r="R1988" s="84" t="s">
        <v>365</v>
      </c>
    </row>
    <row r="1989" customFormat="false" ht="15" hidden="false" customHeight="true" outlineLevel="0" collapsed="false">
      <c r="A1989" s="103" t="n">
        <v>56439</v>
      </c>
      <c r="B1989" s="85" t="n">
        <v>46273</v>
      </c>
      <c r="C1989" s="86" t="s">
        <v>841</v>
      </c>
      <c r="D1989" s="87" t="n">
        <v>50001</v>
      </c>
      <c r="E1989" s="46" t="str">
        <f aca="false">IF(D1989&lt;&gt;"",IFERROR(VLOOKUP(D1989,PROVEEDORES!$A:$B,2,0),"!COD NO ENCONTRADO"),"")</f>
        <v>COPESA</v>
      </c>
      <c r="F1989" s="88" t="str">
        <f aca="false">IF(D1989&lt;&gt;"",IFERROR(VLOOKUP(D1989,PROVEEDORES!$A:$C,3,0),""),"")</f>
        <v>S</v>
      </c>
      <c r="G1989" s="87" t="s">
        <v>276</v>
      </c>
      <c r="H1989" s="46" t="str">
        <f aca="false">IF(G1989&lt;&gt;"",IFERROR(VLOOKUP(G1989,PRODUCTOS!$A:$B,2,0),"!COD NO ENCONTRADO"),"")</f>
        <v>MERLUZA EUROPEA/ FINA DIA </v>
      </c>
      <c r="I1989" s="89" t="n">
        <v>8</v>
      </c>
      <c r="J1989" s="105" t="n">
        <v>51.75</v>
      </c>
      <c r="K1989" s="125" t="n">
        <v>3.1</v>
      </c>
      <c r="L1989" s="80" t="n">
        <f aca="false">IF(AND(J1989&lt;&gt;"",K1989&lt;&gt;""),J1989*K1989,"")</f>
        <v>160.425</v>
      </c>
      <c r="M1989" s="81" t="n">
        <f aca="false">IF(L1989&lt;&gt;"",L1989*1.1,"")</f>
        <v>176.4675</v>
      </c>
      <c r="N1989" s="47" t="n">
        <f aca="false">IF(F1989="S",L1989*0.02,0)</f>
        <v>3.2085</v>
      </c>
      <c r="O1989" s="82" t="n">
        <f aca="false">IF(L1989&lt;&gt;"",L1989+N1989,"")</f>
        <v>163.6335</v>
      </c>
      <c r="P1989" s="47" t="n">
        <f aca="false">IF(O1989&lt;&gt;"",O1989*0.1,"")</f>
        <v>16.36335</v>
      </c>
      <c r="Q1989" s="83" t="n">
        <f aca="false">IF(O1989&lt;&gt;"",O1989+P1989,"")</f>
        <v>179.99685</v>
      </c>
      <c r="R1989" s="84" t="s">
        <v>365</v>
      </c>
    </row>
    <row r="1990" customFormat="false" ht="15" hidden="false" customHeight="true" outlineLevel="0" collapsed="false">
      <c r="A1990" s="103" t="n">
        <v>56439</v>
      </c>
      <c r="B1990" s="85" t="n">
        <v>46273</v>
      </c>
      <c r="C1990" s="86" t="s">
        <v>841</v>
      </c>
      <c r="D1990" s="87" t="n">
        <v>50001</v>
      </c>
      <c r="E1990" s="52" t="str">
        <f aca="false">IF(D1990&lt;&gt;"",IFERROR(VLOOKUP(D1990,PROVEEDORES!$A:$B,2,0),"!COD NO ENCONTRADO"),"")</f>
        <v>COPESA</v>
      </c>
      <c r="F1990" s="76" t="str">
        <f aca="false">IF(D1990&lt;&gt;"",IFERROR(VLOOKUP(D1990,PROVEEDORES!$A:$C,3,0),""),"")</f>
        <v>S</v>
      </c>
      <c r="G1990" s="75" t="s">
        <v>276</v>
      </c>
      <c r="H1990" s="52" t="str">
        <f aca="false">IF(G1990&lt;&gt;"",IFERROR(VLOOKUP(G1990,PRODUCTOS!$A:$B,2,0),"!COD NO ENCONTRADO"),"")</f>
        <v>MERLUZA EUROPEA/ FINA DIA </v>
      </c>
      <c r="I1990" s="77" t="n">
        <v>2</v>
      </c>
      <c r="J1990" s="105" t="n">
        <v>12.5</v>
      </c>
      <c r="K1990" s="125" t="n">
        <v>3.3</v>
      </c>
      <c r="L1990" s="80" t="n">
        <f aca="false">IF(AND(J1990&lt;&gt;"",K1990&lt;&gt;""),J1990*K1990,"")</f>
        <v>41.25</v>
      </c>
      <c r="M1990" s="81" t="n">
        <f aca="false">IF(L1990&lt;&gt;"",L1990*1.1,"")</f>
        <v>45.375</v>
      </c>
      <c r="N1990" s="53" t="n">
        <f aca="false">IF(F1990="S",L1990*0.02,0)</f>
        <v>0.825</v>
      </c>
      <c r="O1990" s="82" t="n">
        <f aca="false">IF(L1990&lt;&gt;"",L1990+N1990,"")</f>
        <v>42.075</v>
      </c>
      <c r="P1990" s="53" t="n">
        <f aca="false">IF(O1990&lt;&gt;"",O1990*0.1,"")</f>
        <v>4.2075</v>
      </c>
      <c r="Q1990" s="83" t="n">
        <f aca="false">IF(O1990&lt;&gt;"",O1990+P1990,"")</f>
        <v>46.2825</v>
      </c>
      <c r="R1990" s="84" t="s">
        <v>365</v>
      </c>
    </row>
    <row r="1991" customFormat="false" ht="15" hidden="false" customHeight="true" outlineLevel="0" collapsed="false">
      <c r="A1991" s="103" t="n">
        <v>56439</v>
      </c>
      <c r="B1991" s="85" t="n">
        <v>46273</v>
      </c>
      <c r="C1991" s="86" t="s">
        <v>841</v>
      </c>
      <c r="D1991" s="87" t="n">
        <v>50001</v>
      </c>
      <c r="E1991" s="46" t="str">
        <f aca="false">IF(D1991&lt;&gt;"",IFERROR(VLOOKUP(D1991,PROVEEDORES!$A:$B,2,0),"!COD NO ENCONTRADO"),"")</f>
        <v>COPESA</v>
      </c>
      <c r="F1991" s="88" t="str">
        <f aca="false">IF(D1991&lt;&gt;"",IFERROR(VLOOKUP(D1991,PROVEEDORES!$A:$C,3,0),""),"")</f>
        <v>S</v>
      </c>
      <c r="G1991" s="87" t="s">
        <v>193</v>
      </c>
      <c r="H1991" s="46" t="str">
        <f aca="false">IF(G1991&lt;&gt;"",IFERROR(VLOOKUP(G1991,PRODUCTOS!$A:$B,2,0),"!COD NO ENCONTRADO"),"")</f>
        <v>MERLUZA EUROPEA ARRASTRE (HKE) </v>
      </c>
      <c r="I1991" s="89" t="n">
        <v>1</v>
      </c>
      <c r="J1991" s="105" t="n">
        <v>5.25</v>
      </c>
      <c r="K1991" s="125" t="n">
        <v>8</v>
      </c>
      <c r="L1991" s="80" t="n">
        <f aca="false">IF(AND(J1991&lt;&gt;"",K1991&lt;&gt;""),J1991*K1991,"")</f>
        <v>42</v>
      </c>
      <c r="M1991" s="81" t="n">
        <f aca="false">IF(L1991&lt;&gt;"",L1991*1.1,"")</f>
        <v>46.2</v>
      </c>
      <c r="N1991" s="47" t="n">
        <f aca="false">IF(F1991="S",L1991*0.02,0)</f>
        <v>0.84</v>
      </c>
      <c r="O1991" s="82" t="n">
        <f aca="false">IF(L1991&lt;&gt;"",L1991+N1991,"")</f>
        <v>42.84</v>
      </c>
      <c r="P1991" s="47" t="n">
        <f aca="false">IF(O1991&lt;&gt;"",O1991*0.1,"")</f>
        <v>4.284</v>
      </c>
      <c r="Q1991" s="83" t="n">
        <f aca="false">IF(O1991&lt;&gt;"",O1991+P1991,"")</f>
        <v>47.124</v>
      </c>
      <c r="R1991" s="84" t="s">
        <v>365</v>
      </c>
    </row>
    <row r="1992" customFormat="false" ht="15" hidden="false" customHeight="true" outlineLevel="0" collapsed="false">
      <c r="A1992" s="103" t="n">
        <v>56440</v>
      </c>
      <c r="B1992" s="73" t="n">
        <v>46273</v>
      </c>
      <c r="C1992" s="74" t="s">
        <v>842</v>
      </c>
      <c r="D1992" s="75" t="n">
        <v>50020</v>
      </c>
      <c r="E1992" s="52" t="str">
        <f aca="false">IF(D1992&lt;&gt;"",IFERROR(VLOOKUP(D1992,PROVEEDORES!$A:$B,2,0),"!COD NO ENCONTRADO"),"")</f>
        <v>PACO MOINELO</v>
      </c>
      <c r="F1992" s="76" t="str">
        <f aca="false">IF(D1992&lt;&gt;"",IFERROR(VLOOKUP(D1992,PROVEEDORES!$A:$C,3,0),""),"")</f>
        <v>S</v>
      </c>
      <c r="G1992" s="75" t="s">
        <v>316</v>
      </c>
      <c r="H1992" s="52" t="str">
        <f aca="false">IF(G1992&lt;&gt;"",IFERROR(VLOOKUP(G1992,PRODUCTOS!$A:$B,2,0),"!COD NO ENCONTRADO"),"")</f>
        <v>SALMONETE ROCA (MUR)</v>
      </c>
      <c r="I1992" s="77" t="n">
        <v>2</v>
      </c>
      <c r="J1992" s="78" t="n">
        <v>0.95</v>
      </c>
      <c r="K1992" s="79" t="n">
        <v>20</v>
      </c>
      <c r="L1992" s="80" t="n">
        <f aca="false">IF(AND(J1992&lt;&gt;"",K1992&lt;&gt;""),J1992*K1992,"")</f>
        <v>19</v>
      </c>
      <c r="M1992" s="81" t="n">
        <f aca="false">IF(L1992&lt;&gt;"",L1992*1.1,"")</f>
        <v>20.9</v>
      </c>
      <c r="N1992" s="53" t="n">
        <f aca="false">IF(F1992="S",L1992*0.02,0)</f>
        <v>0.38</v>
      </c>
      <c r="O1992" s="82" t="n">
        <f aca="false">IF(L1992&lt;&gt;"",L1992+N1992,"")</f>
        <v>19.38</v>
      </c>
      <c r="P1992" s="53" t="n">
        <f aca="false">IF(O1992&lt;&gt;"",O1992*0.1,"")</f>
        <v>1.938</v>
      </c>
      <c r="Q1992" s="83" t="n">
        <f aca="false">IF(O1992&lt;&gt;"",O1992+P1992,"")</f>
        <v>21.318</v>
      </c>
      <c r="R1992" s="84" t="s">
        <v>365</v>
      </c>
    </row>
    <row r="1993" customFormat="false" ht="15" hidden="false" customHeight="true" outlineLevel="0" collapsed="false">
      <c r="A1993" s="103" t="n">
        <v>56441</v>
      </c>
      <c r="B1993" s="85" t="n">
        <v>46273</v>
      </c>
      <c r="C1993" s="86" t="s">
        <v>843</v>
      </c>
      <c r="D1993" s="87" t="n">
        <v>50106</v>
      </c>
      <c r="E1993" s="46" t="str">
        <f aca="false">IF(D1993&lt;&gt;"",IFERROR(VLOOKUP(D1993,PROVEEDORES!$A:$B,2,0),"!COD NO ENCONTRADO"),"")</f>
        <v>SONIA VENTAS S.L</v>
      </c>
      <c r="F1993" s="88" t="str">
        <f aca="false">IF(D1993&lt;&gt;"",IFERROR(VLOOKUP(D1993,PROVEEDORES!$A:$C,3,0),""),"")</f>
        <v>S</v>
      </c>
      <c r="G1993" s="87" t="s">
        <v>221</v>
      </c>
      <c r="H1993" s="46" t="str">
        <f aca="false">IF(G1993&lt;&gt;"",IFERROR(VLOOKUP(G1993,PRODUCTOS!$A:$B,2,0),"!COD NO ENCONTRADO"),"")</f>
        <v>MERLUZA EUROPEA PINCHO COSTA 800</v>
      </c>
      <c r="I1993" s="89" t="n">
        <v>4</v>
      </c>
      <c r="J1993" s="105" t="n">
        <v>56</v>
      </c>
      <c r="K1993" s="125" t="n">
        <v>6.4</v>
      </c>
      <c r="L1993" s="80" t="n">
        <f aca="false">IF(AND(J1993&lt;&gt;"",K1993&lt;&gt;""),J1993*K1993,"")</f>
        <v>358.4</v>
      </c>
      <c r="M1993" s="81" t="n">
        <f aca="false">IF(L1993&lt;&gt;"",L1993*1.1,"")</f>
        <v>394.24</v>
      </c>
      <c r="N1993" s="47" t="n">
        <f aca="false">IF(F1993="S",L1993*0.02,0)</f>
        <v>7.168</v>
      </c>
      <c r="O1993" s="82" t="n">
        <f aca="false">IF(L1993&lt;&gt;"",L1993+N1993,"")</f>
        <v>365.568</v>
      </c>
      <c r="P1993" s="47" t="n">
        <f aca="false">IF(O1993&lt;&gt;"",O1993*0.1,"")</f>
        <v>36.5568</v>
      </c>
      <c r="Q1993" s="83" t="n">
        <f aca="false">IF(O1993&lt;&gt;"",O1993+P1993,"")</f>
        <v>402.1248</v>
      </c>
      <c r="R1993" s="84" t="s">
        <v>365</v>
      </c>
    </row>
    <row r="1994" customFormat="false" ht="15" hidden="false" customHeight="true" outlineLevel="0" collapsed="false">
      <c r="A1994" s="103" t="n">
        <v>56441</v>
      </c>
      <c r="B1994" s="85" t="n">
        <v>46273</v>
      </c>
      <c r="C1994" s="86" t="s">
        <v>843</v>
      </c>
      <c r="D1994" s="87" t="n">
        <v>50106</v>
      </c>
      <c r="E1994" s="52" t="str">
        <f aca="false">IF(D1994&lt;&gt;"",IFERROR(VLOOKUP(D1994,PROVEEDORES!$A:$B,2,0),"!COD NO ENCONTRADO"),"")</f>
        <v>SONIA VENTAS S.L</v>
      </c>
      <c r="F1994" s="76" t="str">
        <f aca="false">IF(D1994&lt;&gt;"",IFERROR(VLOOKUP(D1994,PROVEEDORES!$A:$C,3,0),""),"")</f>
        <v>S</v>
      </c>
      <c r="G1994" s="75" t="s">
        <v>221</v>
      </c>
      <c r="H1994" s="52" t="str">
        <f aca="false">IF(G1994&lt;&gt;"",IFERROR(VLOOKUP(G1994,PRODUCTOS!$A:$B,2,0),"!COD NO ENCONTRADO"),"")</f>
        <v>MERLUZA EUROPEA PINCHO COSTA 800</v>
      </c>
      <c r="I1994" s="77" t="n">
        <v>2</v>
      </c>
      <c r="J1994" s="105" t="n">
        <v>27.25</v>
      </c>
      <c r="K1994" s="125" t="n">
        <v>6.4</v>
      </c>
      <c r="L1994" s="80" t="n">
        <f aca="false">IF(AND(J1994&lt;&gt;"",K1994&lt;&gt;""),J1994*K1994,"")</f>
        <v>174.4</v>
      </c>
      <c r="M1994" s="81" t="n">
        <f aca="false">IF(L1994&lt;&gt;"",L1994*1.1,"")</f>
        <v>191.84</v>
      </c>
      <c r="N1994" s="53" t="n">
        <f aca="false">IF(F1994="S",L1994*0.02,0)</f>
        <v>3.488</v>
      </c>
      <c r="O1994" s="82" t="n">
        <f aca="false">IF(L1994&lt;&gt;"",L1994+N1994,"")</f>
        <v>177.888</v>
      </c>
      <c r="P1994" s="53" t="n">
        <f aca="false">IF(O1994&lt;&gt;"",O1994*0.1,"")</f>
        <v>17.7888</v>
      </c>
      <c r="Q1994" s="83" t="n">
        <f aca="false">IF(O1994&lt;&gt;"",O1994+P1994,"")</f>
        <v>195.6768</v>
      </c>
      <c r="R1994" s="84" t="s">
        <v>358</v>
      </c>
    </row>
    <row r="1995" customFormat="false" ht="15" hidden="false" customHeight="true" outlineLevel="0" collapsed="false">
      <c r="A1995" s="103" t="n">
        <v>56441</v>
      </c>
      <c r="B1995" s="85" t="n">
        <v>46273</v>
      </c>
      <c r="C1995" s="86" t="s">
        <v>843</v>
      </c>
      <c r="D1995" s="87" t="n">
        <v>50106</v>
      </c>
      <c r="E1995" s="46" t="str">
        <f aca="false">IF(D1995&lt;&gt;"",IFERROR(VLOOKUP(D1995,PROVEEDORES!$A:$B,2,0),"!COD NO ENCONTRADO"),"")</f>
        <v>SONIA VENTAS S.L</v>
      </c>
      <c r="F1995" s="88" t="str">
        <f aca="false">IF(D1995&lt;&gt;"",IFERROR(VLOOKUP(D1995,PROVEEDORES!$A:$C,3,0),""),"")</f>
        <v>S</v>
      </c>
      <c r="G1995" s="87" t="s">
        <v>221</v>
      </c>
      <c r="H1995" s="46" t="str">
        <f aca="false">IF(G1995&lt;&gt;"",IFERROR(VLOOKUP(G1995,PRODUCTOS!$A:$B,2,0),"!COD NO ENCONTRADO"),"")</f>
        <v>MERLUZA EUROPEA PINCHO COSTA 800</v>
      </c>
      <c r="I1995" s="89" t="n">
        <v>1</v>
      </c>
      <c r="J1995" s="105" t="n">
        <v>14.25</v>
      </c>
      <c r="K1995" s="125" t="n">
        <v>5.9</v>
      </c>
      <c r="L1995" s="80" t="n">
        <f aca="false">IF(AND(J1995&lt;&gt;"",K1995&lt;&gt;""),J1995*K1995,"")</f>
        <v>84.075</v>
      </c>
      <c r="M1995" s="81" t="n">
        <f aca="false">IF(L1995&lt;&gt;"",L1995*1.1,"")</f>
        <v>92.4825</v>
      </c>
      <c r="N1995" s="47" t="n">
        <f aca="false">IF(F1995="S",L1995*0.02,0)</f>
        <v>1.6815</v>
      </c>
      <c r="O1995" s="82" t="n">
        <f aca="false">IF(L1995&lt;&gt;"",L1995+N1995,"")</f>
        <v>85.7565</v>
      </c>
      <c r="P1995" s="47" t="n">
        <f aca="false">IF(O1995&lt;&gt;"",O1995*0.1,"")</f>
        <v>8.57565</v>
      </c>
      <c r="Q1995" s="83" t="n">
        <f aca="false">IF(O1995&lt;&gt;"",O1995+P1995,"")</f>
        <v>94.33215</v>
      </c>
      <c r="R1995" s="84" t="s">
        <v>358</v>
      </c>
    </row>
    <row r="1996" customFormat="false" ht="15" hidden="false" customHeight="true" outlineLevel="0" collapsed="false">
      <c r="A1996" s="103" t="n">
        <v>56441</v>
      </c>
      <c r="B1996" s="85" t="n">
        <v>46273</v>
      </c>
      <c r="C1996" s="86" t="s">
        <v>843</v>
      </c>
      <c r="D1996" s="87" t="n">
        <v>50106</v>
      </c>
      <c r="E1996" s="52" t="str">
        <f aca="false">IF(D1996&lt;&gt;"",IFERROR(VLOOKUP(D1996,PROVEEDORES!$A:$B,2,0),"!COD NO ENCONTRADO"),"")</f>
        <v>SONIA VENTAS S.L</v>
      </c>
      <c r="F1996" s="76" t="str">
        <f aca="false">IF(D1996&lt;&gt;"",IFERROR(VLOOKUP(D1996,PROVEEDORES!$A:$C,3,0),""),"")</f>
        <v>S</v>
      </c>
      <c r="G1996" s="75" t="s">
        <v>221</v>
      </c>
      <c r="H1996" s="52" t="str">
        <f aca="false">IF(G1996&lt;&gt;"",IFERROR(VLOOKUP(G1996,PRODUCTOS!$A:$B,2,0),"!COD NO ENCONTRADO"),"")</f>
        <v>MERLUZA EUROPEA PINCHO COSTA 800</v>
      </c>
      <c r="I1996" s="77" t="n">
        <v>6</v>
      </c>
      <c r="J1996" s="105" t="n">
        <v>88</v>
      </c>
      <c r="K1996" s="125" t="n">
        <v>6.8</v>
      </c>
      <c r="L1996" s="80" t="n">
        <f aca="false">IF(AND(J1996&lt;&gt;"",K1996&lt;&gt;""),J1996*K1996,"")</f>
        <v>598.4</v>
      </c>
      <c r="M1996" s="81" t="n">
        <f aca="false">IF(L1996&lt;&gt;"",L1996*1.1,"")</f>
        <v>658.24</v>
      </c>
      <c r="N1996" s="53" t="n">
        <f aca="false">IF(F1996="S",L1996*0.02,0)</f>
        <v>11.968</v>
      </c>
      <c r="O1996" s="82" t="n">
        <f aca="false">IF(L1996&lt;&gt;"",L1996+N1996,"")</f>
        <v>610.368</v>
      </c>
      <c r="P1996" s="53" t="n">
        <f aca="false">IF(O1996&lt;&gt;"",O1996*0.1,"")</f>
        <v>61.0368</v>
      </c>
      <c r="Q1996" s="83" t="n">
        <f aca="false">IF(O1996&lt;&gt;"",O1996+P1996,"")</f>
        <v>671.4048</v>
      </c>
      <c r="R1996" s="84" t="s">
        <v>358</v>
      </c>
    </row>
    <row r="1997" customFormat="false" ht="15" hidden="false" customHeight="true" outlineLevel="0" collapsed="false">
      <c r="A1997" s="103" t="n">
        <v>56441</v>
      </c>
      <c r="B1997" s="85" t="n">
        <v>46273</v>
      </c>
      <c r="C1997" s="86" t="s">
        <v>843</v>
      </c>
      <c r="D1997" s="87" t="n">
        <v>50106</v>
      </c>
      <c r="E1997" s="46" t="str">
        <f aca="false">IF(D1997&lt;&gt;"",IFERROR(VLOOKUP(D1997,PROVEEDORES!$A:$B,2,0),"!COD NO ENCONTRADO"),"")</f>
        <v>SONIA VENTAS S.L</v>
      </c>
      <c r="F1997" s="88" t="str">
        <f aca="false">IF(D1997&lt;&gt;"",IFERROR(VLOOKUP(D1997,PROVEEDORES!$A:$C,3,0),""),"")</f>
        <v>S</v>
      </c>
      <c r="G1997" s="87" t="s">
        <v>223</v>
      </c>
      <c r="H1997" s="46" t="str">
        <f aca="false">IF(G1997&lt;&gt;"",IFERROR(VLOOKUP(G1997,PRODUCTOS!$A:$B,2,0),"!COD NO ENCONTRADO"),"")</f>
        <v>MERLUZA EUROPEA PINCHO COSTA 1000</v>
      </c>
      <c r="I1997" s="89" t="n">
        <v>2</v>
      </c>
      <c r="J1997" s="105" t="n">
        <v>29.25</v>
      </c>
      <c r="K1997" s="125" t="n">
        <v>7.1</v>
      </c>
      <c r="L1997" s="80" t="n">
        <f aca="false">IF(AND(J1997&lt;&gt;"",K1997&lt;&gt;""),J1997*K1997,"")</f>
        <v>207.675</v>
      </c>
      <c r="M1997" s="81" t="n">
        <f aca="false">IF(L1997&lt;&gt;"",L1997*1.1,"")</f>
        <v>228.4425</v>
      </c>
      <c r="N1997" s="47" t="n">
        <f aca="false">IF(F1997="S",L1997*0.02,0)</f>
        <v>4.1535</v>
      </c>
      <c r="O1997" s="82" t="n">
        <f aca="false">IF(L1997&lt;&gt;"",L1997+N1997,"")</f>
        <v>211.8285</v>
      </c>
      <c r="P1997" s="47" t="n">
        <f aca="false">IF(O1997&lt;&gt;"",O1997*0.1,"")</f>
        <v>21.18285</v>
      </c>
      <c r="Q1997" s="83" t="n">
        <f aca="false">IF(O1997&lt;&gt;"",O1997+P1997,"")</f>
        <v>233.01135</v>
      </c>
      <c r="R1997" s="84" t="s">
        <v>358</v>
      </c>
    </row>
    <row r="1998" customFormat="false" ht="15" hidden="false" customHeight="true" outlineLevel="0" collapsed="false">
      <c r="A1998" s="103" t="n">
        <v>56441</v>
      </c>
      <c r="B1998" s="85" t="n">
        <v>46273</v>
      </c>
      <c r="C1998" s="86" t="s">
        <v>843</v>
      </c>
      <c r="D1998" s="87" t="n">
        <v>50106</v>
      </c>
      <c r="E1998" s="52" t="str">
        <f aca="false">IF(D1998&lt;&gt;"",IFERROR(VLOOKUP(D1998,PROVEEDORES!$A:$B,2,0),"!COD NO ENCONTRADO"),"")</f>
        <v>SONIA VENTAS S.L</v>
      </c>
      <c r="F1998" s="76" t="str">
        <f aca="false">IF(D1998&lt;&gt;"",IFERROR(VLOOKUP(D1998,PROVEEDORES!$A:$C,3,0),""),"")</f>
        <v>S</v>
      </c>
      <c r="G1998" s="75" t="s">
        <v>225</v>
      </c>
      <c r="H1998" s="52" t="str">
        <f aca="false">IF(G1998&lt;&gt;"",IFERROR(VLOOKUP(G1998,PRODUCTOS!$A:$B,2,0),"!COD NO ENCONTRADO"),"")</f>
        <v>MERLUZA EUROPEA PINCHO COSTA 1,251,5</v>
      </c>
      <c r="I1998" s="77" t="n">
        <v>2</v>
      </c>
      <c r="J1998" s="105" t="n">
        <v>30</v>
      </c>
      <c r="K1998" s="125" t="n">
        <v>10.5</v>
      </c>
      <c r="L1998" s="80" t="n">
        <f aca="false">IF(AND(J1998&lt;&gt;"",K1998&lt;&gt;""),J1998*K1998,"")</f>
        <v>315</v>
      </c>
      <c r="M1998" s="81" t="n">
        <f aca="false">IF(L1998&lt;&gt;"",L1998*1.1,"")</f>
        <v>346.5</v>
      </c>
      <c r="N1998" s="53" t="n">
        <f aca="false">IF(F1998="S",L1998*0.02,0)</f>
        <v>6.3</v>
      </c>
      <c r="O1998" s="82" t="n">
        <f aca="false">IF(L1998&lt;&gt;"",L1998+N1998,"")</f>
        <v>321.3</v>
      </c>
      <c r="P1998" s="53" t="n">
        <f aca="false">IF(O1998&lt;&gt;"",O1998*0.1,"")</f>
        <v>32.13</v>
      </c>
      <c r="Q1998" s="83" t="n">
        <f aca="false">IF(O1998&lt;&gt;"",O1998+P1998,"")</f>
        <v>353.43</v>
      </c>
      <c r="R1998" s="84" t="s">
        <v>358</v>
      </c>
    </row>
    <row r="1999" customFormat="false" ht="15" hidden="false" customHeight="true" outlineLevel="0" collapsed="false">
      <c r="A1999" s="103" t="n">
        <v>56441</v>
      </c>
      <c r="B1999" s="85" t="n">
        <v>46273</v>
      </c>
      <c r="C1999" s="86" t="s">
        <v>843</v>
      </c>
      <c r="D1999" s="87" t="n">
        <v>50106</v>
      </c>
      <c r="E1999" s="46" t="str">
        <f aca="false">IF(D1999&lt;&gt;"",IFERROR(VLOOKUP(D1999,PROVEEDORES!$A:$B,2,0),"!COD NO ENCONTRADO"),"")</f>
        <v>SONIA VENTAS S.L</v>
      </c>
      <c r="F1999" s="88" t="str">
        <f aca="false">IF(D1999&lt;&gt;"",IFERROR(VLOOKUP(D1999,PROVEEDORES!$A:$C,3,0),""),"")</f>
        <v>S</v>
      </c>
      <c r="G1999" s="87" t="s">
        <v>227</v>
      </c>
      <c r="H1999" s="46" t="str">
        <f aca="false">IF(G1999&lt;&gt;"",IFERROR(VLOOKUP(G1999,PRODUCTOS!$A:$B,2,0),"!COD NO ENCONTRADO"),"")</f>
        <v>MERLUZA EUROPEA PINCHO COSTA 1,5/2</v>
      </c>
      <c r="I1999" s="89" t="n">
        <v>2</v>
      </c>
      <c r="J1999" s="105" t="n">
        <v>32.75</v>
      </c>
      <c r="K1999" s="125" t="n">
        <v>12</v>
      </c>
      <c r="L1999" s="80" t="n">
        <f aca="false">IF(AND(J1999&lt;&gt;"",K1999&lt;&gt;""),J1999*K1999,"")</f>
        <v>393</v>
      </c>
      <c r="M1999" s="81" t="n">
        <f aca="false">IF(L1999&lt;&gt;"",L1999*1.1,"")</f>
        <v>432.3</v>
      </c>
      <c r="N1999" s="47" t="n">
        <f aca="false">IF(F1999="S",L1999*0.02,0)</f>
        <v>7.86</v>
      </c>
      <c r="O1999" s="82" t="n">
        <f aca="false">IF(L1999&lt;&gt;"",L1999+N1999,"")</f>
        <v>400.86</v>
      </c>
      <c r="P1999" s="47" t="n">
        <f aca="false">IF(O1999&lt;&gt;"",O1999*0.1,"")</f>
        <v>40.086</v>
      </c>
      <c r="Q1999" s="83" t="n">
        <f aca="false">IF(O1999&lt;&gt;"",O1999+P1999,"")</f>
        <v>440.946</v>
      </c>
      <c r="R1999" s="84" t="s">
        <v>358</v>
      </c>
    </row>
    <row r="2000" customFormat="false" ht="15" hidden="false" customHeight="true" outlineLevel="0" collapsed="false">
      <c r="A2000" s="103" t="n">
        <v>56441</v>
      </c>
      <c r="B2000" s="85" t="n">
        <v>46273</v>
      </c>
      <c r="C2000" s="86" t="s">
        <v>843</v>
      </c>
      <c r="D2000" s="87" t="n">
        <v>50106</v>
      </c>
      <c r="E2000" s="52" t="str">
        <f aca="false">IF(D2000&lt;&gt;"",IFERROR(VLOOKUP(D2000,PROVEEDORES!$A:$B,2,0),"!COD NO ENCONTRADO"),"")</f>
        <v>SONIA VENTAS S.L</v>
      </c>
      <c r="F2000" s="76" t="str">
        <f aca="false">IF(D2000&lt;&gt;"",IFERROR(VLOOKUP(D2000,PROVEEDORES!$A:$C,3,0),""),"")</f>
        <v>S</v>
      </c>
      <c r="G2000" s="75" t="s">
        <v>227</v>
      </c>
      <c r="H2000" s="52" t="str">
        <f aca="false">IF(G2000&lt;&gt;"",IFERROR(VLOOKUP(G2000,PRODUCTOS!$A:$B,2,0),"!COD NO ENCONTRADO"),"")</f>
        <v>MERLUZA EUROPEA PINCHO COSTA 1,5/2</v>
      </c>
      <c r="I2000" s="77" t="n">
        <v>2</v>
      </c>
      <c r="J2000" s="105" t="n">
        <v>32.5</v>
      </c>
      <c r="K2000" s="125" t="n">
        <v>12.2</v>
      </c>
      <c r="L2000" s="80" t="n">
        <f aca="false">IF(AND(J2000&lt;&gt;"",K2000&lt;&gt;""),J2000*K2000,"")</f>
        <v>396.5</v>
      </c>
      <c r="M2000" s="81" t="n">
        <f aca="false">IF(L2000&lt;&gt;"",L2000*1.1,"")</f>
        <v>436.15</v>
      </c>
      <c r="N2000" s="53" t="n">
        <f aca="false">IF(F2000="S",L2000*0.02,0)</f>
        <v>7.93</v>
      </c>
      <c r="O2000" s="82" t="n">
        <f aca="false">IF(L2000&lt;&gt;"",L2000+N2000,"")</f>
        <v>404.43</v>
      </c>
      <c r="P2000" s="53" t="n">
        <f aca="false">IF(O2000&lt;&gt;"",O2000*0.1,"")</f>
        <v>40.443</v>
      </c>
      <c r="Q2000" s="83" t="n">
        <f aca="false">IF(O2000&lt;&gt;"",O2000+P2000,"")</f>
        <v>444.873</v>
      </c>
      <c r="R2000" s="84" t="s">
        <v>358</v>
      </c>
    </row>
    <row r="2001" customFormat="false" ht="15" hidden="false" customHeight="true" outlineLevel="0" collapsed="false">
      <c r="A2001" s="103" t="n">
        <v>56441</v>
      </c>
      <c r="B2001" s="85" t="n">
        <v>46273</v>
      </c>
      <c r="C2001" s="86" t="s">
        <v>843</v>
      </c>
      <c r="D2001" s="87" t="n">
        <v>50106</v>
      </c>
      <c r="E2001" s="46" t="str">
        <f aca="false">IF(D2001&lt;&gt;"",IFERROR(VLOOKUP(D2001,PROVEEDORES!$A:$B,2,0),"!COD NO ENCONTRADO"),"")</f>
        <v>SONIA VENTAS S.L</v>
      </c>
      <c r="F2001" s="88" t="str">
        <f aca="false">IF(D2001&lt;&gt;"",IFERROR(VLOOKUP(D2001,PROVEEDORES!$A:$C,3,0),""),"")</f>
        <v>S</v>
      </c>
      <c r="G2001" s="87" t="s">
        <v>103</v>
      </c>
      <c r="H2001" s="46" t="str">
        <f aca="false">IF(G2001&lt;&gt;"",IFERROR(VLOOKUP(G2001,PRODUCTOS!$A:$B,2,0),"!COD NO ENCONTRADO"),"")</f>
        <v>CABRAS/ GALLINETA (BRF)</v>
      </c>
      <c r="I2001" s="89" t="n">
        <v>1</v>
      </c>
      <c r="J2001" s="105" t="n">
        <v>4.4</v>
      </c>
      <c r="K2001" s="125" t="n">
        <v>9.3</v>
      </c>
      <c r="L2001" s="80" t="n">
        <f aca="false">IF(AND(J2001&lt;&gt;"",K2001&lt;&gt;""),J2001*K2001,"")</f>
        <v>40.92</v>
      </c>
      <c r="M2001" s="81" t="n">
        <f aca="false">IF(L2001&lt;&gt;"",L2001*1.1,"")</f>
        <v>45.012</v>
      </c>
      <c r="N2001" s="47" t="n">
        <f aca="false">IF(F2001="S",L2001*0.02,0)</f>
        <v>0.8184</v>
      </c>
      <c r="O2001" s="82" t="n">
        <f aca="false">IF(L2001&lt;&gt;"",L2001+N2001,"")</f>
        <v>41.7384</v>
      </c>
      <c r="P2001" s="47" t="n">
        <f aca="false">IF(O2001&lt;&gt;"",O2001*0.1,"")</f>
        <v>4.17384</v>
      </c>
      <c r="Q2001" s="83" t="n">
        <f aca="false">IF(O2001&lt;&gt;"",O2001+P2001,"")</f>
        <v>45.91224</v>
      </c>
      <c r="R2001" s="84" t="s">
        <v>358</v>
      </c>
    </row>
    <row r="2002" customFormat="false" ht="15" hidden="false" customHeight="true" outlineLevel="0" collapsed="false">
      <c r="A2002" s="103" t="n">
        <v>56441</v>
      </c>
      <c r="B2002" s="85" t="n">
        <v>46273</v>
      </c>
      <c r="C2002" s="86" t="s">
        <v>843</v>
      </c>
      <c r="D2002" s="87" t="n">
        <v>50106</v>
      </c>
      <c r="E2002" s="52" t="str">
        <f aca="false">IF(D2002&lt;&gt;"",IFERROR(VLOOKUP(D2002,PROVEEDORES!$A:$B,2,0),"!COD NO ENCONTRADO"),"")</f>
        <v>SONIA VENTAS S.L</v>
      </c>
      <c r="F2002" s="76" t="str">
        <f aca="false">IF(D2002&lt;&gt;"",IFERROR(VLOOKUP(D2002,PROVEEDORES!$A:$C,3,0),""),"")</f>
        <v>S</v>
      </c>
      <c r="G2002" s="75" t="s">
        <v>103</v>
      </c>
      <c r="H2002" s="52" t="str">
        <f aca="false">IF(G2002&lt;&gt;"",IFERROR(VLOOKUP(G2002,PRODUCTOS!$A:$B,2,0),"!COD NO ENCONTRADO"),"")</f>
        <v>CABRAS/ GALLINETA (BRF)</v>
      </c>
      <c r="I2002" s="77" t="n">
        <v>1</v>
      </c>
      <c r="J2002" s="105" t="n">
        <v>7.3</v>
      </c>
      <c r="K2002" s="125" t="n">
        <v>11.2</v>
      </c>
      <c r="L2002" s="80" t="n">
        <f aca="false">IF(AND(J2002&lt;&gt;"",K2002&lt;&gt;""),J2002*K2002,"")</f>
        <v>81.76</v>
      </c>
      <c r="M2002" s="81" t="n">
        <f aca="false">IF(L2002&lt;&gt;"",L2002*1.1,"")</f>
        <v>89.936</v>
      </c>
      <c r="N2002" s="53" t="n">
        <f aca="false">IF(F2002="S",L2002*0.02,0)</f>
        <v>1.6352</v>
      </c>
      <c r="O2002" s="82" t="n">
        <f aca="false">IF(L2002&lt;&gt;"",L2002+N2002,"")</f>
        <v>83.3952</v>
      </c>
      <c r="P2002" s="53" t="n">
        <f aca="false">IF(O2002&lt;&gt;"",O2002*0.1,"")</f>
        <v>8.33952</v>
      </c>
      <c r="Q2002" s="83" t="n">
        <f aca="false">IF(O2002&lt;&gt;"",O2002+P2002,"")</f>
        <v>91.73472</v>
      </c>
      <c r="R2002" s="84" t="s">
        <v>358</v>
      </c>
    </row>
    <row r="2003" customFormat="false" ht="15" hidden="false" customHeight="true" outlineLevel="0" collapsed="false">
      <c r="A2003" s="103" t="n">
        <v>56441</v>
      </c>
      <c r="B2003" s="85" t="n">
        <v>46273</v>
      </c>
      <c r="C2003" s="86" t="s">
        <v>843</v>
      </c>
      <c r="D2003" s="87" t="n">
        <v>50106</v>
      </c>
      <c r="E2003" s="46" t="str">
        <f aca="false">IF(D2003&lt;&gt;"",IFERROR(VLOOKUP(D2003,PROVEEDORES!$A:$B,2,0),"!COD NO ENCONTRADO"),"")</f>
        <v>SONIA VENTAS S.L</v>
      </c>
      <c r="F2003" s="88" t="str">
        <f aca="false">IF(D2003&lt;&gt;"",IFERROR(VLOOKUP(D2003,PROVEEDORES!$A:$C,3,0),""),"")</f>
        <v>S</v>
      </c>
      <c r="G2003" s="87" t="s">
        <v>103</v>
      </c>
      <c r="H2003" s="46" t="str">
        <f aca="false">IF(G2003&lt;&gt;"",IFERROR(VLOOKUP(G2003,PRODUCTOS!$A:$B,2,0),"!COD NO ENCONTRADO"),"")</f>
        <v>CABRAS/ GALLINETA (BRF)</v>
      </c>
      <c r="I2003" s="89" t="n">
        <v>1</v>
      </c>
      <c r="J2003" s="105" t="n">
        <v>6.8</v>
      </c>
      <c r="K2003" s="125" t="n">
        <v>14.9</v>
      </c>
      <c r="L2003" s="80" t="n">
        <f aca="false">IF(AND(J2003&lt;&gt;"",K2003&lt;&gt;""),J2003*K2003,"")</f>
        <v>101.32</v>
      </c>
      <c r="M2003" s="81" t="n">
        <f aca="false">IF(L2003&lt;&gt;"",L2003*1.1,"")</f>
        <v>111.452</v>
      </c>
      <c r="N2003" s="47" t="n">
        <f aca="false">IF(F2003="S",L2003*0.02,0)</f>
        <v>2.0264</v>
      </c>
      <c r="O2003" s="82" t="n">
        <f aca="false">IF(L2003&lt;&gt;"",L2003+N2003,"")</f>
        <v>103.3464</v>
      </c>
      <c r="P2003" s="47" t="n">
        <f aca="false">IF(O2003&lt;&gt;"",O2003*0.1,"")</f>
        <v>10.33464</v>
      </c>
      <c r="Q2003" s="83" t="n">
        <f aca="false">IF(O2003&lt;&gt;"",O2003+P2003,"")</f>
        <v>113.68104</v>
      </c>
      <c r="R2003" s="84" t="s">
        <v>358</v>
      </c>
    </row>
    <row r="2004" customFormat="false" ht="15" hidden="false" customHeight="true" outlineLevel="0" collapsed="false">
      <c r="A2004" s="103" t="n">
        <v>56441</v>
      </c>
      <c r="B2004" s="85" t="n">
        <v>46273</v>
      </c>
      <c r="C2004" s="86" t="s">
        <v>843</v>
      </c>
      <c r="D2004" s="87" t="n">
        <v>50106</v>
      </c>
      <c r="E2004" s="52" t="str">
        <f aca="false">IF(D2004&lt;&gt;"",IFERROR(VLOOKUP(D2004,PROVEEDORES!$A:$B,2,0),"!COD NO ENCONTRADO"),"")</f>
        <v>SONIA VENTAS S.L</v>
      </c>
      <c r="F2004" s="76" t="str">
        <f aca="false">IF(D2004&lt;&gt;"",IFERROR(VLOOKUP(D2004,PROVEEDORES!$A:$C,3,0),""),"")</f>
        <v>S</v>
      </c>
      <c r="G2004" s="75" t="s">
        <v>103</v>
      </c>
      <c r="H2004" s="52" t="str">
        <f aca="false">IF(G2004&lt;&gt;"",IFERROR(VLOOKUP(G2004,PRODUCTOS!$A:$B,2,0),"!COD NO ENCONTRADO"),"")</f>
        <v>CABRAS/ GALLINETA (BRF)</v>
      </c>
      <c r="I2004" s="77" t="n">
        <v>1</v>
      </c>
      <c r="J2004" s="105" t="n">
        <v>7.5</v>
      </c>
      <c r="K2004" s="125" t="n">
        <v>17</v>
      </c>
      <c r="L2004" s="80" t="n">
        <f aca="false">IF(AND(J2004&lt;&gt;"",K2004&lt;&gt;""),J2004*K2004,"")</f>
        <v>127.5</v>
      </c>
      <c r="M2004" s="81" t="n">
        <f aca="false">IF(L2004&lt;&gt;"",L2004*1.1,"")</f>
        <v>140.25</v>
      </c>
      <c r="N2004" s="53" t="n">
        <f aca="false">IF(F2004="S",L2004*0.02,0)</f>
        <v>2.55</v>
      </c>
      <c r="O2004" s="82" t="n">
        <f aca="false">IF(L2004&lt;&gt;"",L2004+N2004,"")</f>
        <v>130.05</v>
      </c>
      <c r="P2004" s="53" t="n">
        <f aca="false">IF(O2004&lt;&gt;"",O2004*0.1,"")</f>
        <v>13.005</v>
      </c>
      <c r="Q2004" s="83" t="n">
        <f aca="false">IF(O2004&lt;&gt;"",O2004+P2004,"")</f>
        <v>143.055</v>
      </c>
      <c r="R2004" s="84" t="s">
        <v>358</v>
      </c>
    </row>
    <row r="2005" customFormat="false" ht="15" hidden="false" customHeight="true" outlineLevel="0" collapsed="false">
      <c r="A2005" s="103" t="n">
        <v>56442</v>
      </c>
      <c r="B2005" s="85" t="n">
        <v>46273</v>
      </c>
      <c r="C2005" s="86" t="s">
        <v>844</v>
      </c>
      <c r="D2005" s="87" t="n">
        <v>50160</v>
      </c>
      <c r="E2005" s="46" t="str">
        <f aca="false">IF(D2005&lt;&gt;"",IFERROR(VLOOKUP(D2005,PROVEEDORES!$A:$B,2,0),"!COD NO ENCONTRADO"),"")</f>
        <v>SUBASTAS CORUÑA S.L.</v>
      </c>
      <c r="F2005" s="88" t="str">
        <f aca="false">IF(D2005&lt;&gt;"",IFERROR(VLOOKUP(D2005,PROVEEDORES!$A:$C,3,0),""),"")</f>
        <v>S</v>
      </c>
      <c r="G2005" s="87" t="s">
        <v>276</v>
      </c>
      <c r="H2005" s="46" t="str">
        <f aca="false">IF(G2005&lt;&gt;"",IFERROR(VLOOKUP(G2005,PRODUCTOS!$A:$B,2,0),"!COD NO ENCONTRADO"),"")</f>
        <v>MERLUZA EUROPEA/ FINA DIA </v>
      </c>
      <c r="I2005" s="89" t="n">
        <v>1</v>
      </c>
      <c r="J2005" s="90" t="n">
        <v>9.75</v>
      </c>
      <c r="K2005" s="91" t="n">
        <v>3.2</v>
      </c>
      <c r="L2005" s="80" t="n">
        <f aca="false">IF(AND(J2005&lt;&gt;"",K2005&lt;&gt;""),J2005*K2005,"")</f>
        <v>31.2</v>
      </c>
      <c r="M2005" s="81" t="n">
        <f aca="false">IF(L2005&lt;&gt;"",L2005*1.1,"")</f>
        <v>34.32</v>
      </c>
      <c r="N2005" s="47" t="n">
        <f aca="false">IF(F2005="S",L2005*0.02,0)</f>
        <v>0.624</v>
      </c>
      <c r="O2005" s="82" t="n">
        <f aca="false">IF(L2005&lt;&gt;"",L2005+N2005,"")</f>
        <v>31.824</v>
      </c>
      <c r="P2005" s="47" t="n">
        <f aca="false">IF(O2005&lt;&gt;"",O2005*0.1,"")</f>
        <v>3.1824</v>
      </c>
      <c r="Q2005" s="83" t="n">
        <f aca="false">IF(O2005&lt;&gt;"",O2005+P2005,"")</f>
        <v>35.0064</v>
      </c>
      <c r="R2005" s="84" t="s">
        <v>358</v>
      </c>
    </row>
    <row r="2006" customFormat="false" ht="15" hidden="false" customHeight="true" outlineLevel="0" collapsed="false">
      <c r="A2006" s="103" t="n">
        <v>56442</v>
      </c>
      <c r="B2006" s="85" t="n">
        <v>46273</v>
      </c>
      <c r="C2006" s="74" t="s">
        <v>844</v>
      </c>
      <c r="D2006" s="75" t="n">
        <v>50160</v>
      </c>
      <c r="E2006" s="52" t="str">
        <f aca="false">IF(D2006&lt;&gt;"",IFERROR(VLOOKUP(D2006,PROVEEDORES!$A:$B,2,0),"!COD NO ENCONTRADO"),"")</f>
        <v>SUBASTAS CORUÑA S.L.</v>
      </c>
      <c r="F2006" s="76" t="str">
        <f aca="false">IF(D2006&lt;&gt;"",IFERROR(VLOOKUP(D2006,PROVEEDORES!$A:$C,3,0),""),"")</f>
        <v>S</v>
      </c>
      <c r="G2006" s="75" t="s">
        <v>276</v>
      </c>
      <c r="H2006" s="52" t="str">
        <f aca="false">IF(G2006&lt;&gt;"",IFERROR(VLOOKUP(G2006,PRODUCTOS!$A:$B,2,0),"!COD NO ENCONTRADO"),"")</f>
        <v>MERLUZA EUROPEA/ FINA DIA </v>
      </c>
      <c r="I2006" s="77" t="n">
        <v>1</v>
      </c>
      <c r="J2006" s="78" t="n">
        <v>10.25</v>
      </c>
      <c r="K2006" s="79" t="n">
        <v>3.3</v>
      </c>
      <c r="L2006" s="80" t="n">
        <f aca="false">IF(AND(J2006&lt;&gt;"",K2006&lt;&gt;""),J2006*K2006,"")</f>
        <v>33.825</v>
      </c>
      <c r="M2006" s="81" t="n">
        <f aca="false">IF(L2006&lt;&gt;"",L2006*1.1,"")</f>
        <v>37.2075</v>
      </c>
      <c r="N2006" s="53" t="n">
        <f aca="false">IF(F2006="S",L2006*0.02,0)</f>
        <v>0.6765</v>
      </c>
      <c r="O2006" s="82" t="n">
        <f aca="false">IF(L2006&lt;&gt;"",L2006+N2006,"")</f>
        <v>34.5015</v>
      </c>
      <c r="P2006" s="53" t="n">
        <f aca="false">IF(O2006&lt;&gt;"",O2006*0.1,"")</f>
        <v>3.45015</v>
      </c>
      <c r="Q2006" s="83" t="n">
        <f aca="false">IF(O2006&lt;&gt;"",O2006+P2006,"")</f>
        <v>37.95165</v>
      </c>
      <c r="R2006" s="84" t="s">
        <v>365</v>
      </c>
    </row>
    <row r="2007" customFormat="false" ht="15" hidden="false" customHeight="true" outlineLevel="0" collapsed="false">
      <c r="A2007" s="103" t="n">
        <v>56443</v>
      </c>
      <c r="B2007" s="85" t="n">
        <v>46273</v>
      </c>
      <c r="C2007" s="86" t="s">
        <v>845</v>
      </c>
      <c r="D2007" s="87" t="n">
        <v>50510</v>
      </c>
      <c r="E2007" s="46" t="str">
        <f aca="false">IF(D2007&lt;&gt;"",IFERROR(VLOOKUP(D2007,PROVEEDORES!$A:$B,2,0),"!COD NO ENCONTRADO"),"")</f>
        <v>PETACA CHICO S.L.</v>
      </c>
      <c r="F2007" s="88" t="str">
        <f aca="false">IF(D2007&lt;&gt;"",IFERROR(VLOOKUP(D2007,PROVEEDORES!$A:$C,3,0),""),"")</f>
        <v>N</v>
      </c>
      <c r="G2007" s="87" t="s">
        <v>107</v>
      </c>
      <c r="H2007" s="46" t="str">
        <f aca="false">IF(G2007&lt;&gt;"",IFERROR(VLOOKUP(G2007,PRODUCTOS!$A:$B,2,0),"!COD NO ENCONTRADO"),"")</f>
        <v>CALAAMR COMUN (SQR)</v>
      </c>
      <c r="I2007" s="120" t="n">
        <v>10</v>
      </c>
      <c r="J2007" s="121" t="n">
        <v>30</v>
      </c>
      <c r="K2007" s="141" t="n">
        <v>17.9</v>
      </c>
      <c r="L2007" s="80" t="n">
        <f aca="false">IF(AND(J2007&lt;&gt;"",K2007&lt;&gt;""),J2007*K2007,"")</f>
        <v>537</v>
      </c>
      <c r="M2007" s="81" t="n">
        <f aca="false">IF(L2007&lt;&gt;"",L2007*1.1,"")</f>
        <v>590.7</v>
      </c>
      <c r="N2007" s="47" t="n">
        <f aca="false">IF(F2007="S",L2007*0.02,0)</f>
        <v>0</v>
      </c>
      <c r="O2007" s="82" t="n">
        <f aca="false">IF(L2007&lt;&gt;"",L2007+N2007,"")</f>
        <v>537</v>
      </c>
      <c r="P2007" s="47" t="n">
        <f aca="false">IF(O2007&lt;&gt;"",O2007*0.1,"")</f>
        <v>53.7</v>
      </c>
      <c r="Q2007" s="83" t="n">
        <f aca="false">IF(O2007&lt;&gt;"",O2007+P2007,"")</f>
        <v>590.7</v>
      </c>
      <c r="R2007" s="84" t="s">
        <v>358</v>
      </c>
    </row>
    <row r="2008" customFormat="false" ht="15" hidden="false" customHeight="true" outlineLevel="0" collapsed="false">
      <c r="A2008" s="103" t="n">
        <v>56444</v>
      </c>
      <c r="B2008" s="73" t="n">
        <v>46273</v>
      </c>
      <c r="C2008" s="74" t="s">
        <v>846</v>
      </c>
      <c r="D2008" s="75" t="n">
        <v>50048</v>
      </c>
      <c r="E2008" s="52" t="str">
        <f aca="false">IF(D2008&lt;&gt;"",IFERROR(VLOOKUP(D2008,PROVEEDORES!$A:$B,2,0),"!COD NO ENCONTRADO"),"")</f>
        <v>JOSE LUIS CORREA KESSLER S.L.</v>
      </c>
      <c r="F2008" s="76" t="str">
        <f aca="false">IF(D2008&lt;&gt;"",IFERROR(VLOOKUP(D2008,PROVEEDORES!$A:$C,3,0),""),"")</f>
        <v>N</v>
      </c>
      <c r="G2008" s="75" t="s">
        <v>179</v>
      </c>
      <c r="H2008" s="52" t="str">
        <f aca="false">IF(G2008&lt;&gt;"",IFERROR(VLOOKUP(G2008,PRODUCTOS!$A:$B,2,0),"!COD NO ENCONTRADO"),"")</f>
        <v>LIRIO/ BACALADILLA/ PERLA (WHB)</v>
      </c>
      <c r="I2008" s="77" t="n">
        <v>5</v>
      </c>
      <c r="J2008" s="78" t="n">
        <v>30</v>
      </c>
      <c r="K2008" s="79" t="n">
        <v>2.7</v>
      </c>
      <c r="L2008" s="80" t="n">
        <f aca="false">IF(AND(J2008&lt;&gt;"",K2008&lt;&gt;""),J2008*K2008,"")</f>
        <v>81</v>
      </c>
      <c r="M2008" s="81" t="n">
        <f aca="false">IF(L2008&lt;&gt;"",L2008*1.1,"")</f>
        <v>89.1</v>
      </c>
      <c r="N2008" s="53" t="n">
        <f aca="false">IF(F2008="S",L2008*0.02,0)</f>
        <v>0</v>
      </c>
      <c r="O2008" s="82" t="n">
        <f aca="false">IF(L2008&lt;&gt;"",L2008+N2008,"")</f>
        <v>81</v>
      </c>
      <c r="P2008" s="53" t="n">
        <f aca="false">IF(O2008&lt;&gt;"",O2008*0.1,"")</f>
        <v>8.1</v>
      </c>
      <c r="Q2008" s="83" t="n">
        <f aca="false">IF(O2008&lt;&gt;"",O2008+P2008,"")</f>
        <v>89.1</v>
      </c>
      <c r="R2008" s="84" t="s">
        <v>365</v>
      </c>
    </row>
    <row r="2009" customFormat="false" ht="15" hidden="false" customHeight="true" outlineLevel="0" collapsed="false">
      <c r="A2009" s="103" t="n">
        <v>56445</v>
      </c>
      <c r="B2009" s="85" t="n">
        <v>46273</v>
      </c>
      <c r="C2009" s="86" t="s">
        <v>847</v>
      </c>
      <c r="D2009" s="87" t="n">
        <v>50035</v>
      </c>
      <c r="E2009" s="46" t="str">
        <f aca="false">IF(D2009&lt;&gt;"",IFERROR(VLOOKUP(D2009,PROVEEDORES!$A:$B,2,0),"!COD NO ENCONTRADO"),"")</f>
        <v>SCANFISK SEAFFOD S,L</v>
      </c>
      <c r="F2009" s="88" t="str">
        <f aca="false">IF(D2009&lt;&gt;"",IFERROR(VLOOKUP(D2009,PROVEEDORES!$A:$C,3,0),""),"")</f>
        <v>N</v>
      </c>
      <c r="G2009" s="87" t="s">
        <v>183</v>
      </c>
      <c r="H2009" s="46" t="str">
        <f aca="false">IF(G2009&lt;&gt;"",IFERROR(VLOOKUP(G2009,PRODUCTOS!$A:$B,2,0),"!COD NO ENCONTRADO"),"")</f>
        <v>LUBINA RIA/ ROBALIZA (BSS)</v>
      </c>
      <c r="I2009" s="89" t="n">
        <v>2</v>
      </c>
      <c r="J2009" s="90" t="n">
        <v>30.4</v>
      </c>
      <c r="K2009" s="91" t="n">
        <v>16.7</v>
      </c>
      <c r="L2009" s="80" t="n">
        <f aca="false">IF(AND(J2009&lt;&gt;"",K2009&lt;&gt;""),J2009*K2009,"")</f>
        <v>507.68</v>
      </c>
      <c r="M2009" s="81" t="n">
        <f aca="false">IF(L2009&lt;&gt;"",L2009*1.1,"")</f>
        <v>558.448</v>
      </c>
      <c r="N2009" s="47" t="n">
        <f aca="false">IF(F2009="S",L2009*0.02,0)</f>
        <v>0</v>
      </c>
      <c r="O2009" s="82" t="n">
        <f aca="false">IF(L2009&lt;&gt;"",L2009+N2009,"")</f>
        <v>507.68</v>
      </c>
      <c r="P2009" s="47" t="n">
        <f aca="false">IF(O2009&lt;&gt;"",O2009*0.1,"")</f>
        <v>50.768</v>
      </c>
      <c r="Q2009" s="83" t="n">
        <f aca="false">IF(O2009&lt;&gt;"",O2009+P2009,"")</f>
        <v>558.448</v>
      </c>
      <c r="R2009" s="84" t="s">
        <v>365</v>
      </c>
    </row>
    <row r="2010" customFormat="false" ht="15" hidden="false" customHeight="true" outlineLevel="0" collapsed="false">
      <c r="A2010" s="103" t="n">
        <v>56446</v>
      </c>
      <c r="B2010" s="85" t="n">
        <v>46273</v>
      </c>
      <c r="C2010" s="86" t="s">
        <v>844</v>
      </c>
      <c r="D2010" s="87" t="n">
        <v>50160</v>
      </c>
      <c r="E2010" s="104" t="str">
        <f aca="false">IF(D2010&lt;&gt;"",IFERROR(VLOOKUP(D2010,PROVEEDORES!$A:$B,2,0),"!COD NO ENCONTRADO"),"")</f>
        <v>SUBASTAS CORUÑA S.L.</v>
      </c>
      <c r="F2010" s="122" t="str">
        <f aca="false">IF(D2010&lt;&gt;"",IFERROR(VLOOKUP(D2010,PROVEEDORES!$A:$C,3,0),""),"")</f>
        <v>S</v>
      </c>
      <c r="G2010" s="111" t="s">
        <v>97</v>
      </c>
      <c r="H2010" s="104" t="str">
        <f aca="false">IF(G2010&lt;&gt;"",IFERROR(VLOOKUP(G2010,PRODUCTOS!$A:$B,2,0),"!COD NO ENCONTRADO"),"")</f>
        <v>CABALL/ SARDA/ VERDEL (MAC)</v>
      </c>
      <c r="I2010" s="112" t="n">
        <v>1</v>
      </c>
      <c r="J2010" s="105" t="n">
        <v>20</v>
      </c>
      <c r="K2010" s="125" t="n">
        <v>3.6</v>
      </c>
      <c r="L2010" s="80" t="n">
        <f aca="false">IF(AND(J2010&lt;&gt;"",K2010&lt;&gt;""),J2010*K2010,"")</f>
        <v>72</v>
      </c>
      <c r="M2010" s="81" t="n">
        <f aca="false">IF(L2010&lt;&gt;"",L2010*1.1,"")</f>
        <v>79.2</v>
      </c>
      <c r="N2010" s="47" t="n">
        <f aca="false">IF(F2010="S",L2010*0.02,0)</f>
        <v>1.44</v>
      </c>
      <c r="O2010" s="82" t="n">
        <f aca="false">IF(L2010&lt;&gt;"",L2010+N2010,"")</f>
        <v>73.44</v>
      </c>
      <c r="P2010" s="47" t="n">
        <f aca="false">IF(O2010&lt;&gt;"",O2010*0.1,"")</f>
        <v>7.344</v>
      </c>
      <c r="Q2010" s="83" t="n">
        <f aca="false">IF(O2010&lt;&gt;"",O2010+P2010,"")</f>
        <v>80.784</v>
      </c>
      <c r="R2010" s="84" t="s">
        <v>358</v>
      </c>
    </row>
    <row r="2011" customFormat="false" ht="15" hidden="false" customHeight="true" outlineLevel="0" collapsed="false">
      <c r="A2011" s="103" t="n">
        <v>56447</v>
      </c>
      <c r="B2011" s="73" t="n">
        <v>46274</v>
      </c>
      <c r="C2011" s="74" t="s">
        <v>848</v>
      </c>
      <c r="D2011" s="75" t="n">
        <v>50232</v>
      </c>
      <c r="E2011" s="52" t="str">
        <f aca="false">IF(D2011&lt;&gt;"",IFERROR(VLOOKUP(D2011,PROVEEDORES!$A:$B,2,0),"!COD NO ENCONTRADO"),"")</f>
        <v>XESTION NOVA LONXA RIVEIRA S.L.</v>
      </c>
      <c r="F2011" s="76" t="str">
        <f aca="false">IF(D2011&lt;&gt;"",IFERROR(VLOOKUP(D2011,PROVEEDORES!$A:$C,3,0),""),"")</f>
        <v>S</v>
      </c>
      <c r="G2011" s="75" t="s">
        <v>332</v>
      </c>
      <c r="H2011" s="52" t="str">
        <f aca="false">IF(G2011&lt;&gt;"",IFERROR(VLOOKUP(G2011,PRODUCTOS!$A:$B,2,0),"!COD NO ENCONTRADO"),"")</f>
        <v>VARIADO PEQUEÑO</v>
      </c>
      <c r="I2011" s="77" t="n">
        <v>1</v>
      </c>
      <c r="J2011" s="78" t="n">
        <v>10</v>
      </c>
      <c r="K2011" s="79" t="n">
        <v>1.5</v>
      </c>
      <c r="L2011" s="80" t="n">
        <f aca="false">IF(AND(J2011&lt;&gt;"",K2011&lt;&gt;""),J2011*K2011,"")</f>
        <v>15</v>
      </c>
      <c r="M2011" s="81" t="n">
        <f aca="false">IF(L2011&lt;&gt;"",L2011*1.1,"")</f>
        <v>16.5</v>
      </c>
      <c r="N2011" s="53" t="n">
        <f aca="false">IF(F2011="S",L2011*0.02,0)</f>
        <v>0.3</v>
      </c>
      <c r="O2011" s="82" t="n">
        <f aca="false">IF(L2011&lt;&gt;"",L2011+N2011,"")</f>
        <v>15.3</v>
      </c>
      <c r="P2011" s="53" t="n">
        <f aca="false">IF(O2011&lt;&gt;"",O2011*0.1,"")</f>
        <v>1.53</v>
      </c>
      <c r="Q2011" s="83" t="n">
        <f aca="false">IF(O2011&lt;&gt;"",O2011+P2011,"")</f>
        <v>16.83</v>
      </c>
      <c r="R2011" s="84" t="s">
        <v>365</v>
      </c>
    </row>
    <row r="2012" customFormat="false" ht="15" hidden="false" customHeight="true" outlineLevel="0" collapsed="false">
      <c r="A2012" s="103" t="n">
        <v>56447</v>
      </c>
      <c r="B2012" s="73" t="n">
        <v>46274</v>
      </c>
      <c r="C2012" s="74" t="s">
        <v>848</v>
      </c>
      <c r="D2012" s="75" t="n">
        <v>50232</v>
      </c>
      <c r="E2012" s="52" t="str">
        <f aca="false">IF(D2012&lt;&gt;"",IFERROR(VLOOKUP(D2012,PROVEEDORES!$A:$B,2,0),"!COD NO ENCONTRADO"),"")</f>
        <v>XESTION NOVA LONXA RIVEIRA S.L.</v>
      </c>
      <c r="F2012" s="76" t="str">
        <f aca="false">IF(D2012&lt;&gt;"",IFERROR(VLOOKUP(D2012,PROVEEDORES!$A:$C,3,0),""),"")</f>
        <v>S</v>
      </c>
      <c r="G2012" s="75" t="s">
        <v>83</v>
      </c>
      <c r="H2012" s="52" t="str">
        <f aca="false">IF(G2012&lt;&gt;"",IFERROR(VLOOKUP(G2012,PRODUCTOS!$A:$B,2,0),"!COD NO ENCONTRADO"),"")</f>
        <v>BESUGO (BSR)</v>
      </c>
      <c r="I2012" s="77" t="n">
        <v>2</v>
      </c>
      <c r="J2012" s="78" t="n">
        <v>6.9</v>
      </c>
      <c r="K2012" s="79" t="n">
        <v>42</v>
      </c>
      <c r="L2012" s="80" t="n">
        <f aca="false">IF(AND(J2012&lt;&gt;"",K2012&lt;&gt;""),J2012*K2012,"")</f>
        <v>289.8</v>
      </c>
      <c r="M2012" s="81" t="n">
        <f aca="false">IF(L2012&lt;&gt;"",L2012*1.1,"")</f>
        <v>318.78</v>
      </c>
      <c r="N2012" s="53" t="n">
        <f aca="false">IF(F2012="S",L2012*0.02,0)</f>
        <v>5.796</v>
      </c>
      <c r="O2012" s="82" t="n">
        <f aca="false">IF(L2012&lt;&gt;"",L2012+N2012,"")</f>
        <v>295.596</v>
      </c>
      <c r="P2012" s="53" t="n">
        <f aca="false">IF(O2012&lt;&gt;"",O2012*0.1,"")</f>
        <v>29.5596</v>
      </c>
      <c r="Q2012" s="83" t="n">
        <f aca="false">IF(O2012&lt;&gt;"",O2012+P2012,"")</f>
        <v>325.1556</v>
      </c>
      <c r="R2012" s="84" t="s">
        <v>365</v>
      </c>
    </row>
    <row r="2013" customFormat="false" ht="15" hidden="false" customHeight="true" outlineLevel="0" collapsed="false">
      <c r="A2013" s="103" t="n">
        <v>56447</v>
      </c>
      <c r="B2013" s="73" t="n">
        <v>46274</v>
      </c>
      <c r="C2013" s="74" t="s">
        <v>848</v>
      </c>
      <c r="D2013" s="75" t="n">
        <v>50232</v>
      </c>
      <c r="E2013" s="46" t="str">
        <f aca="false">IF(D2013&lt;&gt;"",IFERROR(VLOOKUP(D2013,PROVEEDORES!$A:$B,2,0),"!COD NO ENCONTRADO"),"")</f>
        <v>XESTION NOVA LONXA RIVEIRA S.L.</v>
      </c>
      <c r="F2013" s="88" t="str">
        <f aca="false">IF(D2013&lt;&gt;"",IFERROR(VLOOKUP(D2013,PROVEEDORES!$A:$C,3,0),""),"")</f>
        <v>S</v>
      </c>
      <c r="G2013" s="87" t="s">
        <v>103</v>
      </c>
      <c r="H2013" s="46" t="str">
        <f aca="false">IF(G2013&lt;&gt;"",IFERROR(VLOOKUP(G2013,PRODUCTOS!$A:$B,2,0),"!COD NO ENCONTRADO"),"")</f>
        <v>CABRAS/ GALLINETA (BRF)</v>
      </c>
      <c r="I2013" s="89" t="n">
        <v>3</v>
      </c>
      <c r="J2013" s="90" t="n">
        <v>9.6</v>
      </c>
      <c r="K2013" s="91" t="n">
        <v>15</v>
      </c>
      <c r="L2013" s="80" t="n">
        <f aca="false">IF(AND(J2013&lt;&gt;"",K2013&lt;&gt;""),J2013*K2013,"")</f>
        <v>144</v>
      </c>
      <c r="M2013" s="81" t="n">
        <f aca="false">IF(L2013&lt;&gt;"",L2013*1.1,"")</f>
        <v>158.4</v>
      </c>
      <c r="N2013" s="47" t="n">
        <f aca="false">IF(F2013="S",L2013*0.02,0)</f>
        <v>2.88</v>
      </c>
      <c r="O2013" s="82" t="n">
        <f aca="false">IF(L2013&lt;&gt;"",L2013+N2013,"")</f>
        <v>146.88</v>
      </c>
      <c r="P2013" s="47" t="n">
        <f aca="false">IF(O2013&lt;&gt;"",O2013*0.1,"")</f>
        <v>14.688</v>
      </c>
      <c r="Q2013" s="83" t="n">
        <f aca="false">IF(O2013&lt;&gt;"",O2013+P2013,"")</f>
        <v>161.568</v>
      </c>
      <c r="R2013" s="84" t="s">
        <v>365</v>
      </c>
    </row>
    <row r="2014" customFormat="false" ht="15" hidden="false" customHeight="true" outlineLevel="0" collapsed="false">
      <c r="A2014" s="103" t="n">
        <v>56447</v>
      </c>
      <c r="B2014" s="73" t="n">
        <v>46274</v>
      </c>
      <c r="C2014" s="74" t="s">
        <v>848</v>
      </c>
      <c r="D2014" s="75" t="n">
        <v>50232</v>
      </c>
      <c r="E2014" s="52" t="str">
        <f aca="false">IF(D2014&lt;&gt;"",IFERROR(VLOOKUP(D2014,PROVEEDORES!$A:$B,2,0),"!COD NO ENCONTRADO"),"")</f>
        <v>XESTION NOVA LONXA RIVEIRA S.L.</v>
      </c>
      <c r="F2014" s="76" t="str">
        <f aca="false">IF(D2014&lt;&gt;"",IFERROR(VLOOKUP(D2014,PROVEEDORES!$A:$C,3,0),""),"")</f>
        <v>S</v>
      </c>
      <c r="G2014" s="75" t="s">
        <v>270</v>
      </c>
      <c r="H2014" s="52" t="str">
        <f aca="false">IF(G2014&lt;&gt;"",IFERROR(VLOOKUP(G2014,PRODUCTOS!$A:$B,2,0),"!COD NO ENCONTRADO"),"")</f>
        <v>PEON/ PION (ATP)</v>
      </c>
      <c r="I2014" s="77" t="n">
        <v>8</v>
      </c>
      <c r="J2014" s="78" t="n">
        <v>36.25</v>
      </c>
      <c r="K2014" s="79" t="n">
        <v>4.5</v>
      </c>
      <c r="L2014" s="80" t="n">
        <f aca="false">IF(AND(J2014&lt;&gt;"",K2014&lt;&gt;""),J2014*K2014,"")</f>
        <v>163.125</v>
      </c>
      <c r="M2014" s="81" t="n">
        <f aca="false">IF(L2014&lt;&gt;"",L2014*1.1,"")</f>
        <v>179.4375</v>
      </c>
      <c r="N2014" s="53" t="n">
        <f aca="false">IF(F2014="S",L2014*0.02,0)</f>
        <v>3.2625</v>
      </c>
      <c r="O2014" s="82" t="n">
        <f aca="false">IF(L2014&lt;&gt;"",L2014+N2014,"")</f>
        <v>166.3875</v>
      </c>
      <c r="P2014" s="53" t="n">
        <f aca="false">IF(O2014&lt;&gt;"",O2014*0.1,"")</f>
        <v>16.63875</v>
      </c>
      <c r="Q2014" s="83" t="n">
        <f aca="false">IF(O2014&lt;&gt;"",O2014+P2014,"")</f>
        <v>183.02625</v>
      </c>
      <c r="R2014" s="84" t="s">
        <v>365</v>
      </c>
    </row>
    <row r="2015" customFormat="false" ht="15" hidden="false" customHeight="true" outlineLevel="0" collapsed="false">
      <c r="A2015" s="103" t="n">
        <v>56447</v>
      </c>
      <c r="B2015" s="73" t="n">
        <v>46274</v>
      </c>
      <c r="C2015" s="74" t="s">
        <v>848</v>
      </c>
      <c r="D2015" s="75" t="n">
        <v>50232</v>
      </c>
      <c r="E2015" s="46" t="str">
        <f aca="false">IF(D2015&lt;&gt;"",IFERROR(VLOOKUP(D2015,PROVEEDORES!$A:$B,2,0),"!COD NO ENCONTRADO"),"")</f>
        <v>XESTION NOVA LONXA RIVEIRA S.L.</v>
      </c>
      <c r="F2015" s="88" t="str">
        <f aca="false">IF(D2015&lt;&gt;"",IFERROR(VLOOKUP(D2015,PROVEEDORES!$A:$C,3,0),""),"")</f>
        <v>S</v>
      </c>
      <c r="G2015" s="87" t="s">
        <v>296</v>
      </c>
      <c r="H2015" s="46" t="str">
        <f aca="false">IF(G2015&lt;&gt;"",IFERROR(VLOOKUP(G2015,PRODUCTOS!$A:$B,2,0),"!COD NO ENCONTRADO"),"")</f>
        <v>RAPE NEGRO (ANK)</v>
      </c>
      <c r="I2015" s="89" t="n">
        <v>3</v>
      </c>
      <c r="J2015" s="90" t="n">
        <v>25.3</v>
      </c>
      <c r="K2015" s="91" t="n">
        <v>3.5</v>
      </c>
      <c r="L2015" s="80" t="n">
        <f aca="false">IF(AND(J2015&lt;&gt;"",K2015&lt;&gt;""),J2015*K2015,"")</f>
        <v>88.55</v>
      </c>
      <c r="M2015" s="81" t="n">
        <f aca="false">IF(L2015&lt;&gt;"",L2015*1.1,"")</f>
        <v>97.405</v>
      </c>
      <c r="N2015" s="47" t="n">
        <f aca="false">IF(F2015="S",L2015*0.02,0)</f>
        <v>1.771</v>
      </c>
      <c r="O2015" s="82" t="n">
        <f aca="false">IF(L2015&lt;&gt;"",L2015+N2015,"")</f>
        <v>90.321</v>
      </c>
      <c r="P2015" s="47" t="n">
        <f aca="false">IF(O2015&lt;&gt;"",O2015*0.1,"")</f>
        <v>9.0321</v>
      </c>
      <c r="Q2015" s="83" t="n">
        <f aca="false">IF(O2015&lt;&gt;"",O2015+P2015,"")</f>
        <v>99.3531</v>
      </c>
      <c r="R2015" s="84" t="s">
        <v>365</v>
      </c>
    </row>
    <row r="2016" customFormat="false" ht="15" hidden="false" customHeight="true" outlineLevel="0" collapsed="false">
      <c r="A2016" s="103" t="n">
        <v>56447</v>
      </c>
      <c r="B2016" s="73" t="n">
        <v>46274</v>
      </c>
      <c r="C2016" s="74" t="s">
        <v>848</v>
      </c>
      <c r="D2016" s="75" t="n">
        <v>50232</v>
      </c>
      <c r="E2016" s="52" t="str">
        <f aca="false">IF(D2016&lt;&gt;"",IFERROR(VLOOKUP(D2016,PROVEEDORES!$A:$B,2,0),"!COD NO ENCONTRADO"),"")</f>
        <v>XESTION NOVA LONXA RIVEIRA S.L.</v>
      </c>
      <c r="F2016" s="76" t="str">
        <f aca="false">IF(D2016&lt;&gt;"",IFERROR(VLOOKUP(D2016,PROVEEDORES!$A:$C,3,0),""),"")</f>
        <v>S</v>
      </c>
      <c r="G2016" s="75" t="s">
        <v>296</v>
      </c>
      <c r="H2016" s="52" t="str">
        <f aca="false">IF(G2016&lt;&gt;"",IFERROR(VLOOKUP(G2016,PRODUCTOS!$A:$B,2,0),"!COD NO ENCONTRADO"),"")</f>
        <v>RAPE NEGRO (ANK)</v>
      </c>
      <c r="I2016" s="77" t="n">
        <v>3</v>
      </c>
      <c r="J2016" s="78" t="n">
        <v>18.5</v>
      </c>
      <c r="K2016" s="79" t="n">
        <v>6</v>
      </c>
      <c r="L2016" s="80" t="n">
        <f aca="false">IF(AND(J2016&lt;&gt;"",K2016&lt;&gt;""),J2016*K2016,"")</f>
        <v>111</v>
      </c>
      <c r="M2016" s="81" t="n">
        <f aca="false">IF(L2016&lt;&gt;"",L2016*1.1,"")</f>
        <v>122.1</v>
      </c>
      <c r="N2016" s="53" t="n">
        <f aca="false">IF(F2016="S",L2016*0.02,0)</f>
        <v>2.22</v>
      </c>
      <c r="O2016" s="82" t="n">
        <f aca="false">IF(L2016&lt;&gt;"",L2016+N2016,"")</f>
        <v>113.22</v>
      </c>
      <c r="P2016" s="53" t="n">
        <f aca="false">IF(O2016&lt;&gt;"",O2016*0.1,"")</f>
        <v>11.322</v>
      </c>
      <c r="Q2016" s="83" t="n">
        <f aca="false">IF(O2016&lt;&gt;"",O2016+P2016,"")</f>
        <v>124.542</v>
      </c>
      <c r="R2016" s="84" t="s">
        <v>365</v>
      </c>
    </row>
    <row r="2017" customFormat="false" ht="15" hidden="false" customHeight="true" outlineLevel="0" collapsed="false">
      <c r="A2017" s="103" t="n">
        <v>56447</v>
      </c>
      <c r="B2017" s="73" t="n">
        <v>46274</v>
      </c>
      <c r="C2017" s="74" t="s">
        <v>848</v>
      </c>
      <c r="D2017" s="75" t="n">
        <v>50232</v>
      </c>
      <c r="E2017" s="46" t="str">
        <f aca="false">IF(D2017&lt;&gt;"",IFERROR(VLOOKUP(D2017,PROVEEDORES!$A:$B,2,0),"!COD NO ENCONTRADO"),"")</f>
        <v>XESTION NOVA LONXA RIVEIRA S.L.</v>
      </c>
      <c r="F2017" s="88" t="str">
        <f aca="false">IF(D2017&lt;&gt;"",IFERROR(VLOOKUP(D2017,PROVEEDORES!$A:$C,3,0),""),"")</f>
        <v>S</v>
      </c>
      <c r="G2017" s="87" t="s">
        <v>97</v>
      </c>
      <c r="H2017" s="46" t="str">
        <f aca="false">IF(G2017&lt;&gt;"",IFERROR(VLOOKUP(G2017,PRODUCTOS!$A:$B,2,0),"!COD NO ENCONTRADO"),"")</f>
        <v>CABALL/ SARDA/ VERDEL (MAC)</v>
      </c>
      <c r="I2017" s="89" t="n">
        <v>1</v>
      </c>
      <c r="J2017" s="90" t="n">
        <v>354</v>
      </c>
      <c r="K2017" s="91" t="n">
        <v>4.3</v>
      </c>
      <c r="L2017" s="80" t="n">
        <f aca="false">IF(AND(J2017&lt;&gt;"",K2017&lt;&gt;""),J2017*K2017,"")</f>
        <v>1522.2</v>
      </c>
      <c r="M2017" s="81" t="n">
        <f aca="false">IF(L2017&lt;&gt;"",L2017*1.1,"")</f>
        <v>1674.42</v>
      </c>
      <c r="N2017" s="47" t="n">
        <f aca="false">IF(F2017="S",L2017*0.02,0)</f>
        <v>30.444</v>
      </c>
      <c r="O2017" s="82" t="n">
        <f aca="false">IF(L2017&lt;&gt;"",L2017+N2017,"")</f>
        <v>1552.644</v>
      </c>
      <c r="P2017" s="47" t="n">
        <f aca="false">IF(O2017&lt;&gt;"",O2017*0.1,"")</f>
        <v>155.2644</v>
      </c>
      <c r="Q2017" s="83" t="n">
        <f aca="false">IF(O2017&lt;&gt;"",O2017+P2017,"")</f>
        <v>1707.9084</v>
      </c>
      <c r="R2017" s="84" t="s">
        <v>365</v>
      </c>
    </row>
    <row r="2018" customFormat="false" ht="15" hidden="false" customHeight="true" outlineLevel="0" collapsed="false">
      <c r="A2018" s="103" t="n">
        <v>56447</v>
      </c>
      <c r="B2018" s="73" t="n">
        <v>46274</v>
      </c>
      <c r="C2018" s="74" t="s">
        <v>848</v>
      </c>
      <c r="D2018" s="75" t="n">
        <v>50232</v>
      </c>
      <c r="E2018" s="52" t="str">
        <f aca="false">IF(D2018&lt;&gt;"",IFERROR(VLOOKUP(D2018,PROVEEDORES!$A:$B,2,0),"!COD NO ENCONTRADO"),"")</f>
        <v>XESTION NOVA LONXA RIVEIRA S.L.</v>
      </c>
      <c r="F2018" s="76" t="str">
        <f aca="false">IF(D2018&lt;&gt;"",IFERROR(VLOOKUP(D2018,PROVEEDORES!$A:$C,3,0),""),"")</f>
        <v>S</v>
      </c>
      <c r="G2018" s="75" t="s">
        <v>304</v>
      </c>
      <c r="H2018" s="52" t="str">
        <f aca="false">IF(G2018&lt;&gt;"",IFERROR(VLOOKUP(G2018,PRODUCTOS!$A:$B,2,0),"!COD NO ENCONTRADO"),"")</f>
        <v>RAYA SPP (SKA)</v>
      </c>
      <c r="I2018" s="77" t="n">
        <v>1</v>
      </c>
      <c r="J2018" s="78" t="n">
        <v>6.3</v>
      </c>
      <c r="K2018" s="79" t="n">
        <v>1</v>
      </c>
      <c r="L2018" s="80" t="n">
        <f aca="false">IF(AND(J2018&lt;&gt;"",K2018&lt;&gt;""),J2018*K2018,"")</f>
        <v>6.3</v>
      </c>
      <c r="M2018" s="81" t="n">
        <f aca="false">IF(L2018&lt;&gt;"",L2018*1.1,"")</f>
        <v>6.93</v>
      </c>
      <c r="N2018" s="53" t="n">
        <f aca="false">IF(F2018="S",L2018*0.02,0)</f>
        <v>0.126</v>
      </c>
      <c r="O2018" s="82" t="n">
        <f aca="false">IF(L2018&lt;&gt;"",L2018+N2018,"")</f>
        <v>6.426</v>
      </c>
      <c r="P2018" s="53" t="n">
        <f aca="false">IF(O2018&lt;&gt;"",O2018*0.1,"")</f>
        <v>0.6426</v>
      </c>
      <c r="Q2018" s="83" t="n">
        <f aca="false">IF(O2018&lt;&gt;"",O2018+P2018,"")</f>
        <v>7.0686</v>
      </c>
      <c r="R2018" s="84" t="s">
        <v>365</v>
      </c>
    </row>
    <row r="2019" customFormat="false" ht="15" hidden="false" customHeight="true" outlineLevel="0" collapsed="false">
      <c r="A2019" s="103" t="n">
        <v>56447</v>
      </c>
      <c r="B2019" s="73" t="n">
        <v>46274</v>
      </c>
      <c r="C2019" s="74" t="s">
        <v>848</v>
      </c>
      <c r="D2019" s="75" t="n">
        <v>50232</v>
      </c>
      <c r="E2019" s="46" t="str">
        <f aca="false">IF(D2019&lt;&gt;"",IFERROR(VLOOKUP(D2019,PROVEEDORES!$A:$B,2,0),"!COD NO ENCONTRADO"),"")</f>
        <v>XESTION NOVA LONXA RIVEIRA S.L.</v>
      </c>
      <c r="F2019" s="88" t="str">
        <f aca="false">IF(D2019&lt;&gt;"",IFERROR(VLOOKUP(D2019,PROVEEDORES!$A:$C,3,0),""),"")</f>
        <v>S</v>
      </c>
      <c r="G2019" s="87" t="s">
        <v>304</v>
      </c>
      <c r="H2019" s="46" t="str">
        <f aca="false">IF(G2019&lt;&gt;"",IFERROR(VLOOKUP(G2019,PRODUCTOS!$A:$B,2,0),"!COD NO ENCONTRADO"),"")</f>
        <v>RAYA SPP (SKA)</v>
      </c>
      <c r="I2019" s="89" t="n">
        <v>1</v>
      </c>
      <c r="J2019" s="90" t="n">
        <v>6.3</v>
      </c>
      <c r="K2019" s="91" t="n">
        <v>2</v>
      </c>
      <c r="L2019" s="80" t="n">
        <f aca="false">IF(AND(J2019&lt;&gt;"",K2019&lt;&gt;""),J2019*K2019,"")</f>
        <v>12.6</v>
      </c>
      <c r="M2019" s="81" t="n">
        <f aca="false">IF(L2019&lt;&gt;"",L2019*1.1,"")</f>
        <v>13.86</v>
      </c>
      <c r="N2019" s="47" t="n">
        <f aca="false">IF(F2019="S",L2019*0.02,0)</f>
        <v>0.252</v>
      </c>
      <c r="O2019" s="82" t="n">
        <f aca="false">IF(L2019&lt;&gt;"",L2019+N2019,"")</f>
        <v>12.852</v>
      </c>
      <c r="P2019" s="47" t="n">
        <f aca="false">IF(O2019&lt;&gt;"",O2019*0.1,"")</f>
        <v>1.2852</v>
      </c>
      <c r="Q2019" s="83" t="n">
        <f aca="false">IF(O2019&lt;&gt;"",O2019+P2019,"")</f>
        <v>14.1372</v>
      </c>
      <c r="R2019" s="84" t="s">
        <v>365</v>
      </c>
    </row>
    <row r="2020" customFormat="false" ht="15" hidden="false" customHeight="true" outlineLevel="0" collapsed="false">
      <c r="A2020" s="103" t="n">
        <v>56447</v>
      </c>
      <c r="B2020" s="73" t="n">
        <v>46274</v>
      </c>
      <c r="C2020" s="74" t="s">
        <v>848</v>
      </c>
      <c r="D2020" s="75" t="n">
        <v>50232</v>
      </c>
      <c r="E2020" s="52" t="str">
        <f aca="false">IF(D2020&lt;&gt;"",IFERROR(VLOOKUP(D2020,PROVEEDORES!$A:$B,2,0),"!COD NO ENCONTRADO"),"")</f>
        <v>XESTION NOVA LONXA RIVEIRA S.L.</v>
      </c>
      <c r="F2020" s="76" t="str">
        <f aca="false">IF(D2020&lt;&gt;"",IFERROR(VLOOKUP(D2020,PROVEEDORES!$A:$C,3,0),""),"")</f>
        <v>S</v>
      </c>
      <c r="G2020" s="75" t="s">
        <v>304</v>
      </c>
      <c r="H2020" s="52" t="str">
        <f aca="false">IF(G2020&lt;&gt;"",IFERROR(VLOOKUP(G2020,PRODUCTOS!$A:$B,2,0),"!COD NO ENCONTRADO"),"")</f>
        <v>RAYA SPP (SKA)</v>
      </c>
      <c r="I2020" s="77" t="n">
        <v>1</v>
      </c>
      <c r="J2020" s="78" t="n">
        <v>3.5</v>
      </c>
      <c r="K2020" s="79" t="n">
        <v>3</v>
      </c>
      <c r="L2020" s="80" t="n">
        <f aca="false">IF(AND(J2020&lt;&gt;"",K2020&lt;&gt;""),J2020*K2020,"")</f>
        <v>10.5</v>
      </c>
      <c r="M2020" s="81" t="n">
        <f aca="false">IF(L2020&lt;&gt;"",L2020*1.1,"")</f>
        <v>11.55</v>
      </c>
      <c r="N2020" s="53" t="n">
        <f aca="false">IF(F2020="S",L2020*0.02,0)</f>
        <v>0.21</v>
      </c>
      <c r="O2020" s="82" t="n">
        <f aca="false">IF(L2020&lt;&gt;"",L2020+N2020,"")</f>
        <v>10.71</v>
      </c>
      <c r="P2020" s="53" t="n">
        <f aca="false">IF(O2020&lt;&gt;"",O2020*0.1,"")</f>
        <v>1.071</v>
      </c>
      <c r="Q2020" s="83" t="n">
        <f aca="false">IF(O2020&lt;&gt;"",O2020+P2020,"")</f>
        <v>11.781</v>
      </c>
      <c r="R2020" s="84" t="s">
        <v>365</v>
      </c>
    </row>
    <row r="2021" customFormat="false" ht="15" hidden="false" customHeight="true" outlineLevel="0" collapsed="false">
      <c r="A2021" s="103" t="n">
        <v>56447</v>
      </c>
      <c r="B2021" s="73" t="n">
        <v>46274</v>
      </c>
      <c r="C2021" s="74" t="s">
        <v>848</v>
      </c>
      <c r="D2021" s="75" t="n">
        <v>50232</v>
      </c>
      <c r="E2021" s="52" t="str">
        <f aca="false">IF(D2021&lt;&gt;"",IFERROR(VLOOKUP(D2021,PROVEEDORES!$A:$B,2,0),"!COD NO ENCONTRADO"),"")</f>
        <v>XESTION NOVA LONXA RIVEIRA S.L.</v>
      </c>
      <c r="F2021" s="76" t="str">
        <f aca="false">IF(D2021&lt;&gt;"",IFERROR(VLOOKUP(D2021,PROVEEDORES!$A:$C,3,0),""),"")</f>
        <v>S</v>
      </c>
      <c r="G2021" s="75" t="s">
        <v>304</v>
      </c>
      <c r="H2021" s="46" t="str">
        <f aca="false">IF(G2021&lt;&gt;"",IFERROR(VLOOKUP(G2021,PRODUCTOS!$A:$B,2,0),"!COD NO ENCONTRADO"),"")</f>
        <v>RAYA SPP (SKA)</v>
      </c>
      <c r="I2021" s="89" t="n">
        <v>46</v>
      </c>
      <c r="J2021" s="90" t="n">
        <v>272.25</v>
      </c>
      <c r="K2021" s="91" t="n">
        <v>2.39</v>
      </c>
      <c r="L2021" s="80" t="n">
        <f aca="false">IF(AND(J2021&lt;&gt;"",K2021&lt;&gt;""),J2021*K2021,"")</f>
        <v>650.6775</v>
      </c>
      <c r="M2021" s="81" t="n">
        <f aca="false">IF(L2021&lt;&gt;"",L2021*1.1,"")</f>
        <v>715.74525</v>
      </c>
      <c r="N2021" s="47" t="n">
        <f aca="false">IF(F2021="S",L2021*0.02,0)</f>
        <v>13.01355</v>
      </c>
      <c r="O2021" s="82" t="n">
        <f aca="false">IF(L2021&lt;&gt;"",L2021+N2021,"")</f>
        <v>663.69105</v>
      </c>
      <c r="P2021" s="47" t="n">
        <f aca="false">IF(O2021&lt;&gt;"",O2021*0.1,"")</f>
        <v>66.369105</v>
      </c>
      <c r="Q2021" s="83" t="n">
        <f aca="false">IF(O2021&lt;&gt;"",O2021+P2021,"")</f>
        <v>730.060155</v>
      </c>
      <c r="R2021" s="84" t="s">
        <v>365</v>
      </c>
    </row>
    <row r="2022" customFormat="false" ht="15" hidden="false" customHeight="true" outlineLevel="0" collapsed="false">
      <c r="A2022" s="103" t="n">
        <v>56447</v>
      </c>
      <c r="B2022" s="73" t="n">
        <v>46274</v>
      </c>
      <c r="C2022" s="74" t="s">
        <v>848</v>
      </c>
      <c r="D2022" s="75" t="n">
        <v>50232</v>
      </c>
      <c r="E2022" s="52" t="str">
        <f aca="false">IF(D2022&lt;&gt;"",IFERROR(VLOOKUP(D2022,PROVEEDORES!$A:$B,2,0),"!COD NO ENCONTRADO"),"")</f>
        <v>XESTION NOVA LONXA RIVEIRA S.L.</v>
      </c>
      <c r="F2022" s="76" t="str">
        <f aca="false">IF(D2022&lt;&gt;"",IFERROR(VLOOKUP(D2022,PROVEEDORES!$A:$C,3,0),""),"")</f>
        <v>S</v>
      </c>
      <c r="G2022" s="75" t="s">
        <v>179</v>
      </c>
      <c r="H2022" s="52" t="str">
        <f aca="false">IF(G2022&lt;&gt;"",IFERROR(VLOOKUP(G2022,PRODUCTOS!$A:$B,2,0),"!COD NO ENCONTRADO"),"")</f>
        <v>LIRIO/ BACALADILLA/ PERLA (WHB)</v>
      </c>
      <c r="I2022" s="77" t="n">
        <v>1</v>
      </c>
      <c r="J2022" s="121" t="n">
        <v>134</v>
      </c>
      <c r="K2022" s="141" t="n">
        <v>1.85</v>
      </c>
      <c r="L2022" s="80" t="n">
        <f aca="false">IF(AND(J2022&lt;&gt;"",K2022&lt;&gt;""),J2022*K2022,"")</f>
        <v>247.9</v>
      </c>
      <c r="M2022" s="81" t="n">
        <f aca="false">IF(L2022&lt;&gt;"",L2022*1.1,"")</f>
        <v>272.69</v>
      </c>
      <c r="N2022" s="53" t="n">
        <f aca="false">IF(F2022="S",L2022*0.02,0)</f>
        <v>4.958</v>
      </c>
      <c r="O2022" s="82" t="n">
        <f aca="false">IF(L2022&lt;&gt;"",L2022+N2022,"")</f>
        <v>252.858</v>
      </c>
      <c r="P2022" s="53" t="n">
        <f aca="false">IF(O2022&lt;&gt;"",O2022*0.1,"")</f>
        <v>25.2858</v>
      </c>
      <c r="Q2022" s="83" t="n">
        <f aca="false">IF(O2022&lt;&gt;"",O2022+P2022,"")</f>
        <v>278.1438</v>
      </c>
      <c r="R2022" s="84" t="s">
        <v>365</v>
      </c>
    </row>
    <row r="2023" customFormat="false" ht="15" hidden="false" customHeight="true" outlineLevel="0" collapsed="false">
      <c r="A2023" s="103" t="n">
        <v>56447</v>
      </c>
      <c r="B2023" s="85" t="n">
        <v>46274</v>
      </c>
      <c r="C2023" s="74" t="s">
        <v>848</v>
      </c>
      <c r="D2023" s="87" t="n">
        <v>50232</v>
      </c>
      <c r="E2023" s="46" t="str">
        <f aca="false">IF(D2023&lt;&gt;"",IFERROR(VLOOKUP(D2023,PROVEEDORES!$A:$B,2,0),"!COD NO ENCONTRADO"),"")</f>
        <v>XESTION NOVA LONXA RIVEIRA S.L.</v>
      </c>
      <c r="F2023" s="88" t="str">
        <f aca="false">IF(D2023&lt;&gt;"",IFERROR(VLOOKUP(D2023,PROVEEDORES!$A:$C,3,0),""),"")</f>
        <v>S</v>
      </c>
      <c r="G2023" s="87" t="s">
        <v>179</v>
      </c>
      <c r="H2023" s="46" t="str">
        <f aca="false">IF(G2023&lt;&gt;"",IFERROR(VLOOKUP(G2023,PRODUCTOS!$A:$B,2,0),"!COD NO ENCONTRADO"),"")</f>
        <v>LIRIO/ BACALADILLA/ PERLA (WHB)</v>
      </c>
      <c r="I2023" s="89" t="n">
        <v>1</v>
      </c>
      <c r="J2023" s="121" t="n">
        <v>140</v>
      </c>
      <c r="K2023" s="141" t="n">
        <v>2</v>
      </c>
      <c r="L2023" s="80" t="n">
        <f aca="false">IF(AND(J2023&lt;&gt;"",K2023&lt;&gt;""),J2023*K2023,"")</f>
        <v>280</v>
      </c>
      <c r="M2023" s="81" t="n">
        <f aca="false">IF(L2023&lt;&gt;"",L2023*1.1,"")</f>
        <v>308</v>
      </c>
      <c r="N2023" s="47" t="n">
        <f aca="false">IF(F2023="S",L2023*0.02,0)</f>
        <v>5.6</v>
      </c>
      <c r="O2023" s="82" t="n">
        <f aca="false">IF(L2023&lt;&gt;"",L2023+N2023,"")</f>
        <v>285.6</v>
      </c>
      <c r="P2023" s="47" t="n">
        <f aca="false">IF(O2023&lt;&gt;"",O2023*0.1,"")</f>
        <v>28.56</v>
      </c>
      <c r="Q2023" s="83" t="n">
        <f aca="false">IF(O2023&lt;&gt;"",O2023+P2023,"")</f>
        <v>314.16</v>
      </c>
      <c r="R2023" s="84" t="s">
        <v>365</v>
      </c>
    </row>
    <row r="2024" customFormat="false" ht="15" hidden="false" customHeight="true" outlineLevel="0" collapsed="false">
      <c r="A2024" s="103" t="n">
        <v>56448</v>
      </c>
      <c r="B2024" s="73" t="n">
        <v>46274</v>
      </c>
      <c r="C2024" s="74" t="s">
        <v>849</v>
      </c>
      <c r="D2024" s="75" t="n">
        <v>50001</v>
      </c>
      <c r="E2024" s="52" t="str">
        <f aca="false">IF(D2024&lt;&gt;"",IFERROR(VLOOKUP(D2024,PROVEEDORES!$A:$B,2,0),"!COD NO ENCONTRADO"),"")</f>
        <v>COPESA</v>
      </c>
      <c r="F2024" s="76" t="str">
        <f aca="false">IF(D2024&lt;&gt;"",IFERROR(VLOOKUP(D2024,PROVEEDORES!$A:$C,3,0),""),"")</f>
        <v>S</v>
      </c>
      <c r="G2024" s="75" t="s">
        <v>332</v>
      </c>
      <c r="H2024" s="52" t="str">
        <f aca="false">IF(G2024&lt;&gt;"",IFERROR(VLOOKUP(G2024,PRODUCTOS!$A:$B,2,0),"!COD NO ENCONTRADO"),"")</f>
        <v>VARIADO PEQUEÑO</v>
      </c>
      <c r="I2024" s="77" t="n">
        <v>1</v>
      </c>
      <c r="J2024" s="78" t="n">
        <v>0.8</v>
      </c>
      <c r="K2024" s="79" t="n">
        <v>0.5</v>
      </c>
      <c r="L2024" s="80" t="n">
        <f aca="false">IF(AND(J2024&lt;&gt;"",K2024&lt;&gt;""),J2024*K2024,"")</f>
        <v>0.4</v>
      </c>
      <c r="M2024" s="81" t="n">
        <f aca="false">IF(L2024&lt;&gt;"",L2024*1.1,"")</f>
        <v>0.44</v>
      </c>
      <c r="N2024" s="53" t="n">
        <f aca="false">IF(F2024="S",L2024*0.02,0)</f>
        <v>0.008</v>
      </c>
      <c r="O2024" s="82" t="n">
        <f aca="false">IF(L2024&lt;&gt;"",L2024+N2024,"")</f>
        <v>0.408</v>
      </c>
      <c r="P2024" s="53" t="n">
        <f aca="false">IF(O2024&lt;&gt;"",O2024*0.1,"")</f>
        <v>0.0408</v>
      </c>
      <c r="Q2024" s="83" t="n">
        <f aca="false">IF(O2024&lt;&gt;"",O2024+P2024,"")</f>
        <v>0.4488</v>
      </c>
      <c r="R2024" s="84" t="s">
        <v>358</v>
      </c>
    </row>
    <row r="2025" customFormat="false" ht="15" hidden="false" customHeight="true" outlineLevel="0" collapsed="false">
      <c r="A2025" s="103" t="n">
        <v>56448</v>
      </c>
      <c r="B2025" s="73" t="n">
        <v>46274</v>
      </c>
      <c r="C2025" s="74" t="s">
        <v>849</v>
      </c>
      <c r="D2025" s="75" t="n">
        <v>50001</v>
      </c>
      <c r="E2025" s="52" t="str">
        <f aca="false">IF(D2025&lt;&gt;"",IFERROR(VLOOKUP(D2025,PROVEEDORES!$A:$B,2,0),"!COD NO ENCONTRADO"),"")</f>
        <v>COPESA</v>
      </c>
      <c r="F2025" s="76" t="str">
        <f aca="false">IF(D2025&lt;&gt;"",IFERROR(VLOOKUP(D2025,PROVEEDORES!$A:$C,3,0),""),"")</f>
        <v>S</v>
      </c>
      <c r="G2025" s="75" t="s">
        <v>332</v>
      </c>
      <c r="H2025" s="52" t="str">
        <f aca="false">IF(G2025&lt;&gt;"",IFERROR(VLOOKUP(G2025,PRODUCTOS!$A:$B,2,0),"!COD NO ENCONTRADO"),"")</f>
        <v>VARIADO PEQUEÑO</v>
      </c>
      <c r="I2025" s="77" t="n">
        <v>1</v>
      </c>
      <c r="J2025" s="78" t="n">
        <v>4.25</v>
      </c>
      <c r="K2025" s="79" t="n">
        <v>0.5</v>
      </c>
      <c r="L2025" s="80" t="n">
        <f aca="false">IF(AND(J2025&lt;&gt;"",K2025&lt;&gt;""),J2025*K2025,"")</f>
        <v>2.125</v>
      </c>
      <c r="M2025" s="81" t="n">
        <f aca="false">IF(L2025&lt;&gt;"",L2025*1.1,"")</f>
        <v>2.3375</v>
      </c>
      <c r="N2025" s="53" t="n">
        <f aca="false">IF(F2025="S",L2025*0.02,0)</f>
        <v>0.0425</v>
      </c>
      <c r="O2025" s="82" t="n">
        <f aca="false">IF(L2025&lt;&gt;"",L2025+N2025,"")</f>
        <v>2.1675</v>
      </c>
      <c r="P2025" s="53" t="n">
        <f aca="false">IF(O2025&lt;&gt;"",O2025*0.1,"")</f>
        <v>0.21675</v>
      </c>
      <c r="Q2025" s="83" t="n">
        <f aca="false">IF(O2025&lt;&gt;"",O2025+P2025,"")</f>
        <v>2.38425</v>
      </c>
      <c r="R2025" s="84" t="s">
        <v>358</v>
      </c>
    </row>
    <row r="2026" customFormat="false" ht="15" hidden="false" customHeight="true" outlineLevel="0" collapsed="false">
      <c r="A2026" s="103" t="n">
        <v>56448</v>
      </c>
      <c r="B2026" s="73" t="n">
        <v>46274</v>
      </c>
      <c r="C2026" s="74" t="s">
        <v>849</v>
      </c>
      <c r="D2026" s="87" t="n">
        <v>50001</v>
      </c>
      <c r="E2026" s="46" t="str">
        <f aca="false">IF(D2026&lt;&gt;"",IFERROR(VLOOKUP(D2026,PROVEEDORES!$A:$B,2,0),"!COD NO ENCONTRADO"),"")</f>
        <v>COPESA</v>
      </c>
      <c r="F2026" s="88" t="str">
        <f aca="false">IF(D2026&lt;&gt;"",IFERROR(VLOOKUP(D2026,PROVEEDORES!$A:$C,3,0),""),"")</f>
        <v>S</v>
      </c>
      <c r="G2026" s="87" t="s">
        <v>97</v>
      </c>
      <c r="H2026" s="46" t="str">
        <f aca="false">IF(G2026&lt;&gt;"",IFERROR(VLOOKUP(G2026,PRODUCTOS!$A:$B,2,0),"!COD NO ENCONTRADO"),"")</f>
        <v>CABALL/ SARDA/ VERDEL (MAC)</v>
      </c>
      <c r="I2026" s="89" t="n">
        <v>4</v>
      </c>
      <c r="J2026" s="90" t="n">
        <v>33.75</v>
      </c>
      <c r="K2026" s="91" t="n">
        <v>3.7</v>
      </c>
      <c r="L2026" s="80" t="n">
        <f aca="false">IF(AND(J2026&lt;&gt;"",K2026&lt;&gt;""),J2026*K2026,"")</f>
        <v>124.875</v>
      </c>
      <c r="M2026" s="81" t="n">
        <f aca="false">IF(L2026&lt;&gt;"",L2026*1.1,"")</f>
        <v>137.3625</v>
      </c>
      <c r="N2026" s="47" t="n">
        <f aca="false">IF(F2026="S",L2026*0.02,0)</f>
        <v>2.4975</v>
      </c>
      <c r="O2026" s="82" t="n">
        <f aca="false">IF(L2026&lt;&gt;"",L2026+N2026,"")</f>
        <v>127.3725</v>
      </c>
      <c r="P2026" s="47" t="n">
        <f aca="false">IF(O2026&lt;&gt;"",O2026*0.1,"")</f>
        <v>12.73725</v>
      </c>
      <c r="Q2026" s="83" t="n">
        <f aca="false">IF(O2026&lt;&gt;"",O2026+P2026,"")</f>
        <v>140.10975</v>
      </c>
      <c r="R2026" s="84" t="s">
        <v>358</v>
      </c>
    </row>
    <row r="2027" customFormat="false" ht="15" hidden="false" customHeight="true" outlineLevel="0" collapsed="false">
      <c r="A2027" s="103" t="n">
        <v>56449</v>
      </c>
      <c r="B2027" s="73" t="n">
        <v>46274</v>
      </c>
      <c r="C2027" s="74" t="s">
        <v>850</v>
      </c>
      <c r="D2027" s="75" t="n">
        <v>50020</v>
      </c>
      <c r="E2027" s="52" t="str">
        <f aca="false">IF(D2027&lt;&gt;"",IFERROR(VLOOKUP(D2027,PROVEEDORES!$A:$B,2,0),"!COD NO ENCONTRADO"),"")</f>
        <v>PACO MOINELO</v>
      </c>
      <c r="F2027" s="76" t="str">
        <f aca="false">IF(D2027&lt;&gt;"",IFERROR(VLOOKUP(D2027,PROVEEDORES!$A:$C,3,0),""),"")</f>
        <v>S</v>
      </c>
      <c r="G2027" s="75" t="s">
        <v>135</v>
      </c>
      <c r="H2027" s="52" t="str">
        <f aca="false">IF(G2027&lt;&gt;"",IFERROR(VLOOKUP(G2027,PRODUCTOS!$A:$B,2,0),"!COD NO ENCONTRADO"),"")</f>
        <v>CONGRIO 10+  (COE)</v>
      </c>
      <c r="I2027" s="77" t="n">
        <v>2</v>
      </c>
      <c r="J2027" s="78" t="n">
        <v>26.5</v>
      </c>
      <c r="K2027" s="79" t="n">
        <v>4</v>
      </c>
      <c r="L2027" s="80" t="n">
        <f aca="false">IF(AND(J2027&lt;&gt;"",K2027&lt;&gt;""),J2027*K2027,"")</f>
        <v>106</v>
      </c>
      <c r="M2027" s="81" t="n">
        <f aca="false">IF(L2027&lt;&gt;"",L2027*1.1,"")</f>
        <v>116.6</v>
      </c>
      <c r="N2027" s="53" t="n">
        <f aca="false">IF(F2027="S",L2027*0.02,0)</f>
        <v>2.12</v>
      </c>
      <c r="O2027" s="82" t="n">
        <f aca="false">IF(L2027&lt;&gt;"",L2027+N2027,"")</f>
        <v>108.12</v>
      </c>
      <c r="P2027" s="53" t="n">
        <f aca="false">IF(O2027&lt;&gt;"",O2027*0.1,"")</f>
        <v>10.812</v>
      </c>
      <c r="Q2027" s="83" t="n">
        <f aca="false">IF(O2027&lt;&gt;"",O2027+P2027,"")</f>
        <v>118.932</v>
      </c>
      <c r="R2027" s="84" t="s">
        <v>365</v>
      </c>
    </row>
    <row r="2028" customFormat="false" ht="15" hidden="false" customHeight="true" outlineLevel="0" collapsed="false">
      <c r="A2028" s="103" t="n">
        <v>56450</v>
      </c>
      <c r="B2028" s="73" t="n">
        <v>46274</v>
      </c>
      <c r="C2028" s="86" t="s">
        <v>851</v>
      </c>
      <c r="D2028" s="87" t="n">
        <v>50069</v>
      </c>
      <c r="E2028" s="46" t="str">
        <f aca="false">IF(D2028&lt;&gt;"",IFERROR(VLOOKUP(D2028,PROVEEDORES!$A:$B,2,0),"!COD NO ENCONTRADO"),"")</f>
        <v>PESCADOS ILLANES S.L.</v>
      </c>
      <c r="F2028" s="88" t="str">
        <f aca="false">IF(D2028&lt;&gt;"",IFERROR(VLOOKUP(D2028,PROVEEDORES!$A:$C,3,0),""),"")</f>
        <v>S</v>
      </c>
      <c r="G2028" s="87" t="s">
        <v>97</v>
      </c>
      <c r="H2028" s="46" t="str">
        <f aca="false">IF(G2028&lt;&gt;"",IFERROR(VLOOKUP(G2028,PRODUCTOS!$A:$B,2,0),"!COD NO ENCONTRADO"),"")</f>
        <v>CABALL/ SARDA/ VERDEL (MAC)</v>
      </c>
      <c r="I2028" s="89" t="n">
        <v>2</v>
      </c>
      <c r="J2028" s="90" t="n">
        <v>13.75</v>
      </c>
      <c r="K2028" s="91" t="n">
        <v>2.8</v>
      </c>
      <c r="L2028" s="80" t="n">
        <f aca="false">IF(AND(J2028&lt;&gt;"",K2028&lt;&gt;""),J2028*K2028,"")</f>
        <v>38.5</v>
      </c>
      <c r="M2028" s="81" t="n">
        <f aca="false">IF(L2028&lt;&gt;"",L2028*1.1,"")</f>
        <v>42.35</v>
      </c>
      <c r="N2028" s="47" t="n">
        <f aca="false">IF(F2028="S",L2028*0.02,0)</f>
        <v>0.77</v>
      </c>
      <c r="O2028" s="82" t="n">
        <f aca="false">IF(L2028&lt;&gt;"",L2028+N2028,"")</f>
        <v>39.27</v>
      </c>
      <c r="P2028" s="47" t="n">
        <f aca="false">IF(O2028&lt;&gt;"",O2028*0.1,"")</f>
        <v>3.927</v>
      </c>
      <c r="Q2028" s="83" t="n">
        <f aca="false">IF(O2028&lt;&gt;"",O2028+P2028,"")</f>
        <v>43.197</v>
      </c>
      <c r="R2028" s="84" t="s">
        <v>358</v>
      </c>
    </row>
    <row r="2029" customFormat="false" ht="15" hidden="false" customHeight="true" outlineLevel="0" collapsed="false">
      <c r="A2029" s="103" t="n">
        <v>56450</v>
      </c>
      <c r="B2029" s="73" t="n">
        <v>46274</v>
      </c>
      <c r="C2029" s="74" t="s">
        <v>851</v>
      </c>
      <c r="D2029" s="75" t="n">
        <v>50069</v>
      </c>
      <c r="E2029" s="52" t="str">
        <f aca="false">IF(D2029&lt;&gt;"",IFERROR(VLOOKUP(D2029,PROVEEDORES!$A:$B,2,0),"!COD NO ENCONTRADO"),"")</f>
        <v>PESCADOS ILLANES S.L.</v>
      </c>
      <c r="F2029" s="76" t="str">
        <f aca="false">IF(D2029&lt;&gt;"",IFERROR(VLOOKUP(D2029,PROVEEDORES!$A:$C,3,0),""),"")</f>
        <v>S</v>
      </c>
      <c r="G2029" s="75" t="s">
        <v>97</v>
      </c>
      <c r="H2029" s="52" t="str">
        <f aca="false">IF(G2029&lt;&gt;"",IFERROR(VLOOKUP(G2029,PRODUCTOS!$A:$B,2,0),"!COD NO ENCONTRADO"),"")</f>
        <v>CABALL/ SARDA/ VERDEL (MAC)</v>
      </c>
      <c r="I2029" s="77" t="n">
        <v>1</v>
      </c>
      <c r="J2029" s="78" t="n">
        <v>7.75</v>
      </c>
      <c r="K2029" s="79" t="n">
        <v>3.6</v>
      </c>
      <c r="L2029" s="80" t="n">
        <f aca="false">IF(AND(J2029&lt;&gt;"",K2029&lt;&gt;""),J2029*K2029,"")</f>
        <v>27.9</v>
      </c>
      <c r="M2029" s="81" t="n">
        <f aca="false">IF(L2029&lt;&gt;"",L2029*1.1,"")</f>
        <v>30.69</v>
      </c>
      <c r="N2029" s="53" t="n">
        <f aca="false">IF(F2029="S",L2029*0.02,0)</f>
        <v>0.558</v>
      </c>
      <c r="O2029" s="82" t="n">
        <f aca="false">IF(L2029&lt;&gt;"",L2029+N2029,"")</f>
        <v>28.458</v>
      </c>
      <c r="P2029" s="53" t="n">
        <f aca="false">IF(O2029&lt;&gt;"",O2029*0.1,"")</f>
        <v>2.8458</v>
      </c>
      <c r="Q2029" s="83" t="n">
        <f aca="false">IF(O2029&lt;&gt;"",O2029+P2029,"")</f>
        <v>31.3038</v>
      </c>
      <c r="R2029" s="84" t="s">
        <v>358</v>
      </c>
    </row>
    <row r="2030" customFormat="false" ht="15" hidden="false" customHeight="true" outlineLevel="0" collapsed="false">
      <c r="A2030" s="103" t="n">
        <v>56451</v>
      </c>
      <c r="B2030" s="73" t="n">
        <v>46274</v>
      </c>
      <c r="C2030" s="86" t="s">
        <v>852</v>
      </c>
      <c r="D2030" s="87" t="n">
        <v>50163</v>
      </c>
      <c r="E2030" s="46" t="str">
        <f aca="false">IF(D2030&lt;&gt;"",IFERROR(VLOOKUP(D2030,PROVEEDORES!$A:$B,2,0),"!COD NO ENCONTRADO"),"")</f>
        <v>SUBASTAS RIVERA S.L.</v>
      </c>
      <c r="F2030" s="88" t="str">
        <f aca="false">IF(D2030&lt;&gt;"",IFERROR(VLOOKUP(D2030,PROVEEDORES!$A:$C,3,0),""),"")</f>
        <v>S</v>
      </c>
      <c r="G2030" s="87" t="s">
        <v>316</v>
      </c>
      <c r="H2030" s="46" t="str">
        <f aca="false">IF(G2030&lt;&gt;"",IFERROR(VLOOKUP(G2030,PRODUCTOS!$A:$B,2,0),"!COD NO ENCONTRADO"),"")</f>
        <v>SALMONETE ROCA (MUR)</v>
      </c>
      <c r="I2030" s="89" t="n">
        <v>1</v>
      </c>
      <c r="J2030" s="90" t="n">
        <v>2</v>
      </c>
      <c r="K2030" s="91" t="n">
        <v>14</v>
      </c>
      <c r="L2030" s="80" t="n">
        <f aca="false">IF(AND(J2030&lt;&gt;"",K2030&lt;&gt;""),J2030*K2030,"")</f>
        <v>28</v>
      </c>
      <c r="M2030" s="81" t="n">
        <f aca="false">IF(L2030&lt;&gt;"",L2030*1.1,"")</f>
        <v>30.8</v>
      </c>
      <c r="N2030" s="47" t="n">
        <f aca="false">IF(F2030="S",L2030*0.02,0)</f>
        <v>0.56</v>
      </c>
      <c r="O2030" s="82" t="n">
        <f aca="false">IF(L2030&lt;&gt;"",L2030+N2030,"")</f>
        <v>28.56</v>
      </c>
      <c r="P2030" s="47" t="n">
        <f aca="false">IF(O2030&lt;&gt;"",O2030*0.1,"")</f>
        <v>2.856</v>
      </c>
      <c r="Q2030" s="83" t="n">
        <f aca="false">IF(O2030&lt;&gt;"",O2030+P2030,"")</f>
        <v>31.416</v>
      </c>
      <c r="R2030" s="84" t="s">
        <v>358</v>
      </c>
    </row>
    <row r="2031" customFormat="false" ht="15" hidden="false" customHeight="true" outlineLevel="0" collapsed="false">
      <c r="A2031" s="103" t="n">
        <v>56452</v>
      </c>
      <c r="B2031" s="73" t="n">
        <v>46274</v>
      </c>
      <c r="C2031" s="74" t="s">
        <v>853</v>
      </c>
      <c r="D2031" s="75" t="n">
        <v>50010</v>
      </c>
      <c r="E2031" s="52" t="str">
        <f aca="false">IF(D2031&lt;&gt;"",IFERROR(VLOOKUP(D2031,PROVEEDORES!$A:$B,2,0),"!COD NO ENCONTRADO"),"")</f>
        <v>PERFECTO MONTERO</v>
      </c>
      <c r="F2031" s="76" t="str">
        <f aca="false">IF(D2031&lt;&gt;"",IFERROR(VLOOKUP(D2031,PROVEEDORES!$A:$C,3,0),""),"")</f>
        <v>S</v>
      </c>
      <c r="G2031" s="75" t="s">
        <v>91</v>
      </c>
      <c r="H2031" s="52" t="str">
        <f aca="false">IF(G2031&lt;&gt;"",IFERROR(VLOOKUP(G2031,PRODUCTOS!$A:$B,2,0),"!COD NO ENCONTRADO"),"")</f>
        <v>BONITO DEL NORTE 5/7</v>
      </c>
      <c r="I2031" s="77" t="n">
        <v>1</v>
      </c>
      <c r="J2031" s="78" t="n">
        <v>29</v>
      </c>
      <c r="K2031" s="79" t="n">
        <v>6.1</v>
      </c>
      <c r="L2031" s="80" t="n">
        <f aca="false">IF(AND(J2031&lt;&gt;"",K2031&lt;&gt;""),J2031*K2031,"")</f>
        <v>176.9</v>
      </c>
      <c r="M2031" s="81" t="n">
        <f aca="false">IF(L2031&lt;&gt;"",L2031*1.1,"")</f>
        <v>194.59</v>
      </c>
      <c r="N2031" s="53" t="n">
        <f aca="false">IF(F2031="S",L2031*0.02,0)</f>
        <v>3.538</v>
      </c>
      <c r="O2031" s="82" t="n">
        <f aca="false">IF(L2031&lt;&gt;"",L2031+N2031,"")</f>
        <v>180.438</v>
      </c>
      <c r="P2031" s="53" t="n">
        <f aca="false">IF(O2031&lt;&gt;"",O2031*0.1,"")</f>
        <v>18.0438</v>
      </c>
      <c r="Q2031" s="83" t="n">
        <f aca="false">IF(O2031&lt;&gt;"",O2031+P2031,"")</f>
        <v>198.4818</v>
      </c>
      <c r="R2031" s="84" t="s">
        <v>358</v>
      </c>
    </row>
    <row r="2032" customFormat="false" ht="15" hidden="false" customHeight="true" outlineLevel="0" collapsed="false">
      <c r="A2032" s="103" t="n">
        <v>56453</v>
      </c>
      <c r="B2032" s="73" t="n">
        <v>46274</v>
      </c>
      <c r="C2032" s="86" t="s">
        <v>854</v>
      </c>
      <c r="D2032" s="87" t="n">
        <v>50521</v>
      </c>
      <c r="E2032" s="46" t="str">
        <f aca="false">IF(D2032&lt;&gt;"",IFERROR(VLOOKUP(D2032,PROVEEDORES!$A:$B,2,0),"!COD NO ENCONTRADO"),"")</f>
        <v>SUBASTAS DE ATLANTICO S.L</v>
      </c>
      <c r="F2032" s="88" t="str">
        <f aca="false">IF(D2032&lt;&gt;"",IFERROR(VLOOKUP(D2032,PROVEEDORES!$A:$C,3,0),""),"")</f>
        <v>S</v>
      </c>
      <c r="G2032" s="87" t="s">
        <v>332</v>
      </c>
      <c r="H2032" s="46" t="str">
        <f aca="false">IF(G2032&lt;&gt;"",IFERROR(VLOOKUP(G2032,PRODUCTOS!$A:$B,2,0),"!COD NO ENCONTRADO"),"")</f>
        <v>VARIADO PEQUEÑO</v>
      </c>
      <c r="I2032" s="89" t="n">
        <v>3</v>
      </c>
      <c r="J2032" s="90" t="n">
        <v>16</v>
      </c>
      <c r="K2032" s="91" t="n">
        <v>0.5</v>
      </c>
      <c r="L2032" s="80" t="n">
        <f aca="false">IF(AND(J2032&lt;&gt;"",K2032&lt;&gt;""),J2032*K2032,"")</f>
        <v>8</v>
      </c>
      <c r="M2032" s="81" t="n">
        <f aca="false">IF(L2032&lt;&gt;"",L2032*1.1,"")</f>
        <v>8.8</v>
      </c>
      <c r="N2032" s="47" t="n">
        <f aca="false">IF(F2032="S",L2032*0.02,0)</f>
        <v>0.16</v>
      </c>
      <c r="O2032" s="82" t="n">
        <f aca="false">IF(L2032&lt;&gt;"",L2032+N2032,"")</f>
        <v>8.16</v>
      </c>
      <c r="P2032" s="47" t="n">
        <f aca="false">IF(O2032&lt;&gt;"",O2032*0.1,"")</f>
        <v>0.816</v>
      </c>
      <c r="Q2032" s="83" t="n">
        <f aca="false">IF(O2032&lt;&gt;"",O2032+P2032,"")</f>
        <v>8.976</v>
      </c>
      <c r="R2032" s="84" t="s">
        <v>365</v>
      </c>
    </row>
    <row r="2033" customFormat="false" ht="15" hidden="false" customHeight="true" outlineLevel="0" collapsed="false">
      <c r="A2033" s="103" t="n">
        <v>56453</v>
      </c>
      <c r="B2033" s="73" t="n">
        <v>46274</v>
      </c>
      <c r="C2033" s="86" t="s">
        <v>854</v>
      </c>
      <c r="D2033" s="87" t="n">
        <v>50521</v>
      </c>
      <c r="E2033" s="46" t="str">
        <f aca="false">IF(D2033&lt;&gt;"",IFERROR(VLOOKUP(D2033,PROVEEDORES!$A:$B,2,0),"!COD NO ENCONTRADO"),"")</f>
        <v>SUBASTAS DE ATLANTICO S.L</v>
      </c>
      <c r="F2033" s="88" t="str">
        <f aca="false">IF(D2033&lt;&gt;"",IFERROR(VLOOKUP(D2033,PROVEEDORES!$A:$C,3,0),""),"")</f>
        <v>S</v>
      </c>
      <c r="G2033" s="87" t="s">
        <v>93</v>
      </c>
      <c r="H2033" s="46" t="str">
        <f aca="false">IF(G2033&lt;&gt;"",IFERROR(VLOOKUP(G2033,PRODUCTOS!$A:$B,2,0),"!COD NO ENCONTRADO"),"")</f>
        <v>BOQUERON/ BOCARTE/ ANCHOA (ANE)</v>
      </c>
      <c r="I2033" s="89" t="n">
        <v>10</v>
      </c>
      <c r="J2033" s="90" t="n">
        <v>104</v>
      </c>
      <c r="K2033" s="91" t="n">
        <v>1.8</v>
      </c>
      <c r="L2033" s="80" t="n">
        <f aca="false">IF(AND(J2033&lt;&gt;"",K2033&lt;&gt;""),J2033*K2033,"")</f>
        <v>187.2</v>
      </c>
      <c r="M2033" s="81" t="n">
        <f aca="false">IF(L2033&lt;&gt;"",L2033*1.1,"")</f>
        <v>205.92</v>
      </c>
      <c r="N2033" s="47" t="n">
        <f aca="false">IF(F2033="S",L2033*0.02,0)</f>
        <v>3.744</v>
      </c>
      <c r="O2033" s="82" t="n">
        <f aca="false">IF(L2033&lt;&gt;"",L2033+N2033,"")</f>
        <v>190.944</v>
      </c>
      <c r="P2033" s="47" t="n">
        <f aca="false">IF(O2033&lt;&gt;"",O2033*0.1,"")</f>
        <v>19.0944</v>
      </c>
      <c r="Q2033" s="83" t="n">
        <f aca="false">IF(O2033&lt;&gt;"",O2033+P2033,"")</f>
        <v>210.0384</v>
      </c>
      <c r="R2033" s="84" t="s">
        <v>365</v>
      </c>
    </row>
    <row r="2034" customFormat="false" ht="15" hidden="false" customHeight="true" outlineLevel="0" collapsed="false">
      <c r="A2034" s="103" t="n">
        <v>56454</v>
      </c>
      <c r="B2034" s="73" t="n">
        <v>46274</v>
      </c>
      <c r="C2034" s="74" t="s">
        <v>855</v>
      </c>
      <c r="D2034" s="75" t="n">
        <v>50218</v>
      </c>
      <c r="E2034" s="52" t="str">
        <f aca="false">IF(D2034&lt;&gt;"",IFERROR(VLOOKUP(D2034,PROVEEDORES!$A:$B,2,0),"!COD NO ENCONTRADO"),"")</f>
        <v>ACERGA </v>
      </c>
      <c r="F2034" s="76" t="str">
        <f aca="false">IF(D2034&lt;&gt;"",IFERROR(VLOOKUP(D2034,PROVEEDORES!$A:$C,3,0),""),"")</f>
        <v>S</v>
      </c>
      <c r="G2034" s="75" t="s">
        <v>93</v>
      </c>
      <c r="H2034" s="52" t="str">
        <f aca="false">IF(G2034&lt;&gt;"",IFERROR(VLOOKUP(G2034,PRODUCTOS!$A:$B,2,0),"!COD NO ENCONTRADO"),"")</f>
        <v>BOQUERON/ BOCARTE/ ANCHOA (ANE)</v>
      </c>
      <c r="I2034" s="77" t="n">
        <v>40</v>
      </c>
      <c r="J2034" s="78" t="n">
        <v>340</v>
      </c>
      <c r="K2034" s="79" t="n">
        <v>2.2</v>
      </c>
      <c r="L2034" s="80" t="n">
        <f aca="false">IF(AND(J2034&lt;&gt;"",K2034&lt;&gt;""),J2034*K2034,"")</f>
        <v>748</v>
      </c>
      <c r="M2034" s="81" t="n">
        <f aca="false">IF(L2034&lt;&gt;"",L2034*1.1,"")</f>
        <v>822.8</v>
      </c>
      <c r="N2034" s="53" t="n">
        <f aca="false">IF(F2034="S",L2034*0.02,0)</f>
        <v>14.96</v>
      </c>
      <c r="O2034" s="82" t="n">
        <f aca="false">IF(L2034&lt;&gt;"",L2034+N2034,"")</f>
        <v>762.96</v>
      </c>
      <c r="P2034" s="53" t="n">
        <f aca="false">IF(O2034&lt;&gt;"",O2034*0.1,"")</f>
        <v>76.296</v>
      </c>
      <c r="Q2034" s="83" t="n">
        <f aca="false">IF(O2034&lt;&gt;"",O2034+P2034,"")</f>
        <v>839.256</v>
      </c>
      <c r="R2034" s="84" t="s">
        <v>365</v>
      </c>
    </row>
    <row r="2035" customFormat="false" ht="15" hidden="false" customHeight="true" outlineLevel="0" collapsed="false">
      <c r="A2035" s="103" t="n">
        <v>56455</v>
      </c>
      <c r="B2035" s="73" t="n">
        <v>46274</v>
      </c>
      <c r="C2035" s="86" t="s">
        <v>856</v>
      </c>
      <c r="D2035" s="87" t="n">
        <v>50152</v>
      </c>
      <c r="E2035" s="46" t="str">
        <f aca="false">IF(D2035&lt;&gt;"",IFERROR(VLOOKUP(D2035,PROVEEDORES!$A:$B,2,0),"!COD NO ENCONTRADO"),"")</f>
        <v>DOMAR CORUÑA S.L</v>
      </c>
      <c r="F2035" s="88" t="str">
        <f aca="false">IF(D2035&lt;&gt;"",IFERROR(VLOOKUP(D2035,PROVEEDORES!$A:$C,3,0),""),"")</f>
        <v>N</v>
      </c>
      <c r="G2035" s="87" t="s">
        <v>129</v>
      </c>
      <c r="H2035" s="46" t="str">
        <f aca="false">IF(G2035&lt;&gt;"",IFERROR(VLOOKUP(G2035,PRODUCTOS!$A:$B,2,0),"!COD NO ENCONTRADO"),"")</f>
        <v>CIGALA "3" (NEP)</v>
      </c>
      <c r="I2035" s="89" t="n">
        <v>5</v>
      </c>
      <c r="J2035" s="90" t="n">
        <v>10</v>
      </c>
      <c r="K2035" s="125" t="n">
        <v>18</v>
      </c>
      <c r="L2035" s="80" t="n">
        <f aca="false">IF(AND(J2035&lt;&gt;"",K2035&lt;&gt;""),J2035*K2035,"")</f>
        <v>180</v>
      </c>
      <c r="M2035" s="81" t="n">
        <f aca="false">IF(L2035&lt;&gt;"",L2035*1.1,"")</f>
        <v>198</v>
      </c>
      <c r="N2035" s="47" t="n">
        <f aca="false">IF(F2035="S",L2035*0.02,0)</f>
        <v>0</v>
      </c>
      <c r="O2035" s="82" t="n">
        <f aca="false">IF(L2035&lt;&gt;"",L2035+N2035,"")</f>
        <v>180</v>
      </c>
      <c r="P2035" s="47" t="n">
        <f aca="false">IF(O2035&lt;&gt;"",O2035*0.1,"")</f>
        <v>18</v>
      </c>
      <c r="Q2035" s="83" t="n">
        <f aca="false">IF(O2035&lt;&gt;"",O2035+P2035,"")</f>
        <v>198</v>
      </c>
      <c r="R2035" s="84" t="s">
        <v>365</v>
      </c>
    </row>
    <row r="2036" customFormat="false" ht="15" hidden="false" customHeight="true" outlineLevel="0" collapsed="false">
      <c r="A2036" s="103" t="n">
        <v>56455</v>
      </c>
      <c r="B2036" s="73" t="n">
        <v>46274</v>
      </c>
      <c r="C2036" s="74" t="s">
        <v>856</v>
      </c>
      <c r="D2036" s="75" t="n">
        <v>50152</v>
      </c>
      <c r="E2036" s="52" t="str">
        <f aca="false">IF(D2036&lt;&gt;"",IFERROR(VLOOKUP(D2036,PROVEEDORES!$A:$B,2,0),"!COD NO ENCONTRADO"),"")</f>
        <v>DOMAR CORUÑA S.L</v>
      </c>
      <c r="F2036" s="76" t="str">
        <f aca="false">IF(D2036&lt;&gt;"",IFERROR(VLOOKUP(D2036,PROVEEDORES!$A:$C,3,0),""),"")</f>
        <v>N</v>
      </c>
      <c r="G2036" s="75" t="s">
        <v>125</v>
      </c>
      <c r="H2036" s="52" t="str">
        <f aca="false">IF(G2036&lt;&gt;"",IFERROR(VLOOKUP(G2036,PRODUCTOS!$A:$B,2,0),"!COD NO ENCONTRADO"),"")</f>
        <v>CIGALA "3P" (NEP)</v>
      </c>
      <c r="I2036" s="77" t="n">
        <v>2</v>
      </c>
      <c r="J2036" s="78" t="n">
        <v>4</v>
      </c>
      <c r="K2036" s="79" t="n">
        <v>17.5</v>
      </c>
      <c r="L2036" s="80" t="n">
        <f aca="false">IF(AND(J2036&lt;&gt;"",K2036&lt;&gt;""),J2036*K2036,"")</f>
        <v>70</v>
      </c>
      <c r="M2036" s="81" t="n">
        <f aca="false">IF(L2036&lt;&gt;"",L2036*1.1,"")</f>
        <v>77</v>
      </c>
      <c r="N2036" s="53" t="n">
        <f aca="false">IF(F2036="S",L2036*0.02,0)</f>
        <v>0</v>
      </c>
      <c r="O2036" s="82" t="n">
        <f aca="false">IF(L2036&lt;&gt;"",L2036+N2036,"")</f>
        <v>70</v>
      </c>
      <c r="P2036" s="53" t="n">
        <f aca="false">IF(O2036&lt;&gt;"",O2036*0.1,"")</f>
        <v>7</v>
      </c>
      <c r="Q2036" s="83" t="n">
        <f aca="false">IF(O2036&lt;&gt;"",O2036+P2036,"")</f>
        <v>77</v>
      </c>
      <c r="R2036" s="84" t="s">
        <v>365</v>
      </c>
    </row>
    <row r="2037" customFormat="false" ht="15" hidden="false" customHeight="true" outlineLevel="0" collapsed="false">
      <c r="A2037" s="103" t="n">
        <v>56456</v>
      </c>
      <c r="B2037" s="85" t="n">
        <v>46274</v>
      </c>
      <c r="C2037" s="86" t="s">
        <v>857</v>
      </c>
      <c r="D2037" s="87" t="n">
        <v>50164</v>
      </c>
      <c r="E2037" s="46" t="str">
        <f aca="false">IF(D2037&lt;&gt;"",IFERROR(VLOOKUP(D2037,PROVEEDORES!$A:$B,2,0),"!COD NO ENCONTRADO"),"")</f>
        <v>ABRGO NORTE S.L.</v>
      </c>
      <c r="F2037" s="88" t="str">
        <f aca="false">IF(D2037&lt;&gt;"",IFERROR(VLOOKUP(D2037,PROVEEDORES!$A:$C,3,0),""),"")</f>
        <v>N</v>
      </c>
      <c r="G2037" s="87" t="s">
        <v>302</v>
      </c>
      <c r="H2037" s="46" t="str">
        <f aca="false">IF(G2037&lt;&gt;"",IFERROR(VLOOKUP(G2037,PRODUCTOS!$A:$B,2,0),"!COD NO ENCONTRADO"),"")</f>
        <v>RAYA COMUN (ALAS)</v>
      </c>
      <c r="I2037" s="89" t="n">
        <v>3</v>
      </c>
      <c r="J2037" s="90" t="n">
        <v>15</v>
      </c>
      <c r="K2037" s="125" t="n">
        <v>9.3</v>
      </c>
      <c r="L2037" s="80" t="n">
        <f aca="false">IF(AND(J2037&lt;&gt;"",K2037&lt;&gt;""),J2037*K2037,"")</f>
        <v>139.5</v>
      </c>
      <c r="M2037" s="81" t="n">
        <f aca="false">IF(L2037&lt;&gt;"",L2037*1.1,"")</f>
        <v>153.45</v>
      </c>
      <c r="N2037" s="47" t="n">
        <f aca="false">IF(F2037="S",L2037*0.02,0)</f>
        <v>0</v>
      </c>
      <c r="O2037" s="82" t="n">
        <f aca="false">IF(L2037&lt;&gt;"",L2037+N2037,"")</f>
        <v>139.5</v>
      </c>
      <c r="P2037" s="47" t="n">
        <f aca="false">IF(O2037&lt;&gt;"",O2037*0.1,"")</f>
        <v>13.95</v>
      </c>
      <c r="Q2037" s="83" t="n">
        <f aca="false">IF(O2037&lt;&gt;"",O2037+P2037,"")</f>
        <v>153.45</v>
      </c>
      <c r="R2037" s="84" t="s">
        <v>365</v>
      </c>
    </row>
    <row r="2038" customFormat="false" ht="15" hidden="false" customHeight="true" outlineLevel="0" collapsed="false">
      <c r="A2038" s="103" t="n">
        <v>56457</v>
      </c>
      <c r="B2038" s="73" t="n">
        <v>46274</v>
      </c>
      <c r="C2038" s="74" t="s">
        <v>858</v>
      </c>
      <c r="D2038" s="75" t="n">
        <v>50160</v>
      </c>
      <c r="E2038" s="52" t="str">
        <f aca="false">IF(D2038&lt;&gt;"",IFERROR(VLOOKUP(D2038,PROVEEDORES!$A:$B,2,0),"!COD NO ENCONTRADO"),"")</f>
        <v>SUBASTAS CORUÑA S.L.</v>
      </c>
      <c r="F2038" s="76" t="str">
        <f aca="false">IF(D2038&lt;&gt;"",IFERROR(VLOOKUP(D2038,PROVEEDORES!$A:$C,3,0),""),"")</f>
        <v>S</v>
      </c>
      <c r="G2038" s="75" t="s">
        <v>179</v>
      </c>
      <c r="H2038" s="52" t="str">
        <f aca="false">IF(G2038&lt;&gt;"",IFERROR(VLOOKUP(G2038,PRODUCTOS!$A:$B,2,0),"!COD NO ENCONTRADO"),"")</f>
        <v>LIRIO/ BACALADILLA/ PERLA (WHB)</v>
      </c>
      <c r="I2038" s="77" t="n">
        <v>2</v>
      </c>
      <c r="J2038" s="78" t="n">
        <v>25</v>
      </c>
      <c r="K2038" s="79" t="n">
        <v>1.86</v>
      </c>
      <c r="L2038" s="80" t="n">
        <f aca="false">IF(AND(J2038&lt;&gt;"",K2038&lt;&gt;""),J2038*K2038,"")</f>
        <v>46.5</v>
      </c>
      <c r="M2038" s="81" t="n">
        <f aca="false">IF(L2038&lt;&gt;"",L2038*1.1,"")</f>
        <v>51.15</v>
      </c>
      <c r="N2038" s="53" t="n">
        <f aca="false">IF(F2038="S",L2038*0.02,0)</f>
        <v>0.93</v>
      </c>
      <c r="O2038" s="82" t="n">
        <f aca="false">IF(L2038&lt;&gt;"",L2038+N2038,"")</f>
        <v>47.43</v>
      </c>
      <c r="P2038" s="53" t="n">
        <f aca="false">IF(O2038&lt;&gt;"",O2038*0.1,"")</f>
        <v>4.743</v>
      </c>
      <c r="Q2038" s="83" t="n">
        <f aca="false">IF(O2038&lt;&gt;"",O2038+P2038,"")</f>
        <v>52.173</v>
      </c>
      <c r="R2038" s="84" t="s">
        <v>365</v>
      </c>
    </row>
    <row r="2039" customFormat="false" ht="15" hidden="false" customHeight="true" outlineLevel="0" collapsed="false">
      <c r="A2039" s="103" t="n">
        <v>56457</v>
      </c>
      <c r="B2039" s="85" t="n">
        <v>46274</v>
      </c>
      <c r="C2039" s="86" t="s">
        <v>858</v>
      </c>
      <c r="D2039" s="87" t="n">
        <v>50160</v>
      </c>
      <c r="E2039" s="46" t="str">
        <f aca="false">IF(D2039&lt;&gt;"",IFERROR(VLOOKUP(D2039,PROVEEDORES!$A:$B,2,0),"!COD NO ENCONTRADO"),"")</f>
        <v>SUBASTAS CORUÑA S.L.</v>
      </c>
      <c r="F2039" s="88" t="str">
        <f aca="false">IF(D2039&lt;&gt;"",IFERROR(VLOOKUP(D2039,PROVEEDORES!$A:$C,3,0),""),"")</f>
        <v>S</v>
      </c>
      <c r="G2039" s="87" t="s">
        <v>179</v>
      </c>
      <c r="H2039" s="46" t="str">
        <f aca="false">IF(G2039&lt;&gt;"",IFERROR(VLOOKUP(G2039,PRODUCTOS!$A:$B,2,0),"!COD NO ENCONTRADO"),"")</f>
        <v>LIRIO/ BACALADILLA/ PERLA (WHB)</v>
      </c>
      <c r="I2039" s="89" t="n">
        <v>3</v>
      </c>
      <c r="J2039" s="90" t="n">
        <v>50</v>
      </c>
      <c r="K2039" s="91" t="n">
        <v>1.87</v>
      </c>
      <c r="L2039" s="80" t="n">
        <f aca="false">IF(AND(J2039&lt;&gt;"",K2039&lt;&gt;""),J2039*K2039,"")</f>
        <v>93.5</v>
      </c>
      <c r="M2039" s="81" t="n">
        <f aca="false">IF(L2039&lt;&gt;"",L2039*1.1,"")</f>
        <v>102.85</v>
      </c>
      <c r="N2039" s="47" t="n">
        <f aca="false">IF(F2039="S",L2039*0.02,0)</f>
        <v>1.87</v>
      </c>
      <c r="O2039" s="82" t="n">
        <f aca="false">IF(L2039&lt;&gt;"",L2039+N2039,"")</f>
        <v>95.37</v>
      </c>
      <c r="P2039" s="47" t="n">
        <f aca="false">IF(O2039&lt;&gt;"",O2039*0.1,"")</f>
        <v>9.537</v>
      </c>
      <c r="Q2039" s="83" t="n">
        <f aca="false">IF(O2039&lt;&gt;"",O2039+P2039,"")</f>
        <v>104.907</v>
      </c>
      <c r="R2039" s="84" t="s">
        <v>365</v>
      </c>
    </row>
    <row r="2040" customFormat="false" ht="15" hidden="false" customHeight="true" outlineLevel="0" collapsed="false">
      <c r="A2040" s="103" t="n">
        <v>56458</v>
      </c>
      <c r="B2040" s="73" t="n">
        <v>46274</v>
      </c>
      <c r="C2040" s="74" t="s">
        <v>859</v>
      </c>
      <c r="D2040" s="75" t="n">
        <v>50048</v>
      </c>
      <c r="E2040" s="52" t="str">
        <f aca="false">IF(D2040&lt;&gt;"",IFERROR(VLOOKUP(D2040,PROVEEDORES!$A:$B,2,0),"!COD NO ENCONTRADO"),"")</f>
        <v>JOSE LUIS CORREA KESSLER S.L.</v>
      </c>
      <c r="F2040" s="76" t="str">
        <f aca="false">IF(D2040&lt;&gt;"",IFERROR(VLOOKUP(D2040,PROVEEDORES!$A:$C,3,0),""),"")</f>
        <v>N</v>
      </c>
      <c r="G2040" s="75" t="s">
        <v>179</v>
      </c>
      <c r="H2040" s="52" t="str">
        <f aca="false">IF(G2040&lt;&gt;"",IFERROR(VLOOKUP(G2040,PRODUCTOS!$A:$B,2,0),"!COD NO ENCONTRADO"),"")</f>
        <v>LIRIO/ BACALADILLA/ PERLA (WHB)</v>
      </c>
      <c r="I2040" s="77" t="n">
        <v>6</v>
      </c>
      <c r="J2040" s="78" t="n">
        <v>36</v>
      </c>
      <c r="K2040" s="125" t="n">
        <v>2.4</v>
      </c>
      <c r="L2040" s="80" t="n">
        <f aca="false">IF(AND(J2040&lt;&gt;"",K2040&lt;&gt;""),J2040*K2040,"")</f>
        <v>86.4</v>
      </c>
      <c r="M2040" s="81" t="n">
        <f aca="false">IF(L2040&lt;&gt;"",L2040*1.1,"")</f>
        <v>95.04</v>
      </c>
      <c r="N2040" s="53" t="n">
        <f aca="false">IF(F2040="S",L2040*0.02,0)</f>
        <v>0</v>
      </c>
      <c r="O2040" s="82" t="n">
        <f aca="false">IF(L2040&lt;&gt;"",L2040+N2040,"")</f>
        <v>86.4</v>
      </c>
      <c r="P2040" s="53" t="n">
        <f aca="false">IF(O2040&lt;&gt;"",O2040*0.1,"")</f>
        <v>8.64</v>
      </c>
      <c r="Q2040" s="83" t="n">
        <f aca="false">IF(O2040&lt;&gt;"",O2040+P2040,"")</f>
        <v>95.04</v>
      </c>
      <c r="R2040" s="84" t="s">
        <v>358</v>
      </c>
    </row>
    <row r="2041" customFormat="false" ht="15" hidden="false" customHeight="true" outlineLevel="0" collapsed="false">
      <c r="A2041" s="103" t="n">
        <v>56459</v>
      </c>
      <c r="B2041" s="85" t="n">
        <v>46274</v>
      </c>
      <c r="C2041" s="86" t="s">
        <v>860</v>
      </c>
      <c r="D2041" s="87" t="n">
        <v>50514</v>
      </c>
      <c r="E2041" s="46" t="str">
        <f aca="false">IF(D2041&lt;&gt;"",IFERROR(VLOOKUP(D2041,PROVEEDORES!$A:$B,2,0),"!COD NO ENCONTRADO"),"")</f>
        <v>PESCADO Y MARISCOS ADELAIDA S.L.</v>
      </c>
      <c r="F2041" s="88" t="str">
        <f aca="false">IF(D2041&lt;&gt;"",IFERROR(VLOOKUP(D2041,PROVEEDORES!$A:$C,3,0),""),"")</f>
        <v>N</v>
      </c>
      <c r="G2041" s="87" t="s">
        <v>97</v>
      </c>
      <c r="H2041" s="46" t="str">
        <f aca="false">IF(G2041&lt;&gt;"",IFERROR(VLOOKUP(G2041,PRODUCTOS!$A:$B,2,0),"!COD NO ENCONTRADO"),"")</f>
        <v>CABALL/ SARDA/ VERDEL (MAC)</v>
      </c>
      <c r="I2041" s="89" t="n">
        <v>24</v>
      </c>
      <c r="J2041" s="90" t="n">
        <v>141.25</v>
      </c>
      <c r="K2041" s="91" t="n">
        <v>3.6</v>
      </c>
      <c r="L2041" s="80" t="n">
        <f aca="false">IF(AND(J2041&lt;&gt;"",K2041&lt;&gt;""),J2041*K2041,"")</f>
        <v>508.5</v>
      </c>
      <c r="M2041" s="81" t="n">
        <f aca="false">IF(L2041&lt;&gt;"",L2041*1.1,"")</f>
        <v>559.35</v>
      </c>
      <c r="N2041" s="47" t="n">
        <f aca="false">IF(F2041="S",L2041*0.02,0)</f>
        <v>0</v>
      </c>
      <c r="O2041" s="82" t="n">
        <f aca="false">IF(L2041&lt;&gt;"",L2041+N2041,"")</f>
        <v>508.5</v>
      </c>
      <c r="P2041" s="47" t="n">
        <f aca="false">IF(O2041&lt;&gt;"",O2041*0.1,"")</f>
        <v>50.85</v>
      </c>
      <c r="Q2041" s="83" t="n">
        <f aca="false">IF(O2041&lt;&gt;"",O2041+P2041,"")</f>
        <v>559.35</v>
      </c>
      <c r="R2041" s="84" t="s">
        <v>365</v>
      </c>
    </row>
    <row r="2042" customFormat="false" ht="15" hidden="false" customHeight="true" outlineLevel="0" collapsed="false">
      <c r="A2042" s="103" t="n">
        <v>56460</v>
      </c>
      <c r="B2042" s="85" t="n">
        <v>46274</v>
      </c>
      <c r="C2042" s="74" t="s">
        <v>861</v>
      </c>
      <c r="D2042" s="75" t="n">
        <v>50035</v>
      </c>
      <c r="E2042" s="52" t="str">
        <f aca="false">IF(D2042&lt;&gt;"",IFERROR(VLOOKUP(D2042,PROVEEDORES!$A:$B,2,0),"!COD NO ENCONTRADO"),"")</f>
        <v>SCANFISK SEAFFOD S,L</v>
      </c>
      <c r="F2042" s="76" t="str">
        <f aca="false">IF(D2042&lt;&gt;"",IFERROR(VLOOKUP(D2042,PROVEEDORES!$A:$C,3,0),""),"")</f>
        <v>N</v>
      </c>
      <c r="G2042" s="75" t="s">
        <v>183</v>
      </c>
      <c r="H2042" s="52" t="str">
        <f aca="false">IF(G2042&lt;&gt;"",IFERROR(VLOOKUP(G2042,PRODUCTOS!$A:$B,2,0),"!COD NO ENCONTRADO"),"")</f>
        <v>LUBINA RIA/ ROBALIZA (BSS)</v>
      </c>
      <c r="I2042" s="77" t="n">
        <v>2</v>
      </c>
      <c r="J2042" s="78" t="n">
        <v>20.6</v>
      </c>
      <c r="K2042" s="79" t="n">
        <v>16.7</v>
      </c>
      <c r="L2042" s="80" t="n">
        <f aca="false">IF(AND(J2042&lt;&gt;"",K2042&lt;&gt;""),J2042*K2042,"")</f>
        <v>344.02</v>
      </c>
      <c r="M2042" s="81" t="n">
        <f aca="false">IF(L2042&lt;&gt;"",L2042*1.1,"")</f>
        <v>378.422</v>
      </c>
      <c r="N2042" s="53" t="n">
        <f aca="false">IF(F2042="S",L2042*0.02,0)</f>
        <v>0</v>
      </c>
      <c r="O2042" s="82" t="n">
        <f aca="false">IF(L2042&lt;&gt;"",L2042+N2042,"")</f>
        <v>344.02</v>
      </c>
      <c r="P2042" s="53" t="n">
        <f aca="false">IF(O2042&lt;&gt;"",O2042*0.1,"")</f>
        <v>34.402</v>
      </c>
      <c r="Q2042" s="83" t="n">
        <f aca="false">IF(O2042&lt;&gt;"",O2042+P2042,"")</f>
        <v>378.422</v>
      </c>
      <c r="R2042" s="84" t="s">
        <v>365</v>
      </c>
    </row>
    <row r="2043" customFormat="false" ht="15" hidden="false" customHeight="true" outlineLevel="0" collapsed="false">
      <c r="A2043" s="103" t="n">
        <v>56460</v>
      </c>
      <c r="B2043" s="85" t="n">
        <v>46274</v>
      </c>
      <c r="C2043" s="86" t="s">
        <v>862</v>
      </c>
      <c r="D2043" s="75" t="n">
        <v>50035</v>
      </c>
      <c r="E2043" s="46" t="str">
        <f aca="false">IF(D2043&lt;&gt;"",IFERROR(VLOOKUP(D2043,PROVEEDORES!$A:$B,2,0),"!COD NO ENCONTRADO"),"")</f>
        <v>SCANFISK SEAFFOD S,L</v>
      </c>
      <c r="F2043" s="88" t="str">
        <f aca="false">IF(D2043&lt;&gt;"",IFERROR(VLOOKUP(D2043,PROVEEDORES!$A:$C,3,0),""),"")</f>
        <v>N</v>
      </c>
      <c r="G2043" s="87" t="s">
        <v>183</v>
      </c>
      <c r="H2043" s="46" t="str">
        <f aca="false">IF(G2043&lt;&gt;"",IFERROR(VLOOKUP(G2043,PRODUCTOS!$A:$B,2,0),"!COD NO ENCONTRADO"),"")</f>
        <v>LUBINA RIA/ ROBALIZA (BSS)</v>
      </c>
      <c r="I2043" s="89" t="n">
        <v>2</v>
      </c>
      <c r="J2043" s="90" t="n">
        <v>15.2</v>
      </c>
      <c r="K2043" s="91" t="n">
        <v>16.7</v>
      </c>
      <c r="L2043" s="80" t="n">
        <f aca="false">IF(AND(J2043&lt;&gt;"",K2043&lt;&gt;""),J2043*K2043,"")</f>
        <v>253.84</v>
      </c>
      <c r="M2043" s="81" t="n">
        <f aca="false">IF(L2043&lt;&gt;"",L2043*1.1,"")</f>
        <v>279.224</v>
      </c>
      <c r="N2043" s="47" t="n">
        <f aca="false">IF(F2043="S",L2043*0.02,0)</f>
        <v>0</v>
      </c>
      <c r="O2043" s="82" t="n">
        <f aca="false">IF(L2043&lt;&gt;"",L2043+N2043,"")</f>
        <v>253.84</v>
      </c>
      <c r="P2043" s="47" t="n">
        <f aca="false">IF(O2043&lt;&gt;"",O2043*0.1,"")</f>
        <v>25.384</v>
      </c>
      <c r="Q2043" s="83" t="n">
        <f aca="false">IF(O2043&lt;&gt;"",O2043+P2043,"")</f>
        <v>279.224</v>
      </c>
      <c r="R2043" s="84" t="s">
        <v>365</v>
      </c>
    </row>
    <row r="2044" customFormat="false" ht="15" hidden="false" customHeight="true" outlineLevel="0" collapsed="false">
      <c r="A2044" s="103" t="n">
        <v>56460</v>
      </c>
      <c r="B2044" s="85" t="n">
        <v>46274</v>
      </c>
      <c r="C2044" s="86" t="s">
        <v>863</v>
      </c>
      <c r="D2044" s="75" t="n">
        <v>50035</v>
      </c>
      <c r="E2044" s="52" t="str">
        <f aca="false">IF(D2044&lt;&gt;"",IFERROR(VLOOKUP(D2044,PROVEEDORES!$A:$B,2,0),"!COD NO ENCONTRADO"),"")</f>
        <v>SCANFISK SEAFFOD S,L</v>
      </c>
      <c r="F2044" s="76" t="str">
        <f aca="false">IF(D2044&lt;&gt;"",IFERROR(VLOOKUP(D2044,PROVEEDORES!$A:$C,3,0),""),"")</f>
        <v>N</v>
      </c>
      <c r="G2044" s="75" t="s">
        <v>367</v>
      </c>
      <c r="H2044" s="52" t="str">
        <f aca="false">IF(G2044&lt;&gt;"",IFERROR(VLOOKUP(G2044,PRODUCTOS!$A:$B,2,0),"!COD NO ENCONTRADO"),"")</f>
        <v>MERLUZA BAKA DIA</v>
      </c>
      <c r="I2044" s="77" t="n">
        <v>6</v>
      </c>
      <c r="J2044" s="78" t="n">
        <v>38.2</v>
      </c>
      <c r="K2044" s="79" t="n">
        <v>6.4</v>
      </c>
      <c r="L2044" s="80" t="n">
        <f aca="false">IF(AND(J2044&lt;&gt;"",K2044&lt;&gt;""),J2044*K2044,"")</f>
        <v>244.48</v>
      </c>
      <c r="M2044" s="81" t="n">
        <f aca="false">IF(L2044&lt;&gt;"",L2044*1.1,"")</f>
        <v>268.928</v>
      </c>
      <c r="N2044" s="53" t="n">
        <f aca="false">IF(F2044="S",L2044*0.02,0)</f>
        <v>0</v>
      </c>
      <c r="O2044" s="82" t="n">
        <f aca="false">IF(L2044&lt;&gt;"",L2044+N2044,"")</f>
        <v>244.48</v>
      </c>
      <c r="P2044" s="53" t="n">
        <f aca="false">IF(O2044&lt;&gt;"",O2044*0.1,"")</f>
        <v>24.448</v>
      </c>
      <c r="Q2044" s="83" t="n">
        <f aca="false">IF(O2044&lt;&gt;"",O2044+P2044,"")</f>
        <v>268.928</v>
      </c>
      <c r="R2044" s="84" t="s">
        <v>365</v>
      </c>
    </row>
    <row r="2045" customFormat="false" ht="15" hidden="false" customHeight="true" outlineLevel="0" collapsed="false">
      <c r="A2045" s="103" t="n">
        <v>56461</v>
      </c>
      <c r="B2045" s="85" t="n">
        <v>46275</v>
      </c>
      <c r="C2045" s="86" t="s">
        <v>864</v>
      </c>
      <c r="D2045" s="87" t="n">
        <v>50232</v>
      </c>
      <c r="E2045" s="46" t="str">
        <f aca="false">IF(D2045&lt;&gt;"",IFERROR(VLOOKUP(D2045,PROVEEDORES!$A:$B,2,0),"!COD NO ENCONTRADO"),"")</f>
        <v>XESTION NOVA LONXA RIVEIRA S.L.</v>
      </c>
      <c r="F2045" s="88" t="str">
        <f aca="false">IF(D2045&lt;&gt;"",IFERROR(VLOOKUP(D2045,PROVEEDORES!$A:$C,3,0),""),"")</f>
        <v>S</v>
      </c>
      <c r="G2045" s="87" t="s">
        <v>332</v>
      </c>
      <c r="H2045" s="46" t="str">
        <f aca="false">IF(G2045&lt;&gt;"",IFERROR(VLOOKUP(G2045,PRODUCTOS!$A:$B,2,0),"!COD NO ENCONTRADO"),"")</f>
        <v>VARIADO PEQUEÑO</v>
      </c>
      <c r="I2045" s="89" t="n">
        <v>3</v>
      </c>
      <c r="J2045" s="105" t="n">
        <v>26.5</v>
      </c>
      <c r="K2045" s="125" t="n">
        <v>1.5</v>
      </c>
      <c r="L2045" s="80" t="n">
        <f aca="false">IF(AND(J2045&lt;&gt;"",K2045&lt;&gt;""),J2045*K2045,"")</f>
        <v>39.75</v>
      </c>
      <c r="M2045" s="81" t="n">
        <f aca="false">IF(L2045&lt;&gt;"",L2045*1.1,"")</f>
        <v>43.725</v>
      </c>
      <c r="N2045" s="47" t="n">
        <f aca="false">IF(F2045="S",L2045*0.02,0)</f>
        <v>0.795</v>
      </c>
      <c r="O2045" s="82" t="n">
        <f aca="false">IF(L2045&lt;&gt;"",L2045+N2045,"")</f>
        <v>40.545</v>
      </c>
      <c r="P2045" s="47" t="n">
        <f aca="false">IF(O2045&lt;&gt;"",O2045*0.1,"")</f>
        <v>4.0545</v>
      </c>
      <c r="Q2045" s="83" t="n">
        <f aca="false">IF(O2045&lt;&gt;"",O2045+P2045,"")</f>
        <v>44.5995</v>
      </c>
      <c r="R2045" s="84" t="s">
        <v>365</v>
      </c>
    </row>
    <row r="2046" customFormat="false" ht="15" hidden="false" customHeight="true" outlineLevel="0" collapsed="false">
      <c r="A2046" s="103" t="n">
        <v>56461</v>
      </c>
      <c r="B2046" s="85" t="n">
        <v>46275</v>
      </c>
      <c r="C2046" s="86" t="s">
        <v>864</v>
      </c>
      <c r="D2046" s="87" t="n">
        <v>50232</v>
      </c>
      <c r="E2046" s="52" t="str">
        <f aca="false">IF(D2046&lt;&gt;"",IFERROR(VLOOKUP(D2046,PROVEEDORES!$A:$B,2,0),"!COD NO ENCONTRADO"),"")</f>
        <v>XESTION NOVA LONXA RIVEIRA S.L.</v>
      </c>
      <c r="F2046" s="76" t="str">
        <f aca="false">IF(D2046&lt;&gt;"",IFERROR(VLOOKUP(D2046,PROVEEDORES!$A:$C,3,0),""),"")</f>
        <v>S</v>
      </c>
      <c r="G2046" s="75" t="s">
        <v>135</v>
      </c>
      <c r="H2046" s="52" t="str">
        <f aca="false">IF(G2046&lt;&gt;"",IFERROR(VLOOKUP(G2046,PRODUCTOS!$A:$B,2,0),"!COD NO ENCONTRADO"),"")</f>
        <v>CONGRIO 10+  (COE)</v>
      </c>
      <c r="I2046" s="77" t="n">
        <v>7</v>
      </c>
      <c r="J2046" s="105" t="n">
        <v>93.7</v>
      </c>
      <c r="K2046" s="125" t="n">
        <v>3.5</v>
      </c>
      <c r="L2046" s="80" t="n">
        <f aca="false">IF(AND(J2046&lt;&gt;"",K2046&lt;&gt;""),J2046*K2046,"")</f>
        <v>327.95</v>
      </c>
      <c r="M2046" s="81" t="n">
        <f aca="false">IF(L2046&lt;&gt;"",L2046*1.1,"")</f>
        <v>360.745</v>
      </c>
      <c r="N2046" s="53" t="n">
        <f aca="false">IF(F2046="S",L2046*0.02,0)</f>
        <v>6.559</v>
      </c>
      <c r="O2046" s="82" t="n">
        <f aca="false">IF(L2046&lt;&gt;"",L2046+N2046,"")</f>
        <v>334.509</v>
      </c>
      <c r="P2046" s="53" t="n">
        <f aca="false">IF(O2046&lt;&gt;"",O2046*0.1,"")</f>
        <v>33.4509</v>
      </c>
      <c r="Q2046" s="83" t="n">
        <f aca="false">IF(O2046&lt;&gt;"",O2046+P2046,"")</f>
        <v>367.9599</v>
      </c>
      <c r="R2046" s="84" t="s">
        <v>365</v>
      </c>
    </row>
    <row r="2047" customFormat="false" ht="15" hidden="false" customHeight="true" outlineLevel="0" collapsed="false">
      <c r="A2047" s="103" t="n">
        <v>56461</v>
      </c>
      <c r="B2047" s="85" t="n">
        <v>46275</v>
      </c>
      <c r="C2047" s="86" t="s">
        <v>864</v>
      </c>
      <c r="D2047" s="87" t="n">
        <v>50232</v>
      </c>
      <c r="E2047" s="46" t="str">
        <f aca="false">IF(D2047&lt;&gt;"",IFERROR(VLOOKUP(D2047,PROVEEDORES!$A:$B,2,0),"!COD NO ENCONTRADO"),"")</f>
        <v>XESTION NOVA LONXA RIVEIRA S.L.</v>
      </c>
      <c r="F2047" s="88" t="str">
        <f aca="false">IF(D2047&lt;&gt;"",IFERROR(VLOOKUP(D2047,PROVEEDORES!$A:$C,3,0),""),"")</f>
        <v>S</v>
      </c>
      <c r="G2047" s="159" t="s">
        <v>233</v>
      </c>
      <c r="H2047" s="46" t="str">
        <f aca="false">IF(G2047&lt;&gt;"",IFERROR(VLOOKUP(G2047,PRODUCTOS!$A:$B,2,0),"!COD NO ENCONTRADO"),"")</f>
        <v>MERLUZA EUROPEA VOLANTA COSTA</v>
      </c>
      <c r="I2047" s="89" t="n">
        <v>3</v>
      </c>
      <c r="J2047" s="105" t="n">
        <v>33</v>
      </c>
      <c r="K2047" s="125" t="n">
        <v>3</v>
      </c>
      <c r="L2047" s="80" t="n">
        <f aca="false">IF(AND(J2047&lt;&gt;"",K2047&lt;&gt;""),J2047*K2047,"")</f>
        <v>99</v>
      </c>
      <c r="M2047" s="81" t="n">
        <f aca="false">IF(L2047&lt;&gt;"",L2047*1.1,"")</f>
        <v>108.9</v>
      </c>
      <c r="N2047" s="47" t="n">
        <f aca="false">IF(F2047="S",L2047*0.02,0)</f>
        <v>1.98</v>
      </c>
      <c r="O2047" s="82" t="n">
        <f aca="false">IF(L2047&lt;&gt;"",L2047+N2047,"")</f>
        <v>100.98</v>
      </c>
      <c r="P2047" s="47" t="n">
        <f aca="false">IF(O2047&lt;&gt;"",O2047*0.1,"")</f>
        <v>10.098</v>
      </c>
      <c r="Q2047" s="83" t="n">
        <f aca="false">IF(O2047&lt;&gt;"",O2047+P2047,"")</f>
        <v>111.078</v>
      </c>
      <c r="R2047" s="84" t="s">
        <v>365</v>
      </c>
    </row>
    <row r="2048" customFormat="false" ht="15" hidden="false" customHeight="true" outlineLevel="0" collapsed="false">
      <c r="A2048" s="103" t="n">
        <v>56461</v>
      </c>
      <c r="B2048" s="85" t="n">
        <v>46275</v>
      </c>
      <c r="C2048" s="86" t="s">
        <v>864</v>
      </c>
      <c r="D2048" s="87" t="n">
        <v>50232</v>
      </c>
      <c r="E2048" s="52" t="str">
        <f aca="false">IF(D2048&lt;&gt;"",IFERROR(VLOOKUP(D2048,PROVEEDORES!$A:$B,2,0),"!COD NO ENCONTRADO"),"")</f>
        <v>XESTION NOVA LONXA RIVEIRA S.L.</v>
      </c>
      <c r="F2048" s="76" t="str">
        <f aca="false">IF(D2048&lt;&gt;"",IFERROR(VLOOKUP(D2048,PROVEEDORES!$A:$C,3,0),""),"")</f>
        <v>S</v>
      </c>
      <c r="G2048" s="159" t="s">
        <v>233</v>
      </c>
      <c r="H2048" s="52" t="str">
        <f aca="false">IF(G2048&lt;&gt;"",IFERROR(VLOOKUP(G2048,PRODUCTOS!$A:$B,2,0),"!COD NO ENCONTRADO"),"")</f>
        <v>MERLUZA EUROPEA VOLANTA COSTA</v>
      </c>
      <c r="I2048" s="77" t="n">
        <v>12</v>
      </c>
      <c r="J2048" s="105" t="n">
        <v>127.9</v>
      </c>
      <c r="K2048" s="125" t="n">
        <v>3.58</v>
      </c>
      <c r="L2048" s="80" t="n">
        <f aca="false">IF(AND(J2048&lt;&gt;"",K2048&lt;&gt;""),J2048*K2048,"")</f>
        <v>457.882</v>
      </c>
      <c r="M2048" s="81" t="n">
        <f aca="false">IF(L2048&lt;&gt;"",L2048*1.1,"")</f>
        <v>503.6702</v>
      </c>
      <c r="N2048" s="53" t="n">
        <f aca="false">IF(F2048="S",L2048*0.02,0)</f>
        <v>9.15764</v>
      </c>
      <c r="O2048" s="82" t="n">
        <f aca="false">IF(L2048&lt;&gt;"",L2048+N2048,"")</f>
        <v>467.03964</v>
      </c>
      <c r="P2048" s="53" t="n">
        <f aca="false">IF(O2048&lt;&gt;"",O2048*0.1,"")</f>
        <v>46.703964</v>
      </c>
      <c r="Q2048" s="83" t="n">
        <f aca="false">IF(O2048&lt;&gt;"",O2048+P2048,"")</f>
        <v>513.743604</v>
      </c>
      <c r="R2048" s="84" t="s">
        <v>365</v>
      </c>
    </row>
    <row r="2049" customFormat="false" ht="15" hidden="false" customHeight="true" outlineLevel="0" collapsed="false">
      <c r="A2049" s="103" t="n">
        <v>56461</v>
      </c>
      <c r="B2049" s="85" t="n">
        <v>46275</v>
      </c>
      <c r="C2049" s="86" t="s">
        <v>864</v>
      </c>
      <c r="D2049" s="87" t="n">
        <v>50232</v>
      </c>
      <c r="E2049" s="46" t="str">
        <f aca="false">IF(D2049&lt;&gt;"",IFERROR(VLOOKUP(D2049,PROVEEDORES!$A:$B,2,0),"!COD NO ENCONTRADO"),"")</f>
        <v>XESTION NOVA LONXA RIVEIRA S.L.</v>
      </c>
      <c r="F2049" s="88" t="str">
        <f aca="false">IF(D2049&lt;&gt;"",IFERROR(VLOOKUP(D2049,PROVEEDORES!$A:$C,3,0),""),"")</f>
        <v>S</v>
      </c>
      <c r="G2049" s="87" t="s">
        <v>270</v>
      </c>
      <c r="H2049" s="46" t="str">
        <f aca="false">IF(G2049&lt;&gt;"",IFERROR(VLOOKUP(G2049,PRODUCTOS!$A:$B,2,0),"!COD NO ENCONTRADO"),"")</f>
        <v>PEON/ PION (ATP)</v>
      </c>
      <c r="I2049" s="89" t="n">
        <v>5</v>
      </c>
      <c r="J2049" s="105" t="n">
        <v>25.5</v>
      </c>
      <c r="K2049" s="125" t="n">
        <v>4.5</v>
      </c>
      <c r="L2049" s="80" t="n">
        <f aca="false">IF(AND(J2049&lt;&gt;"",K2049&lt;&gt;""),J2049*K2049,"")</f>
        <v>114.75</v>
      </c>
      <c r="M2049" s="81" t="n">
        <f aca="false">IF(L2049&lt;&gt;"",L2049*1.1,"")</f>
        <v>126.225</v>
      </c>
      <c r="N2049" s="47" t="n">
        <f aca="false">IF(F2049="S",L2049*0.02,0)</f>
        <v>2.295</v>
      </c>
      <c r="O2049" s="82" t="n">
        <f aca="false">IF(L2049&lt;&gt;"",L2049+N2049,"")</f>
        <v>117.045</v>
      </c>
      <c r="P2049" s="47" t="n">
        <f aca="false">IF(O2049&lt;&gt;"",O2049*0.1,"")</f>
        <v>11.7045</v>
      </c>
      <c r="Q2049" s="83" t="n">
        <f aca="false">IF(O2049&lt;&gt;"",O2049+P2049,"")</f>
        <v>128.7495</v>
      </c>
      <c r="R2049" s="84" t="s">
        <v>365</v>
      </c>
    </row>
    <row r="2050" customFormat="false" ht="15" hidden="false" customHeight="true" outlineLevel="0" collapsed="false">
      <c r="A2050" s="103" t="n">
        <v>56461</v>
      </c>
      <c r="B2050" s="85" t="n">
        <v>46275</v>
      </c>
      <c r="C2050" s="86" t="s">
        <v>864</v>
      </c>
      <c r="D2050" s="87" t="n">
        <v>50232</v>
      </c>
      <c r="E2050" s="52" t="str">
        <f aca="false">IF(D2050&lt;&gt;"",IFERROR(VLOOKUP(D2050,PROVEEDORES!$A:$B,2,0),"!COD NO ENCONTRADO"),"")</f>
        <v>XESTION NOVA LONXA RIVEIRA S.L.</v>
      </c>
      <c r="F2050" s="76" t="str">
        <f aca="false">IF(D2050&lt;&gt;"",IFERROR(VLOOKUP(D2050,PROVEEDORES!$A:$C,3,0),""),"")</f>
        <v>S</v>
      </c>
      <c r="G2050" s="75" t="s">
        <v>304</v>
      </c>
      <c r="H2050" s="52" t="str">
        <f aca="false">IF(G2050&lt;&gt;"",IFERROR(VLOOKUP(G2050,PRODUCTOS!$A:$B,2,0),"!COD NO ENCONTRADO"),"")</f>
        <v>RAYA SPP (SKA)</v>
      </c>
      <c r="I2050" s="77" t="n">
        <v>18</v>
      </c>
      <c r="J2050" s="105" t="n">
        <v>75.95</v>
      </c>
      <c r="K2050" s="125" t="n">
        <v>2.3</v>
      </c>
      <c r="L2050" s="80" t="n">
        <f aca="false">IF(AND(J2050&lt;&gt;"",K2050&lt;&gt;""),J2050*K2050,"")</f>
        <v>174.685</v>
      </c>
      <c r="M2050" s="81" t="n">
        <f aca="false">IF(L2050&lt;&gt;"",L2050*1.1,"")</f>
        <v>192.1535</v>
      </c>
      <c r="N2050" s="53" t="n">
        <f aca="false">IF(F2050="S",L2050*0.02,0)</f>
        <v>3.4937</v>
      </c>
      <c r="O2050" s="82" t="n">
        <f aca="false">IF(L2050&lt;&gt;"",L2050+N2050,"")</f>
        <v>178.1787</v>
      </c>
      <c r="P2050" s="53" t="n">
        <f aca="false">IF(O2050&lt;&gt;"",O2050*0.1,"")</f>
        <v>17.81787</v>
      </c>
      <c r="Q2050" s="83" t="n">
        <f aca="false">IF(O2050&lt;&gt;"",O2050+P2050,"")</f>
        <v>195.99657</v>
      </c>
      <c r="R2050" s="84" t="s">
        <v>365</v>
      </c>
    </row>
    <row r="2051" customFormat="false" ht="15" hidden="false" customHeight="true" outlineLevel="0" collapsed="false">
      <c r="A2051" s="103" t="n">
        <v>56461</v>
      </c>
      <c r="B2051" s="85" t="n">
        <v>46275</v>
      </c>
      <c r="C2051" s="86" t="s">
        <v>864</v>
      </c>
      <c r="D2051" s="87" t="n">
        <v>50232</v>
      </c>
      <c r="E2051" s="46" t="str">
        <f aca="false">IF(D2051&lt;&gt;"",IFERROR(VLOOKUP(D2051,PROVEEDORES!$A:$B,2,0),"!COD NO ENCONTRADO"),"")</f>
        <v>XESTION NOVA LONXA RIVEIRA S.L.</v>
      </c>
      <c r="F2051" s="88" t="str">
        <f aca="false">IF(D2051&lt;&gt;"",IFERROR(VLOOKUP(D2051,PROVEEDORES!$A:$C,3,0),""),"")</f>
        <v>S</v>
      </c>
      <c r="G2051" s="87" t="s">
        <v>328</v>
      </c>
      <c r="H2051" s="46" t="str">
        <f aca="false">IF(G2051&lt;&gt;"",IFERROR(VLOOKUP(G2051,PRODUCTOS!$A:$B,2,0),"!COD NO ENCONTRADO"),"")</f>
        <v>SARGO ESCAMUDO (CTB)</v>
      </c>
      <c r="I2051" s="89" t="n">
        <v>15</v>
      </c>
      <c r="J2051" s="105" t="n">
        <v>101.6</v>
      </c>
      <c r="K2051" s="125" t="n">
        <v>6</v>
      </c>
      <c r="L2051" s="80" t="n">
        <f aca="false">IF(AND(J2051&lt;&gt;"",K2051&lt;&gt;""),J2051*K2051,"")</f>
        <v>609.6</v>
      </c>
      <c r="M2051" s="81" t="n">
        <f aca="false">IF(L2051&lt;&gt;"",L2051*1.1,"")</f>
        <v>670.56</v>
      </c>
      <c r="N2051" s="47" t="n">
        <f aca="false">IF(F2051="S",L2051*0.02,0)</f>
        <v>12.192</v>
      </c>
      <c r="O2051" s="82" t="n">
        <f aca="false">IF(L2051&lt;&gt;"",L2051+N2051,"")</f>
        <v>621.792</v>
      </c>
      <c r="P2051" s="47" t="n">
        <f aca="false">IF(O2051&lt;&gt;"",O2051*0.1,"")</f>
        <v>62.1792</v>
      </c>
      <c r="Q2051" s="83" t="n">
        <f aca="false">IF(O2051&lt;&gt;"",O2051+P2051,"")</f>
        <v>683.9712</v>
      </c>
      <c r="R2051" s="84" t="s">
        <v>365</v>
      </c>
    </row>
    <row r="2052" customFormat="false" ht="15" hidden="false" customHeight="true" outlineLevel="0" collapsed="false">
      <c r="A2052" s="103" t="n">
        <v>56461</v>
      </c>
      <c r="B2052" s="85" t="n">
        <v>46275</v>
      </c>
      <c r="C2052" s="86" t="s">
        <v>864</v>
      </c>
      <c r="D2052" s="87" t="n">
        <v>50232</v>
      </c>
      <c r="E2052" s="52" t="str">
        <f aca="false">IF(D2052&lt;&gt;"",IFERROR(VLOOKUP(D2052,PROVEEDORES!$A:$B,2,0),"!COD NO ENCONTRADO"),"")</f>
        <v>XESTION NOVA LONXA RIVEIRA S.L.</v>
      </c>
      <c r="F2052" s="76" t="str">
        <f aca="false">IF(D2052&lt;&gt;"",IFERROR(VLOOKUP(D2052,PROVEEDORES!$A:$C,3,0),""),"")</f>
        <v>S</v>
      </c>
      <c r="G2052" s="75" t="s">
        <v>179</v>
      </c>
      <c r="H2052" s="52" t="str">
        <f aca="false">IF(G2052&lt;&gt;"",IFERROR(VLOOKUP(G2052,PRODUCTOS!$A:$B,2,0),"!COD NO ENCONTRADO"),"")</f>
        <v>LIRIO/ BACALADILLA/ PERLA (WHB)</v>
      </c>
      <c r="I2052" s="77" t="n">
        <v>10</v>
      </c>
      <c r="J2052" s="105" t="n">
        <v>132</v>
      </c>
      <c r="K2052" s="125" t="n">
        <v>1.9</v>
      </c>
      <c r="L2052" s="80" t="n">
        <f aca="false">IF(AND(J2052&lt;&gt;"",K2052&lt;&gt;""),J2052*K2052,"")</f>
        <v>250.8</v>
      </c>
      <c r="M2052" s="81" t="n">
        <f aca="false">IF(L2052&lt;&gt;"",L2052*1.1,"")</f>
        <v>275.88</v>
      </c>
      <c r="N2052" s="53" t="n">
        <f aca="false">IF(F2052="S",L2052*0.02,0)</f>
        <v>5.016</v>
      </c>
      <c r="O2052" s="82" t="n">
        <f aca="false">IF(L2052&lt;&gt;"",L2052+N2052,"")</f>
        <v>255.816</v>
      </c>
      <c r="P2052" s="53" t="n">
        <f aca="false">IF(O2052&lt;&gt;"",O2052*0.1,"")</f>
        <v>25.5816</v>
      </c>
      <c r="Q2052" s="83" t="n">
        <f aca="false">IF(O2052&lt;&gt;"",O2052+P2052,"")</f>
        <v>281.3976</v>
      </c>
      <c r="R2052" s="84" t="s">
        <v>365</v>
      </c>
    </row>
    <row r="2053" customFormat="false" ht="15" hidden="false" customHeight="true" outlineLevel="0" collapsed="false">
      <c r="A2053" s="103" t="n">
        <v>56461</v>
      </c>
      <c r="B2053" s="73" t="n">
        <v>46275</v>
      </c>
      <c r="C2053" s="86" t="s">
        <v>864</v>
      </c>
      <c r="D2053" s="75" t="n">
        <v>50232</v>
      </c>
      <c r="E2053" s="52" t="str">
        <f aca="false">IF(D2053&lt;&gt;"",IFERROR(VLOOKUP(D2053,PROVEEDORES!$A:$B,2,0),"!COD NO ENCONTRADO"),"")</f>
        <v>XESTION NOVA LONXA RIVEIRA S.L.</v>
      </c>
      <c r="F2053" s="76" t="str">
        <f aca="false">IF(D2053&lt;&gt;"",IFERROR(VLOOKUP(D2053,PROVEEDORES!$A:$C,3,0),""),"")</f>
        <v>S</v>
      </c>
      <c r="G2053" s="75" t="s">
        <v>233</v>
      </c>
      <c r="H2053" s="52" t="str">
        <f aca="false">IF(G2053&lt;&gt;"",IFERROR(VLOOKUP(G2053,PRODUCTOS!$A:$B,2,0),"!COD NO ENCONTRADO"),"")</f>
        <v>MERLUZA EUROPEA VOLANTA COSTA</v>
      </c>
      <c r="I2053" s="77" t="n">
        <v>5</v>
      </c>
      <c r="J2053" s="105" t="n">
        <v>40.4</v>
      </c>
      <c r="K2053" s="125" t="n">
        <v>2.5</v>
      </c>
      <c r="L2053" s="80" t="n">
        <f aca="false">IF(AND(J2053&lt;&gt;"",K2053&lt;&gt;""),J2053*K2053,"")</f>
        <v>101</v>
      </c>
      <c r="M2053" s="81" t="n">
        <f aca="false">IF(L2053&lt;&gt;"",L2053*1.1,"")</f>
        <v>111.1</v>
      </c>
      <c r="N2053" s="53" t="n">
        <f aca="false">IF(F2053="S",L2053*0.02,0)</f>
        <v>2.02</v>
      </c>
      <c r="O2053" s="82" t="n">
        <f aca="false">IF(L2053&lt;&gt;"",L2053+N2053,"")</f>
        <v>103.02</v>
      </c>
      <c r="P2053" s="53" t="n">
        <f aca="false">IF(O2053&lt;&gt;"",O2053*0.1,"")</f>
        <v>10.302</v>
      </c>
      <c r="Q2053" s="83" t="n">
        <f aca="false">IF(O2053&lt;&gt;"",O2053+P2053,"")</f>
        <v>113.322</v>
      </c>
      <c r="R2053" s="84" t="s">
        <v>365</v>
      </c>
    </row>
    <row r="2054" customFormat="false" ht="15" hidden="false" customHeight="true" outlineLevel="0" collapsed="false">
      <c r="A2054" s="103" t="n">
        <v>56462</v>
      </c>
      <c r="B2054" s="85" t="n">
        <v>46275</v>
      </c>
      <c r="C2054" s="86" t="s">
        <v>865</v>
      </c>
      <c r="D2054" s="87" t="n">
        <v>50160</v>
      </c>
      <c r="E2054" s="46" t="str">
        <f aca="false">IF(D2054&lt;&gt;"",IFERROR(VLOOKUP(D2054,PROVEEDORES!$A:$B,2,0),"!COD NO ENCONTRADO"),"")</f>
        <v>SUBASTAS CORUÑA S.L.</v>
      </c>
      <c r="F2054" s="88" t="str">
        <f aca="false">IF(D2054&lt;&gt;"",IFERROR(VLOOKUP(D2054,PROVEEDORES!$A:$C,3,0),""),"")</f>
        <v>S</v>
      </c>
      <c r="G2054" s="159" t="s">
        <v>233</v>
      </c>
      <c r="H2054" s="46" t="str">
        <f aca="false">IF(G2054&lt;&gt;"",IFERROR(VLOOKUP(G2054,PRODUCTOS!$A:$B,2,0),"!COD NO ENCONTRADO"),"")</f>
        <v>MERLUZA EUROPEA VOLANTA COSTA</v>
      </c>
      <c r="I2054" s="112" t="n">
        <v>10</v>
      </c>
      <c r="J2054" s="105" t="n">
        <v>125</v>
      </c>
      <c r="K2054" s="125" t="n">
        <v>2.72</v>
      </c>
      <c r="L2054" s="80" t="n">
        <f aca="false">IF(AND(J2054&lt;&gt;"",K2054&lt;&gt;""),J2054*K2054,"")</f>
        <v>340</v>
      </c>
      <c r="M2054" s="81" t="n">
        <f aca="false">IF(L2054&lt;&gt;"",L2054*1.1,"")</f>
        <v>374</v>
      </c>
      <c r="N2054" s="47" t="n">
        <f aca="false">IF(F2054="S",L2054*0.02,0)</f>
        <v>6.8</v>
      </c>
      <c r="O2054" s="82" t="n">
        <f aca="false">IF(L2054&lt;&gt;"",L2054+N2054,"")</f>
        <v>346.8</v>
      </c>
      <c r="P2054" s="47" t="n">
        <f aca="false">IF(O2054&lt;&gt;"",O2054*0.1,"")</f>
        <v>34.68</v>
      </c>
      <c r="Q2054" s="83" t="n">
        <f aca="false">IF(O2054&lt;&gt;"",O2054+P2054,"")</f>
        <v>381.48</v>
      </c>
      <c r="R2054" s="84" t="s">
        <v>365</v>
      </c>
    </row>
    <row r="2055" customFormat="false" ht="15" hidden="false" customHeight="true" outlineLevel="0" collapsed="false">
      <c r="A2055" s="103" t="n">
        <v>56463</v>
      </c>
      <c r="B2055" s="85" t="n">
        <v>46275</v>
      </c>
      <c r="C2055" s="118" t="s">
        <v>866</v>
      </c>
      <c r="D2055" s="87" t="n">
        <v>50048</v>
      </c>
      <c r="E2055" s="160" t="str">
        <f aca="false">IF(D2055&lt;&gt;"",IFERROR(VLOOKUP(D2055,PROVEEDORES!$A:$B,2,0),"!COD NO ENCONTRADO"),"")</f>
        <v>JOSE LUIS CORREA KESSLER S.L.</v>
      </c>
      <c r="F2055" s="76" t="str">
        <f aca="false">IF(D2055&lt;&gt;"",IFERROR(VLOOKUP(D2055,PROVEEDORES!$A:$C,3,0),""),"")</f>
        <v>N</v>
      </c>
      <c r="G2055" s="75" t="s">
        <v>179</v>
      </c>
      <c r="H2055" s="52" t="str">
        <f aca="false">IF(G2055&lt;&gt;"",IFERROR(VLOOKUP(G2055,PRODUCTOS!$A:$B,2,0),"!COD NO ENCONTRADO"),"")</f>
        <v>LIRIO/ BACALADILLA/ PERLA (WHB)</v>
      </c>
      <c r="I2055" s="77" t="n">
        <v>40</v>
      </c>
      <c r="J2055" s="78" t="n">
        <v>240</v>
      </c>
      <c r="K2055" s="125" t="n">
        <v>1.95</v>
      </c>
      <c r="L2055" s="80" t="n">
        <f aca="false">IF(AND(J2055&lt;&gt;"",K2055&lt;&gt;""),J2055*K2055,"")</f>
        <v>468</v>
      </c>
      <c r="M2055" s="81" t="n">
        <f aca="false">IF(L2055&lt;&gt;"",L2055*1.1,"")</f>
        <v>514.8</v>
      </c>
      <c r="N2055" s="53" t="n">
        <f aca="false">IF(F2055="S",L2055*0.02,0)</f>
        <v>0</v>
      </c>
      <c r="O2055" s="82" t="n">
        <f aca="false">IF(L2055&lt;&gt;"",L2055+N2055,"")</f>
        <v>468</v>
      </c>
      <c r="P2055" s="53" t="n">
        <f aca="false">IF(O2055&lt;&gt;"",O2055*0.1,"")</f>
        <v>46.8</v>
      </c>
      <c r="Q2055" s="83" t="n">
        <f aca="false">IF(O2055&lt;&gt;"",O2055+P2055,"")</f>
        <v>514.8</v>
      </c>
      <c r="R2055" s="84" t="s">
        <v>365</v>
      </c>
    </row>
    <row r="2056" customFormat="false" ht="15" hidden="false" customHeight="true" outlineLevel="0" collapsed="false">
      <c r="A2056" s="103" t="n">
        <v>56463</v>
      </c>
      <c r="B2056" s="73" t="n">
        <v>46275</v>
      </c>
      <c r="C2056" s="118" t="s">
        <v>864</v>
      </c>
      <c r="D2056" s="87" t="n">
        <v>50048</v>
      </c>
      <c r="E2056" s="160" t="str">
        <f aca="false">IF(D2056&lt;&gt;"",IFERROR(VLOOKUP(D2056,PROVEEDORES!$A:$B,2,0),"!COD NO ENCONTRADO"),"")</f>
        <v>JOSE LUIS CORREA KESSLER S.L.</v>
      </c>
      <c r="F2056" s="88" t="str">
        <f aca="false">IF(D2056&lt;&gt;"",IFERROR(VLOOKUP(D2056,PROVEEDORES!$A:$C,3,0),""),"")</f>
        <v>N</v>
      </c>
      <c r="G2056" s="87" t="s">
        <v>179</v>
      </c>
      <c r="H2056" s="46" t="str">
        <f aca="false">IF(G2056&lt;&gt;"",IFERROR(VLOOKUP(G2056,PRODUCTOS!$A:$B,2,0),"!COD NO ENCONTRADO"),"")</f>
        <v>LIRIO/ BACALADILLA/ PERLA (WHB)</v>
      </c>
      <c r="I2056" s="89" t="n">
        <v>6</v>
      </c>
      <c r="J2056" s="90" t="n">
        <v>36</v>
      </c>
      <c r="K2056" s="125" t="n">
        <v>2.3</v>
      </c>
      <c r="L2056" s="80" t="n">
        <f aca="false">IF(AND(J2056&lt;&gt;"",K2056&lt;&gt;""),J2056*K2056,"")</f>
        <v>82.8</v>
      </c>
      <c r="M2056" s="81" t="n">
        <f aca="false">IF(L2056&lt;&gt;"",L2056*1.1,"")</f>
        <v>91.08</v>
      </c>
      <c r="N2056" s="47" t="n">
        <f aca="false">IF(F2056="S",L2056*0.02,0)</f>
        <v>0</v>
      </c>
      <c r="O2056" s="82" t="n">
        <f aca="false">IF(L2056&lt;&gt;"",L2056+N2056,"")</f>
        <v>82.8</v>
      </c>
      <c r="P2056" s="47" t="n">
        <f aca="false">IF(O2056&lt;&gt;"",O2056*0.1,"")</f>
        <v>8.28</v>
      </c>
      <c r="Q2056" s="83" t="n">
        <f aca="false">IF(O2056&lt;&gt;"",O2056+P2056,"")</f>
        <v>91.08</v>
      </c>
      <c r="R2056" s="84" t="s">
        <v>365</v>
      </c>
    </row>
    <row r="2057" customFormat="false" ht="15" hidden="false" customHeight="true" outlineLevel="0" collapsed="false">
      <c r="A2057" s="103" t="n">
        <v>56464</v>
      </c>
      <c r="B2057" s="85" t="n">
        <v>46275</v>
      </c>
      <c r="C2057" s="86" t="s">
        <v>867</v>
      </c>
      <c r="D2057" s="87" t="n">
        <v>50001</v>
      </c>
      <c r="E2057" s="46" t="str">
        <f aca="false">IF(D2057&lt;&gt;"",IFERROR(VLOOKUP(D2057,PROVEEDORES!$A:$B,2,0),"!COD NO ENCONTRADO"),"")</f>
        <v>COPESA</v>
      </c>
      <c r="F2057" s="88" t="str">
        <f aca="false">IF(D2057&lt;&gt;"",IFERROR(VLOOKUP(D2057,PROVEEDORES!$A:$C,3,0),""),"")</f>
        <v>S</v>
      </c>
      <c r="G2057" s="87" t="s">
        <v>292</v>
      </c>
      <c r="H2057" s="46" t="str">
        <f aca="false">IF(G2057&lt;&gt;"",IFERROR(VLOOKUP(G2057,PRODUCTOS!$A:$B,2,0),"!COD NO ENCONTRADO"),"")</f>
        <v>RAPE BLANCO RASCO (MON)</v>
      </c>
      <c r="I2057" s="89" t="n">
        <v>3</v>
      </c>
      <c r="J2057" s="105" t="n">
        <v>80</v>
      </c>
      <c r="K2057" s="125" t="n">
        <v>7</v>
      </c>
      <c r="L2057" s="80" t="n">
        <f aca="false">IF(AND(J2057&lt;&gt;"",K2057&lt;&gt;""),J2057*K2057,"")</f>
        <v>560</v>
      </c>
      <c r="M2057" s="81" t="n">
        <f aca="false">IF(L2057&lt;&gt;"",L2057*1.1,"")</f>
        <v>616</v>
      </c>
      <c r="N2057" s="47" t="n">
        <f aca="false">IF(F2057="S",L2057*0.02,0)</f>
        <v>11.2</v>
      </c>
      <c r="O2057" s="82" t="n">
        <f aca="false">IF(L2057&lt;&gt;"",L2057+N2057,"")</f>
        <v>571.2</v>
      </c>
      <c r="P2057" s="47" t="n">
        <f aca="false">IF(O2057&lt;&gt;"",O2057*0.1,"")</f>
        <v>57.12</v>
      </c>
      <c r="Q2057" s="83" t="n">
        <f aca="false">IF(O2057&lt;&gt;"",O2057+P2057,"")</f>
        <v>628.32</v>
      </c>
      <c r="R2057" s="84" t="s">
        <v>358</v>
      </c>
    </row>
    <row r="2058" customFormat="false" ht="15" hidden="false" customHeight="true" outlineLevel="0" collapsed="false">
      <c r="A2058" s="103" t="n">
        <v>56464</v>
      </c>
      <c r="B2058" s="85" t="n">
        <v>46275</v>
      </c>
      <c r="C2058" s="86" t="s">
        <v>867</v>
      </c>
      <c r="D2058" s="87" t="n">
        <v>50001</v>
      </c>
      <c r="E2058" s="46" t="str">
        <f aca="false">IF(D2058&lt;&gt;"",IFERROR(VLOOKUP(D2058,PROVEEDORES!$A:$B,2,0),"!COD NO ENCONTRADO"),"")</f>
        <v>COPESA</v>
      </c>
      <c r="F2058" s="88" t="str">
        <f aca="false">IF(D2058&lt;&gt;"",IFERROR(VLOOKUP(D2058,PROVEEDORES!$A:$C,3,0),""),"")</f>
        <v>S</v>
      </c>
      <c r="G2058" s="87" t="s">
        <v>292</v>
      </c>
      <c r="H2058" s="52" t="str">
        <f aca="false">IF(G2058&lt;&gt;"",IFERROR(VLOOKUP(G2058,PRODUCTOS!$A:$B,2,0),"!COD NO ENCONTRADO"),"")</f>
        <v>RAPE BLANCO RASCO (MON)</v>
      </c>
      <c r="I2058" s="77" t="n">
        <v>1</v>
      </c>
      <c r="J2058" s="105" t="n">
        <v>24.75</v>
      </c>
      <c r="K2058" s="125" t="n">
        <v>7.7</v>
      </c>
      <c r="L2058" s="80" t="n">
        <f aca="false">IF(AND(J2058&lt;&gt;"",K2058&lt;&gt;""),J2058*K2058,"")</f>
        <v>190.575</v>
      </c>
      <c r="M2058" s="81" t="n">
        <f aca="false">IF(L2058&lt;&gt;"",L2058*1.1,"")</f>
        <v>209.6325</v>
      </c>
      <c r="N2058" s="53" t="n">
        <f aca="false">IF(F2058="S",L2058*0.02,0)</f>
        <v>3.8115</v>
      </c>
      <c r="O2058" s="82" t="n">
        <f aca="false">IF(L2058&lt;&gt;"",L2058+N2058,"")</f>
        <v>194.3865</v>
      </c>
      <c r="P2058" s="53" t="n">
        <f aca="false">IF(O2058&lt;&gt;"",O2058*0.1,"")</f>
        <v>19.43865</v>
      </c>
      <c r="Q2058" s="83" t="n">
        <f aca="false">IF(O2058&lt;&gt;"",O2058+P2058,"")</f>
        <v>213.82515</v>
      </c>
      <c r="R2058" s="84" t="s">
        <v>358</v>
      </c>
    </row>
    <row r="2059" customFormat="false" ht="15" hidden="false" customHeight="true" outlineLevel="0" collapsed="false">
      <c r="A2059" s="103" t="n">
        <v>56464</v>
      </c>
      <c r="B2059" s="85" t="n">
        <v>46275</v>
      </c>
      <c r="C2059" s="86" t="s">
        <v>867</v>
      </c>
      <c r="D2059" s="87" t="n">
        <v>50001</v>
      </c>
      <c r="E2059" s="46" t="str">
        <f aca="false">IF(D2059&lt;&gt;"",IFERROR(VLOOKUP(D2059,PROVEEDORES!$A:$B,2,0),"!COD NO ENCONTRADO"),"")</f>
        <v>COPESA</v>
      </c>
      <c r="F2059" s="88" t="str">
        <f aca="false">IF(D2059&lt;&gt;"",IFERROR(VLOOKUP(D2059,PROVEEDORES!$A:$C,3,0),""),"")</f>
        <v>S</v>
      </c>
      <c r="G2059" s="87" t="s">
        <v>292</v>
      </c>
      <c r="H2059" s="46" t="str">
        <f aca="false">IF(G2059&lt;&gt;"",IFERROR(VLOOKUP(G2059,PRODUCTOS!$A:$B,2,0),"!COD NO ENCONTRADO"),"")</f>
        <v>RAPE BLANCO RASCO (MON)</v>
      </c>
      <c r="I2059" s="89" t="n">
        <v>2</v>
      </c>
      <c r="J2059" s="105" t="n">
        <v>31.25</v>
      </c>
      <c r="K2059" s="125" t="n">
        <v>6.8</v>
      </c>
      <c r="L2059" s="80" t="n">
        <f aca="false">IF(AND(J2059&lt;&gt;"",K2059&lt;&gt;""),J2059*K2059,"")</f>
        <v>212.5</v>
      </c>
      <c r="M2059" s="81" t="n">
        <f aca="false">IF(L2059&lt;&gt;"",L2059*1.1,"")</f>
        <v>233.75</v>
      </c>
      <c r="N2059" s="47" t="n">
        <f aca="false">IF(F2059="S",L2059*0.02,0)</f>
        <v>4.25</v>
      </c>
      <c r="O2059" s="82" t="n">
        <f aca="false">IF(L2059&lt;&gt;"",L2059+N2059,"")</f>
        <v>216.75</v>
      </c>
      <c r="P2059" s="47" t="n">
        <f aca="false">IF(O2059&lt;&gt;"",O2059*0.1,"")</f>
        <v>21.675</v>
      </c>
      <c r="Q2059" s="83" t="n">
        <f aca="false">IF(O2059&lt;&gt;"",O2059+P2059,"")</f>
        <v>238.425</v>
      </c>
      <c r="R2059" s="84" t="s">
        <v>358</v>
      </c>
    </row>
    <row r="2060" customFormat="false" ht="15" hidden="false" customHeight="true" outlineLevel="0" collapsed="false">
      <c r="A2060" s="103" t="n">
        <v>56464</v>
      </c>
      <c r="B2060" s="85" t="n">
        <v>46275</v>
      </c>
      <c r="C2060" s="86" t="s">
        <v>867</v>
      </c>
      <c r="D2060" s="87" t="n">
        <v>50001</v>
      </c>
      <c r="E2060" s="52" t="str">
        <f aca="false">IF(D2060&lt;&gt;"",IFERROR(VLOOKUP(D2060,PROVEEDORES!$A:$B,2,0),"!COD NO ENCONTRADO"),"")</f>
        <v>COPESA</v>
      </c>
      <c r="F2060" s="76" t="str">
        <f aca="false">IF(D2060&lt;&gt;"",IFERROR(VLOOKUP(D2060,PROVEEDORES!$A:$C,3,0),""),"")</f>
        <v>S</v>
      </c>
      <c r="G2060" s="87" t="s">
        <v>292</v>
      </c>
      <c r="H2060" s="52" t="str">
        <f aca="false">IF(G2060&lt;&gt;"",IFERROR(VLOOKUP(G2060,PRODUCTOS!$A:$B,2,0),"!COD NO ENCONTRADO"),"")</f>
        <v>RAPE BLANCO RASCO (MON)</v>
      </c>
      <c r="I2060" s="77" t="n">
        <v>1</v>
      </c>
      <c r="J2060" s="105" t="n">
        <v>18.5</v>
      </c>
      <c r="K2060" s="125" t="n">
        <v>7.5</v>
      </c>
      <c r="L2060" s="80" t="n">
        <f aca="false">IF(AND(J2060&lt;&gt;"",K2060&lt;&gt;""),J2060*K2060,"")</f>
        <v>138.75</v>
      </c>
      <c r="M2060" s="81" t="n">
        <f aca="false">IF(L2060&lt;&gt;"",L2060*1.1,"")</f>
        <v>152.625</v>
      </c>
      <c r="N2060" s="53" t="n">
        <f aca="false">IF(F2060="S",L2060*0.02,0)</f>
        <v>2.775</v>
      </c>
      <c r="O2060" s="82" t="n">
        <f aca="false">IF(L2060&lt;&gt;"",L2060+N2060,"")</f>
        <v>141.525</v>
      </c>
      <c r="P2060" s="53" t="n">
        <f aca="false">IF(O2060&lt;&gt;"",O2060*0.1,"")</f>
        <v>14.1525</v>
      </c>
      <c r="Q2060" s="83" t="n">
        <f aca="false">IF(O2060&lt;&gt;"",O2060+P2060,"")</f>
        <v>155.6775</v>
      </c>
      <c r="R2060" s="84" t="s">
        <v>358</v>
      </c>
    </row>
    <row r="2061" customFormat="false" ht="15" hidden="false" customHeight="true" outlineLevel="0" collapsed="false">
      <c r="A2061" s="103" t="n">
        <v>56464</v>
      </c>
      <c r="B2061" s="85" t="n">
        <v>46275</v>
      </c>
      <c r="C2061" s="86" t="s">
        <v>867</v>
      </c>
      <c r="D2061" s="87" t="n">
        <v>50001</v>
      </c>
      <c r="E2061" s="46" t="str">
        <f aca="false">IF(D2061&lt;&gt;"",IFERROR(VLOOKUP(D2061,PROVEEDORES!$A:$B,2,0),"!COD NO ENCONTRADO"),"")</f>
        <v>COPESA</v>
      </c>
      <c r="F2061" s="88" t="str">
        <f aca="false">IF(D2061&lt;&gt;"",IFERROR(VLOOKUP(D2061,PROVEEDORES!$A:$C,3,0),""),"")</f>
        <v>S</v>
      </c>
      <c r="G2061" s="87" t="s">
        <v>292</v>
      </c>
      <c r="H2061" s="46" t="str">
        <f aca="false">IF(G2061&lt;&gt;"",IFERROR(VLOOKUP(G2061,PRODUCTOS!$A:$B,2,0),"!COD NO ENCONTRADO"),"")</f>
        <v>RAPE BLANCO RASCO (MON)</v>
      </c>
      <c r="I2061" s="89" t="n">
        <v>2</v>
      </c>
      <c r="J2061" s="105" t="n">
        <v>29.5</v>
      </c>
      <c r="K2061" s="125" t="n">
        <v>8.1</v>
      </c>
      <c r="L2061" s="80" t="n">
        <f aca="false">IF(AND(J2061&lt;&gt;"",K2061&lt;&gt;""),J2061*K2061,"")</f>
        <v>238.95</v>
      </c>
      <c r="M2061" s="81" t="n">
        <f aca="false">IF(L2061&lt;&gt;"",L2061*1.1,"")</f>
        <v>262.845</v>
      </c>
      <c r="N2061" s="47" t="n">
        <f aca="false">IF(F2061="S",L2061*0.02,0)</f>
        <v>4.779</v>
      </c>
      <c r="O2061" s="82" t="n">
        <f aca="false">IF(L2061&lt;&gt;"",L2061+N2061,"")</f>
        <v>243.729</v>
      </c>
      <c r="P2061" s="47" t="n">
        <f aca="false">IF(O2061&lt;&gt;"",O2061*0.1,"")</f>
        <v>24.3729</v>
      </c>
      <c r="Q2061" s="83" t="n">
        <f aca="false">IF(O2061&lt;&gt;"",O2061+P2061,"")</f>
        <v>268.1019</v>
      </c>
      <c r="R2061" s="84" t="s">
        <v>358</v>
      </c>
    </row>
    <row r="2062" customFormat="false" ht="15" hidden="false" customHeight="true" outlineLevel="0" collapsed="false">
      <c r="A2062" s="103" t="n">
        <v>56464</v>
      </c>
      <c r="B2062" s="85" t="n">
        <v>46275</v>
      </c>
      <c r="C2062" s="86" t="s">
        <v>867</v>
      </c>
      <c r="D2062" s="87" t="n">
        <v>50001</v>
      </c>
      <c r="E2062" s="46" t="str">
        <f aca="false">IF(D2062&lt;&gt;"",IFERROR(VLOOKUP(D2062,PROVEEDORES!$A:$B,2,0),"!COD NO ENCONTRADO"),"")</f>
        <v>COPESA</v>
      </c>
      <c r="F2062" s="88" t="str">
        <f aca="false">IF(D2062&lt;&gt;"",IFERROR(VLOOKUP(D2062,PROVEEDORES!$A:$C,3,0),""),"")</f>
        <v>S</v>
      </c>
      <c r="G2062" s="87" t="s">
        <v>161</v>
      </c>
      <c r="H2062" s="52" t="str">
        <f aca="false">IF(G2062&lt;&gt;"",IFERROR(VLOOKUP(G2062,PRODUCTOS!$A:$B,2,0),"!COD NO ENCONTRADO"),"")</f>
        <v>GALLO </v>
      </c>
      <c r="I2062" s="77" t="n">
        <v>1</v>
      </c>
      <c r="J2062" s="105" t="n">
        <v>3.5</v>
      </c>
      <c r="K2062" s="125" t="n">
        <v>5</v>
      </c>
      <c r="L2062" s="80" t="n">
        <f aca="false">IF(AND(J2062&lt;&gt;"",K2062&lt;&gt;""),J2062*K2062,"")</f>
        <v>17.5</v>
      </c>
      <c r="M2062" s="81" t="n">
        <f aca="false">IF(L2062&lt;&gt;"",L2062*1.1,"")</f>
        <v>19.25</v>
      </c>
      <c r="N2062" s="53" t="n">
        <f aca="false">IF(F2062="S",L2062*0.02,0)</f>
        <v>0.35</v>
      </c>
      <c r="O2062" s="82" t="n">
        <f aca="false">IF(L2062&lt;&gt;"",L2062+N2062,"")</f>
        <v>17.85</v>
      </c>
      <c r="P2062" s="53" t="n">
        <f aca="false">IF(O2062&lt;&gt;"",O2062*0.1,"")</f>
        <v>1.785</v>
      </c>
      <c r="Q2062" s="83" t="n">
        <f aca="false">IF(O2062&lt;&gt;"",O2062+P2062,"")</f>
        <v>19.635</v>
      </c>
      <c r="R2062" s="84" t="s">
        <v>358</v>
      </c>
    </row>
    <row r="2063" customFormat="false" ht="15" hidden="false" customHeight="true" outlineLevel="0" collapsed="false">
      <c r="A2063" s="103" t="n">
        <v>56464</v>
      </c>
      <c r="B2063" s="85" t="n">
        <v>46275</v>
      </c>
      <c r="C2063" s="86" t="s">
        <v>867</v>
      </c>
      <c r="D2063" s="87" t="n">
        <v>50001</v>
      </c>
      <c r="E2063" s="46" t="str">
        <f aca="false">IF(D2063&lt;&gt;"",IFERROR(VLOOKUP(D2063,PROVEEDORES!$A:$B,2,0),"!COD NO ENCONTRADO"),"")</f>
        <v>COPESA</v>
      </c>
      <c r="F2063" s="88" t="str">
        <f aca="false">IF(D2063&lt;&gt;"",IFERROR(VLOOKUP(D2063,PROVEEDORES!$A:$C,3,0),""),"")</f>
        <v>S</v>
      </c>
      <c r="G2063" s="87" t="s">
        <v>133</v>
      </c>
      <c r="H2063" s="46" t="str">
        <f aca="false">IF(G2063&lt;&gt;"",IFERROR(VLOOKUP(G2063,PRODUCTOS!$A:$B,2,0),"!COD NO ENCONTRADO"),"")</f>
        <v>CINTAS/ PEZ CINTA (CBC)</v>
      </c>
      <c r="I2063" s="89" t="n">
        <v>1</v>
      </c>
      <c r="J2063" s="105" t="n">
        <v>3</v>
      </c>
      <c r="K2063" s="125" t="n">
        <v>2.5</v>
      </c>
      <c r="L2063" s="80" t="n">
        <f aca="false">IF(AND(J2063&lt;&gt;"",K2063&lt;&gt;""),J2063*K2063,"")</f>
        <v>7.5</v>
      </c>
      <c r="M2063" s="81" t="n">
        <f aca="false">IF(L2063&lt;&gt;"",L2063*1.1,"")</f>
        <v>8.25</v>
      </c>
      <c r="N2063" s="47" t="n">
        <f aca="false">IF(F2063="S",L2063*0.02,0)</f>
        <v>0.15</v>
      </c>
      <c r="O2063" s="82" t="n">
        <f aca="false">IF(L2063&lt;&gt;"",L2063+N2063,"")</f>
        <v>7.65</v>
      </c>
      <c r="P2063" s="47" t="n">
        <f aca="false">IF(O2063&lt;&gt;"",O2063*0.1,"")</f>
        <v>0.765</v>
      </c>
      <c r="Q2063" s="83" t="n">
        <f aca="false">IF(O2063&lt;&gt;"",O2063+P2063,"")</f>
        <v>8.415</v>
      </c>
      <c r="R2063" s="84" t="s">
        <v>358</v>
      </c>
    </row>
    <row r="2064" customFormat="false" ht="15" hidden="false" customHeight="true" outlineLevel="0" collapsed="false">
      <c r="A2064" s="103" t="n">
        <v>56464</v>
      </c>
      <c r="B2064" s="85" t="n">
        <v>46275</v>
      </c>
      <c r="C2064" s="86" t="s">
        <v>867</v>
      </c>
      <c r="D2064" s="75" t="n">
        <v>50001</v>
      </c>
      <c r="E2064" s="52" t="str">
        <f aca="false">IF(D2064&lt;&gt;"",IFERROR(VLOOKUP(D2064,PROVEEDORES!$A:$B,2,0),"!COD NO ENCONTRADO"),"")</f>
        <v>COPESA</v>
      </c>
      <c r="F2064" s="76" t="str">
        <f aca="false">IF(D2064&lt;&gt;"",IFERROR(VLOOKUP(D2064,PROVEEDORES!$A:$C,3,0),""),"")</f>
        <v>S</v>
      </c>
      <c r="G2064" s="75" t="s">
        <v>276</v>
      </c>
      <c r="H2064" s="52" t="str">
        <f aca="false">IF(G2064&lt;&gt;"",IFERROR(VLOOKUP(G2064,PRODUCTOS!$A:$B,2,0),"!COD NO ENCONTRADO"),"")</f>
        <v>MERLUZA EUROPEA/ FINA DIA </v>
      </c>
      <c r="I2064" s="77" t="n">
        <v>14</v>
      </c>
      <c r="J2064" s="105" t="n">
        <v>85.25</v>
      </c>
      <c r="K2064" s="125" t="n">
        <v>3.6</v>
      </c>
      <c r="L2064" s="80" t="n">
        <f aca="false">IF(AND(J2064&lt;&gt;"",K2064&lt;&gt;""),J2064*K2064,"")</f>
        <v>306.9</v>
      </c>
      <c r="M2064" s="81" t="n">
        <f aca="false">IF(L2064&lt;&gt;"",L2064*1.1,"")</f>
        <v>337.59</v>
      </c>
      <c r="N2064" s="53" t="n">
        <f aca="false">IF(F2064="S",L2064*0.02,0)</f>
        <v>6.138</v>
      </c>
      <c r="O2064" s="82" t="n">
        <f aca="false">IF(L2064&lt;&gt;"",L2064+N2064,"")</f>
        <v>313.038</v>
      </c>
      <c r="P2064" s="53" t="n">
        <f aca="false">IF(O2064&lt;&gt;"",O2064*0.1,"")</f>
        <v>31.3038</v>
      </c>
      <c r="Q2064" s="83" t="n">
        <f aca="false">IF(O2064&lt;&gt;"",O2064+P2064,"")</f>
        <v>344.3418</v>
      </c>
      <c r="R2064" s="84" t="s">
        <v>365</v>
      </c>
    </row>
    <row r="2065" customFormat="false" ht="15" hidden="false" customHeight="true" outlineLevel="0" collapsed="false">
      <c r="A2065" s="103" t="n">
        <v>56465</v>
      </c>
      <c r="B2065" s="85" t="n">
        <v>46275</v>
      </c>
      <c r="C2065" s="86" t="s">
        <v>868</v>
      </c>
      <c r="D2065" s="87" t="n">
        <v>50019</v>
      </c>
      <c r="E2065" s="46" t="str">
        <f aca="false">IF(D2065&lt;&gt;"",IFERROR(VLOOKUP(D2065,PROVEEDORES!$A:$B,2,0),"!COD NO ENCONTRADO"),"")</f>
        <v>ANGELITA VILLAR</v>
      </c>
      <c r="F2065" s="88" t="str">
        <f aca="false">IF(D2065&lt;&gt;"",IFERROR(VLOOKUP(D2065,PROVEEDORES!$A:$C,3,0),""),"")</f>
        <v>S</v>
      </c>
      <c r="G2065" s="87" t="s">
        <v>292</v>
      </c>
      <c r="H2065" s="46" t="str">
        <f aca="false">IF(G2065&lt;&gt;"",IFERROR(VLOOKUP(G2065,PRODUCTOS!$A:$B,2,0),"!COD NO ENCONTRADO"),"")</f>
        <v>RAPE BLANCO RASCO (MON)</v>
      </c>
      <c r="I2065" s="89" t="n">
        <v>1</v>
      </c>
      <c r="J2065" s="90" t="n">
        <v>35.5</v>
      </c>
      <c r="K2065" s="91" t="n">
        <v>7.3</v>
      </c>
      <c r="L2065" s="80" t="n">
        <f aca="false">IF(AND(J2065&lt;&gt;"",K2065&lt;&gt;""),J2065*K2065,"")</f>
        <v>259.15</v>
      </c>
      <c r="M2065" s="81" t="n">
        <f aca="false">IF(L2065&lt;&gt;"",L2065*1.1,"")</f>
        <v>285.065</v>
      </c>
      <c r="N2065" s="47" t="n">
        <f aca="false">IF(F2065="S",L2065*0.02,0)</f>
        <v>5.183</v>
      </c>
      <c r="O2065" s="82" t="n">
        <f aca="false">IF(L2065&lt;&gt;"",L2065+N2065,"")</f>
        <v>264.333</v>
      </c>
      <c r="P2065" s="47" t="n">
        <f aca="false">IF(O2065&lt;&gt;"",O2065*0.1,"")</f>
        <v>26.4333</v>
      </c>
      <c r="Q2065" s="83" t="n">
        <f aca="false">IF(O2065&lt;&gt;"",O2065+P2065,"")</f>
        <v>290.7663</v>
      </c>
      <c r="R2065" s="84" t="s">
        <v>365</v>
      </c>
    </row>
    <row r="2066" customFormat="false" ht="15" hidden="false" customHeight="true" outlineLevel="0" collapsed="false">
      <c r="A2066" s="103" t="n">
        <v>56466</v>
      </c>
      <c r="B2066" s="85" t="n">
        <v>46275</v>
      </c>
      <c r="C2066" s="74" t="s">
        <v>869</v>
      </c>
      <c r="D2066" s="75" t="n">
        <v>50020</v>
      </c>
      <c r="E2066" s="52" t="str">
        <f aca="false">IF(D2066&lt;&gt;"",IFERROR(VLOOKUP(D2066,PROVEEDORES!$A:$B,2,0),"!COD NO ENCONTRADO"),"")</f>
        <v>PACO MOINELO</v>
      </c>
      <c r="F2066" s="76" t="str">
        <f aca="false">IF(D2066&lt;&gt;"",IFERROR(VLOOKUP(D2066,PROVEEDORES!$A:$C,3,0),""),"")</f>
        <v>S</v>
      </c>
      <c r="G2066" s="75" t="s">
        <v>276</v>
      </c>
      <c r="H2066" s="52" t="str">
        <f aca="false">IF(G2066&lt;&gt;"",IFERROR(VLOOKUP(G2066,PRODUCTOS!$A:$B,2,0),"!COD NO ENCONTRADO"),"")</f>
        <v>MERLUZA EUROPEA/ FINA DIA </v>
      </c>
      <c r="I2066" s="77" t="n">
        <v>4</v>
      </c>
      <c r="J2066" s="78" t="n">
        <v>18.5</v>
      </c>
      <c r="K2066" s="79" t="n">
        <v>4</v>
      </c>
      <c r="L2066" s="80" t="n">
        <f aca="false">IF(AND(J2066&lt;&gt;"",K2066&lt;&gt;""),J2066*K2066,"")</f>
        <v>74</v>
      </c>
      <c r="M2066" s="81" t="n">
        <f aca="false">IF(L2066&lt;&gt;"",L2066*1.1,"")</f>
        <v>81.4</v>
      </c>
      <c r="N2066" s="53" t="n">
        <f aca="false">IF(F2066="S",L2066*0.02,0)</f>
        <v>1.48</v>
      </c>
      <c r="O2066" s="82" t="n">
        <f aca="false">IF(L2066&lt;&gt;"",L2066+N2066,"")</f>
        <v>75.48</v>
      </c>
      <c r="P2066" s="53" t="n">
        <f aca="false">IF(O2066&lt;&gt;"",O2066*0.1,"")</f>
        <v>7.548</v>
      </c>
      <c r="Q2066" s="83" t="n">
        <f aca="false">IF(O2066&lt;&gt;"",O2066+P2066,"")</f>
        <v>83.028</v>
      </c>
      <c r="R2066" s="84" t="s">
        <v>365</v>
      </c>
    </row>
    <row r="2067" customFormat="false" ht="15" hidden="false" customHeight="true" outlineLevel="0" collapsed="false">
      <c r="A2067" s="103" t="n">
        <v>56466</v>
      </c>
      <c r="B2067" s="85" t="n">
        <v>46275</v>
      </c>
      <c r="C2067" s="86" t="s">
        <v>869</v>
      </c>
      <c r="D2067" s="87" t="n">
        <v>50020</v>
      </c>
      <c r="E2067" s="46" t="str">
        <f aca="false">IF(D2067&lt;&gt;"",IFERROR(VLOOKUP(D2067,PROVEEDORES!$A:$B,2,0),"!COD NO ENCONTRADO"),"")</f>
        <v>PACO MOINELO</v>
      </c>
      <c r="F2067" s="88" t="str">
        <f aca="false">IF(D2067&lt;&gt;"",IFERROR(VLOOKUP(D2067,PROVEEDORES!$A:$C,3,0),""),"")</f>
        <v>S</v>
      </c>
      <c r="G2067" s="87" t="s">
        <v>135</v>
      </c>
      <c r="H2067" s="46" t="str">
        <f aca="false">IF(G2067&lt;&gt;"",IFERROR(VLOOKUP(G2067,PRODUCTOS!$A:$B,2,0),"!COD NO ENCONTRADO"),"")</f>
        <v>CONGRIO 10+  (COE)</v>
      </c>
      <c r="I2067" s="89" t="n">
        <v>1</v>
      </c>
      <c r="J2067" s="90" t="n">
        <v>18</v>
      </c>
      <c r="K2067" s="91" t="n">
        <v>3.5</v>
      </c>
      <c r="L2067" s="80" t="n">
        <f aca="false">IF(AND(J2067&lt;&gt;"",K2067&lt;&gt;""),J2067*K2067,"")</f>
        <v>63</v>
      </c>
      <c r="M2067" s="81" t="n">
        <f aca="false">IF(L2067&lt;&gt;"",L2067*1.1,"")</f>
        <v>69.3</v>
      </c>
      <c r="N2067" s="47" t="n">
        <f aca="false">IF(F2067="S",L2067*0.02,0)</f>
        <v>1.26</v>
      </c>
      <c r="O2067" s="82" t="n">
        <f aca="false">IF(L2067&lt;&gt;"",L2067+N2067,"")</f>
        <v>64.26</v>
      </c>
      <c r="P2067" s="47" t="n">
        <f aca="false">IF(O2067&lt;&gt;"",O2067*0.1,"")</f>
        <v>6.426</v>
      </c>
      <c r="Q2067" s="83" t="n">
        <f aca="false">IF(O2067&lt;&gt;"",O2067+P2067,"")</f>
        <v>70.686</v>
      </c>
      <c r="R2067" s="84" t="s">
        <v>365</v>
      </c>
    </row>
    <row r="2068" customFormat="false" ht="15" hidden="false" customHeight="true" outlineLevel="0" collapsed="false">
      <c r="A2068" s="103" t="n">
        <v>56467</v>
      </c>
      <c r="B2068" s="73" t="n">
        <v>46275</v>
      </c>
      <c r="C2068" s="74" t="s">
        <v>870</v>
      </c>
      <c r="D2068" s="75" t="n">
        <v>50069</v>
      </c>
      <c r="E2068" s="52" t="str">
        <f aca="false">IF(D2068&lt;&gt;"",IFERROR(VLOOKUP(D2068,PROVEEDORES!$A:$B,2,0),"!COD NO ENCONTRADO"),"")</f>
        <v>PESCADOS ILLANES S.L.</v>
      </c>
      <c r="F2068" s="76" t="str">
        <f aca="false">IF(D2068&lt;&gt;"",IFERROR(VLOOKUP(D2068,PROVEEDORES!$A:$C,3,0),""),"")</f>
        <v>S</v>
      </c>
      <c r="G2068" s="75" t="s">
        <v>133</v>
      </c>
      <c r="H2068" s="52" t="str">
        <f aca="false">IF(G2068&lt;&gt;"",IFERROR(VLOOKUP(G2068,PRODUCTOS!$A:$B,2,0),"!COD NO ENCONTRADO"),"")</f>
        <v>CINTAS/ PEZ CINTA (CBC)</v>
      </c>
      <c r="I2068" s="77" t="n">
        <v>1</v>
      </c>
      <c r="J2068" s="78" t="n">
        <v>6.75</v>
      </c>
      <c r="K2068" s="79" t="n">
        <v>2</v>
      </c>
      <c r="L2068" s="80" t="n">
        <f aca="false">IF(AND(J2068&lt;&gt;"",K2068&lt;&gt;""),J2068*K2068,"")</f>
        <v>13.5</v>
      </c>
      <c r="M2068" s="81" t="n">
        <f aca="false">IF(L2068&lt;&gt;"",L2068*1.1,"")</f>
        <v>14.85</v>
      </c>
      <c r="N2068" s="53" t="n">
        <f aca="false">IF(F2068="S",L2068*0.02,0)</f>
        <v>0.27</v>
      </c>
      <c r="O2068" s="82" t="n">
        <f aca="false">IF(L2068&lt;&gt;"",L2068+N2068,"")</f>
        <v>13.77</v>
      </c>
      <c r="P2068" s="53" t="n">
        <f aca="false">IF(O2068&lt;&gt;"",O2068*0.1,"")</f>
        <v>1.377</v>
      </c>
      <c r="Q2068" s="83" t="n">
        <f aca="false">IF(O2068&lt;&gt;"",O2068+P2068,"")</f>
        <v>15.147</v>
      </c>
      <c r="R2068" s="84" t="s">
        <v>365</v>
      </c>
    </row>
    <row r="2069" customFormat="false" ht="15" hidden="false" customHeight="true" outlineLevel="0" collapsed="false">
      <c r="A2069" s="103" t="n">
        <v>56468</v>
      </c>
      <c r="B2069" s="73" t="n">
        <v>46275</v>
      </c>
      <c r="C2069" s="86"/>
      <c r="D2069" s="87" t="n">
        <v>50106</v>
      </c>
      <c r="E2069" s="46" t="str">
        <f aca="false">IF(D2069&lt;&gt;"",IFERROR(VLOOKUP(D2069,PROVEEDORES!$A:$B,2,0),"!COD NO ENCONTRADO"),"")</f>
        <v>SONIA VENTAS S.L</v>
      </c>
      <c r="F2069" s="88" t="str">
        <f aca="false">IF(D2069&lt;&gt;"",IFERROR(VLOOKUP(D2069,PROVEEDORES!$A:$C,3,0),""),"")</f>
        <v>S</v>
      </c>
      <c r="G2069" s="87" t="s">
        <v>216</v>
      </c>
      <c r="H2069" s="46" t="str">
        <f aca="false">IF(G2069&lt;&gt;"",IFERROR(VLOOKUP(G2069,PRODUCTOS!$A:$B,2,0),"!COD NO ENCONTRADO"),"")</f>
        <v>MERLUZA EUROPEA PINCHO COSTA</v>
      </c>
      <c r="I2069" s="89" t="n">
        <v>1</v>
      </c>
      <c r="J2069" s="90" t="n">
        <v>15.75</v>
      </c>
      <c r="K2069" s="91" t="n">
        <v>11.9</v>
      </c>
      <c r="L2069" s="80" t="n">
        <f aca="false">IF(AND(J2069&lt;&gt;"",K2069&lt;&gt;""),J2069*K2069,"")</f>
        <v>187.425</v>
      </c>
      <c r="M2069" s="81" t="n">
        <f aca="false">IF(L2069&lt;&gt;"",L2069*1.1,"")</f>
        <v>206.1675</v>
      </c>
      <c r="N2069" s="47" t="n">
        <f aca="false">IF(F2069="S",L2069*0.02,0)</f>
        <v>3.7485</v>
      </c>
      <c r="O2069" s="82" t="n">
        <f aca="false">IF(L2069&lt;&gt;"",L2069+N2069,"")</f>
        <v>191.1735</v>
      </c>
      <c r="P2069" s="47" t="n">
        <f aca="false">IF(O2069&lt;&gt;"",O2069*0.1,"")</f>
        <v>19.11735</v>
      </c>
      <c r="Q2069" s="83" t="n">
        <f aca="false">IF(O2069&lt;&gt;"",O2069+P2069,"")</f>
        <v>210.29085</v>
      </c>
      <c r="R2069" s="84"/>
    </row>
    <row r="2070" customFormat="false" ht="15" hidden="false" customHeight="true" outlineLevel="0" collapsed="false">
      <c r="A2070" s="103" t="n">
        <v>56469</v>
      </c>
      <c r="B2070" s="73" t="n">
        <v>46275</v>
      </c>
      <c r="C2070" s="74" t="s">
        <v>865</v>
      </c>
      <c r="D2070" s="75" t="n">
        <v>50160</v>
      </c>
      <c r="E2070" s="52" t="str">
        <f aca="false">IF(D2070&lt;&gt;"",IFERROR(VLOOKUP(D2070,PROVEEDORES!$A:$B,2,0),"!COD NO ENCONTRADO"),"")</f>
        <v>SUBASTAS CORUÑA S.L.</v>
      </c>
      <c r="F2070" s="76" t="str">
        <f aca="false">IF(D2070&lt;&gt;"",IFERROR(VLOOKUP(D2070,PROVEEDORES!$A:$C,3,0),""),"")</f>
        <v>S</v>
      </c>
      <c r="G2070" s="75" t="s">
        <v>332</v>
      </c>
      <c r="H2070" s="52" t="str">
        <f aca="false">IF(G2070&lt;&gt;"",IFERROR(VLOOKUP(G2070,PRODUCTOS!$A:$B,2,0),"!COD NO ENCONTRADO"),"")</f>
        <v>VARIADO PEQUEÑO</v>
      </c>
      <c r="I2070" s="77" t="n">
        <v>6</v>
      </c>
      <c r="J2070" s="78" t="n">
        <v>55.5</v>
      </c>
      <c r="K2070" s="79" t="n">
        <v>0.5</v>
      </c>
      <c r="L2070" s="80" t="n">
        <f aca="false">IF(AND(J2070&lt;&gt;"",K2070&lt;&gt;""),J2070*K2070,"")</f>
        <v>27.75</v>
      </c>
      <c r="M2070" s="81" t="n">
        <f aca="false">IF(L2070&lt;&gt;"",L2070*1.1,"")</f>
        <v>30.525</v>
      </c>
      <c r="N2070" s="53" t="n">
        <f aca="false">IF(F2070="S",L2070*0.02,0)</f>
        <v>0.555</v>
      </c>
      <c r="O2070" s="82" t="n">
        <f aca="false">IF(L2070&lt;&gt;"",L2070+N2070,"")</f>
        <v>28.305</v>
      </c>
      <c r="P2070" s="53" t="n">
        <f aca="false">IF(O2070&lt;&gt;"",O2070*0.1,"")</f>
        <v>2.8305</v>
      </c>
      <c r="Q2070" s="83" t="n">
        <f aca="false">IF(O2070&lt;&gt;"",O2070+P2070,"")</f>
        <v>31.1355</v>
      </c>
      <c r="R2070" s="84" t="s">
        <v>365</v>
      </c>
    </row>
    <row r="2071" customFormat="false" ht="15" hidden="false" customHeight="true" outlineLevel="0" collapsed="false">
      <c r="A2071" s="103" t="n">
        <v>56469</v>
      </c>
      <c r="B2071" s="73" t="n">
        <v>46275</v>
      </c>
      <c r="C2071" s="74" t="s">
        <v>865</v>
      </c>
      <c r="D2071" s="75" t="n">
        <v>50160</v>
      </c>
      <c r="E2071" s="46" t="str">
        <f aca="false">IF(D2071&lt;&gt;"",IFERROR(VLOOKUP(D2071,PROVEEDORES!$A:$B,2,0),"!COD NO ENCONTRADO"),"")</f>
        <v>SUBASTAS CORUÑA S.L.</v>
      </c>
      <c r="F2071" s="88" t="str">
        <f aca="false">IF(D2071&lt;&gt;"",IFERROR(VLOOKUP(D2071,PROVEEDORES!$A:$C,3,0),""),"")</f>
        <v>S</v>
      </c>
      <c r="G2071" s="87" t="s">
        <v>332</v>
      </c>
      <c r="H2071" s="46" t="str">
        <f aca="false">IF(G2071&lt;&gt;"",IFERROR(VLOOKUP(G2071,PRODUCTOS!$A:$B,2,0),"!COD NO ENCONTRADO"),"")</f>
        <v>VARIADO PEQUEÑO</v>
      </c>
      <c r="I2071" s="89" t="n">
        <v>2</v>
      </c>
      <c r="J2071" s="90" t="n">
        <v>14</v>
      </c>
      <c r="K2071" s="91" t="n">
        <v>0.5</v>
      </c>
      <c r="L2071" s="80" t="n">
        <f aca="false">IF(AND(J2071&lt;&gt;"",K2071&lt;&gt;""),J2071*K2071,"")</f>
        <v>7</v>
      </c>
      <c r="M2071" s="81" t="n">
        <f aca="false">IF(L2071&lt;&gt;"",L2071*1.1,"")</f>
        <v>7.7</v>
      </c>
      <c r="N2071" s="47" t="n">
        <f aca="false">IF(F2071="S",L2071*0.02,0)</f>
        <v>0.14</v>
      </c>
      <c r="O2071" s="82" t="n">
        <f aca="false">IF(L2071&lt;&gt;"",L2071+N2071,"")</f>
        <v>7.14</v>
      </c>
      <c r="P2071" s="47" t="n">
        <f aca="false">IF(O2071&lt;&gt;"",O2071*0.1,"")</f>
        <v>0.714</v>
      </c>
      <c r="Q2071" s="83" t="n">
        <f aca="false">IF(O2071&lt;&gt;"",O2071+P2071,"")</f>
        <v>7.854</v>
      </c>
      <c r="R2071" s="84" t="s">
        <v>365</v>
      </c>
    </row>
    <row r="2072" customFormat="false" ht="15" hidden="false" customHeight="true" outlineLevel="0" collapsed="false">
      <c r="A2072" s="103" t="n">
        <v>56469</v>
      </c>
      <c r="B2072" s="73" t="n">
        <v>46275</v>
      </c>
      <c r="C2072" s="74" t="s">
        <v>865</v>
      </c>
      <c r="D2072" s="75" t="n">
        <v>50160</v>
      </c>
      <c r="E2072" s="52" t="str">
        <f aca="false">IF(D2072&lt;&gt;"",IFERROR(VLOOKUP(D2072,PROVEEDORES!$A:$B,2,0),"!COD NO ENCONTRADO"),"")</f>
        <v>SUBASTAS CORUÑA S.L.</v>
      </c>
      <c r="F2072" s="76" t="str">
        <f aca="false">IF(D2072&lt;&gt;"",IFERROR(VLOOKUP(D2072,PROVEEDORES!$A:$C,3,0),""),"")</f>
        <v>S</v>
      </c>
      <c r="G2072" s="75" t="s">
        <v>161</v>
      </c>
      <c r="H2072" s="52" t="str">
        <f aca="false">IF(G2072&lt;&gt;"",IFERROR(VLOOKUP(G2072,PRODUCTOS!$A:$B,2,0),"!COD NO ENCONTRADO"),"")</f>
        <v>GALLO </v>
      </c>
      <c r="I2072" s="77" t="n">
        <v>2</v>
      </c>
      <c r="J2072" s="78" t="n">
        <v>15</v>
      </c>
      <c r="K2072" s="79" t="n">
        <v>6.2</v>
      </c>
      <c r="L2072" s="80" t="n">
        <f aca="false">IF(AND(J2072&lt;&gt;"",K2072&lt;&gt;""),J2072*K2072,"")</f>
        <v>93</v>
      </c>
      <c r="M2072" s="81" t="n">
        <f aca="false">IF(L2072&lt;&gt;"",L2072*1.1,"")</f>
        <v>102.3</v>
      </c>
      <c r="N2072" s="53" t="n">
        <f aca="false">IF(F2072="S",L2072*0.02,0)</f>
        <v>1.86</v>
      </c>
      <c r="O2072" s="82" t="n">
        <f aca="false">IF(L2072&lt;&gt;"",L2072+N2072,"")</f>
        <v>94.86</v>
      </c>
      <c r="P2072" s="53" t="n">
        <f aca="false">IF(O2072&lt;&gt;"",O2072*0.1,"")</f>
        <v>9.486</v>
      </c>
      <c r="Q2072" s="83" t="n">
        <f aca="false">IF(O2072&lt;&gt;"",O2072+P2072,"")</f>
        <v>104.346</v>
      </c>
      <c r="R2072" s="84" t="s">
        <v>358</v>
      </c>
    </row>
    <row r="2073" customFormat="false" ht="15" hidden="false" customHeight="true" outlineLevel="0" collapsed="false">
      <c r="A2073" s="103" t="n">
        <v>56470</v>
      </c>
      <c r="B2073" s="73" t="n">
        <v>46275</v>
      </c>
      <c r="C2073" s="86" t="s">
        <v>871</v>
      </c>
      <c r="D2073" s="87" t="n">
        <v>50163</v>
      </c>
      <c r="E2073" s="46" t="str">
        <f aca="false">IF(D2073&lt;&gt;"",IFERROR(VLOOKUP(D2073,PROVEEDORES!$A:$B,2,0),"!COD NO ENCONTRADO"),"")</f>
        <v>SUBASTAS RIVERA S.L.</v>
      </c>
      <c r="F2073" s="88" t="str">
        <f aca="false">IF(D2073&lt;&gt;"",IFERROR(VLOOKUP(D2073,PROVEEDORES!$A:$C,3,0),""),"")</f>
        <v>S</v>
      </c>
      <c r="G2073" s="87" t="s">
        <v>308</v>
      </c>
      <c r="H2073" s="46" t="str">
        <f aca="false">IF(G2073&lt;&gt;"",IFERROR(VLOOKUP(G2073,PRODUCTOS!$A:$B,2,0),"!COD NO ENCONTRADO"),"")</f>
        <v>SABLE BLANCO (SFS)</v>
      </c>
      <c r="I2073" s="89" t="n">
        <v>1</v>
      </c>
      <c r="J2073" s="90" t="n">
        <v>15</v>
      </c>
      <c r="K2073" s="91" t="n">
        <v>1</v>
      </c>
      <c r="L2073" s="80" t="n">
        <f aca="false">IF(AND(J2073&lt;&gt;"",K2073&lt;&gt;""),J2073*K2073,"")</f>
        <v>15</v>
      </c>
      <c r="M2073" s="81" t="n">
        <f aca="false">IF(L2073&lt;&gt;"",L2073*1.1,"")</f>
        <v>16.5</v>
      </c>
      <c r="N2073" s="47" t="n">
        <f aca="false">IF(F2073="S",L2073*0.02,0)</f>
        <v>0.3</v>
      </c>
      <c r="O2073" s="82" t="n">
        <f aca="false">IF(L2073&lt;&gt;"",L2073+N2073,"")</f>
        <v>15.3</v>
      </c>
      <c r="P2073" s="47" t="n">
        <f aca="false">IF(O2073&lt;&gt;"",O2073*0.1,"")</f>
        <v>1.53</v>
      </c>
      <c r="Q2073" s="83" t="n">
        <f aca="false">IF(O2073&lt;&gt;"",O2073+P2073,"")</f>
        <v>16.83</v>
      </c>
      <c r="R2073" s="84" t="s">
        <v>358</v>
      </c>
    </row>
    <row r="2074" customFormat="false" ht="15" hidden="false" customHeight="true" outlineLevel="0" collapsed="false">
      <c r="A2074" s="103" t="n">
        <v>56470</v>
      </c>
      <c r="B2074" s="73" t="n">
        <v>46275</v>
      </c>
      <c r="C2074" s="86" t="s">
        <v>871</v>
      </c>
      <c r="D2074" s="87" t="n">
        <v>50163</v>
      </c>
      <c r="E2074" s="52" t="str">
        <f aca="false">IF(D2074&lt;&gt;"",IFERROR(VLOOKUP(D2074,PROVEEDORES!$A:$B,2,0),"!COD NO ENCONTRADO"),"")</f>
        <v>SUBASTAS RIVERA S.L.</v>
      </c>
      <c r="F2074" s="76" t="str">
        <f aca="false">IF(D2074&lt;&gt;"",IFERROR(VLOOKUP(D2074,PROVEEDORES!$A:$C,3,0),""),"")</f>
        <v>S</v>
      </c>
      <c r="G2074" s="75" t="s">
        <v>115</v>
      </c>
      <c r="H2074" s="52" t="str">
        <f aca="false">IF(G2074&lt;&gt;"",IFERROR(VLOOKUP(G2074,PRODUCTOS!$A:$B,2,0),"!COD NO ENCONTRADO"),"")</f>
        <v>CHICHARRO/ JUREL/ XURELO (HOM)</v>
      </c>
      <c r="I2074" s="77" t="n">
        <v>1</v>
      </c>
      <c r="J2074" s="78" t="n">
        <v>11.75</v>
      </c>
      <c r="K2074" s="79" t="n">
        <v>4.5</v>
      </c>
      <c r="L2074" s="80" t="n">
        <f aca="false">IF(AND(J2074&lt;&gt;"",K2074&lt;&gt;""),J2074*K2074,"")</f>
        <v>52.875</v>
      </c>
      <c r="M2074" s="81" t="n">
        <f aca="false">IF(L2074&lt;&gt;"",L2074*1.1,"")</f>
        <v>58.1625</v>
      </c>
      <c r="N2074" s="53" t="n">
        <f aca="false">IF(F2074="S",L2074*0.02,0)</f>
        <v>1.0575</v>
      </c>
      <c r="O2074" s="82" t="n">
        <f aca="false">IF(L2074&lt;&gt;"",L2074+N2074,"")</f>
        <v>53.9325</v>
      </c>
      <c r="P2074" s="53" t="n">
        <f aca="false">IF(O2074&lt;&gt;"",O2074*0.1,"")</f>
        <v>5.39325</v>
      </c>
      <c r="Q2074" s="83" t="n">
        <f aca="false">IF(O2074&lt;&gt;"",O2074+P2074,"")</f>
        <v>59.32575</v>
      </c>
      <c r="R2074" s="84" t="s">
        <v>358</v>
      </c>
    </row>
    <row r="2075" customFormat="false" ht="15" hidden="false" customHeight="true" outlineLevel="0" collapsed="false">
      <c r="A2075" s="103" t="n">
        <v>56470</v>
      </c>
      <c r="B2075" s="73" t="n">
        <v>46275</v>
      </c>
      <c r="C2075" s="86" t="s">
        <v>871</v>
      </c>
      <c r="D2075" s="87" t="n">
        <v>50163</v>
      </c>
      <c r="E2075" s="46" t="str">
        <f aca="false">IF(D2075&lt;&gt;"",IFERROR(VLOOKUP(D2075,PROVEEDORES!$A:$B,2,0),"!COD NO ENCONTRADO"),"")</f>
        <v>SUBASTAS RIVERA S.L.</v>
      </c>
      <c r="F2075" s="88" t="str">
        <f aca="false">IF(D2075&lt;&gt;"",IFERROR(VLOOKUP(D2075,PROVEEDORES!$A:$C,3,0),""),"")</f>
        <v>S</v>
      </c>
      <c r="G2075" s="87" t="s">
        <v>216</v>
      </c>
      <c r="H2075" s="46" t="str">
        <f aca="false">IF(G2075&lt;&gt;"",IFERROR(VLOOKUP(G2075,PRODUCTOS!$A:$B,2,0),"!COD NO ENCONTRADO"),"")</f>
        <v>MERLUZA EUROPEA PINCHO COSTA</v>
      </c>
      <c r="I2075" s="89" t="n">
        <v>2</v>
      </c>
      <c r="J2075" s="90" t="n">
        <v>27.5</v>
      </c>
      <c r="K2075" s="91" t="n">
        <v>7.5</v>
      </c>
      <c r="L2075" s="80" t="n">
        <f aca="false">IF(AND(J2075&lt;&gt;"",K2075&lt;&gt;""),J2075*K2075,"")</f>
        <v>206.25</v>
      </c>
      <c r="M2075" s="81" t="n">
        <f aca="false">IF(L2075&lt;&gt;"",L2075*1.1,"")</f>
        <v>226.875</v>
      </c>
      <c r="N2075" s="47" t="n">
        <f aca="false">IF(F2075="S",L2075*0.02,0)</f>
        <v>4.125</v>
      </c>
      <c r="O2075" s="82" t="n">
        <f aca="false">IF(L2075&lt;&gt;"",L2075+N2075,"")</f>
        <v>210.375</v>
      </c>
      <c r="P2075" s="47" t="n">
        <f aca="false">IF(O2075&lt;&gt;"",O2075*0.1,"")</f>
        <v>21.0375</v>
      </c>
      <c r="Q2075" s="83" t="n">
        <f aca="false">IF(O2075&lt;&gt;"",O2075+P2075,"")</f>
        <v>231.4125</v>
      </c>
      <c r="R2075" s="84" t="s">
        <v>365</v>
      </c>
    </row>
    <row r="2076" customFormat="false" ht="15" hidden="false" customHeight="true" outlineLevel="0" collapsed="false">
      <c r="A2076" s="103" t="n">
        <v>56471</v>
      </c>
      <c r="B2076" s="73" t="n">
        <v>46275</v>
      </c>
      <c r="C2076" s="86" t="s">
        <v>872</v>
      </c>
      <c r="D2076" s="87" t="n">
        <v>50218</v>
      </c>
      <c r="E2076" s="52" t="str">
        <f aca="false">IF(D2076&lt;&gt;"",IFERROR(VLOOKUP(D2076,PROVEEDORES!$A:$B,2,0),"!COD NO ENCONTRADO"),"")</f>
        <v>ACERGA </v>
      </c>
      <c r="F2076" s="76" t="str">
        <f aca="false">IF(D2076&lt;&gt;"",IFERROR(VLOOKUP(D2076,PROVEEDORES!$A:$C,3,0),""),"")</f>
        <v>S</v>
      </c>
      <c r="G2076" s="75" t="s">
        <v>93</v>
      </c>
      <c r="H2076" s="52" t="str">
        <f aca="false">IF(G2076&lt;&gt;"",IFERROR(VLOOKUP(G2076,PRODUCTOS!$A:$B,2,0),"!COD NO ENCONTRADO"),"")</f>
        <v>BOQUERON/ BOCARTE/ ANCHOA (ANE)</v>
      </c>
      <c r="I2076" s="77" t="n">
        <v>30</v>
      </c>
      <c r="J2076" s="78" t="n">
        <v>284</v>
      </c>
      <c r="K2076" s="79" t="n">
        <v>2.15</v>
      </c>
      <c r="L2076" s="80" t="n">
        <f aca="false">IF(AND(J2076&lt;&gt;"",K2076&lt;&gt;""),J2076*K2076,"")</f>
        <v>610.6</v>
      </c>
      <c r="M2076" s="81" t="n">
        <f aca="false">IF(L2076&lt;&gt;"",L2076*1.1,"")</f>
        <v>671.66</v>
      </c>
      <c r="N2076" s="53" t="n">
        <f aca="false">IF(F2076="S",L2076*0.02,0)</f>
        <v>12.212</v>
      </c>
      <c r="O2076" s="82" t="n">
        <f aca="false">IF(L2076&lt;&gt;"",L2076+N2076,"")</f>
        <v>622.812</v>
      </c>
      <c r="P2076" s="53" t="n">
        <f aca="false">IF(O2076&lt;&gt;"",O2076*0.1,"")</f>
        <v>62.2812</v>
      </c>
      <c r="Q2076" s="83" t="n">
        <f aca="false">IF(O2076&lt;&gt;"",O2076+P2076,"")</f>
        <v>685.0932</v>
      </c>
      <c r="R2076" s="84" t="s">
        <v>365</v>
      </c>
    </row>
    <row r="2077" customFormat="false" ht="15" hidden="false" customHeight="true" outlineLevel="0" collapsed="false">
      <c r="A2077" s="103" t="n">
        <v>56472</v>
      </c>
      <c r="B2077" s="73" t="n">
        <v>46275</v>
      </c>
      <c r="C2077" s="74" t="s">
        <v>873</v>
      </c>
      <c r="D2077" s="75" t="n">
        <v>50035</v>
      </c>
      <c r="E2077" s="52" t="str">
        <f aca="false">IF(D2077&lt;&gt;"",IFERROR(VLOOKUP(D2077,PROVEEDORES!$A:$B,2,0),"!COD NO ENCONTRADO"),"")</f>
        <v>SCANFISK SEAFFOD S,L</v>
      </c>
      <c r="F2077" s="76" t="str">
        <f aca="false">IF(D2077&lt;&gt;"",IFERROR(VLOOKUP(D2077,PROVEEDORES!$A:$C,3,0),""),"")</f>
        <v>N</v>
      </c>
      <c r="G2077" s="75" t="s">
        <v>246</v>
      </c>
      <c r="H2077" s="52" t="str">
        <f aca="false">IF(G2077&lt;&gt;"",IFERROR(VLOOKUP(G2077,PRODUCTOS!$A:$B,2,0),"!COD NO ENCONTRADO"),"")</f>
        <v>MERLUZA EUROPEA VOLANTA ALTURA</v>
      </c>
      <c r="I2077" s="112" t="n">
        <v>4</v>
      </c>
      <c r="J2077" s="105" t="n">
        <v>41.4</v>
      </c>
      <c r="K2077" s="79" t="n">
        <v>10.8</v>
      </c>
      <c r="L2077" s="80" t="n">
        <f aca="false">IF(AND(J2077&lt;&gt;"",K2077&lt;&gt;""),J2077*K2077,"")</f>
        <v>447.12</v>
      </c>
      <c r="M2077" s="81" t="n">
        <f aca="false">IF(L2077&lt;&gt;"",L2077*1.1,"")</f>
        <v>491.832</v>
      </c>
      <c r="N2077" s="53" t="n">
        <f aca="false">IF(F2077="S",L2077*0.02,0)</f>
        <v>0</v>
      </c>
      <c r="O2077" s="82" t="n">
        <f aca="false">IF(L2077&lt;&gt;"",L2077+N2077,"")</f>
        <v>447.12</v>
      </c>
      <c r="P2077" s="53" t="n">
        <f aca="false">IF(O2077&lt;&gt;"",O2077*0.1,"")</f>
        <v>44.712</v>
      </c>
      <c r="Q2077" s="83" t="n">
        <f aca="false">IF(O2077&lt;&gt;"",O2077+P2077,"")</f>
        <v>491.832</v>
      </c>
      <c r="R2077" s="84" t="s">
        <v>365</v>
      </c>
    </row>
    <row r="2078" customFormat="false" ht="15" hidden="false" customHeight="true" outlineLevel="0" collapsed="false">
      <c r="A2078" s="103" t="n">
        <v>56472</v>
      </c>
      <c r="B2078" s="73" t="n">
        <v>46275</v>
      </c>
      <c r="C2078" s="86" t="s">
        <v>874</v>
      </c>
      <c r="D2078" s="87" t="n">
        <v>50035</v>
      </c>
      <c r="E2078" s="46" t="str">
        <f aca="false">IF(D2078&lt;&gt;"",IFERROR(VLOOKUP(D2078,PROVEEDORES!$A:$B,2,0),"!COD NO ENCONTRADO"),"")</f>
        <v>SCANFISK SEAFFOD S,L</v>
      </c>
      <c r="F2078" s="88" t="str">
        <f aca="false">IF(D2078&lt;&gt;"",IFERROR(VLOOKUP(D2078,PROVEEDORES!$A:$C,3,0),""),"")</f>
        <v>N</v>
      </c>
      <c r="G2078" s="87" t="s">
        <v>367</v>
      </c>
      <c r="H2078" s="46" t="str">
        <f aca="false">IF(G2078&lt;&gt;"",IFERROR(VLOOKUP(G2078,PRODUCTOS!$A:$B,2,0),"!COD NO ENCONTRADO"),"")</f>
        <v>MERLUZA BAKA DIA</v>
      </c>
      <c r="I2078" s="89" t="n">
        <v>2</v>
      </c>
      <c r="J2078" s="90" t="n">
        <v>11.5</v>
      </c>
      <c r="K2078" s="91" t="n">
        <v>5.4</v>
      </c>
      <c r="L2078" s="80" t="n">
        <f aca="false">IF(AND(J2078&lt;&gt;"",K2078&lt;&gt;""),J2078*K2078,"")</f>
        <v>62.1</v>
      </c>
      <c r="M2078" s="81" t="n">
        <f aca="false">IF(L2078&lt;&gt;"",L2078*1.1,"")</f>
        <v>68.31</v>
      </c>
      <c r="N2078" s="47" t="n">
        <f aca="false">IF(F2078="S",L2078*0.02,0)</f>
        <v>0</v>
      </c>
      <c r="O2078" s="82" t="n">
        <f aca="false">IF(L2078&lt;&gt;"",L2078+N2078,"")</f>
        <v>62.1</v>
      </c>
      <c r="P2078" s="47" t="n">
        <f aca="false">IF(O2078&lt;&gt;"",O2078*0.1,"")</f>
        <v>6.21</v>
      </c>
      <c r="Q2078" s="83" t="n">
        <f aca="false">IF(O2078&lt;&gt;"",O2078+P2078,"")</f>
        <v>68.31</v>
      </c>
      <c r="R2078" s="84" t="s">
        <v>365</v>
      </c>
    </row>
    <row r="2079" customFormat="false" ht="15" hidden="false" customHeight="true" outlineLevel="0" collapsed="false">
      <c r="A2079" s="103" t="n">
        <v>56473</v>
      </c>
      <c r="B2079" s="85" t="n">
        <v>46276</v>
      </c>
      <c r="C2079" s="86"/>
      <c r="D2079" s="87" t="n">
        <v>50020</v>
      </c>
      <c r="E2079" s="46" t="str">
        <f aca="false">IF(D2079&lt;&gt;"",IFERROR(VLOOKUP(D2079,PROVEEDORES!$A:$B,2,0),"!COD NO ENCONTRADO"),"")</f>
        <v>PACO MOINELO</v>
      </c>
      <c r="F2079" s="88" t="str">
        <f aca="false">IF(D2079&lt;&gt;"",IFERROR(VLOOKUP(D2079,PROVEEDORES!$A:$C,3,0),""),"")</f>
        <v>S</v>
      </c>
      <c r="G2079" s="87" t="s">
        <v>338</v>
      </c>
      <c r="H2079" s="46" t="str">
        <f aca="false">IF(G2079&lt;&gt;"",IFERROR(VLOOKUP(G2079,PRODUCTOS!$A:$B,2,0),"!COD NO ENCONTRADO"),"")</f>
        <v>VISPOS/ ESCORPORAS</v>
      </c>
      <c r="I2079" s="89" t="n">
        <v>2</v>
      </c>
      <c r="J2079" s="90" t="n">
        <v>12.75</v>
      </c>
      <c r="K2079" s="91" t="n">
        <v>7</v>
      </c>
      <c r="L2079" s="80" t="n">
        <f aca="false">IF(AND(J2079&lt;&gt;"",K2079&lt;&gt;""),J2079*K2079,"")</f>
        <v>89.25</v>
      </c>
      <c r="M2079" s="81" t="n">
        <f aca="false">IF(L2079&lt;&gt;"",L2079*1.1,"")</f>
        <v>98.175</v>
      </c>
      <c r="N2079" s="47" t="n">
        <f aca="false">IF(F2079="S",L2079*0.02,0)</f>
        <v>1.785</v>
      </c>
      <c r="O2079" s="82" t="n">
        <f aca="false">IF(L2079&lt;&gt;"",L2079+N2079,"")</f>
        <v>91.035</v>
      </c>
      <c r="P2079" s="47" t="n">
        <f aca="false">IF(O2079&lt;&gt;"",O2079*0.1,"")</f>
        <v>9.1035</v>
      </c>
      <c r="Q2079" s="83" t="n">
        <f aca="false">IF(O2079&lt;&gt;"",O2079+P2079,"")</f>
        <v>100.1385</v>
      </c>
      <c r="R2079" s="84"/>
    </row>
    <row r="2080" customFormat="false" ht="15" hidden="false" customHeight="true" outlineLevel="0" collapsed="false">
      <c r="A2080" s="103" t="n">
        <v>56474</v>
      </c>
      <c r="B2080" s="73" t="n">
        <v>46276</v>
      </c>
      <c r="C2080" s="74"/>
      <c r="D2080" s="75" t="n">
        <v>50001</v>
      </c>
      <c r="E2080" s="52" t="str">
        <f aca="false">IF(D2080&lt;&gt;"",IFERROR(VLOOKUP(D2080,PROVEEDORES!$A:$B,2,0),"!COD NO ENCONTRADO"),"")</f>
        <v>COPESA</v>
      </c>
      <c r="F2080" s="76" t="str">
        <f aca="false">IF(D2080&lt;&gt;"",IFERROR(VLOOKUP(D2080,PROVEEDORES!$A:$C,3,0),""),"")</f>
        <v>S</v>
      </c>
      <c r="G2080" s="75" t="s">
        <v>332</v>
      </c>
      <c r="H2080" s="52" t="str">
        <f aca="false">IF(G2080&lt;&gt;"",IFERROR(VLOOKUP(G2080,PRODUCTOS!$A:$B,2,0),"!COD NO ENCONTRADO"),"")</f>
        <v>VARIADO PEQUEÑO</v>
      </c>
      <c r="I2080" s="77" t="n">
        <v>1</v>
      </c>
      <c r="J2080" s="78" t="n">
        <v>12.75</v>
      </c>
      <c r="K2080" s="79" t="n">
        <v>0.5</v>
      </c>
      <c r="L2080" s="80" t="n">
        <f aca="false">IF(AND(J2080&lt;&gt;"",K2080&lt;&gt;""),J2080*K2080,"")</f>
        <v>6.375</v>
      </c>
      <c r="M2080" s="81" t="n">
        <f aca="false">IF(L2080&lt;&gt;"",L2080*1.1,"")</f>
        <v>7.0125</v>
      </c>
      <c r="N2080" s="53" t="n">
        <f aca="false">IF(F2080="S",L2080*0.02,0)</f>
        <v>0.1275</v>
      </c>
      <c r="O2080" s="82" t="n">
        <f aca="false">IF(L2080&lt;&gt;"",L2080+N2080,"")</f>
        <v>6.5025</v>
      </c>
      <c r="P2080" s="53" t="n">
        <f aca="false">IF(O2080&lt;&gt;"",O2080*0.1,"")</f>
        <v>0.65025</v>
      </c>
      <c r="Q2080" s="83" t="n">
        <f aca="false">IF(O2080&lt;&gt;"",O2080+P2080,"")</f>
        <v>7.15275</v>
      </c>
      <c r="R2080" s="84"/>
    </row>
    <row r="2081" customFormat="false" ht="15" hidden="false" customHeight="true" outlineLevel="0" collapsed="false">
      <c r="A2081" s="103" t="n">
        <v>56474</v>
      </c>
      <c r="B2081" s="85" t="n">
        <v>46276</v>
      </c>
      <c r="C2081" s="86"/>
      <c r="D2081" s="87" t="n">
        <v>50001</v>
      </c>
      <c r="E2081" s="46" t="str">
        <f aca="false">IF(D2081&lt;&gt;"",IFERROR(VLOOKUP(D2081,PROVEEDORES!$A:$B,2,0),"!COD NO ENCONTRADO"),"")</f>
        <v>COPESA</v>
      </c>
      <c r="F2081" s="88" t="str">
        <f aca="false">IF(D2081&lt;&gt;"",IFERROR(VLOOKUP(D2081,PROVEEDORES!$A:$C,3,0),""),"")</f>
        <v>S</v>
      </c>
      <c r="G2081" s="87" t="s">
        <v>276</v>
      </c>
      <c r="H2081" s="46" t="str">
        <f aca="false">IF(G2081&lt;&gt;"",IFERROR(VLOOKUP(G2081,PRODUCTOS!$A:$B,2,0),"!COD NO ENCONTRADO"),"")</f>
        <v>MERLUZA EUROPEA/ FINA DIA </v>
      </c>
      <c r="I2081" s="89" t="n">
        <v>20</v>
      </c>
      <c r="J2081" s="90" t="n">
        <f aca="false">6.5+7+7.25+6.75+5.5+6.5+6.75+5.75+12+6.75+6.25+6.5+6.5+11.5+11.5+12.25</f>
        <v>125.25</v>
      </c>
      <c r="K2081" s="91" t="n">
        <v>3.2</v>
      </c>
      <c r="L2081" s="80" t="n">
        <f aca="false">IF(AND(J2081&lt;&gt;"",K2081&lt;&gt;""),J2081*K2081,"")</f>
        <v>400.8</v>
      </c>
      <c r="M2081" s="81" t="n">
        <f aca="false">IF(L2081&lt;&gt;"",L2081*1.1,"")</f>
        <v>440.88</v>
      </c>
      <c r="N2081" s="47" t="n">
        <f aca="false">IF(F2081="S",L2081*0.02,0)</f>
        <v>8.016</v>
      </c>
      <c r="O2081" s="82" t="n">
        <f aca="false">IF(L2081&lt;&gt;"",L2081+N2081,"")</f>
        <v>408.816</v>
      </c>
      <c r="P2081" s="47" t="n">
        <f aca="false">IF(O2081&lt;&gt;"",O2081*0.1,"")</f>
        <v>40.8816</v>
      </c>
      <c r="Q2081" s="83" t="n">
        <f aca="false">IF(O2081&lt;&gt;"",O2081+P2081,"")</f>
        <v>449.6976</v>
      </c>
      <c r="R2081" s="84"/>
    </row>
    <row r="2082" customFormat="false" ht="15" hidden="false" customHeight="true" outlineLevel="0" collapsed="false">
      <c r="A2082" s="103" t="n">
        <v>56474</v>
      </c>
      <c r="B2082" s="73" t="n">
        <v>46276</v>
      </c>
      <c r="C2082" s="74"/>
      <c r="D2082" s="75" t="n">
        <v>50001</v>
      </c>
      <c r="E2082" s="52" t="str">
        <f aca="false">IF(D2082&lt;&gt;"",IFERROR(VLOOKUP(D2082,PROVEEDORES!$A:$B,2,0),"!COD NO ENCONTRADO"),"")</f>
        <v>COPESA</v>
      </c>
      <c r="F2082" s="76" t="str">
        <f aca="false">IF(D2082&lt;&gt;"",IFERROR(VLOOKUP(D2082,PROVEEDORES!$A:$C,3,0),""),"")</f>
        <v>S</v>
      </c>
      <c r="G2082" s="75" t="s">
        <v>276</v>
      </c>
      <c r="H2082" s="52" t="str">
        <f aca="false">IF(G2082&lt;&gt;"",IFERROR(VLOOKUP(G2082,PRODUCTOS!$A:$B,2,0),"!COD NO ENCONTRADO"),"")</f>
        <v>MERLUZA EUROPEA/ FINA DIA </v>
      </c>
      <c r="I2082" s="77" t="n">
        <v>9</v>
      </c>
      <c r="J2082" s="78" t="n">
        <f aca="false">6.75+14.25+7.5+12.25+7.25+12</f>
        <v>60</v>
      </c>
      <c r="K2082" s="79" t="n">
        <v>3.6</v>
      </c>
      <c r="L2082" s="80" t="n">
        <f aca="false">IF(AND(J2082&lt;&gt;"",K2082&lt;&gt;""),J2082*K2082,"")</f>
        <v>216</v>
      </c>
      <c r="M2082" s="81" t="n">
        <f aca="false">IF(L2082&lt;&gt;"",L2082*1.1,"")</f>
        <v>237.6</v>
      </c>
      <c r="N2082" s="53" t="n">
        <f aca="false">IF(F2082="S",L2082*0.02,0)</f>
        <v>4.32</v>
      </c>
      <c r="O2082" s="82" t="n">
        <f aca="false">IF(L2082&lt;&gt;"",L2082+N2082,"")</f>
        <v>220.32</v>
      </c>
      <c r="P2082" s="53" t="n">
        <f aca="false">IF(O2082&lt;&gt;"",O2082*0.1,"")</f>
        <v>22.032</v>
      </c>
      <c r="Q2082" s="83" t="n">
        <f aca="false">IF(O2082&lt;&gt;"",O2082+P2082,"")</f>
        <v>242.352</v>
      </c>
      <c r="R2082" s="84"/>
    </row>
    <row r="2083" customFormat="false" ht="15" hidden="false" customHeight="true" outlineLevel="0" collapsed="false">
      <c r="A2083" s="103" t="n">
        <v>56475</v>
      </c>
      <c r="B2083" s="73" t="n">
        <v>46276</v>
      </c>
      <c r="C2083" s="74"/>
      <c r="D2083" s="75" t="n">
        <v>50160</v>
      </c>
      <c r="E2083" s="52" t="str">
        <f aca="false">IF(D2083&lt;&gt;"",IFERROR(VLOOKUP(D2083,PROVEEDORES!$A:$B,2,0),"!COD NO ENCONTRADO"),"")</f>
        <v>SUBASTAS CORUÑA S.L.</v>
      </c>
      <c r="F2083" s="76" t="str">
        <f aca="false">IF(D2083&lt;&gt;"",IFERROR(VLOOKUP(D2083,PROVEEDORES!$A:$C,3,0),""),"")</f>
        <v>S</v>
      </c>
      <c r="G2083" s="75" t="s">
        <v>332</v>
      </c>
      <c r="H2083" s="52" t="str">
        <f aca="false">IF(G2083&lt;&gt;"",IFERROR(VLOOKUP(G2083,PRODUCTOS!$A:$B,2,0),"!COD NO ENCONTRADO"),"")</f>
        <v>VARIADO PEQUEÑO</v>
      </c>
      <c r="I2083" s="77" t="n">
        <v>10</v>
      </c>
      <c r="J2083" s="78" t="n">
        <f aca="false">4.75+6.25+12+11.75+11.25+6.5+5.25</f>
        <v>57.75</v>
      </c>
      <c r="K2083" s="79" t="n">
        <v>0.6</v>
      </c>
      <c r="L2083" s="80" t="n">
        <f aca="false">IF(AND(J2083&lt;&gt;"",K2083&lt;&gt;""),J2083*K2083,"")</f>
        <v>34.65</v>
      </c>
      <c r="M2083" s="81" t="n">
        <f aca="false">IF(L2083&lt;&gt;"",L2083*1.1,"")</f>
        <v>38.115</v>
      </c>
      <c r="N2083" s="53" t="n">
        <f aca="false">IF(F2083="S",L2083*0.02,0)</f>
        <v>0.693</v>
      </c>
      <c r="O2083" s="82" t="n">
        <f aca="false">IF(L2083&lt;&gt;"",L2083+N2083,"")</f>
        <v>35.343</v>
      </c>
      <c r="P2083" s="53" t="n">
        <f aca="false">IF(O2083&lt;&gt;"",O2083*0.1,"")</f>
        <v>3.5343</v>
      </c>
      <c r="Q2083" s="83" t="n">
        <f aca="false">IF(O2083&lt;&gt;"",O2083+P2083,"")</f>
        <v>38.8773</v>
      </c>
      <c r="R2083" s="84"/>
    </row>
    <row r="2084" customFormat="false" ht="15" hidden="false" customHeight="true" outlineLevel="0" collapsed="false">
      <c r="A2084" s="103" t="n">
        <v>56475</v>
      </c>
      <c r="B2084" s="85" t="n">
        <v>46276</v>
      </c>
      <c r="C2084" s="86"/>
      <c r="D2084" s="87" t="n">
        <v>50160</v>
      </c>
      <c r="E2084" s="46" t="str">
        <f aca="false">IF(D2084&lt;&gt;"",IFERROR(VLOOKUP(D2084,PROVEEDORES!$A:$B,2,0),"!COD NO ENCONTRADO"),"")</f>
        <v>SUBASTAS CORUÑA S.L.</v>
      </c>
      <c r="F2084" s="88" t="str">
        <f aca="false">IF(D2084&lt;&gt;"",IFERROR(VLOOKUP(D2084,PROVEEDORES!$A:$C,3,0),""),"")</f>
        <v>S</v>
      </c>
      <c r="G2084" s="87" t="s">
        <v>332</v>
      </c>
      <c r="H2084" s="46" t="str">
        <f aca="false">IF(G2084&lt;&gt;"",IFERROR(VLOOKUP(G2084,PRODUCTOS!$A:$B,2,0),"!COD NO ENCONTRADO"),"")</f>
        <v>VARIADO PEQUEÑO</v>
      </c>
      <c r="I2084" s="89" t="n">
        <v>4</v>
      </c>
      <c r="J2084" s="90" t="n">
        <f aca="false">8.25+7.75+8.75+2</f>
        <v>26.75</v>
      </c>
      <c r="K2084" s="91" t="n">
        <v>0.6</v>
      </c>
      <c r="L2084" s="80" t="n">
        <f aca="false">IF(AND(J2084&lt;&gt;"",K2084&lt;&gt;""),J2084*K2084,"")</f>
        <v>16.05</v>
      </c>
      <c r="M2084" s="81" t="n">
        <f aca="false">IF(L2084&lt;&gt;"",L2084*1.1,"")</f>
        <v>17.655</v>
      </c>
      <c r="N2084" s="47" t="n">
        <f aca="false">IF(F2084="S",L2084*0.02,0)</f>
        <v>0.321</v>
      </c>
      <c r="O2084" s="82" t="n">
        <f aca="false">IF(L2084&lt;&gt;"",L2084+N2084,"")</f>
        <v>16.371</v>
      </c>
      <c r="P2084" s="47" t="n">
        <f aca="false">IF(O2084&lt;&gt;"",O2084*0.1,"")</f>
        <v>1.6371</v>
      </c>
      <c r="Q2084" s="83" t="n">
        <f aca="false">IF(O2084&lt;&gt;"",O2084+P2084,"")</f>
        <v>18.0081</v>
      </c>
      <c r="R2084" s="84"/>
    </row>
    <row r="2085" customFormat="false" ht="15" hidden="false" customHeight="true" outlineLevel="0" collapsed="false">
      <c r="A2085" s="103" t="n">
        <v>56476</v>
      </c>
      <c r="B2085" s="73" t="n">
        <v>46276</v>
      </c>
      <c r="C2085" s="74"/>
      <c r="D2085" s="75" t="n">
        <v>50163</v>
      </c>
      <c r="E2085" s="52" t="str">
        <f aca="false">IF(D2085&lt;&gt;"",IFERROR(VLOOKUP(D2085,PROVEEDORES!$A:$B,2,0),"!COD NO ENCONTRADO"),"")</f>
        <v>SUBASTAS RIVERA S.L.</v>
      </c>
      <c r="F2085" s="76" t="str">
        <f aca="false">IF(D2085&lt;&gt;"",IFERROR(VLOOKUP(D2085,PROVEEDORES!$A:$C,3,0),""),"")</f>
        <v>S</v>
      </c>
      <c r="G2085" s="75" t="s">
        <v>135</v>
      </c>
      <c r="H2085" s="52" t="str">
        <f aca="false">IF(G2085&lt;&gt;"",IFERROR(VLOOKUP(G2085,PRODUCTOS!$A:$B,2,0),"!COD NO ENCONTRADO"),"")</f>
        <v>CONGRIO 10+  (COE)</v>
      </c>
      <c r="I2085" s="77" t="n">
        <v>1</v>
      </c>
      <c r="J2085" s="78" t="n">
        <v>13.25</v>
      </c>
      <c r="K2085" s="79" t="n">
        <v>3.6</v>
      </c>
      <c r="L2085" s="80" t="n">
        <f aca="false">IF(AND(J2085&lt;&gt;"",K2085&lt;&gt;""),J2085*K2085,"")</f>
        <v>47.7</v>
      </c>
      <c r="M2085" s="81" t="n">
        <f aca="false">IF(L2085&lt;&gt;"",L2085*1.1,"")</f>
        <v>52.47</v>
      </c>
      <c r="N2085" s="53" t="n">
        <f aca="false">IF(F2085="S",L2085*0.02,0)</f>
        <v>0.954</v>
      </c>
      <c r="O2085" s="82" t="n">
        <f aca="false">IF(L2085&lt;&gt;"",L2085+N2085,"")</f>
        <v>48.654</v>
      </c>
      <c r="P2085" s="53" t="n">
        <f aca="false">IF(O2085&lt;&gt;"",O2085*0.1,"")</f>
        <v>4.8654</v>
      </c>
      <c r="Q2085" s="83" t="n">
        <f aca="false">IF(O2085&lt;&gt;"",O2085+P2085,"")</f>
        <v>53.5194</v>
      </c>
      <c r="R2085" s="84"/>
    </row>
    <row r="2086" customFormat="false" ht="15" hidden="false" customHeight="true" outlineLevel="0" collapsed="false">
      <c r="A2086" s="103" t="n">
        <v>56476</v>
      </c>
      <c r="B2086" s="85" t="n">
        <v>46276</v>
      </c>
      <c r="C2086" s="86"/>
      <c r="D2086" s="87" t="n">
        <v>50163</v>
      </c>
      <c r="E2086" s="46" t="str">
        <f aca="false">IF(D2086&lt;&gt;"",IFERROR(VLOOKUP(D2086,PROVEEDORES!$A:$B,2,0),"!COD NO ENCONTRADO"),"")</f>
        <v>SUBASTAS RIVERA S.L.</v>
      </c>
      <c r="F2086" s="88" t="str">
        <f aca="false">IF(D2086&lt;&gt;"",IFERROR(VLOOKUP(D2086,PROVEEDORES!$A:$C,3,0),""),"")</f>
        <v>S</v>
      </c>
      <c r="G2086" s="87" t="s">
        <v>332</v>
      </c>
      <c r="H2086" s="46" t="str">
        <f aca="false">IF(G2086&lt;&gt;"",IFERROR(VLOOKUP(G2086,PRODUCTOS!$A:$B,2,0),"!COD NO ENCONTRADO"),"")</f>
        <v>VARIADO PEQUEÑO</v>
      </c>
      <c r="I2086" s="89" t="n">
        <v>3</v>
      </c>
      <c r="J2086" s="90" t="n">
        <f aca="false">12+5.25</f>
        <v>17.25</v>
      </c>
      <c r="K2086" s="91" t="n">
        <v>1.3</v>
      </c>
      <c r="L2086" s="80" t="n">
        <f aca="false">IF(AND(J2086&lt;&gt;"",K2086&lt;&gt;""),J2086*K2086,"")</f>
        <v>22.425</v>
      </c>
      <c r="M2086" s="81" t="n">
        <f aca="false">IF(L2086&lt;&gt;"",L2086*1.1,"")</f>
        <v>24.6675</v>
      </c>
      <c r="N2086" s="47" t="n">
        <f aca="false">IF(F2086="S",L2086*0.02,0)</f>
        <v>0.4485</v>
      </c>
      <c r="O2086" s="82" t="n">
        <f aca="false">IF(L2086&lt;&gt;"",L2086+N2086,"")</f>
        <v>22.8735</v>
      </c>
      <c r="P2086" s="47" t="n">
        <f aca="false">IF(O2086&lt;&gt;"",O2086*0.1,"")</f>
        <v>2.28735</v>
      </c>
      <c r="Q2086" s="83" t="n">
        <f aca="false">IF(O2086&lt;&gt;"",O2086+P2086,"")</f>
        <v>25.16085</v>
      </c>
      <c r="R2086" s="84"/>
    </row>
    <row r="2087" customFormat="false" ht="15" hidden="false" customHeight="true" outlineLevel="0" collapsed="false">
      <c r="A2087" s="103" t="n">
        <v>56476</v>
      </c>
      <c r="B2087" s="73" t="n">
        <v>46276</v>
      </c>
      <c r="C2087" s="74"/>
      <c r="D2087" s="75" t="n">
        <v>50163</v>
      </c>
      <c r="E2087" s="52" t="str">
        <f aca="false">IF(D2087&lt;&gt;"",IFERROR(VLOOKUP(D2087,PROVEEDORES!$A:$B,2,0),"!COD NO ENCONTRADO"),"")</f>
        <v>SUBASTAS RIVERA S.L.</v>
      </c>
      <c r="F2087" s="76" t="str">
        <f aca="false">IF(D2087&lt;&gt;"",IFERROR(VLOOKUP(D2087,PROVEEDORES!$A:$C,3,0),""),"")</f>
        <v>S</v>
      </c>
      <c r="G2087" s="75" t="s">
        <v>135</v>
      </c>
      <c r="H2087" s="52" t="str">
        <f aca="false">IF(G2087&lt;&gt;"",IFERROR(VLOOKUP(G2087,PRODUCTOS!$A:$B,2,0),"!COD NO ENCONTRADO"),"")</f>
        <v>CONGRIO 10+  (COE)</v>
      </c>
      <c r="I2087" s="77" t="n">
        <v>2</v>
      </c>
      <c r="J2087" s="78" t="n">
        <v>24.5</v>
      </c>
      <c r="K2087" s="79" t="n">
        <v>4</v>
      </c>
      <c r="L2087" s="80" t="n">
        <f aca="false">IF(AND(J2087&lt;&gt;"",K2087&lt;&gt;""),J2087*K2087,"")</f>
        <v>98</v>
      </c>
      <c r="M2087" s="81" t="n">
        <f aca="false">IF(L2087&lt;&gt;"",L2087*1.1,"")</f>
        <v>107.8</v>
      </c>
      <c r="N2087" s="53" t="n">
        <f aca="false">IF(F2087="S",L2087*0.02,0)</f>
        <v>1.96</v>
      </c>
      <c r="O2087" s="82" t="n">
        <f aca="false">IF(L2087&lt;&gt;"",L2087+N2087,"")</f>
        <v>99.96</v>
      </c>
      <c r="P2087" s="53" t="n">
        <f aca="false">IF(O2087&lt;&gt;"",O2087*0.1,"")</f>
        <v>9.996</v>
      </c>
      <c r="Q2087" s="83" t="n">
        <f aca="false">IF(O2087&lt;&gt;"",O2087+P2087,"")</f>
        <v>109.956</v>
      </c>
      <c r="R2087" s="84"/>
    </row>
    <row r="2088" customFormat="false" ht="15" hidden="false" customHeight="true" outlineLevel="0" collapsed="false">
      <c r="A2088" s="103" t="n">
        <v>56477</v>
      </c>
      <c r="B2088" s="85" t="n">
        <v>46276</v>
      </c>
      <c r="C2088" s="86"/>
      <c r="D2088" s="87" t="n">
        <v>50010</v>
      </c>
      <c r="E2088" s="46" t="str">
        <f aca="false">IF(D2088&lt;&gt;"",IFERROR(VLOOKUP(D2088,PROVEEDORES!$A:$B,2,0),"!COD NO ENCONTRADO"),"")</f>
        <v>PERFECTO MONTERO</v>
      </c>
      <c r="F2088" s="88" t="str">
        <f aca="false">IF(D2088&lt;&gt;"",IFERROR(VLOOKUP(D2088,PROVEEDORES!$A:$C,3,0),""),"")</f>
        <v>S</v>
      </c>
      <c r="G2088" s="87" t="s">
        <v>135</v>
      </c>
      <c r="H2088" s="46" t="str">
        <f aca="false">IF(G2088&lt;&gt;"",IFERROR(VLOOKUP(G2088,PRODUCTOS!$A:$B,2,0),"!COD NO ENCONTRADO"),"")</f>
        <v>CONGRIO 10+  (COE)</v>
      </c>
      <c r="I2088" s="89" t="n">
        <v>1</v>
      </c>
      <c r="J2088" s="90" t="n">
        <v>12.25</v>
      </c>
      <c r="K2088" s="91" t="n">
        <v>3.8</v>
      </c>
      <c r="L2088" s="80" t="n">
        <f aca="false">IF(AND(J2088&lt;&gt;"",K2088&lt;&gt;""),J2088*K2088,"")</f>
        <v>46.55</v>
      </c>
      <c r="M2088" s="81" t="n">
        <f aca="false">IF(L2088&lt;&gt;"",L2088*1.1,"")</f>
        <v>51.205</v>
      </c>
      <c r="N2088" s="47" t="n">
        <f aca="false">IF(F2088="S",L2088*0.02,0)</f>
        <v>0.931</v>
      </c>
      <c r="O2088" s="82" t="n">
        <f aca="false">IF(L2088&lt;&gt;"",L2088+N2088,"")</f>
        <v>47.481</v>
      </c>
      <c r="P2088" s="47" t="n">
        <f aca="false">IF(O2088&lt;&gt;"",O2088*0.1,"")</f>
        <v>4.7481</v>
      </c>
      <c r="Q2088" s="83" t="n">
        <f aca="false">IF(O2088&lt;&gt;"",O2088+P2088,"")</f>
        <v>52.2291</v>
      </c>
      <c r="R2088" s="84"/>
    </row>
    <row r="2089" customFormat="false" ht="15" hidden="false" customHeight="true" outlineLevel="0" collapsed="false">
      <c r="A2089" s="103" t="n">
        <v>56478</v>
      </c>
      <c r="B2089" s="85" t="n">
        <v>46276</v>
      </c>
      <c r="C2089" s="86"/>
      <c r="D2089" s="87" t="n">
        <v>50069</v>
      </c>
      <c r="E2089" s="46" t="str">
        <f aca="false">IF(D2089&lt;&gt;"",IFERROR(VLOOKUP(D2089,PROVEEDORES!$A:$B,2,0),"!COD NO ENCONTRADO"),"")</f>
        <v>PESCADOS ILLANES S.L.</v>
      </c>
      <c r="F2089" s="88" t="str">
        <f aca="false">IF(D2089&lt;&gt;"",IFERROR(VLOOKUP(D2089,PROVEEDORES!$A:$C,3,0),""),"")</f>
        <v>S</v>
      </c>
      <c r="G2089" s="87" t="s">
        <v>133</v>
      </c>
      <c r="H2089" s="46" t="str">
        <f aca="false">IF(G2089&lt;&gt;"",IFERROR(VLOOKUP(G2089,PRODUCTOS!$A:$B,2,0),"!COD NO ENCONTRADO"),"")</f>
        <v>CINTAS/ PEZ CINTA (CBC)</v>
      </c>
      <c r="I2089" s="89" t="n">
        <v>15</v>
      </c>
      <c r="J2089" s="90" t="n">
        <f aca="false">5.75+6.75+5.5+5.75+13+6.75+7.25+3+5.75+6.25+5.5+7.25+14.75</f>
        <v>93.25</v>
      </c>
      <c r="K2089" s="91" t="n">
        <v>2.5</v>
      </c>
      <c r="L2089" s="80" t="n">
        <f aca="false">IF(AND(J2089&lt;&gt;"",K2089&lt;&gt;""),J2089*K2089,"")</f>
        <v>233.125</v>
      </c>
      <c r="M2089" s="81" t="n">
        <f aca="false">IF(L2089&lt;&gt;"",L2089*1.1,"")</f>
        <v>256.4375</v>
      </c>
      <c r="N2089" s="47" t="n">
        <f aca="false">IF(F2089="S",L2089*0.02,0)</f>
        <v>4.6625</v>
      </c>
      <c r="O2089" s="82" t="n">
        <f aca="false">IF(L2089&lt;&gt;"",L2089+N2089,"")</f>
        <v>237.7875</v>
      </c>
      <c r="P2089" s="47" t="n">
        <f aca="false">IF(O2089&lt;&gt;"",O2089*0.1,"")</f>
        <v>23.77875</v>
      </c>
      <c r="Q2089" s="83" t="n">
        <f aca="false">IF(O2089&lt;&gt;"",O2089+P2089,"")</f>
        <v>261.56625</v>
      </c>
      <c r="R2089" s="84"/>
    </row>
    <row r="2090" customFormat="false" ht="15" hidden="false" customHeight="true" outlineLevel="0" collapsed="false">
      <c r="A2090" s="103"/>
      <c r="B2090" s="73"/>
      <c r="C2090" s="74"/>
      <c r="D2090" s="75"/>
      <c r="E2090" s="52" t="str">
        <f aca="false">IF(D2090&lt;&gt;"",IFERROR(VLOOKUP(D2090,PROVEEDORES!$A:$B,2,0),"!COD NO ENCONTRADO"),"")</f>
        <v/>
      </c>
      <c r="F2090" s="76" t="str">
        <f aca="false">IF(D2090&lt;&gt;"",IFERROR(VLOOKUP(D2090,PROVEEDORES!$A:$C,3,0),""),"")</f>
        <v/>
      </c>
      <c r="G2090" s="75"/>
      <c r="H2090" s="52" t="str">
        <f aca="false">IF(G2090&lt;&gt;"",IFERROR(VLOOKUP(G2090,PRODUCTOS!$A:$B,2,0),"!COD NO ENCONTRADO"),"")</f>
        <v/>
      </c>
      <c r="I2090" s="77"/>
      <c r="J2090" s="78"/>
      <c r="K2090" s="79"/>
      <c r="L2090" s="80" t="str">
        <f aca="false">IF(AND(J2090&lt;&gt;"",K2090&lt;&gt;""),J2090*K2090,"")</f>
        <v/>
      </c>
      <c r="M2090" s="81" t="str">
        <f aca="false">IF(L2090&lt;&gt;"",L2090*1.1,"")</f>
        <v/>
      </c>
      <c r="N2090" s="53" t="n">
        <f aca="false">IF(F2090="S",L2090*0.02,0)</f>
        <v>0</v>
      </c>
      <c r="O2090" s="82" t="str">
        <f aca="false">IF(L2090&lt;&gt;"",L2090+N2090,"")</f>
        <v/>
      </c>
      <c r="P2090" s="53" t="str">
        <f aca="false">IF(O2090&lt;&gt;"",O2090*0.1,"")</f>
        <v/>
      </c>
      <c r="Q2090" s="83" t="str">
        <f aca="false">IF(O2090&lt;&gt;"",O2090+P2090,"")</f>
        <v/>
      </c>
      <c r="R2090" s="84"/>
    </row>
    <row r="2091" customFormat="false" ht="15" hidden="false" customHeight="true" outlineLevel="0" collapsed="false">
      <c r="A2091" s="103"/>
      <c r="B2091" s="85"/>
      <c r="C2091" s="86"/>
      <c r="D2091" s="87"/>
      <c r="E2091" s="46" t="str">
        <f aca="false">IF(D2091&lt;&gt;"",IFERROR(VLOOKUP(D2091,PROVEEDORES!$A:$B,2,0),"!COD NO ENCONTRADO"),"")</f>
        <v/>
      </c>
      <c r="F2091" s="88" t="str">
        <f aca="false">IF(D2091&lt;&gt;"",IFERROR(VLOOKUP(D2091,PROVEEDORES!$A:$C,3,0),""),"")</f>
        <v/>
      </c>
      <c r="G2091" s="87"/>
      <c r="H2091" s="46" t="str">
        <f aca="false">IF(G2091&lt;&gt;"",IFERROR(VLOOKUP(G2091,PRODUCTOS!$A:$B,2,0),"!COD NO ENCONTRADO"),"")</f>
        <v/>
      </c>
      <c r="I2091" s="89"/>
      <c r="J2091" s="90"/>
      <c r="K2091" s="91"/>
      <c r="L2091" s="80" t="str">
        <f aca="false">IF(AND(J2091&lt;&gt;"",K2091&lt;&gt;""),J2091*K2091,"")</f>
        <v/>
      </c>
      <c r="M2091" s="81" t="str">
        <f aca="false">IF(L2091&lt;&gt;"",L2091*1.1,"")</f>
        <v/>
      </c>
      <c r="N2091" s="47" t="n">
        <f aca="false">IF(F2091="S",L2091*0.02,0)</f>
        <v>0</v>
      </c>
      <c r="O2091" s="82" t="str">
        <f aca="false">IF(L2091&lt;&gt;"",L2091+N2091,"")</f>
        <v/>
      </c>
      <c r="P2091" s="47" t="str">
        <f aca="false">IF(O2091&lt;&gt;"",O2091*0.1,"")</f>
        <v/>
      </c>
      <c r="Q2091" s="83" t="str">
        <f aca="false">IF(O2091&lt;&gt;"",O2091+P2091,"")</f>
        <v/>
      </c>
      <c r="R2091" s="84"/>
    </row>
    <row r="2092" customFormat="false" ht="15" hidden="false" customHeight="true" outlineLevel="0" collapsed="false">
      <c r="A2092" s="103"/>
      <c r="B2092" s="73"/>
      <c r="C2092" s="74"/>
      <c r="D2092" s="75"/>
      <c r="E2092" s="52" t="str">
        <f aca="false">IF(D2092&lt;&gt;"",IFERROR(VLOOKUP(D2092,PROVEEDORES!$A:$B,2,0),"!COD NO ENCONTRADO"),"")</f>
        <v/>
      </c>
      <c r="F2092" s="76" t="str">
        <f aca="false">IF(D2092&lt;&gt;"",IFERROR(VLOOKUP(D2092,PROVEEDORES!$A:$C,3,0),""),"")</f>
        <v/>
      </c>
      <c r="G2092" s="75"/>
      <c r="H2092" s="52" t="str">
        <f aca="false">IF(G2092&lt;&gt;"",IFERROR(VLOOKUP(G2092,PRODUCTOS!$A:$B,2,0),"!COD NO ENCONTRADO"),"")</f>
        <v/>
      </c>
      <c r="I2092" s="77"/>
      <c r="J2092" s="78"/>
      <c r="K2092" s="79"/>
      <c r="L2092" s="80" t="str">
        <f aca="false">IF(AND(J2092&lt;&gt;"",K2092&lt;&gt;""),J2092*K2092,"")</f>
        <v/>
      </c>
      <c r="M2092" s="81" t="str">
        <f aca="false">IF(L2092&lt;&gt;"",L2092*1.1,"")</f>
        <v/>
      </c>
      <c r="N2092" s="53" t="n">
        <f aca="false">IF(F2092="S",L2092*0.02,0)</f>
        <v>0</v>
      </c>
      <c r="O2092" s="82" t="str">
        <f aca="false">IF(L2092&lt;&gt;"",L2092+N2092,"")</f>
        <v/>
      </c>
      <c r="P2092" s="53" t="str">
        <f aca="false">IF(O2092&lt;&gt;"",O2092*0.1,"")</f>
        <v/>
      </c>
      <c r="Q2092" s="83" t="str">
        <f aca="false">IF(O2092&lt;&gt;"",O2092+P2092,"")</f>
        <v/>
      </c>
      <c r="R2092" s="84"/>
    </row>
    <row r="2093" customFormat="false" ht="15" hidden="false" customHeight="true" outlineLevel="0" collapsed="false">
      <c r="A2093" s="103"/>
      <c r="B2093" s="85"/>
      <c r="C2093" s="86"/>
      <c r="D2093" s="87"/>
      <c r="E2093" s="46" t="str">
        <f aca="false">IF(D2093&lt;&gt;"",IFERROR(VLOOKUP(D2093,PROVEEDORES!$A:$B,2,0),"!COD NO ENCONTRADO"),"")</f>
        <v/>
      </c>
      <c r="F2093" s="88" t="str">
        <f aca="false">IF(D2093&lt;&gt;"",IFERROR(VLOOKUP(D2093,PROVEEDORES!$A:$C,3,0),""),"")</f>
        <v/>
      </c>
      <c r="G2093" s="87"/>
      <c r="H2093" s="46" t="str">
        <f aca="false">IF(G2093&lt;&gt;"",IFERROR(VLOOKUP(G2093,PRODUCTOS!$A:$B,2,0),"!COD NO ENCONTRADO"),"")</f>
        <v/>
      </c>
      <c r="I2093" s="89"/>
      <c r="J2093" s="90"/>
      <c r="K2093" s="91"/>
      <c r="L2093" s="80" t="str">
        <f aca="false">IF(AND(J2093&lt;&gt;"",K2093&lt;&gt;""),J2093*K2093,"")</f>
        <v/>
      </c>
      <c r="M2093" s="81" t="str">
        <f aca="false">IF(L2093&lt;&gt;"",L2093*1.1,"")</f>
        <v/>
      </c>
      <c r="N2093" s="47" t="n">
        <f aca="false">IF(F2093="S",L2093*0.02,0)</f>
        <v>0</v>
      </c>
      <c r="O2093" s="82" t="str">
        <f aca="false">IF(L2093&lt;&gt;"",L2093+N2093,"")</f>
        <v/>
      </c>
      <c r="P2093" s="47" t="str">
        <f aca="false">IF(O2093&lt;&gt;"",O2093*0.1,"")</f>
        <v/>
      </c>
      <c r="Q2093" s="83" t="str">
        <f aca="false">IF(O2093&lt;&gt;"",O2093+P2093,"")</f>
        <v/>
      </c>
      <c r="R2093" s="84"/>
    </row>
    <row r="2094" customFormat="false" ht="15" hidden="false" customHeight="true" outlineLevel="0" collapsed="false">
      <c r="A2094" s="103"/>
      <c r="B2094" s="73"/>
      <c r="C2094" s="74"/>
      <c r="D2094" s="75"/>
      <c r="E2094" s="52" t="str">
        <f aca="false">IF(D2094&lt;&gt;"",IFERROR(VLOOKUP(D2094,PROVEEDORES!$A:$B,2,0),"!COD NO ENCONTRADO"),"")</f>
        <v/>
      </c>
      <c r="F2094" s="76" t="str">
        <f aca="false">IF(D2094&lt;&gt;"",IFERROR(VLOOKUP(D2094,PROVEEDORES!$A:$C,3,0),""),"")</f>
        <v/>
      </c>
      <c r="G2094" s="75"/>
      <c r="H2094" s="52" t="str">
        <f aca="false">IF(G2094&lt;&gt;"",IFERROR(VLOOKUP(G2094,PRODUCTOS!$A:$B,2,0),"!COD NO ENCONTRADO"),"")</f>
        <v/>
      </c>
      <c r="I2094" s="77"/>
      <c r="J2094" s="78"/>
      <c r="K2094" s="79"/>
      <c r="L2094" s="80" t="str">
        <f aca="false">IF(AND(J2094&lt;&gt;"",K2094&lt;&gt;""),J2094*K2094,"")</f>
        <v/>
      </c>
      <c r="M2094" s="81" t="str">
        <f aca="false">IF(L2094&lt;&gt;"",L2094*1.1,"")</f>
        <v/>
      </c>
      <c r="N2094" s="53" t="n">
        <f aca="false">IF(F2094="S",L2094*0.02,0)</f>
        <v>0</v>
      </c>
      <c r="O2094" s="82" t="str">
        <f aca="false">IF(L2094&lt;&gt;"",L2094+N2094,"")</f>
        <v/>
      </c>
      <c r="P2094" s="53" t="str">
        <f aca="false">IF(O2094&lt;&gt;"",O2094*0.1,"")</f>
        <v/>
      </c>
      <c r="Q2094" s="83" t="str">
        <f aca="false">IF(O2094&lt;&gt;"",O2094+P2094,"")</f>
        <v/>
      </c>
      <c r="R2094" s="84"/>
    </row>
    <row r="2095" customFormat="false" ht="15" hidden="false" customHeight="true" outlineLevel="0" collapsed="false">
      <c r="A2095" s="103"/>
      <c r="B2095" s="85"/>
      <c r="C2095" s="86"/>
      <c r="D2095" s="87"/>
      <c r="E2095" s="46" t="str">
        <f aca="false">IF(D2095&lt;&gt;"",IFERROR(VLOOKUP(D2095,PROVEEDORES!$A:$B,2,0),"!COD NO ENCONTRADO"),"")</f>
        <v/>
      </c>
      <c r="F2095" s="88" t="str">
        <f aca="false">IF(D2095&lt;&gt;"",IFERROR(VLOOKUP(D2095,PROVEEDORES!$A:$C,3,0),""),"")</f>
        <v/>
      </c>
      <c r="G2095" s="87"/>
      <c r="H2095" s="46" t="str">
        <f aca="false">IF(G2095&lt;&gt;"",IFERROR(VLOOKUP(G2095,PRODUCTOS!$A:$B,2,0),"!COD NO ENCONTRADO"),"")</f>
        <v/>
      </c>
      <c r="I2095" s="89"/>
      <c r="J2095" s="90"/>
      <c r="K2095" s="91"/>
      <c r="L2095" s="80" t="str">
        <f aca="false">IF(AND(J2095&lt;&gt;"",K2095&lt;&gt;""),J2095*K2095,"")</f>
        <v/>
      </c>
      <c r="M2095" s="81" t="str">
        <f aca="false">IF(L2095&lt;&gt;"",L2095*1.1,"")</f>
        <v/>
      </c>
      <c r="N2095" s="47" t="n">
        <f aca="false">IF(F2095="S",L2095*0.02,0)</f>
        <v>0</v>
      </c>
      <c r="O2095" s="82" t="str">
        <f aca="false">IF(L2095&lt;&gt;"",L2095+N2095,"")</f>
        <v/>
      </c>
      <c r="P2095" s="47" t="str">
        <f aca="false">IF(O2095&lt;&gt;"",O2095*0.1,"")</f>
        <v/>
      </c>
      <c r="Q2095" s="83" t="str">
        <f aca="false">IF(O2095&lt;&gt;"",O2095+P2095,"")</f>
        <v/>
      </c>
      <c r="R2095" s="84"/>
    </row>
    <row r="2096" customFormat="false" ht="15" hidden="false" customHeight="true" outlineLevel="0" collapsed="false">
      <c r="A2096" s="103"/>
      <c r="B2096" s="73"/>
      <c r="C2096" s="74"/>
      <c r="D2096" s="75"/>
      <c r="E2096" s="52" t="str">
        <f aca="false">IF(D2096&lt;&gt;"",IFERROR(VLOOKUP(D2096,PROVEEDORES!$A:$B,2,0),"!COD NO ENCONTRADO"),"")</f>
        <v/>
      </c>
      <c r="F2096" s="76" t="str">
        <f aca="false">IF(D2096&lt;&gt;"",IFERROR(VLOOKUP(D2096,PROVEEDORES!$A:$C,3,0),""),"")</f>
        <v/>
      </c>
      <c r="G2096" s="75"/>
      <c r="H2096" s="52" t="str">
        <f aca="false">IF(G2096&lt;&gt;"",IFERROR(VLOOKUP(G2096,PRODUCTOS!$A:$B,2,0),"!COD NO ENCONTRADO"),"")</f>
        <v/>
      </c>
      <c r="I2096" s="77"/>
      <c r="J2096" s="78"/>
      <c r="K2096" s="79"/>
      <c r="L2096" s="80" t="str">
        <f aca="false">IF(AND(J2096&lt;&gt;"",K2096&lt;&gt;""),J2096*K2096,"")</f>
        <v/>
      </c>
      <c r="M2096" s="81" t="str">
        <f aca="false">IF(L2096&lt;&gt;"",L2096*1.1,"")</f>
        <v/>
      </c>
      <c r="N2096" s="53" t="n">
        <f aca="false">IF(F2096="S",L2096*0.02,0)</f>
        <v>0</v>
      </c>
      <c r="O2096" s="82" t="str">
        <f aca="false">IF(L2096&lt;&gt;"",L2096+N2096,"")</f>
        <v/>
      </c>
      <c r="P2096" s="53" t="str">
        <f aca="false">IF(O2096&lt;&gt;"",O2096*0.1,"")</f>
        <v/>
      </c>
      <c r="Q2096" s="83" t="str">
        <f aca="false">IF(O2096&lt;&gt;"",O2096+P2096,"")</f>
        <v/>
      </c>
      <c r="R2096" s="84"/>
    </row>
    <row r="2097" customFormat="false" ht="15" hidden="false" customHeight="true" outlineLevel="0" collapsed="false">
      <c r="A2097" s="103"/>
      <c r="B2097" s="85"/>
      <c r="C2097" s="86"/>
      <c r="D2097" s="87"/>
      <c r="E2097" s="46" t="str">
        <f aca="false">IF(D2097&lt;&gt;"",IFERROR(VLOOKUP(D2097,PROVEEDORES!$A:$B,2,0),"!COD NO ENCONTRADO"),"")</f>
        <v/>
      </c>
      <c r="F2097" s="88" t="str">
        <f aca="false">IF(D2097&lt;&gt;"",IFERROR(VLOOKUP(D2097,PROVEEDORES!$A:$C,3,0),""),"")</f>
        <v/>
      </c>
      <c r="G2097" s="87"/>
      <c r="H2097" s="46" t="str">
        <f aca="false">IF(G2097&lt;&gt;"",IFERROR(VLOOKUP(G2097,PRODUCTOS!$A:$B,2,0),"!COD NO ENCONTRADO"),"")</f>
        <v/>
      </c>
      <c r="I2097" s="89"/>
      <c r="J2097" s="90"/>
      <c r="K2097" s="91"/>
      <c r="L2097" s="80" t="str">
        <f aca="false">IF(AND(J2097&lt;&gt;"",K2097&lt;&gt;""),J2097*K2097,"")</f>
        <v/>
      </c>
      <c r="M2097" s="81" t="str">
        <f aca="false">IF(L2097&lt;&gt;"",L2097*1.1,"")</f>
        <v/>
      </c>
      <c r="N2097" s="47" t="n">
        <f aca="false">IF(F2097="S",L2097*0.02,0)</f>
        <v>0</v>
      </c>
      <c r="O2097" s="82" t="str">
        <f aca="false">IF(L2097&lt;&gt;"",L2097+N2097,"")</f>
        <v/>
      </c>
      <c r="P2097" s="47" t="str">
        <f aca="false">IF(O2097&lt;&gt;"",O2097*0.1,"")</f>
        <v/>
      </c>
      <c r="Q2097" s="83" t="str">
        <f aca="false">IF(O2097&lt;&gt;"",O2097+P2097,"")</f>
        <v/>
      </c>
      <c r="R2097" s="84"/>
    </row>
    <row r="2098" customFormat="false" ht="15" hidden="false" customHeight="true" outlineLevel="0" collapsed="false">
      <c r="A2098" s="103"/>
      <c r="B2098" s="73"/>
      <c r="C2098" s="74"/>
      <c r="D2098" s="75"/>
      <c r="E2098" s="52" t="str">
        <f aca="false">IF(D2098&lt;&gt;"",IFERROR(VLOOKUP(D2098,PROVEEDORES!$A:$B,2,0),"!COD NO ENCONTRADO"),"")</f>
        <v/>
      </c>
      <c r="F2098" s="76" t="str">
        <f aca="false">IF(D2098&lt;&gt;"",IFERROR(VLOOKUP(D2098,PROVEEDORES!$A:$C,3,0),""),"")</f>
        <v/>
      </c>
      <c r="G2098" s="75"/>
      <c r="H2098" s="52" t="str">
        <f aca="false">IF(G2098&lt;&gt;"",IFERROR(VLOOKUP(G2098,PRODUCTOS!$A:$B,2,0),"!COD NO ENCONTRADO"),"")</f>
        <v/>
      </c>
      <c r="I2098" s="77"/>
      <c r="J2098" s="78"/>
      <c r="K2098" s="79"/>
      <c r="L2098" s="80" t="str">
        <f aca="false">IF(AND(J2098&lt;&gt;"",K2098&lt;&gt;""),J2098*K2098,"")</f>
        <v/>
      </c>
      <c r="M2098" s="81" t="str">
        <f aca="false">IF(L2098&lt;&gt;"",L2098*1.1,"")</f>
        <v/>
      </c>
      <c r="N2098" s="53" t="n">
        <f aca="false">IF(F2098="S",L2098*0.02,0)</f>
        <v>0</v>
      </c>
      <c r="O2098" s="82" t="str">
        <f aca="false">IF(L2098&lt;&gt;"",L2098+N2098,"")</f>
        <v/>
      </c>
      <c r="P2098" s="53" t="str">
        <f aca="false">IF(O2098&lt;&gt;"",O2098*0.1,"")</f>
        <v/>
      </c>
      <c r="Q2098" s="83" t="str">
        <f aca="false">IF(O2098&lt;&gt;"",O2098+P2098,"")</f>
        <v/>
      </c>
      <c r="R2098" s="84"/>
    </row>
    <row r="2099" customFormat="false" ht="15" hidden="false" customHeight="true" outlineLevel="0" collapsed="false">
      <c r="A2099" s="103"/>
      <c r="B2099" s="85"/>
      <c r="C2099" s="86"/>
      <c r="D2099" s="87"/>
      <c r="E2099" s="46" t="str">
        <f aca="false">IF(D2099&lt;&gt;"",IFERROR(VLOOKUP(D2099,PROVEEDORES!$A:$B,2,0),"!COD NO ENCONTRADO"),"")</f>
        <v/>
      </c>
      <c r="F2099" s="88" t="str">
        <f aca="false">IF(D2099&lt;&gt;"",IFERROR(VLOOKUP(D2099,PROVEEDORES!$A:$C,3,0),""),"")</f>
        <v/>
      </c>
      <c r="G2099" s="87"/>
      <c r="H2099" s="46" t="str">
        <f aca="false">IF(G2099&lt;&gt;"",IFERROR(VLOOKUP(G2099,PRODUCTOS!$A:$B,2,0),"!COD NO ENCONTRADO"),"")</f>
        <v/>
      </c>
      <c r="I2099" s="89"/>
      <c r="J2099" s="90"/>
      <c r="K2099" s="91"/>
      <c r="L2099" s="80" t="str">
        <f aca="false">IF(AND(J2099&lt;&gt;"",K2099&lt;&gt;""),J2099*K2099,"")</f>
        <v/>
      </c>
      <c r="M2099" s="81" t="str">
        <f aca="false">IF(L2099&lt;&gt;"",L2099*1.1,"")</f>
        <v/>
      </c>
      <c r="N2099" s="47" t="n">
        <f aca="false">IF(F2099="S",L2099*0.02,0)</f>
        <v>0</v>
      </c>
      <c r="O2099" s="82" t="str">
        <f aca="false">IF(L2099&lt;&gt;"",L2099+N2099,"")</f>
        <v/>
      </c>
      <c r="P2099" s="47" t="str">
        <f aca="false">IF(O2099&lt;&gt;"",O2099*0.1,"")</f>
        <v/>
      </c>
      <c r="Q2099" s="83" t="str">
        <f aca="false">IF(O2099&lt;&gt;"",O2099+P2099,"")</f>
        <v/>
      </c>
      <c r="R2099" s="84"/>
    </row>
    <row r="2100" customFormat="false" ht="15" hidden="false" customHeight="true" outlineLevel="0" collapsed="false">
      <c r="A2100" s="103"/>
      <c r="B2100" s="73"/>
      <c r="C2100" s="74"/>
      <c r="D2100" s="75"/>
      <c r="E2100" s="52" t="str">
        <f aca="false">IF(D2100&lt;&gt;"",IFERROR(VLOOKUP(D2100,PROVEEDORES!$A:$B,2,0),"!COD NO ENCONTRADO"),"")</f>
        <v/>
      </c>
      <c r="F2100" s="76" t="str">
        <f aca="false">IF(D2100&lt;&gt;"",IFERROR(VLOOKUP(D2100,PROVEEDORES!$A:$C,3,0),""),"")</f>
        <v/>
      </c>
      <c r="G2100" s="75"/>
      <c r="H2100" s="52" t="str">
        <f aca="false">IF(G2100&lt;&gt;"",IFERROR(VLOOKUP(G2100,PRODUCTOS!$A:$B,2,0),"!COD NO ENCONTRADO"),"")</f>
        <v/>
      </c>
      <c r="I2100" s="77"/>
      <c r="J2100" s="78"/>
      <c r="K2100" s="79"/>
      <c r="L2100" s="80" t="str">
        <f aca="false">IF(AND(J2100&lt;&gt;"",K2100&lt;&gt;""),J2100*K2100,"")</f>
        <v/>
      </c>
      <c r="M2100" s="81" t="str">
        <f aca="false">IF(L2100&lt;&gt;"",L2100*1.1,"")</f>
        <v/>
      </c>
      <c r="N2100" s="53" t="n">
        <f aca="false">IF(F2100="S",L2100*0.02,0)</f>
        <v>0</v>
      </c>
      <c r="O2100" s="82" t="str">
        <f aca="false">IF(L2100&lt;&gt;"",L2100+N2100,"")</f>
        <v/>
      </c>
      <c r="P2100" s="53" t="str">
        <f aca="false">IF(O2100&lt;&gt;"",O2100*0.1,"")</f>
        <v/>
      </c>
      <c r="Q2100" s="83" t="str">
        <f aca="false">IF(O2100&lt;&gt;"",O2100+P2100,"")</f>
        <v/>
      </c>
      <c r="R2100" s="84"/>
    </row>
    <row r="2101" customFormat="false" ht="15" hidden="false" customHeight="true" outlineLevel="0" collapsed="false">
      <c r="A2101" s="103"/>
      <c r="B2101" s="85"/>
      <c r="C2101" s="86"/>
      <c r="D2101" s="87"/>
      <c r="E2101" s="46" t="str">
        <f aca="false">IF(D2101&lt;&gt;"",IFERROR(VLOOKUP(D2101,PROVEEDORES!$A:$B,2,0),"!COD NO ENCONTRADO"),"")</f>
        <v/>
      </c>
      <c r="F2101" s="88" t="str">
        <f aca="false">IF(D2101&lt;&gt;"",IFERROR(VLOOKUP(D2101,PROVEEDORES!$A:$C,3,0),""),"")</f>
        <v/>
      </c>
      <c r="G2101" s="87"/>
      <c r="H2101" s="46" t="str">
        <f aca="false">IF(G2101&lt;&gt;"",IFERROR(VLOOKUP(G2101,PRODUCTOS!$A:$B,2,0),"!COD NO ENCONTRADO"),"")</f>
        <v/>
      </c>
      <c r="I2101" s="89"/>
      <c r="J2101" s="90"/>
      <c r="K2101" s="91"/>
      <c r="L2101" s="80" t="str">
        <f aca="false">IF(AND(J2101&lt;&gt;"",K2101&lt;&gt;""),J2101*K2101,"")</f>
        <v/>
      </c>
      <c r="M2101" s="81" t="str">
        <f aca="false">IF(L2101&lt;&gt;"",L2101*1.1,"")</f>
        <v/>
      </c>
      <c r="N2101" s="47" t="n">
        <f aca="false">IF(F2101="S",L2101*0.02,0)</f>
        <v>0</v>
      </c>
      <c r="O2101" s="82" t="str">
        <f aca="false">IF(L2101&lt;&gt;"",L2101+N2101,"")</f>
        <v/>
      </c>
      <c r="P2101" s="47" t="str">
        <f aca="false">IF(O2101&lt;&gt;"",O2101*0.1,"")</f>
        <v/>
      </c>
      <c r="Q2101" s="83" t="str">
        <f aca="false">IF(O2101&lt;&gt;"",O2101+P2101,"")</f>
        <v/>
      </c>
      <c r="R2101" s="84"/>
    </row>
    <row r="2102" customFormat="false" ht="15" hidden="false" customHeight="true" outlineLevel="0" collapsed="false">
      <c r="A2102" s="103"/>
      <c r="B2102" s="73"/>
      <c r="C2102" s="74"/>
      <c r="D2102" s="75"/>
      <c r="E2102" s="52" t="str">
        <f aca="false">IF(D2102&lt;&gt;"",IFERROR(VLOOKUP(D2102,PROVEEDORES!$A:$B,2,0),"!COD NO ENCONTRADO"),"")</f>
        <v/>
      </c>
      <c r="F2102" s="76" t="str">
        <f aca="false">IF(D2102&lt;&gt;"",IFERROR(VLOOKUP(D2102,PROVEEDORES!$A:$C,3,0),""),"")</f>
        <v/>
      </c>
      <c r="G2102" s="75"/>
      <c r="H2102" s="52" t="str">
        <f aca="false">IF(G2102&lt;&gt;"",IFERROR(VLOOKUP(G2102,PRODUCTOS!$A:$B,2,0),"!COD NO ENCONTRADO"),"")</f>
        <v/>
      </c>
      <c r="I2102" s="77"/>
      <c r="J2102" s="78"/>
      <c r="K2102" s="79"/>
      <c r="L2102" s="80" t="str">
        <f aca="false">IF(AND(J2102&lt;&gt;"",K2102&lt;&gt;""),J2102*K2102,"")</f>
        <v/>
      </c>
      <c r="M2102" s="81" t="str">
        <f aca="false">IF(L2102&lt;&gt;"",L2102*1.1,"")</f>
        <v/>
      </c>
      <c r="N2102" s="53" t="n">
        <f aca="false">IF(F2102="S",L2102*0.02,0)</f>
        <v>0</v>
      </c>
      <c r="O2102" s="82" t="str">
        <f aca="false">IF(L2102&lt;&gt;"",L2102+N2102,"")</f>
        <v/>
      </c>
      <c r="P2102" s="53" t="str">
        <f aca="false">IF(O2102&lt;&gt;"",O2102*0.1,"")</f>
        <v/>
      </c>
      <c r="Q2102" s="83" t="str">
        <f aca="false">IF(O2102&lt;&gt;"",O2102+P2102,"")</f>
        <v/>
      </c>
      <c r="R2102" s="84"/>
    </row>
    <row r="2103" customFormat="false" ht="15" hidden="false" customHeight="true" outlineLevel="0" collapsed="false">
      <c r="A2103" s="103"/>
      <c r="B2103" s="85"/>
      <c r="C2103" s="86"/>
      <c r="D2103" s="87"/>
      <c r="E2103" s="46" t="str">
        <f aca="false">IF(D2103&lt;&gt;"",IFERROR(VLOOKUP(D2103,PROVEEDORES!$A:$B,2,0),"!COD NO ENCONTRADO"),"")</f>
        <v/>
      </c>
      <c r="F2103" s="88" t="str">
        <f aca="false">IF(D2103&lt;&gt;"",IFERROR(VLOOKUP(D2103,PROVEEDORES!$A:$C,3,0),""),"")</f>
        <v/>
      </c>
      <c r="G2103" s="87"/>
      <c r="H2103" s="46" t="str">
        <f aca="false">IF(G2103&lt;&gt;"",IFERROR(VLOOKUP(G2103,PRODUCTOS!$A:$B,2,0),"!COD NO ENCONTRADO"),"")</f>
        <v/>
      </c>
      <c r="I2103" s="89"/>
      <c r="J2103" s="90"/>
      <c r="K2103" s="91"/>
      <c r="L2103" s="80" t="str">
        <f aca="false">IF(AND(J2103&lt;&gt;"",K2103&lt;&gt;""),J2103*K2103,"")</f>
        <v/>
      </c>
      <c r="M2103" s="81" t="str">
        <f aca="false">IF(L2103&lt;&gt;"",L2103*1.1,"")</f>
        <v/>
      </c>
      <c r="N2103" s="47" t="n">
        <f aca="false">IF(F2103="S",L2103*0.02,0)</f>
        <v>0</v>
      </c>
      <c r="O2103" s="82" t="str">
        <f aca="false">IF(L2103&lt;&gt;"",L2103+N2103,"")</f>
        <v/>
      </c>
      <c r="P2103" s="47" t="str">
        <f aca="false">IF(O2103&lt;&gt;"",O2103*0.1,"")</f>
        <v/>
      </c>
      <c r="Q2103" s="83" t="str">
        <f aca="false">IF(O2103&lt;&gt;"",O2103+P2103,"")</f>
        <v/>
      </c>
      <c r="R2103" s="84"/>
    </row>
    <row r="2104" customFormat="false" ht="15" hidden="false" customHeight="true" outlineLevel="0" collapsed="false">
      <c r="A2104" s="103"/>
      <c r="B2104" s="73"/>
      <c r="C2104" s="74"/>
      <c r="D2104" s="75"/>
      <c r="E2104" s="52" t="str">
        <f aca="false">IF(D2104&lt;&gt;"",IFERROR(VLOOKUP(D2104,PROVEEDORES!$A:$B,2,0),"!COD NO ENCONTRADO"),"")</f>
        <v/>
      </c>
      <c r="F2104" s="76" t="str">
        <f aca="false">IF(D2104&lt;&gt;"",IFERROR(VLOOKUP(D2104,PROVEEDORES!$A:$C,3,0),""),"")</f>
        <v/>
      </c>
      <c r="G2104" s="75"/>
      <c r="H2104" s="52" t="str">
        <f aca="false">IF(G2104&lt;&gt;"",IFERROR(VLOOKUP(G2104,PRODUCTOS!$A:$B,2,0),"!COD NO ENCONTRADO"),"")</f>
        <v/>
      </c>
      <c r="I2104" s="77"/>
      <c r="J2104" s="78"/>
      <c r="K2104" s="79"/>
      <c r="L2104" s="80" t="str">
        <f aca="false">IF(AND(J2104&lt;&gt;"",K2104&lt;&gt;""),J2104*K2104,"")</f>
        <v/>
      </c>
      <c r="M2104" s="81" t="str">
        <f aca="false">IF(L2104&lt;&gt;"",L2104*1.1,"")</f>
        <v/>
      </c>
      <c r="N2104" s="53" t="n">
        <f aca="false">IF(F2104="S",L2104*0.02,0)</f>
        <v>0</v>
      </c>
      <c r="O2104" s="82" t="str">
        <f aca="false">IF(L2104&lt;&gt;"",L2104+N2104,"")</f>
        <v/>
      </c>
      <c r="P2104" s="53" t="str">
        <f aca="false">IF(O2104&lt;&gt;"",O2104*0.1,"")</f>
        <v/>
      </c>
      <c r="Q2104" s="83" t="str">
        <f aca="false">IF(O2104&lt;&gt;"",O2104+P2104,"")</f>
        <v/>
      </c>
      <c r="R2104" s="84"/>
    </row>
    <row r="2105" customFormat="false" ht="15" hidden="false" customHeight="true" outlineLevel="0" collapsed="false">
      <c r="A2105" s="103"/>
      <c r="B2105" s="85"/>
      <c r="C2105" s="86"/>
      <c r="D2105" s="87"/>
      <c r="E2105" s="46" t="str">
        <f aca="false">IF(D2105&lt;&gt;"",IFERROR(VLOOKUP(D2105,PROVEEDORES!$A:$B,2,0),"!COD NO ENCONTRADO"),"")</f>
        <v/>
      </c>
      <c r="F2105" s="88" t="str">
        <f aca="false">IF(D2105&lt;&gt;"",IFERROR(VLOOKUP(D2105,PROVEEDORES!$A:$C,3,0),""),"")</f>
        <v/>
      </c>
      <c r="G2105" s="87"/>
      <c r="H2105" s="46" t="str">
        <f aca="false">IF(G2105&lt;&gt;"",IFERROR(VLOOKUP(G2105,PRODUCTOS!$A:$B,2,0),"!COD NO ENCONTRADO"),"")</f>
        <v/>
      </c>
      <c r="I2105" s="89"/>
      <c r="J2105" s="90"/>
      <c r="K2105" s="91"/>
      <c r="L2105" s="80" t="str">
        <f aca="false">IF(AND(J2105&lt;&gt;"",K2105&lt;&gt;""),J2105*K2105,"")</f>
        <v/>
      </c>
      <c r="M2105" s="81" t="str">
        <f aca="false">IF(L2105&lt;&gt;"",L2105*1.1,"")</f>
        <v/>
      </c>
      <c r="N2105" s="47" t="n">
        <f aca="false">IF(F2105="S",L2105*0.02,0)</f>
        <v>0</v>
      </c>
      <c r="O2105" s="82" t="str">
        <f aca="false">IF(L2105&lt;&gt;"",L2105+N2105,"")</f>
        <v/>
      </c>
      <c r="P2105" s="47" t="str">
        <f aca="false">IF(O2105&lt;&gt;"",O2105*0.1,"")</f>
        <v/>
      </c>
      <c r="Q2105" s="83" t="str">
        <f aca="false">IF(O2105&lt;&gt;"",O2105+P2105,"")</f>
        <v/>
      </c>
      <c r="R2105" s="84"/>
    </row>
    <row r="2106" customFormat="false" ht="15" hidden="false" customHeight="true" outlineLevel="0" collapsed="false">
      <c r="A2106" s="103"/>
      <c r="B2106" s="73"/>
      <c r="C2106" s="74"/>
      <c r="D2106" s="75"/>
      <c r="E2106" s="52" t="str">
        <f aca="false">IF(D2106&lt;&gt;"",IFERROR(VLOOKUP(D2106,PROVEEDORES!$A:$B,2,0),"!COD NO ENCONTRADO"),"")</f>
        <v/>
      </c>
      <c r="F2106" s="76" t="str">
        <f aca="false">IF(D2106&lt;&gt;"",IFERROR(VLOOKUP(D2106,PROVEEDORES!$A:$C,3,0),""),"")</f>
        <v/>
      </c>
      <c r="G2106" s="75"/>
      <c r="H2106" s="52" t="str">
        <f aca="false">IF(G2106&lt;&gt;"",IFERROR(VLOOKUP(G2106,PRODUCTOS!$A:$B,2,0),"!COD NO ENCONTRADO"),"")</f>
        <v/>
      </c>
      <c r="I2106" s="77"/>
      <c r="J2106" s="78"/>
      <c r="K2106" s="79"/>
      <c r="L2106" s="80" t="str">
        <f aca="false">IF(AND(J2106&lt;&gt;"",K2106&lt;&gt;""),J2106*K2106,"")</f>
        <v/>
      </c>
      <c r="M2106" s="81" t="str">
        <f aca="false">IF(L2106&lt;&gt;"",L2106*1.1,"")</f>
        <v/>
      </c>
      <c r="N2106" s="53" t="n">
        <f aca="false">IF(F2106="S",L2106*0.02,0)</f>
        <v>0</v>
      </c>
      <c r="O2106" s="82" t="str">
        <f aca="false">IF(L2106&lt;&gt;"",L2106+N2106,"")</f>
        <v/>
      </c>
      <c r="P2106" s="53" t="str">
        <f aca="false">IF(O2106&lt;&gt;"",O2106*0.1,"")</f>
        <v/>
      </c>
      <c r="Q2106" s="83" t="str">
        <f aca="false">IF(O2106&lt;&gt;"",O2106+P2106,"")</f>
        <v/>
      </c>
      <c r="R2106" s="84"/>
    </row>
    <row r="2107" customFormat="false" ht="15" hidden="false" customHeight="true" outlineLevel="0" collapsed="false">
      <c r="A2107" s="103"/>
      <c r="B2107" s="85"/>
      <c r="C2107" s="86"/>
      <c r="D2107" s="87"/>
      <c r="E2107" s="46" t="str">
        <f aca="false">IF(D2107&lt;&gt;"",IFERROR(VLOOKUP(D2107,PROVEEDORES!$A:$B,2,0),"!COD NO ENCONTRADO"),"")</f>
        <v/>
      </c>
      <c r="F2107" s="88" t="str">
        <f aca="false">IF(D2107&lt;&gt;"",IFERROR(VLOOKUP(D2107,PROVEEDORES!$A:$C,3,0),""),"")</f>
        <v/>
      </c>
      <c r="G2107" s="87"/>
      <c r="H2107" s="46" t="str">
        <f aca="false">IF(G2107&lt;&gt;"",IFERROR(VLOOKUP(G2107,PRODUCTOS!$A:$B,2,0),"!COD NO ENCONTRADO"),"")</f>
        <v/>
      </c>
      <c r="I2107" s="89"/>
      <c r="J2107" s="90"/>
      <c r="K2107" s="91"/>
      <c r="L2107" s="80" t="str">
        <f aca="false">IF(AND(J2107&lt;&gt;"",K2107&lt;&gt;""),J2107*K2107,"")</f>
        <v/>
      </c>
      <c r="M2107" s="81" t="str">
        <f aca="false">IF(L2107&lt;&gt;"",L2107*1.1,"")</f>
        <v/>
      </c>
      <c r="N2107" s="47" t="n">
        <f aca="false">IF(F2107="S",L2107*0.02,0)</f>
        <v>0</v>
      </c>
      <c r="O2107" s="82" t="str">
        <f aca="false">IF(L2107&lt;&gt;"",L2107+N2107,"")</f>
        <v/>
      </c>
      <c r="P2107" s="47" t="str">
        <f aca="false">IF(O2107&lt;&gt;"",O2107*0.1,"")</f>
        <v/>
      </c>
      <c r="Q2107" s="83" t="str">
        <f aca="false">IF(O2107&lt;&gt;"",O2107+P2107,"")</f>
        <v/>
      </c>
      <c r="R2107" s="84"/>
    </row>
    <row r="2108" customFormat="false" ht="15" hidden="false" customHeight="true" outlineLevel="0" collapsed="false">
      <c r="A2108" s="103"/>
      <c r="B2108" s="73"/>
      <c r="C2108" s="74"/>
      <c r="D2108" s="75"/>
      <c r="E2108" s="52" t="str">
        <f aca="false">IF(D2108&lt;&gt;"",IFERROR(VLOOKUP(D2108,PROVEEDORES!$A:$B,2,0),"!COD NO ENCONTRADO"),"")</f>
        <v/>
      </c>
      <c r="F2108" s="76" t="str">
        <f aca="false">IF(D2108&lt;&gt;"",IFERROR(VLOOKUP(D2108,PROVEEDORES!$A:$C,3,0),""),"")</f>
        <v/>
      </c>
      <c r="G2108" s="75"/>
      <c r="H2108" s="52" t="str">
        <f aca="false">IF(G2108&lt;&gt;"",IFERROR(VLOOKUP(G2108,PRODUCTOS!$A:$B,2,0),"!COD NO ENCONTRADO"),"")</f>
        <v/>
      </c>
      <c r="I2108" s="77"/>
      <c r="J2108" s="78"/>
      <c r="K2108" s="79"/>
      <c r="L2108" s="80" t="str">
        <f aca="false">IF(AND(J2108&lt;&gt;"",K2108&lt;&gt;""),J2108*K2108,"")</f>
        <v/>
      </c>
      <c r="M2108" s="81" t="str">
        <f aca="false">IF(L2108&lt;&gt;"",L2108*1.1,"")</f>
        <v/>
      </c>
      <c r="N2108" s="53" t="n">
        <f aca="false">IF(F2108="S",L2108*0.02,0)</f>
        <v>0</v>
      </c>
      <c r="O2108" s="82" t="str">
        <f aca="false">IF(L2108&lt;&gt;"",L2108+N2108,"")</f>
        <v/>
      </c>
      <c r="P2108" s="53" t="str">
        <f aca="false">IF(O2108&lt;&gt;"",O2108*0.1,"")</f>
        <v/>
      </c>
      <c r="Q2108" s="83" t="str">
        <f aca="false">IF(O2108&lt;&gt;"",O2108+P2108,"")</f>
        <v/>
      </c>
      <c r="R2108" s="84"/>
    </row>
    <row r="2109" customFormat="false" ht="15" hidden="false" customHeight="true" outlineLevel="0" collapsed="false">
      <c r="A2109" s="103"/>
      <c r="B2109" s="85"/>
      <c r="C2109" s="86"/>
      <c r="D2109" s="87"/>
      <c r="E2109" s="46" t="str">
        <f aca="false">IF(D2109&lt;&gt;"",IFERROR(VLOOKUP(D2109,PROVEEDORES!$A:$B,2,0),"!COD NO ENCONTRADO"),"")</f>
        <v/>
      </c>
      <c r="F2109" s="88" t="str">
        <f aca="false">IF(D2109&lt;&gt;"",IFERROR(VLOOKUP(D2109,PROVEEDORES!$A:$C,3,0),""),"")</f>
        <v/>
      </c>
      <c r="G2109" s="87"/>
      <c r="H2109" s="46" t="str">
        <f aca="false">IF(G2109&lt;&gt;"",IFERROR(VLOOKUP(G2109,PRODUCTOS!$A:$B,2,0),"!COD NO ENCONTRADO"),"")</f>
        <v/>
      </c>
      <c r="I2109" s="89"/>
      <c r="J2109" s="90"/>
      <c r="K2109" s="91"/>
      <c r="L2109" s="80" t="str">
        <f aca="false">IF(AND(J2109&lt;&gt;"",K2109&lt;&gt;""),J2109*K2109,"")</f>
        <v/>
      </c>
      <c r="M2109" s="81" t="str">
        <f aca="false">IF(L2109&lt;&gt;"",L2109*1.1,"")</f>
        <v/>
      </c>
      <c r="N2109" s="47" t="n">
        <f aca="false">IF(F2109="S",L2109*0.02,0)</f>
        <v>0</v>
      </c>
      <c r="O2109" s="82" t="str">
        <f aca="false">IF(L2109&lt;&gt;"",L2109+N2109,"")</f>
        <v/>
      </c>
      <c r="P2109" s="47" t="str">
        <f aca="false">IF(O2109&lt;&gt;"",O2109*0.1,"")</f>
        <v/>
      </c>
      <c r="Q2109" s="83" t="str">
        <f aca="false">IF(O2109&lt;&gt;"",O2109+P2109,"")</f>
        <v/>
      </c>
      <c r="R2109" s="84"/>
    </row>
    <row r="2110" customFormat="false" ht="15" hidden="false" customHeight="true" outlineLevel="0" collapsed="false">
      <c r="A2110" s="103"/>
      <c r="B2110" s="73"/>
      <c r="C2110" s="74"/>
      <c r="D2110" s="75"/>
      <c r="E2110" s="52" t="str">
        <f aca="false">IF(D2110&lt;&gt;"",IFERROR(VLOOKUP(D2110,PROVEEDORES!$A:$B,2,0),"!COD NO ENCONTRADO"),"")</f>
        <v/>
      </c>
      <c r="F2110" s="76" t="str">
        <f aca="false">IF(D2110&lt;&gt;"",IFERROR(VLOOKUP(D2110,PROVEEDORES!$A:$C,3,0),""),"")</f>
        <v/>
      </c>
      <c r="G2110" s="75"/>
      <c r="H2110" s="52" t="str">
        <f aca="false">IF(G2110&lt;&gt;"",IFERROR(VLOOKUP(G2110,PRODUCTOS!$A:$B,2,0),"!COD NO ENCONTRADO"),"")</f>
        <v/>
      </c>
      <c r="I2110" s="77"/>
      <c r="J2110" s="78"/>
      <c r="K2110" s="79"/>
      <c r="L2110" s="80" t="str">
        <f aca="false">IF(AND(J2110&lt;&gt;"",K2110&lt;&gt;""),J2110*K2110,"")</f>
        <v/>
      </c>
      <c r="M2110" s="81" t="str">
        <f aca="false">IF(L2110&lt;&gt;"",L2110*1.1,"")</f>
        <v/>
      </c>
      <c r="N2110" s="53" t="n">
        <f aca="false">IF(F2110="S",L2110*0.02,0)</f>
        <v>0</v>
      </c>
      <c r="O2110" s="82" t="str">
        <f aca="false">IF(L2110&lt;&gt;"",L2110+N2110,"")</f>
        <v/>
      </c>
      <c r="P2110" s="53" t="str">
        <f aca="false">IF(O2110&lt;&gt;"",O2110*0.1,"")</f>
        <v/>
      </c>
      <c r="Q2110" s="83" t="str">
        <f aca="false">IF(O2110&lt;&gt;"",O2110+P2110,"")</f>
        <v/>
      </c>
      <c r="R2110" s="84"/>
    </row>
    <row r="2111" customFormat="false" ht="15" hidden="false" customHeight="true" outlineLevel="0" collapsed="false">
      <c r="A2111" s="103"/>
      <c r="B2111" s="85"/>
      <c r="C2111" s="86"/>
      <c r="D2111" s="87"/>
      <c r="E2111" s="46" t="str">
        <f aca="false">IF(D2111&lt;&gt;"",IFERROR(VLOOKUP(D2111,PROVEEDORES!$A:$B,2,0),"!COD NO ENCONTRADO"),"")</f>
        <v/>
      </c>
      <c r="F2111" s="88" t="str">
        <f aca="false">IF(D2111&lt;&gt;"",IFERROR(VLOOKUP(D2111,PROVEEDORES!$A:$C,3,0),""),"")</f>
        <v/>
      </c>
      <c r="G2111" s="87"/>
      <c r="H2111" s="46" t="str">
        <f aca="false">IF(G2111&lt;&gt;"",IFERROR(VLOOKUP(G2111,PRODUCTOS!$A:$B,2,0),"!COD NO ENCONTRADO"),"")</f>
        <v/>
      </c>
      <c r="I2111" s="89"/>
      <c r="J2111" s="90"/>
      <c r="K2111" s="91"/>
      <c r="L2111" s="80" t="str">
        <f aca="false">IF(AND(J2111&lt;&gt;"",K2111&lt;&gt;""),J2111*K2111,"")</f>
        <v/>
      </c>
      <c r="M2111" s="81" t="str">
        <f aca="false">IF(L2111&lt;&gt;"",L2111*1.1,"")</f>
        <v/>
      </c>
      <c r="N2111" s="47" t="n">
        <f aca="false">IF(F2111="S",L2111*0.02,0)</f>
        <v>0</v>
      </c>
      <c r="O2111" s="82" t="str">
        <f aca="false">IF(L2111&lt;&gt;"",L2111+N2111,"")</f>
        <v/>
      </c>
      <c r="P2111" s="47" t="str">
        <f aca="false">IF(O2111&lt;&gt;"",O2111*0.1,"")</f>
        <v/>
      </c>
      <c r="Q2111" s="83" t="str">
        <f aca="false">IF(O2111&lt;&gt;"",O2111+P2111,"")</f>
        <v/>
      </c>
      <c r="R2111" s="84"/>
    </row>
    <row r="2112" customFormat="false" ht="15" hidden="false" customHeight="true" outlineLevel="0" collapsed="false">
      <c r="A2112" s="103"/>
      <c r="B2112" s="73"/>
      <c r="C2112" s="74"/>
      <c r="D2112" s="75"/>
      <c r="E2112" s="52" t="str">
        <f aca="false">IF(D2112&lt;&gt;"",IFERROR(VLOOKUP(D2112,PROVEEDORES!$A:$B,2,0),"!COD NO ENCONTRADO"),"")</f>
        <v/>
      </c>
      <c r="F2112" s="76" t="str">
        <f aca="false">IF(D2112&lt;&gt;"",IFERROR(VLOOKUP(D2112,PROVEEDORES!$A:$C,3,0),""),"")</f>
        <v/>
      </c>
      <c r="G2112" s="75"/>
      <c r="H2112" s="52" t="str">
        <f aca="false">IF(G2112&lt;&gt;"",IFERROR(VLOOKUP(G2112,PRODUCTOS!$A:$B,2,0),"!COD NO ENCONTRADO"),"")</f>
        <v/>
      </c>
      <c r="I2112" s="77"/>
      <c r="J2112" s="78"/>
      <c r="K2112" s="79"/>
      <c r="L2112" s="80" t="str">
        <f aca="false">IF(AND(J2112&lt;&gt;"",K2112&lt;&gt;""),J2112*K2112,"")</f>
        <v/>
      </c>
      <c r="M2112" s="81" t="str">
        <f aca="false">IF(L2112&lt;&gt;"",L2112*1.1,"")</f>
        <v/>
      </c>
      <c r="N2112" s="53" t="n">
        <f aca="false">IF(F2112="S",L2112*0.02,0)</f>
        <v>0</v>
      </c>
      <c r="O2112" s="82" t="str">
        <f aca="false">IF(L2112&lt;&gt;"",L2112+N2112,"")</f>
        <v/>
      </c>
      <c r="P2112" s="53" t="str">
        <f aca="false">IF(O2112&lt;&gt;"",O2112*0.1,"")</f>
        <v/>
      </c>
      <c r="Q2112" s="83" t="str">
        <f aca="false">IF(O2112&lt;&gt;"",O2112+P2112,"")</f>
        <v/>
      </c>
      <c r="R2112" s="84"/>
    </row>
    <row r="2113" customFormat="false" ht="15" hidden="false" customHeight="true" outlineLevel="0" collapsed="false">
      <c r="A2113" s="103"/>
      <c r="B2113" s="85"/>
      <c r="C2113" s="86"/>
      <c r="D2113" s="87"/>
      <c r="E2113" s="46" t="str">
        <f aca="false">IF(D2113&lt;&gt;"",IFERROR(VLOOKUP(D2113,PROVEEDORES!$A:$B,2,0),"!COD NO ENCONTRADO"),"")</f>
        <v/>
      </c>
      <c r="F2113" s="88" t="str">
        <f aca="false">IF(D2113&lt;&gt;"",IFERROR(VLOOKUP(D2113,PROVEEDORES!$A:$C,3,0),""),"")</f>
        <v/>
      </c>
      <c r="G2113" s="87"/>
      <c r="H2113" s="46" t="str">
        <f aca="false">IF(G2113&lt;&gt;"",IFERROR(VLOOKUP(G2113,PRODUCTOS!$A:$B,2,0),"!COD NO ENCONTRADO"),"")</f>
        <v/>
      </c>
      <c r="I2113" s="89"/>
      <c r="J2113" s="90"/>
      <c r="K2113" s="91"/>
      <c r="L2113" s="80" t="str">
        <f aca="false">IF(AND(J2113&lt;&gt;"",K2113&lt;&gt;""),J2113*K2113,"")</f>
        <v/>
      </c>
      <c r="M2113" s="81" t="str">
        <f aca="false">IF(L2113&lt;&gt;"",L2113*1.1,"")</f>
        <v/>
      </c>
      <c r="N2113" s="47" t="n">
        <f aca="false">IF(F2113="S",L2113*0.02,0)</f>
        <v>0</v>
      </c>
      <c r="O2113" s="82" t="str">
        <f aca="false">IF(L2113&lt;&gt;"",L2113+N2113,"")</f>
        <v/>
      </c>
      <c r="P2113" s="47" t="str">
        <f aca="false">IF(O2113&lt;&gt;"",O2113*0.1,"")</f>
        <v/>
      </c>
      <c r="Q2113" s="83" t="str">
        <f aca="false">IF(O2113&lt;&gt;"",O2113+P2113,"")</f>
        <v/>
      </c>
      <c r="R2113" s="84"/>
    </row>
    <row r="2114" customFormat="false" ht="15" hidden="false" customHeight="true" outlineLevel="0" collapsed="false">
      <c r="A2114" s="103"/>
      <c r="B2114" s="73"/>
      <c r="C2114" s="74"/>
      <c r="D2114" s="75"/>
      <c r="E2114" s="52" t="str">
        <f aca="false">IF(D2114&lt;&gt;"",IFERROR(VLOOKUP(D2114,PROVEEDORES!$A:$B,2,0),"!COD NO ENCONTRADO"),"")</f>
        <v/>
      </c>
      <c r="F2114" s="76" t="str">
        <f aca="false">IF(D2114&lt;&gt;"",IFERROR(VLOOKUP(D2114,PROVEEDORES!$A:$C,3,0),""),"")</f>
        <v/>
      </c>
      <c r="G2114" s="75"/>
      <c r="H2114" s="52" t="str">
        <f aca="false">IF(G2114&lt;&gt;"",IFERROR(VLOOKUP(G2114,PRODUCTOS!$A:$B,2,0),"!COD NO ENCONTRADO"),"")</f>
        <v/>
      </c>
      <c r="I2114" s="77"/>
      <c r="J2114" s="78"/>
      <c r="K2114" s="79"/>
      <c r="L2114" s="80" t="str">
        <f aca="false">IF(AND(J2114&lt;&gt;"",K2114&lt;&gt;""),J2114*K2114,"")</f>
        <v/>
      </c>
      <c r="M2114" s="81" t="str">
        <f aca="false">IF(L2114&lt;&gt;"",L2114*1.1,"")</f>
        <v/>
      </c>
      <c r="N2114" s="53" t="n">
        <f aca="false">IF(F2114="S",L2114*0.02,0)</f>
        <v>0</v>
      </c>
      <c r="O2114" s="82" t="str">
        <f aca="false">IF(L2114&lt;&gt;"",L2114+N2114,"")</f>
        <v/>
      </c>
      <c r="P2114" s="53" t="str">
        <f aca="false">IF(O2114&lt;&gt;"",O2114*0.1,"")</f>
        <v/>
      </c>
      <c r="Q2114" s="83" t="str">
        <f aca="false">IF(O2114&lt;&gt;"",O2114+P2114,"")</f>
        <v/>
      </c>
      <c r="R2114" s="84"/>
    </row>
    <row r="2115" customFormat="false" ht="15" hidden="false" customHeight="true" outlineLevel="0" collapsed="false">
      <c r="A2115" s="103"/>
      <c r="B2115" s="85"/>
      <c r="C2115" s="86"/>
      <c r="D2115" s="87"/>
      <c r="E2115" s="46" t="str">
        <f aca="false">IF(D2115&lt;&gt;"",IFERROR(VLOOKUP(D2115,PROVEEDORES!$A:$B,2,0),"!COD NO ENCONTRADO"),"")</f>
        <v/>
      </c>
      <c r="F2115" s="88" t="str">
        <f aca="false">IF(D2115&lt;&gt;"",IFERROR(VLOOKUP(D2115,PROVEEDORES!$A:$C,3,0),""),"")</f>
        <v/>
      </c>
      <c r="G2115" s="87"/>
      <c r="H2115" s="46" t="str">
        <f aca="false">IF(G2115&lt;&gt;"",IFERROR(VLOOKUP(G2115,PRODUCTOS!$A:$B,2,0),"!COD NO ENCONTRADO"),"")</f>
        <v/>
      </c>
      <c r="I2115" s="89"/>
      <c r="J2115" s="90"/>
      <c r="K2115" s="91"/>
      <c r="L2115" s="80" t="str">
        <f aca="false">IF(AND(J2115&lt;&gt;"",K2115&lt;&gt;""),J2115*K2115,"")</f>
        <v/>
      </c>
      <c r="M2115" s="81" t="str">
        <f aca="false">IF(L2115&lt;&gt;"",L2115*1.1,"")</f>
        <v/>
      </c>
      <c r="N2115" s="47" t="n">
        <f aca="false">IF(F2115="S",L2115*0.02,0)</f>
        <v>0</v>
      </c>
      <c r="O2115" s="82" t="str">
        <f aca="false">IF(L2115&lt;&gt;"",L2115+N2115,"")</f>
        <v/>
      </c>
      <c r="P2115" s="47" t="str">
        <f aca="false">IF(O2115&lt;&gt;"",O2115*0.1,"")</f>
        <v/>
      </c>
      <c r="Q2115" s="83" t="str">
        <f aca="false">IF(O2115&lt;&gt;"",O2115+P2115,"")</f>
        <v/>
      </c>
      <c r="R2115" s="84"/>
    </row>
    <row r="2116" customFormat="false" ht="15" hidden="false" customHeight="true" outlineLevel="0" collapsed="false">
      <c r="A2116" s="103"/>
      <c r="B2116" s="73"/>
      <c r="C2116" s="74"/>
      <c r="D2116" s="75"/>
      <c r="E2116" s="52" t="str">
        <f aca="false">IF(D2116&lt;&gt;"",IFERROR(VLOOKUP(D2116,PROVEEDORES!$A:$B,2,0),"!COD NO ENCONTRADO"),"")</f>
        <v/>
      </c>
      <c r="F2116" s="76" t="str">
        <f aca="false">IF(D2116&lt;&gt;"",IFERROR(VLOOKUP(D2116,PROVEEDORES!$A:$C,3,0),""),"")</f>
        <v/>
      </c>
      <c r="G2116" s="75"/>
      <c r="H2116" s="52" t="str">
        <f aca="false">IF(G2116&lt;&gt;"",IFERROR(VLOOKUP(G2116,PRODUCTOS!$A:$B,2,0),"!COD NO ENCONTRADO"),"")</f>
        <v/>
      </c>
      <c r="I2116" s="77"/>
      <c r="J2116" s="78"/>
      <c r="K2116" s="79"/>
      <c r="L2116" s="80" t="str">
        <f aca="false">IF(AND(J2116&lt;&gt;"",K2116&lt;&gt;""),J2116*K2116,"")</f>
        <v/>
      </c>
      <c r="M2116" s="81" t="str">
        <f aca="false">IF(L2116&lt;&gt;"",L2116*1.1,"")</f>
        <v/>
      </c>
      <c r="N2116" s="53" t="n">
        <f aca="false">IF(F2116="S",L2116*0.02,0)</f>
        <v>0</v>
      </c>
      <c r="O2116" s="82" t="str">
        <f aca="false">IF(L2116&lt;&gt;"",L2116+N2116,"")</f>
        <v/>
      </c>
      <c r="P2116" s="53" t="str">
        <f aca="false">IF(O2116&lt;&gt;"",O2116*0.1,"")</f>
        <v/>
      </c>
      <c r="Q2116" s="83" t="str">
        <f aca="false">IF(O2116&lt;&gt;"",O2116+P2116,"")</f>
        <v/>
      </c>
      <c r="R2116" s="84"/>
    </row>
    <row r="2117" customFormat="false" ht="15" hidden="false" customHeight="true" outlineLevel="0" collapsed="false">
      <c r="A2117" s="103"/>
      <c r="B2117" s="85"/>
      <c r="C2117" s="86"/>
      <c r="D2117" s="87"/>
      <c r="E2117" s="46" t="str">
        <f aca="false">IF(D2117&lt;&gt;"",IFERROR(VLOOKUP(D2117,PROVEEDORES!$A:$B,2,0),"!COD NO ENCONTRADO"),"")</f>
        <v/>
      </c>
      <c r="F2117" s="88" t="str">
        <f aca="false">IF(D2117&lt;&gt;"",IFERROR(VLOOKUP(D2117,PROVEEDORES!$A:$C,3,0),""),"")</f>
        <v/>
      </c>
      <c r="G2117" s="87"/>
      <c r="H2117" s="46" t="str">
        <f aca="false">IF(G2117&lt;&gt;"",IFERROR(VLOOKUP(G2117,PRODUCTOS!$A:$B,2,0),"!COD NO ENCONTRADO"),"")</f>
        <v/>
      </c>
      <c r="I2117" s="89"/>
      <c r="J2117" s="90"/>
      <c r="K2117" s="91"/>
      <c r="L2117" s="80" t="str">
        <f aca="false">IF(AND(J2117&lt;&gt;"",K2117&lt;&gt;""),J2117*K2117,"")</f>
        <v/>
      </c>
      <c r="M2117" s="81" t="str">
        <f aca="false">IF(L2117&lt;&gt;"",L2117*1.1,"")</f>
        <v/>
      </c>
      <c r="N2117" s="47" t="n">
        <f aca="false">IF(F2117="S",L2117*0.02,0)</f>
        <v>0</v>
      </c>
      <c r="O2117" s="82" t="str">
        <f aca="false">IF(L2117&lt;&gt;"",L2117+N2117,"")</f>
        <v/>
      </c>
      <c r="P2117" s="47" t="str">
        <f aca="false">IF(O2117&lt;&gt;"",O2117*0.1,"")</f>
        <v/>
      </c>
      <c r="Q2117" s="83" t="str">
        <f aca="false">IF(O2117&lt;&gt;"",O2117+P2117,"")</f>
        <v/>
      </c>
      <c r="R2117" s="84"/>
    </row>
    <row r="2118" customFormat="false" ht="15" hidden="false" customHeight="true" outlineLevel="0" collapsed="false">
      <c r="A2118" s="103"/>
      <c r="B2118" s="73"/>
      <c r="C2118" s="74"/>
      <c r="D2118" s="75"/>
      <c r="E2118" s="52" t="str">
        <f aca="false">IF(D2118&lt;&gt;"",IFERROR(VLOOKUP(D2118,PROVEEDORES!$A:$B,2,0),"!COD NO ENCONTRADO"),"")</f>
        <v/>
      </c>
      <c r="F2118" s="76" t="str">
        <f aca="false">IF(D2118&lt;&gt;"",IFERROR(VLOOKUP(D2118,PROVEEDORES!$A:$C,3,0),""),"")</f>
        <v/>
      </c>
      <c r="G2118" s="75"/>
      <c r="H2118" s="52" t="str">
        <f aca="false">IF(G2118&lt;&gt;"",IFERROR(VLOOKUP(G2118,PRODUCTOS!$A:$B,2,0),"!COD NO ENCONTRADO"),"")</f>
        <v/>
      </c>
      <c r="I2118" s="77"/>
      <c r="J2118" s="78"/>
      <c r="K2118" s="79"/>
      <c r="L2118" s="80" t="str">
        <f aca="false">IF(AND(J2118&lt;&gt;"",K2118&lt;&gt;""),J2118*K2118,"")</f>
        <v/>
      </c>
      <c r="M2118" s="81" t="str">
        <f aca="false">IF(L2118&lt;&gt;"",L2118*1.1,"")</f>
        <v/>
      </c>
      <c r="N2118" s="53" t="n">
        <f aca="false">IF(F2118="S",L2118*0.02,0)</f>
        <v>0</v>
      </c>
      <c r="O2118" s="82" t="str">
        <f aca="false">IF(L2118&lt;&gt;"",L2118+N2118,"")</f>
        <v/>
      </c>
      <c r="P2118" s="53" t="str">
        <f aca="false">IF(O2118&lt;&gt;"",O2118*0.1,"")</f>
        <v/>
      </c>
      <c r="Q2118" s="83" t="str">
        <f aca="false">IF(O2118&lt;&gt;"",O2118+P2118,"")</f>
        <v/>
      </c>
      <c r="R2118" s="84"/>
    </row>
    <row r="2119" customFormat="false" ht="15" hidden="false" customHeight="true" outlineLevel="0" collapsed="false">
      <c r="A2119" s="103"/>
      <c r="B2119" s="85"/>
      <c r="C2119" s="86"/>
      <c r="D2119" s="87"/>
      <c r="E2119" s="46" t="str">
        <f aca="false">IF(D2119&lt;&gt;"",IFERROR(VLOOKUP(D2119,PROVEEDORES!$A:$B,2,0),"!COD NO ENCONTRADO"),"")</f>
        <v/>
      </c>
      <c r="F2119" s="88" t="str">
        <f aca="false">IF(D2119&lt;&gt;"",IFERROR(VLOOKUP(D2119,PROVEEDORES!$A:$C,3,0),""),"")</f>
        <v/>
      </c>
      <c r="G2119" s="87"/>
      <c r="H2119" s="46" t="str">
        <f aca="false">IF(G2119&lt;&gt;"",IFERROR(VLOOKUP(G2119,PRODUCTOS!$A:$B,2,0),"!COD NO ENCONTRADO"),"")</f>
        <v/>
      </c>
      <c r="I2119" s="89"/>
      <c r="J2119" s="90"/>
      <c r="K2119" s="91"/>
      <c r="L2119" s="80" t="str">
        <f aca="false">IF(AND(J2119&lt;&gt;"",K2119&lt;&gt;""),J2119*K2119,"")</f>
        <v/>
      </c>
      <c r="M2119" s="81" t="str">
        <f aca="false">IF(L2119&lt;&gt;"",L2119*1.1,"")</f>
        <v/>
      </c>
      <c r="N2119" s="47" t="n">
        <f aca="false">IF(F2119="S",L2119*0.02,0)</f>
        <v>0</v>
      </c>
      <c r="O2119" s="82" t="str">
        <f aca="false">IF(L2119&lt;&gt;"",L2119+N2119,"")</f>
        <v/>
      </c>
      <c r="P2119" s="47" t="str">
        <f aca="false">IF(O2119&lt;&gt;"",O2119*0.1,"")</f>
        <v/>
      </c>
      <c r="Q2119" s="83" t="str">
        <f aca="false">IF(O2119&lt;&gt;"",O2119+P2119,"")</f>
        <v/>
      </c>
      <c r="R2119" s="84"/>
    </row>
    <row r="2120" customFormat="false" ht="15" hidden="false" customHeight="true" outlineLevel="0" collapsed="false">
      <c r="A2120" s="103"/>
      <c r="B2120" s="73"/>
      <c r="C2120" s="74"/>
      <c r="D2120" s="75"/>
      <c r="E2120" s="52" t="str">
        <f aca="false">IF(D2120&lt;&gt;"",IFERROR(VLOOKUP(D2120,PROVEEDORES!$A:$B,2,0),"!COD NO ENCONTRADO"),"")</f>
        <v/>
      </c>
      <c r="F2120" s="76" t="str">
        <f aca="false">IF(D2120&lt;&gt;"",IFERROR(VLOOKUP(D2120,PROVEEDORES!$A:$C,3,0),""),"")</f>
        <v/>
      </c>
      <c r="G2120" s="75"/>
      <c r="H2120" s="52" t="str">
        <f aca="false">IF(G2120&lt;&gt;"",IFERROR(VLOOKUP(G2120,PRODUCTOS!$A:$B,2,0),"!COD NO ENCONTRADO"),"")</f>
        <v/>
      </c>
      <c r="I2120" s="77"/>
      <c r="J2120" s="78"/>
      <c r="K2120" s="79"/>
      <c r="L2120" s="80" t="str">
        <f aca="false">IF(AND(J2120&lt;&gt;"",K2120&lt;&gt;""),J2120*K2120,"")</f>
        <v/>
      </c>
      <c r="M2120" s="81" t="str">
        <f aca="false">IF(L2120&lt;&gt;"",L2120*1.1,"")</f>
        <v/>
      </c>
      <c r="N2120" s="53" t="n">
        <f aca="false">IF(F2120="S",L2120*0.02,0)</f>
        <v>0</v>
      </c>
      <c r="O2120" s="82" t="str">
        <f aca="false">IF(L2120&lt;&gt;"",L2120+N2120,"")</f>
        <v/>
      </c>
      <c r="P2120" s="53" t="str">
        <f aca="false">IF(O2120&lt;&gt;"",O2120*0.1,"")</f>
        <v/>
      </c>
      <c r="Q2120" s="83" t="str">
        <f aca="false">IF(O2120&lt;&gt;"",O2120+P2120,"")</f>
        <v/>
      </c>
      <c r="R2120" s="84"/>
    </row>
    <row r="2121" customFormat="false" ht="15" hidden="false" customHeight="true" outlineLevel="0" collapsed="false">
      <c r="A2121" s="103"/>
      <c r="B2121" s="85"/>
      <c r="C2121" s="86"/>
      <c r="D2121" s="87"/>
      <c r="E2121" s="46" t="str">
        <f aca="false">IF(D2121&lt;&gt;"",IFERROR(VLOOKUP(D2121,PROVEEDORES!$A:$B,2,0),"!COD NO ENCONTRADO"),"")</f>
        <v/>
      </c>
      <c r="F2121" s="88" t="str">
        <f aca="false">IF(D2121&lt;&gt;"",IFERROR(VLOOKUP(D2121,PROVEEDORES!$A:$C,3,0),""),"")</f>
        <v/>
      </c>
      <c r="G2121" s="87"/>
      <c r="H2121" s="46" t="str">
        <f aca="false">IF(G2121&lt;&gt;"",IFERROR(VLOOKUP(G2121,PRODUCTOS!$A:$B,2,0),"!COD NO ENCONTRADO"),"")</f>
        <v/>
      </c>
      <c r="I2121" s="89"/>
      <c r="J2121" s="90"/>
      <c r="K2121" s="91"/>
      <c r="L2121" s="80" t="str">
        <f aca="false">IF(AND(J2121&lt;&gt;"",K2121&lt;&gt;""),J2121*K2121,"")</f>
        <v/>
      </c>
      <c r="M2121" s="81" t="str">
        <f aca="false">IF(L2121&lt;&gt;"",L2121*1.1,"")</f>
        <v/>
      </c>
      <c r="N2121" s="47" t="n">
        <f aca="false">IF(F2121="S",L2121*0.02,0)</f>
        <v>0</v>
      </c>
      <c r="O2121" s="82" t="str">
        <f aca="false">IF(L2121&lt;&gt;"",L2121+N2121,"")</f>
        <v/>
      </c>
      <c r="P2121" s="47" t="str">
        <f aca="false">IF(O2121&lt;&gt;"",O2121*0.1,"")</f>
        <v/>
      </c>
      <c r="Q2121" s="83" t="str">
        <f aca="false">IF(O2121&lt;&gt;"",O2121+P2121,"")</f>
        <v/>
      </c>
      <c r="R2121" s="84"/>
    </row>
    <row r="2122" customFormat="false" ht="15" hidden="false" customHeight="true" outlineLevel="0" collapsed="false">
      <c r="A2122" s="103"/>
      <c r="B2122" s="73"/>
      <c r="C2122" s="74"/>
      <c r="D2122" s="75"/>
      <c r="E2122" s="52" t="str">
        <f aca="false">IF(D2122&lt;&gt;"",IFERROR(VLOOKUP(D2122,PROVEEDORES!$A:$B,2,0),"!COD NO ENCONTRADO"),"")</f>
        <v/>
      </c>
      <c r="F2122" s="76" t="str">
        <f aca="false">IF(D2122&lt;&gt;"",IFERROR(VLOOKUP(D2122,PROVEEDORES!$A:$C,3,0),""),"")</f>
        <v/>
      </c>
      <c r="G2122" s="75"/>
      <c r="H2122" s="52" t="str">
        <f aca="false">IF(G2122&lt;&gt;"",IFERROR(VLOOKUP(G2122,PRODUCTOS!$A:$B,2,0),"!COD NO ENCONTRADO"),"")</f>
        <v/>
      </c>
      <c r="I2122" s="77"/>
      <c r="J2122" s="78"/>
      <c r="K2122" s="79"/>
      <c r="L2122" s="80" t="str">
        <f aca="false">IF(AND(J2122&lt;&gt;"",K2122&lt;&gt;""),J2122*K2122,"")</f>
        <v/>
      </c>
      <c r="M2122" s="81" t="str">
        <f aca="false">IF(L2122&lt;&gt;"",L2122*1.1,"")</f>
        <v/>
      </c>
      <c r="N2122" s="53" t="n">
        <f aca="false">IF(F2122="S",L2122*0.02,0)</f>
        <v>0</v>
      </c>
      <c r="O2122" s="82" t="str">
        <f aca="false">IF(L2122&lt;&gt;"",L2122+N2122,"")</f>
        <v/>
      </c>
      <c r="P2122" s="53" t="str">
        <f aca="false">IF(O2122&lt;&gt;"",O2122*0.1,"")</f>
        <v/>
      </c>
      <c r="Q2122" s="83" t="str">
        <f aca="false">IF(O2122&lt;&gt;"",O2122+P2122,"")</f>
        <v/>
      </c>
      <c r="R2122" s="84"/>
    </row>
    <row r="2123" customFormat="false" ht="15" hidden="false" customHeight="true" outlineLevel="0" collapsed="false">
      <c r="A2123" s="103"/>
      <c r="B2123" s="85"/>
      <c r="C2123" s="86"/>
      <c r="D2123" s="87"/>
      <c r="E2123" s="46" t="str">
        <f aca="false">IF(D2123&lt;&gt;"",IFERROR(VLOOKUP(D2123,PROVEEDORES!$A:$B,2,0),"!COD NO ENCONTRADO"),"")</f>
        <v/>
      </c>
      <c r="F2123" s="88" t="str">
        <f aca="false">IF(D2123&lt;&gt;"",IFERROR(VLOOKUP(D2123,PROVEEDORES!$A:$C,3,0),""),"")</f>
        <v/>
      </c>
      <c r="G2123" s="87"/>
      <c r="H2123" s="46" t="str">
        <f aca="false">IF(G2123&lt;&gt;"",IFERROR(VLOOKUP(G2123,PRODUCTOS!$A:$B,2,0),"!COD NO ENCONTRADO"),"")</f>
        <v/>
      </c>
      <c r="I2123" s="89"/>
      <c r="J2123" s="90"/>
      <c r="K2123" s="91"/>
      <c r="L2123" s="80" t="str">
        <f aca="false">IF(AND(J2123&lt;&gt;"",K2123&lt;&gt;""),J2123*K2123,"")</f>
        <v/>
      </c>
      <c r="M2123" s="81" t="str">
        <f aca="false">IF(L2123&lt;&gt;"",L2123*1.1,"")</f>
        <v/>
      </c>
      <c r="N2123" s="47" t="n">
        <f aca="false">IF(F2123="S",L2123*0.02,0)</f>
        <v>0</v>
      </c>
      <c r="O2123" s="82" t="str">
        <f aca="false">IF(L2123&lt;&gt;"",L2123+N2123,"")</f>
        <v/>
      </c>
      <c r="P2123" s="47" t="str">
        <f aca="false">IF(O2123&lt;&gt;"",O2123*0.1,"")</f>
        <v/>
      </c>
      <c r="Q2123" s="83" t="str">
        <f aca="false">IF(O2123&lt;&gt;"",O2123+P2123,"")</f>
        <v/>
      </c>
      <c r="R2123" s="84"/>
    </row>
    <row r="2124" customFormat="false" ht="15" hidden="false" customHeight="true" outlineLevel="0" collapsed="false">
      <c r="A2124" s="103"/>
      <c r="B2124" s="73"/>
      <c r="C2124" s="74"/>
      <c r="D2124" s="75"/>
      <c r="E2124" s="52" t="str">
        <f aca="false">IF(D2124&lt;&gt;"",IFERROR(VLOOKUP(D2124,PROVEEDORES!$A:$B,2,0),"!COD NO ENCONTRADO"),"")</f>
        <v/>
      </c>
      <c r="F2124" s="76" t="str">
        <f aca="false">IF(D2124&lt;&gt;"",IFERROR(VLOOKUP(D2124,PROVEEDORES!$A:$C,3,0),""),"")</f>
        <v/>
      </c>
      <c r="G2124" s="75"/>
      <c r="H2124" s="52" t="str">
        <f aca="false">IF(G2124&lt;&gt;"",IFERROR(VLOOKUP(G2124,PRODUCTOS!$A:$B,2,0),"!COD NO ENCONTRADO"),"")</f>
        <v/>
      </c>
      <c r="I2124" s="77"/>
      <c r="J2124" s="78"/>
      <c r="K2124" s="79"/>
      <c r="L2124" s="80" t="str">
        <f aca="false">IF(AND(J2124&lt;&gt;"",K2124&lt;&gt;""),J2124*K2124,"")</f>
        <v/>
      </c>
      <c r="M2124" s="81" t="str">
        <f aca="false">IF(L2124&lt;&gt;"",L2124*1.1,"")</f>
        <v/>
      </c>
      <c r="N2124" s="53" t="n">
        <f aca="false">IF(F2124="S",L2124*0.02,0)</f>
        <v>0</v>
      </c>
      <c r="O2124" s="82" t="str">
        <f aca="false">IF(L2124&lt;&gt;"",L2124+N2124,"")</f>
        <v/>
      </c>
      <c r="P2124" s="53" t="str">
        <f aca="false">IF(O2124&lt;&gt;"",O2124*0.1,"")</f>
        <v/>
      </c>
      <c r="Q2124" s="83" t="str">
        <f aca="false">IF(O2124&lt;&gt;"",O2124+P2124,"")</f>
        <v/>
      </c>
      <c r="R2124" s="84"/>
    </row>
    <row r="2125" customFormat="false" ht="15" hidden="false" customHeight="true" outlineLevel="0" collapsed="false">
      <c r="A2125" s="103"/>
      <c r="B2125" s="85"/>
      <c r="C2125" s="86"/>
      <c r="D2125" s="87"/>
      <c r="E2125" s="46" t="str">
        <f aca="false">IF(D2125&lt;&gt;"",IFERROR(VLOOKUP(D2125,PROVEEDORES!$A:$B,2,0),"!COD NO ENCONTRADO"),"")</f>
        <v/>
      </c>
      <c r="F2125" s="88" t="str">
        <f aca="false">IF(D2125&lt;&gt;"",IFERROR(VLOOKUP(D2125,PROVEEDORES!$A:$C,3,0),""),"")</f>
        <v/>
      </c>
      <c r="G2125" s="87"/>
      <c r="H2125" s="46" t="str">
        <f aca="false">IF(G2125&lt;&gt;"",IFERROR(VLOOKUP(G2125,PRODUCTOS!$A:$B,2,0),"!COD NO ENCONTRADO"),"")</f>
        <v/>
      </c>
      <c r="I2125" s="89"/>
      <c r="J2125" s="90"/>
      <c r="K2125" s="91"/>
      <c r="L2125" s="80" t="str">
        <f aca="false">IF(AND(J2125&lt;&gt;"",K2125&lt;&gt;""),J2125*K2125,"")</f>
        <v/>
      </c>
      <c r="M2125" s="81" t="str">
        <f aca="false">IF(L2125&lt;&gt;"",L2125*1.1,"")</f>
        <v/>
      </c>
      <c r="N2125" s="47" t="n">
        <f aca="false">IF(F2125="S",L2125*0.02,0)</f>
        <v>0</v>
      </c>
      <c r="O2125" s="82" t="str">
        <f aca="false">IF(L2125&lt;&gt;"",L2125+N2125,"")</f>
        <v/>
      </c>
      <c r="P2125" s="47" t="str">
        <f aca="false">IF(O2125&lt;&gt;"",O2125*0.1,"")</f>
        <v/>
      </c>
      <c r="Q2125" s="83" t="str">
        <f aca="false">IF(O2125&lt;&gt;"",O2125+P2125,"")</f>
        <v/>
      </c>
      <c r="R2125" s="84"/>
    </row>
    <row r="2126" customFormat="false" ht="15" hidden="false" customHeight="true" outlineLevel="0" collapsed="false">
      <c r="A2126" s="103"/>
      <c r="B2126" s="73"/>
      <c r="C2126" s="74"/>
      <c r="D2126" s="75"/>
      <c r="E2126" s="52" t="str">
        <f aca="false">IF(D2126&lt;&gt;"",IFERROR(VLOOKUP(D2126,PROVEEDORES!$A:$B,2,0),"!COD NO ENCONTRADO"),"")</f>
        <v/>
      </c>
      <c r="F2126" s="76" t="str">
        <f aca="false">IF(D2126&lt;&gt;"",IFERROR(VLOOKUP(D2126,PROVEEDORES!$A:$C,3,0),""),"")</f>
        <v/>
      </c>
      <c r="G2126" s="75"/>
      <c r="H2126" s="52" t="str">
        <f aca="false">IF(G2126&lt;&gt;"",IFERROR(VLOOKUP(G2126,PRODUCTOS!$A:$B,2,0),"!COD NO ENCONTRADO"),"")</f>
        <v/>
      </c>
      <c r="I2126" s="77"/>
      <c r="J2126" s="78"/>
      <c r="K2126" s="79"/>
      <c r="L2126" s="80" t="str">
        <f aca="false">IF(AND(J2126&lt;&gt;"",K2126&lt;&gt;""),J2126*K2126,"")</f>
        <v/>
      </c>
      <c r="M2126" s="81" t="str">
        <f aca="false">IF(L2126&lt;&gt;"",L2126*1.1,"")</f>
        <v/>
      </c>
      <c r="N2126" s="53" t="n">
        <f aca="false">IF(F2126="S",L2126*0.02,0)</f>
        <v>0</v>
      </c>
      <c r="O2126" s="82" t="str">
        <f aca="false">IF(L2126&lt;&gt;"",L2126+N2126,"")</f>
        <v/>
      </c>
      <c r="P2126" s="53" t="str">
        <f aca="false">IF(O2126&lt;&gt;"",O2126*0.1,"")</f>
        <v/>
      </c>
      <c r="Q2126" s="83" t="str">
        <f aca="false">IF(O2126&lt;&gt;"",O2126+P2126,"")</f>
        <v/>
      </c>
      <c r="R2126" s="84"/>
    </row>
    <row r="2127" customFormat="false" ht="15" hidden="false" customHeight="true" outlineLevel="0" collapsed="false">
      <c r="A2127" s="103"/>
      <c r="B2127" s="85"/>
      <c r="C2127" s="86"/>
      <c r="D2127" s="87"/>
      <c r="E2127" s="46" t="str">
        <f aca="false">IF(D2127&lt;&gt;"",IFERROR(VLOOKUP(D2127,PROVEEDORES!$A:$B,2,0),"!COD NO ENCONTRADO"),"")</f>
        <v/>
      </c>
      <c r="F2127" s="88" t="str">
        <f aca="false">IF(D2127&lt;&gt;"",IFERROR(VLOOKUP(D2127,PROVEEDORES!$A:$C,3,0),""),"")</f>
        <v/>
      </c>
      <c r="G2127" s="87"/>
      <c r="H2127" s="46" t="str">
        <f aca="false">IF(G2127&lt;&gt;"",IFERROR(VLOOKUP(G2127,PRODUCTOS!$A:$B,2,0),"!COD NO ENCONTRADO"),"")</f>
        <v/>
      </c>
      <c r="I2127" s="89"/>
      <c r="J2127" s="90"/>
      <c r="K2127" s="91"/>
      <c r="L2127" s="80" t="str">
        <f aca="false">IF(AND(J2127&lt;&gt;"",K2127&lt;&gt;""),J2127*K2127,"")</f>
        <v/>
      </c>
      <c r="M2127" s="81" t="str">
        <f aca="false">IF(L2127&lt;&gt;"",L2127*1.1,"")</f>
        <v/>
      </c>
      <c r="N2127" s="47" t="n">
        <f aca="false">IF(F2127="S",L2127*0.02,0)</f>
        <v>0</v>
      </c>
      <c r="O2127" s="82" t="str">
        <f aca="false">IF(L2127&lt;&gt;"",L2127+N2127,"")</f>
        <v/>
      </c>
      <c r="P2127" s="47" t="str">
        <f aca="false">IF(O2127&lt;&gt;"",O2127*0.1,"")</f>
        <v/>
      </c>
      <c r="Q2127" s="83" t="str">
        <f aca="false">IF(O2127&lt;&gt;"",O2127+P2127,"")</f>
        <v/>
      </c>
      <c r="R2127" s="84"/>
    </row>
    <row r="2128" customFormat="false" ht="15" hidden="false" customHeight="true" outlineLevel="0" collapsed="false">
      <c r="A2128" s="103"/>
      <c r="B2128" s="73"/>
      <c r="C2128" s="74"/>
      <c r="D2128" s="75"/>
      <c r="E2128" s="52" t="str">
        <f aca="false">IF(D2128&lt;&gt;"",IFERROR(VLOOKUP(D2128,PROVEEDORES!$A:$B,2,0),"!COD NO ENCONTRADO"),"")</f>
        <v/>
      </c>
      <c r="F2128" s="76" t="str">
        <f aca="false">IF(D2128&lt;&gt;"",IFERROR(VLOOKUP(D2128,PROVEEDORES!$A:$C,3,0),""),"")</f>
        <v/>
      </c>
      <c r="G2128" s="75"/>
      <c r="H2128" s="52" t="str">
        <f aca="false">IF(G2128&lt;&gt;"",IFERROR(VLOOKUP(G2128,PRODUCTOS!$A:$B,2,0),"!COD NO ENCONTRADO"),"")</f>
        <v/>
      </c>
      <c r="I2128" s="77"/>
      <c r="J2128" s="78"/>
      <c r="K2128" s="79"/>
      <c r="L2128" s="80" t="str">
        <f aca="false">IF(AND(J2128&lt;&gt;"",K2128&lt;&gt;""),J2128*K2128,"")</f>
        <v/>
      </c>
      <c r="M2128" s="81" t="str">
        <f aca="false">IF(L2128&lt;&gt;"",L2128*1.1,"")</f>
        <v/>
      </c>
      <c r="N2128" s="53" t="n">
        <f aca="false">IF(F2128="S",L2128*0.02,0)</f>
        <v>0</v>
      </c>
      <c r="O2128" s="82" t="str">
        <f aca="false">IF(L2128&lt;&gt;"",L2128+N2128,"")</f>
        <v/>
      </c>
      <c r="P2128" s="53" t="str">
        <f aca="false">IF(O2128&lt;&gt;"",O2128*0.1,"")</f>
        <v/>
      </c>
      <c r="Q2128" s="83" t="str">
        <f aca="false">IF(O2128&lt;&gt;"",O2128+P2128,"")</f>
        <v/>
      </c>
      <c r="R2128" s="84"/>
    </row>
    <row r="2129" customFormat="false" ht="15" hidden="false" customHeight="true" outlineLevel="0" collapsed="false">
      <c r="A2129" s="103"/>
      <c r="B2129" s="85"/>
      <c r="C2129" s="86"/>
      <c r="D2129" s="87"/>
      <c r="E2129" s="46" t="str">
        <f aca="false">IF(D2129&lt;&gt;"",IFERROR(VLOOKUP(D2129,PROVEEDORES!$A:$B,2,0),"!COD NO ENCONTRADO"),"")</f>
        <v/>
      </c>
      <c r="F2129" s="88" t="str">
        <f aca="false">IF(D2129&lt;&gt;"",IFERROR(VLOOKUP(D2129,PROVEEDORES!$A:$C,3,0),""),"")</f>
        <v/>
      </c>
      <c r="G2129" s="87"/>
      <c r="H2129" s="46" t="str">
        <f aca="false">IF(G2129&lt;&gt;"",IFERROR(VLOOKUP(G2129,PRODUCTOS!$A:$B,2,0),"!COD NO ENCONTRADO"),"")</f>
        <v/>
      </c>
      <c r="I2129" s="89"/>
      <c r="J2129" s="90"/>
      <c r="K2129" s="91"/>
      <c r="L2129" s="80" t="str">
        <f aca="false">IF(AND(J2129&lt;&gt;"",K2129&lt;&gt;""),J2129*K2129,"")</f>
        <v/>
      </c>
      <c r="M2129" s="81" t="str">
        <f aca="false">IF(L2129&lt;&gt;"",L2129*1.1,"")</f>
        <v/>
      </c>
      <c r="N2129" s="47" t="n">
        <f aca="false">IF(F2129="S",L2129*0.02,0)</f>
        <v>0</v>
      </c>
      <c r="O2129" s="82" t="str">
        <f aca="false">IF(L2129&lt;&gt;"",L2129+N2129,"")</f>
        <v/>
      </c>
      <c r="P2129" s="47" t="str">
        <f aca="false">IF(O2129&lt;&gt;"",O2129*0.1,"")</f>
        <v/>
      </c>
      <c r="Q2129" s="83" t="str">
        <f aca="false">IF(O2129&lt;&gt;"",O2129+P2129,"")</f>
        <v/>
      </c>
      <c r="R2129" s="84"/>
    </row>
    <row r="2130" customFormat="false" ht="15" hidden="false" customHeight="true" outlineLevel="0" collapsed="false">
      <c r="A2130" s="103"/>
      <c r="B2130" s="73"/>
      <c r="C2130" s="74"/>
      <c r="D2130" s="75"/>
      <c r="E2130" s="52" t="str">
        <f aca="false">IF(D2130&lt;&gt;"",IFERROR(VLOOKUP(D2130,PROVEEDORES!$A:$B,2,0),"!COD NO ENCONTRADO"),"")</f>
        <v/>
      </c>
      <c r="F2130" s="76" t="str">
        <f aca="false">IF(D2130&lt;&gt;"",IFERROR(VLOOKUP(D2130,PROVEEDORES!$A:$C,3,0),""),"")</f>
        <v/>
      </c>
      <c r="G2130" s="75"/>
      <c r="H2130" s="52" t="str">
        <f aca="false">IF(G2130&lt;&gt;"",IFERROR(VLOOKUP(G2130,PRODUCTOS!$A:$B,2,0),"!COD NO ENCONTRADO"),"")</f>
        <v/>
      </c>
      <c r="I2130" s="77"/>
      <c r="J2130" s="78"/>
      <c r="K2130" s="79"/>
      <c r="L2130" s="80" t="str">
        <f aca="false">IF(AND(J2130&lt;&gt;"",K2130&lt;&gt;""),J2130*K2130,"")</f>
        <v/>
      </c>
      <c r="M2130" s="81" t="str">
        <f aca="false">IF(L2130&lt;&gt;"",L2130*1.1,"")</f>
        <v/>
      </c>
      <c r="N2130" s="53" t="n">
        <f aca="false">IF(F2130="S",L2130*0.02,0)</f>
        <v>0</v>
      </c>
      <c r="O2130" s="82" t="str">
        <f aca="false">IF(L2130&lt;&gt;"",L2130+N2130,"")</f>
        <v/>
      </c>
      <c r="P2130" s="53" t="str">
        <f aca="false">IF(O2130&lt;&gt;"",O2130*0.1,"")</f>
        <v/>
      </c>
      <c r="Q2130" s="83" t="str">
        <f aca="false">IF(O2130&lt;&gt;"",O2130+P2130,"")</f>
        <v/>
      </c>
      <c r="R2130" s="84"/>
    </row>
    <row r="2131" customFormat="false" ht="15" hidden="false" customHeight="true" outlineLevel="0" collapsed="false">
      <c r="A2131" s="103"/>
      <c r="B2131" s="85"/>
      <c r="C2131" s="86"/>
      <c r="D2131" s="87"/>
      <c r="E2131" s="46" t="str">
        <f aca="false">IF(D2131&lt;&gt;"",IFERROR(VLOOKUP(D2131,PROVEEDORES!$A:$B,2,0),"!COD NO ENCONTRADO"),"")</f>
        <v/>
      </c>
      <c r="F2131" s="88" t="str">
        <f aca="false">IF(D2131&lt;&gt;"",IFERROR(VLOOKUP(D2131,PROVEEDORES!$A:$C,3,0),""),"")</f>
        <v/>
      </c>
      <c r="G2131" s="87"/>
      <c r="H2131" s="46" t="str">
        <f aca="false">IF(G2131&lt;&gt;"",IFERROR(VLOOKUP(G2131,PRODUCTOS!$A:$B,2,0),"!COD NO ENCONTRADO"),"")</f>
        <v/>
      </c>
      <c r="I2131" s="89"/>
      <c r="J2131" s="90"/>
      <c r="K2131" s="91"/>
      <c r="L2131" s="80" t="str">
        <f aca="false">IF(AND(J2131&lt;&gt;"",K2131&lt;&gt;""),J2131*K2131,"")</f>
        <v/>
      </c>
      <c r="M2131" s="81" t="str">
        <f aca="false">IF(L2131&lt;&gt;"",L2131*1.1,"")</f>
        <v/>
      </c>
      <c r="N2131" s="47" t="n">
        <f aca="false">IF(F2131="S",L2131*0.02,0)</f>
        <v>0</v>
      </c>
      <c r="O2131" s="82" t="str">
        <f aca="false">IF(L2131&lt;&gt;"",L2131+N2131,"")</f>
        <v/>
      </c>
      <c r="P2131" s="47" t="str">
        <f aca="false">IF(O2131&lt;&gt;"",O2131*0.1,"")</f>
        <v/>
      </c>
      <c r="Q2131" s="83" t="str">
        <f aca="false">IF(O2131&lt;&gt;"",O2131+P2131,"")</f>
        <v/>
      </c>
      <c r="R2131" s="84"/>
    </row>
    <row r="2132" customFormat="false" ht="15" hidden="false" customHeight="true" outlineLevel="0" collapsed="false">
      <c r="A2132" s="103"/>
      <c r="B2132" s="73"/>
      <c r="C2132" s="74"/>
      <c r="D2132" s="75"/>
      <c r="E2132" s="52" t="str">
        <f aca="false">IF(D2132&lt;&gt;"",IFERROR(VLOOKUP(D2132,PROVEEDORES!$A:$B,2,0),"!COD NO ENCONTRADO"),"")</f>
        <v/>
      </c>
      <c r="F2132" s="76" t="str">
        <f aca="false">IF(D2132&lt;&gt;"",IFERROR(VLOOKUP(D2132,PROVEEDORES!$A:$C,3,0),""),"")</f>
        <v/>
      </c>
      <c r="G2132" s="75"/>
      <c r="H2132" s="52" t="str">
        <f aca="false">IF(G2132&lt;&gt;"",IFERROR(VLOOKUP(G2132,PRODUCTOS!$A:$B,2,0),"!COD NO ENCONTRADO"),"")</f>
        <v/>
      </c>
      <c r="I2132" s="77"/>
      <c r="J2132" s="78"/>
      <c r="K2132" s="79"/>
      <c r="L2132" s="80" t="str">
        <f aca="false">IF(AND(J2132&lt;&gt;"",K2132&lt;&gt;""),J2132*K2132,"")</f>
        <v/>
      </c>
      <c r="M2132" s="81" t="str">
        <f aca="false">IF(L2132&lt;&gt;"",L2132*1.1,"")</f>
        <v/>
      </c>
      <c r="N2132" s="53" t="n">
        <f aca="false">IF(F2132="S",L2132*0.02,0)</f>
        <v>0</v>
      </c>
      <c r="O2132" s="82" t="str">
        <f aca="false">IF(L2132&lt;&gt;"",L2132+N2132,"")</f>
        <v/>
      </c>
      <c r="P2132" s="53" t="str">
        <f aca="false">IF(O2132&lt;&gt;"",O2132*0.1,"")</f>
        <v/>
      </c>
      <c r="Q2132" s="83" t="str">
        <f aca="false">IF(O2132&lt;&gt;"",O2132+P2132,"")</f>
        <v/>
      </c>
      <c r="R2132" s="84"/>
    </row>
    <row r="2133" customFormat="false" ht="15" hidden="false" customHeight="true" outlineLevel="0" collapsed="false">
      <c r="A2133" s="103"/>
      <c r="B2133" s="85"/>
      <c r="C2133" s="86"/>
      <c r="D2133" s="87"/>
      <c r="E2133" s="46" t="str">
        <f aca="false">IF(D2133&lt;&gt;"",IFERROR(VLOOKUP(D2133,PROVEEDORES!$A:$B,2,0),"!COD NO ENCONTRADO"),"")</f>
        <v/>
      </c>
      <c r="F2133" s="88" t="str">
        <f aca="false">IF(D2133&lt;&gt;"",IFERROR(VLOOKUP(D2133,PROVEEDORES!$A:$C,3,0),""),"")</f>
        <v/>
      </c>
      <c r="G2133" s="87"/>
      <c r="H2133" s="46" t="str">
        <f aca="false">IF(G2133&lt;&gt;"",IFERROR(VLOOKUP(G2133,PRODUCTOS!$A:$B,2,0),"!COD NO ENCONTRADO"),"")</f>
        <v/>
      </c>
      <c r="I2133" s="89"/>
      <c r="J2133" s="90"/>
      <c r="K2133" s="91"/>
      <c r="L2133" s="80" t="str">
        <f aca="false">IF(AND(J2133&lt;&gt;"",K2133&lt;&gt;""),J2133*K2133,"")</f>
        <v/>
      </c>
      <c r="M2133" s="81" t="str">
        <f aca="false">IF(L2133&lt;&gt;"",L2133*1.1,"")</f>
        <v/>
      </c>
      <c r="N2133" s="47" t="n">
        <f aca="false">IF(F2133="S",L2133*0.02,0)</f>
        <v>0</v>
      </c>
      <c r="O2133" s="82" t="str">
        <f aca="false">IF(L2133&lt;&gt;"",L2133+N2133,"")</f>
        <v/>
      </c>
      <c r="P2133" s="47" t="str">
        <f aca="false">IF(O2133&lt;&gt;"",O2133*0.1,"")</f>
        <v/>
      </c>
      <c r="Q2133" s="83" t="str">
        <f aca="false">IF(O2133&lt;&gt;"",O2133+P2133,"")</f>
        <v/>
      </c>
      <c r="R2133" s="84"/>
    </row>
    <row r="2134" customFormat="false" ht="15" hidden="false" customHeight="true" outlineLevel="0" collapsed="false">
      <c r="A2134" s="103"/>
      <c r="B2134" s="73"/>
      <c r="C2134" s="74"/>
      <c r="D2134" s="75"/>
      <c r="E2134" s="52" t="str">
        <f aca="false">IF(D2134&lt;&gt;"",IFERROR(VLOOKUP(D2134,PROVEEDORES!$A:$B,2,0),"!COD NO ENCONTRADO"),"")</f>
        <v/>
      </c>
      <c r="F2134" s="76" t="str">
        <f aca="false">IF(D2134&lt;&gt;"",IFERROR(VLOOKUP(D2134,PROVEEDORES!$A:$C,3,0),""),"")</f>
        <v/>
      </c>
      <c r="G2134" s="75"/>
      <c r="H2134" s="52" t="str">
        <f aca="false">IF(G2134&lt;&gt;"",IFERROR(VLOOKUP(G2134,PRODUCTOS!$A:$B,2,0),"!COD NO ENCONTRADO"),"")</f>
        <v/>
      </c>
      <c r="I2134" s="77"/>
      <c r="J2134" s="78"/>
      <c r="K2134" s="79"/>
      <c r="L2134" s="80" t="str">
        <f aca="false">IF(AND(J2134&lt;&gt;"",K2134&lt;&gt;""),J2134*K2134,"")</f>
        <v/>
      </c>
      <c r="M2134" s="81" t="str">
        <f aca="false">IF(L2134&lt;&gt;"",L2134*1.1,"")</f>
        <v/>
      </c>
      <c r="N2134" s="53" t="n">
        <f aca="false">IF(F2134="S",L2134*0.02,0)</f>
        <v>0</v>
      </c>
      <c r="O2134" s="82" t="str">
        <f aca="false">IF(L2134&lt;&gt;"",L2134+N2134,"")</f>
        <v/>
      </c>
      <c r="P2134" s="53" t="str">
        <f aca="false">IF(O2134&lt;&gt;"",O2134*0.1,"")</f>
        <v/>
      </c>
      <c r="Q2134" s="83" t="str">
        <f aca="false">IF(O2134&lt;&gt;"",O2134+P2134,"")</f>
        <v/>
      </c>
      <c r="R2134" s="84"/>
    </row>
    <row r="2135" customFormat="false" ht="15" hidden="false" customHeight="true" outlineLevel="0" collapsed="false">
      <c r="A2135" s="103"/>
      <c r="B2135" s="85"/>
      <c r="C2135" s="86"/>
      <c r="D2135" s="87"/>
      <c r="E2135" s="46" t="str">
        <f aca="false">IF(D2135&lt;&gt;"",IFERROR(VLOOKUP(D2135,PROVEEDORES!$A:$B,2,0),"!COD NO ENCONTRADO"),"")</f>
        <v/>
      </c>
      <c r="F2135" s="88" t="str">
        <f aca="false">IF(D2135&lt;&gt;"",IFERROR(VLOOKUP(D2135,PROVEEDORES!$A:$C,3,0),""),"")</f>
        <v/>
      </c>
      <c r="G2135" s="87"/>
      <c r="H2135" s="46" t="str">
        <f aca="false">IF(G2135&lt;&gt;"",IFERROR(VLOOKUP(G2135,PRODUCTOS!$A:$B,2,0),"!COD NO ENCONTRADO"),"")</f>
        <v/>
      </c>
      <c r="I2135" s="89"/>
      <c r="J2135" s="90"/>
      <c r="K2135" s="91"/>
      <c r="L2135" s="80" t="str">
        <f aca="false">IF(AND(J2135&lt;&gt;"",K2135&lt;&gt;""),J2135*K2135,"")</f>
        <v/>
      </c>
      <c r="M2135" s="81" t="str">
        <f aca="false">IF(L2135&lt;&gt;"",L2135*1.1,"")</f>
        <v/>
      </c>
      <c r="N2135" s="47" t="n">
        <f aca="false">IF(F2135="S",L2135*0.02,0)</f>
        <v>0</v>
      </c>
      <c r="O2135" s="82" t="str">
        <f aca="false">IF(L2135&lt;&gt;"",L2135+N2135,"")</f>
        <v/>
      </c>
      <c r="P2135" s="47" t="str">
        <f aca="false">IF(O2135&lt;&gt;"",O2135*0.1,"")</f>
        <v/>
      </c>
      <c r="Q2135" s="83" t="str">
        <f aca="false">IF(O2135&lt;&gt;"",O2135+P2135,"")</f>
        <v/>
      </c>
      <c r="R2135" s="84"/>
    </row>
    <row r="2136" customFormat="false" ht="15" hidden="false" customHeight="true" outlineLevel="0" collapsed="false">
      <c r="A2136" s="103"/>
      <c r="B2136" s="73"/>
      <c r="C2136" s="74"/>
      <c r="D2136" s="75"/>
      <c r="E2136" s="52" t="str">
        <f aca="false">IF(D2136&lt;&gt;"",IFERROR(VLOOKUP(D2136,PROVEEDORES!$A:$B,2,0),"!COD NO ENCONTRADO"),"")</f>
        <v/>
      </c>
      <c r="F2136" s="76" t="str">
        <f aca="false">IF(D2136&lt;&gt;"",IFERROR(VLOOKUP(D2136,PROVEEDORES!$A:$C,3,0),""),"")</f>
        <v/>
      </c>
      <c r="G2136" s="75"/>
      <c r="H2136" s="52" t="str">
        <f aca="false">IF(G2136&lt;&gt;"",IFERROR(VLOOKUP(G2136,PRODUCTOS!$A:$B,2,0),"!COD NO ENCONTRADO"),"")</f>
        <v/>
      </c>
      <c r="I2136" s="77"/>
      <c r="J2136" s="78"/>
      <c r="K2136" s="79"/>
      <c r="L2136" s="80" t="str">
        <f aca="false">IF(AND(J2136&lt;&gt;"",K2136&lt;&gt;""),J2136*K2136,"")</f>
        <v/>
      </c>
      <c r="M2136" s="81" t="str">
        <f aca="false">IF(L2136&lt;&gt;"",L2136*1.1,"")</f>
        <v/>
      </c>
      <c r="N2136" s="53" t="n">
        <f aca="false">IF(F2136="S",L2136*0.02,0)</f>
        <v>0</v>
      </c>
      <c r="O2136" s="82" t="str">
        <f aca="false">IF(L2136&lt;&gt;"",L2136+N2136,"")</f>
        <v/>
      </c>
      <c r="P2136" s="53" t="str">
        <f aca="false">IF(O2136&lt;&gt;"",O2136*0.1,"")</f>
        <v/>
      </c>
      <c r="Q2136" s="83" t="str">
        <f aca="false">IF(O2136&lt;&gt;"",O2136+P2136,"")</f>
        <v/>
      </c>
      <c r="R2136" s="84"/>
    </row>
    <row r="2137" customFormat="false" ht="15" hidden="false" customHeight="true" outlineLevel="0" collapsed="false">
      <c r="A2137" s="103"/>
      <c r="B2137" s="85"/>
      <c r="C2137" s="86"/>
      <c r="D2137" s="87"/>
      <c r="E2137" s="46" t="str">
        <f aca="false">IF(D2137&lt;&gt;"",IFERROR(VLOOKUP(D2137,PROVEEDORES!$A:$B,2,0),"!COD NO ENCONTRADO"),"")</f>
        <v/>
      </c>
      <c r="F2137" s="88" t="str">
        <f aca="false">IF(D2137&lt;&gt;"",IFERROR(VLOOKUP(D2137,PROVEEDORES!$A:$C,3,0),""),"")</f>
        <v/>
      </c>
      <c r="G2137" s="87"/>
      <c r="H2137" s="46" t="str">
        <f aca="false">IF(G2137&lt;&gt;"",IFERROR(VLOOKUP(G2137,PRODUCTOS!$A:$B,2,0),"!COD NO ENCONTRADO"),"")</f>
        <v/>
      </c>
      <c r="I2137" s="89"/>
      <c r="J2137" s="90"/>
      <c r="K2137" s="91"/>
      <c r="L2137" s="80" t="str">
        <f aca="false">IF(AND(J2137&lt;&gt;"",K2137&lt;&gt;""),J2137*K2137,"")</f>
        <v/>
      </c>
      <c r="M2137" s="81" t="str">
        <f aca="false">IF(L2137&lt;&gt;"",L2137*1.1,"")</f>
        <v/>
      </c>
      <c r="N2137" s="47" t="n">
        <f aca="false">IF(F2137="S",L2137*0.02,0)</f>
        <v>0</v>
      </c>
      <c r="O2137" s="82" t="str">
        <f aca="false">IF(L2137&lt;&gt;"",L2137+N2137,"")</f>
        <v/>
      </c>
      <c r="P2137" s="47" t="str">
        <f aca="false">IF(O2137&lt;&gt;"",O2137*0.1,"")</f>
        <v/>
      </c>
      <c r="Q2137" s="83" t="str">
        <f aca="false">IF(O2137&lt;&gt;"",O2137+P2137,"")</f>
        <v/>
      </c>
      <c r="R2137" s="84"/>
    </row>
    <row r="2138" customFormat="false" ht="15" hidden="false" customHeight="true" outlineLevel="0" collapsed="false">
      <c r="A2138" s="103"/>
      <c r="B2138" s="73"/>
      <c r="C2138" s="74"/>
      <c r="D2138" s="75"/>
      <c r="E2138" s="52" t="str">
        <f aca="false">IF(D2138&lt;&gt;"",IFERROR(VLOOKUP(D2138,PROVEEDORES!$A:$B,2,0),"!COD NO ENCONTRADO"),"")</f>
        <v/>
      </c>
      <c r="F2138" s="76" t="str">
        <f aca="false">IF(D2138&lt;&gt;"",IFERROR(VLOOKUP(D2138,PROVEEDORES!$A:$C,3,0),""),"")</f>
        <v/>
      </c>
      <c r="G2138" s="75"/>
      <c r="H2138" s="52" t="str">
        <f aca="false">IF(G2138&lt;&gt;"",IFERROR(VLOOKUP(G2138,PRODUCTOS!$A:$B,2,0),"!COD NO ENCONTRADO"),"")</f>
        <v/>
      </c>
      <c r="I2138" s="77"/>
      <c r="J2138" s="78"/>
      <c r="K2138" s="79"/>
      <c r="L2138" s="80" t="str">
        <f aca="false">IF(AND(J2138&lt;&gt;"",K2138&lt;&gt;""),J2138*K2138,"")</f>
        <v/>
      </c>
      <c r="M2138" s="81" t="str">
        <f aca="false">IF(L2138&lt;&gt;"",L2138*1.1,"")</f>
        <v/>
      </c>
      <c r="N2138" s="53" t="n">
        <f aca="false">IF(F2138="S",L2138*0.02,0)</f>
        <v>0</v>
      </c>
      <c r="O2138" s="82" t="str">
        <f aca="false">IF(L2138&lt;&gt;"",L2138+N2138,"")</f>
        <v/>
      </c>
      <c r="P2138" s="53" t="str">
        <f aca="false">IF(O2138&lt;&gt;"",O2138*0.1,"")</f>
        <v/>
      </c>
      <c r="Q2138" s="83" t="str">
        <f aca="false">IF(O2138&lt;&gt;"",O2138+P2138,"")</f>
        <v/>
      </c>
      <c r="R2138" s="84"/>
    </row>
    <row r="2139" customFormat="false" ht="15" hidden="false" customHeight="true" outlineLevel="0" collapsed="false">
      <c r="A2139" s="103"/>
      <c r="B2139" s="85"/>
      <c r="C2139" s="86"/>
      <c r="D2139" s="87"/>
      <c r="E2139" s="46" t="str">
        <f aca="false">IF(D2139&lt;&gt;"",IFERROR(VLOOKUP(D2139,PROVEEDORES!$A:$B,2,0),"!COD NO ENCONTRADO"),"")</f>
        <v/>
      </c>
      <c r="F2139" s="88" t="str">
        <f aca="false">IF(D2139&lt;&gt;"",IFERROR(VLOOKUP(D2139,PROVEEDORES!$A:$C,3,0),""),"")</f>
        <v/>
      </c>
      <c r="G2139" s="87"/>
      <c r="H2139" s="46" t="str">
        <f aca="false">IF(G2139&lt;&gt;"",IFERROR(VLOOKUP(G2139,PRODUCTOS!$A:$B,2,0),"!COD NO ENCONTRADO"),"")</f>
        <v/>
      </c>
      <c r="I2139" s="89"/>
      <c r="J2139" s="90"/>
      <c r="K2139" s="91"/>
      <c r="L2139" s="80" t="str">
        <f aca="false">IF(AND(J2139&lt;&gt;"",K2139&lt;&gt;""),J2139*K2139,"")</f>
        <v/>
      </c>
      <c r="M2139" s="81" t="str">
        <f aca="false">IF(L2139&lt;&gt;"",L2139*1.1,"")</f>
        <v/>
      </c>
      <c r="N2139" s="47" t="n">
        <f aca="false">IF(F2139="S",L2139*0.02,0)</f>
        <v>0</v>
      </c>
      <c r="O2139" s="82" t="str">
        <f aca="false">IF(L2139&lt;&gt;"",L2139+N2139,"")</f>
        <v/>
      </c>
      <c r="P2139" s="47" t="str">
        <f aca="false">IF(O2139&lt;&gt;"",O2139*0.1,"")</f>
        <v/>
      </c>
      <c r="Q2139" s="83" t="str">
        <f aca="false">IF(O2139&lt;&gt;"",O2139+P2139,"")</f>
        <v/>
      </c>
      <c r="R2139" s="84"/>
    </row>
    <row r="2140" customFormat="false" ht="15" hidden="false" customHeight="true" outlineLevel="0" collapsed="false">
      <c r="A2140" s="103"/>
      <c r="B2140" s="73"/>
      <c r="C2140" s="74"/>
      <c r="D2140" s="75"/>
      <c r="E2140" s="52" t="str">
        <f aca="false">IF(D2140&lt;&gt;"",IFERROR(VLOOKUP(D2140,PROVEEDORES!$A:$B,2,0),"!COD NO ENCONTRADO"),"")</f>
        <v/>
      </c>
      <c r="F2140" s="76" t="str">
        <f aca="false">IF(D2140&lt;&gt;"",IFERROR(VLOOKUP(D2140,PROVEEDORES!$A:$C,3,0),""),"")</f>
        <v/>
      </c>
      <c r="G2140" s="75"/>
      <c r="H2140" s="52" t="str">
        <f aca="false">IF(G2140&lt;&gt;"",IFERROR(VLOOKUP(G2140,PRODUCTOS!$A:$B,2,0),"!COD NO ENCONTRADO"),"")</f>
        <v/>
      </c>
      <c r="I2140" s="77"/>
      <c r="J2140" s="78"/>
      <c r="K2140" s="79"/>
      <c r="L2140" s="80" t="str">
        <f aca="false">IF(AND(J2140&lt;&gt;"",K2140&lt;&gt;""),J2140*K2140,"")</f>
        <v/>
      </c>
      <c r="M2140" s="81" t="str">
        <f aca="false">IF(L2140&lt;&gt;"",L2140*1.1,"")</f>
        <v/>
      </c>
      <c r="N2140" s="53" t="n">
        <f aca="false">IF(F2140="S",L2140*0.02,0)</f>
        <v>0</v>
      </c>
      <c r="O2140" s="82" t="str">
        <f aca="false">IF(L2140&lt;&gt;"",L2140+N2140,"")</f>
        <v/>
      </c>
      <c r="P2140" s="53" t="str">
        <f aca="false">IF(O2140&lt;&gt;"",O2140*0.1,"")</f>
        <v/>
      </c>
      <c r="Q2140" s="83" t="str">
        <f aca="false">IF(O2140&lt;&gt;"",O2140+P2140,"")</f>
        <v/>
      </c>
      <c r="R2140" s="84"/>
    </row>
    <row r="2141" customFormat="false" ht="15" hidden="false" customHeight="true" outlineLevel="0" collapsed="false">
      <c r="A2141" s="103"/>
      <c r="B2141" s="85"/>
      <c r="C2141" s="86"/>
      <c r="D2141" s="87"/>
      <c r="E2141" s="46" t="str">
        <f aca="false">IF(D2141&lt;&gt;"",IFERROR(VLOOKUP(D2141,PROVEEDORES!$A:$B,2,0),"!COD NO ENCONTRADO"),"")</f>
        <v/>
      </c>
      <c r="F2141" s="88" t="str">
        <f aca="false">IF(D2141&lt;&gt;"",IFERROR(VLOOKUP(D2141,PROVEEDORES!$A:$C,3,0),""),"")</f>
        <v/>
      </c>
      <c r="G2141" s="87"/>
      <c r="H2141" s="46" t="str">
        <f aca="false">IF(G2141&lt;&gt;"",IFERROR(VLOOKUP(G2141,PRODUCTOS!$A:$B,2,0),"!COD NO ENCONTRADO"),"")</f>
        <v/>
      </c>
      <c r="I2141" s="89"/>
      <c r="J2141" s="90"/>
      <c r="K2141" s="91"/>
      <c r="L2141" s="80" t="str">
        <f aca="false">IF(AND(J2141&lt;&gt;"",K2141&lt;&gt;""),J2141*K2141,"")</f>
        <v/>
      </c>
      <c r="M2141" s="81" t="str">
        <f aca="false">IF(L2141&lt;&gt;"",L2141*1.1,"")</f>
        <v/>
      </c>
      <c r="N2141" s="47" t="n">
        <f aca="false">IF(F2141="S",L2141*0.02,0)</f>
        <v>0</v>
      </c>
      <c r="O2141" s="82" t="str">
        <f aca="false">IF(L2141&lt;&gt;"",L2141+N2141,"")</f>
        <v/>
      </c>
      <c r="P2141" s="47" t="str">
        <f aca="false">IF(O2141&lt;&gt;"",O2141*0.1,"")</f>
        <v/>
      </c>
      <c r="Q2141" s="83" t="str">
        <f aca="false">IF(O2141&lt;&gt;"",O2141+P2141,"")</f>
        <v/>
      </c>
      <c r="R2141" s="84"/>
    </row>
    <row r="2142" customFormat="false" ht="15" hidden="false" customHeight="true" outlineLevel="0" collapsed="false">
      <c r="A2142" s="103"/>
      <c r="B2142" s="73"/>
      <c r="C2142" s="74"/>
      <c r="D2142" s="75"/>
      <c r="E2142" s="52" t="str">
        <f aca="false">IF(D2142&lt;&gt;"",IFERROR(VLOOKUP(D2142,PROVEEDORES!$A:$B,2,0),"!COD NO ENCONTRADO"),"")</f>
        <v/>
      </c>
      <c r="F2142" s="76" t="str">
        <f aca="false">IF(D2142&lt;&gt;"",IFERROR(VLOOKUP(D2142,PROVEEDORES!$A:$C,3,0),""),"")</f>
        <v/>
      </c>
      <c r="G2142" s="75"/>
      <c r="H2142" s="52" t="str">
        <f aca="false">IF(G2142&lt;&gt;"",IFERROR(VLOOKUP(G2142,PRODUCTOS!$A:$B,2,0),"!COD NO ENCONTRADO"),"")</f>
        <v/>
      </c>
      <c r="I2142" s="77"/>
      <c r="J2142" s="78"/>
      <c r="K2142" s="79"/>
      <c r="L2142" s="80" t="str">
        <f aca="false">IF(AND(J2142&lt;&gt;"",K2142&lt;&gt;""),J2142*K2142,"")</f>
        <v/>
      </c>
      <c r="M2142" s="81" t="str">
        <f aca="false">IF(L2142&lt;&gt;"",L2142*1.1,"")</f>
        <v/>
      </c>
      <c r="N2142" s="53" t="n">
        <f aca="false">IF(F2142="S",L2142*0.02,0)</f>
        <v>0</v>
      </c>
      <c r="O2142" s="82" t="str">
        <f aca="false">IF(L2142&lt;&gt;"",L2142+N2142,"")</f>
        <v/>
      </c>
      <c r="P2142" s="53" t="str">
        <f aca="false">IF(O2142&lt;&gt;"",O2142*0.1,"")</f>
        <v/>
      </c>
      <c r="Q2142" s="83" t="str">
        <f aca="false">IF(O2142&lt;&gt;"",O2142+P2142,"")</f>
        <v/>
      </c>
      <c r="R2142" s="84"/>
    </row>
    <row r="2143" customFormat="false" ht="15" hidden="false" customHeight="true" outlineLevel="0" collapsed="false">
      <c r="A2143" s="103"/>
      <c r="B2143" s="85"/>
      <c r="C2143" s="86"/>
      <c r="D2143" s="87"/>
      <c r="E2143" s="46" t="str">
        <f aca="false">IF(D2143&lt;&gt;"",IFERROR(VLOOKUP(D2143,PROVEEDORES!$A:$B,2,0),"!COD NO ENCONTRADO"),"")</f>
        <v/>
      </c>
      <c r="F2143" s="88" t="str">
        <f aca="false">IF(D2143&lt;&gt;"",IFERROR(VLOOKUP(D2143,PROVEEDORES!$A:$C,3,0),""),"")</f>
        <v/>
      </c>
      <c r="G2143" s="87"/>
      <c r="H2143" s="46" t="str">
        <f aca="false">IF(G2143&lt;&gt;"",IFERROR(VLOOKUP(G2143,PRODUCTOS!$A:$B,2,0),"!COD NO ENCONTRADO"),"")</f>
        <v/>
      </c>
      <c r="I2143" s="89"/>
      <c r="J2143" s="90"/>
      <c r="K2143" s="91"/>
      <c r="L2143" s="80" t="str">
        <f aca="false">IF(AND(J2143&lt;&gt;"",K2143&lt;&gt;""),J2143*K2143,"")</f>
        <v/>
      </c>
      <c r="M2143" s="81" t="str">
        <f aca="false">IF(L2143&lt;&gt;"",L2143*1.1,"")</f>
        <v/>
      </c>
      <c r="N2143" s="47" t="n">
        <f aca="false">IF(F2143="S",L2143*0.02,0)</f>
        <v>0</v>
      </c>
      <c r="O2143" s="82" t="str">
        <f aca="false">IF(L2143&lt;&gt;"",L2143+N2143,"")</f>
        <v/>
      </c>
      <c r="P2143" s="47" t="str">
        <f aca="false">IF(O2143&lt;&gt;"",O2143*0.1,"")</f>
        <v/>
      </c>
      <c r="Q2143" s="83" t="str">
        <f aca="false">IF(O2143&lt;&gt;"",O2143+P2143,"")</f>
        <v/>
      </c>
      <c r="R2143" s="84"/>
    </row>
    <row r="2144" customFormat="false" ht="15" hidden="false" customHeight="true" outlineLevel="0" collapsed="false">
      <c r="A2144" s="103"/>
      <c r="B2144" s="73"/>
      <c r="C2144" s="74"/>
      <c r="D2144" s="75"/>
      <c r="E2144" s="52" t="str">
        <f aca="false">IF(D2144&lt;&gt;"",IFERROR(VLOOKUP(D2144,PROVEEDORES!$A:$B,2,0),"!COD NO ENCONTRADO"),"")</f>
        <v/>
      </c>
      <c r="F2144" s="76" t="str">
        <f aca="false">IF(D2144&lt;&gt;"",IFERROR(VLOOKUP(D2144,PROVEEDORES!$A:$C,3,0),""),"")</f>
        <v/>
      </c>
      <c r="G2144" s="75"/>
      <c r="H2144" s="52" t="str">
        <f aca="false">IF(G2144&lt;&gt;"",IFERROR(VLOOKUP(G2144,PRODUCTOS!$A:$B,2,0),"!COD NO ENCONTRADO"),"")</f>
        <v/>
      </c>
      <c r="I2144" s="77"/>
      <c r="J2144" s="78"/>
      <c r="K2144" s="79"/>
      <c r="L2144" s="80" t="str">
        <f aca="false">IF(AND(J2144&lt;&gt;"",K2144&lt;&gt;""),J2144*K2144,"")</f>
        <v/>
      </c>
      <c r="M2144" s="81" t="str">
        <f aca="false">IF(L2144&lt;&gt;"",L2144*1.1,"")</f>
        <v/>
      </c>
      <c r="N2144" s="53" t="n">
        <f aca="false">IF(F2144="S",L2144*0.02,0)</f>
        <v>0</v>
      </c>
      <c r="O2144" s="82" t="str">
        <f aca="false">IF(L2144&lt;&gt;"",L2144+N2144,"")</f>
        <v/>
      </c>
      <c r="P2144" s="53" t="str">
        <f aca="false">IF(O2144&lt;&gt;"",O2144*0.1,"")</f>
        <v/>
      </c>
      <c r="Q2144" s="83" t="str">
        <f aca="false">IF(O2144&lt;&gt;"",O2144+P2144,"")</f>
        <v/>
      </c>
      <c r="R2144" s="84"/>
    </row>
    <row r="2145" customFormat="false" ht="15" hidden="false" customHeight="true" outlineLevel="0" collapsed="false">
      <c r="A2145" s="103"/>
      <c r="B2145" s="85"/>
      <c r="C2145" s="86"/>
      <c r="D2145" s="87"/>
      <c r="E2145" s="46" t="str">
        <f aca="false">IF(D2145&lt;&gt;"",IFERROR(VLOOKUP(D2145,PROVEEDORES!$A:$B,2,0),"!COD NO ENCONTRADO"),"")</f>
        <v/>
      </c>
      <c r="F2145" s="88" t="str">
        <f aca="false">IF(D2145&lt;&gt;"",IFERROR(VLOOKUP(D2145,PROVEEDORES!$A:$C,3,0),""),"")</f>
        <v/>
      </c>
      <c r="G2145" s="87"/>
      <c r="H2145" s="46" t="str">
        <f aca="false">IF(G2145&lt;&gt;"",IFERROR(VLOOKUP(G2145,PRODUCTOS!$A:$B,2,0),"!COD NO ENCONTRADO"),"")</f>
        <v/>
      </c>
      <c r="I2145" s="89"/>
      <c r="J2145" s="90"/>
      <c r="K2145" s="91"/>
      <c r="L2145" s="80" t="str">
        <f aca="false">IF(AND(J2145&lt;&gt;"",K2145&lt;&gt;""),J2145*K2145,"")</f>
        <v/>
      </c>
      <c r="M2145" s="81" t="str">
        <f aca="false">IF(L2145&lt;&gt;"",L2145*1.1,"")</f>
        <v/>
      </c>
      <c r="N2145" s="47" t="n">
        <f aca="false">IF(F2145="S",L2145*0.02,0)</f>
        <v>0</v>
      </c>
      <c r="O2145" s="82" t="str">
        <f aca="false">IF(L2145&lt;&gt;"",L2145+N2145,"")</f>
        <v/>
      </c>
      <c r="P2145" s="47" t="str">
        <f aca="false">IF(O2145&lt;&gt;"",O2145*0.1,"")</f>
        <v/>
      </c>
      <c r="Q2145" s="83" t="str">
        <f aca="false">IF(O2145&lt;&gt;"",O2145+P2145,"")</f>
        <v/>
      </c>
      <c r="R2145" s="84"/>
    </row>
    <row r="2146" customFormat="false" ht="15" hidden="false" customHeight="true" outlineLevel="0" collapsed="false">
      <c r="A2146" s="103"/>
      <c r="B2146" s="73"/>
      <c r="C2146" s="74"/>
      <c r="D2146" s="75"/>
      <c r="E2146" s="52" t="str">
        <f aca="false">IF(D2146&lt;&gt;"",IFERROR(VLOOKUP(D2146,PROVEEDORES!$A:$B,2,0),"!COD NO ENCONTRADO"),"")</f>
        <v/>
      </c>
      <c r="F2146" s="76" t="str">
        <f aca="false">IF(D2146&lt;&gt;"",IFERROR(VLOOKUP(D2146,PROVEEDORES!$A:$C,3,0),""),"")</f>
        <v/>
      </c>
      <c r="G2146" s="75"/>
      <c r="H2146" s="52" t="str">
        <f aca="false">IF(G2146&lt;&gt;"",IFERROR(VLOOKUP(G2146,PRODUCTOS!$A:$B,2,0),"!COD NO ENCONTRADO"),"")</f>
        <v/>
      </c>
      <c r="I2146" s="77"/>
      <c r="J2146" s="78"/>
      <c r="K2146" s="79"/>
      <c r="L2146" s="80" t="str">
        <f aca="false">IF(AND(J2146&lt;&gt;"",K2146&lt;&gt;""),J2146*K2146,"")</f>
        <v/>
      </c>
      <c r="M2146" s="81" t="str">
        <f aca="false">IF(L2146&lt;&gt;"",L2146*1.1,"")</f>
        <v/>
      </c>
      <c r="N2146" s="53" t="n">
        <f aca="false">IF(F2146="S",L2146*0.02,0)</f>
        <v>0</v>
      </c>
      <c r="O2146" s="82" t="str">
        <f aca="false">IF(L2146&lt;&gt;"",L2146+N2146,"")</f>
        <v/>
      </c>
      <c r="P2146" s="53" t="str">
        <f aca="false">IF(O2146&lt;&gt;"",O2146*0.1,"")</f>
        <v/>
      </c>
      <c r="Q2146" s="83" t="str">
        <f aca="false">IF(O2146&lt;&gt;"",O2146+P2146,"")</f>
        <v/>
      </c>
      <c r="R2146" s="84"/>
    </row>
    <row r="2147" customFormat="false" ht="15" hidden="false" customHeight="true" outlineLevel="0" collapsed="false">
      <c r="A2147" s="103"/>
      <c r="B2147" s="85"/>
      <c r="C2147" s="86"/>
      <c r="D2147" s="87"/>
      <c r="E2147" s="46" t="str">
        <f aca="false">IF(D2147&lt;&gt;"",IFERROR(VLOOKUP(D2147,PROVEEDORES!$A:$B,2,0),"!COD NO ENCONTRADO"),"")</f>
        <v/>
      </c>
      <c r="F2147" s="88" t="str">
        <f aca="false">IF(D2147&lt;&gt;"",IFERROR(VLOOKUP(D2147,PROVEEDORES!$A:$C,3,0),""),"")</f>
        <v/>
      </c>
      <c r="G2147" s="87"/>
      <c r="H2147" s="46" t="str">
        <f aca="false">IF(G2147&lt;&gt;"",IFERROR(VLOOKUP(G2147,PRODUCTOS!$A:$B,2,0),"!COD NO ENCONTRADO"),"")</f>
        <v/>
      </c>
      <c r="I2147" s="89"/>
      <c r="J2147" s="90"/>
      <c r="K2147" s="91"/>
      <c r="L2147" s="80" t="str">
        <f aca="false">IF(AND(J2147&lt;&gt;"",K2147&lt;&gt;""),J2147*K2147,"")</f>
        <v/>
      </c>
      <c r="M2147" s="81" t="str">
        <f aca="false">IF(L2147&lt;&gt;"",L2147*1.1,"")</f>
        <v/>
      </c>
      <c r="N2147" s="47" t="n">
        <f aca="false">IF(F2147="S",L2147*0.02,0)</f>
        <v>0</v>
      </c>
      <c r="O2147" s="82" t="str">
        <f aca="false">IF(L2147&lt;&gt;"",L2147+N2147,"")</f>
        <v/>
      </c>
      <c r="P2147" s="47" t="str">
        <f aca="false">IF(O2147&lt;&gt;"",O2147*0.1,"")</f>
        <v/>
      </c>
      <c r="Q2147" s="83" t="str">
        <f aca="false">IF(O2147&lt;&gt;"",O2147+P2147,"")</f>
        <v/>
      </c>
      <c r="R2147" s="84"/>
    </row>
    <row r="2148" customFormat="false" ht="15" hidden="false" customHeight="true" outlineLevel="0" collapsed="false">
      <c r="A2148" s="103"/>
      <c r="B2148" s="73"/>
      <c r="C2148" s="74"/>
      <c r="D2148" s="75"/>
      <c r="E2148" s="52" t="str">
        <f aca="false">IF(D2148&lt;&gt;"",IFERROR(VLOOKUP(D2148,PROVEEDORES!$A:$B,2,0),"!COD NO ENCONTRADO"),"")</f>
        <v/>
      </c>
      <c r="F2148" s="76" t="str">
        <f aca="false">IF(D2148&lt;&gt;"",IFERROR(VLOOKUP(D2148,PROVEEDORES!$A:$C,3,0),""),"")</f>
        <v/>
      </c>
      <c r="G2148" s="75"/>
      <c r="H2148" s="52" t="str">
        <f aca="false">IF(G2148&lt;&gt;"",IFERROR(VLOOKUP(G2148,PRODUCTOS!$A:$B,2,0),"!COD NO ENCONTRADO"),"")</f>
        <v/>
      </c>
      <c r="I2148" s="77"/>
      <c r="J2148" s="78"/>
      <c r="K2148" s="79"/>
      <c r="L2148" s="80" t="str">
        <f aca="false">IF(AND(J2148&lt;&gt;"",K2148&lt;&gt;""),J2148*K2148,"")</f>
        <v/>
      </c>
      <c r="M2148" s="81" t="str">
        <f aca="false">IF(L2148&lt;&gt;"",L2148*1.1,"")</f>
        <v/>
      </c>
      <c r="N2148" s="53" t="n">
        <f aca="false">IF(F2148="S",L2148*0.02,0)</f>
        <v>0</v>
      </c>
      <c r="O2148" s="82" t="str">
        <f aca="false">IF(L2148&lt;&gt;"",L2148+N2148,"")</f>
        <v/>
      </c>
      <c r="P2148" s="53" t="str">
        <f aca="false">IF(O2148&lt;&gt;"",O2148*0.1,"")</f>
        <v/>
      </c>
      <c r="Q2148" s="83" t="str">
        <f aca="false">IF(O2148&lt;&gt;"",O2148+P2148,"")</f>
        <v/>
      </c>
      <c r="R2148" s="84"/>
    </row>
    <row r="2149" customFormat="false" ht="15" hidden="false" customHeight="true" outlineLevel="0" collapsed="false">
      <c r="A2149" s="103"/>
      <c r="B2149" s="85"/>
      <c r="C2149" s="86"/>
      <c r="D2149" s="87"/>
      <c r="E2149" s="46" t="str">
        <f aca="false">IF(D2149&lt;&gt;"",IFERROR(VLOOKUP(D2149,PROVEEDORES!$A:$B,2,0),"!COD NO ENCONTRADO"),"")</f>
        <v/>
      </c>
      <c r="F2149" s="88" t="str">
        <f aca="false">IF(D2149&lt;&gt;"",IFERROR(VLOOKUP(D2149,PROVEEDORES!$A:$C,3,0),""),"")</f>
        <v/>
      </c>
      <c r="G2149" s="87"/>
      <c r="H2149" s="46" t="str">
        <f aca="false">IF(G2149&lt;&gt;"",IFERROR(VLOOKUP(G2149,PRODUCTOS!$A:$B,2,0),"!COD NO ENCONTRADO"),"")</f>
        <v/>
      </c>
      <c r="I2149" s="89"/>
      <c r="J2149" s="90"/>
      <c r="K2149" s="91"/>
      <c r="L2149" s="80" t="str">
        <f aca="false">IF(AND(J2149&lt;&gt;"",K2149&lt;&gt;""),J2149*K2149,"")</f>
        <v/>
      </c>
      <c r="M2149" s="81" t="str">
        <f aca="false">IF(L2149&lt;&gt;"",L2149*1.1,"")</f>
        <v/>
      </c>
      <c r="N2149" s="47" t="n">
        <f aca="false">IF(F2149="S",L2149*0.02,0)</f>
        <v>0</v>
      </c>
      <c r="O2149" s="82" t="str">
        <f aca="false">IF(L2149&lt;&gt;"",L2149+N2149,"")</f>
        <v/>
      </c>
      <c r="P2149" s="47" t="str">
        <f aca="false">IF(O2149&lt;&gt;"",O2149*0.1,"")</f>
        <v/>
      </c>
      <c r="Q2149" s="83" t="str">
        <f aca="false">IF(O2149&lt;&gt;"",O2149+P2149,"")</f>
        <v/>
      </c>
      <c r="R2149" s="84"/>
    </row>
    <row r="2150" customFormat="false" ht="15" hidden="false" customHeight="true" outlineLevel="0" collapsed="false">
      <c r="A2150" s="103"/>
      <c r="B2150" s="73"/>
      <c r="C2150" s="74"/>
      <c r="D2150" s="75"/>
      <c r="E2150" s="52" t="str">
        <f aca="false">IF(D2150&lt;&gt;"",IFERROR(VLOOKUP(D2150,PROVEEDORES!$A:$B,2,0),"!COD NO ENCONTRADO"),"")</f>
        <v/>
      </c>
      <c r="F2150" s="76" t="str">
        <f aca="false">IF(D2150&lt;&gt;"",IFERROR(VLOOKUP(D2150,PROVEEDORES!$A:$C,3,0),""),"")</f>
        <v/>
      </c>
      <c r="G2150" s="75"/>
      <c r="H2150" s="52" t="str">
        <f aca="false">IF(G2150&lt;&gt;"",IFERROR(VLOOKUP(G2150,PRODUCTOS!$A:$B,2,0),"!COD NO ENCONTRADO"),"")</f>
        <v/>
      </c>
      <c r="I2150" s="77"/>
      <c r="J2150" s="78"/>
      <c r="K2150" s="79"/>
      <c r="L2150" s="80" t="str">
        <f aca="false">IF(AND(J2150&lt;&gt;"",K2150&lt;&gt;""),J2150*K2150,"")</f>
        <v/>
      </c>
      <c r="M2150" s="81" t="str">
        <f aca="false">IF(L2150&lt;&gt;"",L2150*1.1,"")</f>
        <v/>
      </c>
      <c r="N2150" s="53" t="n">
        <f aca="false">IF(F2150="S",L2150*0.02,0)</f>
        <v>0</v>
      </c>
      <c r="O2150" s="82" t="str">
        <f aca="false">IF(L2150&lt;&gt;"",L2150+N2150,"")</f>
        <v/>
      </c>
      <c r="P2150" s="53" t="str">
        <f aca="false">IF(O2150&lt;&gt;"",O2150*0.1,"")</f>
        <v/>
      </c>
      <c r="Q2150" s="83" t="str">
        <f aca="false">IF(O2150&lt;&gt;"",O2150+P2150,"")</f>
        <v/>
      </c>
      <c r="R2150" s="84"/>
    </row>
    <row r="2151" customFormat="false" ht="15" hidden="false" customHeight="true" outlineLevel="0" collapsed="false">
      <c r="A2151" s="103"/>
      <c r="B2151" s="85"/>
      <c r="C2151" s="86"/>
      <c r="D2151" s="87"/>
      <c r="E2151" s="46" t="str">
        <f aca="false">IF(D2151&lt;&gt;"",IFERROR(VLOOKUP(D2151,PROVEEDORES!$A:$B,2,0),"!COD NO ENCONTRADO"),"")</f>
        <v/>
      </c>
      <c r="F2151" s="88" t="str">
        <f aca="false">IF(D2151&lt;&gt;"",IFERROR(VLOOKUP(D2151,PROVEEDORES!$A:$C,3,0),""),"")</f>
        <v/>
      </c>
      <c r="G2151" s="87"/>
      <c r="H2151" s="46" t="str">
        <f aca="false">IF(G2151&lt;&gt;"",IFERROR(VLOOKUP(G2151,PRODUCTOS!$A:$B,2,0),"!COD NO ENCONTRADO"),"")</f>
        <v/>
      </c>
      <c r="I2151" s="89"/>
      <c r="J2151" s="90"/>
      <c r="K2151" s="91"/>
      <c r="L2151" s="80" t="str">
        <f aca="false">IF(AND(J2151&lt;&gt;"",K2151&lt;&gt;""),J2151*K2151,"")</f>
        <v/>
      </c>
      <c r="M2151" s="81" t="str">
        <f aca="false">IF(L2151&lt;&gt;"",L2151*1.1,"")</f>
        <v/>
      </c>
      <c r="N2151" s="47" t="n">
        <f aca="false">IF(F2151="S",L2151*0.02,0)</f>
        <v>0</v>
      </c>
      <c r="O2151" s="82" t="str">
        <f aca="false">IF(L2151&lt;&gt;"",L2151+N2151,"")</f>
        <v/>
      </c>
      <c r="P2151" s="47" t="str">
        <f aca="false">IF(O2151&lt;&gt;"",O2151*0.1,"")</f>
        <v/>
      </c>
      <c r="Q2151" s="83" t="str">
        <f aca="false">IF(O2151&lt;&gt;"",O2151+P2151,"")</f>
        <v/>
      </c>
      <c r="R2151" s="84"/>
    </row>
    <row r="2152" customFormat="false" ht="15" hidden="false" customHeight="true" outlineLevel="0" collapsed="false">
      <c r="A2152" s="103"/>
      <c r="B2152" s="73"/>
      <c r="C2152" s="74"/>
      <c r="D2152" s="75"/>
      <c r="E2152" s="52" t="str">
        <f aca="false">IF(D2152&lt;&gt;"",IFERROR(VLOOKUP(D2152,PROVEEDORES!$A:$B,2,0),"!COD NO ENCONTRADO"),"")</f>
        <v/>
      </c>
      <c r="F2152" s="76" t="str">
        <f aca="false">IF(D2152&lt;&gt;"",IFERROR(VLOOKUP(D2152,PROVEEDORES!$A:$C,3,0),""),"")</f>
        <v/>
      </c>
      <c r="G2152" s="75"/>
      <c r="H2152" s="52" t="str">
        <f aca="false">IF(G2152&lt;&gt;"",IFERROR(VLOOKUP(G2152,PRODUCTOS!$A:$B,2,0),"!COD NO ENCONTRADO"),"")</f>
        <v/>
      </c>
      <c r="I2152" s="77"/>
      <c r="J2152" s="78"/>
      <c r="K2152" s="79"/>
      <c r="L2152" s="80" t="str">
        <f aca="false">IF(AND(J2152&lt;&gt;"",K2152&lt;&gt;""),J2152*K2152,"")</f>
        <v/>
      </c>
      <c r="M2152" s="81" t="str">
        <f aca="false">IF(L2152&lt;&gt;"",L2152*1.1,"")</f>
        <v/>
      </c>
      <c r="N2152" s="53" t="n">
        <f aca="false">IF(F2152="S",L2152*0.02,0)</f>
        <v>0</v>
      </c>
      <c r="O2152" s="82" t="str">
        <f aca="false">IF(L2152&lt;&gt;"",L2152+N2152,"")</f>
        <v/>
      </c>
      <c r="P2152" s="53" t="str">
        <f aca="false">IF(O2152&lt;&gt;"",O2152*0.1,"")</f>
        <v/>
      </c>
      <c r="Q2152" s="83" t="str">
        <f aca="false">IF(O2152&lt;&gt;"",O2152+P2152,"")</f>
        <v/>
      </c>
      <c r="R2152" s="84"/>
    </row>
    <row r="2153" customFormat="false" ht="15" hidden="false" customHeight="true" outlineLevel="0" collapsed="false">
      <c r="A2153" s="103"/>
      <c r="B2153" s="85"/>
      <c r="C2153" s="86"/>
      <c r="D2153" s="87"/>
      <c r="E2153" s="46" t="str">
        <f aca="false">IF(D2153&lt;&gt;"",IFERROR(VLOOKUP(D2153,PROVEEDORES!$A:$B,2,0),"!COD NO ENCONTRADO"),"")</f>
        <v/>
      </c>
      <c r="F2153" s="88" t="str">
        <f aca="false">IF(D2153&lt;&gt;"",IFERROR(VLOOKUP(D2153,PROVEEDORES!$A:$C,3,0),""),"")</f>
        <v/>
      </c>
      <c r="G2153" s="87"/>
      <c r="H2153" s="46" t="str">
        <f aca="false">IF(G2153&lt;&gt;"",IFERROR(VLOOKUP(G2153,PRODUCTOS!$A:$B,2,0),"!COD NO ENCONTRADO"),"")</f>
        <v/>
      </c>
      <c r="I2153" s="89"/>
      <c r="J2153" s="90"/>
      <c r="K2153" s="91"/>
      <c r="L2153" s="80" t="str">
        <f aca="false">IF(AND(J2153&lt;&gt;"",K2153&lt;&gt;""),J2153*K2153,"")</f>
        <v/>
      </c>
      <c r="M2153" s="81" t="str">
        <f aca="false">IF(L2153&lt;&gt;"",L2153*1.1,"")</f>
        <v/>
      </c>
      <c r="N2153" s="47" t="n">
        <f aca="false">IF(F2153="S",L2153*0.02,0)</f>
        <v>0</v>
      </c>
      <c r="O2153" s="82" t="str">
        <f aca="false">IF(L2153&lt;&gt;"",L2153+N2153,"")</f>
        <v/>
      </c>
      <c r="P2153" s="47" t="str">
        <f aca="false">IF(O2153&lt;&gt;"",O2153*0.1,"")</f>
        <v/>
      </c>
      <c r="Q2153" s="83" t="str">
        <f aca="false">IF(O2153&lt;&gt;"",O2153+P2153,"")</f>
        <v/>
      </c>
      <c r="R2153" s="84"/>
    </row>
    <row r="2154" customFormat="false" ht="15" hidden="false" customHeight="true" outlineLevel="0" collapsed="false">
      <c r="A2154" s="103"/>
      <c r="B2154" s="73"/>
      <c r="C2154" s="74"/>
      <c r="D2154" s="75"/>
      <c r="E2154" s="52" t="str">
        <f aca="false">IF(D2154&lt;&gt;"",IFERROR(VLOOKUP(D2154,PROVEEDORES!$A:$B,2,0),"!COD NO ENCONTRADO"),"")</f>
        <v/>
      </c>
      <c r="F2154" s="76" t="str">
        <f aca="false">IF(D2154&lt;&gt;"",IFERROR(VLOOKUP(D2154,PROVEEDORES!$A:$C,3,0),""),"")</f>
        <v/>
      </c>
      <c r="G2154" s="75"/>
      <c r="H2154" s="52" t="str">
        <f aca="false">IF(G2154&lt;&gt;"",IFERROR(VLOOKUP(G2154,PRODUCTOS!$A:$B,2,0),"!COD NO ENCONTRADO"),"")</f>
        <v/>
      </c>
      <c r="I2154" s="77"/>
      <c r="J2154" s="78"/>
      <c r="K2154" s="79"/>
      <c r="L2154" s="80" t="str">
        <f aca="false">IF(AND(J2154&lt;&gt;"",K2154&lt;&gt;""),J2154*K2154,"")</f>
        <v/>
      </c>
      <c r="M2154" s="81" t="str">
        <f aca="false">IF(L2154&lt;&gt;"",L2154*1.1,"")</f>
        <v/>
      </c>
      <c r="N2154" s="53" t="n">
        <f aca="false">IF(F2154="S",L2154*0.02,0)</f>
        <v>0</v>
      </c>
      <c r="O2154" s="82" t="str">
        <f aca="false">IF(L2154&lt;&gt;"",L2154+N2154,"")</f>
        <v/>
      </c>
      <c r="P2154" s="53" t="str">
        <f aca="false">IF(O2154&lt;&gt;"",O2154*0.1,"")</f>
        <v/>
      </c>
      <c r="Q2154" s="83" t="str">
        <f aca="false">IF(O2154&lt;&gt;"",O2154+P2154,"")</f>
        <v/>
      </c>
      <c r="R2154" s="84"/>
    </row>
    <row r="2155" customFormat="false" ht="15" hidden="false" customHeight="true" outlineLevel="0" collapsed="false">
      <c r="A2155" s="103"/>
      <c r="B2155" s="85"/>
      <c r="C2155" s="86"/>
      <c r="D2155" s="87"/>
      <c r="E2155" s="46" t="str">
        <f aca="false">IF(D2155&lt;&gt;"",IFERROR(VLOOKUP(D2155,PROVEEDORES!$A:$B,2,0),"!COD NO ENCONTRADO"),"")</f>
        <v/>
      </c>
      <c r="F2155" s="88" t="str">
        <f aca="false">IF(D2155&lt;&gt;"",IFERROR(VLOOKUP(D2155,PROVEEDORES!$A:$C,3,0),""),"")</f>
        <v/>
      </c>
      <c r="G2155" s="87"/>
      <c r="H2155" s="46" t="str">
        <f aca="false">IF(G2155&lt;&gt;"",IFERROR(VLOOKUP(G2155,PRODUCTOS!$A:$B,2,0),"!COD NO ENCONTRADO"),"")</f>
        <v/>
      </c>
      <c r="I2155" s="89"/>
      <c r="J2155" s="90"/>
      <c r="K2155" s="91"/>
      <c r="L2155" s="80" t="str">
        <f aca="false">IF(AND(J2155&lt;&gt;"",K2155&lt;&gt;""),J2155*K2155,"")</f>
        <v/>
      </c>
      <c r="M2155" s="81" t="str">
        <f aca="false">IF(L2155&lt;&gt;"",L2155*1.1,"")</f>
        <v/>
      </c>
      <c r="N2155" s="47" t="n">
        <f aca="false">IF(F2155="S",L2155*0.02,0)</f>
        <v>0</v>
      </c>
      <c r="O2155" s="82" t="str">
        <f aca="false">IF(L2155&lt;&gt;"",L2155+N2155,"")</f>
        <v/>
      </c>
      <c r="P2155" s="47" t="str">
        <f aca="false">IF(O2155&lt;&gt;"",O2155*0.1,"")</f>
        <v/>
      </c>
      <c r="Q2155" s="83" t="str">
        <f aca="false">IF(O2155&lt;&gt;"",O2155+P2155,"")</f>
        <v/>
      </c>
      <c r="R2155" s="84"/>
    </row>
    <row r="2156" customFormat="false" ht="15" hidden="false" customHeight="true" outlineLevel="0" collapsed="false">
      <c r="A2156" s="103"/>
      <c r="B2156" s="73"/>
      <c r="C2156" s="74"/>
      <c r="D2156" s="75"/>
      <c r="E2156" s="52" t="str">
        <f aca="false">IF(D2156&lt;&gt;"",IFERROR(VLOOKUP(D2156,PROVEEDORES!$A:$B,2,0),"!COD NO ENCONTRADO"),"")</f>
        <v/>
      </c>
      <c r="F2156" s="76" t="str">
        <f aca="false">IF(D2156&lt;&gt;"",IFERROR(VLOOKUP(D2156,PROVEEDORES!$A:$C,3,0),""),"")</f>
        <v/>
      </c>
      <c r="G2156" s="75"/>
      <c r="H2156" s="52" t="str">
        <f aca="false">IF(G2156&lt;&gt;"",IFERROR(VLOOKUP(G2156,PRODUCTOS!$A:$B,2,0),"!COD NO ENCONTRADO"),"")</f>
        <v/>
      </c>
      <c r="I2156" s="77"/>
      <c r="J2156" s="78"/>
      <c r="K2156" s="79"/>
      <c r="L2156" s="80" t="str">
        <f aca="false">IF(AND(J2156&lt;&gt;"",K2156&lt;&gt;""),J2156*K2156,"")</f>
        <v/>
      </c>
      <c r="M2156" s="81" t="str">
        <f aca="false">IF(L2156&lt;&gt;"",L2156*1.1,"")</f>
        <v/>
      </c>
      <c r="N2156" s="53" t="n">
        <f aca="false">IF(F2156="S",L2156*0.02,0)</f>
        <v>0</v>
      </c>
      <c r="O2156" s="82" t="str">
        <f aca="false">IF(L2156&lt;&gt;"",L2156+N2156,"")</f>
        <v/>
      </c>
      <c r="P2156" s="53" t="str">
        <f aca="false">IF(O2156&lt;&gt;"",O2156*0.1,"")</f>
        <v/>
      </c>
      <c r="Q2156" s="83" t="str">
        <f aca="false">IF(O2156&lt;&gt;"",O2156+P2156,"")</f>
        <v/>
      </c>
      <c r="R2156" s="84"/>
    </row>
    <row r="2157" customFormat="false" ht="15" hidden="false" customHeight="true" outlineLevel="0" collapsed="false">
      <c r="A2157" s="103"/>
      <c r="B2157" s="85"/>
      <c r="C2157" s="86"/>
      <c r="D2157" s="87"/>
      <c r="E2157" s="46" t="str">
        <f aca="false">IF(D2157&lt;&gt;"",IFERROR(VLOOKUP(D2157,PROVEEDORES!$A:$B,2,0),"!COD NO ENCONTRADO"),"")</f>
        <v/>
      </c>
      <c r="F2157" s="88" t="str">
        <f aca="false">IF(D2157&lt;&gt;"",IFERROR(VLOOKUP(D2157,PROVEEDORES!$A:$C,3,0),""),"")</f>
        <v/>
      </c>
      <c r="G2157" s="87"/>
      <c r="H2157" s="46" t="str">
        <f aca="false">IF(G2157&lt;&gt;"",IFERROR(VLOOKUP(G2157,PRODUCTOS!$A:$B,2,0),"!COD NO ENCONTRADO"),"")</f>
        <v/>
      </c>
      <c r="I2157" s="89"/>
      <c r="J2157" s="90"/>
      <c r="K2157" s="91"/>
      <c r="L2157" s="80" t="str">
        <f aca="false">IF(AND(J2157&lt;&gt;"",K2157&lt;&gt;""),J2157*K2157,"")</f>
        <v/>
      </c>
      <c r="M2157" s="81" t="str">
        <f aca="false">IF(L2157&lt;&gt;"",L2157*1.1,"")</f>
        <v/>
      </c>
      <c r="N2157" s="47" t="n">
        <f aca="false">IF(F2157="S",L2157*0.02,0)</f>
        <v>0</v>
      </c>
      <c r="O2157" s="82" t="str">
        <f aca="false">IF(L2157&lt;&gt;"",L2157+N2157,"")</f>
        <v/>
      </c>
      <c r="P2157" s="47" t="str">
        <f aca="false">IF(O2157&lt;&gt;"",O2157*0.1,"")</f>
        <v/>
      </c>
      <c r="Q2157" s="83" t="str">
        <f aca="false">IF(O2157&lt;&gt;"",O2157+P2157,"")</f>
        <v/>
      </c>
      <c r="R2157" s="84"/>
    </row>
    <row r="2158" customFormat="false" ht="15" hidden="false" customHeight="true" outlineLevel="0" collapsed="false">
      <c r="A2158" s="103"/>
      <c r="B2158" s="73"/>
      <c r="C2158" s="74"/>
      <c r="D2158" s="75"/>
      <c r="E2158" s="52" t="str">
        <f aca="false">IF(D2158&lt;&gt;"",IFERROR(VLOOKUP(D2158,PROVEEDORES!$A:$B,2,0),"!COD NO ENCONTRADO"),"")</f>
        <v/>
      </c>
      <c r="F2158" s="76" t="str">
        <f aca="false">IF(D2158&lt;&gt;"",IFERROR(VLOOKUP(D2158,PROVEEDORES!$A:$C,3,0),""),"")</f>
        <v/>
      </c>
      <c r="G2158" s="75"/>
      <c r="H2158" s="52" t="str">
        <f aca="false">IF(G2158&lt;&gt;"",IFERROR(VLOOKUP(G2158,PRODUCTOS!$A:$B,2,0),"!COD NO ENCONTRADO"),"")</f>
        <v/>
      </c>
      <c r="I2158" s="77"/>
      <c r="J2158" s="78"/>
      <c r="K2158" s="79"/>
      <c r="L2158" s="80" t="str">
        <f aca="false">IF(AND(J2158&lt;&gt;"",K2158&lt;&gt;""),J2158*K2158,"")</f>
        <v/>
      </c>
      <c r="M2158" s="81" t="str">
        <f aca="false">IF(L2158&lt;&gt;"",L2158*1.1,"")</f>
        <v/>
      </c>
      <c r="N2158" s="53" t="n">
        <f aca="false">IF(F2158="S",L2158*0.02,0)</f>
        <v>0</v>
      </c>
      <c r="O2158" s="82" t="str">
        <f aca="false">IF(L2158&lt;&gt;"",L2158+N2158,"")</f>
        <v/>
      </c>
      <c r="P2158" s="53" t="str">
        <f aca="false">IF(O2158&lt;&gt;"",O2158*0.1,"")</f>
        <v/>
      </c>
      <c r="Q2158" s="83" t="str">
        <f aca="false">IF(O2158&lt;&gt;"",O2158+P2158,"")</f>
        <v/>
      </c>
      <c r="R2158" s="84"/>
    </row>
    <row r="2159" customFormat="false" ht="15" hidden="false" customHeight="true" outlineLevel="0" collapsed="false">
      <c r="A2159" s="103"/>
      <c r="B2159" s="85"/>
      <c r="C2159" s="86"/>
      <c r="D2159" s="87"/>
      <c r="E2159" s="46" t="str">
        <f aca="false">IF(D2159&lt;&gt;"",IFERROR(VLOOKUP(D2159,PROVEEDORES!$A:$B,2,0),"!COD NO ENCONTRADO"),"")</f>
        <v/>
      </c>
      <c r="F2159" s="88" t="str">
        <f aca="false">IF(D2159&lt;&gt;"",IFERROR(VLOOKUP(D2159,PROVEEDORES!$A:$C,3,0),""),"")</f>
        <v/>
      </c>
      <c r="G2159" s="87"/>
      <c r="H2159" s="46" t="str">
        <f aca="false">IF(G2159&lt;&gt;"",IFERROR(VLOOKUP(G2159,PRODUCTOS!$A:$B,2,0),"!COD NO ENCONTRADO"),"")</f>
        <v/>
      </c>
      <c r="I2159" s="89"/>
      <c r="J2159" s="90"/>
      <c r="K2159" s="91"/>
      <c r="L2159" s="80" t="str">
        <f aca="false">IF(AND(J2159&lt;&gt;"",K2159&lt;&gt;""),J2159*K2159,"")</f>
        <v/>
      </c>
      <c r="M2159" s="81" t="str">
        <f aca="false">IF(L2159&lt;&gt;"",L2159*1.1,"")</f>
        <v/>
      </c>
      <c r="N2159" s="47" t="n">
        <f aca="false">IF(F2159="S",L2159*0.02,0)</f>
        <v>0</v>
      </c>
      <c r="O2159" s="82" t="str">
        <f aca="false">IF(L2159&lt;&gt;"",L2159+N2159,"")</f>
        <v/>
      </c>
      <c r="P2159" s="47" t="str">
        <f aca="false">IF(O2159&lt;&gt;"",O2159*0.1,"")</f>
        <v/>
      </c>
      <c r="Q2159" s="83" t="str">
        <f aca="false">IF(O2159&lt;&gt;"",O2159+P2159,"")</f>
        <v/>
      </c>
      <c r="R2159" s="84"/>
    </row>
    <row r="2160" customFormat="false" ht="15" hidden="false" customHeight="true" outlineLevel="0" collapsed="false">
      <c r="A2160" s="103"/>
      <c r="B2160" s="73"/>
      <c r="C2160" s="74"/>
      <c r="D2160" s="75"/>
      <c r="E2160" s="52" t="str">
        <f aca="false">IF(D2160&lt;&gt;"",IFERROR(VLOOKUP(D2160,PROVEEDORES!$A:$B,2,0),"!COD NO ENCONTRADO"),"")</f>
        <v/>
      </c>
      <c r="F2160" s="76" t="str">
        <f aca="false">IF(D2160&lt;&gt;"",IFERROR(VLOOKUP(D2160,PROVEEDORES!$A:$C,3,0),""),"")</f>
        <v/>
      </c>
      <c r="G2160" s="75"/>
      <c r="H2160" s="52" t="str">
        <f aca="false">IF(G2160&lt;&gt;"",IFERROR(VLOOKUP(G2160,PRODUCTOS!$A:$B,2,0),"!COD NO ENCONTRADO"),"")</f>
        <v/>
      </c>
      <c r="I2160" s="77"/>
      <c r="J2160" s="78"/>
      <c r="K2160" s="79"/>
      <c r="L2160" s="80" t="str">
        <f aca="false">IF(AND(J2160&lt;&gt;"",K2160&lt;&gt;""),J2160*K2160,"")</f>
        <v/>
      </c>
      <c r="M2160" s="81" t="str">
        <f aca="false">IF(L2160&lt;&gt;"",L2160*1.1,"")</f>
        <v/>
      </c>
      <c r="N2160" s="53" t="n">
        <f aca="false">IF(F2160="S",L2160*0.02,0)</f>
        <v>0</v>
      </c>
      <c r="O2160" s="82" t="str">
        <f aca="false">IF(L2160&lt;&gt;"",L2160+N2160,"")</f>
        <v/>
      </c>
      <c r="P2160" s="53" t="str">
        <f aca="false">IF(O2160&lt;&gt;"",O2160*0.1,"")</f>
        <v/>
      </c>
      <c r="Q2160" s="83" t="str">
        <f aca="false">IF(O2160&lt;&gt;"",O2160+P2160,"")</f>
        <v/>
      </c>
      <c r="R2160" s="84"/>
    </row>
    <row r="2161" customFormat="false" ht="15" hidden="false" customHeight="true" outlineLevel="0" collapsed="false">
      <c r="A2161" s="103"/>
      <c r="B2161" s="85"/>
      <c r="C2161" s="86"/>
      <c r="D2161" s="87"/>
      <c r="E2161" s="46" t="str">
        <f aca="false">IF(D2161&lt;&gt;"",IFERROR(VLOOKUP(D2161,PROVEEDORES!$A:$B,2,0),"!COD NO ENCONTRADO"),"")</f>
        <v/>
      </c>
      <c r="F2161" s="88" t="str">
        <f aca="false">IF(D2161&lt;&gt;"",IFERROR(VLOOKUP(D2161,PROVEEDORES!$A:$C,3,0),""),"")</f>
        <v/>
      </c>
      <c r="G2161" s="87"/>
      <c r="H2161" s="46" t="str">
        <f aca="false">IF(G2161&lt;&gt;"",IFERROR(VLOOKUP(G2161,PRODUCTOS!$A:$B,2,0),"!COD NO ENCONTRADO"),"")</f>
        <v/>
      </c>
      <c r="I2161" s="89"/>
      <c r="J2161" s="90"/>
      <c r="K2161" s="91"/>
      <c r="L2161" s="80" t="str">
        <f aca="false">IF(AND(J2161&lt;&gt;"",K2161&lt;&gt;""),J2161*K2161,"")</f>
        <v/>
      </c>
      <c r="M2161" s="81" t="str">
        <f aca="false">IF(L2161&lt;&gt;"",L2161*1.1,"")</f>
        <v/>
      </c>
      <c r="N2161" s="47" t="n">
        <f aca="false">IF(F2161="S",L2161*0.02,0)</f>
        <v>0</v>
      </c>
      <c r="O2161" s="82" t="str">
        <f aca="false">IF(L2161&lt;&gt;"",L2161+N2161,"")</f>
        <v/>
      </c>
      <c r="P2161" s="47" t="str">
        <f aca="false">IF(O2161&lt;&gt;"",O2161*0.1,"")</f>
        <v/>
      </c>
      <c r="Q2161" s="83" t="str">
        <f aca="false">IF(O2161&lt;&gt;"",O2161+P2161,"")</f>
        <v/>
      </c>
      <c r="R2161" s="84"/>
    </row>
    <row r="2162" customFormat="false" ht="15" hidden="false" customHeight="true" outlineLevel="0" collapsed="false">
      <c r="A2162" s="103"/>
      <c r="B2162" s="73"/>
      <c r="C2162" s="74"/>
      <c r="D2162" s="75"/>
      <c r="E2162" s="52" t="str">
        <f aca="false">IF(D2162&lt;&gt;"",IFERROR(VLOOKUP(D2162,PROVEEDORES!$A:$B,2,0),"!COD NO ENCONTRADO"),"")</f>
        <v/>
      </c>
      <c r="F2162" s="76" t="str">
        <f aca="false">IF(D2162&lt;&gt;"",IFERROR(VLOOKUP(D2162,PROVEEDORES!$A:$C,3,0),""),"")</f>
        <v/>
      </c>
      <c r="G2162" s="75"/>
      <c r="H2162" s="52" t="str">
        <f aca="false">IF(G2162&lt;&gt;"",IFERROR(VLOOKUP(G2162,PRODUCTOS!$A:$B,2,0),"!COD NO ENCONTRADO"),"")</f>
        <v/>
      </c>
      <c r="I2162" s="77"/>
      <c r="J2162" s="78"/>
      <c r="K2162" s="79"/>
      <c r="L2162" s="80" t="str">
        <f aca="false">IF(AND(J2162&lt;&gt;"",K2162&lt;&gt;""),J2162*K2162,"")</f>
        <v/>
      </c>
      <c r="M2162" s="81" t="str">
        <f aca="false">IF(L2162&lt;&gt;"",L2162*1.1,"")</f>
        <v/>
      </c>
      <c r="N2162" s="53" t="n">
        <f aca="false">IF(F2162="S",L2162*0.02,0)</f>
        <v>0</v>
      </c>
      <c r="O2162" s="82" t="str">
        <f aca="false">IF(L2162&lt;&gt;"",L2162+N2162,"")</f>
        <v/>
      </c>
      <c r="P2162" s="53" t="str">
        <f aca="false">IF(O2162&lt;&gt;"",O2162*0.1,"")</f>
        <v/>
      </c>
      <c r="Q2162" s="83" t="str">
        <f aca="false">IF(O2162&lt;&gt;"",O2162+P2162,"")</f>
        <v/>
      </c>
      <c r="R2162" s="84"/>
    </row>
    <row r="2163" customFormat="false" ht="15" hidden="false" customHeight="true" outlineLevel="0" collapsed="false">
      <c r="A2163" s="103"/>
      <c r="B2163" s="85"/>
      <c r="C2163" s="86"/>
      <c r="D2163" s="87"/>
      <c r="E2163" s="46" t="str">
        <f aca="false">IF(D2163&lt;&gt;"",IFERROR(VLOOKUP(D2163,PROVEEDORES!$A:$B,2,0),"!COD NO ENCONTRADO"),"")</f>
        <v/>
      </c>
      <c r="F2163" s="88" t="str">
        <f aca="false">IF(D2163&lt;&gt;"",IFERROR(VLOOKUP(D2163,PROVEEDORES!$A:$C,3,0),""),"")</f>
        <v/>
      </c>
      <c r="G2163" s="87"/>
      <c r="H2163" s="46" t="str">
        <f aca="false">IF(G2163&lt;&gt;"",IFERROR(VLOOKUP(G2163,PRODUCTOS!$A:$B,2,0),"!COD NO ENCONTRADO"),"")</f>
        <v/>
      </c>
      <c r="I2163" s="89"/>
      <c r="J2163" s="90"/>
      <c r="K2163" s="91"/>
      <c r="L2163" s="80" t="str">
        <f aca="false">IF(AND(J2163&lt;&gt;"",K2163&lt;&gt;""),J2163*K2163,"")</f>
        <v/>
      </c>
      <c r="M2163" s="81" t="str">
        <f aca="false">IF(L2163&lt;&gt;"",L2163*1.1,"")</f>
        <v/>
      </c>
      <c r="N2163" s="47" t="n">
        <f aca="false">IF(F2163="S",L2163*0.02,0)</f>
        <v>0</v>
      </c>
      <c r="O2163" s="82" t="str">
        <f aca="false">IF(L2163&lt;&gt;"",L2163+N2163,"")</f>
        <v/>
      </c>
      <c r="P2163" s="47" t="str">
        <f aca="false">IF(O2163&lt;&gt;"",O2163*0.1,"")</f>
        <v/>
      </c>
      <c r="Q2163" s="83" t="str">
        <f aca="false">IF(O2163&lt;&gt;"",O2163+P2163,"")</f>
        <v/>
      </c>
      <c r="R2163" s="84"/>
    </row>
    <row r="2164" customFormat="false" ht="15" hidden="false" customHeight="true" outlineLevel="0" collapsed="false">
      <c r="A2164" s="103"/>
      <c r="B2164" s="73"/>
      <c r="C2164" s="74"/>
      <c r="D2164" s="75"/>
      <c r="E2164" s="52" t="str">
        <f aca="false">IF(D2164&lt;&gt;"",IFERROR(VLOOKUP(D2164,PROVEEDORES!$A:$B,2,0),"!COD NO ENCONTRADO"),"")</f>
        <v/>
      </c>
      <c r="F2164" s="76" t="str">
        <f aca="false">IF(D2164&lt;&gt;"",IFERROR(VLOOKUP(D2164,PROVEEDORES!$A:$C,3,0),""),"")</f>
        <v/>
      </c>
      <c r="G2164" s="75"/>
      <c r="H2164" s="52" t="str">
        <f aca="false">IF(G2164&lt;&gt;"",IFERROR(VLOOKUP(G2164,PRODUCTOS!$A:$B,2,0),"!COD NO ENCONTRADO"),"")</f>
        <v/>
      </c>
      <c r="I2164" s="77"/>
      <c r="J2164" s="78"/>
      <c r="K2164" s="79"/>
      <c r="L2164" s="80" t="str">
        <f aca="false">IF(AND(J2164&lt;&gt;"",K2164&lt;&gt;""),J2164*K2164,"")</f>
        <v/>
      </c>
      <c r="M2164" s="81" t="str">
        <f aca="false">IF(L2164&lt;&gt;"",L2164*1.1,"")</f>
        <v/>
      </c>
      <c r="N2164" s="53" t="n">
        <f aca="false">IF(F2164="S",L2164*0.02,0)</f>
        <v>0</v>
      </c>
      <c r="O2164" s="82" t="str">
        <f aca="false">IF(L2164&lt;&gt;"",L2164+N2164,"")</f>
        <v/>
      </c>
      <c r="P2164" s="53" t="str">
        <f aca="false">IF(O2164&lt;&gt;"",O2164*0.1,"")</f>
        <v/>
      </c>
      <c r="Q2164" s="83" t="str">
        <f aca="false">IF(O2164&lt;&gt;"",O2164+P2164,"")</f>
        <v/>
      </c>
      <c r="R2164" s="84"/>
    </row>
    <row r="2165" customFormat="false" ht="15" hidden="false" customHeight="true" outlineLevel="0" collapsed="false">
      <c r="A2165" s="103"/>
      <c r="B2165" s="85"/>
      <c r="C2165" s="86"/>
      <c r="D2165" s="87"/>
      <c r="E2165" s="46" t="str">
        <f aca="false">IF(D2165&lt;&gt;"",IFERROR(VLOOKUP(D2165,PROVEEDORES!$A:$B,2,0),"!COD NO ENCONTRADO"),"")</f>
        <v/>
      </c>
      <c r="F2165" s="88" t="str">
        <f aca="false">IF(D2165&lt;&gt;"",IFERROR(VLOOKUP(D2165,PROVEEDORES!$A:$C,3,0),""),"")</f>
        <v/>
      </c>
      <c r="G2165" s="87"/>
      <c r="H2165" s="46" t="str">
        <f aca="false">IF(G2165&lt;&gt;"",IFERROR(VLOOKUP(G2165,PRODUCTOS!$A:$B,2,0),"!COD NO ENCONTRADO"),"")</f>
        <v/>
      </c>
      <c r="I2165" s="89"/>
      <c r="J2165" s="90"/>
      <c r="K2165" s="91"/>
      <c r="L2165" s="80" t="str">
        <f aca="false">IF(AND(J2165&lt;&gt;"",K2165&lt;&gt;""),J2165*K2165,"")</f>
        <v/>
      </c>
      <c r="M2165" s="81" t="str">
        <f aca="false">IF(L2165&lt;&gt;"",L2165*1.1,"")</f>
        <v/>
      </c>
      <c r="N2165" s="47" t="n">
        <f aca="false">IF(F2165="S",L2165*0.02,0)</f>
        <v>0</v>
      </c>
      <c r="O2165" s="82" t="str">
        <f aca="false">IF(L2165&lt;&gt;"",L2165+N2165,"")</f>
        <v/>
      </c>
      <c r="P2165" s="47" t="str">
        <f aca="false">IF(O2165&lt;&gt;"",O2165*0.1,"")</f>
        <v/>
      </c>
      <c r="Q2165" s="83" t="str">
        <f aca="false">IF(O2165&lt;&gt;"",O2165+P2165,"")</f>
        <v/>
      </c>
      <c r="R2165" s="84"/>
    </row>
    <row r="2166" customFormat="false" ht="15" hidden="false" customHeight="true" outlineLevel="0" collapsed="false">
      <c r="A2166" s="103"/>
      <c r="B2166" s="73"/>
      <c r="C2166" s="74"/>
      <c r="D2166" s="75"/>
      <c r="E2166" s="52" t="str">
        <f aca="false">IF(D2166&lt;&gt;"",IFERROR(VLOOKUP(D2166,PROVEEDORES!$A:$B,2,0),"!COD NO ENCONTRADO"),"")</f>
        <v/>
      </c>
      <c r="F2166" s="76" t="str">
        <f aca="false">IF(D2166&lt;&gt;"",IFERROR(VLOOKUP(D2166,PROVEEDORES!$A:$C,3,0),""),"")</f>
        <v/>
      </c>
      <c r="G2166" s="75"/>
      <c r="H2166" s="52" t="str">
        <f aca="false">IF(G2166&lt;&gt;"",IFERROR(VLOOKUP(G2166,PRODUCTOS!$A:$B,2,0),"!COD NO ENCONTRADO"),"")</f>
        <v/>
      </c>
      <c r="I2166" s="77"/>
      <c r="J2166" s="78"/>
      <c r="K2166" s="79"/>
      <c r="L2166" s="80" t="str">
        <f aca="false">IF(AND(J2166&lt;&gt;"",K2166&lt;&gt;""),J2166*K2166,"")</f>
        <v/>
      </c>
      <c r="M2166" s="81" t="str">
        <f aca="false">IF(L2166&lt;&gt;"",L2166*1.1,"")</f>
        <v/>
      </c>
      <c r="N2166" s="53" t="n">
        <f aca="false">IF(F2166="S",L2166*0.02,0)</f>
        <v>0</v>
      </c>
      <c r="O2166" s="82" t="str">
        <f aca="false">IF(L2166&lt;&gt;"",L2166+N2166,"")</f>
        <v/>
      </c>
      <c r="P2166" s="53" t="str">
        <f aca="false">IF(O2166&lt;&gt;"",O2166*0.1,"")</f>
        <v/>
      </c>
      <c r="Q2166" s="83" t="str">
        <f aca="false">IF(O2166&lt;&gt;"",O2166+P2166,"")</f>
        <v/>
      </c>
      <c r="R2166" s="84"/>
    </row>
    <row r="2167" customFormat="false" ht="15" hidden="false" customHeight="true" outlineLevel="0" collapsed="false">
      <c r="A2167" s="103"/>
      <c r="B2167" s="85"/>
      <c r="C2167" s="86"/>
      <c r="D2167" s="87"/>
      <c r="E2167" s="46" t="str">
        <f aca="false">IF(D2167&lt;&gt;"",IFERROR(VLOOKUP(D2167,PROVEEDORES!$A:$B,2,0),"!COD NO ENCONTRADO"),"")</f>
        <v/>
      </c>
      <c r="F2167" s="88" t="str">
        <f aca="false">IF(D2167&lt;&gt;"",IFERROR(VLOOKUP(D2167,PROVEEDORES!$A:$C,3,0),""),"")</f>
        <v/>
      </c>
      <c r="G2167" s="87"/>
      <c r="H2167" s="46" t="str">
        <f aca="false">IF(G2167&lt;&gt;"",IFERROR(VLOOKUP(G2167,PRODUCTOS!$A:$B,2,0),"!COD NO ENCONTRADO"),"")</f>
        <v/>
      </c>
      <c r="I2167" s="89"/>
      <c r="J2167" s="90"/>
      <c r="K2167" s="91"/>
      <c r="L2167" s="80" t="str">
        <f aca="false">IF(AND(J2167&lt;&gt;"",K2167&lt;&gt;""),J2167*K2167,"")</f>
        <v/>
      </c>
      <c r="M2167" s="81" t="str">
        <f aca="false">IF(L2167&lt;&gt;"",L2167*1.1,"")</f>
        <v/>
      </c>
      <c r="N2167" s="47" t="n">
        <f aca="false">IF(F2167="S",L2167*0.02,0)</f>
        <v>0</v>
      </c>
      <c r="O2167" s="82" t="str">
        <f aca="false">IF(L2167&lt;&gt;"",L2167+N2167,"")</f>
        <v/>
      </c>
      <c r="P2167" s="47" t="str">
        <f aca="false">IF(O2167&lt;&gt;"",O2167*0.1,"")</f>
        <v/>
      </c>
      <c r="Q2167" s="83" t="str">
        <f aca="false">IF(O2167&lt;&gt;"",O2167+P2167,"")</f>
        <v/>
      </c>
      <c r="R2167" s="84"/>
    </row>
    <row r="2168" customFormat="false" ht="15" hidden="false" customHeight="true" outlineLevel="0" collapsed="false">
      <c r="A2168" s="103"/>
      <c r="B2168" s="73"/>
      <c r="C2168" s="74"/>
      <c r="D2168" s="75"/>
      <c r="E2168" s="52" t="str">
        <f aca="false">IF(D2168&lt;&gt;"",IFERROR(VLOOKUP(D2168,PROVEEDORES!$A:$B,2,0),"!COD NO ENCONTRADO"),"")</f>
        <v/>
      </c>
      <c r="F2168" s="76" t="str">
        <f aca="false">IF(D2168&lt;&gt;"",IFERROR(VLOOKUP(D2168,PROVEEDORES!$A:$C,3,0),""),"")</f>
        <v/>
      </c>
      <c r="G2168" s="75"/>
      <c r="H2168" s="52" t="str">
        <f aca="false">IF(G2168&lt;&gt;"",IFERROR(VLOOKUP(G2168,PRODUCTOS!$A:$B,2,0),"!COD NO ENCONTRADO"),"")</f>
        <v/>
      </c>
      <c r="I2168" s="77"/>
      <c r="J2168" s="78"/>
      <c r="K2168" s="79"/>
      <c r="L2168" s="80" t="str">
        <f aca="false">IF(AND(J2168&lt;&gt;"",K2168&lt;&gt;""),J2168*K2168,"")</f>
        <v/>
      </c>
      <c r="M2168" s="81" t="str">
        <f aca="false">IF(L2168&lt;&gt;"",L2168*1.1,"")</f>
        <v/>
      </c>
      <c r="N2168" s="53" t="n">
        <f aca="false">IF(F2168="S",L2168*0.02,0)</f>
        <v>0</v>
      </c>
      <c r="O2168" s="82" t="str">
        <f aca="false">IF(L2168&lt;&gt;"",L2168+N2168,"")</f>
        <v/>
      </c>
      <c r="P2168" s="53" t="str">
        <f aca="false">IF(O2168&lt;&gt;"",O2168*0.1,"")</f>
        <v/>
      </c>
      <c r="Q2168" s="83" t="str">
        <f aca="false">IF(O2168&lt;&gt;"",O2168+P2168,"")</f>
        <v/>
      </c>
      <c r="R2168" s="84"/>
    </row>
    <row r="2169" customFormat="false" ht="15" hidden="false" customHeight="true" outlineLevel="0" collapsed="false">
      <c r="A2169" s="103"/>
      <c r="B2169" s="85"/>
      <c r="C2169" s="86"/>
      <c r="D2169" s="87"/>
      <c r="E2169" s="46" t="str">
        <f aca="false">IF(D2169&lt;&gt;"",IFERROR(VLOOKUP(D2169,PROVEEDORES!$A:$B,2,0),"!COD NO ENCONTRADO"),"")</f>
        <v/>
      </c>
      <c r="F2169" s="88" t="str">
        <f aca="false">IF(D2169&lt;&gt;"",IFERROR(VLOOKUP(D2169,PROVEEDORES!$A:$C,3,0),""),"")</f>
        <v/>
      </c>
      <c r="G2169" s="87"/>
      <c r="H2169" s="46" t="str">
        <f aca="false">IF(G2169&lt;&gt;"",IFERROR(VLOOKUP(G2169,PRODUCTOS!$A:$B,2,0),"!COD NO ENCONTRADO"),"")</f>
        <v/>
      </c>
      <c r="I2169" s="89"/>
      <c r="J2169" s="90"/>
      <c r="K2169" s="91"/>
      <c r="L2169" s="80" t="str">
        <f aca="false">IF(AND(J2169&lt;&gt;"",K2169&lt;&gt;""),J2169*K2169,"")</f>
        <v/>
      </c>
      <c r="M2169" s="81" t="str">
        <f aca="false">IF(L2169&lt;&gt;"",L2169*1.1,"")</f>
        <v/>
      </c>
      <c r="N2169" s="47" t="n">
        <f aca="false">IF(F2169="S",L2169*0.02,0)</f>
        <v>0</v>
      </c>
      <c r="O2169" s="82" t="str">
        <f aca="false">IF(L2169&lt;&gt;"",L2169+N2169,"")</f>
        <v/>
      </c>
      <c r="P2169" s="47" t="str">
        <f aca="false">IF(O2169&lt;&gt;"",O2169*0.1,"")</f>
        <v/>
      </c>
      <c r="Q2169" s="83" t="str">
        <f aca="false">IF(O2169&lt;&gt;"",O2169+P2169,"")</f>
        <v/>
      </c>
      <c r="R2169" s="84"/>
    </row>
    <row r="2170" customFormat="false" ht="15" hidden="false" customHeight="true" outlineLevel="0" collapsed="false">
      <c r="A2170" s="103"/>
      <c r="B2170" s="73"/>
      <c r="C2170" s="74"/>
      <c r="D2170" s="75"/>
      <c r="E2170" s="52" t="str">
        <f aca="false">IF(D2170&lt;&gt;"",IFERROR(VLOOKUP(D2170,PROVEEDORES!$A:$B,2,0),"!COD NO ENCONTRADO"),"")</f>
        <v/>
      </c>
      <c r="F2170" s="76" t="str">
        <f aca="false">IF(D2170&lt;&gt;"",IFERROR(VLOOKUP(D2170,PROVEEDORES!$A:$C,3,0),""),"")</f>
        <v/>
      </c>
      <c r="G2170" s="75"/>
      <c r="H2170" s="52" t="str">
        <f aca="false">IF(G2170&lt;&gt;"",IFERROR(VLOOKUP(G2170,PRODUCTOS!$A:$B,2,0),"!COD NO ENCONTRADO"),"")</f>
        <v/>
      </c>
      <c r="I2170" s="77"/>
      <c r="J2170" s="78"/>
      <c r="K2170" s="79"/>
      <c r="L2170" s="80" t="str">
        <f aca="false">IF(AND(J2170&lt;&gt;"",K2170&lt;&gt;""),J2170*K2170,"")</f>
        <v/>
      </c>
      <c r="M2170" s="81" t="str">
        <f aca="false">IF(L2170&lt;&gt;"",L2170*1.1,"")</f>
        <v/>
      </c>
      <c r="N2170" s="53" t="n">
        <f aca="false">IF(F2170="S",L2170*0.02,0)</f>
        <v>0</v>
      </c>
      <c r="O2170" s="82" t="str">
        <f aca="false">IF(L2170&lt;&gt;"",L2170+N2170,"")</f>
        <v/>
      </c>
      <c r="P2170" s="53" t="str">
        <f aca="false">IF(O2170&lt;&gt;"",O2170*0.1,"")</f>
        <v/>
      </c>
      <c r="Q2170" s="83" t="str">
        <f aca="false">IF(O2170&lt;&gt;"",O2170+P2170,"")</f>
        <v/>
      </c>
      <c r="R2170" s="84"/>
    </row>
    <row r="2171" customFormat="false" ht="15" hidden="false" customHeight="true" outlineLevel="0" collapsed="false">
      <c r="A2171" s="103"/>
      <c r="B2171" s="85"/>
      <c r="C2171" s="86"/>
      <c r="D2171" s="87"/>
      <c r="E2171" s="46" t="str">
        <f aca="false">IF(D2171&lt;&gt;"",IFERROR(VLOOKUP(D2171,PROVEEDORES!$A:$B,2,0),"!COD NO ENCONTRADO"),"")</f>
        <v/>
      </c>
      <c r="F2171" s="88" t="str">
        <f aca="false">IF(D2171&lt;&gt;"",IFERROR(VLOOKUP(D2171,PROVEEDORES!$A:$C,3,0),""),"")</f>
        <v/>
      </c>
      <c r="G2171" s="87"/>
      <c r="H2171" s="46" t="str">
        <f aca="false">IF(G2171&lt;&gt;"",IFERROR(VLOOKUP(G2171,PRODUCTOS!$A:$B,2,0),"!COD NO ENCONTRADO"),"")</f>
        <v/>
      </c>
      <c r="I2171" s="89"/>
      <c r="J2171" s="90"/>
      <c r="K2171" s="91"/>
      <c r="L2171" s="80" t="str">
        <f aca="false">IF(AND(J2171&lt;&gt;"",K2171&lt;&gt;""),J2171*K2171,"")</f>
        <v/>
      </c>
      <c r="M2171" s="81" t="str">
        <f aca="false">IF(L2171&lt;&gt;"",L2171*1.1,"")</f>
        <v/>
      </c>
      <c r="N2171" s="47" t="n">
        <f aca="false">IF(F2171="S",L2171*0.02,0)</f>
        <v>0</v>
      </c>
      <c r="O2171" s="82" t="str">
        <f aca="false">IF(L2171&lt;&gt;"",L2171+N2171,"")</f>
        <v/>
      </c>
      <c r="P2171" s="47" t="str">
        <f aca="false">IF(O2171&lt;&gt;"",O2171*0.1,"")</f>
        <v/>
      </c>
      <c r="Q2171" s="83" t="str">
        <f aca="false">IF(O2171&lt;&gt;"",O2171+P2171,"")</f>
        <v/>
      </c>
      <c r="R2171" s="84"/>
    </row>
    <row r="2172" customFormat="false" ht="15" hidden="false" customHeight="true" outlineLevel="0" collapsed="false">
      <c r="A2172" s="103"/>
      <c r="B2172" s="73"/>
      <c r="C2172" s="74"/>
      <c r="D2172" s="75"/>
      <c r="E2172" s="52" t="str">
        <f aca="false">IF(D2172&lt;&gt;"",IFERROR(VLOOKUP(D2172,PROVEEDORES!$A:$B,2,0),"!COD NO ENCONTRADO"),"")</f>
        <v/>
      </c>
      <c r="F2172" s="76" t="str">
        <f aca="false">IF(D2172&lt;&gt;"",IFERROR(VLOOKUP(D2172,PROVEEDORES!$A:$C,3,0),""),"")</f>
        <v/>
      </c>
      <c r="G2172" s="75"/>
      <c r="H2172" s="52" t="str">
        <f aca="false">IF(G2172&lt;&gt;"",IFERROR(VLOOKUP(G2172,PRODUCTOS!$A:$B,2,0),"!COD NO ENCONTRADO"),"")</f>
        <v/>
      </c>
      <c r="I2172" s="77"/>
      <c r="J2172" s="78"/>
      <c r="K2172" s="79"/>
      <c r="L2172" s="80" t="str">
        <f aca="false">IF(AND(J2172&lt;&gt;"",K2172&lt;&gt;""),J2172*K2172,"")</f>
        <v/>
      </c>
      <c r="M2172" s="81" t="str">
        <f aca="false">IF(L2172&lt;&gt;"",L2172*1.1,"")</f>
        <v/>
      </c>
      <c r="N2172" s="53" t="n">
        <f aca="false">IF(F2172="S",L2172*0.02,0)</f>
        <v>0</v>
      </c>
      <c r="O2172" s="82" t="str">
        <f aca="false">IF(L2172&lt;&gt;"",L2172+N2172,"")</f>
        <v/>
      </c>
      <c r="P2172" s="53" t="str">
        <f aca="false">IF(O2172&lt;&gt;"",O2172*0.1,"")</f>
        <v/>
      </c>
      <c r="Q2172" s="83" t="str">
        <f aca="false">IF(O2172&lt;&gt;"",O2172+P2172,"")</f>
        <v/>
      </c>
      <c r="R2172" s="84"/>
    </row>
    <row r="2173" customFormat="false" ht="15" hidden="false" customHeight="true" outlineLevel="0" collapsed="false">
      <c r="A2173" s="103"/>
      <c r="B2173" s="85"/>
      <c r="C2173" s="86"/>
      <c r="D2173" s="87"/>
      <c r="E2173" s="46" t="str">
        <f aca="false">IF(D2173&lt;&gt;"",IFERROR(VLOOKUP(D2173,PROVEEDORES!$A:$B,2,0),"!COD NO ENCONTRADO"),"")</f>
        <v/>
      </c>
      <c r="F2173" s="88" t="str">
        <f aca="false">IF(D2173&lt;&gt;"",IFERROR(VLOOKUP(D2173,PROVEEDORES!$A:$C,3,0),""),"")</f>
        <v/>
      </c>
      <c r="G2173" s="87"/>
      <c r="H2173" s="46" t="str">
        <f aca="false">IF(G2173&lt;&gt;"",IFERROR(VLOOKUP(G2173,PRODUCTOS!$A:$B,2,0),"!COD NO ENCONTRADO"),"")</f>
        <v/>
      </c>
      <c r="I2173" s="89"/>
      <c r="J2173" s="90"/>
      <c r="K2173" s="91"/>
      <c r="L2173" s="80" t="str">
        <f aca="false">IF(AND(J2173&lt;&gt;"",K2173&lt;&gt;""),J2173*K2173,"")</f>
        <v/>
      </c>
      <c r="M2173" s="81" t="str">
        <f aca="false">IF(L2173&lt;&gt;"",L2173*1.1,"")</f>
        <v/>
      </c>
      <c r="N2173" s="47" t="n">
        <f aca="false">IF(F2173="S",L2173*0.02,0)</f>
        <v>0</v>
      </c>
      <c r="O2173" s="82" t="str">
        <f aca="false">IF(L2173&lt;&gt;"",L2173+N2173,"")</f>
        <v/>
      </c>
      <c r="P2173" s="47" t="str">
        <f aca="false">IF(O2173&lt;&gt;"",O2173*0.1,"")</f>
        <v/>
      </c>
      <c r="Q2173" s="83" t="str">
        <f aca="false">IF(O2173&lt;&gt;"",O2173+P2173,"")</f>
        <v/>
      </c>
      <c r="R2173" s="84"/>
    </row>
    <row r="2174" customFormat="false" ht="15" hidden="false" customHeight="true" outlineLevel="0" collapsed="false">
      <c r="A2174" s="103"/>
      <c r="B2174" s="73"/>
      <c r="C2174" s="74"/>
      <c r="D2174" s="75"/>
      <c r="E2174" s="52" t="str">
        <f aca="false">IF(D2174&lt;&gt;"",IFERROR(VLOOKUP(D2174,PROVEEDORES!$A:$B,2,0),"!COD NO ENCONTRADO"),"")</f>
        <v/>
      </c>
      <c r="F2174" s="76" t="str">
        <f aca="false">IF(D2174&lt;&gt;"",IFERROR(VLOOKUP(D2174,PROVEEDORES!$A:$C,3,0),""),"")</f>
        <v/>
      </c>
      <c r="G2174" s="75"/>
      <c r="H2174" s="52" t="str">
        <f aca="false">IF(G2174&lt;&gt;"",IFERROR(VLOOKUP(G2174,PRODUCTOS!$A:$B,2,0),"!COD NO ENCONTRADO"),"")</f>
        <v/>
      </c>
      <c r="I2174" s="77"/>
      <c r="J2174" s="78"/>
      <c r="K2174" s="79"/>
      <c r="L2174" s="80" t="str">
        <f aca="false">IF(AND(J2174&lt;&gt;"",K2174&lt;&gt;""),J2174*K2174,"")</f>
        <v/>
      </c>
      <c r="M2174" s="81" t="str">
        <f aca="false">IF(L2174&lt;&gt;"",L2174*1.1,"")</f>
        <v/>
      </c>
      <c r="N2174" s="53" t="n">
        <f aca="false">IF(F2174="S",L2174*0.02,0)</f>
        <v>0</v>
      </c>
      <c r="O2174" s="82" t="str">
        <f aca="false">IF(L2174&lt;&gt;"",L2174+N2174,"")</f>
        <v/>
      </c>
      <c r="P2174" s="53" t="str">
        <f aca="false">IF(O2174&lt;&gt;"",O2174*0.1,"")</f>
        <v/>
      </c>
      <c r="Q2174" s="83" t="str">
        <f aca="false">IF(O2174&lt;&gt;"",O2174+P2174,"")</f>
        <v/>
      </c>
      <c r="R2174" s="84"/>
    </row>
    <row r="2175" customFormat="false" ht="15" hidden="false" customHeight="true" outlineLevel="0" collapsed="false">
      <c r="A2175" s="103"/>
      <c r="B2175" s="85"/>
      <c r="C2175" s="86"/>
      <c r="D2175" s="87"/>
      <c r="E2175" s="46" t="str">
        <f aca="false">IF(D2175&lt;&gt;"",IFERROR(VLOOKUP(D2175,PROVEEDORES!$A:$B,2,0),"!COD NO ENCONTRADO"),"")</f>
        <v/>
      </c>
      <c r="F2175" s="88" t="str">
        <f aca="false">IF(D2175&lt;&gt;"",IFERROR(VLOOKUP(D2175,PROVEEDORES!$A:$C,3,0),""),"")</f>
        <v/>
      </c>
      <c r="G2175" s="87"/>
      <c r="H2175" s="46" t="str">
        <f aca="false">IF(G2175&lt;&gt;"",IFERROR(VLOOKUP(G2175,PRODUCTOS!$A:$B,2,0),"!COD NO ENCONTRADO"),"")</f>
        <v/>
      </c>
      <c r="I2175" s="89"/>
      <c r="J2175" s="90"/>
      <c r="K2175" s="91"/>
      <c r="L2175" s="80" t="str">
        <f aca="false">IF(AND(J2175&lt;&gt;"",K2175&lt;&gt;""),J2175*K2175,"")</f>
        <v/>
      </c>
      <c r="M2175" s="81" t="str">
        <f aca="false">IF(L2175&lt;&gt;"",L2175*1.1,"")</f>
        <v/>
      </c>
      <c r="N2175" s="47" t="n">
        <f aca="false">IF(F2175="S",L2175*0.02,0)</f>
        <v>0</v>
      </c>
      <c r="O2175" s="82" t="str">
        <f aca="false">IF(L2175&lt;&gt;"",L2175+N2175,"")</f>
        <v/>
      </c>
      <c r="P2175" s="47" t="str">
        <f aca="false">IF(O2175&lt;&gt;"",O2175*0.1,"")</f>
        <v/>
      </c>
      <c r="Q2175" s="83" t="str">
        <f aca="false">IF(O2175&lt;&gt;"",O2175+P2175,"")</f>
        <v/>
      </c>
      <c r="R2175" s="84"/>
    </row>
    <row r="2176" customFormat="false" ht="15" hidden="false" customHeight="true" outlineLevel="0" collapsed="false">
      <c r="A2176" s="103"/>
      <c r="B2176" s="73"/>
      <c r="C2176" s="74"/>
      <c r="D2176" s="75"/>
      <c r="E2176" s="52" t="str">
        <f aca="false">IF(D2176&lt;&gt;"",IFERROR(VLOOKUP(D2176,PROVEEDORES!$A:$B,2,0),"!COD NO ENCONTRADO"),"")</f>
        <v/>
      </c>
      <c r="F2176" s="76" t="str">
        <f aca="false">IF(D2176&lt;&gt;"",IFERROR(VLOOKUP(D2176,PROVEEDORES!$A:$C,3,0),""),"")</f>
        <v/>
      </c>
      <c r="G2176" s="75"/>
      <c r="H2176" s="52" t="str">
        <f aca="false">IF(G2176&lt;&gt;"",IFERROR(VLOOKUP(G2176,PRODUCTOS!$A:$B,2,0),"!COD NO ENCONTRADO"),"")</f>
        <v/>
      </c>
      <c r="I2176" s="77"/>
      <c r="J2176" s="78"/>
      <c r="K2176" s="79"/>
      <c r="L2176" s="80" t="str">
        <f aca="false">IF(AND(J2176&lt;&gt;"",K2176&lt;&gt;""),J2176*K2176,"")</f>
        <v/>
      </c>
      <c r="M2176" s="81" t="str">
        <f aca="false">IF(L2176&lt;&gt;"",L2176*1.1,"")</f>
        <v/>
      </c>
      <c r="N2176" s="53" t="n">
        <f aca="false">IF(F2176="S",L2176*0.02,0)</f>
        <v>0</v>
      </c>
      <c r="O2176" s="82" t="str">
        <f aca="false">IF(L2176&lt;&gt;"",L2176+N2176,"")</f>
        <v/>
      </c>
      <c r="P2176" s="53" t="str">
        <f aca="false">IF(O2176&lt;&gt;"",O2176*0.1,"")</f>
        <v/>
      </c>
      <c r="Q2176" s="83" t="str">
        <f aca="false">IF(O2176&lt;&gt;"",O2176+P2176,"")</f>
        <v/>
      </c>
      <c r="R2176" s="84"/>
    </row>
    <row r="2177" customFormat="false" ht="15" hidden="false" customHeight="true" outlineLevel="0" collapsed="false">
      <c r="A2177" s="103"/>
      <c r="B2177" s="85"/>
      <c r="C2177" s="86"/>
      <c r="D2177" s="87"/>
      <c r="E2177" s="46" t="str">
        <f aca="false">IF(D2177&lt;&gt;"",IFERROR(VLOOKUP(D2177,PROVEEDORES!$A:$B,2,0),"!COD NO ENCONTRADO"),"")</f>
        <v/>
      </c>
      <c r="F2177" s="88" t="str">
        <f aca="false">IF(D2177&lt;&gt;"",IFERROR(VLOOKUP(D2177,PROVEEDORES!$A:$C,3,0),""),"")</f>
        <v/>
      </c>
      <c r="G2177" s="87"/>
      <c r="H2177" s="46" t="str">
        <f aca="false">IF(G2177&lt;&gt;"",IFERROR(VLOOKUP(G2177,PRODUCTOS!$A:$B,2,0),"!COD NO ENCONTRADO"),"")</f>
        <v/>
      </c>
      <c r="I2177" s="89"/>
      <c r="J2177" s="90"/>
      <c r="K2177" s="91"/>
      <c r="L2177" s="80" t="str">
        <f aca="false">IF(AND(J2177&lt;&gt;"",K2177&lt;&gt;""),J2177*K2177,"")</f>
        <v/>
      </c>
      <c r="M2177" s="81" t="str">
        <f aca="false">IF(L2177&lt;&gt;"",L2177*1.1,"")</f>
        <v/>
      </c>
      <c r="N2177" s="47" t="n">
        <f aca="false">IF(F2177="S",L2177*0.02,0)</f>
        <v>0</v>
      </c>
      <c r="O2177" s="82" t="str">
        <f aca="false">IF(L2177&lt;&gt;"",L2177+N2177,"")</f>
        <v/>
      </c>
      <c r="P2177" s="47" t="str">
        <f aca="false">IF(O2177&lt;&gt;"",O2177*0.1,"")</f>
        <v/>
      </c>
      <c r="Q2177" s="83" t="str">
        <f aca="false">IF(O2177&lt;&gt;"",O2177+P2177,"")</f>
        <v/>
      </c>
      <c r="R2177" s="84"/>
    </row>
    <row r="2178" customFormat="false" ht="15" hidden="false" customHeight="true" outlineLevel="0" collapsed="false">
      <c r="A2178" s="103"/>
      <c r="B2178" s="73"/>
      <c r="C2178" s="74"/>
      <c r="D2178" s="75"/>
      <c r="E2178" s="52" t="str">
        <f aca="false">IF(D2178&lt;&gt;"",IFERROR(VLOOKUP(D2178,PROVEEDORES!$A:$B,2,0),"!COD NO ENCONTRADO"),"")</f>
        <v/>
      </c>
      <c r="F2178" s="76" t="str">
        <f aca="false">IF(D2178&lt;&gt;"",IFERROR(VLOOKUP(D2178,PROVEEDORES!$A:$C,3,0),""),"")</f>
        <v/>
      </c>
      <c r="G2178" s="75"/>
      <c r="H2178" s="52" t="str">
        <f aca="false">IF(G2178&lt;&gt;"",IFERROR(VLOOKUP(G2178,PRODUCTOS!$A:$B,2,0),"!COD NO ENCONTRADO"),"")</f>
        <v/>
      </c>
      <c r="I2178" s="77"/>
      <c r="J2178" s="78"/>
      <c r="K2178" s="79"/>
      <c r="L2178" s="80" t="str">
        <f aca="false">IF(AND(J2178&lt;&gt;"",K2178&lt;&gt;""),J2178*K2178,"")</f>
        <v/>
      </c>
      <c r="M2178" s="81" t="str">
        <f aca="false">IF(L2178&lt;&gt;"",L2178*1.1,"")</f>
        <v/>
      </c>
      <c r="N2178" s="53" t="n">
        <f aca="false">IF(F2178="S",L2178*0.02,0)</f>
        <v>0</v>
      </c>
      <c r="O2178" s="82" t="str">
        <f aca="false">IF(L2178&lt;&gt;"",L2178+N2178,"")</f>
        <v/>
      </c>
      <c r="P2178" s="53" t="str">
        <f aca="false">IF(O2178&lt;&gt;"",O2178*0.1,"")</f>
        <v/>
      </c>
      <c r="Q2178" s="83" t="str">
        <f aca="false">IF(O2178&lt;&gt;"",O2178+P2178,"")</f>
        <v/>
      </c>
      <c r="R2178" s="84"/>
    </row>
    <row r="2179" customFormat="false" ht="15" hidden="false" customHeight="true" outlineLevel="0" collapsed="false">
      <c r="A2179" s="103"/>
      <c r="B2179" s="85"/>
      <c r="C2179" s="86"/>
      <c r="D2179" s="87"/>
      <c r="E2179" s="46" t="str">
        <f aca="false">IF(D2179&lt;&gt;"",IFERROR(VLOOKUP(D2179,PROVEEDORES!$A:$B,2,0),"!COD NO ENCONTRADO"),"")</f>
        <v/>
      </c>
      <c r="F2179" s="88" t="str">
        <f aca="false">IF(D2179&lt;&gt;"",IFERROR(VLOOKUP(D2179,PROVEEDORES!$A:$C,3,0),""),"")</f>
        <v/>
      </c>
      <c r="G2179" s="87"/>
      <c r="H2179" s="46" t="str">
        <f aca="false">IF(G2179&lt;&gt;"",IFERROR(VLOOKUP(G2179,PRODUCTOS!$A:$B,2,0),"!COD NO ENCONTRADO"),"")</f>
        <v/>
      </c>
      <c r="I2179" s="89"/>
      <c r="J2179" s="90"/>
      <c r="K2179" s="91"/>
      <c r="L2179" s="80" t="str">
        <f aca="false">IF(AND(J2179&lt;&gt;"",K2179&lt;&gt;""),J2179*K2179,"")</f>
        <v/>
      </c>
      <c r="M2179" s="81" t="str">
        <f aca="false">IF(L2179&lt;&gt;"",L2179*1.1,"")</f>
        <v/>
      </c>
      <c r="N2179" s="47" t="n">
        <f aca="false">IF(F2179="S",L2179*0.02,0)</f>
        <v>0</v>
      </c>
      <c r="O2179" s="82" t="str">
        <f aca="false">IF(L2179&lt;&gt;"",L2179+N2179,"")</f>
        <v/>
      </c>
      <c r="P2179" s="47" t="str">
        <f aca="false">IF(O2179&lt;&gt;"",O2179*0.1,"")</f>
        <v/>
      </c>
      <c r="Q2179" s="83" t="str">
        <f aca="false">IF(O2179&lt;&gt;"",O2179+P2179,"")</f>
        <v/>
      </c>
      <c r="R2179" s="84"/>
    </row>
    <row r="2180" customFormat="false" ht="15" hidden="false" customHeight="true" outlineLevel="0" collapsed="false">
      <c r="A2180" s="103"/>
      <c r="B2180" s="73"/>
      <c r="C2180" s="74"/>
      <c r="D2180" s="75"/>
      <c r="E2180" s="52" t="str">
        <f aca="false">IF(D2180&lt;&gt;"",IFERROR(VLOOKUP(D2180,PROVEEDORES!$A:$B,2,0),"!COD NO ENCONTRADO"),"")</f>
        <v/>
      </c>
      <c r="F2180" s="76" t="str">
        <f aca="false">IF(D2180&lt;&gt;"",IFERROR(VLOOKUP(D2180,PROVEEDORES!$A:$C,3,0),""),"")</f>
        <v/>
      </c>
      <c r="G2180" s="75"/>
      <c r="H2180" s="52" t="str">
        <f aca="false">IF(G2180&lt;&gt;"",IFERROR(VLOOKUP(G2180,PRODUCTOS!$A:$B,2,0),"!COD NO ENCONTRADO"),"")</f>
        <v/>
      </c>
      <c r="I2180" s="77"/>
      <c r="J2180" s="78"/>
      <c r="K2180" s="79"/>
      <c r="L2180" s="80" t="str">
        <f aca="false">IF(AND(J2180&lt;&gt;"",K2180&lt;&gt;""),J2180*K2180,"")</f>
        <v/>
      </c>
      <c r="M2180" s="81" t="str">
        <f aca="false">IF(L2180&lt;&gt;"",L2180*1.1,"")</f>
        <v/>
      </c>
      <c r="N2180" s="53" t="n">
        <f aca="false">IF(F2180="S",L2180*0.02,0)</f>
        <v>0</v>
      </c>
      <c r="O2180" s="82" t="str">
        <f aca="false">IF(L2180&lt;&gt;"",L2180+N2180,"")</f>
        <v/>
      </c>
      <c r="P2180" s="53" t="str">
        <f aca="false">IF(O2180&lt;&gt;"",O2180*0.1,"")</f>
        <v/>
      </c>
      <c r="Q2180" s="83" t="str">
        <f aca="false">IF(O2180&lt;&gt;"",O2180+P2180,"")</f>
        <v/>
      </c>
      <c r="R2180" s="84"/>
    </row>
    <row r="2181" customFormat="false" ht="15" hidden="false" customHeight="true" outlineLevel="0" collapsed="false">
      <c r="A2181" s="103"/>
      <c r="B2181" s="85"/>
      <c r="C2181" s="86"/>
      <c r="D2181" s="87"/>
      <c r="E2181" s="46" t="str">
        <f aca="false">IF(D2181&lt;&gt;"",IFERROR(VLOOKUP(D2181,PROVEEDORES!$A:$B,2,0),"!COD NO ENCONTRADO"),"")</f>
        <v/>
      </c>
      <c r="F2181" s="88" t="str">
        <f aca="false">IF(D2181&lt;&gt;"",IFERROR(VLOOKUP(D2181,PROVEEDORES!$A:$C,3,0),""),"")</f>
        <v/>
      </c>
      <c r="G2181" s="87"/>
      <c r="H2181" s="46" t="str">
        <f aca="false">IF(G2181&lt;&gt;"",IFERROR(VLOOKUP(G2181,PRODUCTOS!$A:$B,2,0),"!COD NO ENCONTRADO"),"")</f>
        <v/>
      </c>
      <c r="I2181" s="89"/>
      <c r="J2181" s="90"/>
      <c r="K2181" s="91"/>
      <c r="L2181" s="80" t="str">
        <f aca="false">IF(AND(J2181&lt;&gt;"",K2181&lt;&gt;""),J2181*K2181,"")</f>
        <v/>
      </c>
      <c r="M2181" s="81" t="str">
        <f aca="false">IF(L2181&lt;&gt;"",L2181*1.1,"")</f>
        <v/>
      </c>
      <c r="N2181" s="47" t="n">
        <f aca="false">IF(F2181="S",L2181*0.02,0)</f>
        <v>0</v>
      </c>
      <c r="O2181" s="82" t="str">
        <f aca="false">IF(L2181&lt;&gt;"",L2181+N2181,"")</f>
        <v/>
      </c>
      <c r="P2181" s="47" t="str">
        <f aca="false">IF(O2181&lt;&gt;"",O2181*0.1,"")</f>
        <v/>
      </c>
      <c r="Q2181" s="83" t="str">
        <f aca="false">IF(O2181&lt;&gt;"",O2181+P2181,"")</f>
        <v/>
      </c>
      <c r="R2181" s="84"/>
    </row>
    <row r="2182" customFormat="false" ht="15" hidden="false" customHeight="true" outlineLevel="0" collapsed="false">
      <c r="A2182" s="103"/>
      <c r="B2182" s="73"/>
      <c r="C2182" s="74"/>
      <c r="D2182" s="75"/>
      <c r="E2182" s="52" t="str">
        <f aca="false">IF(D2182&lt;&gt;"",IFERROR(VLOOKUP(D2182,PROVEEDORES!$A:$B,2,0),"!COD NO ENCONTRADO"),"")</f>
        <v/>
      </c>
      <c r="F2182" s="76" t="str">
        <f aca="false">IF(D2182&lt;&gt;"",IFERROR(VLOOKUP(D2182,PROVEEDORES!$A:$C,3,0),""),"")</f>
        <v/>
      </c>
      <c r="G2182" s="75"/>
      <c r="H2182" s="52" t="str">
        <f aca="false">IF(G2182&lt;&gt;"",IFERROR(VLOOKUP(G2182,PRODUCTOS!$A:$B,2,0),"!COD NO ENCONTRADO"),"")</f>
        <v/>
      </c>
      <c r="I2182" s="77"/>
      <c r="J2182" s="78"/>
      <c r="K2182" s="79"/>
      <c r="L2182" s="80" t="str">
        <f aca="false">IF(AND(J2182&lt;&gt;"",K2182&lt;&gt;""),J2182*K2182,"")</f>
        <v/>
      </c>
      <c r="M2182" s="81" t="str">
        <f aca="false">IF(L2182&lt;&gt;"",L2182*1.1,"")</f>
        <v/>
      </c>
      <c r="N2182" s="53" t="n">
        <f aca="false">IF(F2182="S",L2182*0.02,0)</f>
        <v>0</v>
      </c>
      <c r="O2182" s="82" t="str">
        <f aca="false">IF(L2182&lt;&gt;"",L2182+N2182,"")</f>
        <v/>
      </c>
      <c r="P2182" s="53" t="str">
        <f aca="false">IF(O2182&lt;&gt;"",O2182*0.1,"")</f>
        <v/>
      </c>
      <c r="Q2182" s="83" t="str">
        <f aca="false">IF(O2182&lt;&gt;"",O2182+P2182,"")</f>
        <v/>
      </c>
      <c r="R2182" s="84"/>
    </row>
    <row r="2183" customFormat="false" ht="15" hidden="false" customHeight="true" outlineLevel="0" collapsed="false">
      <c r="A2183" s="103"/>
      <c r="B2183" s="85"/>
      <c r="C2183" s="86"/>
      <c r="D2183" s="87"/>
      <c r="E2183" s="46" t="str">
        <f aca="false">IF(D2183&lt;&gt;"",IFERROR(VLOOKUP(D2183,PROVEEDORES!$A:$B,2,0),"!COD NO ENCONTRADO"),"")</f>
        <v/>
      </c>
      <c r="F2183" s="88" t="str">
        <f aca="false">IF(D2183&lt;&gt;"",IFERROR(VLOOKUP(D2183,PROVEEDORES!$A:$C,3,0),""),"")</f>
        <v/>
      </c>
      <c r="G2183" s="87"/>
      <c r="H2183" s="46" t="str">
        <f aca="false">IF(G2183&lt;&gt;"",IFERROR(VLOOKUP(G2183,PRODUCTOS!$A:$B,2,0),"!COD NO ENCONTRADO"),"")</f>
        <v/>
      </c>
      <c r="I2183" s="89"/>
      <c r="J2183" s="90"/>
      <c r="K2183" s="91"/>
      <c r="L2183" s="80" t="str">
        <f aca="false">IF(AND(J2183&lt;&gt;"",K2183&lt;&gt;""),J2183*K2183,"")</f>
        <v/>
      </c>
      <c r="M2183" s="81" t="str">
        <f aca="false">IF(L2183&lt;&gt;"",L2183*1.1,"")</f>
        <v/>
      </c>
      <c r="N2183" s="47" t="n">
        <f aca="false">IF(F2183="S",L2183*0.02,0)</f>
        <v>0</v>
      </c>
      <c r="O2183" s="82" t="str">
        <f aca="false">IF(L2183&lt;&gt;"",L2183+N2183,"")</f>
        <v/>
      </c>
      <c r="P2183" s="47" t="str">
        <f aca="false">IF(O2183&lt;&gt;"",O2183*0.1,"")</f>
        <v/>
      </c>
      <c r="Q2183" s="83" t="str">
        <f aca="false">IF(O2183&lt;&gt;"",O2183+P2183,"")</f>
        <v/>
      </c>
      <c r="R2183" s="84"/>
    </row>
    <row r="2184" customFormat="false" ht="15" hidden="false" customHeight="true" outlineLevel="0" collapsed="false">
      <c r="A2184" s="103"/>
      <c r="B2184" s="73"/>
      <c r="C2184" s="74"/>
      <c r="D2184" s="75"/>
      <c r="E2184" s="52" t="str">
        <f aca="false">IF(D2184&lt;&gt;"",IFERROR(VLOOKUP(D2184,PROVEEDORES!$A:$B,2,0),"!COD NO ENCONTRADO"),"")</f>
        <v/>
      </c>
      <c r="F2184" s="76" t="str">
        <f aca="false">IF(D2184&lt;&gt;"",IFERROR(VLOOKUP(D2184,PROVEEDORES!$A:$C,3,0),""),"")</f>
        <v/>
      </c>
      <c r="G2184" s="75"/>
      <c r="H2184" s="52" t="str">
        <f aca="false">IF(G2184&lt;&gt;"",IFERROR(VLOOKUP(G2184,PRODUCTOS!$A:$B,2,0),"!COD NO ENCONTRADO"),"")</f>
        <v/>
      </c>
      <c r="I2184" s="77"/>
      <c r="J2184" s="78"/>
      <c r="K2184" s="79"/>
      <c r="L2184" s="80" t="str">
        <f aca="false">IF(AND(J2184&lt;&gt;"",K2184&lt;&gt;""),J2184*K2184,"")</f>
        <v/>
      </c>
      <c r="M2184" s="81" t="str">
        <f aca="false">IF(L2184&lt;&gt;"",L2184*1.1,"")</f>
        <v/>
      </c>
      <c r="N2184" s="53" t="n">
        <f aca="false">IF(F2184="S",L2184*0.02,0)</f>
        <v>0</v>
      </c>
      <c r="O2184" s="82" t="str">
        <f aca="false">IF(L2184&lt;&gt;"",L2184+N2184,"")</f>
        <v/>
      </c>
      <c r="P2184" s="53" t="str">
        <f aca="false">IF(O2184&lt;&gt;"",O2184*0.1,"")</f>
        <v/>
      </c>
      <c r="Q2184" s="83" t="str">
        <f aca="false">IF(O2184&lt;&gt;"",O2184+P2184,"")</f>
        <v/>
      </c>
      <c r="R2184" s="84"/>
    </row>
    <row r="2185" customFormat="false" ht="15" hidden="false" customHeight="true" outlineLevel="0" collapsed="false">
      <c r="A2185" s="103"/>
      <c r="B2185" s="85"/>
      <c r="C2185" s="86"/>
      <c r="D2185" s="87"/>
      <c r="E2185" s="46" t="str">
        <f aca="false">IF(D2185&lt;&gt;"",IFERROR(VLOOKUP(D2185,PROVEEDORES!$A:$B,2,0),"!COD NO ENCONTRADO"),"")</f>
        <v/>
      </c>
      <c r="F2185" s="88" t="str">
        <f aca="false">IF(D2185&lt;&gt;"",IFERROR(VLOOKUP(D2185,PROVEEDORES!$A:$C,3,0),""),"")</f>
        <v/>
      </c>
      <c r="G2185" s="87"/>
      <c r="H2185" s="46" t="str">
        <f aca="false">IF(G2185&lt;&gt;"",IFERROR(VLOOKUP(G2185,PRODUCTOS!$A:$B,2,0),"!COD NO ENCONTRADO"),"")</f>
        <v/>
      </c>
      <c r="I2185" s="89"/>
      <c r="J2185" s="90"/>
      <c r="K2185" s="91"/>
      <c r="L2185" s="80" t="str">
        <f aca="false">IF(AND(J2185&lt;&gt;"",K2185&lt;&gt;""),J2185*K2185,"")</f>
        <v/>
      </c>
      <c r="M2185" s="81" t="str">
        <f aca="false">IF(L2185&lt;&gt;"",L2185*1.1,"")</f>
        <v/>
      </c>
      <c r="N2185" s="47" t="n">
        <f aca="false">IF(F2185="S",L2185*0.02,0)</f>
        <v>0</v>
      </c>
      <c r="O2185" s="82" t="str">
        <f aca="false">IF(L2185&lt;&gt;"",L2185+N2185,"")</f>
        <v/>
      </c>
      <c r="P2185" s="47" t="str">
        <f aca="false">IF(O2185&lt;&gt;"",O2185*0.1,"")</f>
        <v/>
      </c>
      <c r="Q2185" s="83" t="str">
        <f aca="false">IF(O2185&lt;&gt;"",O2185+P2185,"")</f>
        <v/>
      </c>
      <c r="R2185" s="84"/>
    </row>
    <row r="2186" customFormat="false" ht="15" hidden="false" customHeight="true" outlineLevel="0" collapsed="false">
      <c r="A2186" s="103"/>
      <c r="B2186" s="73"/>
      <c r="C2186" s="74"/>
      <c r="D2186" s="75"/>
      <c r="E2186" s="52" t="str">
        <f aca="false">IF(D2186&lt;&gt;"",IFERROR(VLOOKUP(D2186,PROVEEDORES!$A:$B,2,0),"!COD NO ENCONTRADO"),"")</f>
        <v/>
      </c>
      <c r="F2186" s="76" t="str">
        <f aca="false">IF(D2186&lt;&gt;"",IFERROR(VLOOKUP(D2186,PROVEEDORES!$A:$C,3,0),""),"")</f>
        <v/>
      </c>
      <c r="G2186" s="75"/>
      <c r="H2186" s="52" t="str">
        <f aca="false">IF(G2186&lt;&gt;"",IFERROR(VLOOKUP(G2186,PRODUCTOS!$A:$B,2,0),"!COD NO ENCONTRADO"),"")</f>
        <v/>
      </c>
      <c r="I2186" s="77"/>
      <c r="J2186" s="78"/>
      <c r="K2186" s="79"/>
      <c r="L2186" s="80" t="str">
        <f aca="false">IF(AND(J2186&lt;&gt;"",K2186&lt;&gt;""),J2186*K2186,"")</f>
        <v/>
      </c>
      <c r="M2186" s="81" t="str">
        <f aca="false">IF(L2186&lt;&gt;"",L2186*1.1,"")</f>
        <v/>
      </c>
      <c r="N2186" s="53" t="n">
        <f aca="false">IF(F2186="S",L2186*0.02,0)</f>
        <v>0</v>
      </c>
      <c r="O2186" s="82" t="str">
        <f aca="false">IF(L2186&lt;&gt;"",L2186+N2186,"")</f>
        <v/>
      </c>
      <c r="P2186" s="53" t="str">
        <f aca="false">IF(O2186&lt;&gt;"",O2186*0.1,"")</f>
        <v/>
      </c>
      <c r="Q2186" s="83" t="str">
        <f aca="false">IF(O2186&lt;&gt;"",O2186+P2186,"")</f>
        <v/>
      </c>
      <c r="R2186" s="84"/>
    </row>
    <row r="2187" customFormat="false" ht="15" hidden="false" customHeight="true" outlineLevel="0" collapsed="false">
      <c r="A2187" s="103"/>
      <c r="B2187" s="85"/>
      <c r="C2187" s="86"/>
      <c r="D2187" s="87"/>
      <c r="E2187" s="46" t="str">
        <f aca="false">IF(D2187&lt;&gt;"",IFERROR(VLOOKUP(D2187,PROVEEDORES!$A:$B,2,0),"!COD NO ENCONTRADO"),"")</f>
        <v/>
      </c>
      <c r="F2187" s="88" t="str">
        <f aca="false">IF(D2187&lt;&gt;"",IFERROR(VLOOKUP(D2187,PROVEEDORES!$A:$C,3,0),""),"")</f>
        <v/>
      </c>
      <c r="G2187" s="87"/>
      <c r="H2187" s="46" t="str">
        <f aca="false">IF(G2187&lt;&gt;"",IFERROR(VLOOKUP(G2187,PRODUCTOS!$A:$B,2,0),"!COD NO ENCONTRADO"),"")</f>
        <v/>
      </c>
      <c r="I2187" s="89"/>
      <c r="J2187" s="90"/>
      <c r="K2187" s="91"/>
      <c r="L2187" s="80" t="str">
        <f aca="false">IF(AND(J2187&lt;&gt;"",K2187&lt;&gt;""),J2187*K2187,"")</f>
        <v/>
      </c>
      <c r="M2187" s="81" t="str">
        <f aca="false">IF(L2187&lt;&gt;"",L2187*1.1,"")</f>
        <v/>
      </c>
      <c r="N2187" s="47" t="n">
        <f aca="false">IF(F2187="S",L2187*0.02,0)</f>
        <v>0</v>
      </c>
      <c r="O2187" s="82" t="str">
        <f aca="false">IF(L2187&lt;&gt;"",L2187+N2187,"")</f>
        <v/>
      </c>
      <c r="P2187" s="47" t="str">
        <f aca="false">IF(O2187&lt;&gt;"",O2187*0.1,"")</f>
        <v/>
      </c>
      <c r="Q2187" s="83" t="str">
        <f aca="false">IF(O2187&lt;&gt;"",O2187+P2187,"")</f>
        <v/>
      </c>
      <c r="R2187" s="84"/>
    </row>
    <row r="2188" customFormat="false" ht="15" hidden="false" customHeight="true" outlineLevel="0" collapsed="false">
      <c r="A2188" s="103"/>
      <c r="B2188" s="73"/>
      <c r="C2188" s="74"/>
      <c r="D2188" s="75"/>
      <c r="E2188" s="52" t="str">
        <f aca="false">IF(D2188&lt;&gt;"",IFERROR(VLOOKUP(D2188,PROVEEDORES!$A:$B,2,0),"!COD NO ENCONTRADO"),"")</f>
        <v/>
      </c>
      <c r="F2188" s="76" t="str">
        <f aca="false">IF(D2188&lt;&gt;"",IFERROR(VLOOKUP(D2188,PROVEEDORES!$A:$C,3,0),""),"")</f>
        <v/>
      </c>
      <c r="G2188" s="75"/>
      <c r="H2188" s="52" t="str">
        <f aca="false">IF(G2188&lt;&gt;"",IFERROR(VLOOKUP(G2188,PRODUCTOS!$A:$B,2,0),"!COD NO ENCONTRADO"),"")</f>
        <v/>
      </c>
      <c r="I2188" s="77"/>
      <c r="J2188" s="78"/>
      <c r="K2188" s="79"/>
      <c r="L2188" s="80" t="str">
        <f aca="false">IF(AND(J2188&lt;&gt;"",K2188&lt;&gt;""),J2188*K2188,"")</f>
        <v/>
      </c>
      <c r="M2188" s="81" t="str">
        <f aca="false">IF(L2188&lt;&gt;"",L2188*1.1,"")</f>
        <v/>
      </c>
      <c r="N2188" s="53" t="n">
        <f aca="false">IF(F2188="S",L2188*0.02,0)</f>
        <v>0</v>
      </c>
      <c r="O2188" s="82" t="str">
        <f aca="false">IF(L2188&lt;&gt;"",L2188+N2188,"")</f>
        <v/>
      </c>
      <c r="P2188" s="53" t="str">
        <f aca="false">IF(O2188&lt;&gt;"",O2188*0.1,"")</f>
        <v/>
      </c>
      <c r="Q2188" s="83" t="str">
        <f aca="false">IF(O2188&lt;&gt;"",O2188+P2188,"")</f>
        <v/>
      </c>
      <c r="R2188" s="84"/>
    </row>
    <row r="2189" customFormat="false" ht="15" hidden="false" customHeight="true" outlineLevel="0" collapsed="false">
      <c r="A2189" s="103"/>
      <c r="B2189" s="85"/>
      <c r="C2189" s="86"/>
      <c r="D2189" s="87"/>
      <c r="E2189" s="46" t="str">
        <f aca="false">IF(D2189&lt;&gt;"",IFERROR(VLOOKUP(D2189,PROVEEDORES!$A:$B,2,0),"!COD NO ENCONTRADO"),"")</f>
        <v/>
      </c>
      <c r="F2189" s="88" t="str">
        <f aca="false">IF(D2189&lt;&gt;"",IFERROR(VLOOKUP(D2189,PROVEEDORES!$A:$C,3,0),""),"")</f>
        <v/>
      </c>
      <c r="G2189" s="87"/>
      <c r="H2189" s="46" t="str">
        <f aca="false">IF(G2189&lt;&gt;"",IFERROR(VLOOKUP(G2189,PRODUCTOS!$A:$B,2,0),"!COD NO ENCONTRADO"),"")</f>
        <v/>
      </c>
      <c r="I2189" s="89"/>
      <c r="J2189" s="90"/>
      <c r="K2189" s="91"/>
      <c r="L2189" s="80" t="str">
        <f aca="false">IF(AND(J2189&lt;&gt;"",K2189&lt;&gt;""),J2189*K2189,"")</f>
        <v/>
      </c>
      <c r="M2189" s="81" t="str">
        <f aca="false">IF(L2189&lt;&gt;"",L2189*1.1,"")</f>
        <v/>
      </c>
      <c r="N2189" s="47" t="n">
        <f aca="false">IF(F2189="S",L2189*0.02,0)</f>
        <v>0</v>
      </c>
      <c r="O2189" s="82" t="str">
        <f aca="false">IF(L2189&lt;&gt;"",L2189+N2189,"")</f>
        <v/>
      </c>
      <c r="P2189" s="47" t="str">
        <f aca="false">IF(O2189&lt;&gt;"",O2189*0.1,"")</f>
        <v/>
      </c>
      <c r="Q2189" s="83" t="str">
        <f aca="false">IF(O2189&lt;&gt;"",O2189+P2189,"")</f>
        <v/>
      </c>
      <c r="R2189" s="84"/>
    </row>
    <row r="2190" customFormat="false" ht="15" hidden="false" customHeight="true" outlineLevel="0" collapsed="false">
      <c r="A2190" s="103"/>
      <c r="B2190" s="73"/>
      <c r="C2190" s="74"/>
      <c r="D2190" s="75"/>
      <c r="E2190" s="52" t="str">
        <f aca="false">IF(D2190&lt;&gt;"",IFERROR(VLOOKUP(D2190,PROVEEDORES!$A:$B,2,0),"!COD NO ENCONTRADO"),"")</f>
        <v/>
      </c>
      <c r="F2190" s="76" t="str">
        <f aca="false">IF(D2190&lt;&gt;"",IFERROR(VLOOKUP(D2190,PROVEEDORES!$A:$C,3,0),""),"")</f>
        <v/>
      </c>
      <c r="G2190" s="75"/>
      <c r="H2190" s="52" t="str">
        <f aca="false">IF(G2190&lt;&gt;"",IFERROR(VLOOKUP(G2190,PRODUCTOS!$A:$B,2,0),"!COD NO ENCONTRADO"),"")</f>
        <v/>
      </c>
      <c r="I2190" s="77"/>
      <c r="J2190" s="78"/>
      <c r="K2190" s="79"/>
      <c r="L2190" s="80" t="str">
        <f aca="false">IF(AND(J2190&lt;&gt;"",K2190&lt;&gt;""),J2190*K2190,"")</f>
        <v/>
      </c>
      <c r="M2190" s="81" t="str">
        <f aca="false">IF(L2190&lt;&gt;"",L2190*1.1,"")</f>
        <v/>
      </c>
      <c r="N2190" s="53" t="n">
        <f aca="false">IF(F2190="S",L2190*0.02,0)</f>
        <v>0</v>
      </c>
      <c r="O2190" s="82" t="str">
        <f aca="false">IF(L2190&lt;&gt;"",L2190+N2190,"")</f>
        <v/>
      </c>
      <c r="P2190" s="53" t="str">
        <f aca="false">IF(O2190&lt;&gt;"",O2190*0.1,"")</f>
        <v/>
      </c>
      <c r="Q2190" s="83" t="str">
        <f aca="false">IF(O2190&lt;&gt;"",O2190+P2190,"")</f>
        <v/>
      </c>
      <c r="R2190" s="84"/>
    </row>
    <row r="2191" customFormat="false" ht="15" hidden="false" customHeight="true" outlineLevel="0" collapsed="false">
      <c r="A2191" s="103"/>
      <c r="B2191" s="85"/>
      <c r="C2191" s="86"/>
      <c r="D2191" s="87"/>
      <c r="E2191" s="46" t="str">
        <f aca="false">IF(D2191&lt;&gt;"",IFERROR(VLOOKUP(D2191,PROVEEDORES!$A:$B,2,0),"!COD NO ENCONTRADO"),"")</f>
        <v/>
      </c>
      <c r="F2191" s="88" t="str">
        <f aca="false">IF(D2191&lt;&gt;"",IFERROR(VLOOKUP(D2191,PROVEEDORES!$A:$C,3,0),""),"")</f>
        <v/>
      </c>
      <c r="G2191" s="87"/>
      <c r="H2191" s="46" t="str">
        <f aca="false">IF(G2191&lt;&gt;"",IFERROR(VLOOKUP(G2191,PRODUCTOS!$A:$B,2,0),"!COD NO ENCONTRADO"),"")</f>
        <v/>
      </c>
      <c r="I2191" s="89"/>
      <c r="J2191" s="90"/>
      <c r="K2191" s="91"/>
      <c r="L2191" s="80" t="str">
        <f aca="false">IF(AND(J2191&lt;&gt;"",K2191&lt;&gt;""),J2191*K2191,"")</f>
        <v/>
      </c>
      <c r="M2191" s="81" t="str">
        <f aca="false">IF(L2191&lt;&gt;"",L2191*1.1,"")</f>
        <v/>
      </c>
      <c r="N2191" s="47" t="n">
        <f aca="false">IF(F2191="S",L2191*0.02,0)</f>
        <v>0</v>
      </c>
      <c r="O2191" s="82" t="str">
        <f aca="false">IF(L2191&lt;&gt;"",L2191+N2191,"")</f>
        <v/>
      </c>
      <c r="P2191" s="47" t="str">
        <f aca="false">IF(O2191&lt;&gt;"",O2191*0.1,"")</f>
        <v/>
      </c>
      <c r="Q2191" s="83" t="str">
        <f aca="false">IF(O2191&lt;&gt;"",O2191+P2191,"")</f>
        <v/>
      </c>
      <c r="R2191" s="84"/>
    </row>
    <row r="2192" customFormat="false" ht="15" hidden="false" customHeight="true" outlineLevel="0" collapsed="false">
      <c r="A2192" s="103"/>
      <c r="B2192" s="73"/>
      <c r="C2192" s="74"/>
      <c r="D2192" s="75"/>
      <c r="E2192" s="52" t="str">
        <f aca="false">IF(D2192&lt;&gt;"",IFERROR(VLOOKUP(D2192,PROVEEDORES!$A:$B,2,0),"!COD NO ENCONTRADO"),"")</f>
        <v/>
      </c>
      <c r="F2192" s="76" t="str">
        <f aca="false">IF(D2192&lt;&gt;"",IFERROR(VLOOKUP(D2192,PROVEEDORES!$A:$C,3,0),""),"")</f>
        <v/>
      </c>
      <c r="G2192" s="75"/>
      <c r="H2192" s="52" t="str">
        <f aca="false">IF(G2192&lt;&gt;"",IFERROR(VLOOKUP(G2192,PRODUCTOS!$A:$B,2,0),"!COD NO ENCONTRADO"),"")</f>
        <v/>
      </c>
      <c r="I2192" s="77"/>
      <c r="J2192" s="78"/>
      <c r="K2192" s="79"/>
      <c r="L2192" s="80" t="str">
        <f aca="false">IF(AND(J2192&lt;&gt;"",K2192&lt;&gt;""),J2192*K2192,"")</f>
        <v/>
      </c>
      <c r="M2192" s="81" t="str">
        <f aca="false">IF(L2192&lt;&gt;"",L2192*1.1,"")</f>
        <v/>
      </c>
      <c r="N2192" s="53" t="n">
        <f aca="false">IF(F2192="S",L2192*0.02,0)</f>
        <v>0</v>
      </c>
      <c r="O2192" s="82" t="str">
        <f aca="false">IF(L2192&lt;&gt;"",L2192+N2192,"")</f>
        <v/>
      </c>
      <c r="P2192" s="53" t="str">
        <f aca="false">IF(O2192&lt;&gt;"",O2192*0.1,"")</f>
        <v/>
      </c>
      <c r="Q2192" s="83" t="str">
        <f aca="false">IF(O2192&lt;&gt;"",O2192+P2192,"")</f>
        <v/>
      </c>
      <c r="R2192" s="84"/>
    </row>
    <row r="2193" customFormat="false" ht="15" hidden="false" customHeight="true" outlineLevel="0" collapsed="false">
      <c r="A2193" s="103"/>
      <c r="B2193" s="85"/>
      <c r="C2193" s="86"/>
      <c r="D2193" s="87"/>
      <c r="E2193" s="46" t="str">
        <f aca="false">IF(D2193&lt;&gt;"",IFERROR(VLOOKUP(D2193,PROVEEDORES!$A:$B,2,0),"!COD NO ENCONTRADO"),"")</f>
        <v/>
      </c>
      <c r="F2193" s="88" t="str">
        <f aca="false">IF(D2193&lt;&gt;"",IFERROR(VLOOKUP(D2193,PROVEEDORES!$A:$C,3,0),""),"")</f>
        <v/>
      </c>
      <c r="G2193" s="87"/>
      <c r="H2193" s="46" t="str">
        <f aca="false">IF(G2193&lt;&gt;"",IFERROR(VLOOKUP(G2193,PRODUCTOS!$A:$B,2,0),"!COD NO ENCONTRADO"),"")</f>
        <v/>
      </c>
      <c r="I2193" s="89"/>
      <c r="J2193" s="90"/>
      <c r="K2193" s="91"/>
      <c r="L2193" s="80" t="str">
        <f aca="false">IF(AND(J2193&lt;&gt;"",K2193&lt;&gt;""),J2193*K2193,"")</f>
        <v/>
      </c>
      <c r="M2193" s="81" t="str">
        <f aca="false">IF(L2193&lt;&gt;"",L2193*1.1,"")</f>
        <v/>
      </c>
      <c r="N2193" s="47" t="n">
        <f aca="false">IF(F2193="S",L2193*0.02,0)</f>
        <v>0</v>
      </c>
      <c r="O2193" s="82" t="str">
        <f aca="false">IF(L2193&lt;&gt;"",L2193+N2193,"")</f>
        <v/>
      </c>
      <c r="P2193" s="47" t="str">
        <f aca="false">IF(O2193&lt;&gt;"",O2193*0.1,"")</f>
        <v/>
      </c>
      <c r="Q2193" s="83" t="str">
        <f aca="false">IF(O2193&lt;&gt;"",O2193+P2193,"")</f>
        <v/>
      </c>
      <c r="R2193" s="84"/>
    </row>
    <row r="2194" customFormat="false" ht="15" hidden="false" customHeight="true" outlineLevel="0" collapsed="false">
      <c r="A2194" s="103"/>
      <c r="B2194" s="73"/>
      <c r="C2194" s="74"/>
      <c r="D2194" s="75"/>
      <c r="E2194" s="52" t="str">
        <f aca="false">IF(D2194&lt;&gt;"",IFERROR(VLOOKUP(D2194,PROVEEDORES!$A:$B,2,0),"!COD NO ENCONTRADO"),"")</f>
        <v/>
      </c>
      <c r="F2194" s="76" t="str">
        <f aca="false">IF(D2194&lt;&gt;"",IFERROR(VLOOKUP(D2194,PROVEEDORES!$A:$C,3,0),""),"")</f>
        <v/>
      </c>
      <c r="G2194" s="75"/>
      <c r="H2194" s="52" t="str">
        <f aca="false">IF(G2194&lt;&gt;"",IFERROR(VLOOKUP(G2194,PRODUCTOS!$A:$B,2,0),"!COD NO ENCONTRADO"),"")</f>
        <v/>
      </c>
      <c r="I2194" s="77"/>
      <c r="J2194" s="78"/>
      <c r="K2194" s="79"/>
      <c r="L2194" s="80" t="str">
        <f aca="false">IF(AND(J2194&lt;&gt;"",K2194&lt;&gt;""),J2194*K2194,"")</f>
        <v/>
      </c>
      <c r="M2194" s="81" t="str">
        <f aca="false">IF(L2194&lt;&gt;"",L2194*1.1,"")</f>
        <v/>
      </c>
      <c r="N2194" s="53" t="n">
        <f aca="false">IF(F2194="S",L2194*0.02,0)</f>
        <v>0</v>
      </c>
      <c r="O2194" s="82" t="str">
        <f aca="false">IF(L2194&lt;&gt;"",L2194+N2194,"")</f>
        <v/>
      </c>
      <c r="P2194" s="53" t="str">
        <f aca="false">IF(O2194&lt;&gt;"",O2194*0.1,"")</f>
        <v/>
      </c>
      <c r="Q2194" s="83" t="str">
        <f aca="false">IF(O2194&lt;&gt;"",O2194+P2194,"")</f>
        <v/>
      </c>
      <c r="R2194" s="84"/>
    </row>
    <row r="2195" customFormat="false" ht="15" hidden="false" customHeight="true" outlineLevel="0" collapsed="false">
      <c r="A2195" s="103"/>
      <c r="B2195" s="85"/>
      <c r="C2195" s="86"/>
      <c r="D2195" s="87"/>
      <c r="E2195" s="46" t="str">
        <f aca="false">IF(D2195&lt;&gt;"",IFERROR(VLOOKUP(D2195,PROVEEDORES!$A:$B,2,0),"!COD NO ENCONTRADO"),"")</f>
        <v/>
      </c>
      <c r="F2195" s="88" t="str">
        <f aca="false">IF(D2195&lt;&gt;"",IFERROR(VLOOKUP(D2195,PROVEEDORES!$A:$C,3,0),""),"")</f>
        <v/>
      </c>
      <c r="G2195" s="87"/>
      <c r="H2195" s="46" t="str">
        <f aca="false">IF(G2195&lt;&gt;"",IFERROR(VLOOKUP(G2195,PRODUCTOS!$A:$B,2,0),"!COD NO ENCONTRADO"),"")</f>
        <v/>
      </c>
      <c r="I2195" s="89"/>
      <c r="J2195" s="90"/>
      <c r="K2195" s="91"/>
      <c r="L2195" s="80" t="str">
        <f aca="false">IF(AND(J2195&lt;&gt;"",K2195&lt;&gt;""),J2195*K2195,"")</f>
        <v/>
      </c>
      <c r="M2195" s="81" t="str">
        <f aca="false">IF(L2195&lt;&gt;"",L2195*1.1,"")</f>
        <v/>
      </c>
      <c r="N2195" s="47" t="n">
        <f aca="false">IF(F2195="S",L2195*0.02,0)</f>
        <v>0</v>
      </c>
      <c r="O2195" s="82" t="str">
        <f aca="false">IF(L2195&lt;&gt;"",L2195+N2195,"")</f>
        <v/>
      </c>
      <c r="P2195" s="47" t="str">
        <f aca="false">IF(O2195&lt;&gt;"",O2195*0.1,"")</f>
        <v/>
      </c>
      <c r="Q2195" s="83" t="str">
        <f aca="false">IF(O2195&lt;&gt;"",O2195+P2195,"")</f>
        <v/>
      </c>
      <c r="R2195" s="84"/>
    </row>
    <row r="2196" customFormat="false" ht="15" hidden="false" customHeight="true" outlineLevel="0" collapsed="false">
      <c r="A2196" s="103"/>
      <c r="B2196" s="73"/>
      <c r="C2196" s="74"/>
      <c r="D2196" s="75"/>
      <c r="E2196" s="52" t="str">
        <f aca="false">IF(D2196&lt;&gt;"",IFERROR(VLOOKUP(D2196,PROVEEDORES!$A:$B,2,0),"!COD NO ENCONTRADO"),"")</f>
        <v/>
      </c>
      <c r="F2196" s="76" t="str">
        <f aca="false">IF(D2196&lt;&gt;"",IFERROR(VLOOKUP(D2196,PROVEEDORES!$A:$C,3,0),""),"")</f>
        <v/>
      </c>
      <c r="G2196" s="75"/>
      <c r="H2196" s="52" t="str">
        <f aca="false">IF(G2196&lt;&gt;"",IFERROR(VLOOKUP(G2196,PRODUCTOS!$A:$B,2,0),"!COD NO ENCONTRADO"),"")</f>
        <v/>
      </c>
      <c r="I2196" s="77"/>
      <c r="J2196" s="78"/>
      <c r="K2196" s="79"/>
      <c r="L2196" s="80" t="str">
        <f aca="false">IF(AND(J2196&lt;&gt;"",K2196&lt;&gt;""),J2196*K2196,"")</f>
        <v/>
      </c>
      <c r="M2196" s="81" t="str">
        <f aca="false">IF(L2196&lt;&gt;"",L2196*1.1,"")</f>
        <v/>
      </c>
      <c r="N2196" s="53" t="n">
        <f aca="false">IF(F2196="S",L2196*0.02,0)</f>
        <v>0</v>
      </c>
      <c r="O2196" s="82" t="str">
        <f aca="false">IF(L2196&lt;&gt;"",L2196+N2196,"")</f>
        <v/>
      </c>
      <c r="P2196" s="53" t="str">
        <f aca="false">IF(O2196&lt;&gt;"",O2196*0.1,"")</f>
        <v/>
      </c>
      <c r="Q2196" s="83" t="str">
        <f aca="false">IF(O2196&lt;&gt;"",O2196+P2196,"")</f>
        <v/>
      </c>
      <c r="R2196" s="84"/>
    </row>
    <row r="2197" customFormat="false" ht="15" hidden="false" customHeight="true" outlineLevel="0" collapsed="false">
      <c r="A2197" s="103"/>
      <c r="B2197" s="85"/>
      <c r="C2197" s="86"/>
      <c r="D2197" s="87"/>
      <c r="E2197" s="46" t="str">
        <f aca="false">IF(D2197&lt;&gt;"",IFERROR(VLOOKUP(D2197,PROVEEDORES!$A:$B,2,0),"!COD NO ENCONTRADO"),"")</f>
        <v/>
      </c>
      <c r="F2197" s="88" t="str">
        <f aca="false">IF(D2197&lt;&gt;"",IFERROR(VLOOKUP(D2197,PROVEEDORES!$A:$C,3,0),""),"")</f>
        <v/>
      </c>
      <c r="G2197" s="87"/>
      <c r="H2197" s="46" t="str">
        <f aca="false">IF(G2197&lt;&gt;"",IFERROR(VLOOKUP(G2197,PRODUCTOS!$A:$B,2,0),"!COD NO ENCONTRADO"),"")</f>
        <v/>
      </c>
      <c r="I2197" s="89"/>
      <c r="J2197" s="90"/>
      <c r="K2197" s="91"/>
      <c r="L2197" s="80" t="str">
        <f aca="false">IF(AND(J2197&lt;&gt;"",K2197&lt;&gt;""),J2197*K2197,"")</f>
        <v/>
      </c>
      <c r="M2197" s="81" t="str">
        <f aca="false">IF(L2197&lt;&gt;"",L2197*1.1,"")</f>
        <v/>
      </c>
      <c r="N2197" s="47" t="n">
        <f aca="false">IF(F2197="S",L2197*0.02,0)</f>
        <v>0</v>
      </c>
      <c r="O2197" s="82" t="str">
        <f aca="false">IF(L2197&lt;&gt;"",L2197+N2197,"")</f>
        <v/>
      </c>
      <c r="P2197" s="47" t="str">
        <f aca="false">IF(O2197&lt;&gt;"",O2197*0.1,"")</f>
        <v/>
      </c>
      <c r="Q2197" s="83" t="str">
        <f aca="false">IF(O2197&lt;&gt;"",O2197+P2197,"")</f>
        <v/>
      </c>
      <c r="R2197" s="84"/>
    </row>
    <row r="2198" customFormat="false" ht="15" hidden="false" customHeight="true" outlineLevel="0" collapsed="false">
      <c r="A2198" s="103"/>
      <c r="B2198" s="73"/>
      <c r="C2198" s="74"/>
      <c r="D2198" s="75"/>
      <c r="E2198" s="52" t="str">
        <f aca="false">IF(D2198&lt;&gt;"",IFERROR(VLOOKUP(D2198,PROVEEDORES!$A:$B,2,0),"!COD NO ENCONTRADO"),"")</f>
        <v/>
      </c>
      <c r="F2198" s="76" t="str">
        <f aca="false">IF(D2198&lt;&gt;"",IFERROR(VLOOKUP(D2198,PROVEEDORES!$A:$C,3,0),""),"")</f>
        <v/>
      </c>
      <c r="G2198" s="75"/>
      <c r="H2198" s="52" t="str">
        <f aca="false">IF(G2198&lt;&gt;"",IFERROR(VLOOKUP(G2198,PRODUCTOS!$A:$B,2,0),"!COD NO ENCONTRADO"),"")</f>
        <v/>
      </c>
      <c r="I2198" s="77"/>
      <c r="J2198" s="78"/>
      <c r="K2198" s="79"/>
      <c r="L2198" s="80" t="str">
        <f aca="false">IF(AND(J2198&lt;&gt;"",K2198&lt;&gt;""),J2198*K2198,"")</f>
        <v/>
      </c>
      <c r="M2198" s="81" t="str">
        <f aca="false">IF(L2198&lt;&gt;"",L2198*1.1,"")</f>
        <v/>
      </c>
      <c r="N2198" s="53" t="n">
        <f aca="false">IF(F2198="S",L2198*0.02,0)</f>
        <v>0</v>
      </c>
      <c r="O2198" s="82" t="str">
        <f aca="false">IF(L2198&lt;&gt;"",L2198+N2198,"")</f>
        <v/>
      </c>
      <c r="P2198" s="53" t="str">
        <f aca="false">IF(O2198&lt;&gt;"",O2198*0.1,"")</f>
        <v/>
      </c>
      <c r="Q2198" s="83" t="str">
        <f aca="false">IF(O2198&lt;&gt;"",O2198+P2198,"")</f>
        <v/>
      </c>
      <c r="R2198" s="84"/>
    </row>
    <row r="2199" customFormat="false" ht="15" hidden="false" customHeight="true" outlineLevel="0" collapsed="false">
      <c r="A2199" s="103"/>
      <c r="B2199" s="85"/>
      <c r="C2199" s="86"/>
      <c r="D2199" s="87"/>
      <c r="E2199" s="46" t="str">
        <f aca="false">IF(D2199&lt;&gt;"",IFERROR(VLOOKUP(D2199,PROVEEDORES!$A:$B,2,0),"!COD NO ENCONTRADO"),"")</f>
        <v/>
      </c>
      <c r="F2199" s="88" t="str">
        <f aca="false">IF(D2199&lt;&gt;"",IFERROR(VLOOKUP(D2199,PROVEEDORES!$A:$C,3,0),""),"")</f>
        <v/>
      </c>
      <c r="G2199" s="87"/>
      <c r="H2199" s="46" t="str">
        <f aca="false">IF(G2199&lt;&gt;"",IFERROR(VLOOKUP(G2199,PRODUCTOS!$A:$B,2,0),"!COD NO ENCONTRADO"),"")</f>
        <v/>
      </c>
      <c r="I2199" s="89"/>
      <c r="J2199" s="90"/>
      <c r="K2199" s="91"/>
      <c r="L2199" s="80" t="str">
        <f aca="false">IF(AND(J2199&lt;&gt;"",K2199&lt;&gt;""),J2199*K2199,"")</f>
        <v/>
      </c>
      <c r="M2199" s="81" t="str">
        <f aca="false">IF(L2199&lt;&gt;"",L2199*1.1,"")</f>
        <v/>
      </c>
      <c r="N2199" s="47" t="n">
        <f aca="false">IF(F2199="S",L2199*0.02,0)</f>
        <v>0</v>
      </c>
      <c r="O2199" s="82" t="str">
        <f aca="false">IF(L2199&lt;&gt;"",L2199+N2199,"")</f>
        <v/>
      </c>
      <c r="P2199" s="47" t="str">
        <f aca="false">IF(O2199&lt;&gt;"",O2199*0.1,"")</f>
        <v/>
      </c>
      <c r="Q2199" s="83" t="str">
        <f aca="false">IF(O2199&lt;&gt;"",O2199+P2199,"")</f>
        <v/>
      </c>
      <c r="R2199" s="84"/>
    </row>
    <row r="2200" customFormat="false" ht="15" hidden="false" customHeight="true" outlineLevel="0" collapsed="false">
      <c r="A2200" s="103"/>
      <c r="B2200" s="73"/>
      <c r="C2200" s="74"/>
      <c r="D2200" s="75"/>
      <c r="E2200" s="52" t="str">
        <f aca="false">IF(D2200&lt;&gt;"",IFERROR(VLOOKUP(D2200,PROVEEDORES!$A:$B,2,0),"!COD NO ENCONTRADO"),"")</f>
        <v/>
      </c>
      <c r="F2200" s="76" t="str">
        <f aca="false">IF(D2200&lt;&gt;"",IFERROR(VLOOKUP(D2200,PROVEEDORES!$A:$C,3,0),""),"")</f>
        <v/>
      </c>
      <c r="G2200" s="75"/>
      <c r="H2200" s="52" t="str">
        <f aca="false">IF(G2200&lt;&gt;"",IFERROR(VLOOKUP(G2200,PRODUCTOS!$A:$B,2,0),"!COD NO ENCONTRADO"),"")</f>
        <v/>
      </c>
      <c r="I2200" s="77"/>
      <c r="J2200" s="78"/>
      <c r="K2200" s="79"/>
      <c r="L2200" s="80" t="str">
        <f aca="false">IF(AND(J2200&lt;&gt;"",K2200&lt;&gt;""),J2200*K2200,"")</f>
        <v/>
      </c>
      <c r="M2200" s="81" t="str">
        <f aca="false">IF(L2200&lt;&gt;"",L2200*1.1,"")</f>
        <v/>
      </c>
      <c r="N2200" s="53" t="n">
        <f aca="false">IF(F2200="S",L2200*0.02,0)</f>
        <v>0</v>
      </c>
      <c r="O2200" s="82" t="str">
        <f aca="false">IF(L2200&lt;&gt;"",L2200+N2200,"")</f>
        <v/>
      </c>
      <c r="P2200" s="53" t="str">
        <f aca="false">IF(O2200&lt;&gt;"",O2200*0.1,"")</f>
        <v/>
      </c>
      <c r="Q2200" s="83" t="str">
        <f aca="false">IF(O2200&lt;&gt;"",O2200+P2200,"")</f>
        <v/>
      </c>
      <c r="R2200" s="84"/>
    </row>
    <row r="2201" customFormat="false" ht="15" hidden="false" customHeight="true" outlineLevel="0" collapsed="false">
      <c r="A2201" s="103"/>
      <c r="B2201" s="85"/>
      <c r="C2201" s="86"/>
      <c r="D2201" s="87"/>
      <c r="E2201" s="46" t="str">
        <f aca="false">IF(D2201&lt;&gt;"",IFERROR(VLOOKUP(D2201,PROVEEDORES!$A:$B,2,0),"!COD NO ENCONTRADO"),"")</f>
        <v/>
      </c>
      <c r="F2201" s="88" t="str">
        <f aca="false">IF(D2201&lt;&gt;"",IFERROR(VLOOKUP(D2201,PROVEEDORES!$A:$C,3,0),""),"")</f>
        <v/>
      </c>
      <c r="G2201" s="87"/>
      <c r="H2201" s="46" t="str">
        <f aca="false">IF(G2201&lt;&gt;"",IFERROR(VLOOKUP(G2201,PRODUCTOS!$A:$B,2,0),"!COD NO ENCONTRADO"),"")</f>
        <v/>
      </c>
      <c r="I2201" s="89"/>
      <c r="J2201" s="90"/>
      <c r="K2201" s="91"/>
      <c r="L2201" s="80" t="str">
        <f aca="false">IF(AND(J2201&lt;&gt;"",K2201&lt;&gt;""),J2201*K2201,"")</f>
        <v/>
      </c>
      <c r="M2201" s="81" t="str">
        <f aca="false">IF(L2201&lt;&gt;"",L2201*1.1,"")</f>
        <v/>
      </c>
      <c r="N2201" s="47" t="n">
        <f aca="false">IF(F2201="S",L2201*0.02,0)</f>
        <v>0</v>
      </c>
      <c r="O2201" s="82" t="str">
        <f aca="false">IF(L2201&lt;&gt;"",L2201+N2201,"")</f>
        <v/>
      </c>
      <c r="P2201" s="47" t="str">
        <f aca="false">IF(O2201&lt;&gt;"",O2201*0.1,"")</f>
        <v/>
      </c>
      <c r="Q2201" s="83" t="str">
        <f aca="false">IF(O2201&lt;&gt;"",O2201+P2201,"")</f>
        <v/>
      </c>
      <c r="R2201" s="84"/>
    </row>
    <row r="2202" customFormat="false" ht="15" hidden="false" customHeight="true" outlineLevel="0" collapsed="false">
      <c r="A2202" s="103"/>
      <c r="B2202" s="73"/>
      <c r="C2202" s="74"/>
      <c r="D2202" s="75"/>
      <c r="E2202" s="52" t="str">
        <f aca="false">IF(D2202&lt;&gt;"",IFERROR(VLOOKUP(D2202,PROVEEDORES!$A:$B,2,0),"!COD NO ENCONTRADO"),"")</f>
        <v/>
      </c>
      <c r="F2202" s="76" t="str">
        <f aca="false">IF(D2202&lt;&gt;"",IFERROR(VLOOKUP(D2202,PROVEEDORES!$A:$C,3,0),""),"")</f>
        <v/>
      </c>
      <c r="G2202" s="75"/>
      <c r="H2202" s="52" t="str">
        <f aca="false">IF(G2202&lt;&gt;"",IFERROR(VLOOKUP(G2202,PRODUCTOS!$A:$B,2,0),"!COD NO ENCONTRADO"),"")</f>
        <v/>
      </c>
      <c r="I2202" s="77"/>
      <c r="J2202" s="78"/>
      <c r="K2202" s="79"/>
      <c r="L2202" s="80" t="str">
        <f aca="false">IF(AND(J2202&lt;&gt;"",K2202&lt;&gt;""),J2202*K2202,"")</f>
        <v/>
      </c>
      <c r="M2202" s="81" t="str">
        <f aca="false">IF(L2202&lt;&gt;"",L2202*1.1,"")</f>
        <v/>
      </c>
      <c r="N2202" s="53" t="n">
        <f aca="false">IF(F2202="S",L2202*0.02,0)</f>
        <v>0</v>
      </c>
      <c r="O2202" s="82" t="str">
        <f aca="false">IF(L2202&lt;&gt;"",L2202+N2202,"")</f>
        <v/>
      </c>
      <c r="P2202" s="53" t="str">
        <f aca="false">IF(O2202&lt;&gt;"",O2202*0.1,"")</f>
        <v/>
      </c>
      <c r="Q2202" s="83" t="str">
        <f aca="false">IF(O2202&lt;&gt;"",O2202+P2202,"")</f>
        <v/>
      </c>
      <c r="R2202" s="84"/>
    </row>
    <row r="2203" customFormat="false" ht="15" hidden="false" customHeight="true" outlineLevel="0" collapsed="false">
      <c r="A2203" s="103"/>
      <c r="B2203" s="85"/>
      <c r="C2203" s="86"/>
      <c r="D2203" s="87"/>
      <c r="E2203" s="46" t="str">
        <f aca="false">IF(D2203&lt;&gt;"",IFERROR(VLOOKUP(D2203,PROVEEDORES!$A:$B,2,0),"!COD NO ENCONTRADO"),"")</f>
        <v/>
      </c>
      <c r="F2203" s="88" t="str">
        <f aca="false">IF(D2203&lt;&gt;"",IFERROR(VLOOKUP(D2203,PROVEEDORES!$A:$C,3,0),""),"")</f>
        <v/>
      </c>
      <c r="G2203" s="87"/>
      <c r="H2203" s="46" t="str">
        <f aca="false">IF(G2203&lt;&gt;"",IFERROR(VLOOKUP(G2203,PRODUCTOS!$A:$B,2,0),"!COD NO ENCONTRADO"),"")</f>
        <v/>
      </c>
      <c r="I2203" s="89"/>
      <c r="J2203" s="90"/>
      <c r="K2203" s="91"/>
      <c r="L2203" s="80" t="str">
        <f aca="false">IF(AND(J2203&lt;&gt;"",K2203&lt;&gt;""),J2203*K2203,"")</f>
        <v/>
      </c>
      <c r="M2203" s="81" t="str">
        <f aca="false">IF(L2203&lt;&gt;"",L2203*1.1,"")</f>
        <v/>
      </c>
      <c r="N2203" s="47" t="n">
        <f aca="false">IF(F2203="S",L2203*0.02,0)</f>
        <v>0</v>
      </c>
      <c r="O2203" s="82" t="str">
        <f aca="false">IF(L2203&lt;&gt;"",L2203+N2203,"")</f>
        <v/>
      </c>
      <c r="P2203" s="47" t="str">
        <f aca="false">IF(O2203&lt;&gt;"",O2203*0.1,"")</f>
        <v/>
      </c>
      <c r="Q2203" s="83" t="str">
        <f aca="false">IF(O2203&lt;&gt;"",O2203+P2203,"")</f>
        <v/>
      </c>
      <c r="R2203" s="84"/>
    </row>
    <row r="2204" customFormat="false" ht="15" hidden="false" customHeight="true" outlineLevel="0" collapsed="false">
      <c r="A2204" s="103"/>
      <c r="B2204" s="73"/>
      <c r="C2204" s="74"/>
      <c r="D2204" s="75"/>
      <c r="E2204" s="52" t="str">
        <f aca="false">IF(D2204&lt;&gt;"",IFERROR(VLOOKUP(D2204,PROVEEDORES!$A:$B,2,0),"!COD NO ENCONTRADO"),"")</f>
        <v/>
      </c>
      <c r="F2204" s="76" t="str">
        <f aca="false">IF(D2204&lt;&gt;"",IFERROR(VLOOKUP(D2204,PROVEEDORES!$A:$C,3,0),""),"")</f>
        <v/>
      </c>
      <c r="G2204" s="75"/>
      <c r="H2204" s="52" t="str">
        <f aca="false">IF(G2204&lt;&gt;"",IFERROR(VLOOKUP(G2204,PRODUCTOS!$A:$B,2,0),"!COD NO ENCONTRADO"),"")</f>
        <v/>
      </c>
      <c r="I2204" s="77"/>
      <c r="J2204" s="78"/>
      <c r="K2204" s="79"/>
      <c r="L2204" s="80" t="str">
        <f aca="false">IF(AND(J2204&lt;&gt;"",K2204&lt;&gt;""),J2204*K2204,"")</f>
        <v/>
      </c>
      <c r="M2204" s="81" t="str">
        <f aca="false">IF(L2204&lt;&gt;"",L2204*1.1,"")</f>
        <v/>
      </c>
      <c r="N2204" s="53" t="n">
        <f aca="false">IF(F2204="S",L2204*0.02,0)</f>
        <v>0</v>
      </c>
      <c r="O2204" s="82" t="str">
        <f aca="false">IF(L2204&lt;&gt;"",L2204+N2204,"")</f>
        <v/>
      </c>
      <c r="P2204" s="53" t="str">
        <f aca="false">IF(O2204&lt;&gt;"",O2204*0.1,"")</f>
        <v/>
      </c>
      <c r="Q2204" s="83" t="str">
        <f aca="false">IF(O2204&lt;&gt;"",O2204+P2204,"")</f>
        <v/>
      </c>
      <c r="R2204" s="84"/>
    </row>
    <row r="2205" customFormat="false" ht="15" hidden="false" customHeight="true" outlineLevel="0" collapsed="false">
      <c r="A2205" s="103"/>
      <c r="B2205" s="85"/>
      <c r="C2205" s="86"/>
      <c r="D2205" s="87"/>
      <c r="E2205" s="46" t="str">
        <f aca="false">IF(D2205&lt;&gt;"",IFERROR(VLOOKUP(D2205,PROVEEDORES!$A:$B,2,0),"!COD NO ENCONTRADO"),"")</f>
        <v/>
      </c>
      <c r="F2205" s="88" t="str">
        <f aca="false">IF(D2205&lt;&gt;"",IFERROR(VLOOKUP(D2205,PROVEEDORES!$A:$C,3,0),""),"")</f>
        <v/>
      </c>
      <c r="G2205" s="87"/>
      <c r="H2205" s="46" t="str">
        <f aca="false">IF(G2205&lt;&gt;"",IFERROR(VLOOKUP(G2205,PRODUCTOS!$A:$B,2,0),"!COD NO ENCONTRADO"),"")</f>
        <v/>
      </c>
      <c r="I2205" s="89"/>
      <c r="J2205" s="90"/>
      <c r="K2205" s="91"/>
      <c r="L2205" s="80" t="str">
        <f aca="false">IF(AND(J2205&lt;&gt;"",K2205&lt;&gt;""),J2205*K2205,"")</f>
        <v/>
      </c>
      <c r="M2205" s="81" t="str">
        <f aca="false">IF(L2205&lt;&gt;"",L2205*1.1,"")</f>
        <v/>
      </c>
      <c r="N2205" s="47" t="n">
        <f aca="false">IF(F2205="S",L2205*0.02,0)</f>
        <v>0</v>
      </c>
      <c r="O2205" s="82" t="str">
        <f aca="false">IF(L2205&lt;&gt;"",L2205+N2205,"")</f>
        <v/>
      </c>
      <c r="P2205" s="47" t="str">
        <f aca="false">IF(O2205&lt;&gt;"",O2205*0.1,"")</f>
        <v/>
      </c>
      <c r="Q2205" s="83" t="str">
        <f aca="false">IF(O2205&lt;&gt;"",O2205+P2205,"")</f>
        <v/>
      </c>
      <c r="R2205" s="84"/>
    </row>
    <row r="2206" customFormat="false" ht="15" hidden="false" customHeight="true" outlineLevel="0" collapsed="false">
      <c r="A2206" s="103"/>
      <c r="B2206" s="73"/>
      <c r="C2206" s="74"/>
      <c r="D2206" s="75"/>
      <c r="E2206" s="52" t="str">
        <f aca="false">IF(D2206&lt;&gt;"",IFERROR(VLOOKUP(D2206,PROVEEDORES!$A:$B,2,0),"!COD NO ENCONTRADO"),"")</f>
        <v/>
      </c>
      <c r="F2206" s="76" t="str">
        <f aca="false">IF(D2206&lt;&gt;"",IFERROR(VLOOKUP(D2206,PROVEEDORES!$A:$C,3,0),""),"")</f>
        <v/>
      </c>
      <c r="G2206" s="75"/>
      <c r="H2206" s="52" t="str">
        <f aca="false">IF(G2206&lt;&gt;"",IFERROR(VLOOKUP(G2206,PRODUCTOS!$A:$B,2,0),"!COD NO ENCONTRADO"),"")</f>
        <v/>
      </c>
      <c r="I2206" s="77"/>
      <c r="J2206" s="78"/>
      <c r="K2206" s="79"/>
      <c r="L2206" s="80" t="str">
        <f aca="false">IF(AND(J2206&lt;&gt;"",K2206&lt;&gt;""),J2206*K2206,"")</f>
        <v/>
      </c>
      <c r="M2206" s="81" t="str">
        <f aca="false">IF(L2206&lt;&gt;"",L2206*1.1,"")</f>
        <v/>
      </c>
      <c r="N2206" s="53" t="n">
        <f aca="false">IF(F2206="S",L2206*0.02,0)</f>
        <v>0</v>
      </c>
      <c r="O2206" s="82" t="str">
        <f aca="false">IF(L2206&lt;&gt;"",L2206+N2206,"")</f>
        <v/>
      </c>
      <c r="P2206" s="53" t="str">
        <f aca="false">IF(O2206&lt;&gt;"",O2206*0.1,"")</f>
        <v/>
      </c>
      <c r="Q2206" s="83" t="str">
        <f aca="false">IF(O2206&lt;&gt;"",O2206+P2206,"")</f>
        <v/>
      </c>
      <c r="R2206" s="84"/>
    </row>
    <row r="2207" customFormat="false" ht="15" hidden="false" customHeight="true" outlineLevel="0" collapsed="false">
      <c r="A2207" s="103"/>
      <c r="B2207" s="85"/>
      <c r="C2207" s="86"/>
      <c r="D2207" s="87"/>
      <c r="E2207" s="46" t="str">
        <f aca="false">IF(D2207&lt;&gt;"",IFERROR(VLOOKUP(D2207,PROVEEDORES!$A:$B,2,0),"!COD NO ENCONTRADO"),"")</f>
        <v/>
      </c>
      <c r="F2207" s="88" t="str">
        <f aca="false">IF(D2207&lt;&gt;"",IFERROR(VLOOKUP(D2207,PROVEEDORES!$A:$C,3,0),""),"")</f>
        <v/>
      </c>
      <c r="G2207" s="87"/>
      <c r="H2207" s="46" t="str">
        <f aca="false">IF(G2207&lt;&gt;"",IFERROR(VLOOKUP(G2207,PRODUCTOS!$A:$B,2,0),"!COD NO ENCONTRADO"),"")</f>
        <v/>
      </c>
      <c r="I2207" s="89"/>
      <c r="J2207" s="90"/>
      <c r="K2207" s="91"/>
      <c r="L2207" s="80" t="str">
        <f aca="false">IF(AND(J2207&lt;&gt;"",K2207&lt;&gt;""),J2207*K2207,"")</f>
        <v/>
      </c>
      <c r="M2207" s="81" t="str">
        <f aca="false">IF(L2207&lt;&gt;"",L2207*1.1,"")</f>
        <v/>
      </c>
      <c r="N2207" s="47" t="n">
        <f aca="false">IF(F2207="S",L2207*0.02,0)</f>
        <v>0</v>
      </c>
      <c r="O2207" s="82" t="str">
        <f aca="false">IF(L2207&lt;&gt;"",L2207+N2207,"")</f>
        <v/>
      </c>
      <c r="P2207" s="47" t="str">
        <f aca="false">IF(O2207&lt;&gt;"",O2207*0.1,"")</f>
        <v/>
      </c>
      <c r="Q2207" s="83" t="str">
        <f aca="false">IF(O2207&lt;&gt;"",O2207+P2207,"")</f>
        <v/>
      </c>
      <c r="R2207" s="84"/>
    </row>
    <row r="2208" customFormat="false" ht="15" hidden="false" customHeight="true" outlineLevel="0" collapsed="false">
      <c r="A2208" s="103"/>
      <c r="B2208" s="73"/>
      <c r="C2208" s="74"/>
      <c r="D2208" s="75"/>
      <c r="E2208" s="52" t="str">
        <f aca="false">IF(D2208&lt;&gt;"",IFERROR(VLOOKUP(D2208,PROVEEDORES!$A:$B,2,0),"!COD NO ENCONTRADO"),"")</f>
        <v/>
      </c>
      <c r="F2208" s="76" t="str">
        <f aca="false">IF(D2208&lt;&gt;"",IFERROR(VLOOKUP(D2208,PROVEEDORES!$A:$C,3,0),""),"")</f>
        <v/>
      </c>
      <c r="G2208" s="75"/>
      <c r="H2208" s="52" t="str">
        <f aca="false">IF(G2208&lt;&gt;"",IFERROR(VLOOKUP(G2208,PRODUCTOS!$A:$B,2,0),"!COD NO ENCONTRADO"),"")</f>
        <v/>
      </c>
      <c r="I2208" s="77"/>
      <c r="J2208" s="78"/>
      <c r="K2208" s="79"/>
      <c r="L2208" s="80" t="str">
        <f aca="false">IF(AND(J2208&lt;&gt;"",K2208&lt;&gt;""),J2208*K2208,"")</f>
        <v/>
      </c>
      <c r="M2208" s="81" t="str">
        <f aca="false">IF(L2208&lt;&gt;"",L2208*1.1,"")</f>
        <v/>
      </c>
      <c r="N2208" s="53" t="n">
        <f aca="false">IF(F2208="S",L2208*0.02,0)</f>
        <v>0</v>
      </c>
      <c r="O2208" s="82" t="str">
        <f aca="false">IF(L2208&lt;&gt;"",L2208+N2208,"")</f>
        <v/>
      </c>
      <c r="P2208" s="53" t="str">
        <f aca="false">IF(O2208&lt;&gt;"",O2208*0.1,"")</f>
        <v/>
      </c>
      <c r="Q2208" s="83" t="str">
        <f aca="false">IF(O2208&lt;&gt;"",O2208+P2208,"")</f>
        <v/>
      </c>
      <c r="R2208" s="84"/>
    </row>
    <row r="2209" customFormat="false" ht="15" hidden="false" customHeight="true" outlineLevel="0" collapsed="false">
      <c r="A2209" s="103"/>
      <c r="B2209" s="85"/>
      <c r="C2209" s="86"/>
      <c r="D2209" s="87"/>
      <c r="E2209" s="46" t="str">
        <f aca="false">IF(D2209&lt;&gt;"",IFERROR(VLOOKUP(D2209,PROVEEDORES!$A:$B,2,0),"!COD NO ENCONTRADO"),"")</f>
        <v/>
      </c>
      <c r="F2209" s="88" t="str">
        <f aca="false">IF(D2209&lt;&gt;"",IFERROR(VLOOKUP(D2209,PROVEEDORES!$A:$C,3,0),""),"")</f>
        <v/>
      </c>
      <c r="G2209" s="87"/>
      <c r="H2209" s="46" t="str">
        <f aca="false">IF(G2209&lt;&gt;"",IFERROR(VLOOKUP(G2209,PRODUCTOS!$A:$B,2,0),"!COD NO ENCONTRADO"),"")</f>
        <v/>
      </c>
      <c r="I2209" s="89"/>
      <c r="J2209" s="90"/>
      <c r="K2209" s="91"/>
      <c r="L2209" s="80" t="str">
        <f aca="false">IF(AND(J2209&lt;&gt;"",K2209&lt;&gt;""),J2209*K2209,"")</f>
        <v/>
      </c>
      <c r="M2209" s="81" t="str">
        <f aca="false">IF(L2209&lt;&gt;"",L2209*1.1,"")</f>
        <v/>
      </c>
      <c r="N2209" s="47" t="n">
        <f aca="false">IF(F2209="S",L2209*0.02,0)</f>
        <v>0</v>
      </c>
      <c r="O2209" s="82" t="str">
        <f aca="false">IF(L2209&lt;&gt;"",L2209+N2209,"")</f>
        <v/>
      </c>
      <c r="P2209" s="47" t="str">
        <f aca="false">IF(O2209&lt;&gt;"",O2209*0.1,"")</f>
        <v/>
      </c>
      <c r="Q2209" s="83" t="str">
        <f aca="false">IF(O2209&lt;&gt;"",O2209+P2209,"")</f>
        <v/>
      </c>
      <c r="R2209" s="84"/>
    </row>
    <row r="2210" customFormat="false" ht="15" hidden="false" customHeight="true" outlineLevel="0" collapsed="false">
      <c r="A2210" s="103"/>
      <c r="B2210" s="73"/>
      <c r="C2210" s="74"/>
      <c r="D2210" s="75"/>
      <c r="E2210" s="52" t="str">
        <f aca="false">IF(D2210&lt;&gt;"",IFERROR(VLOOKUP(D2210,PROVEEDORES!$A:$B,2,0),"!COD NO ENCONTRADO"),"")</f>
        <v/>
      </c>
      <c r="F2210" s="76" t="str">
        <f aca="false">IF(D2210&lt;&gt;"",IFERROR(VLOOKUP(D2210,PROVEEDORES!$A:$C,3,0),""),"")</f>
        <v/>
      </c>
      <c r="G2210" s="75"/>
      <c r="H2210" s="52" t="str">
        <f aca="false">IF(G2210&lt;&gt;"",IFERROR(VLOOKUP(G2210,PRODUCTOS!$A:$B,2,0),"!COD NO ENCONTRADO"),"")</f>
        <v/>
      </c>
      <c r="I2210" s="77"/>
      <c r="J2210" s="78"/>
      <c r="K2210" s="79"/>
      <c r="L2210" s="80" t="str">
        <f aca="false">IF(AND(J2210&lt;&gt;"",K2210&lt;&gt;""),J2210*K2210,"")</f>
        <v/>
      </c>
      <c r="M2210" s="81" t="str">
        <f aca="false">IF(L2210&lt;&gt;"",L2210*1.1,"")</f>
        <v/>
      </c>
      <c r="N2210" s="53" t="n">
        <f aca="false">IF(F2210="S",L2210*0.02,0)</f>
        <v>0</v>
      </c>
      <c r="O2210" s="82" t="str">
        <f aca="false">IF(L2210&lt;&gt;"",L2210+N2210,"")</f>
        <v/>
      </c>
      <c r="P2210" s="53" t="str">
        <f aca="false">IF(O2210&lt;&gt;"",O2210*0.1,"")</f>
        <v/>
      </c>
      <c r="Q2210" s="83" t="str">
        <f aca="false">IF(O2210&lt;&gt;"",O2210+P2210,"")</f>
        <v/>
      </c>
      <c r="R2210" s="84"/>
    </row>
    <row r="2211" customFormat="false" ht="15" hidden="false" customHeight="true" outlineLevel="0" collapsed="false">
      <c r="A2211" s="103"/>
      <c r="B2211" s="85"/>
      <c r="C2211" s="86"/>
      <c r="D2211" s="87"/>
      <c r="E2211" s="46" t="str">
        <f aca="false">IF(D2211&lt;&gt;"",IFERROR(VLOOKUP(D2211,PROVEEDORES!$A:$B,2,0),"!COD NO ENCONTRADO"),"")</f>
        <v/>
      </c>
      <c r="F2211" s="88" t="str">
        <f aca="false">IF(D2211&lt;&gt;"",IFERROR(VLOOKUP(D2211,PROVEEDORES!$A:$C,3,0),""),"")</f>
        <v/>
      </c>
      <c r="G2211" s="87"/>
      <c r="H2211" s="46" t="str">
        <f aca="false">IF(G2211&lt;&gt;"",IFERROR(VLOOKUP(G2211,PRODUCTOS!$A:$B,2,0),"!COD NO ENCONTRADO"),"")</f>
        <v/>
      </c>
      <c r="I2211" s="89"/>
      <c r="J2211" s="90"/>
      <c r="K2211" s="91"/>
      <c r="L2211" s="80" t="str">
        <f aca="false">IF(AND(J2211&lt;&gt;"",K2211&lt;&gt;""),J2211*K2211,"")</f>
        <v/>
      </c>
      <c r="M2211" s="81" t="str">
        <f aca="false">IF(L2211&lt;&gt;"",L2211*1.1,"")</f>
        <v/>
      </c>
      <c r="N2211" s="47" t="n">
        <f aca="false">IF(F2211="S",L2211*0.02,0)</f>
        <v>0</v>
      </c>
      <c r="O2211" s="82" t="str">
        <f aca="false">IF(L2211&lt;&gt;"",L2211+N2211,"")</f>
        <v/>
      </c>
      <c r="P2211" s="47" t="str">
        <f aca="false">IF(O2211&lt;&gt;"",O2211*0.1,"")</f>
        <v/>
      </c>
      <c r="Q2211" s="83" t="str">
        <f aca="false">IF(O2211&lt;&gt;"",O2211+P2211,"")</f>
        <v/>
      </c>
      <c r="R2211" s="84"/>
    </row>
    <row r="2212" customFormat="false" ht="15" hidden="false" customHeight="true" outlineLevel="0" collapsed="false">
      <c r="A2212" s="103"/>
      <c r="B2212" s="73"/>
      <c r="C2212" s="74"/>
      <c r="D2212" s="75"/>
      <c r="E2212" s="52" t="str">
        <f aca="false">IF(D2212&lt;&gt;"",IFERROR(VLOOKUP(D2212,PROVEEDORES!$A:$B,2,0),"!COD NO ENCONTRADO"),"")</f>
        <v/>
      </c>
      <c r="F2212" s="76" t="str">
        <f aca="false">IF(D2212&lt;&gt;"",IFERROR(VLOOKUP(D2212,PROVEEDORES!$A:$C,3,0),""),"")</f>
        <v/>
      </c>
      <c r="G2212" s="75"/>
      <c r="H2212" s="52" t="str">
        <f aca="false">IF(G2212&lt;&gt;"",IFERROR(VLOOKUP(G2212,PRODUCTOS!$A:$B,2,0),"!COD NO ENCONTRADO"),"")</f>
        <v/>
      </c>
      <c r="I2212" s="77"/>
      <c r="J2212" s="78"/>
      <c r="K2212" s="79"/>
      <c r="L2212" s="80" t="str">
        <f aca="false">IF(AND(J2212&lt;&gt;"",K2212&lt;&gt;""),J2212*K2212,"")</f>
        <v/>
      </c>
      <c r="M2212" s="81" t="str">
        <f aca="false">IF(L2212&lt;&gt;"",L2212*1.1,"")</f>
        <v/>
      </c>
      <c r="N2212" s="53" t="n">
        <f aca="false">IF(F2212="S",L2212*0.02,0)</f>
        <v>0</v>
      </c>
      <c r="O2212" s="82" t="str">
        <f aca="false">IF(L2212&lt;&gt;"",L2212+N2212,"")</f>
        <v/>
      </c>
      <c r="P2212" s="53" t="str">
        <f aca="false">IF(O2212&lt;&gt;"",O2212*0.1,"")</f>
        <v/>
      </c>
      <c r="Q2212" s="83" t="str">
        <f aca="false">IF(O2212&lt;&gt;"",O2212+P2212,"")</f>
        <v/>
      </c>
      <c r="R2212" s="84"/>
    </row>
    <row r="2213" customFormat="false" ht="15" hidden="false" customHeight="true" outlineLevel="0" collapsed="false">
      <c r="A2213" s="103"/>
      <c r="B2213" s="85"/>
      <c r="C2213" s="86"/>
      <c r="D2213" s="87"/>
      <c r="E2213" s="46" t="str">
        <f aca="false">IF(D2213&lt;&gt;"",IFERROR(VLOOKUP(D2213,PROVEEDORES!$A:$B,2,0),"!COD NO ENCONTRADO"),"")</f>
        <v/>
      </c>
      <c r="F2213" s="88" t="str">
        <f aca="false">IF(D2213&lt;&gt;"",IFERROR(VLOOKUP(D2213,PROVEEDORES!$A:$C,3,0),""),"")</f>
        <v/>
      </c>
      <c r="G2213" s="87"/>
      <c r="H2213" s="46" t="str">
        <f aca="false">IF(G2213&lt;&gt;"",IFERROR(VLOOKUP(G2213,PRODUCTOS!$A:$B,2,0),"!COD NO ENCONTRADO"),"")</f>
        <v/>
      </c>
      <c r="I2213" s="89"/>
      <c r="J2213" s="90"/>
      <c r="K2213" s="91"/>
      <c r="L2213" s="80" t="str">
        <f aca="false">IF(AND(J2213&lt;&gt;"",K2213&lt;&gt;""),J2213*K2213,"")</f>
        <v/>
      </c>
      <c r="M2213" s="81" t="str">
        <f aca="false">IF(L2213&lt;&gt;"",L2213*1.1,"")</f>
        <v/>
      </c>
      <c r="N2213" s="47" t="n">
        <f aca="false">IF(F2213="S",L2213*0.02,0)</f>
        <v>0</v>
      </c>
      <c r="O2213" s="82" t="str">
        <f aca="false">IF(L2213&lt;&gt;"",L2213+N2213,"")</f>
        <v/>
      </c>
      <c r="P2213" s="47" t="str">
        <f aca="false">IF(O2213&lt;&gt;"",O2213*0.1,"")</f>
        <v/>
      </c>
      <c r="Q2213" s="83" t="str">
        <f aca="false">IF(O2213&lt;&gt;"",O2213+P2213,"")</f>
        <v/>
      </c>
      <c r="R2213" s="84"/>
    </row>
    <row r="2214" customFormat="false" ht="15" hidden="false" customHeight="true" outlineLevel="0" collapsed="false">
      <c r="A2214" s="103"/>
      <c r="B2214" s="73"/>
      <c r="C2214" s="74"/>
      <c r="D2214" s="75"/>
      <c r="E2214" s="52" t="str">
        <f aca="false">IF(D2214&lt;&gt;"",IFERROR(VLOOKUP(D2214,PROVEEDORES!$A:$B,2,0),"!COD NO ENCONTRADO"),"")</f>
        <v/>
      </c>
      <c r="F2214" s="76" t="str">
        <f aca="false">IF(D2214&lt;&gt;"",IFERROR(VLOOKUP(D2214,PROVEEDORES!$A:$C,3,0),""),"")</f>
        <v/>
      </c>
      <c r="G2214" s="75"/>
      <c r="H2214" s="52" t="str">
        <f aca="false">IF(G2214&lt;&gt;"",IFERROR(VLOOKUP(G2214,PRODUCTOS!$A:$B,2,0),"!COD NO ENCONTRADO"),"")</f>
        <v/>
      </c>
      <c r="I2214" s="77"/>
      <c r="J2214" s="78"/>
      <c r="K2214" s="79"/>
      <c r="L2214" s="80" t="str">
        <f aca="false">IF(AND(J2214&lt;&gt;"",K2214&lt;&gt;""),J2214*K2214,"")</f>
        <v/>
      </c>
      <c r="M2214" s="81" t="str">
        <f aca="false">IF(L2214&lt;&gt;"",L2214*1.1,"")</f>
        <v/>
      </c>
      <c r="N2214" s="53" t="n">
        <f aca="false">IF(F2214="S",L2214*0.02,0)</f>
        <v>0</v>
      </c>
      <c r="O2214" s="82" t="str">
        <f aca="false">IF(L2214&lt;&gt;"",L2214+N2214,"")</f>
        <v/>
      </c>
      <c r="P2214" s="53" t="str">
        <f aca="false">IF(O2214&lt;&gt;"",O2214*0.1,"")</f>
        <v/>
      </c>
      <c r="Q2214" s="83" t="str">
        <f aca="false">IF(O2214&lt;&gt;"",O2214+P2214,"")</f>
        <v/>
      </c>
      <c r="R2214" s="84"/>
    </row>
    <row r="2215" customFormat="false" ht="15" hidden="false" customHeight="true" outlineLevel="0" collapsed="false">
      <c r="A2215" s="103"/>
      <c r="B2215" s="85"/>
      <c r="C2215" s="86"/>
      <c r="D2215" s="87"/>
      <c r="E2215" s="46" t="str">
        <f aca="false">IF(D2215&lt;&gt;"",IFERROR(VLOOKUP(D2215,PROVEEDORES!$A:$B,2,0),"!COD NO ENCONTRADO"),"")</f>
        <v/>
      </c>
      <c r="F2215" s="88" t="str">
        <f aca="false">IF(D2215&lt;&gt;"",IFERROR(VLOOKUP(D2215,PROVEEDORES!$A:$C,3,0),""),"")</f>
        <v/>
      </c>
      <c r="G2215" s="87"/>
      <c r="H2215" s="46" t="str">
        <f aca="false">IF(G2215&lt;&gt;"",IFERROR(VLOOKUP(G2215,PRODUCTOS!$A:$B,2,0),"!COD NO ENCONTRADO"),"")</f>
        <v/>
      </c>
      <c r="I2215" s="89"/>
      <c r="J2215" s="90"/>
      <c r="K2215" s="91"/>
      <c r="L2215" s="80" t="str">
        <f aca="false">IF(AND(J2215&lt;&gt;"",K2215&lt;&gt;""),J2215*K2215,"")</f>
        <v/>
      </c>
      <c r="M2215" s="81" t="str">
        <f aca="false">IF(L2215&lt;&gt;"",L2215*1.1,"")</f>
        <v/>
      </c>
      <c r="N2215" s="47" t="n">
        <f aca="false">IF(F2215="S",L2215*0.02,0)</f>
        <v>0</v>
      </c>
      <c r="O2215" s="82" t="str">
        <f aca="false">IF(L2215&lt;&gt;"",L2215+N2215,"")</f>
        <v/>
      </c>
      <c r="P2215" s="47" t="str">
        <f aca="false">IF(O2215&lt;&gt;"",O2215*0.1,"")</f>
        <v/>
      </c>
      <c r="Q2215" s="83" t="str">
        <f aca="false">IF(O2215&lt;&gt;"",O2215+P2215,"")</f>
        <v/>
      </c>
      <c r="R2215" s="84"/>
    </row>
    <row r="2216" customFormat="false" ht="15" hidden="false" customHeight="true" outlineLevel="0" collapsed="false">
      <c r="A2216" s="103"/>
      <c r="B2216" s="73"/>
      <c r="C2216" s="74"/>
      <c r="D2216" s="75"/>
      <c r="E2216" s="52" t="str">
        <f aca="false">IF(D2216&lt;&gt;"",IFERROR(VLOOKUP(D2216,PROVEEDORES!$A:$B,2,0),"!COD NO ENCONTRADO"),"")</f>
        <v/>
      </c>
      <c r="F2216" s="76" t="str">
        <f aca="false">IF(D2216&lt;&gt;"",IFERROR(VLOOKUP(D2216,PROVEEDORES!$A:$C,3,0),""),"")</f>
        <v/>
      </c>
      <c r="G2216" s="75"/>
      <c r="H2216" s="52" t="str">
        <f aca="false">IF(G2216&lt;&gt;"",IFERROR(VLOOKUP(G2216,PRODUCTOS!$A:$B,2,0),"!COD NO ENCONTRADO"),"")</f>
        <v/>
      </c>
      <c r="I2216" s="77"/>
      <c r="J2216" s="78"/>
      <c r="K2216" s="79"/>
      <c r="L2216" s="80" t="str">
        <f aca="false">IF(AND(J2216&lt;&gt;"",K2216&lt;&gt;""),J2216*K2216,"")</f>
        <v/>
      </c>
      <c r="M2216" s="81" t="str">
        <f aca="false">IF(L2216&lt;&gt;"",L2216*1.1,"")</f>
        <v/>
      </c>
      <c r="N2216" s="53" t="n">
        <f aca="false">IF(F2216="S",L2216*0.02,0)</f>
        <v>0</v>
      </c>
      <c r="O2216" s="82" t="str">
        <f aca="false">IF(L2216&lt;&gt;"",L2216+N2216,"")</f>
        <v/>
      </c>
      <c r="P2216" s="53" t="str">
        <f aca="false">IF(O2216&lt;&gt;"",O2216*0.1,"")</f>
        <v/>
      </c>
      <c r="Q2216" s="83" t="str">
        <f aca="false">IF(O2216&lt;&gt;"",O2216+P2216,"")</f>
        <v/>
      </c>
      <c r="R2216" s="84"/>
    </row>
    <row r="2217" customFormat="false" ht="15" hidden="false" customHeight="true" outlineLevel="0" collapsed="false">
      <c r="A2217" s="103"/>
      <c r="B2217" s="85"/>
      <c r="C2217" s="86"/>
      <c r="D2217" s="87"/>
      <c r="E2217" s="46" t="str">
        <f aca="false">IF(D2217&lt;&gt;"",IFERROR(VLOOKUP(D2217,PROVEEDORES!$A:$B,2,0),"!COD NO ENCONTRADO"),"")</f>
        <v/>
      </c>
      <c r="F2217" s="88" t="str">
        <f aca="false">IF(D2217&lt;&gt;"",IFERROR(VLOOKUP(D2217,PROVEEDORES!$A:$C,3,0),""),"")</f>
        <v/>
      </c>
      <c r="G2217" s="87"/>
      <c r="H2217" s="46" t="str">
        <f aca="false">IF(G2217&lt;&gt;"",IFERROR(VLOOKUP(G2217,PRODUCTOS!$A:$B,2,0),"!COD NO ENCONTRADO"),"")</f>
        <v/>
      </c>
      <c r="I2217" s="89"/>
      <c r="J2217" s="90"/>
      <c r="K2217" s="91"/>
      <c r="L2217" s="80" t="str">
        <f aca="false">IF(AND(J2217&lt;&gt;"",K2217&lt;&gt;""),J2217*K2217,"")</f>
        <v/>
      </c>
      <c r="M2217" s="81" t="str">
        <f aca="false">IF(L2217&lt;&gt;"",L2217*1.1,"")</f>
        <v/>
      </c>
      <c r="N2217" s="47" t="n">
        <f aca="false">IF(F2217="S",L2217*0.02,0)</f>
        <v>0</v>
      </c>
      <c r="O2217" s="82" t="str">
        <f aca="false">IF(L2217&lt;&gt;"",L2217+N2217,"")</f>
        <v/>
      </c>
      <c r="P2217" s="47" t="str">
        <f aca="false">IF(O2217&lt;&gt;"",O2217*0.1,"")</f>
        <v/>
      </c>
      <c r="Q2217" s="83" t="str">
        <f aca="false">IF(O2217&lt;&gt;"",O2217+P2217,"")</f>
        <v/>
      </c>
      <c r="R2217" s="84"/>
    </row>
    <row r="2218" customFormat="false" ht="15" hidden="false" customHeight="true" outlineLevel="0" collapsed="false">
      <c r="A2218" s="103"/>
      <c r="B2218" s="73"/>
      <c r="C2218" s="74"/>
      <c r="D2218" s="75"/>
      <c r="E2218" s="52" t="str">
        <f aca="false">IF(D2218&lt;&gt;"",IFERROR(VLOOKUP(D2218,PROVEEDORES!$A:$B,2,0),"!COD NO ENCONTRADO"),"")</f>
        <v/>
      </c>
      <c r="F2218" s="76" t="str">
        <f aca="false">IF(D2218&lt;&gt;"",IFERROR(VLOOKUP(D2218,PROVEEDORES!$A:$C,3,0),""),"")</f>
        <v/>
      </c>
      <c r="G2218" s="75"/>
      <c r="H2218" s="52" t="str">
        <f aca="false">IF(G2218&lt;&gt;"",IFERROR(VLOOKUP(G2218,PRODUCTOS!$A:$B,2,0),"!COD NO ENCONTRADO"),"")</f>
        <v/>
      </c>
      <c r="I2218" s="77"/>
      <c r="J2218" s="78"/>
      <c r="K2218" s="79"/>
      <c r="L2218" s="80" t="str">
        <f aca="false">IF(AND(J2218&lt;&gt;"",K2218&lt;&gt;""),J2218*K2218,"")</f>
        <v/>
      </c>
      <c r="M2218" s="81" t="str">
        <f aca="false">IF(L2218&lt;&gt;"",L2218*1.1,"")</f>
        <v/>
      </c>
      <c r="N2218" s="53" t="n">
        <f aca="false">IF(F2218="S",L2218*0.02,0)</f>
        <v>0</v>
      </c>
      <c r="O2218" s="82" t="str">
        <f aca="false">IF(L2218&lt;&gt;"",L2218+N2218,"")</f>
        <v/>
      </c>
      <c r="P2218" s="53" t="str">
        <f aca="false">IF(O2218&lt;&gt;"",O2218*0.1,"")</f>
        <v/>
      </c>
      <c r="Q2218" s="83" t="str">
        <f aca="false">IF(O2218&lt;&gt;"",O2218+P2218,"")</f>
        <v/>
      </c>
      <c r="R2218" s="84"/>
    </row>
    <row r="2219" customFormat="false" ht="15" hidden="false" customHeight="true" outlineLevel="0" collapsed="false">
      <c r="A2219" s="103"/>
      <c r="B2219" s="85"/>
      <c r="C2219" s="86"/>
      <c r="D2219" s="87"/>
      <c r="E2219" s="46" t="str">
        <f aca="false">IF(D2219&lt;&gt;"",IFERROR(VLOOKUP(D2219,PROVEEDORES!$A:$B,2,0),"!COD NO ENCONTRADO"),"")</f>
        <v/>
      </c>
      <c r="F2219" s="88" t="str">
        <f aca="false">IF(D2219&lt;&gt;"",IFERROR(VLOOKUP(D2219,PROVEEDORES!$A:$C,3,0),""),"")</f>
        <v/>
      </c>
      <c r="G2219" s="87"/>
      <c r="H2219" s="46" t="str">
        <f aca="false">IF(G2219&lt;&gt;"",IFERROR(VLOOKUP(G2219,PRODUCTOS!$A:$B,2,0),"!COD NO ENCONTRADO"),"")</f>
        <v/>
      </c>
      <c r="I2219" s="89"/>
      <c r="J2219" s="90"/>
      <c r="K2219" s="91"/>
      <c r="L2219" s="80" t="str">
        <f aca="false">IF(AND(J2219&lt;&gt;"",K2219&lt;&gt;""),J2219*K2219,"")</f>
        <v/>
      </c>
      <c r="M2219" s="81" t="str">
        <f aca="false">IF(L2219&lt;&gt;"",L2219*1.1,"")</f>
        <v/>
      </c>
      <c r="N2219" s="47" t="n">
        <f aca="false">IF(F2219="S",L2219*0.02,0)</f>
        <v>0</v>
      </c>
      <c r="O2219" s="82" t="str">
        <f aca="false">IF(L2219&lt;&gt;"",L2219+N2219,"")</f>
        <v/>
      </c>
      <c r="P2219" s="47" t="str">
        <f aca="false">IF(O2219&lt;&gt;"",O2219*0.1,"")</f>
        <v/>
      </c>
      <c r="Q2219" s="83" t="str">
        <f aca="false">IF(O2219&lt;&gt;"",O2219+P2219,"")</f>
        <v/>
      </c>
      <c r="R2219" s="84"/>
    </row>
    <row r="2220" customFormat="false" ht="15" hidden="false" customHeight="true" outlineLevel="0" collapsed="false">
      <c r="A2220" s="103"/>
      <c r="B2220" s="73"/>
      <c r="C2220" s="74"/>
      <c r="D2220" s="75"/>
      <c r="E2220" s="52" t="str">
        <f aca="false">IF(D2220&lt;&gt;"",IFERROR(VLOOKUP(D2220,PROVEEDORES!$A:$B,2,0),"!COD NO ENCONTRADO"),"")</f>
        <v/>
      </c>
      <c r="F2220" s="76" t="str">
        <f aca="false">IF(D2220&lt;&gt;"",IFERROR(VLOOKUP(D2220,PROVEEDORES!$A:$C,3,0),""),"")</f>
        <v/>
      </c>
      <c r="G2220" s="75"/>
      <c r="H2220" s="52" t="str">
        <f aca="false">IF(G2220&lt;&gt;"",IFERROR(VLOOKUP(G2220,PRODUCTOS!$A:$B,2,0),"!COD NO ENCONTRADO"),"")</f>
        <v/>
      </c>
      <c r="I2220" s="77"/>
      <c r="J2220" s="78"/>
      <c r="K2220" s="79"/>
      <c r="L2220" s="80" t="str">
        <f aca="false">IF(AND(J2220&lt;&gt;"",K2220&lt;&gt;""),J2220*K2220,"")</f>
        <v/>
      </c>
      <c r="M2220" s="81" t="str">
        <f aca="false">IF(L2220&lt;&gt;"",L2220*1.1,"")</f>
        <v/>
      </c>
      <c r="N2220" s="53" t="n">
        <f aca="false">IF(F2220="S",L2220*0.02,0)</f>
        <v>0</v>
      </c>
      <c r="O2220" s="82" t="str">
        <f aca="false">IF(L2220&lt;&gt;"",L2220+N2220,"")</f>
        <v/>
      </c>
      <c r="P2220" s="53" t="str">
        <f aca="false">IF(O2220&lt;&gt;"",O2220*0.1,"")</f>
        <v/>
      </c>
      <c r="Q2220" s="83" t="str">
        <f aca="false">IF(O2220&lt;&gt;"",O2220+P2220,"")</f>
        <v/>
      </c>
      <c r="R2220" s="84"/>
    </row>
    <row r="2221" customFormat="false" ht="15" hidden="false" customHeight="true" outlineLevel="0" collapsed="false">
      <c r="A2221" s="103"/>
      <c r="B2221" s="85"/>
      <c r="C2221" s="86"/>
      <c r="D2221" s="87"/>
      <c r="E2221" s="46" t="str">
        <f aca="false">IF(D2221&lt;&gt;"",IFERROR(VLOOKUP(D2221,PROVEEDORES!$A:$B,2,0),"!COD NO ENCONTRADO"),"")</f>
        <v/>
      </c>
      <c r="F2221" s="88" t="str">
        <f aca="false">IF(D2221&lt;&gt;"",IFERROR(VLOOKUP(D2221,PROVEEDORES!$A:$C,3,0),""),"")</f>
        <v/>
      </c>
      <c r="G2221" s="87"/>
      <c r="H2221" s="46" t="str">
        <f aca="false">IF(G2221&lt;&gt;"",IFERROR(VLOOKUP(G2221,PRODUCTOS!$A:$B,2,0),"!COD NO ENCONTRADO"),"")</f>
        <v/>
      </c>
      <c r="I2221" s="89"/>
      <c r="J2221" s="90"/>
      <c r="K2221" s="91"/>
      <c r="L2221" s="80" t="str">
        <f aca="false">IF(AND(J2221&lt;&gt;"",K2221&lt;&gt;""),J2221*K2221,"")</f>
        <v/>
      </c>
      <c r="M2221" s="81" t="str">
        <f aca="false">IF(L2221&lt;&gt;"",L2221*1.1,"")</f>
        <v/>
      </c>
      <c r="N2221" s="47" t="n">
        <f aca="false">IF(F2221="S",L2221*0.02,0)</f>
        <v>0</v>
      </c>
      <c r="O2221" s="82" t="str">
        <f aca="false">IF(L2221&lt;&gt;"",L2221+N2221,"")</f>
        <v/>
      </c>
      <c r="P2221" s="47" t="str">
        <f aca="false">IF(O2221&lt;&gt;"",O2221*0.1,"")</f>
        <v/>
      </c>
      <c r="Q2221" s="83" t="str">
        <f aca="false">IF(O2221&lt;&gt;"",O2221+P2221,"")</f>
        <v/>
      </c>
      <c r="R2221" s="84"/>
    </row>
    <row r="2222" customFormat="false" ht="15" hidden="false" customHeight="true" outlineLevel="0" collapsed="false">
      <c r="A2222" s="103"/>
      <c r="B2222" s="73"/>
      <c r="C2222" s="74"/>
      <c r="D2222" s="75"/>
      <c r="E2222" s="52" t="str">
        <f aca="false">IF(D2222&lt;&gt;"",IFERROR(VLOOKUP(D2222,PROVEEDORES!$A:$B,2,0),"!COD NO ENCONTRADO"),"")</f>
        <v/>
      </c>
      <c r="F2222" s="76" t="str">
        <f aca="false">IF(D2222&lt;&gt;"",IFERROR(VLOOKUP(D2222,PROVEEDORES!$A:$C,3,0),""),"")</f>
        <v/>
      </c>
      <c r="G2222" s="75"/>
      <c r="H2222" s="52" t="str">
        <f aca="false">IF(G2222&lt;&gt;"",IFERROR(VLOOKUP(G2222,PRODUCTOS!$A:$B,2,0),"!COD NO ENCONTRADO"),"")</f>
        <v/>
      </c>
      <c r="I2222" s="77"/>
      <c r="J2222" s="78"/>
      <c r="K2222" s="79"/>
      <c r="L2222" s="80" t="str">
        <f aca="false">IF(AND(J2222&lt;&gt;"",K2222&lt;&gt;""),J2222*K2222,"")</f>
        <v/>
      </c>
      <c r="M2222" s="81" t="str">
        <f aca="false">IF(L2222&lt;&gt;"",L2222*1.1,"")</f>
        <v/>
      </c>
      <c r="N2222" s="53" t="n">
        <f aca="false">IF(F2222="S",L2222*0.02,0)</f>
        <v>0</v>
      </c>
      <c r="O2222" s="82" t="str">
        <f aca="false">IF(L2222&lt;&gt;"",L2222+N2222,"")</f>
        <v/>
      </c>
      <c r="P2222" s="53" t="str">
        <f aca="false">IF(O2222&lt;&gt;"",O2222*0.1,"")</f>
        <v/>
      </c>
      <c r="Q2222" s="83" t="str">
        <f aca="false">IF(O2222&lt;&gt;"",O2222+P2222,"")</f>
        <v/>
      </c>
      <c r="R2222" s="84"/>
    </row>
    <row r="2223" customFormat="false" ht="15" hidden="false" customHeight="true" outlineLevel="0" collapsed="false">
      <c r="A2223" s="103"/>
      <c r="B2223" s="85"/>
      <c r="C2223" s="86"/>
      <c r="D2223" s="87"/>
      <c r="E2223" s="46" t="str">
        <f aca="false">IF(D2223&lt;&gt;"",IFERROR(VLOOKUP(D2223,PROVEEDORES!$A:$B,2,0),"!COD NO ENCONTRADO"),"")</f>
        <v/>
      </c>
      <c r="F2223" s="88" t="str">
        <f aca="false">IF(D2223&lt;&gt;"",IFERROR(VLOOKUP(D2223,PROVEEDORES!$A:$C,3,0),""),"")</f>
        <v/>
      </c>
      <c r="G2223" s="87"/>
      <c r="H2223" s="46" t="str">
        <f aca="false">IF(G2223&lt;&gt;"",IFERROR(VLOOKUP(G2223,PRODUCTOS!$A:$B,2,0),"!COD NO ENCONTRADO"),"")</f>
        <v/>
      </c>
      <c r="I2223" s="89"/>
      <c r="J2223" s="90"/>
      <c r="K2223" s="91"/>
      <c r="L2223" s="80" t="str">
        <f aca="false">IF(AND(J2223&lt;&gt;"",K2223&lt;&gt;""),J2223*K2223,"")</f>
        <v/>
      </c>
      <c r="M2223" s="81" t="str">
        <f aca="false">IF(L2223&lt;&gt;"",L2223*1.1,"")</f>
        <v/>
      </c>
      <c r="N2223" s="47" t="n">
        <f aca="false">IF(F2223="S",L2223*0.02,0)</f>
        <v>0</v>
      </c>
      <c r="O2223" s="82" t="str">
        <f aca="false">IF(L2223&lt;&gt;"",L2223+N2223,"")</f>
        <v/>
      </c>
      <c r="P2223" s="47" t="str">
        <f aca="false">IF(O2223&lt;&gt;"",O2223*0.1,"")</f>
        <v/>
      </c>
      <c r="Q2223" s="83" t="str">
        <f aca="false">IF(O2223&lt;&gt;"",O2223+P2223,"")</f>
        <v/>
      </c>
      <c r="R2223" s="84"/>
    </row>
    <row r="2224" customFormat="false" ht="15" hidden="false" customHeight="true" outlineLevel="0" collapsed="false">
      <c r="A2224" s="103"/>
      <c r="B2224" s="73"/>
      <c r="C2224" s="74"/>
      <c r="D2224" s="75"/>
      <c r="E2224" s="52" t="str">
        <f aca="false">IF(D2224&lt;&gt;"",IFERROR(VLOOKUP(D2224,PROVEEDORES!$A:$B,2,0),"!COD NO ENCONTRADO"),"")</f>
        <v/>
      </c>
      <c r="F2224" s="76" t="str">
        <f aca="false">IF(D2224&lt;&gt;"",IFERROR(VLOOKUP(D2224,PROVEEDORES!$A:$C,3,0),""),"")</f>
        <v/>
      </c>
      <c r="G2224" s="75"/>
      <c r="H2224" s="52" t="str">
        <f aca="false">IF(G2224&lt;&gt;"",IFERROR(VLOOKUP(G2224,PRODUCTOS!$A:$B,2,0),"!COD NO ENCONTRADO"),"")</f>
        <v/>
      </c>
      <c r="I2224" s="77"/>
      <c r="J2224" s="78"/>
      <c r="K2224" s="79"/>
      <c r="L2224" s="80" t="str">
        <f aca="false">IF(AND(J2224&lt;&gt;"",K2224&lt;&gt;""),J2224*K2224,"")</f>
        <v/>
      </c>
      <c r="M2224" s="81" t="str">
        <f aca="false">IF(L2224&lt;&gt;"",L2224*1.1,"")</f>
        <v/>
      </c>
      <c r="N2224" s="53" t="n">
        <f aca="false">IF(F2224="S",L2224*0.02,0)</f>
        <v>0</v>
      </c>
      <c r="O2224" s="82" t="str">
        <f aca="false">IF(L2224&lt;&gt;"",L2224+N2224,"")</f>
        <v/>
      </c>
      <c r="P2224" s="53" t="str">
        <f aca="false">IF(O2224&lt;&gt;"",O2224*0.1,"")</f>
        <v/>
      </c>
      <c r="Q2224" s="83" t="str">
        <f aca="false">IF(O2224&lt;&gt;"",O2224+P2224,"")</f>
        <v/>
      </c>
      <c r="R2224" s="84"/>
    </row>
    <row r="2225" customFormat="false" ht="15" hidden="false" customHeight="true" outlineLevel="0" collapsed="false">
      <c r="A2225" s="103"/>
      <c r="B2225" s="85"/>
      <c r="C2225" s="86"/>
      <c r="D2225" s="87"/>
      <c r="E2225" s="46" t="str">
        <f aca="false">IF(D2225&lt;&gt;"",IFERROR(VLOOKUP(D2225,PROVEEDORES!$A:$B,2,0),"!COD NO ENCONTRADO"),"")</f>
        <v/>
      </c>
      <c r="F2225" s="88" t="str">
        <f aca="false">IF(D2225&lt;&gt;"",IFERROR(VLOOKUP(D2225,PROVEEDORES!$A:$C,3,0),""),"")</f>
        <v/>
      </c>
      <c r="G2225" s="87"/>
      <c r="H2225" s="46" t="str">
        <f aca="false">IF(G2225&lt;&gt;"",IFERROR(VLOOKUP(G2225,PRODUCTOS!$A:$B,2,0),"!COD NO ENCONTRADO"),"")</f>
        <v/>
      </c>
      <c r="I2225" s="89"/>
      <c r="J2225" s="90"/>
      <c r="K2225" s="91"/>
      <c r="L2225" s="80" t="str">
        <f aca="false">IF(AND(J2225&lt;&gt;"",K2225&lt;&gt;""),J2225*K2225,"")</f>
        <v/>
      </c>
      <c r="M2225" s="81" t="str">
        <f aca="false">IF(L2225&lt;&gt;"",L2225*1.1,"")</f>
        <v/>
      </c>
      <c r="N2225" s="47" t="n">
        <f aca="false">IF(F2225="S",L2225*0.02,0)</f>
        <v>0</v>
      </c>
      <c r="O2225" s="82" t="str">
        <f aca="false">IF(L2225&lt;&gt;"",L2225+N2225,"")</f>
        <v/>
      </c>
      <c r="P2225" s="47" t="str">
        <f aca="false">IF(O2225&lt;&gt;"",O2225*0.1,"")</f>
        <v/>
      </c>
      <c r="Q2225" s="83" t="str">
        <f aca="false">IF(O2225&lt;&gt;"",O2225+P2225,"")</f>
        <v/>
      </c>
      <c r="R2225" s="84"/>
    </row>
    <row r="2226" customFormat="false" ht="15" hidden="false" customHeight="true" outlineLevel="0" collapsed="false">
      <c r="A2226" s="103"/>
      <c r="B2226" s="73"/>
      <c r="C2226" s="74"/>
      <c r="D2226" s="75"/>
      <c r="E2226" s="52" t="str">
        <f aca="false">IF(D2226&lt;&gt;"",IFERROR(VLOOKUP(D2226,PROVEEDORES!$A:$B,2,0),"!COD NO ENCONTRADO"),"")</f>
        <v/>
      </c>
      <c r="F2226" s="76" t="str">
        <f aca="false">IF(D2226&lt;&gt;"",IFERROR(VLOOKUP(D2226,PROVEEDORES!$A:$C,3,0),""),"")</f>
        <v/>
      </c>
      <c r="G2226" s="75"/>
      <c r="H2226" s="52" t="str">
        <f aca="false">IF(G2226&lt;&gt;"",IFERROR(VLOOKUP(G2226,PRODUCTOS!$A:$B,2,0),"!COD NO ENCONTRADO"),"")</f>
        <v/>
      </c>
      <c r="I2226" s="77"/>
      <c r="J2226" s="78"/>
      <c r="K2226" s="79"/>
      <c r="L2226" s="80" t="str">
        <f aca="false">IF(AND(J2226&lt;&gt;"",K2226&lt;&gt;""),J2226*K2226,"")</f>
        <v/>
      </c>
      <c r="M2226" s="81" t="str">
        <f aca="false">IF(L2226&lt;&gt;"",L2226*1.1,"")</f>
        <v/>
      </c>
      <c r="N2226" s="53" t="n">
        <f aca="false">IF(F2226="S",L2226*0.02,0)</f>
        <v>0</v>
      </c>
      <c r="O2226" s="82" t="str">
        <f aca="false">IF(L2226&lt;&gt;"",L2226+N2226,"")</f>
        <v/>
      </c>
      <c r="P2226" s="53" t="str">
        <f aca="false">IF(O2226&lt;&gt;"",O2226*0.1,"")</f>
        <v/>
      </c>
      <c r="Q2226" s="83" t="str">
        <f aca="false">IF(O2226&lt;&gt;"",O2226+P2226,"")</f>
        <v/>
      </c>
      <c r="R2226" s="84"/>
    </row>
    <row r="2227" customFormat="false" ht="15" hidden="false" customHeight="true" outlineLevel="0" collapsed="false">
      <c r="A2227" s="103"/>
      <c r="B2227" s="85"/>
      <c r="C2227" s="86"/>
      <c r="D2227" s="87"/>
      <c r="E2227" s="46" t="str">
        <f aca="false">IF(D2227&lt;&gt;"",IFERROR(VLOOKUP(D2227,PROVEEDORES!$A:$B,2,0),"!COD NO ENCONTRADO"),"")</f>
        <v/>
      </c>
      <c r="F2227" s="88" t="str">
        <f aca="false">IF(D2227&lt;&gt;"",IFERROR(VLOOKUP(D2227,PROVEEDORES!$A:$C,3,0),""),"")</f>
        <v/>
      </c>
      <c r="G2227" s="87"/>
      <c r="H2227" s="46" t="str">
        <f aca="false">IF(G2227&lt;&gt;"",IFERROR(VLOOKUP(G2227,PRODUCTOS!$A:$B,2,0),"!COD NO ENCONTRADO"),"")</f>
        <v/>
      </c>
      <c r="I2227" s="89"/>
      <c r="J2227" s="90"/>
      <c r="K2227" s="91"/>
      <c r="L2227" s="80" t="str">
        <f aca="false">IF(AND(J2227&lt;&gt;"",K2227&lt;&gt;""),J2227*K2227,"")</f>
        <v/>
      </c>
      <c r="M2227" s="81" t="str">
        <f aca="false">IF(L2227&lt;&gt;"",L2227*1.1,"")</f>
        <v/>
      </c>
      <c r="N2227" s="47" t="n">
        <f aca="false">IF(F2227="S",L2227*0.02,0)</f>
        <v>0</v>
      </c>
      <c r="O2227" s="82" t="str">
        <f aca="false">IF(L2227&lt;&gt;"",L2227+N2227,"")</f>
        <v/>
      </c>
      <c r="P2227" s="47" t="str">
        <f aca="false">IF(O2227&lt;&gt;"",O2227*0.1,"")</f>
        <v/>
      </c>
      <c r="Q2227" s="83" t="str">
        <f aca="false">IF(O2227&lt;&gt;"",O2227+P2227,"")</f>
        <v/>
      </c>
      <c r="R2227" s="84"/>
    </row>
    <row r="2228" customFormat="false" ht="15" hidden="false" customHeight="true" outlineLevel="0" collapsed="false">
      <c r="A2228" s="103"/>
      <c r="B2228" s="73"/>
      <c r="C2228" s="74"/>
      <c r="D2228" s="75"/>
      <c r="E2228" s="52" t="str">
        <f aca="false">IF(D2228&lt;&gt;"",IFERROR(VLOOKUP(D2228,PROVEEDORES!$A:$B,2,0),"!COD NO ENCONTRADO"),"")</f>
        <v/>
      </c>
      <c r="F2228" s="76" t="str">
        <f aca="false">IF(D2228&lt;&gt;"",IFERROR(VLOOKUP(D2228,PROVEEDORES!$A:$C,3,0),""),"")</f>
        <v/>
      </c>
      <c r="G2228" s="75"/>
      <c r="H2228" s="52" t="str">
        <f aca="false">IF(G2228&lt;&gt;"",IFERROR(VLOOKUP(G2228,PRODUCTOS!$A:$B,2,0),"!COD NO ENCONTRADO"),"")</f>
        <v/>
      </c>
      <c r="I2228" s="77"/>
      <c r="J2228" s="78"/>
      <c r="K2228" s="79"/>
      <c r="L2228" s="80" t="str">
        <f aca="false">IF(AND(J2228&lt;&gt;"",K2228&lt;&gt;""),J2228*K2228,"")</f>
        <v/>
      </c>
      <c r="M2228" s="81" t="str">
        <f aca="false">IF(L2228&lt;&gt;"",L2228*1.1,"")</f>
        <v/>
      </c>
      <c r="N2228" s="53" t="n">
        <f aca="false">IF(F2228="S",L2228*0.02,0)</f>
        <v>0</v>
      </c>
      <c r="O2228" s="82" t="str">
        <f aca="false">IF(L2228&lt;&gt;"",L2228+N2228,"")</f>
        <v/>
      </c>
      <c r="P2228" s="53" t="str">
        <f aca="false">IF(O2228&lt;&gt;"",O2228*0.1,"")</f>
        <v/>
      </c>
      <c r="Q2228" s="83" t="str">
        <f aca="false">IF(O2228&lt;&gt;"",O2228+P2228,"")</f>
        <v/>
      </c>
      <c r="R2228" s="84"/>
    </row>
    <row r="2229" customFormat="false" ht="15" hidden="false" customHeight="true" outlineLevel="0" collapsed="false">
      <c r="A2229" s="103"/>
      <c r="B2229" s="85"/>
      <c r="C2229" s="86"/>
      <c r="D2229" s="87"/>
      <c r="E2229" s="46" t="str">
        <f aca="false">IF(D2229&lt;&gt;"",IFERROR(VLOOKUP(D2229,PROVEEDORES!$A:$B,2,0),"!COD NO ENCONTRADO"),"")</f>
        <v/>
      </c>
      <c r="F2229" s="88" t="str">
        <f aca="false">IF(D2229&lt;&gt;"",IFERROR(VLOOKUP(D2229,PROVEEDORES!$A:$C,3,0),""),"")</f>
        <v/>
      </c>
      <c r="G2229" s="87"/>
      <c r="H2229" s="46" t="str">
        <f aca="false">IF(G2229&lt;&gt;"",IFERROR(VLOOKUP(G2229,PRODUCTOS!$A:$B,2,0),"!COD NO ENCONTRADO"),"")</f>
        <v/>
      </c>
      <c r="I2229" s="89"/>
      <c r="J2229" s="90"/>
      <c r="K2229" s="91"/>
      <c r="L2229" s="80" t="str">
        <f aca="false">IF(AND(J2229&lt;&gt;"",K2229&lt;&gt;""),J2229*K2229,"")</f>
        <v/>
      </c>
      <c r="M2229" s="81" t="str">
        <f aca="false">IF(L2229&lt;&gt;"",L2229*1.1,"")</f>
        <v/>
      </c>
      <c r="N2229" s="47" t="n">
        <f aca="false">IF(F2229="S",L2229*0.02,0)</f>
        <v>0</v>
      </c>
      <c r="O2229" s="82" t="str">
        <f aca="false">IF(L2229&lt;&gt;"",L2229+N2229,"")</f>
        <v/>
      </c>
      <c r="P2229" s="47" t="str">
        <f aca="false">IF(O2229&lt;&gt;"",O2229*0.1,"")</f>
        <v/>
      </c>
      <c r="Q2229" s="83" t="str">
        <f aca="false">IF(O2229&lt;&gt;"",O2229+P2229,"")</f>
        <v/>
      </c>
      <c r="R2229" s="84"/>
    </row>
    <row r="2230" customFormat="false" ht="15" hidden="false" customHeight="true" outlineLevel="0" collapsed="false">
      <c r="A2230" s="103"/>
      <c r="B2230" s="73"/>
      <c r="C2230" s="74"/>
      <c r="D2230" s="75"/>
      <c r="E2230" s="52" t="str">
        <f aca="false">IF(D2230&lt;&gt;"",IFERROR(VLOOKUP(D2230,PROVEEDORES!$A:$B,2,0),"!COD NO ENCONTRADO"),"")</f>
        <v/>
      </c>
      <c r="F2230" s="76" t="str">
        <f aca="false">IF(D2230&lt;&gt;"",IFERROR(VLOOKUP(D2230,PROVEEDORES!$A:$C,3,0),""),"")</f>
        <v/>
      </c>
      <c r="G2230" s="75"/>
      <c r="H2230" s="52" t="str">
        <f aca="false">IF(G2230&lt;&gt;"",IFERROR(VLOOKUP(G2230,PRODUCTOS!$A:$B,2,0),"!COD NO ENCONTRADO"),"")</f>
        <v/>
      </c>
      <c r="I2230" s="77"/>
      <c r="J2230" s="78"/>
      <c r="K2230" s="79"/>
      <c r="L2230" s="80" t="str">
        <f aca="false">IF(AND(J2230&lt;&gt;"",K2230&lt;&gt;""),J2230*K2230,"")</f>
        <v/>
      </c>
      <c r="M2230" s="81" t="str">
        <f aca="false">IF(L2230&lt;&gt;"",L2230*1.1,"")</f>
        <v/>
      </c>
      <c r="N2230" s="53" t="n">
        <f aca="false">IF(F2230="S",L2230*0.02,0)</f>
        <v>0</v>
      </c>
      <c r="O2230" s="82" t="str">
        <f aca="false">IF(L2230&lt;&gt;"",L2230+N2230,"")</f>
        <v/>
      </c>
      <c r="P2230" s="53" t="str">
        <f aca="false">IF(O2230&lt;&gt;"",O2230*0.1,"")</f>
        <v/>
      </c>
      <c r="Q2230" s="83" t="str">
        <f aca="false">IF(O2230&lt;&gt;"",O2230+P2230,"")</f>
        <v/>
      </c>
      <c r="R2230" s="84"/>
    </row>
    <row r="2231" customFormat="false" ht="15" hidden="false" customHeight="true" outlineLevel="0" collapsed="false">
      <c r="A2231" s="103"/>
      <c r="B2231" s="85"/>
      <c r="C2231" s="86"/>
      <c r="D2231" s="87"/>
      <c r="E2231" s="46" t="str">
        <f aca="false">IF(D2231&lt;&gt;"",IFERROR(VLOOKUP(D2231,PROVEEDORES!$A:$B,2,0),"!COD NO ENCONTRADO"),"")</f>
        <v/>
      </c>
      <c r="F2231" s="88" t="str">
        <f aca="false">IF(D2231&lt;&gt;"",IFERROR(VLOOKUP(D2231,PROVEEDORES!$A:$C,3,0),""),"")</f>
        <v/>
      </c>
      <c r="G2231" s="87"/>
      <c r="H2231" s="46" t="str">
        <f aca="false">IF(G2231&lt;&gt;"",IFERROR(VLOOKUP(G2231,PRODUCTOS!$A:$B,2,0),"!COD NO ENCONTRADO"),"")</f>
        <v/>
      </c>
      <c r="I2231" s="89"/>
      <c r="J2231" s="90"/>
      <c r="K2231" s="91"/>
      <c r="L2231" s="80" t="str">
        <f aca="false">IF(AND(J2231&lt;&gt;"",K2231&lt;&gt;""),J2231*K2231,"")</f>
        <v/>
      </c>
      <c r="M2231" s="81" t="str">
        <f aca="false">IF(L2231&lt;&gt;"",L2231*1.1,"")</f>
        <v/>
      </c>
      <c r="N2231" s="47" t="n">
        <f aca="false">IF(F2231="S",L2231*0.02,0)</f>
        <v>0</v>
      </c>
      <c r="O2231" s="82" t="str">
        <f aca="false">IF(L2231&lt;&gt;"",L2231+N2231,"")</f>
        <v/>
      </c>
      <c r="P2231" s="47" t="str">
        <f aca="false">IF(O2231&lt;&gt;"",O2231*0.1,"")</f>
        <v/>
      </c>
      <c r="Q2231" s="83" t="str">
        <f aca="false">IF(O2231&lt;&gt;"",O2231+P2231,"")</f>
        <v/>
      </c>
      <c r="R2231" s="84"/>
    </row>
    <row r="2232" customFormat="false" ht="15" hidden="false" customHeight="true" outlineLevel="0" collapsed="false">
      <c r="A2232" s="103"/>
      <c r="B2232" s="73"/>
      <c r="C2232" s="74"/>
      <c r="D2232" s="75"/>
      <c r="E2232" s="52" t="str">
        <f aca="false">IF(D2232&lt;&gt;"",IFERROR(VLOOKUP(D2232,PROVEEDORES!$A:$B,2,0),"!COD NO ENCONTRADO"),"")</f>
        <v/>
      </c>
      <c r="F2232" s="76" t="str">
        <f aca="false">IF(D2232&lt;&gt;"",IFERROR(VLOOKUP(D2232,PROVEEDORES!$A:$C,3,0),""),"")</f>
        <v/>
      </c>
      <c r="G2232" s="75"/>
      <c r="H2232" s="52" t="str">
        <f aca="false">IF(G2232&lt;&gt;"",IFERROR(VLOOKUP(G2232,PRODUCTOS!$A:$B,2,0),"!COD NO ENCONTRADO"),"")</f>
        <v/>
      </c>
      <c r="I2232" s="77"/>
      <c r="J2232" s="78"/>
      <c r="K2232" s="79"/>
      <c r="L2232" s="80" t="str">
        <f aca="false">IF(AND(J2232&lt;&gt;"",K2232&lt;&gt;""),J2232*K2232,"")</f>
        <v/>
      </c>
      <c r="M2232" s="81" t="str">
        <f aca="false">IF(L2232&lt;&gt;"",L2232*1.1,"")</f>
        <v/>
      </c>
      <c r="N2232" s="53" t="n">
        <f aca="false">IF(F2232="S",L2232*0.02,0)</f>
        <v>0</v>
      </c>
      <c r="O2232" s="82" t="str">
        <f aca="false">IF(L2232&lt;&gt;"",L2232+N2232,"")</f>
        <v/>
      </c>
      <c r="P2232" s="53" t="str">
        <f aca="false">IF(O2232&lt;&gt;"",O2232*0.1,"")</f>
        <v/>
      </c>
      <c r="Q2232" s="83" t="str">
        <f aca="false">IF(O2232&lt;&gt;"",O2232+P2232,"")</f>
        <v/>
      </c>
      <c r="R2232" s="84"/>
    </row>
    <row r="2233" customFormat="false" ht="15" hidden="false" customHeight="true" outlineLevel="0" collapsed="false">
      <c r="A2233" s="103"/>
      <c r="B2233" s="85"/>
      <c r="C2233" s="86"/>
      <c r="D2233" s="87"/>
      <c r="E2233" s="46" t="str">
        <f aca="false">IF(D2233&lt;&gt;"",IFERROR(VLOOKUP(D2233,PROVEEDORES!$A:$B,2,0),"!COD NO ENCONTRADO"),"")</f>
        <v/>
      </c>
      <c r="F2233" s="88" t="str">
        <f aca="false">IF(D2233&lt;&gt;"",IFERROR(VLOOKUP(D2233,PROVEEDORES!$A:$C,3,0),""),"")</f>
        <v/>
      </c>
      <c r="G2233" s="87"/>
      <c r="H2233" s="46" t="str">
        <f aca="false">IF(G2233&lt;&gt;"",IFERROR(VLOOKUP(G2233,PRODUCTOS!$A:$B,2,0),"!COD NO ENCONTRADO"),"")</f>
        <v/>
      </c>
      <c r="I2233" s="89"/>
      <c r="J2233" s="90"/>
      <c r="K2233" s="91"/>
      <c r="L2233" s="80" t="str">
        <f aca="false">IF(AND(J2233&lt;&gt;"",K2233&lt;&gt;""),J2233*K2233,"")</f>
        <v/>
      </c>
      <c r="M2233" s="81" t="str">
        <f aca="false">IF(L2233&lt;&gt;"",L2233*1.1,"")</f>
        <v/>
      </c>
      <c r="N2233" s="47" t="n">
        <f aca="false">IF(F2233="S",L2233*0.02,0)</f>
        <v>0</v>
      </c>
      <c r="O2233" s="82" t="str">
        <f aca="false">IF(L2233&lt;&gt;"",L2233+N2233,"")</f>
        <v/>
      </c>
      <c r="P2233" s="47" t="str">
        <f aca="false">IF(O2233&lt;&gt;"",O2233*0.1,"")</f>
        <v/>
      </c>
      <c r="Q2233" s="83" t="str">
        <f aca="false">IF(O2233&lt;&gt;"",O2233+P2233,"")</f>
        <v/>
      </c>
      <c r="R2233" s="84"/>
    </row>
    <row r="2234" customFormat="false" ht="15" hidden="false" customHeight="true" outlineLevel="0" collapsed="false">
      <c r="A2234" s="103"/>
      <c r="B2234" s="73"/>
      <c r="C2234" s="74"/>
      <c r="D2234" s="75"/>
      <c r="E2234" s="52" t="str">
        <f aca="false">IF(D2234&lt;&gt;"",IFERROR(VLOOKUP(D2234,PROVEEDORES!$A:$B,2,0),"!COD NO ENCONTRADO"),"")</f>
        <v/>
      </c>
      <c r="F2234" s="76" t="str">
        <f aca="false">IF(D2234&lt;&gt;"",IFERROR(VLOOKUP(D2234,PROVEEDORES!$A:$C,3,0),""),"")</f>
        <v/>
      </c>
      <c r="G2234" s="75"/>
      <c r="H2234" s="52" t="str">
        <f aca="false">IF(G2234&lt;&gt;"",IFERROR(VLOOKUP(G2234,PRODUCTOS!$A:$B,2,0),"!COD NO ENCONTRADO"),"")</f>
        <v/>
      </c>
      <c r="I2234" s="77"/>
      <c r="J2234" s="78"/>
      <c r="K2234" s="79"/>
      <c r="L2234" s="80" t="str">
        <f aca="false">IF(AND(J2234&lt;&gt;"",K2234&lt;&gt;""),J2234*K2234,"")</f>
        <v/>
      </c>
      <c r="M2234" s="81" t="str">
        <f aca="false">IF(L2234&lt;&gt;"",L2234*1.1,"")</f>
        <v/>
      </c>
      <c r="N2234" s="53" t="n">
        <f aca="false">IF(F2234="S",L2234*0.02,0)</f>
        <v>0</v>
      </c>
      <c r="O2234" s="82" t="str">
        <f aca="false">IF(L2234&lt;&gt;"",L2234+N2234,"")</f>
        <v/>
      </c>
      <c r="P2234" s="53" t="str">
        <f aca="false">IF(O2234&lt;&gt;"",O2234*0.1,"")</f>
        <v/>
      </c>
      <c r="Q2234" s="83" t="str">
        <f aca="false">IF(O2234&lt;&gt;"",O2234+P2234,"")</f>
        <v/>
      </c>
      <c r="R2234" s="84"/>
    </row>
    <row r="2235" customFormat="false" ht="15" hidden="false" customHeight="true" outlineLevel="0" collapsed="false">
      <c r="A2235" s="103"/>
      <c r="B2235" s="85"/>
      <c r="C2235" s="86"/>
      <c r="D2235" s="87"/>
      <c r="E2235" s="46" t="str">
        <f aca="false">IF(D2235&lt;&gt;"",IFERROR(VLOOKUP(D2235,PROVEEDORES!$A:$B,2,0),"!COD NO ENCONTRADO"),"")</f>
        <v/>
      </c>
      <c r="F2235" s="88" t="str">
        <f aca="false">IF(D2235&lt;&gt;"",IFERROR(VLOOKUP(D2235,PROVEEDORES!$A:$C,3,0),""),"")</f>
        <v/>
      </c>
      <c r="G2235" s="87"/>
      <c r="H2235" s="46" t="str">
        <f aca="false">IF(G2235&lt;&gt;"",IFERROR(VLOOKUP(G2235,PRODUCTOS!$A:$B,2,0),"!COD NO ENCONTRADO"),"")</f>
        <v/>
      </c>
      <c r="I2235" s="89"/>
      <c r="J2235" s="90"/>
      <c r="K2235" s="91"/>
      <c r="L2235" s="80" t="str">
        <f aca="false">IF(AND(J2235&lt;&gt;"",K2235&lt;&gt;""),J2235*K2235,"")</f>
        <v/>
      </c>
      <c r="M2235" s="81" t="str">
        <f aca="false">IF(L2235&lt;&gt;"",L2235*1.1,"")</f>
        <v/>
      </c>
      <c r="N2235" s="47" t="n">
        <f aca="false">IF(F2235="S",L2235*0.02,0)</f>
        <v>0</v>
      </c>
      <c r="O2235" s="82" t="str">
        <f aca="false">IF(L2235&lt;&gt;"",L2235+N2235,"")</f>
        <v/>
      </c>
      <c r="P2235" s="47" t="str">
        <f aca="false">IF(O2235&lt;&gt;"",O2235*0.1,"")</f>
        <v/>
      </c>
      <c r="Q2235" s="83" t="str">
        <f aca="false">IF(O2235&lt;&gt;"",O2235+P2235,"")</f>
        <v/>
      </c>
      <c r="R2235" s="84"/>
    </row>
    <row r="2236" customFormat="false" ht="15" hidden="false" customHeight="true" outlineLevel="0" collapsed="false">
      <c r="A2236" s="103"/>
      <c r="B2236" s="73"/>
      <c r="C2236" s="74"/>
      <c r="D2236" s="75"/>
      <c r="E2236" s="52" t="str">
        <f aca="false">IF(D2236&lt;&gt;"",IFERROR(VLOOKUP(D2236,PROVEEDORES!$A:$B,2,0),"!COD NO ENCONTRADO"),"")</f>
        <v/>
      </c>
      <c r="F2236" s="76" t="str">
        <f aca="false">IF(D2236&lt;&gt;"",IFERROR(VLOOKUP(D2236,PROVEEDORES!$A:$C,3,0),""),"")</f>
        <v/>
      </c>
      <c r="G2236" s="75"/>
      <c r="H2236" s="52" t="str">
        <f aca="false">IF(G2236&lt;&gt;"",IFERROR(VLOOKUP(G2236,PRODUCTOS!$A:$B,2,0),"!COD NO ENCONTRADO"),"")</f>
        <v/>
      </c>
      <c r="I2236" s="77"/>
      <c r="J2236" s="78"/>
      <c r="K2236" s="79"/>
      <c r="L2236" s="80" t="str">
        <f aca="false">IF(AND(J2236&lt;&gt;"",K2236&lt;&gt;""),J2236*K2236,"")</f>
        <v/>
      </c>
      <c r="M2236" s="81" t="str">
        <f aca="false">IF(L2236&lt;&gt;"",L2236*1.1,"")</f>
        <v/>
      </c>
      <c r="N2236" s="53" t="n">
        <f aca="false">IF(F2236="S",L2236*0.02,0)</f>
        <v>0</v>
      </c>
      <c r="O2236" s="82" t="str">
        <f aca="false">IF(L2236&lt;&gt;"",L2236+N2236,"")</f>
        <v/>
      </c>
      <c r="P2236" s="53" t="str">
        <f aca="false">IF(O2236&lt;&gt;"",O2236*0.1,"")</f>
        <v/>
      </c>
      <c r="Q2236" s="83" t="str">
        <f aca="false">IF(O2236&lt;&gt;"",O2236+P2236,"")</f>
        <v/>
      </c>
      <c r="R2236" s="84"/>
    </row>
    <row r="2237" customFormat="false" ht="15" hidden="false" customHeight="true" outlineLevel="0" collapsed="false">
      <c r="A2237" s="103"/>
      <c r="B2237" s="85"/>
      <c r="C2237" s="86"/>
      <c r="D2237" s="87"/>
      <c r="E2237" s="46" t="str">
        <f aca="false">IF(D2237&lt;&gt;"",IFERROR(VLOOKUP(D2237,PROVEEDORES!$A:$B,2,0),"!COD NO ENCONTRADO"),"")</f>
        <v/>
      </c>
      <c r="F2237" s="88" t="str">
        <f aca="false">IF(D2237&lt;&gt;"",IFERROR(VLOOKUP(D2237,PROVEEDORES!$A:$C,3,0),""),"")</f>
        <v/>
      </c>
      <c r="G2237" s="87"/>
      <c r="H2237" s="46" t="str">
        <f aca="false">IF(G2237&lt;&gt;"",IFERROR(VLOOKUP(G2237,PRODUCTOS!$A:$B,2,0),"!COD NO ENCONTRADO"),"")</f>
        <v/>
      </c>
      <c r="I2237" s="89"/>
      <c r="J2237" s="90"/>
      <c r="K2237" s="91"/>
      <c r="L2237" s="80" t="str">
        <f aca="false">IF(AND(J2237&lt;&gt;"",K2237&lt;&gt;""),J2237*K2237,"")</f>
        <v/>
      </c>
      <c r="M2237" s="81" t="str">
        <f aca="false">IF(L2237&lt;&gt;"",L2237*1.1,"")</f>
        <v/>
      </c>
      <c r="N2237" s="47" t="n">
        <f aca="false">IF(F2237="S",L2237*0.02,0)</f>
        <v>0</v>
      </c>
      <c r="O2237" s="82" t="str">
        <f aca="false">IF(L2237&lt;&gt;"",L2237+N2237,"")</f>
        <v/>
      </c>
      <c r="P2237" s="47" t="str">
        <f aca="false">IF(O2237&lt;&gt;"",O2237*0.1,"")</f>
        <v/>
      </c>
      <c r="Q2237" s="83" t="str">
        <f aca="false">IF(O2237&lt;&gt;"",O2237+P2237,"")</f>
        <v/>
      </c>
      <c r="R2237" s="84"/>
    </row>
    <row r="2238" customFormat="false" ht="15" hidden="false" customHeight="true" outlineLevel="0" collapsed="false">
      <c r="A2238" s="103"/>
      <c r="B2238" s="73"/>
      <c r="C2238" s="74"/>
      <c r="D2238" s="75"/>
      <c r="E2238" s="52" t="str">
        <f aca="false">IF(D2238&lt;&gt;"",IFERROR(VLOOKUP(D2238,PROVEEDORES!$A:$B,2,0),"!COD NO ENCONTRADO"),"")</f>
        <v/>
      </c>
      <c r="F2238" s="76" t="str">
        <f aca="false">IF(D2238&lt;&gt;"",IFERROR(VLOOKUP(D2238,PROVEEDORES!$A:$C,3,0),""),"")</f>
        <v/>
      </c>
      <c r="G2238" s="75"/>
      <c r="H2238" s="52" t="str">
        <f aca="false">IF(G2238&lt;&gt;"",IFERROR(VLOOKUP(G2238,PRODUCTOS!$A:$B,2,0),"!COD NO ENCONTRADO"),"")</f>
        <v/>
      </c>
      <c r="I2238" s="77"/>
      <c r="J2238" s="78"/>
      <c r="K2238" s="79"/>
      <c r="L2238" s="80" t="str">
        <f aca="false">IF(AND(J2238&lt;&gt;"",K2238&lt;&gt;""),J2238*K2238,"")</f>
        <v/>
      </c>
      <c r="M2238" s="81" t="str">
        <f aca="false">IF(L2238&lt;&gt;"",L2238*1.1,"")</f>
        <v/>
      </c>
      <c r="N2238" s="53" t="n">
        <f aca="false">IF(F2238="S",L2238*0.02,0)</f>
        <v>0</v>
      </c>
      <c r="O2238" s="82" t="str">
        <f aca="false">IF(L2238&lt;&gt;"",L2238+N2238,"")</f>
        <v/>
      </c>
      <c r="P2238" s="53" t="str">
        <f aca="false">IF(O2238&lt;&gt;"",O2238*0.1,"")</f>
        <v/>
      </c>
      <c r="Q2238" s="83" t="str">
        <f aca="false">IF(O2238&lt;&gt;"",O2238+P2238,"")</f>
        <v/>
      </c>
      <c r="R2238" s="84"/>
    </row>
    <row r="2239" customFormat="false" ht="15" hidden="false" customHeight="true" outlineLevel="0" collapsed="false">
      <c r="A2239" s="103"/>
      <c r="B2239" s="85"/>
      <c r="C2239" s="86"/>
      <c r="D2239" s="87"/>
      <c r="E2239" s="46" t="str">
        <f aca="false">IF(D2239&lt;&gt;"",IFERROR(VLOOKUP(D2239,PROVEEDORES!$A:$B,2,0),"!COD NO ENCONTRADO"),"")</f>
        <v/>
      </c>
      <c r="F2239" s="88" t="str">
        <f aca="false">IF(D2239&lt;&gt;"",IFERROR(VLOOKUP(D2239,PROVEEDORES!$A:$C,3,0),""),"")</f>
        <v/>
      </c>
      <c r="G2239" s="87"/>
      <c r="H2239" s="46" t="str">
        <f aca="false">IF(G2239&lt;&gt;"",IFERROR(VLOOKUP(G2239,PRODUCTOS!$A:$B,2,0),"!COD NO ENCONTRADO"),"")</f>
        <v/>
      </c>
      <c r="I2239" s="89"/>
      <c r="J2239" s="90"/>
      <c r="K2239" s="91"/>
      <c r="L2239" s="80" t="str">
        <f aca="false">IF(AND(J2239&lt;&gt;"",K2239&lt;&gt;""),J2239*K2239,"")</f>
        <v/>
      </c>
      <c r="M2239" s="81" t="str">
        <f aca="false">IF(L2239&lt;&gt;"",L2239*1.1,"")</f>
        <v/>
      </c>
      <c r="N2239" s="47" t="n">
        <f aca="false">IF(F2239="S",L2239*0.02,0)</f>
        <v>0</v>
      </c>
      <c r="O2239" s="82" t="str">
        <f aca="false">IF(L2239&lt;&gt;"",L2239+N2239,"")</f>
        <v/>
      </c>
      <c r="P2239" s="47" t="str">
        <f aca="false">IF(O2239&lt;&gt;"",O2239*0.1,"")</f>
        <v/>
      </c>
      <c r="Q2239" s="83" t="str">
        <f aca="false">IF(O2239&lt;&gt;"",O2239+P2239,"")</f>
        <v/>
      </c>
      <c r="R2239" s="84"/>
    </row>
    <row r="2240" customFormat="false" ht="15" hidden="false" customHeight="true" outlineLevel="0" collapsed="false">
      <c r="A2240" s="103"/>
      <c r="B2240" s="73"/>
      <c r="C2240" s="74"/>
      <c r="D2240" s="75"/>
      <c r="E2240" s="52" t="str">
        <f aca="false">IF(D2240&lt;&gt;"",IFERROR(VLOOKUP(D2240,PROVEEDORES!$A:$B,2,0),"!COD NO ENCONTRADO"),"")</f>
        <v/>
      </c>
      <c r="F2240" s="76" t="str">
        <f aca="false">IF(D2240&lt;&gt;"",IFERROR(VLOOKUP(D2240,PROVEEDORES!$A:$C,3,0),""),"")</f>
        <v/>
      </c>
      <c r="G2240" s="75"/>
      <c r="H2240" s="52" t="str">
        <f aca="false">IF(G2240&lt;&gt;"",IFERROR(VLOOKUP(G2240,PRODUCTOS!$A:$B,2,0),"!COD NO ENCONTRADO"),"")</f>
        <v/>
      </c>
      <c r="I2240" s="77"/>
      <c r="J2240" s="78"/>
      <c r="K2240" s="79"/>
      <c r="L2240" s="80" t="str">
        <f aca="false">IF(AND(J2240&lt;&gt;"",K2240&lt;&gt;""),J2240*K2240,"")</f>
        <v/>
      </c>
      <c r="M2240" s="81" t="str">
        <f aca="false">IF(L2240&lt;&gt;"",L2240*1.1,"")</f>
        <v/>
      </c>
      <c r="N2240" s="53" t="n">
        <f aca="false">IF(F2240="S",L2240*0.02,0)</f>
        <v>0</v>
      </c>
      <c r="O2240" s="82" t="str">
        <f aca="false">IF(L2240&lt;&gt;"",L2240+N2240,"")</f>
        <v/>
      </c>
      <c r="P2240" s="53" t="str">
        <f aca="false">IF(O2240&lt;&gt;"",O2240*0.1,"")</f>
        <v/>
      </c>
      <c r="Q2240" s="83" t="str">
        <f aca="false">IF(O2240&lt;&gt;"",O2240+P2240,"")</f>
        <v/>
      </c>
      <c r="R2240" s="84"/>
    </row>
    <row r="2241" customFormat="false" ht="15" hidden="false" customHeight="true" outlineLevel="0" collapsed="false">
      <c r="A2241" s="103"/>
      <c r="B2241" s="85"/>
      <c r="C2241" s="86"/>
      <c r="D2241" s="87"/>
      <c r="E2241" s="46" t="str">
        <f aca="false">IF(D2241&lt;&gt;"",IFERROR(VLOOKUP(D2241,PROVEEDORES!$A:$B,2,0),"!COD NO ENCONTRADO"),"")</f>
        <v/>
      </c>
      <c r="F2241" s="88" t="str">
        <f aca="false">IF(D2241&lt;&gt;"",IFERROR(VLOOKUP(D2241,PROVEEDORES!$A:$C,3,0),""),"")</f>
        <v/>
      </c>
      <c r="G2241" s="87"/>
      <c r="H2241" s="46" t="str">
        <f aca="false">IF(G2241&lt;&gt;"",IFERROR(VLOOKUP(G2241,PRODUCTOS!$A:$B,2,0),"!COD NO ENCONTRADO"),"")</f>
        <v/>
      </c>
      <c r="I2241" s="89"/>
      <c r="J2241" s="90"/>
      <c r="K2241" s="91"/>
      <c r="L2241" s="80" t="str">
        <f aca="false">IF(AND(J2241&lt;&gt;"",K2241&lt;&gt;""),J2241*K2241,"")</f>
        <v/>
      </c>
      <c r="M2241" s="81" t="str">
        <f aca="false">IF(L2241&lt;&gt;"",L2241*1.1,"")</f>
        <v/>
      </c>
      <c r="N2241" s="47" t="n">
        <f aca="false">IF(F2241="S",L2241*0.02,0)</f>
        <v>0</v>
      </c>
      <c r="O2241" s="82" t="str">
        <f aca="false">IF(L2241&lt;&gt;"",L2241+N2241,"")</f>
        <v/>
      </c>
      <c r="P2241" s="47" t="str">
        <f aca="false">IF(O2241&lt;&gt;"",O2241*0.1,"")</f>
        <v/>
      </c>
      <c r="Q2241" s="83" t="str">
        <f aca="false">IF(O2241&lt;&gt;"",O2241+P2241,"")</f>
        <v/>
      </c>
      <c r="R2241" s="84"/>
    </row>
    <row r="2242" customFormat="false" ht="15" hidden="false" customHeight="true" outlineLevel="0" collapsed="false">
      <c r="A2242" s="103"/>
      <c r="B2242" s="73"/>
      <c r="C2242" s="74"/>
      <c r="D2242" s="75"/>
      <c r="E2242" s="52" t="str">
        <f aca="false">IF(D2242&lt;&gt;"",IFERROR(VLOOKUP(D2242,PROVEEDORES!$A:$B,2,0),"!COD NO ENCONTRADO"),"")</f>
        <v/>
      </c>
      <c r="F2242" s="76" t="str">
        <f aca="false">IF(D2242&lt;&gt;"",IFERROR(VLOOKUP(D2242,PROVEEDORES!$A:$C,3,0),""),"")</f>
        <v/>
      </c>
      <c r="G2242" s="75"/>
      <c r="H2242" s="52" t="str">
        <f aca="false">IF(G2242&lt;&gt;"",IFERROR(VLOOKUP(G2242,PRODUCTOS!$A:$B,2,0),"!COD NO ENCONTRADO"),"")</f>
        <v/>
      </c>
      <c r="I2242" s="77"/>
      <c r="J2242" s="78"/>
      <c r="K2242" s="79"/>
      <c r="L2242" s="80" t="str">
        <f aca="false">IF(AND(J2242&lt;&gt;"",K2242&lt;&gt;""),J2242*K2242,"")</f>
        <v/>
      </c>
      <c r="M2242" s="81" t="str">
        <f aca="false">IF(L2242&lt;&gt;"",L2242*1.1,"")</f>
        <v/>
      </c>
      <c r="N2242" s="53" t="n">
        <f aca="false">IF(F2242="S",L2242*0.02,0)</f>
        <v>0</v>
      </c>
      <c r="O2242" s="82" t="str">
        <f aca="false">IF(L2242&lt;&gt;"",L2242+N2242,"")</f>
        <v/>
      </c>
      <c r="P2242" s="53" t="str">
        <f aca="false">IF(O2242&lt;&gt;"",O2242*0.1,"")</f>
        <v/>
      </c>
      <c r="Q2242" s="83" t="str">
        <f aca="false">IF(O2242&lt;&gt;"",O2242+P2242,"")</f>
        <v/>
      </c>
      <c r="R2242" s="84"/>
    </row>
    <row r="2243" customFormat="false" ht="15" hidden="false" customHeight="true" outlineLevel="0" collapsed="false">
      <c r="A2243" s="103"/>
      <c r="B2243" s="85"/>
      <c r="C2243" s="86"/>
      <c r="D2243" s="87"/>
      <c r="E2243" s="46" t="str">
        <f aca="false">IF(D2243&lt;&gt;"",IFERROR(VLOOKUP(D2243,PROVEEDORES!$A:$B,2,0),"!COD NO ENCONTRADO"),"")</f>
        <v/>
      </c>
      <c r="F2243" s="88" t="str">
        <f aca="false">IF(D2243&lt;&gt;"",IFERROR(VLOOKUP(D2243,PROVEEDORES!$A:$C,3,0),""),"")</f>
        <v/>
      </c>
      <c r="G2243" s="87"/>
      <c r="H2243" s="46" t="str">
        <f aca="false">IF(G2243&lt;&gt;"",IFERROR(VLOOKUP(G2243,PRODUCTOS!$A:$B,2,0),"!COD NO ENCONTRADO"),"")</f>
        <v/>
      </c>
      <c r="I2243" s="89"/>
      <c r="J2243" s="90"/>
      <c r="K2243" s="91"/>
      <c r="L2243" s="80" t="str">
        <f aca="false">IF(AND(J2243&lt;&gt;"",K2243&lt;&gt;""),J2243*K2243,"")</f>
        <v/>
      </c>
      <c r="M2243" s="81" t="str">
        <f aca="false">IF(L2243&lt;&gt;"",L2243*1.1,"")</f>
        <v/>
      </c>
      <c r="N2243" s="47" t="n">
        <f aca="false">IF(F2243="S",L2243*0.02,0)</f>
        <v>0</v>
      </c>
      <c r="O2243" s="82" t="str">
        <f aca="false">IF(L2243&lt;&gt;"",L2243+N2243,"")</f>
        <v/>
      </c>
      <c r="P2243" s="47" t="str">
        <f aca="false">IF(O2243&lt;&gt;"",O2243*0.1,"")</f>
        <v/>
      </c>
      <c r="Q2243" s="83" t="str">
        <f aca="false">IF(O2243&lt;&gt;"",O2243+P2243,"")</f>
        <v/>
      </c>
      <c r="R2243" s="84"/>
    </row>
    <row r="2244" customFormat="false" ht="15" hidden="false" customHeight="true" outlineLevel="0" collapsed="false">
      <c r="A2244" s="103"/>
      <c r="B2244" s="73"/>
      <c r="C2244" s="74"/>
      <c r="D2244" s="75"/>
      <c r="E2244" s="52" t="str">
        <f aca="false">IF(D2244&lt;&gt;"",IFERROR(VLOOKUP(D2244,PROVEEDORES!$A:$B,2,0),"!COD NO ENCONTRADO"),"")</f>
        <v/>
      </c>
      <c r="F2244" s="76" t="str">
        <f aca="false">IF(D2244&lt;&gt;"",IFERROR(VLOOKUP(D2244,PROVEEDORES!$A:$C,3,0),""),"")</f>
        <v/>
      </c>
      <c r="G2244" s="75"/>
      <c r="H2244" s="52" t="str">
        <f aca="false">IF(G2244&lt;&gt;"",IFERROR(VLOOKUP(G2244,PRODUCTOS!$A:$B,2,0),"!COD NO ENCONTRADO"),"")</f>
        <v/>
      </c>
      <c r="I2244" s="77"/>
      <c r="J2244" s="78"/>
      <c r="K2244" s="79"/>
      <c r="L2244" s="80" t="str">
        <f aca="false">IF(AND(J2244&lt;&gt;"",K2244&lt;&gt;""),J2244*K2244,"")</f>
        <v/>
      </c>
      <c r="M2244" s="81" t="str">
        <f aca="false">IF(L2244&lt;&gt;"",L2244*1.1,"")</f>
        <v/>
      </c>
      <c r="N2244" s="53" t="n">
        <f aca="false">IF(F2244="S",L2244*0.02,0)</f>
        <v>0</v>
      </c>
      <c r="O2244" s="82" t="str">
        <f aca="false">IF(L2244&lt;&gt;"",L2244+N2244,"")</f>
        <v/>
      </c>
      <c r="P2244" s="53" t="str">
        <f aca="false">IF(O2244&lt;&gt;"",O2244*0.1,"")</f>
        <v/>
      </c>
      <c r="Q2244" s="83" t="str">
        <f aca="false">IF(O2244&lt;&gt;"",O2244+P2244,"")</f>
        <v/>
      </c>
      <c r="R2244" s="84"/>
    </row>
    <row r="2245" customFormat="false" ht="15" hidden="false" customHeight="true" outlineLevel="0" collapsed="false">
      <c r="A2245" s="103"/>
      <c r="B2245" s="85"/>
      <c r="C2245" s="86"/>
      <c r="D2245" s="87"/>
      <c r="E2245" s="46" t="str">
        <f aca="false">IF(D2245&lt;&gt;"",IFERROR(VLOOKUP(D2245,PROVEEDORES!$A:$B,2,0),"!COD NO ENCONTRADO"),"")</f>
        <v/>
      </c>
      <c r="F2245" s="88" t="str">
        <f aca="false">IF(D2245&lt;&gt;"",IFERROR(VLOOKUP(D2245,PROVEEDORES!$A:$C,3,0),""),"")</f>
        <v/>
      </c>
      <c r="G2245" s="87"/>
      <c r="H2245" s="46" t="str">
        <f aca="false">IF(G2245&lt;&gt;"",IFERROR(VLOOKUP(G2245,PRODUCTOS!$A:$B,2,0),"!COD NO ENCONTRADO"),"")</f>
        <v/>
      </c>
      <c r="I2245" s="89"/>
      <c r="J2245" s="90"/>
      <c r="K2245" s="91"/>
      <c r="L2245" s="80" t="str">
        <f aca="false">IF(AND(J2245&lt;&gt;"",K2245&lt;&gt;""),J2245*K2245,"")</f>
        <v/>
      </c>
      <c r="M2245" s="81" t="str">
        <f aca="false">IF(L2245&lt;&gt;"",L2245*1.1,"")</f>
        <v/>
      </c>
      <c r="N2245" s="47" t="n">
        <f aca="false">IF(F2245="S",L2245*0.02,0)</f>
        <v>0</v>
      </c>
      <c r="O2245" s="82" t="str">
        <f aca="false">IF(L2245&lt;&gt;"",L2245+N2245,"")</f>
        <v/>
      </c>
      <c r="P2245" s="47" t="str">
        <f aca="false">IF(O2245&lt;&gt;"",O2245*0.1,"")</f>
        <v/>
      </c>
      <c r="Q2245" s="83" t="str">
        <f aca="false">IF(O2245&lt;&gt;"",O2245+P2245,"")</f>
        <v/>
      </c>
      <c r="R2245" s="84"/>
    </row>
    <row r="2246" customFormat="false" ht="15" hidden="false" customHeight="true" outlineLevel="0" collapsed="false">
      <c r="A2246" s="103"/>
      <c r="B2246" s="73"/>
      <c r="C2246" s="74"/>
      <c r="D2246" s="75"/>
      <c r="E2246" s="52" t="str">
        <f aca="false">IF(D2246&lt;&gt;"",IFERROR(VLOOKUP(D2246,PROVEEDORES!$A:$B,2,0),"!COD NO ENCONTRADO"),"")</f>
        <v/>
      </c>
      <c r="F2246" s="76" t="str">
        <f aca="false">IF(D2246&lt;&gt;"",IFERROR(VLOOKUP(D2246,PROVEEDORES!$A:$C,3,0),""),"")</f>
        <v/>
      </c>
      <c r="G2246" s="75"/>
      <c r="H2246" s="52" t="str">
        <f aca="false">IF(G2246&lt;&gt;"",IFERROR(VLOOKUP(G2246,PRODUCTOS!$A:$B,2,0),"!COD NO ENCONTRADO"),"")</f>
        <v/>
      </c>
      <c r="I2246" s="77"/>
      <c r="J2246" s="78"/>
      <c r="K2246" s="79"/>
      <c r="L2246" s="80" t="str">
        <f aca="false">IF(AND(J2246&lt;&gt;"",K2246&lt;&gt;""),J2246*K2246,"")</f>
        <v/>
      </c>
      <c r="M2246" s="81" t="str">
        <f aca="false">IF(L2246&lt;&gt;"",L2246*1.1,"")</f>
        <v/>
      </c>
      <c r="N2246" s="53" t="n">
        <f aca="false">IF(F2246="S",L2246*0.02,0)</f>
        <v>0</v>
      </c>
      <c r="O2246" s="82" t="str">
        <f aca="false">IF(L2246&lt;&gt;"",L2246+N2246,"")</f>
        <v/>
      </c>
      <c r="P2246" s="53" t="str">
        <f aca="false">IF(O2246&lt;&gt;"",O2246*0.1,"")</f>
        <v/>
      </c>
      <c r="Q2246" s="83" t="str">
        <f aca="false">IF(O2246&lt;&gt;"",O2246+P2246,"")</f>
        <v/>
      </c>
      <c r="R2246" s="84"/>
    </row>
    <row r="2247" customFormat="false" ht="15" hidden="false" customHeight="true" outlineLevel="0" collapsed="false">
      <c r="A2247" s="103"/>
      <c r="B2247" s="85"/>
      <c r="C2247" s="86"/>
      <c r="D2247" s="87"/>
      <c r="E2247" s="46" t="str">
        <f aca="false">IF(D2247&lt;&gt;"",IFERROR(VLOOKUP(D2247,PROVEEDORES!$A:$B,2,0),"!COD NO ENCONTRADO"),"")</f>
        <v/>
      </c>
      <c r="F2247" s="88" t="str">
        <f aca="false">IF(D2247&lt;&gt;"",IFERROR(VLOOKUP(D2247,PROVEEDORES!$A:$C,3,0),""),"")</f>
        <v/>
      </c>
      <c r="G2247" s="87"/>
      <c r="H2247" s="46" t="str">
        <f aca="false">IF(G2247&lt;&gt;"",IFERROR(VLOOKUP(G2247,PRODUCTOS!$A:$B,2,0),"!COD NO ENCONTRADO"),"")</f>
        <v/>
      </c>
      <c r="I2247" s="89"/>
      <c r="J2247" s="90"/>
      <c r="K2247" s="91"/>
      <c r="L2247" s="80" t="str">
        <f aca="false">IF(AND(J2247&lt;&gt;"",K2247&lt;&gt;""),J2247*K2247,"")</f>
        <v/>
      </c>
      <c r="M2247" s="81" t="str">
        <f aca="false">IF(L2247&lt;&gt;"",L2247*1.1,"")</f>
        <v/>
      </c>
      <c r="N2247" s="47" t="n">
        <f aca="false">IF(F2247="S",L2247*0.02,0)</f>
        <v>0</v>
      </c>
      <c r="O2247" s="82" t="str">
        <f aca="false">IF(L2247&lt;&gt;"",L2247+N2247,"")</f>
        <v/>
      </c>
      <c r="P2247" s="47" t="str">
        <f aca="false">IF(O2247&lt;&gt;"",O2247*0.1,"")</f>
        <v/>
      </c>
      <c r="Q2247" s="83" t="str">
        <f aca="false">IF(O2247&lt;&gt;"",O2247+P2247,"")</f>
        <v/>
      </c>
      <c r="R2247" s="84"/>
    </row>
    <row r="2248" customFormat="false" ht="15" hidden="false" customHeight="true" outlineLevel="0" collapsed="false">
      <c r="A2248" s="103"/>
      <c r="B2248" s="73"/>
      <c r="C2248" s="74"/>
      <c r="D2248" s="75"/>
      <c r="E2248" s="52" t="str">
        <f aca="false">IF(D2248&lt;&gt;"",IFERROR(VLOOKUP(D2248,PROVEEDORES!$A:$B,2,0),"!COD NO ENCONTRADO"),"")</f>
        <v/>
      </c>
      <c r="F2248" s="76" t="str">
        <f aca="false">IF(D2248&lt;&gt;"",IFERROR(VLOOKUP(D2248,PROVEEDORES!$A:$C,3,0),""),"")</f>
        <v/>
      </c>
      <c r="G2248" s="75"/>
      <c r="H2248" s="52" t="str">
        <f aca="false">IF(G2248&lt;&gt;"",IFERROR(VLOOKUP(G2248,PRODUCTOS!$A:$B,2,0),"!COD NO ENCONTRADO"),"")</f>
        <v/>
      </c>
      <c r="I2248" s="77"/>
      <c r="J2248" s="78"/>
      <c r="K2248" s="79"/>
      <c r="L2248" s="80" t="str">
        <f aca="false">IF(AND(J2248&lt;&gt;"",K2248&lt;&gt;""),J2248*K2248,"")</f>
        <v/>
      </c>
      <c r="M2248" s="81" t="str">
        <f aca="false">IF(L2248&lt;&gt;"",L2248*1.1,"")</f>
        <v/>
      </c>
      <c r="N2248" s="53" t="n">
        <f aca="false">IF(F2248="S",L2248*0.02,0)</f>
        <v>0</v>
      </c>
      <c r="O2248" s="82" t="str">
        <f aca="false">IF(L2248&lt;&gt;"",L2248+N2248,"")</f>
        <v/>
      </c>
      <c r="P2248" s="53" t="str">
        <f aca="false">IF(O2248&lt;&gt;"",O2248*0.1,"")</f>
        <v/>
      </c>
      <c r="Q2248" s="83" t="str">
        <f aca="false">IF(O2248&lt;&gt;"",O2248+P2248,"")</f>
        <v/>
      </c>
      <c r="R2248" s="84"/>
    </row>
    <row r="2249" customFormat="false" ht="15" hidden="false" customHeight="true" outlineLevel="0" collapsed="false">
      <c r="A2249" s="103"/>
      <c r="B2249" s="85"/>
      <c r="C2249" s="86"/>
      <c r="D2249" s="87"/>
      <c r="E2249" s="46" t="str">
        <f aca="false">IF(D2249&lt;&gt;"",IFERROR(VLOOKUP(D2249,PROVEEDORES!$A:$B,2,0),"!COD NO ENCONTRADO"),"")</f>
        <v/>
      </c>
      <c r="F2249" s="88" t="str">
        <f aca="false">IF(D2249&lt;&gt;"",IFERROR(VLOOKUP(D2249,PROVEEDORES!$A:$C,3,0),""),"")</f>
        <v/>
      </c>
      <c r="G2249" s="87"/>
      <c r="H2249" s="46" t="str">
        <f aca="false">IF(G2249&lt;&gt;"",IFERROR(VLOOKUP(G2249,PRODUCTOS!$A:$B,2,0),"!COD NO ENCONTRADO"),"")</f>
        <v/>
      </c>
      <c r="I2249" s="89"/>
      <c r="J2249" s="90"/>
      <c r="K2249" s="91"/>
      <c r="L2249" s="80" t="str">
        <f aca="false">IF(AND(J2249&lt;&gt;"",K2249&lt;&gt;""),J2249*K2249,"")</f>
        <v/>
      </c>
      <c r="M2249" s="81" t="str">
        <f aca="false">IF(L2249&lt;&gt;"",L2249*1.1,"")</f>
        <v/>
      </c>
      <c r="N2249" s="47" t="n">
        <f aca="false">IF(F2249="S",L2249*0.02,0)</f>
        <v>0</v>
      </c>
      <c r="O2249" s="82" t="str">
        <f aca="false">IF(L2249&lt;&gt;"",L2249+N2249,"")</f>
        <v/>
      </c>
      <c r="P2249" s="47" t="str">
        <f aca="false">IF(O2249&lt;&gt;"",O2249*0.1,"")</f>
        <v/>
      </c>
      <c r="Q2249" s="83" t="str">
        <f aca="false">IF(O2249&lt;&gt;"",O2249+P2249,"")</f>
        <v/>
      </c>
      <c r="R2249" s="84"/>
    </row>
    <row r="2250" customFormat="false" ht="15" hidden="false" customHeight="true" outlineLevel="0" collapsed="false">
      <c r="A2250" s="103"/>
      <c r="B2250" s="73"/>
      <c r="C2250" s="74"/>
      <c r="D2250" s="75"/>
      <c r="E2250" s="52" t="str">
        <f aca="false">IF(D2250&lt;&gt;"",IFERROR(VLOOKUP(D2250,PROVEEDORES!$A:$B,2,0),"!COD NO ENCONTRADO"),"")</f>
        <v/>
      </c>
      <c r="F2250" s="76" t="str">
        <f aca="false">IF(D2250&lt;&gt;"",IFERROR(VLOOKUP(D2250,PROVEEDORES!$A:$C,3,0),""),"")</f>
        <v/>
      </c>
      <c r="G2250" s="75"/>
      <c r="H2250" s="52" t="str">
        <f aca="false">IF(G2250&lt;&gt;"",IFERROR(VLOOKUP(G2250,PRODUCTOS!$A:$B,2,0),"!COD NO ENCONTRADO"),"")</f>
        <v/>
      </c>
      <c r="I2250" s="77"/>
      <c r="J2250" s="78"/>
      <c r="K2250" s="79"/>
      <c r="L2250" s="80" t="str">
        <f aca="false">IF(AND(J2250&lt;&gt;"",K2250&lt;&gt;""),J2250*K2250,"")</f>
        <v/>
      </c>
      <c r="M2250" s="81" t="str">
        <f aca="false">IF(L2250&lt;&gt;"",L2250*1.1,"")</f>
        <v/>
      </c>
      <c r="N2250" s="53" t="n">
        <f aca="false">IF(F2250="S",L2250*0.02,0)</f>
        <v>0</v>
      </c>
      <c r="O2250" s="82" t="str">
        <f aca="false">IF(L2250&lt;&gt;"",L2250+N2250,"")</f>
        <v/>
      </c>
      <c r="P2250" s="53" t="str">
        <f aca="false">IF(O2250&lt;&gt;"",O2250*0.1,"")</f>
        <v/>
      </c>
      <c r="Q2250" s="83" t="str">
        <f aca="false">IF(O2250&lt;&gt;"",O2250+P2250,"")</f>
        <v/>
      </c>
      <c r="R2250" s="84"/>
    </row>
    <row r="2251" customFormat="false" ht="15" hidden="false" customHeight="true" outlineLevel="0" collapsed="false">
      <c r="A2251" s="103"/>
      <c r="B2251" s="85"/>
      <c r="C2251" s="86"/>
      <c r="D2251" s="87"/>
      <c r="E2251" s="46" t="str">
        <f aca="false">IF(D2251&lt;&gt;"",IFERROR(VLOOKUP(D2251,PROVEEDORES!$A:$B,2,0),"!COD NO ENCONTRADO"),"")</f>
        <v/>
      </c>
      <c r="F2251" s="88" t="str">
        <f aca="false">IF(D2251&lt;&gt;"",IFERROR(VLOOKUP(D2251,PROVEEDORES!$A:$C,3,0),""),"")</f>
        <v/>
      </c>
      <c r="G2251" s="87"/>
      <c r="H2251" s="46" t="str">
        <f aca="false">IF(G2251&lt;&gt;"",IFERROR(VLOOKUP(G2251,PRODUCTOS!$A:$B,2,0),"!COD NO ENCONTRADO"),"")</f>
        <v/>
      </c>
      <c r="I2251" s="89"/>
      <c r="J2251" s="90"/>
      <c r="K2251" s="91"/>
      <c r="L2251" s="80" t="str">
        <f aca="false">IF(AND(J2251&lt;&gt;"",K2251&lt;&gt;""),J2251*K2251,"")</f>
        <v/>
      </c>
      <c r="M2251" s="81" t="str">
        <f aca="false">IF(L2251&lt;&gt;"",L2251*1.1,"")</f>
        <v/>
      </c>
      <c r="N2251" s="47" t="n">
        <f aca="false">IF(F2251="S",L2251*0.02,0)</f>
        <v>0</v>
      </c>
      <c r="O2251" s="82" t="str">
        <f aca="false">IF(L2251&lt;&gt;"",L2251+N2251,"")</f>
        <v/>
      </c>
      <c r="P2251" s="47" t="str">
        <f aca="false">IF(O2251&lt;&gt;"",O2251*0.1,"")</f>
        <v/>
      </c>
      <c r="Q2251" s="83" t="str">
        <f aca="false">IF(O2251&lt;&gt;"",O2251+P2251,"")</f>
        <v/>
      </c>
      <c r="R2251" s="84"/>
    </row>
    <row r="2252" customFormat="false" ht="15" hidden="false" customHeight="true" outlineLevel="0" collapsed="false">
      <c r="A2252" s="103"/>
      <c r="B2252" s="73"/>
      <c r="C2252" s="74"/>
      <c r="D2252" s="75"/>
      <c r="E2252" s="52" t="str">
        <f aca="false">IF(D2252&lt;&gt;"",IFERROR(VLOOKUP(D2252,PROVEEDORES!$A:$B,2,0),"!COD NO ENCONTRADO"),"")</f>
        <v/>
      </c>
      <c r="F2252" s="76" t="str">
        <f aca="false">IF(D2252&lt;&gt;"",IFERROR(VLOOKUP(D2252,PROVEEDORES!$A:$C,3,0),""),"")</f>
        <v/>
      </c>
      <c r="G2252" s="75"/>
      <c r="H2252" s="52" t="str">
        <f aca="false">IF(G2252&lt;&gt;"",IFERROR(VLOOKUP(G2252,PRODUCTOS!$A:$B,2,0),"!COD NO ENCONTRADO"),"")</f>
        <v/>
      </c>
      <c r="I2252" s="77"/>
      <c r="J2252" s="78"/>
      <c r="K2252" s="79"/>
      <c r="L2252" s="80" t="str">
        <f aca="false">IF(AND(J2252&lt;&gt;"",K2252&lt;&gt;""),J2252*K2252,"")</f>
        <v/>
      </c>
      <c r="M2252" s="81" t="str">
        <f aca="false">IF(L2252&lt;&gt;"",L2252*1.1,"")</f>
        <v/>
      </c>
      <c r="N2252" s="53" t="n">
        <f aca="false">IF(F2252="S",L2252*0.02,0)</f>
        <v>0</v>
      </c>
      <c r="O2252" s="82" t="str">
        <f aca="false">IF(L2252&lt;&gt;"",L2252+N2252,"")</f>
        <v/>
      </c>
      <c r="P2252" s="53" t="str">
        <f aca="false">IF(O2252&lt;&gt;"",O2252*0.1,"")</f>
        <v/>
      </c>
      <c r="Q2252" s="83" t="str">
        <f aca="false">IF(O2252&lt;&gt;"",O2252+P2252,"")</f>
        <v/>
      </c>
      <c r="R2252" s="84"/>
    </row>
    <row r="2253" customFormat="false" ht="15" hidden="false" customHeight="true" outlineLevel="0" collapsed="false">
      <c r="A2253" s="103"/>
      <c r="B2253" s="85"/>
      <c r="C2253" s="86"/>
      <c r="D2253" s="87"/>
      <c r="E2253" s="46" t="str">
        <f aca="false">IF(D2253&lt;&gt;"",IFERROR(VLOOKUP(D2253,PROVEEDORES!$A:$B,2,0),"!COD NO ENCONTRADO"),"")</f>
        <v/>
      </c>
      <c r="F2253" s="88" t="str">
        <f aca="false">IF(D2253&lt;&gt;"",IFERROR(VLOOKUP(D2253,PROVEEDORES!$A:$C,3,0),""),"")</f>
        <v/>
      </c>
      <c r="G2253" s="87"/>
      <c r="H2253" s="46" t="str">
        <f aca="false">IF(G2253&lt;&gt;"",IFERROR(VLOOKUP(G2253,PRODUCTOS!$A:$B,2,0),"!COD NO ENCONTRADO"),"")</f>
        <v/>
      </c>
      <c r="I2253" s="89"/>
      <c r="J2253" s="90"/>
      <c r="K2253" s="91"/>
      <c r="L2253" s="80" t="str">
        <f aca="false">IF(AND(J2253&lt;&gt;"",K2253&lt;&gt;""),J2253*K2253,"")</f>
        <v/>
      </c>
      <c r="M2253" s="81" t="str">
        <f aca="false">IF(L2253&lt;&gt;"",L2253*1.1,"")</f>
        <v/>
      </c>
      <c r="N2253" s="47" t="n">
        <f aca="false">IF(F2253="S",L2253*0.02,0)</f>
        <v>0</v>
      </c>
      <c r="O2253" s="82" t="str">
        <f aca="false">IF(L2253&lt;&gt;"",L2253+N2253,"")</f>
        <v/>
      </c>
      <c r="P2253" s="47" t="str">
        <f aca="false">IF(O2253&lt;&gt;"",O2253*0.1,"")</f>
        <v/>
      </c>
      <c r="Q2253" s="83" t="str">
        <f aca="false">IF(O2253&lt;&gt;"",O2253+P2253,"")</f>
        <v/>
      </c>
      <c r="R2253" s="84"/>
    </row>
    <row r="2254" customFormat="false" ht="15" hidden="false" customHeight="true" outlineLevel="0" collapsed="false">
      <c r="A2254" s="103"/>
      <c r="B2254" s="73"/>
      <c r="C2254" s="74"/>
      <c r="D2254" s="75"/>
      <c r="E2254" s="52" t="str">
        <f aca="false">IF(D2254&lt;&gt;"",IFERROR(VLOOKUP(D2254,PROVEEDORES!$A:$B,2,0),"!COD NO ENCONTRADO"),"")</f>
        <v/>
      </c>
      <c r="F2254" s="76" t="str">
        <f aca="false">IF(D2254&lt;&gt;"",IFERROR(VLOOKUP(D2254,PROVEEDORES!$A:$C,3,0),""),"")</f>
        <v/>
      </c>
      <c r="G2254" s="75"/>
      <c r="H2254" s="52" t="str">
        <f aca="false">IF(G2254&lt;&gt;"",IFERROR(VLOOKUP(G2254,PRODUCTOS!$A:$B,2,0),"!COD NO ENCONTRADO"),"")</f>
        <v/>
      </c>
      <c r="I2254" s="77"/>
      <c r="J2254" s="78"/>
      <c r="K2254" s="79"/>
      <c r="L2254" s="80" t="str">
        <f aca="false">IF(AND(J2254&lt;&gt;"",K2254&lt;&gt;""),J2254*K2254,"")</f>
        <v/>
      </c>
      <c r="M2254" s="81" t="str">
        <f aca="false">IF(L2254&lt;&gt;"",L2254*1.1,"")</f>
        <v/>
      </c>
      <c r="N2254" s="53" t="n">
        <f aca="false">IF(F2254="S",L2254*0.02,0)</f>
        <v>0</v>
      </c>
      <c r="O2254" s="82" t="str">
        <f aca="false">IF(L2254&lt;&gt;"",L2254+N2254,"")</f>
        <v/>
      </c>
      <c r="P2254" s="53" t="str">
        <f aca="false">IF(O2254&lt;&gt;"",O2254*0.1,"")</f>
        <v/>
      </c>
      <c r="Q2254" s="83" t="str">
        <f aca="false">IF(O2254&lt;&gt;"",O2254+P2254,"")</f>
        <v/>
      </c>
      <c r="R2254" s="84"/>
    </row>
    <row r="2255" customFormat="false" ht="15" hidden="false" customHeight="true" outlineLevel="0" collapsed="false">
      <c r="A2255" s="103"/>
      <c r="B2255" s="85"/>
      <c r="C2255" s="86"/>
      <c r="D2255" s="87"/>
      <c r="E2255" s="46" t="str">
        <f aca="false">IF(D2255&lt;&gt;"",IFERROR(VLOOKUP(D2255,PROVEEDORES!$A:$B,2,0),"!COD NO ENCONTRADO"),"")</f>
        <v/>
      </c>
      <c r="F2255" s="88" t="str">
        <f aca="false">IF(D2255&lt;&gt;"",IFERROR(VLOOKUP(D2255,PROVEEDORES!$A:$C,3,0),""),"")</f>
        <v/>
      </c>
      <c r="G2255" s="87"/>
      <c r="H2255" s="46" t="str">
        <f aca="false">IF(G2255&lt;&gt;"",IFERROR(VLOOKUP(G2255,PRODUCTOS!$A:$B,2,0),"!COD NO ENCONTRADO"),"")</f>
        <v/>
      </c>
      <c r="I2255" s="89"/>
      <c r="J2255" s="90"/>
      <c r="K2255" s="91"/>
      <c r="L2255" s="80" t="str">
        <f aca="false">IF(AND(J2255&lt;&gt;"",K2255&lt;&gt;""),J2255*K2255,"")</f>
        <v/>
      </c>
      <c r="M2255" s="81" t="str">
        <f aca="false">IF(L2255&lt;&gt;"",L2255*1.1,"")</f>
        <v/>
      </c>
      <c r="N2255" s="47" t="n">
        <f aca="false">IF(F2255="S",L2255*0.02,0)</f>
        <v>0</v>
      </c>
      <c r="O2255" s="82" t="str">
        <f aca="false">IF(L2255&lt;&gt;"",L2255+N2255,"")</f>
        <v/>
      </c>
      <c r="P2255" s="47" t="str">
        <f aca="false">IF(O2255&lt;&gt;"",O2255*0.1,"")</f>
        <v/>
      </c>
      <c r="Q2255" s="83" t="str">
        <f aca="false">IF(O2255&lt;&gt;"",O2255+P2255,"")</f>
        <v/>
      </c>
      <c r="R2255" s="84"/>
    </row>
    <row r="2256" customFormat="false" ht="15" hidden="false" customHeight="true" outlineLevel="0" collapsed="false">
      <c r="A2256" s="103"/>
      <c r="B2256" s="73"/>
      <c r="C2256" s="74"/>
      <c r="D2256" s="75"/>
      <c r="E2256" s="52" t="str">
        <f aca="false">IF(D2256&lt;&gt;"",IFERROR(VLOOKUP(D2256,PROVEEDORES!$A:$B,2,0),"!COD NO ENCONTRADO"),"")</f>
        <v/>
      </c>
      <c r="F2256" s="76" t="str">
        <f aca="false">IF(D2256&lt;&gt;"",IFERROR(VLOOKUP(D2256,PROVEEDORES!$A:$C,3,0),""),"")</f>
        <v/>
      </c>
      <c r="G2256" s="75"/>
      <c r="H2256" s="52" t="str">
        <f aca="false">IF(G2256&lt;&gt;"",IFERROR(VLOOKUP(G2256,PRODUCTOS!$A:$B,2,0),"!COD NO ENCONTRADO"),"")</f>
        <v/>
      </c>
      <c r="I2256" s="77"/>
      <c r="J2256" s="78"/>
      <c r="K2256" s="79"/>
      <c r="L2256" s="80" t="str">
        <f aca="false">IF(AND(J2256&lt;&gt;"",K2256&lt;&gt;""),J2256*K2256,"")</f>
        <v/>
      </c>
      <c r="M2256" s="81" t="str">
        <f aca="false">IF(L2256&lt;&gt;"",L2256*1.1,"")</f>
        <v/>
      </c>
      <c r="N2256" s="53" t="n">
        <f aca="false">IF(F2256="S",L2256*0.02,0)</f>
        <v>0</v>
      </c>
      <c r="O2256" s="82" t="str">
        <f aca="false">IF(L2256&lt;&gt;"",L2256+N2256,"")</f>
        <v/>
      </c>
      <c r="P2256" s="53" t="str">
        <f aca="false">IF(O2256&lt;&gt;"",O2256*0.1,"")</f>
        <v/>
      </c>
      <c r="Q2256" s="83" t="str">
        <f aca="false">IF(O2256&lt;&gt;"",O2256+P2256,"")</f>
        <v/>
      </c>
      <c r="R2256" s="84"/>
    </row>
    <row r="2257" customFormat="false" ht="15" hidden="false" customHeight="true" outlineLevel="0" collapsed="false">
      <c r="A2257" s="103"/>
      <c r="B2257" s="85"/>
      <c r="C2257" s="86"/>
      <c r="D2257" s="87"/>
      <c r="E2257" s="46" t="str">
        <f aca="false">IF(D2257&lt;&gt;"",IFERROR(VLOOKUP(D2257,PROVEEDORES!$A:$B,2,0),"!COD NO ENCONTRADO"),"")</f>
        <v/>
      </c>
      <c r="F2257" s="88" t="str">
        <f aca="false">IF(D2257&lt;&gt;"",IFERROR(VLOOKUP(D2257,PROVEEDORES!$A:$C,3,0),""),"")</f>
        <v/>
      </c>
      <c r="G2257" s="87"/>
      <c r="H2257" s="46" t="str">
        <f aca="false">IF(G2257&lt;&gt;"",IFERROR(VLOOKUP(G2257,PRODUCTOS!$A:$B,2,0),"!COD NO ENCONTRADO"),"")</f>
        <v/>
      </c>
      <c r="I2257" s="89"/>
      <c r="J2257" s="90"/>
      <c r="K2257" s="91"/>
      <c r="L2257" s="80" t="str">
        <f aca="false">IF(AND(J2257&lt;&gt;"",K2257&lt;&gt;""),J2257*K2257,"")</f>
        <v/>
      </c>
      <c r="M2257" s="81" t="str">
        <f aca="false">IF(L2257&lt;&gt;"",L2257*1.1,"")</f>
        <v/>
      </c>
      <c r="N2257" s="47" t="n">
        <f aca="false">IF(F2257="S",L2257*0.02,0)</f>
        <v>0</v>
      </c>
      <c r="O2257" s="82" t="str">
        <f aca="false">IF(L2257&lt;&gt;"",L2257+N2257,"")</f>
        <v/>
      </c>
      <c r="P2257" s="47" t="str">
        <f aca="false">IF(O2257&lt;&gt;"",O2257*0.1,"")</f>
        <v/>
      </c>
      <c r="Q2257" s="83" t="str">
        <f aca="false">IF(O2257&lt;&gt;"",O2257+P2257,"")</f>
        <v/>
      </c>
      <c r="R2257" s="84"/>
    </row>
    <row r="2258" customFormat="false" ht="15" hidden="false" customHeight="true" outlineLevel="0" collapsed="false">
      <c r="A2258" s="103"/>
      <c r="B2258" s="73"/>
      <c r="C2258" s="74"/>
      <c r="D2258" s="75"/>
      <c r="E2258" s="52" t="str">
        <f aca="false">IF(D2258&lt;&gt;"",IFERROR(VLOOKUP(D2258,PROVEEDORES!$A:$B,2,0),"!COD NO ENCONTRADO"),"")</f>
        <v/>
      </c>
      <c r="F2258" s="76" t="str">
        <f aca="false">IF(D2258&lt;&gt;"",IFERROR(VLOOKUP(D2258,PROVEEDORES!$A:$C,3,0),""),"")</f>
        <v/>
      </c>
      <c r="G2258" s="75"/>
      <c r="H2258" s="52" t="str">
        <f aca="false">IF(G2258&lt;&gt;"",IFERROR(VLOOKUP(G2258,PRODUCTOS!$A:$B,2,0),"!COD NO ENCONTRADO"),"")</f>
        <v/>
      </c>
      <c r="I2258" s="77"/>
      <c r="J2258" s="78"/>
      <c r="K2258" s="79"/>
      <c r="L2258" s="80" t="str">
        <f aca="false">IF(AND(J2258&lt;&gt;"",K2258&lt;&gt;""),J2258*K2258,"")</f>
        <v/>
      </c>
      <c r="M2258" s="81" t="str">
        <f aca="false">IF(L2258&lt;&gt;"",L2258*1.1,"")</f>
        <v/>
      </c>
      <c r="N2258" s="53" t="n">
        <f aca="false">IF(F2258="S",L2258*0.02,0)</f>
        <v>0</v>
      </c>
      <c r="O2258" s="82" t="str">
        <f aca="false">IF(L2258&lt;&gt;"",L2258+N2258,"")</f>
        <v/>
      </c>
      <c r="P2258" s="53" t="str">
        <f aca="false">IF(O2258&lt;&gt;"",O2258*0.1,"")</f>
        <v/>
      </c>
      <c r="Q2258" s="83" t="str">
        <f aca="false">IF(O2258&lt;&gt;"",O2258+P2258,"")</f>
        <v/>
      </c>
      <c r="R2258" s="84"/>
    </row>
    <row r="2259" customFormat="false" ht="15" hidden="false" customHeight="true" outlineLevel="0" collapsed="false">
      <c r="A2259" s="103"/>
      <c r="B2259" s="85"/>
      <c r="C2259" s="86"/>
      <c r="D2259" s="87"/>
      <c r="E2259" s="46" t="str">
        <f aca="false">IF(D2259&lt;&gt;"",IFERROR(VLOOKUP(D2259,PROVEEDORES!$A:$B,2,0),"!COD NO ENCONTRADO"),"")</f>
        <v/>
      </c>
      <c r="F2259" s="88" t="str">
        <f aca="false">IF(D2259&lt;&gt;"",IFERROR(VLOOKUP(D2259,PROVEEDORES!$A:$C,3,0),""),"")</f>
        <v/>
      </c>
      <c r="G2259" s="87"/>
      <c r="H2259" s="46" t="str">
        <f aca="false">IF(G2259&lt;&gt;"",IFERROR(VLOOKUP(G2259,PRODUCTOS!$A:$B,2,0),"!COD NO ENCONTRADO"),"")</f>
        <v/>
      </c>
      <c r="I2259" s="89"/>
      <c r="J2259" s="90"/>
      <c r="K2259" s="91"/>
      <c r="L2259" s="80" t="str">
        <f aca="false">IF(AND(J2259&lt;&gt;"",K2259&lt;&gt;""),J2259*K2259,"")</f>
        <v/>
      </c>
      <c r="M2259" s="81" t="str">
        <f aca="false">IF(L2259&lt;&gt;"",L2259*1.1,"")</f>
        <v/>
      </c>
      <c r="N2259" s="47" t="n">
        <f aca="false">IF(F2259="S",L2259*0.02,0)</f>
        <v>0</v>
      </c>
      <c r="O2259" s="82" t="str">
        <f aca="false">IF(L2259&lt;&gt;"",L2259+N2259,"")</f>
        <v/>
      </c>
      <c r="P2259" s="47" t="str">
        <f aca="false">IF(O2259&lt;&gt;"",O2259*0.1,"")</f>
        <v/>
      </c>
      <c r="Q2259" s="83" t="str">
        <f aca="false">IF(O2259&lt;&gt;"",O2259+P2259,"")</f>
        <v/>
      </c>
      <c r="R2259" s="84"/>
    </row>
    <row r="2260" customFormat="false" ht="15" hidden="false" customHeight="true" outlineLevel="0" collapsed="false">
      <c r="A2260" s="103"/>
      <c r="B2260" s="73"/>
      <c r="C2260" s="74"/>
      <c r="D2260" s="75"/>
      <c r="E2260" s="52" t="str">
        <f aca="false">IF(D2260&lt;&gt;"",IFERROR(VLOOKUP(D2260,PROVEEDORES!$A:$B,2,0),"!COD NO ENCONTRADO"),"")</f>
        <v/>
      </c>
      <c r="F2260" s="76" t="str">
        <f aca="false">IF(D2260&lt;&gt;"",IFERROR(VLOOKUP(D2260,PROVEEDORES!$A:$C,3,0),""),"")</f>
        <v/>
      </c>
      <c r="G2260" s="75"/>
      <c r="H2260" s="52" t="str">
        <f aca="false">IF(G2260&lt;&gt;"",IFERROR(VLOOKUP(G2260,PRODUCTOS!$A:$B,2,0),"!COD NO ENCONTRADO"),"")</f>
        <v/>
      </c>
      <c r="I2260" s="77"/>
      <c r="J2260" s="78"/>
      <c r="K2260" s="79"/>
      <c r="L2260" s="80" t="str">
        <f aca="false">IF(AND(J2260&lt;&gt;"",K2260&lt;&gt;""),J2260*K2260,"")</f>
        <v/>
      </c>
      <c r="M2260" s="81" t="str">
        <f aca="false">IF(L2260&lt;&gt;"",L2260*1.1,"")</f>
        <v/>
      </c>
      <c r="N2260" s="53" t="n">
        <f aca="false">IF(F2260="S",L2260*0.02,0)</f>
        <v>0</v>
      </c>
      <c r="O2260" s="82" t="str">
        <f aca="false">IF(L2260&lt;&gt;"",L2260+N2260,"")</f>
        <v/>
      </c>
      <c r="P2260" s="53" t="str">
        <f aca="false">IF(O2260&lt;&gt;"",O2260*0.1,"")</f>
        <v/>
      </c>
      <c r="Q2260" s="83" t="str">
        <f aca="false">IF(O2260&lt;&gt;"",O2260+P2260,"")</f>
        <v/>
      </c>
      <c r="R2260" s="84"/>
    </row>
    <row r="2261" customFormat="false" ht="15" hidden="false" customHeight="true" outlineLevel="0" collapsed="false">
      <c r="A2261" s="103"/>
      <c r="B2261" s="85"/>
      <c r="C2261" s="86"/>
      <c r="D2261" s="87"/>
      <c r="E2261" s="46" t="str">
        <f aca="false">IF(D2261&lt;&gt;"",IFERROR(VLOOKUP(D2261,PROVEEDORES!$A:$B,2,0),"!COD NO ENCONTRADO"),"")</f>
        <v/>
      </c>
      <c r="F2261" s="88" t="str">
        <f aca="false">IF(D2261&lt;&gt;"",IFERROR(VLOOKUP(D2261,PROVEEDORES!$A:$C,3,0),""),"")</f>
        <v/>
      </c>
      <c r="G2261" s="87"/>
      <c r="H2261" s="46" t="str">
        <f aca="false">IF(G2261&lt;&gt;"",IFERROR(VLOOKUP(G2261,PRODUCTOS!$A:$B,2,0),"!COD NO ENCONTRADO"),"")</f>
        <v/>
      </c>
      <c r="I2261" s="89"/>
      <c r="J2261" s="90"/>
      <c r="K2261" s="91"/>
      <c r="L2261" s="80" t="str">
        <f aca="false">IF(AND(J2261&lt;&gt;"",K2261&lt;&gt;""),J2261*K2261,"")</f>
        <v/>
      </c>
      <c r="M2261" s="81" t="str">
        <f aca="false">IF(L2261&lt;&gt;"",L2261*1.1,"")</f>
        <v/>
      </c>
      <c r="N2261" s="47" t="n">
        <f aca="false">IF(F2261="S",L2261*0.02,0)</f>
        <v>0</v>
      </c>
      <c r="O2261" s="82" t="str">
        <f aca="false">IF(L2261&lt;&gt;"",L2261+N2261,"")</f>
        <v/>
      </c>
      <c r="P2261" s="47" t="str">
        <f aca="false">IF(O2261&lt;&gt;"",O2261*0.1,"")</f>
        <v/>
      </c>
      <c r="Q2261" s="83" t="str">
        <f aca="false">IF(O2261&lt;&gt;"",O2261+P2261,"")</f>
        <v/>
      </c>
      <c r="R2261" s="84"/>
    </row>
    <row r="2262" customFormat="false" ht="15" hidden="false" customHeight="true" outlineLevel="0" collapsed="false">
      <c r="A2262" s="103"/>
      <c r="B2262" s="73"/>
      <c r="C2262" s="74"/>
      <c r="D2262" s="75"/>
      <c r="E2262" s="52" t="str">
        <f aca="false">IF(D2262&lt;&gt;"",IFERROR(VLOOKUP(D2262,PROVEEDORES!$A:$B,2,0),"!COD NO ENCONTRADO"),"")</f>
        <v/>
      </c>
      <c r="F2262" s="76" t="str">
        <f aca="false">IF(D2262&lt;&gt;"",IFERROR(VLOOKUP(D2262,PROVEEDORES!$A:$C,3,0),""),"")</f>
        <v/>
      </c>
      <c r="G2262" s="75"/>
      <c r="H2262" s="52" t="str">
        <f aca="false">IF(G2262&lt;&gt;"",IFERROR(VLOOKUP(G2262,PRODUCTOS!$A:$B,2,0),"!COD NO ENCONTRADO"),"")</f>
        <v/>
      </c>
      <c r="I2262" s="77"/>
      <c r="J2262" s="78"/>
      <c r="K2262" s="79"/>
      <c r="L2262" s="80" t="str">
        <f aca="false">IF(AND(J2262&lt;&gt;"",K2262&lt;&gt;""),J2262*K2262,"")</f>
        <v/>
      </c>
      <c r="M2262" s="81" t="str">
        <f aca="false">IF(L2262&lt;&gt;"",L2262*1.1,"")</f>
        <v/>
      </c>
      <c r="N2262" s="53" t="n">
        <f aca="false">IF(F2262="S",L2262*0.02,0)</f>
        <v>0</v>
      </c>
      <c r="O2262" s="82" t="str">
        <f aca="false">IF(L2262&lt;&gt;"",L2262+N2262,"")</f>
        <v/>
      </c>
      <c r="P2262" s="53" t="str">
        <f aca="false">IF(O2262&lt;&gt;"",O2262*0.1,"")</f>
        <v/>
      </c>
      <c r="Q2262" s="83" t="str">
        <f aca="false">IF(O2262&lt;&gt;"",O2262+P2262,"")</f>
        <v/>
      </c>
      <c r="R2262" s="84"/>
    </row>
    <row r="2263" customFormat="false" ht="15" hidden="false" customHeight="true" outlineLevel="0" collapsed="false">
      <c r="A2263" s="103"/>
      <c r="B2263" s="85"/>
      <c r="C2263" s="86"/>
      <c r="D2263" s="87"/>
      <c r="E2263" s="46" t="str">
        <f aca="false">IF(D2263&lt;&gt;"",IFERROR(VLOOKUP(D2263,PROVEEDORES!$A:$B,2,0),"!COD NO ENCONTRADO"),"")</f>
        <v/>
      </c>
      <c r="F2263" s="88" t="str">
        <f aca="false">IF(D2263&lt;&gt;"",IFERROR(VLOOKUP(D2263,PROVEEDORES!$A:$C,3,0),""),"")</f>
        <v/>
      </c>
      <c r="G2263" s="87"/>
      <c r="H2263" s="46" t="str">
        <f aca="false">IF(G2263&lt;&gt;"",IFERROR(VLOOKUP(G2263,PRODUCTOS!$A:$B,2,0),"!COD NO ENCONTRADO"),"")</f>
        <v/>
      </c>
      <c r="I2263" s="89"/>
      <c r="J2263" s="90"/>
      <c r="K2263" s="91"/>
      <c r="L2263" s="80" t="str">
        <f aca="false">IF(AND(J2263&lt;&gt;"",K2263&lt;&gt;""),J2263*K2263,"")</f>
        <v/>
      </c>
      <c r="M2263" s="81" t="str">
        <f aca="false">IF(L2263&lt;&gt;"",L2263*1.1,"")</f>
        <v/>
      </c>
      <c r="N2263" s="47" t="n">
        <f aca="false">IF(F2263="S",L2263*0.02,0)</f>
        <v>0</v>
      </c>
      <c r="O2263" s="82" t="str">
        <f aca="false">IF(L2263&lt;&gt;"",L2263+N2263,"")</f>
        <v/>
      </c>
      <c r="P2263" s="47" t="str">
        <f aca="false">IF(O2263&lt;&gt;"",O2263*0.1,"")</f>
        <v/>
      </c>
      <c r="Q2263" s="83" t="str">
        <f aca="false">IF(O2263&lt;&gt;"",O2263+P2263,"")</f>
        <v/>
      </c>
      <c r="R2263" s="84"/>
    </row>
    <row r="2264" customFormat="false" ht="15" hidden="false" customHeight="true" outlineLevel="0" collapsed="false">
      <c r="A2264" s="103"/>
      <c r="B2264" s="73"/>
      <c r="C2264" s="74"/>
      <c r="D2264" s="75"/>
      <c r="E2264" s="52" t="str">
        <f aca="false">IF(D2264&lt;&gt;"",IFERROR(VLOOKUP(D2264,PROVEEDORES!$A:$B,2,0),"!COD NO ENCONTRADO"),"")</f>
        <v/>
      </c>
      <c r="F2264" s="76" t="str">
        <f aca="false">IF(D2264&lt;&gt;"",IFERROR(VLOOKUP(D2264,PROVEEDORES!$A:$C,3,0),""),"")</f>
        <v/>
      </c>
      <c r="G2264" s="75"/>
      <c r="H2264" s="52" t="str">
        <f aca="false">IF(G2264&lt;&gt;"",IFERROR(VLOOKUP(G2264,PRODUCTOS!$A:$B,2,0),"!COD NO ENCONTRADO"),"")</f>
        <v/>
      </c>
      <c r="I2264" s="77"/>
      <c r="J2264" s="78"/>
      <c r="K2264" s="79"/>
      <c r="L2264" s="80" t="str">
        <f aca="false">IF(AND(J2264&lt;&gt;"",K2264&lt;&gt;""),J2264*K2264,"")</f>
        <v/>
      </c>
      <c r="M2264" s="81" t="str">
        <f aca="false">IF(L2264&lt;&gt;"",L2264*1.1,"")</f>
        <v/>
      </c>
      <c r="N2264" s="53" t="n">
        <f aca="false">IF(F2264="S",L2264*0.02,0)</f>
        <v>0</v>
      </c>
      <c r="O2264" s="82" t="str">
        <f aca="false">IF(L2264&lt;&gt;"",L2264+N2264,"")</f>
        <v/>
      </c>
      <c r="P2264" s="53" t="str">
        <f aca="false">IF(O2264&lt;&gt;"",O2264*0.1,"")</f>
        <v/>
      </c>
      <c r="Q2264" s="83" t="str">
        <f aca="false">IF(O2264&lt;&gt;"",O2264+P2264,"")</f>
        <v/>
      </c>
      <c r="R2264" s="84"/>
    </row>
    <row r="2265" customFormat="false" ht="15" hidden="false" customHeight="true" outlineLevel="0" collapsed="false">
      <c r="A2265" s="103"/>
      <c r="B2265" s="85"/>
      <c r="C2265" s="86"/>
      <c r="D2265" s="87"/>
      <c r="E2265" s="46" t="str">
        <f aca="false">IF(D2265&lt;&gt;"",IFERROR(VLOOKUP(D2265,PROVEEDORES!$A:$B,2,0),"!COD NO ENCONTRADO"),"")</f>
        <v/>
      </c>
      <c r="F2265" s="88" t="str">
        <f aca="false">IF(D2265&lt;&gt;"",IFERROR(VLOOKUP(D2265,PROVEEDORES!$A:$C,3,0),""),"")</f>
        <v/>
      </c>
      <c r="G2265" s="87"/>
      <c r="H2265" s="46" t="str">
        <f aca="false">IF(G2265&lt;&gt;"",IFERROR(VLOOKUP(G2265,PRODUCTOS!$A:$B,2,0),"!COD NO ENCONTRADO"),"")</f>
        <v/>
      </c>
      <c r="I2265" s="89"/>
      <c r="J2265" s="90"/>
      <c r="K2265" s="91"/>
      <c r="L2265" s="80" t="str">
        <f aca="false">IF(AND(J2265&lt;&gt;"",K2265&lt;&gt;""),J2265*K2265,"")</f>
        <v/>
      </c>
      <c r="M2265" s="81" t="str">
        <f aca="false">IF(L2265&lt;&gt;"",L2265*1.1,"")</f>
        <v/>
      </c>
      <c r="N2265" s="47" t="n">
        <f aca="false">IF(F2265="S",L2265*0.02,0)</f>
        <v>0</v>
      </c>
      <c r="O2265" s="82" t="str">
        <f aca="false">IF(L2265&lt;&gt;"",L2265+N2265,"")</f>
        <v/>
      </c>
      <c r="P2265" s="47" t="str">
        <f aca="false">IF(O2265&lt;&gt;"",O2265*0.1,"")</f>
        <v/>
      </c>
      <c r="Q2265" s="83" t="str">
        <f aca="false">IF(O2265&lt;&gt;"",O2265+P2265,"")</f>
        <v/>
      </c>
      <c r="R2265" s="84"/>
    </row>
    <row r="2266" customFormat="false" ht="15" hidden="false" customHeight="true" outlineLevel="0" collapsed="false">
      <c r="A2266" s="103"/>
      <c r="B2266" s="73"/>
      <c r="C2266" s="74"/>
      <c r="D2266" s="75"/>
      <c r="E2266" s="52" t="str">
        <f aca="false">IF(D2266&lt;&gt;"",IFERROR(VLOOKUP(D2266,PROVEEDORES!$A:$B,2,0),"!COD NO ENCONTRADO"),"")</f>
        <v/>
      </c>
      <c r="F2266" s="76" t="str">
        <f aca="false">IF(D2266&lt;&gt;"",IFERROR(VLOOKUP(D2266,PROVEEDORES!$A:$C,3,0),""),"")</f>
        <v/>
      </c>
      <c r="G2266" s="75"/>
      <c r="H2266" s="52" t="str">
        <f aca="false">IF(G2266&lt;&gt;"",IFERROR(VLOOKUP(G2266,PRODUCTOS!$A:$B,2,0),"!COD NO ENCONTRADO"),"")</f>
        <v/>
      </c>
      <c r="I2266" s="77"/>
      <c r="J2266" s="78"/>
      <c r="K2266" s="79"/>
      <c r="L2266" s="80" t="str">
        <f aca="false">IF(AND(J2266&lt;&gt;"",K2266&lt;&gt;""),J2266*K2266,"")</f>
        <v/>
      </c>
      <c r="M2266" s="81" t="str">
        <f aca="false">IF(L2266&lt;&gt;"",L2266*1.1,"")</f>
        <v/>
      </c>
      <c r="N2266" s="53" t="n">
        <f aca="false">IF(F2266="S",L2266*0.02,0)</f>
        <v>0</v>
      </c>
      <c r="O2266" s="82" t="str">
        <f aca="false">IF(L2266&lt;&gt;"",L2266+N2266,"")</f>
        <v/>
      </c>
      <c r="P2266" s="53" t="str">
        <f aca="false">IF(O2266&lt;&gt;"",O2266*0.1,"")</f>
        <v/>
      </c>
      <c r="Q2266" s="83" t="str">
        <f aca="false">IF(O2266&lt;&gt;"",O2266+P2266,"")</f>
        <v/>
      </c>
      <c r="R2266" s="84"/>
    </row>
    <row r="2267" customFormat="false" ht="15" hidden="false" customHeight="true" outlineLevel="0" collapsed="false">
      <c r="A2267" s="103"/>
      <c r="B2267" s="85"/>
      <c r="C2267" s="86"/>
      <c r="D2267" s="87"/>
      <c r="E2267" s="46" t="str">
        <f aca="false">IF(D2267&lt;&gt;"",IFERROR(VLOOKUP(D2267,PROVEEDORES!$A:$B,2,0),"!COD NO ENCONTRADO"),"")</f>
        <v/>
      </c>
      <c r="F2267" s="88" t="str">
        <f aca="false">IF(D2267&lt;&gt;"",IFERROR(VLOOKUP(D2267,PROVEEDORES!$A:$C,3,0),""),"")</f>
        <v/>
      </c>
      <c r="G2267" s="87"/>
      <c r="H2267" s="46" t="str">
        <f aca="false">IF(G2267&lt;&gt;"",IFERROR(VLOOKUP(G2267,PRODUCTOS!$A:$B,2,0),"!COD NO ENCONTRADO"),"")</f>
        <v/>
      </c>
      <c r="I2267" s="89"/>
      <c r="J2267" s="90"/>
      <c r="K2267" s="91"/>
      <c r="L2267" s="80" t="str">
        <f aca="false">IF(AND(J2267&lt;&gt;"",K2267&lt;&gt;""),J2267*K2267,"")</f>
        <v/>
      </c>
      <c r="M2267" s="81" t="str">
        <f aca="false">IF(L2267&lt;&gt;"",L2267*1.1,"")</f>
        <v/>
      </c>
      <c r="N2267" s="47" t="n">
        <f aca="false">IF(F2267="S",L2267*0.02,0)</f>
        <v>0</v>
      </c>
      <c r="O2267" s="82" t="str">
        <f aca="false">IF(L2267&lt;&gt;"",L2267+N2267,"")</f>
        <v/>
      </c>
      <c r="P2267" s="47" t="str">
        <f aca="false">IF(O2267&lt;&gt;"",O2267*0.1,"")</f>
        <v/>
      </c>
      <c r="Q2267" s="83" t="str">
        <f aca="false">IF(O2267&lt;&gt;"",O2267+P2267,"")</f>
        <v/>
      </c>
      <c r="R2267" s="84"/>
    </row>
    <row r="2268" customFormat="false" ht="15" hidden="false" customHeight="true" outlineLevel="0" collapsed="false">
      <c r="A2268" s="103"/>
      <c r="B2268" s="73"/>
      <c r="C2268" s="74"/>
      <c r="D2268" s="75"/>
      <c r="E2268" s="52" t="str">
        <f aca="false">IF(D2268&lt;&gt;"",IFERROR(VLOOKUP(D2268,PROVEEDORES!$A:$B,2,0),"!COD NO ENCONTRADO"),"")</f>
        <v/>
      </c>
      <c r="F2268" s="76" t="str">
        <f aca="false">IF(D2268&lt;&gt;"",IFERROR(VLOOKUP(D2268,PROVEEDORES!$A:$C,3,0),""),"")</f>
        <v/>
      </c>
      <c r="G2268" s="75"/>
      <c r="H2268" s="52" t="str">
        <f aca="false">IF(G2268&lt;&gt;"",IFERROR(VLOOKUP(G2268,PRODUCTOS!$A:$B,2,0),"!COD NO ENCONTRADO"),"")</f>
        <v/>
      </c>
      <c r="I2268" s="77"/>
      <c r="J2268" s="78"/>
      <c r="K2268" s="79"/>
      <c r="L2268" s="80" t="str">
        <f aca="false">IF(AND(J2268&lt;&gt;"",K2268&lt;&gt;""),J2268*K2268,"")</f>
        <v/>
      </c>
      <c r="M2268" s="81" t="str">
        <f aca="false">IF(L2268&lt;&gt;"",L2268*1.1,"")</f>
        <v/>
      </c>
      <c r="N2268" s="53" t="n">
        <f aca="false">IF(F2268="S",L2268*0.02,0)</f>
        <v>0</v>
      </c>
      <c r="O2268" s="82" t="str">
        <f aca="false">IF(L2268&lt;&gt;"",L2268+N2268,"")</f>
        <v/>
      </c>
      <c r="P2268" s="53" t="str">
        <f aca="false">IF(O2268&lt;&gt;"",O2268*0.1,"")</f>
        <v/>
      </c>
      <c r="Q2268" s="83" t="str">
        <f aca="false">IF(O2268&lt;&gt;"",O2268+P2268,"")</f>
        <v/>
      </c>
      <c r="R2268" s="84"/>
    </row>
    <row r="2269" customFormat="false" ht="15" hidden="false" customHeight="true" outlineLevel="0" collapsed="false">
      <c r="A2269" s="103"/>
      <c r="B2269" s="85"/>
      <c r="C2269" s="86"/>
      <c r="D2269" s="87"/>
      <c r="E2269" s="46" t="str">
        <f aca="false">IF(D2269&lt;&gt;"",IFERROR(VLOOKUP(D2269,PROVEEDORES!$A:$B,2,0),"!COD NO ENCONTRADO"),"")</f>
        <v/>
      </c>
      <c r="F2269" s="88" t="str">
        <f aca="false">IF(D2269&lt;&gt;"",IFERROR(VLOOKUP(D2269,PROVEEDORES!$A:$C,3,0),""),"")</f>
        <v/>
      </c>
      <c r="G2269" s="87"/>
      <c r="H2269" s="46" t="str">
        <f aca="false">IF(G2269&lt;&gt;"",IFERROR(VLOOKUP(G2269,PRODUCTOS!$A:$B,2,0),"!COD NO ENCONTRADO"),"")</f>
        <v/>
      </c>
      <c r="I2269" s="89"/>
      <c r="J2269" s="90"/>
      <c r="K2269" s="91"/>
      <c r="L2269" s="80" t="str">
        <f aca="false">IF(AND(J2269&lt;&gt;"",K2269&lt;&gt;""),J2269*K2269,"")</f>
        <v/>
      </c>
      <c r="M2269" s="81" t="str">
        <f aca="false">IF(L2269&lt;&gt;"",L2269*1.1,"")</f>
        <v/>
      </c>
      <c r="N2269" s="47" t="n">
        <f aca="false">IF(F2269="S",L2269*0.02,0)</f>
        <v>0</v>
      </c>
      <c r="O2269" s="82" t="str">
        <f aca="false">IF(L2269&lt;&gt;"",L2269+N2269,"")</f>
        <v/>
      </c>
      <c r="P2269" s="47" t="str">
        <f aca="false">IF(O2269&lt;&gt;"",O2269*0.1,"")</f>
        <v/>
      </c>
      <c r="Q2269" s="83" t="str">
        <f aca="false">IF(O2269&lt;&gt;"",O2269+P2269,"")</f>
        <v/>
      </c>
      <c r="R2269" s="84"/>
    </row>
    <row r="2270" customFormat="false" ht="15" hidden="false" customHeight="true" outlineLevel="0" collapsed="false">
      <c r="A2270" s="103"/>
      <c r="B2270" s="73"/>
      <c r="C2270" s="74"/>
      <c r="D2270" s="75"/>
      <c r="E2270" s="52" t="str">
        <f aca="false">IF(D2270&lt;&gt;"",IFERROR(VLOOKUP(D2270,PROVEEDORES!$A:$B,2,0),"!COD NO ENCONTRADO"),"")</f>
        <v/>
      </c>
      <c r="F2270" s="76" t="str">
        <f aca="false">IF(D2270&lt;&gt;"",IFERROR(VLOOKUP(D2270,PROVEEDORES!$A:$C,3,0),""),"")</f>
        <v/>
      </c>
      <c r="G2270" s="75"/>
      <c r="H2270" s="52" t="str">
        <f aca="false">IF(G2270&lt;&gt;"",IFERROR(VLOOKUP(G2270,PRODUCTOS!$A:$B,2,0),"!COD NO ENCONTRADO"),"")</f>
        <v/>
      </c>
      <c r="I2270" s="77"/>
      <c r="J2270" s="78"/>
      <c r="K2270" s="79"/>
      <c r="L2270" s="80" t="str">
        <f aca="false">IF(AND(J2270&lt;&gt;"",K2270&lt;&gt;""),J2270*K2270,"")</f>
        <v/>
      </c>
      <c r="M2270" s="81" t="str">
        <f aca="false">IF(L2270&lt;&gt;"",L2270*1.1,"")</f>
        <v/>
      </c>
      <c r="N2270" s="53" t="n">
        <f aca="false">IF(F2270="S",L2270*0.02,0)</f>
        <v>0</v>
      </c>
      <c r="O2270" s="82" t="str">
        <f aca="false">IF(L2270&lt;&gt;"",L2270+N2270,"")</f>
        <v/>
      </c>
      <c r="P2270" s="53" t="str">
        <f aca="false">IF(O2270&lt;&gt;"",O2270*0.1,"")</f>
        <v/>
      </c>
      <c r="Q2270" s="83" t="str">
        <f aca="false">IF(O2270&lt;&gt;"",O2270+P2270,"")</f>
        <v/>
      </c>
      <c r="R2270" s="84"/>
    </row>
    <row r="2271" customFormat="false" ht="15" hidden="false" customHeight="true" outlineLevel="0" collapsed="false">
      <c r="A2271" s="103"/>
      <c r="B2271" s="85"/>
      <c r="C2271" s="86"/>
      <c r="D2271" s="87"/>
      <c r="E2271" s="46" t="str">
        <f aca="false">IF(D2271&lt;&gt;"",IFERROR(VLOOKUP(D2271,PROVEEDORES!$A:$B,2,0),"!COD NO ENCONTRADO"),"")</f>
        <v/>
      </c>
      <c r="F2271" s="88" t="str">
        <f aca="false">IF(D2271&lt;&gt;"",IFERROR(VLOOKUP(D2271,PROVEEDORES!$A:$C,3,0),""),"")</f>
        <v/>
      </c>
      <c r="G2271" s="87"/>
      <c r="H2271" s="46" t="str">
        <f aca="false">IF(G2271&lt;&gt;"",IFERROR(VLOOKUP(G2271,PRODUCTOS!$A:$B,2,0),"!COD NO ENCONTRADO"),"")</f>
        <v/>
      </c>
      <c r="I2271" s="89"/>
      <c r="J2271" s="90"/>
      <c r="K2271" s="91"/>
      <c r="L2271" s="80" t="str">
        <f aca="false">IF(AND(J2271&lt;&gt;"",K2271&lt;&gt;""),J2271*K2271,"")</f>
        <v/>
      </c>
      <c r="M2271" s="81" t="str">
        <f aca="false">IF(L2271&lt;&gt;"",L2271*1.1,"")</f>
        <v/>
      </c>
      <c r="N2271" s="47" t="n">
        <f aca="false">IF(F2271="S",L2271*0.02,0)</f>
        <v>0</v>
      </c>
      <c r="O2271" s="82" t="str">
        <f aca="false">IF(L2271&lt;&gt;"",L2271+N2271,"")</f>
        <v/>
      </c>
      <c r="P2271" s="47" t="str">
        <f aca="false">IF(O2271&lt;&gt;"",O2271*0.1,"")</f>
        <v/>
      </c>
      <c r="Q2271" s="83" t="str">
        <f aca="false">IF(O2271&lt;&gt;"",O2271+P2271,"")</f>
        <v/>
      </c>
      <c r="R2271" s="84"/>
    </row>
    <row r="2272" customFormat="false" ht="15" hidden="false" customHeight="true" outlineLevel="0" collapsed="false">
      <c r="A2272" s="103"/>
      <c r="B2272" s="73"/>
      <c r="C2272" s="74"/>
      <c r="D2272" s="75"/>
      <c r="E2272" s="52" t="str">
        <f aca="false">IF(D2272&lt;&gt;"",IFERROR(VLOOKUP(D2272,PROVEEDORES!$A:$B,2,0),"!COD NO ENCONTRADO"),"")</f>
        <v/>
      </c>
      <c r="F2272" s="76" t="str">
        <f aca="false">IF(D2272&lt;&gt;"",IFERROR(VLOOKUP(D2272,PROVEEDORES!$A:$C,3,0),""),"")</f>
        <v/>
      </c>
      <c r="G2272" s="75"/>
      <c r="H2272" s="52" t="str">
        <f aca="false">IF(G2272&lt;&gt;"",IFERROR(VLOOKUP(G2272,PRODUCTOS!$A:$B,2,0),"!COD NO ENCONTRADO"),"")</f>
        <v/>
      </c>
      <c r="I2272" s="77"/>
      <c r="J2272" s="78"/>
      <c r="K2272" s="79"/>
      <c r="L2272" s="80" t="str">
        <f aca="false">IF(AND(J2272&lt;&gt;"",K2272&lt;&gt;""),J2272*K2272,"")</f>
        <v/>
      </c>
      <c r="M2272" s="81" t="str">
        <f aca="false">IF(L2272&lt;&gt;"",L2272*1.1,"")</f>
        <v/>
      </c>
      <c r="N2272" s="53" t="n">
        <f aca="false">IF(F2272="S",L2272*0.02,0)</f>
        <v>0</v>
      </c>
      <c r="O2272" s="82" t="str">
        <f aca="false">IF(L2272&lt;&gt;"",L2272+N2272,"")</f>
        <v/>
      </c>
      <c r="P2272" s="53" t="str">
        <f aca="false">IF(O2272&lt;&gt;"",O2272*0.1,"")</f>
        <v/>
      </c>
      <c r="Q2272" s="83" t="str">
        <f aca="false">IF(O2272&lt;&gt;"",O2272+P2272,"")</f>
        <v/>
      </c>
      <c r="R2272" s="84"/>
    </row>
    <row r="2273" customFormat="false" ht="15" hidden="false" customHeight="true" outlineLevel="0" collapsed="false">
      <c r="A2273" s="103"/>
      <c r="B2273" s="85"/>
      <c r="C2273" s="86"/>
      <c r="D2273" s="87"/>
      <c r="E2273" s="46" t="str">
        <f aca="false">IF(D2273&lt;&gt;"",IFERROR(VLOOKUP(D2273,PROVEEDORES!$A:$B,2,0),"!COD NO ENCONTRADO"),"")</f>
        <v/>
      </c>
      <c r="F2273" s="88" t="str">
        <f aca="false">IF(D2273&lt;&gt;"",IFERROR(VLOOKUP(D2273,PROVEEDORES!$A:$C,3,0),""),"")</f>
        <v/>
      </c>
      <c r="G2273" s="87"/>
      <c r="H2273" s="46" t="str">
        <f aca="false">IF(G2273&lt;&gt;"",IFERROR(VLOOKUP(G2273,PRODUCTOS!$A:$B,2,0),"!COD NO ENCONTRADO"),"")</f>
        <v/>
      </c>
      <c r="I2273" s="89"/>
      <c r="J2273" s="90"/>
      <c r="K2273" s="91"/>
      <c r="L2273" s="80" t="str">
        <f aca="false">IF(AND(J2273&lt;&gt;"",K2273&lt;&gt;""),J2273*K2273,"")</f>
        <v/>
      </c>
      <c r="M2273" s="81" t="str">
        <f aca="false">IF(L2273&lt;&gt;"",L2273*1.1,"")</f>
        <v/>
      </c>
      <c r="N2273" s="47" t="n">
        <f aca="false">IF(F2273="S",L2273*0.02,0)</f>
        <v>0</v>
      </c>
      <c r="O2273" s="82" t="str">
        <f aca="false">IF(L2273&lt;&gt;"",L2273+N2273,"")</f>
        <v/>
      </c>
      <c r="P2273" s="47" t="str">
        <f aca="false">IF(O2273&lt;&gt;"",O2273*0.1,"")</f>
        <v/>
      </c>
      <c r="Q2273" s="83" t="str">
        <f aca="false">IF(O2273&lt;&gt;"",O2273+P2273,"")</f>
        <v/>
      </c>
      <c r="R2273" s="84"/>
    </row>
    <row r="2274" customFormat="false" ht="15" hidden="false" customHeight="true" outlineLevel="0" collapsed="false">
      <c r="A2274" s="103"/>
      <c r="B2274" s="73"/>
      <c r="C2274" s="74"/>
      <c r="D2274" s="75"/>
      <c r="E2274" s="52" t="str">
        <f aca="false">IF(D2274&lt;&gt;"",IFERROR(VLOOKUP(D2274,PROVEEDORES!$A:$B,2,0),"!COD NO ENCONTRADO"),"")</f>
        <v/>
      </c>
      <c r="F2274" s="76" t="str">
        <f aca="false">IF(D2274&lt;&gt;"",IFERROR(VLOOKUP(D2274,PROVEEDORES!$A:$C,3,0),""),"")</f>
        <v/>
      </c>
      <c r="G2274" s="75"/>
      <c r="H2274" s="52" t="str">
        <f aca="false">IF(G2274&lt;&gt;"",IFERROR(VLOOKUP(G2274,PRODUCTOS!$A:$B,2,0),"!COD NO ENCONTRADO"),"")</f>
        <v/>
      </c>
      <c r="I2274" s="77"/>
      <c r="J2274" s="78"/>
      <c r="K2274" s="79"/>
      <c r="L2274" s="80" t="str">
        <f aca="false">IF(AND(J2274&lt;&gt;"",K2274&lt;&gt;""),J2274*K2274,"")</f>
        <v/>
      </c>
      <c r="M2274" s="81" t="str">
        <f aca="false">IF(L2274&lt;&gt;"",L2274*1.1,"")</f>
        <v/>
      </c>
      <c r="N2274" s="53" t="n">
        <f aca="false">IF(F2274="S",L2274*0.02,0)</f>
        <v>0</v>
      </c>
      <c r="O2274" s="82" t="str">
        <f aca="false">IF(L2274&lt;&gt;"",L2274+N2274,"")</f>
        <v/>
      </c>
      <c r="P2274" s="53" t="str">
        <f aca="false">IF(O2274&lt;&gt;"",O2274*0.1,"")</f>
        <v/>
      </c>
      <c r="Q2274" s="83" t="str">
        <f aca="false">IF(O2274&lt;&gt;"",O2274+P2274,"")</f>
        <v/>
      </c>
      <c r="R2274" s="84"/>
    </row>
    <row r="2275" customFormat="false" ht="15" hidden="false" customHeight="true" outlineLevel="0" collapsed="false">
      <c r="A2275" s="103"/>
      <c r="B2275" s="85"/>
      <c r="C2275" s="86"/>
      <c r="D2275" s="87"/>
      <c r="E2275" s="46" t="str">
        <f aca="false">IF(D2275&lt;&gt;"",IFERROR(VLOOKUP(D2275,PROVEEDORES!$A:$B,2,0),"!COD NO ENCONTRADO"),"")</f>
        <v/>
      </c>
      <c r="F2275" s="88" t="str">
        <f aca="false">IF(D2275&lt;&gt;"",IFERROR(VLOOKUP(D2275,PROVEEDORES!$A:$C,3,0),""),"")</f>
        <v/>
      </c>
      <c r="G2275" s="87"/>
      <c r="H2275" s="46" t="str">
        <f aca="false">IF(G2275&lt;&gt;"",IFERROR(VLOOKUP(G2275,PRODUCTOS!$A:$B,2,0),"!COD NO ENCONTRADO"),"")</f>
        <v/>
      </c>
      <c r="I2275" s="89"/>
      <c r="J2275" s="90"/>
      <c r="K2275" s="91"/>
      <c r="L2275" s="80" t="str">
        <f aca="false">IF(AND(J2275&lt;&gt;"",K2275&lt;&gt;""),J2275*K2275,"")</f>
        <v/>
      </c>
      <c r="M2275" s="81" t="str">
        <f aca="false">IF(L2275&lt;&gt;"",L2275*1.1,"")</f>
        <v/>
      </c>
      <c r="N2275" s="47" t="n">
        <f aca="false">IF(F2275="S",L2275*0.02,0)</f>
        <v>0</v>
      </c>
      <c r="O2275" s="82" t="str">
        <f aca="false">IF(L2275&lt;&gt;"",L2275+N2275,"")</f>
        <v/>
      </c>
      <c r="P2275" s="47" t="str">
        <f aca="false">IF(O2275&lt;&gt;"",O2275*0.1,"")</f>
        <v/>
      </c>
      <c r="Q2275" s="83" t="str">
        <f aca="false">IF(O2275&lt;&gt;"",O2275+P2275,"")</f>
        <v/>
      </c>
      <c r="R2275" s="84"/>
    </row>
    <row r="2276" customFormat="false" ht="15" hidden="false" customHeight="true" outlineLevel="0" collapsed="false">
      <c r="A2276" s="103"/>
      <c r="B2276" s="73"/>
      <c r="C2276" s="74"/>
      <c r="D2276" s="75"/>
      <c r="E2276" s="52" t="str">
        <f aca="false">IF(D2276&lt;&gt;"",IFERROR(VLOOKUP(D2276,PROVEEDORES!$A:$B,2,0),"!COD NO ENCONTRADO"),"")</f>
        <v/>
      </c>
      <c r="F2276" s="76" t="str">
        <f aca="false">IF(D2276&lt;&gt;"",IFERROR(VLOOKUP(D2276,PROVEEDORES!$A:$C,3,0),""),"")</f>
        <v/>
      </c>
      <c r="G2276" s="75"/>
      <c r="H2276" s="52" t="str">
        <f aca="false">IF(G2276&lt;&gt;"",IFERROR(VLOOKUP(G2276,PRODUCTOS!$A:$B,2,0),"!COD NO ENCONTRADO"),"")</f>
        <v/>
      </c>
      <c r="I2276" s="77"/>
      <c r="J2276" s="78"/>
      <c r="K2276" s="79"/>
      <c r="L2276" s="80" t="str">
        <f aca="false">IF(AND(J2276&lt;&gt;"",K2276&lt;&gt;""),J2276*K2276,"")</f>
        <v/>
      </c>
      <c r="M2276" s="81" t="str">
        <f aca="false">IF(L2276&lt;&gt;"",L2276*1.1,"")</f>
        <v/>
      </c>
      <c r="N2276" s="53" t="n">
        <f aca="false">IF(F2276="S",L2276*0.02,0)</f>
        <v>0</v>
      </c>
      <c r="O2276" s="82" t="str">
        <f aca="false">IF(L2276&lt;&gt;"",L2276+N2276,"")</f>
        <v/>
      </c>
      <c r="P2276" s="53" t="str">
        <f aca="false">IF(O2276&lt;&gt;"",O2276*0.1,"")</f>
        <v/>
      </c>
      <c r="Q2276" s="83" t="str">
        <f aca="false">IF(O2276&lt;&gt;"",O2276+P2276,"")</f>
        <v/>
      </c>
      <c r="R2276" s="84"/>
    </row>
    <row r="2277" customFormat="false" ht="15" hidden="false" customHeight="true" outlineLevel="0" collapsed="false">
      <c r="A2277" s="103"/>
      <c r="B2277" s="85"/>
      <c r="C2277" s="86"/>
      <c r="D2277" s="87"/>
      <c r="E2277" s="46" t="str">
        <f aca="false">IF(D2277&lt;&gt;"",IFERROR(VLOOKUP(D2277,PROVEEDORES!$A:$B,2,0),"!COD NO ENCONTRADO"),"")</f>
        <v/>
      </c>
      <c r="F2277" s="88" t="str">
        <f aca="false">IF(D2277&lt;&gt;"",IFERROR(VLOOKUP(D2277,PROVEEDORES!$A:$C,3,0),""),"")</f>
        <v/>
      </c>
      <c r="G2277" s="87"/>
      <c r="H2277" s="46" t="str">
        <f aca="false">IF(G2277&lt;&gt;"",IFERROR(VLOOKUP(G2277,PRODUCTOS!$A:$B,2,0),"!COD NO ENCONTRADO"),"")</f>
        <v/>
      </c>
      <c r="I2277" s="89"/>
      <c r="J2277" s="90"/>
      <c r="K2277" s="91"/>
      <c r="L2277" s="80" t="str">
        <f aca="false">IF(AND(J2277&lt;&gt;"",K2277&lt;&gt;""),J2277*K2277,"")</f>
        <v/>
      </c>
      <c r="M2277" s="81" t="str">
        <f aca="false">IF(L2277&lt;&gt;"",L2277*1.1,"")</f>
        <v/>
      </c>
      <c r="N2277" s="47" t="n">
        <f aca="false">IF(F2277="S",L2277*0.02,0)</f>
        <v>0</v>
      </c>
      <c r="O2277" s="82" t="str">
        <f aca="false">IF(L2277&lt;&gt;"",L2277+N2277,"")</f>
        <v/>
      </c>
      <c r="P2277" s="47" t="str">
        <f aca="false">IF(O2277&lt;&gt;"",O2277*0.1,"")</f>
        <v/>
      </c>
      <c r="Q2277" s="83" t="str">
        <f aca="false">IF(O2277&lt;&gt;"",O2277+P2277,"")</f>
        <v/>
      </c>
      <c r="R2277" s="84"/>
    </row>
    <row r="2278" customFormat="false" ht="15" hidden="false" customHeight="true" outlineLevel="0" collapsed="false">
      <c r="A2278" s="103"/>
      <c r="B2278" s="73"/>
      <c r="C2278" s="74"/>
      <c r="D2278" s="75"/>
      <c r="E2278" s="52" t="str">
        <f aca="false">IF(D2278&lt;&gt;"",IFERROR(VLOOKUP(D2278,PROVEEDORES!$A:$B,2,0),"!COD NO ENCONTRADO"),"")</f>
        <v/>
      </c>
      <c r="F2278" s="76" t="str">
        <f aca="false">IF(D2278&lt;&gt;"",IFERROR(VLOOKUP(D2278,PROVEEDORES!$A:$C,3,0),""),"")</f>
        <v/>
      </c>
      <c r="G2278" s="75"/>
      <c r="H2278" s="52" t="str">
        <f aca="false">IF(G2278&lt;&gt;"",IFERROR(VLOOKUP(G2278,PRODUCTOS!$A:$B,2,0),"!COD NO ENCONTRADO"),"")</f>
        <v/>
      </c>
      <c r="I2278" s="77"/>
      <c r="J2278" s="78"/>
      <c r="K2278" s="79"/>
      <c r="L2278" s="80" t="str">
        <f aca="false">IF(AND(J2278&lt;&gt;"",K2278&lt;&gt;""),J2278*K2278,"")</f>
        <v/>
      </c>
      <c r="M2278" s="81" t="str">
        <f aca="false">IF(L2278&lt;&gt;"",L2278*1.1,"")</f>
        <v/>
      </c>
      <c r="N2278" s="53" t="n">
        <f aca="false">IF(F2278="S",L2278*0.02,0)</f>
        <v>0</v>
      </c>
      <c r="O2278" s="82" t="str">
        <f aca="false">IF(L2278&lt;&gt;"",L2278+N2278,"")</f>
        <v/>
      </c>
      <c r="P2278" s="53" t="str">
        <f aca="false">IF(O2278&lt;&gt;"",O2278*0.1,"")</f>
        <v/>
      </c>
      <c r="Q2278" s="83" t="str">
        <f aca="false">IF(O2278&lt;&gt;"",O2278+P2278,"")</f>
        <v/>
      </c>
      <c r="R2278" s="84"/>
    </row>
    <row r="2279" customFormat="false" ht="15" hidden="false" customHeight="true" outlineLevel="0" collapsed="false">
      <c r="A2279" s="103"/>
      <c r="B2279" s="85"/>
      <c r="C2279" s="86"/>
      <c r="D2279" s="87"/>
      <c r="E2279" s="46" t="str">
        <f aca="false">IF(D2279&lt;&gt;"",IFERROR(VLOOKUP(D2279,PROVEEDORES!$A:$B,2,0),"!COD NO ENCONTRADO"),"")</f>
        <v/>
      </c>
      <c r="F2279" s="88" t="str">
        <f aca="false">IF(D2279&lt;&gt;"",IFERROR(VLOOKUP(D2279,PROVEEDORES!$A:$C,3,0),""),"")</f>
        <v/>
      </c>
      <c r="G2279" s="87"/>
      <c r="H2279" s="46" t="str">
        <f aca="false">IF(G2279&lt;&gt;"",IFERROR(VLOOKUP(G2279,PRODUCTOS!$A:$B,2,0),"!COD NO ENCONTRADO"),"")</f>
        <v/>
      </c>
      <c r="I2279" s="89"/>
      <c r="J2279" s="90"/>
      <c r="K2279" s="91"/>
      <c r="L2279" s="80" t="str">
        <f aca="false">IF(AND(J2279&lt;&gt;"",K2279&lt;&gt;""),J2279*K2279,"")</f>
        <v/>
      </c>
      <c r="M2279" s="81" t="str">
        <f aca="false">IF(L2279&lt;&gt;"",L2279*1.1,"")</f>
        <v/>
      </c>
      <c r="N2279" s="47" t="n">
        <f aca="false">IF(F2279="S",L2279*0.02,0)</f>
        <v>0</v>
      </c>
      <c r="O2279" s="82" t="str">
        <f aca="false">IF(L2279&lt;&gt;"",L2279+N2279,"")</f>
        <v/>
      </c>
      <c r="P2279" s="47" t="str">
        <f aca="false">IF(O2279&lt;&gt;"",O2279*0.1,"")</f>
        <v/>
      </c>
      <c r="Q2279" s="83" t="str">
        <f aca="false">IF(O2279&lt;&gt;"",O2279+P2279,"")</f>
        <v/>
      </c>
      <c r="R2279" s="84"/>
    </row>
    <row r="2280" customFormat="false" ht="15" hidden="false" customHeight="true" outlineLevel="0" collapsed="false">
      <c r="A2280" s="103"/>
      <c r="B2280" s="73"/>
      <c r="C2280" s="74"/>
      <c r="D2280" s="75"/>
      <c r="E2280" s="52" t="str">
        <f aca="false">IF(D2280&lt;&gt;"",IFERROR(VLOOKUP(D2280,PROVEEDORES!$A:$B,2,0),"!COD NO ENCONTRADO"),"")</f>
        <v/>
      </c>
      <c r="F2280" s="76" t="str">
        <f aca="false">IF(D2280&lt;&gt;"",IFERROR(VLOOKUP(D2280,PROVEEDORES!$A:$C,3,0),""),"")</f>
        <v/>
      </c>
      <c r="G2280" s="75"/>
      <c r="H2280" s="52" t="str">
        <f aca="false">IF(G2280&lt;&gt;"",IFERROR(VLOOKUP(G2280,PRODUCTOS!$A:$B,2,0),"!COD NO ENCONTRADO"),"")</f>
        <v/>
      </c>
      <c r="I2280" s="77"/>
      <c r="J2280" s="78"/>
      <c r="K2280" s="79"/>
      <c r="L2280" s="80" t="str">
        <f aca="false">IF(AND(J2280&lt;&gt;"",K2280&lt;&gt;""),J2280*K2280,"")</f>
        <v/>
      </c>
      <c r="M2280" s="81" t="str">
        <f aca="false">IF(L2280&lt;&gt;"",L2280*1.1,"")</f>
        <v/>
      </c>
      <c r="N2280" s="53" t="n">
        <f aca="false">IF(F2280="S",L2280*0.02,0)</f>
        <v>0</v>
      </c>
      <c r="O2280" s="82" t="str">
        <f aca="false">IF(L2280&lt;&gt;"",L2280+N2280,"")</f>
        <v/>
      </c>
      <c r="P2280" s="53" t="str">
        <f aca="false">IF(O2280&lt;&gt;"",O2280*0.1,"")</f>
        <v/>
      </c>
      <c r="Q2280" s="83" t="str">
        <f aca="false">IF(O2280&lt;&gt;"",O2280+P2280,"")</f>
        <v/>
      </c>
      <c r="R2280" s="84"/>
    </row>
    <row r="2281" customFormat="false" ht="15" hidden="false" customHeight="true" outlineLevel="0" collapsed="false">
      <c r="A2281" s="103"/>
      <c r="B2281" s="85"/>
      <c r="C2281" s="86"/>
      <c r="D2281" s="87"/>
      <c r="E2281" s="46" t="str">
        <f aca="false">IF(D2281&lt;&gt;"",IFERROR(VLOOKUP(D2281,PROVEEDORES!$A:$B,2,0),"!COD NO ENCONTRADO"),"")</f>
        <v/>
      </c>
      <c r="F2281" s="88" t="str">
        <f aca="false">IF(D2281&lt;&gt;"",IFERROR(VLOOKUP(D2281,PROVEEDORES!$A:$C,3,0),""),"")</f>
        <v/>
      </c>
      <c r="G2281" s="87"/>
      <c r="H2281" s="46" t="str">
        <f aca="false">IF(G2281&lt;&gt;"",IFERROR(VLOOKUP(G2281,PRODUCTOS!$A:$B,2,0),"!COD NO ENCONTRADO"),"")</f>
        <v/>
      </c>
      <c r="I2281" s="89"/>
      <c r="J2281" s="90"/>
      <c r="K2281" s="91"/>
      <c r="L2281" s="80" t="str">
        <f aca="false">IF(AND(J2281&lt;&gt;"",K2281&lt;&gt;""),J2281*K2281,"")</f>
        <v/>
      </c>
      <c r="M2281" s="81" t="str">
        <f aca="false">IF(L2281&lt;&gt;"",L2281*1.1,"")</f>
        <v/>
      </c>
      <c r="N2281" s="47" t="n">
        <f aca="false">IF(F2281="S",L2281*0.02,0)</f>
        <v>0</v>
      </c>
      <c r="O2281" s="82" t="str">
        <f aca="false">IF(L2281&lt;&gt;"",L2281+N2281,"")</f>
        <v/>
      </c>
      <c r="P2281" s="47" t="str">
        <f aca="false">IF(O2281&lt;&gt;"",O2281*0.1,"")</f>
        <v/>
      </c>
      <c r="Q2281" s="83" t="str">
        <f aca="false">IF(O2281&lt;&gt;"",O2281+P2281,"")</f>
        <v/>
      </c>
      <c r="R2281" s="84"/>
    </row>
    <row r="2282" customFormat="false" ht="15" hidden="false" customHeight="true" outlineLevel="0" collapsed="false">
      <c r="A2282" s="103"/>
      <c r="B2282" s="73"/>
      <c r="C2282" s="74"/>
      <c r="D2282" s="75"/>
      <c r="E2282" s="52" t="str">
        <f aca="false">IF(D2282&lt;&gt;"",IFERROR(VLOOKUP(D2282,PROVEEDORES!$A:$B,2,0),"!COD NO ENCONTRADO"),"")</f>
        <v/>
      </c>
      <c r="F2282" s="76" t="str">
        <f aca="false">IF(D2282&lt;&gt;"",IFERROR(VLOOKUP(D2282,PROVEEDORES!$A:$C,3,0),""),"")</f>
        <v/>
      </c>
      <c r="G2282" s="75"/>
      <c r="H2282" s="52" t="str">
        <f aca="false">IF(G2282&lt;&gt;"",IFERROR(VLOOKUP(G2282,PRODUCTOS!$A:$B,2,0),"!COD NO ENCONTRADO"),"")</f>
        <v/>
      </c>
      <c r="I2282" s="77"/>
      <c r="J2282" s="78"/>
      <c r="K2282" s="79"/>
      <c r="L2282" s="80" t="str">
        <f aca="false">IF(AND(J2282&lt;&gt;"",K2282&lt;&gt;""),J2282*K2282,"")</f>
        <v/>
      </c>
      <c r="M2282" s="81" t="str">
        <f aca="false">IF(L2282&lt;&gt;"",L2282*1.1,"")</f>
        <v/>
      </c>
      <c r="N2282" s="53" t="n">
        <f aca="false">IF(F2282="S",L2282*0.02,0)</f>
        <v>0</v>
      </c>
      <c r="O2282" s="82" t="str">
        <f aca="false">IF(L2282&lt;&gt;"",L2282+N2282,"")</f>
        <v/>
      </c>
      <c r="P2282" s="53" t="str">
        <f aca="false">IF(O2282&lt;&gt;"",O2282*0.1,"")</f>
        <v/>
      </c>
      <c r="Q2282" s="83" t="str">
        <f aca="false">IF(O2282&lt;&gt;"",O2282+P2282,"")</f>
        <v/>
      </c>
      <c r="R2282" s="84"/>
    </row>
    <row r="2283" customFormat="false" ht="15" hidden="false" customHeight="true" outlineLevel="0" collapsed="false">
      <c r="A2283" s="103"/>
      <c r="B2283" s="85"/>
      <c r="C2283" s="86"/>
      <c r="D2283" s="87"/>
      <c r="E2283" s="46" t="str">
        <f aca="false">IF(D2283&lt;&gt;"",IFERROR(VLOOKUP(D2283,PROVEEDORES!$A:$B,2,0),"!COD NO ENCONTRADO"),"")</f>
        <v/>
      </c>
      <c r="F2283" s="88" t="str">
        <f aca="false">IF(D2283&lt;&gt;"",IFERROR(VLOOKUP(D2283,PROVEEDORES!$A:$C,3,0),""),"")</f>
        <v/>
      </c>
      <c r="G2283" s="87"/>
      <c r="H2283" s="46" t="str">
        <f aca="false">IF(G2283&lt;&gt;"",IFERROR(VLOOKUP(G2283,PRODUCTOS!$A:$B,2,0),"!COD NO ENCONTRADO"),"")</f>
        <v/>
      </c>
      <c r="I2283" s="89"/>
      <c r="J2283" s="90"/>
      <c r="K2283" s="91"/>
      <c r="L2283" s="80" t="str">
        <f aca="false">IF(AND(J2283&lt;&gt;"",K2283&lt;&gt;""),J2283*K2283,"")</f>
        <v/>
      </c>
      <c r="M2283" s="81" t="str">
        <f aca="false">IF(L2283&lt;&gt;"",L2283*1.1,"")</f>
        <v/>
      </c>
      <c r="N2283" s="47" t="n">
        <f aca="false">IF(F2283="S",L2283*0.02,0)</f>
        <v>0</v>
      </c>
      <c r="O2283" s="82" t="str">
        <f aca="false">IF(L2283&lt;&gt;"",L2283+N2283,"")</f>
        <v/>
      </c>
      <c r="P2283" s="47" t="str">
        <f aca="false">IF(O2283&lt;&gt;"",O2283*0.1,"")</f>
        <v/>
      </c>
      <c r="Q2283" s="83" t="str">
        <f aca="false">IF(O2283&lt;&gt;"",O2283+P2283,"")</f>
        <v/>
      </c>
      <c r="R2283" s="84"/>
    </row>
    <row r="2284" customFormat="false" ht="15" hidden="false" customHeight="true" outlineLevel="0" collapsed="false">
      <c r="A2284" s="103"/>
      <c r="B2284" s="73"/>
      <c r="C2284" s="74"/>
      <c r="D2284" s="75"/>
      <c r="E2284" s="52" t="str">
        <f aca="false">IF(D2284&lt;&gt;"",IFERROR(VLOOKUP(D2284,PROVEEDORES!$A:$B,2,0),"!COD NO ENCONTRADO"),"")</f>
        <v/>
      </c>
      <c r="F2284" s="76" t="str">
        <f aca="false">IF(D2284&lt;&gt;"",IFERROR(VLOOKUP(D2284,PROVEEDORES!$A:$C,3,0),""),"")</f>
        <v/>
      </c>
      <c r="G2284" s="75"/>
      <c r="H2284" s="52" t="str">
        <f aca="false">IF(G2284&lt;&gt;"",IFERROR(VLOOKUP(G2284,PRODUCTOS!$A:$B,2,0),"!COD NO ENCONTRADO"),"")</f>
        <v/>
      </c>
      <c r="I2284" s="77"/>
      <c r="J2284" s="78"/>
      <c r="K2284" s="79"/>
      <c r="L2284" s="80" t="str">
        <f aca="false">IF(AND(J2284&lt;&gt;"",K2284&lt;&gt;""),J2284*K2284,"")</f>
        <v/>
      </c>
      <c r="M2284" s="81" t="str">
        <f aca="false">IF(L2284&lt;&gt;"",L2284*1.1,"")</f>
        <v/>
      </c>
      <c r="N2284" s="53" t="n">
        <f aca="false">IF(F2284="S",L2284*0.02,0)</f>
        <v>0</v>
      </c>
      <c r="O2284" s="82" t="str">
        <f aca="false">IF(L2284&lt;&gt;"",L2284+N2284,"")</f>
        <v/>
      </c>
      <c r="P2284" s="53" t="str">
        <f aca="false">IF(O2284&lt;&gt;"",O2284*0.1,"")</f>
        <v/>
      </c>
      <c r="Q2284" s="83" t="str">
        <f aca="false">IF(O2284&lt;&gt;"",O2284+P2284,"")</f>
        <v/>
      </c>
      <c r="R2284" s="84"/>
    </row>
    <row r="2285" customFormat="false" ht="15" hidden="false" customHeight="true" outlineLevel="0" collapsed="false">
      <c r="A2285" s="103"/>
      <c r="B2285" s="85"/>
      <c r="C2285" s="86"/>
      <c r="D2285" s="87"/>
      <c r="E2285" s="46" t="str">
        <f aca="false">IF(D2285&lt;&gt;"",IFERROR(VLOOKUP(D2285,PROVEEDORES!$A:$B,2,0),"!COD NO ENCONTRADO"),"")</f>
        <v/>
      </c>
      <c r="F2285" s="88" t="str">
        <f aca="false">IF(D2285&lt;&gt;"",IFERROR(VLOOKUP(D2285,PROVEEDORES!$A:$C,3,0),""),"")</f>
        <v/>
      </c>
      <c r="G2285" s="87"/>
      <c r="H2285" s="46" t="str">
        <f aca="false">IF(G2285&lt;&gt;"",IFERROR(VLOOKUP(G2285,PRODUCTOS!$A:$B,2,0),"!COD NO ENCONTRADO"),"")</f>
        <v/>
      </c>
      <c r="I2285" s="89"/>
      <c r="J2285" s="90"/>
      <c r="K2285" s="91"/>
      <c r="L2285" s="80" t="str">
        <f aca="false">IF(AND(J2285&lt;&gt;"",K2285&lt;&gt;""),J2285*K2285,"")</f>
        <v/>
      </c>
      <c r="M2285" s="81" t="str">
        <f aca="false">IF(L2285&lt;&gt;"",L2285*1.1,"")</f>
        <v/>
      </c>
      <c r="N2285" s="47" t="n">
        <f aca="false">IF(F2285="S",L2285*0.02,0)</f>
        <v>0</v>
      </c>
      <c r="O2285" s="82" t="str">
        <f aca="false">IF(L2285&lt;&gt;"",L2285+N2285,"")</f>
        <v/>
      </c>
      <c r="P2285" s="47" t="str">
        <f aca="false">IF(O2285&lt;&gt;"",O2285*0.1,"")</f>
        <v/>
      </c>
      <c r="Q2285" s="83" t="str">
        <f aca="false">IF(O2285&lt;&gt;"",O2285+P2285,"")</f>
        <v/>
      </c>
      <c r="R2285" s="84"/>
    </row>
    <row r="2286" customFormat="false" ht="15" hidden="false" customHeight="true" outlineLevel="0" collapsed="false">
      <c r="A2286" s="103"/>
      <c r="B2286" s="73"/>
      <c r="C2286" s="74"/>
      <c r="D2286" s="75"/>
      <c r="E2286" s="52" t="str">
        <f aca="false">IF(D2286&lt;&gt;"",IFERROR(VLOOKUP(D2286,PROVEEDORES!$A:$B,2,0),"!COD NO ENCONTRADO"),"")</f>
        <v/>
      </c>
      <c r="F2286" s="76" t="str">
        <f aca="false">IF(D2286&lt;&gt;"",IFERROR(VLOOKUP(D2286,PROVEEDORES!$A:$C,3,0),""),"")</f>
        <v/>
      </c>
      <c r="G2286" s="75"/>
      <c r="H2286" s="52" t="str">
        <f aca="false">IF(G2286&lt;&gt;"",IFERROR(VLOOKUP(G2286,PRODUCTOS!$A:$B,2,0),"!COD NO ENCONTRADO"),"")</f>
        <v/>
      </c>
      <c r="I2286" s="77"/>
      <c r="J2286" s="78"/>
      <c r="K2286" s="79"/>
      <c r="L2286" s="80" t="str">
        <f aca="false">IF(AND(J2286&lt;&gt;"",K2286&lt;&gt;""),J2286*K2286,"")</f>
        <v/>
      </c>
      <c r="M2286" s="81" t="str">
        <f aca="false">IF(L2286&lt;&gt;"",L2286*1.1,"")</f>
        <v/>
      </c>
      <c r="N2286" s="53" t="n">
        <f aca="false">IF(F2286="S",L2286*0.02,0)</f>
        <v>0</v>
      </c>
      <c r="O2286" s="82" t="str">
        <f aca="false">IF(L2286&lt;&gt;"",L2286+N2286,"")</f>
        <v/>
      </c>
      <c r="P2286" s="53" t="str">
        <f aca="false">IF(O2286&lt;&gt;"",O2286*0.1,"")</f>
        <v/>
      </c>
      <c r="Q2286" s="83" t="str">
        <f aca="false">IF(O2286&lt;&gt;"",O2286+P2286,"")</f>
        <v/>
      </c>
      <c r="R2286" s="84"/>
    </row>
    <row r="2287" customFormat="false" ht="15" hidden="false" customHeight="true" outlineLevel="0" collapsed="false">
      <c r="A2287" s="103"/>
      <c r="B2287" s="85"/>
      <c r="C2287" s="86"/>
      <c r="D2287" s="87"/>
      <c r="E2287" s="46" t="str">
        <f aca="false">IF(D2287&lt;&gt;"",IFERROR(VLOOKUP(D2287,PROVEEDORES!$A:$B,2,0),"!COD NO ENCONTRADO"),"")</f>
        <v/>
      </c>
      <c r="F2287" s="88" t="str">
        <f aca="false">IF(D2287&lt;&gt;"",IFERROR(VLOOKUP(D2287,PROVEEDORES!$A:$C,3,0),""),"")</f>
        <v/>
      </c>
      <c r="G2287" s="87"/>
      <c r="H2287" s="46" t="str">
        <f aca="false">IF(G2287&lt;&gt;"",IFERROR(VLOOKUP(G2287,PRODUCTOS!$A:$B,2,0),"!COD NO ENCONTRADO"),"")</f>
        <v/>
      </c>
      <c r="I2287" s="89"/>
      <c r="J2287" s="90"/>
      <c r="K2287" s="91"/>
      <c r="L2287" s="80" t="str">
        <f aca="false">IF(AND(J2287&lt;&gt;"",K2287&lt;&gt;""),J2287*K2287,"")</f>
        <v/>
      </c>
      <c r="M2287" s="81" t="str">
        <f aca="false">IF(L2287&lt;&gt;"",L2287*1.1,"")</f>
        <v/>
      </c>
      <c r="N2287" s="47" t="n">
        <f aca="false">IF(F2287="S",L2287*0.02,0)</f>
        <v>0</v>
      </c>
      <c r="O2287" s="82" t="str">
        <f aca="false">IF(L2287&lt;&gt;"",L2287+N2287,"")</f>
        <v/>
      </c>
      <c r="P2287" s="47" t="str">
        <f aca="false">IF(O2287&lt;&gt;"",O2287*0.1,"")</f>
        <v/>
      </c>
      <c r="Q2287" s="83" t="str">
        <f aca="false">IF(O2287&lt;&gt;"",O2287+P2287,"")</f>
        <v/>
      </c>
      <c r="R2287" s="84"/>
    </row>
    <row r="2288" customFormat="false" ht="15" hidden="false" customHeight="true" outlineLevel="0" collapsed="false">
      <c r="A2288" s="103"/>
      <c r="B2288" s="73"/>
      <c r="C2288" s="74"/>
      <c r="D2288" s="75"/>
      <c r="E2288" s="52" t="str">
        <f aca="false">IF(D2288&lt;&gt;"",IFERROR(VLOOKUP(D2288,PROVEEDORES!$A:$B,2,0),"!COD NO ENCONTRADO"),"")</f>
        <v/>
      </c>
      <c r="F2288" s="76" t="str">
        <f aca="false">IF(D2288&lt;&gt;"",IFERROR(VLOOKUP(D2288,PROVEEDORES!$A:$C,3,0),""),"")</f>
        <v/>
      </c>
      <c r="G2288" s="75"/>
      <c r="H2288" s="52" t="str">
        <f aca="false">IF(G2288&lt;&gt;"",IFERROR(VLOOKUP(G2288,PRODUCTOS!$A:$B,2,0),"!COD NO ENCONTRADO"),"")</f>
        <v/>
      </c>
      <c r="I2288" s="77"/>
      <c r="J2288" s="78"/>
      <c r="K2288" s="79"/>
      <c r="L2288" s="80" t="str">
        <f aca="false">IF(AND(J2288&lt;&gt;"",K2288&lt;&gt;""),J2288*K2288,"")</f>
        <v/>
      </c>
      <c r="M2288" s="81" t="str">
        <f aca="false">IF(L2288&lt;&gt;"",L2288*1.1,"")</f>
        <v/>
      </c>
      <c r="N2288" s="53" t="n">
        <f aca="false">IF(F2288="S",L2288*0.02,0)</f>
        <v>0</v>
      </c>
      <c r="O2288" s="82" t="str">
        <f aca="false">IF(L2288&lt;&gt;"",L2288+N2288,"")</f>
        <v/>
      </c>
      <c r="P2288" s="53" t="str">
        <f aca="false">IF(O2288&lt;&gt;"",O2288*0.1,"")</f>
        <v/>
      </c>
      <c r="Q2288" s="83" t="str">
        <f aca="false">IF(O2288&lt;&gt;"",O2288+P2288,"")</f>
        <v/>
      </c>
      <c r="R2288" s="84"/>
    </row>
    <row r="2289" customFormat="false" ht="15" hidden="false" customHeight="true" outlineLevel="0" collapsed="false">
      <c r="A2289" s="103"/>
      <c r="B2289" s="85"/>
      <c r="C2289" s="86"/>
      <c r="D2289" s="87"/>
      <c r="E2289" s="46" t="str">
        <f aca="false">IF(D2289&lt;&gt;"",IFERROR(VLOOKUP(D2289,PROVEEDORES!$A:$B,2,0),"!COD NO ENCONTRADO"),"")</f>
        <v/>
      </c>
      <c r="F2289" s="88" t="str">
        <f aca="false">IF(D2289&lt;&gt;"",IFERROR(VLOOKUP(D2289,PROVEEDORES!$A:$C,3,0),""),"")</f>
        <v/>
      </c>
      <c r="G2289" s="87"/>
      <c r="H2289" s="46" t="str">
        <f aca="false">IF(G2289&lt;&gt;"",IFERROR(VLOOKUP(G2289,PRODUCTOS!$A:$B,2,0),"!COD NO ENCONTRADO"),"")</f>
        <v/>
      </c>
      <c r="I2289" s="89"/>
      <c r="J2289" s="90"/>
      <c r="K2289" s="91"/>
      <c r="L2289" s="80" t="str">
        <f aca="false">IF(AND(J2289&lt;&gt;"",K2289&lt;&gt;""),J2289*K2289,"")</f>
        <v/>
      </c>
      <c r="M2289" s="81" t="str">
        <f aca="false">IF(L2289&lt;&gt;"",L2289*1.1,"")</f>
        <v/>
      </c>
      <c r="N2289" s="47" t="n">
        <f aca="false">IF(F2289="S",L2289*0.02,0)</f>
        <v>0</v>
      </c>
      <c r="O2289" s="82" t="str">
        <f aca="false">IF(L2289&lt;&gt;"",L2289+N2289,"")</f>
        <v/>
      </c>
      <c r="P2289" s="47" t="str">
        <f aca="false">IF(O2289&lt;&gt;"",O2289*0.1,"")</f>
        <v/>
      </c>
      <c r="Q2289" s="83" t="str">
        <f aca="false">IF(O2289&lt;&gt;"",O2289+P2289,"")</f>
        <v/>
      </c>
      <c r="R2289" s="84"/>
    </row>
    <row r="2290" customFormat="false" ht="15" hidden="false" customHeight="true" outlineLevel="0" collapsed="false">
      <c r="A2290" s="103"/>
      <c r="B2290" s="73"/>
      <c r="C2290" s="74"/>
      <c r="D2290" s="75"/>
      <c r="E2290" s="52" t="str">
        <f aca="false">IF(D2290&lt;&gt;"",IFERROR(VLOOKUP(D2290,PROVEEDORES!$A:$B,2,0),"!COD NO ENCONTRADO"),"")</f>
        <v/>
      </c>
      <c r="F2290" s="76" t="str">
        <f aca="false">IF(D2290&lt;&gt;"",IFERROR(VLOOKUP(D2290,PROVEEDORES!$A:$C,3,0),""),"")</f>
        <v/>
      </c>
      <c r="G2290" s="75"/>
      <c r="H2290" s="52" t="str">
        <f aca="false">IF(G2290&lt;&gt;"",IFERROR(VLOOKUP(G2290,PRODUCTOS!$A:$B,2,0),"!COD NO ENCONTRADO"),"")</f>
        <v/>
      </c>
      <c r="I2290" s="77"/>
      <c r="J2290" s="78"/>
      <c r="K2290" s="79"/>
      <c r="L2290" s="80" t="str">
        <f aca="false">IF(AND(J2290&lt;&gt;"",K2290&lt;&gt;""),J2290*K2290,"")</f>
        <v/>
      </c>
      <c r="M2290" s="81" t="str">
        <f aca="false">IF(L2290&lt;&gt;"",L2290*1.1,"")</f>
        <v/>
      </c>
      <c r="N2290" s="53" t="n">
        <f aca="false">IF(F2290="S",L2290*0.02,0)</f>
        <v>0</v>
      </c>
      <c r="O2290" s="82" t="str">
        <f aca="false">IF(L2290&lt;&gt;"",L2290+N2290,"")</f>
        <v/>
      </c>
      <c r="P2290" s="53" t="str">
        <f aca="false">IF(O2290&lt;&gt;"",O2290*0.1,"")</f>
        <v/>
      </c>
      <c r="Q2290" s="83" t="str">
        <f aca="false">IF(O2290&lt;&gt;"",O2290+P2290,"")</f>
        <v/>
      </c>
      <c r="R2290" s="84"/>
    </row>
    <row r="2291" customFormat="false" ht="15" hidden="false" customHeight="true" outlineLevel="0" collapsed="false">
      <c r="A2291" s="103"/>
      <c r="B2291" s="85"/>
      <c r="C2291" s="86"/>
      <c r="D2291" s="87"/>
      <c r="E2291" s="46" t="str">
        <f aca="false">IF(D2291&lt;&gt;"",IFERROR(VLOOKUP(D2291,PROVEEDORES!$A:$B,2,0),"!COD NO ENCONTRADO"),"")</f>
        <v/>
      </c>
      <c r="F2291" s="88" t="str">
        <f aca="false">IF(D2291&lt;&gt;"",IFERROR(VLOOKUP(D2291,PROVEEDORES!$A:$C,3,0),""),"")</f>
        <v/>
      </c>
      <c r="G2291" s="87"/>
      <c r="H2291" s="46" t="str">
        <f aca="false">IF(G2291&lt;&gt;"",IFERROR(VLOOKUP(G2291,PRODUCTOS!$A:$B,2,0),"!COD NO ENCONTRADO"),"")</f>
        <v/>
      </c>
      <c r="I2291" s="89"/>
      <c r="J2291" s="90"/>
      <c r="K2291" s="91"/>
      <c r="L2291" s="80" t="str">
        <f aca="false">IF(AND(J2291&lt;&gt;"",K2291&lt;&gt;""),J2291*K2291,"")</f>
        <v/>
      </c>
      <c r="M2291" s="81" t="str">
        <f aca="false">IF(L2291&lt;&gt;"",L2291*1.1,"")</f>
        <v/>
      </c>
      <c r="N2291" s="47" t="n">
        <f aca="false">IF(F2291="S",L2291*0.02,0)</f>
        <v>0</v>
      </c>
      <c r="O2291" s="82" t="str">
        <f aca="false">IF(L2291&lt;&gt;"",L2291+N2291,"")</f>
        <v/>
      </c>
      <c r="P2291" s="47" t="str">
        <f aca="false">IF(O2291&lt;&gt;"",O2291*0.1,"")</f>
        <v/>
      </c>
      <c r="Q2291" s="83" t="str">
        <f aca="false">IF(O2291&lt;&gt;"",O2291+P2291,"")</f>
        <v/>
      </c>
      <c r="R2291" s="84"/>
    </row>
    <row r="2292" customFormat="false" ht="15" hidden="false" customHeight="true" outlineLevel="0" collapsed="false">
      <c r="A2292" s="103"/>
      <c r="B2292" s="73"/>
      <c r="C2292" s="74"/>
      <c r="D2292" s="75"/>
      <c r="E2292" s="52" t="str">
        <f aca="false">IF(D2292&lt;&gt;"",IFERROR(VLOOKUP(D2292,PROVEEDORES!$A:$B,2,0),"!COD NO ENCONTRADO"),"")</f>
        <v/>
      </c>
      <c r="F2292" s="76" t="str">
        <f aca="false">IF(D2292&lt;&gt;"",IFERROR(VLOOKUP(D2292,PROVEEDORES!$A:$C,3,0),""),"")</f>
        <v/>
      </c>
      <c r="G2292" s="75"/>
      <c r="H2292" s="52" t="str">
        <f aca="false">IF(G2292&lt;&gt;"",IFERROR(VLOOKUP(G2292,PRODUCTOS!$A:$B,2,0),"!COD NO ENCONTRADO"),"")</f>
        <v/>
      </c>
      <c r="I2292" s="77"/>
      <c r="J2292" s="78"/>
      <c r="K2292" s="79"/>
      <c r="L2292" s="80" t="str">
        <f aca="false">IF(AND(J2292&lt;&gt;"",K2292&lt;&gt;""),J2292*K2292,"")</f>
        <v/>
      </c>
      <c r="M2292" s="81" t="str">
        <f aca="false">IF(L2292&lt;&gt;"",L2292*1.1,"")</f>
        <v/>
      </c>
      <c r="N2292" s="53" t="n">
        <f aca="false">IF(F2292="S",L2292*0.02,0)</f>
        <v>0</v>
      </c>
      <c r="O2292" s="82" t="str">
        <f aca="false">IF(L2292&lt;&gt;"",L2292+N2292,"")</f>
        <v/>
      </c>
      <c r="P2292" s="53" t="str">
        <f aca="false">IF(O2292&lt;&gt;"",O2292*0.1,"")</f>
        <v/>
      </c>
      <c r="Q2292" s="83" t="str">
        <f aca="false">IF(O2292&lt;&gt;"",O2292+P2292,"")</f>
        <v/>
      </c>
      <c r="R2292" s="84"/>
    </row>
    <row r="2293" customFormat="false" ht="15" hidden="false" customHeight="true" outlineLevel="0" collapsed="false">
      <c r="A2293" s="103"/>
      <c r="B2293" s="85"/>
      <c r="C2293" s="86"/>
      <c r="D2293" s="87"/>
      <c r="E2293" s="46" t="str">
        <f aca="false">IF(D2293&lt;&gt;"",IFERROR(VLOOKUP(D2293,PROVEEDORES!$A:$B,2,0),"!COD NO ENCONTRADO"),"")</f>
        <v/>
      </c>
      <c r="F2293" s="88" t="str">
        <f aca="false">IF(D2293&lt;&gt;"",IFERROR(VLOOKUP(D2293,PROVEEDORES!$A:$C,3,0),""),"")</f>
        <v/>
      </c>
      <c r="G2293" s="87"/>
      <c r="H2293" s="46" t="str">
        <f aca="false">IF(G2293&lt;&gt;"",IFERROR(VLOOKUP(G2293,PRODUCTOS!$A:$B,2,0),"!COD NO ENCONTRADO"),"")</f>
        <v/>
      </c>
      <c r="I2293" s="89"/>
      <c r="J2293" s="90"/>
      <c r="K2293" s="91"/>
      <c r="L2293" s="80" t="str">
        <f aca="false">IF(AND(J2293&lt;&gt;"",K2293&lt;&gt;""),J2293*K2293,"")</f>
        <v/>
      </c>
      <c r="M2293" s="81" t="str">
        <f aca="false">IF(L2293&lt;&gt;"",L2293*1.1,"")</f>
        <v/>
      </c>
      <c r="N2293" s="47" t="n">
        <f aca="false">IF(F2293="S",L2293*0.02,0)</f>
        <v>0</v>
      </c>
      <c r="O2293" s="82" t="str">
        <f aca="false">IF(L2293&lt;&gt;"",L2293+N2293,"")</f>
        <v/>
      </c>
      <c r="P2293" s="47" t="str">
        <f aca="false">IF(O2293&lt;&gt;"",O2293*0.1,"")</f>
        <v/>
      </c>
      <c r="Q2293" s="83" t="str">
        <f aca="false">IF(O2293&lt;&gt;"",O2293+P2293,"")</f>
        <v/>
      </c>
      <c r="R2293" s="84"/>
    </row>
    <row r="2294" customFormat="false" ht="15" hidden="false" customHeight="true" outlineLevel="0" collapsed="false">
      <c r="A2294" s="103"/>
      <c r="B2294" s="73"/>
      <c r="C2294" s="74"/>
      <c r="D2294" s="75"/>
      <c r="E2294" s="52" t="str">
        <f aca="false">IF(D2294&lt;&gt;"",IFERROR(VLOOKUP(D2294,PROVEEDORES!$A:$B,2,0),"!COD NO ENCONTRADO"),"")</f>
        <v/>
      </c>
      <c r="F2294" s="76" t="str">
        <f aca="false">IF(D2294&lt;&gt;"",IFERROR(VLOOKUP(D2294,PROVEEDORES!$A:$C,3,0),""),"")</f>
        <v/>
      </c>
      <c r="G2294" s="75"/>
      <c r="H2294" s="52" t="str">
        <f aca="false">IF(G2294&lt;&gt;"",IFERROR(VLOOKUP(G2294,PRODUCTOS!$A:$B,2,0),"!COD NO ENCONTRADO"),"")</f>
        <v/>
      </c>
      <c r="I2294" s="77"/>
      <c r="J2294" s="78"/>
      <c r="K2294" s="79"/>
      <c r="L2294" s="80" t="str">
        <f aca="false">IF(AND(J2294&lt;&gt;"",K2294&lt;&gt;""),J2294*K2294,"")</f>
        <v/>
      </c>
      <c r="M2294" s="81" t="str">
        <f aca="false">IF(L2294&lt;&gt;"",L2294*1.1,"")</f>
        <v/>
      </c>
      <c r="N2294" s="53" t="n">
        <f aca="false">IF(F2294="S",L2294*0.02,0)</f>
        <v>0</v>
      </c>
      <c r="O2294" s="82" t="str">
        <f aca="false">IF(L2294&lt;&gt;"",L2294+N2294,"")</f>
        <v/>
      </c>
      <c r="P2294" s="53" t="str">
        <f aca="false">IF(O2294&lt;&gt;"",O2294*0.1,"")</f>
        <v/>
      </c>
      <c r="Q2294" s="83" t="str">
        <f aca="false">IF(O2294&lt;&gt;"",O2294+P2294,"")</f>
        <v/>
      </c>
      <c r="R2294" s="84"/>
    </row>
    <row r="2295" customFormat="false" ht="15" hidden="false" customHeight="true" outlineLevel="0" collapsed="false">
      <c r="A2295" s="103"/>
      <c r="B2295" s="85"/>
      <c r="C2295" s="86"/>
      <c r="D2295" s="87"/>
      <c r="E2295" s="46" t="str">
        <f aca="false">IF(D2295&lt;&gt;"",IFERROR(VLOOKUP(D2295,PROVEEDORES!$A:$B,2,0),"!COD NO ENCONTRADO"),"")</f>
        <v/>
      </c>
      <c r="F2295" s="88" t="str">
        <f aca="false">IF(D2295&lt;&gt;"",IFERROR(VLOOKUP(D2295,PROVEEDORES!$A:$C,3,0),""),"")</f>
        <v/>
      </c>
      <c r="G2295" s="87"/>
      <c r="H2295" s="46" t="str">
        <f aca="false">IF(G2295&lt;&gt;"",IFERROR(VLOOKUP(G2295,PRODUCTOS!$A:$B,2,0),"!COD NO ENCONTRADO"),"")</f>
        <v/>
      </c>
      <c r="I2295" s="89"/>
      <c r="J2295" s="90"/>
      <c r="K2295" s="91"/>
      <c r="L2295" s="80" t="str">
        <f aca="false">IF(AND(J2295&lt;&gt;"",K2295&lt;&gt;""),J2295*K2295,"")</f>
        <v/>
      </c>
      <c r="M2295" s="81" t="str">
        <f aca="false">IF(L2295&lt;&gt;"",L2295*1.1,"")</f>
        <v/>
      </c>
      <c r="N2295" s="47" t="n">
        <f aca="false">IF(F2295="S",L2295*0.02,0)</f>
        <v>0</v>
      </c>
      <c r="O2295" s="82" t="str">
        <f aca="false">IF(L2295&lt;&gt;"",L2295+N2295,"")</f>
        <v/>
      </c>
      <c r="P2295" s="47" t="str">
        <f aca="false">IF(O2295&lt;&gt;"",O2295*0.1,"")</f>
        <v/>
      </c>
      <c r="Q2295" s="83" t="str">
        <f aca="false">IF(O2295&lt;&gt;"",O2295+P2295,"")</f>
        <v/>
      </c>
      <c r="R2295" s="84"/>
    </row>
    <row r="2296" customFormat="false" ht="15" hidden="false" customHeight="true" outlineLevel="0" collapsed="false">
      <c r="A2296" s="103"/>
      <c r="B2296" s="73"/>
      <c r="C2296" s="74"/>
      <c r="D2296" s="75"/>
      <c r="E2296" s="52" t="str">
        <f aca="false">IF(D2296&lt;&gt;"",IFERROR(VLOOKUP(D2296,PROVEEDORES!$A:$B,2,0),"!COD NO ENCONTRADO"),"")</f>
        <v/>
      </c>
      <c r="F2296" s="76" t="str">
        <f aca="false">IF(D2296&lt;&gt;"",IFERROR(VLOOKUP(D2296,PROVEEDORES!$A:$C,3,0),""),"")</f>
        <v/>
      </c>
      <c r="G2296" s="75"/>
      <c r="H2296" s="52" t="str">
        <f aca="false">IF(G2296&lt;&gt;"",IFERROR(VLOOKUP(G2296,PRODUCTOS!$A:$B,2,0),"!COD NO ENCONTRADO"),"")</f>
        <v/>
      </c>
      <c r="I2296" s="77"/>
      <c r="J2296" s="78"/>
      <c r="K2296" s="79"/>
      <c r="L2296" s="80" t="str">
        <f aca="false">IF(AND(J2296&lt;&gt;"",K2296&lt;&gt;""),J2296*K2296,"")</f>
        <v/>
      </c>
      <c r="M2296" s="81" t="str">
        <f aca="false">IF(L2296&lt;&gt;"",L2296*1.1,"")</f>
        <v/>
      </c>
      <c r="N2296" s="53" t="n">
        <f aca="false">IF(F2296="S",L2296*0.02,0)</f>
        <v>0</v>
      </c>
      <c r="O2296" s="82" t="str">
        <f aca="false">IF(L2296&lt;&gt;"",L2296+N2296,"")</f>
        <v/>
      </c>
      <c r="P2296" s="53" t="str">
        <f aca="false">IF(O2296&lt;&gt;"",O2296*0.1,"")</f>
        <v/>
      </c>
      <c r="Q2296" s="83" t="str">
        <f aca="false">IF(O2296&lt;&gt;"",O2296+P2296,"")</f>
        <v/>
      </c>
      <c r="R2296" s="84"/>
    </row>
    <row r="2297" customFormat="false" ht="15" hidden="false" customHeight="true" outlineLevel="0" collapsed="false">
      <c r="A2297" s="103"/>
      <c r="B2297" s="85"/>
      <c r="C2297" s="86"/>
      <c r="D2297" s="87"/>
      <c r="E2297" s="46" t="str">
        <f aca="false">IF(D2297&lt;&gt;"",IFERROR(VLOOKUP(D2297,PROVEEDORES!$A:$B,2,0),"!COD NO ENCONTRADO"),"")</f>
        <v/>
      </c>
      <c r="F2297" s="88" t="str">
        <f aca="false">IF(D2297&lt;&gt;"",IFERROR(VLOOKUP(D2297,PROVEEDORES!$A:$C,3,0),""),"")</f>
        <v/>
      </c>
      <c r="G2297" s="87"/>
      <c r="H2297" s="46" t="str">
        <f aca="false">IF(G2297&lt;&gt;"",IFERROR(VLOOKUP(G2297,PRODUCTOS!$A:$B,2,0),"!COD NO ENCONTRADO"),"")</f>
        <v/>
      </c>
      <c r="I2297" s="89"/>
      <c r="J2297" s="90"/>
      <c r="K2297" s="91"/>
      <c r="L2297" s="80" t="str">
        <f aca="false">IF(AND(J2297&lt;&gt;"",K2297&lt;&gt;""),J2297*K2297,"")</f>
        <v/>
      </c>
      <c r="M2297" s="81" t="str">
        <f aca="false">IF(L2297&lt;&gt;"",L2297*1.1,"")</f>
        <v/>
      </c>
      <c r="N2297" s="47" t="n">
        <f aca="false">IF(F2297="S",L2297*0.02,0)</f>
        <v>0</v>
      </c>
      <c r="O2297" s="82" t="str">
        <f aca="false">IF(L2297&lt;&gt;"",L2297+N2297,"")</f>
        <v/>
      </c>
      <c r="P2297" s="47" t="str">
        <f aca="false">IF(O2297&lt;&gt;"",O2297*0.1,"")</f>
        <v/>
      </c>
      <c r="Q2297" s="83" t="str">
        <f aca="false">IF(O2297&lt;&gt;"",O2297+P2297,"")</f>
        <v/>
      </c>
      <c r="R2297" s="84"/>
    </row>
    <row r="2298" customFormat="false" ht="15" hidden="false" customHeight="true" outlineLevel="0" collapsed="false">
      <c r="A2298" s="103"/>
      <c r="B2298" s="73"/>
      <c r="C2298" s="74"/>
      <c r="D2298" s="75"/>
      <c r="E2298" s="52" t="str">
        <f aca="false">IF(D2298&lt;&gt;"",IFERROR(VLOOKUP(D2298,PROVEEDORES!$A:$B,2,0),"!COD NO ENCONTRADO"),"")</f>
        <v/>
      </c>
      <c r="F2298" s="76" t="str">
        <f aca="false">IF(D2298&lt;&gt;"",IFERROR(VLOOKUP(D2298,PROVEEDORES!$A:$C,3,0),""),"")</f>
        <v/>
      </c>
      <c r="G2298" s="75"/>
      <c r="H2298" s="52" t="str">
        <f aca="false">IF(G2298&lt;&gt;"",IFERROR(VLOOKUP(G2298,PRODUCTOS!$A:$B,2,0),"!COD NO ENCONTRADO"),"")</f>
        <v/>
      </c>
      <c r="I2298" s="77"/>
      <c r="J2298" s="78"/>
      <c r="K2298" s="79"/>
      <c r="L2298" s="80" t="str">
        <f aca="false">IF(AND(J2298&lt;&gt;"",K2298&lt;&gt;""),J2298*K2298,"")</f>
        <v/>
      </c>
      <c r="M2298" s="81" t="str">
        <f aca="false">IF(L2298&lt;&gt;"",L2298*1.1,"")</f>
        <v/>
      </c>
      <c r="N2298" s="53" t="n">
        <f aca="false">IF(F2298="S",L2298*0.02,0)</f>
        <v>0</v>
      </c>
      <c r="O2298" s="82" t="str">
        <f aca="false">IF(L2298&lt;&gt;"",L2298+N2298,"")</f>
        <v/>
      </c>
      <c r="P2298" s="53" t="str">
        <f aca="false">IF(O2298&lt;&gt;"",O2298*0.1,"")</f>
        <v/>
      </c>
      <c r="Q2298" s="83" t="str">
        <f aca="false">IF(O2298&lt;&gt;"",O2298+P2298,"")</f>
        <v/>
      </c>
      <c r="R2298" s="84"/>
    </row>
    <row r="2299" customFormat="false" ht="15" hidden="false" customHeight="true" outlineLevel="0" collapsed="false">
      <c r="A2299" s="103"/>
      <c r="B2299" s="85"/>
      <c r="C2299" s="86"/>
      <c r="D2299" s="87"/>
      <c r="E2299" s="46" t="str">
        <f aca="false">IF(D2299&lt;&gt;"",IFERROR(VLOOKUP(D2299,PROVEEDORES!$A:$B,2,0),"!COD NO ENCONTRADO"),"")</f>
        <v/>
      </c>
      <c r="F2299" s="88" t="str">
        <f aca="false">IF(D2299&lt;&gt;"",IFERROR(VLOOKUP(D2299,PROVEEDORES!$A:$C,3,0),""),"")</f>
        <v/>
      </c>
      <c r="G2299" s="87"/>
      <c r="H2299" s="46" t="str">
        <f aca="false">IF(G2299&lt;&gt;"",IFERROR(VLOOKUP(G2299,PRODUCTOS!$A:$B,2,0),"!COD NO ENCONTRADO"),"")</f>
        <v/>
      </c>
      <c r="I2299" s="89"/>
      <c r="J2299" s="90"/>
      <c r="K2299" s="91"/>
      <c r="L2299" s="80" t="str">
        <f aca="false">IF(AND(J2299&lt;&gt;"",K2299&lt;&gt;""),J2299*K2299,"")</f>
        <v/>
      </c>
      <c r="M2299" s="81" t="str">
        <f aca="false">IF(L2299&lt;&gt;"",L2299*1.1,"")</f>
        <v/>
      </c>
      <c r="N2299" s="47" t="n">
        <f aca="false">IF(F2299="S",L2299*0.02,0)</f>
        <v>0</v>
      </c>
      <c r="O2299" s="82" t="str">
        <f aca="false">IF(L2299&lt;&gt;"",L2299+N2299,"")</f>
        <v/>
      </c>
      <c r="P2299" s="47" t="str">
        <f aca="false">IF(O2299&lt;&gt;"",O2299*0.1,"")</f>
        <v/>
      </c>
      <c r="Q2299" s="83" t="str">
        <f aca="false">IF(O2299&lt;&gt;"",O2299+P2299,"")</f>
        <v/>
      </c>
      <c r="R2299" s="84"/>
    </row>
    <row r="2300" customFormat="false" ht="15" hidden="false" customHeight="true" outlineLevel="0" collapsed="false">
      <c r="A2300" s="103"/>
      <c r="B2300" s="73"/>
      <c r="C2300" s="74"/>
      <c r="D2300" s="75"/>
      <c r="E2300" s="52" t="str">
        <f aca="false">IF(D2300&lt;&gt;"",IFERROR(VLOOKUP(D2300,PROVEEDORES!$A:$B,2,0),"!COD NO ENCONTRADO"),"")</f>
        <v/>
      </c>
      <c r="F2300" s="76" t="str">
        <f aca="false">IF(D2300&lt;&gt;"",IFERROR(VLOOKUP(D2300,PROVEEDORES!$A:$C,3,0),""),"")</f>
        <v/>
      </c>
      <c r="G2300" s="75"/>
      <c r="H2300" s="52" t="str">
        <f aca="false">IF(G2300&lt;&gt;"",IFERROR(VLOOKUP(G2300,PRODUCTOS!$A:$B,2,0),"!COD NO ENCONTRADO"),"")</f>
        <v/>
      </c>
      <c r="I2300" s="77"/>
      <c r="J2300" s="78"/>
      <c r="K2300" s="79"/>
      <c r="L2300" s="80" t="str">
        <f aca="false">IF(AND(J2300&lt;&gt;"",K2300&lt;&gt;""),J2300*K2300,"")</f>
        <v/>
      </c>
      <c r="M2300" s="81" t="str">
        <f aca="false">IF(L2300&lt;&gt;"",L2300*1.1,"")</f>
        <v/>
      </c>
      <c r="N2300" s="53" t="n">
        <f aca="false">IF(F2300="S",L2300*0.02,0)</f>
        <v>0</v>
      </c>
      <c r="O2300" s="82" t="str">
        <f aca="false">IF(L2300&lt;&gt;"",L2300+N2300,"")</f>
        <v/>
      </c>
      <c r="P2300" s="53" t="str">
        <f aca="false">IF(O2300&lt;&gt;"",O2300*0.1,"")</f>
        <v/>
      </c>
      <c r="Q2300" s="83" t="str">
        <f aca="false">IF(O2300&lt;&gt;"",O2300+P2300,"")</f>
        <v/>
      </c>
      <c r="R2300" s="84"/>
    </row>
    <row r="2301" customFormat="false" ht="15" hidden="false" customHeight="true" outlineLevel="0" collapsed="false">
      <c r="A2301" s="103"/>
      <c r="B2301" s="85"/>
      <c r="C2301" s="86"/>
      <c r="D2301" s="87"/>
      <c r="E2301" s="46" t="str">
        <f aca="false">IF(D2301&lt;&gt;"",IFERROR(VLOOKUP(D2301,PROVEEDORES!$A:$B,2,0),"!COD NO ENCONTRADO"),"")</f>
        <v/>
      </c>
      <c r="F2301" s="88" t="str">
        <f aca="false">IF(D2301&lt;&gt;"",IFERROR(VLOOKUP(D2301,PROVEEDORES!$A:$C,3,0),""),"")</f>
        <v/>
      </c>
      <c r="G2301" s="87"/>
      <c r="H2301" s="46" t="str">
        <f aca="false">IF(G2301&lt;&gt;"",IFERROR(VLOOKUP(G2301,PRODUCTOS!$A:$B,2,0),"!COD NO ENCONTRADO"),"")</f>
        <v/>
      </c>
      <c r="I2301" s="89"/>
      <c r="J2301" s="90"/>
      <c r="K2301" s="91"/>
      <c r="L2301" s="80" t="str">
        <f aca="false">IF(AND(J2301&lt;&gt;"",K2301&lt;&gt;""),J2301*K2301,"")</f>
        <v/>
      </c>
      <c r="M2301" s="81" t="str">
        <f aca="false">IF(L2301&lt;&gt;"",L2301*1.1,"")</f>
        <v/>
      </c>
      <c r="N2301" s="47" t="n">
        <f aca="false">IF(F2301="S",L2301*0.02,0)</f>
        <v>0</v>
      </c>
      <c r="O2301" s="82" t="str">
        <f aca="false">IF(L2301&lt;&gt;"",L2301+N2301,"")</f>
        <v/>
      </c>
      <c r="P2301" s="47" t="str">
        <f aca="false">IF(O2301&lt;&gt;"",O2301*0.1,"")</f>
        <v/>
      </c>
      <c r="Q2301" s="83" t="str">
        <f aca="false">IF(O2301&lt;&gt;"",O2301+P2301,"")</f>
        <v/>
      </c>
      <c r="R2301" s="84"/>
    </row>
    <row r="2302" customFormat="false" ht="15" hidden="false" customHeight="true" outlineLevel="0" collapsed="false">
      <c r="A2302" s="103"/>
      <c r="B2302" s="73"/>
      <c r="C2302" s="74"/>
      <c r="D2302" s="75"/>
      <c r="E2302" s="52" t="str">
        <f aca="false">IF(D2302&lt;&gt;"",IFERROR(VLOOKUP(D2302,PROVEEDORES!$A:$B,2,0),"!COD NO ENCONTRADO"),"")</f>
        <v/>
      </c>
      <c r="F2302" s="76" t="str">
        <f aca="false">IF(D2302&lt;&gt;"",IFERROR(VLOOKUP(D2302,PROVEEDORES!$A:$C,3,0),""),"")</f>
        <v/>
      </c>
      <c r="G2302" s="75"/>
      <c r="H2302" s="52" t="str">
        <f aca="false">IF(G2302&lt;&gt;"",IFERROR(VLOOKUP(G2302,PRODUCTOS!$A:$B,2,0),"!COD NO ENCONTRADO"),"")</f>
        <v/>
      </c>
      <c r="I2302" s="77"/>
      <c r="J2302" s="78"/>
      <c r="K2302" s="79"/>
      <c r="L2302" s="80" t="str">
        <f aca="false">IF(AND(J2302&lt;&gt;"",K2302&lt;&gt;""),J2302*K2302,"")</f>
        <v/>
      </c>
      <c r="M2302" s="81" t="str">
        <f aca="false">IF(L2302&lt;&gt;"",L2302*1.1,"")</f>
        <v/>
      </c>
      <c r="N2302" s="53" t="n">
        <f aca="false">IF(F2302="S",L2302*0.02,0)</f>
        <v>0</v>
      </c>
      <c r="O2302" s="82" t="str">
        <f aca="false">IF(L2302&lt;&gt;"",L2302+N2302,"")</f>
        <v/>
      </c>
      <c r="P2302" s="53" t="str">
        <f aca="false">IF(O2302&lt;&gt;"",O2302*0.1,"")</f>
        <v/>
      </c>
      <c r="Q2302" s="83" t="str">
        <f aca="false">IF(O2302&lt;&gt;"",O2302+P2302,"")</f>
        <v/>
      </c>
      <c r="R2302" s="84"/>
    </row>
    <row r="2303" customFormat="false" ht="15" hidden="false" customHeight="true" outlineLevel="0" collapsed="false">
      <c r="A2303" s="103"/>
      <c r="B2303" s="85"/>
      <c r="C2303" s="86"/>
      <c r="D2303" s="87"/>
      <c r="E2303" s="46" t="str">
        <f aca="false">IF(D2303&lt;&gt;"",IFERROR(VLOOKUP(D2303,PROVEEDORES!$A:$B,2,0),"!COD NO ENCONTRADO"),"")</f>
        <v/>
      </c>
      <c r="F2303" s="88" t="str">
        <f aca="false">IF(D2303&lt;&gt;"",IFERROR(VLOOKUP(D2303,PROVEEDORES!$A:$C,3,0),""),"")</f>
        <v/>
      </c>
      <c r="G2303" s="87"/>
      <c r="H2303" s="46" t="str">
        <f aca="false">IF(G2303&lt;&gt;"",IFERROR(VLOOKUP(G2303,PRODUCTOS!$A:$B,2,0),"!COD NO ENCONTRADO"),"")</f>
        <v/>
      </c>
      <c r="I2303" s="89"/>
      <c r="J2303" s="90"/>
      <c r="K2303" s="91"/>
      <c r="L2303" s="80" t="str">
        <f aca="false">IF(AND(J2303&lt;&gt;"",K2303&lt;&gt;""),J2303*K2303,"")</f>
        <v/>
      </c>
      <c r="M2303" s="81" t="str">
        <f aca="false">IF(L2303&lt;&gt;"",L2303*1.1,"")</f>
        <v/>
      </c>
      <c r="N2303" s="47" t="n">
        <f aca="false">IF(F2303="S",L2303*0.02,0)</f>
        <v>0</v>
      </c>
      <c r="O2303" s="82" t="str">
        <f aca="false">IF(L2303&lt;&gt;"",L2303+N2303,"")</f>
        <v/>
      </c>
      <c r="P2303" s="47" t="str">
        <f aca="false">IF(O2303&lt;&gt;"",O2303*0.1,"")</f>
        <v/>
      </c>
      <c r="Q2303" s="83" t="str">
        <f aca="false">IF(O2303&lt;&gt;"",O2303+P2303,"")</f>
        <v/>
      </c>
      <c r="R2303" s="84"/>
    </row>
    <row r="2304" customFormat="false" ht="15" hidden="false" customHeight="true" outlineLevel="0" collapsed="false">
      <c r="A2304" s="103"/>
      <c r="B2304" s="73"/>
      <c r="C2304" s="74"/>
      <c r="D2304" s="75"/>
      <c r="E2304" s="52" t="str">
        <f aca="false">IF(D2304&lt;&gt;"",IFERROR(VLOOKUP(D2304,PROVEEDORES!$A:$B,2,0),"!COD NO ENCONTRADO"),"")</f>
        <v/>
      </c>
      <c r="F2304" s="76" t="str">
        <f aca="false">IF(D2304&lt;&gt;"",IFERROR(VLOOKUP(D2304,PROVEEDORES!$A:$C,3,0),""),"")</f>
        <v/>
      </c>
      <c r="G2304" s="75"/>
      <c r="H2304" s="52" t="str">
        <f aca="false">IF(G2304&lt;&gt;"",IFERROR(VLOOKUP(G2304,PRODUCTOS!$A:$B,2,0),"!COD NO ENCONTRADO"),"")</f>
        <v/>
      </c>
      <c r="I2304" s="77"/>
      <c r="J2304" s="78"/>
      <c r="K2304" s="79"/>
      <c r="L2304" s="80" t="str">
        <f aca="false">IF(AND(J2304&lt;&gt;"",K2304&lt;&gt;""),J2304*K2304,"")</f>
        <v/>
      </c>
      <c r="M2304" s="81" t="str">
        <f aca="false">IF(L2304&lt;&gt;"",L2304*1.1,"")</f>
        <v/>
      </c>
      <c r="N2304" s="53" t="n">
        <f aca="false">IF(F2304="S",L2304*0.02,0)</f>
        <v>0</v>
      </c>
      <c r="O2304" s="82" t="str">
        <f aca="false">IF(L2304&lt;&gt;"",L2304+N2304,"")</f>
        <v/>
      </c>
      <c r="P2304" s="53" t="str">
        <f aca="false">IF(O2304&lt;&gt;"",O2304*0.1,"")</f>
        <v/>
      </c>
      <c r="Q2304" s="83" t="str">
        <f aca="false">IF(O2304&lt;&gt;"",O2304+P2304,"")</f>
        <v/>
      </c>
      <c r="R2304" s="84"/>
    </row>
    <row r="2305" customFormat="false" ht="15" hidden="false" customHeight="true" outlineLevel="0" collapsed="false">
      <c r="A2305" s="103"/>
      <c r="B2305" s="85"/>
      <c r="C2305" s="86"/>
      <c r="D2305" s="87"/>
      <c r="E2305" s="46" t="str">
        <f aca="false">IF(D2305&lt;&gt;"",IFERROR(VLOOKUP(D2305,PROVEEDORES!$A:$B,2,0),"!COD NO ENCONTRADO"),"")</f>
        <v/>
      </c>
      <c r="F2305" s="88" t="str">
        <f aca="false">IF(D2305&lt;&gt;"",IFERROR(VLOOKUP(D2305,PROVEEDORES!$A:$C,3,0),""),"")</f>
        <v/>
      </c>
      <c r="G2305" s="87"/>
      <c r="H2305" s="46" t="str">
        <f aca="false">IF(G2305&lt;&gt;"",IFERROR(VLOOKUP(G2305,PRODUCTOS!$A:$B,2,0),"!COD NO ENCONTRADO"),"")</f>
        <v/>
      </c>
      <c r="I2305" s="89"/>
      <c r="J2305" s="90"/>
      <c r="K2305" s="91"/>
      <c r="L2305" s="80" t="str">
        <f aca="false">IF(AND(J2305&lt;&gt;"",K2305&lt;&gt;""),J2305*K2305,"")</f>
        <v/>
      </c>
      <c r="M2305" s="81" t="str">
        <f aca="false">IF(L2305&lt;&gt;"",L2305*1.1,"")</f>
        <v/>
      </c>
      <c r="N2305" s="47" t="n">
        <f aca="false">IF(F2305="S",L2305*0.02,0)</f>
        <v>0</v>
      </c>
      <c r="O2305" s="82" t="str">
        <f aca="false">IF(L2305&lt;&gt;"",L2305+N2305,"")</f>
        <v/>
      </c>
      <c r="P2305" s="47" t="str">
        <f aca="false">IF(O2305&lt;&gt;"",O2305*0.1,"")</f>
        <v/>
      </c>
      <c r="Q2305" s="83" t="str">
        <f aca="false">IF(O2305&lt;&gt;"",O2305+P2305,"")</f>
        <v/>
      </c>
      <c r="R2305" s="84"/>
    </row>
    <row r="2306" customFormat="false" ht="15" hidden="false" customHeight="true" outlineLevel="0" collapsed="false">
      <c r="A2306" s="103"/>
      <c r="B2306" s="73"/>
      <c r="C2306" s="74"/>
      <c r="D2306" s="75"/>
      <c r="E2306" s="52" t="str">
        <f aca="false">IF(D2306&lt;&gt;"",IFERROR(VLOOKUP(D2306,PROVEEDORES!$A:$B,2,0),"!COD NO ENCONTRADO"),"")</f>
        <v/>
      </c>
      <c r="F2306" s="76" t="str">
        <f aca="false">IF(D2306&lt;&gt;"",IFERROR(VLOOKUP(D2306,PROVEEDORES!$A:$C,3,0),""),"")</f>
        <v/>
      </c>
      <c r="G2306" s="75"/>
      <c r="H2306" s="52" t="str">
        <f aca="false">IF(G2306&lt;&gt;"",IFERROR(VLOOKUP(G2306,PRODUCTOS!$A:$B,2,0),"!COD NO ENCONTRADO"),"")</f>
        <v/>
      </c>
      <c r="I2306" s="77"/>
      <c r="J2306" s="78"/>
      <c r="K2306" s="79"/>
      <c r="L2306" s="80" t="str">
        <f aca="false">IF(AND(J2306&lt;&gt;"",K2306&lt;&gt;""),J2306*K2306,"")</f>
        <v/>
      </c>
      <c r="M2306" s="81" t="str">
        <f aca="false">IF(L2306&lt;&gt;"",L2306*1.1,"")</f>
        <v/>
      </c>
      <c r="N2306" s="53" t="n">
        <f aca="false">IF(F2306="S",L2306*0.02,0)</f>
        <v>0</v>
      </c>
      <c r="O2306" s="82" t="str">
        <f aca="false">IF(L2306&lt;&gt;"",L2306+N2306,"")</f>
        <v/>
      </c>
      <c r="P2306" s="53" t="str">
        <f aca="false">IF(O2306&lt;&gt;"",O2306*0.1,"")</f>
        <v/>
      </c>
      <c r="Q2306" s="83" t="str">
        <f aca="false">IF(O2306&lt;&gt;"",O2306+P2306,"")</f>
        <v/>
      </c>
      <c r="R2306" s="84"/>
    </row>
    <row r="2307" customFormat="false" ht="15" hidden="false" customHeight="true" outlineLevel="0" collapsed="false">
      <c r="A2307" s="103"/>
      <c r="B2307" s="85"/>
      <c r="C2307" s="86"/>
      <c r="D2307" s="87"/>
      <c r="E2307" s="46" t="str">
        <f aca="false">IF(D2307&lt;&gt;"",IFERROR(VLOOKUP(D2307,PROVEEDORES!$A:$B,2,0),"!COD NO ENCONTRADO"),"")</f>
        <v/>
      </c>
      <c r="F2307" s="88" t="str">
        <f aca="false">IF(D2307&lt;&gt;"",IFERROR(VLOOKUP(D2307,PROVEEDORES!$A:$C,3,0),""),"")</f>
        <v/>
      </c>
      <c r="G2307" s="87"/>
      <c r="H2307" s="46" t="str">
        <f aca="false">IF(G2307&lt;&gt;"",IFERROR(VLOOKUP(G2307,PRODUCTOS!$A:$B,2,0),"!COD NO ENCONTRADO"),"")</f>
        <v/>
      </c>
      <c r="I2307" s="89"/>
      <c r="J2307" s="90"/>
      <c r="K2307" s="91"/>
      <c r="L2307" s="80" t="str">
        <f aca="false">IF(AND(J2307&lt;&gt;"",K2307&lt;&gt;""),J2307*K2307,"")</f>
        <v/>
      </c>
      <c r="M2307" s="81" t="str">
        <f aca="false">IF(L2307&lt;&gt;"",L2307*1.1,"")</f>
        <v/>
      </c>
      <c r="N2307" s="47" t="n">
        <f aca="false">IF(F2307="S",L2307*0.02,0)</f>
        <v>0</v>
      </c>
      <c r="O2307" s="82" t="str">
        <f aca="false">IF(L2307&lt;&gt;"",L2307+N2307,"")</f>
        <v/>
      </c>
      <c r="P2307" s="47" t="str">
        <f aca="false">IF(O2307&lt;&gt;"",O2307*0.1,"")</f>
        <v/>
      </c>
      <c r="Q2307" s="83" t="str">
        <f aca="false">IF(O2307&lt;&gt;"",O2307+P2307,"")</f>
        <v/>
      </c>
      <c r="R2307" s="84"/>
    </row>
    <row r="2308" customFormat="false" ht="15" hidden="false" customHeight="true" outlineLevel="0" collapsed="false">
      <c r="A2308" s="103"/>
      <c r="B2308" s="73"/>
      <c r="C2308" s="74"/>
      <c r="D2308" s="75"/>
      <c r="E2308" s="52" t="str">
        <f aca="false">IF(D2308&lt;&gt;"",IFERROR(VLOOKUP(D2308,PROVEEDORES!$A:$B,2,0),"!COD NO ENCONTRADO"),"")</f>
        <v/>
      </c>
      <c r="F2308" s="76" t="str">
        <f aca="false">IF(D2308&lt;&gt;"",IFERROR(VLOOKUP(D2308,PROVEEDORES!$A:$C,3,0),""),"")</f>
        <v/>
      </c>
      <c r="G2308" s="75"/>
      <c r="H2308" s="52" t="str">
        <f aca="false">IF(G2308&lt;&gt;"",IFERROR(VLOOKUP(G2308,PRODUCTOS!$A:$B,2,0),"!COD NO ENCONTRADO"),"")</f>
        <v/>
      </c>
      <c r="I2308" s="77"/>
      <c r="J2308" s="78"/>
      <c r="K2308" s="79"/>
      <c r="L2308" s="80" t="str">
        <f aca="false">IF(AND(J2308&lt;&gt;"",K2308&lt;&gt;""),J2308*K2308,"")</f>
        <v/>
      </c>
      <c r="M2308" s="81" t="str">
        <f aca="false">IF(L2308&lt;&gt;"",L2308*1.1,"")</f>
        <v/>
      </c>
      <c r="N2308" s="53" t="n">
        <f aca="false">IF(F2308="S",L2308*0.02,0)</f>
        <v>0</v>
      </c>
      <c r="O2308" s="82" t="str">
        <f aca="false">IF(L2308&lt;&gt;"",L2308+N2308,"")</f>
        <v/>
      </c>
      <c r="P2308" s="53" t="str">
        <f aca="false">IF(O2308&lt;&gt;"",O2308*0.1,"")</f>
        <v/>
      </c>
      <c r="Q2308" s="83" t="str">
        <f aca="false">IF(O2308&lt;&gt;"",O2308+P2308,"")</f>
        <v/>
      </c>
      <c r="R2308" s="84"/>
    </row>
    <row r="2309" customFormat="false" ht="15" hidden="false" customHeight="true" outlineLevel="0" collapsed="false">
      <c r="A2309" s="103"/>
      <c r="B2309" s="85"/>
      <c r="C2309" s="86"/>
      <c r="D2309" s="87"/>
      <c r="E2309" s="46" t="str">
        <f aca="false">IF(D2309&lt;&gt;"",IFERROR(VLOOKUP(D2309,PROVEEDORES!$A:$B,2,0),"!COD NO ENCONTRADO"),"")</f>
        <v/>
      </c>
      <c r="F2309" s="88" t="str">
        <f aca="false">IF(D2309&lt;&gt;"",IFERROR(VLOOKUP(D2309,PROVEEDORES!$A:$C,3,0),""),"")</f>
        <v/>
      </c>
      <c r="G2309" s="87"/>
      <c r="H2309" s="46" t="str">
        <f aca="false">IF(G2309&lt;&gt;"",IFERROR(VLOOKUP(G2309,PRODUCTOS!$A:$B,2,0),"!COD NO ENCONTRADO"),"")</f>
        <v/>
      </c>
      <c r="I2309" s="89"/>
      <c r="J2309" s="90"/>
      <c r="K2309" s="91"/>
      <c r="L2309" s="80" t="str">
        <f aca="false">IF(AND(J2309&lt;&gt;"",K2309&lt;&gt;""),J2309*K2309,"")</f>
        <v/>
      </c>
      <c r="M2309" s="81" t="str">
        <f aca="false">IF(L2309&lt;&gt;"",L2309*1.1,"")</f>
        <v/>
      </c>
      <c r="N2309" s="47" t="n">
        <f aca="false">IF(F2309="S",L2309*0.02,0)</f>
        <v>0</v>
      </c>
      <c r="O2309" s="82" t="str">
        <f aca="false">IF(L2309&lt;&gt;"",L2309+N2309,"")</f>
        <v/>
      </c>
      <c r="P2309" s="47" t="str">
        <f aca="false">IF(O2309&lt;&gt;"",O2309*0.1,"")</f>
        <v/>
      </c>
      <c r="Q2309" s="83" t="str">
        <f aca="false">IF(O2309&lt;&gt;"",O2309+P2309,"")</f>
        <v/>
      </c>
      <c r="R2309" s="84"/>
    </row>
    <row r="2310" customFormat="false" ht="15" hidden="false" customHeight="true" outlineLevel="0" collapsed="false">
      <c r="A2310" s="103"/>
      <c r="B2310" s="73"/>
      <c r="C2310" s="74"/>
      <c r="D2310" s="75"/>
      <c r="E2310" s="52" t="str">
        <f aca="false">IF(D2310&lt;&gt;"",IFERROR(VLOOKUP(D2310,PROVEEDORES!$A:$B,2,0),"!COD NO ENCONTRADO"),"")</f>
        <v/>
      </c>
      <c r="F2310" s="76" t="str">
        <f aca="false">IF(D2310&lt;&gt;"",IFERROR(VLOOKUP(D2310,PROVEEDORES!$A:$C,3,0),""),"")</f>
        <v/>
      </c>
      <c r="G2310" s="75"/>
      <c r="H2310" s="52" t="str">
        <f aca="false">IF(G2310&lt;&gt;"",IFERROR(VLOOKUP(G2310,PRODUCTOS!$A:$B,2,0),"!COD NO ENCONTRADO"),"")</f>
        <v/>
      </c>
      <c r="I2310" s="77"/>
      <c r="J2310" s="78"/>
      <c r="K2310" s="79"/>
      <c r="L2310" s="80" t="str">
        <f aca="false">IF(AND(J2310&lt;&gt;"",K2310&lt;&gt;""),J2310*K2310,"")</f>
        <v/>
      </c>
      <c r="M2310" s="81" t="str">
        <f aca="false">IF(L2310&lt;&gt;"",L2310*1.1,"")</f>
        <v/>
      </c>
      <c r="N2310" s="53" t="n">
        <f aca="false">IF(F2310="S",L2310*0.02,0)</f>
        <v>0</v>
      </c>
      <c r="O2310" s="82" t="str">
        <f aca="false">IF(L2310&lt;&gt;"",L2310+N2310,"")</f>
        <v/>
      </c>
      <c r="P2310" s="53" t="str">
        <f aca="false">IF(O2310&lt;&gt;"",O2310*0.1,"")</f>
        <v/>
      </c>
      <c r="Q2310" s="83" t="str">
        <f aca="false">IF(O2310&lt;&gt;"",O2310+P2310,"")</f>
        <v/>
      </c>
      <c r="R2310" s="84"/>
    </row>
    <row r="2311" customFormat="false" ht="15" hidden="false" customHeight="true" outlineLevel="0" collapsed="false">
      <c r="A2311" s="103"/>
      <c r="B2311" s="85"/>
      <c r="C2311" s="86"/>
      <c r="D2311" s="87"/>
      <c r="E2311" s="46" t="str">
        <f aca="false">IF(D2311&lt;&gt;"",IFERROR(VLOOKUP(D2311,PROVEEDORES!$A:$B,2,0),"!COD NO ENCONTRADO"),"")</f>
        <v/>
      </c>
      <c r="F2311" s="88" t="str">
        <f aca="false">IF(D2311&lt;&gt;"",IFERROR(VLOOKUP(D2311,PROVEEDORES!$A:$C,3,0),""),"")</f>
        <v/>
      </c>
      <c r="G2311" s="87"/>
      <c r="H2311" s="46" t="str">
        <f aca="false">IF(G2311&lt;&gt;"",IFERROR(VLOOKUP(G2311,PRODUCTOS!$A:$B,2,0),"!COD NO ENCONTRADO"),"")</f>
        <v/>
      </c>
      <c r="I2311" s="89"/>
      <c r="J2311" s="90"/>
      <c r="K2311" s="91"/>
      <c r="L2311" s="80" t="str">
        <f aca="false">IF(AND(J2311&lt;&gt;"",K2311&lt;&gt;""),J2311*K2311,"")</f>
        <v/>
      </c>
      <c r="M2311" s="81" t="str">
        <f aca="false">IF(L2311&lt;&gt;"",L2311*1.1,"")</f>
        <v/>
      </c>
      <c r="N2311" s="47" t="n">
        <f aca="false">IF(F2311="S",L2311*0.02,0)</f>
        <v>0</v>
      </c>
      <c r="O2311" s="82" t="str">
        <f aca="false">IF(L2311&lt;&gt;"",L2311+N2311,"")</f>
        <v/>
      </c>
      <c r="P2311" s="47" t="str">
        <f aca="false">IF(O2311&lt;&gt;"",O2311*0.1,"")</f>
        <v/>
      </c>
      <c r="Q2311" s="83" t="str">
        <f aca="false">IF(O2311&lt;&gt;"",O2311+P2311,"")</f>
        <v/>
      </c>
      <c r="R2311" s="84"/>
    </row>
    <row r="2312" customFormat="false" ht="15" hidden="false" customHeight="true" outlineLevel="0" collapsed="false">
      <c r="A2312" s="103"/>
      <c r="B2312" s="73"/>
      <c r="C2312" s="74"/>
      <c r="D2312" s="75"/>
      <c r="E2312" s="52" t="str">
        <f aca="false">IF(D2312&lt;&gt;"",IFERROR(VLOOKUP(D2312,PROVEEDORES!$A:$B,2,0),"!COD NO ENCONTRADO"),"")</f>
        <v/>
      </c>
      <c r="F2312" s="76" t="str">
        <f aca="false">IF(D2312&lt;&gt;"",IFERROR(VLOOKUP(D2312,PROVEEDORES!$A:$C,3,0),""),"")</f>
        <v/>
      </c>
      <c r="G2312" s="75"/>
      <c r="H2312" s="52" t="str">
        <f aca="false">IF(G2312&lt;&gt;"",IFERROR(VLOOKUP(G2312,PRODUCTOS!$A:$B,2,0),"!COD NO ENCONTRADO"),"")</f>
        <v/>
      </c>
      <c r="I2312" s="77"/>
      <c r="J2312" s="78"/>
      <c r="K2312" s="79"/>
      <c r="L2312" s="80" t="str">
        <f aca="false">IF(AND(J2312&lt;&gt;"",K2312&lt;&gt;""),J2312*K2312,"")</f>
        <v/>
      </c>
      <c r="M2312" s="81" t="str">
        <f aca="false">IF(L2312&lt;&gt;"",L2312*1.1,"")</f>
        <v/>
      </c>
      <c r="N2312" s="53" t="n">
        <f aca="false">IF(F2312="S",L2312*0.02,0)</f>
        <v>0</v>
      </c>
      <c r="O2312" s="82" t="str">
        <f aca="false">IF(L2312&lt;&gt;"",L2312+N2312,"")</f>
        <v/>
      </c>
      <c r="P2312" s="53" t="str">
        <f aca="false">IF(O2312&lt;&gt;"",O2312*0.1,"")</f>
        <v/>
      </c>
      <c r="Q2312" s="83" t="str">
        <f aca="false">IF(O2312&lt;&gt;"",O2312+P2312,"")</f>
        <v/>
      </c>
      <c r="R2312" s="84"/>
    </row>
    <row r="2313" customFormat="false" ht="15" hidden="false" customHeight="true" outlineLevel="0" collapsed="false">
      <c r="A2313" s="103"/>
      <c r="B2313" s="85"/>
      <c r="C2313" s="86"/>
      <c r="D2313" s="87"/>
      <c r="E2313" s="46" t="str">
        <f aca="false">IF(D2313&lt;&gt;"",IFERROR(VLOOKUP(D2313,PROVEEDORES!$A:$B,2,0),"!COD NO ENCONTRADO"),"")</f>
        <v/>
      </c>
      <c r="F2313" s="88" t="str">
        <f aca="false">IF(D2313&lt;&gt;"",IFERROR(VLOOKUP(D2313,PROVEEDORES!$A:$C,3,0),""),"")</f>
        <v/>
      </c>
      <c r="G2313" s="87"/>
      <c r="H2313" s="46" t="str">
        <f aca="false">IF(G2313&lt;&gt;"",IFERROR(VLOOKUP(G2313,PRODUCTOS!$A:$B,2,0),"!COD NO ENCONTRADO"),"")</f>
        <v/>
      </c>
      <c r="I2313" s="89"/>
      <c r="J2313" s="90"/>
      <c r="K2313" s="91"/>
      <c r="L2313" s="80" t="str">
        <f aca="false">IF(AND(J2313&lt;&gt;"",K2313&lt;&gt;""),J2313*K2313,"")</f>
        <v/>
      </c>
      <c r="M2313" s="81" t="str">
        <f aca="false">IF(L2313&lt;&gt;"",L2313*1.1,"")</f>
        <v/>
      </c>
      <c r="N2313" s="47" t="n">
        <f aca="false">IF(F2313="S",L2313*0.02,0)</f>
        <v>0</v>
      </c>
      <c r="O2313" s="82" t="str">
        <f aca="false">IF(L2313&lt;&gt;"",L2313+N2313,"")</f>
        <v/>
      </c>
      <c r="P2313" s="47" t="str">
        <f aca="false">IF(O2313&lt;&gt;"",O2313*0.1,"")</f>
        <v/>
      </c>
      <c r="Q2313" s="83" t="str">
        <f aca="false">IF(O2313&lt;&gt;"",O2313+P2313,"")</f>
        <v/>
      </c>
      <c r="R2313" s="84"/>
    </row>
    <row r="2314" customFormat="false" ht="15" hidden="false" customHeight="true" outlineLevel="0" collapsed="false">
      <c r="A2314" s="103"/>
      <c r="B2314" s="73"/>
      <c r="C2314" s="74"/>
      <c r="D2314" s="75"/>
      <c r="E2314" s="52" t="str">
        <f aca="false">IF(D2314&lt;&gt;"",IFERROR(VLOOKUP(D2314,PROVEEDORES!$A:$B,2,0),"!COD NO ENCONTRADO"),"")</f>
        <v/>
      </c>
      <c r="F2314" s="76" t="str">
        <f aca="false">IF(D2314&lt;&gt;"",IFERROR(VLOOKUP(D2314,PROVEEDORES!$A:$C,3,0),""),"")</f>
        <v/>
      </c>
      <c r="G2314" s="75"/>
      <c r="H2314" s="52" t="str">
        <f aca="false">IF(G2314&lt;&gt;"",IFERROR(VLOOKUP(G2314,PRODUCTOS!$A:$B,2,0),"!COD NO ENCONTRADO"),"")</f>
        <v/>
      </c>
      <c r="I2314" s="77"/>
      <c r="J2314" s="78"/>
      <c r="K2314" s="79"/>
      <c r="L2314" s="80" t="str">
        <f aca="false">IF(AND(J2314&lt;&gt;"",K2314&lt;&gt;""),J2314*K2314,"")</f>
        <v/>
      </c>
      <c r="M2314" s="81" t="str">
        <f aca="false">IF(L2314&lt;&gt;"",L2314*1.1,"")</f>
        <v/>
      </c>
      <c r="N2314" s="53" t="n">
        <f aca="false">IF(F2314="S",L2314*0.02,0)</f>
        <v>0</v>
      </c>
      <c r="O2314" s="82" t="str">
        <f aca="false">IF(L2314&lt;&gt;"",L2314+N2314,"")</f>
        <v/>
      </c>
      <c r="P2314" s="53" t="str">
        <f aca="false">IF(O2314&lt;&gt;"",O2314*0.1,"")</f>
        <v/>
      </c>
      <c r="Q2314" s="83" t="str">
        <f aca="false">IF(O2314&lt;&gt;"",O2314+P2314,"")</f>
        <v/>
      </c>
      <c r="R2314" s="84"/>
    </row>
    <row r="2315" customFormat="false" ht="15" hidden="false" customHeight="true" outlineLevel="0" collapsed="false">
      <c r="A2315" s="103"/>
      <c r="B2315" s="85"/>
      <c r="C2315" s="86"/>
      <c r="D2315" s="87"/>
      <c r="E2315" s="46" t="str">
        <f aca="false">IF(D2315&lt;&gt;"",IFERROR(VLOOKUP(D2315,PROVEEDORES!$A:$B,2,0),"!COD NO ENCONTRADO"),"")</f>
        <v/>
      </c>
      <c r="F2315" s="88" t="str">
        <f aca="false">IF(D2315&lt;&gt;"",IFERROR(VLOOKUP(D2315,PROVEEDORES!$A:$C,3,0),""),"")</f>
        <v/>
      </c>
      <c r="G2315" s="87"/>
      <c r="H2315" s="46" t="str">
        <f aca="false">IF(G2315&lt;&gt;"",IFERROR(VLOOKUP(G2315,PRODUCTOS!$A:$B,2,0),"!COD NO ENCONTRADO"),"")</f>
        <v/>
      </c>
      <c r="I2315" s="89"/>
      <c r="J2315" s="90"/>
      <c r="K2315" s="91"/>
      <c r="L2315" s="80" t="str">
        <f aca="false">IF(AND(J2315&lt;&gt;"",K2315&lt;&gt;""),J2315*K2315,"")</f>
        <v/>
      </c>
      <c r="M2315" s="81" t="str">
        <f aca="false">IF(L2315&lt;&gt;"",L2315*1.1,"")</f>
        <v/>
      </c>
      <c r="N2315" s="47" t="n">
        <f aca="false">IF(F2315="S",L2315*0.02,0)</f>
        <v>0</v>
      </c>
      <c r="O2315" s="82" t="str">
        <f aca="false">IF(L2315&lt;&gt;"",L2315+N2315,"")</f>
        <v/>
      </c>
      <c r="P2315" s="47" t="str">
        <f aca="false">IF(O2315&lt;&gt;"",O2315*0.1,"")</f>
        <v/>
      </c>
      <c r="Q2315" s="83" t="str">
        <f aca="false">IF(O2315&lt;&gt;"",O2315+P2315,"")</f>
        <v/>
      </c>
      <c r="R2315" s="84"/>
    </row>
    <row r="2316" customFormat="false" ht="15" hidden="false" customHeight="true" outlineLevel="0" collapsed="false">
      <c r="A2316" s="103"/>
      <c r="B2316" s="73"/>
      <c r="C2316" s="74"/>
      <c r="D2316" s="75"/>
      <c r="E2316" s="52" t="str">
        <f aca="false">IF(D2316&lt;&gt;"",IFERROR(VLOOKUP(D2316,PROVEEDORES!$A:$B,2,0),"!COD NO ENCONTRADO"),"")</f>
        <v/>
      </c>
      <c r="F2316" s="76" t="str">
        <f aca="false">IF(D2316&lt;&gt;"",IFERROR(VLOOKUP(D2316,PROVEEDORES!$A:$C,3,0),""),"")</f>
        <v/>
      </c>
      <c r="G2316" s="75"/>
      <c r="H2316" s="52" t="str">
        <f aca="false">IF(G2316&lt;&gt;"",IFERROR(VLOOKUP(G2316,PRODUCTOS!$A:$B,2,0),"!COD NO ENCONTRADO"),"")</f>
        <v/>
      </c>
      <c r="I2316" s="77"/>
      <c r="J2316" s="78"/>
      <c r="K2316" s="79"/>
      <c r="L2316" s="80" t="str">
        <f aca="false">IF(AND(J2316&lt;&gt;"",K2316&lt;&gt;""),J2316*K2316,"")</f>
        <v/>
      </c>
      <c r="M2316" s="81" t="str">
        <f aca="false">IF(L2316&lt;&gt;"",L2316*1.1,"")</f>
        <v/>
      </c>
      <c r="N2316" s="53" t="n">
        <f aca="false">IF(F2316="S",L2316*0.02,0)</f>
        <v>0</v>
      </c>
      <c r="O2316" s="82" t="str">
        <f aca="false">IF(L2316&lt;&gt;"",L2316+N2316,"")</f>
        <v/>
      </c>
      <c r="P2316" s="53" t="str">
        <f aca="false">IF(O2316&lt;&gt;"",O2316*0.1,"")</f>
        <v/>
      </c>
      <c r="Q2316" s="83" t="str">
        <f aca="false">IF(O2316&lt;&gt;"",O2316+P2316,"")</f>
        <v/>
      </c>
      <c r="R2316" s="84"/>
    </row>
    <row r="2317" customFormat="false" ht="15" hidden="false" customHeight="true" outlineLevel="0" collapsed="false">
      <c r="A2317" s="103"/>
      <c r="B2317" s="85"/>
      <c r="C2317" s="86"/>
      <c r="D2317" s="87"/>
      <c r="E2317" s="46" t="str">
        <f aca="false">IF(D2317&lt;&gt;"",IFERROR(VLOOKUP(D2317,PROVEEDORES!$A:$B,2,0),"!COD NO ENCONTRADO"),"")</f>
        <v/>
      </c>
      <c r="F2317" s="88" t="str">
        <f aca="false">IF(D2317&lt;&gt;"",IFERROR(VLOOKUP(D2317,PROVEEDORES!$A:$C,3,0),""),"")</f>
        <v/>
      </c>
      <c r="G2317" s="87"/>
      <c r="H2317" s="46" t="str">
        <f aca="false">IF(G2317&lt;&gt;"",IFERROR(VLOOKUP(G2317,PRODUCTOS!$A:$B,2,0),"!COD NO ENCONTRADO"),"")</f>
        <v/>
      </c>
      <c r="I2317" s="89"/>
      <c r="J2317" s="90"/>
      <c r="K2317" s="91"/>
      <c r="L2317" s="80" t="str">
        <f aca="false">IF(AND(J2317&lt;&gt;"",K2317&lt;&gt;""),J2317*K2317,"")</f>
        <v/>
      </c>
      <c r="M2317" s="81" t="str">
        <f aca="false">IF(L2317&lt;&gt;"",L2317*1.1,"")</f>
        <v/>
      </c>
      <c r="N2317" s="47" t="n">
        <f aca="false">IF(F2317="S",L2317*0.02,0)</f>
        <v>0</v>
      </c>
      <c r="O2317" s="82" t="str">
        <f aca="false">IF(L2317&lt;&gt;"",L2317+N2317,"")</f>
        <v/>
      </c>
      <c r="P2317" s="47" t="str">
        <f aca="false">IF(O2317&lt;&gt;"",O2317*0.1,"")</f>
        <v/>
      </c>
      <c r="Q2317" s="83" t="str">
        <f aca="false">IF(O2317&lt;&gt;"",O2317+P2317,"")</f>
        <v/>
      </c>
      <c r="R2317" s="84"/>
    </row>
    <row r="2318" customFormat="false" ht="15" hidden="false" customHeight="true" outlineLevel="0" collapsed="false">
      <c r="A2318" s="103"/>
      <c r="B2318" s="73"/>
      <c r="C2318" s="74"/>
      <c r="D2318" s="75"/>
      <c r="E2318" s="52" t="str">
        <f aca="false">IF(D2318&lt;&gt;"",IFERROR(VLOOKUP(D2318,PROVEEDORES!$A:$B,2,0),"!COD NO ENCONTRADO"),"")</f>
        <v/>
      </c>
      <c r="F2318" s="76" t="str">
        <f aca="false">IF(D2318&lt;&gt;"",IFERROR(VLOOKUP(D2318,PROVEEDORES!$A:$C,3,0),""),"")</f>
        <v/>
      </c>
      <c r="G2318" s="75"/>
      <c r="H2318" s="52" t="str">
        <f aca="false">IF(G2318&lt;&gt;"",IFERROR(VLOOKUP(G2318,PRODUCTOS!$A:$B,2,0),"!COD NO ENCONTRADO"),"")</f>
        <v/>
      </c>
      <c r="I2318" s="77"/>
      <c r="J2318" s="78"/>
      <c r="K2318" s="79"/>
      <c r="L2318" s="80" t="str">
        <f aca="false">IF(AND(J2318&lt;&gt;"",K2318&lt;&gt;""),J2318*K2318,"")</f>
        <v/>
      </c>
      <c r="M2318" s="81" t="str">
        <f aca="false">IF(L2318&lt;&gt;"",L2318*1.1,"")</f>
        <v/>
      </c>
      <c r="N2318" s="53" t="n">
        <f aca="false">IF(F2318="S",L2318*0.02,0)</f>
        <v>0</v>
      </c>
      <c r="O2318" s="82" t="str">
        <f aca="false">IF(L2318&lt;&gt;"",L2318+N2318,"")</f>
        <v/>
      </c>
      <c r="P2318" s="53" t="str">
        <f aca="false">IF(O2318&lt;&gt;"",O2318*0.1,"")</f>
        <v/>
      </c>
      <c r="Q2318" s="83" t="str">
        <f aca="false">IF(O2318&lt;&gt;"",O2318+P2318,"")</f>
        <v/>
      </c>
      <c r="R2318" s="84"/>
    </row>
    <row r="2319" customFormat="false" ht="15" hidden="false" customHeight="true" outlineLevel="0" collapsed="false">
      <c r="A2319" s="103"/>
      <c r="B2319" s="85"/>
      <c r="C2319" s="86"/>
      <c r="D2319" s="87"/>
      <c r="E2319" s="46" t="str">
        <f aca="false">IF(D2319&lt;&gt;"",IFERROR(VLOOKUP(D2319,PROVEEDORES!$A:$B,2,0),"!COD NO ENCONTRADO"),"")</f>
        <v/>
      </c>
      <c r="F2319" s="88" t="str">
        <f aca="false">IF(D2319&lt;&gt;"",IFERROR(VLOOKUP(D2319,PROVEEDORES!$A:$C,3,0),""),"")</f>
        <v/>
      </c>
      <c r="G2319" s="87"/>
      <c r="H2319" s="46" t="str">
        <f aca="false">IF(G2319&lt;&gt;"",IFERROR(VLOOKUP(G2319,PRODUCTOS!$A:$B,2,0),"!COD NO ENCONTRADO"),"")</f>
        <v/>
      </c>
      <c r="I2319" s="89"/>
      <c r="J2319" s="90"/>
      <c r="K2319" s="91"/>
      <c r="L2319" s="80" t="str">
        <f aca="false">IF(AND(J2319&lt;&gt;"",K2319&lt;&gt;""),J2319*K2319,"")</f>
        <v/>
      </c>
      <c r="M2319" s="81" t="str">
        <f aca="false">IF(L2319&lt;&gt;"",L2319*1.1,"")</f>
        <v/>
      </c>
      <c r="N2319" s="47" t="n">
        <f aca="false">IF(F2319="S",L2319*0.02,0)</f>
        <v>0</v>
      </c>
      <c r="O2319" s="82" t="str">
        <f aca="false">IF(L2319&lt;&gt;"",L2319+N2319,"")</f>
        <v/>
      </c>
      <c r="P2319" s="47" t="str">
        <f aca="false">IF(O2319&lt;&gt;"",O2319*0.1,"")</f>
        <v/>
      </c>
      <c r="Q2319" s="83" t="str">
        <f aca="false">IF(O2319&lt;&gt;"",O2319+P2319,"")</f>
        <v/>
      </c>
      <c r="R2319" s="84"/>
    </row>
    <row r="2320" customFormat="false" ht="15" hidden="false" customHeight="true" outlineLevel="0" collapsed="false">
      <c r="A2320" s="103"/>
      <c r="B2320" s="73"/>
      <c r="C2320" s="74"/>
      <c r="D2320" s="75"/>
      <c r="E2320" s="52" t="str">
        <f aca="false">IF(D2320&lt;&gt;"",IFERROR(VLOOKUP(D2320,PROVEEDORES!$A:$B,2,0),"!COD NO ENCONTRADO"),"")</f>
        <v/>
      </c>
      <c r="F2320" s="76" t="str">
        <f aca="false">IF(D2320&lt;&gt;"",IFERROR(VLOOKUP(D2320,PROVEEDORES!$A:$C,3,0),""),"")</f>
        <v/>
      </c>
      <c r="G2320" s="75"/>
      <c r="H2320" s="52" t="str">
        <f aca="false">IF(G2320&lt;&gt;"",IFERROR(VLOOKUP(G2320,PRODUCTOS!$A:$B,2,0),"!COD NO ENCONTRADO"),"")</f>
        <v/>
      </c>
      <c r="I2320" s="77"/>
      <c r="J2320" s="78"/>
      <c r="K2320" s="79"/>
      <c r="L2320" s="80" t="str">
        <f aca="false">IF(AND(J2320&lt;&gt;"",K2320&lt;&gt;""),J2320*K2320,"")</f>
        <v/>
      </c>
      <c r="M2320" s="81" t="str">
        <f aca="false">IF(L2320&lt;&gt;"",L2320*1.1,"")</f>
        <v/>
      </c>
      <c r="N2320" s="53" t="n">
        <f aca="false">IF(F2320="S",L2320*0.02,0)</f>
        <v>0</v>
      </c>
      <c r="O2320" s="82" t="str">
        <f aca="false">IF(L2320&lt;&gt;"",L2320+N2320,"")</f>
        <v/>
      </c>
      <c r="P2320" s="53" t="str">
        <f aca="false">IF(O2320&lt;&gt;"",O2320*0.1,"")</f>
        <v/>
      </c>
      <c r="Q2320" s="83" t="str">
        <f aca="false">IF(O2320&lt;&gt;"",O2320+P2320,"")</f>
        <v/>
      </c>
      <c r="R2320" s="84"/>
    </row>
    <row r="2321" customFormat="false" ht="15" hidden="false" customHeight="true" outlineLevel="0" collapsed="false">
      <c r="A2321" s="103"/>
      <c r="B2321" s="85"/>
      <c r="C2321" s="86"/>
      <c r="D2321" s="87"/>
      <c r="E2321" s="46" t="str">
        <f aca="false">IF(D2321&lt;&gt;"",IFERROR(VLOOKUP(D2321,PROVEEDORES!$A:$B,2,0),"!COD NO ENCONTRADO"),"")</f>
        <v/>
      </c>
      <c r="F2321" s="88" t="str">
        <f aca="false">IF(D2321&lt;&gt;"",IFERROR(VLOOKUP(D2321,PROVEEDORES!$A:$C,3,0),""),"")</f>
        <v/>
      </c>
      <c r="G2321" s="87"/>
      <c r="H2321" s="46" t="str">
        <f aca="false">IF(G2321&lt;&gt;"",IFERROR(VLOOKUP(G2321,PRODUCTOS!$A:$B,2,0),"!COD NO ENCONTRADO"),"")</f>
        <v/>
      </c>
      <c r="I2321" s="89"/>
      <c r="J2321" s="90"/>
      <c r="K2321" s="91"/>
      <c r="L2321" s="80" t="str">
        <f aca="false">IF(AND(J2321&lt;&gt;"",K2321&lt;&gt;""),J2321*K2321,"")</f>
        <v/>
      </c>
      <c r="M2321" s="81" t="str">
        <f aca="false">IF(L2321&lt;&gt;"",L2321*1.1,"")</f>
        <v/>
      </c>
      <c r="N2321" s="47" t="n">
        <f aca="false">IF(F2321="S",L2321*0.02,0)</f>
        <v>0</v>
      </c>
      <c r="O2321" s="82" t="str">
        <f aca="false">IF(L2321&lt;&gt;"",L2321+N2321,"")</f>
        <v/>
      </c>
      <c r="P2321" s="47" t="str">
        <f aca="false">IF(O2321&lt;&gt;"",O2321*0.1,"")</f>
        <v/>
      </c>
      <c r="Q2321" s="83" t="str">
        <f aca="false">IF(O2321&lt;&gt;"",O2321+P2321,"")</f>
        <v/>
      </c>
      <c r="R2321" s="84"/>
    </row>
    <row r="2322" customFormat="false" ht="15" hidden="false" customHeight="true" outlineLevel="0" collapsed="false">
      <c r="A2322" s="103"/>
      <c r="B2322" s="73"/>
      <c r="C2322" s="74"/>
      <c r="D2322" s="75"/>
      <c r="E2322" s="52" t="str">
        <f aca="false">IF(D2322&lt;&gt;"",IFERROR(VLOOKUP(D2322,PROVEEDORES!$A:$B,2,0),"!COD NO ENCONTRADO"),"")</f>
        <v/>
      </c>
      <c r="F2322" s="76" t="str">
        <f aca="false">IF(D2322&lt;&gt;"",IFERROR(VLOOKUP(D2322,PROVEEDORES!$A:$C,3,0),""),"")</f>
        <v/>
      </c>
      <c r="G2322" s="75"/>
      <c r="H2322" s="52" t="str">
        <f aca="false">IF(G2322&lt;&gt;"",IFERROR(VLOOKUP(G2322,PRODUCTOS!$A:$B,2,0),"!COD NO ENCONTRADO"),"")</f>
        <v/>
      </c>
      <c r="I2322" s="77"/>
      <c r="J2322" s="78"/>
      <c r="K2322" s="79"/>
      <c r="L2322" s="80" t="str">
        <f aca="false">IF(AND(J2322&lt;&gt;"",K2322&lt;&gt;""),J2322*K2322,"")</f>
        <v/>
      </c>
      <c r="M2322" s="81" t="str">
        <f aca="false">IF(L2322&lt;&gt;"",L2322*1.1,"")</f>
        <v/>
      </c>
      <c r="N2322" s="53" t="n">
        <f aca="false">IF(F2322="S",L2322*0.02,0)</f>
        <v>0</v>
      </c>
      <c r="O2322" s="82" t="str">
        <f aca="false">IF(L2322&lt;&gt;"",L2322+N2322,"")</f>
        <v/>
      </c>
      <c r="P2322" s="53" t="str">
        <f aca="false">IF(O2322&lt;&gt;"",O2322*0.1,"")</f>
        <v/>
      </c>
      <c r="Q2322" s="83" t="str">
        <f aca="false">IF(O2322&lt;&gt;"",O2322+P2322,"")</f>
        <v/>
      </c>
      <c r="R2322" s="84"/>
    </row>
    <row r="2323" customFormat="false" ht="15" hidden="false" customHeight="true" outlineLevel="0" collapsed="false">
      <c r="A2323" s="103"/>
      <c r="B2323" s="85"/>
      <c r="C2323" s="86"/>
      <c r="D2323" s="87"/>
      <c r="E2323" s="46" t="str">
        <f aca="false">IF(D2323&lt;&gt;"",IFERROR(VLOOKUP(D2323,PROVEEDORES!$A:$B,2,0),"!COD NO ENCONTRADO"),"")</f>
        <v/>
      </c>
      <c r="F2323" s="88" t="str">
        <f aca="false">IF(D2323&lt;&gt;"",IFERROR(VLOOKUP(D2323,PROVEEDORES!$A:$C,3,0),""),"")</f>
        <v/>
      </c>
      <c r="G2323" s="87"/>
      <c r="H2323" s="46" t="str">
        <f aca="false">IF(G2323&lt;&gt;"",IFERROR(VLOOKUP(G2323,PRODUCTOS!$A:$B,2,0),"!COD NO ENCONTRADO"),"")</f>
        <v/>
      </c>
      <c r="I2323" s="89"/>
      <c r="J2323" s="90"/>
      <c r="K2323" s="91"/>
      <c r="L2323" s="80" t="str">
        <f aca="false">IF(AND(J2323&lt;&gt;"",K2323&lt;&gt;""),J2323*K2323,"")</f>
        <v/>
      </c>
      <c r="M2323" s="81" t="str">
        <f aca="false">IF(L2323&lt;&gt;"",L2323*1.1,"")</f>
        <v/>
      </c>
      <c r="N2323" s="47" t="n">
        <f aca="false">IF(F2323="S",L2323*0.02,0)</f>
        <v>0</v>
      </c>
      <c r="O2323" s="82" t="str">
        <f aca="false">IF(L2323&lt;&gt;"",L2323+N2323,"")</f>
        <v/>
      </c>
      <c r="P2323" s="47" t="str">
        <f aca="false">IF(O2323&lt;&gt;"",O2323*0.1,"")</f>
        <v/>
      </c>
      <c r="Q2323" s="83" t="str">
        <f aca="false">IF(O2323&lt;&gt;"",O2323+P2323,"")</f>
        <v/>
      </c>
      <c r="R2323" s="84"/>
    </row>
    <row r="2324" customFormat="false" ht="15" hidden="false" customHeight="true" outlineLevel="0" collapsed="false">
      <c r="A2324" s="103"/>
      <c r="B2324" s="73"/>
      <c r="C2324" s="74"/>
      <c r="D2324" s="75"/>
      <c r="E2324" s="52" t="str">
        <f aca="false">IF(D2324&lt;&gt;"",IFERROR(VLOOKUP(D2324,PROVEEDORES!$A:$B,2,0),"!COD NO ENCONTRADO"),"")</f>
        <v/>
      </c>
      <c r="F2324" s="76" t="str">
        <f aca="false">IF(D2324&lt;&gt;"",IFERROR(VLOOKUP(D2324,PROVEEDORES!$A:$C,3,0),""),"")</f>
        <v/>
      </c>
      <c r="G2324" s="75"/>
      <c r="H2324" s="52" t="str">
        <f aca="false">IF(G2324&lt;&gt;"",IFERROR(VLOOKUP(G2324,PRODUCTOS!$A:$B,2,0),"!COD NO ENCONTRADO"),"")</f>
        <v/>
      </c>
      <c r="I2324" s="77"/>
      <c r="J2324" s="78"/>
      <c r="K2324" s="79"/>
      <c r="L2324" s="80" t="str">
        <f aca="false">IF(AND(J2324&lt;&gt;"",K2324&lt;&gt;""),J2324*K2324,"")</f>
        <v/>
      </c>
      <c r="M2324" s="81" t="str">
        <f aca="false">IF(L2324&lt;&gt;"",L2324*1.1,"")</f>
        <v/>
      </c>
      <c r="N2324" s="53" t="n">
        <f aca="false">IF(F2324="S",L2324*0.02,0)</f>
        <v>0</v>
      </c>
      <c r="O2324" s="82" t="str">
        <f aca="false">IF(L2324&lt;&gt;"",L2324+N2324,"")</f>
        <v/>
      </c>
      <c r="P2324" s="53" t="str">
        <f aca="false">IF(O2324&lt;&gt;"",O2324*0.1,"")</f>
        <v/>
      </c>
      <c r="Q2324" s="83" t="str">
        <f aca="false">IF(O2324&lt;&gt;"",O2324+P2324,"")</f>
        <v/>
      </c>
      <c r="R2324" s="84"/>
    </row>
    <row r="2325" customFormat="false" ht="15" hidden="false" customHeight="true" outlineLevel="0" collapsed="false">
      <c r="A2325" s="103"/>
      <c r="B2325" s="85"/>
      <c r="C2325" s="86"/>
      <c r="D2325" s="87"/>
      <c r="E2325" s="46" t="str">
        <f aca="false">IF(D2325&lt;&gt;"",IFERROR(VLOOKUP(D2325,PROVEEDORES!$A:$B,2,0),"!COD NO ENCONTRADO"),"")</f>
        <v/>
      </c>
      <c r="F2325" s="88" t="str">
        <f aca="false">IF(D2325&lt;&gt;"",IFERROR(VLOOKUP(D2325,PROVEEDORES!$A:$C,3,0),""),"")</f>
        <v/>
      </c>
      <c r="G2325" s="87"/>
      <c r="H2325" s="46" t="str">
        <f aca="false">IF(G2325&lt;&gt;"",IFERROR(VLOOKUP(G2325,PRODUCTOS!$A:$B,2,0),"!COD NO ENCONTRADO"),"")</f>
        <v/>
      </c>
      <c r="I2325" s="89"/>
      <c r="J2325" s="90"/>
      <c r="K2325" s="91"/>
      <c r="L2325" s="80" t="str">
        <f aca="false">IF(AND(J2325&lt;&gt;"",K2325&lt;&gt;""),J2325*K2325,"")</f>
        <v/>
      </c>
      <c r="M2325" s="81" t="str">
        <f aca="false">IF(L2325&lt;&gt;"",L2325*1.1,"")</f>
        <v/>
      </c>
      <c r="N2325" s="47" t="n">
        <f aca="false">IF(F2325="S",L2325*0.02,0)</f>
        <v>0</v>
      </c>
      <c r="O2325" s="82" t="str">
        <f aca="false">IF(L2325&lt;&gt;"",L2325+N2325,"")</f>
        <v/>
      </c>
      <c r="P2325" s="47" t="str">
        <f aca="false">IF(O2325&lt;&gt;"",O2325*0.1,"")</f>
        <v/>
      </c>
      <c r="Q2325" s="83" t="str">
        <f aca="false">IF(O2325&lt;&gt;"",O2325+P2325,"")</f>
        <v/>
      </c>
      <c r="R2325" s="84"/>
    </row>
    <row r="2326" customFormat="false" ht="15" hidden="false" customHeight="true" outlineLevel="0" collapsed="false">
      <c r="A2326" s="103"/>
      <c r="B2326" s="73"/>
      <c r="C2326" s="74"/>
      <c r="D2326" s="75"/>
      <c r="E2326" s="52" t="str">
        <f aca="false">IF(D2326&lt;&gt;"",IFERROR(VLOOKUP(D2326,PROVEEDORES!$A:$B,2,0),"!COD NO ENCONTRADO"),"")</f>
        <v/>
      </c>
      <c r="F2326" s="76" t="str">
        <f aca="false">IF(D2326&lt;&gt;"",IFERROR(VLOOKUP(D2326,PROVEEDORES!$A:$C,3,0),""),"")</f>
        <v/>
      </c>
      <c r="G2326" s="75"/>
      <c r="H2326" s="52" t="str">
        <f aca="false">IF(G2326&lt;&gt;"",IFERROR(VLOOKUP(G2326,PRODUCTOS!$A:$B,2,0),"!COD NO ENCONTRADO"),"")</f>
        <v/>
      </c>
      <c r="I2326" s="77"/>
      <c r="J2326" s="78"/>
      <c r="K2326" s="79"/>
      <c r="L2326" s="80" t="str">
        <f aca="false">IF(AND(J2326&lt;&gt;"",K2326&lt;&gt;""),J2326*K2326,"")</f>
        <v/>
      </c>
      <c r="M2326" s="81" t="str">
        <f aca="false">IF(L2326&lt;&gt;"",L2326*1.1,"")</f>
        <v/>
      </c>
      <c r="N2326" s="53" t="n">
        <f aca="false">IF(F2326="S",L2326*0.02,0)</f>
        <v>0</v>
      </c>
      <c r="O2326" s="82" t="str">
        <f aca="false">IF(L2326&lt;&gt;"",L2326+N2326,"")</f>
        <v/>
      </c>
      <c r="P2326" s="53" t="str">
        <f aca="false">IF(O2326&lt;&gt;"",O2326*0.1,"")</f>
        <v/>
      </c>
      <c r="Q2326" s="83" t="str">
        <f aca="false">IF(O2326&lt;&gt;"",O2326+P2326,"")</f>
        <v/>
      </c>
      <c r="R2326" s="84"/>
    </row>
    <row r="2327" customFormat="false" ht="15" hidden="false" customHeight="true" outlineLevel="0" collapsed="false">
      <c r="A2327" s="103"/>
      <c r="B2327" s="85"/>
      <c r="C2327" s="86"/>
      <c r="D2327" s="87"/>
      <c r="E2327" s="46" t="str">
        <f aca="false">IF(D2327&lt;&gt;"",IFERROR(VLOOKUP(D2327,PROVEEDORES!$A:$B,2,0),"!COD NO ENCONTRADO"),"")</f>
        <v/>
      </c>
      <c r="F2327" s="88" t="str">
        <f aca="false">IF(D2327&lt;&gt;"",IFERROR(VLOOKUP(D2327,PROVEEDORES!$A:$C,3,0),""),"")</f>
        <v/>
      </c>
      <c r="G2327" s="87"/>
      <c r="H2327" s="46" t="str">
        <f aca="false">IF(G2327&lt;&gt;"",IFERROR(VLOOKUP(G2327,PRODUCTOS!$A:$B,2,0),"!COD NO ENCONTRADO"),"")</f>
        <v/>
      </c>
      <c r="I2327" s="89"/>
      <c r="J2327" s="90"/>
      <c r="K2327" s="91"/>
      <c r="L2327" s="80" t="str">
        <f aca="false">IF(AND(J2327&lt;&gt;"",K2327&lt;&gt;""),J2327*K2327,"")</f>
        <v/>
      </c>
      <c r="M2327" s="81" t="str">
        <f aca="false">IF(L2327&lt;&gt;"",L2327*1.1,"")</f>
        <v/>
      </c>
      <c r="N2327" s="47" t="n">
        <f aca="false">IF(F2327="S",L2327*0.02,0)</f>
        <v>0</v>
      </c>
      <c r="O2327" s="82" t="str">
        <f aca="false">IF(L2327&lt;&gt;"",L2327+N2327,"")</f>
        <v/>
      </c>
      <c r="P2327" s="47" t="str">
        <f aca="false">IF(O2327&lt;&gt;"",O2327*0.1,"")</f>
        <v/>
      </c>
      <c r="Q2327" s="83" t="str">
        <f aca="false">IF(O2327&lt;&gt;"",O2327+P2327,"")</f>
        <v/>
      </c>
      <c r="R2327" s="84"/>
    </row>
    <row r="2328" customFormat="false" ht="15" hidden="false" customHeight="true" outlineLevel="0" collapsed="false">
      <c r="A2328" s="103"/>
      <c r="B2328" s="73"/>
      <c r="C2328" s="74"/>
      <c r="D2328" s="75"/>
      <c r="E2328" s="52" t="str">
        <f aca="false">IF(D2328&lt;&gt;"",IFERROR(VLOOKUP(D2328,PROVEEDORES!$A:$B,2,0),"!COD NO ENCONTRADO"),"")</f>
        <v/>
      </c>
      <c r="F2328" s="76" t="str">
        <f aca="false">IF(D2328&lt;&gt;"",IFERROR(VLOOKUP(D2328,PROVEEDORES!$A:$C,3,0),""),"")</f>
        <v/>
      </c>
      <c r="G2328" s="75"/>
      <c r="H2328" s="52" t="str">
        <f aca="false">IF(G2328&lt;&gt;"",IFERROR(VLOOKUP(G2328,PRODUCTOS!$A:$B,2,0),"!COD NO ENCONTRADO"),"")</f>
        <v/>
      </c>
      <c r="I2328" s="77"/>
      <c r="J2328" s="78"/>
      <c r="K2328" s="79"/>
      <c r="L2328" s="80" t="str">
        <f aca="false">IF(AND(J2328&lt;&gt;"",K2328&lt;&gt;""),J2328*K2328,"")</f>
        <v/>
      </c>
      <c r="M2328" s="81" t="str">
        <f aca="false">IF(L2328&lt;&gt;"",L2328*1.1,"")</f>
        <v/>
      </c>
      <c r="N2328" s="53" t="n">
        <f aca="false">IF(F2328="S",L2328*0.02,0)</f>
        <v>0</v>
      </c>
      <c r="O2328" s="82" t="str">
        <f aca="false">IF(L2328&lt;&gt;"",L2328+N2328,"")</f>
        <v/>
      </c>
      <c r="P2328" s="53" t="str">
        <f aca="false">IF(O2328&lt;&gt;"",O2328*0.1,"")</f>
        <v/>
      </c>
      <c r="Q2328" s="83" t="str">
        <f aca="false">IF(O2328&lt;&gt;"",O2328+P2328,"")</f>
        <v/>
      </c>
      <c r="R2328" s="84"/>
    </row>
    <row r="2329" customFormat="false" ht="15" hidden="false" customHeight="true" outlineLevel="0" collapsed="false">
      <c r="A2329" s="103"/>
      <c r="B2329" s="85"/>
      <c r="C2329" s="86"/>
      <c r="D2329" s="87"/>
      <c r="E2329" s="46" t="str">
        <f aca="false">IF(D2329&lt;&gt;"",IFERROR(VLOOKUP(D2329,PROVEEDORES!$A:$B,2,0),"!COD NO ENCONTRADO"),"")</f>
        <v/>
      </c>
      <c r="F2329" s="88" t="str">
        <f aca="false">IF(D2329&lt;&gt;"",IFERROR(VLOOKUP(D2329,PROVEEDORES!$A:$C,3,0),""),"")</f>
        <v/>
      </c>
      <c r="G2329" s="87"/>
      <c r="H2329" s="46" t="str">
        <f aca="false">IF(G2329&lt;&gt;"",IFERROR(VLOOKUP(G2329,PRODUCTOS!$A:$B,2,0),"!COD NO ENCONTRADO"),"")</f>
        <v/>
      </c>
      <c r="I2329" s="89"/>
      <c r="J2329" s="90"/>
      <c r="K2329" s="91"/>
      <c r="L2329" s="80" t="str">
        <f aca="false">IF(AND(J2329&lt;&gt;"",K2329&lt;&gt;""),J2329*K2329,"")</f>
        <v/>
      </c>
      <c r="M2329" s="81" t="str">
        <f aca="false">IF(L2329&lt;&gt;"",L2329*1.1,"")</f>
        <v/>
      </c>
      <c r="N2329" s="47" t="n">
        <f aca="false">IF(F2329="S",L2329*0.02,0)</f>
        <v>0</v>
      </c>
      <c r="O2329" s="82" t="str">
        <f aca="false">IF(L2329&lt;&gt;"",L2329+N2329,"")</f>
        <v/>
      </c>
      <c r="P2329" s="47" t="str">
        <f aca="false">IF(O2329&lt;&gt;"",O2329*0.1,"")</f>
        <v/>
      </c>
      <c r="Q2329" s="83" t="str">
        <f aca="false">IF(O2329&lt;&gt;"",O2329+P2329,"")</f>
        <v/>
      </c>
      <c r="R2329" s="84"/>
    </row>
    <row r="2330" customFormat="false" ht="15" hidden="false" customHeight="true" outlineLevel="0" collapsed="false">
      <c r="A2330" s="103"/>
      <c r="B2330" s="73"/>
      <c r="C2330" s="74"/>
      <c r="D2330" s="75"/>
      <c r="E2330" s="52" t="str">
        <f aca="false">IF(D2330&lt;&gt;"",IFERROR(VLOOKUP(D2330,PROVEEDORES!$A:$B,2,0),"!COD NO ENCONTRADO"),"")</f>
        <v/>
      </c>
      <c r="F2330" s="76" t="str">
        <f aca="false">IF(D2330&lt;&gt;"",IFERROR(VLOOKUP(D2330,PROVEEDORES!$A:$C,3,0),""),"")</f>
        <v/>
      </c>
      <c r="G2330" s="75"/>
      <c r="H2330" s="52" t="str">
        <f aca="false">IF(G2330&lt;&gt;"",IFERROR(VLOOKUP(G2330,PRODUCTOS!$A:$B,2,0),"!COD NO ENCONTRADO"),"")</f>
        <v/>
      </c>
      <c r="I2330" s="77"/>
      <c r="J2330" s="78"/>
      <c r="K2330" s="79"/>
      <c r="L2330" s="80" t="str">
        <f aca="false">IF(AND(J2330&lt;&gt;"",K2330&lt;&gt;""),J2330*K2330,"")</f>
        <v/>
      </c>
      <c r="M2330" s="81" t="str">
        <f aca="false">IF(L2330&lt;&gt;"",L2330*1.1,"")</f>
        <v/>
      </c>
      <c r="N2330" s="53" t="n">
        <f aca="false">IF(F2330="S",L2330*0.02,0)</f>
        <v>0</v>
      </c>
      <c r="O2330" s="82" t="str">
        <f aca="false">IF(L2330&lt;&gt;"",L2330+N2330,"")</f>
        <v/>
      </c>
      <c r="P2330" s="53" t="str">
        <f aca="false">IF(O2330&lt;&gt;"",O2330*0.1,"")</f>
        <v/>
      </c>
      <c r="Q2330" s="83" t="str">
        <f aca="false">IF(O2330&lt;&gt;"",O2330+P2330,"")</f>
        <v/>
      </c>
      <c r="R2330" s="84"/>
    </row>
    <row r="2331" customFormat="false" ht="15" hidden="false" customHeight="true" outlineLevel="0" collapsed="false">
      <c r="A2331" s="103"/>
      <c r="B2331" s="85"/>
      <c r="C2331" s="86"/>
      <c r="D2331" s="87"/>
      <c r="E2331" s="46" t="str">
        <f aca="false">IF(D2331&lt;&gt;"",IFERROR(VLOOKUP(D2331,PROVEEDORES!$A:$B,2,0),"!COD NO ENCONTRADO"),"")</f>
        <v/>
      </c>
      <c r="F2331" s="88" t="str">
        <f aca="false">IF(D2331&lt;&gt;"",IFERROR(VLOOKUP(D2331,PROVEEDORES!$A:$C,3,0),""),"")</f>
        <v/>
      </c>
      <c r="G2331" s="87"/>
      <c r="H2331" s="46" t="str">
        <f aca="false">IF(G2331&lt;&gt;"",IFERROR(VLOOKUP(G2331,PRODUCTOS!$A:$B,2,0),"!COD NO ENCONTRADO"),"")</f>
        <v/>
      </c>
      <c r="I2331" s="89"/>
      <c r="J2331" s="90"/>
      <c r="K2331" s="91"/>
      <c r="L2331" s="80" t="str">
        <f aca="false">IF(AND(J2331&lt;&gt;"",K2331&lt;&gt;""),J2331*K2331,"")</f>
        <v/>
      </c>
      <c r="M2331" s="81" t="str">
        <f aca="false">IF(L2331&lt;&gt;"",L2331*1.1,"")</f>
        <v/>
      </c>
      <c r="N2331" s="47" t="n">
        <f aca="false">IF(F2331="S",L2331*0.02,0)</f>
        <v>0</v>
      </c>
      <c r="O2331" s="82" t="str">
        <f aca="false">IF(L2331&lt;&gt;"",L2331+N2331,"")</f>
        <v/>
      </c>
      <c r="P2331" s="47" t="str">
        <f aca="false">IF(O2331&lt;&gt;"",O2331*0.1,"")</f>
        <v/>
      </c>
      <c r="Q2331" s="83" t="str">
        <f aca="false">IF(O2331&lt;&gt;"",O2331+P2331,"")</f>
        <v/>
      </c>
      <c r="R2331" s="84"/>
    </row>
    <row r="2332" customFormat="false" ht="15" hidden="false" customHeight="true" outlineLevel="0" collapsed="false">
      <c r="A2332" s="103"/>
      <c r="B2332" s="73"/>
      <c r="C2332" s="74"/>
      <c r="D2332" s="75"/>
      <c r="E2332" s="52" t="str">
        <f aca="false">IF(D2332&lt;&gt;"",IFERROR(VLOOKUP(D2332,PROVEEDORES!$A:$B,2,0),"!COD NO ENCONTRADO"),"")</f>
        <v/>
      </c>
      <c r="F2332" s="76" t="str">
        <f aca="false">IF(D2332&lt;&gt;"",IFERROR(VLOOKUP(D2332,PROVEEDORES!$A:$C,3,0),""),"")</f>
        <v/>
      </c>
      <c r="G2332" s="75"/>
      <c r="H2332" s="52" t="str">
        <f aca="false">IF(G2332&lt;&gt;"",IFERROR(VLOOKUP(G2332,PRODUCTOS!$A:$B,2,0),"!COD NO ENCONTRADO"),"")</f>
        <v/>
      </c>
      <c r="I2332" s="77"/>
      <c r="J2332" s="78"/>
      <c r="K2332" s="79"/>
      <c r="L2332" s="80" t="str">
        <f aca="false">IF(AND(J2332&lt;&gt;"",K2332&lt;&gt;""),J2332*K2332,"")</f>
        <v/>
      </c>
      <c r="M2332" s="81" t="str">
        <f aca="false">IF(L2332&lt;&gt;"",L2332*1.1,"")</f>
        <v/>
      </c>
      <c r="N2332" s="53" t="n">
        <f aca="false">IF(F2332="S",L2332*0.02,0)</f>
        <v>0</v>
      </c>
      <c r="O2332" s="82" t="str">
        <f aca="false">IF(L2332&lt;&gt;"",L2332+N2332,"")</f>
        <v/>
      </c>
      <c r="P2332" s="53" t="str">
        <f aca="false">IF(O2332&lt;&gt;"",O2332*0.1,"")</f>
        <v/>
      </c>
      <c r="Q2332" s="83" t="str">
        <f aca="false">IF(O2332&lt;&gt;"",O2332+P2332,"")</f>
        <v/>
      </c>
      <c r="R2332" s="84"/>
    </row>
    <row r="2333" customFormat="false" ht="15" hidden="false" customHeight="true" outlineLevel="0" collapsed="false">
      <c r="A2333" s="103"/>
      <c r="B2333" s="85"/>
      <c r="C2333" s="86"/>
      <c r="D2333" s="87"/>
      <c r="E2333" s="46" t="str">
        <f aca="false">IF(D2333&lt;&gt;"",IFERROR(VLOOKUP(D2333,PROVEEDORES!$A:$B,2,0),"!COD NO ENCONTRADO"),"")</f>
        <v/>
      </c>
      <c r="F2333" s="88" t="str">
        <f aca="false">IF(D2333&lt;&gt;"",IFERROR(VLOOKUP(D2333,PROVEEDORES!$A:$C,3,0),""),"")</f>
        <v/>
      </c>
      <c r="G2333" s="87"/>
      <c r="H2333" s="46" t="str">
        <f aca="false">IF(G2333&lt;&gt;"",IFERROR(VLOOKUP(G2333,PRODUCTOS!$A:$B,2,0),"!COD NO ENCONTRADO"),"")</f>
        <v/>
      </c>
      <c r="I2333" s="89"/>
      <c r="J2333" s="90"/>
      <c r="K2333" s="91"/>
      <c r="L2333" s="80" t="str">
        <f aca="false">IF(AND(J2333&lt;&gt;"",K2333&lt;&gt;""),J2333*K2333,"")</f>
        <v/>
      </c>
      <c r="M2333" s="81" t="str">
        <f aca="false">IF(L2333&lt;&gt;"",L2333*1.1,"")</f>
        <v/>
      </c>
      <c r="N2333" s="47" t="n">
        <f aca="false">IF(F2333="S",L2333*0.02,0)</f>
        <v>0</v>
      </c>
      <c r="O2333" s="82" t="str">
        <f aca="false">IF(L2333&lt;&gt;"",L2333+N2333,"")</f>
        <v/>
      </c>
      <c r="P2333" s="47" t="str">
        <f aca="false">IF(O2333&lt;&gt;"",O2333*0.1,"")</f>
        <v/>
      </c>
      <c r="Q2333" s="83" t="str">
        <f aca="false">IF(O2333&lt;&gt;"",O2333+P2333,"")</f>
        <v/>
      </c>
      <c r="R2333" s="84"/>
    </row>
    <row r="2334" customFormat="false" ht="15" hidden="false" customHeight="true" outlineLevel="0" collapsed="false">
      <c r="A2334" s="103"/>
      <c r="B2334" s="73"/>
      <c r="C2334" s="74"/>
      <c r="D2334" s="75"/>
      <c r="E2334" s="52" t="str">
        <f aca="false">IF(D2334&lt;&gt;"",IFERROR(VLOOKUP(D2334,PROVEEDORES!$A:$B,2,0),"!COD NO ENCONTRADO"),"")</f>
        <v/>
      </c>
      <c r="F2334" s="76" t="str">
        <f aca="false">IF(D2334&lt;&gt;"",IFERROR(VLOOKUP(D2334,PROVEEDORES!$A:$C,3,0),""),"")</f>
        <v/>
      </c>
      <c r="G2334" s="75"/>
      <c r="H2334" s="52" t="str">
        <f aca="false">IF(G2334&lt;&gt;"",IFERROR(VLOOKUP(G2334,PRODUCTOS!$A:$B,2,0),"!COD NO ENCONTRADO"),"")</f>
        <v/>
      </c>
      <c r="I2334" s="77"/>
      <c r="J2334" s="78"/>
      <c r="K2334" s="79"/>
      <c r="L2334" s="80" t="str">
        <f aca="false">IF(AND(J2334&lt;&gt;"",K2334&lt;&gt;""),J2334*K2334,"")</f>
        <v/>
      </c>
      <c r="M2334" s="81" t="str">
        <f aca="false">IF(L2334&lt;&gt;"",L2334*1.1,"")</f>
        <v/>
      </c>
      <c r="N2334" s="53" t="n">
        <f aca="false">IF(F2334="S",L2334*0.02,0)</f>
        <v>0</v>
      </c>
      <c r="O2334" s="82" t="str">
        <f aca="false">IF(L2334&lt;&gt;"",L2334+N2334,"")</f>
        <v/>
      </c>
      <c r="P2334" s="53" t="str">
        <f aca="false">IF(O2334&lt;&gt;"",O2334*0.1,"")</f>
        <v/>
      </c>
      <c r="Q2334" s="83" t="str">
        <f aca="false">IF(O2334&lt;&gt;"",O2334+P2334,"")</f>
        <v/>
      </c>
      <c r="R2334" s="84"/>
    </row>
    <row r="2335" customFormat="false" ht="15" hidden="false" customHeight="true" outlineLevel="0" collapsed="false">
      <c r="A2335" s="103"/>
      <c r="B2335" s="85"/>
      <c r="C2335" s="86"/>
      <c r="D2335" s="87"/>
      <c r="E2335" s="46" t="str">
        <f aca="false">IF(D2335&lt;&gt;"",IFERROR(VLOOKUP(D2335,PROVEEDORES!$A:$B,2,0),"!COD NO ENCONTRADO"),"")</f>
        <v/>
      </c>
      <c r="F2335" s="88" t="str">
        <f aca="false">IF(D2335&lt;&gt;"",IFERROR(VLOOKUP(D2335,PROVEEDORES!$A:$C,3,0),""),"")</f>
        <v/>
      </c>
      <c r="G2335" s="87"/>
      <c r="H2335" s="46" t="str">
        <f aca="false">IF(G2335&lt;&gt;"",IFERROR(VLOOKUP(G2335,PRODUCTOS!$A:$B,2,0),"!COD NO ENCONTRADO"),"")</f>
        <v/>
      </c>
      <c r="I2335" s="89"/>
      <c r="J2335" s="90"/>
      <c r="K2335" s="91"/>
      <c r="L2335" s="80" t="str">
        <f aca="false">IF(AND(J2335&lt;&gt;"",K2335&lt;&gt;""),J2335*K2335,"")</f>
        <v/>
      </c>
      <c r="M2335" s="81" t="str">
        <f aca="false">IF(L2335&lt;&gt;"",L2335*1.1,"")</f>
        <v/>
      </c>
      <c r="N2335" s="47" t="n">
        <f aca="false">IF(F2335="S",L2335*0.02,0)</f>
        <v>0</v>
      </c>
      <c r="O2335" s="82" t="str">
        <f aca="false">IF(L2335&lt;&gt;"",L2335+N2335,"")</f>
        <v/>
      </c>
      <c r="P2335" s="47" t="str">
        <f aca="false">IF(O2335&lt;&gt;"",O2335*0.1,"")</f>
        <v/>
      </c>
      <c r="Q2335" s="83" t="str">
        <f aca="false">IF(O2335&lt;&gt;"",O2335+P2335,"")</f>
        <v/>
      </c>
      <c r="R2335" s="84"/>
    </row>
    <row r="2336" customFormat="false" ht="15" hidden="false" customHeight="true" outlineLevel="0" collapsed="false">
      <c r="A2336" s="103"/>
      <c r="B2336" s="73"/>
      <c r="C2336" s="74"/>
      <c r="D2336" s="75"/>
      <c r="E2336" s="52" t="str">
        <f aca="false">IF(D2336&lt;&gt;"",IFERROR(VLOOKUP(D2336,PROVEEDORES!$A:$B,2,0),"!COD NO ENCONTRADO"),"")</f>
        <v/>
      </c>
      <c r="F2336" s="76" t="str">
        <f aca="false">IF(D2336&lt;&gt;"",IFERROR(VLOOKUP(D2336,PROVEEDORES!$A:$C,3,0),""),"")</f>
        <v/>
      </c>
      <c r="G2336" s="75"/>
      <c r="H2336" s="52" t="str">
        <f aca="false">IF(G2336&lt;&gt;"",IFERROR(VLOOKUP(G2336,PRODUCTOS!$A:$B,2,0),"!COD NO ENCONTRADO"),"")</f>
        <v/>
      </c>
      <c r="I2336" s="77"/>
      <c r="J2336" s="78"/>
      <c r="K2336" s="79"/>
      <c r="L2336" s="80" t="str">
        <f aca="false">IF(AND(J2336&lt;&gt;"",K2336&lt;&gt;""),J2336*K2336,"")</f>
        <v/>
      </c>
      <c r="M2336" s="81" t="str">
        <f aca="false">IF(L2336&lt;&gt;"",L2336*1.1,"")</f>
        <v/>
      </c>
      <c r="N2336" s="53" t="n">
        <f aca="false">IF(F2336="S",L2336*0.02,0)</f>
        <v>0</v>
      </c>
      <c r="O2336" s="82" t="str">
        <f aca="false">IF(L2336&lt;&gt;"",L2336+N2336,"")</f>
        <v/>
      </c>
      <c r="P2336" s="53" t="str">
        <f aca="false">IF(O2336&lt;&gt;"",O2336*0.1,"")</f>
        <v/>
      </c>
      <c r="Q2336" s="83" t="str">
        <f aca="false">IF(O2336&lt;&gt;"",O2336+P2336,"")</f>
        <v/>
      </c>
      <c r="R2336" s="84"/>
    </row>
    <row r="2337" customFormat="false" ht="15" hidden="false" customHeight="true" outlineLevel="0" collapsed="false">
      <c r="A2337" s="103"/>
      <c r="B2337" s="85"/>
      <c r="C2337" s="86"/>
      <c r="D2337" s="87"/>
      <c r="E2337" s="46" t="str">
        <f aca="false">IF(D2337&lt;&gt;"",IFERROR(VLOOKUP(D2337,PROVEEDORES!$A:$B,2,0),"!COD NO ENCONTRADO"),"")</f>
        <v/>
      </c>
      <c r="F2337" s="88" t="str">
        <f aca="false">IF(D2337&lt;&gt;"",IFERROR(VLOOKUP(D2337,PROVEEDORES!$A:$C,3,0),""),"")</f>
        <v/>
      </c>
      <c r="G2337" s="87"/>
      <c r="H2337" s="46" t="str">
        <f aca="false">IF(G2337&lt;&gt;"",IFERROR(VLOOKUP(G2337,PRODUCTOS!$A:$B,2,0),"!COD NO ENCONTRADO"),"")</f>
        <v/>
      </c>
      <c r="I2337" s="89"/>
      <c r="J2337" s="90"/>
      <c r="K2337" s="91"/>
      <c r="L2337" s="80" t="str">
        <f aca="false">IF(AND(J2337&lt;&gt;"",K2337&lt;&gt;""),J2337*K2337,"")</f>
        <v/>
      </c>
      <c r="M2337" s="81" t="str">
        <f aca="false">IF(L2337&lt;&gt;"",L2337*1.1,"")</f>
        <v/>
      </c>
      <c r="N2337" s="47" t="n">
        <f aca="false">IF(F2337="S",L2337*0.02,0)</f>
        <v>0</v>
      </c>
      <c r="O2337" s="82" t="str">
        <f aca="false">IF(L2337&lt;&gt;"",L2337+N2337,"")</f>
        <v/>
      </c>
      <c r="P2337" s="47" t="str">
        <f aca="false">IF(O2337&lt;&gt;"",O2337*0.1,"")</f>
        <v/>
      </c>
      <c r="Q2337" s="83" t="str">
        <f aca="false">IF(O2337&lt;&gt;"",O2337+P2337,"")</f>
        <v/>
      </c>
      <c r="R2337" s="84"/>
    </row>
    <row r="2338" customFormat="false" ht="15" hidden="false" customHeight="true" outlineLevel="0" collapsed="false">
      <c r="A2338" s="103"/>
      <c r="B2338" s="73"/>
      <c r="C2338" s="74"/>
      <c r="D2338" s="75"/>
      <c r="E2338" s="52" t="str">
        <f aca="false">IF(D2338&lt;&gt;"",IFERROR(VLOOKUP(D2338,PROVEEDORES!$A:$B,2,0),"!COD NO ENCONTRADO"),"")</f>
        <v/>
      </c>
      <c r="F2338" s="76" t="str">
        <f aca="false">IF(D2338&lt;&gt;"",IFERROR(VLOOKUP(D2338,PROVEEDORES!$A:$C,3,0),""),"")</f>
        <v/>
      </c>
      <c r="G2338" s="75"/>
      <c r="H2338" s="52" t="str">
        <f aca="false">IF(G2338&lt;&gt;"",IFERROR(VLOOKUP(G2338,PRODUCTOS!$A:$B,2,0),"!COD NO ENCONTRADO"),"")</f>
        <v/>
      </c>
      <c r="I2338" s="77"/>
      <c r="J2338" s="78"/>
      <c r="K2338" s="79"/>
      <c r="L2338" s="80" t="str">
        <f aca="false">IF(AND(J2338&lt;&gt;"",K2338&lt;&gt;""),J2338*K2338,"")</f>
        <v/>
      </c>
      <c r="M2338" s="81" t="str">
        <f aca="false">IF(L2338&lt;&gt;"",L2338*1.1,"")</f>
        <v/>
      </c>
      <c r="N2338" s="53" t="n">
        <f aca="false">IF(F2338="S",L2338*0.02,0)</f>
        <v>0</v>
      </c>
      <c r="O2338" s="82" t="str">
        <f aca="false">IF(L2338&lt;&gt;"",L2338+N2338,"")</f>
        <v/>
      </c>
      <c r="P2338" s="53" t="str">
        <f aca="false">IF(O2338&lt;&gt;"",O2338*0.1,"")</f>
        <v/>
      </c>
      <c r="Q2338" s="83" t="str">
        <f aca="false">IF(O2338&lt;&gt;"",O2338+P2338,"")</f>
        <v/>
      </c>
      <c r="R2338" s="84"/>
    </row>
    <row r="2339" customFormat="false" ht="15" hidden="false" customHeight="true" outlineLevel="0" collapsed="false">
      <c r="A2339" s="103"/>
      <c r="B2339" s="85"/>
      <c r="C2339" s="86"/>
      <c r="D2339" s="87"/>
      <c r="E2339" s="46" t="str">
        <f aca="false">IF(D2339&lt;&gt;"",IFERROR(VLOOKUP(D2339,PROVEEDORES!$A:$B,2,0),"!COD NO ENCONTRADO"),"")</f>
        <v/>
      </c>
      <c r="F2339" s="88" t="str">
        <f aca="false">IF(D2339&lt;&gt;"",IFERROR(VLOOKUP(D2339,PROVEEDORES!$A:$C,3,0),""),"")</f>
        <v/>
      </c>
      <c r="G2339" s="87"/>
      <c r="H2339" s="46" t="str">
        <f aca="false">IF(G2339&lt;&gt;"",IFERROR(VLOOKUP(G2339,PRODUCTOS!$A:$B,2,0),"!COD NO ENCONTRADO"),"")</f>
        <v/>
      </c>
      <c r="I2339" s="89"/>
      <c r="J2339" s="90"/>
      <c r="K2339" s="91"/>
      <c r="L2339" s="80" t="str">
        <f aca="false">IF(AND(J2339&lt;&gt;"",K2339&lt;&gt;""),J2339*K2339,"")</f>
        <v/>
      </c>
      <c r="M2339" s="81" t="str">
        <f aca="false">IF(L2339&lt;&gt;"",L2339*1.1,"")</f>
        <v/>
      </c>
      <c r="N2339" s="47" t="n">
        <f aca="false">IF(F2339="S",L2339*0.02,0)</f>
        <v>0</v>
      </c>
      <c r="O2339" s="82" t="str">
        <f aca="false">IF(L2339&lt;&gt;"",L2339+N2339,"")</f>
        <v/>
      </c>
      <c r="P2339" s="47" t="str">
        <f aca="false">IF(O2339&lt;&gt;"",O2339*0.1,"")</f>
        <v/>
      </c>
      <c r="Q2339" s="83" t="str">
        <f aca="false">IF(O2339&lt;&gt;"",O2339+P2339,"")</f>
        <v/>
      </c>
      <c r="R2339" s="84"/>
    </row>
    <row r="2340" customFormat="false" ht="15" hidden="false" customHeight="true" outlineLevel="0" collapsed="false">
      <c r="A2340" s="103"/>
      <c r="B2340" s="73"/>
      <c r="C2340" s="74"/>
      <c r="D2340" s="75"/>
      <c r="E2340" s="52" t="str">
        <f aca="false">IF(D2340&lt;&gt;"",IFERROR(VLOOKUP(D2340,PROVEEDORES!$A:$B,2,0),"!COD NO ENCONTRADO"),"")</f>
        <v/>
      </c>
      <c r="F2340" s="76" t="str">
        <f aca="false">IF(D2340&lt;&gt;"",IFERROR(VLOOKUP(D2340,PROVEEDORES!$A:$C,3,0),""),"")</f>
        <v/>
      </c>
      <c r="G2340" s="75"/>
      <c r="H2340" s="52" t="str">
        <f aca="false">IF(G2340&lt;&gt;"",IFERROR(VLOOKUP(G2340,PRODUCTOS!$A:$B,2,0),"!COD NO ENCONTRADO"),"")</f>
        <v/>
      </c>
      <c r="I2340" s="77"/>
      <c r="J2340" s="78"/>
      <c r="K2340" s="79"/>
      <c r="L2340" s="80" t="str">
        <f aca="false">IF(AND(J2340&lt;&gt;"",K2340&lt;&gt;""),J2340*K2340,"")</f>
        <v/>
      </c>
      <c r="M2340" s="81" t="str">
        <f aca="false">IF(L2340&lt;&gt;"",L2340*1.1,"")</f>
        <v/>
      </c>
      <c r="N2340" s="53" t="n">
        <f aca="false">IF(F2340="S",L2340*0.02,0)</f>
        <v>0</v>
      </c>
      <c r="O2340" s="82" t="str">
        <f aca="false">IF(L2340&lt;&gt;"",L2340+N2340,"")</f>
        <v/>
      </c>
      <c r="P2340" s="53" t="str">
        <f aca="false">IF(O2340&lt;&gt;"",O2340*0.1,"")</f>
        <v/>
      </c>
      <c r="Q2340" s="83" t="str">
        <f aca="false">IF(O2340&lt;&gt;"",O2340+P2340,"")</f>
        <v/>
      </c>
      <c r="R2340" s="84"/>
    </row>
    <row r="2341" customFormat="false" ht="15" hidden="false" customHeight="true" outlineLevel="0" collapsed="false">
      <c r="A2341" s="103"/>
      <c r="B2341" s="85"/>
      <c r="C2341" s="86"/>
      <c r="D2341" s="87"/>
      <c r="E2341" s="46" t="str">
        <f aca="false">IF(D2341&lt;&gt;"",IFERROR(VLOOKUP(D2341,PROVEEDORES!$A:$B,2,0),"!COD NO ENCONTRADO"),"")</f>
        <v/>
      </c>
      <c r="F2341" s="88" t="str">
        <f aca="false">IF(D2341&lt;&gt;"",IFERROR(VLOOKUP(D2341,PROVEEDORES!$A:$C,3,0),""),"")</f>
        <v/>
      </c>
      <c r="G2341" s="87"/>
      <c r="H2341" s="46" t="str">
        <f aca="false">IF(G2341&lt;&gt;"",IFERROR(VLOOKUP(G2341,PRODUCTOS!$A:$B,2,0),"!COD NO ENCONTRADO"),"")</f>
        <v/>
      </c>
      <c r="I2341" s="89"/>
      <c r="J2341" s="90"/>
      <c r="K2341" s="91"/>
      <c r="L2341" s="80" t="str">
        <f aca="false">IF(AND(J2341&lt;&gt;"",K2341&lt;&gt;""),J2341*K2341,"")</f>
        <v/>
      </c>
      <c r="M2341" s="81" t="str">
        <f aca="false">IF(L2341&lt;&gt;"",L2341*1.1,"")</f>
        <v/>
      </c>
      <c r="N2341" s="47" t="n">
        <f aca="false">IF(F2341="S",L2341*0.02,0)</f>
        <v>0</v>
      </c>
      <c r="O2341" s="82" t="str">
        <f aca="false">IF(L2341&lt;&gt;"",L2341+N2341,"")</f>
        <v/>
      </c>
      <c r="P2341" s="47" t="str">
        <f aca="false">IF(O2341&lt;&gt;"",O2341*0.1,"")</f>
        <v/>
      </c>
      <c r="Q2341" s="83" t="str">
        <f aca="false">IF(O2341&lt;&gt;"",O2341+P2341,"")</f>
        <v/>
      </c>
      <c r="R2341" s="84"/>
    </row>
    <row r="2342" customFormat="false" ht="15" hidden="false" customHeight="true" outlineLevel="0" collapsed="false">
      <c r="A2342" s="103"/>
      <c r="B2342" s="73"/>
      <c r="C2342" s="74"/>
      <c r="D2342" s="75"/>
      <c r="E2342" s="52" t="str">
        <f aca="false">IF(D2342&lt;&gt;"",IFERROR(VLOOKUP(D2342,PROVEEDORES!$A:$B,2,0),"!COD NO ENCONTRADO"),"")</f>
        <v/>
      </c>
      <c r="F2342" s="76" t="str">
        <f aca="false">IF(D2342&lt;&gt;"",IFERROR(VLOOKUP(D2342,PROVEEDORES!$A:$C,3,0),""),"")</f>
        <v/>
      </c>
      <c r="G2342" s="75"/>
      <c r="H2342" s="52" t="str">
        <f aca="false">IF(G2342&lt;&gt;"",IFERROR(VLOOKUP(G2342,PRODUCTOS!$A:$B,2,0),"!COD NO ENCONTRADO"),"")</f>
        <v/>
      </c>
      <c r="I2342" s="77"/>
      <c r="J2342" s="78"/>
      <c r="K2342" s="79"/>
      <c r="L2342" s="80" t="str">
        <f aca="false">IF(AND(J2342&lt;&gt;"",K2342&lt;&gt;""),J2342*K2342,"")</f>
        <v/>
      </c>
      <c r="M2342" s="81" t="str">
        <f aca="false">IF(L2342&lt;&gt;"",L2342*1.1,"")</f>
        <v/>
      </c>
      <c r="N2342" s="53" t="n">
        <f aca="false">IF(F2342="S",L2342*0.02,0)</f>
        <v>0</v>
      </c>
      <c r="O2342" s="82" t="str">
        <f aca="false">IF(L2342&lt;&gt;"",L2342+N2342,"")</f>
        <v/>
      </c>
      <c r="P2342" s="53" t="str">
        <f aca="false">IF(O2342&lt;&gt;"",O2342*0.1,"")</f>
        <v/>
      </c>
      <c r="Q2342" s="83" t="str">
        <f aca="false">IF(O2342&lt;&gt;"",O2342+P2342,"")</f>
        <v/>
      </c>
      <c r="R2342" s="84"/>
    </row>
    <row r="2343" customFormat="false" ht="15" hidden="false" customHeight="true" outlineLevel="0" collapsed="false">
      <c r="A2343" s="103"/>
      <c r="B2343" s="85"/>
      <c r="C2343" s="86"/>
      <c r="D2343" s="87"/>
      <c r="E2343" s="46" t="str">
        <f aca="false">IF(D2343&lt;&gt;"",IFERROR(VLOOKUP(D2343,PROVEEDORES!$A:$B,2,0),"!COD NO ENCONTRADO"),"")</f>
        <v/>
      </c>
      <c r="F2343" s="88" t="str">
        <f aca="false">IF(D2343&lt;&gt;"",IFERROR(VLOOKUP(D2343,PROVEEDORES!$A:$C,3,0),""),"")</f>
        <v/>
      </c>
      <c r="G2343" s="87"/>
      <c r="H2343" s="46" t="str">
        <f aca="false">IF(G2343&lt;&gt;"",IFERROR(VLOOKUP(G2343,PRODUCTOS!$A:$B,2,0),"!COD NO ENCONTRADO"),"")</f>
        <v/>
      </c>
      <c r="I2343" s="89"/>
      <c r="J2343" s="90"/>
      <c r="K2343" s="91"/>
      <c r="L2343" s="80" t="str">
        <f aca="false">IF(AND(J2343&lt;&gt;"",K2343&lt;&gt;""),J2343*K2343,"")</f>
        <v/>
      </c>
      <c r="M2343" s="81" t="str">
        <f aca="false">IF(L2343&lt;&gt;"",L2343*1.1,"")</f>
        <v/>
      </c>
      <c r="N2343" s="47" t="n">
        <f aca="false">IF(F2343="S",L2343*0.02,0)</f>
        <v>0</v>
      </c>
      <c r="O2343" s="82" t="str">
        <f aca="false">IF(L2343&lt;&gt;"",L2343+N2343,"")</f>
        <v/>
      </c>
      <c r="P2343" s="47" t="str">
        <f aca="false">IF(O2343&lt;&gt;"",O2343*0.1,"")</f>
        <v/>
      </c>
      <c r="Q2343" s="83" t="str">
        <f aca="false">IF(O2343&lt;&gt;"",O2343+P2343,"")</f>
        <v/>
      </c>
      <c r="R2343" s="84"/>
    </row>
    <row r="2344" customFormat="false" ht="15" hidden="false" customHeight="true" outlineLevel="0" collapsed="false">
      <c r="A2344" s="103"/>
      <c r="B2344" s="73"/>
      <c r="C2344" s="74"/>
      <c r="D2344" s="75"/>
      <c r="E2344" s="52" t="str">
        <f aca="false">IF(D2344&lt;&gt;"",IFERROR(VLOOKUP(D2344,PROVEEDORES!$A:$B,2,0),"!COD NO ENCONTRADO"),"")</f>
        <v/>
      </c>
      <c r="F2344" s="76" t="str">
        <f aca="false">IF(D2344&lt;&gt;"",IFERROR(VLOOKUP(D2344,PROVEEDORES!$A:$C,3,0),""),"")</f>
        <v/>
      </c>
      <c r="G2344" s="75"/>
      <c r="H2344" s="52" t="str">
        <f aca="false">IF(G2344&lt;&gt;"",IFERROR(VLOOKUP(G2344,PRODUCTOS!$A:$B,2,0),"!COD NO ENCONTRADO"),"")</f>
        <v/>
      </c>
      <c r="I2344" s="77"/>
      <c r="J2344" s="78"/>
      <c r="K2344" s="79"/>
      <c r="L2344" s="80" t="str">
        <f aca="false">IF(AND(J2344&lt;&gt;"",K2344&lt;&gt;""),J2344*K2344,"")</f>
        <v/>
      </c>
      <c r="M2344" s="81" t="str">
        <f aca="false">IF(L2344&lt;&gt;"",L2344*1.1,"")</f>
        <v/>
      </c>
      <c r="N2344" s="53" t="n">
        <f aca="false">IF(F2344="S",L2344*0.02,0)</f>
        <v>0</v>
      </c>
      <c r="O2344" s="82" t="str">
        <f aca="false">IF(L2344&lt;&gt;"",L2344+N2344,"")</f>
        <v/>
      </c>
      <c r="P2344" s="53" t="str">
        <f aca="false">IF(O2344&lt;&gt;"",O2344*0.1,"")</f>
        <v/>
      </c>
      <c r="Q2344" s="83" t="str">
        <f aca="false">IF(O2344&lt;&gt;"",O2344+P2344,"")</f>
        <v/>
      </c>
      <c r="R2344" s="84"/>
    </row>
    <row r="2345" customFormat="false" ht="15" hidden="false" customHeight="true" outlineLevel="0" collapsed="false">
      <c r="A2345" s="103"/>
      <c r="B2345" s="85"/>
      <c r="C2345" s="86"/>
      <c r="D2345" s="87"/>
      <c r="E2345" s="46" t="str">
        <f aca="false">IF(D2345&lt;&gt;"",IFERROR(VLOOKUP(D2345,PROVEEDORES!$A:$B,2,0),"!COD NO ENCONTRADO"),"")</f>
        <v/>
      </c>
      <c r="F2345" s="88" t="str">
        <f aca="false">IF(D2345&lt;&gt;"",IFERROR(VLOOKUP(D2345,PROVEEDORES!$A:$C,3,0),""),"")</f>
        <v/>
      </c>
      <c r="G2345" s="87"/>
      <c r="H2345" s="46" t="str">
        <f aca="false">IF(G2345&lt;&gt;"",IFERROR(VLOOKUP(G2345,PRODUCTOS!$A:$B,2,0),"!COD NO ENCONTRADO"),"")</f>
        <v/>
      </c>
      <c r="I2345" s="89"/>
      <c r="J2345" s="90"/>
      <c r="K2345" s="91"/>
      <c r="L2345" s="80" t="str">
        <f aca="false">IF(AND(J2345&lt;&gt;"",K2345&lt;&gt;""),J2345*K2345,"")</f>
        <v/>
      </c>
      <c r="M2345" s="81" t="str">
        <f aca="false">IF(L2345&lt;&gt;"",L2345*1.1,"")</f>
        <v/>
      </c>
      <c r="N2345" s="47" t="n">
        <f aca="false">IF(F2345="S",L2345*0.02,0)</f>
        <v>0</v>
      </c>
      <c r="O2345" s="82" t="str">
        <f aca="false">IF(L2345&lt;&gt;"",L2345+N2345,"")</f>
        <v/>
      </c>
      <c r="P2345" s="47" t="str">
        <f aca="false">IF(O2345&lt;&gt;"",O2345*0.1,"")</f>
        <v/>
      </c>
      <c r="Q2345" s="83" t="str">
        <f aca="false">IF(O2345&lt;&gt;"",O2345+P2345,"")</f>
        <v/>
      </c>
      <c r="R2345" s="84"/>
    </row>
    <row r="2346" customFormat="false" ht="15" hidden="false" customHeight="true" outlineLevel="0" collapsed="false">
      <c r="A2346" s="103"/>
      <c r="B2346" s="73"/>
      <c r="C2346" s="74"/>
      <c r="D2346" s="75"/>
      <c r="E2346" s="52" t="str">
        <f aca="false">IF(D2346&lt;&gt;"",IFERROR(VLOOKUP(D2346,PROVEEDORES!$A:$B,2,0),"!COD NO ENCONTRADO"),"")</f>
        <v/>
      </c>
      <c r="F2346" s="76" t="str">
        <f aca="false">IF(D2346&lt;&gt;"",IFERROR(VLOOKUP(D2346,PROVEEDORES!$A:$C,3,0),""),"")</f>
        <v/>
      </c>
      <c r="G2346" s="75"/>
      <c r="H2346" s="52" t="str">
        <f aca="false">IF(G2346&lt;&gt;"",IFERROR(VLOOKUP(G2346,PRODUCTOS!$A:$B,2,0),"!COD NO ENCONTRADO"),"")</f>
        <v/>
      </c>
      <c r="I2346" s="77"/>
      <c r="J2346" s="78"/>
      <c r="K2346" s="79"/>
      <c r="L2346" s="80" t="str">
        <f aca="false">IF(AND(J2346&lt;&gt;"",K2346&lt;&gt;""),J2346*K2346,"")</f>
        <v/>
      </c>
      <c r="M2346" s="81" t="str">
        <f aca="false">IF(L2346&lt;&gt;"",L2346*1.1,"")</f>
        <v/>
      </c>
      <c r="N2346" s="53" t="n">
        <f aca="false">IF(F2346="S",L2346*0.02,0)</f>
        <v>0</v>
      </c>
      <c r="O2346" s="82" t="str">
        <f aca="false">IF(L2346&lt;&gt;"",L2346+N2346,"")</f>
        <v/>
      </c>
      <c r="P2346" s="53" t="str">
        <f aca="false">IF(O2346&lt;&gt;"",O2346*0.1,"")</f>
        <v/>
      </c>
      <c r="Q2346" s="83" t="str">
        <f aca="false">IF(O2346&lt;&gt;"",O2346+P2346,"")</f>
        <v/>
      </c>
      <c r="R2346" s="84"/>
    </row>
    <row r="2347" customFormat="false" ht="15" hidden="false" customHeight="true" outlineLevel="0" collapsed="false">
      <c r="A2347" s="103"/>
      <c r="B2347" s="85"/>
      <c r="C2347" s="86"/>
      <c r="D2347" s="87"/>
      <c r="E2347" s="46" t="str">
        <f aca="false">IF(D2347&lt;&gt;"",IFERROR(VLOOKUP(D2347,PROVEEDORES!$A:$B,2,0),"!COD NO ENCONTRADO"),"")</f>
        <v/>
      </c>
      <c r="F2347" s="88" t="str">
        <f aca="false">IF(D2347&lt;&gt;"",IFERROR(VLOOKUP(D2347,PROVEEDORES!$A:$C,3,0),""),"")</f>
        <v/>
      </c>
      <c r="G2347" s="87"/>
      <c r="H2347" s="46" t="str">
        <f aca="false">IF(G2347&lt;&gt;"",IFERROR(VLOOKUP(G2347,PRODUCTOS!$A:$B,2,0),"!COD NO ENCONTRADO"),"")</f>
        <v/>
      </c>
      <c r="I2347" s="89"/>
      <c r="J2347" s="90"/>
      <c r="K2347" s="91"/>
      <c r="L2347" s="80" t="str">
        <f aca="false">IF(AND(J2347&lt;&gt;"",K2347&lt;&gt;""),J2347*K2347,"")</f>
        <v/>
      </c>
      <c r="M2347" s="81" t="str">
        <f aca="false">IF(L2347&lt;&gt;"",L2347*1.1,"")</f>
        <v/>
      </c>
      <c r="N2347" s="47" t="n">
        <f aca="false">IF(F2347="S",L2347*0.02,0)</f>
        <v>0</v>
      </c>
      <c r="O2347" s="82" t="str">
        <f aca="false">IF(L2347&lt;&gt;"",L2347+N2347,"")</f>
        <v/>
      </c>
      <c r="P2347" s="47" t="str">
        <f aca="false">IF(O2347&lt;&gt;"",O2347*0.1,"")</f>
        <v/>
      </c>
      <c r="Q2347" s="83" t="str">
        <f aca="false">IF(O2347&lt;&gt;"",O2347+P2347,"")</f>
        <v/>
      </c>
      <c r="R2347" s="84"/>
    </row>
    <row r="2348" customFormat="false" ht="15" hidden="false" customHeight="true" outlineLevel="0" collapsed="false">
      <c r="A2348" s="103"/>
      <c r="B2348" s="73"/>
      <c r="C2348" s="74"/>
      <c r="D2348" s="75"/>
      <c r="E2348" s="52" t="str">
        <f aca="false">IF(D2348&lt;&gt;"",IFERROR(VLOOKUP(D2348,PROVEEDORES!$A:$B,2,0),"!COD NO ENCONTRADO"),"")</f>
        <v/>
      </c>
      <c r="F2348" s="76" t="str">
        <f aca="false">IF(D2348&lt;&gt;"",IFERROR(VLOOKUP(D2348,PROVEEDORES!$A:$C,3,0),""),"")</f>
        <v/>
      </c>
      <c r="G2348" s="75"/>
      <c r="H2348" s="52" t="str">
        <f aca="false">IF(G2348&lt;&gt;"",IFERROR(VLOOKUP(G2348,PRODUCTOS!$A:$B,2,0),"!COD NO ENCONTRADO"),"")</f>
        <v/>
      </c>
      <c r="I2348" s="77"/>
      <c r="J2348" s="78"/>
      <c r="K2348" s="79"/>
      <c r="L2348" s="80" t="str">
        <f aca="false">IF(AND(J2348&lt;&gt;"",K2348&lt;&gt;""),J2348*K2348,"")</f>
        <v/>
      </c>
      <c r="M2348" s="81" t="str">
        <f aca="false">IF(L2348&lt;&gt;"",L2348*1.1,"")</f>
        <v/>
      </c>
      <c r="N2348" s="53" t="n">
        <f aca="false">IF(F2348="S",L2348*0.02,0)</f>
        <v>0</v>
      </c>
      <c r="O2348" s="82" t="str">
        <f aca="false">IF(L2348&lt;&gt;"",L2348+N2348,"")</f>
        <v/>
      </c>
      <c r="P2348" s="53" t="str">
        <f aca="false">IF(O2348&lt;&gt;"",O2348*0.1,"")</f>
        <v/>
      </c>
      <c r="Q2348" s="83" t="str">
        <f aca="false">IF(O2348&lt;&gt;"",O2348+P2348,"")</f>
        <v/>
      </c>
      <c r="R2348" s="84"/>
    </row>
    <row r="2349" customFormat="false" ht="15" hidden="false" customHeight="true" outlineLevel="0" collapsed="false">
      <c r="A2349" s="103"/>
      <c r="B2349" s="85"/>
      <c r="C2349" s="86"/>
      <c r="D2349" s="87"/>
      <c r="E2349" s="46" t="str">
        <f aca="false">IF(D2349&lt;&gt;"",IFERROR(VLOOKUP(D2349,PROVEEDORES!$A:$B,2,0),"!COD NO ENCONTRADO"),"")</f>
        <v/>
      </c>
      <c r="F2349" s="88" t="str">
        <f aca="false">IF(D2349&lt;&gt;"",IFERROR(VLOOKUP(D2349,PROVEEDORES!$A:$C,3,0),""),"")</f>
        <v/>
      </c>
      <c r="G2349" s="87"/>
      <c r="H2349" s="46" t="str">
        <f aca="false">IF(G2349&lt;&gt;"",IFERROR(VLOOKUP(G2349,PRODUCTOS!$A:$B,2,0),"!COD NO ENCONTRADO"),"")</f>
        <v/>
      </c>
      <c r="I2349" s="89"/>
      <c r="J2349" s="90"/>
      <c r="K2349" s="91"/>
      <c r="L2349" s="80" t="str">
        <f aca="false">IF(AND(J2349&lt;&gt;"",K2349&lt;&gt;""),J2349*K2349,"")</f>
        <v/>
      </c>
      <c r="M2349" s="81" t="str">
        <f aca="false">IF(L2349&lt;&gt;"",L2349*1.1,"")</f>
        <v/>
      </c>
      <c r="N2349" s="47" t="n">
        <f aca="false">IF(F2349="S",L2349*0.02,0)</f>
        <v>0</v>
      </c>
      <c r="O2349" s="82" t="str">
        <f aca="false">IF(L2349&lt;&gt;"",L2349+N2349,"")</f>
        <v/>
      </c>
      <c r="P2349" s="47" t="str">
        <f aca="false">IF(O2349&lt;&gt;"",O2349*0.1,"")</f>
        <v/>
      </c>
      <c r="Q2349" s="83" t="str">
        <f aca="false">IF(O2349&lt;&gt;"",O2349+P2349,"")</f>
        <v/>
      </c>
      <c r="R2349" s="84"/>
    </row>
    <row r="2350" customFormat="false" ht="15" hidden="false" customHeight="true" outlineLevel="0" collapsed="false">
      <c r="A2350" s="103"/>
      <c r="B2350" s="73"/>
      <c r="C2350" s="74"/>
      <c r="D2350" s="75"/>
      <c r="E2350" s="52" t="str">
        <f aca="false">IF(D2350&lt;&gt;"",IFERROR(VLOOKUP(D2350,PROVEEDORES!$A:$B,2,0),"!COD NO ENCONTRADO"),"")</f>
        <v/>
      </c>
      <c r="F2350" s="76" t="str">
        <f aca="false">IF(D2350&lt;&gt;"",IFERROR(VLOOKUP(D2350,PROVEEDORES!$A:$C,3,0),""),"")</f>
        <v/>
      </c>
      <c r="G2350" s="75"/>
      <c r="H2350" s="52" t="str">
        <f aca="false">IF(G2350&lt;&gt;"",IFERROR(VLOOKUP(G2350,PRODUCTOS!$A:$B,2,0),"!COD NO ENCONTRADO"),"")</f>
        <v/>
      </c>
      <c r="I2350" s="77"/>
      <c r="J2350" s="78"/>
      <c r="K2350" s="79"/>
      <c r="L2350" s="80" t="str">
        <f aca="false">IF(AND(J2350&lt;&gt;"",K2350&lt;&gt;""),J2350*K2350,"")</f>
        <v/>
      </c>
      <c r="M2350" s="81" t="str">
        <f aca="false">IF(L2350&lt;&gt;"",L2350*1.1,"")</f>
        <v/>
      </c>
      <c r="N2350" s="53" t="n">
        <f aca="false">IF(F2350="S",L2350*0.02,0)</f>
        <v>0</v>
      </c>
      <c r="O2350" s="82" t="str">
        <f aca="false">IF(L2350&lt;&gt;"",L2350+N2350,"")</f>
        <v/>
      </c>
      <c r="P2350" s="53" t="str">
        <f aca="false">IF(O2350&lt;&gt;"",O2350*0.1,"")</f>
        <v/>
      </c>
      <c r="Q2350" s="83" t="str">
        <f aca="false">IF(O2350&lt;&gt;"",O2350+P2350,"")</f>
        <v/>
      </c>
      <c r="R2350" s="84"/>
    </row>
    <row r="2351" customFormat="false" ht="15" hidden="false" customHeight="true" outlineLevel="0" collapsed="false">
      <c r="A2351" s="103"/>
      <c r="B2351" s="85"/>
      <c r="C2351" s="86"/>
      <c r="D2351" s="87"/>
      <c r="E2351" s="46" t="str">
        <f aca="false">IF(D2351&lt;&gt;"",IFERROR(VLOOKUP(D2351,PROVEEDORES!$A:$B,2,0),"!COD NO ENCONTRADO"),"")</f>
        <v/>
      </c>
      <c r="F2351" s="88" t="str">
        <f aca="false">IF(D2351&lt;&gt;"",IFERROR(VLOOKUP(D2351,PROVEEDORES!$A:$C,3,0),""),"")</f>
        <v/>
      </c>
      <c r="G2351" s="87"/>
      <c r="H2351" s="46" t="str">
        <f aca="false">IF(G2351&lt;&gt;"",IFERROR(VLOOKUP(G2351,PRODUCTOS!$A:$B,2,0),"!COD NO ENCONTRADO"),"")</f>
        <v/>
      </c>
      <c r="I2351" s="89"/>
      <c r="J2351" s="90"/>
      <c r="K2351" s="91"/>
      <c r="L2351" s="80" t="str">
        <f aca="false">IF(AND(J2351&lt;&gt;"",K2351&lt;&gt;""),J2351*K2351,"")</f>
        <v/>
      </c>
      <c r="M2351" s="81" t="str">
        <f aca="false">IF(L2351&lt;&gt;"",L2351*1.1,"")</f>
        <v/>
      </c>
      <c r="N2351" s="47" t="n">
        <f aca="false">IF(F2351="S",L2351*0.02,0)</f>
        <v>0</v>
      </c>
      <c r="O2351" s="82" t="str">
        <f aca="false">IF(L2351&lt;&gt;"",L2351+N2351,"")</f>
        <v/>
      </c>
      <c r="P2351" s="47" t="str">
        <f aca="false">IF(O2351&lt;&gt;"",O2351*0.1,"")</f>
        <v/>
      </c>
      <c r="Q2351" s="83" t="str">
        <f aca="false">IF(O2351&lt;&gt;"",O2351+P2351,"")</f>
        <v/>
      </c>
      <c r="R2351" s="84"/>
    </row>
    <row r="2352" customFormat="false" ht="15" hidden="false" customHeight="true" outlineLevel="0" collapsed="false">
      <c r="A2352" s="103"/>
      <c r="B2352" s="73"/>
      <c r="C2352" s="74"/>
      <c r="D2352" s="75"/>
      <c r="E2352" s="52" t="str">
        <f aca="false">IF(D2352&lt;&gt;"",IFERROR(VLOOKUP(D2352,PROVEEDORES!$A:$B,2,0),"!COD NO ENCONTRADO"),"")</f>
        <v/>
      </c>
      <c r="F2352" s="76" t="str">
        <f aca="false">IF(D2352&lt;&gt;"",IFERROR(VLOOKUP(D2352,PROVEEDORES!$A:$C,3,0),""),"")</f>
        <v/>
      </c>
      <c r="G2352" s="75"/>
      <c r="H2352" s="52" t="str">
        <f aca="false">IF(G2352&lt;&gt;"",IFERROR(VLOOKUP(G2352,PRODUCTOS!$A:$B,2,0),"!COD NO ENCONTRADO"),"")</f>
        <v/>
      </c>
      <c r="I2352" s="77"/>
      <c r="J2352" s="78"/>
      <c r="K2352" s="79"/>
      <c r="L2352" s="80" t="str">
        <f aca="false">IF(AND(J2352&lt;&gt;"",K2352&lt;&gt;""),J2352*K2352,"")</f>
        <v/>
      </c>
      <c r="M2352" s="81" t="str">
        <f aca="false">IF(L2352&lt;&gt;"",L2352*1.1,"")</f>
        <v/>
      </c>
      <c r="N2352" s="53" t="n">
        <f aca="false">IF(F2352="S",L2352*0.02,0)</f>
        <v>0</v>
      </c>
      <c r="O2352" s="82" t="str">
        <f aca="false">IF(L2352&lt;&gt;"",L2352+N2352,"")</f>
        <v/>
      </c>
      <c r="P2352" s="53" t="str">
        <f aca="false">IF(O2352&lt;&gt;"",O2352*0.1,"")</f>
        <v/>
      </c>
      <c r="Q2352" s="83" t="str">
        <f aca="false">IF(O2352&lt;&gt;"",O2352+P2352,"")</f>
        <v/>
      </c>
      <c r="R2352" s="84"/>
    </row>
    <row r="2353" customFormat="false" ht="15" hidden="false" customHeight="true" outlineLevel="0" collapsed="false">
      <c r="A2353" s="103"/>
      <c r="B2353" s="85"/>
      <c r="C2353" s="86"/>
      <c r="D2353" s="87"/>
      <c r="E2353" s="46" t="str">
        <f aca="false">IF(D2353&lt;&gt;"",IFERROR(VLOOKUP(D2353,PROVEEDORES!$A:$B,2,0),"!COD NO ENCONTRADO"),"")</f>
        <v/>
      </c>
      <c r="F2353" s="88" t="str">
        <f aca="false">IF(D2353&lt;&gt;"",IFERROR(VLOOKUP(D2353,PROVEEDORES!$A:$C,3,0),""),"")</f>
        <v/>
      </c>
      <c r="G2353" s="87"/>
      <c r="H2353" s="46" t="str">
        <f aca="false">IF(G2353&lt;&gt;"",IFERROR(VLOOKUP(G2353,PRODUCTOS!$A:$B,2,0),"!COD NO ENCONTRADO"),"")</f>
        <v/>
      </c>
      <c r="I2353" s="89"/>
      <c r="J2353" s="90"/>
      <c r="K2353" s="91"/>
      <c r="L2353" s="80" t="str">
        <f aca="false">IF(AND(J2353&lt;&gt;"",K2353&lt;&gt;""),J2353*K2353,"")</f>
        <v/>
      </c>
      <c r="M2353" s="81" t="str">
        <f aca="false">IF(L2353&lt;&gt;"",L2353*1.1,"")</f>
        <v/>
      </c>
      <c r="N2353" s="47" t="n">
        <f aca="false">IF(F2353="S",L2353*0.02,0)</f>
        <v>0</v>
      </c>
      <c r="O2353" s="82" t="str">
        <f aca="false">IF(L2353&lt;&gt;"",L2353+N2353,"")</f>
        <v/>
      </c>
      <c r="P2353" s="47" t="str">
        <f aca="false">IF(O2353&lt;&gt;"",O2353*0.1,"")</f>
        <v/>
      </c>
      <c r="Q2353" s="83" t="str">
        <f aca="false">IF(O2353&lt;&gt;"",O2353+P2353,"")</f>
        <v/>
      </c>
      <c r="R2353" s="84"/>
    </row>
    <row r="2354" customFormat="false" ht="15" hidden="false" customHeight="true" outlineLevel="0" collapsed="false">
      <c r="A2354" s="103"/>
      <c r="B2354" s="73"/>
      <c r="C2354" s="74"/>
      <c r="D2354" s="75"/>
      <c r="E2354" s="52" t="str">
        <f aca="false">IF(D2354&lt;&gt;"",IFERROR(VLOOKUP(D2354,PROVEEDORES!$A:$B,2,0),"!COD NO ENCONTRADO"),"")</f>
        <v/>
      </c>
      <c r="F2354" s="76" t="str">
        <f aca="false">IF(D2354&lt;&gt;"",IFERROR(VLOOKUP(D2354,PROVEEDORES!$A:$C,3,0),""),"")</f>
        <v/>
      </c>
      <c r="G2354" s="75"/>
      <c r="H2354" s="52" t="str">
        <f aca="false">IF(G2354&lt;&gt;"",IFERROR(VLOOKUP(G2354,PRODUCTOS!$A:$B,2,0),"!COD NO ENCONTRADO"),"")</f>
        <v/>
      </c>
      <c r="I2354" s="77"/>
      <c r="J2354" s="78"/>
      <c r="K2354" s="79"/>
      <c r="L2354" s="80" t="str">
        <f aca="false">IF(AND(J2354&lt;&gt;"",K2354&lt;&gt;""),J2354*K2354,"")</f>
        <v/>
      </c>
      <c r="M2354" s="81" t="str">
        <f aca="false">IF(L2354&lt;&gt;"",L2354*1.1,"")</f>
        <v/>
      </c>
      <c r="N2354" s="53" t="n">
        <f aca="false">IF(F2354="S",L2354*0.02,0)</f>
        <v>0</v>
      </c>
      <c r="O2354" s="82" t="str">
        <f aca="false">IF(L2354&lt;&gt;"",L2354+N2354,"")</f>
        <v/>
      </c>
      <c r="P2354" s="53" t="str">
        <f aca="false">IF(O2354&lt;&gt;"",O2354*0.1,"")</f>
        <v/>
      </c>
      <c r="Q2354" s="83" t="str">
        <f aca="false">IF(O2354&lt;&gt;"",O2354+P2354,"")</f>
        <v/>
      </c>
      <c r="R2354" s="84"/>
    </row>
    <row r="2355" customFormat="false" ht="15" hidden="false" customHeight="true" outlineLevel="0" collapsed="false">
      <c r="A2355" s="103"/>
      <c r="B2355" s="85"/>
      <c r="C2355" s="86"/>
      <c r="D2355" s="87"/>
      <c r="E2355" s="46" t="str">
        <f aca="false">IF(D2355&lt;&gt;"",IFERROR(VLOOKUP(D2355,PROVEEDORES!$A:$B,2,0),"!COD NO ENCONTRADO"),"")</f>
        <v/>
      </c>
      <c r="F2355" s="88" t="str">
        <f aca="false">IF(D2355&lt;&gt;"",IFERROR(VLOOKUP(D2355,PROVEEDORES!$A:$C,3,0),""),"")</f>
        <v/>
      </c>
      <c r="G2355" s="87"/>
      <c r="H2355" s="46" t="str">
        <f aca="false">IF(G2355&lt;&gt;"",IFERROR(VLOOKUP(G2355,PRODUCTOS!$A:$B,2,0),"!COD NO ENCONTRADO"),"")</f>
        <v/>
      </c>
      <c r="I2355" s="89"/>
      <c r="J2355" s="90"/>
      <c r="K2355" s="91"/>
      <c r="L2355" s="80" t="str">
        <f aca="false">IF(AND(J2355&lt;&gt;"",K2355&lt;&gt;""),J2355*K2355,"")</f>
        <v/>
      </c>
      <c r="M2355" s="81" t="str">
        <f aca="false">IF(L2355&lt;&gt;"",L2355*1.1,"")</f>
        <v/>
      </c>
      <c r="N2355" s="47" t="n">
        <f aca="false">IF(F2355="S",L2355*0.02,0)</f>
        <v>0</v>
      </c>
      <c r="O2355" s="82" t="str">
        <f aca="false">IF(L2355&lt;&gt;"",L2355+N2355,"")</f>
        <v/>
      </c>
      <c r="P2355" s="47" t="str">
        <f aca="false">IF(O2355&lt;&gt;"",O2355*0.1,"")</f>
        <v/>
      </c>
      <c r="Q2355" s="83" t="str">
        <f aca="false">IF(O2355&lt;&gt;"",O2355+P2355,"")</f>
        <v/>
      </c>
      <c r="R2355" s="84"/>
    </row>
    <row r="2356" customFormat="false" ht="15" hidden="false" customHeight="true" outlineLevel="0" collapsed="false">
      <c r="A2356" s="103"/>
      <c r="B2356" s="73"/>
      <c r="C2356" s="74"/>
      <c r="D2356" s="75"/>
      <c r="E2356" s="52" t="str">
        <f aca="false">IF(D2356&lt;&gt;"",IFERROR(VLOOKUP(D2356,PROVEEDORES!$A:$B,2,0),"!COD NO ENCONTRADO"),"")</f>
        <v/>
      </c>
      <c r="F2356" s="76" t="str">
        <f aca="false">IF(D2356&lt;&gt;"",IFERROR(VLOOKUP(D2356,PROVEEDORES!$A:$C,3,0),""),"")</f>
        <v/>
      </c>
      <c r="G2356" s="75"/>
      <c r="H2356" s="52" t="str">
        <f aca="false">IF(G2356&lt;&gt;"",IFERROR(VLOOKUP(G2356,PRODUCTOS!$A:$B,2,0),"!COD NO ENCONTRADO"),"")</f>
        <v/>
      </c>
      <c r="I2356" s="77"/>
      <c r="J2356" s="78"/>
      <c r="K2356" s="79"/>
      <c r="L2356" s="80" t="str">
        <f aca="false">IF(AND(J2356&lt;&gt;"",K2356&lt;&gt;""),J2356*K2356,"")</f>
        <v/>
      </c>
      <c r="M2356" s="81" t="str">
        <f aca="false">IF(L2356&lt;&gt;"",L2356*1.1,"")</f>
        <v/>
      </c>
      <c r="N2356" s="53" t="n">
        <f aca="false">IF(F2356="S",L2356*0.02,0)</f>
        <v>0</v>
      </c>
      <c r="O2356" s="82" t="str">
        <f aca="false">IF(L2356&lt;&gt;"",L2356+N2356,"")</f>
        <v/>
      </c>
      <c r="P2356" s="53" t="str">
        <f aca="false">IF(O2356&lt;&gt;"",O2356*0.1,"")</f>
        <v/>
      </c>
      <c r="Q2356" s="83" t="str">
        <f aca="false">IF(O2356&lt;&gt;"",O2356+P2356,"")</f>
        <v/>
      </c>
      <c r="R2356" s="84"/>
    </row>
    <row r="2357" customFormat="false" ht="15" hidden="false" customHeight="true" outlineLevel="0" collapsed="false">
      <c r="A2357" s="103"/>
      <c r="B2357" s="85"/>
      <c r="C2357" s="86"/>
      <c r="D2357" s="87"/>
      <c r="E2357" s="46" t="str">
        <f aca="false">IF(D2357&lt;&gt;"",IFERROR(VLOOKUP(D2357,PROVEEDORES!$A:$B,2,0),"!COD NO ENCONTRADO"),"")</f>
        <v/>
      </c>
      <c r="F2357" s="88" t="str">
        <f aca="false">IF(D2357&lt;&gt;"",IFERROR(VLOOKUP(D2357,PROVEEDORES!$A:$C,3,0),""),"")</f>
        <v/>
      </c>
      <c r="G2357" s="87"/>
      <c r="H2357" s="46" t="str">
        <f aca="false">IF(G2357&lt;&gt;"",IFERROR(VLOOKUP(G2357,PRODUCTOS!$A:$B,2,0),"!COD NO ENCONTRADO"),"")</f>
        <v/>
      </c>
      <c r="I2357" s="89"/>
      <c r="J2357" s="90"/>
      <c r="K2357" s="91"/>
      <c r="L2357" s="80" t="str">
        <f aca="false">IF(AND(J2357&lt;&gt;"",K2357&lt;&gt;""),J2357*K2357,"")</f>
        <v/>
      </c>
      <c r="M2357" s="81" t="str">
        <f aca="false">IF(L2357&lt;&gt;"",L2357*1.1,"")</f>
        <v/>
      </c>
      <c r="N2357" s="47" t="n">
        <f aca="false">IF(F2357="S",L2357*0.02,0)</f>
        <v>0</v>
      </c>
      <c r="O2357" s="82" t="str">
        <f aca="false">IF(L2357&lt;&gt;"",L2357+N2357,"")</f>
        <v/>
      </c>
      <c r="P2357" s="47" t="str">
        <f aca="false">IF(O2357&lt;&gt;"",O2357*0.1,"")</f>
        <v/>
      </c>
      <c r="Q2357" s="83" t="str">
        <f aca="false">IF(O2357&lt;&gt;"",O2357+P2357,"")</f>
        <v/>
      </c>
      <c r="R2357" s="84"/>
    </row>
    <row r="2358" customFormat="false" ht="15" hidden="false" customHeight="true" outlineLevel="0" collapsed="false">
      <c r="A2358" s="103"/>
      <c r="B2358" s="73"/>
      <c r="C2358" s="74"/>
      <c r="D2358" s="75"/>
      <c r="E2358" s="52" t="str">
        <f aca="false">IF(D2358&lt;&gt;"",IFERROR(VLOOKUP(D2358,PROVEEDORES!$A:$B,2,0),"!COD NO ENCONTRADO"),"")</f>
        <v/>
      </c>
      <c r="F2358" s="76" t="str">
        <f aca="false">IF(D2358&lt;&gt;"",IFERROR(VLOOKUP(D2358,PROVEEDORES!$A:$C,3,0),""),"")</f>
        <v/>
      </c>
      <c r="G2358" s="75"/>
      <c r="H2358" s="52" t="str">
        <f aca="false">IF(G2358&lt;&gt;"",IFERROR(VLOOKUP(G2358,PRODUCTOS!$A:$B,2,0),"!COD NO ENCONTRADO"),"")</f>
        <v/>
      </c>
      <c r="I2358" s="77"/>
      <c r="J2358" s="78"/>
      <c r="K2358" s="79"/>
      <c r="L2358" s="80" t="str">
        <f aca="false">IF(AND(J2358&lt;&gt;"",K2358&lt;&gt;""),J2358*K2358,"")</f>
        <v/>
      </c>
      <c r="M2358" s="81" t="str">
        <f aca="false">IF(L2358&lt;&gt;"",L2358*1.1,"")</f>
        <v/>
      </c>
      <c r="N2358" s="53" t="n">
        <f aca="false">IF(F2358="S",L2358*0.02,0)</f>
        <v>0</v>
      </c>
      <c r="O2358" s="82" t="str">
        <f aca="false">IF(L2358&lt;&gt;"",L2358+N2358,"")</f>
        <v/>
      </c>
      <c r="P2358" s="53" t="str">
        <f aca="false">IF(O2358&lt;&gt;"",O2358*0.1,"")</f>
        <v/>
      </c>
      <c r="Q2358" s="83" t="str">
        <f aca="false">IF(O2358&lt;&gt;"",O2358+P2358,"")</f>
        <v/>
      </c>
      <c r="R2358" s="84"/>
    </row>
    <row r="2359" customFormat="false" ht="15" hidden="false" customHeight="true" outlineLevel="0" collapsed="false">
      <c r="A2359" s="103"/>
      <c r="B2359" s="85"/>
      <c r="C2359" s="86"/>
      <c r="D2359" s="87"/>
      <c r="E2359" s="46" t="str">
        <f aca="false">IF(D2359&lt;&gt;"",IFERROR(VLOOKUP(D2359,PROVEEDORES!$A:$B,2,0),"!COD NO ENCONTRADO"),"")</f>
        <v/>
      </c>
      <c r="F2359" s="88" t="str">
        <f aca="false">IF(D2359&lt;&gt;"",IFERROR(VLOOKUP(D2359,PROVEEDORES!$A:$C,3,0),""),"")</f>
        <v/>
      </c>
      <c r="G2359" s="87"/>
      <c r="H2359" s="46" t="str">
        <f aca="false">IF(G2359&lt;&gt;"",IFERROR(VLOOKUP(G2359,PRODUCTOS!$A:$B,2,0),"!COD NO ENCONTRADO"),"")</f>
        <v/>
      </c>
      <c r="I2359" s="89"/>
      <c r="J2359" s="90"/>
      <c r="K2359" s="91"/>
      <c r="L2359" s="80" t="str">
        <f aca="false">IF(AND(J2359&lt;&gt;"",K2359&lt;&gt;""),J2359*K2359,"")</f>
        <v/>
      </c>
      <c r="M2359" s="81" t="str">
        <f aca="false">IF(L2359&lt;&gt;"",L2359*1.1,"")</f>
        <v/>
      </c>
      <c r="N2359" s="47" t="n">
        <f aca="false">IF(F2359="S",L2359*0.02,0)</f>
        <v>0</v>
      </c>
      <c r="O2359" s="82" t="str">
        <f aca="false">IF(L2359&lt;&gt;"",L2359+N2359,"")</f>
        <v/>
      </c>
      <c r="P2359" s="47" t="str">
        <f aca="false">IF(O2359&lt;&gt;"",O2359*0.1,"")</f>
        <v/>
      </c>
      <c r="Q2359" s="83" t="str">
        <f aca="false">IF(O2359&lt;&gt;"",O2359+P2359,"")</f>
        <v/>
      </c>
      <c r="R2359" s="84"/>
    </row>
    <row r="2360" customFormat="false" ht="15" hidden="false" customHeight="true" outlineLevel="0" collapsed="false">
      <c r="A2360" s="103"/>
      <c r="B2360" s="73"/>
      <c r="C2360" s="74"/>
      <c r="D2360" s="75"/>
      <c r="E2360" s="52" t="str">
        <f aca="false">IF(D2360&lt;&gt;"",IFERROR(VLOOKUP(D2360,PROVEEDORES!$A:$B,2,0),"!COD NO ENCONTRADO"),"")</f>
        <v/>
      </c>
      <c r="F2360" s="76" t="str">
        <f aca="false">IF(D2360&lt;&gt;"",IFERROR(VLOOKUP(D2360,PROVEEDORES!$A:$C,3,0),""),"")</f>
        <v/>
      </c>
      <c r="G2360" s="75"/>
      <c r="H2360" s="52" t="str">
        <f aca="false">IF(G2360&lt;&gt;"",IFERROR(VLOOKUP(G2360,PRODUCTOS!$A:$B,2,0),"!COD NO ENCONTRADO"),"")</f>
        <v/>
      </c>
      <c r="I2360" s="77"/>
      <c r="J2360" s="78"/>
      <c r="K2360" s="79"/>
      <c r="L2360" s="80" t="str">
        <f aca="false">IF(AND(J2360&lt;&gt;"",K2360&lt;&gt;""),J2360*K2360,"")</f>
        <v/>
      </c>
      <c r="M2360" s="81" t="str">
        <f aca="false">IF(L2360&lt;&gt;"",L2360*1.1,"")</f>
        <v/>
      </c>
      <c r="N2360" s="53" t="n">
        <f aca="false">IF(F2360="S",L2360*0.02,0)</f>
        <v>0</v>
      </c>
      <c r="O2360" s="82" t="str">
        <f aca="false">IF(L2360&lt;&gt;"",L2360+N2360,"")</f>
        <v/>
      </c>
      <c r="P2360" s="53" t="str">
        <f aca="false">IF(O2360&lt;&gt;"",O2360*0.1,"")</f>
        <v/>
      </c>
      <c r="Q2360" s="83" t="str">
        <f aca="false">IF(O2360&lt;&gt;"",O2360+P2360,"")</f>
        <v/>
      </c>
      <c r="R2360" s="84"/>
    </row>
    <row r="2361" customFormat="false" ht="15" hidden="false" customHeight="true" outlineLevel="0" collapsed="false">
      <c r="A2361" s="103"/>
      <c r="B2361" s="85"/>
      <c r="C2361" s="86"/>
      <c r="D2361" s="87"/>
      <c r="E2361" s="46" t="str">
        <f aca="false">IF(D2361&lt;&gt;"",IFERROR(VLOOKUP(D2361,PROVEEDORES!$A:$B,2,0),"!COD NO ENCONTRADO"),"")</f>
        <v/>
      </c>
      <c r="F2361" s="88" t="str">
        <f aca="false">IF(D2361&lt;&gt;"",IFERROR(VLOOKUP(D2361,PROVEEDORES!$A:$C,3,0),""),"")</f>
        <v/>
      </c>
      <c r="G2361" s="87"/>
      <c r="H2361" s="46" t="str">
        <f aca="false">IF(G2361&lt;&gt;"",IFERROR(VLOOKUP(G2361,PRODUCTOS!$A:$B,2,0),"!COD NO ENCONTRADO"),"")</f>
        <v/>
      </c>
      <c r="I2361" s="89"/>
      <c r="J2361" s="90"/>
      <c r="K2361" s="91"/>
      <c r="L2361" s="80" t="str">
        <f aca="false">IF(AND(J2361&lt;&gt;"",K2361&lt;&gt;""),J2361*K2361,"")</f>
        <v/>
      </c>
      <c r="M2361" s="81" t="str">
        <f aca="false">IF(L2361&lt;&gt;"",L2361*1.1,"")</f>
        <v/>
      </c>
      <c r="N2361" s="47" t="n">
        <f aca="false">IF(F2361="S",L2361*0.02,0)</f>
        <v>0</v>
      </c>
      <c r="O2361" s="82" t="str">
        <f aca="false">IF(L2361&lt;&gt;"",L2361+N2361,"")</f>
        <v/>
      </c>
      <c r="P2361" s="47" t="str">
        <f aca="false">IF(O2361&lt;&gt;"",O2361*0.1,"")</f>
        <v/>
      </c>
      <c r="Q2361" s="83" t="str">
        <f aca="false">IF(O2361&lt;&gt;"",O2361+P2361,"")</f>
        <v/>
      </c>
      <c r="R2361" s="84"/>
    </row>
    <row r="2362" customFormat="false" ht="15" hidden="false" customHeight="true" outlineLevel="0" collapsed="false">
      <c r="A2362" s="103"/>
      <c r="B2362" s="73"/>
      <c r="C2362" s="74"/>
      <c r="D2362" s="75"/>
      <c r="E2362" s="52" t="str">
        <f aca="false">IF(D2362&lt;&gt;"",IFERROR(VLOOKUP(D2362,PROVEEDORES!$A:$B,2,0),"!COD NO ENCONTRADO"),"")</f>
        <v/>
      </c>
      <c r="F2362" s="76" t="str">
        <f aca="false">IF(D2362&lt;&gt;"",IFERROR(VLOOKUP(D2362,PROVEEDORES!$A:$C,3,0),""),"")</f>
        <v/>
      </c>
      <c r="G2362" s="75"/>
      <c r="H2362" s="52" t="str">
        <f aca="false">IF(G2362&lt;&gt;"",IFERROR(VLOOKUP(G2362,PRODUCTOS!$A:$B,2,0),"!COD NO ENCONTRADO"),"")</f>
        <v/>
      </c>
      <c r="I2362" s="77"/>
      <c r="J2362" s="78"/>
      <c r="K2362" s="79"/>
      <c r="L2362" s="80" t="str">
        <f aca="false">IF(AND(J2362&lt;&gt;"",K2362&lt;&gt;""),J2362*K2362,"")</f>
        <v/>
      </c>
      <c r="M2362" s="81" t="str">
        <f aca="false">IF(L2362&lt;&gt;"",L2362*1.1,"")</f>
        <v/>
      </c>
      <c r="N2362" s="53" t="n">
        <f aca="false">IF(F2362="S",L2362*0.02,0)</f>
        <v>0</v>
      </c>
      <c r="O2362" s="82" t="str">
        <f aca="false">IF(L2362&lt;&gt;"",L2362+N2362,"")</f>
        <v/>
      </c>
      <c r="P2362" s="53" t="str">
        <f aca="false">IF(O2362&lt;&gt;"",O2362*0.1,"")</f>
        <v/>
      </c>
      <c r="Q2362" s="83" t="str">
        <f aca="false">IF(O2362&lt;&gt;"",O2362+P2362,"")</f>
        <v/>
      </c>
      <c r="R2362" s="84"/>
    </row>
    <row r="2363" customFormat="false" ht="15" hidden="false" customHeight="true" outlineLevel="0" collapsed="false">
      <c r="A2363" s="103"/>
      <c r="B2363" s="85"/>
      <c r="C2363" s="86"/>
      <c r="D2363" s="87"/>
      <c r="E2363" s="46" t="str">
        <f aca="false">IF(D2363&lt;&gt;"",IFERROR(VLOOKUP(D2363,PROVEEDORES!$A:$B,2,0),"!COD NO ENCONTRADO"),"")</f>
        <v/>
      </c>
      <c r="F2363" s="88" t="str">
        <f aca="false">IF(D2363&lt;&gt;"",IFERROR(VLOOKUP(D2363,PROVEEDORES!$A:$C,3,0),""),"")</f>
        <v/>
      </c>
      <c r="G2363" s="87"/>
      <c r="H2363" s="46" t="str">
        <f aca="false">IF(G2363&lt;&gt;"",IFERROR(VLOOKUP(G2363,PRODUCTOS!$A:$B,2,0),"!COD NO ENCONTRADO"),"")</f>
        <v/>
      </c>
      <c r="I2363" s="89"/>
      <c r="J2363" s="90"/>
      <c r="K2363" s="91"/>
      <c r="L2363" s="80" t="str">
        <f aca="false">IF(AND(J2363&lt;&gt;"",K2363&lt;&gt;""),J2363*K2363,"")</f>
        <v/>
      </c>
      <c r="M2363" s="81" t="str">
        <f aca="false">IF(L2363&lt;&gt;"",L2363*1.1,"")</f>
        <v/>
      </c>
      <c r="N2363" s="47" t="n">
        <f aca="false">IF(F2363="S",L2363*0.02,0)</f>
        <v>0</v>
      </c>
      <c r="O2363" s="82" t="str">
        <f aca="false">IF(L2363&lt;&gt;"",L2363+N2363,"")</f>
        <v/>
      </c>
      <c r="P2363" s="47" t="str">
        <f aca="false">IF(O2363&lt;&gt;"",O2363*0.1,"")</f>
        <v/>
      </c>
      <c r="Q2363" s="83" t="str">
        <f aca="false">IF(O2363&lt;&gt;"",O2363+P2363,"")</f>
        <v/>
      </c>
      <c r="R2363" s="84"/>
    </row>
    <row r="2364" customFormat="false" ht="15" hidden="false" customHeight="true" outlineLevel="0" collapsed="false">
      <c r="A2364" s="103"/>
      <c r="B2364" s="73"/>
      <c r="C2364" s="74"/>
      <c r="D2364" s="75"/>
      <c r="E2364" s="52" t="str">
        <f aca="false">IF(D2364&lt;&gt;"",IFERROR(VLOOKUP(D2364,PROVEEDORES!$A:$B,2,0),"!COD NO ENCONTRADO"),"")</f>
        <v/>
      </c>
      <c r="F2364" s="76" t="str">
        <f aca="false">IF(D2364&lt;&gt;"",IFERROR(VLOOKUP(D2364,PROVEEDORES!$A:$C,3,0),""),"")</f>
        <v/>
      </c>
      <c r="G2364" s="75"/>
      <c r="H2364" s="52" t="str">
        <f aca="false">IF(G2364&lt;&gt;"",IFERROR(VLOOKUP(G2364,PRODUCTOS!$A:$B,2,0),"!COD NO ENCONTRADO"),"")</f>
        <v/>
      </c>
      <c r="I2364" s="77"/>
      <c r="J2364" s="78"/>
      <c r="K2364" s="79"/>
      <c r="L2364" s="80" t="str">
        <f aca="false">IF(AND(J2364&lt;&gt;"",K2364&lt;&gt;""),J2364*K2364,"")</f>
        <v/>
      </c>
      <c r="M2364" s="81" t="str">
        <f aca="false">IF(L2364&lt;&gt;"",L2364*1.1,"")</f>
        <v/>
      </c>
      <c r="N2364" s="53" t="n">
        <f aca="false">IF(F2364="S",L2364*0.02,0)</f>
        <v>0</v>
      </c>
      <c r="O2364" s="82" t="str">
        <f aca="false">IF(L2364&lt;&gt;"",L2364+N2364,"")</f>
        <v/>
      </c>
      <c r="P2364" s="53" t="str">
        <f aca="false">IF(O2364&lt;&gt;"",O2364*0.1,"")</f>
        <v/>
      </c>
      <c r="Q2364" s="83" t="str">
        <f aca="false">IF(O2364&lt;&gt;"",O2364+P2364,"")</f>
        <v/>
      </c>
      <c r="R2364" s="84"/>
    </row>
    <row r="2365" customFormat="false" ht="15" hidden="false" customHeight="true" outlineLevel="0" collapsed="false">
      <c r="A2365" s="103"/>
      <c r="B2365" s="85"/>
      <c r="C2365" s="86"/>
      <c r="D2365" s="87"/>
      <c r="E2365" s="46" t="str">
        <f aca="false">IF(D2365&lt;&gt;"",IFERROR(VLOOKUP(D2365,PROVEEDORES!$A:$B,2,0),"!COD NO ENCONTRADO"),"")</f>
        <v/>
      </c>
      <c r="F2365" s="88" t="str">
        <f aca="false">IF(D2365&lt;&gt;"",IFERROR(VLOOKUP(D2365,PROVEEDORES!$A:$C,3,0),""),"")</f>
        <v/>
      </c>
      <c r="G2365" s="87"/>
      <c r="H2365" s="46" t="str">
        <f aca="false">IF(G2365&lt;&gt;"",IFERROR(VLOOKUP(G2365,PRODUCTOS!$A:$B,2,0),"!COD NO ENCONTRADO"),"")</f>
        <v/>
      </c>
      <c r="I2365" s="89"/>
      <c r="J2365" s="90"/>
      <c r="K2365" s="91"/>
      <c r="L2365" s="80" t="str">
        <f aca="false">IF(AND(J2365&lt;&gt;"",K2365&lt;&gt;""),J2365*K2365,"")</f>
        <v/>
      </c>
      <c r="M2365" s="81" t="str">
        <f aca="false">IF(L2365&lt;&gt;"",L2365*1.1,"")</f>
        <v/>
      </c>
      <c r="N2365" s="47" t="n">
        <f aca="false">IF(F2365="S",L2365*0.02,0)</f>
        <v>0</v>
      </c>
      <c r="O2365" s="82" t="str">
        <f aca="false">IF(L2365&lt;&gt;"",L2365+N2365,"")</f>
        <v/>
      </c>
      <c r="P2365" s="47" t="str">
        <f aca="false">IF(O2365&lt;&gt;"",O2365*0.1,"")</f>
        <v/>
      </c>
      <c r="Q2365" s="83" t="str">
        <f aca="false">IF(O2365&lt;&gt;"",O2365+P2365,"")</f>
        <v/>
      </c>
      <c r="R2365" s="84"/>
    </row>
    <row r="2366" customFormat="false" ht="15" hidden="false" customHeight="true" outlineLevel="0" collapsed="false">
      <c r="A2366" s="103"/>
      <c r="B2366" s="73"/>
      <c r="C2366" s="74"/>
      <c r="D2366" s="75"/>
      <c r="E2366" s="52" t="str">
        <f aca="false">IF(D2366&lt;&gt;"",IFERROR(VLOOKUP(D2366,PROVEEDORES!$A:$B,2,0),"!COD NO ENCONTRADO"),"")</f>
        <v/>
      </c>
      <c r="F2366" s="76" t="str">
        <f aca="false">IF(D2366&lt;&gt;"",IFERROR(VLOOKUP(D2366,PROVEEDORES!$A:$C,3,0),""),"")</f>
        <v/>
      </c>
      <c r="G2366" s="75"/>
      <c r="H2366" s="52" t="str">
        <f aca="false">IF(G2366&lt;&gt;"",IFERROR(VLOOKUP(G2366,PRODUCTOS!$A:$B,2,0),"!COD NO ENCONTRADO"),"")</f>
        <v/>
      </c>
      <c r="I2366" s="77"/>
      <c r="J2366" s="78"/>
      <c r="K2366" s="79"/>
      <c r="L2366" s="80" t="str">
        <f aca="false">IF(AND(J2366&lt;&gt;"",K2366&lt;&gt;""),J2366*K2366,"")</f>
        <v/>
      </c>
      <c r="M2366" s="81" t="str">
        <f aca="false">IF(L2366&lt;&gt;"",L2366*1.1,"")</f>
        <v/>
      </c>
      <c r="N2366" s="53" t="n">
        <f aca="false">IF(F2366="S",L2366*0.02,0)</f>
        <v>0</v>
      </c>
      <c r="O2366" s="82" t="str">
        <f aca="false">IF(L2366&lt;&gt;"",L2366+N2366,"")</f>
        <v/>
      </c>
      <c r="P2366" s="53" t="str">
        <f aca="false">IF(O2366&lt;&gt;"",O2366*0.1,"")</f>
        <v/>
      </c>
      <c r="Q2366" s="83" t="str">
        <f aca="false">IF(O2366&lt;&gt;"",O2366+P2366,"")</f>
        <v/>
      </c>
      <c r="R2366" s="84"/>
    </row>
    <row r="2367" customFormat="false" ht="15" hidden="false" customHeight="true" outlineLevel="0" collapsed="false">
      <c r="A2367" s="103"/>
      <c r="B2367" s="85"/>
      <c r="C2367" s="86"/>
      <c r="D2367" s="87"/>
      <c r="E2367" s="46" t="str">
        <f aca="false">IF(D2367&lt;&gt;"",IFERROR(VLOOKUP(D2367,PROVEEDORES!$A:$B,2,0),"!COD NO ENCONTRADO"),"")</f>
        <v/>
      </c>
      <c r="F2367" s="88" t="str">
        <f aca="false">IF(D2367&lt;&gt;"",IFERROR(VLOOKUP(D2367,PROVEEDORES!$A:$C,3,0),""),"")</f>
        <v/>
      </c>
      <c r="G2367" s="87"/>
      <c r="H2367" s="46" t="str">
        <f aca="false">IF(G2367&lt;&gt;"",IFERROR(VLOOKUP(G2367,PRODUCTOS!$A:$B,2,0),"!COD NO ENCONTRADO"),"")</f>
        <v/>
      </c>
      <c r="I2367" s="89"/>
      <c r="J2367" s="90"/>
      <c r="K2367" s="91"/>
      <c r="L2367" s="80" t="str">
        <f aca="false">IF(AND(J2367&lt;&gt;"",K2367&lt;&gt;""),J2367*K2367,"")</f>
        <v/>
      </c>
      <c r="M2367" s="81" t="str">
        <f aca="false">IF(L2367&lt;&gt;"",L2367*1.1,"")</f>
        <v/>
      </c>
      <c r="N2367" s="47" t="n">
        <f aca="false">IF(F2367="S",L2367*0.02,0)</f>
        <v>0</v>
      </c>
      <c r="O2367" s="82" t="str">
        <f aca="false">IF(L2367&lt;&gt;"",L2367+N2367,"")</f>
        <v/>
      </c>
      <c r="P2367" s="47" t="str">
        <f aca="false">IF(O2367&lt;&gt;"",O2367*0.1,"")</f>
        <v/>
      </c>
      <c r="Q2367" s="83" t="str">
        <f aca="false">IF(O2367&lt;&gt;"",O2367+P2367,"")</f>
        <v/>
      </c>
      <c r="R2367" s="84"/>
    </row>
    <row r="2368" customFormat="false" ht="15" hidden="false" customHeight="true" outlineLevel="0" collapsed="false">
      <c r="A2368" s="103"/>
      <c r="B2368" s="73"/>
      <c r="C2368" s="74"/>
      <c r="D2368" s="75"/>
      <c r="E2368" s="52" t="str">
        <f aca="false">IF(D2368&lt;&gt;"",IFERROR(VLOOKUP(D2368,PROVEEDORES!$A:$B,2,0),"!COD NO ENCONTRADO"),"")</f>
        <v/>
      </c>
      <c r="F2368" s="76" t="str">
        <f aca="false">IF(D2368&lt;&gt;"",IFERROR(VLOOKUP(D2368,PROVEEDORES!$A:$C,3,0),""),"")</f>
        <v/>
      </c>
      <c r="G2368" s="75"/>
      <c r="H2368" s="52" t="str">
        <f aca="false">IF(G2368&lt;&gt;"",IFERROR(VLOOKUP(G2368,PRODUCTOS!$A:$B,2,0),"!COD NO ENCONTRADO"),"")</f>
        <v/>
      </c>
      <c r="I2368" s="77"/>
      <c r="J2368" s="78"/>
      <c r="K2368" s="79"/>
      <c r="L2368" s="80" t="str">
        <f aca="false">IF(AND(J2368&lt;&gt;"",K2368&lt;&gt;""),J2368*K2368,"")</f>
        <v/>
      </c>
      <c r="M2368" s="81" t="str">
        <f aca="false">IF(L2368&lt;&gt;"",L2368*1.1,"")</f>
        <v/>
      </c>
      <c r="N2368" s="53" t="n">
        <f aca="false">IF(F2368="S",L2368*0.02,0)</f>
        <v>0</v>
      </c>
      <c r="O2368" s="82" t="str">
        <f aca="false">IF(L2368&lt;&gt;"",L2368+N2368,"")</f>
        <v/>
      </c>
      <c r="P2368" s="53" t="str">
        <f aca="false">IF(O2368&lt;&gt;"",O2368*0.1,"")</f>
        <v/>
      </c>
      <c r="Q2368" s="83" t="str">
        <f aca="false">IF(O2368&lt;&gt;"",O2368+P2368,"")</f>
        <v/>
      </c>
      <c r="R2368" s="84"/>
    </row>
    <row r="2369" customFormat="false" ht="15" hidden="false" customHeight="true" outlineLevel="0" collapsed="false">
      <c r="A2369" s="103"/>
      <c r="B2369" s="85"/>
      <c r="C2369" s="86"/>
      <c r="D2369" s="87"/>
      <c r="E2369" s="46" t="str">
        <f aca="false">IF(D2369&lt;&gt;"",IFERROR(VLOOKUP(D2369,PROVEEDORES!$A:$B,2,0),"!COD NO ENCONTRADO"),"")</f>
        <v/>
      </c>
      <c r="F2369" s="88" t="str">
        <f aca="false">IF(D2369&lt;&gt;"",IFERROR(VLOOKUP(D2369,PROVEEDORES!$A:$C,3,0),""),"")</f>
        <v/>
      </c>
      <c r="G2369" s="87"/>
      <c r="H2369" s="46" t="str">
        <f aca="false">IF(G2369&lt;&gt;"",IFERROR(VLOOKUP(G2369,PRODUCTOS!$A:$B,2,0),"!COD NO ENCONTRADO"),"")</f>
        <v/>
      </c>
      <c r="I2369" s="89"/>
      <c r="J2369" s="90"/>
      <c r="K2369" s="91"/>
      <c r="L2369" s="80" t="str">
        <f aca="false">IF(AND(J2369&lt;&gt;"",K2369&lt;&gt;""),J2369*K2369,"")</f>
        <v/>
      </c>
      <c r="M2369" s="81" t="str">
        <f aca="false">IF(L2369&lt;&gt;"",L2369*1.1,"")</f>
        <v/>
      </c>
      <c r="N2369" s="47" t="n">
        <f aca="false">IF(F2369="S",L2369*0.02,0)</f>
        <v>0</v>
      </c>
      <c r="O2369" s="82" t="str">
        <f aca="false">IF(L2369&lt;&gt;"",L2369+N2369,"")</f>
        <v/>
      </c>
      <c r="P2369" s="47" t="str">
        <f aca="false">IF(O2369&lt;&gt;"",O2369*0.1,"")</f>
        <v/>
      </c>
      <c r="Q2369" s="83" t="str">
        <f aca="false">IF(O2369&lt;&gt;"",O2369+P2369,"")</f>
        <v/>
      </c>
      <c r="R2369" s="84"/>
    </row>
    <row r="2370" customFormat="false" ht="15" hidden="false" customHeight="true" outlineLevel="0" collapsed="false">
      <c r="A2370" s="103"/>
      <c r="B2370" s="73"/>
      <c r="C2370" s="74"/>
      <c r="D2370" s="75"/>
      <c r="E2370" s="52" t="str">
        <f aca="false">IF(D2370&lt;&gt;"",IFERROR(VLOOKUP(D2370,PROVEEDORES!$A:$B,2,0),"!COD NO ENCONTRADO"),"")</f>
        <v/>
      </c>
      <c r="F2370" s="76" t="str">
        <f aca="false">IF(D2370&lt;&gt;"",IFERROR(VLOOKUP(D2370,PROVEEDORES!$A:$C,3,0),""),"")</f>
        <v/>
      </c>
      <c r="G2370" s="75"/>
      <c r="H2370" s="52" t="str">
        <f aca="false">IF(G2370&lt;&gt;"",IFERROR(VLOOKUP(G2370,PRODUCTOS!$A:$B,2,0),"!COD NO ENCONTRADO"),"")</f>
        <v/>
      </c>
      <c r="I2370" s="77"/>
      <c r="J2370" s="78"/>
      <c r="K2370" s="79"/>
      <c r="L2370" s="80" t="str">
        <f aca="false">IF(AND(J2370&lt;&gt;"",K2370&lt;&gt;""),J2370*K2370,"")</f>
        <v/>
      </c>
      <c r="M2370" s="81" t="str">
        <f aca="false">IF(L2370&lt;&gt;"",L2370*1.1,"")</f>
        <v/>
      </c>
      <c r="N2370" s="53" t="n">
        <f aca="false">IF(F2370="S",L2370*0.02,0)</f>
        <v>0</v>
      </c>
      <c r="O2370" s="82" t="str">
        <f aca="false">IF(L2370&lt;&gt;"",L2370+N2370,"")</f>
        <v/>
      </c>
      <c r="P2370" s="53" t="str">
        <f aca="false">IF(O2370&lt;&gt;"",O2370*0.1,"")</f>
        <v/>
      </c>
      <c r="Q2370" s="83" t="str">
        <f aca="false">IF(O2370&lt;&gt;"",O2370+P2370,"")</f>
        <v/>
      </c>
      <c r="R2370" s="84"/>
    </row>
    <row r="2371" customFormat="false" ht="15" hidden="false" customHeight="true" outlineLevel="0" collapsed="false">
      <c r="A2371" s="103"/>
      <c r="B2371" s="85"/>
      <c r="C2371" s="86"/>
      <c r="D2371" s="87"/>
      <c r="E2371" s="46" t="str">
        <f aca="false">IF(D2371&lt;&gt;"",IFERROR(VLOOKUP(D2371,PROVEEDORES!$A:$B,2,0),"!COD NO ENCONTRADO"),"")</f>
        <v/>
      </c>
      <c r="F2371" s="88" t="str">
        <f aca="false">IF(D2371&lt;&gt;"",IFERROR(VLOOKUP(D2371,PROVEEDORES!$A:$C,3,0),""),"")</f>
        <v/>
      </c>
      <c r="G2371" s="87"/>
      <c r="H2371" s="46" t="str">
        <f aca="false">IF(G2371&lt;&gt;"",IFERROR(VLOOKUP(G2371,PRODUCTOS!$A:$B,2,0),"!COD NO ENCONTRADO"),"")</f>
        <v/>
      </c>
      <c r="I2371" s="89"/>
      <c r="J2371" s="90"/>
      <c r="K2371" s="91"/>
      <c r="L2371" s="80" t="str">
        <f aca="false">IF(AND(J2371&lt;&gt;"",K2371&lt;&gt;""),J2371*K2371,"")</f>
        <v/>
      </c>
      <c r="M2371" s="81" t="str">
        <f aca="false">IF(L2371&lt;&gt;"",L2371*1.1,"")</f>
        <v/>
      </c>
      <c r="N2371" s="47" t="n">
        <f aca="false">IF(F2371="S",L2371*0.02,0)</f>
        <v>0</v>
      </c>
      <c r="O2371" s="82" t="str">
        <f aca="false">IF(L2371&lt;&gt;"",L2371+N2371,"")</f>
        <v/>
      </c>
      <c r="P2371" s="47" t="str">
        <f aca="false">IF(O2371&lt;&gt;"",O2371*0.1,"")</f>
        <v/>
      </c>
      <c r="Q2371" s="83" t="str">
        <f aca="false">IF(O2371&lt;&gt;"",O2371+P2371,"")</f>
        <v/>
      </c>
      <c r="R2371" s="84"/>
    </row>
    <row r="2372" customFormat="false" ht="15" hidden="false" customHeight="true" outlineLevel="0" collapsed="false">
      <c r="A2372" s="103"/>
      <c r="B2372" s="73"/>
      <c r="C2372" s="74"/>
      <c r="D2372" s="75"/>
      <c r="E2372" s="52" t="str">
        <f aca="false">IF(D2372&lt;&gt;"",IFERROR(VLOOKUP(D2372,PROVEEDORES!$A:$B,2,0),"!COD NO ENCONTRADO"),"")</f>
        <v/>
      </c>
      <c r="F2372" s="76" t="str">
        <f aca="false">IF(D2372&lt;&gt;"",IFERROR(VLOOKUP(D2372,PROVEEDORES!$A:$C,3,0),""),"")</f>
        <v/>
      </c>
      <c r="G2372" s="75"/>
      <c r="H2372" s="52" t="str">
        <f aca="false">IF(G2372&lt;&gt;"",IFERROR(VLOOKUP(G2372,PRODUCTOS!$A:$B,2,0),"!COD NO ENCONTRADO"),"")</f>
        <v/>
      </c>
      <c r="I2372" s="77"/>
      <c r="J2372" s="78"/>
      <c r="K2372" s="79"/>
      <c r="L2372" s="80" t="str">
        <f aca="false">IF(AND(J2372&lt;&gt;"",K2372&lt;&gt;""),J2372*K2372,"")</f>
        <v/>
      </c>
      <c r="M2372" s="81" t="str">
        <f aca="false">IF(L2372&lt;&gt;"",L2372*1.1,"")</f>
        <v/>
      </c>
      <c r="N2372" s="53" t="n">
        <f aca="false">IF(F2372="S",L2372*0.02,0)</f>
        <v>0</v>
      </c>
      <c r="O2372" s="82" t="str">
        <f aca="false">IF(L2372&lt;&gt;"",L2372+N2372,"")</f>
        <v/>
      </c>
      <c r="P2372" s="53" t="str">
        <f aca="false">IF(O2372&lt;&gt;"",O2372*0.1,"")</f>
        <v/>
      </c>
      <c r="Q2372" s="83" t="str">
        <f aca="false">IF(O2372&lt;&gt;"",O2372+P2372,"")</f>
        <v/>
      </c>
      <c r="R2372" s="84"/>
    </row>
    <row r="2373" customFormat="false" ht="15" hidden="false" customHeight="true" outlineLevel="0" collapsed="false">
      <c r="A2373" s="103"/>
      <c r="B2373" s="85"/>
      <c r="C2373" s="86"/>
      <c r="D2373" s="87"/>
      <c r="E2373" s="46" t="str">
        <f aca="false">IF(D2373&lt;&gt;"",IFERROR(VLOOKUP(D2373,PROVEEDORES!$A:$B,2,0),"!COD NO ENCONTRADO"),"")</f>
        <v/>
      </c>
      <c r="F2373" s="88" t="str">
        <f aca="false">IF(D2373&lt;&gt;"",IFERROR(VLOOKUP(D2373,PROVEEDORES!$A:$C,3,0),""),"")</f>
        <v/>
      </c>
      <c r="G2373" s="87"/>
      <c r="H2373" s="46" t="str">
        <f aca="false">IF(G2373&lt;&gt;"",IFERROR(VLOOKUP(G2373,PRODUCTOS!$A:$B,2,0),"!COD NO ENCONTRADO"),"")</f>
        <v/>
      </c>
      <c r="I2373" s="89"/>
      <c r="J2373" s="90"/>
      <c r="K2373" s="91"/>
      <c r="L2373" s="80" t="str">
        <f aca="false">IF(AND(J2373&lt;&gt;"",K2373&lt;&gt;""),J2373*K2373,"")</f>
        <v/>
      </c>
      <c r="M2373" s="81" t="str">
        <f aca="false">IF(L2373&lt;&gt;"",L2373*1.1,"")</f>
        <v/>
      </c>
      <c r="N2373" s="47" t="n">
        <f aca="false">IF(F2373="S",L2373*0.02,0)</f>
        <v>0</v>
      </c>
      <c r="O2373" s="82" t="str">
        <f aca="false">IF(L2373&lt;&gt;"",L2373+N2373,"")</f>
        <v/>
      </c>
      <c r="P2373" s="47" t="str">
        <f aca="false">IF(O2373&lt;&gt;"",O2373*0.1,"")</f>
        <v/>
      </c>
      <c r="Q2373" s="83" t="str">
        <f aca="false">IF(O2373&lt;&gt;"",O2373+P2373,"")</f>
        <v/>
      </c>
      <c r="R2373" s="84"/>
    </row>
    <row r="2374" customFormat="false" ht="15" hidden="false" customHeight="true" outlineLevel="0" collapsed="false">
      <c r="A2374" s="103"/>
      <c r="B2374" s="73"/>
      <c r="C2374" s="74"/>
      <c r="D2374" s="75"/>
      <c r="E2374" s="52" t="str">
        <f aca="false">IF(D2374&lt;&gt;"",IFERROR(VLOOKUP(D2374,PROVEEDORES!$A:$B,2,0),"!COD NO ENCONTRADO"),"")</f>
        <v/>
      </c>
      <c r="F2374" s="76" t="str">
        <f aca="false">IF(D2374&lt;&gt;"",IFERROR(VLOOKUP(D2374,PROVEEDORES!$A:$C,3,0),""),"")</f>
        <v/>
      </c>
      <c r="G2374" s="75"/>
      <c r="H2374" s="52" t="str">
        <f aca="false">IF(G2374&lt;&gt;"",IFERROR(VLOOKUP(G2374,PRODUCTOS!$A:$B,2,0),"!COD NO ENCONTRADO"),"")</f>
        <v/>
      </c>
      <c r="I2374" s="77"/>
      <c r="J2374" s="78"/>
      <c r="K2374" s="79"/>
      <c r="L2374" s="80" t="str">
        <f aca="false">IF(AND(J2374&lt;&gt;"",K2374&lt;&gt;""),J2374*K2374,"")</f>
        <v/>
      </c>
      <c r="M2374" s="81" t="str">
        <f aca="false">IF(L2374&lt;&gt;"",L2374*1.1,"")</f>
        <v/>
      </c>
      <c r="N2374" s="53" t="n">
        <f aca="false">IF(F2374="S",L2374*0.02,0)</f>
        <v>0</v>
      </c>
      <c r="O2374" s="82" t="str">
        <f aca="false">IF(L2374&lt;&gt;"",L2374+N2374,"")</f>
        <v/>
      </c>
      <c r="P2374" s="53" t="str">
        <f aca="false">IF(O2374&lt;&gt;"",O2374*0.1,"")</f>
        <v/>
      </c>
      <c r="Q2374" s="83" t="str">
        <f aca="false">IF(O2374&lt;&gt;"",O2374+P2374,"")</f>
        <v/>
      </c>
      <c r="R2374" s="84"/>
    </row>
    <row r="2375" customFormat="false" ht="15" hidden="false" customHeight="true" outlineLevel="0" collapsed="false">
      <c r="A2375" s="103"/>
      <c r="B2375" s="85"/>
      <c r="C2375" s="86"/>
      <c r="D2375" s="87"/>
      <c r="E2375" s="46" t="str">
        <f aca="false">IF(D2375&lt;&gt;"",IFERROR(VLOOKUP(D2375,PROVEEDORES!$A:$B,2,0),"!COD NO ENCONTRADO"),"")</f>
        <v/>
      </c>
      <c r="F2375" s="88" t="str">
        <f aca="false">IF(D2375&lt;&gt;"",IFERROR(VLOOKUP(D2375,PROVEEDORES!$A:$C,3,0),""),"")</f>
        <v/>
      </c>
      <c r="G2375" s="87"/>
      <c r="H2375" s="46" t="str">
        <f aca="false">IF(G2375&lt;&gt;"",IFERROR(VLOOKUP(G2375,PRODUCTOS!$A:$B,2,0),"!COD NO ENCONTRADO"),"")</f>
        <v/>
      </c>
      <c r="I2375" s="89"/>
      <c r="J2375" s="90"/>
      <c r="K2375" s="91"/>
      <c r="L2375" s="80" t="str">
        <f aca="false">IF(AND(J2375&lt;&gt;"",K2375&lt;&gt;""),J2375*K2375,"")</f>
        <v/>
      </c>
      <c r="M2375" s="81" t="str">
        <f aca="false">IF(L2375&lt;&gt;"",L2375*1.1,"")</f>
        <v/>
      </c>
      <c r="N2375" s="47" t="n">
        <f aca="false">IF(F2375="S",L2375*0.02,0)</f>
        <v>0</v>
      </c>
      <c r="O2375" s="82" t="str">
        <f aca="false">IF(L2375&lt;&gt;"",L2375+N2375,"")</f>
        <v/>
      </c>
      <c r="P2375" s="47" t="str">
        <f aca="false">IF(O2375&lt;&gt;"",O2375*0.1,"")</f>
        <v/>
      </c>
      <c r="Q2375" s="83" t="str">
        <f aca="false">IF(O2375&lt;&gt;"",O2375+P2375,"")</f>
        <v/>
      </c>
      <c r="R2375" s="84"/>
    </row>
    <row r="2376" customFormat="false" ht="15" hidden="false" customHeight="true" outlineLevel="0" collapsed="false">
      <c r="A2376" s="103"/>
      <c r="B2376" s="73"/>
      <c r="C2376" s="74"/>
      <c r="D2376" s="75"/>
      <c r="E2376" s="52" t="str">
        <f aca="false">IF(D2376&lt;&gt;"",IFERROR(VLOOKUP(D2376,PROVEEDORES!$A:$B,2,0),"!COD NO ENCONTRADO"),"")</f>
        <v/>
      </c>
      <c r="F2376" s="76" t="str">
        <f aca="false">IF(D2376&lt;&gt;"",IFERROR(VLOOKUP(D2376,PROVEEDORES!$A:$C,3,0),""),"")</f>
        <v/>
      </c>
      <c r="G2376" s="75"/>
      <c r="H2376" s="52" t="str">
        <f aca="false">IF(G2376&lt;&gt;"",IFERROR(VLOOKUP(G2376,PRODUCTOS!$A:$B,2,0),"!COD NO ENCONTRADO"),"")</f>
        <v/>
      </c>
      <c r="I2376" s="77"/>
      <c r="J2376" s="78"/>
      <c r="K2376" s="79"/>
      <c r="L2376" s="80" t="str">
        <f aca="false">IF(AND(J2376&lt;&gt;"",K2376&lt;&gt;""),J2376*K2376,"")</f>
        <v/>
      </c>
      <c r="M2376" s="81" t="str">
        <f aca="false">IF(L2376&lt;&gt;"",L2376*1.1,"")</f>
        <v/>
      </c>
      <c r="N2376" s="53" t="n">
        <f aca="false">IF(F2376="S",L2376*0.02,0)</f>
        <v>0</v>
      </c>
      <c r="O2376" s="82" t="str">
        <f aca="false">IF(L2376&lt;&gt;"",L2376+N2376,"")</f>
        <v/>
      </c>
      <c r="P2376" s="53" t="str">
        <f aca="false">IF(O2376&lt;&gt;"",O2376*0.1,"")</f>
        <v/>
      </c>
      <c r="Q2376" s="83" t="str">
        <f aca="false">IF(O2376&lt;&gt;"",O2376+P2376,"")</f>
        <v/>
      </c>
      <c r="R2376" s="84"/>
    </row>
    <row r="2377" customFormat="false" ht="15" hidden="false" customHeight="true" outlineLevel="0" collapsed="false">
      <c r="A2377" s="103"/>
      <c r="B2377" s="85"/>
      <c r="C2377" s="86"/>
      <c r="D2377" s="87"/>
      <c r="E2377" s="46" t="str">
        <f aca="false">IF(D2377&lt;&gt;"",IFERROR(VLOOKUP(D2377,PROVEEDORES!$A:$B,2,0),"!COD NO ENCONTRADO"),"")</f>
        <v/>
      </c>
      <c r="F2377" s="88" t="str">
        <f aca="false">IF(D2377&lt;&gt;"",IFERROR(VLOOKUP(D2377,PROVEEDORES!$A:$C,3,0),""),"")</f>
        <v/>
      </c>
      <c r="G2377" s="87"/>
      <c r="H2377" s="46" t="str">
        <f aca="false">IF(G2377&lt;&gt;"",IFERROR(VLOOKUP(G2377,PRODUCTOS!$A:$B,2,0),"!COD NO ENCONTRADO"),"")</f>
        <v/>
      </c>
      <c r="I2377" s="89"/>
      <c r="J2377" s="90"/>
      <c r="K2377" s="91"/>
      <c r="L2377" s="80" t="str">
        <f aca="false">IF(AND(J2377&lt;&gt;"",K2377&lt;&gt;""),J2377*K2377,"")</f>
        <v/>
      </c>
      <c r="M2377" s="81" t="str">
        <f aca="false">IF(L2377&lt;&gt;"",L2377*1.1,"")</f>
        <v/>
      </c>
      <c r="N2377" s="47" t="n">
        <f aca="false">IF(F2377="S",L2377*0.02,0)</f>
        <v>0</v>
      </c>
      <c r="O2377" s="82" t="str">
        <f aca="false">IF(L2377&lt;&gt;"",L2377+N2377,"")</f>
        <v/>
      </c>
      <c r="P2377" s="47" t="str">
        <f aca="false">IF(O2377&lt;&gt;"",O2377*0.1,"")</f>
        <v/>
      </c>
      <c r="Q2377" s="83" t="str">
        <f aca="false">IF(O2377&lt;&gt;"",O2377+P2377,"")</f>
        <v/>
      </c>
      <c r="R2377" s="84"/>
    </row>
    <row r="2378" customFormat="false" ht="15" hidden="false" customHeight="true" outlineLevel="0" collapsed="false">
      <c r="A2378" s="103"/>
      <c r="B2378" s="73"/>
      <c r="C2378" s="74"/>
      <c r="D2378" s="75"/>
      <c r="E2378" s="52" t="str">
        <f aca="false">IF(D2378&lt;&gt;"",IFERROR(VLOOKUP(D2378,PROVEEDORES!$A:$B,2,0),"!COD NO ENCONTRADO"),"")</f>
        <v/>
      </c>
      <c r="F2378" s="76" t="str">
        <f aca="false">IF(D2378&lt;&gt;"",IFERROR(VLOOKUP(D2378,PROVEEDORES!$A:$C,3,0),""),"")</f>
        <v/>
      </c>
      <c r="G2378" s="75"/>
      <c r="H2378" s="52" t="str">
        <f aca="false">IF(G2378&lt;&gt;"",IFERROR(VLOOKUP(G2378,PRODUCTOS!$A:$B,2,0),"!COD NO ENCONTRADO"),"")</f>
        <v/>
      </c>
      <c r="I2378" s="77"/>
      <c r="J2378" s="78"/>
      <c r="K2378" s="79"/>
      <c r="L2378" s="80" t="str">
        <f aca="false">IF(AND(J2378&lt;&gt;"",K2378&lt;&gt;""),J2378*K2378,"")</f>
        <v/>
      </c>
      <c r="M2378" s="81" t="str">
        <f aca="false">IF(L2378&lt;&gt;"",L2378*1.1,"")</f>
        <v/>
      </c>
      <c r="N2378" s="53" t="n">
        <f aca="false">IF(F2378="S",L2378*0.02,0)</f>
        <v>0</v>
      </c>
      <c r="O2378" s="82" t="str">
        <f aca="false">IF(L2378&lt;&gt;"",L2378+N2378,"")</f>
        <v/>
      </c>
      <c r="P2378" s="53" t="str">
        <f aca="false">IF(O2378&lt;&gt;"",O2378*0.1,"")</f>
        <v/>
      </c>
      <c r="Q2378" s="83" t="str">
        <f aca="false">IF(O2378&lt;&gt;"",O2378+P2378,"")</f>
        <v/>
      </c>
      <c r="R2378" s="84"/>
    </row>
    <row r="2379" customFormat="false" ht="15" hidden="false" customHeight="true" outlineLevel="0" collapsed="false">
      <c r="A2379" s="103"/>
      <c r="B2379" s="85"/>
      <c r="C2379" s="86"/>
      <c r="D2379" s="87"/>
      <c r="E2379" s="46" t="str">
        <f aca="false">IF(D2379&lt;&gt;"",IFERROR(VLOOKUP(D2379,PROVEEDORES!$A:$B,2,0),"!COD NO ENCONTRADO"),"")</f>
        <v/>
      </c>
      <c r="F2379" s="88" t="str">
        <f aca="false">IF(D2379&lt;&gt;"",IFERROR(VLOOKUP(D2379,PROVEEDORES!$A:$C,3,0),""),"")</f>
        <v/>
      </c>
      <c r="G2379" s="87"/>
      <c r="H2379" s="46" t="str">
        <f aca="false">IF(G2379&lt;&gt;"",IFERROR(VLOOKUP(G2379,PRODUCTOS!$A:$B,2,0),"!COD NO ENCONTRADO"),"")</f>
        <v/>
      </c>
      <c r="I2379" s="89"/>
      <c r="J2379" s="90"/>
      <c r="K2379" s="91"/>
      <c r="L2379" s="80" t="str">
        <f aca="false">IF(AND(J2379&lt;&gt;"",K2379&lt;&gt;""),J2379*K2379,"")</f>
        <v/>
      </c>
      <c r="M2379" s="81" t="str">
        <f aca="false">IF(L2379&lt;&gt;"",L2379*1.1,"")</f>
        <v/>
      </c>
      <c r="N2379" s="47" t="n">
        <f aca="false">IF(F2379="S",L2379*0.02,0)</f>
        <v>0</v>
      </c>
      <c r="O2379" s="82" t="str">
        <f aca="false">IF(L2379&lt;&gt;"",L2379+N2379,"")</f>
        <v/>
      </c>
      <c r="P2379" s="47" t="str">
        <f aca="false">IF(O2379&lt;&gt;"",O2379*0.1,"")</f>
        <v/>
      </c>
      <c r="Q2379" s="83" t="str">
        <f aca="false">IF(O2379&lt;&gt;"",O2379+P2379,"")</f>
        <v/>
      </c>
      <c r="R2379" s="84"/>
    </row>
    <row r="2380" customFormat="false" ht="15" hidden="false" customHeight="true" outlineLevel="0" collapsed="false">
      <c r="A2380" s="103"/>
      <c r="B2380" s="73"/>
      <c r="C2380" s="74"/>
      <c r="D2380" s="75"/>
      <c r="E2380" s="52" t="str">
        <f aca="false">IF(D2380&lt;&gt;"",IFERROR(VLOOKUP(D2380,PROVEEDORES!$A:$B,2,0),"!COD NO ENCONTRADO"),"")</f>
        <v/>
      </c>
      <c r="F2380" s="76" t="str">
        <f aca="false">IF(D2380&lt;&gt;"",IFERROR(VLOOKUP(D2380,PROVEEDORES!$A:$C,3,0),""),"")</f>
        <v/>
      </c>
      <c r="G2380" s="75"/>
      <c r="H2380" s="52" t="str">
        <f aca="false">IF(G2380&lt;&gt;"",IFERROR(VLOOKUP(G2380,PRODUCTOS!$A:$B,2,0),"!COD NO ENCONTRADO"),"")</f>
        <v/>
      </c>
      <c r="I2380" s="77"/>
      <c r="J2380" s="78"/>
      <c r="K2380" s="79"/>
      <c r="L2380" s="80" t="str">
        <f aca="false">IF(AND(J2380&lt;&gt;"",K2380&lt;&gt;""),J2380*K2380,"")</f>
        <v/>
      </c>
      <c r="M2380" s="81" t="str">
        <f aca="false">IF(L2380&lt;&gt;"",L2380*1.1,"")</f>
        <v/>
      </c>
      <c r="N2380" s="53" t="n">
        <f aca="false">IF(F2380="S",L2380*0.02,0)</f>
        <v>0</v>
      </c>
      <c r="O2380" s="82" t="str">
        <f aca="false">IF(L2380&lt;&gt;"",L2380+N2380,"")</f>
        <v/>
      </c>
      <c r="P2380" s="53" t="str">
        <f aca="false">IF(O2380&lt;&gt;"",O2380*0.1,"")</f>
        <v/>
      </c>
      <c r="Q2380" s="83" t="str">
        <f aca="false">IF(O2380&lt;&gt;"",O2380+P2380,"")</f>
        <v/>
      </c>
      <c r="R2380" s="84"/>
    </row>
    <row r="2381" customFormat="false" ht="15" hidden="false" customHeight="true" outlineLevel="0" collapsed="false">
      <c r="A2381" s="103"/>
      <c r="B2381" s="85"/>
      <c r="C2381" s="86"/>
      <c r="D2381" s="87"/>
      <c r="E2381" s="46" t="str">
        <f aca="false">IF(D2381&lt;&gt;"",IFERROR(VLOOKUP(D2381,PROVEEDORES!$A:$B,2,0),"!COD NO ENCONTRADO"),"")</f>
        <v/>
      </c>
      <c r="F2381" s="88" t="str">
        <f aca="false">IF(D2381&lt;&gt;"",IFERROR(VLOOKUP(D2381,PROVEEDORES!$A:$C,3,0),""),"")</f>
        <v/>
      </c>
      <c r="G2381" s="87"/>
      <c r="H2381" s="46" t="str">
        <f aca="false">IF(G2381&lt;&gt;"",IFERROR(VLOOKUP(G2381,PRODUCTOS!$A:$B,2,0),"!COD NO ENCONTRADO"),"")</f>
        <v/>
      </c>
      <c r="I2381" s="89"/>
      <c r="J2381" s="90"/>
      <c r="K2381" s="91"/>
      <c r="L2381" s="80" t="str">
        <f aca="false">IF(AND(J2381&lt;&gt;"",K2381&lt;&gt;""),J2381*K2381,"")</f>
        <v/>
      </c>
      <c r="M2381" s="81" t="str">
        <f aca="false">IF(L2381&lt;&gt;"",L2381*1.1,"")</f>
        <v/>
      </c>
      <c r="N2381" s="47" t="n">
        <f aca="false">IF(F2381="S",L2381*0.02,0)</f>
        <v>0</v>
      </c>
      <c r="O2381" s="82" t="str">
        <f aca="false">IF(L2381&lt;&gt;"",L2381+N2381,"")</f>
        <v/>
      </c>
      <c r="P2381" s="47" t="str">
        <f aca="false">IF(O2381&lt;&gt;"",O2381*0.1,"")</f>
        <v/>
      </c>
      <c r="Q2381" s="83" t="str">
        <f aca="false">IF(O2381&lt;&gt;"",O2381+P2381,"")</f>
        <v/>
      </c>
      <c r="R2381" s="84"/>
    </row>
    <row r="2382" customFormat="false" ht="15" hidden="false" customHeight="true" outlineLevel="0" collapsed="false">
      <c r="A2382" s="103"/>
      <c r="B2382" s="73"/>
      <c r="C2382" s="74"/>
      <c r="D2382" s="75"/>
      <c r="E2382" s="52" t="str">
        <f aca="false">IF(D2382&lt;&gt;"",IFERROR(VLOOKUP(D2382,PROVEEDORES!$A:$B,2,0),"!COD NO ENCONTRADO"),"")</f>
        <v/>
      </c>
      <c r="F2382" s="76" t="str">
        <f aca="false">IF(D2382&lt;&gt;"",IFERROR(VLOOKUP(D2382,PROVEEDORES!$A:$C,3,0),""),"")</f>
        <v/>
      </c>
      <c r="G2382" s="75"/>
      <c r="H2382" s="52" t="str">
        <f aca="false">IF(G2382&lt;&gt;"",IFERROR(VLOOKUP(G2382,PRODUCTOS!$A:$B,2,0),"!COD NO ENCONTRADO"),"")</f>
        <v/>
      </c>
      <c r="I2382" s="77"/>
      <c r="J2382" s="78"/>
      <c r="K2382" s="79"/>
      <c r="L2382" s="80" t="str">
        <f aca="false">IF(AND(J2382&lt;&gt;"",K2382&lt;&gt;""),J2382*K2382,"")</f>
        <v/>
      </c>
      <c r="M2382" s="81" t="str">
        <f aca="false">IF(L2382&lt;&gt;"",L2382*1.1,"")</f>
        <v/>
      </c>
      <c r="N2382" s="53" t="n">
        <f aca="false">IF(F2382="S",L2382*0.02,0)</f>
        <v>0</v>
      </c>
      <c r="O2382" s="82" t="str">
        <f aca="false">IF(L2382&lt;&gt;"",L2382+N2382,"")</f>
        <v/>
      </c>
      <c r="P2382" s="53" t="str">
        <f aca="false">IF(O2382&lt;&gt;"",O2382*0.1,"")</f>
        <v/>
      </c>
      <c r="Q2382" s="83" t="str">
        <f aca="false">IF(O2382&lt;&gt;"",O2382+P2382,"")</f>
        <v/>
      </c>
      <c r="R2382" s="84"/>
    </row>
    <row r="2383" customFormat="false" ht="15" hidden="false" customHeight="true" outlineLevel="0" collapsed="false">
      <c r="A2383" s="103"/>
      <c r="B2383" s="85"/>
      <c r="C2383" s="86"/>
      <c r="D2383" s="87"/>
      <c r="E2383" s="46" t="str">
        <f aca="false">IF(D2383&lt;&gt;"",IFERROR(VLOOKUP(D2383,PROVEEDORES!$A:$B,2,0),"!COD NO ENCONTRADO"),"")</f>
        <v/>
      </c>
      <c r="F2383" s="88" t="str">
        <f aca="false">IF(D2383&lt;&gt;"",IFERROR(VLOOKUP(D2383,PROVEEDORES!$A:$C,3,0),""),"")</f>
        <v/>
      </c>
      <c r="G2383" s="87"/>
      <c r="H2383" s="46" t="str">
        <f aca="false">IF(G2383&lt;&gt;"",IFERROR(VLOOKUP(G2383,PRODUCTOS!$A:$B,2,0),"!COD NO ENCONTRADO"),"")</f>
        <v/>
      </c>
      <c r="I2383" s="89"/>
      <c r="J2383" s="90"/>
      <c r="K2383" s="91"/>
      <c r="L2383" s="80" t="str">
        <f aca="false">IF(AND(J2383&lt;&gt;"",K2383&lt;&gt;""),J2383*K2383,"")</f>
        <v/>
      </c>
      <c r="M2383" s="81" t="str">
        <f aca="false">IF(L2383&lt;&gt;"",L2383*1.1,"")</f>
        <v/>
      </c>
      <c r="N2383" s="47" t="n">
        <f aca="false">IF(F2383="S",L2383*0.02,0)</f>
        <v>0</v>
      </c>
      <c r="O2383" s="82" t="str">
        <f aca="false">IF(L2383&lt;&gt;"",L2383+N2383,"")</f>
        <v/>
      </c>
      <c r="P2383" s="47" t="str">
        <f aca="false">IF(O2383&lt;&gt;"",O2383*0.1,"")</f>
        <v/>
      </c>
      <c r="Q2383" s="83" t="str">
        <f aca="false">IF(O2383&lt;&gt;"",O2383+P2383,"")</f>
        <v/>
      </c>
      <c r="R2383" s="84"/>
    </row>
    <row r="2384" customFormat="false" ht="15" hidden="false" customHeight="true" outlineLevel="0" collapsed="false">
      <c r="A2384" s="103"/>
      <c r="B2384" s="73"/>
      <c r="C2384" s="74"/>
      <c r="D2384" s="75"/>
      <c r="E2384" s="52" t="str">
        <f aca="false">IF(D2384&lt;&gt;"",IFERROR(VLOOKUP(D2384,PROVEEDORES!$A:$B,2,0),"!COD NO ENCONTRADO"),"")</f>
        <v/>
      </c>
      <c r="F2384" s="76" t="str">
        <f aca="false">IF(D2384&lt;&gt;"",IFERROR(VLOOKUP(D2384,PROVEEDORES!$A:$C,3,0),""),"")</f>
        <v/>
      </c>
      <c r="G2384" s="75"/>
      <c r="H2384" s="52" t="str">
        <f aca="false">IF(G2384&lt;&gt;"",IFERROR(VLOOKUP(G2384,PRODUCTOS!$A:$B,2,0),"!COD NO ENCONTRADO"),"")</f>
        <v/>
      </c>
      <c r="I2384" s="77"/>
      <c r="J2384" s="78"/>
      <c r="K2384" s="79"/>
      <c r="L2384" s="80" t="str">
        <f aca="false">IF(AND(J2384&lt;&gt;"",K2384&lt;&gt;""),J2384*K2384,"")</f>
        <v/>
      </c>
      <c r="M2384" s="81" t="str">
        <f aca="false">IF(L2384&lt;&gt;"",L2384*1.1,"")</f>
        <v/>
      </c>
      <c r="N2384" s="53" t="n">
        <f aca="false">IF(F2384="S",L2384*0.02,0)</f>
        <v>0</v>
      </c>
      <c r="O2384" s="82" t="str">
        <f aca="false">IF(L2384&lt;&gt;"",L2384+N2384,"")</f>
        <v/>
      </c>
      <c r="P2384" s="53" t="str">
        <f aca="false">IF(O2384&lt;&gt;"",O2384*0.1,"")</f>
        <v/>
      </c>
      <c r="Q2384" s="83" t="str">
        <f aca="false">IF(O2384&lt;&gt;"",O2384+P2384,"")</f>
        <v/>
      </c>
      <c r="R2384" s="84"/>
    </row>
    <row r="2385" customFormat="false" ht="15" hidden="false" customHeight="true" outlineLevel="0" collapsed="false">
      <c r="A2385" s="103"/>
      <c r="B2385" s="85"/>
      <c r="C2385" s="86"/>
      <c r="D2385" s="87"/>
      <c r="E2385" s="46" t="str">
        <f aca="false">IF(D2385&lt;&gt;"",IFERROR(VLOOKUP(D2385,PROVEEDORES!$A:$B,2,0),"!COD NO ENCONTRADO"),"")</f>
        <v/>
      </c>
      <c r="F2385" s="88" t="str">
        <f aca="false">IF(D2385&lt;&gt;"",IFERROR(VLOOKUP(D2385,PROVEEDORES!$A:$C,3,0),""),"")</f>
        <v/>
      </c>
      <c r="G2385" s="87"/>
      <c r="H2385" s="46" t="str">
        <f aca="false">IF(G2385&lt;&gt;"",IFERROR(VLOOKUP(G2385,PRODUCTOS!$A:$B,2,0),"!COD NO ENCONTRADO"),"")</f>
        <v/>
      </c>
      <c r="I2385" s="89"/>
      <c r="J2385" s="90"/>
      <c r="K2385" s="91"/>
      <c r="L2385" s="80" t="str">
        <f aca="false">IF(AND(J2385&lt;&gt;"",K2385&lt;&gt;""),J2385*K2385,"")</f>
        <v/>
      </c>
      <c r="M2385" s="81" t="str">
        <f aca="false">IF(L2385&lt;&gt;"",L2385*1.1,"")</f>
        <v/>
      </c>
      <c r="N2385" s="47" t="n">
        <f aca="false">IF(F2385="S",L2385*0.02,0)</f>
        <v>0</v>
      </c>
      <c r="O2385" s="82" t="str">
        <f aca="false">IF(L2385&lt;&gt;"",L2385+N2385,"")</f>
        <v/>
      </c>
      <c r="P2385" s="47" t="str">
        <f aca="false">IF(O2385&lt;&gt;"",O2385*0.1,"")</f>
        <v/>
      </c>
      <c r="Q2385" s="83" t="str">
        <f aca="false">IF(O2385&lt;&gt;"",O2385+P2385,"")</f>
        <v/>
      </c>
      <c r="R2385" s="84"/>
    </row>
    <row r="2386" customFormat="false" ht="15" hidden="false" customHeight="true" outlineLevel="0" collapsed="false">
      <c r="A2386" s="103"/>
      <c r="B2386" s="73"/>
      <c r="C2386" s="74"/>
      <c r="D2386" s="75"/>
      <c r="E2386" s="52" t="str">
        <f aca="false">IF(D2386&lt;&gt;"",IFERROR(VLOOKUP(D2386,PROVEEDORES!$A:$B,2,0),"!COD NO ENCONTRADO"),"")</f>
        <v/>
      </c>
      <c r="F2386" s="76" t="str">
        <f aca="false">IF(D2386&lt;&gt;"",IFERROR(VLOOKUP(D2386,PROVEEDORES!$A:$C,3,0),""),"")</f>
        <v/>
      </c>
      <c r="G2386" s="75"/>
      <c r="H2386" s="52" t="str">
        <f aca="false">IF(G2386&lt;&gt;"",IFERROR(VLOOKUP(G2386,PRODUCTOS!$A:$B,2,0),"!COD NO ENCONTRADO"),"")</f>
        <v/>
      </c>
      <c r="I2386" s="77"/>
      <c r="J2386" s="78"/>
      <c r="K2386" s="79"/>
      <c r="L2386" s="80" t="str">
        <f aca="false">IF(AND(J2386&lt;&gt;"",K2386&lt;&gt;""),J2386*K2386,"")</f>
        <v/>
      </c>
      <c r="M2386" s="81" t="str">
        <f aca="false">IF(L2386&lt;&gt;"",L2386*1.1,"")</f>
        <v/>
      </c>
      <c r="N2386" s="53" t="n">
        <f aca="false">IF(F2386="S",L2386*0.02,0)</f>
        <v>0</v>
      </c>
      <c r="O2386" s="82" t="str">
        <f aca="false">IF(L2386&lt;&gt;"",L2386+N2386,"")</f>
        <v/>
      </c>
      <c r="P2386" s="53" t="str">
        <f aca="false">IF(O2386&lt;&gt;"",O2386*0.1,"")</f>
        <v/>
      </c>
      <c r="Q2386" s="83" t="str">
        <f aca="false">IF(O2386&lt;&gt;"",O2386+P2386,"")</f>
        <v/>
      </c>
      <c r="R2386" s="84"/>
    </row>
    <row r="2387" customFormat="false" ht="15" hidden="false" customHeight="true" outlineLevel="0" collapsed="false">
      <c r="A2387" s="103"/>
      <c r="B2387" s="85"/>
      <c r="C2387" s="86"/>
      <c r="D2387" s="87"/>
      <c r="E2387" s="46" t="str">
        <f aca="false">IF(D2387&lt;&gt;"",IFERROR(VLOOKUP(D2387,PROVEEDORES!$A:$B,2,0),"!COD NO ENCONTRADO"),"")</f>
        <v/>
      </c>
      <c r="F2387" s="88" t="str">
        <f aca="false">IF(D2387&lt;&gt;"",IFERROR(VLOOKUP(D2387,PROVEEDORES!$A:$C,3,0),""),"")</f>
        <v/>
      </c>
      <c r="G2387" s="87"/>
      <c r="H2387" s="46" t="str">
        <f aca="false">IF(G2387&lt;&gt;"",IFERROR(VLOOKUP(G2387,PRODUCTOS!$A:$B,2,0),"!COD NO ENCONTRADO"),"")</f>
        <v/>
      </c>
      <c r="I2387" s="89"/>
      <c r="J2387" s="90"/>
      <c r="K2387" s="91"/>
      <c r="L2387" s="80" t="str">
        <f aca="false">IF(AND(J2387&lt;&gt;"",K2387&lt;&gt;""),J2387*K2387,"")</f>
        <v/>
      </c>
      <c r="M2387" s="81" t="str">
        <f aca="false">IF(L2387&lt;&gt;"",L2387*1.1,"")</f>
        <v/>
      </c>
      <c r="N2387" s="47" t="n">
        <f aca="false">IF(F2387="S",L2387*0.02,0)</f>
        <v>0</v>
      </c>
      <c r="O2387" s="82" t="str">
        <f aca="false">IF(L2387&lt;&gt;"",L2387+N2387,"")</f>
        <v/>
      </c>
      <c r="P2387" s="47" t="str">
        <f aca="false">IF(O2387&lt;&gt;"",O2387*0.1,"")</f>
        <v/>
      </c>
      <c r="Q2387" s="83" t="str">
        <f aca="false">IF(O2387&lt;&gt;"",O2387+P2387,"")</f>
        <v/>
      </c>
      <c r="R2387" s="84"/>
    </row>
    <row r="2388" customFormat="false" ht="15" hidden="false" customHeight="true" outlineLevel="0" collapsed="false">
      <c r="A2388" s="103"/>
      <c r="B2388" s="73"/>
      <c r="C2388" s="74"/>
      <c r="D2388" s="75"/>
      <c r="E2388" s="52" t="str">
        <f aca="false">IF(D2388&lt;&gt;"",IFERROR(VLOOKUP(D2388,PROVEEDORES!$A:$B,2,0),"!COD NO ENCONTRADO"),"")</f>
        <v/>
      </c>
      <c r="F2388" s="76" t="str">
        <f aca="false">IF(D2388&lt;&gt;"",IFERROR(VLOOKUP(D2388,PROVEEDORES!$A:$C,3,0),""),"")</f>
        <v/>
      </c>
      <c r="G2388" s="75"/>
      <c r="H2388" s="52" t="str">
        <f aca="false">IF(G2388&lt;&gt;"",IFERROR(VLOOKUP(G2388,PRODUCTOS!$A:$B,2,0),"!COD NO ENCONTRADO"),"")</f>
        <v/>
      </c>
      <c r="I2388" s="77"/>
      <c r="J2388" s="78"/>
      <c r="K2388" s="79"/>
      <c r="L2388" s="80" t="str">
        <f aca="false">IF(AND(J2388&lt;&gt;"",K2388&lt;&gt;""),J2388*K2388,"")</f>
        <v/>
      </c>
      <c r="M2388" s="81" t="str">
        <f aca="false">IF(L2388&lt;&gt;"",L2388*1.1,"")</f>
        <v/>
      </c>
      <c r="N2388" s="53" t="n">
        <f aca="false">IF(F2388="S",L2388*0.02,0)</f>
        <v>0</v>
      </c>
      <c r="O2388" s="82" t="str">
        <f aca="false">IF(L2388&lt;&gt;"",L2388+N2388,"")</f>
        <v/>
      </c>
      <c r="P2388" s="53" t="str">
        <f aca="false">IF(O2388&lt;&gt;"",O2388*0.1,"")</f>
        <v/>
      </c>
      <c r="Q2388" s="83" t="str">
        <f aca="false">IF(O2388&lt;&gt;"",O2388+P2388,"")</f>
        <v/>
      </c>
      <c r="R2388" s="84"/>
    </row>
    <row r="2389" customFormat="false" ht="15" hidden="false" customHeight="true" outlineLevel="0" collapsed="false">
      <c r="A2389" s="103"/>
      <c r="B2389" s="85"/>
      <c r="C2389" s="86"/>
      <c r="D2389" s="87"/>
      <c r="E2389" s="46" t="str">
        <f aca="false">IF(D2389&lt;&gt;"",IFERROR(VLOOKUP(D2389,PROVEEDORES!$A:$B,2,0),"!COD NO ENCONTRADO"),"")</f>
        <v/>
      </c>
      <c r="F2389" s="88" t="str">
        <f aca="false">IF(D2389&lt;&gt;"",IFERROR(VLOOKUP(D2389,PROVEEDORES!$A:$C,3,0),""),"")</f>
        <v/>
      </c>
      <c r="G2389" s="87"/>
      <c r="H2389" s="46" t="str">
        <f aca="false">IF(G2389&lt;&gt;"",IFERROR(VLOOKUP(G2389,PRODUCTOS!$A:$B,2,0),"!COD NO ENCONTRADO"),"")</f>
        <v/>
      </c>
      <c r="I2389" s="89"/>
      <c r="J2389" s="90"/>
      <c r="K2389" s="91"/>
      <c r="L2389" s="80" t="str">
        <f aca="false">IF(AND(J2389&lt;&gt;"",K2389&lt;&gt;""),J2389*K2389,"")</f>
        <v/>
      </c>
      <c r="M2389" s="81" t="str">
        <f aca="false">IF(L2389&lt;&gt;"",L2389*1.1,"")</f>
        <v/>
      </c>
      <c r="N2389" s="47" t="n">
        <f aca="false">IF(F2389="S",L2389*0.02,0)</f>
        <v>0</v>
      </c>
      <c r="O2389" s="82" t="str">
        <f aca="false">IF(L2389&lt;&gt;"",L2389+N2389,"")</f>
        <v/>
      </c>
      <c r="P2389" s="47" t="str">
        <f aca="false">IF(O2389&lt;&gt;"",O2389*0.1,"")</f>
        <v/>
      </c>
      <c r="Q2389" s="83" t="str">
        <f aca="false">IF(O2389&lt;&gt;"",O2389+P2389,"")</f>
        <v/>
      </c>
      <c r="R2389" s="84"/>
    </row>
    <row r="2390" customFormat="false" ht="15" hidden="false" customHeight="true" outlineLevel="0" collapsed="false">
      <c r="A2390" s="103"/>
      <c r="B2390" s="73"/>
      <c r="C2390" s="74"/>
      <c r="D2390" s="75"/>
      <c r="E2390" s="52" t="str">
        <f aca="false">IF(D2390&lt;&gt;"",IFERROR(VLOOKUP(D2390,PROVEEDORES!$A:$B,2,0),"!COD NO ENCONTRADO"),"")</f>
        <v/>
      </c>
      <c r="F2390" s="76" t="str">
        <f aca="false">IF(D2390&lt;&gt;"",IFERROR(VLOOKUP(D2390,PROVEEDORES!$A:$C,3,0),""),"")</f>
        <v/>
      </c>
      <c r="G2390" s="75"/>
      <c r="H2390" s="52" t="str">
        <f aca="false">IF(G2390&lt;&gt;"",IFERROR(VLOOKUP(G2390,PRODUCTOS!$A:$B,2,0),"!COD NO ENCONTRADO"),"")</f>
        <v/>
      </c>
      <c r="I2390" s="77"/>
      <c r="J2390" s="78"/>
      <c r="K2390" s="79"/>
      <c r="L2390" s="80" t="str">
        <f aca="false">IF(AND(J2390&lt;&gt;"",K2390&lt;&gt;""),J2390*K2390,"")</f>
        <v/>
      </c>
      <c r="M2390" s="81" t="str">
        <f aca="false">IF(L2390&lt;&gt;"",L2390*1.1,"")</f>
        <v/>
      </c>
      <c r="N2390" s="53" t="n">
        <f aca="false">IF(F2390="S",L2390*0.02,0)</f>
        <v>0</v>
      </c>
      <c r="O2390" s="82" t="str">
        <f aca="false">IF(L2390&lt;&gt;"",L2390+N2390,"")</f>
        <v/>
      </c>
      <c r="P2390" s="53" t="str">
        <f aca="false">IF(O2390&lt;&gt;"",O2390*0.1,"")</f>
        <v/>
      </c>
      <c r="Q2390" s="83" t="str">
        <f aca="false">IF(O2390&lt;&gt;"",O2390+P2390,"")</f>
        <v/>
      </c>
      <c r="R2390" s="84"/>
    </row>
    <row r="2391" customFormat="false" ht="15" hidden="false" customHeight="true" outlineLevel="0" collapsed="false">
      <c r="A2391" s="103"/>
      <c r="B2391" s="85"/>
      <c r="C2391" s="86"/>
      <c r="D2391" s="87"/>
      <c r="E2391" s="46" t="str">
        <f aca="false">IF(D2391&lt;&gt;"",IFERROR(VLOOKUP(D2391,PROVEEDORES!$A:$B,2,0),"!COD NO ENCONTRADO"),"")</f>
        <v/>
      </c>
      <c r="F2391" s="88" t="str">
        <f aca="false">IF(D2391&lt;&gt;"",IFERROR(VLOOKUP(D2391,PROVEEDORES!$A:$C,3,0),""),"")</f>
        <v/>
      </c>
      <c r="G2391" s="87"/>
      <c r="H2391" s="46" t="str">
        <f aca="false">IF(G2391&lt;&gt;"",IFERROR(VLOOKUP(G2391,PRODUCTOS!$A:$B,2,0),"!COD NO ENCONTRADO"),"")</f>
        <v/>
      </c>
      <c r="I2391" s="89"/>
      <c r="J2391" s="90"/>
      <c r="K2391" s="91"/>
      <c r="L2391" s="80" t="str">
        <f aca="false">IF(AND(J2391&lt;&gt;"",K2391&lt;&gt;""),J2391*K2391,"")</f>
        <v/>
      </c>
      <c r="M2391" s="81" t="str">
        <f aca="false">IF(L2391&lt;&gt;"",L2391*1.1,"")</f>
        <v/>
      </c>
      <c r="N2391" s="47" t="n">
        <f aca="false">IF(F2391="S",L2391*0.02,0)</f>
        <v>0</v>
      </c>
      <c r="O2391" s="82" t="str">
        <f aca="false">IF(L2391&lt;&gt;"",L2391+N2391,"")</f>
        <v/>
      </c>
      <c r="P2391" s="47" t="str">
        <f aca="false">IF(O2391&lt;&gt;"",O2391*0.1,"")</f>
        <v/>
      </c>
      <c r="Q2391" s="83" t="str">
        <f aca="false">IF(O2391&lt;&gt;"",O2391+P2391,"")</f>
        <v/>
      </c>
      <c r="R2391" s="84"/>
    </row>
    <row r="2392" customFormat="false" ht="15" hidden="false" customHeight="true" outlineLevel="0" collapsed="false">
      <c r="A2392" s="103"/>
      <c r="B2392" s="73"/>
      <c r="C2392" s="74"/>
      <c r="D2392" s="75"/>
      <c r="E2392" s="52" t="str">
        <f aca="false">IF(D2392&lt;&gt;"",IFERROR(VLOOKUP(D2392,PROVEEDORES!$A:$B,2,0),"!COD NO ENCONTRADO"),"")</f>
        <v/>
      </c>
      <c r="F2392" s="76" t="str">
        <f aca="false">IF(D2392&lt;&gt;"",IFERROR(VLOOKUP(D2392,PROVEEDORES!$A:$C,3,0),""),"")</f>
        <v/>
      </c>
      <c r="G2392" s="75"/>
      <c r="H2392" s="52" t="str">
        <f aca="false">IF(G2392&lt;&gt;"",IFERROR(VLOOKUP(G2392,PRODUCTOS!$A:$B,2,0),"!COD NO ENCONTRADO"),"")</f>
        <v/>
      </c>
      <c r="I2392" s="77"/>
      <c r="J2392" s="78"/>
      <c r="K2392" s="79"/>
      <c r="L2392" s="80" t="str">
        <f aca="false">IF(AND(J2392&lt;&gt;"",K2392&lt;&gt;""),J2392*K2392,"")</f>
        <v/>
      </c>
      <c r="M2392" s="81" t="str">
        <f aca="false">IF(L2392&lt;&gt;"",L2392*1.1,"")</f>
        <v/>
      </c>
      <c r="N2392" s="53" t="n">
        <f aca="false">IF(F2392="S",L2392*0.02,0)</f>
        <v>0</v>
      </c>
      <c r="O2392" s="82" t="str">
        <f aca="false">IF(L2392&lt;&gt;"",L2392+N2392,"")</f>
        <v/>
      </c>
      <c r="P2392" s="53" t="str">
        <f aca="false">IF(O2392&lt;&gt;"",O2392*0.1,"")</f>
        <v/>
      </c>
      <c r="Q2392" s="83" t="str">
        <f aca="false">IF(O2392&lt;&gt;"",O2392+P2392,"")</f>
        <v/>
      </c>
      <c r="R2392" s="84"/>
    </row>
    <row r="2393" customFormat="false" ht="15" hidden="false" customHeight="true" outlineLevel="0" collapsed="false">
      <c r="A2393" s="103"/>
      <c r="B2393" s="85"/>
      <c r="C2393" s="86"/>
      <c r="D2393" s="87"/>
      <c r="E2393" s="46" t="str">
        <f aca="false">IF(D2393&lt;&gt;"",IFERROR(VLOOKUP(D2393,PROVEEDORES!$A:$B,2,0),"!COD NO ENCONTRADO"),"")</f>
        <v/>
      </c>
      <c r="F2393" s="88" t="str">
        <f aca="false">IF(D2393&lt;&gt;"",IFERROR(VLOOKUP(D2393,PROVEEDORES!$A:$C,3,0),""),"")</f>
        <v/>
      </c>
      <c r="G2393" s="87"/>
      <c r="H2393" s="46" t="str">
        <f aca="false">IF(G2393&lt;&gt;"",IFERROR(VLOOKUP(G2393,PRODUCTOS!$A:$B,2,0),"!COD NO ENCONTRADO"),"")</f>
        <v/>
      </c>
      <c r="I2393" s="89"/>
      <c r="J2393" s="90"/>
      <c r="K2393" s="91"/>
      <c r="L2393" s="80" t="str">
        <f aca="false">IF(AND(J2393&lt;&gt;"",K2393&lt;&gt;""),J2393*K2393,"")</f>
        <v/>
      </c>
      <c r="M2393" s="81" t="str">
        <f aca="false">IF(L2393&lt;&gt;"",L2393*1.1,"")</f>
        <v/>
      </c>
      <c r="N2393" s="47" t="n">
        <f aca="false">IF(F2393="S",L2393*0.02,0)</f>
        <v>0</v>
      </c>
      <c r="O2393" s="82" t="str">
        <f aca="false">IF(L2393&lt;&gt;"",L2393+N2393,"")</f>
        <v/>
      </c>
      <c r="P2393" s="47" t="str">
        <f aca="false">IF(O2393&lt;&gt;"",O2393*0.1,"")</f>
        <v/>
      </c>
      <c r="Q2393" s="83" t="str">
        <f aca="false">IF(O2393&lt;&gt;"",O2393+P2393,"")</f>
        <v/>
      </c>
      <c r="R2393" s="84"/>
    </row>
    <row r="2394" customFormat="false" ht="15" hidden="false" customHeight="true" outlineLevel="0" collapsed="false">
      <c r="A2394" s="103"/>
      <c r="B2394" s="73"/>
      <c r="C2394" s="74"/>
      <c r="D2394" s="75"/>
      <c r="E2394" s="52" t="str">
        <f aca="false">IF(D2394&lt;&gt;"",IFERROR(VLOOKUP(D2394,PROVEEDORES!$A:$B,2,0),"!COD NO ENCONTRADO"),"")</f>
        <v/>
      </c>
      <c r="F2394" s="76" t="str">
        <f aca="false">IF(D2394&lt;&gt;"",IFERROR(VLOOKUP(D2394,PROVEEDORES!$A:$C,3,0),""),"")</f>
        <v/>
      </c>
      <c r="G2394" s="75"/>
      <c r="H2394" s="52" t="str">
        <f aca="false">IF(G2394&lt;&gt;"",IFERROR(VLOOKUP(G2394,PRODUCTOS!$A:$B,2,0),"!COD NO ENCONTRADO"),"")</f>
        <v/>
      </c>
      <c r="I2394" s="77"/>
      <c r="J2394" s="78"/>
      <c r="K2394" s="79"/>
      <c r="L2394" s="80" t="str">
        <f aca="false">IF(AND(J2394&lt;&gt;"",K2394&lt;&gt;""),J2394*K2394,"")</f>
        <v/>
      </c>
      <c r="M2394" s="81" t="str">
        <f aca="false">IF(L2394&lt;&gt;"",L2394*1.1,"")</f>
        <v/>
      </c>
      <c r="N2394" s="53" t="n">
        <f aca="false">IF(F2394="S",L2394*0.02,0)</f>
        <v>0</v>
      </c>
      <c r="O2394" s="82" t="str">
        <f aca="false">IF(L2394&lt;&gt;"",L2394+N2394,"")</f>
        <v/>
      </c>
      <c r="P2394" s="53" t="str">
        <f aca="false">IF(O2394&lt;&gt;"",O2394*0.1,"")</f>
        <v/>
      </c>
      <c r="Q2394" s="83" t="str">
        <f aca="false">IF(O2394&lt;&gt;"",O2394+P2394,"")</f>
        <v/>
      </c>
      <c r="R2394" s="84"/>
    </row>
    <row r="2395" customFormat="false" ht="15" hidden="false" customHeight="true" outlineLevel="0" collapsed="false">
      <c r="A2395" s="103"/>
      <c r="B2395" s="85"/>
      <c r="C2395" s="86"/>
      <c r="D2395" s="87"/>
      <c r="E2395" s="46" t="str">
        <f aca="false">IF(D2395&lt;&gt;"",IFERROR(VLOOKUP(D2395,PROVEEDORES!$A:$B,2,0),"!COD NO ENCONTRADO"),"")</f>
        <v/>
      </c>
      <c r="F2395" s="88" t="str">
        <f aca="false">IF(D2395&lt;&gt;"",IFERROR(VLOOKUP(D2395,PROVEEDORES!$A:$C,3,0),""),"")</f>
        <v/>
      </c>
      <c r="G2395" s="87"/>
      <c r="H2395" s="46" t="str">
        <f aca="false">IF(G2395&lt;&gt;"",IFERROR(VLOOKUP(G2395,PRODUCTOS!$A:$B,2,0),"!COD NO ENCONTRADO"),"")</f>
        <v/>
      </c>
      <c r="I2395" s="89"/>
      <c r="J2395" s="90"/>
      <c r="K2395" s="91"/>
      <c r="L2395" s="80" t="str">
        <f aca="false">IF(AND(J2395&lt;&gt;"",K2395&lt;&gt;""),J2395*K2395,"")</f>
        <v/>
      </c>
      <c r="M2395" s="81" t="str">
        <f aca="false">IF(L2395&lt;&gt;"",L2395*1.1,"")</f>
        <v/>
      </c>
      <c r="N2395" s="47" t="n">
        <f aca="false">IF(F2395="S",L2395*0.02,0)</f>
        <v>0</v>
      </c>
      <c r="O2395" s="82" t="str">
        <f aca="false">IF(L2395&lt;&gt;"",L2395+N2395,"")</f>
        <v/>
      </c>
      <c r="P2395" s="47" t="str">
        <f aca="false">IF(O2395&lt;&gt;"",O2395*0.1,"")</f>
        <v/>
      </c>
      <c r="Q2395" s="83" t="str">
        <f aca="false">IF(O2395&lt;&gt;"",O2395+P2395,"")</f>
        <v/>
      </c>
      <c r="R2395" s="84"/>
    </row>
    <row r="2396" customFormat="false" ht="15" hidden="false" customHeight="true" outlineLevel="0" collapsed="false">
      <c r="A2396" s="103"/>
      <c r="B2396" s="73"/>
      <c r="C2396" s="74"/>
      <c r="D2396" s="75"/>
      <c r="E2396" s="52" t="str">
        <f aca="false">IF(D2396&lt;&gt;"",IFERROR(VLOOKUP(D2396,PROVEEDORES!$A:$B,2,0),"!COD NO ENCONTRADO"),"")</f>
        <v/>
      </c>
      <c r="F2396" s="76" t="str">
        <f aca="false">IF(D2396&lt;&gt;"",IFERROR(VLOOKUP(D2396,PROVEEDORES!$A:$C,3,0),""),"")</f>
        <v/>
      </c>
      <c r="G2396" s="75"/>
      <c r="H2396" s="52" t="str">
        <f aca="false">IF(G2396&lt;&gt;"",IFERROR(VLOOKUP(G2396,PRODUCTOS!$A:$B,2,0),"!COD NO ENCONTRADO"),"")</f>
        <v/>
      </c>
      <c r="I2396" s="77"/>
      <c r="J2396" s="78"/>
      <c r="K2396" s="79"/>
      <c r="L2396" s="80" t="str">
        <f aca="false">IF(AND(J2396&lt;&gt;"",K2396&lt;&gt;""),J2396*K2396,"")</f>
        <v/>
      </c>
      <c r="M2396" s="81" t="str">
        <f aca="false">IF(L2396&lt;&gt;"",L2396*1.1,"")</f>
        <v/>
      </c>
      <c r="N2396" s="53" t="n">
        <f aca="false">IF(F2396="S",L2396*0.02,0)</f>
        <v>0</v>
      </c>
      <c r="O2396" s="82" t="str">
        <f aca="false">IF(L2396&lt;&gt;"",L2396+N2396,"")</f>
        <v/>
      </c>
      <c r="P2396" s="53" t="str">
        <f aca="false">IF(O2396&lt;&gt;"",O2396*0.1,"")</f>
        <v/>
      </c>
      <c r="Q2396" s="83" t="str">
        <f aca="false">IF(O2396&lt;&gt;"",O2396+P2396,"")</f>
        <v/>
      </c>
      <c r="R2396" s="84"/>
    </row>
    <row r="2397" customFormat="false" ht="15" hidden="false" customHeight="true" outlineLevel="0" collapsed="false">
      <c r="A2397" s="103"/>
      <c r="B2397" s="85"/>
      <c r="C2397" s="86"/>
      <c r="D2397" s="87"/>
      <c r="E2397" s="46" t="str">
        <f aca="false">IF(D2397&lt;&gt;"",IFERROR(VLOOKUP(D2397,PROVEEDORES!$A:$B,2,0),"!COD NO ENCONTRADO"),"")</f>
        <v/>
      </c>
      <c r="F2397" s="88" t="str">
        <f aca="false">IF(D2397&lt;&gt;"",IFERROR(VLOOKUP(D2397,PROVEEDORES!$A:$C,3,0),""),"")</f>
        <v/>
      </c>
      <c r="G2397" s="87"/>
      <c r="H2397" s="46" t="str">
        <f aca="false">IF(G2397&lt;&gt;"",IFERROR(VLOOKUP(G2397,PRODUCTOS!$A:$B,2,0),"!COD NO ENCONTRADO"),"")</f>
        <v/>
      </c>
      <c r="I2397" s="89"/>
      <c r="J2397" s="90"/>
      <c r="K2397" s="91"/>
      <c r="L2397" s="80" t="str">
        <f aca="false">IF(AND(J2397&lt;&gt;"",K2397&lt;&gt;""),J2397*K2397,"")</f>
        <v/>
      </c>
      <c r="M2397" s="81" t="str">
        <f aca="false">IF(L2397&lt;&gt;"",L2397*1.1,"")</f>
        <v/>
      </c>
      <c r="N2397" s="47" t="n">
        <f aca="false">IF(F2397="S",L2397*0.02,0)</f>
        <v>0</v>
      </c>
      <c r="O2397" s="82" t="str">
        <f aca="false">IF(L2397&lt;&gt;"",L2397+N2397,"")</f>
        <v/>
      </c>
      <c r="P2397" s="47" t="str">
        <f aca="false">IF(O2397&lt;&gt;"",O2397*0.1,"")</f>
        <v/>
      </c>
      <c r="Q2397" s="83" t="str">
        <f aca="false">IF(O2397&lt;&gt;"",O2397+P2397,"")</f>
        <v/>
      </c>
      <c r="R2397" s="84"/>
    </row>
    <row r="2398" customFormat="false" ht="15" hidden="false" customHeight="true" outlineLevel="0" collapsed="false">
      <c r="A2398" s="103"/>
      <c r="B2398" s="73"/>
      <c r="C2398" s="74"/>
      <c r="D2398" s="75"/>
      <c r="E2398" s="52" t="str">
        <f aca="false">IF(D2398&lt;&gt;"",IFERROR(VLOOKUP(D2398,PROVEEDORES!$A:$B,2,0),"!COD NO ENCONTRADO"),"")</f>
        <v/>
      </c>
      <c r="F2398" s="76" t="str">
        <f aca="false">IF(D2398&lt;&gt;"",IFERROR(VLOOKUP(D2398,PROVEEDORES!$A:$C,3,0),""),"")</f>
        <v/>
      </c>
      <c r="G2398" s="75"/>
      <c r="H2398" s="52" t="str">
        <f aca="false">IF(G2398&lt;&gt;"",IFERROR(VLOOKUP(G2398,PRODUCTOS!$A:$B,2,0),"!COD NO ENCONTRADO"),"")</f>
        <v/>
      </c>
      <c r="I2398" s="77"/>
      <c r="J2398" s="78"/>
      <c r="K2398" s="79"/>
      <c r="L2398" s="80" t="str">
        <f aca="false">IF(AND(J2398&lt;&gt;"",K2398&lt;&gt;""),J2398*K2398,"")</f>
        <v/>
      </c>
      <c r="M2398" s="81" t="str">
        <f aca="false">IF(L2398&lt;&gt;"",L2398*1.1,"")</f>
        <v/>
      </c>
      <c r="N2398" s="53" t="n">
        <f aca="false">IF(F2398="S",L2398*0.02,0)</f>
        <v>0</v>
      </c>
      <c r="O2398" s="82" t="str">
        <f aca="false">IF(L2398&lt;&gt;"",L2398+N2398,"")</f>
        <v/>
      </c>
      <c r="P2398" s="53" t="str">
        <f aca="false">IF(O2398&lt;&gt;"",O2398*0.1,"")</f>
        <v/>
      </c>
      <c r="Q2398" s="83" t="str">
        <f aca="false">IF(O2398&lt;&gt;"",O2398+P2398,"")</f>
        <v/>
      </c>
      <c r="R2398" s="84"/>
    </row>
    <row r="2399" customFormat="false" ht="15" hidden="false" customHeight="true" outlineLevel="0" collapsed="false">
      <c r="A2399" s="103"/>
      <c r="B2399" s="85"/>
      <c r="C2399" s="86"/>
      <c r="D2399" s="87"/>
      <c r="E2399" s="46" t="str">
        <f aca="false">IF(D2399&lt;&gt;"",IFERROR(VLOOKUP(D2399,PROVEEDORES!$A:$B,2,0),"!COD NO ENCONTRADO"),"")</f>
        <v/>
      </c>
      <c r="F2399" s="88" t="str">
        <f aca="false">IF(D2399&lt;&gt;"",IFERROR(VLOOKUP(D2399,PROVEEDORES!$A:$C,3,0),""),"")</f>
        <v/>
      </c>
      <c r="G2399" s="87"/>
      <c r="H2399" s="46" t="str">
        <f aca="false">IF(G2399&lt;&gt;"",IFERROR(VLOOKUP(G2399,PRODUCTOS!$A:$B,2,0),"!COD NO ENCONTRADO"),"")</f>
        <v/>
      </c>
      <c r="I2399" s="89"/>
      <c r="J2399" s="90"/>
      <c r="K2399" s="91"/>
      <c r="L2399" s="80" t="str">
        <f aca="false">IF(AND(J2399&lt;&gt;"",K2399&lt;&gt;""),J2399*K2399,"")</f>
        <v/>
      </c>
      <c r="M2399" s="81" t="str">
        <f aca="false">IF(L2399&lt;&gt;"",L2399*1.1,"")</f>
        <v/>
      </c>
      <c r="N2399" s="47" t="n">
        <f aca="false">IF(F2399="S",L2399*0.02,0)</f>
        <v>0</v>
      </c>
      <c r="O2399" s="82" t="str">
        <f aca="false">IF(L2399&lt;&gt;"",L2399+N2399,"")</f>
        <v/>
      </c>
      <c r="P2399" s="47" t="str">
        <f aca="false">IF(O2399&lt;&gt;"",O2399*0.1,"")</f>
        <v/>
      </c>
      <c r="Q2399" s="83" t="str">
        <f aca="false">IF(O2399&lt;&gt;"",O2399+P2399,"")</f>
        <v/>
      </c>
      <c r="R2399" s="84"/>
    </row>
    <row r="2400" customFormat="false" ht="15" hidden="false" customHeight="true" outlineLevel="0" collapsed="false">
      <c r="A2400" s="103"/>
      <c r="B2400" s="73"/>
      <c r="C2400" s="74"/>
      <c r="D2400" s="75"/>
      <c r="E2400" s="52" t="str">
        <f aca="false">IF(D2400&lt;&gt;"",IFERROR(VLOOKUP(D2400,PROVEEDORES!$A:$B,2,0),"!COD NO ENCONTRADO"),"")</f>
        <v/>
      </c>
      <c r="F2400" s="76" t="str">
        <f aca="false">IF(D2400&lt;&gt;"",IFERROR(VLOOKUP(D2400,PROVEEDORES!$A:$C,3,0),""),"")</f>
        <v/>
      </c>
      <c r="G2400" s="75"/>
      <c r="H2400" s="52" t="str">
        <f aca="false">IF(G2400&lt;&gt;"",IFERROR(VLOOKUP(G2400,PRODUCTOS!$A:$B,2,0),"!COD NO ENCONTRADO"),"")</f>
        <v/>
      </c>
      <c r="I2400" s="77"/>
      <c r="J2400" s="78"/>
      <c r="K2400" s="79"/>
      <c r="L2400" s="80" t="str">
        <f aca="false">IF(AND(J2400&lt;&gt;"",K2400&lt;&gt;""),J2400*K2400,"")</f>
        <v/>
      </c>
      <c r="M2400" s="81" t="str">
        <f aca="false">IF(L2400&lt;&gt;"",L2400*1.1,"")</f>
        <v/>
      </c>
      <c r="N2400" s="53" t="n">
        <f aca="false">IF(F2400="S",L2400*0.02,0)</f>
        <v>0</v>
      </c>
      <c r="O2400" s="82" t="str">
        <f aca="false">IF(L2400&lt;&gt;"",L2400+N2400,"")</f>
        <v/>
      </c>
      <c r="P2400" s="53" t="str">
        <f aca="false">IF(O2400&lt;&gt;"",O2400*0.1,"")</f>
        <v/>
      </c>
      <c r="Q2400" s="83" t="str">
        <f aca="false">IF(O2400&lt;&gt;"",O2400+P2400,"")</f>
        <v/>
      </c>
      <c r="R2400" s="84"/>
    </row>
    <row r="2401" customFormat="false" ht="15" hidden="false" customHeight="true" outlineLevel="0" collapsed="false">
      <c r="A2401" s="103"/>
      <c r="B2401" s="85"/>
      <c r="C2401" s="86"/>
      <c r="D2401" s="87"/>
      <c r="E2401" s="46" t="str">
        <f aca="false">IF(D2401&lt;&gt;"",IFERROR(VLOOKUP(D2401,PROVEEDORES!$A:$B,2,0),"!COD NO ENCONTRADO"),"")</f>
        <v/>
      </c>
      <c r="F2401" s="88" t="str">
        <f aca="false">IF(D2401&lt;&gt;"",IFERROR(VLOOKUP(D2401,PROVEEDORES!$A:$C,3,0),""),"")</f>
        <v/>
      </c>
      <c r="G2401" s="87"/>
      <c r="H2401" s="46" t="str">
        <f aca="false">IF(G2401&lt;&gt;"",IFERROR(VLOOKUP(G2401,PRODUCTOS!$A:$B,2,0),"!COD NO ENCONTRADO"),"")</f>
        <v/>
      </c>
      <c r="I2401" s="89"/>
      <c r="J2401" s="90"/>
      <c r="K2401" s="91"/>
      <c r="L2401" s="80" t="str">
        <f aca="false">IF(AND(J2401&lt;&gt;"",K2401&lt;&gt;""),J2401*K2401,"")</f>
        <v/>
      </c>
      <c r="M2401" s="81" t="str">
        <f aca="false">IF(L2401&lt;&gt;"",L2401*1.1,"")</f>
        <v/>
      </c>
      <c r="N2401" s="47" t="n">
        <f aca="false">IF(F2401="S",L2401*0.02,0)</f>
        <v>0</v>
      </c>
      <c r="O2401" s="82" t="str">
        <f aca="false">IF(L2401&lt;&gt;"",L2401+N2401,"")</f>
        <v/>
      </c>
      <c r="P2401" s="47" t="str">
        <f aca="false">IF(O2401&lt;&gt;"",O2401*0.1,"")</f>
        <v/>
      </c>
      <c r="Q2401" s="83" t="str">
        <f aca="false">IF(O2401&lt;&gt;"",O2401+P2401,"")</f>
        <v/>
      </c>
      <c r="R2401" s="84"/>
    </row>
    <row r="2402" customFormat="false" ht="15" hidden="false" customHeight="true" outlineLevel="0" collapsed="false">
      <c r="A2402" s="103"/>
      <c r="B2402" s="73"/>
      <c r="C2402" s="74"/>
      <c r="D2402" s="75"/>
      <c r="E2402" s="52" t="str">
        <f aca="false">IF(D2402&lt;&gt;"",IFERROR(VLOOKUP(D2402,PROVEEDORES!$A:$B,2,0),"!COD NO ENCONTRADO"),"")</f>
        <v/>
      </c>
      <c r="F2402" s="76" t="str">
        <f aca="false">IF(D2402&lt;&gt;"",IFERROR(VLOOKUP(D2402,PROVEEDORES!$A:$C,3,0),""),"")</f>
        <v/>
      </c>
      <c r="G2402" s="75"/>
      <c r="H2402" s="52" t="str">
        <f aca="false">IF(G2402&lt;&gt;"",IFERROR(VLOOKUP(G2402,PRODUCTOS!$A:$B,2,0),"!COD NO ENCONTRADO"),"")</f>
        <v/>
      </c>
      <c r="I2402" s="77"/>
      <c r="J2402" s="78"/>
      <c r="K2402" s="79"/>
      <c r="L2402" s="80" t="str">
        <f aca="false">IF(AND(J2402&lt;&gt;"",K2402&lt;&gt;""),J2402*K2402,"")</f>
        <v/>
      </c>
      <c r="M2402" s="81" t="str">
        <f aca="false">IF(L2402&lt;&gt;"",L2402*1.1,"")</f>
        <v/>
      </c>
      <c r="N2402" s="53" t="n">
        <f aca="false">IF(F2402="S",L2402*0.02,0)</f>
        <v>0</v>
      </c>
      <c r="O2402" s="82" t="str">
        <f aca="false">IF(L2402&lt;&gt;"",L2402+N2402,"")</f>
        <v/>
      </c>
      <c r="P2402" s="53" t="str">
        <f aca="false">IF(O2402&lt;&gt;"",O2402*0.1,"")</f>
        <v/>
      </c>
      <c r="Q2402" s="83" t="str">
        <f aca="false">IF(O2402&lt;&gt;"",O2402+P2402,"")</f>
        <v/>
      </c>
      <c r="R2402" s="84"/>
    </row>
    <row r="2403" customFormat="false" ht="15" hidden="false" customHeight="true" outlineLevel="0" collapsed="false">
      <c r="A2403" s="103"/>
      <c r="B2403" s="85"/>
      <c r="C2403" s="86"/>
      <c r="D2403" s="87"/>
      <c r="E2403" s="46" t="str">
        <f aca="false">IF(D2403&lt;&gt;"",IFERROR(VLOOKUP(D2403,PROVEEDORES!$A:$B,2,0),"!COD NO ENCONTRADO"),"")</f>
        <v/>
      </c>
      <c r="F2403" s="88" t="str">
        <f aca="false">IF(D2403&lt;&gt;"",IFERROR(VLOOKUP(D2403,PROVEEDORES!$A:$C,3,0),""),"")</f>
        <v/>
      </c>
      <c r="G2403" s="87"/>
      <c r="H2403" s="46" t="str">
        <f aca="false">IF(G2403&lt;&gt;"",IFERROR(VLOOKUP(G2403,PRODUCTOS!$A:$B,2,0),"!COD NO ENCONTRADO"),"")</f>
        <v/>
      </c>
      <c r="I2403" s="89"/>
      <c r="J2403" s="90"/>
      <c r="K2403" s="91"/>
      <c r="L2403" s="80" t="str">
        <f aca="false">IF(AND(J2403&lt;&gt;"",K2403&lt;&gt;""),J2403*K2403,"")</f>
        <v/>
      </c>
      <c r="M2403" s="81" t="str">
        <f aca="false">IF(L2403&lt;&gt;"",L2403*1.1,"")</f>
        <v/>
      </c>
      <c r="N2403" s="47" t="n">
        <f aca="false">IF(F2403="S",L2403*0.02,0)</f>
        <v>0</v>
      </c>
      <c r="O2403" s="82" t="str">
        <f aca="false">IF(L2403&lt;&gt;"",L2403+N2403,"")</f>
        <v/>
      </c>
      <c r="P2403" s="47" t="str">
        <f aca="false">IF(O2403&lt;&gt;"",O2403*0.1,"")</f>
        <v/>
      </c>
      <c r="Q2403" s="83" t="str">
        <f aca="false">IF(O2403&lt;&gt;"",O2403+P2403,"")</f>
        <v/>
      </c>
      <c r="R2403" s="84"/>
    </row>
    <row r="2404" customFormat="false" ht="15" hidden="false" customHeight="true" outlineLevel="0" collapsed="false">
      <c r="A2404" s="103"/>
      <c r="B2404" s="73"/>
      <c r="C2404" s="74"/>
      <c r="D2404" s="75"/>
      <c r="E2404" s="52" t="str">
        <f aca="false">IF(D2404&lt;&gt;"",IFERROR(VLOOKUP(D2404,PROVEEDORES!$A:$B,2,0),"!COD NO ENCONTRADO"),"")</f>
        <v/>
      </c>
      <c r="F2404" s="76" t="str">
        <f aca="false">IF(D2404&lt;&gt;"",IFERROR(VLOOKUP(D2404,PROVEEDORES!$A:$C,3,0),""),"")</f>
        <v/>
      </c>
      <c r="G2404" s="75"/>
      <c r="H2404" s="52" t="str">
        <f aca="false">IF(G2404&lt;&gt;"",IFERROR(VLOOKUP(G2404,PRODUCTOS!$A:$B,2,0),"!COD NO ENCONTRADO"),"")</f>
        <v/>
      </c>
      <c r="I2404" s="77"/>
      <c r="J2404" s="78"/>
      <c r="K2404" s="79"/>
      <c r="L2404" s="80" t="str">
        <f aca="false">IF(AND(J2404&lt;&gt;"",K2404&lt;&gt;""),J2404*K2404,"")</f>
        <v/>
      </c>
      <c r="M2404" s="81" t="str">
        <f aca="false">IF(L2404&lt;&gt;"",L2404*1.1,"")</f>
        <v/>
      </c>
      <c r="N2404" s="53" t="n">
        <f aca="false">IF(F2404="S",L2404*0.02,0)</f>
        <v>0</v>
      </c>
      <c r="O2404" s="82" t="str">
        <f aca="false">IF(L2404&lt;&gt;"",L2404+N2404,"")</f>
        <v/>
      </c>
      <c r="P2404" s="53" t="str">
        <f aca="false">IF(O2404&lt;&gt;"",O2404*0.1,"")</f>
        <v/>
      </c>
      <c r="Q2404" s="83" t="str">
        <f aca="false">IF(O2404&lt;&gt;"",O2404+P2404,"")</f>
        <v/>
      </c>
      <c r="R2404" s="84"/>
    </row>
    <row r="2405" customFormat="false" ht="15" hidden="false" customHeight="true" outlineLevel="0" collapsed="false">
      <c r="A2405" s="103"/>
      <c r="B2405" s="85"/>
      <c r="C2405" s="86"/>
      <c r="D2405" s="87"/>
      <c r="E2405" s="46" t="str">
        <f aca="false">IF(D2405&lt;&gt;"",IFERROR(VLOOKUP(D2405,PROVEEDORES!$A:$B,2,0),"!COD NO ENCONTRADO"),"")</f>
        <v/>
      </c>
      <c r="F2405" s="88" t="str">
        <f aca="false">IF(D2405&lt;&gt;"",IFERROR(VLOOKUP(D2405,PROVEEDORES!$A:$C,3,0),""),"")</f>
        <v/>
      </c>
      <c r="G2405" s="87"/>
      <c r="H2405" s="46" t="str">
        <f aca="false">IF(G2405&lt;&gt;"",IFERROR(VLOOKUP(G2405,PRODUCTOS!$A:$B,2,0),"!COD NO ENCONTRADO"),"")</f>
        <v/>
      </c>
      <c r="I2405" s="89"/>
      <c r="J2405" s="90"/>
      <c r="K2405" s="91"/>
      <c r="L2405" s="80" t="str">
        <f aca="false">IF(AND(J2405&lt;&gt;"",K2405&lt;&gt;""),J2405*K2405,"")</f>
        <v/>
      </c>
      <c r="M2405" s="81" t="str">
        <f aca="false">IF(L2405&lt;&gt;"",L2405*1.1,"")</f>
        <v/>
      </c>
      <c r="N2405" s="47" t="n">
        <f aca="false">IF(F2405="S",L2405*0.02,0)</f>
        <v>0</v>
      </c>
      <c r="O2405" s="82" t="str">
        <f aca="false">IF(L2405&lt;&gt;"",L2405+N2405,"")</f>
        <v/>
      </c>
      <c r="P2405" s="47" t="str">
        <f aca="false">IF(O2405&lt;&gt;"",O2405*0.1,"")</f>
        <v/>
      </c>
      <c r="Q2405" s="83" t="str">
        <f aca="false">IF(O2405&lt;&gt;"",O2405+P2405,"")</f>
        <v/>
      </c>
      <c r="R2405" s="84"/>
    </row>
    <row r="2406" customFormat="false" ht="15" hidden="false" customHeight="true" outlineLevel="0" collapsed="false">
      <c r="A2406" s="103"/>
      <c r="B2406" s="73"/>
      <c r="C2406" s="74"/>
      <c r="D2406" s="75"/>
      <c r="E2406" s="52" t="str">
        <f aca="false">IF(D2406&lt;&gt;"",IFERROR(VLOOKUP(D2406,PROVEEDORES!$A:$B,2,0),"!COD NO ENCONTRADO"),"")</f>
        <v/>
      </c>
      <c r="F2406" s="76" t="str">
        <f aca="false">IF(D2406&lt;&gt;"",IFERROR(VLOOKUP(D2406,PROVEEDORES!$A:$C,3,0),""),"")</f>
        <v/>
      </c>
      <c r="G2406" s="75"/>
      <c r="H2406" s="52" t="str">
        <f aca="false">IF(G2406&lt;&gt;"",IFERROR(VLOOKUP(G2406,PRODUCTOS!$A:$B,2,0),"!COD NO ENCONTRADO"),"")</f>
        <v/>
      </c>
      <c r="I2406" s="77"/>
      <c r="J2406" s="78"/>
      <c r="K2406" s="79"/>
      <c r="L2406" s="80" t="str">
        <f aca="false">IF(AND(J2406&lt;&gt;"",K2406&lt;&gt;""),J2406*K2406,"")</f>
        <v/>
      </c>
      <c r="M2406" s="81" t="str">
        <f aca="false">IF(L2406&lt;&gt;"",L2406*1.1,"")</f>
        <v/>
      </c>
      <c r="N2406" s="53" t="n">
        <f aca="false">IF(F2406="S",L2406*0.02,0)</f>
        <v>0</v>
      </c>
      <c r="O2406" s="82" t="str">
        <f aca="false">IF(L2406&lt;&gt;"",L2406+N2406,"")</f>
        <v/>
      </c>
      <c r="P2406" s="53" t="str">
        <f aca="false">IF(O2406&lt;&gt;"",O2406*0.1,"")</f>
        <v/>
      </c>
      <c r="Q2406" s="83" t="str">
        <f aca="false">IF(O2406&lt;&gt;"",O2406+P2406,"")</f>
        <v/>
      </c>
      <c r="R2406" s="84"/>
    </row>
    <row r="2407" customFormat="false" ht="15" hidden="false" customHeight="true" outlineLevel="0" collapsed="false">
      <c r="A2407" s="103"/>
      <c r="B2407" s="85"/>
      <c r="C2407" s="86"/>
      <c r="D2407" s="87"/>
      <c r="E2407" s="46" t="str">
        <f aca="false">IF(D2407&lt;&gt;"",IFERROR(VLOOKUP(D2407,PROVEEDORES!$A:$B,2,0),"!COD NO ENCONTRADO"),"")</f>
        <v/>
      </c>
      <c r="F2407" s="88" t="str">
        <f aca="false">IF(D2407&lt;&gt;"",IFERROR(VLOOKUP(D2407,PROVEEDORES!$A:$C,3,0),""),"")</f>
        <v/>
      </c>
      <c r="G2407" s="87"/>
      <c r="H2407" s="46" t="str">
        <f aca="false">IF(G2407&lt;&gt;"",IFERROR(VLOOKUP(G2407,PRODUCTOS!$A:$B,2,0),"!COD NO ENCONTRADO"),"")</f>
        <v/>
      </c>
      <c r="I2407" s="89"/>
      <c r="J2407" s="90"/>
      <c r="K2407" s="91"/>
      <c r="L2407" s="80" t="str">
        <f aca="false">IF(AND(J2407&lt;&gt;"",K2407&lt;&gt;""),J2407*K2407,"")</f>
        <v/>
      </c>
      <c r="M2407" s="81" t="str">
        <f aca="false">IF(L2407&lt;&gt;"",L2407*1.1,"")</f>
        <v/>
      </c>
      <c r="N2407" s="47" t="n">
        <f aca="false">IF(F2407="S",L2407*0.02,0)</f>
        <v>0</v>
      </c>
      <c r="O2407" s="82" t="str">
        <f aca="false">IF(L2407&lt;&gt;"",L2407+N2407,"")</f>
        <v/>
      </c>
      <c r="P2407" s="47" t="str">
        <f aca="false">IF(O2407&lt;&gt;"",O2407*0.1,"")</f>
        <v/>
      </c>
      <c r="Q2407" s="83" t="str">
        <f aca="false">IF(O2407&lt;&gt;"",O2407+P2407,"")</f>
        <v/>
      </c>
      <c r="R2407" s="84"/>
    </row>
    <row r="2408" customFormat="false" ht="15" hidden="false" customHeight="true" outlineLevel="0" collapsed="false">
      <c r="A2408" s="103"/>
      <c r="B2408" s="73"/>
      <c r="C2408" s="74"/>
      <c r="D2408" s="75"/>
      <c r="E2408" s="52" t="str">
        <f aca="false">IF(D2408&lt;&gt;"",IFERROR(VLOOKUP(D2408,PROVEEDORES!$A:$B,2,0),"!COD NO ENCONTRADO"),"")</f>
        <v/>
      </c>
      <c r="F2408" s="76" t="str">
        <f aca="false">IF(D2408&lt;&gt;"",IFERROR(VLOOKUP(D2408,PROVEEDORES!$A:$C,3,0),""),"")</f>
        <v/>
      </c>
      <c r="G2408" s="75"/>
      <c r="H2408" s="52" t="str">
        <f aca="false">IF(G2408&lt;&gt;"",IFERROR(VLOOKUP(G2408,PRODUCTOS!$A:$B,2,0),"!COD NO ENCONTRADO"),"")</f>
        <v/>
      </c>
      <c r="I2408" s="77"/>
      <c r="J2408" s="78"/>
      <c r="K2408" s="79"/>
      <c r="L2408" s="80" t="str">
        <f aca="false">IF(AND(J2408&lt;&gt;"",K2408&lt;&gt;""),J2408*K2408,"")</f>
        <v/>
      </c>
      <c r="M2408" s="81" t="str">
        <f aca="false">IF(L2408&lt;&gt;"",L2408*1.1,"")</f>
        <v/>
      </c>
      <c r="N2408" s="53" t="n">
        <f aca="false">IF(F2408="S",L2408*0.02,0)</f>
        <v>0</v>
      </c>
      <c r="O2408" s="82" t="str">
        <f aca="false">IF(L2408&lt;&gt;"",L2408+N2408,"")</f>
        <v/>
      </c>
      <c r="P2408" s="53" t="str">
        <f aca="false">IF(O2408&lt;&gt;"",O2408*0.1,"")</f>
        <v/>
      </c>
      <c r="Q2408" s="83" t="str">
        <f aca="false">IF(O2408&lt;&gt;"",O2408+P2408,"")</f>
        <v/>
      </c>
      <c r="R2408" s="84"/>
    </row>
    <row r="2409" customFormat="false" ht="15" hidden="false" customHeight="true" outlineLevel="0" collapsed="false">
      <c r="A2409" s="103"/>
      <c r="B2409" s="85"/>
      <c r="C2409" s="86"/>
      <c r="D2409" s="87"/>
      <c r="E2409" s="46" t="str">
        <f aca="false">IF(D2409&lt;&gt;"",IFERROR(VLOOKUP(D2409,PROVEEDORES!$A:$B,2,0),"!COD NO ENCONTRADO"),"")</f>
        <v/>
      </c>
      <c r="F2409" s="88" t="str">
        <f aca="false">IF(D2409&lt;&gt;"",IFERROR(VLOOKUP(D2409,PROVEEDORES!$A:$C,3,0),""),"")</f>
        <v/>
      </c>
      <c r="G2409" s="87"/>
      <c r="H2409" s="46" t="str">
        <f aca="false">IF(G2409&lt;&gt;"",IFERROR(VLOOKUP(G2409,PRODUCTOS!$A:$B,2,0),"!COD NO ENCONTRADO"),"")</f>
        <v/>
      </c>
      <c r="I2409" s="89"/>
      <c r="J2409" s="90"/>
      <c r="K2409" s="91"/>
      <c r="L2409" s="80" t="str">
        <f aca="false">IF(AND(J2409&lt;&gt;"",K2409&lt;&gt;""),J2409*K2409,"")</f>
        <v/>
      </c>
      <c r="M2409" s="81" t="str">
        <f aca="false">IF(L2409&lt;&gt;"",L2409*1.1,"")</f>
        <v/>
      </c>
      <c r="N2409" s="47" t="n">
        <f aca="false">IF(F2409="S",L2409*0.02,0)</f>
        <v>0</v>
      </c>
      <c r="O2409" s="82" t="str">
        <f aca="false">IF(L2409&lt;&gt;"",L2409+N2409,"")</f>
        <v/>
      </c>
      <c r="P2409" s="47" t="str">
        <f aca="false">IF(O2409&lt;&gt;"",O2409*0.1,"")</f>
        <v/>
      </c>
      <c r="Q2409" s="83" t="str">
        <f aca="false">IF(O2409&lt;&gt;"",O2409+P2409,"")</f>
        <v/>
      </c>
      <c r="R2409" s="84"/>
    </row>
    <row r="2410" customFormat="false" ht="15" hidden="false" customHeight="true" outlineLevel="0" collapsed="false">
      <c r="A2410" s="103"/>
      <c r="B2410" s="73"/>
      <c r="C2410" s="74"/>
      <c r="D2410" s="75"/>
      <c r="E2410" s="52" t="str">
        <f aca="false">IF(D2410&lt;&gt;"",IFERROR(VLOOKUP(D2410,PROVEEDORES!$A:$B,2,0),"!COD NO ENCONTRADO"),"")</f>
        <v/>
      </c>
      <c r="F2410" s="76" t="str">
        <f aca="false">IF(D2410&lt;&gt;"",IFERROR(VLOOKUP(D2410,PROVEEDORES!$A:$C,3,0),""),"")</f>
        <v/>
      </c>
      <c r="G2410" s="75"/>
      <c r="H2410" s="52" t="str">
        <f aca="false">IF(G2410&lt;&gt;"",IFERROR(VLOOKUP(G2410,PRODUCTOS!$A:$B,2,0),"!COD NO ENCONTRADO"),"")</f>
        <v/>
      </c>
      <c r="I2410" s="77"/>
      <c r="J2410" s="78"/>
      <c r="K2410" s="79"/>
      <c r="L2410" s="80" t="str">
        <f aca="false">IF(AND(J2410&lt;&gt;"",K2410&lt;&gt;""),J2410*K2410,"")</f>
        <v/>
      </c>
      <c r="M2410" s="81" t="str">
        <f aca="false">IF(L2410&lt;&gt;"",L2410*1.1,"")</f>
        <v/>
      </c>
      <c r="N2410" s="53" t="n">
        <f aca="false">IF(F2410="S",L2410*0.02,0)</f>
        <v>0</v>
      </c>
      <c r="O2410" s="82" t="str">
        <f aca="false">IF(L2410&lt;&gt;"",L2410+N2410,"")</f>
        <v/>
      </c>
      <c r="P2410" s="53" t="str">
        <f aca="false">IF(O2410&lt;&gt;"",O2410*0.1,"")</f>
        <v/>
      </c>
      <c r="Q2410" s="83" t="str">
        <f aca="false">IF(O2410&lt;&gt;"",O2410+P2410,"")</f>
        <v/>
      </c>
      <c r="R2410" s="84"/>
    </row>
    <row r="2411" customFormat="false" ht="15" hidden="false" customHeight="true" outlineLevel="0" collapsed="false">
      <c r="A2411" s="103"/>
      <c r="B2411" s="85"/>
      <c r="C2411" s="86"/>
      <c r="D2411" s="87"/>
      <c r="E2411" s="46" t="str">
        <f aca="false">IF(D2411&lt;&gt;"",IFERROR(VLOOKUP(D2411,PROVEEDORES!$A:$B,2,0),"!COD NO ENCONTRADO"),"")</f>
        <v/>
      </c>
      <c r="F2411" s="88" t="str">
        <f aca="false">IF(D2411&lt;&gt;"",IFERROR(VLOOKUP(D2411,PROVEEDORES!$A:$C,3,0),""),"")</f>
        <v/>
      </c>
      <c r="G2411" s="87"/>
      <c r="H2411" s="46" t="str">
        <f aca="false">IF(G2411&lt;&gt;"",IFERROR(VLOOKUP(G2411,PRODUCTOS!$A:$B,2,0),"!COD NO ENCONTRADO"),"")</f>
        <v/>
      </c>
      <c r="I2411" s="89"/>
      <c r="J2411" s="90"/>
      <c r="K2411" s="91"/>
      <c r="L2411" s="80" t="str">
        <f aca="false">IF(AND(J2411&lt;&gt;"",K2411&lt;&gt;""),J2411*K2411,"")</f>
        <v/>
      </c>
      <c r="M2411" s="81" t="str">
        <f aca="false">IF(L2411&lt;&gt;"",L2411*1.1,"")</f>
        <v/>
      </c>
      <c r="N2411" s="47" t="n">
        <f aca="false">IF(F2411="S",L2411*0.02,0)</f>
        <v>0</v>
      </c>
      <c r="O2411" s="82" t="str">
        <f aca="false">IF(L2411&lt;&gt;"",L2411+N2411,"")</f>
        <v/>
      </c>
      <c r="P2411" s="47" t="str">
        <f aca="false">IF(O2411&lt;&gt;"",O2411*0.1,"")</f>
        <v/>
      </c>
      <c r="Q2411" s="83" t="str">
        <f aca="false">IF(O2411&lt;&gt;"",O2411+P2411,"")</f>
        <v/>
      </c>
      <c r="R2411" s="84"/>
    </row>
    <row r="2412" customFormat="false" ht="15" hidden="false" customHeight="true" outlineLevel="0" collapsed="false">
      <c r="A2412" s="103"/>
      <c r="B2412" s="73"/>
      <c r="C2412" s="74"/>
      <c r="D2412" s="75"/>
      <c r="E2412" s="52" t="str">
        <f aca="false">IF(D2412&lt;&gt;"",IFERROR(VLOOKUP(D2412,PROVEEDORES!$A:$B,2,0),"!COD NO ENCONTRADO"),"")</f>
        <v/>
      </c>
      <c r="F2412" s="76" t="str">
        <f aca="false">IF(D2412&lt;&gt;"",IFERROR(VLOOKUP(D2412,PROVEEDORES!$A:$C,3,0),""),"")</f>
        <v/>
      </c>
      <c r="G2412" s="75"/>
      <c r="H2412" s="52" t="str">
        <f aca="false">IF(G2412&lt;&gt;"",IFERROR(VLOOKUP(G2412,PRODUCTOS!$A:$B,2,0),"!COD NO ENCONTRADO"),"")</f>
        <v/>
      </c>
      <c r="I2412" s="77"/>
      <c r="J2412" s="78"/>
      <c r="K2412" s="79"/>
      <c r="L2412" s="80" t="str">
        <f aca="false">IF(AND(J2412&lt;&gt;"",K2412&lt;&gt;""),J2412*K2412,"")</f>
        <v/>
      </c>
      <c r="M2412" s="81" t="str">
        <f aca="false">IF(L2412&lt;&gt;"",L2412*1.1,"")</f>
        <v/>
      </c>
      <c r="N2412" s="53" t="n">
        <f aca="false">IF(F2412="S",L2412*0.02,0)</f>
        <v>0</v>
      </c>
      <c r="O2412" s="82" t="str">
        <f aca="false">IF(L2412&lt;&gt;"",L2412+N2412,"")</f>
        <v/>
      </c>
      <c r="P2412" s="53" t="str">
        <f aca="false">IF(O2412&lt;&gt;"",O2412*0.1,"")</f>
        <v/>
      </c>
      <c r="Q2412" s="83" t="str">
        <f aca="false">IF(O2412&lt;&gt;"",O2412+P2412,"")</f>
        <v/>
      </c>
      <c r="R2412" s="84"/>
    </row>
    <row r="2413" customFormat="false" ht="15" hidden="false" customHeight="true" outlineLevel="0" collapsed="false">
      <c r="A2413" s="103"/>
      <c r="B2413" s="85"/>
      <c r="C2413" s="86"/>
      <c r="D2413" s="87"/>
      <c r="E2413" s="46" t="str">
        <f aca="false">IF(D2413&lt;&gt;"",IFERROR(VLOOKUP(D2413,PROVEEDORES!$A:$B,2,0),"!COD NO ENCONTRADO"),"")</f>
        <v/>
      </c>
      <c r="F2413" s="88" t="str">
        <f aca="false">IF(D2413&lt;&gt;"",IFERROR(VLOOKUP(D2413,PROVEEDORES!$A:$C,3,0),""),"")</f>
        <v/>
      </c>
      <c r="G2413" s="87"/>
      <c r="H2413" s="46" t="str">
        <f aca="false">IF(G2413&lt;&gt;"",IFERROR(VLOOKUP(G2413,PRODUCTOS!$A:$B,2,0),"!COD NO ENCONTRADO"),"")</f>
        <v/>
      </c>
      <c r="I2413" s="89"/>
      <c r="J2413" s="90"/>
      <c r="K2413" s="91"/>
      <c r="L2413" s="80" t="str">
        <f aca="false">IF(AND(J2413&lt;&gt;"",K2413&lt;&gt;""),J2413*K2413,"")</f>
        <v/>
      </c>
      <c r="M2413" s="81" t="str">
        <f aca="false">IF(L2413&lt;&gt;"",L2413*1.1,"")</f>
        <v/>
      </c>
      <c r="N2413" s="47" t="n">
        <f aca="false">IF(F2413="S",L2413*0.02,0)</f>
        <v>0</v>
      </c>
      <c r="O2413" s="82" t="str">
        <f aca="false">IF(L2413&lt;&gt;"",L2413+N2413,"")</f>
        <v/>
      </c>
      <c r="P2413" s="47" t="str">
        <f aca="false">IF(O2413&lt;&gt;"",O2413*0.1,"")</f>
        <v/>
      </c>
      <c r="Q2413" s="83" t="str">
        <f aca="false">IF(O2413&lt;&gt;"",O2413+P2413,"")</f>
        <v/>
      </c>
      <c r="R2413" s="84"/>
    </row>
    <row r="2414" customFormat="false" ht="15" hidden="false" customHeight="true" outlineLevel="0" collapsed="false">
      <c r="A2414" s="103"/>
      <c r="B2414" s="73"/>
      <c r="C2414" s="74"/>
      <c r="D2414" s="75"/>
      <c r="E2414" s="52" t="str">
        <f aca="false">IF(D2414&lt;&gt;"",IFERROR(VLOOKUP(D2414,PROVEEDORES!$A:$B,2,0),"!COD NO ENCONTRADO"),"")</f>
        <v/>
      </c>
      <c r="F2414" s="76" t="str">
        <f aca="false">IF(D2414&lt;&gt;"",IFERROR(VLOOKUP(D2414,PROVEEDORES!$A:$C,3,0),""),"")</f>
        <v/>
      </c>
      <c r="G2414" s="75"/>
      <c r="H2414" s="52" t="str">
        <f aca="false">IF(G2414&lt;&gt;"",IFERROR(VLOOKUP(G2414,PRODUCTOS!$A:$B,2,0),"!COD NO ENCONTRADO"),"")</f>
        <v/>
      </c>
      <c r="I2414" s="77"/>
      <c r="J2414" s="78"/>
      <c r="K2414" s="79"/>
      <c r="L2414" s="80" t="str">
        <f aca="false">IF(AND(J2414&lt;&gt;"",K2414&lt;&gt;""),J2414*K2414,"")</f>
        <v/>
      </c>
      <c r="M2414" s="81" t="str">
        <f aca="false">IF(L2414&lt;&gt;"",L2414*1.1,"")</f>
        <v/>
      </c>
      <c r="N2414" s="53" t="n">
        <f aca="false">IF(F2414="S",L2414*0.02,0)</f>
        <v>0</v>
      </c>
      <c r="O2414" s="82" t="str">
        <f aca="false">IF(L2414&lt;&gt;"",L2414+N2414,"")</f>
        <v/>
      </c>
      <c r="P2414" s="53" t="str">
        <f aca="false">IF(O2414&lt;&gt;"",O2414*0.1,"")</f>
        <v/>
      </c>
      <c r="Q2414" s="83" t="str">
        <f aca="false">IF(O2414&lt;&gt;"",O2414+P2414,"")</f>
        <v/>
      </c>
      <c r="R2414" s="84"/>
    </row>
    <row r="2415" customFormat="false" ht="15" hidden="false" customHeight="true" outlineLevel="0" collapsed="false">
      <c r="A2415" s="103"/>
      <c r="B2415" s="85"/>
      <c r="C2415" s="86"/>
      <c r="D2415" s="87"/>
      <c r="E2415" s="46" t="str">
        <f aca="false">IF(D2415&lt;&gt;"",IFERROR(VLOOKUP(D2415,PROVEEDORES!$A:$B,2,0),"!COD NO ENCONTRADO"),"")</f>
        <v/>
      </c>
      <c r="F2415" s="88" t="str">
        <f aca="false">IF(D2415&lt;&gt;"",IFERROR(VLOOKUP(D2415,PROVEEDORES!$A:$C,3,0),""),"")</f>
        <v/>
      </c>
      <c r="G2415" s="87"/>
      <c r="H2415" s="46" t="str">
        <f aca="false">IF(G2415&lt;&gt;"",IFERROR(VLOOKUP(G2415,PRODUCTOS!$A:$B,2,0),"!COD NO ENCONTRADO"),"")</f>
        <v/>
      </c>
      <c r="I2415" s="89"/>
      <c r="J2415" s="90"/>
      <c r="K2415" s="91"/>
      <c r="L2415" s="80" t="str">
        <f aca="false">IF(AND(J2415&lt;&gt;"",K2415&lt;&gt;""),J2415*K2415,"")</f>
        <v/>
      </c>
      <c r="M2415" s="81" t="str">
        <f aca="false">IF(L2415&lt;&gt;"",L2415*1.1,"")</f>
        <v/>
      </c>
      <c r="N2415" s="47" t="n">
        <f aca="false">IF(F2415="S",L2415*0.02,0)</f>
        <v>0</v>
      </c>
      <c r="O2415" s="82" t="str">
        <f aca="false">IF(L2415&lt;&gt;"",L2415+N2415,"")</f>
        <v/>
      </c>
      <c r="P2415" s="47" t="str">
        <f aca="false">IF(O2415&lt;&gt;"",O2415*0.1,"")</f>
        <v/>
      </c>
      <c r="Q2415" s="83" t="str">
        <f aca="false">IF(O2415&lt;&gt;"",O2415+P2415,"")</f>
        <v/>
      </c>
      <c r="R2415" s="84"/>
    </row>
    <row r="2416" customFormat="false" ht="15" hidden="false" customHeight="true" outlineLevel="0" collapsed="false">
      <c r="A2416" s="103"/>
      <c r="B2416" s="73"/>
      <c r="C2416" s="74"/>
      <c r="D2416" s="75"/>
      <c r="E2416" s="52" t="str">
        <f aca="false">IF(D2416&lt;&gt;"",IFERROR(VLOOKUP(D2416,PROVEEDORES!$A:$B,2,0),"!COD NO ENCONTRADO"),"")</f>
        <v/>
      </c>
      <c r="F2416" s="76" t="str">
        <f aca="false">IF(D2416&lt;&gt;"",IFERROR(VLOOKUP(D2416,PROVEEDORES!$A:$C,3,0),""),"")</f>
        <v/>
      </c>
      <c r="G2416" s="75"/>
      <c r="H2416" s="52" t="str">
        <f aca="false">IF(G2416&lt;&gt;"",IFERROR(VLOOKUP(G2416,PRODUCTOS!$A:$B,2,0),"!COD NO ENCONTRADO"),"")</f>
        <v/>
      </c>
      <c r="I2416" s="77"/>
      <c r="J2416" s="78"/>
      <c r="K2416" s="79"/>
      <c r="L2416" s="80" t="str">
        <f aca="false">IF(AND(J2416&lt;&gt;"",K2416&lt;&gt;""),J2416*K2416,"")</f>
        <v/>
      </c>
      <c r="M2416" s="81" t="str">
        <f aca="false">IF(L2416&lt;&gt;"",L2416*1.1,"")</f>
        <v/>
      </c>
      <c r="N2416" s="53" t="n">
        <f aca="false">IF(F2416="S",L2416*0.02,0)</f>
        <v>0</v>
      </c>
      <c r="O2416" s="82" t="str">
        <f aca="false">IF(L2416&lt;&gt;"",L2416+N2416,"")</f>
        <v/>
      </c>
      <c r="P2416" s="53" t="str">
        <f aca="false">IF(O2416&lt;&gt;"",O2416*0.1,"")</f>
        <v/>
      </c>
      <c r="Q2416" s="83" t="str">
        <f aca="false">IF(O2416&lt;&gt;"",O2416+P2416,"")</f>
        <v/>
      </c>
      <c r="R2416" s="84"/>
    </row>
    <row r="2417" customFormat="false" ht="15" hidden="false" customHeight="true" outlineLevel="0" collapsed="false">
      <c r="A2417" s="103"/>
      <c r="B2417" s="85"/>
      <c r="C2417" s="86"/>
      <c r="D2417" s="87"/>
      <c r="E2417" s="46" t="str">
        <f aca="false">IF(D2417&lt;&gt;"",IFERROR(VLOOKUP(D2417,PROVEEDORES!$A:$B,2,0),"!COD NO ENCONTRADO"),"")</f>
        <v/>
      </c>
      <c r="F2417" s="88" t="str">
        <f aca="false">IF(D2417&lt;&gt;"",IFERROR(VLOOKUP(D2417,PROVEEDORES!$A:$C,3,0),""),"")</f>
        <v/>
      </c>
      <c r="G2417" s="87"/>
      <c r="H2417" s="46" t="str">
        <f aca="false">IF(G2417&lt;&gt;"",IFERROR(VLOOKUP(G2417,PRODUCTOS!$A:$B,2,0),"!COD NO ENCONTRADO"),"")</f>
        <v/>
      </c>
      <c r="I2417" s="89"/>
      <c r="J2417" s="90"/>
      <c r="K2417" s="91"/>
      <c r="L2417" s="80" t="str">
        <f aca="false">IF(AND(J2417&lt;&gt;"",K2417&lt;&gt;""),J2417*K2417,"")</f>
        <v/>
      </c>
      <c r="M2417" s="81" t="str">
        <f aca="false">IF(L2417&lt;&gt;"",L2417*1.1,"")</f>
        <v/>
      </c>
      <c r="N2417" s="47" t="n">
        <f aca="false">IF(F2417="S",L2417*0.02,0)</f>
        <v>0</v>
      </c>
      <c r="O2417" s="82" t="str">
        <f aca="false">IF(L2417&lt;&gt;"",L2417+N2417,"")</f>
        <v/>
      </c>
      <c r="P2417" s="47" t="str">
        <f aca="false">IF(O2417&lt;&gt;"",O2417*0.1,"")</f>
        <v/>
      </c>
      <c r="Q2417" s="83" t="str">
        <f aca="false">IF(O2417&lt;&gt;"",O2417+P2417,"")</f>
        <v/>
      </c>
      <c r="R2417" s="84"/>
    </row>
    <row r="2418" customFormat="false" ht="15" hidden="false" customHeight="true" outlineLevel="0" collapsed="false">
      <c r="A2418" s="103"/>
      <c r="B2418" s="73"/>
      <c r="C2418" s="74"/>
      <c r="D2418" s="75"/>
      <c r="E2418" s="52" t="str">
        <f aca="false">IF(D2418&lt;&gt;"",IFERROR(VLOOKUP(D2418,PROVEEDORES!$A:$B,2,0),"!COD NO ENCONTRADO"),"")</f>
        <v/>
      </c>
      <c r="F2418" s="76" t="str">
        <f aca="false">IF(D2418&lt;&gt;"",IFERROR(VLOOKUP(D2418,PROVEEDORES!$A:$C,3,0),""),"")</f>
        <v/>
      </c>
      <c r="G2418" s="75"/>
      <c r="H2418" s="52" t="str">
        <f aca="false">IF(G2418&lt;&gt;"",IFERROR(VLOOKUP(G2418,PRODUCTOS!$A:$B,2,0),"!COD NO ENCONTRADO"),"")</f>
        <v/>
      </c>
      <c r="I2418" s="77"/>
      <c r="J2418" s="78"/>
      <c r="K2418" s="79"/>
      <c r="L2418" s="80" t="str">
        <f aca="false">IF(AND(J2418&lt;&gt;"",K2418&lt;&gt;""),J2418*K2418,"")</f>
        <v/>
      </c>
      <c r="M2418" s="81" t="str">
        <f aca="false">IF(L2418&lt;&gt;"",L2418*1.1,"")</f>
        <v/>
      </c>
      <c r="N2418" s="53" t="n">
        <f aca="false">IF(F2418="S",L2418*0.02,0)</f>
        <v>0</v>
      </c>
      <c r="O2418" s="82" t="str">
        <f aca="false">IF(L2418&lt;&gt;"",L2418+N2418,"")</f>
        <v/>
      </c>
      <c r="P2418" s="53" t="str">
        <f aca="false">IF(O2418&lt;&gt;"",O2418*0.1,"")</f>
        <v/>
      </c>
      <c r="Q2418" s="83" t="str">
        <f aca="false">IF(O2418&lt;&gt;"",O2418+P2418,"")</f>
        <v/>
      </c>
      <c r="R2418" s="84"/>
    </row>
    <row r="2419" customFormat="false" ht="15" hidden="false" customHeight="true" outlineLevel="0" collapsed="false">
      <c r="A2419" s="103"/>
      <c r="B2419" s="85"/>
      <c r="C2419" s="86"/>
      <c r="D2419" s="87"/>
      <c r="E2419" s="46" t="str">
        <f aca="false">IF(D2419&lt;&gt;"",IFERROR(VLOOKUP(D2419,PROVEEDORES!$A:$B,2,0),"!COD NO ENCONTRADO"),"")</f>
        <v/>
      </c>
      <c r="F2419" s="88" t="str">
        <f aca="false">IF(D2419&lt;&gt;"",IFERROR(VLOOKUP(D2419,PROVEEDORES!$A:$C,3,0),""),"")</f>
        <v/>
      </c>
      <c r="G2419" s="87"/>
      <c r="H2419" s="46" t="str">
        <f aca="false">IF(G2419&lt;&gt;"",IFERROR(VLOOKUP(G2419,PRODUCTOS!$A:$B,2,0),"!COD NO ENCONTRADO"),"")</f>
        <v/>
      </c>
      <c r="I2419" s="89"/>
      <c r="J2419" s="90"/>
      <c r="K2419" s="91"/>
      <c r="L2419" s="80" t="str">
        <f aca="false">IF(AND(J2419&lt;&gt;"",K2419&lt;&gt;""),J2419*K2419,"")</f>
        <v/>
      </c>
      <c r="M2419" s="81" t="str">
        <f aca="false">IF(L2419&lt;&gt;"",L2419*1.1,"")</f>
        <v/>
      </c>
      <c r="N2419" s="47" t="n">
        <f aca="false">IF(F2419="S",L2419*0.02,0)</f>
        <v>0</v>
      </c>
      <c r="O2419" s="82" t="str">
        <f aca="false">IF(L2419&lt;&gt;"",L2419+N2419,"")</f>
        <v/>
      </c>
      <c r="P2419" s="47" t="str">
        <f aca="false">IF(O2419&lt;&gt;"",O2419*0.1,"")</f>
        <v/>
      </c>
      <c r="Q2419" s="83" t="str">
        <f aca="false">IF(O2419&lt;&gt;"",O2419+P2419,"")</f>
        <v/>
      </c>
      <c r="R2419" s="84"/>
    </row>
    <row r="2420" customFormat="false" ht="15" hidden="false" customHeight="true" outlineLevel="0" collapsed="false">
      <c r="A2420" s="103"/>
      <c r="B2420" s="73"/>
      <c r="C2420" s="74"/>
      <c r="D2420" s="75"/>
      <c r="E2420" s="52" t="str">
        <f aca="false">IF(D2420&lt;&gt;"",IFERROR(VLOOKUP(D2420,PROVEEDORES!$A:$B,2,0),"!COD NO ENCONTRADO"),"")</f>
        <v/>
      </c>
      <c r="F2420" s="76" t="str">
        <f aca="false">IF(D2420&lt;&gt;"",IFERROR(VLOOKUP(D2420,PROVEEDORES!$A:$C,3,0),""),"")</f>
        <v/>
      </c>
      <c r="G2420" s="75"/>
      <c r="H2420" s="52" t="str">
        <f aca="false">IF(G2420&lt;&gt;"",IFERROR(VLOOKUP(G2420,PRODUCTOS!$A:$B,2,0),"!COD NO ENCONTRADO"),"")</f>
        <v/>
      </c>
      <c r="I2420" s="77"/>
      <c r="J2420" s="78"/>
      <c r="K2420" s="79"/>
      <c r="L2420" s="80" t="str">
        <f aca="false">IF(AND(J2420&lt;&gt;"",K2420&lt;&gt;""),J2420*K2420,"")</f>
        <v/>
      </c>
      <c r="M2420" s="81" t="str">
        <f aca="false">IF(L2420&lt;&gt;"",L2420*1.1,"")</f>
        <v/>
      </c>
      <c r="N2420" s="53" t="n">
        <f aca="false">IF(F2420="S",L2420*0.02,0)</f>
        <v>0</v>
      </c>
      <c r="O2420" s="82" t="str">
        <f aca="false">IF(L2420&lt;&gt;"",L2420+N2420,"")</f>
        <v/>
      </c>
      <c r="P2420" s="53" t="str">
        <f aca="false">IF(O2420&lt;&gt;"",O2420*0.1,"")</f>
        <v/>
      </c>
      <c r="Q2420" s="83" t="str">
        <f aca="false">IF(O2420&lt;&gt;"",O2420+P2420,"")</f>
        <v/>
      </c>
      <c r="R2420" s="84"/>
    </row>
    <row r="2421" customFormat="false" ht="15" hidden="false" customHeight="true" outlineLevel="0" collapsed="false">
      <c r="A2421" s="103"/>
      <c r="B2421" s="85"/>
      <c r="C2421" s="86"/>
      <c r="D2421" s="87"/>
      <c r="E2421" s="46" t="str">
        <f aca="false">IF(D2421&lt;&gt;"",IFERROR(VLOOKUP(D2421,PROVEEDORES!$A:$B,2,0),"!COD NO ENCONTRADO"),"")</f>
        <v/>
      </c>
      <c r="F2421" s="88" t="str">
        <f aca="false">IF(D2421&lt;&gt;"",IFERROR(VLOOKUP(D2421,PROVEEDORES!$A:$C,3,0),""),"")</f>
        <v/>
      </c>
      <c r="G2421" s="87"/>
      <c r="H2421" s="46" t="str">
        <f aca="false">IF(G2421&lt;&gt;"",IFERROR(VLOOKUP(G2421,PRODUCTOS!$A:$B,2,0),"!COD NO ENCONTRADO"),"")</f>
        <v/>
      </c>
      <c r="I2421" s="89"/>
      <c r="J2421" s="90"/>
      <c r="K2421" s="91"/>
      <c r="L2421" s="80" t="str">
        <f aca="false">IF(AND(J2421&lt;&gt;"",K2421&lt;&gt;""),J2421*K2421,"")</f>
        <v/>
      </c>
      <c r="M2421" s="81" t="str">
        <f aca="false">IF(L2421&lt;&gt;"",L2421*1.1,"")</f>
        <v/>
      </c>
      <c r="N2421" s="47" t="n">
        <f aca="false">IF(F2421="S",L2421*0.02,0)</f>
        <v>0</v>
      </c>
      <c r="O2421" s="82" t="str">
        <f aca="false">IF(L2421&lt;&gt;"",L2421+N2421,"")</f>
        <v/>
      </c>
      <c r="P2421" s="47" t="str">
        <f aca="false">IF(O2421&lt;&gt;"",O2421*0.1,"")</f>
        <v/>
      </c>
      <c r="Q2421" s="83" t="str">
        <f aca="false">IF(O2421&lt;&gt;"",O2421+P2421,"")</f>
        <v/>
      </c>
      <c r="R2421" s="84"/>
    </row>
    <row r="2422" customFormat="false" ht="15" hidden="false" customHeight="true" outlineLevel="0" collapsed="false">
      <c r="A2422" s="103"/>
      <c r="B2422" s="73"/>
      <c r="C2422" s="74"/>
      <c r="D2422" s="75"/>
      <c r="E2422" s="52" t="str">
        <f aca="false">IF(D2422&lt;&gt;"",IFERROR(VLOOKUP(D2422,PROVEEDORES!$A:$B,2,0),"!COD NO ENCONTRADO"),"")</f>
        <v/>
      </c>
      <c r="F2422" s="76" t="str">
        <f aca="false">IF(D2422&lt;&gt;"",IFERROR(VLOOKUP(D2422,PROVEEDORES!$A:$C,3,0),""),"")</f>
        <v/>
      </c>
      <c r="G2422" s="75"/>
      <c r="H2422" s="52" t="str">
        <f aca="false">IF(G2422&lt;&gt;"",IFERROR(VLOOKUP(G2422,PRODUCTOS!$A:$B,2,0),"!COD NO ENCONTRADO"),"")</f>
        <v/>
      </c>
      <c r="I2422" s="77"/>
      <c r="J2422" s="78"/>
      <c r="K2422" s="79"/>
      <c r="L2422" s="80" t="str">
        <f aca="false">IF(AND(J2422&lt;&gt;"",K2422&lt;&gt;""),J2422*K2422,"")</f>
        <v/>
      </c>
      <c r="M2422" s="81" t="str">
        <f aca="false">IF(L2422&lt;&gt;"",L2422*1.1,"")</f>
        <v/>
      </c>
      <c r="N2422" s="53" t="n">
        <f aca="false">IF(F2422="S",L2422*0.02,0)</f>
        <v>0</v>
      </c>
      <c r="O2422" s="82" t="str">
        <f aca="false">IF(L2422&lt;&gt;"",L2422+N2422,"")</f>
        <v/>
      </c>
      <c r="P2422" s="53" t="str">
        <f aca="false">IF(O2422&lt;&gt;"",O2422*0.1,"")</f>
        <v/>
      </c>
      <c r="Q2422" s="83" t="str">
        <f aca="false">IF(O2422&lt;&gt;"",O2422+P2422,"")</f>
        <v/>
      </c>
      <c r="R2422" s="84"/>
    </row>
    <row r="2423" customFormat="false" ht="15" hidden="false" customHeight="true" outlineLevel="0" collapsed="false">
      <c r="A2423" s="103"/>
      <c r="B2423" s="85"/>
      <c r="C2423" s="86"/>
      <c r="D2423" s="87"/>
      <c r="E2423" s="46" t="str">
        <f aca="false">IF(D2423&lt;&gt;"",IFERROR(VLOOKUP(D2423,PROVEEDORES!$A:$B,2,0),"!COD NO ENCONTRADO"),"")</f>
        <v/>
      </c>
      <c r="F2423" s="88" t="str">
        <f aca="false">IF(D2423&lt;&gt;"",IFERROR(VLOOKUP(D2423,PROVEEDORES!$A:$C,3,0),""),"")</f>
        <v/>
      </c>
      <c r="G2423" s="87"/>
      <c r="H2423" s="46" t="str">
        <f aca="false">IF(G2423&lt;&gt;"",IFERROR(VLOOKUP(G2423,PRODUCTOS!$A:$B,2,0),"!COD NO ENCONTRADO"),"")</f>
        <v/>
      </c>
      <c r="I2423" s="89"/>
      <c r="J2423" s="90"/>
      <c r="K2423" s="91"/>
      <c r="L2423" s="80" t="str">
        <f aca="false">IF(AND(J2423&lt;&gt;"",K2423&lt;&gt;""),J2423*K2423,"")</f>
        <v/>
      </c>
      <c r="M2423" s="81" t="str">
        <f aca="false">IF(L2423&lt;&gt;"",L2423*1.1,"")</f>
        <v/>
      </c>
      <c r="N2423" s="47" t="n">
        <f aca="false">IF(F2423="S",L2423*0.02,0)</f>
        <v>0</v>
      </c>
      <c r="O2423" s="82" t="str">
        <f aca="false">IF(L2423&lt;&gt;"",L2423+N2423,"")</f>
        <v/>
      </c>
      <c r="P2423" s="47" t="str">
        <f aca="false">IF(O2423&lt;&gt;"",O2423*0.1,"")</f>
        <v/>
      </c>
      <c r="Q2423" s="83" t="str">
        <f aca="false">IF(O2423&lt;&gt;"",O2423+P2423,"")</f>
        <v/>
      </c>
      <c r="R2423" s="84"/>
    </row>
    <row r="2424" customFormat="false" ht="15" hidden="false" customHeight="true" outlineLevel="0" collapsed="false">
      <c r="A2424" s="103"/>
      <c r="B2424" s="73"/>
      <c r="C2424" s="74"/>
      <c r="D2424" s="75"/>
      <c r="E2424" s="52" t="str">
        <f aca="false">IF(D2424&lt;&gt;"",IFERROR(VLOOKUP(D2424,PROVEEDORES!$A:$B,2,0),"!COD NO ENCONTRADO"),"")</f>
        <v/>
      </c>
      <c r="F2424" s="76" t="str">
        <f aca="false">IF(D2424&lt;&gt;"",IFERROR(VLOOKUP(D2424,PROVEEDORES!$A:$C,3,0),""),"")</f>
        <v/>
      </c>
      <c r="G2424" s="75"/>
      <c r="H2424" s="52" t="str">
        <f aca="false">IF(G2424&lt;&gt;"",IFERROR(VLOOKUP(G2424,PRODUCTOS!$A:$B,2,0),"!COD NO ENCONTRADO"),"")</f>
        <v/>
      </c>
      <c r="I2424" s="77"/>
      <c r="J2424" s="78"/>
      <c r="K2424" s="79"/>
      <c r="L2424" s="80" t="str">
        <f aca="false">IF(AND(J2424&lt;&gt;"",K2424&lt;&gt;""),J2424*K2424,"")</f>
        <v/>
      </c>
      <c r="M2424" s="81" t="str">
        <f aca="false">IF(L2424&lt;&gt;"",L2424*1.1,"")</f>
        <v/>
      </c>
      <c r="N2424" s="53" t="n">
        <f aca="false">IF(F2424="S",L2424*0.02,0)</f>
        <v>0</v>
      </c>
      <c r="O2424" s="82" t="str">
        <f aca="false">IF(L2424&lt;&gt;"",L2424+N2424,"")</f>
        <v/>
      </c>
      <c r="P2424" s="53" t="str">
        <f aca="false">IF(O2424&lt;&gt;"",O2424*0.1,"")</f>
        <v/>
      </c>
      <c r="Q2424" s="83" t="str">
        <f aca="false">IF(O2424&lt;&gt;"",O2424+P2424,"")</f>
        <v/>
      </c>
      <c r="R2424" s="84"/>
    </row>
    <row r="2425" customFormat="false" ht="15" hidden="false" customHeight="true" outlineLevel="0" collapsed="false">
      <c r="A2425" s="103"/>
      <c r="B2425" s="85"/>
      <c r="C2425" s="86"/>
      <c r="D2425" s="87"/>
      <c r="E2425" s="46" t="str">
        <f aca="false">IF(D2425&lt;&gt;"",IFERROR(VLOOKUP(D2425,PROVEEDORES!$A:$B,2,0),"!COD NO ENCONTRADO"),"")</f>
        <v/>
      </c>
      <c r="F2425" s="88" t="str">
        <f aca="false">IF(D2425&lt;&gt;"",IFERROR(VLOOKUP(D2425,PROVEEDORES!$A:$C,3,0),""),"")</f>
        <v/>
      </c>
      <c r="G2425" s="87"/>
      <c r="H2425" s="46" t="str">
        <f aca="false">IF(G2425&lt;&gt;"",IFERROR(VLOOKUP(G2425,PRODUCTOS!$A:$B,2,0),"!COD NO ENCONTRADO"),"")</f>
        <v/>
      </c>
      <c r="I2425" s="89"/>
      <c r="J2425" s="90"/>
      <c r="K2425" s="91"/>
      <c r="L2425" s="80" t="str">
        <f aca="false">IF(AND(J2425&lt;&gt;"",K2425&lt;&gt;""),J2425*K2425,"")</f>
        <v/>
      </c>
      <c r="M2425" s="81" t="str">
        <f aca="false">IF(L2425&lt;&gt;"",L2425*1.1,"")</f>
        <v/>
      </c>
      <c r="N2425" s="47" t="n">
        <f aca="false">IF(F2425="S",L2425*0.02,0)</f>
        <v>0</v>
      </c>
      <c r="O2425" s="82" t="str">
        <f aca="false">IF(L2425&lt;&gt;"",L2425+N2425,"")</f>
        <v/>
      </c>
      <c r="P2425" s="47" t="str">
        <f aca="false">IF(O2425&lt;&gt;"",O2425*0.1,"")</f>
        <v/>
      </c>
      <c r="Q2425" s="83" t="str">
        <f aca="false">IF(O2425&lt;&gt;"",O2425+P2425,"")</f>
        <v/>
      </c>
      <c r="R2425" s="84"/>
    </row>
    <row r="2426" customFormat="false" ht="15" hidden="false" customHeight="true" outlineLevel="0" collapsed="false">
      <c r="A2426" s="103"/>
      <c r="B2426" s="73"/>
      <c r="C2426" s="74"/>
      <c r="D2426" s="75"/>
      <c r="E2426" s="52" t="str">
        <f aca="false">IF(D2426&lt;&gt;"",IFERROR(VLOOKUP(D2426,PROVEEDORES!$A:$B,2,0),"!COD NO ENCONTRADO"),"")</f>
        <v/>
      </c>
      <c r="F2426" s="76" t="str">
        <f aca="false">IF(D2426&lt;&gt;"",IFERROR(VLOOKUP(D2426,PROVEEDORES!$A:$C,3,0),""),"")</f>
        <v/>
      </c>
      <c r="G2426" s="75"/>
      <c r="H2426" s="52" t="str">
        <f aca="false">IF(G2426&lt;&gt;"",IFERROR(VLOOKUP(G2426,PRODUCTOS!$A:$B,2,0),"!COD NO ENCONTRADO"),"")</f>
        <v/>
      </c>
      <c r="I2426" s="77"/>
      <c r="J2426" s="78"/>
      <c r="K2426" s="79"/>
      <c r="L2426" s="80" t="str">
        <f aca="false">IF(AND(J2426&lt;&gt;"",K2426&lt;&gt;""),J2426*K2426,"")</f>
        <v/>
      </c>
      <c r="M2426" s="81" t="str">
        <f aca="false">IF(L2426&lt;&gt;"",L2426*1.1,"")</f>
        <v/>
      </c>
      <c r="N2426" s="53" t="n">
        <f aca="false">IF(F2426="S",L2426*0.02,0)</f>
        <v>0</v>
      </c>
      <c r="O2426" s="82" t="str">
        <f aca="false">IF(L2426&lt;&gt;"",L2426+N2426,"")</f>
        <v/>
      </c>
      <c r="P2426" s="53" t="str">
        <f aca="false">IF(O2426&lt;&gt;"",O2426*0.1,"")</f>
        <v/>
      </c>
      <c r="Q2426" s="83" t="str">
        <f aca="false">IF(O2426&lt;&gt;"",O2426+P2426,"")</f>
        <v/>
      </c>
      <c r="R2426" s="84"/>
    </row>
    <row r="2427" customFormat="false" ht="15" hidden="false" customHeight="true" outlineLevel="0" collapsed="false">
      <c r="A2427" s="103"/>
      <c r="B2427" s="85"/>
      <c r="C2427" s="86"/>
      <c r="D2427" s="87"/>
      <c r="E2427" s="46" t="str">
        <f aca="false">IF(D2427&lt;&gt;"",IFERROR(VLOOKUP(D2427,PROVEEDORES!$A:$B,2,0),"!COD NO ENCONTRADO"),"")</f>
        <v/>
      </c>
      <c r="F2427" s="88" t="str">
        <f aca="false">IF(D2427&lt;&gt;"",IFERROR(VLOOKUP(D2427,PROVEEDORES!$A:$C,3,0),""),"")</f>
        <v/>
      </c>
      <c r="G2427" s="87"/>
      <c r="H2427" s="46" t="str">
        <f aca="false">IF(G2427&lt;&gt;"",IFERROR(VLOOKUP(G2427,PRODUCTOS!$A:$B,2,0),"!COD NO ENCONTRADO"),"")</f>
        <v/>
      </c>
      <c r="I2427" s="89"/>
      <c r="J2427" s="90"/>
      <c r="K2427" s="91"/>
      <c r="L2427" s="80" t="str">
        <f aca="false">IF(AND(J2427&lt;&gt;"",K2427&lt;&gt;""),J2427*K2427,"")</f>
        <v/>
      </c>
      <c r="M2427" s="81" t="str">
        <f aca="false">IF(L2427&lt;&gt;"",L2427*1.1,"")</f>
        <v/>
      </c>
      <c r="N2427" s="47" t="n">
        <f aca="false">IF(F2427="S",L2427*0.02,0)</f>
        <v>0</v>
      </c>
      <c r="O2427" s="82" t="str">
        <f aca="false">IF(L2427&lt;&gt;"",L2427+N2427,"")</f>
        <v/>
      </c>
      <c r="P2427" s="47" t="str">
        <f aca="false">IF(O2427&lt;&gt;"",O2427*0.1,"")</f>
        <v/>
      </c>
      <c r="Q2427" s="83" t="str">
        <f aca="false">IF(O2427&lt;&gt;"",O2427+P2427,"")</f>
        <v/>
      </c>
      <c r="R2427" s="84"/>
    </row>
    <row r="2428" customFormat="false" ht="15" hidden="false" customHeight="true" outlineLevel="0" collapsed="false">
      <c r="A2428" s="103"/>
      <c r="B2428" s="73"/>
      <c r="C2428" s="74"/>
      <c r="D2428" s="75"/>
      <c r="E2428" s="52" t="str">
        <f aca="false">IF(D2428&lt;&gt;"",IFERROR(VLOOKUP(D2428,PROVEEDORES!$A:$B,2,0),"!COD NO ENCONTRADO"),"")</f>
        <v/>
      </c>
      <c r="F2428" s="76" t="str">
        <f aca="false">IF(D2428&lt;&gt;"",IFERROR(VLOOKUP(D2428,PROVEEDORES!$A:$C,3,0),""),"")</f>
        <v/>
      </c>
      <c r="G2428" s="75"/>
      <c r="H2428" s="52" t="str">
        <f aca="false">IF(G2428&lt;&gt;"",IFERROR(VLOOKUP(G2428,PRODUCTOS!$A:$B,2,0),"!COD NO ENCONTRADO"),"")</f>
        <v/>
      </c>
      <c r="I2428" s="77"/>
      <c r="J2428" s="78"/>
      <c r="K2428" s="79"/>
      <c r="L2428" s="80" t="str">
        <f aca="false">IF(AND(J2428&lt;&gt;"",K2428&lt;&gt;""),J2428*K2428,"")</f>
        <v/>
      </c>
      <c r="M2428" s="81" t="str">
        <f aca="false">IF(L2428&lt;&gt;"",L2428*1.1,"")</f>
        <v/>
      </c>
      <c r="N2428" s="53" t="n">
        <f aca="false">IF(F2428="S",L2428*0.02,0)</f>
        <v>0</v>
      </c>
      <c r="O2428" s="82" t="str">
        <f aca="false">IF(L2428&lt;&gt;"",L2428+N2428,"")</f>
        <v/>
      </c>
      <c r="P2428" s="53" t="str">
        <f aca="false">IF(O2428&lt;&gt;"",O2428*0.1,"")</f>
        <v/>
      </c>
      <c r="Q2428" s="83" t="str">
        <f aca="false">IF(O2428&lt;&gt;"",O2428+P2428,"")</f>
        <v/>
      </c>
      <c r="R2428" s="84"/>
    </row>
    <row r="2429" customFormat="false" ht="15" hidden="false" customHeight="true" outlineLevel="0" collapsed="false">
      <c r="A2429" s="103"/>
      <c r="B2429" s="85"/>
      <c r="C2429" s="86"/>
      <c r="D2429" s="87"/>
      <c r="E2429" s="46" t="str">
        <f aca="false">IF(D2429&lt;&gt;"",IFERROR(VLOOKUP(D2429,PROVEEDORES!$A:$B,2,0),"!COD NO ENCONTRADO"),"")</f>
        <v/>
      </c>
      <c r="F2429" s="88" t="str">
        <f aca="false">IF(D2429&lt;&gt;"",IFERROR(VLOOKUP(D2429,PROVEEDORES!$A:$C,3,0),""),"")</f>
        <v/>
      </c>
      <c r="G2429" s="87"/>
      <c r="H2429" s="46" t="str">
        <f aca="false">IF(G2429&lt;&gt;"",IFERROR(VLOOKUP(G2429,PRODUCTOS!$A:$B,2,0),"!COD NO ENCONTRADO"),"")</f>
        <v/>
      </c>
      <c r="I2429" s="89"/>
      <c r="J2429" s="90"/>
      <c r="K2429" s="91"/>
      <c r="L2429" s="80" t="str">
        <f aca="false">IF(AND(J2429&lt;&gt;"",K2429&lt;&gt;""),J2429*K2429,"")</f>
        <v/>
      </c>
      <c r="M2429" s="81" t="str">
        <f aca="false">IF(L2429&lt;&gt;"",L2429*1.1,"")</f>
        <v/>
      </c>
      <c r="N2429" s="47" t="n">
        <f aca="false">IF(F2429="S",L2429*0.02,0)</f>
        <v>0</v>
      </c>
      <c r="O2429" s="82" t="str">
        <f aca="false">IF(L2429&lt;&gt;"",L2429+N2429,"")</f>
        <v/>
      </c>
      <c r="P2429" s="47" t="str">
        <f aca="false">IF(O2429&lt;&gt;"",O2429*0.1,"")</f>
        <v/>
      </c>
      <c r="Q2429" s="83" t="str">
        <f aca="false">IF(O2429&lt;&gt;"",O2429+P2429,"")</f>
        <v/>
      </c>
      <c r="R2429" s="84"/>
    </row>
    <row r="2430" customFormat="false" ht="15" hidden="false" customHeight="true" outlineLevel="0" collapsed="false">
      <c r="A2430" s="103"/>
      <c r="B2430" s="73"/>
      <c r="C2430" s="74"/>
      <c r="D2430" s="75"/>
      <c r="E2430" s="52" t="str">
        <f aca="false">IF(D2430&lt;&gt;"",IFERROR(VLOOKUP(D2430,PROVEEDORES!$A:$B,2,0),"!COD NO ENCONTRADO"),"")</f>
        <v/>
      </c>
      <c r="F2430" s="76" t="str">
        <f aca="false">IF(D2430&lt;&gt;"",IFERROR(VLOOKUP(D2430,PROVEEDORES!$A:$C,3,0),""),"")</f>
        <v/>
      </c>
      <c r="G2430" s="75"/>
      <c r="H2430" s="52" t="str">
        <f aca="false">IF(G2430&lt;&gt;"",IFERROR(VLOOKUP(G2430,PRODUCTOS!$A:$B,2,0),"!COD NO ENCONTRADO"),"")</f>
        <v/>
      </c>
      <c r="I2430" s="77"/>
      <c r="J2430" s="78"/>
      <c r="K2430" s="79"/>
      <c r="L2430" s="80" t="str">
        <f aca="false">IF(AND(J2430&lt;&gt;"",K2430&lt;&gt;""),J2430*K2430,"")</f>
        <v/>
      </c>
      <c r="M2430" s="81" t="str">
        <f aca="false">IF(L2430&lt;&gt;"",L2430*1.1,"")</f>
        <v/>
      </c>
      <c r="N2430" s="53" t="n">
        <f aca="false">IF(F2430="S",L2430*0.02,0)</f>
        <v>0</v>
      </c>
      <c r="O2430" s="82" t="str">
        <f aca="false">IF(L2430&lt;&gt;"",L2430+N2430,"")</f>
        <v/>
      </c>
      <c r="P2430" s="53" t="str">
        <f aca="false">IF(O2430&lt;&gt;"",O2430*0.1,"")</f>
        <v/>
      </c>
      <c r="Q2430" s="83" t="str">
        <f aca="false">IF(O2430&lt;&gt;"",O2430+P2430,"")</f>
        <v/>
      </c>
      <c r="R2430" s="84"/>
    </row>
    <row r="2431" customFormat="false" ht="15" hidden="false" customHeight="true" outlineLevel="0" collapsed="false">
      <c r="A2431" s="103"/>
      <c r="B2431" s="85"/>
      <c r="C2431" s="86"/>
      <c r="D2431" s="87"/>
      <c r="E2431" s="46" t="str">
        <f aca="false">IF(D2431&lt;&gt;"",IFERROR(VLOOKUP(D2431,PROVEEDORES!$A:$B,2,0),"!COD NO ENCONTRADO"),"")</f>
        <v/>
      </c>
      <c r="F2431" s="88" t="str">
        <f aca="false">IF(D2431&lt;&gt;"",IFERROR(VLOOKUP(D2431,PROVEEDORES!$A:$C,3,0),""),"")</f>
        <v/>
      </c>
      <c r="G2431" s="87"/>
      <c r="H2431" s="46" t="str">
        <f aca="false">IF(G2431&lt;&gt;"",IFERROR(VLOOKUP(G2431,PRODUCTOS!$A:$B,2,0),"!COD NO ENCONTRADO"),"")</f>
        <v/>
      </c>
      <c r="I2431" s="89"/>
      <c r="J2431" s="90"/>
      <c r="K2431" s="91"/>
      <c r="L2431" s="80" t="str">
        <f aca="false">IF(AND(J2431&lt;&gt;"",K2431&lt;&gt;""),J2431*K2431,"")</f>
        <v/>
      </c>
      <c r="M2431" s="81" t="str">
        <f aca="false">IF(L2431&lt;&gt;"",L2431*1.1,"")</f>
        <v/>
      </c>
      <c r="N2431" s="47" t="n">
        <f aca="false">IF(F2431="S",L2431*0.02,0)</f>
        <v>0</v>
      </c>
      <c r="O2431" s="82" t="str">
        <f aca="false">IF(L2431&lt;&gt;"",L2431+N2431,"")</f>
        <v/>
      </c>
      <c r="P2431" s="47" t="str">
        <f aca="false">IF(O2431&lt;&gt;"",O2431*0.1,"")</f>
        <v/>
      </c>
      <c r="Q2431" s="83" t="str">
        <f aca="false">IF(O2431&lt;&gt;"",O2431+P2431,"")</f>
        <v/>
      </c>
      <c r="R2431" s="84"/>
    </row>
    <row r="2432" customFormat="false" ht="15" hidden="false" customHeight="true" outlineLevel="0" collapsed="false">
      <c r="A2432" s="103"/>
      <c r="B2432" s="73"/>
      <c r="C2432" s="74"/>
      <c r="D2432" s="75"/>
      <c r="E2432" s="52" t="str">
        <f aca="false">IF(D2432&lt;&gt;"",IFERROR(VLOOKUP(D2432,PROVEEDORES!$A:$B,2,0),"!COD NO ENCONTRADO"),"")</f>
        <v/>
      </c>
      <c r="F2432" s="76" t="str">
        <f aca="false">IF(D2432&lt;&gt;"",IFERROR(VLOOKUP(D2432,PROVEEDORES!$A:$C,3,0),""),"")</f>
        <v/>
      </c>
      <c r="G2432" s="75"/>
      <c r="H2432" s="52" t="str">
        <f aca="false">IF(G2432&lt;&gt;"",IFERROR(VLOOKUP(G2432,PRODUCTOS!$A:$B,2,0),"!COD NO ENCONTRADO"),"")</f>
        <v/>
      </c>
      <c r="I2432" s="77"/>
      <c r="J2432" s="78"/>
      <c r="K2432" s="79"/>
      <c r="L2432" s="80" t="str">
        <f aca="false">IF(AND(J2432&lt;&gt;"",K2432&lt;&gt;""),J2432*K2432,"")</f>
        <v/>
      </c>
      <c r="M2432" s="81" t="str">
        <f aca="false">IF(L2432&lt;&gt;"",L2432*1.1,"")</f>
        <v/>
      </c>
      <c r="N2432" s="53" t="n">
        <f aca="false">IF(F2432="S",L2432*0.02,0)</f>
        <v>0</v>
      </c>
      <c r="O2432" s="82" t="str">
        <f aca="false">IF(L2432&lt;&gt;"",L2432+N2432,"")</f>
        <v/>
      </c>
      <c r="P2432" s="53" t="str">
        <f aca="false">IF(O2432&lt;&gt;"",O2432*0.1,"")</f>
        <v/>
      </c>
      <c r="Q2432" s="83" t="str">
        <f aca="false">IF(O2432&lt;&gt;"",O2432+P2432,"")</f>
        <v/>
      </c>
      <c r="R2432" s="84"/>
    </row>
    <row r="2433" customFormat="false" ht="15" hidden="false" customHeight="true" outlineLevel="0" collapsed="false">
      <c r="A2433" s="103"/>
      <c r="B2433" s="85"/>
      <c r="C2433" s="86"/>
      <c r="D2433" s="87"/>
      <c r="E2433" s="46" t="str">
        <f aca="false">IF(D2433&lt;&gt;"",IFERROR(VLOOKUP(D2433,PROVEEDORES!$A:$B,2,0),"!COD NO ENCONTRADO"),"")</f>
        <v/>
      </c>
      <c r="F2433" s="88" t="str">
        <f aca="false">IF(D2433&lt;&gt;"",IFERROR(VLOOKUP(D2433,PROVEEDORES!$A:$C,3,0),""),"")</f>
        <v/>
      </c>
      <c r="G2433" s="87"/>
      <c r="H2433" s="46" t="str">
        <f aca="false">IF(G2433&lt;&gt;"",IFERROR(VLOOKUP(G2433,PRODUCTOS!$A:$B,2,0),"!COD NO ENCONTRADO"),"")</f>
        <v/>
      </c>
      <c r="I2433" s="89"/>
      <c r="J2433" s="90"/>
      <c r="K2433" s="91"/>
      <c r="L2433" s="80" t="str">
        <f aca="false">IF(AND(J2433&lt;&gt;"",K2433&lt;&gt;""),J2433*K2433,"")</f>
        <v/>
      </c>
      <c r="M2433" s="81" t="str">
        <f aca="false">IF(L2433&lt;&gt;"",L2433*1.1,"")</f>
        <v/>
      </c>
      <c r="N2433" s="47" t="n">
        <f aca="false">IF(F2433="S",L2433*0.02,0)</f>
        <v>0</v>
      </c>
      <c r="O2433" s="82" t="str">
        <f aca="false">IF(L2433&lt;&gt;"",L2433+N2433,"")</f>
        <v/>
      </c>
      <c r="P2433" s="47" t="str">
        <f aca="false">IF(O2433&lt;&gt;"",O2433*0.1,"")</f>
        <v/>
      </c>
      <c r="Q2433" s="83" t="str">
        <f aca="false">IF(O2433&lt;&gt;"",O2433+P2433,"")</f>
        <v/>
      </c>
      <c r="R2433" s="84"/>
    </row>
    <row r="2434" customFormat="false" ht="15" hidden="false" customHeight="true" outlineLevel="0" collapsed="false">
      <c r="A2434" s="103"/>
      <c r="B2434" s="73"/>
      <c r="C2434" s="74"/>
      <c r="D2434" s="75"/>
      <c r="E2434" s="52" t="str">
        <f aca="false">IF(D2434&lt;&gt;"",IFERROR(VLOOKUP(D2434,PROVEEDORES!$A:$B,2,0),"!COD NO ENCONTRADO"),"")</f>
        <v/>
      </c>
      <c r="F2434" s="76" t="str">
        <f aca="false">IF(D2434&lt;&gt;"",IFERROR(VLOOKUP(D2434,PROVEEDORES!$A:$C,3,0),""),"")</f>
        <v/>
      </c>
      <c r="G2434" s="75"/>
      <c r="H2434" s="52" t="str">
        <f aca="false">IF(G2434&lt;&gt;"",IFERROR(VLOOKUP(G2434,PRODUCTOS!$A:$B,2,0),"!COD NO ENCONTRADO"),"")</f>
        <v/>
      </c>
      <c r="I2434" s="77"/>
      <c r="J2434" s="78"/>
      <c r="K2434" s="79"/>
      <c r="L2434" s="80" t="str">
        <f aca="false">IF(AND(J2434&lt;&gt;"",K2434&lt;&gt;""),J2434*K2434,"")</f>
        <v/>
      </c>
      <c r="M2434" s="81" t="str">
        <f aca="false">IF(L2434&lt;&gt;"",L2434*1.1,"")</f>
        <v/>
      </c>
      <c r="N2434" s="53" t="n">
        <f aca="false">IF(F2434="S",L2434*0.02,0)</f>
        <v>0</v>
      </c>
      <c r="O2434" s="82" t="str">
        <f aca="false">IF(L2434&lt;&gt;"",L2434+N2434,"")</f>
        <v/>
      </c>
      <c r="P2434" s="53" t="str">
        <f aca="false">IF(O2434&lt;&gt;"",O2434*0.1,"")</f>
        <v/>
      </c>
      <c r="Q2434" s="83" t="str">
        <f aca="false">IF(O2434&lt;&gt;"",O2434+P2434,"")</f>
        <v/>
      </c>
      <c r="R2434" s="84"/>
    </row>
    <row r="2435" customFormat="false" ht="15" hidden="false" customHeight="true" outlineLevel="0" collapsed="false">
      <c r="A2435" s="103"/>
      <c r="B2435" s="85"/>
      <c r="C2435" s="86"/>
      <c r="D2435" s="87"/>
      <c r="E2435" s="46" t="str">
        <f aca="false">IF(D2435&lt;&gt;"",IFERROR(VLOOKUP(D2435,PROVEEDORES!$A:$B,2,0),"!COD NO ENCONTRADO"),"")</f>
        <v/>
      </c>
      <c r="F2435" s="88" t="str">
        <f aca="false">IF(D2435&lt;&gt;"",IFERROR(VLOOKUP(D2435,PROVEEDORES!$A:$C,3,0),""),"")</f>
        <v/>
      </c>
      <c r="G2435" s="87"/>
      <c r="H2435" s="46" t="str">
        <f aca="false">IF(G2435&lt;&gt;"",IFERROR(VLOOKUP(G2435,PRODUCTOS!$A:$B,2,0),"!COD NO ENCONTRADO"),"")</f>
        <v/>
      </c>
      <c r="I2435" s="89"/>
      <c r="J2435" s="90"/>
      <c r="K2435" s="91"/>
      <c r="L2435" s="80" t="str">
        <f aca="false">IF(AND(J2435&lt;&gt;"",K2435&lt;&gt;""),J2435*K2435,"")</f>
        <v/>
      </c>
      <c r="M2435" s="81" t="str">
        <f aca="false">IF(L2435&lt;&gt;"",L2435*1.1,"")</f>
        <v/>
      </c>
      <c r="N2435" s="47" t="n">
        <f aca="false">IF(F2435="S",L2435*0.02,0)</f>
        <v>0</v>
      </c>
      <c r="O2435" s="82" t="str">
        <f aca="false">IF(L2435&lt;&gt;"",L2435+N2435,"")</f>
        <v/>
      </c>
      <c r="P2435" s="47" t="str">
        <f aca="false">IF(O2435&lt;&gt;"",O2435*0.1,"")</f>
        <v/>
      </c>
      <c r="Q2435" s="83" t="str">
        <f aca="false">IF(O2435&lt;&gt;"",O2435+P2435,"")</f>
        <v/>
      </c>
      <c r="R2435" s="84"/>
    </row>
    <row r="2436" customFormat="false" ht="15" hidden="false" customHeight="true" outlineLevel="0" collapsed="false">
      <c r="A2436" s="103"/>
      <c r="B2436" s="73"/>
      <c r="C2436" s="74"/>
      <c r="D2436" s="75"/>
      <c r="E2436" s="52" t="str">
        <f aca="false">IF(D2436&lt;&gt;"",IFERROR(VLOOKUP(D2436,PROVEEDORES!$A:$B,2,0),"!COD NO ENCONTRADO"),"")</f>
        <v/>
      </c>
      <c r="F2436" s="76" t="str">
        <f aca="false">IF(D2436&lt;&gt;"",IFERROR(VLOOKUP(D2436,PROVEEDORES!$A:$C,3,0),""),"")</f>
        <v/>
      </c>
      <c r="G2436" s="75"/>
      <c r="H2436" s="52" t="str">
        <f aca="false">IF(G2436&lt;&gt;"",IFERROR(VLOOKUP(G2436,PRODUCTOS!$A:$B,2,0),"!COD NO ENCONTRADO"),"")</f>
        <v/>
      </c>
      <c r="I2436" s="77"/>
      <c r="J2436" s="78"/>
      <c r="K2436" s="79"/>
      <c r="L2436" s="80" t="str">
        <f aca="false">IF(AND(J2436&lt;&gt;"",K2436&lt;&gt;""),J2436*K2436,"")</f>
        <v/>
      </c>
      <c r="M2436" s="81" t="str">
        <f aca="false">IF(L2436&lt;&gt;"",L2436*1.1,"")</f>
        <v/>
      </c>
      <c r="N2436" s="53" t="n">
        <f aca="false">IF(F2436="S",L2436*0.02,0)</f>
        <v>0</v>
      </c>
      <c r="O2436" s="82" t="str">
        <f aca="false">IF(L2436&lt;&gt;"",L2436+N2436,"")</f>
        <v/>
      </c>
      <c r="P2436" s="53" t="str">
        <f aca="false">IF(O2436&lt;&gt;"",O2436*0.1,"")</f>
        <v/>
      </c>
      <c r="Q2436" s="83" t="str">
        <f aca="false">IF(O2436&lt;&gt;"",O2436+P2436,"")</f>
        <v/>
      </c>
      <c r="R2436" s="84"/>
    </row>
    <row r="2437" customFormat="false" ht="15" hidden="false" customHeight="true" outlineLevel="0" collapsed="false">
      <c r="A2437" s="103"/>
      <c r="B2437" s="85"/>
      <c r="C2437" s="86"/>
      <c r="D2437" s="87"/>
      <c r="E2437" s="46" t="str">
        <f aca="false">IF(D2437&lt;&gt;"",IFERROR(VLOOKUP(D2437,PROVEEDORES!$A:$B,2,0),"!COD NO ENCONTRADO"),"")</f>
        <v/>
      </c>
      <c r="F2437" s="88" t="str">
        <f aca="false">IF(D2437&lt;&gt;"",IFERROR(VLOOKUP(D2437,PROVEEDORES!$A:$C,3,0),""),"")</f>
        <v/>
      </c>
      <c r="G2437" s="87"/>
      <c r="H2437" s="46" t="str">
        <f aca="false">IF(G2437&lt;&gt;"",IFERROR(VLOOKUP(G2437,PRODUCTOS!$A:$B,2,0),"!COD NO ENCONTRADO"),"")</f>
        <v/>
      </c>
      <c r="I2437" s="89"/>
      <c r="J2437" s="90"/>
      <c r="K2437" s="91"/>
      <c r="L2437" s="80" t="str">
        <f aca="false">IF(AND(J2437&lt;&gt;"",K2437&lt;&gt;""),J2437*K2437,"")</f>
        <v/>
      </c>
      <c r="M2437" s="81" t="str">
        <f aca="false">IF(L2437&lt;&gt;"",L2437*1.1,"")</f>
        <v/>
      </c>
      <c r="N2437" s="47" t="n">
        <f aca="false">IF(F2437="S",L2437*0.02,0)</f>
        <v>0</v>
      </c>
      <c r="O2437" s="82" t="str">
        <f aca="false">IF(L2437&lt;&gt;"",L2437+N2437,"")</f>
        <v/>
      </c>
      <c r="P2437" s="47" t="str">
        <f aca="false">IF(O2437&lt;&gt;"",O2437*0.1,"")</f>
        <v/>
      </c>
      <c r="Q2437" s="83" t="str">
        <f aca="false">IF(O2437&lt;&gt;"",O2437+P2437,"")</f>
        <v/>
      </c>
      <c r="R2437" s="84"/>
    </row>
    <row r="2438" customFormat="false" ht="15" hidden="false" customHeight="true" outlineLevel="0" collapsed="false">
      <c r="A2438" s="103"/>
      <c r="B2438" s="73"/>
      <c r="C2438" s="74"/>
      <c r="D2438" s="75"/>
      <c r="E2438" s="52" t="str">
        <f aca="false">IF(D2438&lt;&gt;"",IFERROR(VLOOKUP(D2438,PROVEEDORES!$A:$B,2,0),"!COD NO ENCONTRADO"),"")</f>
        <v/>
      </c>
      <c r="F2438" s="76" t="str">
        <f aca="false">IF(D2438&lt;&gt;"",IFERROR(VLOOKUP(D2438,PROVEEDORES!$A:$C,3,0),""),"")</f>
        <v/>
      </c>
      <c r="G2438" s="75"/>
      <c r="H2438" s="52" t="str">
        <f aca="false">IF(G2438&lt;&gt;"",IFERROR(VLOOKUP(G2438,PRODUCTOS!$A:$B,2,0),"!COD NO ENCONTRADO"),"")</f>
        <v/>
      </c>
      <c r="I2438" s="77"/>
      <c r="J2438" s="78"/>
      <c r="K2438" s="79"/>
      <c r="L2438" s="80" t="str">
        <f aca="false">IF(AND(J2438&lt;&gt;"",K2438&lt;&gt;""),J2438*K2438,"")</f>
        <v/>
      </c>
      <c r="M2438" s="81" t="str">
        <f aca="false">IF(L2438&lt;&gt;"",L2438*1.1,"")</f>
        <v/>
      </c>
      <c r="N2438" s="53" t="n">
        <f aca="false">IF(F2438="S",L2438*0.02,0)</f>
        <v>0</v>
      </c>
      <c r="O2438" s="82" t="str">
        <f aca="false">IF(L2438&lt;&gt;"",L2438+N2438,"")</f>
        <v/>
      </c>
      <c r="P2438" s="53" t="str">
        <f aca="false">IF(O2438&lt;&gt;"",O2438*0.1,"")</f>
        <v/>
      </c>
      <c r="Q2438" s="83" t="str">
        <f aca="false">IF(O2438&lt;&gt;"",O2438+P2438,"")</f>
        <v/>
      </c>
      <c r="R2438" s="84"/>
    </row>
    <row r="2439" customFormat="false" ht="15" hidden="false" customHeight="true" outlineLevel="0" collapsed="false">
      <c r="A2439" s="103"/>
      <c r="B2439" s="85"/>
      <c r="C2439" s="86"/>
      <c r="D2439" s="87"/>
      <c r="E2439" s="46" t="str">
        <f aca="false">IF(D2439&lt;&gt;"",IFERROR(VLOOKUP(D2439,PROVEEDORES!$A:$B,2,0),"!COD NO ENCONTRADO"),"")</f>
        <v/>
      </c>
      <c r="F2439" s="88" t="str">
        <f aca="false">IF(D2439&lt;&gt;"",IFERROR(VLOOKUP(D2439,PROVEEDORES!$A:$C,3,0),""),"")</f>
        <v/>
      </c>
      <c r="G2439" s="87"/>
      <c r="H2439" s="46" t="str">
        <f aca="false">IF(G2439&lt;&gt;"",IFERROR(VLOOKUP(G2439,PRODUCTOS!$A:$B,2,0),"!COD NO ENCONTRADO"),"")</f>
        <v/>
      </c>
      <c r="I2439" s="89"/>
      <c r="J2439" s="90"/>
      <c r="K2439" s="91"/>
      <c r="L2439" s="80" t="str">
        <f aca="false">IF(AND(J2439&lt;&gt;"",K2439&lt;&gt;""),J2439*K2439,"")</f>
        <v/>
      </c>
      <c r="M2439" s="81" t="str">
        <f aca="false">IF(L2439&lt;&gt;"",L2439*1.1,"")</f>
        <v/>
      </c>
      <c r="N2439" s="47" t="n">
        <f aca="false">IF(F2439="S",L2439*0.02,0)</f>
        <v>0</v>
      </c>
      <c r="O2439" s="82" t="str">
        <f aca="false">IF(L2439&lt;&gt;"",L2439+N2439,"")</f>
        <v/>
      </c>
      <c r="P2439" s="47" t="str">
        <f aca="false">IF(O2439&lt;&gt;"",O2439*0.1,"")</f>
        <v/>
      </c>
      <c r="Q2439" s="83" t="str">
        <f aca="false">IF(O2439&lt;&gt;"",O2439+P2439,"")</f>
        <v/>
      </c>
      <c r="R2439" s="84"/>
    </row>
    <row r="2440" customFormat="false" ht="15" hidden="false" customHeight="true" outlineLevel="0" collapsed="false">
      <c r="A2440" s="103"/>
      <c r="B2440" s="73"/>
      <c r="C2440" s="74"/>
      <c r="D2440" s="75"/>
      <c r="E2440" s="52" t="str">
        <f aca="false">IF(D2440&lt;&gt;"",IFERROR(VLOOKUP(D2440,PROVEEDORES!$A:$B,2,0),"!COD NO ENCONTRADO"),"")</f>
        <v/>
      </c>
      <c r="F2440" s="76" t="str">
        <f aca="false">IF(D2440&lt;&gt;"",IFERROR(VLOOKUP(D2440,PROVEEDORES!$A:$C,3,0),""),"")</f>
        <v/>
      </c>
      <c r="G2440" s="75"/>
      <c r="H2440" s="52" t="str">
        <f aca="false">IF(G2440&lt;&gt;"",IFERROR(VLOOKUP(G2440,PRODUCTOS!$A:$B,2,0),"!COD NO ENCONTRADO"),"")</f>
        <v/>
      </c>
      <c r="I2440" s="77"/>
      <c r="J2440" s="78"/>
      <c r="K2440" s="79"/>
      <c r="L2440" s="80" t="str">
        <f aca="false">IF(AND(J2440&lt;&gt;"",K2440&lt;&gt;""),J2440*K2440,"")</f>
        <v/>
      </c>
      <c r="M2440" s="81" t="str">
        <f aca="false">IF(L2440&lt;&gt;"",L2440*1.1,"")</f>
        <v/>
      </c>
      <c r="N2440" s="53" t="n">
        <f aca="false">IF(F2440="S",L2440*0.02,0)</f>
        <v>0</v>
      </c>
      <c r="O2440" s="82" t="str">
        <f aca="false">IF(L2440&lt;&gt;"",L2440+N2440,"")</f>
        <v/>
      </c>
      <c r="P2440" s="53" t="str">
        <f aca="false">IF(O2440&lt;&gt;"",O2440*0.1,"")</f>
        <v/>
      </c>
      <c r="Q2440" s="83" t="str">
        <f aca="false">IF(O2440&lt;&gt;"",O2440+P2440,"")</f>
        <v/>
      </c>
      <c r="R2440" s="84"/>
    </row>
    <row r="2441" customFormat="false" ht="15" hidden="false" customHeight="true" outlineLevel="0" collapsed="false">
      <c r="A2441" s="103"/>
      <c r="B2441" s="85"/>
      <c r="C2441" s="86"/>
      <c r="D2441" s="87"/>
      <c r="E2441" s="46" t="str">
        <f aca="false">IF(D2441&lt;&gt;"",IFERROR(VLOOKUP(D2441,PROVEEDORES!$A:$B,2,0),"!COD NO ENCONTRADO"),"")</f>
        <v/>
      </c>
      <c r="F2441" s="88" t="str">
        <f aca="false">IF(D2441&lt;&gt;"",IFERROR(VLOOKUP(D2441,PROVEEDORES!$A:$C,3,0),""),"")</f>
        <v/>
      </c>
      <c r="G2441" s="87"/>
      <c r="H2441" s="46" t="str">
        <f aca="false">IF(G2441&lt;&gt;"",IFERROR(VLOOKUP(G2441,PRODUCTOS!$A:$B,2,0),"!COD NO ENCONTRADO"),"")</f>
        <v/>
      </c>
      <c r="I2441" s="89"/>
      <c r="J2441" s="90"/>
      <c r="K2441" s="91"/>
      <c r="L2441" s="80" t="str">
        <f aca="false">IF(AND(J2441&lt;&gt;"",K2441&lt;&gt;""),J2441*K2441,"")</f>
        <v/>
      </c>
      <c r="M2441" s="81" t="str">
        <f aca="false">IF(L2441&lt;&gt;"",L2441*1.1,"")</f>
        <v/>
      </c>
      <c r="N2441" s="47" t="n">
        <f aca="false">IF(F2441="S",L2441*0.02,0)</f>
        <v>0</v>
      </c>
      <c r="O2441" s="82" t="str">
        <f aca="false">IF(L2441&lt;&gt;"",L2441+N2441,"")</f>
        <v/>
      </c>
      <c r="P2441" s="47" t="str">
        <f aca="false">IF(O2441&lt;&gt;"",O2441*0.1,"")</f>
        <v/>
      </c>
      <c r="Q2441" s="83" t="str">
        <f aca="false">IF(O2441&lt;&gt;"",O2441+P2441,"")</f>
        <v/>
      </c>
      <c r="R2441" s="84"/>
    </row>
    <row r="2442" customFormat="false" ht="15" hidden="false" customHeight="true" outlineLevel="0" collapsed="false">
      <c r="A2442" s="103"/>
      <c r="B2442" s="73"/>
      <c r="C2442" s="74"/>
      <c r="D2442" s="75"/>
      <c r="E2442" s="52" t="str">
        <f aca="false">IF(D2442&lt;&gt;"",IFERROR(VLOOKUP(D2442,PROVEEDORES!$A:$B,2,0),"!COD NO ENCONTRADO"),"")</f>
        <v/>
      </c>
      <c r="F2442" s="76" t="str">
        <f aca="false">IF(D2442&lt;&gt;"",IFERROR(VLOOKUP(D2442,PROVEEDORES!$A:$C,3,0),""),"")</f>
        <v/>
      </c>
      <c r="G2442" s="75"/>
      <c r="H2442" s="52" t="str">
        <f aca="false">IF(G2442&lt;&gt;"",IFERROR(VLOOKUP(G2442,PRODUCTOS!$A:$B,2,0),"!COD NO ENCONTRADO"),"")</f>
        <v/>
      </c>
      <c r="I2442" s="77"/>
      <c r="J2442" s="78"/>
      <c r="K2442" s="79"/>
      <c r="L2442" s="80" t="str">
        <f aca="false">IF(AND(J2442&lt;&gt;"",K2442&lt;&gt;""),J2442*K2442,"")</f>
        <v/>
      </c>
      <c r="M2442" s="81" t="str">
        <f aca="false">IF(L2442&lt;&gt;"",L2442*1.1,"")</f>
        <v/>
      </c>
      <c r="N2442" s="53" t="n">
        <f aca="false">IF(F2442="S",L2442*0.02,0)</f>
        <v>0</v>
      </c>
      <c r="O2442" s="82" t="str">
        <f aca="false">IF(L2442&lt;&gt;"",L2442+N2442,"")</f>
        <v/>
      </c>
      <c r="P2442" s="53" t="str">
        <f aca="false">IF(O2442&lt;&gt;"",O2442*0.1,"")</f>
        <v/>
      </c>
      <c r="Q2442" s="83" t="str">
        <f aca="false">IF(O2442&lt;&gt;"",O2442+P2442,"")</f>
        <v/>
      </c>
      <c r="R2442" s="84"/>
    </row>
    <row r="2443" customFormat="false" ht="15" hidden="false" customHeight="true" outlineLevel="0" collapsed="false">
      <c r="A2443" s="103"/>
      <c r="B2443" s="85"/>
      <c r="C2443" s="86"/>
      <c r="D2443" s="87"/>
      <c r="E2443" s="46" t="str">
        <f aca="false">IF(D2443&lt;&gt;"",IFERROR(VLOOKUP(D2443,PROVEEDORES!$A:$B,2,0),"!COD NO ENCONTRADO"),"")</f>
        <v/>
      </c>
      <c r="F2443" s="88" t="str">
        <f aca="false">IF(D2443&lt;&gt;"",IFERROR(VLOOKUP(D2443,PROVEEDORES!$A:$C,3,0),""),"")</f>
        <v/>
      </c>
      <c r="G2443" s="87"/>
      <c r="H2443" s="46" t="str">
        <f aca="false">IF(G2443&lt;&gt;"",IFERROR(VLOOKUP(G2443,PRODUCTOS!$A:$B,2,0),"!COD NO ENCONTRADO"),"")</f>
        <v/>
      </c>
      <c r="I2443" s="89"/>
      <c r="J2443" s="90"/>
      <c r="K2443" s="91"/>
      <c r="L2443" s="80" t="str">
        <f aca="false">IF(AND(J2443&lt;&gt;"",K2443&lt;&gt;""),J2443*K2443,"")</f>
        <v/>
      </c>
      <c r="M2443" s="81" t="str">
        <f aca="false">IF(L2443&lt;&gt;"",L2443*1.1,"")</f>
        <v/>
      </c>
      <c r="N2443" s="47" t="n">
        <f aca="false">IF(F2443="S",L2443*0.02,0)</f>
        <v>0</v>
      </c>
      <c r="O2443" s="82" t="str">
        <f aca="false">IF(L2443&lt;&gt;"",L2443+N2443,"")</f>
        <v/>
      </c>
      <c r="P2443" s="47" t="str">
        <f aca="false">IF(O2443&lt;&gt;"",O2443*0.1,"")</f>
        <v/>
      </c>
      <c r="Q2443" s="83" t="str">
        <f aca="false">IF(O2443&lt;&gt;"",O2443+P2443,"")</f>
        <v/>
      </c>
      <c r="R2443" s="84"/>
    </row>
    <row r="2444" customFormat="false" ht="15" hidden="false" customHeight="true" outlineLevel="0" collapsed="false">
      <c r="A2444" s="103"/>
      <c r="B2444" s="73"/>
      <c r="C2444" s="74"/>
      <c r="D2444" s="75"/>
      <c r="E2444" s="52" t="str">
        <f aca="false">IF(D2444&lt;&gt;"",IFERROR(VLOOKUP(D2444,PROVEEDORES!$A:$B,2,0),"!COD NO ENCONTRADO"),"")</f>
        <v/>
      </c>
      <c r="F2444" s="76" t="str">
        <f aca="false">IF(D2444&lt;&gt;"",IFERROR(VLOOKUP(D2444,PROVEEDORES!$A:$C,3,0),""),"")</f>
        <v/>
      </c>
      <c r="G2444" s="75"/>
      <c r="H2444" s="52" t="str">
        <f aca="false">IF(G2444&lt;&gt;"",IFERROR(VLOOKUP(G2444,PRODUCTOS!$A:$B,2,0),"!COD NO ENCONTRADO"),"")</f>
        <v/>
      </c>
      <c r="I2444" s="77"/>
      <c r="J2444" s="78"/>
      <c r="K2444" s="79"/>
      <c r="L2444" s="80" t="str">
        <f aca="false">IF(AND(J2444&lt;&gt;"",K2444&lt;&gt;""),J2444*K2444,"")</f>
        <v/>
      </c>
      <c r="M2444" s="81" t="str">
        <f aca="false">IF(L2444&lt;&gt;"",L2444*1.1,"")</f>
        <v/>
      </c>
      <c r="N2444" s="53" t="n">
        <f aca="false">IF(F2444="S",L2444*0.02,0)</f>
        <v>0</v>
      </c>
      <c r="O2444" s="82" t="str">
        <f aca="false">IF(L2444&lt;&gt;"",L2444+N2444,"")</f>
        <v/>
      </c>
      <c r="P2444" s="53" t="str">
        <f aca="false">IF(O2444&lt;&gt;"",O2444*0.1,"")</f>
        <v/>
      </c>
      <c r="Q2444" s="83" t="str">
        <f aca="false">IF(O2444&lt;&gt;"",O2444+P2444,"")</f>
        <v/>
      </c>
      <c r="R2444" s="84"/>
    </row>
    <row r="2445" customFormat="false" ht="15" hidden="false" customHeight="true" outlineLevel="0" collapsed="false">
      <c r="A2445" s="103"/>
      <c r="B2445" s="85"/>
      <c r="C2445" s="86"/>
      <c r="D2445" s="87"/>
      <c r="E2445" s="46" t="str">
        <f aca="false">IF(D2445&lt;&gt;"",IFERROR(VLOOKUP(D2445,PROVEEDORES!$A:$B,2,0),"!COD NO ENCONTRADO"),"")</f>
        <v/>
      </c>
      <c r="F2445" s="88" t="str">
        <f aca="false">IF(D2445&lt;&gt;"",IFERROR(VLOOKUP(D2445,PROVEEDORES!$A:$C,3,0),""),"")</f>
        <v/>
      </c>
      <c r="G2445" s="87"/>
      <c r="H2445" s="46" t="str">
        <f aca="false">IF(G2445&lt;&gt;"",IFERROR(VLOOKUP(G2445,PRODUCTOS!$A:$B,2,0),"!COD NO ENCONTRADO"),"")</f>
        <v/>
      </c>
      <c r="I2445" s="89"/>
      <c r="J2445" s="90"/>
      <c r="K2445" s="91"/>
      <c r="L2445" s="80" t="str">
        <f aca="false">IF(AND(J2445&lt;&gt;"",K2445&lt;&gt;""),J2445*K2445,"")</f>
        <v/>
      </c>
      <c r="M2445" s="81" t="str">
        <f aca="false">IF(L2445&lt;&gt;"",L2445*1.1,"")</f>
        <v/>
      </c>
      <c r="N2445" s="47" t="n">
        <f aca="false">IF(F2445="S",L2445*0.02,0)</f>
        <v>0</v>
      </c>
      <c r="O2445" s="82" t="str">
        <f aca="false">IF(L2445&lt;&gt;"",L2445+N2445,"")</f>
        <v/>
      </c>
      <c r="P2445" s="47" t="str">
        <f aca="false">IF(O2445&lt;&gt;"",O2445*0.1,"")</f>
        <v/>
      </c>
      <c r="Q2445" s="83" t="str">
        <f aca="false">IF(O2445&lt;&gt;"",O2445+P2445,"")</f>
        <v/>
      </c>
      <c r="R2445" s="84"/>
    </row>
    <row r="2446" customFormat="false" ht="15" hidden="false" customHeight="true" outlineLevel="0" collapsed="false">
      <c r="A2446" s="103"/>
      <c r="B2446" s="73"/>
      <c r="C2446" s="74"/>
      <c r="D2446" s="75"/>
      <c r="E2446" s="52" t="str">
        <f aca="false">IF(D2446&lt;&gt;"",IFERROR(VLOOKUP(D2446,PROVEEDORES!$A:$B,2,0),"!COD NO ENCONTRADO"),"")</f>
        <v/>
      </c>
      <c r="F2446" s="76" t="str">
        <f aca="false">IF(D2446&lt;&gt;"",IFERROR(VLOOKUP(D2446,PROVEEDORES!$A:$C,3,0),""),"")</f>
        <v/>
      </c>
      <c r="G2446" s="75"/>
      <c r="H2446" s="52" t="str">
        <f aca="false">IF(G2446&lt;&gt;"",IFERROR(VLOOKUP(G2446,PRODUCTOS!$A:$B,2,0),"!COD NO ENCONTRADO"),"")</f>
        <v/>
      </c>
      <c r="I2446" s="77"/>
      <c r="J2446" s="78"/>
      <c r="K2446" s="79"/>
      <c r="L2446" s="80" t="str">
        <f aca="false">IF(AND(J2446&lt;&gt;"",K2446&lt;&gt;""),J2446*K2446,"")</f>
        <v/>
      </c>
      <c r="M2446" s="81" t="str">
        <f aca="false">IF(L2446&lt;&gt;"",L2446*1.1,"")</f>
        <v/>
      </c>
      <c r="N2446" s="53" t="n">
        <f aca="false">IF(F2446="S",L2446*0.02,0)</f>
        <v>0</v>
      </c>
      <c r="O2446" s="82" t="str">
        <f aca="false">IF(L2446&lt;&gt;"",L2446+N2446,"")</f>
        <v/>
      </c>
      <c r="P2446" s="53" t="str">
        <f aca="false">IF(O2446&lt;&gt;"",O2446*0.1,"")</f>
        <v/>
      </c>
      <c r="Q2446" s="83" t="str">
        <f aca="false">IF(O2446&lt;&gt;"",O2446+P2446,"")</f>
        <v/>
      </c>
      <c r="R2446" s="84"/>
    </row>
    <row r="2447" customFormat="false" ht="15" hidden="false" customHeight="true" outlineLevel="0" collapsed="false">
      <c r="A2447" s="103"/>
      <c r="B2447" s="85"/>
      <c r="C2447" s="86"/>
      <c r="D2447" s="87"/>
      <c r="E2447" s="46" t="str">
        <f aca="false">IF(D2447&lt;&gt;"",IFERROR(VLOOKUP(D2447,PROVEEDORES!$A:$B,2,0),"!COD NO ENCONTRADO"),"")</f>
        <v/>
      </c>
      <c r="F2447" s="88" t="str">
        <f aca="false">IF(D2447&lt;&gt;"",IFERROR(VLOOKUP(D2447,PROVEEDORES!$A:$C,3,0),""),"")</f>
        <v/>
      </c>
      <c r="G2447" s="87"/>
      <c r="H2447" s="46" t="str">
        <f aca="false">IF(G2447&lt;&gt;"",IFERROR(VLOOKUP(G2447,PRODUCTOS!$A:$B,2,0),"!COD NO ENCONTRADO"),"")</f>
        <v/>
      </c>
      <c r="I2447" s="89"/>
      <c r="J2447" s="90"/>
      <c r="K2447" s="91"/>
      <c r="L2447" s="80" t="str">
        <f aca="false">IF(AND(J2447&lt;&gt;"",K2447&lt;&gt;""),J2447*K2447,"")</f>
        <v/>
      </c>
      <c r="M2447" s="81" t="str">
        <f aca="false">IF(L2447&lt;&gt;"",L2447*1.1,"")</f>
        <v/>
      </c>
      <c r="N2447" s="47" t="n">
        <f aca="false">IF(F2447="S",L2447*0.02,0)</f>
        <v>0</v>
      </c>
      <c r="O2447" s="82" t="str">
        <f aca="false">IF(L2447&lt;&gt;"",L2447+N2447,"")</f>
        <v/>
      </c>
      <c r="P2447" s="47" t="str">
        <f aca="false">IF(O2447&lt;&gt;"",O2447*0.1,"")</f>
        <v/>
      </c>
      <c r="Q2447" s="83" t="str">
        <f aca="false">IF(O2447&lt;&gt;"",O2447+P2447,"")</f>
        <v/>
      </c>
      <c r="R2447" s="84"/>
    </row>
    <row r="2448" customFormat="false" ht="15" hidden="false" customHeight="true" outlineLevel="0" collapsed="false">
      <c r="A2448" s="103"/>
      <c r="B2448" s="73"/>
      <c r="C2448" s="74"/>
      <c r="D2448" s="75"/>
      <c r="E2448" s="52" t="str">
        <f aca="false">IF(D2448&lt;&gt;"",IFERROR(VLOOKUP(D2448,PROVEEDORES!$A:$B,2,0),"!COD NO ENCONTRADO"),"")</f>
        <v/>
      </c>
      <c r="F2448" s="76" t="str">
        <f aca="false">IF(D2448&lt;&gt;"",IFERROR(VLOOKUP(D2448,PROVEEDORES!$A:$C,3,0),""),"")</f>
        <v/>
      </c>
      <c r="G2448" s="75"/>
      <c r="H2448" s="52" t="str">
        <f aca="false">IF(G2448&lt;&gt;"",IFERROR(VLOOKUP(G2448,PRODUCTOS!$A:$B,2,0),"!COD NO ENCONTRADO"),"")</f>
        <v/>
      </c>
      <c r="I2448" s="77"/>
      <c r="J2448" s="78"/>
      <c r="K2448" s="79"/>
      <c r="L2448" s="80" t="str">
        <f aca="false">IF(AND(J2448&lt;&gt;"",K2448&lt;&gt;""),J2448*K2448,"")</f>
        <v/>
      </c>
      <c r="M2448" s="81" t="str">
        <f aca="false">IF(L2448&lt;&gt;"",L2448*1.1,"")</f>
        <v/>
      </c>
      <c r="N2448" s="53" t="n">
        <f aca="false">IF(F2448="S",L2448*0.02,0)</f>
        <v>0</v>
      </c>
      <c r="O2448" s="82" t="str">
        <f aca="false">IF(L2448&lt;&gt;"",L2448+N2448,"")</f>
        <v/>
      </c>
      <c r="P2448" s="53" t="str">
        <f aca="false">IF(O2448&lt;&gt;"",O2448*0.1,"")</f>
        <v/>
      </c>
      <c r="Q2448" s="83" t="str">
        <f aca="false">IF(O2448&lt;&gt;"",O2448+P2448,"")</f>
        <v/>
      </c>
      <c r="R2448" s="84"/>
    </row>
    <row r="2449" customFormat="false" ht="15" hidden="false" customHeight="true" outlineLevel="0" collapsed="false">
      <c r="A2449" s="103"/>
      <c r="B2449" s="85"/>
      <c r="C2449" s="86"/>
      <c r="D2449" s="87"/>
      <c r="E2449" s="46" t="str">
        <f aca="false">IF(D2449&lt;&gt;"",IFERROR(VLOOKUP(D2449,PROVEEDORES!$A:$B,2,0),"!COD NO ENCONTRADO"),"")</f>
        <v/>
      </c>
      <c r="F2449" s="88" t="str">
        <f aca="false">IF(D2449&lt;&gt;"",IFERROR(VLOOKUP(D2449,PROVEEDORES!$A:$C,3,0),""),"")</f>
        <v/>
      </c>
      <c r="G2449" s="87"/>
      <c r="H2449" s="46" t="str">
        <f aca="false">IF(G2449&lt;&gt;"",IFERROR(VLOOKUP(G2449,PRODUCTOS!$A:$B,2,0),"!COD NO ENCONTRADO"),"")</f>
        <v/>
      </c>
      <c r="I2449" s="89"/>
      <c r="J2449" s="90"/>
      <c r="K2449" s="91"/>
      <c r="L2449" s="80" t="str">
        <f aca="false">IF(AND(J2449&lt;&gt;"",K2449&lt;&gt;""),J2449*K2449,"")</f>
        <v/>
      </c>
      <c r="M2449" s="81" t="str">
        <f aca="false">IF(L2449&lt;&gt;"",L2449*1.1,"")</f>
        <v/>
      </c>
      <c r="N2449" s="47" t="n">
        <f aca="false">IF(F2449="S",L2449*0.02,0)</f>
        <v>0</v>
      </c>
      <c r="O2449" s="82" t="str">
        <f aca="false">IF(L2449&lt;&gt;"",L2449+N2449,"")</f>
        <v/>
      </c>
      <c r="P2449" s="47" t="str">
        <f aca="false">IF(O2449&lt;&gt;"",O2449*0.1,"")</f>
        <v/>
      </c>
      <c r="Q2449" s="83" t="str">
        <f aca="false">IF(O2449&lt;&gt;"",O2449+P2449,"")</f>
        <v/>
      </c>
      <c r="R2449" s="84"/>
    </row>
    <row r="2450" customFormat="false" ht="15" hidden="false" customHeight="true" outlineLevel="0" collapsed="false">
      <c r="A2450" s="103"/>
      <c r="B2450" s="73"/>
      <c r="C2450" s="74"/>
      <c r="D2450" s="75"/>
      <c r="E2450" s="52" t="str">
        <f aca="false">IF(D2450&lt;&gt;"",IFERROR(VLOOKUP(D2450,PROVEEDORES!$A:$B,2,0),"!COD NO ENCONTRADO"),"")</f>
        <v/>
      </c>
      <c r="F2450" s="76" t="str">
        <f aca="false">IF(D2450&lt;&gt;"",IFERROR(VLOOKUP(D2450,PROVEEDORES!$A:$C,3,0),""),"")</f>
        <v/>
      </c>
      <c r="G2450" s="75"/>
      <c r="H2450" s="52" t="str">
        <f aca="false">IF(G2450&lt;&gt;"",IFERROR(VLOOKUP(G2450,PRODUCTOS!$A:$B,2,0),"!COD NO ENCONTRADO"),"")</f>
        <v/>
      </c>
      <c r="I2450" s="77"/>
      <c r="J2450" s="78"/>
      <c r="K2450" s="79"/>
      <c r="L2450" s="80" t="str">
        <f aca="false">IF(AND(J2450&lt;&gt;"",K2450&lt;&gt;""),J2450*K2450,"")</f>
        <v/>
      </c>
      <c r="M2450" s="81" t="str">
        <f aca="false">IF(L2450&lt;&gt;"",L2450*1.1,"")</f>
        <v/>
      </c>
      <c r="N2450" s="53" t="n">
        <f aca="false">IF(F2450="S",L2450*0.02,0)</f>
        <v>0</v>
      </c>
      <c r="O2450" s="82" t="str">
        <f aca="false">IF(L2450&lt;&gt;"",L2450+N2450,"")</f>
        <v/>
      </c>
      <c r="P2450" s="53" t="str">
        <f aca="false">IF(O2450&lt;&gt;"",O2450*0.1,"")</f>
        <v/>
      </c>
      <c r="Q2450" s="83" t="str">
        <f aca="false">IF(O2450&lt;&gt;"",O2450+P2450,"")</f>
        <v/>
      </c>
      <c r="R2450" s="84"/>
    </row>
    <row r="2451" customFormat="false" ht="15" hidden="false" customHeight="true" outlineLevel="0" collapsed="false">
      <c r="A2451" s="103"/>
      <c r="B2451" s="85"/>
      <c r="C2451" s="86"/>
      <c r="D2451" s="87"/>
      <c r="E2451" s="46" t="str">
        <f aca="false">IF(D2451&lt;&gt;"",IFERROR(VLOOKUP(D2451,PROVEEDORES!$A:$B,2,0),"!COD NO ENCONTRADO"),"")</f>
        <v/>
      </c>
      <c r="F2451" s="88" t="str">
        <f aca="false">IF(D2451&lt;&gt;"",IFERROR(VLOOKUP(D2451,PROVEEDORES!$A:$C,3,0),""),"")</f>
        <v/>
      </c>
      <c r="G2451" s="87"/>
      <c r="H2451" s="46" t="str">
        <f aca="false">IF(G2451&lt;&gt;"",IFERROR(VLOOKUP(G2451,PRODUCTOS!$A:$B,2,0),"!COD NO ENCONTRADO"),"")</f>
        <v/>
      </c>
      <c r="I2451" s="89"/>
      <c r="J2451" s="90"/>
      <c r="K2451" s="91"/>
      <c r="L2451" s="80" t="str">
        <f aca="false">IF(AND(J2451&lt;&gt;"",K2451&lt;&gt;""),J2451*K2451,"")</f>
        <v/>
      </c>
      <c r="M2451" s="81" t="str">
        <f aca="false">IF(L2451&lt;&gt;"",L2451*1.1,"")</f>
        <v/>
      </c>
      <c r="N2451" s="47" t="n">
        <f aca="false">IF(F2451="S",L2451*0.02,0)</f>
        <v>0</v>
      </c>
      <c r="O2451" s="82" t="str">
        <f aca="false">IF(L2451&lt;&gt;"",L2451+N2451,"")</f>
        <v/>
      </c>
      <c r="P2451" s="47" t="str">
        <f aca="false">IF(O2451&lt;&gt;"",O2451*0.1,"")</f>
        <v/>
      </c>
      <c r="Q2451" s="83" t="str">
        <f aca="false">IF(O2451&lt;&gt;"",O2451+P2451,"")</f>
        <v/>
      </c>
      <c r="R2451" s="84"/>
    </row>
    <row r="2452" customFormat="false" ht="15" hidden="false" customHeight="true" outlineLevel="0" collapsed="false">
      <c r="A2452" s="103"/>
      <c r="B2452" s="73"/>
      <c r="C2452" s="74"/>
      <c r="D2452" s="75"/>
      <c r="E2452" s="52" t="str">
        <f aca="false">IF(D2452&lt;&gt;"",IFERROR(VLOOKUP(D2452,PROVEEDORES!$A:$B,2,0),"!COD NO ENCONTRADO"),"")</f>
        <v/>
      </c>
      <c r="F2452" s="76" t="str">
        <f aca="false">IF(D2452&lt;&gt;"",IFERROR(VLOOKUP(D2452,PROVEEDORES!$A:$C,3,0),""),"")</f>
        <v/>
      </c>
      <c r="G2452" s="75"/>
      <c r="H2452" s="52" t="str">
        <f aca="false">IF(G2452&lt;&gt;"",IFERROR(VLOOKUP(G2452,PRODUCTOS!$A:$B,2,0),"!COD NO ENCONTRADO"),"")</f>
        <v/>
      </c>
      <c r="I2452" s="77"/>
      <c r="J2452" s="78"/>
      <c r="K2452" s="79"/>
      <c r="L2452" s="80" t="str">
        <f aca="false">IF(AND(J2452&lt;&gt;"",K2452&lt;&gt;""),J2452*K2452,"")</f>
        <v/>
      </c>
      <c r="M2452" s="81" t="str">
        <f aca="false">IF(L2452&lt;&gt;"",L2452*1.1,"")</f>
        <v/>
      </c>
      <c r="N2452" s="53" t="n">
        <f aca="false">IF(F2452="S",L2452*0.02,0)</f>
        <v>0</v>
      </c>
      <c r="O2452" s="82" t="str">
        <f aca="false">IF(L2452&lt;&gt;"",L2452+N2452,"")</f>
        <v/>
      </c>
      <c r="P2452" s="53" t="str">
        <f aca="false">IF(O2452&lt;&gt;"",O2452*0.1,"")</f>
        <v/>
      </c>
      <c r="Q2452" s="83" t="str">
        <f aca="false">IF(O2452&lt;&gt;"",O2452+P2452,"")</f>
        <v/>
      </c>
      <c r="R2452" s="84"/>
    </row>
    <row r="2453" customFormat="false" ht="15" hidden="false" customHeight="true" outlineLevel="0" collapsed="false">
      <c r="A2453" s="103"/>
      <c r="B2453" s="85"/>
      <c r="C2453" s="86"/>
      <c r="D2453" s="87"/>
      <c r="E2453" s="46" t="str">
        <f aca="false">IF(D2453&lt;&gt;"",IFERROR(VLOOKUP(D2453,PROVEEDORES!$A:$B,2,0),"!COD NO ENCONTRADO"),"")</f>
        <v/>
      </c>
      <c r="F2453" s="88" t="str">
        <f aca="false">IF(D2453&lt;&gt;"",IFERROR(VLOOKUP(D2453,PROVEEDORES!$A:$C,3,0),""),"")</f>
        <v/>
      </c>
      <c r="G2453" s="87"/>
      <c r="H2453" s="46" t="str">
        <f aca="false">IF(G2453&lt;&gt;"",IFERROR(VLOOKUP(G2453,PRODUCTOS!$A:$B,2,0),"!COD NO ENCONTRADO"),"")</f>
        <v/>
      </c>
      <c r="I2453" s="89"/>
      <c r="J2453" s="90"/>
      <c r="K2453" s="91"/>
      <c r="L2453" s="80" t="str">
        <f aca="false">IF(AND(J2453&lt;&gt;"",K2453&lt;&gt;""),J2453*K2453,"")</f>
        <v/>
      </c>
      <c r="M2453" s="81" t="str">
        <f aca="false">IF(L2453&lt;&gt;"",L2453*1.1,"")</f>
        <v/>
      </c>
      <c r="N2453" s="47" t="n">
        <f aca="false">IF(F2453="S",L2453*0.02,0)</f>
        <v>0</v>
      </c>
      <c r="O2453" s="82" t="str">
        <f aca="false">IF(L2453&lt;&gt;"",L2453+N2453,"")</f>
        <v/>
      </c>
      <c r="P2453" s="47" t="str">
        <f aca="false">IF(O2453&lt;&gt;"",O2453*0.1,"")</f>
        <v/>
      </c>
      <c r="Q2453" s="83" t="str">
        <f aca="false">IF(O2453&lt;&gt;"",O2453+P2453,"")</f>
        <v/>
      </c>
      <c r="R2453" s="84"/>
    </row>
    <row r="2454" customFormat="false" ht="15" hidden="false" customHeight="true" outlineLevel="0" collapsed="false">
      <c r="A2454" s="103"/>
      <c r="B2454" s="73"/>
      <c r="C2454" s="74"/>
      <c r="D2454" s="75"/>
      <c r="E2454" s="52" t="str">
        <f aca="false">IF(D2454&lt;&gt;"",IFERROR(VLOOKUP(D2454,PROVEEDORES!$A:$B,2,0),"!COD NO ENCONTRADO"),"")</f>
        <v/>
      </c>
      <c r="F2454" s="76" t="str">
        <f aca="false">IF(D2454&lt;&gt;"",IFERROR(VLOOKUP(D2454,PROVEEDORES!$A:$C,3,0),""),"")</f>
        <v/>
      </c>
      <c r="G2454" s="75"/>
      <c r="H2454" s="52" t="str">
        <f aca="false">IF(G2454&lt;&gt;"",IFERROR(VLOOKUP(G2454,PRODUCTOS!$A:$B,2,0),"!COD NO ENCONTRADO"),"")</f>
        <v/>
      </c>
      <c r="I2454" s="77"/>
      <c r="J2454" s="78"/>
      <c r="K2454" s="79"/>
      <c r="L2454" s="80" t="str">
        <f aca="false">IF(AND(J2454&lt;&gt;"",K2454&lt;&gt;""),J2454*K2454,"")</f>
        <v/>
      </c>
      <c r="M2454" s="81" t="str">
        <f aca="false">IF(L2454&lt;&gt;"",L2454*1.1,"")</f>
        <v/>
      </c>
      <c r="N2454" s="53" t="n">
        <f aca="false">IF(F2454="S",L2454*0.02,0)</f>
        <v>0</v>
      </c>
      <c r="O2454" s="82" t="str">
        <f aca="false">IF(L2454&lt;&gt;"",L2454+N2454,"")</f>
        <v/>
      </c>
      <c r="P2454" s="53" t="str">
        <f aca="false">IF(O2454&lt;&gt;"",O2454*0.1,"")</f>
        <v/>
      </c>
      <c r="Q2454" s="83" t="str">
        <f aca="false">IF(O2454&lt;&gt;"",O2454+P2454,"")</f>
        <v/>
      </c>
      <c r="R2454" s="84"/>
    </row>
    <row r="2455" customFormat="false" ht="15" hidden="false" customHeight="true" outlineLevel="0" collapsed="false">
      <c r="A2455" s="103"/>
      <c r="B2455" s="85"/>
      <c r="C2455" s="86"/>
      <c r="D2455" s="87"/>
      <c r="E2455" s="46" t="str">
        <f aca="false">IF(D2455&lt;&gt;"",IFERROR(VLOOKUP(D2455,PROVEEDORES!$A:$B,2,0),"!COD NO ENCONTRADO"),"")</f>
        <v/>
      </c>
      <c r="F2455" s="88" t="str">
        <f aca="false">IF(D2455&lt;&gt;"",IFERROR(VLOOKUP(D2455,PROVEEDORES!$A:$C,3,0),""),"")</f>
        <v/>
      </c>
      <c r="G2455" s="87"/>
      <c r="H2455" s="46" t="str">
        <f aca="false">IF(G2455&lt;&gt;"",IFERROR(VLOOKUP(G2455,PRODUCTOS!$A:$B,2,0),"!COD NO ENCONTRADO"),"")</f>
        <v/>
      </c>
      <c r="I2455" s="89"/>
      <c r="J2455" s="90"/>
      <c r="K2455" s="91"/>
      <c r="L2455" s="80" t="str">
        <f aca="false">IF(AND(J2455&lt;&gt;"",K2455&lt;&gt;""),J2455*K2455,"")</f>
        <v/>
      </c>
      <c r="M2455" s="81" t="str">
        <f aca="false">IF(L2455&lt;&gt;"",L2455*1.1,"")</f>
        <v/>
      </c>
      <c r="N2455" s="47" t="n">
        <f aca="false">IF(F2455="S",L2455*0.02,0)</f>
        <v>0</v>
      </c>
      <c r="O2455" s="82" t="str">
        <f aca="false">IF(L2455&lt;&gt;"",L2455+N2455,"")</f>
        <v/>
      </c>
      <c r="P2455" s="47" t="str">
        <f aca="false">IF(O2455&lt;&gt;"",O2455*0.1,"")</f>
        <v/>
      </c>
      <c r="Q2455" s="83" t="str">
        <f aca="false">IF(O2455&lt;&gt;"",O2455+P2455,"")</f>
        <v/>
      </c>
      <c r="R2455" s="84"/>
    </row>
    <row r="2456" customFormat="false" ht="15" hidden="false" customHeight="true" outlineLevel="0" collapsed="false">
      <c r="A2456" s="103"/>
      <c r="B2456" s="73"/>
      <c r="C2456" s="74"/>
      <c r="D2456" s="75"/>
      <c r="E2456" s="52" t="str">
        <f aca="false">IF(D2456&lt;&gt;"",IFERROR(VLOOKUP(D2456,PROVEEDORES!$A:$B,2,0),"!COD NO ENCONTRADO"),"")</f>
        <v/>
      </c>
      <c r="F2456" s="76" t="str">
        <f aca="false">IF(D2456&lt;&gt;"",IFERROR(VLOOKUP(D2456,PROVEEDORES!$A:$C,3,0),""),"")</f>
        <v/>
      </c>
      <c r="G2456" s="75"/>
      <c r="H2456" s="52" t="str">
        <f aca="false">IF(G2456&lt;&gt;"",IFERROR(VLOOKUP(G2456,PRODUCTOS!$A:$B,2,0),"!COD NO ENCONTRADO"),"")</f>
        <v/>
      </c>
      <c r="I2456" s="77"/>
      <c r="J2456" s="78"/>
      <c r="K2456" s="79"/>
      <c r="L2456" s="80" t="str">
        <f aca="false">IF(AND(J2456&lt;&gt;"",K2456&lt;&gt;""),J2456*K2456,"")</f>
        <v/>
      </c>
      <c r="M2456" s="81" t="str">
        <f aca="false">IF(L2456&lt;&gt;"",L2456*1.1,"")</f>
        <v/>
      </c>
      <c r="N2456" s="53" t="n">
        <f aca="false">IF(F2456="S",L2456*0.02,0)</f>
        <v>0</v>
      </c>
      <c r="O2456" s="82" t="str">
        <f aca="false">IF(L2456&lt;&gt;"",L2456+N2456,"")</f>
        <v/>
      </c>
      <c r="P2456" s="53" t="str">
        <f aca="false">IF(O2456&lt;&gt;"",O2456*0.1,"")</f>
        <v/>
      </c>
      <c r="Q2456" s="83" t="str">
        <f aca="false">IF(O2456&lt;&gt;"",O2456+P2456,"")</f>
        <v/>
      </c>
      <c r="R2456" s="84"/>
    </row>
    <row r="2457" customFormat="false" ht="15" hidden="false" customHeight="true" outlineLevel="0" collapsed="false">
      <c r="A2457" s="103"/>
      <c r="B2457" s="85"/>
      <c r="C2457" s="86"/>
      <c r="D2457" s="87"/>
      <c r="E2457" s="46" t="str">
        <f aca="false">IF(D2457&lt;&gt;"",IFERROR(VLOOKUP(D2457,PROVEEDORES!$A:$B,2,0),"!COD NO ENCONTRADO"),"")</f>
        <v/>
      </c>
      <c r="F2457" s="88" t="str">
        <f aca="false">IF(D2457&lt;&gt;"",IFERROR(VLOOKUP(D2457,PROVEEDORES!$A:$C,3,0),""),"")</f>
        <v/>
      </c>
      <c r="G2457" s="87"/>
      <c r="H2457" s="46" t="str">
        <f aca="false">IF(G2457&lt;&gt;"",IFERROR(VLOOKUP(G2457,PRODUCTOS!$A:$B,2,0),"!COD NO ENCONTRADO"),"")</f>
        <v/>
      </c>
      <c r="I2457" s="89"/>
      <c r="J2457" s="90"/>
      <c r="K2457" s="91"/>
      <c r="L2457" s="80" t="str">
        <f aca="false">IF(AND(J2457&lt;&gt;"",K2457&lt;&gt;""),J2457*K2457,"")</f>
        <v/>
      </c>
      <c r="M2457" s="81" t="str">
        <f aca="false">IF(L2457&lt;&gt;"",L2457*1.1,"")</f>
        <v/>
      </c>
      <c r="N2457" s="47" t="n">
        <f aca="false">IF(F2457="S",L2457*0.02,0)</f>
        <v>0</v>
      </c>
      <c r="O2457" s="82" t="str">
        <f aca="false">IF(L2457&lt;&gt;"",L2457+N2457,"")</f>
        <v/>
      </c>
      <c r="P2457" s="47" t="str">
        <f aca="false">IF(O2457&lt;&gt;"",O2457*0.1,"")</f>
        <v/>
      </c>
      <c r="Q2457" s="83" t="str">
        <f aca="false">IF(O2457&lt;&gt;"",O2457+P2457,"")</f>
        <v/>
      </c>
      <c r="R2457" s="84"/>
    </row>
    <row r="2458" customFormat="false" ht="15" hidden="false" customHeight="true" outlineLevel="0" collapsed="false">
      <c r="A2458" s="103"/>
      <c r="B2458" s="73"/>
      <c r="C2458" s="74"/>
      <c r="D2458" s="75"/>
      <c r="E2458" s="52" t="str">
        <f aca="false">IF(D2458&lt;&gt;"",IFERROR(VLOOKUP(D2458,PROVEEDORES!$A:$B,2,0),"!COD NO ENCONTRADO"),"")</f>
        <v/>
      </c>
      <c r="F2458" s="76" t="str">
        <f aca="false">IF(D2458&lt;&gt;"",IFERROR(VLOOKUP(D2458,PROVEEDORES!$A:$C,3,0),""),"")</f>
        <v/>
      </c>
      <c r="G2458" s="75"/>
      <c r="H2458" s="52" t="str">
        <f aca="false">IF(G2458&lt;&gt;"",IFERROR(VLOOKUP(G2458,PRODUCTOS!$A:$B,2,0),"!COD NO ENCONTRADO"),"")</f>
        <v/>
      </c>
      <c r="I2458" s="77"/>
      <c r="J2458" s="78"/>
      <c r="K2458" s="79"/>
      <c r="L2458" s="80" t="str">
        <f aca="false">IF(AND(J2458&lt;&gt;"",K2458&lt;&gt;""),J2458*K2458,"")</f>
        <v/>
      </c>
      <c r="M2458" s="81" t="str">
        <f aca="false">IF(L2458&lt;&gt;"",L2458*1.1,"")</f>
        <v/>
      </c>
      <c r="N2458" s="53" t="n">
        <f aca="false">IF(F2458="S",L2458*0.02,0)</f>
        <v>0</v>
      </c>
      <c r="O2458" s="82" t="str">
        <f aca="false">IF(L2458&lt;&gt;"",L2458+N2458,"")</f>
        <v/>
      </c>
      <c r="P2458" s="53" t="str">
        <f aca="false">IF(O2458&lt;&gt;"",O2458*0.1,"")</f>
        <v/>
      </c>
      <c r="Q2458" s="83" t="str">
        <f aca="false">IF(O2458&lt;&gt;"",O2458+P2458,"")</f>
        <v/>
      </c>
      <c r="R2458" s="84"/>
    </row>
    <row r="2459" customFormat="false" ht="15" hidden="false" customHeight="true" outlineLevel="0" collapsed="false">
      <c r="A2459" s="103"/>
      <c r="B2459" s="85"/>
      <c r="C2459" s="86"/>
      <c r="D2459" s="87"/>
      <c r="E2459" s="46" t="str">
        <f aca="false">IF(D2459&lt;&gt;"",IFERROR(VLOOKUP(D2459,PROVEEDORES!$A:$B,2,0),"!COD NO ENCONTRADO"),"")</f>
        <v/>
      </c>
      <c r="F2459" s="88" t="str">
        <f aca="false">IF(D2459&lt;&gt;"",IFERROR(VLOOKUP(D2459,PROVEEDORES!$A:$C,3,0),""),"")</f>
        <v/>
      </c>
      <c r="G2459" s="87"/>
      <c r="H2459" s="46" t="str">
        <f aca="false">IF(G2459&lt;&gt;"",IFERROR(VLOOKUP(G2459,PRODUCTOS!$A:$B,2,0),"!COD NO ENCONTRADO"),"")</f>
        <v/>
      </c>
      <c r="I2459" s="89"/>
      <c r="J2459" s="90"/>
      <c r="K2459" s="91"/>
      <c r="L2459" s="80" t="str">
        <f aca="false">IF(AND(J2459&lt;&gt;"",K2459&lt;&gt;""),J2459*K2459,"")</f>
        <v/>
      </c>
      <c r="M2459" s="81" t="str">
        <f aca="false">IF(L2459&lt;&gt;"",L2459*1.1,"")</f>
        <v/>
      </c>
      <c r="N2459" s="47" t="n">
        <f aca="false">IF(F2459="S",L2459*0.02,0)</f>
        <v>0</v>
      </c>
      <c r="O2459" s="82" t="str">
        <f aca="false">IF(L2459&lt;&gt;"",L2459+N2459,"")</f>
        <v/>
      </c>
      <c r="P2459" s="47" t="str">
        <f aca="false">IF(O2459&lt;&gt;"",O2459*0.1,"")</f>
        <v/>
      </c>
      <c r="Q2459" s="83" t="str">
        <f aca="false">IF(O2459&lt;&gt;"",O2459+P2459,"")</f>
        <v/>
      </c>
      <c r="R2459" s="84"/>
    </row>
    <row r="2460" customFormat="false" ht="15" hidden="false" customHeight="true" outlineLevel="0" collapsed="false">
      <c r="A2460" s="103"/>
      <c r="B2460" s="73"/>
      <c r="C2460" s="74"/>
      <c r="D2460" s="75"/>
      <c r="E2460" s="52" t="str">
        <f aca="false">IF(D2460&lt;&gt;"",IFERROR(VLOOKUP(D2460,PROVEEDORES!$A:$B,2,0),"!COD NO ENCONTRADO"),"")</f>
        <v/>
      </c>
      <c r="F2460" s="76" t="str">
        <f aca="false">IF(D2460&lt;&gt;"",IFERROR(VLOOKUP(D2460,PROVEEDORES!$A:$C,3,0),""),"")</f>
        <v/>
      </c>
      <c r="G2460" s="75"/>
      <c r="H2460" s="52" t="str">
        <f aca="false">IF(G2460&lt;&gt;"",IFERROR(VLOOKUP(G2460,PRODUCTOS!$A:$B,2,0),"!COD NO ENCONTRADO"),"")</f>
        <v/>
      </c>
      <c r="I2460" s="77"/>
      <c r="J2460" s="78"/>
      <c r="K2460" s="79"/>
      <c r="L2460" s="80" t="str">
        <f aca="false">IF(AND(J2460&lt;&gt;"",K2460&lt;&gt;""),J2460*K2460,"")</f>
        <v/>
      </c>
      <c r="M2460" s="81" t="str">
        <f aca="false">IF(L2460&lt;&gt;"",L2460*1.1,"")</f>
        <v/>
      </c>
      <c r="N2460" s="53" t="n">
        <f aca="false">IF(F2460="S",L2460*0.02,0)</f>
        <v>0</v>
      </c>
      <c r="O2460" s="82" t="str">
        <f aca="false">IF(L2460&lt;&gt;"",L2460+N2460,"")</f>
        <v/>
      </c>
      <c r="P2460" s="53" t="str">
        <f aca="false">IF(O2460&lt;&gt;"",O2460*0.1,"")</f>
        <v/>
      </c>
      <c r="Q2460" s="83" t="str">
        <f aca="false">IF(O2460&lt;&gt;"",O2460+P2460,"")</f>
        <v/>
      </c>
      <c r="R2460" s="84"/>
    </row>
    <row r="2461" customFormat="false" ht="15" hidden="false" customHeight="true" outlineLevel="0" collapsed="false">
      <c r="A2461" s="103"/>
      <c r="B2461" s="85"/>
      <c r="C2461" s="86"/>
      <c r="D2461" s="87"/>
      <c r="E2461" s="46" t="str">
        <f aca="false">IF(D2461&lt;&gt;"",IFERROR(VLOOKUP(D2461,PROVEEDORES!$A:$B,2,0),"!COD NO ENCONTRADO"),"")</f>
        <v/>
      </c>
      <c r="F2461" s="88" t="str">
        <f aca="false">IF(D2461&lt;&gt;"",IFERROR(VLOOKUP(D2461,PROVEEDORES!$A:$C,3,0),""),"")</f>
        <v/>
      </c>
      <c r="G2461" s="87"/>
      <c r="H2461" s="46" t="str">
        <f aca="false">IF(G2461&lt;&gt;"",IFERROR(VLOOKUP(G2461,PRODUCTOS!$A:$B,2,0),"!COD NO ENCONTRADO"),"")</f>
        <v/>
      </c>
      <c r="I2461" s="89"/>
      <c r="J2461" s="90"/>
      <c r="K2461" s="91"/>
      <c r="L2461" s="80" t="str">
        <f aca="false">IF(AND(J2461&lt;&gt;"",K2461&lt;&gt;""),J2461*K2461,"")</f>
        <v/>
      </c>
      <c r="M2461" s="81" t="str">
        <f aca="false">IF(L2461&lt;&gt;"",L2461*1.1,"")</f>
        <v/>
      </c>
      <c r="N2461" s="47" t="n">
        <f aca="false">IF(F2461="S",L2461*0.02,0)</f>
        <v>0</v>
      </c>
      <c r="O2461" s="82" t="str">
        <f aca="false">IF(L2461&lt;&gt;"",L2461+N2461,"")</f>
        <v/>
      </c>
      <c r="P2461" s="47" t="str">
        <f aca="false">IF(O2461&lt;&gt;"",O2461*0.1,"")</f>
        <v/>
      </c>
      <c r="Q2461" s="83" t="str">
        <f aca="false">IF(O2461&lt;&gt;"",O2461+P2461,"")</f>
        <v/>
      </c>
      <c r="R2461" s="84"/>
    </row>
    <row r="2462" customFormat="false" ht="15" hidden="false" customHeight="true" outlineLevel="0" collapsed="false">
      <c r="A2462" s="103"/>
      <c r="B2462" s="73"/>
      <c r="C2462" s="74"/>
      <c r="D2462" s="75"/>
      <c r="E2462" s="52" t="str">
        <f aca="false">IF(D2462&lt;&gt;"",IFERROR(VLOOKUP(D2462,PROVEEDORES!$A:$B,2,0),"!COD NO ENCONTRADO"),"")</f>
        <v/>
      </c>
      <c r="F2462" s="76" t="str">
        <f aca="false">IF(D2462&lt;&gt;"",IFERROR(VLOOKUP(D2462,PROVEEDORES!$A:$C,3,0),""),"")</f>
        <v/>
      </c>
      <c r="G2462" s="75"/>
      <c r="H2462" s="52" t="str">
        <f aca="false">IF(G2462&lt;&gt;"",IFERROR(VLOOKUP(G2462,PRODUCTOS!$A:$B,2,0),"!COD NO ENCONTRADO"),"")</f>
        <v/>
      </c>
      <c r="I2462" s="77"/>
      <c r="J2462" s="78"/>
      <c r="K2462" s="79"/>
      <c r="L2462" s="80" t="str">
        <f aca="false">IF(AND(J2462&lt;&gt;"",K2462&lt;&gt;""),J2462*K2462,"")</f>
        <v/>
      </c>
      <c r="M2462" s="81" t="str">
        <f aca="false">IF(L2462&lt;&gt;"",L2462*1.1,"")</f>
        <v/>
      </c>
      <c r="N2462" s="53" t="n">
        <f aca="false">IF(F2462="S",L2462*0.02,0)</f>
        <v>0</v>
      </c>
      <c r="O2462" s="82" t="str">
        <f aca="false">IF(L2462&lt;&gt;"",L2462+N2462,"")</f>
        <v/>
      </c>
      <c r="P2462" s="53" t="str">
        <f aca="false">IF(O2462&lt;&gt;"",O2462*0.1,"")</f>
        <v/>
      </c>
      <c r="Q2462" s="83" t="str">
        <f aca="false">IF(O2462&lt;&gt;"",O2462+P2462,"")</f>
        <v/>
      </c>
      <c r="R2462" s="84"/>
    </row>
    <row r="2463" customFormat="false" ht="15" hidden="false" customHeight="true" outlineLevel="0" collapsed="false">
      <c r="A2463" s="103"/>
      <c r="B2463" s="85"/>
      <c r="C2463" s="86"/>
      <c r="D2463" s="87"/>
      <c r="E2463" s="46" t="str">
        <f aca="false">IF(D2463&lt;&gt;"",IFERROR(VLOOKUP(D2463,PROVEEDORES!$A:$B,2,0),"!COD NO ENCONTRADO"),"")</f>
        <v/>
      </c>
      <c r="F2463" s="88" t="str">
        <f aca="false">IF(D2463&lt;&gt;"",IFERROR(VLOOKUP(D2463,PROVEEDORES!$A:$C,3,0),""),"")</f>
        <v/>
      </c>
      <c r="G2463" s="87"/>
      <c r="H2463" s="46" t="str">
        <f aca="false">IF(G2463&lt;&gt;"",IFERROR(VLOOKUP(G2463,PRODUCTOS!$A:$B,2,0),"!COD NO ENCONTRADO"),"")</f>
        <v/>
      </c>
      <c r="I2463" s="89"/>
      <c r="J2463" s="90"/>
      <c r="K2463" s="91"/>
      <c r="L2463" s="80" t="str">
        <f aca="false">IF(AND(J2463&lt;&gt;"",K2463&lt;&gt;""),J2463*K2463,"")</f>
        <v/>
      </c>
      <c r="M2463" s="81" t="str">
        <f aca="false">IF(L2463&lt;&gt;"",L2463*1.1,"")</f>
        <v/>
      </c>
      <c r="N2463" s="47" t="n">
        <f aca="false">IF(F2463="S",L2463*0.02,0)</f>
        <v>0</v>
      </c>
      <c r="O2463" s="82" t="str">
        <f aca="false">IF(L2463&lt;&gt;"",L2463+N2463,"")</f>
        <v/>
      </c>
      <c r="P2463" s="47" t="str">
        <f aca="false">IF(O2463&lt;&gt;"",O2463*0.1,"")</f>
        <v/>
      </c>
      <c r="Q2463" s="83" t="str">
        <f aca="false">IF(O2463&lt;&gt;"",O2463+P2463,"")</f>
        <v/>
      </c>
      <c r="R2463" s="84"/>
    </row>
    <row r="2464" customFormat="false" ht="15" hidden="false" customHeight="true" outlineLevel="0" collapsed="false">
      <c r="A2464" s="103"/>
      <c r="B2464" s="73"/>
      <c r="C2464" s="74"/>
      <c r="D2464" s="75"/>
      <c r="E2464" s="52" t="str">
        <f aca="false">IF(D2464&lt;&gt;"",IFERROR(VLOOKUP(D2464,PROVEEDORES!$A:$B,2,0),"!COD NO ENCONTRADO"),"")</f>
        <v/>
      </c>
      <c r="F2464" s="76" t="str">
        <f aca="false">IF(D2464&lt;&gt;"",IFERROR(VLOOKUP(D2464,PROVEEDORES!$A:$C,3,0),""),"")</f>
        <v/>
      </c>
      <c r="G2464" s="75"/>
      <c r="H2464" s="52" t="str">
        <f aca="false">IF(G2464&lt;&gt;"",IFERROR(VLOOKUP(G2464,PRODUCTOS!$A:$B,2,0),"!COD NO ENCONTRADO"),"")</f>
        <v/>
      </c>
      <c r="I2464" s="77"/>
      <c r="J2464" s="78"/>
      <c r="K2464" s="79"/>
      <c r="L2464" s="80" t="str">
        <f aca="false">IF(AND(J2464&lt;&gt;"",K2464&lt;&gt;""),J2464*K2464,"")</f>
        <v/>
      </c>
      <c r="M2464" s="81" t="str">
        <f aca="false">IF(L2464&lt;&gt;"",L2464*1.1,"")</f>
        <v/>
      </c>
      <c r="N2464" s="53" t="n">
        <f aca="false">IF(F2464="S",L2464*0.02,0)</f>
        <v>0</v>
      </c>
      <c r="O2464" s="82" t="str">
        <f aca="false">IF(L2464&lt;&gt;"",L2464+N2464,"")</f>
        <v/>
      </c>
      <c r="P2464" s="53" t="str">
        <f aca="false">IF(O2464&lt;&gt;"",O2464*0.1,"")</f>
        <v/>
      </c>
      <c r="Q2464" s="83" t="str">
        <f aca="false">IF(O2464&lt;&gt;"",O2464+P2464,"")</f>
        <v/>
      </c>
      <c r="R2464" s="84"/>
    </row>
    <row r="2465" customFormat="false" ht="15" hidden="false" customHeight="true" outlineLevel="0" collapsed="false">
      <c r="A2465" s="103"/>
      <c r="B2465" s="85"/>
      <c r="C2465" s="86"/>
      <c r="D2465" s="87"/>
      <c r="E2465" s="46" t="str">
        <f aca="false">IF(D2465&lt;&gt;"",IFERROR(VLOOKUP(D2465,PROVEEDORES!$A:$B,2,0),"!COD NO ENCONTRADO"),"")</f>
        <v/>
      </c>
      <c r="F2465" s="88" t="str">
        <f aca="false">IF(D2465&lt;&gt;"",IFERROR(VLOOKUP(D2465,PROVEEDORES!$A:$C,3,0),""),"")</f>
        <v/>
      </c>
      <c r="G2465" s="87"/>
      <c r="H2465" s="46" t="str">
        <f aca="false">IF(G2465&lt;&gt;"",IFERROR(VLOOKUP(G2465,PRODUCTOS!$A:$B,2,0),"!COD NO ENCONTRADO"),"")</f>
        <v/>
      </c>
      <c r="I2465" s="89"/>
      <c r="J2465" s="90"/>
      <c r="K2465" s="91"/>
      <c r="L2465" s="80" t="str">
        <f aca="false">IF(AND(J2465&lt;&gt;"",K2465&lt;&gt;""),J2465*K2465,"")</f>
        <v/>
      </c>
      <c r="M2465" s="81" t="str">
        <f aca="false">IF(L2465&lt;&gt;"",L2465*1.1,"")</f>
        <v/>
      </c>
      <c r="N2465" s="47" t="n">
        <f aca="false">IF(F2465="S",L2465*0.02,0)</f>
        <v>0</v>
      </c>
      <c r="O2465" s="82" t="str">
        <f aca="false">IF(L2465&lt;&gt;"",L2465+N2465,"")</f>
        <v/>
      </c>
      <c r="P2465" s="47" t="str">
        <f aca="false">IF(O2465&lt;&gt;"",O2465*0.1,"")</f>
        <v/>
      </c>
      <c r="Q2465" s="83" t="str">
        <f aca="false">IF(O2465&lt;&gt;"",O2465+P2465,"")</f>
        <v/>
      </c>
      <c r="R2465" s="84"/>
    </row>
    <row r="2466" customFormat="false" ht="15" hidden="false" customHeight="true" outlineLevel="0" collapsed="false">
      <c r="A2466" s="103"/>
      <c r="B2466" s="73"/>
      <c r="C2466" s="74"/>
      <c r="D2466" s="75"/>
      <c r="E2466" s="52" t="str">
        <f aca="false">IF(D2466&lt;&gt;"",IFERROR(VLOOKUP(D2466,PROVEEDORES!$A:$B,2,0),"!COD NO ENCONTRADO"),"")</f>
        <v/>
      </c>
      <c r="F2466" s="76" t="str">
        <f aca="false">IF(D2466&lt;&gt;"",IFERROR(VLOOKUP(D2466,PROVEEDORES!$A:$C,3,0),""),"")</f>
        <v/>
      </c>
      <c r="G2466" s="75"/>
      <c r="H2466" s="52" t="str">
        <f aca="false">IF(G2466&lt;&gt;"",IFERROR(VLOOKUP(G2466,PRODUCTOS!$A:$B,2,0),"!COD NO ENCONTRADO"),"")</f>
        <v/>
      </c>
      <c r="I2466" s="77"/>
      <c r="J2466" s="78"/>
      <c r="K2466" s="79"/>
      <c r="L2466" s="80" t="str">
        <f aca="false">IF(AND(J2466&lt;&gt;"",K2466&lt;&gt;""),J2466*K2466,"")</f>
        <v/>
      </c>
      <c r="M2466" s="81" t="str">
        <f aca="false">IF(L2466&lt;&gt;"",L2466*1.1,"")</f>
        <v/>
      </c>
      <c r="N2466" s="53" t="n">
        <f aca="false">IF(F2466="S",L2466*0.02,0)</f>
        <v>0</v>
      </c>
      <c r="O2466" s="82" t="str">
        <f aca="false">IF(L2466&lt;&gt;"",L2466+N2466,"")</f>
        <v/>
      </c>
      <c r="P2466" s="53" t="str">
        <f aca="false">IF(O2466&lt;&gt;"",O2466*0.1,"")</f>
        <v/>
      </c>
      <c r="Q2466" s="83" t="str">
        <f aca="false">IF(O2466&lt;&gt;"",O2466+P2466,"")</f>
        <v/>
      </c>
      <c r="R2466" s="84"/>
    </row>
    <row r="2467" customFormat="false" ht="15" hidden="false" customHeight="true" outlineLevel="0" collapsed="false">
      <c r="A2467" s="103"/>
      <c r="B2467" s="85"/>
      <c r="C2467" s="86"/>
      <c r="D2467" s="87"/>
      <c r="E2467" s="46" t="str">
        <f aca="false">IF(D2467&lt;&gt;"",IFERROR(VLOOKUP(D2467,PROVEEDORES!$A:$B,2,0),"!COD NO ENCONTRADO"),"")</f>
        <v/>
      </c>
      <c r="F2467" s="88" t="str">
        <f aca="false">IF(D2467&lt;&gt;"",IFERROR(VLOOKUP(D2467,PROVEEDORES!$A:$C,3,0),""),"")</f>
        <v/>
      </c>
      <c r="G2467" s="87"/>
      <c r="H2467" s="46" t="str">
        <f aca="false">IF(G2467&lt;&gt;"",IFERROR(VLOOKUP(G2467,PRODUCTOS!$A:$B,2,0),"!COD NO ENCONTRADO"),"")</f>
        <v/>
      </c>
      <c r="I2467" s="89"/>
      <c r="J2467" s="90"/>
      <c r="K2467" s="91"/>
      <c r="L2467" s="80" t="str">
        <f aca="false">IF(AND(J2467&lt;&gt;"",K2467&lt;&gt;""),J2467*K2467,"")</f>
        <v/>
      </c>
      <c r="M2467" s="81" t="str">
        <f aca="false">IF(L2467&lt;&gt;"",L2467*1.1,"")</f>
        <v/>
      </c>
      <c r="N2467" s="47" t="n">
        <f aca="false">IF(F2467="S",L2467*0.02,0)</f>
        <v>0</v>
      </c>
      <c r="O2467" s="82" t="str">
        <f aca="false">IF(L2467&lt;&gt;"",L2467+N2467,"")</f>
        <v/>
      </c>
      <c r="P2467" s="47" t="str">
        <f aca="false">IF(O2467&lt;&gt;"",O2467*0.1,"")</f>
        <v/>
      </c>
      <c r="Q2467" s="83" t="str">
        <f aca="false">IF(O2467&lt;&gt;"",O2467+P2467,"")</f>
        <v/>
      </c>
      <c r="R2467" s="84"/>
    </row>
    <row r="2468" customFormat="false" ht="15" hidden="false" customHeight="true" outlineLevel="0" collapsed="false">
      <c r="A2468" s="103"/>
      <c r="B2468" s="73"/>
      <c r="C2468" s="74"/>
      <c r="D2468" s="75"/>
      <c r="E2468" s="52" t="str">
        <f aca="false">IF(D2468&lt;&gt;"",IFERROR(VLOOKUP(D2468,PROVEEDORES!$A:$B,2,0),"!COD NO ENCONTRADO"),"")</f>
        <v/>
      </c>
      <c r="F2468" s="76" t="str">
        <f aca="false">IF(D2468&lt;&gt;"",IFERROR(VLOOKUP(D2468,PROVEEDORES!$A:$C,3,0),""),"")</f>
        <v/>
      </c>
      <c r="G2468" s="75"/>
      <c r="H2468" s="52" t="str">
        <f aca="false">IF(G2468&lt;&gt;"",IFERROR(VLOOKUP(G2468,PRODUCTOS!$A:$B,2,0),"!COD NO ENCONTRADO"),"")</f>
        <v/>
      </c>
      <c r="I2468" s="77"/>
      <c r="J2468" s="78"/>
      <c r="K2468" s="79"/>
      <c r="L2468" s="80" t="str">
        <f aca="false">IF(AND(J2468&lt;&gt;"",K2468&lt;&gt;""),J2468*K2468,"")</f>
        <v/>
      </c>
      <c r="M2468" s="81" t="str">
        <f aca="false">IF(L2468&lt;&gt;"",L2468*1.1,"")</f>
        <v/>
      </c>
      <c r="N2468" s="53" t="n">
        <f aca="false">IF(F2468="S",L2468*0.02,0)</f>
        <v>0</v>
      </c>
      <c r="O2468" s="82" t="str">
        <f aca="false">IF(L2468&lt;&gt;"",L2468+N2468,"")</f>
        <v/>
      </c>
      <c r="P2468" s="53" t="str">
        <f aca="false">IF(O2468&lt;&gt;"",O2468*0.1,"")</f>
        <v/>
      </c>
      <c r="Q2468" s="83" t="str">
        <f aca="false">IF(O2468&lt;&gt;"",O2468+P2468,"")</f>
        <v/>
      </c>
      <c r="R2468" s="84"/>
    </row>
    <row r="2469" customFormat="false" ht="15" hidden="false" customHeight="true" outlineLevel="0" collapsed="false">
      <c r="A2469" s="103"/>
      <c r="B2469" s="85"/>
      <c r="C2469" s="86"/>
      <c r="D2469" s="87"/>
      <c r="E2469" s="46" t="str">
        <f aca="false">IF(D2469&lt;&gt;"",IFERROR(VLOOKUP(D2469,PROVEEDORES!$A:$B,2,0),"!COD NO ENCONTRADO"),"")</f>
        <v/>
      </c>
      <c r="F2469" s="88" t="str">
        <f aca="false">IF(D2469&lt;&gt;"",IFERROR(VLOOKUP(D2469,PROVEEDORES!$A:$C,3,0),""),"")</f>
        <v/>
      </c>
      <c r="G2469" s="87"/>
      <c r="H2469" s="46" t="str">
        <f aca="false">IF(G2469&lt;&gt;"",IFERROR(VLOOKUP(G2469,PRODUCTOS!$A:$B,2,0),"!COD NO ENCONTRADO"),"")</f>
        <v/>
      </c>
      <c r="I2469" s="89"/>
      <c r="J2469" s="90"/>
      <c r="K2469" s="91"/>
      <c r="L2469" s="80" t="str">
        <f aca="false">IF(AND(J2469&lt;&gt;"",K2469&lt;&gt;""),J2469*K2469,"")</f>
        <v/>
      </c>
      <c r="M2469" s="81" t="str">
        <f aca="false">IF(L2469&lt;&gt;"",L2469*1.1,"")</f>
        <v/>
      </c>
      <c r="N2469" s="47" t="n">
        <f aca="false">IF(F2469="S",L2469*0.02,0)</f>
        <v>0</v>
      </c>
      <c r="O2469" s="82" t="str">
        <f aca="false">IF(L2469&lt;&gt;"",L2469+N2469,"")</f>
        <v/>
      </c>
      <c r="P2469" s="47" t="str">
        <f aca="false">IF(O2469&lt;&gt;"",O2469*0.1,"")</f>
        <v/>
      </c>
      <c r="Q2469" s="83" t="str">
        <f aca="false">IF(O2469&lt;&gt;"",O2469+P2469,"")</f>
        <v/>
      </c>
      <c r="R2469" s="84"/>
    </row>
    <row r="2470" customFormat="false" ht="15" hidden="false" customHeight="true" outlineLevel="0" collapsed="false">
      <c r="A2470" s="103"/>
      <c r="B2470" s="73"/>
      <c r="C2470" s="74"/>
      <c r="D2470" s="75"/>
      <c r="E2470" s="52" t="str">
        <f aca="false">IF(D2470&lt;&gt;"",IFERROR(VLOOKUP(D2470,PROVEEDORES!$A:$B,2,0),"!COD NO ENCONTRADO"),"")</f>
        <v/>
      </c>
      <c r="F2470" s="76" t="str">
        <f aca="false">IF(D2470&lt;&gt;"",IFERROR(VLOOKUP(D2470,PROVEEDORES!$A:$C,3,0),""),"")</f>
        <v/>
      </c>
      <c r="G2470" s="75"/>
      <c r="H2470" s="52" t="str">
        <f aca="false">IF(G2470&lt;&gt;"",IFERROR(VLOOKUP(G2470,PRODUCTOS!$A:$B,2,0),"!COD NO ENCONTRADO"),"")</f>
        <v/>
      </c>
      <c r="I2470" s="77"/>
      <c r="J2470" s="78"/>
      <c r="K2470" s="79"/>
      <c r="L2470" s="80" t="str">
        <f aca="false">IF(AND(J2470&lt;&gt;"",K2470&lt;&gt;""),J2470*K2470,"")</f>
        <v/>
      </c>
      <c r="M2470" s="81" t="str">
        <f aca="false">IF(L2470&lt;&gt;"",L2470*1.1,"")</f>
        <v/>
      </c>
      <c r="N2470" s="53" t="n">
        <f aca="false">IF(F2470="S",L2470*0.02,0)</f>
        <v>0</v>
      </c>
      <c r="O2470" s="82" t="str">
        <f aca="false">IF(L2470&lt;&gt;"",L2470+N2470,"")</f>
        <v/>
      </c>
      <c r="P2470" s="53" t="str">
        <f aca="false">IF(O2470&lt;&gt;"",O2470*0.1,"")</f>
        <v/>
      </c>
      <c r="Q2470" s="83" t="str">
        <f aca="false">IF(O2470&lt;&gt;"",O2470+P2470,"")</f>
        <v/>
      </c>
      <c r="R2470" s="84"/>
    </row>
    <row r="2471" customFormat="false" ht="15" hidden="false" customHeight="true" outlineLevel="0" collapsed="false">
      <c r="A2471" s="103"/>
      <c r="B2471" s="85"/>
      <c r="C2471" s="86"/>
      <c r="D2471" s="87"/>
      <c r="E2471" s="46" t="str">
        <f aca="false">IF(D2471&lt;&gt;"",IFERROR(VLOOKUP(D2471,PROVEEDORES!$A:$B,2,0),"!COD NO ENCONTRADO"),"")</f>
        <v/>
      </c>
      <c r="F2471" s="88" t="str">
        <f aca="false">IF(D2471&lt;&gt;"",IFERROR(VLOOKUP(D2471,PROVEEDORES!$A:$C,3,0),""),"")</f>
        <v/>
      </c>
      <c r="G2471" s="87"/>
      <c r="H2471" s="46" t="str">
        <f aca="false">IF(G2471&lt;&gt;"",IFERROR(VLOOKUP(G2471,PRODUCTOS!$A:$B,2,0),"!COD NO ENCONTRADO"),"")</f>
        <v/>
      </c>
      <c r="I2471" s="89"/>
      <c r="J2471" s="90"/>
      <c r="K2471" s="91"/>
      <c r="L2471" s="80" t="str">
        <f aca="false">IF(AND(J2471&lt;&gt;"",K2471&lt;&gt;""),J2471*K2471,"")</f>
        <v/>
      </c>
      <c r="M2471" s="81" t="str">
        <f aca="false">IF(L2471&lt;&gt;"",L2471*1.1,"")</f>
        <v/>
      </c>
      <c r="N2471" s="47" t="n">
        <f aca="false">IF(F2471="S",L2471*0.02,0)</f>
        <v>0</v>
      </c>
      <c r="O2471" s="82" t="str">
        <f aca="false">IF(L2471&lt;&gt;"",L2471+N2471,"")</f>
        <v/>
      </c>
      <c r="P2471" s="47" t="str">
        <f aca="false">IF(O2471&lt;&gt;"",O2471*0.1,"")</f>
        <v/>
      </c>
      <c r="Q2471" s="83" t="str">
        <f aca="false">IF(O2471&lt;&gt;"",O2471+P2471,"")</f>
        <v/>
      </c>
      <c r="R2471" s="84"/>
    </row>
    <row r="2472" customFormat="false" ht="15" hidden="false" customHeight="true" outlineLevel="0" collapsed="false">
      <c r="A2472" s="103"/>
      <c r="B2472" s="73"/>
      <c r="C2472" s="74"/>
      <c r="D2472" s="75"/>
      <c r="E2472" s="52" t="str">
        <f aca="false">IF(D2472&lt;&gt;"",IFERROR(VLOOKUP(D2472,PROVEEDORES!$A:$B,2,0),"!COD NO ENCONTRADO"),"")</f>
        <v/>
      </c>
      <c r="F2472" s="76" t="str">
        <f aca="false">IF(D2472&lt;&gt;"",IFERROR(VLOOKUP(D2472,PROVEEDORES!$A:$C,3,0),""),"")</f>
        <v/>
      </c>
      <c r="G2472" s="75"/>
      <c r="H2472" s="52" t="str">
        <f aca="false">IF(G2472&lt;&gt;"",IFERROR(VLOOKUP(G2472,PRODUCTOS!$A:$B,2,0),"!COD NO ENCONTRADO"),"")</f>
        <v/>
      </c>
      <c r="I2472" s="77"/>
      <c r="J2472" s="78"/>
      <c r="K2472" s="79"/>
      <c r="L2472" s="80" t="str">
        <f aca="false">IF(AND(J2472&lt;&gt;"",K2472&lt;&gt;""),J2472*K2472,"")</f>
        <v/>
      </c>
      <c r="M2472" s="81" t="str">
        <f aca="false">IF(L2472&lt;&gt;"",L2472*1.1,"")</f>
        <v/>
      </c>
      <c r="N2472" s="53" t="n">
        <f aca="false">IF(F2472="S",L2472*0.02,0)</f>
        <v>0</v>
      </c>
      <c r="O2472" s="82" t="str">
        <f aca="false">IF(L2472&lt;&gt;"",L2472+N2472,"")</f>
        <v/>
      </c>
      <c r="P2472" s="53" t="str">
        <f aca="false">IF(O2472&lt;&gt;"",O2472*0.1,"")</f>
        <v/>
      </c>
      <c r="Q2472" s="83" t="str">
        <f aca="false">IF(O2472&lt;&gt;"",O2472+P2472,"")</f>
        <v/>
      </c>
      <c r="R2472" s="84"/>
    </row>
    <row r="2473" customFormat="false" ht="15" hidden="false" customHeight="true" outlineLevel="0" collapsed="false">
      <c r="A2473" s="103"/>
      <c r="B2473" s="85"/>
      <c r="C2473" s="86"/>
      <c r="D2473" s="87"/>
      <c r="E2473" s="46" t="str">
        <f aca="false">IF(D2473&lt;&gt;"",IFERROR(VLOOKUP(D2473,PROVEEDORES!$A:$B,2,0),"!COD NO ENCONTRADO"),"")</f>
        <v/>
      </c>
      <c r="F2473" s="88" t="str">
        <f aca="false">IF(D2473&lt;&gt;"",IFERROR(VLOOKUP(D2473,PROVEEDORES!$A:$C,3,0),""),"")</f>
        <v/>
      </c>
      <c r="G2473" s="87"/>
      <c r="H2473" s="46" t="str">
        <f aca="false">IF(G2473&lt;&gt;"",IFERROR(VLOOKUP(G2473,PRODUCTOS!$A:$B,2,0),"!COD NO ENCONTRADO"),"")</f>
        <v/>
      </c>
      <c r="I2473" s="89"/>
      <c r="J2473" s="90"/>
      <c r="K2473" s="91"/>
      <c r="L2473" s="80" t="str">
        <f aca="false">IF(AND(J2473&lt;&gt;"",K2473&lt;&gt;""),J2473*K2473,"")</f>
        <v/>
      </c>
      <c r="M2473" s="81" t="str">
        <f aca="false">IF(L2473&lt;&gt;"",L2473*1.1,"")</f>
        <v/>
      </c>
      <c r="N2473" s="47" t="n">
        <f aca="false">IF(F2473="S",L2473*0.02,0)</f>
        <v>0</v>
      </c>
      <c r="O2473" s="82" t="str">
        <f aca="false">IF(L2473&lt;&gt;"",L2473+N2473,"")</f>
        <v/>
      </c>
      <c r="P2473" s="47" t="str">
        <f aca="false">IF(O2473&lt;&gt;"",O2473*0.1,"")</f>
        <v/>
      </c>
      <c r="Q2473" s="83" t="str">
        <f aca="false">IF(O2473&lt;&gt;"",O2473+P2473,"")</f>
        <v/>
      </c>
      <c r="R2473" s="84"/>
    </row>
    <row r="2474" customFormat="false" ht="15" hidden="false" customHeight="true" outlineLevel="0" collapsed="false">
      <c r="A2474" s="103"/>
      <c r="B2474" s="73"/>
      <c r="C2474" s="74"/>
      <c r="D2474" s="75"/>
      <c r="E2474" s="52" t="str">
        <f aca="false">IF(D2474&lt;&gt;"",IFERROR(VLOOKUP(D2474,PROVEEDORES!$A:$B,2,0),"!COD NO ENCONTRADO"),"")</f>
        <v/>
      </c>
      <c r="F2474" s="76" t="str">
        <f aca="false">IF(D2474&lt;&gt;"",IFERROR(VLOOKUP(D2474,PROVEEDORES!$A:$C,3,0),""),"")</f>
        <v/>
      </c>
      <c r="G2474" s="75"/>
      <c r="H2474" s="52" t="str">
        <f aca="false">IF(G2474&lt;&gt;"",IFERROR(VLOOKUP(G2474,PRODUCTOS!$A:$B,2,0),"!COD NO ENCONTRADO"),"")</f>
        <v/>
      </c>
      <c r="I2474" s="77"/>
      <c r="J2474" s="78"/>
      <c r="K2474" s="79"/>
      <c r="L2474" s="80" t="str">
        <f aca="false">IF(AND(J2474&lt;&gt;"",K2474&lt;&gt;""),J2474*K2474,"")</f>
        <v/>
      </c>
      <c r="M2474" s="81" t="str">
        <f aca="false">IF(L2474&lt;&gt;"",L2474*1.1,"")</f>
        <v/>
      </c>
      <c r="N2474" s="53" t="n">
        <f aca="false">IF(F2474="S",L2474*0.02,0)</f>
        <v>0</v>
      </c>
      <c r="O2474" s="82" t="str">
        <f aca="false">IF(L2474&lt;&gt;"",L2474+N2474,"")</f>
        <v/>
      </c>
      <c r="P2474" s="53" t="str">
        <f aca="false">IF(O2474&lt;&gt;"",O2474*0.1,"")</f>
        <v/>
      </c>
      <c r="Q2474" s="83" t="str">
        <f aca="false">IF(O2474&lt;&gt;"",O2474+P2474,"")</f>
        <v/>
      </c>
      <c r="R2474" s="84"/>
    </row>
    <row r="2475" customFormat="false" ht="15" hidden="false" customHeight="true" outlineLevel="0" collapsed="false">
      <c r="A2475" s="103"/>
      <c r="B2475" s="85"/>
      <c r="C2475" s="86"/>
      <c r="D2475" s="87"/>
      <c r="E2475" s="46" t="str">
        <f aca="false">IF(D2475&lt;&gt;"",IFERROR(VLOOKUP(D2475,PROVEEDORES!$A:$B,2,0),"!COD NO ENCONTRADO"),"")</f>
        <v/>
      </c>
      <c r="F2475" s="88" t="str">
        <f aca="false">IF(D2475&lt;&gt;"",IFERROR(VLOOKUP(D2475,PROVEEDORES!$A:$C,3,0),""),"")</f>
        <v/>
      </c>
      <c r="G2475" s="87"/>
      <c r="H2475" s="46" t="str">
        <f aca="false">IF(G2475&lt;&gt;"",IFERROR(VLOOKUP(G2475,PRODUCTOS!$A:$B,2,0),"!COD NO ENCONTRADO"),"")</f>
        <v/>
      </c>
      <c r="I2475" s="89"/>
      <c r="J2475" s="90"/>
      <c r="K2475" s="91"/>
      <c r="L2475" s="80" t="str">
        <f aca="false">IF(AND(J2475&lt;&gt;"",K2475&lt;&gt;""),J2475*K2475,"")</f>
        <v/>
      </c>
      <c r="M2475" s="81" t="str">
        <f aca="false">IF(L2475&lt;&gt;"",L2475*1.1,"")</f>
        <v/>
      </c>
      <c r="N2475" s="47" t="n">
        <f aca="false">IF(F2475="S",L2475*0.02,0)</f>
        <v>0</v>
      </c>
      <c r="O2475" s="82" t="str">
        <f aca="false">IF(L2475&lt;&gt;"",L2475+N2475,"")</f>
        <v/>
      </c>
      <c r="P2475" s="47" t="str">
        <f aca="false">IF(O2475&lt;&gt;"",O2475*0.1,"")</f>
        <v/>
      </c>
      <c r="Q2475" s="83" t="str">
        <f aca="false">IF(O2475&lt;&gt;"",O2475+P2475,"")</f>
        <v/>
      </c>
      <c r="R2475" s="84"/>
    </row>
    <row r="2476" customFormat="false" ht="15" hidden="false" customHeight="true" outlineLevel="0" collapsed="false">
      <c r="A2476" s="103"/>
      <c r="B2476" s="73"/>
      <c r="C2476" s="74"/>
      <c r="D2476" s="75"/>
      <c r="E2476" s="52" t="str">
        <f aca="false">IF(D2476&lt;&gt;"",IFERROR(VLOOKUP(D2476,PROVEEDORES!$A:$B,2,0),"!COD NO ENCONTRADO"),"")</f>
        <v/>
      </c>
      <c r="F2476" s="76" t="str">
        <f aca="false">IF(D2476&lt;&gt;"",IFERROR(VLOOKUP(D2476,PROVEEDORES!$A:$C,3,0),""),"")</f>
        <v/>
      </c>
      <c r="G2476" s="75"/>
      <c r="H2476" s="52" t="str">
        <f aca="false">IF(G2476&lt;&gt;"",IFERROR(VLOOKUP(G2476,PRODUCTOS!$A:$B,2,0),"!COD NO ENCONTRADO"),"")</f>
        <v/>
      </c>
      <c r="I2476" s="77"/>
      <c r="J2476" s="78"/>
      <c r="K2476" s="79"/>
      <c r="L2476" s="80" t="str">
        <f aca="false">IF(AND(J2476&lt;&gt;"",K2476&lt;&gt;""),J2476*K2476,"")</f>
        <v/>
      </c>
      <c r="M2476" s="81" t="str">
        <f aca="false">IF(L2476&lt;&gt;"",L2476*1.1,"")</f>
        <v/>
      </c>
      <c r="N2476" s="53" t="n">
        <f aca="false">IF(F2476="S",L2476*0.02,0)</f>
        <v>0</v>
      </c>
      <c r="O2476" s="82" t="str">
        <f aca="false">IF(L2476&lt;&gt;"",L2476+N2476,"")</f>
        <v/>
      </c>
      <c r="P2476" s="53" t="str">
        <f aca="false">IF(O2476&lt;&gt;"",O2476*0.1,"")</f>
        <v/>
      </c>
      <c r="Q2476" s="83" t="str">
        <f aca="false">IF(O2476&lt;&gt;"",O2476+P2476,"")</f>
        <v/>
      </c>
      <c r="R2476" s="84"/>
    </row>
    <row r="2477" customFormat="false" ht="15" hidden="false" customHeight="true" outlineLevel="0" collapsed="false">
      <c r="A2477" s="103"/>
      <c r="B2477" s="85"/>
      <c r="C2477" s="86"/>
      <c r="D2477" s="87"/>
      <c r="E2477" s="46" t="str">
        <f aca="false">IF(D2477&lt;&gt;"",IFERROR(VLOOKUP(D2477,PROVEEDORES!$A:$B,2,0),"!COD NO ENCONTRADO"),"")</f>
        <v/>
      </c>
      <c r="F2477" s="88" t="str">
        <f aca="false">IF(D2477&lt;&gt;"",IFERROR(VLOOKUP(D2477,PROVEEDORES!$A:$C,3,0),""),"")</f>
        <v/>
      </c>
      <c r="G2477" s="87"/>
      <c r="H2477" s="46" t="str">
        <f aca="false">IF(G2477&lt;&gt;"",IFERROR(VLOOKUP(G2477,PRODUCTOS!$A:$B,2,0),"!COD NO ENCONTRADO"),"")</f>
        <v/>
      </c>
      <c r="I2477" s="89"/>
      <c r="J2477" s="90"/>
      <c r="K2477" s="91"/>
      <c r="L2477" s="80" t="str">
        <f aca="false">IF(AND(J2477&lt;&gt;"",K2477&lt;&gt;""),J2477*K2477,"")</f>
        <v/>
      </c>
      <c r="M2477" s="81" t="str">
        <f aca="false">IF(L2477&lt;&gt;"",L2477*1.1,"")</f>
        <v/>
      </c>
      <c r="N2477" s="47" t="n">
        <f aca="false">IF(F2477="S",L2477*0.02,0)</f>
        <v>0</v>
      </c>
      <c r="O2477" s="82" t="str">
        <f aca="false">IF(L2477&lt;&gt;"",L2477+N2477,"")</f>
        <v/>
      </c>
      <c r="P2477" s="47" t="str">
        <f aca="false">IF(O2477&lt;&gt;"",O2477*0.1,"")</f>
        <v/>
      </c>
      <c r="Q2477" s="83" t="str">
        <f aca="false">IF(O2477&lt;&gt;"",O2477+P2477,"")</f>
        <v/>
      </c>
      <c r="R2477" s="84"/>
    </row>
    <row r="2478" customFormat="false" ht="15" hidden="false" customHeight="true" outlineLevel="0" collapsed="false">
      <c r="A2478" s="103"/>
      <c r="B2478" s="73"/>
      <c r="C2478" s="74"/>
      <c r="D2478" s="75"/>
      <c r="E2478" s="52" t="str">
        <f aca="false">IF(D2478&lt;&gt;"",IFERROR(VLOOKUP(D2478,PROVEEDORES!$A:$B,2,0),"!COD NO ENCONTRADO"),"")</f>
        <v/>
      </c>
      <c r="F2478" s="76" t="str">
        <f aca="false">IF(D2478&lt;&gt;"",IFERROR(VLOOKUP(D2478,PROVEEDORES!$A:$C,3,0),""),"")</f>
        <v/>
      </c>
      <c r="G2478" s="75"/>
      <c r="H2478" s="52" t="str">
        <f aca="false">IF(G2478&lt;&gt;"",IFERROR(VLOOKUP(G2478,PRODUCTOS!$A:$B,2,0),"!COD NO ENCONTRADO"),"")</f>
        <v/>
      </c>
      <c r="I2478" s="77"/>
      <c r="J2478" s="78"/>
      <c r="K2478" s="79"/>
      <c r="L2478" s="80" t="str">
        <f aca="false">IF(AND(J2478&lt;&gt;"",K2478&lt;&gt;""),J2478*K2478,"")</f>
        <v/>
      </c>
      <c r="M2478" s="81" t="str">
        <f aca="false">IF(L2478&lt;&gt;"",L2478*1.1,"")</f>
        <v/>
      </c>
      <c r="N2478" s="53" t="n">
        <f aca="false">IF(F2478="S",L2478*0.02,0)</f>
        <v>0</v>
      </c>
      <c r="O2478" s="82" t="str">
        <f aca="false">IF(L2478&lt;&gt;"",L2478+N2478,"")</f>
        <v/>
      </c>
      <c r="P2478" s="53" t="str">
        <f aca="false">IF(O2478&lt;&gt;"",O2478*0.1,"")</f>
        <v/>
      </c>
      <c r="Q2478" s="83" t="str">
        <f aca="false">IF(O2478&lt;&gt;"",O2478+P2478,"")</f>
        <v/>
      </c>
      <c r="R2478" s="84"/>
    </row>
    <row r="2479" customFormat="false" ht="15" hidden="false" customHeight="true" outlineLevel="0" collapsed="false">
      <c r="A2479" s="103"/>
      <c r="B2479" s="85"/>
      <c r="C2479" s="86"/>
      <c r="D2479" s="87"/>
      <c r="E2479" s="46" t="str">
        <f aca="false">IF(D2479&lt;&gt;"",IFERROR(VLOOKUP(D2479,PROVEEDORES!$A:$B,2,0),"!COD NO ENCONTRADO"),"")</f>
        <v/>
      </c>
      <c r="F2479" s="88" t="str">
        <f aca="false">IF(D2479&lt;&gt;"",IFERROR(VLOOKUP(D2479,PROVEEDORES!$A:$C,3,0),""),"")</f>
        <v/>
      </c>
      <c r="G2479" s="87"/>
      <c r="H2479" s="46" t="str">
        <f aca="false">IF(G2479&lt;&gt;"",IFERROR(VLOOKUP(G2479,PRODUCTOS!$A:$B,2,0),"!COD NO ENCONTRADO"),"")</f>
        <v/>
      </c>
      <c r="I2479" s="89"/>
      <c r="J2479" s="90"/>
      <c r="K2479" s="91"/>
      <c r="L2479" s="80" t="str">
        <f aca="false">IF(AND(J2479&lt;&gt;"",K2479&lt;&gt;""),J2479*K2479,"")</f>
        <v/>
      </c>
      <c r="M2479" s="81" t="str">
        <f aca="false">IF(L2479&lt;&gt;"",L2479*1.1,"")</f>
        <v/>
      </c>
      <c r="N2479" s="47" t="n">
        <f aca="false">IF(F2479="S",L2479*0.02,0)</f>
        <v>0</v>
      </c>
      <c r="O2479" s="82" t="str">
        <f aca="false">IF(L2479&lt;&gt;"",L2479+N2479,"")</f>
        <v/>
      </c>
      <c r="P2479" s="47" t="str">
        <f aca="false">IF(O2479&lt;&gt;"",O2479*0.1,"")</f>
        <v/>
      </c>
      <c r="Q2479" s="83" t="str">
        <f aca="false">IF(O2479&lt;&gt;"",O2479+P2479,"")</f>
        <v/>
      </c>
      <c r="R2479" s="84"/>
    </row>
    <row r="2480" customFormat="false" ht="15" hidden="false" customHeight="true" outlineLevel="0" collapsed="false">
      <c r="A2480" s="103"/>
      <c r="B2480" s="73"/>
      <c r="C2480" s="74"/>
      <c r="D2480" s="75"/>
      <c r="E2480" s="52" t="str">
        <f aca="false">IF(D2480&lt;&gt;"",IFERROR(VLOOKUP(D2480,PROVEEDORES!$A:$B,2,0),"!COD NO ENCONTRADO"),"")</f>
        <v/>
      </c>
      <c r="F2480" s="76" t="str">
        <f aca="false">IF(D2480&lt;&gt;"",IFERROR(VLOOKUP(D2480,PROVEEDORES!$A:$C,3,0),""),"")</f>
        <v/>
      </c>
      <c r="G2480" s="75"/>
      <c r="H2480" s="52" t="str">
        <f aca="false">IF(G2480&lt;&gt;"",IFERROR(VLOOKUP(G2480,PRODUCTOS!$A:$B,2,0),"!COD NO ENCONTRADO"),"")</f>
        <v/>
      </c>
      <c r="I2480" s="77"/>
      <c r="J2480" s="78"/>
      <c r="K2480" s="79"/>
      <c r="L2480" s="80" t="str">
        <f aca="false">IF(AND(J2480&lt;&gt;"",K2480&lt;&gt;""),J2480*K2480,"")</f>
        <v/>
      </c>
      <c r="M2480" s="81" t="str">
        <f aca="false">IF(L2480&lt;&gt;"",L2480*1.1,"")</f>
        <v/>
      </c>
      <c r="N2480" s="53" t="n">
        <f aca="false">IF(F2480="S",L2480*0.02,0)</f>
        <v>0</v>
      </c>
      <c r="O2480" s="82" t="str">
        <f aca="false">IF(L2480&lt;&gt;"",L2480+N2480,"")</f>
        <v/>
      </c>
      <c r="P2480" s="53" t="str">
        <f aca="false">IF(O2480&lt;&gt;"",O2480*0.1,"")</f>
        <v/>
      </c>
      <c r="Q2480" s="83" t="str">
        <f aca="false">IF(O2480&lt;&gt;"",O2480+P2480,"")</f>
        <v/>
      </c>
      <c r="R2480" s="84"/>
    </row>
    <row r="2481" customFormat="false" ht="15" hidden="false" customHeight="true" outlineLevel="0" collapsed="false">
      <c r="A2481" s="103"/>
      <c r="B2481" s="85"/>
      <c r="C2481" s="86"/>
      <c r="D2481" s="87"/>
      <c r="E2481" s="46" t="str">
        <f aca="false">IF(D2481&lt;&gt;"",IFERROR(VLOOKUP(D2481,PROVEEDORES!$A:$B,2,0),"!COD NO ENCONTRADO"),"")</f>
        <v/>
      </c>
      <c r="F2481" s="88" t="str">
        <f aca="false">IF(D2481&lt;&gt;"",IFERROR(VLOOKUP(D2481,PROVEEDORES!$A:$C,3,0),""),"")</f>
        <v/>
      </c>
      <c r="G2481" s="87"/>
      <c r="H2481" s="46" t="str">
        <f aca="false">IF(G2481&lt;&gt;"",IFERROR(VLOOKUP(G2481,PRODUCTOS!$A:$B,2,0),"!COD NO ENCONTRADO"),"")</f>
        <v/>
      </c>
      <c r="I2481" s="89"/>
      <c r="J2481" s="90"/>
      <c r="K2481" s="91"/>
      <c r="L2481" s="80" t="str">
        <f aca="false">IF(AND(J2481&lt;&gt;"",K2481&lt;&gt;""),J2481*K2481,"")</f>
        <v/>
      </c>
      <c r="M2481" s="81" t="str">
        <f aca="false">IF(L2481&lt;&gt;"",L2481*1.1,"")</f>
        <v/>
      </c>
      <c r="N2481" s="47" t="n">
        <f aca="false">IF(F2481="S",L2481*0.02,0)</f>
        <v>0</v>
      </c>
      <c r="O2481" s="82" t="str">
        <f aca="false">IF(L2481&lt;&gt;"",L2481+N2481,"")</f>
        <v/>
      </c>
      <c r="P2481" s="47" t="str">
        <f aca="false">IF(O2481&lt;&gt;"",O2481*0.1,"")</f>
        <v/>
      </c>
      <c r="Q2481" s="83" t="str">
        <f aca="false">IF(O2481&lt;&gt;"",O2481+P2481,"")</f>
        <v/>
      </c>
      <c r="R2481" s="84"/>
    </row>
    <row r="2482" customFormat="false" ht="15" hidden="false" customHeight="true" outlineLevel="0" collapsed="false">
      <c r="A2482" s="103"/>
      <c r="B2482" s="73"/>
      <c r="C2482" s="74"/>
      <c r="D2482" s="75"/>
      <c r="E2482" s="52" t="str">
        <f aca="false">IF(D2482&lt;&gt;"",IFERROR(VLOOKUP(D2482,PROVEEDORES!$A:$B,2,0),"!COD NO ENCONTRADO"),"")</f>
        <v/>
      </c>
      <c r="F2482" s="76" t="str">
        <f aca="false">IF(D2482&lt;&gt;"",IFERROR(VLOOKUP(D2482,PROVEEDORES!$A:$C,3,0),""),"")</f>
        <v/>
      </c>
      <c r="G2482" s="75"/>
      <c r="H2482" s="52" t="str">
        <f aca="false">IF(G2482&lt;&gt;"",IFERROR(VLOOKUP(G2482,PRODUCTOS!$A:$B,2,0),"!COD NO ENCONTRADO"),"")</f>
        <v/>
      </c>
      <c r="I2482" s="77"/>
      <c r="J2482" s="78"/>
      <c r="K2482" s="79"/>
      <c r="L2482" s="80" t="str">
        <f aca="false">IF(AND(J2482&lt;&gt;"",K2482&lt;&gt;""),J2482*K2482,"")</f>
        <v/>
      </c>
      <c r="M2482" s="81" t="str">
        <f aca="false">IF(L2482&lt;&gt;"",L2482*1.1,"")</f>
        <v/>
      </c>
      <c r="N2482" s="53" t="n">
        <f aca="false">IF(F2482="S",L2482*0.02,0)</f>
        <v>0</v>
      </c>
      <c r="O2482" s="82" t="str">
        <f aca="false">IF(L2482&lt;&gt;"",L2482+N2482,"")</f>
        <v/>
      </c>
      <c r="P2482" s="53" t="str">
        <f aca="false">IF(O2482&lt;&gt;"",O2482*0.1,"")</f>
        <v/>
      </c>
      <c r="Q2482" s="83" t="str">
        <f aca="false">IF(O2482&lt;&gt;"",O2482+P2482,"")</f>
        <v/>
      </c>
      <c r="R2482" s="84"/>
    </row>
    <row r="2483" customFormat="false" ht="15" hidden="false" customHeight="true" outlineLevel="0" collapsed="false">
      <c r="A2483" s="103"/>
      <c r="B2483" s="85"/>
      <c r="C2483" s="86"/>
      <c r="D2483" s="87"/>
      <c r="E2483" s="46" t="str">
        <f aca="false">IF(D2483&lt;&gt;"",IFERROR(VLOOKUP(D2483,PROVEEDORES!$A:$B,2,0),"!COD NO ENCONTRADO"),"")</f>
        <v/>
      </c>
      <c r="F2483" s="88" t="str">
        <f aca="false">IF(D2483&lt;&gt;"",IFERROR(VLOOKUP(D2483,PROVEEDORES!$A:$C,3,0),""),"")</f>
        <v/>
      </c>
      <c r="G2483" s="87"/>
      <c r="H2483" s="46" t="str">
        <f aca="false">IF(G2483&lt;&gt;"",IFERROR(VLOOKUP(G2483,PRODUCTOS!$A:$B,2,0),"!COD NO ENCONTRADO"),"")</f>
        <v/>
      </c>
      <c r="I2483" s="89"/>
      <c r="J2483" s="90"/>
      <c r="K2483" s="91"/>
      <c r="L2483" s="80" t="str">
        <f aca="false">IF(AND(J2483&lt;&gt;"",K2483&lt;&gt;""),J2483*K2483,"")</f>
        <v/>
      </c>
      <c r="M2483" s="81" t="str">
        <f aca="false">IF(L2483&lt;&gt;"",L2483*1.1,"")</f>
        <v/>
      </c>
      <c r="N2483" s="47" t="n">
        <f aca="false">IF(F2483="S",L2483*0.02,0)</f>
        <v>0</v>
      </c>
      <c r="O2483" s="82" t="str">
        <f aca="false">IF(L2483&lt;&gt;"",L2483+N2483,"")</f>
        <v/>
      </c>
      <c r="P2483" s="47" t="str">
        <f aca="false">IF(O2483&lt;&gt;"",O2483*0.1,"")</f>
        <v/>
      </c>
      <c r="Q2483" s="83" t="str">
        <f aca="false">IF(O2483&lt;&gt;"",O2483+P2483,"")</f>
        <v/>
      </c>
      <c r="R2483" s="84"/>
    </row>
    <row r="2484" customFormat="false" ht="15" hidden="false" customHeight="true" outlineLevel="0" collapsed="false">
      <c r="A2484" s="103"/>
      <c r="B2484" s="73"/>
      <c r="C2484" s="74"/>
      <c r="D2484" s="75"/>
      <c r="E2484" s="52" t="str">
        <f aca="false">IF(D2484&lt;&gt;"",IFERROR(VLOOKUP(D2484,PROVEEDORES!$A:$B,2,0),"!COD NO ENCONTRADO"),"")</f>
        <v/>
      </c>
      <c r="F2484" s="76" t="str">
        <f aca="false">IF(D2484&lt;&gt;"",IFERROR(VLOOKUP(D2484,PROVEEDORES!$A:$C,3,0),""),"")</f>
        <v/>
      </c>
      <c r="G2484" s="75"/>
      <c r="H2484" s="52" t="str">
        <f aca="false">IF(G2484&lt;&gt;"",IFERROR(VLOOKUP(G2484,PRODUCTOS!$A:$B,2,0),"!COD NO ENCONTRADO"),"")</f>
        <v/>
      </c>
      <c r="I2484" s="77"/>
      <c r="J2484" s="78"/>
      <c r="K2484" s="79"/>
      <c r="L2484" s="80" t="str">
        <f aca="false">IF(AND(J2484&lt;&gt;"",K2484&lt;&gt;""),J2484*K2484,"")</f>
        <v/>
      </c>
      <c r="M2484" s="81" t="str">
        <f aca="false">IF(L2484&lt;&gt;"",L2484*1.1,"")</f>
        <v/>
      </c>
      <c r="N2484" s="53" t="n">
        <f aca="false">IF(F2484="S",L2484*0.02,0)</f>
        <v>0</v>
      </c>
      <c r="O2484" s="82" t="str">
        <f aca="false">IF(L2484&lt;&gt;"",L2484+N2484,"")</f>
        <v/>
      </c>
      <c r="P2484" s="53" t="str">
        <f aca="false">IF(O2484&lt;&gt;"",O2484*0.1,"")</f>
        <v/>
      </c>
      <c r="Q2484" s="83" t="str">
        <f aca="false">IF(O2484&lt;&gt;"",O2484+P2484,"")</f>
        <v/>
      </c>
      <c r="R2484" s="84"/>
    </row>
    <row r="2485" customFormat="false" ht="15" hidden="false" customHeight="true" outlineLevel="0" collapsed="false">
      <c r="A2485" s="103"/>
      <c r="B2485" s="85"/>
      <c r="C2485" s="86"/>
      <c r="D2485" s="87"/>
      <c r="E2485" s="46" t="str">
        <f aca="false">IF(D2485&lt;&gt;"",IFERROR(VLOOKUP(D2485,PROVEEDORES!$A:$B,2,0),"!COD NO ENCONTRADO"),"")</f>
        <v/>
      </c>
      <c r="F2485" s="88" t="str">
        <f aca="false">IF(D2485&lt;&gt;"",IFERROR(VLOOKUP(D2485,PROVEEDORES!$A:$C,3,0),""),"")</f>
        <v/>
      </c>
      <c r="G2485" s="87"/>
      <c r="H2485" s="46" t="str">
        <f aca="false">IF(G2485&lt;&gt;"",IFERROR(VLOOKUP(G2485,PRODUCTOS!$A:$B,2,0),"!COD NO ENCONTRADO"),"")</f>
        <v/>
      </c>
      <c r="I2485" s="89"/>
      <c r="J2485" s="90"/>
      <c r="K2485" s="91"/>
      <c r="L2485" s="80" t="str">
        <f aca="false">IF(AND(J2485&lt;&gt;"",K2485&lt;&gt;""),J2485*K2485,"")</f>
        <v/>
      </c>
      <c r="M2485" s="81" t="str">
        <f aca="false">IF(L2485&lt;&gt;"",L2485*1.1,"")</f>
        <v/>
      </c>
      <c r="N2485" s="47" t="n">
        <f aca="false">IF(F2485="S",L2485*0.02,0)</f>
        <v>0</v>
      </c>
      <c r="O2485" s="82" t="str">
        <f aca="false">IF(L2485&lt;&gt;"",L2485+N2485,"")</f>
        <v/>
      </c>
      <c r="P2485" s="47" t="str">
        <f aca="false">IF(O2485&lt;&gt;"",O2485*0.1,"")</f>
        <v/>
      </c>
      <c r="Q2485" s="83" t="str">
        <f aca="false">IF(O2485&lt;&gt;"",O2485+P2485,"")</f>
        <v/>
      </c>
      <c r="R2485" s="84"/>
    </row>
    <row r="2486" customFormat="false" ht="15" hidden="false" customHeight="true" outlineLevel="0" collapsed="false">
      <c r="A2486" s="103"/>
      <c r="B2486" s="73"/>
      <c r="C2486" s="74"/>
      <c r="D2486" s="75"/>
      <c r="E2486" s="52" t="str">
        <f aca="false">IF(D2486&lt;&gt;"",IFERROR(VLOOKUP(D2486,PROVEEDORES!$A:$B,2,0),"!COD NO ENCONTRADO"),"")</f>
        <v/>
      </c>
      <c r="F2486" s="76" t="str">
        <f aca="false">IF(D2486&lt;&gt;"",IFERROR(VLOOKUP(D2486,PROVEEDORES!$A:$C,3,0),""),"")</f>
        <v/>
      </c>
      <c r="G2486" s="75"/>
      <c r="H2486" s="52" t="str">
        <f aca="false">IF(G2486&lt;&gt;"",IFERROR(VLOOKUP(G2486,PRODUCTOS!$A:$B,2,0),"!COD NO ENCONTRADO"),"")</f>
        <v/>
      </c>
      <c r="I2486" s="77"/>
      <c r="J2486" s="78"/>
      <c r="K2486" s="79"/>
      <c r="L2486" s="80" t="str">
        <f aca="false">IF(AND(J2486&lt;&gt;"",K2486&lt;&gt;""),J2486*K2486,"")</f>
        <v/>
      </c>
      <c r="M2486" s="81" t="str">
        <f aca="false">IF(L2486&lt;&gt;"",L2486*1.1,"")</f>
        <v/>
      </c>
      <c r="N2486" s="53" t="n">
        <f aca="false">IF(F2486="S",L2486*0.02,0)</f>
        <v>0</v>
      </c>
      <c r="O2486" s="82" t="str">
        <f aca="false">IF(L2486&lt;&gt;"",L2486+N2486,"")</f>
        <v/>
      </c>
      <c r="P2486" s="53" t="str">
        <f aca="false">IF(O2486&lt;&gt;"",O2486*0.1,"")</f>
        <v/>
      </c>
      <c r="Q2486" s="83" t="str">
        <f aca="false">IF(O2486&lt;&gt;"",O2486+P2486,"")</f>
        <v/>
      </c>
      <c r="R2486" s="84"/>
    </row>
    <row r="2487" customFormat="false" ht="15" hidden="false" customHeight="true" outlineLevel="0" collapsed="false">
      <c r="A2487" s="103"/>
      <c r="B2487" s="85"/>
      <c r="C2487" s="86"/>
      <c r="D2487" s="87"/>
      <c r="E2487" s="46" t="str">
        <f aca="false">IF(D2487&lt;&gt;"",IFERROR(VLOOKUP(D2487,PROVEEDORES!$A:$B,2,0),"!COD NO ENCONTRADO"),"")</f>
        <v/>
      </c>
      <c r="F2487" s="88" t="str">
        <f aca="false">IF(D2487&lt;&gt;"",IFERROR(VLOOKUP(D2487,PROVEEDORES!$A:$C,3,0),""),"")</f>
        <v/>
      </c>
      <c r="G2487" s="87"/>
      <c r="H2487" s="46" t="str">
        <f aca="false">IF(G2487&lt;&gt;"",IFERROR(VLOOKUP(G2487,PRODUCTOS!$A:$B,2,0),"!COD NO ENCONTRADO"),"")</f>
        <v/>
      </c>
      <c r="I2487" s="89"/>
      <c r="J2487" s="90"/>
      <c r="K2487" s="91"/>
      <c r="L2487" s="80" t="str">
        <f aca="false">IF(AND(J2487&lt;&gt;"",K2487&lt;&gt;""),J2487*K2487,"")</f>
        <v/>
      </c>
      <c r="M2487" s="81" t="str">
        <f aca="false">IF(L2487&lt;&gt;"",L2487*1.1,"")</f>
        <v/>
      </c>
      <c r="N2487" s="47" t="n">
        <f aca="false">IF(F2487="S",L2487*0.02,0)</f>
        <v>0</v>
      </c>
      <c r="O2487" s="82" t="str">
        <f aca="false">IF(L2487&lt;&gt;"",L2487+N2487,"")</f>
        <v/>
      </c>
      <c r="P2487" s="47" t="str">
        <f aca="false">IF(O2487&lt;&gt;"",O2487*0.1,"")</f>
        <v/>
      </c>
      <c r="Q2487" s="83" t="str">
        <f aca="false">IF(O2487&lt;&gt;"",O2487+P2487,"")</f>
        <v/>
      </c>
      <c r="R2487" s="84"/>
    </row>
    <row r="2488" customFormat="false" ht="15" hidden="false" customHeight="true" outlineLevel="0" collapsed="false">
      <c r="A2488" s="103"/>
      <c r="B2488" s="73"/>
      <c r="C2488" s="74"/>
      <c r="D2488" s="75"/>
      <c r="E2488" s="52" t="str">
        <f aca="false">IF(D2488&lt;&gt;"",IFERROR(VLOOKUP(D2488,PROVEEDORES!$A:$B,2,0),"!COD NO ENCONTRADO"),"")</f>
        <v/>
      </c>
      <c r="F2488" s="76" t="str">
        <f aca="false">IF(D2488&lt;&gt;"",IFERROR(VLOOKUP(D2488,PROVEEDORES!$A:$C,3,0),""),"")</f>
        <v/>
      </c>
      <c r="G2488" s="75"/>
      <c r="H2488" s="52" t="str">
        <f aca="false">IF(G2488&lt;&gt;"",IFERROR(VLOOKUP(G2488,PRODUCTOS!$A:$B,2,0),"!COD NO ENCONTRADO"),"")</f>
        <v/>
      </c>
      <c r="I2488" s="77"/>
      <c r="J2488" s="78"/>
      <c r="K2488" s="79"/>
      <c r="L2488" s="80" t="str">
        <f aca="false">IF(AND(J2488&lt;&gt;"",K2488&lt;&gt;""),J2488*K2488,"")</f>
        <v/>
      </c>
      <c r="M2488" s="81" t="str">
        <f aca="false">IF(L2488&lt;&gt;"",L2488*1.1,"")</f>
        <v/>
      </c>
      <c r="N2488" s="53" t="n">
        <f aca="false">IF(F2488="S",L2488*0.02,0)</f>
        <v>0</v>
      </c>
      <c r="O2488" s="82" t="str">
        <f aca="false">IF(L2488&lt;&gt;"",L2488+N2488,"")</f>
        <v/>
      </c>
      <c r="P2488" s="53" t="str">
        <f aca="false">IF(O2488&lt;&gt;"",O2488*0.1,"")</f>
        <v/>
      </c>
      <c r="Q2488" s="83" t="str">
        <f aca="false">IF(O2488&lt;&gt;"",O2488+P2488,"")</f>
        <v/>
      </c>
      <c r="R2488" s="84"/>
    </row>
    <row r="2489" customFormat="false" ht="15" hidden="false" customHeight="true" outlineLevel="0" collapsed="false">
      <c r="A2489" s="103"/>
      <c r="B2489" s="85"/>
      <c r="C2489" s="86"/>
      <c r="D2489" s="87"/>
      <c r="E2489" s="46" t="str">
        <f aca="false">IF(D2489&lt;&gt;"",IFERROR(VLOOKUP(D2489,PROVEEDORES!$A:$B,2,0),"!COD NO ENCONTRADO"),"")</f>
        <v/>
      </c>
      <c r="F2489" s="88" t="str">
        <f aca="false">IF(D2489&lt;&gt;"",IFERROR(VLOOKUP(D2489,PROVEEDORES!$A:$C,3,0),""),"")</f>
        <v/>
      </c>
      <c r="G2489" s="87"/>
      <c r="H2489" s="46" t="str">
        <f aca="false">IF(G2489&lt;&gt;"",IFERROR(VLOOKUP(G2489,PRODUCTOS!$A:$B,2,0),"!COD NO ENCONTRADO"),"")</f>
        <v/>
      </c>
      <c r="I2489" s="89"/>
      <c r="J2489" s="90"/>
      <c r="K2489" s="91"/>
      <c r="L2489" s="80" t="str">
        <f aca="false">IF(AND(J2489&lt;&gt;"",K2489&lt;&gt;""),J2489*K2489,"")</f>
        <v/>
      </c>
      <c r="M2489" s="81" t="str">
        <f aca="false">IF(L2489&lt;&gt;"",L2489*1.1,"")</f>
        <v/>
      </c>
      <c r="N2489" s="47" t="n">
        <f aca="false">IF(F2489="S",L2489*0.02,0)</f>
        <v>0</v>
      </c>
      <c r="O2489" s="82" t="str">
        <f aca="false">IF(L2489&lt;&gt;"",L2489+N2489,"")</f>
        <v/>
      </c>
      <c r="P2489" s="47" t="str">
        <f aca="false">IF(O2489&lt;&gt;"",O2489*0.1,"")</f>
        <v/>
      </c>
      <c r="Q2489" s="83" t="str">
        <f aca="false">IF(O2489&lt;&gt;"",O2489+P2489,"")</f>
        <v/>
      </c>
      <c r="R2489" s="84"/>
    </row>
    <row r="2490" customFormat="false" ht="15" hidden="false" customHeight="true" outlineLevel="0" collapsed="false">
      <c r="A2490" s="103"/>
      <c r="B2490" s="73"/>
      <c r="C2490" s="74"/>
      <c r="D2490" s="75"/>
      <c r="E2490" s="52" t="str">
        <f aca="false">IF(D2490&lt;&gt;"",IFERROR(VLOOKUP(D2490,PROVEEDORES!$A:$B,2,0),"!COD NO ENCONTRADO"),"")</f>
        <v/>
      </c>
      <c r="F2490" s="76" t="str">
        <f aca="false">IF(D2490&lt;&gt;"",IFERROR(VLOOKUP(D2490,PROVEEDORES!$A:$C,3,0),""),"")</f>
        <v/>
      </c>
      <c r="G2490" s="75"/>
      <c r="H2490" s="52" t="str">
        <f aca="false">IF(G2490&lt;&gt;"",IFERROR(VLOOKUP(G2490,PRODUCTOS!$A:$B,2,0),"!COD NO ENCONTRADO"),"")</f>
        <v/>
      </c>
      <c r="I2490" s="77"/>
      <c r="J2490" s="78"/>
      <c r="K2490" s="79"/>
      <c r="L2490" s="80" t="str">
        <f aca="false">IF(AND(J2490&lt;&gt;"",K2490&lt;&gt;""),J2490*K2490,"")</f>
        <v/>
      </c>
      <c r="M2490" s="81" t="str">
        <f aca="false">IF(L2490&lt;&gt;"",L2490*1.1,"")</f>
        <v/>
      </c>
      <c r="N2490" s="53" t="n">
        <f aca="false">IF(F2490="S",L2490*0.02,0)</f>
        <v>0</v>
      </c>
      <c r="O2490" s="82" t="str">
        <f aca="false">IF(L2490&lt;&gt;"",L2490+N2490,"")</f>
        <v/>
      </c>
      <c r="P2490" s="53" t="str">
        <f aca="false">IF(O2490&lt;&gt;"",O2490*0.1,"")</f>
        <v/>
      </c>
      <c r="Q2490" s="83" t="str">
        <f aca="false">IF(O2490&lt;&gt;"",O2490+P2490,"")</f>
        <v/>
      </c>
      <c r="R2490" s="84"/>
    </row>
    <row r="2491" customFormat="false" ht="15" hidden="false" customHeight="true" outlineLevel="0" collapsed="false">
      <c r="A2491" s="103"/>
      <c r="B2491" s="85"/>
      <c r="C2491" s="86"/>
      <c r="D2491" s="87"/>
      <c r="E2491" s="46" t="str">
        <f aca="false">IF(D2491&lt;&gt;"",IFERROR(VLOOKUP(D2491,PROVEEDORES!$A:$B,2,0),"!COD NO ENCONTRADO"),"")</f>
        <v/>
      </c>
      <c r="F2491" s="88" t="str">
        <f aca="false">IF(D2491&lt;&gt;"",IFERROR(VLOOKUP(D2491,PROVEEDORES!$A:$C,3,0),""),"")</f>
        <v/>
      </c>
      <c r="G2491" s="87"/>
      <c r="H2491" s="46" t="str">
        <f aca="false">IF(G2491&lt;&gt;"",IFERROR(VLOOKUP(G2491,PRODUCTOS!$A:$B,2,0),"!COD NO ENCONTRADO"),"")</f>
        <v/>
      </c>
      <c r="I2491" s="89"/>
      <c r="J2491" s="90"/>
      <c r="K2491" s="91"/>
      <c r="L2491" s="80" t="str">
        <f aca="false">IF(AND(J2491&lt;&gt;"",K2491&lt;&gt;""),J2491*K2491,"")</f>
        <v/>
      </c>
      <c r="M2491" s="81" t="str">
        <f aca="false">IF(L2491&lt;&gt;"",L2491*1.1,"")</f>
        <v/>
      </c>
      <c r="N2491" s="47" t="n">
        <f aca="false">IF(F2491="S",L2491*0.02,0)</f>
        <v>0</v>
      </c>
      <c r="O2491" s="82" t="str">
        <f aca="false">IF(L2491&lt;&gt;"",L2491+N2491,"")</f>
        <v/>
      </c>
      <c r="P2491" s="47" t="str">
        <f aca="false">IF(O2491&lt;&gt;"",O2491*0.1,"")</f>
        <v/>
      </c>
      <c r="Q2491" s="83" t="str">
        <f aca="false">IF(O2491&lt;&gt;"",O2491+P2491,"")</f>
        <v/>
      </c>
      <c r="R2491" s="84"/>
    </row>
    <row r="2492" customFormat="false" ht="15" hidden="false" customHeight="true" outlineLevel="0" collapsed="false">
      <c r="A2492" s="103"/>
      <c r="B2492" s="73"/>
      <c r="C2492" s="74"/>
      <c r="D2492" s="75"/>
      <c r="E2492" s="52" t="str">
        <f aca="false">IF(D2492&lt;&gt;"",IFERROR(VLOOKUP(D2492,PROVEEDORES!$A:$B,2,0),"!COD NO ENCONTRADO"),"")</f>
        <v/>
      </c>
      <c r="F2492" s="76" t="str">
        <f aca="false">IF(D2492&lt;&gt;"",IFERROR(VLOOKUP(D2492,PROVEEDORES!$A:$C,3,0),""),"")</f>
        <v/>
      </c>
      <c r="G2492" s="75"/>
      <c r="H2492" s="52" t="str">
        <f aca="false">IF(G2492&lt;&gt;"",IFERROR(VLOOKUP(G2492,PRODUCTOS!$A:$B,2,0),"!COD NO ENCONTRADO"),"")</f>
        <v/>
      </c>
      <c r="I2492" s="77"/>
      <c r="J2492" s="78"/>
      <c r="K2492" s="79"/>
      <c r="L2492" s="80" t="str">
        <f aca="false">IF(AND(J2492&lt;&gt;"",K2492&lt;&gt;""),J2492*K2492,"")</f>
        <v/>
      </c>
      <c r="M2492" s="81" t="str">
        <f aca="false">IF(L2492&lt;&gt;"",L2492*1.1,"")</f>
        <v/>
      </c>
      <c r="N2492" s="53" t="n">
        <f aca="false">IF(F2492="S",L2492*0.02,0)</f>
        <v>0</v>
      </c>
      <c r="O2492" s="82" t="str">
        <f aca="false">IF(L2492&lt;&gt;"",L2492+N2492,"")</f>
        <v/>
      </c>
      <c r="P2492" s="53" t="str">
        <f aca="false">IF(O2492&lt;&gt;"",O2492*0.1,"")</f>
        <v/>
      </c>
      <c r="Q2492" s="83" t="str">
        <f aca="false">IF(O2492&lt;&gt;"",O2492+P2492,"")</f>
        <v/>
      </c>
      <c r="R2492" s="84"/>
    </row>
    <row r="2493" customFormat="false" ht="15" hidden="false" customHeight="true" outlineLevel="0" collapsed="false">
      <c r="A2493" s="103"/>
      <c r="B2493" s="85"/>
      <c r="C2493" s="86"/>
      <c r="D2493" s="87"/>
      <c r="E2493" s="46" t="str">
        <f aca="false">IF(D2493&lt;&gt;"",IFERROR(VLOOKUP(D2493,PROVEEDORES!$A:$B,2,0),"!COD NO ENCONTRADO"),"")</f>
        <v/>
      </c>
      <c r="F2493" s="88" t="str">
        <f aca="false">IF(D2493&lt;&gt;"",IFERROR(VLOOKUP(D2493,PROVEEDORES!$A:$C,3,0),""),"")</f>
        <v/>
      </c>
      <c r="G2493" s="87"/>
      <c r="H2493" s="46" t="str">
        <f aca="false">IF(G2493&lt;&gt;"",IFERROR(VLOOKUP(G2493,PRODUCTOS!$A:$B,2,0),"!COD NO ENCONTRADO"),"")</f>
        <v/>
      </c>
      <c r="I2493" s="89"/>
      <c r="J2493" s="90"/>
      <c r="K2493" s="91"/>
      <c r="L2493" s="80" t="str">
        <f aca="false">IF(AND(J2493&lt;&gt;"",K2493&lt;&gt;""),J2493*K2493,"")</f>
        <v/>
      </c>
      <c r="M2493" s="81" t="str">
        <f aca="false">IF(L2493&lt;&gt;"",L2493*1.1,"")</f>
        <v/>
      </c>
      <c r="N2493" s="47" t="n">
        <f aca="false">IF(F2493="S",L2493*0.02,0)</f>
        <v>0</v>
      </c>
      <c r="O2493" s="82" t="str">
        <f aca="false">IF(L2493&lt;&gt;"",L2493+N2493,"")</f>
        <v/>
      </c>
      <c r="P2493" s="47" t="str">
        <f aca="false">IF(O2493&lt;&gt;"",O2493*0.1,"")</f>
        <v/>
      </c>
      <c r="Q2493" s="83" t="str">
        <f aca="false">IF(O2493&lt;&gt;"",O2493+P2493,"")</f>
        <v/>
      </c>
      <c r="R2493" s="84"/>
    </row>
    <row r="2494" customFormat="false" ht="15" hidden="false" customHeight="true" outlineLevel="0" collapsed="false">
      <c r="A2494" s="103"/>
      <c r="B2494" s="73"/>
      <c r="C2494" s="74"/>
      <c r="D2494" s="75"/>
      <c r="E2494" s="52" t="str">
        <f aca="false">IF(D2494&lt;&gt;"",IFERROR(VLOOKUP(D2494,PROVEEDORES!$A:$B,2,0),"!COD NO ENCONTRADO"),"")</f>
        <v/>
      </c>
      <c r="F2494" s="76" t="str">
        <f aca="false">IF(D2494&lt;&gt;"",IFERROR(VLOOKUP(D2494,PROVEEDORES!$A:$C,3,0),""),"")</f>
        <v/>
      </c>
      <c r="G2494" s="75"/>
      <c r="H2494" s="52" t="str">
        <f aca="false">IF(G2494&lt;&gt;"",IFERROR(VLOOKUP(G2494,PRODUCTOS!$A:$B,2,0),"!COD NO ENCONTRADO"),"")</f>
        <v/>
      </c>
      <c r="I2494" s="77"/>
      <c r="J2494" s="78"/>
      <c r="K2494" s="79"/>
      <c r="L2494" s="80" t="str">
        <f aca="false">IF(AND(J2494&lt;&gt;"",K2494&lt;&gt;""),J2494*K2494,"")</f>
        <v/>
      </c>
      <c r="M2494" s="81" t="str">
        <f aca="false">IF(L2494&lt;&gt;"",L2494*1.1,"")</f>
        <v/>
      </c>
      <c r="N2494" s="53" t="n">
        <f aca="false">IF(F2494="S",L2494*0.02,0)</f>
        <v>0</v>
      </c>
      <c r="O2494" s="82" t="str">
        <f aca="false">IF(L2494&lt;&gt;"",L2494+N2494,"")</f>
        <v/>
      </c>
      <c r="P2494" s="53" t="str">
        <f aca="false">IF(O2494&lt;&gt;"",O2494*0.1,"")</f>
        <v/>
      </c>
      <c r="Q2494" s="83" t="str">
        <f aca="false">IF(O2494&lt;&gt;"",O2494+P2494,"")</f>
        <v/>
      </c>
      <c r="R2494" s="84"/>
    </row>
    <row r="2495" customFormat="false" ht="15" hidden="false" customHeight="true" outlineLevel="0" collapsed="false">
      <c r="A2495" s="103"/>
      <c r="B2495" s="85"/>
      <c r="C2495" s="86"/>
      <c r="D2495" s="87"/>
      <c r="E2495" s="46" t="str">
        <f aca="false">IF(D2495&lt;&gt;"",IFERROR(VLOOKUP(D2495,PROVEEDORES!$A:$B,2,0),"!COD NO ENCONTRADO"),"")</f>
        <v/>
      </c>
      <c r="F2495" s="88" t="str">
        <f aca="false">IF(D2495&lt;&gt;"",IFERROR(VLOOKUP(D2495,PROVEEDORES!$A:$C,3,0),""),"")</f>
        <v/>
      </c>
      <c r="G2495" s="87"/>
      <c r="H2495" s="46" t="str">
        <f aca="false">IF(G2495&lt;&gt;"",IFERROR(VLOOKUP(G2495,PRODUCTOS!$A:$B,2,0),"!COD NO ENCONTRADO"),"")</f>
        <v/>
      </c>
      <c r="I2495" s="89"/>
      <c r="J2495" s="90"/>
      <c r="K2495" s="91"/>
      <c r="L2495" s="80" t="str">
        <f aca="false">IF(AND(J2495&lt;&gt;"",K2495&lt;&gt;""),J2495*K2495,"")</f>
        <v/>
      </c>
      <c r="M2495" s="81" t="str">
        <f aca="false">IF(L2495&lt;&gt;"",L2495*1.1,"")</f>
        <v/>
      </c>
      <c r="N2495" s="47" t="n">
        <f aca="false">IF(F2495="S",L2495*0.02,0)</f>
        <v>0</v>
      </c>
      <c r="O2495" s="82" t="str">
        <f aca="false">IF(L2495&lt;&gt;"",L2495+N2495,"")</f>
        <v/>
      </c>
      <c r="P2495" s="47" t="str">
        <f aca="false">IF(O2495&lt;&gt;"",O2495*0.1,"")</f>
        <v/>
      </c>
      <c r="Q2495" s="83" t="str">
        <f aca="false">IF(O2495&lt;&gt;"",O2495+P2495,"")</f>
        <v/>
      </c>
      <c r="R2495" s="84"/>
    </row>
    <row r="2496" customFormat="false" ht="15" hidden="false" customHeight="true" outlineLevel="0" collapsed="false">
      <c r="A2496" s="103"/>
      <c r="B2496" s="73"/>
      <c r="C2496" s="74"/>
      <c r="D2496" s="75"/>
      <c r="E2496" s="52" t="str">
        <f aca="false">IF(D2496&lt;&gt;"",IFERROR(VLOOKUP(D2496,PROVEEDORES!$A:$B,2,0),"!COD NO ENCONTRADO"),"")</f>
        <v/>
      </c>
      <c r="F2496" s="76" t="str">
        <f aca="false">IF(D2496&lt;&gt;"",IFERROR(VLOOKUP(D2496,PROVEEDORES!$A:$C,3,0),""),"")</f>
        <v/>
      </c>
      <c r="G2496" s="75"/>
      <c r="H2496" s="52" t="str">
        <f aca="false">IF(G2496&lt;&gt;"",IFERROR(VLOOKUP(G2496,PRODUCTOS!$A:$B,2,0),"!COD NO ENCONTRADO"),"")</f>
        <v/>
      </c>
      <c r="I2496" s="77"/>
      <c r="J2496" s="78"/>
      <c r="K2496" s="79"/>
      <c r="L2496" s="80" t="str">
        <f aca="false">IF(AND(J2496&lt;&gt;"",K2496&lt;&gt;""),J2496*K2496,"")</f>
        <v/>
      </c>
      <c r="M2496" s="81" t="str">
        <f aca="false">IF(L2496&lt;&gt;"",L2496*1.1,"")</f>
        <v/>
      </c>
      <c r="N2496" s="53" t="n">
        <f aca="false">IF(F2496="S",L2496*0.02,0)</f>
        <v>0</v>
      </c>
      <c r="O2496" s="82" t="str">
        <f aca="false">IF(L2496&lt;&gt;"",L2496+N2496,"")</f>
        <v/>
      </c>
      <c r="P2496" s="53" t="str">
        <f aca="false">IF(O2496&lt;&gt;"",O2496*0.1,"")</f>
        <v/>
      </c>
      <c r="Q2496" s="83" t="str">
        <f aca="false">IF(O2496&lt;&gt;"",O2496+P2496,"")</f>
        <v/>
      </c>
      <c r="R2496" s="84"/>
    </row>
    <row r="2497" customFormat="false" ht="15" hidden="false" customHeight="true" outlineLevel="0" collapsed="false">
      <c r="A2497" s="103"/>
      <c r="B2497" s="85"/>
      <c r="C2497" s="86"/>
      <c r="D2497" s="87"/>
      <c r="E2497" s="46" t="str">
        <f aca="false">IF(D2497&lt;&gt;"",IFERROR(VLOOKUP(D2497,PROVEEDORES!$A:$B,2,0),"!COD NO ENCONTRADO"),"")</f>
        <v/>
      </c>
      <c r="F2497" s="88" t="str">
        <f aca="false">IF(D2497&lt;&gt;"",IFERROR(VLOOKUP(D2497,PROVEEDORES!$A:$C,3,0),""),"")</f>
        <v/>
      </c>
      <c r="G2497" s="87"/>
      <c r="H2497" s="46" t="str">
        <f aca="false">IF(G2497&lt;&gt;"",IFERROR(VLOOKUP(G2497,PRODUCTOS!$A:$B,2,0),"!COD NO ENCONTRADO"),"")</f>
        <v/>
      </c>
      <c r="I2497" s="89"/>
      <c r="J2497" s="90"/>
      <c r="K2497" s="91"/>
      <c r="L2497" s="80" t="str">
        <f aca="false">IF(AND(J2497&lt;&gt;"",K2497&lt;&gt;""),J2497*K2497,"")</f>
        <v/>
      </c>
      <c r="M2497" s="81" t="str">
        <f aca="false">IF(L2497&lt;&gt;"",L2497*1.1,"")</f>
        <v/>
      </c>
      <c r="N2497" s="47" t="n">
        <f aca="false">IF(F2497="S",L2497*0.02,0)</f>
        <v>0</v>
      </c>
      <c r="O2497" s="82" t="str">
        <f aca="false">IF(L2497&lt;&gt;"",L2497+N2497,"")</f>
        <v/>
      </c>
      <c r="P2497" s="47" t="str">
        <f aca="false">IF(O2497&lt;&gt;"",O2497*0.1,"")</f>
        <v/>
      </c>
      <c r="Q2497" s="83" t="str">
        <f aca="false">IF(O2497&lt;&gt;"",O2497+P2497,"")</f>
        <v/>
      </c>
      <c r="R2497" s="84"/>
    </row>
    <row r="2498" customFormat="false" ht="15" hidden="false" customHeight="true" outlineLevel="0" collapsed="false">
      <c r="A2498" s="103"/>
      <c r="B2498" s="73"/>
      <c r="C2498" s="74"/>
      <c r="D2498" s="75"/>
      <c r="E2498" s="52" t="str">
        <f aca="false">IF(D2498&lt;&gt;"",IFERROR(VLOOKUP(D2498,PROVEEDORES!$A:$B,2,0),"!COD NO ENCONTRADO"),"")</f>
        <v/>
      </c>
      <c r="F2498" s="76" t="str">
        <f aca="false">IF(D2498&lt;&gt;"",IFERROR(VLOOKUP(D2498,PROVEEDORES!$A:$C,3,0),""),"")</f>
        <v/>
      </c>
      <c r="G2498" s="75"/>
      <c r="H2498" s="52" t="str">
        <f aca="false">IF(G2498&lt;&gt;"",IFERROR(VLOOKUP(G2498,PRODUCTOS!$A:$B,2,0),"!COD NO ENCONTRADO"),"")</f>
        <v/>
      </c>
      <c r="I2498" s="77"/>
      <c r="J2498" s="78"/>
      <c r="K2498" s="79"/>
      <c r="L2498" s="80" t="str">
        <f aca="false">IF(AND(J2498&lt;&gt;"",K2498&lt;&gt;""),J2498*K2498,"")</f>
        <v/>
      </c>
      <c r="M2498" s="81" t="str">
        <f aca="false">IF(L2498&lt;&gt;"",L2498*1.1,"")</f>
        <v/>
      </c>
      <c r="N2498" s="53" t="n">
        <f aca="false">IF(F2498="S",L2498*0.02,0)</f>
        <v>0</v>
      </c>
      <c r="O2498" s="82" t="str">
        <f aca="false">IF(L2498&lt;&gt;"",L2498+N2498,"")</f>
        <v/>
      </c>
      <c r="P2498" s="53" t="str">
        <f aca="false">IF(O2498&lt;&gt;"",O2498*0.1,"")</f>
        <v/>
      </c>
      <c r="Q2498" s="83" t="str">
        <f aca="false">IF(O2498&lt;&gt;"",O2498+P2498,"")</f>
        <v/>
      </c>
      <c r="R2498" s="84"/>
    </row>
    <row r="2499" customFormat="false" ht="15" hidden="false" customHeight="true" outlineLevel="0" collapsed="false">
      <c r="A2499" s="103"/>
      <c r="B2499" s="85"/>
      <c r="C2499" s="86"/>
      <c r="D2499" s="87"/>
      <c r="E2499" s="46" t="str">
        <f aca="false">IF(D2499&lt;&gt;"",IFERROR(VLOOKUP(D2499,PROVEEDORES!$A:$B,2,0),"!COD NO ENCONTRADO"),"")</f>
        <v/>
      </c>
      <c r="F2499" s="88" t="str">
        <f aca="false">IF(D2499&lt;&gt;"",IFERROR(VLOOKUP(D2499,PROVEEDORES!$A:$C,3,0),""),"")</f>
        <v/>
      </c>
      <c r="G2499" s="87"/>
      <c r="H2499" s="46" t="str">
        <f aca="false">IF(G2499&lt;&gt;"",IFERROR(VLOOKUP(G2499,PRODUCTOS!$A:$B,2,0),"!COD NO ENCONTRADO"),"")</f>
        <v/>
      </c>
      <c r="I2499" s="89"/>
      <c r="J2499" s="90"/>
      <c r="K2499" s="91"/>
      <c r="L2499" s="80" t="str">
        <f aca="false">IF(AND(J2499&lt;&gt;"",K2499&lt;&gt;""),J2499*K2499,"")</f>
        <v/>
      </c>
      <c r="M2499" s="81" t="str">
        <f aca="false">IF(L2499&lt;&gt;"",L2499*1.1,"")</f>
        <v/>
      </c>
      <c r="N2499" s="47" t="n">
        <f aca="false">IF(F2499="S",L2499*0.02,0)</f>
        <v>0</v>
      </c>
      <c r="O2499" s="82" t="str">
        <f aca="false">IF(L2499&lt;&gt;"",L2499+N2499,"")</f>
        <v/>
      </c>
      <c r="P2499" s="47" t="str">
        <f aca="false">IF(O2499&lt;&gt;"",O2499*0.1,"")</f>
        <v/>
      </c>
      <c r="Q2499" s="83" t="str">
        <f aca="false">IF(O2499&lt;&gt;"",O2499+P2499,"")</f>
        <v/>
      </c>
      <c r="R2499" s="84"/>
    </row>
    <row r="2500" customFormat="false" ht="15" hidden="false" customHeight="true" outlineLevel="0" collapsed="false">
      <c r="A2500" s="103"/>
      <c r="B2500" s="73"/>
      <c r="C2500" s="74"/>
      <c r="D2500" s="75"/>
      <c r="E2500" s="52" t="str">
        <f aca="false">IF(D2500&lt;&gt;"",IFERROR(VLOOKUP(D2500,PROVEEDORES!$A:$B,2,0),"!COD NO ENCONTRADO"),"")</f>
        <v/>
      </c>
      <c r="F2500" s="76" t="str">
        <f aca="false">IF(D2500&lt;&gt;"",IFERROR(VLOOKUP(D2500,PROVEEDORES!$A:$C,3,0),""),"")</f>
        <v/>
      </c>
      <c r="G2500" s="75"/>
      <c r="H2500" s="52" t="str">
        <f aca="false">IF(G2500&lt;&gt;"",IFERROR(VLOOKUP(G2500,PRODUCTOS!$A:$B,2,0),"!COD NO ENCONTRADO"),"")</f>
        <v/>
      </c>
      <c r="I2500" s="77"/>
      <c r="J2500" s="78"/>
      <c r="K2500" s="79"/>
      <c r="L2500" s="80" t="str">
        <f aca="false">IF(AND(J2500&lt;&gt;"",K2500&lt;&gt;""),J2500*K2500,"")</f>
        <v/>
      </c>
      <c r="M2500" s="81" t="str">
        <f aca="false">IF(L2500&lt;&gt;"",L2500*1.1,"")</f>
        <v/>
      </c>
      <c r="N2500" s="53" t="n">
        <f aca="false">IF(F2500="S",L2500*0.02,0)</f>
        <v>0</v>
      </c>
      <c r="O2500" s="82" t="str">
        <f aca="false">IF(L2500&lt;&gt;"",L2500+N2500,"")</f>
        <v/>
      </c>
      <c r="P2500" s="53" t="str">
        <f aca="false">IF(O2500&lt;&gt;"",O2500*0.1,"")</f>
        <v/>
      </c>
      <c r="Q2500" s="83" t="str">
        <f aca="false">IF(O2500&lt;&gt;"",O2500+P2500,"")</f>
        <v/>
      </c>
      <c r="R2500" s="84"/>
    </row>
    <row r="2501" customFormat="false" ht="15" hidden="false" customHeight="true" outlineLevel="0" collapsed="false">
      <c r="A2501" s="103"/>
      <c r="B2501" s="85"/>
      <c r="C2501" s="86"/>
      <c r="D2501" s="87"/>
      <c r="E2501" s="46" t="str">
        <f aca="false">IF(D2501&lt;&gt;"",IFERROR(VLOOKUP(D2501,PROVEEDORES!$A:$B,2,0),"!COD NO ENCONTRADO"),"")</f>
        <v/>
      </c>
      <c r="F2501" s="88" t="str">
        <f aca="false">IF(D2501&lt;&gt;"",IFERROR(VLOOKUP(D2501,PROVEEDORES!$A:$C,3,0),""),"")</f>
        <v/>
      </c>
      <c r="G2501" s="87"/>
      <c r="H2501" s="46" t="str">
        <f aca="false">IF(G2501&lt;&gt;"",IFERROR(VLOOKUP(G2501,PRODUCTOS!$A:$B,2,0),"!COD NO ENCONTRADO"),"")</f>
        <v/>
      </c>
      <c r="I2501" s="89"/>
      <c r="J2501" s="90"/>
      <c r="K2501" s="91"/>
      <c r="L2501" s="80" t="str">
        <f aca="false">IF(AND(J2501&lt;&gt;"",K2501&lt;&gt;""),J2501*K2501,"")</f>
        <v/>
      </c>
      <c r="M2501" s="81" t="str">
        <f aca="false">IF(L2501&lt;&gt;"",L2501*1.1,"")</f>
        <v/>
      </c>
      <c r="N2501" s="47" t="n">
        <f aca="false">IF(F2501="S",L2501*0.02,0)</f>
        <v>0</v>
      </c>
      <c r="O2501" s="82" t="str">
        <f aca="false">IF(L2501&lt;&gt;"",L2501+N2501,"")</f>
        <v/>
      </c>
      <c r="P2501" s="47" t="str">
        <f aca="false">IF(O2501&lt;&gt;"",O2501*0.1,"")</f>
        <v/>
      </c>
      <c r="Q2501" s="83" t="str">
        <f aca="false">IF(O2501&lt;&gt;"",O2501+P2501,"")</f>
        <v/>
      </c>
      <c r="R2501" s="84"/>
    </row>
    <row r="2502" customFormat="false" ht="15" hidden="false" customHeight="true" outlineLevel="0" collapsed="false">
      <c r="A2502" s="103"/>
      <c r="B2502" s="73"/>
      <c r="C2502" s="74"/>
      <c r="D2502" s="75"/>
      <c r="E2502" s="52" t="str">
        <f aca="false">IF(D2502&lt;&gt;"",IFERROR(VLOOKUP(D2502,PROVEEDORES!$A:$B,2,0),"!COD NO ENCONTRADO"),"")</f>
        <v/>
      </c>
      <c r="F2502" s="76" t="str">
        <f aca="false">IF(D2502&lt;&gt;"",IFERROR(VLOOKUP(D2502,PROVEEDORES!$A:$C,3,0),""),"")</f>
        <v/>
      </c>
      <c r="G2502" s="75"/>
      <c r="H2502" s="52" t="str">
        <f aca="false">IF(G2502&lt;&gt;"",IFERROR(VLOOKUP(G2502,PRODUCTOS!$A:$B,2,0),"!COD NO ENCONTRADO"),"")</f>
        <v/>
      </c>
      <c r="I2502" s="77"/>
      <c r="J2502" s="78"/>
      <c r="K2502" s="79"/>
      <c r="L2502" s="80" t="str">
        <f aca="false">IF(AND(J2502&lt;&gt;"",K2502&lt;&gt;""),J2502*K2502,"")</f>
        <v/>
      </c>
      <c r="M2502" s="81" t="str">
        <f aca="false">IF(L2502&lt;&gt;"",L2502*1.1,"")</f>
        <v/>
      </c>
      <c r="N2502" s="53" t="n">
        <f aca="false">IF(F2502="S",L2502*0.02,0)</f>
        <v>0</v>
      </c>
      <c r="O2502" s="82" t="str">
        <f aca="false">IF(L2502&lt;&gt;"",L2502+N2502,"")</f>
        <v/>
      </c>
      <c r="P2502" s="53" t="str">
        <f aca="false">IF(O2502&lt;&gt;"",O2502*0.1,"")</f>
        <v/>
      </c>
      <c r="Q2502" s="83" t="str">
        <f aca="false">IF(O2502&lt;&gt;"",O2502+P2502,"")</f>
        <v/>
      </c>
      <c r="R2502" s="84"/>
    </row>
    <row r="2503" customFormat="false" ht="15" hidden="false" customHeight="true" outlineLevel="0" collapsed="false">
      <c r="A2503" s="103"/>
      <c r="B2503" s="85"/>
      <c r="C2503" s="86"/>
      <c r="D2503" s="87"/>
      <c r="E2503" s="46" t="str">
        <f aca="false">IF(D2503&lt;&gt;"",IFERROR(VLOOKUP(D2503,PROVEEDORES!$A:$B,2,0),"!COD NO ENCONTRADO"),"")</f>
        <v/>
      </c>
      <c r="F2503" s="88" t="str">
        <f aca="false">IF(D2503&lt;&gt;"",IFERROR(VLOOKUP(D2503,PROVEEDORES!$A:$C,3,0),""),"")</f>
        <v/>
      </c>
      <c r="G2503" s="87"/>
      <c r="H2503" s="46" t="str">
        <f aca="false">IF(G2503&lt;&gt;"",IFERROR(VLOOKUP(G2503,PRODUCTOS!$A:$B,2,0),"!COD NO ENCONTRADO"),"")</f>
        <v/>
      </c>
      <c r="I2503" s="89"/>
      <c r="J2503" s="90"/>
      <c r="K2503" s="91"/>
      <c r="L2503" s="80" t="str">
        <f aca="false">IF(AND(J2503&lt;&gt;"",K2503&lt;&gt;""),J2503*K2503,"")</f>
        <v/>
      </c>
      <c r="M2503" s="81" t="str">
        <f aca="false">IF(L2503&lt;&gt;"",L2503*1.1,"")</f>
        <v/>
      </c>
      <c r="N2503" s="47" t="n">
        <f aca="false">IF(F2503="S",L2503*0.02,0)</f>
        <v>0</v>
      </c>
      <c r="O2503" s="82" t="str">
        <f aca="false">IF(L2503&lt;&gt;"",L2503+N2503,"")</f>
        <v/>
      </c>
      <c r="P2503" s="47" t="str">
        <f aca="false">IF(O2503&lt;&gt;"",O2503*0.1,"")</f>
        <v/>
      </c>
      <c r="Q2503" s="83" t="str">
        <f aca="false">IF(O2503&lt;&gt;"",O2503+P2503,"")</f>
        <v/>
      </c>
      <c r="R2503" s="84"/>
    </row>
    <row r="2504" customFormat="false" ht="15" hidden="false" customHeight="true" outlineLevel="0" collapsed="false">
      <c r="A2504" s="103"/>
      <c r="B2504" s="73"/>
      <c r="C2504" s="74"/>
      <c r="D2504" s="75"/>
      <c r="E2504" s="52" t="str">
        <f aca="false">IF(D2504&lt;&gt;"",IFERROR(VLOOKUP(D2504,PROVEEDORES!$A:$B,2,0),"!COD NO ENCONTRADO"),"")</f>
        <v/>
      </c>
      <c r="F2504" s="76" t="str">
        <f aca="false">IF(D2504&lt;&gt;"",IFERROR(VLOOKUP(D2504,PROVEEDORES!$A:$C,3,0),""),"")</f>
        <v/>
      </c>
      <c r="G2504" s="75"/>
      <c r="H2504" s="52" t="str">
        <f aca="false">IF(G2504&lt;&gt;"",IFERROR(VLOOKUP(G2504,PRODUCTOS!$A:$B,2,0),"!COD NO ENCONTRADO"),"")</f>
        <v/>
      </c>
      <c r="I2504" s="77"/>
      <c r="J2504" s="78"/>
      <c r="K2504" s="79"/>
      <c r="L2504" s="80" t="str">
        <f aca="false">IF(AND(J2504&lt;&gt;"",K2504&lt;&gt;""),J2504*K2504,"")</f>
        <v/>
      </c>
      <c r="M2504" s="81" t="str">
        <f aca="false">IF(L2504&lt;&gt;"",L2504*1.1,"")</f>
        <v/>
      </c>
      <c r="N2504" s="53" t="n">
        <f aca="false">IF(F2504="S",L2504*0.02,0)</f>
        <v>0</v>
      </c>
      <c r="O2504" s="82" t="str">
        <f aca="false">IF(L2504&lt;&gt;"",L2504+N2504,"")</f>
        <v/>
      </c>
      <c r="P2504" s="53" t="str">
        <f aca="false">IF(O2504&lt;&gt;"",O2504*0.1,"")</f>
        <v/>
      </c>
      <c r="Q2504" s="83" t="str">
        <f aca="false">IF(O2504&lt;&gt;"",O2504+P2504,"")</f>
        <v/>
      </c>
      <c r="R2504" s="84"/>
    </row>
    <row r="2505" customFormat="false" ht="15" hidden="false" customHeight="true" outlineLevel="0" collapsed="false">
      <c r="A2505" s="103"/>
      <c r="B2505" s="85"/>
      <c r="C2505" s="86"/>
      <c r="D2505" s="87"/>
      <c r="E2505" s="46" t="str">
        <f aca="false">IF(D2505&lt;&gt;"",IFERROR(VLOOKUP(D2505,PROVEEDORES!$A:$B,2,0),"!COD NO ENCONTRADO"),"")</f>
        <v/>
      </c>
      <c r="F2505" s="88" t="str">
        <f aca="false">IF(D2505&lt;&gt;"",IFERROR(VLOOKUP(D2505,PROVEEDORES!$A:$C,3,0),""),"")</f>
        <v/>
      </c>
      <c r="G2505" s="87"/>
      <c r="H2505" s="46" t="str">
        <f aca="false">IF(G2505&lt;&gt;"",IFERROR(VLOOKUP(G2505,PRODUCTOS!$A:$B,2,0),"!COD NO ENCONTRADO"),"")</f>
        <v/>
      </c>
      <c r="I2505" s="89"/>
      <c r="J2505" s="90"/>
      <c r="K2505" s="91"/>
      <c r="L2505" s="80" t="str">
        <f aca="false">IF(AND(J2505&lt;&gt;"",K2505&lt;&gt;""),J2505*K2505,"")</f>
        <v/>
      </c>
      <c r="M2505" s="81" t="str">
        <f aca="false">IF(L2505&lt;&gt;"",L2505*1.1,"")</f>
        <v/>
      </c>
      <c r="N2505" s="47" t="n">
        <f aca="false">IF(F2505="S",L2505*0.02,0)</f>
        <v>0</v>
      </c>
      <c r="O2505" s="82" t="str">
        <f aca="false">IF(L2505&lt;&gt;"",L2505+N2505,"")</f>
        <v/>
      </c>
      <c r="P2505" s="47" t="str">
        <f aca="false">IF(O2505&lt;&gt;"",O2505*0.1,"")</f>
        <v/>
      </c>
      <c r="Q2505" s="83" t="str">
        <f aca="false">IF(O2505&lt;&gt;"",O2505+P2505,"")</f>
        <v/>
      </c>
      <c r="R2505" s="84"/>
    </row>
    <row r="2506" customFormat="false" ht="15" hidden="false" customHeight="true" outlineLevel="0" collapsed="false">
      <c r="A2506" s="103"/>
      <c r="B2506" s="73"/>
      <c r="C2506" s="74"/>
      <c r="D2506" s="75"/>
      <c r="E2506" s="52" t="str">
        <f aca="false">IF(D2506&lt;&gt;"",IFERROR(VLOOKUP(D2506,PROVEEDORES!$A:$B,2,0),"!COD NO ENCONTRADO"),"")</f>
        <v/>
      </c>
      <c r="F2506" s="76" t="str">
        <f aca="false">IF(D2506&lt;&gt;"",IFERROR(VLOOKUP(D2506,PROVEEDORES!$A:$C,3,0),""),"")</f>
        <v/>
      </c>
      <c r="G2506" s="75"/>
      <c r="H2506" s="52" t="str">
        <f aca="false">IF(G2506&lt;&gt;"",IFERROR(VLOOKUP(G2506,PRODUCTOS!$A:$B,2,0),"!COD NO ENCONTRADO"),"")</f>
        <v/>
      </c>
      <c r="I2506" s="77"/>
      <c r="J2506" s="78"/>
      <c r="K2506" s="79"/>
      <c r="L2506" s="80" t="str">
        <f aca="false">IF(AND(J2506&lt;&gt;"",K2506&lt;&gt;""),J2506*K2506,"")</f>
        <v/>
      </c>
      <c r="M2506" s="81" t="str">
        <f aca="false">IF(L2506&lt;&gt;"",L2506*1.1,"")</f>
        <v/>
      </c>
      <c r="N2506" s="53" t="n">
        <f aca="false">IF(F2506="S",L2506*0.02,0)</f>
        <v>0</v>
      </c>
      <c r="O2506" s="82" t="str">
        <f aca="false">IF(L2506&lt;&gt;"",L2506+N2506,"")</f>
        <v/>
      </c>
      <c r="P2506" s="53" t="str">
        <f aca="false">IF(O2506&lt;&gt;"",O2506*0.1,"")</f>
        <v/>
      </c>
      <c r="Q2506" s="83" t="str">
        <f aca="false">IF(O2506&lt;&gt;"",O2506+P2506,"")</f>
        <v/>
      </c>
      <c r="R2506" s="84"/>
    </row>
    <row r="2507" customFormat="false" ht="15" hidden="false" customHeight="true" outlineLevel="0" collapsed="false">
      <c r="A2507" s="103"/>
      <c r="B2507" s="85"/>
      <c r="C2507" s="86"/>
      <c r="D2507" s="87"/>
      <c r="E2507" s="46" t="str">
        <f aca="false">IF(D2507&lt;&gt;"",IFERROR(VLOOKUP(D2507,PROVEEDORES!$A:$B,2,0),"!COD NO ENCONTRADO"),"")</f>
        <v/>
      </c>
      <c r="F2507" s="88" t="str">
        <f aca="false">IF(D2507&lt;&gt;"",IFERROR(VLOOKUP(D2507,PROVEEDORES!$A:$C,3,0),""),"")</f>
        <v/>
      </c>
      <c r="G2507" s="87"/>
      <c r="H2507" s="46" t="str">
        <f aca="false">IF(G2507&lt;&gt;"",IFERROR(VLOOKUP(G2507,PRODUCTOS!$A:$B,2,0),"!COD NO ENCONTRADO"),"")</f>
        <v/>
      </c>
      <c r="I2507" s="89"/>
      <c r="J2507" s="90"/>
      <c r="K2507" s="91"/>
      <c r="L2507" s="80" t="str">
        <f aca="false">IF(AND(J2507&lt;&gt;"",K2507&lt;&gt;""),J2507*K2507,"")</f>
        <v/>
      </c>
      <c r="M2507" s="81" t="str">
        <f aca="false">IF(L2507&lt;&gt;"",L2507*1.1,"")</f>
        <v/>
      </c>
      <c r="N2507" s="47" t="n">
        <f aca="false">IF(F2507="S",L2507*0.02,0)</f>
        <v>0</v>
      </c>
      <c r="O2507" s="82" t="str">
        <f aca="false">IF(L2507&lt;&gt;"",L2507+N2507,"")</f>
        <v/>
      </c>
      <c r="P2507" s="47" t="str">
        <f aca="false">IF(O2507&lt;&gt;"",O2507*0.1,"")</f>
        <v/>
      </c>
      <c r="Q2507" s="83" t="str">
        <f aca="false">IF(O2507&lt;&gt;"",O2507+P2507,"")</f>
        <v/>
      </c>
      <c r="R2507" s="84"/>
    </row>
    <row r="2508" customFormat="false" ht="15" hidden="false" customHeight="true" outlineLevel="0" collapsed="false">
      <c r="A2508" s="103"/>
      <c r="B2508" s="73"/>
      <c r="C2508" s="74"/>
      <c r="D2508" s="75"/>
      <c r="E2508" s="52" t="str">
        <f aca="false">IF(D2508&lt;&gt;"",IFERROR(VLOOKUP(D2508,PROVEEDORES!$A:$B,2,0),"!COD NO ENCONTRADO"),"")</f>
        <v/>
      </c>
      <c r="F2508" s="76" t="str">
        <f aca="false">IF(D2508&lt;&gt;"",IFERROR(VLOOKUP(D2508,PROVEEDORES!$A:$C,3,0),""),"")</f>
        <v/>
      </c>
      <c r="G2508" s="75"/>
      <c r="H2508" s="52" t="str">
        <f aca="false">IF(G2508&lt;&gt;"",IFERROR(VLOOKUP(G2508,PRODUCTOS!$A:$B,2,0),"!COD NO ENCONTRADO"),"")</f>
        <v/>
      </c>
      <c r="I2508" s="77"/>
      <c r="J2508" s="78"/>
      <c r="K2508" s="79"/>
      <c r="L2508" s="80" t="str">
        <f aca="false">IF(AND(J2508&lt;&gt;"",K2508&lt;&gt;""),J2508*K2508,"")</f>
        <v/>
      </c>
      <c r="M2508" s="81" t="str">
        <f aca="false">IF(L2508&lt;&gt;"",L2508*1.1,"")</f>
        <v/>
      </c>
      <c r="N2508" s="53" t="n">
        <f aca="false">IF(F2508="S",L2508*0.02,0)</f>
        <v>0</v>
      </c>
      <c r="O2508" s="82" t="str">
        <f aca="false">IF(L2508&lt;&gt;"",L2508+N2508,"")</f>
        <v/>
      </c>
      <c r="P2508" s="53" t="str">
        <f aca="false">IF(O2508&lt;&gt;"",O2508*0.1,"")</f>
        <v/>
      </c>
      <c r="Q2508" s="83" t="str">
        <f aca="false">IF(O2508&lt;&gt;"",O2508+P2508,"")</f>
        <v/>
      </c>
      <c r="R2508" s="84"/>
    </row>
    <row r="2509" customFormat="false" ht="15" hidden="false" customHeight="true" outlineLevel="0" collapsed="false">
      <c r="A2509" s="103"/>
      <c r="B2509" s="85"/>
      <c r="C2509" s="86"/>
      <c r="D2509" s="87"/>
      <c r="E2509" s="46" t="str">
        <f aca="false">IF(D2509&lt;&gt;"",IFERROR(VLOOKUP(D2509,PROVEEDORES!$A:$B,2,0),"!COD NO ENCONTRADO"),"")</f>
        <v/>
      </c>
      <c r="F2509" s="88" t="str">
        <f aca="false">IF(D2509&lt;&gt;"",IFERROR(VLOOKUP(D2509,PROVEEDORES!$A:$C,3,0),""),"")</f>
        <v/>
      </c>
      <c r="G2509" s="87"/>
      <c r="H2509" s="46" t="str">
        <f aca="false">IF(G2509&lt;&gt;"",IFERROR(VLOOKUP(G2509,PRODUCTOS!$A:$B,2,0),"!COD NO ENCONTRADO"),"")</f>
        <v/>
      </c>
      <c r="I2509" s="89"/>
      <c r="J2509" s="90"/>
      <c r="K2509" s="91"/>
      <c r="L2509" s="80" t="str">
        <f aca="false">IF(AND(J2509&lt;&gt;"",K2509&lt;&gt;""),J2509*K2509,"")</f>
        <v/>
      </c>
      <c r="M2509" s="81" t="str">
        <f aca="false">IF(L2509&lt;&gt;"",L2509*1.1,"")</f>
        <v/>
      </c>
      <c r="N2509" s="47" t="n">
        <f aca="false">IF(F2509="S",L2509*0.02,0)</f>
        <v>0</v>
      </c>
      <c r="O2509" s="82" t="str">
        <f aca="false">IF(L2509&lt;&gt;"",L2509+N2509,"")</f>
        <v/>
      </c>
      <c r="P2509" s="47" t="str">
        <f aca="false">IF(O2509&lt;&gt;"",O2509*0.1,"")</f>
        <v/>
      </c>
      <c r="Q2509" s="83" t="str">
        <f aca="false">IF(O2509&lt;&gt;"",O2509+P2509,"")</f>
        <v/>
      </c>
      <c r="R2509" s="84"/>
    </row>
    <row r="2510" customFormat="false" ht="15" hidden="false" customHeight="true" outlineLevel="0" collapsed="false">
      <c r="A2510" s="103"/>
      <c r="B2510" s="73"/>
      <c r="C2510" s="74"/>
      <c r="D2510" s="75"/>
      <c r="E2510" s="52" t="str">
        <f aca="false">IF(D2510&lt;&gt;"",IFERROR(VLOOKUP(D2510,PROVEEDORES!$A:$B,2,0),"!COD NO ENCONTRADO"),"")</f>
        <v/>
      </c>
      <c r="F2510" s="76" t="str">
        <f aca="false">IF(D2510&lt;&gt;"",IFERROR(VLOOKUP(D2510,PROVEEDORES!$A:$C,3,0),""),"")</f>
        <v/>
      </c>
      <c r="G2510" s="75"/>
      <c r="H2510" s="52" t="str">
        <f aca="false">IF(G2510&lt;&gt;"",IFERROR(VLOOKUP(G2510,PRODUCTOS!$A:$B,2,0),"!COD NO ENCONTRADO"),"")</f>
        <v/>
      </c>
      <c r="I2510" s="77"/>
      <c r="J2510" s="78"/>
      <c r="K2510" s="79"/>
      <c r="L2510" s="80" t="str">
        <f aca="false">IF(AND(J2510&lt;&gt;"",K2510&lt;&gt;""),J2510*K2510,"")</f>
        <v/>
      </c>
      <c r="M2510" s="81" t="str">
        <f aca="false">IF(L2510&lt;&gt;"",L2510*1.1,"")</f>
        <v/>
      </c>
      <c r="N2510" s="53" t="n">
        <f aca="false">IF(F2510="S",L2510*0.02,0)</f>
        <v>0</v>
      </c>
      <c r="O2510" s="82" t="str">
        <f aca="false">IF(L2510&lt;&gt;"",L2510+N2510,"")</f>
        <v/>
      </c>
      <c r="P2510" s="53" t="str">
        <f aca="false">IF(O2510&lt;&gt;"",O2510*0.1,"")</f>
        <v/>
      </c>
      <c r="Q2510" s="83" t="str">
        <f aca="false">IF(O2510&lt;&gt;"",O2510+P2510,"")</f>
        <v/>
      </c>
      <c r="R2510" s="84"/>
    </row>
    <row r="2511" customFormat="false" ht="15" hidden="false" customHeight="true" outlineLevel="0" collapsed="false">
      <c r="A2511" s="103"/>
      <c r="B2511" s="85"/>
      <c r="C2511" s="86"/>
      <c r="D2511" s="87"/>
      <c r="E2511" s="46" t="str">
        <f aca="false">IF(D2511&lt;&gt;"",IFERROR(VLOOKUP(D2511,PROVEEDORES!$A:$B,2,0),"!COD NO ENCONTRADO"),"")</f>
        <v/>
      </c>
      <c r="F2511" s="88" t="str">
        <f aca="false">IF(D2511&lt;&gt;"",IFERROR(VLOOKUP(D2511,PROVEEDORES!$A:$C,3,0),""),"")</f>
        <v/>
      </c>
      <c r="G2511" s="87"/>
      <c r="H2511" s="46" t="str">
        <f aca="false">IF(G2511&lt;&gt;"",IFERROR(VLOOKUP(G2511,PRODUCTOS!$A:$B,2,0),"!COD NO ENCONTRADO"),"")</f>
        <v/>
      </c>
      <c r="I2511" s="89"/>
      <c r="J2511" s="90"/>
      <c r="K2511" s="91"/>
      <c r="L2511" s="80" t="str">
        <f aca="false">IF(AND(J2511&lt;&gt;"",K2511&lt;&gt;""),J2511*K2511,"")</f>
        <v/>
      </c>
      <c r="M2511" s="81" t="str">
        <f aca="false">IF(L2511&lt;&gt;"",L2511*1.1,"")</f>
        <v/>
      </c>
      <c r="N2511" s="47" t="n">
        <f aca="false">IF(F2511="S",L2511*0.02,0)</f>
        <v>0</v>
      </c>
      <c r="O2511" s="82" t="str">
        <f aca="false">IF(L2511&lt;&gt;"",L2511+N2511,"")</f>
        <v/>
      </c>
      <c r="P2511" s="47" t="str">
        <f aca="false">IF(O2511&lt;&gt;"",O2511*0.1,"")</f>
        <v/>
      </c>
      <c r="Q2511" s="83" t="str">
        <f aca="false">IF(O2511&lt;&gt;"",O2511+P2511,"")</f>
        <v/>
      </c>
      <c r="R2511" s="84"/>
    </row>
    <row r="2512" customFormat="false" ht="15" hidden="false" customHeight="true" outlineLevel="0" collapsed="false">
      <c r="A2512" s="103"/>
      <c r="B2512" s="73"/>
      <c r="C2512" s="74"/>
      <c r="D2512" s="75"/>
      <c r="E2512" s="52" t="str">
        <f aca="false">IF(D2512&lt;&gt;"",IFERROR(VLOOKUP(D2512,PROVEEDORES!$A:$B,2,0),"!COD NO ENCONTRADO"),"")</f>
        <v/>
      </c>
      <c r="F2512" s="76" t="str">
        <f aca="false">IF(D2512&lt;&gt;"",IFERROR(VLOOKUP(D2512,PROVEEDORES!$A:$C,3,0),""),"")</f>
        <v/>
      </c>
      <c r="G2512" s="75"/>
      <c r="H2512" s="52" t="str">
        <f aca="false">IF(G2512&lt;&gt;"",IFERROR(VLOOKUP(G2512,PRODUCTOS!$A:$B,2,0),"!COD NO ENCONTRADO"),"")</f>
        <v/>
      </c>
      <c r="I2512" s="77"/>
      <c r="J2512" s="78"/>
      <c r="K2512" s="79"/>
      <c r="L2512" s="80" t="str">
        <f aca="false">IF(AND(J2512&lt;&gt;"",K2512&lt;&gt;""),J2512*K2512,"")</f>
        <v/>
      </c>
      <c r="M2512" s="81" t="str">
        <f aca="false">IF(L2512&lt;&gt;"",L2512*1.1,"")</f>
        <v/>
      </c>
      <c r="N2512" s="53" t="n">
        <f aca="false">IF(F2512="S",L2512*0.02,0)</f>
        <v>0</v>
      </c>
      <c r="O2512" s="82" t="str">
        <f aca="false">IF(L2512&lt;&gt;"",L2512+N2512,"")</f>
        <v/>
      </c>
      <c r="P2512" s="53" t="str">
        <f aca="false">IF(O2512&lt;&gt;"",O2512*0.1,"")</f>
        <v/>
      </c>
      <c r="Q2512" s="83" t="str">
        <f aca="false">IF(O2512&lt;&gt;"",O2512+P2512,"")</f>
        <v/>
      </c>
      <c r="R2512" s="84"/>
    </row>
    <row r="2513" customFormat="false" ht="15" hidden="false" customHeight="true" outlineLevel="0" collapsed="false">
      <c r="A2513" s="103"/>
      <c r="B2513" s="85"/>
      <c r="C2513" s="86"/>
      <c r="D2513" s="87"/>
      <c r="E2513" s="46" t="str">
        <f aca="false">IF(D2513&lt;&gt;"",IFERROR(VLOOKUP(D2513,PROVEEDORES!$A:$B,2,0),"!COD NO ENCONTRADO"),"")</f>
        <v/>
      </c>
      <c r="F2513" s="88" t="str">
        <f aca="false">IF(D2513&lt;&gt;"",IFERROR(VLOOKUP(D2513,PROVEEDORES!$A:$C,3,0),""),"")</f>
        <v/>
      </c>
      <c r="G2513" s="87"/>
      <c r="H2513" s="46" t="str">
        <f aca="false">IF(G2513&lt;&gt;"",IFERROR(VLOOKUP(G2513,PRODUCTOS!$A:$B,2,0),"!COD NO ENCONTRADO"),"")</f>
        <v/>
      </c>
      <c r="I2513" s="89"/>
      <c r="J2513" s="90"/>
      <c r="K2513" s="91"/>
      <c r="L2513" s="80" t="str">
        <f aca="false">IF(AND(J2513&lt;&gt;"",K2513&lt;&gt;""),J2513*K2513,"")</f>
        <v/>
      </c>
      <c r="M2513" s="81" t="str">
        <f aca="false">IF(L2513&lt;&gt;"",L2513*1.1,"")</f>
        <v/>
      </c>
      <c r="N2513" s="47" t="n">
        <f aca="false">IF(F2513="S",L2513*0.02,0)</f>
        <v>0</v>
      </c>
      <c r="O2513" s="82" t="str">
        <f aca="false">IF(L2513&lt;&gt;"",L2513+N2513,"")</f>
        <v/>
      </c>
      <c r="P2513" s="47" t="str">
        <f aca="false">IF(O2513&lt;&gt;"",O2513*0.1,"")</f>
        <v/>
      </c>
      <c r="Q2513" s="83" t="str">
        <f aca="false">IF(O2513&lt;&gt;"",O2513+P2513,"")</f>
        <v/>
      </c>
      <c r="R2513" s="84"/>
    </row>
    <row r="2514" customFormat="false" ht="15" hidden="false" customHeight="true" outlineLevel="0" collapsed="false">
      <c r="A2514" s="103"/>
      <c r="B2514" s="73"/>
      <c r="C2514" s="74"/>
      <c r="D2514" s="75"/>
      <c r="E2514" s="52" t="str">
        <f aca="false">IF(D2514&lt;&gt;"",IFERROR(VLOOKUP(D2514,PROVEEDORES!$A:$B,2,0),"!COD NO ENCONTRADO"),"")</f>
        <v/>
      </c>
      <c r="F2514" s="76" t="str">
        <f aca="false">IF(D2514&lt;&gt;"",IFERROR(VLOOKUP(D2514,PROVEEDORES!$A:$C,3,0),""),"")</f>
        <v/>
      </c>
      <c r="G2514" s="75"/>
      <c r="H2514" s="52" t="str">
        <f aca="false">IF(G2514&lt;&gt;"",IFERROR(VLOOKUP(G2514,PRODUCTOS!$A:$B,2,0),"!COD NO ENCONTRADO"),"")</f>
        <v/>
      </c>
      <c r="I2514" s="77"/>
      <c r="J2514" s="78"/>
      <c r="K2514" s="79"/>
      <c r="L2514" s="80" t="str">
        <f aca="false">IF(AND(J2514&lt;&gt;"",K2514&lt;&gt;""),J2514*K2514,"")</f>
        <v/>
      </c>
      <c r="M2514" s="81" t="str">
        <f aca="false">IF(L2514&lt;&gt;"",L2514*1.1,"")</f>
        <v/>
      </c>
      <c r="N2514" s="53" t="n">
        <f aca="false">IF(F2514="S",L2514*0.02,0)</f>
        <v>0</v>
      </c>
      <c r="O2514" s="82" t="str">
        <f aca="false">IF(L2514&lt;&gt;"",L2514+N2514,"")</f>
        <v/>
      </c>
      <c r="P2514" s="53" t="str">
        <f aca="false">IF(O2514&lt;&gt;"",O2514*0.1,"")</f>
        <v/>
      </c>
      <c r="Q2514" s="83" t="str">
        <f aca="false">IF(O2514&lt;&gt;"",O2514+P2514,"")</f>
        <v/>
      </c>
      <c r="R2514" s="84"/>
    </row>
    <row r="2515" customFormat="false" ht="15" hidden="false" customHeight="true" outlineLevel="0" collapsed="false">
      <c r="A2515" s="103"/>
      <c r="B2515" s="85"/>
      <c r="C2515" s="86"/>
      <c r="D2515" s="87"/>
      <c r="E2515" s="46" t="str">
        <f aca="false">IF(D2515&lt;&gt;"",IFERROR(VLOOKUP(D2515,PROVEEDORES!$A:$B,2,0),"!COD NO ENCONTRADO"),"")</f>
        <v/>
      </c>
      <c r="F2515" s="88" t="str">
        <f aca="false">IF(D2515&lt;&gt;"",IFERROR(VLOOKUP(D2515,PROVEEDORES!$A:$C,3,0),""),"")</f>
        <v/>
      </c>
      <c r="G2515" s="87"/>
      <c r="H2515" s="46" t="str">
        <f aca="false">IF(G2515&lt;&gt;"",IFERROR(VLOOKUP(G2515,PRODUCTOS!$A:$B,2,0),"!COD NO ENCONTRADO"),"")</f>
        <v/>
      </c>
      <c r="I2515" s="89"/>
      <c r="J2515" s="90"/>
      <c r="K2515" s="91"/>
      <c r="L2515" s="80" t="str">
        <f aca="false">IF(AND(J2515&lt;&gt;"",K2515&lt;&gt;""),J2515*K2515,"")</f>
        <v/>
      </c>
      <c r="M2515" s="81" t="str">
        <f aca="false">IF(L2515&lt;&gt;"",L2515*1.1,"")</f>
        <v/>
      </c>
      <c r="N2515" s="47" t="n">
        <f aca="false">IF(F2515="S",L2515*0.02,0)</f>
        <v>0</v>
      </c>
      <c r="O2515" s="82" t="str">
        <f aca="false">IF(L2515&lt;&gt;"",L2515+N2515,"")</f>
        <v/>
      </c>
      <c r="P2515" s="47" t="str">
        <f aca="false">IF(O2515&lt;&gt;"",O2515*0.1,"")</f>
        <v/>
      </c>
      <c r="Q2515" s="83" t="str">
        <f aca="false">IF(O2515&lt;&gt;"",O2515+P2515,"")</f>
        <v/>
      </c>
      <c r="R2515" s="84"/>
    </row>
    <row r="2516" customFormat="false" ht="15" hidden="false" customHeight="true" outlineLevel="0" collapsed="false">
      <c r="A2516" s="103"/>
      <c r="B2516" s="73"/>
      <c r="C2516" s="74"/>
      <c r="D2516" s="75"/>
      <c r="E2516" s="52" t="str">
        <f aca="false">IF(D2516&lt;&gt;"",IFERROR(VLOOKUP(D2516,PROVEEDORES!$A:$B,2,0),"!COD NO ENCONTRADO"),"")</f>
        <v/>
      </c>
      <c r="F2516" s="76" t="str">
        <f aca="false">IF(D2516&lt;&gt;"",IFERROR(VLOOKUP(D2516,PROVEEDORES!$A:$C,3,0),""),"")</f>
        <v/>
      </c>
      <c r="G2516" s="75"/>
      <c r="H2516" s="52" t="str">
        <f aca="false">IF(G2516&lt;&gt;"",IFERROR(VLOOKUP(G2516,PRODUCTOS!$A:$B,2,0),"!COD NO ENCONTRADO"),"")</f>
        <v/>
      </c>
      <c r="I2516" s="77"/>
      <c r="J2516" s="78"/>
      <c r="K2516" s="79"/>
      <c r="L2516" s="80" t="str">
        <f aca="false">IF(AND(J2516&lt;&gt;"",K2516&lt;&gt;""),J2516*K2516,"")</f>
        <v/>
      </c>
      <c r="M2516" s="81" t="str">
        <f aca="false">IF(L2516&lt;&gt;"",L2516*1.1,"")</f>
        <v/>
      </c>
      <c r="N2516" s="53" t="n">
        <f aca="false">IF(F2516="S",L2516*0.02,0)</f>
        <v>0</v>
      </c>
      <c r="O2516" s="82" t="str">
        <f aca="false">IF(L2516&lt;&gt;"",L2516+N2516,"")</f>
        <v/>
      </c>
      <c r="P2516" s="53" t="str">
        <f aca="false">IF(O2516&lt;&gt;"",O2516*0.1,"")</f>
        <v/>
      </c>
      <c r="Q2516" s="83" t="str">
        <f aca="false">IF(O2516&lt;&gt;"",O2516+P2516,"")</f>
        <v/>
      </c>
      <c r="R2516" s="84"/>
    </row>
    <row r="2517" customFormat="false" ht="15" hidden="false" customHeight="true" outlineLevel="0" collapsed="false">
      <c r="A2517" s="103"/>
      <c r="B2517" s="85"/>
      <c r="C2517" s="86"/>
      <c r="D2517" s="87"/>
      <c r="E2517" s="46" t="str">
        <f aca="false">IF(D2517&lt;&gt;"",IFERROR(VLOOKUP(D2517,PROVEEDORES!$A:$B,2,0),"!COD NO ENCONTRADO"),"")</f>
        <v/>
      </c>
      <c r="F2517" s="88" t="str">
        <f aca="false">IF(D2517&lt;&gt;"",IFERROR(VLOOKUP(D2517,PROVEEDORES!$A:$C,3,0),""),"")</f>
        <v/>
      </c>
      <c r="G2517" s="87"/>
      <c r="H2517" s="46" t="str">
        <f aca="false">IF(G2517&lt;&gt;"",IFERROR(VLOOKUP(G2517,PRODUCTOS!$A:$B,2,0),"!COD NO ENCONTRADO"),"")</f>
        <v/>
      </c>
      <c r="I2517" s="89"/>
      <c r="J2517" s="90"/>
      <c r="K2517" s="91"/>
      <c r="L2517" s="80" t="str">
        <f aca="false">IF(AND(J2517&lt;&gt;"",K2517&lt;&gt;""),J2517*K2517,"")</f>
        <v/>
      </c>
      <c r="M2517" s="81" t="str">
        <f aca="false">IF(L2517&lt;&gt;"",L2517*1.1,"")</f>
        <v/>
      </c>
      <c r="N2517" s="47" t="n">
        <f aca="false">IF(F2517="S",L2517*0.02,0)</f>
        <v>0</v>
      </c>
      <c r="O2517" s="82" t="str">
        <f aca="false">IF(L2517&lt;&gt;"",L2517+N2517,"")</f>
        <v/>
      </c>
      <c r="P2517" s="47" t="str">
        <f aca="false">IF(O2517&lt;&gt;"",O2517*0.1,"")</f>
        <v/>
      </c>
      <c r="Q2517" s="83" t="str">
        <f aca="false">IF(O2517&lt;&gt;"",O2517+P2517,"")</f>
        <v/>
      </c>
      <c r="R2517" s="84"/>
    </row>
    <row r="2518" customFormat="false" ht="15" hidden="false" customHeight="true" outlineLevel="0" collapsed="false">
      <c r="A2518" s="103"/>
      <c r="B2518" s="73"/>
      <c r="C2518" s="74"/>
      <c r="D2518" s="75"/>
      <c r="E2518" s="52" t="str">
        <f aca="false">IF(D2518&lt;&gt;"",IFERROR(VLOOKUP(D2518,PROVEEDORES!$A:$B,2,0),"!COD NO ENCONTRADO"),"")</f>
        <v/>
      </c>
      <c r="F2518" s="76" t="str">
        <f aca="false">IF(D2518&lt;&gt;"",IFERROR(VLOOKUP(D2518,PROVEEDORES!$A:$C,3,0),""),"")</f>
        <v/>
      </c>
      <c r="G2518" s="75"/>
      <c r="H2518" s="52" t="str">
        <f aca="false">IF(G2518&lt;&gt;"",IFERROR(VLOOKUP(G2518,PRODUCTOS!$A:$B,2,0),"!COD NO ENCONTRADO"),"")</f>
        <v/>
      </c>
      <c r="I2518" s="77"/>
      <c r="J2518" s="78"/>
      <c r="K2518" s="79"/>
      <c r="L2518" s="80" t="str">
        <f aca="false">IF(AND(J2518&lt;&gt;"",K2518&lt;&gt;""),J2518*K2518,"")</f>
        <v/>
      </c>
      <c r="M2518" s="81" t="str">
        <f aca="false">IF(L2518&lt;&gt;"",L2518*1.1,"")</f>
        <v/>
      </c>
      <c r="N2518" s="53" t="n">
        <f aca="false">IF(F2518="S",L2518*0.02,0)</f>
        <v>0</v>
      </c>
      <c r="O2518" s="82" t="str">
        <f aca="false">IF(L2518&lt;&gt;"",L2518+N2518,"")</f>
        <v/>
      </c>
      <c r="P2518" s="53" t="str">
        <f aca="false">IF(O2518&lt;&gt;"",O2518*0.1,"")</f>
        <v/>
      </c>
      <c r="Q2518" s="83" t="str">
        <f aca="false">IF(O2518&lt;&gt;"",O2518+P2518,"")</f>
        <v/>
      </c>
      <c r="R2518" s="84"/>
    </row>
    <row r="2519" customFormat="false" ht="15" hidden="false" customHeight="true" outlineLevel="0" collapsed="false">
      <c r="A2519" s="103"/>
      <c r="B2519" s="85"/>
      <c r="C2519" s="86"/>
      <c r="D2519" s="87"/>
      <c r="E2519" s="46" t="str">
        <f aca="false">IF(D2519&lt;&gt;"",IFERROR(VLOOKUP(D2519,PROVEEDORES!$A:$B,2,0),"!COD NO ENCONTRADO"),"")</f>
        <v/>
      </c>
      <c r="F2519" s="88" t="str">
        <f aca="false">IF(D2519&lt;&gt;"",IFERROR(VLOOKUP(D2519,PROVEEDORES!$A:$C,3,0),""),"")</f>
        <v/>
      </c>
      <c r="G2519" s="87"/>
      <c r="H2519" s="46" t="str">
        <f aca="false">IF(G2519&lt;&gt;"",IFERROR(VLOOKUP(G2519,PRODUCTOS!$A:$B,2,0),"!COD NO ENCONTRADO"),"")</f>
        <v/>
      </c>
      <c r="I2519" s="89"/>
      <c r="J2519" s="90"/>
      <c r="K2519" s="91"/>
      <c r="L2519" s="80" t="str">
        <f aca="false">IF(AND(J2519&lt;&gt;"",K2519&lt;&gt;""),J2519*K2519,"")</f>
        <v/>
      </c>
      <c r="M2519" s="81" t="str">
        <f aca="false">IF(L2519&lt;&gt;"",L2519*1.1,"")</f>
        <v/>
      </c>
      <c r="N2519" s="47" t="n">
        <f aca="false">IF(F2519="S",L2519*0.02,0)</f>
        <v>0</v>
      </c>
      <c r="O2519" s="82" t="str">
        <f aca="false">IF(L2519&lt;&gt;"",L2519+N2519,"")</f>
        <v/>
      </c>
      <c r="P2519" s="47" t="str">
        <f aca="false">IF(O2519&lt;&gt;"",O2519*0.1,"")</f>
        <v/>
      </c>
      <c r="Q2519" s="83" t="str">
        <f aca="false">IF(O2519&lt;&gt;"",O2519+P2519,"")</f>
        <v/>
      </c>
      <c r="R2519" s="84"/>
    </row>
    <row r="2520" customFormat="false" ht="15" hidden="false" customHeight="true" outlineLevel="0" collapsed="false">
      <c r="A2520" s="103"/>
      <c r="B2520" s="73"/>
      <c r="C2520" s="74"/>
      <c r="D2520" s="75"/>
      <c r="E2520" s="52" t="str">
        <f aca="false">IF(D2520&lt;&gt;"",IFERROR(VLOOKUP(D2520,PROVEEDORES!$A:$B,2,0),"!COD NO ENCONTRADO"),"")</f>
        <v/>
      </c>
      <c r="F2520" s="76" t="str">
        <f aca="false">IF(D2520&lt;&gt;"",IFERROR(VLOOKUP(D2520,PROVEEDORES!$A:$C,3,0),""),"")</f>
        <v/>
      </c>
      <c r="G2520" s="75"/>
      <c r="H2520" s="52" t="str">
        <f aca="false">IF(G2520&lt;&gt;"",IFERROR(VLOOKUP(G2520,PRODUCTOS!$A:$B,2,0),"!COD NO ENCONTRADO"),"")</f>
        <v/>
      </c>
      <c r="I2520" s="77"/>
      <c r="J2520" s="78"/>
      <c r="K2520" s="79"/>
      <c r="L2520" s="80" t="str">
        <f aca="false">IF(AND(J2520&lt;&gt;"",K2520&lt;&gt;""),J2520*K2520,"")</f>
        <v/>
      </c>
      <c r="M2520" s="81" t="str">
        <f aca="false">IF(L2520&lt;&gt;"",L2520*1.1,"")</f>
        <v/>
      </c>
      <c r="N2520" s="53" t="n">
        <f aca="false">IF(F2520="S",L2520*0.02,0)</f>
        <v>0</v>
      </c>
      <c r="O2520" s="82" t="str">
        <f aca="false">IF(L2520&lt;&gt;"",L2520+N2520,"")</f>
        <v/>
      </c>
      <c r="P2520" s="53" t="str">
        <f aca="false">IF(O2520&lt;&gt;"",O2520*0.1,"")</f>
        <v/>
      </c>
      <c r="Q2520" s="83" t="str">
        <f aca="false">IF(O2520&lt;&gt;"",O2520+P2520,"")</f>
        <v/>
      </c>
      <c r="R2520" s="84"/>
    </row>
    <row r="2521" customFormat="false" ht="15" hidden="false" customHeight="true" outlineLevel="0" collapsed="false">
      <c r="A2521" s="103"/>
      <c r="B2521" s="85"/>
      <c r="C2521" s="86"/>
      <c r="D2521" s="87"/>
      <c r="E2521" s="46" t="str">
        <f aca="false">IF(D2521&lt;&gt;"",IFERROR(VLOOKUP(D2521,PROVEEDORES!$A:$B,2,0),"!COD NO ENCONTRADO"),"")</f>
        <v/>
      </c>
      <c r="F2521" s="88" t="str">
        <f aca="false">IF(D2521&lt;&gt;"",IFERROR(VLOOKUP(D2521,PROVEEDORES!$A:$C,3,0),""),"")</f>
        <v/>
      </c>
      <c r="G2521" s="87"/>
      <c r="H2521" s="46" t="str">
        <f aca="false">IF(G2521&lt;&gt;"",IFERROR(VLOOKUP(G2521,PRODUCTOS!$A:$B,2,0),"!COD NO ENCONTRADO"),"")</f>
        <v/>
      </c>
      <c r="I2521" s="89"/>
      <c r="J2521" s="90"/>
      <c r="K2521" s="91"/>
      <c r="L2521" s="80" t="str">
        <f aca="false">IF(AND(J2521&lt;&gt;"",K2521&lt;&gt;""),J2521*K2521,"")</f>
        <v/>
      </c>
      <c r="M2521" s="81" t="str">
        <f aca="false">IF(L2521&lt;&gt;"",L2521*1.1,"")</f>
        <v/>
      </c>
      <c r="N2521" s="47" t="n">
        <f aca="false">IF(F2521="S",L2521*0.02,0)</f>
        <v>0</v>
      </c>
      <c r="O2521" s="82" t="str">
        <f aca="false">IF(L2521&lt;&gt;"",L2521+N2521,"")</f>
        <v/>
      </c>
      <c r="P2521" s="47" t="str">
        <f aca="false">IF(O2521&lt;&gt;"",O2521*0.1,"")</f>
        <v/>
      </c>
      <c r="Q2521" s="83" t="str">
        <f aca="false">IF(O2521&lt;&gt;"",O2521+P2521,"")</f>
        <v/>
      </c>
      <c r="R2521" s="84"/>
    </row>
    <row r="2522" customFormat="false" ht="15" hidden="false" customHeight="true" outlineLevel="0" collapsed="false">
      <c r="A2522" s="103"/>
      <c r="B2522" s="73"/>
      <c r="C2522" s="74"/>
      <c r="D2522" s="75"/>
      <c r="E2522" s="52" t="str">
        <f aca="false">IF(D2522&lt;&gt;"",IFERROR(VLOOKUP(D2522,PROVEEDORES!$A:$B,2,0),"!COD NO ENCONTRADO"),"")</f>
        <v/>
      </c>
      <c r="F2522" s="76" t="str">
        <f aca="false">IF(D2522&lt;&gt;"",IFERROR(VLOOKUP(D2522,PROVEEDORES!$A:$C,3,0),""),"")</f>
        <v/>
      </c>
      <c r="G2522" s="75"/>
      <c r="H2522" s="52" t="str">
        <f aca="false">IF(G2522&lt;&gt;"",IFERROR(VLOOKUP(G2522,PRODUCTOS!$A:$B,2,0),"!COD NO ENCONTRADO"),"")</f>
        <v/>
      </c>
      <c r="I2522" s="77"/>
      <c r="J2522" s="78"/>
      <c r="K2522" s="79"/>
      <c r="L2522" s="80" t="str">
        <f aca="false">IF(AND(J2522&lt;&gt;"",K2522&lt;&gt;""),J2522*K2522,"")</f>
        <v/>
      </c>
      <c r="M2522" s="81" t="str">
        <f aca="false">IF(L2522&lt;&gt;"",L2522*1.1,"")</f>
        <v/>
      </c>
      <c r="N2522" s="53" t="n">
        <f aca="false">IF(F2522="S",L2522*0.02,0)</f>
        <v>0</v>
      </c>
      <c r="O2522" s="82" t="str">
        <f aca="false">IF(L2522&lt;&gt;"",L2522+N2522,"")</f>
        <v/>
      </c>
      <c r="P2522" s="53" t="str">
        <f aca="false">IF(O2522&lt;&gt;"",O2522*0.1,"")</f>
        <v/>
      </c>
      <c r="Q2522" s="83" t="str">
        <f aca="false">IF(O2522&lt;&gt;"",O2522+P2522,"")</f>
        <v/>
      </c>
      <c r="R2522" s="84"/>
    </row>
    <row r="2523" customFormat="false" ht="15" hidden="false" customHeight="true" outlineLevel="0" collapsed="false">
      <c r="A2523" s="103"/>
      <c r="B2523" s="85"/>
      <c r="C2523" s="86"/>
      <c r="D2523" s="87"/>
      <c r="E2523" s="46" t="str">
        <f aca="false">IF(D2523&lt;&gt;"",IFERROR(VLOOKUP(D2523,PROVEEDORES!$A:$B,2,0),"!COD NO ENCONTRADO"),"")</f>
        <v/>
      </c>
      <c r="F2523" s="88" t="str">
        <f aca="false">IF(D2523&lt;&gt;"",IFERROR(VLOOKUP(D2523,PROVEEDORES!$A:$C,3,0),""),"")</f>
        <v/>
      </c>
      <c r="G2523" s="87"/>
      <c r="H2523" s="46" t="str">
        <f aca="false">IF(G2523&lt;&gt;"",IFERROR(VLOOKUP(G2523,PRODUCTOS!$A:$B,2,0),"!COD NO ENCONTRADO"),"")</f>
        <v/>
      </c>
      <c r="I2523" s="89"/>
      <c r="J2523" s="90"/>
      <c r="K2523" s="91"/>
      <c r="L2523" s="80" t="str">
        <f aca="false">IF(AND(J2523&lt;&gt;"",K2523&lt;&gt;""),J2523*K2523,"")</f>
        <v/>
      </c>
      <c r="M2523" s="81" t="str">
        <f aca="false">IF(L2523&lt;&gt;"",L2523*1.1,"")</f>
        <v/>
      </c>
      <c r="N2523" s="47" t="n">
        <f aca="false">IF(F2523="S",L2523*0.02,0)</f>
        <v>0</v>
      </c>
      <c r="O2523" s="82" t="str">
        <f aca="false">IF(L2523&lt;&gt;"",L2523+N2523,"")</f>
        <v/>
      </c>
      <c r="P2523" s="47" t="str">
        <f aca="false">IF(O2523&lt;&gt;"",O2523*0.1,"")</f>
        <v/>
      </c>
      <c r="Q2523" s="83" t="str">
        <f aca="false">IF(O2523&lt;&gt;"",O2523+P2523,"")</f>
        <v/>
      </c>
      <c r="R2523" s="84"/>
    </row>
    <row r="2524" customFormat="false" ht="15" hidden="false" customHeight="true" outlineLevel="0" collapsed="false">
      <c r="A2524" s="103"/>
      <c r="B2524" s="73"/>
      <c r="C2524" s="74"/>
      <c r="D2524" s="75"/>
      <c r="E2524" s="52" t="str">
        <f aca="false">IF(D2524&lt;&gt;"",IFERROR(VLOOKUP(D2524,PROVEEDORES!$A:$B,2,0),"!COD NO ENCONTRADO"),"")</f>
        <v/>
      </c>
      <c r="F2524" s="76" t="str">
        <f aca="false">IF(D2524&lt;&gt;"",IFERROR(VLOOKUP(D2524,PROVEEDORES!$A:$C,3,0),""),"")</f>
        <v/>
      </c>
      <c r="G2524" s="75"/>
      <c r="H2524" s="52" t="str">
        <f aca="false">IF(G2524&lt;&gt;"",IFERROR(VLOOKUP(G2524,PRODUCTOS!$A:$B,2,0),"!COD NO ENCONTRADO"),"")</f>
        <v/>
      </c>
      <c r="I2524" s="77"/>
      <c r="J2524" s="78"/>
      <c r="K2524" s="79"/>
      <c r="L2524" s="80" t="str">
        <f aca="false">IF(AND(J2524&lt;&gt;"",K2524&lt;&gt;""),J2524*K2524,"")</f>
        <v/>
      </c>
      <c r="M2524" s="81" t="str">
        <f aca="false">IF(L2524&lt;&gt;"",L2524*1.1,"")</f>
        <v/>
      </c>
      <c r="N2524" s="53" t="n">
        <f aca="false">IF(F2524="S",L2524*0.02,0)</f>
        <v>0</v>
      </c>
      <c r="O2524" s="82" t="str">
        <f aca="false">IF(L2524&lt;&gt;"",L2524+N2524,"")</f>
        <v/>
      </c>
      <c r="P2524" s="53" t="str">
        <f aca="false">IF(O2524&lt;&gt;"",O2524*0.1,"")</f>
        <v/>
      </c>
      <c r="Q2524" s="83" t="str">
        <f aca="false">IF(O2524&lt;&gt;"",O2524+P2524,"")</f>
        <v/>
      </c>
      <c r="R2524" s="84"/>
    </row>
    <row r="2525" customFormat="false" ht="15" hidden="false" customHeight="true" outlineLevel="0" collapsed="false">
      <c r="A2525" s="103"/>
      <c r="B2525" s="85"/>
      <c r="C2525" s="86"/>
      <c r="D2525" s="87"/>
      <c r="E2525" s="46" t="str">
        <f aca="false">IF(D2525&lt;&gt;"",IFERROR(VLOOKUP(D2525,PROVEEDORES!$A:$B,2,0),"!COD NO ENCONTRADO"),"")</f>
        <v/>
      </c>
      <c r="F2525" s="88" t="str">
        <f aca="false">IF(D2525&lt;&gt;"",IFERROR(VLOOKUP(D2525,PROVEEDORES!$A:$C,3,0),""),"")</f>
        <v/>
      </c>
      <c r="G2525" s="87"/>
      <c r="H2525" s="46" t="str">
        <f aca="false">IF(G2525&lt;&gt;"",IFERROR(VLOOKUP(G2525,PRODUCTOS!$A:$B,2,0),"!COD NO ENCONTRADO"),"")</f>
        <v/>
      </c>
      <c r="I2525" s="89"/>
      <c r="J2525" s="90"/>
      <c r="K2525" s="91"/>
      <c r="L2525" s="80" t="str">
        <f aca="false">IF(AND(J2525&lt;&gt;"",K2525&lt;&gt;""),J2525*K2525,"")</f>
        <v/>
      </c>
      <c r="M2525" s="81" t="str">
        <f aca="false">IF(L2525&lt;&gt;"",L2525*1.1,"")</f>
        <v/>
      </c>
      <c r="N2525" s="47" t="n">
        <f aca="false">IF(F2525="S",L2525*0.02,0)</f>
        <v>0</v>
      </c>
      <c r="O2525" s="82" t="str">
        <f aca="false">IF(L2525&lt;&gt;"",L2525+N2525,"")</f>
        <v/>
      </c>
      <c r="P2525" s="47" t="str">
        <f aca="false">IF(O2525&lt;&gt;"",O2525*0.1,"")</f>
        <v/>
      </c>
      <c r="Q2525" s="83" t="str">
        <f aca="false">IF(O2525&lt;&gt;"",O2525+P2525,"")</f>
        <v/>
      </c>
      <c r="R2525" s="84"/>
    </row>
    <row r="2526" customFormat="false" ht="15" hidden="false" customHeight="true" outlineLevel="0" collapsed="false">
      <c r="A2526" s="103"/>
      <c r="B2526" s="73"/>
      <c r="C2526" s="74"/>
      <c r="D2526" s="75"/>
      <c r="E2526" s="52" t="str">
        <f aca="false">IF(D2526&lt;&gt;"",IFERROR(VLOOKUP(D2526,PROVEEDORES!$A:$B,2,0),"!COD NO ENCONTRADO"),"")</f>
        <v/>
      </c>
      <c r="F2526" s="76" t="str">
        <f aca="false">IF(D2526&lt;&gt;"",IFERROR(VLOOKUP(D2526,PROVEEDORES!$A:$C,3,0),""),"")</f>
        <v/>
      </c>
      <c r="G2526" s="75"/>
      <c r="H2526" s="52" t="str">
        <f aca="false">IF(G2526&lt;&gt;"",IFERROR(VLOOKUP(G2526,PRODUCTOS!$A:$B,2,0),"!COD NO ENCONTRADO"),"")</f>
        <v/>
      </c>
      <c r="I2526" s="77"/>
      <c r="J2526" s="78"/>
      <c r="K2526" s="79"/>
      <c r="L2526" s="80" t="str">
        <f aca="false">IF(AND(J2526&lt;&gt;"",K2526&lt;&gt;""),J2526*K2526,"")</f>
        <v/>
      </c>
      <c r="M2526" s="81" t="str">
        <f aca="false">IF(L2526&lt;&gt;"",L2526*1.1,"")</f>
        <v/>
      </c>
      <c r="N2526" s="53" t="n">
        <f aca="false">IF(F2526="S",L2526*0.02,0)</f>
        <v>0</v>
      </c>
      <c r="O2526" s="82" t="str">
        <f aca="false">IF(L2526&lt;&gt;"",L2526+N2526,"")</f>
        <v/>
      </c>
      <c r="P2526" s="53" t="str">
        <f aca="false">IF(O2526&lt;&gt;"",O2526*0.1,"")</f>
        <v/>
      </c>
      <c r="Q2526" s="83" t="str">
        <f aca="false">IF(O2526&lt;&gt;"",O2526+P2526,"")</f>
        <v/>
      </c>
      <c r="R2526" s="84"/>
    </row>
    <row r="2527" customFormat="false" ht="15" hidden="false" customHeight="true" outlineLevel="0" collapsed="false">
      <c r="A2527" s="103"/>
      <c r="B2527" s="85"/>
      <c r="C2527" s="86"/>
      <c r="D2527" s="87"/>
      <c r="E2527" s="46" t="str">
        <f aca="false">IF(D2527&lt;&gt;"",IFERROR(VLOOKUP(D2527,PROVEEDORES!$A:$B,2,0),"!COD NO ENCONTRADO"),"")</f>
        <v/>
      </c>
      <c r="F2527" s="88" t="str">
        <f aca="false">IF(D2527&lt;&gt;"",IFERROR(VLOOKUP(D2527,PROVEEDORES!$A:$C,3,0),""),"")</f>
        <v/>
      </c>
      <c r="G2527" s="87"/>
      <c r="H2527" s="46" t="str">
        <f aca="false">IF(G2527&lt;&gt;"",IFERROR(VLOOKUP(G2527,PRODUCTOS!$A:$B,2,0),"!COD NO ENCONTRADO"),"")</f>
        <v/>
      </c>
      <c r="I2527" s="89"/>
      <c r="J2527" s="90"/>
      <c r="K2527" s="91"/>
      <c r="L2527" s="80" t="str">
        <f aca="false">IF(AND(J2527&lt;&gt;"",K2527&lt;&gt;""),J2527*K2527,"")</f>
        <v/>
      </c>
      <c r="M2527" s="81" t="str">
        <f aca="false">IF(L2527&lt;&gt;"",L2527*1.1,"")</f>
        <v/>
      </c>
      <c r="N2527" s="47" t="n">
        <f aca="false">IF(F2527="S",L2527*0.02,0)</f>
        <v>0</v>
      </c>
      <c r="O2527" s="82" t="str">
        <f aca="false">IF(L2527&lt;&gt;"",L2527+N2527,"")</f>
        <v/>
      </c>
      <c r="P2527" s="47" t="str">
        <f aca="false">IF(O2527&lt;&gt;"",O2527*0.1,"")</f>
        <v/>
      </c>
      <c r="Q2527" s="83" t="str">
        <f aca="false">IF(O2527&lt;&gt;"",O2527+P2527,"")</f>
        <v/>
      </c>
      <c r="R2527" s="84"/>
    </row>
    <row r="2528" customFormat="false" ht="15" hidden="false" customHeight="true" outlineLevel="0" collapsed="false">
      <c r="A2528" s="103"/>
      <c r="B2528" s="73"/>
      <c r="C2528" s="74"/>
      <c r="D2528" s="75"/>
      <c r="E2528" s="52" t="str">
        <f aca="false">IF(D2528&lt;&gt;"",IFERROR(VLOOKUP(D2528,PROVEEDORES!$A:$B,2,0),"!COD NO ENCONTRADO"),"")</f>
        <v/>
      </c>
      <c r="F2528" s="76" t="str">
        <f aca="false">IF(D2528&lt;&gt;"",IFERROR(VLOOKUP(D2528,PROVEEDORES!$A:$C,3,0),""),"")</f>
        <v/>
      </c>
      <c r="G2528" s="75"/>
      <c r="H2528" s="52" t="str">
        <f aca="false">IF(G2528&lt;&gt;"",IFERROR(VLOOKUP(G2528,PRODUCTOS!$A:$B,2,0),"!COD NO ENCONTRADO"),"")</f>
        <v/>
      </c>
      <c r="I2528" s="77"/>
      <c r="J2528" s="78"/>
      <c r="K2528" s="79"/>
      <c r="L2528" s="80" t="str">
        <f aca="false">IF(AND(J2528&lt;&gt;"",K2528&lt;&gt;""),J2528*K2528,"")</f>
        <v/>
      </c>
      <c r="M2528" s="81" t="str">
        <f aca="false">IF(L2528&lt;&gt;"",L2528*1.1,"")</f>
        <v/>
      </c>
      <c r="N2528" s="53" t="n">
        <f aca="false">IF(F2528="S",L2528*0.02,0)</f>
        <v>0</v>
      </c>
      <c r="O2528" s="82" t="str">
        <f aca="false">IF(L2528&lt;&gt;"",L2528+N2528,"")</f>
        <v/>
      </c>
      <c r="P2528" s="53" t="str">
        <f aca="false">IF(O2528&lt;&gt;"",O2528*0.1,"")</f>
        <v/>
      </c>
      <c r="Q2528" s="83" t="str">
        <f aca="false">IF(O2528&lt;&gt;"",O2528+P2528,"")</f>
        <v/>
      </c>
      <c r="R2528" s="84"/>
    </row>
    <row r="2529" customFormat="false" ht="15" hidden="false" customHeight="true" outlineLevel="0" collapsed="false">
      <c r="A2529" s="103"/>
      <c r="B2529" s="85"/>
      <c r="C2529" s="86"/>
      <c r="D2529" s="87"/>
      <c r="E2529" s="46" t="str">
        <f aca="false">IF(D2529&lt;&gt;"",IFERROR(VLOOKUP(D2529,PROVEEDORES!$A:$B,2,0),"!COD NO ENCONTRADO"),"")</f>
        <v/>
      </c>
      <c r="F2529" s="88" t="str">
        <f aca="false">IF(D2529&lt;&gt;"",IFERROR(VLOOKUP(D2529,PROVEEDORES!$A:$C,3,0),""),"")</f>
        <v/>
      </c>
      <c r="G2529" s="87"/>
      <c r="H2529" s="46" t="str">
        <f aca="false">IF(G2529&lt;&gt;"",IFERROR(VLOOKUP(G2529,PRODUCTOS!$A:$B,2,0),"!COD NO ENCONTRADO"),"")</f>
        <v/>
      </c>
      <c r="I2529" s="89"/>
      <c r="J2529" s="90"/>
      <c r="K2529" s="91"/>
      <c r="L2529" s="80" t="str">
        <f aca="false">IF(AND(J2529&lt;&gt;"",K2529&lt;&gt;""),J2529*K2529,"")</f>
        <v/>
      </c>
      <c r="M2529" s="81" t="str">
        <f aca="false">IF(L2529&lt;&gt;"",L2529*1.1,"")</f>
        <v/>
      </c>
      <c r="N2529" s="47" t="n">
        <f aca="false">IF(F2529="S",L2529*0.02,0)</f>
        <v>0</v>
      </c>
      <c r="O2529" s="82" t="str">
        <f aca="false">IF(L2529&lt;&gt;"",L2529+N2529,"")</f>
        <v/>
      </c>
      <c r="P2529" s="47" t="str">
        <f aca="false">IF(O2529&lt;&gt;"",O2529*0.1,"")</f>
        <v/>
      </c>
      <c r="Q2529" s="83" t="str">
        <f aca="false">IF(O2529&lt;&gt;"",O2529+P2529,"")</f>
        <v/>
      </c>
      <c r="R2529" s="84"/>
    </row>
    <row r="2530" customFormat="false" ht="15" hidden="false" customHeight="true" outlineLevel="0" collapsed="false">
      <c r="A2530" s="103"/>
      <c r="B2530" s="73"/>
      <c r="C2530" s="74"/>
      <c r="D2530" s="75"/>
      <c r="E2530" s="52" t="str">
        <f aca="false">IF(D2530&lt;&gt;"",IFERROR(VLOOKUP(D2530,PROVEEDORES!$A:$B,2,0),"!COD NO ENCONTRADO"),"")</f>
        <v/>
      </c>
      <c r="F2530" s="76" t="str">
        <f aca="false">IF(D2530&lt;&gt;"",IFERROR(VLOOKUP(D2530,PROVEEDORES!$A:$C,3,0),""),"")</f>
        <v/>
      </c>
      <c r="G2530" s="75"/>
      <c r="H2530" s="52" t="str">
        <f aca="false">IF(G2530&lt;&gt;"",IFERROR(VLOOKUP(G2530,PRODUCTOS!$A:$B,2,0),"!COD NO ENCONTRADO"),"")</f>
        <v/>
      </c>
      <c r="I2530" s="77"/>
      <c r="J2530" s="78"/>
      <c r="K2530" s="79"/>
      <c r="L2530" s="80" t="str">
        <f aca="false">IF(AND(J2530&lt;&gt;"",K2530&lt;&gt;""),J2530*K2530,"")</f>
        <v/>
      </c>
      <c r="M2530" s="81" t="str">
        <f aca="false">IF(L2530&lt;&gt;"",L2530*1.1,"")</f>
        <v/>
      </c>
      <c r="N2530" s="53" t="n">
        <f aca="false">IF(F2530="S",L2530*0.02,0)</f>
        <v>0</v>
      </c>
      <c r="O2530" s="82" t="str">
        <f aca="false">IF(L2530&lt;&gt;"",L2530+N2530,"")</f>
        <v/>
      </c>
      <c r="P2530" s="53" t="str">
        <f aca="false">IF(O2530&lt;&gt;"",O2530*0.1,"")</f>
        <v/>
      </c>
      <c r="Q2530" s="83" t="str">
        <f aca="false">IF(O2530&lt;&gt;"",O2530+P2530,"")</f>
        <v/>
      </c>
      <c r="R2530" s="84"/>
    </row>
    <row r="2531" customFormat="false" ht="15" hidden="false" customHeight="true" outlineLevel="0" collapsed="false">
      <c r="A2531" s="103"/>
      <c r="B2531" s="85"/>
      <c r="C2531" s="86"/>
      <c r="D2531" s="87"/>
      <c r="E2531" s="46" t="str">
        <f aca="false">IF(D2531&lt;&gt;"",IFERROR(VLOOKUP(D2531,PROVEEDORES!$A:$B,2,0),"!COD NO ENCONTRADO"),"")</f>
        <v/>
      </c>
      <c r="F2531" s="88" t="str">
        <f aca="false">IF(D2531&lt;&gt;"",IFERROR(VLOOKUP(D2531,PROVEEDORES!$A:$C,3,0),""),"")</f>
        <v/>
      </c>
      <c r="G2531" s="87"/>
      <c r="H2531" s="46" t="str">
        <f aca="false">IF(G2531&lt;&gt;"",IFERROR(VLOOKUP(G2531,PRODUCTOS!$A:$B,2,0),"!COD NO ENCONTRADO"),"")</f>
        <v/>
      </c>
      <c r="I2531" s="89"/>
      <c r="J2531" s="90"/>
      <c r="K2531" s="91"/>
      <c r="L2531" s="80" t="str">
        <f aca="false">IF(AND(J2531&lt;&gt;"",K2531&lt;&gt;""),J2531*K2531,"")</f>
        <v/>
      </c>
      <c r="M2531" s="81" t="str">
        <f aca="false">IF(L2531&lt;&gt;"",L2531*1.1,"")</f>
        <v/>
      </c>
      <c r="N2531" s="47" t="n">
        <f aca="false">IF(F2531="S",L2531*0.02,0)</f>
        <v>0</v>
      </c>
      <c r="O2531" s="82" t="str">
        <f aca="false">IF(L2531&lt;&gt;"",L2531+N2531,"")</f>
        <v/>
      </c>
      <c r="P2531" s="47" t="str">
        <f aca="false">IF(O2531&lt;&gt;"",O2531*0.1,"")</f>
        <v/>
      </c>
      <c r="Q2531" s="83" t="str">
        <f aca="false">IF(O2531&lt;&gt;"",O2531+P2531,"")</f>
        <v/>
      </c>
      <c r="R2531" s="84"/>
    </row>
    <row r="2532" customFormat="false" ht="15" hidden="false" customHeight="true" outlineLevel="0" collapsed="false">
      <c r="A2532" s="103"/>
      <c r="B2532" s="73"/>
      <c r="C2532" s="74"/>
      <c r="D2532" s="75"/>
      <c r="E2532" s="52" t="str">
        <f aca="false">IF(D2532&lt;&gt;"",IFERROR(VLOOKUP(D2532,PROVEEDORES!$A:$B,2,0),"!COD NO ENCONTRADO"),"")</f>
        <v/>
      </c>
      <c r="F2532" s="76" t="str">
        <f aca="false">IF(D2532&lt;&gt;"",IFERROR(VLOOKUP(D2532,PROVEEDORES!$A:$C,3,0),""),"")</f>
        <v/>
      </c>
      <c r="G2532" s="75"/>
      <c r="H2532" s="52" t="str">
        <f aca="false">IF(G2532&lt;&gt;"",IFERROR(VLOOKUP(G2532,PRODUCTOS!$A:$B,2,0),"!COD NO ENCONTRADO"),"")</f>
        <v/>
      </c>
      <c r="I2532" s="77"/>
      <c r="J2532" s="78"/>
      <c r="K2532" s="79"/>
      <c r="L2532" s="80" t="str">
        <f aca="false">IF(AND(J2532&lt;&gt;"",K2532&lt;&gt;""),J2532*K2532,"")</f>
        <v/>
      </c>
      <c r="M2532" s="81" t="str">
        <f aca="false">IF(L2532&lt;&gt;"",L2532*1.1,"")</f>
        <v/>
      </c>
      <c r="N2532" s="53" t="n">
        <f aca="false">IF(F2532="S",L2532*0.02,0)</f>
        <v>0</v>
      </c>
      <c r="O2532" s="82" t="str">
        <f aca="false">IF(L2532&lt;&gt;"",L2532+N2532,"")</f>
        <v/>
      </c>
      <c r="P2532" s="53" t="str">
        <f aca="false">IF(O2532&lt;&gt;"",O2532*0.1,"")</f>
        <v/>
      </c>
      <c r="Q2532" s="83" t="str">
        <f aca="false">IF(O2532&lt;&gt;"",O2532+P2532,"")</f>
        <v/>
      </c>
      <c r="R2532" s="84"/>
    </row>
    <row r="2533" customFormat="false" ht="15" hidden="false" customHeight="true" outlineLevel="0" collapsed="false">
      <c r="A2533" s="103"/>
      <c r="B2533" s="85"/>
      <c r="C2533" s="86"/>
      <c r="D2533" s="87"/>
      <c r="E2533" s="46" t="str">
        <f aca="false">IF(D2533&lt;&gt;"",IFERROR(VLOOKUP(D2533,PROVEEDORES!$A:$B,2,0),"!COD NO ENCONTRADO"),"")</f>
        <v/>
      </c>
      <c r="F2533" s="88" t="str">
        <f aca="false">IF(D2533&lt;&gt;"",IFERROR(VLOOKUP(D2533,PROVEEDORES!$A:$C,3,0),""),"")</f>
        <v/>
      </c>
      <c r="G2533" s="87"/>
      <c r="H2533" s="46" t="str">
        <f aca="false">IF(G2533&lt;&gt;"",IFERROR(VLOOKUP(G2533,PRODUCTOS!$A:$B,2,0),"!COD NO ENCONTRADO"),"")</f>
        <v/>
      </c>
      <c r="I2533" s="89"/>
      <c r="J2533" s="90"/>
      <c r="K2533" s="91"/>
      <c r="L2533" s="80" t="str">
        <f aca="false">IF(AND(J2533&lt;&gt;"",K2533&lt;&gt;""),J2533*K2533,"")</f>
        <v/>
      </c>
      <c r="M2533" s="81" t="str">
        <f aca="false">IF(L2533&lt;&gt;"",L2533*1.1,"")</f>
        <v/>
      </c>
      <c r="N2533" s="47" t="n">
        <f aca="false">IF(F2533="S",L2533*0.02,0)</f>
        <v>0</v>
      </c>
      <c r="O2533" s="82" t="str">
        <f aca="false">IF(L2533&lt;&gt;"",L2533+N2533,"")</f>
        <v/>
      </c>
      <c r="P2533" s="47" t="str">
        <f aca="false">IF(O2533&lt;&gt;"",O2533*0.1,"")</f>
        <v/>
      </c>
      <c r="Q2533" s="83" t="str">
        <f aca="false">IF(O2533&lt;&gt;"",O2533+P2533,"")</f>
        <v/>
      </c>
      <c r="R2533" s="84"/>
    </row>
    <row r="2534" customFormat="false" ht="15" hidden="false" customHeight="true" outlineLevel="0" collapsed="false">
      <c r="A2534" s="103"/>
      <c r="B2534" s="73"/>
      <c r="C2534" s="74"/>
      <c r="D2534" s="75"/>
      <c r="E2534" s="52" t="str">
        <f aca="false">IF(D2534&lt;&gt;"",IFERROR(VLOOKUP(D2534,PROVEEDORES!$A:$B,2,0),"!COD NO ENCONTRADO"),"")</f>
        <v/>
      </c>
      <c r="F2534" s="76" t="str">
        <f aca="false">IF(D2534&lt;&gt;"",IFERROR(VLOOKUP(D2534,PROVEEDORES!$A:$C,3,0),""),"")</f>
        <v/>
      </c>
      <c r="G2534" s="75"/>
      <c r="H2534" s="52" t="str">
        <f aca="false">IF(G2534&lt;&gt;"",IFERROR(VLOOKUP(G2534,PRODUCTOS!$A:$B,2,0),"!COD NO ENCONTRADO"),"")</f>
        <v/>
      </c>
      <c r="I2534" s="77"/>
      <c r="J2534" s="78"/>
      <c r="K2534" s="79"/>
      <c r="L2534" s="80" t="str">
        <f aca="false">IF(AND(J2534&lt;&gt;"",K2534&lt;&gt;""),J2534*K2534,"")</f>
        <v/>
      </c>
      <c r="M2534" s="81" t="str">
        <f aca="false">IF(L2534&lt;&gt;"",L2534*1.1,"")</f>
        <v/>
      </c>
      <c r="N2534" s="53" t="n">
        <f aca="false">IF(F2534="S",L2534*0.02,0)</f>
        <v>0</v>
      </c>
      <c r="O2534" s="82" t="str">
        <f aca="false">IF(L2534&lt;&gt;"",L2534+N2534,"")</f>
        <v/>
      </c>
      <c r="P2534" s="53" t="str">
        <f aca="false">IF(O2534&lt;&gt;"",O2534*0.1,"")</f>
        <v/>
      </c>
      <c r="Q2534" s="83" t="str">
        <f aca="false">IF(O2534&lt;&gt;"",O2534+P2534,"")</f>
        <v/>
      </c>
      <c r="R2534" s="84"/>
    </row>
    <row r="2535" customFormat="false" ht="15" hidden="false" customHeight="true" outlineLevel="0" collapsed="false">
      <c r="A2535" s="103"/>
      <c r="B2535" s="85"/>
      <c r="C2535" s="86"/>
      <c r="D2535" s="87"/>
      <c r="E2535" s="46" t="str">
        <f aca="false">IF(D2535&lt;&gt;"",IFERROR(VLOOKUP(D2535,PROVEEDORES!$A:$B,2,0),"!COD NO ENCONTRADO"),"")</f>
        <v/>
      </c>
      <c r="F2535" s="88" t="str">
        <f aca="false">IF(D2535&lt;&gt;"",IFERROR(VLOOKUP(D2535,PROVEEDORES!$A:$C,3,0),""),"")</f>
        <v/>
      </c>
      <c r="G2535" s="87"/>
      <c r="H2535" s="46" t="str">
        <f aca="false">IF(G2535&lt;&gt;"",IFERROR(VLOOKUP(G2535,PRODUCTOS!$A:$B,2,0),"!COD NO ENCONTRADO"),"")</f>
        <v/>
      </c>
      <c r="I2535" s="89"/>
      <c r="J2535" s="90"/>
      <c r="K2535" s="91"/>
      <c r="L2535" s="80" t="str">
        <f aca="false">IF(AND(J2535&lt;&gt;"",K2535&lt;&gt;""),J2535*K2535,"")</f>
        <v/>
      </c>
      <c r="M2535" s="81" t="str">
        <f aca="false">IF(L2535&lt;&gt;"",L2535*1.1,"")</f>
        <v/>
      </c>
      <c r="N2535" s="47" t="n">
        <f aca="false">IF(F2535="S",L2535*0.02,0)</f>
        <v>0</v>
      </c>
      <c r="O2535" s="82" t="str">
        <f aca="false">IF(L2535&lt;&gt;"",L2535+N2535,"")</f>
        <v/>
      </c>
      <c r="P2535" s="47" t="str">
        <f aca="false">IF(O2535&lt;&gt;"",O2535*0.1,"")</f>
        <v/>
      </c>
      <c r="Q2535" s="83" t="str">
        <f aca="false">IF(O2535&lt;&gt;"",O2535+P2535,"")</f>
        <v/>
      </c>
      <c r="R2535" s="84"/>
    </row>
    <row r="2536" customFormat="false" ht="15" hidden="false" customHeight="true" outlineLevel="0" collapsed="false">
      <c r="A2536" s="103"/>
      <c r="B2536" s="73"/>
      <c r="C2536" s="74"/>
      <c r="D2536" s="75"/>
      <c r="E2536" s="52" t="str">
        <f aca="false">IF(D2536&lt;&gt;"",IFERROR(VLOOKUP(D2536,PROVEEDORES!$A:$B,2,0),"!COD NO ENCONTRADO"),"")</f>
        <v/>
      </c>
      <c r="F2536" s="76" t="str">
        <f aca="false">IF(D2536&lt;&gt;"",IFERROR(VLOOKUP(D2536,PROVEEDORES!$A:$C,3,0),""),"")</f>
        <v/>
      </c>
      <c r="G2536" s="75"/>
      <c r="H2536" s="52" t="str">
        <f aca="false">IF(G2536&lt;&gt;"",IFERROR(VLOOKUP(G2536,PRODUCTOS!$A:$B,2,0),"!COD NO ENCONTRADO"),"")</f>
        <v/>
      </c>
      <c r="I2536" s="77"/>
      <c r="J2536" s="78"/>
      <c r="K2536" s="79"/>
      <c r="L2536" s="80" t="str">
        <f aca="false">IF(AND(J2536&lt;&gt;"",K2536&lt;&gt;""),J2536*K2536,"")</f>
        <v/>
      </c>
      <c r="M2536" s="81" t="str">
        <f aca="false">IF(L2536&lt;&gt;"",L2536*1.1,"")</f>
        <v/>
      </c>
      <c r="N2536" s="53" t="n">
        <f aca="false">IF(F2536="S",L2536*0.02,0)</f>
        <v>0</v>
      </c>
      <c r="O2536" s="82" t="str">
        <f aca="false">IF(L2536&lt;&gt;"",L2536+N2536,"")</f>
        <v/>
      </c>
      <c r="P2536" s="53" t="str">
        <f aca="false">IF(O2536&lt;&gt;"",O2536*0.1,"")</f>
        <v/>
      </c>
      <c r="Q2536" s="83" t="str">
        <f aca="false">IF(O2536&lt;&gt;"",O2536+P2536,"")</f>
        <v/>
      </c>
      <c r="R2536" s="84"/>
    </row>
    <row r="2537" customFormat="false" ht="15" hidden="false" customHeight="true" outlineLevel="0" collapsed="false">
      <c r="A2537" s="103"/>
      <c r="B2537" s="85"/>
      <c r="C2537" s="86"/>
      <c r="D2537" s="87"/>
      <c r="E2537" s="46" t="str">
        <f aca="false">IF(D2537&lt;&gt;"",IFERROR(VLOOKUP(D2537,PROVEEDORES!$A:$B,2,0),"!COD NO ENCONTRADO"),"")</f>
        <v/>
      </c>
      <c r="F2537" s="88" t="str">
        <f aca="false">IF(D2537&lt;&gt;"",IFERROR(VLOOKUP(D2537,PROVEEDORES!$A:$C,3,0),""),"")</f>
        <v/>
      </c>
      <c r="G2537" s="87"/>
      <c r="H2537" s="46" t="str">
        <f aca="false">IF(G2537&lt;&gt;"",IFERROR(VLOOKUP(G2537,PRODUCTOS!$A:$B,2,0),"!COD NO ENCONTRADO"),"")</f>
        <v/>
      </c>
      <c r="I2537" s="89"/>
      <c r="J2537" s="90"/>
      <c r="K2537" s="91"/>
      <c r="L2537" s="80" t="str">
        <f aca="false">IF(AND(J2537&lt;&gt;"",K2537&lt;&gt;""),J2537*K2537,"")</f>
        <v/>
      </c>
      <c r="M2537" s="81" t="str">
        <f aca="false">IF(L2537&lt;&gt;"",L2537*1.1,"")</f>
        <v/>
      </c>
      <c r="N2537" s="47" t="n">
        <f aca="false">IF(F2537="S",L2537*0.02,0)</f>
        <v>0</v>
      </c>
      <c r="O2537" s="82" t="str">
        <f aca="false">IF(L2537&lt;&gt;"",L2537+N2537,"")</f>
        <v/>
      </c>
      <c r="P2537" s="47" t="str">
        <f aca="false">IF(O2537&lt;&gt;"",O2537*0.1,"")</f>
        <v/>
      </c>
      <c r="Q2537" s="83" t="str">
        <f aca="false">IF(O2537&lt;&gt;"",O2537+P2537,"")</f>
        <v/>
      </c>
      <c r="R2537" s="84"/>
    </row>
    <row r="2538" customFormat="false" ht="15" hidden="false" customHeight="true" outlineLevel="0" collapsed="false">
      <c r="A2538" s="103"/>
      <c r="B2538" s="73"/>
      <c r="C2538" s="74"/>
      <c r="D2538" s="75"/>
      <c r="E2538" s="52" t="str">
        <f aca="false">IF(D2538&lt;&gt;"",IFERROR(VLOOKUP(D2538,PROVEEDORES!$A:$B,2,0),"!COD NO ENCONTRADO"),"")</f>
        <v/>
      </c>
      <c r="F2538" s="76" t="str">
        <f aca="false">IF(D2538&lt;&gt;"",IFERROR(VLOOKUP(D2538,PROVEEDORES!$A:$C,3,0),""),"")</f>
        <v/>
      </c>
      <c r="G2538" s="75"/>
      <c r="H2538" s="52" t="str">
        <f aca="false">IF(G2538&lt;&gt;"",IFERROR(VLOOKUP(G2538,PRODUCTOS!$A:$B,2,0),"!COD NO ENCONTRADO"),"")</f>
        <v/>
      </c>
      <c r="I2538" s="77"/>
      <c r="J2538" s="78"/>
      <c r="K2538" s="79"/>
      <c r="L2538" s="80" t="str">
        <f aca="false">IF(AND(J2538&lt;&gt;"",K2538&lt;&gt;""),J2538*K2538,"")</f>
        <v/>
      </c>
      <c r="M2538" s="81" t="str">
        <f aca="false">IF(L2538&lt;&gt;"",L2538*1.1,"")</f>
        <v/>
      </c>
      <c r="N2538" s="53" t="n">
        <f aca="false">IF(F2538="S",L2538*0.02,0)</f>
        <v>0</v>
      </c>
      <c r="O2538" s="82" t="str">
        <f aca="false">IF(L2538&lt;&gt;"",L2538+N2538,"")</f>
        <v/>
      </c>
      <c r="P2538" s="53" t="str">
        <f aca="false">IF(O2538&lt;&gt;"",O2538*0.1,"")</f>
        <v/>
      </c>
      <c r="Q2538" s="83" t="str">
        <f aca="false">IF(O2538&lt;&gt;"",O2538+P2538,"")</f>
        <v/>
      </c>
      <c r="R2538" s="84"/>
    </row>
    <row r="2539" customFormat="false" ht="15" hidden="false" customHeight="true" outlineLevel="0" collapsed="false">
      <c r="A2539" s="103"/>
      <c r="B2539" s="85"/>
      <c r="C2539" s="86"/>
      <c r="D2539" s="87"/>
      <c r="E2539" s="46" t="str">
        <f aca="false">IF(D2539&lt;&gt;"",IFERROR(VLOOKUP(D2539,PROVEEDORES!$A:$B,2,0),"!COD NO ENCONTRADO"),"")</f>
        <v/>
      </c>
      <c r="F2539" s="88" t="str">
        <f aca="false">IF(D2539&lt;&gt;"",IFERROR(VLOOKUP(D2539,PROVEEDORES!$A:$C,3,0),""),"")</f>
        <v/>
      </c>
      <c r="G2539" s="87"/>
      <c r="H2539" s="46" t="str">
        <f aca="false">IF(G2539&lt;&gt;"",IFERROR(VLOOKUP(G2539,PRODUCTOS!$A:$B,2,0),"!COD NO ENCONTRADO"),"")</f>
        <v/>
      </c>
      <c r="I2539" s="89"/>
      <c r="J2539" s="90"/>
      <c r="K2539" s="91"/>
      <c r="L2539" s="80" t="str">
        <f aca="false">IF(AND(J2539&lt;&gt;"",K2539&lt;&gt;""),J2539*K2539,"")</f>
        <v/>
      </c>
      <c r="M2539" s="81" t="str">
        <f aca="false">IF(L2539&lt;&gt;"",L2539*1.1,"")</f>
        <v/>
      </c>
      <c r="N2539" s="47" t="n">
        <f aca="false">IF(F2539="S",L2539*0.02,0)</f>
        <v>0</v>
      </c>
      <c r="O2539" s="82" t="str">
        <f aca="false">IF(L2539&lt;&gt;"",L2539+N2539,"")</f>
        <v/>
      </c>
      <c r="P2539" s="47" t="str">
        <f aca="false">IF(O2539&lt;&gt;"",O2539*0.1,"")</f>
        <v/>
      </c>
      <c r="Q2539" s="83" t="str">
        <f aca="false">IF(O2539&lt;&gt;"",O2539+P2539,"")</f>
        <v/>
      </c>
      <c r="R2539" s="84"/>
    </row>
    <row r="2540" customFormat="false" ht="15" hidden="false" customHeight="true" outlineLevel="0" collapsed="false">
      <c r="A2540" s="103"/>
      <c r="B2540" s="73"/>
      <c r="C2540" s="74"/>
      <c r="D2540" s="75"/>
      <c r="E2540" s="52" t="str">
        <f aca="false">IF(D2540&lt;&gt;"",IFERROR(VLOOKUP(D2540,PROVEEDORES!$A:$B,2,0),"!COD NO ENCONTRADO"),"")</f>
        <v/>
      </c>
      <c r="F2540" s="76" t="str">
        <f aca="false">IF(D2540&lt;&gt;"",IFERROR(VLOOKUP(D2540,PROVEEDORES!$A:$C,3,0),""),"")</f>
        <v/>
      </c>
      <c r="G2540" s="75"/>
      <c r="H2540" s="52" t="str">
        <f aca="false">IF(G2540&lt;&gt;"",IFERROR(VLOOKUP(G2540,PRODUCTOS!$A:$B,2,0),"!COD NO ENCONTRADO"),"")</f>
        <v/>
      </c>
      <c r="I2540" s="77"/>
      <c r="J2540" s="78"/>
      <c r="K2540" s="79"/>
      <c r="L2540" s="80" t="str">
        <f aca="false">IF(AND(J2540&lt;&gt;"",K2540&lt;&gt;""),J2540*K2540,"")</f>
        <v/>
      </c>
      <c r="M2540" s="81" t="str">
        <f aca="false">IF(L2540&lt;&gt;"",L2540*1.1,"")</f>
        <v/>
      </c>
      <c r="N2540" s="53" t="n">
        <f aca="false">IF(F2540="S",L2540*0.02,0)</f>
        <v>0</v>
      </c>
      <c r="O2540" s="82" t="str">
        <f aca="false">IF(L2540&lt;&gt;"",L2540+N2540,"")</f>
        <v/>
      </c>
      <c r="P2540" s="53" t="str">
        <f aca="false">IF(O2540&lt;&gt;"",O2540*0.1,"")</f>
        <v/>
      </c>
      <c r="Q2540" s="83" t="str">
        <f aca="false">IF(O2540&lt;&gt;"",O2540+P2540,"")</f>
        <v/>
      </c>
      <c r="R2540" s="84"/>
    </row>
    <row r="2541" customFormat="false" ht="15" hidden="false" customHeight="true" outlineLevel="0" collapsed="false">
      <c r="A2541" s="103"/>
      <c r="B2541" s="85"/>
      <c r="C2541" s="86"/>
      <c r="D2541" s="87"/>
      <c r="E2541" s="46" t="str">
        <f aca="false">IF(D2541&lt;&gt;"",IFERROR(VLOOKUP(D2541,PROVEEDORES!$A:$B,2,0),"!COD NO ENCONTRADO"),"")</f>
        <v/>
      </c>
      <c r="F2541" s="88" t="str">
        <f aca="false">IF(D2541&lt;&gt;"",IFERROR(VLOOKUP(D2541,PROVEEDORES!$A:$C,3,0),""),"")</f>
        <v/>
      </c>
      <c r="G2541" s="87"/>
      <c r="H2541" s="46" t="str">
        <f aca="false">IF(G2541&lt;&gt;"",IFERROR(VLOOKUP(G2541,PRODUCTOS!$A:$B,2,0),"!COD NO ENCONTRADO"),"")</f>
        <v/>
      </c>
      <c r="I2541" s="89"/>
      <c r="J2541" s="90"/>
      <c r="K2541" s="91"/>
      <c r="L2541" s="80" t="str">
        <f aca="false">IF(AND(J2541&lt;&gt;"",K2541&lt;&gt;""),J2541*K2541,"")</f>
        <v/>
      </c>
      <c r="M2541" s="81" t="str">
        <f aca="false">IF(L2541&lt;&gt;"",L2541*1.1,"")</f>
        <v/>
      </c>
      <c r="N2541" s="47" t="n">
        <f aca="false">IF(F2541="S",L2541*0.02,0)</f>
        <v>0</v>
      </c>
      <c r="O2541" s="82" t="str">
        <f aca="false">IF(L2541&lt;&gt;"",L2541+N2541,"")</f>
        <v/>
      </c>
      <c r="P2541" s="47" t="str">
        <f aca="false">IF(O2541&lt;&gt;"",O2541*0.1,"")</f>
        <v/>
      </c>
      <c r="Q2541" s="83" t="str">
        <f aca="false">IF(O2541&lt;&gt;"",O2541+P2541,"")</f>
        <v/>
      </c>
      <c r="R2541" s="84"/>
    </row>
    <row r="2542" customFormat="false" ht="15" hidden="false" customHeight="true" outlineLevel="0" collapsed="false">
      <c r="A2542" s="103"/>
      <c r="B2542" s="73"/>
      <c r="C2542" s="74"/>
      <c r="D2542" s="75"/>
      <c r="E2542" s="52" t="str">
        <f aca="false">IF(D2542&lt;&gt;"",IFERROR(VLOOKUP(D2542,PROVEEDORES!$A:$B,2,0),"!COD NO ENCONTRADO"),"")</f>
        <v/>
      </c>
      <c r="F2542" s="76" t="str">
        <f aca="false">IF(D2542&lt;&gt;"",IFERROR(VLOOKUP(D2542,PROVEEDORES!$A:$C,3,0),""),"")</f>
        <v/>
      </c>
      <c r="G2542" s="75"/>
      <c r="H2542" s="52" t="str">
        <f aca="false">IF(G2542&lt;&gt;"",IFERROR(VLOOKUP(G2542,PRODUCTOS!$A:$B,2,0),"!COD NO ENCONTRADO"),"")</f>
        <v/>
      </c>
      <c r="I2542" s="77"/>
      <c r="J2542" s="78"/>
      <c r="K2542" s="79"/>
      <c r="L2542" s="80" t="str">
        <f aca="false">IF(AND(J2542&lt;&gt;"",K2542&lt;&gt;""),J2542*K2542,"")</f>
        <v/>
      </c>
      <c r="M2542" s="81" t="str">
        <f aca="false">IF(L2542&lt;&gt;"",L2542*1.1,"")</f>
        <v/>
      </c>
      <c r="N2542" s="53" t="n">
        <f aca="false">IF(F2542="S",L2542*0.02,0)</f>
        <v>0</v>
      </c>
      <c r="O2542" s="82" t="str">
        <f aca="false">IF(L2542&lt;&gt;"",L2542+N2542,"")</f>
        <v/>
      </c>
      <c r="P2542" s="53" t="str">
        <f aca="false">IF(O2542&lt;&gt;"",O2542*0.1,"")</f>
        <v/>
      </c>
      <c r="Q2542" s="83" t="str">
        <f aca="false">IF(O2542&lt;&gt;"",O2542+P2542,"")</f>
        <v/>
      </c>
      <c r="R2542" s="84"/>
    </row>
    <row r="2543" customFormat="false" ht="15" hidden="false" customHeight="true" outlineLevel="0" collapsed="false">
      <c r="A2543" s="103"/>
      <c r="B2543" s="85"/>
      <c r="C2543" s="86"/>
      <c r="D2543" s="87"/>
      <c r="E2543" s="46" t="str">
        <f aca="false">IF(D2543&lt;&gt;"",IFERROR(VLOOKUP(D2543,PROVEEDORES!$A:$B,2,0),"!COD NO ENCONTRADO"),"")</f>
        <v/>
      </c>
      <c r="F2543" s="88" t="str">
        <f aca="false">IF(D2543&lt;&gt;"",IFERROR(VLOOKUP(D2543,PROVEEDORES!$A:$C,3,0),""),"")</f>
        <v/>
      </c>
      <c r="G2543" s="87"/>
      <c r="H2543" s="46" t="str">
        <f aca="false">IF(G2543&lt;&gt;"",IFERROR(VLOOKUP(G2543,PRODUCTOS!$A:$B,2,0),"!COD NO ENCONTRADO"),"")</f>
        <v/>
      </c>
      <c r="I2543" s="89"/>
      <c r="J2543" s="90"/>
      <c r="K2543" s="91"/>
      <c r="L2543" s="80" t="str">
        <f aca="false">IF(AND(J2543&lt;&gt;"",K2543&lt;&gt;""),J2543*K2543,"")</f>
        <v/>
      </c>
      <c r="M2543" s="81" t="str">
        <f aca="false">IF(L2543&lt;&gt;"",L2543*1.1,"")</f>
        <v/>
      </c>
      <c r="N2543" s="47" t="n">
        <f aca="false">IF(F2543="S",L2543*0.02,0)</f>
        <v>0</v>
      </c>
      <c r="O2543" s="82" t="str">
        <f aca="false">IF(L2543&lt;&gt;"",L2543+N2543,"")</f>
        <v/>
      </c>
      <c r="P2543" s="47" t="str">
        <f aca="false">IF(O2543&lt;&gt;"",O2543*0.1,"")</f>
        <v/>
      </c>
      <c r="Q2543" s="83" t="str">
        <f aca="false">IF(O2543&lt;&gt;"",O2543+P2543,"")</f>
        <v/>
      </c>
      <c r="R2543" s="84"/>
    </row>
    <row r="2544" customFormat="false" ht="15" hidden="false" customHeight="true" outlineLevel="0" collapsed="false">
      <c r="A2544" s="103"/>
      <c r="B2544" s="73"/>
      <c r="C2544" s="74"/>
      <c r="D2544" s="75"/>
      <c r="E2544" s="52" t="str">
        <f aca="false">IF(D2544&lt;&gt;"",IFERROR(VLOOKUP(D2544,PROVEEDORES!$A:$B,2,0),"!COD NO ENCONTRADO"),"")</f>
        <v/>
      </c>
      <c r="F2544" s="76" t="str">
        <f aca="false">IF(D2544&lt;&gt;"",IFERROR(VLOOKUP(D2544,PROVEEDORES!$A:$C,3,0),""),"")</f>
        <v/>
      </c>
      <c r="G2544" s="75"/>
      <c r="H2544" s="52" t="str">
        <f aca="false">IF(G2544&lt;&gt;"",IFERROR(VLOOKUP(G2544,PRODUCTOS!$A:$B,2,0),"!COD NO ENCONTRADO"),"")</f>
        <v/>
      </c>
      <c r="I2544" s="77"/>
      <c r="J2544" s="78"/>
      <c r="K2544" s="79"/>
      <c r="L2544" s="80" t="str">
        <f aca="false">IF(AND(J2544&lt;&gt;"",K2544&lt;&gt;""),J2544*K2544,"")</f>
        <v/>
      </c>
      <c r="M2544" s="81" t="str">
        <f aca="false">IF(L2544&lt;&gt;"",L2544*1.1,"")</f>
        <v/>
      </c>
      <c r="N2544" s="53" t="n">
        <f aca="false">IF(F2544="S",L2544*0.02,0)</f>
        <v>0</v>
      </c>
      <c r="O2544" s="82" t="str">
        <f aca="false">IF(L2544&lt;&gt;"",L2544+N2544,"")</f>
        <v/>
      </c>
      <c r="P2544" s="53" t="str">
        <f aca="false">IF(O2544&lt;&gt;"",O2544*0.1,"")</f>
        <v/>
      </c>
      <c r="Q2544" s="83" t="str">
        <f aca="false">IF(O2544&lt;&gt;"",O2544+P2544,"")</f>
        <v/>
      </c>
      <c r="R2544" s="84"/>
    </row>
    <row r="2545" customFormat="false" ht="15" hidden="false" customHeight="true" outlineLevel="0" collapsed="false">
      <c r="A2545" s="103"/>
      <c r="B2545" s="85"/>
      <c r="C2545" s="86"/>
      <c r="D2545" s="87"/>
      <c r="E2545" s="46" t="str">
        <f aca="false">IF(D2545&lt;&gt;"",IFERROR(VLOOKUP(D2545,PROVEEDORES!$A:$B,2,0),"!COD NO ENCONTRADO"),"")</f>
        <v/>
      </c>
      <c r="F2545" s="88" t="str">
        <f aca="false">IF(D2545&lt;&gt;"",IFERROR(VLOOKUP(D2545,PROVEEDORES!$A:$C,3,0),""),"")</f>
        <v/>
      </c>
      <c r="G2545" s="87"/>
      <c r="H2545" s="46" t="str">
        <f aca="false">IF(G2545&lt;&gt;"",IFERROR(VLOOKUP(G2545,PRODUCTOS!$A:$B,2,0),"!COD NO ENCONTRADO"),"")</f>
        <v/>
      </c>
      <c r="I2545" s="89"/>
      <c r="J2545" s="90"/>
      <c r="K2545" s="91"/>
      <c r="L2545" s="80" t="str">
        <f aca="false">IF(AND(J2545&lt;&gt;"",K2545&lt;&gt;""),J2545*K2545,"")</f>
        <v/>
      </c>
      <c r="M2545" s="81" t="str">
        <f aca="false">IF(L2545&lt;&gt;"",L2545*1.1,"")</f>
        <v/>
      </c>
      <c r="N2545" s="47" t="n">
        <f aca="false">IF(F2545="S",L2545*0.02,0)</f>
        <v>0</v>
      </c>
      <c r="O2545" s="82" t="str">
        <f aca="false">IF(L2545&lt;&gt;"",L2545+N2545,"")</f>
        <v/>
      </c>
      <c r="P2545" s="47" t="str">
        <f aca="false">IF(O2545&lt;&gt;"",O2545*0.1,"")</f>
        <v/>
      </c>
      <c r="Q2545" s="83" t="str">
        <f aca="false">IF(O2545&lt;&gt;"",O2545+P2545,"")</f>
        <v/>
      </c>
      <c r="R2545" s="84"/>
    </row>
    <row r="2546" customFormat="false" ht="15" hidden="false" customHeight="true" outlineLevel="0" collapsed="false">
      <c r="A2546" s="103"/>
      <c r="B2546" s="73"/>
      <c r="C2546" s="74"/>
      <c r="D2546" s="75"/>
      <c r="E2546" s="52" t="str">
        <f aca="false">IF(D2546&lt;&gt;"",IFERROR(VLOOKUP(D2546,PROVEEDORES!$A:$B,2,0),"!COD NO ENCONTRADO"),"")</f>
        <v/>
      </c>
      <c r="F2546" s="76" t="str">
        <f aca="false">IF(D2546&lt;&gt;"",IFERROR(VLOOKUP(D2546,PROVEEDORES!$A:$C,3,0),""),"")</f>
        <v/>
      </c>
      <c r="G2546" s="75"/>
      <c r="H2546" s="52" t="str">
        <f aca="false">IF(G2546&lt;&gt;"",IFERROR(VLOOKUP(G2546,PRODUCTOS!$A:$B,2,0),"!COD NO ENCONTRADO"),"")</f>
        <v/>
      </c>
      <c r="I2546" s="77"/>
      <c r="J2546" s="78"/>
      <c r="K2546" s="79"/>
      <c r="L2546" s="80" t="str">
        <f aca="false">IF(AND(J2546&lt;&gt;"",K2546&lt;&gt;""),J2546*K2546,"")</f>
        <v/>
      </c>
      <c r="M2546" s="81" t="str">
        <f aca="false">IF(L2546&lt;&gt;"",L2546*1.1,"")</f>
        <v/>
      </c>
      <c r="N2546" s="53" t="n">
        <f aca="false">IF(F2546="S",L2546*0.02,0)</f>
        <v>0</v>
      </c>
      <c r="O2546" s="82" t="str">
        <f aca="false">IF(L2546&lt;&gt;"",L2546+N2546,"")</f>
        <v/>
      </c>
      <c r="P2546" s="53" t="str">
        <f aca="false">IF(O2546&lt;&gt;"",O2546*0.1,"")</f>
        <v/>
      </c>
      <c r="Q2546" s="83" t="str">
        <f aca="false">IF(O2546&lt;&gt;"",O2546+P2546,"")</f>
        <v/>
      </c>
      <c r="R2546" s="84"/>
    </row>
    <row r="2547" customFormat="false" ht="15" hidden="false" customHeight="true" outlineLevel="0" collapsed="false">
      <c r="A2547" s="103"/>
      <c r="B2547" s="85"/>
      <c r="C2547" s="86"/>
      <c r="D2547" s="87"/>
      <c r="E2547" s="46" t="str">
        <f aca="false">IF(D2547&lt;&gt;"",IFERROR(VLOOKUP(D2547,PROVEEDORES!$A:$B,2,0),"!COD NO ENCONTRADO"),"")</f>
        <v/>
      </c>
      <c r="F2547" s="88" t="str">
        <f aca="false">IF(D2547&lt;&gt;"",IFERROR(VLOOKUP(D2547,PROVEEDORES!$A:$C,3,0),""),"")</f>
        <v/>
      </c>
      <c r="G2547" s="87"/>
      <c r="H2547" s="46" t="str">
        <f aca="false">IF(G2547&lt;&gt;"",IFERROR(VLOOKUP(G2547,PRODUCTOS!$A:$B,2,0),"!COD NO ENCONTRADO"),"")</f>
        <v/>
      </c>
      <c r="I2547" s="89"/>
      <c r="J2547" s="90"/>
      <c r="K2547" s="91"/>
      <c r="L2547" s="80" t="str">
        <f aca="false">IF(AND(J2547&lt;&gt;"",K2547&lt;&gt;""),J2547*K2547,"")</f>
        <v/>
      </c>
      <c r="M2547" s="81" t="str">
        <f aca="false">IF(L2547&lt;&gt;"",L2547*1.1,"")</f>
        <v/>
      </c>
      <c r="N2547" s="47" t="n">
        <f aca="false">IF(F2547="S",L2547*0.02,0)</f>
        <v>0</v>
      </c>
      <c r="O2547" s="82" t="str">
        <f aca="false">IF(L2547&lt;&gt;"",L2547+N2547,"")</f>
        <v/>
      </c>
      <c r="P2547" s="47" t="str">
        <f aca="false">IF(O2547&lt;&gt;"",O2547*0.1,"")</f>
        <v/>
      </c>
      <c r="Q2547" s="83" t="str">
        <f aca="false">IF(O2547&lt;&gt;"",O2547+P2547,"")</f>
        <v/>
      </c>
      <c r="R2547" s="84"/>
    </row>
    <row r="2548" customFormat="false" ht="15" hidden="false" customHeight="true" outlineLevel="0" collapsed="false">
      <c r="A2548" s="103"/>
      <c r="B2548" s="73"/>
      <c r="C2548" s="74"/>
      <c r="D2548" s="75"/>
      <c r="E2548" s="52" t="str">
        <f aca="false">IF(D2548&lt;&gt;"",IFERROR(VLOOKUP(D2548,PROVEEDORES!$A:$B,2,0),"!COD NO ENCONTRADO"),"")</f>
        <v/>
      </c>
      <c r="F2548" s="76" t="str">
        <f aca="false">IF(D2548&lt;&gt;"",IFERROR(VLOOKUP(D2548,PROVEEDORES!$A:$C,3,0),""),"")</f>
        <v/>
      </c>
      <c r="G2548" s="75"/>
      <c r="H2548" s="52" t="str">
        <f aca="false">IF(G2548&lt;&gt;"",IFERROR(VLOOKUP(G2548,PRODUCTOS!$A:$B,2,0),"!COD NO ENCONTRADO"),"")</f>
        <v/>
      </c>
      <c r="I2548" s="77"/>
      <c r="J2548" s="78"/>
      <c r="K2548" s="79"/>
      <c r="L2548" s="80" t="str">
        <f aca="false">IF(AND(J2548&lt;&gt;"",K2548&lt;&gt;""),J2548*K2548,"")</f>
        <v/>
      </c>
      <c r="M2548" s="81" t="str">
        <f aca="false">IF(L2548&lt;&gt;"",L2548*1.1,"")</f>
        <v/>
      </c>
      <c r="N2548" s="53" t="n">
        <f aca="false">IF(F2548="S",L2548*0.02,0)</f>
        <v>0</v>
      </c>
      <c r="O2548" s="82" t="str">
        <f aca="false">IF(L2548&lt;&gt;"",L2548+N2548,"")</f>
        <v/>
      </c>
      <c r="P2548" s="53" t="str">
        <f aca="false">IF(O2548&lt;&gt;"",O2548*0.1,"")</f>
        <v/>
      </c>
      <c r="Q2548" s="83" t="str">
        <f aca="false">IF(O2548&lt;&gt;"",O2548+P2548,"")</f>
        <v/>
      </c>
      <c r="R2548" s="84"/>
    </row>
    <row r="2549" customFormat="false" ht="15" hidden="false" customHeight="true" outlineLevel="0" collapsed="false">
      <c r="A2549" s="103"/>
      <c r="B2549" s="85"/>
      <c r="C2549" s="86"/>
      <c r="D2549" s="87"/>
      <c r="E2549" s="46" t="str">
        <f aca="false">IF(D2549&lt;&gt;"",IFERROR(VLOOKUP(D2549,PROVEEDORES!$A:$B,2,0),"!COD NO ENCONTRADO"),"")</f>
        <v/>
      </c>
      <c r="F2549" s="88" t="str">
        <f aca="false">IF(D2549&lt;&gt;"",IFERROR(VLOOKUP(D2549,PROVEEDORES!$A:$C,3,0),""),"")</f>
        <v/>
      </c>
      <c r="G2549" s="87"/>
      <c r="H2549" s="46" t="str">
        <f aca="false">IF(G2549&lt;&gt;"",IFERROR(VLOOKUP(G2549,PRODUCTOS!$A:$B,2,0),"!COD NO ENCONTRADO"),"")</f>
        <v/>
      </c>
      <c r="I2549" s="89"/>
      <c r="J2549" s="90"/>
      <c r="K2549" s="91"/>
      <c r="L2549" s="80" t="str">
        <f aca="false">IF(AND(J2549&lt;&gt;"",K2549&lt;&gt;""),J2549*K2549,"")</f>
        <v/>
      </c>
      <c r="M2549" s="81" t="str">
        <f aca="false">IF(L2549&lt;&gt;"",L2549*1.1,"")</f>
        <v/>
      </c>
      <c r="N2549" s="47" t="n">
        <f aca="false">IF(F2549="S",L2549*0.02,0)</f>
        <v>0</v>
      </c>
      <c r="O2549" s="82" t="str">
        <f aca="false">IF(L2549&lt;&gt;"",L2549+N2549,"")</f>
        <v/>
      </c>
      <c r="P2549" s="47" t="str">
        <f aca="false">IF(O2549&lt;&gt;"",O2549*0.1,"")</f>
        <v/>
      </c>
      <c r="Q2549" s="83" t="str">
        <f aca="false">IF(O2549&lt;&gt;"",O2549+P2549,"")</f>
        <v/>
      </c>
      <c r="R2549" s="84"/>
    </row>
    <row r="2550" customFormat="false" ht="15" hidden="false" customHeight="true" outlineLevel="0" collapsed="false">
      <c r="A2550" s="103"/>
      <c r="B2550" s="73"/>
      <c r="C2550" s="74"/>
      <c r="D2550" s="75"/>
      <c r="E2550" s="52" t="str">
        <f aca="false">IF(D2550&lt;&gt;"",IFERROR(VLOOKUP(D2550,PROVEEDORES!$A:$B,2,0),"!COD NO ENCONTRADO"),"")</f>
        <v/>
      </c>
      <c r="F2550" s="76" t="str">
        <f aca="false">IF(D2550&lt;&gt;"",IFERROR(VLOOKUP(D2550,PROVEEDORES!$A:$C,3,0),""),"")</f>
        <v/>
      </c>
      <c r="G2550" s="75"/>
      <c r="H2550" s="52" t="str">
        <f aca="false">IF(G2550&lt;&gt;"",IFERROR(VLOOKUP(G2550,PRODUCTOS!$A:$B,2,0),"!COD NO ENCONTRADO"),"")</f>
        <v/>
      </c>
      <c r="I2550" s="77"/>
      <c r="J2550" s="78"/>
      <c r="K2550" s="79"/>
      <c r="L2550" s="80" t="str">
        <f aca="false">IF(AND(J2550&lt;&gt;"",K2550&lt;&gt;""),J2550*K2550,"")</f>
        <v/>
      </c>
      <c r="M2550" s="81" t="str">
        <f aca="false">IF(L2550&lt;&gt;"",L2550*1.1,"")</f>
        <v/>
      </c>
      <c r="N2550" s="53" t="n">
        <f aca="false">IF(F2550="S",L2550*0.02,0)</f>
        <v>0</v>
      </c>
      <c r="O2550" s="82" t="str">
        <f aca="false">IF(L2550&lt;&gt;"",L2550+N2550,"")</f>
        <v/>
      </c>
      <c r="P2550" s="53" t="str">
        <f aca="false">IF(O2550&lt;&gt;"",O2550*0.1,"")</f>
        <v/>
      </c>
      <c r="Q2550" s="83" t="str">
        <f aca="false">IF(O2550&lt;&gt;"",O2550+P2550,"")</f>
        <v/>
      </c>
      <c r="R2550" s="84"/>
    </row>
    <row r="2551" customFormat="false" ht="15" hidden="false" customHeight="true" outlineLevel="0" collapsed="false">
      <c r="A2551" s="103"/>
      <c r="B2551" s="85"/>
      <c r="C2551" s="86"/>
      <c r="D2551" s="87"/>
      <c r="E2551" s="46" t="str">
        <f aca="false">IF(D2551&lt;&gt;"",IFERROR(VLOOKUP(D2551,PROVEEDORES!$A:$B,2,0),"!COD NO ENCONTRADO"),"")</f>
        <v/>
      </c>
      <c r="F2551" s="88" t="str">
        <f aca="false">IF(D2551&lt;&gt;"",IFERROR(VLOOKUP(D2551,PROVEEDORES!$A:$C,3,0),""),"")</f>
        <v/>
      </c>
      <c r="G2551" s="87"/>
      <c r="H2551" s="46" t="str">
        <f aca="false">IF(G2551&lt;&gt;"",IFERROR(VLOOKUP(G2551,PRODUCTOS!$A:$B,2,0),"!COD NO ENCONTRADO"),"")</f>
        <v/>
      </c>
      <c r="I2551" s="89"/>
      <c r="J2551" s="90"/>
      <c r="K2551" s="91"/>
      <c r="L2551" s="80" t="str">
        <f aca="false">IF(AND(J2551&lt;&gt;"",K2551&lt;&gt;""),J2551*K2551,"")</f>
        <v/>
      </c>
      <c r="M2551" s="81" t="str">
        <f aca="false">IF(L2551&lt;&gt;"",L2551*1.1,"")</f>
        <v/>
      </c>
      <c r="N2551" s="47" t="n">
        <f aca="false">IF(F2551="S",L2551*0.02,0)</f>
        <v>0</v>
      </c>
      <c r="O2551" s="82" t="str">
        <f aca="false">IF(L2551&lt;&gt;"",L2551+N2551,"")</f>
        <v/>
      </c>
      <c r="P2551" s="47" t="str">
        <f aca="false">IF(O2551&lt;&gt;"",O2551*0.1,"")</f>
        <v/>
      </c>
      <c r="Q2551" s="83" t="str">
        <f aca="false">IF(O2551&lt;&gt;"",O2551+P2551,"")</f>
        <v/>
      </c>
      <c r="R2551" s="84"/>
    </row>
    <row r="2552" customFormat="false" ht="15" hidden="false" customHeight="true" outlineLevel="0" collapsed="false">
      <c r="A2552" s="103"/>
      <c r="B2552" s="73"/>
      <c r="C2552" s="74"/>
      <c r="D2552" s="75"/>
      <c r="E2552" s="52" t="str">
        <f aca="false">IF(D2552&lt;&gt;"",IFERROR(VLOOKUP(D2552,PROVEEDORES!$A:$B,2,0),"!COD NO ENCONTRADO"),"")</f>
        <v/>
      </c>
      <c r="F2552" s="76" t="str">
        <f aca="false">IF(D2552&lt;&gt;"",IFERROR(VLOOKUP(D2552,PROVEEDORES!$A:$C,3,0),""),"")</f>
        <v/>
      </c>
      <c r="G2552" s="75"/>
      <c r="H2552" s="52" t="str">
        <f aca="false">IF(G2552&lt;&gt;"",IFERROR(VLOOKUP(G2552,PRODUCTOS!$A:$B,2,0),"!COD NO ENCONTRADO"),"")</f>
        <v/>
      </c>
      <c r="I2552" s="77"/>
      <c r="J2552" s="78"/>
      <c r="K2552" s="79"/>
      <c r="L2552" s="80" t="str">
        <f aca="false">IF(AND(J2552&lt;&gt;"",K2552&lt;&gt;""),J2552*K2552,"")</f>
        <v/>
      </c>
      <c r="M2552" s="81" t="str">
        <f aca="false">IF(L2552&lt;&gt;"",L2552*1.1,"")</f>
        <v/>
      </c>
      <c r="N2552" s="53" t="n">
        <f aca="false">IF(F2552="S",L2552*0.02,0)</f>
        <v>0</v>
      </c>
      <c r="O2552" s="82" t="str">
        <f aca="false">IF(L2552&lt;&gt;"",L2552+N2552,"")</f>
        <v/>
      </c>
      <c r="P2552" s="53" t="str">
        <f aca="false">IF(O2552&lt;&gt;"",O2552*0.1,"")</f>
        <v/>
      </c>
      <c r="Q2552" s="83" t="str">
        <f aca="false">IF(O2552&lt;&gt;"",O2552+P2552,"")</f>
        <v/>
      </c>
      <c r="R2552" s="84"/>
    </row>
    <row r="2553" customFormat="false" ht="15" hidden="false" customHeight="true" outlineLevel="0" collapsed="false">
      <c r="A2553" s="103"/>
      <c r="B2553" s="85"/>
      <c r="C2553" s="86"/>
      <c r="D2553" s="87"/>
      <c r="E2553" s="46" t="str">
        <f aca="false">IF(D2553&lt;&gt;"",IFERROR(VLOOKUP(D2553,PROVEEDORES!$A:$B,2,0),"!COD NO ENCONTRADO"),"")</f>
        <v/>
      </c>
      <c r="F2553" s="88" t="str">
        <f aca="false">IF(D2553&lt;&gt;"",IFERROR(VLOOKUP(D2553,PROVEEDORES!$A:$C,3,0),""),"")</f>
        <v/>
      </c>
      <c r="G2553" s="87"/>
      <c r="H2553" s="46" t="str">
        <f aca="false">IF(G2553&lt;&gt;"",IFERROR(VLOOKUP(G2553,PRODUCTOS!$A:$B,2,0),"!COD NO ENCONTRADO"),"")</f>
        <v/>
      </c>
      <c r="I2553" s="89"/>
      <c r="J2553" s="90"/>
      <c r="K2553" s="91"/>
      <c r="L2553" s="80" t="str">
        <f aca="false">IF(AND(J2553&lt;&gt;"",K2553&lt;&gt;""),J2553*K2553,"")</f>
        <v/>
      </c>
      <c r="M2553" s="81" t="str">
        <f aca="false">IF(L2553&lt;&gt;"",L2553*1.1,"")</f>
        <v/>
      </c>
      <c r="N2553" s="47" t="n">
        <f aca="false">IF(F2553="S",L2553*0.02,0)</f>
        <v>0</v>
      </c>
      <c r="O2553" s="82" t="str">
        <f aca="false">IF(L2553&lt;&gt;"",L2553+N2553,"")</f>
        <v/>
      </c>
      <c r="P2553" s="47" t="str">
        <f aca="false">IF(O2553&lt;&gt;"",O2553*0.1,"")</f>
        <v/>
      </c>
      <c r="Q2553" s="83" t="str">
        <f aca="false">IF(O2553&lt;&gt;"",O2553+P2553,"")</f>
        <v/>
      </c>
      <c r="R2553" s="84"/>
    </row>
    <row r="2554" customFormat="false" ht="15" hidden="false" customHeight="true" outlineLevel="0" collapsed="false">
      <c r="A2554" s="103"/>
      <c r="B2554" s="73"/>
      <c r="C2554" s="74"/>
      <c r="D2554" s="75"/>
      <c r="E2554" s="52" t="str">
        <f aca="false">IF(D2554&lt;&gt;"",IFERROR(VLOOKUP(D2554,PROVEEDORES!$A:$B,2,0),"!COD NO ENCONTRADO"),"")</f>
        <v/>
      </c>
      <c r="F2554" s="76" t="str">
        <f aca="false">IF(D2554&lt;&gt;"",IFERROR(VLOOKUP(D2554,PROVEEDORES!$A:$C,3,0),""),"")</f>
        <v/>
      </c>
      <c r="G2554" s="75"/>
      <c r="H2554" s="52" t="str">
        <f aca="false">IF(G2554&lt;&gt;"",IFERROR(VLOOKUP(G2554,PRODUCTOS!$A:$B,2,0),"!COD NO ENCONTRADO"),"")</f>
        <v/>
      </c>
      <c r="I2554" s="77"/>
      <c r="J2554" s="78"/>
      <c r="K2554" s="79"/>
      <c r="L2554" s="80" t="str">
        <f aca="false">IF(AND(J2554&lt;&gt;"",K2554&lt;&gt;""),J2554*K2554,"")</f>
        <v/>
      </c>
      <c r="M2554" s="81" t="str">
        <f aca="false">IF(L2554&lt;&gt;"",L2554*1.1,"")</f>
        <v/>
      </c>
      <c r="N2554" s="53" t="n">
        <f aca="false">IF(F2554="S",L2554*0.02,0)</f>
        <v>0</v>
      </c>
      <c r="O2554" s="82" t="str">
        <f aca="false">IF(L2554&lt;&gt;"",L2554+N2554,"")</f>
        <v/>
      </c>
      <c r="P2554" s="53" t="str">
        <f aca="false">IF(O2554&lt;&gt;"",O2554*0.1,"")</f>
        <v/>
      </c>
      <c r="Q2554" s="83" t="str">
        <f aca="false">IF(O2554&lt;&gt;"",O2554+P2554,"")</f>
        <v/>
      </c>
      <c r="R2554" s="84"/>
    </row>
    <row r="2555" customFormat="false" ht="15" hidden="false" customHeight="true" outlineLevel="0" collapsed="false">
      <c r="A2555" s="103"/>
      <c r="B2555" s="85"/>
      <c r="C2555" s="86"/>
      <c r="D2555" s="87"/>
      <c r="E2555" s="46" t="str">
        <f aca="false">IF(D2555&lt;&gt;"",IFERROR(VLOOKUP(D2555,PROVEEDORES!$A:$B,2,0),"!COD NO ENCONTRADO"),"")</f>
        <v/>
      </c>
      <c r="F2555" s="88" t="str">
        <f aca="false">IF(D2555&lt;&gt;"",IFERROR(VLOOKUP(D2555,PROVEEDORES!$A:$C,3,0),""),"")</f>
        <v/>
      </c>
      <c r="G2555" s="87"/>
      <c r="H2555" s="46" t="str">
        <f aca="false">IF(G2555&lt;&gt;"",IFERROR(VLOOKUP(G2555,PRODUCTOS!$A:$B,2,0),"!COD NO ENCONTRADO"),"")</f>
        <v/>
      </c>
      <c r="I2555" s="89"/>
      <c r="J2555" s="90"/>
      <c r="K2555" s="91"/>
      <c r="L2555" s="80" t="str">
        <f aca="false">IF(AND(J2555&lt;&gt;"",K2555&lt;&gt;""),J2555*K2555,"")</f>
        <v/>
      </c>
      <c r="M2555" s="81" t="str">
        <f aca="false">IF(L2555&lt;&gt;"",L2555*1.1,"")</f>
        <v/>
      </c>
      <c r="N2555" s="47" t="n">
        <f aca="false">IF(F2555="S",L2555*0.02,0)</f>
        <v>0</v>
      </c>
      <c r="O2555" s="82" t="str">
        <f aca="false">IF(L2555&lt;&gt;"",L2555+N2555,"")</f>
        <v/>
      </c>
      <c r="P2555" s="47" t="str">
        <f aca="false">IF(O2555&lt;&gt;"",O2555*0.1,"")</f>
        <v/>
      </c>
      <c r="Q2555" s="83" t="str">
        <f aca="false">IF(O2555&lt;&gt;"",O2555+P2555,"")</f>
        <v/>
      </c>
      <c r="R2555" s="84"/>
    </row>
    <row r="2556" customFormat="false" ht="15" hidden="false" customHeight="true" outlineLevel="0" collapsed="false">
      <c r="A2556" s="103"/>
      <c r="B2556" s="73"/>
      <c r="C2556" s="74"/>
      <c r="D2556" s="75"/>
      <c r="E2556" s="52" t="str">
        <f aca="false">IF(D2556&lt;&gt;"",IFERROR(VLOOKUP(D2556,PROVEEDORES!$A:$B,2,0),"!COD NO ENCONTRADO"),"")</f>
        <v/>
      </c>
      <c r="F2556" s="76" t="str">
        <f aca="false">IF(D2556&lt;&gt;"",IFERROR(VLOOKUP(D2556,PROVEEDORES!$A:$C,3,0),""),"")</f>
        <v/>
      </c>
      <c r="G2556" s="75"/>
      <c r="H2556" s="52" t="str">
        <f aca="false">IF(G2556&lt;&gt;"",IFERROR(VLOOKUP(G2556,PRODUCTOS!$A:$B,2,0),"!COD NO ENCONTRADO"),"")</f>
        <v/>
      </c>
      <c r="I2556" s="77"/>
      <c r="J2556" s="78"/>
      <c r="K2556" s="79"/>
      <c r="L2556" s="80" t="str">
        <f aca="false">IF(AND(J2556&lt;&gt;"",K2556&lt;&gt;""),J2556*K2556,"")</f>
        <v/>
      </c>
      <c r="M2556" s="81" t="str">
        <f aca="false">IF(L2556&lt;&gt;"",L2556*1.1,"")</f>
        <v/>
      </c>
      <c r="N2556" s="53" t="n">
        <f aca="false">IF(F2556="S",L2556*0.02,0)</f>
        <v>0</v>
      </c>
      <c r="O2556" s="82" t="str">
        <f aca="false">IF(L2556&lt;&gt;"",L2556+N2556,"")</f>
        <v/>
      </c>
      <c r="P2556" s="53" t="str">
        <f aca="false">IF(O2556&lt;&gt;"",O2556*0.1,"")</f>
        <v/>
      </c>
      <c r="Q2556" s="83" t="str">
        <f aca="false">IF(O2556&lt;&gt;"",O2556+P2556,"")</f>
        <v/>
      </c>
      <c r="R2556" s="84"/>
    </row>
    <row r="2557" customFormat="false" ht="15" hidden="false" customHeight="true" outlineLevel="0" collapsed="false">
      <c r="A2557" s="103"/>
      <c r="B2557" s="85"/>
      <c r="C2557" s="86"/>
      <c r="D2557" s="87"/>
      <c r="E2557" s="46" t="str">
        <f aca="false">IF(D2557&lt;&gt;"",IFERROR(VLOOKUP(D2557,PROVEEDORES!$A:$B,2,0),"!COD NO ENCONTRADO"),"")</f>
        <v/>
      </c>
      <c r="F2557" s="88" t="str">
        <f aca="false">IF(D2557&lt;&gt;"",IFERROR(VLOOKUP(D2557,PROVEEDORES!$A:$C,3,0),""),"")</f>
        <v/>
      </c>
      <c r="G2557" s="87"/>
      <c r="H2557" s="46" t="str">
        <f aca="false">IF(G2557&lt;&gt;"",IFERROR(VLOOKUP(G2557,PRODUCTOS!$A:$B,2,0),"!COD NO ENCONTRADO"),"")</f>
        <v/>
      </c>
      <c r="I2557" s="89"/>
      <c r="J2557" s="90"/>
      <c r="K2557" s="91"/>
      <c r="L2557" s="80" t="str">
        <f aca="false">IF(AND(J2557&lt;&gt;"",K2557&lt;&gt;""),J2557*K2557,"")</f>
        <v/>
      </c>
      <c r="M2557" s="81" t="str">
        <f aca="false">IF(L2557&lt;&gt;"",L2557*1.1,"")</f>
        <v/>
      </c>
      <c r="N2557" s="47" t="n">
        <f aca="false">IF(F2557="S",L2557*0.02,0)</f>
        <v>0</v>
      </c>
      <c r="O2557" s="82" t="str">
        <f aca="false">IF(L2557&lt;&gt;"",L2557+N2557,"")</f>
        <v/>
      </c>
      <c r="P2557" s="47" t="str">
        <f aca="false">IF(O2557&lt;&gt;"",O2557*0.1,"")</f>
        <v/>
      </c>
      <c r="Q2557" s="83" t="str">
        <f aca="false">IF(O2557&lt;&gt;"",O2557+P2557,"")</f>
        <v/>
      </c>
      <c r="R2557" s="84"/>
    </row>
    <row r="2558" customFormat="false" ht="15" hidden="false" customHeight="true" outlineLevel="0" collapsed="false">
      <c r="A2558" s="103"/>
      <c r="B2558" s="73"/>
      <c r="C2558" s="74"/>
      <c r="D2558" s="75"/>
      <c r="E2558" s="52" t="str">
        <f aca="false">IF(D2558&lt;&gt;"",IFERROR(VLOOKUP(D2558,PROVEEDORES!$A:$B,2,0),"!COD NO ENCONTRADO"),"")</f>
        <v/>
      </c>
      <c r="F2558" s="76" t="str">
        <f aca="false">IF(D2558&lt;&gt;"",IFERROR(VLOOKUP(D2558,PROVEEDORES!$A:$C,3,0),""),"")</f>
        <v/>
      </c>
      <c r="G2558" s="75"/>
      <c r="H2558" s="52" t="str">
        <f aca="false">IF(G2558&lt;&gt;"",IFERROR(VLOOKUP(G2558,PRODUCTOS!$A:$B,2,0),"!COD NO ENCONTRADO"),"")</f>
        <v/>
      </c>
      <c r="I2558" s="77"/>
      <c r="J2558" s="78"/>
      <c r="K2558" s="79"/>
      <c r="L2558" s="80" t="str">
        <f aca="false">IF(AND(J2558&lt;&gt;"",K2558&lt;&gt;""),J2558*K2558,"")</f>
        <v/>
      </c>
      <c r="M2558" s="81" t="str">
        <f aca="false">IF(L2558&lt;&gt;"",L2558*1.1,"")</f>
        <v/>
      </c>
      <c r="N2558" s="53" t="n">
        <f aca="false">IF(F2558="S",L2558*0.02,0)</f>
        <v>0</v>
      </c>
      <c r="O2558" s="82" t="str">
        <f aca="false">IF(L2558&lt;&gt;"",L2558+N2558,"")</f>
        <v/>
      </c>
      <c r="P2558" s="53" t="str">
        <f aca="false">IF(O2558&lt;&gt;"",O2558*0.1,"")</f>
        <v/>
      </c>
      <c r="Q2558" s="83" t="str">
        <f aca="false">IF(O2558&lt;&gt;"",O2558+P2558,"")</f>
        <v/>
      </c>
      <c r="R2558" s="84"/>
    </row>
    <row r="2559" customFormat="false" ht="15" hidden="false" customHeight="true" outlineLevel="0" collapsed="false">
      <c r="A2559" s="103"/>
      <c r="B2559" s="85"/>
      <c r="C2559" s="86"/>
      <c r="D2559" s="87"/>
      <c r="E2559" s="46" t="str">
        <f aca="false">IF(D2559&lt;&gt;"",IFERROR(VLOOKUP(D2559,PROVEEDORES!$A:$B,2,0),"!COD NO ENCONTRADO"),"")</f>
        <v/>
      </c>
      <c r="F2559" s="88" t="str">
        <f aca="false">IF(D2559&lt;&gt;"",IFERROR(VLOOKUP(D2559,PROVEEDORES!$A:$C,3,0),""),"")</f>
        <v/>
      </c>
      <c r="G2559" s="87"/>
      <c r="H2559" s="46" t="str">
        <f aca="false">IF(G2559&lt;&gt;"",IFERROR(VLOOKUP(G2559,PRODUCTOS!$A:$B,2,0),"!COD NO ENCONTRADO"),"")</f>
        <v/>
      </c>
      <c r="I2559" s="89"/>
      <c r="J2559" s="90"/>
      <c r="K2559" s="91"/>
      <c r="L2559" s="80" t="str">
        <f aca="false">IF(AND(J2559&lt;&gt;"",K2559&lt;&gt;""),J2559*K2559,"")</f>
        <v/>
      </c>
      <c r="M2559" s="81" t="str">
        <f aca="false">IF(L2559&lt;&gt;"",L2559*1.1,"")</f>
        <v/>
      </c>
      <c r="N2559" s="47" t="n">
        <f aca="false">IF(F2559="S",L2559*0.02,0)</f>
        <v>0</v>
      </c>
      <c r="O2559" s="82" t="str">
        <f aca="false">IF(L2559&lt;&gt;"",L2559+N2559,"")</f>
        <v/>
      </c>
      <c r="P2559" s="47" t="str">
        <f aca="false">IF(O2559&lt;&gt;"",O2559*0.1,"")</f>
        <v/>
      </c>
      <c r="Q2559" s="83" t="str">
        <f aca="false">IF(O2559&lt;&gt;"",O2559+P2559,"")</f>
        <v/>
      </c>
      <c r="R2559" s="84"/>
    </row>
    <row r="2560" customFormat="false" ht="15" hidden="false" customHeight="true" outlineLevel="0" collapsed="false">
      <c r="A2560" s="103"/>
      <c r="B2560" s="73"/>
      <c r="C2560" s="74"/>
      <c r="D2560" s="75"/>
      <c r="E2560" s="52" t="str">
        <f aca="false">IF(D2560&lt;&gt;"",IFERROR(VLOOKUP(D2560,PROVEEDORES!$A:$B,2,0),"!COD NO ENCONTRADO"),"")</f>
        <v/>
      </c>
      <c r="F2560" s="76" t="str">
        <f aca="false">IF(D2560&lt;&gt;"",IFERROR(VLOOKUP(D2560,PROVEEDORES!$A:$C,3,0),""),"")</f>
        <v/>
      </c>
      <c r="G2560" s="75"/>
      <c r="H2560" s="52" t="str">
        <f aca="false">IF(G2560&lt;&gt;"",IFERROR(VLOOKUP(G2560,PRODUCTOS!$A:$B,2,0),"!COD NO ENCONTRADO"),"")</f>
        <v/>
      </c>
      <c r="I2560" s="77"/>
      <c r="J2560" s="78"/>
      <c r="K2560" s="79"/>
      <c r="L2560" s="80" t="str">
        <f aca="false">IF(AND(J2560&lt;&gt;"",K2560&lt;&gt;""),J2560*K2560,"")</f>
        <v/>
      </c>
      <c r="M2560" s="81" t="str">
        <f aca="false">IF(L2560&lt;&gt;"",L2560*1.1,"")</f>
        <v/>
      </c>
      <c r="N2560" s="53" t="n">
        <f aca="false">IF(F2560="S",L2560*0.02,0)</f>
        <v>0</v>
      </c>
      <c r="O2560" s="82" t="str">
        <f aca="false">IF(L2560&lt;&gt;"",L2560+N2560,"")</f>
        <v/>
      </c>
      <c r="P2560" s="53" t="str">
        <f aca="false">IF(O2560&lt;&gt;"",O2560*0.1,"")</f>
        <v/>
      </c>
      <c r="Q2560" s="83" t="str">
        <f aca="false">IF(O2560&lt;&gt;"",O2560+P2560,"")</f>
        <v/>
      </c>
      <c r="R2560" s="84"/>
    </row>
    <row r="2561" customFormat="false" ht="15" hidden="false" customHeight="true" outlineLevel="0" collapsed="false">
      <c r="A2561" s="103"/>
      <c r="B2561" s="85"/>
      <c r="C2561" s="86"/>
      <c r="D2561" s="87"/>
      <c r="E2561" s="46" t="str">
        <f aca="false">IF(D2561&lt;&gt;"",IFERROR(VLOOKUP(D2561,PROVEEDORES!$A:$B,2,0),"!COD NO ENCONTRADO"),"")</f>
        <v/>
      </c>
      <c r="F2561" s="88" t="str">
        <f aca="false">IF(D2561&lt;&gt;"",IFERROR(VLOOKUP(D2561,PROVEEDORES!$A:$C,3,0),""),"")</f>
        <v/>
      </c>
      <c r="G2561" s="87"/>
      <c r="H2561" s="46" t="str">
        <f aca="false">IF(G2561&lt;&gt;"",IFERROR(VLOOKUP(G2561,PRODUCTOS!$A:$B,2,0),"!COD NO ENCONTRADO"),"")</f>
        <v/>
      </c>
      <c r="I2561" s="89"/>
      <c r="J2561" s="90"/>
      <c r="K2561" s="91"/>
      <c r="L2561" s="80" t="str">
        <f aca="false">IF(AND(J2561&lt;&gt;"",K2561&lt;&gt;""),J2561*K2561,"")</f>
        <v/>
      </c>
      <c r="M2561" s="81" t="str">
        <f aca="false">IF(L2561&lt;&gt;"",L2561*1.1,"")</f>
        <v/>
      </c>
      <c r="N2561" s="47" t="n">
        <f aca="false">IF(F2561="S",L2561*0.02,0)</f>
        <v>0</v>
      </c>
      <c r="O2561" s="82" t="str">
        <f aca="false">IF(L2561&lt;&gt;"",L2561+N2561,"")</f>
        <v/>
      </c>
      <c r="P2561" s="47" t="str">
        <f aca="false">IF(O2561&lt;&gt;"",O2561*0.1,"")</f>
        <v/>
      </c>
      <c r="Q2561" s="83" t="str">
        <f aca="false">IF(O2561&lt;&gt;"",O2561+P2561,"")</f>
        <v/>
      </c>
      <c r="R2561" s="84"/>
    </row>
    <row r="2562" customFormat="false" ht="15" hidden="false" customHeight="true" outlineLevel="0" collapsed="false">
      <c r="A2562" s="103"/>
      <c r="B2562" s="73"/>
      <c r="C2562" s="74"/>
      <c r="D2562" s="75"/>
      <c r="E2562" s="52" t="str">
        <f aca="false">IF(D2562&lt;&gt;"",IFERROR(VLOOKUP(D2562,PROVEEDORES!$A:$B,2,0),"!COD NO ENCONTRADO"),"")</f>
        <v/>
      </c>
      <c r="F2562" s="76" t="str">
        <f aca="false">IF(D2562&lt;&gt;"",IFERROR(VLOOKUP(D2562,PROVEEDORES!$A:$C,3,0),""),"")</f>
        <v/>
      </c>
      <c r="G2562" s="75"/>
      <c r="H2562" s="52" t="str">
        <f aca="false">IF(G2562&lt;&gt;"",IFERROR(VLOOKUP(G2562,PRODUCTOS!$A:$B,2,0),"!COD NO ENCONTRADO"),"")</f>
        <v/>
      </c>
      <c r="I2562" s="77"/>
      <c r="J2562" s="78"/>
      <c r="K2562" s="79"/>
      <c r="L2562" s="80" t="str">
        <f aca="false">IF(AND(J2562&lt;&gt;"",K2562&lt;&gt;""),J2562*K2562,"")</f>
        <v/>
      </c>
      <c r="M2562" s="81" t="str">
        <f aca="false">IF(L2562&lt;&gt;"",L2562*1.1,"")</f>
        <v/>
      </c>
      <c r="N2562" s="53" t="n">
        <f aca="false">IF(F2562="S",L2562*0.02,0)</f>
        <v>0</v>
      </c>
      <c r="O2562" s="82" t="str">
        <f aca="false">IF(L2562&lt;&gt;"",L2562+N2562,"")</f>
        <v/>
      </c>
      <c r="P2562" s="53" t="str">
        <f aca="false">IF(O2562&lt;&gt;"",O2562*0.1,"")</f>
        <v/>
      </c>
      <c r="Q2562" s="83" t="str">
        <f aca="false">IF(O2562&lt;&gt;"",O2562+P2562,"")</f>
        <v/>
      </c>
      <c r="R2562" s="84"/>
    </row>
    <row r="2563" customFormat="false" ht="15" hidden="false" customHeight="true" outlineLevel="0" collapsed="false">
      <c r="A2563" s="103"/>
      <c r="B2563" s="85"/>
      <c r="C2563" s="86"/>
      <c r="D2563" s="87"/>
      <c r="E2563" s="46" t="str">
        <f aca="false">IF(D2563&lt;&gt;"",IFERROR(VLOOKUP(D2563,PROVEEDORES!$A:$B,2,0),"!COD NO ENCONTRADO"),"")</f>
        <v/>
      </c>
      <c r="F2563" s="88" t="str">
        <f aca="false">IF(D2563&lt;&gt;"",IFERROR(VLOOKUP(D2563,PROVEEDORES!$A:$C,3,0),""),"")</f>
        <v/>
      </c>
      <c r="G2563" s="87"/>
      <c r="H2563" s="46" t="str">
        <f aca="false">IF(G2563&lt;&gt;"",IFERROR(VLOOKUP(G2563,PRODUCTOS!$A:$B,2,0),"!COD NO ENCONTRADO"),"")</f>
        <v/>
      </c>
      <c r="I2563" s="89"/>
      <c r="J2563" s="90"/>
      <c r="K2563" s="91"/>
      <c r="L2563" s="80" t="str">
        <f aca="false">IF(AND(J2563&lt;&gt;"",K2563&lt;&gt;""),J2563*K2563,"")</f>
        <v/>
      </c>
      <c r="M2563" s="81" t="str">
        <f aca="false">IF(L2563&lt;&gt;"",L2563*1.1,"")</f>
        <v/>
      </c>
      <c r="N2563" s="47" t="n">
        <f aca="false">IF(F2563="S",L2563*0.02,0)</f>
        <v>0</v>
      </c>
      <c r="O2563" s="82" t="str">
        <f aca="false">IF(L2563&lt;&gt;"",L2563+N2563,"")</f>
        <v/>
      </c>
      <c r="P2563" s="47" t="str">
        <f aca="false">IF(O2563&lt;&gt;"",O2563*0.1,"")</f>
        <v/>
      </c>
      <c r="Q2563" s="83" t="str">
        <f aca="false">IF(O2563&lt;&gt;"",O2563+P2563,"")</f>
        <v/>
      </c>
      <c r="R2563" s="84"/>
    </row>
    <row r="2564" customFormat="false" ht="15" hidden="false" customHeight="true" outlineLevel="0" collapsed="false">
      <c r="A2564" s="103"/>
      <c r="B2564" s="73"/>
      <c r="C2564" s="74"/>
      <c r="D2564" s="75"/>
      <c r="E2564" s="52" t="str">
        <f aca="false">IF(D2564&lt;&gt;"",IFERROR(VLOOKUP(D2564,PROVEEDORES!$A:$B,2,0),"!COD NO ENCONTRADO"),"")</f>
        <v/>
      </c>
      <c r="F2564" s="76" t="str">
        <f aca="false">IF(D2564&lt;&gt;"",IFERROR(VLOOKUP(D2564,PROVEEDORES!$A:$C,3,0),""),"")</f>
        <v/>
      </c>
      <c r="G2564" s="75"/>
      <c r="H2564" s="52" t="str">
        <f aca="false">IF(G2564&lt;&gt;"",IFERROR(VLOOKUP(G2564,PRODUCTOS!$A:$B,2,0),"!COD NO ENCONTRADO"),"")</f>
        <v/>
      </c>
      <c r="I2564" s="77"/>
      <c r="J2564" s="78"/>
      <c r="K2564" s="79"/>
      <c r="L2564" s="80" t="str">
        <f aca="false">IF(AND(J2564&lt;&gt;"",K2564&lt;&gt;""),J2564*K2564,"")</f>
        <v/>
      </c>
      <c r="M2564" s="81" t="str">
        <f aca="false">IF(L2564&lt;&gt;"",L2564*1.1,"")</f>
        <v/>
      </c>
      <c r="N2564" s="53" t="n">
        <f aca="false">IF(F2564="S",L2564*0.02,0)</f>
        <v>0</v>
      </c>
      <c r="O2564" s="82" t="str">
        <f aca="false">IF(L2564&lt;&gt;"",L2564+N2564,"")</f>
        <v/>
      </c>
      <c r="P2564" s="53" t="str">
        <f aca="false">IF(O2564&lt;&gt;"",O2564*0.1,"")</f>
        <v/>
      </c>
      <c r="Q2564" s="83" t="str">
        <f aca="false">IF(O2564&lt;&gt;"",O2564+P2564,"")</f>
        <v/>
      </c>
      <c r="R2564" s="84"/>
    </row>
    <row r="2565" customFormat="false" ht="15" hidden="false" customHeight="true" outlineLevel="0" collapsed="false">
      <c r="A2565" s="103"/>
      <c r="B2565" s="85"/>
      <c r="C2565" s="86"/>
      <c r="D2565" s="87"/>
      <c r="E2565" s="46" t="str">
        <f aca="false">IF(D2565&lt;&gt;"",IFERROR(VLOOKUP(D2565,PROVEEDORES!$A:$B,2,0),"!COD NO ENCONTRADO"),"")</f>
        <v/>
      </c>
      <c r="F2565" s="88" t="str">
        <f aca="false">IF(D2565&lt;&gt;"",IFERROR(VLOOKUP(D2565,PROVEEDORES!$A:$C,3,0),""),"")</f>
        <v/>
      </c>
      <c r="G2565" s="87"/>
      <c r="H2565" s="46" t="str">
        <f aca="false">IF(G2565&lt;&gt;"",IFERROR(VLOOKUP(G2565,PRODUCTOS!$A:$B,2,0),"!COD NO ENCONTRADO"),"")</f>
        <v/>
      </c>
      <c r="I2565" s="89"/>
      <c r="J2565" s="90"/>
      <c r="K2565" s="91"/>
      <c r="L2565" s="80" t="str">
        <f aca="false">IF(AND(J2565&lt;&gt;"",K2565&lt;&gt;""),J2565*K2565,"")</f>
        <v/>
      </c>
      <c r="M2565" s="81" t="str">
        <f aca="false">IF(L2565&lt;&gt;"",L2565*1.1,"")</f>
        <v/>
      </c>
      <c r="N2565" s="47" t="n">
        <f aca="false">IF(F2565="S",L2565*0.02,0)</f>
        <v>0</v>
      </c>
      <c r="O2565" s="82" t="str">
        <f aca="false">IF(L2565&lt;&gt;"",L2565+N2565,"")</f>
        <v/>
      </c>
      <c r="P2565" s="47" t="str">
        <f aca="false">IF(O2565&lt;&gt;"",O2565*0.1,"")</f>
        <v/>
      </c>
      <c r="Q2565" s="83" t="str">
        <f aca="false">IF(O2565&lt;&gt;"",O2565+P2565,"")</f>
        <v/>
      </c>
      <c r="R2565" s="84"/>
    </row>
    <row r="2566" customFormat="false" ht="15" hidden="false" customHeight="true" outlineLevel="0" collapsed="false">
      <c r="A2566" s="103"/>
      <c r="B2566" s="73"/>
      <c r="C2566" s="74"/>
      <c r="D2566" s="75"/>
      <c r="E2566" s="52" t="str">
        <f aca="false">IF(D2566&lt;&gt;"",IFERROR(VLOOKUP(D2566,PROVEEDORES!$A:$B,2,0),"!COD NO ENCONTRADO"),"")</f>
        <v/>
      </c>
      <c r="F2566" s="76" t="str">
        <f aca="false">IF(D2566&lt;&gt;"",IFERROR(VLOOKUP(D2566,PROVEEDORES!$A:$C,3,0),""),"")</f>
        <v/>
      </c>
      <c r="G2566" s="75"/>
      <c r="H2566" s="52" t="str">
        <f aca="false">IF(G2566&lt;&gt;"",IFERROR(VLOOKUP(G2566,PRODUCTOS!$A:$B,2,0),"!COD NO ENCONTRADO"),"")</f>
        <v/>
      </c>
      <c r="I2566" s="77"/>
      <c r="J2566" s="78"/>
      <c r="K2566" s="79"/>
      <c r="L2566" s="80" t="str">
        <f aca="false">IF(AND(J2566&lt;&gt;"",K2566&lt;&gt;""),J2566*K2566,"")</f>
        <v/>
      </c>
      <c r="M2566" s="81" t="str">
        <f aca="false">IF(L2566&lt;&gt;"",L2566*1.1,"")</f>
        <v/>
      </c>
      <c r="N2566" s="53" t="n">
        <f aca="false">IF(F2566="S",L2566*0.02,0)</f>
        <v>0</v>
      </c>
      <c r="O2566" s="82" t="str">
        <f aca="false">IF(L2566&lt;&gt;"",L2566+N2566,"")</f>
        <v/>
      </c>
      <c r="P2566" s="53" t="str">
        <f aca="false">IF(O2566&lt;&gt;"",O2566*0.1,"")</f>
        <v/>
      </c>
      <c r="Q2566" s="83" t="str">
        <f aca="false">IF(O2566&lt;&gt;"",O2566+P2566,"")</f>
        <v/>
      </c>
      <c r="R2566" s="84"/>
    </row>
    <row r="2567" customFormat="false" ht="15" hidden="false" customHeight="true" outlineLevel="0" collapsed="false">
      <c r="A2567" s="103"/>
      <c r="B2567" s="85"/>
      <c r="C2567" s="86"/>
      <c r="D2567" s="87"/>
      <c r="E2567" s="46" t="str">
        <f aca="false">IF(D2567&lt;&gt;"",IFERROR(VLOOKUP(D2567,PROVEEDORES!$A:$B,2,0),"!COD NO ENCONTRADO"),"")</f>
        <v/>
      </c>
      <c r="F2567" s="88" t="str">
        <f aca="false">IF(D2567&lt;&gt;"",IFERROR(VLOOKUP(D2567,PROVEEDORES!$A:$C,3,0),""),"")</f>
        <v/>
      </c>
      <c r="G2567" s="87"/>
      <c r="H2567" s="46" t="str">
        <f aca="false">IF(G2567&lt;&gt;"",IFERROR(VLOOKUP(G2567,PRODUCTOS!$A:$B,2,0),"!COD NO ENCONTRADO"),"")</f>
        <v/>
      </c>
      <c r="I2567" s="89"/>
      <c r="J2567" s="90"/>
      <c r="K2567" s="91"/>
      <c r="L2567" s="80" t="str">
        <f aca="false">IF(AND(J2567&lt;&gt;"",K2567&lt;&gt;""),J2567*K2567,"")</f>
        <v/>
      </c>
      <c r="M2567" s="81" t="str">
        <f aca="false">IF(L2567&lt;&gt;"",L2567*1.1,"")</f>
        <v/>
      </c>
      <c r="N2567" s="47" t="n">
        <f aca="false">IF(F2567="S",L2567*0.02,0)</f>
        <v>0</v>
      </c>
      <c r="O2567" s="82" t="str">
        <f aca="false">IF(L2567&lt;&gt;"",L2567+N2567,"")</f>
        <v/>
      </c>
      <c r="P2567" s="47" t="str">
        <f aca="false">IF(O2567&lt;&gt;"",O2567*0.1,"")</f>
        <v/>
      </c>
      <c r="Q2567" s="83" t="str">
        <f aca="false">IF(O2567&lt;&gt;"",O2567+P2567,"")</f>
        <v/>
      </c>
      <c r="R2567" s="84"/>
    </row>
    <row r="2568" customFormat="false" ht="15" hidden="false" customHeight="true" outlineLevel="0" collapsed="false">
      <c r="A2568" s="103"/>
      <c r="B2568" s="73"/>
      <c r="C2568" s="74"/>
      <c r="D2568" s="75"/>
      <c r="E2568" s="52" t="str">
        <f aca="false">IF(D2568&lt;&gt;"",IFERROR(VLOOKUP(D2568,PROVEEDORES!$A:$B,2,0),"!COD NO ENCONTRADO"),"")</f>
        <v/>
      </c>
      <c r="F2568" s="76" t="str">
        <f aca="false">IF(D2568&lt;&gt;"",IFERROR(VLOOKUP(D2568,PROVEEDORES!$A:$C,3,0),""),"")</f>
        <v/>
      </c>
      <c r="G2568" s="75"/>
      <c r="H2568" s="52" t="str">
        <f aca="false">IF(G2568&lt;&gt;"",IFERROR(VLOOKUP(G2568,PRODUCTOS!$A:$B,2,0),"!COD NO ENCONTRADO"),"")</f>
        <v/>
      </c>
      <c r="I2568" s="77"/>
      <c r="J2568" s="78"/>
      <c r="K2568" s="79"/>
      <c r="L2568" s="80" t="str">
        <f aca="false">IF(AND(J2568&lt;&gt;"",K2568&lt;&gt;""),J2568*K2568,"")</f>
        <v/>
      </c>
      <c r="M2568" s="81" t="str">
        <f aca="false">IF(L2568&lt;&gt;"",L2568*1.1,"")</f>
        <v/>
      </c>
      <c r="N2568" s="53" t="n">
        <f aca="false">IF(F2568="S",L2568*0.02,0)</f>
        <v>0</v>
      </c>
      <c r="O2568" s="82" t="str">
        <f aca="false">IF(L2568&lt;&gt;"",L2568+N2568,"")</f>
        <v/>
      </c>
      <c r="P2568" s="53" t="str">
        <f aca="false">IF(O2568&lt;&gt;"",O2568*0.1,"")</f>
        <v/>
      </c>
      <c r="Q2568" s="83" t="str">
        <f aca="false">IF(O2568&lt;&gt;"",O2568+P2568,"")</f>
        <v/>
      </c>
      <c r="R2568" s="84"/>
    </row>
    <row r="2569" customFormat="false" ht="15" hidden="false" customHeight="true" outlineLevel="0" collapsed="false">
      <c r="A2569" s="103"/>
      <c r="B2569" s="85"/>
      <c r="C2569" s="86"/>
      <c r="D2569" s="87"/>
      <c r="E2569" s="46" t="str">
        <f aca="false">IF(D2569&lt;&gt;"",IFERROR(VLOOKUP(D2569,PROVEEDORES!$A:$B,2,0),"!COD NO ENCONTRADO"),"")</f>
        <v/>
      </c>
      <c r="F2569" s="88" t="str">
        <f aca="false">IF(D2569&lt;&gt;"",IFERROR(VLOOKUP(D2569,PROVEEDORES!$A:$C,3,0),""),"")</f>
        <v/>
      </c>
      <c r="G2569" s="87"/>
      <c r="H2569" s="46" t="str">
        <f aca="false">IF(G2569&lt;&gt;"",IFERROR(VLOOKUP(G2569,PRODUCTOS!$A:$B,2,0),"!COD NO ENCONTRADO"),"")</f>
        <v/>
      </c>
      <c r="I2569" s="89"/>
      <c r="J2569" s="90"/>
      <c r="K2569" s="91"/>
      <c r="L2569" s="80" t="str">
        <f aca="false">IF(AND(J2569&lt;&gt;"",K2569&lt;&gt;""),J2569*K2569,"")</f>
        <v/>
      </c>
      <c r="M2569" s="81" t="str">
        <f aca="false">IF(L2569&lt;&gt;"",L2569*1.1,"")</f>
        <v/>
      </c>
      <c r="N2569" s="47" t="n">
        <f aca="false">IF(F2569="S",L2569*0.02,0)</f>
        <v>0</v>
      </c>
      <c r="O2569" s="82" t="str">
        <f aca="false">IF(L2569&lt;&gt;"",L2569+N2569,"")</f>
        <v/>
      </c>
      <c r="P2569" s="47" t="str">
        <f aca="false">IF(O2569&lt;&gt;"",O2569*0.1,"")</f>
        <v/>
      </c>
      <c r="Q2569" s="83" t="str">
        <f aca="false">IF(O2569&lt;&gt;"",O2569+P2569,"")</f>
        <v/>
      </c>
      <c r="R2569" s="84"/>
    </row>
    <row r="2570" customFormat="false" ht="15" hidden="false" customHeight="true" outlineLevel="0" collapsed="false">
      <c r="A2570" s="103"/>
      <c r="B2570" s="73"/>
      <c r="C2570" s="74"/>
      <c r="D2570" s="75"/>
      <c r="E2570" s="52" t="str">
        <f aca="false">IF(D2570&lt;&gt;"",IFERROR(VLOOKUP(D2570,PROVEEDORES!$A:$B,2,0),"!COD NO ENCONTRADO"),"")</f>
        <v/>
      </c>
      <c r="F2570" s="76" t="str">
        <f aca="false">IF(D2570&lt;&gt;"",IFERROR(VLOOKUP(D2570,PROVEEDORES!$A:$C,3,0),""),"")</f>
        <v/>
      </c>
      <c r="G2570" s="75"/>
      <c r="H2570" s="52" t="str">
        <f aca="false">IF(G2570&lt;&gt;"",IFERROR(VLOOKUP(G2570,PRODUCTOS!$A:$B,2,0),"!COD NO ENCONTRADO"),"")</f>
        <v/>
      </c>
      <c r="I2570" s="77"/>
      <c r="J2570" s="78"/>
      <c r="K2570" s="79"/>
      <c r="L2570" s="80" t="str">
        <f aca="false">IF(AND(J2570&lt;&gt;"",K2570&lt;&gt;""),J2570*K2570,"")</f>
        <v/>
      </c>
      <c r="M2570" s="81" t="str">
        <f aca="false">IF(L2570&lt;&gt;"",L2570*1.1,"")</f>
        <v/>
      </c>
      <c r="N2570" s="53" t="n">
        <f aca="false">IF(F2570="S",L2570*0.02,0)</f>
        <v>0</v>
      </c>
      <c r="O2570" s="82" t="str">
        <f aca="false">IF(L2570&lt;&gt;"",L2570+N2570,"")</f>
        <v/>
      </c>
      <c r="P2570" s="53" t="str">
        <f aca="false">IF(O2570&lt;&gt;"",O2570*0.1,"")</f>
        <v/>
      </c>
      <c r="Q2570" s="83" t="str">
        <f aca="false">IF(O2570&lt;&gt;"",O2570+P2570,"")</f>
        <v/>
      </c>
      <c r="R2570" s="84"/>
    </row>
    <row r="2571" customFormat="false" ht="15" hidden="false" customHeight="true" outlineLevel="0" collapsed="false">
      <c r="A2571" s="103"/>
      <c r="B2571" s="85"/>
      <c r="C2571" s="86"/>
      <c r="D2571" s="87"/>
      <c r="E2571" s="46" t="str">
        <f aca="false">IF(D2571&lt;&gt;"",IFERROR(VLOOKUP(D2571,PROVEEDORES!$A:$B,2,0),"!COD NO ENCONTRADO"),"")</f>
        <v/>
      </c>
      <c r="F2571" s="88" t="str">
        <f aca="false">IF(D2571&lt;&gt;"",IFERROR(VLOOKUP(D2571,PROVEEDORES!$A:$C,3,0),""),"")</f>
        <v/>
      </c>
      <c r="G2571" s="87"/>
      <c r="H2571" s="46" t="str">
        <f aca="false">IF(G2571&lt;&gt;"",IFERROR(VLOOKUP(G2571,PRODUCTOS!$A:$B,2,0),"!COD NO ENCONTRADO"),"")</f>
        <v/>
      </c>
      <c r="I2571" s="89"/>
      <c r="J2571" s="90"/>
      <c r="K2571" s="91"/>
      <c r="L2571" s="80" t="str">
        <f aca="false">IF(AND(J2571&lt;&gt;"",K2571&lt;&gt;""),J2571*K2571,"")</f>
        <v/>
      </c>
      <c r="M2571" s="81" t="str">
        <f aca="false">IF(L2571&lt;&gt;"",L2571*1.1,"")</f>
        <v/>
      </c>
      <c r="N2571" s="47" t="n">
        <f aca="false">IF(F2571="S",L2571*0.02,0)</f>
        <v>0</v>
      </c>
      <c r="O2571" s="82" t="str">
        <f aca="false">IF(L2571&lt;&gt;"",L2571+N2571,"")</f>
        <v/>
      </c>
      <c r="P2571" s="47" t="str">
        <f aca="false">IF(O2571&lt;&gt;"",O2571*0.1,"")</f>
        <v/>
      </c>
      <c r="Q2571" s="83" t="str">
        <f aca="false">IF(O2571&lt;&gt;"",O2571+P2571,"")</f>
        <v/>
      </c>
      <c r="R2571" s="84"/>
    </row>
    <row r="2572" customFormat="false" ht="15" hidden="false" customHeight="true" outlineLevel="0" collapsed="false">
      <c r="A2572" s="103"/>
      <c r="B2572" s="73"/>
      <c r="C2572" s="74"/>
      <c r="D2572" s="75"/>
      <c r="E2572" s="52" t="str">
        <f aca="false">IF(D2572&lt;&gt;"",IFERROR(VLOOKUP(D2572,PROVEEDORES!$A:$B,2,0),"!COD NO ENCONTRADO"),"")</f>
        <v/>
      </c>
      <c r="F2572" s="76" t="str">
        <f aca="false">IF(D2572&lt;&gt;"",IFERROR(VLOOKUP(D2572,PROVEEDORES!$A:$C,3,0),""),"")</f>
        <v/>
      </c>
      <c r="G2572" s="75"/>
      <c r="H2572" s="52" t="str">
        <f aca="false">IF(G2572&lt;&gt;"",IFERROR(VLOOKUP(G2572,PRODUCTOS!$A:$B,2,0),"!COD NO ENCONTRADO"),"")</f>
        <v/>
      </c>
      <c r="I2572" s="77"/>
      <c r="J2572" s="78"/>
      <c r="K2572" s="79"/>
      <c r="L2572" s="80" t="str">
        <f aca="false">IF(AND(J2572&lt;&gt;"",K2572&lt;&gt;""),J2572*K2572,"")</f>
        <v/>
      </c>
      <c r="M2572" s="81" t="str">
        <f aca="false">IF(L2572&lt;&gt;"",L2572*1.1,"")</f>
        <v/>
      </c>
      <c r="N2572" s="53" t="n">
        <f aca="false">IF(F2572="S",L2572*0.02,0)</f>
        <v>0</v>
      </c>
      <c r="O2572" s="82" t="str">
        <f aca="false">IF(L2572&lt;&gt;"",L2572+N2572,"")</f>
        <v/>
      </c>
      <c r="P2572" s="53" t="str">
        <f aca="false">IF(O2572&lt;&gt;"",O2572*0.1,"")</f>
        <v/>
      </c>
      <c r="Q2572" s="83" t="str">
        <f aca="false">IF(O2572&lt;&gt;"",O2572+P2572,"")</f>
        <v/>
      </c>
      <c r="R2572" s="84"/>
    </row>
    <row r="2573" customFormat="false" ht="15" hidden="false" customHeight="true" outlineLevel="0" collapsed="false">
      <c r="A2573" s="103"/>
      <c r="B2573" s="85"/>
      <c r="C2573" s="86"/>
      <c r="D2573" s="87"/>
      <c r="E2573" s="46" t="str">
        <f aca="false">IF(D2573&lt;&gt;"",IFERROR(VLOOKUP(D2573,PROVEEDORES!$A:$B,2,0),"!COD NO ENCONTRADO"),"")</f>
        <v/>
      </c>
      <c r="F2573" s="88" t="str">
        <f aca="false">IF(D2573&lt;&gt;"",IFERROR(VLOOKUP(D2573,PROVEEDORES!$A:$C,3,0),""),"")</f>
        <v/>
      </c>
      <c r="G2573" s="87"/>
      <c r="H2573" s="46" t="str">
        <f aca="false">IF(G2573&lt;&gt;"",IFERROR(VLOOKUP(G2573,PRODUCTOS!$A:$B,2,0),"!COD NO ENCONTRADO"),"")</f>
        <v/>
      </c>
      <c r="I2573" s="89"/>
      <c r="J2573" s="90"/>
      <c r="K2573" s="91"/>
      <c r="L2573" s="80" t="str">
        <f aca="false">IF(AND(J2573&lt;&gt;"",K2573&lt;&gt;""),J2573*K2573,"")</f>
        <v/>
      </c>
      <c r="M2573" s="81" t="str">
        <f aca="false">IF(L2573&lt;&gt;"",L2573*1.1,"")</f>
        <v/>
      </c>
      <c r="N2573" s="47" t="n">
        <f aca="false">IF(F2573="S",L2573*0.02,0)</f>
        <v>0</v>
      </c>
      <c r="O2573" s="82" t="str">
        <f aca="false">IF(L2573&lt;&gt;"",L2573+N2573,"")</f>
        <v/>
      </c>
      <c r="P2573" s="47" t="str">
        <f aca="false">IF(O2573&lt;&gt;"",O2573*0.1,"")</f>
        <v/>
      </c>
      <c r="Q2573" s="83" t="str">
        <f aca="false">IF(O2573&lt;&gt;"",O2573+P2573,"")</f>
        <v/>
      </c>
      <c r="R2573" s="84"/>
    </row>
    <row r="2574" customFormat="false" ht="15" hidden="false" customHeight="true" outlineLevel="0" collapsed="false">
      <c r="A2574" s="103"/>
      <c r="B2574" s="73"/>
      <c r="C2574" s="74"/>
      <c r="D2574" s="75"/>
      <c r="E2574" s="52" t="str">
        <f aca="false">IF(D2574&lt;&gt;"",IFERROR(VLOOKUP(D2574,PROVEEDORES!$A:$B,2,0),"!COD NO ENCONTRADO"),"")</f>
        <v/>
      </c>
      <c r="F2574" s="76" t="str">
        <f aca="false">IF(D2574&lt;&gt;"",IFERROR(VLOOKUP(D2574,PROVEEDORES!$A:$C,3,0),""),"")</f>
        <v/>
      </c>
      <c r="G2574" s="75"/>
      <c r="H2574" s="52" t="str">
        <f aca="false">IF(G2574&lt;&gt;"",IFERROR(VLOOKUP(G2574,PRODUCTOS!$A:$B,2,0),"!COD NO ENCONTRADO"),"")</f>
        <v/>
      </c>
      <c r="I2574" s="77"/>
      <c r="J2574" s="78"/>
      <c r="K2574" s="79"/>
      <c r="L2574" s="80" t="str">
        <f aca="false">IF(AND(J2574&lt;&gt;"",K2574&lt;&gt;""),J2574*K2574,"")</f>
        <v/>
      </c>
      <c r="M2574" s="81" t="str">
        <f aca="false">IF(L2574&lt;&gt;"",L2574*1.1,"")</f>
        <v/>
      </c>
      <c r="N2574" s="53" t="n">
        <f aca="false">IF(F2574="S",L2574*0.02,0)</f>
        <v>0</v>
      </c>
      <c r="O2574" s="82" t="str">
        <f aca="false">IF(L2574&lt;&gt;"",L2574+N2574,"")</f>
        <v/>
      </c>
      <c r="P2574" s="53" t="str">
        <f aca="false">IF(O2574&lt;&gt;"",O2574*0.1,"")</f>
        <v/>
      </c>
      <c r="Q2574" s="83" t="str">
        <f aca="false">IF(O2574&lt;&gt;"",O2574+P2574,"")</f>
        <v/>
      </c>
      <c r="R2574" s="84"/>
    </row>
    <row r="2575" customFormat="false" ht="15" hidden="false" customHeight="true" outlineLevel="0" collapsed="false">
      <c r="A2575" s="103"/>
      <c r="B2575" s="85"/>
      <c r="C2575" s="86"/>
      <c r="D2575" s="87"/>
      <c r="E2575" s="46" t="str">
        <f aca="false">IF(D2575&lt;&gt;"",IFERROR(VLOOKUP(D2575,PROVEEDORES!$A:$B,2,0),"!COD NO ENCONTRADO"),"")</f>
        <v/>
      </c>
      <c r="F2575" s="88" t="str">
        <f aca="false">IF(D2575&lt;&gt;"",IFERROR(VLOOKUP(D2575,PROVEEDORES!$A:$C,3,0),""),"")</f>
        <v/>
      </c>
      <c r="G2575" s="87"/>
      <c r="H2575" s="46" t="str">
        <f aca="false">IF(G2575&lt;&gt;"",IFERROR(VLOOKUP(G2575,PRODUCTOS!$A:$B,2,0),"!COD NO ENCONTRADO"),"")</f>
        <v/>
      </c>
      <c r="I2575" s="89"/>
      <c r="J2575" s="90"/>
      <c r="K2575" s="91"/>
      <c r="L2575" s="80" t="str">
        <f aca="false">IF(AND(J2575&lt;&gt;"",K2575&lt;&gt;""),J2575*K2575,"")</f>
        <v/>
      </c>
      <c r="M2575" s="81" t="str">
        <f aca="false">IF(L2575&lt;&gt;"",L2575*1.1,"")</f>
        <v/>
      </c>
      <c r="N2575" s="47" t="n">
        <f aca="false">IF(F2575="S",L2575*0.02,0)</f>
        <v>0</v>
      </c>
      <c r="O2575" s="82" t="str">
        <f aca="false">IF(L2575&lt;&gt;"",L2575+N2575,"")</f>
        <v/>
      </c>
      <c r="P2575" s="47" t="str">
        <f aca="false">IF(O2575&lt;&gt;"",O2575*0.1,"")</f>
        <v/>
      </c>
      <c r="Q2575" s="83" t="str">
        <f aca="false">IF(O2575&lt;&gt;"",O2575+P2575,"")</f>
        <v/>
      </c>
      <c r="R2575" s="84"/>
    </row>
    <row r="2576" customFormat="false" ht="15" hidden="false" customHeight="true" outlineLevel="0" collapsed="false">
      <c r="A2576" s="103"/>
      <c r="B2576" s="73"/>
      <c r="C2576" s="74"/>
      <c r="D2576" s="75"/>
      <c r="E2576" s="52" t="str">
        <f aca="false">IF(D2576&lt;&gt;"",IFERROR(VLOOKUP(D2576,PROVEEDORES!$A:$B,2,0),"!COD NO ENCONTRADO"),"")</f>
        <v/>
      </c>
      <c r="F2576" s="76" t="str">
        <f aca="false">IF(D2576&lt;&gt;"",IFERROR(VLOOKUP(D2576,PROVEEDORES!$A:$C,3,0),""),"")</f>
        <v/>
      </c>
      <c r="G2576" s="75"/>
      <c r="H2576" s="52" t="str">
        <f aca="false">IF(G2576&lt;&gt;"",IFERROR(VLOOKUP(G2576,PRODUCTOS!$A:$B,2,0),"!COD NO ENCONTRADO"),"")</f>
        <v/>
      </c>
      <c r="I2576" s="77"/>
      <c r="J2576" s="78"/>
      <c r="K2576" s="79"/>
      <c r="L2576" s="80" t="str">
        <f aca="false">IF(AND(J2576&lt;&gt;"",K2576&lt;&gt;""),J2576*K2576,"")</f>
        <v/>
      </c>
      <c r="M2576" s="81" t="str">
        <f aca="false">IF(L2576&lt;&gt;"",L2576*1.1,"")</f>
        <v/>
      </c>
      <c r="N2576" s="53" t="n">
        <f aca="false">IF(F2576="S",L2576*0.02,0)</f>
        <v>0</v>
      </c>
      <c r="O2576" s="82" t="str">
        <f aca="false">IF(L2576&lt;&gt;"",L2576+N2576,"")</f>
        <v/>
      </c>
      <c r="P2576" s="53" t="str">
        <f aca="false">IF(O2576&lt;&gt;"",O2576*0.1,"")</f>
        <v/>
      </c>
      <c r="Q2576" s="83" t="str">
        <f aca="false">IF(O2576&lt;&gt;"",O2576+P2576,"")</f>
        <v/>
      </c>
      <c r="R2576" s="84"/>
    </row>
    <row r="2577" customFormat="false" ht="15" hidden="false" customHeight="true" outlineLevel="0" collapsed="false">
      <c r="A2577" s="103"/>
      <c r="B2577" s="85"/>
      <c r="C2577" s="86"/>
      <c r="D2577" s="87"/>
      <c r="E2577" s="46" t="str">
        <f aca="false">IF(D2577&lt;&gt;"",IFERROR(VLOOKUP(D2577,PROVEEDORES!$A:$B,2,0),"!COD NO ENCONTRADO"),"")</f>
        <v/>
      </c>
      <c r="F2577" s="88" t="str">
        <f aca="false">IF(D2577&lt;&gt;"",IFERROR(VLOOKUP(D2577,PROVEEDORES!$A:$C,3,0),""),"")</f>
        <v/>
      </c>
      <c r="G2577" s="87"/>
      <c r="H2577" s="46" t="str">
        <f aca="false">IF(G2577&lt;&gt;"",IFERROR(VLOOKUP(G2577,PRODUCTOS!$A:$B,2,0),"!COD NO ENCONTRADO"),"")</f>
        <v/>
      </c>
      <c r="I2577" s="89"/>
      <c r="J2577" s="90"/>
      <c r="K2577" s="91"/>
      <c r="L2577" s="80" t="str">
        <f aca="false">IF(AND(J2577&lt;&gt;"",K2577&lt;&gt;""),J2577*K2577,"")</f>
        <v/>
      </c>
      <c r="M2577" s="81" t="str">
        <f aca="false">IF(L2577&lt;&gt;"",L2577*1.1,"")</f>
        <v/>
      </c>
      <c r="N2577" s="47" t="n">
        <f aca="false">IF(F2577="S",L2577*0.02,0)</f>
        <v>0</v>
      </c>
      <c r="O2577" s="82" t="str">
        <f aca="false">IF(L2577&lt;&gt;"",L2577+N2577,"")</f>
        <v/>
      </c>
      <c r="P2577" s="47" t="str">
        <f aca="false">IF(O2577&lt;&gt;"",O2577*0.1,"")</f>
        <v/>
      </c>
      <c r="Q2577" s="83" t="str">
        <f aca="false">IF(O2577&lt;&gt;"",O2577+P2577,"")</f>
        <v/>
      </c>
      <c r="R2577" s="84"/>
    </row>
    <row r="2578" customFormat="false" ht="15" hidden="false" customHeight="true" outlineLevel="0" collapsed="false">
      <c r="A2578" s="103"/>
      <c r="B2578" s="73"/>
      <c r="C2578" s="74"/>
      <c r="D2578" s="75"/>
      <c r="E2578" s="52" t="str">
        <f aca="false">IF(D2578&lt;&gt;"",IFERROR(VLOOKUP(D2578,PROVEEDORES!$A:$B,2,0),"!COD NO ENCONTRADO"),"")</f>
        <v/>
      </c>
      <c r="F2578" s="76" t="str">
        <f aca="false">IF(D2578&lt;&gt;"",IFERROR(VLOOKUP(D2578,PROVEEDORES!$A:$C,3,0),""),"")</f>
        <v/>
      </c>
      <c r="G2578" s="75"/>
      <c r="H2578" s="52" t="str">
        <f aca="false">IF(G2578&lt;&gt;"",IFERROR(VLOOKUP(G2578,PRODUCTOS!$A:$B,2,0),"!COD NO ENCONTRADO"),"")</f>
        <v/>
      </c>
      <c r="I2578" s="77"/>
      <c r="J2578" s="78"/>
      <c r="K2578" s="79"/>
      <c r="L2578" s="80" t="str">
        <f aca="false">IF(AND(J2578&lt;&gt;"",K2578&lt;&gt;""),J2578*K2578,"")</f>
        <v/>
      </c>
      <c r="M2578" s="81" t="str">
        <f aca="false">IF(L2578&lt;&gt;"",L2578*1.1,"")</f>
        <v/>
      </c>
      <c r="N2578" s="53" t="n">
        <f aca="false">IF(F2578="S",L2578*0.02,0)</f>
        <v>0</v>
      </c>
      <c r="O2578" s="82" t="str">
        <f aca="false">IF(L2578&lt;&gt;"",L2578+N2578,"")</f>
        <v/>
      </c>
      <c r="P2578" s="53" t="str">
        <f aca="false">IF(O2578&lt;&gt;"",O2578*0.1,"")</f>
        <v/>
      </c>
      <c r="Q2578" s="83" t="str">
        <f aca="false">IF(O2578&lt;&gt;"",O2578+P2578,"")</f>
        <v/>
      </c>
      <c r="R2578" s="84"/>
    </row>
    <row r="2579" customFormat="false" ht="15" hidden="false" customHeight="true" outlineLevel="0" collapsed="false">
      <c r="A2579" s="103"/>
      <c r="B2579" s="85"/>
      <c r="C2579" s="86"/>
      <c r="D2579" s="87"/>
      <c r="E2579" s="46" t="str">
        <f aca="false">IF(D2579&lt;&gt;"",IFERROR(VLOOKUP(D2579,PROVEEDORES!$A:$B,2,0),"!COD NO ENCONTRADO"),"")</f>
        <v/>
      </c>
      <c r="F2579" s="88" t="str">
        <f aca="false">IF(D2579&lt;&gt;"",IFERROR(VLOOKUP(D2579,PROVEEDORES!$A:$C,3,0),""),"")</f>
        <v/>
      </c>
      <c r="G2579" s="87"/>
      <c r="H2579" s="46" t="str">
        <f aca="false">IF(G2579&lt;&gt;"",IFERROR(VLOOKUP(G2579,PRODUCTOS!$A:$B,2,0),"!COD NO ENCONTRADO"),"")</f>
        <v/>
      </c>
      <c r="I2579" s="89"/>
      <c r="J2579" s="90"/>
      <c r="K2579" s="91"/>
      <c r="L2579" s="80" t="str">
        <f aca="false">IF(AND(J2579&lt;&gt;"",K2579&lt;&gt;""),J2579*K2579,"")</f>
        <v/>
      </c>
      <c r="M2579" s="81" t="str">
        <f aca="false">IF(L2579&lt;&gt;"",L2579*1.1,"")</f>
        <v/>
      </c>
      <c r="N2579" s="47" t="n">
        <f aca="false">IF(F2579="S",L2579*0.02,0)</f>
        <v>0</v>
      </c>
      <c r="O2579" s="82" t="str">
        <f aca="false">IF(L2579&lt;&gt;"",L2579+N2579,"")</f>
        <v/>
      </c>
      <c r="P2579" s="47" t="str">
        <f aca="false">IF(O2579&lt;&gt;"",O2579*0.1,"")</f>
        <v/>
      </c>
      <c r="Q2579" s="83" t="str">
        <f aca="false">IF(O2579&lt;&gt;"",O2579+P2579,"")</f>
        <v/>
      </c>
      <c r="R2579" s="84"/>
    </row>
    <row r="2580" customFormat="false" ht="15" hidden="false" customHeight="true" outlineLevel="0" collapsed="false">
      <c r="A2580" s="103"/>
      <c r="B2580" s="73"/>
      <c r="C2580" s="74"/>
      <c r="D2580" s="75"/>
      <c r="E2580" s="52" t="str">
        <f aca="false">IF(D2580&lt;&gt;"",IFERROR(VLOOKUP(D2580,PROVEEDORES!$A:$B,2,0),"!COD NO ENCONTRADO"),"")</f>
        <v/>
      </c>
      <c r="F2580" s="76" t="str">
        <f aca="false">IF(D2580&lt;&gt;"",IFERROR(VLOOKUP(D2580,PROVEEDORES!$A:$C,3,0),""),"")</f>
        <v/>
      </c>
      <c r="G2580" s="75"/>
      <c r="H2580" s="52" t="str">
        <f aca="false">IF(G2580&lt;&gt;"",IFERROR(VLOOKUP(G2580,PRODUCTOS!$A:$B,2,0),"!COD NO ENCONTRADO"),"")</f>
        <v/>
      </c>
      <c r="I2580" s="77"/>
      <c r="J2580" s="78"/>
      <c r="K2580" s="79"/>
      <c r="L2580" s="80" t="str">
        <f aca="false">IF(AND(J2580&lt;&gt;"",K2580&lt;&gt;""),J2580*K2580,"")</f>
        <v/>
      </c>
      <c r="M2580" s="81" t="str">
        <f aca="false">IF(L2580&lt;&gt;"",L2580*1.1,"")</f>
        <v/>
      </c>
      <c r="N2580" s="53" t="n">
        <f aca="false">IF(F2580="S",L2580*0.02,0)</f>
        <v>0</v>
      </c>
      <c r="O2580" s="82" t="str">
        <f aca="false">IF(L2580&lt;&gt;"",L2580+N2580,"")</f>
        <v/>
      </c>
      <c r="P2580" s="53" t="str">
        <f aca="false">IF(O2580&lt;&gt;"",O2580*0.1,"")</f>
        <v/>
      </c>
      <c r="Q2580" s="83" t="str">
        <f aca="false">IF(O2580&lt;&gt;"",O2580+P2580,"")</f>
        <v/>
      </c>
      <c r="R2580" s="84"/>
    </row>
    <row r="2581" customFormat="false" ht="15" hidden="false" customHeight="true" outlineLevel="0" collapsed="false">
      <c r="A2581" s="103"/>
      <c r="B2581" s="85"/>
      <c r="C2581" s="86"/>
      <c r="D2581" s="87"/>
      <c r="E2581" s="46" t="str">
        <f aca="false">IF(D2581&lt;&gt;"",IFERROR(VLOOKUP(D2581,PROVEEDORES!$A:$B,2,0),"!COD NO ENCONTRADO"),"")</f>
        <v/>
      </c>
      <c r="F2581" s="88" t="str">
        <f aca="false">IF(D2581&lt;&gt;"",IFERROR(VLOOKUP(D2581,PROVEEDORES!$A:$C,3,0),""),"")</f>
        <v/>
      </c>
      <c r="G2581" s="87"/>
      <c r="H2581" s="46" t="str">
        <f aca="false">IF(G2581&lt;&gt;"",IFERROR(VLOOKUP(G2581,PRODUCTOS!$A:$B,2,0),"!COD NO ENCONTRADO"),"")</f>
        <v/>
      </c>
      <c r="I2581" s="89"/>
      <c r="J2581" s="90"/>
      <c r="K2581" s="91"/>
      <c r="L2581" s="80" t="str">
        <f aca="false">IF(AND(J2581&lt;&gt;"",K2581&lt;&gt;""),J2581*K2581,"")</f>
        <v/>
      </c>
      <c r="M2581" s="81" t="str">
        <f aca="false">IF(L2581&lt;&gt;"",L2581*1.1,"")</f>
        <v/>
      </c>
      <c r="N2581" s="47" t="n">
        <f aca="false">IF(F2581="S",L2581*0.02,0)</f>
        <v>0</v>
      </c>
      <c r="O2581" s="82" t="str">
        <f aca="false">IF(L2581&lt;&gt;"",L2581+N2581,"")</f>
        <v/>
      </c>
      <c r="P2581" s="47" t="str">
        <f aca="false">IF(O2581&lt;&gt;"",O2581*0.1,"")</f>
        <v/>
      </c>
      <c r="Q2581" s="83" t="str">
        <f aca="false">IF(O2581&lt;&gt;"",O2581+P2581,"")</f>
        <v/>
      </c>
      <c r="R2581" s="84"/>
    </row>
    <row r="2582" customFormat="false" ht="15" hidden="false" customHeight="true" outlineLevel="0" collapsed="false">
      <c r="A2582" s="103"/>
      <c r="B2582" s="73"/>
      <c r="C2582" s="74"/>
      <c r="D2582" s="75"/>
      <c r="E2582" s="52" t="str">
        <f aca="false">IF(D2582&lt;&gt;"",IFERROR(VLOOKUP(D2582,PROVEEDORES!$A:$B,2,0),"!COD NO ENCONTRADO"),"")</f>
        <v/>
      </c>
      <c r="F2582" s="76" t="str">
        <f aca="false">IF(D2582&lt;&gt;"",IFERROR(VLOOKUP(D2582,PROVEEDORES!$A:$C,3,0),""),"")</f>
        <v/>
      </c>
      <c r="G2582" s="75"/>
      <c r="H2582" s="52" t="str">
        <f aca="false">IF(G2582&lt;&gt;"",IFERROR(VLOOKUP(G2582,PRODUCTOS!$A:$B,2,0),"!COD NO ENCONTRADO"),"")</f>
        <v/>
      </c>
      <c r="I2582" s="77"/>
      <c r="J2582" s="78"/>
      <c r="K2582" s="79"/>
      <c r="L2582" s="80" t="str">
        <f aca="false">IF(AND(J2582&lt;&gt;"",K2582&lt;&gt;""),J2582*K2582,"")</f>
        <v/>
      </c>
      <c r="M2582" s="81" t="str">
        <f aca="false">IF(L2582&lt;&gt;"",L2582*1.1,"")</f>
        <v/>
      </c>
      <c r="N2582" s="53" t="n">
        <f aca="false">IF(F2582="S",L2582*0.02,0)</f>
        <v>0</v>
      </c>
      <c r="O2582" s="82" t="str">
        <f aca="false">IF(L2582&lt;&gt;"",L2582+N2582,"")</f>
        <v/>
      </c>
      <c r="P2582" s="53" t="str">
        <f aca="false">IF(O2582&lt;&gt;"",O2582*0.1,"")</f>
        <v/>
      </c>
      <c r="Q2582" s="83" t="str">
        <f aca="false">IF(O2582&lt;&gt;"",O2582+P2582,"")</f>
        <v/>
      </c>
      <c r="R2582" s="84"/>
    </row>
    <row r="2583" customFormat="false" ht="15" hidden="false" customHeight="true" outlineLevel="0" collapsed="false">
      <c r="A2583" s="103"/>
      <c r="B2583" s="85"/>
      <c r="C2583" s="86"/>
      <c r="D2583" s="87"/>
      <c r="E2583" s="46" t="str">
        <f aca="false">IF(D2583&lt;&gt;"",IFERROR(VLOOKUP(D2583,PROVEEDORES!$A:$B,2,0),"!COD NO ENCONTRADO"),"")</f>
        <v/>
      </c>
      <c r="F2583" s="88" t="str">
        <f aca="false">IF(D2583&lt;&gt;"",IFERROR(VLOOKUP(D2583,PROVEEDORES!$A:$C,3,0),""),"")</f>
        <v/>
      </c>
      <c r="G2583" s="87"/>
      <c r="H2583" s="46" t="str">
        <f aca="false">IF(G2583&lt;&gt;"",IFERROR(VLOOKUP(G2583,PRODUCTOS!$A:$B,2,0),"!COD NO ENCONTRADO"),"")</f>
        <v/>
      </c>
      <c r="I2583" s="89"/>
      <c r="J2583" s="90"/>
      <c r="K2583" s="91"/>
      <c r="L2583" s="80" t="str">
        <f aca="false">IF(AND(J2583&lt;&gt;"",K2583&lt;&gt;""),J2583*K2583,"")</f>
        <v/>
      </c>
      <c r="M2583" s="81" t="str">
        <f aca="false">IF(L2583&lt;&gt;"",L2583*1.1,"")</f>
        <v/>
      </c>
      <c r="N2583" s="47" t="n">
        <f aca="false">IF(F2583="S",L2583*0.02,0)</f>
        <v>0</v>
      </c>
      <c r="O2583" s="82" t="str">
        <f aca="false">IF(L2583&lt;&gt;"",L2583+N2583,"")</f>
        <v/>
      </c>
      <c r="P2583" s="47" t="str">
        <f aca="false">IF(O2583&lt;&gt;"",O2583*0.1,"")</f>
        <v/>
      </c>
      <c r="Q2583" s="83" t="str">
        <f aca="false">IF(O2583&lt;&gt;"",O2583+P2583,"")</f>
        <v/>
      </c>
      <c r="R2583" s="84"/>
    </row>
    <row r="2584" customFormat="false" ht="15" hidden="false" customHeight="true" outlineLevel="0" collapsed="false">
      <c r="A2584" s="103"/>
      <c r="B2584" s="73"/>
      <c r="C2584" s="74"/>
      <c r="D2584" s="75"/>
      <c r="E2584" s="52" t="str">
        <f aca="false">IF(D2584&lt;&gt;"",IFERROR(VLOOKUP(D2584,PROVEEDORES!$A:$B,2,0),"!COD NO ENCONTRADO"),"")</f>
        <v/>
      </c>
      <c r="F2584" s="76" t="str">
        <f aca="false">IF(D2584&lt;&gt;"",IFERROR(VLOOKUP(D2584,PROVEEDORES!$A:$C,3,0),""),"")</f>
        <v/>
      </c>
      <c r="G2584" s="75"/>
      <c r="H2584" s="52" t="str">
        <f aca="false">IF(G2584&lt;&gt;"",IFERROR(VLOOKUP(G2584,PRODUCTOS!$A:$B,2,0),"!COD NO ENCONTRADO"),"")</f>
        <v/>
      </c>
      <c r="I2584" s="77"/>
      <c r="J2584" s="78"/>
      <c r="K2584" s="79"/>
      <c r="L2584" s="80" t="str">
        <f aca="false">IF(AND(J2584&lt;&gt;"",K2584&lt;&gt;""),J2584*K2584,"")</f>
        <v/>
      </c>
      <c r="M2584" s="81" t="str">
        <f aca="false">IF(L2584&lt;&gt;"",L2584*1.1,"")</f>
        <v/>
      </c>
      <c r="N2584" s="53" t="n">
        <f aca="false">IF(F2584="S",L2584*0.02,0)</f>
        <v>0</v>
      </c>
      <c r="O2584" s="82" t="str">
        <f aca="false">IF(L2584&lt;&gt;"",L2584+N2584,"")</f>
        <v/>
      </c>
      <c r="P2584" s="53" t="str">
        <f aca="false">IF(O2584&lt;&gt;"",O2584*0.1,"")</f>
        <v/>
      </c>
      <c r="Q2584" s="83" t="str">
        <f aca="false">IF(O2584&lt;&gt;"",O2584+P2584,"")</f>
        <v/>
      </c>
      <c r="R2584" s="84"/>
    </row>
    <row r="2585" customFormat="false" ht="15" hidden="false" customHeight="true" outlineLevel="0" collapsed="false">
      <c r="A2585" s="103"/>
      <c r="B2585" s="85"/>
      <c r="C2585" s="86"/>
      <c r="D2585" s="87"/>
      <c r="E2585" s="46" t="str">
        <f aca="false">IF(D2585&lt;&gt;"",IFERROR(VLOOKUP(D2585,PROVEEDORES!$A:$B,2,0),"!COD NO ENCONTRADO"),"")</f>
        <v/>
      </c>
      <c r="F2585" s="88" t="str">
        <f aca="false">IF(D2585&lt;&gt;"",IFERROR(VLOOKUP(D2585,PROVEEDORES!$A:$C,3,0),""),"")</f>
        <v/>
      </c>
      <c r="G2585" s="87"/>
      <c r="H2585" s="46" t="str">
        <f aca="false">IF(G2585&lt;&gt;"",IFERROR(VLOOKUP(G2585,PRODUCTOS!$A:$B,2,0),"!COD NO ENCONTRADO"),"")</f>
        <v/>
      </c>
      <c r="I2585" s="89"/>
      <c r="J2585" s="90"/>
      <c r="K2585" s="91"/>
      <c r="L2585" s="80" t="str">
        <f aca="false">IF(AND(J2585&lt;&gt;"",K2585&lt;&gt;""),J2585*K2585,"")</f>
        <v/>
      </c>
      <c r="M2585" s="81" t="str">
        <f aca="false">IF(L2585&lt;&gt;"",L2585*1.1,"")</f>
        <v/>
      </c>
      <c r="N2585" s="47" t="n">
        <f aca="false">IF(F2585="S",L2585*0.02,0)</f>
        <v>0</v>
      </c>
      <c r="O2585" s="82" t="str">
        <f aca="false">IF(L2585&lt;&gt;"",L2585+N2585,"")</f>
        <v/>
      </c>
      <c r="P2585" s="47" t="str">
        <f aca="false">IF(O2585&lt;&gt;"",O2585*0.1,"")</f>
        <v/>
      </c>
      <c r="Q2585" s="83" t="str">
        <f aca="false">IF(O2585&lt;&gt;"",O2585+P2585,"")</f>
        <v/>
      </c>
      <c r="R2585" s="84"/>
    </row>
    <row r="2586" customFormat="false" ht="15" hidden="false" customHeight="true" outlineLevel="0" collapsed="false">
      <c r="A2586" s="103"/>
      <c r="B2586" s="73"/>
      <c r="C2586" s="74"/>
      <c r="D2586" s="75"/>
      <c r="E2586" s="52" t="str">
        <f aca="false">IF(D2586&lt;&gt;"",IFERROR(VLOOKUP(D2586,PROVEEDORES!$A:$B,2,0),"!COD NO ENCONTRADO"),"")</f>
        <v/>
      </c>
      <c r="F2586" s="76" t="str">
        <f aca="false">IF(D2586&lt;&gt;"",IFERROR(VLOOKUP(D2586,PROVEEDORES!$A:$C,3,0),""),"")</f>
        <v/>
      </c>
      <c r="G2586" s="75"/>
      <c r="H2586" s="52" t="str">
        <f aca="false">IF(G2586&lt;&gt;"",IFERROR(VLOOKUP(G2586,PRODUCTOS!$A:$B,2,0),"!COD NO ENCONTRADO"),"")</f>
        <v/>
      </c>
      <c r="I2586" s="77"/>
      <c r="J2586" s="78"/>
      <c r="K2586" s="79"/>
      <c r="L2586" s="80" t="str">
        <f aca="false">IF(AND(J2586&lt;&gt;"",K2586&lt;&gt;""),J2586*K2586,"")</f>
        <v/>
      </c>
      <c r="M2586" s="81" t="str">
        <f aca="false">IF(L2586&lt;&gt;"",L2586*1.1,"")</f>
        <v/>
      </c>
      <c r="N2586" s="53" t="n">
        <f aca="false">IF(F2586="S",L2586*0.02,0)</f>
        <v>0</v>
      </c>
      <c r="O2586" s="82" t="str">
        <f aca="false">IF(L2586&lt;&gt;"",L2586+N2586,"")</f>
        <v/>
      </c>
      <c r="P2586" s="53" t="str">
        <f aca="false">IF(O2586&lt;&gt;"",O2586*0.1,"")</f>
        <v/>
      </c>
      <c r="Q2586" s="83" t="str">
        <f aca="false">IF(O2586&lt;&gt;"",O2586+P2586,"")</f>
        <v/>
      </c>
      <c r="R2586" s="84"/>
    </row>
    <row r="2587" customFormat="false" ht="15" hidden="false" customHeight="true" outlineLevel="0" collapsed="false">
      <c r="A2587" s="103"/>
      <c r="B2587" s="85"/>
      <c r="C2587" s="86"/>
      <c r="D2587" s="87"/>
      <c r="E2587" s="46" t="str">
        <f aca="false">IF(D2587&lt;&gt;"",IFERROR(VLOOKUP(D2587,PROVEEDORES!$A:$B,2,0),"!COD NO ENCONTRADO"),"")</f>
        <v/>
      </c>
      <c r="F2587" s="88" t="str">
        <f aca="false">IF(D2587&lt;&gt;"",IFERROR(VLOOKUP(D2587,PROVEEDORES!$A:$C,3,0),""),"")</f>
        <v/>
      </c>
      <c r="G2587" s="87"/>
      <c r="H2587" s="46" t="str">
        <f aca="false">IF(G2587&lt;&gt;"",IFERROR(VLOOKUP(G2587,PRODUCTOS!$A:$B,2,0),"!COD NO ENCONTRADO"),"")</f>
        <v/>
      </c>
      <c r="I2587" s="89"/>
      <c r="J2587" s="90"/>
      <c r="K2587" s="91"/>
      <c r="L2587" s="80" t="str">
        <f aca="false">IF(AND(J2587&lt;&gt;"",K2587&lt;&gt;""),J2587*K2587,"")</f>
        <v/>
      </c>
      <c r="M2587" s="81" t="str">
        <f aca="false">IF(L2587&lt;&gt;"",L2587*1.1,"")</f>
        <v/>
      </c>
      <c r="N2587" s="47" t="n">
        <f aca="false">IF(F2587="S",L2587*0.02,0)</f>
        <v>0</v>
      </c>
      <c r="O2587" s="82" t="str">
        <f aca="false">IF(L2587&lt;&gt;"",L2587+N2587,"")</f>
        <v/>
      </c>
      <c r="P2587" s="47" t="str">
        <f aca="false">IF(O2587&lt;&gt;"",O2587*0.1,"")</f>
        <v/>
      </c>
      <c r="Q2587" s="83" t="str">
        <f aca="false">IF(O2587&lt;&gt;"",O2587+P2587,"")</f>
        <v/>
      </c>
      <c r="R2587" s="84"/>
    </row>
    <row r="2588" customFormat="false" ht="15" hidden="false" customHeight="true" outlineLevel="0" collapsed="false">
      <c r="A2588" s="103"/>
      <c r="B2588" s="73"/>
      <c r="C2588" s="74"/>
      <c r="D2588" s="75"/>
      <c r="E2588" s="52" t="str">
        <f aca="false">IF(D2588&lt;&gt;"",IFERROR(VLOOKUP(D2588,PROVEEDORES!$A:$B,2,0),"!COD NO ENCONTRADO"),"")</f>
        <v/>
      </c>
      <c r="F2588" s="76" t="str">
        <f aca="false">IF(D2588&lt;&gt;"",IFERROR(VLOOKUP(D2588,PROVEEDORES!$A:$C,3,0),""),"")</f>
        <v/>
      </c>
      <c r="G2588" s="75"/>
      <c r="H2588" s="52" t="str">
        <f aca="false">IF(G2588&lt;&gt;"",IFERROR(VLOOKUP(G2588,PRODUCTOS!$A:$B,2,0),"!COD NO ENCONTRADO"),"")</f>
        <v/>
      </c>
      <c r="I2588" s="77"/>
      <c r="J2588" s="78"/>
      <c r="K2588" s="79"/>
      <c r="L2588" s="80" t="str">
        <f aca="false">IF(AND(J2588&lt;&gt;"",K2588&lt;&gt;""),J2588*K2588,"")</f>
        <v/>
      </c>
      <c r="M2588" s="81" t="str">
        <f aca="false">IF(L2588&lt;&gt;"",L2588*1.1,"")</f>
        <v/>
      </c>
      <c r="N2588" s="53" t="n">
        <f aca="false">IF(F2588="S",L2588*0.02,0)</f>
        <v>0</v>
      </c>
      <c r="O2588" s="82" t="str">
        <f aca="false">IF(L2588&lt;&gt;"",L2588+N2588,"")</f>
        <v/>
      </c>
      <c r="P2588" s="53" t="str">
        <f aca="false">IF(O2588&lt;&gt;"",O2588*0.1,"")</f>
        <v/>
      </c>
      <c r="Q2588" s="83" t="str">
        <f aca="false">IF(O2588&lt;&gt;"",O2588+P2588,"")</f>
        <v/>
      </c>
      <c r="R2588" s="84"/>
    </row>
    <row r="2589" customFormat="false" ht="15" hidden="false" customHeight="true" outlineLevel="0" collapsed="false">
      <c r="A2589" s="103"/>
      <c r="B2589" s="85"/>
      <c r="C2589" s="86"/>
      <c r="D2589" s="87"/>
      <c r="E2589" s="46" t="str">
        <f aca="false">IF(D2589&lt;&gt;"",IFERROR(VLOOKUP(D2589,PROVEEDORES!$A:$B,2,0),"!COD NO ENCONTRADO"),"")</f>
        <v/>
      </c>
      <c r="F2589" s="88" t="str">
        <f aca="false">IF(D2589&lt;&gt;"",IFERROR(VLOOKUP(D2589,PROVEEDORES!$A:$C,3,0),""),"")</f>
        <v/>
      </c>
      <c r="G2589" s="87"/>
      <c r="H2589" s="46" t="str">
        <f aca="false">IF(G2589&lt;&gt;"",IFERROR(VLOOKUP(G2589,PRODUCTOS!$A:$B,2,0),"!COD NO ENCONTRADO"),"")</f>
        <v/>
      </c>
      <c r="I2589" s="89"/>
      <c r="J2589" s="90"/>
      <c r="K2589" s="91"/>
      <c r="L2589" s="80" t="str">
        <f aca="false">IF(AND(J2589&lt;&gt;"",K2589&lt;&gt;""),J2589*K2589,"")</f>
        <v/>
      </c>
      <c r="M2589" s="81" t="str">
        <f aca="false">IF(L2589&lt;&gt;"",L2589*1.1,"")</f>
        <v/>
      </c>
      <c r="N2589" s="47" t="n">
        <f aca="false">IF(F2589="S",L2589*0.02,0)</f>
        <v>0</v>
      </c>
      <c r="O2589" s="82" t="str">
        <f aca="false">IF(L2589&lt;&gt;"",L2589+N2589,"")</f>
        <v/>
      </c>
      <c r="P2589" s="47" t="str">
        <f aca="false">IF(O2589&lt;&gt;"",O2589*0.1,"")</f>
        <v/>
      </c>
      <c r="Q2589" s="83" t="str">
        <f aca="false">IF(O2589&lt;&gt;"",O2589+P2589,"")</f>
        <v/>
      </c>
      <c r="R2589" s="84"/>
    </row>
    <row r="2590" customFormat="false" ht="15" hidden="false" customHeight="true" outlineLevel="0" collapsed="false">
      <c r="A2590" s="103"/>
      <c r="B2590" s="73"/>
      <c r="C2590" s="74"/>
      <c r="D2590" s="75"/>
      <c r="E2590" s="52" t="str">
        <f aca="false">IF(D2590&lt;&gt;"",IFERROR(VLOOKUP(D2590,PROVEEDORES!$A:$B,2,0),"!COD NO ENCONTRADO"),"")</f>
        <v/>
      </c>
      <c r="F2590" s="76" t="str">
        <f aca="false">IF(D2590&lt;&gt;"",IFERROR(VLOOKUP(D2590,PROVEEDORES!$A:$C,3,0),""),"")</f>
        <v/>
      </c>
      <c r="G2590" s="75"/>
      <c r="H2590" s="52" t="str">
        <f aca="false">IF(G2590&lt;&gt;"",IFERROR(VLOOKUP(G2590,PRODUCTOS!$A:$B,2,0),"!COD NO ENCONTRADO"),"")</f>
        <v/>
      </c>
      <c r="I2590" s="77"/>
      <c r="J2590" s="78"/>
      <c r="K2590" s="79"/>
      <c r="L2590" s="80" t="str">
        <f aca="false">IF(AND(J2590&lt;&gt;"",K2590&lt;&gt;""),J2590*K2590,"")</f>
        <v/>
      </c>
      <c r="M2590" s="81" t="str">
        <f aca="false">IF(L2590&lt;&gt;"",L2590*1.1,"")</f>
        <v/>
      </c>
      <c r="N2590" s="53" t="n">
        <f aca="false">IF(F2590="S",L2590*0.02,0)</f>
        <v>0</v>
      </c>
      <c r="O2590" s="82" t="str">
        <f aca="false">IF(L2590&lt;&gt;"",L2590+N2590,"")</f>
        <v/>
      </c>
      <c r="P2590" s="53" t="str">
        <f aca="false">IF(O2590&lt;&gt;"",O2590*0.1,"")</f>
        <v/>
      </c>
      <c r="Q2590" s="83" t="str">
        <f aca="false">IF(O2590&lt;&gt;"",O2590+P2590,"")</f>
        <v/>
      </c>
      <c r="R2590" s="84"/>
    </row>
    <row r="2591" customFormat="false" ht="15" hidden="false" customHeight="true" outlineLevel="0" collapsed="false">
      <c r="A2591" s="103"/>
      <c r="B2591" s="85"/>
      <c r="C2591" s="86"/>
      <c r="D2591" s="87"/>
      <c r="E2591" s="46" t="str">
        <f aca="false">IF(D2591&lt;&gt;"",IFERROR(VLOOKUP(D2591,PROVEEDORES!$A:$B,2,0),"!COD NO ENCONTRADO"),"")</f>
        <v/>
      </c>
      <c r="F2591" s="88" t="str">
        <f aca="false">IF(D2591&lt;&gt;"",IFERROR(VLOOKUP(D2591,PROVEEDORES!$A:$C,3,0),""),"")</f>
        <v/>
      </c>
      <c r="G2591" s="87"/>
      <c r="H2591" s="46" t="str">
        <f aca="false">IF(G2591&lt;&gt;"",IFERROR(VLOOKUP(G2591,PRODUCTOS!$A:$B,2,0),"!COD NO ENCONTRADO"),"")</f>
        <v/>
      </c>
      <c r="I2591" s="89"/>
      <c r="J2591" s="90"/>
      <c r="K2591" s="91"/>
      <c r="L2591" s="80" t="str">
        <f aca="false">IF(AND(J2591&lt;&gt;"",K2591&lt;&gt;""),J2591*K2591,"")</f>
        <v/>
      </c>
      <c r="M2591" s="81" t="str">
        <f aca="false">IF(L2591&lt;&gt;"",L2591*1.1,"")</f>
        <v/>
      </c>
      <c r="N2591" s="47" t="n">
        <f aca="false">IF(F2591="S",L2591*0.02,0)</f>
        <v>0</v>
      </c>
      <c r="O2591" s="82" t="str">
        <f aca="false">IF(L2591&lt;&gt;"",L2591+N2591,"")</f>
        <v/>
      </c>
      <c r="P2591" s="47" t="str">
        <f aca="false">IF(O2591&lt;&gt;"",O2591*0.1,"")</f>
        <v/>
      </c>
      <c r="Q2591" s="83" t="str">
        <f aca="false">IF(O2591&lt;&gt;"",O2591+P2591,"")</f>
        <v/>
      </c>
      <c r="R2591" s="84"/>
    </row>
    <row r="2592" customFormat="false" ht="15" hidden="false" customHeight="true" outlineLevel="0" collapsed="false">
      <c r="A2592" s="103"/>
      <c r="B2592" s="73"/>
      <c r="C2592" s="74"/>
      <c r="D2592" s="75"/>
      <c r="E2592" s="52" t="str">
        <f aca="false">IF(D2592&lt;&gt;"",IFERROR(VLOOKUP(D2592,PROVEEDORES!$A:$B,2,0),"!COD NO ENCONTRADO"),"")</f>
        <v/>
      </c>
      <c r="F2592" s="76" t="str">
        <f aca="false">IF(D2592&lt;&gt;"",IFERROR(VLOOKUP(D2592,PROVEEDORES!$A:$C,3,0),""),"")</f>
        <v/>
      </c>
      <c r="G2592" s="75"/>
      <c r="H2592" s="52" t="str">
        <f aca="false">IF(G2592&lt;&gt;"",IFERROR(VLOOKUP(G2592,PRODUCTOS!$A:$B,2,0),"!COD NO ENCONTRADO"),"")</f>
        <v/>
      </c>
      <c r="I2592" s="77"/>
      <c r="J2592" s="78"/>
      <c r="K2592" s="79"/>
      <c r="L2592" s="80" t="str">
        <f aca="false">IF(AND(J2592&lt;&gt;"",K2592&lt;&gt;""),J2592*K2592,"")</f>
        <v/>
      </c>
      <c r="M2592" s="81" t="str">
        <f aca="false">IF(L2592&lt;&gt;"",L2592*1.1,"")</f>
        <v/>
      </c>
      <c r="N2592" s="53" t="n">
        <f aca="false">IF(F2592="S",L2592*0.02,0)</f>
        <v>0</v>
      </c>
      <c r="O2592" s="82" t="str">
        <f aca="false">IF(L2592&lt;&gt;"",L2592+N2592,"")</f>
        <v/>
      </c>
      <c r="P2592" s="53" t="str">
        <f aca="false">IF(O2592&lt;&gt;"",O2592*0.1,"")</f>
        <v/>
      </c>
      <c r="Q2592" s="83" t="str">
        <f aca="false">IF(O2592&lt;&gt;"",O2592+P2592,"")</f>
        <v/>
      </c>
      <c r="R2592" s="84"/>
    </row>
    <row r="2593" customFormat="false" ht="15" hidden="false" customHeight="true" outlineLevel="0" collapsed="false">
      <c r="A2593" s="103"/>
      <c r="B2593" s="85"/>
      <c r="C2593" s="86"/>
      <c r="D2593" s="87"/>
      <c r="E2593" s="46" t="str">
        <f aca="false">IF(D2593&lt;&gt;"",IFERROR(VLOOKUP(D2593,PROVEEDORES!$A:$B,2,0),"!COD NO ENCONTRADO"),"")</f>
        <v/>
      </c>
      <c r="F2593" s="88" t="str">
        <f aca="false">IF(D2593&lt;&gt;"",IFERROR(VLOOKUP(D2593,PROVEEDORES!$A:$C,3,0),""),"")</f>
        <v/>
      </c>
      <c r="G2593" s="87"/>
      <c r="H2593" s="46" t="str">
        <f aca="false">IF(G2593&lt;&gt;"",IFERROR(VLOOKUP(G2593,PRODUCTOS!$A:$B,2,0),"!COD NO ENCONTRADO"),"")</f>
        <v/>
      </c>
      <c r="I2593" s="89"/>
      <c r="J2593" s="90"/>
      <c r="K2593" s="91"/>
      <c r="L2593" s="80" t="str">
        <f aca="false">IF(AND(J2593&lt;&gt;"",K2593&lt;&gt;""),J2593*K2593,"")</f>
        <v/>
      </c>
      <c r="M2593" s="81" t="str">
        <f aca="false">IF(L2593&lt;&gt;"",L2593*1.1,"")</f>
        <v/>
      </c>
      <c r="N2593" s="47" t="n">
        <f aca="false">IF(F2593="S",L2593*0.02,0)</f>
        <v>0</v>
      </c>
      <c r="O2593" s="82" t="str">
        <f aca="false">IF(L2593&lt;&gt;"",L2593+N2593,"")</f>
        <v/>
      </c>
      <c r="P2593" s="47" t="str">
        <f aca="false">IF(O2593&lt;&gt;"",O2593*0.1,"")</f>
        <v/>
      </c>
      <c r="Q2593" s="83" t="str">
        <f aca="false">IF(O2593&lt;&gt;"",O2593+P2593,"")</f>
        <v/>
      </c>
      <c r="R2593" s="84"/>
    </row>
    <row r="2594" customFormat="false" ht="15" hidden="false" customHeight="true" outlineLevel="0" collapsed="false">
      <c r="A2594" s="103"/>
      <c r="B2594" s="73"/>
      <c r="C2594" s="74"/>
      <c r="D2594" s="75"/>
      <c r="E2594" s="52" t="str">
        <f aca="false">IF(D2594&lt;&gt;"",IFERROR(VLOOKUP(D2594,PROVEEDORES!$A:$B,2,0),"!COD NO ENCONTRADO"),"")</f>
        <v/>
      </c>
      <c r="F2594" s="76" t="str">
        <f aca="false">IF(D2594&lt;&gt;"",IFERROR(VLOOKUP(D2594,PROVEEDORES!$A:$C,3,0),""),"")</f>
        <v/>
      </c>
      <c r="G2594" s="75"/>
      <c r="H2594" s="52" t="str">
        <f aca="false">IF(G2594&lt;&gt;"",IFERROR(VLOOKUP(G2594,PRODUCTOS!$A:$B,2,0),"!COD NO ENCONTRADO"),"")</f>
        <v/>
      </c>
      <c r="I2594" s="77"/>
      <c r="J2594" s="78"/>
      <c r="K2594" s="79"/>
      <c r="L2594" s="80" t="str">
        <f aca="false">IF(AND(J2594&lt;&gt;"",K2594&lt;&gt;""),J2594*K2594,"")</f>
        <v/>
      </c>
      <c r="M2594" s="81" t="str">
        <f aca="false">IF(L2594&lt;&gt;"",L2594*1.1,"")</f>
        <v/>
      </c>
      <c r="N2594" s="53" t="n">
        <f aca="false">IF(F2594="S",L2594*0.02,0)</f>
        <v>0</v>
      </c>
      <c r="O2594" s="82" t="str">
        <f aca="false">IF(L2594&lt;&gt;"",L2594+N2594,"")</f>
        <v/>
      </c>
      <c r="P2594" s="53" t="str">
        <f aca="false">IF(O2594&lt;&gt;"",O2594*0.1,"")</f>
        <v/>
      </c>
      <c r="Q2594" s="83" t="str">
        <f aca="false">IF(O2594&lt;&gt;"",O2594+P2594,"")</f>
        <v/>
      </c>
      <c r="R2594" s="84"/>
    </row>
    <row r="2595" customFormat="false" ht="15" hidden="false" customHeight="true" outlineLevel="0" collapsed="false">
      <c r="A2595" s="103"/>
      <c r="B2595" s="85"/>
      <c r="C2595" s="86"/>
      <c r="D2595" s="87"/>
      <c r="E2595" s="46" t="str">
        <f aca="false">IF(D2595&lt;&gt;"",IFERROR(VLOOKUP(D2595,PROVEEDORES!$A:$B,2,0),"!COD NO ENCONTRADO"),"")</f>
        <v/>
      </c>
      <c r="F2595" s="88" t="str">
        <f aca="false">IF(D2595&lt;&gt;"",IFERROR(VLOOKUP(D2595,PROVEEDORES!$A:$C,3,0),""),"")</f>
        <v/>
      </c>
      <c r="G2595" s="87"/>
      <c r="H2595" s="46" t="str">
        <f aca="false">IF(G2595&lt;&gt;"",IFERROR(VLOOKUP(G2595,PRODUCTOS!$A:$B,2,0),"!COD NO ENCONTRADO"),"")</f>
        <v/>
      </c>
      <c r="I2595" s="89"/>
      <c r="J2595" s="90"/>
      <c r="K2595" s="91"/>
      <c r="L2595" s="80" t="str">
        <f aca="false">IF(AND(J2595&lt;&gt;"",K2595&lt;&gt;""),J2595*K2595,"")</f>
        <v/>
      </c>
      <c r="M2595" s="81" t="str">
        <f aca="false">IF(L2595&lt;&gt;"",L2595*1.1,"")</f>
        <v/>
      </c>
      <c r="N2595" s="47" t="n">
        <f aca="false">IF(F2595="S",L2595*0.02,0)</f>
        <v>0</v>
      </c>
      <c r="O2595" s="82" t="str">
        <f aca="false">IF(L2595&lt;&gt;"",L2595+N2595,"")</f>
        <v/>
      </c>
      <c r="P2595" s="47" t="str">
        <f aca="false">IF(O2595&lt;&gt;"",O2595*0.1,"")</f>
        <v/>
      </c>
      <c r="Q2595" s="83" t="str">
        <f aca="false">IF(O2595&lt;&gt;"",O2595+P2595,"")</f>
        <v/>
      </c>
      <c r="R2595" s="84"/>
    </row>
    <row r="2596" customFormat="false" ht="15" hidden="false" customHeight="true" outlineLevel="0" collapsed="false">
      <c r="A2596" s="103"/>
      <c r="B2596" s="73"/>
      <c r="C2596" s="74"/>
      <c r="D2596" s="75"/>
      <c r="E2596" s="52" t="str">
        <f aca="false">IF(D2596&lt;&gt;"",IFERROR(VLOOKUP(D2596,PROVEEDORES!$A:$B,2,0),"!COD NO ENCONTRADO"),"")</f>
        <v/>
      </c>
      <c r="F2596" s="76" t="str">
        <f aca="false">IF(D2596&lt;&gt;"",IFERROR(VLOOKUP(D2596,PROVEEDORES!$A:$C,3,0),""),"")</f>
        <v/>
      </c>
      <c r="G2596" s="75"/>
      <c r="H2596" s="52" t="str">
        <f aca="false">IF(G2596&lt;&gt;"",IFERROR(VLOOKUP(G2596,PRODUCTOS!$A:$B,2,0),"!COD NO ENCONTRADO"),"")</f>
        <v/>
      </c>
      <c r="I2596" s="77"/>
      <c r="J2596" s="78"/>
      <c r="K2596" s="79"/>
      <c r="L2596" s="80" t="str">
        <f aca="false">IF(AND(J2596&lt;&gt;"",K2596&lt;&gt;""),J2596*K2596,"")</f>
        <v/>
      </c>
      <c r="M2596" s="81" t="str">
        <f aca="false">IF(L2596&lt;&gt;"",L2596*1.1,"")</f>
        <v/>
      </c>
      <c r="N2596" s="53" t="n">
        <f aca="false">IF(F2596="S",L2596*0.02,0)</f>
        <v>0</v>
      </c>
      <c r="O2596" s="82" t="str">
        <f aca="false">IF(L2596&lt;&gt;"",L2596+N2596,"")</f>
        <v/>
      </c>
      <c r="P2596" s="53" t="str">
        <f aca="false">IF(O2596&lt;&gt;"",O2596*0.1,"")</f>
        <v/>
      </c>
      <c r="Q2596" s="83" t="str">
        <f aca="false">IF(O2596&lt;&gt;"",O2596+P2596,"")</f>
        <v/>
      </c>
      <c r="R2596" s="84"/>
    </row>
    <row r="2597" customFormat="false" ht="15" hidden="false" customHeight="true" outlineLevel="0" collapsed="false">
      <c r="A2597" s="103"/>
      <c r="B2597" s="85"/>
      <c r="C2597" s="86"/>
      <c r="D2597" s="87"/>
      <c r="E2597" s="46" t="str">
        <f aca="false">IF(D2597&lt;&gt;"",IFERROR(VLOOKUP(D2597,PROVEEDORES!$A:$B,2,0),"!COD NO ENCONTRADO"),"")</f>
        <v/>
      </c>
      <c r="F2597" s="88" t="str">
        <f aca="false">IF(D2597&lt;&gt;"",IFERROR(VLOOKUP(D2597,PROVEEDORES!$A:$C,3,0),""),"")</f>
        <v/>
      </c>
      <c r="G2597" s="87"/>
      <c r="H2597" s="46" t="str">
        <f aca="false">IF(G2597&lt;&gt;"",IFERROR(VLOOKUP(G2597,PRODUCTOS!$A:$B,2,0),"!COD NO ENCONTRADO"),"")</f>
        <v/>
      </c>
      <c r="I2597" s="89"/>
      <c r="J2597" s="90"/>
      <c r="K2597" s="91"/>
      <c r="L2597" s="80" t="str">
        <f aca="false">IF(AND(J2597&lt;&gt;"",K2597&lt;&gt;""),J2597*K2597,"")</f>
        <v/>
      </c>
      <c r="M2597" s="81" t="str">
        <f aca="false">IF(L2597&lt;&gt;"",L2597*1.1,"")</f>
        <v/>
      </c>
      <c r="N2597" s="47" t="n">
        <f aca="false">IF(F2597="S",L2597*0.02,0)</f>
        <v>0</v>
      </c>
      <c r="O2597" s="82" t="str">
        <f aca="false">IF(L2597&lt;&gt;"",L2597+N2597,"")</f>
        <v/>
      </c>
      <c r="P2597" s="47" t="str">
        <f aca="false">IF(O2597&lt;&gt;"",O2597*0.1,"")</f>
        <v/>
      </c>
      <c r="Q2597" s="83" t="str">
        <f aca="false">IF(O2597&lt;&gt;"",O2597+P2597,"")</f>
        <v/>
      </c>
      <c r="R2597" s="84"/>
    </row>
    <row r="2598" customFormat="false" ht="15" hidden="false" customHeight="true" outlineLevel="0" collapsed="false">
      <c r="A2598" s="103"/>
      <c r="B2598" s="73"/>
      <c r="C2598" s="74"/>
      <c r="D2598" s="75"/>
      <c r="E2598" s="52" t="str">
        <f aca="false">IF(D2598&lt;&gt;"",IFERROR(VLOOKUP(D2598,PROVEEDORES!$A:$B,2,0),"!COD NO ENCONTRADO"),"")</f>
        <v/>
      </c>
      <c r="F2598" s="76" t="str">
        <f aca="false">IF(D2598&lt;&gt;"",IFERROR(VLOOKUP(D2598,PROVEEDORES!$A:$C,3,0),""),"")</f>
        <v/>
      </c>
      <c r="G2598" s="75"/>
      <c r="H2598" s="52" t="str">
        <f aca="false">IF(G2598&lt;&gt;"",IFERROR(VLOOKUP(G2598,PRODUCTOS!$A:$B,2,0),"!COD NO ENCONTRADO"),"")</f>
        <v/>
      </c>
      <c r="I2598" s="77"/>
      <c r="J2598" s="78"/>
      <c r="K2598" s="79"/>
      <c r="L2598" s="80" t="str">
        <f aca="false">IF(AND(J2598&lt;&gt;"",K2598&lt;&gt;""),J2598*K2598,"")</f>
        <v/>
      </c>
      <c r="M2598" s="81" t="str">
        <f aca="false">IF(L2598&lt;&gt;"",L2598*1.1,"")</f>
        <v/>
      </c>
      <c r="N2598" s="53" t="n">
        <f aca="false">IF(F2598="S",L2598*0.02,0)</f>
        <v>0</v>
      </c>
      <c r="O2598" s="82" t="str">
        <f aca="false">IF(L2598&lt;&gt;"",L2598+N2598,"")</f>
        <v/>
      </c>
      <c r="P2598" s="53" t="str">
        <f aca="false">IF(O2598&lt;&gt;"",O2598*0.1,"")</f>
        <v/>
      </c>
      <c r="Q2598" s="83" t="str">
        <f aca="false">IF(O2598&lt;&gt;"",O2598+P2598,"")</f>
        <v/>
      </c>
      <c r="R2598" s="84"/>
    </row>
    <row r="2599" customFormat="false" ht="15" hidden="false" customHeight="true" outlineLevel="0" collapsed="false">
      <c r="A2599" s="103"/>
      <c r="B2599" s="85"/>
      <c r="C2599" s="86"/>
      <c r="D2599" s="87"/>
      <c r="E2599" s="46" t="str">
        <f aca="false">IF(D2599&lt;&gt;"",IFERROR(VLOOKUP(D2599,PROVEEDORES!$A:$B,2,0),"!COD NO ENCONTRADO"),"")</f>
        <v/>
      </c>
      <c r="F2599" s="88" t="str">
        <f aca="false">IF(D2599&lt;&gt;"",IFERROR(VLOOKUP(D2599,PROVEEDORES!$A:$C,3,0),""),"")</f>
        <v/>
      </c>
      <c r="G2599" s="87"/>
      <c r="H2599" s="46" t="str">
        <f aca="false">IF(G2599&lt;&gt;"",IFERROR(VLOOKUP(G2599,PRODUCTOS!$A:$B,2,0),"!COD NO ENCONTRADO"),"")</f>
        <v/>
      </c>
      <c r="I2599" s="89"/>
      <c r="J2599" s="90"/>
      <c r="K2599" s="91"/>
      <c r="L2599" s="80" t="str">
        <f aca="false">IF(AND(J2599&lt;&gt;"",K2599&lt;&gt;""),J2599*K2599,"")</f>
        <v/>
      </c>
      <c r="M2599" s="81" t="str">
        <f aca="false">IF(L2599&lt;&gt;"",L2599*1.1,"")</f>
        <v/>
      </c>
      <c r="N2599" s="47" t="n">
        <f aca="false">IF(F2599="S",L2599*0.02,0)</f>
        <v>0</v>
      </c>
      <c r="O2599" s="82" t="str">
        <f aca="false">IF(L2599&lt;&gt;"",L2599+N2599,"")</f>
        <v/>
      </c>
      <c r="P2599" s="47" t="str">
        <f aca="false">IF(O2599&lt;&gt;"",O2599*0.1,"")</f>
        <v/>
      </c>
      <c r="Q2599" s="83" t="str">
        <f aca="false">IF(O2599&lt;&gt;"",O2599+P2599,"")</f>
        <v/>
      </c>
      <c r="R2599" s="84"/>
    </row>
    <row r="2600" customFormat="false" ht="15" hidden="false" customHeight="true" outlineLevel="0" collapsed="false">
      <c r="A2600" s="103"/>
      <c r="B2600" s="73"/>
      <c r="C2600" s="74"/>
      <c r="D2600" s="75"/>
      <c r="E2600" s="52" t="str">
        <f aca="false">IF(D2600&lt;&gt;"",IFERROR(VLOOKUP(D2600,PROVEEDORES!$A:$B,2,0),"!COD NO ENCONTRADO"),"")</f>
        <v/>
      </c>
      <c r="F2600" s="76" t="str">
        <f aca="false">IF(D2600&lt;&gt;"",IFERROR(VLOOKUP(D2600,PROVEEDORES!$A:$C,3,0),""),"")</f>
        <v/>
      </c>
      <c r="G2600" s="75"/>
      <c r="H2600" s="52" t="str">
        <f aca="false">IF(G2600&lt;&gt;"",IFERROR(VLOOKUP(G2600,PRODUCTOS!$A:$B,2,0),"!COD NO ENCONTRADO"),"")</f>
        <v/>
      </c>
      <c r="I2600" s="77"/>
      <c r="J2600" s="78"/>
      <c r="K2600" s="79"/>
      <c r="L2600" s="80" t="str">
        <f aca="false">IF(AND(J2600&lt;&gt;"",K2600&lt;&gt;""),J2600*K2600,"")</f>
        <v/>
      </c>
      <c r="M2600" s="81" t="str">
        <f aca="false">IF(L2600&lt;&gt;"",L2600*1.1,"")</f>
        <v/>
      </c>
      <c r="N2600" s="53" t="n">
        <f aca="false">IF(F2600="S",L2600*0.02,0)</f>
        <v>0</v>
      </c>
      <c r="O2600" s="82" t="str">
        <f aca="false">IF(L2600&lt;&gt;"",L2600+N2600,"")</f>
        <v/>
      </c>
      <c r="P2600" s="53" t="str">
        <f aca="false">IF(O2600&lt;&gt;"",O2600*0.1,"")</f>
        <v/>
      </c>
      <c r="Q2600" s="83" t="str">
        <f aca="false">IF(O2600&lt;&gt;"",O2600+P2600,"")</f>
        <v/>
      </c>
      <c r="R2600" s="84"/>
    </row>
    <row r="2601" customFormat="false" ht="15" hidden="false" customHeight="true" outlineLevel="0" collapsed="false">
      <c r="A2601" s="103"/>
      <c r="B2601" s="85"/>
      <c r="C2601" s="86"/>
      <c r="D2601" s="87"/>
      <c r="E2601" s="46" t="str">
        <f aca="false">IF(D2601&lt;&gt;"",IFERROR(VLOOKUP(D2601,PROVEEDORES!$A:$B,2,0),"!COD NO ENCONTRADO"),"")</f>
        <v/>
      </c>
      <c r="F2601" s="88" t="str">
        <f aca="false">IF(D2601&lt;&gt;"",IFERROR(VLOOKUP(D2601,PROVEEDORES!$A:$C,3,0),""),"")</f>
        <v/>
      </c>
      <c r="G2601" s="87"/>
      <c r="H2601" s="46" t="str">
        <f aca="false">IF(G2601&lt;&gt;"",IFERROR(VLOOKUP(G2601,PRODUCTOS!$A:$B,2,0),"!COD NO ENCONTRADO"),"")</f>
        <v/>
      </c>
      <c r="I2601" s="89"/>
      <c r="J2601" s="90"/>
      <c r="K2601" s="91"/>
      <c r="L2601" s="80" t="str">
        <f aca="false">IF(AND(J2601&lt;&gt;"",K2601&lt;&gt;""),J2601*K2601,"")</f>
        <v/>
      </c>
      <c r="M2601" s="81" t="str">
        <f aca="false">IF(L2601&lt;&gt;"",L2601*1.1,"")</f>
        <v/>
      </c>
      <c r="N2601" s="47" t="n">
        <f aca="false">IF(F2601="S",L2601*0.02,0)</f>
        <v>0</v>
      </c>
      <c r="O2601" s="82" t="str">
        <f aca="false">IF(L2601&lt;&gt;"",L2601+N2601,"")</f>
        <v/>
      </c>
      <c r="P2601" s="47" t="str">
        <f aca="false">IF(O2601&lt;&gt;"",O2601*0.1,"")</f>
        <v/>
      </c>
      <c r="Q2601" s="83" t="str">
        <f aca="false">IF(O2601&lt;&gt;"",O2601+P2601,"")</f>
        <v/>
      </c>
      <c r="R2601" s="84"/>
    </row>
    <row r="2602" customFormat="false" ht="15" hidden="false" customHeight="true" outlineLevel="0" collapsed="false">
      <c r="A2602" s="103"/>
      <c r="B2602" s="73"/>
      <c r="C2602" s="74"/>
      <c r="D2602" s="75"/>
      <c r="E2602" s="52" t="str">
        <f aca="false">IF(D2602&lt;&gt;"",IFERROR(VLOOKUP(D2602,PROVEEDORES!$A:$B,2,0),"!COD NO ENCONTRADO"),"")</f>
        <v/>
      </c>
      <c r="F2602" s="76" t="str">
        <f aca="false">IF(D2602&lt;&gt;"",IFERROR(VLOOKUP(D2602,PROVEEDORES!$A:$C,3,0),""),"")</f>
        <v/>
      </c>
      <c r="G2602" s="75"/>
      <c r="H2602" s="52" t="str">
        <f aca="false">IF(G2602&lt;&gt;"",IFERROR(VLOOKUP(G2602,PRODUCTOS!$A:$B,2,0),"!COD NO ENCONTRADO"),"")</f>
        <v/>
      </c>
      <c r="I2602" s="77"/>
      <c r="J2602" s="78"/>
      <c r="K2602" s="79"/>
      <c r="L2602" s="80" t="str">
        <f aca="false">IF(AND(J2602&lt;&gt;"",K2602&lt;&gt;""),J2602*K2602,"")</f>
        <v/>
      </c>
      <c r="M2602" s="81" t="str">
        <f aca="false">IF(L2602&lt;&gt;"",L2602*1.1,"")</f>
        <v/>
      </c>
      <c r="N2602" s="53" t="n">
        <f aca="false">IF(F2602="S",L2602*0.02,0)</f>
        <v>0</v>
      </c>
      <c r="O2602" s="82" t="str">
        <f aca="false">IF(L2602&lt;&gt;"",L2602+N2602,"")</f>
        <v/>
      </c>
      <c r="P2602" s="53" t="str">
        <f aca="false">IF(O2602&lt;&gt;"",O2602*0.1,"")</f>
        <v/>
      </c>
      <c r="Q2602" s="83" t="str">
        <f aca="false">IF(O2602&lt;&gt;"",O2602+P2602,"")</f>
        <v/>
      </c>
      <c r="R2602" s="84"/>
    </row>
    <row r="2603" customFormat="false" ht="15" hidden="false" customHeight="true" outlineLevel="0" collapsed="false">
      <c r="A2603" s="103"/>
      <c r="B2603" s="85"/>
      <c r="C2603" s="86"/>
      <c r="D2603" s="87"/>
      <c r="E2603" s="46" t="str">
        <f aca="false">IF(D2603&lt;&gt;"",IFERROR(VLOOKUP(D2603,PROVEEDORES!$A:$B,2,0),"!COD NO ENCONTRADO"),"")</f>
        <v/>
      </c>
      <c r="F2603" s="88" t="str">
        <f aca="false">IF(D2603&lt;&gt;"",IFERROR(VLOOKUP(D2603,PROVEEDORES!$A:$C,3,0),""),"")</f>
        <v/>
      </c>
      <c r="G2603" s="87"/>
      <c r="H2603" s="46" t="str">
        <f aca="false">IF(G2603&lt;&gt;"",IFERROR(VLOOKUP(G2603,PRODUCTOS!$A:$B,2,0),"!COD NO ENCONTRADO"),"")</f>
        <v/>
      </c>
      <c r="I2603" s="89"/>
      <c r="J2603" s="90"/>
      <c r="K2603" s="91"/>
      <c r="L2603" s="80" t="str">
        <f aca="false">IF(AND(J2603&lt;&gt;"",K2603&lt;&gt;""),J2603*K2603,"")</f>
        <v/>
      </c>
      <c r="M2603" s="81" t="str">
        <f aca="false">IF(L2603&lt;&gt;"",L2603*1.1,"")</f>
        <v/>
      </c>
      <c r="N2603" s="47" t="n">
        <f aca="false">IF(F2603="S",L2603*0.02,0)</f>
        <v>0</v>
      </c>
      <c r="O2603" s="82" t="str">
        <f aca="false">IF(L2603&lt;&gt;"",L2603+N2603,"")</f>
        <v/>
      </c>
      <c r="P2603" s="47" t="str">
        <f aca="false">IF(O2603&lt;&gt;"",O2603*0.1,"")</f>
        <v/>
      </c>
      <c r="Q2603" s="83" t="str">
        <f aca="false">IF(O2603&lt;&gt;"",O2603+P2603,"")</f>
        <v/>
      </c>
      <c r="R2603" s="84"/>
    </row>
    <row r="2604" customFormat="false" ht="15" hidden="false" customHeight="true" outlineLevel="0" collapsed="false">
      <c r="A2604" s="103"/>
      <c r="B2604" s="73"/>
      <c r="C2604" s="74"/>
      <c r="D2604" s="75"/>
      <c r="E2604" s="52" t="str">
        <f aca="false">IF(D2604&lt;&gt;"",IFERROR(VLOOKUP(D2604,PROVEEDORES!$A:$B,2,0),"!COD NO ENCONTRADO"),"")</f>
        <v/>
      </c>
      <c r="F2604" s="76" t="str">
        <f aca="false">IF(D2604&lt;&gt;"",IFERROR(VLOOKUP(D2604,PROVEEDORES!$A:$C,3,0),""),"")</f>
        <v/>
      </c>
      <c r="G2604" s="75"/>
      <c r="H2604" s="52" t="str">
        <f aca="false">IF(G2604&lt;&gt;"",IFERROR(VLOOKUP(G2604,PRODUCTOS!$A:$B,2,0),"!COD NO ENCONTRADO"),"")</f>
        <v/>
      </c>
      <c r="I2604" s="77"/>
      <c r="J2604" s="78"/>
      <c r="K2604" s="79"/>
      <c r="L2604" s="80" t="str">
        <f aca="false">IF(AND(J2604&lt;&gt;"",K2604&lt;&gt;""),J2604*K2604,"")</f>
        <v/>
      </c>
      <c r="M2604" s="81" t="str">
        <f aca="false">IF(L2604&lt;&gt;"",L2604*1.1,"")</f>
        <v/>
      </c>
      <c r="N2604" s="53" t="n">
        <f aca="false">IF(F2604="S",L2604*0.02,0)</f>
        <v>0</v>
      </c>
      <c r="O2604" s="82" t="str">
        <f aca="false">IF(L2604&lt;&gt;"",L2604+N2604,"")</f>
        <v/>
      </c>
      <c r="P2604" s="53" t="str">
        <f aca="false">IF(O2604&lt;&gt;"",O2604*0.1,"")</f>
        <v/>
      </c>
      <c r="Q2604" s="83" t="str">
        <f aca="false">IF(O2604&lt;&gt;"",O2604+P2604,"")</f>
        <v/>
      </c>
      <c r="R2604" s="84"/>
    </row>
    <row r="2605" customFormat="false" ht="15" hidden="false" customHeight="true" outlineLevel="0" collapsed="false">
      <c r="A2605" s="103"/>
      <c r="B2605" s="85"/>
      <c r="C2605" s="86"/>
      <c r="D2605" s="87"/>
      <c r="E2605" s="46" t="str">
        <f aca="false">IF(D2605&lt;&gt;"",IFERROR(VLOOKUP(D2605,PROVEEDORES!$A:$B,2,0),"!COD NO ENCONTRADO"),"")</f>
        <v/>
      </c>
      <c r="F2605" s="88" t="str">
        <f aca="false">IF(D2605&lt;&gt;"",IFERROR(VLOOKUP(D2605,PROVEEDORES!$A:$C,3,0),""),"")</f>
        <v/>
      </c>
      <c r="G2605" s="87"/>
      <c r="H2605" s="46" t="str">
        <f aca="false">IF(G2605&lt;&gt;"",IFERROR(VLOOKUP(G2605,PRODUCTOS!$A:$B,2,0),"!COD NO ENCONTRADO"),"")</f>
        <v/>
      </c>
      <c r="I2605" s="89"/>
      <c r="J2605" s="90"/>
      <c r="K2605" s="91"/>
      <c r="L2605" s="80" t="str">
        <f aca="false">IF(AND(J2605&lt;&gt;"",K2605&lt;&gt;""),J2605*K2605,"")</f>
        <v/>
      </c>
      <c r="M2605" s="81" t="str">
        <f aca="false">IF(L2605&lt;&gt;"",L2605*1.1,"")</f>
        <v/>
      </c>
      <c r="N2605" s="47" t="n">
        <f aca="false">IF(F2605="S",L2605*0.02,0)</f>
        <v>0</v>
      </c>
      <c r="O2605" s="82" t="str">
        <f aca="false">IF(L2605&lt;&gt;"",L2605+N2605,"")</f>
        <v/>
      </c>
      <c r="P2605" s="47" t="str">
        <f aca="false">IF(O2605&lt;&gt;"",O2605*0.1,"")</f>
        <v/>
      </c>
      <c r="Q2605" s="83" t="str">
        <f aca="false">IF(O2605&lt;&gt;"",O2605+P2605,"")</f>
        <v/>
      </c>
      <c r="R2605" s="84"/>
    </row>
    <row r="2606" customFormat="false" ht="15" hidden="false" customHeight="true" outlineLevel="0" collapsed="false">
      <c r="A2606" s="103"/>
      <c r="B2606" s="73"/>
      <c r="C2606" s="74"/>
      <c r="D2606" s="75"/>
      <c r="E2606" s="52" t="str">
        <f aca="false">IF(D2606&lt;&gt;"",IFERROR(VLOOKUP(D2606,PROVEEDORES!$A:$B,2,0),"!COD NO ENCONTRADO"),"")</f>
        <v/>
      </c>
      <c r="F2606" s="76" t="str">
        <f aca="false">IF(D2606&lt;&gt;"",IFERROR(VLOOKUP(D2606,PROVEEDORES!$A:$C,3,0),""),"")</f>
        <v/>
      </c>
      <c r="G2606" s="75"/>
      <c r="H2606" s="52" t="str">
        <f aca="false">IF(G2606&lt;&gt;"",IFERROR(VLOOKUP(G2606,PRODUCTOS!$A:$B,2,0),"!COD NO ENCONTRADO"),"")</f>
        <v/>
      </c>
      <c r="I2606" s="77"/>
      <c r="J2606" s="78"/>
      <c r="K2606" s="79"/>
      <c r="L2606" s="80" t="str">
        <f aca="false">IF(AND(J2606&lt;&gt;"",K2606&lt;&gt;""),J2606*K2606,"")</f>
        <v/>
      </c>
      <c r="M2606" s="81" t="str">
        <f aca="false">IF(L2606&lt;&gt;"",L2606*1.1,"")</f>
        <v/>
      </c>
      <c r="N2606" s="53" t="n">
        <f aca="false">IF(F2606="S",L2606*0.02,0)</f>
        <v>0</v>
      </c>
      <c r="O2606" s="82" t="str">
        <f aca="false">IF(L2606&lt;&gt;"",L2606+N2606,"")</f>
        <v/>
      </c>
      <c r="P2606" s="53" t="str">
        <f aca="false">IF(O2606&lt;&gt;"",O2606*0.1,"")</f>
        <v/>
      </c>
      <c r="Q2606" s="83" t="str">
        <f aca="false">IF(O2606&lt;&gt;"",O2606+P2606,"")</f>
        <v/>
      </c>
      <c r="R2606" s="84"/>
    </row>
    <row r="2607" customFormat="false" ht="15" hidden="false" customHeight="true" outlineLevel="0" collapsed="false">
      <c r="A2607" s="103"/>
      <c r="B2607" s="85"/>
      <c r="C2607" s="86"/>
      <c r="D2607" s="87"/>
      <c r="E2607" s="46" t="str">
        <f aca="false">IF(D2607&lt;&gt;"",IFERROR(VLOOKUP(D2607,PROVEEDORES!$A:$B,2,0),"!COD NO ENCONTRADO"),"")</f>
        <v/>
      </c>
      <c r="F2607" s="88" t="str">
        <f aca="false">IF(D2607&lt;&gt;"",IFERROR(VLOOKUP(D2607,PROVEEDORES!$A:$C,3,0),""),"")</f>
        <v/>
      </c>
      <c r="G2607" s="87"/>
      <c r="H2607" s="46" t="str">
        <f aca="false">IF(G2607&lt;&gt;"",IFERROR(VLOOKUP(G2607,PRODUCTOS!$A:$B,2,0),"!COD NO ENCONTRADO"),"")</f>
        <v/>
      </c>
      <c r="I2607" s="89"/>
      <c r="J2607" s="90"/>
      <c r="K2607" s="91"/>
      <c r="L2607" s="80" t="str">
        <f aca="false">IF(AND(J2607&lt;&gt;"",K2607&lt;&gt;""),J2607*K2607,"")</f>
        <v/>
      </c>
      <c r="M2607" s="81" t="str">
        <f aca="false">IF(L2607&lt;&gt;"",L2607*1.1,"")</f>
        <v/>
      </c>
      <c r="N2607" s="47" t="n">
        <f aca="false">IF(F2607="S",L2607*0.02,0)</f>
        <v>0</v>
      </c>
      <c r="O2607" s="82" t="str">
        <f aca="false">IF(L2607&lt;&gt;"",L2607+N2607,"")</f>
        <v/>
      </c>
      <c r="P2607" s="47" t="str">
        <f aca="false">IF(O2607&lt;&gt;"",O2607*0.1,"")</f>
        <v/>
      </c>
      <c r="Q2607" s="83" t="str">
        <f aca="false">IF(O2607&lt;&gt;"",O2607+P2607,"")</f>
        <v/>
      </c>
      <c r="R2607" s="84"/>
    </row>
    <row r="2608" customFormat="false" ht="15" hidden="false" customHeight="true" outlineLevel="0" collapsed="false">
      <c r="A2608" s="103"/>
      <c r="B2608" s="73"/>
      <c r="C2608" s="74"/>
      <c r="D2608" s="75"/>
      <c r="E2608" s="52" t="str">
        <f aca="false">IF(D2608&lt;&gt;"",IFERROR(VLOOKUP(D2608,PROVEEDORES!$A:$B,2,0),"!COD NO ENCONTRADO"),"")</f>
        <v/>
      </c>
      <c r="F2608" s="76" t="str">
        <f aca="false">IF(D2608&lt;&gt;"",IFERROR(VLOOKUP(D2608,PROVEEDORES!$A:$C,3,0),""),"")</f>
        <v/>
      </c>
      <c r="G2608" s="75"/>
      <c r="H2608" s="52" t="str">
        <f aca="false">IF(G2608&lt;&gt;"",IFERROR(VLOOKUP(G2608,PRODUCTOS!$A:$B,2,0),"!COD NO ENCONTRADO"),"")</f>
        <v/>
      </c>
      <c r="I2608" s="77"/>
      <c r="J2608" s="78"/>
      <c r="K2608" s="79"/>
      <c r="L2608" s="80" t="str">
        <f aca="false">IF(AND(J2608&lt;&gt;"",K2608&lt;&gt;""),J2608*K2608,"")</f>
        <v/>
      </c>
      <c r="M2608" s="81" t="str">
        <f aca="false">IF(L2608&lt;&gt;"",L2608*1.1,"")</f>
        <v/>
      </c>
      <c r="N2608" s="53" t="n">
        <f aca="false">IF(F2608="S",L2608*0.02,0)</f>
        <v>0</v>
      </c>
      <c r="O2608" s="82" t="str">
        <f aca="false">IF(L2608&lt;&gt;"",L2608+N2608,"")</f>
        <v/>
      </c>
      <c r="P2608" s="53" t="str">
        <f aca="false">IF(O2608&lt;&gt;"",O2608*0.1,"")</f>
        <v/>
      </c>
      <c r="Q2608" s="83" t="str">
        <f aca="false">IF(O2608&lt;&gt;"",O2608+P2608,"")</f>
        <v/>
      </c>
      <c r="R2608" s="84"/>
    </row>
    <row r="2609" customFormat="false" ht="15" hidden="false" customHeight="true" outlineLevel="0" collapsed="false">
      <c r="A2609" s="103"/>
      <c r="B2609" s="85"/>
      <c r="C2609" s="86"/>
      <c r="D2609" s="87"/>
      <c r="E2609" s="46" t="str">
        <f aca="false">IF(D2609&lt;&gt;"",IFERROR(VLOOKUP(D2609,PROVEEDORES!$A:$B,2,0),"!COD NO ENCONTRADO"),"")</f>
        <v/>
      </c>
      <c r="F2609" s="88" t="str">
        <f aca="false">IF(D2609&lt;&gt;"",IFERROR(VLOOKUP(D2609,PROVEEDORES!$A:$C,3,0),""),"")</f>
        <v/>
      </c>
      <c r="G2609" s="87"/>
      <c r="H2609" s="46" t="str">
        <f aca="false">IF(G2609&lt;&gt;"",IFERROR(VLOOKUP(G2609,PRODUCTOS!$A:$B,2,0),"!COD NO ENCONTRADO"),"")</f>
        <v/>
      </c>
      <c r="I2609" s="89"/>
      <c r="J2609" s="90"/>
      <c r="K2609" s="91"/>
      <c r="L2609" s="80" t="str">
        <f aca="false">IF(AND(J2609&lt;&gt;"",K2609&lt;&gt;""),J2609*K2609,"")</f>
        <v/>
      </c>
      <c r="M2609" s="81" t="str">
        <f aca="false">IF(L2609&lt;&gt;"",L2609*1.1,"")</f>
        <v/>
      </c>
      <c r="N2609" s="47" t="n">
        <f aca="false">IF(F2609="S",L2609*0.02,0)</f>
        <v>0</v>
      </c>
      <c r="O2609" s="82" t="str">
        <f aca="false">IF(L2609&lt;&gt;"",L2609+N2609,"")</f>
        <v/>
      </c>
      <c r="P2609" s="47" t="str">
        <f aca="false">IF(O2609&lt;&gt;"",O2609*0.1,"")</f>
        <v/>
      </c>
      <c r="Q2609" s="83" t="str">
        <f aca="false">IF(O2609&lt;&gt;"",O2609+P2609,"")</f>
        <v/>
      </c>
      <c r="R2609" s="84"/>
    </row>
    <row r="2610" customFormat="false" ht="15" hidden="false" customHeight="true" outlineLevel="0" collapsed="false">
      <c r="A2610" s="103"/>
      <c r="B2610" s="73"/>
      <c r="C2610" s="74"/>
      <c r="D2610" s="75"/>
      <c r="E2610" s="52" t="str">
        <f aca="false">IF(D2610&lt;&gt;"",IFERROR(VLOOKUP(D2610,PROVEEDORES!$A:$B,2,0),"!COD NO ENCONTRADO"),"")</f>
        <v/>
      </c>
      <c r="F2610" s="76" t="str">
        <f aca="false">IF(D2610&lt;&gt;"",IFERROR(VLOOKUP(D2610,PROVEEDORES!$A:$C,3,0),""),"")</f>
        <v/>
      </c>
      <c r="G2610" s="75"/>
      <c r="H2610" s="52" t="str">
        <f aca="false">IF(G2610&lt;&gt;"",IFERROR(VLOOKUP(G2610,PRODUCTOS!$A:$B,2,0),"!COD NO ENCONTRADO"),"")</f>
        <v/>
      </c>
      <c r="I2610" s="77"/>
      <c r="J2610" s="78"/>
      <c r="K2610" s="79"/>
      <c r="L2610" s="80" t="str">
        <f aca="false">IF(AND(J2610&lt;&gt;"",K2610&lt;&gt;""),J2610*K2610,"")</f>
        <v/>
      </c>
      <c r="M2610" s="81" t="str">
        <f aca="false">IF(L2610&lt;&gt;"",L2610*1.1,"")</f>
        <v/>
      </c>
      <c r="N2610" s="53" t="n">
        <f aca="false">IF(F2610="S",L2610*0.02,0)</f>
        <v>0</v>
      </c>
      <c r="O2610" s="82" t="str">
        <f aca="false">IF(L2610&lt;&gt;"",L2610+N2610,"")</f>
        <v/>
      </c>
      <c r="P2610" s="53" t="str">
        <f aca="false">IF(O2610&lt;&gt;"",O2610*0.1,"")</f>
        <v/>
      </c>
      <c r="Q2610" s="83" t="str">
        <f aca="false">IF(O2610&lt;&gt;"",O2610+P2610,"")</f>
        <v/>
      </c>
      <c r="R2610" s="84"/>
    </row>
    <row r="2611" customFormat="false" ht="15" hidden="false" customHeight="true" outlineLevel="0" collapsed="false">
      <c r="A2611" s="103"/>
      <c r="B2611" s="85"/>
      <c r="C2611" s="86"/>
      <c r="D2611" s="87"/>
      <c r="E2611" s="46" t="str">
        <f aca="false">IF(D2611&lt;&gt;"",IFERROR(VLOOKUP(D2611,PROVEEDORES!$A:$B,2,0),"!COD NO ENCONTRADO"),"")</f>
        <v/>
      </c>
      <c r="F2611" s="88" t="str">
        <f aca="false">IF(D2611&lt;&gt;"",IFERROR(VLOOKUP(D2611,PROVEEDORES!$A:$C,3,0),""),"")</f>
        <v/>
      </c>
      <c r="G2611" s="87"/>
      <c r="H2611" s="46" t="str">
        <f aca="false">IF(G2611&lt;&gt;"",IFERROR(VLOOKUP(G2611,PRODUCTOS!$A:$B,2,0),"!COD NO ENCONTRADO"),"")</f>
        <v/>
      </c>
      <c r="I2611" s="89"/>
      <c r="J2611" s="90"/>
      <c r="K2611" s="91"/>
      <c r="L2611" s="80" t="str">
        <f aca="false">IF(AND(J2611&lt;&gt;"",K2611&lt;&gt;""),J2611*K2611,"")</f>
        <v/>
      </c>
      <c r="M2611" s="81" t="str">
        <f aca="false">IF(L2611&lt;&gt;"",L2611*1.1,"")</f>
        <v/>
      </c>
      <c r="N2611" s="47" t="n">
        <f aca="false">IF(F2611="S",L2611*0.02,0)</f>
        <v>0</v>
      </c>
      <c r="O2611" s="82" t="str">
        <f aca="false">IF(L2611&lt;&gt;"",L2611+N2611,"")</f>
        <v/>
      </c>
      <c r="P2611" s="47" t="str">
        <f aca="false">IF(O2611&lt;&gt;"",O2611*0.1,"")</f>
        <v/>
      </c>
      <c r="Q2611" s="83" t="str">
        <f aca="false">IF(O2611&lt;&gt;"",O2611+P2611,"")</f>
        <v/>
      </c>
      <c r="R2611" s="84"/>
    </row>
    <row r="2612" customFormat="false" ht="15" hidden="false" customHeight="true" outlineLevel="0" collapsed="false">
      <c r="A2612" s="103"/>
      <c r="B2612" s="73"/>
      <c r="C2612" s="74"/>
      <c r="D2612" s="75"/>
      <c r="E2612" s="52" t="str">
        <f aca="false">IF(D2612&lt;&gt;"",IFERROR(VLOOKUP(D2612,PROVEEDORES!$A:$B,2,0),"!COD NO ENCONTRADO"),"")</f>
        <v/>
      </c>
      <c r="F2612" s="76" t="str">
        <f aca="false">IF(D2612&lt;&gt;"",IFERROR(VLOOKUP(D2612,PROVEEDORES!$A:$C,3,0),""),"")</f>
        <v/>
      </c>
      <c r="G2612" s="75"/>
      <c r="H2612" s="52" t="str">
        <f aca="false">IF(G2612&lt;&gt;"",IFERROR(VLOOKUP(G2612,PRODUCTOS!$A:$B,2,0),"!COD NO ENCONTRADO"),"")</f>
        <v/>
      </c>
      <c r="I2612" s="77"/>
      <c r="J2612" s="78"/>
      <c r="K2612" s="79"/>
      <c r="L2612" s="80" t="str">
        <f aca="false">IF(AND(J2612&lt;&gt;"",K2612&lt;&gt;""),J2612*K2612,"")</f>
        <v/>
      </c>
      <c r="M2612" s="81" t="str">
        <f aca="false">IF(L2612&lt;&gt;"",L2612*1.1,"")</f>
        <v/>
      </c>
      <c r="N2612" s="53" t="n">
        <f aca="false">IF(F2612="S",L2612*0.02,0)</f>
        <v>0</v>
      </c>
      <c r="O2612" s="82" t="str">
        <f aca="false">IF(L2612&lt;&gt;"",L2612+N2612,"")</f>
        <v/>
      </c>
      <c r="P2612" s="53" t="str">
        <f aca="false">IF(O2612&lt;&gt;"",O2612*0.1,"")</f>
        <v/>
      </c>
      <c r="Q2612" s="83" t="str">
        <f aca="false">IF(O2612&lt;&gt;"",O2612+P2612,"")</f>
        <v/>
      </c>
      <c r="R2612" s="84"/>
    </row>
    <row r="2613" customFormat="false" ht="15" hidden="false" customHeight="true" outlineLevel="0" collapsed="false">
      <c r="A2613" s="103"/>
      <c r="B2613" s="85"/>
      <c r="C2613" s="86"/>
      <c r="D2613" s="87"/>
      <c r="E2613" s="46" t="str">
        <f aca="false">IF(D2613&lt;&gt;"",IFERROR(VLOOKUP(D2613,PROVEEDORES!$A:$B,2,0),"!COD NO ENCONTRADO"),"")</f>
        <v/>
      </c>
      <c r="F2613" s="88" t="str">
        <f aca="false">IF(D2613&lt;&gt;"",IFERROR(VLOOKUP(D2613,PROVEEDORES!$A:$C,3,0),""),"")</f>
        <v/>
      </c>
      <c r="G2613" s="87"/>
      <c r="H2613" s="46" t="str">
        <f aca="false">IF(G2613&lt;&gt;"",IFERROR(VLOOKUP(G2613,PRODUCTOS!$A:$B,2,0),"!COD NO ENCONTRADO"),"")</f>
        <v/>
      </c>
      <c r="I2613" s="89"/>
      <c r="J2613" s="90"/>
      <c r="K2613" s="91"/>
      <c r="L2613" s="80" t="str">
        <f aca="false">IF(AND(J2613&lt;&gt;"",K2613&lt;&gt;""),J2613*K2613,"")</f>
        <v/>
      </c>
      <c r="M2613" s="81" t="str">
        <f aca="false">IF(L2613&lt;&gt;"",L2613*1.1,"")</f>
        <v/>
      </c>
      <c r="N2613" s="47" t="n">
        <f aca="false">IF(F2613="S",L2613*0.02,0)</f>
        <v>0</v>
      </c>
      <c r="O2613" s="82" t="str">
        <f aca="false">IF(L2613&lt;&gt;"",L2613+N2613,"")</f>
        <v/>
      </c>
      <c r="P2613" s="47" t="str">
        <f aca="false">IF(O2613&lt;&gt;"",O2613*0.1,"")</f>
        <v/>
      </c>
      <c r="Q2613" s="83" t="str">
        <f aca="false">IF(O2613&lt;&gt;"",O2613+P2613,"")</f>
        <v/>
      </c>
      <c r="R2613" s="84"/>
    </row>
    <row r="2614" customFormat="false" ht="15" hidden="false" customHeight="true" outlineLevel="0" collapsed="false">
      <c r="A2614" s="103"/>
      <c r="B2614" s="73"/>
      <c r="C2614" s="74"/>
      <c r="D2614" s="75"/>
      <c r="E2614" s="52" t="str">
        <f aca="false">IF(D2614&lt;&gt;"",IFERROR(VLOOKUP(D2614,PROVEEDORES!$A:$B,2,0),"!COD NO ENCONTRADO"),"")</f>
        <v/>
      </c>
      <c r="F2614" s="76" t="str">
        <f aca="false">IF(D2614&lt;&gt;"",IFERROR(VLOOKUP(D2614,PROVEEDORES!$A:$C,3,0),""),"")</f>
        <v/>
      </c>
      <c r="G2614" s="75"/>
      <c r="H2614" s="52" t="str">
        <f aca="false">IF(G2614&lt;&gt;"",IFERROR(VLOOKUP(G2614,PRODUCTOS!$A:$B,2,0),"!COD NO ENCONTRADO"),"")</f>
        <v/>
      </c>
      <c r="I2614" s="77"/>
      <c r="J2614" s="78"/>
      <c r="K2614" s="79"/>
      <c r="L2614" s="80" t="str">
        <f aca="false">IF(AND(J2614&lt;&gt;"",K2614&lt;&gt;""),J2614*K2614,"")</f>
        <v/>
      </c>
      <c r="M2614" s="81" t="str">
        <f aca="false">IF(L2614&lt;&gt;"",L2614*1.1,"")</f>
        <v/>
      </c>
      <c r="N2614" s="53" t="n">
        <f aca="false">IF(F2614="S",L2614*0.02,0)</f>
        <v>0</v>
      </c>
      <c r="O2614" s="82" t="str">
        <f aca="false">IF(L2614&lt;&gt;"",L2614+N2614,"")</f>
        <v/>
      </c>
      <c r="P2614" s="53" t="str">
        <f aca="false">IF(O2614&lt;&gt;"",O2614*0.1,"")</f>
        <v/>
      </c>
      <c r="Q2614" s="83" t="str">
        <f aca="false">IF(O2614&lt;&gt;"",O2614+P2614,"")</f>
        <v/>
      </c>
      <c r="R2614" s="84"/>
    </row>
    <row r="2615" customFormat="false" ht="15" hidden="false" customHeight="true" outlineLevel="0" collapsed="false">
      <c r="A2615" s="103"/>
      <c r="B2615" s="85"/>
      <c r="C2615" s="86"/>
      <c r="D2615" s="87"/>
      <c r="E2615" s="46" t="str">
        <f aca="false">IF(D2615&lt;&gt;"",IFERROR(VLOOKUP(D2615,PROVEEDORES!$A:$B,2,0),"!COD NO ENCONTRADO"),"")</f>
        <v/>
      </c>
      <c r="F2615" s="88" t="str">
        <f aca="false">IF(D2615&lt;&gt;"",IFERROR(VLOOKUP(D2615,PROVEEDORES!$A:$C,3,0),""),"")</f>
        <v/>
      </c>
      <c r="G2615" s="87"/>
      <c r="H2615" s="46" t="str">
        <f aca="false">IF(G2615&lt;&gt;"",IFERROR(VLOOKUP(G2615,PRODUCTOS!$A:$B,2,0),"!COD NO ENCONTRADO"),"")</f>
        <v/>
      </c>
      <c r="I2615" s="89"/>
      <c r="J2615" s="90"/>
      <c r="K2615" s="91"/>
      <c r="L2615" s="80" t="str">
        <f aca="false">IF(AND(J2615&lt;&gt;"",K2615&lt;&gt;""),J2615*K2615,"")</f>
        <v/>
      </c>
      <c r="M2615" s="81" t="str">
        <f aca="false">IF(L2615&lt;&gt;"",L2615*1.1,"")</f>
        <v/>
      </c>
      <c r="N2615" s="47" t="n">
        <f aca="false">IF(F2615="S",L2615*0.02,0)</f>
        <v>0</v>
      </c>
      <c r="O2615" s="82" t="str">
        <f aca="false">IF(L2615&lt;&gt;"",L2615+N2615,"")</f>
        <v/>
      </c>
      <c r="P2615" s="47" t="str">
        <f aca="false">IF(O2615&lt;&gt;"",O2615*0.1,"")</f>
        <v/>
      </c>
      <c r="Q2615" s="83" t="str">
        <f aca="false">IF(O2615&lt;&gt;"",O2615+P2615,"")</f>
        <v/>
      </c>
      <c r="R2615" s="84"/>
    </row>
    <row r="2616" customFormat="false" ht="15" hidden="false" customHeight="true" outlineLevel="0" collapsed="false">
      <c r="A2616" s="103"/>
      <c r="B2616" s="73"/>
      <c r="C2616" s="74"/>
      <c r="D2616" s="75"/>
      <c r="E2616" s="52" t="str">
        <f aca="false">IF(D2616&lt;&gt;"",IFERROR(VLOOKUP(D2616,PROVEEDORES!$A:$B,2,0),"!COD NO ENCONTRADO"),"")</f>
        <v/>
      </c>
      <c r="F2616" s="76" t="str">
        <f aca="false">IF(D2616&lt;&gt;"",IFERROR(VLOOKUP(D2616,PROVEEDORES!$A:$C,3,0),""),"")</f>
        <v/>
      </c>
      <c r="G2616" s="75"/>
      <c r="H2616" s="52" t="str">
        <f aca="false">IF(G2616&lt;&gt;"",IFERROR(VLOOKUP(G2616,PRODUCTOS!$A:$B,2,0),"!COD NO ENCONTRADO"),"")</f>
        <v/>
      </c>
      <c r="I2616" s="77"/>
      <c r="J2616" s="78"/>
      <c r="K2616" s="79"/>
      <c r="L2616" s="80" t="str">
        <f aca="false">IF(AND(J2616&lt;&gt;"",K2616&lt;&gt;""),J2616*K2616,"")</f>
        <v/>
      </c>
      <c r="M2616" s="81" t="str">
        <f aca="false">IF(L2616&lt;&gt;"",L2616*1.1,"")</f>
        <v/>
      </c>
      <c r="N2616" s="53" t="n">
        <f aca="false">IF(F2616="S",L2616*0.02,0)</f>
        <v>0</v>
      </c>
      <c r="O2616" s="82" t="str">
        <f aca="false">IF(L2616&lt;&gt;"",L2616+N2616,"")</f>
        <v/>
      </c>
      <c r="P2616" s="53" t="str">
        <f aca="false">IF(O2616&lt;&gt;"",O2616*0.1,"")</f>
        <v/>
      </c>
      <c r="Q2616" s="83" t="str">
        <f aca="false">IF(O2616&lt;&gt;"",O2616+P2616,"")</f>
        <v/>
      </c>
      <c r="R2616" s="84"/>
    </row>
    <row r="2617" customFormat="false" ht="15" hidden="false" customHeight="true" outlineLevel="0" collapsed="false">
      <c r="A2617" s="103"/>
      <c r="B2617" s="85"/>
      <c r="C2617" s="86"/>
      <c r="D2617" s="87"/>
      <c r="E2617" s="46" t="str">
        <f aca="false">IF(D2617&lt;&gt;"",IFERROR(VLOOKUP(D2617,PROVEEDORES!$A:$B,2,0),"!COD NO ENCONTRADO"),"")</f>
        <v/>
      </c>
      <c r="F2617" s="88" t="str">
        <f aca="false">IF(D2617&lt;&gt;"",IFERROR(VLOOKUP(D2617,PROVEEDORES!$A:$C,3,0),""),"")</f>
        <v/>
      </c>
      <c r="G2617" s="87"/>
      <c r="H2617" s="46" t="str">
        <f aca="false">IF(G2617&lt;&gt;"",IFERROR(VLOOKUP(G2617,PRODUCTOS!$A:$B,2,0),"!COD NO ENCONTRADO"),"")</f>
        <v/>
      </c>
      <c r="I2617" s="89"/>
      <c r="J2617" s="90"/>
      <c r="K2617" s="91"/>
      <c r="L2617" s="80" t="str">
        <f aca="false">IF(AND(J2617&lt;&gt;"",K2617&lt;&gt;""),J2617*K2617,"")</f>
        <v/>
      </c>
      <c r="M2617" s="81" t="str">
        <f aca="false">IF(L2617&lt;&gt;"",L2617*1.1,"")</f>
        <v/>
      </c>
      <c r="N2617" s="47" t="n">
        <f aca="false">IF(F2617="S",L2617*0.02,0)</f>
        <v>0</v>
      </c>
      <c r="O2617" s="82" t="str">
        <f aca="false">IF(L2617&lt;&gt;"",L2617+N2617,"")</f>
        <v/>
      </c>
      <c r="P2617" s="47" t="str">
        <f aca="false">IF(O2617&lt;&gt;"",O2617*0.1,"")</f>
        <v/>
      </c>
      <c r="Q2617" s="83" t="str">
        <f aca="false">IF(O2617&lt;&gt;"",O2617+P2617,"")</f>
        <v/>
      </c>
      <c r="R2617" s="84"/>
    </row>
    <row r="2618" customFormat="false" ht="15" hidden="false" customHeight="true" outlineLevel="0" collapsed="false">
      <c r="A2618" s="103"/>
      <c r="B2618" s="73"/>
      <c r="C2618" s="74"/>
      <c r="D2618" s="75"/>
      <c r="E2618" s="52" t="str">
        <f aca="false">IF(D2618&lt;&gt;"",IFERROR(VLOOKUP(D2618,PROVEEDORES!$A:$B,2,0),"!COD NO ENCONTRADO"),"")</f>
        <v/>
      </c>
      <c r="F2618" s="76" t="str">
        <f aca="false">IF(D2618&lt;&gt;"",IFERROR(VLOOKUP(D2618,PROVEEDORES!$A:$C,3,0),""),"")</f>
        <v/>
      </c>
      <c r="G2618" s="75"/>
      <c r="H2618" s="52" t="str">
        <f aca="false">IF(G2618&lt;&gt;"",IFERROR(VLOOKUP(G2618,PRODUCTOS!$A:$B,2,0),"!COD NO ENCONTRADO"),"")</f>
        <v/>
      </c>
      <c r="I2618" s="77"/>
      <c r="J2618" s="78"/>
      <c r="K2618" s="79"/>
      <c r="L2618" s="80" t="str">
        <f aca="false">IF(AND(J2618&lt;&gt;"",K2618&lt;&gt;""),J2618*K2618,"")</f>
        <v/>
      </c>
      <c r="M2618" s="81" t="str">
        <f aca="false">IF(L2618&lt;&gt;"",L2618*1.1,"")</f>
        <v/>
      </c>
      <c r="N2618" s="53" t="n">
        <f aca="false">IF(F2618="S",L2618*0.02,0)</f>
        <v>0</v>
      </c>
      <c r="O2618" s="82" t="str">
        <f aca="false">IF(L2618&lt;&gt;"",L2618+N2618,"")</f>
        <v/>
      </c>
      <c r="P2618" s="53" t="str">
        <f aca="false">IF(O2618&lt;&gt;"",O2618*0.1,"")</f>
        <v/>
      </c>
      <c r="Q2618" s="83" t="str">
        <f aca="false">IF(O2618&lt;&gt;"",O2618+P2618,"")</f>
        <v/>
      </c>
      <c r="R2618" s="84"/>
    </row>
    <row r="2619" customFormat="false" ht="15" hidden="false" customHeight="true" outlineLevel="0" collapsed="false">
      <c r="A2619" s="103"/>
      <c r="B2619" s="85"/>
      <c r="C2619" s="86"/>
      <c r="D2619" s="87"/>
      <c r="E2619" s="46" t="str">
        <f aca="false">IF(D2619&lt;&gt;"",IFERROR(VLOOKUP(D2619,PROVEEDORES!$A:$B,2,0),"!COD NO ENCONTRADO"),"")</f>
        <v/>
      </c>
      <c r="F2619" s="88" t="str">
        <f aca="false">IF(D2619&lt;&gt;"",IFERROR(VLOOKUP(D2619,PROVEEDORES!$A:$C,3,0),""),"")</f>
        <v/>
      </c>
      <c r="G2619" s="87"/>
      <c r="H2619" s="46" t="str">
        <f aca="false">IF(G2619&lt;&gt;"",IFERROR(VLOOKUP(G2619,PRODUCTOS!$A:$B,2,0),"!COD NO ENCONTRADO"),"")</f>
        <v/>
      </c>
      <c r="I2619" s="89"/>
      <c r="J2619" s="90"/>
      <c r="K2619" s="91"/>
      <c r="L2619" s="80" t="str">
        <f aca="false">IF(AND(J2619&lt;&gt;"",K2619&lt;&gt;""),J2619*K2619,"")</f>
        <v/>
      </c>
      <c r="M2619" s="81" t="str">
        <f aca="false">IF(L2619&lt;&gt;"",L2619*1.1,"")</f>
        <v/>
      </c>
      <c r="N2619" s="47" t="n">
        <f aca="false">IF(F2619="S",L2619*0.02,0)</f>
        <v>0</v>
      </c>
      <c r="O2619" s="82" t="str">
        <f aca="false">IF(L2619&lt;&gt;"",L2619+N2619,"")</f>
        <v/>
      </c>
      <c r="P2619" s="47" t="str">
        <f aca="false">IF(O2619&lt;&gt;"",O2619*0.1,"")</f>
        <v/>
      </c>
      <c r="Q2619" s="83" t="str">
        <f aca="false">IF(O2619&lt;&gt;"",O2619+P2619,"")</f>
        <v/>
      </c>
      <c r="R2619" s="84"/>
    </row>
    <row r="2620" customFormat="false" ht="15" hidden="false" customHeight="true" outlineLevel="0" collapsed="false">
      <c r="A2620" s="103"/>
      <c r="B2620" s="73"/>
      <c r="C2620" s="74"/>
      <c r="D2620" s="75"/>
      <c r="E2620" s="52" t="str">
        <f aca="false">IF(D2620&lt;&gt;"",IFERROR(VLOOKUP(D2620,PROVEEDORES!$A:$B,2,0),"!COD NO ENCONTRADO"),"")</f>
        <v/>
      </c>
      <c r="F2620" s="76" t="str">
        <f aca="false">IF(D2620&lt;&gt;"",IFERROR(VLOOKUP(D2620,PROVEEDORES!$A:$C,3,0),""),"")</f>
        <v/>
      </c>
      <c r="G2620" s="75"/>
      <c r="H2620" s="52" t="str">
        <f aca="false">IF(G2620&lt;&gt;"",IFERROR(VLOOKUP(G2620,PRODUCTOS!$A:$B,2,0),"!COD NO ENCONTRADO"),"")</f>
        <v/>
      </c>
      <c r="I2620" s="77"/>
      <c r="J2620" s="78"/>
      <c r="K2620" s="79"/>
      <c r="L2620" s="80" t="str">
        <f aca="false">IF(AND(J2620&lt;&gt;"",K2620&lt;&gt;""),J2620*K2620,"")</f>
        <v/>
      </c>
      <c r="M2620" s="81" t="str">
        <f aca="false">IF(L2620&lt;&gt;"",L2620*1.1,"")</f>
        <v/>
      </c>
      <c r="N2620" s="53" t="n">
        <f aca="false">IF(F2620="S",L2620*0.02,0)</f>
        <v>0</v>
      </c>
      <c r="O2620" s="82" t="str">
        <f aca="false">IF(L2620&lt;&gt;"",L2620+N2620,"")</f>
        <v/>
      </c>
      <c r="P2620" s="53" t="str">
        <f aca="false">IF(O2620&lt;&gt;"",O2620*0.1,"")</f>
        <v/>
      </c>
      <c r="Q2620" s="83" t="str">
        <f aca="false">IF(O2620&lt;&gt;"",O2620+P2620,"")</f>
        <v/>
      </c>
      <c r="R2620" s="84"/>
    </row>
    <row r="2621" customFormat="false" ht="15" hidden="false" customHeight="true" outlineLevel="0" collapsed="false">
      <c r="A2621" s="103"/>
      <c r="B2621" s="85"/>
      <c r="C2621" s="86"/>
      <c r="D2621" s="87"/>
      <c r="E2621" s="46" t="str">
        <f aca="false">IF(D2621&lt;&gt;"",IFERROR(VLOOKUP(D2621,PROVEEDORES!$A:$B,2,0),"!COD NO ENCONTRADO"),"")</f>
        <v/>
      </c>
      <c r="F2621" s="88" t="str">
        <f aca="false">IF(D2621&lt;&gt;"",IFERROR(VLOOKUP(D2621,PROVEEDORES!$A:$C,3,0),""),"")</f>
        <v/>
      </c>
      <c r="G2621" s="87"/>
      <c r="H2621" s="46" t="str">
        <f aca="false">IF(G2621&lt;&gt;"",IFERROR(VLOOKUP(G2621,PRODUCTOS!$A:$B,2,0),"!COD NO ENCONTRADO"),"")</f>
        <v/>
      </c>
      <c r="I2621" s="89"/>
      <c r="J2621" s="90"/>
      <c r="K2621" s="91"/>
      <c r="L2621" s="80" t="str">
        <f aca="false">IF(AND(J2621&lt;&gt;"",K2621&lt;&gt;""),J2621*K2621,"")</f>
        <v/>
      </c>
      <c r="M2621" s="81" t="str">
        <f aca="false">IF(L2621&lt;&gt;"",L2621*1.1,"")</f>
        <v/>
      </c>
      <c r="N2621" s="47" t="n">
        <f aca="false">IF(F2621="S",L2621*0.02,0)</f>
        <v>0</v>
      </c>
      <c r="O2621" s="82" t="str">
        <f aca="false">IF(L2621&lt;&gt;"",L2621+N2621,"")</f>
        <v/>
      </c>
      <c r="P2621" s="47" t="str">
        <f aca="false">IF(O2621&lt;&gt;"",O2621*0.1,"")</f>
        <v/>
      </c>
      <c r="Q2621" s="83" t="str">
        <f aca="false">IF(O2621&lt;&gt;"",O2621+P2621,"")</f>
        <v/>
      </c>
      <c r="R2621" s="84"/>
    </row>
    <row r="2622" customFormat="false" ht="15" hidden="false" customHeight="true" outlineLevel="0" collapsed="false">
      <c r="A2622" s="103"/>
      <c r="B2622" s="73"/>
      <c r="C2622" s="74"/>
      <c r="D2622" s="75"/>
      <c r="E2622" s="52" t="str">
        <f aca="false">IF(D2622&lt;&gt;"",IFERROR(VLOOKUP(D2622,PROVEEDORES!$A:$B,2,0),"!COD NO ENCONTRADO"),"")</f>
        <v/>
      </c>
      <c r="F2622" s="76" t="str">
        <f aca="false">IF(D2622&lt;&gt;"",IFERROR(VLOOKUP(D2622,PROVEEDORES!$A:$C,3,0),""),"")</f>
        <v/>
      </c>
      <c r="G2622" s="75"/>
      <c r="H2622" s="52" t="str">
        <f aca="false">IF(G2622&lt;&gt;"",IFERROR(VLOOKUP(G2622,PRODUCTOS!$A:$B,2,0),"!COD NO ENCONTRADO"),"")</f>
        <v/>
      </c>
      <c r="I2622" s="77"/>
      <c r="J2622" s="78"/>
      <c r="K2622" s="79"/>
      <c r="L2622" s="80" t="str">
        <f aca="false">IF(AND(J2622&lt;&gt;"",K2622&lt;&gt;""),J2622*K2622,"")</f>
        <v/>
      </c>
      <c r="M2622" s="81" t="str">
        <f aca="false">IF(L2622&lt;&gt;"",L2622*1.1,"")</f>
        <v/>
      </c>
      <c r="N2622" s="53" t="n">
        <f aca="false">IF(F2622="S",L2622*0.02,0)</f>
        <v>0</v>
      </c>
      <c r="O2622" s="82" t="str">
        <f aca="false">IF(L2622&lt;&gt;"",L2622+N2622,"")</f>
        <v/>
      </c>
      <c r="P2622" s="53" t="str">
        <f aca="false">IF(O2622&lt;&gt;"",O2622*0.1,"")</f>
        <v/>
      </c>
      <c r="Q2622" s="83" t="str">
        <f aca="false">IF(O2622&lt;&gt;"",O2622+P2622,"")</f>
        <v/>
      </c>
      <c r="R2622" s="84"/>
    </row>
    <row r="2623" customFormat="false" ht="15" hidden="false" customHeight="true" outlineLevel="0" collapsed="false">
      <c r="A2623" s="103"/>
      <c r="B2623" s="85"/>
      <c r="C2623" s="86"/>
      <c r="D2623" s="87"/>
      <c r="E2623" s="46" t="str">
        <f aca="false">IF(D2623&lt;&gt;"",IFERROR(VLOOKUP(D2623,PROVEEDORES!$A:$B,2,0),"!COD NO ENCONTRADO"),"")</f>
        <v/>
      </c>
      <c r="F2623" s="88" t="str">
        <f aca="false">IF(D2623&lt;&gt;"",IFERROR(VLOOKUP(D2623,PROVEEDORES!$A:$C,3,0),""),"")</f>
        <v/>
      </c>
      <c r="G2623" s="87"/>
      <c r="H2623" s="46" t="str">
        <f aca="false">IF(G2623&lt;&gt;"",IFERROR(VLOOKUP(G2623,PRODUCTOS!$A:$B,2,0),"!COD NO ENCONTRADO"),"")</f>
        <v/>
      </c>
      <c r="I2623" s="89"/>
      <c r="J2623" s="90"/>
      <c r="K2623" s="91"/>
      <c r="L2623" s="80" t="str">
        <f aca="false">IF(AND(J2623&lt;&gt;"",K2623&lt;&gt;""),J2623*K2623,"")</f>
        <v/>
      </c>
      <c r="M2623" s="81" t="str">
        <f aca="false">IF(L2623&lt;&gt;"",L2623*1.1,"")</f>
        <v/>
      </c>
      <c r="N2623" s="47" t="n">
        <f aca="false">IF(F2623="S",L2623*0.02,0)</f>
        <v>0</v>
      </c>
      <c r="O2623" s="82" t="str">
        <f aca="false">IF(L2623&lt;&gt;"",L2623+N2623,"")</f>
        <v/>
      </c>
      <c r="P2623" s="47" t="str">
        <f aca="false">IF(O2623&lt;&gt;"",O2623*0.1,"")</f>
        <v/>
      </c>
      <c r="Q2623" s="83" t="str">
        <f aca="false">IF(O2623&lt;&gt;"",O2623+P2623,"")</f>
        <v/>
      </c>
      <c r="R2623" s="84"/>
    </row>
    <row r="2624" customFormat="false" ht="15" hidden="false" customHeight="true" outlineLevel="0" collapsed="false">
      <c r="A2624" s="103"/>
      <c r="B2624" s="73"/>
      <c r="C2624" s="74"/>
      <c r="D2624" s="75"/>
      <c r="E2624" s="52" t="str">
        <f aca="false">IF(D2624&lt;&gt;"",IFERROR(VLOOKUP(D2624,PROVEEDORES!$A:$B,2,0),"!COD NO ENCONTRADO"),"")</f>
        <v/>
      </c>
      <c r="F2624" s="76" t="str">
        <f aca="false">IF(D2624&lt;&gt;"",IFERROR(VLOOKUP(D2624,PROVEEDORES!$A:$C,3,0),""),"")</f>
        <v/>
      </c>
      <c r="G2624" s="75"/>
      <c r="H2624" s="52" t="str">
        <f aca="false">IF(G2624&lt;&gt;"",IFERROR(VLOOKUP(G2624,PRODUCTOS!$A:$B,2,0),"!COD NO ENCONTRADO"),"")</f>
        <v/>
      </c>
      <c r="I2624" s="77"/>
      <c r="J2624" s="78"/>
      <c r="K2624" s="79"/>
      <c r="L2624" s="80" t="str">
        <f aca="false">IF(AND(J2624&lt;&gt;"",K2624&lt;&gt;""),J2624*K2624,"")</f>
        <v/>
      </c>
      <c r="M2624" s="81" t="str">
        <f aca="false">IF(L2624&lt;&gt;"",L2624*1.1,"")</f>
        <v/>
      </c>
      <c r="N2624" s="53" t="n">
        <f aca="false">IF(F2624="S",L2624*0.02,0)</f>
        <v>0</v>
      </c>
      <c r="O2624" s="82" t="str">
        <f aca="false">IF(L2624&lt;&gt;"",L2624+N2624,"")</f>
        <v/>
      </c>
      <c r="P2624" s="53" t="str">
        <f aca="false">IF(O2624&lt;&gt;"",O2624*0.1,"")</f>
        <v/>
      </c>
      <c r="Q2624" s="83" t="str">
        <f aca="false">IF(O2624&lt;&gt;"",O2624+P2624,"")</f>
        <v/>
      </c>
      <c r="R2624" s="84"/>
    </row>
    <row r="2625" customFormat="false" ht="15" hidden="false" customHeight="true" outlineLevel="0" collapsed="false">
      <c r="A2625" s="103"/>
      <c r="B2625" s="85"/>
      <c r="C2625" s="86"/>
      <c r="D2625" s="87"/>
      <c r="E2625" s="46" t="str">
        <f aca="false">IF(D2625&lt;&gt;"",IFERROR(VLOOKUP(D2625,PROVEEDORES!$A:$B,2,0),"!COD NO ENCONTRADO"),"")</f>
        <v/>
      </c>
      <c r="F2625" s="88" t="str">
        <f aca="false">IF(D2625&lt;&gt;"",IFERROR(VLOOKUP(D2625,PROVEEDORES!$A:$C,3,0),""),"")</f>
        <v/>
      </c>
      <c r="G2625" s="87"/>
      <c r="H2625" s="46" t="str">
        <f aca="false">IF(G2625&lt;&gt;"",IFERROR(VLOOKUP(G2625,PRODUCTOS!$A:$B,2,0),"!COD NO ENCONTRADO"),"")</f>
        <v/>
      </c>
      <c r="I2625" s="89"/>
      <c r="J2625" s="90"/>
      <c r="K2625" s="91"/>
      <c r="L2625" s="80" t="str">
        <f aca="false">IF(AND(J2625&lt;&gt;"",K2625&lt;&gt;""),J2625*K2625,"")</f>
        <v/>
      </c>
      <c r="M2625" s="81" t="str">
        <f aca="false">IF(L2625&lt;&gt;"",L2625*1.1,"")</f>
        <v/>
      </c>
      <c r="N2625" s="47" t="n">
        <f aca="false">IF(F2625="S",L2625*0.02,0)</f>
        <v>0</v>
      </c>
      <c r="O2625" s="82" t="str">
        <f aca="false">IF(L2625&lt;&gt;"",L2625+N2625,"")</f>
        <v/>
      </c>
      <c r="P2625" s="47" t="str">
        <f aca="false">IF(O2625&lt;&gt;"",O2625*0.1,"")</f>
        <v/>
      </c>
      <c r="Q2625" s="83" t="str">
        <f aca="false">IF(O2625&lt;&gt;"",O2625+P2625,"")</f>
        <v/>
      </c>
      <c r="R2625" s="84"/>
    </row>
    <row r="2626" customFormat="false" ht="15" hidden="false" customHeight="true" outlineLevel="0" collapsed="false">
      <c r="A2626" s="103"/>
      <c r="B2626" s="73"/>
      <c r="C2626" s="74"/>
      <c r="D2626" s="75"/>
      <c r="E2626" s="52" t="str">
        <f aca="false">IF(D2626&lt;&gt;"",IFERROR(VLOOKUP(D2626,PROVEEDORES!$A:$B,2,0),"!COD NO ENCONTRADO"),"")</f>
        <v/>
      </c>
      <c r="F2626" s="76" t="str">
        <f aca="false">IF(D2626&lt;&gt;"",IFERROR(VLOOKUP(D2626,PROVEEDORES!$A:$C,3,0),""),"")</f>
        <v/>
      </c>
      <c r="G2626" s="75"/>
      <c r="H2626" s="52" t="str">
        <f aca="false">IF(G2626&lt;&gt;"",IFERROR(VLOOKUP(G2626,PRODUCTOS!$A:$B,2,0),"!COD NO ENCONTRADO"),"")</f>
        <v/>
      </c>
      <c r="I2626" s="77"/>
      <c r="J2626" s="78"/>
      <c r="K2626" s="79"/>
      <c r="L2626" s="80" t="str">
        <f aca="false">IF(AND(J2626&lt;&gt;"",K2626&lt;&gt;""),J2626*K2626,"")</f>
        <v/>
      </c>
      <c r="M2626" s="81" t="str">
        <f aca="false">IF(L2626&lt;&gt;"",L2626*1.1,"")</f>
        <v/>
      </c>
      <c r="N2626" s="53" t="n">
        <f aca="false">IF(F2626="S",L2626*0.02,0)</f>
        <v>0</v>
      </c>
      <c r="O2626" s="82" t="str">
        <f aca="false">IF(L2626&lt;&gt;"",L2626+N2626,"")</f>
        <v/>
      </c>
      <c r="P2626" s="53" t="str">
        <f aca="false">IF(O2626&lt;&gt;"",O2626*0.1,"")</f>
        <v/>
      </c>
      <c r="Q2626" s="83" t="str">
        <f aca="false">IF(O2626&lt;&gt;"",O2626+P2626,"")</f>
        <v/>
      </c>
      <c r="R2626" s="84"/>
    </row>
    <row r="2627" customFormat="false" ht="15" hidden="false" customHeight="true" outlineLevel="0" collapsed="false">
      <c r="A2627" s="103"/>
      <c r="B2627" s="85"/>
      <c r="C2627" s="86"/>
      <c r="D2627" s="87"/>
      <c r="E2627" s="46" t="str">
        <f aca="false">IF(D2627&lt;&gt;"",IFERROR(VLOOKUP(D2627,PROVEEDORES!$A:$B,2,0),"!COD NO ENCONTRADO"),"")</f>
        <v/>
      </c>
      <c r="F2627" s="88" t="str">
        <f aca="false">IF(D2627&lt;&gt;"",IFERROR(VLOOKUP(D2627,PROVEEDORES!$A:$C,3,0),""),"")</f>
        <v/>
      </c>
      <c r="G2627" s="87"/>
      <c r="H2627" s="46" t="str">
        <f aca="false">IF(G2627&lt;&gt;"",IFERROR(VLOOKUP(G2627,PRODUCTOS!$A:$B,2,0),"!COD NO ENCONTRADO"),"")</f>
        <v/>
      </c>
      <c r="I2627" s="89"/>
      <c r="J2627" s="90"/>
      <c r="K2627" s="91"/>
      <c r="L2627" s="80" t="str">
        <f aca="false">IF(AND(J2627&lt;&gt;"",K2627&lt;&gt;""),J2627*K2627,"")</f>
        <v/>
      </c>
      <c r="M2627" s="81" t="str">
        <f aca="false">IF(L2627&lt;&gt;"",L2627*1.1,"")</f>
        <v/>
      </c>
      <c r="N2627" s="47" t="n">
        <f aca="false">IF(F2627="S",L2627*0.02,0)</f>
        <v>0</v>
      </c>
      <c r="O2627" s="82" t="str">
        <f aca="false">IF(L2627&lt;&gt;"",L2627+N2627,"")</f>
        <v/>
      </c>
      <c r="P2627" s="47" t="str">
        <f aca="false">IF(O2627&lt;&gt;"",O2627*0.1,"")</f>
        <v/>
      </c>
      <c r="Q2627" s="83" t="str">
        <f aca="false">IF(O2627&lt;&gt;"",O2627+P2627,"")</f>
        <v/>
      </c>
      <c r="R2627" s="84"/>
    </row>
    <row r="2628" customFormat="false" ht="15" hidden="false" customHeight="true" outlineLevel="0" collapsed="false">
      <c r="A2628" s="103"/>
      <c r="B2628" s="73"/>
      <c r="C2628" s="74"/>
      <c r="D2628" s="75"/>
      <c r="E2628" s="52" t="str">
        <f aca="false">IF(D2628&lt;&gt;"",IFERROR(VLOOKUP(D2628,PROVEEDORES!$A:$B,2,0),"!COD NO ENCONTRADO"),"")</f>
        <v/>
      </c>
      <c r="F2628" s="76" t="str">
        <f aca="false">IF(D2628&lt;&gt;"",IFERROR(VLOOKUP(D2628,PROVEEDORES!$A:$C,3,0),""),"")</f>
        <v/>
      </c>
      <c r="G2628" s="75"/>
      <c r="H2628" s="52" t="str">
        <f aca="false">IF(G2628&lt;&gt;"",IFERROR(VLOOKUP(G2628,PRODUCTOS!$A:$B,2,0),"!COD NO ENCONTRADO"),"")</f>
        <v/>
      </c>
      <c r="I2628" s="77"/>
      <c r="J2628" s="78"/>
      <c r="K2628" s="79"/>
      <c r="L2628" s="80" t="str">
        <f aca="false">IF(AND(J2628&lt;&gt;"",K2628&lt;&gt;""),J2628*K2628,"")</f>
        <v/>
      </c>
      <c r="M2628" s="81" t="str">
        <f aca="false">IF(L2628&lt;&gt;"",L2628*1.1,"")</f>
        <v/>
      </c>
      <c r="N2628" s="53" t="n">
        <f aca="false">IF(F2628="S",L2628*0.02,0)</f>
        <v>0</v>
      </c>
      <c r="O2628" s="82" t="str">
        <f aca="false">IF(L2628&lt;&gt;"",L2628+N2628,"")</f>
        <v/>
      </c>
      <c r="P2628" s="53" t="str">
        <f aca="false">IF(O2628&lt;&gt;"",O2628*0.1,"")</f>
        <v/>
      </c>
      <c r="Q2628" s="83" t="str">
        <f aca="false">IF(O2628&lt;&gt;"",O2628+P2628,"")</f>
        <v/>
      </c>
      <c r="R2628" s="84"/>
    </row>
    <row r="2629" customFormat="false" ht="15" hidden="false" customHeight="true" outlineLevel="0" collapsed="false">
      <c r="A2629" s="103"/>
      <c r="B2629" s="85"/>
      <c r="C2629" s="86"/>
      <c r="D2629" s="87"/>
      <c r="E2629" s="46" t="str">
        <f aca="false">IF(D2629&lt;&gt;"",IFERROR(VLOOKUP(D2629,PROVEEDORES!$A:$B,2,0),"!COD NO ENCONTRADO"),"")</f>
        <v/>
      </c>
      <c r="F2629" s="88" t="str">
        <f aca="false">IF(D2629&lt;&gt;"",IFERROR(VLOOKUP(D2629,PROVEEDORES!$A:$C,3,0),""),"")</f>
        <v/>
      </c>
      <c r="G2629" s="87"/>
      <c r="H2629" s="46" t="str">
        <f aca="false">IF(G2629&lt;&gt;"",IFERROR(VLOOKUP(G2629,PRODUCTOS!$A:$B,2,0),"!COD NO ENCONTRADO"),"")</f>
        <v/>
      </c>
      <c r="I2629" s="89"/>
      <c r="J2629" s="90"/>
      <c r="K2629" s="91"/>
      <c r="L2629" s="80" t="str">
        <f aca="false">IF(AND(J2629&lt;&gt;"",K2629&lt;&gt;""),J2629*K2629,"")</f>
        <v/>
      </c>
      <c r="M2629" s="81" t="str">
        <f aca="false">IF(L2629&lt;&gt;"",L2629*1.1,"")</f>
        <v/>
      </c>
      <c r="N2629" s="47" t="n">
        <f aca="false">IF(F2629="S",L2629*0.02,0)</f>
        <v>0</v>
      </c>
      <c r="O2629" s="82" t="str">
        <f aca="false">IF(L2629&lt;&gt;"",L2629+N2629,"")</f>
        <v/>
      </c>
      <c r="P2629" s="47" t="str">
        <f aca="false">IF(O2629&lt;&gt;"",O2629*0.1,"")</f>
        <v/>
      </c>
      <c r="Q2629" s="83" t="str">
        <f aca="false">IF(O2629&lt;&gt;"",O2629+P2629,"")</f>
        <v/>
      </c>
      <c r="R2629" s="84"/>
    </row>
    <row r="2630" customFormat="false" ht="15" hidden="false" customHeight="true" outlineLevel="0" collapsed="false">
      <c r="A2630" s="103"/>
      <c r="B2630" s="73"/>
      <c r="C2630" s="74"/>
      <c r="D2630" s="75"/>
      <c r="E2630" s="52" t="str">
        <f aca="false">IF(D2630&lt;&gt;"",IFERROR(VLOOKUP(D2630,PROVEEDORES!$A:$B,2,0),"!COD NO ENCONTRADO"),"")</f>
        <v/>
      </c>
      <c r="F2630" s="76" t="str">
        <f aca="false">IF(D2630&lt;&gt;"",IFERROR(VLOOKUP(D2630,PROVEEDORES!$A:$C,3,0),""),"")</f>
        <v/>
      </c>
      <c r="G2630" s="75"/>
      <c r="H2630" s="52" t="str">
        <f aca="false">IF(G2630&lt;&gt;"",IFERROR(VLOOKUP(G2630,PRODUCTOS!$A:$B,2,0),"!COD NO ENCONTRADO"),"")</f>
        <v/>
      </c>
      <c r="I2630" s="77"/>
      <c r="J2630" s="78"/>
      <c r="K2630" s="79"/>
      <c r="L2630" s="80" t="str">
        <f aca="false">IF(AND(J2630&lt;&gt;"",K2630&lt;&gt;""),J2630*K2630,"")</f>
        <v/>
      </c>
      <c r="M2630" s="81" t="str">
        <f aca="false">IF(L2630&lt;&gt;"",L2630*1.1,"")</f>
        <v/>
      </c>
      <c r="N2630" s="53" t="n">
        <f aca="false">IF(F2630="S",L2630*0.02,0)</f>
        <v>0</v>
      </c>
      <c r="O2630" s="82" t="str">
        <f aca="false">IF(L2630&lt;&gt;"",L2630+N2630,"")</f>
        <v/>
      </c>
      <c r="P2630" s="53" t="str">
        <f aca="false">IF(O2630&lt;&gt;"",O2630*0.1,"")</f>
        <v/>
      </c>
      <c r="Q2630" s="83" t="str">
        <f aca="false">IF(O2630&lt;&gt;"",O2630+P2630,"")</f>
        <v/>
      </c>
      <c r="R2630" s="84"/>
    </row>
    <row r="2631" customFormat="false" ht="15" hidden="false" customHeight="true" outlineLevel="0" collapsed="false">
      <c r="A2631" s="103"/>
      <c r="B2631" s="85"/>
      <c r="C2631" s="86"/>
      <c r="D2631" s="87"/>
      <c r="E2631" s="46" t="str">
        <f aca="false">IF(D2631&lt;&gt;"",IFERROR(VLOOKUP(D2631,PROVEEDORES!$A:$B,2,0),"!COD NO ENCONTRADO"),"")</f>
        <v/>
      </c>
      <c r="F2631" s="88" t="str">
        <f aca="false">IF(D2631&lt;&gt;"",IFERROR(VLOOKUP(D2631,PROVEEDORES!$A:$C,3,0),""),"")</f>
        <v/>
      </c>
      <c r="G2631" s="87"/>
      <c r="H2631" s="46" t="str">
        <f aca="false">IF(G2631&lt;&gt;"",IFERROR(VLOOKUP(G2631,PRODUCTOS!$A:$B,2,0),"!COD NO ENCONTRADO"),"")</f>
        <v/>
      </c>
      <c r="I2631" s="89"/>
      <c r="J2631" s="90"/>
      <c r="K2631" s="91"/>
      <c r="L2631" s="80" t="str">
        <f aca="false">IF(AND(J2631&lt;&gt;"",K2631&lt;&gt;""),J2631*K2631,"")</f>
        <v/>
      </c>
      <c r="M2631" s="81" t="str">
        <f aca="false">IF(L2631&lt;&gt;"",L2631*1.1,"")</f>
        <v/>
      </c>
      <c r="N2631" s="47" t="n">
        <f aca="false">IF(F2631="S",L2631*0.02,0)</f>
        <v>0</v>
      </c>
      <c r="O2631" s="82" t="str">
        <f aca="false">IF(L2631&lt;&gt;"",L2631+N2631,"")</f>
        <v/>
      </c>
      <c r="P2631" s="47" t="str">
        <f aca="false">IF(O2631&lt;&gt;"",O2631*0.1,"")</f>
        <v/>
      </c>
      <c r="Q2631" s="83" t="str">
        <f aca="false">IF(O2631&lt;&gt;"",O2631+P2631,"")</f>
        <v/>
      </c>
      <c r="R2631" s="84"/>
    </row>
    <row r="2632" customFormat="false" ht="15" hidden="false" customHeight="true" outlineLevel="0" collapsed="false">
      <c r="A2632" s="103"/>
      <c r="B2632" s="73"/>
      <c r="C2632" s="74"/>
      <c r="D2632" s="75"/>
      <c r="E2632" s="52" t="str">
        <f aca="false">IF(D2632&lt;&gt;"",IFERROR(VLOOKUP(D2632,PROVEEDORES!$A:$B,2,0),"!COD NO ENCONTRADO"),"")</f>
        <v/>
      </c>
      <c r="F2632" s="76" t="str">
        <f aca="false">IF(D2632&lt;&gt;"",IFERROR(VLOOKUP(D2632,PROVEEDORES!$A:$C,3,0),""),"")</f>
        <v/>
      </c>
      <c r="G2632" s="75"/>
      <c r="H2632" s="52" t="str">
        <f aca="false">IF(G2632&lt;&gt;"",IFERROR(VLOOKUP(G2632,PRODUCTOS!$A:$B,2,0),"!COD NO ENCONTRADO"),"")</f>
        <v/>
      </c>
      <c r="I2632" s="77"/>
      <c r="J2632" s="78"/>
      <c r="K2632" s="79"/>
      <c r="L2632" s="80" t="str">
        <f aca="false">IF(AND(J2632&lt;&gt;"",K2632&lt;&gt;""),J2632*K2632,"")</f>
        <v/>
      </c>
      <c r="M2632" s="81" t="str">
        <f aca="false">IF(L2632&lt;&gt;"",L2632*1.1,"")</f>
        <v/>
      </c>
      <c r="N2632" s="53" t="n">
        <f aca="false">IF(F2632="S",L2632*0.02,0)</f>
        <v>0</v>
      </c>
      <c r="O2632" s="82" t="str">
        <f aca="false">IF(L2632&lt;&gt;"",L2632+N2632,"")</f>
        <v/>
      </c>
      <c r="P2632" s="53" t="str">
        <f aca="false">IF(O2632&lt;&gt;"",O2632*0.1,"")</f>
        <v/>
      </c>
      <c r="Q2632" s="83" t="str">
        <f aca="false">IF(O2632&lt;&gt;"",O2632+P2632,"")</f>
        <v/>
      </c>
      <c r="R2632" s="84"/>
    </row>
    <row r="2633" customFormat="false" ht="15" hidden="false" customHeight="true" outlineLevel="0" collapsed="false">
      <c r="A2633" s="103"/>
      <c r="B2633" s="85"/>
      <c r="C2633" s="86"/>
      <c r="D2633" s="87"/>
      <c r="E2633" s="46" t="str">
        <f aca="false">IF(D2633&lt;&gt;"",IFERROR(VLOOKUP(D2633,PROVEEDORES!$A:$B,2,0),"!COD NO ENCONTRADO"),"")</f>
        <v/>
      </c>
      <c r="F2633" s="88" t="str">
        <f aca="false">IF(D2633&lt;&gt;"",IFERROR(VLOOKUP(D2633,PROVEEDORES!$A:$C,3,0),""),"")</f>
        <v/>
      </c>
      <c r="G2633" s="87"/>
      <c r="H2633" s="46" t="str">
        <f aca="false">IF(G2633&lt;&gt;"",IFERROR(VLOOKUP(G2633,PRODUCTOS!$A:$B,2,0),"!COD NO ENCONTRADO"),"")</f>
        <v/>
      </c>
      <c r="I2633" s="89"/>
      <c r="J2633" s="90"/>
      <c r="K2633" s="91"/>
      <c r="L2633" s="80" t="str">
        <f aca="false">IF(AND(J2633&lt;&gt;"",K2633&lt;&gt;""),J2633*K2633,"")</f>
        <v/>
      </c>
      <c r="M2633" s="81" t="str">
        <f aca="false">IF(L2633&lt;&gt;"",L2633*1.1,"")</f>
        <v/>
      </c>
      <c r="N2633" s="47" t="n">
        <f aca="false">IF(F2633="S",L2633*0.02,0)</f>
        <v>0</v>
      </c>
      <c r="O2633" s="82" t="str">
        <f aca="false">IF(L2633&lt;&gt;"",L2633+N2633,"")</f>
        <v/>
      </c>
      <c r="P2633" s="47" t="str">
        <f aca="false">IF(O2633&lt;&gt;"",O2633*0.1,"")</f>
        <v/>
      </c>
      <c r="Q2633" s="83" t="str">
        <f aca="false">IF(O2633&lt;&gt;"",O2633+P2633,"")</f>
        <v/>
      </c>
      <c r="R2633" s="84"/>
    </row>
    <row r="2634" customFormat="false" ht="15" hidden="false" customHeight="true" outlineLevel="0" collapsed="false">
      <c r="A2634" s="103"/>
      <c r="B2634" s="73"/>
      <c r="C2634" s="74"/>
      <c r="D2634" s="75"/>
      <c r="E2634" s="52" t="str">
        <f aca="false">IF(D2634&lt;&gt;"",IFERROR(VLOOKUP(D2634,PROVEEDORES!$A:$B,2,0),"!COD NO ENCONTRADO"),"")</f>
        <v/>
      </c>
      <c r="F2634" s="76" t="str">
        <f aca="false">IF(D2634&lt;&gt;"",IFERROR(VLOOKUP(D2634,PROVEEDORES!$A:$C,3,0),""),"")</f>
        <v/>
      </c>
      <c r="G2634" s="75"/>
      <c r="H2634" s="52" t="str">
        <f aca="false">IF(G2634&lt;&gt;"",IFERROR(VLOOKUP(G2634,PRODUCTOS!$A:$B,2,0),"!COD NO ENCONTRADO"),"")</f>
        <v/>
      </c>
      <c r="I2634" s="77"/>
      <c r="J2634" s="78"/>
      <c r="K2634" s="79"/>
      <c r="L2634" s="80" t="str">
        <f aca="false">IF(AND(J2634&lt;&gt;"",K2634&lt;&gt;""),J2634*K2634,"")</f>
        <v/>
      </c>
      <c r="M2634" s="81" t="str">
        <f aca="false">IF(L2634&lt;&gt;"",L2634*1.1,"")</f>
        <v/>
      </c>
      <c r="N2634" s="53" t="n">
        <f aca="false">IF(F2634="S",L2634*0.02,0)</f>
        <v>0</v>
      </c>
      <c r="O2634" s="82" t="str">
        <f aca="false">IF(L2634&lt;&gt;"",L2634+N2634,"")</f>
        <v/>
      </c>
      <c r="P2634" s="53" t="str">
        <f aca="false">IF(O2634&lt;&gt;"",O2634*0.1,"")</f>
        <v/>
      </c>
      <c r="Q2634" s="83" t="str">
        <f aca="false">IF(O2634&lt;&gt;"",O2634+P2634,"")</f>
        <v/>
      </c>
      <c r="R2634" s="84"/>
    </row>
    <row r="2635" customFormat="false" ht="15" hidden="false" customHeight="true" outlineLevel="0" collapsed="false">
      <c r="A2635" s="103"/>
      <c r="B2635" s="85"/>
      <c r="C2635" s="86"/>
      <c r="D2635" s="87"/>
      <c r="E2635" s="46" t="str">
        <f aca="false">IF(D2635&lt;&gt;"",IFERROR(VLOOKUP(D2635,PROVEEDORES!$A:$B,2,0),"!COD NO ENCONTRADO"),"")</f>
        <v/>
      </c>
      <c r="F2635" s="88" t="str">
        <f aca="false">IF(D2635&lt;&gt;"",IFERROR(VLOOKUP(D2635,PROVEEDORES!$A:$C,3,0),""),"")</f>
        <v/>
      </c>
      <c r="G2635" s="87"/>
      <c r="H2635" s="46" t="str">
        <f aca="false">IF(G2635&lt;&gt;"",IFERROR(VLOOKUP(G2635,PRODUCTOS!$A:$B,2,0),"!COD NO ENCONTRADO"),"")</f>
        <v/>
      </c>
      <c r="I2635" s="89"/>
      <c r="J2635" s="90"/>
      <c r="K2635" s="91"/>
      <c r="L2635" s="80" t="str">
        <f aca="false">IF(AND(J2635&lt;&gt;"",K2635&lt;&gt;""),J2635*K2635,"")</f>
        <v/>
      </c>
      <c r="M2635" s="81" t="str">
        <f aca="false">IF(L2635&lt;&gt;"",L2635*1.1,"")</f>
        <v/>
      </c>
      <c r="N2635" s="47" t="n">
        <f aca="false">IF(F2635="S",L2635*0.02,0)</f>
        <v>0</v>
      </c>
      <c r="O2635" s="82" t="str">
        <f aca="false">IF(L2635&lt;&gt;"",L2635+N2635,"")</f>
        <v/>
      </c>
      <c r="P2635" s="47" t="str">
        <f aca="false">IF(O2635&lt;&gt;"",O2635*0.1,"")</f>
        <v/>
      </c>
      <c r="Q2635" s="83" t="str">
        <f aca="false">IF(O2635&lt;&gt;"",O2635+P2635,"")</f>
        <v/>
      </c>
      <c r="R2635" s="84"/>
    </row>
    <row r="2636" customFormat="false" ht="15" hidden="false" customHeight="true" outlineLevel="0" collapsed="false">
      <c r="A2636" s="103"/>
      <c r="B2636" s="73"/>
      <c r="C2636" s="74"/>
      <c r="D2636" s="75"/>
      <c r="E2636" s="52" t="str">
        <f aca="false">IF(D2636&lt;&gt;"",IFERROR(VLOOKUP(D2636,PROVEEDORES!$A:$B,2,0),"!COD NO ENCONTRADO"),"")</f>
        <v/>
      </c>
      <c r="F2636" s="76" t="str">
        <f aca="false">IF(D2636&lt;&gt;"",IFERROR(VLOOKUP(D2636,PROVEEDORES!$A:$C,3,0),""),"")</f>
        <v/>
      </c>
      <c r="G2636" s="75"/>
      <c r="H2636" s="52" t="str">
        <f aca="false">IF(G2636&lt;&gt;"",IFERROR(VLOOKUP(G2636,PRODUCTOS!$A:$B,2,0),"!COD NO ENCONTRADO"),"")</f>
        <v/>
      </c>
      <c r="I2636" s="77"/>
      <c r="J2636" s="78"/>
      <c r="K2636" s="79"/>
      <c r="L2636" s="80" t="str">
        <f aca="false">IF(AND(J2636&lt;&gt;"",K2636&lt;&gt;""),J2636*K2636,"")</f>
        <v/>
      </c>
      <c r="M2636" s="81" t="str">
        <f aca="false">IF(L2636&lt;&gt;"",L2636*1.1,"")</f>
        <v/>
      </c>
      <c r="N2636" s="53" t="n">
        <f aca="false">IF(F2636="S",L2636*0.02,0)</f>
        <v>0</v>
      </c>
      <c r="O2636" s="82" t="str">
        <f aca="false">IF(L2636&lt;&gt;"",L2636+N2636,"")</f>
        <v/>
      </c>
      <c r="P2636" s="53" t="str">
        <f aca="false">IF(O2636&lt;&gt;"",O2636*0.1,"")</f>
        <v/>
      </c>
      <c r="Q2636" s="83" t="str">
        <f aca="false">IF(O2636&lt;&gt;"",O2636+P2636,"")</f>
        <v/>
      </c>
      <c r="R2636" s="84"/>
    </row>
    <row r="2637" customFormat="false" ht="15" hidden="false" customHeight="true" outlineLevel="0" collapsed="false">
      <c r="A2637" s="103"/>
      <c r="B2637" s="85"/>
      <c r="C2637" s="86"/>
      <c r="D2637" s="87"/>
      <c r="E2637" s="46" t="str">
        <f aca="false">IF(D2637&lt;&gt;"",IFERROR(VLOOKUP(D2637,PROVEEDORES!$A:$B,2,0),"!COD NO ENCONTRADO"),"")</f>
        <v/>
      </c>
      <c r="F2637" s="88" t="str">
        <f aca="false">IF(D2637&lt;&gt;"",IFERROR(VLOOKUP(D2637,PROVEEDORES!$A:$C,3,0),""),"")</f>
        <v/>
      </c>
      <c r="G2637" s="87"/>
      <c r="H2637" s="46" t="str">
        <f aca="false">IF(G2637&lt;&gt;"",IFERROR(VLOOKUP(G2637,PRODUCTOS!$A:$B,2,0),"!COD NO ENCONTRADO"),"")</f>
        <v/>
      </c>
      <c r="I2637" s="89"/>
      <c r="J2637" s="90"/>
      <c r="K2637" s="91"/>
      <c r="L2637" s="80" t="str">
        <f aca="false">IF(AND(J2637&lt;&gt;"",K2637&lt;&gt;""),J2637*K2637,"")</f>
        <v/>
      </c>
      <c r="M2637" s="81" t="str">
        <f aca="false">IF(L2637&lt;&gt;"",L2637*1.1,"")</f>
        <v/>
      </c>
      <c r="N2637" s="47" t="n">
        <f aca="false">IF(F2637="S",L2637*0.02,0)</f>
        <v>0</v>
      </c>
      <c r="O2637" s="82" t="str">
        <f aca="false">IF(L2637&lt;&gt;"",L2637+N2637,"")</f>
        <v/>
      </c>
      <c r="P2637" s="47" t="str">
        <f aca="false">IF(O2637&lt;&gt;"",O2637*0.1,"")</f>
        <v/>
      </c>
      <c r="Q2637" s="83" t="str">
        <f aca="false">IF(O2637&lt;&gt;"",O2637+P2637,"")</f>
        <v/>
      </c>
      <c r="R2637" s="84"/>
    </row>
    <row r="2638" customFormat="false" ht="15" hidden="false" customHeight="true" outlineLevel="0" collapsed="false">
      <c r="A2638" s="103"/>
      <c r="B2638" s="73"/>
      <c r="C2638" s="74"/>
      <c r="D2638" s="75"/>
      <c r="E2638" s="52" t="str">
        <f aca="false">IF(D2638&lt;&gt;"",IFERROR(VLOOKUP(D2638,PROVEEDORES!$A:$B,2,0),"!COD NO ENCONTRADO"),"")</f>
        <v/>
      </c>
      <c r="F2638" s="76" t="str">
        <f aca="false">IF(D2638&lt;&gt;"",IFERROR(VLOOKUP(D2638,PROVEEDORES!$A:$C,3,0),""),"")</f>
        <v/>
      </c>
      <c r="G2638" s="75"/>
      <c r="H2638" s="52" t="str">
        <f aca="false">IF(G2638&lt;&gt;"",IFERROR(VLOOKUP(G2638,PRODUCTOS!$A:$B,2,0),"!COD NO ENCONTRADO"),"")</f>
        <v/>
      </c>
      <c r="I2638" s="77"/>
      <c r="J2638" s="78"/>
      <c r="K2638" s="79"/>
      <c r="L2638" s="80" t="str">
        <f aca="false">IF(AND(J2638&lt;&gt;"",K2638&lt;&gt;""),J2638*K2638,"")</f>
        <v/>
      </c>
      <c r="M2638" s="81" t="str">
        <f aca="false">IF(L2638&lt;&gt;"",L2638*1.1,"")</f>
        <v/>
      </c>
      <c r="N2638" s="53" t="n">
        <f aca="false">IF(F2638="S",L2638*0.02,0)</f>
        <v>0</v>
      </c>
      <c r="O2638" s="82" t="str">
        <f aca="false">IF(L2638&lt;&gt;"",L2638+N2638,"")</f>
        <v/>
      </c>
      <c r="P2638" s="53" t="str">
        <f aca="false">IF(O2638&lt;&gt;"",O2638*0.1,"")</f>
        <v/>
      </c>
      <c r="Q2638" s="83" t="str">
        <f aca="false">IF(O2638&lt;&gt;"",O2638+P2638,"")</f>
        <v/>
      </c>
      <c r="R2638" s="84"/>
    </row>
    <row r="2639" customFormat="false" ht="15" hidden="false" customHeight="true" outlineLevel="0" collapsed="false">
      <c r="A2639" s="103"/>
      <c r="B2639" s="85"/>
      <c r="C2639" s="86"/>
      <c r="D2639" s="87"/>
      <c r="E2639" s="46" t="str">
        <f aca="false">IF(D2639&lt;&gt;"",IFERROR(VLOOKUP(D2639,PROVEEDORES!$A:$B,2,0),"!COD NO ENCONTRADO"),"")</f>
        <v/>
      </c>
      <c r="F2639" s="88" t="str">
        <f aca="false">IF(D2639&lt;&gt;"",IFERROR(VLOOKUP(D2639,PROVEEDORES!$A:$C,3,0),""),"")</f>
        <v/>
      </c>
      <c r="G2639" s="87"/>
      <c r="H2639" s="46" t="str">
        <f aca="false">IF(G2639&lt;&gt;"",IFERROR(VLOOKUP(G2639,PRODUCTOS!$A:$B,2,0),"!COD NO ENCONTRADO"),"")</f>
        <v/>
      </c>
      <c r="I2639" s="89"/>
      <c r="J2639" s="90"/>
      <c r="K2639" s="91"/>
      <c r="L2639" s="80" t="str">
        <f aca="false">IF(AND(J2639&lt;&gt;"",K2639&lt;&gt;""),J2639*K2639,"")</f>
        <v/>
      </c>
      <c r="M2639" s="81" t="str">
        <f aca="false">IF(L2639&lt;&gt;"",L2639*1.1,"")</f>
        <v/>
      </c>
      <c r="N2639" s="47" t="n">
        <f aca="false">IF(F2639="S",L2639*0.02,0)</f>
        <v>0</v>
      </c>
      <c r="O2639" s="82" t="str">
        <f aca="false">IF(L2639&lt;&gt;"",L2639+N2639,"")</f>
        <v/>
      </c>
      <c r="P2639" s="47" t="str">
        <f aca="false">IF(O2639&lt;&gt;"",O2639*0.1,"")</f>
        <v/>
      </c>
      <c r="Q2639" s="83" t="str">
        <f aca="false">IF(O2639&lt;&gt;"",O2639+P2639,"")</f>
        <v/>
      </c>
      <c r="R2639" s="84"/>
    </row>
    <row r="2640" customFormat="false" ht="15" hidden="false" customHeight="true" outlineLevel="0" collapsed="false">
      <c r="A2640" s="103"/>
      <c r="B2640" s="73"/>
      <c r="C2640" s="74"/>
      <c r="D2640" s="75"/>
      <c r="E2640" s="52" t="str">
        <f aca="false">IF(D2640&lt;&gt;"",IFERROR(VLOOKUP(D2640,PROVEEDORES!$A:$B,2,0),"!COD NO ENCONTRADO"),"")</f>
        <v/>
      </c>
      <c r="F2640" s="76" t="str">
        <f aca="false">IF(D2640&lt;&gt;"",IFERROR(VLOOKUP(D2640,PROVEEDORES!$A:$C,3,0),""),"")</f>
        <v/>
      </c>
      <c r="G2640" s="75"/>
      <c r="H2640" s="52" t="str">
        <f aca="false">IF(G2640&lt;&gt;"",IFERROR(VLOOKUP(G2640,PRODUCTOS!$A:$B,2,0),"!COD NO ENCONTRADO"),"")</f>
        <v/>
      </c>
      <c r="I2640" s="77"/>
      <c r="J2640" s="78"/>
      <c r="K2640" s="79"/>
      <c r="L2640" s="80" t="str">
        <f aca="false">IF(AND(J2640&lt;&gt;"",K2640&lt;&gt;""),J2640*K2640,"")</f>
        <v/>
      </c>
      <c r="M2640" s="81" t="str">
        <f aca="false">IF(L2640&lt;&gt;"",L2640*1.1,"")</f>
        <v/>
      </c>
      <c r="N2640" s="53" t="n">
        <f aca="false">IF(F2640="S",L2640*0.02,0)</f>
        <v>0</v>
      </c>
      <c r="O2640" s="82" t="str">
        <f aca="false">IF(L2640&lt;&gt;"",L2640+N2640,"")</f>
        <v/>
      </c>
      <c r="P2640" s="53" t="str">
        <f aca="false">IF(O2640&lt;&gt;"",O2640*0.1,"")</f>
        <v/>
      </c>
      <c r="Q2640" s="83" t="str">
        <f aca="false">IF(O2640&lt;&gt;"",O2640+P2640,"")</f>
        <v/>
      </c>
      <c r="R2640" s="84"/>
    </row>
    <row r="2641" customFormat="false" ht="15" hidden="false" customHeight="true" outlineLevel="0" collapsed="false">
      <c r="A2641" s="103"/>
      <c r="B2641" s="85"/>
      <c r="C2641" s="86"/>
      <c r="D2641" s="87"/>
      <c r="E2641" s="46" t="str">
        <f aca="false">IF(D2641&lt;&gt;"",IFERROR(VLOOKUP(D2641,PROVEEDORES!$A:$B,2,0),"!COD NO ENCONTRADO"),"")</f>
        <v/>
      </c>
      <c r="F2641" s="88" t="str">
        <f aca="false">IF(D2641&lt;&gt;"",IFERROR(VLOOKUP(D2641,PROVEEDORES!$A:$C,3,0),""),"")</f>
        <v/>
      </c>
      <c r="G2641" s="87"/>
      <c r="H2641" s="46" t="str">
        <f aca="false">IF(G2641&lt;&gt;"",IFERROR(VLOOKUP(G2641,PRODUCTOS!$A:$B,2,0),"!COD NO ENCONTRADO"),"")</f>
        <v/>
      </c>
      <c r="I2641" s="89"/>
      <c r="J2641" s="90"/>
      <c r="K2641" s="91"/>
      <c r="L2641" s="80" t="str">
        <f aca="false">IF(AND(J2641&lt;&gt;"",K2641&lt;&gt;""),J2641*K2641,"")</f>
        <v/>
      </c>
      <c r="M2641" s="81" t="str">
        <f aca="false">IF(L2641&lt;&gt;"",L2641*1.1,"")</f>
        <v/>
      </c>
      <c r="N2641" s="47" t="n">
        <f aca="false">IF(F2641="S",L2641*0.02,0)</f>
        <v>0</v>
      </c>
      <c r="O2641" s="82" t="str">
        <f aca="false">IF(L2641&lt;&gt;"",L2641+N2641,"")</f>
        <v/>
      </c>
      <c r="P2641" s="47" t="str">
        <f aca="false">IF(O2641&lt;&gt;"",O2641*0.1,"")</f>
        <v/>
      </c>
      <c r="Q2641" s="83" t="str">
        <f aca="false">IF(O2641&lt;&gt;"",O2641+P2641,"")</f>
        <v/>
      </c>
      <c r="R2641" s="84"/>
    </row>
    <row r="2642" customFormat="false" ht="15" hidden="false" customHeight="true" outlineLevel="0" collapsed="false">
      <c r="A2642" s="103"/>
      <c r="B2642" s="73"/>
      <c r="C2642" s="74"/>
      <c r="D2642" s="75"/>
      <c r="E2642" s="52" t="str">
        <f aca="false">IF(D2642&lt;&gt;"",IFERROR(VLOOKUP(D2642,PROVEEDORES!$A:$B,2,0),"!COD NO ENCONTRADO"),"")</f>
        <v/>
      </c>
      <c r="F2642" s="76" t="str">
        <f aca="false">IF(D2642&lt;&gt;"",IFERROR(VLOOKUP(D2642,PROVEEDORES!$A:$C,3,0),""),"")</f>
        <v/>
      </c>
      <c r="G2642" s="75"/>
      <c r="H2642" s="52" t="str">
        <f aca="false">IF(G2642&lt;&gt;"",IFERROR(VLOOKUP(G2642,PRODUCTOS!$A:$B,2,0),"!COD NO ENCONTRADO"),"")</f>
        <v/>
      </c>
      <c r="I2642" s="77"/>
      <c r="J2642" s="78"/>
      <c r="K2642" s="79"/>
      <c r="L2642" s="80" t="str">
        <f aca="false">IF(AND(J2642&lt;&gt;"",K2642&lt;&gt;""),J2642*K2642,"")</f>
        <v/>
      </c>
      <c r="M2642" s="81" t="str">
        <f aca="false">IF(L2642&lt;&gt;"",L2642*1.1,"")</f>
        <v/>
      </c>
      <c r="N2642" s="53" t="n">
        <f aca="false">IF(F2642="S",L2642*0.02,0)</f>
        <v>0</v>
      </c>
      <c r="O2642" s="82" t="str">
        <f aca="false">IF(L2642&lt;&gt;"",L2642+N2642,"")</f>
        <v/>
      </c>
      <c r="P2642" s="53" t="str">
        <f aca="false">IF(O2642&lt;&gt;"",O2642*0.1,"")</f>
        <v/>
      </c>
      <c r="Q2642" s="83" t="str">
        <f aca="false">IF(O2642&lt;&gt;"",O2642+P2642,"")</f>
        <v/>
      </c>
      <c r="R2642" s="84"/>
    </row>
    <row r="2643" customFormat="false" ht="15" hidden="false" customHeight="true" outlineLevel="0" collapsed="false">
      <c r="A2643" s="103"/>
      <c r="B2643" s="85"/>
      <c r="C2643" s="86"/>
      <c r="D2643" s="87"/>
      <c r="E2643" s="46" t="str">
        <f aca="false">IF(D2643&lt;&gt;"",IFERROR(VLOOKUP(D2643,PROVEEDORES!$A:$B,2,0),"!COD NO ENCONTRADO"),"")</f>
        <v/>
      </c>
      <c r="F2643" s="88" t="str">
        <f aca="false">IF(D2643&lt;&gt;"",IFERROR(VLOOKUP(D2643,PROVEEDORES!$A:$C,3,0),""),"")</f>
        <v/>
      </c>
      <c r="G2643" s="87"/>
      <c r="H2643" s="46" t="str">
        <f aca="false">IF(G2643&lt;&gt;"",IFERROR(VLOOKUP(G2643,PRODUCTOS!$A:$B,2,0),"!COD NO ENCONTRADO"),"")</f>
        <v/>
      </c>
      <c r="I2643" s="89"/>
      <c r="J2643" s="90"/>
      <c r="K2643" s="91"/>
      <c r="L2643" s="80" t="str">
        <f aca="false">IF(AND(J2643&lt;&gt;"",K2643&lt;&gt;""),J2643*K2643,"")</f>
        <v/>
      </c>
      <c r="M2643" s="81" t="str">
        <f aca="false">IF(L2643&lt;&gt;"",L2643*1.1,"")</f>
        <v/>
      </c>
      <c r="N2643" s="47" t="n">
        <f aca="false">IF(F2643="S",L2643*0.02,0)</f>
        <v>0</v>
      </c>
      <c r="O2643" s="82" t="str">
        <f aca="false">IF(L2643&lt;&gt;"",L2643+N2643,"")</f>
        <v/>
      </c>
      <c r="P2643" s="47" t="str">
        <f aca="false">IF(O2643&lt;&gt;"",O2643*0.1,"")</f>
        <v/>
      </c>
      <c r="Q2643" s="83" t="str">
        <f aca="false">IF(O2643&lt;&gt;"",O2643+P2643,"")</f>
        <v/>
      </c>
      <c r="R2643" s="84"/>
    </row>
    <row r="2644" customFormat="false" ht="15" hidden="false" customHeight="true" outlineLevel="0" collapsed="false">
      <c r="A2644" s="103"/>
      <c r="B2644" s="73"/>
      <c r="C2644" s="74"/>
      <c r="D2644" s="75"/>
      <c r="E2644" s="52" t="str">
        <f aca="false">IF(D2644&lt;&gt;"",IFERROR(VLOOKUP(D2644,PROVEEDORES!$A:$B,2,0),"!COD NO ENCONTRADO"),"")</f>
        <v/>
      </c>
      <c r="F2644" s="76" t="str">
        <f aca="false">IF(D2644&lt;&gt;"",IFERROR(VLOOKUP(D2644,PROVEEDORES!$A:$C,3,0),""),"")</f>
        <v/>
      </c>
      <c r="G2644" s="75"/>
      <c r="H2644" s="52" t="str">
        <f aca="false">IF(G2644&lt;&gt;"",IFERROR(VLOOKUP(G2644,PRODUCTOS!$A:$B,2,0),"!COD NO ENCONTRADO"),"")</f>
        <v/>
      </c>
      <c r="I2644" s="77"/>
      <c r="J2644" s="78"/>
      <c r="K2644" s="79"/>
      <c r="L2644" s="80" t="str">
        <f aca="false">IF(AND(J2644&lt;&gt;"",K2644&lt;&gt;""),J2644*K2644,"")</f>
        <v/>
      </c>
      <c r="M2644" s="81" t="str">
        <f aca="false">IF(L2644&lt;&gt;"",L2644*1.1,"")</f>
        <v/>
      </c>
      <c r="N2644" s="53" t="n">
        <f aca="false">IF(F2644="S",L2644*0.02,0)</f>
        <v>0</v>
      </c>
      <c r="O2644" s="82" t="str">
        <f aca="false">IF(L2644&lt;&gt;"",L2644+N2644,"")</f>
        <v/>
      </c>
      <c r="P2644" s="53" t="str">
        <f aca="false">IF(O2644&lt;&gt;"",O2644*0.1,"")</f>
        <v/>
      </c>
      <c r="Q2644" s="83" t="str">
        <f aca="false">IF(O2644&lt;&gt;"",O2644+P2644,"")</f>
        <v/>
      </c>
      <c r="R2644" s="84"/>
    </row>
    <row r="2645" customFormat="false" ht="15" hidden="false" customHeight="true" outlineLevel="0" collapsed="false">
      <c r="A2645" s="103"/>
      <c r="B2645" s="85"/>
      <c r="C2645" s="86"/>
      <c r="D2645" s="87"/>
      <c r="E2645" s="46" t="str">
        <f aca="false">IF(D2645&lt;&gt;"",IFERROR(VLOOKUP(D2645,PROVEEDORES!$A:$B,2,0),"!COD NO ENCONTRADO"),"")</f>
        <v/>
      </c>
      <c r="F2645" s="88" t="str">
        <f aca="false">IF(D2645&lt;&gt;"",IFERROR(VLOOKUP(D2645,PROVEEDORES!$A:$C,3,0),""),"")</f>
        <v/>
      </c>
      <c r="G2645" s="87"/>
      <c r="H2645" s="46" t="str">
        <f aca="false">IF(G2645&lt;&gt;"",IFERROR(VLOOKUP(G2645,PRODUCTOS!$A:$B,2,0),"!COD NO ENCONTRADO"),"")</f>
        <v/>
      </c>
      <c r="I2645" s="89"/>
      <c r="J2645" s="90"/>
      <c r="K2645" s="91"/>
      <c r="L2645" s="80" t="str">
        <f aca="false">IF(AND(J2645&lt;&gt;"",K2645&lt;&gt;""),J2645*K2645,"")</f>
        <v/>
      </c>
      <c r="M2645" s="81" t="str">
        <f aca="false">IF(L2645&lt;&gt;"",L2645*1.1,"")</f>
        <v/>
      </c>
      <c r="N2645" s="47" t="n">
        <f aca="false">IF(F2645="S",L2645*0.02,0)</f>
        <v>0</v>
      </c>
      <c r="O2645" s="82" t="str">
        <f aca="false">IF(L2645&lt;&gt;"",L2645+N2645,"")</f>
        <v/>
      </c>
      <c r="P2645" s="47" t="str">
        <f aca="false">IF(O2645&lt;&gt;"",O2645*0.1,"")</f>
        <v/>
      </c>
      <c r="Q2645" s="83" t="str">
        <f aca="false">IF(O2645&lt;&gt;"",O2645+P2645,"")</f>
        <v/>
      </c>
      <c r="R2645" s="84"/>
    </row>
    <row r="2646" customFormat="false" ht="15" hidden="false" customHeight="true" outlineLevel="0" collapsed="false">
      <c r="A2646" s="103"/>
      <c r="B2646" s="73"/>
      <c r="C2646" s="74"/>
      <c r="D2646" s="75"/>
      <c r="E2646" s="52" t="str">
        <f aca="false">IF(D2646&lt;&gt;"",IFERROR(VLOOKUP(D2646,PROVEEDORES!$A:$B,2,0),"!COD NO ENCONTRADO"),"")</f>
        <v/>
      </c>
      <c r="F2646" s="76" t="str">
        <f aca="false">IF(D2646&lt;&gt;"",IFERROR(VLOOKUP(D2646,PROVEEDORES!$A:$C,3,0),""),"")</f>
        <v/>
      </c>
      <c r="G2646" s="75"/>
      <c r="H2646" s="52" t="str">
        <f aca="false">IF(G2646&lt;&gt;"",IFERROR(VLOOKUP(G2646,PRODUCTOS!$A:$B,2,0),"!COD NO ENCONTRADO"),"")</f>
        <v/>
      </c>
      <c r="I2646" s="77"/>
      <c r="J2646" s="78"/>
      <c r="K2646" s="79"/>
      <c r="L2646" s="80" t="str">
        <f aca="false">IF(AND(J2646&lt;&gt;"",K2646&lt;&gt;""),J2646*K2646,"")</f>
        <v/>
      </c>
      <c r="M2646" s="81" t="str">
        <f aca="false">IF(L2646&lt;&gt;"",L2646*1.1,"")</f>
        <v/>
      </c>
      <c r="N2646" s="53" t="n">
        <f aca="false">IF(F2646="S",L2646*0.02,0)</f>
        <v>0</v>
      </c>
      <c r="O2646" s="82" t="str">
        <f aca="false">IF(L2646&lt;&gt;"",L2646+N2646,"")</f>
        <v/>
      </c>
      <c r="P2646" s="53" t="str">
        <f aca="false">IF(O2646&lt;&gt;"",O2646*0.1,"")</f>
        <v/>
      </c>
      <c r="Q2646" s="83" t="str">
        <f aca="false">IF(O2646&lt;&gt;"",O2646+P2646,"")</f>
        <v/>
      </c>
      <c r="R2646" s="84"/>
    </row>
    <row r="2647" customFormat="false" ht="15" hidden="false" customHeight="true" outlineLevel="0" collapsed="false">
      <c r="A2647" s="103"/>
      <c r="B2647" s="85"/>
      <c r="C2647" s="86"/>
      <c r="D2647" s="87"/>
      <c r="E2647" s="46" t="str">
        <f aca="false">IF(D2647&lt;&gt;"",IFERROR(VLOOKUP(D2647,PROVEEDORES!$A:$B,2,0),"!COD NO ENCONTRADO"),"")</f>
        <v/>
      </c>
      <c r="F2647" s="88" t="str">
        <f aca="false">IF(D2647&lt;&gt;"",IFERROR(VLOOKUP(D2647,PROVEEDORES!$A:$C,3,0),""),"")</f>
        <v/>
      </c>
      <c r="G2647" s="87"/>
      <c r="H2647" s="46" t="str">
        <f aca="false">IF(G2647&lt;&gt;"",IFERROR(VLOOKUP(G2647,PRODUCTOS!$A:$B,2,0),"!COD NO ENCONTRADO"),"")</f>
        <v/>
      </c>
      <c r="I2647" s="89"/>
      <c r="J2647" s="90"/>
      <c r="K2647" s="91"/>
      <c r="L2647" s="80" t="str">
        <f aca="false">IF(AND(J2647&lt;&gt;"",K2647&lt;&gt;""),J2647*K2647,"")</f>
        <v/>
      </c>
      <c r="M2647" s="81" t="str">
        <f aca="false">IF(L2647&lt;&gt;"",L2647*1.1,"")</f>
        <v/>
      </c>
      <c r="N2647" s="47" t="n">
        <f aca="false">IF(F2647="S",L2647*0.02,0)</f>
        <v>0</v>
      </c>
      <c r="O2647" s="82" t="str">
        <f aca="false">IF(L2647&lt;&gt;"",L2647+N2647,"")</f>
        <v/>
      </c>
      <c r="P2647" s="47" t="str">
        <f aca="false">IF(O2647&lt;&gt;"",O2647*0.1,"")</f>
        <v/>
      </c>
      <c r="Q2647" s="83" t="str">
        <f aca="false">IF(O2647&lt;&gt;"",O2647+P2647,"")</f>
        <v/>
      </c>
      <c r="R2647" s="84"/>
    </row>
    <row r="2648" customFormat="false" ht="15" hidden="false" customHeight="true" outlineLevel="0" collapsed="false">
      <c r="A2648" s="103"/>
      <c r="B2648" s="73"/>
      <c r="C2648" s="74"/>
      <c r="D2648" s="75"/>
      <c r="E2648" s="52" t="str">
        <f aca="false">IF(D2648&lt;&gt;"",IFERROR(VLOOKUP(D2648,PROVEEDORES!$A:$B,2,0),"!COD NO ENCONTRADO"),"")</f>
        <v/>
      </c>
      <c r="F2648" s="76" t="str">
        <f aca="false">IF(D2648&lt;&gt;"",IFERROR(VLOOKUP(D2648,PROVEEDORES!$A:$C,3,0),""),"")</f>
        <v/>
      </c>
      <c r="G2648" s="75"/>
      <c r="H2648" s="52" t="str">
        <f aca="false">IF(G2648&lt;&gt;"",IFERROR(VLOOKUP(G2648,PRODUCTOS!$A:$B,2,0),"!COD NO ENCONTRADO"),"")</f>
        <v/>
      </c>
      <c r="I2648" s="77"/>
      <c r="J2648" s="78"/>
      <c r="K2648" s="79"/>
      <c r="L2648" s="80" t="str">
        <f aca="false">IF(AND(J2648&lt;&gt;"",K2648&lt;&gt;""),J2648*K2648,"")</f>
        <v/>
      </c>
      <c r="M2648" s="81" t="str">
        <f aca="false">IF(L2648&lt;&gt;"",L2648*1.1,"")</f>
        <v/>
      </c>
      <c r="N2648" s="53" t="n">
        <f aca="false">IF(F2648="S",L2648*0.02,0)</f>
        <v>0</v>
      </c>
      <c r="O2648" s="82" t="str">
        <f aca="false">IF(L2648&lt;&gt;"",L2648+N2648,"")</f>
        <v/>
      </c>
      <c r="P2648" s="53" t="str">
        <f aca="false">IF(O2648&lt;&gt;"",O2648*0.1,"")</f>
        <v/>
      </c>
      <c r="Q2648" s="83" t="str">
        <f aca="false">IF(O2648&lt;&gt;"",O2648+P2648,"")</f>
        <v/>
      </c>
      <c r="R2648" s="84"/>
    </row>
    <row r="2649" customFormat="false" ht="15" hidden="false" customHeight="true" outlineLevel="0" collapsed="false">
      <c r="A2649" s="103"/>
      <c r="B2649" s="85"/>
      <c r="C2649" s="86"/>
      <c r="D2649" s="87"/>
      <c r="E2649" s="46" t="str">
        <f aca="false">IF(D2649&lt;&gt;"",IFERROR(VLOOKUP(D2649,PROVEEDORES!$A:$B,2,0),"!COD NO ENCONTRADO"),"")</f>
        <v/>
      </c>
      <c r="F2649" s="88" t="str">
        <f aca="false">IF(D2649&lt;&gt;"",IFERROR(VLOOKUP(D2649,PROVEEDORES!$A:$C,3,0),""),"")</f>
        <v/>
      </c>
      <c r="G2649" s="87"/>
      <c r="H2649" s="46" t="str">
        <f aca="false">IF(G2649&lt;&gt;"",IFERROR(VLOOKUP(G2649,PRODUCTOS!$A:$B,2,0),"!COD NO ENCONTRADO"),"")</f>
        <v/>
      </c>
      <c r="I2649" s="89"/>
      <c r="J2649" s="90"/>
      <c r="K2649" s="91"/>
      <c r="L2649" s="80" t="str">
        <f aca="false">IF(AND(J2649&lt;&gt;"",K2649&lt;&gt;""),J2649*K2649,"")</f>
        <v/>
      </c>
      <c r="M2649" s="81" t="str">
        <f aca="false">IF(L2649&lt;&gt;"",L2649*1.1,"")</f>
        <v/>
      </c>
      <c r="N2649" s="47" t="n">
        <f aca="false">IF(F2649="S",L2649*0.02,0)</f>
        <v>0</v>
      </c>
      <c r="O2649" s="82" t="str">
        <f aca="false">IF(L2649&lt;&gt;"",L2649+N2649,"")</f>
        <v/>
      </c>
      <c r="P2649" s="47" t="str">
        <f aca="false">IF(O2649&lt;&gt;"",O2649*0.1,"")</f>
        <v/>
      </c>
      <c r="Q2649" s="83" t="str">
        <f aca="false">IF(O2649&lt;&gt;"",O2649+P2649,"")</f>
        <v/>
      </c>
      <c r="R2649" s="84"/>
    </row>
    <row r="2650" customFormat="false" ht="15" hidden="false" customHeight="true" outlineLevel="0" collapsed="false">
      <c r="A2650" s="103"/>
      <c r="B2650" s="73"/>
      <c r="C2650" s="74"/>
      <c r="D2650" s="75"/>
      <c r="E2650" s="52" t="str">
        <f aca="false">IF(D2650&lt;&gt;"",IFERROR(VLOOKUP(D2650,PROVEEDORES!$A:$B,2,0),"!COD NO ENCONTRADO"),"")</f>
        <v/>
      </c>
      <c r="F2650" s="76" t="str">
        <f aca="false">IF(D2650&lt;&gt;"",IFERROR(VLOOKUP(D2650,PROVEEDORES!$A:$C,3,0),""),"")</f>
        <v/>
      </c>
      <c r="G2650" s="75"/>
      <c r="H2650" s="52" t="str">
        <f aca="false">IF(G2650&lt;&gt;"",IFERROR(VLOOKUP(G2650,PRODUCTOS!$A:$B,2,0),"!COD NO ENCONTRADO"),"")</f>
        <v/>
      </c>
      <c r="I2650" s="77"/>
      <c r="J2650" s="78"/>
      <c r="K2650" s="79"/>
      <c r="L2650" s="80" t="str">
        <f aca="false">IF(AND(J2650&lt;&gt;"",K2650&lt;&gt;""),J2650*K2650,"")</f>
        <v/>
      </c>
      <c r="M2650" s="81" t="str">
        <f aca="false">IF(L2650&lt;&gt;"",L2650*1.1,"")</f>
        <v/>
      </c>
      <c r="N2650" s="53" t="n">
        <f aca="false">IF(F2650="S",L2650*0.02,0)</f>
        <v>0</v>
      </c>
      <c r="O2650" s="82" t="str">
        <f aca="false">IF(L2650&lt;&gt;"",L2650+N2650,"")</f>
        <v/>
      </c>
      <c r="P2650" s="53" t="str">
        <f aca="false">IF(O2650&lt;&gt;"",O2650*0.1,"")</f>
        <v/>
      </c>
      <c r="Q2650" s="83" t="str">
        <f aca="false">IF(O2650&lt;&gt;"",O2650+P2650,"")</f>
        <v/>
      </c>
      <c r="R2650" s="84"/>
    </row>
    <row r="2651" customFormat="false" ht="15" hidden="false" customHeight="true" outlineLevel="0" collapsed="false">
      <c r="A2651" s="103"/>
      <c r="B2651" s="85"/>
      <c r="C2651" s="86"/>
      <c r="D2651" s="87"/>
      <c r="E2651" s="46" t="str">
        <f aca="false">IF(D2651&lt;&gt;"",IFERROR(VLOOKUP(D2651,PROVEEDORES!$A:$B,2,0),"!COD NO ENCONTRADO"),"")</f>
        <v/>
      </c>
      <c r="F2651" s="88" t="str">
        <f aca="false">IF(D2651&lt;&gt;"",IFERROR(VLOOKUP(D2651,PROVEEDORES!$A:$C,3,0),""),"")</f>
        <v/>
      </c>
      <c r="G2651" s="87"/>
      <c r="H2651" s="46" t="str">
        <f aca="false">IF(G2651&lt;&gt;"",IFERROR(VLOOKUP(G2651,PRODUCTOS!$A:$B,2,0),"!COD NO ENCONTRADO"),"")</f>
        <v/>
      </c>
      <c r="I2651" s="89"/>
      <c r="J2651" s="90"/>
      <c r="K2651" s="91"/>
      <c r="L2651" s="80" t="str">
        <f aca="false">IF(AND(J2651&lt;&gt;"",K2651&lt;&gt;""),J2651*K2651,"")</f>
        <v/>
      </c>
      <c r="M2651" s="81" t="str">
        <f aca="false">IF(L2651&lt;&gt;"",L2651*1.1,"")</f>
        <v/>
      </c>
      <c r="N2651" s="47" t="n">
        <f aca="false">IF(F2651="S",L2651*0.02,0)</f>
        <v>0</v>
      </c>
      <c r="O2651" s="82" t="str">
        <f aca="false">IF(L2651&lt;&gt;"",L2651+N2651,"")</f>
        <v/>
      </c>
      <c r="P2651" s="47" t="str">
        <f aca="false">IF(O2651&lt;&gt;"",O2651*0.1,"")</f>
        <v/>
      </c>
      <c r="Q2651" s="83" t="str">
        <f aca="false">IF(O2651&lt;&gt;"",O2651+P2651,"")</f>
        <v/>
      </c>
      <c r="R2651" s="84"/>
    </row>
    <row r="2652" customFormat="false" ht="15" hidden="false" customHeight="true" outlineLevel="0" collapsed="false">
      <c r="A2652" s="103"/>
      <c r="B2652" s="73"/>
      <c r="C2652" s="74"/>
      <c r="D2652" s="75"/>
      <c r="E2652" s="52" t="str">
        <f aca="false">IF(D2652&lt;&gt;"",IFERROR(VLOOKUP(D2652,PROVEEDORES!$A:$B,2,0),"!COD NO ENCONTRADO"),"")</f>
        <v/>
      </c>
      <c r="F2652" s="76" t="str">
        <f aca="false">IF(D2652&lt;&gt;"",IFERROR(VLOOKUP(D2652,PROVEEDORES!$A:$C,3,0),""),"")</f>
        <v/>
      </c>
      <c r="G2652" s="75"/>
      <c r="H2652" s="52" t="str">
        <f aca="false">IF(G2652&lt;&gt;"",IFERROR(VLOOKUP(G2652,PRODUCTOS!$A:$B,2,0),"!COD NO ENCONTRADO"),"")</f>
        <v/>
      </c>
      <c r="I2652" s="77"/>
      <c r="J2652" s="78"/>
      <c r="K2652" s="79"/>
      <c r="L2652" s="80" t="str">
        <f aca="false">IF(AND(J2652&lt;&gt;"",K2652&lt;&gt;""),J2652*K2652,"")</f>
        <v/>
      </c>
      <c r="M2652" s="81" t="str">
        <f aca="false">IF(L2652&lt;&gt;"",L2652*1.1,"")</f>
        <v/>
      </c>
      <c r="N2652" s="53" t="n">
        <f aca="false">IF(F2652="S",L2652*0.02,0)</f>
        <v>0</v>
      </c>
      <c r="O2652" s="82" t="str">
        <f aca="false">IF(L2652&lt;&gt;"",L2652+N2652,"")</f>
        <v/>
      </c>
      <c r="P2652" s="53" t="str">
        <f aca="false">IF(O2652&lt;&gt;"",O2652*0.1,"")</f>
        <v/>
      </c>
      <c r="Q2652" s="83" t="str">
        <f aca="false">IF(O2652&lt;&gt;"",O2652+P2652,"")</f>
        <v/>
      </c>
      <c r="R2652" s="84"/>
    </row>
    <row r="2653" customFormat="false" ht="15" hidden="false" customHeight="true" outlineLevel="0" collapsed="false">
      <c r="A2653" s="103"/>
      <c r="B2653" s="85"/>
      <c r="C2653" s="86"/>
      <c r="D2653" s="87"/>
      <c r="E2653" s="46" t="str">
        <f aca="false">IF(D2653&lt;&gt;"",IFERROR(VLOOKUP(D2653,PROVEEDORES!$A:$B,2,0),"!COD NO ENCONTRADO"),"")</f>
        <v/>
      </c>
      <c r="F2653" s="88" t="str">
        <f aca="false">IF(D2653&lt;&gt;"",IFERROR(VLOOKUP(D2653,PROVEEDORES!$A:$C,3,0),""),"")</f>
        <v/>
      </c>
      <c r="G2653" s="87"/>
      <c r="H2653" s="46" t="str">
        <f aca="false">IF(G2653&lt;&gt;"",IFERROR(VLOOKUP(G2653,PRODUCTOS!$A:$B,2,0),"!COD NO ENCONTRADO"),"")</f>
        <v/>
      </c>
      <c r="I2653" s="89"/>
      <c r="J2653" s="90"/>
      <c r="K2653" s="91"/>
      <c r="L2653" s="80" t="str">
        <f aca="false">IF(AND(J2653&lt;&gt;"",K2653&lt;&gt;""),J2653*K2653,"")</f>
        <v/>
      </c>
      <c r="M2653" s="81" t="str">
        <f aca="false">IF(L2653&lt;&gt;"",L2653*1.1,"")</f>
        <v/>
      </c>
      <c r="N2653" s="47" t="n">
        <f aca="false">IF(F2653="S",L2653*0.02,0)</f>
        <v>0</v>
      </c>
      <c r="O2653" s="82" t="str">
        <f aca="false">IF(L2653&lt;&gt;"",L2653+N2653,"")</f>
        <v/>
      </c>
      <c r="P2653" s="47" t="str">
        <f aca="false">IF(O2653&lt;&gt;"",O2653*0.1,"")</f>
        <v/>
      </c>
      <c r="Q2653" s="83" t="str">
        <f aca="false">IF(O2653&lt;&gt;"",O2653+P2653,"")</f>
        <v/>
      </c>
      <c r="R2653" s="84"/>
    </row>
    <row r="2654" customFormat="false" ht="15" hidden="false" customHeight="true" outlineLevel="0" collapsed="false">
      <c r="A2654" s="103"/>
      <c r="B2654" s="73"/>
      <c r="C2654" s="74"/>
      <c r="D2654" s="75"/>
      <c r="E2654" s="52" t="str">
        <f aca="false">IF(D2654&lt;&gt;"",IFERROR(VLOOKUP(D2654,PROVEEDORES!$A:$B,2,0),"!COD NO ENCONTRADO"),"")</f>
        <v/>
      </c>
      <c r="F2654" s="76" t="str">
        <f aca="false">IF(D2654&lt;&gt;"",IFERROR(VLOOKUP(D2654,PROVEEDORES!$A:$C,3,0),""),"")</f>
        <v/>
      </c>
      <c r="G2654" s="75"/>
      <c r="H2654" s="52" t="str">
        <f aca="false">IF(G2654&lt;&gt;"",IFERROR(VLOOKUP(G2654,PRODUCTOS!$A:$B,2,0),"!COD NO ENCONTRADO"),"")</f>
        <v/>
      </c>
      <c r="I2654" s="77"/>
      <c r="J2654" s="78"/>
      <c r="K2654" s="79"/>
      <c r="L2654" s="80" t="str">
        <f aca="false">IF(AND(J2654&lt;&gt;"",K2654&lt;&gt;""),J2654*K2654,"")</f>
        <v/>
      </c>
      <c r="M2654" s="81" t="str">
        <f aca="false">IF(L2654&lt;&gt;"",L2654*1.1,"")</f>
        <v/>
      </c>
      <c r="N2654" s="53" t="n">
        <f aca="false">IF(F2654="S",L2654*0.02,0)</f>
        <v>0</v>
      </c>
      <c r="O2654" s="82" t="str">
        <f aca="false">IF(L2654&lt;&gt;"",L2654+N2654,"")</f>
        <v/>
      </c>
      <c r="P2654" s="53" t="str">
        <f aca="false">IF(O2654&lt;&gt;"",O2654*0.1,"")</f>
        <v/>
      </c>
      <c r="Q2654" s="83" t="str">
        <f aca="false">IF(O2654&lt;&gt;"",O2654+P2654,"")</f>
        <v/>
      </c>
      <c r="R2654" s="84"/>
    </row>
    <row r="2655" customFormat="false" ht="15" hidden="false" customHeight="true" outlineLevel="0" collapsed="false">
      <c r="A2655" s="103"/>
      <c r="B2655" s="85"/>
      <c r="C2655" s="86"/>
      <c r="D2655" s="87"/>
      <c r="E2655" s="46" t="str">
        <f aca="false">IF(D2655&lt;&gt;"",IFERROR(VLOOKUP(D2655,PROVEEDORES!$A:$B,2,0),"!COD NO ENCONTRADO"),"")</f>
        <v/>
      </c>
      <c r="F2655" s="88" t="str">
        <f aca="false">IF(D2655&lt;&gt;"",IFERROR(VLOOKUP(D2655,PROVEEDORES!$A:$C,3,0),""),"")</f>
        <v/>
      </c>
      <c r="G2655" s="87"/>
      <c r="H2655" s="46" t="str">
        <f aca="false">IF(G2655&lt;&gt;"",IFERROR(VLOOKUP(G2655,PRODUCTOS!$A:$B,2,0),"!COD NO ENCONTRADO"),"")</f>
        <v/>
      </c>
      <c r="I2655" s="89"/>
      <c r="J2655" s="90"/>
      <c r="K2655" s="91"/>
      <c r="L2655" s="80" t="str">
        <f aca="false">IF(AND(J2655&lt;&gt;"",K2655&lt;&gt;""),J2655*K2655,"")</f>
        <v/>
      </c>
      <c r="M2655" s="81" t="str">
        <f aca="false">IF(L2655&lt;&gt;"",L2655*1.1,"")</f>
        <v/>
      </c>
      <c r="N2655" s="47" t="n">
        <f aca="false">IF(F2655="S",L2655*0.02,0)</f>
        <v>0</v>
      </c>
      <c r="O2655" s="82" t="str">
        <f aca="false">IF(L2655&lt;&gt;"",L2655+N2655,"")</f>
        <v/>
      </c>
      <c r="P2655" s="47" t="str">
        <f aca="false">IF(O2655&lt;&gt;"",O2655*0.1,"")</f>
        <v/>
      </c>
      <c r="Q2655" s="83" t="str">
        <f aca="false">IF(O2655&lt;&gt;"",O2655+P2655,"")</f>
        <v/>
      </c>
      <c r="R2655" s="84"/>
    </row>
    <row r="2656" customFormat="false" ht="15" hidden="false" customHeight="true" outlineLevel="0" collapsed="false">
      <c r="A2656" s="103"/>
      <c r="B2656" s="73"/>
      <c r="C2656" s="74"/>
      <c r="D2656" s="75"/>
      <c r="E2656" s="52" t="str">
        <f aca="false">IF(D2656&lt;&gt;"",IFERROR(VLOOKUP(D2656,PROVEEDORES!$A:$B,2,0),"!COD NO ENCONTRADO"),"")</f>
        <v/>
      </c>
      <c r="F2656" s="76" t="str">
        <f aca="false">IF(D2656&lt;&gt;"",IFERROR(VLOOKUP(D2656,PROVEEDORES!$A:$C,3,0),""),"")</f>
        <v/>
      </c>
      <c r="G2656" s="75"/>
      <c r="H2656" s="52" t="str">
        <f aca="false">IF(G2656&lt;&gt;"",IFERROR(VLOOKUP(G2656,PRODUCTOS!$A:$B,2,0),"!COD NO ENCONTRADO"),"")</f>
        <v/>
      </c>
      <c r="I2656" s="77"/>
      <c r="J2656" s="78"/>
      <c r="K2656" s="79"/>
      <c r="L2656" s="80" t="str">
        <f aca="false">IF(AND(J2656&lt;&gt;"",K2656&lt;&gt;""),J2656*K2656,"")</f>
        <v/>
      </c>
      <c r="M2656" s="81" t="str">
        <f aca="false">IF(L2656&lt;&gt;"",L2656*1.1,"")</f>
        <v/>
      </c>
      <c r="N2656" s="53" t="n">
        <f aca="false">IF(F2656="S",L2656*0.02,0)</f>
        <v>0</v>
      </c>
      <c r="O2656" s="82" t="str">
        <f aca="false">IF(L2656&lt;&gt;"",L2656+N2656,"")</f>
        <v/>
      </c>
      <c r="P2656" s="53" t="str">
        <f aca="false">IF(O2656&lt;&gt;"",O2656*0.1,"")</f>
        <v/>
      </c>
      <c r="Q2656" s="83" t="str">
        <f aca="false">IF(O2656&lt;&gt;"",O2656+P2656,"")</f>
        <v/>
      </c>
      <c r="R2656" s="84"/>
    </row>
    <row r="2657" customFormat="false" ht="15" hidden="false" customHeight="true" outlineLevel="0" collapsed="false">
      <c r="A2657" s="103"/>
      <c r="B2657" s="85"/>
      <c r="C2657" s="86"/>
      <c r="D2657" s="87"/>
      <c r="E2657" s="46" t="str">
        <f aca="false">IF(D2657&lt;&gt;"",IFERROR(VLOOKUP(D2657,PROVEEDORES!$A:$B,2,0),"!COD NO ENCONTRADO"),"")</f>
        <v/>
      </c>
      <c r="F2657" s="88" t="str">
        <f aca="false">IF(D2657&lt;&gt;"",IFERROR(VLOOKUP(D2657,PROVEEDORES!$A:$C,3,0),""),"")</f>
        <v/>
      </c>
      <c r="G2657" s="87"/>
      <c r="H2657" s="46" t="str">
        <f aca="false">IF(G2657&lt;&gt;"",IFERROR(VLOOKUP(G2657,PRODUCTOS!$A:$B,2,0),"!COD NO ENCONTRADO"),"")</f>
        <v/>
      </c>
      <c r="I2657" s="89"/>
      <c r="J2657" s="90"/>
      <c r="K2657" s="91"/>
      <c r="L2657" s="80" t="str">
        <f aca="false">IF(AND(J2657&lt;&gt;"",K2657&lt;&gt;""),J2657*K2657,"")</f>
        <v/>
      </c>
      <c r="M2657" s="81" t="str">
        <f aca="false">IF(L2657&lt;&gt;"",L2657*1.1,"")</f>
        <v/>
      </c>
      <c r="N2657" s="47" t="n">
        <f aca="false">IF(F2657="S",L2657*0.02,0)</f>
        <v>0</v>
      </c>
      <c r="O2657" s="82" t="str">
        <f aca="false">IF(L2657&lt;&gt;"",L2657+N2657,"")</f>
        <v/>
      </c>
      <c r="P2657" s="47" t="str">
        <f aca="false">IF(O2657&lt;&gt;"",O2657*0.1,"")</f>
        <v/>
      </c>
      <c r="Q2657" s="83" t="str">
        <f aca="false">IF(O2657&lt;&gt;"",O2657+P2657,"")</f>
        <v/>
      </c>
      <c r="R2657" s="84"/>
    </row>
    <row r="2658" customFormat="false" ht="15" hidden="false" customHeight="true" outlineLevel="0" collapsed="false">
      <c r="A2658" s="103"/>
      <c r="B2658" s="73"/>
      <c r="C2658" s="74"/>
      <c r="D2658" s="75"/>
      <c r="E2658" s="52" t="str">
        <f aca="false">IF(D2658&lt;&gt;"",IFERROR(VLOOKUP(D2658,PROVEEDORES!$A:$B,2,0),"!COD NO ENCONTRADO"),"")</f>
        <v/>
      </c>
      <c r="F2658" s="76" t="str">
        <f aca="false">IF(D2658&lt;&gt;"",IFERROR(VLOOKUP(D2658,PROVEEDORES!$A:$C,3,0),""),"")</f>
        <v/>
      </c>
      <c r="G2658" s="75"/>
      <c r="H2658" s="52" t="str">
        <f aca="false">IF(G2658&lt;&gt;"",IFERROR(VLOOKUP(G2658,PRODUCTOS!$A:$B,2,0),"!COD NO ENCONTRADO"),"")</f>
        <v/>
      </c>
      <c r="I2658" s="77"/>
      <c r="J2658" s="78"/>
      <c r="K2658" s="79"/>
      <c r="L2658" s="80" t="str">
        <f aca="false">IF(AND(J2658&lt;&gt;"",K2658&lt;&gt;""),J2658*K2658,"")</f>
        <v/>
      </c>
      <c r="M2658" s="81" t="str">
        <f aca="false">IF(L2658&lt;&gt;"",L2658*1.1,"")</f>
        <v/>
      </c>
      <c r="N2658" s="53" t="n">
        <f aca="false">IF(F2658="S",L2658*0.02,0)</f>
        <v>0</v>
      </c>
      <c r="O2658" s="82" t="str">
        <f aca="false">IF(L2658&lt;&gt;"",L2658+N2658,"")</f>
        <v/>
      </c>
      <c r="P2658" s="53" t="str">
        <f aca="false">IF(O2658&lt;&gt;"",O2658*0.1,"")</f>
        <v/>
      </c>
      <c r="Q2658" s="83" t="str">
        <f aca="false">IF(O2658&lt;&gt;"",O2658+P2658,"")</f>
        <v/>
      </c>
      <c r="R2658" s="84"/>
    </row>
    <row r="2659" customFormat="false" ht="15" hidden="false" customHeight="true" outlineLevel="0" collapsed="false">
      <c r="A2659" s="103"/>
      <c r="B2659" s="85"/>
      <c r="C2659" s="86"/>
      <c r="D2659" s="87"/>
      <c r="E2659" s="46" t="str">
        <f aca="false">IF(D2659&lt;&gt;"",IFERROR(VLOOKUP(D2659,PROVEEDORES!$A:$B,2,0),"!COD NO ENCONTRADO"),"")</f>
        <v/>
      </c>
      <c r="F2659" s="88" t="str">
        <f aca="false">IF(D2659&lt;&gt;"",IFERROR(VLOOKUP(D2659,PROVEEDORES!$A:$C,3,0),""),"")</f>
        <v/>
      </c>
      <c r="G2659" s="87"/>
      <c r="H2659" s="46" t="str">
        <f aca="false">IF(G2659&lt;&gt;"",IFERROR(VLOOKUP(G2659,PRODUCTOS!$A:$B,2,0),"!COD NO ENCONTRADO"),"")</f>
        <v/>
      </c>
      <c r="I2659" s="89"/>
      <c r="J2659" s="90"/>
      <c r="K2659" s="91"/>
      <c r="L2659" s="80" t="str">
        <f aca="false">IF(AND(J2659&lt;&gt;"",K2659&lt;&gt;""),J2659*K2659,"")</f>
        <v/>
      </c>
      <c r="M2659" s="81" t="str">
        <f aca="false">IF(L2659&lt;&gt;"",L2659*1.1,"")</f>
        <v/>
      </c>
      <c r="N2659" s="47" t="n">
        <f aca="false">IF(F2659="S",L2659*0.02,0)</f>
        <v>0</v>
      </c>
      <c r="O2659" s="82" t="str">
        <f aca="false">IF(L2659&lt;&gt;"",L2659+N2659,"")</f>
        <v/>
      </c>
      <c r="P2659" s="47" t="str">
        <f aca="false">IF(O2659&lt;&gt;"",O2659*0.1,"")</f>
        <v/>
      </c>
      <c r="Q2659" s="83" t="str">
        <f aca="false">IF(O2659&lt;&gt;"",O2659+P2659,"")</f>
        <v/>
      </c>
      <c r="R2659" s="84"/>
    </row>
    <row r="2660" customFormat="false" ht="15" hidden="false" customHeight="true" outlineLevel="0" collapsed="false">
      <c r="A2660" s="103"/>
      <c r="B2660" s="73"/>
      <c r="C2660" s="74"/>
      <c r="D2660" s="75"/>
      <c r="E2660" s="52" t="str">
        <f aca="false">IF(D2660&lt;&gt;"",IFERROR(VLOOKUP(D2660,PROVEEDORES!$A:$B,2,0),"!COD NO ENCONTRADO"),"")</f>
        <v/>
      </c>
      <c r="F2660" s="76" t="str">
        <f aca="false">IF(D2660&lt;&gt;"",IFERROR(VLOOKUP(D2660,PROVEEDORES!$A:$C,3,0),""),"")</f>
        <v/>
      </c>
      <c r="G2660" s="75"/>
      <c r="H2660" s="52" t="str">
        <f aca="false">IF(G2660&lt;&gt;"",IFERROR(VLOOKUP(G2660,PRODUCTOS!$A:$B,2,0),"!COD NO ENCONTRADO"),"")</f>
        <v/>
      </c>
      <c r="I2660" s="77"/>
      <c r="J2660" s="78"/>
      <c r="K2660" s="79"/>
      <c r="L2660" s="80" t="str">
        <f aca="false">IF(AND(J2660&lt;&gt;"",K2660&lt;&gt;""),J2660*K2660,"")</f>
        <v/>
      </c>
      <c r="M2660" s="81" t="str">
        <f aca="false">IF(L2660&lt;&gt;"",L2660*1.1,"")</f>
        <v/>
      </c>
      <c r="N2660" s="53" t="n">
        <f aca="false">IF(F2660="S",L2660*0.02,0)</f>
        <v>0</v>
      </c>
      <c r="O2660" s="82" t="str">
        <f aca="false">IF(L2660&lt;&gt;"",L2660+N2660,"")</f>
        <v/>
      </c>
      <c r="P2660" s="53" t="str">
        <f aca="false">IF(O2660&lt;&gt;"",O2660*0.1,"")</f>
        <v/>
      </c>
      <c r="Q2660" s="83" t="str">
        <f aca="false">IF(O2660&lt;&gt;"",O2660+P2660,"")</f>
        <v/>
      </c>
      <c r="R2660" s="84"/>
    </row>
    <row r="2661" customFormat="false" ht="15" hidden="false" customHeight="true" outlineLevel="0" collapsed="false">
      <c r="A2661" s="103"/>
      <c r="B2661" s="85"/>
      <c r="C2661" s="86"/>
      <c r="D2661" s="87"/>
      <c r="E2661" s="46" t="str">
        <f aca="false">IF(D2661&lt;&gt;"",IFERROR(VLOOKUP(D2661,PROVEEDORES!$A:$B,2,0),"!COD NO ENCONTRADO"),"")</f>
        <v/>
      </c>
      <c r="F2661" s="88" t="str">
        <f aca="false">IF(D2661&lt;&gt;"",IFERROR(VLOOKUP(D2661,PROVEEDORES!$A:$C,3,0),""),"")</f>
        <v/>
      </c>
      <c r="G2661" s="87"/>
      <c r="H2661" s="46" t="str">
        <f aca="false">IF(G2661&lt;&gt;"",IFERROR(VLOOKUP(G2661,PRODUCTOS!$A:$B,2,0),"!COD NO ENCONTRADO"),"")</f>
        <v/>
      </c>
      <c r="I2661" s="89"/>
      <c r="J2661" s="90"/>
      <c r="K2661" s="91"/>
      <c r="L2661" s="80" t="str">
        <f aca="false">IF(AND(J2661&lt;&gt;"",K2661&lt;&gt;""),J2661*K2661,"")</f>
        <v/>
      </c>
      <c r="M2661" s="81" t="str">
        <f aca="false">IF(L2661&lt;&gt;"",L2661*1.1,"")</f>
        <v/>
      </c>
      <c r="N2661" s="47" t="n">
        <f aca="false">IF(F2661="S",L2661*0.02,0)</f>
        <v>0</v>
      </c>
      <c r="O2661" s="82" t="str">
        <f aca="false">IF(L2661&lt;&gt;"",L2661+N2661,"")</f>
        <v/>
      </c>
      <c r="P2661" s="47" t="str">
        <f aca="false">IF(O2661&lt;&gt;"",O2661*0.1,"")</f>
        <v/>
      </c>
      <c r="Q2661" s="83" t="str">
        <f aca="false">IF(O2661&lt;&gt;"",O2661+P2661,"")</f>
        <v/>
      </c>
      <c r="R2661" s="84"/>
    </row>
    <row r="2662" customFormat="false" ht="15" hidden="false" customHeight="true" outlineLevel="0" collapsed="false">
      <c r="A2662" s="103"/>
      <c r="B2662" s="73"/>
      <c r="C2662" s="74"/>
      <c r="D2662" s="75"/>
      <c r="E2662" s="52" t="str">
        <f aca="false">IF(D2662&lt;&gt;"",IFERROR(VLOOKUP(D2662,PROVEEDORES!$A:$B,2,0),"!COD NO ENCONTRADO"),"")</f>
        <v/>
      </c>
      <c r="F2662" s="76" t="str">
        <f aca="false">IF(D2662&lt;&gt;"",IFERROR(VLOOKUP(D2662,PROVEEDORES!$A:$C,3,0),""),"")</f>
        <v/>
      </c>
      <c r="G2662" s="75"/>
      <c r="H2662" s="52" t="str">
        <f aca="false">IF(G2662&lt;&gt;"",IFERROR(VLOOKUP(G2662,PRODUCTOS!$A:$B,2,0),"!COD NO ENCONTRADO"),"")</f>
        <v/>
      </c>
      <c r="I2662" s="77"/>
      <c r="J2662" s="78"/>
      <c r="K2662" s="79"/>
      <c r="L2662" s="80" t="str">
        <f aca="false">IF(AND(J2662&lt;&gt;"",K2662&lt;&gt;""),J2662*K2662,"")</f>
        <v/>
      </c>
      <c r="M2662" s="81" t="str">
        <f aca="false">IF(L2662&lt;&gt;"",L2662*1.1,"")</f>
        <v/>
      </c>
      <c r="N2662" s="53" t="n">
        <f aca="false">IF(F2662="S",L2662*0.02,0)</f>
        <v>0</v>
      </c>
      <c r="O2662" s="82" t="str">
        <f aca="false">IF(L2662&lt;&gt;"",L2662+N2662,"")</f>
        <v/>
      </c>
      <c r="P2662" s="53" t="str">
        <f aca="false">IF(O2662&lt;&gt;"",O2662*0.1,"")</f>
        <v/>
      </c>
      <c r="Q2662" s="83" t="str">
        <f aca="false">IF(O2662&lt;&gt;"",O2662+P2662,"")</f>
        <v/>
      </c>
      <c r="R2662" s="84"/>
    </row>
    <row r="2663" customFormat="false" ht="15" hidden="false" customHeight="true" outlineLevel="0" collapsed="false">
      <c r="A2663" s="103"/>
      <c r="B2663" s="85"/>
      <c r="C2663" s="86"/>
      <c r="D2663" s="87"/>
      <c r="E2663" s="46" t="str">
        <f aca="false">IF(D2663&lt;&gt;"",IFERROR(VLOOKUP(D2663,PROVEEDORES!$A:$B,2,0),"!COD NO ENCONTRADO"),"")</f>
        <v/>
      </c>
      <c r="F2663" s="88" t="str">
        <f aca="false">IF(D2663&lt;&gt;"",IFERROR(VLOOKUP(D2663,PROVEEDORES!$A:$C,3,0),""),"")</f>
        <v/>
      </c>
      <c r="G2663" s="87"/>
      <c r="H2663" s="46" t="str">
        <f aca="false">IF(G2663&lt;&gt;"",IFERROR(VLOOKUP(G2663,PRODUCTOS!$A:$B,2,0),"!COD NO ENCONTRADO"),"")</f>
        <v/>
      </c>
      <c r="I2663" s="89"/>
      <c r="J2663" s="90"/>
      <c r="K2663" s="91"/>
      <c r="L2663" s="80" t="str">
        <f aca="false">IF(AND(J2663&lt;&gt;"",K2663&lt;&gt;""),J2663*K2663,"")</f>
        <v/>
      </c>
      <c r="M2663" s="81" t="str">
        <f aca="false">IF(L2663&lt;&gt;"",L2663*1.1,"")</f>
        <v/>
      </c>
      <c r="N2663" s="47" t="n">
        <f aca="false">IF(F2663="S",L2663*0.02,0)</f>
        <v>0</v>
      </c>
      <c r="O2663" s="82" t="str">
        <f aca="false">IF(L2663&lt;&gt;"",L2663+N2663,"")</f>
        <v/>
      </c>
      <c r="P2663" s="47" t="str">
        <f aca="false">IF(O2663&lt;&gt;"",O2663*0.1,"")</f>
        <v/>
      </c>
      <c r="Q2663" s="83" t="str">
        <f aca="false">IF(O2663&lt;&gt;"",O2663+P2663,"")</f>
        <v/>
      </c>
      <c r="R2663" s="84"/>
    </row>
    <row r="2664" customFormat="false" ht="15" hidden="false" customHeight="true" outlineLevel="0" collapsed="false">
      <c r="A2664" s="103"/>
      <c r="B2664" s="73"/>
      <c r="C2664" s="74"/>
      <c r="D2664" s="75"/>
      <c r="E2664" s="52" t="str">
        <f aca="false">IF(D2664&lt;&gt;"",IFERROR(VLOOKUP(D2664,PROVEEDORES!$A:$B,2,0),"!COD NO ENCONTRADO"),"")</f>
        <v/>
      </c>
      <c r="F2664" s="76" t="str">
        <f aca="false">IF(D2664&lt;&gt;"",IFERROR(VLOOKUP(D2664,PROVEEDORES!$A:$C,3,0),""),"")</f>
        <v/>
      </c>
      <c r="G2664" s="75"/>
      <c r="H2664" s="52" t="str">
        <f aca="false">IF(G2664&lt;&gt;"",IFERROR(VLOOKUP(G2664,PRODUCTOS!$A:$B,2,0),"!COD NO ENCONTRADO"),"")</f>
        <v/>
      </c>
      <c r="I2664" s="77"/>
      <c r="J2664" s="78"/>
      <c r="K2664" s="79"/>
      <c r="L2664" s="80" t="str">
        <f aca="false">IF(AND(J2664&lt;&gt;"",K2664&lt;&gt;""),J2664*K2664,"")</f>
        <v/>
      </c>
      <c r="M2664" s="81" t="str">
        <f aca="false">IF(L2664&lt;&gt;"",L2664*1.1,"")</f>
        <v/>
      </c>
      <c r="N2664" s="53" t="n">
        <f aca="false">IF(F2664="S",L2664*0.02,0)</f>
        <v>0</v>
      </c>
      <c r="O2664" s="82" t="str">
        <f aca="false">IF(L2664&lt;&gt;"",L2664+N2664,"")</f>
        <v/>
      </c>
      <c r="P2664" s="53" t="str">
        <f aca="false">IF(O2664&lt;&gt;"",O2664*0.1,"")</f>
        <v/>
      </c>
      <c r="Q2664" s="83" t="str">
        <f aca="false">IF(O2664&lt;&gt;"",O2664+P2664,"")</f>
        <v/>
      </c>
      <c r="R2664" s="84"/>
    </row>
    <row r="2665" customFormat="false" ht="15" hidden="false" customHeight="true" outlineLevel="0" collapsed="false">
      <c r="A2665" s="103"/>
      <c r="B2665" s="85"/>
      <c r="C2665" s="86"/>
      <c r="D2665" s="87"/>
      <c r="E2665" s="46" t="str">
        <f aca="false">IF(D2665&lt;&gt;"",IFERROR(VLOOKUP(D2665,PROVEEDORES!$A:$B,2,0),"!COD NO ENCONTRADO"),"")</f>
        <v/>
      </c>
      <c r="F2665" s="88" t="str">
        <f aca="false">IF(D2665&lt;&gt;"",IFERROR(VLOOKUP(D2665,PROVEEDORES!$A:$C,3,0),""),"")</f>
        <v/>
      </c>
      <c r="G2665" s="87"/>
      <c r="H2665" s="46" t="str">
        <f aca="false">IF(G2665&lt;&gt;"",IFERROR(VLOOKUP(G2665,PRODUCTOS!$A:$B,2,0),"!COD NO ENCONTRADO"),"")</f>
        <v/>
      </c>
      <c r="I2665" s="89"/>
      <c r="J2665" s="90"/>
      <c r="K2665" s="91"/>
      <c r="L2665" s="80" t="str">
        <f aca="false">IF(AND(J2665&lt;&gt;"",K2665&lt;&gt;""),J2665*K2665,"")</f>
        <v/>
      </c>
      <c r="M2665" s="81" t="str">
        <f aca="false">IF(L2665&lt;&gt;"",L2665*1.1,"")</f>
        <v/>
      </c>
      <c r="N2665" s="47" t="n">
        <f aca="false">IF(F2665="S",L2665*0.02,0)</f>
        <v>0</v>
      </c>
      <c r="O2665" s="82" t="str">
        <f aca="false">IF(L2665&lt;&gt;"",L2665+N2665,"")</f>
        <v/>
      </c>
      <c r="P2665" s="47" t="str">
        <f aca="false">IF(O2665&lt;&gt;"",O2665*0.1,"")</f>
        <v/>
      </c>
      <c r="Q2665" s="83" t="str">
        <f aca="false">IF(O2665&lt;&gt;"",O2665+P2665,"")</f>
        <v/>
      </c>
      <c r="R2665" s="84"/>
    </row>
    <row r="2666" customFormat="false" ht="15" hidden="false" customHeight="true" outlineLevel="0" collapsed="false">
      <c r="A2666" s="103"/>
      <c r="B2666" s="73"/>
      <c r="C2666" s="74"/>
      <c r="D2666" s="75"/>
      <c r="E2666" s="52" t="str">
        <f aca="false">IF(D2666&lt;&gt;"",IFERROR(VLOOKUP(D2666,PROVEEDORES!$A:$B,2,0),"!COD NO ENCONTRADO"),"")</f>
        <v/>
      </c>
      <c r="F2666" s="76" t="str">
        <f aca="false">IF(D2666&lt;&gt;"",IFERROR(VLOOKUP(D2666,PROVEEDORES!$A:$C,3,0),""),"")</f>
        <v/>
      </c>
      <c r="G2666" s="75"/>
      <c r="H2666" s="52" t="str">
        <f aca="false">IF(G2666&lt;&gt;"",IFERROR(VLOOKUP(G2666,PRODUCTOS!$A:$B,2,0),"!COD NO ENCONTRADO"),"")</f>
        <v/>
      </c>
      <c r="I2666" s="77"/>
      <c r="J2666" s="78"/>
      <c r="K2666" s="79"/>
      <c r="L2666" s="80" t="str">
        <f aca="false">IF(AND(J2666&lt;&gt;"",K2666&lt;&gt;""),J2666*K2666,"")</f>
        <v/>
      </c>
      <c r="M2666" s="81" t="str">
        <f aca="false">IF(L2666&lt;&gt;"",L2666*1.1,"")</f>
        <v/>
      </c>
      <c r="N2666" s="53" t="n">
        <f aca="false">IF(F2666="S",L2666*0.02,0)</f>
        <v>0</v>
      </c>
      <c r="O2666" s="82" t="str">
        <f aca="false">IF(L2666&lt;&gt;"",L2666+N2666,"")</f>
        <v/>
      </c>
      <c r="P2666" s="53" t="str">
        <f aca="false">IF(O2666&lt;&gt;"",O2666*0.1,"")</f>
        <v/>
      </c>
      <c r="Q2666" s="83" t="str">
        <f aca="false">IF(O2666&lt;&gt;"",O2666+P2666,"")</f>
        <v/>
      </c>
      <c r="R2666" s="84"/>
    </row>
    <row r="2667" customFormat="false" ht="15" hidden="false" customHeight="true" outlineLevel="0" collapsed="false">
      <c r="A2667" s="103"/>
      <c r="B2667" s="85"/>
      <c r="C2667" s="86"/>
      <c r="D2667" s="87"/>
      <c r="E2667" s="46" t="str">
        <f aca="false">IF(D2667&lt;&gt;"",IFERROR(VLOOKUP(D2667,PROVEEDORES!$A:$B,2,0),"!COD NO ENCONTRADO"),"")</f>
        <v/>
      </c>
      <c r="F2667" s="88" t="str">
        <f aca="false">IF(D2667&lt;&gt;"",IFERROR(VLOOKUP(D2667,PROVEEDORES!$A:$C,3,0),""),"")</f>
        <v/>
      </c>
      <c r="G2667" s="87"/>
      <c r="H2667" s="46" t="str">
        <f aca="false">IF(G2667&lt;&gt;"",IFERROR(VLOOKUP(G2667,PRODUCTOS!$A:$B,2,0),"!COD NO ENCONTRADO"),"")</f>
        <v/>
      </c>
      <c r="I2667" s="89"/>
      <c r="J2667" s="90"/>
      <c r="K2667" s="91"/>
      <c r="L2667" s="80" t="str">
        <f aca="false">IF(AND(J2667&lt;&gt;"",K2667&lt;&gt;""),J2667*K2667,"")</f>
        <v/>
      </c>
      <c r="M2667" s="81" t="str">
        <f aca="false">IF(L2667&lt;&gt;"",L2667*1.1,"")</f>
        <v/>
      </c>
      <c r="N2667" s="47" t="n">
        <f aca="false">IF(F2667="S",L2667*0.02,0)</f>
        <v>0</v>
      </c>
      <c r="O2667" s="82" t="str">
        <f aca="false">IF(L2667&lt;&gt;"",L2667+N2667,"")</f>
        <v/>
      </c>
      <c r="P2667" s="47" t="str">
        <f aca="false">IF(O2667&lt;&gt;"",O2667*0.1,"")</f>
        <v/>
      </c>
      <c r="Q2667" s="83" t="str">
        <f aca="false">IF(O2667&lt;&gt;"",O2667+P2667,"")</f>
        <v/>
      </c>
      <c r="R2667" s="84"/>
    </row>
    <row r="2668" customFormat="false" ht="15" hidden="false" customHeight="true" outlineLevel="0" collapsed="false">
      <c r="A2668" s="103"/>
      <c r="B2668" s="73"/>
      <c r="C2668" s="74"/>
      <c r="D2668" s="75"/>
      <c r="E2668" s="52" t="str">
        <f aca="false">IF(D2668&lt;&gt;"",IFERROR(VLOOKUP(D2668,PROVEEDORES!$A:$B,2,0),"!COD NO ENCONTRADO"),"")</f>
        <v/>
      </c>
      <c r="F2668" s="76" t="str">
        <f aca="false">IF(D2668&lt;&gt;"",IFERROR(VLOOKUP(D2668,PROVEEDORES!$A:$C,3,0),""),"")</f>
        <v/>
      </c>
      <c r="G2668" s="75"/>
      <c r="H2668" s="52" t="str">
        <f aca="false">IF(G2668&lt;&gt;"",IFERROR(VLOOKUP(G2668,PRODUCTOS!$A:$B,2,0),"!COD NO ENCONTRADO"),"")</f>
        <v/>
      </c>
      <c r="I2668" s="77"/>
      <c r="J2668" s="78"/>
      <c r="K2668" s="79"/>
      <c r="L2668" s="80" t="str">
        <f aca="false">IF(AND(J2668&lt;&gt;"",K2668&lt;&gt;""),J2668*K2668,"")</f>
        <v/>
      </c>
      <c r="M2668" s="81" t="str">
        <f aca="false">IF(L2668&lt;&gt;"",L2668*1.1,"")</f>
        <v/>
      </c>
      <c r="N2668" s="53" t="n">
        <f aca="false">IF(F2668="S",L2668*0.02,0)</f>
        <v>0</v>
      </c>
      <c r="O2668" s="82" t="str">
        <f aca="false">IF(L2668&lt;&gt;"",L2668+N2668,"")</f>
        <v/>
      </c>
      <c r="P2668" s="53" t="str">
        <f aca="false">IF(O2668&lt;&gt;"",O2668*0.1,"")</f>
        <v/>
      </c>
      <c r="Q2668" s="83" t="str">
        <f aca="false">IF(O2668&lt;&gt;"",O2668+P2668,"")</f>
        <v/>
      </c>
      <c r="R2668" s="84"/>
    </row>
    <row r="2669" customFormat="false" ht="15" hidden="false" customHeight="true" outlineLevel="0" collapsed="false">
      <c r="A2669" s="103"/>
      <c r="B2669" s="85"/>
      <c r="C2669" s="86"/>
      <c r="D2669" s="87"/>
      <c r="E2669" s="46" t="str">
        <f aca="false">IF(D2669&lt;&gt;"",IFERROR(VLOOKUP(D2669,PROVEEDORES!$A:$B,2,0),"!COD NO ENCONTRADO"),"")</f>
        <v/>
      </c>
      <c r="F2669" s="88" t="str">
        <f aca="false">IF(D2669&lt;&gt;"",IFERROR(VLOOKUP(D2669,PROVEEDORES!$A:$C,3,0),""),"")</f>
        <v/>
      </c>
      <c r="G2669" s="87"/>
      <c r="H2669" s="46" t="str">
        <f aca="false">IF(G2669&lt;&gt;"",IFERROR(VLOOKUP(G2669,PRODUCTOS!$A:$B,2,0),"!COD NO ENCONTRADO"),"")</f>
        <v/>
      </c>
      <c r="I2669" s="89"/>
      <c r="J2669" s="90"/>
      <c r="K2669" s="91"/>
      <c r="L2669" s="80" t="str">
        <f aca="false">IF(AND(J2669&lt;&gt;"",K2669&lt;&gt;""),J2669*K2669,"")</f>
        <v/>
      </c>
      <c r="M2669" s="81" t="str">
        <f aca="false">IF(L2669&lt;&gt;"",L2669*1.1,"")</f>
        <v/>
      </c>
      <c r="N2669" s="47" t="n">
        <f aca="false">IF(F2669="S",L2669*0.02,0)</f>
        <v>0</v>
      </c>
      <c r="O2669" s="82" t="str">
        <f aca="false">IF(L2669&lt;&gt;"",L2669+N2669,"")</f>
        <v/>
      </c>
      <c r="P2669" s="47" t="str">
        <f aca="false">IF(O2669&lt;&gt;"",O2669*0.1,"")</f>
        <v/>
      </c>
      <c r="Q2669" s="83" t="str">
        <f aca="false">IF(O2669&lt;&gt;"",O2669+P2669,"")</f>
        <v/>
      </c>
      <c r="R2669" s="84"/>
    </row>
    <row r="2670" customFormat="false" ht="15" hidden="false" customHeight="true" outlineLevel="0" collapsed="false">
      <c r="A2670" s="103"/>
      <c r="B2670" s="73"/>
      <c r="C2670" s="74"/>
      <c r="D2670" s="75"/>
      <c r="E2670" s="52" t="str">
        <f aca="false">IF(D2670&lt;&gt;"",IFERROR(VLOOKUP(D2670,PROVEEDORES!$A:$B,2,0),"!COD NO ENCONTRADO"),"")</f>
        <v/>
      </c>
      <c r="F2670" s="76" t="str">
        <f aca="false">IF(D2670&lt;&gt;"",IFERROR(VLOOKUP(D2670,PROVEEDORES!$A:$C,3,0),""),"")</f>
        <v/>
      </c>
      <c r="G2670" s="75"/>
      <c r="H2670" s="52" t="str">
        <f aca="false">IF(G2670&lt;&gt;"",IFERROR(VLOOKUP(G2670,PRODUCTOS!$A:$B,2,0),"!COD NO ENCONTRADO"),"")</f>
        <v/>
      </c>
      <c r="I2670" s="77"/>
      <c r="J2670" s="78"/>
      <c r="K2670" s="79"/>
      <c r="L2670" s="80" t="str">
        <f aca="false">IF(AND(J2670&lt;&gt;"",K2670&lt;&gt;""),J2670*K2670,"")</f>
        <v/>
      </c>
      <c r="M2670" s="81" t="str">
        <f aca="false">IF(L2670&lt;&gt;"",L2670*1.1,"")</f>
        <v/>
      </c>
      <c r="N2670" s="53" t="n">
        <f aca="false">IF(F2670="S",L2670*0.02,0)</f>
        <v>0</v>
      </c>
      <c r="O2670" s="82" t="str">
        <f aca="false">IF(L2670&lt;&gt;"",L2670+N2670,"")</f>
        <v/>
      </c>
      <c r="P2670" s="53" t="str">
        <f aca="false">IF(O2670&lt;&gt;"",O2670*0.1,"")</f>
        <v/>
      </c>
      <c r="Q2670" s="83" t="str">
        <f aca="false">IF(O2670&lt;&gt;"",O2670+P2670,"")</f>
        <v/>
      </c>
      <c r="R2670" s="84"/>
    </row>
    <row r="2671" customFormat="false" ht="15" hidden="false" customHeight="true" outlineLevel="0" collapsed="false">
      <c r="A2671" s="103"/>
      <c r="B2671" s="85"/>
      <c r="C2671" s="86"/>
      <c r="D2671" s="87"/>
      <c r="E2671" s="46" t="str">
        <f aca="false">IF(D2671&lt;&gt;"",IFERROR(VLOOKUP(D2671,PROVEEDORES!$A:$B,2,0),"!COD NO ENCONTRADO"),"")</f>
        <v/>
      </c>
      <c r="F2671" s="88" t="str">
        <f aca="false">IF(D2671&lt;&gt;"",IFERROR(VLOOKUP(D2671,PROVEEDORES!$A:$C,3,0),""),"")</f>
        <v/>
      </c>
      <c r="G2671" s="87"/>
      <c r="H2671" s="46" t="str">
        <f aca="false">IF(G2671&lt;&gt;"",IFERROR(VLOOKUP(G2671,PRODUCTOS!$A:$B,2,0),"!COD NO ENCONTRADO"),"")</f>
        <v/>
      </c>
      <c r="I2671" s="89"/>
      <c r="J2671" s="90"/>
      <c r="K2671" s="91"/>
      <c r="L2671" s="80" t="str">
        <f aca="false">IF(AND(J2671&lt;&gt;"",K2671&lt;&gt;""),J2671*K2671,"")</f>
        <v/>
      </c>
      <c r="M2671" s="81" t="str">
        <f aca="false">IF(L2671&lt;&gt;"",L2671*1.1,"")</f>
        <v/>
      </c>
      <c r="N2671" s="47" t="n">
        <f aca="false">IF(F2671="S",L2671*0.02,0)</f>
        <v>0</v>
      </c>
      <c r="O2671" s="82" t="str">
        <f aca="false">IF(L2671&lt;&gt;"",L2671+N2671,"")</f>
        <v/>
      </c>
      <c r="P2671" s="47" t="str">
        <f aca="false">IF(O2671&lt;&gt;"",O2671*0.1,"")</f>
        <v/>
      </c>
      <c r="Q2671" s="83" t="str">
        <f aca="false">IF(O2671&lt;&gt;"",O2671+P2671,"")</f>
        <v/>
      </c>
      <c r="R2671" s="84"/>
    </row>
    <row r="2672" customFormat="false" ht="15" hidden="false" customHeight="true" outlineLevel="0" collapsed="false">
      <c r="A2672" s="103"/>
      <c r="B2672" s="73"/>
      <c r="C2672" s="74"/>
      <c r="D2672" s="75"/>
      <c r="E2672" s="52" t="str">
        <f aca="false">IF(D2672&lt;&gt;"",IFERROR(VLOOKUP(D2672,PROVEEDORES!$A:$B,2,0),"!COD NO ENCONTRADO"),"")</f>
        <v/>
      </c>
      <c r="F2672" s="76" t="str">
        <f aca="false">IF(D2672&lt;&gt;"",IFERROR(VLOOKUP(D2672,PROVEEDORES!$A:$C,3,0),""),"")</f>
        <v/>
      </c>
      <c r="G2672" s="75"/>
      <c r="H2672" s="52" t="str">
        <f aca="false">IF(G2672&lt;&gt;"",IFERROR(VLOOKUP(G2672,PRODUCTOS!$A:$B,2,0),"!COD NO ENCONTRADO"),"")</f>
        <v/>
      </c>
      <c r="I2672" s="77"/>
      <c r="J2672" s="78"/>
      <c r="K2672" s="79"/>
      <c r="L2672" s="80" t="str">
        <f aca="false">IF(AND(J2672&lt;&gt;"",K2672&lt;&gt;""),J2672*K2672,"")</f>
        <v/>
      </c>
      <c r="M2672" s="81" t="str">
        <f aca="false">IF(L2672&lt;&gt;"",L2672*1.1,"")</f>
        <v/>
      </c>
      <c r="N2672" s="53" t="n">
        <f aca="false">IF(F2672="S",L2672*0.02,0)</f>
        <v>0</v>
      </c>
      <c r="O2672" s="82" t="str">
        <f aca="false">IF(L2672&lt;&gt;"",L2672+N2672,"")</f>
        <v/>
      </c>
      <c r="P2672" s="53" t="str">
        <f aca="false">IF(O2672&lt;&gt;"",O2672*0.1,"")</f>
        <v/>
      </c>
      <c r="Q2672" s="83" t="str">
        <f aca="false">IF(O2672&lt;&gt;"",O2672+P2672,"")</f>
        <v/>
      </c>
      <c r="R2672" s="84"/>
    </row>
    <row r="2673" customFormat="false" ht="15" hidden="false" customHeight="true" outlineLevel="0" collapsed="false">
      <c r="A2673" s="103"/>
      <c r="B2673" s="85"/>
      <c r="C2673" s="86"/>
      <c r="D2673" s="87"/>
      <c r="E2673" s="46" t="str">
        <f aca="false">IF(D2673&lt;&gt;"",IFERROR(VLOOKUP(D2673,PROVEEDORES!$A:$B,2,0),"!COD NO ENCONTRADO"),"")</f>
        <v/>
      </c>
      <c r="F2673" s="88" t="str">
        <f aca="false">IF(D2673&lt;&gt;"",IFERROR(VLOOKUP(D2673,PROVEEDORES!$A:$C,3,0),""),"")</f>
        <v/>
      </c>
      <c r="G2673" s="87"/>
      <c r="H2673" s="46" t="str">
        <f aca="false">IF(G2673&lt;&gt;"",IFERROR(VLOOKUP(G2673,PRODUCTOS!$A:$B,2,0),"!COD NO ENCONTRADO"),"")</f>
        <v/>
      </c>
      <c r="I2673" s="89"/>
      <c r="J2673" s="90"/>
      <c r="K2673" s="91"/>
      <c r="L2673" s="80" t="str">
        <f aca="false">IF(AND(J2673&lt;&gt;"",K2673&lt;&gt;""),J2673*K2673,"")</f>
        <v/>
      </c>
      <c r="M2673" s="81" t="str">
        <f aca="false">IF(L2673&lt;&gt;"",L2673*1.1,"")</f>
        <v/>
      </c>
      <c r="N2673" s="47" t="n">
        <f aca="false">IF(F2673="S",L2673*0.02,0)</f>
        <v>0</v>
      </c>
      <c r="O2673" s="82" t="str">
        <f aca="false">IF(L2673&lt;&gt;"",L2673+N2673,"")</f>
        <v/>
      </c>
      <c r="P2673" s="47" t="str">
        <f aca="false">IF(O2673&lt;&gt;"",O2673*0.1,"")</f>
        <v/>
      </c>
      <c r="Q2673" s="83" t="str">
        <f aca="false">IF(O2673&lt;&gt;"",O2673+P2673,"")</f>
        <v/>
      </c>
      <c r="R2673" s="84"/>
    </row>
    <row r="2674" customFormat="false" ht="15" hidden="false" customHeight="true" outlineLevel="0" collapsed="false">
      <c r="A2674" s="103"/>
      <c r="B2674" s="73"/>
      <c r="C2674" s="74"/>
      <c r="D2674" s="75"/>
      <c r="E2674" s="52" t="str">
        <f aca="false">IF(D2674&lt;&gt;"",IFERROR(VLOOKUP(D2674,PROVEEDORES!$A:$B,2,0),"!COD NO ENCONTRADO"),"")</f>
        <v/>
      </c>
      <c r="F2674" s="76" t="str">
        <f aca="false">IF(D2674&lt;&gt;"",IFERROR(VLOOKUP(D2674,PROVEEDORES!$A:$C,3,0),""),"")</f>
        <v/>
      </c>
      <c r="G2674" s="75"/>
      <c r="H2674" s="52" t="str">
        <f aca="false">IF(G2674&lt;&gt;"",IFERROR(VLOOKUP(G2674,PRODUCTOS!$A:$B,2,0),"!COD NO ENCONTRADO"),"")</f>
        <v/>
      </c>
      <c r="I2674" s="77"/>
      <c r="J2674" s="78"/>
      <c r="K2674" s="79"/>
      <c r="L2674" s="80" t="str">
        <f aca="false">IF(AND(J2674&lt;&gt;"",K2674&lt;&gt;""),J2674*K2674,"")</f>
        <v/>
      </c>
      <c r="M2674" s="81" t="str">
        <f aca="false">IF(L2674&lt;&gt;"",L2674*1.1,"")</f>
        <v/>
      </c>
      <c r="N2674" s="53" t="n">
        <f aca="false">IF(F2674="S",L2674*0.02,0)</f>
        <v>0</v>
      </c>
      <c r="O2674" s="82" t="str">
        <f aca="false">IF(L2674&lt;&gt;"",L2674+N2674,"")</f>
        <v/>
      </c>
      <c r="P2674" s="53" t="str">
        <f aca="false">IF(O2674&lt;&gt;"",O2674*0.1,"")</f>
        <v/>
      </c>
      <c r="Q2674" s="83" t="str">
        <f aca="false">IF(O2674&lt;&gt;"",O2674+P2674,"")</f>
        <v/>
      </c>
      <c r="R2674" s="84"/>
    </row>
    <row r="2675" customFormat="false" ht="15" hidden="false" customHeight="true" outlineLevel="0" collapsed="false">
      <c r="A2675" s="103"/>
      <c r="B2675" s="85"/>
      <c r="C2675" s="86"/>
      <c r="D2675" s="87"/>
      <c r="E2675" s="46" t="str">
        <f aca="false">IF(D2675&lt;&gt;"",IFERROR(VLOOKUP(D2675,PROVEEDORES!$A:$B,2,0),"!COD NO ENCONTRADO"),"")</f>
        <v/>
      </c>
      <c r="F2675" s="88" t="str">
        <f aca="false">IF(D2675&lt;&gt;"",IFERROR(VLOOKUP(D2675,PROVEEDORES!$A:$C,3,0),""),"")</f>
        <v/>
      </c>
      <c r="G2675" s="87"/>
      <c r="H2675" s="46" t="str">
        <f aca="false">IF(G2675&lt;&gt;"",IFERROR(VLOOKUP(G2675,PRODUCTOS!$A:$B,2,0),"!COD NO ENCONTRADO"),"")</f>
        <v/>
      </c>
      <c r="I2675" s="89"/>
      <c r="J2675" s="90"/>
      <c r="K2675" s="91"/>
      <c r="L2675" s="80" t="str">
        <f aca="false">IF(AND(J2675&lt;&gt;"",K2675&lt;&gt;""),J2675*K2675,"")</f>
        <v/>
      </c>
      <c r="M2675" s="81" t="str">
        <f aca="false">IF(L2675&lt;&gt;"",L2675*1.1,"")</f>
        <v/>
      </c>
      <c r="N2675" s="47" t="n">
        <f aca="false">IF(F2675="S",L2675*0.02,0)</f>
        <v>0</v>
      </c>
      <c r="O2675" s="82" t="str">
        <f aca="false">IF(L2675&lt;&gt;"",L2675+N2675,"")</f>
        <v/>
      </c>
      <c r="P2675" s="47" t="str">
        <f aca="false">IF(O2675&lt;&gt;"",O2675*0.1,"")</f>
        <v/>
      </c>
      <c r="Q2675" s="83" t="str">
        <f aca="false">IF(O2675&lt;&gt;"",O2675+P2675,"")</f>
        <v/>
      </c>
      <c r="R2675" s="84"/>
    </row>
    <row r="2676" customFormat="false" ht="15" hidden="false" customHeight="true" outlineLevel="0" collapsed="false">
      <c r="A2676" s="103"/>
      <c r="B2676" s="73"/>
      <c r="C2676" s="74"/>
      <c r="D2676" s="75"/>
      <c r="E2676" s="52" t="str">
        <f aca="false">IF(D2676&lt;&gt;"",IFERROR(VLOOKUP(D2676,PROVEEDORES!$A:$B,2,0),"!COD NO ENCONTRADO"),"")</f>
        <v/>
      </c>
      <c r="F2676" s="76" t="str">
        <f aca="false">IF(D2676&lt;&gt;"",IFERROR(VLOOKUP(D2676,PROVEEDORES!$A:$C,3,0),""),"")</f>
        <v/>
      </c>
      <c r="G2676" s="75"/>
      <c r="H2676" s="52" t="str">
        <f aca="false">IF(G2676&lt;&gt;"",IFERROR(VLOOKUP(G2676,PRODUCTOS!$A:$B,2,0),"!COD NO ENCONTRADO"),"")</f>
        <v/>
      </c>
      <c r="I2676" s="77"/>
      <c r="J2676" s="78"/>
      <c r="K2676" s="79"/>
      <c r="L2676" s="80" t="str">
        <f aca="false">IF(AND(J2676&lt;&gt;"",K2676&lt;&gt;""),J2676*K2676,"")</f>
        <v/>
      </c>
      <c r="M2676" s="81" t="str">
        <f aca="false">IF(L2676&lt;&gt;"",L2676*1.1,"")</f>
        <v/>
      </c>
      <c r="N2676" s="53" t="n">
        <f aca="false">IF(F2676="S",L2676*0.02,0)</f>
        <v>0</v>
      </c>
      <c r="O2676" s="82" t="str">
        <f aca="false">IF(L2676&lt;&gt;"",L2676+N2676,"")</f>
        <v/>
      </c>
      <c r="P2676" s="53" t="str">
        <f aca="false">IF(O2676&lt;&gt;"",O2676*0.1,"")</f>
        <v/>
      </c>
      <c r="Q2676" s="83" t="str">
        <f aca="false">IF(O2676&lt;&gt;"",O2676+P2676,"")</f>
        <v/>
      </c>
      <c r="R2676" s="84"/>
    </row>
    <row r="2677" customFormat="false" ht="15" hidden="false" customHeight="true" outlineLevel="0" collapsed="false">
      <c r="A2677" s="103"/>
      <c r="B2677" s="85"/>
      <c r="C2677" s="86"/>
      <c r="D2677" s="87"/>
      <c r="E2677" s="46" t="str">
        <f aca="false">IF(D2677&lt;&gt;"",IFERROR(VLOOKUP(D2677,PROVEEDORES!$A:$B,2,0),"!COD NO ENCONTRADO"),"")</f>
        <v/>
      </c>
      <c r="F2677" s="88" t="str">
        <f aca="false">IF(D2677&lt;&gt;"",IFERROR(VLOOKUP(D2677,PROVEEDORES!$A:$C,3,0),""),"")</f>
        <v/>
      </c>
      <c r="G2677" s="87"/>
      <c r="H2677" s="46" t="str">
        <f aca="false">IF(G2677&lt;&gt;"",IFERROR(VLOOKUP(G2677,PRODUCTOS!$A:$B,2,0),"!COD NO ENCONTRADO"),"")</f>
        <v/>
      </c>
      <c r="I2677" s="89"/>
      <c r="J2677" s="90"/>
      <c r="K2677" s="91"/>
      <c r="L2677" s="80" t="str">
        <f aca="false">IF(AND(J2677&lt;&gt;"",K2677&lt;&gt;""),J2677*K2677,"")</f>
        <v/>
      </c>
      <c r="M2677" s="81" t="str">
        <f aca="false">IF(L2677&lt;&gt;"",L2677*1.1,"")</f>
        <v/>
      </c>
      <c r="N2677" s="47" t="n">
        <f aca="false">IF(F2677="S",L2677*0.02,0)</f>
        <v>0</v>
      </c>
      <c r="O2677" s="82" t="str">
        <f aca="false">IF(L2677&lt;&gt;"",L2677+N2677,"")</f>
        <v/>
      </c>
      <c r="P2677" s="47" t="str">
        <f aca="false">IF(O2677&lt;&gt;"",O2677*0.1,"")</f>
        <v/>
      </c>
      <c r="Q2677" s="83" t="str">
        <f aca="false">IF(O2677&lt;&gt;"",O2677+P2677,"")</f>
        <v/>
      </c>
      <c r="R2677" s="84"/>
    </row>
    <row r="2678" customFormat="false" ht="15" hidden="false" customHeight="true" outlineLevel="0" collapsed="false">
      <c r="A2678" s="103"/>
      <c r="B2678" s="73"/>
      <c r="C2678" s="74"/>
      <c r="D2678" s="75"/>
      <c r="E2678" s="52" t="str">
        <f aca="false">IF(D2678&lt;&gt;"",IFERROR(VLOOKUP(D2678,PROVEEDORES!$A:$B,2,0),"!COD NO ENCONTRADO"),"")</f>
        <v/>
      </c>
      <c r="F2678" s="76" t="str">
        <f aca="false">IF(D2678&lt;&gt;"",IFERROR(VLOOKUP(D2678,PROVEEDORES!$A:$C,3,0),""),"")</f>
        <v/>
      </c>
      <c r="G2678" s="75"/>
      <c r="H2678" s="52" t="str">
        <f aca="false">IF(G2678&lt;&gt;"",IFERROR(VLOOKUP(G2678,PRODUCTOS!$A:$B,2,0),"!COD NO ENCONTRADO"),"")</f>
        <v/>
      </c>
      <c r="I2678" s="77"/>
      <c r="J2678" s="78"/>
      <c r="K2678" s="79"/>
      <c r="L2678" s="80" t="str">
        <f aca="false">IF(AND(J2678&lt;&gt;"",K2678&lt;&gt;""),J2678*K2678,"")</f>
        <v/>
      </c>
      <c r="M2678" s="81" t="str">
        <f aca="false">IF(L2678&lt;&gt;"",L2678*1.1,"")</f>
        <v/>
      </c>
      <c r="N2678" s="53" t="n">
        <f aca="false">IF(F2678="S",L2678*0.02,0)</f>
        <v>0</v>
      </c>
      <c r="O2678" s="82" t="str">
        <f aca="false">IF(L2678&lt;&gt;"",L2678+N2678,"")</f>
        <v/>
      </c>
      <c r="P2678" s="53" t="str">
        <f aca="false">IF(O2678&lt;&gt;"",O2678*0.1,"")</f>
        <v/>
      </c>
      <c r="Q2678" s="83" t="str">
        <f aca="false">IF(O2678&lt;&gt;"",O2678+P2678,"")</f>
        <v/>
      </c>
      <c r="R2678" s="84"/>
    </row>
    <row r="2679" customFormat="false" ht="15" hidden="false" customHeight="true" outlineLevel="0" collapsed="false">
      <c r="A2679" s="103"/>
      <c r="B2679" s="85"/>
      <c r="C2679" s="86"/>
      <c r="D2679" s="87"/>
      <c r="E2679" s="46" t="str">
        <f aca="false">IF(D2679&lt;&gt;"",IFERROR(VLOOKUP(D2679,PROVEEDORES!$A:$B,2,0),"!COD NO ENCONTRADO"),"")</f>
        <v/>
      </c>
      <c r="F2679" s="88" t="str">
        <f aca="false">IF(D2679&lt;&gt;"",IFERROR(VLOOKUP(D2679,PROVEEDORES!$A:$C,3,0),""),"")</f>
        <v/>
      </c>
      <c r="G2679" s="87"/>
      <c r="H2679" s="46" t="str">
        <f aca="false">IF(G2679&lt;&gt;"",IFERROR(VLOOKUP(G2679,PRODUCTOS!$A:$B,2,0),"!COD NO ENCONTRADO"),"")</f>
        <v/>
      </c>
      <c r="I2679" s="89"/>
      <c r="J2679" s="90"/>
      <c r="K2679" s="91"/>
      <c r="L2679" s="80" t="str">
        <f aca="false">IF(AND(J2679&lt;&gt;"",K2679&lt;&gt;""),J2679*K2679,"")</f>
        <v/>
      </c>
      <c r="M2679" s="81" t="str">
        <f aca="false">IF(L2679&lt;&gt;"",L2679*1.1,"")</f>
        <v/>
      </c>
      <c r="N2679" s="47" t="n">
        <f aca="false">IF(F2679="S",L2679*0.02,0)</f>
        <v>0</v>
      </c>
      <c r="O2679" s="82" t="str">
        <f aca="false">IF(L2679&lt;&gt;"",L2679+N2679,"")</f>
        <v/>
      </c>
      <c r="P2679" s="47" t="str">
        <f aca="false">IF(O2679&lt;&gt;"",O2679*0.1,"")</f>
        <v/>
      </c>
      <c r="Q2679" s="83" t="str">
        <f aca="false">IF(O2679&lt;&gt;"",O2679+P2679,"")</f>
        <v/>
      </c>
      <c r="R2679" s="84"/>
    </row>
    <row r="2680" customFormat="false" ht="15" hidden="false" customHeight="true" outlineLevel="0" collapsed="false">
      <c r="A2680" s="103"/>
      <c r="B2680" s="73"/>
      <c r="C2680" s="74"/>
      <c r="D2680" s="75"/>
      <c r="E2680" s="52" t="str">
        <f aca="false">IF(D2680&lt;&gt;"",IFERROR(VLOOKUP(D2680,PROVEEDORES!$A:$B,2,0),"!COD NO ENCONTRADO"),"")</f>
        <v/>
      </c>
      <c r="F2680" s="76" t="str">
        <f aca="false">IF(D2680&lt;&gt;"",IFERROR(VLOOKUP(D2680,PROVEEDORES!$A:$C,3,0),""),"")</f>
        <v/>
      </c>
      <c r="G2680" s="75"/>
      <c r="H2680" s="52" t="str">
        <f aca="false">IF(G2680&lt;&gt;"",IFERROR(VLOOKUP(G2680,PRODUCTOS!$A:$B,2,0),"!COD NO ENCONTRADO"),"")</f>
        <v/>
      </c>
      <c r="I2680" s="77"/>
      <c r="J2680" s="78"/>
      <c r="K2680" s="79"/>
      <c r="L2680" s="80" t="str">
        <f aca="false">IF(AND(J2680&lt;&gt;"",K2680&lt;&gt;""),J2680*K2680,"")</f>
        <v/>
      </c>
      <c r="M2680" s="81" t="str">
        <f aca="false">IF(L2680&lt;&gt;"",L2680*1.1,"")</f>
        <v/>
      </c>
      <c r="N2680" s="53" t="n">
        <f aca="false">IF(F2680="S",L2680*0.02,0)</f>
        <v>0</v>
      </c>
      <c r="O2680" s="82" t="str">
        <f aca="false">IF(L2680&lt;&gt;"",L2680+N2680,"")</f>
        <v/>
      </c>
      <c r="P2680" s="53" t="str">
        <f aca="false">IF(O2680&lt;&gt;"",O2680*0.1,"")</f>
        <v/>
      </c>
      <c r="Q2680" s="83" t="str">
        <f aca="false">IF(O2680&lt;&gt;"",O2680+P2680,"")</f>
        <v/>
      </c>
      <c r="R2680" s="84"/>
    </row>
    <row r="2681" customFormat="false" ht="15" hidden="false" customHeight="true" outlineLevel="0" collapsed="false">
      <c r="A2681" s="103"/>
      <c r="B2681" s="85"/>
      <c r="C2681" s="86"/>
      <c r="D2681" s="87"/>
      <c r="E2681" s="46" t="str">
        <f aca="false">IF(D2681&lt;&gt;"",IFERROR(VLOOKUP(D2681,PROVEEDORES!$A:$B,2,0),"!COD NO ENCONTRADO"),"")</f>
        <v/>
      </c>
      <c r="F2681" s="88" t="str">
        <f aca="false">IF(D2681&lt;&gt;"",IFERROR(VLOOKUP(D2681,PROVEEDORES!$A:$C,3,0),""),"")</f>
        <v/>
      </c>
      <c r="G2681" s="87"/>
      <c r="H2681" s="46" t="str">
        <f aca="false">IF(G2681&lt;&gt;"",IFERROR(VLOOKUP(G2681,PRODUCTOS!$A:$B,2,0),"!COD NO ENCONTRADO"),"")</f>
        <v/>
      </c>
      <c r="I2681" s="89"/>
      <c r="J2681" s="90"/>
      <c r="K2681" s="91"/>
      <c r="L2681" s="80" t="str">
        <f aca="false">IF(AND(J2681&lt;&gt;"",K2681&lt;&gt;""),J2681*K2681,"")</f>
        <v/>
      </c>
      <c r="M2681" s="81" t="str">
        <f aca="false">IF(L2681&lt;&gt;"",L2681*1.1,"")</f>
        <v/>
      </c>
      <c r="N2681" s="47" t="n">
        <f aca="false">IF(F2681="S",L2681*0.02,0)</f>
        <v>0</v>
      </c>
      <c r="O2681" s="82" t="str">
        <f aca="false">IF(L2681&lt;&gt;"",L2681+N2681,"")</f>
        <v/>
      </c>
      <c r="P2681" s="47" t="str">
        <f aca="false">IF(O2681&lt;&gt;"",O2681*0.1,"")</f>
        <v/>
      </c>
      <c r="Q2681" s="83" t="str">
        <f aca="false">IF(O2681&lt;&gt;"",O2681+P2681,"")</f>
        <v/>
      </c>
      <c r="R2681" s="84"/>
    </row>
    <row r="2682" customFormat="false" ht="15" hidden="false" customHeight="true" outlineLevel="0" collapsed="false">
      <c r="A2682" s="103"/>
      <c r="B2682" s="73"/>
      <c r="C2682" s="74"/>
      <c r="D2682" s="75"/>
      <c r="E2682" s="52" t="str">
        <f aca="false">IF(D2682&lt;&gt;"",IFERROR(VLOOKUP(D2682,PROVEEDORES!$A:$B,2,0),"!COD NO ENCONTRADO"),"")</f>
        <v/>
      </c>
      <c r="F2682" s="76" t="str">
        <f aca="false">IF(D2682&lt;&gt;"",IFERROR(VLOOKUP(D2682,PROVEEDORES!$A:$C,3,0),""),"")</f>
        <v/>
      </c>
      <c r="G2682" s="75"/>
      <c r="H2682" s="52" t="str">
        <f aca="false">IF(G2682&lt;&gt;"",IFERROR(VLOOKUP(G2682,PRODUCTOS!$A:$B,2,0),"!COD NO ENCONTRADO"),"")</f>
        <v/>
      </c>
      <c r="I2682" s="77"/>
      <c r="J2682" s="78"/>
      <c r="K2682" s="79"/>
      <c r="L2682" s="80" t="str">
        <f aca="false">IF(AND(J2682&lt;&gt;"",K2682&lt;&gt;""),J2682*K2682,"")</f>
        <v/>
      </c>
      <c r="M2682" s="81" t="str">
        <f aca="false">IF(L2682&lt;&gt;"",L2682*1.1,"")</f>
        <v/>
      </c>
      <c r="N2682" s="53" t="n">
        <f aca="false">IF(F2682="S",L2682*0.02,0)</f>
        <v>0</v>
      </c>
      <c r="O2682" s="82" t="str">
        <f aca="false">IF(L2682&lt;&gt;"",L2682+N2682,"")</f>
        <v/>
      </c>
      <c r="P2682" s="53" t="str">
        <f aca="false">IF(O2682&lt;&gt;"",O2682*0.1,"")</f>
        <v/>
      </c>
      <c r="Q2682" s="83" t="str">
        <f aca="false">IF(O2682&lt;&gt;"",O2682+P2682,"")</f>
        <v/>
      </c>
      <c r="R2682" s="84"/>
    </row>
    <row r="2683" customFormat="false" ht="15" hidden="false" customHeight="true" outlineLevel="0" collapsed="false">
      <c r="A2683" s="103"/>
      <c r="B2683" s="85"/>
      <c r="C2683" s="86"/>
      <c r="D2683" s="87"/>
      <c r="E2683" s="46" t="str">
        <f aca="false">IF(D2683&lt;&gt;"",IFERROR(VLOOKUP(D2683,PROVEEDORES!$A:$B,2,0),"!COD NO ENCONTRADO"),"")</f>
        <v/>
      </c>
      <c r="F2683" s="88" t="str">
        <f aca="false">IF(D2683&lt;&gt;"",IFERROR(VLOOKUP(D2683,PROVEEDORES!$A:$C,3,0),""),"")</f>
        <v/>
      </c>
      <c r="G2683" s="87"/>
      <c r="H2683" s="46" t="str">
        <f aca="false">IF(G2683&lt;&gt;"",IFERROR(VLOOKUP(G2683,PRODUCTOS!$A:$B,2,0),"!COD NO ENCONTRADO"),"")</f>
        <v/>
      </c>
      <c r="I2683" s="89"/>
      <c r="J2683" s="90"/>
      <c r="K2683" s="91"/>
      <c r="L2683" s="80" t="str">
        <f aca="false">IF(AND(J2683&lt;&gt;"",K2683&lt;&gt;""),J2683*K2683,"")</f>
        <v/>
      </c>
      <c r="M2683" s="81" t="str">
        <f aca="false">IF(L2683&lt;&gt;"",L2683*1.1,"")</f>
        <v/>
      </c>
      <c r="N2683" s="47" t="n">
        <f aca="false">IF(F2683="S",L2683*0.02,0)</f>
        <v>0</v>
      </c>
      <c r="O2683" s="82" t="str">
        <f aca="false">IF(L2683&lt;&gt;"",L2683+N2683,"")</f>
        <v/>
      </c>
      <c r="P2683" s="47" t="str">
        <f aca="false">IF(O2683&lt;&gt;"",O2683*0.1,"")</f>
        <v/>
      </c>
      <c r="Q2683" s="83" t="str">
        <f aca="false">IF(O2683&lt;&gt;"",O2683+P2683,"")</f>
        <v/>
      </c>
      <c r="R2683" s="84"/>
    </row>
    <row r="2684" customFormat="false" ht="15" hidden="false" customHeight="true" outlineLevel="0" collapsed="false">
      <c r="A2684" s="103"/>
      <c r="B2684" s="73"/>
      <c r="C2684" s="74"/>
      <c r="D2684" s="75"/>
      <c r="E2684" s="52" t="str">
        <f aca="false">IF(D2684&lt;&gt;"",IFERROR(VLOOKUP(D2684,PROVEEDORES!$A:$B,2,0),"!COD NO ENCONTRADO"),"")</f>
        <v/>
      </c>
      <c r="F2684" s="76" t="str">
        <f aca="false">IF(D2684&lt;&gt;"",IFERROR(VLOOKUP(D2684,PROVEEDORES!$A:$C,3,0),""),"")</f>
        <v/>
      </c>
      <c r="G2684" s="75"/>
      <c r="H2684" s="52" t="str">
        <f aca="false">IF(G2684&lt;&gt;"",IFERROR(VLOOKUP(G2684,PRODUCTOS!$A:$B,2,0),"!COD NO ENCONTRADO"),"")</f>
        <v/>
      </c>
      <c r="I2684" s="77"/>
      <c r="J2684" s="78"/>
      <c r="K2684" s="79"/>
      <c r="L2684" s="80" t="str">
        <f aca="false">IF(AND(J2684&lt;&gt;"",K2684&lt;&gt;""),J2684*K2684,"")</f>
        <v/>
      </c>
      <c r="M2684" s="81" t="str">
        <f aca="false">IF(L2684&lt;&gt;"",L2684*1.1,"")</f>
        <v/>
      </c>
      <c r="N2684" s="53" t="n">
        <f aca="false">IF(F2684="S",L2684*0.02,0)</f>
        <v>0</v>
      </c>
      <c r="O2684" s="82" t="str">
        <f aca="false">IF(L2684&lt;&gt;"",L2684+N2684,"")</f>
        <v/>
      </c>
      <c r="P2684" s="53" t="str">
        <f aca="false">IF(O2684&lt;&gt;"",O2684*0.1,"")</f>
        <v/>
      </c>
      <c r="Q2684" s="83" t="str">
        <f aca="false">IF(O2684&lt;&gt;"",O2684+P2684,"")</f>
        <v/>
      </c>
      <c r="R2684" s="84"/>
    </row>
    <row r="2685" customFormat="false" ht="15" hidden="false" customHeight="true" outlineLevel="0" collapsed="false">
      <c r="A2685" s="103"/>
      <c r="B2685" s="85"/>
      <c r="C2685" s="86"/>
      <c r="D2685" s="87"/>
      <c r="E2685" s="46" t="str">
        <f aca="false">IF(D2685&lt;&gt;"",IFERROR(VLOOKUP(D2685,PROVEEDORES!$A:$B,2,0),"!COD NO ENCONTRADO"),"")</f>
        <v/>
      </c>
      <c r="F2685" s="88" t="str">
        <f aca="false">IF(D2685&lt;&gt;"",IFERROR(VLOOKUP(D2685,PROVEEDORES!$A:$C,3,0),""),"")</f>
        <v/>
      </c>
      <c r="G2685" s="87"/>
      <c r="H2685" s="46" t="str">
        <f aca="false">IF(G2685&lt;&gt;"",IFERROR(VLOOKUP(G2685,PRODUCTOS!$A:$B,2,0),"!COD NO ENCONTRADO"),"")</f>
        <v/>
      </c>
      <c r="I2685" s="89"/>
      <c r="J2685" s="90"/>
      <c r="K2685" s="91"/>
      <c r="L2685" s="80" t="str">
        <f aca="false">IF(AND(J2685&lt;&gt;"",K2685&lt;&gt;""),J2685*K2685,"")</f>
        <v/>
      </c>
      <c r="M2685" s="81" t="str">
        <f aca="false">IF(L2685&lt;&gt;"",L2685*1.1,"")</f>
        <v/>
      </c>
      <c r="N2685" s="47" t="n">
        <f aca="false">IF(F2685="S",L2685*0.02,0)</f>
        <v>0</v>
      </c>
      <c r="O2685" s="82" t="str">
        <f aca="false">IF(L2685&lt;&gt;"",L2685+N2685,"")</f>
        <v/>
      </c>
      <c r="P2685" s="47" t="str">
        <f aca="false">IF(O2685&lt;&gt;"",O2685*0.1,"")</f>
        <v/>
      </c>
      <c r="Q2685" s="83" t="str">
        <f aca="false">IF(O2685&lt;&gt;"",O2685+P2685,"")</f>
        <v/>
      </c>
      <c r="R2685" s="84"/>
    </row>
    <row r="2686" customFormat="false" ht="15" hidden="false" customHeight="true" outlineLevel="0" collapsed="false">
      <c r="A2686" s="103"/>
      <c r="B2686" s="73"/>
      <c r="C2686" s="74"/>
      <c r="D2686" s="75"/>
      <c r="E2686" s="52" t="str">
        <f aca="false">IF(D2686&lt;&gt;"",IFERROR(VLOOKUP(D2686,PROVEEDORES!$A:$B,2,0),"!COD NO ENCONTRADO"),"")</f>
        <v/>
      </c>
      <c r="F2686" s="76" t="str">
        <f aca="false">IF(D2686&lt;&gt;"",IFERROR(VLOOKUP(D2686,PROVEEDORES!$A:$C,3,0),""),"")</f>
        <v/>
      </c>
      <c r="G2686" s="75"/>
      <c r="H2686" s="52" t="str">
        <f aca="false">IF(G2686&lt;&gt;"",IFERROR(VLOOKUP(G2686,PRODUCTOS!$A:$B,2,0),"!COD NO ENCONTRADO"),"")</f>
        <v/>
      </c>
      <c r="I2686" s="77"/>
      <c r="J2686" s="78"/>
      <c r="K2686" s="79"/>
      <c r="L2686" s="80" t="str">
        <f aca="false">IF(AND(J2686&lt;&gt;"",K2686&lt;&gt;""),J2686*K2686,"")</f>
        <v/>
      </c>
      <c r="M2686" s="81" t="str">
        <f aca="false">IF(L2686&lt;&gt;"",L2686*1.1,"")</f>
        <v/>
      </c>
      <c r="N2686" s="53" t="n">
        <f aca="false">IF(F2686="S",L2686*0.02,0)</f>
        <v>0</v>
      </c>
      <c r="O2686" s="82" t="str">
        <f aca="false">IF(L2686&lt;&gt;"",L2686+N2686,"")</f>
        <v/>
      </c>
      <c r="P2686" s="53" t="str">
        <f aca="false">IF(O2686&lt;&gt;"",O2686*0.1,"")</f>
        <v/>
      </c>
      <c r="Q2686" s="83" t="str">
        <f aca="false">IF(O2686&lt;&gt;"",O2686+P2686,"")</f>
        <v/>
      </c>
      <c r="R2686" s="84"/>
    </row>
    <row r="2687" customFormat="false" ht="15" hidden="false" customHeight="true" outlineLevel="0" collapsed="false">
      <c r="A2687" s="103"/>
      <c r="B2687" s="85"/>
      <c r="C2687" s="86"/>
      <c r="D2687" s="87"/>
      <c r="E2687" s="46" t="str">
        <f aca="false">IF(D2687&lt;&gt;"",IFERROR(VLOOKUP(D2687,PROVEEDORES!$A:$B,2,0),"!COD NO ENCONTRADO"),"")</f>
        <v/>
      </c>
      <c r="F2687" s="88" t="str">
        <f aca="false">IF(D2687&lt;&gt;"",IFERROR(VLOOKUP(D2687,PROVEEDORES!$A:$C,3,0),""),"")</f>
        <v/>
      </c>
      <c r="G2687" s="87"/>
      <c r="H2687" s="46" t="str">
        <f aca="false">IF(G2687&lt;&gt;"",IFERROR(VLOOKUP(G2687,PRODUCTOS!$A:$B,2,0),"!COD NO ENCONTRADO"),"")</f>
        <v/>
      </c>
      <c r="I2687" s="89"/>
      <c r="J2687" s="90"/>
      <c r="K2687" s="91"/>
      <c r="L2687" s="80" t="str">
        <f aca="false">IF(AND(J2687&lt;&gt;"",K2687&lt;&gt;""),J2687*K2687,"")</f>
        <v/>
      </c>
      <c r="M2687" s="81" t="str">
        <f aca="false">IF(L2687&lt;&gt;"",L2687*1.1,"")</f>
        <v/>
      </c>
      <c r="N2687" s="47" t="n">
        <f aca="false">IF(F2687="S",L2687*0.02,0)</f>
        <v>0</v>
      </c>
      <c r="O2687" s="82" t="str">
        <f aca="false">IF(L2687&lt;&gt;"",L2687+N2687,"")</f>
        <v/>
      </c>
      <c r="P2687" s="47" t="str">
        <f aca="false">IF(O2687&lt;&gt;"",O2687*0.1,"")</f>
        <v/>
      </c>
      <c r="Q2687" s="83" t="str">
        <f aca="false">IF(O2687&lt;&gt;"",O2687+P2687,"")</f>
        <v/>
      </c>
      <c r="R2687" s="84"/>
    </row>
    <row r="2688" customFormat="false" ht="15" hidden="false" customHeight="true" outlineLevel="0" collapsed="false">
      <c r="A2688" s="103"/>
      <c r="B2688" s="73"/>
      <c r="C2688" s="74"/>
      <c r="D2688" s="75"/>
      <c r="E2688" s="52" t="str">
        <f aca="false">IF(D2688&lt;&gt;"",IFERROR(VLOOKUP(D2688,PROVEEDORES!$A:$B,2,0),"!COD NO ENCONTRADO"),"")</f>
        <v/>
      </c>
      <c r="F2688" s="76" t="str">
        <f aca="false">IF(D2688&lt;&gt;"",IFERROR(VLOOKUP(D2688,PROVEEDORES!$A:$C,3,0),""),"")</f>
        <v/>
      </c>
      <c r="G2688" s="75"/>
      <c r="H2688" s="52" t="str">
        <f aca="false">IF(G2688&lt;&gt;"",IFERROR(VLOOKUP(G2688,PRODUCTOS!$A:$B,2,0),"!COD NO ENCONTRADO"),"")</f>
        <v/>
      </c>
      <c r="I2688" s="77"/>
      <c r="J2688" s="78"/>
      <c r="K2688" s="79"/>
      <c r="L2688" s="80" t="str">
        <f aca="false">IF(AND(J2688&lt;&gt;"",K2688&lt;&gt;""),J2688*K2688,"")</f>
        <v/>
      </c>
      <c r="M2688" s="81" t="str">
        <f aca="false">IF(L2688&lt;&gt;"",L2688*1.1,"")</f>
        <v/>
      </c>
      <c r="N2688" s="53" t="n">
        <f aca="false">IF(F2688="S",L2688*0.02,0)</f>
        <v>0</v>
      </c>
      <c r="O2688" s="82" t="str">
        <f aca="false">IF(L2688&lt;&gt;"",L2688+N2688,"")</f>
        <v/>
      </c>
      <c r="P2688" s="53" t="str">
        <f aca="false">IF(O2688&lt;&gt;"",O2688*0.1,"")</f>
        <v/>
      </c>
      <c r="Q2688" s="83" t="str">
        <f aca="false">IF(O2688&lt;&gt;"",O2688+P2688,"")</f>
        <v/>
      </c>
      <c r="R2688" s="84"/>
    </row>
    <row r="2689" customFormat="false" ht="15" hidden="false" customHeight="true" outlineLevel="0" collapsed="false">
      <c r="A2689" s="103"/>
      <c r="B2689" s="85"/>
      <c r="C2689" s="86"/>
      <c r="D2689" s="87"/>
      <c r="E2689" s="46" t="str">
        <f aca="false">IF(D2689&lt;&gt;"",IFERROR(VLOOKUP(D2689,PROVEEDORES!$A:$B,2,0),"!COD NO ENCONTRADO"),"")</f>
        <v/>
      </c>
      <c r="F2689" s="88" t="str">
        <f aca="false">IF(D2689&lt;&gt;"",IFERROR(VLOOKUP(D2689,PROVEEDORES!$A:$C,3,0),""),"")</f>
        <v/>
      </c>
      <c r="G2689" s="87"/>
      <c r="H2689" s="46" t="str">
        <f aca="false">IF(G2689&lt;&gt;"",IFERROR(VLOOKUP(G2689,PRODUCTOS!$A:$B,2,0),"!COD NO ENCONTRADO"),"")</f>
        <v/>
      </c>
      <c r="I2689" s="89"/>
      <c r="J2689" s="90"/>
      <c r="K2689" s="91"/>
      <c r="L2689" s="80" t="str">
        <f aca="false">IF(AND(J2689&lt;&gt;"",K2689&lt;&gt;""),J2689*K2689,"")</f>
        <v/>
      </c>
      <c r="M2689" s="81" t="str">
        <f aca="false">IF(L2689&lt;&gt;"",L2689*1.1,"")</f>
        <v/>
      </c>
      <c r="N2689" s="47" t="n">
        <f aca="false">IF(F2689="S",L2689*0.02,0)</f>
        <v>0</v>
      </c>
      <c r="O2689" s="82" t="str">
        <f aca="false">IF(L2689&lt;&gt;"",L2689+N2689,"")</f>
        <v/>
      </c>
      <c r="P2689" s="47" t="str">
        <f aca="false">IF(O2689&lt;&gt;"",O2689*0.1,"")</f>
        <v/>
      </c>
      <c r="Q2689" s="83" t="str">
        <f aca="false">IF(O2689&lt;&gt;"",O2689+P2689,"")</f>
        <v/>
      </c>
      <c r="R2689" s="84"/>
    </row>
    <row r="2690" customFormat="false" ht="15" hidden="false" customHeight="true" outlineLevel="0" collapsed="false">
      <c r="A2690" s="103"/>
      <c r="B2690" s="73"/>
      <c r="C2690" s="74"/>
      <c r="D2690" s="75"/>
      <c r="E2690" s="52" t="str">
        <f aca="false">IF(D2690&lt;&gt;"",IFERROR(VLOOKUP(D2690,PROVEEDORES!$A:$B,2,0),"!COD NO ENCONTRADO"),"")</f>
        <v/>
      </c>
      <c r="F2690" s="76" t="str">
        <f aca="false">IF(D2690&lt;&gt;"",IFERROR(VLOOKUP(D2690,PROVEEDORES!$A:$C,3,0),""),"")</f>
        <v/>
      </c>
      <c r="G2690" s="75"/>
      <c r="H2690" s="52" t="str">
        <f aca="false">IF(G2690&lt;&gt;"",IFERROR(VLOOKUP(G2690,PRODUCTOS!$A:$B,2,0),"!COD NO ENCONTRADO"),"")</f>
        <v/>
      </c>
      <c r="I2690" s="77"/>
      <c r="J2690" s="78"/>
      <c r="K2690" s="79"/>
      <c r="L2690" s="80" t="str">
        <f aca="false">IF(AND(J2690&lt;&gt;"",K2690&lt;&gt;""),J2690*K2690,"")</f>
        <v/>
      </c>
      <c r="M2690" s="81" t="str">
        <f aca="false">IF(L2690&lt;&gt;"",L2690*1.1,"")</f>
        <v/>
      </c>
      <c r="N2690" s="53" t="n">
        <f aca="false">IF(F2690="S",L2690*0.02,0)</f>
        <v>0</v>
      </c>
      <c r="O2690" s="82" t="str">
        <f aca="false">IF(L2690&lt;&gt;"",L2690+N2690,"")</f>
        <v/>
      </c>
      <c r="P2690" s="53" t="str">
        <f aca="false">IF(O2690&lt;&gt;"",O2690*0.1,"")</f>
        <v/>
      </c>
      <c r="Q2690" s="83" t="str">
        <f aca="false">IF(O2690&lt;&gt;"",O2690+P2690,"")</f>
        <v/>
      </c>
      <c r="R2690" s="84"/>
    </row>
    <row r="2691" customFormat="false" ht="15" hidden="false" customHeight="true" outlineLevel="0" collapsed="false">
      <c r="A2691" s="103"/>
      <c r="B2691" s="85"/>
      <c r="C2691" s="86"/>
      <c r="D2691" s="87"/>
      <c r="E2691" s="46" t="str">
        <f aca="false">IF(D2691&lt;&gt;"",IFERROR(VLOOKUP(D2691,PROVEEDORES!$A:$B,2,0),"!COD NO ENCONTRADO"),"")</f>
        <v/>
      </c>
      <c r="F2691" s="88" t="str">
        <f aca="false">IF(D2691&lt;&gt;"",IFERROR(VLOOKUP(D2691,PROVEEDORES!$A:$C,3,0),""),"")</f>
        <v/>
      </c>
      <c r="G2691" s="87"/>
      <c r="H2691" s="46" t="str">
        <f aca="false">IF(G2691&lt;&gt;"",IFERROR(VLOOKUP(G2691,PRODUCTOS!$A:$B,2,0),"!COD NO ENCONTRADO"),"")</f>
        <v/>
      </c>
      <c r="I2691" s="89"/>
      <c r="J2691" s="90"/>
      <c r="K2691" s="91"/>
      <c r="L2691" s="80" t="str">
        <f aca="false">IF(AND(J2691&lt;&gt;"",K2691&lt;&gt;""),J2691*K2691,"")</f>
        <v/>
      </c>
      <c r="M2691" s="81" t="str">
        <f aca="false">IF(L2691&lt;&gt;"",L2691*1.1,"")</f>
        <v/>
      </c>
      <c r="N2691" s="47" t="n">
        <f aca="false">IF(F2691="S",L2691*0.02,0)</f>
        <v>0</v>
      </c>
      <c r="O2691" s="82" t="str">
        <f aca="false">IF(L2691&lt;&gt;"",L2691+N2691,"")</f>
        <v/>
      </c>
      <c r="P2691" s="47" t="str">
        <f aca="false">IF(O2691&lt;&gt;"",O2691*0.1,"")</f>
        <v/>
      </c>
      <c r="Q2691" s="83" t="str">
        <f aca="false">IF(O2691&lt;&gt;"",O2691+P2691,"")</f>
        <v/>
      </c>
      <c r="R2691" s="84"/>
    </row>
    <row r="2692" customFormat="false" ht="15" hidden="false" customHeight="true" outlineLevel="0" collapsed="false">
      <c r="A2692" s="103"/>
      <c r="B2692" s="73"/>
      <c r="C2692" s="74"/>
      <c r="D2692" s="75"/>
      <c r="E2692" s="52" t="str">
        <f aca="false">IF(D2692&lt;&gt;"",IFERROR(VLOOKUP(D2692,PROVEEDORES!$A:$B,2,0),"!COD NO ENCONTRADO"),"")</f>
        <v/>
      </c>
      <c r="F2692" s="76" t="str">
        <f aca="false">IF(D2692&lt;&gt;"",IFERROR(VLOOKUP(D2692,PROVEEDORES!$A:$C,3,0),""),"")</f>
        <v/>
      </c>
      <c r="G2692" s="75"/>
      <c r="H2692" s="52" t="str">
        <f aca="false">IF(G2692&lt;&gt;"",IFERROR(VLOOKUP(G2692,PRODUCTOS!$A:$B,2,0),"!COD NO ENCONTRADO"),"")</f>
        <v/>
      </c>
      <c r="I2692" s="77"/>
      <c r="J2692" s="78"/>
      <c r="K2692" s="79"/>
      <c r="L2692" s="80" t="str">
        <f aca="false">IF(AND(J2692&lt;&gt;"",K2692&lt;&gt;""),J2692*K2692,"")</f>
        <v/>
      </c>
      <c r="M2692" s="81" t="str">
        <f aca="false">IF(L2692&lt;&gt;"",L2692*1.1,"")</f>
        <v/>
      </c>
      <c r="N2692" s="53" t="n">
        <f aca="false">IF(F2692="S",L2692*0.02,0)</f>
        <v>0</v>
      </c>
      <c r="O2692" s="82" t="str">
        <f aca="false">IF(L2692&lt;&gt;"",L2692+N2692,"")</f>
        <v/>
      </c>
      <c r="P2692" s="53" t="str">
        <f aca="false">IF(O2692&lt;&gt;"",O2692*0.1,"")</f>
        <v/>
      </c>
      <c r="Q2692" s="83" t="str">
        <f aca="false">IF(O2692&lt;&gt;"",O2692+P2692,"")</f>
        <v/>
      </c>
      <c r="R2692" s="84"/>
    </row>
    <row r="2693" customFormat="false" ht="15" hidden="false" customHeight="true" outlineLevel="0" collapsed="false">
      <c r="A2693" s="103"/>
      <c r="B2693" s="85"/>
      <c r="C2693" s="86"/>
      <c r="D2693" s="87"/>
      <c r="E2693" s="46" t="str">
        <f aca="false">IF(D2693&lt;&gt;"",IFERROR(VLOOKUP(D2693,PROVEEDORES!$A:$B,2,0),"!COD NO ENCONTRADO"),"")</f>
        <v/>
      </c>
      <c r="F2693" s="88" t="str">
        <f aca="false">IF(D2693&lt;&gt;"",IFERROR(VLOOKUP(D2693,PROVEEDORES!$A:$C,3,0),""),"")</f>
        <v/>
      </c>
      <c r="G2693" s="87"/>
      <c r="H2693" s="46" t="str">
        <f aca="false">IF(G2693&lt;&gt;"",IFERROR(VLOOKUP(G2693,PRODUCTOS!$A:$B,2,0),"!COD NO ENCONTRADO"),"")</f>
        <v/>
      </c>
      <c r="I2693" s="89"/>
      <c r="J2693" s="90"/>
      <c r="K2693" s="91"/>
      <c r="L2693" s="80" t="str">
        <f aca="false">IF(AND(J2693&lt;&gt;"",K2693&lt;&gt;""),J2693*K2693,"")</f>
        <v/>
      </c>
      <c r="M2693" s="81" t="str">
        <f aca="false">IF(L2693&lt;&gt;"",L2693*1.1,"")</f>
        <v/>
      </c>
      <c r="N2693" s="47" t="n">
        <f aca="false">IF(F2693="S",L2693*0.02,0)</f>
        <v>0</v>
      </c>
      <c r="O2693" s="82" t="str">
        <f aca="false">IF(L2693&lt;&gt;"",L2693+N2693,"")</f>
        <v/>
      </c>
      <c r="P2693" s="47" t="str">
        <f aca="false">IF(O2693&lt;&gt;"",O2693*0.1,"")</f>
        <v/>
      </c>
      <c r="Q2693" s="83" t="str">
        <f aca="false">IF(O2693&lt;&gt;"",O2693+P2693,"")</f>
        <v/>
      </c>
      <c r="R2693" s="84"/>
    </row>
    <row r="2694" customFormat="false" ht="15" hidden="false" customHeight="true" outlineLevel="0" collapsed="false">
      <c r="A2694" s="103"/>
      <c r="B2694" s="73"/>
      <c r="C2694" s="74"/>
      <c r="D2694" s="75"/>
      <c r="E2694" s="52" t="str">
        <f aca="false">IF(D2694&lt;&gt;"",IFERROR(VLOOKUP(D2694,PROVEEDORES!$A:$B,2,0),"!COD NO ENCONTRADO"),"")</f>
        <v/>
      </c>
      <c r="F2694" s="76" t="str">
        <f aca="false">IF(D2694&lt;&gt;"",IFERROR(VLOOKUP(D2694,PROVEEDORES!$A:$C,3,0),""),"")</f>
        <v/>
      </c>
      <c r="G2694" s="75"/>
      <c r="H2694" s="52" t="str">
        <f aca="false">IF(G2694&lt;&gt;"",IFERROR(VLOOKUP(G2694,PRODUCTOS!$A:$B,2,0),"!COD NO ENCONTRADO"),"")</f>
        <v/>
      </c>
      <c r="I2694" s="77"/>
      <c r="J2694" s="78"/>
      <c r="K2694" s="79"/>
      <c r="L2694" s="80" t="str">
        <f aca="false">IF(AND(J2694&lt;&gt;"",K2694&lt;&gt;""),J2694*K2694,"")</f>
        <v/>
      </c>
      <c r="M2694" s="81" t="str">
        <f aca="false">IF(L2694&lt;&gt;"",L2694*1.1,"")</f>
        <v/>
      </c>
      <c r="N2694" s="53" t="n">
        <f aca="false">IF(F2694="S",L2694*0.02,0)</f>
        <v>0</v>
      </c>
      <c r="O2694" s="82" t="str">
        <f aca="false">IF(L2694&lt;&gt;"",L2694+N2694,"")</f>
        <v/>
      </c>
      <c r="P2694" s="53" t="str">
        <f aca="false">IF(O2694&lt;&gt;"",O2694*0.1,"")</f>
        <v/>
      </c>
      <c r="Q2694" s="83" t="str">
        <f aca="false">IF(O2694&lt;&gt;"",O2694+P2694,"")</f>
        <v/>
      </c>
      <c r="R2694" s="84"/>
    </row>
    <row r="2695" customFormat="false" ht="15" hidden="false" customHeight="true" outlineLevel="0" collapsed="false">
      <c r="A2695" s="103"/>
      <c r="B2695" s="85"/>
      <c r="C2695" s="86"/>
      <c r="D2695" s="87"/>
      <c r="E2695" s="46" t="str">
        <f aca="false">IF(D2695&lt;&gt;"",IFERROR(VLOOKUP(D2695,PROVEEDORES!$A:$B,2,0),"!COD NO ENCONTRADO"),"")</f>
        <v/>
      </c>
      <c r="F2695" s="88" t="str">
        <f aca="false">IF(D2695&lt;&gt;"",IFERROR(VLOOKUP(D2695,PROVEEDORES!$A:$C,3,0),""),"")</f>
        <v/>
      </c>
      <c r="G2695" s="87"/>
      <c r="H2695" s="46" t="str">
        <f aca="false">IF(G2695&lt;&gt;"",IFERROR(VLOOKUP(G2695,PRODUCTOS!$A:$B,2,0),"!COD NO ENCONTRADO"),"")</f>
        <v/>
      </c>
      <c r="I2695" s="89"/>
      <c r="J2695" s="90"/>
      <c r="K2695" s="91"/>
      <c r="L2695" s="80" t="str">
        <f aca="false">IF(AND(J2695&lt;&gt;"",K2695&lt;&gt;""),J2695*K2695,"")</f>
        <v/>
      </c>
      <c r="M2695" s="81" t="str">
        <f aca="false">IF(L2695&lt;&gt;"",L2695*1.1,"")</f>
        <v/>
      </c>
      <c r="N2695" s="47" t="n">
        <f aca="false">IF(F2695="S",L2695*0.02,0)</f>
        <v>0</v>
      </c>
      <c r="O2695" s="82" t="str">
        <f aca="false">IF(L2695&lt;&gt;"",L2695+N2695,"")</f>
        <v/>
      </c>
      <c r="P2695" s="47" t="str">
        <f aca="false">IF(O2695&lt;&gt;"",O2695*0.1,"")</f>
        <v/>
      </c>
      <c r="Q2695" s="83" t="str">
        <f aca="false">IF(O2695&lt;&gt;"",O2695+P2695,"")</f>
        <v/>
      </c>
      <c r="R2695" s="84"/>
    </row>
    <row r="2696" customFormat="false" ht="15" hidden="false" customHeight="true" outlineLevel="0" collapsed="false">
      <c r="A2696" s="103"/>
      <c r="B2696" s="73"/>
      <c r="C2696" s="74"/>
      <c r="D2696" s="75"/>
      <c r="E2696" s="52" t="str">
        <f aca="false">IF(D2696&lt;&gt;"",IFERROR(VLOOKUP(D2696,PROVEEDORES!$A:$B,2,0),"!COD NO ENCONTRADO"),"")</f>
        <v/>
      </c>
      <c r="F2696" s="76" t="str">
        <f aca="false">IF(D2696&lt;&gt;"",IFERROR(VLOOKUP(D2696,PROVEEDORES!$A:$C,3,0),""),"")</f>
        <v/>
      </c>
      <c r="G2696" s="75"/>
      <c r="H2696" s="52" t="str">
        <f aca="false">IF(G2696&lt;&gt;"",IFERROR(VLOOKUP(G2696,PRODUCTOS!$A:$B,2,0),"!COD NO ENCONTRADO"),"")</f>
        <v/>
      </c>
      <c r="I2696" s="77"/>
      <c r="J2696" s="78"/>
      <c r="K2696" s="79"/>
      <c r="L2696" s="80" t="str">
        <f aca="false">IF(AND(J2696&lt;&gt;"",K2696&lt;&gt;""),J2696*K2696,"")</f>
        <v/>
      </c>
      <c r="M2696" s="81" t="str">
        <f aca="false">IF(L2696&lt;&gt;"",L2696*1.1,"")</f>
        <v/>
      </c>
      <c r="N2696" s="53" t="n">
        <f aca="false">IF(F2696="S",L2696*0.02,0)</f>
        <v>0</v>
      </c>
      <c r="O2696" s="82" t="str">
        <f aca="false">IF(L2696&lt;&gt;"",L2696+N2696,"")</f>
        <v/>
      </c>
      <c r="P2696" s="53" t="str">
        <f aca="false">IF(O2696&lt;&gt;"",O2696*0.1,"")</f>
        <v/>
      </c>
      <c r="Q2696" s="83" t="str">
        <f aca="false">IF(O2696&lt;&gt;"",O2696+P2696,"")</f>
        <v/>
      </c>
      <c r="R2696" s="84"/>
    </row>
    <row r="2697" customFormat="false" ht="15" hidden="false" customHeight="true" outlineLevel="0" collapsed="false">
      <c r="A2697" s="103"/>
      <c r="B2697" s="85"/>
      <c r="C2697" s="86"/>
      <c r="D2697" s="87"/>
      <c r="E2697" s="46" t="str">
        <f aca="false">IF(D2697&lt;&gt;"",IFERROR(VLOOKUP(D2697,PROVEEDORES!$A:$B,2,0),"!COD NO ENCONTRADO"),"")</f>
        <v/>
      </c>
      <c r="F2697" s="88" t="str">
        <f aca="false">IF(D2697&lt;&gt;"",IFERROR(VLOOKUP(D2697,PROVEEDORES!$A:$C,3,0),""),"")</f>
        <v/>
      </c>
      <c r="G2697" s="87"/>
      <c r="H2697" s="46" t="str">
        <f aca="false">IF(G2697&lt;&gt;"",IFERROR(VLOOKUP(G2697,PRODUCTOS!$A:$B,2,0),"!COD NO ENCONTRADO"),"")</f>
        <v/>
      </c>
      <c r="I2697" s="89"/>
      <c r="J2697" s="90"/>
      <c r="K2697" s="91"/>
      <c r="L2697" s="80" t="str">
        <f aca="false">IF(AND(J2697&lt;&gt;"",K2697&lt;&gt;""),J2697*K2697,"")</f>
        <v/>
      </c>
      <c r="M2697" s="81" t="str">
        <f aca="false">IF(L2697&lt;&gt;"",L2697*1.1,"")</f>
        <v/>
      </c>
      <c r="N2697" s="47" t="n">
        <f aca="false">IF(F2697="S",L2697*0.02,0)</f>
        <v>0</v>
      </c>
      <c r="O2697" s="82" t="str">
        <f aca="false">IF(L2697&lt;&gt;"",L2697+N2697,"")</f>
        <v/>
      </c>
      <c r="P2697" s="47" t="str">
        <f aca="false">IF(O2697&lt;&gt;"",O2697*0.1,"")</f>
        <v/>
      </c>
      <c r="Q2697" s="83" t="str">
        <f aca="false">IF(O2697&lt;&gt;"",O2697+P2697,"")</f>
        <v/>
      </c>
      <c r="R2697" s="84"/>
    </row>
    <row r="2698" customFormat="false" ht="15" hidden="false" customHeight="true" outlineLevel="0" collapsed="false">
      <c r="A2698" s="103"/>
      <c r="B2698" s="73"/>
      <c r="C2698" s="74"/>
      <c r="D2698" s="75"/>
      <c r="E2698" s="52" t="str">
        <f aca="false">IF(D2698&lt;&gt;"",IFERROR(VLOOKUP(D2698,PROVEEDORES!$A:$B,2,0),"!COD NO ENCONTRADO"),"")</f>
        <v/>
      </c>
      <c r="F2698" s="76" t="str">
        <f aca="false">IF(D2698&lt;&gt;"",IFERROR(VLOOKUP(D2698,PROVEEDORES!$A:$C,3,0),""),"")</f>
        <v/>
      </c>
      <c r="G2698" s="75"/>
      <c r="H2698" s="52" t="str">
        <f aca="false">IF(G2698&lt;&gt;"",IFERROR(VLOOKUP(G2698,PRODUCTOS!$A:$B,2,0),"!COD NO ENCONTRADO"),"")</f>
        <v/>
      </c>
      <c r="I2698" s="77"/>
      <c r="J2698" s="78"/>
      <c r="K2698" s="79"/>
      <c r="L2698" s="80" t="str">
        <f aca="false">IF(AND(J2698&lt;&gt;"",K2698&lt;&gt;""),J2698*K2698,"")</f>
        <v/>
      </c>
      <c r="M2698" s="81" t="str">
        <f aca="false">IF(L2698&lt;&gt;"",L2698*1.1,"")</f>
        <v/>
      </c>
      <c r="N2698" s="53" t="n">
        <f aca="false">IF(F2698="S",L2698*0.02,0)</f>
        <v>0</v>
      </c>
      <c r="O2698" s="82" t="str">
        <f aca="false">IF(L2698&lt;&gt;"",L2698+N2698,"")</f>
        <v/>
      </c>
      <c r="P2698" s="53" t="str">
        <f aca="false">IF(O2698&lt;&gt;"",O2698*0.1,"")</f>
        <v/>
      </c>
      <c r="Q2698" s="83" t="str">
        <f aca="false">IF(O2698&lt;&gt;"",O2698+P2698,"")</f>
        <v/>
      </c>
      <c r="R2698" s="84"/>
    </row>
    <row r="2699" customFormat="false" ht="15" hidden="false" customHeight="true" outlineLevel="0" collapsed="false">
      <c r="A2699" s="103"/>
      <c r="B2699" s="85"/>
      <c r="C2699" s="86"/>
      <c r="D2699" s="87"/>
      <c r="E2699" s="46" t="str">
        <f aca="false">IF(D2699&lt;&gt;"",IFERROR(VLOOKUP(D2699,PROVEEDORES!$A:$B,2,0),"!COD NO ENCONTRADO"),"")</f>
        <v/>
      </c>
      <c r="F2699" s="88" t="str">
        <f aca="false">IF(D2699&lt;&gt;"",IFERROR(VLOOKUP(D2699,PROVEEDORES!$A:$C,3,0),""),"")</f>
        <v/>
      </c>
      <c r="G2699" s="87"/>
      <c r="H2699" s="46" t="str">
        <f aca="false">IF(G2699&lt;&gt;"",IFERROR(VLOOKUP(G2699,PRODUCTOS!$A:$B,2,0),"!COD NO ENCONTRADO"),"")</f>
        <v/>
      </c>
      <c r="I2699" s="89"/>
      <c r="J2699" s="90"/>
      <c r="K2699" s="91"/>
      <c r="L2699" s="80" t="str">
        <f aca="false">IF(AND(J2699&lt;&gt;"",K2699&lt;&gt;""),J2699*K2699,"")</f>
        <v/>
      </c>
      <c r="M2699" s="81" t="str">
        <f aca="false">IF(L2699&lt;&gt;"",L2699*1.1,"")</f>
        <v/>
      </c>
      <c r="N2699" s="47" t="n">
        <f aca="false">IF(F2699="S",L2699*0.02,0)</f>
        <v>0</v>
      </c>
      <c r="O2699" s="82" t="str">
        <f aca="false">IF(L2699&lt;&gt;"",L2699+N2699,"")</f>
        <v/>
      </c>
      <c r="P2699" s="47" t="str">
        <f aca="false">IF(O2699&lt;&gt;"",O2699*0.1,"")</f>
        <v/>
      </c>
      <c r="Q2699" s="83" t="str">
        <f aca="false">IF(O2699&lt;&gt;"",O2699+P2699,"")</f>
        <v/>
      </c>
      <c r="R2699" s="84"/>
    </row>
    <row r="2700" customFormat="false" ht="15" hidden="false" customHeight="true" outlineLevel="0" collapsed="false">
      <c r="A2700" s="103"/>
      <c r="B2700" s="73"/>
      <c r="C2700" s="74"/>
      <c r="D2700" s="75"/>
      <c r="E2700" s="52" t="str">
        <f aca="false">IF(D2700&lt;&gt;"",IFERROR(VLOOKUP(D2700,PROVEEDORES!$A:$B,2,0),"!COD NO ENCONTRADO"),"")</f>
        <v/>
      </c>
      <c r="F2700" s="76" t="str">
        <f aca="false">IF(D2700&lt;&gt;"",IFERROR(VLOOKUP(D2700,PROVEEDORES!$A:$C,3,0),""),"")</f>
        <v/>
      </c>
      <c r="G2700" s="75"/>
      <c r="H2700" s="52" t="str">
        <f aca="false">IF(G2700&lt;&gt;"",IFERROR(VLOOKUP(G2700,PRODUCTOS!$A:$B,2,0),"!COD NO ENCONTRADO"),"")</f>
        <v/>
      </c>
      <c r="I2700" s="77"/>
      <c r="J2700" s="78"/>
      <c r="K2700" s="79"/>
      <c r="L2700" s="80" t="str">
        <f aca="false">IF(AND(J2700&lt;&gt;"",K2700&lt;&gt;""),J2700*K2700,"")</f>
        <v/>
      </c>
      <c r="M2700" s="81" t="str">
        <f aca="false">IF(L2700&lt;&gt;"",L2700*1.1,"")</f>
        <v/>
      </c>
      <c r="N2700" s="53" t="n">
        <f aca="false">IF(F2700="S",L2700*0.02,0)</f>
        <v>0</v>
      </c>
      <c r="O2700" s="82" t="str">
        <f aca="false">IF(L2700&lt;&gt;"",L2700+N2700,"")</f>
        <v/>
      </c>
      <c r="P2700" s="53" t="str">
        <f aca="false">IF(O2700&lt;&gt;"",O2700*0.1,"")</f>
        <v/>
      </c>
      <c r="Q2700" s="83" t="str">
        <f aca="false">IF(O2700&lt;&gt;"",O2700+P2700,"")</f>
        <v/>
      </c>
      <c r="R2700" s="84"/>
    </row>
    <row r="2701" customFormat="false" ht="15" hidden="false" customHeight="true" outlineLevel="0" collapsed="false">
      <c r="A2701" s="103"/>
      <c r="B2701" s="85"/>
      <c r="C2701" s="86"/>
      <c r="D2701" s="87"/>
      <c r="E2701" s="46" t="str">
        <f aca="false">IF(D2701&lt;&gt;"",IFERROR(VLOOKUP(D2701,PROVEEDORES!$A:$B,2,0),"!COD NO ENCONTRADO"),"")</f>
        <v/>
      </c>
      <c r="F2701" s="88" t="str">
        <f aca="false">IF(D2701&lt;&gt;"",IFERROR(VLOOKUP(D2701,PROVEEDORES!$A:$C,3,0),""),"")</f>
        <v/>
      </c>
      <c r="G2701" s="87"/>
      <c r="H2701" s="46" t="str">
        <f aca="false">IF(G2701&lt;&gt;"",IFERROR(VLOOKUP(G2701,PRODUCTOS!$A:$B,2,0),"!COD NO ENCONTRADO"),"")</f>
        <v/>
      </c>
      <c r="I2701" s="89"/>
      <c r="J2701" s="90"/>
      <c r="K2701" s="91"/>
      <c r="L2701" s="80" t="str">
        <f aca="false">IF(AND(J2701&lt;&gt;"",K2701&lt;&gt;""),J2701*K2701,"")</f>
        <v/>
      </c>
      <c r="M2701" s="81" t="str">
        <f aca="false">IF(L2701&lt;&gt;"",L2701*1.1,"")</f>
        <v/>
      </c>
      <c r="N2701" s="47" t="n">
        <f aca="false">IF(F2701="S",L2701*0.02,0)</f>
        <v>0</v>
      </c>
      <c r="O2701" s="82" t="str">
        <f aca="false">IF(L2701&lt;&gt;"",L2701+N2701,"")</f>
        <v/>
      </c>
      <c r="P2701" s="47" t="str">
        <f aca="false">IF(O2701&lt;&gt;"",O2701*0.1,"")</f>
        <v/>
      </c>
      <c r="Q2701" s="83" t="str">
        <f aca="false">IF(O2701&lt;&gt;"",O2701+P2701,"")</f>
        <v/>
      </c>
      <c r="R2701" s="84"/>
    </row>
    <row r="2702" customFormat="false" ht="15" hidden="false" customHeight="true" outlineLevel="0" collapsed="false">
      <c r="A2702" s="103"/>
      <c r="B2702" s="73"/>
      <c r="C2702" s="74"/>
      <c r="D2702" s="75"/>
      <c r="E2702" s="52" t="str">
        <f aca="false">IF(D2702&lt;&gt;"",IFERROR(VLOOKUP(D2702,PROVEEDORES!$A:$B,2,0),"!COD NO ENCONTRADO"),"")</f>
        <v/>
      </c>
      <c r="F2702" s="76" t="str">
        <f aca="false">IF(D2702&lt;&gt;"",IFERROR(VLOOKUP(D2702,PROVEEDORES!$A:$C,3,0),""),"")</f>
        <v/>
      </c>
      <c r="G2702" s="75"/>
      <c r="H2702" s="52" t="str">
        <f aca="false">IF(G2702&lt;&gt;"",IFERROR(VLOOKUP(G2702,PRODUCTOS!$A:$B,2,0),"!COD NO ENCONTRADO"),"")</f>
        <v/>
      </c>
      <c r="I2702" s="77"/>
      <c r="J2702" s="78"/>
      <c r="K2702" s="79"/>
      <c r="L2702" s="80" t="str">
        <f aca="false">IF(AND(J2702&lt;&gt;"",K2702&lt;&gt;""),J2702*K2702,"")</f>
        <v/>
      </c>
      <c r="M2702" s="81" t="str">
        <f aca="false">IF(L2702&lt;&gt;"",L2702*1.1,"")</f>
        <v/>
      </c>
      <c r="N2702" s="53" t="n">
        <f aca="false">IF(F2702="S",L2702*0.02,0)</f>
        <v>0</v>
      </c>
      <c r="O2702" s="82" t="str">
        <f aca="false">IF(L2702&lt;&gt;"",L2702+N2702,"")</f>
        <v/>
      </c>
      <c r="P2702" s="53" t="str">
        <f aca="false">IF(O2702&lt;&gt;"",O2702*0.1,"")</f>
        <v/>
      </c>
      <c r="Q2702" s="83" t="str">
        <f aca="false">IF(O2702&lt;&gt;"",O2702+P2702,"")</f>
        <v/>
      </c>
      <c r="R2702" s="84"/>
    </row>
    <row r="2703" customFormat="false" ht="15" hidden="false" customHeight="true" outlineLevel="0" collapsed="false">
      <c r="A2703" s="103"/>
      <c r="B2703" s="85"/>
      <c r="C2703" s="86"/>
      <c r="D2703" s="87"/>
      <c r="E2703" s="46" t="str">
        <f aca="false">IF(D2703&lt;&gt;"",IFERROR(VLOOKUP(D2703,PROVEEDORES!$A:$B,2,0),"!COD NO ENCONTRADO"),"")</f>
        <v/>
      </c>
      <c r="F2703" s="88" t="str">
        <f aca="false">IF(D2703&lt;&gt;"",IFERROR(VLOOKUP(D2703,PROVEEDORES!$A:$C,3,0),""),"")</f>
        <v/>
      </c>
      <c r="G2703" s="87"/>
      <c r="H2703" s="46" t="str">
        <f aca="false">IF(G2703&lt;&gt;"",IFERROR(VLOOKUP(G2703,PRODUCTOS!$A:$B,2,0),"!COD NO ENCONTRADO"),"")</f>
        <v/>
      </c>
      <c r="I2703" s="89"/>
      <c r="J2703" s="90"/>
      <c r="K2703" s="91"/>
      <c r="L2703" s="80" t="str">
        <f aca="false">IF(AND(J2703&lt;&gt;"",K2703&lt;&gt;""),J2703*K2703,"")</f>
        <v/>
      </c>
      <c r="M2703" s="81" t="str">
        <f aca="false">IF(L2703&lt;&gt;"",L2703*1.1,"")</f>
        <v/>
      </c>
      <c r="N2703" s="47" t="n">
        <f aca="false">IF(F2703="S",L2703*0.02,0)</f>
        <v>0</v>
      </c>
      <c r="O2703" s="82" t="str">
        <f aca="false">IF(L2703&lt;&gt;"",L2703+N2703,"")</f>
        <v/>
      </c>
      <c r="P2703" s="47" t="str">
        <f aca="false">IF(O2703&lt;&gt;"",O2703*0.1,"")</f>
        <v/>
      </c>
      <c r="Q2703" s="83" t="str">
        <f aca="false">IF(O2703&lt;&gt;"",O2703+P2703,"")</f>
        <v/>
      </c>
      <c r="R2703" s="84"/>
    </row>
    <row r="2704" customFormat="false" ht="15" hidden="false" customHeight="true" outlineLevel="0" collapsed="false">
      <c r="A2704" s="103"/>
      <c r="B2704" s="73"/>
      <c r="C2704" s="74"/>
      <c r="D2704" s="75"/>
      <c r="E2704" s="52" t="str">
        <f aca="false">IF(D2704&lt;&gt;"",IFERROR(VLOOKUP(D2704,PROVEEDORES!$A:$B,2,0),"!COD NO ENCONTRADO"),"")</f>
        <v/>
      </c>
      <c r="F2704" s="76" t="str">
        <f aca="false">IF(D2704&lt;&gt;"",IFERROR(VLOOKUP(D2704,PROVEEDORES!$A:$C,3,0),""),"")</f>
        <v/>
      </c>
      <c r="G2704" s="75"/>
      <c r="H2704" s="52" t="str">
        <f aca="false">IF(G2704&lt;&gt;"",IFERROR(VLOOKUP(G2704,PRODUCTOS!$A:$B,2,0),"!COD NO ENCONTRADO"),"")</f>
        <v/>
      </c>
      <c r="I2704" s="77"/>
      <c r="J2704" s="78"/>
      <c r="K2704" s="79"/>
      <c r="L2704" s="80" t="str">
        <f aca="false">IF(AND(J2704&lt;&gt;"",K2704&lt;&gt;""),J2704*K2704,"")</f>
        <v/>
      </c>
      <c r="M2704" s="81" t="str">
        <f aca="false">IF(L2704&lt;&gt;"",L2704*1.1,"")</f>
        <v/>
      </c>
      <c r="N2704" s="53" t="n">
        <f aca="false">IF(F2704="S",L2704*0.02,0)</f>
        <v>0</v>
      </c>
      <c r="O2704" s="82" t="str">
        <f aca="false">IF(L2704&lt;&gt;"",L2704+N2704,"")</f>
        <v/>
      </c>
      <c r="P2704" s="53" t="str">
        <f aca="false">IF(O2704&lt;&gt;"",O2704*0.1,"")</f>
        <v/>
      </c>
      <c r="Q2704" s="83" t="str">
        <f aca="false">IF(O2704&lt;&gt;"",O2704+P2704,"")</f>
        <v/>
      </c>
      <c r="R2704" s="84"/>
    </row>
    <row r="2705" customFormat="false" ht="15" hidden="false" customHeight="true" outlineLevel="0" collapsed="false">
      <c r="A2705" s="103"/>
      <c r="B2705" s="85"/>
      <c r="C2705" s="86"/>
      <c r="D2705" s="87"/>
      <c r="E2705" s="46" t="str">
        <f aca="false">IF(D2705&lt;&gt;"",IFERROR(VLOOKUP(D2705,PROVEEDORES!$A:$B,2,0),"!COD NO ENCONTRADO"),"")</f>
        <v/>
      </c>
      <c r="F2705" s="88" t="str">
        <f aca="false">IF(D2705&lt;&gt;"",IFERROR(VLOOKUP(D2705,PROVEEDORES!$A:$C,3,0),""),"")</f>
        <v/>
      </c>
      <c r="G2705" s="87"/>
      <c r="H2705" s="46" t="str">
        <f aca="false">IF(G2705&lt;&gt;"",IFERROR(VLOOKUP(G2705,PRODUCTOS!$A:$B,2,0),"!COD NO ENCONTRADO"),"")</f>
        <v/>
      </c>
      <c r="I2705" s="89"/>
      <c r="J2705" s="90"/>
      <c r="K2705" s="91"/>
      <c r="L2705" s="80" t="str">
        <f aca="false">IF(AND(J2705&lt;&gt;"",K2705&lt;&gt;""),J2705*K2705,"")</f>
        <v/>
      </c>
      <c r="M2705" s="81" t="str">
        <f aca="false">IF(L2705&lt;&gt;"",L2705*1.1,"")</f>
        <v/>
      </c>
      <c r="N2705" s="47" t="n">
        <f aca="false">IF(F2705="S",L2705*0.02,0)</f>
        <v>0</v>
      </c>
      <c r="O2705" s="82" t="str">
        <f aca="false">IF(L2705&lt;&gt;"",L2705+N2705,"")</f>
        <v/>
      </c>
      <c r="P2705" s="47" t="str">
        <f aca="false">IF(O2705&lt;&gt;"",O2705*0.1,"")</f>
        <v/>
      </c>
      <c r="Q2705" s="83" t="str">
        <f aca="false">IF(O2705&lt;&gt;"",O2705+P2705,"")</f>
        <v/>
      </c>
      <c r="R2705" s="84"/>
    </row>
    <row r="2706" customFormat="false" ht="15" hidden="false" customHeight="true" outlineLevel="0" collapsed="false">
      <c r="A2706" s="103"/>
      <c r="B2706" s="73"/>
      <c r="C2706" s="74"/>
      <c r="D2706" s="75"/>
      <c r="E2706" s="52" t="str">
        <f aca="false">IF(D2706&lt;&gt;"",IFERROR(VLOOKUP(D2706,PROVEEDORES!$A:$B,2,0),"!COD NO ENCONTRADO"),"")</f>
        <v/>
      </c>
      <c r="F2706" s="76" t="str">
        <f aca="false">IF(D2706&lt;&gt;"",IFERROR(VLOOKUP(D2706,PROVEEDORES!$A:$C,3,0),""),"")</f>
        <v/>
      </c>
      <c r="G2706" s="75"/>
      <c r="H2706" s="52" t="str">
        <f aca="false">IF(G2706&lt;&gt;"",IFERROR(VLOOKUP(G2706,PRODUCTOS!$A:$B,2,0),"!COD NO ENCONTRADO"),"")</f>
        <v/>
      </c>
      <c r="I2706" s="77"/>
      <c r="J2706" s="78"/>
      <c r="K2706" s="79"/>
      <c r="L2706" s="80" t="str">
        <f aca="false">IF(AND(J2706&lt;&gt;"",K2706&lt;&gt;""),J2706*K2706,"")</f>
        <v/>
      </c>
      <c r="M2706" s="81" t="str">
        <f aca="false">IF(L2706&lt;&gt;"",L2706*1.1,"")</f>
        <v/>
      </c>
      <c r="N2706" s="53" t="n">
        <f aca="false">IF(F2706="S",L2706*0.02,0)</f>
        <v>0</v>
      </c>
      <c r="O2706" s="82" t="str">
        <f aca="false">IF(L2706&lt;&gt;"",L2706+N2706,"")</f>
        <v/>
      </c>
      <c r="P2706" s="53" t="str">
        <f aca="false">IF(O2706&lt;&gt;"",O2706*0.1,"")</f>
        <v/>
      </c>
      <c r="Q2706" s="83" t="str">
        <f aca="false">IF(O2706&lt;&gt;"",O2706+P2706,"")</f>
        <v/>
      </c>
      <c r="R2706" s="84"/>
    </row>
    <row r="2707" customFormat="false" ht="15" hidden="false" customHeight="true" outlineLevel="0" collapsed="false">
      <c r="A2707" s="103"/>
      <c r="B2707" s="85"/>
      <c r="C2707" s="86"/>
      <c r="D2707" s="87"/>
      <c r="E2707" s="46" t="str">
        <f aca="false">IF(D2707&lt;&gt;"",IFERROR(VLOOKUP(D2707,PROVEEDORES!$A:$B,2,0),"!COD NO ENCONTRADO"),"")</f>
        <v/>
      </c>
      <c r="F2707" s="88" t="str">
        <f aca="false">IF(D2707&lt;&gt;"",IFERROR(VLOOKUP(D2707,PROVEEDORES!$A:$C,3,0),""),"")</f>
        <v/>
      </c>
      <c r="G2707" s="87"/>
      <c r="H2707" s="46" t="str">
        <f aca="false">IF(G2707&lt;&gt;"",IFERROR(VLOOKUP(G2707,PRODUCTOS!$A:$B,2,0),"!COD NO ENCONTRADO"),"")</f>
        <v/>
      </c>
      <c r="I2707" s="89"/>
      <c r="J2707" s="90"/>
      <c r="K2707" s="91"/>
      <c r="L2707" s="80" t="str">
        <f aca="false">IF(AND(J2707&lt;&gt;"",K2707&lt;&gt;""),J2707*K2707,"")</f>
        <v/>
      </c>
      <c r="M2707" s="81" t="str">
        <f aca="false">IF(L2707&lt;&gt;"",L2707*1.1,"")</f>
        <v/>
      </c>
      <c r="N2707" s="47" t="n">
        <f aca="false">IF(F2707="S",L2707*0.02,0)</f>
        <v>0</v>
      </c>
      <c r="O2707" s="82" t="str">
        <f aca="false">IF(L2707&lt;&gt;"",L2707+N2707,"")</f>
        <v/>
      </c>
      <c r="P2707" s="47" t="str">
        <f aca="false">IF(O2707&lt;&gt;"",O2707*0.1,"")</f>
        <v/>
      </c>
      <c r="Q2707" s="83" t="str">
        <f aca="false">IF(O2707&lt;&gt;"",O2707+P2707,"")</f>
        <v/>
      </c>
      <c r="R2707" s="84"/>
    </row>
    <row r="2708" customFormat="false" ht="15" hidden="false" customHeight="true" outlineLevel="0" collapsed="false">
      <c r="A2708" s="103"/>
      <c r="B2708" s="73"/>
      <c r="C2708" s="74"/>
      <c r="D2708" s="75"/>
      <c r="E2708" s="52" t="str">
        <f aca="false">IF(D2708&lt;&gt;"",IFERROR(VLOOKUP(D2708,PROVEEDORES!$A:$B,2,0),"!COD NO ENCONTRADO"),"")</f>
        <v/>
      </c>
      <c r="F2708" s="76" t="str">
        <f aca="false">IF(D2708&lt;&gt;"",IFERROR(VLOOKUP(D2708,PROVEEDORES!$A:$C,3,0),""),"")</f>
        <v/>
      </c>
      <c r="G2708" s="75"/>
      <c r="H2708" s="52" t="str">
        <f aca="false">IF(G2708&lt;&gt;"",IFERROR(VLOOKUP(G2708,PRODUCTOS!$A:$B,2,0),"!COD NO ENCONTRADO"),"")</f>
        <v/>
      </c>
      <c r="I2708" s="77"/>
      <c r="J2708" s="78"/>
      <c r="K2708" s="79"/>
      <c r="L2708" s="80" t="str">
        <f aca="false">IF(AND(J2708&lt;&gt;"",K2708&lt;&gt;""),J2708*K2708,"")</f>
        <v/>
      </c>
      <c r="M2708" s="81" t="str">
        <f aca="false">IF(L2708&lt;&gt;"",L2708*1.1,"")</f>
        <v/>
      </c>
      <c r="N2708" s="53" t="n">
        <f aca="false">IF(F2708="S",L2708*0.02,0)</f>
        <v>0</v>
      </c>
      <c r="O2708" s="82" t="str">
        <f aca="false">IF(L2708&lt;&gt;"",L2708+N2708,"")</f>
        <v/>
      </c>
      <c r="P2708" s="53" t="str">
        <f aca="false">IF(O2708&lt;&gt;"",O2708*0.1,"")</f>
        <v/>
      </c>
      <c r="Q2708" s="83" t="str">
        <f aca="false">IF(O2708&lt;&gt;"",O2708+P2708,"")</f>
        <v/>
      </c>
      <c r="R2708" s="84"/>
    </row>
    <row r="2709" customFormat="false" ht="15" hidden="false" customHeight="true" outlineLevel="0" collapsed="false">
      <c r="A2709" s="103"/>
      <c r="B2709" s="85"/>
      <c r="C2709" s="86"/>
      <c r="D2709" s="87"/>
      <c r="E2709" s="46" t="str">
        <f aca="false">IF(D2709&lt;&gt;"",IFERROR(VLOOKUP(D2709,PROVEEDORES!$A:$B,2,0),"!COD NO ENCONTRADO"),"")</f>
        <v/>
      </c>
      <c r="F2709" s="88" t="str">
        <f aca="false">IF(D2709&lt;&gt;"",IFERROR(VLOOKUP(D2709,PROVEEDORES!$A:$C,3,0),""),"")</f>
        <v/>
      </c>
      <c r="G2709" s="87"/>
      <c r="H2709" s="46" t="str">
        <f aca="false">IF(G2709&lt;&gt;"",IFERROR(VLOOKUP(G2709,PRODUCTOS!$A:$B,2,0),"!COD NO ENCONTRADO"),"")</f>
        <v/>
      </c>
      <c r="I2709" s="89"/>
      <c r="J2709" s="90"/>
      <c r="K2709" s="91"/>
      <c r="L2709" s="80" t="str">
        <f aca="false">IF(AND(J2709&lt;&gt;"",K2709&lt;&gt;""),J2709*K2709,"")</f>
        <v/>
      </c>
      <c r="M2709" s="81" t="str">
        <f aca="false">IF(L2709&lt;&gt;"",L2709*1.1,"")</f>
        <v/>
      </c>
      <c r="N2709" s="47" t="n">
        <f aca="false">IF(F2709="S",L2709*0.02,0)</f>
        <v>0</v>
      </c>
      <c r="O2709" s="82" t="str">
        <f aca="false">IF(L2709&lt;&gt;"",L2709+N2709,"")</f>
        <v/>
      </c>
      <c r="P2709" s="47" t="str">
        <f aca="false">IF(O2709&lt;&gt;"",O2709*0.1,"")</f>
        <v/>
      </c>
      <c r="Q2709" s="83" t="str">
        <f aca="false">IF(O2709&lt;&gt;"",O2709+P2709,"")</f>
        <v/>
      </c>
      <c r="R2709" s="84"/>
    </row>
    <row r="2710" customFormat="false" ht="15" hidden="false" customHeight="true" outlineLevel="0" collapsed="false">
      <c r="A2710" s="103"/>
      <c r="B2710" s="73"/>
      <c r="C2710" s="74"/>
      <c r="D2710" s="75"/>
      <c r="E2710" s="52" t="str">
        <f aca="false">IF(D2710&lt;&gt;"",IFERROR(VLOOKUP(D2710,PROVEEDORES!$A:$B,2,0),"!COD NO ENCONTRADO"),"")</f>
        <v/>
      </c>
      <c r="F2710" s="76" t="str">
        <f aca="false">IF(D2710&lt;&gt;"",IFERROR(VLOOKUP(D2710,PROVEEDORES!$A:$C,3,0),""),"")</f>
        <v/>
      </c>
      <c r="G2710" s="75"/>
      <c r="H2710" s="52" t="str">
        <f aca="false">IF(G2710&lt;&gt;"",IFERROR(VLOOKUP(G2710,PRODUCTOS!$A:$B,2,0),"!COD NO ENCONTRADO"),"")</f>
        <v/>
      </c>
      <c r="I2710" s="77"/>
      <c r="J2710" s="78"/>
      <c r="K2710" s="79"/>
      <c r="L2710" s="80" t="str">
        <f aca="false">IF(AND(J2710&lt;&gt;"",K2710&lt;&gt;""),J2710*K2710,"")</f>
        <v/>
      </c>
      <c r="M2710" s="81" t="str">
        <f aca="false">IF(L2710&lt;&gt;"",L2710*1.1,"")</f>
        <v/>
      </c>
      <c r="N2710" s="53" t="n">
        <f aca="false">IF(F2710="S",L2710*0.02,0)</f>
        <v>0</v>
      </c>
      <c r="O2710" s="82" t="str">
        <f aca="false">IF(L2710&lt;&gt;"",L2710+N2710,"")</f>
        <v/>
      </c>
      <c r="P2710" s="53" t="str">
        <f aca="false">IF(O2710&lt;&gt;"",O2710*0.1,"")</f>
        <v/>
      </c>
      <c r="Q2710" s="83" t="str">
        <f aca="false">IF(O2710&lt;&gt;"",O2710+P2710,"")</f>
        <v/>
      </c>
      <c r="R2710" s="84"/>
    </row>
    <row r="2711" customFormat="false" ht="15" hidden="false" customHeight="true" outlineLevel="0" collapsed="false">
      <c r="A2711" s="103"/>
      <c r="B2711" s="85"/>
      <c r="C2711" s="86"/>
      <c r="D2711" s="87"/>
      <c r="E2711" s="46" t="str">
        <f aca="false">IF(D2711&lt;&gt;"",IFERROR(VLOOKUP(D2711,PROVEEDORES!$A:$B,2,0),"!COD NO ENCONTRADO"),"")</f>
        <v/>
      </c>
      <c r="F2711" s="88" t="str">
        <f aca="false">IF(D2711&lt;&gt;"",IFERROR(VLOOKUP(D2711,PROVEEDORES!$A:$C,3,0),""),"")</f>
        <v/>
      </c>
      <c r="G2711" s="87"/>
      <c r="H2711" s="46" t="str">
        <f aca="false">IF(G2711&lt;&gt;"",IFERROR(VLOOKUP(G2711,PRODUCTOS!$A:$B,2,0),"!COD NO ENCONTRADO"),"")</f>
        <v/>
      </c>
      <c r="I2711" s="89"/>
      <c r="J2711" s="90"/>
      <c r="K2711" s="91"/>
      <c r="L2711" s="80" t="str">
        <f aca="false">IF(AND(J2711&lt;&gt;"",K2711&lt;&gt;""),J2711*K2711,"")</f>
        <v/>
      </c>
      <c r="M2711" s="81" t="str">
        <f aca="false">IF(L2711&lt;&gt;"",L2711*1.1,"")</f>
        <v/>
      </c>
      <c r="N2711" s="47" t="n">
        <f aca="false">IF(F2711="S",L2711*0.02,0)</f>
        <v>0</v>
      </c>
      <c r="O2711" s="82" t="str">
        <f aca="false">IF(L2711&lt;&gt;"",L2711+N2711,"")</f>
        <v/>
      </c>
      <c r="P2711" s="47" t="str">
        <f aca="false">IF(O2711&lt;&gt;"",O2711*0.1,"")</f>
        <v/>
      </c>
      <c r="Q2711" s="83" t="str">
        <f aca="false">IF(O2711&lt;&gt;"",O2711+P2711,"")</f>
        <v/>
      </c>
      <c r="R2711" s="84"/>
    </row>
    <row r="2712" customFormat="false" ht="15" hidden="false" customHeight="true" outlineLevel="0" collapsed="false">
      <c r="A2712" s="103"/>
      <c r="B2712" s="73"/>
      <c r="C2712" s="74"/>
      <c r="D2712" s="75"/>
      <c r="E2712" s="52" t="str">
        <f aca="false">IF(D2712&lt;&gt;"",IFERROR(VLOOKUP(D2712,PROVEEDORES!$A:$B,2,0),"!COD NO ENCONTRADO"),"")</f>
        <v/>
      </c>
      <c r="F2712" s="76" t="str">
        <f aca="false">IF(D2712&lt;&gt;"",IFERROR(VLOOKUP(D2712,PROVEEDORES!$A:$C,3,0),""),"")</f>
        <v/>
      </c>
      <c r="G2712" s="75"/>
      <c r="H2712" s="52" t="str">
        <f aca="false">IF(G2712&lt;&gt;"",IFERROR(VLOOKUP(G2712,PRODUCTOS!$A:$B,2,0),"!COD NO ENCONTRADO"),"")</f>
        <v/>
      </c>
      <c r="I2712" s="77"/>
      <c r="J2712" s="78"/>
      <c r="K2712" s="79"/>
      <c r="L2712" s="80" t="str">
        <f aca="false">IF(AND(J2712&lt;&gt;"",K2712&lt;&gt;""),J2712*K2712,"")</f>
        <v/>
      </c>
      <c r="M2712" s="81" t="str">
        <f aca="false">IF(L2712&lt;&gt;"",L2712*1.1,"")</f>
        <v/>
      </c>
      <c r="N2712" s="53" t="n">
        <f aca="false">IF(F2712="S",L2712*0.02,0)</f>
        <v>0</v>
      </c>
      <c r="O2712" s="82" t="str">
        <f aca="false">IF(L2712&lt;&gt;"",L2712+N2712,"")</f>
        <v/>
      </c>
      <c r="P2712" s="53" t="str">
        <f aca="false">IF(O2712&lt;&gt;"",O2712*0.1,"")</f>
        <v/>
      </c>
      <c r="Q2712" s="83" t="str">
        <f aca="false">IF(O2712&lt;&gt;"",O2712+P2712,"")</f>
        <v/>
      </c>
      <c r="R2712" s="84"/>
    </row>
    <row r="2713" customFormat="false" ht="15" hidden="false" customHeight="true" outlineLevel="0" collapsed="false">
      <c r="A2713" s="103"/>
      <c r="B2713" s="85"/>
      <c r="C2713" s="86"/>
      <c r="D2713" s="87"/>
      <c r="E2713" s="46" t="str">
        <f aca="false">IF(D2713&lt;&gt;"",IFERROR(VLOOKUP(D2713,PROVEEDORES!$A:$B,2,0),"!COD NO ENCONTRADO"),"")</f>
        <v/>
      </c>
      <c r="F2713" s="88" t="str">
        <f aca="false">IF(D2713&lt;&gt;"",IFERROR(VLOOKUP(D2713,PROVEEDORES!$A:$C,3,0),""),"")</f>
        <v/>
      </c>
      <c r="G2713" s="87"/>
      <c r="H2713" s="46" t="str">
        <f aca="false">IF(G2713&lt;&gt;"",IFERROR(VLOOKUP(G2713,PRODUCTOS!$A:$B,2,0),"!COD NO ENCONTRADO"),"")</f>
        <v/>
      </c>
      <c r="I2713" s="89"/>
      <c r="J2713" s="90"/>
      <c r="K2713" s="91"/>
      <c r="L2713" s="80" t="str">
        <f aca="false">IF(AND(J2713&lt;&gt;"",K2713&lt;&gt;""),J2713*K2713,"")</f>
        <v/>
      </c>
      <c r="M2713" s="81" t="str">
        <f aca="false">IF(L2713&lt;&gt;"",L2713*1.1,"")</f>
        <v/>
      </c>
      <c r="N2713" s="47" t="n">
        <f aca="false">IF(F2713="S",L2713*0.02,0)</f>
        <v>0</v>
      </c>
      <c r="O2713" s="82" t="str">
        <f aca="false">IF(L2713&lt;&gt;"",L2713+N2713,"")</f>
        <v/>
      </c>
      <c r="P2713" s="47" t="str">
        <f aca="false">IF(O2713&lt;&gt;"",O2713*0.1,"")</f>
        <v/>
      </c>
      <c r="Q2713" s="83" t="str">
        <f aca="false">IF(O2713&lt;&gt;"",O2713+P2713,"")</f>
        <v/>
      </c>
      <c r="R2713" s="84"/>
    </row>
    <row r="2714" customFormat="false" ht="15" hidden="false" customHeight="true" outlineLevel="0" collapsed="false">
      <c r="A2714" s="103"/>
      <c r="B2714" s="73"/>
      <c r="C2714" s="74"/>
      <c r="D2714" s="75"/>
      <c r="E2714" s="52" t="str">
        <f aca="false">IF(D2714&lt;&gt;"",IFERROR(VLOOKUP(D2714,PROVEEDORES!$A:$B,2,0),"!COD NO ENCONTRADO"),"")</f>
        <v/>
      </c>
      <c r="F2714" s="76" t="str">
        <f aca="false">IF(D2714&lt;&gt;"",IFERROR(VLOOKUP(D2714,PROVEEDORES!$A:$C,3,0),""),"")</f>
        <v/>
      </c>
      <c r="G2714" s="75"/>
      <c r="H2714" s="52" t="str">
        <f aca="false">IF(G2714&lt;&gt;"",IFERROR(VLOOKUP(G2714,PRODUCTOS!$A:$B,2,0),"!COD NO ENCONTRADO"),"")</f>
        <v/>
      </c>
      <c r="I2714" s="77"/>
      <c r="J2714" s="78"/>
      <c r="K2714" s="79"/>
      <c r="L2714" s="80" t="str">
        <f aca="false">IF(AND(J2714&lt;&gt;"",K2714&lt;&gt;""),J2714*K2714,"")</f>
        <v/>
      </c>
      <c r="M2714" s="81" t="str">
        <f aca="false">IF(L2714&lt;&gt;"",L2714*1.1,"")</f>
        <v/>
      </c>
      <c r="N2714" s="53" t="n">
        <f aca="false">IF(F2714="S",L2714*0.02,0)</f>
        <v>0</v>
      </c>
      <c r="O2714" s="82" t="str">
        <f aca="false">IF(L2714&lt;&gt;"",L2714+N2714,"")</f>
        <v/>
      </c>
      <c r="P2714" s="53" t="str">
        <f aca="false">IF(O2714&lt;&gt;"",O2714*0.1,"")</f>
        <v/>
      </c>
      <c r="Q2714" s="83" t="str">
        <f aca="false">IF(O2714&lt;&gt;"",O2714+P2714,"")</f>
        <v/>
      </c>
      <c r="R2714" s="84"/>
    </row>
    <row r="2715" customFormat="false" ht="15" hidden="false" customHeight="true" outlineLevel="0" collapsed="false">
      <c r="A2715" s="103"/>
      <c r="B2715" s="85"/>
      <c r="C2715" s="86"/>
      <c r="D2715" s="87"/>
      <c r="E2715" s="46" t="str">
        <f aca="false">IF(D2715&lt;&gt;"",IFERROR(VLOOKUP(D2715,PROVEEDORES!$A:$B,2,0),"!COD NO ENCONTRADO"),"")</f>
        <v/>
      </c>
      <c r="F2715" s="88" t="str">
        <f aca="false">IF(D2715&lt;&gt;"",IFERROR(VLOOKUP(D2715,PROVEEDORES!$A:$C,3,0),""),"")</f>
        <v/>
      </c>
      <c r="G2715" s="87"/>
      <c r="H2715" s="46" t="str">
        <f aca="false">IF(G2715&lt;&gt;"",IFERROR(VLOOKUP(G2715,PRODUCTOS!$A:$B,2,0),"!COD NO ENCONTRADO"),"")</f>
        <v/>
      </c>
      <c r="I2715" s="89"/>
      <c r="J2715" s="90"/>
      <c r="K2715" s="91"/>
      <c r="L2715" s="80" t="str">
        <f aca="false">IF(AND(J2715&lt;&gt;"",K2715&lt;&gt;""),J2715*K2715,"")</f>
        <v/>
      </c>
      <c r="M2715" s="81" t="str">
        <f aca="false">IF(L2715&lt;&gt;"",L2715*1.1,"")</f>
        <v/>
      </c>
      <c r="N2715" s="47" t="n">
        <f aca="false">IF(F2715="S",L2715*0.02,0)</f>
        <v>0</v>
      </c>
      <c r="O2715" s="82" t="str">
        <f aca="false">IF(L2715&lt;&gt;"",L2715+N2715,"")</f>
        <v/>
      </c>
      <c r="P2715" s="47" t="str">
        <f aca="false">IF(O2715&lt;&gt;"",O2715*0.1,"")</f>
        <v/>
      </c>
      <c r="Q2715" s="83" t="str">
        <f aca="false">IF(O2715&lt;&gt;"",O2715+P2715,"")</f>
        <v/>
      </c>
      <c r="R2715" s="84"/>
    </row>
    <row r="2716" customFormat="false" ht="15" hidden="false" customHeight="true" outlineLevel="0" collapsed="false">
      <c r="A2716" s="103"/>
      <c r="B2716" s="73"/>
      <c r="C2716" s="74"/>
      <c r="D2716" s="75"/>
      <c r="E2716" s="52" t="str">
        <f aca="false">IF(D2716&lt;&gt;"",IFERROR(VLOOKUP(D2716,PROVEEDORES!$A:$B,2,0),"!COD NO ENCONTRADO"),"")</f>
        <v/>
      </c>
      <c r="F2716" s="76" t="str">
        <f aca="false">IF(D2716&lt;&gt;"",IFERROR(VLOOKUP(D2716,PROVEEDORES!$A:$C,3,0),""),"")</f>
        <v/>
      </c>
      <c r="G2716" s="75"/>
      <c r="H2716" s="52" t="str">
        <f aca="false">IF(G2716&lt;&gt;"",IFERROR(VLOOKUP(G2716,PRODUCTOS!$A:$B,2,0),"!COD NO ENCONTRADO"),"")</f>
        <v/>
      </c>
      <c r="I2716" s="77"/>
      <c r="J2716" s="78"/>
      <c r="K2716" s="79"/>
      <c r="L2716" s="80" t="str">
        <f aca="false">IF(AND(J2716&lt;&gt;"",K2716&lt;&gt;""),J2716*K2716,"")</f>
        <v/>
      </c>
      <c r="M2716" s="81" t="str">
        <f aca="false">IF(L2716&lt;&gt;"",L2716*1.1,"")</f>
        <v/>
      </c>
      <c r="N2716" s="53" t="n">
        <f aca="false">IF(F2716="S",L2716*0.02,0)</f>
        <v>0</v>
      </c>
      <c r="O2716" s="82" t="str">
        <f aca="false">IF(L2716&lt;&gt;"",L2716+N2716,"")</f>
        <v/>
      </c>
      <c r="P2716" s="53" t="str">
        <f aca="false">IF(O2716&lt;&gt;"",O2716*0.1,"")</f>
        <v/>
      </c>
      <c r="Q2716" s="83" t="str">
        <f aca="false">IF(O2716&lt;&gt;"",O2716+P2716,"")</f>
        <v/>
      </c>
      <c r="R2716" s="84"/>
    </row>
    <row r="2717" customFormat="false" ht="15" hidden="false" customHeight="true" outlineLevel="0" collapsed="false">
      <c r="A2717" s="103"/>
      <c r="B2717" s="85"/>
      <c r="C2717" s="86"/>
      <c r="D2717" s="87"/>
      <c r="E2717" s="46" t="str">
        <f aca="false">IF(D2717&lt;&gt;"",IFERROR(VLOOKUP(D2717,PROVEEDORES!$A:$B,2,0),"!COD NO ENCONTRADO"),"")</f>
        <v/>
      </c>
      <c r="F2717" s="88" t="str">
        <f aca="false">IF(D2717&lt;&gt;"",IFERROR(VLOOKUP(D2717,PROVEEDORES!$A:$C,3,0),""),"")</f>
        <v/>
      </c>
      <c r="G2717" s="87"/>
      <c r="H2717" s="46" t="str">
        <f aca="false">IF(G2717&lt;&gt;"",IFERROR(VLOOKUP(G2717,PRODUCTOS!$A:$B,2,0),"!COD NO ENCONTRADO"),"")</f>
        <v/>
      </c>
      <c r="I2717" s="89"/>
      <c r="J2717" s="90"/>
      <c r="K2717" s="91"/>
      <c r="L2717" s="80" t="str">
        <f aca="false">IF(AND(J2717&lt;&gt;"",K2717&lt;&gt;""),J2717*K2717,"")</f>
        <v/>
      </c>
      <c r="M2717" s="81" t="str">
        <f aca="false">IF(L2717&lt;&gt;"",L2717*1.1,"")</f>
        <v/>
      </c>
      <c r="N2717" s="47" t="n">
        <f aca="false">IF(F2717="S",L2717*0.02,0)</f>
        <v>0</v>
      </c>
      <c r="O2717" s="82" t="str">
        <f aca="false">IF(L2717&lt;&gt;"",L2717+N2717,"")</f>
        <v/>
      </c>
      <c r="P2717" s="47" t="str">
        <f aca="false">IF(O2717&lt;&gt;"",O2717*0.1,"")</f>
        <v/>
      </c>
      <c r="Q2717" s="83" t="str">
        <f aca="false">IF(O2717&lt;&gt;"",O2717+P2717,"")</f>
        <v/>
      </c>
      <c r="R2717" s="84"/>
    </row>
    <row r="2718" customFormat="false" ht="15" hidden="false" customHeight="true" outlineLevel="0" collapsed="false">
      <c r="A2718" s="103"/>
      <c r="B2718" s="73"/>
      <c r="C2718" s="74"/>
      <c r="D2718" s="75"/>
      <c r="E2718" s="52" t="str">
        <f aca="false">IF(D2718&lt;&gt;"",IFERROR(VLOOKUP(D2718,PROVEEDORES!$A:$B,2,0),"!COD NO ENCONTRADO"),"")</f>
        <v/>
      </c>
      <c r="F2718" s="76" t="str">
        <f aca="false">IF(D2718&lt;&gt;"",IFERROR(VLOOKUP(D2718,PROVEEDORES!$A:$C,3,0),""),"")</f>
        <v/>
      </c>
      <c r="G2718" s="75"/>
      <c r="H2718" s="52" t="str">
        <f aca="false">IF(G2718&lt;&gt;"",IFERROR(VLOOKUP(G2718,PRODUCTOS!$A:$B,2,0),"!COD NO ENCONTRADO"),"")</f>
        <v/>
      </c>
      <c r="I2718" s="77"/>
      <c r="J2718" s="78"/>
      <c r="K2718" s="79"/>
      <c r="L2718" s="80" t="str">
        <f aca="false">IF(AND(J2718&lt;&gt;"",K2718&lt;&gt;""),J2718*K2718,"")</f>
        <v/>
      </c>
      <c r="M2718" s="81" t="str">
        <f aca="false">IF(L2718&lt;&gt;"",L2718*1.1,"")</f>
        <v/>
      </c>
      <c r="N2718" s="53" t="n">
        <f aca="false">IF(F2718="S",L2718*0.02,0)</f>
        <v>0</v>
      </c>
      <c r="O2718" s="82" t="str">
        <f aca="false">IF(L2718&lt;&gt;"",L2718+N2718,"")</f>
        <v/>
      </c>
      <c r="P2718" s="53" t="str">
        <f aca="false">IF(O2718&lt;&gt;"",O2718*0.1,"")</f>
        <v/>
      </c>
      <c r="Q2718" s="83" t="str">
        <f aca="false">IF(O2718&lt;&gt;"",O2718+P2718,"")</f>
        <v/>
      </c>
      <c r="R2718" s="84"/>
    </row>
    <row r="2719" customFormat="false" ht="15" hidden="false" customHeight="true" outlineLevel="0" collapsed="false">
      <c r="A2719" s="103"/>
      <c r="B2719" s="85"/>
      <c r="C2719" s="86"/>
      <c r="D2719" s="87"/>
      <c r="E2719" s="46" t="str">
        <f aca="false">IF(D2719&lt;&gt;"",IFERROR(VLOOKUP(D2719,PROVEEDORES!$A:$B,2,0),"!COD NO ENCONTRADO"),"")</f>
        <v/>
      </c>
      <c r="F2719" s="88" t="str">
        <f aca="false">IF(D2719&lt;&gt;"",IFERROR(VLOOKUP(D2719,PROVEEDORES!$A:$C,3,0),""),"")</f>
        <v/>
      </c>
      <c r="G2719" s="87"/>
      <c r="H2719" s="46" t="str">
        <f aca="false">IF(G2719&lt;&gt;"",IFERROR(VLOOKUP(G2719,PRODUCTOS!$A:$B,2,0),"!COD NO ENCONTRADO"),"")</f>
        <v/>
      </c>
      <c r="I2719" s="89"/>
      <c r="J2719" s="90"/>
      <c r="K2719" s="91"/>
      <c r="L2719" s="80" t="str">
        <f aca="false">IF(AND(J2719&lt;&gt;"",K2719&lt;&gt;""),J2719*K2719,"")</f>
        <v/>
      </c>
      <c r="M2719" s="81" t="str">
        <f aca="false">IF(L2719&lt;&gt;"",L2719*1.1,"")</f>
        <v/>
      </c>
      <c r="N2719" s="47" t="n">
        <f aca="false">IF(F2719="S",L2719*0.02,0)</f>
        <v>0</v>
      </c>
      <c r="O2719" s="82" t="str">
        <f aca="false">IF(L2719&lt;&gt;"",L2719+N2719,"")</f>
        <v/>
      </c>
      <c r="P2719" s="47" t="str">
        <f aca="false">IF(O2719&lt;&gt;"",O2719*0.1,"")</f>
        <v/>
      </c>
      <c r="Q2719" s="83" t="str">
        <f aca="false">IF(O2719&lt;&gt;"",O2719+P2719,"")</f>
        <v/>
      </c>
      <c r="R2719" s="84"/>
    </row>
    <row r="2720" customFormat="false" ht="15" hidden="false" customHeight="true" outlineLevel="0" collapsed="false">
      <c r="A2720" s="103"/>
      <c r="B2720" s="73"/>
      <c r="C2720" s="74"/>
      <c r="D2720" s="75"/>
      <c r="E2720" s="52" t="str">
        <f aca="false">IF(D2720&lt;&gt;"",IFERROR(VLOOKUP(D2720,PROVEEDORES!$A:$B,2,0),"!COD NO ENCONTRADO"),"")</f>
        <v/>
      </c>
      <c r="F2720" s="76" t="str">
        <f aca="false">IF(D2720&lt;&gt;"",IFERROR(VLOOKUP(D2720,PROVEEDORES!$A:$C,3,0),""),"")</f>
        <v/>
      </c>
      <c r="G2720" s="75"/>
      <c r="H2720" s="52" t="str">
        <f aca="false">IF(G2720&lt;&gt;"",IFERROR(VLOOKUP(G2720,PRODUCTOS!$A:$B,2,0),"!COD NO ENCONTRADO"),"")</f>
        <v/>
      </c>
      <c r="I2720" s="77"/>
      <c r="J2720" s="78"/>
      <c r="K2720" s="79"/>
      <c r="L2720" s="80" t="str">
        <f aca="false">IF(AND(J2720&lt;&gt;"",K2720&lt;&gt;""),J2720*K2720,"")</f>
        <v/>
      </c>
      <c r="M2720" s="81" t="str">
        <f aca="false">IF(L2720&lt;&gt;"",L2720*1.1,"")</f>
        <v/>
      </c>
      <c r="N2720" s="53" t="n">
        <f aca="false">IF(F2720="S",L2720*0.02,0)</f>
        <v>0</v>
      </c>
      <c r="O2720" s="82" t="str">
        <f aca="false">IF(L2720&lt;&gt;"",L2720+N2720,"")</f>
        <v/>
      </c>
      <c r="P2720" s="53" t="str">
        <f aca="false">IF(O2720&lt;&gt;"",O2720*0.1,"")</f>
        <v/>
      </c>
      <c r="Q2720" s="83" t="str">
        <f aca="false">IF(O2720&lt;&gt;"",O2720+P2720,"")</f>
        <v/>
      </c>
      <c r="R2720" s="84"/>
    </row>
    <row r="2721" customFormat="false" ht="15" hidden="false" customHeight="true" outlineLevel="0" collapsed="false">
      <c r="A2721" s="103"/>
      <c r="B2721" s="85"/>
      <c r="C2721" s="86"/>
      <c r="D2721" s="87"/>
      <c r="E2721" s="46" t="str">
        <f aca="false">IF(D2721&lt;&gt;"",IFERROR(VLOOKUP(D2721,PROVEEDORES!$A:$B,2,0),"!COD NO ENCONTRADO"),"")</f>
        <v/>
      </c>
      <c r="F2721" s="88" t="str">
        <f aca="false">IF(D2721&lt;&gt;"",IFERROR(VLOOKUP(D2721,PROVEEDORES!$A:$C,3,0),""),"")</f>
        <v/>
      </c>
      <c r="G2721" s="87"/>
      <c r="H2721" s="46" t="str">
        <f aca="false">IF(G2721&lt;&gt;"",IFERROR(VLOOKUP(G2721,PRODUCTOS!$A:$B,2,0),"!COD NO ENCONTRADO"),"")</f>
        <v/>
      </c>
      <c r="I2721" s="89"/>
      <c r="J2721" s="90"/>
      <c r="K2721" s="91"/>
      <c r="L2721" s="80" t="str">
        <f aca="false">IF(AND(J2721&lt;&gt;"",K2721&lt;&gt;""),J2721*K2721,"")</f>
        <v/>
      </c>
      <c r="M2721" s="81" t="str">
        <f aca="false">IF(L2721&lt;&gt;"",L2721*1.1,"")</f>
        <v/>
      </c>
      <c r="N2721" s="47" t="n">
        <f aca="false">IF(F2721="S",L2721*0.02,0)</f>
        <v>0</v>
      </c>
      <c r="O2721" s="82" t="str">
        <f aca="false">IF(L2721&lt;&gt;"",L2721+N2721,"")</f>
        <v/>
      </c>
      <c r="P2721" s="47" t="str">
        <f aca="false">IF(O2721&lt;&gt;"",O2721*0.1,"")</f>
        <v/>
      </c>
      <c r="Q2721" s="83" t="str">
        <f aca="false">IF(O2721&lt;&gt;"",O2721+P2721,"")</f>
        <v/>
      </c>
      <c r="R2721" s="84"/>
    </row>
    <row r="2722" customFormat="false" ht="15" hidden="false" customHeight="true" outlineLevel="0" collapsed="false">
      <c r="A2722" s="103"/>
      <c r="B2722" s="73"/>
      <c r="C2722" s="74"/>
      <c r="D2722" s="75"/>
      <c r="E2722" s="52" t="str">
        <f aca="false">IF(D2722&lt;&gt;"",IFERROR(VLOOKUP(D2722,PROVEEDORES!$A:$B,2,0),"!COD NO ENCONTRADO"),"")</f>
        <v/>
      </c>
      <c r="F2722" s="76" t="str">
        <f aca="false">IF(D2722&lt;&gt;"",IFERROR(VLOOKUP(D2722,PROVEEDORES!$A:$C,3,0),""),"")</f>
        <v/>
      </c>
      <c r="G2722" s="75"/>
      <c r="H2722" s="52" t="str">
        <f aca="false">IF(G2722&lt;&gt;"",IFERROR(VLOOKUP(G2722,PRODUCTOS!$A:$B,2,0),"!COD NO ENCONTRADO"),"")</f>
        <v/>
      </c>
      <c r="I2722" s="77"/>
      <c r="J2722" s="78"/>
      <c r="K2722" s="79"/>
      <c r="L2722" s="80" t="str">
        <f aca="false">IF(AND(J2722&lt;&gt;"",K2722&lt;&gt;""),J2722*K2722,"")</f>
        <v/>
      </c>
      <c r="M2722" s="81" t="str">
        <f aca="false">IF(L2722&lt;&gt;"",L2722*1.1,"")</f>
        <v/>
      </c>
      <c r="N2722" s="53" t="n">
        <f aca="false">IF(F2722="S",L2722*0.02,0)</f>
        <v>0</v>
      </c>
      <c r="O2722" s="82" t="str">
        <f aca="false">IF(L2722&lt;&gt;"",L2722+N2722,"")</f>
        <v/>
      </c>
      <c r="P2722" s="53" t="str">
        <f aca="false">IF(O2722&lt;&gt;"",O2722*0.1,"")</f>
        <v/>
      </c>
      <c r="Q2722" s="83" t="str">
        <f aca="false">IF(O2722&lt;&gt;"",O2722+P2722,"")</f>
        <v/>
      </c>
      <c r="R2722" s="84"/>
    </row>
    <row r="2723" customFormat="false" ht="15" hidden="false" customHeight="true" outlineLevel="0" collapsed="false">
      <c r="A2723" s="103"/>
      <c r="B2723" s="85"/>
      <c r="C2723" s="86"/>
      <c r="D2723" s="87"/>
      <c r="E2723" s="46" t="str">
        <f aca="false">IF(D2723&lt;&gt;"",IFERROR(VLOOKUP(D2723,PROVEEDORES!$A:$B,2,0),"!COD NO ENCONTRADO"),"")</f>
        <v/>
      </c>
      <c r="F2723" s="88" t="str">
        <f aca="false">IF(D2723&lt;&gt;"",IFERROR(VLOOKUP(D2723,PROVEEDORES!$A:$C,3,0),""),"")</f>
        <v/>
      </c>
      <c r="G2723" s="87"/>
      <c r="H2723" s="46" t="str">
        <f aca="false">IF(G2723&lt;&gt;"",IFERROR(VLOOKUP(G2723,PRODUCTOS!$A:$B,2,0),"!COD NO ENCONTRADO"),"")</f>
        <v/>
      </c>
      <c r="I2723" s="89"/>
      <c r="J2723" s="90"/>
      <c r="K2723" s="91"/>
      <c r="L2723" s="80" t="str">
        <f aca="false">IF(AND(J2723&lt;&gt;"",K2723&lt;&gt;""),J2723*K2723,"")</f>
        <v/>
      </c>
      <c r="M2723" s="81" t="str">
        <f aca="false">IF(L2723&lt;&gt;"",L2723*1.1,"")</f>
        <v/>
      </c>
      <c r="N2723" s="47" t="n">
        <f aca="false">IF(F2723="S",L2723*0.02,0)</f>
        <v>0</v>
      </c>
      <c r="O2723" s="82" t="str">
        <f aca="false">IF(L2723&lt;&gt;"",L2723+N2723,"")</f>
        <v/>
      </c>
      <c r="P2723" s="47" t="str">
        <f aca="false">IF(O2723&lt;&gt;"",O2723*0.1,"")</f>
        <v/>
      </c>
      <c r="Q2723" s="83" t="str">
        <f aca="false">IF(O2723&lt;&gt;"",O2723+P2723,"")</f>
        <v/>
      </c>
      <c r="R2723" s="84"/>
    </row>
    <row r="2724" customFormat="false" ht="15" hidden="false" customHeight="true" outlineLevel="0" collapsed="false">
      <c r="A2724" s="103"/>
      <c r="B2724" s="73"/>
      <c r="C2724" s="74"/>
      <c r="D2724" s="75"/>
      <c r="E2724" s="52" t="str">
        <f aca="false">IF(D2724&lt;&gt;"",IFERROR(VLOOKUP(D2724,PROVEEDORES!$A:$B,2,0),"!COD NO ENCONTRADO"),"")</f>
        <v/>
      </c>
      <c r="F2724" s="76" t="str">
        <f aca="false">IF(D2724&lt;&gt;"",IFERROR(VLOOKUP(D2724,PROVEEDORES!$A:$C,3,0),""),"")</f>
        <v/>
      </c>
      <c r="G2724" s="75"/>
      <c r="H2724" s="52" t="str">
        <f aca="false">IF(G2724&lt;&gt;"",IFERROR(VLOOKUP(G2724,PRODUCTOS!$A:$B,2,0),"!COD NO ENCONTRADO"),"")</f>
        <v/>
      </c>
      <c r="I2724" s="77"/>
      <c r="J2724" s="78"/>
      <c r="K2724" s="79"/>
      <c r="L2724" s="80" t="str">
        <f aca="false">IF(AND(J2724&lt;&gt;"",K2724&lt;&gt;""),J2724*K2724,"")</f>
        <v/>
      </c>
      <c r="M2724" s="81" t="str">
        <f aca="false">IF(L2724&lt;&gt;"",L2724*1.1,"")</f>
        <v/>
      </c>
      <c r="N2724" s="53" t="n">
        <f aca="false">IF(F2724="S",L2724*0.02,0)</f>
        <v>0</v>
      </c>
      <c r="O2724" s="82" t="str">
        <f aca="false">IF(L2724&lt;&gt;"",L2724+N2724,"")</f>
        <v/>
      </c>
      <c r="P2724" s="53" t="str">
        <f aca="false">IF(O2724&lt;&gt;"",O2724*0.1,"")</f>
        <v/>
      </c>
      <c r="Q2724" s="83" t="str">
        <f aca="false">IF(O2724&lt;&gt;"",O2724+P2724,"")</f>
        <v/>
      </c>
      <c r="R2724" s="84"/>
    </row>
    <row r="2725" customFormat="false" ht="15" hidden="false" customHeight="true" outlineLevel="0" collapsed="false">
      <c r="A2725" s="103"/>
      <c r="B2725" s="85"/>
      <c r="C2725" s="86"/>
      <c r="D2725" s="87"/>
      <c r="E2725" s="46" t="str">
        <f aca="false">IF(D2725&lt;&gt;"",IFERROR(VLOOKUP(D2725,PROVEEDORES!$A:$B,2,0),"!COD NO ENCONTRADO"),"")</f>
        <v/>
      </c>
      <c r="F2725" s="88" t="str">
        <f aca="false">IF(D2725&lt;&gt;"",IFERROR(VLOOKUP(D2725,PROVEEDORES!$A:$C,3,0),""),"")</f>
        <v/>
      </c>
      <c r="G2725" s="87"/>
      <c r="H2725" s="46" t="str">
        <f aca="false">IF(G2725&lt;&gt;"",IFERROR(VLOOKUP(G2725,PRODUCTOS!$A:$B,2,0),"!COD NO ENCONTRADO"),"")</f>
        <v/>
      </c>
      <c r="I2725" s="89"/>
      <c r="J2725" s="90"/>
      <c r="K2725" s="91"/>
      <c r="L2725" s="80" t="str">
        <f aca="false">IF(AND(J2725&lt;&gt;"",K2725&lt;&gt;""),J2725*K2725,"")</f>
        <v/>
      </c>
      <c r="M2725" s="81" t="str">
        <f aca="false">IF(L2725&lt;&gt;"",L2725*1.1,"")</f>
        <v/>
      </c>
      <c r="N2725" s="47" t="n">
        <f aca="false">IF(F2725="S",L2725*0.02,0)</f>
        <v>0</v>
      </c>
      <c r="O2725" s="82" t="str">
        <f aca="false">IF(L2725&lt;&gt;"",L2725+N2725,"")</f>
        <v/>
      </c>
      <c r="P2725" s="47" t="str">
        <f aca="false">IF(O2725&lt;&gt;"",O2725*0.1,"")</f>
        <v/>
      </c>
      <c r="Q2725" s="83" t="str">
        <f aca="false">IF(O2725&lt;&gt;"",O2725+P2725,"")</f>
        <v/>
      </c>
      <c r="R2725" s="84"/>
    </row>
    <row r="2726" customFormat="false" ht="15" hidden="false" customHeight="true" outlineLevel="0" collapsed="false">
      <c r="A2726" s="103"/>
      <c r="B2726" s="73"/>
      <c r="C2726" s="74"/>
      <c r="D2726" s="75"/>
      <c r="E2726" s="52" t="str">
        <f aca="false">IF(D2726&lt;&gt;"",IFERROR(VLOOKUP(D2726,PROVEEDORES!$A:$B,2,0),"!COD NO ENCONTRADO"),"")</f>
        <v/>
      </c>
      <c r="F2726" s="76" t="str">
        <f aca="false">IF(D2726&lt;&gt;"",IFERROR(VLOOKUP(D2726,PROVEEDORES!$A:$C,3,0),""),"")</f>
        <v/>
      </c>
      <c r="G2726" s="75"/>
      <c r="H2726" s="52" t="str">
        <f aca="false">IF(G2726&lt;&gt;"",IFERROR(VLOOKUP(G2726,PRODUCTOS!$A:$B,2,0),"!COD NO ENCONTRADO"),"")</f>
        <v/>
      </c>
      <c r="I2726" s="77"/>
      <c r="J2726" s="78"/>
      <c r="K2726" s="79"/>
      <c r="L2726" s="80" t="str">
        <f aca="false">IF(AND(J2726&lt;&gt;"",K2726&lt;&gt;""),J2726*K2726,"")</f>
        <v/>
      </c>
      <c r="M2726" s="81" t="str">
        <f aca="false">IF(L2726&lt;&gt;"",L2726*1.1,"")</f>
        <v/>
      </c>
      <c r="N2726" s="53" t="n">
        <f aca="false">IF(F2726="S",L2726*0.02,0)</f>
        <v>0</v>
      </c>
      <c r="O2726" s="82" t="str">
        <f aca="false">IF(L2726&lt;&gt;"",L2726+N2726,"")</f>
        <v/>
      </c>
      <c r="P2726" s="53" t="str">
        <f aca="false">IF(O2726&lt;&gt;"",O2726*0.1,"")</f>
        <v/>
      </c>
      <c r="Q2726" s="83" t="str">
        <f aca="false">IF(O2726&lt;&gt;"",O2726+P2726,"")</f>
        <v/>
      </c>
      <c r="R2726" s="84"/>
    </row>
    <row r="2727" customFormat="false" ht="15" hidden="false" customHeight="true" outlineLevel="0" collapsed="false">
      <c r="A2727" s="103"/>
      <c r="B2727" s="85"/>
      <c r="C2727" s="86"/>
      <c r="D2727" s="87"/>
      <c r="E2727" s="46" t="str">
        <f aca="false">IF(D2727&lt;&gt;"",IFERROR(VLOOKUP(D2727,PROVEEDORES!$A:$B,2,0),"!COD NO ENCONTRADO"),"")</f>
        <v/>
      </c>
      <c r="F2727" s="88" t="str">
        <f aca="false">IF(D2727&lt;&gt;"",IFERROR(VLOOKUP(D2727,PROVEEDORES!$A:$C,3,0),""),"")</f>
        <v/>
      </c>
      <c r="G2727" s="87"/>
      <c r="H2727" s="46" t="str">
        <f aca="false">IF(G2727&lt;&gt;"",IFERROR(VLOOKUP(G2727,PRODUCTOS!$A:$B,2,0),"!COD NO ENCONTRADO"),"")</f>
        <v/>
      </c>
      <c r="I2727" s="89"/>
      <c r="J2727" s="90"/>
      <c r="K2727" s="91"/>
      <c r="L2727" s="80" t="str">
        <f aca="false">IF(AND(J2727&lt;&gt;"",K2727&lt;&gt;""),J2727*K2727,"")</f>
        <v/>
      </c>
      <c r="M2727" s="81" t="str">
        <f aca="false">IF(L2727&lt;&gt;"",L2727*1.1,"")</f>
        <v/>
      </c>
      <c r="N2727" s="47" t="n">
        <f aca="false">IF(F2727="S",L2727*0.02,0)</f>
        <v>0</v>
      </c>
      <c r="O2727" s="82" t="str">
        <f aca="false">IF(L2727&lt;&gt;"",L2727+N2727,"")</f>
        <v/>
      </c>
      <c r="P2727" s="47" t="str">
        <f aca="false">IF(O2727&lt;&gt;"",O2727*0.1,"")</f>
        <v/>
      </c>
      <c r="Q2727" s="83" t="str">
        <f aca="false">IF(O2727&lt;&gt;"",O2727+P2727,"")</f>
        <v/>
      </c>
      <c r="R2727" s="84"/>
    </row>
    <row r="2728" customFormat="false" ht="15" hidden="false" customHeight="true" outlineLevel="0" collapsed="false">
      <c r="A2728" s="103"/>
      <c r="B2728" s="73"/>
      <c r="C2728" s="74"/>
      <c r="D2728" s="75"/>
      <c r="E2728" s="52" t="str">
        <f aca="false">IF(D2728&lt;&gt;"",IFERROR(VLOOKUP(D2728,PROVEEDORES!$A:$B,2,0),"!COD NO ENCONTRADO"),"")</f>
        <v/>
      </c>
      <c r="F2728" s="76" t="str">
        <f aca="false">IF(D2728&lt;&gt;"",IFERROR(VLOOKUP(D2728,PROVEEDORES!$A:$C,3,0),""),"")</f>
        <v/>
      </c>
      <c r="G2728" s="75"/>
      <c r="H2728" s="52" t="str">
        <f aca="false">IF(G2728&lt;&gt;"",IFERROR(VLOOKUP(G2728,PRODUCTOS!$A:$B,2,0),"!COD NO ENCONTRADO"),"")</f>
        <v/>
      </c>
      <c r="I2728" s="77"/>
      <c r="J2728" s="78"/>
      <c r="K2728" s="79"/>
      <c r="L2728" s="80" t="str">
        <f aca="false">IF(AND(J2728&lt;&gt;"",K2728&lt;&gt;""),J2728*K2728,"")</f>
        <v/>
      </c>
      <c r="M2728" s="81" t="str">
        <f aca="false">IF(L2728&lt;&gt;"",L2728*1.1,"")</f>
        <v/>
      </c>
      <c r="N2728" s="53" t="n">
        <f aca="false">IF(F2728="S",L2728*0.02,0)</f>
        <v>0</v>
      </c>
      <c r="O2728" s="82" t="str">
        <f aca="false">IF(L2728&lt;&gt;"",L2728+N2728,"")</f>
        <v/>
      </c>
      <c r="P2728" s="53" t="str">
        <f aca="false">IF(O2728&lt;&gt;"",O2728*0.1,"")</f>
        <v/>
      </c>
      <c r="Q2728" s="83" t="str">
        <f aca="false">IF(O2728&lt;&gt;"",O2728+P2728,"")</f>
        <v/>
      </c>
      <c r="R2728" s="84"/>
    </row>
    <row r="2729" customFormat="false" ht="15" hidden="false" customHeight="true" outlineLevel="0" collapsed="false">
      <c r="A2729" s="103"/>
      <c r="B2729" s="85"/>
      <c r="C2729" s="86"/>
      <c r="D2729" s="87"/>
      <c r="E2729" s="46" t="str">
        <f aca="false">IF(D2729&lt;&gt;"",IFERROR(VLOOKUP(D2729,PROVEEDORES!$A:$B,2,0),"!COD NO ENCONTRADO"),"")</f>
        <v/>
      </c>
      <c r="F2729" s="88" t="str">
        <f aca="false">IF(D2729&lt;&gt;"",IFERROR(VLOOKUP(D2729,PROVEEDORES!$A:$C,3,0),""),"")</f>
        <v/>
      </c>
      <c r="G2729" s="87"/>
      <c r="H2729" s="46" t="str">
        <f aca="false">IF(G2729&lt;&gt;"",IFERROR(VLOOKUP(G2729,PRODUCTOS!$A:$B,2,0),"!COD NO ENCONTRADO"),"")</f>
        <v/>
      </c>
      <c r="I2729" s="89"/>
      <c r="J2729" s="90"/>
      <c r="K2729" s="91"/>
      <c r="L2729" s="80" t="str">
        <f aca="false">IF(AND(J2729&lt;&gt;"",K2729&lt;&gt;""),J2729*K2729,"")</f>
        <v/>
      </c>
      <c r="M2729" s="81" t="str">
        <f aca="false">IF(L2729&lt;&gt;"",L2729*1.1,"")</f>
        <v/>
      </c>
      <c r="N2729" s="47" t="n">
        <f aca="false">IF(F2729="S",L2729*0.02,0)</f>
        <v>0</v>
      </c>
      <c r="O2729" s="82" t="str">
        <f aca="false">IF(L2729&lt;&gt;"",L2729+N2729,"")</f>
        <v/>
      </c>
      <c r="P2729" s="47" t="str">
        <f aca="false">IF(O2729&lt;&gt;"",O2729*0.1,"")</f>
        <v/>
      </c>
      <c r="Q2729" s="83" t="str">
        <f aca="false">IF(O2729&lt;&gt;"",O2729+P2729,"")</f>
        <v/>
      </c>
      <c r="R2729" s="84"/>
    </row>
    <row r="2730" customFormat="false" ht="15" hidden="false" customHeight="true" outlineLevel="0" collapsed="false">
      <c r="A2730" s="103"/>
      <c r="B2730" s="73"/>
      <c r="C2730" s="74"/>
      <c r="D2730" s="75"/>
      <c r="E2730" s="52" t="str">
        <f aca="false">IF(D2730&lt;&gt;"",IFERROR(VLOOKUP(D2730,PROVEEDORES!$A:$B,2,0),"!COD NO ENCONTRADO"),"")</f>
        <v/>
      </c>
      <c r="F2730" s="76" t="str">
        <f aca="false">IF(D2730&lt;&gt;"",IFERROR(VLOOKUP(D2730,PROVEEDORES!$A:$C,3,0),""),"")</f>
        <v/>
      </c>
      <c r="G2730" s="75"/>
      <c r="H2730" s="52" t="str">
        <f aca="false">IF(G2730&lt;&gt;"",IFERROR(VLOOKUP(G2730,PRODUCTOS!$A:$B,2,0),"!COD NO ENCONTRADO"),"")</f>
        <v/>
      </c>
      <c r="I2730" s="77"/>
      <c r="J2730" s="78"/>
      <c r="K2730" s="79"/>
      <c r="L2730" s="80" t="str">
        <f aca="false">IF(AND(J2730&lt;&gt;"",K2730&lt;&gt;""),J2730*K2730,"")</f>
        <v/>
      </c>
      <c r="M2730" s="81" t="str">
        <f aca="false">IF(L2730&lt;&gt;"",L2730*1.1,"")</f>
        <v/>
      </c>
      <c r="N2730" s="53" t="n">
        <f aca="false">IF(F2730="S",L2730*0.02,0)</f>
        <v>0</v>
      </c>
      <c r="O2730" s="82" t="str">
        <f aca="false">IF(L2730&lt;&gt;"",L2730+N2730,"")</f>
        <v/>
      </c>
      <c r="P2730" s="53" t="str">
        <f aca="false">IF(O2730&lt;&gt;"",O2730*0.1,"")</f>
        <v/>
      </c>
      <c r="Q2730" s="83" t="str">
        <f aca="false">IF(O2730&lt;&gt;"",O2730+P2730,"")</f>
        <v/>
      </c>
      <c r="R2730" s="84"/>
    </row>
    <row r="2731" customFormat="false" ht="15" hidden="false" customHeight="true" outlineLevel="0" collapsed="false">
      <c r="A2731" s="103"/>
      <c r="B2731" s="85"/>
      <c r="C2731" s="86"/>
      <c r="D2731" s="87"/>
      <c r="E2731" s="46" t="str">
        <f aca="false">IF(D2731&lt;&gt;"",IFERROR(VLOOKUP(D2731,PROVEEDORES!$A:$B,2,0),"!COD NO ENCONTRADO"),"")</f>
        <v/>
      </c>
      <c r="F2731" s="88" t="str">
        <f aca="false">IF(D2731&lt;&gt;"",IFERROR(VLOOKUP(D2731,PROVEEDORES!$A:$C,3,0),""),"")</f>
        <v/>
      </c>
      <c r="G2731" s="87"/>
      <c r="H2731" s="46" t="str">
        <f aca="false">IF(G2731&lt;&gt;"",IFERROR(VLOOKUP(G2731,PRODUCTOS!$A:$B,2,0),"!COD NO ENCONTRADO"),"")</f>
        <v/>
      </c>
      <c r="I2731" s="89"/>
      <c r="J2731" s="90"/>
      <c r="K2731" s="91"/>
      <c r="L2731" s="80" t="str">
        <f aca="false">IF(AND(J2731&lt;&gt;"",K2731&lt;&gt;""),J2731*K2731,"")</f>
        <v/>
      </c>
      <c r="M2731" s="81" t="str">
        <f aca="false">IF(L2731&lt;&gt;"",L2731*1.1,"")</f>
        <v/>
      </c>
      <c r="N2731" s="47" t="n">
        <f aca="false">IF(F2731="S",L2731*0.02,0)</f>
        <v>0</v>
      </c>
      <c r="O2731" s="82" t="str">
        <f aca="false">IF(L2731&lt;&gt;"",L2731+N2731,"")</f>
        <v/>
      </c>
      <c r="P2731" s="47" t="str">
        <f aca="false">IF(O2731&lt;&gt;"",O2731*0.1,"")</f>
        <v/>
      </c>
      <c r="Q2731" s="83" t="str">
        <f aca="false">IF(O2731&lt;&gt;"",O2731+P2731,"")</f>
        <v/>
      </c>
      <c r="R2731" s="84"/>
    </row>
    <row r="2732" customFormat="false" ht="15" hidden="false" customHeight="true" outlineLevel="0" collapsed="false">
      <c r="A2732" s="103"/>
      <c r="B2732" s="73"/>
      <c r="C2732" s="74"/>
      <c r="D2732" s="75"/>
      <c r="E2732" s="52" t="str">
        <f aca="false">IF(D2732&lt;&gt;"",IFERROR(VLOOKUP(D2732,PROVEEDORES!$A:$B,2,0),"!COD NO ENCONTRADO"),"")</f>
        <v/>
      </c>
      <c r="F2732" s="76" t="str">
        <f aca="false">IF(D2732&lt;&gt;"",IFERROR(VLOOKUP(D2732,PROVEEDORES!$A:$C,3,0),""),"")</f>
        <v/>
      </c>
      <c r="G2732" s="75"/>
      <c r="H2732" s="52" t="str">
        <f aca="false">IF(G2732&lt;&gt;"",IFERROR(VLOOKUP(G2732,PRODUCTOS!$A:$B,2,0),"!COD NO ENCONTRADO"),"")</f>
        <v/>
      </c>
      <c r="I2732" s="77"/>
      <c r="J2732" s="78"/>
      <c r="K2732" s="79"/>
      <c r="L2732" s="80" t="str">
        <f aca="false">IF(AND(J2732&lt;&gt;"",K2732&lt;&gt;""),J2732*K2732,"")</f>
        <v/>
      </c>
      <c r="M2732" s="81" t="str">
        <f aca="false">IF(L2732&lt;&gt;"",L2732*1.1,"")</f>
        <v/>
      </c>
      <c r="N2732" s="53" t="n">
        <f aca="false">IF(F2732="S",L2732*0.02,0)</f>
        <v>0</v>
      </c>
      <c r="O2732" s="82" t="str">
        <f aca="false">IF(L2732&lt;&gt;"",L2732+N2732,"")</f>
        <v/>
      </c>
      <c r="P2732" s="53" t="str">
        <f aca="false">IF(O2732&lt;&gt;"",O2732*0.1,"")</f>
        <v/>
      </c>
      <c r="Q2732" s="83" t="str">
        <f aca="false">IF(O2732&lt;&gt;"",O2732+P2732,"")</f>
        <v/>
      </c>
      <c r="R2732" s="84"/>
    </row>
    <row r="2733" customFormat="false" ht="15" hidden="false" customHeight="true" outlineLevel="0" collapsed="false">
      <c r="A2733" s="103"/>
      <c r="B2733" s="85"/>
      <c r="C2733" s="86"/>
      <c r="D2733" s="87"/>
      <c r="E2733" s="46" t="str">
        <f aca="false">IF(D2733&lt;&gt;"",IFERROR(VLOOKUP(D2733,PROVEEDORES!$A:$B,2,0),"!COD NO ENCONTRADO"),"")</f>
        <v/>
      </c>
      <c r="F2733" s="88" t="str">
        <f aca="false">IF(D2733&lt;&gt;"",IFERROR(VLOOKUP(D2733,PROVEEDORES!$A:$C,3,0),""),"")</f>
        <v/>
      </c>
      <c r="G2733" s="87"/>
      <c r="H2733" s="46" t="str">
        <f aca="false">IF(G2733&lt;&gt;"",IFERROR(VLOOKUP(G2733,PRODUCTOS!$A:$B,2,0),"!COD NO ENCONTRADO"),"")</f>
        <v/>
      </c>
      <c r="I2733" s="89"/>
      <c r="J2733" s="90"/>
      <c r="K2733" s="91"/>
      <c r="L2733" s="80" t="str">
        <f aca="false">IF(AND(J2733&lt;&gt;"",K2733&lt;&gt;""),J2733*K2733,"")</f>
        <v/>
      </c>
      <c r="M2733" s="81" t="str">
        <f aca="false">IF(L2733&lt;&gt;"",L2733*1.1,"")</f>
        <v/>
      </c>
      <c r="N2733" s="47" t="n">
        <f aca="false">IF(F2733="S",L2733*0.02,0)</f>
        <v>0</v>
      </c>
      <c r="O2733" s="82" t="str">
        <f aca="false">IF(L2733&lt;&gt;"",L2733+N2733,"")</f>
        <v/>
      </c>
      <c r="P2733" s="47" t="str">
        <f aca="false">IF(O2733&lt;&gt;"",O2733*0.1,"")</f>
        <v/>
      </c>
      <c r="Q2733" s="83" t="str">
        <f aca="false">IF(O2733&lt;&gt;"",O2733+P2733,"")</f>
        <v/>
      </c>
      <c r="R2733" s="84"/>
    </row>
    <row r="2734" customFormat="false" ht="15" hidden="false" customHeight="true" outlineLevel="0" collapsed="false">
      <c r="A2734" s="103"/>
      <c r="B2734" s="73"/>
      <c r="C2734" s="74"/>
      <c r="D2734" s="75"/>
      <c r="E2734" s="52" t="str">
        <f aca="false">IF(D2734&lt;&gt;"",IFERROR(VLOOKUP(D2734,PROVEEDORES!$A:$B,2,0),"!COD NO ENCONTRADO"),"")</f>
        <v/>
      </c>
      <c r="F2734" s="76" t="str">
        <f aca="false">IF(D2734&lt;&gt;"",IFERROR(VLOOKUP(D2734,PROVEEDORES!$A:$C,3,0),""),"")</f>
        <v/>
      </c>
      <c r="G2734" s="75"/>
      <c r="H2734" s="52" t="str">
        <f aca="false">IF(G2734&lt;&gt;"",IFERROR(VLOOKUP(G2734,PRODUCTOS!$A:$B,2,0),"!COD NO ENCONTRADO"),"")</f>
        <v/>
      </c>
      <c r="I2734" s="77"/>
      <c r="J2734" s="78"/>
      <c r="K2734" s="79"/>
      <c r="L2734" s="80" t="str">
        <f aca="false">IF(AND(J2734&lt;&gt;"",K2734&lt;&gt;""),J2734*K2734,"")</f>
        <v/>
      </c>
      <c r="M2734" s="81" t="str">
        <f aca="false">IF(L2734&lt;&gt;"",L2734*1.1,"")</f>
        <v/>
      </c>
      <c r="N2734" s="53" t="n">
        <f aca="false">IF(F2734="S",L2734*0.02,0)</f>
        <v>0</v>
      </c>
      <c r="O2734" s="82" t="str">
        <f aca="false">IF(L2734&lt;&gt;"",L2734+N2734,"")</f>
        <v/>
      </c>
      <c r="P2734" s="53" t="str">
        <f aca="false">IF(O2734&lt;&gt;"",O2734*0.1,"")</f>
        <v/>
      </c>
      <c r="Q2734" s="83" t="str">
        <f aca="false">IF(O2734&lt;&gt;"",O2734+P2734,"")</f>
        <v/>
      </c>
      <c r="R2734" s="84"/>
    </row>
    <row r="2735" customFormat="false" ht="15" hidden="false" customHeight="true" outlineLevel="0" collapsed="false">
      <c r="A2735" s="103"/>
      <c r="B2735" s="85"/>
      <c r="C2735" s="86"/>
      <c r="D2735" s="87"/>
      <c r="E2735" s="46" t="str">
        <f aca="false">IF(D2735&lt;&gt;"",IFERROR(VLOOKUP(D2735,PROVEEDORES!$A:$B,2,0),"!COD NO ENCONTRADO"),"")</f>
        <v/>
      </c>
      <c r="F2735" s="88" t="str">
        <f aca="false">IF(D2735&lt;&gt;"",IFERROR(VLOOKUP(D2735,PROVEEDORES!$A:$C,3,0),""),"")</f>
        <v/>
      </c>
      <c r="G2735" s="87"/>
      <c r="H2735" s="46" t="str">
        <f aca="false">IF(G2735&lt;&gt;"",IFERROR(VLOOKUP(G2735,PRODUCTOS!$A:$B,2,0),"!COD NO ENCONTRADO"),"")</f>
        <v/>
      </c>
      <c r="I2735" s="89"/>
      <c r="J2735" s="90"/>
      <c r="K2735" s="91"/>
      <c r="L2735" s="80" t="str">
        <f aca="false">IF(AND(J2735&lt;&gt;"",K2735&lt;&gt;""),J2735*K2735,"")</f>
        <v/>
      </c>
      <c r="M2735" s="81" t="str">
        <f aca="false">IF(L2735&lt;&gt;"",L2735*1.1,"")</f>
        <v/>
      </c>
      <c r="N2735" s="47" t="n">
        <f aca="false">IF(F2735="S",L2735*0.02,0)</f>
        <v>0</v>
      </c>
      <c r="O2735" s="82" t="str">
        <f aca="false">IF(L2735&lt;&gt;"",L2735+N2735,"")</f>
        <v/>
      </c>
      <c r="P2735" s="47" t="str">
        <f aca="false">IF(O2735&lt;&gt;"",O2735*0.1,"")</f>
        <v/>
      </c>
      <c r="Q2735" s="83" t="str">
        <f aca="false">IF(O2735&lt;&gt;"",O2735+P2735,"")</f>
        <v/>
      </c>
      <c r="R2735" s="84"/>
    </row>
    <row r="2736" customFormat="false" ht="15" hidden="false" customHeight="true" outlineLevel="0" collapsed="false">
      <c r="A2736" s="103"/>
      <c r="B2736" s="73"/>
      <c r="C2736" s="74"/>
      <c r="D2736" s="75"/>
      <c r="E2736" s="52" t="str">
        <f aca="false">IF(D2736&lt;&gt;"",IFERROR(VLOOKUP(D2736,PROVEEDORES!$A:$B,2,0),"!COD NO ENCONTRADO"),"")</f>
        <v/>
      </c>
      <c r="F2736" s="76" t="str">
        <f aca="false">IF(D2736&lt;&gt;"",IFERROR(VLOOKUP(D2736,PROVEEDORES!$A:$C,3,0),""),"")</f>
        <v/>
      </c>
      <c r="G2736" s="75"/>
      <c r="H2736" s="52" t="str">
        <f aca="false">IF(G2736&lt;&gt;"",IFERROR(VLOOKUP(G2736,PRODUCTOS!$A:$B,2,0),"!COD NO ENCONTRADO"),"")</f>
        <v/>
      </c>
      <c r="I2736" s="77"/>
      <c r="J2736" s="78"/>
      <c r="K2736" s="79"/>
      <c r="L2736" s="80" t="str">
        <f aca="false">IF(AND(J2736&lt;&gt;"",K2736&lt;&gt;""),J2736*K2736,"")</f>
        <v/>
      </c>
      <c r="M2736" s="81" t="str">
        <f aca="false">IF(L2736&lt;&gt;"",L2736*1.1,"")</f>
        <v/>
      </c>
      <c r="N2736" s="53" t="n">
        <f aca="false">IF(F2736="S",L2736*0.02,0)</f>
        <v>0</v>
      </c>
      <c r="O2736" s="82" t="str">
        <f aca="false">IF(L2736&lt;&gt;"",L2736+N2736,"")</f>
        <v/>
      </c>
      <c r="P2736" s="53" t="str">
        <f aca="false">IF(O2736&lt;&gt;"",O2736*0.1,"")</f>
        <v/>
      </c>
      <c r="Q2736" s="83" t="str">
        <f aca="false">IF(O2736&lt;&gt;"",O2736+P2736,"")</f>
        <v/>
      </c>
      <c r="R2736" s="84"/>
    </row>
    <row r="2737" customFormat="false" ht="15" hidden="false" customHeight="true" outlineLevel="0" collapsed="false">
      <c r="A2737" s="103"/>
      <c r="B2737" s="85"/>
      <c r="C2737" s="86"/>
      <c r="D2737" s="87"/>
      <c r="E2737" s="46" t="str">
        <f aca="false">IF(D2737&lt;&gt;"",IFERROR(VLOOKUP(D2737,PROVEEDORES!$A:$B,2,0),"!COD NO ENCONTRADO"),"")</f>
        <v/>
      </c>
      <c r="F2737" s="88" t="str">
        <f aca="false">IF(D2737&lt;&gt;"",IFERROR(VLOOKUP(D2737,PROVEEDORES!$A:$C,3,0),""),"")</f>
        <v/>
      </c>
      <c r="G2737" s="87"/>
      <c r="H2737" s="46" t="str">
        <f aca="false">IF(G2737&lt;&gt;"",IFERROR(VLOOKUP(G2737,PRODUCTOS!$A:$B,2,0),"!COD NO ENCONTRADO"),"")</f>
        <v/>
      </c>
      <c r="I2737" s="89"/>
      <c r="J2737" s="90"/>
      <c r="K2737" s="91"/>
      <c r="L2737" s="80" t="str">
        <f aca="false">IF(AND(J2737&lt;&gt;"",K2737&lt;&gt;""),J2737*K2737,"")</f>
        <v/>
      </c>
      <c r="M2737" s="81" t="str">
        <f aca="false">IF(L2737&lt;&gt;"",L2737*1.1,"")</f>
        <v/>
      </c>
      <c r="N2737" s="47" t="n">
        <f aca="false">IF(F2737="S",L2737*0.02,0)</f>
        <v>0</v>
      </c>
      <c r="O2737" s="82" t="str">
        <f aca="false">IF(L2737&lt;&gt;"",L2737+N2737,"")</f>
        <v/>
      </c>
      <c r="P2737" s="47" t="str">
        <f aca="false">IF(O2737&lt;&gt;"",O2737*0.1,"")</f>
        <v/>
      </c>
      <c r="Q2737" s="83" t="str">
        <f aca="false">IF(O2737&lt;&gt;"",O2737+P2737,"")</f>
        <v/>
      </c>
      <c r="R2737" s="84"/>
    </row>
    <row r="2738" customFormat="false" ht="15" hidden="false" customHeight="true" outlineLevel="0" collapsed="false">
      <c r="A2738" s="103"/>
      <c r="B2738" s="73"/>
      <c r="C2738" s="74"/>
      <c r="D2738" s="75"/>
      <c r="E2738" s="52" t="str">
        <f aca="false">IF(D2738&lt;&gt;"",IFERROR(VLOOKUP(D2738,PROVEEDORES!$A:$B,2,0),"!COD NO ENCONTRADO"),"")</f>
        <v/>
      </c>
      <c r="F2738" s="76" t="str">
        <f aca="false">IF(D2738&lt;&gt;"",IFERROR(VLOOKUP(D2738,PROVEEDORES!$A:$C,3,0),""),"")</f>
        <v/>
      </c>
      <c r="G2738" s="75"/>
      <c r="H2738" s="52" t="str">
        <f aca="false">IF(G2738&lt;&gt;"",IFERROR(VLOOKUP(G2738,PRODUCTOS!$A:$B,2,0),"!COD NO ENCONTRADO"),"")</f>
        <v/>
      </c>
      <c r="I2738" s="77"/>
      <c r="J2738" s="78"/>
      <c r="K2738" s="79"/>
      <c r="L2738" s="80" t="str">
        <f aca="false">IF(AND(J2738&lt;&gt;"",K2738&lt;&gt;""),J2738*K2738,"")</f>
        <v/>
      </c>
      <c r="M2738" s="81" t="str">
        <f aca="false">IF(L2738&lt;&gt;"",L2738*1.1,"")</f>
        <v/>
      </c>
      <c r="N2738" s="53" t="n">
        <f aca="false">IF(F2738="S",L2738*0.02,0)</f>
        <v>0</v>
      </c>
      <c r="O2738" s="82" t="str">
        <f aca="false">IF(L2738&lt;&gt;"",L2738+N2738,"")</f>
        <v/>
      </c>
      <c r="P2738" s="53" t="str">
        <f aca="false">IF(O2738&lt;&gt;"",O2738*0.1,"")</f>
        <v/>
      </c>
      <c r="Q2738" s="83" t="str">
        <f aca="false">IF(O2738&lt;&gt;"",O2738+P2738,"")</f>
        <v/>
      </c>
      <c r="R2738" s="84"/>
    </row>
    <row r="2739" customFormat="false" ht="15" hidden="false" customHeight="true" outlineLevel="0" collapsed="false">
      <c r="A2739" s="103"/>
      <c r="B2739" s="85"/>
      <c r="C2739" s="86"/>
      <c r="D2739" s="87"/>
      <c r="E2739" s="46" t="str">
        <f aca="false">IF(D2739&lt;&gt;"",IFERROR(VLOOKUP(D2739,PROVEEDORES!$A:$B,2,0),"!COD NO ENCONTRADO"),"")</f>
        <v/>
      </c>
      <c r="F2739" s="88" t="str">
        <f aca="false">IF(D2739&lt;&gt;"",IFERROR(VLOOKUP(D2739,PROVEEDORES!$A:$C,3,0),""),"")</f>
        <v/>
      </c>
      <c r="G2739" s="87"/>
      <c r="H2739" s="46" t="str">
        <f aca="false">IF(G2739&lt;&gt;"",IFERROR(VLOOKUP(G2739,PRODUCTOS!$A:$B,2,0),"!COD NO ENCONTRADO"),"")</f>
        <v/>
      </c>
      <c r="I2739" s="89"/>
      <c r="J2739" s="90"/>
      <c r="K2739" s="91"/>
      <c r="L2739" s="80" t="str">
        <f aca="false">IF(AND(J2739&lt;&gt;"",K2739&lt;&gt;""),J2739*K2739,"")</f>
        <v/>
      </c>
      <c r="M2739" s="81" t="str">
        <f aca="false">IF(L2739&lt;&gt;"",L2739*1.1,"")</f>
        <v/>
      </c>
      <c r="N2739" s="47" t="n">
        <f aca="false">IF(F2739="S",L2739*0.02,0)</f>
        <v>0</v>
      </c>
      <c r="O2739" s="82" t="str">
        <f aca="false">IF(L2739&lt;&gt;"",L2739+N2739,"")</f>
        <v/>
      </c>
      <c r="P2739" s="47" t="str">
        <f aca="false">IF(O2739&lt;&gt;"",O2739*0.1,"")</f>
        <v/>
      </c>
      <c r="Q2739" s="83" t="str">
        <f aca="false">IF(O2739&lt;&gt;"",O2739+P2739,"")</f>
        <v/>
      </c>
      <c r="R2739" s="84"/>
    </row>
    <row r="2740" customFormat="false" ht="15" hidden="false" customHeight="true" outlineLevel="0" collapsed="false">
      <c r="A2740" s="103"/>
      <c r="B2740" s="73"/>
      <c r="C2740" s="74"/>
      <c r="D2740" s="75"/>
      <c r="E2740" s="52" t="str">
        <f aca="false">IF(D2740&lt;&gt;"",IFERROR(VLOOKUP(D2740,PROVEEDORES!$A:$B,2,0),"!COD NO ENCONTRADO"),"")</f>
        <v/>
      </c>
      <c r="F2740" s="76" t="str">
        <f aca="false">IF(D2740&lt;&gt;"",IFERROR(VLOOKUP(D2740,PROVEEDORES!$A:$C,3,0),""),"")</f>
        <v/>
      </c>
      <c r="G2740" s="75"/>
      <c r="H2740" s="52" t="str">
        <f aca="false">IF(G2740&lt;&gt;"",IFERROR(VLOOKUP(G2740,PRODUCTOS!$A:$B,2,0),"!COD NO ENCONTRADO"),"")</f>
        <v/>
      </c>
      <c r="I2740" s="77"/>
      <c r="J2740" s="78"/>
      <c r="K2740" s="79"/>
      <c r="L2740" s="80" t="str">
        <f aca="false">IF(AND(J2740&lt;&gt;"",K2740&lt;&gt;""),J2740*K2740,"")</f>
        <v/>
      </c>
      <c r="M2740" s="81" t="str">
        <f aca="false">IF(L2740&lt;&gt;"",L2740*1.1,"")</f>
        <v/>
      </c>
      <c r="N2740" s="53" t="n">
        <f aca="false">IF(F2740="S",L2740*0.02,0)</f>
        <v>0</v>
      </c>
      <c r="O2740" s="82" t="str">
        <f aca="false">IF(L2740&lt;&gt;"",L2740+N2740,"")</f>
        <v/>
      </c>
      <c r="P2740" s="53" t="str">
        <f aca="false">IF(O2740&lt;&gt;"",O2740*0.1,"")</f>
        <v/>
      </c>
      <c r="Q2740" s="83" t="str">
        <f aca="false">IF(O2740&lt;&gt;"",O2740+P2740,"")</f>
        <v/>
      </c>
      <c r="R2740" s="84"/>
    </row>
    <row r="2741" customFormat="false" ht="15" hidden="false" customHeight="true" outlineLevel="0" collapsed="false">
      <c r="A2741" s="103"/>
      <c r="B2741" s="85"/>
      <c r="C2741" s="86"/>
      <c r="D2741" s="87"/>
      <c r="E2741" s="46" t="str">
        <f aca="false">IF(D2741&lt;&gt;"",IFERROR(VLOOKUP(D2741,PROVEEDORES!$A:$B,2,0),"!COD NO ENCONTRADO"),"")</f>
        <v/>
      </c>
      <c r="F2741" s="88" t="str">
        <f aca="false">IF(D2741&lt;&gt;"",IFERROR(VLOOKUP(D2741,PROVEEDORES!$A:$C,3,0),""),"")</f>
        <v/>
      </c>
      <c r="G2741" s="87"/>
      <c r="H2741" s="46" t="str">
        <f aca="false">IF(G2741&lt;&gt;"",IFERROR(VLOOKUP(G2741,PRODUCTOS!$A:$B,2,0),"!COD NO ENCONTRADO"),"")</f>
        <v/>
      </c>
      <c r="I2741" s="89"/>
      <c r="J2741" s="90"/>
      <c r="K2741" s="91"/>
      <c r="L2741" s="80" t="str">
        <f aca="false">IF(AND(J2741&lt;&gt;"",K2741&lt;&gt;""),J2741*K2741,"")</f>
        <v/>
      </c>
      <c r="M2741" s="81" t="str">
        <f aca="false">IF(L2741&lt;&gt;"",L2741*1.1,"")</f>
        <v/>
      </c>
      <c r="N2741" s="47" t="n">
        <f aca="false">IF(F2741="S",L2741*0.02,0)</f>
        <v>0</v>
      </c>
      <c r="O2741" s="82" t="str">
        <f aca="false">IF(L2741&lt;&gt;"",L2741+N2741,"")</f>
        <v/>
      </c>
      <c r="P2741" s="47" t="str">
        <f aca="false">IF(O2741&lt;&gt;"",O2741*0.1,"")</f>
        <v/>
      </c>
      <c r="Q2741" s="83" t="str">
        <f aca="false">IF(O2741&lt;&gt;"",O2741+P2741,"")</f>
        <v/>
      </c>
      <c r="R2741" s="84"/>
    </row>
    <row r="2742" customFormat="false" ht="15" hidden="false" customHeight="true" outlineLevel="0" collapsed="false">
      <c r="A2742" s="103"/>
      <c r="B2742" s="73"/>
      <c r="C2742" s="74"/>
      <c r="D2742" s="75"/>
      <c r="E2742" s="52" t="str">
        <f aca="false">IF(D2742&lt;&gt;"",IFERROR(VLOOKUP(D2742,PROVEEDORES!$A:$B,2,0),"!COD NO ENCONTRADO"),"")</f>
        <v/>
      </c>
      <c r="F2742" s="76" t="str">
        <f aca="false">IF(D2742&lt;&gt;"",IFERROR(VLOOKUP(D2742,PROVEEDORES!$A:$C,3,0),""),"")</f>
        <v/>
      </c>
      <c r="G2742" s="75"/>
      <c r="H2742" s="52" t="str">
        <f aca="false">IF(G2742&lt;&gt;"",IFERROR(VLOOKUP(G2742,PRODUCTOS!$A:$B,2,0),"!COD NO ENCONTRADO"),"")</f>
        <v/>
      </c>
      <c r="I2742" s="77"/>
      <c r="J2742" s="78"/>
      <c r="K2742" s="79"/>
      <c r="L2742" s="80" t="str">
        <f aca="false">IF(AND(J2742&lt;&gt;"",K2742&lt;&gt;""),J2742*K2742,"")</f>
        <v/>
      </c>
      <c r="M2742" s="81" t="str">
        <f aca="false">IF(L2742&lt;&gt;"",L2742*1.1,"")</f>
        <v/>
      </c>
      <c r="N2742" s="53" t="n">
        <f aca="false">IF(F2742="S",L2742*0.02,0)</f>
        <v>0</v>
      </c>
      <c r="O2742" s="82" t="str">
        <f aca="false">IF(L2742&lt;&gt;"",L2742+N2742,"")</f>
        <v/>
      </c>
      <c r="P2742" s="53" t="str">
        <f aca="false">IF(O2742&lt;&gt;"",O2742*0.1,"")</f>
        <v/>
      </c>
      <c r="Q2742" s="83" t="str">
        <f aca="false">IF(O2742&lt;&gt;"",O2742+P2742,"")</f>
        <v/>
      </c>
      <c r="R2742" s="84"/>
    </row>
    <row r="2743" customFormat="false" ht="15" hidden="false" customHeight="true" outlineLevel="0" collapsed="false">
      <c r="A2743" s="103"/>
      <c r="B2743" s="85"/>
      <c r="C2743" s="86"/>
      <c r="D2743" s="87"/>
      <c r="E2743" s="46" t="str">
        <f aca="false">IF(D2743&lt;&gt;"",IFERROR(VLOOKUP(D2743,PROVEEDORES!$A:$B,2,0),"!COD NO ENCONTRADO"),"")</f>
        <v/>
      </c>
      <c r="F2743" s="88" t="str">
        <f aca="false">IF(D2743&lt;&gt;"",IFERROR(VLOOKUP(D2743,PROVEEDORES!$A:$C,3,0),""),"")</f>
        <v/>
      </c>
      <c r="G2743" s="87"/>
      <c r="H2743" s="46" t="str">
        <f aca="false">IF(G2743&lt;&gt;"",IFERROR(VLOOKUP(G2743,PRODUCTOS!$A:$B,2,0),"!COD NO ENCONTRADO"),"")</f>
        <v/>
      </c>
      <c r="I2743" s="89"/>
      <c r="J2743" s="90"/>
      <c r="K2743" s="91"/>
      <c r="L2743" s="80" t="str">
        <f aca="false">IF(AND(J2743&lt;&gt;"",K2743&lt;&gt;""),J2743*K2743,"")</f>
        <v/>
      </c>
      <c r="M2743" s="81" t="str">
        <f aca="false">IF(L2743&lt;&gt;"",L2743*1.1,"")</f>
        <v/>
      </c>
      <c r="N2743" s="47" t="n">
        <f aca="false">IF(F2743="S",L2743*0.02,0)</f>
        <v>0</v>
      </c>
      <c r="O2743" s="82" t="str">
        <f aca="false">IF(L2743&lt;&gt;"",L2743+N2743,"")</f>
        <v/>
      </c>
      <c r="P2743" s="47" t="str">
        <f aca="false">IF(O2743&lt;&gt;"",O2743*0.1,"")</f>
        <v/>
      </c>
      <c r="Q2743" s="83" t="str">
        <f aca="false">IF(O2743&lt;&gt;"",O2743+P2743,"")</f>
        <v/>
      </c>
      <c r="R2743" s="84"/>
    </row>
    <row r="2744" customFormat="false" ht="15" hidden="false" customHeight="true" outlineLevel="0" collapsed="false">
      <c r="A2744" s="103"/>
      <c r="B2744" s="73"/>
      <c r="C2744" s="74"/>
      <c r="D2744" s="75"/>
      <c r="E2744" s="52" t="str">
        <f aca="false">IF(D2744&lt;&gt;"",IFERROR(VLOOKUP(D2744,PROVEEDORES!$A:$B,2,0),"!COD NO ENCONTRADO"),"")</f>
        <v/>
      </c>
      <c r="F2744" s="76" t="str">
        <f aca="false">IF(D2744&lt;&gt;"",IFERROR(VLOOKUP(D2744,PROVEEDORES!$A:$C,3,0),""),"")</f>
        <v/>
      </c>
      <c r="G2744" s="75"/>
      <c r="H2744" s="52" t="str">
        <f aca="false">IF(G2744&lt;&gt;"",IFERROR(VLOOKUP(G2744,PRODUCTOS!$A:$B,2,0),"!COD NO ENCONTRADO"),"")</f>
        <v/>
      </c>
      <c r="I2744" s="77"/>
      <c r="J2744" s="78"/>
      <c r="K2744" s="79"/>
      <c r="L2744" s="80" t="str">
        <f aca="false">IF(AND(J2744&lt;&gt;"",K2744&lt;&gt;""),J2744*K2744,"")</f>
        <v/>
      </c>
      <c r="M2744" s="81" t="str">
        <f aca="false">IF(L2744&lt;&gt;"",L2744*1.1,"")</f>
        <v/>
      </c>
      <c r="N2744" s="53" t="n">
        <f aca="false">IF(F2744="S",L2744*0.02,0)</f>
        <v>0</v>
      </c>
      <c r="O2744" s="82" t="str">
        <f aca="false">IF(L2744&lt;&gt;"",L2744+N2744,"")</f>
        <v/>
      </c>
      <c r="P2744" s="53" t="str">
        <f aca="false">IF(O2744&lt;&gt;"",O2744*0.1,"")</f>
        <v/>
      </c>
      <c r="Q2744" s="83" t="str">
        <f aca="false">IF(O2744&lt;&gt;"",O2744+P2744,"")</f>
        <v/>
      </c>
      <c r="R2744" s="84"/>
    </row>
    <row r="2745" customFormat="false" ht="15" hidden="false" customHeight="true" outlineLevel="0" collapsed="false">
      <c r="A2745" s="103"/>
      <c r="B2745" s="85"/>
      <c r="C2745" s="86"/>
      <c r="D2745" s="87"/>
      <c r="E2745" s="46" t="str">
        <f aca="false">IF(D2745&lt;&gt;"",IFERROR(VLOOKUP(D2745,PROVEEDORES!$A:$B,2,0),"!COD NO ENCONTRADO"),"")</f>
        <v/>
      </c>
      <c r="F2745" s="88" t="str">
        <f aca="false">IF(D2745&lt;&gt;"",IFERROR(VLOOKUP(D2745,PROVEEDORES!$A:$C,3,0),""),"")</f>
        <v/>
      </c>
      <c r="G2745" s="87"/>
      <c r="H2745" s="46" t="str">
        <f aca="false">IF(G2745&lt;&gt;"",IFERROR(VLOOKUP(G2745,PRODUCTOS!$A:$B,2,0),"!COD NO ENCONTRADO"),"")</f>
        <v/>
      </c>
      <c r="I2745" s="89"/>
      <c r="J2745" s="90"/>
      <c r="K2745" s="91"/>
      <c r="L2745" s="80" t="str">
        <f aca="false">IF(AND(J2745&lt;&gt;"",K2745&lt;&gt;""),J2745*K2745,"")</f>
        <v/>
      </c>
      <c r="M2745" s="81" t="str">
        <f aca="false">IF(L2745&lt;&gt;"",L2745*1.1,"")</f>
        <v/>
      </c>
      <c r="N2745" s="47" t="n">
        <f aca="false">IF(F2745="S",L2745*0.02,0)</f>
        <v>0</v>
      </c>
      <c r="O2745" s="82" t="str">
        <f aca="false">IF(L2745&lt;&gt;"",L2745+N2745,"")</f>
        <v/>
      </c>
      <c r="P2745" s="47" t="str">
        <f aca="false">IF(O2745&lt;&gt;"",O2745*0.1,"")</f>
        <v/>
      </c>
      <c r="Q2745" s="83" t="str">
        <f aca="false">IF(O2745&lt;&gt;"",O2745+P2745,"")</f>
        <v/>
      </c>
      <c r="R2745" s="84"/>
    </row>
    <row r="2746" customFormat="false" ht="15" hidden="false" customHeight="true" outlineLevel="0" collapsed="false">
      <c r="A2746" s="103"/>
      <c r="B2746" s="73"/>
      <c r="C2746" s="74"/>
      <c r="D2746" s="75"/>
      <c r="E2746" s="52" t="str">
        <f aca="false">IF(D2746&lt;&gt;"",IFERROR(VLOOKUP(D2746,PROVEEDORES!$A:$B,2,0),"!COD NO ENCONTRADO"),"")</f>
        <v/>
      </c>
      <c r="F2746" s="76" t="str">
        <f aca="false">IF(D2746&lt;&gt;"",IFERROR(VLOOKUP(D2746,PROVEEDORES!$A:$C,3,0),""),"")</f>
        <v/>
      </c>
      <c r="G2746" s="75"/>
      <c r="H2746" s="52" t="str">
        <f aca="false">IF(G2746&lt;&gt;"",IFERROR(VLOOKUP(G2746,PRODUCTOS!$A:$B,2,0),"!COD NO ENCONTRADO"),"")</f>
        <v/>
      </c>
      <c r="I2746" s="77"/>
      <c r="J2746" s="78"/>
      <c r="K2746" s="79"/>
      <c r="L2746" s="80" t="str">
        <f aca="false">IF(AND(J2746&lt;&gt;"",K2746&lt;&gt;""),J2746*K2746,"")</f>
        <v/>
      </c>
      <c r="M2746" s="81" t="str">
        <f aca="false">IF(L2746&lt;&gt;"",L2746*1.1,"")</f>
        <v/>
      </c>
      <c r="N2746" s="53" t="n">
        <f aca="false">IF(F2746="S",L2746*0.02,0)</f>
        <v>0</v>
      </c>
      <c r="O2746" s="82" t="str">
        <f aca="false">IF(L2746&lt;&gt;"",L2746+N2746,"")</f>
        <v/>
      </c>
      <c r="P2746" s="53" t="str">
        <f aca="false">IF(O2746&lt;&gt;"",O2746*0.1,"")</f>
        <v/>
      </c>
      <c r="Q2746" s="83" t="str">
        <f aca="false">IF(O2746&lt;&gt;"",O2746+P2746,"")</f>
        <v/>
      </c>
      <c r="R2746" s="84"/>
    </row>
    <row r="2747" customFormat="false" ht="15" hidden="false" customHeight="true" outlineLevel="0" collapsed="false">
      <c r="A2747" s="103"/>
      <c r="B2747" s="85"/>
      <c r="C2747" s="86"/>
      <c r="D2747" s="87"/>
      <c r="E2747" s="46" t="str">
        <f aca="false">IF(D2747&lt;&gt;"",IFERROR(VLOOKUP(D2747,PROVEEDORES!$A:$B,2,0),"!COD NO ENCONTRADO"),"")</f>
        <v/>
      </c>
      <c r="F2747" s="88" t="str">
        <f aca="false">IF(D2747&lt;&gt;"",IFERROR(VLOOKUP(D2747,PROVEEDORES!$A:$C,3,0),""),"")</f>
        <v/>
      </c>
      <c r="G2747" s="87"/>
      <c r="H2747" s="46" t="str">
        <f aca="false">IF(G2747&lt;&gt;"",IFERROR(VLOOKUP(G2747,PRODUCTOS!$A:$B,2,0),"!COD NO ENCONTRADO"),"")</f>
        <v/>
      </c>
      <c r="I2747" s="89"/>
      <c r="J2747" s="90"/>
      <c r="K2747" s="91"/>
      <c r="L2747" s="80" t="str">
        <f aca="false">IF(AND(J2747&lt;&gt;"",K2747&lt;&gt;""),J2747*K2747,"")</f>
        <v/>
      </c>
      <c r="M2747" s="81" t="str">
        <f aca="false">IF(L2747&lt;&gt;"",L2747*1.1,"")</f>
        <v/>
      </c>
      <c r="N2747" s="47" t="n">
        <f aca="false">IF(F2747="S",L2747*0.02,0)</f>
        <v>0</v>
      </c>
      <c r="O2747" s="82" t="str">
        <f aca="false">IF(L2747&lt;&gt;"",L2747+N2747,"")</f>
        <v/>
      </c>
      <c r="P2747" s="47" t="str">
        <f aca="false">IF(O2747&lt;&gt;"",O2747*0.1,"")</f>
        <v/>
      </c>
      <c r="Q2747" s="83" t="str">
        <f aca="false">IF(O2747&lt;&gt;"",O2747+P2747,"")</f>
        <v/>
      </c>
      <c r="R2747" s="84"/>
    </row>
    <row r="2748" customFormat="false" ht="15" hidden="false" customHeight="true" outlineLevel="0" collapsed="false">
      <c r="A2748" s="103"/>
      <c r="B2748" s="73"/>
      <c r="C2748" s="74"/>
      <c r="D2748" s="75"/>
      <c r="E2748" s="52" t="str">
        <f aca="false">IF(D2748&lt;&gt;"",IFERROR(VLOOKUP(D2748,PROVEEDORES!$A:$B,2,0),"!COD NO ENCONTRADO"),"")</f>
        <v/>
      </c>
      <c r="F2748" s="76" t="str">
        <f aca="false">IF(D2748&lt;&gt;"",IFERROR(VLOOKUP(D2748,PROVEEDORES!$A:$C,3,0),""),"")</f>
        <v/>
      </c>
      <c r="G2748" s="75"/>
      <c r="H2748" s="52" t="str">
        <f aca="false">IF(G2748&lt;&gt;"",IFERROR(VLOOKUP(G2748,PRODUCTOS!$A:$B,2,0),"!COD NO ENCONTRADO"),"")</f>
        <v/>
      </c>
      <c r="I2748" s="77"/>
      <c r="J2748" s="78"/>
      <c r="K2748" s="79"/>
      <c r="L2748" s="80" t="str">
        <f aca="false">IF(AND(J2748&lt;&gt;"",K2748&lt;&gt;""),J2748*K2748,"")</f>
        <v/>
      </c>
      <c r="M2748" s="81" t="str">
        <f aca="false">IF(L2748&lt;&gt;"",L2748*1.1,"")</f>
        <v/>
      </c>
      <c r="N2748" s="53" t="n">
        <f aca="false">IF(F2748="S",L2748*0.02,0)</f>
        <v>0</v>
      </c>
      <c r="O2748" s="82" t="str">
        <f aca="false">IF(L2748&lt;&gt;"",L2748+N2748,"")</f>
        <v/>
      </c>
      <c r="P2748" s="53" t="str">
        <f aca="false">IF(O2748&lt;&gt;"",O2748*0.1,"")</f>
        <v/>
      </c>
      <c r="Q2748" s="83" t="str">
        <f aca="false">IF(O2748&lt;&gt;"",O2748+P2748,"")</f>
        <v/>
      </c>
      <c r="R2748" s="84"/>
    </row>
    <row r="2749" customFormat="false" ht="15" hidden="false" customHeight="true" outlineLevel="0" collapsed="false">
      <c r="A2749" s="103"/>
      <c r="B2749" s="85"/>
      <c r="C2749" s="86"/>
      <c r="D2749" s="87"/>
      <c r="E2749" s="46" t="str">
        <f aca="false">IF(D2749&lt;&gt;"",IFERROR(VLOOKUP(D2749,PROVEEDORES!$A:$B,2,0),"!COD NO ENCONTRADO"),"")</f>
        <v/>
      </c>
      <c r="F2749" s="88" t="str">
        <f aca="false">IF(D2749&lt;&gt;"",IFERROR(VLOOKUP(D2749,PROVEEDORES!$A:$C,3,0),""),"")</f>
        <v/>
      </c>
      <c r="G2749" s="87"/>
      <c r="H2749" s="46" t="str">
        <f aca="false">IF(G2749&lt;&gt;"",IFERROR(VLOOKUP(G2749,PRODUCTOS!$A:$B,2,0),"!COD NO ENCONTRADO"),"")</f>
        <v/>
      </c>
      <c r="I2749" s="89"/>
      <c r="J2749" s="90"/>
      <c r="K2749" s="91"/>
      <c r="L2749" s="80" t="str">
        <f aca="false">IF(AND(J2749&lt;&gt;"",K2749&lt;&gt;""),J2749*K2749,"")</f>
        <v/>
      </c>
      <c r="M2749" s="81" t="str">
        <f aca="false">IF(L2749&lt;&gt;"",L2749*1.1,"")</f>
        <v/>
      </c>
      <c r="N2749" s="47" t="n">
        <f aca="false">IF(F2749="S",L2749*0.02,0)</f>
        <v>0</v>
      </c>
      <c r="O2749" s="82" t="str">
        <f aca="false">IF(L2749&lt;&gt;"",L2749+N2749,"")</f>
        <v/>
      </c>
      <c r="P2749" s="47" t="str">
        <f aca="false">IF(O2749&lt;&gt;"",O2749*0.1,"")</f>
        <v/>
      </c>
      <c r="Q2749" s="83" t="str">
        <f aca="false">IF(O2749&lt;&gt;"",O2749+P2749,"")</f>
        <v/>
      </c>
      <c r="R2749" s="84"/>
    </row>
    <row r="2750" customFormat="false" ht="15" hidden="false" customHeight="true" outlineLevel="0" collapsed="false">
      <c r="A2750" s="103"/>
      <c r="B2750" s="73"/>
      <c r="C2750" s="74"/>
      <c r="D2750" s="75"/>
      <c r="E2750" s="52" t="str">
        <f aca="false">IF(D2750&lt;&gt;"",IFERROR(VLOOKUP(D2750,PROVEEDORES!$A:$B,2,0),"!COD NO ENCONTRADO"),"")</f>
        <v/>
      </c>
      <c r="F2750" s="76" t="str">
        <f aca="false">IF(D2750&lt;&gt;"",IFERROR(VLOOKUP(D2750,PROVEEDORES!$A:$C,3,0),""),"")</f>
        <v/>
      </c>
      <c r="G2750" s="75"/>
      <c r="H2750" s="52" t="str">
        <f aca="false">IF(G2750&lt;&gt;"",IFERROR(VLOOKUP(G2750,PRODUCTOS!$A:$B,2,0),"!COD NO ENCONTRADO"),"")</f>
        <v/>
      </c>
      <c r="I2750" s="77"/>
      <c r="J2750" s="78"/>
      <c r="K2750" s="79"/>
      <c r="L2750" s="80" t="str">
        <f aca="false">IF(AND(J2750&lt;&gt;"",K2750&lt;&gt;""),J2750*K2750,"")</f>
        <v/>
      </c>
      <c r="M2750" s="81" t="str">
        <f aca="false">IF(L2750&lt;&gt;"",L2750*1.1,"")</f>
        <v/>
      </c>
      <c r="N2750" s="53" t="n">
        <f aca="false">IF(F2750="S",L2750*0.02,0)</f>
        <v>0</v>
      </c>
      <c r="O2750" s="82" t="str">
        <f aca="false">IF(L2750&lt;&gt;"",L2750+N2750,"")</f>
        <v/>
      </c>
      <c r="P2750" s="53" t="str">
        <f aca="false">IF(O2750&lt;&gt;"",O2750*0.1,"")</f>
        <v/>
      </c>
      <c r="Q2750" s="83" t="str">
        <f aca="false">IF(O2750&lt;&gt;"",O2750+P2750,"")</f>
        <v/>
      </c>
      <c r="R2750" s="84"/>
    </row>
    <row r="2751" customFormat="false" ht="15" hidden="false" customHeight="true" outlineLevel="0" collapsed="false">
      <c r="A2751" s="103"/>
      <c r="B2751" s="85"/>
      <c r="C2751" s="86"/>
      <c r="D2751" s="87"/>
      <c r="E2751" s="46" t="str">
        <f aca="false">IF(D2751&lt;&gt;"",IFERROR(VLOOKUP(D2751,PROVEEDORES!$A:$B,2,0),"!COD NO ENCONTRADO"),"")</f>
        <v/>
      </c>
      <c r="F2751" s="88" t="str">
        <f aca="false">IF(D2751&lt;&gt;"",IFERROR(VLOOKUP(D2751,PROVEEDORES!$A:$C,3,0),""),"")</f>
        <v/>
      </c>
      <c r="G2751" s="87"/>
      <c r="H2751" s="46" t="str">
        <f aca="false">IF(G2751&lt;&gt;"",IFERROR(VLOOKUP(G2751,PRODUCTOS!$A:$B,2,0),"!COD NO ENCONTRADO"),"")</f>
        <v/>
      </c>
      <c r="I2751" s="89"/>
      <c r="J2751" s="90"/>
      <c r="K2751" s="91"/>
      <c r="L2751" s="80" t="str">
        <f aca="false">IF(AND(J2751&lt;&gt;"",K2751&lt;&gt;""),J2751*K2751,"")</f>
        <v/>
      </c>
      <c r="M2751" s="81" t="str">
        <f aca="false">IF(L2751&lt;&gt;"",L2751*1.1,"")</f>
        <v/>
      </c>
      <c r="N2751" s="47" t="n">
        <f aca="false">IF(F2751="S",L2751*0.02,0)</f>
        <v>0</v>
      </c>
      <c r="O2751" s="82" t="str">
        <f aca="false">IF(L2751&lt;&gt;"",L2751+N2751,"")</f>
        <v/>
      </c>
      <c r="P2751" s="47" t="str">
        <f aca="false">IF(O2751&lt;&gt;"",O2751*0.1,"")</f>
        <v/>
      </c>
      <c r="Q2751" s="83" t="str">
        <f aca="false">IF(O2751&lt;&gt;"",O2751+P2751,"")</f>
        <v/>
      </c>
      <c r="R2751" s="84"/>
    </row>
    <row r="2752" customFormat="false" ht="15" hidden="false" customHeight="true" outlineLevel="0" collapsed="false">
      <c r="A2752" s="103"/>
      <c r="B2752" s="73"/>
      <c r="C2752" s="74"/>
      <c r="D2752" s="75"/>
      <c r="E2752" s="52" t="str">
        <f aca="false">IF(D2752&lt;&gt;"",IFERROR(VLOOKUP(D2752,PROVEEDORES!$A:$B,2,0),"!COD NO ENCONTRADO"),"")</f>
        <v/>
      </c>
      <c r="F2752" s="76" t="str">
        <f aca="false">IF(D2752&lt;&gt;"",IFERROR(VLOOKUP(D2752,PROVEEDORES!$A:$C,3,0),""),"")</f>
        <v/>
      </c>
      <c r="G2752" s="75"/>
      <c r="H2752" s="52" t="str">
        <f aca="false">IF(G2752&lt;&gt;"",IFERROR(VLOOKUP(G2752,PRODUCTOS!$A:$B,2,0),"!COD NO ENCONTRADO"),"")</f>
        <v/>
      </c>
      <c r="I2752" s="77"/>
      <c r="J2752" s="78"/>
      <c r="K2752" s="79"/>
      <c r="L2752" s="80" t="str">
        <f aca="false">IF(AND(J2752&lt;&gt;"",K2752&lt;&gt;""),J2752*K2752,"")</f>
        <v/>
      </c>
      <c r="M2752" s="81" t="str">
        <f aca="false">IF(L2752&lt;&gt;"",L2752*1.1,"")</f>
        <v/>
      </c>
      <c r="N2752" s="53" t="n">
        <f aca="false">IF(F2752="S",L2752*0.02,0)</f>
        <v>0</v>
      </c>
      <c r="O2752" s="82" t="str">
        <f aca="false">IF(L2752&lt;&gt;"",L2752+N2752,"")</f>
        <v/>
      </c>
      <c r="P2752" s="53" t="str">
        <f aca="false">IF(O2752&lt;&gt;"",O2752*0.1,"")</f>
        <v/>
      </c>
      <c r="Q2752" s="83" t="str">
        <f aca="false">IF(O2752&lt;&gt;"",O2752+P2752,"")</f>
        <v/>
      </c>
      <c r="R2752" s="84"/>
    </row>
    <row r="2753" customFormat="false" ht="15" hidden="false" customHeight="true" outlineLevel="0" collapsed="false">
      <c r="A2753" s="103"/>
      <c r="B2753" s="85"/>
      <c r="C2753" s="86"/>
      <c r="D2753" s="87"/>
      <c r="E2753" s="46" t="str">
        <f aca="false">IF(D2753&lt;&gt;"",IFERROR(VLOOKUP(D2753,PROVEEDORES!$A:$B,2,0),"!COD NO ENCONTRADO"),"")</f>
        <v/>
      </c>
      <c r="F2753" s="88" t="str">
        <f aca="false">IF(D2753&lt;&gt;"",IFERROR(VLOOKUP(D2753,PROVEEDORES!$A:$C,3,0),""),"")</f>
        <v/>
      </c>
      <c r="G2753" s="87"/>
      <c r="H2753" s="46" t="str">
        <f aca="false">IF(G2753&lt;&gt;"",IFERROR(VLOOKUP(G2753,PRODUCTOS!$A:$B,2,0),"!COD NO ENCONTRADO"),"")</f>
        <v/>
      </c>
      <c r="I2753" s="89"/>
      <c r="J2753" s="90"/>
      <c r="K2753" s="91"/>
      <c r="L2753" s="80" t="str">
        <f aca="false">IF(AND(J2753&lt;&gt;"",K2753&lt;&gt;""),J2753*K2753,"")</f>
        <v/>
      </c>
      <c r="M2753" s="81" t="str">
        <f aca="false">IF(L2753&lt;&gt;"",L2753*1.1,"")</f>
        <v/>
      </c>
      <c r="N2753" s="47" t="n">
        <f aca="false">IF(F2753="S",L2753*0.02,0)</f>
        <v>0</v>
      </c>
      <c r="O2753" s="82" t="str">
        <f aca="false">IF(L2753&lt;&gt;"",L2753+N2753,"")</f>
        <v/>
      </c>
      <c r="P2753" s="47" t="str">
        <f aca="false">IF(O2753&lt;&gt;"",O2753*0.1,"")</f>
        <v/>
      </c>
      <c r="Q2753" s="83" t="str">
        <f aca="false">IF(O2753&lt;&gt;"",O2753+P2753,"")</f>
        <v/>
      </c>
      <c r="R2753" s="84"/>
    </row>
    <row r="2754" customFormat="false" ht="15" hidden="false" customHeight="true" outlineLevel="0" collapsed="false">
      <c r="A2754" s="103"/>
      <c r="B2754" s="73"/>
      <c r="C2754" s="74"/>
      <c r="D2754" s="75"/>
      <c r="E2754" s="52" t="str">
        <f aca="false">IF(D2754&lt;&gt;"",IFERROR(VLOOKUP(D2754,PROVEEDORES!$A:$B,2,0),"!COD NO ENCONTRADO"),"")</f>
        <v/>
      </c>
      <c r="F2754" s="76" t="str">
        <f aca="false">IF(D2754&lt;&gt;"",IFERROR(VLOOKUP(D2754,PROVEEDORES!$A:$C,3,0),""),"")</f>
        <v/>
      </c>
      <c r="G2754" s="75"/>
      <c r="H2754" s="52" t="str">
        <f aca="false">IF(G2754&lt;&gt;"",IFERROR(VLOOKUP(G2754,PRODUCTOS!$A:$B,2,0),"!COD NO ENCONTRADO"),"")</f>
        <v/>
      </c>
      <c r="I2754" s="77"/>
      <c r="J2754" s="78"/>
      <c r="K2754" s="79"/>
      <c r="L2754" s="80" t="str">
        <f aca="false">IF(AND(J2754&lt;&gt;"",K2754&lt;&gt;""),J2754*K2754,"")</f>
        <v/>
      </c>
      <c r="M2754" s="81" t="str">
        <f aca="false">IF(L2754&lt;&gt;"",L2754*1.1,"")</f>
        <v/>
      </c>
      <c r="N2754" s="53" t="n">
        <f aca="false">IF(F2754="S",L2754*0.02,0)</f>
        <v>0</v>
      </c>
      <c r="O2754" s="82" t="str">
        <f aca="false">IF(L2754&lt;&gt;"",L2754+N2754,"")</f>
        <v/>
      </c>
      <c r="P2754" s="53" t="str">
        <f aca="false">IF(O2754&lt;&gt;"",O2754*0.1,"")</f>
        <v/>
      </c>
      <c r="Q2754" s="83" t="str">
        <f aca="false">IF(O2754&lt;&gt;"",O2754+P2754,"")</f>
        <v/>
      </c>
      <c r="R2754" s="84"/>
    </row>
    <row r="2755" customFormat="false" ht="15" hidden="false" customHeight="true" outlineLevel="0" collapsed="false">
      <c r="A2755" s="103"/>
      <c r="B2755" s="85"/>
      <c r="C2755" s="86"/>
      <c r="D2755" s="87"/>
      <c r="E2755" s="46" t="str">
        <f aca="false">IF(D2755&lt;&gt;"",IFERROR(VLOOKUP(D2755,PROVEEDORES!$A:$B,2,0),"!COD NO ENCONTRADO"),"")</f>
        <v/>
      </c>
      <c r="F2755" s="88" t="str">
        <f aca="false">IF(D2755&lt;&gt;"",IFERROR(VLOOKUP(D2755,PROVEEDORES!$A:$C,3,0),""),"")</f>
        <v/>
      </c>
      <c r="G2755" s="87"/>
      <c r="H2755" s="46" t="str">
        <f aca="false">IF(G2755&lt;&gt;"",IFERROR(VLOOKUP(G2755,PRODUCTOS!$A:$B,2,0),"!COD NO ENCONTRADO"),"")</f>
        <v/>
      </c>
      <c r="I2755" s="89"/>
      <c r="J2755" s="90"/>
      <c r="K2755" s="91"/>
      <c r="L2755" s="80" t="str">
        <f aca="false">IF(AND(J2755&lt;&gt;"",K2755&lt;&gt;""),J2755*K2755,"")</f>
        <v/>
      </c>
      <c r="M2755" s="81" t="str">
        <f aca="false">IF(L2755&lt;&gt;"",L2755*1.1,"")</f>
        <v/>
      </c>
      <c r="N2755" s="47" t="n">
        <f aca="false">IF(F2755="S",L2755*0.02,0)</f>
        <v>0</v>
      </c>
      <c r="O2755" s="82" t="str">
        <f aca="false">IF(L2755&lt;&gt;"",L2755+N2755,"")</f>
        <v/>
      </c>
      <c r="P2755" s="47" t="str">
        <f aca="false">IF(O2755&lt;&gt;"",O2755*0.1,"")</f>
        <v/>
      </c>
      <c r="Q2755" s="83" t="str">
        <f aca="false">IF(O2755&lt;&gt;"",O2755+P2755,"")</f>
        <v/>
      </c>
      <c r="R2755" s="84"/>
    </row>
    <row r="2756" customFormat="false" ht="15" hidden="false" customHeight="true" outlineLevel="0" collapsed="false">
      <c r="A2756" s="103"/>
      <c r="B2756" s="73"/>
      <c r="C2756" s="74"/>
      <c r="D2756" s="75"/>
      <c r="E2756" s="52" t="str">
        <f aca="false">IF(D2756&lt;&gt;"",IFERROR(VLOOKUP(D2756,PROVEEDORES!$A:$B,2,0),"!COD NO ENCONTRADO"),"")</f>
        <v/>
      </c>
      <c r="F2756" s="76" t="str">
        <f aca="false">IF(D2756&lt;&gt;"",IFERROR(VLOOKUP(D2756,PROVEEDORES!$A:$C,3,0),""),"")</f>
        <v/>
      </c>
      <c r="G2756" s="75"/>
      <c r="H2756" s="52" t="str">
        <f aca="false">IF(G2756&lt;&gt;"",IFERROR(VLOOKUP(G2756,PRODUCTOS!$A:$B,2,0),"!COD NO ENCONTRADO"),"")</f>
        <v/>
      </c>
      <c r="I2756" s="77"/>
      <c r="J2756" s="78"/>
      <c r="K2756" s="79"/>
      <c r="L2756" s="80" t="str">
        <f aca="false">IF(AND(J2756&lt;&gt;"",K2756&lt;&gt;""),J2756*K2756,"")</f>
        <v/>
      </c>
      <c r="M2756" s="81" t="str">
        <f aca="false">IF(L2756&lt;&gt;"",L2756*1.1,"")</f>
        <v/>
      </c>
      <c r="N2756" s="53" t="n">
        <f aca="false">IF(F2756="S",L2756*0.02,0)</f>
        <v>0</v>
      </c>
      <c r="O2756" s="82" t="str">
        <f aca="false">IF(L2756&lt;&gt;"",L2756+N2756,"")</f>
        <v/>
      </c>
      <c r="P2756" s="53" t="str">
        <f aca="false">IF(O2756&lt;&gt;"",O2756*0.1,"")</f>
        <v/>
      </c>
      <c r="Q2756" s="83" t="str">
        <f aca="false">IF(O2756&lt;&gt;"",O2756+P2756,"")</f>
        <v/>
      </c>
      <c r="R2756" s="84"/>
    </row>
    <row r="2757" customFormat="false" ht="15" hidden="false" customHeight="true" outlineLevel="0" collapsed="false">
      <c r="A2757" s="103"/>
      <c r="B2757" s="85"/>
      <c r="C2757" s="86"/>
      <c r="D2757" s="87"/>
      <c r="E2757" s="46" t="str">
        <f aca="false">IF(D2757&lt;&gt;"",IFERROR(VLOOKUP(D2757,PROVEEDORES!$A:$B,2,0),"!COD NO ENCONTRADO"),"")</f>
        <v/>
      </c>
      <c r="F2757" s="88" t="str">
        <f aca="false">IF(D2757&lt;&gt;"",IFERROR(VLOOKUP(D2757,PROVEEDORES!$A:$C,3,0),""),"")</f>
        <v/>
      </c>
      <c r="G2757" s="87"/>
      <c r="H2757" s="46" t="str">
        <f aca="false">IF(G2757&lt;&gt;"",IFERROR(VLOOKUP(G2757,PRODUCTOS!$A:$B,2,0),"!COD NO ENCONTRADO"),"")</f>
        <v/>
      </c>
      <c r="I2757" s="89"/>
      <c r="J2757" s="90"/>
      <c r="K2757" s="91"/>
      <c r="L2757" s="80" t="str">
        <f aca="false">IF(AND(J2757&lt;&gt;"",K2757&lt;&gt;""),J2757*K2757,"")</f>
        <v/>
      </c>
      <c r="M2757" s="81" t="str">
        <f aca="false">IF(L2757&lt;&gt;"",L2757*1.1,"")</f>
        <v/>
      </c>
      <c r="N2757" s="47" t="n">
        <f aca="false">IF(F2757="S",L2757*0.02,0)</f>
        <v>0</v>
      </c>
      <c r="O2757" s="82" t="str">
        <f aca="false">IF(L2757&lt;&gt;"",L2757+N2757,"")</f>
        <v/>
      </c>
      <c r="P2757" s="47" t="str">
        <f aca="false">IF(O2757&lt;&gt;"",O2757*0.1,"")</f>
        <v/>
      </c>
      <c r="Q2757" s="83" t="str">
        <f aca="false">IF(O2757&lt;&gt;"",O2757+P2757,"")</f>
        <v/>
      </c>
      <c r="R2757" s="84"/>
    </row>
    <row r="2758" customFormat="false" ht="15" hidden="false" customHeight="true" outlineLevel="0" collapsed="false">
      <c r="A2758" s="103"/>
      <c r="B2758" s="73"/>
      <c r="C2758" s="74"/>
      <c r="D2758" s="75"/>
      <c r="E2758" s="52" t="str">
        <f aca="false">IF(D2758&lt;&gt;"",IFERROR(VLOOKUP(D2758,PROVEEDORES!$A:$B,2,0),"!COD NO ENCONTRADO"),"")</f>
        <v/>
      </c>
      <c r="F2758" s="76" t="str">
        <f aca="false">IF(D2758&lt;&gt;"",IFERROR(VLOOKUP(D2758,PROVEEDORES!$A:$C,3,0),""),"")</f>
        <v/>
      </c>
      <c r="G2758" s="75"/>
      <c r="H2758" s="52" t="str">
        <f aca="false">IF(G2758&lt;&gt;"",IFERROR(VLOOKUP(G2758,PRODUCTOS!$A:$B,2,0),"!COD NO ENCONTRADO"),"")</f>
        <v/>
      </c>
      <c r="I2758" s="77"/>
      <c r="J2758" s="78"/>
      <c r="K2758" s="79"/>
      <c r="L2758" s="80" t="str">
        <f aca="false">IF(AND(J2758&lt;&gt;"",K2758&lt;&gt;""),J2758*K2758,"")</f>
        <v/>
      </c>
      <c r="M2758" s="81" t="str">
        <f aca="false">IF(L2758&lt;&gt;"",L2758*1.1,"")</f>
        <v/>
      </c>
      <c r="N2758" s="53" t="n">
        <f aca="false">IF(F2758="S",L2758*0.02,0)</f>
        <v>0</v>
      </c>
      <c r="O2758" s="82" t="str">
        <f aca="false">IF(L2758&lt;&gt;"",L2758+N2758,"")</f>
        <v/>
      </c>
      <c r="P2758" s="53" t="str">
        <f aca="false">IF(O2758&lt;&gt;"",O2758*0.1,"")</f>
        <v/>
      </c>
      <c r="Q2758" s="83" t="str">
        <f aca="false">IF(O2758&lt;&gt;"",O2758+P2758,"")</f>
        <v/>
      </c>
      <c r="R2758" s="84"/>
    </row>
    <row r="2759" customFormat="false" ht="15" hidden="false" customHeight="true" outlineLevel="0" collapsed="false">
      <c r="A2759" s="103"/>
      <c r="B2759" s="85"/>
      <c r="C2759" s="86"/>
      <c r="D2759" s="87"/>
      <c r="E2759" s="46" t="str">
        <f aca="false">IF(D2759&lt;&gt;"",IFERROR(VLOOKUP(D2759,PROVEEDORES!$A:$B,2,0),"!COD NO ENCONTRADO"),"")</f>
        <v/>
      </c>
      <c r="F2759" s="88" t="str">
        <f aca="false">IF(D2759&lt;&gt;"",IFERROR(VLOOKUP(D2759,PROVEEDORES!$A:$C,3,0),""),"")</f>
        <v/>
      </c>
      <c r="G2759" s="87"/>
      <c r="H2759" s="46" t="str">
        <f aca="false">IF(G2759&lt;&gt;"",IFERROR(VLOOKUP(G2759,PRODUCTOS!$A:$B,2,0),"!COD NO ENCONTRADO"),"")</f>
        <v/>
      </c>
      <c r="I2759" s="89"/>
      <c r="J2759" s="90"/>
      <c r="K2759" s="91"/>
      <c r="L2759" s="80" t="str">
        <f aca="false">IF(AND(J2759&lt;&gt;"",K2759&lt;&gt;""),J2759*K2759,"")</f>
        <v/>
      </c>
      <c r="M2759" s="81" t="str">
        <f aca="false">IF(L2759&lt;&gt;"",L2759*1.1,"")</f>
        <v/>
      </c>
      <c r="N2759" s="47" t="n">
        <f aca="false">IF(F2759="S",L2759*0.02,0)</f>
        <v>0</v>
      </c>
      <c r="O2759" s="82" t="str">
        <f aca="false">IF(L2759&lt;&gt;"",L2759+N2759,"")</f>
        <v/>
      </c>
      <c r="P2759" s="47" t="str">
        <f aca="false">IF(O2759&lt;&gt;"",O2759*0.1,"")</f>
        <v/>
      </c>
      <c r="Q2759" s="83" t="str">
        <f aca="false">IF(O2759&lt;&gt;"",O2759+P2759,"")</f>
        <v/>
      </c>
      <c r="R2759" s="84"/>
    </row>
    <row r="2760" customFormat="false" ht="15" hidden="false" customHeight="true" outlineLevel="0" collapsed="false">
      <c r="A2760" s="103"/>
      <c r="B2760" s="73"/>
      <c r="C2760" s="74"/>
      <c r="D2760" s="75"/>
      <c r="E2760" s="52" t="str">
        <f aca="false">IF(D2760&lt;&gt;"",IFERROR(VLOOKUP(D2760,PROVEEDORES!$A:$B,2,0),"!COD NO ENCONTRADO"),"")</f>
        <v/>
      </c>
      <c r="F2760" s="76" t="str">
        <f aca="false">IF(D2760&lt;&gt;"",IFERROR(VLOOKUP(D2760,PROVEEDORES!$A:$C,3,0),""),"")</f>
        <v/>
      </c>
      <c r="G2760" s="75"/>
      <c r="H2760" s="52" t="str">
        <f aca="false">IF(G2760&lt;&gt;"",IFERROR(VLOOKUP(G2760,PRODUCTOS!$A:$B,2,0),"!COD NO ENCONTRADO"),"")</f>
        <v/>
      </c>
      <c r="I2760" s="77"/>
      <c r="J2760" s="78"/>
      <c r="K2760" s="79"/>
      <c r="L2760" s="80" t="str">
        <f aca="false">IF(AND(J2760&lt;&gt;"",K2760&lt;&gt;""),J2760*K2760,"")</f>
        <v/>
      </c>
      <c r="M2760" s="81" t="str">
        <f aca="false">IF(L2760&lt;&gt;"",L2760*1.1,"")</f>
        <v/>
      </c>
      <c r="N2760" s="53" t="n">
        <f aca="false">IF(F2760="S",L2760*0.02,0)</f>
        <v>0</v>
      </c>
      <c r="O2760" s="82" t="str">
        <f aca="false">IF(L2760&lt;&gt;"",L2760+N2760,"")</f>
        <v/>
      </c>
      <c r="P2760" s="53" t="str">
        <f aca="false">IF(O2760&lt;&gt;"",O2760*0.1,"")</f>
        <v/>
      </c>
      <c r="Q2760" s="83" t="str">
        <f aca="false">IF(O2760&lt;&gt;"",O2760+P2760,"")</f>
        <v/>
      </c>
      <c r="R2760" s="84"/>
    </row>
    <row r="2761" customFormat="false" ht="15" hidden="false" customHeight="true" outlineLevel="0" collapsed="false">
      <c r="A2761" s="103"/>
      <c r="B2761" s="85"/>
      <c r="C2761" s="86"/>
      <c r="D2761" s="87"/>
      <c r="E2761" s="46" t="str">
        <f aca="false">IF(D2761&lt;&gt;"",IFERROR(VLOOKUP(D2761,PROVEEDORES!$A:$B,2,0),"!COD NO ENCONTRADO"),"")</f>
        <v/>
      </c>
      <c r="F2761" s="88" t="str">
        <f aca="false">IF(D2761&lt;&gt;"",IFERROR(VLOOKUP(D2761,PROVEEDORES!$A:$C,3,0),""),"")</f>
        <v/>
      </c>
      <c r="G2761" s="87"/>
      <c r="H2761" s="46" t="str">
        <f aca="false">IF(G2761&lt;&gt;"",IFERROR(VLOOKUP(G2761,PRODUCTOS!$A:$B,2,0),"!COD NO ENCONTRADO"),"")</f>
        <v/>
      </c>
      <c r="I2761" s="89"/>
      <c r="J2761" s="90"/>
      <c r="K2761" s="91"/>
      <c r="L2761" s="80" t="str">
        <f aca="false">IF(AND(J2761&lt;&gt;"",K2761&lt;&gt;""),J2761*K2761,"")</f>
        <v/>
      </c>
      <c r="M2761" s="81" t="str">
        <f aca="false">IF(L2761&lt;&gt;"",L2761*1.1,"")</f>
        <v/>
      </c>
      <c r="N2761" s="47" t="n">
        <f aca="false">IF(F2761="S",L2761*0.02,0)</f>
        <v>0</v>
      </c>
      <c r="O2761" s="82" t="str">
        <f aca="false">IF(L2761&lt;&gt;"",L2761+N2761,"")</f>
        <v/>
      </c>
      <c r="P2761" s="47" t="str">
        <f aca="false">IF(O2761&lt;&gt;"",O2761*0.1,"")</f>
        <v/>
      </c>
      <c r="Q2761" s="83" t="str">
        <f aca="false">IF(O2761&lt;&gt;"",O2761+P2761,"")</f>
        <v/>
      </c>
      <c r="R2761" s="84"/>
    </row>
    <row r="2762" customFormat="false" ht="15" hidden="false" customHeight="true" outlineLevel="0" collapsed="false">
      <c r="A2762" s="103"/>
      <c r="B2762" s="73"/>
      <c r="C2762" s="74"/>
      <c r="D2762" s="75"/>
      <c r="E2762" s="52" t="str">
        <f aca="false">IF(D2762&lt;&gt;"",IFERROR(VLOOKUP(D2762,PROVEEDORES!$A:$B,2,0),"!COD NO ENCONTRADO"),"")</f>
        <v/>
      </c>
      <c r="F2762" s="76" t="str">
        <f aca="false">IF(D2762&lt;&gt;"",IFERROR(VLOOKUP(D2762,PROVEEDORES!$A:$C,3,0),""),"")</f>
        <v/>
      </c>
      <c r="G2762" s="75"/>
      <c r="H2762" s="52" t="str">
        <f aca="false">IF(G2762&lt;&gt;"",IFERROR(VLOOKUP(G2762,PRODUCTOS!$A:$B,2,0),"!COD NO ENCONTRADO"),"")</f>
        <v/>
      </c>
      <c r="I2762" s="77"/>
      <c r="J2762" s="78"/>
      <c r="K2762" s="79"/>
      <c r="L2762" s="80" t="str">
        <f aca="false">IF(AND(J2762&lt;&gt;"",K2762&lt;&gt;""),J2762*K2762,"")</f>
        <v/>
      </c>
      <c r="M2762" s="81" t="str">
        <f aca="false">IF(L2762&lt;&gt;"",L2762*1.1,"")</f>
        <v/>
      </c>
      <c r="N2762" s="53" t="n">
        <f aca="false">IF(F2762="S",L2762*0.02,0)</f>
        <v>0</v>
      </c>
      <c r="O2762" s="82" t="str">
        <f aca="false">IF(L2762&lt;&gt;"",L2762+N2762,"")</f>
        <v/>
      </c>
      <c r="P2762" s="53" t="str">
        <f aca="false">IF(O2762&lt;&gt;"",O2762*0.1,"")</f>
        <v/>
      </c>
      <c r="Q2762" s="83" t="str">
        <f aca="false">IF(O2762&lt;&gt;"",O2762+P2762,"")</f>
        <v/>
      </c>
      <c r="R2762" s="84"/>
    </row>
    <row r="2763" customFormat="false" ht="15" hidden="false" customHeight="true" outlineLevel="0" collapsed="false">
      <c r="A2763" s="103"/>
      <c r="B2763" s="85"/>
      <c r="C2763" s="86"/>
      <c r="D2763" s="87"/>
      <c r="E2763" s="46" t="str">
        <f aca="false">IF(D2763&lt;&gt;"",IFERROR(VLOOKUP(D2763,PROVEEDORES!$A:$B,2,0),"!COD NO ENCONTRADO"),"")</f>
        <v/>
      </c>
      <c r="F2763" s="88" t="str">
        <f aca="false">IF(D2763&lt;&gt;"",IFERROR(VLOOKUP(D2763,PROVEEDORES!$A:$C,3,0),""),"")</f>
        <v/>
      </c>
      <c r="G2763" s="87"/>
      <c r="H2763" s="46" t="str">
        <f aca="false">IF(G2763&lt;&gt;"",IFERROR(VLOOKUP(G2763,PRODUCTOS!$A:$B,2,0),"!COD NO ENCONTRADO"),"")</f>
        <v/>
      </c>
      <c r="I2763" s="89"/>
      <c r="J2763" s="90"/>
      <c r="K2763" s="91"/>
      <c r="L2763" s="80" t="str">
        <f aca="false">IF(AND(J2763&lt;&gt;"",K2763&lt;&gt;""),J2763*K2763,"")</f>
        <v/>
      </c>
      <c r="M2763" s="81" t="str">
        <f aca="false">IF(L2763&lt;&gt;"",L2763*1.1,"")</f>
        <v/>
      </c>
      <c r="N2763" s="47" t="n">
        <f aca="false">IF(F2763="S",L2763*0.02,0)</f>
        <v>0</v>
      </c>
      <c r="O2763" s="82" t="str">
        <f aca="false">IF(L2763&lt;&gt;"",L2763+N2763,"")</f>
        <v/>
      </c>
      <c r="P2763" s="47" t="str">
        <f aca="false">IF(O2763&lt;&gt;"",O2763*0.1,"")</f>
        <v/>
      </c>
      <c r="Q2763" s="83" t="str">
        <f aca="false">IF(O2763&lt;&gt;"",O2763+P2763,"")</f>
        <v/>
      </c>
      <c r="R2763" s="84"/>
    </row>
    <row r="2764" customFormat="false" ht="15" hidden="false" customHeight="true" outlineLevel="0" collapsed="false">
      <c r="A2764" s="103"/>
      <c r="B2764" s="73"/>
      <c r="C2764" s="74"/>
      <c r="D2764" s="75"/>
      <c r="E2764" s="52" t="str">
        <f aca="false">IF(D2764&lt;&gt;"",IFERROR(VLOOKUP(D2764,PROVEEDORES!$A:$B,2,0),"!COD NO ENCONTRADO"),"")</f>
        <v/>
      </c>
      <c r="F2764" s="76" t="str">
        <f aca="false">IF(D2764&lt;&gt;"",IFERROR(VLOOKUP(D2764,PROVEEDORES!$A:$C,3,0),""),"")</f>
        <v/>
      </c>
      <c r="G2764" s="75"/>
      <c r="H2764" s="52" t="str">
        <f aca="false">IF(G2764&lt;&gt;"",IFERROR(VLOOKUP(G2764,PRODUCTOS!$A:$B,2,0),"!COD NO ENCONTRADO"),"")</f>
        <v/>
      </c>
      <c r="I2764" s="77"/>
      <c r="J2764" s="78"/>
      <c r="K2764" s="79"/>
      <c r="L2764" s="80" t="str">
        <f aca="false">IF(AND(J2764&lt;&gt;"",K2764&lt;&gt;""),J2764*K2764,"")</f>
        <v/>
      </c>
      <c r="M2764" s="81" t="str">
        <f aca="false">IF(L2764&lt;&gt;"",L2764*1.1,"")</f>
        <v/>
      </c>
      <c r="N2764" s="53" t="n">
        <f aca="false">IF(F2764="S",L2764*0.02,0)</f>
        <v>0</v>
      </c>
      <c r="O2764" s="82" t="str">
        <f aca="false">IF(L2764&lt;&gt;"",L2764+N2764,"")</f>
        <v/>
      </c>
      <c r="P2764" s="53" t="str">
        <f aca="false">IF(O2764&lt;&gt;"",O2764*0.1,"")</f>
        <v/>
      </c>
      <c r="Q2764" s="83" t="str">
        <f aca="false">IF(O2764&lt;&gt;"",O2764+P2764,"")</f>
        <v/>
      </c>
      <c r="R2764" s="84"/>
    </row>
    <row r="2765" customFormat="false" ht="15" hidden="false" customHeight="true" outlineLevel="0" collapsed="false">
      <c r="A2765" s="103"/>
      <c r="B2765" s="85"/>
      <c r="C2765" s="86"/>
      <c r="D2765" s="87"/>
      <c r="E2765" s="46" t="str">
        <f aca="false">IF(D2765&lt;&gt;"",IFERROR(VLOOKUP(D2765,PROVEEDORES!$A:$B,2,0),"!COD NO ENCONTRADO"),"")</f>
        <v/>
      </c>
      <c r="F2765" s="88" t="str">
        <f aca="false">IF(D2765&lt;&gt;"",IFERROR(VLOOKUP(D2765,PROVEEDORES!$A:$C,3,0),""),"")</f>
        <v/>
      </c>
      <c r="G2765" s="87"/>
      <c r="H2765" s="46" t="str">
        <f aca="false">IF(G2765&lt;&gt;"",IFERROR(VLOOKUP(G2765,PRODUCTOS!$A:$B,2,0),"!COD NO ENCONTRADO"),"")</f>
        <v/>
      </c>
      <c r="I2765" s="89"/>
      <c r="J2765" s="90"/>
      <c r="K2765" s="91"/>
      <c r="L2765" s="80" t="str">
        <f aca="false">IF(AND(J2765&lt;&gt;"",K2765&lt;&gt;""),J2765*K2765,"")</f>
        <v/>
      </c>
      <c r="M2765" s="81" t="str">
        <f aca="false">IF(L2765&lt;&gt;"",L2765*1.1,"")</f>
        <v/>
      </c>
      <c r="N2765" s="47" t="n">
        <f aca="false">IF(F2765="S",L2765*0.02,0)</f>
        <v>0</v>
      </c>
      <c r="O2765" s="82" t="str">
        <f aca="false">IF(L2765&lt;&gt;"",L2765+N2765,"")</f>
        <v/>
      </c>
      <c r="P2765" s="47" t="str">
        <f aca="false">IF(O2765&lt;&gt;"",O2765*0.1,"")</f>
        <v/>
      </c>
      <c r="Q2765" s="83" t="str">
        <f aca="false">IF(O2765&lt;&gt;"",O2765+P2765,"")</f>
        <v/>
      </c>
      <c r="R2765" s="84"/>
    </row>
    <row r="2766" customFormat="false" ht="15" hidden="false" customHeight="true" outlineLevel="0" collapsed="false">
      <c r="A2766" s="103"/>
      <c r="B2766" s="73"/>
      <c r="C2766" s="74"/>
      <c r="D2766" s="75"/>
      <c r="E2766" s="52" t="str">
        <f aca="false">IF(D2766&lt;&gt;"",IFERROR(VLOOKUP(D2766,PROVEEDORES!$A:$B,2,0),"!COD NO ENCONTRADO"),"")</f>
        <v/>
      </c>
      <c r="F2766" s="76" t="str">
        <f aca="false">IF(D2766&lt;&gt;"",IFERROR(VLOOKUP(D2766,PROVEEDORES!$A:$C,3,0),""),"")</f>
        <v/>
      </c>
      <c r="G2766" s="75"/>
      <c r="H2766" s="52" t="str">
        <f aca="false">IF(G2766&lt;&gt;"",IFERROR(VLOOKUP(G2766,PRODUCTOS!$A:$B,2,0),"!COD NO ENCONTRADO"),"")</f>
        <v/>
      </c>
      <c r="I2766" s="77"/>
      <c r="J2766" s="78"/>
      <c r="K2766" s="79"/>
      <c r="L2766" s="80" t="str">
        <f aca="false">IF(AND(J2766&lt;&gt;"",K2766&lt;&gt;""),J2766*K2766,"")</f>
        <v/>
      </c>
      <c r="M2766" s="81" t="str">
        <f aca="false">IF(L2766&lt;&gt;"",L2766*1.1,"")</f>
        <v/>
      </c>
      <c r="N2766" s="53" t="n">
        <f aca="false">IF(F2766="S",L2766*0.02,0)</f>
        <v>0</v>
      </c>
      <c r="O2766" s="82" t="str">
        <f aca="false">IF(L2766&lt;&gt;"",L2766+N2766,"")</f>
        <v/>
      </c>
      <c r="P2766" s="53" t="str">
        <f aca="false">IF(O2766&lt;&gt;"",O2766*0.1,"")</f>
        <v/>
      </c>
      <c r="Q2766" s="83" t="str">
        <f aca="false">IF(O2766&lt;&gt;"",O2766+P2766,"")</f>
        <v/>
      </c>
      <c r="R2766" s="84"/>
    </row>
    <row r="2767" customFormat="false" ht="15" hidden="false" customHeight="true" outlineLevel="0" collapsed="false">
      <c r="A2767" s="103"/>
      <c r="B2767" s="85"/>
      <c r="C2767" s="86"/>
      <c r="D2767" s="87"/>
      <c r="E2767" s="46" t="str">
        <f aca="false">IF(D2767&lt;&gt;"",IFERROR(VLOOKUP(D2767,PROVEEDORES!$A:$B,2,0),"!COD NO ENCONTRADO"),"")</f>
        <v/>
      </c>
      <c r="F2767" s="88" t="str">
        <f aca="false">IF(D2767&lt;&gt;"",IFERROR(VLOOKUP(D2767,PROVEEDORES!$A:$C,3,0),""),"")</f>
        <v/>
      </c>
      <c r="G2767" s="87"/>
      <c r="H2767" s="46" t="str">
        <f aca="false">IF(G2767&lt;&gt;"",IFERROR(VLOOKUP(G2767,PRODUCTOS!$A:$B,2,0),"!COD NO ENCONTRADO"),"")</f>
        <v/>
      </c>
      <c r="I2767" s="89"/>
      <c r="J2767" s="90"/>
      <c r="K2767" s="91"/>
      <c r="L2767" s="80" t="str">
        <f aca="false">IF(AND(J2767&lt;&gt;"",K2767&lt;&gt;""),J2767*K2767,"")</f>
        <v/>
      </c>
      <c r="M2767" s="81" t="str">
        <f aca="false">IF(L2767&lt;&gt;"",L2767*1.1,"")</f>
        <v/>
      </c>
      <c r="N2767" s="47" t="n">
        <f aca="false">IF(F2767="S",L2767*0.02,0)</f>
        <v>0</v>
      </c>
      <c r="O2767" s="82" t="str">
        <f aca="false">IF(L2767&lt;&gt;"",L2767+N2767,"")</f>
        <v/>
      </c>
      <c r="P2767" s="47" t="str">
        <f aca="false">IF(O2767&lt;&gt;"",O2767*0.1,"")</f>
        <v/>
      </c>
      <c r="Q2767" s="83" t="str">
        <f aca="false">IF(O2767&lt;&gt;"",O2767+P2767,"")</f>
        <v/>
      </c>
      <c r="R2767" s="84"/>
    </row>
    <row r="2768" customFormat="false" ht="15" hidden="false" customHeight="true" outlineLevel="0" collapsed="false">
      <c r="A2768" s="103"/>
      <c r="B2768" s="73"/>
      <c r="C2768" s="74"/>
      <c r="D2768" s="75"/>
      <c r="E2768" s="52" t="str">
        <f aca="false">IF(D2768&lt;&gt;"",IFERROR(VLOOKUP(D2768,PROVEEDORES!$A:$B,2,0),"!COD NO ENCONTRADO"),"")</f>
        <v/>
      </c>
      <c r="F2768" s="76" t="str">
        <f aca="false">IF(D2768&lt;&gt;"",IFERROR(VLOOKUP(D2768,PROVEEDORES!$A:$C,3,0),""),"")</f>
        <v/>
      </c>
      <c r="G2768" s="75"/>
      <c r="H2768" s="52" t="str">
        <f aca="false">IF(G2768&lt;&gt;"",IFERROR(VLOOKUP(G2768,PRODUCTOS!$A:$B,2,0),"!COD NO ENCONTRADO"),"")</f>
        <v/>
      </c>
      <c r="I2768" s="77"/>
      <c r="J2768" s="78"/>
      <c r="K2768" s="79"/>
      <c r="L2768" s="80" t="str">
        <f aca="false">IF(AND(J2768&lt;&gt;"",K2768&lt;&gt;""),J2768*K2768,"")</f>
        <v/>
      </c>
      <c r="M2768" s="81" t="str">
        <f aca="false">IF(L2768&lt;&gt;"",L2768*1.1,"")</f>
        <v/>
      </c>
      <c r="N2768" s="53" t="n">
        <f aca="false">IF(F2768="S",L2768*0.02,0)</f>
        <v>0</v>
      </c>
      <c r="O2768" s="82" t="str">
        <f aca="false">IF(L2768&lt;&gt;"",L2768+N2768,"")</f>
        <v/>
      </c>
      <c r="P2768" s="53" t="str">
        <f aca="false">IF(O2768&lt;&gt;"",O2768*0.1,"")</f>
        <v/>
      </c>
      <c r="Q2768" s="83" t="str">
        <f aca="false">IF(O2768&lt;&gt;"",O2768+P2768,"")</f>
        <v/>
      </c>
      <c r="R2768" s="84"/>
    </row>
    <row r="2769" customFormat="false" ht="15" hidden="false" customHeight="true" outlineLevel="0" collapsed="false">
      <c r="A2769" s="103"/>
      <c r="B2769" s="85"/>
      <c r="C2769" s="86"/>
      <c r="D2769" s="87"/>
      <c r="E2769" s="46" t="str">
        <f aca="false">IF(D2769&lt;&gt;"",IFERROR(VLOOKUP(D2769,PROVEEDORES!$A:$B,2,0),"!COD NO ENCONTRADO"),"")</f>
        <v/>
      </c>
      <c r="F2769" s="88" t="str">
        <f aca="false">IF(D2769&lt;&gt;"",IFERROR(VLOOKUP(D2769,PROVEEDORES!$A:$C,3,0),""),"")</f>
        <v/>
      </c>
      <c r="G2769" s="87"/>
      <c r="H2769" s="46" t="str">
        <f aca="false">IF(G2769&lt;&gt;"",IFERROR(VLOOKUP(G2769,PRODUCTOS!$A:$B,2,0),"!COD NO ENCONTRADO"),"")</f>
        <v/>
      </c>
      <c r="I2769" s="89"/>
      <c r="J2769" s="90"/>
      <c r="K2769" s="91"/>
      <c r="L2769" s="80" t="str">
        <f aca="false">IF(AND(J2769&lt;&gt;"",K2769&lt;&gt;""),J2769*K2769,"")</f>
        <v/>
      </c>
      <c r="M2769" s="81" t="str">
        <f aca="false">IF(L2769&lt;&gt;"",L2769*1.1,"")</f>
        <v/>
      </c>
      <c r="N2769" s="47" t="n">
        <f aca="false">IF(F2769="S",L2769*0.02,0)</f>
        <v>0</v>
      </c>
      <c r="O2769" s="82" t="str">
        <f aca="false">IF(L2769&lt;&gt;"",L2769+N2769,"")</f>
        <v/>
      </c>
      <c r="P2769" s="47" t="str">
        <f aca="false">IF(O2769&lt;&gt;"",O2769*0.1,"")</f>
        <v/>
      </c>
      <c r="Q2769" s="83" t="str">
        <f aca="false">IF(O2769&lt;&gt;"",O2769+P2769,"")</f>
        <v/>
      </c>
      <c r="R2769" s="84"/>
    </row>
    <row r="2770" customFormat="false" ht="15" hidden="false" customHeight="true" outlineLevel="0" collapsed="false">
      <c r="A2770" s="103"/>
      <c r="B2770" s="73"/>
      <c r="C2770" s="74"/>
      <c r="D2770" s="75"/>
      <c r="E2770" s="52" t="str">
        <f aca="false">IF(D2770&lt;&gt;"",IFERROR(VLOOKUP(D2770,PROVEEDORES!$A:$B,2,0),"!COD NO ENCONTRADO"),"")</f>
        <v/>
      </c>
      <c r="F2770" s="76" t="str">
        <f aca="false">IF(D2770&lt;&gt;"",IFERROR(VLOOKUP(D2770,PROVEEDORES!$A:$C,3,0),""),"")</f>
        <v/>
      </c>
      <c r="G2770" s="75"/>
      <c r="H2770" s="52" t="str">
        <f aca="false">IF(G2770&lt;&gt;"",IFERROR(VLOOKUP(G2770,PRODUCTOS!$A:$B,2,0),"!COD NO ENCONTRADO"),"")</f>
        <v/>
      </c>
      <c r="I2770" s="77"/>
      <c r="J2770" s="78"/>
      <c r="K2770" s="79"/>
      <c r="L2770" s="80" t="str">
        <f aca="false">IF(AND(J2770&lt;&gt;"",K2770&lt;&gt;""),J2770*K2770,"")</f>
        <v/>
      </c>
      <c r="M2770" s="81" t="str">
        <f aca="false">IF(L2770&lt;&gt;"",L2770*1.1,"")</f>
        <v/>
      </c>
      <c r="N2770" s="53" t="n">
        <f aca="false">IF(F2770="S",L2770*0.02,0)</f>
        <v>0</v>
      </c>
      <c r="O2770" s="82" t="str">
        <f aca="false">IF(L2770&lt;&gt;"",L2770+N2770,"")</f>
        <v/>
      </c>
      <c r="P2770" s="53" t="str">
        <f aca="false">IF(O2770&lt;&gt;"",O2770*0.1,"")</f>
        <v/>
      </c>
      <c r="Q2770" s="83" t="str">
        <f aca="false">IF(O2770&lt;&gt;"",O2770+P2770,"")</f>
        <v/>
      </c>
      <c r="R2770" s="84"/>
    </row>
    <row r="2771" customFormat="false" ht="15" hidden="false" customHeight="true" outlineLevel="0" collapsed="false">
      <c r="A2771" s="103"/>
      <c r="B2771" s="85"/>
      <c r="C2771" s="86"/>
      <c r="D2771" s="87"/>
      <c r="E2771" s="46" t="str">
        <f aca="false">IF(D2771&lt;&gt;"",IFERROR(VLOOKUP(D2771,PROVEEDORES!$A:$B,2,0),"!COD NO ENCONTRADO"),"")</f>
        <v/>
      </c>
      <c r="F2771" s="88" t="str">
        <f aca="false">IF(D2771&lt;&gt;"",IFERROR(VLOOKUP(D2771,PROVEEDORES!$A:$C,3,0),""),"")</f>
        <v/>
      </c>
      <c r="G2771" s="87"/>
      <c r="H2771" s="46" t="str">
        <f aca="false">IF(G2771&lt;&gt;"",IFERROR(VLOOKUP(G2771,PRODUCTOS!$A:$B,2,0),"!COD NO ENCONTRADO"),"")</f>
        <v/>
      </c>
      <c r="I2771" s="89"/>
      <c r="J2771" s="90"/>
      <c r="K2771" s="91"/>
      <c r="L2771" s="80" t="str">
        <f aca="false">IF(AND(J2771&lt;&gt;"",K2771&lt;&gt;""),J2771*K2771,"")</f>
        <v/>
      </c>
      <c r="M2771" s="81" t="str">
        <f aca="false">IF(L2771&lt;&gt;"",L2771*1.1,"")</f>
        <v/>
      </c>
      <c r="N2771" s="47" t="n">
        <f aca="false">IF(F2771="S",L2771*0.02,0)</f>
        <v>0</v>
      </c>
      <c r="O2771" s="82" t="str">
        <f aca="false">IF(L2771&lt;&gt;"",L2771+N2771,"")</f>
        <v/>
      </c>
      <c r="P2771" s="47" t="str">
        <f aca="false">IF(O2771&lt;&gt;"",O2771*0.1,"")</f>
        <v/>
      </c>
      <c r="Q2771" s="83" t="str">
        <f aca="false">IF(O2771&lt;&gt;"",O2771+P2771,"")</f>
        <v/>
      </c>
      <c r="R2771" s="84"/>
    </row>
    <row r="2772" customFormat="false" ht="15" hidden="false" customHeight="true" outlineLevel="0" collapsed="false">
      <c r="A2772" s="103"/>
      <c r="B2772" s="73"/>
      <c r="C2772" s="74"/>
      <c r="D2772" s="75"/>
      <c r="E2772" s="52" t="str">
        <f aca="false">IF(D2772&lt;&gt;"",IFERROR(VLOOKUP(D2772,PROVEEDORES!$A:$B,2,0),"!COD NO ENCONTRADO"),"")</f>
        <v/>
      </c>
      <c r="F2772" s="76" t="str">
        <f aca="false">IF(D2772&lt;&gt;"",IFERROR(VLOOKUP(D2772,PROVEEDORES!$A:$C,3,0),""),"")</f>
        <v/>
      </c>
      <c r="G2772" s="75"/>
      <c r="H2772" s="52" t="str">
        <f aca="false">IF(G2772&lt;&gt;"",IFERROR(VLOOKUP(G2772,PRODUCTOS!$A:$B,2,0),"!COD NO ENCONTRADO"),"")</f>
        <v/>
      </c>
      <c r="I2772" s="77"/>
      <c r="J2772" s="78"/>
      <c r="K2772" s="79"/>
      <c r="L2772" s="80" t="str">
        <f aca="false">IF(AND(J2772&lt;&gt;"",K2772&lt;&gt;""),J2772*K2772,"")</f>
        <v/>
      </c>
      <c r="M2772" s="81" t="str">
        <f aca="false">IF(L2772&lt;&gt;"",L2772*1.1,"")</f>
        <v/>
      </c>
      <c r="N2772" s="53" t="n">
        <f aca="false">IF(F2772="S",L2772*0.02,0)</f>
        <v>0</v>
      </c>
      <c r="O2772" s="82" t="str">
        <f aca="false">IF(L2772&lt;&gt;"",L2772+N2772,"")</f>
        <v/>
      </c>
      <c r="P2772" s="53" t="str">
        <f aca="false">IF(O2772&lt;&gt;"",O2772*0.1,"")</f>
        <v/>
      </c>
      <c r="Q2772" s="83" t="str">
        <f aca="false">IF(O2772&lt;&gt;"",O2772+P2772,"")</f>
        <v/>
      </c>
      <c r="R2772" s="84"/>
    </row>
    <row r="2773" customFormat="false" ht="15" hidden="false" customHeight="true" outlineLevel="0" collapsed="false">
      <c r="A2773" s="103"/>
      <c r="B2773" s="85"/>
      <c r="C2773" s="86"/>
      <c r="D2773" s="87"/>
      <c r="E2773" s="46" t="str">
        <f aca="false">IF(D2773&lt;&gt;"",IFERROR(VLOOKUP(D2773,PROVEEDORES!$A:$B,2,0),"!COD NO ENCONTRADO"),"")</f>
        <v/>
      </c>
      <c r="F2773" s="88" t="str">
        <f aca="false">IF(D2773&lt;&gt;"",IFERROR(VLOOKUP(D2773,PROVEEDORES!$A:$C,3,0),""),"")</f>
        <v/>
      </c>
      <c r="G2773" s="87"/>
      <c r="H2773" s="46" t="str">
        <f aca="false">IF(G2773&lt;&gt;"",IFERROR(VLOOKUP(G2773,PRODUCTOS!$A:$B,2,0),"!COD NO ENCONTRADO"),"")</f>
        <v/>
      </c>
      <c r="I2773" s="89"/>
      <c r="J2773" s="90"/>
      <c r="K2773" s="91"/>
      <c r="L2773" s="80" t="str">
        <f aca="false">IF(AND(J2773&lt;&gt;"",K2773&lt;&gt;""),J2773*K2773,"")</f>
        <v/>
      </c>
      <c r="M2773" s="81" t="str">
        <f aca="false">IF(L2773&lt;&gt;"",L2773*1.1,"")</f>
        <v/>
      </c>
      <c r="N2773" s="47" t="n">
        <f aca="false">IF(F2773="S",L2773*0.02,0)</f>
        <v>0</v>
      </c>
      <c r="O2773" s="82" t="str">
        <f aca="false">IF(L2773&lt;&gt;"",L2773+N2773,"")</f>
        <v/>
      </c>
      <c r="P2773" s="47" t="str">
        <f aca="false">IF(O2773&lt;&gt;"",O2773*0.1,"")</f>
        <v/>
      </c>
      <c r="Q2773" s="83" t="str">
        <f aca="false">IF(O2773&lt;&gt;"",O2773+P2773,"")</f>
        <v/>
      </c>
      <c r="R2773" s="84"/>
    </row>
    <row r="2774" customFormat="false" ht="15" hidden="false" customHeight="true" outlineLevel="0" collapsed="false">
      <c r="A2774" s="103"/>
      <c r="B2774" s="73"/>
      <c r="C2774" s="74"/>
      <c r="D2774" s="75"/>
      <c r="E2774" s="52" t="str">
        <f aca="false">IF(D2774&lt;&gt;"",IFERROR(VLOOKUP(D2774,PROVEEDORES!$A:$B,2,0),"!COD NO ENCONTRADO"),"")</f>
        <v/>
      </c>
      <c r="F2774" s="76" t="str">
        <f aca="false">IF(D2774&lt;&gt;"",IFERROR(VLOOKUP(D2774,PROVEEDORES!$A:$C,3,0),""),"")</f>
        <v/>
      </c>
      <c r="G2774" s="75"/>
      <c r="H2774" s="52" t="str">
        <f aca="false">IF(G2774&lt;&gt;"",IFERROR(VLOOKUP(G2774,PRODUCTOS!$A:$B,2,0),"!COD NO ENCONTRADO"),"")</f>
        <v/>
      </c>
      <c r="I2774" s="77"/>
      <c r="J2774" s="78"/>
      <c r="K2774" s="79"/>
      <c r="L2774" s="80" t="str">
        <f aca="false">IF(AND(J2774&lt;&gt;"",K2774&lt;&gt;""),J2774*K2774,"")</f>
        <v/>
      </c>
      <c r="M2774" s="81" t="str">
        <f aca="false">IF(L2774&lt;&gt;"",L2774*1.1,"")</f>
        <v/>
      </c>
      <c r="N2774" s="53" t="n">
        <f aca="false">IF(F2774="S",L2774*0.02,0)</f>
        <v>0</v>
      </c>
      <c r="O2774" s="82" t="str">
        <f aca="false">IF(L2774&lt;&gt;"",L2774+N2774,"")</f>
        <v/>
      </c>
      <c r="P2774" s="53" t="str">
        <f aca="false">IF(O2774&lt;&gt;"",O2774*0.1,"")</f>
        <v/>
      </c>
      <c r="Q2774" s="83" t="str">
        <f aca="false">IF(O2774&lt;&gt;"",O2774+P2774,"")</f>
        <v/>
      </c>
      <c r="R2774" s="84"/>
    </row>
    <row r="2775" customFormat="false" ht="15" hidden="false" customHeight="true" outlineLevel="0" collapsed="false">
      <c r="A2775" s="103"/>
      <c r="B2775" s="85"/>
      <c r="C2775" s="86"/>
      <c r="D2775" s="87"/>
      <c r="E2775" s="46" t="str">
        <f aca="false">IF(D2775&lt;&gt;"",IFERROR(VLOOKUP(D2775,PROVEEDORES!$A:$B,2,0),"!COD NO ENCONTRADO"),"")</f>
        <v/>
      </c>
      <c r="F2775" s="88" t="str">
        <f aca="false">IF(D2775&lt;&gt;"",IFERROR(VLOOKUP(D2775,PROVEEDORES!$A:$C,3,0),""),"")</f>
        <v/>
      </c>
      <c r="G2775" s="87"/>
      <c r="H2775" s="46" t="str">
        <f aca="false">IF(G2775&lt;&gt;"",IFERROR(VLOOKUP(G2775,PRODUCTOS!$A:$B,2,0),"!COD NO ENCONTRADO"),"")</f>
        <v/>
      </c>
      <c r="I2775" s="89"/>
      <c r="J2775" s="90"/>
      <c r="K2775" s="91"/>
      <c r="L2775" s="80" t="str">
        <f aca="false">IF(AND(J2775&lt;&gt;"",K2775&lt;&gt;""),J2775*K2775,"")</f>
        <v/>
      </c>
      <c r="M2775" s="81" t="str">
        <f aca="false">IF(L2775&lt;&gt;"",L2775*1.1,"")</f>
        <v/>
      </c>
      <c r="N2775" s="47" t="n">
        <f aca="false">IF(F2775="S",L2775*0.02,0)</f>
        <v>0</v>
      </c>
      <c r="O2775" s="82" t="str">
        <f aca="false">IF(L2775&lt;&gt;"",L2775+N2775,"")</f>
        <v/>
      </c>
      <c r="P2775" s="47" t="str">
        <f aca="false">IF(O2775&lt;&gt;"",O2775*0.1,"")</f>
        <v/>
      </c>
      <c r="Q2775" s="83" t="str">
        <f aca="false">IF(O2775&lt;&gt;"",O2775+P2775,"")</f>
        <v/>
      </c>
      <c r="R2775" s="84"/>
    </row>
    <row r="2776" customFormat="false" ht="15" hidden="false" customHeight="true" outlineLevel="0" collapsed="false">
      <c r="A2776" s="103"/>
      <c r="B2776" s="73"/>
      <c r="C2776" s="74"/>
      <c r="D2776" s="75"/>
      <c r="E2776" s="52" t="str">
        <f aca="false">IF(D2776&lt;&gt;"",IFERROR(VLOOKUP(D2776,PROVEEDORES!$A:$B,2,0),"!COD NO ENCONTRADO"),"")</f>
        <v/>
      </c>
      <c r="F2776" s="76" t="str">
        <f aca="false">IF(D2776&lt;&gt;"",IFERROR(VLOOKUP(D2776,PROVEEDORES!$A:$C,3,0),""),"")</f>
        <v/>
      </c>
      <c r="G2776" s="75"/>
      <c r="H2776" s="52" t="str">
        <f aca="false">IF(G2776&lt;&gt;"",IFERROR(VLOOKUP(G2776,PRODUCTOS!$A:$B,2,0),"!COD NO ENCONTRADO"),"")</f>
        <v/>
      </c>
      <c r="I2776" s="77"/>
      <c r="J2776" s="78"/>
      <c r="K2776" s="79"/>
      <c r="L2776" s="80" t="str">
        <f aca="false">IF(AND(J2776&lt;&gt;"",K2776&lt;&gt;""),J2776*K2776,"")</f>
        <v/>
      </c>
      <c r="M2776" s="81" t="str">
        <f aca="false">IF(L2776&lt;&gt;"",L2776*1.1,"")</f>
        <v/>
      </c>
      <c r="N2776" s="53" t="n">
        <f aca="false">IF(F2776="S",L2776*0.02,0)</f>
        <v>0</v>
      </c>
      <c r="O2776" s="82" t="str">
        <f aca="false">IF(L2776&lt;&gt;"",L2776+N2776,"")</f>
        <v/>
      </c>
      <c r="P2776" s="53" t="str">
        <f aca="false">IF(O2776&lt;&gt;"",O2776*0.1,"")</f>
        <v/>
      </c>
      <c r="Q2776" s="83" t="str">
        <f aca="false">IF(O2776&lt;&gt;"",O2776+P2776,"")</f>
        <v/>
      </c>
      <c r="R2776" s="84"/>
    </row>
    <row r="2777" customFormat="false" ht="15" hidden="false" customHeight="true" outlineLevel="0" collapsed="false">
      <c r="A2777" s="103"/>
      <c r="B2777" s="85"/>
      <c r="C2777" s="86"/>
      <c r="D2777" s="87"/>
      <c r="E2777" s="46" t="str">
        <f aca="false">IF(D2777&lt;&gt;"",IFERROR(VLOOKUP(D2777,PROVEEDORES!$A:$B,2,0),"!COD NO ENCONTRADO"),"")</f>
        <v/>
      </c>
      <c r="F2777" s="88" t="str">
        <f aca="false">IF(D2777&lt;&gt;"",IFERROR(VLOOKUP(D2777,PROVEEDORES!$A:$C,3,0),""),"")</f>
        <v/>
      </c>
      <c r="G2777" s="87"/>
      <c r="H2777" s="46" t="str">
        <f aca="false">IF(G2777&lt;&gt;"",IFERROR(VLOOKUP(G2777,PRODUCTOS!$A:$B,2,0),"!COD NO ENCONTRADO"),"")</f>
        <v/>
      </c>
      <c r="I2777" s="89"/>
      <c r="J2777" s="90"/>
      <c r="K2777" s="91"/>
      <c r="L2777" s="80" t="str">
        <f aca="false">IF(AND(J2777&lt;&gt;"",K2777&lt;&gt;""),J2777*K2777,"")</f>
        <v/>
      </c>
      <c r="M2777" s="81" t="str">
        <f aca="false">IF(L2777&lt;&gt;"",L2777*1.1,"")</f>
        <v/>
      </c>
      <c r="N2777" s="47" t="n">
        <f aca="false">IF(F2777="S",L2777*0.02,0)</f>
        <v>0</v>
      </c>
      <c r="O2777" s="82" t="str">
        <f aca="false">IF(L2777&lt;&gt;"",L2777+N2777,"")</f>
        <v/>
      </c>
      <c r="P2777" s="47" t="str">
        <f aca="false">IF(O2777&lt;&gt;"",O2777*0.1,"")</f>
        <v/>
      </c>
      <c r="Q2777" s="83" t="str">
        <f aca="false">IF(O2777&lt;&gt;"",O2777+P2777,"")</f>
        <v/>
      </c>
      <c r="R2777" s="84"/>
    </row>
    <row r="2778" customFormat="false" ht="15" hidden="false" customHeight="true" outlineLevel="0" collapsed="false">
      <c r="A2778" s="103"/>
      <c r="B2778" s="73"/>
      <c r="C2778" s="74"/>
      <c r="D2778" s="75"/>
      <c r="E2778" s="52" t="str">
        <f aca="false">IF(D2778&lt;&gt;"",IFERROR(VLOOKUP(D2778,PROVEEDORES!$A:$B,2,0),"!COD NO ENCONTRADO"),"")</f>
        <v/>
      </c>
      <c r="F2778" s="76" t="str">
        <f aca="false">IF(D2778&lt;&gt;"",IFERROR(VLOOKUP(D2778,PROVEEDORES!$A:$C,3,0),""),"")</f>
        <v/>
      </c>
      <c r="G2778" s="75"/>
      <c r="H2778" s="52" t="str">
        <f aca="false">IF(G2778&lt;&gt;"",IFERROR(VLOOKUP(G2778,PRODUCTOS!$A:$B,2,0),"!COD NO ENCONTRADO"),"")</f>
        <v/>
      </c>
      <c r="I2778" s="77"/>
      <c r="J2778" s="78"/>
      <c r="K2778" s="79"/>
      <c r="L2778" s="80" t="str">
        <f aca="false">IF(AND(J2778&lt;&gt;"",K2778&lt;&gt;""),J2778*K2778,"")</f>
        <v/>
      </c>
      <c r="M2778" s="81" t="str">
        <f aca="false">IF(L2778&lt;&gt;"",L2778*1.1,"")</f>
        <v/>
      </c>
      <c r="N2778" s="53" t="n">
        <f aca="false">IF(F2778="S",L2778*0.02,0)</f>
        <v>0</v>
      </c>
      <c r="O2778" s="82" t="str">
        <f aca="false">IF(L2778&lt;&gt;"",L2778+N2778,"")</f>
        <v/>
      </c>
      <c r="P2778" s="53" t="str">
        <f aca="false">IF(O2778&lt;&gt;"",O2778*0.1,"")</f>
        <v/>
      </c>
      <c r="Q2778" s="83" t="str">
        <f aca="false">IF(O2778&lt;&gt;"",O2778+P2778,"")</f>
        <v/>
      </c>
      <c r="R2778" s="84"/>
    </row>
    <row r="2779" customFormat="false" ht="15" hidden="false" customHeight="true" outlineLevel="0" collapsed="false">
      <c r="A2779" s="103"/>
      <c r="B2779" s="85"/>
      <c r="C2779" s="86"/>
      <c r="D2779" s="87"/>
      <c r="E2779" s="46" t="str">
        <f aca="false">IF(D2779&lt;&gt;"",IFERROR(VLOOKUP(D2779,PROVEEDORES!$A:$B,2,0),"!COD NO ENCONTRADO"),"")</f>
        <v/>
      </c>
      <c r="F2779" s="88" t="str">
        <f aca="false">IF(D2779&lt;&gt;"",IFERROR(VLOOKUP(D2779,PROVEEDORES!$A:$C,3,0),""),"")</f>
        <v/>
      </c>
      <c r="G2779" s="87"/>
      <c r="H2779" s="46" t="str">
        <f aca="false">IF(G2779&lt;&gt;"",IFERROR(VLOOKUP(G2779,PRODUCTOS!$A:$B,2,0),"!COD NO ENCONTRADO"),"")</f>
        <v/>
      </c>
      <c r="I2779" s="89"/>
      <c r="J2779" s="90"/>
      <c r="K2779" s="91"/>
      <c r="L2779" s="80" t="str">
        <f aca="false">IF(AND(J2779&lt;&gt;"",K2779&lt;&gt;""),J2779*K2779,"")</f>
        <v/>
      </c>
      <c r="M2779" s="81" t="str">
        <f aca="false">IF(L2779&lt;&gt;"",L2779*1.1,"")</f>
        <v/>
      </c>
      <c r="N2779" s="47" t="n">
        <f aca="false">IF(F2779="S",L2779*0.02,0)</f>
        <v>0</v>
      </c>
      <c r="O2779" s="82" t="str">
        <f aca="false">IF(L2779&lt;&gt;"",L2779+N2779,"")</f>
        <v/>
      </c>
      <c r="P2779" s="47" t="str">
        <f aca="false">IF(O2779&lt;&gt;"",O2779*0.1,"")</f>
        <v/>
      </c>
      <c r="Q2779" s="83" t="str">
        <f aca="false">IF(O2779&lt;&gt;"",O2779+P2779,"")</f>
        <v/>
      </c>
      <c r="R2779" s="84"/>
    </row>
    <row r="2780" customFormat="false" ht="15" hidden="false" customHeight="true" outlineLevel="0" collapsed="false">
      <c r="A2780" s="103"/>
      <c r="B2780" s="73"/>
      <c r="C2780" s="74"/>
      <c r="D2780" s="75"/>
      <c r="E2780" s="52" t="str">
        <f aca="false">IF(D2780&lt;&gt;"",IFERROR(VLOOKUP(D2780,PROVEEDORES!$A:$B,2,0),"!COD NO ENCONTRADO"),"")</f>
        <v/>
      </c>
      <c r="F2780" s="76" t="str">
        <f aca="false">IF(D2780&lt;&gt;"",IFERROR(VLOOKUP(D2780,PROVEEDORES!$A:$C,3,0),""),"")</f>
        <v/>
      </c>
      <c r="G2780" s="75"/>
      <c r="H2780" s="52" t="str">
        <f aca="false">IF(G2780&lt;&gt;"",IFERROR(VLOOKUP(G2780,PRODUCTOS!$A:$B,2,0),"!COD NO ENCONTRADO"),"")</f>
        <v/>
      </c>
      <c r="I2780" s="77"/>
      <c r="J2780" s="78"/>
      <c r="K2780" s="79"/>
      <c r="L2780" s="80" t="str">
        <f aca="false">IF(AND(J2780&lt;&gt;"",K2780&lt;&gt;""),J2780*K2780,"")</f>
        <v/>
      </c>
      <c r="M2780" s="81" t="str">
        <f aca="false">IF(L2780&lt;&gt;"",L2780*1.1,"")</f>
        <v/>
      </c>
      <c r="N2780" s="53" t="n">
        <f aca="false">IF(F2780="S",L2780*0.02,0)</f>
        <v>0</v>
      </c>
      <c r="O2780" s="82" t="str">
        <f aca="false">IF(L2780&lt;&gt;"",L2780+N2780,"")</f>
        <v/>
      </c>
      <c r="P2780" s="53" t="str">
        <f aca="false">IF(O2780&lt;&gt;"",O2780*0.1,"")</f>
        <v/>
      </c>
      <c r="Q2780" s="83" t="str">
        <f aca="false">IF(O2780&lt;&gt;"",O2780+P2780,"")</f>
        <v/>
      </c>
      <c r="R2780" s="84"/>
    </row>
    <row r="2781" customFormat="false" ht="15" hidden="false" customHeight="true" outlineLevel="0" collapsed="false">
      <c r="A2781" s="103"/>
      <c r="B2781" s="85"/>
      <c r="C2781" s="86"/>
      <c r="D2781" s="87"/>
      <c r="E2781" s="46" t="str">
        <f aca="false">IF(D2781&lt;&gt;"",IFERROR(VLOOKUP(D2781,PROVEEDORES!$A:$B,2,0),"!COD NO ENCONTRADO"),"")</f>
        <v/>
      </c>
      <c r="F2781" s="88" t="str">
        <f aca="false">IF(D2781&lt;&gt;"",IFERROR(VLOOKUP(D2781,PROVEEDORES!$A:$C,3,0),""),"")</f>
        <v/>
      </c>
      <c r="G2781" s="87"/>
      <c r="H2781" s="46" t="str">
        <f aca="false">IF(G2781&lt;&gt;"",IFERROR(VLOOKUP(G2781,PRODUCTOS!$A:$B,2,0),"!COD NO ENCONTRADO"),"")</f>
        <v/>
      </c>
      <c r="I2781" s="89"/>
      <c r="J2781" s="90"/>
      <c r="K2781" s="91"/>
      <c r="L2781" s="80" t="str">
        <f aca="false">IF(AND(J2781&lt;&gt;"",K2781&lt;&gt;""),J2781*K2781,"")</f>
        <v/>
      </c>
      <c r="M2781" s="81" t="str">
        <f aca="false">IF(L2781&lt;&gt;"",L2781*1.1,"")</f>
        <v/>
      </c>
      <c r="N2781" s="47" t="n">
        <f aca="false">IF(F2781="S",L2781*0.02,0)</f>
        <v>0</v>
      </c>
      <c r="O2781" s="82" t="str">
        <f aca="false">IF(L2781&lt;&gt;"",L2781+N2781,"")</f>
        <v/>
      </c>
      <c r="P2781" s="47" t="str">
        <f aca="false">IF(O2781&lt;&gt;"",O2781*0.1,"")</f>
        <v/>
      </c>
      <c r="Q2781" s="83" t="str">
        <f aca="false">IF(O2781&lt;&gt;"",O2781+P2781,"")</f>
        <v/>
      </c>
      <c r="R2781" s="84"/>
    </row>
    <row r="2782" customFormat="false" ht="15" hidden="false" customHeight="true" outlineLevel="0" collapsed="false">
      <c r="A2782" s="103"/>
      <c r="B2782" s="73"/>
      <c r="C2782" s="74"/>
      <c r="D2782" s="75"/>
      <c r="E2782" s="52" t="str">
        <f aca="false">IF(D2782&lt;&gt;"",IFERROR(VLOOKUP(D2782,PROVEEDORES!$A:$B,2,0),"!COD NO ENCONTRADO"),"")</f>
        <v/>
      </c>
      <c r="F2782" s="76" t="str">
        <f aca="false">IF(D2782&lt;&gt;"",IFERROR(VLOOKUP(D2782,PROVEEDORES!$A:$C,3,0),""),"")</f>
        <v/>
      </c>
      <c r="G2782" s="75"/>
      <c r="H2782" s="52" t="str">
        <f aca="false">IF(G2782&lt;&gt;"",IFERROR(VLOOKUP(G2782,PRODUCTOS!$A:$B,2,0),"!COD NO ENCONTRADO"),"")</f>
        <v/>
      </c>
      <c r="I2782" s="77"/>
      <c r="J2782" s="78"/>
      <c r="K2782" s="79"/>
      <c r="L2782" s="80" t="str">
        <f aca="false">IF(AND(J2782&lt;&gt;"",K2782&lt;&gt;""),J2782*K2782,"")</f>
        <v/>
      </c>
      <c r="M2782" s="81" t="str">
        <f aca="false">IF(L2782&lt;&gt;"",L2782*1.1,"")</f>
        <v/>
      </c>
      <c r="N2782" s="53" t="n">
        <f aca="false">IF(F2782="S",L2782*0.02,0)</f>
        <v>0</v>
      </c>
      <c r="O2782" s="82" t="str">
        <f aca="false">IF(L2782&lt;&gt;"",L2782+N2782,"")</f>
        <v/>
      </c>
      <c r="P2782" s="53" t="str">
        <f aca="false">IF(O2782&lt;&gt;"",O2782*0.1,"")</f>
        <v/>
      </c>
      <c r="Q2782" s="83" t="str">
        <f aca="false">IF(O2782&lt;&gt;"",O2782+P2782,"")</f>
        <v/>
      </c>
      <c r="R2782" s="84"/>
    </row>
    <row r="2783" customFormat="false" ht="15" hidden="false" customHeight="true" outlineLevel="0" collapsed="false">
      <c r="A2783" s="103"/>
      <c r="B2783" s="85"/>
      <c r="C2783" s="86"/>
      <c r="D2783" s="87"/>
      <c r="E2783" s="46" t="str">
        <f aca="false">IF(D2783&lt;&gt;"",IFERROR(VLOOKUP(D2783,PROVEEDORES!$A:$B,2,0),"!COD NO ENCONTRADO"),"")</f>
        <v/>
      </c>
      <c r="F2783" s="88" t="str">
        <f aca="false">IF(D2783&lt;&gt;"",IFERROR(VLOOKUP(D2783,PROVEEDORES!$A:$C,3,0),""),"")</f>
        <v/>
      </c>
      <c r="G2783" s="87"/>
      <c r="H2783" s="46" t="str">
        <f aca="false">IF(G2783&lt;&gt;"",IFERROR(VLOOKUP(G2783,PRODUCTOS!$A:$B,2,0),"!COD NO ENCONTRADO"),"")</f>
        <v/>
      </c>
      <c r="I2783" s="89"/>
      <c r="J2783" s="90"/>
      <c r="K2783" s="91"/>
      <c r="L2783" s="80" t="str">
        <f aca="false">IF(AND(J2783&lt;&gt;"",K2783&lt;&gt;""),J2783*K2783,"")</f>
        <v/>
      </c>
      <c r="M2783" s="81" t="str">
        <f aca="false">IF(L2783&lt;&gt;"",L2783*1.1,"")</f>
        <v/>
      </c>
      <c r="N2783" s="47" t="n">
        <f aca="false">IF(F2783="S",L2783*0.02,0)</f>
        <v>0</v>
      </c>
      <c r="O2783" s="82" t="str">
        <f aca="false">IF(L2783&lt;&gt;"",L2783+N2783,"")</f>
        <v/>
      </c>
      <c r="P2783" s="47" t="str">
        <f aca="false">IF(O2783&lt;&gt;"",O2783*0.1,"")</f>
        <v/>
      </c>
      <c r="Q2783" s="83" t="str">
        <f aca="false">IF(O2783&lt;&gt;"",O2783+P2783,"")</f>
        <v/>
      </c>
      <c r="R2783" s="84"/>
    </row>
    <row r="2784" customFormat="false" ht="15" hidden="false" customHeight="true" outlineLevel="0" collapsed="false">
      <c r="A2784" s="103"/>
      <c r="B2784" s="73"/>
      <c r="C2784" s="74"/>
      <c r="D2784" s="75"/>
      <c r="E2784" s="52" t="str">
        <f aca="false">IF(D2784&lt;&gt;"",IFERROR(VLOOKUP(D2784,PROVEEDORES!$A:$B,2,0),"!COD NO ENCONTRADO"),"")</f>
        <v/>
      </c>
      <c r="F2784" s="76" t="str">
        <f aca="false">IF(D2784&lt;&gt;"",IFERROR(VLOOKUP(D2784,PROVEEDORES!$A:$C,3,0),""),"")</f>
        <v/>
      </c>
      <c r="G2784" s="75"/>
      <c r="H2784" s="52" t="str">
        <f aca="false">IF(G2784&lt;&gt;"",IFERROR(VLOOKUP(G2784,PRODUCTOS!$A:$B,2,0),"!COD NO ENCONTRADO"),"")</f>
        <v/>
      </c>
      <c r="I2784" s="77"/>
      <c r="J2784" s="78"/>
      <c r="K2784" s="79"/>
      <c r="L2784" s="80" t="str">
        <f aca="false">IF(AND(J2784&lt;&gt;"",K2784&lt;&gt;""),J2784*K2784,"")</f>
        <v/>
      </c>
      <c r="M2784" s="81" t="str">
        <f aca="false">IF(L2784&lt;&gt;"",L2784*1.1,"")</f>
        <v/>
      </c>
      <c r="N2784" s="53" t="n">
        <f aca="false">IF(F2784="S",L2784*0.02,0)</f>
        <v>0</v>
      </c>
      <c r="O2784" s="82" t="str">
        <f aca="false">IF(L2784&lt;&gt;"",L2784+N2784,"")</f>
        <v/>
      </c>
      <c r="P2784" s="53" t="str">
        <f aca="false">IF(O2784&lt;&gt;"",O2784*0.1,"")</f>
        <v/>
      </c>
      <c r="Q2784" s="83" t="str">
        <f aca="false">IF(O2784&lt;&gt;"",O2784+P2784,"")</f>
        <v/>
      </c>
      <c r="R2784" s="84"/>
    </row>
    <row r="2785" customFormat="false" ht="15" hidden="false" customHeight="true" outlineLevel="0" collapsed="false">
      <c r="A2785" s="103"/>
      <c r="B2785" s="85"/>
      <c r="C2785" s="86"/>
      <c r="D2785" s="87"/>
      <c r="E2785" s="46" t="str">
        <f aca="false">IF(D2785&lt;&gt;"",IFERROR(VLOOKUP(D2785,PROVEEDORES!$A:$B,2,0),"!COD NO ENCONTRADO"),"")</f>
        <v/>
      </c>
      <c r="F2785" s="88" t="str">
        <f aca="false">IF(D2785&lt;&gt;"",IFERROR(VLOOKUP(D2785,PROVEEDORES!$A:$C,3,0),""),"")</f>
        <v/>
      </c>
      <c r="G2785" s="87"/>
      <c r="H2785" s="46" t="str">
        <f aca="false">IF(G2785&lt;&gt;"",IFERROR(VLOOKUP(G2785,PRODUCTOS!$A:$B,2,0),"!COD NO ENCONTRADO"),"")</f>
        <v/>
      </c>
      <c r="I2785" s="89"/>
      <c r="J2785" s="90"/>
      <c r="K2785" s="91"/>
      <c r="L2785" s="80" t="str">
        <f aca="false">IF(AND(J2785&lt;&gt;"",K2785&lt;&gt;""),J2785*K2785,"")</f>
        <v/>
      </c>
      <c r="M2785" s="81" t="str">
        <f aca="false">IF(L2785&lt;&gt;"",L2785*1.1,"")</f>
        <v/>
      </c>
      <c r="N2785" s="47" t="n">
        <f aca="false">IF(F2785="S",L2785*0.02,0)</f>
        <v>0</v>
      </c>
      <c r="O2785" s="82" t="str">
        <f aca="false">IF(L2785&lt;&gt;"",L2785+N2785,"")</f>
        <v/>
      </c>
      <c r="P2785" s="47" t="str">
        <f aca="false">IF(O2785&lt;&gt;"",O2785*0.1,"")</f>
        <v/>
      </c>
      <c r="Q2785" s="83" t="str">
        <f aca="false">IF(O2785&lt;&gt;"",O2785+P2785,"")</f>
        <v/>
      </c>
      <c r="R2785" s="84"/>
    </row>
    <row r="2786" customFormat="false" ht="15" hidden="false" customHeight="true" outlineLevel="0" collapsed="false">
      <c r="A2786" s="103"/>
      <c r="B2786" s="73"/>
      <c r="C2786" s="74"/>
      <c r="D2786" s="75"/>
      <c r="E2786" s="52" t="str">
        <f aca="false">IF(D2786&lt;&gt;"",IFERROR(VLOOKUP(D2786,PROVEEDORES!$A:$B,2,0),"!COD NO ENCONTRADO"),"")</f>
        <v/>
      </c>
      <c r="F2786" s="76" t="str">
        <f aca="false">IF(D2786&lt;&gt;"",IFERROR(VLOOKUP(D2786,PROVEEDORES!$A:$C,3,0),""),"")</f>
        <v/>
      </c>
      <c r="G2786" s="75"/>
      <c r="H2786" s="52" t="str">
        <f aca="false">IF(G2786&lt;&gt;"",IFERROR(VLOOKUP(G2786,PRODUCTOS!$A:$B,2,0),"!COD NO ENCONTRADO"),"")</f>
        <v/>
      </c>
      <c r="I2786" s="77"/>
      <c r="J2786" s="78"/>
      <c r="K2786" s="79"/>
      <c r="L2786" s="80" t="str">
        <f aca="false">IF(AND(J2786&lt;&gt;"",K2786&lt;&gt;""),J2786*K2786,"")</f>
        <v/>
      </c>
      <c r="M2786" s="81" t="str">
        <f aca="false">IF(L2786&lt;&gt;"",L2786*1.1,"")</f>
        <v/>
      </c>
      <c r="N2786" s="53" t="n">
        <f aca="false">IF(F2786="S",L2786*0.02,0)</f>
        <v>0</v>
      </c>
      <c r="O2786" s="82" t="str">
        <f aca="false">IF(L2786&lt;&gt;"",L2786+N2786,"")</f>
        <v/>
      </c>
      <c r="P2786" s="53" t="str">
        <f aca="false">IF(O2786&lt;&gt;"",O2786*0.1,"")</f>
        <v/>
      </c>
      <c r="Q2786" s="83" t="str">
        <f aca="false">IF(O2786&lt;&gt;"",O2786+P2786,"")</f>
        <v/>
      </c>
      <c r="R2786" s="84"/>
    </row>
    <row r="2787" customFormat="false" ht="15" hidden="false" customHeight="true" outlineLevel="0" collapsed="false">
      <c r="A2787" s="103"/>
      <c r="B2787" s="85"/>
      <c r="C2787" s="86"/>
      <c r="D2787" s="87"/>
      <c r="E2787" s="46" t="str">
        <f aca="false">IF(D2787&lt;&gt;"",IFERROR(VLOOKUP(D2787,PROVEEDORES!$A:$B,2,0),"!COD NO ENCONTRADO"),"")</f>
        <v/>
      </c>
      <c r="F2787" s="88" t="str">
        <f aca="false">IF(D2787&lt;&gt;"",IFERROR(VLOOKUP(D2787,PROVEEDORES!$A:$C,3,0),""),"")</f>
        <v/>
      </c>
      <c r="G2787" s="87"/>
      <c r="H2787" s="46" t="str">
        <f aca="false">IF(G2787&lt;&gt;"",IFERROR(VLOOKUP(G2787,PRODUCTOS!$A:$B,2,0),"!COD NO ENCONTRADO"),"")</f>
        <v/>
      </c>
      <c r="I2787" s="89"/>
      <c r="J2787" s="90"/>
      <c r="K2787" s="91"/>
      <c r="L2787" s="80" t="str">
        <f aca="false">IF(AND(J2787&lt;&gt;"",K2787&lt;&gt;""),J2787*K2787,"")</f>
        <v/>
      </c>
      <c r="M2787" s="81" t="str">
        <f aca="false">IF(L2787&lt;&gt;"",L2787*1.1,"")</f>
        <v/>
      </c>
      <c r="N2787" s="47" t="n">
        <f aca="false">IF(F2787="S",L2787*0.02,0)</f>
        <v>0</v>
      </c>
      <c r="O2787" s="82" t="str">
        <f aca="false">IF(L2787&lt;&gt;"",L2787+N2787,"")</f>
        <v/>
      </c>
      <c r="P2787" s="47" t="str">
        <f aca="false">IF(O2787&lt;&gt;"",O2787*0.1,"")</f>
        <v/>
      </c>
      <c r="Q2787" s="83" t="str">
        <f aca="false">IF(O2787&lt;&gt;"",O2787+P2787,"")</f>
        <v/>
      </c>
      <c r="R2787" s="84"/>
    </row>
    <row r="2788" customFormat="false" ht="15" hidden="false" customHeight="true" outlineLevel="0" collapsed="false">
      <c r="A2788" s="103"/>
      <c r="B2788" s="73"/>
      <c r="C2788" s="74"/>
      <c r="D2788" s="75"/>
      <c r="E2788" s="52" t="str">
        <f aca="false">IF(D2788&lt;&gt;"",IFERROR(VLOOKUP(D2788,PROVEEDORES!$A:$B,2,0),"!COD NO ENCONTRADO"),"")</f>
        <v/>
      </c>
      <c r="F2788" s="76" t="str">
        <f aca="false">IF(D2788&lt;&gt;"",IFERROR(VLOOKUP(D2788,PROVEEDORES!$A:$C,3,0),""),"")</f>
        <v/>
      </c>
      <c r="G2788" s="75"/>
      <c r="H2788" s="52" t="str">
        <f aca="false">IF(G2788&lt;&gt;"",IFERROR(VLOOKUP(G2788,PRODUCTOS!$A:$B,2,0),"!COD NO ENCONTRADO"),"")</f>
        <v/>
      </c>
      <c r="I2788" s="77"/>
      <c r="J2788" s="78"/>
      <c r="K2788" s="79"/>
      <c r="L2788" s="80" t="str">
        <f aca="false">IF(AND(J2788&lt;&gt;"",K2788&lt;&gt;""),J2788*K2788,"")</f>
        <v/>
      </c>
      <c r="M2788" s="81" t="str">
        <f aca="false">IF(L2788&lt;&gt;"",L2788*1.1,"")</f>
        <v/>
      </c>
      <c r="N2788" s="53" t="n">
        <f aca="false">IF(F2788="S",L2788*0.02,0)</f>
        <v>0</v>
      </c>
      <c r="O2788" s="82" t="str">
        <f aca="false">IF(L2788&lt;&gt;"",L2788+N2788,"")</f>
        <v/>
      </c>
      <c r="P2788" s="53" t="str">
        <f aca="false">IF(O2788&lt;&gt;"",O2788*0.1,"")</f>
        <v/>
      </c>
      <c r="Q2788" s="83" t="str">
        <f aca="false">IF(O2788&lt;&gt;"",O2788+P2788,"")</f>
        <v/>
      </c>
      <c r="R2788" s="84"/>
    </row>
    <row r="2789" customFormat="false" ht="15" hidden="false" customHeight="true" outlineLevel="0" collapsed="false">
      <c r="A2789" s="103"/>
      <c r="B2789" s="85"/>
      <c r="C2789" s="86"/>
      <c r="D2789" s="87"/>
      <c r="E2789" s="46" t="str">
        <f aca="false">IF(D2789&lt;&gt;"",IFERROR(VLOOKUP(D2789,PROVEEDORES!$A:$B,2,0),"!COD NO ENCONTRADO"),"")</f>
        <v/>
      </c>
      <c r="F2789" s="88" t="str">
        <f aca="false">IF(D2789&lt;&gt;"",IFERROR(VLOOKUP(D2789,PROVEEDORES!$A:$C,3,0),""),"")</f>
        <v/>
      </c>
      <c r="G2789" s="87"/>
      <c r="H2789" s="46" t="str">
        <f aca="false">IF(G2789&lt;&gt;"",IFERROR(VLOOKUP(G2789,PRODUCTOS!$A:$B,2,0),"!COD NO ENCONTRADO"),"")</f>
        <v/>
      </c>
      <c r="I2789" s="89"/>
      <c r="J2789" s="90"/>
      <c r="K2789" s="91"/>
      <c r="L2789" s="80" t="str">
        <f aca="false">IF(AND(J2789&lt;&gt;"",K2789&lt;&gt;""),J2789*K2789,"")</f>
        <v/>
      </c>
      <c r="M2789" s="81" t="str">
        <f aca="false">IF(L2789&lt;&gt;"",L2789*1.1,"")</f>
        <v/>
      </c>
      <c r="N2789" s="47" t="n">
        <f aca="false">IF(F2789="S",L2789*0.02,0)</f>
        <v>0</v>
      </c>
      <c r="O2789" s="82" t="str">
        <f aca="false">IF(L2789&lt;&gt;"",L2789+N2789,"")</f>
        <v/>
      </c>
      <c r="P2789" s="47" t="str">
        <f aca="false">IF(O2789&lt;&gt;"",O2789*0.1,"")</f>
        <v/>
      </c>
      <c r="Q2789" s="83" t="str">
        <f aca="false">IF(O2789&lt;&gt;"",O2789+P2789,"")</f>
        <v/>
      </c>
      <c r="R2789" s="84"/>
    </row>
    <row r="2790" customFormat="false" ht="15" hidden="false" customHeight="true" outlineLevel="0" collapsed="false">
      <c r="A2790" s="103"/>
      <c r="B2790" s="73"/>
      <c r="C2790" s="74"/>
      <c r="D2790" s="75"/>
      <c r="E2790" s="52" t="str">
        <f aca="false">IF(D2790&lt;&gt;"",IFERROR(VLOOKUP(D2790,PROVEEDORES!$A:$B,2,0),"!COD NO ENCONTRADO"),"")</f>
        <v/>
      </c>
      <c r="F2790" s="76" t="str">
        <f aca="false">IF(D2790&lt;&gt;"",IFERROR(VLOOKUP(D2790,PROVEEDORES!$A:$C,3,0),""),"")</f>
        <v/>
      </c>
      <c r="G2790" s="75"/>
      <c r="H2790" s="52" t="str">
        <f aca="false">IF(G2790&lt;&gt;"",IFERROR(VLOOKUP(G2790,PRODUCTOS!$A:$B,2,0),"!COD NO ENCONTRADO"),"")</f>
        <v/>
      </c>
      <c r="I2790" s="77"/>
      <c r="J2790" s="78"/>
      <c r="K2790" s="79"/>
      <c r="L2790" s="80" t="str">
        <f aca="false">IF(AND(J2790&lt;&gt;"",K2790&lt;&gt;""),J2790*K2790,"")</f>
        <v/>
      </c>
      <c r="M2790" s="81" t="str">
        <f aca="false">IF(L2790&lt;&gt;"",L2790*1.1,"")</f>
        <v/>
      </c>
      <c r="N2790" s="53" t="n">
        <f aca="false">IF(F2790="S",L2790*0.02,0)</f>
        <v>0</v>
      </c>
      <c r="O2790" s="82" t="str">
        <f aca="false">IF(L2790&lt;&gt;"",L2790+N2790,"")</f>
        <v/>
      </c>
      <c r="P2790" s="53" t="str">
        <f aca="false">IF(O2790&lt;&gt;"",O2790*0.1,"")</f>
        <v/>
      </c>
      <c r="Q2790" s="83" t="str">
        <f aca="false">IF(O2790&lt;&gt;"",O2790+P2790,"")</f>
        <v/>
      </c>
      <c r="R2790" s="84"/>
    </row>
    <row r="2791" customFormat="false" ht="15" hidden="false" customHeight="true" outlineLevel="0" collapsed="false">
      <c r="A2791" s="103"/>
      <c r="B2791" s="85"/>
      <c r="C2791" s="86"/>
      <c r="D2791" s="87"/>
      <c r="E2791" s="46" t="str">
        <f aca="false">IF(D2791&lt;&gt;"",IFERROR(VLOOKUP(D2791,PROVEEDORES!$A:$B,2,0),"!COD NO ENCONTRADO"),"")</f>
        <v/>
      </c>
      <c r="F2791" s="88" t="str">
        <f aca="false">IF(D2791&lt;&gt;"",IFERROR(VLOOKUP(D2791,PROVEEDORES!$A:$C,3,0),""),"")</f>
        <v/>
      </c>
      <c r="G2791" s="87"/>
      <c r="H2791" s="46" t="str">
        <f aca="false">IF(G2791&lt;&gt;"",IFERROR(VLOOKUP(G2791,PRODUCTOS!$A:$B,2,0),"!COD NO ENCONTRADO"),"")</f>
        <v/>
      </c>
      <c r="I2791" s="89"/>
      <c r="J2791" s="90"/>
      <c r="K2791" s="91"/>
      <c r="L2791" s="80" t="str">
        <f aca="false">IF(AND(J2791&lt;&gt;"",K2791&lt;&gt;""),J2791*K2791,"")</f>
        <v/>
      </c>
      <c r="M2791" s="81" t="str">
        <f aca="false">IF(L2791&lt;&gt;"",L2791*1.1,"")</f>
        <v/>
      </c>
      <c r="N2791" s="47" t="n">
        <f aca="false">IF(F2791="S",L2791*0.02,0)</f>
        <v>0</v>
      </c>
      <c r="O2791" s="82" t="str">
        <f aca="false">IF(L2791&lt;&gt;"",L2791+N2791,"")</f>
        <v/>
      </c>
      <c r="P2791" s="47" t="str">
        <f aca="false">IF(O2791&lt;&gt;"",O2791*0.1,"")</f>
        <v/>
      </c>
      <c r="Q2791" s="83" t="str">
        <f aca="false">IF(O2791&lt;&gt;"",O2791+P2791,"")</f>
        <v/>
      </c>
      <c r="R2791" s="84"/>
    </row>
    <row r="2792" customFormat="false" ht="15" hidden="false" customHeight="true" outlineLevel="0" collapsed="false">
      <c r="A2792" s="103"/>
      <c r="B2792" s="73"/>
      <c r="C2792" s="74"/>
      <c r="D2792" s="75"/>
      <c r="E2792" s="52" t="str">
        <f aca="false">IF(D2792&lt;&gt;"",IFERROR(VLOOKUP(D2792,PROVEEDORES!$A:$B,2,0),"!COD NO ENCONTRADO"),"")</f>
        <v/>
      </c>
      <c r="F2792" s="76" t="str">
        <f aca="false">IF(D2792&lt;&gt;"",IFERROR(VLOOKUP(D2792,PROVEEDORES!$A:$C,3,0),""),"")</f>
        <v/>
      </c>
      <c r="G2792" s="75"/>
      <c r="H2792" s="52" t="str">
        <f aca="false">IF(G2792&lt;&gt;"",IFERROR(VLOOKUP(G2792,PRODUCTOS!$A:$B,2,0),"!COD NO ENCONTRADO"),"")</f>
        <v/>
      </c>
      <c r="I2792" s="77"/>
      <c r="J2792" s="78"/>
      <c r="K2792" s="79"/>
      <c r="L2792" s="80" t="str">
        <f aca="false">IF(AND(J2792&lt;&gt;"",K2792&lt;&gt;""),J2792*K2792,"")</f>
        <v/>
      </c>
      <c r="M2792" s="81" t="str">
        <f aca="false">IF(L2792&lt;&gt;"",L2792*1.1,"")</f>
        <v/>
      </c>
      <c r="N2792" s="53" t="n">
        <f aca="false">IF(F2792="S",L2792*0.02,0)</f>
        <v>0</v>
      </c>
      <c r="O2792" s="82" t="str">
        <f aca="false">IF(L2792&lt;&gt;"",L2792+N2792,"")</f>
        <v/>
      </c>
      <c r="P2792" s="53" t="str">
        <f aca="false">IF(O2792&lt;&gt;"",O2792*0.1,"")</f>
        <v/>
      </c>
      <c r="Q2792" s="83" t="str">
        <f aca="false">IF(O2792&lt;&gt;"",O2792+P2792,"")</f>
        <v/>
      </c>
      <c r="R2792" s="84"/>
    </row>
    <row r="2793" customFormat="false" ht="15" hidden="false" customHeight="true" outlineLevel="0" collapsed="false">
      <c r="A2793" s="103"/>
      <c r="B2793" s="85"/>
      <c r="C2793" s="86"/>
      <c r="D2793" s="87"/>
      <c r="E2793" s="46" t="str">
        <f aca="false">IF(D2793&lt;&gt;"",IFERROR(VLOOKUP(D2793,PROVEEDORES!$A:$B,2,0),"!COD NO ENCONTRADO"),"")</f>
        <v/>
      </c>
      <c r="F2793" s="88" t="str">
        <f aca="false">IF(D2793&lt;&gt;"",IFERROR(VLOOKUP(D2793,PROVEEDORES!$A:$C,3,0),""),"")</f>
        <v/>
      </c>
      <c r="G2793" s="87"/>
      <c r="H2793" s="46" t="str">
        <f aca="false">IF(G2793&lt;&gt;"",IFERROR(VLOOKUP(G2793,PRODUCTOS!$A:$B,2,0),"!COD NO ENCONTRADO"),"")</f>
        <v/>
      </c>
      <c r="I2793" s="89"/>
      <c r="J2793" s="90"/>
      <c r="K2793" s="91"/>
      <c r="L2793" s="80" t="str">
        <f aca="false">IF(AND(J2793&lt;&gt;"",K2793&lt;&gt;""),J2793*K2793,"")</f>
        <v/>
      </c>
      <c r="M2793" s="81" t="str">
        <f aca="false">IF(L2793&lt;&gt;"",L2793*1.1,"")</f>
        <v/>
      </c>
      <c r="N2793" s="47" t="n">
        <f aca="false">IF(F2793="S",L2793*0.02,0)</f>
        <v>0</v>
      </c>
      <c r="O2793" s="82" t="str">
        <f aca="false">IF(L2793&lt;&gt;"",L2793+N2793,"")</f>
        <v/>
      </c>
      <c r="P2793" s="47" t="str">
        <f aca="false">IF(O2793&lt;&gt;"",O2793*0.1,"")</f>
        <v/>
      </c>
      <c r="Q2793" s="83" t="str">
        <f aca="false">IF(O2793&lt;&gt;"",O2793+P2793,"")</f>
        <v/>
      </c>
      <c r="R2793" s="84"/>
    </row>
    <row r="2794" customFormat="false" ht="15" hidden="false" customHeight="true" outlineLevel="0" collapsed="false">
      <c r="A2794" s="103"/>
      <c r="B2794" s="73"/>
      <c r="C2794" s="74"/>
      <c r="D2794" s="75"/>
      <c r="E2794" s="52" t="str">
        <f aca="false">IF(D2794&lt;&gt;"",IFERROR(VLOOKUP(D2794,PROVEEDORES!$A:$B,2,0),"!COD NO ENCONTRADO"),"")</f>
        <v/>
      </c>
      <c r="F2794" s="76" t="str">
        <f aca="false">IF(D2794&lt;&gt;"",IFERROR(VLOOKUP(D2794,PROVEEDORES!$A:$C,3,0),""),"")</f>
        <v/>
      </c>
      <c r="G2794" s="75"/>
      <c r="H2794" s="52" t="str">
        <f aca="false">IF(G2794&lt;&gt;"",IFERROR(VLOOKUP(G2794,PRODUCTOS!$A:$B,2,0),"!COD NO ENCONTRADO"),"")</f>
        <v/>
      </c>
      <c r="I2794" s="77"/>
      <c r="J2794" s="78"/>
      <c r="K2794" s="79"/>
      <c r="L2794" s="80" t="str">
        <f aca="false">IF(AND(J2794&lt;&gt;"",K2794&lt;&gt;""),J2794*K2794,"")</f>
        <v/>
      </c>
      <c r="M2794" s="81" t="str">
        <f aca="false">IF(L2794&lt;&gt;"",L2794*1.1,"")</f>
        <v/>
      </c>
      <c r="N2794" s="53" t="n">
        <f aca="false">IF(F2794="S",L2794*0.02,0)</f>
        <v>0</v>
      </c>
      <c r="O2794" s="82" t="str">
        <f aca="false">IF(L2794&lt;&gt;"",L2794+N2794,"")</f>
        <v/>
      </c>
      <c r="P2794" s="53" t="str">
        <f aca="false">IF(O2794&lt;&gt;"",O2794*0.1,"")</f>
        <v/>
      </c>
      <c r="Q2794" s="83" t="str">
        <f aca="false">IF(O2794&lt;&gt;"",O2794+P2794,"")</f>
        <v/>
      </c>
      <c r="R2794" s="84"/>
    </row>
    <row r="2795" customFormat="false" ht="15" hidden="false" customHeight="true" outlineLevel="0" collapsed="false">
      <c r="A2795" s="103"/>
      <c r="B2795" s="85"/>
      <c r="C2795" s="86"/>
      <c r="D2795" s="87"/>
      <c r="E2795" s="46" t="str">
        <f aca="false">IF(D2795&lt;&gt;"",IFERROR(VLOOKUP(D2795,PROVEEDORES!$A:$B,2,0),"!COD NO ENCONTRADO"),"")</f>
        <v/>
      </c>
      <c r="F2795" s="88" t="str">
        <f aca="false">IF(D2795&lt;&gt;"",IFERROR(VLOOKUP(D2795,PROVEEDORES!$A:$C,3,0),""),"")</f>
        <v/>
      </c>
      <c r="G2795" s="87"/>
      <c r="H2795" s="46" t="str">
        <f aca="false">IF(G2795&lt;&gt;"",IFERROR(VLOOKUP(G2795,PRODUCTOS!$A:$B,2,0),"!COD NO ENCONTRADO"),"")</f>
        <v/>
      </c>
      <c r="I2795" s="89"/>
      <c r="J2795" s="90"/>
      <c r="K2795" s="91"/>
      <c r="L2795" s="80" t="str">
        <f aca="false">IF(AND(J2795&lt;&gt;"",K2795&lt;&gt;""),J2795*K2795,"")</f>
        <v/>
      </c>
      <c r="M2795" s="81" t="str">
        <f aca="false">IF(L2795&lt;&gt;"",L2795*1.1,"")</f>
        <v/>
      </c>
      <c r="N2795" s="47" t="n">
        <f aca="false">IF(F2795="S",L2795*0.02,0)</f>
        <v>0</v>
      </c>
      <c r="O2795" s="82" t="str">
        <f aca="false">IF(L2795&lt;&gt;"",L2795+N2795,"")</f>
        <v/>
      </c>
      <c r="P2795" s="47" t="str">
        <f aca="false">IF(O2795&lt;&gt;"",O2795*0.1,"")</f>
        <v/>
      </c>
      <c r="Q2795" s="83" t="str">
        <f aca="false">IF(O2795&lt;&gt;"",O2795+P2795,"")</f>
        <v/>
      </c>
      <c r="R2795" s="84"/>
    </row>
    <row r="2796" customFormat="false" ht="15" hidden="false" customHeight="true" outlineLevel="0" collapsed="false">
      <c r="A2796" s="103"/>
      <c r="B2796" s="73"/>
      <c r="C2796" s="74"/>
      <c r="D2796" s="75"/>
      <c r="E2796" s="52" t="str">
        <f aca="false">IF(D2796&lt;&gt;"",IFERROR(VLOOKUP(D2796,PROVEEDORES!$A:$B,2,0),"!COD NO ENCONTRADO"),"")</f>
        <v/>
      </c>
      <c r="F2796" s="76" t="str">
        <f aca="false">IF(D2796&lt;&gt;"",IFERROR(VLOOKUP(D2796,PROVEEDORES!$A:$C,3,0),""),"")</f>
        <v/>
      </c>
      <c r="G2796" s="75"/>
      <c r="H2796" s="52" t="str">
        <f aca="false">IF(G2796&lt;&gt;"",IFERROR(VLOOKUP(G2796,PRODUCTOS!$A:$B,2,0),"!COD NO ENCONTRADO"),"")</f>
        <v/>
      </c>
      <c r="I2796" s="77"/>
      <c r="J2796" s="78"/>
      <c r="K2796" s="79"/>
      <c r="L2796" s="80" t="str">
        <f aca="false">IF(AND(J2796&lt;&gt;"",K2796&lt;&gt;""),J2796*K2796,"")</f>
        <v/>
      </c>
      <c r="M2796" s="81" t="str">
        <f aca="false">IF(L2796&lt;&gt;"",L2796*1.1,"")</f>
        <v/>
      </c>
      <c r="N2796" s="53" t="n">
        <f aca="false">IF(F2796="S",L2796*0.02,0)</f>
        <v>0</v>
      </c>
      <c r="O2796" s="82" t="str">
        <f aca="false">IF(L2796&lt;&gt;"",L2796+N2796,"")</f>
        <v/>
      </c>
      <c r="P2796" s="53" t="str">
        <f aca="false">IF(O2796&lt;&gt;"",O2796*0.1,"")</f>
        <v/>
      </c>
      <c r="Q2796" s="83" t="str">
        <f aca="false">IF(O2796&lt;&gt;"",O2796+P2796,"")</f>
        <v/>
      </c>
      <c r="R2796" s="84"/>
    </row>
    <row r="2797" customFormat="false" ht="15" hidden="false" customHeight="true" outlineLevel="0" collapsed="false">
      <c r="A2797" s="103"/>
      <c r="B2797" s="85"/>
      <c r="C2797" s="86"/>
      <c r="D2797" s="87"/>
      <c r="E2797" s="46" t="str">
        <f aca="false">IF(D2797&lt;&gt;"",IFERROR(VLOOKUP(D2797,PROVEEDORES!$A:$B,2,0),"!COD NO ENCONTRADO"),"")</f>
        <v/>
      </c>
      <c r="F2797" s="88" t="str">
        <f aca="false">IF(D2797&lt;&gt;"",IFERROR(VLOOKUP(D2797,PROVEEDORES!$A:$C,3,0),""),"")</f>
        <v/>
      </c>
      <c r="G2797" s="87"/>
      <c r="H2797" s="46" t="str">
        <f aca="false">IF(G2797&lt;&gt;"",IFERROR(VLOOKUP(G2797,PRODUCTOS!$A:$B,2,0),"!COD NO ENCONTRADO"),"")</f>
        <v/>
      </c>
      <c r="I2797" s="89"/>
      <c r="J2797" s="90"/>
      <c r="K2797" s="91"/>
      <c r="L2797" s="80" t="str">
        <f aca="false">IF(AND(J2797&lt;&gt;"",K2797&lt;&gt;""),J2797*K2797,"")</f>
        <v/>
      </c>
      <c r="M2797" s="81" t="str">
        <f aca="false">IF(L2797&lt;&gt;"",L2797*1.1,"")</f>
        <v/>
      </c>
      <c r="N2797" s="47" t="n">
        <f aca="false">IF(F2797="S",L2797*0.02,0)</f>
        <v>0</v>
      </c>
      <c r="O2797" s="82" t="str">
        <f aca="false">IF(L2797&lt;&gt;"",L2797+N2797,"")</f>
        <v/>
      </c>
      <c r="P2797" s="47" t="str">
        <f aca="false">IF(O2797&lt;&gt;"",O2797*0.1,"")</f>
        <v/>
      </c>
      <c r="Q2797" s="83" t="str">
        <f aca="false">IF(O2797&lt;&gt;"",O2797+P2797,"")</f>
        <v/>
      </c>
      <c r="R2797" s="84"/>
    </row>
    <row r="2798" customFormat="false" ht="15" hidden="false" customHeight="true" outlineLevel="0" collapsed="false">
      <c r="A2798" s="103"/>
      <c r="B2798" s="73"/>
      <c r="C2798" s="74"/>
      <c r="D2798" s="75"/>
      <c r="E2798" s="52" t="str">
        <f aca="false">IF(D2798&lt;&gt;"",IFERROR(VLOOKUP(D2798,PROVEEDORES!$A:$B,2,0),"!COD NO ENCONTRADO"),"")</f>
        <v/>
      </c>
      <c r="F2798" s="76" t="str">
        <f aca="false">IF(D2798&lt;&gt;"",IFERROR(VLOOKUP(D2798,PROVEEDORES!$A:$C,3,0),""),"")</f>
        <v/>
      </c>
      <c r="G2798" s="75"/>
      <c r="H2798" s="52" t="str">
        <f aca="false">IF(G2798&lt;&gt;"",IFERROR(VLOOKUP(G2798,PRODUCTOS!$A:$B,2,0),"!COD NO ENCONTRADO"),"")</f>
        <v/>
      </c>
      <c r="I2798" s="77"/>
      <c r="J2798" s="78"/>
      <c r="K2798" s="79"/>
      <c r="L2798" s="80" t="str">
        <f aca="false">IF(AND(J2798&lt;&gt;"",K2798&lt;&gt;""),J2798*K2798,"")</f>
        <v/>
      </c>
      <c r="M2798" s="81" t="str">
        <f aca="false">IF(L2798&lt;&gt;"",L2798*1.1,"")</f>
        <v/>
      </c>
      <c r="N2798" s="53" t="n">
        <f aca="false">IF(F2798="S",L2798*0.02,0)</f>
        <v>0</v>
      </c>
      <c r="O2798" s="82" t="str">
        <f aca="false">IF(L2798&lt;&gt;"",L2798+N2798,"")</f>
        <v/>
      </c>
      <c r="P2798" s="53" t="str">
        <f aca="false">IF(O2798&lt;&gt;"",O2798*0.1,"")</f>
        <v/>
      </c>
      <c r="Q2798" s="83" t="str">
        <f aca="false">IF(O2798&lt;&gt;"",O2798+P2798,"")</f>
        <v/>
      </c>
      <c r="R2798" s="84"/>
    </row>
    <row r="2799" customFormat="false" ht="15" hidden="false" customHeight="true" outlineLevel="0" collapsed="false">
      <c r="A2799" s="103"/>
      <c r="B2799" s="85"/>
      <c r="C2799" s="86"/>
      <c r="D2799" s="87"/>
      <c r="E2799" s="46" t="str">
        <f aca="false">IF(D2799&lt;&gt;"",IFERROR(VLOOKUP(D2799,PROVEEDORES!$A:$B,2,0),"!COD NO ENCONTRADO"),"")</f>
        <v/>
      </c>
      <c r="F2799" s="88" t="str">
        <f aca="false">IF(D2799&lt;&gt;"",IFERROR(VLOOKUP(D2799,PROVEEDORES!$A:$C,3,0),""),"")</f>
        <v/>
      </c>
      <c r="G2799" s="87"/>
      <c r="H2799" s="46" t="str">
        <f aca="false">IF(G2799&lt;&gt;"",IFERROR(VLOOKUP(G2799,PRODUCTOS!$A:$B,2,0),"!COD NO ENCONTRADO"),"")</f>
        <v/>
      </c>
      <c r="I2799" s="89"/>
      <c r="J2799" s="90"/>
      <c r="K2799" s="91"/>
      <c r="L2799" s="80" t="str">
        <f aca="false">IF(AND(J2799&lt;&gt;"",K2799&lt;&gt;""),J2799*K2799,"")</f>
        <v/>
      </c>
      <c r="M2799" s="81" t="str">
        <f aca="false">IF(L2799&lt;&gt;"",L2799*1.1,"")</f>
        <v/>
      </c>
      <c r="N2799" s="47" t="n">
        <f aca="false">IF(F2799="S",L2799*0.02,0)</f>
        <v>0</v>
      </c>
      <c r="O2799" s="82" t="str">
        <f aca="false">IF(L2799&lt;&gt;"",L2799+N2799,"")</f>
        <v/>
      </c>
      <c r="P2799" s="47" t="str">
        <f aca="false">IF(O2799&lt;&gt;"",O2799*0.1,"")</f>
        <v/>
      </c>
      <c r="Q2799" s="83" t="str">
        <f aca="false">IF(O2799&lt;&gt;"",O2799+P2799,"")</f>
        <v/>
      </c>
      <c r="R2799" s="84"/>
    </row>
    <row r="2800" customFormat="false" ht="15" hidden="false" customHeight="true" outlineLevel="0" collapsed="false">
      <c r="A2800" s="103"/>
      <c r="B2800" s="73"/>
      <c r="C2800" s="74"/>
      <c r="D2800" s="75"/>
      <c r="E2800" s="52" t="str">
        <f aca="false">IF(D2800&lt;&gt;"",IFERROR(VLOOKUP(D2800,PROVEEDORES!$A:$B,2,0),"!COD NO ENCONTRADO"),"")</f>
        <v/>
      </c>
      <c r="F2800" s="76" t="str">
        <f aca="false">IF(D2800&lt;&gt;"",IFERROR(VLOOKUP(D2800,PROVEEDORES!$A:$C,3,0),""),"")</f>
        <v/>
      </c>
      <c r="G2800" s="75"/>
      <c r="H2800" s="52" t="str">
        <f aca="false">IF(G2800&lt;&gt;"",IFERROR(VLOOKUP(G2800,PRODUCTOS!$A:$B,2,0),"!COD NO ENCONTRADO"),"")</f>
        <v/>
      </c>
      <c r="I2800" s="77"/>
      <c r="J2800" s="78"/>
      <c r="K2800" s="79"/>
      <c r="L2800" s="80" t="str">
        <f aca="false">IF(AND(J2800&lt;&gt;"",K2800&lt;&gt;""),J2800*K2800,"")</f>
        <v/>
      </c>
      <c r="M2800" s="81" t="str">
        <f aca="false">IF(L2800&lt;&gt;"",L2800*1.1,"")</f>
        <v/>
      </c>
      <c r="N2800" s="53" t="n">
        <f aca="false">IF(F2800="S",L2800*0.02,0)</f>
        <v>0</v>
      </c>
      <c r="O2800" s="82" t="str">
        <f aca="false">IF(L2800&lt;&gt;"",L2800+N2800,"")</f>
        <v/>
      </c>
      <c r="P2800" s="53" t="str">
        <f aca="false">IF(O2800&lt;&gt;"",O2800*0.1,"")</f>
        <v/>
      </c>
      <c r="Q2800" s="83" t="str">
        <f aca="false">IF(O2800&lt;&gt;"",O2800+P2800,"")</f>
        <v/>
      </c>
      <c r="R2800" s="84"/>
    </row>
    <row r="2801" customFormat="false" ht="15" hidden="false" customHeight="true" outlineLevel="0" collapsed="false">
      <c r="A2801" s="103"/>
      <c r="B2801" s="85"/>
      <c r="C2801" s="86"/>
      <c r="D2801" s="87"/>
      <c r="E2801" s="46" t="str">
        <f aca="false">IF(D2801&lt;&gt;"",IFERROR(VLOOKUP(D2801,PROVEEDORES!$A:$B,2,0),"!COD NO ENCONTRADO"),"")</f>
        <v/>
      </c>
      <c r="F2801" s="88" t="str">
        <f aca="false">IF(D2801&lt;&gt;"",IFERROR(VLOOKUP(D2801,PROVEEDORES!$A:$C,3,0),""),"")</f>
        <v/>
      </c>
      <c r="G2801" s="87"/>
      <c r="H2801" s="46" t="str">
        <f aca="false">IF(G2801&lt;&gt;"",IFERROR(VLOOKUP(G2801,PRODUCTOS!$A:$B,2,0),"!COD NO ENCONTRADO"),"")</f>
        <v/>
      </c>
      <c r="I2801" s="89"/>
      <c r="J2801" s="90"/>
      <c r="K2801" s="91"/>
      <c r="L2801" s="80" t="str">
        <f aca="false">IF(AND(J2801&lt;&gt;"",K2801&lt;&gt;""),J2801*K2801,"")</f>
        <v/>
      </c>
      <c r="M2801" s="81" t="str">
        <f aca="false">IF(L2801&lt;&gt;"",L2801*1.1,"")</f>
        <v/>
      </c>
      <c r="N2801" s="47" t="n">
        <f aca="false">IF(F2801="S",L2801*0.02,0)</f>
        <v>0</v>
      </c>
      <c r="O2801" s="82" t="str">
        <f aca="false">IF(L2801&lt;&gt;"",L2801+N2801,"")</f>
        <v/>
      </c>
      <c r="P2801" s="47" t="str">
        <f aca="false">IF(O2801&lt;&gt;"",O2801*0.1,"")</f>
        <v/>
      </c>
      <c r="Q2801" s="83" t="str">
        <f aca="false">IF(O2801&lt;&gt;"",O2801+P2801,"")</f>
        <v/>
      </c>
      <c r="R2801" s="84"/>
    </row>
    <row r="2802" customFormat="false" ht="15" hidden="false" customHeight="true" outlineLevel="0" collapsed="false">
      <c r="A2802" s="103"/>
      <c r="B2802" s="73"/>
      <c r="C2802" s="74"/>
      <c r="D2802" s="75"/>
      <c r="E2802" s="52" t="str">
        <f aca="false">IF(D2802&lt;&gt;"",IFERROR(VLOOKUP(D2802,PROVEEDORES!$A:$B,2,0),"!COD NO ENCONTRADO"),"")</f>
        <v/>
      </c>
      <c r="F2802" s="76" t="str">
        <f aca="false">IF(D2802&lt;&gt;"",IFERROR(VLOOKUP(D2802,PROVEEDORES!$A:$C,3,0),""),"")</f>
        <v/>
      </c>
      <c r="G2802" s="75"/>
      <c r="H2802" s="52" t="str">
        <f aca="false">IF(G2802&lt;&gt;"",IFERROR(VLOOKUP(G2802,PRODUCTOS!$A:$B,2,0),"!COD NO ENCONTRADO"),"")</f>
        <v/>
      </c>
      <c r="I2802" s="77"/>
      <c r="J2802" s="78"/>
      <c r="K2802" s="79"/>
      <c r="L2802" s="80" t="str">
        <f aca="false">IF(AND(J2802&lt;&gt;"",K2802&lt;&gt;""),J2802*K2802,"")</f>
        <v/>
      </c>
      <c r="M2802" s="81" t="str">
        <f aca="false">IF(L2802&lt;&gt;"",L2802*1.1,"")</f>
        <v/>
      </c>
      <c r="N2802" s="53" t="n">
        <f aca="false">IF(F2802="S",L2802*0.02,0)</f>
        <v>0</v>
      </c>
      <c r="O2802" s="82" t="str">
        <f aca="false">IF(L2802&lt;&gt;"",L2802+N2802,"")</f>
        <v/>
      </c>
      <c r="P2802" s="53" t="str">
        <f aca="false">IF(O2802&lt;&gt;"",O2802*0.1,"")</f>
        <v/>
      </c>
      <c r="Q2802" s="83" t="str">
        <f aca="false">IF(O2802&lt;&gt;"",O2802+P2802,"")</f>
        <v/>
      </c>
      <c r="R2802" s="84"/>
    </row>
    <row r="2803" customFormat="false" ht="15" hidden="false" customHeight="true" outlineLevel="0" collapsed="false">
      <c r="A2803" s="103"/>
      <c r="B2803" s="85"/>
      <c r="C2803" s="86"/>
      <c r="D2803" s="87"/>
      <c r="E2803" s="46" t="str">
        <f aca="false">IF(D2803&lt;&gt;"",IFERROR(VLOOKUP(D2803,PROVEEDORES!$A:$B,2,0),"!COD NO ENCONTRADO"),"")</f>
        <v/>
      </c>
      <c r="F2803" s="88" t="str">
        <f aca="false">IF(D2803&lt;&gt;"",IFERROR(VLOOKUP(D2803,PROVEEDORES!$A:$C,3,0),""),"")</f>
        <v/>
      </c>
      <c r="G2803" s="87"/>
      <c r="H2803" s="46" t="str">
        <f aca="false">IF(G2803&lt;&gt;"",IFERROR(VLOOKUP(G2803,PRODUCTOS!$A:$B,2,0),"!COD NO ENCONTRADO"),"")</f>
        <v/>
      </c>
      <c r="I2803" s="89"/>
      <c r="J2803" s="90"/>
      <c r="K2803" s="91"/>
      <c r="L2803" s="80" t="str">
        <f aca="false">IF(AND(J2803&lt;&gt;"",K2803&lt;&gt;""),J2803*K2803,"")</f>
        <v/>
      </c>
      <c r="M2803" s="81" t="str">
        <f aca="false">IF(L2803&lt;&gt;"",L2803*1.1,"")</f>
        <v/>
      </c>
      <c r="N2803" s="47" t="n">
        <f aca="false">IF(F2803="S",L2803*0.02,0)</f>
        <v>0</v>
      </c>
      <c r="O2803" s="82" t="str">
        <f aca="false">IF(L2803&lt;&gt;"",L2803+N2803,"")</f>
        <v/>
      </c>
      <c r="P2803" s="47" t="str">
        <f aca="false">IF(O2803&lt;&gt;"",O2803*0.1,"")</f>
        <v/>
      </c>
      <c r="Q2803" s="83" t="str">
        <f aca="false">IF(O2803&lt;&gt;"",O2803+P2803,"")</f>
        <v/>
      </c>
      <c r="R2803" s="84"/>
    </row>
    <row r="2804" customFormat="false" ht="15" hidden="false" customHeight="true" outlineLevel="0" collapsed="false">
      <c r="A2804" s="103"/>
      <c r="B2804" s="73"/>
      <c r="C2804" s="74"/>
      <c r="D2804" s="75"/>
      <c r="E2804" s="52" t="str">
        <f aca="false">IF(D2804&lt;&gt;"",IFERROR(VLOOKUP(D2804,PROVEEDORES!$A:$B,2,0),"!COD NO ENCONTRADO"),"")</f>
        <v/>
      </c>
      <c r="F2804" s="76" t="str">
        <f aca="false">IF(D2804&lt;&gt;"",IFERROR(VLOOKUP(D2804,PROVEEDORES!$A:$C,3,0),""),"")</f>
        <v/>
      </c>
      <c r="G2804" s="75"/>
      <c r="H2804" s="52" t="str">
        <f aca="false">IF(G2804&lt;&gt;"",IFERROR(VLOOKUP(G2804,PRODUCTOS!$A:$B,2,0),"!COD NO ENCONTRADO"),"")</f>
        <v/>
      </c>
      <c r="I2804" s="77"/>
      <c r="J2804" s="78"/>
      <c r="K2804" s="79"/>
      <c r="L2804" s="80" t="str">
        <f aca="false">IF(AND(J2804&lt;&gt;"",K2804&lt;&gt;""),J2804*K2804,"")</f>
        <v/>
      </c>
      <c r="M2804" s="81" t="str">
        <f aca="false">IF(L2804&lt;&gt;"",L2804*1.1,"")</f>
        <v/>
      </c>
      <c r="N2804" s="53" t="n">
        <f aca="false">IF(F2804="S",L2804*0.02,0)</f>
        <v>0</v>
      </c>
      <c r="O2804" s="82" t="str">
        <f aca="false">IF(L2804&lt;&gt;"",L2804+N2804,"")</f>
        <v/>
      </c>
      <c r="P2804" s="53" t="str">
        <f aca="false">IF(O2804&lt;&gt;"",O2804*0.1,"")</f>
        <v/>
      </c>
      <c r="Q2804" s="83" t="str">
        <f aca="false">IF(O2804&lt;&gt;"",O2804+P2804,"")</f>
        <v/>
      </c>
      <c r="R2804" s="84"/>
    </row>
    <row r="2805" customFormat="false" ht="15" hidden="false" customHeight="true" outlineLevel="0" collapsed="false">
      <c r="A2805" s="103"/>
      <c r="B2805" s="85"/>
      <c r="C2805" s="86"/>
      <c r="D2805" s="87"/>
      <c r="E2805" s="46" t="str">
        <f aca="false">IF(D2805&lt;&gt;"",IFERROR(VLOOKUP(D2805,PROVEEDORES!$A:$B,2,0),"!COD NO ENCONTRADO"),"")</f>
        <v/>
      </c>
      <c r="F2805" s="88" t="str">
        <f aca="false">IF(D2805&lt;&gt;"",IFERROR(VLOOKUP(D2805,PROVEEDORES!$A:$C,3,0),""),"")</f>
        <v/>
      </c>
      <c r="G2805" s="87"/>
      <c r="H2805" s="46" t="str">
        <f aca="false">IF(G2805&lt;&gt;"",IFERROR(VLOOKUP(G2805,PRODUCTOS!$A:$B,2,0),"!COD NO ENCONTRADO"),"")</f>
        <v/>
      </c>
      <c r="I2805" s="89"/>
      <c r="J2805" s="90"/>
      <c r="K2805" s="91"/>
      <c r="L2805" s="80" t="str">
        <f aca="false">IF(AND(J2805&lt;&gt;"",K2805&lt;&gt;""),J2805*K2805,"")</f>
        <v/>
      </c>
      <c r="M2805" s="81" t="str">
        <f aca="false">IF(L2805&lt;&gt;"",L2805*1.1,"")</f>
        <v/>
      </c>
      <c r="N2805" s="47" t="n">
        <f aca="false">IF(F2805="S",L2805*0.02,0)</f>
        <v>0</v>
      </c>
      <c r="O2805" s="82" t="str">
        <f aca="false">IF(L2805&lt;&gt;"",L2805+N2805,"")</f>
        <v/>
      </c>
      <c r="P2805" s="47" t="str">
        <f aca="false">IF(O2805&lt;&gt;"",O2805*0.1,"")</f>
        <v/>
      </c>
      <c r="Q2805" s="83" t="str">
        <f aca="false">IF(O2805&lt;&gt;"",O2805+P2805,"")</f>
        <v/>
      </c>
      <c r="R2805" s="84"/>
    </row>
    <row r="2806" customFormat="false" ht="15" hidden="false" customHeight="true" outlineLevel="0" collapsed="false">
      <c r="A2806" s="103"/>
      <c r="B2806" s="73"/>
      <c r="C2806" s="74"/>
      <c r="D2806" s="75"/>
      <c r="E2806" s="52" t="str">
        <f aca="false">IF(D2806&lt;&gt;"",IFERROR(VLOOKUP(D2806,PROVEEDORES!$A:$B,2,0),"!COD NO ENCONTRADO"),"")</f>
        <v/>
      </c>
      <c r="F2806" s="76" t="str">
        <f aca="false">IF(D2806&lt;&gt;"",IFERROR(VLOOKUP(D2806,PROVEEDORES!$A:$C,3,0),""),"")</f>
        <v/>
      </c>
      <c r="G2806" s="75"/>
      <c r="H2806" s="52" t="str">
        <f aca="false">IF(G2806&lt;&gt;"",IFERROR(VLOOKUP(G2806,PRODUCTOS!$A:$B,2,0),"!COD NO ENCONTRADO"),"")</f>
        <v/>
      </c>
      <c r="I2806" s="77"/>
      <c r="J2806" s="78"/>
      <c r="K2806" s="79"/>
      <c r="L2806" s="80" t="str">
        <f aca="false">IF(AND(J2806&lt;&gt;"",K2806&lt;&gt;""),J2806*K2806,"")</f>
        <v/>
      </c>
      <c r="M2806" s="81" t="str">
        <f aca="false">IF(L2806&lt;&gt;"",L2806*1.1,"")</f>
        <v/>
      </c>
      <c r="N2806" s="53" t="n">
        <f aca="false">IF(F2806="S",L2806*0.02,0)</f>
        <v>0</v>
      </c>
      <c r="O2806" s="82" t="str">
        <f aca="false">IF(L2806&lt;&gt;"",L2806+N2806,"")</f>
        <v/>
      </c>
      <c r="P2806" s="53" t="str">
        <f aca="false">IF(O2806&lt;&gt;"",O2806*0.1,"")</f>
        <v/>
      </c>
      <c r="Q2806" s="83" t="str">
        <f aca="false">IF(O2806&lt;&gt;"",O2806+P2806,"")</f>
        <v/>
      </c>
      <c r="R2806" s="84"/>
    </row>
    <row r="2807" customFormat="false" ht="15" hidden="false" customHeight="true" outlineLevel="0" collapsed="false">
      <c r="A2807" s="103"/>
      <c r="B2807" s="85"/>
      <c r="C2807" s="86"/>
      <c r="D2807" s="87"/>
      <c r="E2807" s="46" t="str">
        <f aca="false">IF(D2807&lt;&gt;"",IFERROR(VLOOKUP(D2807,PROVEEDORES!$A:$B,2,0),"!COD NO ENCONTRADO"),"")</f>
        <v/>
      </c>
      <c r="F2807" s="88" t="str">
        <f aca="false">IF(D2807&lt;&gt;"",IFERROR(VLOOKUP(D2807,PROVEEDORES!$A:$C,3,0),""),"")</f>
        <v/>
      </c>
      <c r="G2807" s="87"/>
      <c r="H2807" s="46" t="str">
        <f aca="false">IF(G2807&lt;&gt;"",IFERROR(VLOOKUP(G2807,PRODUCTOS!$A:$B,2,0),"!COD NO ENCONTRADO"),"")</f>
        <v/>
      </c>
      <c r="I2807" s="89"/>
      <c r="J2807" s="90"/>
      <c r="K2807" s="91"/>
      <c r="L2807" s="80" t="str">
        <f aca="false">IF(AND(J2807&lt;&gt;"",K2807&lt;&gt;""),J2807*K2807,"")</f>
        <v/>
      </c>
      <c r="M2807" s="81" t="str">
        <f aca="false">IF(L2807&lt;&gt;"",L2807*1.1,"")</f>
        <v/>
      </c>
      <c r="N2807" s="47" t="n">
        <f aca="false">IF(F2807="S",L2807*0.02,0)</f>
        <v>0</v>
      </c>
      <c r="O2807" s="82" t="str">
        <f aca="false">IF(L2807&lt;&gt;"",L2807+N2807,"")</f>
        <v/>
      </c>
      <c r="P2807" s="47" t="str">
        <f aca="false">IF(O2807&lt;&gt;"",O2807*0.1,"")</f>
        <v/>
      </c>
      <c r="Q2807" s="83" t="str">
        <f aca="false">IF(O2807&lt;&gt;"",O2807+P2807,"")</f>
        <v/>
      </c>
      <c r="R2807" s="84"/>
    </row>
    <row r="2808" customFormat="false" ht="15" hidden="false" customHeight="true" outlineLevel="0" collapsed="false">
      <c r="A2808" s="103"/>
      <c r="B2808" s="73"/>
      <c r="C2808" s="74"/>
      <c r="D2808" s="75"/>
      <c r="E2808" s="52" t="str">
        <f aca="false">IF(D2808&lt;&gt;"",IFERROR(VLOOKUP(D2808,PROVEEDORES!$A:$B,2,0),"!COD NO ENCONTRADO"),"")</f>
        <v/>
      </c>
      <c r="F2808" s="76" t="str">
        <f aca="false">IF(D2808&lt;&gt;"",IFERROR(VLOOKUP(D2808,PROVEEDORES!$A:$C,3,0),""),"")</f>
        <v/>
      </c>
      <c r="G2808" s="75"/>
      <c r="H2808" s="52" t="str">
        <f aca="false">IF(G2808&lt;&gt;"",IFERROR(VLOOKUP(G2808,PRODUCTOS!$A:$B,2,0),"!COD NO ENCONTRADO"),"")</f>
        <v/>
      </c>
      <c r="I2808" s="77"/>
      <c r="J2808" s="78"/>
      <c r="K2808" s="79"/>
      <c r="L2808" s="80" t="str">
        <f aca="false">IF(AND(J2808&lt;&gt;"",K2808&lt;&gt;""),J2808*K2808,"")</f>
        <v/>
      </c>
      <c r="M2808" s="81" t="str">
        <f aca="false">IF(L2808&lt;&gt;"",L2808*1.1,"")</f>
        <v/>
      </c>
      <c r="N2808" s="53" t="n">
        <f aca="false">IF(F2808="S",L2808*0.02,0)</f>
        <v>0</v>
      </c>
      <c r="O2808" s="82" t="str">
        <f aca="false">IF(L2808&lt;&gt;"",L2808+N2808,"")</f>
        <v/>
      </c>
      <c r="P2808" s="53" t="str">
        <f aca="false">IF(O2808&lt;&gt;"",O2808*0.1,"")</f>
        <v/>
      </c>
      <c r="Q2808" s="83" t="str">
        <f aca="false">IF(O2808&lt;&gt;"",O2808+P2808,"")</f>
        <v/>
      </c>
      <c r="R2808" s="84"/>
    </row>
    <row r="2809" customFormat="false" ht="15" hidden="false" customHeight="true" outlineLevel="0" collapsed="false">
      <c r="A2809" s="103"/>
      <c r="B2809" s="85"/>
      <c r="C2809" s="86"/>
      <c r="D2809" s="87"/>
      <c r="E2809" s="46" t="str">
        <f aca="false">IF(D2809&lt;&gt;"",IFERROR(VLOOKUP(D2809,PROVEEDORES!$A:$B,2,0),"!COD NO ENCONTRADO"),"")</f>
        <v/>
      </c>
      <c r="F2809" s="88" t="str">
        <f aca="false">IF(D2809&lt;&gt;"",IFERROR(VLOOKUP(D2809,PROVEEDORES!$A:$C,3,0),""),"")</f>
        <v/>
      </c>
      <c r="G2809" s="87"/>
      <c r="H2809" s="46" t="str">
        <f aca="false">IF(G2809&lt;&gt;"",IFERROR(VLOOKUP(G2809,PRODUCTOS!$A:$B,2,0),"!COD NO ENCONTRADO"),"")</f>
        <v/>
      </c>
      <c r="I2809" s="89"/>
      <c r="J2809" s="90"/>
      <c r="K2809" s="91"/>
      <c r="L2809" s="80" t="str">
        <f aca="false">IF(AND(J2809&lt;&gt;"",K2809&lt;&gt;""),J2809*K2809,"")</f>
        <v/>
      </c>
      <c r="M2809" s="81" t="str">
        <f aca="false">IF(L2809&lt;&gt;"",L2809*1.1,"")</f>
        <v/>
      </c>
      <c r="N2809" s="47" t="n">
        <f aca="false">IF(F2809="S",L2809*0.02,0)</f>
        <v>0</v>
      </c>
      <c r="O2809" s="82" t="str">
        <f aca="false">IF(L2809&lt;&gt;"",L2809+N2809,"")</f>
        <v/>
      </c>
      <c r="P2809" s="47" t="str">
        <f aca="false">IF(O2809&lt;&gt;"",O2809*0.1,"")</f>
        <v/>
      </c>
      <c r="Q2809" s="83" t="str">
        <f aca="false">IF(O2809&lt;&gt;"",O2809+P2809,"")</f>
        <v/>
      </c>
      <c r="R2809" s="84"/>
    </row>
    <row r="2810" customFormat="false" ht="15" hidden="false" customHeight="true" outlineLevel="0" collapsed="false">
      <c r="A2810" s="103"/>
      <c r="B2810" s="73"/>
      <c r="C2810" s="74"/>
      <c r="D2810" s="75"/>
      <c r="E2810" s="52" t="str">
        <f aca="false">IF(D2810&lt;&gt;"",IFERROR(VLOOKUP(D2810,PROVEEDORES!$A:$B,2,0),"!COD NO ENCONTRADO"),"")</f>
        <v/>
      </c>
      <c r="F2810" s="76" t="str">
        <f aca="false">IF(D2810&lt;&gt;"",IFERROR(VLOOKUP(D2810,PROVEEDORES!$A:$C,3,0),""),"")</f>
        <v/>
      </c>
      <c r="G2810" s="75"/>
      <c r="H2810" s="52" t="str">
        <f aca="false">IF(G2810&lt;&gt;"",IFERROR(VLOOKUP(G2810,PRODUCTOS!$A:$B,2,0),"!COD NO ENCONTRADO"),"")</f>
        <v/>
      </c>
      <c r="I2810" s="77"/>
      <c r="J2810" s="78"/>
      <c r="K2810" s="79"/>
      <c r="L2810" s="80" t="str">
        <f aca="false">IF(AND(J2810&lt;&gt;"",K2810&lt;&gt;""),J2810*K2810,"")</f>
        <v/>
      </c>
      <c r="M2810" s="81" t="str">
        <f aca="false">IF(L2810&lt;&gt;"",L2810*1.1,"")</f>
        <v/>
      </c>
      <c r="N2810" s="53" t="n">
        <f aca="false">IF(F2810="S",L2810*0.02,0)</f>
        <v>0</v>
      </c>
      <c r="O2810" s="82" t="str">
        <f aca="false">IF(L2810&lt;&gt;"",L2810+N2810,"")</f>
        <v/>
      </c>
      <c r="P2810" s="53" t="str">
        <f aca="false">IF(O2810&lt;&gt;"",O2810*0.1,"")</f>
        <v/>
      </c>
      <c r="Q2810" s="83" t="str">
        <f aca="false">IF(O2810&lt;&gt;"",O2810+P2810,"")</f>
        <v/>
      </c>
      <c r="R2810" s="84"/>
    </row>
    <row r="2811" customFormat="false" ht="15" hidden="false" customHeight="true" outlineLevel="0" collapsed="false">
      <c r="A2811" s="103"/>
      <c r="B2811" s="85"/>
      <c r="C2811" s="86"/>
      <c r="D2811" s="87"/>
      <c r="E2811" s="46" t="str">
        <f aca="false">IF(D2811&lt;&gt;"",IFERROR(VLOOKUP(D2811,PROVEEDORES!$A:$B,2,0),"!COD NO ENCONTRADO"),"")</f>
        <v/>
      </c>
      <c r="F2811" s="88" t="str">
        <f aca="false">IF(D2811&lt;&gt;"",IFERROR(VLOOKUP(D2811,PROVEEDORES!$A:$C,3,0),""),"")</f>
        <v/>
      </c>
      <c r="G2811" s="87"/>
      <c r="H2811" s="46" t="str">
        <f aca="false">IF(G2811&lt;&gt;"",IFERROR(VLOOKUP(G2811,PRODUCTOS!$A:$B,2,0),"!COD NO ENCONTRADO"),"")</f>
        <v/>
      </c>
      <c r="I2811" s="89"/>
      <c r="J2811" s="90"/>
      <c r="K2811" s="91"/>
      <c r="L2811" s="80" t="str">
        <f aca="false">IF(AND(J2811&lt;&gt;"",K2811&lt;&gt;""),J2811*K2811,"")</f>
        <v/>
      </c>
      <c r="M2811" s="81" t="str">
        <f aca="false">IF(L2811&lt;&gt;"",L2811*1.1,"")</f>
        <v/>
      </c>
      <c r="N2811" s="47" t="n">
        <f aca="false">IF(F2811="S",L2811*0.02,0)</f>
        <v>0</v>
      </c>
      <c r="O2811" s="82" t="str">
        <f aca="false">IF(L2811&lt;&gt;"",L2811+N2811,"")</f>
        <v/>
      </c>
      <c r="P2811" s="47" t="str">
        <f aca="false">IF(O2811&lt;&gt;"",O2811*0.1,"")</f>
        <v/>
      </c>
      <c r="Q2811" s="83" t="str">
        <f aca="false">IF(O2811&lt;&gt;"",O2811+P2811,"")</f>
        <v/>
      </c>
      <c r="R2811" s="84"/>
    </row>
    <row r="2812" customFormat="false" ht="15" hidden="false" customHeight="true" outlineLevel="0" collapsed="false">
      <c r="A2812" s="103"/>
      <c r="B2812" s="73"/>
      <c r="C2812" s="74"/>
      <c r="D2812" s="75"/>
      <c r="E2812" s="52" t="str">
        <f aca="false">IF(D2812&lt;&gt;"",IFERROR(VLOOKUP(D2812,PROVEEDORES!$A:$B,2,0),"!COD NO ENCONTRADO"),"")</f>
        <v/>
      </c>
      <c r="F2812" s="76" t="str">
        <f aca="false">IF(D2812&lt;&gt;"",IFERROR(VLOOKUP(D2812,PROVEEDORES!$A:$C,3,0),""),"")</f>
        <v/>
      </c>
      <c r="G2812" s="75"/>
      <c r="H2812" s="52" t="str">
        <f aca="false">IF(G2812&lt;&gt;"",IFERROR(VLOOKUP(G2812,PRODUCTOS!$A:$B,2,0),"!COD NO ENCONTRADO"),"")</f>
        <v/>
      </c>
      <c r="I2812" s="77"/>
      <c r="J2812" s="78"/>
      <c r="K2812" s="79"/>
      <c r="L2812" s="80" t="str">
        <f aca="false">IF(AND(J2812&lt;&gt;"",K2812&lt;&gt;""),J2812*K2812,"")</f>
        <v/>
      </c>
      <c r="M2812" s="81" t="str">
        <f aca="false">IF(L2812&lt;&gt;"",L2812*1.1,"")</f>
        <v/>
      </c>
      <c r="N2812" s="53" t="n">
        <f aca="false">IF(F2812="S",L2812*0.02,0)</f>
        <v>0</v>
      </c>
      <c r="O2812" s="82" t="str">
        <f aca="false">IF(L2812&lt;&gt;"",L2812+N2812,"")</f>
        <v/>
      </c>
      <c r="P2812" s="53" t="str">
        <f aca="false">IF(O2812&lt;&gt;"",O2812*0.1,"")</f>
        <v/>
      </c>
      <c r="Q2812" s="83" t="str">
        <f aca="false">IF(O2812&lt;&gt;"",O2812+P2812,"")</f>
        <v/>
      </c>
      <c r="R2812" s="84"/>
    </row>
    <row r="2813" customFormat="false" ht="15" hidden="false" customHeight="true" outlineLevel="0" collapsed="false">
      <c r="A2813" s="103"/>
      <c r="B2813" s="85"/>
      <c r="C2813" s="86"/>
      <c r="D2813" s="87"/>
      <c r="E2813" s="46" t="str">
        <f aca="false">IF(D2813&lt;&gt;"",IFERROR(VLOOKUP(D2813,PROVEEDORES!$A:$B,2,0),"!COD NO ENCONTRADO"),"")</f>
        <v/>
      </c>
      <c r="F2813" s="88" t="str">
        <f aca="false">IF(D2813&lt;&gt;"",IFERROR(VLOOKUP(D2813,PROVEEDORES!$A:$C,3,0),""),"")</f>
        <v/>
      </c>
      <c r="G2813" s="87"/>
      <c r="H2813" s="46" t="str">
        <f aca="false">IF(G2813&lt;&gt;"",IFERROR(VLOOKUP(G2813,PRODUCTOS!$A:$B,2,0),"!COD NO ENCONTRADO"),"")</f>
        <v/>
      </c>
      <c r="I2813" s="89"/>
      <c r="J2813" s="90"/>
      <c r="K2813" s="91"/>
      <c r="L2813" s="80" t="str">
        <f aca="false">IF(AND(J2813&lt;&gt;"",K2813&lt;&gt;""),J2813*K2813,"")</f>
        <v/>
      </c>
      <c r="M2813" s="81" t="str">
        <f aca="false">IF(L2813&lt;&gt;"",L2813*1.1,"")</f>
        <v/>
      </c>
      <c r="N2813" s="47" t="n">
        <f aca="false">IF(F2813="S",L2813*0.02,0)</f>
        <v>0</v>
      </c>
      <c r="O2813" s="82" t="str">
        <f aca="false">IF(L2813&lt;&gt;"",L2813+N2813,"")</f>
        <v/>
      </c>
      <c r="P2813" s="47" t="str">
        <f aca="false">IF(O2813&lt;&gt;"",O2813*0.1,"")</f>
        <v/>
      </c>
      <c r="Q2813" s="83" t="str">
        <f aca="false">IF(O2813&lt;&gt;"",O2813+P2813,"")</f>
        <v/>
      </c>
      <c r="R2813" s="84"/>
    </row>
    <row r="2814" customFormat="false" ht="15" hidden="false" customHeight="true" outlineLevel="0" collapsed="false">
      <c r="A2814" s="103"/>
      <c r="B2814" s="73"/>
      <c r="C2814" s="74"/>
      <c r="D2814" s="75"/>
      <c r="E2814" s="52" t="str">
        <f aca="false">IF(D2814&lt;&gt;"",IFERROR(VLOOKUP(D2814,PROVEEDORES!$A:$B,2,0),"!COD NO ENCONTRADO"),"")</f>
        <v/>
      </c>
      <c r="F2814" s="76" t="str">
        <f aca="false">IF(D2814&lt;&gt;"",IFERROR(VLOOKUP(D2814,PROVEEDORES!$A:$C,3,0),""),"")</f>
        <v/>
      </c>
      <c r="G2814" s="75"/>
      <c r="H2814" s="52" t="str">
        <f aca="false">IF(G2814&lt;&gt;"",IFERROR(VLOOKUP(G2814,PRODUCTOS!$A:$B,2,0),"!COD NO ENCONTRADO"),"")</f>
        <v/>
      </c>
      <c r="I2814" s="77"/>
      <c r="J2814" s="78"/>
      <c r="K2814" s="79"/>
      <c r="L2814" s="80" t="str">
        <f aca="false">IF(AND(J2814&lt;&gt;"",K2814&lt;&gt;""),J2814*K2814,"")</f>
        <v/>
      </c>
      <c r="M2814" s="81" t="str">
        <f aca="false">IF(L2814&lt;&gt;"",L2814*1.1,"")</f>
        <v/>
      </c>
      <c r="N2814" s="53" t="n">
        <f aca="false">IF(F2814="S",L2814*0.02,0)</f>
        <v>0</v>
      </c>
      <c r="O2814" s="82" t="str">
        <f aca="false">IF(L2814&lt;&gt;"",L2814+N2814,"")</f>
        <v/>
      </c>
      <c r="P2814" s="53" t="str">
        <f aca="false">IF(O2814&lt;&gt;"",O2814*0.1,"")</f>
        <v/>
      </c>
      <c r="Q2814" s="83" t="str">
        <f aca="false">IF(O2814&lt;&gt;"",O2814+P2814,"")</f>
        <v/>
      </c>
      <c r="R2814" s="84"/>
    </row>
    <row r="2815" customFormat="false" ht="15" hidden="false" customHeight="true" outlineLevel="0" collapsed="false">
      <c r="A2815" s="103"/>
      <c r="B2815" s="85"/>
      <c r="C2815" s="86"/>
      <c r="D2815" s="87"/>
      <c r="E2815" s="46" t="str">
        <f aca="false">IF(D2815&lt;&gt;"",IFERROR(VLOOKUP(D2815,PROVEEDORES!$A:$B,2,0),"!COD NO ENCONTRADO"),"")</f>
        <v/>
      </c>
      <c r="F2815" s="88" t="str">
        <f aca="false">IF(D2815&lt;&gt;"",IFERROR(VLOOKUP(D2815,PROVEEDORES!$A:$C,3,0),""),"")</f>
        <v/>
      </c>
      <c r="G2815" s="87"/>
      <c r="H2815" s="46" t="str">
        <f aca="false">IF(G2815&lt;&gt;"",IFERROR(VLOOKUP(G2815,PRODUCTOS!$A:$B,2,0),"!COD NO ENCONTRADO"),"")</f>
        <v/>
      </c>
      <c r="I2815" s="89"/>
      <c r="J2815" s="90"/>
      <c r="K2815" s="91"/>
      <c r="L2815" s="80" t="str">
        <f aca="false">IF(AND(J2815&lt;&gt;"",K2815&lt;&gt;""),J2815*K2815,"")</f>
        <v/>
      </c>
      <c r="M2815" s="81" t="str">
        <f aca="false">IF(L2815&lt;&gt;"",L2815*1.1,"")</f>
        <v/>
      </c>
      <c r="N2815" s="47" t="n">
        <f aca="false">IF(F2815="S",L2815*0.02,0)</f>
        <v>0</v>
      </c>
      <c r="O2815" s="82" t="str">
        <f aca="false">IF(L2815&lt;&gt;"",L2815+N2815,"")</f>
        <v/>
      </c>
      <c r="P2815" s="47" t="str">
        <f aca="false">IF(O2815&lt;&gt;"",O2815*0.1,"")</f>
        <v/>
      </c>
      <c r="Q2815" s="83" t="str">
        <f aca="false">IF(O2815&lt;&gt;"",O2815+P2815,"")</f>
        <v/>
      </c>
      <c r="R2815" s="84"/>
    </row>
    <row r="2816" customFormat="false" ht="15" hidden="false" customHeight="true" outlineLevel="0" collapsed="false">
      <c r="A2816" s="103"/>
      <c r="B2816" s="73"/>
      <c r="C2816" s="74"/>
      <c r="D2816" s="75"/>
      <c r="E2816" s="52" t="str">
        <f aca="false">IF(D2816&lt;&gt;"",IFERROR(VLOOKUP(D2816,PROVEEDORES!$A:$B,2,0),"!COD NO ENCONTRADO"),"")</f>
        <v/>
      </c>
      <c r="F2816" s="76" t="str">
        <f aca="false">IF(D2816&lt;&gt;"",IFERROR(VLOOKUP(D2816,PROVEEDORES!$A:$C,3,0),""),"")</f>
        <v/>
      </c>
      <c r="G2816" s="75"/>
      <c r="H2816" s="52" t="str">
        <f aca="false">IF(G2816&lt;&gt;"",IFERROR(VLOOKUP(G2816,PRODUCTOS!$A:$B,2,0),"!COD NO ENCONTRADO"),"")</f>
        <v/>
      </c>
      <c r="I2816" s="77"/>
      <c r="J2816" s="78"/>
      <c r="K2816" s="79"/>
      <c r="L2816" s="80" t="str">
        <f aca="false">IF(AND(J2816&lt;&gt;"",K2816&lt;&gt;""),J2816*K2816,"")</f>
        <v/>
      </c>
      <c r="M2816" s="81" t="str">
        <f aca="false">IF(L2816&lt;&gt;"",L2816*1.1,"")</f>
        <v/>
      </c>
      <c r="N2816" s="53" t="n">
        <f aca="false">IF(F2816="S",L2816*0.02,0)</f>
        <v>0</v>
      </c>
      <c r="O2816" s="82" t="str">
        <f aca="false">IF(L2816&lt;&gt;"",L2816+N2816,"")</f>
        <v/>
      </c>
      <c r="P2816" s="53" t="str">
        <f aca="false">IF(O2816&lt;&gt;"",O2816*0.1,"")</f>
        <v/>
      </c>
      <c r="Q2816" s="83" t="str">
        <f aca="false">IF(O2816&lt;&gt;"",O2816+P2816,"")</f>
        <v/>
      </c>
      <c r="R2816" s="84"/>
    </row>
    <row r="2817" customFormat="false" ht="15" hidden="false" customHeight="true" outlineLevel="0" collapsed="false">
      <c r="A2817" s="103"/>
      <c r="B2817" s="85"/>
      <c r="C2817" s="86"/>
      <c r="D2817" s="87"/>
      <c r="E2817" s="46" t="str">
        <f aca="false">IF(D2817&lt;&gt;"",IFERROR(VLOOKUP(D2817,PROVEEDORES!$A:$B,2,0),"!COD NO ENCONTRADO"),"")</f>
        <v/>
      </c>
      <c r="F2817" s="88" t="str">
        <f aca="false">IF(D2817&lt;&gt;"",IFERROR(VLOOKUP(D2817,PROVEEDORES!$A:$C,3,0),""),"")</f>
        <v/>
      </c>
      <c r="G2817" s="87"/>
      <c r="H2817" s="46" t="str">
        <f aca="false">IF(G2817&lt;&gt;"",IFERROR(VLOOKUP(G2817,PRODUCTOS!$A:$B,2,0),"!COD NO ENCONTRADO"),"")</f>
        <v/>
      </c>
      <c r="I2817" s="89"/>
      <c r="J2817" s="90"/>
      <c r="K2817" s="91"/>
      <c r="L2817" s="80" t="str">
        <f aca="false">IF(AND(J2817&lt;&gt;"",K2817&lt;&gt;""),J2817*K2817,"")</f>
        <v/>
      </c>
      <c r="M2817" s="81" t="str">
        <f aca="false">IF(L2817&lt;&gt;"",L2817*1.1,"")</f>
        <v/>
      </c>
      <c r="N2817" s="47" t="n">
        <f aca="false">IF(F2817="S",L2817*0.02,0)</f>
        <v>0</v>
      </c>
      <c r="O2817" s="82" t="str">
        <f aca="false">IF(L2817&lt;&gt;"",L2817+N2817,"")</f>
        <v/>
      </c>
      <c r="P2817" s="47" t="str">
        <f aca="false">IF(O2817&lt;&gt;"",O2817*0.1,"")</f>
        <v/>
      </c>
      <c r="Q2817" s="83" t="str">
        <f aca="false">IF(O2817&lt;&gt;"",O2817+P2817,"")</f>
        <v/>
      </c>
      <c r="R2817" s="84"/>
    </row>
    <row r="2818" customFormat="false" ht="15" hidden="false" customHeight="true" outlineLevel="0" collapsed="false">
      <c r="A2818" s="103"/>
      <c r="B2818" s="73"/>
      <c r="C2818" s="74"/>
      <c r="D2818" s="75"/>
      <c r="E2818" s="52" t="str">
        <f aca="false">IF(D2818&lt;&gt;"",IFERROR(VLOOKUP(D2818,PROVEEDORES!$A:$B,2,0),"!COD NO ENCONTRADO"),"")</f>
        <v/>
      </c>
      <c r="F2818" s="76" t="str">
        <f aca="false">IF(D2818&lt;&gt;"",IFERROR(VLOOKUP(D2818,PROVEEDORES!$A:$C,3,0),""),"")</f>
        <v/>
      </c>
      <c r="G2818" s="75"/>
      <c r="H2818" s="52" t="str">
        <f aca="false">IF(G2818&lt;&gt;"",IFERROR(VLOOKUP(G2818,PRODUCTOS!$A:$B,2,0),"!COD NO ENCONTRADO"),"")</f>
        <v/>
      </c>
      <c r="I2818" s="77"/>
      <c r="J2818" s="78"/>
      <c r="K2818" s="79"/>
      <c r="L2818" s="80" t="str">
        <f aca="false">IF(AND(J2818&lt;&gt;"",K2818&lt;&gt;""),J2818*K2818,"")</f>
        <v/>
      </c>
      <c r="M2818" s="81" t="str">
        <f aca="false">IF(L2818&lt;&gt;"",L2818*1.1,"")</f>
        <v/>
      </c>
      <c r="N2818" s="53" t="n">
        <f aca="false">IF(F2818="S",L2818*0.02,0)</f>
        <v>0</v>
      </c>
      <c r="O2818" s="82" t="str">
        <f aca="false">IF(L2818&lt;&gt;"",L2818+N2818,"")</f>
        <v/>
      </c>
      <c r="P2818" s="53" t="str">
        <f aca="false">IF(O2818&lt;&gt;"",O2818*0.1,"")</f>
        <v/>
      </c>
      <c r="Q2818" s="83" t="str">
        <f aca="false">IF(O2818&lt;&gt;"",O2818+P2818,"")</f>
        <v/>
      </c>
      <c r="R2818" s="84"/>
    </row>
    <row r="2819" customFormat="false" ht="15" hidden="false" customHeight="true" outlineLevel="0" collapsed="false">
      <c r="A2819" s="103"/>
      <c r="B2819" s="85"/>
      <c r="C2819" s="86"/>
      <c r="D2819" s="87"/>
      <c r="E2819" s="46" t="str">
        <f aca="false">IF(D2819&lt;&gt;"",IFERROR(VLOOKUP(D2819,PROVEEDORES!$A:$B,2,0),"!COD NO ENCONTRADO"),"")</f>
        <v/>
      </c>
      <c r="F2819" s="88" t="str">
        <f aca="false">IF(D2819&lt;&gt;"",IFERROR(VLOOKUP(D2819,PROVEEDORES!$A:$C,3,0),""),"")</f>
        <v/>
      </c>
      <c r="G2819" s="87"/>
      <c r="H2819" s="46" t="str">
        <f aca="false">IF(G2819&lt;&gt;"",IFERROR(VLOOKUP(G2819,PRODUCTOS!$A:$B,2,0),"!COD NO ENCONTRADO"),"")</f>
        <v/>
      </c>
      <c r="I2819" s="89"/>
      <c r="J2819" s="90"/>
      <c r="K2819" s="91"/>
      <c r="L2819" s="80" t="str">
        <f aca="false">IF(AND(J2819&lt;&gt;"",K2819&lt;&gt;""),J2819*K2819,"")</f>
        <v/>
      </c>
      <c r="M2819" s="81" t="str">
        <f aca="false">IF(L2819&lt;&gt;"",L2819*1.1,"")</f>
        <v/>
      </c>
      <c r="N2819" s="47" t="n">
        <f aca="false">IF(F2819="S",L2819*0.02,0)</f>
        <v>0</v>
      </c>
      <c r="O2819" s="82" t="str">
        <f aca="false">IF(L2819&lt;&gt;"",L2819+N2819,"")</f>
        <v/>
      </c>
      <c r="P2819" s="47" t="str">
        <f aca="false">IF(O2819&lt;&gt;"",O2819*0.1,"")</f>
        <v/>
      </c>
      <c r="Q2819" s="83" t="str">
        <f aca="false">IF(O2819&lt;&gt;"",O2819+P2819,"")</f>
        <v/>
      </c>
      <c r="R2819" s="84"/>
    </row>
    <row r="2820" customFormat="false" ht="15" hidden="false" customHeight="true" outlineLevel="0" collapsed="false">
      <c r="A2820" s="103"/>
      <c r="B2820" s="73"/>
      <c r="C2820" s="74"/>
      <c r="D2820" s="75"/>
      <c r="E2820" s="52" t="str">
        <f aca="false">IF(D2820&lt;&gt;"",IFERROR(VLOOKUP(D2820,PROVEEDORES!$A:$B,2,0),"!COD NO ENCONTRADO"),"")</f>
        <v/>
      </c>
      <c r="F2820" s="76" t="str">
        <f aca="false">IF(D2820&lt;&gt;"",IFERROR(VLOOKUP(D2820,PROVEEDORES!$A:$C,3,0),""),"")</f>
        <v/>
      </c>
      <c r="G2820" s="75"/>
      <c r="H2820" s="52" t="str">
        <f aca="false">IF(G2820&lt;&gt;"",IFERROR(VLOOKUP(G2820,PRODUCTOS!$A:$B,2,0),"!COD NO ENCONTRADO"),"")</f>
        <v/>
      </c>
      <c r="I2820" s="77"/>
      <c r="J2820" s="78"/>
      <c r="K2820" s="79"/>
      <c r="L2820" s="80" t="str">
        <f aca="false">IF(AND(J2820&lt;&gt;"",K2820&lt;&gt;""),J2820*K2820,"")</f>
        <v/>
      </c>
      <c r="M2820" s="81" t="str">
        <f aca="false">IF(L2820&lt;&gt;"",L2820*1.1,"")</f>
        <v/>
      </c>
      <c r="N2820" s="53" t="n">
        <f aca="false">IF(F2820="S",L2820*0.02,0)</f>
        <v>0</v>
      </c>
      <c r="O2820" s="82" t="str">
        <f aca="false">IF(L2820&lt;&gt;"",L2820+N2820,"")</f>
        <v/>
      </c>
      <c r="P2820" s="53" t="str">
        <f aca="false">IF(O2820&lt;&gt;"",O2820*0.1,"")</f>
        <v/>
      </c>
      <c r="Q2820" s="83" t="str">
        <f aca="false">IF(O2820&lt;&gt;"",O2820+P2820,"")</f>
        <v/>
      </c>
      <c r="R2820" s="84"/>
    </row>
    <row r="2821" customFormat="false" ht="15" hidden="false" customHeight="true" outlineLevel="0" collapsed="false">
      <c r="A2821" s="103"/>
      <c r="B2821" s="85"/>
      <c r="C2821" s="86"/>
      <c r="D2821" s="87"/>
      <c r="E2821" s="46" t="str">
        <f aca="false">IF(D2821&lt;&gt;"",IFERROR(VLOOKUP(D2821,PROVEEDORES!$A:$B,2,0),"!COD NO ENCONTRADO"),"")</f>
        <v/>
      </c>
      <c r="F2821" s="88" t="str">
        <f aca="false">IF(D2821&lt;&gt;"",IFERROR(VLOOKUP(D2821,PROVEEDORES!$A:$C,3,0),""),"")</f>
        <v/>
      </c>
      <c r="G2821" s="87"/>
      <c r="H2821" s="46" t="str">
        <f aca="false">IF(G2821&lt;&gt;"",IFERROR(VLOOKUP(G2821,PRODUCTOS!$A:$B,2,0),"!COD NO ENCONTRADO"),"")</f>
        <v/>
      </c>
      <c r="I2821" s="89"/>
      <c r="J2821" s="90"/>
      <c r="K2821" s="91"/>
      <c r="L2821" s="80" t="str">
        <f aca="false">IF(AND(J2821&lt;&gt;"",K2821&lt;&gt;""),J2821*K2821,"")</f>
        <v/>
      </c>
      <c r="M2821" s="81" t="str">
        <f aca="false">IF(L2821&lt;&gt;"",L2821*1.1,"")</f>
        <v/>
      </c>
      <c r="N2821" s="47" t="n">
        <f aca="false">IF(F2821="S",L2821*0.02,0)</f>
        <v>0</v>
      </c>
      <c r="O2821" s="82" t="str">
        <f aca="false">IF(L2821&lt;&gt;"",L2821+N2821,"")</f>
        <v/>
      </c>
      <c r="P2821" s="47" t="str">
        <f aca="false">IF(O2821&lt;&gt;"",O2821*0.1,"")</f>
        <v/>
      </c>
      <c r="Q2821" s="83" t="str">
        <f aca="false">IF(O2821&lt;&gt;"",O2821+P2821,"")</f>
        <v/>
      </c>
      <c r="R2821" s="84"/>
    </row>
    <row r="2822" customFormat="false" ht="15" hidden="false" customHeight="true" outlineLevel="0" collapsed="false">
      <c r="A2822" s="103"/>
      <c r="B2822" s="73"/>
      <c r="C2822" s="74"/>
      <c r="D2822" s="75"/>
      <c r="E2822" s="52" t="str">
        <f aca="false">IF(D2822&lt;&gt;"",IFERROR(VLOOKUP(D2822,PROVEEDORES!$A:$B,2,0),"!COD NO ENCONTRADO"),"")</f>
        <v/>
      </c>
      <c r="F2822" s="76" t="str">
        <f aca="false">IF(D2822&lt;&gt;"",IFERROR(VLOOKUP(D2822,PROVEEDORES!$A:$C,3,0),""),"")</f>
        <v/>
      </c>
      <c r="G2822" s="75"/>
      <c r="H2822" s="52" t="str">
        <f aca="false">IF(G2822&lt;&gt;"",IFERROR(VLOOKUP(G2822,PRODUCTOS!$A:$B,2,0),"!COD NO ENCONTRADO"),"")</f>
        <v/>
      </c>
      <c r="I2822" s="77"/>
      <c r="J2822" s="78"/>
      <c r="K2822" s="79"/>
      <c r="L2822" s="80" t="str">
        <f aca="false">IF(AND(J2822&lt;&gt;"",K2822&lt;&gt;""),J2822*K2822,"")</f>
        <v/>
      </c>
      <c r="M2822" s="81" t="str">
        <f aca="false">IF(L2822&lt;&gt;"",L2822*1.1,"")</f>
        <v/>
      </c>
      <c r="N2822" s="53" t="n">
        <f aca="false">IF(F2822="S",L2822*0.02,0)</f>
        <v>0</v>
      </c>
      <c r="O2822" s="82" t="str">
        <f aca="false">IF(L2822&lt;&gt;"",L2822+N2822,"")</f>
        <v/>
      </c>
      <c r="P2822" s="53" t="str">
        <f aca="false">IF(O2822&lt;&gt;"",O2822*0.1,"")</f>
        <v/>
      </c>
      <c r="Q2822" s="83" t="str">
        <f aca="false">IF(O2822&lt;&gt;"",O2822+P2822,"")</f>
        <v/>
      </c>
      <c r="R2822" s="84"/>
    </row>
    <row r="2823" customFormat="false" ht="15" hidden="false" customHeight="true" outlineLevel="0" collapsed="false">
      <c r="A2823" s="103"/>
      <c r="B2823" s="85"/>
      <c r="C2823" s="86"/>
      <c r="D2823" s="87"/>
      <c r="E2823" s="46" t="str">
        <f aca="false">IF(D2823&lt;&gt;"",IFERROR(VLOOKUP(D2823,PROVEEDORES!$A:$B,2,0),"!COD NO ENCONTRADO"),"")</f>
        <v/>
      </c>
      <c r="F2823" s="88" t="str">
        <f aca="false">IF(D2823&lt;&gt;"",IFERROR(VLOOKUP(D2823,PROVEEDORES!$A:$C,3,0),""),"")</f>
        <v/>
      </c>
      <c r="G2823" s="87"/>
      <c r="H2823" s="46" t="str">
        <f aca="false">IF(G2823&lt;&gt;"",IFERROR(VLOOKUP(G2823,PRODUCTOS!$A:$B,2,0),"!COD NO ENCONTRADO"),"")</f>
        <v/>
      </c>
      <c r="I2823" s="89"/>
      <c r="J2823" s="90"/>
      <c r="K2823" s="91"/>
      <c r="L2823" s="80" t="str">
        <f aca="false">IF(AND(J2823&lt;&gt;"",K2823&lt;&gt;""),J2823*K2823,"")</f>
        <v/>
      </c>
      <c r="M2823" s="81" t="str">
        <f aca="false">IF(L2823&lt;&gt;"",L2823*1.1,"")</f>
        <v/>
      </c>
      <c r="N2823" s="47" t="n">
        <f aca="false">IF(F2823="S",L2823*0.02,0)</f>
        <v>0</v>
      </c>
      <c r="O2823" s="82" t="str">
        <f aca="false">IF(L2823&lt;&gt;"",L2823+N2823,"")</f>
        <v/>
      </c>
      <c r="P2823" s="47" t="str">
        <f aca="false">IF(O2823&lt;&gt;"",O2823*0.1,"")</f>
        <v/>
      </c>
      <c r="Q2823" s="83" t="str">
        <f aca="false">IF(O2823&lt;&gt;"",O2823+P2823,"")</f>
        <v/>
      </c>
      <c r="R2823" s="84"/>
    </row>
    <row r="2824" customFormat="false" ht="15" hidden="false" customHeight="true" outlineLevel="0" collapsed="false">
      <c r="A2824" s="103"/>
      <c r="B2824" s="73"/>
      <c r="C2824" s="74"/>
      <c r="D2824" s="75"/>
      <c r="E2824" s="52" t="str">
        <f aca="false">IF(D2824&lt;&gt;"",IFERROR(VLOOKUP(D2824,PROVEEDORES!$A:$B,2,0),"!COD NO ENCONTRADO"),"")</f>
        <v/>
      </c>
      <c r="F2824" s="76" t="str">
        <f aca="false">IF(D2824&lt;&gt;"",IFERROR(VLOOKUP(D2824,PROVEEDORES!$A:$C,3,0),""),"")</f>
        <v/>
      </c>
      <c r="G2824" s="75"/>
      <c r="H2824" s="52" t="str">
        <f aca="false">IF(G2824&lt;&gt;"",IFERROR(VLOOKUP(G2824,PRODUCTOS!$A:$B,2,0),"!COD NO ENCONTRADO"),"")</f>
        <v/>
      </c>
      <c r="I2824" s="77"/>
      <c r="J2824" s="78"/>
      <c r="K2824" s="79"/>
      <c r="L2824" s="80" t="str">
        <f aca="false">IF(AND(J2824&lt;&gt;"",K2824&lt;&gt;""),J2824*K2824,"")</f>
        <v/>
      </c>
      <c r="M2824" s="81" t="str">
        <f aca="false">IF(L2824&lt;&gt;"",L2824*1.1,"")</f>
        <v/>
      </c>
      <c r="N2824" s="53" t="n">
        <f aca="false">IF(F2824="S",L2824*0.02,0)</f>
        <v>0</v>
      </c>
      <c r="O2824" s="82" t="str">
        <f aca="false">IF(L2824&lt;&gt;"",L2824+N2824,"")</f>
        <v/>
      </c>
      <c r="P2824" s="53" t="str">
        <f aca="false">IF(O2824&lt;&gt;"",O2824*0.1,"")</f>
        <v/>
      </c>
      <c r="Q2824" s="83" t="str">
        <f aca="false">IF(O2824&lt;&gt;"",O2824+P2824,"")</f>
        <v/>
      </c>
      <c r="R2824" s="84"/>
    </row>
    <row r="2825" customFormat="false" ht="15" hidden="false" customHeight="true" outlineLevel="0" collapsed="false">
      <c r="A2825" s="103"/>
      <c r="B2825" s="85"/>
      <c r="C2825" s="86"/>
      <c r="D2825" s="87"/>
      <c r="E2825" s="46" t="str">
        <f aca="false">IF(D2825&lt;&gt;"",IFERROR(VLOOKUP(D2825,PROVEEDORES!$A:$B,2,0),"!COD NO ENCONTRADO"),"")</f>
        <v/>
      </c>
      <c r="F2825" s="88" t="str">
        <f aca="false">IF(D2825&lt;&gt;"",IFERROR(VLOOKUP(D2825,PROVEEDORES!$A:$C,3,0),""),"")</f>
        <v/>
      </c>
      <c r="G2825" s="87"/>
      <c r="H2825" s="46" t="str">
        <f aca="false">IF(G2825&lt;&gt;"",IFERROR(VLOOKUP(G2825,PRODUCTOS!$A:$B,2,0),"!COD NO ENCONTRADO"),"")</f>
        <v/>
      </c>
      <c r="I2825" s="89"/>
      <c r="J2825" s="90"/>
      <c r="K2825" s="91"/>
      <c r="L2825" s="80" t="str">
        <f aca="false">IF(AND(J2825&lt;&gt;"",K2825&lt;&gt;""),J2825*K2825,"")</f>
        <v/>
      </c>
      <c r="M2825" s="81" t="str">
        <f aca="false">IF(L2825&lt;&gt;"",L2825*1.1,"")</f>
        <v/>
      </c>
      <c r="N2825" s="47" t="n">
        <f aca="false">IF(F2825="S",L2825*0.02,0)</f>
        <v>0</v>
      </c>
      <c r="O2825" s="82" t="str">
        <f aca="false">IF(L2825&lt;&gt;"",L2825+N2825,"")</f>
        <v/>
      </c>
      <c r="P2825" s="47" t="str">
        <f aca="false">IF(O2825&lt;&gt;"",O2825*0.1,"")</f>
        <v/>
      </c>
      <c r="Q2825" s="83" t="str">
        <f aca="false">IF(O2825&lt;&gt;"",O2825+P2825,"")</f>
        <v/>
      </c>
      <c r="R2825" s="84"/>
    </row>
    <row r="2826" customFormat="false" ht="15" hidden="false" customHeight="true" outlineLevel="0" collapsed="false">
      <c r="A2826" s="103"/>
      <c r="B2826" s="73"/>
      <c r="C2826" s="74"/>
      <c r="D2826" s="75"/>
      <c r="E2826" s="52" t="str">
        <f aca="false">IF(D2826&lt;&gt;"",IFERROR(VLOOKUP(D2826,PROVEEDORES!$A:$B,2,0),"!COD NO ENCONTRADO"),"")</f>
        <v/>
      </c>
      <c r="F2826" s="76" t="str">
        <f aca="false">IF(D2826&lt;&gt;"",IFERROR(VLOOKUP(D2826,PROVEEDORES!$A:$C,3,0),""),"")</f>
        <v/>
      </c>
      <c r="G2826" s="75"/>
      <c r="H2826" s="52" t="str">
        <f aca="false">IF(G2826&lt;&gt;"",IFERROR(VLOOKUP(G2826,PRODUCTOS!$A:$B,2,0),"!COD NO ENCONTRADO"),"")</f>
        <v/>
      </c>
      <c r="I2826" s="77"/>
      <c r="J2826" s="78"/>
      <c r="K2826" s="79"/>
      <c r="L2826" s="80" t="str">
        <f aca="false">IF(AND(J2826&lt;&gt;"",K2826&lt;&gt;""),J2826*K2826,"")</f>
        <v/>
      </c>
      <c r="M2826" s="81" t="str">
        <f aca="false">IF(L2826&lt;&gt;"",L2826*1.1,"")</f>
        <v/>
      </c>
      <c r="N2826" s="53" t="n">
        <f aca="false">IF(F2826="S",L2826*0.02,0)</f>
        <v>0</v>
      </c>
      <c r="O2826" s="82" t="str">
        <f aca="false">IF(L2826&lt;&gt;"",L2826+N2826,"")</f>
        <v/>
      </c>
      <c r="P2826" s="53" t="str">
        <f aca="false">IF(O2826&lt;&gt;"",O2826*0.1,"")</f>
        <v/>
      </c>
      <c r="Q2826" s="83" t="str">
        <f aca="false">IF(O2826&lt;&gt;"",O2826+P2826,"")</f>
        <v/>
      </c>
      <c r="R2826" s="84"/>
    </row>
    <row r="2827" customFormat="false" ht="15" hidden="false" customHeight="true" outlineLevel="0" collapsed="false">
      <c r="A2827" s="103"/>
      <c r="B2827" s="85"/>
      <c r="C2827" s="86"/>
      <c r="D2827" s="87"/>
      <c r="E2827" s="46" t="str">
        <f aca="false">IF(D2827&lt;&gt;"",IFERROR(VLOOKUP(D2827,PROVEEDORES!$A:$B,2,0),"!COD NO ENCONTRADO"),"")</f>
        <v/>
      </c>
      <c r="F2827" s="88" t="str">
        <f aca="false">IF(D2827&lt;&gt;"",IFERROR(VLOOKUP(D2827,PROVEEDORES!$A:$C,3,0),""),"")</f>
        <v/>
      </c>
      <c r="G2827" s="87"/>
      <c r="H2827" s="46" t="str">
        <f aca="false">IF(G2827&lt;&gt;"",IFERROR(VLOOKUP(G2827,PRODUCTOS!$A:$B,2,0),"!COD NO ENCONTRADO"),"")</f>
        <v/>
      </c>
      <c r="I2827" s="89"/>
      <c r="J2827" s="90"/>
      <c r="K2827" s="91"/>
      <c r="L2827" s="80" t="str">
        <f aca="false">IF(AND(J2827&lt;&gt;"",K2827&lt;&gt;""),J2827*K2827,"")</f>
        <v/>
      </c>
      <c r="M2827" s="81" t="str">
        <f aca="false">IF(L2827&lt;&gt;"",L2827*1.1,"")</f>
        <v/>
      </c>
      <c r="N2827" s="47" t="n">
        <f aca="false">IF(F2827="S",L2827*0.02,0)</f>
        <v>0</v>
      </c>
      <c r="O2827" s="82" t="str">
        <f aca="false">IF(L2827&lt;&gt;"",L2827+N2827,"")</f>
        <v/>
      </c>
      <c r="P2827" s="47" t="str">
        <f aca="false">IF(O2827&lt;&gt;"",O2827*0.1,"")</f>
        <v/>
      </c>
      <c r="Q2827" s="83" t="str">
        <f aca="false">IF(O2827&lt;&gt;"",O2827+P2827,"")</f>
        <v/>
      </c>
      <c r="R2827" s="84"/>
    </row>
    <row r="2828" customFormat="false" ht="15" hidden="false" customHeight="true" outlineLevel="0" collapsed="false">
      <c r="A2828" s="103"/>
      <c r="B2828" s="73"/>
      <c r="C2828" s="74"/>
      <c r="D2828" s="75"/>
      <c r="E2828" s="52" t="str">
        <f aca="false">IF(D2828&lt;&gt;"",IFERROR(VLOOKUP(D2828,PROVEEDORES!$A:$B,2,0),"!COD NO ENCONTRADO"),"")</f>
        <v/>
      </c>
      <c r="F2828" s="76" t="str">
        <f aca="false">IF(D2828&lt;&gt;"",IFERROR(VLOOKUP(D2828,PROVEEDORES!$A:$C,3,0),""),"")</f>
        <v/>
      </c>
      <c r="G2828" s="75"/>
      <c r="H2828" s="52" t="str">
        <f aca="false">IF(G2828&lt;&gt;"",IFERROR(VLOOKUP(G2828,PRODUCTOS!$A:$B,2,0),"!COD NO ENCONTRADO"),"")</f>
        <v/>
      </c>
      <c r="I2828" s="77"/>
      <c r="J2828" s="78"/>
      <c r="K2828" s="79"/>
      <c r="L2828" s="80" t="str">
        <f aca="false">IF(AND(J2828&lt;&gt;"",K2828&lt;&gt;""),J2828*K2828,"")</f>
        <v/>
      </c>
      <c r="M2828" s="81" t="str">
        <f aca="false">IF(L2828&lt;&gt;"",L2828*1.1,"")</f>
        <v/>
      </c>
      <c r="N2828" s="53" t="n">
        <f aca="false">IF(F2828="S",L2828*0.02,0)</f>
        <v>0</v>
      </c>
      <c r="O2828" s="82" t="str">
        <f aca="false">IF(L2828&lt;&gt;"",L2828+N2828,"")</f>
        <v/>
      </c>
      <c r="P2828" s="53" t="str">
        <f aca="false">IF(O2828&lt;&gt;"",O2828*0.1,"")</f>
        <v/>
      </c>
      <c r="Q2828" s="83" t="str">
        <f aca="false">IF(O2828&lt;&gt;"",O2828+P2828,"")</f>
        <v/>
      </c>
      <c r="R2828" s="84"/>
    </row>
    <row r="2829" customFormat="false" ht="15" hidden="false" customHeight="true" outlineLevel="0" collapsed="false">
      <c r="A2829" s="103"/>
      <c r="B2829" s="85"/>
      <c r="C2829" s="86"/>
      <c r="D2829" s="87"/>
      <c r="E2829" s="46" t="str">
        <f aca="false">IF(D2829&lt;&gt;"",IFERROR(VLOOKUP(D2829,PROVEEDORES!$A:$B,2,0),"!COD NO ENCONTRADO"),"")</f>
        <v/>
      </c>
      <c r="F2829" s="88" t="str">
        <f aca="false">IF(D2829&lt;&gt;"",IFERROR(VLOOKUP(D2829,PROVEEDORES!$A:$C,3,0),""),"")</f>
        <v/>
      </c>
      <c r="G2829" s="87"/>
      <c r="H2829" s="46" t="str">
        <f aca="false">IF(G2829&lt;&gt;"",IFERROR(VLOOKUP(G2829,PRODUCTOS!$A:$B,2,0),"!COD NO ENCONTRADO"),"")</f>
        <v/>
      </c>
      <c r="I2829" s="89"/>
      <c r="J2829" s="90"/>
      <c r="K2829" s="91"/>
      <c r="L2829" s="80" t="str">
        <f aca="false">IF(AND(J2829&lt;&gt;"",K2829&lt;&gt;""),J2829*K2829,"")</f>
        <v/>
      </c>
      <c r="M2829" s="81" t="str">
        <f aca="false">IF(L2829&lt;&gt;"",L2829*1.1,"")</f>
        <v/>
      </c>
      <c r="N2829" s="47" t="n">
        <f aca="false">IF(F2829="S",L2829*0.02,0)</f>
        <v>0</v>
      </c>
      <c r="O2829" s="82" t="str">
        <f aca="false">IF(L2829&lt;&gt;"",L2829+N2829,"")</f>
        <v/>
      </c>
      <c r="P2829" s="47" t="str">
        <f aca="false">IF(O2829&lt;&gt;"",O2829*0.1,"")</f>
        <v/>
      </c>
      <c r="Q2829" s="83" t="str">
        <f aca="false">IF(O2829&lt;&gt;"",O2829+P2829,"")</f>
        <v/>
      </c>
      <c r="R2829" s="84"/>
    </row>
    <row r="2830" customFormat="false" ht="15" hidden="false" customHeight="true" outlineLevel="0" collapsed="false">
      <c r="A2830" s="103"/>
      <c r="B2830" s="73"/>
      <c r="C2830" s="74"/>
      <c r="D2830" s="75"/>
      <c r="E2830" s="52" t="str">
        <f aca="false">IF(D2830&lt;&gt;"",IFERROR(VLOOKUP(D2830,PROVEEDORES!$A:$B,2,0),"!COD NO ENCONTRADO"),"")</f>
        <v/>
      </c>
      <c r="F2830" s="76" t="str">
        <f aca="false">IF(D2830&lt;&gt;"",IFERROR(VLOOKUP(D2830,PROVEEDORES!$A:$C,3,0),""),"")</f>
        <v/>
      </c>
      <c r="G2830" s="75"/>
      <c r="H2830" s="52" t="str">
        <f aca="false">IF(G2830&lt;&gt;"",IFERROR(VLOOKUP(G2830,PRODUCTOS!$A:$B,2,0),"!COD NO ENCONTRADO"),"")</f>
        <v/>
      </c>
      <c r="I2830" s="77"/>
      <c r="J2830" s="78"/>
      <c r="K2830" s="79"/>
      <c r="L2830" s="80" t="str">
        <f aca="false">IF(AND(J2830&lt;&gt;"",K2830&lt;&gt;""),J2830*K2830,"")</f>
        <v/>
      </c>
      <c r="M2830" s="81" t="str">
        <f aca="false">IF(L2830&lt;&gt;"",L2830*1.1,"")</f>
        <v/>
      </c>
      <c r="N2830" s="53" t="n">
        <f aca="false">IF(F2830="S",L2830*0.02,0)</f>
        <v>0</v>
      </c>
      <c r="O2830" s="82" t="str">
        <f aca="false">IF(L2830&lt;&gt;"",L2830+N2830,"")</f>
        <v/>
      </c>
      <c r="P2830" s="53" t="str">
        <f aca="false">IF(O2830&lt;&gt;"",O2830*0.1,"")</f>
        <v/>
      </c>
      <c r="Q2830" s="83" t="str">
        <f aca="false">IF(O2830&lt;&gt;"",O2830+P2830,"")</f>
        <v/>
      </c>
      <c r="R2830" s="84"/>
    </row>
    <row r="2831" customFormat="false" ht="15" hidden="false" customHeight="true" outlineLevel="0" collapsed="false">
      <c r="A2831" s="103"/>
      <c r="B2831" s="85"/>
      <c r="C2831" s="86"/>
      <c r="D2831" s="87"/>
      <c r="E2831" s="46" t="str">
        <f aca="false">IF(D2831&lt;&gt;"",IFERROR(VLOOKUP(D2831,PROVEEDORES!$A:$B,2,0),"!COD NO ENCONTRADO"),"")</f>
        <v/>
      </c>
      <c r="F2831" s="88" t="str">
        <f aca="false">IF(D2831&lt;&gt;"",IFERROR(VLOOKUP(D2831,PROVEEDORES!$A:$C,3,0),""),"")</f>
        <v/>
      </c>
      <c r="G2831" s="87"/>
      <c r="H2831" s="46" t="str">
        <f aca="false">IF(G2831&lt;&gt;"",IFERROR(VLOOKUP(G2831,PRODUCTOS!$A:$B,2,0),"!COD NO ENCONTRADO"),"")</f>
        <v/>
      </c>
      <c r="I2831" s="89"/>
      <c r="J2831" s="90"/>
      <c r="K2831" s="91"/>
      <c r="L2831" s="80" t="str">
        <f aca="false">IF(AND(J2831&lt;&gt;"",K2831&lt;&gt;""),J2831*K2831,"")</f>
        <v/>
      </c>
      <c r="M2831" s="81" t="str">
        <f aca="false">IF(L2831&lt;&gt;"",L2831*1.1,"")</f>
        <v/>
      </c>
      <c r="N2831" s="47" t="n">
        <f aca="false">IF(F2831="S",L2831*0.02,0)</f>
        <v>0</v>
      </c>
      <c r="O2831" s="82" t="str">
        <f aca="false">IF(L2831&lt;&gt;"",L2831+N2831,"")</f>
        <v/>
      </c>
      <c r="P2831" s="47" t="str">
        <f aca="false">IF(O2831&lt;&gt;"",O2831*0.1,"")</f>
        <v/>
      </c>
      <c r="Q2831" s="83" t="str">
        <f aca="false">IF(O2831&lt;&gt;"",O2831+P2831,"")</f>
        <v/>
      </c>
      <c r="R2831" s="84"/>
    </row>
    <row r="2832" customFormat="false" ht="15" hidden="false" customHeight="true" outlineLevel="0" collapsed="false">
      <c r="A2832" s="103"/>
      <c r="B2832" s="73"/>
      <c r="C2832" s="74"/>
      <c r="D2832" s="75"/>
      <c r="E2832" s="52" t="str">
        <f aca="false">IF(D2832&lt;&gt;"",IFERROR(VLOOKUP(D2832,PROVEEDORES!$A:$B,2,0),"!COD NO ENCONTRADO"),"")</f>
        <v/>
      </c>
      <c r="F2832" s="76" t="str">
        <f aca="false">IF(D2832&lt;&gt;"",IFERROR(VLOOKUP(D2832,PROVEEDORES!$A:$C,3,0),""),"")</f>
        <v/>
      </c>
      <c r="G2832" s="75"/>
      <c r="H2832" s="52" t="str">
        <f aca="false">IF(G2832&lt;&gt;"",IFERROR(VLOOKUP(G2832,PRODUCTOS!$A:$B,2,0),"!COD NO ENCONTRADO"),"")</f>
        <v/>
      </c>
      <c r="I2832" s="77"/>
      <c r="J2832" s="78"/>
      <c r="K2832" s="79"/>
      <c r="L2832" s="80" t="str">
        <f aca="false">IF(AND(J2832&lt;&gt;"",K2832&lt;&gt;""),J2832*K2832,"")</f>
        <v/>
      </c>
      <c r="M2832" s="81" t="str">
        <f aca="false">IF(L2832&lt;&gt;"",L2832*1.1,"")</f>
        <v/>
      </c>
      <c r="N2832" s="53" t="n">
        <f aca="false">IF(F2832="S",L2832*0.02,0)</f>
        <v>0</v>
      </c>
      <c r="O2832" s="82" t="str">
        <f aca="false">IF(L2832&lt;&gt;"",L2832+N2832,"")</f>
        <v/>
      </c>
      <c r="P2832" s="53" t="str">
        <f aca="false">IF(O2832&lt;&gt;"",O2832*0.1,"")</f>
        <v/>
      </c>
      <c r="Q2832" s="83" t="str">
        <f aca="false">IF(O2832&lt;&gt;"",O2832+P2832,"")</f>
        <v/>
      </c>
      <c r="R2832" s="84"/>
    </row>
    <row r="2833" customFormat="false" ht="15" hidden="false" customHeight="true" outlineLevel="0" collapsed="false">
      <c r="A2833" s="103"/>
      <c r="B2833" s="85"/>
      <c r="C2833" s="86"/>
      <c r="D2833" s="87"/>
      <c r="E2833" s="46" t="str">
        <f aca="false">IF(D2833&lt;&gt;"",IFERROR(VLOOKUP(D2833,PROVEEDORES!$A:$B,2,0),"!COD NO ENCONTRADO"),"")</f>
        <v/>
      </c>
      <c r="F2833" s="88" t="str">
        <f aca="false">IF(D2833&lt;&gt;"",IFERROR(VLOOKUP(D2833,PROVEEDORES!$A:$C,3,0),""),"")</f>
        <v/>
      </c>
      <c r="G2833" s="87"/>
      <c r="H2833" s="46" t="str">
        <f aca="false">IF(G2833&lt;&gt;"",IFERROR(VLOOKUP(G2833,PRODUCTOS!$A:$B,2,0),"!COD NO ENCONTRADO"),"")</f>
        <v/>
      </c>
      <c r="I2833" s="89"/>
      <c r="J2833" s="90"/>
      <c r="K2833" s="91"/>
      <c r="L2833" s="80" t="str">
        <f aca="false">IF(AND(J2833&lt;&gt;"",K2833&lt;&gt;""),J2833*K2833,"")</f>
        <v/>
      </c>
      <c r="M2833" s="81" t="str">
        <f aca="false">IF(L2833&lt;&gt;"",L2833*1.1,"")</f>
        <v/>
      </c>
      <c r="N2833" s="47" t="n">
        <f aca="false">IF(F2833="S",L2833*0.02,0)</f>
        <v>0</v>
      </c>
      <c r="O2833" s="82" t="str">
        <f aca="false">IF(L2833&lt;&gt;"",L2833+N2833,"")</f>
        <v/>
      </c>
      <c r="P2833" s="47" t="str">
        <f aca="false">IF(O2833&lt;&gt;"",O2833*0.1,"")</f>
        <v/>
      </c>
      <c r="Q2833" s="83" t="str">
        <f aca="false">IF(O2833&lt;&gt;"",O2833+P2833,"")</f>
        <v/>
      </c>
      <c r="R2833" s="84"/>
    </row>
    <row r="2834" customFormat="false" ht="15" hidden="false" customHeight="true" outlineLevel="0" collapsed="false">
      <c r="A2834" s="103"/>
      <c r="B2834" s="73"/>
      <c r="C2834" s="74"/>
      <c r="D2834" s="75"/>
      <c r="E2834" s="52" t="str">
        <f aca="false">IF(D2834&lt;&gt;"",IFERROR(VLOOKUP(D2834,PROVEEDORES!$A:$B,2,0),"!COD NO ENCONTRADO"),"")</f>
        <v/>
      </c>
      <c r="F2834" s="76" t="str">
        <f aca="false">IF(D2834&lt;&gt;"",IFERROR(VLOOKUP(D2834,PROVEEDORES!$A:$C,3,0),""),"")</f>
        <v/>
      </c>
      <c r="G2834" s="75"/>
      <c r="H2834" s="52" t="str">
        <f aca="false">IF(G2834&lt;&gt;"",IFERROR(VLOOKUP(G2834,PRODUCTOS!$A:$B,2,0),"!COD NO ENCONTRADO"),"")</f>
        <v/>
      </c>
      <c r="I2834" s="77"/>
      <c r="J2834" s="78"/>
      <c r="K2834" s="79"/>
      <c r="L2834" s="80" t="str">
        <f aca="false">IF(AND(J2834&lt;&gt;"",K2834&lt;&gt;""),J2834*K2834,"")</f>
        <v/>
      </c>
      <c r="M2834" s="81" t="str">
        <f aca="false">IF(L2834&lt;&gt;"",L2834*1.1,"")</f>
        <v/>
      </c>
      <c r="N2834" s="53" t="n">
        <f aca="false">IF(F2834="S",L2834*0.02,0)</f>
        <v>0</v>
      </c>
      <c r="O2834" s="82" t="str">
        <f aca="false">IF(L2834&lt;&gt;"",L2834+N2834,"")</f>
        <v/>
      </c>
      <c r="P2834" s="53" t="str">
        <f aca="false">IF(O2834&lt;&gt;"",O2834*0.1,"")</f>
        <v/>
      </c>
      <c r="Q2834" s="83" t="str">
        <f aca="false">IF(O2834&lt;&gt;"",O2834+P2834,"")</f>
        <v/>
      </c>
      <c r="R2834" s="84"/>
    </row>
    <row r="2835" customFormat="false" ht="15" hidden="false" customHeight="true" outlineLevel="0" collapsed="false">
      <c r="A2835" s="103"/>
      <c r="B2835" s="85"/>
      <c r="C2835" s="86"/>
      <c r="D2835" s="87"/>
      <c r="E2835" s="46" t="str">
        <f aca="false">IF(D2835&lt;&gt;"",IFERROR(VLOOKUP(D2835,PROVEEDORES!$A:$B,2,0),"!COD NO ENCONTRADO"),"")</f>
        <v/>
      </c>
      <c r="F2835" s="88" t="str">
        <f aca="false">IF(D2835&lt;&gt;"",IFERROR(VLOOKUP(D2835,PROVEEDORES!$A:$C,3,0),""),"")</f>
        <v/>
      </c>
      <c r="G2835" s="87"/>
      <c r="H2835" s="46" t="str">
        <f aca="false">IF(G2835&lt;&gt;"",IFERROR(VLOOKUP(G2835,PRODUCTOS!$A:$B,2,0),"!COD NO ENCONTRADO"),"")</f>
        <v/>
      </c>
      <c r="I2835" s="89"/>
      <c r="J2835" s="90"/>
      <c r="K2835" s="91"/>
      <c r="L2835" s="80" t="str">
        <f aca="false">IF(AND(J2835&lt;&gt;"",K2835&lt;&gt;""),J2835*K2835,"")</f>
        <v/>
      </c>
      <c r="M2835" s="81" t="str">
        <f aca="false">IF(L2835&lt;&gt;"",L2835*1.1,"")</f>
        <v/>
      </c>
      <c r="N2835" s="47" t="n">
        <f aca="false">IF(F2835="S",L2835*0.02,0)</f>
        <v>0</v>
      </c>
      <c r="O2835" s="82" t="str">
        <f aca="false">IF(L2835&lt;&gt;"",L2835+N2835,"")</f>
        <v/>
      </c>
      <c r="P2835" s="47" t="str">
        <f aca="false">IF(O2835&lt;&gt;"",O2835*0.1,"")</f>
        <v/>
      </c>
      <c r="Q2835" s="83" t="str">
        <f aca="false">IF(O2835&lt;&gt;"",O2835+P2835,"")</f>
        <v/>
      </c>
      <c r="R2835" s="84"/>
    </row>
    <row r="2836" customFormat="false" ht="15" hidden="false" customHeight="true" outlineLevel="0" collapsed="false">
      <c r="A2836" s="103"/>
      <c r="B2836" s="73"/>
      <c r="C2836" s="74"/>
      <c r="D2836" s="75"/>
      <c r="E2836" s="52" t="str">
        <f aca="false">IF(D2836&lt;&gt;"",IFERROR(VLOOKUP(D2836,PROVEEDORES!$A:$B,2,0),"!COD NO ENCONTRADO"),"")</f>
        <v/>
      </c>
      <c r="F2836" s="76" t="str">
        <f aca="false">IF(D2836&lt;&gt;"",IFERROR(VLOOKUP(D2836,PROVEEDORES!$A:$C,3,0),""),"")</f>
        <v/>
      </c>
      <c r="G2836" s="75"/>
      <c r="H2836" s="52" t="str">
        <f aca="false">IF(G2836&lt;&gt;"",IFERROR(VLOOKUP(G2836,PRODUCTOS!$A:$B,2,0),"!COD NO ENCONTRADO"),"")</f>
        <v/>
      </c>
      <c r="I2836" s="77"/>
      <c r="J2836" s="78"/>
      <c r="K2836" s="79"/>
      <c r="L2836" s="80" t="str">
        <f aca="false">IF(AND(J2836&lt;&gt;"",K2836&lt;&gt;""),J2836*K2836,"")</f>
        <v/>
      </c>
      <c r="M2836" s="81" t="str">
        <f aca="false">IF(L2836&lt;&gt;"",L2836*1.1,"")</f>
        <v/>
      </c>
      <c r="N2836" s="53" t="n">
        <f aca="false">IF(F2836="S",L2836*0.02,0)</f>
        <v>0</v>
      </c>
      <c r="O2836" s="82" t="str">
        <f aca="false">IF(L2836&lt;&gt;"",L2836+N2836,"")</f>
        <v/>
      </c>
      <c r="P2836" s="53" t="str">
        <f aca="false">IF(O2836&lt;&gt;"",O2836*0.1,"")</f>
        <v/>
      </c>
      <c r="Q2836" s="83" t="str">
        <f aca="false">IF(O2836&lt;&gt;"",O2836+P2836,"")</f>
        <v/>
      </c>
      <c r="R2836" s="84"/>
    </row>
    <row r="2837" customFormat="false" ht="15" hidden="false" customHeight="true" outlineLevel="0" collapsed="false">
      <c r="A2837" s="103"/>
      <c r="B2837" s="85"/>
      <c r="C2837" s="86"/>
      <c r="D2837" s="87"/>
      <c r="E2837" s="46" t="str">
        <f aca="false">IF(D2837&lt;&gt;"",IFERROR(VLOOKUP(D2837,PROVEEDORES!$A:$B,2,0),"!COD NO ENCONTRADO"),"")</f>
        <v/>
      </c>
      <c r="F2837" s="88" t="str">
        <f aca="false">IF(D2837&lt;&gt;"",IFERROR(VLOOKUP(D2837,PROVEEDORES!$A:$C,3,0),""),"")</f>
        <v/>
      </c>
      <c r="G2837" s="87"/>
      <c r="H2837" s="46" t="str">
        <f aca="false">IF(G2837&lt;&gt;"",IFERROR(VLOOKUP(G2837,PRODUCTOS!$A:$B,2,0),"!COD NO ENCONTRADO"),"")</f>
        <v/>
      </c>
      <c r="I2837" s="89"/>
      <c r="J2837" s="90"/>
      <c r="K2837" s="91"/>
      <c r="L2837" s="80" t="str">
        <f aca="false">IF(AND(J2837&lt;&gt;"",K2837&lt;&gt;""),J2837*K2837,"")</f>
        <v/>
      </c>
      <c r="M2837" s="81" t="str">
        <f aca="false">IF(L2837&lt;&gt;"",L2837*1.1,"")</f>
        <v/>
      </c>
      <c r="N2837" s="47" t="n">
        <f aca="false">IF(F2837="S",L2837*0.02,0)</f>
        <v>0</v>
      </c>
      <c r="O2837" s="82" t="str">
        <f aca="false">IF(L2837&lt;&gt;"",L2837+N2837,"")</f>
        <v/>
      </c>
      <c r="P2837" s="47" t="str">
        <f aca="false">IF(O2837&lt;&gt;"",O2837*0.1,"")</f>
        <v/>
      </c>
      <c r="Q2837" s="83" t="str">
        <f aca="false">IF(O2837&lt;&gt;"",O2837+P2837,"")</f>
        <v/>
      </c>
      <c r="R2837" s="84"/>
    </row>
    <row r="2838" customFormat="false" ht="15" hidden="false" customHeight="true" outlineLevel="0" collapsed="false">
      <c r="A2838" s="103"/>
      <c r="B2838" s="73"/>
      <c r="C2838" s="74"/>
      <c r="D2838" s="75"/>
      <c r="E2838" s="52" t="str">
        <f aca="false">IF(D2838&lt;&gt;"",IFERROR(VLOOKUP(D2838,PROVEEDORES!$A:$B,2,0),"!COD NO ENCONTRADO"),"")</f>
        <v/>
      </c>
      <c r="F2838" s="76" t="str">
        <f aca="false">IF(D2838&lt;&gt;"",IFERROR(VLOOKUP(D2838,PROVEEDORES!$A:$C,3,0),""),"")</f>
        <v/>
      </c>
      <c r="G2838" s="75"/>
      <c r="H2838" s="52" t="str">
        <f aca="false">IF(G2838&lt;&gt;"",IFERROR(VLOOKUP(G2838,PRODUCTOS!$A:$B,2,0),"!COD NO ENCONTRADO"),"")</f>
        <v/>
      </c>
      <c r="I2838" s="77"/>
      <c r="J2838" s="78"/>
      <c r="K2838" s="79"/>
      <c r="L2838" s="80" t="str">
        <f aca="false">IF(AND(J2838&lt;&gt;"",K2838&lt;&gt;""),J2838*K2838,"")</f>
        <v/>
      </c>
      <c r="M2838" s="81" t="str">
        <f aca="false">IF(L2838&lt;&gt;"",L2838*1.1,"")</f>
        <v/>
      </c>
      <c r="N2838" s="53" t="n">
        <f aca="false">IF(F2838="S",L2838*0.02,0)</f>
        <v>0</v>
      </c>
      <c r="O2838" s="82" t="str">
        <f aca="false">IF(L2838&lt;&gt;"",L2838+N2838,"")</f>
        <v/>
      </c>
      <c r="P2838" s="53" t="str">
        <f aca="false">IF(O2838&lt;&gt;"",O2838*0.1,"")</f>
        <v/>
      </c>
      <c r="Q2838" s="83" t="str">
        <f aca="false">IF(O2838&lt;&gt;"",O2838+P2838,"")</f>
        <v/>
      </c>
      <c r="R2838" s="84"/>
    </row>
    <row r="2839" customFormat="false" ht="15" hidden="false" customHeight="true" outlineLevel="0" collapsed="false">
      <c r="A2839" s="103"/>
      <c r="B2839" s="85"/>
      <c r="C2839" s="86"/>
      <c r="D2839" s="87"/>
      <c r="E2839" s="46" t="str">
        <f aca="false">IF(D2839&lt;&gt;"",IFERROR(VLOOKUP(D2839,PROVEEDORES!$A:$B,2,0),"!COD NO ENCONTRADO"),"")</f>
        <v/>
      </c>
      <c r="F2839" s="88" t="str">
        <f aca="false">IF(D2839&lt;&gt;"",IFERROR(VLOOKUP(D2839,PROVEEDORES!$A:$C,3,0),""),"")</f>
        <v/>
      </c>
      <c r="G2839" s="87"/>
      <c r="H2839" s="46" t="str">
        <f aca="false">IF(G2839&lt;&gt;"",IFERROR(VLOOKUP(G2839,PRODUCTOS!$A:$B,2,0),"!COD NO ENCONTRADO"),"")</f>
        <v/>
      </c>
      <c r="I2839" s="89"/>
      <c r="J2839" s="90"/>
      <c r="K2839" s="91"/>
      <c r="L2839" s="80" t="str">
        <f aca="false">IF(AND(J2839&lt;&gt;"",K2839&lt;&gt;""),J2839*K2839,"")</f>
        <v/>
      </c>
      <c r="M2839" s="81" t="str">
        <f aca="false">IF(L2839&lt;&gt;"",L2839*1.1,"")</f>
        <v/>
      </c>
      <c r="N2839" s="47" t="n">
        <f aca="false">IF(F2839="S",L2839*0.02,0)</f>
        <v>0</v>
      </c>
      <c r="O2839" s="82" t="str">
        <f aca="false">IF(L2839&lt;&gt;"",L2839+N2839,"")</f>
        <v/>
      </c>
      <c r="P2839" s="47" t="str">
        <f aca="false">IF(O2839&lt;&gt;"",O2839*0.1,"")</f>
        <v/>
      </c>
      <c r="Q2839" s="83" t="str">
        <f aca="false">IF(O2839&lt;&gt;"",O2839+P2839,"")</f>
        <v/>
      </c>
      <c r="R2839" s="84"/>
    </row>
    <row r="2840" customFormat="false" ht="15" hidden="false" customHeight="true" outlineLevel="0" collapsed="false">
      <c r="A2840" s="103"/>
      <c r="B2840" s="73"/>
      <c r="C2840" s="74"/>
      <c r="D2840" s="75"/>
      <c r="E2840" s="52" t="str">
        <f aca="false">IF(D2840&lt;&gt;"",IFERROR(VLOOKUP(D2840,PROVEEDORES!$A:$B,2,0),"!COD NO ENCONTRADO"),"")</f>
        <v/>
      </c>
      <c r="F2840" s="76" t="str">
        <f aca="false">IF(D2840&lt;&gt;"",IFERROR(VLOOKUP(D2840,PROVEEDORES!$A:$C,3,0),""),"")</f>
        <v/>
      </c>
      <c r="G2840" s="75"/>
      <c r="H2840" s="52" t="str">
        <f aca="false">IF(G2840&lt;&gt;"",IFERROR(VLOOKUP(G2840,PRODUCTOS!$A:$B,2,0),"!COD NO ENCONTRADO"),"")</f>
        <v/>
      </c>
      <c r="I2840" s="77"/>
      <c r="J2840" s="78"/>
      <c r="K2840" s="79"/>
      <c r="L2840" s="80" t="str">
        <f aca="false">IF(AND(J2840&lt;&gt;"",K2840&lt;&gt;""),J2840*K2840,"")</f>
        <v/>
      </c>
      <c r="M2840" s="81" t="str">
        <f aca="false">IF(L2840&lt;&gt;"",L2840*1.1,"")</f>
        <v/>
      </c>
      <c r="N2840" s="53" t="n">
        <f aca="false">IF(F2840="S",L2840*0.02,0)</f>
        <v>0</v>
      </c>
      <c r="O2840" s="82" t="str">
        <f aca="false">IF(L2840&lt;&gt;"",L2840+N2840,"")</f>
        <v/>
      </c>
      <c r="P2840" s="53" t="str">
        <f aca="false">IF(O2840&lt;&gt;"",O2840*0.1,"")</f>
        <v/>
      </c>
      <c r="Q2840" s="83" t="str">
        <f aca="false">IF(O2840&lt;&gt;"",O2840+P2840,"")</f>
        <v/>
      </c>
      <c r="R2840" s="84"/>
    </row>
    <row r="2841" customFormat="false" ht="15" hidden="false" customHeight="true" outlineLevel="0" collapsed="false">
      <c r="A2841" s="103"/>
      <c r="B2841" s="85"/>
      <c r="C2841" s="86"/>
      <c r="D2841" s="87"/>
      <c r="E2841" s="46" t="str">
        <f aca="false">IF(D2841&lt;&gt;"",IFERROR(VLOOKUP(D2841,PROVEEDORES!$A:$B,2,0),"!COD NO ENCONTRADO"),"")</f>
        <v/>
      </c>
      <c r="F2841" s="88" t="str">
        <f aca="false">IF(D2841&lt;&gt;"",IFERROR(VLOOKUP(D2841,PROVEEDORES!$A:$C,3,0),""),"")</f>
        <v/>
      </c>
      <c r="G2841" s="87"/>
      <c r="H2841" s="46" t="str">
        <f aca="false">IF(G2841&lt;&gt;"",IFERROR(VLOOKUP(G2841,PRODUCTOS!$A:$B,2,0),"!COD NO ENCONTRADO"),"")</f>
        <v/>
      </c>
      <c r="I2841" s="89"/>
      <c r="J2841" s="90"/>
      <c r="K2841" s="91"/>
      <c r="L2841" s="80" t="str">
        <f aca="false">IF(AND(J2841&lt;&gt;"",K2841&lt;&gt;""),J2841*K2841,"")</f>
        <v/>
      </c>
      <c r="M2841" s="81" t="str">
        <f aca="false">IF(L2841&lt;&gt;"",L2841*1.1,"")</f>
        <v/>
      </c>
      <c r="N2841" s="47" t="n">
        <f aca="false">IF(F2841="S",L2841*0.02,0)</f>
        <v>0</v>
      </c>
      <c r="O2841" s="82" t="str">
        <f aca="false">IF(L2841&lt;&gt;"",L2841+N2841,"")</f>
        <v/>
      </c>
      <c r="P2841" s="47" t="str">
        <f aca="false">IF(O2841&lt;&gt;"",O2841*0.1,"")</f>
        <v/>
      </c>
      <c r="Q2841" s="83" t="str">
        <f aca="false">IF(O2841&lt;&gt;"",O2841+P2841,"")</f>
        <v/>
      </c>
      <c r="R2841" s="84"/>
    </row>
    <row r="2842" customFormat="false" ht="15" hidden="false" customHeight="true" outlineLevel="0" collapsed="false">
      <c r="A2842" s="103"/>
      <c r="B2842" s="73"/>
      <c r="C2842" s="74"/>
      <c r="D2842" s="75"/>
      <c r="E2842" s="52" t="str">
        <f aca="false">IF(D2842&lt;&gt;"",IFERROR(VLOOKUP(D2842,PROVEEDORES!$A:$B,2,0),"!COD NO ENCONTRADO"),"")</f>
        <v/>
      </c>
      <c r="F2842" s="76" t="str">
        <f aca="false">IF(D2842&lt;&gt;"",IFERROR(VLOOKUP(D2842,PROVEEDORES!$A:$C,3,0),""),"")</f>
        <v/>
      </c>
      <c r="G2842" s="75"/>
      <c r="H2842" s="52" t="str">
        <f aca="false">IF(G2842&lt;&gt;"",IFERROR(VLOOKUP(G2842,PRODUCTOS!$A:$B,2,0),"!COD NO ENCONTRADO"),"")</f>
        <v/>
      </c>
      <c r="I2842" s="77"/>
      <c r="J2842" s="78"/>
      <c r="K2842" s="79"/>
      <c r="L2842" s="80" t="str">
        <f aca="false">IF(AND(J2842&lt;&gt;"",K2842&lt;&gt;""),J2842*K2842,"")</f>
        <v/>
      </c>
      <c r="M2842" s="81" t="str">
        <f aca="false">IF(L2842&lt;&gt;"",L2842*1.1,"")</f>
        <v/>
      </c>
      <c r="N2842" s="53" t="n">
        <f aca="false">IF(F2842="S",L2842*0.02,0)</f>
        <v>0</v>
      </c>
      <c r="O2842" s="82" t="str">
        <f aca="false">IF(L2842&lt;&gt;"",L2842+N2842,"")</f>
        <v/>
      </c>
      <c r="P2842" s="53" t="str">
        <f aca="false">IF(O2842&lt;&gt;"",O2842*0.1,"")</f>
        <v/>
      </c>
      <c r="Q2842" s="83" t="str">
        <f aca="false">IF(O2842&lt;&gt;"",O2842+P2842,"")</f>
        <v/>
      </c>
      <c r="R2842" s="84"/>
    </row>
    <row r="2843" customFormat="false" ht="15" hidden="false" customHeight="true" outlineLevel="0" collapsed="false">
      <c r="A2843" s="103"/>
      <c r="B2843" s="85"/>
      <c r="C2843" s="86"/>
      <c r="D2843" s="87"/>
      <c r="E2843" s="46" t="str">
        <f aca="false">IF(D2843&lt;&gt;"",IFERROR(VLOOKUP(D2843,PROVEEDORES!$A:$B,2,0),"!COD NO ENCONTRADO"),"")</f>
        <v/>
      </c>
      <c r="F2843" s="88" t="str">
        <f aca="false">IF(D2843&lt;&gt;"",IFERROR(VLOOKUP(D2843,PROVEEDORES!$A:$C,3,0),""),"")</f>
        <v/>
      </c>
      <c r="G2843" s="87"/>
      <c r="H2843" s="46" t="str">
        <f aca="false">IF(G2843&lt;&gt;"",IFERROR(VLOOKUP(G2843,PRODUCTOS!$A:$B,2,0),"!COD NO ENCONTRADO"),"")</f>
        <v/>
      </c>
      <c r="I2843" s="89"/>
      <c r="J2843" s="90"/>
      <c r="K2843" s="91"/>
      <c r="L2843" s="80" t="str">
        <f aca="false">IF(AND(J2843&lt;&gt;"",K2843&lt;&gt;""),J2843*K2843,"")</f>
        <v/>
      </c>
      <c r="M2843" s="81" t="str">
        <f aca="false">IF(L2843&lt;&gt;"",L2843*1.1,"")</f>
        <v/>
      </c>
      <c r="N2843" s="47" t="n">
        <f aca="false">IF(F2843="S",L2843*0.02,0)</f>
        <v>0</v>
      </c>
      <c r="O2843" s="82" t="str">
        <f aca="false">IF(L2843&lt;&gt;"",L2843+N2843,"")</f>
        <v/>
      </c>
      <c r="P2843" s="47" t="str">
        <f aca="false">IF(O2843&lt;&gt;"",O2843*0.1,"")</f>
        <v/>
      </c>
      <c r="Q2843" s="83" t="str">
        <f aca="false">IF(O2843&lt;&gt;"",O2843+P2843,"")</f>
        <v/>
      </c>
      <c r="R2843" s="84"/>
    </row>
    <row r="2844" customFormat="false" ht="15" hidden="false" customHeight="true" outlineLevel="0" collapsed="false">
      <c r="A2844" s="103"/>
      <c r="B2844" s="73"/>
      <c r="C2844" s="74"/>
      <c r="D2844" s="75"/>
      <c r="E2844" s="52" t="str">
        <f aca="false">IF(D2844&lt;&gt;"",IFERROR(VLOOKUP(D2844,PROVEEDORES!$A:$B,2,0),"!COD NO ENCONTRADO"),"")</f>
        <v/>
      </c>
      <c r="F2844" s="76" t="str">
        <f aca="false">IF(D2844&lt;&gt;"",IFERROR(VLOOKUP(D2844,PROVEEDORES!$A:$C,3,0),""),"")</f>
        <v/>
      </c>
      <c r="G2844" s="75"/>
      <c r="H2844" s="52" t="str">
        <f aca="false">IF(G2844&lt;&gt;"",IFERROR(VLOOKUP(G2844,PRODUCTOS!$A:$B,2,0),"!COD NO ENCONTRADO"),"")</f>
        <v/>
      </c>
      <c r="I2844" s="77"/>
      <c r="J2844" s="78"/>
      <c r="K2844" s="79"/>
      <c r="L2844" s="80" t="str">
        <f aca="false">IF(AND(J2844&lt;&gt;"",K2844&lt;&gt;""),J2844*K2844,"")</f>
        <v/>
      </c>
      <c r="M2844" s="81" t="str">
        <f aca="false">IF(L2844&lt;&gt;"",L2844*1.1,"")</f>
        <v/>
      </c>
      <c r="N2844" s="53" t="n">
        <f aca="false">IF(F2844="S",L2844*0.02,0)</f>
        <v>0</v>
      </c>
      <c r="O2844" s="82" t="str">
        <f aca="false">IF(L2844&lt;&gt;"",L2844+N2844,"")</f>
        <v/>
      </c>
      <c r="P2844" s="53" t="str">
        <f aca="false">IF(O2844&lt;&gt;"",O2844*0.1,"")</f>
        <v/>
      </c>
      <c r="Q2844" s="83" t="str">
        <f aca="false">IF(O2844&lt;&gt;"",O2844+P2844,"")</f>
        <v/>
      </c>
      <c r="R2844" s="84"/>
    </row>
    <row r="2845" customFormat="false" ht="15" hidden="false" customHeight="true" outlineLevel="0" collapsed="false">
      <c r="A2845" s="103"/>
      <c r="B2845" s="85"/>
      <c r="C2845" s="86"/>
      <c r="D2845" s="87"/>
      <c r="E2845" s="46" t="str">
        <f aca="false">IF(D2845&lt;&gt;"",IFERROR(VLOOKUP(D2845,PROVEEDORES!$A:$B,2,0),"!COD NO ENCONTRADO"),"")</f>
        <v/>
      </c>
      <c r="F2845" s="88" t="str">
        <f aca="false">IF(D2845&lt;&gt;"",IFERROR(VLOOKUP(D2845,PROVEEDORES!$A:$C,3,0),""),"")</f>
        <v/>
      </c>
      <c r="G2845" s="87"/>
      <c r="H2845" s="46" t="str">
        <f aca="false">IF(G2845&lt;&gt;"",IFERROR(VLOOKUP(G2845,PRODUCTOS!$A:$B,2,0),"!COD NO ENCONTRADO"),"")</f>
        <v/>
      </c>
      <c r="I2845" s="89"/>
      <c r="J2845" s="90"/>
      <c r="K2845" s="91"/>
      <c r="L2845" s="80" t="str">
        <f aca="false">IF(AND(J2845&lt;&gt;"",K2845&lt;&gt;""),J2845*K2845,"")</f>
        <v/>
      </c>
      <c r="M2845" s="81" t="str">
        <f aca="false">IF(L2845&lt;&gt;"",L2845*1.1,"")</f>
        <v/>
      </c>
      <c r="N2845" s="47" t="n">
        <f aca="false">IF(F2845="S",L2845*0.02,0)</f>
        <v>0</v>
      </c>
      <c r="O2845" s="82" t="str">
        <f aca="false">IF(L2845&lt;&gt;"",L2845+N2845,"")</f>
        <v/>
      </c>
      <c r="P2845" s="47" t="str">
        <f aca="false">IF(O2845&lt;&gt;"",O2845*0.1,"")</f>
        <v/>
      </c>
      <c r="Q2845" s="83" t="str">
        <f aca="false">IF(O2845&lt;&gt;"",O2845+P2845,"")</f>
        <v/>
      </c>
      <c r="R2845" s="84"/>
    </row>
    <row r="2846" customFormat="false" ht="15" hidden="false" customHeight="true" outlineLevel="0" collapsed="false">
      <c r="A2846" s="103"/>
      <c r="B2846" s="73"/>
      <c r="C2846" s="74"/>
      <c r="D2846" s="75"/>
      <c r="E2846" s="52" t="str">
        <f aca="false">IF(D2846&lt;&gt;"",IFERROR(VLOOKUP(D2846,PROVEEDORES!$A:$B,2,0),"!COD NO ENCONTRADO"),"")</f>
        <v/>
      </c>
      <c r="F2846" s="76" t="str">
        <f aca="false">IF(D2846&lt;&gt;"",IFERROR(VLOOKUP(D2846,PROVEEDORES!$A:$C,3,0),""),"")</f>
        <v/>
      </c>
      <c r="G2846" s="75"/>
      <c r="H2846" s="52" t="str">
        <f aca="false">IF(G2846&lt;&gt;"",IFERROR(VLOOKUP(G2846,PRODUCTOS!$A:$B,2,0),"!COD NO ENCONTRADO"),"")</f>
        <v/>
      </c>
      <c r="I2846" s="77"/>
      <c r="J2846" s="78"/>
      <c r="K2846" s="79"/>
      <c r="L2846" s="80" t="str">
        <f aca="false">IF(AND(J2846&lt;&gt;"",K2846&lt;&gt;""),J2846*K2846,"")</f>
        <v/>
      </c>
      <c r="M2846" s="81" t="str">
        <f aca="false">IF(L2846&lt;&gt;"",L2846*1.1,"")</f>
        <v/>
      </c>
      <c r="N2846" s="53" t="n">
        <f aca="false">IF(F2846="S",L2846*0.02,0)</f>
        <v>0</v>
      </c>
      <c r="O2846" s="82" t="str">
        <f aca="false">IF(L2846&lt;&gt;"",L2846+N2846,"")</f>
        <v/>
      </c>
      <c r="P2846" s="53" t="str">
        <f aca="false">IF(O2846&lt;&gt;"",O2846*0.1,"")</f>
        <v/>
      </c>
      <c r="Q2846" s="83" t="str">
        <f aca="false">IF(O2846&lt;&gt;"",O2846+P2846,"")</f>
        <v/>
      </c>
      <c r="R2846" s="84"/>
    </row>
    <row r="2847" customFormat="false" ht="15" hidden="false" customHeight="true" outlineLevel="0" collapsed="false">
      <c r="A2847" s="103"/>
      <c r="B2847" s="85"/>
      <c r="C2847" s="86"/>
      <c r="D2847" s="87"/>
      <c r="E2847" s="46" t="str">
        <f aca="false">IF(D2847&lt;&gt;"",IFERROR(VLOOKUP(D2847,PROVEEDORES!$A:$B,2,0),"!COD NO ENCONTRADO"),"")</f>
        <v/>
      </c>
      <c r="F2847" s="88" t="str">
        <f aca="false">IF(D2847&lt;&gt;"",IFERROR(VLOOKUP(D2847,PROVEEDORES!$A:$C,3,0),""),"")</f>
        <v/>
      </c>
      <c r="G2847" s="87"/>
      <c r="H2847" s="46" t="str">
        <f aca="false">IF(G2847&lt;&gt;"",IFERROR(VLOOKUP(G2847,PRODUCTOS!$A:$B,2,0),"!COD NO ENCONTRADO"),"")</f>
        <v/>
      </c>
      <c r="I2847" s="89"/>
      <c r="J2847" s="90"/>
      <c r="K2847" s="91"/>
      <c r="L2847" s="80" t="str">
        <f aca="false">IF(AND(J2847&lt;&gt;"",K2847&lt;&gt;""),J2847*K2847,"")</f>
        <v/>
      </c>
      <c r="M2847" s="81" t="str">
        <f aca="false">IF(L2847&lt;&gt;"",L2847*1.1,"")</f>
        <v/>
      </c>
      <c r="N2847" s="47" t="n">
        <f aca="false">IF(F2847="S",L2847*0.02,0)</f>
        <v>0</v>
      </c>
      <c r="O2847" s="82" t="str">
        <f aca="false">IF(L2847&lt;&gt;"",L2847+N2847,"")</f>
        <v/>
      </c>
      <c r="P2847" s="47" t="str">
        <f aca="false">IF(O2847&lt;&gt;"",O2847*0.1,"")</f>
        <v/>
      </c>
      <c r="Q2847" s="83" t="str">
        <f aca="false">IF(O2847&lt;&gt;"",O2847+P2847,"")</f>
        <v/>
      </c>
      <c r="R2847" s="84"/>
    </row>
    <row r="2848" customFormat="false" ht="15" hidden="false" customHeight="true" outlineLevel="0" collapsed="false">
      <c r="A2848" s="103"/>
      <c r="B2848" s="73"/>
      <c r="C2848" s="74"/>
      <c r="D2848" s="75"/>
      <c r="E2848" s="52" t="str">
        <f aca="false">IF(D2848&lt;&gt;"",IFERROR(VLOOKUP(D2848,PROVEEDORES!$A:$B,2,0),"!COD NO ENCONTRADO"),"")</f>
        <v/>
      </c>
      <c r="F2848" s="76" t="str">
        <f aca="false">IF(D2848&lt;&gt;"",IFERROR(VLOOKUP(D2848,PROVEEDORES!$A:$C,3,0),""),"")</f>
        <v/>
      </c>
      <c r="G2848" s="75"/>
      <c r="H2848" s="52" t="str">
        <f aca="false">IF(G2848&lt;&gt;"",IFERROR(VLOOKUP(G2848,PRODUCTOS!$A:$B,2,0),"!COD NO ENCONTRADO"),"")</f>
        <v/>
      </c>
      <c r="I2848" s="77"/>
      <c r="J2848" s="78"/>
      <c r="K2848" s="79"/>
      <c r="L2848" s="80" t="str">
        <f aca="false">IF(AND(J2848&lt;&gt;"",K2848&lt;&gt;""),J2848*K2848,"")</f>
        <v/>
      </c>
      <c r="M2848" s="81" t="str">
        <f aca="false">IF(L2848&lt;&gt;"",L2848*1.1,"")</f>
        <v/>
      </c>
      <c r="N2848" s="53" t="n">
        <f aca="false">IF(F2848="S",L2848*0.02,0)</f>
        <v>0</v>
      </c>
      <c r="O2848" s="82" t="str">
        <f aca="false">IF(L2848&lt;&gt;"",L2848+N2848,"")</f>
        <v/>
      </c>
      <c r="P2848" s="53" t="str">
        <f aca="false">IF(O2848&lt;&gt;"",O2848*0.1,"")</f>
        <v/>
      </c>
      <c r="Q2848" s="83" t="str">
        <f aca="false">IF(O2848&lt;&gt;"",O2848+P2848,"")</f>
        <v/>
      </c>
      <c r="R2848" s="84"/>
    </row>
    <row r="2849" customFormat="false" ht="15" hidden="false" customHeight="true" outlineLevel="0" collapsed="false">
      <c r="A2849" s="103"/>
      <c r="B2849" s="85"/>
      <c r="C2849" s="86"/>
      <c r="D2849" s="87"/>
      <c r="E2849" s="46" t="str">
        <f aca="false">IF(D2849&lt;&gt;"",IFERROR(VLOOKUP(D2849,PROVEEDORES!$A:$B,2,0),"!COD NO ENCONTRADO"),"")</f>
        <v/>
      </c>
      <c r="F2849" s="88" t="str">
        <f aca="false">IF(D2849&lt;&gt;"",IFERROR(VLOOKUP(D2849,PROVEEDORES!$A:$C,3,0),""),"")</f>
        <v/>
      </c>
      <c r="G2849" s="87"/>
      <c r="H2849" s="46" t="str">
        <f aca="false">IF(G2849&lt;&gt;"",IFERROR(VLOOKUP(G2849,PRODUCTOS!$A:$B,2,0),"!COD NO ENCONTRADO"),"")</f>
        <v/>
      </c>
      <c r="I2849" s="89"/>
      <c r="J2849" s="90"/>
      <c r="K2849" s="91"/>
      <c r="L2849" s="80" t="str">
        <f aca="false">IF(AND(J2849&lt;&gt;"",K2849&lt;&gt;""),J2849*K2849,"")</f>
        <v/>
      </c>
      <c r="M2849" s="81" t="str">
        <f aca="false">IF(L2849&lt;&gt;"",L2849*1.1,"")</f>
        <v/>
      </c>
      <c r="N2849" s="47" t="n">
        <f aca="false">IF(F2849="S",L2849*0.02,0)</f>
        <v>0</v>
      </c>
      <c r="O2849" s="82" t="str">
        <f aca="false">IF(L2849&lt;&gt;"",L2849+N2849,"")</f>
        <v/>
      </c>
      <c r="P2849" s="47" t="str">
        <f aca="false">IF(O2849&lt;&gt;"",O2849*0.1,"")</f>
        <v/>
      </c>
      <c r="Q2849" s="83" t="str">
        <f aca="false">IF(O2849&lt;&gt;"",O2849+P2849,"")</f>
        <v/>
      </c>
      <c r="R2849" s="84"/>
    </row>
    <row r="2850" customFormat="false" ht="15" hidden="false" customHeight="true" outlineLevel="0" collapsed="false">
      <c r="A2850" s="103"/>
      <c r="B2850" s="73"/>
      <c r="C2850" s="74"/>
      <c r="D2850" s="75"/>
      <c r="E2850" s="52" t="str">
        <f aca="false">IF(D2850&lt;&gt;"",IFERROR(VLOOKUP(D2850,PROVEEDORES!$A:$B,2,0),"!COD NO ENCONTRADO"),"")</f>
        <v/>
      </c>
      <c r="F2850" s="76" t="str">
        <f aca="false">IF(D2850&lt;&gt;"",IFERROR(VLOOKUP(D2850,PROVEEDORES!$A:$C,3,0),""),"")</f>
        <v/>
      </c>
      <c r="G2850" s="75"/>
      <c r="H2850" s="52" t="str">
        <f aca="false">IF(G2850&lt;&gt;"",IFERROR(VLOOKUP(G2850,PRODUCTOS!$A:$B,2,0),"!COD NO ENCONTRADO"),"")</f>
        <v/>
      </c>
      <c r="I2850" s="77"/>
      <c r="J2850" s="78"/>
      <c r="K2850" s="79"/>
      <c r="L2850" s="80" t="str">
        <f aca="false">IF(AND(J2850&lt;&gt;"",K2850&lt;&gt;""),J2850*K2850,"")</f>
        <v/>
      </c>
      <c r="M2850" s="81" t="str">
        <f aca="false">IF(L2850&lt;&gt;"",L2850*1.1,"")</f>
        <v/>
      </c>
      <c r="N2850" s="53" t="n">
        <f aca="false">IF(F2850="S",L2850*0.02,0)</f>
        <v>0</v>
      </c>
      <c r="O2850" s="82" t="str">
        <f aca="false">IF(L2850&lt;&gt;"",L2850+N2850,"")</f>
        <v/>
      </c>
      <c r="P2850" s="53" t="str">
        <f aca="false">IF(O2850&lt;&gt;"",O2850*0.1,"")</f>
        <v/>
      </c>
      <c r="Q2850" s="83" t="str">
        <f aca="false">IF(O2850&lt;&gt;"",O2850+P2850,"")</f>
        <v/>
      </c>
      <c r="R2850" s="84"/>
    </row>
    <row r="2851" customFormat="false" ht="15" hidden="false" customHeight="true" outlineLevel="0" collapsed="false">
      <c r="A2851" s="103"/>
      <c r="B2851" s="85"/>
      <c r="C2851" s="86"/>
      <c r="D2851" s="87"/>
      <c r="E2851" s="46" t="str">
        <f aca="false">IF(D2851&lt;&gt;"",IFERROR(VLOOKUP(D2851,PROVEEDORES!$A:$B,2,0),"!COD NO ENCONTRADO"),"")</f>
        <v/>
      </c>
      <c r="F2851" s="88" t="str">
        <f aca="false">IF(D2851&lt;&gt;"",IFERROR(VLOOKUP(D2851,PROVEEDORES!$A:$C,3,0),""),"")</f>
        <v/>
      </c>
      <c r="G2851" s="87"/>
      <c r="H2851" s="46" t="str">
        <f aca="false">IF(G2851&lt;&gt;"",IFERROR(VLOOKUP(G2851,PRODUCTOS!$A:$B,2,0),"!COD NO ENCONTRADO"),"")</f>
        <v/>
      </c>
      <c r="I2851" s="89"/>
      <c r="J2851" s="90"/>
      <c r="K2851" s="91"/>
      <c r="L2851" s="80" t="str">
        <f aca="false">IF(AND(J2851&lt;&gt;"",K2851&lt;&gt;""),J2851*K2851,"")</f>
        <v/>
      </c>
      <c r="M2851" s="81" t="str">
        <f aca="false">IF(L2851&lt;&gt;"",L2851*1.1,"")</f>
        <v/>
      </c>
      <c r="N2851" s="47" t="n">
        <f aca="false">IF(F2851="S",L2851*0.02,0)</f>
        <v>0</v>
      </c>
      <c r="O2851" s="82" t="str">
        <f aca="false">IF(L2851&lt;&gt;"",L2851+N2851,"")</f>
        <v/>
      </c>
      <c r="P2851" s="47" t="str">
        <f aca="false">IF(O2851&lt;&gt;"",O2851*0.1,"")</f>
        <v/>
      </c>
      <c r="Q2851" s="83" t="str">
        <f aca="false">IF(O2851&lt;&gt;"",O2851+P2851,"")</f>
        <v/>
      </c>
      <c r="R2851" s="84"/>
    </row>
    <row r="2852" customFormat="false" ht="15" hidden="false" customHeight="true" outlineLevel="0" collapsed="false">
      <c r="A2852" s="103"/>
      <c r="B2852" s="73"/>
      <c r="C2852" s="74"/>
      <c r="D2852" s="75"/>
      <c r="E2852" s="52" t="str">
        <f aca="false">IF(D2852&lt;&gt;"",IFERROR(VLOOKUP(D2852,PROVEEDORES!$A:$B,2,0),"!COD NO ENCONTRADO"),"")</f>
        <v/>
      </c>
      <c r="F2852" s="76" t="str">
        <f aca="false">IF(D2852&lt;&gt;"",IFERROR(VLOOKUP(D2852,PROVEEDORES!$A:$C,3,0),""),"")</f>
        <v/>
      </c>
      <c r="G2852" s="75"/>
      <c r="H2852" s="52" t="str">
        <f aca="false">IF(G2852&lt;&gt;"",IFERROR(VLOOKUP(G2852,PRODUCTOS!$A:$B,2,0),"!COD NO ENCONTRADO"),"")</f>
        <v/>
      </c>
      <c r="I2852" s="77"/>
      <c r="J2852" s="78"/>
      <c r="K2852" s="79"/>
      <c r="L2852" s="80" t="str">
        <f aca="false">IF(AND(J2852&lt;&gt;"",K2852&lt;&gt;""),J2852*K2852,"")</f>
        <v/>
      </c>
      <c r="M2852" s="81" t="str">
        <f aca="false">IF(L2852&lt;&gt;"",L2852*1.1,"")</f>
        <v/>
      </c>
      <c r="N2852" s="53" t="n">
        <f aca="false">IF(F2852="S",L2852*0.02,0)</f>
        <v>0</v>
      </c>
      <c r="O2852" s="82" t="str">
        <f aca="false">IF(L2852&lt;&gt;"",L2852+N2852,"")</f>
        <v/>
      </c>
      <c r="P2852" s="53" t="str">
        <f aca="false">IF(O2852&lt;&gt;"",O2852*0.1,"")</f>
        <v/>
      </c>
      <c r="Q2852" s="83" t="str">
        <f aca="false">IF(O2852&lt;&gt;"",O2852+P2852,"")</f>
        <v/>
      </c>
      <c r="R2852" s="84"/>
    </row>
    <row r="2853" customFormat="false" ht="15" hidden="false" customHeight="true" outlineLevel="0" collapsed="false">
      <c r="A2853" s="103"/>
      <c r="B2853" s="85"/>
      <c r="C2853" s="86"/>
      <c r="D2853" s="87"/>
      <c r="E2853" s="46" t="str">
        <f aca="false">IF(D2853&lt;&gt;"",IFERROR(VLOOKUP(D2853,PROVEEDORES!$A:$B,2,0),"!COD NO ENCONTRADO"),"")</f>
        <v/>
      </c>
      <c r="F2853" s="88" t="str">
        <f aca="false">IF(D2853&lt;&gt;"",IFERROR(VLOOKUP(D2853,PROVEEDORES!$A:$C,3,0),""),"")</f>
        <v/>
      </c>
      <c r="G2853" s="87"/>
      <c r="H2853" s="46" t="str">
        <f aca="false">IF(G2853&lt;&gt;"",IFERROR(VLOOKUP(G2853,PRODUCTOS!$A:$B,2,0),"!COD NO ENCONTRADO"),"")</f>
        <v/>
      </c>
      <c r="I2853" s="89"/>
      <c r="J2853" s="90"/>
      <c r="K2853" s="91"/>
      <c r="L2853" s="80" t="str">
        <f aca="false">IF(AND(J2853&lt;&gt;"",K2853&lt;&gt;""),J2853*K2853,"")</f>
        <v/>
      </c>
      <c r="M2853" s="81" t="str">
        <f aca="false">IF(L2853&lt;&gt;"",L2853*1.1,"")</f>
        <v/>
      </c>
      <c r="N2853" s="47" t="n">
        <f aca="false">IF(F2853="S",L2853*0.02,0)</f>
        <v>0</v>
      </c>
      <c r="O2853" s="82" t="str">
        <f aca="false">IF(L2853&lt;&gt;"",L2853+N2853,"")</f>
        <v/>
      </c>
      <c r="P2853" s="47" t="str">
        <f aca="false">IF(O2853&lt;&gt;"",O2853*0.1,"")</f>
        <v/>
      </c>
      <c r="Q2853" s="83" t="str">
        <f aca="false">IF(O2853&lt;&gt;"",O2853+P2853,"")</f>
        <v/>
      </c>
      <c r="R2853" s="84"/>
    </row>
    <row r="2854" customFormat="false" ht="15" hidden="false" customHeight="true" outlineLevel="0" collapsed="false">
      <c r="A2854" s="103"/>
      <c r="B2854" s="73"/>
      <c r="C2854" s="74"/>
      <c r="D2854" s="75"/>
      <c r="E2854" s="52" t="str">
        <f aca="false">IF(D2854&lt;&gt;"",IFERROR(VLOOKUP(D2854,PROVEEDORES!$A:$B,2,0),"!COD NO ENCONTRADO"),"")</f>
        <v/>
      </c>
      <c r="F2854" s="76" t="str">
        <f aca="false">IF(D2854&lt;&gt;"",IFERROR(VLOOKUP(D2854,PROVEEDORES!$A:$C,3,0),""),"")</f>
        <v/>
      </c>
      <c r="G2854" s="75"/>
      <c r="H2854" s="52" t="str">
        <f aca="false">IF(G2854&lt;&gt;"",IFERROR(VLOOKUP(G2854,PRODUCTOS!$A:$B,2,0),"!COD NO ENCONTRADO"),"")</f>
        <v/>
      </c>
      <c r="I2854" s="77"/>
      <c r="J2854" s="78"/>
      <c r="K2854" s="79"/>
      <c r="L2854" s="80" t="str">
        <f aca="false">IF(AND(J2854&lt;&gt;"",K2854&lt;&gt;""),J2854*K2854,"")</f>
        <v/>
      </c>
      <c r="M2854" s="81" t="str">
        <f aca="false">IF(L2854&lt;&gt;"",L2854*1.1,"")</f>
        <v/>
      </c>
      <c r="N2854" s="53" t="n">
        <f aca="false">IF(F2854="S",L2854*0.02,0)</f>
        <v>0</v>
      </c>
      <c r="O2854" s="82" t="str">
        <f aca="false">IF(L2854&lt;&gt;"",L2854+N2854,"")</f>
        <v/>
      </c>
      <c r="P2854" s="53" t="str">
        <f aca="false">IF(O2854&lt;&gt;"",O2854*0.1,"")</f>
        <v/>
      </c>
      <c r="Q2854" s="83" t="str">
        <f aca="false">IF(O2854&lt;&gt;"",O2854+P2854,"")</f>
        <v/>
      </c>
      <c r="R2854" s="84"/>
    </row>
    <row r="2855" customFormat="false" ht="15" hidden="false" customHeight="true" outlineLevel="0" collapsed="false">
      <c r="A2855" s="103"/>
      <c r="B2855" s="85"/>
      <c r="C2855" s="86"/>
      <c r="D2855" s="87"/>
      <c r="E2855" s="46" t="str">
        <f aca="false">IF(D2855&lt;&gt;"",IFERROR(VLOOKUP(D2855,PROVEEDORES!$A:$B,2,0),"!COD NO ENCONTRADO"),"")</f>
        <v/>
      </c>
      <c r="F2855" s="88" t="str">
        <f aca="false">IF(D2855&lt;&gt;"",IFERROR(VLOOKUP(D2855,PROVEEDORES!$A:$C,3,0),""),"")</f>
        <v/>
      </c>
      <c r="G2855" s="87"/>
      <c r="H2855" s="46" t="str">
        <f aca="false">IF(G2855&lt;&gt;"",IFERROR(VLOOKUP(G2855,PRODUCTOS!$A:$B,2,0),"!COD NO ENCONTRADO"),"")</f>
        <v/>
      </c>
      <c r="I2855" s="89"/>
      <c r="J2855" s="90"/>
      <c r="K2855" s="91"/>
      <c r="L2855" s="80" t="str">
        <f aca="false">IF(AND(J2855&lt;&gt;"",K2855&lt;&gt;""),J2855*K2855,"")</f>
        <v/>
      </c>
      <c r="M2855" s="81" t="str">
        <f aca="false">IF(L2855&lt;&gt;"",L2855*1.1,"")</f>
        <v/>
      </c>
      <c r="N2855" s="47" t="n">
        <f aca="false">IF(F2855="S",L2855*0.02,0)</f>
        <v>0</v>
      </c>
      <c r="O2855" s="82" t="str">
        <f aca="false">IF(L2855&lt;&gt;"",L2855+N2855,"")</f>
        <v/>
      </c>
      <c r="P2855" s="47" t="str">
        <f aca="false">IF(O2855&lt;&gt;"",O2855*0.1,"")</f>
        <v/>
      </c>
      <c r="Q2855" s="83" t="str">
        <f aca="false">IF(O2855&lt;&gt;"",O2855+P2855,"")</f>
        <v/>
      </c>
      <c r="R2855" s="84"/>
    </row>
    <row r="2856" customFormat="false" ht="15" hidden="false" customHeight="true" outlineLevel="0" collapsed="false">
      <c r="A2856" s="103"/>
      <c r="B2856" s="73"/>
      <c r="C2856" s="74"/>
      <c r="D2856" s="75"/>
      <c r="E2856" s="52" t="str">
        <f aca="false">IF(D2856&lt;&gt;"",IFERROR(VLOOKUP(D2856,PROVEEDORES!$A:$B,2,0),"!COD NO ENCONTRADO"),"")</f>
        <v/>
      </c>
      <c r="F2856" s="76" t="str">
        <f aca="false">IF(D2856&lt;&gt;"",IFERROR(VLOOKUP(D2856,PROVEEDORES!$A:$C,3,0),""),"")</f>
        <v/>
      </c>
      <c r="G2856" s="75"/>
      <c r="H2856" s="52" t="str">
        <f aca="false">IF(G2856&lt;&gt;"",IFERROR(VLOOKUP(G2856,PRODUCTOS!$A:$B,2,0),"!COD NO ENCONTRADO"),"")</f>
        <v/>
      </c>
      <c r="I2856" s="77"/>
      <c r="J2856" s="78"/>
      <c r="K2856" s="79"/>
      <c r="L2856" s="80" t="str">
        <f aca="false">IF(AND(J2856&lt;&gt;"",K2856&lt;&gt;""),J2856*K2856,"")</f>
        <v/>
      </c>
      <c r="M2856" s="81" t="str">
        <f aca="false">IF(L2856&lt;&gt;"",L2856*1.1,"")</f>
        <v/>
      </c>
      <c r="N2856" s="53" t="n">
        <f aca="false">IF(F2856="S",L2856*0.02,0)</f>
        <v>0</v>
      </c>
      <c r="O2856" s="82" t="str">
        <f aca="false">IF(L2856&lt;&gt;"",L2856+N2856,"")</f>
        <v/>
      </c>
      <c r="P2856" s="53" t="str">
        <f aca="false">IF(O2856&lt;&gt;"",O2856*0.1,"")</f>
        <v/>
      </c>
      <c r="Q2856" s="83" t="str">
        <f aca="false">IF(O2856&lt;&gt;"",O2856+P2856,"")</f>
        <v/>
      </c>
      <c r="R2856" s="84"/>
    </row>
    <row r="2857" customFormat="false" ht="15" hidden="false" customHeight="true" outlineLevel="0" collapsed="false">
      <c r="A2857" s="103"/>
      <c r="B2857" s="85"/>
      <c r="C2857" s="86"/>
      <c r="D2857" s="87"/>
      <c r="E2857" s="46" t="str">
        <f aca="false">IF(D2857&lt;&gt;"",IFERROR(VLOOKUP(D2857,PROVEEDORES!$A:$B,2,0),"!COD NO ENCONTRADO"),"")</f>
        <v/>
      </c>
      <c r="F2857" s="88" t="str">
        <f aca="false">IF(D2857&lt;&gt;"",IFERROR(VLOOKUP(D2857,PROVEEDORES!$A:$C,3,0),""),"")</f>
        <v/>
      </c>
      <c r="G2857" s="87"/>
      <c r="H2857" s="46" t="str">
        <f aca="false">IF(G2857&lt;&gt;"",IFERROR(VLOOKUP(G2857,PRODUCTOS!$A:$B,2,0),"!COD NO ENCONTRADO"),"")</f>
        <v/>
      </c>
      <c r="I2857" s="89"/>
      <c r="J2857" s="90"/>
      <c r="K2857" s="91"/>
      <c r="L2857" s="80" t="str">
        <f aca="false">IF(AND(J2857&lt;&gt;"",K2857&lt;&gt;""),J2857*K2857,"")</f>
        <v/>
      </c>
      <c r="M2857" s="81" t="str">
        <f aca="false">IF(L2857&lt;&gt;"",L2857*1.1,"")</f>
        <v/>
      </c>
      <c r="N2857" s="47" t="n">
        <f aca="false">IF(F2857="S",L2857*0.02,0)</f>
        <v>0</v>
      </c>
      <c r="O2857" s="82" t="str">
        <f aca="false">IF(L2857&lt;&gt;"",L2857+N2857,"")</f>
        <v/>
      </c>
      <c r="P2857" s="47" t="str">
        <f aca="false">IF(O2857&lt;&gt;"",O2857*0.1,"")</f>
        <v/>
      </c>
      <c r="Q2857" s="83" t="str">
        <f aca="false">IF(O2857&lt;&gt;"",O2857+P2857,"")</f>
        <v/>
      </c>
      <c r="R2857" s="84"/>
    </row>
    <row r="2858" customFormat="false" ht="15" hidden="false" customHeight="true" outlineLevel="0" collapsed="false">
      <c r="A2858" s="103"/>
      <c r="B2858" s="73"/>
      <c r="C2858" s="74"/>
      <c r="D2858" s="75"/>
      <c r="E2858" s="52" t="str">
        <f aca="false">IF(D2858&lt;&gt;"",IFERROR(VLOOKUP(D2858,PROVEEDORES!$A:$B,2,0),"!COD NO ENCONTRADO"),"")</f>
        <v/>
      </c>
      <c r="F2858" s="76" t="str">
        <f aca="false">IF(D2858&lt;&gt;"",IFERROR(VLOOKUP(D2858,PROVEEDORES!$A:$C,3,0),""),"")</f>
        <v/>
      </c>
      <c r="G2858" s="75"/>
      <c r="H2858" s="52" t="str">
        <f aca="false">IF(G2858&lt;&gt;"",IFERROR(VLOOKUP(G2858,PRODUCTOS!$A:$B,2,0),"!COD NO ENCONTRADO"),"")</f>
        <v/>
      </c>
      <c r="I2858" s="77"/>
      <c r="J2858" s="78"/>
      <c r="K2858" s="79"/>
      <c r="L2858" s="80" t="str">
        <f aca="false">IF(AND(J2858&lt;&gt;"",K2858&lt;&gt;""),J2858*K2858,"")</f>
        <v/>
      </c>
      <c r="M2858" s="81" t="str">
        <f aca="false">IF(L2858&lt;&gt;"",L2858*1.1,"")</f>
        <v/>
      </c>
      <c r="N2858" s="53" t="n">
        <f aca="false">IF(F2858="S",L2858*0.02,0)</f>
        <v>0</v>
      </c>
      <c r="O2858" s="82" t="str">
        <f aca="false">IF(L2858&lt;&gt;"",L2858+N2858,"")</f>
        <v/>
      </c>
      <c r="P2858" s="53" t="str">
        <f aca="false">IF(O2858&lt;&gt;"",O2858*0.1,"")</f>
        <v/>
      </c>
      <c r="Q2858" s="83" t="str">
        <f aca="false">IF(O2858&lt;&gt;"",O2858+P2858,"")</f>
        <v/>
      </c>
      <c r="R2858" s="84"/>
    </row>
    <row r="2859" customFormat="false" ht="15" hidden="false" customHeight="true" outlineLevel="0" collapsed="false">
      <c r="A2859" s="103"/>
      <c r="B2859" s="85"/>
      <c r="C2859" s="86"/>
      <c r="D2859" s="87"/>
      <c r="E2859" s="46" t="str">
        <f aca="false">IF(D2859&lt;&gt;"",IFERROR(VLOOKUP(D2859,PROVEEDORES!$A:$B,2,0),"!COD NO ENCONTRADO"),"")</f>
        <v/>
      </c>
      <c r="F2859" s="88" t="str">
        <f aca="false">IF(D2859&lt;&gt;"",IFERROR(VLOOKUP(D2859,PROVEEDORES!$A:$C,3,0),""),"")</f>
        <v/>
      </c>
      <c r="G2859" s="87"/>
      <c r="H2859" s="46" t="str">
        <f aca="false">IF(G2859&lt;&gt;"",IFERROR(VLOOKUP(G2859,PRODUCTOS!$A:$B,2,0),"!COD NO ENCONTRADO"),"")</f>
        <v/>
      </c>
      <c r="I2859" s="89"/>
      <c r="J2859" s="90"/>
      <c r="K2859" s="91"/>
      <c r="L2859" s="80" t="str">
        <f aca="false">IF(AND(J2859&lt;&gt;"",K2859&lt;&gt;""),J2859*K2859,"")</f>
        <v/>
      </c>
      <c r="M2859" s="81" t="str">
        <f aca="false">IF(L2859&lt;&gt;"",L2859*1.1,"")</f>
        <v/>
      </c>
      <c r="N2859" s="47" t="n">
        <f aca="false">IF(F2859="S",L2859*0.02,0)</f>
        <v>0</v>
      </c>
      <c r="O2859" s="82" t="str">
        <f aca="false">IF(L2859&lt;&gt;"",L2859+N2859,"")</f>
        <v/>
      </c>
      <c r="P2859" s="47" t="str">
        <f aca="false">IF(O2859&lt;&gt;"",O2859*0.1,"")</f>
        <v/>
      </c>
      <c r="Q2859" s="83" t="str">
        <f aca="false">IF(O2859&lt;&gt;"",O2859+P2859,"")</f>
        <v/>
      </c>
      <c r="R2859" s="84"/>
    </row>
    <row r="2860" customFormat="false" ht="15" hidden="false" customHeight="true" outlineLevel="0" collapsed="false">
      <c r="A2860" s="103"/>
      <c r="B2860" s="73"/>
      <c r="C2860" s="74"/>
      <c r="D2860" s="75"/>
      <c r="E2860" s="52" t="str">
        <f aca="false">IF(D2860&lt;&gt;"",IFERROR(VLOOKUP(D2860,PROVEEDORES!$A:$B,2,0),"!COD NO ENCONTRADO"),"")</f>
        <v/>
      </c>
      <c r="F2860" s="76" t="str">
        <f aca="false">IF(D2860&lt;&gt;"",IFERROR(VLOOKUP(D2860,PROVEEDORES!$A:$C,3,0),""),"")</f>
        <v/>
      </c>
      <c r="G2860" s="75"/>
      <c r="H2860" s="52" t="str">
        <f aca="false">IF(G2860&lt;&gt;"",IFERROR(VLOOKUP(G2860,PRODUCTOS!$A:$B,2,0),"!COD NO ENCONTRADO"),"")</f>
        <v/>
      </c>
      <c r="I2860" s="77"/>
      <c r="J2860" s="78"/>
      <c r="K2860" s="79"/>
      <c r="L2860" s="80" t="str">
        <f aca="false">IF(AND(J2860&lt;&gt;"",K2860&lt;&gt;""),J2860*K2860,"")</f>
        <v/>
      </c>
      <c r="M2860" s="81" t="str">
        <f aca="false">IF(L2860&lt;&gt;"",L2860*1.1,"")</f>
        <v/>
      </c>
      <c r="N2860" s="53" t="n">
        <f aca="false">IF(F2860="S",L2860*0.02,0)</f>
        <v>0</v>
      </c>
      <c r="O2860" s="82" t="str">
        <f aca="false">IF(L2860&lt;&gt;"",L2860+N2860,"")</f>
        <v/>
      </c>
      <c r="P2860" s="53" t="str">
        <f aca="false">IF(O2860&lt;&gt;"",O2860*0.1,"")</f>
        <v/>
      </c>
      <c r="Q2860" s="83" t="str">
        <f aca="false">IF(O2860&lt;&gt;"",O2860+P2860,"")</f>
        <v/>
      </c>
      <c r="R2860" s="84"/>
    </row>
    <row r="2861" customFormat="false" ht="15" hidden="false" customHeight="true" outlineLevel="0" collapsed="false">
      <c r="A2861" s="103"/>
      <c r="B2861" s="85"/>
      <c r="C2861" s="86"/>
      <c r="D2861" s="87"/>
      <c r="E2861" s="46" t="str">
        <f aca="false">IF(D2861&lt;&gt;"",IFERROR(VLOOKUP(D2861,PROVEEDORES!$A:$B,2,0),"!COD NO ENCONTRADO"),"")</f>
        <v/>
      </c>
      <c r="F2861" s="88" t="str">
        <f aca="false">IF(D2861&lt;&gt;"",IFERROR(VLOOKUP(D2861,PROVEEDORES!$A:$C,3,0),""),"")</f>
        <v/>
      </c>
      <c r="G2861" s="87"/>
      <c r="H2861" s="46" t="str">
        <f aca="false">IF(G2861&lt;&gt;"",IFERROR(VLOOKUP(G2861,PRODUCTOS!$A:$B,2,0),"!COD NO ENCONTRADO"),"")</f>
        <v/>
      </c>
      <c r="I2861" s="89"/>
      <c r="J2861" s="90"/>
      <c r="K2861" s="91"/>
      <c r="L2861" s="80" t="str">
        <f aca="false">IF(AND(J2861&lt;&gt;"",K2861&lt;&gt;""),J2861*K2861,"")</f>
        <v/>
      </c>
      <c r="M2861" s="81" t="str">
        <f aca="false">IF(L2861&lt;&gt;"",L2861*1.1,"")</f>
        <v/>
      </c>
      <c r="N2861" s="47" t="n">
        <f aca="false">IF(F2861="S",L2861*0.02,0)</f>
        <v>0</v>
      </c>
      <c r="O2861" s="82" t="str">
        <f aca="false">IF(L2861&lt;&gt;"",L2861+N2861,"")</f>
        <v/>
      </c>
      <c r="P2861" s="47" t="str">
        <f aca="false">IF(O2861&lt;&gt;"",O2861*0.1,"")</f>
        <v/>
      </c>
      <c r="Q2861" s="83" t="str">
        <f aca="false">IF(O2861&lt;&gt;"",O2861+P2861,"")</f>
        <v/>
      </c>
      <c r="R2861" s="84"/>
    </row>
    <row r="2862" customFormat="false" ht="15" hidden="false" customHeight="true" outlineLevel="0" collapsed="false">
      <c r="A2862" s="103"/>
      <c r="B2862" s="73"/>
      <c r="C2862" s="74"/>
      <c r="D2862" s="75"/>
      <c r="E2862" s="52" t="str">
        <f aca="false">IF(D2862&lt;&gt;"",IFERROR(VLOOKUP(D2862,PROVEEDORES!$A:$B,2,0),"!COD NO ENCONTRADO"),"")</f>
        <v/>
      </c>
      <c r="F2862" s="76" t="str">
        <f aca="false">IF(D2862&lt;&gt;"",IFERROR(VLOOKUP(D2862,PROVEEDORES!$A:$C,3,0),""),"")</f>
        <v/>
      </c>
      <c r="G2862" s="75"/>
      <c r="H2862" s="52" t="str">
        <f aca="false">IF(G2862&lt;&gt;"",IFERROR(VLOOKUP(G2862,PRODUCTOS!$A:$B,2,0),"!COD NO ENCONTRADO"),"")</f>
        <v/>
      </c>
      <c r="I2862" s="77"/>
      <c r="J2862" s="78"/>
      <c r="K2862" s="79"/>
      <c r="L2862" s="80" t="str">
        <f aca="false">IF(AND(J2862&lt;&gt;"",K2862&lt;&gt;""),J2862*K2862,"")</f>
        <v/>
      </c>
      <c r="M2862" s="81" t="str">
        <f aca="false">IF(L2862&lt;&gt;"",L2862*1.1,"")</f>
        <v/>
      </c>
      <c r="N2862" s="53" t="n">
        <f aca="false">IF(F2862="S",L2862*0.02,0)</f>
        <v>0</v>
      </c>
      <c r="O2862" s="82" t="str">
        <f aca="false">IF(L2862&lt;&gt;"",L2862+N2862,"")</f>
        <v/>
      </c>
      <c r="P2862" s="53" t="str">
        <f aca="false">IF(O2862&lt;&gt;"",O2862*0.1,"")</f>
        <v/>
      </c>
      <c r="Q2862" s="83" t="str">
        <f aca="false">IF(O2862&lt;&gt;"",O2862+P2862,"")</f>
        <v/>
      </c>
      <c r="R2862" s="84"/>
    </row>
    <row r="2863" customFormat="false" ht="15" hidden="false" customHeight="true" outlineLevel="0" collapsed="false">
      <c r="A2863" s="103"/>
      <c r="B2863" s="85"/>
      <c r="C2863" s="86"/>
      <c r="D2863" s="87"/>
      <c r="E2863" s="46" t="str">
        <f aca="false">IF(D2863&lt;&gt;"",IFERROR(VLOOKUP(D2863,PROVEEDORES!$A:$B,2,0),"!COD NO ENCONTRADO"),"")</f>
        <v/>
      </c>
      <c r="F2863" s="88" t="str">
        <f aca="false">IF(D2863&lt;&gt;"",IFERROR(VLOOKUP(D2863,PROVEEDORES!$A:$C,3,0),""),"")</f>
        <v/>
      </c>
      <c r="G2863" s="87"/>
      <c r="H2863" s="46" t="str">
        <f aca="false">IF(G2863&lt;&gt;"",IFERROR(VLOOKUP(G2863,PRODUCTOS!$A:$B,2,0),"!COD NO ENCONTRADO"),"")</f>
        <v/>
      </c>
      <c r="I2863" s="89"/>
      <c r="J2863" s="90"/>
      <c r="K2863" s="91"/>
      <c r="L2863" s="80" t="str">
        <f aca="false">IF(AND(J2863&lt;&gt;"",K2863&lt;&gt;""),J2863*K2863,"")</f>
        <v/>
      </c>
      <c r="M2863" s="81" t="str">
        <f aca="false">IF(L2863&lt;&gt;"",L2863*1.1,"")</f>
        <v/>
      </c>
      <c r="N2863" s="47" t="n">
        <f aca="false">IF(F2863="S",L2863*0.02,0)</f>
        <v>0</v>
      </c>
      <c r="O2863" s="82" t="str">
        <f aca="false">IF(L2863&lt;&gt;"",L2863+N2863,"")</f>
        <v/>
      </c>
      <c r="P2863" s="47" t="str">
        <f aca="false">IF(O2863&lt;&gt;"",O2863*0.1,"")</f>
        <v/>
      </c>
      <c r="Q2863" s="83" t="str">
        <f aca="false">IF(O2863&lt;&gt;"",O2863+P2863,"")</f>
        <v/>
      </c>
      <c r="R2863" s="84"/>
    </row>
    <row r="2864" customFormat="false" ht="15" hidden="false" customHeight="true" outlineLevel="0" collapsed="false">
      <c r="A2864" s="103"/>
      <c r="B2864" s="73"/>
      <c r="C2864" s="74"/>
      <c r="D2864" s="75"/>
      <c r="E2864" s="52" t="str">
        <f aca="false">IF(D2864&lt;&gt;"",IFERROR(VLOOKUP(D2864,PROVEEDORES!$A:$B,2,0),"!COD NO ENCONTRADO"),"")</f>
        <v/>
      </c>
      <c r="F2864" s="76" t="str">
        <f aca="false">IF(D2864&lt;&gt;"",IFERROR(VLOOKUP(D2864,PROVEEDORES!$A:$C,3,0),""),"")</f>
        <v/>
      </c>
      <c r="G2864" s="75"/>
      <c r="H2864" s="52" t="str">
        <f aca="false">IF(G2864&lt;&gt;"",IFERROR(VLOOKUP(G2864,PRODUCTOS!$A:$B,2,0),"!COD NO ENCONTRADO"),"")</f>
        <v/>
      </c>
      <c r="I2864" s="77"/>
      <c r="J2864" s="78"/>
      <c r="K2864" s="79"/>
      <c r="L2864" s="80" t="str">
        <f aca="false">IF(AND(J2864&lt;&gt;"",K2864&lt;&gt;""),J2864*K2864,"")</f>
        <v/>
      </c>
      <c r="M2864" s="81" t="str">
        <f aca="false">IF(L2864&lt;&gt;"",L2864*1.1,"")</f>
        <v/>
      </c>
      <c r="N2864" s="53" t="n">
        <f aca="false">IF(F2864="S",L2864*0.02,0)</f>
        <v>0</v>
      </c>
      <c r="O2864" s="82" t="str">
        <f aca="false">IF(L2864&lt;&gt;"",L2864+N2864,"")</f>
        <v/>
      </c>
      <c r="P2864" s="53" t="str">
        <f aca="false">IF(O2864&lt;&gt;"",O2864*0.1,"")</f>
        <v/>
      </c>
      <c r="Q2864" s="83" t="str">
        <f aca="false">IF(O2864&lt;&gt;"",O2864+P2864,"")</f>
        <v/>
      </c>
      <c r="R2864" s="84"/>
    </row>
    <row r="2865" customFormat="false" ht="15" hidden="false" customHeight="true" outlineLevel="0" collapsed="false">
      <c r="A2865" s="103"/>
      <c r="B2865" s="85"/>
      <c r="C2865" s="86"/>
      <c r="D2865" s="87"/>
      <c r="E2865" s="46" t="str">
        <f aca="false">IF(D2865&lt;&gt;"",IFERROR(VLOOKUP(D2865,PROVEEDORES!$A:$B,2,0),"!COD NO ENCONTRADO"),"")</f>
        <v/>
      </c>
      <c r="F2865" s="88" t="str">
        <f aca="false">IF(D2865&lt;&gt;"",IFERROR(VLOOKUP(D2865,PROVEEDORES!$A:$C,3,0),""),"")</f>
        <v/>
      </c>
      <c r="G2865" s="87"/>
      <c r="H2865" s="46" t="str">
        <f aca="false">IF(G2865&lt;&gt;"",IFERROR(VLOOKUP(G2865,PRODUCTOS!$A:$B,2,0),"!COD NO ENCONTRADO"),"")</f>
        <v/>
      </c>
      <c r="I2865" s="89"/>
      <c r="J2865" s="90"/>
      <c r="K2865" s="91"/>
      <c r="L2865" s="80" t="str">
        <f aca="false">IF(AND(J2865&lt;&gt;"",K2865&lt;&gt;""),J2865*K2865,"")</f>
        <v/>
      </c>
      <c r="M2865" s="81" t="str">
        <f aca="false">IF(L2865&lt;&gt;"",L2865*1.1,"")</f>
        <v/>
      </c>
      <c r="N2865" s="47" t="n">
        <f aca="false">IF(F2865="S",L2865*0.02,0)</f>
        <v>0</v>
      </c>
      <c r="O2865" s="82" t="str">
        <f aca="false">IF(L2865&lt;&gt;"",L2865+N2865,"")</f>
        <v/>
      </c>
      <c r="P2865" s="47" t="str">
        <f aca="false">IF(O2865&lt;&gt;"",O2865*0.1,"")</f>
        <v/>
      </c>
      <c r="Q2865" s="83" t="str">
        <f aca="false">IF(O2865&lt;&gt;"",O2865+P2865,"")</f>
        <v/>
      </c>
      <c r="R2865" s="84"/>
    </row>
    <row r="2866" customFormat="false" ht="15" hidden="false" customHeight="true" outlineLevel="0" collapsed="false">
      <c r="A2866" s="103"/>
      <c r="B2866" s="73"/>
      <c r="C2866" s="74"/>
      <c r="D2866" s="75"/>
      <c r="E2866" s="52" t="str">
        <f aca="false">IF(D2866&lt;&gt;"",IFERROR(VLOOKUP(D2866,PROVEEDORES!$A:$B,2,0),"!COD NO ENCONTRADO"),"")</f>
        <v/>
      </c>
      <c r="F2866" s="76" t="str">
        <f aca="false">IF(D2866&lt;&gt;"",IFERROR(VLOOKUP(D2866,PROVEEDORES!$A:$C,3,0),""),"")</f>
        <v/>
      </c>
      <c r="G2866" s="75"/>
      <c r="H2866" s="52" t="str">
        <f aca="false">IF(G2866&lt;&gt;"",IFERROR(VLOOKUP(G2866,PRODUCTOS!$A:$B,2,0),"!COD NO ENCONTRADO"),"")</f>
        <v/>
      </c>
      <c r="I2866" s="77"/>
      <c r="J2866" s="78"/>
      <c r="K2866" s="79"/>
      <c r="L2866" s="80" t="str">
        <f aca="false">IF(AND(J2866&lt;&gt;"",K2866&lt;&gt;""),J2866*K2866,"")</f>
        <v/>
      </c>
      <c r="M2866" s="81" t="str">
        <f aca="false">IF(L2866&lt;&gt;"",L2866*1.1,"")</f>
        <v/>
      </c>
      <c r="N2866" s="53" t="n">
        <f aca="false">IF(F2866="S",L2866*0.02,0)</f>
        <v>0</v>
      </c>
      <c r="O2866" s="82" t="str">
        <f aca="false">IF(L2866&lt;&gt;"",L2866+N2866,"")</f>
        <v/>
      </c>
      <c r="P2866" s="53" t="str">
        <f aca="false">IF(O2866&lt;&gt;"",O2866*0.1,"")</f>
        <v/>
      </c>
      <c r="Q2866" s="83" t="str">
        <f aca="false">IF(O2866&lt;&gt;"",O2866+P2866,"")</f>
        <v/>
      </c>
      <c r="R2866" s="84"/>
    </row>
    <row r="2867" customFormat="false" ht="15" hidden="false" customHeight="true" outlineLevel="0" collapsed="false">
      <c r="A2867" s="103"/>
      <c r="B2867" s="85"/>
      <c r="C2867" s="86"/>
      <c r="D2867" s="87"/>
      <c r="E2867" s="46" t="str">
        <f aca="false">IF(D2867&lt;&gt;"",IFERROR(VLOOKUP(D2867,PROVEEDORES!$A:$B,2,0),"!COD NO ENCONTRADO"),"")</f>
        <v/>
      </c>
      <c r="F2867" s="88" t="str">
        <f aca="false">IF(D2867&lt;&gt;"",IFERROR(VLOOKUP(D2867,PROVEEDORES!$A:$C,3,0),""),"")</f>
        <v/>
      </c>
      <c r="G2867" s="87"/>
      <c r="H2867" s="46" t="str">
        <f aca="false">IF(G2867&lt;&gt;"",IFERROR(VLOOKUP(G2867,PRODUCTOS!$A:$B,2,0),"!COD NO ENCONTRADO"),"")</f>
        <v/>
      </c>
      <c r="I2867" s="89"/>
      <c r="J2867" s="90"/>
      <c r="K2867" s="91"/>
      <c r="L2867" s="80" t="str">
        <f aca="false">IF(AND(J2867&lt;&gt;"",K2867&lt;&gt;""),J2867*K2867,"")</f>
        <v/>
      </c>
      <c r="M2867" s="81" t="str">
        <f aca="false">IF(L2867&lt;&gt;"",L2867*1.1,"")</f>
        <v/>
      </c>
      <c r="N2867" s="47" t="n">
        <f aca="false">IF(F2867="S",L2867*0.02,0)</f>
        <v>0</v>
      </c>
      <c r="O2867" s="82" t="str">
        <f aca="false">IF(L2867&lt;&gt;"",L2867+N2867,"")</f>
        <v/>
      </c>
      <c r="P2867" s="47" t="str">
        <f aca="false">IF(O2867&lt;&gt;"",O2867*0.1,"")</f>
        <v/>
      </c>
      <c r="Q2867" s="83" t="str">
        <f aca="false">IF(O2867&lt;&gt;"",O2867+P2867,"")</f>
        <v/>
      </c>
      <c r="R2867" s="84"/>
    </row>
    <row r="2868" customFormat="false" ht="15" hidden="false" customHeight="true" outlineLevel="0" collapsed="false">
      <c r="A2868" s="103"/>
      <c r="B2868" s="73"/>
      <c r="C2868" s="74"/>
      <c r="D2868" s="75"/>
      <c r="E2868" s="52" t="str">
        <f aca="false">IF(D2868&lt;&gt;"",IFERROR(VLOOKUP(D2868,PROVEEDORES!$A:$B,2,0),"!COD NO ENCONTRADO"),"")</f>
        <v/>
      </c>
      <c r="F2868" s="76" t="str">
        <f aca="false">IF(D2868&lt;&gt;"",IFERROR(VLOOKUP(D2868,PROVEEDORES!$A:$C,3,0),""),"")</f>
        <v/>
      </c>
      <c r="G2868" s="75"/>
      <c r="H2868" s="52" t="str">
        <f aca="false">IF(G2868&lt;&gt;"",IFERROR(VLOOKUP(G2868,PRODUCTOS!$A:$B,2,0),"!COD NO ENCONTRADO"),"")</f>
        <v/>
      </c>
      <c r="I2868" s="77"/>
      <c r="J2868" s="78"/>
      <c r="K2868" s="79"/>
      <c r="L2868" s="80" t="str">
        <f aca="false">IF(AND(J2868&lt;&gt;"",K2868&lt;&gt;""),J2868*K2868,"")</f>
        <v/>
      </c>
      <c r="M2868" s="81" t="str">
        <f aca="false">IF(L2868&lt;&gt;"",L2868*1.1,"")</f>
        <v/>
      </c>
      <c r="N2868" s="53" t="n">
        <f aca="false">IF(F2868="S",L2868*0.02,0)</f>
        <v>0</v>
      </c>
      <c r="O2868" s="82" t="str">
        <f aca="false">IF(L2868&lt;&gt;"",L2868+N2868,"")</f>
        <v/>
      </c>
      <c r="P2868" s="53" t="str">
        <f aca="false">IF(O2868&lt;&gt;"",O2868*0.1,"")</f>
        <v/>
      </c>
      <c r="Q2868" s="83" t="str">
        <f aca="false">IF(O2868&lt;&gt;"",O2868+P2868,"")</f>
        <v/>
      </c>
      <c r="R2868" s="84"/>
    </row>
    <row r="2869" customFormat="false" ht="15" hidden="false" customHeight="true" outlineLevel="0" collapsed="false">
      <c r="A2869" s="103"/>
      <c r="B2869" s="85"/>
      <c r="C2869" s="86"/>
      <c r="D2869" s="87"/>
      <c r="E2869" s="46" t="str">
        <f aca="false">IF(D2869&lt;&gt;"",IFERROR(VLOOKUP(D2869,PROVEEDORES!$A:$B,2,0),"!COD NO ENCONTRADO"),"")</f>
        <v/>
      </c>
      <c r="F2869" s="88" t="str">
        <f aca="false">IF(D2869&lt;&gt;"",IFERROR(VLOOKUP(D2869,PROVEEDORES!$A:$C,3,0),""),"")</f>
        <v/>
      </c>
      <c r="G2869" s="87"/>
      <c r="H2869" s="46" t="str">
        <f aca="false">IF(G2869&lt;&gt;"",IFERROR(VLOOKUP(G2869,PRODUCTOS!$A:$B,2,0),"!COD NO ENCONTRADO"),"")</f>
        <v/>
      </c>
      <c r="I2869" s="89"/>
      <c r="J2869" s="90"/>
      <c r="K2869" s="91"/>
      <c r="L2869" s="80" t="str">
        <f aca="false">IF(AND(J2869&lt;&gt;"",K2869&lt;&gt;""),J2869*K2869,"")</f>
        <v/>
      </c>
      <c r="M2869" s="81" t="str">
        <f aca="false">IF(L2869&lt;&gt;"",L2869*1.1,"")</f>
        <v/>
      </c>
      <c r="N2869" s="47" t="n">
        <f aca="false">IF(F2869="S",L2869*0.02,0)</f>
        <v>0</v>
      </c>
      <c r="O2869" s="82" t="str">
        <f aca="false">IF(L2869&lt;&gt;"",L2869+N2869,"")</f>
        <v/>
      </c>
      <c r="P2869" s="47" t="str">
        <f aca="false">IF(O2869&lt;&gt;"",O2869*0.1,"")</f>
        <v/>
      </c>
      <c r="Q2869" s="83" t="str">
        <f aca="false">IF(O2869&lt;&gt;"",O2869+P2869,"")</f>
        <v/>
      </c>
      <c r="R2869" s="84"/>
    </row>
    <row r="2870" customFormat="false" ht="15" hidden="false" customHeight="true" outlineLevel="0" collapsed="false">
      <c r="A2870" s="103"/>
      <c r="B2870" s="73"/>
      <c r="C2870" s="74"/>
      <c r="D2870" s="75"/>
      <c r="E2870" s="52" t="str">
        <f aca="false">IF(D2870&lt;&gt;"",IFERROR(VLOOKUP(D2870,PROVEEDORES!$A:$B,2,0),"!COD NO ENCONTRADO"),"")</f>
        <v/>
      </c>
      <c r="F2870" s="76" t="str">
        <f aca="false">IF(D2870&lt;&gt;"",IFERROR(VLOOKUP(D2870,PROVEEDORES!$A:$C,3,0),""),"")</f>
        <v/>
      </c>
      <c r="G2870" s="75"/>
      <c r="H2870" s="52" t="str">
        <f aca="false">IF(G2870&lt;&gt;"",IFERROR(VLOOKUP(G2870,PRODUCTOS!$A:$B,2,0),"!COD NO ENCONTRADO"),"")</f>
        <v/>
      </c>
      <c r="I2870" s="77"/>
      <c r="J2870" s="78"/>
      <c r="K2870" s="79"/>
      <c r="L2870" s="80" t="str">
        <f aca="false">IF(AND(J2870&lt;&gt;"",K2870&lt;&gt;""),J2870*K2870,"")</f>
        <v/>
      </c>
      <c r="M2870" s="81" t="str">
        <f aca="false">IF(L2870&lt;&gt;"",L2870*1.1,"")</f>
        <v/>
      </c>
      <c r="N2870" s="53" t="n">
        <f aca="false">IF(F2870="S",L2870*0.02,0)</f>
        <v>0</v>
      </c>
      <c r="O2870" s="82" t="str">
        <f aca="false">IF(L2870&lt;&gt;"",L2870+N2870,"")</f>
        <v/>
      </c>
      <c r="P2870" s="53" t="str">
        <f aca="false">IF(O2870&lt;&gt;"",O2870*0.1,"")</f>
        <v/>
      </c>
      <c r="Q2870" s="83" t="str">
        <f aca="false">IF(O2870&lt;&gt;"",O2870+P2870,"")</f>
        <v/>
      </c>
      <c r="R2870" s="84"/>
    </row>
    <row r="2871" customFormat="false" ht="15" hidden="false" customHeight="true" outlineLevel="0" collapsed="false">
      <c r="A2871" s="103"/>
      <c r="B2871" s="85"/>
      <c r="C2871" s="86"/>
      <c r="D2871" s="87"/>
      <c r="E2871" s="46" t="str">
        <f aca="false">IF(D2871&lt;&gt;"",IFERROR(VLOOKUP(D2871,PROVEEDORES!$A:$B,2,0),"!COD NO ENCONTRADO"),"")</f>
        <v/>
      </c>
      <c r="F2871" s="88" t="str">
        <f aca="false">IF(D2871&lt;&gt;"",IFERROR(VLOOKUP(D2871,PROVEEDORES!$A:$C,3,0),""),"")</f>
        <v/>
      </c>
      <c r="G2871" s="87"/>
      <c r="H2871" s="46" t="str">
        <f aca="false">IF(G2871&lt;&gt;"",IFERROR(VLOOKUP(G2871,PRODUCTOS!$A:$B,2,0),"!COD NO ENCONTRADO"),"")</f>
        <v/>
      </c>
      <c r="I2871" s="89"/>
      <c r="J2871" s="90"/>
      <c r="K2871" s="91"/>
      <c r="L2871" s="80" t="str">
        <f aca="false">IF(AND(J2871&lt;&gt;"",K2871&lt;&gt;""),J2871*K2871,"")</f>
        <v/>
      </c>
      <c r="M2871" s="81" t="str">
        <f aca="false">IF(L2871&lt;&gt;"",L2871*1.1,"")</f>
        <v/>
      </c>
      <c r="N2871" s="47" t="n">
        <f aca="false">IF(F2871="S",L2871*0.02,0)</f>
        <v>0</v>
      </c>
      <c r="O2871" s="82" t="str">
        <f aca="false">IF(L2871&lt;&gt;"",L2871+N2871,"")</f>
        <v/>
      </c>
      <c r="P2871" s="47" t="str">
        <f aca="false">IF(O2871&lt;&gt;"",O2871*0.1,"")</f>
        <v/>
      </c>
      <c r="Q2871" s="83" t="str">
        <f aca="false">IF(O2871&lt;&gt;"",O2871+P2871,"")</f>
        <v/>
      </c>
      <c r="R2871" s="84"/>
    </row>
    <row r="2872" customFormat="false" ht="15" hidden="false" customHeight="true" outlineLevel="0" collapsed="false">
      <c r="A2872" s="103"/>
      <c r="B2872" s="73"/>
      <c r="C2872" s="74"/>
      <c r="D2872" s="75"/>
      <c r="E2872" s="52" t="str">
        <f aca="false">IF(D2872&lt;&gt;"",IFERROR(VLOOKUP(D2872,PROVEEDORES!$A:$B,2,0),"!COD NO ENCONTRADO"),"")</f>
        <v/>
      </c>
      <c r="F2872" s="76" t="str">
        <f aca="false">IF(D2872&lt;&gt;"",IFERROR(VLOOKUP(D2872,PROVEEDORES!$A:$C,3,0),""),"")</f>
        <v/>
      </c>
      <c r="G2872" s="75"/>
      <c r="H2872" s="52" t="str">
        <f aca="false">IF(G2872&lt;&gt;"",IFERROR(VLOOKUP(G2872,PRODUCTOS!$A:$B,2,0),"!COD NO ENCONTRADO"),"")</f>
        <v/>
      </c>
      <c r="I2872" s="77"/>
      <c r="J2872" s="78"/>
      <c r="K2872" s="79"/>
      <c r="L2872" s="80" t="str">
        <f aca="false">IF(AND(J2872&lt;&gt;"",K2872&lt;&gt;""),J2872*K2872,"")</f>
        <v/>
      </c>
      <c r="M2872" s="81" t="str">
        <f aca="false">IF(L2872&lt;&gt;"",L2872*1.1,"")</f>
        <v/>
      </c>
      <c r="N2872" s="53" t="n">
        <f aca="false">IF(F2872="S",L2872*0.02,0)</f>
        <v>0</v>
      </c>
      <c r="O2872" s="82" t="str">
        <f aca="false">IF(L2872&lt;&gt;"",L2872+N2872,"")</f>
        <v/>
      </c>
      <c r="P2872" s="53" t="str">
        <f aca="false">IF(O2872&lt;&gt;"",O2872*0.1,"")</f>
        <v/>
      </c>
      <c r="Q2872" s="83" t="str">
        <f aca="false">IF(O2872&lt;&gt;"",O2872+P2872,"")</f>
        <v/>
      </c>
      <c r="R2872" s="84"/>
    </row>
    <row r="2873" customFormat="false" ht="15" hidden="false" customHeight="true" outlineLevel="0" collapsed="false">
      <c r="A2873" s="103"/>
      <c r="B2873" s="85"/>
      <c r="C2873" s="86"/>
      <c r="D2873" s="87"/>
      <c r="E2873" s="46" t="str">
        <f aca="false">IF(D2873&lt;&gt;"",IFERROR(VLOOKUP(D2873,PROVEEDORES!$A:$B,2,0),"!COD NO ENCONTRADO"),"")</f>
        <v/>
      </c>
      <c r="F2873" s="88" t="str">
        <f aca="false">IF(D2873&lt;&gt;"",IFERROR(VLOOKUP(D2873,PROVEEDORES!$A:$C,3,0),""),"")</f>
        <v/>
      </c>
      <c r="G2873" s="87"/>
      <c r="H2873" s="46" t="str">
        <f aca="false">IF(G2873&lt;&gt;"",IFERROR(VLOOKUP(G2873,PRODUCTOS!$A:$B,2,0),"!COD NO ENCONTRADO"),"")</f>
        <v/>
      </c>
      <c r="I2873" s="89"/>
      <c r="J2873" s="90"/>
      <c r="K2873" s="91"/>
      <c r="L2873" s="80" t="str">
        <f aca="false">IF(AND(J2873&lt;&gt;"",K2873&lt;&gt;""),J2873*K2873,"")</f>
        <v/>
      </c>
      <c r="M2873" s="81" t="str">
        <f aca="false">IF(L2873&lt;&gt;"",L2873*1.1,"")</f>
        <v/>
      </c>
      <c r="N2873" s="47" t="n">
        <f aca="false">IF(F2873="S",L2873*0.02,0)</f>
        <v>0</v>
      </c>
      <c r="O2873" s="82" t="str">
        <f aca="false">IF(L2873&lt;&gt;"",L2873+N2873,"")</f>
        <v/>
      </c>
      <c r="P2873" s="47" t="str">
        <f aca="false">IF(O2873&lt;&gt;"",O2873*0.1,"")</f>
        <v/>
      </c>
      <c r="Q2873" s="83" t="str">
        <f aca="false">IF(O2873&lt;&gt;"",O2873+P2873,"")</f>
        <v/>
      </c>
      <c r="R2873" s="84"/>
    </row>
    <row r="2874" customFormat="false" ht="15" hidden="false" customHeight="true" outlineLevel="0" collapsed="false">
      <c r="A2874" s="103"/>
      <c r="B2874" s="73"/>
      <c r="C2874" s="74"/>
      <c r="D2874" s="75"/>
      <c r="E2874" s="52" t="str">
        <f aca="false">IF(D2874&lt;&gt;"",IFERROR(VLOOKUP(D2874,PROVEEDORES!$A:$B,2,0),"!COD NO ENCONTRADO"),"")</f>
        <v/>
      </c>
      <c r="F2874" s="76" t="str">
        <f aca="false">IF(D2874&lt;&gt;"",IFERROR(VLOOKUP(D2874,PROVEEDORES!$A:$C,3,0),""),"")</f>
        <v/>
      </c>
      <c r="G2874" s="75"/>
      <c r="H2874" s="52" t="str">
        <f aca="false">IF(G2874&lt;&gt;"",IFERROR(VLOOKUP(G2874,PRODUCTOS!$A:$B,2,0),"!COD NO ENCONTRADO"),"")</f>
        <v/>
      </c>
      <c r="I2874" s="77"/>
      <c r="J2874" s="78"/>
      <c r="K2874" s="79"/>
      <c r="L2874" s="80" t="str">
        <f aca="false">IF(AND(J2874&lt;&gt;"",K2874&lt;&gt;""),J2874*K2874,"")</f>
        <v/>
      </c>
      <c r="M2874" s="81" t="str">
        <f aca="false">IF(L2874&lt;&gt;"",L2874*1.1,"")</f>
        <v/>
      </c>
      <c r="N2874" s="53" t="n">
        <f aca="false">IF(F2874="S",L2874*0.02,0)</f>
        <v>0</v>
      </c>
      <c r="O2874" s="82" t="str">
        <f aca="false">IF(L2874&lt;&gt;"",L2874+N2874,"")</f>
        <v/>
      </c>
      <c r="P2874" s="53" t="str">
        <f aca="false">IF(O2874&lt;&gt;"",O2874*0.1,"")</f>
        <v/>
      </c>
      <c r="Q2874" s="83" t="str">
        <f aca="false">IF(O2874&lt;&gt;"",O2874+P2874,"")</f>
        <v/>
      </c>
      <c r="R2874" s="84"/>
    </row>
    <row r="2875" customFormat="false" ht="15" hidden="false" customHeight="true" outlineLevel="0" collapsed="false">
      <c r="A2875" s="103"/>
      <c r="B2875" s="85"/>
      <c r="C2875" s="86"/>
      <c r="D2875" s="87"/>
      <c r="E2875" s="46" t="str">
        <f aca="false">IF(D2875&lt;&gt;"",IFERROR(VLOOKUP(D2875,PROVEEDORES!$A:$B,2,0),"!COD NO ENCONTRADO"),"")</f>
        <v/>
      </c>
      <c r="F2875" s="88" t="str">
        <f aca="false">IF(D2875&lt;&gt;"",IFERROR(VLOOKUP(D2875,PROVEEDORES!$A:$C,3,0),""),"")</f>
        <v/>
      </c>
      <c r="G2875" s="87"/>
      <c r="H2875" s="46" t="str">
        <f aca="false">IF(G2875&lt;&gt;"",IFERROR(VLOOKUP(G2875,PRODUCTOS!$A:$B,2,0),"!COD NO ENCONTRADO"),"")</f>
        <v/>
      </c>
      <c r="I2875" s="89"/>
      <c r="J2875" s="90"/>
      <c r="K2875" s="91"/>
      <c r="L2875" s="80" t="str">
        <f aca="false">IF(AND(J2875&lt;&gt;"",K2875&lt;&gt;""),J2875*K2875,"")</f>
        <v/>
      </c>
      <c r="M2875" s="81" t="str">
        <f aca="false">IF(L2875&lt;&gt;"",L2875*1.1,"")</f>
        <v/>
      </c>
      <c r="N2875" s="47" t="n">
        <f aca="false">IF(F2875="S",L2875*0.02,0)</f>
        <v>0</v>
      </c>
      <c r="O2875" s="82" t="str">
        <f aca="false">IF(L2875&lt;&gt;"",L2875+N2875,"")</f>
        <v/>
      </c>
      <c r="P2875" s="47" t="str">
        <f aca="false">IF(O2875&lt;&gt;"",O2875*0.1,"")</f>
        <v/>
      </c>
      <c r="Q2875" s="83" t="str">
        <f aca="false">IF(O2875&lt;&gt;"",O2875+P2875,"")</f>
        <v/>
      </c>
      <c r="R2875" s="84"/>
    </row>
    <row r="2876" customFormat="false" ht="15" hidden="false" customHeight="true" outlineLevel="0" collapsed="false">
      <c r="A2876" s="103"/>
      <c r="B2876" s="73"/>
      <c r="C2876" s="74"/>
      <c r="D2876" s="75"/>
      <c r="E2876" s="52" t="str">
        <f aca="false">IF(D2876&lt;&gt;"",IFERROR(VLOOKUP(D2876,PROVEEDORES!$A:$B,2,0),"!COD NO ENCONTRADO"),"")</f>
        <v/>
      </c>
      <c r="F2876" s="76" t="str">
        <f aca="false">IF(D2876&lt;&gt;"",IFERROR(VLOOKUP(D2876,PROVEEDORES!$A:$C,3,0),""),"")</f>
        <v/>
      </c>
      <c r="G2876" s="75"/>
      <c r="H2876" s="52" t="str">
        <f aca="false">IF(G2876&lt;&gt;"",IFERROR(VLOOKUP(G2876,PRODUCTOS!$A:$B,2,0),"!COD NO ENCONTRADO"),"")</f>
        <v/>
      </c>
      <c r="I2876" s="77"/>
      <c r="J2876" s="78"/>
      <c r="K2876" s="79"/>
      <c r="L2876" s="80" t="str">
        <f aca="false">IF(AND(J2876&lt;&gt;"",K2876&lt;&gt;""),J2876*K2876,"")</f>
        <v/>
      </c>
      <c r="M2876" s="81" t="str">
        <f aca="false">IF(L2876&lt;&gt;"",L2876*1.1,"")</f>
        <v/>
      </c>
      <c r="N2876" s="53" t="n">
        <f aca="false">IF(F2876="S",L2876*0.02,0)</f>
        <v>0</v>
      </c>
      <c r="O2876" s="82" t="str">
        <f aca="false">IF(L2876&lt;&gt;"",L2876+N2876,"")</f>
        <v/>
      </c>
      <c r="P2876" s="53" t="str">
        <f aca="false">IF(O2876&lt;&gt;"",O2876*0.1,"")</f>
        <v/>
      </c>
      <c r="Q2876" s="83" t="str">
        <f aca="false">IF(O2876&lt;&gt;"",O2876+P2876,"")</f>
        <v/>
      </c>
      <c r="R2876" s="84"/>
    </row>
    <row r="2877" customFormat="false" ht="15" hidden="false" customHeight="true" outlineLevel="0" collapsed="false">
      <c r="A2877" s="103"/>
      <c r="B2877" s="85"/>
      <c r="C2877" s="86"/>
      <c r="D2877" s="87"/>
      <c r="E2877" s="46" t="str">
        <f aca="false">IF(D2877&lt;&gt;"",IFERROR(VLOOKUP(D2877,PROVEEDORES!$A:$B,2,0),"!COD NO ENCONTRADO"),"")</f>
        <v/>
      </c>
      <c r="F2877" s="88" t="str">
        <f aca="false">IF(D2877&lt;&gt;"",IFERROR(VLOOKUP(D2877,PROVEEDORES!$A:$C,3,0),""),"")</f>
        <v/>
      </c>
      <c r="G2877" s="87"/>
      <c r="H2877" s="46" t="str">
        <f aca="false">IF(G2877&lt;&gt;"",IFERROR(VLOOKUP(G2877,PRODUCTOS!$A:$B,2,0),"!COD NO ENCONTRADO"),"")</f>
        <v/>
      </c>
      <c r="I2877" s="89"/>
      <c r="J2877" s="90"/>
      <c r="K2877" s="91"/>
      <c r="L2877" s="80" t="str">
        <f aca="false">IF(AND(J2877&lt;&gt;"",K2877&lt;&gt;""),J2877*K2877,"")</f>
        <v/>
      </c>
      <c r="M2877" s="81" t="str">
        <f aca="false">IF(L2877&lt;&gt;"",L2877*1.1,"")</f>
        <v/>
      </c>
      <c r="N2877" s="47" t="n">
        <f aca="false">IF(F2877="S",L2877*0.02,0)</f>
        <v>0</v>
      </c>
      <c r="O2877" s="82" t="str">
        <f aca="false">IF(L2877&lt;&gt;"",L2877+N2877,"")</f>
        <v/>
      </c>
      <c r="P2877" s="47" t="str">
        <f aca="false">IF(O2877&lt;&gt;"",O2877*0.1,"")</f>
        <v/>
      </c>
      <c r="Q2877" s="83" t="str">
        <f aca="false">IF(O2877&lt;&gt;"",O2877+P2877,"")</f>
        <v/>
      </c>
      <c r="R2877" s="84"/>
    </row>
    <row r="2878" customFormat="false" ht="15" hidden="false" customHeight="true" outlineLevel="0" collapsed="false">
      <c r="A2878" s="103"/>
      <c r="B2878" s="73"/>
      <c r="C2878" s="74"/>
      <c r="D2878" s="75"/>
      <c r="E2878" s="52" t="str">
        <f aca="false">IF(D2878&lt;&gt;"",IFERROR(VLOOKUP(D2878,PROVEEDORES!$A:$B,2,0),"!COD NO ENCONTRADO"),"")</f>
        <v/>
      </c>
      <c r="F2878" s="76" t="str">
        <f aca="false">IF(D2878&lt;&gt;"",IFERROR(VLOOKUP(D2878,PROVEEDORES!$A:$C,3,0),""),"")</f>
        <v/>
      </c>
      <c r="G2878" s="75"/>
      <c r="H2878" s="52" t="str">
        <f aca="false">IF(G2878&lt;&gt;"",IFERROR(VLOOKUP(G2878,PRODUCTOS!$A:$B,2,0),"!COD NO ENCONTRADO"),"")</f>
        <v/>
      </c>
      <c r="I2878" s="77"/>
      <c r="J2878" s="78"/>
      <c r="K2878" s="79"/>
      <c r="L2878" s="80" t="str">
        <f aca="false">IF(AND(J2878&lt;&gt;"",K2878&lt;&gt;""),J2878*K2878,"")</f>
        <v/>
      </c>
      <c r="M2878" s="81" t="str">
        <f aca="false">IF(L2878&lt;&gt;"",L2878*1.1,"")</f>
        <v/>
      </c>
      <c r="N2878" s="53" t="n">
        <f aca="false">IF(F2878="S",L2878*0.02,0)</f>
        <v>0</v>
      </c>
      <c r="O2878" s="82" t="str">
        <f aca="false">IF(L2878&lt;&gt;"",L2878+N2878,"")</f>
        <v/>
      </c>
      <c r="P2878" s="53" t="str">
        <f aca="false">IF(O2878&lt;&gt;"",O2878*0.1,"")</f>
        <v/>
      </c>
      <c r="Q2878" s="83" t="str">
        <f aca="false">IF(O2878&lt;&gt;"",O2878+P2878,"")</f>
        <v/>
      </c>
      <c r="R2878" s="84"/>
    </row>
    <row r="2879" customFormat="false" ht="15" hidden="false" customHeight="true" outlineLevel="0" collapsed="false">
      <c r="A2879" s="103"/>
      <c r="B2879" s="85"/>
      <c r="C2879" s="86"/>
      <c r="D2879" s="87"/>
      <c r="E2879" s="46" t="str">
        <f aca="false">IF(D2879&lt;&gt;"",IFERROR(VLOOKUP(D2879,PROVEEDORES!$A:$B,2,0),"!COD NO ENCONTRADO"),"")</f>
        <v/>
      </c>
      <c r="F2879" s="88" t="str">
        <f aca="false">IF(D2879&lt;&gt;"",IFERROR(VLOOKUP(D2879,PROVEEDORES!$A:$C,3,0),""),"")</f>
        <v/>
      </c>
      <c r="G2879" s="87"/>
      <c r="H2879" s="46" t="str">
        <f aca="false">IF(G2879&lt;&gt;"",IFERROR(VLOOKUP(G2879,PRODUCTOS!$A:$B,2,0),"!COD NO ENCONTRADO"),"")</f>
        <v/>
      </c>
      <c r="I2879" s="89"/>
      <c r="J2879" s="90"/>
      <c r="K2879" s="91"/>
      <c r="L2879" s="80" t="str">
        <f aca="false">IF(AND(J2879&lt;&gt;"",K2879&lt;&gt;""),J2879*K2879,"")</f>
        <v/>
      </c>
      <c r="M2879" s="81" t="str">
        <f aca="false">IF(L2879&lt;&gt;"",L2879*1.1,"")</f>
        <v/>
      </c>
      <c r="N2879" s="47" t="n">
        <f aca="false">IF(F2879="S",L2879*0.02,0)</f>
        <v>0</v>
      </c>
      <c r="O2879" s="82" t="str">
        <f aca="false">IF(L2879&lt;&gt;"",L2879+N2879,"")</f>
        <v/>
      </c>
      <c r="P2879" s="47" t="str">
        <f aca="false">IF(O2879&lt;&gt;"",O2879*0.1,"")</f>
        <v/>
      </c>
      <c r="Q2879" s="83" t="str">
        <f aca="false">IF(O2879&lt;&gt;"",O2879+P2879,"")</f>
        <v/>
      </c>
      <c r="R2879" s="84"/>
    </row>
    <row r="2880" customFormat="false" ht="15" hidden="false" customHeight="true" outlineLevel="0" collapsed="false">
      <c r="A2880" s="103"/>
      <c r="B2880" s="73"/>
      <c r="C2880" s="74"/>
      <c r="D2880" s="75"/>
      <c r="E2880" s="52" t="str">
        <f aca="false">IF(D2880&lt;&gt;"",IFERROR(VLOOKUP(D2880,PROVEEDORES!$A:$B,2,0),"!COD NO ENCONTRADO"),"")</f>
        <v/>
      </c>
      <c r="F2880" s="76" t="str">
        <f aca="false">IF(D2880&lt;&gt;"",IFERROR(VLOOKUP(D2880,PROVEEDORES!$A:$C,3,0),""),"")</f>
        <v/>
      </c>
      <c r="G2880" s="75"/>
      <c r="H2880" s="52" t="str">
        <f aca="false">IF(G2880&lt;&gt;"",IFERROR(VLOOKUP(G2880,PRODUCTOS!$A:$B,2,0),"!COD NO ENCONTRADO"),"")</f>
        <v/>
      </c>
      <c r="I2880" s="77"/>
      <c r="J2880" s="78"/>
      <c r="K2880" s="79"/>
      <c r="L2880" s="80" t="str">
        <f aca="false">IF(AND(J2880&lt;&gt;"",K2880&lt;&gt;""),J2880*K2880,"")</f>
        <v/>
      </c>
      <c r="M2880" s="81" t="str">
        <f aca="false">IF(L2880&lt;&gt;"",L2880*1.1,"")</f>
        <v/>
      </c>
      <c r="N2880" s="53" t="n">
        <f aca="false">IF(F2880="S",L2880*0.02,0)</f>
        <v>0</v>
      </c>
      <c r="O2880" s="82" t="str">
        <f aca="false">IF(L2880&lt;&gt;"",L2880+N2880,"")</f>
        <v/>
      </c>
      <c r="P2880" s="53" t="str">
        <f aca="false">IF(O2880&lt;&gt;"",O2880*0.1,"")</f>
        <v/>
      </c>
      <c r="Q2880" s="83" t="str">
        <f aca="false">IF(O2880&lt;&gt;"",O2880+P2880,"")</f>
        <v/>
      </c>
      <c r="R2880" s="84"/>
    </row>
    <row r="2881" customFormat="false" ht="15" hidden="false" customHeight="true" outlineLevel="0" collapsed="false">
      <c r="A2881" s="103"/>
      <c r="B2881" s="85"/>
      <c r="C2881" s="86"/>
      <c r="D2881" s="87"/>
      <c r="E2881" s="46" t="str">
        <f aca="false">IF(D2881&lt;&gt;"",IFERROR(VLOOKUP(D2881,PROVEEDORES!$A:$B,2,0),"!COD NO ENCONTRADO"),"")</f>
        <v/>
      </c>
      <c r="F2881" s="88" t="str">
        <f aca="false">IF(D2881&lt;&gt;"",IFERROR(VLOOKUP(D2881,PROVEEDORES!$A:$C,3,0),""),"")</f>
        <v/>
      </c>
      <c r="G2881" s="87"/>
      <c r="H2881" s="46" t="str">
        <f aca="false">IF(G2881&lt;&gt;"",IFERROR(VLOOKUP(G2881,PRODUCTOS!$A:$B,2,0),"!COD NO ENCONTRADO"),"")</f>
        <v/>
      </c>
      <c r="I2881" s="89"/>
      <c r="J2881" s="90"/>
      <c r="K2881" s="91"/>
      <c r="L2881" s="80" t="str">
        <f aca="false">IF(AND(J2881&lt;&gt;"",K2881&lt;&gt;""),J2881*K2881,"")</f>
        <v/>
      </c>
      <c r="M2881" s="81" t="str">
        <f aca="false">IF(L2881&lt;&gt;"",L2881*1.1,"")</f>
        <v/>
      </c>
      <c r="N2881" s="47" t="n">
        <f aca="false">IF(F2881="S",L2881*0.02,0)</f>
        <v>0</v>
      </c>
      <c r="O2881" s="82" t="str">
        <f aca="false">IF(L2881&lt;&gt;"",L2881+N2881,"")</f>
        <v/>
      </c>
      <c r="P2881" s="47" t="str">
        <f aca="false">IF(O2881&lt;&gt;"",O2881*0.1,"")</f>
        <v/>
      </c>
      <c r="Q2881" s="83" t="str">
        <f aca="false">IF(O2881&lt;&gt;"",O2881+P2881,"")</f>
        <v/>
      </c>
      <c r="R2881" s="84"/>
    </row>
    <row r="2882" customFormat="false" ht="15" hidden="false" customHeight="true" outlineLevel="0" collapsed="false">
      <c r="A2882" s="103"/>
      <c r="B2882" s="73"/>
      <c r="C2882" s="74"/>
      <c r="D2882" s="75"/>
      <c r="E2882" s="52" t="str">
        <f aca="false">IF(D2882&lt;&gt;"",IFERROR(VLOOKUP(D2882,PROVEEDORES!$A:$B,2,0),"!COD NO ENCONTRADO"),"")</f>
        <v/>
      </c>
      <c r="F2882" s="76" t="str">
        <f aca="false">IF(D2882&lt;&gt;"",IFERROR(VLOOKUP(D2882,PROVEEDORES!$A:$C,3,0),""),"")</f>
        <v/>
      </c>
      <c r="G2882" s="75"/>
      <c r="H2882" s="52" t="str">
        <f aca="false">IF(G2882&lt;&gt;"",IFERROR(VLOOKUP(G2882,PRODUCTOS!$A:$B,2,0),"!COD NO ENCONTRADO"),"")</f>
        <v/>
      </c>
      <c r="I2882" s="77"/>
      <c r="J2882" s="78"/>
      <c r="K2882" s="79"/>
      <c r="L2882" s="80" t="str">
        <f aca="false">IF(AND(J2882&lt;&gt;"",K2882&lt;&gt;""),J2882*K2882,"")</f>
        <v/>
      </c>
      <c r="M2882" s="81" t="str">
        <f aca="false">IF(L2882&lt;&gt;"",L2882*1.1,"")</f>
        <v/>
      </c>
      <c r="N2882" s="53" t="n">
        <f aca="false">IF(F2882="S",L2882*0.02,0)</f>
        <v>0</v>
      </c>
      <c r="O2882" s="82" t="str">
        <f aca="false">IF(L2882&lt;&gt;"",L2882+N2882,"")</f>
        <v/>
      </c>
      <c r="P2882" s="53" t="str">
        <f aca="false">IF(O2882&lt;&gt;"",O2882*0.1,"")</f>
        <v/>
      </c>
      <c r="Q2882" s="83" t="str">
        <f aca="false">IF(O2882&lt;&gt;"",O2882+P2882,"")</f>
        <v/>
      </c>
      <c r="R2882" s="84"/>
    </row>
    <row r="2883" customFormat="false" ht="15" hidden="false" customHeight="true" outlineLevel="0" collapsed="false">
      <c r="A2883" s="103"/>
      <c r="B2883" s="85"/>
      <c r="C2883" s="86"/>
      <c r="D2883" s="87"/>
      <c r="E2883" s="46" t="str">
        <f aca="false">IF(D2883&lt;&gt;"",IFERROR(VLOOKUP(D2883,PROVEEDORES!$A:$B,2,0),"!COD NO ENCONTRADO"),"")</f>
        <v/>
      </c>
      <c r="F2883" s="88" t="str">
        <f aca="false">IF(D2883&lt;&gt;"",IFERROR(VLOOKUP(D2883,PROVEEDORES!$A:$C,3,0),""),"")</f>
        <v/>
      </c>
      <c r="G2883" s="87"/>
      <c r="H2883" s="46" t="str">
        <f aca="false">IF(G2883&lt;&gt;"",IFERROR(VLOOKUP(G2883,PRODUCTOS!$A:$B,2,0),"!COD NO ENCONTRADO"),"")</f>
        <v/>
      </c>
      <c r="I2883" s="89"/>
      <c r="J2883" s="90"/>
      <c r="K2883" s="91"/>
      <c r="L2883" s="80" t="str">
        <f aca="false">IF(AND(J2883&lt;&gt;"",K2883&lt;&gt;""),J2883*K2883,"")</f>
        <v/>
      </c>
      <c r="M2883" s="81" t="str">
        <f aca="false">IF(L2883&lt;&gt;"",L2883*1.1,"")</f>
        <v/>
      </c>
      <c r="N2883" s="47" t="n">
        <f aca="false">IF(F2883="S",L2883*0.02,0)</f>
        <v>0</v>
      </c>
      <c r="O2883" s="82" t="str">
        <f aca="false">IF(L2883&lt;&gt;"",L2883+N2883,"")</f>
        <v/>
      </c>
      <c r="P2883" s="47" t="str">
        <f aca="false">IF(O2883&lt;&gt;"",O2883*0.1,"")</f>
        <v/>
      </c>
      <c r="Q2883" s="83" t="str">
        <f aca="false">IF(O2883&lt;&gt;"",O2883+P2883,"")</f>
        <v/>
      </c>
      <c r="R2883" s="84"/>
    </row>
    <row r="2884" customFormat="false" ht="15" hidden="false" customHeight="true" outlineLevel="0" collapsed="false">
      <c r="A2884" s="103"/>
      <c r="B2884" s="73"/>
      <c r="C2884" s="74"/>
      <c r="D2884" s="75"/>
      <c r="E2884" s="52" t="str">
        <f aca="false">IF(D2884&lt;&gt;"",IFERROR(VLOOKUP(D2884,PROVEEDORES!$A:$B,2,0),"!COD NO ENCONTRADO"),"")</f>
        <v/>
      </c>
      <c r="F2884" s="76" t="str">
        <f aca="false">IF(D2884&lt;&gt;"",IFERROR(VLOOKUP(D2884,PROVEEDORES!$A:$C,3,0),""),"")</f>
        <v/>
      </c>
      <c r="G2884" s="75"/>
      <c r="H2884" s="52" t="str">
        <f aca="false">IF(G2884&lt;&gt;"",IFERROR(VLOOKUP(G2884,PRODUCTOS!$A:$B,2,0),"!COD NO ENCONTRADO"),"")</f>
        <v/>
      </c>
      <c r="I2884" s="77"/>
      <c r="J2884" s="78"/>
      <c r="K2884" s="79"/>
      <c r="L2884" s="80" t="str">
        <f aca="false">IF(AND(J2884&lt;&gt;"",K2884&lt;&gt;""),J2884*K2884,"")</f>
        <v/>
      </c>
      <c r="M2884" s="81" t="str">
        <f aca="false">IF(L2884&lt;&gt;"",L2884*1.1,"")</f>
        <v/>
      </c>
      <c r="N2884" s="53" t="n">
        <f aca="false">IF(F2884="S",L2884*0.02,0)</f>
        <v>0</v>
      </c>
      <c r="O2884" s="82" t="str">
        <f aca="false">IF(L2884&lt;&gt;"",L2884+N2884,"")</f>
        <v/>
      </c>
      <c r="P2884" s="53" t="str">
        <f aca="false">IF(O2884&lt;&gt;"",O2884*0.1,"")</f>
        <v/>
      </c>
      <c r="Q2884" s="83" t="str">
        <f aca="false">IF(O2884&lt;&gt;"",O2884+P2884,"")</f>
        <v/>
      </c>
      <c r="R2884" s="84"/>
    </row>
    <row r="2885" customFormat="false" ht="15" hidden="false" customHeight="true" outlineLevel="0" collapsed="false">
      <c r="A2885" s="103"/>
      <c r="B2885" s="85"/>
      <c r="C2885" s="86"/>
      <c r="D2885" s="87"/>
      <c r="E2885" s="46" t="str">
        <f aca="false">IF(D2885&lt;&gt;"",IFERROR(VLOOKUP(D2885,PROVEEDORES!$A:$B,2,0),"!COD NO ENCONTRADO"),"")</f>
        <v/>
      </c>
      <c r="F2885" s="88" t="str">
        <f aca="false">IF(D2885&lt;&gt;"",IFERROR(VLOOKUP(D2885,PROVEEDORES!$A:$C,3,0),""),"")</f>
        <v/>
      </c>
      <c r="G2885" s="87"/>
      <c r="H2885" s="46" t="str">
        <f aca="false">IF(G2885&lt;&gt;"",IFERROR(VLOOKUP(G2885,PRODUCTOS!$A:$B,2,0),"!COD NO ENCONTRADO"),"")</f>
        <v/>
      </c>
      <c r="I2885" s="89"/>
      <c r="J2885" s="90"/>
      <c r="K2885" s="91"/>
      <c r="L2885" s="80" t="str">
        <f aca="false">IF(AND(J2885&lt;&gt;"",K2885&lt;&gt;""),J2885*K2885,"")</f>
        <v/>
      </c>
      <c r="M2885" s="81" t="str">
        <f aca="false">IF(L2885&lt;&gt;"",L2885*1.1,"")</f>
        <v/>
      </c>
      <c r="N2885" s="47" t="n">
        <f aca="false">IF(F2885="S",L2885*0.02,0)</f>
        <v>0</v>
      </c>
      <c r="O2885" s="82" t="str">
        <f aca="false">IF(L2885&lt;&gt;"",L2885+N2885,"")</f>
        <v/>
      </c>
      <c r="P2885" s="47" t="str">
        <f aca="false">IF(O2885&lt;&gt;"",O2885*0.1,"")</f>
        <v/>
      </c>
      <c r="Q2885" s="83" t="str">
        <f aca="false">IF(O2885&lt;&gt;"",O2885+P2885,"")</f>
        <v/>
      </c>
      <c r="R2885" s="84"/>
    </row>
    <row r="2886" customFormat="false" ht="15" hidden="false" customHeight="true" outlineLevel="0" collapsed="false">
      <c r="A2886" s="103"/>
      <c r="B2886" s="73"/>
      <c r="C2886" s="74"/>
      <c r="D2886" s="75"/>
      <c r="E2886" s="52" t="str">
        <f aca="false">IF(D2886&lt;&gt;"",IFERROR(VLOOKUP(D2886,PROVEEDORES!$A:$B,2,0),"!COD NO ENCONTRADO"),"")</f>
        <v/>
      </c>
      <c r="F2886" s="76" t="str">
        <f aca="false">IF(D2886&lt;&gt;"",IFERROR(VLOOKUP(D2886,PROVEEDORES!$A:$C,3,0),""),"")</f>
        <v/>
      </c>
      <c r="G2886" s="75"/>
      <c r="H2886" s="52" t="str">
        <f aca="false">IF(G2886&lt;&gt;"",IFERROR(VLOOKUP(G2886,PRODUCTOS!$A:$B,2,0),"!COD NO ENCONTRADO"),"")</f>
        <v/>
      </c>
      <c r="I2886" s="77"/>
      <c r="J2886" s="78"/>
      <c r="K2886" s="79"/>
      <c r="L2886" s="80" t="str">
        <f aca="false">IF(AND(J2886&lt;&gt;"",K2886&lt;&gt;""),J2886*K2886,"")</f>
        <v/>
      </c>
      <c r="M2886" s="81" t="str">
        <f aca="false">IF(L2886&lt;&gt;"",L2886*1.1,"")</f>
        <v/>
      </c>
      <c r="N2886" s="53" t="n">
        <f aca="false">IF(F2886="S",L2886*0.02,0)</f>
        <v>0</v>
      </c>
      <c r="O2886" s="82" t="str">
        <f aca="false">IF(L2886&lt;&gt;"",L2886+N2886,"")</f>
        <v/>
      </c>
      <c r="P2886" s="53" t="str">
        <f aca="false">IF(O2886&lt;&gt;"",O2886*0.1,"")</f>
        <v/>
      </c>
      <c r="Q2886" s="83" t="str">
        <f aca="false">IF(O2886&lt;&gt;"",O2886+P2886,"")</f>
        <v/>
      </c>
      <c r="R2886" s="84"/>
    </row>
    <row r="2887" customFormat="false" ht="15" hidden="false" customHeight="true" outlineLevel="0" collapsed="false">
      <c r="A2887" s="103"/>
      <c r="B2887" s="85"/>
      <c r="C2887" s="86"/>
      <c r="D2887" s="87"/>
      <c r="E2887" s="46" t="str">
        <f aca="false">IF(D2887&lt;&gt;"",IFERROR(VLOOKUP(D2887,PROVEEDORES!$A:$B,2,0),"!COD NO ENCONTRADO"),"")</f>
        <v/>
      </c>
      <c r="F2887" s="88" t="str">
        <f aca="false">IF(D2887&lt;&gt;"",IFERROR(VLOOKUP(D2887,PROVEEDORES!$A:$C,3,0),""),"")</f>
        <v/>
      </c>
      <c r="G2887" s="87"/>
      <c r="H2887" s="46" t="str">
        <f aca="false">IF(G2887&lt;&gt;"",IFERROR(VLOOKUP(G2887,PRODUCTOS!$A:$B,2,0),"!COD NO ENCONTRADO"),"")</f>
        <v/>
      </c>
      <c r="I2887" s="89"/>
      <c r="J2887" s="90"/>
      <c r="K2887" s="91"/>
      <c r="L2887" s="80" t="str">
        <f aca="false">IF(AND(J2887&lt;&gt;"",K2887&lt;&gt;""),J2887*K2887,"")</f>
        <v/>
      </c>
      <c r="M2887" s="81" t="str">
        <f aca="false">IF(L2887&lt;&gt;"",L2887*1.1,"")</f>
        <v/>
      </c>
      <c r="N2887" s="47" t="n">
        <f aca="false">IF(F2887="S",L2887*0.02,0)</f>
        <v>0</v>
      </c>
      <c r="O2887" s="82" t="str">
        <f aca="false">IF(L2887&lt;&gt;"",L2887+N2887,"")</f>
        <v/>
      </c>
      <c r="P2887" s="47" t="str">
        <f aca="false">IF(O2887&lt;&gt;"",O2887*0.1,"")</f>
        <v/>
      </c>
      <c r="Q2887" s="83" t="str">
        <f aca="false">IF(O2887&lt;&gt;"",O2887+P2887,"")</f>
        <v/>
      </c>
      <c r="R2887" s="84"/>
    </row>
    <row r="2888" customFormat="false" ht="15" hidden="false" customHeight="true" outlineLevel="0" collapsed="false">
      <c r="A2888" s="103"/>
      <c r="B2888" s="73"/>
      <c r="C2888" s="74"/>
      <c r="D2888" s="75"/>
      <c r="E2888" s="52" t="str">
        <f aca="false">IF(D2888&lt;&gt;"",IFERROR(VLOOKUP(D2888,PROVEEDORES!$A:$B,2,0),"!COD NO ENCONTRADO"),"")</f>
        <v/>
      </c>
      <c r="F2888" s="76" t="str">
        <f aca="false">IF(D2888&lt;&gt;"",IFERROR(VLOOKUP(D2888,PROVEEDORES!$A:$C,3,0),""),"")</f>
        <v/>
      </c>
      <c r="G2888" s="75"/>
      <c r="H2888" s="52" t="str">
        <f aca="false">IF(G2888&lt;&gt;"",IFERROR(VLOOKUP(G2888,PRODUCTOS!$A:$B,2,0),"!COD NO ENCONTRADO"),"")</f>
        <v/>
      </c>
      <c r="I2888" s="77"/>
      <c r="J2888" s="78"/>
      <c r="K2888" s="79"/>
      <c r="L2888" s="80" t="str">
        <f aca="false">IF(AND(J2888&lt;&gt;"",K2888&lt;&gt;""),J2888*K2888,"")</f>
        <v/>
      </c>
      <c r="M2888" s="81" t="str">
        <f aca="false">IF(L2888&lt;&gt;"",L2888*1.1,"")</f>
        <v/>
      </c>
      <c r="N2888" s="53" t="n">
        <f aca="false">IF(F2888="S",L2888*0.02,0)</f>
        <v>0</v>
      </c>
      <c r="O2888" s="82" t="str">
        <f aca="false">IF(L2888&lt;&gt;"",L2888+N2888,"")</f>
        <v/>
      </c>
      <c r="P2888" s="53" t="str">
        <f aca="false">IF(O2888&lt;&gt;"",O2888*0.1,"")</f>
        <v/>
      </c>
      <c r="Q2888" s="83" t="str">
        <f aca="false">IF(O2888&lt;&gt;"",O2888+P2888,"")</f>
        <v/>
      </c>
      <c r="R2888" s="84"/>
    </row>
    <row r="2889" customFormat="false" ht="15" hidden="false" customHeight="true" outlineLevel="0" collapsed="false">
      <c r="A2889" s="103"/>
      <c r="B2889" s="85"/>
      <c r="C2889" s="86"/>
      <c r="D2889" s="87"/>
      <c r="E2889" s="46" t="str">
        <f aca="false">IF(D2889&lt;&gt;"",IFERROR(VLOOKUP(D2889,PROVEEDORES!$A:$B,2,0),"!COD NO ENCONTRADO"),"")</f>
        <v/>
      </c>
      <c r="F2889" s="88" t="str">
        <f aca="false">IF(D2889&lt;&gt;"",IFERROR(VLOOKUP(D2889,PROVEEDORES!$A:$C,3,0),""),"")</f>
        <v/>
      </c>
      <c r="G2889" s="87"/>
      <c r="H2889" s="46" t="str">
        <f aca="false">IF(G2889&lt;&gt;"",IFERROR(VLOOKUP(G2889,PRODUCTOS!$A:$B,2,0),"!COD NO ENCONTRADO"),"")</f>
        <v/>
      </c>
      <c r="I2889" s="89"/>
      <c r="J2889" s="90"/>
      <c r="K2889" s="91"/>
      <c r="L2889" s="80" t="str">
        <f aca="false">IF(AND(J2889&lt;&gt;"",K2889&lt;&gt;""),J2889*K2889,"")</f>
        <v/>
      </c>
      <c r="M2889" s="81" t="str">
        <f aca="false">IF(L2889&lt;&gt;"",L2889*1.1,"")</f>
        <v/>
      </c>
      <c r="N2889" s="47" t="n">
        <f aca="false">IF(F2889="S",L2889*0.02,0)</f>
        <v>0</v>
      </c>
      <c r="O2889" s="82" t="str">
        <f aca="false">IF(L2889&lt;&gt;"",L2889+N2889,"")</f>
        <v/>
      </c>
      <c r="P2889" s="47" t="str">
        <f aca="false">IF(O2889&lt;&gt;"",O2889*0.1,"")</f>
        <v/>
      </c>
      <c r="Q2889" s="83" t="str">
        <f aca="false">IF(O2889&lt;&gt;"",O2889+P2889,"")</f>
        <v/>
      </c>
      <c r="R2889" s="84"/>
    </row>
    <row r="2890" customFormat="false" ht="15" hidden="false" customHeight="true" outlineLevel="0" collapsed="false">
      <c r="A2890" s="103"/>
      <c r="B2890" s="73"/>
      <c r="C2890" s="74"/>
      <c r="D2890" s="75"/>
      <c r="E2890" s="52" t="str">
        <f aca="false">IF(D2890&lt;&gt;"",IFERROR(VLOOKUP(D2890,PROVEEDORES!$A:$B,2,0),"!COD NO ENCONTRADO"),"")</f>
        <v/>
      </c>
      <c r="F2890" s="76" t="str">
        <f aca="false">IF(D2890&lt;&gt;"",IFERROR(VLOOKUP(D2890,PROVEEDORES!$A:$C,3,0),""),"")</f>
        <v/>
      </c>
      <c r="G2890" s="75"/>
      <c r="H2890" s="52" t="str">
        <f aca="false">IF(G2890&lt;&gt;"",IFERROR(VLOOKUP(G2890,PRODUCTOS!$A:$B,2,0),"!COD NO ENCONTRADO"),"")</f>
        <v/>
      </c>
      <c r="I2890" s="77"/>
      <c r="J2890" s="78"/>
      <c r="K2890" s="79"/>
      <c r="L2890" s="80" t="str">
        <f aca="false">IF(AND(J2890&lt;&gt;"",K2890&lt;&gt;""),J2890*K2890,"")</f>
        <v/>
      </c>
      <c r="M2890" s="81" t="str">
        <f aca="false">IF(L2890&lt;&gt;"",L2890*1.1,"")</f>
        <v/>
      </c>
      <c r="N2890" s="53" t="n">
        <f aca="false">IF(F2890="S",L2890*0.02,0)</f>
        <v>0</v>
      </c>
      <c r="O2890" s="82" t="str">
        <f aca="false">IF(L2890&lt;&gt;"",L2890+N2890,"")</f>
        <v/>
      </c>
      <c r="P2890" s="53" t="str">
        <f aca="false">IF(O2890&lt;&gt;"",O2890*0.1,"")</f>
        <v/>
      </c>
      <c r="Q2890" s="83" t="str">
        <f aca="false">IF(O2890&lt;&gt;"",O2890+P2890,"")</f>
        <v/>
      </c>
      <c r="R2890" s="84"/>
    </row>
    <row r="2891" customFormat="false" ht="15" hidden="false" customHeight="true" outlineLevel="0" collapsed="false">
      <c r="A2891" s="103"/>
      <c r="B2891" s="85"/>
      <c r="C2891" s="86"/>
      <c r="D2891" s="87"/>
      <c r="E2891" s="46" t="str">
        <f aca="false">IF(D2891&lt;&gt;"",IFERROR(VLOOKUP(D2891,PROVEEDORES!$A:$B,2,0),"!COD NO ENCONTRADO"),"")</f>
        <v/>
      </c>
      <c r="F2891" s="88" t="str">
        <f aca="false">IF(D2891&lt;&gt;"",IFERROR(VLOOKUP(D2891,PROVEEDORES!$A:$C,3,0),""),"")</f>
        <v/>
      </c>
      <c r="G2891" s="87"/>
      <c r="H2891" s="46" t="str">
        <f aca="false">IF(G2891&lt;&gt;"",IFERROR(VLOOKUP(G2891,PRODUCTOS!$A:$B,2,0),"!COD NO ENCONTRADO"),"")</f>
        <v/>
      </c>
      <c r="I2891" s="89"/>
      <c r="J2891" s="90"/>
      <c r="K2891" s="91"/>
      <c r="L2891" s="80" t="str">
        <f aca="false">IF(AND(J2891&lt;&gt;"",K2891&lt;&gt;""),J2891*K2891,"")</f>
        <v/>
      </c>
      <c r="M2891" s="81" t="str">
        <f aca="false">IF(L2891&lt;&gt;"",L2891*1.1,"")</f>
        <v/>
      </c>
      <c r="N2891" s="47" t="n">
        <f aca="false">IF(F2891="S",L2891*0.02,0)</f>
        <v>0</v>
      </c>
      <c r="O2891" s="82" t="str">
        <f aca="false">IF(L2891&lt;&gt;"",L2891+N2891,"")</f>
        <v/>
      </c>
      <c r="P2891" s="47" t="str">
        <f aca="false">IF(O2891&lt;&gt;"",O2891*0.1,"")</f>
        <v/>
      </c>
      <c r="Q2891" s="83" t="str">
        <f aca="false">IF(O2891&lt;&gt;"",O2891+P2891,"")</f>
        <v/>
      </c>
      <c r="R2891" s="84"/>
    </row>
    <row r="2892" customFormat="false" ht="15" hidden="false" customHeight="true" outlineLevel="0" collapsed="false">
      <c r="A2892" s="103"/>
      <c r="B2892" s="73"/>
      <c r="C2892" s="74"/>
      <c r="D2892" s="75"/>
      <c r="E2892" s="52" t="str">
        <f aca="false">IF(D2892&lt;&gt;"",IFERROR(VLOOKUP(D2892,PROVEEDORES!$A:$B,2,0),"!COD NO ENCONTRADO"),"")</f>
        <v/>
      </c>
      <c r="F2892" s="76" t="str">
        <f aca="false">IF(D2892&lt;&gt;"",IFERROR(VLOOKUP(D2892,PROVEEDORES!$A:$C,3,0),""),"")</f>
        <v/>
      </c>
      <c r="G2892" s="75"/>
      <c r="H2892" s="52" t="str">
        <f aca="false">IF(G2892&lt;&gt;"",IFERROR(VLOOKUP(G2892,PRODUCTOS!$A:$B,2,0),"!COD NO ENCONTRADO"),"")</f>
        <v/>
      </c>
      <c r="I2892" s="77"/>
      <c r="J2892" s="78"/>
      <c r="K2892" s="79"/>
      <c r="L2892" s="80" t="str">
        <f aca="false">IF(AND(J2892&lt;&gt;"",K2892&lt;&gt;""),J2892*K2892,"")</f>
        <v/>
      </c>
      <c r="M2892" s="81" t="str">
        <f aca="false">IF(L2892&lt;&gt;"",L2892*1.1,"")</f>
        <v/>
      </c>
      <c r="N2892" s="53" t="n">
        <f aca="false">IF(F2892="S",L2892*0.02,0)</f>
        <v>0</v>
      </c>
      <c r="O2892" s="82" t="str">
        <f aca="false">IF(L2892&lt;&gt;"",L2892+N2892,"")</f>
        <v/>
      </c>
      <c r="P2892" s="53" t="str">
        <f aca="false">IF(O2892&lt;&gt;"",O2892*0.1,"")</f>
        <v/>
      </c>
      <c r="Q2892" s="83" t="str">
        <f aca="false">IF(O2892&lt;&gt;"",O2892+P2892,"")</f>
        <v/>
      </c>
      <c r="R2892" s="84"/>
    </row>
    <row r="2893" customFormat="false" ht="15" hidden="false" customHeight="true" outlineLevel="0" collapsed="false">
      <c r="A2893" s="103"/>
      <c r="B2893" s="85"/>
      <c r="C2893" s="86"/>
      <c r="D2893" s="87"/>
      <c r="E2893" s="46" t="str">
        <f aca="false">IF(D2893&lt;&gt;"",IFERROR(VLOOKUP(D2893,PROVEEDORES!$A:$B,2,0),"!COD NO ENCONTRADO"),"")</f>
        <v/>
      </c>
      <c r="F2893" s="88" t="str">
        <f aca="false">IF(D2893&lt;&gt;"",IFERROR(VLOOKUP(D2893,PROVEEDORES!$A:$C,3,0),""),"")</f>
        <v/>
      </c>
      <c r="G2893" s="87"/>
      <c r="H2893" s="46" t="str">
        <f aca="false">IF(G2893&lt;&gt;"",IFERROR(VLOOKUP(G2893,PRODUCTOS!$A:$B,2,0),"!COD NO ENCONTRADO"),"")</f>
        <v/>
      </c>
      <c r="I2893" s="89"/>
      <c r="J2893" s="90"/>
      <c r="K2893" s="91"/>
      <c r="L2893" s="80" t="str">
        <f aca="false">IF(AND(J2893&lt;&gt;"",K2893&lt;&gt;""),J2893*K2893,"")</f>
        <v/>
      </c>
      <c r="M2893" s="81" t="str">
        <f aca="false">IF(L2893&lt;&gt;"",L2893*1.1,"")</f>
        <v/>
      </c>
      <c r="N2893" s="47" t="n">
        <f aca="false">IF(F2893="S",L2893*0.02,0)</f>
        <v>0</v>
      </c>
      <c r="O2893" s="82" t="str">
        <f aca="false">IF(L2893&lt;&gt;"",L2893+N2893,"")</f>
        <v/>
      </c>
      <c r="P2893" s="47" t="str">
        <f aca="false">IF(O2893&lt;&gt;"",O2893*0.1,"")</f>
        <v/>
      </c>
      <c r="Q2893" s="83" t="str">
        <f aca="false">IF(O2893&lt;&gt;"",O2893+P2893,"")</f>
        <v/>
      </c>
      <c r="R2893" s="84"/>
    </row>
    <row r="2894" customFormat="false" ht="15" hidden="false" customHeight="true" outlineLevel="0" collapsed="false">
      <c r="A2894" s="103"/>
      <c r="B2894" s="73"/>
      <c r="C2894" s="74"/>
      <c r="D2894" s="75"/>
      <c r="E2894" s="52" t="str">
        <f aca="false">IF(D2894&lt;&gt;"",IFERROR(VLOOKUP(D2894,PROVEEDORES!$A:$B,2,0),"!COD NO ENCONTRADO"),"")</f>
        <v/>
      </c>
      <c r="F2894" s="76" t="str">
        <f aca="false">IF(D2894&lt;&gt;"",IFERROR(VLOOKUP(D2894,PROVEEDORES!$A:$C,3,0),""),"")</f>
        <v/>
      </c>
      <c r="G2894" s="75"/>
      <c r="H2894" s="52" t="str">
        <f aca="false">IF(G2894&lt;&gt;"",IFERROR(VLOOKUP(G2894,PRODUCTOS!$A:$B,2,0),"!COD NO ENCONTRADO"),"")</f>
        <v/>
      </c>
      <c r="I2894" s="77"/>
      <c r="J2894" s="78"/>
      <c r="K2894" s="79"/>
      <c r="L2894" s="80" t="str">
        <f aca="false">IF(AND(J2894&lt;&gt;"",K2894&lt;&gt;""),J2894*K2894,"")</f>
        <v/>
      </c>
      <c r="M2894" s="81" t="str">
        <f aca="false">IF(L2894&lt;&gt;"",L2894*1.1,"")</f>
        <v/>
      </c>
      <c r="N2894" s="53" t="n">
        <f aca="false">IF(F2894="S",L2894*0.02,0)</f>
        <v>0</v>
      </c>
      <c r="O2894" s="82" t="str">
        <f aca="false">IF(L2894&lt;&gt;"",L2894+N2894,"")</f>
        <v/>
      </c>
      <c r="P2894" s="53" t="str">
        <f aca="false">IF(O2894&lt;&gt;"",O2894*0.1,"")</f>
        <v/>
      </c>
      <c r="Q2894" s="83" t="str">
        <f aca="false">IF(O2894&lt;&gt;"",O2894+P2894,"")</f>
        <v/>
      </c>
      <c r="R2894" s="84"/>
    </row>
    <row r="2895" customFormat="false" ht="15" hidden="false" customHeight="true" outlineLevel="0" collapsed="false">
      <c r="A2895" s="103"/>
      <c r="B2895" s="85"/>
      <c r="C2895" s="86"/>
      <c r="D2895" s="87"/>
      <c r="E2895" s="46" t="str">
        <f aca="false">IF(D2895&lt;&gt;"",IFERROR(VLOOKUP(D2895,PROVEEDORES!$A:$B,2,0),"!COD NO ENCONTRADO"),"")</f>
        <v/>
      </c>
      <c r="F2895" s="88" t="str">
        <f aca="false">IF(D2895&lt;&gt;"",IFERROR(VLOOKUP(D2895,PROVEEDORES!$A:$C,3,0),""),"")</f>
        <v/>
      </c>
      <c r="G2895" s="87"/>
      <c r="H2895" s="46" t="str">
        <f aca="false">IF(G2895&lt;&gt;"",IFERROR(VLOOKUP(G2895,PRODUCTOS!$A:$B,2,0),"!COD NO ENCONTRADO"),"")</f>
        <v/>
      </c>
      <c r="I2895" s="89"/>
      <c r="J2895" s="90"/>
      <c r="K2895" s="91"/>
      <c r="L2895" s="80" t="str">
        <f aca="false">IF(AND(J2895&lt;&gt;"",K2895&lt;&gt;""),J2895*K2895,"")</f>
        <v/>
      </c>
      <c r="M2895" s="81" t="str">
        <f aca="false">IF(L2895&lt;&gt;"",L2895*1.1,"")</f>
        <v/>
      </c>
      <c r="N2895" s="47" t="n">
        <f aca="false">IF(F2895="S",L2895*0.02,0)</f>
        <v>0</v>
      </c>
      <c r="O2895" s="82" t="str">
        <f aca="false">IF(L2895&lt;&gt;"",L2895+N2895,"")</f>
        <v/>
      </c>
      <c r="P2895" s="47" t="str">
        <f aca="false">IF(O2895&lt;&gt;"",O2895*0.1,"")</f>
        <v/>
      </c>
      <c r="Q2895" s="83" t="str">
        <f aca="false">IF(O2895&lt;&gt;"",O2895+P2895,"")</f>
        <v/>
      </c>
      <c r="R2895" s="84"/>
    </row>
    <row r="2896" customFormat="false" ht="15" hidden="false" customHeight="true" outlineLevel="0" collapsed="false">
      <c r="A2896" s="103"/>
      <c r="B2896" s="73"/>
      <c r="C2896" s="74"/>
      <c r="D2896" s="75"/>
      <c r="E2896" s="52" t="str">
        <f aca="false">IF(D2896&lt;&gt;"",IFERROR(VLOOKUP(D2896,PROVEEDORES!$A:$B,2,0),"!COD NO ENCONTRADO"),"")</f>
        <v/>
      </c>
      <c r="F2896" s="76" t="str">
        <f aca="false">IF(D2896&lt;&gt;"",IFERROR(VLOOKUP(D2896,PROVEEDORES!$A:$C,3,0),""),"")</f>
        <v/>
      </c>
      <c r="G2896" s="75"/>
      <c r="H2896" s="52" t="str">
        <f aca="false">IF(G2896&lt;&gt;"",IFERROR(VLOOKUP(G2896,PRODUCTOS!$A:$B,2,0),"!COD NO ENCONTRADO"),"")</f>
        <v/>
      </c>
      <c r="I2896" s="77"/>
      <c r="J2896" s="78"/>
      <c r="K2896" s="79"/>
      <c r="L2896" s="80" t="str">
        <f aca="false">IF(AND(J2896&lt;&gt;"",K2896&lt;&gt;""),J2896*K2896,"")</f>
        <v/>
      </c>
      <c r="M2896" s="81" t="str">
        <f aca="false">IF(L2896&lt;&gt;"",L2896*1.1,"")</f>
        <v/>
      </c>
      <c r="N2896" s="53" t="n">
        <f aca="false">IF(F2896="S",L2896*0.02,0)</f>
        <v>0</v>
      </c>
      <c r="O2896" s="82" t="str">
        <f aca="false">IF(L2896&lt;&gt;"",L2896+N2896,"")</f>
        <v/>
      </c>
      <c r="P2896" s="53" t="str">
        <f aca="false">IF(O2896&lt;&gt;"",O2896*0.1,"")</f>
        <v/>
      </c>
      <c r="Q2896" s="83" t="str">
        <f aca="false">IF(O2896&lt;&gt;"",O2896+P2896,"")</f>
        <v/>
      </c>
      <c r="R2896" s="84"/>
    </row>
    <row r="2897" customFormat="false" ht="15" hidden="false" customHeight="true" outlineLevel="0" collapsed="false">
      <c r="A2897" s="103"/>
      <c r="B2897" s="85"/>
      <c r="C2897" s="86"/>
      <c r="D2897" s="87"/>
      <c r="E2897" s="46" t="str">
        <f aca="false">IF(D2897&lt;&gt;"",IFERROR(VLOOKUP(D2897,PROVEEDORES!$A:$B,2,0),"!COD NO ENCONTRADO"),"")</f>
        <v/>
      </c>
      <c r="F2897" s="88" t="str">
        <f aca="false">IF(D2897&lt;&gt;"",IFERROR(VLOOKUP(D2897,PROVEEDORES!$A:$C,3,0),""),"")</f>
        <v/>
      </c>
      <c r="G2897" s="87"/>
      <c r="H2897" s="46" t="str">
        <f aca="false">IF(G2897&lt;&gt;"",IFERROR(VLOOKUP(G2897,PRODUCTOS!$A:$B,2,0),"!COD NO ENCONTRADO"),"")</f>
        <v/>
      </c>
      <c r="I2897" s="89"/>
      <c r="J2897" s="90"/>
      <c r="K2897" s="91"/>
      <c r="L2897" s="80" t="str">
        <f aca="false">IF(AND(J2897&lt;&gt;"",K2897&lt;&gt;""),J2897*K2897,"")</f>
        <v/>
      </c>
      <c r="M2897" s="81" t="str">
        <f aca="false">IF(L2897&lt;&gt;"",L2897*1.1,"")</f>
        <v/>
      </c>
      <c r="N2897" s="47" t="n">
        <f aca="false">IF(F2897="S",L2897*0.02,0)</f>
        <v>0</v>
      </c>
      <c r="O2897" s="82" t="str">
        <f aca="false">IF(L2897&lt;&gt;"",L2897+N2897,"")</f>
        <v/>
      </c>
      <c r="P2897" s="47" t="str">
        <f aca="false">IF(O2897&lt;&gt;"",O2897*0.1,"")</f>
        <v/>
      </c>
      <c r="Q2897" s="83" t="str">
        <f aca="false">IF(O2897&lt;&gt;"",O2897+P2897,"")</f>
        <v/>
      </c>
      <c r="R2897" s="84"/>
    </row>
    <row r="2898" customFormat="false" ht="15" hidden="false" customHeight="true" outlineLevel="0" collapsed="false">
      <c r="A2898" s="103"/>
      <c r="B2898" s="73"/>
      <c r="C2898" s="74"/>
      <c r="D2898" s="75"/>
      <c r="E2898" s="52" t="str">
        <f aca="false">IF(D2898&lt;&gt;"",IFERROR(VLOOKUP(D2898,PROVEEDORES!$A:$B,2,0),"!COD NO ENCONTRADO"),"")</f>
        <v/>
      </c>
      <c r="F2898" s="76" t="str">
        <f aca="false">IF(D2898&lt;&gt;"",IFERROR(VLOOKUP(D2898,PROVEEDORES!$A:$C,3,0),""),"")</f>
        <v/>
      </c>
      <c r="G2898" s="75"/>
      <c r="H2898" s="52" t="str">
        <f aca="false">IF(G2898&lt;&gt;"",IFERROR(VLOOKUP(G2898,PRODUCTOS!$A:$B,2,0),"!COD NO ENCONTRADO"),"")</f>
        <v/>
      </c>
      <c r="I2898" s="77"/>
      <c r="J2898" s="78"/>
      <c r="K2898" s="79"/>
      <c r="L2898" s="80" t="str">
        <f aca="false">IF(AND(J2898&lt;&gt;"",K2898&lt;&gt;""),J2898*K2898,"")</f>
        <v/>
      </c>
      <c r="M2898" s="81" t="str">
        <f aca="false">IF(L2898&lt;&gt;"",L2898*1.1,"")</f>
        <v/>
      </c>
      <c r="N2898" s="53" t="n">
        <f aca="false">IF(F2898="S",L2898*0.02,0)</f>
        <v>0</v>
      </c>
      <c r="O2898" s="82" t="str">
        <f aca="false">IF(L2898&lt;&gt;"",L2898+N2898,"")</f>
        <v/>
      </c>
      <c r="P2898" s="53" t="str">
        <f aca="false">IF(O2898&lt;&gt;"",O2898*0.1,"")</f>
        <v/>
      </c>
      <c r="Q2898" s="83" t="str">
        <f aca="false">IF(O2898&lt;&gt;"",O2898+P2898,"")</f>
        <v/>
      </c>
      <c r="R2898" s="84"/>
    </row>
    <row r="2899" customFormat="false" ht="15" hidden="false" customHeight="true" outlineLevel="0" collapsed="false">
      <c r="A2899" s="103"/>
      <c r="B2899" s="85"/>
      <c r="C2899" s="86"/>
      <c r="D2899" s="87"/>
      <c r="E2899" s="46" t="str">
        <f aca="false">IF(D2899&lt;&gt;"",IFERROR(VLOOKUP(D2899,PROVEEDORES!$A:$B,2,0),"!COD NO ENCONTRADO"),"")</f>
        <v/>
      </c>
      <c r="F2899" s="88" t="str">
        <f aca="false">IF(D2899&lt;&gt;"",IFERROR(VLOOKUP(D2899,PROVEEDORES!$A:$C,3,0),""),"")</f>
        <v/>
      </c>
      <c r="G2899" s="87"/>
      <c r="H2899" s="46" t="str">
        <f aca="false">IF(G2899&lt;&gt;"",IFERROR(VLOOKUP(G2899,PRODUCTOS!$A:$B,2,0),"!COD NO ENCONTRADO"),"")</f>
        <v/>
      </c>
      <c r="I2899" s="89"/>
      <c r="J2899" s="90"/>
      <c r="K2899" s="91"/>
      <c r="L2899" s="80" t="str">
        <f aca="false">IF(AND(J2899&lt;&gt;"",K2899&lt;&gt;""),J2899*K2899,"")</f>
        <v/>
      </c>
      <c r="M2899" s="81" t="str">
        <f aca="false">IF(L2899&lt;&gt;"",L2899*1.1,"")</f>
        <v/>
      </c>
      <c r="N2899" s="47" t="n">
        <f aca="false">IF(F2899="S",L2899*0.02,0)</f>
        <v>0</v>
      </c>
      <c r="O2899" s="82" t="str">
        <f aca="false">IF(L2899&lt;&gt;"",L2899+N2899,"")</f>
        <v/>
      </c>
      <c r="P2899" s="47" t="str">
        <f aca="false">IF(O2899&lt;&gt;"",O2899*0.1,"")</f>
        <v/>
      </c>
      <c r="Q2899" s="83" t="str">
        <f aca="false">IF(O2899&lt;&gt;"",O2899+P2899,"")</f>
        <v/>
      </c>
      <c r="R2899" s="84"/>
    </row>
    <row r="2900" customFormat="false" ht="15" hidden="false" customHeight="true" outlineLevel="0" collapsed="false">
      <c r="A2900" s="103"/>
      <c r="B2900" s="73"/>
      <c r="C2900" s="74"/>
      <c r="D2900" s="75"/>
      <c r="E2900" s="52" t="str">
        <f aca="false">IF(D2900&lt;&gt;"",IFERROR(VLOOKUP(D2900,PROVEEDORES!$A:$B,2,0),"!COD NO ENCONTRADO"),"")</f>
        <v/>
      </c>
      <c r="F2900" s="76" t="str">
        <f aca="false">IF(D2900&lt;&gt;"",IFERROR(VLOOKUP(D2900,PROVEEDORES!$A:$C,3,0),""),"")</f>
        <v/>
      </c>
      <c r="G2900" s="75"/>
      <c r="H2900" s="52" t="str">
        <f aca="false">IF(G2900&lt;&gt;"",IFERROR(VLOOKUP(G2900,PRODUCTOS!$A:$B,2,0),"!COD NO ENCONTRADO"),"")</f>
        <v/>
      </c>
      <c r="I2900" s="77"/>
      <c r="J2900" s="78"/>
      <c r="K2900" s="79"/>
      <c r="L2900" s="80" t="str">
        <f aca="false">IF(AND(J2900&lt;&gt;"",K2900&lt;&gt;""),J2900*K2900,"")</f>
        <v/>
      </c>
      <c r="M2900" s="81" t="str">
        <f aca="false">IF(L2900&lt;&gt;"",L2900*1.1,"")</f>
        <v/>
      </c>
      <c r="N2900" s="53" t="n">
        <f aca="false">IF(F2900="S",L2900*0.02,0)</f>
        <v>0</v>
      </c>
      <c r="O2900" s="82" t="str">
        <f aca="false">IF(L2900&lt;&gt;"",L2900+N2900,"")</f>
        <v/>
      </c>
      <c r="P2900" s="53" t="str">
        <f aca="false">IF(O2900&lt;&gt;"",O2900*0.1,"")</f>
        <v/>
      </c>
      <c r="Q2900" s="83" t="str">
        <f aca="false">IF(O2900&lt;&gt;"",O2900+P2900,"")</f>
        <v/>
      </c>
      <c r="R2900" s="84"/>
    </row>
    <row r="2901" customFormat="false" ht="15" hidden="false" customHeight="true" outlineLevel="0" collapsed="false">
      <c r="A2901" s="103"/>
      <c r="B2901" s="85"/>
      <c r="C2901" s="86"/>
      <c r="D2901" s="87"/>
      <c r="E2901" s="46" t="str">
        <f aca="false">IF(D2901&lt;&gt;"",IFERROR(VLOOKUP(D2901,PROVEEDORES!$A:$B,2,0),"!COD NO ENCONTRADO"),"")</f>
        <v/>
      </c>
      <c r="F2901" s="88" t="str">
        <f aca="false">IF(D2901&lt;&gt;"",IFERROR(VLOOKUP(D2901,PROVEEDORES!$A:$C,3,0),""),"")</f>
        <v/>
      </c>
      <c r="G2901" s="87"/>
      <c r="H2901" s="46" t="str">
        <f aca="false">IF(G2901&lt;&gt;"",IFERROR(VLOOKUP(G2901,PRODUCTOS!$A:$B,2,0),"!COD NO ENCONTRADO"),"")</f>
        <v/>
      </c>
      <c r="I2901" s="89"/>
      <c r="J2901" s="90"/>
      <c r="K2901" s="91"/>
      <c r="L2901" s="80" t="str">
        <f aca="false">IF(AND(J2901&lt;&gt;"",K2901&lt;&gt;""),J2901*K2901,"")</f>
        <v/>
      </c>
      <c r="M2901" s="81" t="str">
        <f aca="false">IF(L2901&lt;&gt;"",L2901*1.1,"")</f>
        <v/>
      </c>
      <c r="N2901" s="47" t="n">
        <f aca="false">IF(F2901="S",L2901*0.02,0)</f>
        <v>0</v>
      </c>
      <c r="O2901" s="82" t="str">
        <f aca="false">IF(L2901&lt;&gt;"",L2901+N2901,"")</f>
        <v/>
      </c>
      <c r="P2901" s="47" t="str">
        <f aca="false">IF(O2901&lt;&gt;"",O2901*0.1,"")</f>
        <v/>
      </c>
      <c r="Q2901" s="83" t="str">
        <f aca="false">IF(O2901&lt;&gt;"",O2901+P2901,"")</f>
        <v/>
      </c>
      <c r="R2901" s="84"/>
    </row>
    <row r="2902" customFormat="false" ht="15" hidden="false" customHeight="true" outlineLevel="0" collapsed="false">
      <c r="A2902" s="103"/>
      <c r="B2902" s="73"/>
      <c r="C2902" s="74"/>
      <c r="D2902" s="75"/>
      <c r="E2902" s="52" t="str">
        <f aca="false">IF(D2902&lt;&gt;"",IFERROR(VLOOKUP(D2902,PROVEEDORES!$A:$B,2,0),"!COD NO ENCONTRADO"),"")</f>
        <v/>
      </c>
      <c r="F2902" s="76" t="str">
        <f aca="false">IF(D2902&lt;&gt;"",IFERROR(VLOOKUP(D2902,PROVEEDORES!$A:$C,3,0),""),"")</f>
        <v/>
      </c>
      <c r="G2902" s="75"/>
      <c r="H2902" s="52" t="str">
        <f aca="false">IF(G2902&lt;&gt;"",IFERROR(VLOOKUP(G2902,PRODUCTOS!$A:$B,2,0),"!COD NO ENCONTRADO"),"")</f>
        <v/>
      </c>
      <c r="I2902" s="77"/>
      <c r="J2902" s="78"/>
      <c r="K2902" s="79"/>
      <c r="L2902" s="80" t="str">
        <f aca="false">IF(AND(J2902&lt;&gt;"",K2902&lt;&gt;""),J2902*K2902,"")</f>
        <v/>
      </c>
      <c r="M2902" s="81" t="str">
        <f aca="false">IF(L2902&lt;&gt;"",L2902*1.1,"")</f>
        <v/>
      </c>
      <c r="N2902" s="53" t="n">
        <f aca="false">IF(F2902="S",L2902*0.02,0)</f>
        <v>0</v>
      </c>
      <c r="O2902" s="82" t="str">
        <f aca="false">IF(L2902&lt;&gt;"",L2902+N2902,"")</f>
        <v/>
      </c>
      <c r="P2902" s="53" t="str">
        <f aca="false">IF(O2902&lt;&gt;"",O2902*0.1,"")</f>
        <v/>
      </c>
      <c r="Q2902" s="83" t="str">
        <f aca="false">IF(O2902&lt;&gt;"",O2902+P2902,"")</f>
        <v/>
      </c>
      <c r="R2902" s="84"/>
    </row>
    <row r="2903" customFormat="false" ht="15" hidden="false" customHeight="true" outlineLevel="0" collapsed="false">
      <c r="A2903" s="103"/>
      <c r="B2903" s="85"/>
      <c r="C2903" s="86"/>
      <c r="D2903" s="87"/>
      <c r="E2903" s="46" t="str">
        <f aca="false">IF(D2903&lt;&gt;"",IFERROR(VLOOKUP(D2903,PROVEEDORES!$A:$B,2,0),"!COD NO ENCONTRADO"),"")</f>
        <v/>
      </c>
      <c r="F2903" s="88" t="str">
        <f aca="false">IF(D2903&lt;&gt;"",IFERROR(VLOOKUP(D2903,PROVEEDORES!$A:$C,3,0),""),"")</f>
        <v/>
      </c>
      <c r="G2903" s="87"/>
      <c r="H2903" s="46" t="str">
        <f aca="false">IF(G2903&lt;&gt;"",IFERROR(VLOOKUP(G2903,PRODUCTOS!$A:$B,2,0),"!COD NO ENCONTRADO"),"")</f>
        <v/>
      </c>
      <c r="I2903" s="89"/>
      <c r="J2903" s="90"/>
      <c r="K2903" s="91"/>
      <c r="L2903" s="80" t="str">
        <f aca="false">IF(AND(J2903&lt;&gt;"",K2903&lt;&gt;""),J2903*K2903,"")</f>
        <v/>
      </c>
      <c r="M2903" s="81" t="str">
        <f aca="false">IF(L2903&lt;&gt;"",L2903*1.1,"")</f>
        <v/>
      </c>
      <c r="N2903" s="47" t="n">
        <f aca="false">IF(F2903="S",L2903*0.02,0)</f>
        <v>0</v>
      </c>
      <c r="O2903" s="82" t="str">
        <f aca="false">IF(L2903&lt;&gt;"",L2903+N2903,"")</f>
        <v/>
      </c>
      <c r="P2903" s="47" t="str">
        <f aca="false">IF(O2903&lt;&gt;"",O2903*0.1,"")</f>
        <v/>
      </c>
      <c r="Q2903" s="83" t="str">
        <f aca="false">IF(O2903&lt;&gt;"",O2903+P2903,"")</f>
        <v/>
      </c>
      <c r="R2903" s="84"/>
    </row>
    <row r="2904" customFormat="false" ht="15" hidden="false" customHeight="true" outlineLevel="0" collapsed="false">
      <c r="A2904" s="103"/>
      <c r="B2904" s="73"/>
      <c r="C2904" s="74"/>
      <c r="D2904" s="75"/>
      <c r="E2904" s="52" t="str">
        <f aca="false">IF(D2904&lt;&gt;"",IFERROR(VLOOKUP(D2904,PROVEEDORES!$A:$B,2,0),"!COD NO ENCONTRADO"),"")</f>
        <v/>
      </c>
      <c r="F2904" s="76" t="str">
        <f aca="false">IF(D2904&lt;&gt;"",IFERROR(VLOOKUP(D2904,PROVEEDORES!$A:$C,3,0),""),"")</f>
        <v/>
      </c>
      <c r="G2904" s="75"/>
      <c r="H2904" s="52" t="str">
        <f aca="false">IF(G2904&lt;&gt;"",IFERROR(VLOOKUP(G2904,PRODUCTOS!$A:$B,2,0),"!COD NO ENCONTRADO"),"")</f>
        <v/>
      </c>
      <c r="I2904" s="77"/>
      <c r="J2904" s="78"/>
      <c r="K2904" s="79"/>
      <c r="L2904" s="80" t="str">
        <f aca="false">IF(AND(J2904&lt;&gt;"",K2904&lt;&gt;""),J2904*K2904,"")</f>
        <v/>
      </c>
      <c r="M2904" s="81" t="str">
        <f aca="false">IF(L2904&lt;&gt;"",L2904*1.1,"")</f>
        <v/>
      </c>
      <c r="N2904" s="53" t="n">
        <f aca="false">IF(F2904="S",L2904*0.02,0)</f>
        <v>0</v>
      </c>
      <c r="O2904" s="82" t="str">
        <f aca="false">IF(L2904&lt;&gt;"",L2904+N2904,"")</f>
        <v/>
      </c>
      <c r="P2904" s="53" t="str">
        <f aca="false">IF(O2904&lt;&gt;"",O2904*0.1,"")</f>
        <v/>
      </c>
      <c r="Q2904" s="83" t="str">
        <f aca="false">IF(O2904&lt;&gt;"",O2904+P2904,"")</f>
        <v/>
      </c>
      <c r="R2904" s="84"/>
    </row>
    <row r="2905" customFormat="false" ht="15" hidden="false" customHeight="true" outlineLevel="0" collapsed="false">
      <c r="A2905" s="103"/>
      <c r="B2905" s="85"/>
      <c r="C2905" s="86"/>
      <c r="D2905" s="87"/>
      <c r="E2905" s="46" t="str">
        <f aca="false">IF(D2905&lt;&gt;"",IFERROR(VLOOKUP(D2905,PROVEEDORES!$A:$B,2,0),"!COD NO ENCONTRADO"),"")</f>
        <v/>
      </c>
      <c r="F2905" s="88" t="str">
        <f aca="false">IF(D2905&lt;&gt;"",IFERROR(VLOOKUP(D2905,PROVEEDORES!$A:$C,3,0),""),"")</f>
        <v/>
      </c>
      <c r="G2905" s="87"/>
      <c r="H2905" s="46" t="str">
        <f aca="false">IF(G2905&lt;&gt;"",IFERROR(VLOOKUP(G2905,PRODUCTOS!$A:$B,2,0),"!COD NO ENCONTRADO"),"")</f>
        <v/>
      </c>
      <c r="I2905" s="89"/>
      <c r="J2905" s="90"/>
      <c r="K2905" s="91"/>
      <c r="L2905" s="80" t="str">
        <f aca="false">IF(AND(J2905&lt;&gt;"",K2905&lt;&gt;""),J2905*K2905,"")</f>
        <v/>
      </c>
      <c r="M2905" s="81" t="str">
        <f aca="false">IF(L2905&lt;&gt;"",L2905*1.1,"")</f>
        <v/>
      </c>
      <c r="N2905" s="47" t="n">
        <f aca="false">IF(F2905="S",L2905*0.02,0)</f>
        <v>0</v>
      </c>
      <c r="O2905" s="82" t="str">
        <f aca="false">IF(L2905&lt;&gt;"",L2905+N2905,"")</f>
        <v/>
      </c>
      <c r="P2905" s="47" t="str">
        <f aca="false">IF(O2905&lt;&gt;"",O2905*0.1,"")</f>
        <v/>
      </c>
      <c r="Q2905" s="83" t="str">
        <f aca="false">IF(O2905&lt;&gt;"",O2905+P2905,"")</f>
        <v/>
      </c>
      <c r="R2905" s="84"/>
    </row>
    <row r="2906" customFormat="false" ht="15" hidden="false" customHeight="true" outlineLevel="0" collapsed="false">
      <c r="A2906" s="103"/>
      <c r="B2906" s="73"/>
      <c r="C2906" s="74"/>
      <c r="D2906" s="75"/>
      <c r="E2906" s="52" t="str">
        <f aca="false">IF(D2906&lt;&gt;"",IFERROR(VLOOKUP(D2906,PROVEEDORES!$A:$B,2,0),"!COD NO ENCONTRADO"),"")</f>
        <v/>
      </c>
      <c r="F2906" s="76" t="str">
        <f aca="false">IF(D2906&lt;&gt;"",IFERROR(VLOOKUP(D2906,PROVEEDORES!$A:$C,3,0),""),"")</f>
        <v/>
      </c>
      <c r="G2906" s="75"/>
      <c r="H2906" s="52" t="str">
        <f aca="false">IF(G2906&lt;&gt;"",IFERROR(VLOOKUP(G2906,PRODUCTOS!$A:$B,2,0),"!COD NO ENCONTRADO"),"")</f>
        <v/>
      </c>
      <c r="I2906" s="77"/>
      <c r="J2906" s="78"/>
      <c r="K2906" s="79"/>
      <c r="L2906" s="80" t="str">
        <f aca="false">IF(AND(J2906&lt;&gt;"",K2906&lt;&gt;""),J2906*K2906,"")</f>
        <v/>
      </c>
      <c r="M2906" s="81" t="str">
        <f aca="false">IF(L2906&lt;&gt;"",L2906*1.1,"")</f>
        <v/>
      </c>
      <c r="N2906" s="53" t="n">
        <f aca="false">IF(F2906="S",L2906*0.02,0)</f>
        <v>0</v>
      </c>
      <c r="O2906" s="82" t="str">
        <f aca="false">IF(L2906&lt;&gt;"",L2906+N2906,"")</f>
        <v/>
      </c>
      <c r="P2906" s="53" t="str">
        <f aca="false">IF(O2906&lt;&gt;"",O2906*0.1,"")</f>
        <v/>
      </c>
      <c r="Q2906" s="83" t="str">
        <f aca="false">IF(O2906&lt;&gt;"",O2906+P2906,"")</f>
        <v/>
      </c>
      <c r="R2906" s="84"/>
    </row>
    <row r="2907" customFormat="false" ht="15" hidden="false" customHeight="true" outlineLevel="0" collapsed="false">
      <c r="A2907" s="103"/>
      <c r="B2907" s="85"/>
      <c r="C2907" s="86"/>
      <c r="D2907" s="87"/>
      <c r="E2907" s="46" t="str">
        <f aca="false">IF(D2907&lt;&gt;"",IFERROR(VLOOKUP(D2907,PROVEEDORES!$A:$B,2,0),"!COD NO ENCONTRADO"),"")</f>
        <v/>
      </c>
      <c r="F2907" s="88" t="str">
        <f aca="false">IF(D2907&lt;&gt;"",IFERROR(VLOOKUP(D2907,PROVEEDORES!$A:$C,3,0),""),"")</f>
        <v/>
      </c>
      <c r="G2907" s="87"/>
      <c r="H2907" s="46" t="str">
        <f aca="false">IF(G2907&lt;&gt;"",IFERROR(VLOOKUP(G2907,PRODUCTOS!$A:$B,2,0),"!COD NO ENCONTRADO"),"")</f>
        <v/>
      </c>
      <c r="I2907" s="89"/>
      <c r="J2907" s="90"/>
      <c r="K2907" s="91"/>
      <c r="L2907" s="80" t="str">
        <f aca="false">IF(AND(J2907&lt;&gt;"",K2907&lt;&gt;""),J2907*K2907,"")</f>
        <v/>
      </c>
      <c r="M2907" s="81" t="str">
        <f aca="false">IF(L2907&lt;&gt;"",L2907*1.1,"")</f>
        <v/>
      </c>
      <c r="N2907" s="47" t="n">
        <f aca="false">IF(F2907="S",L2907*0.02,0)</f>
        <v>0</v>
      </c>
      <c r="O2907" s="82" t="str">
        <f aca="false">IF(L2907&lt;&gt;"",L2907+N2907,"")</f>
        <v/>
      </c>
      <c r="P2907" s="47" t="str">
        <f aca="false">IF(O2907&lt;&gt;"",O2907*0.1,"")</f>
        <v/>
      </c>
      <c r="Q2907" s="83" t="str">
        <f aca="false">IF(O2907&lt;&gt;"",O2907+P2907,"")</f>
        <v/>
      </c>
      <c r="R2907" s="84"/>
    </row>
    <row r="2908" customFormat="false" ht="15" hidden="false" customHeight="true" outlineLevel="0" collapsed="false">
      <c r="A2908" s="103"/>
      <c r="B2908" s="73"/>
      <c r="C2908" s="74"/>
      <c r="D2908" s="75"/>
      <c r="E2908" s="52" t="str">
        <f aca="false">IF(D2908&lt;&gt;"",IFERROR(VLOOKUP(D2908,PROVEEDORES!$A:$B,2,0),"!COD NO ENCONTRADO"),"")</f>
        <v/>
      </c>
      <c r="F2908" s="76" t="str">
        <f aca="false">IF(D2908&lt;&gt;"",IFERROR(VLOOKUP(D2908,PROVEEDORES!$A:$C,3,0),""),"")</f>
        <v/>
      </c>
      <c r="G2908" s="75"/>
      <c r="H2908" s="52" t="str">
        <f aca="false">IF(G2908&lt;&gt;"",IFERROR(VLOOKUP(G2908,PRODUCTOS!$A:$B,2,0),"!COD NO ENCONTRADO"),"")</f>
        <v/>
      </c>
      <c r="I2908" s="77"/>
      <c r="J2908" s="78"/>
      <c r="K2908" s="79"/>
      <c r="L2908" s="80" t="str">
        <f aca="false">IF(AND(J2908&lt;&gt;"",K2908&lt;&gt;""),J2908*K2908,"")</f>
        <v/>
      </c>
      <c r="M2908" s="81" t="str">
        <f aca="false">IF(L2908&lt;&gt;"",L2908*1.1,"")</f>
        <v/>
      </c>
      <c r="N2908" s="53" t="n">
        <f aca="false">IF(F2908="S",L2908*0.02,0)</f>
        <v>0</v>
      </c>
      <c r="O2908" s="82" t="str">
        <f aca="false">IF(L2908&lt;&gt;"",L2908+N2908,"")</f>
        <v/>
      </c>
      <c r="P2908" s="53" t="str">
        <f aca="false">IF(O2908&lt;&gt;"",O2908*0.1,"")</f>
        <v/>
      </c>
      <c r="Q2908" s="83" t="str">
        <f aca="false">IF(O2908&lt;&gt;"",O2908+P2908,"")</f>
        <v/>
      </c>
      <c r="R2908" s="84"/>
    </row>
    <row r="2909" customFormat="false" ht="15" hidden="false" customHeight="true" outlineLevel="0" collapsed="false">
      <c r="A2909" s="103"/>
      <c r="B2909" s="85"/>
      <c r="C2909" s="86"/>
      <c r="D2909" s="87"/>
      <c r="E2909" s="46" t="str">
        <f aca="false">IF(D2909&lt;&gt;"",IFERROR(VLOOKUP(D2909,PROVEEDORES!$A:$B,2,0),"!COD NO ENCONTRADO"),"")</f>
        <v/>
      </c>
      <c r="F2909" s="88" t="str">
        <f aca="false">IF(D2909&lt;&gt;"",IFERROR(VLOOKUP(D2909,PROVEEDORES!$A:$C,3,0),""),"")</f>
        <v/>
      </c>
      <c r="G2909" s="87"/>
      <c r="H2909" s="46" t="str">
        <f aca="false">IF(G2909&lt;&gt;"",IFERROR(VLOOKUP(G2909,PRODUCTOS!$A:$B,2,0),"!COD NO ENCONTRADO"),"")</f>
        <v/>
      </c>
      <c r="I2909" s="89"/>
      <c r="J2909" s="90"/>
      <c r="K2909" s="91"/>
      <c r="L2909" s="80" t="str">
        <f aca="false">IF(AND(J2909&lt;&gt;"",K2909&lt;&gt;""),J2909*K2909,"")</f>
        <v/>
      </c>
      <c r="M2909" s="81" t="str">
        <f aca="false">IF(L2909&lt;&gt;"",L2909*1.1,"")</f>
        <v/>
      </c>
      <c r="N2909" s="47" t="n">
        <f aca="false">IF(F2909="S",L2909*0.02,0)</f>
        <v>0</v>
      </c>
      <c r="O2909" s="82" t="str">
        <f aca="false">IF(L2909&lt;&gt;"",L2909+N2909,"")</f>
        <v/>
      </c>
      <c r="P2909" s="47" t="str">
        <f aca="false">IF(O2909&lt;&gt;"",O2909*0.1,"")</f>
        <v/>
      </c>
      <c r="Q2909" s="83" t="str">
        <f aca="false">IF(O2909&lt;&gt;"",O2909+P2909,"")</f>
        <v/>
      </c>
      <c r="R2909" s="84"/>
    </row>
    <row r="2910" customFormat="false" ht="15" hidden="false" customHeight="true" outlineLevel="0" collapsed="false">
      <c r="A2910" s="103"/>
      <c r="B2910" s="73"/>
      <c r="C2910" s="74"/>
      <c r="D2910" s="75"/>
      <c r="E2910" s="52" t="str">
        <f aca="false">IF(D2910&lt;&gt;"",IFERROR(VLOOKUP(D2910,PROVEEDORES!$A:$B,2,0),"!COD NO ENCONTRADO"),"")</f>
        <v/>
      </c>
      <c r="F2910" s="76" t="str">
        <f aca="false">IF(D2910&lt;&gt;"",IFERROR(VLOOKUP(D2910,PROVEEDORES!$A:$C,3,0),""),"")</f>
        <v/>
      </c>
      <c r="G2910" s="75"/>
      <c r="H2910" s="52" t="str">
        <f aca="false">IF(G2910&lt;&gt;"",IFERROR(VLOOKUP(G2910,PRODUCTOS!$A:$B,2,0),"!COD NO ENCONTRADO"),"")</f>
        <v/>
      </c>
      <c r="I2910" s="77"/>
      <c r="J2910" s="78"/>
      <c r="K2910" s="79"/>
      <c r="L2910" s="80" t="str">
        <f aca="false">IF(AND(J2910&lt;&gt;"",K2910&lt;&gt;""),J2910*K2910,"")</f>
        <v/>
      </c>
      <c r="M2910" s="81" t="str">
        <f aca="false">IF(L2910&lt;&gt;"",L2910*1.1,"")</f>
        <v/>
      </c>
      <c r="N2910" s="53" t="n">
        <f aca="false">IF(F2910="S",L2910*0.02,0)</f>
        <v>0</v>
      </c>
      <c r="O2910" s="82" t="str">
        <f aca="false">IF(L2910&lt;&gt;"",L2910+N2910,"")</f>
        <v/>
      </c>
      <c r="P2910" s="53" t="str">
        <f aca="false">IF(O2910&lt;&gt;"",O2910*0.1,"")</f>
        <v/>
      </c>
      <c r="Q2910" s="83" t="str">
        <f aca="false">IF(O2910&lt;&gt;"",O2910+P2910,"")</f>
        <v/>
      </c>
      <c r="R2910" s="84"/>
    </row>
    <row r="2911" customFormat="false" ht="15" hidden="false" customHeight="true" outlineLevel="0" collapsed="false">
      <c r="A2911" s="103"/>
      <c r="B2911" s="85"/>
      <c r="C2911" s="86"/>
      <c r="D2911" s="87"/>
      <c r="E2911" s="46" t="str">
        <f aca="false">IF(D2911&lt;&gt;"",IFERROR(VLOOKUP(D2911,PROVEEDORES!$A:$B,2,0),"!COD NO ENCONTRADO"),"")</f>
        <v/>
      </c>
      <c r="F2911" s="88" t="str">
        <f aca="false">IF(D2911&lt;&gt;"",IFERROR(VLOOKUP(D2911,PROVEEDORES!$A:$C,3,0),""),"")</f>
        <v/>
      </c>
      <c r="G2911" s="87"/>
      <c r="H2911" s="46" t="str">
        <f aca="false">IF(G2911&lt;&gt;"",IFERROR(VLOOKUP(G2911,PRODUCTOS!$A:$B,2,0),"!COD NO ENCONTRADO"),"")</f>
        <v/>
      </c>
      <c r="I2911" s="89"/>
      <c r="J2911" s="90"/>
      <c r="K2911" s="91"/>
      <c r="L2911" s="80" t="str">
        <f aca="false">IF(AND(J2911&lt;&gt;"",K2911&lt;&gt;""),J2911*K2911,"")</f>
        <v/>
      </c>
      <c r="M2911" s="81" t="str">
        <f aca="false">IF(L2911&lt;&gt;"",L2911*1.1,"")</f>
        <v/>
      </c>
      <c r="N2911" s="47" t="n">
        <f aca="false">IF(F2911="S",L2911*0.02,0)</f>
        <v>0</v>
      </c>
      <c r="O2911" s="82" t="str">
        <f aca="false">IF(L2911&lt;&gt;"",L2911+N2911,"")</f>
        <v/>
      </c>
      <c r="P2911" s="47" t="str">
        <f aca="false">IF(O2911&lt;&gt;"",O2911*0.1,"")</f>
        <v/>
      </c>
      <c r="Q2911" s="83" t="str">
        <f aca="false">IF(O2911&lt;&gt;"",O2911+P2911,"")</f>
        <v/>
      </c>
      <c r="R2911" s="84"/>
    </row>
    <row r="2912" customFormat="false" ht="15" hidden="false" customHeight="true" outlineLevel="0" collapsed="false">
      <c r="A2912" s="103"/>
      <c r="B2912" s="73"/>
      <c r="C2912" s="74"/>
      <c r="D2912" s="75"/>
      <c r="E2912" s="52" t="str">
        <f aca="false">IF(D2912&lt;&gt;"",IFERROR(VLOOKUP(D2912,PROVEEDORES!$A:$B,2,0),"!COD NO ENCONTRADO"),"")</f>
        <v/>
      </c>
      <c r="F2912" s="76" t="str">
        <f aca="false">IF(D2912&lt;&gt;"",IFERROR(VLOOKUP(D2912,PROVEEDORES!$A:$C,3,0),""),"")</f>
        <v/>
      </c>
      <c r="G2912" s="75"/>
      <c r="H2912" s="52" t="str">
        <f aca="false">IF(G2912&lt;&gt;"",IFERROR(VLOOKUP(G2912,PRODUCTOS!$A:$B,2,0),"!COD NO ENCONTRADO"),"")</f>
        <v/>
      </c>
      <c r="I2912" s="77"/>
      <c r="J2912" s="78"/>
      <c r="K2912" s="79"/>
      <c r="L2912" s="80" t="str">
        <f aca="false">IF(AND(J2912&lt;&gt;"",K2912&lt;&gt;""),J2912*K2912,"")</f>
        <v/>
      </c>
      <c r="M2912" s="81" t="str">
        <f aca="false">IF(L2912&lt;&gt;"",L2912*1.1,"")</f>
        <v/>
      </c>
      <c r="N2912" s="53" t="n">
        <f aca="false">IF(F2912="S",L2912*0.02,0)</f>
        <v>0</v>
      </c>
      <c r="O2912" s="82" t="str">
        <f aca="false">IF(L2912&lt;&gt;"",L2912+N2912,"")</f>
        <v/>
      </c>
      <c r="P2912" s="53" t="str">
        <f aca="false">IF(O2912&lt;&gt;"",O2912*0.1,"")</f>
        <v/>
      </c>
      <c r="Q2912" s="83" t="str">
        <f aca="false">IF(O2912&lt;&gt;"",O2912+P2912,"")</f>
        <v/>
      </c>
      <c r="R2912" s="84"/>
    </row>
    <row r="2913" customFormat="false" ht="15" hidden="false" customHeight="true" outlineLevel="0" collapsed="false">
      <c r="A2913" s="103"/>
      <c r="B2913" s="85"/>
      <c r="C2913" s="86"/>
      <c r="D2913" s="87"/>
      <c r="E2913" s="46" t="str">
        <f aca="false">IF(D2913&lt;&gt;"",IFERROR(VLOOKUP(D2913,PROVEEDORES!$A:$B,2,0),"!COD NO ENCONTRADO"),"")</f>
        <v/>
      </c>
      <c r="F2913" s="88" t="str">
        <f aca="false">IF(D2913&lt;&gt;"",IFERROR(VLOOKUP(D2913,PROVEEDORES!$A:$C,3,0),""),"")</f>
        <v/>
      </c>
      <c r="G2913" s="87"/>
      <c r="H2913" s="46" t="str">
        <f aca="false">IF(G2913&lt;&gt;"",IFERROR(VLOOKUP(G2913,PRODUCTOS!$A:$B,2,0),"!COD NO ENCONTRADO"),"")</f>
        <v/>
      </c>
      <c r="I2913" s="89"/>
      <c r="J2913" s="90"/>
      <c r="K2913" s="91"/>
      <c r="L2913" s="80" t="str">
        <f aca="false">IF(AND(J2913&lt;&gt;"",K2913&lt;&gt;""),J2913*K2913,"")</f>
        <v/>
      </c>
      <c r="M2913" s="81" t="str">
        <f aca="false">IF(L2913&lt;&gt;"",L2913*1.1,"")</f>
        <v/>
      </c>
      <c r="N2913" s="47" t="n">
        <f aca="false">IF(F2913="S",L2913*0.02,0)</f>
        <v>0</v>
      </c>
      <c r="O2913" s="82" t="str">
        <f aca="false">IF(L2913&lt;&gt;"",L2913+N2913,"")</f>
        <v/>
      </c>
      <c r="P2913" s="47" t="str">
        <f aca="false">IF(O2913&lt;&gt;"",O2913*0.1,"")</f>
        <v/>
      </c>
      <c r="Q2913" s="83" t="str">
        <f aca="false">IF(O2913&lt;&gt;"",O2913+P2913,"")</f>
        <v/>
      </c>
      <c r="R2913" s="84"/>
    </row>
    <row r="2914" customFormat="false" ht="15" hidden="false" customHeight="true" outlineLevel="0" collapsed="false">
      <c r="A2914" s="103"/>
      <c r="B2914" s="73"/>
      <c r="C2914" s="74"/>
      <c r="D2914" s="75"/>
      <c r="E2914" s="52" t="str">
        <f aca="false">IF(D2914&lt;&gt;"",IFERROR(VLOOKUP(D2914,PROVEEDORES!$A:$B,2,0),"!COD NO ENCONTRADO"),"")</f>
        <v/>
      </c>
      <c r="F2914" s="76" t="str">
        <f aca="false">IF(D2914&lt;&gt;"",IFERROR(VLOOKUP(D2914,PROVEEDORES!$A:$C,3,0),""),"")</f>
        <v/>
      </c>
      <c r="G2914" s="75"/>
      <c r="H2914" s="52" t="str">
        <f aca="false">IF(G2914&lt;&gt;"",IFERROR(VLOOKUP(G2914,PRODUCTOS!$A:$B,2,0),"!COD NO ENCONTRADO"),"")</f>
        <v/>
      </c>
      <c r="I2914" s="77"/>
      <c r="J2914" s="78"/>
      <c r="K2914" s="79"/>
      <c r="L2914" s="80" t="str">
        <f aca="false">IF(AND(J2914&lt;&gt;"",K2914&lt;&gt;""),J2914*K2914,"")</f>
        <v/>
      </c>
      <c r="M2914" s="81" t="str">
        <f aca="false">IF(L2914&lt;&gt;"",L2914*1.1,"")</f>
        <v/>
      </c>
      <c r="N2914" s="53" t="n">
        <f aca="false">IF(F2914="S",L2914*0.02,0)</f>
        <v>0</v>
      </c>
      <c r="O2914" s="82" t="str">
        <f aca="false">IF(L2914&lt;&gt;"",L2914+N2914,"")</f>
        <v/>
      </c>
      <c r="P2914" s="53" t="str">
        <f aca="false">IF(O2914&lt;&gt;"",O2914*0.1,"")</f>
        <v/>
      </c>
      <c r="Q2914" s="83" t="str">
        <f aca="false">IF(O2914&lt;&gt;"",O2914+P2914,"")</f>
        <v/>
      </c>
      <c r="R2914" s="84"/>
    </row>
    <row r="2915" customFormat="false" ht="15" hidden="false" customHeight="true" outlineLevel="0" collapsed="false">
      <c r="A2915" s="103"/>
      <c r="B2915" s="85"/>
      <c r="C2915" s="86"/>
      <c r="D2915" s="87"/>
      <c r="E2915" s="46" t="str">
        <f aca="false">IF(D2915&lt;&gt;"",IFERROR(VLOOKUP(D2915,PROVEEDORES!$A:$B,2,0),"!COD NO ENCONTRADO"),"")</f>
        <v/>
      </c>
      <c r="F2915" s="88" t="str">
        <f aca="false">IF(D2915&lt;&gt;"",IFERROR(VLOOKUP(D2915,PROVEEDORES!$A:$C,3,0),""),"")</f>
        <v/>
      </c>
      <c r="G2915" s="87"/>
      <c r="H2915" s="46" t="str">
        <f aca="false">IF(G2915&lt;&gt;"",IFERROR(VLOOKUP(G2915,PRODUCTOS!$A:$B,2,0),"!COD NO ENCONTRADO"),"")</f>
        <v/>
      </c>
      <c r="I2915" s="89"/>
      <c r="J2915" s="90"/>
      <c r="K2915" s="91"/>
      <c r="L2915" s="80" t="str">
        <f aca="false">IF(AND(J2915&lt;&gt;"",K2915&lt;&gt;""),J2915*K2915,"")</f>
        <v/>
      </c>
      <c r="M2915" s="81" t="str">
        <f aca="false">IF(L2915&lt;&gt;"",L2915*1.1,"")</f>
        <v/>
      </c>
      <c r="N2915" s="47" t="n">
        <f aca="false">IF(F2915="S",L2915*0.02,0)</f>
        <v>0</v>
      </c>
      <c r="O2915" s="82" t="str">
        <f aca="false">IF(L2915&lt;&gt;"",L2915+N2915,"")</f>
        <v/>
      </c>
      <c r="P2915" s="47" t="str">
        <f aca="false">IF(O2915&lt;&gt;"",O2915*0.1,"")</f>
        <v/>
      </c>
      <c r="Q2915" s="83" t="str">
        <f aca="false">IF(O2915&lt;&gt;"",O2915+P2915,"")</f>
        <v/>
      </c>
      <c r="R2915" s="84"/>
    </row>
    <row r="2916" customFormat="false" ht="15" hidden="false" customHeight="true" outlineLevel="0" collapsed="false">
      <c r="A2916" s="103"/>
      <c r="B2916" s="73"/>
      <c r="C2916" s="74"/>
      <c r="D2916" s="75"/>
      <c r="E2916" s="52" t="str">
        <f aca="false">IF(D2916&lt;&gt;"",IFERROR(VLOOKUP(D2916,PROVEEDORES!$A:$B,2,0),"!COD NO ENCONTRADO"),"")</f>
        <v/>
      </c>
      <c r="F2916" s="76" t="str">
        <f aca="false">IF(D2916&lt;&gt;"",IFERROR(VLOOKUP(D2916,PROVEEDORES!$A:$C,3,0),""),"")</f>
        <v/>
      </c>
      <c r="G2916" s="75"/>
      <c r="H2916" s="52" t="str">
        <f aca="false">IF(G2916&lt;&gt;"",IFERROR(VLOOKUP(G2916,PRODUCTOS!$A:$B,2,0),"!COD NO ENCONTRADO"),"")</f>
        <v/>
      </c>
      <c r="I2916" s="77"/>
      <c r="J2916" s="78"/>
      <c r="K2916" s="79"/>
      <c r="L2916" s="80" t="str">
        <f aca="false">IF(AND(J2916&lt;&gt;"",K2916&lt;&gt;""),J2916*K2916,"")</f>
        <v/>
      </c>
      <c r="M2916" s="81" t="str">
        <f aca="false">IF(L2916&lt;&gt;"",L2916*1.1,"")</f>
        <v/>
      </c>
      <c r="N2916" s="53" t="n">
        <f aca="false">IF(F2916="S",L2916*0.02,0)</f>
        <v>0</v>
      </c>
      <c r="O2916" s="82" t="str">
        <f aca="false">IF(L2916&lt;&gt;"",L2916+N2916,"")</f>
        <v/>
      </c>
      <c r="P2916" s="53" t="str">
        <f aca="false">IF(O2916&lt;&gt;"",O2916*0.1,"")</f>
        <v/>
      </c>
      <c r="Q2916" s="83" t="str">
        <f aca="false">IF(O2916&lt;&gt;"",O2916+P2916,"")</f>
        <v/>
      </c>
      <c r="R2916" s="84"/>
    </row>
    <row r="2917" customFormat="false" ht="15" hidden="false" customHeight="true" outlineLevel="0" collapsed="false">
      <c r="A2917" s="103"/>
      <c r="B2917" s="85"/>
      <c r="C2917" s="86"/>
      <c r="D2917" s="87"/>
      <c r="E2917" s="46" t="str">
        <f aca="false">IF(D2917&lt;&gt;"",IFERROR(VLOOKUP(D2917,PROVEEDORES!$A:$B,2,0),"!COD NO ENCONTRADO"),"")</f>
        <v/>
      </c>
      <c r="F2917" s="88" t="str">
        <f aca="false">IF(D2917&lt;&gt;"",IFERROR(VLOOKUP(D2917,PROVEEDORES!$A:$C,3,0),""),"")</f>
        <v/>
      </c>
      <c r="G2917" s="87"/>
      <c r="H2917" s="46" t="str">
        <f aca="false">IF(G2917&lt;&gt;"",IFERROR(VLOOKUP(G2917,PRODUCTOS!$A:$B,2,0),"!COD NO ENCONTRADO"),"")</f>
        <v/>
      </c>
      <c r="I2917" s="89"/>
      <c r="J2917" s="90"/>
      <c r="K2917" s="91"/>
      <c r="L2917" s="80" t="str">
        <f aca="false">IF(AND(J2917&lt;&gt;"",K2917&lt;&gt;""),J2917*K2917,"")</f>
        <v/>
      </c>
      <c r="M2917" s="81" t="str">
        <f aca="false">IF(L2917&lt;&gt;"",L2917*1.1,"")</f>
        <v/>
      </c>
      <c r="N2917" s="47" t="n">
        <f aca="false">IF(F2917="S",L2917*0.02,0)</f>
        <v>0</v>
      </c>
      <c r="O2917" s="82" t="str">
        <f aca="false">IF(L2917&lt;&gt;"",L2917+N2917,"")</f>
        <v/>
      </c>
      <c r="P2917" s="47" t="str">
        <f aca="false">IF(O2917&lt;&gt;"",O2917*0.1,"")</f>
        <v/>
      </c>
      <c r="Q2917" s="83" t="str">
        <f aca="false">IF(O2917&lt;&gt;"",O2917+P2917,"")</f>
        <v/>
      </c>
      <c r="R2917" s="84"/>
    </row>
    <row r="2918" customFormat="false" ht="15" hidden="false" customHeight="true" outlineLevel="0" collapsed="false">
      <c r="A2918" s="103"/>
      <c r="B2918" s="73"/>
      <c r="C2918" s="74"/>
      <c r="D2918" s="75"/>
      <c r="E2918" s="52" t="str">
        <f aca="false">IF(D2918&lt;&gt;"",IFERROR(VLOOKUP(D2918,PROVEEDORES!$A:$B,2,0),"!COD NO ENCONTRADO"),"")</f>
        <v/>
      </c>
      <c r="F2918" s="76" t="str">
        <f aca="false">IF(D2918&lt;&gt;"",IFERROR(VLOOKUP(D2918,PROVEEDORES!$A:$C,3,0),""),"")</f>
        <v/>
      </c>
      <c r="G2918" s="75"/>
      <c r="H2918" s="52" t="str">
        <f aca="false">IF(G2918&lt;&gt;"",IFERROR(VLOOKUP(G2918,PRODUCTOS!$A:$B,2,0),"!COD NO ENCONTRADO"),"")</f>
        <v/>
      </c>
      <c r="I2918" s="77"/>
      <c r="J2918" s="78"/>
      <c r="K2918" s="79"/>
      <c r="L2918" s="80" t="str">
        <f aca="false">IF(AND(J2918&lt;&gt;"",K2918&lt;&gt;""),J2918*K2918,"")</f>
        <v/>
      </c>
      <c r="M2918" s="81" t="str">
        <f aca="false">IF(L2918&lt;&gt;"",L2918*1.1,"")</f>
        <v/>
      </c>
      <c r="N2918" s="53" t="n">
        <f aca="false">IF(F2918="S",L2918*0.02,0)</f>
        <v>0</v>
      </c>
      <c r="O2918" s="82" t="str">
        <f aca="false">IF(L2918&lt;&gt;"",L2918+N2918,"")</f>
        <v/>
      </c>
      <c r="P2918" s="53" t="str">
        <f aca="false">IF(O2918&lt;&gt;"",O2918*0.1,"")</f>
        <v/>
      </c>
      <c r="Q2918" s="83" t="str">
        <f aca="false">IF(O2918&lt;&gt;"",O2918+P2918,"")</f>
        <v/>
      </c>
      <c r="R2918" s="84"/>
    </row>
    <row r="2919" customFormat="false" ht="15" hidden="false" customHeight="true" outlineLevel="0" collapsed="false">
      <c r="A2919" s="103"/>
      <c r="B2919" s="85"/>
      <c r="C2919" s="86"/>
      <c r="D2919" s="87"/>
      <c r="E2919" s="46" t="str">
        <f aca="false">IF(D2919&lt;&gt;"",IFERROR(VLOOKUP(D2919,PROVEEDORES!$A:$B,2,0),"!COD NO ENCONTRADO"),"")</f>
        <v/>
      </c>
      <c r="F2919" s="88" t="str">
        <f aca="false">IF(D2919&lt;&gt;"",IFERROR(VLOOKUP(D2919,PROVEEDORES!$A:$C,3,0),""),"")</f>
        <v/>
      </c>
      <c r="G2919" s="87"/>
      <c r="H2919" s="46" t="str">
        <f aca="false">IF(G2919&lt;&gt;"",IFERROR(VLOOKUP(G2919,PRODUCTOS!$A:$B,2,0),"!COD NO ENCONTRADO"),"")</f>
        <v/>
      </c>
      <c r="I2919" s="89"/>
      <c r="J2919" s="90"/>
      <c r="K2919" s="91"/>
      <c r="L2919" s="80" t="str">
        <f aca="false">IF(AND(J2919&lt;&gt;"",K2919&lt;&gt;""),J2919*K2919,"")</f>
        <v/>
      </c>
      <c r="M2919" s="81" t="str">
        <f aca="false">IF(L2919&lt;&gt;"",L2919*1.1,"")</f>
        <v/>
      </c>
      <c r="N2919" s="47" t="n">
        <f aca="false">IF(F2919="S",L2919*0.02,0)</f>
        <v>0</v>
      </c>
      <c r="O2919" s="82" t="str">
        <f aca="false">IF(L2919&lt;&gt;"",L2919+N2919,"")</f>
        <v/>
      </c>
      <c r="P2919" s="47" t="str">
        <f aca="false">IF(O2919&lt;&gt;"",O2919*0.1,"")</f>
        <v/>
      </c>
      <c r="Q2919" s="83" t="str">
        <f aca="false">IF(O2919&lt;&gt;"",O2919+P2919,"")</f>
        <v/>
      </c>
      <c r="R2919" s="84"/>
    </row>
    <row r="2920" customFormat="false" ht="15" hidden="false" customHeight="true" outlineLevel="0" collapsed="false">
      <c r="A2920" s="103"/>
      <c r="B2920" s="73"/>
      <c r="C2920" s="74"/>
      <c r="D2920" s="75"/>
      <c r="E2920" s="52" t="str">
        <f aca="false">IF(D2920&lt;&gt;"",IFERROR(VLOOKUP(D2920,PROVEEDORES!$A:$B,2,0),"!COD NO ENCONTRADO"),"")</f>
        <v/>
      </c>
      <c r="F2920" s="76" t="str">
        <f aca="false">IF(D2920&lt;&gt;"",IFERROR(VLOOKUP(D2920,PROVEEDORES!$A:$C,3,0),""),"")</f>
        <v/>
      </c>
      <c r="G2920" s="75"/>
      <c r="H2920" s="52" t="str">
        <f aca="false">IF(G2920&lt;&gt;"",IFERROR(VLOOKUP(G2920,PRODUCTOS!$A:$B,2,0),"!COD NO ENCONTRADO"),"")</f>
        <v/>
      </c>
      <c r="I2920" s="77"/>
      <c r="J2920" s="78"/>
      <c r="K2920" s="79"/>
      <c r="L2920" s="80" t="str">
        <f aca="false">IF(AND(J2920&lt;&gt;"",K2920&lt;&gt;""),J2920*K2920,"")</f>
        <v/>
      </c>
      <c r="M2920" s="81" t="str">
        <f aca="false">IF(L2920&lt;&gt;"",L2920*1.1,"")</f>
        <v/>
      </c>
      <c r="N2920" s="53" t="n">
        <f aca="false">IF(F2920="S",L2920*0.02,0)</f>
        <v>0</v>
      </c>
      <c r="O2920" s="82" t="str">
        <f aca="false">IF(L2920&lt;&gt;"",L2920+N2920,"")</f>
        <v/>
      </c>
      <c r="P2920" s="53" t="str">
        <f aca="false">IF(O2920&lt;&gt;"",O2920*0.1,"")</f>
        <v/>
      </c>
      <c r="Q2920" s="83" t="str">
        <f aca="false">IF(O2920&lt;&gt;"",O2920+P2920,"")</f>
        <v/>
      </c>
      <c r="R2920" s="84"/>
    </row>
    <row r="2921" customFormat="false" ht="15" hidden="false" customHeight="true" outlineLevel="0" collapsed="false">
      <c r="A2921" s="103"/>
      <c r="B2921" s="85"/>
      <c r="C2921" s="86"/>
      <c r="D2921" s="87"/>
      <c r="E2921" s="46" t="str">
        <f aca="false">IF(D2921&lt;&gt;"",IFERROR(VLOOKUP(D2921,PROVEEDORES!$A:$B,2,0),"!COD NO ENCONTRADO"),"")</f>
        <v/>
      </c>
      <c r="F2921" s="88" t="str">
        <f aca="false">IF(D2921&lt;&gt;"",IFERROR(VLOOKUP(D2921,PROVEEDORES!$A:$C,3,0),""),"")</f>
        <v/>
      </c>
      <c r="G2921" s="87"/>
      <c r="H2921" s="46" t="str">
        <f aca="false">IF(G2921&lt;&gt;"",IFERROR(VLOOKUP(G2921,PRODUCTOS!$A:$B,2,0),"!COD NO ENCONTRADO"),"")</f>
        <v/>
      </c>
      <c r="I2921" s="89"/>
      <c r="J2921" s="90"/>
      <c r="K2921" s="91"/>
      <c r="L2921" s="80" t="str">
        <f aca="false">IF(AND(J2921&lt;&gt;"",K2921&lt;&gt;""),J2921*K2921,"")</f>
        <v/>
      </c>
      <c r="M2921" s="81" t="str">
        <f aca="false">IF(L2921&lt;&gt;"",L2921*1.1,"")</f>
        <v/>
      </c>
      <c r="N2921" s="47" t="n">
        <f aca="false">IF(F2921="S",L2921*0.02,0)</f>
        <v>0</v>
      </c>
      <c r="O2921" s="82" t="str">
        <f aca="false">IF(L2921&lt;&gt;"",L2921+N2921,"")</f>
        <v/>
      </c>
      <c r="P2921" s="47" t="str">
        <f aca="false">IF(O2921&lt;&gt;"",O2921*0.1,"")</f>
        <v/>
      </c>
      <c r="Q2921" s="83" t="str">
        <f aca="false">IF(O2921&lt;&gt;"",O2921+P2921,"")</f>
        <v/>
      </c>
      <c r="R2921" s="84"/>
    </row>
    <row r="2922" customFormat="false" ht="15" hidden="false" customHeight="true" outlineLevel="0" collapsed="false">
      <c r="A2922" s="103"/>
      <c r="B2922" s="73"/>
      <c r="C2922" s="74"/>
      <c r="D2922" s="75"/>
      <c r="E2922" s="52" t="str">
        <f aca="false">IF(D2922&lt;&gt;"",IFERROR(VLOOKUP(D2922,PROVEEDORES!$A:$B,2,0),"!COD NO ENCONTRADO"),"")</f>
        <v/>
      </c>
      <c r="F2922" s="76" t="str">
        <f aca="false">IF(D2922&lt;&gt;"",IFERROR(VLOOKUP(D2922,PROVEEDORES!$A:$C,3,0),""),"")</f>
        <v/>
      </c>
      <c r="G2922" s="75"/>
      <c r="H2922" s="52" t="str">
        <f aca="false">IF(G2922&lt;&gt;"",IFERROR(VLOOKUP(G2922,PRODUCTOS!$A:$B,2,0),"!COD NO ENCONTRADO"),"")</f>
        <v/>
      </c>
      <c r="I2922" s="77"/>
      <c r="J2922" s="78"/>
      <c r="K2922" s="79"/>
      <c r="L2922" s="80" t="str">
        <f aca="false">IF(AND(J2922&lt;&gt;"",K2922&lt;&gt;""),J2922*K2922,"")</f>
        <v/>
      </c>
      <c r="M2922" s="81" t="str">
        <f aca="false">IF(L2922&lt;&gt;"",L2922*1.1,"")</f>
        <v/>
      </c>
      <c r="N2922" s="53" t="n">
        <f aca="false">IF(F2922="S",L2922*0.02,0)</f>
        <v>0</v>
      </c>
      <c r="O2922" s="82" t="str">
        <f aca="false">IF(L2922&lt;&gt;"",L2922+N2922,"")</f>
        <v/>
      </c>
      <c r="P2922" s="53" t="str">
        <f aca="false">IF(O2922&lt;&gt;"",O2922*0.1,"")</f>
        <v/>
      </c>
      <c r="Q2922" s="83" t="str">
        <f aca="false">IF(O2922&lt;&gt;"",O2922+P2922,"")</f>
        <v/>
      </c>
      <c r="R2922" s="84"/>
    </row>
    <row r="2923" customFormat="false" ht="15" hidden="false" customHeight="true" outlineLevel="0" collapsed="false">
      <c r="A2923" s="103"/>
      <c r="B2923" s="85"/>
      <c r="C2923" s="86"/>
      <c r="D2923" s="87"/>
      <c r="E2923" s="46" t="str">
        <f aca="false">IF(D2923&lt;&gt;"",IFERROR(VLOOKUP(D2923,PROVEEDORES!$A:$B,2,0),"!COD NO ENCONTRADO"),"")</f>
        <v/>
      </c>
      <c r="F2923" s="88" t="str">
        <f aca="false">IF(D2923&lt;&gt;"",IFERROR(VLOOKUP(D2923,PROVEEDORES!$A:$C,3,0),""),"")</f>
        <v/>
      </c>
      <c r="G2923" s="87"/>
      <c r="H2923" s="46" t="str">
        <f aca="false">IF(G2923&lt;&gt;"",IFERROR(VLOOKUP(G2923,PRODUCTOS!$A:$B,2,0),"!COD NO ENCONTRADO"),"")</f>
        <v/>
      </c>
      <c r="I2923" s="89"/>
      <c r="J2923" s="90"/>
      <c r="K2923" s="91"/>
      <c r="L2923" s="80" t="str">
        <f aca="false">IF(AND(J2923&lt;&gt;"",K2923&lt;&gt;""),J2923*K2923,"")</f>
        <v/>
      </c>
      <c r="M2923" s="81" t="str">
        <f aca="false">IF(L2923&lt;&gt;"",L2923*1.1,"")</f>
        <v/>
      </c>
      <c r="N2923" s="47" t="n">
        <f aca="false">IF(F2923="S",L2923*0.02,0)</f>
        <v>0</v>
      </c>
      <c r="O2923" s="82" t="str">
        <f aca="false">IF(L2923&lt;&gt;"",L2923+N2923,"")</f>
        <v/>
      </c>
      <c r="P2923" s="47" t="str">
        <f aca="false">IF(O2923&lt;&gt;"",O2923*0.1,"")</f>
        <v/>
      </c>
      <c r="Q2923" s="83" t="str">
        <f aca="false">IF(O2923&lt;&gt;"",O2923+P2923,"")</f>
        <v/>
      </c>
      <c r="R2923" s="84"/>
    </row>
    <row r="2924" customFormat="false" ht="15" hidden="false" customHeight="true" outlineLevel="0" collapsed="false">
      <c r="A2924" s="103"/>
      <c r="B2924" s="73"/>
      <c r="C2924" s="74"/>
      <c r="D2924" s="75"/>
      <c r="E2924" s="52" t="str">
        <f aca="false">IF(D2924&lt;&gt;"",IFERROR(VLOOKUP(D2924,PROVEEDORES!$A:$B,2,0),"!COD NO ENCONTRADO"),"")</f>
        <v/>
      </c>
      <c r="F2924" s="76" t="str">
        <f aca="false">IF(D2924&lt;&gt;"",IFERROR(VLOOKUP(D2924,PROVEEDORES!$A:$C,3,0),""),"")</f>
        <v/>
      </c>
      <c r="G2924" s="75"/>
      <c r="H2924" s="52" t="str">
        <f aca="false">IF(G2924&lt;&gt;"",IFERROR(VLOOKUP(G2924,PRODUCTOS!$A:$B,2,0),"!COD NO ENCONTRADO"),"")</f>
        <v/>
      </c>
      <c r="I2924" s="77"/>
      <c r="J2924" s="78"/>
      <c r="K2924" s="79"/>
      <c r="L2924" s="80" t="str">
        <f aca="false">IF(AND(J2924&lt;&gt;"",K2924&lt;&gt;""),J2924*K2924,"")</f>
        <v/>
      </c>
      <c r="M2924" s="81" t="str">
        <f aca="false">IF(L2924&lt;&gt;"",L2924*1.1,"")</f>
        <v/>
      </c>
      <c r="N2924" s="53" t="n">
        <f aca="false">IF(F2924="S",L2924*0.02,0)</f>
        <v>0</v>
      </c>
      <c r="O2924" s="82" t="str">
        <f aca="false">IF(L2924&lt;&gt;"",L2924+N2924,"")</f>
        <v/>
      </c>
      <c r="P2924" s="53" t="str">
        <f aca="false">IF(O2924&lt;&gt;"",O2924*0.1,"")</f>
        <v/>
      </c>
      <c r="Q2924" s="83" t="str">
        <f aca="false">IF(O2924&lt;&gt;"",O2924+P2924,"")</f>
        <v/>
      </c>
      <c r="R2924" s="84"/>
    </row>
    <row r="2925" customFormat="false" ht="15" hidden="false" customHeight="true" outlineLevel="0" collapsed="false">
      <c r="A2925" s="103"/>
      <c r="B2925" s="85"/>
      <c r="C2925" s="86"/>
      <c r="D2925" s="87"/>
      <c r="E2925" s="46" t="str">
        <f aca="false">IF(D2925&lt;&gt;"",IFERROR(VLOOKUP(D2925,PROVEEDORES!$A:$B,2,0),"!COD NO ENCONTRADO"),"")</f>
        <v/>
      </c>
      <c r="F2925" s="88" t="str">
        <f aca="false">IF(D2925&lt;&gt;"",IFERROR(VLOOKUP(D2925,PROVEEDORES!$A:$C,3,0),""),"")</f>
        <v/>
      </c>
      <c r="G2925" s="87"/>
      <c r="H2925" s="46" t="str">
        <f aca="false">IF(G2925&lt;&gt;"",IFERROR(VLOOKUP(G2925,PRODUCTOS!$A:$B,2,0),"!COD NO ENCONTRADO"),"")</f>
        <v/>
      </c>
      <c r="I2925" s="89"/>
      <c r="J2925" s="90"/>
      <c r="K2925" s="91"/>
      <c r="L2925" s="80" t="str">
        <f aca="false">IF(AND(J2925&lt;&gt;"",K2925&lt;&gt;""),J2925*K2925,"")</f>
        <v/>
      </c>
      <c r="M2925" s="81" t="str">
        <f aca="false">IF(L2925&lt;&gt;"",L2925*1.1,"")</f>
        <v/>
      </c>
      <c r="N2925" s="47" t="n">
        <f aca="false">IF(F2925="S",L2925*0.02,0)</f>
        <v>0</v>
      </c>
      <c r="O2925" s="82" t="str">
        <f aca="false">IF(L2925&lt;&gt;"",L2925+N2925,"")</f>
        <v/>
      </c>
      <c r="P2925" s="47" t="str">
        <f aca="false">IF(O2925&lt;&gt;"",O2925*0.1,"")</f>
        <v/>
      </c>
      <c r="Q2925" s="83" t="str">
        <f aca="false">IF(O2925&lt;&gt;"",O2925+P2925,"")</f>
        <v/>
      </c>
      <c r="R2925" s="84"/>
    </row>
    <row r="2926" customFormat="false" ht="15" hidden="false" customHeight="true" outlineLevel="0" collapsed="false">
      <c r="A2926" s="103"/>
      <c r="B2926" s="73"/>
      <c r="C2926" s="74"/>
      <c r="D2926" s="75"/>
      <c r="E2926" s="52" t="str">
        <f aca="false">IF(D2926&lt;&gt;"",IFERROR(VLOOKUP(D2926,PROVEEDORES!$A:$B,2,0),"!COD NO ENCONTRADO"),"")</f>
        <v/>
      </c>
      <c r="F2926" s="76" t="str">
        <f aca="false">IF(D2926&lt;&gt;"",IFERROR(VLOOKUP(D2926,PROVEEDORES!$A:$C,3,0),""),"")</f>
        <v/>
      </c>
      <c r="G2926" s="75"/>
      <c r="H2926" s="52" t="str">
        <f aca="false">IF(G2926&lt;&gt;"",IFERROR(VLOOKUP(G2926,PRODUCTOS!$A:$B,2,0),"!COD NO ENCONTRADO"),"")</f>
        <v/>
      </c>
      <c r="I2926" s="77"/>
      <c r="J2926" s="78"/>
      <c r="K2926" s="79"/>
      <c r="L2926" s="80" t="str">
        <f aca="false">IF(AND(J2926&lt;&gt;"",K2926&lt;&gt;""),J2926*K2926,"")</f>
        <v/>
      </c>
      <c r="M2926" s="81" t="str">
        <f aca="false">IF(L2926&lt;&gt;"",L2926*1.1,"")</f>
        <v/>
      </c>
      <c r="N2926" s="53" t="n">
        <f aca="false">IF(F2926="S",L2926*0.02,0)</f>
        <v>0</v>
      </c>
      <c r="O2926" s="82" t="str">
        <f aca="false">IF(L2926&lt;&gt;"",L2926+N2926,"")</f>
        <v/>
      </c>
      <c r="P2926" s="53" t="str">
        <f aca="false">IF(O2926&lt;&gt;"",O2926*0.1,"")</f>
        <v/>
      </c>
      <c r="Q2926" s="83" t="str">
        <f aca="false">IF(O2926&lt;&gt;"",O2926+P2926,"")</f>
        <v/>
      </c>
      <c r="R2926" s="84"/>
    </row>
    <row r="2927" customFormat="false" ht="15" hidden="false" customHeight="true" outlineLevel="0" collapsed="false">
      <c r="A2927" s="103"/>
      <c r="B2927" s="85"/>
      <c r="C2927" s="86"/>
      <c r="D2927" s="87"/>
      <c r="E2927" s="46" t="str">
        <f aca="false">IF(D2927&lt;&gt;"",IFERROR(VLOOKUP(D2927,PROVEEDORES!$A:$B,2,0),"!COD NO ENCONTRADO"),"")</f>
        <v/>
      </c>
      <c r="F2927" s="88" t="str">
        <f aca="false">IF(D2927&lt;&gt;"",IFERROR(VLOOKUP(D2927,PROVEEDORES!$A:$C,3,0),""),"")</f>
        <v/>
      </c>
      <c r="G2927" s="87"/>
      <c r="H2927" s="46" t="str">
        <f aca="false">IF(G2927&lt;&gt;"",IFERROR(VLOOKUP(G2927,PRODUCTOS!$A:$B,2,0),"!COD NO ENCONTRADO"),"")</f>
        <v/>
      </c>
      <c r="I2927" s="89"/>
      <c r="J2927" s="90"/>
      <c r="K2927" s="91"/>
      <c r="L2927" s="80" t="str">
        <f aca="false">IF(AND(J2927&lt;&gt;"",K2927&lt;&gt;""),J2927*K2927,"")</f>
        <v/>
      </c>
      <c r="M2927" s="81" t="str">
        <f aca="false">IF(L2927&lt;&gt;"",L2927*1.1,"")</f>
        <v/>
      </c>
      <c r="N2927" s="47" t="n">
        <f aca="false">IF(F2927="S",L2927*0.02,0)</f>
        <v>0</v>
      </c>
      <c r="O2927" s="82" t="str">
        <f aca="false">IF(L2927&lt;&gt;"",L2927+N2927,"")</f>
        <v/>
      </c>
      <c r="P2927" s="47" t="str">
        <f aca="false">IF(O2927&lt;&gt;"",O2927*0.1,"")</f>
        <v/>
      </c>
      <c r="Q2927" s="83" t="str">
        <f aca="false">IF(O2927&lt;&gt;"",O2927+P2927,"")</f>
        <v/>
      </c>
      <c r="R2927" s="84"/>
    </row>
    <row r="2928" customFormat="false" ht="15" hidden="false" customHeight="true" outlineLevel="0" collapsed="false">
      <c r="A2928" s="103"/>
      <c r="B2928" s="73"/>
      <c r="C2928" s="74"/>
      <c r="D2928" s="75"/>
      <c r="E2928" s="52" t="str">
        <f aca="false">IF(D2928&lt;&gt;"",IFERROR(VLOOKUP(D2928,PROVEEDORES!$A:$B,2,0),"!COD NO ENCONTRADO"),"")</f>
        <v/>
      </c>
      <c r="F2928" s="76" t="str">
        <f aca="false">IF(D2928&lt;&gt;"",IFERROR(VLOOKUP(D2928,PROVEEDORES!$A:$C,3,0),""),"")</f>
        <v/>
      </c>
      <c r="G2928" s="75"/>
      <c r="H2928" s="52" t="str">
        <f aca="false">IF(G2928&lt;&gt;"",IFERROR(VLOOKUP(G2928,PRODUCTOS!$A:$B,2,0),"!COD NO ENCONTRADO"),"")</f>
        <v/>
      </c>
      <c r="I2928" s="77"/>
      <c r="J2928" s="78"/>
      <c r="K2928" s="79"/>
      <c r="L2928" s="80" t="str">
        <f aca="false">IF(AND(J2928&lt;&gt;"",K2928&lt;&gt;""),J2928*K2928,"")</f>
        <v/>
      </c>
      <c r="M2928" s="81" t="str">
        <f aca="false">IF(L2928&lt;&gt;"",L2928*1.1,"")</f>
        <v/>
      </c>
      <c r="N2928" s="53" t="n">
        <f aca="false">IF(F2928="S",L2928*0.02,0)</f>
        <v>0</v>
      </c>
      <c r="O2928" s="82" t="str">
        <f aca="false">IF(L2928&lt;&gt;"",L2928+N2928,"")</f>
        <v/>
      </c>
      <c r="P2928" s="53" t="str">
        <f aca="false">IF(O2928&lt;&gt;"",O2928*0.1,"")</f>
        <v/>
      </c>
      <c r="Q2928" s="83" t="str">
        <f aca="false">IF(O2928&lt;&gt;"",O2928+P2928,"")</f>
        <v/>
      </c>
      <c r="R2928" s="84"/>
    </row>
    <row r="2929" customFormat="false" ht="15" hidden="false" customHeight="true" outlineLevel="0" collapsed="false">
      <c r="A2929" s="103"/>
      <c r="B2929" s="85"/>
      <c r="C2929" s="86"/>
      <c r="D2929" s="87"/>
      <c r="E2929" s="46" t="str">
        <f aca="false">IF(D2929&lt;&gt;"",IFERROR(VLOOKUP(D2929,PROVEEDORES!$A:$B,2,0),"!COD NO ENCONTRADO"),"")</f>
        <v/>
      </c>
      <c r="F2929" s="88" t="str">
        <f aca="false">IF(D2929&lt;&gt;"",IFERROR(VLOOKUP(D2929,PROVEEDORES!$A:$C,3,0),""),"")</f>
        <v/>
      </c>
      <c r="G2929" s="87"/>
      <c r="H2929" s="46" t="str">
        <f aca="false">IF(G2929&lt;&gt;"",IFERROR(VLOOKUP(G2929,PRODUCTOS!$A:$B,2,0),"!COD NO ENCONTRADO"),"")</f>
        <v/>
      </c>
      <c r="I2929" s="89"/>
      <c r="J2929" s="90"/>
      <c r="K2929" s="91"/>
      <c r="L2929" s="80" t="str">
        <f aca="false">IF(AND(J2929&lt;&gt;"",K2929&lt;&gt;""),J2929*K2929,"")</f>
        <v/>
      </c>
      <c r="M2929" s="81" t="str">
        <f aca="false">IF(L2929&lt;&gt;"",L2929*1.1,"")</f>
        <v/>
      </c>
      <c r="N2929" s="47" t="n">
        <f aca="false">IF(F2929="S",L2929*0.02,0)</f>
        <v>0</v>
      </c>
      <c r="O2929" s="82" t="str">
        <f aca="false">IF(L2929&lt;&gt;"",L2929+N2929,"")</f>
        <v/>
      </c>
      <c r="P2929" s="47" t="str">
        <f aca="false">IF(O2929&lt;&gt;"",O2929*0.1,"")</f>
        <v/>
      </c>
      <c r="Q2929" s="83" t="str">
        <f aca="false">IF(O2929&lt;&gt;"",O2929+P2929,"")</f>
        <v/>
      </c>
      <c r="R2929" s="84"/>
    </row>
    <row r="2930" customFormat="false" ht="15" hidden="false" customHeight="true" outlineLevel="0" collapsed="false">
      <c r="A2930" s="103"/>
      <c r="B2930" s="73"/>
      <c r="C2930" s="74"/>
      <c r="D2930" s="75"/>
      <c r="E2930" s="52" t="str">
        <f aca="false">IF(D2930&lt;&gt;"",IFERROR(VLOOKUP(D2930,PROVEEDORES!$A:$B,2,0),"!COD NO ENCONTRADO"),"")</f>
        <v/>
      </c>
      <c r="F2930" s="76" t="str">
        <f aca="false">IF(D2930&lt;&gt;"",IFERROR(VLOOKUP(D2930,PROVEEDORES!$A:$C,3,0),""),"")</f>
        <v/>
      </c>
      <c r="G2930" s="75"/>
      <c r="H2930" s="52" t="str">
        <f aca="false">IF(G2930&lt;&gt;"",IFERROR(VLOOKUP(G2930,PRODUCTOS!$A:$B,2,0),"!COD NO ENCONTRADO"),"")</f>
        <v/>
      </c>
      <c r="I2930" s="77"/>
      <c r="J2930" s="78"/>
      <c r="K2930" s="79"/>
      <c r="L2930" s="80" t="str">
        <f aca="false">IF(AND(J2930&lt;&gt;"",K2930&lt;&gt;""),J2930*K2930,"")</f>
        <v/>
      </c>
      <c r="M2930" s="81" t="str">
        <f aca="false">IF(L2930&lt;&gt;"",L2930*1.1,"")</f>
        <v/>
      </c>
      <c r="N2930" s="53" t="n">
        <f aca="false">IF(F2930="S",L2930*0.02,0)</f>
        <v>0</v>
      </c>
      <c r="O2930" s="82" t="str">
        <f aca="false">IF(L2930&lt;&gt;"",L2930+N2930,"")</f>
        <v/>
      </c>
      <c r="P2930" s="53" t="str">
        <f aca="false">IF(O2930&lt;&gt;"",O2930*0.1,"")</f>
        <v/>
      </c>
      <c r="Q2930" s="83" t="str">
        <f aca="false">IF(O2930&lt;&gt;"",O2930+P2930,"")</f>
        <v/>
      </c>
      <c r="R2930" s="84"/>
    </row>
    <row r="2931" customFormat="false" ht="15" hidden="false" customHeight="true" outlineLevel="0" collapsed="false">
      <c r="A2931" s="103"/>
      <c r="B2931" s="85"/>
      <c r="C2931" s="86"/>
      <c r="D2931" s="87"/>
      <c r="E2931" s="46" t="str">
        <f aca="false">IF(D2931&lt;&gt;"",IFERROR(VLOOKUP(D2931,PROVEEDORES!$A:$B,2,0),"!COD NO ENCONTRADO"),"")</f>
        <v/>
      </c>
      <c r="F2931" s="88" t="str">
        <f aca="false">IF(D2931&lt;&gt;"",IFERROR(VLOOKUP(D2931,PROVEEDORES!$A:$C,3,0),""),"")</f>
        <v/>
      </c>
      <c r="G2931" s="87"/>
      <c r="H2931" s="46" t="str">
        <f aca="false">IF(G2931&lt;&gt;"",IFERROR(VLOOKUP(G2931,PRODUCTOS!$A:$B,2,0),"!COD NO ENCONTRADO"),"")</f>
        <v/>
      </c>
      <c r="I2931" s="89"/>
      <c r="J2931" s="90"/>
      <c r="K2931" s="91"/>
      <c r="L2931" s="80" t="str">
        <f aca="false">IF(AND(J2931&lt;&gt;"",K2931&lt;&gt;""),J2931*K2931,"")</f>
        <v/>
      </c>
      <c r="M2931" s="81" t="str">
        <f aca="false">IF(L2931&lt;&gt;"",L2931*1.1,"")</f>
        <v/>
      </c>
      <c r="N2931" s="47" t="n">
        <f aca="false">IF(F2931="S",L2931*0.02,0)</f>
        <v>0</v>
      </c>
      <c r="O2931" s="82" t="str">
        <f aca="false">IF(L2931&lt;&gt;"",L2931+N2931,"")</f>
        <v/>
      </c>
      <c r="P2931" s="47" t="str">
        <f aca="false">IF(O2931&lt;&gt;"",O2931*0.1,"")</f>
        <v/>
      </c>
      <c r="Q2931" s="83" t="str">
        <f aca="false">IF(O2931&lt;&gt;"",O2931+P2931,"")</f>
        <v/>
      </c>
      <c r="R2931" s="84"/>
    </row>
    <row r="2932" customFormat="false" ht="15" hidden="false" customHeight="true" outlineLevel="0" collapsed="false">
      <c r="A2932" s="103"/>
      <c r="B2932" s="73"/>
      <c r="C2932" s="74"/>
      <c r="D2932" s="75"/>
      <c r="E2932" s="52" t="str">
        <f aca="false">IF(D2932&lt;&gt;"",IFERROR(VLOOKUP(D2932,PROVEEDORES!$A:$B,2,0),"!COD NO ENCONTRADO"),"")</f>
        <v/>
      </c>
      <c r="F2932" s="76" t="str">
        <f aca="false">IF(D2932&lt;&gt;"",IFERROR(VLOOKUP(D2932,PROVEEDORES!$A:$C,3,0),""),"")</f>
        <v/>
      </c>
      <c r="G2932" s="75"/>
      <c r="H2932" s="52" t="str">
        <f aca="false">IF(G2932&lt;&gt;"",IFERROR(VLOOKUP(G2932,PRODUCTOS!$A:$B,2,0),"!COD NO ENCONTRADO"),"")</f>
        <v/>
      </c>
      <c r="I2932" s="77"/>
      <c r="J2932" s="78"/>
      <c r="K2932" s="79"/>
      <c r="L2932" s="80" t="str">
        <f aca="false">IF(AND(J2932&lt;&gt;"",K2932&lt;&gt;""),J2932*K2932,"")</f>
        <v/>
      </c>
      <c r="M2932" s="81" t="str">
        <f aca="false">IF(L2932&lt;&gt;"",L2932*1.1,"")</f>
        <v/>
      </c>
      <c r="N2932" s="53" t="n">
        <f aca="false">IF(F2932="S",L2932*0.02,0)</f>
        <v>0</v>
      </c>
      <c r="O2932" s="82" t="str">
        <f aca="false">IF(L2932&lt;&gt;"",L2932+N2932,"")</f>
        <v/>
      </c>
      <c r="P2932" s="53" t="str">
        <f aca="false">IF(O2932&lt;&gt;"",O2932*0.1,"")</f>
        <v/>
      </c>
      <c r="Q2932" s="83" t="str">
        <f aca="false">IF(O2932&lt;&gt;"",O2932+P2932,"")</f>
        <v/>
      </c>
      <c r="R2932" s="84"/>
    </row>
    <row r="2933" customFormat="false" ht="15" hidden="false" customHeight="true" outlineLevel="0" collapsed="false">
      <c r="A2933" s="103"/>
      <c r="B2933" s="85"/>
      <c r="C2933" s="86"/>
      <c r="D2933" s="87"/>
      <c r="E2933" s="46" t="str">
        <f aca="false">IF(D2933&lt;&gt;"",IFERROR(VLOOKUP(D2933,PROVEEDORES!$A:$B,2,0),"!COD NO ENCONTRADO"),"")</f>
        <v/>
      </c>
      <c r="F2933" s="88" t="str">
        <f aca="false">IF(D2933&lt;&gt;"",IFERROR(VLOOKUP(D2933,PROVEEDORES!$A:$C,3,0),""),"")</f>
        <v/>
      </c>
      <c r="G2933" s="87"/>
      <c r="H2933" s="46" t="str">
        <f aca="false">IF(G2933&lt;&gt;"",IFERROR(VLOOKUP(G2933,PRODUCTOS!$A:$B,2,0),"!COD NO ENCONTRADO"),"")</f>
        <v/>
      </c>
      <c r="I2933" s="89"/>
      <c r="J2933" s="90"/>
      <c r="K2933" s="91"/>
      <c r="L2933" s="80" t="str">
        <f aca="false">IF(AND(J2933&lt;&gt;"",K2933&lt;&gt;""),J2933*K2933,"")</f>
        <v/>
      </c>
      <c r="M2933" s="81" t="str">
        <f aca="false">IF(L2933&lt;&gt;"",L2933*1.1,"")</f>
        <v/>
      </c>
      <c r="N2933" s="47" t="n">
        <f aca="false">IF(F2933="S",L2933*0.02,0)</f>
        <v>0</v>
      </c>
      <c r="O2933" s="82" t="str">
        <f aca="false">IF(L2933&lt;&gt;"",L2933+N2933,"")</f>
        <v/>
      </c>
      <c r="P2933" s="47" t="str">
        <f aca="false">IF(O2933&lt;&gt;"",O2933*0.1,"")</f>
        <v/>
      </c>
      <c r="Q2933" s="83" t="str">
        <f aca="false">IF(O2933&lt;&gt;"",O2933+P2933,"")</f>
        <v/>
      </c>
      <c r="R2933" s="84"/>
    </row>
    <row r="2934" customFormat="false" ht="15" hidden="false" customHeight="true" outlineLevel="0" collapsed="false">
      <c r="A2934" s="103"/>
      <c r="B2934" s="73"/>
      <c r="C2934" s="74"/>
      <c r="D2934" s="75"/>
      <c r="E2934" s="52" t="str">
        <f aca="false">IF(D2934&lt;&gt;"",IFERROR(VLOOKUP(D2934,PROVEEDORES!$A:$B,2,0),"!COD NO ENCONTRADO"),"")</f>
        <v/>
      </c>
      <c r="F2934" s="76" t="str">
        <f aca="false">IF(D2934&lt;&gt;"",IFERROR(VLOOKUP(D2934,PROVEEDORES!$A:$C,3,0),""),"")</f>
        <v/>
      </c>
      <c r="G2934" s="75"/>
      <c r="H2934" s="52" t="str">
        <f aca="false">IF(G2934&lt;&gt;"",IFERROR(VLOOKUP(G2934,PRODUCTOS!$A:$B,2,0),"!COD NO ENCONTRADO"),"")</f>
        <v/>
      </c>
      <c r="I2934" s="77"/>
      <c r="J2934" s="78"/>
      <c r="K2934" s="79"/>
      <c r="L2934" s="80" t="str">
        <f aca="false">IF(AND(J2934&lt;&gt;"",K2934&lt;&gt;""),J2934*K2934,"")</f>
        <v/>
      </c>
      <c r="M2934" s="81" t="str">
        <f aca="false">IF(L2934&lt;&gt;"",L2934*1.1,"")</f>
        <v/>
      </c>
      <c r="N2934" s="53" t="n">
        <f aca="false">IF(F2934="S",L2934*0.02,0)</f>
        <v>0</v>
      </c>
      <c r="O2934" s="82" t="str">
        <f aca="false">IF(L2934&lt;&gt;"",L2934+N2934,"")</f>
        <v/>
      </c>
      <c r="P2934" s="53" t="str">
        <f aca="false">IF(O2934&lt;&gt;"",O2934*0.1,"")</f>
        <v/>
      </c>
      <c r="Q2934" s="83" t="str">
        <f aca="false">IF(O2934&lt;&gt;"",O2934+P2934,"")</f>
        <v/>
      </c>
      <c r="R2934" s="84"/>
    </row>
    <row r="2935" customFormat="false" ht="15" hidden="false" customHeight="true" outlineLevel="0" collapsed="false">
      <c r="A2935" s="103"/>
      <c r="B2935" s="85"/>
      <c r="C2935" s="86"/>
      <c r="D2935" s="87"/>
      <c r="E2935" s="46" t="str">
        <f aca="false">IF(D2935&lt;&gt;"",IFERROR(VLOOKUP(D2935,PROVEEDORES!$A:$B,2,0),"!COD NO ENCONTRADO"),"")</f>
        <v/>
      </c>
      <c r="F2935" s="88" t="str">
        <f aca="false">IF(D2935&lt;&gt;"",IFERROR(VLOOKUP(D2935,PROVEEDORES!$A:$C,3,0),""),"")</f>
        <v/>
      </c>
      <c r="G2935" s="87"/>
      <c r="H2935" s="46" t="str">
        <f aca="false">IF(G2935&lt;&gt;"",IFERROR(VLOOKUP(G2935,PRODUCTOS!$A:$B,2,0),"!COD NO ENCONTRADO"),"")</f>
        <v/>
      </c>
      <c r="I2935" s="89"/>
      <c r="J2935" s="90"/>
      <c r="K2935" s="91"/>
      <c r="L2935" s="80" t="str">
        <f aca="false">IF(AND(J2935&lt;&gt;"",K2935&lt;&gt;""),J2935*K2935,"")</f>
        <v/>
      </c>
      <c r="M2935" s="81" t="str">
        <f aca="false">IF(L2935&lt;&gt;"",L2935*1.1,"")</f>
        <v/>
      </c>
      <c r="N2935" s="47" t="n">
        <f aca="false">IF(F2935="S",L2935*0.02,0)</f>
        <v>0</v>
      </c>
      <c r="O2935" s="82" t="str">
        <f aca="false">IF(L2935&lt;&gt;"",L2935+N2935,"")</f>
        <v/>
      </c>
      <c r="P2935" s="47" t="str">
        <f aca="false">IF(O2935&lt;&gt;"",O2935*0.1,"")</f>
        <v/>
      </c>
      <c r="Q2935" s="83" t="str">
        <f aca="false">IF(O2935&lt;&gt;"",O2935+P2935,"")</f>
        <v/>
      </c>
      <c r="R2935" s="84"/>
    </row>
    <row r="2936" customFormat="false" ht="15" hidden="false" customHeight="true" outlineLevel="0" collapsed="false">
      <c r="A2936" s="103"/>
      <c r="B2936" s="73"/>
      <c r="C2936" s="74"/>
      <c r="D2936" s="75"/>
      <c r="E2936" s="52" t="str">
        <f aca="false">IF(D2936&lt;&gt;"",IFERROR(VLOOKUP(D2936,PROVEEDORES!$A:$B,2,0),"!COD NO ENCONTRADO"),"")</f>
        <v/>
      </c>
      <c r="F2936" s="76" t="str">
        <f aca="false">IF(D2936&lt;&gt;"",IFERROR(VLOOKUP(D2936,PROVEEDORES!$A:$C,3,0),""),"")</f>
        <v/>
      </c>
      <c r="G2936" s="75"/>
      <c r="H2936" s="52" t="str">
        <f aca="false">IF(G2936&lt;&gt;"",IFERROR(VLOOKUP(G2936,PRODUCTOS!$A:$B,2,0),"!COD NO ENCONTRADO"),"")</f>
        <v/>
      </c>
      <c r="I2936" s="77"/>
      <c r="J2936" s="78"/>
      <c r="K2936" s="79"/>
      <c r="L2936" s="80" t="str">
        <f aca="false">IF(AND(J2936&lt;&gt;"",K2936&lt;&gt;""),J2936*K2936,"")</f>
        <v/>
      </c>
      <c r="M2936" s="81" t="str">
        <f aca="false">IF(L2936&lt;&gt;"",L2936*1.1,"")</f>
        <v/>
      </c>
      <c r="N2936" s="53" t="n">
        <f aca="false">IF(F2936="S",L2936*0.02,0)</f>
        <v>0</v>
      </c>
      <c r="O2936" s="82" t="str">
        <f aca="false">IF(L2936&lt;&gt;"",L2936+N2936,"")</f>
        <v/>
      </c>
      <c r="P2936" s="53" t="str">
        <f aca="false">IF(O2936&lt;&gt;"",O2936*0.1,"")</f>
        <v/>
      </c>
      <c r="Q2936" s="83" t="str">
        <f aca="false">IF(O2936&lt;&gt;"",O2936+P2936,"")</f>
        <v/>
      </c>
      <c r="R2936" s="84"/>
    </row>
    <row r="2937" customFormat="false" ht="15" hidden="false" customHeight="true" outlineLevel="0" collapsed="false">
      <c r="A2937" s="103"/>
      <c r="B2937" s="85"/>
      <c r="C2937" s="86"/>
      <c r="D2937" s="87"/>
      <c r="E2937" s="46" t="str">
        <f aca="false">IF(D2937&lt;&gt;"",IFERROR(VLOOKUP(D2937,PROVEEDORES!$A:$B,2,0),"!COD NO ENCONTRADO"),"")</f>
        <v/>
      </c>
      <c r="F2937" s="88" t="str">
        <f aca="false">IF(D2937&lt;&gt;"",IFERROR(VLOOKUP(D2937,PROVEEDORES!$A:$C,3,0),""),"")</f>
        <v/>
      </c>
      <c r="G2937" s="87"/>
      <c r="H2937" s="46" t="str">
        <f aca="false">IF(G2937&lt;&gt;"",IFERROR(VLOOKUP(G2937,PRODUCTOS!$A:$B,2,0),"!COD NO ENCONTRADO"),"")</f>
        <v/>
      </c>
      <c r="I2937" s="89"/>
      <c r="J2937" s="90"/>
      <c r="K2937" s="91"/>
      <c r="L2937" s="80" t="str">
        <f aca="false">IF(AND(J2937&lt;&gt;"",K2937&lt;&gt;""),J2937*K2937,"")</f>
        <v/>
      </c>
      <c r="M2937" s="81" t="str">
        <f aca="false">IF(L2937&lt;&gt;"",L2937*1.1,"")</f>
        <v/>
      </c>
      <c r="N2937" s="47" t="n">
        <f aca="false">IF(F2937="S",L2937*0.02,0)</f>
        <v>0</v>
      </c>
      <c r="O2937" s="82" t="str">
        <f aca="false">IF(L2937&lt;&gt;"",L2937+N2937,"")</f>
        <v/>
      </c>
      <c r="P2937" s="47" t="str">
        <f aca="false">IF(O2937&lt;&gt;"",O2937*0.1,"")</f>
        <v/>
      </c>
      <c r="Q2937" s="83" t="str">
        <f aca="false">IF(O2937&lt;&gt;"",O2937+P2937,"")</f>
        <v/>
      </c>
      <c r="R2937" s="84"/>
    </row>
    <row r="2938" customFormat="false" ht="15" hidden="false" customHeight="true" outlineLevel="0" collapsed="false">
      <c r="A2938" s="103"/>
      <c r="B2938" s="73"/>
      <c r="C2938" s="74"/>
      <c r="D2938" s="75"/>
      <c r="E2938" s="52" t="str">
        <f aca="false">IF(D2938&lt;&gt;"",IFERROR(VLOOKUP(D2938,PROVEEDORES!$A:$B,2,0),"!COD NO ENCONTRADO"),"")</f>
        <v/>
      </c>
      <c r="F2938" s="76" t="str">
        <f aca="false">IF(D2938&lt;&gt;"",IFERROR(VLOOKUP(D2938,PROVEEDORES!$A:$C,3,0),""),"")</f>
        <v/>
      </c>
      <c r="G2938" s="75"/>
      <c r="H2938" s="52" t="str">
        <f aca="false">IF(G2938&lt;&gt;"",IFERROR(VLOOKUP(G2938,PRODUCTOS!$A:$B,2,0),"!COD NO ENCONTRADO"),"")</f>
        <v/>
      </c>
      <c r="I2938" s="77"/>
      <c r="J2938" s="78"/>
      <c r="K2938" s="79"/>
      <c r="L2938" s="80" t="str">
        <f aca="false">IF(AND(J2938&lt;&gt;"",K2938&lt;&gt;""),J2938*K2938,"")</f>
        <v/>
      </c>
      <c r="M2938" s="81" t="str">
        <f aca="false">IF(L2938&lt;&gt;"",L2938*1.1,"")</f>
        <v/>
      </c>
      <c r="N2938" s="53" t="n">
        <f aca="false">IF(F2938="S",L2938*0.02,0)</f>
        <v>0</v>
      </c>
      <c r="O2938" s="82" t="str">
        <f aca="false">IF(L2938&lt;&gt;"",L2938+N2938,"")</f>
        <v/>
      </c>
      <c r="P2938" s="53" t="str">
        <f aca="false">IF(O2938&lt;&gt;"",O2938*0.1,"")</f>
        <v/>
      </c>
      <c r="Q2938" s="83" t="str">
        <f aca="false">IF(O2938&lt;&gt;"",O2938+P2938,"")</f>
        <v/>
      </c>
      <c r="R2938" s="84"/>
    </row>
    <row r="2939" customFormat="false" ht="15" hidden="false" customHeight="true" outlineLevel="0" collapsed="false">
      <c r="A2939" s="103"/>
      <c r="B2939" s="85"/>
      <c r="C2939" s="86"/>
      <c r="D2939" s="87"/>
      <c r="E2939" s="46" t="str">
        <f aca="false">IF(D2939&lt;&gt;"",IFERROR(VLOOKUP(D2939,PROVEEDORES!$A:$B,2,0),"!COD NO ENCONTRADO"),"")</f>
        <v/>
      </c>
      <c r="F2939" s="88" t="str">
        <f aca="false">IF(D2939&lt;&gt;"",IFERROR(VLOOKUP(D2939,PROVEEDORES!$A:$C,3,0),""),"")</f>
        <v/>
      </c>
      <c r="G2939" s="87"/>
      <c r="H2939" s="46" t="str">
        <f aca="false">IF(G2939&lt;&gt;"",IFERROR(VLOOKUP(G2939,PRODUCTOS!$A:$B,2,0),"!COD NO ENCONTRADO"),"")</f>
        <v/>
      </c>
      <c r="I2939" s="89"/>
      <c r="J2939" s="90"/>
      <c r="K2939" s="91"/>
      <c r="L2939" s="80" t="str">
        <f aca="false">IF(AND(J2939&lt;&gt;"",K2939&lt;&gt;""),J2939*K2939,"")</f>
        <v/>
      </c>
      <c r="M2939" s="81" t="str">
        <f aca="false">IF(L2939&lt;&gt;"",L2939*1.1,"")</f>
        <v/>
      </c>
      <c r="N2939" s="47" t="n">
        <f aca="false">IF(F2939="S",L2939*0.02,0)</f>
        <v>0</v>
      </c>
      <c r="O2939" s="82" t="str">
        <f aca="false">IF(L2939&lt;&gt;"",L2939+N2939,"")</f>
        <v/>
      </c>
      <c r="P2939" s="47" t="str">
        <f aca="false">IF(O2939&lt;&gt;"",O2939*0.1,"")</f>
        <v/>
      </c>
      <c r="Q2939" s="83" t="str">
        <f aca="false">IF(O2939&lt;&gt;"",O2939+P2939,"")</f>
        <v/>
      </c>
      <c r="R2939" s="84"/>
    </row>
    <row r="2940" customFormat="false" ht="15" hidden="false" customHeight="true" outlineLevel="0" collapsed="false">
      <c r="A2940" s="103"/>
      <c r="B2940" s="73"/>
      <c r="C2940" s="74"/>
      <c r="D2940" s="75"/>
      <c r="E2940" s="52" t="str">
        <f aca="false">IF(D2940&lt;&gt;"",IFERROR(VLOOKUP(D2940,PROVEEDORES!$A:$B,2,0),"!COD NO ENCONTRADO"),"")</f>
        <v/>
      </c>
      <c r="F2940" s="76" t="str">
        <f aca="false">IF(D2940&lt;&gt;"",IFERROR(VLOOKUP(D2940,PROVEEDORES!$A:$C,3,0),""),"")</f>
        <v/>
      </c>
      <c r="G2940" s="75"/>
      <c r="H2940" s="52" t="str">
        <f aca="false">IF(G2940&lt;&gt;"",IFERROR(VLOOKUP(G2940,PRODUCTOS!$A:$B,2,0),"!COD NO ENCONTRADO"),"")</f>
        <v/>
      </c>
      <c r="I2940" s="77"/>
      <c r="J2940" s="78"/>
      <c r="K2940" s="79"/>
      <c r="L2940" s="80" t="str">
        <f aca="false">IF(AND(J2940&lt;&gt;"",K2940&lt;&gt;""),J2940*K2940,"")</f>
        <v/>
      </c>
      <c r="M2940" s="81" t="str">
        <f aca="false">IF(L2940&lt;&gt;"",L2940*1.1,"")</f>
        <v/>
      </c>
      <c r="N2940" s="53" t="n">
        <f aca="false">IF(F2940="S",L2940*0.02,0)</f>
        <v>0</v>
      </c>
      <c r="O2940" s="82" t="str">
        <f aca="false">IF(L2940&lt;&gt;"",L2940+N2940,"")</f>
        <v/>
      </c>
      <c r="P2940" s="53" t="str">
        <f aca="false">IF(O2940&lt;&gt;"",O2940*0.1,"")</f>
        <v/>
      </c>
      <c r="Q2940" s="83" t="str">
        <f aca="false">IF(O2940&lt;&gt;"",O2940+P2940,"")</f>
        <v/>
      </c>
      <c r="R2940" s="84"/>
    </row>
    <row r="2941" customFormat="false" ht="15" hidden="false" customHeight="true" outlineLevel="0" collapsed="false">
      <c r="A2941" s="103"/>
      <c r="B2941" s="85"/>
      <c r="C2941" s="86"/>
      <c r="D2941" s="87"/>
      <c r="E2941" s="46" t="str">
        <f aca="false">IF(D2941&lt;&gt;"",IFERROR(VLOOKUP(D2941,PROVEEDORES!$A:$B,2,0),"!COD NO ENCONTRADO"),"")</f>
        <v/>
      </c>
      <c r="F2941" s="88" t="str">
        <f aca="false">IF(D2941&lt;&gt;"",IFERROR(VLOOKUP(D2941,PROVEEDORES!$A:$C,3,0),""),"")</f>
        <v/>
      </c>
      <c r="G2941" s="87"/>
      <c r="H2941" s="46" t="str">
        <f aca="false">IF(G2941&lt;&gt;"",IFERROR(VLOOKUP(G2941,PRODUCTOS!$A:$B,2,0),"!COD NO ENCONTRADO"),"")</f>
        <v/>
      </c>
      <c r="I2941" s="89"/>
      <c r="J2941" s="90"/>
      <c r="K2941" s="91"/>
      <c r="L2941" s="80" t="str">
        <f aca="false">IF(AND(J2941&lt;&gt;"",K2941&lt;&gt;""),J2941*K2941,"")</f>
        <v/>
      </c>
      <c r="M2941" s="81" t="str">
        <f aca="false">IF(L2941&lt;&gt;"",L2941*1.1,"")</f>
        <v/>
      </c>
      <c r="N2941" s="47" t="n">
        <f aca="false">IF(F2941="S",L2941*0.02,0)</f>
        <v>0</v>
      </c>
      <c r="O2941" s="82" t="str">
        <f aca="false">IF(L2941&lt;&gt;"",L2941+N2941,"")</f>
        <v/>
      </c>
      <c r="P2941" s="47" t="str">
        <f aca="false">IF(O2941&lt;&gt;"",O2941*0.1,"")</f>
        <v/>
      </c>
      <c r="Q2941" s="83" t="str">
        <f aca="false">IF(O2941&lt;&gt;"",O2941+P2941,"")</f>
        <v/>
      </c>
      <c r="R2941" s="84"/>
    </row>
    <row r="2942" customFormat="false" ht="15" hidden="false" customHeight="true" outlineLevel="0" collapsed="false">
      <c r="A2942" s="103"/>
      <c r="B2942" s="73"/>
      <c r="C2942" s="74"/>
      <c r="D2942" s="75"/>
      <c r="E2942" s="52" t="str">
        <f aca="false">IF(D2942&lt;&gt;"",IFERROR(VLOOKUP(D2942,PROVEEDORES!$A:$B,2,0),"!COD NO ENCONTRADO"),"")</f>
        <v/>
      </c>
      <c r="F2942" s="76" t="str">
        <f aca="false">IF(D2942&lt;&gt;"",IFERROR(VLOOKUP(D2942,PROVEEDORES!$A:$C,3,0),""),"")</f>
        <v/>
      </c>
      <c r="G2942" s="75"/>
      <c r="H2942" s="52" t="str">
        <f aca="false">IF(G2942&lt;&gt;"",IFERROR(VLOOKUP(G2942,PRODUCTOS!$A:$B,2,0),"!COD NO ENCONTRADO"),"")</f>
        <v/>
      </c>
      <c r="I2942" s="77"/>
      <c r="J2942" s="78"/>
      <c r="K2942" s="79"/>
      <c r="L2942" s="80" t="str">
        <f aca="false">IF(AND(J2942&lt;&gt;"",K2942&lt;&gt;""),J2942*K2942,"")</f>
        <v/>
      </c>
      <c r="M2942" s="81" t="str">
        <f aca="false">IF(L2942&lt;&gt;"",L2942*1.1,"")</f>
        <v/>
      </c>
      <c r="N2942" s="53" t="n">
        <f aca="false">IF(F2942="S",L2942*0.02,0)</f>
        <v>0</v>
      </c>
      <c r="O2942" s="82" t="str">
        <f aca="false">IF(L2942&lt;&gt;"",L2942+N2942,"")</f>
        <v/>
      </c>
      <c r="P2942" s="53" t="str">
        <f aca="false">IF(O2942&lt;&gt;"",O2942*0.1,"")</f>
        <v/>
      </c>
      <c r="Q2942" s="83" t="str">
        <f aca="false">IF(O2942&lt;&gt;"",O2942+P2942,"")</f>
        <v/>
      </c>
      <c r="R2942" s="84"/>
    </row>
    <row r="2943" customFormat="false" ht="15" hidden="false" customHeight="true" outlineLevel="0" collapsed="false">
      <c r="A2943" s="103"/>
      <c r="B2943" s="85"/>
      <c r="C2943" s="86"/>
      <c r="D2943" s="87"/>
      <c r="E2943" s="46" t="str">
        <f aca="false">IF(D2943&lt;&gt;"",IFERROR(VLOOKUP(D2943,PROVEEDORES!$A:$B,2,0),"!COD NO ENCONTRADO"),"")</f>
        <v/>
      </c>
      <c r="F2943" s="88" t="str">
        <f aca="false">IF(D2943&lt;&gt;"",IFERROR(VLOOKUP(D2943,PROVEEDORES!$A:$C,3,0),""),"")</f>
        <v/>
      </c>
      <c r="G2943" s="87"/>
      <c r="H2943" s="46" t="str">
        <f aca="false">IF(G2943&lt;&gt;"",IFERROR(VLOOKUP(G2943,PRODUCTOS!$A:$B,2,0),"!COD NO ENCONTRADO"),"")</f>
        <v/>
      </c>
      <c r="I2943" s="89"/>
      <c r="J2943" s="90"/>
      <c r="K2943" s="91"/>
      <c r="L2943" s="80" t="str">
        <f aca="false">IF(AND(J2943&lt;&gt;"",K2943&lt;&gt;""),J2943*K2943,"")</f>
        <v/>
      </c>
      <c r="M2943" s="81" t="str">
        <f aca="false">IF(L2943&lt;&gt;"",L2943*1.1,"")</f>
        <v/>
      </c>
      <c r="N2943" s="47" t="n">
        <f aca="false">IF(F2943="S",L2943*0.02,0)</f>
        <v>0</v>
      </c>
      <c r="O2943" s="82" t="str">
        <f aca="false">IF(L2943&lt;&gt;"",L2943+N2943,"")</f>
        <v/>
      </c>
      <c r="P2943" s="47" t="str">
        <f aca="false">IF(O2943&lt;&gt;"",O2943*0.1,"")</f>
        <v/>
      </c>
      <c r="Q2943" s="83" t="str">
        <f aca="false">IF(O2943&lt;&gt;"",O2943+P2943,"")</f>
        <v/>
      </c>
      <c r="R2943" s="84"/>
    </row>
    <row r="2944" customFormat="false" ht="15" hidden="false" customHeight="true" outlineLevel="0" collapsed="false">
      <c r="A2944" s="103"/>
      <c r="B2944" s="73"/>
      <c r="C2944" s="74"/>
      <c r="D2944" s="75"/>
      <c r="E2944" s="52" t="str">
        <f aca="false">IF(D2944&lt;&gt;"",IFERROR(VLOOKUP(D2944,PROVEEDORES!$A:$B,2,0),"!COD NO ENCONTRADO"),"")</f>
        <v/>
      </c>
      <c r="F2944" s="76" t="str">
        <f aca="false">IF(D2944&lt;&gt;"",IFERROR(VLOOKUP(D2944,PROVEEDORES!$A:$C,3,0),""),"")</f>
        <v/>
      </c>
      <c r="G2944" s="75"/>
      <c r="H2944" s="52" t="str">
        <f aca="false">IF(G2944&lt;&gt;"",IFERROR(VLOOKUP(G2944,PRODUCTOS!$A:$B,2,0),"!COD NO ENCONTRADO"),"")</f>
        <v/>
      </c>
      <c r="I2944" s="77"/>
      <c r="J2944" s="78"/>
      <c r="K2944" s="79"/>
      <c r="L2944" s="80" t="str">
        <f aca="false">IF(AND(J2944&lt;&gt;"",K2944&lt;&gt;""),J2944*K2944,"")</f>
        <v/>
      </c>
      <c r="M2944" s="81" t="str">
        <f aca="false">IF(L2944&lt;&gt;"",L2944*1.1,"")</f>
        <v/>
      </c>
      <c r="N2944" s="53" t="n">
        <f aca="false">IF(F2944="S",L2944*0.02,0)</f>
        <v>0</v>
      </c>
      <c r="O2944" s="82" t="str">
        <f aca="false">IF(L2944&lt;&gt;"",L2944+N2944,"")</f>
        <v/>
      </c>
      <c r="P2944" s="53" t="str">
        <f aca="false">IF(O2944&lt;&gt;"",O2944*0.1,"")</f>
        <v/>
      </c>
      <c r="Q2944" s="83" t="str">
        <f aca="false">IF(O2944&lt;&gt;"",O2944+P2944,"")</f>
        <v/>
      </c>
      <c r="R2944" s="84"/>
    </row>
    <row r="2945" customFormat="false" ht="15" hidden="false" customHeight="true" outlineLevel="0" collapsed="false">
      <c r="A2945" s="103"/>
      <c r="B2945" s="85"/>
      <c r="C2945" s="86"/>
      <c r="D2945" s="87"/>
      <c r="E2945" s="46" t="str">
        <f aca="false">IF(D2945&lt;&gt;"",IFERROR(VLOOKUP(D2945,PROVEEDORES!$A:$B,2,0),"!COD NO ENCONTRADO"),"")</f>
        <v/>
      </c>
      <c r="F2945" s="88" t="str">
        <f aca="false">IF(D2945&lt;&gt;"",IFERROR(VLOOKUP(D2945,PROVEEDORES!$A:$C,3,0),""),"")</f>
        <v/>
      </c>
      <c r="G2945" s="87"/>
      <c r="H2945" s="46" t="str">
        <f aca="false">IF(G2945&lt;&gt;"",IFERROR(VLOOKUP(G2945,PRODUCTOS!$A:$B,2,0),"!COD NO ENCONTRADO"),"")</f>
        <v/>
      </c>
      <c r="I2945" s="89"/>
      <c r="J2945" s="90"/>
      <c r="K2945" s="91"/>
      <c r="L2945" s="80" t="str">
        <f aca="false">IF(AND(J2945&lt;&gt;"",K2945&lt;&gt;""),J2945*K2945,"")</f>
        <v/>
      </c>
      <c r="M2945" s="81" t="str">
        <f aca="false">IF(L2945&lt;&gt;"",L2945*1.1,"")</f>
        <v/>
      </c>
      <c r="N2945" s="47" t="n">
        <f aca="false">IF(F2945="S",L2945*0.02,0)</f>
        <v>0</v>
      </c>
      <c r="O2945" s="82" t="str">
        <f aca="false">IF(L2945&lt;&gt;"",L2945+N2945,"")</f>
        <v/>
      </c>
      <c r="P2945" s="47" t="str">
        <f aca="false">IF(O2945&lt;&gt;"",O2945*0.1,"")</f>
        <v/>
      </c>
      <c r="Q2945" s="83" t="str">
        <f aca="false">IF(O2945&lt;&gt;"",O2945+P2945,"")</f>
        <v/>
      </c>
      <c r="R2945" s="84"/>
    </row>
    <row r="2946" customFormat="false" ht="15" hidden="false" customHeight="true" outlineLevel="0" collapsed="false">
      <c r="A2946" s="103"/>
      <c r="B2946" s="73"/>
      <c r="C2946" s="74"/>
      <c r="D2946" s="75"/>
      <c r="E2946" s="52" t="str">
        <f aca="false">IF(D2946&lt;&gt;"",IFERROR(VLOOKUP(D2946,PROVEEDORES!$A:$B,2,0),"!COD NO ENCONTRADO"),"")</f>
        <v/>
      </c>
      <c r="F2946" s="76" t="str">
        <f aca="false">IF(D2946&lt;&gt;"",IFERROR(VLOOKUP(D2946,PROVEEDORES!$A:$C,3,0),""),"")</f>
        <v/>
      </c>
      <c r="G2946" s="75"/>
      <c r="H2946" s="52" t="str">
        <f aca="false">IF(G2946&lt;&gt;"",IFERROR(VLOOKUP(G2946,PRODUCTOS!$A:$B,2,0),"!COD NO ENCONTRADO"),"")</f>
        <v/>
      </c>
      <c r="I2946" s="77"/>
      <c r="J2946" s="78"/>
      <c r="K2946" s="79"/>
      <c r="L2946" s="80" t="str">
        <f aca="false">IF(AND(J2946&lt;&gt;"",K2946&lt;&gt;""),J2946*K2946,"")</f>
        <v/>
      </c>
      <c r="M2946" s="81" t="str">
        <f aca="false">IF(L2946&lt;&gt;"",L2946*1.1,"")</f>
        <v/>
      </c>
      <c r="N2946" s="53" t="n">
        <f aca="false">IF(F2946="S",L2946*0.02,0)</f>
        <v>0</v>
      </c>
      <c r="O2946" s="82" t="str">
        <f aca="false">IF(L2946&lt;&gt;"",L2946+N2946,"")</f>
        <v/>
      </c>
      <c r="P2946" s="53" t="str">
        <f aca="false">IF(O2946&lt;&gt;"",O2946*0.1,"")</f>
        <v/>
      </c>
      <c r="Q2946" s="83" t="str">
        <f aca="false">IF(O2946&lt;&gt;"",O2946+P2946,"")</f>
        <v/>
      </c>
      <c r="R2946" s="84"/>
    </row>
    <row r="2947" customFormat="false" ht="15" hidden="false" customHeight="true" outlineLevel="0" collapsed="false">
      <c r="A2947" s="103"/>
      <c r="B2947" s="85"/>
      <c r="C2947" s="86"/>
      <c r="D2947" s="87"/>
      <c r="E2947" s="46" t="str">
        <f aca="false">IF(D2947&lt;&gt;"",IFERROR(VLOOKUP(D2947,PROVEEDORES!$A:$B,2,0),"!COD NO ENCONTRADO"),"")</f>
        <v/>
      </c>
      <c r="F2947" s="88" t="str">
        <f aca="false">IF(D2947&lt;&gt;"",IFERROR(VLOOKUP(D2947,PROVEEDORES!$A:$C,3,0),""),"")</f>
        <v/>
      </c>
      <c r="G2947" s="87"/>
      <c r="H2947" s="46" t="str">
        <f aca="false">IF(G2947&lt;&gt;"",IFERROR(VLOOKUP(G2947,PRODUCTOS!$A:$B,2,0),"!COD NO ENCONTRADO"),"")</f>
        <v/>
      </c>
      <c r="I2947" s="89"/>
      <c r="J2947" s="90"/>
      <c r="K2947" s="91"/>
      <c r="L2947" s="80" t="str">
        <f aca="false">IF(AND(J2947&lt;&gt;"",K2947&lt;&gt;""),J2947*K2947,"")</f>
        <v/>
      </c>
      <c r="M2947" s="81" t="str">
        <f aca="false">IF(L2947&lt;&gt;"",L2947*1.1,"")</f>
        <v/>
      </c>
      <c r="N2947" s="47" t="n">
        <f aca="false">IF(F2947="S",L2947*0.02,0)</f>
        <v>0</v>
      </c>
      <c r="O2947" s="82" t="str">
        <f aca="false">IF(L2947&lt;&gt;"",L2947+N2947,"")</f>
        <v/>
      </c>
      <c r="P2947" s="47" t="str">
        <f aca="false">IF(O2947&lt;&gt;"",O2947*0.1,"")</f>
        <v/>
      </c>
      <c r="Q2947" s="83" t="str">
        <f aca="false">IF(O2947&lt;&gt;"",O2947+P2947,"")</f>
        <v/>
      </c>
      <c r="R2947" s="84"/>
    </row>
    <row r="2948" customFormat="false" ht="15" hidden="false" customHeight="true" outlineLevel="0" collapsed="false">
      <c r="A2948" s="103"/>
      <c r="B2948" s="73"/>
      <c r="C2948" s="74"/>
      <c r="D2948" s="75"/>
      <c r="E2948" s="52" t="str">
        <f aca="false">IF(D2948&lt;&gt;"",IFERROR(VLOOKUP(D2948,PROVEEDORES!$A:$B,2,0),"!COD NO ENCONTRADO"),"")</f>
        <v/>
      </c>
      <c r="F2948" s="76" t="str">
        <f aca="false">IF(D2948&lt;&gt;"",IFERROR(VLOOKUP(D2948,PROVEEDORES!$A:$C,3,0),""),"")</f>
        <v/>
      </c>
      <c r="G2948" s="75"/>
      <c r="H2948" s="52" t="str">
        <f aca="false">IF(G2948&lt;&gt;"",IFERROR(VLOOKUP(G2948,PRODUCTOS!$A:$B,2,0),"!COD NO ENCONTRADO"),"")</f>
        <v/>
      </c>
      <c r="I2948" s="77"/>
      <c r="J2948" s="78"/>
      <c r="K2948" s="79"/>
      <c r="L2948" s="80" t="str">
        <f aca="false">IF(AND(J2948&lt;&gt;"",K2948&lt;&gt;""),J2948*K2948,"")</f>
        <v/>
      </c>
      <c r="M2948" s="81" t="str">
        <f aca="false">IF(L2948&lt;&gt;"",L2948*1.1,"")</f>
        <v/>
      </c>
      <c r="N2948" s="53" t="n">
        <f aca="false">IF(F2948="S",L2948*0.02,0)</f>
        <v>0</v>
      </c>
      <c r="O2948" s="82" t="str">
        <f aca="false">IF(L2948&lt;&gt;"",L2948+N2948,"")</f>
        <v/>
      </c>
      <c r="P2948" s="53" t="str">
        <f aca="false">IF(O2948&lt;&gt;"",O2948*0.1,"")</f>
        <v/>
      </c>
      <c r="Q2948" s="83" t="str">
        <f aca="false">IF(O2948&lt;&gt;"",O2948+P2948,"")</f>
        <v/>
      </c>
      <c r="R2948" s="84"/>
    </row>
    <row r="2949" customFormat="false" ht="15" hidden="false" customHeight="true" outlineLevel="0" collapsed="false">
      <c r="A2949" s="103"/>
      <c r="B2949" s="85"/>
      <c r="C2949" s="86"/>
      <c r="D2949" s="87"/>
      <c r="E2949" s="46" t="str">
        <f aca="false">IF(D2949&lt;&gt;"",IFERROR(VLOOKUP(D2949,PROVEEDORES!$A:$B,2,0),"!COD NO ENCONTRADO"),"")</f>
        <v/>
      </c>
      <c r="F2949" s="88" t="str">
        <f aca="false">IF(D2949&lt;&gt;"",IFERROR(VLOOKUP(D2949,PROVEEDORES!$A:$C,3,0),""),"")</f>
        <v/>
      </c>
      <c r="G2949" s="87"/>
      <c r="H2949" s="46" t="str">
        <f aca="false">IF(G2949&lt;&gt;"",IFERROR(VLOOKUP(G2949,PRODUCTOS!$A:$B,2,0),"!COD NO ENCONTRADO"),"")</f>
        <v/>
      </c>
      <c r="I2949" s="89"/>
      <c r="J2949" s="90"/>
      <c r="K2949" s="91"/>
      <c r="L2949" s="80" t="str">
        <f aca="false">IF(AND(J2949&lt;&gt;"",K2949&lt;&gt;""),J2949*K2949,"")</f>
        <v/>
      </c>
      <c r="M2949" s="81" t="str">
        <f aca="false">IF(L2949&lt;&gt;"",L2949*1.1,"")</f>
        <v/>
      </c>
      <c r="N2949" s="47" t="n">
        <f aca="false">IF(F2949="S",L2949*0.02,0)</f>
        <v>0</v>
      </c>
      <c r="O2949" s="82" t="str">
        <f aca="false">IF(L2949&lt;&gt;"",L2949+N2949,"")</f>
        <v/>
      </c>
      <c r="P2949" s="47" t="str">
        <f aca="false">IF(O2949&lt;&gt;"",O2949*0.1,"")</f>
        <v/>
      </c>
      <c r="Q2949" s="83" t="str">
        <f aca="false">IF(O2949&lt;&gt;"",O2949+P2949,"")</f>
        <v/>
      </c>
      <c r="R2949" s="84"/>
    </row>
    <row r="2950" customFormat="false" ht="15" hidden="false" customHeight="true" outlineLevel="0" collapsed="false">
      <c r="A2950" s="103"/>
      <c r="B2950" s="73"/>
      <c r="C2950" s="74"/>
      <c r="D2950" s="75"/>
      <c r="E2950" s="52" t="str">
        <f aca="false">IF(D2950&lt;&gt;"",IFERROR(VLOOKUP(D2950,PROVEEDORES!$A:$B,2,0),"!COD NO ENCONTRADO"),"")</f>
        <v/>
      </c>
      <c r="F2950" s="76" t="str">
        <f aca="false">IF(D2950&lt;&gt;"",IFERROR(VLOOKUP(D2950,PROVEEDORES!$A:$C,3,0),""),"")</f>
        <v/>
      </c>
      <c r="G2950" s="75"/>
      <c r="H2950" s="52" t="str">
        <f aca="false">IF(G2950&lt;&gt;"",IFERROR(VLOOKUP(G2950,PRODUCTOS!$A:$B,2,0),"!COD NO ENCONTRADO"),"")</f>
        <v/>
      </c>
      <c r="I2950" s="77"/>
      <c r="J2950" s="78"/>
      <c r="K2950" s="79"/>
      <c r="L2950" s="80" t="str">
        <f aca="false">IF(AND(J2950&lt;&gt;"",K2950&lt;&gt;""),J2950*K2950,"")</f>
        <v/>
      </c>
      <c r="M2950" s="81" t="str">
        <f aca="false">IF(L2950&lt;&gt;"",L2950*1.1,"")</f>
        <v/>
      </c>
      <c r="N2950" s="53" t="n">
        <f aca="false">IF(F2950="S",L2950*0.02,0)</f>
        <v>0</v>
      </c>
      <c r="O2950" s="82" t="str">
        <f aca="false">IF(L2950&lt;&gt;"",L2950+N2950,"")</f>
        <v/>
      </c>
      <c r="P2950" s="53" t="str">
        <f aca="false">IF(O2950&lt;&gt;"",O2950*0.1,"")</f>
        <v/>
      </c>
      <c r="Q2950" s="83" t="str">
        <f aca="false">IF(O2950&lt;&gt;"",O2950+P2950,"")</f>
        <v/>
      </c>
      <c r="R2950" s="84"/>
    </row>
    <row r="2951" customFormat="false" ht="15" hidden="false" customHeight="true" outlineLevel="0" collapsed="false">
      <c r="A2951" s="103"/>
      <c r="B2951" s="85"/>
      <c r="C2951" s="86"/>
      <c r="D2951" s="87"/>
      <c r="E2951" s="46" t="str">
        <f aca="false">IF(D2951&lt;&gt;"",IFERROR(VLOOKUP(D2951,PROVEEDORES!$A:$B,2,0),"!COD NO ENCONTRADO"),"")</f>
        <v/>
      </c>
      <c r="F2951" s="88" t="str">
        <f aca="false">IF(D2951&lt;&gt;"",IFERROR(VLOOKUP(D2951,PROVEEDORES!$A:$C,3,0),""),"")</f>
        <v/>
      </c>
      <c r="G2951" s="87"/>
      <c r="H2951" s="46" t="str">
        <f aca="false">IF(G2951&lt;&gt;"",IFERROR(VLOOKUP(G2951,PRODUCTOS!$A:$B,2,0),"!COD NO ENCONTRADO"),"")</f>
        <v/>
      </c>
      <c r="I2951" s="89"/>
      <c r="J2951" s="90"/>
      <c r="K2951" s="91"/>
      <c r="L2951" s="80" t="str">
        <f aca="false">IF(AND(J2951&lt;&gt;"",K2951&lt;&gt;""),J2951*K2951,"")</f>
        <v/>
      </c>
      <c r="M2951" s="81" t="str">
        <f aca="false">IF(L2951&lt;&gt;"",L2951*1.1,"")</f>
        <v/>
      </c>
      <c r="N2951" s="47" t="n">
        <f aca="false">IF(F2951="S",L2951*0.02,0)</f>
        <v>0</v>
      </c>
      <c r="O2951" s="82" t="str">
        <f aca="false">IF(L2951&lt;&gt;"",L2951+N2951,"")</f>
        <v/>
      </c>
      <c r="P2951" s="47" t="str">
        <f aca="false">IF(O2951&lt;&gt;"",O2951*0.1,"")</f>
        <v/>
      </c>
      <c r="Q2951" s="83" t="str">
        <f aca="false">IF(O2951&lt;&gt;"",O2951+P2951,"")</f>
        <v/>
      </c>
      <c r="R2951" s="84"/>
    </row>
    <row r="2952" customFormat="false" ht="15" hidden="false" customHeight="true" outlineLevel="0" collapsed="false">
      <c r="A2952" s="103"/>
      <c r="B2952" s="73"/>
      <c r="C2952" s="74"/>
      <c r="D2952" s="75"/>
      <c r="E2952" s="52" t="str">
        <f aca="false">IF(D2952&lt;&gt;"",IFERROR(VLOOKUP(D2952,PROVEEDORES!$A:$B,2,0),"!COD NO ENCONTRADO"),"")</f>
        <v/>
      </c>
      <c r="F2952" s="76" t="str">
        <f aca="false">IF(D2952&lt;&gt;"",IFERROR(VLOOKUP(D2952,PROVEEDORES!$A:$C,3,0),""),"")</f>
        <v/>
      </c>
      <c r="G2952" s="75"/>
      <c r="H2952" s="52" t="str">
        <f aca="false">IF(G2952&lt;&gt;"",IFERROR(VLOOKUP(G2952,PRODUCTOS!$A:$B,2,0),"!COD NO ENCONTRADO"),"")</f>
        <v/>
      </c>
      <c r="I2952" s="77"/>
      <c r="J2952" s="78"/>
      <c r="K2952" s="79"/>
      <c r="L2952" s="80" t="str">
        <f aca="false">IF(AND(J2952&lt;&gt;"",K2952&lt;&gt;""),J2952*K2952,"")</f>
        <v/>
      </c>
      <c r="M2952" s="81" t="str">
        <f aca="false">IF(L2952&lt;&gt;"",L2952*1.1,"")</f>
        <v/>
      </c>
      <c r="N2952" s="53" t="n">
        <f aca="false">IF(F2952="S",L2952*0.02,0)</f>
        <v>0</v>
      </c>
      <c r="O2952" s="82" t="str">
        <f aca="false">IF(L2952&lt;&gt;"",L2952+N2952,"")</f>
        <v/>
      </c>
      <c r="P2952" s="53" t="str">
        <f aca="false">IF(O2952&lt;&gt;"",O2952*0.1,"")</f>
        <v/>
      </c>
      <c r="Q2952" s="83" t="str">
        <f aca="false">IF(O2952&lt;&gt;"",O2952+P2952,"")</f>
        <v/>
      </c>
      <c r="R2952" s="84"/>
    </row>
    <row r="2953" customFormat="false" ht="15" hidden="false" customHeight="true" outlineLevel="0" collapsed="false">
      <c r="A2953" s="103"/>
      <c r="B2953" s="85"/>
      <c r="C2953" s="86"/>
      <c r="D2953" s="87"/>
      <c r="E2953" s="46" t="str">
        <f aca="false">IF(D2953&lt;&gt;"",IFERROR(VLOOKUP(D2953,PROVEEDORES!$A:$B,2,0),"!COD NO ENCONTRADO"),"")</f>
        <v/>
      </c>
      <c r="F2953" s="88" t="str">
        <f aca="false">IF(D2953&lt;&gt;"",IFERROR(VLOOKUP(D2953,PROVEEDORES!$A:$C,3,0),""),"")</f>
        <v/>
      </c>
      <c r="G2953" s="87"/>
      <c r="H2953" s="46" t="str">
        <f aca="false">IF(G2953&lt;&gt;"",IFERROR(VLOOKUP(G2953,PRODUCTOS!$A:$B,2,0),"!COD NO ENCONTRADO"),"")</f>
        <v/>
      </c>
      <c r="I2953" s="89"/>
      <c r="J2953" s="90"/>
      <c r="K2953" s="91"/>
      <c r="L2953" s="80" t="str">
        <f aca="false">IF(AND(J2953&lt;&gt;"",K2953&lt;&gt;""),J2953*K2953,"")</f>
        <v/>
      </c>
      <c r="M2953" s="81" t="str">
        <f aca="false">IF(L2953&lt;&gt;"",L2953*1.1,"")</f>
        <v/>
      </c>
      <c r="N2953" s="47" t="n">
        <f aca="false">IF(F2953="S",L2953*0.02,0)</f>
        <v>0</v>
      </c>
      <c r="O2953" s="82" t="str">
        <f aca="false">IF(L2953&lt;&gt;"",L2953+N2953,"")</f>
        <v/>
      </c>
      <c r="P2953" s="47" t="str">
        <f aca="false">IF(O2953&lt;&gt;"",O2953*0.1,"")</f>
        <v/>
      </c>
      <c r="Q2953" s="83" t="str">
        <f aca="false">IF(O2953&lt;&gt;"",O2953+P2953,"")</f>
        <v/>
      </c>
      <c r="R2953" s="84"/>
    </row>
    <row r="2954" customFormat="false" ht="15" hidden="false" customHeight="true" outlineLevel="0" collapsed="false">
      <c r="A2954" s="103"/>
      <c r="B2954" s="73"/>
      <c r="C2954" s="74"/>
      <c r="D2954" s="75"/>
      <c r="E2954" s="52" t="str">
        <f aca="false">IF(D2954&lt;&gt;"",IFERROR(VLOOKUP(D2954,PROVEEDORES!$A:$B,2,0),"!COD NO ENCONTRADO"),"")</f>
        <v/>
      </c>
      <c r="F2954" s="76" t="str">
        <f aca="false">IF(D2954&lt;&gt;"",IFERROR(VLOOKUP(D2954,PROVEEDORES!$A:$C,3,0),""),"")</f>
        <v/>
      </c>
      <c r="G2954" s="75"/>
      <c r="H2954" s="52" t="str">
        <f aca="false">IF(G2954&lt;&gt;"",IFERROR(VLOOKUP(G2954,PRODUCTOS!$A:$B,2,0),"!COD NO ENCONTRADO"),"")</f>
        <v/>
      </c>
      <c r="I2954" s="77"/>
      <c r="J2954" s="78"/>
      <c r="K2954" s="79"/>
      <c r="L2954" s="80" t="str">
        <f aca="false">IF(AND(J2954&lt;&gt;"",K2954&lt;&gt;""),J2954*K2954,"")</f>
        <v/>
      </c>
      <c r="M2954" s="81" t="str">
        <f aca="false">IF(L2954&lt;&gt;"",L2954*1.1,"")</f>
        <v/>
      </c>
      <c r="N2954" s="53" t="n">
        <f aca="false">IF(F2954="S",L2954*0.02,0)</f>
        <v>0</v>
      </c>
      <c r="O2954" s="82" t="str">
        <f aca="false">IF(L2954&lt;&gt;"",L2954+N2954,"")</f>
        <v/>
      </c>
      <c r="P2954" s="53" t="str">
        <f aca="false">IF(O2954&lt;&gt;"",O2954*0.1,"")</f>
        <v/>
      </c>
      <c r="Q2954" s="83" t="str">
        <f aca="false">IF(O2954&lt;&gt;"",O2954+P2954,"")</f>
        <v/>
      </c>
      <c r="R2954" s="84"/>
    </row>
    <row r="2955" customFormat="false" ht="15" hidden="false" customHeight="true" outlineLevel="0" collapsed="false">
      <c r="A2955" s="103"/>
      <c r="B2955" s="85"/>
      <c r="C2955" s="86"/>
      <c r="D2955" s="87"/>
      <c r="E2955" s="46" t="str">
        <f aca="false">IF(D2955&lt;&gt;"",IFERROR(VLOOKUP(D2955,PROVEEDORES!$A:$B,2,0),"!COD NO ENCONTRADO"),"")</f>
        <v/>
      </c>
      <c r="F2955" s="88" t="str">
        <f aca="false">IF(D2955&lt;&gt;"",IFERROR(VLOOKUP(D2955,PROVEEDORES!$A:$C,3,0),""),"")</f>
        <v/>
      </c>
      <c r="G2955" s="87"/>
      <c r="H2955" s="46" t="str">
        <f aca="false">IF(G2955&lt;&gt;"",IFERROR(VLOOKUP(G2955,PRODUCTOS!$A:$B,2,0),"!COD NO ENCONTRADO"),"")</f>
        <v/>
      </c>
      <c r="I2955" s="89"/>
      <c r="J2955" s="90"/>
      <c r="K2955" s="91"/>
      <c r="L2955" s="80" t="str">
        <f aca="false">IF(AND(J2955&lt;&gt;"",K2955&lt;&gt;""),J2955*K2955,"")</f>
        <v/>
      </c>
      <c r="M2955" s="81" t="str">
        <f aca="false">IF(L2955&lt;&gt;"",L2955*1.1,"")</f>
        <v/>
      </c>
      <c r="N2955" s="47" t="n">
        <f aca="false">IF(F2955="S",L2955*0.02,0)</f>
        <v>0</v>
      </c>
      <c r="O2955" s="82" t="str">
        <f aca="false">IF(L2955&lt;&gt;"",L2955+N2955,"")</f>
        <v/>
      </c>
      <c r="P2955" s="47" t="str">
        <f aca="false">IF(O2955&lt;&gt;"",O2955*0.1,"")</f>
        <v/>
      </c>
      <c r="Q2955" s="83" t="str">
        <f aca="false">IF(O2955&lt;&gt;"",O2955+P2955,"")</f>
        <v/>
      </c>
      <c r="R2955" s="84"/>
    </row>
    <row r="2956" customFormat="false" ht="15" hidden="false" customHeight="true" outlineLevel="0" collapsed="false">
      <c r="A2956" s="103"/>
      <c r="B2956" s="73"/>
      <c r="C2956" s="74"/>
      <c r="D2956" s="75"/>
      <c r="E2956" s="52" t="str">
        <f aca="false">IF(D2956&lt;&gt;"",IFERROR(VLOOKUP(D2956,PROVEEDORES!$A:$B,2,0),"!COD NO ENCONTRADO"),"")</f>
        <v/>
      </c>
      <c r="F2956" s="76" t="str">
        <f aca="false">IF(D2956&lt;&gt;"",IFERROR(VLOOKUP(D2956,PROVEEDORES!$A:$C,3,0),""),"")</f>
        <v/>
      </c>
      <c r="G2956" s="75"/>
      <c r="H2956" s="52" t="str">
        <f aca="false">IF(G2956&lt;&gt;"",IFERROR(VLOOKUP(G2956,PRODUCTOS!$A:$B,2,0),"!COD NO ENCONTRADO"),"")</f>
        <v/>
      </c>
      <c r="I2956" s="77"/>
      <c r="J2956" s="78"/>
      <c r="K2956" s="79"/>
      <c r="L2956" s="80" t="str">
        <f aca="false">IF(AND(J2956&lt;&gt;"",K2956&lt;&gt;""),J2956*K2956,"")</f>
        <v/>
      </c>
      <c r="M2956" s="81" t="str">
        <f aca="false">IF(L2956&lt;&gt;"",L2956*1.1,"")</f>
        <v/>
      </c>
      <c r="N2956" s="53" t="n">
        <f aca="false">IF(F2956="S",L2956*0.02,0)</f>
        <v>0</v>
      </c>
      <c r="O2956" s="82" t="str">
        <f aca="false">IF(L2956&lt;&gt;"",L2956+N2956,"")</f>
        <v/>
      </c>
      <c r="P2956" s="53" t="str">
        <f aca="false">IF(O2956&lt;&gt;"",O2956*0.1,"")</f>
        <v/>
      </c>
      <c r="Q2956" s="83" t="str">
        <f aca="false">IF(O2956&lt;&gt;"",O2956+P2956,"")</f>
        <v/>
      </c>
      <c r="R2956" s="84"/>
    </row>
    <row r="2957" customFormat="false" ht="15" hidden="false" customHeight="true" outlineLevel="0" collapsed="false">
      <c r="A2957" s="103"/>
      <c r="B2957" s="85"/>
      <c r="C2957" s="86"/>
      <c r="D2957" s="87"/>
      <c r="E2957" s="46" t="str">
        <f aca="false">IF(D2957&lt;&gt;"",IFERROR(VLOOKUP(D2957,PROVEEDORES!$A:$B,2,0),"!COD NO ENCONTRADO"),"")</f>
        <v/>
      </c>
      <c r="F2957" s="88" t="str">
        <f aca="false">IF(D2957&lt;&gt;"",IFERROR(VLOOKUP(D2957,PROVEEDORES!$A:$C,3,0),""),"")</f>
        <v/>
      </c>
      <c r="G2957" s="87"/>
      <c r="H2957" s="46" t="str">
        <f aca="false">IF(G2957&lt;&gt;"",IFERROR(VLOOKUP(G2957,PRODUCTOS!$A:$B,2,0),"!COD NO ENCONTRADO"),"")</f>
        <v/>
      </c>
      <c r="I2957" s="89"/>
      <c r="J2957" s="90"/>
      <c r="K2957" s="91"/>
      <c r="L2957" s="80" t="str">
        <f aca="false">IF(AND(J2957&lt;&gt;"",K2957&lt;&gt;""),J2957*K2957,"")</f>
        <v/>
      </c>
      <c r="M2957" s="81" t="str">
        <f aca="false">IF(L2957&lt;&gt;"",L2957*1.1,"")</f>
        <v/>
      </c>
      <c r="N2957" s="47" t="n">
        <f aca="false">IF(F2957="S",L2957*0.02,0)</f>
        <v>0</v>
      </c>
      <c r="O2957" s="82" t="str">
        <f aca="false">IF(L2957&lt;&gt;"",L2957+N2957,"")</f>
        <v/>
      </c>
      <c r="P2957" s="47" t="str">
        <f aca="false">IF(O2957&lt;&gt;"",O2957*0.1,"")</f>
        <v/>
      </c>
      <c r="Q2957" s="83" t="str">
        <f aca="false">IF(O2957&lt;&gt;"",O2957+P2957,"")</f>
        <v/>
      </c>
      <c r="R2957" s="84"/>
    </row>
    <row r="2958" customFormat="false" ht="15" hidden="false" customHeight="true" outlineLevel="0" collapsed="false">
      <c r="A2958" s="103"/>
      <c r="B2958" s="73"/>
      <c r="C2958" s="74"/>
      <c r="D2958" s="75"/>
      <c r="E2958" s="52" t="str">
        <f aca="false">IF(D2958&lt;&gt;"",IFERROR(VLOOKUP(D2958,PROVEEDORES!$A:$B,2,0),"!COD NO ENCONTRADO"),"")</f>
        <v/>
      </c>
      <c r="F2958" s="76" t="str">
        <f aca="false">IF(D2958&lt;&gt;"",IFERROR(VLOOKUP(D2958,PROVEEDORES!$A:$C,3,0),""),"")</f>
        <v/>
      </c>
      <c r="G2958" s="75"/>
      <c r="H2958" s="52" t="str">
        <f aca="false">IF(G2958&lt;&gt;"",IFERROR(VLOOKUP(G2958,PRODUCTOS!$A:$B,2,0),"!COD NO ENCONTRADO"),"")</f>
        <v/>
      </c>
      <c r="I2958" s="77"/>
      <c r="J2958" s="78"/>
      <c r="K2958" s="79"/>
      <c r="L2958" s="80" t="str">
        <f aca="false">IF(AND(J2958&lt;&gt;"",K2958&lt;&gt;""),J2958*K2958,"")</f>
        <v/>
      </c>
      <c r="M2958" s="81" t="str">
        <f aca="false">IF(L2958&lt;&gt;"",L2958*1.1,"")</f>
        <v/>
      </c>
      <c r="N2958" s="53" t="n">
        <f aca="false">IF(F2958="S",L2958*0.02,0)</f>
        <v>0</v>
      </c>
      <c r="O2958" s="82" t="str">
        <f aca="false">IF(L2958&lt;&gt;"",L2958+N2958,"")</f>
        <v/>
      </c>
      <c r="P2958" s="53" t="str">
        <f aca="false">IF(O2958&lt;&gt;"",O2958*0.1,"")</f>
        <v/>
      </c>
      <c r="Q2958" s="83" t="str">
        <f aca="false">IF(O2958&lt;&gt;"",O2958+P2958,"")</f>
        <v/>
      </c>
      <c r="R2958" s="84"/>
    </row>
    <row r="2959" customFormat="false" ht="15" hidden="false" customHeight="true" outlineLevel="0" collapsed="false">
      <c r="A2959" s="103"/>
      <c r="B2959" s="85"/>
      <c r="C2959" s="86"/>
      <c r="D2959" s="87"/>
      <c r="E2959" s="46" t="str">
        <f aca="false">IF(D2959&lt;&gt;"",IFERROR(VLOOKUP(D2959,PROVEEDORES!$A:$B,2,0),"!COD NO ENCONTRADO"),"")</f>
        <v/>
      </c>
      <c r="F2959" s="88" t="str">
        <f aca="false">IF(D2959&lt;&gt;"",IFERROR(VLOOKUP(D2959,PROVEEDORES!$A:$C,3,0),""),"")</f>
        <v/>
      </c>
      <c r="G2959" s="87"/>
      <c r="H2959" s="46" t="str">
        <f aca="false">IF(G2959&lt;&gt;"",IFERROR(VLOOKUP(G2959,PRODUCTOS!$A:$B,2,0),"!COD NO ENCONTRADO"),"")</f>
        <v/>
      </c>
      <c r="I2959" s="89"/>
      <c r="J2959" s="90"/>
      <c r="K2959" s="91"/>
      <c r="L2959" s="80" t="str">
        <f aca="false">IF(AND(J2959&lt;&gt;"",K2959&lt;&gt;""),J2959*K2959,"")</f>
        <v/>
      </c>
      <c r="M2959" s="81" t="str">
        <f aca="false">IF(L2959&lt;&gt;"",L2959*1.1,"")</f>
        <v/>
      </c>
      <c r="N2959" s="47" t="n">
        <f aca="false">IF(F2959="S",L2959*0.02,0)</f>
        <v>0</v>
      </c>
      <c r="O2959" s="82" t="str">
        <f aca="false">IF(L2959&lt;&gt;"",L2959+N2959,"")</f>
        <v/>
      </c>
      <c r="P2959" s="47" t="str">
        <f aca="false">IF(O2959&lt;&gt;"",O2959*0.1,"")</f>
        <v/>
      </c>
      <c r="Q2959" s="83" t="str">
        <f aca="false">IF(O2959&lt;&gt;"",O2959+P2959,"")</f>
        <v/>
      </c>
      <c r="R2959" s="84"/>
    </row>
    <row r="2960" customFormat="false" ht="15" hidden="false" customHeight="true" outlineLevel="0" collapsed="false">
      <c r="A2960" s="103"/>
      <c r="B2960" s="73"/>
      <c r="C2960" s="74"/>
      <c r="D2960" s="75"/>
      <c r="E2960" s="52" t="str">
        <f aca="false">IF(D2960&lt;&gt;"",IFERROR(VLOOKUP(D2960,PROVEEDORES!$A:$B,2,0),"!COD NO ENCONTRADO"),"")</f>
        <v/>
      </c>
      <c r="F2960" s="76" t="str">
        <f aca="false">IF(D2960&lt;&gt;"",IFERROR(VLOOKUP(D2960,PROVEEDORES!$A:$C,3,0),""),"")</f>
        <v/>
      </c>
      <c r="G2960" s="75"/>
      <c r="H2960" s="52" t="str">
        <f aca="false">IF(G2960&lt;&gt;"",IFERROR(VLOOKUP(G2960,PRODUCTOS!$A:$B,2,0),"!COD NO ENCONTRADO"),"")</f>
        <v/>
      </c>
      <c r="I2960" s="77"/>
      <c r="J2960" s="78"/>
      <c r="K2960" s="79"/>
      <c r="L2960" s="80" t="str">
        <f aca="false">IF(AND(J2960&lt;&gt;"",K2960&lt;&gt;""),J2960*K2960,"")</f>
        <v/>
      </c>
      <c r="M2960" s="81" t="str">
        <f aca="false">IF(L2960&lt;&gt;"",L2960*1.1,"")</f>
        <v/>
      </c>
      <c r="N2960" s="53" t="n">
        <f aca="false">IF(F2960="S",L2960*0.02,0)</f>
        <v>0</v>
      </c>
      <c r="O2960" s="82" t="str">
        <f aca="false">IF(L2960&lt;&gt;"",L2960+N2960,"")</f>
        <v/>
      </c>
      <c r="P2960" s="53" t="str">
        <f aca="false">IF(O2960&lt;&gt;"",O2960*0.1,"")</f>
        <v/>
      </c>
      <c r="Q2960" s="83" t="str">
        <f aca="false">IF(O2960&lt;&gt;"",O2960+P2960,"")</f>
        <v/>
      </c>
      <c r="R2960" s="84"/>
    </row>
    <row r="2961" customFormat="false" ht="15" hidden="false" customHeight="true" outlineLevel="0" collapsed="false">
      <c r="A2961" s="103"/>
      <c r="B2961" s="85"/>
      <c r="C2961" s="86"/>
      <c r="D2961" s="87"/>
      <c r="E2961" s="46" t="str">
        <f aca="false">IF(D2961&lt;&gt;"",IFERROR(VLOOKUP(D2961,PROVEEDORES!$A:$B,2,0),"!COD NO ENCONTRADO"),"")</f>
        <v/>
      </c>
      <c r="F2961" s="88" t="str">
        <f aca="false">IF(D2961&lt;&gt;"",IFERROR(VLOOKUP(D2961,PROVEEDORES!$A:$C,3,0),""),"")</f>
        <v/>
      </c>
      <c r="G2961" s="87"/>
      <c r="H2961" s="46" t="str">
        <f aca="false">IF(G2961&lt;&gt;"",IFERROR(VLOOKUP(G2961,PRODUCTOS!$A:$B,2,0),"!COD NO ENCONTRADO"),"")</f>
        <v/>
      </c>
      <c r="I2961" s="89"/>
      <c r="J2961" s="90"/>
      <c r="K2961" s="91"/>
      <c r="L2961" s="80" t="str">
        <f aca="false">IF(AND(J2961&lt;&gt;"",K2961&lt;&gt;""),J2961*K2961,"")</f>
        <v/>
      </c>
      <c r="M2961" s="81" t="str">
        <f aca="false">IF(L2961&lt;&gt;"",L2961*1.1,"")</f>
        <v/>
      </c>
      <c r="N2961" s="47" t="n">
        <f aca="false">IF(F2961="S",L2961*0.02,0)</f>
        <v>0</v>
      </c>
      <c r="O2961" s="82" t="str">
        <f aca="false">IF(L2961&lt;&gt;"",L2961+N2961,"")</f>
        <v/>
      </c>
      <c r="P2961" s="47" t="str">
        <f aca="false">IF(O2961&lt;&gt;"",O2961*0.1,"")</f>
        <v/>
      </c>
      <c r="Q2961" s="83" t="str">
        <f aca="false">IF(O2961&lt;&gt;"",O2961+P2961,"")</f>
        <v/>
      </c>
      <c r="R2961" s="84"/>
    </row>
    <row r="2962" customFormat="false" ht="15" hidden="false" customHeight="true" outlineLevel="0" collapsed="false">
      <c r="A2962" s="103"/>
      <c r="B2962" s="73"/>
      <c r="C2962" s="74"/>
      <c r="D2962" s="75"/>
      <c r="E2962" s="52" t="str">
        <f aca="false">IF(D2962&lt;&gt;"",IFERROR(VLOOKUP(D2962,PROVEEDORES!$A:$B,2,0),"!COD NO ENCONTRADO"),"")</f>
        <v/>
      </c>
      <c r="F2962" s="76" t="str">
        <f aca="false">IF(D2962&lt;&gt;"",IFERROR(VLOOKUP(D2962,PROVEEDORES!$A:$C,3,0),""),"")</f>
        <v/>
      </c>
      <c r="G2962" s="75"/>
      <c r="H2962" s="52" t="str">
        <f aca="false">IF(G2962&lt;&gt;"",IFERROR(VLOOKUP(G2962,PRODUCTOS!$A:$B,2,0),"!COD NO ENCONTRADO"),"")</f>
        <v/>
      </c>
      <c r="I2962" s="77"/>
      <c r="J2962" s="78"/>
      <c r="K2962" s="79"/>
      <c r="L2962" s="80" t="str">
        <f aca="false">IF(AND(J2962&lt;&gt;"",K2962&lt;&gt;""),J2962*K2962,"")</f>
        <v/>
      </c>
      <c r="M2962" s="81" t="str">
        <f aca="false">IF(L2962&lt;&gt;"",L2962*1.1,"")</f>
        <v/>
      </c>
      <c r="N2962" s="53" t="n">
        <f aca="false">IF(F2962="S",L2962*0.02,0)</f>
        <v>0</v>
      </c>
      <c r="O2962" s="82" t="str">
        <f aca="false">IF(L2962&lt;&gt;"",L2962+N2962,"")</f>
        <v/>
      </c>
      <c r="P2962" s="53" t="str">
        <f aca="false">IF(O2962&lt;&gt;"",O2962*0.1,"")</f>
        <v/>
      </c>
      <c r="Q2962" s="83" t="str">
        <f aca="false">IF(O2962&lt;&gt;"",O2962+P2962,"")</f>
        <v/>
      </c>
      <c r="R2962" s="84"/>
    </row>
    <row r="2963" customFormat="false" ht="15" hidden="false" customHeight="true" outlineLevel="0" collapsed="false">
      <c r="A2963" s="103"/>
      <c r="B2963" s="85"/>
      <c r="C2963" s="86"/>
      <c r="D2963" s="87"/>
      <c r="E2963" s="46" t="str">
        <f aca="false">IF(D2963&lt;&gt;"",IFERROR(VLOOKUP(D2963,PROVEEDORES!$A:$B,2,0),"!COD NO ENCONTRADO"),"")</f>
        <v/>
      </c>
      <c r="F2963" s="88" t="str">
        <f aca="false">IF(D2963&lt;&gt;"",IFERROR(VLOOKUP(D2963,PROVEEDORES!$A:$C,3,0),""),"")</f>
        <v/>
      </c>
      <c r="G2963" s="87"/>
      <c r="H2963" s="46" t="str">
        <f aca="false">IF(G2963&lt;&gt;"",IFERROR(VLOOKUP(G2963,PRODUCTOS!$A:$B,2,0),"!COD NO ENCONTRADO"),"")</f>
        <v/>
      </c>
      <c r="I2963" s="89"/>
      <c r="J2963" s="90"/>
      <c r="K2963" s="91"/>
      <c r="L2963" s="80" t="str">
        <f aca="false">IF(AND(J2963&lt;&gt;"",K2963&lt;&gt;""),J2963*K2963,"")</f>
        <v/>
      </c>
      <c r="M2963" s="81" t="str">
        <f aca="false">IF(L2963&lt;&gt;"",L2963*1.1,"")</f>
        <v/>
      </c>
      <c r="N2963" s="47" t="n">
        <f aca="false">IF(F2963="S",L2963*0.02,0)</f>
        <v>0</v>
      </c>
      <c r="O2963" s="82" t="str">
        <f aca="false">IF(L2963&lt;&gt;"",L2963+N2963,"")</f>
        <v/>
      </c>
      <c r="P2963" s="47" t="str">
        <f aca="false">IF(O2963&lt;&gt;"",O2963*0.1,"")</f>
        <v/>
      </c>
      <c r="Q2963" s="83" t="str">
        <f aca="false">IF(O2963&lt;&gt;"",O2963+P2963,"")</f>
        <v/>
      </c>
      <c r="R2963" s="84"/>
    </row>
    <row r="2964" customFormat="false" ht="15" hidden="false" customHeight="true" outlineLevel="0" collapsed="false">
      <c r="A2964" s="103"/>
      <c r="B2964" s="73"/>
      <c r="C2964" s="74"/>
      <c r="D2964" s="75"/>
      <c r="E2964" s="52" t="str">
        <f aca="false">IF(D2964&lt;&gt;"",IFERROR(VLOOKUP(D2964,PROVEEDORES!$A:$B,2,0),"!COD NO ENCONTRADO"),"")</f>
        <v/>
      </c>
      <c r="F2964" s="76" t="str">
        <f aca="false">IF(D2964&lt;&gt;"",IFERROR(VLOOKUP(D2964,PROVEEDORES!$A:$C,3,0),""),"")</f>
        <v/>
      </c>
      <c r="G2964" s="75"/>
      <c r="H2964" s="52" t="str">
        <f aca="false">IF(G2964&lt;&gt;"",IFERROR(VLOOKUP(G2964,PRODUCTOS!$A:$B,2,0),"!COD NO ENCONTRADO"),"")</f>
        <v/>
      </c>
      <c r="I2964" s="77"/>
      <c r="J2964" s="78"/>
      <c r="K2964" s="79"/>
      <c r="L2964" s="80" t="str">
        <f aca="false">IF(AND(J2964&lt;&gt;"",K2964&lt;&gt;""),J2964*K2964,"")</f>
        <v/>
      </c>
      <c r="M2964" s="81" t="str">
        <f aca="false">IF(L2964&lt;&gt;"",L2964*1.1,"")</f>
        <v/>
      </c>
      <c r="N2964" s="53" t="n">
        <f aca="false">IF(F2964="S",L2964*0.02,0)</f>
        <v>0</v>
      </c>
      <c r="O2964" s="82" t="str">
        <f aca="false">IF(L2964&lt;&gt;"",L2964+N2964,"")</f>
        <v/>
      </c>
      <c r="P2964" s="53" t="str">
        <f aca="false">IF(O2964&lt;&gt;"",O2964*0.1,"")</f>
        <v/>
      </c>
      <c r="Q2964" s="83" t="str">
        <f aca="false">IF(O2964&lt;&gt;"",O2964+P2964,"")</f>
        <v/>
      </c>
      <c r="R2964" s="84"/>
    </row>
    <row r="2965" customFormat="false" ht="15" hidden="false" customHeight="true" outlineLevel="0" collapsed="false">
      <c r="A2965" s="103"/>
      <c r="B2965" s="85"/>
      <c r="C2965" s="86"/>
      <c r="D2965" s="87"/>
      <c r="E2965" s="46" t="str">
        <f aca="false">IF(D2965&lt;&gt;"",IFERROR(VLOOKUP(D2965,PROVEEDORES!$A:$B,2,0),"!COD NO ENCONTRADO"),"")</f>
        <v/>
      </c>
      <c r="F2965" s="88" t="str">
        <f aca="false">IF(D2965&lt;&gt;"",IFERROR(VLOOKUP(D2965,PROVEEDORES!$A:$C,3,0),""),"")</f>
        <v/>
      </c>
      <c r="G2965" s="87"/>
      <c r="H2965" s="46" t="str">
        <f aca="false">IF(G2965&lt;&gt;"",IFERROR(VLOOKUP(G2965,PRODUCTOS!$A:$B,2,0),"!COD NO ENCONTRADO"),"")</f>
        <v/>
      </c>
      <c r="I2965" s="89"/>
      <c r="J2965" s="90"/>
      <c r="K2965" s="91"/>
      <c r="L2965" s="80" t="str">
        <f aca="false">IF(AND(J2965&lt;&gt;"",K2965&lt;&gt;""),J2965*K2965,"")</f>
        <v/>
      </c>
      <c r="M2965" s="81" t="str">
        <f aca="false">IF(L2965&lt;&gt;"",L2965*1.1,"")</f>
        <v/>
      </c>
      <c r="N2965" s="47" t="n">
        <f aca="false">IF(F2965="S",L2965*0.02,0)</f>
        <v>0</v>
      </c>
      <c r="O2965" s="82" t="str">
        <f aca="false">IF(L2965&lt;&gt;"",L2965+N2965,"")</f>
        <v/>
      </c>
      <c r="P2965" s="47" t="str">
        <f aca="false">IF(O2965&lt;&gt;"",O2965*0.1,"")</f>
        <v/>
      </c>
      <c r="Q2965" s="83" t="str">
        <f aca="false">IF(O2965&lt;&gt;"",O2965+P2965,"")</f>
        <v/>
      </c>
      <c r="R2965" s="84"/>
    </row>
    <row r="2966" customFormat="false" ht="15" hidden="false" customHeight="true" outlineLevel="0" collapsed="false">
      <c r="A2966" s="103"/>
      <c r="B2966" s="73"/>
      <c r="C2966" s="74"/>
      <c r="D2966" s="75"/>
      <c r="E2966" s="52" t="str">
        <f aca="false">IF(D2966&lt;&gt;"",IFERROR(VLOOKUP(D2966,PROVEEDORES!$A:$B,2,0),"!COD NO ENCONTRADO"),"")</f>
        <v/>
      </c>
      <c r="F2966" s="76" t="str">
        <f aca="false">IF(D2966&lt;&gt;"",IFERROR(VLOOKUP(D2966,PROVEEDORES!$A:$C,3,0),""),"")</f>
        <v/>
      </c>
      <c r="G2966" s="75"/>
      <c r="H2966" s="52" t="str">
        <f aca="false">IF(G2966&lt;&gt;"",IFERROR(VLOOKUP(G2966,PRODUCTOS!$A:$B,2,0),"!COD NO ENCONTRADO"),"")</f>
        <v/>
      </c>
      <c r="I2966" s="77"/>
      <c r="J2966" s="78"/>
      <c r="K2966" s="79"/>
      <c r="L2966" s="80" t="str">
        <f aca="false">IF(AND(J2966&lt;&gt;"",K2966&lt;&gt;""),J2966*K2966,"")</f>
        <v/>
      </c>
      <c r="M2966" s="81" t="str">
        <f aca="false">IF(L2966&lt;&gt;"",L2966*1.1,"")</f>
        <v/>
      </c>
      <c r="N2966" s="53" t="n">
        <f aca="false">IF(F2966="S",L2966*0.02,0)</f>
        <v>0</v>
      </c>
      <c r="O2966" s="82" t="str">
        <f aca="false">IF(L2966&lt;&gt;"",L2966+N2966,"")</f>
        <v/>
      </c>
      <c r="P2966" s="53" t="str">
        <f aca="false">IF(O2966&lt;&gt;"",O2966*0.1,"")</f>
        <v/>
      </c>
      <c r="Q2966" s="83" t="str">
        <f aca="false">IF(O2966&lt;&gt;"",O2966+P2966,"")</f>
        <v/>
      </c>
      <c r="R2966" s="84"/>
    </row>
    <row r="2967" customFormat="false" ht="15" hidden="false" customHeight="true" outlineLevel="0" collapsed="false">
      <c r="A2967" s="103"/>
      <c r="B2967" s="85"/>
      <c r="C2967" s="86"/>
      <c r="D2967" s="87"/>
      <c r="E2967" s="46" t="str">
        <f aca="false">IF(D2967&lt;&gt;"",IFERROR(VLOOKUP(D2967,PROVEEDORES!$A:$B,2,0),"!COD NO ENCONTRADO"),"")</f>
        <v/>
      </c>
      <c r="F2967" s="88" t="str">
        <f aca="false">IF(D2967&lt;&gt;"",IFERROR(VLOOKUP(D2967,PROVEEDORES!$A:$C,3,0),""),"")</f>
        <v/>
      </c>
      <c r="G2967" s="87"/>
      <c r="H2967" s="46" t="str">
        <f aca="false">IF(G2967&lt;&gt;"",IFERROR(VLOOKUP(G2967,PRODUCTOS!$A:$B,2,0),"!COD NO ENCONTRADO"),"")</f>
        <v/>
      </c>
      <c r="I2967" s="89"/>
      <c r="J2967" s="90"/>
      <c r="K2967" s="91"/>
      <c r="L2967" s="80" t="str">
        <f aca="false">IF(AND(J2967&lt;&gt;"",K2967&lt;&gt;""),J2967*K2967,"")</f>
        <v/>
      </c>
      <c r="M2967" s="81" t="str">
        <f aca="false">IF(L2967&lt;&gt;"",L2967*1.1,"")</f>
        <v/>
      </c>
      <c r="N2967" s="47" t="n">
        <f aca="false">IF(F2967="S",L2967*0.02,0)</f>
        <v>0</v>
      </c>
      <c r="O2967" s="82" t="str">
        <f aca="false">IF(L2967&lt;&gt;"",L2967+N2967,"")</f>
        <v/>
      </c>
      <c r="P2967" s="47" t="str">
        <f aca="false">IF(O2967&lt;&gt;"",O2967*0.1,"")</f>
        <v/>
      </c>
      <c r="Q2967" s="83" t="str">
        <f aca="false">IF(O2967&lt;&gt;"",O2967+P2967,"")</f>
        <v/>
      </c>
      <c r="R2967" s="84"/>
    </row>
    <row r="2968" customFormat="false" ht="15" hidden="false" customHeight="true" outlineLevel="0" collapsed="false">
      <c r="A2968" s="103"/>
      <c r="B2968" s="73"/>
      <c r="C2968" s="74"/>
      <c r="D2968" s="75"/>
      <c r="E2968" s="52" t="str">
        <f aca="false">IF(D2968&lt;&gt;"",IFERROR(VLOOKUP(D2968,PROVEEDORES!$A:$B,2,0),"!COD NO ENCONTRADO"),"")</f>
        <v/>
      </c>
      <c r="F2968" s="76" t="str">
        <f aca="false">IF(D2968&lt;&gt;"",IFERROR(VLOOKUP(D2968,PROVEEDORES!$A:$C,3,0),""),"")</f>
        <v/>
      </c>
      <c r="G2968" s="75"/>
      <c r="H2968" s="52" t="str">
        <f aca="false">IF(G2968&lt;&gt;"",IFERROR(VLOOKUP(G2968,PRODUCTOS!$A:$B,2,0),"!COD NO ENCONTRADO"),"")</f>
        <v/>
      </c>
      <c r="I2968" s="77"/>
      <c r="J2968" s="78"/>
      <c r="K2968" s="79"/>
      <c r="L2968" s="80" t="str">
        <f aca="false">IF(AND(J2968&lt;&gt;"",K2968&lt;&gt;""),J2968*K2968,"")</f>
        <v/>
      </c>
      <c r="M2968" s="81" t="str">
        <f aca="false">IF(L2968&lt;&gt;"",L2968*1.1,"")</f>
        <v/>
      </c>
      <c r="N2968" s="53" t="n">
        <f aca="false">IF(F2968="S",L2968*0.02,0)</f>
        <v>0</v>
      </c>
      <c r="O2968" s="82" t="str">
        <f aca="false">IF(L2968&lt;&gt;"",L2968+N2968,"")</f>
        <v/>
      </c>
      <c r="P2968" s="53" t="str">
        <f aca="false">IF(O2968&lt;&gt;"",O2968*0.1,"")</f>
        <v/>
      </c>
      <c r="Q2968" s="83" t="str">
        <f aca="false">IF(O2968&lt;&gt;"",O2968+P2968,"")</f>
        <v/>
      </c>
      <c r="R2968" s="84"/>
    </row>
    <row r="2969" customFormat="false" ht="15" hidden="false" customHeight="true" outlineLevel="0" collapsed="false">
      <c r="A2969" s="103"/>
      <c r="B2969" s="85"/>
      <c r="C2969" s="86"/>
      <c r="D2969" s="87"/>
      <c r="E2969" s="46" t="str">
        <f aca="false">IF(D2969&lt;&gt;"",IFERROR(VLOOKUP(D2969,PROVEEDORES!$A:$B,2,0),"!COD NO ENCONTRADO"),"")</f>
        <v/>
      </c>
      <c r="F2969" s="88" t="str">
        <f aca="false">IF(D2969&lt;&gt;"",IFERROR(VLOOKUP(D2969,PROVEEDORES!$A:$C,3,0),""),"")</f>
        <v/>
      </c>
      <c r="G2969" s="87"/>
      <c r="H2969" s="46" t="str">
        <f aca="false">IF(G2969&lt;&gt;"",IFERROR(VLOOKUP(G2969,PRODUCTOS!$A:$B,2,0),"!COD NO ENCONTRADO"),"")</f>
        <v/>
      </c>
      <c r="I2969" s="89"/>
      <c r="J2969" s="90"/>
      <c r="K2969" s="91"/>
      <c r="L2969" s="80" t="str">
        <f aca="false">IF(AND(J2969&lt;&gt;"",K2969&lt;&gt;""),J2969*K2969,"")</f>
        <v/>
      </c>
      <c r="M2969" s="81" t="str">
        <f aca="false">IF(L2969&lt;&gt;"",L2969*1.1,"")</f>
        <v/>
      </c>
      <c r="N2969" s="47" t="n">
        <f aca="false">IF(F2969="S",L2969*0.02,0)</f>
        <v>0</v>
      </c>
      <c r="O2969" s="82" t="str">
        <f aca="false">IF(L2969&lt;&gt;"",L2969+N2969,"")</f>
        <v/>
      </c>
      <c r="P2969" s="47" t="str">
        <f aca="false">IF(O2969&lt;&gt;"",O2969*0.1,"")</f>
        <v/>
      </c>
      <c r="Q2969" s="83" t="str">
        <f aca="false">IF(O2969&lt;&gt;"",O2969+P2969,"")</f>
        <v/>
      </c>
      <c r="R2969" s="84"/>
    </row>
    <row r="2970" customFormat="false" ht="15" hidden="false" customHeight="true" outlineLevel="0" collapsed="false">
      <c r="A2970" s="103"/>
      <c r="B2970" s="73"/>
      <c r="C2970" s="74"/>
      <c r="D2970" s="75"/>
      <c r="E2970" s="52" t="str">
        <f aca="false">IF(D2970&lt;&gt;"",IFERROR(VLOOKUP(D2970,PROVEEDORES!$A:$B,2,0),"!COD NO ENCONTRADO"),"")</f>
        <v/>
      </c>
      <c r="F2970" s="76" t="str">
        <f aca="false">IF(D2970&lt;&gt;"",IFERROR(VLOOKUP(D2970,PROVEEDORES!$A:$C,3,0),""),"")</f>
        <v/>
      </c>
      <c r="G2970" s="75"/>
      <c r="H2970" s="52" t="str">
        <f aca="false">IF(G2970&lt;&gt;"",IFERROR(VLOOKUP(G2970,PRODUCTOS!$A:$B,2,0),"!COD NO ENCONTRADO"),"")</f>
        <v/>
      </c>
      <c r="I2970" s="77"/>
      <c r="J2970" s="78"/>
      <c r="K2970" s="79"/>
      <c r="L2970" s="80" t="str">
        <f aca="false">IF(AND(J2970&lt;&gt;"",K2970&lt;&gt;""),J2970*K2970,"")</f>
        <v/>
      </c>
      <c r="M2970" s="81" t="str">
        <f aca="false">IF(L2970&lt;&gt;"",L2970*1.1,"")</f>
        <v/>
      </c>
      <c r="N2970" s="53" t="n">
        <f aca="false">IF(F2970="S",L2970*0.02,0)</f>
        <v>0</v>
      </c>
      <c r="O2970" s="82" t="str">
        <f aca="false">IF(L2970&lt;&gt;"",L2970+N2970,"")</f>
        <v/>
      </c>
      <c r="P2970" s="53" t="str">
        <f aca="false">IF(O2970&lt;&gt;"",O2970*0.1,"")</f>
        <v/>
      </c>
      <c r="Q2970" s="83" t="str">
        <f aca="false">IF(O2970&lt;&gt;"",O2970+P2970,"")</f>
        <v/>
      </c>
      <c r="R2970" s="84"/>
    </row>
    <row r="2971" customFormat="false" ht="15" hidden="false" customHeight="true" outlineLevel="0" collapsed="false">
      <c r="A2971" s="103"/>
      <c r="B2971" s="85"/>
      <c r="C2971" s="86"/>
      <c r="D2971" s="87"/>
      <c r="E2971" s="46" t="str">
        <f aca="false">IF(D2971&lt;&gt;"",IFERROR(VLOOKUP(D2971,PROVEEDORES!$A:$B,2,0),"!COD NO ENCONTRADO"),"")</f>
        <v/>
      </c>
      <c r="F2971" s="88" t="str">
        <f aca="false">IF(D2971&lt;&gt;"",IFERROR(VLOOKUP(D2971,PROVEEDORES!$A:$C,3,0),""),"")</f>
        <v/>
      </c>
      <c r="G2971" s="87"/>
      <c r="H2971" s="46" t="str">
        <f aca="false">IF(G2971&lt;&gt;"",IFERROR(VLOOKUP(G2971,PRODUCTOS!$A:$B,2,0),"!COD NO ENCONTRADO"),"")</f>
        <v/>
      </c>
      <c r="I2971" s="89"/>
      <c r="J2971" s="90"/>
      <c r="K2971" s="91"/>
      <c r="L2971" s="80" t="str">
        <f aca="false">IF(AND(J2971&lt;&gt;"",K2971&lt;&gt;""),J2971*K2971,"")</f>
        <v/>
      </c>
      <c r="M2971" s="81" t="str">
        <f aca="false">IF(L2971&lt;&gt;"",L2971*1.1,"")</f>
        <v/>
      </c>
      <c r="N2971" s="47" t="n">
        <f aca="false">IF(F2971="S",L2971*0.02,0)</f>
        <v>0</v>
      </c>
      <c r="O2971" s="82" t="str">
        <f aca="false">IF(L2971&lt;&gt;"",L2971+N2971,"")</f>
        <v/>
      </c>
      <c r="P2971" s="47" t="str">
        <f aca="false">IF(O2971&lt;&gt;"",O2971*0.1,"")</f>
        <v/>
      </c>
      <c r="Q2971" s="83" t="str">
        <f aca="false">IF(O2971&lt;&gt;"",O2971+P2971,"")</f>
        <v/>
      </c>
      <c r="R2971" s="84"/>
    </row>
    <row r="2972" customFormat="false" ht="15" hidden="false" customHeight="true" outlineLevel="0" collapsed="false">
      <c r="A2972" s="103"/>
      <c r="B2972" s="73"/>
      <c r="C2972" s="74"/>
      <c r="D2972" s="75"/>
      <c r="E2972" s="52" t="str">
        <f aca="false">IF(D2972&lt;&gt;"",IFERROR(VLOOKUP(D2972,PROVEEDORES!$A:$B,2,0),"!COD NO ENCONTRADO"),"")</f>
        <v/>
      </c>
      <c r="F2972" s="76" t="str">
        <f aca="false">IF(D2972&lt;&gt;"",IFERROR(VLOOKUP(D2972,PROVEEDORES!$A:$C,3,0),""),"")</f>
        <v/>
      </c>
      <c r="G2972" s="75"/>
      <c r="H2972" s="52" t="str">
        <f aca="false">IF(G2972&lt;&gt;"",IFERROR(VLOOKUP(G2972,PRODUCTOS!$A:$B,2,0),"!COD NO ENCONTRADO"),"")</f>
        <v/>
      </c>
      <c r="I2972" s="77"/>
      <c r="J2972" s="78"/>
      <c r="K2972" s="79"/>
      <c r="L2972" s="80" t="str">
        <f aca="false">IF(AND(J2972&lt;&gt;"",K2972&lt;&gt;""),J2972*K2972,"")</f>
        <v/>
      </c>
      <c r="M2972" s="81" t="str">
        <f aca="false">IF(L2972&lt;&gt;"",L2972*1.1,"")</f>
        <v/>
      </c>
      <c r="N2972" s="53" t="n">
        <f aca="false">IF(F2972="S",L2972*0.02,0)</f>
        <v>0</v>
      </c>
      <c r="O2972" s="82" t="str">
        <f aca="false">IF(L2972&lt;&gt;"",L2972+N2972,"")</f>
        <v/>
      </c>
      <c r="P2972" s="53" t="str">
        <f aca="false">IF(O2972&lt;&gt;"",O2972*0.1,"")</f>
        <v/>
      </c>
      <c r="Q2972" s="83" t="str">
        <f aca="false">IF(O2972&lt;&gt;"",O2972+P2972,"")</f>
        <v/>
      </c>
      <c r="R2972" s="84"/>
    </row>
    <row r="2973" customFormat="false" ht="15" hidden="false" customHeight="true" outlineLevel="0" collapsed="false">
      <c r="A2973" s="103"/>
      <c r="B2973" s="85"/>
      <c r="C2973" s="86"/>
      <c r="D2973" s="87"/>
      <c r="E2973" s="46" t="str">
        <f aca="false">IF(D2973&lt;&gt;"",IFERROR(VLOOKUP(D2973,PROVEEDORES!$A:$B,2,0),"!COD NO ENCONTRADO"),"")</f>
        <v/>
      </c>
      <c r="F2973" s="88" t="str">
        <f aca="false">IF(D2973&lt;&gt;"",IFERROR(VLOOKUP(D2973,PROVEEDORES!$A:$C,3,0),""),"")</f>
        <v/>
      </c>
      <c r="G2973" s="87"/>
      <c r="H2973" s="46" t="str">
        <f aca="false">IF(G2973&lt;&gt;"",IFERROR(VLOOKUP(G2973,PRODUCTOS!$A:$B,2,0),"!COD NO ENCONTRADO"),"")</f>
        <v/>
      </c>
      <c r="I2973" s="89"/>
      <c r="J2973" s="90"/>
      <c r="K2973" s="91"/>
      <c r="L2973" s="80" t="str">
        <f aca="false">IF(AND(J2973&lt;&gt;"",K2973&lt;&gt;""),J2973*K2973,"")</f>
        <v/>
      </c>
      <c r="M2973" s="81" t="str">
        <f aca="false">IF(L2973&lt;&gt;"",L2973*1.1,"")</f>
        <v/>
      </c>
      <c r="N2973" s="47" t="n">
        <f aca="false">IF(F2973="S",L2973*0.02,0)</f>
        <v>0</v>
      </c>
      <c r="O2973" s="82" t="str">
        <f aca="false">IF(L2973&lt;&gt;"",L2973+N2973,"")</f>
        <v/>
      </c>
      <c r="P2973" s="47" t="str">
        <f aca="false">IF(O2973&lt;&gt;"",O2973*0.1,"")</f>
        <v/>
      </c>
      <c r="Q2973" s="83" t="str">
        <f aca="false">IF(O2973&lt;&gt;"",O2973+P2973,"")</f>
        <v/>
      </c>
      <c r="R2973" s="84"/>
    </row>
    <row r="2974" customFormat="false" ht="15" hidden="false" customHeight="true" outlineLevel="0" collapsed="false">
      <c r="A2974" s="103"/>
      <c r="B2974" s="73"/>
      <c r="C2974" s="74"/>
      <c r="D2974" s="75"/>
      <c r="E2974" s="52" t="str">
        <f aca="false">IF(D2974&lt;&gt;"",IFERROR(VLOOKUP(D2974,PROVEEDORES!$A:$B,2,0),"!COD NO ENCONTRADO"),"")</f>
        <v/>
      </c>
      <c r="F2974" s="76" t="str">
        <f aca="false">IF(D2974&lt;&gt;"",IFERROR(VLOOKUP(D2974,PROVEEDORES!$A:$C,3,0),""),"")</f>
        <v/>
      </c>
      <c r="G2974" s="75"/>
      <c r="H2974" s="52" t="str">
        <f aca="false">IF(G2974&lt;&gt;"",IFERROR(VLOOKUP(G2974,PRODUCTOS!$A:$B,2,0),"!COD NO ENCONTRADO"),"")</f>
        <v/>
      </c>
      <c r="I2974" s="77"/>
      <c r="J2974" s="78"/>
      <c r="K2974" s="79"/>
      <c r="L2974" s="80" t="str">
        <f aca="false">IF(AND(J2974&lt;&gt;"",K2974&lt;&gt;""),J2974*K2974,"")</f>
        <v/>
      </c>
      <c r="M2974" s="81" t="str">
        <f aca="false">IF(L2974&lt;&gt;"",L2974*1.1,"")</f>
        <v/>
      </c>
      <c r="N2974" s="53" t="n">
        <f aca="false">IF(F2974="S",L2974*0.02,0)</f>
        <v>0</v>
      </c>
      <c r="O2974" s="82" t="str">
        <f aca="false">IF(L2974&lt;&gt;"",L2974+N2974,"")</f>
        <v/>
      </c>
      <c r="P2974" s="53" t="str">
        <f aca="false">IF(O2974&lt;&gt;"",O2974*0.1,"")</f>
        <v/>
      </c>
      <c r="Q2974" s="83" t="str">
        <f aca="false">IF(O2974&lt;&gt;"",O2974+P2974,"")</f>
        <v/>
      </c>
      <c r="R2974" s="84"/>
    </row>
    <row r="2975" customFormat="false" ht="15" hidden="false" customHeight="true" outlineLevel="0" collapsed="false">
      <c r="A2975" s="103"/>
      <c r="B2975" s="85"/>
      <c r="C2975" s="86"/>
      <c r="D2975" s="87"/>
      <c r="E2975" s="46" t="str">
        <f aca="false">IF(D2975&lt;&gt;"",IFERROR(VLOOKUP(D2975,PROVEEDORES!$A:$B,2,0),"!COD NO ENCONTRADO"),"")</f>
        <v/>
      </c>
      <c r="F2975" s="88" t="str">
        <f aca="false">IF(D2975&lt;&gt;"",IFERROR(VLOOKUP(D2975,PROVEEDORES!$A:$C,3,0),""),"")</f>
        <v/>
      </c>
      <c r="G2975" s="87"/>
      <c r="H2975" s="46" t="str">
        <f aca="false">IF(G2975&lt;&gt;"",IFERROR(VLOOKUP(G2975,PRODUCTOS!$A:$B,2,0),"!COD NO ENCONTRADO"),"")</f>
        <v/>
      </c>
      <c r="I2975" s="89"/>
      <c r="J2975" s="90"/>
      <c r="K2975" s="91"/>
      <c r="L2975" s="80" t="str">
        <f aca="false">IF(AND(J2975&lt;&gt;"",K2975&lt;&gt;""),J2975*K2975,"")</f>
        <v/>
      </c>
      <c r="M2975" s="81" t="str">
        <f aca="false">IF(L2975&lt;&gt;"",L2975*1.1,"")</f>
        <v/>
      </c>
      <c r="N2975" s="47" t="n">
        <f aca="false">IF(F2975="S",L2975*0.02,0)</f>
        <v>0</v>
      </c>
      <c r="O2975" s="82" t="str">
        <f aca="false">IF(L2975&lt;&gt;"",L2975+N2975,"")</f>
        <v/>
      </c>
      <c r="P2975" s="47" t="str">
        <f aca="false">IF(O2975&lt;&gt;"",O2975*0.1,"")</f>
        <v/>
      </c>
      <c r="Q2975" s="83" t="str">
        <f aca="false">IF(O2975&lt;&gt;"",O2975+P2975,"")</f>
        <v/>
      </c>
      <c r="R2975" s="84"/>
    </row>
    <row r="2976" customFormat="false" ht="15" hidden="false" customHeight="true" outlineLevel="0" collapsed="false">
      <c r="A2976" s="103"/>
      <c r="B2976" s="73"/>
      <c r="C2976" s="74"/>
      <c r="D2976" s="75"/>
      <c r="E2976" s="52" t="str">
        <f aca="false">IF(D2976&lt;&gt;"",IFERROR(VLOOKUP(D2976,PROVEEDORES!$A:$B,2,0),"!COD NO ENCONTRADO"),"")</f>
        <v/>
      </c>
      <c r="F2976" s="76" t="str">
        <f aca="false">IF(D2976&lt;&gt;"",IFERROR(VLOOKUP(D2976,PROVEEDORES!$A:$C,3,0),""),"")</f>
        <v/>
      </c>
      <c r="G2976" s="75"/>
      <c r="H2976" s="52" t="str">
        <f aca="false">IF(G2976&lt;&gt;"",IFERROR(VLOOKUP(G2976,PRODUCTOS!$A:$B,2,0),"!COD NO ENCONTRADO"),"")</f>
        <v/>
      </c>
      <c r="I2976" s="77"/>
      <c r="J2976" s="78"/>
      <c r="K2976" s="79"/>
      <c r="L2976" s="80" t="str">
        <f aca="false">IF(AND(J2976&lt;&gt;"",K2976&lt;&gt;""),J2976*K2976,"")</f>
        <v/>
      </c>
      <c r="M2976" s="81" t="str">
        <f aca="false">IF(L2976&lt;&gt;"",L2976*1.1,"")</f>
        <v/>
      </c>
      <c r="N2976" s="53" t="n">
        <f aca="false">IF(F2976="S",L2976*0.02,0)</f>
        <v>0</v>
      </c>
      <c r="O2976" s="82" t="str">
        <f aca="false">IF(L2976&lt;&gt;"",L2976+N2976,"")</f>
        <v/>
      </c>
      <c r="P2976" s="53" t="str">
        <f aca="false">IF(O2976&lt;&gt;"",O2976*0.1,"")</f>
        <v/>
      </c>
      <c r="Q2976" s="83" t="str">
        <f aca="false">IF(O2976&lt;&gt;"",O2976+P2976,"")</f>
        <v/>
      </c>
      <c r="R2976" s="84"/>
    </row>
    <row r="2977" customFormat="false" ht="15" hidden="false" customHeight="true" outlineLevel="0" collapsed="false">
      <c r="A2977" s="103"/>
      <c r="B2977" s="85"/>
      <c r="C2977" s="86"/>
      <c r="D2977" s="87"/>
      <c r="E2977" s="46" t="str">
        <f aca="false">IF(D2977&lt;&gt;"",IFERROR(VLOOKUP(D2977,PROVEEDORES!$A:$B,2,0),"!COD NO ENCONTRADO"),"")</f>
        <v/>
      </c>
      <c r="F2977" s="88" t="str">
        <f aca="false">IF(D2977&lt;&gt;"",IFERROR(VLOOKUP(D2977,PROVEEDORES!$A:$C,3,0),""),"")</f>
        <v/>
      </c>
      <c r="G2977" s="87"/>
      <c r="H2977" s="46" t="str">
        <f aca="false">IF(G2977&lt;&gt;"",IFERROR(VLOOKUP(G2977,PRODUCTOS!$A:$B,2,0),"!COD NO ENCONTRADO"),"")</f>
        <v/>
      </c>
      <c r="I2977" s="89"/>
      <c r="J2977" s="90"/>
      <c r="K2977" s="91"/>
      <c r="L2977" s="80" t="str">
        <f aca="false">IF(AND(J2977&lt;&gt;"",K2977&lt;&gt;""),J2977*K2977,"")</f>
        <v/>
      </c>
      <c r="M2977" s="81" t="str">
        <f aca="false">IF(L2977&lt;&gt;"",L2977*1.1,"")</f>
        <v/>
      </c>
      <c r="N2977" s="47" t="n">
        <f aca="false">IF(F2977="S",L2977*0.02,0)</f>
        <v>0</v>
      </c>
      <c r="O2977" s="82" t="str">
        <f aca="false">IF(L2977&lt;&gt;"",L2977+N2977,"")</f>
        <v/>
      </c>
      <c r="P2977" s="47" t="str">
        <f aca="false">IF(O2977&lt;&gt;"",O2977*0.1,"")</f>
        <v/>
      </c>
      <c r="Q2977" s="83" t="str">
        <f aca="false">IF(O2977&lt;&gt;"",O2977+P2977,"")</f>
        <v/>
      </c>
      <c r="R2977" s="84"/>
    </row>
    <row r="2978" customFormat="false" ht="15" hidden="false" customHeight="true" outlineLevel="0" collapsed="false">
      <c r="A2978" s="103"/>
      <c r="B2978" s="73"/>
      <c r="C2978" s="74"/>
      <c r="D2978" s="75"/>
      <c r="E2978" s="52" t="str">
        <f aca="false">IF(D2978&lt;&gt;"",IFERROR(VLOOKUP(D2978,PROVEEDORES!$A:$B,2,0),"!COD NO ENCONTRADO"),"")</f>
        <v/>
      </c>
      <c r="F2978" s="76" t="str">
        <f aca="false">IF(D2978&lt;&gt;"",IFERROR(VLOOKUP(D2978,PROVEEDORES!$A:$C,3,0),""),"")</f>
        <v/>
      </c>
      <c r="G2978" s="75"/>
      <c r="H2978" s="52" t="str">
        <f aca="false">IF(G2978&lt;&gt;"",IFERROR(VLOOKUP(G2978,PRODUCTOS!$A:$B,2,0),"!COD NO ENCONTRADO"),"")</f>
        <v/>
      </c>
      <c r="I2978" s="77"/>
      <c r="J2978" s="78"/>
      <c r="K2978" s="79"/>
      <c r="L2978" s="80" t="str">
        <f aca="false">IF(AND(J2978&lt;&gt;"",K2978&lt;&gt;""),J2978*K2978,"")</f>
        <v/>
      </c>
      <c r="M2978" s="81" t="str">
        <f aca="false">IF(L2978&lt;&gt;"",L2978*1.1,"")</f>
        <v/>
      </c>
      <c r="N2978" s="53" t="n">
        <f aca="false">IF(F2978="S",L2978*0.02,0)</f>
        <v>0</v>
      </c>
      <c r="O2978" s="82" t="str">
        <f aca="false">IF(L2978&lt;&gt;"",L2978+N2978,"")</f>
        <v/>
      </c>
      <c r="P2978" s="53" t="str">
        <f aca="false">IF(O2978&lt;&gt;"",O2978*0.1,"")</f>
        <v/>
      </c>
      <c r="Q2978" s="83" t="str">
        <f aca="false">IF(O2978&lt;&gt;"",O2978+P2978,"")</f>
        <v/>
      </c>
      <c r="R2978" s="84"/>
    </row>
    <row r="2979" customFormat="false" ht="15" hidden="false" customHeight="true" outlineLevel="0" collapsed="false">
      <c r="A2979" s="103"/>
      <c r="B2979" s="85"/>
      <c r="C2979" s="86"/>
      <c r="D2979" s="87"/>
      <c r="E2979" s="46" t="str">
        <f aca="false">IF(D2979&lt;&gt;"",IFERROR(VLOOKUP(D2979,PROVEEDORES!$A:$B,2,0),"!COD NO ENCONTRADO"),"")</f>
        <v/>
      </c>
      <c r="F2979" s="88" t="str">
        <f aca="false">IF(D2979&lt;&gt;"",IFERROR(VLOOKUP(D2979,PROVEEDORES!$A:$C,3,0),""),"")</f>
        <v/>
      </c>
      <c r="G2979" s="87"/>
      <c r="H2979" s="46" t="str">
        <f aca="false">IF(G2979&lt;&gt;"",IFERROR(VLOOKUP(G2979,PRODUCTOS!$A:$B,2,0),"!COD NO ENCONTRADO"),"")</f>
        <v/>
      </c>
      <c r="I2979" s="89"/>
      <c r="J2979" s="90"/>
      <c r="K2979" s="91"/>
      <c r="L2979" s="80" t="str">
        <f aca="false">IF(AND(J2979&lt;&gt;"",K2979&lt;&gt;""),J2979*K2979,"")</f>
        <v/>
      </c>
      <c r="M2979" s="81" t="str">
        <f aca="false">IF(L2979&lt;&gt;"",L2979*1.1,"")</f>
        <v/>
      </c>
      <c r="N2979" s="47" t="n">
        <f aca="false">IF(F2979="S",L2979*0.02,0)</f>
        <v>0</v>
      </c>
      <c r="O2979" s="82" t="str">
        <f aca="false">IF(L2979&lt;&gt;"",L2979+N2979,"")</f>
        <v/>
      </c>
      <c r="P2979" s="47" t="str">
        <f aca="false">IF(O2979&lt;&gt;"",O2979*0.1,"")</f>
        <v/>
      </c>
      <c r="Q2979" s="83" t="str">
        <f aca="false">IF(O2979&lt;&gt;"",O2979+P2979,"")</f>
        <v/>
      </c>
      <c r="R2979" s="84"/>
    </row>
    <row r="2980" customFormat="false" ht="15" hidden="false" customHeight="true" outlineLevel="0" collapsed="false">
      <c r="A2980" s="103"/>
      <c r="B2980" s="73"/>
      <c r="C2980" s="74"/>
      <c r="D2980" s="75"/>
      <c r="E2980" s="52" t="str">
        <f aca="false">IF(D2980&lt;&gt;"",IFERROR(VLOOKUP(D2980,PROVEEDORES!$A:$B,2,0),"!COD NO ENCONTRADO"),"")</f>
        <v/>
      </c>
      <c r="F2980" s="76" t="str">
        <f aca="false">IF(D2980&lt;&gt;"",IFERROR(VLOOKUP(D2980,PROVEEDORES!$A:$C,3,0),""),"")</f>
        <v/>
      </c>
      <c r="G2980" s="75"/>
      <c r="H2980" s="52" t="str">
        <f aca="false">IF(G2980&lt;&gt;"",IFERROR(VLOOKUP(G2980,PRODUCTOS!$A:$B,2,0),"!COD NO ENCONTRADO"),"")</f>
        <v/>
      </c>
      <c r="I2980" s="77"/>
      <c r="J2980" s="78"/>
      <c r="K2980" s="79"/>
      <c r="L2980" s="80" t="str">
        <f aca="false">IF(AND(J2980&lt;&gt;"",K2980&lt;&gt;""),J2980*K2980,"")</f>
        <v/>
      </c>
      <c r="M2980" s="81" t="str">
        <f aca="false">IF(L2980&lt;&gt;"",L2980*1.1,"")</f>
        <v/>
      </c>
      <c r="N2980" s="53" t="n">
        <f aca="false">IF(F2980="S",L2980*0.02,0)</f>
        <v>0</v>
      </c>
      <c r="O2980" s="82" t="str">
        <f aca="false">IF(L2980&lt;&gt;"",L2980+N2980,"")</f>
        <v/>
      </c>
      <c r="P2980" s="53" t="str">
        <f aca="false">IF(O2980&lt;&gt;"",O2980*0.1,"")</f>
        <v/>
      </c>
      <c r="Q2980" s="83" t="str">
        <f aca="false">IF(O2980&lt;&gt;"",O2980+P2980,"")</f>
        <v/>
      </c>
      <c r="R2980" s="84"/>
    </row>
    <row r="2981" customFormat="false" ht="15" hidden="false" customHeight="true" outlineLevel="0" collapsed="false">
      <c r="A2981" s="103"/>
      <c r="B2981" s="85"/>
      <c r="C2981" s="86"/>
      <c r="D2981" s="87"/>
      <c r="E2981" s="46" t="str">
        <f aca="false">IF(D2981&lt;&gt;"",IFERROR(VLOOKUP(D2981,PROVEEDORES!$A:$B,2,0),"!COD NO ENCONTRADO"),"")</f>
        <v/>
      </c>
      <c r="F2981" s="88" t="str">
        <f aca="false">IF(D2981&lt;&gt;"",IFERROR(VLOOKUP(D2981,PROVEEDORES!$A:$C,3,0),""),"")</f>
        <v/>
      </c>
      <c r="G2981" s="87"/>
      <c r="H2981" s="46" t="str">
        <f aca="false">IF(G2981&lt;&gt;"",IFERROR(VLOOKUP(G2981,PRODUCTOS!$A:$B,2,0),"!COD NO ENCONTRADO"),"")</f>
        <v/>
      </c>
      <c r="I2981" s="89"/>
      <c r="J2981" s="90"/>
      <c r="K2981" s="91"/>
      <c r="L2981" s="80" t="str">
        <f aca="false">IF(AND(J2981&lt;&gt;"",K2981&lt;&gt;""),J2981*K2981,"")</f>
        <v/>
      </c>
      <c r="M2981" s="81" t="str">
        <f aca="false">IF(L2981&lt;&gt;"",L2981*1.1,"")</f>
        <v/>
      </c>
      <c r="N2981" s="47" t="n">
        <f aca="false">IF(F2981="S",L2981*0.02,0)</f>
        <v>0</v>
      </c>
      <c r="O2981" s="82" t="str">
        <f aca="false">IF(L2981&lt;&gt;"",L2981+N2981,"")</f>
        <v/>
      </c>
      <c r="P2981" s="47" t="str">
        <f aca="false">IF(O2981&lt;&gt;"",O2981*0.1,"")</f>
        <v/>
      </c>
      <c r="Q2981" s="83" t="str">
        <f aca="false">IF(O2981&lt;&gt;"",O2981+P2981,"")</f>
        <v/>
      </c>
      <c r="R2981" s="84"/>
    </row>
    <row r="2982" customFormat="false" ht="15" hidden="false" customHeight="true" outlineLevel="0" collapsed="false">
      <c r="A2982" s="103"/>
      <c r="B2982" s="73"/>
      <c r="C2982" s="74"/>
      <c r="D2982" s="75"/>
      <c r="E2982" s="52" t="str">
        <f aca="false">IF(D2982&lt;&gt;"",IFERROR(VLOOKUP(D2982,PROVEEDORES!$A:$B,2,0),"!COD NO ENCONTRADO"),"")</f>
        <v/>
      </c>
      <c r="F2982" s="76" t="str">
        <f aca="false">IF(D2982&lt;&gt;"",IFERROR(VLOOKUP(D2982,PROVEEDORES!$A:$C,3,0),""),"")</f>
        <v/>
      </c>
      <c r="G2982" s="75"/>
      <c r="H2982" s="52" t="str">
        <f aca="false">IF(G2982&lt;&gt;"",IFERROR(VLOOKUP(G2982,PRODUCTOS!$A:$B,2,0),"!COD NO ENCONTRADO"),"")</f>
        <v/>
      </c>
      <c r="I2982" s="77"/>
      <c r="J2982" s="78"/>
      <c r="K2982" s="79"/>
      <c r="L2982" s="80" t="str">
        <f aca="false">IF(AND(J2982&lt;&gt;"",K2982&lt;&gt;""),J2982*K2982,"")</f>
        <v/>
      </c>
      <c r="M2982" s="81" t="str">
        <f aca="false">IF(L2982&lt;&gt;"",L2982*1.1,"")</f>
        <v/>
      </c>
      <c r="N2982" s="53" t="n">
        <f aca="false">IF(F2982="S",L2982*0.02,0)</f>
        <v>0</v>
      </c>
      <c r="O2982" s="82" t="str">
        <f aca="false">IF(L2982&lt;&gt;"",L2982+N2982,"")</f>
        <v/>
      </c>
      <c r="P2982" s="53" t="str">
        <f aca="false">IF(O2982&lt;&gt;"",O2982*0.1,"")</f>
        <v/>
      </c>
      <c r="Q2982" s="83" t="str">
        <f aca="false">IF(O2982&lt;&gt;"",O2982+P2982,"")</f>
        <v/>
      </c>
      <c r="R2982" s="84"/>
    </row>
    <row r="2983" customFormat="false" ht="15" hidden="false" customHeight="true" outlineLevel="0" collapsed="false">
      <c r="A2983" s="103"/>
      <c r="B2983" s="85"/>
      <c r="C2983" s="86"/>
      <c r="D2983" s="87"/>
      <c r="E2983" s="46" t="str">
        <f aca="false">IF(D2983&lt;&gt;"",IFERROR(VLOOKUP(D2983,PROVEEDORES!$A:$B,2,0),"!COD NO ENCONTRADO"),"")</f>
        <v/>
      </c>
      <c r="F2983" s="88" t="str">
        <f aca="false">IF(D2983&lt;&gt;"",IFERROR(VLOOKUP(D2983,PROVEEDORES!$A:$C,3,0),""),"")</f>
        <v/>
      </c>
      <c r="G2983" s="87"/>
      <c r="H2983" s="46" t="str">
        <f aca="false">IF(G2983&lt;&gt;"",IFERROR(VLOOKUP(G2983,PRODUCTOS!$A:$B,2,0),"!COD NO ENCONTRADO"),"")</f>
        <v/>
      </c>
      <c r="I2983" s="89"/>
      <c r="J2983" s="90"/>
      <c r="K2983" s="91"/>
      <c r="L2983" s="80" t="str">
        <f aca="false">IF(AND(J2983&lt;&gt;"",K2983&lt;&gt;""),J2983*K2983,"")</f>
        <v/>
      </c>
      <c r="M2983" s="81" t="str">
        <f aca="false">IF(L2983&lt;&gt;"",L2983*1.1,"")</f>
        <v/>
      </c>
      <c r="N2983" s="47" t="n">
        <f aca="false">IF(F2983="S",L2983*0.02,0)</f>
        <v>0</v>
      </c>
      <c r="O2983" s="82" t="str">
        <f aca="false">IF(L2983&lt;&gt;"",L2983+N2983,"")</f>
        <v/>
      </c>
      <c r="P2983" s="47" t="str">
        <f aca="false">IF(O2983&lt;&gt;"",O2983*0.1,"")</f>
        <v/>
      </c>
      <c r="Q2983" s="83" t="str">
        <f aca="false">IF(O2983&lt;&gt;"",O2983+P2983,"")</f>
        <v/>
      </c>
      <c r="R2983" s="84"/>
    </row>
    <row r="2984" customFormat="false" ht="15" hidden="false" customHeight="true" outlineLevel="0" collapsed="false">
      <c r="A2984" s="103"/>
      <c r="B2984" s="73"/>
      <c r="C2984" s="74"/>
      <c r="D2984" s="75"/>
      <c r="E2984" s="52" t="str">
        <f aca="false">IF(D2984&lt;&gt;"",IFERROR(VLOOKUP(D2984,PROVEEDORES!$A:$B,2,0),"!COD NO ENCONTRADO"),"")</f>
        <v/>
      </c>
      <c r="F2984" s="76" t="str">
        <f aca="false">IF(D2984&lt;&gt;"",IFERROR(VLOOKUP(D2984,PROVEEDORES!$A:$C,3,0),""),"")</f>
        <v/>
      </c>
      <c r="G2984" s="75"/>
      <c r="H2984" s="52" t="str">
        <f aca="false">IF(G2984&lt;&gt;"",IFERROR(VLOOKUP(G2984,PRODUCTOS!$A:$B,2,0),"!COD NO ENCONTRADO"),"")</f>
        <v/>
      </c>
      <c r="I2984" s="77"/>
      <c r="J2984" s="78"/>
      <c r="K2984" s="79"/>
      <c r="L2984" s="80" t="str">
        <f aca="false">IF(AND(J2984&lt;&gt;"",K2984&lt;&gt;""),J2984*K2984,"")</f>
        <v/>
      </c>
      <c r="M2984" s="81" t="str">
        <f aca="false">IF(L2984&lt;&gt;"",L2984*1.1,"")</f>
        <v/>
      </c>
      <c r="N2984" s="53" t="n">
        <f aca="false">IF(F2984="S",L2984*0.02,0)</f>
        <v>0</v>
      </c>
      <c r="O2984" s="82" t="str">
        <f aca="false">IF(L2984&lt;&gt;"",L2984+N2984,"")</f>
        <v/>
      </c>
      <c r="P2984" s="53" t="str">
        <f aca="false">IF(O2984&lt;&gt;"",O2984*0.1,"")</f>
        <v/>
      </c>
      <c r="Q2984" s="83" t="str">
        <f aca="false">IF(O2984&lt;&gt;"",O2984+P2984,"")</f>
        <v/>
      </c>
      <c r="R2984" s="84"/>
    </row>
    <row r="2985" customFormat="false" ht="15" hidden="false" customHeight="true" outlineLevel="0" collapsed="false">
      <c r="A2985" s="103"/>
      <c r="B2985" s="85"/>
      <c r="C2985" s="86"/>
      <c r="D2985" s="87"/>
      <c r="E2985" s="46" t="str">
        <f aca="false">IF(D2985&lt;&gt;"",IFERROR(VLOOKUP(D2985,PROVEEDORES!$A:$B,2,0),"!COD NO ENCONTRADO"),"")</f>
        <v/>
      </c>
      <c r="F2985" s="88" t="str">
        <f aca="false">IF(D2985&lt;&gt;"",IFERROR(VLOOKUP(D2985,PROVEEDORES!$A:$C,3,0),""),"")</f>
        <v/>
      </c>
      <c r="G2985" s="87"/>
      <c r="H2985" s="46" t="str">
        <f aca="false">IF(G2985&lt;&gt;"",IFERROR(VLOOKUP(G2985,PRODUCTOS!$A:$B,2,0),"!COD NO ENCONTRADO"),"")</f>
        <v/>
      </c>
      <c r="I2985" s="89"/>
      <c r="J2985" s="90"/>
      <c r="K2985" s="91"/>
      <c r="L2985" s="80" t="str">
        <f aca="false">IF(AND(J2985&lt;&gt;"",K2985&lt;&gt;""),J2985*K2985,"")</f>
        <v/>
      </c>
      <c r="M2985" s="81" t="str">
        <f aca="false">IF(L2985&lt;&gt;"",L2985*1.1,"")</f>
        <v/>
      </c>
      <c r="N2985" s="47" t="n">
        <f aca="false">IF(F2985="S",L2985*0.02,0)</f>
        <v>0</v>
      </c>
      <c r="O2985" s="82" t="str">
        <f aca="false">IF(L2985&lt;&gt;"",L2985+N2985,"")</f>
        <v/>
      </c>
      <c r="P2985" s="47" t="str">
        <f aca="false">IF(O2985&lt;&gt;"",O2985*0.1,"")</f>
        <v/>
      </c>
      <c r="Q2985" s="83" t="str">
        <f aca="false">IF(O2985&lt;&gt;"",O2985+P2985,"")</f>
        <v/>
      </c>
      <c r="R2985" s="84"/>
    </row>
    <row r="2986" customFormat="false" ht="15" hidden="false" customHeight="true" outlineLevel="0" collapsed="false">
      <c r="A2986" s="103"/>
      <c r="B2986" s="73"/>
      <c r="C2986" s="74"/>
      <c r="D2986" s="75"/>
      <c r="E2986" s="52" t="str">
        <f aca="false">IF(D2986&lt;&gt;"",IFERROR(VLOOKUP(D2986,PROVEEDORES!$A:$B,2,0),"!COD NO ENCONTRADO"),"")</f>
        <v/>
      </c>
      <c r="F2986" s="76" t="str">
        <f aca="false">IF(D2986&lt;&gt;"",IFERROR(VLOOKUP(D2986,PROVEEDORES!$A:$C,3,0),""),"")</f>
        <v/>
      </c>
      <c r="G2986" s="75"/>
      <c r="H2986" s="52" t="str">
        <f aca="false">IF(G2986&lt;&gt;"",IFERROR(VLOOKUP(G2986,PRODUCTOS!$A:$B,2,0),"!COD NO ENCONTRADO"),"")</f>
        <v/>
      </c>
      <c r="I2986" s="77"/>
      <c r="J2986" s="78"/>
      <c r="K2986" s="79"/>
      <c r="L2986" s="80" t="str">
        <f aca="false">IF(AND(J2986&lt;&gt;"",K2986&lt;&gt;""),J2986*K2986,"")</f>
        <v/>
      </c>
      <c r="M2986" s="81" t="str">
        <f aca="false">IF(L2986&lt;&gt;"",L2986*1.1,"")</f>
        <v/>
      </c>
      <c r="N2986" s="53" t="n">
        <f aca="false">IF(F2986="S",L2986*0.02,0)</f>
        <v>0</v>
      </c>
      <c r="O2986" s="82" t="str">
        <f aca="false">IF(L2986&lt;&gt;"",L2986+N2986,"")</f>
        <v/>
      </c>
      <c r="P2986" s="53" t="str">
        <f aca="false">IF(O2986&lt;&gt;"",O2986*0.1,"")</f>
        <v/>
      </c>
      <c r="Q2986" s="83" t="str">
        <f aca="false">IF(O2986&lt;&gt;"",O2986+P2986,"")</f>
        <v/>
      </c>
      <c r="R2986" s="84"/>
    </row>
    <row r="2987" customFormat="false" ht="15" hidden="false" customHeight="true" outlineLevel="0" collapsed="false">
      <c r="A2987" s="103"/>
      <c r="B2987" s="85"/>
      <c r="C2987" s="86"/>
      <c r="D2987" s="87"/>
      <c r="E2987" s="46" t="str">
        <f aca="false">IF(D2987&lt;&gt;"",IFERROR(VLOOKUP(D2987,PROVEEDORES!$A:$B,2,0),"!COD NO ENCONTRADO"),"")</f>
        <v/>
      </c>
      <c r="F2987" s="88" t="str">
        <f aca="false">IF(D2987&lt;&gt;"",IFERROR(VLOOKUP(D2987,PROVEEDORES!$A:$C,3,0),""),"")</f>
        <v/>
      </c>
      <c r="G2987" s="87"/>
      <c r="H2987" s="46" t="str">
        <f aca="false">IF(G2987&lt;&gt;"",IFERROR(VLOOKUP(G2987,PRODUCTOS!$A:$B,2,0),"!COD NO ENCONTRADO"),"")</f>
        <v/>
      </c>
      <c r="I2987" s="89"/>
      <c r="J2987" s="90"/>
      <c r="K2987" s="91"/>
      <c r="L2987" s="80" t="str">
        <f aca="false">IF(AND(J2987&lt;&gt;"",K2987&lt;&gt;""),J2987*K2987,"")</f>
        <v/>
      </c>
      <c r="M2987" s="81" t="str">
        <f aca="false">IF(L2987&lt;&gt;"",L2987*1.1,"")</f>
        <v/>
      </c>
      <c r="N2987" s="47" t="n">
        <f aca="false">IF(F2987="S",L2987*0.02,0)</f>
        <v>0</v>
      </c>
      <c r="O2987" s="82" t="str">
        <f aca="false">IF(L2987&lt;&gt;"",L2987+N2987,"")</f>
        <v/>
      </c>
      <c r="P2987" s="47" t="str">
        <f aca="false">IF(O2987&lt;&gt;"",O2987*0.1,"")</f>
        <v/>
      </c>
      <c r="Q2987" s="83" t="str">
        <f aca="false">IF(O2987&lt;&gt;"",O2987+P2987,"")</f>
        <v/>
      </c>
      <c r="R2987" s="84"/>
    </row>
    <row r="2988" customFormat="false" ht="15" hidden="false" customHeight="true" outlineLevel="0" collapsed="false">
      <c r="A2988" s="103"/>
      <c r="B2988" s="73"/>
      <c r="C2988" s="74"/>
      <c r="D2988" s="75"/>
      <c r="E2988" s="52" t="str">
        <f aca="false">IF(D2988&lt;&gt;"",IFERROR(VLOOKUP(D2988,PROVEEDORES!$A:$B,2,0),"!COD NO ENCONTRADO"),"")</f>
        <v/>
      </c>
      <c r="F2988" s="76" t="str">
        <f aca="false">IF(D2988&lt;&gt;"",IFERROR(VLOOKUP(D2988,PROVEEDORES!$A:$C,3,0),""),"")</f>
        <v/>
      </c>
      <c r="G2988" s="75"/>
      <c r="H2988" s="52" t="str">
        <f aca="false">IF(G2988&lt;&gt;"",IFERROR(VLOOKUP(G2988,PRODUCTOS!$A:$B,2,0),"!COD NO ENCONTRADO"),"")</f>
        <v/>
      </c>
      <c r="I2988" s="77"/>
      <c r="J2988" s="78"/>
      <c r="K2988" s="79"/>
      <c r="L2988" s="80" t="str">
        <f aca="false">IF(AND(J2988&lt;&gt;"",K2988&lt;&gt;""),J2988*K2988,"")</f>
        <v/>
      </c>
      <c r="M2988" s="81" t="str">
        <f aca="false">IF(L2988&lt;&gt;"",L2988*1.1,"")</f>
        <v/>
      </c>
      <c r="N2988" s="53" t="n">
        <f aca="false">IF(F2988="S",L2988*0.02,0)</f>
        <v>0</v>
      </c>
      <c r="O2988" s="82" t="str">
        <f aca="false">IF(L2988&lt;&gt;"",L2988+N2988,"")</f>
        <v/>
      </c>
      <c r="P2988" s="53" t="str">
        <f aca="false">IF(O2988&lt;&gt;"",O2988*0.1,"")</f>
        <v/>
      </c>
      <c r="Q2988" s="83" t="str">
        <f aca="false">IF(O2988&lt;&gt;"",O2988+P2988,"")</f>
        <v/>
      </c>
      <c r="R2988" s="84"/>
    </row>
    <row r="2989" customFormat="false" ht="15" hidden="false" customHeight="true" outlineLevel="0" collapsed="false">
      <c r="A2989" s="103"/>
      <c r="B2989" s="85"/>
      <c r="C2989" s="86"/>
      <c r="D2989" s="87"/>
      <c r="E2989" s="46" t="str">
        <f aca="false">IF(D2989&lt;&gt;"",IFERROR(VLOOKUP(D2989,PROVEEDORES!$A:$B,2,0),"!COD NO ENCONTRADO"),"")</f>
        <v/>
      </c>
      <c r="F2989" s="88" t="str">
        <f aca="false">IF(D2989&lt;&gt;"",IFERROR(VLOOKUP(D2989,PROVEEDORES!$A:$C,3,0),""),"")</f>
        <v/>
      </c>
      <c r="G2989" s="87"/>
      <c r="H2989" s="46" t="str">
        <f aca="false">IF(G2989&lt;&gt;"",IFERROR(VLOOKUP(G2989,PRODUCTOS!$A:$B,2,0),"!COD NO ENCONTRADO"),"")</f>
        <v/>
      </c>
      <c r="I2989" s="89"/>
      <c r="J2989" s="90"/>
      <c r="K2989" s="91"/>
      <c r="L2989" s="80" t="str">
        <f aca="false">IF(AND(J2989&lt;&gt;"",K2989&lt;&gt;""),J2989*K2989,"")</f>
        <v/>
      </c>
      <c r="M2989" s="81" t="str">
        <f aca="false">IF(L2989&lt;&gt;"",L2989*1.1,"")</f>
        <v/>
      </c>
      <c r="N2989" s="47" t="n">
        <f aca="false">IF(F2989="S",L2989*0.02,0)</f>
        <v>0</v>
      </c>
      <c r="O2989" s="82" t="str">
        <f aca="false">IF(L2989&lt;&gt;"",L2989+N2989,"")</f>
        <v/>
      </c>
      <c r="P2989" s="47" t="str">
        <f aca="false">IF(O2989&lt;&gt;"",O2989*0.1,"")</f>
        <v/>
      </c>
      <c r="Q2989" s="83" t="str">
        <f aca="false">IF(O2989&lt;&gt;"",O2989+P2989,"")</f>
        <v/>
      </c>
      <c r="R2989" s="84"/>
    </row>
    <row r="2990" customFormat="false" ht="15" hidden="false" customHeight="true" outlineLevel="0" collapsed="false">
      <c r="A2990" s="103"/>
      <c r="B2990" s="73"/>
      <c r="C2990" s="74"/>
      <c r="D2990" s="75"/>
      <c r="E2990" s="52" t="str">
        <f aca="false">IF(D2990&lt;&gt;"",IFERROR(VLOOKUP(D2990,PROVEEDORES!$A:$B,2,0),"!COD NO ENCONTRADO"),"")</f>
        <v/>
      </c>
      <c r="F2990" s="76" t="str">
        <f aca="false">IF(D2990&lt;&gt;"",IFERROR(VLOOKUP(D2990,PROVEEDORES!$A:$C,3,0),""),"")</f>
        <v/>
      </c>
      <c r="G2990" s="75"/>
      <c r="H2990" s="52" t="str">
        <f aca="false">IF(G2990&lt;&gt;"",IFERROR(VLOOKUP(G2990,PRODUCTOS!$A:$B,2,0),"!COD NO ENCONTRADO"),"")</f>
        <v/>
      </c>
      <c r="I2990" s="77"/>
      <c r="J2990" s="78"/>
      <c r="K2990" s="79"/>
      <c r="L2990" s="80" t="str">
        <f aca="false">IF(AND(J2990&lt;&gt;"",K2990&lt;&gt;""),J2990*K2990,"")</f>
        <v/>
      </c>
      <c r="M2990" s="81" t="str">
        <f aca="false">IF(L2990&lt;&gt;"",L2990*1.1,"")</f>
        <v/>
      </c>
      <c r="N2990" s="53" t="n">
        <f aca="false">IF(F2990="S",L2990*0.02,0)</f>
        <v>0</v>
      </c>
      <c r="O2990" s="82" t="str">
        <f aca="false">IF(L2990&lt;&gt;"",L2990+N2990,"")</f>
        <v/>
      </c>
      <c r="P2990" s="53" t="str">
        <f aca="false">IF(O2990&lt;&gt;"",O2990*0.1,"")</f>
        <v/>
      </c>
      <c r="Q2990" s="83" t="str">
        <f aca="false">IF(O2990&lt;&gt;"",O2990+P2990,"")</f>
        <v/>
      </c>
      <c r="R2990" s="84"/>
    </row>
    <row r="2991" customFormat="false" ht="15" hidden="false" customHeight="true" outlineLevel="0" collapsed="false">
      <c r="A2991" s="103"/>
      <c r="B2991" s="85"/>
      <c r="C2991" s="86"/>
      <c r="D2991" s="87"/>
      <c r="E2991" s="46" t="str">
        <f aca="false">IF(D2991&lt;&gt;"",IFERROR(VLOOKUP(D2991,PROVEEDORES!$A:$B,2,0),"!COD NO ENCONTRADO"),"")</f>
        <v/>
      </c>
      <c r="F2991" s="88" t="str">
        <f aca="false">IF(D2991&lt;&gt;"",IFERROR(VLOOKUP(D2991,PROVEEDORES!$A:$C,3,0),""),"")</f>
        <v/>
      </c>
      <c r="G2991" s="87"/>
      <c r="H2991" s="46" t="str">
        <f aca="false">IF(G2991&lt;&gt;"",IFERROR(VLOOKUP(G2991,PRODUCTOS!$A:$B,2,0),"!COD NO ENCONTRADO"),"")</f>
        <v/>
      </c>
      <c r="I2991" s="89"/>
      <c r="J2991" s="90"/>
      <c r="K2991" s="91"/>
      <c r="L2991" s="80" t="str">
        <f aca="false">IF(AND(J2991&lt;&gt;"",K2991&lt;&gt;""),J2991*K2991,"")</f>
        <v/>
      </c>
      <c r="M2991" s="81" t="str">
        <f aca="false">IF(L2991&lt;&gt;"",L2991*1.1,"")</f>
        <v/>
      </c>
      <c r="N2991" s="47" t="n">
        <f aca="false">IF(F2991="S",L2991*0.02,0)</f>
        <v>0</v>
      </c>
      <c r="O2991" s="82" t="str">
        <f aca="false">IF(L2991&lt;&gt;"",L2991+N2991,"")</f>
        <v/>
      </c>
      <c r="P2991" s="47" t="str">
        <f aca="false">IF(O2991&lt;&gt;"",O2991*0.1,"")</f>
        <v/>
      </c>
      <c r="Q2991" s="83" t="str">
        <f aca="false">IF(O2991&lt;&gt;"",O2991+P2991,"")</f>
        <v/>
      </c>
      <c r="R2991" s="84"/>
    </row>
    <row r="2992" customFormat="false" ht="15" hidden="false" customHeight="true" outlineLevel="0" collapsed="false">
      <c r="A2992" s="103"/>
      <c r="B2992" s="73"/>
      <c r="C2992" s="74"/>
      <c r="D2992" s="75"/>
      <c r="E2992" s="52" t="str">
        <f aca="false">IF(D2992&lt;&gt;"",IFERROR(VLOOKUP(D2992,PROVEEDORES!$A:$B,2,0),"!COD NO ENCONTRADO"),"")</f>
        <v/>
      </c>
      <c r="F2992" s="76" t="str">
        <f aca="false">IF(D2992&lt;&gt;"",IFERROR(VLOOKUP(D2992,PROVEEDORES!$A:$C,3,0),""),"")</f>
        <v/>
      </c>
      <c r="G2992" s="75"/>
      <c r="H2992" s="52" t="str">
        <f aca="false">IF(G2992&lt;&gt;"",IFERROR(VLOOKUP(G2992,PRODUCTOS!$A:$B,2,0),"!COD NO ENCONTRADO"),"")</f>
        <v/>
      </c>
      <c r="I2992" s="77"/>
      <c r="J2992" s="78"/>
      <c r="K2992" s="79"/>
      <c r="L2992" s="80" t="str">
        <f aca="false">IF(AND(J2992&lt;&gt;"",K2992&lt;&gt;""),J2992*K2992,"")</f>
        <v/>
      </c>
      <c r="M2992" s="81" t="str">
        <f aca="false">IF(L2992&lt;&gt;"",L2992*1.1,"")</f>
        <v/>
      </c>
      <c r="N2992" s="53" t="n">
        <f aca="false">IF(F2992="S",L2992*0.02,0)</f>
        <v>0</v>
      </c>
      <c r="O2992" s="82" t="str">
        <f aca="false">IF(L2992&lt;&gt;"",L2992+N2992,"")</f>
        <v/>
      </c>
      <c r="P2992" s="53" t="str">
        <f aca="false">IF(O2992&lt;&gt;"",O2992*0.1,"")</f>
        <v/>
      </c>
      <c r="Q2992" s="83" t="str">
        <f aca="false">IF(O2992&lt;&gt;"",O2992+P2992,"")</f>
        <v/>
      </c>
      <c r="R2992" s="84"/>
    </row>
    <row r="2993" customFormat="false" ht="15" hidden="false" customHeight="true" outlineLevel="0" collapsed="false">
      <c r="A2993" s="103"/>
      <c r="B2993" s="85"/>
      <c r="C2993" s="86"/>
      <c r="D2993" s="87"/>
      <c r="E2993" s="46" t="str">
        <f aca="false">IF(D2993&lt;&gt;"",IFERROR(VLOOKUP(D2993,PROVEEDORES!$A:$B,2,0),"!COD NO ENCONTRADO"),"")</f>
        <v/>
      </c>
      <c r="F2993" s="88" t="str">
        <f aca="false">IF(D2993&lt;&gt;"",IFERROR(VLOOKUP(D2993,PROVEEDORES!$A:$C,3,0),""),"")</f>
        <v/>
      </c>
      <c r="G2993" s="87"/>
      <c r="H2993" s="46" t="str">
        <f aca="false">IF(G2993&lt;&gt;"",IFERROR(VLOOKUP(G2993,PRODUCTOS!$A:$B,2,0),"!COD NO ENCONTRADO"),"")</f>
        <v/>
      </c>
      <c r="I2993" s="89"/>
      <c r="J2993" s="90"/>
      <c r="K2993" s="91"/>
      <c r="L2993" s="80" t="str">
        <f aca="false">IF(AND(J2993&lt;&gt;"",K2993&lt;&gt;""),J2993*K2993,"")</f>
        <v/>
      </c>
      <c r="M2993" s="81" t="str">
        <f aca="false">IF(L2993&lt;&gt;"",L2993*1.1,"")</f>
        <v/>
      </c>
      <c r="N2993" s="47" t="n">
        <f aca="false">IF(F2993="S",L2993*0.02,0)</f>
        <v>0</v>
      </c>
      <c r="O2993" s="82" t="str">
        <f aca="false">IF(L2993&lt;&gt;"",L2993+N2993,"")</f>
        <v/>
      </c>
      <c r="P2993" s="47" t="str">
        <f aca="false">IF(O2993&lt;&gt;"",O2993*0.1,"")</f>
        <v/>
      </c>
      <c r="Q2993" s="83" t="str">
        <f aca="false">IF(O2993&lt;&gt;"",O2993+P2993,"")</f>
        <v/>
      </c>
      <c r="R2993" s="84"/>
    </row>
    <row r="2994" customFormat="false" ht="15" hidden="false" customHeight="true" outlineLevel="0" collapsed="false">
      <c r="A2994" s="103"/>
      <c r="B2994" s="73"/>
      <c r="C2994" s="74"/>
      <c r="D2994" s="75"/>
      <c r="E2994" s="52" t="str">
        <f aca="false">IF(D2994&lt;&gt;"",IFERROR(VLOOKUP(D2994,PROVEEDORES!$A:$B,2,0),"!COD NO ENCONTRADO"),"")</f>
        <v/>
      </c>
      <c r="F2994" s="76" t="str">
        <f aca="false">IF(D2994&lt;&gt;"",IFERROR(VLOOKUP(D2994,PROVEEDORES!$A:$C,3,0),""),"")</f>
        <v/>
      </c>
      <c r="G2994" s="75"/>
      <c r="H2994" s="52" t="str">
        <f aca="false">IF(G2994&lt;&gt;"",IFERROR(VLOOKUP(G2994,PRODUCTOS!$A:$B,2,0),"!COD NO ENCONTRADO"),"")</f>
        <v/>
      </c>
      <c r="I2994" s="77"/>
      <c r="J2994" s="78"/>
      <c r="K2994" s="79"/>
      <c r="L2994" s="80" t="str">
        <f aca="false">IF(AND(J2994&lt;&gt;"",K2994&lt;&gt;""),J2994*K2994,"")</f>
        <v/>
      </c>
      <c r="M2994" s="81" t="str">
        <f aca="false">IF(L2994&lt;&gt;"",L2994*1.1,"")</f>
        <v/>
      </c>
      <c r="N2994" s="53" t="n">
        <f aca="false">IF(F2994="S",L2994*0.02,0)</f>
        <v>0</v>
      </c>
      <c r="O2994" s="82" t="str">
        <f aca="false">IF(L2994&lt;&gt;"",L2994+N2994,"")</f>
        <v/>
      </c>
      <c r="P2994" s="53" t="str">
        <f aca="false">IF(O2994&lt;&gt;"",O2994*0.1,"")</f>
        <v/>
      </c>
      <c r="Q2994" s="83" t="str">
        <f aca="false">IF(O2994&lt;&gt;"",O2994+P2994,"")</f>
        <v/>
      </c>
      <c r="R2994" s="84"/>
    </row>
    <row r="2995" customFormat="false" ht="15" hidden="false" customHeight="true" outlineLevel="0" collapsed="false">
      <c r="A2995" s="103"/>
      <c r="B2995" s="85"/>
      <c r="C2995" s="86"/>
      <c r="D2995" s="87"/>
      <c r="E2995" s="46" t="str">
        <f aca="false">IF(D2995&lt;&gt;"",IFERROR(VLOOKUP(D2995,PROVEEDORES!$A:$B,2,0),"!COD NO ENCONTRADO"),"")</f>
        <v/>
      </c>
      <c r="F2995" s="88" t="str">
        <f aca="false">IF(D2995&lt;&gt;"",IFERROR(VLOOKUP(D2995,PROVEEDORES!$A:$C,3,0),""),"")</f>
        <v/>
      </c>
      <c r="G2995" s="87"/>
      <c r="H2995" s="46" t="str">
        <f aca="false">IF(G2995&lt;&gt;"",IFERROR(VLOOKUP(G2995,PRODUCTOS!$A:$B,2,0),"!COD NO ENCONTRADO"),"")</f>
        <v/>
      </c>
      <c r="I2995" s="89"/>
      <c r="J2995" s="90"/>
      <c r="K2995" s="91"/>
      <c r="L2995" s="80" t="str">
        <f aca="false">IF(AND(J2995&lt;&gt;"",K2995&lt;&gt;""),J2995*K2995,"")</f>
        <v/>
      </c>
      <c r="M2995" s="81" t="str">
        <f aca="false">IF(L2995&lt;&gt;"",L2995*1.1,"")</f>
        <v/>
      </c>
      <c r="N2995" s="47" t="n">
        <f aca="false">IF(F2995="S",L2995*0.02,0)</f>
        <v>0</v>
      </c>
      <c r="O2995" s="82" t="str">
        <f aca="false">IF(L2995&lt;&gt;"",L2995+N2995,"")</f>
        <v/>
      </c>
      <c r="P2995" s="47" t="str">
        <f aca="false">IF(O2995&lt;&gt;"",O2995*0.1,"")</f>
        <v/>
      </c>
      <c r="Q2995" s="83" t="str">
        <f aca="false">IF(O2995&lt;&gt;"",O2995+P2995,"")</f>
        <v/>
      </c>
      <c r="R2995" s="84"/>
    </row>
    <row r="2996" customFormat="false" ht="15" hidden="false" customHeight="true" outlineLevel="0" collapsed="false">
      <c r="A2996" s="103"/>
      <c r="B2996" s="73"/>
      <c r="C2996" s="74"/>
      <c r="D2996" s="75"/>
      <c r="E2996" s="52" t="str">
        <f aca="false">IF(D2996&lt;&gt;"",IFERROR(VLOOKUP(D2996,PROVEEDORES!$A:$B,2,0),"!COD NO ENCONTRADO"),"")</f>
        <v/>
      </c>
      <c r="F2996" s="76" t="str">
        <f aca="false">IF(D2996&lt;&gt;"",IFERROR(VLOOKUP(D2996,PROVEEDORES!$A:$C,3,0),""),"")</f>
        <v/>
      </c>
      <c r="G2996" s="75"/>
      <c r="H2996" s="52" t="str">
        <f aca="false">IF(G2996&lt;&gt;"",IFERROR(VLOOKUP(G2996,PRODUCTOS!$A:$B,2,0),"!COD NO ENCONTRADO"),"")</f>
        <v/>
      </c>
      <c r="I2996" s="77"/>
      <c r="J2996" s="78"/>
      <c r="K2996" s="79"/>
      <c r="L2996" s="80" t="str">
        <f aca="false">IF(AND(J2996&lt;&gt;"",K2996&lt;&gt;""),J2996*K2996,"")</f>
        <v/>
      </c>
      <c r="M2996" s="81" t="str">
        <f aca="false">IF(L2996&lt;&gt;"",L2996*1.1,"")</f>
        <v/>
      </c>
      <c r="N2996" s="53" t="n">
        <f aca="false">IF(F2996="S",L2996*0.02,0)</f>
        <v>0</v>
      </c>
      <c r="O2996" s="82" t="str">
        <f aca="false">IF(L2996&lt;&gt;"",L2996+N2996,"")</f>
        <v/>
      </c>
      <c r="P2996" s="53" t="str">
        <f aca="false">IF(O2996&lt;&gt;"",O2996*0.1,"")</f>
        <v/>
      </c>
      <c r="Q2996" s="83" t="str">
        <f aca="false">IF(O2996&lt;&gt;"",O2996+P2996,"")</f>
        <v/>
      </c>
      <c r="R2996" s="84"/>
    </row>
    <row r="2997" customFormat="false" ht="15" hidden="false" customHeight="true" outlineLevel="0" collapsed="false">
      <c r="A2997" s="103"/>
      <c r="B2997" s="85"/>
      <c r="C2997" s="86"/>
      <c r="D2997" s="87"/>
      <c r="E2997" s="46" t="str">
        <f aca="false">IF(D2997&lt;&gt;"",IFERROR(VLOOKUP(D2997,PROVEEDORES!$A:$B,2,0),"!COD NO ENCONTRADO"),"")</f>
        <v/>
      </c>
      <c r="F2997" s="88" t="str">
        <f aca="false">IF(D2997&lt;&gt;"",IFERROR(VLOOKUP(D2997,PROVEEDORES!$A:$C,3,0),""),"")</f>
        <v/>
      </c>
      <c r="G2997" s="87"/>
      <c r="H2997" s="46" t="str">
        <f aca="false">IF(G2997&lt;&gt;"",IFERROR(VLOOKUP(G2997,PRODUCTOS!$A:$B,2,0),"!COD NO ENCONTRADO"),"")</f>
        <v/>
      </c>
      <c r="I2997" s="89"/>
      <c r="J2997" s="90"/>
      <c r="K2997" s="91"/>
      <c r="L2997" s="80" t="str">
        <f aca="false">IF(AND(J2997&lt;&gt;"",K2997&lt;&gt;""),J2997*K2997,"")</f>
        <v/>
      </c>
      <c r="M2997" s="81" t="str">
        <f aca="false">IF(L2997&lt;&gt;"",L2997*1.1,"")</f>
        <v/>
      </c>
      <c r="N2997" s="47" t="n">
        <f aca="false">IF(F2997="S",L2997*0.02,0)</f>
        <v>0</v>
      </c>
      <c r="O2997" s="82" t="str">
        <f aca="false">IF(L2997&lt;&gt;"",L2997+N2997,"")</f>
        <v/>
      </c>
      <c r="P2997" s="47" t="str">
        <f aca="false">IF(O2997&lt;&gt;"",O2997*0.1,"")</f>
        <v/>
      </c>
      <c r="Q2997" s="83" t="str">
        <f aca="false">IF(O2997&lt;&gt;"",O2997+P2997,"")</f>
        <v/>
      </c>
      <c r="R2997" s="84"/>
    </row>
    <row r="2998" customFormat="false" ht="15" hidden="false" customHeight="true" outlineLevel="0" collapsed="false">
      <c r="A2998" s="103"/>
      <c r="B2998" s="73"/>
      <c r="C2998" s="74"/>
      <c r="D2998" s="75"/>
      <c r="E2998" s="52" t="str">
        <f aca="false">IF(D2998&lt;&gt;"",IFERROR(VLOOKUP(D2998,PROVEEDORES!$A:$B,2,0),"!COD NO ENCONTRADO"),"")</f>
        <v/>
      </c>
      <c r="F2998" s="76" t="str">
        <f aca="false">IF(D2998&lt;&gt;"",IFERROR(VLOOKUP(D2998,PROVEEDORES!$A:$C,3,0),""),"")</f>
        <v/>
      </c>
      <c r="G2998" s="75"/>
      <c r="H2998" s="52" t="str">
        <f aca="false">IF(G2998&lt;&gt;"",IFERROR(VLOOKUP(G2998,PRODUCTOS!$A:$B,2,0),"!COD NO ENCONTRADO"),"")</f>
        <v/>
      </c>
      <c r="I2998" s="77"/>
      <c r="J2998" s="78"/>
      <c r="K2998" s="79"/>
      <c r="L2998" s="80" t="str">
        <f aca="false">IF(AND(J2998&lt;&gt;"",K2998&lt;&gt;""),J2998*K2998,"")</f>
        <v/>
      </c>
      <c r="M2998" s="81" t="str">
        <f aca="false">IF(L2998&lt;&gt;"",L2998*1.1,"")</f>
        <v/>
      </c>
      <c r="N2998" s="53" t="n">
        <f aca="false">IF(F2998="S",L2998*0.02,0)</f>
        <v>0</v>
      </c>
      <c r="O2998" s="82" t="str">
        <f aca="false">IF(L2998&lt;&gt;"",L2998+N2998,"")</f>
        <v/>
      </c>
      <c r="P2998" s="53" t="str">
        <f aca="false">IF(O2998&lt;&gt;"",O2998*0.1,"")</f>
        <v/>
      </c>
      <c r="Q2998" s="83" t="str">
        <f aca="false">IF(O2998&lt;&gt;"",O2998+P2998,"")</f>
        <v/>
      </c>
      <c r="R2998" s="84"/>
    </row>
    <row r="2999" customFormat="false" ht="15" hidden="false" customHeight="true" outlineLevel="0" collapsed="false">
      <c r="A2999" s="103"/>
      <c r="B2999" s="85"/>
      <c r="C2999" s="86"/>
      <c r="D2999" s="87"/>
      <c r="E2999" s="46" t="str">
        <f aca="false">IF(D2999&lt;&gt;"",IFERROR(VLOOKUP(D2999,PROVEEDORES!$A:$B,2,0),"!COD NO ENCONTRADO"),"")</f>
        <v/>
      </c>
      <c r="F2999" s="88" t="str">
        <f aca="false">IF(D2999&lt;&gt;"",IFERROR(VLOOKUP(D2999,PROVEEDORES!$A:$C,3,0),""),"")</f>
        <v/>
      </c>
      <c r="G2999" s="87"/>
      <c r="H2999" s="46" t="str">
        <f aca="false">IF(G2999&lt;&gt;"",IFERROR(VLOOKUP(G2999,PRODUCTOS!$A:$B,2,0),"!COD NO ENCONTRADO"),"")</f>
        <v/>
      </c>
      <c r="I2999" s="89"/>
      <c r="J2999" s="90"/>
      <c r="K2999" s="91"/>
      <c r="L2999" s="80" t="str">
        <f aca="false">IF(AND(J2999&lt;&gt;"",K2999&lt;&gt;""),J2999*K2999,"")</f>
        <v/>
      </c>
      <c r="M2999" s="81" t="str">
        <f aca="false">IF(L2999&lt;&gt;"",L2999*1.1,"")</f>
        <v/>
      </c>
      <c r="N2999" s="47" t="n">
        <f aca="false">IF(F2999="S",L2999*0.02,0)</f>
        <v>0</v>
      </c>
      <c r="O2999" s="82" t="str">
        <f aca="false">IF(L2999&lt;&gt;"",L2999+N2999,"")</f>
        <v/>
      </c>
      <c r="P2999" s="47" t="str">
        <f aca="false">IF(O2999&lt;&gt;"",O2999*0.1,"")</f>
        <v/>
      </c>
      <c r="Q2999" s="83" t="str">
        <f aca="false">IF(O2999&lt;&gt;"",O2999+P2999,"")</f>
        <v/>
      </c>
      <c r="R2999" s="84"/>
    </row>
    <row r="3000" customFormat="false" ht="15" hidden="false" customHeight="true" outlineLevel="0" collapsed="false">
      <c r="A3000" s="103"/>
      <c r="B3000" s="73"/>
      <c r="C3000" s="74"/>
      <c r="D3000" s="75"/>
      <c r="E3000" s="52" t="str">
        <f aca="false">IF(D3000&lt;&gt;"",IFERROR(VLOOKUP(D3000,PROVEEDORES!$A:$B,2,0),"!COD NO ENCONTRADO"),"")</f>
        <v/>
      </c>
      <c r="F3000" s="76" t="str">
        <f aca="false">IF(D3000&lt;&gt;"",IFERROR(VLOOKUP(D3000,PROVEEDORES!$A:$C,3,0),""),"")</f>
        <v/>
      </c>
      <c r="G3000" s="75"/>
      <c r="H3000" s="52" t="str">
        <f aca="false">IF(G3000&lt;&gt;"",IFERROR(VLOOKUP(G3000,PRODUCTOS!$A:$B,2,0),"!COD NO ENCONTRADO"),"")</f>
        <v/>
      </c>
      <c r="I3000" s="77"/>
      <c r="J3000" s="78"/>
      <c r="K3000" s="79"/>
      <c r="L3000" s="80" t="str">
        <f aca="false">IF(AND(J3000&lt;&gt;"",K3000&lt;&gt;""),J3000*K3000,"")</f>
        <v/>
      </c>
      <c r="M3000" s="81" t="str">
        <f aca="false">IF(L3000&lt;&gt;"",L3000*1.1,"")</f>
        <v/>
      </c>
      <c r="N3000" s="53" t="n">
        <f aca="false">IF(F3000="S",L3000*0.02,0)</f>
        <v>0</v>
      </c>
      <c r="O3000" s="82" t="str">
        <f aca="false">IF(L3000&lt;&gt;"",L3000+N3000,"")</f>
        <v/>
      </c>
      <c r="P3000" s="53" t="str">
        <f aca="false">IF(O3000&lt;&gt;"",O3000*0.1,"")</f>
        <v/>
      </c>
      <c r="Q3000" s="83" t="str">
        <f aca="false">IF(O3000&lt;&gt;"",O3000+P3000,"")</f>
        <v/>
      </c>
      <c r="R3000" s="84"/>
    </row>
    <row r="3001" customFormat="false" ht="15" hidden="false" customHeight="true" outlineLevel="0" collapsed="false">
      <c r="A3001" s="103"/>
      <c r="B3001" s="85"/>
      <c r="C3001" s="86"/>
      <c r="D3001" s="87"/>
      <c r="E3001" s="46" t="str">
        <f aca="false">IF(D3001&lt;&gt;"",IFERROR(VLOOKUP(D3001,PROVEEDORES!$A:$B,2,0),"!COD NO ENCONTRADO"),"")</f>
        <v/>
      </c>
      <c r="F3001" s="88" t="str">
        <f aca="false">IF(D3001&lt;&gt;"",IFERROR(VLOOKUP(D3001,PROVEEDORES!$A:$C,3,0),""),"")</f>
        <v/>
      </c>
      <c r="G3001" s="87"/>
      <c r="H3001" s="46" t="str">
        <f aca="false">IF(G3001&lt;&gt;"",IFERROR(VLOOKUP(G3001,PRODUCTOS!$A:$B,2,0),"!COD NO ENCONTRADO"),"")</f>
        <v/>
      </c>
      <c r="I3001" s="89"/>
      <c r="J3001" s="90"/>
      <c r="K3001" s="91"/>
      <c r="L3001" s="80" t="str">
        <f aca="false">IF(AND(J3001&lt;&gt;"",K3001&lt;&gt;""),J3001*K3001,"")</f>
        <v/>
      </c>
      <c r="M3001" s="81" t="str">
        <f aca="false">IF(L3001&lt;&gt;"",L3001*1.1,"")</f>
        <v/>
      </c>
      <c r="N3001" s="47" t="n">
        <f aca="false">IF(F3001="S",L3001*0.02,0)</f>
        <v>0</v>
      </c>
      <c r="O3001" s="82" t="str">
        <f aca="false">IF(L3001&lt;&gt;"",L3001+N3001,"")</f>
        <v/>
      </c>
      <c r="P3001" s="47" t="str">
        <f aca="false">IF(O3001&lt;&gt;"",O3001*0.1,"")</f>
        <v/>
      </c>
      <c r="Q3001" s="83" t="str">
        <f aca="false">IF(O3001&lt;&gt;"",O3001+P3001,"")</f>
        <v/>
      </c>
      <c r="R3001" s="84"/>
    </row>
    <row r="3002" customFormat="false" ht="15" hidden="false" customHeight="true" outlineLevel="0" collapsed="false">
      <c r="A3002" s="103"/>
      <c r="B3002" s="73"/>
      <c r="C3002" s="74"/>
      <c r="D3002" s="75"/>
      <c r="E3002" s="52" t="str">
        <f aca="false">IF(D3002&lt;&gt;"",IFERROR(VLOOKUP(D3002,PROVEEDORES!$A:$B,2,0),"!COD NO ENCONTRADO"),"")</f>
        <v/>
      </c>
      <c r="F3002" s="76" t="str">
        <f aca="false">IF(D3002&lt;&gt;"",IFERROR(VLOOKUP(D3002,PROVEEDORES!$A:$C,3,0),""),"")</f>
        <v/>
      </c>
      <c r="G3002" s="75"/>
      <c r="H3002" s="52" t="str">
        <f aca="false">IF(G3002&lt;&gt;"",IFERROR(VLOOKUP(G3002,PRODUCTOS!$A:$B,2,0),"!COD NO ENCONTRADO"),"")</f>
        <v/>
      </c>
      <c r="I3002" s="77"/>
      <c r="J3002" s="78"/>
      <c r="K3002" s="79"/>
      <c r="L3002" s="80" t="str">
        <f aca="false">IF(AND(J3002&lt;&gt;"",K3002&lt;&gt;""),J3002*K3002,"")</f>
        <v/>
      </c>
      <c r="M3002" s="81" t="str">
        <f aca="false">IF(L3002&lt;&gt;"",L3002*1.1,"")</f>
        <v/>
      </c>
      <c r="N3002" s="53" t="n">
        <f aca="false">IF(F3002="S",L3002*0.02,0)</f>
        <v>0</v>
      </c>
      <c r="O3002" s="82" t="str">
        <f aca="false">IF(L3002&lt;&gt;"",L3002+N3002,"")</f>
        <v/>
      </c>
      <c r="P3002" s="53" t="str">
        <f aca="false">IF(O3002&lt;&gt;"",O3002*0.1,"")</f>
        <v/>
      </c>
      <c r="Q3002" s="83" t="str">
        <f aca="false">IF(O3002&lt;&gt;"",O3002+P3002,"")</f>
        <v/>
      </c>
      <c r="R3002" s="84"/>
    </row>
    <row r="3003" customFormat="false" ht="15" hidden="false" customHeight="true" outlineLevel="0" collapsed="false">
      <c r="A3003" s="103"/>
      <c r="B3003" s="85"/>
      <c r="C3003" s="86"/>
      <c r="D3003" s="87"/>
      <c r="E3003" s="46" t="str">
        <f aca="false">IF(D3003&lt;&gt;"",IFERROR(VLOOKUP(D3003,PROVEEDORES!$A:$B,2,0),"!COD NO ENCONTRADO"),"")</f>
        <v/>
      </c>
      <c r="F3003" s="88" t="str">
        <f aca="false">IF(D3003&lt;&gt;"",IFERROR(VLOOKUP(D3003,PROVEEDORES!$A:$C,3,0),""),"")</f>
        <v/>
      </c>
      <c r="G3003" s="87"/>
      <c r="H3003" s="46" t="str">
        <f aca="false">IF(G3003&lt;&gt;"",IFERROR(VLOOKUP(G3003,PRODUCTOS!$A:$B,2,0),"!COD NO ENCONTRADO"),"")</f>
        <v/>
      </c>
      <c r="I3003" s="89"/>
      <c r="J3003" s="90"/>
      <c r="K3003" s="91"/>
      <c r="L3003" s="80" t="str">
        <f aca="false">IF(AND(J3003&lt;&gt;"",K3003&lt;&gt;""),J3003*K3003,"")</f>
        <v/>
      </c>
      <c r="M3003" s="81" t="str">
        <f aca="false">IF(L3003&lt;&gt;"",L3003*1.1,"")</f>
        <v/>
      </c>
      <c r="N3003" s="47" t="n">
        <f aca="false">IF(F3003="S",L3003*0.02,0)</f>
        <v>0</v>
      </c>
      <c r="O3003" s="82" t="str">
        <f aca="false">IF(L3003&lt;&gt;"",L3003+N3003,"")</f>
        <v/>
      </c>
      <c r="P3003" s="47" t="str">
        <f aca="false">IF(O3003&lt;&gt;"",O3003*0.1,"")</f>
        <v/>
      </c>
      <c r="Q3003" s="83" t="str">
        <f aca="false">IF(O3003&lt;&gt;"",O3003+P3003,"")</f>
        <v/>
      </c>
      <c r="R3003" s="84"/>
    </row>
    <row r="3004" customFormat="false" ht="15" hidden="false" customHeight="true" outlineLevel="0" collapsed="false">
      <c r="A3004" s="103"/>
      <c r="B3004" s="73"/>
      <c r="C3004" s="74"/>
      <c r="D3004" s="75"/>
      <c r="E3004" s="52" t="str">
        <f aca="false">IF(D3004&lt;&gt;"",IFERROR(VLOOKUP(D3004,PROVEEDORES!$A:$B,2,0),"!COD NO ENCONTRADO"),"")</f>
        <v/>
      </c>
      <c r="F3004" s="76" t="str">
        <f aca="false">IF(D3004&lt;&gt;"",IFERROR(VLOOKUP(D3004,PROVEEDORES!$A:$C,3,0),""),"")</f>
        <v/>
      </c>
      <c r="G3004" s="75"/>
      <c r="H3004" s="52" t="str">
        <f aca="false">IF(G3004&lt;&gt;"",IFERROR(VLOOKUP(G3004,PRODUCTOS!$A:$B,2,0),"!COD NO ENCONTRADO"),"")</f>
        <v/>
      </c>
      <c r="I3004" s="77"/>
      <c r="J3004" s="78"/>
      <c r="K3004" s="79"/>
      <c r="L3004" s="80" t="str">
        <f aca="false">IF(AND(J3004&lt;&gt;"",K3004&lt;&gt;""),J3004*K3004,"")</f>
        <v/>
      </c>
      <c r="M3004" s="81" t="str">
        <f aca="false">IF(L3004&lt;&gt;"",L3004*1.1,"")</f>
        <v/>
      </c>
      <c r="N3004" s="53" t="n">
        <f aca="false">IF(F3004="S",L3004*0.02,0)</f>
        <v>0</v>
      </c>
      <c r="O3004" s="82" t="str">
        <f aca="false">IF(L3004&lt;&gt;"",L3004+N3004,"")</f>
        <v/>
      </c>
      <c r="P3004" s="53" t="str">
        <f aca="false">IF(O3004&lt;&gt;"",O3004*0.1,"")</f>
        <v/>
      </c>
      <c r="Q3004" s="83" t="str">
        <f aca="false">IF(O3004&lt;&gt;"",O3004+P3004,"")</f>
        <v/>
      </c>
      <c r="R3004" s="84"/>
    </row>
    <row r="3005" customFormat="false" ht="15" hidden="false" customHeight="true" outlineLevel="0" collapsed="false">
      <c r="A3005" s="103"/>
      <c r="B3005" s="85"/>
      <c r="C3005" s="86"/>
      <c r="D3005" s="87"/>
      <c r="E3005" s="46" t="str">
        <f aca="false">IF(D3005&lt;&gt;"",IFERROR(VLOOKUP(D3005,PROVEEDORES!$A:$B,2,0),"!COD NO ENCONTRADO"),"")</f>
        <v/>
      </c>
      <c r="F3005" s="88" t="str">
        <f aca="false">IF(D3005&lt;&gt;"",IFERROR(VLOOKUP(D3005,PROVEEDORES!$A:$C,3,0),""),"")</f>
        <v/>
      </c>
      <c r="G3005" s="87"/>
      <c r="H3005" s="46" t="str">
        <f aca="false">IF(G3005&lt;&gt;"",IFERROR(VLOOKUP(G3005,PRODUCTOS!$A:$B,2,0),"!COD NO ENCONTRADO"),"")</f>
        <v/>
      </c>
      <c r="I3005" s="89"/>
      <c r="J3005" s="90"/>
      <c r="K3005" s="91"/>
      <c r="L3005" s="80" t="str">
        <f aca="false">IF(AND(J3005&lt;&gt;"",K3005&lt;&gt;""),J3005*K3005,"")</f>
        <v/>
      </c>
      <c r="M3005" s="81" t="str">
        <f aca="false">IF(L3005&lt;&gt;"",L3005*1.1,"")</f>
        <v/>
      </c>
      <c r="N3005" s="47" t="n">
        <f aca="false">IF(F3005="S",L3005*0.02,0)</f>
        <v>0</v>
      </c>
      <c r="O3005" s="82" t="str">
        <f aca="false">IF(L3005&lt;&gt;"",L3005+N3005,"")</f>
        <v/>
      </c>
      <c r="P3005" s="47" t="str">
        <f aca="false">IF(O3005&lt;&gt;"",O3005*0.1,"")</f>
        <v/>
      </c>
      <c r="Q3005" s="83" t="str">
        <f aca="false">IF(O3005&lt;&gt;"",O3005+P3005,"")</f>
        <v/>
      </c>
      <c r="R3005" s="84"/>
    </row>
    <row r="3006" customFormat="false" ht="15" hidden="false" customHeight="true" outlineLevel="0" collapsed="false">
      <c r="A3006" s="103"/>
      <c r="B3006" s="73"/>
      <c r="C3006" s="74"/>
      <c r="D3006" s="75"/>
      <c r="E3006" s="52" t="str">
        <f aca="false">IF(D3006&lt;&gt;"",IFERROR(VLOOKUP(D3006,PROVEEDORES!$A:$B,2,0),"!COD NO ENCONTRADO"),"")</f>
        <v/>
      </c>
      <c r="F3006" s="76" t="str">
        <f aca="false">IF(D3006&lt;&gt;"",IFERROR(VLOOKUP(D3006,PROVEEDORES!$A:$C,3,0),""),"")</f>
        <v/>
      </c>
      <c r="G3006" s="75"/>
      <c r="H3006" s="52" t="str">
        <f aca="false">IF(G3006&lt;&gt;"",IFERROR(VLOOKUP(G3006,PRODUCTOS!$A:$B,2,0),"!COD NO ENCONTRADO"),"")</f>
        <v/>
      </c>
      <c r="I3006" s="77"/>
      <c r="J3006" s="78"/>
      <c r="K3006" s="79"/>
      <c r="L3006" s="80" t="str">
        <f aca="false">IF(AND(J3006&lt;&gt;"",K3006&lt;&gt;""),J3006*K3006,"")</f>
        <v/>
      </c>
      <c r="M3006" s="81" t="str">
        <f aca="false">IF(L3006&lt;&gt;"",L3006*1.1,"")</f>
        <v/>
      </c>
      <c r="N3006" s="53" t="n">
        <f aca="false">IF(F3006="S",L3006*0.02,0)</f>
        <v>0</v>
      </c>
      <c r="O3006" s="82" t="str">
        <f aca="false">IF(L3006&lt;&gt;"",L3006+N3006,"")</f>
        <v/>
      </c>
      <c r="P3006" s="53" t="str">
        <f aca="false">IF(O3006&lt;&gt;"",O3006*0.1,"")</f>
        <v/>
      </c>
      <c r="Q3006" s="83" t="str">
        <f aca="false">IF(O3006&lt;&gt;"",O3006+P3006,"")</f>
        <v/>
      </c>
      <c r="R3006" s="84"/>
    </row>
    <row r="3007" customFormat="false" ht="15" hidden="false" customHeight="true" outlineLevel="0" collapsed="false">
      <c r="A3007" s="103"/>
      <c r="B3007" s="85"/>
      <c r="C3007" s="86"/>
      <c r="D3007" s="87"/>
      <c r="E3007" s="46" t="str">
        <f aca="false">IF(D3007&lt;&gt;"",IFERROR(VLOOKUP(D3007,PROVEEDORES!$A:$B,2,0),"!COD NO ENCONTRADO"),"")</f>
        <v/>
      </c>
      <c r="F3007" s="88" t="str">
        <f aca="false">IF(D3007&lt;&gt;"",IFERROR(VLOOKUP(D3007,PROVEEDORES!$A:$C,3,0),""),"")</f>
        <v/>
      </c>
      <c r="G3007" s="87"/>
      <c r="H3007" s="46" t="str">
        <f aca="false">IF(G3007&lt;&gt;"",IFERROR(VLOOKUP(G3007,PRODUCTOS!$A:$B,2,0),"!COD NO ENCONTRADO"),"")</f>
        <v/>
      </c>
      <c r="I3007" s="89"/>
      <c r="J3007" s="90"/>
      <c r="K3007" s="91"/>
      <c r="L3007" s="80" t="str">
        <f aca="false">IF(AND(J3007&lt;&gt;"",K3007&lt;&gt;""),J3007*K3007,"")</f>
        <v/>
      </c>
      <c r="M3007" s="81" t="str">
        <f aca="false">IF(L3007&lt;&gt;"",L3007*1.1,"")</f>
        <v/>
      </c>
      <c r="N3007" s="47" t="n">
        <f aca="false">IF(F3007="S",L3007*0.02,0)</f>
        <v>0</v>
      </c>
      <c r="O3007" s="82" t="str">
        <f aca="false">IF(L3007&lt;&gt;"",L3007+N3007,"")</f>
        <v/>
      </c>
      <c r="P3007" s="47" t="str">
        <f aca="false">IF(O3007&lt;&gt;"",O3007*0.1,"")</f>
        <v/>
      </c>
      <c r="Q3007" s="83" t="str">
        <f aca="false">IF(O3007&lt;&gt;"",O3007+P3007,"")</f>
        <v/>
      </c>
      <c r="R3007" s="84"/>
    </row>
    <row r="3008" customFormat="false" ht="15" hidden="false" customHeight="true" outlineLevel="0" collapsed="false">
      <c r="A3008" s="103"/>
      <c r="B3008" s="73"/>
      <c r="C3008" s="74"/>
      <c r="D3008" s="75"/>
      <c r="E3008" s="52" t="str">
        <f aca="false">IF(D3008&lt;&gt;"",IFERROR(VLOOKUP(D3008,PROVEEDORES!$A:$B,2,0),"!COD NO ENCONTRADO"),"")</f>
        <v/>
      </c>
      <c r="F3008" s="76" t="str">
        <f aca="false">IF(D3008&lt;&gt;"",IFERROR(VLOOKUP(D3008,PROVEEDORES!$A:$C,3,0),""),"")</f>
        <v/>
      </c>
      <c r="G3008" s="75"/>
      <c r="H3008" s="52" t="str">
        <f aca="false">IF(G3008&lt;&gt;"",IFERROR(VLOOKUP(G3008,PRODUCTOS!$A:$B,2,0),"!COD NO ENCONTRADO"),"")</f>
        <v/>
      </c>
      <c r="I3008" s="77"/>
      <c r="J3008" s="78"/>
      <c r="K3008" s="79"/>
      <c r="L3008" s="80" t="str">
        <f aca="false">IF(AND(J3008&lt;&gt;"",K3008&lt;&gt;""),J3008*K3008,"")</f>
        <v/>
      </c>
      <c r="M3008" s="81" t="str">
        <f aca="false">IF(L3008&lt;&gt;"",L3008*1.1,"")</f>
        <v/>
      </c>
      <c r="N3008" s="53" t="n">
        <f aca="false">IF(F3008="S",L3008*0.02,0)</f>
        <v>0</v>
      </c>
      <c r="O3008" s="82" t="str">
        <f aca="false">IF(L3008&lt;&gt;"",L3008+N3008,"")</f>
        <v/>
      </c>
      <c r="P3008" s="53" t="str">
        <f aca="false">IF(O3008&lt;&gt;"",O3008*0.1,"")</f>
        <v/>
      </c>
      <c r="Q3008" s="83" t="str">
        <f aca="false">IF(O3008&lt;&gt;"",O3008+P3008,"")</f>
        <v/>
      </c>
      <c r="R3008" s="84"/>
    </row>
    <row r="3009" customFormat="false" ht="15" hidden="false" customHeight="true" outlineLevel="0" collapsed="false">
      <c r="A3009" s="103"/>
      <c r="B3009" s="85"/>
      <c r="C3009" s="86"/>
      <c r="D3009" s="87"/>
      <c r="E3009" s="46" t="str">
        <f aca="false">IF(D3009&lt;&gt;"",IFERROR(VLOOKUP(D3009,PROVEEDORES!$A:$B,2,0),"!COD NO ENCONTRADO"),"")</f>
        <v/>
      </c>
      <c r="F3009" s="88" t="str">
        <f aca="false">IF(D3009&lt;&gt;"",IFERROR(VLOOKUP(D3009,PROVEEDORES!$A:$C,3,0),""),"")</f>
        <v/>
      </c>
      <c r="G3009" s="87"/>
      <c r="H3009" s="46" t="str">
        <f aca="false">IF(G3009&lt;&gt;"",IFERROR(VLOOKUP(G3009,PRODUCTOS!$A:$B,2,0),"!COD NO ENCONTRADO"),"")</f>
        <v/>
      </c>
      <c r="I3009" s="89"/>
      <c r="J3009" s="90"/>
      <c r="K3009" s="91"/>
      <c r="L3009" s="80" t="str">
        <f aca="false">IF(AND(J3009&lt;&gt;"",K3009&lt;&gt;""),J3009*K3009,"")</f>
        <v/>
      </c>
      <c r="M3009" s="81" t="str">
        <f aca="false">IF(L3009&lt;&gt;"",L3009*1.1,"")</f>
        <v/>
      </c>
      <c r="N3009" s="47" t="n">
        <f aca="false">IF(F3009="S",L3009*0.02,0)</f>
        <v>0</v>
      </c>
      <c r="O3009" s="82" t="str">
        <f aca="false">IF(L3009&lt;&gt;"",L3009+N3009,"")</f>
        <v/>
      </c>
      <c r="P3009" s="47" t="str">
        <f aca="false">IF(O3009&lt;&gt;"",O3009*0.1,"")</f>
        <v/>
      </c>
      <c r="Q3009" s="83" t="str">
        <f aca="false">IF(O3009&lt;&gt;"",O3009+P3009,"")</f>
        <v/>
      </c>
      <c r="R3009" s="84"/>
    </row>
    <row r="3010" customFormat="false" ht="15" hidden="false" customHeight="true" outlineLevel="0" collapsed="false">
      <c r="A3010" s="103"/>
      <c r="B3010" s="73"/>
      <c r="C3010" s="74"/>
      <c r="D3010" s="75"/>
      <c r="E3010" s="52" t="str">
        <f aca="false">IF(D3010&lt;&gt;"",IFERROR(VLOOKUP(D3010,PROVEEDORES!$A:$B,2,0),"!COD NO ENCONTRADO"),"")</f>
        <v/>
      </c>
      <c r="F3010" s="76" t="str">
        <f aca="false">IF(D3010&lt;&gt;"",IFERROR(VLOOKUP(D3010,PROVEEDORES!$A:$C,3,0),""),"")</f>
        <v/>
      </c>
      <c r="G3010" s="75"/>
      <c r="H3010" s="52" t="str">
        <f aca="false">IF(G3010&lt;&gt;"",IFERROR(VLOOKUP(G3010,PRODUCTOS!$A:$B,2,0),"!COD NO ENCONTRADO"),"")</f>
        <v/>
      </c>
      <c r="I3010" s="77"/>
      <c r="J3010" s="78"/>
      <c r="K3010" s="79"/>
      <c r="L3010" s="80" t="str">
        <f aca="false">IF(AND(J3010&lt;&gt;"",K3010&lt;&gt;""),J3010*K3010,"")</f>
        <v/>
      </c>
      <c r="M3010" s="81" t="str">
        <f aca="false">IF(L3010&lt;&gt;"",L3010*1.1,"")</f>
        <v/>
      </c>
      <c r="N3010" s="53" t="n">
        <f aca="false">IF(F3010="S",L3010*0.02,0)</f>
        <v>0</v>
      </c>
      <c r="O3010" s="82" t="str">
        <f aca="false">IF(L3010&lt;&gt;"",L3010+N3010,"")</f>
        <v/>
      </c>
      <c r="P3010" s="53" t="str">
        <f aca="false">IF(O3010&lt;&gt;"",O3010*0.1,"")</f>
        <v/>
      </c>
      <c r="Q3010" s="83" t="str">
        <f aca="false">IF(O3010&lt;&gt;"",O3010+P3010,"")</f>
        <v/>
      </c>
      <c r="R3010" s="84"/>
    </row>
    <row r="3011" customFormat="false" ht="15" hidden="false" customHeight="true" outlineLevel="0" collapsed="false">
      <c r="A3011" s="103"/>
      <c r="B3011" s="85"/>
      <c r="C3011" s="86"/>
      <c r="D3011" s="87"/>
      <c r="E3011" s="46" t="str">
        <f aca="false">IF(D3011&lt;&gt;"",IFERROR(VLOOKUP(D3011,PROVEEDORES!$A:$B,2,0),"!COD NO ENCONTRADO"),"")</f>
        <v/>
      </c>
      <c r="F3011" s="88" t="str">
        <f aca="false">IF(D3011&lt;&gt;"",IFERROR(VLOOKUP(D3011,PROVEEDORES!$A:$C,3,0),""),"")</f>
        <v/>
      </c>
      <c r="G3011" s="87"/>
      <c r="H3011" s="46" t="str">
        <f aca="false">IF(G3011&lt;&gt;"",IFERROR(VLOOKUP(G3011,PRODUCTOS!$A:$B,2,0),"!COD NO ENCONTRADO"),"")</f>
        <v/>
      </c>
      <c r="I3011" s="89"/>
      <c r="J3011" s="90"/>
      <c r="K3011" s="91"/>
      <c r="L3011" s="80" t="str">
        <f aca="false">IF(AND(J3011&lt;&gt;"",K3011&lt;&gt;""),J3011*K3011,"")</f>
        <v/>
      </c>
      <c r="M3011" s="81" t="str">
        <f aca="false">IF(L3011&lt;&gt;"",L3011*1.1,"")</f>
        <v/>
      </c>
      <c r="N3011" s="47" t="n">
        <f aca="false">IF(F3011="S",L3011*0.02,0)</f>
        <v>0</v>
      </c>
      <c r="O3011" s="82" t="str">
        <f aca="false">IF(L3011&lt;&gt;"",L3011+N3011,"")</f>
        <v/>
      </c>
      <c r="P3011" s="47" t="str">
        <f aca="false">IF(O3011&lt;&gt;"",O3011*0.1,"")</f>
        <v/>
      </c>
      <c r="Q3011" s="83" t="str">
        <f aca="false">IF(O3011&lt;&gt;"",O3011+P3011,"")</f>
        <v/>
      </c>
      <c r="R3011" s="84"/>
    </row>
    <row r="3012" customFormat="false" ht="15" hidden="false" customHeight="true" outlineLevel="0" collapsed="false">
      <c r="A3012" s="103"/>
      <c r="B3012" s="73"/>
      <c r="C3012" s="74"/>
      <c r="D3012" s="75"/>
      <c r="E3012" s="52" t="str">
        <f aca="false">IF(D3012&lt;&gt;"",IFERROR(VLOOKUP(D3012,PROVEEDORES!$A:$B,2,0),"!COD NO ENCONTRADO"),"")</f>
        <v/>
      </c>
      <c r="F3012" s="76" t="str">
        <f aca="false">IF(D3012&lt;&gt;"",IFERROR(VLOOKUP(D3012,PROVEEDORES!$A:$C,3,0),""),"")</f>
        <v/>
      </c>
      <c r="G3012" s="75"/>
      <c r="H3012" s="52" t="str">
        <f aca="false">IF(G3012&lt;&gt;"",IFERROR(VLOOKUP(G3012,PRODUCTOS!$A:$B,2,0),"!COD NO ENCONTRADO"),"")</f>
        <v/>
      </c>
      <c r="I3012" s="77"/>
      <c r="J3012" s="78"/>
      <c r="K3012" s="79"/>
      <c r="L3012" s="80" t="str">
        <f aca="false">IF(AND(J3012&lt;&gt;"",K3012&lt;&gt;""),J3012*K3012,"")</f>
        <v/>
      </c>
      <c r="M3012" s="81" t="str">
        <f aca="false">IF(L3012&lt;&gt;"",L3012*1.1,"")</f>
        <v/>
      </c>
      <c r="N3012" s="53" t="n">
        <f aca="false">IF(F3012="S",L3012*0.02,0)</f>
        <v>0</v>
      </c>
      <c r="O3012" s="82" t="str">
        <f aca="false">IF(L3012&lt;&gt;"",L3012+N3012,"")</f>
        <v/>
      </c>
      <c r="P3012" s="53" t="str">
        <f aca="false">IF(O3012&lt;&gt;"",O3012*0.1,"")</f>
        <v/>
      </c>
      <c r="Q3012" s="83" t="str">
        <f aca="false">IF(O3012&lt;&gt;"",O3012+P3012,"")</f>
        <v/>
      </c>
      <c r="R3012" s="84"/>
    </row>
    <row r="3013" customFormat="false" ht="15" hidden="false" customHeight="true" outlineLevel="0" collapsed="false">
      <c r="A3013" s="103"/>
      <c r="B3013" s="85"/>
      <c r="C3013" s="86"/>
      <c r="D3013" s="87"/>
      <c r="E3013" s="46" t="str">
        <f aca="false">IF(D3013&lt;&gt;"",IFERROR(VLOOKUP(D3013,PROVEEDORES!$A:$B,2,0),"!COD NO ENCONTRADO"),"")</f>
        <v/>
      </c>
      <c r="F3013" s="88" t="str">
        <f aca="false">IF(D3013&lt;&gt;"",IFERROR(VLOOKUP(D3013,PROVEEDORES!$A:$C,3,0),""),"")</f>
        <v/>
      </c>
      <c r="G3013" s="87"/>
      <c r="H3013" s="46" t="str">
        <f aca="false">IF(G3013&lt;&gt;"",IFERROR(VLOOKUP(G3013,PRODUCTOS!$A:$B,2,0),"!COD NO ENCONTRADO"),"")</f>
        <v/>
      </c>
      <c r="I3013" s="89"/>
      <c r="J3013" s="90"/>
      <c r="K3013" s="91"/>
      <c r="L3013" s="80" t="str">
        <f aca="false">IF(AND(J3013&lt;&gt;"",K3013&lt;&gt;""),J3013*K3013,"")</f>
        <v/>
      </c>
      <c r="M3013" s="81" t="str">
        <f aca="false">IF(L3013&lt;&gt;"",L3013*1.1,"")</f>
        <v/>
      </c>
      <c r="N3013" s="47" t="n">
        <f aca="false">IF(F3013="S",L3013*0.02,0)</f>
        <v>0</v>
      </c>
      <c r="O3013" s="82" t="str">
        <f aca="false">IF(L3013&lt;&gt;"",L3013+N3013,"")</f>
        <v/>
      </c>
      <c r="P3013" s="47" t="str">
        <f aca="false">IF(O3013&lt;&gt;"",O3013*0.1,"")</f>
        <v/>
      </c>
      <c r="Q3013" s="83" t="str">
        <f aca="false">IF(O3013&lt;&gt;"",O3013+P3013,"")</f>
        <v/>
      </c>
      <c r="R3013" s="84"/>
    </row>
    <row r="3014" customFormat="false" ht="15" hidden="false" customHeight="true" outlineLevel="0" collapsed="false">
      <c r="A3014" s="103"/>
      <c r="B3014" s="73"/>
      <c r="C3014" s="74"/>
      <c r="D3014" s="75"/>
      <c r="E3014" s="52" t="str">
        <f aca="false">IF(D3014&lt;&gt;"",IFERROR(VLOOKUP(D3014,PROVEEDORES!$A:$B,2,0),"!COD NO ENCONTRADO"),"")</f>
        <v/>
      </c>
      <c r="F3014" s="76" t="str">
        <f aca="false">IF(D3014&lt;&gt;"",IFERROR(VLOOKUP(D3014,PROVEEDORES!$A:$C,3,0),""),"")</f>
        <v/>
      </c>
      <c r="G3014" s="75"/>
      <c r="H3014" s="52" t="str">
        <f aca="false">IF(G3014&lt;&gt;"",IFERROR(VLOOKUP(G3014,PRODUCTOS!$A:$B,2,0),"!COD NO ENCONTRADO"),"")</f>
        <v/>
      </c>
      <c r="I3014" s="77"/>
      <c r="J3014" s="78"/>
      <c r="K3014" s="79"/>
      <c r="L3014" s="80" t="str">
        <f aca="false">IF(AND(J3014&lt;&gt;"",K3014&lt;&gt;""),J3014*K3014,"")</f>
        <v/>
      </c>
      <c r="M3014" s="81" t="str">
        <f aca="false">IF(L3014&lt;&gt;"",L3014*1.1,"")</f>
        <v/>
      </c>
      <c r="N3014" s="53" t="n">
        <f aca="false">IF(F3014="S",L3014*0.02,0)</f>
        <v>0</v>
      </c>
      <c r="O3014" s="82" t="str">
        <f aca="false">IF(L3014&lt;&gt;"",L3014+N3014,"")</f>
        <v/>
      </c>
      <c r="P3014" s="53" t="str">
        <f aca="false">IF(O3014&lt;&gt;"",O3014*0.1,"")</f>
        <v/>
      </c>
      <c r="Q3014" s="83" t="str">
        <f aca="false">IF(O3014&lt;&gt;"",O3014+P3014,"")</f>
        <v/>
      </c>
      <c r="R3014" s="84"/>
    </row>
    <row r="3015" customFormat="false" ht="15" hidden="false" customHeight="true" outlineLevel="0" collapsed="false">
      <c r="A3015" s="103"/>
      <c r="B3015" s="85"/>
      <c r="C3015" s="86"/>
      <c r="D3015" s="87"/>
      <c r="E3015" s="46" t="str">
        <f aca="false">IF(D3015&lt;&gt;"",IFERROR(VLOOKUP(D3015,PROVEEDORES!$A:$B,2,0),"!COD NO ENCONTRADO"),"")</f>
        <v/>
      </c>
      <c r="F3015" s="88" t="str">
        <f aca="false">IF(D3015&lt;&gt;"",IFERROR(VLOOKUP(D3015,PROVEEDORES!$A:$C,3,0),""),"")</f>
        <v/>
      </c>
      <c r="G3015" s="87"/>
      <c r="H3015" s="46" t="str">
        <f aca="false">IF(G3015&lt;&gt;"",IFERROR(VLOOKUP(G3015,PRODUCTOS!$A:$B,2,0),"!COD NO ENCONTRADO"),"")</f>
        <v/>
      </c>
      <c r="I3015" s="89"/>
      <c r="J3015" s="90"/>
      <c r="K3015" s="91"/>
      <c r="L3015" s="80" t="str">
        <f aca="false">IF(AND(J3015&lt;&gt;"",K3015&lt;&gt;""),J3015*K3015,"")</f>
        <v/>
      </c>
      <c r="M3015" s="81" t="str">
        <f aca="false">IF(L3015&lt;&gt;"",L3015*1.1,"")</f>
        <v/>
      </c>
      <c r="N3015" s="47" t="n">
        <f aca="false">IF(F3015="S",L3015*0.02,0)</f>
        <v>0</v>
      </c>
      <c r="O3015" s="82" t="str">
        <f aca="false">IF(L3015&lt;&gt;"",L3015+N3015,"")</f>
        <v/>
      </c>
      <c r="P3015" s="47" t="str">
        <f aca="false">IF(O3015&lt;&gt;"",O3015*0.1,"")</f>
        <v/>
      </c>
      <c r="Q3015" s="83" t="str">
        <f aca="false">IF(O3015&lt;&gt;"",O3015+P3015,"")</f>
        <v/>
      </c>
      <c r="R3015" s="84"/>
    </row>
    <row r="3016" customFormat="false" ht="15" hidden="false" customHeight="true" outlineLevel="0" collapsed="false">
      <c r="A3016" s="103"/>
      <c r="B3016" s="73"/>
      <c r="C3016" s="74"/>
      <c r="D3016" s="75"/>
      <c r="E3016" s="52" t="str">
        <f aca="false">IF(D3016&lt;&gt;"",IFERROR(VLOOKUP(D3016,PROVEEDORES!$A:$B,2,0),"!COD NO ENCONTRADO"),"")</f>
        <v/>
      </c>
      <c r="F3016" s="76" t="str">
        <f aca="false">IF(D3016&lt;&gt;"",IFERROR(VLOOKUP(D3016,PROVEEDORES!$A:$C,3,0),""),"")</f>
        <v/>
      </c>
      <c r="G3016" s="75"/>
      <c r="H3016" s="52" t="str">
        <f aca="false">IF(G3016&lt;&gt;"",IFERROR(VLOOKUP(G3016,PRODUCTOS!$A:$B,2,0),"!COD NO ENCONTRADO"),"")</f>
        <v/>
      </c>
      <c r="I3016" s="77"/>
      <c r="J3016" s="78"/>
      <c r="K3016" s="79"/>
      <c r="L3016" s="80" t="str">
        <f aca="false">IF(AND(J3016&lt;&gt;"",K3016&lt;&gt;""),J3016*K3016,"")</f>
        <v/>
      </c>
      <c r="M3016" s="81" t="str">
        <f aca="false">IF(L3016&lt;&gt;"",L3016*1.1,"")</f>
        <v/>
      </c>
      <c r="N3016" s="53" t="n">
        <f aca="false">IF(F3016="S",L3016*0.02,0)</f>
        <v>0</v>
      </c>
      <c r="O3016" s="82" t="str">
        <f aca="false">IF(L3016&lt;&gt;"",L3016+N3016,"")</f>
        <v/>
      </c>
      <c r="P3016" s="53" t="str">
        <f aca="false">IF(O3016&lt;&gt;"",O3016*0.1,"")</f>
        <v/>
      </c>
      <c r="Q3016" s="83" t="str">
        <f aca="false">IF(O3016&lt;&gt;"",O3016+P3016,"")</f>
        <v/>
      </c>
      <c r="R3016" s="84"/>
    </row>
    <row r="3017" customFormat="false" ht="15" hidden="false" customHeight="true" outlineLevel="0" collapsed="false">
      <c r="A3017" s="103"/>
      <c r="B3017" s="85"/>
      <c r="C3017" s="86"/>
      <c r="D3017" s="87"/>
      <c r="E3017" s="46" t="str">
        <f aca="false">IF(D3017&lt;&gt;"",IFERROR(VLOOKUP(D3017,PROVEEDORES!$A:$B,2,0),"!COD NO ENCONTRADO"),"")</f>
        <v/>
      </c>
      <c r="F3017" s="88" t="str">
        <f aca="false">IF(D3017&lt;&gt;"",IFERROR(VLOOKUP(D3017,PROVEEDORES!$A:$C,3,0),""),"")</f>
        <v/>
      </c>
      <c r="G3017" s="87"/>
      <c r="H3017" s="46" t="str">
        <f aca="false">IF(G3017&lt;&gt;"",IFERROR(VLOOKUP(G3017,PRODUCTOS!$A:$B,2,0),"!COD NO ENCONTRADO"),"")</f>
        <v/>
      </c>
      <c r="I3017" s="89"/>
      <c r="J3017" s="90"/>
      <c r="K3017" s="91"/>
      <c r="L3017" s="80" t="str">
        <f aca="false">IF(AND(J3017&lt;&gt;"",K3017&lt;&gt;""),J3017*K3017,"")</f>
        <v/>
      </c>
      <c r="M3017" s="81" t="str">
        <f aca="false">IF(L3017&lt;&gt;"",L3017*1.1,"")</f>
        <v/>
      </c>
      <c r="N3017" s="47" t="n">
        <f aca="false">IF(F3017="S",L3017*0.02,0)</f>
        <v>0</v>
      </c>
      <c r="O3017" s="82" t="str">
        <f aca="false">IF(L3017&lt;&gt;"",L3017+N3017,"")</f>
        <v/>
      </c>
      <c r="P3017" s="47" t="str">
        <f aca="false">IF(O3017&lt;&gt;"",O3017*0.1,"")</f>
        <v/>
      </c>
      <c r="Q3017" s="83" t="str">
        <f aca="false">IF(O3017&lt;&gt;"",O3017+P3017,"")</f>
        <v/>
      </c>
      <c r="R3017" s="84"/>
    </row>
    <row r="3018" customFormat="false" ht="15" hidden="false" customHeight="true" outlineLevel="0" collapsed="false">
      <c r="A3018" s="103"/>
      <c r="B3018" s="73"/>
      <c r="C3018" s="74"/>
      <c r="D3018" s="75"/>
      <c r="E3018" s="52" t="str">
        <f aca="false">IF(D3018&lt;&gt;"",IFERROR(VLOOKUP(D3018,PROVEEDORES!$A:$B,2,0),"!COD NO ENCONTRADO"),"")</f>
        <v/>
      </c>
      <c r="F3018" s="76" t="str">
        <f aca="false">IF(D3018&lt;&gt;"",IFERROR(VLOOKUP(D3018,PROVEEDORES!$A:$C,3,0),""),"")</f>
        <v/>
      </c>
      <c r="G3018" s="75"/>
      <c r="H3018" s="52" t="str">
        <f aca="false">IF(G3018&lt;&gt;"",IFERROR(VLOOKUP(G3018,PRODUCTOS!$A:$B,2,0),"!COD NO ENCONTRADO"),"")</f>
        <v/>
      </c>
      <c r="I3018" s="77"/>
      <c r="J3018" s="78"/>
      <c r="K3018" s="79"/>
      <c r="L3018" s="80" t="str">
        <f aca="false">IF(AND(J3018&lt;&gt;"",K3018&lt;&gt;""),J3018*K3018,"")</f>
        <v/>
      </c>
      <c r="M3018" s="81" t="str">
        <f aca="false">IF(L3018&lt;&gt;"",L3018*1.1,"")</f>
        <v/>
      </c>
      <c r="N3018" s="53" t="n">
        <f aca="false">IF(F3018="S",L3018*0.02,0)</f>
        <v>0</v>
      </c>
      <c r="O3018" s="82" t="str">
        <f aca="false">IF(L3018&lt;&gt;"",L3018+N3018,"")</f>
        <v/>
      </c>
      <c r="P3018" s="53" t="str">
        <f aca="false">IF(O3018&lt;&gt;"",O3018*0.1,"")</f>
        <v/>
      </c>
      <c r="Q3018" s="83" t="str">
        <f aca="false">IF(O3018&lt;&gt;"",O3018+P3018,"")</f>
        <v/>
      </c>
      <c r="R3018" s="84"/>
    </row>
    <row r="3019" customFormat="false" ht="15" hidden="false" customHeight="true" outlineLevel="0" collapsed="false">
      <c r="A3019" s="103"/>
      <c r="B3019" s="85"/>
      <c r="C3019" s="86"/>
      <c r="D3019" s="87"/>
      <c r="E3019" s="46" t="str">
        <f aca="false">IF(D3019&lt;&gt;"",IFERROR(VLOOKUP(D3019,PROVEEDORES!$A:$B,2,0),"!COD NO ENCONTRADO"),"")</f>
        <v/>
      </c>
      <c r="F3019" s="88" t="str">
        <f aca="false">IF(D3019&lt;&gt;"",IFERROR(VLOOKUP(D3019,PROVEEDORES!$A:$C,3,0),""),"")</f>
        <v/>
      </c>
      <c r="G3019" s="87"/>
      <c r="H3019" s="46" t="str">
        <f aca="false">IF(G3019&lt;&gt;"",IFERROR(VLOOKUP(G3019,PRODUCTOS!$A:$B,2,0),"!COD NO ENCONTRADO"),"")</f>
        <v/>
      </c>
      <c r="I3019" s="89"/>
      <c r="J3019" s="90"/>
      <c r="K3019" s="91"/>
      <c r="L3019" s="80" t="str">
        <f aca="false">IF(AND(J3019&lt;&gt;"",K3019&lt;&gt;""),J3019*K3019,"")</f>
        <v/>
      </c>
      <c r="M3019" s="81" t="str">
        <f aca="false">IF(L3019&lt;&gt;"",L3019*1.1,"")</f>
        <v/>
      </c>
      <c r="N3019" s="47" t="n">
        <f aca="false">IF(F3019="S",L3019*0.02,0)</f>
        <v>0</v>
      </c>
      <c r="O3019" s="82" t="str">
        <f aca="false">IF(L3019&lt;&gt;"",L3019+N3019,"")</f>
        <v/>
      </c>
      <c r="P3019" s="47" t="str">
        <f aca="false">IF(O3019&lt;&gt;"",O3019*0.1,"")</f>
        <v/>
      </c>
      <c r="Q3019" s="83" t="str">
        <f aca="false">IF(O3019&lt;&gt;"",O3019+P3019,"")</f>
        <v/>
      </c>
      <c r="R3019" s="84"/>
    </row>
    <row r="3020" customFormat="false" ht="15" hidden="false" customHeight="true" outlineLevel="0" collapsed="false">
      <c r="A3020" s="103"/>
      <c r="B3020" s="73"/>
      <c r="C3020" s="74"/>
      <c r="D3020" s="75"/>
      <c r="E3020" s="52" t="str">
        <f aca="false">IF(D3020&lt;&gt;"",IFERROR(VLOOKUP(D3020,PROVEEDORES!$A:$B,2,0),"!COD NO ENCONTRADO"),"")</f>
        <v/>
      </c>
      <c r="F3020" s="76" t="str">
        <f aca="false">IF(D3020&lt;&gt;"",IFERROR(VLOOKUP(D3020,PROVEEDORES!$A:$C,3,0),""),"")</f>
        <v/>
      </c>
      <c r="G3020" s="75"/>
      <c r="H3020" s="52" t="str">
        <f aca="false">IF(G3020&lt;&gt;"",IFERROR(VLOOKUP(G3020,PRODUCTOS!$A:$B,2,0),"!COD NO ENCONTRADO"),"")</f>
        <v/>
      </c>
      <c r="I3020" s="77"/>
      <c r="J3020" s="78"/>
      <c r="K3020" s="79"/>
      <c r="L3020" s="80" t="str">
        <f aca="false">IF(AND(J3020&lt;&gt;"",K3020&lt;&gt;""),J3020*K3020,"")</f>
        <v/>
      </c>
      <c r="M3020" s="81" t="str">
        <f aca="false">IF(L3020&lt;&gt;"",L3020*1.1,"")</f>
        <v/>
      </c>
      <c r="N3020" s="53" t="n">
        <f aca="false">IF(F3020="S",L3020*0.02,0)</f>
        <v>0</v>
      </c>
      <c r="O3020" s="82" t="str">
        <f aca="false">IF(L3020&lt;&gt;"",L3020+N3020,"")</f>
        <v/>
      </c>
      <c r="P3020" s="53" t="str">
        <f aca="false">IF(O3020&lt;&gt;"",O3020*0.1,"")</f>
        <v/>
      </c>
      <c r="Q3020" s="83" t="str">
        <f aca="false">IF(O3020&lt;&gt;"",O3020+P3020,"")</f>
        <v/>
      </c>
      <c r="R3020" s="84"/>
    </row>
    <row r="3021" customFormat="false" ht="15" hidden="false" customHeight="true" outlineLevel="0" collapsed="false">
      <c r="A3021" s="103"/>
      <c r="B3021" s="85"/>
      <c r="C3021" s="86"/>
      <c r="D3021" s="87"/>
      <c r="E3021" s="46" t="str">
        <f aca="false">IF(D3021&lt;&gt;"",IFERROR(VLOOKUP(D3021,PROVEEDORES!$A:$B,2,0),"!COD NO ENCONTRADO"),"")</f>
        <v/>
      </c>
      <c r="F3021" s="88" t="str">
        <f aca="false">IF(D3021&lt;&gt;"",IFERROR(VLOOKUP(D3021,PROVEEDORES!$A:$C,3,0),""),"")</f>
        <v/>
      </c>
      <c r="G3021" s="87"/>
      <c r="H3021" s="46" t="str">
        <f aca="false">IF(G3021&lt;&gt;"",IFERROR(VLOOKUP(G3021,PRODUCTOS!$A:$B,2,0),"!COD NO ENCONTRADO"),"")</f>
        <v/>
      </c>
      <c r="I3021" s="89"/>
      <c r="J3021" s="90"/>
      <c r="K3021" s="91"/>
      <c r="L3021" s="80" t="str">
        <f aca="false">IF(AND(J3021&lt;&gt;"",K3021&lt;&gt;""),J3021*K3021,"")</f>
        <v/>
      </c>
      <c r="M3021" s="81" t="str">
        <f aca="false">IF(L3021&lt;&gt;"",L3021*1.1,"")</f>
        <v/>
      </c>
      <c r="N3021" s="47" t="n">
        <f aca="false">IF(F3021="S",L3021*0.02,0)</f>
        <v>0</v>
      </c>
      <c r="O3021" s="82" t="str">
        <f aca="false">IF(L3021&lt;&gt;"",L3021+N3021,"")</f>
        <v/>
      </c>
      <c r="P3021" s="47" t="str">
        <f aca="false">IF(O3021&lt;&gt;"",O3021*0.1,"")</f>
        <v/>
      </c>
      <c r="Q3021" s="83" t="str">
        <f aca="false">IF(O3021&lt;&gt;"",O3021+P3021,"")</f>
        <v/>
      </c>
      <c r="R3021" s="84"/>
    </row>
    <row r="3022" customFormat="false" ht="15" hidden="false" customHeight="true" outlineLevel="0" collapsed="false">
      <c r="A3022" s="103"/>
      <c r="B3022" s="73"/>
      <c r="C3022" s="74"/>
      <c r="D3022" s="75"/>
      <c r="E3022" s="52" t="str">
        <f aca="false">IF(D3022&lt;&gt;"",IFERROR(VLOOKUP(D3022,PROVEEDORES!$A:$B,2,0),"!COD NO ENCONTRADO"),"")</f>
        <v/>
      </c>
      <c r="F3022" s="76" t="str">
        <f aca="false">IF(D3022&lt;&gt;"",IFERROR(VLOOKUP(D3022,PROVEEDORES!$A:$C,3,0),""),"")</f>
        <v/>
      </c>
      <c r="G3022" s="75"/>
      <c r="H3022" s="52" t="str">
        <f aca="false">IF(G3022&lt;&gt;"",IFERROR(VLOOKUP(G3022,PRODUCTOS!$A:$B,2,0),"!COD NO ENCONTRADO"),"")</f>
        <v/>
      </c>
      <c r="I3022" s="77"/>
      <c r="J3022" s="78"/>
      <c r="K3022" s="79"/>
      <c r="L3022" s="80" t="str">
        <f aca="false">IF(AND(J3022&lt;&gt;"",K3022&lt;&gt;""),J3022*K3022,"")</f>
        <v/>
      </c>
      <c r="M3022" s="81" t="str">
        <f aca="false">IF(L3022&lt;&gt;"",L3022*1.1,"")</f>
        <v/>
      </c>
      <c r="N3022" s="53" t="n">
        <f aca="false">IF(F3022="S",L3022*0.02,0)</f>
        <v>0</v>
      </c>
      <c r="O3022" s="82" t="str">
        <f aca="false">IF(L3022&lt;&gt;"",L3022+N3022,"")</f>
        <v/>
      </c>
      <c r="P3022" s="53" t="str">
        <f aca="false">IF(O3022&lt;&gt;"",O3022*0.1,"")</f>
        <v/>
      </c>
      <c r="Q3022" s="83" t="str">
        <f aca="false">IF(O3022&lt;&gt;"",O3022+P3022,"")</f>
        <v/>
      </c>
      <c r="R3022" s="84"/>
    </row>
    <row r="3023" customFormat="false" ht="15" hidden="false" customHeight="true" outlineLevel="0" collapsed="false">
      <c r="A3023" s="103"/>
      <c r="B3023" s="85"/>
      <c r="C3023" s="86"/>
      <c r="D3023" s="87"/>
      <c r="E3023" s="46" t="str">
        <f aca="false">IF(D3023&lt;&gt;"",IFERROR(VLOOKUP(D3023,PROVEEDORES!$A:$B,2,0),"!COD NO ENCONTRADO"),"")</f>
        <v/>
      </c>
      <c r="F3023" s="88" t="str">
        <f aca="false">IF(D3023&lt;&gt;"",IFERROR(VLOOKUP(D3023,PROVEEDORES!$A:$C,3,0),""),"")</f>
        <v/>
      </c>
      <c r="G3023" s="87"/>
      <c r="H3023" s="46" t="str">
        <f aca="false">IF(G3023&lt;&gt;"",IFERROR(VLOOKUP(G3023,PRODUCTOS!$A:$B,2,0),"!COD NO ENCONTRADO"),"")</f>
        <v/>
      </c>
      <c r="I3023" s="89"/>
      <c r="J3023" s="90"/>
      <c r="K3023" s="91"/>
      <c r="L3023" s="80" t="str">
        <f aca="false">IF(AND(J3023&lt;&gt;"",K3023&lt;&gt;""),J3023*K3023,"")</f>
        <v/>
      </c>
      <c r="M3023" s="81" t="str">
        <f aca="false">IF(L3023&lt;&gt;"",L3023*1.1,"")</f>
        <v/>
      </c>
      <c r="N3023" s="47" t="n">
        <f aca="false">IF(F3023="S",L3023*0.02,0)</f>
        <v>0</v>
      </c>
      <c r="O3023" s="82" t="str">
        <f aca="false">IF(L3023&lt;&gt;"",L3023+N3023,"")</f>
        <v/>
      </c>
      <c r="P3023" s="47" t="str">
        <f aca="false">IF(O3023&lt;&gt;"",O3023*0.1,"")</f>
        <v/>
      </c>
      <c r="Q3023" s="83" t="str">
        <f aca="false">IF(O3023&lt;&gt;"",O3023+P3023,"")</f>
        <v/>
      </c>
      <c r="R3023" s="84"/>
    </row>
    <row r="3024" customFormat="false" ht="15" hidden="false" customHeight="true" outlineLevel="0" collapsed="false">
      <c r="A3024" s="103"/>
      <c r="B3024" s="73"/>
      <c r="C3024" s="74"/>
      <c r="D3024" s="75"/>
      <c r="E3024" s="52" t="str">
        <f aca="false">IF(D3024&lt;&gt;"",IFERROR(VLOOKUP(D3024,PROVEEDORES!$A:$B,2,0),"!COD NO ENCONTRADO"),"")</f>
        <v/>
      </c>
      <c r="F3024" s="76" t="str">
        <f aca="false">IF(D3024&lt;&gt;"",IFERROR(VLOOKUP(D3024,PROVEEDORES!$A:$C,3,0),""),"")</f>
        <v/>
      </c>
      <c r="G3024" s="75"/>
      <c r="H3024" s="52" t="str">
        <f aca="false">IF(G3024&lt;&gt;"",IFERROR(VLOOKUP(G3024,PRODUCTOS!$A:$B,2,0),"!COD NO ENCONTRADO"),"")</f>
        <v/>
      </c>
      <c r="I3024" s="77"/>
      <c r="J3024" s="78"/>
      <c r="K3024" s="79"/>
      <c r="L3024" s="80" t="str">
        <f aca="false">IF(AND(J3024&lt;&gt;"",K3024&lt;&gt;""),J3024*K3024,"")</f>
        <v/>
      </c>
      <c r="M3024" s="81" t="str">
        <f aca="false">IF(L3024&lt;&gt;"",L3024*1.1,"")</f>
        <v/>
      </c>
      <c r="N3024" s="53" t="n">
        <f aca="false">IF(F3024="S",L3024*0.02,0)</f>
        <v>0</v>
      </c>
      <c r="O3024" s="82" t="str">
        <f aca="false">IF(L3024&lt;&gt;"",L3024+N3024,"")</f>
        <v/>
      </c>
      <c r="P3024" s="53" t="str">
        <f aca="false">IF(O3024&lt;&gt;"",O3024*0.1,"")</f>
        <v/>
      </c>
      <c r="Q3024" s="83" t="str">
        <f aca="false">IF(O3024&lt;&gt;"",O3024+P3024,"")</f>
        <v/>
      </c>
      <c r="R3024" s="84"/>
    </row>
    <row r="3025" customFormat="false" ht="15" hidden="false" customHeight="true" outlineLevel="0" collapsed="false">
      <c r="A3025" s="103"/>
      <c r="B3025" s="85"/>
      <c r="C3025" s="86"/>
      <c r="D3025" s="87"/>
      <c r="E3025" s="46" t="str">
        <f aca="false">IF(D3025&lt;&gt;"",IFERROR(VLOOKUP(D3025,PROVEEDORES!$A:$B,2,0),"!COD NO ENCONTRADO"),"")</f>
        <v/>
      </c>
      <c r="F3025" s="88" t="str">
        <f aca="false">IF(D3025&lt;&gt;"",IFERROR(VLOOKUP(D3025,PROVEEDORES!$A:$C,3,0),""),"")</f>
        <v/>
      </c>
      <c r="G3025" s="87"/>
      <c r="H3025" s="46" t="str">
        <f aca="false">IF(G3025&lt;&gt;"",IFERROR(VLOOKUP(G3025,PRODUCTOS!$A:$B,2,0),"!COD NO ENCONTRADO"),"")</f>
        <v/>
      </c>
      <c r="I3025" s="89"/>
      <c r="J3025" s="90"/>
      <c r="K3025" s="91"/>
      <c r="L3025" s="80" t="str">
        <f aca="false">IF(AND(J3025&lt;&gt;"",K3025&lt;&gt;""),J3025*K3025,"")</f>
        <v/>
      </c>
      <c r="M3025" s="81" t="str">
        <f aca="false">IF(L3025&lt;&gt;"",L3025*1.1,"")</f>
        <v/>
      </c>
      <c r="N3025" s="47" t="n">
        <f aca="false">IF(F3025="S",L3025*0.02,0)</f>
        <v>0</v>
      </c>
      <c r="O3025" s="82" t="str">
        <f aca="false">IF(L3025&lt;&gt;"",L3025+N3025,"")</f>
        <v/>
      </c>
      <c r="P3025" s="47" t="str">
        <f aca="false">IF(O3025&lt;&gt;"",O3025*0.1,"")</f>
        <v/>
      </c>
      <c r="Q3025" s="83" t="str">
        <f aca="false">IF(O3025&lt;&gt;"",O3025+P3025,"")</f>
        <v/>
      </c>
      <c r="R3025" s="84"/>
    </row>
    <row r="3026" customFormat="false" ht="15" hidden="false" customHeight="true" outlineLevel="0" collapsed="false">
      <c r="A3026" s="103"/>
      <c r="B3026" s="73"/>
      <c r="C3026" s="74"/>
      <c r="D3026" s="75"/>
      <c r="E3026" s="52" t="str">
        <f aca="false">IF(D3026&lt;&gt;"",IFERROR(VLOOKUP(D3026,PROVEEDORES!$A:$B,2,0),"!COD NO ENCONTRADO"),"")</f>
        <v/>
      </c>
      <c r="F3026" s="76" t="str">
        <f aca="false">IF(D3026&lt;&gt;"",IFERROR(VLOOKUP(D3026,PROVEEDORES!$A:$C,3,0),""),"")</f>
        <v/>
      </c>
      <c r="G3026" s="75"/>
      <c r="H3026" s="52" t="str">
        <f aca="false">IF(G3026&lt;&gt;"",IFERROR(VLOOKUP(G3026,PRODUCTOS!$A:$B,2,0),"!COD NO ENCONTRADO"),"")</f>
        <v/>
      </c>
      <c r="I3026" s="77"/>
      <c r="J3026" s="78"/>
      <c r="K3026" s="79"/>
      <c r="L3026" s="80" t="str">
        <f aca="false">IF(AND(J3026&lt;&gt;"",K3026&lt;&gt;""),J3026*K3026,"")</f>
        <v/>
      </c>
      <c r="M3026" s="81" t="str">
        <f aca="false">IF(L3026&lt;&gt;"",L3026*1.1,"")</f>
        <v/>
      </c>
      <c r="N3026" s="53" t="n">
        <f aca="false">IF(F3026="S",L3026*0.02,0)</f>
        <v>0</v>
      </c>
      <c r="O3026" s="82" t="str">
        <f aca="false">IF(L3026&lt;&gt;"",L3026+N3026,"")</f>
        <v/>
      </c>
      <c r="P3026" s="53" t="str">
        <f aca="false">IF(O3026&lt;&gt;"",O3026*0.1,"")</f>
        <v/>
      </c>
      <c r="Q3026" s="83" t="str">
        <f aca="false">IF(O3026&lt;&gt;"",O3026+P3026,"")</f>
        <v/>
      </c>
      <c r="R3026" s="84"/>
    </row>
    <row r="3027" customFormat="false" ht="15" hidden="false" customHeight="true" outlineLevel="0" collapsed="false">
      <c r="A3027" s="103"/>
      <c r="B3027" s="85"/>
      <c r="C3027" s="86"/>
      <c r="D3027" s="87"/>
      <c r="E3027" s="46" t="str">
        <f aca="false">IF(D3027&lt;&gt;"",IFERROR(VLOOKUP(D3027,PROVEEDORES!$A:$B,2,0),"!COD NO ENCONTRADO"),"")</f>
        <v/>
      </c>
      <c r="F3027" s="88" t="str">
        <f aca="false">IF(D3027&lt;&gt;"",IFERROR(VLOOKUP(D3027,PROVEEDORES!$A:$C,3,0),""),"")</f>
        <v/>
      </c>
      <c r="G3027" s="87"/>
      <c r="H3027" s="46" t="str">
        <f aca="false">IF(G3027&lt;&gt;"",IFERROR(VLOOKUP(G3027,PRODUCTOS!$A:$B,2,0),"!COD NO ENCONTRADO"),"")</f>
        <v/>
      </c>
      <c r="I3027" s="89"/>
      <c r="J3027" s="90"/>
      <c r="K3027" s="91"/>
      <c r="L3027" s="80" t="str">
        <f aca="false">IF(AND(J3027&lt;&gt;"",K3027&lt;&gt;""),J3027*K3027,"")</f>
        <v/>
      </c>
      <c r="M3027" s="81" t="str">
        <f aca="false">IF(L3027&lt;&gt;"",L3027*1.1,"")</f>
        <v/>
      </c>
      <c r="N3027" s="47" t="n">
        <f aca="false">IF(F3027="S",L3027*0.02,0)</f>
        <v>0</v>
      </c>
      <c r="O3027" s="82" t="str">
        <f aca="false">IF(L3027&lt;&gt;"",L3027+N3027,"")</f>
        <v/>
      </c>
      <c r="P3027" s="47" t="str">
        <f aca="false">IF(O3027&lt;&gt;"",O3027*0.1,"")</f>
        <v/>
      </c>
      <c r="Q3027" s="83" t="str">
        <f aca="false">IF(O3027&lt;&gt;"",O3027+P3027,"")</f>
        <v/>
      </c>
      <c r="R3027" s="84"/>
    </row>
    <row r="3028" customFormat="false" ht="15" hidden="false" customHeight="true" outlineLevel="0" collapsed="false">
      <c r="A3028" s="103"/>
      <c r="B3028" s="73"/>
      <c r="C3028" s="74"/>
      <c r="D3028" s="75"/>
      <c r="E3028" s="52" t="str">
        <f aca="false">IF(D3028&lt;&gt;"",IFERROR(VLOOKUP(D3028,PROVEEDORES!$A:$B,2,0),"!COD NO ENCONTRADO"),"")</f>
        <v/>
      </c>
      <c r="F3028" s="76" t="str">
        <f aca="false">IF(D3028&lt;&gt;"",IFERROR(VLOOKUP(D3028,PROVEEDORES!$A:$C,3,0),""),"")</f>
        <v/>
      </c>
      <c r="G3028" s="75"/>
      <c r="H3028" s="52" t="str">
        <f aca="false">IF(G3028&lt;&gt;"",IFERROR(VLOOKUP(G3028,PRODUCTOS!$A:$B,2,0),"!COD NO ENCONTRADO"),"")</f>
        <v/>
      </c>
      <c r="I3028" s="77"/>
      <c r="J3028" s="78"/>
      <c r="K3028" s="79"/>
      <c r="L3028" s="80" t="str">
        <f aca="false">IF(AND(J3028&lt;&gt;"",K3028&lt;&gt;""),J3028*K3028,"")</f>
        <v/>
      </c>
      <c r="M3028" s="81" t="str">
        <f aca="false">IF(L3028&lt;&gt;"",L3028*1.1,"")</f>
        <v/>
      </c>
      <c r="N3028" s="53" t="n">
        <f aca="false">IF(F3028="S",L3028*0.02,0)</f>
        <v>0</v>
      </c>
      <c r="O3028" s="82" t="str">
        <f aca="false">IF(L3028&lt;&gt;"",L3028+N3028,"")</f>
        <v/>
      </c>
      <c r="P3028" s="53" t="str">
        <f aca="false">IF(O3028&lt;&gt;"",O3028*0.1,"")</f>
        <v/>
      </c>
      <c r="Q3028" s="83" t="str">
        <f aca="false">IF(O3028&lt;&gt;"",O3028+P3028,"")</f>
        <v/>
      </c>
      <c r="R3028" s="84"/>
    </row>
    <row r="3029" customFormat="false" ht="15" hidden="false" customHeight="true" outlineLevel="0" collapsed="false">
      <c r="A3029" s="103"/>
      <c r="B3029" s="85"/>
      <c r="C3029" s="86"/>
      <c r="D3029" s="87"/>
      <c r="E3029" s="46" t="str">
        <f aca="false">IF(D3029&lt;&gt;"",IFERROR(VLOOKUP(D3029,PROVEEDORES!$A:$B,2,0),"!COD NO ENCONTRADO"),"")</f>
        <v/>
      </c>
      <c r="F3029" s="88" t="str">
        <f aca="false">IF(D3029&lt;&gt;"",IFERROR(VLOOKUP(D3029,PROVEEDORES!$A:$C,3,0),""),"")</f>
        <v/>
      </c>
      <c r="G3029" s="87"/>
      <c r="H3029" s="46" t="str">
        <f aca="false">IF(G3029&lt;&gt;"",IFERROR(VLOOKUP(G3029,PRODUCTOS!$A:$B,2,0),"!COD NO ENCONTRADO"),"")</f>
        <v/>
      </c>
      <c r="I3029" s="89"/>
      <c r="J3029" s="90"/>
      <c r="K3029" s="91"/>
      <c r="L3029" s="80" t="str">
        <f aca="false">IF(AND(J3029&lt;&gt;"",K3029&lt;&gt;""),J3029*K3029,"")</f>
        <v/>
      </c>
      <c r="M3029" s="81" t="str">
        <f aca="false">IF(L3029&lt;&gt;"",L3029*1.1,"")</f>
        <v/>
      </c>
      <c r="N3029" s="47" t="n">
        <f aca="false">IF(F3029="S",L3029*0.02,0)</f>
        <v>0</v>
      </c>
      <c r="O3029" s="82" t="str">
        <f aca="false">IF(L3029&lt;&gt;"",L3029+N3029,"")</f>
        <v/>
      </c>
      <c r="P3029" s="47" t="str">
        <f aca="false">IF(O3029&lt;&gt;"",O3029*0.1,"")</f>
        <v/>
      </c>
      <c r="Q3029" s="83" t="str">
        <f aca="false">IF(O3029&lt;&gt;"",O3029+P3029,"")</f>
        <v/>
      </c>
      <c r="R3029" s="84"/>
    </row>
    <row r="3030" customFormat="false" ht="15" hidden="false" customHeight="true" outlineLevel="0" collapsed="false">
      <c r="A3030" s="103"/>
      <c r="B3030" s="73"/>
      <c r="C3030" s="74"/>
      <c r="D3030" s="75"/>
      <c r="E3030" s="52" t="str">
        <f aca="false">IF(D3030&lt;&gt;"",IFERROR(VLOOKUP(D3030,PROVEEDORES!$A:$B,2,0),"!COD NO ENCONTRADO"),"")</f>
        <v/>
      </c>
      <c r="F3030" s="76" t="str">
        <f aca="false">IF(D3030&lt;&gt;"",IFERROR(VLOOKUP(D3030,PROVEEDORES!$A:$C,3,0),""),"")</f>
        <v/>
      </c>
      <c r="G3030" s="75"/>
      <c r="H3030" s="52" t="str">
        <f aca="false">IF(G3030&lt;&gt;"",IFERROR(VLOOKUP(G3030,PRODUCTOS!$A:$B,2,0),"!COD NO ENCONTRADO"),"")</f>
        <v/>
      </c>
      <c r="I3030" s="77"/>
      <c r="J3030" s="78"/>
      <c r="K3030" s="79"/>
      <c r="L3030" s="80" t="str">
        <f aca="false">IF(AND(J3030&lt;&gt;"",K3030&lt;&gt;""),J3030*K3030,"")</f>
        <v/>
      </c>
      <c r="M3030" s="81" t="str">
        <f aca="false">IF(L3030&lt;&gt;"",L3030*1.1,"")</f>
        <v/>
      </c>
      <c r="N3030" s="53" t="n">
        <f aca="false">IF(F3030="S",L3030*0.02,0)</f>
        <v>0</v>
      </c>
      <c r="O3030" s="82" t="str">
        <f aca="false">IF(L3030&lt;&gt;"",L3030+N3030,"")</f>
        <v/>
      </c>
      <c r="P3030" s="53" t="str">
        <f aca="false">IF(O3030&lt;&gt;"",O3030*0.1,"")</f>
        <v/>
      </c>
      <c r="Q3030" s="83" t="str">
        <f aca="false">IF(O3030&lt;&gt;"",O3030+P3030,"")</f>
        <v/>
      </c>
      <c r="R3030" s="84"/>
    </row>
    <row r="3031" customFormat="false" ht="15" hidden="false" customHeight="true" outlineLevel="0" collapsed="false">
      <c r="A3031" s="103"/>
      <c r="B3031" s="85"/>
      <c r="C3031" s="86"/>
      <c r="D3031" s="87"/>
      <c r="E3031" s="46" t="str">
        <f aca="false">IF(D3031&lt;&gt;"",IFERROR(VLOOKUP(D3031,PROVEEDORES!$A:$B,2,0),"!COD NO ENCONTRADO"),"")</f>
        <v/>
      </c>
      <c r="F3031" s="88" t="str">
        <f aca="false">IF(D3031&lt;&gt;"",IFERROR(VLOOKUP(D3031,PROVEEDORES!$A:$C,3,0),""),"")</f>
        <v/>
      </c>
      <c r="G3031" s="87"/>
      <c r="H3031" s="46" t="str">
        <f aca="false">IF(G3031&lt;&gt;"",IFERROR(VLOOKUP(G3031,PRODUCTOS!$A:$B,2,0),"!COD NO ENCONTRADO"),"")</f>
        <v/>
      </c>
      <c r="I3031" s="89"/>
      <c r="J3031" s="90"/>
      <c r="K3031" s="91"/>
      <c r="L3031" s="80" t="str">
        <f aca="false">IF(AND(J3031&lt;&gt;"",K3031&lt;&gt;""),J3031*K3031,"")</f>
        <v/>
      </c>
      <c r="M3031" s="81" t="str">
        <f aca="false">IF(L3031&lt;&gt;"",L3031*1.1,"")</f>
        <v/>
      </c>
      <c r="N3031" s="47" t="n">
        <f aca="false">IF(F3031="S",L3031*0.02,0)</f>
        <v>0</v>
      </c>
      <c r="O3031" s="82" t="str">
        <f aca="false">IF(L3031&lt;&gt;"",L3031+N3031,"")</f>
        <v/>
      </c>
      <c r="P3031" s="47" t="str">
        <f aca="false">IF(O3031&lt;&gt;"",O3031*0.1,"")</f>
        <v/>
      </c>
      <c r="Q3031" s="83" t="str">
        <f aca="false">IF(O3031&lt;&gt;"",O3031+P3031,"")</f>
        <v/>
      </c>
      <c r="R3031" s="84"/>
    </row>
    <row r="3032" customFormat="false" ht="15" hidden="false" customHeight="true" outlineLevel="0" collapsed="false">
      <c r="A3032" s="103"/>
      <c r="B3032" s="73"/>
      <c r="C3032" s="74"/>
      <c r="D3032" s="75"/>
      <c r="E3032" s="52" t="str">
        <f aca="false">IF(D3032&lt;&gt;"",IFERROR(VLOOKUP(D3032,PROVEEDORES!$A:$B,2,0),"!COD NO ENCONTRADO"),"")</f>
        <v/>
      </c>
      <c r="F3032" s="76" t="str">
        <f aca="false">IF(D3032&lt;&gt;"",IFERROR(VLOOKUP(D3032,PROVEEDORES!$A:$C,3,0),""),"")</f>
        <v/>
      </c>
      <c r="G3032" s="75"/>
      <c r="H3032" s="52" t="str">
        <f aca="false">IF(G3032&lt;&gt;"",IFERROR(VLOOKUP(G3032,PRODUCTOS!$A:$B,2,0),"!COD NO ENCONTRADO"),"")</f>
        <v/>
      </c>
      <c r="I3032" s="77"/>
      <c r="J3032" s="78"/>
      <c r="K3032" s="79"/>
      <c r="L3032" s="80" t="str">
        <f aca="false">IF(AND(J3032&lt;&gt;"",K3032&lt;&gt;""),J3032*K3032,"")</f>
        <v/>
      </c>
      <c r="M3032" s="81" t="str">
        <f aca="false">IF(L3032&lt;&gt;"",L3032*1.1,"")</f>
        <v/>
      </c>
      <c r="N3032" s="53" t="n">
        <f aca="false">IF(F3032="S",L3032*0.02,0)</f>
        <v>0</v>
      </c>
      <c r="O3032" s="82" t="str">
        <f aca="false">IF(L3032&lt;&gt;"",L3032+N3032,"")</f>
        <v/>
      </c>
      <c r="P3032" s="53" t="str">
        <f aca="false">IF(O3032&lt;&gt;"",O3032*0.1,"")</f>
        <v/>
      </c>
      <c r="Q3032" s="83" t="str">
        <f aca="false">IF(O3032&lt;&gt;"",O3032+P3032,"")</f>
        <v/>
      </c>
      <c r="R3032" s="84"/>
    </row>
    <row r="3033" customFormat="false" ht="15" hidden="false" customHeight="true" outlineLevel="0" collapsed="false">
      <c r="A3033" s="103"/>
      <c r="B3033" s="85"/>
      <c r="C3033" s="86"/>
      <c r="D3033" s="87"/>
      <c r="E3033" s="46" t="str">
        <f aca="false">IF(D3033&lt;&gt;"",IFERROR(VLOOKUP(D3033,PROVEEDORES!$A:$B,2,0),"!COD NO ENCONTRADO"),"")</f>
        <v/>
      </c>
      <c r="F3033" s="88" t="str">
        <f aca="false">IF(D3033&lt;&gt;"",IFERROR(VLOOKUP(D3033,PROVEEDORES!$A:$C,3,0),""),"")</f>
        <v/>
      </c>
      <c r="G3033" s="87"/>
      <c r="H3033" s="46" t="str">
        <f aca="false">IF(G3033&lt;&gt;"",IFERROR(VLOOKUP(G3033,PRODUCTOS!$A:$B,2,0),"!COD NO ENCONTRADO"),"")</f>
        <v/>
      </c>
      <c r="I3033" s="89"/>
      <c r="J3033" s="90"/>
      <c r="K3033" s="91"/>
      <c r="L3033" s="80" t="str">
        <f aca="false">IF(AND(J3033&lt;&gt;"",K3033&lt;&gt;""),J3033*K3033,"")</f>
        <v/>
      </c>
      <c r="M3033" s="81" t="str">
        <f aca="false">IF(L3033&lt;&gt;"",L3033*1.1,"")</f>
        <v/>
      </c>
      <c r="N3033" s="47" t="n">
        <f aca="false">IF(F3033="S",L3033*0.02,0)</f>
        <v>0</v>
      </c>
      <c r="O3033" s="82" t="str">
        <f aca="false">IF(L3033&lt;&gt;"",L3033+N3033,"")</f>
        <v/>
      </c>
      <c r="P3033" s="47" t="str">
        <f aca="false">IF(O3033&lt;&gt;"",O3033*0.1,"")</f>
        <v/>
      </c>
      <c r="Q3033" s="83" t="str">
        <f aca="false">IF(O3033&lt;&gt;"",O3033+P3033,"")</f>
        <v/>
      </c>
      <c r="R3033" s="84"/>
    </row>
    <row r="3034" customFormat="false" ht="15" hidden="false" customHeight="true" outlineLevel="0" collapsed="false">
      <c r="A3034" s="103"/>
      <c r="B3034" s="73"/>
      <c r="C3034" s="74"/>
      <c r="D3034" s="75"/>
      <c r="E3034" s="52" t="str">
        <f aca="false">IF(D3034&lt;&gt;"",IFERROR(VLOOKUP(D3034,PROVEEDORES!$A:$B,2,0),"!COD NO ENCONTRADO"),"")</f>
        <v/>
      </c>
      <c r="F3034" s="76" t="str">
        <f aca="false">IF(D3034&lt;&gt;"",IFERROR(VLOOKUP(D3034,PROVEEDORES!$A:$C,3,0),""),"")</f>
        <v/>
      </c>
      <c r="G3034" s="75"/>
      <c r="H3034" s="52" t="str">
        <f aca="false">IF(G3034&lt;&gt;"",IFERROR(VLOOKUP(G3034,PRODUCTOS!$A:$B,2,0),"!COD NO ENCONTRADO"),"")</f>
        <v/>
      </c>
      <c r="I3034" s="77"/>
      <c r="J3034" s="78"/>
      <c r="K3034" s="79"/>
      <c r="L3034" s="80" t="str">
        <f aca="false">IF(AND(J3034&lt;&gt;"",K3034&lt;&gt;""),J3034*K3034,"")</f>
        <v/>
      </c>
      <c r="M3034" s="81" t="str">
        <f aca="false">IF(L3034&lt;&gt;"",L3034*1.1,"")</f>
        <v/>
      </c>
      <c r="N3034" s="53" t="n">
        <f aca="false">IF(F3034="S",L3034*0.02,0)</f>
        <v>0</v>
      </c>
      <c r="O3034" s="82" t="str">
        <f aca="false">IF(L3034&lt;&gt;"",L3034+N3034,"")</f>
        <v/>
      </c>
      <c r="P3034" s="53" t="str">
        <f aca="false">IF(O3034&lt;&gt;"",O3034*0.1,"")</f>
        <v/>
      </c>
      <c r="Q3034" s="83" t="str">
        <f aca="false">IF(O3034&lt;&gt;"",O3034+P3034,"")</f>
        <v/>
      </c>
      <c r="R3034" s="84"/>
    </row>
    <row r="3035" customFormat="false" ht="15" hidden="false" customHeight="true" outlineLevel="0" collapsed="false">
      <c r="A3035" s="103"/>
      <c r="B3035" s="85"/>
      <c r="C3035" s="86"/>
      <c r="D3035" s="87"/>
      <c r="E3035" s="46" t="str">
        <f aca="false">IF(D3035&lt;&gt;"",IFERROR(VLOOKUP(D3035,PROVEEDORES!$A:$B,2,0),"!COD NO ENCONTRADO"),"")</f>
        <v/>
      </c>
      <c r="F3035" s="88" t="str">
        <f aca="false">IF(D3035&lt;&gt;"",IFERROR(VLOOKUP(D3035,PROVEEDORES!$A:$C,3,0),""),"")</f>
        <v/>
      </c>
      <c r="G3035" s="87"/>
      <c r="H3035" s="46" t="str">
        <f aca="false">IF(G3035&lt;&gt;"",IFERROR(VLOOKUP(G3035,PRODUCTOS!$A:$B,2,0),"!COD NO ENCONTRADO"),"")</f>
        <v/>
      </c>
      <c r="I3035" s="89"/>
      <c r="J3035" s="90"/>
      <c r="K3035" s="91"/>
      <c r="L3035" s="80" t="str">
        <f aca="false">IF(AND(J3035&lt;&gt;"",K3035&lt;&gt;""),J3035*K3035,"")</f>
        <v/>
      </c>
      <c r="M3035" s="81" t="str">
        <f aca="false">IF(L3035&lt;&gt;"",L3035*1.1,"")</f>
        <v/>
      </c>
      <c r="N3035" s="47" t="n">
        <f aca="false">IF(F3035="S",L3035*0.02,0)</f>
        <v>0</v>
      </c>
      <c r="O3035" s="82" t="str">
        <f aca="false">IF(L3035&lt;&gt;"",L3035+N3035,"")</f>
        <v/>
      </c>
      <c r="P3035" s="47" t="str">
        <f aca="false">IF(O3035&lt;&gt;"",O3035*0.1,"")</f>
        <v/>
      </c>
      <c r="Q3035" s="83" t="str">
        <f aca="false">IF(O3035&lt;&gt;"",O3035+P3035,"")</f>
        <v/>
      </c>
      <c r="R3035" s="84"/>
    </row>
    <row r="3036" customFormat="false" ht="15" hidden="false" customHeight="true" outlineLevel="0" collapsed="false">
      <c r="A3036" s="103"/>
      <c r="B3036" s="73"/>
      <c r="C3036" s="74"/>
      <c r="D3036" s="75"/>
      <c r="E3036" s="52" t="str">
        <f aca="false">IF(D3036&lt;&gt;"",IFERROR(VLOOKUP(D3036,PROVEEDORES!$A:$B,2,0),"!COD NO ENCONTRADO"),"")</f>
        <v/>
      </c>
      <c r="F3036" s="76" t="str">
        <f aca="false">IF(D3036&lt;&gt;"",IFERROR(VLOOKUP(D3036,PROVEEDORES!$A:$C,3,0),""),"")</f>
        <v/>
      </c>
      <c r="G3036" s="75"/>
      <c r="H3036" s="52" t="str">
        <f aca="false">IF(G3036&lt;&gt;"",IFERROR(VLOOKUP(G3036,PRODUCTOS!$A:$B,2,0),"!COD NO ENCONTRADO"),"")</f>
        <v/>
      </c>
      <c r="I3036" s="77"/>
      <c r="J3036" s="78"/>
      <c r="K3036" s="79"/>
      <c r="L3036" s="80" t="str">
        <f aca="false">IF(AND(J3036&lt;&gt;"",K3036&lt;&gt;""),J3036*K3036,"")</f>
        <v/>
      </c>
      <c r="M3036" s="81" t="str">
        <f aca="false">IF(L3036&lt;&gt;"",L3036*1.1,"")</f>
        <v/>
      </c>
      <c r="N3036" s="53" t="n">
        <f aca="false">IF(F3036="S",L3036*0.02,0)</f>
        <v>0</v>
      </c>
      <c r="O3036" s="82" t="str">
        <f aca="false">IF(L3036&lt;&gt;"",L3036+N3036,"")</f>
        <v/>
      </c>
      <c r="P3036" s="53" t="str">
        <f aca="false">IF(O3036&lt;&gt;"",O3036*0.1,"")</f>
        <v/>
      </c>
      <c r="Q3036" s="83" t="str">
        <f aca="false">IF(O3036&lt;&gt;"",O3036+P3036,"")</f>
        <v/>
      </c>
      <c r="R3036" s="84"/>
    </row>
    <row r="3037" customFormat="false" ht="15" hidden="false" customHeight="true" outlineLevel="0" collapsed="false">
      <c r="A3037" s="103"/>
      <c r="B3037" s="85"/>
      <c r="C3037" s="86"/>
      <c r="D3037" s="87"/>
      <c r="E3037" s="46" t="str">
        <f aca="false">IF(D3037&lt;&gt;"",IFERROR(VLOOKUP(D3037,PROVEEDORES!$A:$B,2,0),"!COD NO ENCONTRADO"),"")</f>
        <v/>
      </c>
      <c r="F3037" s="88" t="str">
        <f aca="false">IF(D3037&lt;&gt;"",IFERROR(VLOOKUP(D3037,PROVEEDORES!$A:$C,3,0),""),"")</f>
        <v/>
      </c>
      <c r="G3037" s="87"/>
      <c r="H3037" s="46" t="str">
        <f aca="false">IF(G3037&lt;&gt;"",IFERROR(VLOOKUP(G3037,PRODUCTOS!$A:$B,2,0),"!COD NO ENCONTRADO"),"")</f>
        <v/>
      </c>
      <c r="I3037" s="89"/>
      <c r="J3037" s="90"/>
      <c r="K3037" s="91"/>
      <c r="L3037" s="80" t="str">
        <f aca="false">IF(AND(J3037&lt;&gt;"",K3037&lt;&gt;""),J3037*K3037,"")</f>
        <v/>
      </c>
      <c r="M3037" s="81" t="str">
        <f aca="false">IF(L3037&lt;&gt;"",L3037*1.1,"")</f>
        <v/>
      </c>
      <c r="N3037" s="47" t="n">
        <f aca="false">IF(F3037="S",L3037*0.02,0)</f>
        <v>0</v>
      </c>
      <c r="O3037" s="82" t="str">
        <f aca="false">IF(L3037&lt;&gt;"",L3037+N3037,"")</f>
        <v/>
      </c>
      <c r="P3037" s="47" t="str">
        <f aca="false">IF(O3037&lt;&gt;"",O3037*0.1,"")</f>
        <v/>
      </c>
      <c r="Q3037" s="83" t="str">
        <f aca="false">IF(O3037&lt;&gt;"",O3037+P3037,"")</f>
        <v/>
      </c>
      <c r="R3037" s="84"/>
    </row>
    <row r="3038" customFormat="false" ht="15" hidden="false" customHeight="true" outlineLevel="0" collapsed="false">
      <c r="A3038" s="103"/>
      <c r="B3038" s="73"/>
      <c r="C3038" s="74"/>
      <c r="D3038" s="75"/>
      <c r="E3038" s="52" t="str">
        <f aca="false">IF(D3038&lt;&gt;"",IFERROR(VLOOKUP(D3038,PROVEEDORES!$A:$B,2,0),"!COD NO ENCONTRADO"),"")</f>
        <v/>
      </c>
      <c r="F3038" s="76" t="str">
        <f aca="false">IF(D3038&lt;&gt;"",IFERROR(VLOOKUP(D3038,PROVEEDORES!$A:$C,3,0),""),"")</f>
        <v/>
      </c>
      <c r="G3038" s="75"/>
      <c r="H3038" s="52" t="str">
        <f aca="false">IF(G3038&lt;&gt;"",IFERROR(VLOOKUP(G3038,PRODUCTOS!$A:$B,2,0),"!COD NO ENCONTRADO"),"")</f>
        <v/>
      </c>
      <c r="I3038" s="77"/>
      <c r="J3038" s="78"/>
      <c r="K3038" s="79"/>
      <c r="L3038" s="80" t="str">
        <f aca="false">IF(AND(J3038&lt;&gt;"",K3038&lt;&gt;""),J3038*K3038,"")</f>
        <v/>
      </c>
      <c r="M3038" s="81" t="str">
        <f aca="false">IF(L3038&lt;&gt;"",L3038*1.1,"")</f>
        <v/>
      </c>
      <c r="N3038" s="53" t="n">
        <f aca="false">IF(F3038="S",L3038*0.02,0)</f>
        <v>0</v>
      </c>
      <c r="O3038" s="82" t="str">
        <f aca="false">IF(L3038&lt;&gt;"",L3038+N3038,"")</f>
        <v/>
      </c>
      <c r="P3038" s="53" t="str">
        <f aca="false">IF(O3038&lt;&gt;"",O3038*0.1,"")</f>
        <v/>
      </c>
      <c r="Q3038" s="83" t="str">
        <f aca="false">IF(O3038&lt;&gt;"",O3038+P3038,"")</f>
        <v/>
      </c>
      <c r="R3038" s="84"/>
    </row>
    <row r="3039" customFormat="false" ht="15" hidden="false" customHeight="true" outlineLevel="0" collapsed="false">
      <c r="A3039" s="103"/>
      <c r="B3039" s="85"/>
      <c r="C3039" s="86"/>
      <c r="D3039" s="87"/>
      <c r="E3039" s="46" t="str">
        <f aca="false">IF(D3039&lt;&gt;"",IFERROR(VLOOKUP(D3039,PROVEEDORES!$A:$B,2,0),"!COD NO ENCONTRADO"),"")</f>
        <v/>
      </c>
      <c r="F3039" s="88" t="str">
        <f aca="false">IF(D3039&lt;&gt;"",IFERROR(VLOOKUP(D3039,PROVEEDORES!$A:$C,3,0),""),"")</f>
        <v/>
      </c>
      <c r="G3039" s="87"/>
      <c r="H3039" s="46" t="str">
        <f aca="false">IF(G3039&lt;&gt;"",IFERROR(VLOOKUP(G3039,PRODUCTOS!$A:$B,2,0),"!COD NO ENCONTRADO"),"")</f>
        <v/>
      </c>
      <c r="I3039" s="89"/>
      <c r="J3039" s="90"/>
      <c r="K3039" s="91"/>
      <c r="L3039" s="80" t="str">
        <f aca="false">IF(AND(J3039&lt;&gt;"",K3039&lt;&gt;""),J3039*K3039,"")</f>
        <v/>
      </c>
      <c r="M3039" s="81" t="str">
        <f aca="false">IF(L3039&lt;&gt;"",L3039*1.1,"")</f>
        <v/>
      </c>
      <c r="N3039" s="47" t="n">
        <f aca="false">IF(F3039="S",L3039*0.02,0)</f>
        <v>0</v>
      </c>
      <c r="O3039" s="82" t="str">
        <f aca="false">IF(L3039&lt;&gt;"",L3039+N3039,"")</f>
        <v/>
      </c>
      <c r="P3039" s="47" t="str">
        <f aca="false">IF(O3039&lt;&gt;"",O3039*0.1,"")</f>
        <v/>
      </c>
      <c r="Q3039" s="83" t="str">
        <f aca="false">IF(O3039&lt;&gt;"",O3039+P3039,"")</f>
        <v/>
      </c>
      <c r="R3039" s="84"/>
    </row>
    <row r="3040" customFormat="false" ht="15" hidden="false" customHeight="true" outlineLevel="0" collapsed="false">
      <c r="A3040" s="103"/>
      <c r="B3040" s="73"/>
      <c r="C3040" s="74"/>
      <c r="D3040" s="75"/>
      <c r="E3040" s="52" t="str">
        <f aca="false">IF(D3040&lt;&gt;"",IFERROR(VLOOKUP(D3040,PROVEEDORES!$A:$B,2,0),"!COD NO ENCONTRADO"),"")</f>
        <v/>
      </c>
      <c r="F3040" s="76" t="str">
        <f aca="false">IF(D3040&lt;&gt;"",IFERROR(VLOOKUP(D3040,PROVEEDORES!$A:$C,3,0),""),"")</f>
        <v/>
      </c>
      <c r="G3040" s="75"/>
      <c r="H3040" s="52" t="str">
        <f aca="false">IF(G3040&lt;&gt;"",IFERROR(VLOOKUP(G3040,PRODUCTOS!$A:$B,2,0),"!COD NO ENCONTRADO"),"")</f>
        <v/>
      </c>
      <c r="I3040" s="77"/>
      <c r="J3040" s="78"/>
      <c r="K3040" s="79"/>
      <c r="L3040" s="80" t="str">
        <f aca="false">IF(AND(J3040&lt;&gt;"",K3040&lt;&gt;""),J3040*K3040,"")</f>
        <v/>
      </c>
      <c r="M3040" s="81" t="str">
        <f aca="false">IF(L3040&lt;&gt;"",L3040*1.1,"")</f>
        <v/>
      </c>
      <c r="N3040" s="53" t="n">
        <f aca="false">IF(F3040="S",L3040*0.02,0)</f>
        <v>0</v>
      </c>
      <c r="O3040" s="82" t="str">
        <f aca="false">IF(L3040&lt;&gt;"",L3040+N3040,"")</f>
        <v/>
      </c>
      <c r="P3040" s="53" t="str">
        <f aca="false">IF(O3040&lt;&gt;"",O3040*0.1,"")</f>
        <v/>
      </c>
      <c r="Q3040" s="83" t="str">
        <f aca="false">IF(O3040&lt;&gt;"",O3040+P3040,"")</f>
        <v/>
      </c>
      <c r="R3040" s="84"/>
    </row>
    <row r="3041" customFormat="false" ht="15" hidden="false" customHeight="true" outlineLevel="0" collapsed="false">
      <c r="A3041" s="103"/>
      <c r="B3041" s="85"/>
      <c r="C3041" s="86"/>
      <c r="D3041" s="87"/>
      <c r="E3041" s="46" t="str">
        <f aca="false">IF(D3041&lt;&gt;"",IFERROR(VLOOKUP(D3041,PROVEEDORES!$A:$B,2,0),"!COD NO ENCONTRADO"),"")</f>
        <v/>
      </c>
      <c r="F3041" s="88" t="str">
        <f aca="false">IF(D3041&lt;&gt;"",IFERROR(VLOOKUP(D3041,PROVEEDORES!$A:$C,3,0),""),"")</f>
        <v/>
      </c>
      <c r="G3041" s="87"/>
      <c r="H3041" s="46" t="str">
        <f aca="false">IF(G3041&lt;&gt;"",IFERROR(VLOOKUP(G3041,PRODUCTOS!$A:$B,2,0),"!COD NO ENCONTRADO"),"")</f>
        <v/>
      </c>
      <c r="I3041" s="89"/>
      <c r="J3041" s="90"/>
      <c r="K3041" s="91"/>
      <c r="L3041" s="80" t="str">
        <f aca="false">IF(AND(J3041&lt;&gt;"",K3041&lt;&gt;""),J3041*K3041,"")</f>
        <v/>
      </c>
      <c r="M3041" s="81" t="str">
        <f aca="false">IF(L3041&lt;&gt;"",L3041*1.1,"")</f>
        <v/>
      </c>
      <c r="N3041" s="47" t="n">
        <f aca="false">IF(F3041="S",L3041*0.02,0)</f>
        <v>0</v>
      </c>
      <c r="O3041" s="82" t="str">
        <f aca="false">IF(L3041&lt;&gt;"",L3041+N3041,"")</f>
        <v/>
      </c>
      <c r="P3041" s="47" t="str">
        <f aca="false">IF(O3041&lt;&gt;"",O3041*0.1,"")</f>
        <v/>
      </c>
      <c r="Q3041" s="83" t="str">
        <f aca="false">IF(O3041&lt;&gt;"",O3041+P3041,"")</f>
        <v/>
      </c>
      <c r="R3041" s="84"/>
    </row>
    <row r="3042" customFormat="false" ht="15" hidden="false" customHeight="true" outlineLevel="0" collapsed="false">
      <c r="A3042" s="103"/>
      <c r="B3042" s="73"/>
      <c r="C3042" s="74"/>
      <c r="D3042" s="75"/>
      <c r="E3042" s="52" t="str">
        <f aca="false">IF(D3042&lt;&gt;"",IFERROR(VLOOKUP(D3042,PROVEEDORES!$A:$B,2,0),"!COD NO ENCONTRADO"),"")</f>
        <v/>
      </c>
      <c r="F3042" s="76" t="str">
        <f aca="false">IF(D3042&lt;&gt;"",IFERROR(VLOOKUP(D3042,PROVEEDORES!$A:$C,3,0),""),"")</f>
        <v/>
      </c>
      <c r="G3042" s="75"/>
      <c r="H3042" s="52" t="str">
        <f aca="false">IF(G3042&lt;&gt;"",IFERROR(VLOOKUP(G3042,PRODUCTOS!$A:$B,2,0),"!COD NO ENCONTRADO"),"")</f>
        <v/>
      </c>
      <c r="I3042" s="77"/>
      <c r="J3042" s="78"/>
      <c r="K3042" s="79"/>
      <c r="L3042" s="80" t="str">
        <f aca="false">IF(AND(J3042&lt;&gt;"",K3042&lt;&gt;""),J3042*K3042,"")</f>
        <v/>
      </c>
      <c r="M3042" s="81" t="str">
        <f aca="false">IF(L3042&lt;&gt;"",L3042*1.1,"")</f>
        <v/>
      </c>
      <c r="N3042" s="53" t="n">
        <f aca="false">IF(F3042="S",L3042*0.02,0)</f>
        <v>0</v>
      </c>
      <c r="O3042" s="82" t="str">
        <f aca="false">IF(L3042&lt;&gt;"",L3042+N3042,"")</f>
        <v/>
      </c>
      <c r="P3042" s="53" t="str">
        <f aca="false">IF(O3042&lt;&gt;"",O3042*0.1,"")</f>
        <v/>
      </c>
      <c r="Q3042" s="83" t="str">
        <f aca="false">IF(O3042&lt;&gt;"",O3042+P3042,"")</f>
        <v/>
      </c>
      <c r="R3042" s="84"/>
    </row>
    <row r="3043" customFormat="false" ht="15" hidden="false" customHeight="true" outlineLevel="0" collapsed="false">
      <c r="A3043" s="103"/>
      <c r="B3043" s="85"/>
      <c r="C3043" s="86"/>
      <c r="D3043" s="87"/>
      <c r="E3043" s="46" t="str">
        <f aca="false">IF(D3043&lt;&gt;"",IFERROR(VLOOKUP(D3043,PROVEEDORES!$A:$B,2,0),"!COD NO ENCONTRADO"),"")</f>
        <v/>
      </c>
      <c r="F3043" s="88" t="str">
        <f aca="false">IF(D3043&lt;&gt;"",IFERROR(VLOOKUP(D3043,PROVEEDORES!$A:$C,3,0),""),"")</f>
        <v/>
      </c>
      <c r="G3043" s="87"/>
      <c r="H3043" s="46" t="str">
        <f aca="false">IF(G3043&lt;&gt;"",IFERROR(VLOOKUP(G3043,PRODUCTOS!$A:$B,2,0),"!COD NO ENCONTRADO"),"")</f>
        <v/>
      </c>
      <c r="I3043" s="89"/>
      <c r="J3043" s="90"/>
      <c r="K3043" s="91"/>
      <c r="L3043" s="80" t="str">
        <f aca="false">IF(AND(J3043&lt;&gt;"",K3043&lt;&gt;""),J3043*K3043,"")</f>
        <v/>
      </c>
      <c r="M3043" s="81" t="str">
        <f aca="false">IF(L3043&lt;&gt;"",L3043*1.1,"")</f>
        <v/>
      </c>
      <c r="N3043" s="47" t="n">
        <f aca="false">IF(F3043="S",L3043*0.02,0)</f>
        <v>0</v>
      </c>
      <c r="O3043" s="82" t="str">
        <f aca="false">IF(L3043&lt;&gt;"",L3043+N3043,"")</f>
        <v/>
      </c>
      <c r="P3043" s="47" t="str">
        <f aca="false">IF(O3043&lt;&gt;"",O3043*0.1,"")</f>
        <v/>
      </c>
      <c r="Q3043" s="83" t="str">
        <f aca="false">IF(O3043&lt;&gt;"",O3043+P3043,"")</f>
        <v/>
      </c>
      <c r="R3043" s="84"/>
    </row>
    <row r="3044" customFormat="false" ht="15" hidden="false" customHeight="true" outlineLevel="0" collapsed="false">
      <c r="A3044" s="103"/>
      <c r="B3044" s="73"/>
      <c r="C3044" s="74"/>
      <c r="D3044" s="75"/>
      <c r="E3044" s="52" t="str">
        <f aca="false">IF(D3044&lt;&gt;"",IFERROR(VLOOKUP(D3044,PROVEEDORES!$A:$B,2,0),"!COD NO ENCONTRADO"),"")</f>
        <v/>
      </c>
      <c r="F3044" s="76" t="str">
        <f aca="false">IF(D3044&lt;&gt;"",IFERROR(VLOOKUP(D3044,PROVEEDORES!$A:$C,3,0),""),"")</f>
        <v/>
      </c>
      <c r="G3044" s="75"/>
      <c r="H3044" s="52" t="str">
        <f aca="false">IF(G3044&lt;&gt;"",IFERROR(VLOOKUP(G3044,PRODUCTOS!$A:$B,2,0),"!COD NO ENCONTRADO"),"")</f>
        <v/>
      </c>
      <c r="I3044" s="77"/>
      <c r="J3044" s="78"/>
      <c r="K3044" s="79"/>
      <c r="L3044" s="80" t="str">
        <f aca="false">IF(AND(J3044&lt;&gt;"",K3044&lt;&gt;""),J3044*K3044,"")</f>
        <v/>
      </c>
      <c r="M3044" s="81" t="str">
        <f aca="false">IF(L3044&lt;&gt;"",L3044*1.1,"")</f>
        <v/>
      </c>
      <c r="N3044" s="53" t="n">
        <f aca="false">IF(F3044="S",L3044*0.02,0)</f>
        <v>0</v>
      </c>
      <c r="O3044" s="82" t="str">
        <f aca="false">IF(L3044&lt;&gt;"",L3044+N3044,"")</f>
        <v/>
      </c>
      <c r="P3044" s="53" t="str">
        <f aca="false">IF(O3044&lt;&gt;"",O3044*0.1,"")</f>
        <v/>
      </c>
      <c r="Q3044" s="83" t="str">
        <f aca="false">IF(O3044&lt;&gt;"",O3044+P3044,"")</f>
        <v/>
      </c>
      <c r="R3044" s="84"/>
    </row>
    <row r="3045" customFormat="false" ht="15" hidden="false" customHeight="true" outlineLevel="0" collapsed="false">
      <c r="A3045" s="103"/>
      <c r="B3045" s="85"/>
      <c r="C3045" s="86"/>
      <c r="D3045" s="87"/>
      <c r="E3045" s="46" t="str">
        <f aca="false">IF(D3045&lt;&gt;"",IFERROR(VLOOKUP(D3045,PROVEEDORES!$A:$B,2,0),"!COD NO ENCONTRADO"),"")</f>
        <v/>
      </c>
      <c r="F3045" s="88" t="str">
        <f aca="false">IF(D3045&lt;&gt;"",IFERROR(VLOOKUP(D3045,PROVEEDORES!$A:$C,3,0),""),"")</f>
        <v/>
      </c>
      <c r="G3045" s="87"/>
      <c r="H3045" s="46" t="str">
        <f aca="false">IF(G3045&lt;&gt;"",IFERROR(VLOOKUP(G3045,PRODUCTOS!$A:$B,2,0),"!COD NO ENCONTRADO"),"")</f>
        <v/>
      </c>
      <c r="I3045" s="89"/>
      <c r="J3045" s="90"/>
      <c r="K3045" s="91"/>
      <c r="L3045" s="80" t="str">
        <f aca="false">IF(AND(J3045&lt;&gt;"",K3045&lt;&gt;""),J3045*K3045,"")</f>
        <v/>
      </c>
      <c r="M3045" s="81" t="str">
        <f aca="false">IF(L3045&lt;&gt;"",L3045*1.1,"")</f>
        <v/>
      </c>
      <c r="N3045" s="47" t="n">
        <f aca="false">IF(F3045="S",L3045*0.02,0)</f>
        <v>0</v>
      </c>
      <c r="O3045" s="82" t="str">
        <f aca="false">IF(L3045&lt;&gt;"",L3045+N3045,"")</f>
        <v/>
      </c>
      <c r="P3045" s="47" t="str">
        <f aca="false">IF(O3045&lt;&gt;"",O3045*0.1,"")</f>
        <v/>
      </c>
      <c r="Q3045" s="83" t="str">
        <f aca="false">IF(O3045&lt;&gt;"",O3045+P3045,"")</f>
        <v/>
      </c>
      <c r="R3045" s="84"/>
    </row>
    <row r="3046" customFormat="false" ht="15" hidden="false" customHeight="true" outlineLevel="0" collapsed="false">
      <c r="A3046" s="103"/>
      <c r="B3046" s="73"/>
      <c r="C3046" s="74"/>
      <c r="D3046" s="75"/>
      <c r="E3046" s="52" t="str">
        <f aca="false">IF(D3046&lt;&gt;"",IFERROR(VLOOKUP(D3046,PROVEEDORES!$A:$B,2,0),"!COD NO ENCONTRADO"),"")</f>
        <v/>
      </c>
      <c r="F3046" s="76" t="str">
        <f aca="false">IF(D3046&lt;&gt;"",IFERROR(VLOOKUP(D3046,PROVEEDORES!$A:$C,3,0),""),"")</f>
        <v/>
      </c>
      <c r="G3046" s="75"/>
      <c r="H3046" s="52" t="str">
        <f aca="false">IF(G3046&lt;&gt;"",IFERROR(VLOOKUP(G3046,PRODUCTOS!$A:$B,2,0),"!COD NO ENCONTRADO"),"")</f>
        <v/>
      </c>
      <c r="I3046" s="77"/>
      <c r="J3046" s="78"/>
      <c r="K3046" s="79"/>
      <c r="L3046" s="80" t="str">
        <f aca="false">IF(AND(J3046&lt;&gt;"",K3046&lt;&gt;""),J3046*K3046,"")</f>
        <v/>
      </c>
      <c r="M3046" s="81" t="str">
        <f aca="false">IF(L3046&lt;&gt;"",L3046*1.1,"")</f>
        <v/>
      </c>
      <c r="N3046" s="53" t="n">
        <f aca="false">IF(F3046="S",L3046*0.02,0)</f>
        <v>0</v>
      </c>
      <c r="O3046" s="82" t="str">
        <f aca="false">IF(L3046&lt;&gt;"",L3046+N3046,"")</f>
        <v/>
      </c>
      <c r="P3046" s="53" t="str">
        <f aca="false">IF(O3046&lt;&gt;"",O3046*0.1,"")</f>
        <v/>
      </c>
      <c r="Q3046" s="83" t="str">
        <f aca="false">IF(O3046&lt;&gt;"",O3046+P3046,"")</f>
        <v/>
      </c>
      <c r="R3046" s="84"/>
    </row>
    <row r="3047" customFormat="false" ht="15" hidden="false" customHeight="true" outlineLevel="0" collapsed="false">
      <c r="A3047" s="103"/>
      <c r="B3047" s="85"/>
      <c r="C3047" s="86"/>
      <c r="D3047" s="87"/>
      <c r="E3047" s="46" t="str">
        <f aca="false">IF(D3047&lt;&gt;"",IFERROR(VLOOKUP(D3047,PROVEEDORES!$A:$B,2,0),"!COD NO ENCONTRADO"),"")</f>
        <v/>
      </c>
      <c r="F3047" s="88" t="str">
        <f aca="false">IF(D3047&lt;&gt;"",IFERROR(VLOOKUP(D3047,PROVEEDORES!$A:$C,3,0),""),"")</f>
        <v/>
      </c>
      <c r="G3047" s="87"/>
      <c r="H3047" s="46" t="str">
        <f aca="false">IF(G3047&lt;&gt;"",IFERROR(VLOOKUP(G3047,PRODUCTOS!$A:$B,2,0),"!COD NO ENCONTRADO"),"")</f>
        <v/>
      </c>
      <c r="I3047" s="89"/>
      <c r="J3047" s="90"/>
      <c r="K3047" s="91"/>
      <c r="L3047" s="80" t="str">
        <f aca="false">IF(AND(J3047&lt;&gt;"",K3047&lt;&gt;""),J3047*K3047,"")</f>
        <v/>
      </c>
      <c r="M3047" s="81" t="str">
        <f aca="false">IF(L3047&lt;&gt;"",L3047*1.1,"")</f>
        <v/>
      </c>
      <c r="N3047" s="47" t="n">
        <f aca="false">IF(F3047="S",L3047*0.02,0)</f>
        <v>0</v>
      </c>
      <c r="O3047" s="82" t="str">
        <f aca="false">IF(L3047&lt;&gt;"",L3047+N3047,"")</f>
        <v/>
      </c>
      <c r="P3047" s="47" t="str">
        <f aca="false">IF(O3047&lt;&gt;"",O3047*0.1,"")</f>
        <v/>
      </c>
      <c r="Q3047" s="83" t="str">
        <f aca="false">IF(O3047&lt;&gt;"",O3047+P3047,"")</f>
        <v/>
      </c>
      <c r="R3047" s="84"/>
    </row>
    <row r="3048" customFormat="false" ht="15" hidden="false" customHeight="true" outlineLevel="0" collapsed="false">
      <c r="A3048" s="103"/>
      <c r="B3048" s="73"/>
      <c r="C3048" s="74"/>
      <c r="D3048" s="75"/>
      <c r="E3048" s="52" t="str">
        <f aca="false">IF(D3048&lt;&gt;"",IFERROR(VLOOKUP(D3048,PROVEEDORES!$A:$B,2,0),"!COD NO ENCONTRADO"),"")</f>
        <v/>
      </c>
      <c r="F3048" s="76" t="str">
        <f aca="false">IF(D3048&lt;&gt;"",IFERROR(VLOOKUP(D3048,PROVEEDORES!$A:$C,3,0),""),"")</f>
        <v/>
      </c>
      <c r="G3048" s="75"/>
      <c r="H3048" s="52" t="str">
        <f aca="false">IF(G3048&lt;&gt;"",IFERROR(VLOOKUP(G3048,PRODUCTOS!$A:$B,2,0),"!COD NO ENCONTRADO"),"")</f>
        <v/>
      </c>
      <c r="I3048" s="77"/>
      <c r="J3048" s="78"/>
      <c r="K3048" s="79"/>
      <c r="L3048" s="80" t="str">
        <f aca="false">IF(AND(J3048&lt;&gt;"",K3048&lt;&gt;""),J3048*K3048,"")</f>
        <v/>
      </c>
      <c r="M3048" s="81" t="str">
        <f aca="false">IF(L3048&lt;&gt;"",L3048*1.1,"")</f>
        <v/>
      </c>
      <c r="N3048" s="53" t="n">
        <f aca="false">IF(F3048="S",L3048*0.02,0)</f>
        <v>0</v>
      </c>
      <c r="O3048" s="82" t="str">
        <f aca="false">IF(L3048&lt;&gt;"",L3048+N3048,"")</f>
        <v/>
      </c>
      <c r="P3048" s="53" t="str">
        <f aca="false">IF(O3048&lt;&gt;"",O3048*0.1,"")</f>
        <v/>
      </c>
      <c r="Q3048" s="83" t="str">
        <f aca="false">IF(O3048&lt;&gt;"",O3048+P3048,"")</f>
        <v/>
      </c>
      <c r="R3048" s="84"/>
    </row>
    <row r="3049" customFormat="false" ht="15" hidden="false" customHeight="true" outlineLevel="0" collapsed="false">
      <c r="A3049" s="103"/>
      <c r="B3049" s="85"/>
      <c r="C3049" s="86"/>
      <c r="D3049" s="87"/>
      <c r="E3049" s="46" t="str">
        <f aca="false">IF(D3049&lt;&gt;"",IFERROR(VLOOKUP(D3049,PROVEEDORES!$A:$B,2,0),"!COD NO ENCONTRADO"),"")</f>
        <v/>
      </c>
      <c r="F3049" s="88" t="str">
        <f aca="false">IF(D3049&lt;&gt;"",IFERROR(VLOOKUP(D3049,PROVEEDORES!$A:$C,3,0),""),"")</f>
        <v/>
      </c>
      <c r="G3049" s="87"/>
      <c r="H3049" s="46" t="str">
        <f aca="false">IF(G3049&lt;&gt;"",IFERROR(VLOOKUP(G3049,PRODUCTOS!$A:$B,2,0),"!COD NO ENCONTRADO"),"")</f>
        <v/>
      </c>
      <c r="I3049" s="89"/>
      <c r="J3049" s="90"/>
      <c r="K3049" s="91"/>
      <c r="L3049" s="80" t="str">
        <f aca="false">IF(AND(J3049&lt;&gt;"",K3049&lt;&gt;""),J3049*K3049,"")</f>
        <v/>
      </c>
      <c r="M3049" s="81" t="str">
        <f aca="false">IF(L3049&lt;&gt;"",L3049*1.1,"")</f>
        <v/>
      </c>
      <c r="N3049" s="47" t="n">
        <f aca="false">IF(F3049="S",L3049*0.02,0)</f>
        <v>0</v>
      </c>
      <c r="O3049" s="82" t="str">
        <f aca="false">IF(L3049&lt;&gt;"",L3049+N3049,"")</f>
        <v/>
      </c>
      <c r="P3049" s="47" t="str">
        <f aca="false">IF(O3049&lt;&gt;"",O3049*0.1,"")</f>
        <v/>
      </c>
      <c r="Q3049" s="83" t="str">
        <f aca="false">IF(O3049&lt;&gt;"",O3049+P3049,"")</f>
        <v/>
      </c>
      <c r="R3049" s="84"/>
    </row>
    <row r="3050" customFormat="false" ht="15" hidden="false" customHeight="true" outlineLevel="0" collapsed="false">
      <c r="A3050" s="103"/>
      <c r="B3050" s="73"/>
      <c r="C3050" s="74"/>
      <c r="D3050" s="75"/>
      <c r="E3050" s="52" t="str">
        <f aca="false">IF(D3050&lt;&gt;"",IFERROR(VLOOKUP(D3050,PROVEEDORES!$A:$B,2,0),"!COD NO ENCONTRADO"),"")</f>
        <v/>
      </c>
      <c r="F3050" s="76" t="str">
        <f aca="false">IF(D3050&lt;&gt;"",IFERROR(VLOOKUP(D3050,PROVEEDORES!$A:$C,3,0),""),"")</f>
        <v/>
      </c>
      <c r="G3050" s="75"/>
      <c r="H3050" s="52" t="str">
        <f aca="false">IF(G3050&lt;&gt;"",IFERROR(VLOOKUP(G3050,PRODUCTOS!$A:$B,2,0),"!COD NO ENCONTRADO"),"")</f>
        <v/>
      </c>
      <c r="I3050" s="77"/>
      <c r="J3050" s="78"/>
      <c r="K3050" s="79"/>
      <c r="L3050" s="80" t="str">
        <f aca="false">IF(AND(J3050&lt;&gt;"",K3050&lt;&gt;""),J3050*K3050,"")</f>
        <v/>
      </c>
      <c r="M3050" s="81" t="str">
        <f aca="false">IF(L3050&lt;&gt;"",L3050*1.1,"")</f>
        <v/>
      </c>
      <c r="N3050" s="53" t="n">
        <f aca="false">IF(F3050="S",L3050*0.02,0)</f>
        <v>0</v>
      </c>
      <c r="O3050" s="82" t="str">
        <f aca="false">IF(L3050&lt;&gt;"",L3050+N3050,"")</f>
        <v/>
      </c>
      <c r="P3050" s="53" t="str">
        <f aca="false">IF(O3050&lt;&gt;"",O3050*0.1,"")</f>
        <v/>
      </c>
      <c r="Q3050" s="83" t="str">
        <f aca="false">IF(O3050&lt;&gt;"",O3050+P3050,"")</f>
        <v/>
      </c>
      <c r="R3050" s="84"/>
    </row>
    <row r="3051" customFormat="false" ht="15" hidden="false" customHeight="true" outlineLevel="0" collapsed="false">
      <c r="A3051" s="103"/>
      <c r="B3051" s="85"/>
      <c r="C3051" s="86"/>
      <c r="D3051" s="87"/>
      <c r="E3051" s="46" t="str">
        <f aca="false">IF(D3051&lt;&gt;"",IFERROR(VLOOKUP(D3051,PROVEEDORES!$A:$B,2,0),"!COD NO ENCONTRADO"),"")</f>
        <v/>
      </c>
      <c r="F3051" s="88" t="str">
        <f aca="false">IF(D3051&lt;&gt;"",IFERROR(VLOOKUP(D3051,PROVEEDORES!$A:$C,3,0),""),"")</f>
        <v/>
      </c>
      <c r="G3051" s="87"/>
      <c r="H3051" s="46" t="str">
        <f aca="false">IF(G3051&lt;&gt;"",IFERROR(VLOOKUP(G3051,PRODUCTOS!$A:$B,2,0),"!COD NO ENCONTRADO"),"")</f>
        <v/>
      </c>
      <c r="I3051" s="89"/>
      <c r="J3051" s="90"/>
      <c r="K3051" s="91"/>
      <c r="L3051" s="80" t="str">
        <f aca="false">IF(AND(J3051&lt;&gt;"",K3051&lt;&gt;""),J3051*K3051,"")</f>
        <v/>
      </c>
      <c r="M3051" s="81" t="str">
        <f aca="false">IF(L3051&lt;&gt;"",L3051*1.1,"")</f>
        <v/>
      </c>
      <c r="N3051" s="47" t="n">
        <f aca="false">IF(F3051="S",L3051*0.02,0)</f>
        <v>0</v>
      </c>
      <c r="O3051" s="82" t="str">
        <f aca="false">IF(L3051&lt;&gt;"",L3051+N3051,"")</f>
        <v/>
      </c>
      <c r="P3051" s="47" t="str">
        <f aca="false">IF(O3051&lt;&gt;"",O3051*0.1,"")</f>
        <v/>
      </c>
      <c r="Q3051" s="83" t="str">
        <f aca="false">IF(O3051&lt;&gt;"",O3051+P3051,"")</f>
        <v/>
      </c>
      <c r="R3051" s="84"/>
    </row>
    <row r="3052" customFormat="false" ht="15" hidden="false" customHeight="true" outlineLevel="0" collapsed="false">
      <c r="A3052" s="103"/>
      <c r="B3052" s="73"/>
      <c r="C3052" s="74"/>
      <c r="D3052" s="75"/>
      <c r="E3052" s="52" t="str">
        <f aca="false">IF(D3052&lt;&gt;"",IFERROR(VLOOKUP(D3052,PROVEEDORES!$A:$B,2,0),"!COD NO ENCONTRADO"),"")</f>
        <v/>
      </c>
      <c r="F3052" s="76" t="str">
        <f aca="false">IF(D3052&lt;&gt;"",IFERROR(VLOOKUP(D3052,PROVEEDORES!$A:$C,3,0),""),"")</f>
        <v/>
      </c>
      <c r="G3052" s="75"/>
      <c r="H3052" s="52" t="str">
        <f aca="false">IF(G3052&lt;&gt;"",IFERROR(VLOOKUP(G3052,PRODUCTOS!$A:$B,2,0),"!COD NO ENCONTRADO"),"")</f>
        <v/>
      </c>
      <c r="I3052" s="77"/>
      <c r="J3052" s="78"/>
      <c r="K3052" s="79"/>
      <c r="L3052" s="80" t="str">
        <f aca="false">IF(AND(J3052&lt;&gt;"",K3052&lt;&gt;""),J3052*K3052,"")</f>
        <v/>
      </c>
      <c r="M3052" s="81" t="str">
        <f aca="false">IF(L3052&lt;&gt;"",L3052*1.1,"")</f>
        <v/>
      </c>
      <c r="N3052" s="53" t="n">
        <f aca="false">IF(F3052="S",L3052*0.02,0)</f>
        <v>0</v>
      </c>
      <c r="O3052" s="82" t="str">
        <f aca="false">IF(L3052&lt;&gt;"",L3052+N3052,"")</f>
        <v/>
      </c>
      <c r="P3052" s="53" t="str">
        <f aca="false">IF(O3052&lt;&gt;"",O3052*0.1,"")</f>
        <v/>
      </c>
      <c r="Q3052" s="83" t="str">
        <f aca="false">IF(O3052&lt;&gt;"",O3052+P3052,"")</f>
        <v/>
      </c>
      <c r="R3052" s="84"/>
    </row>
    <row r="3053" customFormat="false" ht="15" hidden="false" customHeight="true" outlineLevel="0" collapsed="false">
      <c r="A3053" s="103"/>
      <c r="B3053" s="85"/>
      <c r="C3053" s="86"/>
      <c r="D3053" s="87"/>
      <c r="E3053" s="46" t="str">
        <f aca="false">IF(D3053&lt;&gt;"",IFERROR(VLOOKUP(D3053,PROVEEDORES!$A:$B,2,0),"!COD NO ENCONTRADO"),"")</f>
        <v/>
      </c>
      <c r="F3053" s="88" t="str">
        <f aca="false">IF(D3053&lt;&gt;"",IFERROR(VLOOKUP(D3053,PROVEEDORES!$A:$C,3,0),""),"")</f>
        <v/>
      </c>
      <c r="G3053" s="87"/>
      <c r="H3053" s="46" t="str">
        <f aca="false">IF(G3053&lt;&gt;"",IFERROR(VLOOKUP(G3053,PRODUCTOS!$A:$B,2,0),"!COD NO ENCONTRADO"),"")</f>
        <v/>
      </c>
      <c r="I3053" s="89"/>
      <c r="J3053" s="90"/>
      <c r="K3053" s="91"/>
      <c r="L3053" s="80" t="str">
        <f aca="false">IF(AND(J3053&lt;&gt;"",K3053&lt;&gt;""),J3053*K3053,"")</f>
        <v/>
      </c>
      <c r="M3053" s="81" t="str">
        <f aca="false">IF(L3053&lt;&gt;"",L3053*1.1,"")</f>
        <v/>
      </c>
      <c r="N3053" s="47" t="n">
        <f aca="false">IF(F3053="S",L3053*0.02,0)</f>
        <v>0</v>
      </c>
      <c r="O3053" s="82" t="str">
        <f aca="false">IF(L3053&lt;&gt;"",L3053+N3053,"")</f>
        <v/>
      </c>
      <c r="P3053" s="47" t="str">
        <f aca="false">IF(O3053&lt;&gt;"",O3053*0.1,"")</f>
        <v/>
      </c>
      <c r="Q3053" s="83" t="str">
        <f aca="false">IF(O3053&lt;&gt;"",O3053+P3053,"")</f>
        <v/>
      </c>
      <c r="R3053" s="84"/>
    </row>
    <row r="3054" customFormat="false" ht="15" hidden="false" customHeight="true" outlineLevel="0" collapsed="false">
      <c r="A3054" s="103"/>
      <c r="B3054" s="73"/>
      <c r="C3054" s="74"/>
      <c r="D3054" s="75"/>
      <c r="E3054" s="52" t="str">
        <f aca="false">IF(D3054&lt;&gt;"",IFERROR(VLOOKUP(D3054,PROVEEDORES!$A:$B,2,0),"!COD NO ENCONTRADO"),"")</f>
        <v/>
      </c>
      <c r="F3054" s="76" t="str">
        <f aca="false">IF(D3054&lt;&gt;"",IFERROR(VLOOKUP(D3054,PROVEEDORES!$A:$C,3,0),""),"")</f>
        <v/>
      </c>
      <c r="G3054" s="75"/>
      <c r="H3054" s="52" t="str">
        <f aca="false">IF(G3054&lt;&gt;"",IFERROR(VLOOKUP(G3054,PRODUCTOS!$A:$B,2,0),"!COD NO ENCONTRADO"),"")</f>
        <v/>
      </c>
      <c r="I3054" s="77"/>
      <c r="J3054" s="78"/>
      <c r="K3054" s="79"/>
      <c r="L3054" s="80" t="str">
        <f aca="false">IF(AND(J3054&lt;&gt;"",K3054&lt;&gt;""),J3054*K3054,"")</f>
        <v/>
      </c>
      <c r="M3054" s="81" t="str">
        <f aca="false">IF(L3054&lt;&gt;"",L3054*1.1,"")</f>
        <v/>
      </c>
      <c r="N3054" s="53" t="n">
        <f aca="false">IF(F3054="S",L3054*0.02,0)</f>
        <v>0</v>
      </c>
      <c r="O3054" s="82" t="str">
        <f aca="false">IF(L3054&lt;&gt;"",L3054+N3054,"")</f>
        <v/>
      </c>
      <c r="P3054" s="53" t="str">
        <f aca="false">IF(O3054&lt;&gt;"",O3054*0.1,"")</f>
        <v/>
      </c>
      <c r="Q3054" s="83" t="str">
        <f aca="false">IF(O3054&lt;&gt;"",O3054+P3054,"")</f>
        <v/>
      </c>
      <c r="R3054" s="84"/>
    </row>
    <row r="3055" customFormat="false" ht="15" hidden="false" customHeight="true" outlineLevel="0" collapsed="false">
      <c r="A3055" s="103"/>
      <c r="B3055" s="85"/>
      <c r="C3055" s="86"/>
      <c r="D3055" s="87"/>
      <c r="E3055" s="46" t="str">
        <f aca="false">IF(D3055&lt;&gt;"",IFERROR(VLOOKUP(D3055,PROVEEDORES!$A:$B,2,0),"!COD NO ENCONTRADO"),"")</f>
        <v/>
      </c>
      <c r="F3055" s="88" t="str">
        <f aca="false">IF(D3055&lt;&gt;"",IFERROR(VLOOKUP(D3055,PROVEEDORES!$A:$C,3,0),""),"")</f>
        <v/>
      </c>
      <c r="G3055" s="87"/>
      <c r="H3055" s="46" t="str">
        <f aca="false">IF(G3055&lt;&gt;"",IFERROR(VLOOKUP(G3055,PRODUCTOS!$A:$B,2,0),"!COD NO ENCONTRADO"),"")</f>
        <v/>
      </c>
      <c r="I3055" s="89"/>
      <c r="J3055" s="90"/>
      <c r="K3055" s="91"/>
      <c r="L3055" s="80" t="str">
        <f aca="false">IF(AND(J3055&lt;&gt;"",K3055&lt;&gt;""),J3055*K3055,"")</f>
        <v/>
      </c>
      <c r="M3055" s="81" t="str">
        <f aca="false">IF(L3055&lt;&gt;"",L3055*1.1,"")</f>
        <v/>
      </c>
      <c r="N3055" s="47" t="n">
        <f aca="false">IF(F3055="S",L3055*0.02,0)</f>
        <v>0</v>
      </c>
      <c r="O3055" s="82" t="str">
        <f aca="false">IF(L3055&lt;&gt;"",L3055+N3055,"")</f>
        <v/>
      </c>
      <c r="P3055" s="47" t="str">
        <f aca="false">IF(O3055&lt;&gt;"",O3055*0.1,"")</f>
        <v/>
      </c>
      <c r="Q3055" s="83" t="str">
        <f aca="false">IF(O3055&lt;&gt;"",O3055+P3055,"")</f>
        <v/>
      </c>
      <c r="R3055" s="84"/>
    </row>
    <row r="3056" customFormat="false" ht="15" hidden="false" customHeight="true" outlineLevel="0" collapsed="false">
      <c r="A3056" s="103"/>
      <c r="B3056" s="73"/>
      <c r="C3056" s="74"/>
      <c r="D3056" s="75"/>
      <c r="E3056" s="52" t="str">
        <f aca="false">IF(D3056&lt;&gt;"",IFERROR(VLOOKUP(D3056,PROVEEDORES!$A:$B,2,0),"!COD NO ENCONTRADO"),"")</f>
        <v/>
      </c>
      <c r="F3056" s="76" t="str">
        <f aca="false">IF(D3056&lt;&gt;"",IFERROR(VLOOKUP(D3056,PROVEEDORES!$A:$C,3,0),""),"")</f>
        <v/>
      </c>
      <c r="G3056" s="75"/>
      <c r="H3056" s="52" t="str">
        <f aca="false">IF(G3056&lt;&gt;"",IFERROR(VLOOKUP(G3056,PRODUCTOS!$A:$B,2,0),"!COD NO ENCONTRADO"),"")</f>
        <v/>
      </c>
      <c r="I3056" s="77"/>
      <c r="J3056" s="78"/>
      <c r="K3056" s="79"/>
      <c r="L3056" s="80" t="str">
        <f aca="false">IF(AND(J3056&lt;&gt;"",K3056&lt;&gt;""),J3056*K3056,"")</f>
        <v/>
      </c>
      <c r="M3056" s="81" t="str">
        <f aca="false">IF(L3056&lt;&gt;"",L3056*1.1,"")</f>
        <v/>
      </c>
      <c r="N3056" s="53" t="n">
        <f aca="false">IF(F3056="S",L3056*0.02,0)</f>
        <v>0</v>
      </c>
      <c r="O3056" s="82" t="str">
        <f aca="false">IF(L3056&lt;&gt;"",L3056+N3056,"")</f>
        <v/>
      </c>
      <c r="P3056" s="53" t="str">
        <f aca="false">IF(O3056&lt;&gt;"",O3056*0.1,"")</f>
        <v/>
      </c>
      <c r="Q3056" s="83" t="str">
        <f aca="false">IF(O3056&lt;&gt;"",O3056+P3056,"")</f>
        <v/>
      </c>
      <c r="R3056" s="84"/>
    </row>
    <row r="3057" customFormat="false" ht="15" hidden="false" customHeight="true" outlineLevel="0" collapsed="false">
      <c r="A3057" s="103"/>
      <c r="B3057" s="85"/>
      <c r="C3057" s="86"/>
      <c r="D3057" s="87"/>
      <c r="E3057" s="46" t="str">
        <f aca="false">IF(D3057&lt;&gt;"",IFERROR(VLOOKUP(D3057,PROVEEDORES!$A:$B,2,0),"!COD NO ENCONTRADO"),"")</f>
        <v/>
      </c>
      <c r="F3057" s="88" t="str">
        <f aca="false">IF(D3057&lt;&gt;"",IFERROR(VLOOKUP(D3057,PROVEEDORES!$A:$C,3,0),""),"")</f>
        <v/>
      </c>
      <c r="G3057" s="87"/>
      <c r="H3057" s="46" t="str">
        <f aca="false">IF(G3057&lt;&gt;"",IFERROR(VLOOKUP(G3057,PRODUCTOS!$A:$B,2,0),"!COD NO ENCONTRADO"),"")</f>
        <v/>
      </c>
      <c r="I3057" s="89"/>
      <c r="J3057" s="90"/>
      <c r="K3057" s="91"/>
      <c r="L3057" s="80" t="str">
        <f aca="false">IF(AND(J3057&lt;&gt;"",K3057&lt;&gt;""),J3057*K3057,"")</f>
        <v/>
      </c>
      <c r="M3057" s="81" t="str">
        <f aca="false">IF(L3057&lt;&gt;"",L3057*1.1,"")</f>
        <v/>
      </c>
      <c r="N3057" s="47" t="n">
        <f aca="false">IF(F3057="S",L3057*0.02,0)</f>
        <v>0</v>
      </c>
      <c r="O3057" s="82" t="str">
        <f aca="false">IF(L3057&lt;&gt;"",L3057+N3057,"")</f>
        <v/>
      </c>
      <c r="P3057" s="47" t="str">
        <f aca="false">IF(O3057&lt;&gt;"",O3057*0.1,"")</f>
        <v/>
      </c>
      <c r="Q3057" s="83" t="str">
        <f aca="false">IF(O3057&lt;&gt;"",O3057+P3057,"")</f>
        <v/>
      </c>
      <c r="R3057" s="84"/>
    </row>
    <row r="3058" customFormat="false" ht="15" hidden="false" customHeight="true" outlineLevel="0" collapsed="false">
      <c r="A3058" s="103"/>
      <c r="B3058" s="73"/>
      <c r="C3058" s="74"/>
      <c r="D3058" s="75"/>
      <c r="E3058" s="52" t="str">
        <f aca="false">IF(D3058&lt;&gt;"",IFERROR(VLOOKUP(D3058,PROVEEDORES!$A:$B,2,0),"!COD NO ENCONTRADO"),"")</f>
        <v/>
      </c>
      <c r="F3058" s="76" t="str">
        <f aca="false">IF(D3058&lt;&gt;"",IFERROR(VLOOKUP(D3058,PROVEEDORES!$A:$C,3,0),""),"")</f>
        <v/>
      </c>
      <c r="G3058" s="75"/>
      <c r="H3058" s="52" t="str">
        <f aca="false">IF(G3058&lt;&gt;"",IFERROR(VLOOKUP(G3058,PRODUCTOS!$A:$B,2,0),"!COD NO ENCONTRADO"),"")</f>
        <v/>
      </c>
      <c r="I3058" s="77"/>
      <c r="J3058" s="78"/>
      <c r="K3058" s="79"/>
      <c r="L3058" s="80" t="str">
        <f aca="false">IF(AND(J3058&lt;&gt;"",K3058&lt;&gt;""),J3058*K3058,"")</f>
        <v/>
      </c>
      <c r="M3058" s="81" t="str">
        <f aca="false">IF(L3058&lt;&gt;"",L3058*1.1,"")</f>
        <v/>
      </c>
      <c r="N3058" s="53" t="n">
        <f aca="false">IF(F3058="S",L3058*0.02,0)</f>
        <v>0</v>
      </c>
      <c r="O3058" s="82" t="str">
        <f aca="false">IF(L3058&lt;&gt;"",L3058+N3058,"")</f>
        <v/>
      </c>
      <c r="P3058" s="53" t="str">
        <f aca="false">IF(O3058&lt;&gt;"",O3058*0.1,"")</f>
        <v/>
      </c>
      <c r="Q3058" s="83" t="str">
        <f aca="false">IF(O3058&lt;&gt;"",O3058+P3058,"")</f>
        <v/>
      </c>
      <c r="R3058" s="84"/>
    </row>
    <row r="3059" customFormat="false" ht="15" hidden="false" customHeight="true" outlineLevel="0" collapsed="false">
      <c r="A3059" s="103"/>
      <c r="B3059" s="85"/>
      <c r="C3059" s="86"/>
      <c r="D3059" s="87"/>
      <c r="E3059" s="46" t="str">
        <f aca="false">IF(D3059&lt;&gt;"",IFERROR(VLOOKUP(D3059,PROVEEDORES!$A:$B,2,0),"!COD NO ENCONTRADO"),"")</f>
        <v/>
      </c>
      <c r="F3059" s="88" t="str">
        <f aca="false">IF(D3059&lt;&gt;"",IFERROR(VLOOKUP(D3059,PROVEEDORES!$A:$C,3,0),""),"")</f>
        <v/>
      </c>
      <c r="G3059" s="87"/>
      <c r="H3059" s="46" t="str">
        <f aca="false">IF(G3059&lt;&gt;"",IFERROR(VLOOKUP(G3059,PRODUCTOS!$A:$B,2,0),"!COD NO ENCONTRADO"),"")</f>
        <v/>
      </c>
      <c r="I3059" s="89"/>
      <c r="J3059" s="90"/>
      <c r="K3059" s="91"/>
      <c r="L3059" s="80" t="str">
        <f aca="false">IF(AND(J3059&lt;&gt;"",K3059&lt;&gt;""),J3059*K3059,"")</f>
        <v/>
      </c>
      <c r="M3059" s="81" t="str">
        <f aca="false">IF(L3059&lt;&gt;"",L3059*1.1,"")</f>
        <v/>
      </c>
      <c r="N3059" s="47" t="n">
        <f aca="false">IF(F3059="S",L3059*0.02,0)</f>
        <v>0</v>
      </c>
      <c r="O3059" s="82" t="str">
        <f aca="false">IF(L3059&lt;&gt;"",L3059+N3059,"")</f>
        <v/>
      </c>
      <c r="P3059" s="47" t="str">
        <f aca="false">IF(O3059&lt;&gt;"",O3059*0.1,"")</f>
        <v/>
      </c>
      <c r="Q3059" s="83" t="str">
        <f aca="false">IF(O3059&lt;&gt;"",O3059+P3059,"")</f>
        <v/>
      </c>
      <c r="R3059" s="84"/>
    </row>
    <row r="3060" customFormat="false" ht="15" hidden="false" customHeight="true" outlineLevel="0" collapsed="false">
      <c r="A3060" s="103"/>
      <c r="B3060" s="73"/>
      <c r="C3060" s="74"/>
      <c r="D3060" s="75"/>
      <c r="E3060" s="52" t="str">
        <f aca="false">IF(D3060&lt;&gt;"",IFERROR(VLOOKUP(D3060,PROVEEDORES!$A:$B,2,0),"!COD NO ENCONTRADO"),"")</f>
        <v/>
      </c>
      <c r="F3060" s="76" t="str">
        <f aca="false">IF(D3060&lt;&gt;"",IFERROR(VLOOKUP(D3060,PROVEEDORES!$A:$C,3,0),""),"")</f>
        <v/>
      </c>
      <c r="G3060" s="75"/>
      <c r="H3060" s="52" t="str">
        <f aca="false">IF(G3060&lt;&gt;"",IFERROR(VLOOKUP(G3060,PRODUCTOS!$A:$B,2,0),"!COD NO ENCONTRADO"),"")</f>
        <v/>
      </c>
      <c r="I3060" s="77"/>
      <c r="J3060" s="78"/>
      <c r="K3060" s="79"/>
      <c r="L3060" s="80" t="str">
        <f aca="false">IF(AND(J3060&lt;&gt;"",K3060&lt;&gt;""),J3060*K3060,"")</f>
        <v/>
      </c>
      <c r="M3060" s="81" t="str">
        <f aca="false">IF(L3060&lt;&gt;"",L3060*1.1,"")</f>
        <v/>
      </c>
      <c r="N3060" s="53" t="n">
        <f aca="false">IF(F3060="S",L3060*0.02,0)</f>
        <v>0</v>
      </c>
      <c r="O3060" s="82" t="str">
        <f aca="false">IF(L3060&lt;&gt;"",L3060+N3060,"")</f>
        <v/>
      </c>
      <c r="P3060" s="53" t="str">
        <f aca="false">IF(O3060&lt;&gt;"",O3060*0.1,"")</f>
        <v/>
      </c>
      <c r="Q3060" s="83" t="str">
        <f aca="false">IF(O3060&lt;&gt;"",O3060+P3060,"")</f>
        <v/>
      </c>
      <c r="R3060" s="84"/>
    </row>
    <row r="3061" customFormat="false" ht="15" hidden="false" customHeight="true" outlineLevel="0" collapsed="false">
      <c r="A3061" s="103"/>
      <c r="B3061" s="85"/>
      <c r="C3061" s="86"/>
      <c r="D3061" s="87"/>
      <c r="E3061" s="46" t="str">
        <f aca="false">IF(D3061&lt;&gt;"",IFERROR(VLOOKUP(D3061,PROVEEDORES!$A:$B,2,0),"!COD NO ENCONTRADO"),"")</f>
        <v/>
      </c>
      <c r="F3061" s="88" t="str">
        <f aca="false">IF(D3061&lt;&gt;"",IFERROR(VLOOKUP(D3061,PROVEEDORES!$A:$C,3,0),""),"")</f>
        <v/>
      </c>
      <c r="G3061" s="87"/>
      <c r="H3061" s="46" t="str">
        <f aca="false">IF(G3061&lt;&gt;"",IFERROR(VLOOKUP(G3061,PRODUCTOS!$A:$B,2,0),"!COD NO ENCONTRADO"),"")</f>
        <v/>
      </c>
      <c r="I3061" s="89"/>
      <c r="J3061" s="90"/>
      <c r="K3061" s="91"/>
      <c r="L3061" s="80" t="str">
        <f aca="false">IF(AND(J3061&lt;&gt;"",K3061&lt;&gt;""),J3061*K3061,"")</f>
        <v/>
      </c>
      <c r="M3061" s="81" t="str">
        <f aca="false">IF(L3061&lt;&gt;"",L3061*1.1,"")</f>
        <v/>
      </c>
      <c r="N3061" s="47" t="n">
        <f aca="false">IF(F3061="S",L3061*0.02,0)</f>
        <v>0</v>
      </c>
      <c r="O3061" s="82" t="str">
        <f aca="false">IF(L3061&lt;&gt;"",L3061+N3061,"")</f>
        <v/>
      </c>
      <c r="P3061" s="47" t="str">
        <f aca="false">IF(O3061&lt;&gt;"",O3061*0.1,"")</f>
        <v/>
      </c>
      <c r="Q3061" s="83" t="str">
        <f aca="false">IF(O3061&lt;&gt;"",O3061+P3061,"")</f>
        <v/>
      </c>
      <c r="R3061" s="84"/>
    </row>
    <row r="3062" customFormat="false" ht="15" hidden="false" customHeight="true" outlineLevel="0" collapsed="false">
      <c r="A3062" s="103"/>
      <c r="B3062" s="73"/>
      <c r="C3062" s="74"/>
      <c r="D3062" s="75"/>
      <c r="E3062" s="52" t="str">
        <f aca="false">IF(D3062&lt;&gt;"",IFERROR(VLOOKUP(D3062,PROVEEDORES!$A:$B,2,0),"!COD NO ENCONTRADO"),"")</f>
        <v/>
      </c>
      <c r="F3062" s="76" t="str">
        <f aca="false">IF(D3062&lt;&gt;"",IFERROR(VLOOKUP(D3062,PROVEEDORES!$A:$C,3,0),""),"")</f>
        <v/>
      </c>
      <c r="G3062" s="75"/>
      <c r="H3062" s="52" t="str">
        <f aca="false">IF(G3062&lt;&gt;"",IFERROR(VLOOKUP(G3062,PRODUCTOS!$A:$B,2,0),"!COD NO ENCONTRADO"),"")</f>
        <v/>
      </c>
      <c r="I3062" s="77"/>
      <c r="J3062" s="78"/>
      <c r="K3062" s="79"/>
      <c r="L3062" s="80" t="str">
        <f aca="false">IF(AND(J3062&lt;&gt;"",K3062&lt;&gt;""),J3062*K3062,"")</f>
        <v/>
      </c>
      <c r="M3062" s="81" t="str">
        <f aca="false">IF(L3062&lt;&gt;"",L3062*1.1,"")</f>
        <v/>
      </c>
      <c r="N3062" s="53" t="n">
        <f aca="false">IF(F3062="S",L3062*0.02,0)</f>
        <v>0</v>
      </c>
      <c r="O3062" s="82" t="str">
        <f aca="false">IF(L3062&lt;&gt;"",L3062+N3062,"")</f>
        <v/>
      </c>
      <c r="P3062" s="53" t="str">
        <f aca="false">IF(O3062&lt;&gt;"",O3062*0.1,"")</f>
        <v/>
      </c>
      <c r="Q3062" s="83" t="str">
        <f aca="false">IF(O3062&lt;&gt;"",O3062+P3062,"")</f>
        <v/>
      </c>
      <c r="R3062" s="84"/>
    </row>
    <row r="3063" customFormat="false" ht="15" hidden="false" customHeight="true" outlineLevel="0" collapsed="false">
      <c r="A3063" s="103"/>
      <c r="B3063" s="85"/>
      <c r="C3063" s="86"/>
      <c r="D3063" s="87"/>
      <c r="E3063" s="46" t="str">
        <f aca="false">IF(D3063&lt;&gt;"",IFERROR(VLOOKUP(D3063,PROVEEDORES!$A:$B,2,0),"!COD NO ENCONTRADO"),"")</f>
        <v/>
      </c>
      <c r="F3063" s="88" t="str">
        <f aca="false">IF(D3063&lt;&gt;"",IFERROR(VLOOKUP(D3063,PROVEEDORES!$A:$C,3,0),""),"")</f>
        <v/>
      </c>
      <c r="G3063" s="87"/>
      <c r="H3063" s="46" t="str">
        <f aca="false">IF(G3063&lt;&gt;"",IFERROR(VLOOKUP(G3063,PRODUCTOS!$A:$B,2,0),"!COD NO ENCONTRADO"),"")</f>
        <v/>
      </c>
      <c r="I3063" s="89"/>
      <c r="J3063" s="90"/>
      <c r="K3063" s="91"/>
      <c r="L3063" s="80" t="str">
        <f aca="false">IF(AND(J3063&lt;&gt;"",K3063&lt;&gt;""),J3063*K3063,"")</f>
        <v/>
      </c>
      <c r="M3063" s="81" t="str">
        <f aca="false">IF(L3063&lt;&gt;"",L3063*1.1,"")</f>
        <v/>
      </c>
      <c r="N3063" s="47" t="n">
        <f aca="false">IF(F3063="S",L3063*0.02,0)</f>
        <v>0</v>
      </c>
      <c r="O3063" s="82" t="str">
        <f aca="false">IF(L3063&lt;&gt;"",L3063+N3063,"")</f>
        <v/>
      </c>
      <c r="P3063" s="47" t="str">
        <f aca="false">IF(O3063&lt;&gt;"",O3063*0.1,"")</f>
        <v/>
      </c>
      <c r="Q3063" s="83" t="str">
        <f aca="false">IF(O3063&lt;&gt;"",O3063+P3063,"")</f>
        <v/>
      </c>
      <c r="R3063" s="84"/>
    </row>
    <row r="3064" customFormat="false" ht="15" hidden="false" customHeight="true" outlineLevel="0" collapsed="false">
      <c r="A3064" s="103"/>
      <c r="B3064" s="73"/>
      <c r="C3064" s="74"/>
      <c r="D3064" s="75"/>
      <c r="E3064" s="52" t="str">
        <f aca="false">IF(D3064&lt;&gt;"",IFERROR(VLOOKUP(D3064,PROVEEDORES!$A:$B,2,0),"!COD NO ENCONTRADO"),"")</f>
        <v/>
      </c>
      <c r="F3064" s="76" t="str">
        <f aca="false">IF(D3064&lt;&gt;"",IFERROR(VLOOKUP(D3064,PROVEEDORES!$A:$C,3,0),""),"")</f>
        <v/>
      </c>
      <c r="G3064" s="75"/>
      <c r="H3064" s="52" t="str">
        <f aca="false">IF(G3064&lt;&gt;"",IFERROR(VLOOKUP(G3064,PRODUCTOS!$A:$B,2,0),"!COD NO ENCONTRADO"),"")</f>
        <v/>
      </c>
      <c r="I3064" s="77"/>
      <c r="J3064" s="78"/>
      <c r="K3064" s="79"/>
      <c r="L3064" s="80" t="str">
        <f aca="false">IF(AND(J3064&lt;&gt;"",K3064&lt;&gt;""),J3064*K3064,"")</f>
        <v/>
      </c>
      <c r="M3064" s="81" t="str">
        <f aca="false">IF(L3064&lt;&gt;"",L3064*1.1,"")</f>
        <v/>
      </c>
      <c r="N3064" s="53" t="n">
        <f aca="false">IF(F3064="S",L3064*0.02,0)</f>
        <v>0</v>
      </c>
      <c r="O3064" s="82" t="str">
        <f aca="false">IF(L3064&lt;&gt;"",L3064+N3064,"")</f>
        <v/>
      </c>
      <c r="P3064" s="53" t="str">
        <f aca="false">IF(O3064&lt;&gt;"",O3064*0.1,"")</f>
        <v/>
      </c>
      <c r="Q3064" s="83" t="str">
        <f aca="false">IF(O3064&lt;&gt;"",O3064+P3064,"")</f>
        <v/>
      </c>
      <c r="R3064" s="84"/>
    </row>
    <row r="3065" customFormat="false" ht="15" hidden="false" customHeight="true" outlineLevel="0" collapsed="false">
      <c r="A3065" s="103"/>
      <c r="B3065" s="85"/>
      <c r="C3065" s="86"/>
      <c r="D3065" s="87"/>
      <c r="E3065" s="46" t="str">
        <f aca="false">IF(D3065&lt;&gt;"",IFERROR(VLOOKUP(D3065,PROVEEDORES!$A:$B,2,0),"!COD NO ENCONTRADO"),"")</f>
        <v/>
      </c>
      <c r="F3065" s="88" t="str">
        <f aca="false">IF(D3065&lt;&gt;"",IFERROR(VLOOKUP(D3065,PROVEEDORES!$A:$C,3,0),""),"")</f>
        <v/>
      </c>
      <c r="G3065" s="87"/>
      <c r="H3065" s="46" t="str">
        <f aca="false">IF(G3065&lt;&gt;"",IFERROR(VLOOKUP(G3065,PRODUCTOS!$A:$B,2,0),"!COD NO ENCONTRADO"),"")</f>
        <v/>
      </c>
      <c r="I3065" s="89"/>
      <c r="J3065" s="90"/>
      <c r="K3065" s="91"/>
      <c r="L3065" s="80" t="str">
        <f aca="false">IF(AND(J3065&lt;&gt;"",K3065&lt;&gt;""),J3065*K3065,"")</f>
        <v/>
      </c>
      <c r="M3065" s="81" t="str">
        <f aca="false">IF(L3065&lt;&gt;"",L3065*1.1,"")</f>
        <v/>
      </c>
      <c r="N3065" s="47" t="n">
        <f aca="false">IF(F3065="S",L3065*0.02,0)</f>
        <v>0</v>
      </c>
      <c r="O3065" s="82" t="str">
        <f aca="false">IF(L3065&lt;&gt;"",L3065+N3065,"")</f>
        <v/>
      </c>
      <c r="P3065" s="47" t="str">
        <f aca="false">IF(O3065&lt;&gt;"",O3065*0.1,"")</f>
        <v/>
      </c>
      <c r="Q3065" s="83" t="str">
        <f aca="false">IF(O3065&lt;&gt;"",O3065+P3065,"")</f>
        <v/>
      </c>
      <c r="R3065" s="84"/>
    </row>
    <row r="3066" customFormat="false" ht="15" hidden="false" customHeight="true" outlineLevel="0" collapsed="false">
      <c r="A3066" s="103"/>
      <c r="B3066" s="73"/>
      <c r="C3066" s="74"/>
      <c r="D3066" s="75"/>
      <c r="E3066" s="52" t="str">
        <f aca="false">IF(D3066&lt;&gt;"",IFERROR(VLOOKUP(D3066,PROVEEDORES!$A:$B,2,0),"!COD NO ENCONTRADO"),"")</f>
        <v/>
      </c>
      <c r="F3066" s="76" t="str">
        <f aca="false">IF(D3066&lt;&gt;"",IFERROR(VLOOKUP(D3066,PROVEEDORES!$A:$C,3,0),""),"")</f>
        <v/>
      </c>
      <c r="G3066" s="75"/>
      <c r="H3066" s="52" t="str">
        <f aca="false">IF(G3066&lt;&gt;"",IFERROR(VLOOKUP(G3066,PRODUCTOS!$A:$B,2,0),"!COD NO ENCONTRADO"),"")</f>
        <v/>
      </c>
      <c r="I3066" s="77"/>
      <c r="J3066" s="78"/>
      <c r="K3066" s="79"/>
      <c r="L3066" s="80" t="str">
        <f aca="false">IF(AND(J3066&lt;&gt;"",K3066&lt;&gt;""),J3066*K3066,"")</f>
        <v/>
      </c>
      <c r="M3066" s="81" t="str">
        <f aca="false">IF(L3066&lt;&gt;"",L3066*1.1,"")</f>
        <v/>
      </c>
      <c r="N3066" s="53" t="n">
        <f aca="false">IF(F3066="S",L3066*0.02,0)</f>
        <v>0</v>
      </c>
      <c r="O3066" s="82" t="str">
        <f aca="false">IF(L3066&lt;&gt;"",L3066+N3066,"")</f>
        <v/>
      </c>
      <c r="P3066" s="53" t="str">
        <f aca="false">IF(O3066&lt;&gt;"",O3066*0.1,"")</f>
        <v/>
      </c>
      <c r="Q3066" s="83" t="str">
        <f aca="false">IF(O3066&lt;&gt;"",O3066+P3066,"")</f>
        <v/>
      </c>
      <c r="R3066" s="84"/>
    </row>
    <row r="3067" customFormat="false" ht="15" hidden="false" customHeight="true" outlineLevel="0" collapsed="false">
      <c r="A3067" s="103"/>
      <c r="B3067" s="85"/>
      <c r="C3067" s="86"/>
      <c r="D3067" s="87"/>
      <c r="E3067" s="46" t="str">
        <f aca="false">IF(D3067&lt;&gt;"",IFERROR(VLOOKUP(D3067,PROVEEDORES!$A:$B,2,0),"!COD NO ENCONTRADO"),"")</f>
        <v/>
      </c>
      <c r="F3067" s="88" t="str">
        <f aca="false">IF(D3067&lt;&gt;"",IFERROR(VLOOKUP(D3067,PROVEEDORES!$A:$C,3,0),""),"")</f>
        <v/>
      </c>
      <c r="G3067" s="87"/>
      <c r="H3067" s="46" t="str">
        <f aca="false">IF(G3067&lt;&gt;"",IFERROR(VLOOKUP(G3067,PRODUCTOS!$A:$B,2,0),"!COD NO ENCONTRADO"),"")</f>
        <v/>
      </c>
      <c r="I3067" s="89"/>
      <c r="J3067" s="90"/>
      <c r="K3067" s="91"/>
      <c r="L3067" s="80" t="str">
        <f aca="false">IF(AND(J3067&lt;&gt;"",K3067&lt;&gt;""),J3067*K3067,"")</f>
        <v/>
      </c>
      <c r="M3067" s="81" t="str">
        <f aca="false">IF(L3067&lt;&gt;"",L3067*1.1,"")</f>
        <v/>
      </c>
      <c r="N3067" s="47" t="n">
        <f aca="false">IF(F3067="S",L3067*0.02,0)</f>
        <v>0</v>
      </c>
      <c r="O3067" s="82" t="str">
        <f aca="false">IF(L3067&lt;&gt;"",L3067+N3067,"")</f>
        <v/>
      </c>
      <c r="P3067" s="47" t="str">
        <f aca="false">IF(O3067&lt;&gt;"",O3067*0.1,"")</f>
        <v/>
      </c>
      <c r="Q3067" s="83" t="str">
        <f aca="false">IF(O3067&lt;&gt;"",O3067+P3067,"")</f>
        <v/>
      </c>
      <c r="R3067" s="84"/>
    </row>
    <row r="3068" customFormat="false" ht="15" hidden="false" customHeight="true" outlineLevel="0" collapsed="false">
      <c r="A3068" s="103"/>
      <c r="B3068" s="73"/>
      <c r="C3068" s="74"/>
      <c r="D3068" s="75"/>
      <c r="E3068" s="52" t="str">
        <f aca="false">IF(D3068&lt;&gt;"",IFERROR(VLOOKUP(D3068,PROVEEDORES!$A:$B,2,0),"!COD NO ENCONTRADO"),"")</f>
        <v/>
      </c>
      <c r="F3068" s="76" t="str">
        <f aca="false">IF(D3068&lt;&gt;"",IFERROR(VLOOKUP(D3068,PROVEEDORES!$A:$C,3,0),""),"")</f>
        <v/>
      </c>
      <c r="G3068" s="75"/>
      <c r="H3068" s="52" t="str">
        <f aca="false">IF(G3068&lt;&gt;"",IFERROR(VLOOKUP(G3068,PRODUCTOS!$A:$B,2,0),"!COD NO ENCONTRADO"),"")</f>
        <v/>
      </c>
      <c r="I3068" s="77"/>
      <c r="J3068" s="78"/>
      <c r="K3068" s="79"/>
      <c r="L3068" s="80" t="str">
        <f aca="false">IF(AND(J3068&lt;&gt;"",K3068&lt;&gt;""),J3068*K3068,"")</f>
        <v/>
      </c>
      <c r="M3068" s="81" t="str">
        <f aca="false">IF(L3068&lt;&gt;"",L3068*1.1,"")</f>
        <v/>
      </c>
      <c r="N3068" s="53" t="n">
        <f aca="false">IF(F3068="S",L3068*0.02,0)</f>
        <v>0</v>
      </c>
      <c r="O3068" s="82" t="str">
        <f aca="false">IF(L3068&lt;&gt;"",L3068+N3068,"")</f>
        <v/>
      </c>
      <c r="P3068" s="53" t="str">
        <f aca="false">IF(O3068&lt;&gt;"",O3068*0.1,"")</f>
        <v/>
      </c>
      <c r="Q3068" s="83" t="str">
        <f aca="false">IF(O3068&lt;&gt;"",O3068+P3068,"")</f>
        <v/>
      </c>
      <c r="R3068" s="84"/>
    </row>
    <row r="3069" customFormat="false" ht="15" hidden="false" customHeight="true" outlineLevel="0" collapsed="false">
      <c r="A3069" s="103"/>
      <c r="B3069" s="85"/>
      <c r="C3069" s="86"/>
      <c r="D3069" s="87"/>
      <c r="E3069" s="46" t="str">
        <f aca="false">IF(D3069&lt;&gt;"",IFERROR(VLOOKUP(D3069,PROVEEDORES!$A:$B,2,0),"!COD NO ENCONTRADO"),"")</f>
        <v/>
      </c>
      <c r="F3069" s="88" t="str">
        <f aca="false">IF(D3069&lt;&gt;"",IFERROR(VLOOKUP(D3069,PROVEEDORES!$A:$C,3,0),""),"")</f>
        <v/>
      </c>
      <c r="G3069" s="87"/>
      <c r="H3069" s="46" t="str">
        <f aca="false">IF(G3069&lt;&gt;"",IFERROR(VLOOKUP(G3069,PRODUCTOS!$A:$B,2,0),"!COD NO ENCONTRADO"),"")</f>
        <v/>
      </c>
      <c r="I3069" s="89"/>
      <c r="J3069" s="90"/>
      <c r="K3069" s="91"/>
      <c r="L3069" s="80" t="str">
        <f aca="false">IF(AND(J3069&lt;&gt;"",K3069&lt;&gt;""),J3069*K3069,"")</f>
        <v/>
      </c>
      <c r="M3069" s="81" t="str">
        <f aca="false">IF(L3069&lt;&gt;"",L3069*1.1,"")</f>
        <v/>
      </c>
      <c r="N3069" s="47" t="n">
        <f aca="false">IF(F3069="S",L3069*0.02,0)</f>
        <v>0</v>
      </c>
      <c r="O3069" s="82" t="str">
        <f aca="false">IF(L3069&lt;&gt;"",L3069+N3069,"")</f>
        <v/>
      </c>
      <c r="P3069" s="47" t="str">
        <f aca="false">IF(O3069&lt;&gt;"",O3069*0.1,"")</f>
        <v/>
      </c>
      <c r="Q3069" s="83" t="str">
        <f aca="false">IF(O3069&lt;&gt;"",O3069+P3069,"")</f>
        <v/>
      </c>
      <c r="R3069" s="84"/>
    </row>
    <row r="3070" customFormat="false" ht="15" hidden="false" customHeight="true" outlineLevel="0" collapsed="false">
      <c r="A3070" s="103"/>
      <c r="B3070" s="73"/>
      <c r="C3070" s="74"/>
      <c r="D3070" s="75"/>
      <c r="E3070" s="52" t="str">
        <f aca="false">IF(D3070&lt;&gt;"",IFERROR(VLOOKUP(D3070,PROVEEDORES!$A:$B,2,0),"!COD NO ENCONTRADO"),"")</f>
        <v/>
      </c>
      <c r="F3070" s="76" t="str">
        <f aca="false">IF(D3070&lt;&gt;"",IFERROR(VLOOKUP(D3070,PROVEEDORES!$A:$C,3,0),""),"")</f>
        <v/>
      </c>
      <c r="G3070" s="75"/>
      <c r="H3070" s="52" t="str">
        <f aca="false">IF(G3070&lt;&gt;"",IFERROR(VLOOKUP(G3070,PRODUCTOS!$A:$B,2,0),"!COD NO ENCONTRADO"),"")</f>
        <v/>
      </c>
      <c r="I3070" s="77"/>
      <c r="J3070" s="78"/>
      <c r="K3070" s="79"/>
      <c r="L3070" s="80" t="str">
        <f aca="false">IF(AND(J3070&lt;&gt;"",K3070&lt;&gt;""),J3070*K3070,"")</f>
        <v/>
      </c>
      <c r="M3070" s="81" t="str">
        <f aca="false">IF(L3070&lt;&gt;"",L3070*1.1,"")</f>
        <v/>
      </c>
      <c r="N3070" s="53" t="n">
        <f aca="false">IF(F3070="S",L3070*0.02,0)</f>
        <v>0</v>
      </c>
      <c r="O3070" s="82" t="str">
        <f aca="false">IF(L3070&lt;&gt;"",L3070+N3070,"")</f>
        <v/>
      </c>
      <c r="P3070" s="53" t="str">
        <f aca="false">IF(O3070&lt;&gt;"",O3070*0.1,"")</f>
        <v/>
      </c>
      <c r="Q3070" s="83" t="str">
        <f aca="false">IF(O3070&lt;&gt;"",O3070+P3070,"")</f>
        <v/>
      </c>
      <c r="R3070" s="84"/>
    </row>
    <row r="3071" customFormat="false" ht="15" hidden="false" customHeight="true" outlineLevel="0" collapsed="false">
      <c r="A3071" s="103"/>
      <c r="B3071" s="85"/>
      <c r="C3071" s="86"/>
      <c r="D3071" s="87"/>
      <c r="E3071" s="46" t="str">
        <f aca="false">IF(D3071&lt;&gt;"",IFERROR(VLOOKUP(D3071,PROVEEDORES!$A:$B,2,0),"!COD NO ENCONTRADO"),"")</f>
        <v/>
      </c>
      <c r="F3071" s="88" t="str">
        <f aca="false">IF(D3071&lt;&gt;"",IFERROR(VLOOKUP(D3071,PROVEEDORES!$A:$C,3,0),""),"")</f>
        <v/>
      </c>
      <c r="G3071" s="87"/>
      <c r="H3071" s="46" t="str">
        <f aca="false">IF(G3071&lt;&gt;"",IFERROR(VLOOKUP(G3071,PRODUCTOS!$A:$B,2,0),"!COD NO ENCONTRADO"),"")</f>
        <v/>
      </c>
      <c r="I3071" s="89"/>
      <c r="J3071" s="90"/>
      <c r="K3071" s="91"/>
      <c r="L3071" s="80" t="str">
        <f aca="false">IF(AND(J3071&lt;&gt;"",K3071&lt;&gt;""),J3071*K3071,"")</f>
        <v/>
      </c>
      <c r="M3071" s="81" t="str">
        <f aca="false">IF(L3071&lt;&gt;"",L3071*1.1,"")</f>
        <v/>
      </c>
      <c r="N3071" s="47" t="n">
        <f aca="false">IF(F3071="S",L3071*0.02,0)</f>
        <v>0</v>
      </c>
      <c r="O3071" s="82" t="str">
        <f aca="false">IF(L3071&lt;&gt;"",L3071+N3071,"")</f>
        <v/>
      </c>
      <c r="P3071" s="47" t="str">
        <f aca="false">IF(O3071&lt;&gt;"",O3071*0.1,"")</f>
        <v/>
      </c>
      <c r="Q3071" s="83" t="str">
        <f aca="false">IF(O3071&lt;&gt;"",O3071+P3071,"")</f>
        <v/>
      </c>
      <c r="R3071" s="84"/>
    </row>
    <row r="3072" customFormat="false" ht="15" hidden="false" customHeight="true" outlineLevel="0" collapsed="false">
      <c r="A3072" s="103"/>
      <c r="B3072" s="73"/>
      <c r="C3072" s="74"/>
      <c r="D3072" s="75"/>
      <c r="E3072" s="52" t="str">
        <f aca="false">IF(D3072&lt;&gt;"",IFERROR(VLOOKUP(D3072,PROVEEDORES!$A:$B,2,0),"!COD NO ENCONTRADO"),"")</f>
        <v/>
      </c>
      <c r="F3072" s="76" t="str">
        <f aca="false">IF(D3072&lt;&gt;"",IFERROR(VLOOKUP(D3072,PROVEEDORES!$A:$C,3,0),""),"")</f>
        <v/>
      </c>
      <c r="G3072" s="75"/>
      <c r="H3072" s="52" t="str">
        <f aca="false">IF(G3072&lt;&gt;"",IFERROR(VLOOKUP(G3072,PRODUCTOS!$A:$B,2,0),"!COD NO ENCONTRADO"),"")</f>
        <v/>
      </c>
      <c r="I3072" s="77"/>
      <c r="J3072" s="78"/>
      <c r="K3072" s="79"/>
      <c r="L3072" s="80" t="str">
        <f aca="false">IF(AND(J3072&lt;&gt;"",K3072&lt;&gt;""),J3072*K3072,"")</f>
        <v/>
      </c>
      <c r="M3072" s="81" t="str">
        <f aca="false">IF(L3072&lt;&gt;"",L3072*1.1,"")</f>
        <v/>
      </c>
      <c r="N3072" s="53" t="n">
        <f aca="false">IF(F3072="S",L3072*0.02,0)</f>
        <v>0</v>
      </c>
      <c r="O3072" s="82" t="str">
        <f aca="false">IF(L3072&lt;&gt;"",L3072+N3072,"")</f>
        <v/>
      </c>
      <c r="P3072" s="53" t="str">
        <f aca="false">IF(O3072&lt;&gt;"",O3072*0.1,"")</f>
        <v/>
      </c>
      <c r="Q3072" s="83" t="str">
        <f aca="false">IF(O3072&lt;&gt;"",O3072+P3072,"")</f>
        <v/>
      </c>
      <c r="R3072" s="84"/>
    </row>
    <row r="3073" customFormat="false" ht="15" hidden="false" customHeight="true" outlineLevel="0" collapsed="false">
      <c r="A3073" s="103"/>
      <c r="B3073" s="85"/>
      <c r="C3073" s="86"/>
      <c r="D3073" s="87"/>
      <c r="E3073" s="46" t="str">
        <f aca="false">IF(D3073&lt;&gt;"",IFERROR(VLOOKUP(D3073,PROVEEDORES!$A:$B,2,0),"!COD NO ENCONTRADO"),"")</f>
        <v/>
      </c>
      <c r="F3073" s="88" t="str">
        <f aca="false">IF(D3073&lt;&gt;"",IFERROR(VLOOKUP(D3073,PROVEEDORES!$A:$C,3,0),""),"")</f>
        <v/>
      </c>
      <c r="G3073" s="87"/>
      <c r="H3073" s="46" t="str">
        <f aca="false">IF(G3073&lt;&gt;"",IFERROR(VLOOKUP(G3073,PRODUCTOS!$A:$B,2,0),"!COD NO ENCONTRADO"),"")</f>
        <v/>
      </c>
      <c r="I3073" s="89"/>
      <c r="J3073" s="90"/>
      <c r="K3073" s="91"/>
      <c r="L3073" s="80" t="str">
        <f aca="false">IF(AND(J3073&lt;&gt;"",K3073&lt;&gt;""),J3073*K3073,"")</f>
        <v/>
      </c>
      <c r="M3073" s="81" t="str">
        <f aca="false">IF(L3073&lt;&gt;"",L3073*1.1,"")</f>
        <v/>
      </c>
      <c r="N3073" s="47" t="n">
        <f aca="false">IF(F3073="S",L3073*0.02,0)</f>
        <v>0</v>
      </c>
      <c r="O3073" s="82" t="str">
        <f aca="false">IF(L3073&lt;&gt;"",L3073+N3073,"")</f>
        <v/>
      </c>
      <c r="P3073" s="47" t="str">
        <f aca="false">IF(O3073&lt;&gt;"",O3073*0.1,"")</f>
        <v/>
      </c>
      <c r="Q3073" s="83" t="str">
        <f aca="false">IF(O3073&lt;&gt;"",O3073+P3073,"")</f>
        <v/>
      </c>
      <c r="R3073" s="84"/>
    </row>
    <row r="3074" customFormat="false" ht="15" hidden="false" customHeight="true" outlineLevel="0" collapsed="false">
      <c r="A3074" s="103"/>
      <c r="B3074" s="73"/>
      <c r="C3074" s="74"/>
      <c r="D3074" s="75"/>
      <c r="E3074" s="52" t="str">
        <f aca="false">IF(D3074&lt;&gt;"",IFERROR(VLOOKUP(D3074,PROVEEDORES!$A:$B,2,0),"!COD NO ENCONTRADO"),"")</f>
        <v/>
      </c>
      <c r="F3074" s="76" t="str">
        <f aca="false">IF(D3074&lt;&gt;"",IFERROR(VLOOKUP(D3074,PROVEEDORES!$A:$C,3,0),""),"")</f>
        <v/>
      </c>
      <c r="G3074" s="75"/>
      <c r="H3074" s="52" t="str">
        <f aca="false">IF(G3074&lt;&gt;"",IFERROR(VLOOKUP(G3074,PRODUCTOS!$A:$B,2,0),"!COD NO ENCONTRADO"),"")</f>
        <v/>
      </c>
      <c r="I3074" s="77"/>
      <c r="J3074" s="78"/>
      <c r="K3074" s="79"/>
      <c r="L3074" s="80" t="str">
        <f aca="false">IF(AND(J3074&lt;&gt;"",K3074&lt;&gt;""),J3074*K3074,"")</f>
        <v/>
      </c>
      <c r="M3074" s="81" t="str">
        <f aca="false">IF(L3074&lt;&gt;"",L3074*1.1,"")</f>
        <v/>
      </c>
      <c r="N3074" s="53" t="n">
        <f aca="false">IF(F3074="S",L3074*0.02,0)</f>
        <v>0</v>
      </c>
      <c r="O3074" s="82" t="str">
        <f aca="false">IF(L3074&lt;&gt;"",L3074+N3074,"")</f>
        <v/>
      </c>
      <c r="P3074" s="53" t="str">
        <f aca="false">IF(O3074&lt;&gt;"",O3074*0.1,"")</f>
        <v/>
      </c>
      <c r="Q3074" s="83" t="str">
        <f aca="false">IF(O3074&lt;&gt;"",O3074+P3074,"")</f>
        <v/>
      </c>
      <c r="R3074" s="84"/>
    </row>
    <row r="3075" customFormat="false" ht="15" hidden="false" customHeight="true" outlineLevel="0" collapsed="false">
      <c r="A3075" s="103"/>
      <c r="B3075" s="85"/>
      <c r="C3075" s="86"/>
      <c r="D3075" s="87"/>
      <c r="E3075" s="46" t="str">
        <f aca="false">IF(D3075&lt;&gt;"",IFERROR(VLOOKUP(D3075,PROVEEDORES!$A:$B,2,0),"!COD NO ENCONTRADO"),"")</f>
        <v/>
      </c>
      <c r="F3075" s="88" t="str">
        <f aca="false">IF(D3075&lt;&gt;"",IFERROR(VLOOKUP(D3075,PROVEEDORES!$A:$C,3,0),""),"")</f>
        <v/>
      </c>
      <c r="G3075" s="87"/>
      <c r="H3075" s="46" t="str">
        <f aca="false">IF(G3075&lt;&gt;"",IFERROR(VLOOKUP(G3075,PRODUCTOS!$A:$B,2,0),"!COD NO ENCONTRADO"),"")</f>
        <v/>
      </c>
      <c r="I3075" s="89"/>
      <c r="J3075" s="90"/>
      <c r="K3075" s="91"/>
      <c r="L3075" s="80" t="str">
        <f aca="false">IF(AND(J3075&lt;&gt;"",K3075&lt;&gt;""),J3075*K3075,"")</f>
        <v/>
      </c>
      <c r="M3075" s="81" t="str">
        <f aca="false">IF(L3075&lt;&gt;"",L3075*1.1,"")</f>
        <v/>
      </c>
      <c r="N3075" s="47" t="n">
        <f aca="false">IF(F3075="S",L3075*0.02,0)</f>
        <v>0</v>
      </c>
      <c r="O3075" s="82" t="str">
        <f aca="false">IF(L3075&lt;&gt;"",L3075+N3075,"")</f>
        <v/>
      </c>
      <c r="P3075" s="47" t="str">
        <f aca="false">IF(O3075&lt;&gt;"",O3075*0.1,"")</f>
        <v/>
      </c>
      <c r="Q3075" s="83" t="str">
        <f aca="false">IF(O3075&lt;&gt;"",O3075+P3075,"")</f>
        <v/>
      </c>
      <c r="R3075" s="84"/>
    </row>
    <row r="3076" customFormat="false" ht="15" hidden="false" customHeight="true" outlineLevel="0" collapsed="false">
      <c r="A3076" s="103"/>
      <c r="B3076" s="73"/>
      <c r="C3076" s="74"/>
      <c r="D3076" s="75"/>
      <c r="E3076" s="52" t="str">
        <f aca="false">IF(D3076&lt;&gt;"",IFERROR(VLOOKUP(D3076,PROVEEDORES!$A:$B,2,0),"!COD NO ENCONTRADO"),"")</f>
        <v/>
      </c>
      <c r="F3076" s="76" t="str">
        <f aca="false">IF(D3076&lt;&gt;"",IFERROR(VLOOKUP(D3076,PROVEEDORES!$A:$C,3,0),""),"")</f>
        <v/>
      </c>
      <c r="G3076" s="75"/>
      <c r="H3076" s="52" t="str">
        <f aca="false">IF(G3076&lt;&gt;"",IFERROR(VLOOKUP(G3076,PRODUCTOS!$A:$B,2,0),"!COD NO ENCONTRADO"),"")</f>
        <v/>
      </c>
      <c r="I3076" s="77"/>
      <c r="J3076" s="78"/>
      <c r="K3076" s="79"/>
      <c r="L3076" s="80" t="str">
        <f aca="false">IF(AND(J3076&lt;&gt;"",K3076&lt;&gt;""),J3076*K3076,"")</f>
        <v/>
      </c>
      <c r="M3076" s="81" t="str">
        <f aca="false">IF(L3076&lt;&gt;"",L3076*1.1,"")</f>
        <v/>
      </c>
      <c r="N3076" s="53" t="n">
        <f aca="false">IF(F3076="S",L3076*0.02,0)</f>
        <v>0</v>
      </c>
      <c r="O3076" s="82" t="str">
        <f aca="false">IF(L3076&lt;&gt;"",L3076+N3076,"")</f>
        <v/>
      </c>
      <c r="P3076" s="53" t="str">
        <f aca="false">IF(O3076&lt;&gt;"",O3076*0.1,"")</f>
        <v/>
      </c>
      <c r="Q3076" s="83" t="str">
        <f aca="false">IF(O3076&lt;&gt;"",O3076+P3076,"")</f>
        <v/>
      </c>
      <c r="R3076" s="84"/>
    </row>
    <row r="3077" customFormat="false" ht="15" hidden="false" customHeight="true" outlineLevel="0" collapsed="false">
      <c r="A3077" s="103"/>
      <c r="B3077" s="85"/>
      <c r="C3077" s="86"/>
      <c r="D3077" s="87"/>
      <c r="E3077" s="46" t="str">
        <f aca="false">IF(D3077&lt;&gt;"",IFERROR(VLOOKUP(D3077,PROVEEDORES!$A:$B,2,0),"!COD NO ENCONTRADO"),"")</f>
        <v/>
      </c>
      <c r="F3077" s="88" t="str">
        <f aca="false">IF(D3077&lt;&gt;"",IFERROR(VLOOKUP(D3077,PROVEEDORES!$A:$C,3,0),""),"")</f>
        <v/>
      </c>
      <c r="G3077" s="87"/>
      <c r="H3077" s="46" t="str">
        <f aca="false">IF(G3077&lt;&gt;"",IFERROR(VLOOKUP(G3077,PRODUCTOS!$A:$B,2,0),"!COD NO ENCONTRADO"),"")</f>
        <v/>
      </c>
      <c r="I3077" s="89"/>
      <c r="J3077" s="90"/>
      <c r="K3077" s="91"/>
      <c r="L3077" s="80" t="str">
        <f aca="false">IF(AND(J3077&lt;&gt;"",K3077&lt;&gt;""),J3077*K3077,"")</f>
        <v/>
      </c>
      <c r="M3077" s="81" t="str">
        <f aca="false">IF(L3077&lt;&gt;"",L3077*1.1,"")</f>
        <v/>
      </c>
      <c r="N3077" s="47" t="n">
        <f aca="false">IF(F3077="S",L3077*0.02,0)</f>
        <v>0</v>
      </c>
      <c r="O3077" s="82" t="str">
        <f aca="false">IF(L3077&lt;&gt;"",L3077+N3077,"")</f>
        <v/>
      </c>
      <c r="P3077" s="47" t="str">
        <f aca="false">IF(O3077&lt;&gt;"",O3077*0.1,"")</f>
        <v/>
      </c>
      <c r="Q3077" s="83" t="str">
        <f aca="false">IF(O3077&lt;&gt;"",O3077+P3077,"")</f>
        <v/>
      </c>
      <c r="R3077" s="84"/>
    </row>
    <row r="3078" customFormat="false" ht="15" hidden="false" customHeight="true" outlineLevel="0" collapsed="false">
      <c r="A3078" s="103"/>
      <c r="B3078" s="73"/>
      <c r="C3078" s="74"/>
      <c r="D3078" s="75"/>
      <c r="E3078" s="52" t="str">
        <f aca="false">IF(D3078&lt;&gt;"",IFERROR(VLOOKUP(D3078,PROVEEDORES!$A:$B,2,0),"!COD NO ENCONTRADO"),"")</f>
        <v/>
      </c>
      <c r="F3078" s="76" t="str">
        <f aca="false">IF(D3078&lt;&gt;"",IFERROR(VLOOKUP(D3078,PROVEEDORES!$A:$C,3,0),""),"")</f>
        <v/>
      </c>
      <c r="G3078" s="75"/>
      <c r="H3078" s="52" t="str">
        <f aca="false">IF(G3078&lt;&gt;"",IFERROR(VLOOKUP(G3078,PRODUCTOS!$A:$B,2,0),"!COD NO ENCONTRADO"),"")</f>
        <v/>
      </c>
      <c r="I3078" s="77"/>
      <c r="J3078" s="78"/>
      <c r="K3078" s="79"/>
      <c r="L3078" s="80" t="str">
        <f aca="false">IF(AND(J3078&lt;&gt;"",K3078&lt;&gt;""),J3078*K3078,"")</f>
        <v/>
      </c>
      <c r="M3078" s="81" t="str">
        <f aca="false">IF(L3078&lt;&gt;"",L3078*1.1,"")</f>
        <v/>
      </c>
      <c r="N3078" s="53" t="n">
        <f aca="false">IF(F3078="S",L3078*0.02,0)</f>
        <v>0</v>
      </c>
      <c r="O3078" s="82" t="str">
        <f aca="false">IF(L3078&lt;&gt;"",L3078+N3078,"")</f>
        <v/>
      </c>
      <c r="P3078" s="53" t="str">
        <f aca="false">IF(O3078&lt;&gt;"",O3078*0.1,"")</f>
        <v/>
      </c>
      <c r="Q3078" s="83" t="str">
        <f aca="false">IF(O3078&lt;&gt;"",O3078+P3078,"")</f>
        <v/>
      </c>
      <c r="R3078" s="84"/>
    </row>
    <row r="3079" customFormat="false" ht="15" hidden="false" customHeight="true" outlineLevel="0" collapsed="false">
      <c r="A3079" s="103"/>
      <c r="B3079" s="85"/>
      <c r="C3079" s="86"/>
      <c r="D3079" s="87"/>
      <c r="E3079" s="46" t="str">
        <f aca="false">IF(D3079&lt;&gt;"",IFERROR(VLOOKUP(D3079,PROVEEDORES!$A:$B,2,0),"!COD NO ENCONTRADO"),"")</f>
        <v/>
      </c>
      <c r="F3079" s="88" t="str">
        <f aca="false">IF(D3079&lt;&gt;"",IFERROR(VLOOKUP(D3079,PROVEEDORES!$A:$C,3,0),""),"")</f>
        <v/>
      </c>
      <c r="G3079" s="87"/>
      <c r="H3079" s="46" t="str">
        <f aca="false">IF(G3079&lt;&gt;"",IFERROR(VLOOKUP(G3079,PRODUCTOS!$A:$B,2,0),"!COD NO ENCONTRADO"),"")</f>
        <v/>
      </c>
      <c r="I3079" s="89"/>
      <c r="J3079" s="90"/>
      <c r="K3079" s="91"/>
      <c r="L3079" s="80" t="str">
        <f aca="false">IF(AND(J3079&lt;&gt;"",K3079&lt;&gt;""),J3079*K3079,"")</f>
        <v/>
      </c>
      <c r="M3079" s="81" t="str">
        <f aca="false">IF(L3079&lt;&gt;"",L3079*1.1,"")</f>
        <v/>
      </c>
      <c r="N3079" s="47" t="n">
        <f aca="false">IF(F3079="S",L3079*0.02,0)</f>
        <v>0</v>
      </c>
      <c r="O3079" s="82" t="str">
        <f aca="false">IF(L3079&lt;&gt;"",L3079+N3079,"")</f>
        <v/>
      </c>
      <c r="P3079" s="47" t="str">
        <f aca="false">IF(O3079&lt;&gt;"",O3079*0.1,"")</f>
        <v/>
      </c>
      <c r="Q3079" s="83" t="str">
        <f aca="false">IF(O3079&lt;&gt;"",O3079+P3079,"")</f>
        <v/>
      </c>
      <c r="R3079" s="84"/>
    </row>
    <row r="3080" customFormat="false" ht="15" hidden="false" customHeight="true" outlineLevel="0" collapsed="false">
      <c r="A3080" s="103"/>
      <c r="B3080" s="73"/>
      <c r="C3080" s="74"/>
      <c r="D3080" s="75"/>
      <c r="E3080" s="52" t="str">
        <f aca="false">IF(D3080&lt;&gt;"",IFERROR(VLOOKUP(D3080,PROVEEDORES!$A:$B,2,0),"!COD NO ENCONTRADO"),"")</f>
        <v/>
      </c>
      <c r="F3080" s="76" t="str">
        <f aca="false">IF(D3080&lt;&gt;"",IFERROR(VLOOKUP(D3080,PROVEEDORES!$A:$C,3,0),""),"")</f>
        <v/>
      </c>
      <c r="G3080" s="75"/>
      <c r="H3080" s="52" t="str">
        <f aca="false">IF(G3080&lt;&gt;"",IFERROR(VLOOKUP(G3080,PRODUCTOS!$A:$B,2,0),"!COD NO ENCONTRADO"),"")</f>
        <v/>
      </c>
      <c r="I3080" s="77"/>
      <c r="J3080" s="78"/>
      <c r="K3080" s="79"/>
      <c r="L3080" s="80" t="str">
        <f aca="false">IF(AND(J3080&lt;&gt;"",K3080&lt;&gt;""),J3080*K3080,"")</f>
        <v/>
      </c>
      <c r="M3080" s="81" t="str">
        <f aca="false">IF(L3080&lt;&gt;"",L3080*1.1,"")</f>
        <v/>
      </c>
      <c r="N3080" s="53" t="n">
        <f aca="false">IF(F3080="S",L3080*0.02,0)</f>
        <v>0</v>
      </c>
      <c r="O3080" s="82" t="str">
        <f aca="false">IF(L3080&lt;&gt;"",L3080+N3080,"")</f>
        <v/>
      </c>
      <c r="P3080" s="53" t="str">
        <f aca="false">IF(O3080&lt;&gt;"",O3080*0.1,"")</f>
        <v/>
      </c>
      <c r="Q3080" s="83" t="str">
        <f aca="false">IF(O3080&lt;&gt;"",O3080+P3080,"")</f>
        <v/>
      </c>
      <c r="R3080" s="84"/>
    </row>
    <row r="3081" customFormat="false" ht="15" hidden="false" customHeight="true" outlineLevel="0" collapsed="false">
      <c r="A3081" s="103"/>
      <c r="B3081" s="85"/>
      <c r="C3081" s="86"/>
      <c r="D3081" s="87"/>
      <c r="E3081" s="46" t="str">
        <f aca="false">IF(D3081&lt;&gt;"",IFERROR(VLOOKUP(D3081,PROVEEDORES!$A:$B,2,0),"!COD NO ENCONTRADO"),"")</f>
        <v/>
      </c>
      <c r="F3081" s="88" t="str">
        <f aca="false">IF(D3081&lt;&gt;"",IFERROR(VLOOKUP(D3081,PROVEEDORES!$A:$C,3,0),""),"")</f>
        <v/>
      </c>
      <c r="G3081" s="87"/>
      <c r="H3081" s="46" t="str">
        <f aca="false">IF(G3081&lt;&gt;"",IFERROR(VLOOKUP(G3081,PRODUCTOS!$A:$B,2,0),"!COD NO ENCONTRADO"),"")</f>
        <v/>
      </c>
      <c r="I3081" s="89"/>
      <c r="J3081" s="90"/>
      <c r="K3081" s="91"/>
      <c r="L3081" s="80" t="str">
        <f aca="false">IF(AND(J3081&lt;&gt;"",K3081&lt;&gt;""),J3081*K3081,"")</f>
        <v/>
      </c>
      <c r="M3081" s="81" t="str">
        <f aca="false">IF(L3081&lt;&gt;"",L3081*1.1,"")</f>
        <v/>
      </c>
      <c r="N3081" s="47" t="n">
        <f aca="false">IF(F3081="S",L3081*0.02,0)</f>
        <v>0</v>
      </c>
      <c r="O3081" s="82" t="str">
        <f aca="false">IF(L3081&lt;&gt;"",L3081+N3081,"")</f>
        <v/>
      </c>
      <c r="P3081" s="47" t="str">
        <f aca="false">IF(O3081&lt;&gt;"",O3081*0.1,"")</f>
        <v/>
      </c>
      <c r="Q3081" s="83" t="str">
        <f aca="false">IF(O3081&lt;&gt;"",O3081+P3081,"")</f>
        <v/>
      </c>
      <c r="R3081" s="84"/>
    </row>
    <row r="3082" customFormat="false" ht="15" hidden="false" customHeight="true" outlineLevel="0" collapsed="false">
      <c r="A3082" s="103"/>
      <c r="B3082" s="73"/>
      <c r="C3082" s="74"/>
      <c r="D3082" s="75"/>
      <c r="E3082" s="52" t="str">
        <f aca="false">IF(D3082&lt;&gt;"",IFERROR(VLOOKUP(D3082,PROVEEDORES!$A:$B,2,0),"!COD NO ENCONTRADO"),"")</f>
        <v/>
      </c>
      <c r="F3082" s="76" t="str">
        <f aca="false">IF(D3082&lt;&gt;"",IFERROR(VLOOKUP(D3082,PROVEEDORES!$A:$C,3,0),""),"")</f>
        <v/>
      </c>
      <c r="G3082" s="75"/>
      <c r="H3082" s="52" t="str">
        <f aca="false">IF(G3082&lt;&gt;"",IFERROR(VLOOKUP(G3082,PRODUCTOS!$A:$B,2,0),"!COD NO ENCONTRADO"),"")</f>
        <v/>
      </c>
      <c r="I3082" s="77"/>
      <c r="J3082" s="78"/>
      <c r="K3082" s="79"/>
      <c r="L3082" s="80" t="str">
        <f aca="false">IF(AND(J3082&lt;&gt;"",K3082&lt;&gt;""),J3082*K3082,"")</f>
        <v/>
      </c>
      <c r="M3082" s="81" t="str">
        <f aca="false">IF(L3082&lt;&gt;"",L3082*1.1,"")</f>
        <v/>
      </c>
      <c r="N3082" s="53" t="n">
        <f aca="false">IF(F3082="S",L3082*0.02,0)</f>
        <v>0</v>
      </c>
      <c r="O3082" s="82" t="str">
        <f aca="false">IF(L3082&lt;&gt;"",L3082+N3082,"")</f>
        <v/>
      </c>
      <c r="P3082" s="53" t="str">
        <f aca="false">IF(O3082&lt;&gt;"",O3082*0.1,"")</f>
        <v/>
      </c>
      <c r="Q3082" s="83" t="str">
        <f aca="false">IF(O3082&lt;&gt;"",O3082+P3082,"")</f>
        <v/>
      </c>
      <c r="R3082" s="84"/>
    </row>
    <row r="3083" customFormat="false" ht="15" hidden="false" customHeight="true" outlineLevel="0" collapsed="false">
      <c r="A3083" s="103"/>
      <c r="B3083" s="85"/>
      <c r="C3083" s="86"/>
      <c r="D3083" s="87"/>
      <c r="E3083" s="46" t="str">
        <f aca="false">IF(D3083&lt;&gt;"",IFERROR(VLOOKUP(D3083,PROVEEDORES!$A:$B,2,0),"!COD NO ENCONTRADO"),"")</f>
        <v/>
      </c>
      <c r="F3083" s="88" t="str">
        <f aca="false">IF(D3083&lt;&gt;"",IFERROR(VLOOKUP(D3083,PROVEEDORES!$A:$C,3,0),""),"")</f>
        <v/>
      </c>
      <c r="G3083" s="87"/>
      <c r="H3083" s="46" t="str">
        <f aca="false">IF(G3083&lt;&gt;"",IFERROR(VLOOKUP(G3083,PRODUCTOS!$A:$B,2,0),"!COD NO ENCONTRADO"),"")</f>
        <v/>
      </c>
      <c r="I3083" s="89"/>
      <c r="J3083" s="90"/>
      <c r="K3083" s="91"/>
      <c r="L3083" s="80" t="str">
        <f aca="false">IF(AND(J3083&lt;&gt;"",K3083&lt;&gt;""),J3083*K3083,"")</f>
        <v/>
      </c>
      <c r="M3083" s="81" t="str">
        <f aca="false">IF(L3083&lt;&gt;"",L3083*1.1,"")</f>
        <v/>
      </c>
      <c r="N3083" s="47" t="n">
        <f aca="false">IF(F3083="S",L3083*0.02,0)</f>
        <v>0</v>
      </c>
      <c r="O3083" s="82" t="str">
        <f aca="false">IF(L3083&lt;&gt;"",L3083+N3083,"")</f>
        <v/>
      </c>
      <c r="P3083" s="47" t="str">
        <f aca="false">IF(O3083&lt;&gt;"",O3083*0.1,"")</f>
        <v/>
      </c>
      <c r="Q3083" s="83" t="str">
        <f aca="false">IF(O3083&lt;&gt;"",O3083+P3083,"")</f>
        <v/>
      </c>
      <c r="R3083" s="84"/>
    </row>
    <row r="3084" customFormat="false" ht="15" hidden="false" customHeight="true" outlineLevel="0" collapsed="false">
      <c r="A3084" s="103"/>
      <c r="B3084" s="73"/>
      <c r="C3084" s="74"/>
      <c r="D3084" s="75"/>
      <c r="E3084" s="52" t="str">
        <f aca="false">IF(D3084&lt;&gt;"",IFERROR(VLOOKUP(D3084,PROVEEDORES!$A:$B,2,0),"!COD NO ENCONTRADO"),"")</f>
        <v/>
      </c>
      <c r="F3084" s="76" t="str">
        <f aca="false">IF(D3084&lt;&gt;"",IFERROR(VLOOKUP(D3084,PROVEEDORES!$A:$C,3,0),""),"")</f>
        <v/>
      </c>
      <c r="G3084" s="75"/>
      <c r="H3084" s="52" t="str">
        <f aca="false">IF(G3084&lt;&gt;"",IFERROR(VLOOKUP(G3084,PRODUCTOS!$A:$B,2,0),"!COD NO ENCONTRADO"),"")</f>
        <v/>
      </c>
      <c r="I3084" s="77"/>
      <c r="J3084" s="78"/>
      <c r="K3084" s="79"/>
      <c r="L3084" s="80" t="str">
        <f aca="false">IF(AND(J3084&lt;&gt;"",K3084&lt;&gt;""),J3084*K3084,"")</f>
        <v/>
      </c>
      <c r="M3084" s="81" t="str">
        <f aca="false">IF(L3084&lt;&gt;"",L3084*1.1,"")</f>
        <v/>
      </c>
      <c r="N3084" s="53" t="n">
        <f aca="false">IF(F3084="S",L3084*0.02,0)</f>
        <v>0</v>
      </c>
      <c r="O3084" s="82" t="str">
        <f aca="false">IF(L3084&lt;&gt;"",L3084+N3084,"")</f>
        <v/>
      </c>
      <c r="P3084" s="53" t="str">
        <f aca="false">IF(O3084&lt;&gt;"",O3084*0.1,"")</f>
        <v/>
      </c>
      <c r="Q3084" s="83" t="str">
        <f aca="false">IF(O3084&lt;&gt;"",O3084+P3084,"")</f>
        <v/>
      </c>
      <c r="R3084" s="84"/>
    </row>
    <row r="3085" customFormat="false" ht="15" hidden="false" customHeight="true" outlineLevel="0" collapsed="false">
      <c r="A3085" s="103"/>
      <c r="B3085" s="85"/>
      <c r="C3085" s="86"/>
      <c r="D3085" s="87"/>
      <c r="E3085" s="46" t="str">
        <f aca="false">IF(D3085&lt;&gt;"",IFERROR(VLOOKUP(D3085,PROVEEDORES!$A:$B,2,0),"!COD NO ENCONTRADO"),"")</f>
        <v/>
      </c>
      <c r="F3085" s="88" t="str">
        <f aca="false">IF(D3085&lt;&gt;"",IFERROR(VLOOKUP(D3085,PROVEEDORES!$A:$C,3,0),""),"")</f>
        <v/>
      </c>
      <c r="G3085" s="87"/>
      <c r="H3085" s="46" t="str">
        <f aca="false">IF(G3085&lt;&gt;"",IFERROR(VLOOKUP(G3085,PRODUCTOS!$A:$B,2,0),"!COD NO ENCONTRADO"),"")</f>
        <v/>
      </c>
      <c r="I3085" s="89"/>
      <c r="J3085" s="90"/>
      <c r="K3085" s="91"/>
      <c r="L3085" s="80" t="str">
        <f aca="false">IF(AND(J3085&lt;&gt;"",K3085&lt;&gt;""),J3085*K3085,"")</f>
        <v/>
      </c>
      <c r="M3085" s="81" t="str">
        <f aca="false">IF(L3085&lt;&gt;"",L3085*1.1,"")</f>
        <v/>
      </c>
      <c r="N3085" s="47" t="n">
        <f aca="false">IF(F3085="S",L3085*0.02,0)</f>
        <v>0</v>
      </c>
      <c r="O3085" s="82" t="str">
        <f aca="false">IF(L3085&lt;&gt;"",L3085+N3085,"")</f>
        <v/>
      </c>
      <c r="P3085" s="47" t="str">
        <f aca="false">IF(O3085&lt;&gt;"",O3085*0.1,"")</f>
        <v/>
      </c>
      <c r="Q3085" s="83" t="str">
        <f aca="false">IF(O3085&lt;&gt;"",O3085+P3085,"")</f>
        <v/>
      </c>
      <c r="R3085" s="84"/>
    </row>
    <row r="3086" customFormat="false" ht="15" hidden="false" customHeight="true" outlineLevel="0" collapsed="false">
      <c r="A3086" s="103"/>
      <c r="B3086" s="73"/>
      <c r="C3086" s="74"/>
      <c r="D3086" s="75"/>
      <c r="E3086" s="52" t="str">
        <f aca="false">IF(D3086&lt;&gt;"",IFERROR(VLOOKUP(D3086,PROVEEDORES!$A:$B,2,0),"!COD NO ENCONTRADO"),"")</f>
        <v/>
      </c>
      <c r="F3086" s="76" t="str">
        <f aca="false">IF(D3086&lt;&gt;"",IFERROR(VLOOKUP(D3086,PROVEEDORES!$A:$C,3,0),""),"")</f>
        <v/>
      </c>
      <c r="G3086" s="75"/>
      <c r="H3086" s="52" t="str">
        <f aca="false">IF(G3086&lt;&gt;"",IFERROR(VLOOKUP(G3086,PRODUCTOS!$A:$B,2,0),"!COD NO ENCONTRADO"),"")</f>
        <v/>
      </c>
      <c r="I3086" s="77"/>
      <c r="J3086" s="78"/>
      <c r="K3086" s="79"/>
      <c r="L3086" s="80" t="str">
        <f aca="false">IF(AND(J3086&lt;&gt;"",K3086&lt;&gt;""),J3086*K3086,"")</f>
        <v/>
      </c>
      <c r="M3086" s="81" t="str">
        <f aca="false">IF(L3086&lt;&gt;"",L3086*1.1,"")</f>
        <v/>
      </c>
      <c r="N3086" s="53" t="n">
        <f aca="false">IF(F3086="S",L3086*0.02,0)</f>
        <v>0</v>
      </c>
      <c r="O3086" s="82" t="str">
        <f aca="false">IF(L3086&lt;&gt;"",L3086+N3086,"")</f>
        <v/>
      </c>
      <c r="P3086" s="53" t="str">
        <f aca="false">IF(O3086&lt;&gt;"",O3086*0.1,"")</f>
        <v/>
      </c>
      <c r="Q3086" s="83" t="str">
        <f aca="false">IF(O3086&lt;&gt;"",O3086+P3086,"")</f>
        <v/>
      </c>
      <c r="R3086" s="84"/>
    </row>
    <row r="3087" customFormat="false" ht="15" hidden="false" customHeight="true" outlineLevel="0" collapsed="false">
      <c r="A3087" s="103"/>
      <c r="B3087" s="85"/>
      <c r="C3087" s="86"/>
      <c r="D3087" s="87"/>
      <c r="E3087" s="46" t="str">
        <f aca="false">IF(D3087&lt;&gt;"",IFERROR(VLOOKUP(D3087,PROVEEDORES!$A:$B,2,0),"!COD NO ENCONTRADO"),"")</f>
        <v/>
      </c>
      <c r="F3087" s="88" t="str">
        <f aca="false">IF(D3087&lt;&gt;"",IFERROR(VLOOKUP(D3087,PROVEEDORES!$A:$C,3,0),""),"")</f>
        <v/>
      </c>
      <c r="G3087" s="87"/>
      <c r="H3087" s="46" t="str">
        <f aca="false">IF(G3087&lt;&gt;"",IFERROR(VLOOKUP(G3087,PRODUCTOS!$A:$B,2,0),"!COD NO ENCONTRADO"),"")</f>
        <v/>
      </c>
      <c r="I3087" s="89"/>
      <c r="J3087" s="90"/>
      <c r="K3087" s="91"/>
      <c r="L3087" s="80" t="str">
        <f aca="false">IF(AND(J3087&lt;&gt;"",K3087&lt;&gt;""),J3087*K3087,"")</f>
        <v/>
      </c>
      <c r="M3087" s="81" t="str">
        <f aca="false">IF(L3087&lt;&gt;"",L3087*1.1,"")</f>
        <v/>
      </c>
      <c r="N3087" s="47" t="n">
        <f aca="false">IF(F3087="S",L3087*0.02,0)</f>
        <v>0</v>
      </c>
      <c r="O3087" s="82" t="str">
        <f aca="false">IF(L3087&lt;&gt;"",L3087+N3087,"")</f>
        <v/>
      </c>
      <c r="P3087" s="47" t="str">
        <f aca="false">IF(O3087&lt;&gt;"",O3087*0.1,"")</f>
        <v/>
      </c>
      <c r="Q3087" s="83" t="str">
        <f aca="false">IF(O3087&lt;&gt;"",O3087+P3087,"")</f>
        <v/>
      </c>
      <c r="R3087" s="84"/>
    </row>
    <row r="3088" customFormat="false" ht="15" hidden="false" customHeight="true" outlineLevel="0" collapsed="false">
      <c r="A3088" s="103"/>
      <c r="B3088" s="73"/>
      <c r="C3088" s="74"/>
      <c r="D3088" s="75"/>
      <c r="E3088" s="52" t="str">
        <f aca="false">IF(D3088&lt;&gt;"",IFERROR(VLOOKUP(D3088,PROVEEDORES!$A:$B,2,0),"!COD NO ENCONTRADO"),"")</f>
        <v/>
      </c>
      <c r="F3088" s="76" t="str">
        <f aca="false">IF(D3088&lt;&gt;"",IFERROR(VLOOKUP(D3088,PROVEEDORES!$A:$C,3,0),""),"")</f>
        <v/>
      </c>
      <c r="G3088" s="75"/>
      <c r="H3088" s="52" t="str">
        <f aca="false">IF(G3088&lt;&gt;"",IFERROR(VLOOKUP(G3088,PRODUCTOS!$A:$B,2,0),"!COD NO ENCONTRADO"),"")</f>
        <v/>
      </c>
      <c r="I3088" s="77"/>
      <c r="J3088" s="78"/>
      <c r="K3088" s="79"/>
      <c r="L3088" s="80" t="str">
        <f aca="false">IF(AND(J3088&lt;&gt;"",K3088&lt;&gt;""),J3088*K3088,"")</f>
        <v/>
      </c>
      <c r="M3088" s="81" t="str">
        <f aca="false">IF(L3088&lt;&gt;"",L3088*1.1,"")</f>
        <v/>
      </c>
      <c r="N3088" s="53" t="n">
        <f aca="false">IF(F3088="S",L3088*0.02,0)</f>
        <v>0</v>
      </c>
      <c r="O3088" s="82" t="str">
        <f aca="false">IF(L3088&lt;&gt;"",L3088+N3088,"")</f>
        <v/>
      </c>
      <c r="P3088" s="53" t="str">
        <f aca="false">IF(O3088&lt;&gt;"",O3088*0.1,"")</f>
        <v/>
      </c>
      <c r="Q3088" s="83" t="str">
        <f aca="false">IF(O3088&lt;&gt;"",O3088+P3088,"")</f>
        <v/>
      </c>
      <c r="R3088" s="84"/>
    </row>
    <row r="3089" customFormat="false" ht="15" hidden="false" customHeight="true" outlineLevel="0" collapsed="false">
      <c r="A3089" s="103"/>
      <c r="B3089" s="85"/>
      <c r="C3089" s="86"/>
      <c r="D3089" s="87"/>
      <c r="E3089" s="46" t="str">
        <f aca="false">IF(D3089&lt;&gt;"",IFERROR(VLOOKUP(D3089,PROVEEDORES!$A:$B,2,0),"!COD NO ENCONTRADO"),"")</f>
        <v/>
      </c>
      <c r="F3089" s="88" t="str">
        <f aca="false">IF(D3089&lt;&gt;"",IFERROR(VLOOKUP(D3089,PROVEEDORES!$A:$C,3,0),""),"")</f>
        <v/>
      </c>
      <c r="G3089" s="87"/>
      <c r="H3089" s="46" t="str">
        <f aca="false">IF(G3089&lt;&gt;"",IFERROR(VLOOKUP(G3089,PRODUCTOS!$A:$B,2,0),"!COD NO ENCONTRADO"),"")</f>
        <v/>
      </c>
      <c r="I3089" s="89"/>
      <c r="J3089" s="90"/>
      <c r="K3089" s="91"/>
      <c r="L3089" s="80" t="str">
        <f aca="false">IF(AND(J3089&lt;&gt;"",K3089&lt;&gt;""),J3089*K3089,"")</f>
        <v/>
      </c>
      <c r="M3089" s="81" t="str">
        <f aca="false">IF(L3089&lt;&gt;"",L3089*1.1,"")</f>
        <v/>
      </c>
      <c r="N3089" s="47" t="n">
        <f aca="false">IF(F3089="S",L3089*0.02,0)</f>
        <v>0</v>
      </c>
      <c r="O3089" s="82" t="str">
        <f aca="false">IF(L3089&lt;&gt;"",L3089+N3089,"")</f>
        <v/>
      </c>
      <c r="P3089" s="47" t="str">
        <f aca="false">IF(O3089&lt;&gt;"",O3089*0.1,"")</f>
        <v/>
      </c>
      <c r="Q3089" s="83" t="str">
        <f aca="false">IF(O3089&lt;&gt;"",O3089+P3089,"")</f>
        <v/>
      </c>
      <c r="R3089" s="84"/>
    </row>
    <row r="3090" customFormat="false" ht="15" hidden="false" customHeight="true" outlineLevel="0" collapsed="false">
      <c r="A3090" s="103"/>
      <c r="B3090" s="73"/>
      <c r="C3090" s="74"/>
      <c r="D3090" s="75"/>
      <c r="E3090" s="52" t="str">
        <f aca="false">IF(D3090&lt;&gt;"",IFERROR(VLOOKUP(D3090,PROVEEDORES!$A:$B,2,0),"!COD NO ENCONTRADO"),"")</f>
        <v/>
      </c>
      <c r="F3090" s="76" t="str">
        <f aca="false">IF(D3090&lt;&gt;"",IFERROR(VLOOKUP(D3090,PROVEEDORES!$A:$C,3,0),""),"")</f>
        <v/>
      </c>
      <c r="G3090" s="75"/>
      <c r="H3090" s="52" t="str">
        <f aca="false">IF(G3090&lt;&gt;"",IFERROR(VLOOKUP(G3090,PRODUCTOS!$A:$B,2,0),"!COD NO ENCONTRADO"),"")</f>
        <v/>
      </c>
      <c r="I3090" s="77"/>
      <c r="J3090" s="78"/>
      <c r="K3090" s="79"/>
      <c r="L3090" s="80" t="str">
        <f aca="false">IF(AND(J3090&lt;&gt;"",K3090&lt;&gt;""),J3090*K3090,"")</f>
        <v/>
      </c>
      <c r="M3090" s="81" t="str">
        <f aca="false">IF(L3090&lt;&gt;"",L3090*1.1,"")</f>
        <v/>
      </c>
      <c r="N3090" s="53" t="n">
        <f aca="false">IF(F3090="S",L3090*0.02,0)</f>
        <v>0</v>
      </c>
      <c r="O3090" s="82" t="str">
        <f aca="false">IF(L3090&lt;&gt;"",L3090+N3090,"")</f>
        <v/>
      </c>
      <c r="P3090" s="53" t="str">
        <f aca="false">IF(O3090&lt;&gt;"",O3090*0.1,"")</f>
        <v/>
      </c>
      <c r="Q3090" s="83" t="str">
        <f aca="false">IF(O3090&lt;&gt;"",O3090+P3090,"")</f>
        <v/>
      </c>
      <c r="R3090" s="84"/>
    </row>
    <row r="3091" customFormat="false" ht="15" hidden="false" customHeight="true" outlineLevel="0" collapsed="false">
      <c r="A3091" s="103"/>
      <c r="B3091" s="85"/>
      <c r="C3091" s="86"/>
      <c r="D3091" s="87"/>
      <c r="E3091" s="46" t="str">
        <f aca="false">IF(D3091&lt;&gt;"",IFERROR(VLOOKUP(D3091,PROVEEDORES!$A:$B,2,0),"!COD NO ENCONTRADO"),"")</f>
        <v/>
      </c>
      <c r="F3091" s="88" t="str">
        <f aca="false">IF(D3091&lt;&gt;"",IFERROR(VLOOKUP(D3091,PROVEEDORES!$A:$C,3,0),""),"")</f>
        <v/>
      </c>
      <c r="G3091" s="87"/>
      <c r="H3091" s="46" t="str">
        <f aca="false">IF(G3091&lt;&gt;"",IFERROR(VLOOKUP(G3091,PRODUCTOS!$A:$B,2,0),"!COD NO ENCONTRADO"),"")</f>
        <v/>
      </c>
      <c r="I3091" s="89"/>
      <c r="J3091" s="90"/>
      <c r="K3091" s="91"/>
      <c r="L3091" s="80" t="str">
        <f aca="false">IF(AND(J3091&lt;&gt;"",K3091&lt;&gt;""),J3091*K3091,"")</f>
        <v/>
      </c>
      <c r="M3091" s="81" t="str">
        <f aca="false">IF(L3091&lt;&gt;"",L3091*1.1,"")</f>
        <v/>
      </c>
      <c r="N3091" s="47" t="n">
        <f aca="false">IF(F3091="S",L3091*0.02,0)</f>
        <v>0</v>
      </c>
      <c r="O3091" s="82" t="str">
        <f aca="false">IF(L3091&lt;&gt;"",L3091+N3091,"")</f>
        <v/>
      </c>
      <c r="P3091" s="47" t="str">
        <f aca="false">IF(O3091&lt;&gt;"",O3091*0.1,"")</f>
        <v/>
      </c>
      <c r="Q3091" s="83" t="str">
        <f aca="false">IF(O3091&lt;&gt;"",O3091+P3091,"")</f>
        <v/>
      </c>
      <c r="R3091" s="84"/>
    </row>
    <row r="3092" customFormat="false" ht="15" hidden="false" customHeight="true" outlineLevel="0" collapsed="false">
      <c r="A3092" s="103"/>
      <c r="B3092" s="73"/>
      <c r="C3092" s="74"/>
      <c r="D3092" s="75"/>
      <c r="E3092" s="52" t="str">
        <f aca="false">IF(D3092&lt;&gt;"",IFERROR(VLOOKUP(D3092,PROVEEDORES!$A:$B,2,0),"!COD NO ENCONTRADO"),"")</f>
        <v/>
      </c>
      <c r="F3092" s="76" t="str">
        <f aca="false">IF(D3092&lt;&gt;"",IFERROR(VLOOKUP(D3092,PROVEEDORES!$A:$C,3,0),""),"")</f>
        <v/>
      </c>
      <c r="G3092" s="75"/>
      <c r="H3092" s="52" t="str">
        <f aca="false">IF(G3092&lt;&gt;"",IFERROR(VLOOKUP(G3092,PRODUCTOS!$A:$B,2,0),"!COD NO ENCONTRADO"),"")</f>
        <v/>
      </c>
      <c r="I3092" s="77"/>
      <c r="J3092" s="78"/>
      <c r="K3092" s="79"/>
      <c r="L3092" s="80" t="str">
        <f aca="false">IF(AND(J3092&lt;&gt;"",K3092&lt;&gt;""),J3092*K3092,"")</f>
        <v/>
      </c>
      <c r="M3092" s="81" t="str">
        <f aca="false">IF(L3092&lt;&gt;"",L3092*1.1,"")</f>
        <v/>
      </c>
      <c r="N3092" s="53" t="n">
        <f aca="false">IF(F3092="S",L3092*0.02,0)</f>
        <v>0</v>
      </c>
      <c r="O3092" s="82" t="str">
        <f aca="false">IF(L3092&lt;&gt;"",L3092+N3092,"")</f>
        <v/>
      </c>
      <c r="P3092" s="53" t="str">
        <f aca="false">IF(O3092&lt;&gt;"",O3092*0.1,"")</f>
        <v/>
      </c>
      <c r="Q3092" s="83" t="str">
        <f aca="false">IF(O3092&lt;&gt;"",O3092+P3092,"")</f>
        <v/>
      </c>
      <c r="R3092" s="84"/>
    </row>
    <row r="3093" customFormat="false" ht="15" hidden="false" customHeight="true" outlineLevel="0" collapsed="false">
      <c r="A3093" s="103"/>
      <c r="B3093" s="85"/>
      <c r="C3093" s="86"/>
      <c r="D3093" s="87"/>
      <c r="E3093" s="46" t="str">
        <f aca="false">IF(D3093&lt;&gt;"",IFERROR(VLOOKUP(D3093,PROVEEDORES!$A:$B,2,0),"!COD NO ENCONTRADO"),"")</f>
        <v/>
      </c>
      <c r="F3093" s="88" t="str">
        <f aca="false">IF(D3093&lt;&gt;"",IFERROR(VLOOKUP(D3093,PROVEEDORES!$A:$C,3,0),""),"")</f>
        <v/>
      </c>
      <c r="G3093" s="87"/>
      <c r="H3093" s="46" t="str">
        <f aca="false">IF(G3093&lt;&gt;"",IFERROR(VLOOKUP(G3093,PRODUCTOS!$A:$B,2,0),"!COD NO ENCONTRADO"),"")</f>
        <v/>
      </c>
      <c r="I3093" s="89"/>
      <c r="J3093" s="90"/>
      <c r="K3093" s="91"/>
      <c r="L3093" s="80" t="str">
        <f aca="false">IF(AND(J3093&lt;&gt;"",K3093&lt;&gt;""),J3093*K3093,"")</f>
        <v/>
      </c>
      <c r="M3093" s="81" t="str">
        <f aca="false">IF(L3093&lt;&gt;"",L3093*1.1,"")</f>
        <v/>
      </c>
      <c r="N3093" s="47" t="n">
        <f aca="false">IF(F3093="S",L3093*0.02,0)</f>
        <v>0</v>
      </c>
      <c r="O3093" s="82" t="str">
        <f aca="false">IF(L3093&lt;&gt;"",L3093+N3093,"")</f>
        <v/>
      </c>
      <c r="P3093" s="47" t="str">
        <f aca="false">IF(O3093&lt;&gt;"",O3093*0.1,"")</f>
        <v/>
      </c>
      <c r="Q3093" s="83" t="str">
        <f aca="false">IF(O3093&lt;&gt;"",O3093+P3093,"")</f>
        <v/>
      </c>
      <c r="R3093" s="84"/>
    </row>
    <row r="3094" customFormat="false" ht="15" hidden="false" customHeight="true" outlineLevel="0" collapsed="false">
      <c r="A3094" s="103"/>
      <c r="B3094" s="73"/>
      <c r="C3094" s="74"/>
      <c r="D3094" s="75"/>
      <c r="E3094" s="52" t="str">
        <f aca="false">IF(D3094&lt;&gt;"",IFERROR(VLOOKUP(D3094,PROVEEDORES!$A:$B,2,0),"!COD NO ENCONTRADO"),"")</f>
        <v/>
      </c>
      <c r="F3094" s="76" t="str">
        <f aca="false">IF(D3094&lt;&gt;"",IFERROR(VLOOKUP(D3094,PROVEEDORES!$A:$C,3,0),""),"")</f>
        <v/>
      </c>
      <c r="G3094" s="75"/>
      <c r="H3094" s="52" t="str">
        <f aca="false">IF(G3094&lt;&gt;"",IFERROR(VLOOKUP(G3094,PRODUCTOS!$A:$B,2,0),"!COD NO ENCONTRADO"),"")</f>
        <v/>
      </c>
      <c r="I3094" s="77"/>
      <c r="J3094" s="78"/>
      <c r="K3094" s="79"/>
      <c r="L3094" s="80" t="str">
        <f aca="false">IF(AND(J3094&lt;&gt;"",K3094&lt;&gt;""),J3094*K3094,"")</f>
        <v/>
      </c>
      <c r="M3094" s="81" t="str">
        <f aca="false">IF(L3094&lt;&gt;"",L3094*1.1,"")</f>
        <v/>
      </c>
      <c r="N3094" s="53" t="n">
        <f aca="false">IF(F3094="S",L3094*0.02,0)</f>
        <v>0</v>
      </c>
      <c r="O3094" s="82" t="str">
        <f aca="false">IF(L3094&lt;&gt;"",L3094+N3094,"")</f>
        <v/>
      </c>
      <c r="P3094" s="53" t="str">
        <f aca="false">IF(O3094&lt;&gt;"",O3094*0.1,"")</f>
        <v/>
      </c>
      <c r="Q3094" s="83" t="str">
        <f aca="false">IF(O3094&lt;&gt;"",O3094+P3094,"")</f>
        <v/>
      </c>
      <c r="R3094" s="84"/>
    </row>
    <row r="3095" customFormat="false" ht="15" hidden="false" customHeight="true" outlineLevel="0" collapsed="false">
      <c r="A3095" s="103"/>
      <c r="B3095" s="85"/>
      <c r="C3095" s="86"/>
      <c r="D3095" s="87"/>
      <c r="E3095" s="46" t="str">
        <f aca="false">IF(D3095&lt;&gt;"",IFERROR(VLOOKUP(D3095,PROVEEDORES!$A:$B,2,0),"!COD NO ENCONTRADO"),"")</f>
        <v/>
      </c>
      <c r="F3095" s="88" t="str">
        <f aca="false">IF(D3095&lt;&gt;"",IFERROR(VLOOKUP(D3095,PROVEEDORES!$A:$C,3,0),""),"")</f>
        <v/>
      </c>
      <c r="G3095" s="87"/>
      <c r="H3095" s="46" t="str">
        <f aca="false">IF(G3095&lt;&gt;"",IFERROR(VLOOKUP(G3095,PRODUCTOS!$A:$B,2,0),"!COD NO ENCONTRADO"),"")</f>
        <v/>
      </c>
      <c r="I3095" s="89"/>
      <c r="J3095" s="90"/>
      <c r="K3095" s="91"/>
      <c r="L3095" s="80" t="str">
        <f aca="false">IF(AND(J3095&lt;&gt;"",K3095&lt;&gt;""),J3095*K3095,"")</f>
        <v/>
      </c>
      <c r="M3095" s="81" t="str">
        <f aca="false">IF(L3095&lt;&gt;"",L3095*1.1,"")</f>
        <v/>
      </c>
      <c r="N3095" s="47" t="n">
        <f aca="false">IF(F3095="S",L3095*0.02,0)</f>
        <v>0</v>
      </c>
      <c r="O3095" s="82" t="str">
        <f aca="false">IF(L3095&lt;&gt;"",L3095+N3095,"")</f>
        <v/>
      </c>
      <c r="P3095" s="47" t="str">
        <f aca="false">IF(O3095&lt;&gt;"",O3095*0.1,"")</f>
        <v/>
      </c>
      <c r="Q3095" s="83" t="str">
        <f aca="false">IF(O3095&lt;&gt;"",O3095+P3095,"")</f>
        <v/>
      </c>
      <c r="R3095" s="84"/>
    </row>
    <row r="3096" customFormat="false" ht="15" hidden="false" customHeight="true" outlineLevel="0" collapsed="false">
      <c r="A3096" s="103"/>
      <c r="B3096" s="73"/>
      <c r="C3096" s="74"/>
      <c r="D3096" s="75"/>
      <c r="E3096" s="52" t="str">
        <f aca="false">IF(D3096&lt;&gt;"",IFERROR(VLOOKUP(D3096,PROVEEDORES!$A:$B,2,0),"!COD NO ENCONTRADO"),"")</f>
        <v/>
      </c>
      <c r="F3096" s="76" t="str">
        <f aca="false">IF(D3096&lt;&gt;"",IFERROR(VLOOKUP(D3096,PROVEEDORES!$A:$C,3,0),""),"")</f>
        <v/>
      </c>
      <c r="G3096" s="75"/>
      <c r="H3096" s="52" t="str">
        <f aca="false">IF(G3096&lt;&gt;"",IFERROR(VLOOKUP(G3096,PRODUCTOS!$A:$B,2,0),"!COD NO ENCONTRADO"),"")</f>
        <v/>
      </c>
      <c r="I3096" s="77"/>
      <c r="J3096" s="78"/>
      <c r="K3096" s="79"/>
      <c r="L3096" s="80" t="str">
        <f aca="false">IF(AND(J3096&lt;&gt;"",K3096&lt;&gt;""),J3096*K3096,"")</f>
        <v/>
      </c>
      <c r="M3096" s="81" t="str">
        <f aca="false">IF(L3096&lt;&gt;"",L3096*1.1,"")</f>
        <v/>
      </c>
      <c r="N3096" s="53" t="n">
        <f aca="false">IF(F3096="S",L3096*0.02,0)</f>
        <v>0</v>
      </c>
      <c r="O3096" s="82" t="str">
        <f aca="false">IF(L3096&lt;&gt;"",L3096+N3096,"")</f>
        <v/>
      </c>
      <c r="P3096" s="53" t="str">
        <f aca="false">IF(O3096&lt;&gt;"",O3096*0.1,"")</f>
        <v/>
      </c>
      <c r="Q3096" s="83" t="str">
        <f aca="false">IF(O3096&lt;&gt;"",O3096+P3096,"")</f>
        <v/>
      </c>
      <c r="R3096" s="84"/>
    </row>
    <row r="3097" customFormat="false" ht="15" hidden="false" customHeight="true" outlineLevel="0" collapsed="false">
      <c r="A3097" s="103"/>
      <c r="B3097" s="85"/>
      <c r="C3097" s="86"/>
      <c r="D3097" s="87"/>
      <c r="E3097" s="46" t="str">
        <f aca="false">IF(D3097&lt;&gt;"",IFERROR(VLOOKUP(D3097,PROVEEDORES!$A:$B,2,0),"!COD NO ENCONTRADO"),"")</f>
        <v/>
      </c>
      <c r="F3097" s="88" t="str">
        <f aca="false">IF(D3097&lt;&gt;"",IFERROR(VLOOKUP(D3097,PROVEEDORES!$A:$C,3,0),""),"")</f>
        <v/>
      </c>
      <c r="G3097" s="87"/>
      <c r="H3097" s="46" t="str">
        <f aca="false">IF(G3097&lt;&gt;"",IFERROR(VLOOKUP(G3097,PRODUCTOS!$A:$B,2,0),"!COD NO ENCONTRADO"),"")</f>
        <v/>
      </c>
      <c r="I3097" s="89"/>
      <c r="J3097" s="90"/>
      <c r="K3097" s="91"/>
      <c r="L3097" s="80" t="str">
        <f aca="false">IF(AND(J3097&lt;&gt;"",K3097&lt;&gt;""),J3097*K3097,"")</f>
        <v/>
      </c>
      <c r="M3097" s="81" t="str">
        <f aca="false">IF(L3097&lt;&gt;"",L3097*1.1,"")</f>
        <v/>
      </c>
      <c r="N3097" s="47" t="n">
        <f aca="false">IF(F3097="S",L3097*0.02,0)</f>
        <v>0</v>
      </c>
      <c r="O3097" s="82" t="str">
        <f aca="false">IF(L3097&lt;&gt;"",L3097+N3097,"")</f>
        <v/>
      </c>
      <c r="P3097" s="47" t="str">
        <f aca="false">IF(O3097&lt;&gt;"",O3097*0.1,"")</f>
        <v/>
      </c>
      <c r="Q3097" s="83" t="str">
        <f aca="false">IF(O3097&lt;&gt;"",O3097+P3097,"")</f>
        <v/>
      </c>
      <c r="R3097" s="84"/>
    </row>
    <row r="3098" customFormat="false" ht="15" hidden="false" customHeight="true" outlineLevel="0" collapsed="false">
      <c r="A3098" s="103"/>
      <c r="B3098" s="73"/>
      <c r="C3098" s="74"/>
      <c r="D3098" s="75"/>
      <c r="E3098" s="52" t="str">
        <f aca="false">IF(D3098&lt;&gt;"",IFERROR(VLOOKUP(D3098,PROVEEDORES!$A:$B,2,0),"!COD NO ENCONTRADO"),"")</f>
        <v/>
      </c>
      <c r="F3098" s="76" t="str">
        <f aca="false">IF(D3098&lt;&gt;"",IFERROR(VLOOKUP(D3098,PROVEEDORES!$A:$C,3,0),""),"")</f>
        <v/>
      </c>
      <c r="G3098" s="75"/>
      <c r="H3098" s="52" t="str">
        <f aca="false">IF(G3098&lt;&gt;"",IFERROR(VLOOKUP(G3098,PRODUCTOS!$A:$B,2,0),"!COD NO ENCONTRADO"),"")</f>
        <v/>
      </c>
      <c r="I3098" s="77"/>
      <c r="J3098" s="78"/>
      <c r="K3098" s="79"/>
      <c r="L3098" s="80" t="str">
        <f aca="false">IF(AND(J3098&lt;&gt;"",K3098&lt;&gt;""),J3098*K3098,"")</f>
        <v/>
      </c>
      <c r="M3098" s="81" t="str">
        <f aca="false">IF(L3098&lt;&gt;"",L3098*1.1,"")</f>
        <v/>
      </c>
      <c r="N3098" s="53" t="n">
        <f aca="false">IF(F3098="S",L3098*0.02,0)</f>
        <v>0</v>
      </c>
      <c r="O3098" s="82" t="str">
        <f aca="false">IF(L3098&lt;&gt;"",L3098+N3098,"")</f>
        <v/>
      </c>
      <c r="P3098" s="53" t="str">
        <f aca="false">IF(O3098&lt;&gt;"",O3098*0.1,"")</f>
        <v/>
      </c>
      <c r="Q3098" s="83" t="str">
        <f aca="false">IF(O3098&lt;&gt;"",O3098+P3098,"")</f>
        <v/>
      </c>
      <c r="R3098" s="84"/>
    </row>
    <row r="3099" customFormat="false" ht="15" hidden="false" customHeight="true" outlineLevel="0" collapsed="false">
      <c r="A3099" s="103"/>
      <c r="B3099" s="85"/>
      <c r="C3099" s="86"/>
      <c r="D3099" s="87"/>
      <c r="E3099" s="46" t="str">
        <f aca="false">IF(D3099&lt;&gt;"",IFERROR(VLOOKUP(D3099,PROVEEDORES!$A:$B,2,0),"!COD NO ENCONTRADO"),"")</f>
        <v/>
      </c>
      <c r="F3099" s="88" t="str">
        <f aca="false">IF(D3099&lt;&gt;"",IFERROR(VLOOKUP(D3099,PROVEEDORES!$A:$C,3,0),""),"")</f>
        <v/>
      </c>
      <c r="G3099" s="87"/>
      <c r="H3099" s="46" t="str">
        <f aca="false">IF(G3099&lt;&gt;"",IFERROR(VLOOKUP(G3099,PRODUCTOS!$A:$B,2,0),"!COD NO ENCONTRADO"),"")</f>
        <v/>
      </c>
      <c r="I3099" s="89"/>
      <c r="J3099" s="90"/>
      <c r="K3099" s="91"/>
      <c r="L3099" s="80" t="str">
        <f aca="false">IF(AND(J3099&lt;&gt;"",K3099&lt;&gt;""),J3099*K3099,"")</f>
        <v/>
      </c>
      <c r="M3099" s="81" t="str">
        <f aca="false">IF(L3099&lt;&gt;"",L3099*1.1,"")</f>
        <v/>
      </c>
      <c r="N3099" s="47" t="n">
        <f aca="false">IF(F3099="S",L3099*0.02,0)</f>
        <v>0</v>
      </c>
      <c r="O3099" s="82" t="str">
        <f aca="false">IF(L3099&lt;&gt;"",L3099+N3099,"")</f>
        <v/>
      </c>
      <c r="P3099" s="47" t="str">
        <f aca="false">IF(O3099&lt;&gt;"",O3099*0.1,"")</f>
        <v/>
      </c>
      <c r="Q3099" s="83" t="str">
        <f aca="false">IF(O3099&lt;&gt;"",O3099+P3099,"")</f>
        <v/>
      </c>
      <c r="R3099" s="84"/>
    </row>
    <row r="3100" customFormat="false" ht="15" hidden="false" customHeight="true" outlineLevel="0" collapsed="false">
      <c r="A3100" s="103"/>
      <c r="B3100" s="73"/>
      <c r="C3100" s="74"/>
      <c r="D3100" s="75"/>
      <c r="E3100" s="52" t="str">
        <f aca="false">IF(D3100&lt;&gt;"",IFERROR(VLOOKUP(D3100,PROVEEDORES!$A:$B,2,0),"!COD NO ENCONTRADO"),"")</f>
        <v/>
      </c>
      <c r="F3100" s="76" t="str">
        <f aca="false">IF(D3100&lt;&gt;"",IFERROR(VLOOKUP(D3100,PROVEEDORES!$A:$C,3,0),""),"")</f>
        <v/>
      </c>
      <c r="G3100" s="75"/>
      <c r="H3100" s="52" t="str">
        <f aca="false">IF(G3100&lt;&gt;"",IFERROR(VLOOKUP(G3100,PRODUCTOS!$A:$B,2,0),"!COD NO ENCONTRADO"),"")</f>
        <v/>
      </c>
      <c r="I3100" s="77"/>
      <c r="J3100" s="78"/>
      <c r="K3100" s="79"/>
      <c r="L3100" s="80" t="str">
        <f aca="false">IF(AND(J3100&lt;&gt;"",K3100&lt;&gt;""),J3100*K3100,"")</f>
        <v/>
      </c>
      <c r="M3100" s="81" t="str">
        <f aca="false">IF(L3100&lt;&gt;"",L3100*1.1,"")</f>
        <v/>
      </c>
      <c r="N3100" s="53" t="n">
        <f aca="false">IF(F3100="S",L3100*0.02,0)</f>
        <v>0</v>
      </c>
      <c r="O3100" s="82" t="str">
        <f aca="false">IF(L3100&lt;&gt;"",L3100+N3100,"")</f>
        <v/>
      </c>
      <c r="P3100" s="53" t="str">
        <f aca="false">IF(O3100&lt;&gt;"",O3100*0.1,"")</f>
        <v/>
      </c>
      <c r="Q3100" s="83" t="str">
        <f aca="false">IF(O3100&lt;&gt;"",O3100+P3100,"")</f>
        <v/>
      </c>
      <c r="R3100" s="84"/>
    </row>
    <row r="3101" customFormat="false" ht="15" hidden="false" customHeight="true" outlineLevel="0" collapsed="false">
      <c r="A3101" s="103"/>
      <c r="B3101" s="85"/>
      <c r="C3101" s="86"/>
      <c r="D3101" s="87"/>
      <c r="E3101" s="46" t="str">
        <f aca="false">IF(D3101&lt;&gt;"",IFERROR(VLOOKUP(D3101,PROVEEDORES!$A:$B,2,0),"!COD NO ENCONTRADO"),"")</f>
        <v/>
      </c>
      <c r="F3101" s="88" t="str">
        <f aca="false">IF(D3101&lt;&gt;"",IFERROR(VLOOKUP(D3101,PROVEEDORES!$A:$C,3,0),""),"")</f>
        <v/>
      </c>
      <c r="G3101" s="87"/>
      <c r="H3101" s="46" t="str">
        <f aca="false">IF(G3101&lt;&gt;"",IFERROR(VLOOKUP(G3101,PRODUCTOS!$A:$B,2,0),"!COD NO ENCONTRADO"),"")</f>
        <v/>
      </c>
      <c r="I3101" s="89"/>
      <c r="J3101" s="90"/>
      <c r="K3101" s="91"/>
      <c r="L3101" s="80" t="str">
        <f aca="false">IF(AND(J3101&lt;&gt;"",K3101&lt;&gt;""),J3101*K3101,"")</f>
        <v/>
      </c>
      <c r="M3101" s="81" t="str">
        <f aca="false">IF(L3101&lt;&gt;"",L3101*1.1,"")</f>
        <v/>
      </c>
      <c r="N3101" s="47" t="n">
        <f aca="false">IF(F3101="S",L3101*0.02,0)</f>
        <v>0</v>
      </c>
      <c r="O3101" s="82" t="str">
        <f aca="false">IF(L3101&lt;&gt;"",L3101+N3101,"")</f>
        <v/>
      </c>
      <c r="P3101" s="47" t="str">
        <f aca="false">IF(O3101&lt;&gt;"",O3101*0.1,"")</f>
        <v/>
      </c>
      <c r="Q3101" s="83" t="str">
        <f aca="false">IF(O3101&lt;&gt;"",O3101+P3101,"")</f>
        <v/>
      </c>
      <c r="R3101" s="84"/>
    </row>
    <row r="3102" customFormat="false" ht="15" hidden="false" customHeight="true" outlineLevel="0" collapsed="false">
      <c r="A3102" s="103"/>
      <c r="B3102" s="73"/>
      <c r="C3102" s="74"/>
      <c r="D3102" s="75"/>
      <c r="E3102" s="52" t="str">
        <f aca="false">IF(D3102&lt;&gt;"",IFERROR(VLOOKUP(D3102,PROVEEDORES!$A:$B,2,0),"!COD NO ENCONTRADO"),"")</f>
        <v/>
      </c>
      <c r="F3102" s="76" t="str">
        <f aca="false">IF(D3102&lt;&gt;"",IFERROR(VLOOKUP(D3102,PROVEEDORES!$A:$C,3,0),""),"")</f>
        <v/>
      </c>
      <c r="G3102" s="75"/>
      <c r="H3102" s="52" t="str">
        <f aca="false">IF(G3102&lt;&gt;"",IFERROR(VLOOKUP(G3102,PRODUCTOS!$A:$B,2,0),"!COD NO ENCONTRADO"),"")</f>
        <v/>
      </c>
      <c r="I3102" s="77"/>
      <c r="J3102" s="78"/>
      <c r="K3102" s="79"/>
      <c r="L3102" s="80" t="str">
        <f aca="false">IF(AND(J3102&lt;&gt;"",K3102&lt;&gt;""),J3102*K3102,"")</f>
        <v/>
      </c>
      <c r="M3102" s="81" t="str">
        <f aca="false">IF(L3102&lt;&gt;"",L3102*1.1,"")</f>
        <v/>
      </c>
      <c r="N3102" s="53" t="n">
        <f aca="false">IF(F3102="S",L3102*0.02,0)</f>
        <v>0</v>
      </c>
      <c r="O3102" s="82" t="str">
        <f aca="false">IF(L3102&lt;&gt;"",L3102+N3102,"")</f>
        <v/>
      </c>
      <c r="P3102" s="53" t="str">
        <f aca="false">IF(O3102&lt;&gt;"",O3102*0.1,"")</f>
        <v/>
      </c>
      <c r="Q3102" s="83" t="str">
        <f aca="false">IF(O3102&lt;&gt;"",O3102+P3102,"")</f>
        <v/>
      </c>
      <c r="R3102" s="84"/>
    </row>
    <row r="3103" customFormat="false" ht="15" hidden="false" customHeight="true" outlineLevel="0" collapsed="false">
      <c r="A3103" s="103"/>
      <c r="B3103" s="85"/>
      <c r="C3103" s="86"/>
      <c r="D3103" s="87"/>
      <c r="E3103" s="46" t="str">
        <f aca="false">IF(D3103&lt;&gt;"",IFERROR(VLOOKUP(D3103,PROVEEDORES!$A:$B,2,0),"!COD NO ENCONTRADO"),"")</f>
        <v/>
      </c>
      <c r="F3103" s="88" t="str">
        <f aca="false">IF(D3103&lt;&gt;"",IFERROR(VLOOKUP(D3103,PROVEEDORES!$A:$C,3,0),""),"")</f>
        <v/>
      </c>
      <c r="G3103" s="87"/>
      <c r="H3103" s="46" t="str">
        <f aca="false">IF(G3103&lt;&gt;"",IFERROR(VLOOKUP(G3103,PRODUCTOS!$A:$B,2,0),"!COD NO ENCONTRADO"),"")</f>
        <v/>
      </c>
      <c r="I3103" s="89"/>
      <c r="J3103" s="90"/>
      <c r="K3103" s="91"/>
      <c r="L3103" s="80" t="str">
        <f aca="false">IF(AND(J3103&lt;&gt;"",K3103&lt;&gt;""),J3103*K3103,"")</f>
        <v/>
      </c>
      <c r="M3103" s="81" t="str">
        <f aca="false">IF(L3103&lt;&gt;"",L3103*1.1,"")</f>
        <v/>
      </c>
      <c r="N3103" s="47" t="n">
        <f aca="false">IF(F3103="S",L3103*0.02,0)</f>
        <v>0</v>
      </c>
      <c r="O3103" s="82" t="str">
        <f aca="false">IF(L3103&lt;&gt;"",L3103+N3103,"")</f>
        <v/>
      </c>
      <c r="P3103" s="47" t="str">
        <f aca="false">IF(O3103&lt;&gt;"",O3103*0.1,"")</f>
        <v/>
      </c>
      <c r="Q3103" s="83" t="str">
        <f aca="false">IF(O3103&lt;&gt;"",O3103+P3103,"")</f>
        <v/>
      </c>
      <c r="R3103" s="84"/>
    </row>
    <row r="3104" customFormat="false" ht="15" hidden="false" customHeight="true" outlineLevel="0" collapsed="false">
      <c r="A3104" s="103"/>
      <c r="B3104" s="73"/>
      <c r="C3104" s="74"/>
      <c r="D3104" s="75"/>
      <c r="E3104" s="52" t="str">
        <f aca="false">IF(D3104&lt;&gt;"",IFERROR(VLOOKUP(D3104,PROVEEDORES!$A:$B,2,0),"!COD NO ENCONTRADO"),"")</f>
        <v/>
      </c>
      <c r="F3104" s="76" t="str">
        <f aca="false">IF(D3104&lt;&gt;"",IFERROR(VLOOKUP(D3104,PROVEEDORES!$A:$C,3,0),""),"")</f>
        <v/>
      </c>
      <c r="G3104" s="75"/>
      <c r="H3104" s="52" t="str">
        <f aca="false">IF(G3104&lt;&gt;"",IFERROR(VLOOKUP(G3104,PRODUCTOS!$A:$B,2,0),"!COD NO ENCONTRADO"),"")</f>
        <v/>
      </c>
      <c r="I3104" s="77"/>
      <c r="J3104" s="78"/>
      <c r="K3104" s="79"/>
      <c r="L3104" s="80" t="str">
        <f aca="false">IF(AND(J3104&lt;&gt;"",K3104&lt;&gt;""),J3104*K3104,"")</f>
        <v/>
      </c>
      <c r="M3104" s="81" t="str">
        <f aca="false">IF(L3104&lt;&gt;"",L3104*1.1,"")</f>
        <v/>
      </c>
      <c r="N3104" s="53" t="n">
        <f aca="false">IF(F3104="S",L3104*0.02,0)</f>
        <v>0</v>
      </c>
      <c r="O3104" s="82" t="str">
        <f aca="false">IF(L3104&lt;&gt;"",L3104+N3104,"")</f>
        <v/>
      </c>
      <c r="P3104" s="53" t="str">
        <f aca="false">IF(O3104&lt;&gt;"",O3104*0.1,"")</f>
        <v/>
      </c>
      <c r="Q3104" s="83" t="str">
        <f aca="false">IF(O3104&lt;&gt;"",O3104+P3104,"")</f>
        <v/>
      </c>
      <c r="R3104" s="84"/>
    </row>
    <row r="3105" customFormat="false" ht="15" hidden="false" customHeight="true" outlineLevel="0" collapsed="false">
      <c r="A3105" s="103"/>
      <c r="B3105" s="85"/>
      <c r="C3105" s="86"/>
      <c r="D3105" s="87"/>
      <c r="E3105" s="46" t="str">
        <f aca="false">IF(D3105&lt;&gt;"",IFERROR(VLOOKUP(D3105,PROVEEDORES!$A:$B,2,0),"!COD NO ENCONTRADO"),"")</f>
        <v/>
      </c>
      <c r="F3105" s="88" t="str">
        <f aca="false">IF(D3105&lt;&gt;"",IFERROR(VLOOKUP(D3105,PROVEEDORES!$A:$C,3,0),""),"")</f>
        <v/>
      </c>
      <c r="G3105" s="87"/>
      <c r="H3105" s="46" t="str">
        <f aca="false">IF(G3105&lt;&gt;"",IFERROR(VLOOKUP(G3105,PRODUCTOS!$A:$B,2,0),"!COD NO ENCONTRADO"),"")</f>
        <v/>
      </c>
      <c r="I3105" s="89"/>
      <c r="J3105" s="90"/>
      <c r="K3105" s="91"/>
      <c r="L3105" s="80" t="str">
        <f aca="false">IF(AND(J3105&lt;&gt;"",K3105&lt;&gt;""),J3105*K3105,"")</f>
        <v/>
      </c>
      <c r="M3105" s="81" t="str">
        <f aca="false">IF(L3105&lt;&gt;"",L3105*1.1,"")</f>
        <v/>
      </c>
      <c r="N3105" s="47" t="n">
        <f aca="false">IF(F3105="S",L3105*0.02,0)</f>
        <v>0</v>
      </c>
      <c r="O3105" s="82" t="str">
        <f aca="false">IF(L3105&lt;&gt;"",L3105+N3105,"")</f>
        <v/>
      </c>
      <c r="P3105" s="47" t="str">
        <f aca="false">IF(O3105&lt;&gt;"",O3105*0.1,"")</f>
        <v/>
      </c>
      <c r="Q3105" s="83" t="str">
        <f aca="false">IF(O3105&lt;&gt;"",O3105+P3105,"")</f>
        <v/>
      </c>
      <c r="R3105" s="84"/>
    </row>
    <row r="3106" customFormat="false" ht="15" hidden="false" customHeight="true" outlineLevel="0" collapsed="false">
      <c r="A3106" s="103"/>
      <c r="B3106" s="73"/>
      <c r="C3106" s="74"/>
      <c r="D3106" s="75"/>
      <c r="E3106" s="52" t="str">
        <f aca="false">IF(D3106&lt;&gt;"",IFERROR(VLOOKUP(D3106,PROVEEDORES!$A:$B,2,0),"!COD NO ENCONTRADO"),"")</f>
        <v/>
      </c>
      <c r="F3106" s="76" t="str">
        <f aca="false">IF(D3106&lt;&gt;"",IFERROR(VLOOKUP(D3106,PROVEEDORES!$A:$C,3,0),""),"")</f>
        <v/>
      </c>
      <c r="G3106" s="75"/>
      <c r="H3106" s="52" t="str">
        <f aca="false">IF(G3106&lt;&gt;"",IFERROR(VLOOKUP(G3106,PRODUCTOS!$A:$B,2,0),"!COD NO ENCONTRADO"),"")</f>
        <v/>
      </c>
      <c r="I3106" s="77"/>
      <c r="J3106" s="78"/>
      <c r="K3106" s="79"/>
      <c r="L3106" s="80" t="str">
        <f aca="false">IF(AND(J3106&lt;&gt;"",K3106&lt;&gt;""),J3106*K3106,"")</f>
        <v/>
      </c>
      <c r="M3106" s="81" t="str">
        <f aca="false">IF(L3106&lt;&gt;"",L3106*1.1,"")</f>
        <v/>
      </c>
      <c r="N3106" s="53" t="n">
        <f aca="false">IF(F3106="S",L3106*0.02,0)</f>
        <v>0</v>
      </c>
      <c r="O3106" s="82" t="str">
        <f aca="false">IF(L3106&lt;&gt;"",L3106+N3106,"")</f>
        <v/>
      </c>
      <c r="P3106" s="53" t="str">
        <f aca="false">IF(O3106&lt;&gt;"",O3106*0.1,"")</f>
        <v/>
      </c>
      <c r="Q3106" s="83" t="str">
        <f aca="false">IF(O3106&lt;&gt;"",O3106+P3106,"")</f>
        <v/>
      </c>
      <c r="R3106" s="84"/>
    </row>
    <row r="3107" customFormat="false" ht="15" hidden="false" customHeight="true" outlineLevel="0" collapsed="false">
      <c r="A3107" s="103"/>
      <c r="B3107" s="85"/>
      <c r="C3107" s="86"/>
      <c r="D3107" s="87"/>
      <c r="E3107" s="46" t="str">
        <f aca="false">IF(D3107&lt;&gt;"",IFERROR(VLOOKUP(D3107,PROVEEDORES!$A:$B,2,0),"!COD NO ENCONTRADO"),"")</f>
        <v/>
      </c>
      <c r="F3107" s="88" t="str">
        <f aca="false">IF(D3107&lt;&gt;"",IFERROR(VLOOKUP(D3107,PROVEEDORES!$A:$C,3,0),""),"")</f>
        <v/>
      </c>
      <c r="G3107" s="87"/>
      <c r="H3107" s="46" t="str">
        <f aca="false">IF(G3107&lt;&gt;"",IFERROR(VLOOKUP(G3107,PRODUCTOS!$A:$B,2,0),"!COD NO ENCONTRADO"),"")</f>
        <v/>
      </c>
      <c r="I3107" s="89"/>
      <c r="J3107" s="90"/>
      <c r="K3107" s="91"/>
      <c r="L3107" s="80" t="str">
        <f aca="false">IF(AND(J3107&lt;&gt;"",K3107&lt;&gt;""),J3107*K3107,"")</f>
        <v/>
      </c>
      <c r="M3107" s="81" t="str">
        <f aca="false">IF(L3107&lt;&gt;"",L3107*1.1,"")</f>
        <v/>
      </c>
      <c r="N3107" s="47" t="n">
        <f aca="false">IF(F3107="S",L3107*0.02,0)</f>
        <v>0</v>
      </c>
      <c r="O3107" s="82" t="str">
        <f aca="false">IF(L3107&lt;&gt;"",L3107+N3107,"")</f>
        <v/>
      </c>
      <c r="P3107" s="47" t="str">
        <f aca="false">IF(O3107&lt;&gt;"",O3107*0.1,"")</f>
        <v/>
      </c>
      <c r="Q3107" s="83" t="str">
        <f aca="false">IF(O3107&lt;&gt;"",O3107+P3107,"")</f>
        <v/>
      </c>
      <c r="R3107" s="84"/>
    </row>
    <row r="3108" customFormat="false" ht="15" hidden="false" customHeight="true" outlineLevel="0" collapsed="false">
      <c r="A3108" s="103"/>
      <c r="B3108" s="73"/>
      <c r="C3108" s="74"/>
      <c r="D3108" s="75"/>
      <c r="E3108" s="52" t="str">
        <f aca="false">IF(D3108&lt;&gt;"",IFERROR(VLOOKUP(D3108,PROVEEDORES!$A:$B,2,0),"!COD NO ENCONTRADO"),"")</f>
        <v/>
      </c>
      <c r="F3108" s="76" t="str">
        <f aca="false">IF(D3108&lt;&gt;"",IFERROR(VLOOKUP(D3108,PROVEEDORES!$A:$C,3,0),""),"")</f>
        <v/>
      </c>
      <c r="G3108" s="75"/>
      <c r="H3108" s="52" t="str">
        <f aca="false">IF(G3108&lt;&gt;"",IFERROR(VLOOKUP(G3108,PRODUCTOS!$A:$B,2,0),"!COD NO ENCONTRADO"),"")</f>
        <v/>
      </c>
      <c r="I3108" s="77"/>
      <c r="J3108" s="78"/>
      <c r="K3108" s="79"/>
      <c r="L3108" s="80" t="str">
        <f aca="false">IF(AND(J3108&lt;&gt;"",K3108&lt;&gt;""),J3108*K3108,"")</f>
        <v/>
      </c>
      <c r="M3108" s="81" t="str">
        <f aca="false">IF(L3108&lt;&gt;"",L3108*1.1,"")</f>
        <v/>
      </c>
      <c r="N3108" s="53" t="n">
        <f aca="false">IF(F3108="S",L3108*0.02,0)</f>
        <v>0</v>
      </c>
      <c r="O3108" s="82" t="str">
        <f aca="false">IF(L3108&lt;&gt;"",L3108+N3108,"")</f>
        <v/>
      </c>
      <c r="P3108" s="53" t="str">
        <f aca="false">IF(O3108&lt;&gt;"",O3108*0.1,"")</f>
        <v/>
      </c>
      <c r="Q3108" s="83" t="str">
        <f aca="false">IF(O3108&lt;&gt;"",O3108+P3108,"")</f>
        <v/>
      </c>
      <c r="R3108" s="84"/>
    </row>
    <row r="3109" customFormat="false" ht="15" hidden="false" customHeight="true" outlineLevel="0" collapsed="false">
      <c r="A3109" s="103"/>
      <c r="B3109" s="85"/>
      <c r="C3109" s="86"/>
      <c r="D3109" s="87"/>
      <c r="E3109" s="46" t="str">
        <f aca="false">IF(D3109&lt;&gt;"",IFERROR(VLOOKUP(D3109,PROVEEDORES!$A:$B,2,0),"!COD NO ENCONTRADO"),"")</f>
        <v/>
      </c>
      <c r="F3109" s="88" t="str">
        <f aca="false">IF(D3109&lt;&gt;"",IFERROR(VLOOKUP(D3109,PROVEEDORES!$A:$C,3,0),""),"")</f>
        <v/>
      </c>
      <c r="G3109" s="87"/>
      <c r="H3109" s="46" t="str">
        <f aca="false">IF(G3109&lt;&gt;"",IFERROR(VLOOKUP(G3109,PRODUCTOS!$A:$B,2,0),"!COD NO ENCONTRADO"),"")</f>
        <v/>
      </c>
      <c r="I3109" s="89"/>
      <c r="J3109" s="90"/>
      <c r="K3109" s="91"/>
      <c r="L3109" s="80" t="str">
        <f aca="false">IF(AND(J3109&lt;&gt;"",K3109&lt;&gt;""),J3109*K3109,"")</f>
        <v/>
      </c>
      <c r="M3109" s="81" t="str">
        <f aca="false">IF(L3109&lt;&gt;"",L3109*1.1,"")</f>
        <v/>
      </c>
      <c r="N3109" s="47" t="n">
        <f aca="false">IF(F3109="S",L3109*0.02,0)</f>
        <v>0</v>
      </c>
      <c r="O3109" s="82" t="str">
        <f aca="false">IF(L3109&lt;&gt;"",L3109+N3109,"")</f>
        <v/>
      </c>
      <c r="P3109" s="47" t="str">
        <f aca="false">IF(O3109&lt;&gt;"",O3109*0.1,"")</f>
        <v/>
      </c>
      <c r="Q3109" s="83" t="str">
        <f aca="false">IF(O3109&lt;&gt;"",O3109+P3109,"")</f>
        <v/>
      </c>
      <c r="R3109" s="84"/>
    </row>
    <row r="3110" customFormat="false" ht="15" hidden="false" customHeight="true" outlineLevel="0" collapsed="false">
      <c r="A3110" s="103"/>
      <c r="B3110" s="73"/>
      <c r="C3110" s="74"/>
      <c r="D3110" s="75"/>
      <c r="E3110" s="52" t="str">
        <f aca="false">IF(D3110&lt;&gt;"",IFERROR(VLOOKUP(D3110,PROVEEDORES!$A:$B,2,0),"!COD NO ENCONTRADO"),"")</f>
        <v/>
      </c>
      <c r="F3110" s="76" t="str">
        <f aca="false">IF(D3110&lt;&gt;"",IFERROR(VLOOKUP(D3110,PROVEEDORES!$A:$C,3,0),""),"")</f>
        <v/>
      </c>
      <c r="G3110" s="75"/>
      <c r="H3110" s="52" t="str">
        <f aca="false">IF(G3110&lt;&gt;"",IFERROR(VLOOKUP(G3110,PRODUCTOS!$A:$B,2,0),"!COD NO ENCONTRADO"),"")</f>
        <v/>
      </c>
      <c r="I3110" s="77"/>
      <c r="J3110" s="78"/>
      <c r="K3110" s="79"/>
      <c r="L3110" s="80" t="str">
        <f aca="false">IF(AND(J3110&lt;&gt;"",K3110&lt;&gt;""),J3110*K3110,"")</f>
        <v/>
      </c>
      <c r="M3110" s="81" t="str">
        <f aca="false">IF(L3110&lt;&gt;"",L3110*1.1,"")</f>
        <v/>
      </c>
      <c r="N3110" s="53" t="n">
        <f aca="false">IF(F3110="S",L3110*0.02,0)</f>
        <v>0</v>
      </c>
      <c r="O3110" s="82" t="str">
        <f aca="false">IF(L3110&lt;&gt;"",L3110+N3110,"")</f>
        <v/>
      </c>
      <c r="P3110" s="53" t="str">
        <f aca="false">IF(O3110&lt;&gt;"",O3110*0.1,"")</f>
        <v/>
      </c>
      <c r="Q3110" s="83" t="str">
        <f aca="false">IF(O3110&lt;&gt;"",O3110+P3110,"")</f>
        <v/>
      </c>
      <c r="R3110" s="84"/>
    </row>
    <row r="3111" customFormat="false" ht="15" hidden="false" customHeight="true" outlineLevel="0" collapsed="false">
      <c r="A3111" s="103"/>
      <c r="B3111" s="85"/>
      <c r="C3111" s="86"/>
      <c r="D3111" s="87"/>
      <c r="E3111" s="46" t="str">
        <f aca="false">IF(D3111&lt;&gt;"",IFERROR(VLOOKUP(D3111,PROVEEDORES!$A:$B,2,0),"!COD NO ENCONTRADO"),"")</f>
        <v/>
      </c>
      <c r="F3111" s="88" t="str">
        <f aca="false">IF(D3111&lt;&gt;"",IFERROR(VLOOKUP(D3111,PROVEEDORES!$A:$C,3,0),""),"")</f>
        <v/>
      </c>
      <c r="G3111" s="87"/>
      <c r="H3111" s="46" t="str">
        <f aca="false">IF(G3111&lt;&gt;"",IFERROR(VLOOKUP(G3111,PRODUCTOS!$A:$B,2,0),"!COD NO ENCONTRADO"),"")</f>
        <v/>
      </c>
      <c r="I3111" s="89"/>
      <c r="J3111" s="90"/>
      <c r="K3111" s="91"/>
      <c r="L3111" s="80" t="str">
        <f aca="false">IF(AND(J3111&lt;&gt;"",K3111&lt;&gt;""),J3111*K3111,"")</f>
        <v/>
      </c>
      <c r="M3111" s="81" t="str">
        <f aca="false">IF(L3111&lt;&gt;"",L3111*1.1,"")</f>
        <v/>
      </c>
      <c r="N3111" s="47" t="n">
        <f aca="false">IF(F3111="S",L3111*0.02,0)</f>
        <v>0</v>
      </c>
      <c r="O3111" s="82" t="str">
        <f aca="false">IF(L3111&lt;&gt;"",L3111+N3111,"")</f>
        <v/>
      </c>
      <c r="P3111" s="47" t="str">
        <f aca="false">IF(O3111&lt;&gt;"",O3111*0.1,"")</f>
        <v/>
      </c>
      <c r="Q3111" s="83" t="str">
        <f aca="false">IF(O3111&lt;&gt;"",O3111+P3111,"")</f>
        <v/>
      </c>
      <c r="R3111" s="84"/>
    </row>
    <row r="3112" customFormat="false" ht="15" hidden="false" customHeight="true" outlineLevel="0" collapsed="false">
      <c r="A3112" s="103"/>
      <c r="B3112" s="73"/>
      <c r="C3112" s="74"/>
      <c r="D3112" s="75"/>
      <c r="E3112" s="52" t="str">
        <f aca="false">IF(D3112&lt;&gt;"",IFERROR(VLOOKUP(D3112,PROVEEDORES!$A:$B,2,0),"!COD NO ENCONTRADO"),"")</f>
        <v/>
      </c>
      <c r="F3112" s="76" t="str">
        <f aca="false">IF(D3112&lt;&gt;"",IFERROR(VLOOKUP(D3112,PROVEEDORES!$A:$C,3,0),""),"")</f>
        <v/>
      </c>
      <c r="G3112" s="75"/>
      <c r="H3112" s="52" t="str">
        <f aca="false">IF(G3112&lt;&gt;"",IFERROR(VLOOKUP(G3112,PRODUCTOS!$A:$B,2,0),"!COD NO ENCONTRADO"),"")</f>
        <v/>
      </c>
      <c r="I3112" s="77"/>
      <c r="J3112" s="78"/>
      <c r="K3112" s="79"/>
      <c r="L3112" s="80" t="str">
        <f aca="false">IF(AND(J3112&lt;&gt;"",K3112&lt;&gt;""),J3112*K3112,"")</f>
        <v/>
      </c>
      <c r="M3112" s="81" t="str">
        <f aca="false">IF(L3112&lt;&gt;"",L3112*1.1,"")</f>
        <v/>
      </c>
      <c r="N3112" s="53" t="n">
        <f aca="false">IF(F3112="S",L3112*0.02,0)</f>
        <v>0</v>
      </c>
      <c r="O3112" s="82" t="str">
        <f aca="false">IF(L3112&lt;&gt;"",L3112+N3112,"")</f>
        <v/>
      </c>
      <c r="P3112" s="53" t="str">
        <f aca="false">IF(O3112&lt;&gt;"",O3112*0.1,"")</f>
        <v/>
      </c>
      <c r="Q3112" s="83" t="str">
        <f aca="false">IF(O3112&lt;&gt;"",O3112+P3112,"")</f>
        <v/>
      </c>
      <c r="R3112" s="84"/>
    </row>
    <row r="3113" customFormat="false" ht="15" hidden="false" customHeight="true" outlineLevel="0" collapsed="false">
      <c r="A3113" s="103"/>
      <c r="B3113" s="85"/>
      <c r="C3113" s="86"/>
      <c r="D3113" s="87"/>
      <c r="E3113" s="46" t="str">
        <f aca="false">IF(D3113&lt;&gt;"",IFERROR(VLOOKUP(D3113,PROVEEDORES!$A:$B,2,0),"!COD NO ENCONTRADO"),"")</f>
        <v/>
      </c>
      <c r="F3113" s="88" t="str">
        <f aca="false">IF(D3113&lt;&gt;"",IFERROR(VLOOKUP(D3113,PROVEEDORES!$A:$C,3,0),""),"")</f>
        <v/>
      </c>
      <c r="G3113" s="87"/>
      <c r="H3113" s="46" t="str">
        <f aca="false">IF(G3113&lt;&gt;"",IFERROR(VLOOKUP(G3113,PRODUCTOS!$A:$B,2,0),"!COD NO ENCONTRADO"),"")</f>
        <v/>
      </c>
      <c r="I3113" s="89"/>
      <c r="J3113" s="90"/>
      <c r="K3113" s="91"/>
      <c r="L3113" s="80" t="str">
        <f aca="false">IF(AND(J3113&lt;&gt;"",K3113&lt;&gt;""),J3113*K3113,"")</f>
        <v/>
      </c>
      <c r="M3113" s="81" t="str">
        <f aca="false">IF(L3113&lt;&gt;"",L3113*1.1,"")</f>
        <v/>
      </c>
      <c r="N3113" s="47" t="n">
        <f aca="false">IF(F3113="S",L3113*0.02,0)</f>
        <v>0</v>
      </c>
      <c r="O3113" s="82" t="str">
        <f aca="false">IF(L3113&lt;&gt;"",L3113+N3113,"")</f>
        <v/>
      </c>
      <c r="P3113" s="47" t="str">
        <f aca="false">IF(O3113&lt;&gt;"",O3113*0.1,"")</f>
        <v/>
      </c>
      <c r="Q3113" s="83" t="str">
        <f aca="false">IF(O3113&lt;&gt;"",O3113+P3113,"")</f>
        <v/>
      </c>
      <c r="R3113" s="84"/>
    </row>
    <row r="3114" customFormat="false" ht="15" hidden="false" customHeight="true" outlineLevel="0" collapsed="false">
      <c r="A3114" s="103"/>
      <c r="B3114" s="73"/>
      <c r="C3114" s="74"/>
      <c r="D3114" s="75"/>
      <c r="E3114" s="52" t="str">
        <f aca="false">IF(D3114&lt;&gt;"",IFERROR(VLOOKUP(D3114,PROVEEDORES!$A:$B,2,0),"!COD NO ENCONTRADO"),"")</f>
        <v/>
      </c>
      <c r="F3114" s="76" t="str">
        <f aca="false">IF(D3114&lt;&gt;"",IFERROR(VLOOKUP(D3114,PROVEEDORES!$A:$C,3,0),""),"")</f>
        <v/>
      </c>
      <c r="G3114" s="75"/>
      <c r="H3114" s="52" t="str">
        <f aca="false">IF(G3114&lt;&gt;"",IFERROR(VLOOKUP(G3114,PRODUCTOS!$A:$B,2,0),"!COD NO ENCONTRADO"),"")</f>
        <v/>
      </c>
      <c r="I3114" s="77"/>
      <c r="J3114" s="78"/>
      <c r="K3114" s="79"/>
      <c r="L3114" s="80" t="str">
        <f aca="false">IF(AND(J3114&lt;&gt;"",K3114&lt;&gt;""),J3114*K3114,"")</f>
        <v/>
      </c>
      <c r="M3114" s="81" t="str">
        <f aca="false">IF(L3114&lt;&gt;"",L3114*1.1,"")</f>
        <v/>
      </c>
      <c r="N3114" s="53" t="n">
        <f aca="false">IF(F3114="S",L3114*0.02,0)</f>
        <v>0</v>
      </c>
      <c r="O3114" s="82" t="str">
        <f aca="false">IF(L3114&lt;&gt;"",L3114+N3114,"")</f>
        <v/>
      </c>
      <c r="P3114" s="53" t="str">
        <f aca="false">IF(O3114&lt;&gt;"",O3114*0.1,"")</f>
        <v/>
      </c>
      <c r="Q3114" s="83" t="str">
        <f aca="false">IF(O3114&lt;&gt;"",O3114+P3114,"")</f>
        <v/>
      </c>
      <c r="R3114" s="84"/>
    </row>
    <row r="3115" customFormat="false" ht="15" hidden="false" customHeight="true" outlineLevel="0" collapsed="false">
      <c r="A3115" s="103"/>
      <c r="B3115" s="85"/>
      <c r="C3115" s="86"/>
      <c r="D3115" s="87"/>
      <c r="E3115" s="46" t="str">
        <f aca="false">IF(D3115&lt;&gt;"",IFERROR(VLOOKUP(D3115,PROVEEDORES!$A:$B,2,0),"!COD NO ENCONTRADO"),"")</f>
        <v/>
      </c>
      <c r="F3115" s="88" t="str">
        <f aca="false">IF(D3115&lt;&gt;"",IFERROR(VLOOKUP(D3115,PROVEEDORES!$A:$C,3,0),""),"")</f>
        <v/>
      </c>
      <c r="G3115" s="87"/>
      <c r="H3115" s="46" t="str">
        <f aca="false">IF(G3115&lt;&gt;"",IFERROR(VLOOKUP(G3115,PRODUCTOS!$A:$B,2,0),"!COD NO ENCONTRADO"),"")</f>
        <v/>
      </c>
      <c r="I3115" s="89"/>
      <c r="J3115" s="90"/>
      <c r="K3115" s="91"/>
      <c r="L3115" s="80" t="str">
        <f aca="false">IF(AND(J3115&lt;&gt;"",K3115&lt;&gt;""),J3115*K3115,"")</f>
        <v/>
      </c>
      <c r="M3115" s="81" t="str">
        <f aca="false">IF(L3115&lt;&gt;"",L3115*1.1,"")</f>
        <v/>
      </c>
      <c r="N3115" s="47" t="n">
        <f aca="false">IF(F3115="S",L3115*0.02,0)</f>
        <v>0</v>
      </c>
      <c r="O3115" s="82" t="str">
        <f aca="false">IF(L3115&lt;&gt;"",L3115+N3115,"")</f>
        <v/>
      </c>
      <c r="P3115" s="47" t="str">
        <f aca="false">IF(O3115&lt;&gt;"",O3115*0.1,"")</f>
        <v/>
      </c>
      <c r="Q3115" s="83" t="str">
        <f aca="false">IF(O3115&lt;&gt;"",O3115+P3115,"")</f>
        <v/>
      </c>
      <c r="R3115" s="84"/>
    </row>
    <row r="3116" customFormat="false" ht="15" hidden="false" customHeight="true" outlineLevel="0" collapsed="false">
      <c r="A3116" s="103"/>
      <c r="B3116" s="73"/>
      <c r="C3116" s="74"/>
      <c r="D3116" s="75"/>
      <c r="E3116" s="52" t="str">
        <f aca="false">IF(D3116&lt;&gt;"",IFERROR(VLOOKUP(D3116,PROVEEDORES!$A:$B,2,0),"!COD NO ENCONTRADO"),"")</f>
        <v/>
      </c>
      <c r="F3116" s="76" t="str">
        <f aca="false">IF(D3116&lt;&gt;"",IFERROR(VLOOKUP(D3116,PROVEEDORES!$A:$C,3,0),""),"")</f>
        <v/>
      </c>
      <c r="G3116" s="75"/>
      <c r="H3116" s="52" t="str">
        <f aca="false">IF(G3116&lt;&gt;"",IFERROR(VLOOKUP(G3116,PRODUCTOS!$A:$B,2,0),"!COD NO ENCONTRADO"),"")</f>
        <v/>
      </c>
      <c r="I3116" s="77"/>
      <c r="J3116" s="78"/>
      <c r="K3116" s="79"/>
      <c r="L3116" s="80" t="str">
        <f aca="false">IF(AND(J3116&lt;&gt;"",K3116&lt;&gt;""),J3116*K3116,"")</f>
        <v/>
      </c>
      <c r="M3116" s="81" t="str">
        <f aca="false">IF(L3116&lt;&gt;"",L3116*1.1,"")</f>
        <v/>
      </c>
      <c r="N3116" s="53" t="n">
        <f aca="false">IF(F3116="S",L3116*0.02,0)</f>
        <v>0</v>
      </c>
      <c r="O3116" s="82" t="str">
        <f aca="false">IF(L3116&lt;&gt;"",L3116+N3116,"")</f>
        <v/>
      </c>
      <c r="P3116" s="53" t="str">
        <f aca="false">IF(O3116&lt;&gt;"",O3116*0.1,"")</f>
        <v/>
      </c>
      <c r="Q3116" s="83" t="str">
        <f aca="false">IF(O3116&lt;&gt;"",O3116+P3116,"")</f>
        <v/>
      </c>
      <c r="R3116" s="84"/>
    </row>
    <row r="3117" customFormat="false" ht="15" hidden="false" customHeight="true" outlineLevel="0" collapsed="false">
      <c r="A3117" s="103"/>
      <c r="B3117" s="85"/>
      <c r="C3117" s="86"/>
      <c r="D3117" s="87"/>
      <c r="E3117" s="46" t="str">
        <f aca="false">IF(D3117&lt;&gt;"",IFERROR(VLOOKUP(D3117,PROVEEDORES!$A:$B,2,0),"!COD NO ENCONTRADO"),"")</f>
        <v/>
      </c>
      <c r="F3117" s="88" t="str">
        <f aca="false">IF(D3117&lt;&gt;"",IFERROR(VLOOKUP(D3117,PROVEEDORES!$A:$C,3,0),""),"")</f>
        <v/>
      </c>
      <c r="G3117" s="87"/>
      <c r="H3117" s="46" t="str">
        <f aca="false">IF(G3117&lt;&gt;"",IFERROR(VLOOKUP(G3117,PRODUCTOS!$A:$B,2,0),"!COD NO ENCONTRADO"),"")</f>
        <v/>
      </c>
      <c r="I3117" s="89"/>
      <c r="J3117" s="90"/>
      <c r="K3117" s="91"/>
      <c r="L3117" s="80" t="str">
        <f aca="false">IF(AND(J3117&lt;&gt;"",K3117&lt;&gt;""),J3117*K3117,"")</f>
        <v/>
      </c>
      <c r="M3117" s="81" t="str">
        <f aca="false">IF(L3117&lt;&gt;"",L3117*1.1,"")</f>
        <v/>
      </c>
      <c r="N3117" s="47" t="n">
        <f aca="false">IF(F3117="S",L3117*0.02,0)</f>
        <v>0</v>
      </c>
      <c r="O3117" s="82" t="str">
        <f aca="false">IF(L3117&lt;&gt;"",L3117+N3117,"")</f>
        <v/>
      </c>
      <c r="P3117" s="47" t="str">
        <f aca="false">IF(O3117&lt;&gt;"",O3117*0.1,"")</f>
        <v/>
      </c>
      <c r="Q3117" s="83" t="str">
        <f aca="false">IF(O3117&lt;&gt;"",O3117+P3117,"")</f>
        <v/>
      </c>
      <c r="R3117" s="84"/>
    </row>
    <row r="3118" customFormat="false" ht="15" hidden="false" customHeight="true" outlineLevel="0" collapsed="false">
      <c r="A3118" s="103"/>
      <c r="B3118" s="73"/>
      <c r="C3118" s="74"/>
      <c r="D3118" s="75"/>
      <c r="E3118" s="52" t="str">
        <f aca="false">IF(D3118&lt;&gt;"",IFERROR(VLOOKUP(D3118,PROVEEDORES!$A:$B,2,0),"!COD NO ENCONTRADO"),"")</f>
        <v/>
      </c>
      <c r="F3118" s="76" t="str">
        <f aca="false">IF(D3118&lt;&gt;"",IFERROR(VLOOKUP(D3118,PROVEEDORES!$A:$C,3,0),""),"")</f>
        <v/>
      </c>
      <c r="G3118" s="75"/>
      <c r="H3118" s="52" t="str">
        <f aca="false">IF(G3118&lt;&gt;"",IFERROR(VLOOKUP(G3118,PRODUCTOS!$A:$B,2,0),"!COD NO ENCONTRADO"),"")</f>
        <v/>
      </c>
      <c r="I3118" s="77"/>
      <c r="J3118" s="78"/>
      <c r="K3118" s="79"/>
      <c r="L3118" s="80" t="str">
        <f aca="false">IF(AND(J3118&lt;&gt;"",K3118&lt;&gt;""),J3118*K3118,"")</f>
        <v/>
      </c>
      <c r="M3118" s="81" t="str">
        <f aca="false">IF(L3118&lt;&gt;"",L3118*1.1,"")</f>
        <v/>
      </c>
      <c r="N3118" s="53" t="n">
        <f aca="false">IF(F3118="S",L3118*0.02,0)</f>
        <v>0</v>
      </c>
      <c r="O3118" s="82" t="str">
        <f aca="false">IF(L3118&lt;&gt;"",L3118+N3118,"")</f>
        <v/>
      </c>
      <c r="P3118" s="53" t="str">
        <f aca="false">IF(O3118&lt;&gt;"",O3118*0.1,"")</f>
        <v/>
      </c>
      <c r="Q3118" s="83" t="str">
        <f aca="false">IF(O3118&lt;&gt;"",O3118+P3118,"")</f>
        <v/>
      </c>
      <c r="R3118" s="84"/>
    </row>
    <row r="3119" customFormat="false" ht="15" hidden="false" customHeight="true" outlineLevel="0" collapsed="false">
      <c r="A3119" s="103"/>
      <c r="B3119" s="85"/>
      <c r="C3119" s="86"/>
      <c r="D3119" s="87"/>
      <c r="E3119" s="46" t="str">
        <f aca="false">IF(D3119&lt;&gt;"",IFERROR(VLOOKUP(D3119,PROVEEDORES!$A:$B,2,0),"!COD NO ENCONTRADO"),"")</f>
        <v/>
      </c>
      <c r="F3119" s="88" t="str">
        <f aca="false">IF(D3119&lt;&gt;"",IFERROR(VLOOKUP(D3119,PROVEEDORES!$A:$C,3,0),""),"")</f>
        <v/>
      </c>
      <c r="G3119" s="87"/>
      <c r="H3119" s="46" t="str">
        <f aca="false">IF(G3119&lt;&gt;"",IFERROR(VLOOKUP(G3119,PRODUCTOS!$A:$B,2,0),"!COD NO ENCONTRADO"),"")</f>
        <v/>
      </c>
      <c r="I3119" s="89"/>
      <c r="J3119" s="90"/>
      <c r="K3119" s="91"/>
      <c r="L3119" s="80" t="str">
        <f aca="false">IF(AND(J3119&lt;&gt;"",K3119&lt;&gt;""),J3119*K3119,"")</f>
        <v/>
      </c>
      <c r="M3119" s="81" t="str">
        <f aca="false">IF(L3119&lt;&gt;"",L3119*1.1,"")</f>
        <v/>
      </c>
      <c r="N3119" s="47" t="n">
        <f aca="false">IF(F3119="S",L3119*0.02,0)</f>
        <v>0</v>
      </c>
      <c r="O3119" s="82" t="str">
        <f aca="false">IF(L3119&lt;&gt;"",L3119+N3119,"")</f>
        <v/>
      </c>
      <c r="P3119" s="47" t="str">
        <f aca="false">IF(O3119&lt;&gt;"",O3119*0.1,"")</f>
        <v/>
      </c>
      <c r="Q3119" s="83" t="str">
        <f aca="false">IF(O3119&lt;&gt;"",O3119+P3119,"")</f>
        <v/>
      </c>
      <c r="R3119" s="84"/>
    </row>
    <row r="3120" customFormat="false" ht="15" hidden="false" customHeight="true" outlineLevel="0" collapsed="false">
      <c r="A3120" s="103"/>
      <c r="B3120" s="73"/>
      <c r="C3120" s="74"/>
      <c r="D3120" s="75"/>
      <c r="E3120" s="52" t="str">
        <f aca="false">IF(D3120&lt;&gt;"",IFERROR(VLOOKUP(D3120,PROVEEDORES!$A:$B,2,0),"!COD NO ENCONTRADO"),"")</f>
        <v/>
      </c>
      <c r="F3120" s="76" t="str">
        <f aca="false">IF(D3120&lt;&gt;"",IFERROR(VLOOKUP(D3120,PROVEEDORES!$A:$C,3,0),""),"")</f>
        <v/>
      </c>
      <c r="G3120" s="75"/>
      <c r="H3120" s="52" t="str">
        <f aca="false">IF(G3120&lt;&gt;"",IFERROR(VLOOKUP(G3120,PRODUCTOS!$A:$B,2,0),"!COD NO ENCONTRADO"),"")</f>
        <v/>
      </c>
      <c r="I3120" s="77"/>
      <c r="J3120" s="78"/>
      <c r="K3120" s="79"/>
      <c r="L3120" s="80" t="str">
        <f aca="false">IF(AND(J3120&lt;&gt;"",K3120&lt;&gt;""),J3120*K3120,"")</f>
        <v/>
      </c>
      <c r="M3120" s="81" t="str">
        <f aca="false">IF(L3120&lt;&gt;"",L3120*1.1,"")</f>
        <v/>
      </c>
      <c r="N3120" s="53" t="n">
        <f aca="false">IF(F3120="S",L3120*0.02,0)</f>
        <v>0</v>
      </c>
      <c r="O3120" s="82" t="str">
        <f aca="false">IF(L3120&lt;&gt;"",L3120+N3120,"")</f>
        <v/>
      </c>
      <c r="P3120" s="53" t="str">
        <f aca="false">IF(O3120&lt;&gt;"",O3120*0.1,"")</f>
        <v/>
      </c>
      <c r="Q3120" s="83" t="str">
        <f aca="false">IF(O3120&lt;&gt;"",O3120+P3120,"")</f>
        <v/>
      </c>
      <c r="R3120" s="84"/>
    </row>
    <row r="3121" customFormat="false" ht="15" hidden="false" customHeight="true" outlineLevel="0" collapsed="false">
      <c r="A3121" s="103"/>
      <c r="B3121" s="85"/>
      <c r="C3121" s="86"/>
      <c r="D3121" s="87"/>
      <c r="E3121" s="46" t="str">
        <f aca="false">IF(D3121&lt;&gt;"",IFERROR(VLOOKUP(D3121,PROVEEDORES!$A:$B,2,0),"!COD NO ENCONTRADO"),"")</f>
        <v/>
      </c>
      <c r="F3121" s="88" t="str">
        <f aca="false">IF(D3121&lt;&gt;"",IFERROR(VLOOKUP(D3121,PROVEEDORES!$A:$C,3,0),""),"")</f>
        <v/>
      </c>
      <c r="G3121" s="87"/>
      <c r="H3121" s="46" t="str">
        <f aca="false">IF(G3121&lt;&gt;"",IFERROR(VLOOKUP(G3121,PRODUCTOS!$A:$B,2,0),"!COD NO ENCONTRADO"),"")</f>
        <v/>
      </c>
      <c r="I3121" s="89"/>
      <c r="J3121" s="90"/>
      <c r="K3121" s="91"/>
      <c r="L3121" s="80" t="str">
        <f aca="false">IF(AND(J3121&lt;&gt;"",K3121&lt;&gt;""),J3121*K3121,"")</f>
        <v/>
      </c>
      <c r="M3121" s="81" t="str">
        <f aca="false">IF(L3121&lt;&gt;"",L3121*1.1,"")</f>
        <v/>
      </c>
      <c r="N3121" s="47" t="n">
        <f aca="false">IF(F3121="S",L3121*0.02,0)</f>
        <v>0</v>
      </c>
      <c r="O3121" s="82" t="str">
        <f aca="false">IF(L3121&lt;&gt;"",L3121+N3121,"")</f>
        <v/>
      </c>
      <c r="P3121" s="47" t="str">
        <f aca="false">IF(O3121&lt;&gt;"",O3121*0.1,"")</f>
        <v/>
      </c>
      <c r="Q3121" s="83" t="str">
        <f aca="false">IF(O3121&lt;&gt;"",O3121+P3121,"")</f>
        <v/>
      </c>
      <c r="R3121" s="84"/>
    </row>
    <row r="3122" customFormat="false" ht="15" hidden="false" customHeight="true" outlineLevel="0" collapsed="false">
      <c r="A3122" s="103"/>
      <c r="B3122" s="73"/>
      <c r="C3122" s="74"/>
      <c r="D3122" s="75"/>
      <c r="E3122" s="52" t="str">
        <f aca="false">IF(D3122&lt;&gt;"",IFERROR(VLOOKUP(D3122,PROVEEDORES!$A:$B,2,0),"!COD NO ENCONTRADO"),"")</f>
        <v/>
      </c>
      <c r="F3122" s="76" t="str">
        <f aca="false">IF(D3122&lt;&gt;"",IFERROR(VLOOKUP(D3122,PROVEEDORES!$A:$C,3,0),""),"")</f>
        <v/>
      </c>
      <c r="G3122" s="75"/>
      <c r="H3122" s="52" t="str">
        <f aca="false">IF(G3122&lt;&gt;"",IFERROR(VLOOKUP(G3122,PRODUCTOS!$A:$B,2,0),"!COD NO ENCONTRADO"),"")</f>
        <v/>
      </c>
      <c r="I3122" s="77"/>
      <c r="J3122" s="78"/>
      <c r="K3122" s="79"/>
      <c r="L3122" s="80" t="str">
        <f aca="false">IF(AND(J3122&lt;&gt;"",K3122&lt;&gt;""),J3122*K3122,"")</f>
        <v/>
      </c>
      <c r="M3122" s="81" t="str">
        <f aca="false">IF(L3122&lt;&gt;"",L3122*1.1,"")</f>
        <v/>
      </c>
      <c r="N3122" s="53" t="n">
        <f aca="false">IF(F3122="S",L3122*0.02,0)</f>
        <v>0</v>
      </c>
      <c r="O3122" s="82" t="str">
        <f aca="false">IF(L3122&lt;&gt;"",L3122+N3122,"")</f>
        <v/>
      </c>
      <c r="P3122" s="53" t="str">
        <f aca="false">IF(O3122&lt;&gt;"",O3122*0.1,"")</f>
        <v/>
      </c>
      <c r="Q3122" s="83" t="str">
        <f aca="false">IF(O3122&lt;&gt;"",O3122+P3122,"")</f>
        <v/>
      </c>
      <c r="R3122" s="84"/>
    </row>
    <row r="3123" customFormat="false" ht="15" hidden="false" customHeight="true" outlineLevel="0" collapsed="false">
      <c r="A3123" s="103"/>
      <c r="B3123" s="85"/>
      <c r="C3123" s="86"/>
      <c r="D3123" s="87"/>
      <c r="E3123" s="46" t="str">
        <f aca="false">IF(D3123&lt;&gt;"",IFERROR(VLOOKUP(D3123,PROVEEDORES!$A:$B,2,0),"!COD NO ENCONTRADO"),"")</f>
        <v/>
      </c>
      <c r="F3123" s="88" t="str">
        <f aca="false">IF(D3123&lt;&gt;"",IFERROR(VLOOKUP(D3123,PROVEEDORES!$A:$C,3,0),""),"")</f>
        <v/>
      </c>
      <c r="G3123" s="87"/>
      <c r="H3123" s="46" t="str">
        <f aca="false">IF(G3123&lt;&gt;"",IFERROR(VLOOKUP(G3123,PRODUCTOS!$A:$B,2,0),"!COD NO ENCONTRADO"),"")</f>
        <v/>
      </c>
      <c r="I3123" s="89"/>
      <c r="J3123" s="90"/>
      <c r="K3123" s="91"/>
      <c r="L3123" s="80" t="str">
        <f aca="false">IF(AND(J3123&lt;&gt;"",K3123&lt;&gt;""),J3123*K3123,"")</f>
        <v/>
      </c>
      <c r="M3123" s="81" t="str">
        <f aca="false">IF(L3123&lt;&gt;"",L3123*1.1,"")</f>
        <v/>
      </c>
      <c r="N3123" s="47" t="n">
        <f aca="false">IF(F3123="S",L3123*0.02,0)</f>
        <v>0</v>
      </c>
      <c r="O3123" s="82" t="str">
        <f aca="false">IF(L3123&lt;&gt;"",L3123+N3123,"")</f>
        <v/>
      </c>
      <c r="P3123" s="47" t="str">
        <f aca="false">IF(O3123&lt;&gt;"",O3123*0.1,"")</f>
        <v/>
      </c>
      <c r="Q3123" s="83" t="str">
        <f aca="false">IF(O3123&lt;&gt;"",O3123+P3123,"")</f>
        <v/>
      </c>
      <c r="R3123" s="84"/>
    </row>
    <row r="3124" customFormat="false" ht="15" hidden="false" customHeight="true" outlineLevel="0" collapsed="false">
      <c r="A3124" s="103"/>
      <c r="B3124" s="73"/>
      <c r="C3124" s="74"/>
      <c r="D3124" s="75"/>
      <c r="E3124" s="52" t="str">
        <f aca="false">IF(D3124&lt;&gt;"",IFERROR(VLOOKUP(D3124,PROVEEDORES!$A:$B,2,0),"!COD NO ENCONTRADO"),"")</f>
        <v/>
      </c>
      <c r="F3124" s="76" t="str">
        <f aca="false">IF(D3124&lt;&gt;"",IFERROR(VLOOKUP(D3124,PROVEEDORES!$A:$C,3,0),""),"")</f>
        <v/>
      </c>
      <c r="G3124" s="75"/>
      <c r="H3124" s="52" t="str">
        <f aca="false">IF(G3124&lt;&gt;"",IFERROR(VLOOKUP(G3124,PRODUCTOS!$A:$B,2,0),"!COD NO ENCONTRADO"),"")</f>
        <v/>
      </c>
      <c r="I3124" s="77"/>
      <c r="J3124" s="78"/>
      <c r="K3124" s="79"/>
      <c r="L3124" s="80" t="str">
        <f aca="false">IF(AND(J3124&lt;&gt;"",K3124&lt;&gt;""),J3124*K3124,"")</f>
        <v/>
      </c>
      <c r="M3124" s="81" t="str">
        <f aca="false">IF(L3124&lt;&gt;"",L3124*1.1,"")</f>
        <v/>
      </c>
      <c r="N3124" s="53" t="n">
        <f aca="false">IF(F3124="S",L3124*0.02,0)</f>
        <v>0</v>
      </c>
      <c r="O3124" s="82" t="str">
        <f aca="false">IF(L3124&lt;&gt;"",L3124+N3124,"")</f>
        <v/>
      </c>
      <c r="P3124" s="53" t="str">
        <f aca="false">IF(O3124&lt;&gt;"",O3124*0.1,"")</f>
        <v/>
      </c>
      <c r="Q3124" s="83" t="str">
        <f aca="false">IF(O3124&lt;&gt;"",O3124+P3124,"")</f>
        <v/>
      </c>
      <c r="R3124" s="84"/>
    </row>
    <row r="3125" customFormat="false" ht="15" hidden="false" customHeight="true" outlineLevel="0" collapsed="false">
      <c r="A3125" s="103"/>
      <c r="B3125" s="85"/>
      <c r="C3125" s="86"/>
      <c r="D3125" s="87"/>
      <c r="E3125" s="46" t="str">
        <f aca="false">IF(D3125&lt;&gt;"",IFERROR(VLOOKUP(D3125,PROVEEDORES!$A:$B,2,0),"!COD NO ENCONTRADO"),"")</f>
        <v/>
      </c>
      <c r="F3125" s="88" t="str">
        <f aca="false">IF(D3125&lt;&gt;"",IFERROR(VLOOKUP(D3125,PROVEEDORES!$A:$C,3,0),""),"")</f>
        <v/>
      </c>
      <c r="G3125" s="87"/>
      <c r="H3125" s="46" t="str">
        <f aca="false">IF(G3125&lt;&gt;"",IFERROR(VLOOKUP(G3125,PRODUCTOS!$A:$B,2,0),"!COD NO ENCONTRADO"),"")</f>
        <v/>
      </c>
      <c r="I3125" s="89"/>
      <c r="J3125" s="90"/>
      <c r="K3125" s="91"/>
      <c r="L3125" s="80" t="str">
        <f aca="false">IF(AND(J3125&lt;&gt;"",K3125&lt;&gt;""),J3125*K3125,"")</f>
        <v/>
      </c>
      <c r="M3125" s="81" t="str">
        <f aca="false">IF(L3125&lt;&gt;"",L3125*1.1,"")</f>
        <v/>
      </c>
      <c r="N3125" s="47" t="n">
        <f aca="false">IF(F3125="S",L3125*0.02,0)</f>
        <v>0</v>
      </c>
      <c r="O3125" s="82" t="str">
        <f aca="false">IF(L3125&lt;&gt;"",L3125+N3125,"")</f>
        <v/>
      </c>
      <c r="P3125" s="47" t="str">
        <f aca="false">IF(O3125&lt;&gt;"",O3125*0.1,"")</f>
        <v/>
      </c>
      <c r="Q3125" s="83" t="str">
        <f aca="false">IF(O3125&lt;&gt;"",O3125+P3125,"")</f>
        <v/>
      </c>
      <c r="R3125" s="84"/>
    </row>
    <row r="3126" customFormat="false" ht="15" hidden="false" customHeight="true" outlineLevel="0" collapsed="false">
      <c r="A3126" s="103"/>
      <c r="B3126" s="73"/>
      <c r="C3126" s="74"/>
      <c r="D3126" s="75"/>
      <c r="E3126" s="52" t="str">
        <f aca="false">IF(D3126&lt;&gt;"",IFERROR(VLOOKUP(D3126,PROVEEDORES!$A:$B,2,0),"!COD NO ENCONTRADO"),"")</f>
        <v/>
      </c>
      <c r="F3126" s="76" t="str">
        <f aca="false">IF(D3126&lt;&gt;"",IFERROR(VLOOKUP(D3126,PROVEEDORES!$A:$C,3,0),""),"")</f>
        <v/>
      </c>
      <c r="G3126" s="75"/>
      <c r="H3126" s="52" t="str">
        <f aca="false">IF(G3126&lt;&gt;"",IFERROR(VLOOKUP(G3126,PRODUCTOS!$A:$B,2,0),"!COD NO ENCONTRADO"),"")</f>
        <v/>
      </c>
      <c r="I3126" s="77"/>
      <c r="J3126" s="78"/>
      <c r="K3126" s="79"/>
      <c r="L3126" s="80" t="str">
        <f aca="false">IF(AND(J3126&lt;&gt;"",K3126&lt;&gt;""),J3126*K3126,"")</f>
        <v/>
      </c>
      <c r="M3126" s="81" t="str">
        <f aca="false">IF(L3126&lt;&gt;"",L3126*1.1,"")</f>
        <v/>
      </c>
      <c r="N3126" s="53" t="n">
        <f aca="false">IF(F3126="S",L3126*0.02,0)</f>
        <v>0</v>
      </c>
      <c r="O3126" s="82" t="str">
        <f aca="false">IF(L3126&lt;&gt;"",L3126+N3126,"")</f>
        <v/>
      </c>
      <c r="P3126" s="53" t="str">
        <f aca="false">IF(O3126&lt;&gt;"",O3126*0.1,"")</f>
        <v/>
      </c>
      <c r="Q3126" s="83" t="str">
        <f aca="false">IF(O3126&lt;&gt;"",O3126+P3126,"")</f>
        <v/>
      </c>
      <c r="R3126" s="84"/>
    </row>
    <row r="3127" customFormat="false" ht="15" hidden="false" customHeight="true" outlineLevel="0" collapsed="false">
      <c r="A3127" s="103"/>
      <c r="B3127" s="85"/>
      <c r="C3127" s="86"/>
      <c r="D3127" s="87"/>
      <c r="E3127" s="46" t="str">
        <f aca="false">IF(D3127&lt;&gt;"",IFERROR(VLOOKUP(D3127,PROVEEDORES!$A:$B,2,0),"!COD NO ENCONTRADO"),"")</f>
        <v/>
      </c>
      <c r="F3127" s="88" t="str">
        <f aca="false">IF(D3127&lt;&gt;"",IFERROR(VLOOKUP(D3127,PROVEEDORES!$A:$C,3,0),""),"")</f>
        <v/>
      </c>
      <c r="G3127" s="87"/>
      <c r="H3127" s="46" t="str">
        <f aca="false">IF(G3127&lt;&gt;"",IFERROR(VLOOKUP(G3127,PRODUCTOS!$A:$B,2,0),"!COD NO ENCONTRADO"),"")</f>
        <v/>
      </c>
      <c r="I3127" s="89"/>
      <c r="J3127" s="90"/>
      <c r="K3127" s="91"/>
      <c r="L3127" s="80" t="str">
        <f aca="false">IF(AND(J3127&lt;&gt;"",K3127&lt;&gt;""),J3127*K3127,"")</f>
        <v/>
      </c>
      <c r="M3127" s="81" t="str">
        <f aca="false">IF(L3127&lt;&gt;"",L3127*1.1,"")</f>
        <v/>
      </c>
      <c r="N3127" s="47" t="n">
        <f aca="false">IF(F3127="S",L3127*0.02,0)</f>
        <v>0</v>
      </c>
      <c r="O3127" s="82" t="str">
        <f aca="false">IF(L3127&lt;&gt;"",L3127+N3127,"")</f>
        <v/>
      </c>
      <c r="P3127" s="47" t="str">
        <f aca="false">IF(O3127&lt;&gt;"",O3127*0.1,"")</f>
        <v/>
      </c>
      <c r="Q3127" s="83" t="str">
        <f aca="false">IF(O3127&lt;&gt;"",O3127+P3127,"")</f>
        <v/>
      </c>
      <c r="R3127" s="84"/>
    </row>
    <row r="3128" customFormat="false" ht="15" hidden="false" customHeight="true" outlineLevel="0" collapsed="false">
      <c r="A3128" s="103"/>
      <c r="B3128" s="73"/>
      <c r="C3128" s="74"/>
      <c r="D3128" s="75"/>
      <c r="E3128" s="52" t="str">
        <f aca="false">IF(D3128&lt;&gt;"",IFERROR(VLOOKUP(D3128,PROVEEDORES!$A:$B,2,0),"!COD NO ENCONTRADO"),"")</f>
        <v/>
      </c>
      <c r="F3128" s="76" t="str">
        <f aca="false">IF(D3128&lt;&gt;"",IFERROR(VLOOKUP(D3128,PROVEEDORES!$A:$C,3,0),""),"")</f>
        <v/>
      </c>
      <c r="G3128" s="75"/>
      <c r="H3128" s="52" t="str">
        <f aca="false">IF(G3128&lt;&gt;"",IFERROR(VLOOKUP(G3128,PRODUCTOS!$A:$B,2,0),"!COD NO ENCONTRADO"),"")</f>
        <v/>
      </c>
      <c r="I3128" s="77"/>
      <c r="J3128" s="78"/>
      <c r="K3128" s="79"/>
      <c r="L3128" s="80" t="str">
        <f aca="false">IF(AND(J3128&lt;&gt;"",K3128&lt;&gt;""),J3128*K3128,"")</f>
        <v/>
      </c>
      <c r="M3128" s="81" t="str">
        <f aca="false">IF(L3128&lt;&gt;"",L3128*1.1,"")</f>
        <v/>
      </c>
      <c r="N3128" s="53" t="n">
        <f aca="false">IF(F3128="S",L3128*0.02,0)</f>
        <v>0</v>
      </c>
      <c r="O3128" s="82" t="str">
        <f aca="false">IF(L3128&lt;&gt;"",L3128+N3128,"")</f>
        <v/>
      </c>
      <c r="P3128" s="53" t="str">
        <f aca="false">IF(O3128&lt;&gt;"",O3128*0.1,"")</f>
        <v/>
      </c>
      <c r="Q3128" s="83" t="str">
        <f aca="false">IF(O3128&lt;&gt;"",O3128+P3128,"")</f>
        <v/>
      </c>
      <c r="R3128" s="84"/>
    </row>
    <row r="3129" customFormat="false" ht="15" hidden="false" customHeight="true" outlineLevel="0" collapsed="false">
      <c r="A3129" s="103"/>
      <c r="B3129" s="85"/>
      <c r="C3129" s="86"/>
      <c r="D3129" s="87"/>
      <c r="E3129" s="46" t="str">
        <f aca="false">IF(D3129&lt;&gt;"",IFERROR(VLOOKUP(D3129,PROVEEDORES!$A:$B,2,0),"!COD NO ENCONTRADO"),"")</f>
        <v/>
      </c>
      <c r="F3129" s="88" t="str">
        <f aca="false">IF(D3129&lt;&gt;"",IFERROR(VLOOKUP(D3129,PROVEEDORES!$A:$C,3,0),""),"")</f>
        <v/>
      </c>
      <c r="G3129" s="87"/>
      <c r="H3129" s="46" t="str">
        <f aca="false">IF(G3129&lt;&gt;"",IFERROR(VLOOKUP(G3129,PRODUCTOS!$A:$B,2,0),"!COD NO ENCONTRADO"),"")</f>
        <v/>
      </c>
      <c r="I3129" s="89"/>
      <c r="J3129" s="90"/>
      <c r="K3129" s="91"/>
      <c r="L3129" s="80" t="str">
        <f aca="false">IF(AND(J3129&lt;&gt;"",K3129&lt;&gt;""),J3129*K3129,"")</f>
        <v/>
      </c>
      <c r="M3129" s="81" t="str">
        <f aca="false">IF(L3129&lt;&gt;"",L3129*1.1,"")</f>
        <v/>
      </c>
      <c r="N3129" s="47" t="n">
        <f aca="false">IF(F3129="S",L3129*0.02,0)</f>
        <v>0</v>
      </c>
      <c r="O3129" s="82" t="str">
        <f aca="false">IF(L3129&lt;&gt;"",L3129+N3129,"")</f>
        <v/>
      </c>
      <c r="P3129" s="47" t="str">
        <f aca="false">IF(O3129&lt;&gt;"",O3129*0.1,"")</f>
        <v/>
      </c>
      <c r="Q3129" s="83" t="str">
        <f aca="false">IF(O3129&lt;&gt;"",O3129+P3129,"")</f>
        <v/>
      </c>
      <c r="R3129" s="84"/>
    </row>
    <row r="3130" customFormat="false" ht="15" hidden="false" customHeight="true" outlineLevel="0" collapsed="false">
      <c r="A3130" s="103"/>
      <c r="B3130" s="73"/>
      <c r="C3130" s="74"/>
      <c r="D3130" s="75"/>
      <c r="E3130" s="52" t="str">
        <f aca="false">IF(D3130&lt;&gt;"",IFERROR(VLOOKUP(D3130,PROVEEDORES!$A:$B,2,0),"!COD NO ENCONTRADO"),"")</f>
        <v/>
      </c>
      <c r="F3130" s="76" t="str">
        <f aca="false">IF(D3130&lt;&gt;"",IFERROR(VLOOKUP(D3130,PROVEEDORES!$A:$C,3,0),""),"")</f>
        <v/>
      </c>
      <c r="G3130" s="75"/>
      <c r="H3130" s="52" t="str">
        <f aca="false">IF(G3130&lt;&gt;"",IFERROR(VLOOKUP(G3130,PRODUCTOS!$A:$B,2,0),"!COD NO ENCONTRADO"),"")</f>
        <v/>
      </c>
      <c r="I3130" s="77"/>
      <c r="J3130" s="78"/>
      <c r="K3130" s="79"/>
      <c r="L3130" s="80" t="str">
        <f aca="false">IF(AND(J3130&lt;&gt;"",K3130&lt;&gt;""),J3130*K3130,"")</f>
        <v/>
      </c>
      <c r="M3130" s="81" t="str">
        <f aca="false">IF(L3130&lt;&gt;"",L3130*1.1,"")</f>
        <v/>
      </c>
      <c r="N3130" s="53" t="n">
        <f aca="false">IF(F3130="S",L3130*0.02,0)</f>
        <v>0</v>
      </c>
      <c r="O3130" s="82" t="str">
        <f aca="false">IF(L3130&lt;&gt;"",L3130+N3130,"")</f>
        <v/>
      </c>
      <c r="P3130" s="53" t="str">
        <f aca="false">IF(O3130&lt;&gt;"",O3130*0.1,"")</f>
        <v/>
      </c>
      <c r="Q3130" s="83" t="str">
        <f aca="false">IF(O3130&lt;&gt;"",O3130+P3130,"")</f>
        <v/>
      </c>
      <c r="R3130" s="84"/>
    </row>
    <row r="3131" customFormat="false" ht="15" hidden="false" customHeight="true" outlineLevel="0" collapsed="false">
      <c r="A3131" s="103"/>
      <c r="B3131" s="85"/>
      <c r="C3131" s="86"/>
      <c r="D3131" s="87"/>
      <c r="E3131" s="46" t="str">
        <f aca="false">IF(D3131&lt;&gt;"",IFERROR(VLOOKUP(D3131,PROVEEDORES!$A:$B,2,0),"!COD NO ENCONTRADO"),"")</f>
        <v/>
      </c>
      <c r="F3131" s="88" t="str">
        <f aca="false">IF(D3131&lt;&gt;"",IFERROR(VLOOKUP(D3131,PROVEEDORES!$A:$C,3,0),""),"")</f>
        <v/>
      </c>
      <c r="G3131" s="87"/>
      <c r="H3131" s="46" t="str">
        <f aca="false">IF(G3131&lt;&gt;"",IFERROR(VLOOKUP(G3131,PRODUCTOS!$A:$B,2,0),"!COD NO ENCONTRADO"),"")</f>
        <v/>
      </c>
      <c r="I3131" s="89"/>
      <c r="J3131" s="90"/>
      <c r="K3131" s="91"/>
      <c r="L3131" s="80" t="str">
        <f aca="false">IF(AND(J3131&lt;&gt;"",K3131&lt;&gt;""),J3131*K3131,"")</f>
        <v/>
      </c>
      <c r="M3131" s="81" t="str">
        <f aca="false">IF(L3131&lt;&gt;"",L3131*1.1,"")</f>
        <v/>
      </c>
      <c r="N3131" s="47" t="n">
        <f aca="false">IF(F3131="S",L3131*0.02,0)</f>
        <v>0</v>
      </c>
      <c r="O3131" s="82" t="str">
        <f aca="false">IF(L3131&lt;&gt;"",L3131+N3131,"")</f>
        <v/>
      </c>
      <c r="P3131" s="47" t="str">
        <f aca="false">IF(O3131&lt;&gt;"",O3131*0.1,"")</f>
        <v/>
      </c>
      <c r="Q3131" s="83" t="str">
        <f aca="false">IF(O3131&lt;&gt;"",O3131+P3131,"")</f>
        <v/>
      </c>
      <c r="R3131" s="84"/>
    </row>
    <row r="3132" customFormat="false" ht="15" hidden="false" customHeight="true" outlineLevel="0" collapsed="false">
      <c r="A3132" s="103"/>
      <c r="B3132" s="73"/>
      <c r="C3132" s="74"/>
      <c r="D3132" s="75"/>
      <c r="E3132" s="52" t="str">
        <f aca="false">IF(D3132&lt;&gt;"",IFERROR(VLOOKUP(D3132,PROVEEDORES!$A:$B,2,0),"!COD NO ENCONTRADO"),"")</f>
        <v/>
      </c>
      <c r="F3132" s="76" t="str">
        <f aca="false">IF(D3132&lt;&gt;"",IFERROR(VLOOKUP(D3132,PROVEEDORES!$A:$C,3,0),""),"")</f>
        <v/>
      </c>
      <c r="G3132" s="75"/>
      <c r="H3132" s="52" t="str">
        <f aca="false">IF(G3132&lt;&gt;"",IFERROR(VLOOKUP(G3132,PRODUCTOS!$A:$B,2,0),"!COD NO ENCONTRADO"),"")</f>
        <v/>
      </c>
      <c r="I3132" s="77"/>
      <c r="J3132" s="78"/>
      <c r="K3132" s="79"/>
      <c r="L3132" s="80" t="str">
        <f aca="false">IF(AND(J3132&lt;&gt;"",K3132&lt;&gt;""),J3132*K3132,"")</f>
        <v/>
      </c>
      <c r="M3132" s="81" t="str">
        <f aca="false">IF(L3132&lt;&gt;"",L3132*1.1,"")</f>
        <v/>
      </c>
      <c r="N3132" s="53" t="n">
        <f aca="false">IF(F3132="S",L3132*0.02,0)</f>
        <v>0</v>
      </c>
      <c r="O3132" s="82" t="str">
        <f aca="false">IF(L3132&lt;&gt;"",L3132+N3132,"")</f>
        <v/>
      </c>
      <c r="P3132" s="53" t="str">
        <f aca="false">IF(O3132&lt;&gt;"",O3132*0.1,"")</f>
        <v/>
      </c>
      <c r="Q3132" s="83" t="str">
        <f aca="false">IF(O3132&lt;&gt;"",O3132+P3132,"")</f>
        <v/>
      </c>
      <c r="R3132" s="84"/>
    </row>
    <row r="3133" customFormat="false" ht="15" hidden="false" customHeight="true" outlineLevel="0" collapsed="false">
      <c r="A3133" s="103"/>
      <c r="B3133" s="85"/>
      <c r="C3133" s="86"/>
      <c r="D3133" s="87"/>
      <c r="E3133" s="46" t="str">
        <f aca="false">IF(D3133&lt;&gt;"",IFERROR(VLOOKUP(D3133,PROVEEDORES!$A:$B,2,0),"!COD NO ENCONTRADO"),"")</f>
        <v/>
      </c>
      <c r="F3133" s="88" t="str">
        <f aca="false">IF(D3133&lt;&gt;"",IFERROR(VLOOKUP(D3133,PROVEEDORES!$A:$C,3,0),""),"")</f>
        <v/>
      </c>
      <c r="G3133" s="87"/>
      <c r="H3133" s="46" t="str">
        <f aca="false">IF(G3133&lt;&gt;"",IFERROR(VLOOKUP(G3133,PRODUCTOS!$A:$B,2,0),"!COD NO ENCONTRADO"),"")</f>
        <v/>
      </c>
      <c r="I3133" s="89"/>
      <c r="J3133" s="90"/>
      <c r="K3133" s="91"/>
      <c r="L3133" s="80" t="str">
        <f aca="false">IF(AND(J3133&lt;&gt;"",K3133&lt;&gt;""),J3133*K3133,"")</f>
        <v/>
      </c>
      <c r="M3133" s="81" t="str">
        <f aca="false">IF(L3133&lt;&gt;"",L3133*1.1,"")</f>
        <v/>
      </c>
      <c r="N3133" s="47" t="n">
        <f aca="false">IF(F3133="S",L3133*0.02,0)</f>
        <v>0</v>
      </c>
      <c r="O3133" s="82" t="str">
        <f aca="false">IF(L3133&lt;&gt;"",L3133+N3133,"")</f>
        <v/>
      </c>
      <c r="P3133" s="47" t="str">
        <f aca="false">IF(O3133&lt;&gt;"",O3133*0.1,"")</f>
        <v/>
      </c>
      <c r="Q3133" s="83" t="str">
        <f aca="false">IF(O3133&lt;&gt;"",O3133+P3133,"")</f>
        <v/>
      </c>
      <c r="R3133" s="84"/>
    </row>
    <row r="3134" customFormat="false" ht="15" hidden="false" customHeight="true" outlineLevel="0" collapsed="false">
      <c r="A3134" s="103"/>
      <c r="B3134" s="73"/>
      <c r="C3134" s="74"/>
      <c r="D3134" s="75"/>
      <c r="E3134" s="52" t="str">
        <f aca="false">IF(D3134&lt;&gt;"",IFERROR(VLOOKUP(D3134,PROVEEDORES!$A:$B,2,0),"!COD NO ENCONTRADO"),"")</f>
        <v/>
      </c>
      <c r="F3134" s="76" t="str">
        <f aca="false">IF(D3134&lt;&gt;"",IFERROR(VLOOKUP(D3134,PROVEEDORES!$A:$C,3,0),""),"")</f>
        <v/>
      </c>
      <c r="G3134" s="75"/>
      <c r="H3134" s="52" t="str">
        <f aca="false">IF(G3134&lt;&gt;"",IFERROR(VLOOKUP(G3134,PRODUCTOS!$A:$B,2,0),"!COD NO ENCONTRADO"),"")</f>
        <v/>
      </c>
      <c r="I3134" s="77"/>
      <c r="J3134" s="78"/>
      <c r="K3134" s="79"/>
      <c r="L3134" s="80" t="str">
        <f aca="false">IF(AND(J3134&lt;&gt;"",K3134&lt;&gt;""),J3134*K3134,"")</f>
        <v/>
      </c>
      <c r="M3134" s="81" t="str">
        <f aca="false">IF(L3134&lt;&gt;"",L3134*1.1,"")</f>
        <v/>
      </c>
      <c r="N3134" s="53" t="n">
        <f aca="false">IF(F3134="S",L3134*0.02,0)</f>
        <v>0</v>
      </c>
      <c r="O3134" s="82" t="str">
        <f aca="false">IF(L3134&lt;&gt;"",L3134+N3134,"")</f>
        <v/>
      </c>
      <c r="P3134" s="53" t="str">
        <f aca="false">IF(O3134&lt;&gt;"",O3134*0.1,"")</f>
        <v/>
      </c>
      <c r="Q3134" s="83" t="str">
        <f aca="false">IF(O3134&lt;&gt;"",O3134+P3134,"")</f>
        <v/>
      </c>
      <c r="R3134" s="84"/>
    </row>
    <row r="3135" customFormat="false" ht="15" hidden="false" customHeight="true" outlineLevel="0" collapsed="false">
      <c r="A3135" s="103"/>
      <c r="B3135" s="85"/>
      <c r="C3135" s="86"/>
      <c r="D3135" s="87"/>
      <c r="E3135" s="46" t="str">
        <f aca="false">IF(D3135&lt;&gt;"",IFERROR(VLOOKUP(D3135,PROVEEDORES!$A:$B,2,0),"!COD NO ENCONTRADO"),"")</f>
        <v/>
      </c>
      <c r="F3135" s="88" t="str">
        <f aca="false">IF(D3135&lt;&gt;"",IFERROR(VLOOKUP(D3135,PROVEEDORES!$A:$C,3,0),""),"")</f>
        <v/>
      </c>
      <c r="G3135" s="87"/>
      <c r="H3135" s="46" t="str">
        <f aca="false">IF(G3135&lt;&gt;"",IFERROR(VLOOKUP(G3135,PRODUCTOS!$A:$B,2,0),"!COD NO ENCONTRADO"),"")</f>
        <v/>
      </c>
      <c r="I3135" s="89"/>
      <c r="J3135" s="90"/>
      <c r="K3135" s="91"/>
      <c r="L3135" s="80" t="str">
        <f aca="false">IF(AND(J3135&lt;&gt;"",K3135&lt;&gt;""),J3135*K3135,"")</f>
        <v/>
      </c>
      <c r="M3135" s="81" t="str">
        <f aca="false">IF(L3135&lt;&gt;"",L3135*1.1,"")</f>
        <v/>
      </c>
      <c r="N3135" s="47" t="n">
        <f aca="false">IF(F3135="S",L3135*0.02,0)</f>
        <v>0</v>
      </c>
      <c r="O3135" s="82" t="str">
        <f aca="false">IF(L3135&lt;&gt;"",L3135+N3135,"")</f>
        <v/>
      </c>
      <c r="P3135" s="47" t="str">
        <f aca="false">IF(O3135&lt;&gt;"",O3135*0.1,"")</f>
        <v/>
      </c>
      <c r="Q3135" s="83" t="str">
        <f aca="false">IF(O3135&lt;&gt;"",O3135+P3135,"")</f>
        <v/>
      </c>
      <c r="R3135" s="84"/>
    </row>
    <row r="3136" customFormat="false" ht="15" hidden="false" customHeight="true" outlineLevel="0" collapsed="false">
      <c r="A3136" s="103"/>
      <c r="B3136" s="73"/>
      <c r="C3136" s="74"/>
      <c r="D3136" s="75"/>
      <c r="E3136" s="52" t="str">
        <f aca="false">IF(D3136&lt;&gt;"",IFERROR(VLOOKUP(D3136,PROVEEDORES!$A:$B,2,0),"!COD NO ENCONTRADO"),"")</f>
        <v/>
      </c>
      <c r="F3136" s="76" t="str">
        <f aca="false">IF(D3136&lt;&gt;"",IFERROR(VLOOKUP(D3136,PROVEEDORES!$A:$C,3,0),""),"")</f>
        <v/>
      </c>
      <c r="G3136" s="75"/>
      <c r="H3136" s="52" t="str">
        <f aca="false">IF(G3136&lt;&gt;"",IFERROR(VLOOKUP(G3136,PRODUCTOS!$A:$B,2,0),"!COD NO ENCONTRADO"),"")</f>
        <v/>
      </c>
      <c r="I3136" s="77"/>
      <c r="J3136" s="78"/>
      <c r="K3136" s="79"/>
      <c r="L3136" s="80" t="str">
        <f aca="false">IF(AND(J3136&lt;&gt;"",K3136&lt;&gt;""),J3136*K3136,"")</f>
        <v/>
      </c>
      <c r="M3136" s="81" t="str">
        <f aca="false">IF(L3136&lt;&gt;"",L3136*1.1,"")</f>
        <v/>
      </c>
      <c r="N3136" s="53" t="n">
        <f aca="false">IF(F3136="S",L3136*0.02,0)</f>
        <v>0</v>
      </c>
      <c r="O3136" s="82" t="str">
        <f aca="false">IF(L3136&lt;&gt;"",L3136+N3136,"")</f>
        <v/>
      </c>
      <c r="P3136" s="53" t="str">
        <f aca="false">IF(O3136&lt;&gt;"",O3136*0.1,"")</f>
        <v/>
      </c>
      <c r="Q3136" s="83" t="str">
        <f aca="false">IF(O3136&lt;&gt;"",O3136+P3136,"")</f>
        <v/>
      </c>
      <c r="R3136" s="84"/>
    </row>
    <row r="3137" customFormat="false" ht="15" hidden="false" customHeight="true" outlineLevel="0" collapsed="false">
      <c r="A3137" s="103"/>
      <c r="B3137" s="85"/>
      <c r="C3137" s="86"/>
      <c r="D3137" s="87"/>
      <c r="E3137" s="46" t="str">
        <f aca="false">IF(D3137&lt;&gt;"",IFERROR(VLOOKUP(D3137,PROVEEDORES!$A:$B,2,0),"!COD NO ENCONTRADO"),"")</f>
        <v/>
      </c>
      <c r="F3137" s="88" t="str">
        <f aca="false">IF(D3137&lt;&gt;"",IFERROR(VLOOKUP(D3137,PROVEEDORES!$A:$C,3,0),""),"")</f>
        <v/>
      </c>
      <c r="G3137" s="87"/>
      <c r="H3137" s="46" t="str">
        <f aca="false">IF(G3137&lt;&gt;"",IFERROR(VLOOKUP(G3137,PRODUCTOS!$A:$B,2,0),"!COD NO ENCONTRADO"),"")</f>
        <v/>
      </c>
      <c r="I3137" s="89"/>
      <c r="J3137" s="90"/>
      <c r="K3137" s="91"/>
      <c r="L3137" s="80" t="str">
        <f aca="false">IF(AND(J3137&lt;&gt;"",K3137&lt;&gt;""),J3137*K3137,"")</f>
        <v/>
      </c>
      <c r="M3137" s="81" t="str">
        <f aca="false">IF(L3137&lt;&gt;"",L3137*1.1,"")</f>
        <v/>
      </c>
      <c r="N3137" s="47" t="n">
        <f aca="false">IF(F3137="S",L3137*0.02,0)</f>
        <v>0</v>
      </c>
      <c r="O3137" s="82" t="str">
        <f aca="false">IF(L3137&lt;&gt;"",L3137+N3137,"")</f>
        <v/>
      </c>
      <c r="P3137" s="47" t="str">
        <f aca="false">IF(O3137&lt;&gt;"",O3137*0.1,"")</f>
        <v/>
      </c>
      <c r="Q3137" s="83" t="str">
        <f aca="false">IF(O3137&lt;&gt;"",O3137+P3137,"")</f>
        <v/>
      </c>
      <c r="R3137" s="84"/>
    </row>
    <row r="3138" customFormat="false" ht="15" hidden="false" customHeight="true" outlineLevel="0" collapsed="false">
      <c r="A3138" s="103"/>
      <c r="B3138" s="73"/>
      <c r="C3138" s="74"/>
      <c r="D3138" s="75"/>
      <c r="E3138" s="52" t="str">
        <f aca="false">IF(D3138&lt;&gt;"",IFERROR(VLOOKUP(D3138,PROVEEDORES!$A:$B,2,0),"!COD NO ENCONTRADO"),"")</f>
        <v/>
      </c>
      <c r="F3138" s="76" t="str">
        <f aca="false">IF(D3138&lt;&gt;"",IFERROR(VLOOKUP(D3138,PROVEEDORES!$A:$C,3,0),""),"")</f>
        <v/>
      </c>
      <c r="G3138" s="75"/>
      <c r="H3138" s="52" t="str">
        <f aca="false">IF(G3138&lt;&gt;"",IFERROR(VLOOKUP(G3138,PRODUCTOS!$A:$B,2,0),"!COD NO ENCONTRADO"),"")</f>
        <v/>
      </c>
      <c r="I3138" s="77"/>
      <c r="J3138" s="78"/>
      <c r="K3138" s="79"/>
      <c r="L3138" s="80" t="str">
        <f aca="false">IF(AND(J3138&lt;&gt;"",K3138&lt;&gt;""),J3138*K3138,"")</f>
        <v/>
      </c>
      <c r="M3138" s="81" t="str">
        <f aca="false">IF(L3138&lt;&gt;"",L3138*1.1,"")</f>
        <v/>
      </c>
      <c r="N3138" s="53" t="n">
        <f aca="false">IF(F3138="S",L3138*0.02,0)</f>
        <v>0</v>
      </c>
      <c r="O3138" s="82" t="str">
        <f aca="false">IF(L3138&lt;&gt;"",L3138+N3138,"")</f>
        <v/>
      </c>
      <c r="P3138" s="53" t="str">
        <f aca="false">IF(O3138&lt;&gt;"",O3138*0.1,"")</f>
        <v/>
      </c>
      <c r="Q3138" s="83" t="str">
        <f aca="false">IF(O3138&lt;&gt;"",O3138+P3138,"")</f>
        <v/>
      </c>
      <c r="R3138" s="84"/>
    </row>
    <row r="3139" customFormat="false" ht="15" hidden="false" customHeight="true" outlineLevel="0" collapsed="false">
      <c r="A3139" s="103"/>
      <c r="B3139" s="85"/>
      <c r="C3139" s="86"/>
      <c r="D3139" s="87"/>
      <c r="E3139" s="46" t="str">
        <f aca="false">IF(D3139&lt;&gt;"",IFERROR(VLOOKUP(D3139,PROVEEDORES!$A:$B,2,0),"!COD NO ENCONTRADO"),"")</f>
        <v/>
      </c>
      <c r="F3139" s="88" t="str">
        <f aca="false">IF(D3139&lt;&gt;"",IFERROR(VLOOKUP(D3139,PROVEEDORES!$A:$C,3,0),""),"")</f>
        <v/>
      </c>
      <c r="G3139" s="87"/>
      <c r="H3139" s="46" t="str">
        <f aca="false">IF(G3139&lt;&gt;"",IFERROR(VLOOKUP(G3139,PRODUCTOS!$A:$B,2,0),"!COD NO ENCONTRADO"),"")</f>
        <v/>
      </c>
      <c r="I3139" s="89"/>
      <c r="J3139" s="90"/>
      <c r="K3139" s="91"/>
      <c r="L3139" s="80" t="str">
        <f aca="false">IF(AND(J3139&lt;&gt;"",K3139&lt;&gt;""),J3139*K3139,"")</f>
        <v/>
      </c>
      <c r="M3139" s="81" t="str">
        <f aca="false">IF(L3139&lt;&gt;"",L3139*1.1,"")</f>
        <v/>
      </c>
      <c r="N3139" s="47" t="n">
        <f aca="false">IF(F3139="S",L3139*0.02,0)</f>
        <v>0</v>
      </c>
      <c r="O3139" s="82" t="str">
        <f aca="false">IF(L3139&lt;&gt;"",L3139+N3139,"")</f>
        <v/>
      </c>
      <c r="P3139" s="47" t="str">
        <f aca="false">IF(O3139&lt;&gt;"",O3139*0.1,"")</f>
        <v/>
      </c>
      <c r="Q3139" s="83" t="str">
        <f aca="false">IF(O3139&lt;&gt;"",O3139+P3139,"")</f>
        <v/>
      </c>
      <c r="R3139" s="84"/>
    </row>
    <row r="3140" customFormat="false" ht="15" hidden="false" customHeight="true" outlineLevel="0" collapsed="false">
      <c r="A3140" s="103"/>
      <c r="B3140" s="73"/>
      <c r="C3140" s="74"/>
      <c r="D3140" s="75"/>
      <c r="E3140" s="52" t="str">
        <f aca="false">IF(D3140&lt;&gt;"",IFERROR(VLOOKUP(D3140,PROVEEDORES!$A:$B,2,0),"!COD NO ENCONTRADO"),"")</f>
        <v/>
      </c>
      <c r="F3140" s="76" t="str">
        <f aca="false">IF(D3140&lt;&gt;"",IFERROR(VLOOKUP(D3140,PROVEEDORES!$A:$C,3,0),""),"")</f>
        <v/>
      </c>
      <c r="G3140" s="75"/>
      <c r="H3140" s="52" t="str">
        <f aca="false">IF(G3140&lt;&gt;"",IFERROR(VLOOKUP(G3140,PRODUCTOS!$A:$B,2,0),"!COD NO ENCONTRADO"),"")</f>
        <v/>
      </c>
      <c r="I3140" s="77"/>
      <c r="J3140" s="78"/>
      <c r="K3140" s="79"/>
      <c r="L3140" s="80" t="str">
        <f aca="false">IF(AND(J3140&lt;&gt;"",K3140&lt;&gt;""),J3140*K3140,"")</f>
        <v/>
      </c>
      <c r="M3140" s="81" t="str">
        <f aca="false">IF(L3140&lt;&gt;"",L3140*1.1,"")</f>
        <v/>
      </c>
      <c r="N3140" s="53" t="n">
        <f aca="false">IF(F3140="S",L3140*0.02,0)</f>
        <v>0</v>
      </c>
      <c r="O3140" s="82" t="str">
        <f aca="false">IF(L3140&lt;&gt;"",L3140+N3140,"")</f>
        <v/>
      </c>
      <c r="P3140" s="53" t="str">
        <f aca="false">IF(O3140&lt;&gt;"",O3140*0.1,"")</f>
        <v/>
      </c>
      <c r="Q3140" s="83" t="str">
        <f aca="false">IF(O3140&lt;&gt;"",O3140+P3140,"")</f>
        <v/>
      </c>
      <c r="R3140" s="84"/>
    </row>
    <row r="3141" customFormat="false" ht="15" hidden="false" customHeight="true" outlineLevel="0" collapsed="false">
      <c r="A3141" s="103"/>
      <c r="B3141" s="85"/>
      <c r="C3141" s="86"/>
      <c r="D3141" s="87"/>
      <c r="E3141" s="46" t="str">
        <f aca="false">IF(D3141&lt;&gt;"",IFERROR(VLOOKUP(D3141,PROVEEDORES!$A:$B,2,0),"!COD NO ENCONTRADO"),"")</f>
        <v/>
      </c>
      <c r="F3141" s="88" t="str">
        <f aca="false">IF(D3141&lt;&gt;"",IFERROR(VLOOKUP(D3141,PROVEEDORES!$A:$C,3,0),""),"")</f>
        <v/>
      </c>
      <c r="G3141" s="87"/>
      <c r="H3141" s="46" t="str">
        <f aca="false">IF(G3141&lt;&gt;"",IFERROR(VLOOKUP(G3141,PRODUCTOS!$A:$B,2,0),"!COD NO ENCONTRADO"),"")</f>
        <v/>
      </c>
      <c r="I3141" s="89"/>
      <c r="J3141" s="90"/>
      <c r="K3141" s="91"/>
      <c r="L3141" s="80" t="str">
        <f aca="false">IF(AND(J3141&lt;&gt;"",K3141&lt;&gt;""),J3141*K3141,"")</f>
        <v/>
      </c>
      <c r="M3141" s="81" t="str">
        <f aca="false">IF(L3141&lt;&gt;"",L3141*1.1,"")</f>
        <v/>
      </c>
      <c r="N3141" s="47" t="n">
        <f aca="false">IF(F3141="S",L3141*0.02,0)</f>
        <v>0</v>
      </c>
      <c r="O3141" s="82" t="str">
        <f aca="false">IF(L3141&lt;&gt;"",L3141+N3141,"")</f>
        <v/>
      </c>
      <c r="P3141" s="47" t="str">
        <f aca="false">IF(O3141&lt;&gt;"",O3141*0.1,"")</f>
        <v/>
      </c>
      <c r="Q3141" s="83" t="str">
        <f aca="false">IF(O3141&lt;&gt;"",O3141+P3141,"")</f>
        <v/>
      </c>
      <c r="R3141" s="84"/>
    </row>
    <row r="3142" customFormat="false" ht="15" hidden="false" customHeight="true" outlineLevel="0" collapsed="false">
      <c r="A3142" s="103"/>
      <c r="B3142" s="73"/>
      <c r="C3142" s="74"/>
      <c r="D3142" s="75"/>
      <c r="E3142" s="52" t="str">
        <f aca="false">IF(D3142&lt;&gt;"",IFERROR(VLOOKUP(D3142,PROVEEDORES!$A:$B,2,0),"!COD NO ENCONTRADO"),"")</f>
        <v/>
      </c>
      <c r="F3142" s="76" t="str">
        <f aca="false">IF(D3142&lt;&gt;"",IFERROR(VLOOKUP(D3142,PROVEEDORES!$A:$C,3,0),""),"")</f>
        <v/>
      </c>
      <c r="G3142" s="75"/>
      <c r="H3142" s="52" t="str">
        <f aca="false">IF(G3142&lt;&gt;"",IFERROR(VLOOKUP(G3142,PRODUCTOS!$A:$B,2,0),"!COD NO ENCONTRADO"),"")</f>
        <v/>
      </c>
      <c r="I3142" s="77"/>
      <c r="J3142" s="78"/>
      <c r="K3142" s="79"/>
      <c r="L3142" s="80" t="str">
        <f aca="false">IF(AND(J3142&lt;&gt;"",K3142&lt;&gt;""),J3142*K3142,"")</f>
        <v/>
      </c>
      <c r="M3142" s="81" t="str">
        <f aca="false">IF(L3142&lt;&gt;"",L3142*1.1,"")</f>
        <v/>
      </c>
      <c r="N3142" s="53" t="n">
        <f aca="false">IF(F3142="S",L3142*0.02,0)</f>
        <v>0</v>
      </c>
      <c r="O3142" s="82" t="str">
        <f aca="false">IF(L3142&lt;&gt;"",L3142+N3142,"")</f>
        <v/>
      </c>
      <c r="P3142" s="53" t="str">
        <f aca="false">IF(O3142&lt;&gt;"",O3142*0.1,"")</f>
        <v/>
      </c>
      <c r="Q3142" s="83" t="str">
        <f aca="false">IF(O3142&lt;&gt;"",O3142+P3142,"")</f>
        <v/>
      </c>
      <c r="R3142" s="84"/>
    </row>
    <row r="3143" customFormat="false" ht="15" hidden="false" customHeight="true" outlineLevel="0" collapsed="false">
      <c r="A3143" s="103"/>
      <c r="B3143" s="85"/>
      <c r="C3143" s="86"/>
      <c r="D3143" s="87"/>
      <c r="E3143" s="46" t="str">
        <f aca="false">IF(D3143&lt;&gt;"",IFERROR(VLOOKUP(D3143,PROVEEDORES!$A:$B,2,0),"!COD NO ENCONTRADO"),"")</f>
        <v/>
      </c>
      <c r="F3143" s="88" t="str">
        <f aca="false">IF(D3143&lt;&gt;"",IFERROR(VLOOKUP(D3143,PROVEEDORES!$A:$C,3,0),""),"")</f>
        <v/>
      </c>
      <c r="G3143" s="87"/>
      <c r="H3143" s="46" t="str">
        <f aca="false">IF(G3143&lt;&gt;"",IFERROR(VLOOKUP(G3143,PRODUCTOS!$A:$B,2,0),"!COD NO ENCONTRADO"),"")</f>
        <v/>
      </c>
      <c r="I3143" s="89"/>
      <c r="J3143" s="90"/>
      <c r="K3143" s="91"/>
      <c r="L3143" s="80" t="str">
        <f aca="false">IF(AND(J3143&lt;&gt;"",K3143&lt;&gt;""),J3143*K3143,"")</f>
        <v/>
      </c>
      <c r="M3143" s="81" t="str">
        <f aca="false">IF(L3143&lt;&gt;"",L3143*1.1,"")</f>
        <v/>
      </c>
      <c r="N3143" s="47" t="n">
        <f aca="false">IF(F3143="S",L3143*0.02,0)</f>
        <v>0</v>
      </c>
      <c r="O3143" s="82" t="str">
        <f aca="false">IF(L3143&lt;&gt;"",L3143+N3143,"")</f>
        <v/>
      </c>
      <c r="P3143" s="47" t="str">
        <f aca="false">IF(O3143&lt;&gt;"",O3143*0.1,"")</f>
        <v/>
      </c>
      <c r="Q3143" s="83" t="str">
        <f aca="false">IF(O3143&lt;&gt;"",O3143+P3143,"")</f>
        <v/>
      </c>
      <c r="R3143" s="84"/>
    </row>
    <row r="3144" customFormat="false" ht="15" hidden="false" customHeight="true" outlineLevel="0" collapsed="false">
      <c r="A3144" s="103"/>
      <c r="B3144" s="73"/>
      <c r="C3144" s="74"/>
      <c r="D3144" s="75"/>
      <c r="E3144" s="52" t="str">
        <f aca="false">IF(D3144&lt;&gt;"",IFERROR(VLOOKUP(D3144,PROVEEDORES!$A:$B,2,0),"!COD NO ENCONTRADO"),"")</f>
        <v/>
      </c>
      <c r="F3144" s="76" t="str">
        <f aca="false">IF(D3144&lt;&gt;"",IFERROR(VLOOKUP(D3144,PROVEEDORES!$A:$C,3,0),""),"")</f>
        <v/>
      </c>
      <c r="G3144" s="75"/>
      <c r="H3144" s="52" t="str">
        <f aca="false">IF(G3144&lt;&gt;"",IFERROR(VLOOKUP(G3144,PRODUCTOS!$A:$B,2,0),"!COD NO ENCONTRADO"),"")</f>
        <v/>
      </c>
      <c r="I3144" s="77"/>
      <c r="J3144" s="78"/>
      <c r="K3144" s="79"/>
      <c r="L3144" s="80" t="str">
        <f aca="false">IF(AND(J3144&lt;&gt;"",K3144&lt;&gt;""),J3144*K3144,"")</f>
        <v/>
      </c>
      <c r="M3144" s="81" t="str">
        <f aca="false">IF(L3144&lt;&gt;"",L3144*1.1,"")</f>
        <v/>
      </c>
      <c r="N3144" s="53" t="n">
        <f aca="false">IF(F3144="S",L3144*0.02,0)</f>
        <v>0</v>
      </c>
      <c r="O3144" s="82" t="str">
        <f aca="false">IF(L3144&lt;&gt;"",L3144+N3144,"")</f>
        <v/>
      </c>
      <c r="P3144" s="53" t="str">
        <f aca="false">IF(O3144&lt;&gt;"",O3144*0.1,"")</f>
        <v/>
      </c>
      <c r="Q3144" s="83" t="str">
        <f aca="false">IF(O3144&lt;&gt;"",O3144+P3144,"")</f>
        <v/>
      </c>
      <c r="R3144" s="84"/>
    </row>
    <row r="3145" customFormat="false" ht="15" hidden="false" customHeight="true" outlineLevel="0" collapsed="false">
      <c r="A3145" s="103"/>
      <c r="B3145" s="85"/>
      <c r="C3145" s="86"/>
      <c r="D3145" s="87"/>
      <c r="E3145" s="46" t="str">
        <f aca="false">IF(D3145&lt;&gt;"",IFERROR(VLOOKUP(D3145,PROVEEDORES!$A:$B,2,0),"!COD NO ENCONTRADO"),"")</f>
        <v/>
      </c>
      <c r="F3145" s="88" t="str">
        <f aca="false">IF(D3145&lt;&gt;"",IFERROR(VLOOKUP(D3145,PROVEEDORES!$A:$C,3,0),""),"")</f>
        <v/>
      </c>
      <c r="G3145" s="87"/>
      <c r="H3145" s="46" t="str">
        <f aca="false">IF(G3145&lt;&gt;"",IFERROR(VLOOKUP(G3145,PRODUCTOS!$A:$B,2,0),"!COD NO ENCONTRADO"),"")</f>
        <v/>
      </c>
      <c r="I3145" s="89"/>
      <c r="J3145" s="90"/>
      <c r="K3145" s="91"/>
      <c r="L3145" s="80" t="str">
        <f aca="false">IF(AND(J3145&lt;&gt;"",K3145&lt;&gt;""),J3145*K3145,"")</f>
        <v/>
      </c>
      <c r="M3145" s="81" t="str">
        <f aca="false">IF(L3145&lt;&gt;"",L3145*1.1,"")</f>
        <v/>
      </c>
      <c r="N3145" s="47" t="n">
        <f aca="false">IF(F3145="S",L3145*0.02,0)</f>
        <v>0</v>
      </c>
      <c r="O3145" s="82" t="str">
        <f aca="false">IF(L3145&lt;&gt;"",L3145+N3145,"")</f>
        <v/>
      </c>
      <c r="P3145" s="47" t="str">
        <f aca="false">IF(O3145&lt;&gt;"",O3145*0.1,"")</f>
        <v/>
      </c>
      <c r="Q3145" s="83" t="str">
        <f aca="false">IF(O3145&lt;&gt;"",O3145+P3145,"")</f>
        <v/>
      </c>
      <c r="R3145" s="84"/>
    </row>
    <row r="3146" customFormat="false" ht="15" hidden="false" customHeight="true" outlineLevel="0" collapsed="false">
      <c r="A3146" s="103"/>
      <c r="B3146" s="73"/>
      <c r="C3146" s="74"/>
      <c r="D3146" s="75"/>
      <c r="E3146" s="52" t="str">
        <f aca="false">IF(D3146&lt;&gt;"",IFERROR(VLOOKUP(D3146,PROVEEDORES!$A:$B,2,0),"!COD NO ENCONTRADO"),"")</f>
        <v/>
      </c>
      <c r="F3146" s="76" t="str">
        <f aca="false">IF(D3146&lt;&gt;"",IFERROR(VLOOKUP(D3146,PROVEEDORES!$A:$C,3,0),""),"")</f>
        <v/>
      </c>
      <c r="G3146" s="75"/>
      <c r="H3146" s="52" t="str">
        <f aca="false">IF(G3146&lt;&gt;"",IFERROR(VLOOKUP(G3146,PRODUCTOS!$A:$B,2,0),"!COD NO ENCONTRADO"),"")</f>
        <v/>
      </c>
      <c r="I3146" s="77"/>
      <c r="J3146" s="78"/>
      <c r="K3146" s="79"/>
      <c r="L3146" s="80" t="str">
        <f aca="false">IF(AND(J3146&lt;&gt;"",K3146&lt;&gt;""),J3146*K3146,"")</f>
        <v/>
      </c>
      <c r="M3146" s="81" t="str">
        <f aca="false">IF(L3146&lt;&gt;"",L3146*1.1,"")</f>
        <v/>
      </c>
      <c r="N3146" s="53" t="n">
        <f aca="false">IF(F3146="S",L3146*0.02,0)</f>
        <v>0</v>
      </c>
      <c r="O3146" s="82" t="str">
        <f aca="false">IF(L3146&lt;&gt;"",L3146+N3146,"")</f>
        <v/>
      </c>
      <c r="P3146" s="53" t="str">
        <f aca="false">IF(O3146&lt;&gt;"",O3146*0.1,"")</f>
        <v/>
      </c>
      <c r="Q3146" s="83" t="str">
        <f aca="false">IF(O3146&lt;&gt;"",O3146+P3146,"")</f>
        <v/>
      </c>
      <c r="R3146" s="84"/>
    </row>
    <row r="3147" customFormat="false" ht="15" hidden="false" customHeight="true" outlineLevel="0" collapsed="false">
      <c r="A3147" s="103"/>
      <c r="B3147" s="85"/>
      <c r="C3147" s="86"/>
      <c r="D3147" s="87"/>
      <c r="E3147" s="46" t="str">
        <f aca="false">IF(D3147&lt;&gt;"",IFERROR(VLOOKUP(D3147,PROVEEDORES!$A:$B,2,0),"!COD NO ENCONTRADO"),"")</f>
        <v/>
      </c>
      <c r="F3147" s="88" t="str">
        <f aca="false">IF(D3147&lt;&gt;"",IFERROR(VLOOKUP(D3147,PROVEEDORES!$A:$C,3,0),""),"")</f>
        <v/>
      </c>
      <c r="G3147" s="87"/>
      <c r="H3147" s="46" t="str">
        <f aca="false">IF(G3147&lt;&gt;"",IFERROR(VLOOKUP(G3147,PRODUCTOS!$A:$B,2,0),"!COD NO ENCONTRADO"),"")</f>
        <v/>
      </c>
      <c r="I3147" s="89"/>
      <c r="J3147" s="90"/>
      <c r="K3147" s="91"/>
      <c r="L3147" s="80" t="str">
        <f aca="false">IF(AND(J3147&lt;&gt;"",K3147&lt;&gt;""),J3147*K3147,"")</f>
        <v/>
      </c>
      <c r="M3147" s="81" t="str">
        <f aca="false">IF(L3147&lt;&gt;"",L3147*1.1,"")</f>
        <v/>
      </c>
      <c r="N3147" s="47" t="n">
        <f aca="false">IF(F3147="S",L3147*0.02,0)</f>
        <v>0</v>
      </c>
      <c r="O3147" s="82" t="str">
        <f aca="false">IF(L3147&lt;&gt;"",L3147+N3147,"")</f>
        <v/>
      </c>
      <c r="P3147" s="47" t="str">
        <f aca="false">IF(O3147&lt;&gt;"",O3147*0.1,"")</f>
        <v/>
      </c>
      <c r="Q3147" s="83" t="str">
        <f aca="false">IF(O3147&lt;&gt;"",O3147+P3147,"")</f>
        <v/>
      </c>
      <c r="R3147" s="84"/>
    </row>
    <row r="3148" customFormat="false" ht="15" hidden="false" customHeight="true" outlineLevel="0" collapsed="false">
      <c r="A3148" s="103"/>
      <c r="B3148" s="73"/>
      <c r="C3148" s="74"/>
      <c r="D3148" s="75"/>
      <c r="E3148" s="52" t="str">
        <f aca="false">IF(D3148&lt;&gt;"",IFERROR(VLOOKUP(D3148,PROVEEDORES!$A:$B,2,0),"!COD NO ENCONTRADO"),"")</f>
        <v/>
      </c>
      <c r="F3148" s="76" t="str">
        <f aca="false">IF(D3148&lt;&gt;"",IFERROR(VLOOKUP(D3148,PROVEEDORES!$A:$C,3,0),""),"")</f>
        <v/>
      </c>
      <c r="G3148" s="75"/>
      <c r="H3148" s="52" t="str">
        <f aca="false">IF(G3148&lt;&gt;"",IFERROR(VLOOKUP(G3148,PRODUCTOS!$A:$B,2,0),"!COD NO ENCONTRADO"),"")</f>
        <v/>
      </c>
      <c r="I3148" s="77"/>
      <c r="J3148" s="78"/>
      <c r="K3148" s="79"/>
      <c r="L3148" s="80" t="str">
        <f aca="false">IF(AND(J3148&lt;&gt;"",K3148&lt;&gt;""),J3148*K3148,"")</f>
        <v/>
      </c>
      <c r="M3148" s="81" t="str">
        <f aca="false">IF(L3148&lt;&gt;"",L3148*1.1,"")</f>
        <v/>
      </c>
      <c r="N3148" s="53" t="n">
        <f aca="false">IF(F3148="S",L3148*0.02,0)</f>
        <v>0</v>
      </c>
      <c r="O3148" s="82" t="str">
        <f aca="false">IF(L3148&lt;&gt;"",L3148+N3148,"")</f>
        <v/>
      </c>
      <c r="P3148" s="53" t="str">
        <f aca="false">IF(O3148&lt;&gt;"",O3148*0.1,"")</f>
        <v/>
      </c>
      <c r="Q3148" s="83" t="str">
        <f aca="false">IF(O3148&lt;&gt;"",O3148+P3148,"")</f>
        <v/>
      </c>
      <c r="R3148" s="84"/>
    </row>
    <row r="3149" customFormat="false" ht="15" hidden="false" customHeight="true" outlineLevel="0" collapsed="false">
      <c r="A3149" s="103"/>
      <c r="B3149" s="85"/>
      <c r="C3149" s="86"/>
      <c r="D3149" s="87"/>
      <c r="E3149" s="46" t="str">
        <f aca="false">IF(D3149&lt;&gt;"",IFERROR(VLOOKUP(D3149,PROVEEDORES!$A:$B,2,0),"!COD NO ENCONTRADO"),"")</f>
        <v/>
      </c>
      <c r="F3149" s="88" t="str">
        <f aca="false">IF(D3149&lt;&gt;"",IFERROR(VLOOKUP(D3149,PROVEEDORES!$A:$C,3,0),""),"")</f>
        <v/>
      </c>
      <c r="G3149" s="87"/>
      <c r="H3149" s="46" t="str">
        <f aca="false">IF(G3149&lt;&gt;"",IFERROR(VLOOKUP(G3149,PRODUCTOS!$A:$B,2,0),"!COD NO ENCONTRADO"),"")</f>
        <v/>
      </c>
      <c r="I3149" s="89"/>
      <c r="J3149" s="90"/>
      <c r="K3149" s="91"/>
      <c r="L3149" s="80" t="str">
        <f aca="false">IF(AND(J3149&lt;&gt;"",K3149&lt;&gt;""),J3149*K3149,"")</f>
        <v/>
      </c>
      <c r="M3149" s="81" t="str">
        <f aca="false">IF(L3149&lt;&gt;"",L3149*1.1,"")</f>
        <v/>
      </c>
      <c r="N3149" s="47" t="n">
        <f aca="false">IF(F3149="S",L3149*0.02,0)</f>
        <v>0</v>
      </c>
      <c r="O3149" s="82" t="str">
        <f aca="false">IF(L3149&lt;&gt;"",L3149+N3149,"")</f>
        <v/>
      </c>
      <c r="P3149" s="47" t="str">
        <f aca="false">IF(O3149&lt;&gt;"",O3149*0.1,"")</f>
        <v/>
      </c>
      <c r="Q3149" s="83" t="str">
        <f aca="false">IF(O3149&lt;&gt;"",O3149+P3149,"")</f>
        <v/>
      </c>
      <c r="R3149" s="84"/>
    </row>
    <row r="3150" customFormat="false" ht="15" hidden="false" customHeight="true" outlineLevel="0" collapsed="false">
      <c r="A3150" s="103"/>
      <c r="B3150" s="73"/>
      <c r="C3150" s="74"/>
      <c r="D3150" s="75"/>
      <c r="E3150" s="52" t="str">
        <f aca="false">IF(D3150&lt;&gt;"",IFERROR(VLOOKUP(D3150,PROVEEDORES!$A:$B,2,0),"!COD NO ENCONTRADO"),"")</f>
        <v/>
      </c>
      <c r="F3150" s="76" t="str">
        <f aca="false">IF(D3150&lt;&gt;"",IFERROR(VLOOKUP(D3150,PROVEEDORES!$A:$C,3,0),""),"")</f>
        <v/>
      </c>
      <c r="G3150" s="75"/>
      <c r="H3150" s="52" t="str">
        <f aca="false">IF(G3150&lt;&gt;"",IFERROR(VLOOKUP(G3150,PRODUCTOS!$A:$B,2,0),"!COD NO ENCONTRADO"),"")</f>
        <v/>
      </c>
      <c r="I3150" s="77"/>
      <c r="J3150" s="78"/>
      <c r="K3150" s="79"/>
      <c r="L3150" s="80" t="str">
        <f aca="false">IF(AND(J3150&lt;&gt;"",K3150&lt;&gt;""),J3150*K3150,"")</f>
        <v/>
      </c>
      <c r="M3150" s="81" t="str">
        <f aca="false">IF(L3150&lt;&gt;"",L3150*1.1,"")</f>
        <v/>
      </c>
      <c r="N3150" s="53" t="n">
        <f aca="false">IF(F3150="S",L3150*0.02,0)</f>
        <v>0</v>
      </c>
      <c r="O3150" s="82" t="str">
        <f aca="false">IF(L3150&lt;&gt;"",L3150+N3150,"")</f>
        <v/>
      </c>
      <c r="P3150" s="53" t="str">
        <f aca="false">IF(O3150&lt;&gt;"",O3150*0.1,"")</f>
        <v/>
      </c>
      <c r="Q3150" s="83" t="str">
        <f aca="false">IF(O3150&lt;&gt;"",O3150+P3150,"")</f>
        <v/>
      </c>
      <c r="R3150" s="84"/>
    </row>
    <row r="3151" customFormat="false" ht="15" hidden="false" customHeight="true" outlineLevel="0" collapsed="false">
      <c r="A3151" s="103"/>
      <c r="B3151" s="85"/>
      <c r="C3151" s="86"/>
      <c r="D3151" s="87"/>
      <c r="E3151" s="46" t="str">
        <f aca="false">IF(D3151&lt;&gt;"",IFERROR(VLOOKUP(D3151,PROVEEDORES!$A:$B,2,0),"!COD NO ENCONTRADO"),"")</f>
        <v/>
      </c>
      <c r="F3151" s="88" t="str">
        <f aca="false">IF(D3151&lt;&gt;"",IFERROR(VLOOKUP(D3151,PROVEEDORES!$A:$C,3,0),""),"")</f>
        <v/>
      </c>
      <c r="G3151" s="87"/>
      <c r="H3151" s="46" t="str">
        <f aca="false">IF(G3151&lt;&gt;"",IFERROR(VLOOKUP(G3151,PRODUCTOS!$A:$B,2,0),"!COD NO ENCONTRADO"),"")</f>
        <v/>
      </c>
      <c r="I3151" s="89"/>
      <c r="J3151" s="90"/>
      <c r="K3151" s="91"/>
      <c r="L3151" s="80" t="str">
        <f aca="false">IF(AND(J3151&lt;&gt;"",K3151&lt;&gt;""),J3151*K3151,"")</f>
        <v/>
      </c>
      <c r="M3151" s="81" t="str">
        <f aca="false">IF(L3151&lt;&gt;"",L3151*1.1,"")</f>
        <v/>
      </c>
      <c r="N3151" s="47" t="n">
        <f aca="false">IF(F3151="S",L3151*0.02,0)</f>
        <v>0</v>
      </c>
      <c r="O3151" s="82" t="str">
        <f aca="false">IF(L3151&lt;&gt;"",L3151+N3151,"")</f>
        <v/>
      </c>
      <c r="P3151" s="47" t="str">
        <f aca="false">IF(O3151&lt;&gt;"",O3151*0.1,"")</f>
        <v/>
      </c>
      <c r="Q3151" s="83" t="str">
        <f aca="false">IF(O3151&lt;&gt;"",O3151+P3151,"")</f>
        <v/>
      </c>
      <c r="R3151" s="84"/>
    </row>
    <row r="3152" customFormat="false" ht="15" hidden="false" customHeight="true" outlineLevel="0" collapsed="false">
      <c r="A3152" s="103"/>
      <c r="B3152" s="73"/>
      <c r="C3152" s="74"/>
      <c r="D3152" s="75"/>
      <c r="E3152" s="52" t="str">
        <f aca="false">IF(D3152&lt;&gt;"",IFERROR(VLOOKUP(D3152,PROVEEDORES!$A:$B,2,0),"!COD NO ENCONTRADO"),"")</f>
        <v/>
      </c>
      <c r="F3152" s="76" t="str">
        <f aca="false">IF(D3152&lt;&gt;"",IFERROR(VLOOKUP(D3152,PROVEEDORES!$A:$C,3,0),""),"")</f>
        <v/>
      </c>
      <c r="G3152" s="75"/>
      <c r="H3152" s="52" t="str">
        <f aca="false">IF(G3152&lt;&gt;"",IFERROR(VLOOKUP(G3152,PRODUCTOS!$A:$B,2,0),"!COD NO ENCONTRADO"),"")</f>
        <v/>
      </c>
      <c r="I3152" s="77"/>
      <c r="J3152" s="78"/>
      <c r="K3152" s="79"/>
      <c r="L3152" s="80" t="str">
        <f aca="false">IF(AND(J3152&lt;&gt;"",K3152&lt;&gt;""),J3152*K3152,"")</f>
        <v/>
      </c>
      <c r="M3152" s="81" t="str">
        <f aca="false">IF(L3152&lt;&gt;"",L3152*1.1,"")</f>
        <v/>
      </c>
      <c r="N3152" s="53" t="n">
        <f aca="false">IF(F3152="S",L3152*0.02,0)</f>
        <v>0</v>
      </c>
      <c r="O3152" s="82" t="str">
        <f aca="false">IF(L3152&lt;&gt;"",L3152+N3152,"")</f>
        <v/>
      </c>
      <c r="P3152" s="53" t="str">
        <f aca="false">IF(O3152&lt;&gt;"",O3152*0.1,"")</f>
        <v/>
      </c>
      <c r="Q3152" s="83" t="str">
        <f aca="false">IF(O3152&lt;&gt;"",O3152+P3152,"")</f>
        <v/>
      </c>
      <c r="R3152" s="84"/>
    </row>
    <row r="3153" customFormat="false" ht="15" hidden="false" customHeight="true" outlineLevel="0" collapsed="false">
      <c r="A3153" s="103"/>
      <c r="B3153" s="85"/>
      <c r="C3153" s="86"/>
      <c r="D3153" s="87"/>
      <c r="E3153" s="46" t="str">
        <f aca="false">IF(D3153&lt;&gt;"",IFERROR(VLOOKUP(D3153,PROVEEDORES!$A:$B,2,0),"!COD NO ENCONTRADO"),"")</f>
        <v/>
      </c>
      <c r="F3153" s="88" t="str">
        <f aca="false">IF(D3153&lt;&gt;"",IFERROR(VLOOKUP(D3153,PROVEEDORES!$A:$C,3,0),""),"")</f>
        <v/>
      </c>
      <c r="G3153" s="87"/>
      <c r="H3153" s="46" t="str">
        <f aca="false">IF(G3153&lt;&gt;"",IFERROR(VLOOKUP(G3153,PRODUCTOS!$A:$B,2,0),"!COD NO ENCONTRADO"),"")</f>
        <v/>
      </c>
      <c r="I3153" s="89"/>
      <c r="J3153" s="90"/>
      <c r="K3153" s="91"/>
      <c r="L3153" s="80" t="str">
        <f aca="false">IF(AND(J3153&lt;&gt;"",K3153&lt;&gt;""),J3153*K3153,"")</f>
        <v/>
      </c>
      <c r="M3153" s="81" t="str">
        <f aca="false">IF(L3153&lt;&gt;"",L3153*1.1,"")</f>
        <v/>
      </c>
      <c r="N3153" s="47" t="n">
        <f aca="false">IF(F3153="S",L3153*0.02,0)</f>
        <v>0</v>
      </c>
      <c r="O3153" s="82" t="str">
        <f aca="false">IF(L3153&lt;&gt;"",L3153+N3153,"")</f>
        <v/>
      </c>
      <c r="P3153" s="47" t="str">
        <f aca="false">IF(O3153&lt;&gt;"",O3153*0.1,"")</f>
        <v/>
      </c>
      <c r="Q3153" s="83" t="str">
        <f aca="false">IF(O3153&lt;&gt;"",O3153+P3153,"")</f>
        <v/>
      </c>
      <c r="R3153" s="84"/>
    </row>
    <row r="3154" customFormat="false" ht="15" hidden="false" customHeight="true" outlineLevel="0" collapsed="false">
      <c r="A3154" s="103"/>
      <c r="B3154" s="73"/>
      <c r="C3154" s="74"/>
      <c r="D3154" s="75"/>
      <c r="E3154" s="52" t="str">
        <f aca="false">IF(D3154&lt;&gt;"",IFERROR(VLOOKUP(D3154,PROVEEDORES!$A:$B,2,0),"!COD NO ENCONTRADO"),"")</f>
        <v/>
      </c>
      <c r="F3154" s="76" t="str">
        <f aca="false">IF(D3154&lt;&gt;"",IFERROR(VLOOKUP(D3154,PROVEEDORES!$A:$C,3,0),""),"")</f>
        <v/>
      </c>
      <c r="G3154" s="75"/>
      <c r="H3154" s="52" t="str">
        <f aca="false">IF(G3154&lt;&gt;"",IFERROR(VLOOKUP(G3154,PRODUCTOS!$A:$B,2,0),"!COD NO ENCONTRADO"),"")</f>
        <v/>
      </c>
      <c r="I3154" s="77"/>
      <c r="J3154" s="78"/>
      <c r="K3154" s="79"/>
      <c r="L3154" s="80" t="str">
        <f aca="false">IF(AND(J3154&lt;&gt;"",K3154&lt;&gt;""),J3154*K3154,"")</f>
        <v/>
      </c>
      <c r="M3154" s="81" t="str">
        <f aca="false">IF(L3154&lt;&gt;"",L3154*1.1,"")</f>
        <v/>
      </c>
      <c r="N3154" s="53" t="n">
        <f aca="false">IF(F3154="S",L3154*0.02,0)</f>
        <v>0</v>
      </c>
      <c r="O3154" s="82" t="str">
        <f aca="false">IF(L3154&lt;&gt;"",L3154+N3154,"")</f>
        <v/>
      </c>
      <c r="P3154" s="53" t="str">
        <f aca="false">IF(O3154&lt;&gt;"",O3154*0.1,"")</f>
        <v/>
      </c>
      <c r="Q3154" s="83" t="str">
        <f aca="false">IF(O3154&lt;&gt;"",O3154+P3154,"")</f>
        <v/>
      </c>
      <c r="R3154" s="84"/>
    </row>
    <row r="3155" customFormat="false" ht="15" hidden="false" customHeight="true" outlineLevel="0" collapsed="false">
      <c r="A3155" s="103"/>
      <c r="B3155" s="85"/>
      <c r="C3155" s="86"/>
      <c r="D3155" s="87"/>
      <c r="E3155" s="46" t="str">
        <f aca="false">IF(D3155&lt;&gt;"",IFERROR(VLOOKUP(D3155,PROVEEDORES!$A:$B,2,0),"!COD NO ENCONTRADO"),"")</f>
        <v/>
      </c>
      <c r="F3155" s="88" t="str">
        <f aca="false">IF(D3155&lt;&gt;"",IFERROR(VLOOKUP(D3155,PROVEEDORES!$A:$C,3,0),""),"")</f>
        <v/>
      </c>
      <c r="G3155" s="87"/>
      <c r="H3155" s="46" t="str">
        <f aca="false">IF(G3155&lt;&gt;"",IFERROR(VLOOKUP(G3155,PRODUCTOS!$A:$B,2,0),"!COD NO ENCONTRADO"),"")</f>
        <v/>
      </c>
      <c r="I3155" s="89"/>
      <c r="J3155" s="90"/>
      <c r="K3155" s="91"/>
      <c r="L3155" s="80" t="str">
        <f aca="false">IF(AND(J3155&lt;&gt;"",K3155&lt;&gt;""),J3155*K3155,"")</f>
        <v/>
      </c>
      <c r="M3155" s="81" t="str">
        <f aca="false">IF(L3155&lt;&gt;"",L3155*1.1,"")</f>
        <v/>
      </c>
      <c r="N3155" s="47" t="n">
        <f aca="false">IF(F3155="S",L3155*0.02,0)</f>
        <v>0</v>
      </c>
      <c r="O3155" s="82" t="str">
        <f aca="false">IF(L3155&lt;&gt;"",L3155+N3155,"")</f>
        <v/>
      </c>
      <c r="P3155" s="47" t="str">
        <f aca="false">IF(O3155&lt;&gt;"",O3155*0.1,"")</f>
        <v/>
      </c>
      <c r="Q3155" s="83" t="str">
        <f aca="false">IF(O3155&lt;&gt;"",O3155+P3155,"")</f>
        <v/>
      </c>
      <c r="R3155" s="84"/>
    </row>
    <row r="3156" customFormat="false" ht="15" hidden="false" customHeight="true" outlineLevel="0" collapsed="false">
      <c r="A3156" s="103"/>
      <c r="B3156" s="73"/>
      <c r="C3156" s="74"/>
      <c r="D3156" s="75"/>
      <c r="E3156" s="52" t="str">
        <f aca="false">IF(D3156&lt;&gt;"",IFERROR(VLOOKUP(D3156,PROVEEDORES!$A:$B,2,0),"!COD NO ENCONTRADO"),"")</f>
        <v/>
      </c>
      <c r="F3156" s="76" t="str">
        <f aca="false">IF(D3156&lt;&gt;"",IFERROR(VLOOKUP(D3156,PROVEEDORES!$A:$C,3,0),""),"")</f>
        <v/>
      </c>
      <c r="G3156" s="75"/>
      <c r="H3156" s="52" t="str">
        <f aca="false">IF(G3156&lt;&gt;"",IFERROR(VLOOKUP(G3156,PRODUCTOS!$A:$B,2,0),"!COD NO ENCONTRADO"),"")</f>
        <v/>
      </c>
      <c r="I3156" s="77"/>
      <c r="J3156" s="78"/>
      <c r="K3156" s="79"/>
      <c r="L3156" s="80" t="str">
        <f aca="false">IF(AND(J3156&lt;&gt;"",K3156&lt;&gt;""),J3156*K3156,"")</f>
        <v/>
      </c>
      <c r="M3156" s="81" t="str">
        <f aca="false">IF(L3156&lt;&gt;"",L3156*1.1,"")</f>
        <v/>
      </c>
      <c r="N3156" s="53" t="n">
        <f aca="false">IF(F3156="S",L3156*0.02,0)</f>
        <v>0</v>
      </c>
      <c r="O3156" s="82" t="str">
        <f aca="false">IF(L3156&lt;&gt;"",L3156+N3156,"")</f>
        <v/>
      </c>
      <c r="P3156" s="53" t="str">
        <f aca="false">IF(O3156&lt;&gt;"",O3156*0.1,"")</f>
        <v/>
      </c>
      <c r="Q3156" s="83" t="str">
        <f aca="false">IF(O3156&lt;&gt;"",O3156+P3156,"")</f>
        <v/>
      </c>
      <c r="R3156" s="84"/>
    </row>
    <row r="3157" customFormat="false" ht="15" hidden="false" customHeight="true" outlineLevel="0" collapsed="false">
      <c r="A3157" s="103"/>
      <c r="B3157" s="85"/>
      <c r="C3157" s="86"/>
      <c r="D3157" s="87"/>
      <c r="E3157" s="46" t="str">
        <f aca="false">IF(D3157&lt;&gt;"",IFERROR(VLOOKUP(D3157,PROVEEDORES!$A:$B,2,0),"!COD NO ENCONTRADO"),"")</f>
        <v/>
      </c>
      <c r="F3157" s="88" t="str">
        <f aca="false">IF(D3157&lt;&gt;"",IFERROR(VLOOKUP(D3157,PROVEEDORES!$A:$C,3,0),""),"")</f>
        <v/>
      </c>
      <c r="G3157" s="87"/>
      <c r="H3157" s="46" t="str">
        <f aca="false">IF(G3157&lt;&gt;"",IFERROR(VLOOKUP(G3157,PRODUCTOS!$A:$B,2,0),"!COD NO ENCONTRADO"),"")</f>
        <v/>
      </c>
      <c r="I3157" s="89"/>
      <c r="J3157" s="90"/>
      <c r="K3157" s="91"/>
      <c r="L3157" s="80" t="str">
        <f aca="false">IF(AND(J3157&lt;&gt;"",K3157&lt;&gt;""),J3157*K3157,"")</f>
        <v/>
      </c>
      <c r="M3157" s="81" t="str">
        <f aca="false">IF(L3157&lt;&gt;"",L3157*1.1,"")</f>
        <v/>
      </c>
      <c r="N3157" s="47" t="n">
        <f aca="false">IF(F3157="S",L3157*0.02,0)</f>
        <v>0</v>
      </c>
      <c r="O3157" s="82" t="str">
        <f aca="false">IF(L3157&lt;&gt;"",L3157+N3157,"")</f>
        <v/>
      </c>
      <c r="P3157" s="47" t="str">
        <f aca="false">IF(O3157&lt;&gt;"",O3157*0.1,"")</f>
        <v/>
      </c>
      <c r="Q3157" s="83" t="str">
        <f aca="false">IF(O3157&lt;&gt;"",O3157+P3157,"")</f>
        <v/>
      </c>
      <c r="R3157" s="84"/>
    </row>
    <row r="3158" customFormat="false" ht="15" hidden="false" customHeight="true" outlineLevel="0" collapsed="false">
      <c r="A3158" s="103"/>
      <c r="B3158" s="73"/>
      <c r="C3158" s="74"/>
      <c r="D3158" s="75"/>
      <c r="E3158" s="52" t="str">
        <f aca="false">IF(D3158&lt;&gt;"",IFERROR(VLOOKUP(D3158,PROVEEDORES!$A:$B,2,0),"!COD NO ENCONTRADO"),"")</f>
        <v/>
      </c>
      <c r="F3158" s="76" t="str">
        <f aca="false">IF(D3158&lt;&gt;"",IFERROR(VLOOKUP(D3158,PROVEEDORES!$A:$C,3,0),""),"")</f>
        <v/>
      </c>
      <c r="G3158" s="75"/>
      <c r="H3158" s="52" t="str">
        <f aca="false">IF(G3158&lt;&gt;"",IFERROR(VLOOKUP(G3158,PRODUCTOS!$A:$B,2,0),"!COD NO ENCONTRADO"),"")</f>
        <v/>
      </c>
      <c r="I3158" s="77"/>
      <c r="J3158" s="78"/>
      <c r="K3158" s="79"/>
      <c r="L3158" s="80" t="str">
        <f aca="false">IF(AND(J3158&lt;&gt;"",K3158&lt;&gt;""),J3158*K3158,"")</f>
        <v/>
      </c>
      <c r="M3158" s="81" t="str">
        <f aca="false">IF(L3158&lt;&gt;"",L3158*1.1,"")</f>
        <v/>
      </c>
      <c r="N3158" s="53" t="n">
        <f aca="false">IF(F3158="S",L3158*0.02,0)</f>
        <v>0</v>
      </c>
      <c r="O3158" s="82" t="str">
        <f aca="false">IF(L3158&lt;&gt;"",L3158+N3158,"")</f>
        <v/>
      </c>
      <c r="P3158" s="53" t="str">
        <f aca="false">IF(O3158&lt;&gt;"",O3158*0.1,"")</f>
        <v/>
      </c>
      <c r="Q3158" s="83" t="str">
        <f aca="false">IF(O3158&lt;&gt;"",O3158+P3158,"")</f>
        <v/>
      </c>
      <c r="R3158" s="84"/>
    </row>
    <row r="3159" customFormat="false" ht="15" hidden="false" customHeight="true" outlineLevel="0" collapsed="false">
      <c r="A3159" s="103"/>
      <c r="B3159" s="85"/>
      <c r="C3159" s="86"/>
      <c r="D3159" s="87"/>
      <c r="E3159" s="46" t="str">
        <f aca="false">IF(D3159&lt;&gt;"",IFERROR(VLOOKUP(D3159,PROVEEDORES!$A:$B,2,0),"!COD NO ENCONTRADO"),"")</f>
        <v/>
      </c>
      <c r="F3159" s="88" t="str">
        <f aca="false">IF(D3159&lt;&gt;"",IFERROR(VLOOKUP(D3159,PROVEEDORES!$A:$C,3,0),""),"")</f>
        <v/>
      </c>
      <c r="G3159" s="87"/>
      <c r="H3159" s="46" t="str">
        <f aca="false">IF(G3159&lt;&gt;"",IFERROR(VLOOKUP(G3159,PRODUCTOS!$A:$B,2,0),"!COD NO ENCONTRADO"),"")</f>
        <v/>
      </c>
      <c r="I3159" s="89"/>
      <c r="J3159" s="90"/>
      <c r="K3159" s="91"/>
      <c r="L3159" s="80" t="str">
        <f aca="false">IF(AND(J3159&lt;&gt;"",K3159&lt;&gt;""),J3159*K3159,"")</f>
        <v/>
      </c>
      <c r="M3159" s="81" t="str">
        <f aca="false">IF(L3159&lt;&gt;"",L3159*1.1,"")</f>
        <v/>
      </c>
      <c r="N3159" s="47" t="n">
        <f aca="false">IF(F3159="S",L3159*0.02,0)</f>
        <v>0</v>
      </c>
      <c r="O3159" s="82" t="str">
        <f aca="false">IF(L3159&lt;&gt;"",L3159+N3159,"")</f>
        <v/>
      </c>
      <c r="P3159" s="47" t="str">
        <f aca="false">IF(O3159&lt;&gt;"",O3159*0.1,"")</f>
        <v/>
      </c>
      <c r="Q3159" s="83" t="str">
        <f aca="false">IF(O3159&lt;&gt;"",O3159+P3159,"")</f>
        <v/>
      </c>
      <c r="R3159" s="84"/>
    </row>
    <row r="3160" customFormat="false" ht="15" hidden="false" customHeight="true" outlineLevel="0" collapsed="false">
      <c r="A3160" s="103"/>
      <c r="B3160" s="73"/>
      <c r="C3160" s="74"/>
      <c r="D3160" s="75"/>
      <c r="E3160" s="52" t="str">
        <f aca="false">IF(D3160&lt;&gt;"",IFERROR(VLOOKUP(D3160,PROVEEDORES!$A:$B,2,0),"!COD NO ENCONTRADO"),"")</f>
        <v/>
      </c>
      <c r="F3160" s="76" t="str">
        <f aca="false">IF(D3160&lt;&gt;"",IFERROR(VLOOKUP(D3160,PROVEEDORES!$A:$C,3,0),""),"")</f>
        <v/>
      </c>
      <c r="G3160" s="75"/>
      <c r="H3160" s="52" t="str">
        <f aca="false">IF(G3160&lt;&gt;"",IFERROR(VLOOKUP(G3160,PRODUCTOS!$A:$B,2,0),"!COD NO ENCONTRADO"),"")</f>
        <v/>
      </c>
      <c r="I3160" s="77"/>
      <c r="J3160" s="78"/>
      <c r="K3160" s="79"/>
      <c r="L3160" s="80" t="str">
        <f aca="false">IF(AND(J3160&lt;&gt;"",K3160&lt;&gt;""),J3160*K3160,"")</f>
        <v/>
      </c>
      <c r="M3160" s="81" t="str">
        <f aca="false">IF(L3160&lt;&gt;"",L3160*1.1,"")</f>
        <v/>
      </c>
      <c r="N3160" s="53" t="n">
        <f aca="false">IF(F3160="S",L3160*0.02,0)</f>
        <v>0</v>
      </c>
      <c r="O3160" s="82" t="str">
        <f aca="false">IF(L3160&lt;&gt;"",L3160+N3160,"")</f>
        <v/>
      </c>
      <c r="P3160" s="53" t="str">
        <f aca="false">IF(O3160&lt;&gt;"",O3160*0.1,"")</f>
        <v/>
      </c>
      <c r="Q3160" s="83" t="str">
        <f aca="false">IF(O3160&lt;&gt;"",O3160+P3160,"")</f>
        <v/>
      </c>
      <c r="R3160" s="84"/>
    </row>
    <row r="3161" customFormat="false" ht="15" hidden="false" customHeight="true" outlineLevel="0" collapsed="false">
      <c r="A3161" s="103"/>
      <c r="B3161" s="85"/>
      <c r="C3161" s="86"/>
      <c r="D3161" s="87"/>
      <c r="E3161" s="46" t="str">
        <f aca="false">IF(D3161&lt;&gt;"",IFERROR(VLOOKUP(D3161,PROVEEDORES!$A:$B,2,0),"!COD NO ENCONTRADO"),"")</f>
        <v/>
      </c>
      <c r="F3161" s="88" t="str">
        <f aca="false">IF(D3161&lt;&gt;"",IFERROR(VLOOKUP(D3161,PROVEEDORES!$A:$C,3,0),""),"")</f>
        <v/>
      </c>
      <c r="G3161" s="87"/>
      <c r="H3161" s="46" t="str">
        <f aca="false">IF(G3161&lt;&gt;"",IFERROR(VLOOKUP(G3161,PRODUCTOS!$A:$B,2,0),"!COD NO ENCONTRADO"),"")</f>
        <v/>
      </c>
      <c r="I3161" s="89"/>
      <c r="J3161" s="90"/>
      <c r="K3161" s="91"/>
      <c r="L3161" s="80" t="str">
        <f aca="false">IF(AND(J3161&lt;&gt;"",K3161&lt;&gt;""),J3161*K3161,"")</f>
        <v/>
      </c>
      <c r="M3161" s="81" t="str">
        <f aca="false">IF(L3161&lt;&gt;"",L3161*1.1,"")</f>
        <v/>
      </c>
      <c r="N3161" s="47" t="n">
        <f aca="false">IF(F3161="S",L3161*0.02,0)</f>
        <v>0</v>
      </c>
      <c r="O3161" s="82" t="str">
        <f aca="false">IF(L3161&lt;&gt;"",L3161+N3161,"")</f>
        <v/>
      </c>
      <c r="P3161" s="47" t="str">
        <f aca="false">IF(O3161&lt;&gt;"",O3161*0.1,"")</f>
        <v/>
      </c>
      <c r="Q3161" s="83" t="str">
        <f aca="false">IF(O3161&lt;&gt;"",O3161+P3161,"")</f>
        <v/>
      </c>
      <c r="R3161" s="84"/>
    </row>
    <row r="3162" customFormat="false" ht="15" hidden="false" customHeight="true" outlineLevel="0" collapsed="false">
      <c r="A3162" s="103"/>
      <c r="B3162" s="73"/>
      <c r="C3162" s="74"/>
      <c r="D3162" s="75"/>
      <c r="E3162" s="52" t="str">
        <f aca="false">IF(D3162&lt;&gt;"",IFERROR(VLOOKUP(D3162,PROVEEDORES!$A:$B,2,0),"!COD NO ENCONTRADO"),"")</f>
        <v/>
      </c>
      <c r="F3162" s="76" t="str">
        <f aca="false">IF(D3162&lt;&gt;"",IFERROR(VLOOKUP(D3162,PROVEEDORES!$A:$C,3,0),""),"")</f>
        <v/>
      </c>
      <c r="G3162" s="75"/>
      <c r="H3162" s="52" t="str">
        <f aca="false">IF(G3162&lt;&gt;"",IFERROR(VLOOKUP(G3162,PRODUCTOS!$A:$B,2,0),"!COD NO ENCONTRADO"),"")</f>
        <v/>
      </c>
      <c r="I3162" s="77"/>
      <c r="J3162" s="78"/>
      <c r="K3162" s="79"/>
      <c r="L3162" s="80" t="str">
        <f aca="false">IF(AND(J3162&lt;&gt;"",K3162&lt;&gt;""),J3162*K3162,"")</f>
        <v/>
      </c>
      <c r="M3162" s="81" t="str">
        <f aca="false">IF(L3162&lt;&gt;"",L3162*1.1,"")</f>
        <v/>
      </c>
      <c r="N3162" s="53" t="n">
        <f aca="false">IF(F3162="S",L3162*0.02,0)</f>
        <v>0</v>
      </c>
      <c r="O3162" s="82" t="str">
        <f aca="false">IF(L3162&lt;&gt;"",L3162+N3162,"")</f>
        <v/>
      </c>
      <c r="P3162" s="53" t="str">
        <f aca="false">IF(O3162&lt;&gt;"",O3162*0.1,"")</f>
        <v/>
      </c>
      <c r="Q3162" s="83" t="str">
        <f aca="false">IF(O3162&lt;&gt;"",O3162+P3162,"")</f>
        <v/>
      </c>
      <c r="R3162" s="84"/>
    </row>
    <row r="3163" customFormat="false" ht="15" hidden="false" customHeight="true" outlineLevel="0" collapsed="false">
      <c r="A3163" s="103"/>
      <c r="B3163" s="85"/>
      <c r="C3163" s="86"/>
      <c r="D3163" s="87"/>
      <c r="E3163" s="46" t="str">
        <f aca="false">IF(D3163&lt;&gt;"",IFERROR(VLOOKUP(D3163,PROVEEDORES!$A:$B,2,0),"!COD NO ENCONTRADO"),"")</f>
        <v/>
      </c>
      <c r="F3163" s="88" t="str">
        <f aca="false">IF(D3163&lt;&gt;"",IFERROR(VLOOKUP(D3163,PROVEEDORES!$A:$C,3,0),""),"")</f>
        <v/>
      </c>
      <c r="G3163" s="87"/>
      <c r="H3163" s="46" t="str">
        <f aca="false">IF(G3163&lt;&gt;"",IFERROR(VLOOKUP(G3163,PRODUCTOS!$A:$B,2,0),"!COD NO ENCONTRADO"),"")</f>
        <v/>
      </c>
      <c r="I3163" s="89"/>
      <c r="J3163" s="90"/>
      <c r="K3163" s="91"/>
      <c r="L3163" s="80" t="str">
        <f aca="false">IF(AND(J3163&lt;&gt;"",K3163&lt;&gt;""),J3163*K3163,"")</f>
        <v/>
      </c>
      <c r="M3163" s="81" t="str">
        <f aca="false">IF(L3163&lt;&gt;"",L3163*1.1,"")</f>
        <v/>
      </c>
      <c r="N3163" s="47" t="n">
        <f aca="false">IF(F3163="S",L3163*0.02,0)</f>
        <v>0</v>
      </c>
      <c r="O3163" s="82" t="str">
        <f aca="false">IF(L3163&lt;&gt;"",L3163+N3163,"")</f>
        <v/>
      </c>
      <c r="P3163" s="47" t="str">
        <f aca="false">IF(O3163&lt;&gt;"",O3163*0.1,"")</f>
        <v/>
      </c>
      <c r="Q3163" s="83" t="str">
        <f aca="false">IF(O3163&lt;&gt;"",O3163+P3163,"")</f>
        <v/>
      </c>
      <c r="R3163" s="84"/>
    </row>
    <row r="3164" customFormat="false" ht="15" hidden="false" customHeight="true" outlineLevel="0" collapsed="false">
      <c r="A3164" s="103"/>
      <c r="B3164" s="73"/>
      <c r="C3164" s="74"/>
      <c r="D3164" s="75"/>
      <c r="E3164" s="52" t="str">
        <f aca="false">IF(D3164&lt;&gt;"",IFERROR(VLOOKUP(D3164,PROVEEDORES!$A:$B,2,0),"!COD NO ENCONTRADO"),"")</f>
        <v/>
      </c>
      <c r="F3164" s="76" t="str">
        <f aca="false">IF(D3164&lt;&gt;"",IFERROR(VLOOKUP(D3164,PROVEEDORES!$A:$C,3,0),""),"")</f>
        <v/>
      </c>
      <c r="G3164" s="75"/>
      <c r="H3164" s="52" t="str">
        <f aca="false">IF(G3164&lt;&gt;"",IFERROR(VLOOKUP(G3164,PRODUCTOS!$A:$B,2,0),"!COD NO ENCONTRADO"),"")</f>
        <v/>
      </c>
      <c r="I3164" s="77"/>
      <c r="J3164" s="78"/>
      <c r="K3164" s="79"/>
      <c r="L3164" s="80" t="str">
        <f aca="false">IF(AND(J3164&lt;&gt;"",K3164&lt;&gt;""),J3164*K3164,"")</f>
        <v/>
      </c>
      <c r="M3164" s="81" t="str">
        <f aca="false">IF(L3164&lt;&gt;"",L3164*1.1,"")</f>
        <v/>
      </c>
      <c r="N3164" s="53" t="n">
        <f aca="false">IF(F3164="S",L3164*0.02,0)</f>
        <v>0</v>
      </c>
      <c r="O3164" s="82" t="str">
        <f aca="false">IF(L3164&lt;&gt;"",L3164+N3164,"")</f>
        <v/>
      </c>
      <c r="P3164" s="53" t="str">
        <f aca="false">IF(O3164&lt;&gt;"",O3164*0.1,"")</f>
        <v/>
      </c>
      <c r="Q3164" s="83" t="str">
        <f aca="false">IF(O3164&lt;&gt;"",O3164+P3164,"")</f>
        <v/>
      </c>
      <c r="R3164" s="84"/>
    </row>
    <row r="3165" customFormat="false" ht="15" hidden="false" customHeight="true" outlineLevel="0" collapsed="false">
      <c r="A3165" s="103"/>
      <c r="B3165" s="85"/>
      <c r="C3165" s="86"/>
      <c r="D3165" s="87"/>
      <c r="E3165" s="46" t="str">
        <f aca="false">IF(D3165&lt;&gt;"",IFERROR(VLOOKUP(D3165,PROVEEDORES!$A:$B,2,0),"!COD NO ENCONTRADO"),"")</f>
        <v/>
      </c>
      <c r="F3165" s="88" t="str">
        <f aca="false">IF(D3165&lt;&gt;"",IFERROR(VLOOKUP(D3165,PROVEEDORES!$A:$C,3,0),""),"")</f>
        <v/>
      </c>
      <c r="G3165" s="87"/>
      <c r="H3165" s="46" t="str">
        <f aca="false">IF(G3165&lt;&gt;"",IFERROR(VLOOKUP(G3165,PRODUCTOS!$A:$B,2,0),"!COD NO ENCONTRADO"),"")</f>
        <v/>
      </c>
      <c r="I3165" s="89"/>
      <c r="J3165" s="90"/>
      <c r="K3165" s="91"/>
      <c r="L3165" s="80" t="str">
        <f aca="false">IF(AND(J3165&lt;&gt;"",K3165&lt;&gt;""),J3165*K3165,"")</f>
        <v/>
      </c>
      <c r="M3165" s="81" t="str">
        <f aca="false">IF(L3165&lt;&gt;"",L3165*1.1,"")</f>
        <v/>
      </c>
      <c r="N3165" s="47" t="n">
        <f aca="false">IF(F3165="S",L3165*0.02,0)</f>
        <v>0</v>
      </c>
      <c r="O3165" s="82" t="str">
        <f aca="false">IF(L3165&lt;&gt;"",L3165+N3165,"")</f>
        <v/>
      </c>
      <c r="P3165" s="47" t="str">
        <f aca="false">IF(O3165&lt;&gt;"",O3165*0.1,"")</f>
        <v/>
      </c>
      <c r="Q3165" s="83" t="str">
        <f aca="false">IF(O3165&lt;&gt;"",O3165+P3165,"")</f>
        <v/>
      </c>
      <c r="R3165" s="84"/>
    </row>
    <row r="3166" customFormat="false" ht="15" hidden="false" customHeight="true" outlineLevel="0" collapsed="false">
      <c r="A3166" s="103"/>
      <c r="B3166" s="73"/>
      <c r="C3166" s="74"/>
      <c r="D3166" s="75"/>
      <c r="E3166" s="52" t="str">
        <f aca="false">IF(D3166&lt;&gt;"",IFERROR(VLOOKUP(D3166,PROVEEDORES!$A:$B,2,0),"!COD NO ENCONTRADO"),"")</f>
        <v/>
      </c>
      <c r="F3166" s="76" t="str">
        <f aca="false">IF(D3166&lt;&gt;"",IFERROR(VLOOKUP(D3166,PROVEEDORES!$A:$C,3,0),""),"")</f>
        <v/>
      </c>
      <c r="G3166" s="75"/>
      <c r="H3166" s="52" t="str">
        <f aca="false">IF(G3166&lt;&gt;"",IFERROR(VLOOKUP(G3166,PRODUCTOS!$A:$B,2,0),"!COD NO ENCONTRADO"),"")</f>
        <v/>
      </c>
      <c r="I3166" s="77"/>
      <c r="J3166" s="78"/>
      <c r="K3166" s="79"/>
      <c r="L3166" s="80" t="str">
        <f aca="false">IF(AND(J3166&lt;&gt;"",K3166&lt;&gt;""),J3166*K3166,"")</f>
        <v/>
      </c>
      <c r="M3166" s="81" t="str">
        <f aca="false">IF(L3166&lt;&gt;"",L3166*1.1,"")</f>
        <v/>
      </c>
      <c r="N3166" s="53" t="n">
        <f aca="false">IF(F3166="S",L3166*0.02,0)</f>
        <v>0</v>
      </c>
      <c r="O3166" s="82" t="str">
        <f aca="false">IF(L3166&lt;&gt;"",L3166+N3166,"")</f>
        <v/>
      </c>
      <c r="P3166" s="53" t="str">
        <f aca="false">IF(O3166&lt;&gt;"",O3166*0.1,"")</f>
        <v/>
      </c>
      <c r="Q3166" s="83" t="str">
        <f aca="false">IF(O3166&lt;&gt;"",O3166+P3166,"")</f>
        <v/>
      </c>
      <c r="R3166" s="84"/>
    </row>
    <row r="3167" customFormat="false" ht="15" hidden="false" customHeight="true" outlineLevel="0" collapsed="false">
      <c r="A3167" s="103"/>
      <c r="B3167" s="85"/>
      <c r="C3167" s="86"/>
      <c r="D3167" s="87"/>
      <c r="E3167" s="46" t="str">
        <f aca="false">IF(D3167&lt;&gt;"",IFERROR(VLOOKUP(D3167,PROVEEDORES!$A:$B,2,0),"!COD NO ENCONTRADO"),"")</f>
        <v/>
      </c>
      <c r="F3167" s="88" t="str">
        <f aca="false">IF(D3167&lt;&gt;"",IFERROR(VLOOKUP(D3167,PROVEEDORES!$A:$C,3,0),""),"")</f>
        <v/>
      </c>
      <c r="G3167" s="87"/>
      <c r="H3167" s="46" t="str">
        <f aca="false">IF(G3167&lt;&gt;"",IFERROR(VLOOKUP(G3167,PRODUCTOS!$A:$B,2,0),"!COD NO ENCONTRADO"),"")</f>
        <v/>
      </c>
      <c r="I3167" s="89"/>
      <c r="J3167" s="90"/>
      <c r="K3167" s="91"/>
      <c r="L3167" s="80" t="str">
        <f aca="false">IF(AND(J3167&lt;&gt;"",K3167&lt;&gt;""),J3167*K3167,"")</f>
        <v/>
      </c>
      <c r="M3167" s="81" t="str">
        <f aca="false">IF(L3167&lt;&gt;"",L3167*1.1,"")</f>
        <v/>
      </c>
      <c r="N3167" s="47" t="n">
        <f aca="false">IF(F3167="S",L3167*0.02,0)</f>
        <v>0</v>
      </c>
      <c r="O3167" s="82" t="str">
        <f aca="false">IF(L3167&lt;&gt;"",L3167+N3167,"")</f>
        <v/>
      </c>
      <c r="P3167" s="47" t="str">
        <f aca="false">IF(O3167&lt;&gt;"",O3167*0.1,"")</f>
        <v/>
      </c>
      <c r="Q3167" s="83" t="str">
        <f aca="false">IF(O3167&lt;&gt;"",O3167+P3167,"")</f>
        <v/>
      </c>
      <c r="R3167" s="84"/>
    </row>
    <row r="3168" customFormat="false" ht="15" hidden="false" customHeight="true" outlineLevel="0" collapsed="false">
      <c r="A3168" s="103"/>
      <c r="B3168" s="73"/>
      <c r="C3168" s="74"/>
      <c r="D3168" s="75"/>
      <c r="E3168" s="52" t="str">
        <f aca="false">IF(D3168&lt;&gt;"",IFERROR(VLOOKUP(D3168,PROVEEDORES!$A:$B,2,0),"!COD NO ENCONTRADO"),"")</f>
        <v/>
      </c>
      <c r="F3168" s="76" t="str">
        <f aca="false">IF(D3168&lt;&gt;"",IFERROR(VLOOKUP(D3168,PROVEEDORES!$A:$C,3,0),""),"")</f>
        <v/>
      </c>
      <c r="G3168" s="75"/>
      <c r="H3168" s="52" t="str">
        <f aca="false">IF(G3168&lt;&gt;"",IFERROR(VLOOKUP(G3168,PRODUCTOS!$A:$B,2,0),"!COD NO ENCONTRADO"),"")</f>
        <v/>
      </c>
      <c r="I3168" s="77"/>
      <c r="J3168" s="78"/>
      <c r="K3168" s="79"/>
      <c r="L3168" s="80" t="str">
        <f aca="false">IF(AND(J3168&lt;&gt;"",K3168&lt;&gt;""),J3168*K3168,"")</f>
        <v/>
      </c>
      <c r="M3168" s="81" t="str">
        <f aca="false">IF(L3168&lt;&gt;"",L3168*1.1,"")</f>
        <v/>
      </c>
      <c r="N3168" s="53" t="n">
        <f aca="false">IF(F3168="S",L3168*0.02,0)</f>
        <v>0</v>
      </c>
      <c r="O3168" s="82" t="str">
        <f aca="false">IF(L3168&lt;&gt;"",L3168+N3168,"")</f>
        <v/>
      </c>
      <c r="P3168" s="53" t="str">
        <f aca="false">IF(O3168&lt;&gt;"",O3168*0.1,"")</f>
        <v/>
      </c>
      <c r="Q3168" s="83" t="str">
        <f aca="false">IF(O3168&lt;&gt;"",O3168+P3168,"")</f>
        <v/>
      </c>
      <c r="R3168" s="84"/>
    </row>
    <row r="3169" customFormat="false" ht="15" hidden="false" customHeight="true" outlineLevel="0" collapsed="false">
      <c r="A3169" s="103"/>
      <c r="B3169" s="85"/>
      <c r="C3169" s="86"/>
      <c r="D3169" s="87"/>
      <c r="E3169" s="46" t="str">
        <f aca="false">IF(D3169&lt;&gt;"",IFERROR(VLOOKUP(D3169,PROVEEDORES!$A:$B,2,0),"!COD NO ENCONTRADO"),"")</f>
        <v/>
      </c>
      <c r="F3169" s="88" t="str">
        <f aca="false">IF(D3169&lt;&gt;"",IFERROR(VLOOKUP(D3169,PROVEEDORES!$A:$C,3,0),""),"")</f>
        <v/>
      </c>
      <c r="G3169" s="87"/>
      <c r="H3169" s="46" t="str">
        <f aca="false">IF(G3169&lt;&gt;"",IFERROR(VLOOKUP(G3169,PRODUCTOS!$A:$B,2,0),"!COD NO ENCONTRADO"),"")</f>
        <v/>
      </c>
      <c r="I3169" s="89"/>
      <c r="J3169" s="90"/>
      <c r="K3169" s="91"/>
      <c r="L3169" s="80" t="str">
        <f aca="false">IF(AND(J3169&lt;&gt;"",K3169&lt;&gt;""),J3169*K3169,"")</f>
        <v/>
      </c>
      <c r="M3169" s="81" t="str">
        <f aca="false">IF(L3169&lt;&gt;"",L3169*1.1,"")</f>
        <v/>
      </c>
      <c r="N3169" s="47" t="n">
        <f aca="false">IF(F3169="S",L3169*0.02,0)</f>
        <v>0</v>
      </c>
      <c r="O3169" s="82" t="str">
        <f aca="false">IF(L3169&lt;&gt;"",L3169+N3169,"")</f>
        <v/>
      </c>
      <c r="P3169" s="47" t="str">
        <f aca="false">IF(O3169&lt;&gt;"",O3169*0.1,"")</f>
        <v/>
      </c>
      <c r="Q3169" s="83" t="str">
        <f aca="false">IF(O3169&lt;&gt;"",O3169+P3169,"")</f>
        <v/>
      </c>
      <c r="R3169" s="84"/>
    </row>
    <row r="3170" customFormat="false" ht="15" hidden="false" customHeight="true" outlineLevel="0" collapsed="false">
      <c r="A3170" s="103"/>
      <c r="B3170" s="73"/>
      <c r="C3170" s="74"/>
      <c r="D3170" s="75"/>
      <c r="E3170" s="52" t="str">
        <f aca="false">IF(D3170&lt;&gt;"",IFERROR(VLOOKUP(D3170,PROVEEDORES!$A:$B,2,0),"!COD NO ENCONTRADO"),"")</f>
        <v/>
      </c>
      <c r="F3170" s="76" t="str">
        <f aca="false">IF(D3170&lt;&gt;"",IFERROR(VLOOKUP(D3170,PROVEEDORES!$A:$C,3,0),""),"")</f>
        <v/>
      </c>
      <c r="G3170" s="75"/>
      <c r="H3170" s="52" t="str">
        <f aca="false">IF(G3170&lt;&gt;"",IFERROR(VLOOKUP(G3170,PRODUCTOS!$A:$B,2,0),"!COD NO ENCONTRADO"),"")</f>
        <v/>
      </c>
      <c r="I3170" s="77"/>
      <c r="J3170" s="78"/>
      <c r="K3170" s="79"/>
      <c r="L3170" s="80" t="str">
        <f aca="false">IF(AND(J3170&lt;&gt;"",K3170&lt;&gt;""),J3170*K3170,"")</f>
        <v/>
      </c>
      <c r="M3170" s="81" t="str">
        <f aca="false">IF(L3170&lt;&gt;"",L3170*1.1,"")</f>
        <v/>
      </c>
      <c r="N3170" s="53" t="n">
        <f aca="false">IF(F3170="S",L3170*0.02,0)</f>
        <v>0</v>
      </c>
      <c r="O3170" s="82" t="str">
        <f aca="false">IF(L3170&lt;&gt;"",L3170+N3170,"")</f>
        <v/>
      </c>
      <c r="P3170" s="53" t="str">
        <f aca="false">IF(O3170&lt;&gt;"",O3170*0.1,"")</f>
        <v/>
      </c>
      <c r="Q3170" s="83" t="str">
        <f aca="false">IF(O3170&lt;&gt;"",O3170+P3170,"")</f>
        <v/>
      </c>
      <c r="R3170" s="84"/>
    </row>
    <row r="3171" customFormat="false" ht="15" hidden="false" customHeight="true" outlineLevel="0" collapsed="false">
      <c r="A3171" s="103"/>
      <c r="B3171" s="85"/>
      <c r="C3171" s="86"/>
      <c r="D3171" s="87"/>
      <c r="E3171" s="46" t="str">
        <f aca="false">IF(D3171&lt;&gt;"",IFERROR(VLOOKUP(D3171,PROVEEDORES!$A:$B,2,0),"!COD NO ENCONTRADO"),"")</f>
        <v/>
      </c>
      <c r="F3171" s="88" t="str">
        <f aca="false">IF(D3171&lt;&gt;"",IFERROR(VLOOKUP(D3171,PROVEEDORES!$A:$C,3,0),""),"")</f>
        <v/>
      </c>
      <c r="G3171" s="87"/>
      <c r="H3171" s="46" t="str">
        <f aca="false">IF(G3171&lt;&gt;"",IFERROR(VLOOKUP(G3171,PRODUCTOS!$A:$B,2,0),"!COD NO ENCONTRADO"),"")</f>
        <v/>
      </c>
      <c r="I3171" s="89"/>
      <c r="J3171" s="90"/>
      <c r="K3171" s="91"/>
      <c r="L3171" s="80" t="str">
        <f aca="false">IF(AND(J3171&lt;&gt;"",K3171&lt;&gt;""),J3171*K3171,"")</f>
        <v/>
      </c>
      <c r="M3171" s="81" t="str">
        <f aca="false">IF(L3171&lt;&gt;"",L3171*1.1,"")</f>
        <v/>
      </c>
      <c r="N3171" s="47" t="n">
        <f aca="false">IF(F3171="S",L3171*0.02,0)</f>
        <v>0</v>
      </c>
      <c r="O3171" s="82" t="str">
        <f aca="false">IF(L3171&lt;&gt;"",L3171+N3171,"")</f>
        <v/>
      </c>
      <c r="P3171" s="47" t="str">
        <f aca="false">IF(O3171&lt;&gt;"",O3171*0.1,"")</f>
        <v/>
      </c>
      <c r="Q3171" s="83" t="str">
        <f aca="false">IF(O3171&lt;&gt;"",O3171+P3171,"")</f>
        <v/>
      </c>
      <c r="R3171" s="84"/>
    </row>
    <row r="3172" customFormat="false" ht="15" hidden="false" customHeight="true" outlineLevel="0" collapsed="false">
      <c r="A3172" s="103"/>
      <c r="B3172" s="73"/>
      <c r="C3172" s="74"/>
      <c r="D3172" s="75"/>
      <c r="E3172" s="52" t="str">
        <f aca="false">IF(D3172&lt;&gt;"",IFERROR(VLOOKUP(D3172,PROVEEDORES!$A:$B,2,0),"!COD NO ENCONTRADO"),"")</f>
        <v/>
      </c>
      <c r="F3172" s="76" t="str">
        <f aca="false">IF(D3172&lt;&gt;"",IFERROR(VLOOKUP(D3172,PROVEEDORES!$A:$C,3,0),""),"")</f>
        <v/>
      </c>
      <c r="G3172" s="75"/>
      <c r="H3172" s="52" t="str">
        <f aca="false">IF(G3172&lt;&gt;"",IFERROR(VLOOKUP(G3172,PRODUCTOS!$A:$B,2,0),"!COD NO ENCONTRADO"),"")</f>
        <v/>
      </c>
      <c r="I3172" s="77"/>
      <c r="J3172" s="78"/>
      <c r="K3172" s="79"/>
      <c r="L3172" s="80" t="str">
        <f aca="false">IF(AND(J3172&lt;&gt;"",K3172&lt;&gt;""),J3172*K3172,"")</f>
        <v/>
      </c>
      <c r="M3172" s="81" t="str">
        <f aca="false">IF(L3172&lt;&gt;"",L3172*1.1,"")</f>
        <v/>
      </c>
      <c r="N3172" s="53" t="n">
        <f aca="false">IF(F3172="S",L3172*0.02,0)</f>
        <v>0</v>
      </c>
      <c r="O3172" s="82" t="str">
        <f aca="false">IF(L3172&lt;&gt;"",L3172+N3172,"")</f>
        <v/>
      </c>
      <c r="P3172" s="53" t="str">
        <f aca="false">IF(O3172&lt;&gt;"",O3172*0.1,"")</f>
        <v/>
      </c>
      <c r="Q3172" s="83" t="str">
        <f aca="false">IF(O3172&lt;&gt;"",O3172+P3172,"")</f>
        <v/>
      </c>
      <c r="R3172" s="84"/>
    </row>
    <row r="3173" customFormat="false" ht="15" hidden="false" customHeight="true" outlineLevel="0" collapsed="false">
      <c r="A3173" s="103"/>
      <c r="B3173" s="85"/>
      <c r="C3173" s="86"/>
      <c r="D3173" s="87"/>
      <c r="E3173" s="46" t="str">
        <f aca="false">IF(D3173&lt;&gt;"",IFERROR(VLOOKUP(D3173,PROVEEDORES!$A:$B,2,0),"!COD NO ENCONTRADO"),"")</f>
        <v/>
      </c>
      <c r="F3173" s="88" t="str">
        <f aca="false">IF(D3173&lt;&gt;"",IFERROR(VLOOKUP(D3173,PROVEEDORES!$A:$C,3,0),""),"")</f>
        <v/>
      </c>
      <c r="G3173" s="87"/>
      <c r="H3173" s="46" t="str">
        <f aca="false">IF(G3173&lt;&gt;"",IFERROR(VLOOKUP(G3173,PRODUCTOS!$A:$B,2,0),"!COD NO ENCONTRADO"),"")</f>
        <v/>
      </c>
      <c r="I3173" s="89"/>
      <c r="J3173" s="90"/>
      <c r="K3173" s="91"/>
      <c r="L3173" s="80" t="str">
        <f aca="false">IF(AND(J3173&lt;&gt;"",K3173&lt;&gt;""),J3173*K3173,"")</f>
        <v/>
      </c>
      <c r="M3173" s="81" t="str">
        <f aca="false">IF(L3173&lt;&gt;"",L3173*1.1,"")</f>
        <v/>
      </c>
      <c r="N3173" s="47" t="n">
        <f aca="false">IF(F3173="S",L3173*0.02,0)</f>
        <v>0</v>
      </c>
      <c r="O3173" s="82" t="str">
        <f aca="false">IF(L3173&lt;&gt;"",L3173+N3173,"")</f>
        <v/>
      </c>
      <c r="P3173" s="47" t="str">
        <f aca="false">IF(O3173&lt;&gt;"",O3173*0.1,"")</f>
        <v/>
      </c>
      <c r="Q3173" s="83" t="str">
        <f aca="false">IF(O3173&lt;&gt;"",O3173+P3173,"")</f>
        <v/>
      </c>
      <c r="R3173" s="84"/>
    </row>
    <row r="3174" customFormat="false" ht="15" hidden="false" customHeight="true" outlineLevel="0" collapsed="false">
      <c r="A3174" s="103"/>
      <c r="B3174" s="73"/>
      <c r="C3174" s="74"/>
      <c r="D3174" s="75"/>
      <c r="E3174" s="52" t="str">
        <f aca="false">IF(D3174&lt;&gt;"",IFERROR(VLOOKUP(D3174,PROVEEDORES!$A:$B,2,0),"!COD NO ENCONTRADO"),"")</f>
        <v/>
      </c>
      <c r="F3174" s="76" t="str">
        <f aca="false">IF(D3174&lt;&gt;"",IFERROR(VLOOKUP(D3174,PROVEEDORES!$A:$C,3,0),""),"")</f>
        <v/>
      </c>
      <c r="G3174" s="75"/>
      <c r="H3174" s="52" t="str">
        <f aca="false">IF(G3174&lt;&gt;"",IFERROR(VLOOKUP(G3174,PRODUCTOS!$A:$B,2,0),"!COD NO ENCONTRADO"),"")</f>
        <v/>
      </c>
      <c r="I3174" s="77"/>
      <c r="J3174" s="78"/>
      <c r="K3174" s="79"/>
      <c r="L3174" s="80" t="str">
        <f aca="false">IF(AND(J3174&lt;&gt;"",K3174&lt;&gt;""),J3174*K3174,"")</f>
        <v/>
      </c>
      <c r="M3174" s="81" t="str">
        <f aca="false">IF(L3174&lt;&gt;"",L3174*1.1,"")</f>
        <v/>
      </c>
      <c r="N3174" s="53" t="n">
        <f aca="false">IF(F3174="S",L3174*0.02,0)</f>
        <v>0</v>
      </c>
      <c r="O3174" s="82" t="str">
        <f aca="false">IF(L3174&lt;&gt;"",L3174+N3174,"")</f>
        <v/>
      </c>
      <c r="P3174" s="53" t="str">
        <f aca="false">IF(O3174&lt;&gt;"",O3174*0.1,"")</f>
        <v/>
      </c>
      <c r="Q3174" s="83" t="str">
        <f aca="false">IF(O3174&lt;&gt;"",O3174+P3174,"")</f>
        <v/>
      </c>
      <c r="R3174" s="84"/>
    </row>
    <row r="3175" customFormat="false" ht="15" hidden="false" customHeight="true" outlineLevel="0" collapsed="false">
      <c r="A3175" s="103"/>
      <c r="B3175" s="85"/>
      <c r="C3175" s="86"/>
      <c r="D3175" s="87"/>
      <c r="E3175" s="46" t="str">
        <f aca="false">IF(D3175&lt;&gt;"",IFERROR(VLOOKUP(D3175,PROVEEDORES!$A:$B,2,0),"!COD NO ENCONTRADO"),"")</f>
        <v/>
      </c>
      <c r="F3175" s="88" t="str">
        <f aca="false">IF(D3175&lt;&gt;"",IFERROR(VLOOKUP(D3175,PROVEEDORES!$A:$C,3,0),""),"")</f>
        <v/>
      </c>
      <c r="G3175" s="87"/>
      <c r="H3175" s="46" t="str">
        <f aca="false">IF(G3175&lt;&gt;"",IFERROR(VLOOKUP(G3175,PRODUCTOS!$A:$B,2,0),"!COD NO ENCONTRADO"),"")</f>
        <v/>
      </c>
      <c r="I3175" s="89"/>
      <c r="J3175" s="90"/>
      <c r="K3175" s="91"/>
      <c r="L3175" s="80" t="str">
        <f aca="false">IF(AND(J3175&lt;&gt;"",K3175&lt;&gt;""),J3175*K3175,"")</f>
        <v/>
      </c>
      <c r="M3175" s="81" t="str">
        <f aca="false">IF(L3175&lt;&gt;"",L3175*1.1,"")</f>
        <v/>
      </c>
      <c r="N3175" s="47" t="n">
        <f aca="false">IF(F3175="S",L3175*0.02,0)</f>
        <v>0</v>
      </c>
      <c r="O3175" s="82" t="str">
        <f aca="false">IF(L3175&lt;&gt;"",L3175+N3175,"")</f>
        <v/>
      </c>
      <c r="P3175" s="47" t="str">
        <f aca="false">IF(O3175&lt;&gt;"",O3175*0.1,"")</f>
        <v/>
      </c>
      <c r="Q3175" s="83" t="str">
        <f aca="false">IF(O3175&lt;&gt;"",O3175+P3175,"")</f>
        <v/>
      </c>
      <c r="R3175" s="84"/>
    </row>
    <row r="3176" customFormat="false" ht="15" hidden="false" customHeight="true" outlineLevel="0" collapsed="false">
      <c r="A3176" s="103"/>
      <c r="B3176" s="73"/>
      <c r="C3176" s="74"/>
      <c r="D3176" s="75"/>
      <c r="E3176" s="52" t="str">
        <f aca="false">IF(D3176&lt;&gt;"",IFERROR(VLOOKUP(D3176,PROVEEDORES!$A:$B,2,0),"!COD NO ENCONTRADO"),"")</f>
        <v/>
      </c>
      <c r="F3176" s="76" t="str">
        <f aca="false">IF(D3176&lt;&gt;"",IFERROR(VLOOKUP(D3176,PROVEEDORES!$A:$C,3,0),""),"")</f>
        <v/>
      </c>
      <c r="G3176" s="75"/>
      <c r="H3176" s="52" t="str">
        <f aca="false">IF(G3176&lt;&gt;"",IFERROR(VLOOKUP(G3176,PRODUCTOS!$A:$B,2,0),"!COD NO ENCONTRADO"),"")</f>
        <v/>
      </c>
      <c r="I3176" s="77"/>
      <c r="J3176" s="78"/>
      <c r="K3176" s="79"/>
      <c r="L3176" s="80" t="str">
        <f aca="false">IF(AND(J3176&lt;&gt;"",K3176&lt;&gt;""),J3176*K3176,"")</f>
        <v/>
      </c>
      <c r="M3176" s="81" t="str">
        <f aca="false">IF(L3176&lt;&gt;"",L3176*1.1,"")</f>
        <v/>
      </c>
      <c r="N3176" s="53" t="n">
        <f aca="false">IF(F3176="S",L3176*0.02,0)</f>
        <v>0</v>
      </c>
      <c r="O3176" s="82" t="str">
        <f aca="false">IF(L3176&lt;&gt;"",L3176+N3176,"")</f>
        <v/>
      </c>
      <c r="P3176" s="53" t="str">
        <f aca="false">IF(O3176&lt;&gt;"",O3176*0.1,"")</f>
        <v/>
      </c>
      <c r="Q3176" s="83" t="str">
        <f aca="false">IF(O3176&lt;&gt;"",O3176+P3176,"")</f>
        <v/>
      </c>
      <c r="R3176" s="84"/>
    </row>
    <row r="3177" customFormat="false" ht="15" hidden="false" customHeight="true" outlineLevel="0" collapsed="false">
      <c r="A3177" s="103"/>
      <c r="B3177" s="85"/>
      <c r="C3177" s="86"/>
      <c r="D3177" s="87"/>
      <c r="E3177" s="46" t="str">
        <f aca="false">IF(D3177&lt;&gt;"",IFERROR(VLOOKUP(D3177,PROVEEDORES!$A:$B,2,0),"!COD NO ENCONTRADO"),"")</f>
        <v/>
      </c>
      <c r="F3177" s="88" t="str">
        <f aca="false">IF(D3177&lt;&gt;"",IFERROR(VLOOKUP(D3177,PROVEEDORES!$A:$C,3,0),""),"")</f>
        <v/>
      </c>
      <c r="G3177" s="87"/>
      <c r="H3177" s="46" t="str">
        <f aca="false">IF(G3177&lt;&gt;"",IFERROR(VLOOKUP(G3177,PRODUCTOS!$A:$B,2,0),"!COD NO ENCONTRADO"),"")</f>
        <v/>
      </c>
      <c r="I3177" s="89"/>
      <c r="J3177" s="90"/>
      <c r="K3177" s="91"/>
      <c r="L3177" s="80" t="str">
        <f aca="false">IF(AND(J3177&lt;&gt;"",K3177&lt;&gt;""),J3177*K3177,"")</f>
        <v/>
      </c>
      <c r="M3177" s="81" t="str">
        <f aca="false">IF(L3177&lt;&gt;"",L3177*1.1,"")</f>
        <v/>
      </c>
      <c r="N3177" s="47" t="n">
        <f aca="false">IF(F3177="S",L3177*0.02,0)</f>
        <v>0</v>
      </c>
      <c r="O3177" s="82" t="str">
        <f aca="false">IF(L3177&lt;&gt;"",L3177+N3177,"")</f>
        <v/>
      </c>
      <c r="P3177" s="47" t="str">
        <f aca="false">IF(O3177&lt;&gt;"",O3177*0.1,"")</f>
        <v/>
      </c>
      <c r="Q3177" s="83" t="str">
        <f aca="false">IF(O3177&lt;&gt;"",O3177+P3177,"")</f>
        <v/>
      </c>
      <c r="R3177" s="84"/>
    </row>
    <row r="3178" customFormat="false" ht="15" hidden="false" customHeight="true" outlineLevel="0" collapsed="false">
      <c r="A3178" s="103"/>
      <c r="B3178" s="73"/>
      <c r="C3178" s="74"/>
      <c r="D3178" s="75"/>
      <c r="E3178" s="52" t="str">
        <f aca="false">IF(D3178&lt;&gt;"",IFERROR(VLOOKUP(D3178,PROVEEDORES!$A:$B,2,0),"!COD NO ENCONTRADO"),"")</f>
        <v/>
      </c>
      <c r="F3178" s="76" t="str">
        <f aca="false">IF(D3178&lt;&gt;"",IFERROR(VLOOKUP(D3178,PROVEEDORES!$A:$C,3,0),""),"")</f>
        <v/>
      </c>
      <c r="G3178" s="75"/>
      <c r="H3178" s="52" t="str">
        <f aca="false">IF(G3178&lt;&gt;"",IFERROR(VLOOKUP(G3178,PRODUCTOS!$A:$B,2,0),"!COD NO ENCONTRADO"),"")</f>
        <v/>
      </c>
      <c r="I3178" s="77"/>
      <c r="J3178" s="78"/>
      <c r="K3178" s="79"/>
      <c r="L3178" s="80" t="str">
        <f aca="false">IF(AND(J3178&lt;&gt;"",K3178&lt;&gt;""),J3178*K3178,"")</f>
        <v/>
      </c>
      <c r="M3178" s="81" t="str">
        <f aca="false">IF(L3178&lt;&gt;"",L3178*1.1,"")</f>
        <v/>
      </c>
      <c r="N3178" s="53" t="n">
        <f aca="false">IF(F3178="S",L3178*0.02,0)</f>
        <v>0</v>
      </c>
      <c r="O3178" s="82" t="str">
        <f aca="false">IF(L3178&lt;&gt;"",L3178+N3178,"")</f>
        <v/>
      </c>
      <c r="P3178" s="53" t="str">
        <f aca="false">IF(O3178&lt;&gt;"",O3178*0.1,"")</f>
        <v/>
      </c>
      <c r="Q3178" s="83" t="str">
        <f aca="false">IF(O3178&lt;&gt;"",O3178+P3178,"")</f>
        <v/>
      </c>
      <c r="R3178" s="84"/>
    </row>
    <row r="3179" customFormat="false" ht="15" hidden="false" customHeight="true" outlineLevel="0" collapsed="false">
      <c r="A3179" s="103"/>
      <c r="B3179" s="85"/>
      <c r="C3179" s="86"/>
      <c r="D3179" s="87"/>
      <c r="E3179" s="46" t="str">
        <f aca="false">IF(D3179&lt;&gt;"",IFERROR(VLOOKUP(D3179,PROVEEDORES!$A:$B,2,0),"!COD NO ENCONTRADO"),"")</f>
        <v/>
      </c>
      <c r="F3179" s="88" t="str">
        <f aca="false">IF(D3179&lt;&gt;"",IFERROR(VLOOKUP(D3179,PROVEEDORES!$A:$C,3,0),""),"")</f>
        <v/>
      </c>
      <c r="G3179" s="87"/>
      <c r="H3179" s="46" t="str">
        <f aca="false">IF(G3179&lt;&gt;"",IFERROR(VLOOKUP(G3179,PRODUCTOS!$A:$B,2,0),"!COD NO ENCONTRADO"),"")</f>
        <v/>
      </c>
      <c r="I3179" s="89"/>
      <c r="J3179" s="90"/>
      <c r="K3179" s="91"/>
      <c r="L3179" s="80" t="str">
        <f aca="false">IF(AND(J3179&lt;&gt;"",K3179&lt;&gt;""),J3179*K3179,"")</f>
        <v/>
      </c>
      <c r="M3179" s="81" t="str">
        <f aca="false">IF(L3179&lt;&gt;"",L3179*1.1,"")</f>
        <v/>
      </c>
      <c r="N3179" s="47" t="n">
        <f aca="false">IF(F3179="S",L3179*0.02,0)</f>
        <v>0</v>
      </c>
      <c r="O3179" s="82" t="str">
        <f aca="false">IF(L3179&lt;&gt;"",L3179+N3179,"")</f>
        <v/>
      </c>
      <c r="P3179" s="47" t="str">
        <f aca="false">IF(O3179&lt;&gt;"",O3179*0.1,"")</f>
        <v/>
      </c>
      <c r="Q3179" s="83" t="str">
        <f aca="false">IF(O3179&lt;&gt;"",O3179+P3179,"")</f>
        <v/>
      </c>
      <c r="R3179" s="84"/>
    </row>
    <row r="3180" customFormat="false" ht="15" hidden="false" customHeight="true" outlineLevel="0" collapsed="false">
      <c r="A3180" s="103"/>
      <c r="B3180" s="73"/>
      <c r="C3180" s="74"/>
      <c r="D3180" s="75"/>
      <c r="E3180" s="52" t="str">
        <f aca="false">IF(D3180&lt;&gt;"",IFERROR(VLOOKUP(D3180,PROVEEDORES!$A:$B,2,0),"!COD NO ENCONTRADO"),"")</f>
        <v/>
      </c>
      <c r="F3180" s="76" t="str">
        <f aca="false">IF(D3180&lt;&gt;"",IFERROR(VLOOKUP(D3180,PROVEEDORES!$A:$C,3,0),""),"")</f>
        <v/>
      </c>
      <c r="G3180" s="75"/>
      <c r="H3180" s="52" t="str">
        <f aca="false">IF(G3180&lt;&gt;"",IFERROR(VLOOKUP(G3180,PRODUCTOS!$A:$B,2,0),"!COD NO ENCONTRADO"),"")</f>
        <v/>
      </c>
      <c r="I3180" s="77"/>
      <c r="J3180" s="78"/>
      <c r="K3180" s="79"/>
      <c r="L3180" s="80" t="str">
        <f aca="false">IF(AND(J3180&lt;&gt;"",K3180&lt;&gt;""),J3180*K3180,"")</f>
        <v/>
      </c>
      <c r="M3180" s="81" t="str">
        <f aca="false">IF(L3180&lt;&gt;"",L3180*1.1,"")</f>
        <v/>
      </c>
      <c r="N3180" s="53" t="n">
        <f aca="false">IF(F3180="S",L3180*0.02,0)</f>
        <v>0</v>
      </c>
      <c r="O3180" s="82" t="str">
        <f aca="false">IF(L3180&lt;&gt;"",L3180+N3180,"")</f>
        <v/>
      </c>
      <c r="P3180" s="53" t="str">
        <f aca="false">IF(O3180&lt;&gt;"",O3180*0.1,"")</f>
        <v/>
      </c>
      <c r="Q3180" s="83" t="str">
        <f aca="false">IF(O3180&lt;&gt;"",O3180+P3180,"")</f>
        <v/>
      </c>
      <c r="R3180" s="84"/>
    </row>
    <row r="3181" customFormat="false" ht="15" hidden="false" customHeight="true" outlineLevel="0" collapsed="false">
      <c r="A3181" s="103"/>
      <c r="B3181" s="85"/>
      <c r="C3181" s="86"/>
      <c r="D3181" s="87"/>
      <c r="E3181" s="46" t="str">
        <f aca="false">IF(D3181&lt;&gt;"",IFERROR(VLOOKUP(D3181,PROVEEDORES!$A:$B,2,0),"!COD NO ENCONTRADO"),"")</f>
        <v/>
      </c>
      <c r="F3181" s="88" t="str">
        <f aca="false">IF(D3181&lt;&gt;"",IFERROR(VLOOKUP(D3181,PROVEEDORES!$A:$C,3,0),""),"")</f>
        <v/>
      </c>
      <c r="G3181" s="87"/>
      <c r="H3181" s="46" t="str">
        <f aca="false">IF(G3181&lt;&gt;"",IFERROR(VLOOKUP(G3181,PRODUCTOS!$A:$B,2,0),"!COD NO ENCONTRADO"),"")</f>
        <v/>
      </c>
      <c r="I3181" s="89"/>
      <c r="J3181" s="90"/>
      <c r="K3181" s="91"/>
      <c r="L3181" s="80" t="str">
        <f aca="false">IF(AND(J3181&lt;&gt;"",K3181&lt;&gt;""),J3181*K3181,"")</f>
        <v/>
      </c>
      <c r="M3181" s="81" t="str">
        <f aca="false">IF(L3181&lt;&gt;"",L3181*1.1,"")</f>
        <v/>
      </c>
      <c r="N3181" s="47" t="n">
        <f aca="false">IF(F3181="S",L3181*0.02,0)</f>
        <v>0</v>
      </c>
      <c r="O3181" s="82" t="str">
        <f aca="false">IF(L3181&lt;&gt;"",L3181+N3181,"")</f>
        <v/>
      </c>
      <c r="P3181" s="47" t="str">
        <f aca="false">IF(O3181&lt;&gt;"",O3181*0.1,"")</f>
        <v/>
      </c>
      <c r="Q3181" s="83" t="str">
        <f aca="false">IF(O3181&lt;&gt;"",O3181+P3181,"")</f>
        <v/>
      </c>
      <c r="R3181" s="84"/>
    </row>
    <row r="3182" customFormat="false" ht="15" hidden="false" customHeight="true" outlineLevel="0" collapsed="false">
      <c r="A3182" s="103"/>
      <c r="B3182" s="73"/>
      <c r="C3182" s="74"/>
      <c r="D3182" s="75"/>
      <c r="E3182" s="52" t="str">
        <f aca="false">IF(D3182&lt;&gt;"",IFERROR(VLOOKUP(D3182,PROVEEDORES!$A:$B,2,0),"!COD NO ENCONTRADO"),"")</f>
        <v/>
      </c>
      <c r="F3182" s="76" t="str">
        <f aca="false">IF(D3182&lt;&gt;"",IFERROR(VLOOKUP(D3182,PROVEEDORES!$A:$C,3,0),""),"")</f>
        <v/>
      </c>
      <c r="G3182" s="75"/>
      <c r="H3182" s="52" t="str">
        <f aca="false">IF(G3182&lt;&gt;"",IFERROR(VLOOKUP(G3182,PRODUCTOS!$A:$B,2,0),"!COD NO ENCONTRADO"),"")</f>
        <v/>
      </c>
      <c r="I3182" s="77"/>
      <c r="J3182" s="78"/>
      <c r="K3182" s="79"/>
      <c r="L3182" s="80" t="str">
        <f aca="false">IF(AND(J3182&lt;&gt;"",K3182&lt;&gt;""),J3182*K3182,"")</f>
        <v/>
      </c>
      <c r="M3182" s="81" t="str">
        <f aca="false">IF(L3182&lt;&gt;"",L3182*1.1,"")</f>
        <v/>
      </c>
      <c r="N3182" s="53" t="n">
        <f aca="false">IF(F3182="S",L3182*0.02,0)</f>
        <v>0</v>
      </c>
      <c r="O3182" s="82" t="str">
        <f aca="false">IF(L3182&lt;&gt;"",L3182+N3182,"")</f>
        <v/>
      </c>
      <c r="P3182" s="53" t="str">
        <f aca="false">IF(O3182&lt;&gt;"",O3182*0.1,"")</f>
        <v/>
      </c>
      <c r="Q3182" s="83" t="str">
        <f aca="false">IF(O3182&lt;&gt;"",O3182+P3182,"")</f>
        <v/>
      </c>
      <c r="R3182" s="84"/>
    </row>
    <row r="3183" customFormat="false" ht="15" hidden="false" customHeight="true" outlineLevel="0" collapsed="false">
      <c r="A3183" s="103"/>
      <c r="B3183" s="85"/>
      <c r="C3183" s="86"/>
      <c r="D3183" s="87"/>
      <c r="E3183" s="46" t="str">
        <f aca="false">IF(D3183&lt;&gt;"",IFERROR(VLOOKUP(D3183,PROVEEDORES!$A:$B,2,0),"!COD NO ENCONTRADO"),"")</f>
        <v/>
      </c>
      <c r="F3183" s="88" t="str">
        <f aca="false">IF(D3183&lt;&gt;"",IFERROR(VLOOKUP(D3183,PROVEEDORES!$A:$C,3,0),""),"")</f>
        <v/>
      </c>
      <c r="G3183" s="87"/>
      <c r="H3183" s="46" t="str">
        <f aca="false">IF(G3183&lt;&gt;"",IFERROR(VLOOKUP(G3183,PRODUCTOS!$A:$B,2,0),"!COD NO ENCONTRADO"),"")</f>
        <v/>
      </c>
      <c r="I3183" s="89"/>
      <c r="J3183" s="90"/>
      <c r="K3183" s="91"/>
      <c r="L3183" s="80" t="str">
        <f aca="false">IF(AND(J3183&lt;&gt;"",K3183&lt;&gt;""),J3183*K3183,"")</f>
        <v/>
      </c>
      <c r="M3183" s="81" t="str">
        <f aca="false">IF(L3183&lt;&gt;"",L3183*1.1,"")</f>
        <v/>
      </c>
      <c r="N3183" s="47" t="n">
        <f aca="false">IF(F3183="S",L3183*0.02,0)</f>
        <v>0</v>
      </c>
      <c r="O3183" s="82" t="str">
        <f aca="false">IF(L3183&lt;&gt;"",L3183+N3183,"")</f>
        <v/>
      </c>
      <c r="P3183" s="47" t="str">
        <f aca="false">IF(O3183&lt;&gt;"",O3183*0.1,"")</f>
        <v/>
      </c>
      <c r="Q3183" s="83" t="str">
        <f aca="false">IF(O3183&lt;&gt;"",O3183+P3183,"")</f>
        <v/>
      </c>
      <c r="R3183" s="84"/>
    </row>
    <row r="3184" customFormat="false" ht="15" hidden="false" customHeight="true" outlineLevel="0" collapsed="false">
      <c r="A3184" s="103"/>
      <c r="B3184" s="73"/>
      <c r="C3184" s="74"/>
      <c r="D3184" s="75"/>
      <c r="E3184" s="52" t="str">
        <f aca="false">IF(D3184&lt;&gt;"",IFERROR(VLOOKUP(D3184,PROVEEDORES!$A:$B,2,0),"!COD NO ENCONTRADO"),"")</f>
        <v/>
      </c>
      <c r="F3184" s="76" t="str">
        <f aca="false">IF(D3184&lt;&gt;"",IFERROR(VLOOKUP(D3184,PROVEEDORES!$A:$C,3,0),""),"")</f>
        <v/>
      </c>
      <c r="G3184" s="75"/>
      <c r="H3184" s="52" t="str">
        <f aca="false">IF(G3184&lt;&gt;"",IFERROR(VLOOKUP(G3184,PRODUCTOS!$A:$B,2,0),"!COD NO ENCONTRADO"),"")</f>
        <v/>
      </c>
      <c r="I3184" s="77"/>
      <c r="J3184" s="78"/>
      <c r="K3184" s="79"/>
      <c r="L3184" s="80" t="str">
        <f aca="false">IF(AND(J3184&lt;&gt;"",K3184&lt;&gt;""),J3184*K3184,"")</f>
        <v/>
      </c>
      <c r="M3184" s="81" t="str">
        <f aca="false">IF(L3184&lt;&gt;"",L3184*1.1,"")</f>
        <v/>
      </c>
      <c r="N3184" s="53" t="n">
        <f aca="false">IF(F3184="S",L3184*0.02,0)</f>
        <v>0</v>
      </c>
      <c r="O3184" s="82" t="str">
        <f aca="false">IF(L3184&lt;&gt;"",L3184+N3184,"")</f>
        <v/>
      </c>
      <c r="P3184" s="53" t="str">
        <f aca="false">IF(O3184&lt;&gt;"",O3184*0.1,"")</f>
        <v/>
      </c>
      <c r="Q3184" s="83" t="str">
        <f aca="false">IF(O3184&lt;&gt;"",O3184+P3184,"")</f>
        <v/>
      </c>
      <c r="R3184" s="84"/>
    </row>
    <row r="3185" customFormat="false" ht="15" hidden="false" customHeight="true" outlineLevel="0" collapsed="false">
      <c r="A3185" s="103"/>
      <c r="B3185" s="85"/>
      <c r="C3185" s="86"/>
      <c r="D3185" s="87"/>
      <c r="E3185" s="46" t="str">
        <f aca="false">IF(D3185&lt;&gt;"",IFERROR(VLOOKUP(D3185,PROVEEDORES!$A:$B,2,0),"!COD NO ENCONTRADO"),"")</f>
        <v/>
      </c>
      <c r="F3185" s="88" t="str">
        <f aca="false">IF(D3185&lt;&gt;"",IFERROR(VLOOKUP(D3185,PROVEEDORES!$A:$C,3,0),""),"")</f>
        <v/>
      </c>
      <c r="G3185" s="87"/>
      <c r="H3185" s="46" t="str">
        <f aca="false">IF(G3185&lt;&gt;"",IFERROR(VLOOKUP(G3185,PRODUCTOS!$A:$B,2,0),"!COD NO ENCONTRADO"),"")</f>
        <v/>
      </c>
      <c r="I3185" s="89"/>
      <c r="J3185" s="90"/>
      <c r="K3185" s="91"/>
      <c r="L3185" s="80" t="str">
        <f aca="false">IF(AND(J3185&lt;&gt;"",K3185&lt;&gt;""),J3185*K3185,"")</f>
        <v/>
      </c>
      <c r="M3185" s="81" t="str">
        <f aca="false">IF(L3185&lt;&gt;"",L3185*1.1,"")</f>
        <v/>
      </c>
      <c r="N3185" s="47" t="n">
        <f aca="false">IF(F3185="S",L3185*0.02,0)</f>
        <v>0</v>
      </c>
      <c r="O3185" s="82" t="str">
        <f aca="false">IF(L3185&lt;&gt;"",L3185+N3185,"")</f>
        <v/>
      </c>
      <c r="P3185" s="47" t="str">
        <f aca="false">IF(O3185&lt;&gt;"",O3185*0.1,"")</f>
        <v/>
      </c>
      <c r="Q3185" s="83" t="str">
        <f aca="false">IF(O3185&lt;&gt;"",O3185+P3185,"")</f>
        <v/>
      </c>
      <c r="R3185" s="84"/>
    </row>
    <row r="3186" customFormat="false" ht="15" hidden="false" customHeight="true" outlineLevel="0" collapsed="false">
      <c r="A3186" s="103"/>
      <c r="B3186" s="73"/>
      <c r="C3186" s="74"/>
      <c r="D3186" s="75"/>
      <c r="E3186" s="52" t="str">
        <f aca="false">IF(D3186&lt;&gt;"",IFERROR(VLOOKUP(D3186,PROVEEDORES!$A:$B,2,0),"!COD NO ENCONTRADO"),"")</f>
        <v/>
      </c>
      <c r="F3186" s="76" t="str">
        <f aca="false">IF(D3186&lt;&gt;"",IFERROR(VLOOKUP(D3186,PROVEEDORES!$A:$C,3,0),""),"")</f>
        <v/>
      </c>
      <c r="G3186" s="75"/>
      <c r="H3186" s="52" t="str">
        <f aca="false">IF(G3186&lt;&gt;"",IFERROR(VLOOKUP(G3186,PRODUCTOS!$A:$B,2,0),"!COD NO ENCONTRADO"),"")</f>
        <v/>
      </c>
      <c r="I3186" s="77"/>
      <c r="J3186" s="78"/>
      <c r="K3186" s="79"/>
      <c r="L3186" s="80" t="str">
        <f aca="false">IF(AND(J3186&lt;&gt;"",K3186&lt;&gt;""),J3186*K3186,"")</f>
        <v/>
      </c>
      <c r="M3186" s="81" t="str">
        <f aca="false">IF(L3186&lt;&gt;"",L3186*1.1,"")</f>
        <v/>
      </c>
      <c r="N3186" s="53" t="n">
        <f aca="false">IF(F3186="S",L3186*0.02,0)</f>
        <v>0</v>
      </c>
      <c r="O3186" s="82" t="str">
        <f aca="false">IF(L3186&lt;&gt;"",L3186+N3186,"")</f>
        <v/>
      </c>
      <c r="P3186" s="53" t="str">
        <f aca="false">IF(O3186&lt;&gt;"",O3186*0.1,"")</f>
        <v/>
      </c>
      <c r="Q3186" s="83" t="str">
        <f aca="false">IF(O3186&lt;&gt;"",O3186+P3186,"")</f>
        <v/>
      </c>
      <c r="R3186" s="84"/>
    </row>
    <row r="3187" customFormat="false" ht="15" hidden="false" customHeight="true" outlineLevel="0" collapsed="false">
      <c r="A3187" s="103"/>
      <c r="B3187" s="85"/>
      <c r="C3187" s="86"/>
      <c r="D3187" s="87"/>
      <c r="E3187" s="46" t="str">
        <f aca="false">IF(D3187&lt;&gt;"",IFERROR(VLOOKUP(D3187,PROVEEDORES!$A:$B,2,0),"!COD NO ENCONTRADO"),"")</f>
        <v/>
      </c>
      <c r="F3187" s="88" t="str">
        <f aca="false">IF(D3187&lt;&gt;"",IFERROR(VLOOKUP(D3187,PROVEEDORES!$A:$C,3,0),""),"")</f>
        <v/>
      </c>
      <c r="G3187" s="87"/>
      <c r="H3187" s="46" t="str">
        <f aca="false">IF(G3187&lt;&gt;"",IFERROR(VLOOKUP(G3187,PRODUCTOS!$A:$B,2,0),"!COD NO ENCONTRADO"),"")</f>
        <v/>
      </c>
      <c r="I3187" s="89"/>
      <c r="J3187" s="90"/>
      <c r="K3187" s="91"/>
      <c r="L3187" s="80" t="str">
        <f aca="false">IF(AND(J3187&lt;&gt;"",K3187&lt;&gt;""),J3187*K3187,"")</f>
        <v/>
      </c>
      <c r="M3187" s="81" t="str">
        <f aca="false">IF(L3187&lt;&gt;"",L3187*1.1,"")</f>
        <v/>
      </c>
      <c r="N3187" s="47" t="n">
        <f aca="false">IF(F3187="S",L3187*0.02,0)</f>
        <v>0</v>
      </c>
      <c r="O3187" s="82" t="str">
        <f aca="false">IF(L3187&lt;&gt;"",L3187+N3187,"")</f>
        <v/>
      </c>
      <c r="P3187" s="47" t="str">
        <f aca="false">IF(O3187&lt;&gt;"",O3187*0.1,"")</f>
        <v/>
      </c>
      <c r="Q3187" s="83" t="str">
        <f aca="false">IF(O3187&lt;&gt;"",O3187+P3187,"")</f>
        <v/>
      </c>
      <c r="R3187" s="84"/>
    </row>
    <row r="3188" customFormat="false" ht="15" hidden="false" customHeight="true" outlineLevel="0" collapsed="false">
      <c r="A3188" s="103"/>
      <c r="B3188" s="73"/>
      <c r="C3188" s="74"/>
      <c r="D3188" s="75"/>
      <c r="E3188" s="52" t="str">
        <f aca="false">IF(D3188&lt;&gt;"",IFERROR(VLOOKUP(D3188,PROVEEDORES!$A:$B,2,0),"!COD NO ENCONTRADO"),"")</f>
        <v/>
      </c>
      <c r="F3188" s="76" t="str">
        <f aca="false">IF(D3188&lt;&gt;"",IFERROR(VLOOKUP(D3188,PROVEEDORES!$A:$C,3,0),""),"")</f>
        <v/>
      </c>
      <c r="G3188" s="75"/>
      <c r="H3188" s="52" t="str">
        <f aca="false">IF(G3188&lt;&gt;"",IFERROR(VLOOKUP(G3188,PRODUCTOS!$A:$B,2,0),"!COD NO ENCONTRADO"),"")</f>
        <v/>
      </c>
      <c r="I3188" s="77"/>
      <c r="J3188" s="78"/>
      <c r="K3188" s="79"/>
      <c r="L3188" s="80" t="str">
        <f aca="false">IF(AND(J3188&lt;&gt;"",K3188&lt;&gt;""),J3188*K3188,"")</f>
        <v/>
      </c>
      <c r="M3188" s="81" t="str">
        <f aca="false">IF(L3188&lt;&gt;"",L3188*1.1,"")</f>
        <v/>
      </c>
      <c r="N3188" s="53" t="n">
        <f aca="false">IF(F3188="S",L3188*0.02,0)</f>
        <v>0</v>
      </c>
      <c r="O3188" s="82" t="str">
        <f aca="false">IF(L3188&lt;&gt;"",L3188+N3188,"")</f>
        <v/>
      </c>
      <c r="P3188" s="53" t="str">
        <f aca="false">IF(O3188&lt;&gt;"",O3188*0.1,"")</f>
        <v/>
      </c>
      <c r="Q3188" s="83" t="str">
        <f aca="false">IF(O3188&lt;&gt;"",O3188+P3188,"")</f>
        <v/>
      </c>
      <c r="R3188" s="84"/>
    </row>
    <row r="3189" customFormat="false" ht="15" hidden="false" customHeight="true" outlineLevel="0" collapsed="false">
      <c r="A3189" s="103"/>
      <c r="B3189" s="85"/>
      <c r="C3189" s="86"/>
      <c r="D3189" s="87"/>
      <c r="E3189" s="46" t="str">
        <f aca="false">IF(D3189&lt;&gt;"",IFERROR(VLOOKUP(D3189,PROVEEDORES!$A:$B,2,0),"!COD NO ENCONTRADO"),"")</f>
        <v/>
      </c>
      <c r="F3189" s="88" t="str">
        <f aca="false">IF(D3189&lt;&gt;"",IFERROR(VLOOKUP(D3189,PROVEEDORES!$A:$C,3,0),""),"")</f>
        <v/>
      </c>
      <c r="G3189" s="87"/>
      <c r="H3189" s="46" t="str">
        <f aca="false">IF(G3189&lt;&gt;"",IFERROR(VLOOKUP(G3189,PRODUCTOS!$A:$B,2,0),"!COD NO ENCONTRADO"),"")</f>
        <v/>
      </c>
      <c r="I3189" s="89"/>
      <c r="J3189" s="90"/>
      <c r="K3189" s="91"/>
      <c r="L3189" s="80" t="str">
        <f aca="false">IF(AND(J3189&lt;&gt;"",K3189&lt;&gt;""),J3189*K3189,"")</f>
        <v/>
      </c>
      <c r="M3189" s="81" t="str">
        <f aca="false">IF(L3189&lt;&gt;"",L3189*1.1,"")</f>
        <v/>
      </c>
      <c r="N3189" s="47" t="n">
        <f aca="false">IF(F3189="S",L3189*0.02,0)</f>
        <v>0</v>
      </c>
      <c r="O3189" s="82" t="str">
        <f aca="false">IF(L3189&lt;&gt;"",L3189+N3189,"")</f>
        <v/>
      </c>
      <c r="P3189" s="47" t="str">
        <f aca="false">IF(O3189&lt;&gt;"",O3189*0.1,"")</f>
        <v/>
      </c>
      <c r="Q3189" s="83" t="str">
        <f aca="false">IF(O3189&lt;&gt;"",O3189+P3189,"")</f>
        <v/>
      </c>
      <c r="R3189" s="84"/>
    </row>
    <row r="3190" customFormat="false" ht="15" hidden="false" customHeight="true" outlineLevel="0" collapsed="false">
      <c r="A3190" s="103"/>
      <c r="B3190" s="73"/>
      <c r="C3190" s="74"/>
      <c r="D3190" s="75"/>
      <c r="E3190" s="52" t="str">
        <f aca="false">IF(D3190&lt;&gt;"",IFERROR(VLOOKUP(D3190,PROVEEDORES!$A:$B,2,0),"!COD NO ENCONTRADO"),"")</f>
        <v/>
      </c>
      <c r="F3190" s="76" t="str">
        <f aca="false">IF(D3190&lt;&gt;"",IFERROR(VLOOKUP(D3190,PROVEEDORES!$A:$C,3,0),""),"")</f>
        <v/>
      </c>
      <c r="G3190" s="75"/>
      <c r="H3190" s="52" t="str">
        <f aca="false">IF(G3190&lt;&gt;"",IFERROR(VLOOKUP(G3190,PRODUCTOS!$A:$B,2,0),"!COD NO ENCONTRADO"),"")</f>
        <v/>
      </c>
      <c r="I3190" s="77"/>
      <c r="J3190" s="78"/>
      <c r="K3190" s="79"/>
      <c r="L3190" s="80" t="str">
        <f aca="false">IF(AND(J3190&lt;&gt;"",K3190&lt;&gt;""),J3190*K3190,"")</f>
        <v/>
      </c>
      <c r="M3190" s="81" t="str">
        <f aca="false">IF(L3190&lt;&gt;"",L3190*1.1,"")</f>
        <v/>
      </c>
      <c r="N3190" s="53" t="n">
        <f aca="false">IF(F3190="S",L3190*0.02,0)</f>
        <v>0</v>
      </c>
      <c r="O3190" s="82" t="str">
        <f aca="false">IF(L3190&lt;&gt;"",L3190+N3190,"")</f>
        <v/>
      </c>
      <c r="P3190" s="53" t="str">
        <f aca="false">IF(O3190&lt;&gt;"",O3190*0.1,"")</f>
        <v/>
      </c>
      <c r="Q3190" s="83" t="str">
        <f aca="false">IF(O3190&lt;&gt;"",O3190+P3190,"")</f>
        <v/>
      </c>
      <c r="R3190" s="84"/>
    </row>
    <row r="3191" customFormat="false" ht="15" hidden="false" customHeight="true" outlineLevel="0" collapsed="false">
      <c r="A3191" s="103"/>
      <c r="B3191" s="85"/>
      <c r="C3191" s="86"/>
      <c r="D3191" s="87"/>
      <c r="E3191" s="46" t="str">
        <f aca="false">IF(D3191&lt;&gt;"",IFERROR(VLOOKUP(D3191,PROVEEDORES!$A:$B,2,0),"!COD NO ENCONTRADO"),"")</f>
        <v/>
      </c>
      <c r="F3191" s="88" t="str">
        <f aca="false">IF(D3191&lt;&gt;"",IFERROR(VLOOKUP(D3191,PROVEEDORES!$A:$C,3,0),""),"")</f>
        <v/>
      </c>
      <c r="G3191" s="87"/>
      <c r="H3191" s="46" t="str">
        <f aca="false">IF(G3191&lt;&gt;"",IFERROR(VLOOKUP(G3191,PRODUCTOS!$A:$B,2,0),"!COD NO ENCONTRADO"),"")</f>
        <v/>
      </c>
      <c r="I3191" s="89"/>
      <c r="J3191" s="90"/>
      <c r="K3191" s="91"/>
      <c r="L3191" s="80" t="str">
        <f aca="false">IF(AND(J3191&lt;&gt;"",K3191&lt;&gt;""),J3191*K3191,"")</f>
        <v/>
      </c>
      <c r="M3191" s="81" t="str">
        <f aca="false">IF(L3191&lt;&gt;"",L3191*1.1,"")</f>
        <v/>
      </c>
      <c r="N3191" s="47" t="n">
        <f aca="false">IF(F3191="S",L3191*0.02,0)</f>
        <v>0</v>
      </c>
      <c r="O3191" s="82" t="str">
        <f aca="false">IF(L3191&lt;&gt;"",L3191+N3191,"")</f>
        <v/>
      </c>
      <c r="P3191" s="47" t="str">
        <f aca="false">IF(O3191&lt;&gt;"",O3191*0.1,"")</f>
        <v/>
      </c>
      <c r="Q3191" s="83" t="str">
        <f aca="false">IF(O3191&lt;&gt;"",O3191+P3191,"")</f>
        <v/>
      </c>
      <c r="R3191" s="84"/>
    </row>
    <row r="3192" customFormat="false" ht="15" hidden="false" customHeight="true" outlineLevel="0" collapsed="false">
      <c r="A3192" s="103"/>
      <c r="B3192" s="73"/>
      <c r="C3192" s="74"/>
      <c r="D3192" s="75"/>
      <c r="E3192" s="52" t="str">
        <f aca="false">IF(D3192&lt;&gt;"",IFERROR(VLOOKUP(D3192,PROVEEDORES!$A:$B,2,0),"!COD NO ENCONTRADO"),"")</f>
        <v/>
      </c>
      <c r="F3192" s="76" t="str">
        <f aca="false">IF(D3192&lt;&gt;"",IFERROR(VLOOKUP(D3192,PROVEEDORES!$A:$C,3,0),""),"")</f>
        <v/>
      </c>
      <c r="G3192" s="75"/>
      <c r="H3192" s="52" t="str">
        <f aca="false">IF(G3192&lt;&gt;"",IFERROR(VLOOKUP(G3192,PRODUCTOS!$A:$B,2,0),"!COD NO ENCONTRADO"),"")</f>
        <v/>
      </c>
      <c r="I3192" s="77"/>
      <c r="J3192" s="78"/>
      <c r="K3192" s="79"/>
      <c r="L3192" s="80" t="str">
        <f aca="false">IF(AND(J3192&lt;&gt;"",K3192&lt;&gt;""),J3192*K3192,"")</f>
        <v/>
      </c>
      <c r="M3192" s="81" t="str">
        <f aca="false">IF(L3192&lt;&gt;"",L3192*1.1,"")</f>
        <v/>
      </c>
      <c r="N3192" s="53" t="n">
        <f aca="false">IF(F3192="S",L3192*0.02,0)</f>
        <v>0</v>
      </c>
      <c r="O3192" s="82" t="str">
        <f aca="false">IF(L3192&lt;&gt;"",L3192+N3192,"")</f>
        <v/>
      </c>
      <c r="P3192" s="53" t="str">
        <f aca="false">IF(O3192&lt;&gt;"",O3192*0.1,"")</f>
        <v/>
      </c>
      <c r="Q3192" s="83" t="str">
        <f aca="false">IF(O3192&lt;&gt;"",O3192+P3192,"")</f>
        <v/>
      </c>
      <c r="R3192" s="84"/>
    </row>
    <row r="3193" customFormat="false" ht="15" hidden="false" customHeight="true" outlineLevel="0" collapsed="false">
      <c r="A3193" s="103"/>
      <c r="B3193" s="85"/>
      <c r="C3193" s="86"/>
      <c r="D3193" s="87"/>
      <c r="E3193" s="46" t="str">
        <f aca="false">IF(D3193&lt;&gt;"",IFERROR(VLOOKUP(D3193,PROVEEDORES!$A:$B,2,0),"!COD NO ENCONTRADO"),"")</f>
        <v/>
      </c>
      <c r="F3193" s="88" t="str">
        <f aca="false">IF(D3193&lt;&gt;"",IFERROR(VLOOKUP(D3193,PROVEEDORES!$A:$C,3,0),""),"")</f>
        <v/>
      </c>
      <c r="G3193" s="87"/>
      <c r="H3193" s="46" t="str">
        <f aca="false">IF(G3193&lt;&gt;"",IFERROR(VLOOKUP(G3193,PRODUCTOS!$A:$B,2,0),"!COD NO ENCONTRADO"),"")</f>
        <v/>
      </c>
      <c r="I3193" s="89"/>
      <c r="J3193" s="90"/>
      <c r="K3193" s="91"/>
      <c r="L3193" s="80" t="str">
        <f aca="false">IF(AND(J3193&lt;&gt;"",K3193&lt;&gt;""),J3193*K3193,"")</f>
        <v/>
      </c>
      <c r="M3193" s="81" t="str">
        <f aca="false">IF(L3193&lt;&gt;"",L3193*1.1,"")</f>
        <v/>
      </c>
      <c r="N3193" s="47" t="n">
        <f aca="false">IF(F3193="S",L3193*0.02,0)</f>
        <v>0</v>
      </c>
      <c r="O3193" s="82" t="str">
        <f aca="false">IF(L3193&lt;&gt;"",L3193+N3193,"")</f>
        <v/>
      </c>
      <c r="P3193" s="47" t="str">
        <f aca="false">IF(O3193&lt;&gt;"",O3193*0.1,"")</f>
        <v/>
      </c>
      <c r="Q3193" s="83" t="str">
        <f aca="false">IF(O3193&lt;&gt;"",O3193+P3193,"")</f>
        <v/>
      </c>
      <c r="R3193" s="84"/>
    </row>
    <row r="3194" customFormat="false" ht="15" hidden="false" customHeight="true" outlineLevel="0" collapsed="false">
      <c r="A3194" s="103"/>
      <c r="B3194" s="73"/>
      <c r="C3194" s="74"/>
      <c r="D3194" s="75"/>
      <c r="E3194" s="52" t="str">
        <f aca="false">IF(D3194&lt;&gt;"",IFERROR(VLOOKUP(D3194,PROVEEDORES!$A:$B,2,0),"!COD NO ENCONTRADO"),"")</f>
        <v/>
      </c>
      <c r="F3194" s="76" t="str">
        <f aca="false">IF(D3194&lt;&gt;"",IFERROR(VLOOKUP(D3194,PROVEEDORES!$A:$C,3,0),""),"")</f>
        <v/>
      </c>
      <c r="G3194" s="75"/>
      <c r="H3194" s="52" t="str">
        <f aca="false">IF(G3194&lt;&gt;"",IFERROR(VLOOKUP(G3194,PRODUCTOS!$A:$B,2,0),"!COD NO ENCONTRADO"),"")</f>
        <v/>
      </c>
      <c r="I3194" s="77"/>
      <c r="J3194" s="78"/>
      <c r="K3194" s="79"/>
      <c r="L3194" s="80" t="str">
        <f aca="false">IF(AND(J3194&lt;&gt;"",K3194&lt;&gt;""),J3194*K3194,"")</f>
        <v/>
      </c>
      <c r="M3194" s="81" t="str">
        <f aca="false">IF(L3194&lt;&gt;"",L3194*1.1,"")</f>
        <v/>
      </c>
      <c r="N3194" s="53" t="n">
        <f aca="false">IF(F3194="S",L3194*0.02,0)</f>
        <v>0</v>
      </c>
      <c r="O3194" s="82" t="str">
        <f aca="false">IF(L3194&lt;&gt;"",L3194+N3194,"")</f>
        <v/>
      </c>
      <c r="P3194" s="53" t="str">
        <f aca="false">IF(O3194&lt;&gt;"",O3194*0.1,"")</f>
        <v/>
      </c>
      <c r="Q3194" s="83" t="str">
        <f aca="false">IF(O3194&lt;&gt;"",O3194+P3194,"")</f>
        <v/>
      </c>
      <c r="R3194" s="84"/>
    </row>
    <row r="3195" customFormat="false" ht="15" hidden="false" customHeight="true" outlineLevel="0" collapsed="false">
      <c r="A3195" s="103"/>
      <c r="B3195" s="85"/>
      <c r="C3195" s="86"/>
      <c r="D3195" s="87"/>
      <c r="E3195" s="46" t="str">
        <f aca="false">IF(D3195&lt;&gt;"",IFERROR(VLOOKUP(D3195,PROVEEDORES!$A:$B,2,0),"!COD NO ENCONTRADO"),"")</f>
        <v/>
      </c>
      <c r="F3195" s="88" t="str">
        <f aca="false">IF(D3195&lt;&gt;"",IFERROR(VLOOKUP(D3195,PROVEEDORES!$A:$C,3,0),""),"")</f>
        <v/>
      </c>
      <c r="G3195" s="87"/>
      <c r="H3195" s="46" t="str">
        <f aca="false">IF(G3195&lt;&gt;"",IFERROR(VLOOKUP(G3195,PRODUCTOS!$A:$B,2,0),"!COD NO ENCONTRADO"),"")</f>
        <v/>
      </c>
      <c r="I3195" s="89"/>
      <c r="J3195" s="90"/>
      <c r="K3195" s="91"/>
      <c r="L3195" s="80" t="str">
        <f aca="false">IF(AND(J3195&lt;&gt;"",K3195&lt;&gt;""),J3195*K3195,"")</f>
        <v/>
      </c>
      <c r="M3195" s="81" t="str">
        <f aca="false">IF(L3195&lt;&gt;"",L3195*1.1,"")</f>
        <v/>
      </c>
      <c r="N3195" s="47" t="n">
        <f aca="false">IF(F3195="S",L3195*0.02,0)</f>
        <v>0</v>
      </c>
      <c r="O3195" s="82" t="str">
        <f aca="false">IF(L3195&lt;&gt;"",L3195+N3195,"")</f>
        <v/>
      </c>
      <c r="P3195" s="47" t="str">
        <f aca="false">IF(O3195&lt;&gt;"",O3195*0.1,"")</f>
        <v/>
      </c>
      <c r="Q3195" s="83" t="str">
        <f aca="false">IF(O3195&lt;&gt;"",O3195+P3195,"")</f>
        <v/>
      </c>
      <c r="R3195" s="84"/>
    </row>
    <row r="3196" customFormat="false" ht="15" hidden="false" customHeight="true" outlineLevel="0" collapsed="false">
      <c r="A3196" s="103"/>
      <c r="B3196" s="73"/>
      <c r="C3196" s="74"/>
      <c r="D3196" s="75"/>
      <c r="E3196" s="52" t="str">
        <f aca="false">IF(D3196&lt;&gt;"",IFERROR(VLOOKUP(D3196,PROVEEDORES!$A:$B,2,0),"!COD NO ENCONTRADO"),"")</f>
        <v/>
      </c>
      <c r="F3196" s="76" t="str">
        <f aca="false">IF(D3196&lt;&gt;"",IFERROR(VLOOKUP(D3196,PROVEEDORES!$A:$C,3,0),""),"")</f>
        <v/>
      </c>
      <c r="G3196" s="75"/>
      <c r="H3196" s="52" t="str">
        <f aca="false">IF(G3196&lt;&gt;"",IFERROR(VLOOKUP(G3196,PRODUCTOS!$A:$B,2,0),"!COD NO ENCONTRADO"),"")</f>
        <v/>
      </c>
      <c r="I3196" s="77"/>
      <c r="J3196" s="78"/>
      <c r="K3196" s="79"/>
      <c r="L3196" s="80" t="str">
        <f aca="false">IF(AND(J3196&lt;&gt;"",K3196&lt;&gt;""),J3196*K3196,"")</f>
        <v/>
      </c>
      <c r="M3196" s="81" t="str">
        <f aca="false">IF(L3196&lt;&gt;"",L3196*1.1,"")</f>
        <v/>
      </c>
      <c r="N3196" s="53" t="n">
        <f aca="false">IF(F3196="S",L3196*0.02,0)</f>
        <v>0</v>
      </c>
      <c r="O3196" s="82" t="str">
        <f aca="false">IF(L3196&lt;&gt;"",L3196+N3196,"")</f>
        <v/>
      </c>
      <c r="P3196" s="53" t="str">
        <f aca="false">IF(O3196&lt;&gt;"",O3196*0.1,"")</f>
        <v/>
      </c>
      <c r="Q3196" s="83" t="str">
        <f aca="false">IF(O3196&lt;&gt;"",O3196+P3196,"")</f>
        <v/>
      </c>
      <c r="R3196" s="84"/>
    </row>
    <row r="3197" customFormat="false" ht="15" hidden="false" customHeight="true" outlineLevel="0" collapsed="false">
      <c r="A3197" s="103"/>
      <c r="B3197" s="85"/>
      <c r="C3197" s="86"/>
      <c r="D3197" s="87"/>
      <c r="E3197" s="46" t="str">
        <f aca="false">IF(D3197&lt;&gt;"",IFERROR(VLOOKUP(D3197,PROVEEDORES!$A:$B,2,0),"!COD NO ENCONTRADO"),"")</f>
        <v/>
      </c>
      <c r="F3197" s="88" t="str">
        <f aca="false">IF(D3197&lt;&gt;"",IFERROR(VLOOKUP(D3197,PROVEEDORES!$A:$C,3,0),""),"")</f>
        <v/>
      </c>
      <c r="G3197" s="87"/>
      <c r="H3197" s="46" t="str">
        <f aca="false">IF(G3197&lt;&gt;"",IFERROR(VLOOKUP(G3197,PRODUCTOS!$A:$B,2,0),"!COD NO ENCONTRADO"),"")</f>
        <v/>
      </c>
      <c r="I3197" s="89"/>
      <c r="J3197" s="90"/>
      <c r="K3197" s="91"/>
      <c r="L3197" s="80" t="str">
        <f aca="false">IF(AND(J3197&lt;&gt;"",K3197&lt;&gt;""),J3197*K3197,"")</f>
        <v/>
      </c>
      <c r="M3197" s="81" t="str">
        <f aca="false">IF(L3197&lt;&gt;"",L3197*1.1,"")</f>
        <v/>
      </c>
      <c r="N3197" s="47" t="n">
        <f aca="false">IF(F3197="S",L3197*0.02,0)</f>
        <v>0</v>
      </c>
      <c r="O3197" s="82" t="str">
        <f aca="false">IF(L3197&lt;&gt;"",L3197+N3197,"")</f>
        <v/>
      </c>
      <c r="P3197" s="47" t="str">
        <f aca="false">IF(O3197&lt;&gt;"",O3197*0.1,"")</f>
        <v/>
      </c>
      <c r="Q3197" s="83" t="str">
        <f aca="false">IF(O3197&lt;&gt;"",O3197+P3197,"")</f>
        <v/>
      </c>
      <c r="R3197" s="84"/>
    </row>
    <row r="3198" customFormat="false" ht="15" hidden="false" customHeight="true" outlineLevel="0" collapsed="false">
      <c r="A3198" s="103"/>
      <c r="B3198" s="73"/>
      <c r="C3198" s="74"/>
      <c r="D3198" s="75"/>
      <c r="E3198" s="52" t="str">
        <f aca="false">IF(D3198&lt;&gt;"",IFERROR(VLOOKUP(D3198,PROVEEDORES!$A:$B,2,0),"!COD NO ENCONTRADO"),"")</f>
        <v/>
      </c>
      <c r="F3198" s="76" t="str">
        <f aca="false">IF(D3198&lt;&gt;"",IFERROR(VLOOKUP(D3198,PROVEEDORES!$A:$C,3,0),""),"")</f>
        <v/>
      </c>
      <c r="G3198" s="75"/>
      <c r="H3198" s="52" t="str">
        <f aca="false">IF(G3198&lt;&gt;"",IFERROR(VLOOKUP(G3198,PRODUCTOS!$A:$B,2,0),"!COD NO ENCONTRADO"),"")</f>
        <v/>
      </c>
      <c r="I3198" s="77"/>
      <c r="J3198" s="78"/>
      <c r="K3198" s="79"/>
      <c r="L3198" s="80" t="str">
        <f aca="false">IF(AND(J3198&lt;&gt;"",K3198&lt;&gt;""),J3198*K3198,"")</f>
        <v/>
      </c>
      <c r="M3198" s="81" t="str">
        <f aca="false">IF(L3198&lt;&gt;"",L3198*1.1,"")</f>
        <v/>
      </c>
      <c r="N3198" s="53" t="n">
        <f aca="false">IF(F3198="S",L3198*0.02,0)</f>
        <v>0</v>
      </c>
      <c r="O3198" s="82" t="str">
        <f aca="false">IF(L3198&lt;&gt;"",L3198+N3198,"")</f>
        <v/>
      </c>
      <c r="P3198" s="53" t="str">
        <f aca="false">IF(O3198&lt;&gt;"",O3198*0.1,"")</f>
        <v/>
      </c>
      <c r="Q3198" s="83" t="str">
        <f aca="false">IF(O3198&lt;&gt;"",O3198+P3198,"")</f>
        <v/>
      </c>
      <c r="R3198" s="84"/>
    </row>
    <row r="3199" customFormat="false" ht="15" hidden="false" customHeight="true" outlineLevel="0" collapsed="false">
      <c r="A3199" s="103"/>
      <c r="B3199" s="85"/>
      <c r="C3199" s="86"/>
      <c r="D3199" s="87"/>
      <c r="E3199" s="46" t="str">
        <f aca="false">IF(D3199&lt;&gt;"",IFERROR(VLOOKUP(D3199,PROVEEDORES!$A:$B,2,0),"!COD NO ENCONTRADO"),"")</f>
        <v/>
      </c>
      <c r="F3199" s="88" t="str">
        <f aca="false">IF(D3199&lt;&gt;"",IFERROR(VLOOKUP(D3199,PROVEEDORES!$A:$C,3,0),""),"")</f>
        <v/>
      </c>
      <c r="G3199" s="87"/>
      <c r="H3199" s="46" t="str">
        <f aca="false">IF(G3199&lt;&gt;"",IFERROR(VLOOKUP(G3199,PRODUCTOS!$A:$B,2,0),"!COD NO ENCONTRADO"),"")</f>
        <v/>
      </c>
      <c r="I3199" s="89"/>
      <c r="J3199" s="90"/>
      <c r="K3199" s="91"/>
      <c r="L3199" s="80" t="str">
        <f aca="false">IF(AND(J3199&lt;&gt;"",K3199&lt;&gt;""),J3199*K3199,"")</f>
        <v/>
      </c>
      <c r="M3199" s="81" t="str">
        <f aca="false">IF(L3199&lt;&gt;"",L3199*1.1,"")</f>
        <v/>
      </c>
      <c r="N3199" s="47" t="n">
        <f aca="false">IF(F3199="S",L3199*0.02,0)</f>
        <v>0</v>
      </c>
      <c r="O3199" s="82" t="str">
        <f aca="false">IF(L3199&lt;&gt;"",L3199+N3199,"")</f>
        <v/>
      </c>
      <c r="P3199" s="47" t="str">
        <f aca="false">IF(O3199&lt;&gt;"",O3199*0.1,"")</f>
        <v/>
      </c>
      <c r="Q3199" s="83" t="str">
        <f aca="false">IF(O3199&lt;&gt;"",O3199+P3199,"")</f>
        <v/>
      </c>
      <c r="R3199" s="84"/>
    </row>
    <row r="3200" customFormat="false" ht="15" hidden="false" customHeight="true" outlineLevel="0" collapsed="false">
      <c r="A3200" s="103"/>
      <c r="B3200" s="73"/>
      <c r="C3200" s="74"/>
      <c r="D3200" s="75"/>
      <c r="E3200" s="52" t="str">
        <f aca="false">IF(D3200&lt;&gt;"",IFERROR(VLOOKUP(D3200,PROVEEDORES!$A:$B,2,0),"!COD NO ENCONTRADO"),"")</f>
        <v/>
      </c>
      <c r="F3200" s="76" t="str">
        <f aca="false">IF(D3200&lt;&gt;"",IFERROR(VLOOKUP(D3200,PROVEEDORES!$A:$C,3,0),""),"")</f>
        <v/>
      </c>
      <c r="G3200" s="75"/>
      <c r="H3200" s="52" t="str">
        <f aca="false">IF(G3200&lt;&gt;"",IFERROR(VLOOKUP(G3200,PRODUCTOS!$A:$B,2,0),"!COD NO ENCONTRADO"),"")</f>
        <v/>
      </c>
      <c r="I3200" s="77"/>
      <c r="J3200" s="78"/>
      <c r="K3200" s="79"/>
      <c r="L3200" s="80" t="str">
        <f aca="false">IF(AND(J3200&lt;&gt;"",K3200&lt;&gt;""),J3200*K3200,"")</f>
        <v/>
      </c>
      <c r="M3200" s="81" t="str">
        <f aca="false">IF(L3200&lt;&gt;"",L3200*1.1,"")</f>
        <v/>
      </c>
      <c r="N3200" s="53" t="n">
        <f aca="false">IF(F3200="S",L3200*0.02,0)</f>
        <v>0</v>
      </c>
      <c r="O3200" s="82" t="str">
        <f aca="false">IF(L3200&lt;&gt;"",L3200+N3200,"")</f>
        <v/>
      </c>
      <c r="P3200" s="53" t="str">
        <f aca="false">IF(O3200&lt;&gt;"",O3200*0.1,"")</f>
        <v/>
      </c>
      <c r="Q3200" s="83" t="str">
        <f aca="false">IF(O3200&lt;&gt;"",O3200+P3200,"")</f>
        <v/>
      </c>
      <c r="R3200" s="84"/>
    </row>
    <row r="3201" customFormat="false" ht="15" hidden="false" customHeight="true" outlineLevel="0" collapsed="false">
      <c r="A3201" s="103"/>
      <c r="B3201" s="85"/>
      <c r="C3201" s="86"/>
      <c r="D3201" s="87"/>
      <c r="E3201" s="46" t="str">
        <f aca="false">IF(D3201&lt;&gt;"",IFERROR(VLOOKUP(D3201,PROVEEDORES!$A:$B,2,0),"!COD NO ENCONTRADO"),"")</f>
        <v/>
      </c>
      <c r="F3201" s="88" t="str">
        <f aca="false">IF(D3201&lt;&gt;"",IFERROR(VLOOKUP(D3201,PROVEEDORES!$A:$C,3,0),""),"")</f>
        <v/>
      </c>
      <c r="G3201" s="87"/>
      <c r="H3201" s="46" t="str">
        <f aca="false">IF(G3201&lt;&gt;"",IFERROR(VLOOKUP(G3201,PRODUCTOS!$A:$B,2,0),"!COD NO ENCONTRADO"),"")</f>
        <v/>
      </c>
      <c r="I3201" s="89"/>
      <c r="J3201" s="90"/>
      <c r="K3201" s="91"/>
      <c r="L3201" s="80" t="str">
        <f aca="false">IF(AND(J3201&lt;&gt;"",K3201&lt;&gt;""),J3201*K3201,"")</f>
        <v/>
      </c>
      <c r="M3201" s="81" t="str">
        <f aca="false">IF(L3201&lt;&gt;"",L3201*1.1,"")</f>
        <v/>
      </c>
      <c r="N3201" s="47" t="n">
        <f aca="false">IF(F3201="S",L3201*0.02,0)</f>
        <v>0</v>
      </c>
      <c r="O3201" s="82" t="str">
        <f aca="false">IF(L3201&lt;&gt;"",L3201+N3201,"")</f>
        <v/>
      </c>
      <c r="P3201" s="47" t="str">
        <f aca="false">IF(O3201&lt;&gt;"",O3201*0.1,"")</f>
        <v/>
      </c>
      <c r="Q3201" s="83" t="str">
        <f aca="false">IF(O3201&lt;&gt;"",O3201+P3201,"")</f>
        <v/>
      </c>
      <c r="R3201" s="84"/>
    </row>
    <row r="3202" customFormat="false" ht="15" hidden="false" customHeight="true" outlineLevel="0" collapsed="false">
      <c r="A3202" s="103"/>
      <c r="B3202" s="73"/>
      <c r="C3202" s="74"/>
      <c r="D3202" s="75"/>
      <c r="E3202" s="52" t="str">
        <f aca="false">IF(D3202&lt;&gt;"",IFERROR(VLOOKUP(D3202,PROVEEDORES!$A:$B,2,0),"!COD NO ENCONTRADO"),"")</f>
        <v/>
      </c>
      <c r="F3202" s="76" t="str">
        <f aca="false">IF(D3202&lt;&gt;"",IFERROR(VLOOKUP(D3202,PROVEEDORES!$A:$C,3,0),""),"")</f>
        <v/>
      </c>
      <c r="G3202" s="75"/>
      <c r="H3202" s="52" t="str">
        <f aca="false">IF(G3202&lt;&gt;"",IFERROR(VLOOKUP(G3202,PRODUCTOS!$A:$B,2,0),"!COD NO ENCONTRADO"),"")</f>
        <v/>
      </c>
      <c r="I3202" s="77"/>
      <c r="J3202" s="78"/>
      <c r="K3202" s="79"/>
      <c r="L3202" s="80" t="str">
        <f aca="false">IF(AND(J3202&lt;&gt;"",K3202&lt;&gt;""),J3202*K3202,"")</f>
        <v/>
      </c>
      <c r="M3202" s="81" t="str">
        <f aca="false">IF(L3202&lt;&gt;"",L3202*1.1,"")</f>
        <v/>
      </c>
      <c r="N3202" s="53" t="n">
        <f aca="false">IF(F3202="S",L3202*0.02,0)</f>
        <v>0</v>
      </c>
      <c r="O3202" s="82" t="str">
        <f aca="false">IF(L3202&lt;&gt;"",L3202+N3202,"")</f>
        <v/>
      </c>
      <c r="P3202" s="53" t="str">
        <f aca="false">IF(O3202&lt;&gt;"",O3202*0.1,"")</f>
        <v/>
      </c>
      <c r="Q3202" s="83" t="str">
        <f aca="false">IF(O3202&lt;&gt;"",O3202+P3202,"")</f>
        <v/>
      </c>
      <c r="R3202" s="84"/>
    </row>
    <row r="3203" customFormat="false" ht="15" hidden="false" customHeight="true" outlineLevel="0" collapsed="false">
      <c r="A3203" s="103"/>
      <c r="B3203" s="85"/>
      <c r="C3203" s="86"/>
      <c r="D3203" s="87"/>
      <c r="E3203" s="46" t="str">
        <f aca="false">IF(D3203&lt;&gt;"",IFERROR(VLOOKUP(D3203,PROVEEDORES!$A:$B,2,0),"!COD NO ENCONTRADO"),"")</f>
        <v/>
      </c>
      <c r="F3203" s="88" t="str">
        <f aca="false">IF(D3203&lt;&gt;"",IFERROR(VLOOKUP(D3203,PROVEEDORES!$A:$C,3,0),""),"")</f>
        <v/>
      </c>
      <c r="G3203" s="87"/>
      <c r="H3203" s="46" t="str">
        <f aca="false">IF(G3203&lt;&gt;"",IFERROR(VLOOKUP(G3203,PRODUCTOS!$A:$B,2,0),"!COD NO ENCONTRADO"),"")</f>
        <v/>
      </c>
      <c r="I3203" s="89"/>
      <c r="J3203" s="90"/>
      <c r="K3203" s="91"/>
      <c r="L3203" s="80" t="str">
        <f aca="false">IF(AND(J3203&lt;&gt;"",K3203&lt;&gt;""),J3203*K3203,"")</f>
        <v/>
      </c>
      <c r="M3203" s="81" t="str">
        <f aca="false">IF(L3203&lt;&gt;"",L3203*1.1,"")</f>
        <v/>
      </c>
      <c r="N3203" s="47" t="n">
        <f aca="false">IF(F3203="S",L3203*0.02,0)</f>
        <v>0</v>
      </c>
      <c r="O3203" s="82" t="str">
        <f aca="false">IF(L3203&lt;&gt;"",L3203+N3203,"")</f>
        <v/>
      </c>
      <c r="P3203" s="47" t="str">
        <f aca="false">IF(O3203&lt;&gt;"",O3203*0.1,"")</f>
        <v/>
      </c>
      <c r="Q3203" s="83" t="str">
        <f aca="false">IF(O3203&lt;&gt;"",O3203+P3203,"")</f>
        <v/>
      </c>
      <c r="R3203" s="84"/>
    </row>
    <row r="3204" customFormat="false" ht="15" hidden="false" customHeight="true" outlineLevel="0" collapsed="false">
      <c r="A3204" s="103"/>
      <c r="B3204" s="73"/>
      <c r="C3204" s="74"/>
      <c r="D3204" s="75"/>
      <c r="E3204" s="52" t="str">
        <f aca="false">IF(D3204&lt;&gt;"",IFERROR(VLOOKUP(D3204,PROVEEDORES!$A:$B,2,0),"!COD NO ENCONTRADO"),"")</f>
        <v/>
      </c>
      <c r="F3204" s="76" t="str">
        <f aca="false">IF(D3204&lt;&gt;"",IFERROR(VLOOKUP(D3204,PROVEEDORES!$A:$C,3,0),""),"")</f>
        <v/>
      </c>
      <c r="G3204" s="75"/>
      <c r="H3204" s="52" t="str">
        <f aca="false">IF(G3204&lt;&gt;"",IFERROR(VLOOKUP(G3204,PRODUCTOS!$A:$B,2,0),"!COD NO ENCONTRADO"),"")</f>
        <v/>
      </c>
      <c r="I3204" s="77"/>
      <c r="J3204" s="78"/>
      <c r="K3204" s="79"/>
      <c r="L3204" s="80" t="str">
        <f aca="false">IF(AND(J3204&lt;&gt;"",K3204&lt;&gt;""),J3204*K3204,"")</f>
        <v/>
      </c>
      <c r="M3204" s="81" t="str">
        <f aca="false">IF(L3204&lt;&gt;"",L3204*1.1,"")</f>
        <v/>
      </c>
      <c r="N3204" s="53" t="n">
        <f aca="false">IF(F3204="S",L3204*0.02,0)</f>
        <v>0</v>
      </c>
      <c r="O3204" s="82" t="str">
        <f aca="false">IF(L3204&lt;&gt;"",L3204+N3204,"")</f>
        <v/>
      </c>
      <c r="P3204" s="53" t="str">
        <f aca="false">IF(O3204&lt;&gt;"",O3204*0.1,"")</f>
        <v/>
      </c>
      <c r="Q3204" s="83" t="str">
        <f aca="false">IF(O3204&lt;&gt;"",O3204+P3204,"")</f>
        <v/>
      </c>
      <c r="R3204" s="84"/>
    </row>
    <row r="3205" customFormat="false" ht="15" hidden="false" customHeight="true" outlineLevel="0" collapsed="false">
      <c r="A3205" s="103"/>
      <c r="B3205" s="85"/>
      <c r="C3205" s="86"/>
      <c r="D3205" s="87"/>
      <c r="E3205" s="46" t="str">
        <f aca="false">IF(D3205&lt;&gt;"",IFERROR(VLOOKUP(D3205,PROVEEDORES!$A:$B,2,0),"!COD NO ENCONTRADO"),"")</f>
        <v/>
      </c>
      <c r="F3205" s="88" t="str">
        <f aca="false">IF(D3205&lt;&gt;"",IFERROR(VLOOKUP(D3205,PROVEEDORES!$A:$C,3,0),""),"")</f>
        <v/>
      </c>
      <c r="G3205" s="87"/>
      <c r="H3205" s="46" t="str">
        <f aca="false">IF(G3205&lt;&gt;"",IFERROR(VLOOKUP(G3205,PRODUCTOS!$A:$B,2,0),"!COD NO ENCONTRADO"),"")</f>
        <v/>
      </c>
      <c r="I3205" s="89"/>
      <c r="J3205" s="90"/>
      <c r="K3205" s="91"/>
      <c r="L3205" s="80" t="str">
        <f aca="false">IF(AND(J3205&lt;&gt;"",K3205&lt;&gt;""),J3205*K3205,"")</f>
        <v/>
      </c>
      <c r="M3205" s="81" t="str">
        <f aca="false">IF(L3205&lt;&gt;"",L3205*1.1,"")</f>
        <v/>
      </c>
      <c r="N3205" s="47" t="n">
        <f aca="false">IF(F3205="S",L3205*0.02,0)</f>
        <v>0</v>
      </c>
      <c r="O3205" s="82" t="str">
        <f aca="false">IF(L3205&lt;&gt;"",L3205+N3205,"")</f>
        <v/>
      </c>
      <c r="P3205" s="47" t="str">
        <f aca="false">IF(O3205&lt;&gt;"",O3205*0.1,"")</f>
        <v/>
      </c>
      <c r="Q3205" s="83" t="str">
        <f aca="false">IF(O3205&lt;&gt;"",O3205+P3205,"")</f>
        <v/>
      </c>
      <c r="R3205" s="84"/>
    </row>
    <row r="3206" customFormat="false" ht="15" hidden="false" customHeight="true" outlineLevel="0" collapsed="false">
      <c r="A3206" s="103"/>
      <c r="B3206" s="73"/>
      <c r="C3206" s="74"/>
      <c r="D3206" s="75"/>
      <c r="E3206" s="52" t="str">
        <f aca="false">IF(D3206&lt;&gt;"",IFERROR(VLOOKUP(D3206,PROVEEDORES!$A:$B,2,0),"!COD NO ENCONTRADO"),"")</f>
        <v/>
      </c>
      <c r="F3206" s="76" t="str">
        <f aca="false">IF(D3206&lt;&gt;"",IFERROR(VLOOKUP(D3206,PROVEEDORES!$A:$C,3,0),""),"")</f>
        <v/>
      </c>
      <c r="G3206" s="75"/>
      <c r="H3206" s="52" t="str">
        <f aca="false">IF(G3206&lt;&gt;"",IFERROR(VLOOKUP(G3206,PRODUCTOS!$A:$B,2,0),"!COD NO ENCONTRADO"),"")</f>
        <v/>
      </c>
      <c r="I3206" s="77"/>
      <c r="J3206" s="78"/>
      <c r="K3206" s="79"/>
      <c r="L3206" s="80" t="str">
        <f aca="false">IF(AND(J3206&lt;&gt;"",K3206&lt;&gt;""),J3206*K3206,"")</f>
        <v/>
      </c>
      <c r="M3206" s="81" t="str">
        <f aca="false">IF(L3206&lt;&gt;"",L3206*1.1,"")</f>
        <v/>
      </c>
      <c r="N3206" s="53" t="n">
        <f aca="false">IF(F3206="S",L3206*0.02,0)</f>
        <v>0</v>
      </c>
      <c r="O3206" s="82" t="str">
        <f aca="false">IF(L3206&lt;&gt;"",L3206+N3206,"")</f>
        <v/>
      </c>
      <c r="P3206" s="53" t="str">
        <f aca="false">IF(O3206&lt;&gt;"",O3206*0.1,"")</f>
        <v/>
      </c>
      <c r="Q3206" s="83" t="str">
        <f aca="false">IF(O3206&lt;&gt;"",O3206+P3206,"")</f>
        <v/>
      </c>
      <c r="R3206" s="84"/>
    </row>
    <row r="3207" customFormat="false" ht="15" hidden="false" customHeight="true" outlineLevel="0" collapsed="false">
      <c r="A3207" s="103"/>
      <c r="B3207" s="85"/>
      <c r="C3207" s="86"/>
      <c r="D3207" s="87"/>
      <c r="E3207" s="46" t="str">
        <f aca="false">IF(D3207&lt;&gt;"",IFERROR(VLOOKUP(D3207,PROVEEDORES!$A:$B,2,0),"!COD NO ENCONTRADO"),"")</f>
        <v/>
      </c>
      <c r="F3207" s="88" t="str">
        <f aca="false">IF(D3207&lt;&gt;"",IFERROR(VLOOKUP(D3207,PROVEEDORES!$A:$C,3,0),""),"")</f>
        <v/>
      </c>
      <c r="G3207" s="87"/>
      <c r="H3207" s="46" t="str">
        <f aca="false">IF(G3207&lt;&gt;"",IFERROR(VLOOKUP(G3207,PRODUCTOS!$A:$B,2,0),"!COD NO ENCONTRADO"),"")</f>
        <v/>
      </c>
      <c r="I3207" s="89"/>
      <c r="J3207" s="90"/>
      <c r="K3207" s="91"/>
      <c r="L3207" s="80" t="str">
        <f aca="false">IF(AND(J3207&lt;&gt;"",K3207&lt;&gt;""),J3207*K3207,"")</f>
        <v/>
      </c>
      <c r="M3207" s="81" t="str">
        <f aca="false">IF(L3207&lt;&gt;"",L3207*1.1,"")</f>
        <v/>
      </c>
      <c r="N3207" s="47" t="n">
        <f aca="false">IF(F3207="S",L3207*0.02,0)</f>
        <v>0</v>
      </c>
      <c r="O3207" s="82" t="str">
        <f aca="false">IF(L3207&lt;&gt;"",L3207+N3207,"")</f>
        <v/>
      </c>
      <c r="P3207" s="47" t="str">
        <f aca="false">IF(O3207&lt;&gt;"",O3207*0.1,"")</f>
        <v/>
      </c>
      <c r="Q3207" s="83" t="str">
        <f aca="false">IF(O3207&lt;&gt;"",O3207+P3207,"")</f>
        <v/>
      </c>
      <c r="R3207" s="84"/>
    </row>
    <row r="3208" customFormat="false" ht="15" hidden="false" customHeight="true" outlineLevel="0" collapsed="false">
      <c r="A3208" s="103"/>
      <c r="B3208" s="73"/>
      <c r="C3208" s="74"/>
      <c r="D3208" s="75"/>
      <c r="E3208" s="52" t="str">
        <f aca="false">IF(D3208&lt;&gt;"",IFERROR(VLOOKUP(D3208,PROVEEDORES!$A:$B,2,0),"!COD NO ENCONTRADO"),"")</f>
        <v/>
      </c>
      <c r="F3208" s="76" t="str">
        <f aca="false">IF(D3208&lt;&gt;"",IFERROR(VLOOKUP(D3208,PROVEEDORES!$A:$C,3,0),""),"")</f>
        <v/>
      </c>
      <c r="G3208" s="75"/>
      <c r="H3208" s="52" t="str">
        <f aca="false">IF(G3208&lt;&gt;"",IFERROR(VLOOKUP(G3208,PRODUCTOS!$A:$B,2,0),"!COD NO ENCONTRADO"),"")</f>
        <v/>
      </c>
      <c r="I3208" s="77"/>
      <c r="J3208" s="78"/>
      <c r="K3208" s="79"/>
      <c r="L3208" s="80" t="str">
        <f aca="false">IF(AND(J3208&lt;&gt;"",K3208&lt;&gt;""),J3208*K3208,"")</f>
        <v/>
      </c>
      <c r="M3208" s="81" t="str">
        <f aca="false">IF(L3208&lt;&gt;"",L3208*1.1,"")</f>
        <v/>
      </c>
      <c r="N3208" s="53" t="n">
        <f aca="false">IF(F3208="S",L3208*0.02,0)</f>
        <v>0</v>
      </c>
      <c r="O3208" s="82" t="str">
        <f aca="false">IF(L3208&lt;&gt;"",L3208+N3208,"")</f>
        <v/>
      </c>
      <c r="P3208" s="53" t="str">
        <f aca="false">IF(O3208&lt;&gt;"",O3208*0.1,"")</f>
        <v/>
      </c>
      <c r="Q3208" s="83" t="str">
        <f aca="false">IF(O3208&lt;&gt;"",O3208+P3208,"")</f>
        <v/>
      </c>
      <c r="R3208" s="84"/>
    </row>
    <row r="3209" customFormat="false" ht="15" hidden="false" customHeight="true" outlineLevel="0" collapsed="false">
      <c r="A3209" s="103"/>
      <c r="B3209" s="85"/>
      <c r="C3209" s="86"/>
      <c r="D3209" s="87"/>
      <c r="E3209" s="46" t="str">
        <f aca="false">IF(D3209&lt;&gt;"",IFERROR(VLOOKUP(D3209,PROVEEDORES!$A:$B,2,0),"!COD NO ENCONTRADO"),"")</f>
        <v/>
      </c>
      <c r="F3209" s="88" t="str">
        <f aca="false">IF(D3209&lt;&gt;"",IFERROR(VLOOKUP(D3209,PROVEEDORES!$A:$C,3,0),""),"")</f>
        <v/>
      </c>
      <c r="G3209" s="87"/>
      <c r="H3209" s="46" t="str">
        <f aca="false">IF(G3209&lt;&gt;"",IFERROR(VLOOKUP(G3209,PRODUCTOS!$A:$B,2,0),"!COD NO ENCONTRADO"),"")</f>
        <v/>
      </c>
      <c r="I3209" s="89"/>
      <c r="J3209" s="90"/>
      <c r="K3209" s="91"/>
      <c r="L3209" s="80" t="str">
        <f aca="false">IF(AND(J3209&lt;&gt;"",K3209&lt;&gt;""),J3209*K3209,"")</f>
        <v/>
      </c>
      <c r="M3209" s="81" t="str">
        <f aca="false">IF(L3209&lt;&gt;"",L3209*1.1,"")</f>
        <v/>
      </c>
      <c r="N3209" s="47" t="n">
        <f aca="false">IF(F3209="S",L3209*0.02,0)</f>
        <v>0</v>
      </c>
      <c r="O3209" s="82" t="str">
        <f aca="false">IF(L3209&lt;&gt;"",L3209+N3209,"")</f>
        <v/>
      </c>
      <c r="P3209" s="47" t="str">
        <f aca="false">IF(O3209&lt;&gt;"",O3209*0.1,"")</f>
        <v/>
      </c>
      <c r="Q3209" s="83" t="str">
        <f aca="false">IF(O3209&lt;&gt;"",O3209+P3209,"")</f>
        <v/>
      </c>
      <c r="R3209" s="84"/>
    </row>
    <row r="3210" customFormat="false" ht="15" hidden="false" customHeight="true" outlineLevel="0" collapsed="false">
      <c r="A3210" s="103"/>
      <c r="B3210" s="73"/>
      <c r="C3210" s="74"/>
      <c r="D3210" s="75"/>
      <c r="E3210" s="52" t="str">
        <f aca="false">IF(D3210&lt;&gt;"",IFERROR(VLOOKUP(D3210,PROVEEDORES!$A:$B,2,0),"!COD NO ENCONTRADO"),"")</f>
        <v/>
      </c>
      <c r="F3210" s="76" t="str">
        <f aca="false">IF(D3210&lt;&gt;"",IFERROR(VLOOKUP(D3210,PROVEEDORES!$A:$C,3,0),""),"")</f>
        <v/>
      </c>
      <c r="G3210" s="75"/>
      <c r="H3210" s="52" t="str">
        <f aca="false">IF(G3210&lt;&gt;"",IFERROR(VLOOKUP(G3210,PRODUCTOS!$A:$B,2,0),"!COD NO ENCONTRADO"),"")</f>
        <v/>
      </c>
      <c r="I3210" s="77"/>
      <c r="J3210" s="78"/>
      <c r="K3210" s="79"/>
      <c r="L3210" s="80" t="str">
        <f aca="false">IF(AND(J3210&lt;&gt;"",K3210&lt;&gt;""),J3210*K3210,"")</f>
        <v/>
      </c>
      <c r="M3210" s="81" t="str">
        <f aca="false">IF(L3210&lt;&gt;"",L3210*1.1,"")</f>
        <v/>
      </c>
      <c r="N3210" s="53" t="n">
        <f aca="false">IF(F3210="S",L3210*0.02,0)</f>
        <v>0</v>
      </c>
      <c r="O3210" s="82" t="str">
        <f aca="false">IF(L3210&lt;&gt;"",L3210+N3210,"")</f>
        <v/>
      </c>
      <c r="P3210" s="53" t="str">
        <f aca="false">IF(O3210&lt;&gt;"",O3210*0.1,"")</f>
        <v/>
      </c>
      <c r="Q3210" s="83" t="str">
        <f aca="false">IF(O3210&lt;&gt;"",O3210+P3210,"")</f>
        <v/>
      </c>
      <c r="R3210" s="84"/>
    </row>
    <row r="3211" customFormat="false" ht="15" hidden="false" customHeight="true" outlineLevel="0" collapsed="false">
      <c r="A3211" s="103"/>
      <c r="B3211" s="85"/>
      <c r="C3211" s="86"/>
      <c r="D3211" s="87"/>
      <c r="E3211" s="46" t="str">
        <f aca="false">IF(D3211&lt;&gt;"",IFERROR(VLOOKUP(D3211,PROVEEDORES!$A:$B,2,0),"!COD NO ENCONTRADO"),"")</f>
        <v/>
      </c>
      <c r="F3211" s="88" t="str">
        <f aca="false">IF(D3211&lt;&gt;"",IFERROR(VLOOKUP(D3211,PROVEEDORES!$A:$C,3,0),""),"")</f>
        <v/>
      </c>
      <c r="G3211" s="87"/>
      <c r="H3211" s="46" t="str">
        <f aca="false">IF(G3211&lt;&gt;"",IFERROR(VLOOKUP(G3211,PRODUCTOS!$A:$B,2,0),"!COD NO ENCONTRADO"),"")</f>
        <v/>
      </c>
      <c r="I3211" s="89"/>
      <c r="J3211" s="90"/>
      <c r="K3211" s="91"/>
      <c r="L3211" s="80" t="str">
        <f aca="false">IF(AND(J3211&lt;&gt;"",K3211&lt;&gt;""),J3211*K3211,"")</f>
        <v/>
      </c>
      <c r="M3211" s="81" t="str">
        <f aca="false">IF(L3211&lt;&gt;"",L3211*1.1,"")</f>
        <v/>
      </c>
      <c r="N3211" s="47" t="n">
        <f aca="false">IF(F3211="S",L3211*0.02,0)</f>
        <v>0</v>
      </c>
      <c r="O3211" s="82" t="str">
        <f aca="false">IF(L3211&lt;&gt;"",L3211+N3211,"")</f>
        <v/>
      </c>
      <c r="P3211" s="47" t="str">
        <f aca="false">IF(O3211&lt;&gt;"",O3211*0.1,"")</f>
        <v/>
      </c>
      <c r="Q3211" s="83" t="str">
        <f aca="false">IF(O3211&lt;&gt;"",O3211+P3211,"")</f>
        <v/>
      </c>
      <c r="R3211" s="84"/>
    </row>
    <row r="3212" customFormat="false" ht="15" hidden="false" customHeight="true" outlineLevel="0" collapsed="false">
      <c r="A3212" s="103"/>
      <c r="B3212" s="73"/>
      <c r="C3212" s="74"/>
      <c r="D3212" s="75"/>
      <c r="E3212" s="52" t="str">
        <f aca="false">IF(D3212&lt;&gt;"",IFERROR(VLOOKUP(D3212,PROVEEDORES!$A:$B,2,0),"!COD NO ENCONTRADO"),"")</f>
        <v/>
      </c>
      <c r="F3212" s="76" t="str">
        <f aca="false">IF(D3212&lt;&gt;"",IFERROR(VLOOKUP(D3212,PROVEEDORES!$A:$C,3,0),""),"")</f>
        <v/>
      </c>
      <c r="G3212" s="75"/>
      <c r="H3212" s="52" t="str">
        <f aca="false">IF(G3212&lt;&gt;"",IFERROR(VLOOKUP(G3212,PRODUCTOS!$A:$B,2,0),"!COD NO ENCONTRADO"),"")</f>
        <v/>
      </c>
      <c r="I3212" s="77"/>
      <c r="J3212" s="78"/>
      <c r="K3212" s="79"/>
      <c r="L3212" s="80" t="str">
        <f aca="false">IF(AND(J3212&lt;&gt;"",K3212&lt;&gt;""),J3212*K3212,"")</f>
        <v/>
      </c>
      <c r="M3212" s="81" t="str">
        <f aca="false">IF(L3212&lt;&gt;"",L3212*1.1,"")</f>
        <v/>
      </c>
      <c r="N3212" s="53" t="n">
        <f aca="false">IF(F3212="S",L3212*0.02,0)</f>
        <v>0</v>
      </c>
      <c r="O3212" s="82" t="str">
        <f aca="false">IF(L3212&lt;&gt;"",L3212+N3212,"")</f>
        <v/>
      </c>
      <c r="P3212" s="53" t="str">
        <f aca="false">IF(O3212&lt;&gt;"",O3212*0.1,"")</f>
        <v/>
      </c>
      <c r="Q3212" s="83" t="str">
        <f aca="false">IF(O3212&lt;&gt;"",O3212+P3212,"")</f>
        <v/>
      </c>
      <c r="R3212" s="84"/>
    </row>
    <row r="3213" customFormat="false" ht="15" hidden="false" customHeight="true" outlineLevel="0" collapsed="false">
      <c r="A3213" s="103"/>
      <c r="B3213" s="85"/>
      <c r="C3213" s="86"/>
      <c r="D3213" s="87"/>
      <c r="E3213" s="46" t="str">
        <f aca="false">IF(D3213&lt;&gt;"",IFERROR(VLOOKUP(D3213,PROVEEDORES!$A:$B,2,0),"!COD NO ENCONTRADO"),"")</f>
        <v/>
      </c>
      <c r="F3213" s="88" t="str">
        <f aca="false">IF(D3213&lt;&gt;"",IFERROR(VLOOKUP(D3213,PROVEEDORES!$A:$C,3,0),""),"")</f>
        <v/>
      </c>
      <c r="G3213" s="87"/>
      <c r="H3213" s="46" t="str">
        <f aca="false">IF(G3213&lt;&gt;"",IFERROR(VLOOKUP(G3213,PRODUCTOS!$A:$B,2,0),"!COD NO ENCONTRADO"),"")</f>
        <v/>
      </c>
      <c r="I3213" s="89"/>
      <c r="J3213" s="90"/>
      <c r="K3213" s="91"/>
      <c r="L3213" s="80" t="str">
        <f aca="false">IF(AND(J3213&lt;&gt;"",K3213&lt;&gt;""),J3213*K3213,"")</f>
        <v/>
      </c>
      <c r="M3213" s="81" t="str">
        <f aca="false">IF(L3213&lt;&gt;"",L3213*1.1,"")</f>
        <v/>
      </c>
      <c r="N3213" s="47" t="n">
        <f aca="false">IF(F3213="S",L3213*0.02,0)</f>
        <v>0</v>
      </c>
      <c r="O3213" s="82" t="str">
        <f aca="false">IF(L3213&lt;&gt;"",L3213+N3213,"")</f>
        <v/>
      </c>
      <c r="P3213" s="47" t="str">
        <f aca="false">IF(O3213&lt;&gt;"",O3213*0.1,"")</f>
        <v/>
      </c>
      <c r="Q3213" s="83" t="str">
        <f aca="false">IF(O3213&lt;&gt;"",O3213+P3213,"")</f>
        <v/>
      </c>
      <c r="R3213" s="84"/>
    </row>
    <row r="3214" customFormat="false" ht="15" hidden="false" customHeight="true" outlineLevel="0" collapsed="false">
      <c r="A3214" s="103"/>
      <c r="B3214" s="73"/>
      <c r="C3214" s="74"/>
      <c r="D3214" s="75"/>
      <c r="E3214" s="52" t="str">
        <f aca="false">IF(D3214&lt;&gt;"",IFERROR(VLOOKUP(D3214,PROVEEDORES!$A:$B,2,0),"!COD NO ENCONTRADO"),"")</f>
        <v/>
      </c>
      <c r="F3214" s="76" t="str">
        <f aca="false">IF(D3214&lt;&gt;"",IFERROR(VLOOKUP(D3214,PROVEEDORES!$A:$C,3,0),""),"")</f>
        <v/>
      </c>
      <c r="G3214" s="75"/>
      <c r="H3214" s="52" t="str">
        <f aca="false">IF(G3214&lt;&gt;"",IFERROR(VLOOKUP(G3214,PRODUCTOS!$A:$B,2,0),"!COD NO ENCONTRADO"),"")</f>
        <v/>
      </c>
      <c r="I3214" s="77"/>
      <c r="J3214" s="78"/>
      <c r="K3214" s="79"/>
      <c r="L3214" s="80" t="str">
        <f aca="false">IF(AND(J3214&lt;&gt;"",K3214&lt;&gt;""),J3214*K3214,"")</f>
        <v/>
      </c>
      <c r="M3214" s="81" t="str">
        <f aca="false">IF(L3214&lt;&gt;"",L3214*1.1,"")</f>
        <v/>
      </c>
      <c r="N3214" s="53" t="n">
        <f aca="false">IF(F3214="S",L3214*0.02,0)</f>
        <v>0</v>
      </c>
      <c r="O3214" s="82" t="str">
        <f aca="false">IF(L3214&lt;&gt;"",L3214+N3214,"")</f>
        <v/>
      </c>
      <c r="P3214" s="53" t="str">
        <f aca="false">IF(O3214&lt;&gt;"",O3214*0.1,"")</f>
        <v/>
      </c>
      <c r="Q3214" s="83" t="str">
        <f aca="false">IF(O3214&lt;&gt;"",O3214+P3214,"")</f>
        <v/>
      </c>
      <c r="R3214" s="84"/>
    </row>
    <row r="3215" customFormat="false" ht="15" hidden="false" customHeight="true" outlineLevel="0" collapsed="false">
      <c r="A3215" s="103"/>
      <c r="B3215" s="85"/>
      <c r="C3215" s="86"/>
      <c r="D3215" s="87"/>
      <c r="E3215" s="46" t="str">
        <f aca="false">IF(D3215&lt;&gt;"",IFERROR(VLOOKUP(D3215,PROVEEDORES!$A:$B,2,0),"!COD NO ENCONTRADO"),"")</f>
        <v/>
      </c>
      <c r="F3215" s="88" t="str">
        <f aca="false">IF(D3215&lt;&gt;"",IFERROR(VLOOKUP(D3215,PROVEEDORES!$A:$C,3,0),""),"")</f>
        <v/>
      </c>
      <c r="G3215" s="87"/>
      <c r="H3215" s="46" t="str">
        <f aca="false">IF(G3215&lt;&gt;"",IFERROR(VLOOKUP(G3215,PRODUCTOS!$A:$B,2,0),"!COD NO ENCONTRADO"),"")</f>
        <v/>
      </c>
      <c r="I3215" s="89"/>
      <c r="J3215" s="90"/>
      <c r="K3215" s="91"/>
      <c r="L3215" s="80" t="str">
        <f aca="false">IF(AND(J3215&lt;&gt;"",K3215&lt;&gt;""),J3215*K3215,"")</f>
        <v/>
      </c>
      <c r="M3215" s="81" t="str">
        <f aca="false">IF(L3215&lt;&gt;"",L3215*1.1,"")</f>
        <v/>
      </c>
      <c r="N3215" s="47" t="n">
        <f aca="false">IF(F3215="S",L3215*0.02,0)</f>
        <v>0</v>
      </c>
      <c r="O3215" s="82" t="str">
        <f aca="false">IF(L3215&lt;&gt;"",L3215+N3215,"")</f>
        <v/>
      </c>
      <c r="P3215" s="47" t="str">
        <f aca="false">IF(O3215&lt;&gt;"",O3215*0.1,"")</f>
        <v/>
      </c>
      <c r="Q3215" s="83" t="str">
        <f aca="false">IF(O3215&lt;&gt;"",O3215+P3215,"")</f>
        <v/>
      </c>
      <c r="R3215" s="84"/>
    </row>
    <row r="3216" customFormat="false" ht="15" hidden="false" customHeight="true" outlineLevel="0" collapsed="false">
      <c r="A3216" s="103"/>
      <c r="B3216" s="73"/>
      <c r="C3216" s="74"/>
      <c r="D3216" s="75"/>
      <c r="E3216" s="52" t="str">
        <f aca="false">IF(D3216&lt;&gt;"",IFERROR(VLOOKUP(D3216,PROVEEDORES!$A:$B,2,0),"!COD NO ENCONTRADO"),"")</f>
        <v/>
      </c>
      <c r="F3216" s="76" t="str">
        <f aca="false">IF(D3216&lt;&gt;"",IFERROR(VLOOKUP(D3216,PROVEEDORES!$A:$C,3,0),""),"")</f>
        <v/>
      </c>
      <c r="G3216" s="75"/>
      <c r="H3216" s="52" t="str">
        <f aca="false">IF(G3216&lt;&gt;"",IFERROR(VLOOKUP(G3216,PRODUCTOS!$A:$B,2,0),"!COD NO ENCONTRADO"),"")</f>
        <v/>
      </c>
      <c r="I3216" s="77"/>
      <c r="J3216" s="78"/>
      <c r="K3216" s="79"/>
      <c r="L3216" s="80" t="str">
        <f aca="false">IF(AND(J3216&lt;&gt;"",K3216&lt;&gt;""),J3216*K3216,"")</f>
        <v/>
      </c>
      <c r="M3216" s="81" t="str">
        <f aca="false">IF(L3216&lt;&gt;"",L3216*1.1,"")</f>
        <v/>
      </c>
      <c r="N3216" s="53" t="n">
        <f aca="false">IF(F3216="S",L3216*0.02,0)</f>
        <v>0</v>
      </c>
      <c r="O3216" s="82" t="str">
        <f aca="false">IF(L3216&lt;&gt;"",L3216+N3216,"")</f>
        <v/>
      </c>
      <c r="P3216" s="53" t="str">
        <f aca="false">IF(O3216&lt;&gt;"",O3216*0.1,"")</f>
        <v/>
      </c>
      <c r="Q3216" s="83" t="str">
        <f aca="false">IF(O3216&lt;&gt;"",O3216+P3216,"")</f>
        <v/>
      </c>
      <c r="R3216" s="84"/>
    </row>
    <row r="3217" customFormat="false" ht="15" hidden="false" customHeight="true" outlineLevel="0" collapsed="false">
      <c r="A3217" s="103"/>
      <c r="B3217" s="85"/>
      <c r="C3217" s="86"/>
      <c r="D3217" s="87"/>
      <c r="E3217" s="46" t="str">
        <f aca="false">IF(D3217&lt;&gt;"",IFERROR(VLOOKUP(D3217,PROVEEDORES!$A:$B,2,0),"!COD NO ENCONTRADO"),"")</f>
        <v/>
      </c>
      <c r="F3217" s="88" t="str">
        <f aca="false">IF(D3217&lt;&gt;"",IFERROR(VLOOKUP(D3217,PROVEEDORES!$A:$C,3,0),""),"")</f>
        <v/>
      </c>
      <c r="G3217" s="87"/>
      <c r="H3217" s="46" t="str">
        <f aca="false">IF(G3217&lt;&gt;"",IFERROR(VLOOKUP(G3217,PRODUCTOS!$A:$B,2,0),"!COD NO ENCONTRADO"),"")</f>
        <v/>
      </c>
      <c r="I3217" s="89"/>
      <c r="J3217" s="90"/>
      <c r="K3217" s="91"/>
      <c r="L3217" s="80" t="str">
        <f aca="false">IF(AND(J3217&lt;&gt;"",K3217&lt;&gt;""),J3217*K3217,"")</f>
        <v/>
      </c>
      <c r="M3217" s="81" t="str">
        <f aca="false">IF(L3217&lt;&gt;"",L3217*1.1,"")</f>
        <v/>
      </c>
      <c r="N3217" s="47" t="n">
        <f aca="false">IF(F3217="S",L3217*0.02,0)</f>
        <v>0</v>
      </c>
      <c r="O3217" s="82" t="str">
        <f aca="false">IF(L3217&lt;&gt;"",L3217+N3217,"")</f>
        <v/>
      </c>
      <c r="P3217" s="47" t="str">
        <f aca="false">IF(O3217&lt;&gt;"",O3217*0.1,"")</f>
        <v/>
      </c>
      <c r="Q3217" s="83" t="str">
        <f aca="false">IF(O3217&lt;&gt;"",O3217+P3217,"")</f>
        <v/>
      </c>
      <c r="R3217" s="84"/>
    </row>
    <row r="3218" customFormat="false" ht="15" hidden="false" customHeight="true" outlineLevel="0" collapsed="false">
      <c r="A3218" s="103"/>
      <c r="B3218" s="73"/>
      <c r="C3218" s="74"/>
      <c r="D3218" s="75"/>
      <c r="E3218" s="52" t="str">
        <f aca="false">IF(D3218&lt;&gt;"",IFERROR(VLOOKUP(D3218,PROVEEDORES!$A:$B,2,0),"!COD NO ENCONTRADO"),"")</f>
        <v/>
      </c>
      <c r="F3218" s="76" t="str">
        <f aca="false">IF(D3218&lt;&gt;"",IFERROR(VLOOKUP(D3218,PROVEEDORES!$A:$C,3,0),""),"")</f>
        <v/>
      </c>
      <c r="G3218" s="75"/>
      <c r="H3218" s="52" t="str">
        <f aca="false">IF(G3218&lt;&gt;"",IFERROR(VLOOKUP(G3218,PRODUCTOS!$A:$B,2,0),"!COD NO ENCONTRADO"),"")</f>
        <v/>
      </c>
      <c r="I3218" s="77"/>
      <c r="J3218" s="78"/>
      <c r="K3218" s="79"/>
      <c r="L3218" s="80" t="str">
        <f aca="false">IF(AND(J3218&lt;&gt;"",K3218&lt;&gt;""),J3218*K3218,"")</f>
        <v/>
      </c>
      <c r="M3218" s="81" t="str">
        <f aca="false">IF(L3218&lt;&gt;"",L3218*1.1,"")</f>
        <v/>
      </c>
      <c r="N3218" s="53" t="n">
        <f aca="false">IF(F3218="S",L3218*0.02,0)</f>
        <v>0</v>
      </c>
      <c r="O3218" s="82" t="str">
        <f aca="false">IF(L3218&lt;&gt;"",L3218+N3218,"")</f>
        <v/>
      </c>
      <c r="P3218" s="53" t="str">
        <f aca="false">IF(O3218&lt;&gt;"",O3218*0.1,"")</f>
        <v/>
      </c>
      <c r="Q3218" s="83" t="str">
        <f aca="false">IF(O3218&lt;&gt;"",O3218+P3218,"")</f>
        <v/>
      </c>
      <c r="R3218" s="84"/>
    </row>
    <row r="3219" customFormat="false" ht="15" hidden="false" customHeight="true" outlineLevel="0" collapsed="false">
      <c r="A3219" s="103"/>
      <c r="B3219" s="85"/>
      <c r="C3219" s="86"/>
      <c r="D3219" s="87"/>
      <c r="E3219" s="46" t="str">
        <f aca="false">IF(D3219&lt;&gt;"",IFERROR(VLOOKUP(D3219,PROVEEDORES!$A:$B,2,0),"!COD NO ENCONTRADO"),"")</f>
        <v/>
      </c>
      <c r="F3219" s="88" t="str">
        <f aca="false">IF(D3219&lt;&gt;"",IFERROR(VLOOKUP(D3219,PROVEEDORES!$A:$C,3,0),""),"")</f>
        <v/>
      </c>
      <c r="G3219" s="87"/>
      <c r="H3219" s="46" t="str">
        <f aca="false">IF(G3219&lt;&gt;"",IFERROR(VLOOKUP(G3219,PRODUCTOS!$A:$B,2,0),"!COD NO ENCONTRADO"),"")</f>
        <v/>
      </c>
      <c r="I3219" s="89"/>
      <c r="J3219" s="90"/>
      <c r="K3219" s="91"/>
      <c r="L3219" s="80" t="str">
        <f aca="false">IF(AND(J3219&lt;&gt;"",K3219&lt;&gt;""),J3219*K3219,"")</f>
        <v/>
      </c>
      <c r="M3219" s="81" t="str">
        <f aca="false">IF(L3219&lt;&gt;"",L3219*1.1,"")</f>
        <v/>
      </c>
      <c r="N3219" s="47" t="n">
        <f aca="false">IF(F3219="S",L3219*0.02,0)</f>
        <v>0</v>
      </c>
      <c r="O3219" s="82" t="str">
        <f aca="false">IF(L3219&lt;&gt;"",L3219+N3219,"")</f>
        <v/>
      </c>
      <c r="P3219" s="47" t="str">
        <f aca="false">IF(O3219&lt;&gt;"",O3219*0.1,"")</f>
        <v/>
      </c>
      <c r="Q3219" s="83" t="str">
        <f aca="false">IF(O3219&lt;&gt;"",O3219+P3219,"")</f>
        <v/>
      </c>
      <c r="R3219" s="84"/>
    </row>
    <row r="3220" customFormat="false" ht="15" hidden="false" customHeight="true" outlineLevel="0" collapsed="false">
      <c r="A3220" s="103"/>
      <c r="B3220" s="73"/>
      <c r="C3220" s="74"/>
      <c r="D3220" s="75"/>
      <c r="E3220" s="52" t="str">
        <f aca="false">IF(D3220&lt;&gt;"",IFERROR(VLOOKUP(D3220,PROVEEDORES!$A:$B,2,0),"!COD NO ENCONTRADO"),"")</f>
        <v/>
      </c>
      <c r="F3220" s="76" t="str">
        <f aca="false">IF(D3220&lt;&gt;"",IFERROR(VLOOKUP(D3220,PROVEEDORES!$A:$C,3,0),""),"")</f>
        <v/>
      </c>
      <c r="G3220" s="75"/>
      <c r="H3220" s="52" t="str">
        <f aca="false">IF(G3220&lt;&gt;"",IFERROR(VLOOKUP(G3220,PRODUCTOS!$A:$B,2,0),"!COD NO ENCONTRADO"),"")</f>
        <v/>
      </c>
      <c r="I3220" s="77"/>
      <c r="J3220" s="78"/>
      <c r="K3220" s="79"/>
      <c r="L3220" s="80" t="str">
        <f aca="false">IF(AND(J3220&lt;&gt;"",K3220&lt;&gt;""),J3220*K3220,"")</f>
        <v/>
      </c>
      <c r="M3220" s="81" t="str">
        <f aca="false">IF(L3220&lt;&gt;"",L3220*1.1,"")</f>
        <v/>
      </c>
      <c r="N3220" s="53" t="n">
        <f aca="false">IF(F3220="S",L3220*0.02,0)</f>
        <v>0</v>
      </c>
      <c r="O3220" s="82" t="str">
        <f aca="false">IF(L3220&lt;&gt;"",L3220+N3220,"")</f>
        <v/>
      </c>
      <c r="P3220" s="53" t="str">
        <f aca="false">IF(O3220&lt;&gt;"",O3220*0.1,"")</f>
        <v/>
      </c>
      <c r="Q3220" s="83" t="str">
        <f aca="false">IF(O3220&lt;&gt;"",O3220+P3220,"")</f>
        <v/>
      </c>
      <c r="R3220" s="84"/>
    </row>
    <row r="3221" customFormat="false" ht="15" hidden="false" customHeight="true" outlineLevel="0" collapsed="false">
      <c r="A3221" s="103"/>
      <c r="B3221" s="85"/>
      <c r="C3221" s="86"/>
      <c r="D3221" s="87"/>
      <c r="E3221" s="46" t="str">
        <f aca="false">IF(D3221&lt;&gt;"",IFERROR(VLOOKUP(D3221,PROVEEDORES!$A:$B,2,0),"!COD NO ENCONTRADO"),"")</f>
        <v/>
      </c>
      <c r="F3221" s="88" t="str">
        <f aca="false">IF(D3221&lt;&gt;"",IFERROR(VLOOKUP(D3221,PROVEEDORES!$A:$C,3,0),""),"")</f>
        <v/>
      </c>
      <c r="G3221" s="87"/>
      <c r="H3221" s="46" t="str">
        <f aca="false">IF(G3221&lt;&gt;"",IFERROR(VLOOKUP(G3221,PRODUCTOS!$A:$B,2,0),"!COD NO ENCONTRADO"),"")</f>
        <v/>
      </c>
      <c r="I3221" s="89"/>
      <c r="J3221" s="90"/>
      <c r="K3221" s="91"/>
      <c r="L3221" s="80" t="str">
        <f aca="false">IF(AND(J3221&lt;&gt;"",K3221&lt;&gt;""),J3221*K3221,"")</f>
        <v/>
      </c>
      <c r="M3221" s="81" t="str">
        <f aca="false">IF(L3221&lt;&gt;"",L3221*1.1,"")</f>
        <v/>
      </c>
      <c r="N3221" s="47" t="n">
        <f aca="false">IF(F3221="S",L3221*0.02,0)</f>
        <v>0</v>
      </c>
      <c r="O3221" s="82" t="str">
        <f aca="false">IF(L3221&lt;&gt;"",L3221+N3221,"")</f>
        <v/>
      </c>
      <c r="P3221" s="47" t="str">
        <f aca="false">IF(O3221&lt;&gt;"",O3221*0.1,"")</f>
        <v/>
      </c>
      <c r="Q3221" s="83" t="str">
        <f aca="false">IF(O3221&lt;&gt;"",O3221+P3221,"")</f>
        <v/>
      </c>
      <c r="R3221" s="84"/>
    </row>
    <row r="3222" customFormat="false" ht="15" hidden="false" customHeight="true" outlineLevel="0" collapsed="false">
      <c r="A3222" s="103"/>
      <c r="B3222" s="73"/>
      <c r="C3222" s="74"/>
      <c r="D3222" s="75"/>
      <c r="E3222" s="52" t="str">
        <f aca="false">IF(D3222&lt;&gt;"",IFERROR(VLOOKUP(D3222,PROVEEDORES!$A:$B,2,0),"!COD NO ENCONTRADO"),"")</f>
        <v/>
      </c>
      <c r="F3222" s="76" t="str">
        <f aca="false">IF(D3222&lt;&gt;"",IFERROR(VLOOKUP(D3222,PROVEEDORES!$A:$C,3,0),""),"")</f>
        <v/>
      </c>
      <c r="G3222" s="75"/>
      <c r="H3222" s="52" t="str">
        <f aca="false">IF(G3222&lt;&gt;"",IFERROR(VLOOKUP(G3222,PRODUCTOS!$A:$B,2,0),"!COD NO ENCONTRADO"),"")</f>
        <v/>
      </c>
      <c r="I3222" s="77"/>
      <c r="J3222" s="78"/>
      <c r="K3222" s="79"/>
      <c r="L3222" s="80" t="str">
        <f aca="false">IF(AND(J3222&lt;&gt;"",K3222&lt;&gt;""),J3222*K3222,"")</f>
        <v/>
      </c>
      <c r="M3222" s="81" t="str">
        <f aca="false">IF(L3222&lt;&gt;"",L3222*1.1,"")</f>
        <v/>
      </c>
      <c r="N3222" s="53" t="n">
        <f aca="false">IF(F3222="S",L3222*0.02,0)</f>
        <v>0</v>
      </c>
      <c r="O3222" s="82" t="str">
        <f aca="false">IF(L3222&lt;&gt;"",L3222+N3222,"")</f>
        <v/>
      </c>
      <c r="P3222" s="53" t="str">
        <f aca="false">IF(O3222&lt;&gt;"",O3222*0.1,"")</f>
        <v/>
      </c>
      <c r="Q3222" s="83" t="str">
        <f aca="false">IF(O3222&lt;&gt;"",O3222+P3222,"")</f>
        <v/>
      </c>
      <c r="R3222" s="84"/>
    </row>
    <row r="3223" customFormat="false" ht="15" hidden="false" customHeight="true" outlineLevel="0" collapsed="false">
      <c r="A3223" s="103"/>
      <c r="B3223" s="85"/>
      <c r="C3223" s="86"/>
      <c r="D3223" s="87"/>
      <c r="E3223" s="46" t="str">
        <f aca="false">IF(D3223&lt;&gt;"",IFERROR(VLOOKUP(D3223,PROVEEDORES!$A:$B,2,0),"!COD NO ENCONTRADO"),"")</f>
        <v/>
      </c>
      <c r="F3223" s="88" t="str">
        <f aca="false">IF(D3223&lt;&gt;"",IFERROR(VLOOKUP(D3223,PROVEEDORES!$A:$C,3,0),""),"")</f>
        <v/>
      </c>
      <c r="G3223" s="87"/>
      <c r="H3223" s="46" t="str">
        <f aca="false">IF(G3223&lt;&gt;"",IFERROR(VLOOKUP(G3223,PRODUCTOS!$A:$B,2,0),"!COD NO ENCONTRADO"),"")</f>
        <v/>
      </c>
      <c r="I3223" s="89"/>
      <c r="J3223" s="90"/>
      <c r="K3223" s="91"/>
      <c r="L3223" s="80" t="str">
        <f aca="false">IF(AND(J3223&lt;&gt;"",K3223&lt;&gt;""),J3223*K3223,"")</f>
        <v/>
      </c>
      <c r="M3223" s="81" t="str">
        <f aca="false">IF(L3223&lt;&gt;"",L3223*1.1,"")</f>
        <v/>
      </c>
      <c r="N3223" s="47" t="n">
        <f aca="false">IF(F3223="S",L3223*0.02,0)</f>
        <v>0</v>
      </c>
      <c r="O3223" s="82" t="str">
        <f aca="false">IF(L3223&lt;&gt;"",L3223+N3223,"")</f>
        <v/>
      </c>
      <c r="P3223" s="47" t="str">
        <f aca="false">IF(O3223&lt;&gt;"",O3223*0.1,"")</f>
        <v/>
      </c>
      <c r="Q3223" s="83" t="str">
        <f aca="false">IF(O3223&lt;&gt;"",O3223+P3223,"")</f>
        <v/>
      </c>
      <c r="R3223" s="84"/>
    </row>
    <row r="3224" customFormat="false" ht="15" hidden="false" customHeight="true" outlineLevel="0" collapsed="false">
      <c r="A3224" s="103"/>
      <c r="B3224" s="73"/>
      <c r="C3224" s="74"/>
      <c r="D3224" s="75"/>
      <c r="E3224" s="52" t="str">
        <f aca="false">IF(D3224&lt;&gt;"",IFERROR(VLOOKUP(D3224,PROVEEDORES!$A:$B,2,0),"!COD NO ENCONTRADO"),"")</f>
        <v/>
      </c>
      <c r="F3224" s="76" t="str">
        <f aca="false">IF(D3224&lt;&gt;"",IFERROR(VLOOKUP(D3224,PROVEEDORES!$A:$C,3,0),""),"")</f>
        <v/>
      </c>
      <c r="G3224" s="75"/>
      <c r="H3224" s="52" t="str">
        <f aca="false">IF(G3224&lt;&gt;"",IFERROR(VLOOKUP(G3224,PRODUCTOS!$A:$B,2,0),"!COD NO ENCONTRADO"),"")</f>
        <v/>
      </c>
      <c r="I3224" s="77"/>
      <c r="J3224" s="78"/>
      <c r="K3224" s="79"/>
      <c r="L3224" s="80" t="str">
        <f aca="false">IF(AND(J3224&lt;&gt;"",K3224&lt;&gt;""),J3224*K3224,"")</f>
        <v/>
      </c>
      <c r="M3224" s="81" t="str">
        <f aca="false">IF(L3224&lt;&gt;"",L3224*1.1,"")</f>
        <v/>
      </c>
      <c r="N3224" s="53" t="n">
        <f aca="false">IF(F3224="S",L3224*0.02,0)</f>
        <v>0</v>
      </c>
      <c r="O3224" s="82" t="str">
        <f aca="false">IF(L3224&lt;&gt;"",L3224+N3224,"")</f>
        <v/>
      </c>
      <c r="P3224" s="53" t="str">
        <f aca="false">IF(O3224&lt;&gt;"",O3224*0.1,"")</f>
        <v/>
      </c>
      <c r="Q3224" s="83" t="str">
        <f aca="false">IF(O3224&lt;&gt;"",O3224+P3224,"")</f>
        <v/>
      </c>
      <c r="R3224" s="84"/>
    </row>
    <row r="3225" customFormat="false" ht="15" hidden="false" customHeight="true" outlineLevel="0" collapsed="false">
      <c r="A3225" s="103"/>
      <c r="B3225" s="85"/>
      <c r="C3225" s="86"/>
      <c r="D3225" s="87"/>
      <c r="E3225" s="46" t="str">
        <f aca="false">IF(D3225&lt;&gt;"",IFERROR(VLOOKUP(D3225,PROVEEDORES!$A:$B,2,0),"!COD NO ENCONTRADO"),"")</f>
        <v/>
      </c>
      <c r="F3225" s="88" t="str">
        <f aca="false">IF(D3225&lt;&gt;"",IFERROR(VLOOKUP(D3225,PROVEEDORES!$A:$C,3,0),""),"")</f>
        <v/>
      </c>
      <c r="G3225" s="87"/>
      <c r="H3225" s="46" t="str">
        <f aca="false">IF(G3225&lt;&gt;"",IFERROR(VLOOKUP(G3225,PRODUCTOS!$A:$B,2,0),"!COD NO ENCONTRADO"),"")</f>
        <v/>
      </c>
      <c r="I3225" s="89"/>
      <c r="J3225" s="90"/>
      <c r="K3225" s="91"/>
      <c r="L3225" s="80" t="str">
        <f aca="false">IF(AND(J3225&lt;&gt;"",K3225&lt;&gt;""),J3225*K3225,"")</f>
        <v/>
      </c>
      <c r="M3225" s="81" t="str">
        <f aca="false">IF(L3225&lt;&gt;"",L3225*1.1,"")</f>
        <v/>
      </c>
      <c r="N3225" s="47" t="n">
        <f aca="false">IF(F3225="S",L3225*0.02,0)</f>
        <v>0</v>
      </c>
      <c r="O3225" s="82" t="str">
        <f aca="false">IF(L3225&lt;&gt;"",L3225+N3225,"")</f>
        <v/>
      </c>
      <c r="P3225" s="47" t="str">
        <f aca="false">IF(O3225&lt;&gt;"",O3225*0.1,"")</f>
        <v/>
      </c>
      <c r="Q3225" s="83" t="str">
        <f aca="false">IF(O3225&lt;&gt;"",O3225+P3225,"")</f>
        <v/>
      </c>
      <c r="R3225" s="84"/>
    </row>
    <row r="3226" customFormat="false" ht="15" hidden="false" customHeight="true" outlineLevel="0" collapsed="false">
      <c r="A3226" s="103"/>
      <c r="B3226" s="73"/>
      <c r="C3226" s="74"/>
      <c r="D3226" s="75"/>
      <c r="E3226" s="52" t="str">
        <f aca="false">IF(D3226&lt;&gt;"",IFERROR(VLOOKUP(D3226,PROVEEDORES!$A:$B,2,0),"!COD NO ENCONTRADO"),"")</f>
        <v/>
      </c>
      <c r="F3226" s="76" t="str">
        <f aca="false">IF(D3226&lt;&gt;"",IFERROR(VLOOKUP(D3226,PROVEEDORES!$A:$C,3,0),""),"")</f>
        <v/>
      </c>
      <c r="G3226" s="75"/>
      <c r="H3226" s="52" t="str">
        <f aca="false">IF(G3226&lt;&gt;"",IFERROR(VLOOKUP(G3226,PRODUCTOS!$A:$B,2,0),"!COD NO ENCONTRADO"),"")</f>
        <v/>
      </c>
      <c r="I3226" s="77"/>
      <c r="J3226" s="78"/>
      <c r="K3226" s="79"/>
      <c r="L3226" s="80" t="str">
        <f aca="false">IF(AND(J3226&lt;&gt;"",K3226&lt;&gt;""),J3226*K3226,"")</f>
        <v/>
      </c>
      <c r="M3226" s="81" t="str">
        <f aca="false">IF(L3226&lt;&gt;"",L3226*1.1,"")</f>
        <v/>
      </c>
      <c r="N3226" s="53" t="n">
        <f aca="false">IF(F3226="S",L3226*0.02,0)</f>
        <v>0</v>
      </c>
      <c r="O3226" s="82" t="str">
        <f aca="false">IF(L3226&lt;&gt;"",L3226+N3226,"")</f>
        <v/>
      </c>
      <c r="P3226" s="53" t="str">
        <f aca="false">IF(O3226&lt;&gt;"",O3226*0.1,"")</f>
        <v/>
      </c>
      <c r="Q3226" s="83" t="str">
        <f aca="false">IF(O3226&lt;&gt;"",O3226+P3226,"")</f>
        <v/>
      </c>
      <c r="R3226" s="84"/>
    </row>
    <row r="3227" customFormat="false" ht="15" hidden="false" customHeight="true" outlineLevel="0" collapsed="false">
      <c r="A3227" s="103"/>
      <c r="B3227" s="85"/>
      <c r="C3227" s="86"/>
      <c r="D3227" s="87"/>
      <c r="E3227" s="46" t="str">
        <f aca="false">IF(D3227&lt;&gt;"",IFERROR(VLOOKUP(D3227,PROVEEDORES!$A:$B,2,0),"!COD NO ENCONTRADO"),"")</f>
        <v/>
      </c>
      <c r="F3227" s="88" t="str">
        <f aca="false">IF(D3227&lt;&gt;"",IFERROR(VLOOKUP(D3227,PROVEEDORES!$A:$C,3,0),""),"")</f>
        <v/>
      </c>
      <c r="G3227" s="87"/>
      <c r="H3227" s="46" t="str">
        <f aca="false">IF(G3227&lt;&gt;"",IFERROR(VLOOKUP(G3227,PRODUCTOS!$A:$B,2,0),"!COD NO ENCONTRADO"),"")</f>
        <v/>
      </c>
      <c r="I3227" s="89"/>
      <c r="J3227" s="90"/>
      <c r="K3227" s="91"/>
      <c r="L3227" s="80" t="str">
        <f aca="false">IF(AND(J3227&lt;&gt;"",K3227&lt;&gt;""),J3227*K3227,"")</f>
        <v/>
      </c>
      <c r="M3227" s="81" t="str">
        <f aca="false">IF(L3227&lt;&gt;"",L3227*1.1,"")</f>
        <v/>
      </c>
      <c r="N3227" s="47" t="n">
        <f aca="false">IF(F3227="S",L3227*0.02,0)</f>
        <v>0</v>
      </c>
      <c r="O3227" s="82" t="str">
        <f aca="false">IF(L3227&lt;&gt;"",L3227+N3227,"")</f>
        <v/>
      </c>
      <c r="P3227" s="47" t="str">
        <f aca="false">IF(O3227&lt;&gt;"",O3227*0.1,"")</f>
        <v/>
      </c>
      <c r="Q3227" s="83" t="str">
        <f aca="false">IF(O3227&lt;&gt;"",O3227+P3227,"")</f>
        <v/>
      </c>
      <c r="R3227" s="84"/>
    </row>
    <row r="3228" customFormat="false" ht="15" hidden="false" customHeight="true" outlineLevel="0" collapsed="false">
      <c r="A3228" s="103"/>
      <c r="B3228" s="73"/>
      <c r="C3228" s="74"/>
      <c r="D3228" s="75"/>
      <c r="E3228" s="52" t="str">
        <f aca="false">IF(D3228&lt;&gt;"",IFERROR(VLOOKUP(D3228,PROVEEDORES!$A:$B,2,0),"!COD NO ENCONTRADO"),"")</f>
        <v/>
      </c>
      <c r="F3228" s="76" t="str">
        <f aca="false">IF(D3228&lt;&gt;"",IFERROR(VLOOKUP(D3228,PROVEEDORES!$A:$C,3,0),""),"")</f>
        <v/>
      </c>
      <c r="G3228" s="75"/>
      <c r="H3228" s="52" t="str">
        <f aca="false">IF(G3228&lt;&gt;"",IFERROR(VLOOKUP(G3228,PRODUCTOS!$A:$B,2,0),"!COD NO ENCONTRADO"),"")</f>
        <v/>
      </c>
      <c r="I3228" s="77"/>
      <c r="J3228" s="78"/>
      <c r="K3228" s="79"/>
      <c r="L3228" s="80" t="str">
        <f aca="false">IF(AND(J3228&lt;&gt;"",K3228&lt;&gt;""),J3228*K3228,"")</f>
        <v/>
      </c>
      <c r="M3228" s="81" t="str">
        <f aca="false">IF(L3228&lt;&gt;"",L3228*1.1,"")</f>
        <v/>
      </c>
      <c r="N3228" s="53" t="n">
        <f aca="false">IF(F3228="S",L3228*0.02,0)</f>
        <v>0</v>
      </c>
      <c r="O3228" s="82" t="str">
        <f aca="false">IF(L3228&lt;&gt;"",L3228+N3228,"")</f>
        <v/>
      </c>
      <c r="P3228" s="53" t="str">
        <f aca="false">IF(O3228&lt;&gt;"",O3228*0.1,"")</f>
        <v/>
      </c>
      <c r="Q3228" s="83" t="str">
        <f aca="false">IF(O3228&lt;&gt;"",O3228+P3228,"")</f>
        <v/>
      </c>
      <c r="R3228" s="84"/>
    </row>
    <row r="3229" customFormat="false" ht="15" hidden="false" customHeight="true" outlineLevel="0" collapsed="false">
      <c r="A3229" s="103"/>
      <c r="B3229" s="85"/>
      <c r="C3229" s="86"/>
      <c r="D3229" s="87"/>
      <c r="E3229" s="46" t="str">
        <f aca="false">IF(D3229&lt;&gt;"",IFERROR(VLOOKUP(D3229,PROVEEDORES!$A:$B,2,0),"!COD NO ENCONTRADO"),"")</f>
        <v/>
      </c>
      <c r="F3229" s="88" t="str">
        <f aca="false">IF(D3229&lt;&gt;"",IFERROR(VLOOKUP(D3229,PROVEEDORES!$A:$C,3,0),""),"")</f>
        <v/>
      </c>
      <c r="G3229" s="87"/>
      <c r="H3229" s="46" t="str">
        <f aca="false">IF(G3229&lt;&gt;"",IFERROR(VLOOKUP(G3229,PRODUCTOS!$A:$B,2,0),"!COD NO ENCONTRADO"),"")</f>
        <v/>
      </c>
      <c r="I3229" s="89"/>
      <c r="J3229" s="90"/>
      <c r="K3229" s="91"/>
      <c r="L3229" s="80" t="str">
        <f aca="false">IF(AND(J3229&lt;&gt;"",K3229&lt;&gt;""),J3229*K3229,"")</f>
        <v/>
      </c>
      <c r="M3229" s="81" t="str">
        <f aca="false">IF(L3229&lt;&gt;"",L3229*1.1,"")</f>
        <v/>
      </c>
      <c r="N3229" s="47" t="n">
        <f aca="false">IF(F3229="S",L3229*0.02,0)</f>
        <v>0</v>
      </c>
      <c r="O3229" s="82" t="str">
        <f aca="false">IF(L3229&lt;&gt;"",L3229+N3229,"")</f>
        <v/>
      </c>
      <c r="P3229" s="47" t="str">
        <f aca="false">IF(O3229&lt;&gt;"",O3229*0.1,"")</f>
        <v/>
      </c>
      <c r="Q3229" s="83" t="str">
        <f aca="false">IF(O3229&lt;&gt;"",O3229+P3229,"")</f>
        <v/>
      </c>
      <c r="R3229" s="84"/>
    </row>
    <row r="3230" customFormat="false" ht="15" hidden="false" customHeight="true" outlineLevel="0" collapsed="false">
      <c r="A3230" s="103"/>
      <c r="B3230" s="73"/>
      <c r="C3230" s="74"/>
      <c r="D3230" s="75"/>
      <c r="E3230" s="52" t="str">
        <f aca="false">IF(D3230&lt;&gt;"",IFERROR(VLOOKUP(D3230,PROVEEDORES!$A:$B,2,0),"!COD NO ENCONTRADO"),"")</f>
        <v/>
      </c>
      <c r="F3230" s="76" t="str">
        <f aca="false">IF(D3230&lt;&gt;"",IFERROR(VLOOKUP(D3230,PROVEEDORES!$A:$C,3,0),""),"")</f>
        <v/>
      </c>
      <c r="G3230" s="75"/>
      <c r="H3230" s="52" t="str">
        <f aca="false">IF(G3230&lt;&gt;"",IFERROR(VLOOKUP(G3230,PRODUCTOS!$A:$B,2,0),"!COD NO ENCONTRADO"),"")</f>
        <v/>
      </c>
      <c r="I3230" s="77"/>
      <c r="J3230" s="78"/>
      <c r="K3230" s="79"/>
      <c r="L3230" s="80" t="str">
        <f aca="false">IF(AND(J3230&lt;&gt;"",K3230&lt;&gt;""),J3230*K3230,"")</f>
        <v/>
      </c>
      <c r="M3230" s="81" t="str">
        <f aca="false">IF(L3230&lt;&gt;"",L3230*1.1,"")</f>
        <v/>
      </c>
      <c r="N3230" s="53" t="n">
        <f aca="false">IF(F3230="S",L3230*0.02,0)</f>
        <v>0</v>
      </c>
      <c r="O3230" s="82" t="str">
        <f aca="false">IF(L3230&lt;&gt;"",L3230+N3230,"")</f>
        <v/>
      </c>
      <c r="P3230" s="53" t="str">
        <f aca="false">IF(O3230&lt;&gt;"",O3230*0.1,"")</f>
        <v/>
      </c>
      <c r="Q3230" s="83" t="str">
        <f aca="false">IF(O3230&lt;&gt;"",O3230+P3230,"")</f>
        <v/>
      </c>
      <c r="R3230" s="84"/>
    </row>
    <row r="3231" customFormat="false" ht="15" hidden="false" customHeight="true" outlineLevel="0" collapsed="false">
      <c r="A3231" s="103"/>
      <c r="B3231" s="85"/>
      <c r="C3231" s="86"/>
      <c r="D3231" s="87"/>
      <c r="E3231" s="46" t="str">
        <f aca="false">IF(D3231&lt;&gt;"",IFERROR(VLOOKUP(D3231,PROVEEDORES!$A:$B,2,0),"!COD NO ENCONTRADO"),"")</f>
        <v/>
      </c>
      <c r="F3231" s="88" t="str">
        <f aca="false">IF(D3231&lt;&gt;"",IFERROR(VLOOKUP(D3231,PROVEEDORES!$A:$C,3,0),""),"")</f>
        <v/>
      </c>
      <c r="G3231" s="87"/>
      <c r="H3231" s="46" t="str">
        <f aca="false">IF(G3231&lt;&gt;"",IFERROR(VLOOKUP(G3231,PRODUCTOS!$A:$B,2,0),"!COD NO ENCONTRADO"),"")</f>
        <v/>
      </c>
      <c r="I3231" s="89"/>
      <c r="J3231" s="90"/>
      <c r="K3231" s="91"/>
      <c r="L3231" s="80" t="str">
        <f aca="false">IF(AND(J3231&lt;&gt;"",K3231&lt;&gt;""),J3231*K3231,"")</f>
        <v/>
      </c>
      <c r="M3231" s="81" t="str">
        <f aca="false">IF(L3231&lt;&gt;"",L3231*1.1,"")</f>
        <v/>
      </c>
      <c r="N3231" s="47" t="n">
        <f aca="false">IF(F3231="S",L3231*0.02,0)</f>
        <v>0</v>
      </c>
      <c r="O3231" s="82" t="str">
        <f aca="false">IF(L3231&lt;&gt;"",L3231+N3231,"")</f>
        <v/>
      </c>
      <c r="P3231" s="47" t="str">
        <f aca="false">IF(O3231&lt;&gt;"",O3231*0.1,"")</f>
        <v/>
      </c>
      <c r="Q3231" s="83" t="str">
        <f aca="false">IF(O3231&lt;&gt;"",O3231+P3231,"")</f>
        <v/>
      </c>
      <c r="R3231" s="84"/>
    </row>
    <row r="3232" customFormat="false" ht="15" hidden="false" customHeight="true" outlineLevel="0" collapsed="false">
      <c r="A3232" s="103"/>
      <c r="B3232" s="73"/>
      <c r="C3232" s="74"/>
      <c r="D3232" s="75"/>
      <c r="E3232" s="52" t="str">
        <f aca="false">IF(D3232&lt;&gt;"",IFERROR(VLOOKUP(D3232,PROVEEDORES!$A:$B,2,0),"!COD NO ENCONTRADO"),"")</f>
        <v/>
      </c>
      <c r="F3232" s="76" t="str">
        <f aca="false">IF(D3232&lt;&gt;"",IFERROR(VLOOKUP(D3232,PROVEEDORES!$A:$C,3,0),""),"")</f>
        <v/>
      </c>
      <c r="G3232" s="75"/>
      <c r="H3232" s="52" t="str">
        <f aca="false">IF(G3232&lt;&gt;"",IFERROR(VLOOKUP(G3232,PRODUCTOS!$A:$B,2,0),"!COD NO ENCONTRADO"),"")</f>
        <v/>
      </c>
      <c r="I3232" s="77"/>
      <c r="J3232" s="78"/>
      <c r="K3232" s="79"/>
      <c r="L3232" s="80" t="str">
        <f aca="false">IF(AND(J3232&lt;&gt;"",K3232&lt;&gt;""),J3232*K3232,"")</f>
        <v/>
      </c>
      <c r="M3232" s="81" t="str">
        <f aca="false">IF(L3232&lt;&gt;"",L3232*1.1,"")</f>
        <v/>
      </c>
      <c r="N3232" s="53" t="n">
        <f aca="false">IF(F3232="S",L3232*0.02,0)</f>
        <v>0</v>
      </c>
      <c r="O3232" s="82" t="str">
        <f aca="false">IF(L3232&lt;&gt;"",L3232+N3232,"")</f>
        <v/>
      </c>
      <c r="P3232" s="53" t="str">
        <f aca="false">IF(O3232&lt;&gt;"",O3232*0.1,"")</f>
        <v/>
      </c>
      <c r="Q3232" s="83" t="str">
        <f aca="false">IF(O3232&lt;&gt;"",O3232+P3232,"")</f>
        <v/>
      </c>
      <c r="R3232" s="84"/>
    </row>
    <row r="3233" customFormat="false" ht="15" hidden="false" customHeight="true" outlineLevel="0" collapsed="false">
      <c r="A3233" s="103"/>
      <c r="B3233" s="85"/>
      <c r="C3233" s="86"/>
      <c r="D3233" s="87"/>
      <c r="E3233" s="46" t="str">
        <f aca="false">IF(D3233&lt;&gt;"",IFERROR(VLOOKUP(D3233,PROVEEDORES!$A:$B,2,0),"!COD NO ENCONTRADO"),"")</f>
        <v/>
      </c>
      <c r="F3233" s="88" t="str">
        <f aca="false">IF(D3233&lt;&gt;"",IFERROR(VLOOKUP(D3233,PROVEEDORES!$A:$C,3,0),""),"")</f>
        <v/>
      </c>
      <c r="G3233" s="87"/>
      <c r="H3233" s="46" t="str">
        <f aca="false">IF(G3233&lt;&gt;"",IFERROR(VLOOKUP(G3233,PRODUCTOS!$A:$B,2,0),"!COD NO ENCONTRADO"),"")</f>
        <v/>
      </c>
      <c r="I3233" s="89"/>
      <c r="J3233" s="90"/>
      <c r="K3233" s="91"/>
      <c r="L3233" s="80" t="str">
        <f aca="false">IF(AND(J3233&lt;&gt;"",K3233&lt;&gt;""),J3233*K3233,"")</f>
        <v/>
      </c>
      <c r="M3233" s="81" t="str">
        <f aca="false">IF(L3233&lt;&gt;"",L3233*1.1,"")</f>
        <v/>
      </c>
      <c r="N3233" s="47" t="n">
        <f aca="false">IF(F3233="S",L3233*0.02,0)</f>
        <v>0</v>
      </c>
      <c r="O3233" s="82" t="str">
        <f aca="false">IF(L3233&lt;&gt;"",L3233+N3233,"")</f>
        <v/>
      </c>
      <c r="P3233" s="47" t="str">
        <f aca="false">IF(O3233&lt;&gt;"",O3233*0.1,"")</f>
        <v/>
      </c>
      <c r="Q3233" s="83" t="str">
        <f aca="false">IF(O3233&lt;&gt;"",O3233+P3233,"")</f>
        <v/>
      </c>
      <c r="R3233" s="84"/>
    </row>
    <row r="3234" customFormat="false" ht="15" hidden="false" customHeight="true" outlineLevel="0" collapsed="false">
      <c r="A3234" s="103"/>
      <c r="B3234" s="73"/>
      <c r="C3234" s="74"/>
      <c r="D3234" s="75"/>
      <c r="E3234" s="52" t="str">
        <f aca="false">IF(D3234&lt;&gt;"",IFERROR(VLOOKUP(D3234,PROVEEDORES!$A:$B,2,0),"!COD NO ENCONTRADO"),"")</f>
        <v/>
      </c>
      <c r="F3234" s="76" t="str">
        <f aca="false">IF(D3234&lt;&gt;"",IFERROR(VLOOKUP(D3234,PROVEEDORES!$A:$C,3,0),""),"")</f>
        <v/>
      </c>
      <c r="G3234" s="75"/>
      <c r="H3234" s="52" t="str">
        <f aca="false">IF(G3234&lt;&gt;"",IFERROR(VLOOKUP(G3234,PRODUCTOS!$A:$B,2,0),"!COD NO ENCONTRADO"),"")</f>
        <v/>
      </c>
      <c r="I3234" s="77"/>
      <c r="J3234" s="78"/>
      <c r="K3234" s="79"/>
      <c r="L3234" s="80" t="str">
        <f aca="false">IF(AND(J3234&lt;&gt;"",K3234&lt;&gt;""),J3234*K3234,"")</f>
        <v/>
      </c>
      <c r="M3234" s="81" t="str">
        <f aca="false">IF(L3234&lt;&gt;"",L3234*1.1,"")</f>
        <v/>
      </c>
      <c r="N3234" s="53" t="n">
        <f aca="false">IF(F3234="S",L3234*0.02,0)</f>
        <v>0</v>
      </c>
      <c r="O3234" s="82" t="str">
        <f aca="false">IF(L3234&lt;&gt;"",L3234+N3234,"")</f>
        <v/>
      </c>
      <c r="P3234" s="53" t="str">
        <f aca="false">IF(O3234&lt;&gt;"",O3234*0.1,"")</f>
        <v/>
      </c>
      <c r="Q3234" s="83" t="str">
        <f aca="false">IF(O3234&lt;&gt;"",O3234+P3234,"")</f>
        <v/>
      </c>
      <c r="R3234" s="84"/>
    </row>
    <row r="3235" customFormat="false" ht="15" hidden="false" customHeight="true" outlineLevel="0" collapsed="false">
      <c r="A3235" s="103"/>
      <c r="B3235" s="85"/>
      <c r="C3235" s="86"/>
      <c r="D3235" s="87"/>
      <c r="E3235" s="46" t="str">
        <f aca="false">IF(D3235&lt;&gt;"",IFERROR(VLOOKUP(D3235,PROVEEDORES!$A:$B,2,0),"!COD NO ENCONTRADO"),"")</f>
        <v/>
      </c>
      <c r="F3235" s="88" t="str">
        <f aca="false">IF(D3235&lt;&gt;"",IFERROR(VLOOKUP(D3235,PROVEEDORES!$A:$C,3,0),""),"")</f>
        <v/>
      </c>
      <c r="G3235" s="87"/>
      <c r="H3235" s="46" t="str">
        <f aca="false">IF(G3235&lt;&gt;"",IFERROR(VLOOKUP(G3235,PRODUCTOS!$A:$B,2,0),"!COD NO ENCONTRADO"),"")</f>
        <v/>
      </c>
      <c r="I3235" s="89"/>
      <c r="J3235" s="90"/>
      <c r="K3235" s="91"/>
      <c r="L3235" s="80" t="str">
        <f aca="false">IF(AND(J3235&lt;&gt;"",K3235&lt;&gt;""),J3235*K3235,"")</f>
        <v/>
      </c>
      <c r="M3235" s="81" t="str">
        <f aca="false">IF(L3235&lt;&gt;"",L3235*1.1,"")</f>
        <v/>
      </c>
      <c r="N3235" s="47" t="n">
        <f aca="false">IF(F3235="S",L3235*0.02,0)</f>
        <v>0</v>
      </c>
      <c r="O3235" s="82" t="str">
        <f aca="false">IF(L3235&lt;&gt;"",L3235+N3235,"")</f>
        <v/>
      </c>
      <c r="P3235" s="47" t="str">
        <f aca="false">IF(O3235&lt;&gt;"",O3235*0.1,"")</f>
        <v/>
      </c>
      <c r="Q3235" s="83" t="str">
        <f aca="false">IF(O3235&lt;&gt;"",O3235+P3235,"")</f>
        <v/>
      </c>
      <c r="R3235" s="84"/>
    </row>
    <row r="3236" customFormat="false" ht="15" hidden="false" customHeight="true" outlineLevel="0" collapsed="false">
      <c r="A3236" s="103"/>
      <c r="B3236" s="73"/>
      <c r="C3236" s="74"/>
      <c r="D3236" s="75"/>
      <c r="E3236" s="52" t="str">
        <f aca="false">IF(D3236&lt;&gt;"",IFERROR(VLOOKUP(D3236,PROVEEDORES!$A:$B,2,0),"!COD NO ENCONTRADO"),"")</f>
        <v/>
      </c>
      <c r="F3236" s="76" t="str">
        <f aca="false">IF(D3236&lt;&gt;"",IFERROR(VLOOKUP(D3236,PROVEEDORES!$A:$C,3,0),""),"")</f>
        <v/>
      </c>
      <c r="G3236" s="75"/>
      <c r="H3236" s="52" t="str">
        <f aca="false">IF(G3236&lt;&gt;"",IFERROR(VLOOKUP(G3236,PRODUCTOS!$A:$B,2,0),"!COD NO ENCONTRADO"),"")</f>
        <v/>
      </c>
      <c r="I3236" s="77"/>
      <c r="J3236" s="78"/>
      <c r="K3236" s="79"/>
      <c r="L3236" s="80" t="str">
        <f aca="false">IF(AND(J3236&lt;&gt;"",K3236&lt;&gt;""),J3236*K3236,"")</f>
        <v/>
      </c>
      <c r="M3236" s="81" t="str">
        <f aca="false">IF(L3236&lt;&gt;"",L3236*1.1,"")</f>
        <v/>
      </c>
      <c r="N3236" s="53" t="n">
        <f aca="false">IF(F3236="S",L3236*0.02,0)</f>
        <v>0</v>
      </c>
      <c r="O3236" s="82" t="str">
        <f aca="false">IF(L3236&lt;&gt;"",L3236+N3236,"")</f>
        <v/>
      </c>
      <c r="P3236" s="53" t="str">
        <f aca="false">IF(O3236&lt;&gt;"",O3236*0.1,"")</f>
        <v/>
      </c>
      <c r="Q3236" s="83" t="str">
        <f aca="false">IF(O3236&lt;&gt;"",O3236+P3236,"")</f>
        <v/>
      </c>
      <c r="R3236" s="84"/>
    </row>
    <row r="3237" customFormat="false" ht="15" hidden="false" customHeight="true" outlineLevel="0" collapsed="false">
      <c r="A3237" s="103"/>
      <c r="B3237" s="85"/>
      <c r="C3237" s="86"/>
      <c r="D3237" s="87"/>
      <c r="E3237" s="46" t="str">
        <f aca="false">IF(D3237&lt;&gt;"",IFERROR(VLOOKUP(D3237,PROVEEDORES!$A:$B,2,0),"!COD NO ENCONTRADO"),"")</f>
        <v/>
      </c>
      <c r="F3237" s="88" t="str">
        <f aca="false">IF(D3237&lt;&gt;"",IFERROR(VLOOKUP(D3237,PROVEEDORES!$A:$C,3,0),""),"")</f>
        <v/>
      </c>
      <c r="G3237" s="87"/>
      <c r="H3237" s="46" t="str">
        <f aca="false">IF(G3237&lt;&gt;"",IFERROR(VLOOKUP(G3237,PRODUCTOS!$A:$B,2,0),"!COD NO ENCONTRADO"),"")</f>
        <v/>
      </c>
      <c r="I3237" s="89"/>
      <c r="J3237" s="90"/>
      <c r="K3237" s="91"/>
      <c r="L3237" s="80" t="str">
        <f aca="false">IF(AND(J3237&lt;&gt;"",K3237&lt;&gt;""),J3237*K3237,"")</f>
        <v/>
      </c>
      <c r="M3237" s="81" t="str">
        <f aca="false">IF(L3237&lt;&gt;"",L3237*1.1,"")</f>
        <v/>
      </c>
      <c r="N3237" s="47" t="n">
        <f aca="false">IF(F3237="S",L3237*0.02,0)</f>
        <v>0</v>
      </c>
      <c r="O3237" s="82" t="str">
        <f aca="false">IF(L3237&lt;&gt;"",L3237+N3237,"")</f>
        <v/>
      </c>
      <c r="P3237" s="47" t="str">
        <f aca="false">IF(O3237&lt;&gt;"",O3237*0.1,"")</f>
        <v/>
      </c>
      <c r="Q3237" s="83" t="str">
        <f aca="false">IF(O3237&lt;&gt;"",O3237+P3237,"")</f>
        <v/>
      </c>
      <c r="R3237" s="84"/>
    </row>
    <row r="3238" customFormat="false" ht="15" hidden="false" customHeight="true" outlineLevel="0" collapsed="false">
      <c r="A3238" s="103"/>
      <c r="B3238" s="73"/>
      <c r="C3238" s="74"/>
      <c r="D3238" s="75"/>
      <c r="E3238" s="52" t="str">
        <f aca="false">IF(D3238&lt;&gt;"",IFERROR(VLOOKUP(D3238,PROVEEDORES!$A:$B,2,0),"!COD NO ENCONTRADO"),"")</f>
        <v/>
      </c>
      <c r="F3238" s="76" t="str">
        <f aca="false">IF(D3238&lt;&gt;"",IFERROR(VLOOKUP(D3238,PROVEEDORES!$A:$C,3,0),""),"")</f>
        <v/>
      </c>
      <c r="G3238" s="75"/>
      <c r="H3238" s="52" t="str">
        <f aca="false">IF(G3238&lt;&gt;"",IFERROR(VLOOKUP(G3238,PRODUCTOS!$A:$B,2,0),"!COD NO ENCONTRADO"),"")</f>
        <v/>
      </c>
      <c r="I3238" s="77"/>
      <c r="J3238" s="78"/>
      <c r="K3238" s="79"/>
      <c r="L3238" s="80" t="str">
        <f aca="false">IF(AND(J3238&lt;&gt;"",K3238&lt;&gt;""),J3238*K3238,"")</f>
        <v/>
      </c>
      <c r="M3238" s="81" t="str">
        <f aca="false">IF(L3238&lt;&gt;"",L3238*1.1,"")</f>
        <v/>
      </c>
      <c r="N3238" s="53" t="n">
        <f aca="false">IF(F3238="S",L3238*0.02,0)</f>
        <v>0</v>
      </c>
      <c r="O3238" s="82" t="str">
        <f aca="false">IF(L3238&lt;&gt;"",L3238+N3238,"")</f>
        <v/>
      </c>
      <c r="P3238" s="53" t="str">
        <f aca="false">IF(O3238&lt;&gt;"",O3238*0.1,"")</f>
        <v/>
      </c>
      <c r="Q3238" s="83" t="str">
        <f aca="false">IF(O3238&lt;&gt;"",O3238+P3238,"")</f>
        <v/>
      </c>
      <c r="R3238" s="84"/>
    </row>
    <row r="3239" customFormat="false" ht="15" hidden="false" customHeight="true" outlineLevel="0" collapsed="false">
      <c r="A3239" s="103"/>
      <c r="B3239" s="85"/>
      <c r="C3239" s="86"/>
      <c r="D3239" s="87"/>
      <c r="E3239" s="46" t="str">
        <f aca="false">IF(D3239&lt;&gt;"",IFERROR(VLOOKUP(D3239,PROVEEDORES!$A:$B,2,0),"!COD NO ENCONTRADO"),"")</f>
        <v/>
      </c>
      <c r="F3239" s="88" t="str">
        <f aca="false">IF(D3239&lt;&gt;"",IFERROR(VLOOKUP(D3239,PROVEEDORES!$A:$C,3,0),""),"")</f>
        <v/>
      </c>
      <c r="G3239" s="87"/>
      <c r="H3239" s="46" t="str">
        <f aca="false">IF(G3239&lt;&gt;"",IFERROR(VLOOKUP(G3239,PRODUCTOS!$A:$B,2,0),"!COD NO ENCONTRADO"),"")</f>
        <v/>
      </c>
      <c r="I3239" s="89"/>
      <c r="J3239" s="90"/>
      <c r="K3239" s="91"/>
      <c r="L3239" s="80" t="str">
        <f aca="false">IF(AND(J3239&lt;&gt;"",K3239&lt;&gt;""),J3239*K3239,"")</f>
        <v/>
      </c>
      <c r="M3239" s="81" t="str">
        <f aca="false">IF(L3239&lt;&gt;"",L3239*1.1,"")</f>
        <v/>
      </c>
      <c r="N3239" s="47" t="n">
        <f aca="false">IF(F3239="S",L3239*0.02,0)</f>
        <v>0</v>
      </c>
      <c r="O3239" s="82" t="str">
        <f aca="false">IF(L3239&lt;&gt;"",L3239+N3239,"")</f>
        <v/>
      </c>
      <c r="P3239" s="47" t="str">
        <f aca="false">IF(O3239&lt;&gt;"",O3239*0.1,"")</f>
        <v/>
      </c>
      <c r="Q3239" s="83" t="str">
        <f aca="false">IF(O3239&lt;&gt;"",O3239+P3239,"")</f>
        <v/>
      </c>
      <c r="R3239" s="84"/>
    </row>
    <row r="3240" customFormat="false" ht="15" hidden="false" customHeight="true" outlineLevel="0" collapsed="false">
      <c r="A3240" s="103"/>
      <c r="B3240" s="73"/>
      <c r="C3240" s="74"/>
      <c r="D3240" s="75"/>
      <c r="E3240" s="52" t="str">
        <f aca="false">IF(D3240&lt;&gt;"",IFERROR(VLOOKUP(D3240,PROVEEDORES!$A:$B,2,0),"!COD NO ENCONTRADO"),"")</f>
        <v/>
      </c>
      <c r="F3240" s="76" t="str">
        <f aca="false">IF(D3240&lt;&gt;"",IFERROR(VLOOKUP(D3240,PROVEEDORES!$A:$C,3,0),""),"")</f>
        <v/>
      </c>
      <c r="G3240" s="75"/>
      <c r="H3240" s="52" t="str">
        <f aca="false">IF(G3240&lt;&gt;"",IFERROR(VLOOKUP(G3240,PRODUCTOS!$A:$B,2,0),"!COD NO ENCONTRADO"),"")</f>
        <v/>
      </c>
      <c r="I3240" s="77"/>
      <c r="J3240" s="78"/>
      <c r="K3240" s="79"/>
      <c r="L3240" s="80" t="str">
        <f aca="false">IF(AND(J3240&lt;&gt;"",K3240&lt;&gt;""),J3240*K3240,"")</f>
        <v/>
      </c>
      <c r="M3240" s="81" t="str">
        <f aca="false">IF(L3240&lt;&gt;"",L3240*1.1,"")</f>
        <v/>
      </c>
      <c r="N3240" s="53" t="n">
        <f aca="false">IF(F3240="S",L3240*0.02,0)</f>
        <v>0</v>
      </c>
      <c r="O3240" s="82" t="str">
        <f aca="false">IF(L3240&lt;&gt;"",L3240+N3240,"")</f>
        <v/>
      </c>
      <c r="P3240" s="53" t="str">
        <f aca="false">IF(O3240&lt;&gt;"",O3240*0.1,"")</f>
        <v/>
      </c>
      <c r="Q3240" s="83" t="str">
        <f aca="false">IF(O3240&lt;&gt;"",O3240+P3240,"")</f>
        <v/>
      </c>
      <c r="R3240" s="84"/>
    </row>
    <row r="3241" customFormat="false" ht="15" hidden="false" customHeight="true" outlineLevel="0" collapsed="false">
      <c r="A3241" s="103"/>
      <c r="B3241" s="85"/>
      <c r="C3241" s="86"/>
      <c r="D3241" s="87"/>
      <c r="E3241" s="46" t="str">
        <f aca="false">IF(D3241&lt;&gt;"",IFERROR(VLOOKUP(D3241,PROVEEDORES!$A:$B,2,0),"!COD NO ENCONTRADO"),"")</f>
        <v/>
      </c>
      <c r="F3241" s="88" t="str">
        <f aca="false">IF(D3241&lt;&gt;"",IFERROR(VLOOKUP(D3241,PROVEEDORES!$A:$C,3,0),""),"")</f>
        <v/>
      </c>
      <c r="G3241" s="87"/>
      <c r="H3241" s="46" t="str">
        <f aca="false">IF(G3241&lt;&gt;"",IFERROR(VLOOKUP(G3241,PRODUCTOS!$A:$B,2,0),"!COD NO ENCONTRADO"),"")</f>
        <v/>
      </c>
      <c r="I3241" s="89"/>
      <c r="J3241" s="90"/>
      <c r="K3241" s="91"/>
      <c r="L3241" s="80" t="str">
        <f aca="false">IF(AND(J3241&lt;&gt;"",K3241&lt;&gt;""),J3241*K3241,"")</f>
        <v/>
      </c>
      <c r="M3241" s="81" t="str">
        <f aca="false">IF(L3241&lt;&gt;"",L3241*1.1,"")</f>
        <v/>
      </c>
      <c r="N3241" s="47" t="n">
        <f aca="false">IF(F3241="S",L3241*0.02,0)</f>
        <v>0</v>
      </c>
      <c r="O3241" s="82" t="str">
        <f aca="false">IF(L3241&lt;&gt;"",L3241+N3241,"")</f>
        <v/>
      </c>
      <c r="P3241" s="47" t="str">
        <f aca="false">IF(O3241&lt;&gt;"",O3241*0.1,"")</f>
        <v/>
      </c>
      <c r="Q3241" s="83" t="str">
        <f aca="false">IF(O3241&lt;&gt;"",O3241+P3241,"")</f>
        <v/>
      </c>
      <c r="R3241" s="84"/>
    </row>
    <row r="3242" customFormat="false" ht="15" hidden="false" customHeight="true" outlineLevel="0" collapsed="false">
      <c r="A3242" s="103"/>
      <c r="B3242" s="73"/>
      <c r="C3242" s="74"/>
      <c r="D3242" s="75"/>
      <c r="E3242" s="52" t="str">
        <f aca="false">IF(D3242&lt;&gt;"",IFERROR(VLOOKUP(D3242,PROVEEDORES!$A:$B,2,0),"!COD NO ENCONTRADO"),"")</f>
        <v/>
      </c>
      <c r="F3242" s="76" t="str">
        <f aca="false">IF(D3242&lt;&gt;"",IFERROR(VLOOKUP(D3242,PROVEEDORES!$A:$C,3,0),""),"")</f>
        <v/>
      </c>
      <c r="G3242" s="75"/>
      <c r="H3242" s="52" t="str">
        <f aca="false">IF(G3242&lt;&gt;"",IFERROR(VLOOKUP(G3242,PRODUCTOS!$A:$B,2,0),"!COD NO ENCONTRADO"),"")</f>
        <v/>
      </c>
      <c r="I3242" s="77"/>
      <c r="J3242" s="78"/>
      <c r="K3242" s="79"/>
      <c r="L3242" s="80" t="str">
        <f aca="false">IF(AND(J3242&lt;&gt;"",K3242&lt;&gt;""),J3242*K3242,"")</f>
        <v/>
      </c>
      <c r="M3242" s="81" t="str">
        <f aca="false">IF(L3242&lt;&gt;"",L3242*1.1,"")</f>
        <v/>
      </c>
      <c r="N3242" s="53" t="n">
        <f aca="false">IF(F3242="S",L3242*0.02,0)</f>
        <v>0</v>
      </c>
      <c r="O3242" s="82" t="str">
        <f aca="false">IF(L3242&lt;&gt;"",L3242+N3242,"")</f>
        <v/>
      </c>
      <c r="P3242" s="53" t="str">
        <f aca="false">IF(O3242&lt;&gt;"",O3242*0.1,"")</f>
        <v/>
      </c>
      <c r="Q3242" s="83" t="str">
        <f aca="false">IF(O3242&lt;&gt;"",O3242+P3242,"")</f>
        <v/>
      </c>
      <c r="R3242" s="84"/>
    </row>
    <row r="3243" customFormat="false" ht="15" hidden="false" customHeight="true" outlineLevel="0" collapsed="false">
      <c r="A3243" s="103"/>
      <c r="B3243" s="85"/>
      <c r="C3243" s="86"/>
      <c r="D3243" s="87"/>
      <c r="E3243" s="46" t="str">
        <f aca="false">IF(D3243&lt;&gt;"",IFERROR(VLOOKUP(D3243,PROVEEDORES!$A:$B,2,0),"!COD NO ENCONTRADO"),"")</f>
        <v/>
      </c>
      <c r="F3243" s="88" t="str">
        <f aca="false">IF(D3243&lt;&gt;"",IFERROR(VLOOKUP(D3243,PROVEEDORES!$A:$C,3,0),""),"")</f>
        <v/>
      </c>
      <c r="G3243" s="87"/>
      <c r="H3243" s="46" t="str">
        <f aca="false">IF(G3243&lt;&gt;"",IFERROR(VLOOKUP(G3243,PRODUCTOS!$A:$B,2,0),"!COD NO ENCONTRADO"),"")</f>
        <v/>
      </c>
      <c r="I3243" s="89"/>
      <c r="J3243" s="90"/>
      <c r="K3243" s="91"/>
      <c r="L3243" s="80" t="str">
        <f aca="false">IF(AND(J3243&lt;&gt;"",K3243&lt;&gt;""),J3243*K3243,"")</f>
        <v/>
      </c>
      <c r="M3243" s="81" t="str">
        <f aca="false">IF(L3243&lt;&gt;"",L3243*1.1,"")</f>
        <v/>
      </c>
      <c r="N3243" s="47" t="n">
        <f aca="false">IF(F3243="S",L3243*0.02,0)</f>
        <v>0</v>
      </c>
      <c r="O3243" s="82" t="str">
        <f aca="false">IF(L3243&lt;&gt;"",L3243+N3243,"")</f>
        <v/>
      </c>
      <c r="P3243" s="47" t="str">
        <f aca="false">IF(O3243&lt;&gt;"",O3243*0.1,"")</f>
        <v/>
      </c>
      <c r="Q3243" s="83" t="str">
        <f aca="false">IF(O3243&lt;&gt;"",O3243+P3243,"")</f>
        <v/>
      </c>
      <c r="R3243" s="84"/>
    </row>
    <row r="3244" customFormat="false" ht="15" hidden="false" customHeight="true" outlineLevel="0" collapsed="false">
      <c r="A3244" s="103"/>
      <c r="B3244" s="73"/>
      <c r="C3244" s="74"/>
      <c r="D3244" s="75"/>
      <c r="E3244" s="52" t="str">
        <f aca="false">IF(D3244&lt;&gt;"",IFERROR(VLOOKUP(D3244,PROVEEDORES!$A:$B,2,0),"!COD NO ENCONTRADO"),"")</f>
        <v/>
      </c>
      <c r="F3244" s="76" t="str">
        <f aca="false">IF(D3244&lt;&gt;"",IFERROR(VLOOKUP(D3244,PROVEEDORES!$A:$C,3,0),""),"")</f>
        <v/>
      </c>
      <c r="G3244" s="75"/>
      <c r="H3244" s="52" t="str">
        <f aca="false">IF(G3244&lt;&gt;"",IFERROR(VLOOKUP(G3244,PRODUCTOS!$A:$B,2,0),"!COD NO ENCONTRADO"),"")</f>
        <v/>
      </c>
      <c r="I3244" s="77"/>
      <c r="J3244" s="78"/>
      <c r="K3244" s="79"/>
      <c r="L3244" s="80" t="str">
        <f aca="false">IF(AND(J3244&lt;&gt;"",K3244&lt;&gt;""),J3244*K3244,"")</f>
        <v/>
      </c>
      <c r="M3244" s="81" t="str">
        <f aca="false">IF(L3244&lt;&gt;"",L3244*1.1,"")</f>
        <v/>
      </c>
      <c r="N3244" s="53" t="n">
        <f aca="false">IF(F3244="S",L3244*0.02,0)</f>
        <v>0</v>
      </c>
      <c r="O3244" s="82" t="str">
        <f aca="false">IF(L3244&lt;&gt;"",L3244+N3244,"")</f>
        <v/>
      </c>
      <c r="P3244" s="53" t="str">
        <f aca="false">IF(O3244&lt;&gt;"",O3244*0.1,"")</f>
        <v/>
      </c>
      <c r="Q3244" s="83" t="str">
        <f aca="false">IF(O3244&lt;&gt;"",O3244+P3244,"")</f>
        <v/>
      </c>
      <c r="R3244" s="84"/>
    </row>
    <row r="3245" customFormat="false" ht="15" hidden="false" customHeight="true" outlineLevel="0" collapsed="false">
      <c r="A3245" s="103"/>
      <c r="B3245" s="85"/>
      <c r="C3245" s="86"/>
      <c r="D3245" s="87"/>
      <c r="E3245" s="46" t="str">
        <f aca="false">IF(D3245&lt;&gt;"",IFERROR(VLOOKUP(D3245,PROVEEDORES!$A:$B,2,0),"!COD NO ENCONTRADO"),"")</f>
        <v/>
      </c>
      <c r="F3245" s="88" t="str">
        <f aca="false">IF(D3245&lt;&gt;"",IFERROR(VLOOKUP(D3245,PROVEEDORES!$A:$C,3,0),""),"")</f>
        <v/>
      </c>
      <c r="G3245" s="87"/>
      <c r="H3245" s="46" t="str">
        <f aca="false">IF(G3245&lt;&gt;"",IFERROR(VLOOKUP(G3245,PRODUCTOS!$A:$B,2,0),"!COD NO ENCONTRADO"),"")</f>
        <v/>
      </c>
      <c r="I3245" s="89"/>
      <c r="J3245" s="90"/>
      <c r="K3245" s="91"/>
      <c r="L3245" s="80" t="str">
        <f aca="false">IF(AND(J3245&lt;&gt;"",K3245&lt;&gt;""),J3245*K3245,"")</f>
        <v/>
      </c>
      <c r="M3245" s="81" t="str">
        <f aca="false">IF(L3245&lt;&gt;"",L3245*1.1,"")</f>
        <v/>
      </c>
      <c r="N3245" s="47" t="n">
        <f aca="false">IF(F3245="S",L3245*0.02,0)</f>
        <v>0</v>
      </c>
      <c r="O3245" s="82" t="str">
        <f aca="false">IF(L3245&lt;&gt;"",L3245+N3245,"")</f>
        <v/>
      </c>
      <c r="P3245" s="47" t="str">
        <f aca="false">IF(O3245&lt;&gt;"",O3245*0.1,"")</f>
        <v/>
      </c>
      <c r="Q3245" s="83" t="str">
        <f aca="false">IF(O3245&lt;&gt;"",O3245+P3245,"")</f>
        <v/>
      </c>
      <c r="R3245" s="84"/>
    </row>
    <row r="3246" customFormat="false" ht="15" hidden="false" customHeight="true" outlineLevel="0" collapsed="false">
      <c r="A3246" s="103"/>
      <c r="B3246" s="73"/>
      <c r="C3246" s="74"/>
      <c r="D3246" s="75"/>
      <c r="E3246" s="52" t="str">
        <f aca="false">IF(D3246&lt;&gt;"",IFERROR(VLOOKUP(D3246,PROVEEDORES!$A:$B,2,0),"!COD NO ENCONTRADO"),"")</f>
        <v/>
      </c>
      <c r="F3246" s="76" t="str">
        <f aca="false">IF(D3246&lt;&gt;"",IFERROR(VLOOKUP(D3246,PROVEEDORES!$A:$C,3,0),""),"")</f>
        <v/>
      </c>
      <c r="G3246" s="75"/>
      <c r="H3246" s="52" t="str">
        <f aca="false">IF(G3246&lt;&gt;"",IFERROR(VLOOKUP(G3246,PRODUCTOS!$A:$B,2,0),"!COD NO ENCONTRADO"),"")</f>
        <v/>
      </c>
      <c r="I3246" s="77"/>
      <c r="J3246" s="78"/>
      <c r="K3246" s="79"/>
      <c r="L3246" s="80" t="str">
        <f aca="false">IF(AND(J3246&lt;&gt;"",K3246&lt;&gt;""),J3246*K3246,"")</f>
        <v/>
      </c>
      <c r="M3246" s="81" t="str">
        <f aca="false">IF(L3246&lt;&gt;"",L3246*1.1,"")</f>
        <v/>
      </c>
      <c r="N3246" s="53" t="n">
        <f aca="false">IF(F3246="S",L3246*0.02,0)</f>
        <v>0</v>
      </c>
      <c r="O3246" s="82" t="str">
        <f aca="false">IF(L3246&lt;&gt;"",L3246+N3246,"")</f>
        <v/>
      </c>
      <c r="P3246" s="53" t="str">
        <f aca="false">IF(O3246&lt;&gt;"",O3246*0.1,"")</f>
        <v/>
      </c>
      <c r="Q3246" s="83" t="str">
        <f aca="false">IF(O3246&lt;&gt;"",O3246+P3246,"")</f>
        <v/>
      </c>
      <c r="R3246" s="84"/>
    </row>
    <row r="3247" customFormat="false" ht="15" hidden="false" customHeight="true" outlineLevel="0" collapsed="false">
      <c r="A3247" s="103"/>
      <c r="B3247" s="85"/>
      <c r="C3247" s="86"/>
      <c r="D3247" s="87"/>
      <c r="E3247" s="46" t="str">
        <f aca="false">IF(D3247&lt;&gt;"",IFERROR(VLOOKUP(D3247,PROVEEDORES!$A:$B,2,0),"!COD NO ENCONTRADO"),"")</f>
        <v/>
      </c>
      <c r="F3247" s="88" t="str">
        <f aca="false">IF(D3247&lt;&gt;"",IFERROR(VLOOKUP(D3247,PROVEEDORES!$A:$C,3,0),""),"")</f>
        <v/>
      </c>
      <c r="G3247" s="87"/>
      <c r="H3247" s="46" t="str">
        <f aca="false">IF(G3247&lt;&gt;"",IFERROR(VLOOKUP(G3247,PRODUCTOS!$A:$B,2,0),"!COD NO ENCONTRADO"),"")</f>
        <v/>
      </c>
      <c r="I3247" s="89"/>
      <c r="J3247" s="90"/>
      <c r="K3247" s="91"/>
      <c r="L3247" s="80" t="str">
        <f aca="false">IF(AND(J3247&lt;&gt;"",K3247&lt;&gt;""),J3247*K3247,"")</f>
        <v/>
      </c>
      <c r="M3247" s="81" t="str">
        <f aca="false">IF(L3247&lt;&gt;"",L3247*1.1,"")</f>
        <v/>
      </c>
      <c r="N3247" s="47" t="n">
        <f aca="false">IF(F3247="S",L3247*0.02,0)</f>
        <v>0</v>
      </c>
      <c r="O3247" s="82" t="str">
        <f aca="false">IF(L3247&lt;&gt;"",L3247+N3247,"")</f>
        <v/>
      </c>
      <c r="P3247" s="47" t="str">
        <f aca="false">IF(O3247&lt;&gt;"",O3247*0.1,"")</f>
        <v/>
      </c>
      <c r="Q3247" s="83" t="str">
        <f aca="false">IF(O3247&lt;&gt;"",O3247+P3247,"")</f>
        <v/>
      </c>
      <c r="R3247" s="84"/>
    </row>
    <row r="3248" customFormat="false" ht="15" hidden="false" customHeight="true" outlineLevel="0" collapsed="false">
      <c r="A3248" s="103"/>
      <c r="B3248" s="73"/>
      <c r="C3248" s="74"/>
      <c r="D3248" s="75"/>
      <c r="E3248" s="52" t="str">
        <f aca="false">IF(D3248&lt;&gt;"",IFERROR(VLOOKUP(D3248,PROVEEDORES!$A:$B,2,0),"!COD NO ENCONTRADO"),"")</f>
        <v/>
      </c>
      <c r="F3248" s="76" t="str">
        <f aca="false">IF(D3248&lt;&gt;"",IFERROR(VLOOKUP(D3248,PROVEEDORES!$A:$C,3,0),""),"")</f>
        <v/>
      </c>
      <c r="G3248" s="75"/>
      <c r="H3248" s="52" t="str">
        <f aca="false">IF(G3248&lt;&gt;"",IFERROR(VLOOKUP(G3248,PRODUCTOS!$A:$B,2,0),"!COD NO ENCONTRADO"),"")</f>
        <v/>
      </c>
      <c r="I3248" s="77"/>
      <c r="J3248" s="78"/>
      <c r="K3248" s="79"/>
      <c r="L3248" s="80" t="str">
        <f aca="false">IF(AND(J3248&lt;&gt;"",K3248&lt;&gt;""),J3248*K3248,"")</f>
        <v/>
      </c>
      <c r="M3248" s="81" t="str">
        <f aca="false">IF(L3248&lt;&gt;"",L3248*1.1,"")</f>
        <v/>
      </c>
      <c r="N3248" s="53" t="n">
        <f aca="false">IF(F3248="S",L3248*0.02,0)</f>
        <v>0</v>
      </c>
      <c r="O3248" s="82" t="str">
        <f aca="false">IF(L3248&lt;&gt;"",L3248+N3248,"")</f>
        <v/>
      </c>
      <c r="P3248" s="53" t="str">
        <f aca="false">IF(O3248&lt;&gt;"",O3248*0.1,"")</f>
        <v/>
      </c>
      <c r="Q3248" s="83" t="str">
        <f aca="false">IF(O3248&lt;&gt;"",O3248+P3248,"")</f>
        <v/>
      </c>
      <c r="R3248" s="84"/>
    </row>
    <row r="3249" customFormat="false" ht="15" hidden="false" customHeight="true" outlineLevel="0" collapsed="false">
      <c r="A3249" s="103"/>
      <c r="B3249" s="85"/>
      <c r="C3249" s="86"/>
      <c r="D3249" s="87"/>
      <c r="E3249" s="46" t="str">
        <f aca="false">IF(D3249&lt;&gt;"",IFERROR(VLOOKUP(D3249,PROVEEDORES!$A:$B,2,0),"!COD NO ENCONTRADO"),"")</f>
        <v/>
      </c>
      <c r="F3249" s="88" t="str">
        <f aca="false">IF(D3249&lt;&gt;"",IFERROR(VLOOKUP(D3249,PROVEEDORES!$A:$C,3,0),""),"")</f>
        <v/>
      </c>
      <c r="G3249" s="87"/>
      <c r="H3249" s="46" t="str">
        <f aca="false">IF(G3249&lt;&gt;"",IFERROR(VLOOKUP(G3249,PRODUCTOS!$A:$B,2,0),"!COD NO ENCONTRADO"),"")</f>
        <v/>
      </c>
      <c r="I3249" s="89"/>
      <c r="J3249" s="90"/>
      <c r="K3249" s="91"/>
      <c r="L3249" s="80" t="str">
        <f aca="false">IF(AND(J3249&lt;&gt;"",K3249&lt;&gt;""),J3249*K3249,"")</f>
        <v/>
      </c>
      <c r="M3249" s="81" t="str">
        <f aca="false">IF(L3249&lt;&gt;"",L3249*1.1,"")</f>
        <v/>
      </c>
      <c r="N3249" s="47" t="n">
        <f aca="false">IF(F3249="S",L3249*0.02,0)</f>
        <v>0</v>
      </c>
      <c r="O3249" s="82" t="str">
        <f aca="false">IF(L3249&lt;&gt;"",L3249+N3249,"")</f>
        <v/>
      </c>
      <c r="P3249" s="47" t="str">
        <f aca="false">IF(O3249&lt;&gt;"",O3249*0.1,"")</f>
        <v/>
      </c>
      <c r="Q3249" s="83" t="str">
        <f aca="false">IF(O3249&lt;&gt;"",O3249+P3249,"")</f>
        <v/>
      </c>
      <c r="R3249" s="84"/>
    </row>
    <row r="3250" customFormat="false" ht="15" hidden="false" customHeight="true" outlineLevel="0" collapsed="false">
      <c r="A3250" s="103"/>
      <c r="B3250" s="73"/>
      <c r="C3250" s="74"/>
      <c r="D3250" s="75"/>
      <c r="E3250" s="52" t="str">
        <f aca="false">IF(D3250&lt;&gt;"",IFERROR(VLOOKUP(D3250,PROVEEDORES!$A:$B,2,0),"!COD NO ENCONTRADO"),"")</f>
        <v/>
      </c>
      <c r="F3250" s="76" t="str">
        <f aca="false">IF(D3250&lt;&gt;"",IFERROR(VLOOKUP(D3250,PROVEEDORES!$A:$C,3,0),""),"")</f>
        <v/>
      </c>
      <c r="G3250" s="75"/>
      <c r="H3250" s="52" t="str">
        <f aca="false">IF(G3250&lt;&gt;"",IFERROR(VLOOKUP(G3250,PRODUCTOS!$A:$B,2,0),"!COD NO ENCONTRADO"),"")</f>
        <v/>
      </c>
      <c r="I3250" s="77"/>
      <c r="J3250" s="78"/>
      <c r="K3250" s="79"/>
      <c r="L3250" s="80" t="str">
        <f aca="false">IF(AND(J3250&lt;&gt;"",K3250&lt;&gt;""),J3250*K3250,"")</f>
        <v/>
      </c>
      <c r="M3250" s="81" t="str">
        <f aca="false">IF(L3250&lt;&gt;"",L3250*1.1,"")</f>
        <v/>
      </c>
      <c r="N3250" s="53" t="n">
        <f aca="false">IF(F3250="S",L3250*0.02,0)</f>
        <v>0</v>
      </c>
      <c r="O3250" s="82" t="str">
        <f aca="false">IF(L3250&lt;&gt;"",L3250+N3250,"")</f>
        <v/>
      </c>
      <c r="P3250" s="53" t="str">
        <f aca="false">IF(O3250&lt;&gt;"",O3250*0.1,"")</f>
        <v/>
      </c>
      <c r="Q3250" s="83" t="str">
        <f aca="false">IF(O3250&lt;&gt;"",O3250+P3250,"")</f>
        <v/>
      </c>
      <c r="R3250" s="84"/>
    </row>
    <row r="3251" customFormat="false" ht="15" hidden="false" customHeight="true" outlineLevel="0" collapsed="false">
      <c r="A3251" s="103"/>
      <c r="B3251" s="85"/>
      <c r="C3251" s="86"/>
      <c r="D3251" s="87"/>
      <c r="E3251" s="46" t="str">
        <f aca="false">IF(D3251&lt;&gt;"",IFERROR(VLOOKUP(D3251,PROVEEDORES!$A:$B,2,0),"!COD NO ENCONTRADO"),"")</f>
        <v/>
      </c>
      <c r="F3251" s="88" t="str">
        <f aca="false">IF(D3251&lt;&gt;"",IFERROR(VLOOKUP(D3251,PROVEEDORES!$A:$C,3,0),""),"")</f>
        <v/>
      </c>
      <c r="G3251" s="87"/>
      <c r="H3251" s="46" t="str">
        <f aca="false">IF(G3251&lt;&gt;"",IFERROR(VLOOKUP(G3251,PRODUCTOS!$A:$B,2,0),"!COD NO ENCONTRADO"),"")</f>
        <v/>
      </c>
      <c r="I3251" s="89"/>
      <c r="J3251" s="90"/>
      <c r="K3251" s="91"/>
      <c r="L3251" s="80" t="str">
        <f aca="false">IF(AND(J3251&lt;&gt;"",K3251&lt;&gt;""),J3251*K3251,"")</f>
        <v/>
      </c>
      <c r="M3251" s="81" t="str">
        <f aca="false">IF(L3251&lt;&gt;"",L3251*1.1,"")</f>
        <v/>
      </c>
      <c r="N3251" s="47" t="n">
        <f aca="false">IF(F3251="S",L3251*0.02,0)</f>
        <v>0</v>
      </c>
      <c r="O3251" s="82" t="str">
        <f aca="false">IF(L3251&lt;&gt;"",L3251+N3251,"")</f>
        <v/>
      </c>
      <c r="P3251" s="47" t="str">
        <f aca="false">IF(O3251&lt;&gt;"",O3251*0.1,"")</f>
        <v/>
      </c>
      <c r="Q3251" s="83" t="str">
        <f aca="false">IF(O3251&lt;&gt;"",O3251+P3251,"")</f>
        <v/>
      </c>
      <c r="R3251" s="84"/>
    </row>
    <row r="3252" customFormat="false" ht="15" hidden="false" customHeight="true" outlineLevel="0" collapsed="false">
      <c r="A3252" s="103"/>
      <c r="B3252" s="73"/>
      <c r="C3252" s="74"/>
      <c r="D3252" s="75"/>
      <c r="E3252" s="52" t="str">
        <f aca="false">IF(D3252&lt;&gt;"",IFERROR(VLOOKUP(D3252,PROVEEDORES!$A:$B,2,0),"!COD NO ENCONTRADO"),"")</f>
        <v/>
      </c>
      <c r="F3252" s="76" t="str">
        <f aca="false">IF(D3252&lt;&gt;"",IFERROR(VLOOKUP(D3252,PROVEEDORES!$A:$C,3,0),""),"")</f>
        <v/>
      </c>
      <c r="G3252" s="75"/>
      <c r="H3252" s="52" t="str">
        <f aca="false">IF(G3252&lt;&gt;"",IFERROR(VLOOKUP(G3252,PRODUCTOS!$A:$B,2,0),"!COD NO ENCONTRADO"),"")</f>
        <v/>
      </c>
      <c r="I3252" s="77"/>
      <c r="J3252" s="78"/>
      <c r="K3252" s="79"/>
      <c r="L3252" s="80" t="str">
        <f aca="false">IF(AND(J3252&lt;&gt;"",K3252&lt;&gt;""),J3252*K3252,"")</f>
        <v/>
      </c>
      <c r="M3252" s="81" t="str">
        <f aca="false">IF(L3252&lt;&gt;"",L3252*1.1,"")</f>
        <v/>
      </c>
      <c r="N3252" s="53" t="n">
        <f aca="false">IF(F3252="S",L3252*0.02,0)</f>
        <v>0</v>
      </c>
      <c r="O3252" s="82" t="str">
        <f aca="false">IF(L3252&lt;&gt;"",L3252+N3252,"")</f>
        <v/>
      </c>
      <c r="P3252" s="53" t="str">
        <f aca="false">IF(O3252&lt;&gt;"",O3252*0.1,"")</f>
        <v/>
      </c>
      <c r="Q3252" s="83" t="str">
        <f aca="false">IF(O3252&lt;&gt;"",O3252+P3252,"")</f>
        <v/>
      </c>
      <c r="R3252" s="84"/>
    </row>
    <row r="3253" customFormat="false" ht="15" hidden="false" customHeight="true" outlineLevel="0" collapsed="false">
      <c r="A3253" s="103"/>
      <c r="B3253" s="85"/>
      <c r="C3253" s="86"/>
      <c r="D3253" s="87"/>
      <c r="E3253" s="46" t="str">
        <f aca="false">IF(D3253&lt;&gt;"",IFERROR(VLOOKUP(D3253,PROVEEDORES!$A:$B,2,0),"!COD NO ENCONTRADO"),"")</f>
        <v/>
      </c>
      <c r="F3253" s="88" t="str">
        <f aca="false">IF(D3253&lt;&gt;"",IFERROR(VLOOKUP(D3253,PROVEEDORES!$A:$C,3,0),""),"")</f>
        <v/>
      </c>
      <c r="G3253" s="87"/>
      <c r="H3253" s="46" t="str">
        <f aca="false">IF(G3253&lt;&gt;"",IFERROR(VLOOKUP(G3253,PRODUCTOS!$A:$B,2,0),"!COD NO ENCONTRADO"),"")</f>
        <v/>
      </c>
      <c r="I3253" s="89"/>
      <c r="J3253" s="90"/>
      <c r="K3253" s="91"/>
      <c r="L3253" s="80" t="str">
        <f aca="false">IF(AND(J3253&lt;&gt;"",K3253&lt;&gt;""),J3253*K3253,"")</f>
        <v/>
      </c>
      <c r="M3253" s="81" t="str">
        <f aca="false">IF(L3253&lt;&gt;"",L3253*1.1,"")</f>
        <v/>
      </c>
      <c r="N3253" s="47" t="n">
        <f aca="false">IF(F3253="S",L3253*0.02,0)</f>
        <v>0</v>
      </c>
      <c r="O3253" s="82" t="str">
        <f aca="false">IF(L3253&lt;&gt;"",L3253+N3253,"")</f>
        <v/>
      </c>
      <c r="P3253" s="47" t="str">
        <f aca="false">IF(O3253&lt;&gt;"",O3253*0.1,"")</f>
        <v/>
      </c>
      <c r="Q3253" s="83" t="str">
        <f aca="false">IF(O3253&lt;&gt;"",O3253+P3253,"")</f>
        <v/>
      </c>
      <c r="R3253" s="84"/>
    </row>
    <row r="3254" customFormat="false" ht="15" hidden="false" customHeight="true" outlineLevel="0" collapsed="false">
      <c r="A3254" s="103"/>
      <c r="B3254" s="73"/>
      <c r="C3254" s="74"/>
      <c r="D3254" s="75"/>
      <c r="E3254" s="52" t="str">
        <f aca="false">IF(D3254&lt;&gt;"",IFERROR(VLOOKUP(D3254,PROVEEDORES!$A:$B,2,0),"!COD NO ENCONTRADO"),"")</f>
        <v/>
      </c>
      <c r="F3254" s="76" t="str">
        <f aca="false">IF(D3254&lt;&gt;"",IFERROR(VLOOKUP(D3254,PROVEEDORES!$A:$C,3,0),""),"")</f>
        <v/>
      </c>
      <c r="G3254" s="75"/>
      <c r="H3254" s="52" t="str">
        <f aca="false">IF(G3254&lt;&gt;"",IFERROR(VLOOKUP(G3254,PRODUCTOS!$A:$B,2,0),"!COD NO ENCONTRADO"),"")</f>
        <v/>
      </c>
      <c r="I3254" s="77"/>
      <c r="J3254" s="78"/>
      <c r="K3254" s="79"/>
      <c r="L3254" s="80" t="str">
        <f aca="false">IF(AND(J3254&lt;&gt;"",K3254&lt;&gt;""),J3254*K3254,"")</f>
        <v/>
      </c>
      <c r="M3254" s="81" t="str">
        <f aca="false">IF(L3254&lt;&gt;"",L3254*1.1,"")</f>
        <v/>
      </c>
      <c r="N3254" s="53" t="n">
        <f aca="false">IF(F3254="S",L3254*0.02,0)</f>
        <v>0</v>
      </c>
      <c r="O3254" s="82" t="str">
        <f aca="false">IF(L3254&lt;&gt;"",L3254+N3254,"")</f>
        <v/>
      </c>
      <c r="P3254" s="53" t="str">
        <f aca="false">IF(O3254&lt;&gt;"",O3254*0.1,"")</f>
        <v/>
      </c>
      <c r="Q3254" s="83" t="str">
        <f aca="false">IF(O3254&lt;&gt;"",O3254+P3254,"")</f>
        <v/>
      </c>
      <c r="R3254" s="84"/>
    </row>
    <row r="3255" customFormat="false" ht="15" hidden="false" customHeight="true" outlineLevel="0" collapsed="false">
      <c r="A3255" s="103"/>
      <c r="B3255" s="85"/>
      <c r="C3255" s="86"/>
      <c r="D3255" s="87"/>
      <c r="E3255" s="46" t="str">
        <f aca="false">IF(D3255&lt;&gt;"",IFERROR(VLOOKUP(D3255,PROVEEDORES!$A:$B,2,0),"!COD NO ENCONTRADO"),"")</f>
        <v/>
      </c>
      <c r="F3255" s="88" t="str">
        <f aca="false">IF(D3255&lt;&gt;"",IFERROR(VLOOKUP(D3255,PROVEEDORES!$A:$C,3,0),""),"")</f>
        <v/>
      </c>
      <c r="G3255" s="87"/>
      <c r="H3255" s="46" t="str">
        <f aca="false">IF(G3255&lt;&gt;"",IFERROR(VLOOKUP(G3255,PRODUCTOS!$A:$B,2,0),"!COD NO ENCONTRADO"),"")</f>
        <v/>
      </c>
      <c r="I3255" s="89"/>
      <c r="J3255" s="90"/>
      <c r="K3255" s="91"/>
      <c r="L3255" s="80" t="str">
        <f aca="false">IF(AND(J3255&lt;&gt;"",K3255&lt;&gt;""),J3255*K3255,"")</f>
        <v/>
      </c>
      <c r="M3255" s="81" t="str">
        <f aca="false">IF(L3255&lt;&gt;"",L3255*1.1,"")</f>
        <v/>
      </c>
      <c r="N3255" s="47" t="n">
        <f aca="false">IF(F3255="S",L3255*0.02,0)</f>
        <v>0</v>
      </c>
      <c r="O3255" s="82" t="str">
        <f aca="false">IF(L3255&lt;&gt;"",L3255+N3255,"")</f>
        <v/>
      </c>
      <c r="P3255" s="47" t="str">
        <f aca="false">IF(O3255&lt;&gt;"",O3255*0.1,"")</f>
        <v/>
      </c>
      <c r="Q3255" s="83" t="str">
        <f aca="false">IF(O3255&lt;&gt;"",O3255+P3255,"")</f>
        <v/>
      </c>
      <c r="R3255" s="84"/>
    </row>
    <row r="3256" customFormat="false" ht="15" hidden="false" customHeight="true" outlineLevel="0" collapsed="false">
      <c r="A3256" s="103"/>
      <c r="B3256" s="73"/>
      <c r="C3256" s="74"/>
      <c r="D3256" s="75"/>
      <c r="E3256" s="52" t="str">
        <f aca="false">IF(D3256&lt;&gt;"",IFERROR(VLOOKUP(D3256,PROVEEDORES!$A:$B,2,0),"!COD NO ENCONTRADO"),"")</f>
        <v/>
      </c>
      <c r="F3256" s="76" t="str">
        <f aca="false">IF(D3256&lt;&gt;"",IFERROR(VLOOKUP(D3256,PROVEEDORES!$A:$C,3,0),""),"")</f>
        <v/>
      </c>
      <c r="G3256" s="75"/>
      <c r="H3256" s="52" t="str">
        <f aca="false">IF(G3256&lt;&gt;"",IFERROR(VLOOKUP(G3256,PRODUCTOS!$A:$B,2,0),"!COD NO ENCONTRADO"),"")</f>
        <v/>
      </c>
      <c r="I3256" s="77"/>
      <c r="J3256" s="78"/>
      <c r="K3256" s="79"/>
      <c r="L3256" s="80" t="str">
        <f aca="false">IF(AND(J3256&lt;&gt;"",K3256&lt;&gt;""),J3256*K3256,"")</f>
        <v/>
      </c>
      <c r="M3256" s="81" t="str">
        <f aca="false">IF(L3256&lt;&gt;"",L3256*1.1,"")</f>
        <v/>
      </c>
      <c r="N3256" s="53" t="n">
        <f aca="false">IF(F3256="S",L3256*0.02,0)</f>
        <v>0</v>
      </c>
      <c r="O3256" s="82" t="str">
        <f aca="false">IF(L3256&lt;&gt;"",L3256+N3256,"")</f>
        <v/>
      </c>
      <c r="P3256" s="53" t="str">
        <f aca="false">IF(O3256&lt;&gt;"",O3256*0.1,"")</f>
        <v/>
      </c>
      <c r="Q3256" s="83" t="str">
        <f aca="false">IF(O3256&lt;&gt;"",O3256+P3256,"")</f>
        <v/>
      </c>
      <c r="R3256" s="84"/>
    </row>
    <row r="3257" customFormat="false" ht="15" hidden="false" customHeight="true" outlineLevel="0" collapsed="false">
      <c r="A3257" s="103"/>
      <c r="B3257" s="85"/>
      <c r="C3257" s="86"/>
      <c r="D3257" s="87"/>
      <c r="E3257" s="46" t="str">
        <f aca="false">IF(D3257&lt;&gt;"",IFERROR(VLOOKUP(D3257,PROVEEDORES!$A:$B,2,0),"!COD NO ENCONTRADO"),"")</f>
        <v/>
      </c>
      <c r="F3257" s="88" t="str">
        <f aca="false">IF(D3257&lt;&gt;"",IFERROR(VLOOKUP(D3257,PROVEEDORES!$A:$C,3,0),""),"")</f>
        <v/>
      </c>
      <c r="G3257" s="87"/>
      <c r="H3257" s="46" t="str">
        <f aca="false">IF(G3257&lt;&gt;"",IFERROR(VLOOKUP(G3257,PRODUCTOS!$A:$B,2,0),"!COD NO ENCONTRADO"),"")</f>
        <v/>
      </c>
      <c r="I3257" s="89"/>
      <c r="J3257" s="90"/>
      <c r="K3257" s="91"/>
      <c r="L3257" s="80" t="str">
        <f aca="false">IF(AND(J3257&lt;&gt;"",K3257&lt;&gt;""),J3257*K3257,"")</f>
        <v/>
      </c>
      <c r="M3257" s="81" t="str">
        <f aca="false">IF(L3257&lt;&gt;"",L3257*1.1,"")</f>
        <v/>
      </c>
      <c r="N3257" s="47" t="n">
        <f aca="false">IF(F3257="S",L3257*0.02,0)</f>
        <v>0</v>
      </c>
      <c r="O3257" s="82" t="str">
        <f aca="false">IF(L3257&lt;&gt;"",L3257+N3257,"")</f>
        <v/>
      </c>
      <c r="P3257" s="47" t="str">
        <f aca="false">IF(O3257&lt;&gt;"",O3257*0.1,"")</f>
        <v/>
      </c>
      <c r="Q3257" s="83" t="str">
        <f aca="false">IF(O3257&lt;&gt;"",O3257+P3257,"")</f>
        <v/>
      </c>
      <c r="R3257" s="84"/>
    </row>
    <row r="3258" customFormat="false" ht="15" hidden="false" customHeight="true" outlineLevel="0" collapsed="false">
      <c r="A3258" s="103"/>
      <c r="B3258" s="73"/>
      <c r="C3258" s="74"/>
      <c r="D3258" s="75"/>
      <c r="E3258" s="52" t="str">
        <f aca="false">IF(D3258&lt;&gt;"",IFERROR(VLOOKUP(D3258,PROVEEDORES!$A:$B,2,0),"!COD NO ENCONTRADO"),"")</f>
        <v/>
      </c>
      <c r="F3258" s="76" t="str">
        <f aca="false">IF(D3258&lt;&gt;"",IFERROR(VLOOKUP(D3258,PROVEEDORES!$A:$C,3,0),""),"")</f>
        <v/>
      </c>
      <c r="G3258" s="75"/>
      <c r="H3258" s="52" t="str">
        <f aca="false">IF(G3258&lt;&gt;"",IFERROR(VLOOKUP(G3258,PRODUCTOS!$A:$B,2,0),"!COD NO ENCONTRADO"),"")</f>
        <v/>
      </c>
      <c r="I3258" s="77"/>
      <c r="J3258" s="78"/>
      <c r="K3258" s="79"/>
      <c r="L3258" s="80" t="str">
        <f aca="false">IF(AND(J3258&lt;&gt;"",K3258&lt;&gt;""),J3258*K3258,"")</f>
        <v/>
      </c>
      <c r="M3258" s="81" t="str">
        <f aca="false">IF(L3258&lt;&gt;"",L3258*1.1,"")</f>
        <v/>
      </c>
      <c r="N3258" s="53" t="n">
        <f aca="false">IF(F3258="S",L3258*0.02,0)</f>
        <v>0</v>
      </c>
      <c r="O3258" s="82" t="str">
        <f aca="false">IF(L3258&lt;&gt;"",L3258+N3258,"")</f>
        <v/>
      </c>
      <c r="P3258" s="53" t="str">
        <f aca="false">IF(O3258&lt;&gt;"",O3258*0.1,"")</f>
        <v/>
      </c>
      <c r="Q3258" s="83" t="str">
        <f aca="false">IF(O3258&lt;&gt;"",O3258+P3258,"")</f>
        <v/>
      </c>
      <c r="R3258" s="84"/>
    </row>
    <row r="3259" customFormat="false" ht="15" hidden="false" customHeight="true" outlineLevel="0" collapsed="false">
      <c r="A3259" s="103"/>
      <c r="B3259" s="85"/>
      <c r="C3259" s="86"/>
      <c r="D3259" s="87"/>
      <c r="E3259" s="46" t="str">
        <f aca="false">IF(D3259&lt;&gt;"",IFERROR(VLOOKUP(D3259,PROVEEDORES!$A:$B,2,0),"!COD NO ENCONTRADO"),"")</f>
        <v/>
      </c>
      <c r="F3259" s="88" t="str">
        <f aca="false">IF(D3259&lt;&gt;"",IFERROR(VLOOKUP(D3259,PROVEEDORES!$A:$C,3,0),""),"")</f>
        <v/>
      </c>
      <c r="G3259" s="87"/>
      <c r="H3259" s="46" t="str">
        <f aca="false">IF(G3259&lt;&gt;"",IFERROR(VLOOKUP(G3259,PRODUCTOS!$A:$B,2,0),"!COD NO ENCONTRADO"),"")</f>
        <v/>
      </c>
      <c r="I3259" s="89"/>
      <c r="J3259" s="90"/>
      <c r="K3259" s="91"/>
      <c r="L3259" s="80" t="str">
        <f aca="false">IF(AND(J3259&lt;&gt;"",K3259&lt;&gt;""),J3259*K3259,"")</f>
        <v/>
      </c>
      <c r="M3259" s="81" t="str">
        <f aca="false">IF(L3259&lt;&gt;"",L3259*1.1,"")</f>
        <v/>
      </c>
      <c r="N3259" s="47" t="n">
        <f aca="false">IF(F3259="S",L3259*0.02,0)</f>
        <v>0</v>
      </c>
      <c r="O3259" s="82" t="str">
        <f aca="false">IF(L3259&lt;&gt;"",L3259+N3259,"")</f>
        <v/>
      </c>
      <c r="P3259" s="47" t="str">
        <f aca="false">IF(O3259&lt;&gt;"",O3259*0.1,"")</f>
        <v/>
      </c>
      <c r="Q3259" s="83" t="str">
        <f aca="false">IF(O3259&lt;&gt;"",O3259+P3259,"")</f>
        <v/>
      </c>
      <c r="R3259" s="84"/>
    </row>
    <row r="3260" customFormat="false" ht="15" hidden="false" customHeight="true" outlineLevel="0" collapsed="false">
      <c r="A3260" s="103"/>
      <c r="B3260" s="73"/>
      <c r="C3260" s="74"/>
      <c r="D3260" s="75"/>
      <c r="E3260" s="52" t="str">
        <f aca="false">IF(D3260&lt;&gt;"",IFERROR(VLOOKUP(D3260,PROVEEDORES!$A:$B,2,0),"!COD NO ENCONTRADO"),"")</f>
        <v/>
      </c>
      <c r="F3260" s="76" t="str">
        <f aca="false">IF(D3260&lt;&gt;"",IFERROR(VLOOKUP(D3260,PROVEEDORES!$A:$C,3,0),""),"")</f>
        <v/>
      </c>
      <c r="G3260" s="75"/>
      <c r="H3260" s="52" t="str">
        <f aca="false">IF(G3260&lt;&gt;"",IFERROR(VLOOKUP(G3260,PRODUCTOS!$A:$B,2,0),"!COD NO ENCONTRADO"),"")</f>
        <v/>
      </c>
      <c r="I3260" s="77"/>
      <c r="J3260" s="78"/>
      <c r="K3260" s="79"/>
      <c r="L3260" s="80" t="str">
        <f aca="false">IF(AND(J3260&lt;&gt;"",K3260&lt;&gt;""),J3260*K3260,"")</f>
        <v/>
      </c>
      <c r="M3260" s="81" t="str">
        <f aca="false">IF(L3260&lt;&gt;"",L3260*1.1,"")</f>
        <v/>
      </c>
      <c r="N3260" s="53" t="n">
        <f aca="false">IF(F3260="S",L3260*0.02,0)</f>
        <v>0</v>
      </c>
      <c r="O3260" s="82" t="str">
        <f aca="false">IF(L3260&lt;&gt;"",L3260+N3260,"")</f>
        <v/>
      </c>
      <c r="P3260" s="53" t="str">
        <f aca="false">IF(O3260&lt;&gt;"",O3260*0.1,"")</f>
        <v/>
      </c>
      <c r="Q3260" s="83" t="str">
        <f aca="false">IF(O3260&lt;&gt;"",O3260+P3260,"")</f>
        <v/>
      </c>
      <c r="R3260" s="84"/>
    </row>
    <row r="3261" customFormat="false" ht="15" hidden="false" customHeight="true" outlineLevel="0" collapsed="false">
      <c r="A3261" s="103"/>
      <c r="B3261" s="85"/>
      <c r="C3261" s="86"/>
      <c r="D3261" s="87"/>
      <c r="E3261" s="46" t="str">
        <f aca="false">IF(D3261&lt;&gt;"",IFERROR(VLOOKUP(D3261,PROVEEDORES!$A:$B,2,0),"!COD NO ENCONTRADO"),"")</f>
        <v/>
      </c>
      <c r="F3261" s="88" t="str">
        <f aca="false">IF(D3261&lt;&gt;"",IFERROR(VLOOKUP(D3261,PROVEEDORES!$A:$C,3,0),""),"")</f>
        <v/>
      </c>
      <c r="G3261" s="87"/>
      <c r="H3261" s="46" t="str">
        <f aca="false">IF(G3261&lt;&gt;"",IFERROR(VLOOKUP(G3261,PRODUCTOS!$A:$B,2,0),"!COD NO ENCONTRADO"),"")</f>
        <v/>
      </c>
      <c r="I3261" s="89"/>
      <c r="J3261" s="90"/>
      <c r="K3261" s="91"/>
      <c r="L3261" s="80" t="str">
        <f aca="false">IF(AND(J3261&lt;&gt;"",K3261&lt;&gt;""),J3261*K3261,"")</f>
        <v/>
      </c>
      <c r="M3261" s="81" t="str">
        <f aca="false">IF(L3261&lt;&gt;"",L3261*1.1,"")</f>
        <v/>
      </c>
      <c r="N3261" s="47" t="n">
        <f aca="false">IF(F3261="S",L3261*0.02,0)</f>
        <v>0</v>
      </c>
      <c r="O3261" s="82" t="str">
        <f aca="false">IF(L3261&lt;&gt;"",L3261+N3261,"")</f>
        <v/>
      </c>
      <c r="P3261" s="47" t="str">
        <f aca="false">IF(O3261&lt;&gt;"",O3261*0.1,"")</f>
        <v/>
      </c>
      <c r="Q3261" s="83" t="str">
        <f aca="false">IF(O3261&lt;&gt;"",O3261+P3261,"")</f>
        <v/>
      </c>
      <c r="R3261" s="84"/>
    </row>
    <row r="3262" customFormat="false" ht="15" hidden="false" customHeight="true" outlineLevel="0" collapsed="false">
      <c r="A3262" s="103"/>
      <c r="B3262" s="73"/>
      <c r="C3262" s="74"/>
      <c r="D3262" s="75"/>
      <c r="E3262" s="52" t="str">
        <f aca="false">IF(D3262&lt;&gt;"",IFERROR(VLOOKUP(D3262,PROVEEDORES!$A:$B,2,0),"!COD NO ENCONTRADO"),"")</f>
        <v/>
      </c>
      <c r="F3262" s="76" t="str">
        <f aca="false">IF(D3262&lt;&gt;"",IFERROR(VLOOKUP(D3262,PROVEEDORES!$A:$C,3,0),""),"")</f>
        <v/>
      </c>
      <c r="G3262" s="75"/>
      <c r="H3262" s="52" t="str">
        <f aca="false">IF(G3262&lt;&gt;"",IFERROR(VLOOKUP(G3262,PRODUCTOS!$A:$B,2,0),"!COD NO ENCONTRADO"),"")</f>
        <v/>
      </c>
      <c r="I3262" s="77"/>
      <c r="J3262" s="78"/>
      <c r="K3262" s="79"/>
      <c r="L3262" s="80" t="str">
        <f aca="false">IF(AND(J3262&lt;&gt;"",K3262&lt;&gt;""),J3262*K3262,"")</f>
        <v/>
      </c>
      <c r="M3262" s="81" t="str">
        <f aca="false">IF(L3262&lt;&gt;"",L3262*1.1,"")</f>
        <v/>
      </c>
      <c r="N3262" s="53" t="n">
        <f aca="false">IF(F3262="S",L3262*0.02,0)</f>
        <v>0</v>
      </c>
      <c r="O3262" s="82" t="str">
        <f aca="false">IF(L3262&lt;&gt;"",L3262+N3262,"")</f>
        <v/>
      </c>
      <c r="P3262" s="53" t="str">
        <f aca="false">IF(O3262&lt;&gt;"",O3262*0.1,"")</f>
        <v/>
      </c>
      <c r="Q3262" s="83" t="str">
        <f aca="false">IF(O3262&lt;&gt;"",O3262+P3262,"")</f>
        <v/>
      </c>
      <c r="R3262" s="84"/>
    </row>
    <row r="3263" customFormat="false" ht="15" hidden="false" customHeight="true" outlineLevel="0" collapsed="false">
      <c r="A3263" s="103"/>
      <c r="B3263" s="85"/>
      <c r="C3263" s="86"/>
      <c r="D3263" s="87"/>
      <c r="E3263" s="46" t="str">
        <f aca="false">IF(D3263&lt;&gt;"",IFERROR(VLOOKUP(D3263,PROVEEDORES!$A:$B,2,0),"!COD NO ENCONTRADO"),"")</f>
        <v/>
      </c>
      <c r="F3263" s="88" t="str">
        <f aca="false">IF(D3263&lt;&gt;"",IFERROR(VLOOKUP(D3263,PROVEEDORES!$A:$C,3,0),""),"")</f>
        <v/>
      </c>
      <c r="G3263" s="87"/>
      <c r="H3263" s="46" t="str">
        <f aca="false">IF(G3263&lt;&gt;"",IFERROR(VLOOKUP(G3263,PRODUCTOS!$A:$B,2,0),"!COD NO ENCONTRADO"),"")</f>
        <v/>
      </c>
      <c r="I3263" s="89"/>
      <c r="J3263" s="90"/>
      <c r="K3263" s="91"/>
      <c r="L3263" s="80" t="str">
        <f aca="false">IF(AND(J3263&lt;&gt;"",K3263&lt;&gt;""),J3263*K3263,"")</f>
        <v/>
      </c>
      <c r="M3263" s="81" t="str">
        <f aca="false">IF(L3263&lt;&gt;"",L3263*1.1,"")</f>
        <v/>
      </c>
      <c r="N3263" s="47" t="n">
        <f aca="false">IF(F3263="S",L3263*0.02,0)</f>
        <v>0</v>
      </c>
      <c r="O3263" s="82" t="str">
        <f aca="false">IF(L3263&lt;&gt;"",L3263+N3263,"")</f>
        <v/>
      </c>
      <c r="P3263" s="47" t="str">
        <f aca="false">IF(O3263&lt;&gt;"",O3263*0.1,"")</f>
        <v/>
      </c>
      <c r="Q3263" s="83" t="str">
        <f aca="false">IF(O3263&lt;&gt;"",O3263+P3263,"")</f>
        <v/>
      </c>
      <c r="R3263" s="84"/>
    </row>
    <row r="3264" customFormat="false" ht="15" hidden="false" customHeight="true" outlineLevel="0" collapsed="false">
      <c r="A3264" s="103"/>
      <c r="B3264" s="73"/>
      <c r="C3264" s="74"/>
      <c r="D3264" s="75"/>
      <c r="E3264" s="52" t="str">
        <f aca="false">IF(D3264&lt;&gt;"",IFERROR(VLOOKUP(D3264,PROVEEDORES!$A:$B,2,0),"!COD NO ENCONTRADO"),"")</f>
        <v/>
      </c>
      <c r="F3264" s="76" t="str">
        <f aca="false">IF(D3264&lt;&gt;"",IFERROR(VLOOKUP(D3264,PROVEEDORES!$A:$C,3,0),""),"")</f>
        <v/>
      </c>
      <c r="G3264" s="75"/>
      <c r="H3264" s="52" t="str">
        <f aca="false">IF(G3264&lt;&gt;"",IFERROR(VLOOKUP(G3264,PRODUCTOS!$A:$B,2,0),"!COD NO ENCONTRADO"),"")</f>
        <v/>
      </c>
      <c r="I3264" s="77"/>
      <c r="J3264" s="78"/>
      <c r="K3264" s="79"/>
      <c r="L3264" s="80" t="str">
        <f aca="false">IF(AND(J3264&lt;&gt;"",K3264&lt;&gt;""),J3264*K3264,"")</f>
        <v/>
      </c>
      <c r="M3264" s="81" t="str">
        <f aca="false">IF(L3264&lt;&gt;"",L3264*1.1,"")</f>
        <v/>
      </c>
      <c r="N3264" s="53" t="n">
        <f aca="false">IF(F3264="S",L3264*0.02,0)</f>
        <v>0</v>
      </c>
      <c r="O3264" s="82" t="str">
        <f aca="false">IF(L3264&lt;&gt;"",L3264+N3264,"")</f>
        <v/>
      </c>
      <c r="P3264" s="53" t="str">
        <f aca="false">IF(O3264&lt;&gt;"",O3264*0.1,"")</f>
        <v/>
      </c>
      <c r="Q3264" s="83" t="str">
        <f aca="false">IF(O3264&lt;&gt;"",O3264+P3264,"")</f>
        <v/>
      </c>
      <c r="R3264" s="84"/>
    </row>
    <row r="3265" customFormat="false" ht="15" hidden="false" customHeight="true" outlineLevel="0" collapsed="false">
      <c r="A3265" s="103"/>
      <c r="B3265" s="85"/>
      <c r="C3265" s="86"/>
      <c r="D3265" s="87"/>
      <c r="E3265" s="46" t="str">
        <f aca="false">IF(D3265&lt;&gt;"",IFERROR(VLOOKUP(D3265,PROVEEDORES!$A:$B,2,0),"!COD NO ENCONTRADO"),"")</f>
        <v/>
      </c>
      <c r="F3265" s="88" t="str">
        <f aca="false">IF(D3265&lt;&gt;"",IFERROR(VLOOKUP(D3265,PROVEEDORES!$A:$C,3,0),""),"")</f>
        <v/>
      </c>
      <c r="G3265" s="87"/>
      <c r="H3265" s="46" t="str">
        <f aca="false">IF(G3265&lt;&gt;"",IFERROR(VLOOKUP(G3265,PRODUCTOS!$A:$B,2,0),"!COD NO ENCONTRADO"),"")</f>
        <v/>
      </c>
      <c r="I3265" s="89"/>
      <c r="J3265" s="90"/>
      <c r="K3265" s="91"/>
      <c r="L3265" s="80" t="str">
        <f aca="false">IF(AND(J3265&lt;&gt;"",K3265&lt;&gt;""),J3265*K3265,"")</f>
        <v/>
      </c>
      <c r="M3265" s="81" t="str">
        <f aca="false">IF(L3265&lt;&gt;"",L3265*1.1,"")</f>
        <v/>
      </c>
      <c r="N3265" s="47" t="n">
        <f aca="false">IF(F3265="S",L3265*0.02,0)</f>
        <v>0</v>
      </c>
      <c r="O3265" s="82" t="str">
        <f aca="false">IF(L3265&lt;&gt;"",L3265+N3265,"")</f>
        <v/>
      </c>
      <c r="P3265" s="47" t="str">
        <f aca="false">IF(O3265&lt;&gt;"",O3265*0.1,"")</f>
        <v/>
      </c>
      <c r="Q3265" s="83" t="str">
        <f aca="false">IF(O3265&lt;&gt;"",O3265+P3265,"")</f>
        <v/>
      </c>
      <c r="R3265" s="84"/>
    </row>
    <row r="3266" customFormat="false" ht="15" hidden="false" customHeight="true" outlineLevel="0" collapsed="false">
      <c r="A3266" s="103"/>
      <c r="B3266" s="73"/>
      <c r="C3266" s="74"/>
      <c r="D3266" s="75"/>
      <c r="E3266" s="52" t="str">
        <f aca="false">IF(D3266&lt;&gt;"",IFERROR(VLOOKUP(D3266,PROVEEDORES!$A:$B,2,0),"!COD NO ENCONTRADO"),"")</f>
        <v/>
      </c>
      <c r="F3266" s="76" t="str">
        <f aca="false">IF(D3266&lt;&gt;"",IFERROR(VLOOKUP(D3266,PROVEEDORES!$A:$C,3,0),""),"")</f>
        <v/>
      </c>
      <c r="G3266" s="75"/>
      <c r="H3266" s="52" t="str">
        <f aca="false">IF(G3266&lt;&gt;"",IFERROR(VLOOKUP(G3266,PRODUCTOS!$A:$B,2,0),"!COD NO ENCONTRADO"),"")</f>
        <v/>
      </c>
      <c r="I3266" s="77"/>
      <c r="J3266" s="78"/>
      <c r="K3266" s="79"/>
      <c r="L3266" s="80" t="str">
        <f aca="false">IF(AND(J3266&lt;&gt;"",K3266&lt;&gt;""),J3266*K3266,"")</f>
        <v/>
      </c>
      <c r="M3266" s="81" t="str">
        <f aca="false">IF(L3266&lt;&gt;"",L3266*1.1,"")</f>
        <v/>
      </c>
      <c r="N3266" s="53" t="n">
        <f aca="false">IF(F3266="S",L3266*0.02,0)</f>
        <v>0</v>
      </c>
      <c r="O3266" s="82" t="str">
        <f aca="false">IF(L3266&lt;&gt;"",L3266+N3266,"")</f>
        <v/>
      </c>
      <c r="P3266" s="53" t="str">
        <f aca="false">IF(O3266&lt;&gt;"",O3266*0.1,"")</f>
        <v/>
      </c>
      <c r="Q3266" s="83" t="str">
        <f aca="false">IF(O3266&lt;&gt;"",O3266+P3266,"")</f>
        <v/>
      </c>
      <c r="R3266" s="84"/>
    </row>
    <row r="3267" customFormat="false" ht="15" hidden="false" customHeight="true" outlineLevel="0" collapsed="false">
      <c r="A3267" s="103"/>
      <c r="B3267" s="85"/>
      <c r="C3267" s="86"/>
      <c r="D3267" s="87"/>
      <c r="E3267" s="46" t="str">
        <f aca="false">IF(D3267&lt;&gt;"",IFERROR(VLOOKUP(D3267,PROVEEDORES!$A:$B,2,0),"!COD NO ENCONTRADO"),"")</f>
        <v/>
      </c>
      <c r="F3267" s="88" t="str">
        <f aca="false">IF(D3267&lt;&gt;"",IFERROR(VLOOKUP(D3267,PROVEEDORES!$A:$C,3,0),""),"")</f>
        <v/>
      </c>
      <c r="G3267" s="87"/>
      <c r="H3267" s="46" t="str">
        <f aca="false">IF(G3267&lt;&gt;"",IFERROR(VLOOKUP(G3267,PRODUCTOS!$A:$B,2,0),"!COD NO ENCONTRADO"),"")</f>
        <v/>
      </c>
      <c r="I3267" s="89"/>
      <c r="J3267" s="90"/>
      <c r="K3267" s="91"/>
      <c r="L3267" s="80" t="str">
        <f aca="false">IF(AND(J3267&lt;&gt;"",K3267&lt;&gt;""),J3267*K3267,"")</f>
        <v/>
      </c>
      <c r="M3267" s="81" t="str">
        <f aca="false">IF(L3267&lt;&gt;"",L3267*1.1,"")</f>
        <v/>
      </c>
      <c r="N3267" s="47" t="n">
        <f aca="false">IF(F3267="S",L3267*0.02,0)</f>
        <v>0</v>
      </c>
      <c r="O3267" s="82" t="str">
        <f aca="false">IF(L3267&lt;&gt;"",L3267+N3267,"")</f>
        <v/>
      </c>
      <c r="P3267" s="47" t="str">
        <f aca="false">IF(O3267&lt;&gt;"",O3267*0.1,"")</f>
        <v/>
      </c>
      <c r="Q3267" s="83" t="str">
        <f aca="false">IF(O3267&lt;&gt;"",O3267+P3267,"")</f>
        <v/>
      </c>
      <c r="R3267" s="84"/>
    </row>
    <row r="3268" customFormat="false" ht="15" hidden="false" customHeight="true" outlineLevel="0" collapsed="false">
      <c r="A3268" s="103"/>
      <c r="B3268" s="73"/>
      <c r="C3268" s="74"/>
      <c r="D3268" s="75"/>
      <c r="E3268" s="52" t="str">
        <f aca="false">IF(D3268&lt;&gt;"",IFERROR(VLOOKUP(D3268,PROVEEDORES!$A:$B,2,0),"!COD NO ENCONTRADO"),"")</f>
        <v/>
      </c>
      <c r="F3268" s="76" t="str">
        <f aca="false">IF(D3268&lt;&gt;"",IFERROR(VLOOKUP(D3268,PROVEEDORES!$A:$C,3,0),""),"")</f>
        <v/>
      </c>
      <c r="G3268" s="75"/>
      <c r="H3268" s="52" t="str">
        <f aca="false">IF(G3268&lt;&gt;"",IFERROR(VLOOKUP(G3268,PRODUCTOS!$A:$B,2,0),"!COD NO ENCONTRADO"),"")</f>
        <v/>
      </c>
      <c r="I3268" s="77"/>
      <c r="J3268" s="78"/>
      <c r="K3268" s="79"/>
      <c r="L3268" s="80" t="str">
        <f aca="false">IF(AND(J3268&lt;&gt;"",K3268&lt;&gt;""),J3268*K3268,"")</f>
        <v/>
      </c>
      <c r="M3268" s="81" t="str">
        <f aca="false">IF(L3268&lt;&gt;"",L3268*1.1,"")</f>
        <v/>
      </c>
      <c r="N3268" s="53" t="n">
        <f aca="false">IF(F3268="S",L3268*0.02,0)</f>
        <v>0</v>
      </c>
      <c r="O3268" s="82" t="str">
        <f aca="false">IF(L3268&lt;&gt;"",L3268+N3268,"")</f>
        <v/>
      </c>
      <c r="P3268" s="53" t="str">
        <f aca="false">IF(O3268&lt;&gt;"",O3268*0.1,"")</f>
        <v/>
      </c>
      <c r="Q3268" s="83" t="str">
        <f aca="false">IF(O3268&lt;&gt;"",O3268+P3268,"")</f>
        <v/>
      </c>
      <c r="R3268" s="84"/>
    </row>
    <row r="3269" customFormat="false" ht="15" hidden="false" customHeight="true" outlineLevel="0" collapsed="false">
      <c r="A3269" s="103"/>
      <c r="B3269" s="85"/>
      <c r="C3269" s="86"/>
      <c r="D3269" s="87"/>
      <c r="E3269" s="46" t="str">
        <f aca="false">IF(D3269&lt;&gt;"",IFERROR(VLOOKUP(D3269,PROVEEDORES!$A:$B,2,0),"!COD NO ENCONTRADO"),"")</f>
        <v/>
      </c>
      <c r="F3269" s="88" t="str">
        <f aca="false">IF(D3269&lt;&gt;"",IFERROR(VLOOKUP(D3269,PROVEEDORES!$A:$C,3,0),""),"")</f>
        <v/>
      </c>
      <c r="G3269" s="87"/>
      <c r="H3269" s="46" t="str">
        <f aca="false">IF(G3269&lt;&gt;"",IFERROR(VLOOKUP(G3269,PRODUCTOS!$A:$B,2,0),"!COD NO ENCONTRADO"),"")</f>
        <v/>
      </c>
      <c r="I3269" s="89"/>
      <c r="J3269" s="90"/>
      <c r="K3269" s="91"/>
      <c r="L3269" s="80" t="str">
        <f aca="false">IF(AND(J3269&lt;&gt;"",K3269&lt;&gt;""),J3269*K3269,"")</f>
        <v/>
      </c>
      <c r="M3269" s="81" t="str">
        <f aca="false">IF(L3269&lt;&gt;"",L3269*1.1,"")</f>
        <v/>
      </c>
      <c r="N3269" s="47" t="n">
        <f aca="false">IF(F3269="S",L3269*0.02,0)</f>
        <v>0</v>
      </c>
      <c r="O3269" s="82" t="str">
        <f aca="false">IF(L3269&lt;&gt;"",L3269+N3269,"")</f>
        <v/>
      </c>
      <c r="P3269" s="47" t="str">
        <f aca="false">IF(O3269&lt;&gt;"",O3269*0.1,"")</f>
        <v/>
      </c>
      <c r="Q3269" s="83" t="str">
        <f aca="false">IF(O3269&lt;&gt;"",O3269+P3269,"")</f>
        <v/>
      </c>
      <c r="R3269" s="84"/>
    </row>
    <row r="3270" customFormat="false" ht="15" hidden="false" customHeight="true" outlineLevel="0" collapsed="false">
      <c r="A3270" s="103"/>
      <c r="B3270" s="73"/>
      <c r="C3270" s="74"/>
      <c r="D3270" s="75"/>
      <c r="E3270" s="52" t="str">
        <f aca="false">IF(D3270&lt;&gt;"",IFERROR(VLOOKUP(D3270,PROVEEDORES!$A:$B,2,0),"!COD NO ENCONTRADO"),"")</f>
        <v/>
      </c>
      <c r="F3270" s="76" t="str">
        <f aca="false">IF(D3270&lt;&gt;"",IFERROR(VLOOKUP(D3270,PROVEEDORES!$A:$C,3,0),""),"")</f>
        <v/>
      </c>
      <c r="G3270" s="75"/>
      <c r="H3270" s="52" t="str">
        <f aca="false">IF(G3270&lt;&gt;"",IFERROR(VLOOKUP(G3270,PRODUCTOS!$A:$B,2,0),"!COD NO ENCONTRADO"),"")</f>
        <v/>
      </c>
      <c r="I3270" s="77"/>
      <c r="J3270" s="78"/>
      <c r="K3270" s="79"/>
      <c r="L3270" s="80" t="str">
        <f aca="false">IF(AND(J3270&lt;&gt;"",K3270&lt;&gt;""),J3270*K3270,"")</f>
        <v/>
      </c>
      <c r="M3270" s="81" t="str">
        <f aca="false">IF(L3270&lt;&gt;"",L3270*1.1,"")</f>
        <v/>
      </c>
      <c r="N3270" s="53" t="n">
        <f aca="false">IF(F3270="S",L3270*0.02,0)</f>
        <v>0</v>
      </c>
      <c r="O3270" s="82" t="str">
        <f aca="false">IF(L3270&lt;&gt;"",L3270+N3270,"")</f>
        <v/>
      </c>
      <c r="P3270" s="53" t="str">
        <f aca="false">IF(O3270&lt;&gt;"",O3270*0.1,"")</f>
        <v/>
      </c>
      <c r="Q3270" s="83" t="str">
        <f aca="false">IF(O3270&lt;&gt;"",O3270+P3270,"")</f>
        <v/>
      </c>
      <c r="R3270" s="84"/>
    </row>
    <row r="3271" customFormat="false" ht="15" hidden="false" customHeight="true" outlineLevel="0" collapsed="false">
      <c r="A3271" s="103"/>
      <c r="B3271" s="85"/>
      <c r="C3271" s="86"/>
      <c r="D3271" s="87"/>
      <c r="E3271" s="46" t="str">
        <f aca="false">IF(D3271&lt;&gt;"",IFERROR(VLOOKUP(D3271,PROVEEDORES!$A:$B,2,0),"!COD NO ENCONTRADO"),"")</f>
        <v/>
      </c>
      <c r="F3271" s="88" t="str">
        <f aca="false">IF(D3271&lt;&gt;"",IFERROR(VLOOKUP(D3271,PROVEEDORES!$A:$C,3,0),""),"")</f>
        <v/>
      </c>
      <c r="G3271" s="87"/>
      <c r="H3271" s="46" t="str">
        <f aca="false">IF(G3271&lt;&gt;"",IFERROR(VLOOKUP(G3271,PRODUCTOS!$A:$B,2,0),"!COD NO ENCONTRADO"),"")</f>
        <v/>
      </c>
      <c r="I3271" s="89"/>
      <c r="J3271" s="90"/>
      <c r="K3271" s="91"/>
      <c r="L3271" s="80" t="str">
        <f aca="false">IF(AND(J3271&lt;&gt;"",K3271&lt;&gt;""),J3271*K3271,"")</f>
        <v/>
      </c>
      <c r="M3271" s="81" t="str">
        <f aca="false">IF(L3271&lt;&gt;"",L3271*1.1,"")</f>
        <v/>
      </c>
      <c r="N3271" s="47" t="n">
        <f aca="false">IF(F3271="S",L3271*0.02,0)</f>
        <v>0</v>
      </c>
      <c r="O3271" s="82" t="str">
        <f aca="false">IF(L3271&lt;&gt;"",L3271+N3271,"")</f>
        <v/>
      </c>
      <c r="P3271" s="47" t="str">
        <f aca="false">IF(O3271&lt;&gt;"",O3271*0.1,"")</f>
        <v/>
      </c>
      <c r="Q3271" s="83" t="str">
        <f aca="false">IF(O3271&lt;&gt;"",O3271+P3271,"")</f>
        <v/>
      </c>
      <c r="R3271" s="84"/>
    </row>
    <row r="3272" customFormat="false" ht="15" hidden="false" customHeight="true" outlineLevel="0" collapsed="false">
      <c r="A3272" s="103"/>
      <c r="B3272" s="73"/>
      <c r="C3272" s="74"/>
      <c r="D3272" s="75"/>
      <c r="E3272" s="52" t="str">
        <f aca="false">IF(D3272&lt;&gt;"",IFERROR(VLOOKUP(D3272,PROVEEDORES!$A:$B,2,0),"!COD NO ENCONTRADO"),"")</f>
        <v/>
      </c>
      <c r="F3272" s="76" t="str">
        <f aca="false">IF(D3272&lt;&gt;"",IFERROR(VLOOKUP(D3272,PROVEEDORES!$A:$C,3,0),""),"")</f>
        <v/>
      </c>
      <c r="G3272" s="75"/>
      <c r="H3272" s="52" t="str">
        <f aca="false">IF(G3272&lt;&gt;"",IFERROR(VLOOKUP(G3272,PRODUCTOS!$A:$B,2,0),"!COD NO ENCONTRADO"),"")</f>
        <v/>
      </c>
      <c r="I3272" s="77"/>
      <c r="J3272" s="78"/>
      <c r="K3272" s="79"/>
      <c r="L3272" s="80" t="str">
        <f aca="false">IF(AND(J3272&lt;&gt;"",K3272&lt;&gt;""),J3272*K3272,"")</f>
        <v/>
      </c>
      <c r="M3272" s="81" t="str">
        <f aca="false">IF(L3272&lt;&gt;"",L3272*1.1,"")</f>
        <v/>
      </c>
      <c r="N3272" s="53" t="n">
        <f aca="false">IF(F3272="S",L3272*0.02,0)</f>
        <v>0</v>
      </c>
      <c r="O3272" s="82" t="str">
        <f aca="false">IF(L3272&lt;&gt;"",L3272+N3272,"")</f>
        <v/>
      </c>
      <c r="P3272" s="53" t="str">
        <f aca="false">IF(O3272&lt;&gt;"",O3272*0.1,"")</f>
        <v/>
      </c>
      <c r="Q3272" s="83" t="str">
        <f aca="false">IF(O3272&lt;&gt;"",O3272+P3272,"")</f>
        <v/>
      </c>
      <c r="R3272" s="84"/>
    </row>
    <row r="3273" customFormat="false" ht="15" hidden="false" customHeight="true" outlineLevel="0" collapsed="false">
      <c r="A3273" s="103"/>
      <c r="B3273" s="85"/>
      <c r="C3273" s="86"/>
      <c r="D3273" s="87"/>
      <c r="E3273" s="46" t="str">
        <f aca="false">IF(D3273&lt;&gt;"",IFERROR(VLOOKUP(D3273,PROVEEDORES!$A:$B,2,0),"!COD NO ENCONTRADO"),"")</f>
        <v/>
      </c>
      <c r="F3273" s="88" t="str">
        <f aca="false">IF(D3273&lt;&gt;"",IFERROR(VLOOKUP(D3273,PROVEEDORES!$A:$C,3,0),""),"")</f>
        <v/>
      </c>
      <c r="G3273" s="87"/>
      <c r="H3273" s="46" t="str">
        <f aca="false">IF(G3273&lt;&gt;"",IFERROR(VLOOKUP(G3273,PRODUCTOS!$A:$B,2,0),"!COD NO ENCONTRADO"),"")</f>
        <v/>
      </c>
      <c r="I3273" s="89"/>
      <c r="J3273" s="90"/>
      <c r="K3273" s="91"/>
      <c r="L3273" s="80" t="str">
        <f aca="false">IF(AND(J3273&lt;&gt;"",K3273&lt;&gt;""),J3273*K3273,"")</f>
        <v/>
      </c>
      <c r="M3273" s="81" t="str">
        <f aca="false">IF(L3273&lt;&gt;"",L3273*1.1,"")</f>
        <v/>
      </c>
      <c r="N3273" s="47" t="n">
        <f aca="false">IF(F3273="S",L3273*0.02,0)</f>
        <v>0</v>
      </c>
      <c r="O3273" s="82" t="str">
        <f aca="false">IF(L3273&lt;&gt;"",L3273+N3273,"")</f>
        <v/>
      </c>
      <c r="P3273" s="47" t="str">
        <f aca="false">IF(O3273&lt;&gt;"",O3273*0.1,"")</f>
        <v/>
      </c>
      <c r="Q3273" s="83" t="str">
        <f aca="false">IF(O3273&lt;&gt;"",O3273+P3273,"")</f>
        <v/>
      </c>
      <c r="R3273" s="84"/>
    </row>
    <row r="3274" customFormat="false" ht="15" hidden="false" customHeight="true" outlineLevel="0" collapsed="false">
      <c r="A3274" s="103"/>
      <c r="B3274" s="73"/>
      <c r="C3274" s="74"/>
      <c r="D3274" s="75"/>
      <c r="E3274" s="52" t="str">
        <f aca="false">IF(D3274&lt;&gt;"",IFERROR(VLOOKUP(D3274,PROVEEDORES!$A:$B,2,0),"!COD NO ENCONTRADO"),"")</f>
        <v/>
      </c>
      <c r="F3274" s="76" t="str">
        <f aca="false">IF(D3274&lt;&gt;"",IFERROR(VLOOKUP(D3274,PROVEEDORES!$A:$C,3,0),""),"")</f>
        <v/>
      </c>
      <c r="G3274" s="75"/>
      <c r="H3274" s="52" t="str">
        <f aca="false">IF(G3274&lt;&gt;"",IFERROR(VLOOKUP(G3274,PRODUCTOS!$A:$B,2,0),"!COD NO ENCONTRADO"),"")</f>
        <v/>
      </c>
      <c r="I3274" s="77"/>
      <c r="J3274" s="78"/>
      <c r="K3274" s="79"/>
      <c r="L3274" s="80" t="str">
        <f aca="false">IF(AND(J3274&lt;&gt;"",K3274&lt;&gt;""),J3274*K3274,"")</f>
        <v/>
      </c>
      <c r="M3274" s="81" t="str">
        <f aca="false">IF(L3274&lt;&gt;"",L3274*1.1,"")</f>
        <v/>
      </c>
      <c r="N3274" s="53" t="n">
        <f aca="false">IF(F3274="S",L3274*0.02,0)</f>
        <v>0</v>
      </c>
      <c r="O3274" s="82" t="str">
        <f aca="false">IF(L3274&lt;&gt;"",L3274+N3274,"")</f>
        <v/>
      </c>
      <c r="P3274" s="53" t="str">
        <f aca="false">IF(O3274&lt;&gt;"",O3274*0.1,"")</f>
        <v/>
      </c>
      <c r="Q3274" s="83" t="str">
        <f aca="false">IF(O3274&lt;&gt;"",O3274+P3274,"")</f>
        <v/>
      </c>
      <c r="R3274" s="84"/>
    </row>
    <row r="3275" customFormat="false" ht="15" hidden="false" customHeight="true" outlineLevel="0" collapsed="false">
      <c r="A3275" s="103"/>
      <c r="B3275" s="85"/>
      <c r="C3275" s="86"/>
      <c r="D3275" s="87"/>
      <c r="E3275" s="46" t="str">
        <f aca="false">IF(D3275&lt;&gt;"",IFERROR(VLOOKUP(D3275,PROVEEDORES!$A:$B,2,0),"!COD NO ENCONTRADO"),"")</f>
        <v/>
      </c>
      <c r="F3275" s="88" t="str">
        <f aca="false">IF(D3275&lt;&gt;"",IFERROR(VLOOKUP(D3275,PROVEEDORES!$A:$C,3,0),""),"")</f>
        <v/>
      </c>
      <c r="G3275" s="87"/>
      <c r="H3275" s="46" t="str">
        <f aca="false">IF(G3275&lt;&gt;"",IFERROR(VLOOKUP(G3275,PRODUCTOS!$A:$B,2,0),"!COD NO ENCONTRADO"),"")</f>
        <v/>
      </c>
      <c r="I3275" s="89"/>
      <c r="J3275" s="90"/>
      <c r="K3275" s="91"/>
      <c r="L3275" s="80" t="str">
        <f aca="false">IF(AND(J3275&lt;&gt;"",K3275&lt;&gt;""),J3275*K3275,"")</f>
        <v/>
      </c>
      <c r="M3275" s="81" t="str">
        <f aca="false">IF(L3275&lt;&gt;"",L3275*1.1,"")</f>
        <v/>
      </c>
      <c r="N3275" s="47" t="n">
        <f aca="false">IF(F3275="S",L3275*0.02,0)</f>
        <v>0</v>
      </c>
      <c r="O3275" s="82" t="str">
        <f aca="false">IF(L3275&lt;&gt;"",L3275+N3275,"")</f>
        <v/>
      </c>
      <c r="P3275" s="47" t="str">
        <f aca="false">IF(O3275&lt;&gt;"",O3275*0.1,"")</f>
        <v/>
      </c>
      <c r="Q3275" s="83" t="str">
        <f aca="false">IF(O3275&lt;&gt;"",O3275+P3275,"")</f>
        <v/>
      </c>
      <c r="R3275" s="84"/>
    </row>
    <row r="3276" customFormat="false" ht="15" hidden="false" customHeight="true" outlineLevel="0" collapsed="false">
      <c r="A3276" s="103"/>
      <c r="B3276" s="73"/>
      <c r="C3276" s="74"/>
      <c r="D3276" s="75"/>
      <c r="E3276" s="52" t="str">
        <f aca="false">IF(D3276&lt;&gt;"",IFERROR(VLOOKUP(D3276,PROVEEDORES!$A:$B,2,0),"!COD NO ENCONTRADO"),"")</f>
        <v/>
      </c>
      <c r="F3276" s="76" t="str">
        <f aca="false">IF(D3276&lt;&gt;"",IFERROR(VLOOKUP(D3276,PROVEEDORES!$A:$C,3,0),""),"")</f>
        <v/>
      </c>
      <c r="G3276" s="75"/>
      <c r="H3276" s="52" t="str">
        <f aca="false">IF(G3276&lt;&gt;"",IFERROR(VLOOKUP(G3276,PRODUCTOS!$A:$B,2,0),"!COD NO ENCONTRADO"),"")</f>
        <v/>
      </c>
      <c r="I3276" s="77"/>
      <c r="J3276" s="78"/>
      <c r="K3276" s="79"/>
      <c r="L3276" s="80" t="str">
        <f aca="false">IF(AND(J3276&lt;&gt;"",K3276&lt;&gt;""),J3276*K3276,"")</f>
        <v/>
      </c>
      <c r="M3276" s="81" t="str">
        <f aca="false">IF(L3276&lt;&gt;"",L3276*1.1,"")</f>
        <v/>
      </c>
      <c r="N3276" s="53" t="n">
        <f aca="false">IF(F3276="S",L3276*0.02,0)</f>
        <v>0</v>
      </c>
      <c r="O3276" s="82" t="str">
        <f aca="false">IF(L3276&lt;&gt;"",L3276+N3276,"")</f>
        <v/>
      </c>
      <c r="P3276" s="53" t="str">
        <f aca="false">IF(O3276&lt;&gt;"",O3276*0.1,"")</f>
        <v/>
      </c>
      <c r="Q3276" s="83" t="str">
        <f aca="false">IF(O3276&lt;&gt;"",O3276+P3276,"")</f>
        <v/>
      </c>
      <c r="R3276" s="84"/>
    </row>
    <row r="3277" customFormat="false" ht="15" hidden="false" customHeight="true" outlineLevel="0" collapsed="false">
      <c r="A3277" s="103"/>
      <c r="B3277" s="85"/>
      <c r="C3277" s="86"/>
      <c r="D3277" s="87"/>
      <c r="E3277" s="46" t="str">
        <f aca="false">IF(D3277&lt;&gt;"",IFERROR(VLOOKUP(D3277,PROVEEDORES!$A:$B,2,0),"!COD NO ENCONTRADO"),"")</f>
        <v/>
      </c>
      <c r="F3277" s="88" t="str">
        <f aca="false">IF(D3277&lt;&gt;"",IFERROR(VLOOKUP(D3277,PROVEEDORES!$A:$C,3,0),""),"")</f>
        <v/>
      </c>
      <c r="G3277" s="87"/>
      <c r="H3277" s="46" t="str">
        <f aca="false">IF(G3277&lt;&gt;"",IFERROR(VLOOKUP(G3277,PRODUCTOS!$A:$B,2,0),"!COD NO ENCONTRADO"),"")</f>
        <v/>
      </c>
      <c r="I3277" s="89"/>
      <c r="J3277" s="90"/>
      <c r="K3277" s="91"/>
      <c r="L3277" s="80" t="str">
        <f aca="false">IF(AND(J3277&lt;&gt;"",K3277&lt;&gt;""),J3277*K3277,"")</f>
        <v/>
      </c>
      <c r="M3277" s="81" t="str">
        <f aca="false">IF(L3277&lt;&gt;"",L3277*1.1,"")</f>
        <v/>
      </c>
      <c r="N3277" s="47" t="n">
        <f aca="false">IF(F3277="S",L3277*0.02,0)</f>
        <v>0</v>
      </c>
      <c r="O3277" s="82" t="str">
        <f aca="false">IF(L3277&lt;&gt;"",L3277+N3277,"")</f>
        <v/>
      </c>
      <c r="P3277" s="47" t="str">
        <f aca="false">IF(O3277&lt;&gt;"",O3277*0.1,"")</f>
        <v/>
      </c>
      <c r="Q3277" s="83" t="str">
        <f aca="false">IF(O3277&lt;&gt;"",O3277+P3277,"")</f>
        <v/>
      </c>
      <c r="R3277" s="84"/>
    </row>
    <row r="3278" customFormat="false" ht="15" hidden="false" customHeight="true" outlineLevel="0" collapsed="false">
      <c r="A3278" s="103"/>
      <c r="B3278" s="73"/>
      <c r="C3278" s="74"/>
      <c r="D3278" s="75"/>
      <c r="E3278" s="52" t="str">
        <f aca="false">IF(D3278&lt;&gt;"",IFERROR(VLOOKUP(D3278,PROVEEDORES!$A:$B,2,0),"!COD NO ENCONTRADO"),"")</f>
        <v/>
      </c>
      <c r="F3278" s="76" t="str">
        <f aca="false">IF(D3278&lt;&gt;"",IFERROR(VLOOKUP(D3278,PROVEEDORES!$A:$C,3,0),""),"")</f>
        <v/>
      </c>
      <c r="G3278" s="75"/>
      <c r="H3278" s="52" t="str">
        <f aca="false">IF(G3278&lt;&gt;"",IFERROR(VLOOKUP(G3278,PRODUCTOS!$A:$B,2,0),"!COD NO ENCONTRADO"),"")</f>
        <v/>
      </c>
      <c r="I3278" s="77"/>
      <c r="J3278" s="78"/>
      <c r="K3278" s="79"/>
      <c r="L3278" s="80" t="str">
        <f aca="false">IF(AND(J3278&lt;&gt;"",K3278&lt;&gt;""),J3278*K3278,"")</f>
        <v/>
      </c>
      <c r="M3278" s="81" t="str">
        <f aca="false">IF(L3278&lt;&gt;"",L3278*1.1,"")</f>
        <v/>
      </c>
      <c r="N3278" s="53" t="n">
        <f aca="false">IF(F3278="S",L3278*0.02,0)</f>
        <v>0</v>
      </c>
      <c r="O3278" s="82" t="str">
        <f aca="false">IF(L3278&lt;&gt;"",L3278+N3278,"")</f>
        <v/>
      </c>
      <c r="P3278" s="53" t="str">
        <f aca="false">IF(O3278&lt;&gt;"",O3278*0.1,"")</f>
        <v/>
      </c>
      <c r="Q3278" s="83" t="str">
        <f aca="false">IF(O3278&lt;&gt;"",O3278+P3278,"")</f>
        <v/>
      </c>
      <c r="R3278" s="84"/>
    </row>
    <row r="3279" customFormat="false" ht="15" hidden="false" customHeight="true" outlineLevel="0" collapsed="false">
      <c r="A3279" s="103"/>
      <c r="B3279" s="85"/>
      <c r="C3279" s="86"/>
      <c r="D3279" s="87"/>
      <c r="E3279" s="46" t="str">
        <f aca="false">IF(D3279&lt;&gt;"",IFERROR(VLOOKUP(D3279,PROVEEDORES!$A:$B,2,0),"!COD NO ENCONTRADO"),"")</f>
        <v/>
      </c>
      <c r="F3279" s="88" t="str">
        <f aca="false">IF(D3279&lt;&gt;"",IFERROR(VLOOKUP(D3279,PROVEEDORES!$A:$C,3,0),""),"")</f>
        <v/>
      </c>
      <c r="G3279" s="87"/>
      <c r="H3279" s="46" t="str">
        <f aca="false">IF(G3279&lt;&gt;"",IFERROR(VLOOKUP(G3279,PRODUCTOS!$A:$B,2,0),"!COD NO ENCONTRADO"),"")</f>
        <v/>
      </c>
      <c r="I3279" s="89"/>
      <c r="J3279" s="90"/>
      <c r="K3279" s="91"/>
      <c r="L3279" s="80" t="str">
        <f aca="false">IF(AND(J3279&lt;&gt;"",K3279&lt;&gt;""),J3279*K3279,"")</f>
        <v/>
      </c>
      <c r="M3279" s="81" t="str">
        <f aca="false">IF(L3279&lt;&gt;"",L3279*1.1,"")</f>
        <v/>
      </c>
      <c r="N3279" s="47" t="n">
        <f aca="false">IF(F3279="S",L3279*0.02,0)</f>
        <v>0</v>
      </c>
      <c r="O3279" s="82" t="str">
        <f aca="false">IF(L3279&lt;&gt;"",L3279+N3279,"")</f>
        <v/>
      </c>
      <c r="P3279" s="47" t="str">
        <f aca="false">IF(O3279&lt;&gt;"",O3279*0.1,"")</f>
        <v/>
      </c>
      <c r="Q3279" s="83" t="str">
        <f aca="false">IF(O3279&lt;&gt;"",O3279+P3279,"")</f>
        <v/>
      </c>
      <c r="R3279" s="84"/>
    </row>
    <row r="3280" customFormat="false" ht="15" hidden="false" customHeight="true" outlineLevel="0" collapsed="false">
      <c r="A3280" s="103"/>
      <c r="B3280" s="73"/>
      <c r="C3280" s="74"/>
      <c r="D3280" s="75"/>
      <c r="E3280" s="52" t="str">
        <f aca="false">IF(D3280&lt;&gt;"",IFERROR(VLOOKUP(D3280,PROVEEDORES!$A:$B,2,0),"!COD NO ENCONTRADO"),"")</f>
        <v/>
      </c>
      <c r="F3280" s="76" t="str">
        <f aca="false">IF(D3280&lt;&gt;"",IFERROR(VLOOKUP(D3280,PROVEEDORES!$A:$C,3,0),""),"")</f>
        <v/>
      </c>
      <c r="G3280" s="75"/>
      <c r="H3280" s="52" t="str">
        <f aca="false">IF(G3280&lt;&gt;"",IFERROR(VLOOKUP(G3280,PRODUCTOS!$A:$B,2,0),"!COD NO ENCONTRADO"),"")</f>
        <v/>
      </c>
      <c r="I3280" s="77"/>
      <c r="J3280" s="78"/>
      <c r="K3280" s="79"/>
      <c r="L3280" s="80" t="str">
        <f aca="false">IF(AND(J3280&lt;&gt;"",K3280&lt;&gt;""),J3280*K3280,"")</f>
        <v/>
      </c>
      <c r="M3280" s="81" t="str">
        <f aca="false">IF(L3280&lt;&gt;"",L3280*1.1,"")</f>
        <v/>
      </c>
      <c r="N3280" s="53" t="n">
        <f aca="false">IF(F3280="S",L3280*0.02,0)</f>
        <v>0</v>
      </c>
      <c r="O3280" s="82" t="str">
        <f aca="false">IF(L3280&lt;&gt;"",L3280+N3280,"")</f>
        <v/>
      </c>
      <c r="P3280" s="53" t="str">
        <f aca="false">IF(O3280&lt;&gt;"",O3280*0.1,"")</f>
        <v/>
      </c>
      <c r="Q3280" s="83" t="str">
        <f aca="false">IF(O3280&lt;&gt;"",O3280+P3280,"")</f>
        <v/>
      </c>
      <c r="R3280" s="84"/>
    </row>
    <row r="3281" customFormat="false" ht="15" hidden="false" customHeight="true" outlineLevel="0" collapsed="false">
      <c r="A3281" s="103"/>
      <c r="B3281" s="85"/>
      <c r="C3281" s="86"/>
      <c r="D3281" s="87"/>
      <c r="E3281" s="46" t="str">
        <f aca="false">IF(D3281&lt;&gt;"",IFERROR(VLOOKUP(D3281,PROVEEDORES!$A:$B,2,0),"!COD NO ENCONTRADO"),"")</f>
        <v/>
      </c>
      <c r="F3281" s="88" t="str">
        <f aca="false">IF(D3281&lt;&gt;"",IFERROR(VLOOKUP(D3281,PROVEEDORES!$A:$C,3,0),""),"")</f>
        <v/>
      </c>
      <c r="G3281" s="87"/>
      <c r="H3281" s="46" t="str">
        <f aca="false">IF(G3281&lt;&gt;"",IFERROR(VLOOKUP(G3281,PRODUCTOS!$A:$B,2,0),"!COD NO ENCONTRADO"),"")</f>
        <v/>
      </c>
      <c r="I3281" s="89"/>
      <c r="J3281" s="90"/>
      <c r="K3281" s="91"/>
      <c r="L3281" s="80" t="str">
        <f aca="false">IF(AND(J3281&lt;&gt;"",K3281&lt;&gt;""),J3281*K3281,"")</f>
        <v/>
      </c>
      <c r="M3281" s="81" t="str">
        <f aca="false">IF(L3281&lt;&gt;"",L3281*1.1,"")</f>
        <v/>
      </c>
      <c r="N3281" s="47" t="n">
        <f aca="false">IF(F3281="S",L3281*0.02,0)</f>
        <v>0</v>
      </c>
      <c r="O3281" s="82" t="str">
        <f aca="false">IF(L3281&lt;&gt;"",L3281+N3281,"")</f>
        <v/>
      </c>
      <c r="P3281" s="47" t="str">
        <f aca="false">IF(O3281&lt;&gt;"",O3281*0.1,"")</f>
        <v/>
      </c>
      <c r="Q3281" s="83" t="str">
        <f aca="false">IF(O3281&lt;&gt;"",O3281+P3281,"")</f>
        <v/>
      </c>
      <c r="R3281" s="84"/>
    </row>
    <row r="3282" customFormat="false" ht="15" hidden="false" customHeight="true" outlineLevel="0" collapsed="false">
      <c r="A3282" s="103"/>
      <c r="B3282" s="73"/>
      <c r="C3282" s="74"/>
      <c r="D3282" s="75"/>
      <c r="E3282" s="52" t="str">
        <f aca="false">IF(D3282&lt;&gt;"",IFERROR(VLOOKUP(D3282,PROVEEDORES!$A:$B,2,0),"!COD NO ENCONTRADO"),"")</f>
        <v/>
      </c>
      <c r="F3282" s="76" t="str">
        <f aca="false">IF(D3282&lt;&gt;"",IFERROR(VLOOKUP(D3282,PROVEEDORES!$A:$C,3,0),""),"")</f>
        <v/>
      </c>
      <c r="G3282" s="75"/>
      <c r="H3282" s="52" t="str">
        <f aca="false">IF(G3282&lt;&gt;"",IFERROR(VLOOKUP(G3282,PRODUCTOS!$A:$B,2,0),"!COD NO ENCONTRADO"),"")</f>
        <v/>
      </c>
      <c r="I3282" s="77"/>
      <c r="J3282" s="78"/>
      <c r="K3282" s="79"/>
      <c r="L3282" s="80" t="str">
        <f aca="false">IF(AND(J3282&lt;&gt;"",K3282&lt;&gt;""),J3282*K3282,"")</f>
        <v/>
      </c>
      <c r="M3282" s="81" t="str">
        <f aca="false">IF(L3282&lt;&gt;"",L3282*1.1,"")</f>
        <v/>
      </c>
      <c r="N3282" s="53" t="n">
        <f aca="false">IF(F3282="S",L3282*0.02,0)</f>
        <v>0</v>
      </c>
      <c r="O3282" s="82" t="str">
        <f aca="false">IF(L3282&lt;&gt;"",L3282+N3282,"")</f>
        <v/>
      </c>
      <c r="P3282" s="53" t="str">
        <f aca="false">IF(O3282&lt;&gt;"",O3282*0.1,"")</f>
        <v/>
      </c>
      <c r="Q3282" s="83" t="str">
        <f aca="false">IF(O3282&lt;&gt;"",O3282+P3282,"")</f>
        <v/>
      </c>
      <c r="R3282" s="84"/>
    </row>
    <row r="3283" customFormat="false" ht="15" hidden="false" customHeight="true" outlineLevel="0" collapsed="false">
      <c r="A3283" s="103"/>
      <c r="B3283" s="85"/>
      <c r="C3283" s="86"/>
      <c r="D3283" s="87"/>
      <c r="E3283" s="46" t="str">
        <f aca="false">IF(D3283&lt;&gt;"",IFERROR(VLOOKUP(D3283,PROVEEDORES!$A:$B,2,0),"!COD NO ENCONTRADO"),"")</f>
        <v/>
      </c>
      <c r="F3283" s="88" t="str">
        <f aca="false">IF(D3283&lt;&gt;"",IFERROR(VLOOKUP(D3283,PROVEEDORES!$A:$C,3,0),""),"")</f>
        <v/>
      </c>
      <c r="G3283" s="87"/>
      <c r="H3283" s="46" t="str">
        <f aca="false">IF(G3283&lt;&gt;"",IFERROR(VLOOKUP(G3283,PRODUCTOS!$A:$B,2,0),"!COD NO ENCONTRADO"),"")</f>
        <v/>
      </c>
      <c r="I3283" s="89"/>
      <c r="J3283" s="90"/>
      <c r="K3283" s="91"/>
      <c r="L3283" s="80" t="str">
        <f aca="false">IF(AND(J3283&lt;&gt;"",K3283&lt;&gt;""),J3283*K3283,"")</f>
        <v/>
      </c>
      <c r="M3283" s="81" t="str">
        <f aca="false">IF(L3283&lt;&gt;"",L3283*1.1,"")</f>
        <v/>
      </c>
      <c r="N3283" s="47" t="n">
        <f aca="false">IF(F3283="S",L3283*0.02,0)</f>
        <v>0</v>
      </c>
      <c r="O3283" s="82" t="str">
        <f aca="false">IF(L3283&lt;&gt;"",L3283+N3283,"")</f>
        <v/>
      </c>
      <c r="P3283" s="47" t="str">
        <f aca="false">IF(O3283&lt;&gt;"",O3283*0.1,"")</f>
        <v/>
      </c>
      <c r="Q3283" s="83" t="str">
        <f aca="false">IF(O3283&lt;&gt;"",O3283+P3283,"")</f>
        <v/>
      </c>
      <c r="R3283" s="84"/>
    </row>
    <row r="3284" customFormat="false" ht="15" hidden="false" customHeight="true" outlineLevel="0" collapsed="false">
      <c r="A3284" s="103"/>
      <c r="B3284" s="73"/>
      <c r="C3284" s="74"/>
      <c r="D3284" s="75"/>
      <c r="E3284" s="52" t="str">
        <f aca="false">IF(D3284&lt;&gt;"",IFERROR(VLOOKUP(D3284,PROVEEDORES!$A:$B,2,0),"!COD NO ENCONTRADO"),"")</f>
        <v/>
      </c>
      <c r="F3284" s="76" t="str">
        <f aca="false">IF(D3284&lt;&gt;"",IFERROR(VLOOKUP(D3284,PROVEEDORES!$A:$C,3,0),""),"")</f>
        <v/>
      </c>
      <c r="G3284" s="75"/>
      <c r="H3284" s="52" t="str">
        <f aca="false">IF(G3284&lt;&gt;"",IFERROR(VLOOKUP(G3284,PRODUCTOS!$A:$B,2,0),"!COD NO ENCONTRADO"),"")</f>
        <v/>
      </c>
      <c r="I3284" s="77"/>
      <c r="J3284" s="78"/>
      <c r="K3284" s="79"/>
      <c r="L3284" s="80" t="str">
        <f aca="false">IF(AND(J3284&lt;&gt;"",K3284&lt;&gt;""),J3284*K3284,"")</f>
        <v/>
      </c>
      <c r="M3284" s="81" t="str">
        <f aca="false">IF(L3284&lt;&gt;"",L3284*1.1,"")</f>
        <v/>
      </c>
      <c r="N3284" s="53" t="n">
        <f aca="false">IF(F3284="S",L3284*0.02,0)</f>
        <v>0</v>
      </c>
      <c r="O3284" s="82" t="str">
        <f aca="false">IF(L3284&lt;&gt;"",L3284+N3284,"")</f>
        <v/>
      </c>
      <c r="P3284" s="53" t="str">
        <f aca="false">IF(O3284&lt;&gt;"",O3284*0.1,"")</f>
        <v/>
      </c>
      <c r="Q3284" s="83" t="str">
        <f aca="false">IF(O3284&lt;&gt;"",O3284+P3284,"")</f>
        <v/>
      </c>
      <c r="R3284" s="84"/>
    </row>
    <row r="3285" customFormat="false" ht="15" hidden="false" customHeight="true" outlineLevel="0" collapsed="false">
      <c r="A3285" s="103"/>
      <c r="B3285" s="85"/>
      <c r="C3285" s="86"/>
      <c r="D3285" s="87"/>
      <c r="E3285" s="46" t="str">
        <f aca="false">IF(D3285&lt;&gt;"",IFERROR(VLOOKUP(D3285,PROVEEDORES!$A:$B,2,0),"!COD NO ENCONTRADO"),"")</f>
        <v/>
      </c>
      <c r="F3285" s="88" t="str">
        <f aca="false">IF(D3285&lt;&gt;"",IFERROR(VLOOKUP(D3285,PROVEEDORES!$A:$C,3,0),""),"")</f>
        <v/>
      </c>
      <c r="G3285" s="87"/>
      <c r="H3285" s="46" t="str">
        <f aca="false">IF(G3285&lt;&gt;"",IFERROR(VLOOKUP(G3285,PRODUCTOS!$A:$B,2,0),"!COD NO ENCONTRADO"),"")</f>
        <v/>
      </c>
      <c r="I3285" s="89"/>
      <c r="J3285" s="90"/>
      <c r="K3285" s="91"/>
      <c r="L3285" s="80" t="str">
        <f aca="false">IF(AND(J3285&lt;&gt;"",K3285&lt;&gt;""),J3285*K3285,"")</f>
        <v/>
      </c>
      <c r="M3285" s="81" t="str">
        <f aca="false">IF(L3285&lt;&gt;"",L3285*1.1,"")</f>
        <v/>
      </c>
      <c r="N3285" s="47" t="n">
        <f aca="false">IF(F3285="S",L3285*0.02,0)</f>
        <v>0</v>
      </c>
      <c r="O3285" s="82" t="str">
        <f aca="false">IF(L3285&lt;&gt;"",L3285+N3285,"")</f>
        <v/>
      </c>
      <c r="P3285" s="47" t="str">
        <f aca="false">IF(O3285&lt;&gt;"",O3285*0.1,"")</f>
        <v/>
      </c>
      <c r="Q3285" s="83" t="str">
        <f aca="false">IF(O3285&lt;&gt;"",O3285+P3285,"")</f>
        <v/>
      </c>
      <c r="R3285" s="84"/>
    </row>
    <row r="3286" customFormat="false" ht="15" hidden="false" customHeight="true" outlineLevel="0" collapsed="false">
      <c r="A3286" s="103"/>
      <c r="B3286" s="73"/>
      <c r="C3286" s="74"/>
      <c r="D3286" s="75"/>
      <c r="E3286" s="52" t="str">
        <f aca="false">IF(D3286&lt;&gt;"",IFERROR(VLOOKUP(D3286,PROVEEDORES!$A:$B,2,0),"!COD NO ENCONTRADO"),"")</f>
        <v/>
      </c>
      <c r="F3286" s="76" t="str">
        <f aca="false">IF(D3286&lt;&gt;"",IFERROR(VLOOKUP(D3286,PROVEEDORES!$A:$C,3,0),""),"")</f>
        <v/>
      </c>
      <c r="G3286" s="75"/>
      <c r="H3286" s="52" t="str">
        <f aca="false">IF(G3286&lt;&gt;"",IFERROR(VLOOKUP(G3286,PRODUCTOS!$A:$B,2,0),"!COD NO ENCONTRADO"),"")</f>
        <v/>
      </c>
      <c r="I3286" s="77"/>
      <c r="J3286" s="78"/>
      <c r="K3286" s="79"/>
      <c r="L3286" s="80" t="str">
        <f aca="false">IF(AND(J3286&lt;&gt;"",K3286&lt;&gt;""),J3286*K3286,"")</f>
        <v/>
      </c>
      <c r="M3286" s="81" t="str">
        <f aca="false">IF(L3286&lt;&gt;"",L3286*1.1,"")</f>
        <v/>
      </c>
      <c r="N3286" s="53" t="n">
        <f aca="false">IF(F3286="S",L3286*0.02,0)</f>
        <v>0</v>
      </c>
      <c r="O3286" s="82" t="str">
        <f aca="false">IF(L3286&lt;&gt;"",L3286+N3286,"")</f>
        <v/>
      </c>
      <c r="P3286" s="53" t="str">
        <f aca="false">IF(O3286&lt;&gt;"",O3286*0.1,"")</f>
        <v/>
      </c>
      <c r="Q3286" s="83" t="str">
        <f aca="false">IF(O3286&lt;&gt;"",O3286+P3286,"")</f>
        <v/>
      </c>
      <c r="R3286" s="84"/>
    </row>
    <row r="3287" customFormat="false" ht="15" hidden="false" customHeight="true" outlineLevel="0" collapsed="false">
      <c r="A3287" s="103"/>
      <c r="B3287" s="85"/>
      <c r="C3287" s="86"/>
      <c r="D3287" s="87"/>
      <c r="E3287" s="46" t="str">
        <f aca="false">IF(D3287&lt;&gt;"",IFERROR(VLOOKUP(D3287,PROVEEDORES!$A:$B,2,0),"!COD NO ENCONTRADO"),"")</f>
        <v/>
      </c>
      <c r="F3287" s="88" t="str">
        <f aca="false">IF(D3287&lt;&gt;"",IFERROR(VLOOKUP(D3287,PROVEEDORES!$A:$C,3,0),""),"")</f>
        <v/>
      </c>
      <c r="G3287" s="87"/>
      <c r="H3287" s="46" t="str">
        <f aca="false">IF(G3287&lt;&gt;"",IFERROR(VLOOKUP(G3287,PRODUCTOS!$A:$B,2,0),"!COD NO ENCONTRADO"),"")</f>
        <v/>
      </c>
      <c r="I3287" s="89"/>
      <c r="J3287" s="90"/>
      <c r="K3287" s="91"/>
      <c r="L3287" s="80" t="str">
        <f aca="false">IF(AND(J3287&lt;&gt;"",K3287&lt;&gt;""),J3287*K3287,"")</f>
        <v/>
      </c>
      <c r="M3287" s="81" t="str">
        <f aca="false">IF(L3287&lt;&gt;"",L3287*1.1,"")</f>
        <v/>
      </c>
      <c r="N3287" s="47" t="n">
        <f aca="false">IF(F3287="S",L3287*0.02,0)</f>
        <v>0</v>
      </c>
      <c r="O3287" s="82" t="str">
        <f aca="false">IF(L3287&lt;&gt;"",L3287+N3287,"")</f>
        <v/>
      </c>
      <c r="P3287" s="47" t="str">
        <f aca="false">IF(O3287&lt;&gt;"",O3287*0.1,"")</f>
        <v/>
      </c>
      <c r="Q3287" s="83" t="str">
        <f aca="false">IF(O3287&lt;&gt;"",O3287+P3287,"")</f>
        <v/>
      </c>
      <c r="R3287" s="84"/>
    </row>
    <row r="3288" customFormat="false" ht="15" hidden="false" customHeight="true" outlineLevel="0" collapsed="false">
      <c r="A3288" s="103"/>
      <c r="B3288" s="73"/>
      <c r="C3288" s="74"/>
      <c r="D3288" s="75"/>
      <c r="E3288" s="52" t="str">
        <f aca="false">IF(D3288&lt;&gt;"",IFERROR(VLOOKUP(D3288,PROVEEDORES!$A:$B,2,0),"!COD NO ENCONTRADO"),"")</f>
        <v/>
      </c>
      <c r="F3288" s="76" t="str">
        <f aca="false">IF(D3288&lt;&gt;"",IFERROR(VLOOKUP(D3288,PROVEEDORES!$A:$C,3,0),""),"")</f>
        <v/>
      </c>
      <c r="G3288" s="75"/>
      <c r="H3288" s="52" t="str">
        <f aca="false">IF(G3288&lt;&gt;"",IFERROR(VLOOKUP(G3288,PRODUCTOS!$A:$B,2,0),"!COD NO ENCONTRADO"),"")</f>
        <v/>
      </c>
      <c r="I3288" s="77"/>
      <c r="J3288" s="78"/>
      <c r="K3288" s="79"/>
      <c r="L3288" s="80" t="str">
        <f aca="false">IF(AND(J3288&lt;&gt;"",K3288&lt;&gt;""),J3288*K3288,"")</f>
        <v/>
      </c>
      <c r="M3288" s="81" t="str">
        <f aca="false">IF(L3288&lt;&gt;"",L3288*1.1,"")</f>
        <v/>
      </c>
      <c r="N3288" s="53" t="n">
        <f aca="false">IF(F3288="S",L3288*0.02,0)</f>
        <v>0</v>
      </c>
      <c r="O3288" s="82" t="str">
        <f aca="false">IF(L3288&lt;&gt;"",L3288+N3288,"")</f>
        <v/>
      </c>
      <c r="P3288" s="53" t="str">
        <f aca="false">IF(O3288&lt;&gt;"",O3288*0.1,"")</f>
        <v/>
      </c>
      <c r="Q3288" s="83" t="str">
        <f aca="false">IF(O3288&lt;&gt;"",O3288+P3288,"")</f>
        <v/>
      </c>
      <c r="R3288" s="84"/>
    </row>
    <row r="3289" customFormat="false" ht="15" hidden="false" customHeight="true" outlineLevel="0" collapsed="false">
      <c r="A3289" s="103"/>
      <c r="B3289" s="85"/>
      <c r="C3289" s="86"/>
      <c r="D3289" s="87"/>
      <c r="E3289" s="46" t="str">
        <f aca="false">IF(D3289&lt;&gt;"",IFERROR(VLOOKUP(D3289,PROVEEDORES!$A:$B,2,0),"!COD NO ENCONTRADO"),"")</f>
        <v/>
      </c>
      <c r="F3289" s="88" t="str">
        <f aca="false">IF(D3289&lt;&gt;"",IFERROR(VLOOKUP(D3289,PROVEEDORES!$A:$C,3,0),""),"")</f>
        <v/>
      </c>
      <c r="G3289" s="87"/>
      <c r="H3289" s="46" t="str">
        <f aca="false">IF(G3289&lt;&gt;"",IFERROR(VLOOKUP(G3289,PRODUCTOS!$A:$B,2,0),"!COD NO ENCONTRADO"),"")</f>
        <v/>
      </c>
      <c r="I3289" s="89"/>
      <c r="J3289" s="90"/>
      <c r="K3289" s="91"/>
      <c r="L3289" s="80" t="str">
        <f aca="false">IF(AND(J3289&lt;&gt;"",K3289&lt;&gt;""),J3289*K3289,"")</f>
        <v/>
      </c>
      <c r="M3289" s="81" t="str">
        <f aca="false">IF(L3289&lt;&gt;"",L3289*1.1,"")</f>
        <v/>
      </c>
      <c r="N3289" s="47" t="n">
        <f aca="false">IF(F3289="S",L3289*0.02,0)</f>
        <v>0</v>
      </c>
      <c r="O3289" s="82" t="str">
        <f aca="false">IF(L3289&lt;&gt;"",L3289+N3289,"")</f>
        <v/>
      </c>
      <c r="P3289" s="47" t="str">
        <f aca="false">IF(O3289&lt;&gt;"",O3289*0.1,"")</f>
        <v/>
      </c>
      <c r="Q3289" s="83" t="str">
        <f aca="false">IF(O3289&lt;&gt;"",O3289+P3289,"")</f>
        <v/>
      </c>
      <c r="R3289" s="84"/>
    </row>
    <row r="3290" customFormat="false" ht="15" hidden="false" customHeight="true" outlineLevel="0" collapsed="false">
      <c r="A3290" s="103"/>
      <c r="B3290" s="73"/>
      <c r="C3290" s="74"/>
      <c r="D3290" s="75"/>
      <c r="E3290" s="52" t="str">
        <f aca="false">IF(D3290&lt;&gt;"",IFERROR(VLOOKUP(D3290,PROVEEDORES!$A:$B,2,0),"!COD NO ENCONTRADO"),"")</f>
        <v/>
      </c>
      <c r="F3290" s="76" t="str">
        <f aca="false">IF(D3290&lt;&gt;"",IFERROR(VLOOKUP(D3290,PROVEEDORES!$A:$C,3,0),""),"")</f>
        <v/>
      </c>
      <c r="G3290" s="75"/>
      <c r="H3290" s="52" t="str">
        <f aca="false">IF(G3290&lt;&gt;"",IFERROR(VLOOKUP(G3290,PRODUCTOS!$A:$B,2,0),"!COD NO ENCONTRADO"),"")</f>
        <v/>
      </c>
      <c r="I3290" s="77"/>
      <c r="J3290" s="78"/>
      <c r="K3290" s="79"/>
      <c r="L3290" s="80" t="str">
        <f aca="false">IF(AND(J3290&lt;&gt;"",K3290&lt;&gt;""),J3290*K3290,"")</f>
        <v/>
      </c>
      <c r="M3290" s="81" t="str">
        <f aca="false">IF(L3290&lt;&gt;"",L3290*1.1,"")</f>
        <v/>
      </c>
      <c r="N3290" s="53" t="n">
        <f aca="false">IF(F3290="S",L3290*0.02,0)</f>
        <v>0</v>
      </c>
      <c r="O3290" s="82" t="str">
        <f aca="false">IF(L3290&lt;&gt;"",L3290+N3290,"")</f>
        <v/>
      </c>
      <c r="P3290" s="53" t="str">
        <f aca="false">IF(O3290&lt;&gt;"",O3290*0.1,"")</f>
        <v/>
      </c>
      <c r="Q3290" s="83" t="str">
        <f aca="false">IF(O3290&lt;&gt;"",O3290+P3290,"")</f>
        <v/>
      </c>
      <c r="R3290" s="84"/>
    </row>
    <row r="3291" customFormat="false" ht="15" hidden="false" customHeight="true" outlineLevel="0" collapsed="false">
      <c r="A3291" s="103"/>
      <c r="B3291" s="85"/>
      <c r="C3291" s="86"/>
      <c r="D3291" s="87"/>
      <c r="E3291" s="46" t="str">
        <f aca="false">IF(D3291&lt;&gt;"",IFERROR(VLOOKUP(D3291,PROVEEDORES!$A:$B,2,0),"!COD NO ENCONTRADO"),"")</f>
        <v/>
      </c>
      <c r="F3291" s="88" t="str">
        <f aca="false">IF(D3291&lt;&gt;"",IFERROR(VLOOKUP(D3291,PROVEEDORES!$A:$C,3,0),""),"")</f>
        <v/>
      </c>
      <c r="G3291" s="87"/>
      <c r="H3291" s="46" t="str">
        <f aca="false">IF(G3291&lt;&gt;"",IFERROR(VLOOKUP(G3291,PRODUCTOS!$A:$B,2,0),"!COD NO ENCONTRADO"),"")</f>
        <v/>
      </c>
      <c r="I3291" s="89"/>
      <c r="J3291" s="90"/>
      <c r="K3291" s="91"/>
      <c r="L3291" s="80" t="str">
        <f aca="false">IF(AND(J3291&lt;&gt;"",K3291&lt;&gt;""),J3291*K3291,"")</f>
        <v/>
      </c>
      <c r="M3291" s="81" t="str">
        <f aca="false">IF(L3291&lt;&gt;"",L3291*1.1,"")</f>
        <v/>
      </c>
      <c r="N3291" s="47" t="n">
        <f aca="false">IF(F3291="S",L3291*0.02,0)</f>
        <v>0</v>
      </c>
      <c r="O3291" s="82" t="str">
        <f aca="false">IF(L3291&lt;&gt;"",L3291+N3291,"")</f>
        <v/>
      </c>
      <c r="P3291" s="47" t="str">
        <f aca="false">IF(O3291&lt;&gt;"",O3291*0.1,"")</f>
        <v/>
      </c>
      <c r="Q3291" s="83" t="str">
        <f aca="false">IF(O3291&lt;&gt;"",O3291+P3291,"")</f>
        <v/>
      </c>
      <c r="R3291" s="84"/>
    </row>
    <row r="3292" customFormat="false" ht="15" hidden="false" customHeight="true" outlineLevel="0" collapsed="false">
      <c r="A3292" s="103"/>
      <c r="B3292" s="73"/>
      <c r="C3292" s="74"/>
      <c r="D3292" s="75"/>
      <c r="E3292" s="52" t="str">
        <f aca="false">IF(D3292&lt;&gt;"",IFERROR(VLOOKUP(D3292,PROVEEDORES!$A:$B,2,0),"!COD NO ENCONTRADO"),"")</f>
        <v/>
      </c>
      <c r="F3292" s="76" t="str">
        <f aca="false">IF(D3292&lt;&gt;"",IFERROR(VLOOKUP(D3292,PROVEEDORES!$A:$C,3,0),""),"")</f>
        <v/>
      </c>
      <c r="G3292" s="75"/>
      <c r="H3292" s="52" t="str">
        <f aca="false">IF(G3292&lt;&gt;"",IFERROR(VLOOKUP(G3292,PRODUCTOS!$A:$B,2,0),"!COD NO ENCONTRADO"),"")</f>
        <v/>
      </c>
      <c r="I3292" s="77"/>
      <c r="J3292" s="78"/>
      <c r="K3292" s="79"/>
      <c r="L3292" s="80" t="str">
        <f aca="false">IF(AND(J3292&lt;&gt;"",K3292&lt;&gt;""),J3292*K3292,"")</f>
        <v/>
      </c>
      <c r="M3292" s="81" t="str">
        <f aca="false">IF(L3292&lt;&gt;"",L3292*1.1,"")</f>
        <v/>
      </c>
      <c r="N3292" s="53" t="n">
        <f aca="false">IF(F3292="S",L3292*0.02,0)</f>
        <v>0</v>
      </c>
      <c r="O3292" s="82" t="str">
        <f aca="false">IF(L3292&lt;&gt;"",L3292+N3292,"")</f>
        <v/>
      </c>
      <c r="P3292" s="53" t="str">
        <f aca="false">IF(O3292&lt;&gt;"",O3292*0.1,"")</f>
        <v/>
      </c>
      <c r="Q3292" s="83" t="str">
        <f aca="false">IF(O3292&lt;&gt;"",O3292+P3292,"")</f>
        <v/>
      </c>
      <c r="R3292" s="84"/>
    </row>
    <row r="3293" customFormat="false" ht="15" hidden="false" customHeight="true" outlineLevel="0" collapsed="false">
      <c r="A3293" s="103"/>
      <c r="B3293" s="85"/>
      <c r="C3293" s="86"/>
      <c r="D3293" s="87"/>
      <c r="E3293" s="46" t="str">
        <f aca="false">IF(D3293&lt;&gt;"",IFERROR(VLOOKUP(D3293,PROVEEDORES!$A:$B,2,0),"!COD NO ENCONTRADO"),"")</f>
        <v/>
      </c>
      <c r="F3293" s="88" t="str">
        <f aca="false">IF(D3293&lt;&gt;"",IFERROR(VLOOKUP(D3293,PROVEEDORES!$A:$C,3,0),""),"")</f>
        <v/>
      </c>
      <c r="G3293" s="87"/>
      <c r="H3293" s="46" t="str">
        <f aca="false">IF(G3293&lt;&gt;"",IFERROR(VLOOKUP(G3293,PRODUCTOS!$A:$B,2,0),"!COD NO ENCONTRADO"),"")</f>
        <v/>
      </c>
      <c r="I3293" s="89"/>
      <c r="J3293" s="90"/>
      <c r="K3293" s="91"/>
      <c r="L3293" s="80" t="str">
        <f aca="false">IF(AND(J3293&lt;&gt;"",K3293&lt;&gt;""),J3293*K3293,"")</f>
        <v/>
      </c>
      <c r="M3293" s="81" t="str">
        <f aca="false">IF(L3293&lt;&gt;"",L3293*1.1,"")</f>
        <v/>
      </c>
      <c r="N3293" s="47" t="n">
        <f aca="false">IF(F3293="S",L3293*0.02,0)</f>
        <v>0</v>
      </c>
      <c r="O3293" s="82" t="str">
        <f aca="false">IF(L3293&lt;&gt;"",L3293+N3293,"")</f>
        <v/>
      </c>
      <c r="P3293" s="47" t="str">
        <f aca="false">IF(O3293&lt;&gt;"",O3293*0.1,"")</f>
        <v/>
      </c>
      <c r="Q3293" s="83" t="str">
        <f aca="false">IF(O3293&lt;&gt;"",O3293+P3293,"")</f>
        <v/>
      </c>
      <c r="R3293" s="84"/>
    </row>
    <row r="3294" customFormat="false" ht="15" hidden="false" customHeight="true" outlineLevel="0" collapsed="false">
      <c r="A3294" s="103"/>
      <c r="B3294" s="73"/>
      <c r="C3294" s="74"/>
      <c r="D3294" s="75"/>
      <c r="E3294" s="52" t="str">
        <f aca="false">IF(D3294&lt;&gt;"",IFERROR(VLOOKUP(D3294,PROVEEDORES!$A:$B,2,0),"!COD NO ENCONTRADO"),"")</f>
        <v/>
      </c>
      <c r="F3294" s="76" t="str">
        <f aca="false">IF(D3294&lt;&gt;"",IFERROR(VLOOKUP(D3294,PROVEEDORES!$A:$C,3,0),""),"")</f>
        <v/>
      </c>
      <c r="G3294" s="75"/>
      <c r="H3294" s="52" t="str">
        <f aca="false">IF(G3294&lt;&gt;"",IFERROR(VLOOKUP(G3294,PRODUCTOS!$A:$B,2,0),"!COD NO ENCONTRADO"),"")</f>
        <v/>
      </c>
      <c r="I3294" s="77"/>
      <c r="J3294" s="78"/>
      <c r="K3294" s="79"/>
      <c r="L3294" s="80" t="str">
        <f aca="false">IF(AND(J3294&lt;&gt;"",K3294&lt;&gt;""),J3294*K3294,"")</f>
        <v/>
      </c>
      <c r="M3294" s="81" t="str">
        <f aca="false">IF(L3294&lt;&gt;"",L3294*1.1,"")</f>
        <v/>
      </c>
      <c r="N3294" s="53" t="n">
        <f aca="false">IF(F3294="S",L3294*0.02,0)</f>
        <v>0</v>
      </c>
      <c r="O3294" s="82" t="str">
        <f aca="false">IF(L3294&lt;&gt;"",L3294+N3294,"")</f>
        <v/>
      </c>
      <c r="P3294" s="53" t="str">
        <f aca="false">IF(O3294&lt;&gt;"",O3294*0.1,"")</f>
        <v/>
      </c>
      <c r="Q3294" s="83" t="str">
        <f aca="false">IF(O3294&lt;&gt;"",O3294+P3294,"")</f>
        <v/>
      </c>
      <c r="R3294" s="84"/>
    </row>
    <row r="3295" customFormat="false" ht="15" hidden="false" customHeight="true" outlineLevel="0" collapsed="false">
      <c r="A3295" s="103"/>
      <c r="B3295" s="85"/>
      <c r="C3295" s="86"/>
      <c r="D3295" s="87"/>
      <c r="E3295" s="46" t="str">
        <f aca="false">IF(D3295&lt;&gt;"",IFERROR(VLOOKUP(D3295,PROVEEDORES!$A:$B,2,0),"!COD NO ENCONTRADO"),"")</f>
        <v/>
      </c>
      <c r="F3295" s="88" t="str">
        <f aca="false">IF(D3295&lt;&gt;"",IFERROR(VLOOKUP(D3295,PROVEEDORES!$A:$C,3,0),""),"")</f>
        <v/>
      </c>
      <c r="G3295" s="87"/>
      <c r="H3295" s="46" t="str">
        <f aca="false">IF(G3295&lt;&gt;"",IFERROR(VLOOKUP(G3295,PRODUCTOS!$A:$B,2,0),"!COD NO ENCONTRADO"),"")</f>
        <v/>
      </c>
      <c r="I3295" s="89"/>
      <c r="J3295" s="90"/>
      <c r="K3295" s="91"/>
      <c r="L3295" s="80" t="str">
        <f aca="false">IF(AND(J3295&lt;&gt;"",K3295&lt;&gt;""),J3295*K3295,"")</f>
        <v/>
      </c>
      <c r="M3295" s="81" t="str">
        <f aca="false">IF(L3295&lt;&gt;"",L3295*1.1,"")</f>
        <v/>
      </c>
      <c r="N3295" s="47" t="n">
        <f aca="false">IF(F3295="S",L3295*0.02,0)</f>
        <v>0</v>
      </c>
      <c r="O3295" s="82" t="str">
        <f aca="false">IF(L3295&lt;&gt;"",L3295+N3295,"")</f>
        <v/>
      </c>
      <c r="P3295" s="47" t="str">
        <f aca="false">IF(O3295&lt;&gt;"",O3295*0.1,"")</f>
        <v/>
      </c>
      <c r="Q3295" s="83" t="str">
        <f aca="false">IF(O3295&lt;&gt;"",O3295+P3295,"")</f>
        <v/>
      </c>
      <c r="R3295" s="84"/>
    </row>
    <row r="3296" customFormat="false" ht="15" hidden="false" customHeight="true" outlineLevel="0" collapsed="false">
      <c r="A3296" s="103"/>
      <c r="B3296" s="73"/>
      <c r="C3296" s="74"/>
      <c r="D3296" s="75"/>
      <c r="E3296" s="52" t="str">
        <f aca="false">IF(D3296&lt;&gt;"",IFERROR(VLOOKUP(D3296,PROVEEDORES!$A:$B,2,0),"!COD NO ENCONTRADO"),"")</f>
        <v/>
      </c>
      <c r="F3296" s="76" t="str">
        <f aca="false">IF(D3296&lt;&gt;"",IFERROR(VLOOKUP(D3296,PROVEEDORES!$A:$C,3,0),""),"")</f>
        <v/>
      </c>
      <c r="G3296" s="75"/>
      <c r="H3296" s="52" t="str">
        <f aca="false">IF(G3296&lt;&gt;"",IFERROR(VLOOKUP(G3296,PRODUCTOS!$A:$B,2,0),"!COD NO ENCONTRADO"),"")</f>
        <v/>
      </c>
      <c r="I3296" s="77"/>
      <c r="J3296" s="78"/>
      <c r="K3296" s="79"/>
      <c r="L3296" s="80" t="str">
        <f aca="false">IF(AND(J3296&lt;&gt;"",K3296&lt;&gt;""),J3296*K3296,"")</f>
        <v/>
      </c>
      <c r="M3296" s="81" t="str">
        <f aca="false">IF(L3296&lt;&gt;"",L3296*1.1,"")</f>
        <v/>
      </c>
      <c r="N3296" s="53" t="n">
        <f aca="false">IF(F3296="S",L3296*0.02,0)</f>
        <v>0</v>
      </c>
      <c r="O3296" s="82" t="str">
        <f aca="false">IF(L3296&lt;&gt;"",L3296+N3296,"")</f>
        <v/>
      </c>
      <c r="P3296" s="53" t="str">
        <f aca="false">IF(O3296&lt;&gt;"",O3296*0.1,"")</f>
        <v/>
      </c>
      <c r="Q3296" s="83" t="str">
        <f aca="false">IF(O3296&lt;&gt;"",O3296+P3296,"")</f>
        <v/>
      </c>
      <c r="R3296" s="84"/>
    </row>
    <row r="3297" customFormat="false" ht="15" hidden="false" customHeight="true" outlineLevel="0" collapsed="false">
      <c r="A3297" s="103"/>
      <c r="B3297" s="85"/>
      <c r="C3297" s="86"/>
      <c r="D3297" s="87"/>
      <c r="E3297" s="46" t="str">
        <f aca="false">IF(D3297&lt;&gt;"",IFERROR(VLOOKUP(D3297,PROVEEDORES!$A:$B,2,0),"!COD NO ENCONTRADO"),"")</f>
        <v/>
      </c>
      <c r="F3297" s="88" t="str">
        <f aca="false">IF(D3297&lt;&gt;"",IFERROR(VLOOKUP(D3297,PROVEEDORES!$A:$C,3,0),""),"")</f>
        <v/>
      </c>
      <c r="G3297" s="87"/>
      <c r="H3297" s="46" t="str">
        <f aca="false">IF(G3297&lt;&gt;"",IFERROR(VLOOKUP(G3297,PRODUCTOS!$A:$B,2,0),"!COD NO ENCONTRADO"),"")</f>
        <v/>
      </c>
      <c r="I3297" s="89"/>
      <c r="J3297" s="90"/>
      <c r="K3297" s="91"/>
      <c r="L3297" s="80" t="str">
        <f aca="false">IF(AND(J3297&lt;&gt;"",K3297&lt;&gt;""),J3297*K3297,"")</f>
        <v/>
      </c>
      <c r="M3297" s="81" t="str">
        <f aca="false">IF(L3297&lt;&gt;"",L3297*1.1,"")</f>
        <v/>
      </c>
      <c r="N3297" s="47" t="n">
        <f aca="false">IF(F3297="S",L3297*0.02,0)</f>
        <v>0</v>
      </c>
      <c r="O3297" s="82" t="str">
        <f aca="false">IF(L3297&lt;&gt;"",L3297+N3297,"")</f>
        <v/>
      </c>
      <c r="P3297" s="47" t="str">
        <f aca="false">IF(O3297&lt;&gt;"",O3297*0.1,"")</f>
        <v/>
      </c>
      <c r="Q3297" s="83" t="str">
        <f aca="false">IF(O3297&lt;&gt;"",O3297+P3297,"")</f>
        <v/>
      </c>
      <c r="R3297" s="84"/>
    </row>
    <row r="3298" customFormat="false" ht="15" hidden="false" customHeight="true" outlineLevel="0" collapsed="false">
      <c r="A3298" s="103"/>
      <c r="B3298" s="73"/>
      <c r="C3298" s="74"/>
      <c r="D3298" s="75"/>
      <c r="E3298" s="52" t="str">
        <f aca="false">IF(D3298&lt;&gt;"",IFERROR(VLOOKUP(D3298,PROVEEDORES!$A:$B,2,0),"!COD NO ENCONTRADO"),"")</f>
        <v/>
      </c>
      <c r="F3298" s="76" t="str">
        <f aca="false">IF(D3298&lt;&gt;"",IFERROR(VLOOKUP(D3298,PROVEEDORES!$A:$C,3,0),""),"")</f>
        <v/>
      </c>
      <c r="G3298" s="75"/>
      <c r="H3298" s="52" t="str">
        <f aca="false">IF(G3298&lt;&gt;"",IFERROR(VLOOKUP(G3298,PRODUCTOS!$A:$B,2,0),"!COD NO ENCONTRADO"),"")</f>
        <v/>
      </c>
      <c r="I3298" s="77"/>
      <c r="J3298" s="78"/>
      <c r="K3298" s="79"/>
      <c r="L3298" s="80" t="str">
        <f aca="false">IF(AND(J3298&lt;&gt;"",K3298&lt;&gt;""),J3298*K3298,"")</f>
        <v/>
      </c>
      <c r="M3298" s="81" t="str">
        <f aca="false">IF(L3298&lt;&gt;"",L3298*1.1,"")</f>
        <v/>
      </c>
      <c r="N3298" s="53" t="n">
        <f aca="false">IF(F3298="S",L3298*0.02,0)</f>
        <v>0</v>
      </c>
      <c r="O3298" s="82" t="str">
        <f aca="false">IF(L3298&lt;&gt;"",L3298+N3298,"")</f>
        <v/>
      </c>
      <c r="P3298" s="53" t="str">
        <f aca="false">IF(O3298&lt;&gt;"",O3298*0.1,"")</f>
        <v/>
      </c>
      <c r="Q3298" s="83" t="str">
        <f aca="false">IF(O3298&lt;&gt;"",O3298+P3298,"")</f>
        <v/>
      </c>
      <c r="R3298" s="84"/>
    </row>
    <row r="3299" customFormat="false" ht="15" hidden="false" customHeight="true" outlineLevel="0" collapsed="false">
      <c r="A3299" s="103"/>
      <c r="B3299" s="85"/>
      <c r="C3299" s="86"/>
      <c r="D3299" s="87"/>
      <c r="E3299" s="46" t="str">
        <f aca="false">IF(D3299&lt;&gt;"",IFERROR(VLOOKUP(D3299,PROVEEDORES!$A:$B,2,0),"!COD NO ENCONTRADO"),"")</f>
        <v/>
      </c>
      <c r="F3299" s="88" t="str">
        <f aca="false">IF(D3299&lt;&gt;"",IFERROR(VLOOKUP(D3299,PROVEEDORES!$A:$C,3,0),""),"")</f>
        <v/>
      </c>
      <c r="G3299" s="87"/>
      <c r="H3299" s="46" t="str">
        <f aca="false">IF(G3299&lt;&gt;"",IFERROR(VLOOKUP(G3299,PRODUCTOS!$A:$B,2,0),"!COD NO ENCONTRADO"),"")</f>
        <v/>
      </c>
      <c r="I3299" s="89"/>
      <c r="J3299" s="90"/>
      <c r="K3299" s="91"/>
      <c r="L3299" s="80" t="str">
        <f aca="false">IF(AND(J3299&lt;&gt;"",K3299&lt;&gt;""),J3299*K3299,"")</f>
        <v/>
      </c>
      <c r="M3299" s="81" t="str">
        <f aca="false">IF(L3299&lt;&gt;"",L3299*1.1,"")</f>
        <v/>
      </c>
      <c r="N3299" s="47" t="n">
        <f aca="false">IF(F3299="S",L3299*0.02,0)</f>
        <v>0</v>
      </c>
      <c r="O3299" s="82" t="str">
        <f aca="false">IF(L3299&lt;&gt;"",L3299+N3299,"")</f>
        <v/>
      </c>
      <c r="P3299" s="47" t="str">
        <f aca="false">IF(O3299&lt;&gt;"",O3299*0.1,"")</f>
        <v/>
      </c>
      <c r="Q3299" s="83" t="str">
        <f aca="false">IF(O3299&lt;&gt;"",O3299+P3299,"")</f>
        <v/>
      </c>
      <c r="R3299" s="84"/>
    </row>
    <row r="3300" customFormat="false" ht="15" hidden="false" customHeight="true" outlineLevel="0" collapsed="false">
      <c r="A3300" s="103"/>
      <c r="B3300" s="73"/>
      <c r="C3300" s="74"/>
      <c r="D3300" s="75"/>
      <c r="E3300" s="52" t="str">
        <f aca="false">IF(D3300&lt;&gt;"",IFERROR(VLOOKUP(D3300,PROVEEDORES!$A:$B,2,0),"!COD NO ENCONTRADO"),"")</f>
        <v/>
      </c>
      <c r="F3300" s="76" t="str">
        <f aca="false">IF(D3300&lt;&gt;"",IFERROR(VLOOKUP(D3300,PROVEEDORES!$A:$C,3,0),""),"")</f>
        <v/>
      </c>
      <c r="G3300" s="75"/>
      <c r="H3300" s="52" t="str">
        <f aca="false">IF(G3300&lt;&gt;"",IFERROR(VLOOKUP(G3300,PRODUCTOS!$A:$B,2,0),"!COD NO ENCONTRADO"),"")</f>
        <v/>
      </c>
      <c r="I3300" s="77"/>
      <c r="J3300" s="78"/>
      <c r="K3300" s="79"/>
      <c r="L3300" s="80" t="str">
        <f aca="false">IF(AND(J3300&lt;&gt;"",K3300&lt;&gt;""),J3300*K3300,"")</f>
        <v/>
      </c>
      <c r="M3300" s="81" t="str">
        <f aca="false">IF(L3300&lt;&gt;"",L3300*1.1,"")</f>
        <v/>
      </c>
      <c r="N3300" s="53" t="n">
        <f aca="false">IF(F3300="S",L3300*0.02,0)</f>
        <v>0</v>
      </c>
      <c r="O3300" s="82" t="str">
        <f aca="false">IF(L3300&lt;&gt;"",L3300+N3300,"")</f>
        <v/>
      </c>
      <c r="P3300" s="53" t="str">
        <f aca="false">IF(O3300&lt;&gt;"",O3300*0.1,"")</f>
        <v/>
      </c>
      <c r="Q3300" s="83" t="str">
        <f aca="false">IF(O3300&lt;&gt;"",O3300+P3300,"")</f>
        <v/>
      </c>
      <c r="R3300" s="84"/>
    </row>
    <row r="3301" customFormat="false" ht="15" hidden="false" customHeight="true" outlineLevel="0" collapsed="false">
      <c r="A3301" s="103"/>
      <c r="B3301" s="85"/>
      <c r="C3301" s="86"/>
      <c r="D3301" s="87"/>
      <c r="E3301" s="46" t="str">
        <f aca="false">IF(D3301&lt;&gt;"",IFERROR(VLOOKUP(D3301,PROVEEDORES!$A:$B,2,0),"!COD NO ENCONTRADO"),"")</f>
        <v/>
      </c>
      <c r="F3301" s="88" t="str">
        <f aca="false">IF(D3301&lt;&gt;"",IFERROR(VLOOKUP(D3301,PROVEEDORES!$A:$C,3,0),""),"")</f>
        <v/>
      </c>
      <c r="G3301" s="87"/>
      <c r="H3301" s="46" t="str">
        <f aca="false">IF(G3301&lt;&gt;"",IFERROR(VLOOKUP(G3301,PRODUCTOS!$A:$B,2,0),"!COD NO ENCONTRADO"),"")</f>
        <v/>
      </c>
      <c r="I3301" s="89"/>
      <c r="J3301" s="90"/>
      <c r="K3301" s="91"/>
      <c r="L3301" s="80" t="str">
        <f aca="false">IF(AND(J3301&lt;&gt;"",K3301&lt;&gt;""),J3301*K3301,"")</f>
        <v/>
      </c>
      <c r="M3301" s="81" t="str">
        <f aca="false">IF(L3301&lt;&gt;"",L3301*1.1,"")</f>
        <v/>
      </c>
      <c r="N3301" s="47" t="n">
        <f aca="false">IF(F3301="S",L3301*0.02,0)</f>
        <v>0</v>
      </c>
      <c r="O3301" s="82" t="str">
        <f aca="false">IF(L3301&lt;&gt;"",L3301+N3301,"")</f>
        <v/>
      </c>
      <c r="P3301" s="47" t="str">
        <f aca="false">IF(O3301&lt;&gt;"",O3301*0.1,"")</f>
        <v/>
      </c>
      <c r="Q3301" s="83" t="str">
        <f aca="false">IF(O3301&lt;&gt;"",O3301+P3301,"")</f>
        <v/>
      </c>
      <c r="R3301" s="84"/>
    </row>
    <row r="3302" customFormat="false" ht="15" hidden="false" customHeight="true" outlineLevel="0" collapsed="false">
      <c r="A3302" s="103"/>
      <c r="B3302" s="73"/>
      <c r="C3302" s="74"/>
      <c r="D3302" s="75"/>
      <c r="E3302" s="52" t="str">
        <f aca="false">IF(D3302&lt;&gt;"",IFERROR(VLOOKUP(D3302,PROVEEDORES!$A:$B,2,0),"!COD NO ENCONTRADO"),"")</f>
        <v/>
      </c>
      <c r="F3302" s="76" t="str">
        <f aca="false">IF(D3302&lt;&gt;"",IFERROR(VLOOKUP(D3302,PROVEEDORES!$A:$C,3,0),""),"")</f>
        <v/>
      </c>
      <c r="G3302" s="75"/>
      <c r="H3302" s="52" t="str">
        <f aca="false">IF(G3302&lt;&gt;"",IFERROR(VLOOKUP(G3302,PRODUCTOS!$A:$B,2,0),"!COD NO ENCONTRADO"),"")</f>
        <v/>
      </c>
      <c r="I3302" s="77"/>
      <c r="J3302" s="78"/>
      <c r="K3302" s="79"/>
      <c r="L3302" s="80" t="str">
        <f aca="false">IF(AND(J3302&lt;&gt;"",K3302&lt;&gt;""),J3302*K3302,"")</f>
        <v/>
      </c>
      <c r="M3302" s="81" t="str">
        <f aca="false">IF(L3302&lt;&gt;"",L3302*1.1,"")</f>
        <v/>
      </c>
      <c r="N3302" s="53" t="n">
        <f aca="false">IF(F3302="S",L3302*0.02,0)</f>
        <v>0</v>
      </c>
      <c r="O3302" s="82" t="str">
        <f aca="false">IF(L3302&lt;&gt;"",L3302+N3302,"")</f>
        <v/>
      </c>
      <c r="P3302" s="53" t="str">
        <f aca="false">IF(O3302&lt;&gt;"",O3302*0.1,"")</f>
        <v/>
      </c>
      <c r="Q3302" s="83" t="str">
        <f aca="false">IF(O3302&lt;&gt;"",O3302+P3302,"")</f>
        <v/>
      </c>
      <c r="R3302" s="84"/>
    </row>
    <row r="3303" customFormat="false" ht="15" hidden="false" customHeight="true" outlineLevel="0" collapsed="false">
      <c r="A3303" s="103"/>
      <c r="B3303" s="85"/>
      <c r="C3303" s="86"/>
      <c r="D3303" s="87"/>
      <c r="E3303" s="46" t="str">
        <f aca="false">IF(D3303&lt;&gt;"",IFERROR(VLOOKUP(D3303,PROVEEDORES!$A:$B,2,0),"!COD NO ENCONTRADO"),"")</f>
        <v/>
      </c>
      <c r="F3303" s="88" t="str">
        <f aca="false">IF(D3303&lt;&gt;"",IFERROR(VLOOKUP(D3303,PROVEEDORES!$A:$C,3,0),""),"")</f>
        <v/>
      </c>
      <c r="G3303" s="87"/>
      <c r="H3303" s="46" t="str">
        <f aca="false">IF(G3303&lt;&gt;"",IFERROR(VLOOKUP(G3303,PRODUCTOS!$A:$B,2,0),"!COD NO ENCONTRADO"),"")</f>
        <v/>
      </c>
      <c r="I3303" s="89"/>
      <c r="J3303" s="90"/>
      <c r="K3303" s="91"/>
      <c r="L3303" s="80" t="str">
        <f aca="false">IF(AND(J3303&lt;&gt;"",K3303&lt;&gt;""),J3303*K3303,"")</f>
        <v/>
      </c>
      <c r="M3303" s="81" t="str">
        <f aca="false">IF(L3303&lt;&gt;"",L3303*1.1,"")</f>
        <v/>
      </c>
      <c r="N3303" s="47" t="n">
        <f aca="false">IF(F3303="S",L3303*0.02,0)</f>
        <v>0</v>
      </c>
      <c r="O3303" s="82" t="str">
        <f aca="false">IF(L3303&lt;&gt;"",L3303+N3303,"")</f>
        <v/>
      </c>
      <c r="P3303" s="47" t="str">
        <f aca="false">IF(O3303&lt;&gt;"",O3303*0.1,"")</f>
        <v/>
      </c>
      <c r="Q3303" s="83" t="str">
        <f aca="false">IF(O3303&lt;&gt;"",O3303+P3303,"")</f>
        <v/>
      </c>
      <c r="R3303" s="84"/>
    </row>
    <row r="3304" customFormat="false" ht="15" hidden="false" customHeight="true" outlineLevel="0" collapsed="false">
      <c r="A3304" s="103"/>
      <c r="B3304" s="73"/>
      <c r="C3304" s="74"/>
      <c r="D3304" s="75"/>
      <c r="E3304" s="52" t="str">
        <f aca="false">IF(D3304&lt;&gt;"",IFERROR(VLOOKUP(D3304,PROVEEDORES!$A:$B,2,0),"!COD NO ENCONTRADO"),"")</f>
        <v/>
      </c>
      <c r="F3304" s="76" t="str">
        <f aca="false">IF(D3304&lt;&gt;"",IFERROR(VLOOKUP(D3304,PROVEEDORES!$A:$C,3,0),""),"")</f>
        <v/>
      </c>
      <c r="G3304" s="75"/>
      <c r="H3304" s="52" t="str">
        <f aca="false">IF(G3304&lt;&gt;"",IFERROR(VLOOKUP(G3304,PRODUCTOS!$A:$B,2,0),"!COD NO ENCONTRADO"),"")</f>
        <v/>
      </c>
      <c r="I3304" s="77"/>
      <c r="J3304" s="78"/>
      <c r="K3304" s="79"/>
      <c r="L3304" s="80" t="str">
        <f aca="false">IF(AND(J3304&lt;&gt;"",K3304&lt;&gt;""),J3304*K3304,"")</f>
        <v/>
      </c>
      <c r="M3304" s="81" t="str">
        <f aca="false">IF(L3304&lt;&gt;"",L3304*1.1,"")</f>
        <v/>
      </c>
      <c r="N3304" s="53" t="n">
        <f aca="false">IF(F3304="S",L3304*0.02,0)</f>
        <v>0</v>
      </c>
      <c r="O3304" s="82" t="str">
        <f aca="false">IF(L3304&lt;&gt;"",L3304+N3304,"")</f>
        <v/>
      </c>
      <c r="P3304" s="53" t="str">
        <f aca="false">IF(O3304&lt;&gt;"",O3304*0.1,"")</f>
        <v/>
      </c>
      <c r="Q3304" s="83" t="str">
        <f aca="false">IF(O3304&lt;&gt;"",O3304+P3304,"")</f>
        <v/>
      </c>
      <c r="R3304" s="84"/>
    </row>
    <row r="3305" customFormat="false" ht="15" hidden="false" customHeight="true" outlineLevel="0" collapsed="false">
      <c r="A3305" s="103"/>
      <c r="B3305" s="85"/>
      <c r="C3305" s="86"/>
      <c r="D3305" s="87"/>
      <c r="E3305" s="46" t="str">
        <f aca="false">IF(D3305&lt;&gt;"",IFERROR(VLOOKUP(D3305,PROVEEDORES!$A:$B,2,0),"!COD NO ENCONTRADO"),"")</f>
        <v/>
      </c>
      <c r="F3305" s="88" t="str">
        <f aca="false">IF(D3305&lt;&gt;"",IFERROR(VLOOKUP(D3305,PROVEEDORES!$A:$C,3,0),""),"")</f>
        <v/>
      </c>
      <c r="G3305" s="87"/>
      <c r="H3305" s="46" t="str">
        <f aca="false">IF(G3305&lt;&gt;"",IFERROR(VLOOKUP(G3305,PRODUCTOS!$A:$B,2,0),"!COD NO ENCONTRADO"),"")</f>
        <v/>
      </c>
      <c r="I3305" s="89"/>
      <c r="J3305" s="90"/>
      <c r="K3305" s="91"/>
      <c r="L3305" s="80" t="str">
        <f aca="false">IF(AND(J3305&lt;&gt;"",K3305&lt;&gt;""),J3305*K3305,"")</f>
        <v/>
      </c>
      <c r="M3305" s="81" t="str">
        <f aca="false">IF(L3305&lt;&gt;"",L3305*1.1,"")</f>
        <v/>
      </c>
      <c r="N3305" s="47" t="n">
        <f aca="false">IF(F3305="S",L3305*0.02,0)</f>
        <v>0</v>
      </c>
      <c r="O3305" s="82" t="str">
        <f aca="false">IF(L3305&lt;&gt;"",L3305+N3305,"")</f>
        <v/>
      </c>
      <c r="P3305" s="47" t="str">
        <f aca="false">IF(O3305&lt;&gt;"",O3305*0.1,"")</f>
        <v/>
      </c>
      <c r="Q3305" s="83" t="str">
        <f aca="false">IF(O3305&lt;&gt;"",O3305+P3305,"")</f>
        <v/>
      </c>
      <c r="R3305" s="84"/>
    </row>
    <row r="3306" customFormat="false" ht="15" hidden="false" customHeight="true" outlineLevel="0" collapsed="false">
      <c r="A3306" s="103"/>
      <c r="B3306" s="73"/>
      <c r="C3306" s="74"/>
      <c r="D3306" s="75"/>
      <c r="E3306" s="52" t="str">
        <f aca="false">IF(D3306&lt;&gt;"",IFERROR(VLOOKUP(D3306,PROVEEDORES!$A:$B,2,0),"!COD NO ENCONTRADO"),"")</f>
        <v/>
      </c>
      <c r="F3306" s="76" t="str">
        <f aca="false">IF(D3306&lt;&gt;"",IFERROR(VLOOKUP(D3306,PROVEEDORES!$A:$C,3,0),""),"")</f>
        <v/>
      </c>
      <c r="G3306" s="75"/>
      <c r="H3306" s="52" t="str">
        <f aca="false">IF(G3306&lt;&gt;"",IFERROR(VLOOKUP(G3306,PRODUCTOS!$A:$B,2,0),"!COD NO ENCONTRADO"),"")</f>
        <v/>
      </c>
      <c r="I3306" s="77"/>
      <c r="J3306" s="78"/>
      <c r="K3306" s="79"/>
      <c r="L3306" s="80" t="str">
        <f aca="false">IF(AND(J3306&lt;&gt;"",K3306&lt;&gt;""),J3306*K3306,"")</f>
        <v/>
      </c>
      <c r="M3306" s="81" t="str">
        <f aca="false">IF(L3306&lt;&gt;"",L3306*1.1,"")</f>
        <v/>
      </c>
      <c r="N3306" s="53" t="n">
        <f aca="false">IF(F3306="S",L3306*0.02,0)</f>
        <v>0</v>
      </c>
      <c r="O3306" s="82" t="str">
        <f aca="false">IF(L3306&lt;&gt;"",L3306+N3306,"")</f>
        <v/>
      </c>
      <c r="P3306" s="53" t="str">
        <f aca="false">IF(O3306&lt;&gt;"",O3306*0.1,"")</f>
        <v/>
      </c>
      <c r="Q3306" s="83" t="str">
        <f aca="false">IF(O3306&lt;&gt;"",O3306+P3306,"")</f>
        <v/>
      </c>
      <c r="R3306" s="84"/>
    </row>
    <row r="3307" customFormat="false" ht="15" hidden="false" customHeight="true" outlineLevel="0" collapsed="false">
      <c r="A3307" s="103"/>
      <c r="B3307" s="85"/>
      <c r="C3307" s="86"/>
      <c r="D3307" s="87"/>
      <c r="E3307" s="46" t="str">
        <f aca="false">IF(D3307&lt;&gt;"",IFERROR(VLOOKUP(D3307,PROVEEDORES!$A:$B,2,0),"!COD NO ENCONTRADO"),"")</f>
        <v/>
      </c>
      <c r="F3307" s="88" t="str">
        <f aca="false">IF(D3307&lt;&gt;"",IFERROR(VLOOKUP(D3307,PROVEEDORES!$A:$C,3,0),""),"")</f>
        <v/>
      </c>
      <c r="G3307" s="87"/>
      <c r="H3307" s="46" t="str">
        <f aca="false">IF(G3307&lt;&gt;"",IFERROR(VLOOKUP(G3307,PRODUCTOS!$A:$B,2,0),"!COD NO ENCONTRADO"),"")</f>
        <v/>
      </c>
      <c r="I3307" s="89"/>
      <c r="J3307" s="90"/>
      <c r="K3307" s="91"/>
      <c r="L3307" s="80" t="str">
        <f aca="false">IF(AND(J3307&lt;&gt;"",K3307&lt;&gt;""),J3307*K3307,"")</f>
        <v/>
      </c>
      <c r="M3307" s="81" t="str">
        <f aca="false">IF(L3307&lt;&gt;"",L3307*1.1,"")</f>
        <v/>
      </c>
      <c r="N3307" s="47" t="n">
        <f aca="false">IF(F3307="S",L3307*0.02,0)</f>
        <v>0</v>
      </c>
      <c r="O3307" s="82" t="str">
        <f aca="false">IF(L3307&lt;&gt;"",L3307+N3307,"")</f>
        <v/>
      </c>
      <c r="P3307" s="47" t="str">
        <f aca="false">IF(O3307&lt;&gt;"",O3307*0.1,"")</f>
        <v/>
      </c>
      <c r="Q3307" s="83" t="str">
        <f aca="false">IF(O3307&lt;&gt;"",O3307+P3307,"")</f>
        <v/>
      </c>
      <c r="R3307" s="84"/>
    </row>
    <row r="3308" customFormat="false" ht="15" hidden="false" customHeight="true" outlineLevel="0" collapsed="false">
      <c r="A3308" s="103"/>
      <c r="B3308" s="73"/>
      <c r="C3308" s="74"/>
      <c r="D3308" s="75"/>
      <c r="E3308" s="52" t="str">
        <f aca="false">IF(D3308&lt;&gt;"",IFERROR(VLOOKUP(D3308,PROVEEDORES!$A:$B,2,0),"!COD NO ENCONTRADO"),"")</f>
        <v/>
      </c>
      <c r="F3308" s="76" t="str">
        <f aca="false">IF(D3308&lt;&gt;"",IFERROR(VLOOKUP(D3308,PROVEEDORES!$A:$C,3,0),""),"")</f>
        <v/>
      </c>
      <c r="G3308" s="75"/>
      <c r="H3308" s="52" t="str">
        <f aca="false">IF(G3308&lt;&gt;"",IFERROR(VLOOKUP(G3308,PRODUCTOS!$A:$B,2,0),"!COD NO ENCONTRADO"),"")</f>
        <v/>
      </c>
      <c r="I3308" s="77"/>
      <c r="J3308" s="78"/>
      <c r="K3308" s="79"/>
      <c r="L3308" s="80" t="str">
        <f aca="false">IF(AND(J3308&lt;&gt;"",K3308&lt;&gt;""),J3308*K3308,"")</f>
        <v/>
      </c>
      <c r="M3308" s="81" t="str">
        <f aca="false">IF(L3308&lt;&gt;"",L3308*1.1,"")</f>
        <v/>
      </c>
      <c r="N3308" s="53" t="n">
        <f aca="false">IF(F3308="S",L3308*0.02,0)</f>
        <v>0</v>
      </c>
      <c r="O3308" s="82" t="str">
        <f aca="false">IF(L3308&lt;&gt;"",L3308+N3308,"")</f>
        <v/>
      </c>
      <c r="P3308" s="53" t="str">
        <f aca="false">IF(O3308&lt;&gt;"",O3308*0.1,"")</f>
        <v/>
      </c>
      <c r="Q3308" s="83" t="str">
        <f aca="false">IF(O3308&lt;&gt;"",O3308+P3308,"")</f>
        <v/>
      </c>
      <c r="R3308" s="84"/>
    </row>
    <row r="3309" customFormat="false" ht="15" hidden="false" customHeight="true" outlineLevel="0" collapsed="false">
      <c r="A3309" s="103"/>
      <c r="B3309" s="85"/>
      <c r="C3309" s="86"/>
      <c r="D3309" s="87"/>
      <c r="E3309" s="46" t="str">
        <f aca="false">IF(D3309&lt;&gt;"",IFERROR(VLOOKUP(D3309,PROVEEDORES!$A:$B,2,0),"!COD NO ENCONTRADO"),"")</f>
        <v/>
      </c>
      <c r="F3309" s="88" t="str">
        <f aca="false">IF(D3309&lt;&gt;"",IFERROR(VLOOKUP(D3309,PROVEEDORES!$A:$C,3,0),""),"")</f>
        <v/>
      </c>
      <c r="G3309" s="87"/>
      <c r="H3309" s="46" t="str">
        <f aca="false">IF(G3309&lt;&gt;"",IFERROR(VLOOKUP(G3309,PRODUCTOS!$A:$B,2,0),"!COD NO ENCONTRADO"),"")</f>
        <v/>
      </c>
      <c r="I3309" s="89"/>
      <c r="J3309" s="90"/>
      <c r="K3309" s="91"/>
      <c r="L3309" s="80" t="str">
        <f aca="false">IF(AND(J3309&lt;&gt;"",K3309&lt;&gt;""),J3309*K3309,"")</f>
        <v/>
      </c>
      <c r="M3309" s="81" t="str">
        <f aca="false">IF(L3309&lt;&gt;"",L3309*1.1,"")</f>
        <v/>
      </c>
      <c r="N3309" s="47" t="n">
        <f aca="false">IF(F3309="S",L3309*0.02,0)</f>
        <v>0</v>
      </c>
      <c r="O3309" s="82" t="str">
        <f aca="false">IF(L3309&lt;&gt;"",L3309+N3309,"")</f>
        <v/>
      </c>
      <c r="P3309" s="47" t="str">
        <f aca="false">IF(O3309&lt;&gt;"",O3309*0.1,"")</f>
        <v/>
      </c>
      <c r="Q3309" s="83" t="str">
        <f aca="false">IF(O3309&lt;&gt;"",O3309+P3309,"")</f>
        <v/>
      </c>
      <c r="R3309" s="84"/>
    </row>
    <row r="3310" customFormat="false" ht="15" hidden="false" customHeight="true" outlineLevel="0" collapsed="false">
      <c r="A3310" s="103"/>
      <c r="B3310" s="73"/>
      <c r="C3310" s="74"/>
      <c r="D3310" s="75"/>
      <c r="E3310" s="52" t="str">
        <f aca="false">IF(D3310&lt;&gt;"",IFERROR(VLOOKUP(D3310,PROVEEDORES!$A:$B,2,0),"!COD NO ENCONTRADO"),"")</f>
        <v/>
      </c>
      <c r="F3310" s="76" t="str">
        <f aca="false">IF(D3310&lt;&gt;"",IFERROR(VLOOKUP(D3310,PROVEEDORES!$A:$C,3,0),""),"")</f>
        <v/>
      </c>
      <c r="G3310" s="75"/>
      <c r="H3310" s="52" t="str">
        <f aca="false">IF(G3310&lt;&gt;"",IFERROR(VLOOKUP(G3310,PRODUCTOS!$A:$B,2,0),"!COD NO ENCONTRADO"),"")</f>
        <v/>
      </c>
      <c r="I3310" s="77"/>
      <c r="J3310" s="78"/>
      <c r="K3310" s="79"/>
      <c r="L3310" s="80" t="str">
        <f aca="false">IF(AND(J3310&lt;&gt;"",K3310&lt;&gt;""),J3310*K3310,"")</f>
        <v/>
      </c>
      <c r="M3310" s="81" t="str">
        <f aca="false">IF(L3310&lt;&gt;"",L3310*1.1,"")</f>
        <v/>
      </c>
      <c r="N3310" s="53" t="n">
        <f aca="false">IF(F3310="S",L3310*0.02,0)</f>
        <v>0</v>
      </c>
      <c r="O3310" s="82" t="str">
        <f aca="false">IF(L3310&lt;&gt;"",L3310+N3310,"")</f>
        <v/>
      </c>
      <c r="P3310" s="53" t="str">
        <f aca="false">IF(O3310&lt;&gt;"",O3310*0.1,"")</f>
        <v/>
      </c>
      <c r="Q3310" s="83" t="str">
        <f aca="false">IF(O3310&lt;&gt;"",O3310+P3310,"")</f>
        <v/>
      </c>
      <c r="R3310" s="84"/>
    </row>
    <row r="3311" customFormat="false" ht="15" hidden="false" customHeight="true" outlineLevel="0" collapsed="false">
      <c r="A3311" s="103"/>
      <c r="B3311" s="85"/>
      <c r="C3311" s="86"/>
      <c r="D3311" s="87"/>
      <c r="E3311" s="46" t="str">
        <f aca="false">IF(D3311&lt;&gt;"",IFERROR(VLOOKUP(D3311,PROVEEDORES!$A:$B,2,0),"!COD NO ENCONTRADO"),"")</f>
        <v/>
      </c>
      <c r="F3311" s="88" t="str">
        <f aca="false">IF(D3311&lt;&gt;"",IFERROR(VLOOKUP(D3311,PROVEEDORES!$A:$C,3,0),""),"")</f>
        <v/>
      </c>
      <c r="G3311" s="87"/>
      <c r="H3311" s="46" t="str">
        <f aca="false">IF(G3311&lt;&gt;"",IFERROR(VLOOKUP(G3311,PRODUCTOS!$A:$B,2,0),"!COD NO ENCONTRADO"),"")</f>
        <v/>
      </c>
      <c r="I3311" s="89"/>
      <c r="J3311" s="90"/>
      <c r="K3311" s="91"/>
      <c r="L3311" s="80" t="str">
        <f aca="false">IF(AND(J3311&lt;&gt;"",K3311&lt;&gt;""),J3311*K3311,"")</f>
        <v/>
      </c>
      <c r="M3311" s="81" t="str">
        <f aca="false">IF(L3311&lt;&gt;"",L3311*1.1,"")</f>
        <v/>
      </c>
      <c r="N3311" s="47" t="n">
        <f aca="false">IF(F3311="S",L3311*0.02,0)</f>
        <v>0</v>
      </c>
      <c r="O3311" s="82" t="str">
        <f aca="false">IF(L3311&lt;&gt;"",L3311+N3311,"")</f>
        <v/>
      </c>
      <c r="P3311" s="47" t="str">
        <f aca="false">IF(O3311&lt;&gt;"",O3311*0.1,"")</f>
        <v/>
      </c>
      <c r="Q3311" s="83" t="str">
        <f aca="false">IF(O3311&lt;&gt;"",O3311+P3311,"")</f>
        <v/>
      </c>
      <c r="R3311" s="84"/>
    </row>
    <row r="3312" customFormat="false" ht="15" hidden="false" customHeight="true" outlineLevel="0" collapsed="false">
      <c r="A3312" s="103"/>
      <c r="B3312" s="73"/>
      <c r="C3312" s="74"/>
      <c r="D3312" s="75"/>
      <c r="E3312" s="52" t="str">
        <f aca="false">IF(D3312&lt;&gt;"",IFERROR(VLOOKUP(D3312,PROVEEDORES!$A:$B,2,0),"!COD NO ENCONTRADO"),"")</f>
        <v/>
      </c>
      <c r="F3312" s="76" t="str">
        <f aca="false">IF(D3312&lt;&gt;"",IFERROR(VLOOKUP(D3312,PROVEEDORES!$A:$C,3,0),""),"")</f>
        <v/>
      </c>
      <c r="G3312" s="75"/>
      <c r="H3312" s="52" t="str">
        <f aca="false">IF(G3312&lt;&gt;"",IFERROR(VLOOKUP(G3312,PRODUCTOS!$A:$B,2,0),"!COD NO ENCONTRADO"),"")</f>
        <v/>
      </c>
      <c r="I3312" s="77"/>
      <c r="J3312" s="78"/>
      <c r="K3312" s="79"/>
      <c r="L3312" s="80" t="str">
        <f aca="false">IF(AND(J3312&lt;&gt;"",K3312&lt;&gt;""),J3312*K3312,"")</f>
        <v/>
      </c>
      <c r="M3312" s="81" t="str">
        <f aca="false">IF(L3312&lt;&gt;"",L3312*1.1,"")</f>
        <v/>
      </c>
      <c r="N3312" s="53" t="n">
        <f aca="false">IF(F3312="S",L3312*0.02,0)</f>
        <v>0</v>
      </c>
      <c r="O3312" s="82" t="str">
        <f aca="false">IF(L3312&lt;&gt;"",L3312+N3312,"")</f>
        <v/>
      </c>
      <c r="P3312" s="53" t="str">
        <f aca="false">IF(O3312&lt;&gt;"",O3312*0.1,"")</f>
        <v/>
      </c>
      <c r="Q3312" s="83" t="str">
        <f aca="false">IF(O3312&lt;&gt;"",O3312+P3312,"")</f>
        <v/>
      </c>
      <c r="R3312" s="84"/>
    </row>
    <row r="3313" customFormat="false" ht="15" hidden="false" customHeight="true" outlineLevel="0" collapsed="false">
      <c r="A3313" s="103"/>
      <c r="B3313" s="85"/>
      <c r="C3313" s="86"/>
      <c r="D3313" s="87"/>
      <c r="E3313" s="46" t="str">
        <f aca="false">IF(D3313&lt;&gt;"",IFERROR(VLOOKUP(D3313,PROVEEDORES!$A:$B,2,0),"!COD NO ENCONTRADO"),"")</f>
        <v/>
      </c>
      <c r="F3313" s="88" t="str">
        <f aca="false">IF(D3313&lt;&gt;"",IFERROR(VLOOKUP(D3313,PROVEEDORES!$A:$C,3,0),""),"")</f>
        <v/>
      </c>
      <c r="G3313" s="87"/>
      <c r="H3313" s="46" t="str">
        <f aca="false">IF(G3313&lt;&gt;"",IFERROR(VLOOKUP(G3313,PRODUCTOS!$A:$B,2,0),"!COD NO ENCONTRADO"),"")</f>
        <v/>
      </c>
      <c r="I3313" s="89"/>
      <c r="J3313" s="90"/>
      <c r="K3313" s="91"/>
      <c r="L3313" s="80" t="str">
        <f aca="false">IF(AND(J3313&lt;&gt;"",K3313&lt;&gt;""),J3313*K3313,"")</f>
        <v/>
      </c>
      <c r="M3313" s="81" t="str">
        <f aca="false">IF(L3313&lt;&gt;"",L3313*1.1,"")</f>
        <v/>
      </c>
      <c r="N3313" s="47" t="n">
        <f aca="false">IF(F3313="S",L3313*0.02,0)</f>
        <v>0</v>
      </c>
      <c r="O3313" s="82" t="str">
        <f aca="false">IF(L3313&lt;&gt;"",L3313+N3313,"")</f>
        <v/>
      </c>
      <c r="P3313" s="47" t="str">
        <f aca="false">IF(O3313&lt;&gt;"",O3313*0.1,"")</f>
        <v/>
      </c>
      <c r="Q3313" s="83" t="str">
        <f aca="false">IF(O3313&lt;&gt;"",O3313+P3313,"")</f>
        <v/>
      </c>
      <c r="R3313" s="84"/>
    </row>
    <row r="3314" customFormat="false" ht="15" hidden="false" customHeight="true" outlineLevel="0" collapsed="false">
      <c r="A3314" s="103"/>
      <c r="B3314" s="73"/>
      <c r="C3314" s="74"/>
      <c r="D3314" s="75"/>
      <c r="E3314" s="52" t="str">
        <f aca="false">IF(D3314&lt;&gt;"",IFERROR(VLOOKUP(D3314,PROVEEDORES!$A:$B,2,0),"!COD NO ENCONTRADO"),"")</f>
        <v/>
      </c>
      <c r="F3314" s="76" t="str">
        <f aca="false">IF(D3314&lt;&gt;"",IFERROR(VLOOKUP(D3314,PROVEEDORES!$A:$C,3,0),""),"")</f>
        <v/>
      </c>
      <c r="G3314" s="75"/>
      <c r="H3314" s="52" t="str">
        <f aca="false">IF(G3314&lt;&gt;"",IFERROR(VLOOKUP(G3314,PRODUCTOS!$A:$B,2,0),"!COD NO ENCONTRADO"),"")</f>
        <v/>
      </c>
      <c r="I3314" s="77"/>
      <c r="J3314" s="78"/>
      <c r="K3314" s="79"/>
      <c r="L3314" s="80" t="str">
        <f aca="false">IF(AND(J3314&lt;&gt;"",K3314&lt;&gt;""),J3314*K3314,"")</f>
        <v/>
      </c>
      <c r="M3314" s="81" t="str">
        <f aca="false">IF(L3314&lt;&gt;"",L3314*1.1,"")</f>
        <v/>
      </c>
      <c r="N3314" s="53" t="n">
        <f aca="false">IF(F3314="S",L3314*0.02,0)</f>
        <v>0</v>
      </c>
      <c r="O3314" s="82" t="str">
        <f aca="false">IF(L3314&lt;&gt;"",L3314+N3314,"")</f>
        <v/>
      </c>
      <c r="P3314" s="53" t="str">
        <f aca="false">IF(O3314&lt;&gt;"",O3314*0.1,"")</f>
        <v/>
      </c>
      <c r="Q3314" s="83" t="str">
        <f aca="false">IF(O3314&lt;&gt;"",O3314+P3314,"")</f>
        <v/>
      </c>
      <c r="R3314" s="84"/>
    </row>
    <row r="3315" customFormat="false" ht="15" hidden="false" customHeight="true" outlineLevel="0" collapsed="false">
      <c r="A3315" s="103"/>
      <c r="B3315" s="85"/>
      <c r="C3315" s="86"/>
      <c r="D3315" s="87"/>
      <c r="E3315" s="46" t="str">
        <f aca="false">IF(D3315&lt;&gt;"",IFERROR(VLOOKUP(D3315,PROVEEDORES!$A:$B,2,0),"!COD NO ENCONTRADO"),"")</f>
        <v/>
      </c>
      <c r="F3315" s="88" t="str">
        <f aca="false">IF(D3315&lt;&gt;"",IFERROR(VLOOKUP(D3315,PROVEEDORES!$A:$C,3,0),""),"")</f>
        <v/>
      </c>
      <c r="G3315" s="87"/>
      <c r="H3315" s="46" t="str">
        <f aca="false">IF(G3315&lt;&gt;"",IFERROR(VLOOKUP(G3315,PRODUCTOS!$A:$B,2,0),"!COD NO ENCONTRADO"),"")</f>
        <v/>
      </c>
      <c r="I3315" s="89"/>
      <c r="J3315" s="90"/>
      <c r="K3315" s="91"/>
      <c r="L3315" s="80" t="str">
        <f aca="false">IF(AND(J3315&lt;&gt;"",K3315&lt;&gt;""),J3315*K3315,"")</f>
        <v/>
      </c>
      <c r="M3315" s="81" t="str">
        <f aca="false">IF(L3315&lt;&gt;"",L3315*1.1,"")</f>
        <v/>
      </c>
      <c r="N3315" s="47" t="n">
        <f aca="false">IF(F3315="S",L3315*0.02,0)</f>
        <v>0</v>
      </c>
      <c r="O3315" s="82" t="str">
        <f aca="false">IF(L3315&lt;&gt;"",L3315+N3315,"")</f>
        <v/>
      </c>
      <c r="P3315" s="47" t="str">
        <f aca="false">IF(O3315&lt;&gt;"",O3315*0.1,"")</f>
        <v/>
      </c>
      <c r="Q3315" s="83" t="str">
        <f aca="false">IF(O3315&lt;&gt;"",O3315+P3315,"")</f>
        <v/>
      </c>
      <c r="R3315" s="84"/>
    </row>
    <row r="3316" customFormat="false" ht="15" hidden="false" customHeight="true" outlineLevel="0" collapsed="false">
      <c r="A3316" s="103"/>
      <c r="B3316" s="73"/>
      <c r="C3316" s="74"/>
      <c r="D3316" s="75"/>
      <c r="E3316" s="52" t="str">
        <f aca="false">IF(D3316&lt;&gt;"",IFERROR(VLOOKUP(D3316,PROVEEDORES!$A:$B,2,0),"!COD NO ENCONTRADO"),"")</f>
        <v/>
      </c>
      <c r="F3316" s="76" t="str">
        <f aca="false">IF(D3316&lt;&gt;"",IFERROR(VLOOKUP(D3316,PROVEEDORES!$A:$C,3,0),""),"")</f>
        <v/>
      </c>
      <c r="G3316" s="75"/>
      <c r="H3316" s="52" t="str">
        <f aca="false">IF(G3316&lt;&gt;"",IFERROR(VLOOKUP(G3316,PRODUCTOS!$A:$B,2,0),"!COD NO ENCONTRADO"),"")</f>
        <v/>
      </c>
      <c r="I3316" s="77"/>
      <c r="J3316" s="78"/>
      <c r="K3316" s="79"/>
      <c r="L3316" s="80" t="str">
        <f aca="false">IF(AND(J3316&lt;&gt;"",K3316&lt;&gt;""),J3316*K3316,"")</f>
        <v/>
      </c>
      <c r="M3316" s="81" t="str">
        <f aca="false">IF(L3316&lt;&gt;"",L3316*1.1,"")</f>
        <v/>
      </c>
      <c r="N3316" s="53" t="n">
        <f aca="false">IF(F3316="S",L3316*0.02,0)</f>
        <v>0</v>
      </c>
      <c r="O3316" s="82" t="str">
        <f aca="false">IF(L3316&lt;&gt;"",L3316+N3316,"")</f>
        <v/>
      </c>
      <c r="P3316" s="53" t="str">
        <f aca="false">IF(O3316&lt;&gt;"",O3316*0.1,"")</f>
        <v/>
      </c>
      <c r="Q3316" s="83" t="str">
        <f aca="false">IF(O3316&lt;&gt;"",O3316+P3316,"")</f>
        <v/>
      </c>
      <c r="R3316" s="84"/>
    </row>
    <row r="3317" customFormat="false" ht="15" hidden="false" customHeight="true" outlineLevel="0" collapsed="false">
      <c r="A3317" s="103"/>
      <c r="B3317" s="85"/>
      <c r="C3317" s="86"/>
      <c r="D3317" s="87"/>
      <c r="E3317" s="46" t="str">
        <f aca="false">IF(D3317&lt;&gt;"",IFERROR(VLOOKUP(D3317,PROVEEDORES!$A:$B,2,0),"!COD NO ENCONTRADO"),"")</f>
        <v/>
      </c>
      <c r="F3317" s="88" t="str">
        <f aca="false">IF(D3317&lt;&gt;"",IFERROR(VLOOKUP(D3317,PROVEEDORES!$A:$C,3,0),""),"")</f>
        <v/>
      </c>
      <c r="G3317" s="87"/>
      <c r="H3317" s="46" t="str">
        <f aca="false">IF(G3317&lt;&gt;"",IFERROR(VLOOKUP(G3317,PRODUCTOS!$A:$B,2,0),"!COD NO ENCONTRADO"),"")</f>
        <v/>
      </c>
      <c r="I3317" s="89"/>
      <c r="J3317" s="90"/>
      <c r="K3317" s="91"/>
      <c r="L3317" s="80" t="str">
        <f aca="false">IF(AND(J3317&lt;&gt;"",K3317&lt;&gt;""),J3317*K3317,"")</f>
        <v/>
      </c>
      <c r="M3317" s="81" t="str">
        <f aca="false">IF(L3317&lt;&gt;"",L3317*1.1,"")</f>
        <v/>
      </c>
      <c r="N3317" s="47" t="n">
        <f aca="false">IF(F3317="S",L3317*0.02,0)</f>
        <v>0</v>
      </c>
      <c r="O3317" s="82" t="str">
        <f aca="false">IF(L3317&lt;&gt;"",L3317+N3317,"")</f>
        <v/>
      </c>
      <c r="P3317" s="47" t="str">
        <f aca="false">IF(O3317&lt;&gt;"",O3317*0.1,"")</f>
        <v/>
      </c>
      <c r="Q3317" s="83" t="str">
        <f aca="false">IF(O3317&lt;&gt;"",O3317+P3317,"")</f>
        <v/>
      </c>
      <c r="R3317" s="84"/>
    </row>
    <row r="3318" customFormat="false" ht="15" hidden="false" customHeight="true" outlineLevel="0" collapsed="false">
      <c r="A3318" s="103"/>
      <c r="B3318" s="73"/>
      <c r="C3318" s="74"/>
      <c r="D3318" s="75"/>
      <c r="E3318" s="52" t="str">
        <f aca="false">IF(D3318&lt;&gt;"",IFERROR(VLOOKUP(D3318,PROVEEDORES!$A:$B,2,0),"!COD NO ENCONTRADO"),"")</f>
        <v/>
      </c>
      <c r="F3318" s="76" t="str">
        <f aca="false">IF(D3318&lt;&gt;"",IFERROR(VLOOKUP(D3318,PROVEEDORES!$A:$C,3,0),""),"")</f>
        <v/>
      </c>
      <c r="G3318" s="75"/>
      <c r="H3318" s="52" t="str">
        <f aca="false">IF(G3318&lt;&gt;"",IFERROR(VLOOKUP(G3318,PRODUCTOS!$A:$B,2,0),"!COD NO ENCONTRADO"),"")</f>
        <v/>
      </c>
      <c r="I3318" s="77"/>
      <c r="J3318" s="78"/>
      <c r="K3318" s="79"/>
      <c r="L3318" s="80" t="str">
        <f aca="false">IF(AND(J3318&lt;&gt;"",K3318&lt;&gt;""),J3318*K3318,"")</f>
        <v/>
      </c>
      <c r="M3318" s="81" t="str">
        <f aca="false">IF(L3318&lt;&gt;"",L3318*1.1,"")</f>
        <v/>
      </c>
      <c r="N3318" s="53" t="n">
        <f aca="false">IF(F3318="S",L3318*0.02,0)</f>
        <v>0</v>
      </c>
      <c r="O3318" s="82" t="str">
        <f aca="false">IF(L3318&lt;&gt;"",L3318+N3318,"")</f>
        <v/>
      </c>
      <c r="P3318" s="53" t="str">
        <f aca="false">IF(O3318&lt;&gt;"",O3318*0.1,"")</f>
        <v/>
      </c>
      <c r="Q3318" s="83" t="str">
        <f aca="false">IF(O3318&lt;&gt;"",O3318+P3318,"")</f>
        <v/>
      </c>
      <c r="R3318" s="84"/>
    </row>
    <row r="3319" customFormat="false" ht="15" hidden="false" customHeight="true" outlineLevel="0" collapsed="false">
      <c r="A3319" s="103"/>
      <c r="B3319" s="85"/>
      <c r="C3319" s="86"/>
      <c r="D3319" s="87"/>
      <c r="E3319" s="46" t="str">
        <f aca="false">IF(D3319&lt;&gt;"",IFERROR(VLOOKUP(D3319,PROVEEDORES!$A:$B,2,0),"!COD NO ENCONTRADO"),"")</f>
        <v/>
      </c>
      <c r="F3319" s="88" t="str">
        <f aca="false">IF(D3319&lt;&gt;"",IFERROR(VLOOKUP(D3319,PROVEEDORES!$A:$C,3,0),""),"")</f>
        <v/>
      </c>
      <c r="G3319" s="87"/>
      <c r="H3319" s="46" t="str">
        <f aca="false">IF(G3319&lt;&gt;"",IFERROR(VLOOKUP(G3319,PRODUCTOS!$A:$B,2,0),"!COD NO ENCONTRADO"),"")</f>
        <v/>
      </c>
      <c r="I3319" s="89"/>
      <c r="J3319" s="90"/>
      <c r="K3319" s="91"/>
      <c r="L3319" s="80" t="str">
        <f aca="false">IF(AND(J3319&lt;&gt;"",K3319&lt;&gt;""),J3319*K3319,"")</f>
        <v/>
      </c>
      <c r="M3319" s="81" t="str">
        <f aca="false">IF(L3319&lt;&gt;"",L3319*1.1,"")</f>
        <v/>
      </c>
      <c r="N3319" s="47" t="n">
        <f aca="false">IF(F3319="S",L3319*0.02,0)</f>
        <v>0</v>
      </c>
      <c r="O3319" s="82" t="str">
        <f aca="false">IF(L3319&lt;&gt;"",L3319+N3319,"")</f>
        <v/>
      </c>
      <c r="P3319" s="47" t="str">
        <f aca="false">IF(O3319&lt;&gt;"",O3319*0.1,"")</f>
        <v/>
      </c>
      <c r="Q3319" s="83" t="str">
        <f aca="false">IF(O3319&lt;&gt;"",O3319+P3319,"")</f>
        <v/>
      </c>
      <c r="R3319" s="84"/>
    </row>
    <row r="3320" customFormat="false" ht="15" hidden="false" customHeight="true" outlineLevel="0" collapsed="false">
      <c r="A3320" s="103"/>
      <c r="B3320" s="73"/>
      <c r="C3320" s="74"/>
      <c r="D3320" s="75"/>
      <c r="E3320" s="52" t="str">
        <f aca="false">IF(D3320&lt;&gt;"",IFERROR(VLOOKUP(D3320,PROVEEDORES!$A:$B,2,0),"!COD NO ENCONTRADO"),"")</f>
        <v/>
      </c>
      <c r="F3320" s="76" t="str">
        <f aca="false">IF(D3320&lt;&gt;"",IFERROR(VLOOKUP(D3320,PROVEEDORES!$A:$C,3,0),""),"")</f>
        <v/>
      </c>
      <c r="G3320" s="75"/>
      <c r="H3320" s="52" t="str">
        <f aca="false">IF(G3320&lt;&gt;"",IFERROR(VLOOKUP(G3320,PRODUCTOS!$A:$B,2,0),"!COD NO ENCONTRADO"),"")</f>
        <v/>
      </c>
      <c r="I3320" s="77"/>
      <c r="J3320" s="78"/>
      <c r="K3320" s="79"/>
      <c r="L3320" s="80" t="str">
        <f aca="false">IF(AND(J3320&lt;&gt;"",K3320&lt;&gt;""),J3320*K3320,"")</f>
        <v/>
      </c>
      <c r="M3320" s="81" t="str">
        <f aca="false">IF(L3320&lt;&gt;"",L3320*1.1,"")</f>
        <v/>
      </c>
      <c r="N3320" s="53" t="n">
        <f aca="false">IF(F3320="S",L3320*0.02,0)</f>
        <v>0</v>
      </c>
      <c r="O3320" s="82" t="str">
        <f aca="false">IF(L3320&lt;&gt;"",L3320+N3320,"")</f>
        <v/>
      </c>
      <c r="P3320" s="53" t="str">
        <f aca="false">IF(O3320&lt;&gt;"",O3320*0.1,"")</f>
        <v/>
      </c>
      <c r="Q3320" s="83" t="str">
        <f aca="false">IF(O3320&lt;&gt;"",O3320+P3320,"")</f>
        <v/>
      </c>
      <c r="R3320" s="84"/>
    </row>
    <row r="3321" customFormat="false" ht="15" hidden="false" customHeight="true" outlineLevel="0" collapsed="false">
      <c r="A3321" s="103"/>
      <c r="B3321" s="85"/>
      <c r="C3321" s="86"/>
      <c r="D3321" s="87"/>
      <c r="E3321" s="46" t="str">
        <f aca="false">IF(D3321&lt;&gt;"",IFERROR(VLOOKUP(D3321,PROVEEDORES!$A:$B,2,0),"!COD NO ENCONTRADO"),"")</f>
        <v/>
      </c>
      <c r="F3321" s="88" t="str">
        <f aca="false">IF(D3321&lt;&gt;"",IFERROR(VLOOKUP(D3321,PROVEEDORES!$A:$C,3,0),""),"")</f>
        <v/>
      </c>
      <c r="G3321" s="87"/>
      <c r="H3321" s="46" t="str">
        <f aca="false">IF(G3321&lt;&gt;"",IFERROR(VLOOKUP(G3321,PRODUCTOS!$A:$B,2,0),"!COD NO ENCONTRADO"),"")</f>
        <v/>
      </c>
      <c r="I3321" s="89"/>
      <c r="J3321" s="90"/>
      <c r="K3321" s="91"/>
      <c r="L3321" s="80" t="str">
        <f aca="false">IF(AND(J3321&lt;&gt;"",K3321&lt;&gt;""),J3321*K3321,"")</f>
        <v/>
      </c>
      <c r="M3321" s="81" t="str">
        <f aca="false">IF(L3321&lt;&gt;"",L3321*1.1,"")</f>
        <v/>
      </c>
      <c r="N3321" s="47" t="n">
        <f aca="false">IF(F3321="S",L3321*0.02,0)</f>
        <v>0</v>
      </c>
      <c r="O3321" s="82" t="str">
        <f aca="false">IF(L3321&lt;&gt;"",L3321+N3321,"")</f>
        <v/>
      </c>
      <c r="P3321" s="47" t="str">
        <f aca="false">IF(O3321&lt;&gt;"",O3321*0.1,"")</f>
        <v/>
      </c>
      <c r="Q3321" s="83" t="str">
        <f aca="false">IF(O3321&lt;&gt;"",O3321+P3321,"")</f>
        <v/>
      </c>
      <c r="R3321" s="84"/>
    </row>
    <row r="3322" customFormat="false" ht="15" hidden="false" customHeight="true" outlineLevel="0" collapsed="false">
      <c r="A3322" s="103"/>
      <c r="B3322" s="73"/>
      <c r="C3322" s="74"/>
      <c r="D3322" s="75"/>
      <c r="E3322" s="52" t="str">
        <f aca="false">IF(D3322&lt;&gt;"",IFERROR(VLOOKUP(D3322,PROVEEDORES!$A:$B,2,0),"!COD NO ENCONTRADO"),"")</f>
        <v/>
      </c>
      <c r="F3322" s="76" t="str">
        <f aca="false">IF(D3322&lt;&gt;"",IFERROR(VLOOKUP(D3322,PROVEEDORES!$A:$C,3,0),""),"")</f>
        <v/>
      </c>
      <c r="G3322" s="75"/>
      <c r="H3322" s="52" t="str">
        <f aca="false">IF(G3322&lt;&gt;"",IFERROR(VLOOKUP(G3322,PRODUCTOS!$A:$B,2,0),"!COD NO ENCONTRADO"),"")</f>
        <v/>
      </c>
      <c r="I3322" s="77"/>
      <c r="J3322" s="78"/>
      <c r="K3322" s="79"/>
      <c r="L3322" s="80" t="str">
        <f aca="false">IF(AND(J3322&lt;&gt;"",K3322&lt;&gt;""),J3322*K3322,"")</f>
        <v/>
      </c>
      <c r="M3322" s="81" t="str">
        <f aca="false">IF(L3322&lt;&gt;"",L3322*1.1,"")</f>
        <v/>
      </c>
      <c r="N3322" s="53" t="n">
        <f aca="false">IF(F3322="S",L3322*0.02,0)</f>
        <v>0</v>
      </c>
      <c r="O3322" s="82" t="str">
        <f aca="false">IF(L3322&lt;&gt;"",L3322+N3322,"")</f>
        <v/>
      </c>
      <c r="P3322" s="53" t="str">
        <f aca="false">IF(O3322&lt;&gt;"",O3322*0.1,"")</f>
        <v/>
      </c>
      <c r="Q3322" s="83" t="str">
        <f aca="false">IF(O3322&lt;&gt;"",O3322+P3322,"")</f>
        <v/>
      </c>
      <c r="R3322" s="84"/>
    </row>
    <row r="3323" customFormat="false" ht="15" hidden="false" customHeight="true" outlineLevel="0" collapsed="false">
      <c r="A3323" s="103"/>
      <c r="B3323" s="85"/>
      <c r="C3323" s="86"/>
      <c r="D3323" s="87"/>
      <c r="E3323" s="46" t="str">
        <f aca="false">IF(D3323&lt;&gt;"",IFERROR(VLOOKUP(D3323,PROVEEDORES!$A:$B,2,0),"!COD NO ENCONTRADO"),"")</f>
        <v/>
      </c>
      <c r="F3323" s="88" t="str">
        <f aca="false">IF(D3323&lt;&gt;"",IFERROR(VLOOKUP(D3323,PROVEEDORES!$A:$C,3,0),""),"")</f>
        <v/>
      </c>
      <c r="G3323" s="87"/>
      <c r="H3323" s="46" t="str">
        <f aca="false">IF(G3323&lt;&gt;"",IFERROR(VLOOKUP(G3323,PRODUCTOS!$A:$B,2,0),"!COD NO ENCONTRADO"),"")</f>
        <v/>
      </c>
      <c r="I3323" s="89"/>
      <c r="J3323" s="90"/>
      <c r="K3323" s="91"/>
      <c r="L3323" s="80" t="str">
        <f aca="false">IF(AND(J3323&lt;&gt;"",K3323&lt;&gt;""),J3323*K3323,"")</f>
        <v/>
      </c>
      <c r="M3323" s="81" t="str">
        <f aca="false">IF(L3323&lt;&gt;"",L3323*1.1,"")</f>
        <v/>
      </c>
      <c r="N3323" s="47" t="n">
        <f aca="false">IF(F3323="S",L3323*0.02,0)</f>
        <v>0</v>
      </c>
      <c r="O3323" s="82" t="str">
        <f aca="false">IF(L3323&lt;&gt;"",L3323+N3323,"")</f>
        <v/>
      </c>
      <c r="P3323" s="47" t="str">
        <f aca="false">IF(O3323&lt;&gt;"",O3323*0.1,"")</f>
        <v/>
      </c>
      <c r="Q3323" s="83" t="str">
        <f aca="false">IF(O3323&lt;&gt;"",O3323+P3323,"")</f>
        <v/>
      </c>
      <c r="R3323" s="84"/>
    </row>
    <row r="3324" customFormat="false" ht="15" hidden="false" customHeight="true" outlineLevel="0" collapsed="false">
      <c r="A3324" s="103"/>
      <c r="B3324" s="73"/>
      <c r="C3324" s="74"/>
      <c r="D3324" s="75"/>
      <c r="E3324" s="52" t="str">
        <f aca="false">IF(D3324&lt;&gt;"",IFERROR(VLOOKUP(D3324,PROVEEDORES!$A:$B,2,0),"!COD NO ENCONTRADO"),"")</f>
        <v/>
      </c>
      <c r="F3324" s="76" t="str">
        <f aca="false">IF(D3324&lt;&gt;"",IFERROR(VLOOKUP(D3324,PROVEEDORES!$A:$C,3,0),""),"")</f>
        <v/>
      </c>
      <c r="G3324" s="75"/>
      <c r="H3324" s="52" t="str">
        <f aca="false">IF(G3324&lt;&gt;"",IFERROR(VLOOKUP(G3324,PRODUCTOS!$A:$B,2,0),"!COD NO ENCONTRADO"),"")</f>
        <v/>
      </c>
      <c r="I3324" s="77"/>
      <c r="J3324" s="78"/>
      <c r="K3324" s="79"/>
      <c r="L3324" s="80" t="str">
        <f aca="false">IF(AND(J3324&lt;&gt;"",K3324&lt;&gt;""),J3324*K3324,"")</f>
        <v/>
      </c>
      <c r="M3324" s="81" t="str">
        <f aca="false">IF(L3324&lt;&gt;"",L3324*1.1,"")</f>
        <v/>
      </c>
      <c r="N3324" s="53" t="n">
        <f aca="false">IF(F3324="S",L3324*0.02,0)</f>
        <v>0</v>
      </c>
      <c r="O3324" s="82" t="str">
        <f aca="false">IF(L3324&lt;&gt;"",L3324+N3324,"")</f>
        <v/>
      </c>
      <c r="P3324" s="53" t="str">
        <f aca="false">IF(O3324&lt;&gt;"",O3324*0.1,"")</f>
        <v/>
      </c>
      <c r="Q3324" s="83" t="str">
        <f aca="false">IF(O3324&lt;&gt;"",O3324+P3324,"")</f>
        <v/>
      </c>
      <c r="R3324" s="84"/>
    </row>
    <row r="3325" customFormat="false" ht="15" hidden="false" customHeight="true" outlineLevel="0" collapsed="false">
      <c r="A3325" s="103"/>
      <c r="B3325" s="85"/>
      <c r="C3325" s="86"/>
      <c r="D3325" s="87"/>
      <c r="E3325" s="46" t="str">
        <f aca="false">IF(D3325&lt;&gt;"",IFERROR(VLOOKUP(D3325,PROVEEDORES!$A:$B,2,0),"!COD NO ENCONTRADO"),"")</f>
        <v/>
      </c>
      <c r="F3325" s="88" t="str">
        <f aca="false">IF(D3325&lt;&gt;"",IFERROR(VLOOKUP(D3325,PROVEEDORES!$A:$C,3,0),""),"")</f>
        <v/>
      </c>
      <c r="G3325" s="87"/>
      <c r="H3325" s="46" t="str">
        <f aca="false">IF(G3325&lt;&gt;"",IFERROR(VLOOKUP(G3325,PRODUCTOS!$A:$B,2,0),"!COD NO ENCONTRADO"),"")</f>
        <v/>
      </c>
      <c r="I3325" s="89"/>
      <c r="J3325" s="90"/>
      <c r="K3325" s="91"/>
      <c r="L3325" s="80" t="str">
        <f aca="false">IF(AND(J3325&lt;&gt;"",K3325&lt;&gt;""),J3325*K3325,"")</f>
        <v/>
      </c>
      <c r="M3325" s="81" t="str">
        <f aca="false">IF(L3325&lt;&gt;"",L3325*1.1,"")</f>
        <v/>
      </c>
      <c r="N3325" s="47" t="n">
        <f aca="false">IF(F3325="S",L3325*0.02,0)</f>
        <v>0</v>
      </c>
      <c r="O3325" s="82" t="str">
        <f aca="false">IF(L3325&lt;&gt;"",L3325+N3325,"")</f>
        <v/>
      </c>
      <c r="P3325" s="47" t="str">
        <f aca="false">IF(O3325&lt;&gt;"",O3325*0.1,"")</f>
        <v/>
      </c>
      <c r="Q3325" s="83" t="str">
        <f aca="false">IF(O3325&lt;&gt;"",O3325+P3325,"")</f>
        <v/>
      </c>
      <c r="R3325" s="84"/>
    </row>
    <row r="3326" customFormat="false" ht="15" hidden="false" customHeight="true" outlineLevel="0" collapsed="false">
      <c r="A3326" s="103"/>
      <c r="B3326" s="73"/>
      <c r="C3326" s="74"/>
      <c r="D3326" s="75"/>
      <c r="E3326" s="52" t="str">
        <f aca="false">IF(D3326&lt;&gt;"",IFERROR(VLOOKUP(D3326,PROVEEDORES!$A:$B,2,0),"!COD NO ENCONTRADO"),"")</f>
        <v/>
      </c>
      <c r="F3326" s="76" t="str">
        <f aca="false">IF(D3326&lt;&gt;"",IFERROR(VLOOKUP(D3326,PROVEEDORES!$A:$C,3,0),""),"")</f>
        <v/>
      </c>
      <c r="G3326" s="75"/>
      <c r="H3326" s="52" t="str">
        <f aca="false">IF(G3326&lt;&gt;"",IFERROR(VLOOKUP(G3326,PRODUCTOS!$A:$B,2,0),"!COD NO ENCONTRADO"),"")</f>
        <v/>
      </c>
      <c r="I3326" s="77"/>
      <c r="J3326" s="78"/>
      <c r="K3326" s="79"/>
      <c r="L3326" s="80" t="str">
        <f aca="false">IF(AND(J3326&lt;&gt;"",K3326&lt;&gt;""),J3326*K3326,"")</f>
        <v/>
      </c>
      <c r="M3326" s="81" t="str">
        <f aca="false">IF(L3326&lt;&gt;"",L3326*1.1,"")</f>
        <v/>
      </c>
      <c r="N3326" s="53" t="n">
        <f aca="false">IF(F3326="S",L3326*0.02,0)</f>
        <v>0</v>
      </c>
      <c r="O3326" s="82" t="str">
        <f aca="false">IF(L3326&lt;&gt;"",L3326+N3326,"")</f>
        <v/>
      </c>
      <c r="P3326" s="53" t="str">
        <f aca="false">IF(O3326&lt;&gt;"",O3326*0.1,"")</f>
        <v/>
      </c>
      <c r="Q3326" s="83" t="str">
        <f aca="false">IF(O3326&lt;&gt;"",O3326+P3326,"")</f>
        <v/>
      </c>
      <c r="R3326" s="84"/>
    </row>
    <row r="3327" customFormat="false" ht="15" hidden="false" customHeight="true" outlineLevel="0" collapsed="false">
      <c r="A3327" s="103"/>
      <c r="B3327" s="85"/>
      <c r="C3327" s="86"/>
      <c r="D3327" s="87"/>
      <c r="E3327" s="46" t="str">
        <f aca="false">IF(D3327&lt;&gt;"",IFERROR(VLOOKUP(D3327,PROVEEDORES!$A:$B,2,0),"!COD NO ENCONTRADO"),"")</f>
        <v/>
      </c>
      <c r="F3327" s="88" t="str">
        <f aca="false">IF(D3327&lt;&gt;"",IFERROR(VLOOKUP(D3327,PROVEEDORES!$A:$C,3,0),""),"")</f>
        <v/>
      </c>
      <c r="G3327" s="87"/>
      <c r="H3327" s="46" t="str">
        <f aca="false">IF(G3327&lt;&gt;"",IFERROR(VLOOKUP(G3327,PRODUCTOS!$A:$B,2,0),"!COD NO ENCONTRADO"),"")</f>
        <v/>
      </c>
      <c r="I3327" s="89"/>
      <c r="J3327" s="90"/>
      <c r="K3327" s="91"/>
      <c r="L3327" s="80" t="str">
        <f aca="false">IF(AND(J3327&lt;&gt;"",K3327&lt;&gt;""),J3327*K3327,"")</f>
        <v/>
      </c>
      <c r="M3327" s="81" t="str">
        <f aca="false">IF(L3327&lt;&gt;"",L3327*1.1,"")</f>
        <v/>
      </c>
      <c r="N3327" s="47" t="n">
        <f aca="false">IF(F3327="S",L3327*0.02,0)</f>
        <v>0</v>
      </c>
      <c r="O3327" s="82" t="str">
        <f aca="false">IF(L3327&lt;&gt;"",L3327+N3327,"")</f>
        <v/>
      </c>
      <c r="P3327" s="47" t="str">
        <f aca="false">IF(O3327&lt;&gt;"",O3327*0.1,"")</f>
        <v/>
      </c>
      <c r="Q3327" s="83" t="str">
        <f aca="false">IF(O3327&lt;&gt;"",O3327+P3327,"")</f>
        <v/>
      </c>
      <c r="R3327" s="84"/>
    </row>
    <row r="3328" customFormat="false" ht="15" hidden="false" customHeight="true" outlineLevel="0" collapsed="false">
      <c r="A3328" s="103"/>
      <c r="B3328" s="73"/>
      <c r="C3328" s="74"/>
      <c r="D3328" s="75"/>
      <c r="E3328" s="52" t="str">
        <f aca="false">IF(D3328&lt;&gt;"",IFERROR(VLOOKUP(D3328,PROVEEDORES!$A:$B,2,0),"!COD NO ENCONTRADO"),"")</f>
        <v/>
      </c>
      <c r="F3328" s="76" t="str">
        <f aca="false">IF(D3328&lt;&gt;"",IFERROR(VLOOKUP(D3328,PROVEEDORES!$A:$C,3,0),""),"")</f>
        <v/>
      </c>
      <c r="G3328" s="75"/>
      <c r="H3328" s="52" t="str">
        <f aca="false">IF(G3328&lt;&gt;"",IFERROR(VLOOKUP(G3328,PRODUCTOS!$A:$B,2,0),"!COD NO ENCONTRADO"),"")</f>
        <v/>
      </c>
      <c r="I3328" s="77"/>
      <c r="J3328" s="78"/>
      <c r="K3328" s="79"/>
      <c r="L3328" s="80" t="str">
        <f aca="false">IF(AND(J3328&lt;&gt;"",K3328&lt;&gt;""),J3328*K3328,"")</f>
        <v/>
      </c>
      <c r="M3328" s="81" t="str">
        <f aca="false">IF(L3328&lt;&gt;"",L3328*1.1,"")</f>
        <v/>
      </c>
      <c r="N3328" s="53" t="n">
        <f aca="false">IF(F3328="S",L3328*0.02,0)</f>
        <v>0</v>
      </c>
      <c r="O3328" s="82" t="str">
        <f aca="false">IF(L3328&lt;&gt;"",L3328+N3328,"")</f>
        <v/>
      </c>
      <c r="P3328" s="53" t="str">
        <f aca="false">IF(O3328&lt;&gt;"",O3328*0.1,"")</f>
        <v/>
      </c>
      <c r="Q3328" s="83" t="str">
        <f aca="false">IF(O3328&lt;&gt;"",O3328+P3328,"")</f>
        <v/>
      </c>
      <c r="R3328" s="84"/>
    </row>
    <row r="3329" customFormat="false" ht="15" hidden="false" customHeight="true" outlineLevel="0" collapsed="false">
      <c r="A3329" s="103"/>
      <c r="B3329" s="85"/>
      <c r="C3329" s="86"/>
      <c r="D3329" s="87"/>
      <c r="E3329" s="46" t="str">
        <f aca="false">IF(D3329&lt;&gt;"",IFERROR(VLOOKUP(D3329,PROVEEDORES!$A:$B,2,0),"!COD NO ENCONTRADO"),"")</f>
        <v/>
      </c>
      <c r="F3329" s="88" t="str">
        <f aca="false">IF(D3329&lt;&gt;"",IFERROR(VLOOKUP(D3329,PROVEEDORES!$A:$C,3,0),""),"")</f>
        <v/>
      </c>
      <c r="G3329" s="87"/>
      <c r="H3329" s="46" t="str">
        <f aca="false">IF(G3329&lt;&gt;"",IFERROR(VLOOKUP(G3329,PRODUCTOS!$A:$B,2,0),"!COD NO ENCONTRADO"),"")</f>
        <v/>
      </c>
      <c r="I3329" s="89"/>
      <c r="J3329" s="90"/>
      <c r="K3329" s="91"/>
      <c r="L3329" s="80" t="str">
        <f aca="false">IF(AND(J3329&lt;&gt;"",K3329&lt;&gt;""),J3329*K3329,"")</f>
        <v/>
      </c>
      <c r="M3329" s="81" t="str">
        <f aca="false">IF(L3329&lt;&gt;"",L3329*1.1,"")</f>
        <v/>
      </c>
      <c r="N3329" s="47" t="n">
        <f aca="false">IF(F3329="S",L3329*0.02,0)</f>
        <v>0</v>
      </c>
      <c r="O3329" s="82" t="str">
        <f aca="false">IF(L3329&lt;&gt;"",L3329+N3329,"")</f>
        <v/>
      </c>
      <c r="P3329" s="47" t="str">
        <f aca="false">IF(O3329&lt;&gt;"",O3329*0.1,"")</f>
        <v/>
      </c>
      <c r="Q3329" s="83" t="str">
        <f aca="false">IF(O3329&lt;&gt;"",O3329+P3329,"")</f>
        <v/>
      </c>
      <c r="R3329" s="84"/>
    </row>
    <row r="3330" customFormat="false" ht="15" hidden="false" customHeight="true" outlineLevel="0" collapsed="false">
      <c r="A3330" s="103"/>
      <c r="B3330" s="73"/>
      <c r="C3330" s="74"/>
      <c r="D3330" s="75"/>
      <c r="E3330" s="52" t="str">
        <f aca="false">IF(D3330&lt;&gt;"",IFERROR(VLOOKUP(D3330,PROVEEDORES!$A:$B,2,0),"!COD NO ENCONTRADO"),"")</f>
        <v/>
      </c>
      <c r="F3330" s="76" t="str">
        <f aca="false">IF(D3330&lt;&gt;"",IFERROR(VLOOKUP(D3330,PROVEEDORES!$A:$C,3,0),""),"")</f>
        <v/>
      </c>
      <c r="G3330" s="75"/>
      <c r="H3330" s="52" t="str">
        <f aca="false">IF(G3330&lt;&gt;"",IFERROR(VLOOKUP(G3330,PRODUCTOS!$A:$B,2,0),"!COD NO ENCONTRADO"),"")</f>
        <v/>
      </c>
      <c r="I3330" s="77"/>
      <c r="J3330" s="78"/>
      <c r="K3330" s="79"/>
      <c r="L3330" s="80" t="str">
        <f aca="false">IF(AND(J3330&lt;&gt;"",K3330&lt;&gt;""),J3330*K3330,"")</f>
        <v/>
      </c>
      <c r="M3330" s="81" t="str">
        <f aca="false">IF(L3330&lt;&gt;"",L3330*1.1,"")</f>
        <v/>
      </c>
      <c r="N3330" s="53" t="n">
        <f aca="false">IF(F3330="S",L3330*0.02,0)</f>
        <v>0</v>
      </c>
      <c r="O3330" s="82" t="str">
        <f aca="false">IF(L3330&lt;&gt;"",L3330+N3330,"")</f>
        <v/>
      </c>
      <c r="P3330" s="53" t="str">
        <f aca="false">IF(O3330&lt;&gt;"",O3330*0.1,"")</f>
        <v/>
      </c>
      <c r="Q3330" s="83" t="str">
        <f aca="false">IF(O3330&lt;&gt;"",O3330+P3330,"")</f>
        <v/>
      </c>
      <c r="R3330" s="84"/>
    </row>
    <row r="3331" customFormat="false" ht="15" hidden="false" customHeight="true" outlineLevel="0" collapsed="false">
      <c r="A3331" s="103"/>
      <c r="B3331" s="85"/>
      <c r="C3331" s="86"/>
      <c r="D3331" s="87"/>
      <c r="E3331" s="46" t="str">
        <f aca="false">IF(D3331&lt;&gt;"",IFERROR(VLOOKUP(D3331,PROVEEDORES!$A:$B,2,0),"!COD NO ENCONTRADO"),"")</f>
        <v/>
      </c>
      <c r="F3331" s="88" t="str">
        <f aca="false">IF(D3331&lt;&gt;"",IFERROR(VLOOKUP(D3331,PROVEEDORES!$A:$C,3,0),""),"")</f>
        <v/>
      </c>
      <c r="G3331" s="87"/>
      <c r="H3331" s="46" t="str">
        <f aca="false">IF(G3331&lt;&gt;"",IFERROR(VLOOKUP(G3331,PRODUCTOS!$A:$B,2,0),"!COD NO ENCONTRADO"),"")</f>
        <v/>
      </c>
      <c r="I3331" s="89"/>
      <c r="J3331" s="90"/>
      <c r="K3331" s="91"/>
      <c r="L3331" s="80" t="str">
        <f aca="false">IF(AND(J3331&lt;&gt;"",K3331&lt;&gt;""),J3331*K3331,"")</f>
        <v/>
      </c>
      <c r="M3331" s="81" t="str">
        <f aca="false">IF(L3331&lt;&gt;"",L3331*1.1,"")</f>
        <v/>
      </c>
      <c r="N3331" s="47" t="n">
        <f aca="false">IF(F3331="S",L3331*0.02,0)</f>
        <v>0</v>
      </c>
      <c r="O3331" s="82" t="str">
        <f aca="false">IF(L3331&lt;&gt;"",L3331+N3331,"")</f>
        <v/>
      </c>
      <c r="P3331" s="47" t="str">
        <f aca="false">IF(O3331&lt;&gt;"",O3331*0.1,"")</f>
        <v/>
      </c>
      <c r="Q3331" s="83" t="str">
        <f aca="false">IF(O3331&lt;&gt;"",O3331+P3331,"")</f>
        <v/>
      </c>
      <c r="R3331" s="84"/>
    </row>
    <row r="3332" customFormat="false" ht="15" hidden="false" customHeight="true" outlineLevel="0" collapsed="false">
      <c r="A3332" s="103"/>
      <c r="B3332" s="73"/>
      <c r="C3332" s="74"/>
      <c r="D3332" s="75"/>
      <c r="E3332" s="52" t="str">
        <f aca="false">IF(D3332&lt;&gt;"",IFERROR(VLOOKUP(D3332,PROVEEDORES!$A:$B,2,0),"!COD NO ENCONTRADO"),"")</f>
        <v/>
      </c>
      <c r="F3332" s="76" t="str">
        <f aca="false">IF(D3332&lt;&gt;"",IFERROR(VLOOKUP(D3332,PROVEEDORES!$A:$C,3,0),""),"")</f>
        <v/>
      </c>
      <c r="G3332" s="75"/>
      <c r="H3332" s="52" t="str">
        <f aca="false">IF(G3332&lt;&gt;"",IFERROR(VLOOKUP(G3332,PRODUCTOS!$A:$B,2,0),"!COD NO ENCONTRADO"),"")</f>
        <v/>
      </c>
      <c r="I3332" s="77"/>
      <c r="J3332" s="78"/>
      <c r="K3332" s="79"/>
      <c r="L3332" s="80" t="str">
        <f aca="false">IF(AND(J3332&lt;&gt;"",K3332&lt;&gt;""),J3332*K3332,"")</f>
        <v/>
      </c>
      <c r="M3332" s="81" t="str">
        <f aca="false">IF(L3332&lt;&gt;"",L3332*1.1,"")</f>
        <v/>
      </c>
      <c r="N3332" s="53" t="n">
        <f aca="false">IF(F3332="S",L3332*0.02,0)</f>
        <v>0</v>
      </c>
      <c r="O3332" s="82" t="str">
        <f aca="false">IF(L3332&lt;&gt;"",L3332+N3332,"")</f>
        <v/>
      </c>
      <c r="P3332" s="53" t="str">
        <f aca="false">IF(O3332&lt;&gt;"",O3332*0.1,"")</f>
        <v/>
      </c>
      <c r="Q3332" s="83" t="str">
        <f aca="false">IF(O3332&lt;&gt;"",O3332+P3332,"")</f>
        <v/>
      </c>
      <c r="R3332" s="84"/>
    </row>
    <row r="3333" customFormat="false" ht="15" hidden="false" customHeight="true" outlineLevel="0" collapsed="false">
      <c r="A3333" s="103"/>
      <c r="B3333" s="85"/>
      <c r="C3333" s="86"/>
      <c r="D3333" s="87"/>
      <c r="E3333" s="46" t="str">
        <f aca="false">IF(D3333&lt;&gt;"",IFERROR(VLOOKUP(D3333,PROVEEDORES!$A:$B,2,0),"!COD NO ENCONTRADO"),"")</f>
        <v/>
      </c>
      <c r="F3333" s="88" t="str">
        <f aca="false">IF(D3333&lt;&gt;"",IFERROR(VLOOKUP(D3333,PROVEEDORES!$A:$C,3,0),""),"")</f>
        <v/>
      </c>
      <c r="G3333" s="87"/>
      <c r="H3333" s="46" t="str">
        <f aca="false">IF(G3333&lt;&gt;"",IFERROR(VLOOKUP(G3333,PRODUCTOS!$A:$B,2,0),"!COD NO ENCONTRADO"),"")</f>
        <v/>
      </c>
      <c r="I3333" s="89"/>
      <c r="J3333" s="90"/>
      <c r="K3333" s="91"/>
      <c r="L3333" s="80" t="str">
        <f aca="false">IF(AND(J3333&lt;&gt;"",K3333&lt;&gt;""),J3333*K3333,"")</f>
        <v/>
      </c>
      <c r="M3333" s="81" t="str">
        <f aca="false">IF(L3333&lt;&gt;"",L3333*1.1,"")</f>
        <v/>
      </c>
      <c r="N3333" s="47" t="n">
        <f aca="false">IF(F3333="S",L3333*0.02,0)</f>
        <v>0</v>
      </c>
      <c r="O3333" s="82" t="str">
        <f aca="false">IF(L3333&lt;&gt;"",L3333+N3333,"")</f>
        <v/>
      </c>
      <c r="P3333" s="47" t="str">
        <f aca="false">IF(O3333&lt;&gt;"",O3333*0.1,"")</f>
        <v/>
      </c>
      <c r="Q3333" s="83" t="str">
        <f aca="false">IF(O3333&lt;&gt;"",O3333+P3333,"")</f>
        <v/>
      </c>
      <c r="R3333" s="84"/>
    </row>
    <row r="3334" customFormat="false" ht="15" hidden="false" customHeight="true" outlineLevel="0" collapsed="false">
      <c r="A3334" s="103"/>
      <c r="B3334" s="73"/>
      <c r="C3334" s="74"/>
      <c r="D3334" s="75"/>
      <c r="E3334" s="52" t="str">
        <f aca="false">IF(D3334&lt;&gt;"",IFERROR(VLOOKUP(D3334,PROVEEDORES!$A:$B,2,0),"!COD NO ENCONTRADO"),"")</f>
        <v/>
      </c>
      <c r="F3334" s="76" t="str">
        <f aca="false">IF(D3334&lt;&gt;"",IFERROR(VLOOKUP(D3334,PROVEEDORES!$A:$C,3,0),""),"")</f>
        <v/>
      </c>
      <c r="G3334" s="75"/>
      <c r="H3334" s="52" t="str">
        <f aca="false">IF(G3334&lt;&gt;"",IFERROR(VLOOKUP(G3334,PRODUCTOS!$A:$B,2,0),"!COD NO ENCONTRADO"),"")</f>
        <v/>
      </c>
      <c r="I3334" s="77"/>
      <c r="J3334" s="78"/>
      <c r="K3334" s="79"/>
      <c r="L3334" s="80" t="str">
        <f aca="false">IF(AND(J3334&lt;&gt;"",K3334&lt;&gt;""),J3334*K3334,"")</f>
        <v/>
      </c>
      <c r="M3334" s="81" t="str">
        <f aca="false">IF(L3334&lt;&gt;"",L3334*1.1,"")</f>
        <v/>
      </c>
      <c r="N3334" s="53" t="n">
        <f aca="false">IF(F3334="S",L3334*0.02,0)</f>
        <v>0</v>
      </c>
      <c r="O3334" s="82" t="str">
        <f aca="false">IF(L3334&lt;&gt;"",L3334+N3334,"")</f>
        <v/>
      </c>
      <c r="P3334" s="53" t="str">
        <f aca="false">IF(O3334&lt;&gt;"",O3334*0.1,"")</f>
        <v/>
      </c>
      <c r="Q3334" s="83" t="str">
        <f aca="false">IF(O3334&lt;&gt;"",O3334+P3334,"")</f>
        <v/>
      </c>
      <c r="R3334" s="84"/>
    </row>
    <row r="3335" customFormat="false" ht="15" hidden="false" customHeight="true" outlineLevel="0" collapsed="false">
      <c r="A3335" s="103"/>
      <c r="B3335" s="85"/>
      <c r="C3335" s="86"/>
      <c r="D3335" s="87"/>
      <c r="E3335" s="46" t="str">
        <f aca="false">IF(D3335&lt;&gt;"",IFERROR(VLOOKUP(D3335,PROVEEDORES!$A:$B,2,0),"!COD NO ENCONTRADO"),"")</f>
        <v/>
      </c>
      <c r="F3335" s="88" t="str">
        <f aca="false">IF(D3335&lt;&gt;"",IFERROR(VLOOKUP(D3335,PROVEEDORES!$A:$C,3,0),""),"")</f>
        <v/>
      </c>
      <c r="G3335" s="87"/>
      <c r="H3335" s="46" t="str">
        <f aca="false">IF(G3335&lt;&gt;"",IFERROR(VLOOKUP(G3335,PRODUCTOS!$A:$B,2,0),"!COD NO ENCONTRADO"),"")</f>
        <v/>
      </c>
      <c r="I3335" s="89"/>
      <c r="J3335" s="90"/>
      <c r="K3335" s="91"/>
      <c r="L3335" s="80" t="str">
        <f aca="false">IF(AND(J3335&lt;&gt;"",K3335&lt;&gt;""),J3335*K3335,"")</f>
        <v/>
      </c>
      <c r="M3335" s="81" t="str">
        <f aca="false">IF(L3335&lt;&gt;"",L3335*1.1,"")</f>
        <v/>
      </c>
      <c r="N3335" s="47" t="n">
        <f aca="false">IF(F3335="S",L3335*0.02,0)</f>
        <v>0</v>
      </c>
      <c r="O3335" s="82" t="str">
        <f aca="false">IF(L3335&lt;&gt;"",L3335+N3335,"")</f>
        <v/>
      </c>
      <c r="P3335" s="47" t="str">
        <f aca="false">IF(O3335&lt;&gt;"",O3335*0.1,"")</f>
        <v/>
      </c>
      <c r="Q3335" s="83" t="str">
        <f aca="false">IF(O3335&lt;&gt;"",O3335+P3335,"")</f>
        <v/>
      </c>
      <c r="R3335" s="84"/>
    </row>
    <row r="3336" customFormat="false" ht="15" hidden="false" customHeight="true" outlineLevel="0" collapsed="false">
      <c r="A3336" s="103"/>
      <c r="B3336" s="73"/>
      <c r="C3336" s="74"/>
      <c r="D3336" s="75"/>
      <c r="E3336" s="52" t="str">
        <f aca="false">IF(D3336&lt;&gt;"",IFERROR(VLOOKUP(D3336,PROVEEDORES!$A:$B,2,0),"!COD NO ENCONTRADO"),"")</f>
        <v/>
      </c>
      <c r="F3336" s="76" t="str">
        <f aca="false">IF(D3336&lt;&gt;"",IFERROR(VLOOKUP(D3336,PROVEEDORES!$A:$C,3,0),""),"")</f>
        <v/>
      </c>
      <c r="G3336" s="75"/>
      <c r="H3336" s="52" t="str">
        <f aca="false">IF(G3336&lt;&gt;"",IFERROR(VLOOKUP(G3336,PRODUCTOS!$A:$B,2,0),"!COD NO ENCONTRADO"),"")</f>
        <v/>
      </c>
      <c r="I3336" s="77"/>
      <c r="J3336" s="78"/>
      <c r="K3336" s="79"/>
      <c r="L3336" s="80" t="str">
        <f aca="false">IF(AND(J3336&lt;&gt;"",K3336&lt;&gt;""),J3336*K3336,"")</f>
        <v/>
      </c>
      <c r="M3336" s="81" t="str">
        <f aca="false">IF(L3336&lt;&gt;"",L3336*1.1,"")</f>
        <v/>
      </c>
      <c r="N3336" s="53" t="n">
        <f aca="false">IF(F3336="S",L3336*0.02,0)</f>
        <v>0</v>
      </c>
      <c r="O3336" s="82" t="str">
        <f aca="false">IF(L3336&lt;&gt;"",L3336+N3336,"")</f>
        <v/>
      </c>
      <c r="P3336" s="53" t="str">
        <f aca="false">IF(O3336&lt;&gt;"",O3336*0.1,"")</f>
        <v/>
      </c>
      <c r="Q3336" s="83" t="str">
        <f aca="false">IF(O3336&lt;&gt;"",O3336+P3336,"")</f>
        <v/>
      </c>
      <c r="R3336" s="84"/>
    </row>
    <row r="3337" customFormat="false" ht="15" hidden="false" customHeight="true" outlineLevel="0" collapsed="false">
      <c r="A3337" s="103"/>
      <c r="B3337" s="85"/>
      <c r="C3337" s="86"/>
      <c r="D3337" s="87"/>
      <c r="E3337" s="46" t="str">
        <f aca="false">IF(D3337&lt;&gt;"",IFERROR(VLOOKUP(D3337,PROVEEDORES!$A:$B,2,0),"!COD NO ENCONTRADO"),"")</f>
        <v/>
      </c>
      <c r="F3337" s="88" t="str">
        <f aca="false">IF(D3337&lt;&gt;"",IFERROR(VLOOKUP(D3337,PROVEEDORES!$A:$C,3,0),""),"")</f>
        <v/>
      </c>
      <c r="G3337" s="87"/>
      <c r="H3337" s="46" t="str">
        <f aca="false">IF(G3337&lt;&gt;"",IFERROR(VLOOKUP(G3337,PRODUCTOS!$A:$B,2,0),"!COD NO ENCONTRADO"),"")</f>
        <v/>
      </c>
      <c r="I3337" s="89"/>
      <c r="J3337" s="90"/>
      <c r="K3337" s="91"/>
      <c r="L3337" s="80" t="str">
        <f aca="false">IF(AND(J3337&lt;&gt;"",K3337&lt;&gt;""),J3337*K3337,"")</f>
        <v/>
      </c>
      <c r="M3337" s="81" t="str">
        <f aca="false">IF(L3337&lt;&gt;"",L3337*1.1,"")</f>
        <v/>
      </c>
      <c r="N3337" s="47" t="n">
        <f aca="false">IF(F3337="S",L3337*0.02,0)</f>
        <v>0</v>
      </c>
      <c r="O3337" s="82" t="str">
        <f aca="false">IF(L3337&lt;&gt;"",L3337+N3337,"")</f>
        <v/>
      </c>
      <c r="P3337" s="47" t="str">
        <f aca="false">IF(O3337&lt;&gt;"",O3337*0.1,"")</f>
        <v/>
      </c>
      <c r="Q3337" s="83" t="str">
        <f aca="false">IF(O3337&lt;&gt;"",O3337+P3337,"")</f>
        <v/>
      </c>
      <c r="R3337" s="84"/>
    </row>
    <row r="3338" customFormat="false" ht="15" hidden="false" customHeight="true" outlineLevel="0" collapsed="false">
      <c r="A3338" s="103"/>
      <c r="B3338" s="73"/>
      <c r="C3338" s="74"/>
      <c r="D3338" s="75"/>
      <c r="E3338" s="52" t="str">
        <f aca="false">IF(D3338&lt;&gt;"",IFERROR(VLOOKUP(D3338,PROVEEDORES!$A:$B,2,0),"!COD NO ENCONTRADO"),"")</f>
        <v/>
      </c>
      <c r="F3338" s="76" t="str">
        <f aca="false">IF(D3338&lt;&gt;"",IFERROR(VLOOKUP(D3338,PROVEEDORES!$A:$C,3,0),""),"")</f>
        <v/>
      </c>
      <c r="G3338" s="75"/>
      <c r="H3338" s="52" t="str">
        <f aca="false">IF(G3338&lt;&gt;"",IFERROR(VLOOKUP(G3338,PRODUCTOS!$A:$B,2,0),"!COD NO ENCONTRADO"),"")</f>
        <v/>
      </c>
      <c r="I3338" s="77"/>
      <c r="J3338" s="78"/>
      <c r="K3338" s="79"/>
      <c r="L3338" s="80" t="str">
        <f aca="false">IF(AND(J3338&lt;&gt;"",K3338&lt;&gt;""),J3338*K3338,"")</f>
        <v/>
      </c>
      <c r="M3338" s="81" t="str">
        <f aca="false">IF(L3338&lt;&gt;"",L3338*1.1,"")</f>
        <v/>
      </c>
      <c r="N3338" s="53" t="n">
        <f aca="false">IF(F3338="S",L3338*0.02,0)</f>
        <v>0</v>
      </c>
      <c r="O3338" s="82" t="str">
        <f aca="false">IF(L3338&lt;&gt;"",L3338+N3338,"")</f>
        <v/>
      </c>
      <c r="P3338" s="53" t="str">
        <f aca="false">IF(O3338&lt;&gt;"",O3338*0.1,"")</f>
        <v/>
      </c>
      <c r="Q3338" s="83" t="str">
        <f aca="false">IF(O3338&lt;&gt;"",O3338+P3338,"")</f>
        <v/>
      </c>
      <c r="R3338" s="84"/>
    </row>
    <row r="3339" customFormat="false" ht="15" hidden="false" customHeight="true" outlineLevel="0" collapsed="false">
      <c r="A3339" s="103"/>
      <c r="B3339" s="85"/>
      <c r="C3339" s="86"/>
      <c r="D3339" s="87"/>
      <c r="E3339" s="46" t="str">
        <f aca="false">IF(D3339&lt;&gt;"",IFERROR(VLOOKUP(D3339,PROVEEDORES!$A:$B,2,0),"!COD NO ENCONTRADO"),"")</f>
        <v/>
      </c>
      <c r="F3339" s="88" t="str">
        <f aca="false">IF(D3339&lt;&gt;"",IFERROR(VLOOKUP(D3339,PROVEEDORES!$A:$C,3,0),""),"")</f>
        <v/>
      </c>
      <c r="G3339" s="87"/>
      <c r="H3339" s="46" t="str">
        <f aca="false">IF(G3339&lt;&gt;"",IFERROR(VLOOKUP(G3339,PRODUCTOS!$A:$B,2,0),"!COD NO ENCONTRADO"),"")</f>
        <v/>
      </c>
      <c r="I3339" s="89"/>
      <c r="J3339" s="90"/>
      <c r="K3339" s="91"/>
      <c r="L3339" s="80" t="str">
        <f aca="false">IF(AND(J3339&lt;&gt;"",K3339&lt;&gt;""),J3339*K3339,"")</f>
        <v/>
      </c>
      <c r="M3339" s="81" t="str">
        <f aca="false">IF(L3339&lt;&gt;"",L3339*1.1,"")</f>
        <v/>
      </c>
      <c r="N3339" s="47" t="n">
        <f aca="false">IF(F3339="S",L3339*0.02,0)</f>
        <v>0</v>
      </c>
      <c r="O3339" s="82" t="str">
        <f aca="false">IF(L3339&lt;&gt;"",L3339+N3339,"")</f>
        <v/>
      </c>
      <c r="P3339" s="47" t="str">
        <f aca="false">IF(O3339&lt;&gt;"",O3339*0.1,"")</f>
        <v/>
      </c>
      <c r="Q3339" s="83" t="str">
        <f aca="false">IF(O3339&lt;&gt;"",O3339+P3339,"")</f>
        <v/>
      </c>
      <c r="R3339" s="84"/>
    </row>
    <row r="3340" customFormat="false" ht="15" hidden="false" customHeight="true" outlineLevel="0" collapsed="false">
      <c r="A3340" s="103"/>
      <c r="B3340" s="73"/>
      <c r="C3340" s="74"/>
      <c r="D3340" s="75"/>
      <c r="E3340" s="52" t="str">
        <f aca="false">IF(D3340&lt;&gt;"",IFERROR(VLOOKUP(D3340,PROVEEDORES!$A:$B,2,0),"!COD NO ENCONTRADO"),"")</f>
        <v/>
      </c>
      <c r="F3340" s="76" t="str">
        <f aca="false">IF(D3340&lt;&gt;"",IFERROR(VLOOKUP(D3340,PROVEEDORES!$A:$C,3,0),""),"")</f>
        <v/>
      </c>
      <c r="G3340" s="75"/>
      <c r="H3340" s="52" t="str">
        <f aca="false">IF(G3340&lt;&gt;"",IFERROR(VLOOKUP(G3340,PRODUCTOS!$A:$B,2,0),"!COD NO ENCONTRADO"),"")</f>
        <v/>
      </c>
      <c r="I3340" s="77"/>
      <c r="J3340" s="78"/>
      <c r="K3340" s="79"/>
      <c r="L3340" s="80" t="str">
        <f aca="false">IF(AND(J3340&lt;&gt;"",K3340&lt;&gt;""),J3340*K3340,"")</f>
        <v/>
      </c>
      <c r="M3340" s="81" t="str">
        <f aca="false">IF(L3340&lt;&gt;"",L3340*1.1,"")</f>
        <v/>
      </c>
      <c r="N3340" s="53" t="n">
        <f aca="false">IF(F3340="S",L3340*0.02,0)</f>
        <v>0</v>
      </c>
      <c r="O3340" s="82" t="str">
        <f aca="false">IF(L3340&lt;&gt;"",L3340+N3340,"")</f>
        <v/>
      </c>
      <c r="P3340" s="53" t="str">
        <f aca="false">IF(O3340&lt;&gt;"",O3340*0.1,"")</f>
        <v/>
      </c>
      <c r="Q3340" s="83" t="str">
        <f aca="false">IF(O3340&lt;&gt;"",O3340+P3340,"")</f>
        <v/>
      </c>
      <c r="R3340" s="84"/>
    </row>
    <row r="3341" customFormat="false" ht="15" hidden="false" customHeight="true" outlineLevel="0" collapsed="false">
      <c r="A3341" s="103"/>
      <c r="B3341" s="85"/>
      <c r="C3341" s="86"/>
      <c r="D3341" s="87"/>
      <c r="E3341" s="46" t="str">
        <f aca="false">IF(D3341&lt;&gt;"",IFERROR(VLOOKUP(D3341,PROVEEDORES!$A:$B,2,0),"!COD NO ENCONTRADO"),"")</f>
        <v/>
      </c>
      <c r="F3341" s="88" t="str">
        <f aca="false">IF(D3341&lt;&gt;"",IFERROR(VLOOKUP(D3341,PROVEEDORES!$A:$C,3,0),""),"")</f>
        <v/>
      </c>
      <c r="G3341" s="87"/>
      <c r="H3341" s="46" t="str">
        <f aca="false">IF(G3341&lt;&gt;"",IFERROR(VLOOKUP(G3341,PRODUCTOS!$A:$B,2,0),"!COD NO ENCONTRADO"),"")</f>
        <v/>
      </c>
      <c r="I3341" s="89"/>
      <c r="J3341" s="90"/>
      <c r="K3341" s="91"/>
      <c r="L3341" s="80" t="str">
        <f aca="false">IF(AND(J3341&lt;&gt;"",K3341&lt;&gt;""),J3341*K3341,"")</f>
        <v/>
      </c>
      <c r="M3341" s="81" t="str">
        <f aca="false">IF(L3341&lt;&gt;"",L3341*1.1,"")</f>
        <v/>
      </c>
      <c r="N3341" s="47" t="n">
        <f aca="false">IF(F3341="S",L3341*0.02,0)</f>
        <v>0</v>
      </c>
      <c r="O3341" s="82" t="str">
        <f aca="false">IF(L3341&lt;&gt;"",L3341+N3341,"")</f>
        <v/>
      </c>
      <c r="P3341" s="47" t="str">
        <f aca="false">IF(O3341&lt;&gt;"",O3341*0.1,"")</f>
        <v/>
      </c>
      <c r="Q3341" s="83" t="str">
        <f aca="false">IF(O3341&lt;&gt;"",O3341+P3341,"")</f>
        <v/>
      </c>
      <c r="R3341" s="84"/>
    </row>
    <row r="3342" customFormat="false" ht="15" hidden="false" customHeight="true" outlineLevel="0" collapsed="false">
      <c r="A3342" s="103"/>
      <c r="B3342" s="73"/>
      <c r="C3342" s="74"/>
      <c r="D3342" s="75"/>
      <c r="E3342" s="52" t="str">
        <f aca="false">IF(D3342&lt;&gt;"",IFERROR(VLOOKUP(D3342,PROVEEDORES!$A:$B,2,0),"!COD NO ENCONTRADO"),"")</f>
        <v/>
      </c>
      <c r="F3342" s="76" t="str">
        <f aca="false">IF(D3342&lt;&gt;"",IFERROR(VLOOKUP(D3342,PROVEEDORES!$A:$C,3,0),""),"")</f>
        <v/>
      </c>
      <c r="G3342" s="75"/>
      <c r="H3342" s="52" t="str">
        <f aca="false">IF(G3342&lt;&gt;"",IFERROR(VLOOKUP(G3342,PRODUCTOS!$A:$B,2,0),"!COD NO ENCONTRADO"),"")</f>
        <v/>
      </c>
      <c r="I3342" s="77"/>
      <c r="J3342" s="78"/>
      <c r="K3342" s="79"/>
      <c r="L3342" s="80" t="str">
        <f aca="false">IF(AND(J3342&lt;&gt;"",K3342&lt;&gt;""),J3342*K3342,"")</f>
        <v/>
      </c>
      <c r="M3342" s="81" t="str">
        <f aca="false">IF(L3342&lt;&gt;"",L3342*1.1,"")</f>
        <v/>
      </c>
      <c r="N3342" s="53" t="n">
        <f aca="false">IF(F3342="S",L3342*0.02,0)</f>
        <v>0</v>
      </c>
      <c r="O3342" s="82" t="str">
        <f aca="false">IF(L3342&lt;&gt;"",L3342+N3342,"")</f>
        <v/>
      </c>
      <c r="P3342" s="53" t="str">
        <f aca="false">IF(O3342&lt;&gt;"",O3342*0.1,"")</f>
        <v/>
      </c>
      <c r="Q3342" s="83" t="str">
        <f aca="false">IF(O3342&lt;&gt;"",O3342+P3342,"")</f>
        <v/>
      </c>
      <c r="R3342" s="84"/>
    </row>
    <row r="3343" customFormat="false" ht="15" hidden="false" customHeight="true" outlineLevel="0" collapsed="false">
      <c r="A3343" s="103"/>
      <c r="B3343" s="85"/>
      <c r="C3343" s="86"/>
      <c r="D3343" s="87"/>
      <c r="E3343" s="46" t="str">
        <f aca="false">IF(D3343&lt;&gt;"",IFERROR(VLOOKUP(D3343,PROVEEDORES!$A:$B,2,0),"!COD NO ENCONTRADO"),"")</f>
        <v/>
      </c>
      <c r="F3343" s="88" t="str">
        <f aca="false">IF(D3343&lt;&gt;"",IFERROR(VLOOKUP(D3343,PROVEEDORES!$A:$C,3,0),""),"")</f>
        <v/>
      </c>
      <c r="G3343" s="87"/>
      <c r="H3343" s="46" t="str">
        <f aca="false">IF(G3343&lt;&gt;"",IFERROR(VLOOKUP(G3343,PRODUCTOS!$A:$B,2,0),"!COD NO ENCONTRADO"),"")</f>
        <v/>
      </c>
      <c r="I3343" s="89"/>
      <c r="J3343" s="90"/>
      <c r="K3343" s="91"/>
      <c r="L3343" s="80" t="str">
        <f aca="false">IF(AND(J3343&lt;&gt;"",K3343&lt;&gt;""),J3343*K3343,"")</f>
        <v/>
      </c>
      <c r="M3343" s="81" t="str">
        <f aca="false">IF(L3343&lt;&gt;"",L3343*1.1,"")</f>
        <v/>
      </c>
      <c r="N3343" s="47" t="n">
        <f aca="false">IF(F3343="S",L3343*0.02,0)</f>
        <v>0</v>
      </c>
      <c r="O3343" s="82" t="str">
        <f aca="false">IF(L3343&lt;&gt;"",L3343+N3343,"")</f>
        <v/>
      </c>
      <c r="P3343" s="47" t="str">
        <f aca="false">IF(O3343&lt;&gt;"",O3343*0.1,"")</f>
        <v/>
      </c>
      <c r="Q3343" s="83" t="str">
        <f aca="false">IF(O3343&lt;&gt;"",O3343+P3343,"")</f>
        <v/>
      </c>
      <c r="R3343" s="84"/>
    </row>
    <row r="3344" customFormat="false" ht="15" hidden="false" customHeight="true" outlineLevel="0" collapsed="false">
      <c r="A3344" s="103"/>
      <c r="B3344" s="73"/>
      <c r="C3344" s="74"/>
      <c r="D3344" s="75"/>
      <c r="E3344" s="52" t="str">
        <f aca="false">IF(D3344&lt;&gt;"",IFERROR(VLOOKUP(D3344,PROVEEDORES!$A:$B,2,0),"!COD NO ENCONTRADO"),"")</f>
        <v/>
      </c>
      <c r="F3344" s="76" t="str">
        <f aca="false">IF(D3344&lt;&gt;"",IFERROR(VLOOKUP(D3344,PROVEEDORES!$A:$C,3,0),""),"")</f>
        <v/>
      </c>
      <c r="G3344" s="75"/>
      <c r="H3344" s="52" t="str">
        <f aca="false">IF(G3344&lt;&gt;"",IFERROR(VLOOKUP(G3344,PRODUCTOS!$A:$B,2,0),"!COD NO ENCONTRADO"),"")</f>
        <v/>
      </c>
      <c r="I3344" s="77"/>
      <c r="J3344" s="78"/>
      <c r="K3344" s="79"/>
      <c r="L3344" s="80" t="str">
        <f aca="false">IF(AND(J3344&lt;&gt;"",K3344&lt;&gt;""),J3344*K3344,"")</f>
        <v/>
      </c>
      <c r="M3344" s="81" t="str">
        <f aca="false">IF(L3344&lt;&gt;"",L3344*1.1,"")</f>
        <v/>
      </c>
      <c r="N3344" s="53" t="n">
        <f aca="false">IF(F3344="S",L3344*0.02,0)</f>
        <v>0</v>
      </c>
      <c r="O3344" s="82" t="str">
        <f aca="false">IF(L3344&lt;&gt;"",L3344+N3344,"")</f>
        <v/>
      </c>
      <c r="P3344" s="53" t="str">
        <f aca="false">IF(O3344&lt;&gt;"",O3344*0.1,"")</f>
        <v/>
      </c>
      <c r="Q3344" s="83" t="str">
        <f aca="false">IF(O3344&lt;&gt;"",O3344+P3344,"")</f>
        <v/>
      </c>
      <c r="R3344" s="84"/>
    </row>
    <row r="3345" customFormat="false" ht="15" hidden="false" customHeight="true" outlineLevel="0" collapsed="false">
      <c r="A3345" s="103"/>
      <c r="B3345" s="85"/>
      <c r="C3345" s="86"/>
      <c r="D3345" s="87"/>
      <c r="E3345" s="46" t="str">
        <f aca="false">IF(D3345&lt;&gt;"",IFERROR(VLOOKUP(D3345,PROVEEDORES!$A:$B,2,0),"!COD NO ENCONTRADO"),"")</f>
        <v/>
      </c>
      <c r="F3345" s="88" t="str">
        <f aca="false">IF(D3345&lt;&gt;"",IFERROR(VLOOKUP(D3345,PROVEEDORES!$A:$C,3,0),""),"")</f>
        <v/>
      </c>
      <c r="G3345" s="87"/>
      <c r="H3345" s="46" t="str">
        <f aca="false">IF(G3345&lt;&gt;"",IFERROR(VLOOKUP(G3345,PRODUCTOS!$A:$B,2,0),"!COD NO ENCONTRADO"),"")</f>
        <v/>
      </c>
      <c r="I3345" s="89"/>
      <c r="J3345" s="90"/>
      <c r="K3345" s="91"/>
      <c r="L3345" s="80" t="str">
        <f aca="false">IF(AND(J3345&lt;&gt;"",K3345&lt;&gt;""),J3345*K3345,"")</f>
        <v/>
      </c>
      <c r="M3345" s="81" t="str">
        <f aca="false">IF(L3345&lt;&gt;"",L3345*1.1,"")</f>
        <v/>
      </c>
      <c r="N3345" s="47" t="n">
        <f aca="false">IF(F3345="S",L3345*0.02,0)</f>
        <v>0</v>
      </c>
      <c r="O3345" s="82" t="str">
        <f aca="false">IF(L3345&lt;&gt;"",L3345+N3345,"")</f>
        <v/>
      </c>
      <c r="P3345" s="47" t="str">
        <f aca="false">IF(O3345&lt;&gt;"",O3345*0.1,"")</f>
        <v/>
      </c>
      <c r="Q3345" s="83" t="str">
        <f aca="false">IF(O3345&lt;&gt;"",O3345+P3345,"")</f>
        <v/>
      </c>
      <c r="R3345" s="84"/>
    </row>
    <row r="3346" customFormat="false" ht="15" hidden="false" customHeight="true" outlineLevel="0" collapsed="false">
      <c r="A3346" s="103"/>
      <c r="B3346" s="73"/>
      <c r="C3346" s="74"/>
      <c r="D3346" s="75"/>
      <c r="E3346" s="52" t="str">
        <f aca="false">IF(D3346&lt;&gt;"",IFERROR(VLOOKUP(D3346,PROVEEDORES!$A:$B,2,0),"!COD NO ENCONTRADO"),"")</f>
        <v/>
      </c>
      <c r="F3346" s="76" t="str">
        <f aca="false">IF(D3346&lt;&gt;"",IFERROR(VLOOKUP(D3346,PROVEEDORES!$A:$C,3,0),""),"")</f>
        <v/>
      </c>
      <c r="G3346" s="75"/>
      <c r="H3346" s="52" t="str">
        <f aca="false">IF(G3346&lt;&gt;"",IFERROR(VLOOKUP(G3346,PRODUCTOS!$A:$B,2,0),"!COD NO ENCONTRADO"),"")</f>
        <v/>
      </c>
      <c r="I3346" s="77"/>
      <c r="J3346" s="78"/>
      <c r="K3346" s="79"/>
      <c r="L3346" s="80" t="str">
        <f aca="false">IF(AND(J3346&lt;&gt;"",K3346&lt;&gt;""),J3346*K3346,"")</f>
        <v/>
      </c>
      <c r="M3346" s="81" t="str">
        <f aca="false">IF(L3346&lt;&gt;"",L3346*1.1,"")</f>
        <v/>
      </c>
      <c r="N3346" s="53" t="n">
        <f aca="false">IF(F3346="S",L3346*0.02,0)</f>
        <v>0</v>
      </c>
      <c r="O3346" s="82" t="str">
        <f aca="false">IF(L3346&lt;&gt;"",L3346+N3346,"")</f>
        <v/>
      </c>
      <c r="P3346" s="53" t="str">
        <f aca="false">IF(O3346&lt;&gt;"",O3346*0.1,"")</f>
        <v/>
      </c>
      <c r="Q3346" s="83" t="str">
        <f aca="false">IF(O3346&lt;&gt;"",O3346+P3346,"")</f>
        <v/>
      </c>
      <c r="R3346" s="84"/>
    </row>
    <row r="3347" customFormat="false" ht="15" hidden="false" customHeight="true" outlineLevel="0" collapsed="false">
      <c r="A3347" s="103"/>
      <c r="B3347" s="85"/>
      <c r="C3347" s="86"/>
      <c r="D3347" s="87"/>
      <c r="E3347" s="46" t="str">
        <f aca="false">IF(D3347&lt;&gt;"",IFERROR(VLOOKUP(D3347,PROVEEDORES!$A:$B,2,0),"!COD NO ENCONTRADO"),"")</f>
        <v/>
      </c>
      <c r="F3347" s="88" t="str">
        <f aca="false">IF(D3347&lt;&gt;"",IFERROR(VLOOKUP(D3347,PROVEEDORES!$A:$C,3,0),""),"")</f>
        <v/>
      </c>
      <c r="G3347" s="87"/>
      <c r="H3347" s="46" t="str">
        <f aca="false">IF(G3347&lt;&gt;"",IFERROR(VLOOKUP(G3347,PRODUCTOS!$A:$B,2,0),"!COD NO ENCONTRADO"),"")</f>
        <v/>
      </c>
      <c r="I3347" s="89"/>
      <c r="J3347" s="90"/>
      <c r="K3347" s="91"/>
      <c r="L3347" s="80" t="str">
        <f aca="false">IF(AND(J3347&lt;&gt;"",K3347&lt;&gt;""),J3347*K3347,"")</f>
        <v/>
      </c>
      <c r="M3347" s="81" t="str">
        <f aca="false">IF(L3347&lt;&gt;"",L3347*1.1,"")</f>
        <v/>
      </c>
      <c r="N3347" s="47" t="n">
        <f aca="false">IF(F3347="S",L3347*0.02,0)</f>
        <v>0</v>
      </c>
      <c r="O3347" s="82" t="str">
        <f aca="false">IF(L3347&lt;&gt;"",L3347+N3347,"")</f>
        <v/>
      </c>
      <c r="P3347" s="47" t="str">
        <f aca="false">IF(O3347&lt;&gt;"",O3347*0.1,"")</f>
        <v/>
      </c>
      <c r="Q3347" s="83" t="str">
        <f aca="false">IF(O3347&lt;&gt;"",O3347+P3347,"")</f>
        <v/>
      </c>
      <c r="R3347" s="84"/>
    </row>
    <row r="3348" customFormat="false" ht="15" hidden="false" customHeight="true" outlineLevel="0" collapsed="false">
      <c r="A3348" s="103"/>
      <c r="B3348" s="73"/>
      <c r="C3348" s="74"/>
      <c r="D3348" s="75"/>
      <c r="E3348" s="52" t="str">
        <f aca="false">IF(D3348&lt;&gt;"",IFERROR(VLOOKUP(D3348,PROVEEDORES!$A:$B,2,0),"!COD NO ENCONTRADO"),"")</f>
        <v/>
      </c>
      <c r="F3348" s="76" t="str">
        <f aca="false">IF(D3348&lt;&gt;"",IFERROR(VLOOKUP(D3348,PROVEEDORES!$A:$C,3,0),""),"")</f>
        <v/>
      </c>
      <c r="G3348" s="75"/>
      <c r="H3348" s="52" t="str">
        <f aca="false">IF(G3348&lt;&gt;"",IFERROR(VLOOKUP(G3348,PRODUCTOS!$A:$B,2,0),"!COD NO ENCONTRADO"),"")</f>
        <v/>
      </c>
      <c r="I3348" s="77"/>
      <c r="J3348" s="78"/>
      <c r="K3348" s="79"/>
      <c r="L3348" s="80" t="str">
        <f aca="false">IF(AND(J3348&lt;&gt;"",K3348&lt;&gt;""),J3348*K3348,"")</f>
        <v/>
      </c>
      <c r="M3348" s="81" t="str">
        <f aca="false">IF(L3348&lt;&gt;"",L3348*1.1,"")</f>
        <v/>
      </c>
      <c r="N3348" s="53" t="n">
        <f aca="false">IF(F3348="S",L3348*0.02,0)</f>
        <v>0</v>
      </c>
      <c r="O3348" s="82" t="str">
        <f aca="false">IF(L3348&lt;&gt;"",L3348+N3348,"")</f>
        <v/>
      </c>
      <c r="P3348" s="53" t="str">
        <f aca="false">IF(O3348&lt;&gt;"",O3348*0.1,"")</f>
        <v/>
      </c>
      <c r="Q3348" s="83" t="str">
        <f aca="false">IF(O3348&lt;&gt;"",O3348+P3348,"")</f>
        <v/>
      </c>
      <c r="R3348" s="84"/>
    </row>
    <row r="3349" customFormat="false" ht="15" hidden="false" customHeight="true" outlineLevel="0" collapsed="false">
      <c r="A3349" s="103"/>
      <c r="B3349" s="85"/>
      <c r="C3349" s="86"/>
      <c r="D3349" s="87"/>
      <c r="E3349" s="46" t="str">
        <f aca="false">IF(D3349&lt;&gt;"",IFERROR(VLOOKUP(D3349,PROVEEDORES!$A:$B,2,0),"!COD NO ENCONTRADO"),"")</f>
        <v/>
      </c>
      <c r="F3349" s="88" t="str">
        <f aca="false">IF(D3349&lt;&gt;"",IFERROR(VLOOKUP(D3349,PROVEEDORES!$A:$C,3,0),""),"")</f>
        <v/>
      </c>
      <c r="G3349" s="87"/>
      <c r="H3349" s="46" t="str">
        <f aca="false">IF(G3349&lt;&gt;"",IFERROR(VLOOKUP(G3349,PRODUCTOS!$A:$B,2,0),"!COD NO ENCONTRADO"),"")</f>
        <v/>
      </c>
      <c r="I3349" s="89"/>
      <c r="J3349" s="90"/>
      <c r="K3349" s="91"/>
      <c r="L3349" s="80" t="str">
        <f aca="false">IF(AND(J3349&lt;&gt;"",K3349&lt;&gt;""),J3349*K3349,"")</f>
        <v/>
      </c>
      <c r="M3349" s="81" t="str">
        <f aca="false">IF(L3349&lt;&gt;"",L3349*1.1,"")</f>
        <v/>
      </c>
      <c r="N3349" s="47" t="n">
        <f aca="false">IF(F3349="S",L3349*0.02,0)</f>
        <v>0</v>
      </c>
      <c r="O3349" s="82" t="str">
        <f aca="false">IF(L3349&lt;&gt;"",L3349+N3349,"")</f>
        <v/>
      </c>
      <c r="P3349" s="47" t="str">
        <f aca="false">IF(O3349&lt;&gt;"",O3349*0.1,"")</f>
        <v/>
      </c>
      <c r="Q3349" s="83" t="str">
        <f aca="false">IF(O3349&lt;&gt;"",O3349+P3349,"")</f>
        <v/>
      </c>
      <c r="R3349" s="84"/>
    </row>
    <row r="3350" customFormat="false" ht="15" hidden="false" customHeight="true" outlineLevel="0" collapsed="false">
      <c r="A3350" s="103"/>
      <c r="B3350" s="73"/>
      <c r="C3350" s="74"/>
      <c r="D3350" s="75"/>
      <c r="E3350" s="52" t="str">
        <f aca="false">IF(D3350&lt;&gt;"",IFERROR(VLOOKUP(D3350,PROVEEDORES!$A:$B,2,0),"!COD NO ENCONTRADO"),"")</f>
        <v/>
      </c>
      <c r="F3350" s="76" t="str">
        <f aca="false">IF(D3350&lt;&gt;"",IFERROR(VLOOKUP(D3350,PROVEEDORES!$A:$C,3,0),""),"")</f>
        <v/>
      </c>
      <c r="G3350" s="75"/>
      <c r="H3350" s="52" t="str">
        <f aca="false">IF(G3350&lt;&gt;"",IFERROR(VLOOKUP(G3350,PRODUCTOS!$A:$B,2,0),"!COD NO ENCONTRADO"),"")</f>
        <v/>
      </c>
      <c r="I3350" s="77"/>
      <c r="J3350" s="78"/>
      <c r="K3350" s="79"/>
      <c r="L3350" s="80" t="str">
        <f aca="false">IF(AND(J3350&lt;&gt;"",K3350&lt;&gt;""),J3350*K3350,"")</f>
        <v/>
      </c>
      <c r="M3350" s="81" t="str">
        <f aca="false">IF(L3350&lt;&gt;"",L3350*1.1,"")</f>
        <v/>
      </c>
      <c r="N3350" s="53" t="n">
        <f aca="false">IF(F3350="S",L3350*0.02,0)</f>
        <v>0</v>
      </c>
      <c r="O3350" s="82" t="str">
        <f aca="false">IF(L3350&lt;&gt;"",L3350+N3350,"")</f>
        <v/>
      </c>
      <c r="P3350" s="53" t="str">
        <f aca="false">IF(O3350&lt;&gt;"",O3350*0.1,"")</f>
        <v/>
      </c>
      <c r="Q3350" s="83" t="str">
        <f aca="false">IF(O3350&lt;&gt;"",O3350+P3350,"")</f>
        <v/>
      </c>
      <c r="R3350" s="84"/>
    </row>
    <row r="3351" customFormat="false" ht="15" hidden="false" customHeight="true" outlineLevel="0" collapsed="false">
      <c r="A3351" s="103"/>
      <c r="B3351" s="85"/>
      <c r="C3351" s="86"/>
      <c r="D3351" s="87"/>
      <c r="E3351" s="46" t="str">
        <f aca="false">IF(D3351&lt;&gt;"",IFERROR(VLOOKUP(D3351,PROVEEDORES!$A:$B,2,0),"!COD NO ENCONTRADO"),"")</f>
        <v/>
      </c>
      <c r="F3351" s="88" t="str">
        <f aca="false">IF(D3351&lt;&gt;"",IFERROR(VLOOKUP(D3351,PROVEEDORES!$A:$C,3,0),""),"")</f>
        <v/>
      </c>
      <c r="G3351" s="87"/>
      <c r="H3351" s="46" t="str">
        <f aca="false">IF(G3351&lt;&gt;"",IFERROR(VLOOKUP(G3351,PRODUCTOS!$A:$B,2,0),"!COD NO ENCONTRADO"),"")</f>
        <v/>
      </c>
      <c r="I3351" s="89"/>
      <c r="J3351" s="90"/>
      <c r="K3351" s="91"/>
      <c r="L3351" s="80" t="str">
        <f aca="false">IF(AND(J3351&lt;&gt;"",K3351&lt;&gt;""),J3351*K3351,"")</f>
        <v/>
      </c>
      <c r="M3351" s="81" t="str">
        <f aca="false">IF(L3351&lt;&gt;"",L3351*1.1,"")</f>
        <v/>
      </c>
      <c r="N3351" s="47" t="n">
        <f aca="false">IF(F3351="S",L3351*0.02,0)</f>
        <v>0</v>
      </c>
      <c r="O3351" s="82" t="str">
        <f aca="false">IF(L3351&lt;&gt;"",L3351+N3351,"")</f>
        <v/>
      </c>
      <c r="P3351" s="47" t="str">
        <f aca="false">IF(O3351&lt;&gt;"",O3351*0.1,"")</f>
        <v/>
      </c>
      <c r="Q3351" s="83" t="str">
        <f aca="false">IF(O3351&lt;&gt;"",O3351+P3351,"")</f>
        <v/>
      </c>
      <c r="R3351" s="84"/>
    </row>
    <row r="3352" customFormat="false" ht="15" hidden="false" customHeight="true" outlineLevel="0" collapsed="false">
      <c r="A3352" s="103"/>
      <c r="B3352" s="73"/>
      <c r="C3352" s="74"/>
      <c r="D3352" s="75"/>
      <c r="E3352" s="52" t="str">
        <f aca="false">IF(D3352&lt;&gt;"",IFERROR(VLOOKUP(D3352,PROVEEDORES!$A:$B,2,0),"!COD NO ENCONTRADO"),"")</f>
        <v/>
      </c>
      <c r="F3352" s="76" t="str">
        <f aca="false">IF(D3352&lt;&gt;"",IFERROR(VLOOKUP(D3352,PROVEEDORES!$A:$C,3,0),""),"")</f>
        <v/>
      </c>
      <c r="G3352" s="75"/>
      <c r="H3352" s="52" t="str">
        <f aca="false">IF(G3352&lt;&gt;"",IFERROR(VLOOKUP(G3352,PRODUCTOS!$A:$B,2,0),"!COD NO ENCONTRADO"),"")</f>
        <v/>
      </c>
      <c r="I3352" s="77"/>
      <c r="J3352" s="78"/>
      <c r="K3352" s="79"/>
      <c r="L3352" s="80" t="str">
        <f aca="false">IF(AND(J3352&lt;&gt;"",K3352&lt;&gt;""),J3352*K3352,"")</f>
        <v/>
      </c>
      <c r="M3352" s="81" t="str">
        <f aca="false">IF(L3352&lt;&gt;"",L3352*1.1,"")</f>
        <v/>
      </c>
      <c r="N3352" s="53" t="n">
        <f aca="false">IF(F3352="S",L3352*0.02,0)</f>
        <v>0</v>
      </c>
      <c r="O3352" s="82" t="str">
        <f aca="false">IF(L3352&lt;&gt;"",L3352+N3352,"")</f>
        <v/>
      </c>
      <c r="P3352" s="53" t="str">
        <f aca="false">IF(O3352&lt;&gt;"",O3352*0.1,"")</f>
        <v/>
      </c>
      <c r="Q3352" s="83" t="str">
        <f aca="false">IF(O3352&lt;&gt;"",O3352+P3352,"")</f>
        <v/>
      </c>
      <c r="R3352" s="84"/>
    </row>
    <row r="3353" customFormat="false" ht="15" hidden="false" customHeight="true" outlineLevel="0" collapsed="false">
      <c r="A3353" s="103"/>
      <c r="B3353" s="85"/>
      <c r="C3353" s="86"/>
      <c r="D3353" s="87"/>
      <c r="E3353" s="46" t="str">
        <f aca="false">IF(D3353&lt;&gt;"",IFERROR(VLOOKUP(D3353,PROVEEDORES!$A:$B,2,0),"!COD NO ENCONTRADO"),"")</f>
        <v/>
      </c>
      <c r="F3353" s="88" t="str">
        <f aca="false">IF(D3353&lt;&gt;"",IFERROR(VLOOKUP(D3353,PROVEEDORES!$A:$C,3,0),""),"")</f>
        <v/>
      </c>
      <c r="G3353" s="87"/>
      <c r="H3353" s="46" t="str">
        <f aca="false">IF(G3353&lt;&gt;"",IFERROR(VLOOKUP(G3353,PRODUCTOS!$A:$B,2,0),"!COD NO ENCONTRADO"),"")</f>
        <v/>
      </c>
      <c r="I3353" s="89"/>
      <c r="J3353" s="90"/>
      <c r="K3353" s="91"/>
      <c r="L3353" s="80" t="str">
        <f aca="false">IF(AND(J3353&lt;&gt;"",K3353&lt;&gt;""),J3353*K3353,"")</f>
        <v/>
      </c>
      <c r="M3353" s="81" t="str">
        <f aca="false">IF(L3353&lt;&gt;"",L3353*1.1,"")</f>
        <v/>
      </c>
      <c r="N3353" s="47" t="n">
        <f aca="false">IF(F3353="S",L3353*0.02,0)</f>
        <v>0</v>
      </c>
      <c r="O3353" s="82" t="str">
        <f aca="false">IF(L3353&lt;&gt;"",L3353+N3353,"")</f>
        <v/>
      </c>
      <c r="P3353" s="47" t="str">
        <f aca="false">IF(O3353&lt;&gt;"",O3353*0.1,"")</f>
        <v/>
      </c>
      <c r="Q3353" s="83" t="str">
        <f aca="false">IF(O3353&lt;&gt;"",O3353+P3353,"")</f>
        <v/>
      </c>
      <c r="R3353" s="84"/>
    </row>
    <row r="3354" customFormat="false" ht="15" hidden="false" customHeight="true" outlineLevel="0" collapsed="false">
      <c r="A3354" s="103"/>
      <c r="B3354" s="73"/>
      <c r="C3354" s="74"/>
      <c r="D3354" s="75"/>
      <c r="E3354" s="52" t="str">
        <f aca="false">IF(D3354&lt;&gt;"",IFERROR(VLOOKUP(D3354,PROVEEDORES!$A:$B,2,0),"!COD NO ENCONTRADO"),"")</f>
        <v/>
      </c>
      <c r="F3354" s="76" t="str">
        <f aca="false">IF(D3354&lt;&gt;"",IFERROR(VLOOKUP(D3354,PROVEEDORES!$A:$C,3,0),""),"")</f>
        <v/>
      </c>
      <c r="G3354" s="75"/>
      <c r="H3354" s="52" t="str">
        <f aca="false">IF(G3354&lt;&gt;"",IFERROR(VLOOKUP(G3354,PRODUCTOS!$A:$B,2,0),"!COD NO ENCONTRADO"),"")</f>
        <v/>
      </c>
      <c r="I3354" s="77"/>
      <c r="J3354" s="78"/>
      <c r="K3354" s="79"/>
      <c r="L3354" s="80" t="str">
        <f aca="false">IF(AND(J3354&lt;&gt;"",K3354&lt;&gt;""),J3354*K3354,"")</f>
        <v/>
      </c>
      <c r="M3354" s="81" t="str">
        <f aca="false">IF(L3354&lt;&gt;"",L3354*1.1,"")</f>
        <v/>
      </c>
      <c r="N3354" s="53" t="n">
        <f aca="false">IF(F3354="S",L3354*0.02,0)</f>
        <v>0</v>
      </c>
      <c r="O3354" s="82" t="str">
        <f aca="false">IF(L3354&lt;&gt;"",L3354+N3354,"")</f>
        <v/>
      </c>
      <c r="P3354" s="53" t="str">
        <f aca="false">IF(O3354&lt;&gt;"",O3354*0.1,"")</f>
        <v/>
      </c>
      <c r="Q3354" s="83" t="str">
        <f aca="false">IF(O3354&lt;&gt;"",O3354+P3354,"")</f>
        <v/>
      </c>
      <c r="R3354" s="84"/>
    </row>
    <row r="3355" customFormat="false" ht="15" hidden="false" customHeight="true" outlineLevel="0" collapsed="false">
      <c r="A3355" s="103"/>
      <c r="B3355" s="85"/>
      <c r="C3355" s="86"/>
      <c r="D3355" s="87"/>
      <c r="E3355" s="46" t="str">
        <f aca="false">IF(D3355&lt;&gt;"",IFERROR(VLOOKUP(D3355,PROVEEDORES!$A:$B,2,0),"!COD NO ENCONTRADO"),"")</f>
        <v/>
      </c>
      <c r="F3355" s="88" t="str">
        <f aca="false">IF(D3355&lt;&gt;"",IFERROR(VLOOKUP(D3355,PROVEEDORES!$A:$C,3,0),""),"")</f>
        <v/>
      </c>
      <c r="G3355" s="87"/>
      <c r="H3355" s="46" t="str">
        <f aca="false">IF(G3355&lt;&gt;"",IFERROR(VLOOKUP(G3355,PRODUCTOS!$A:$B,2,0),"!COD NO ENCONTRADO"),"")</f>
        <v/>
      </c>
      <c r="I3355" s="89"/>
      <c r="J3355" s="90"/>
      <c r="K3355" s="91"/>
      <c r="L3355" s="80" t="str">
        <f aca="false">IF(AND(J3355&lt;&gt;"",K3355&lt;&gt;""),J3355*K3355,"")</f>
        <v/>
      </c>
      <c r="M3355" s="81" t="str">
        <f aca="false">IF(L3355&lt;&gt;"",L3355*1.1,"")</f>
        <v/>
      </c>
      <c r="N3355" s="47" t="n">
        <f aca="false">IF(F3355="S",L3355*0.02,0)</f>
        <v>0</v>
      </c>
      <c r="O3355" s="82" t="str">
        <f aca="false">IF(L3355&lt;&gt;"",L3355+N3355,"")</f>
        <v/>
      </c>
      <c r="P3355" s="47" t="str">
        <f aca="false">IF(O3355&lt;&gt;"",O3355*0.1,"")</f>
        <v/>
      </c>
      <c r="Q3355" s="83" t="str">
        <f aca="false">IF(O3355&lt;&gt;"",O3355+P3355,"")</f>
        <v/>
      </c>
      <c r="R3355" s="84"/>
    </row>
    <row r="3356" customFormat="false" ht="15" hidden="false" customHeight="true" outlineLevel="0" collapsed="false">
      <c r="A3356" s="103"/>
      <c r="B3356" s="73"/>
      <c r="C3356" s="74"/>
      <c r="D3356" s="75"/>
      <c r="E3356" s="52" t="str">
        <f aca="false">IF(D3356&lt;&gt;"",IFERROR(VLOOKUP(D3356,PROVEEDORES!$A:$B,2,0),"!COD NO ENCONTRADO"),"")</f>
        <v/>
      </c>
      <c r="F3356" s="76" t="str">
        <f aca="false">IF(D3356&lt;&gt;"",IFERROR(VLOOKUP(D3356,PROVEEDORES!$A:$C,3,0),""),"")</f>
        <v/>
      </c>
      <c r="G3356" s="75"/>
      <c r="H3356" s="52" t="str">
        <f aca="false">IF(G3356&lt;&gt;"",IFERROR(VLOOKUP(G3356,PRODUCTOS!$A:$B,2,0),"!COD NO ENCONTRADO"),"")</f>
        <v/>
      </c>
      <c r="I3356" s="77"/>
      <c r="J3356" s="78"/>
      <c r="K3356" s="79"/>
      <c r="L3356" s="80" t="str">
        <f aca="false">IF(AND(J3356&lt;&gt;"",K3356&lt;&gt;""),J3356*K3356,"")</f>
        <v/>
      </c>
      <c r="M3356" s="81" t="str">
        <f aca="false">IF(L3356&lt;&gt;"",L3356*1.1,"")</f>
        <v/>
      </c>
      <c r="N3356" s="53" t="n">
        <f aca="false">IF(F3356="S",L3356*0.02,0)</f>
        <v>0</v>
      </c>
      <c r="O3356" s="82" t="str">
        <f aca="false">IF(L3356&lt;&gt;"",L3356+N3356,"")</f>
        <v/>
      </c>
      <c r="P3356" s="53" t="str">
        <f aca="false">IF(O3356&lt;&gt;"",O3356*0.1,"")</f>
        <v/>
      </c>
      <c r="Q3356" s="83" t="str">
        <f aca="false">IF(O3356&lt;&gt;"",O3356+P3356,"")</f>
        <v/>
      </c>
      <c r="R3356" s="84"/>
    </row>
    <row r="3357" customFormat="false" ht="15" hidden="false" customHeight="true" outlineLevel="0" collapsed="false">
      <c r="A3357" s="103"/>
      <c r="B3357" s="85"/>
      <c r="C3357" s="86"/>
      <c r="D3357" s="87"/>
      <c r="E3357" s="46" t="str">
        <f aca="false">IF(D3357&lt;&gt;"",IFERROR(VLOOKUP(D3357,PROVEEDORES!$A:$B,2,0),"!COD NO ENCONTRADO"),"")</f>
        <v/>
      </c>
      <c r="F3357" s="88" t="str">
        <f aca="false">IF(D3357&lt;&gt;"",IFERROR(VLOOKUP(D3357,PROVEEDORES!$A:$C,3,0),""),"")</f>
        <v/>
      </c>
      <c r="G3357" s="87"/>
      <c r="H3357" s="46" t="str">
        <f aca="false">IF(G3357&lt;&gt;"",IFERROR(VLOOKUP(G3357,PRODUCTOS!$A:$B,2,0),"!COD NO ENCONTRADO"),"")</f>
        <v/>
      </c>
      <c r="I3357" s="89"/>
      <c r="J3357" s="90"/>
      <c r="K3357" s="91"/>
      <c r="L3357" s="80" t="str">
        <f aca="false">IF(AND(J3357&lt;&gt;"",K3357&lt;&gt;""),J3357*K3357,"")</f>
        <v/>
      </c>
      <c r="M3357" s="81" t="str">
        <f aca="false">IF(L3357&lt;&gt;"",L3357*1.1,"")</f>
        <v/>
      </c>
      <c r="N3357" s="47" t="n">
        <f aca="false">IF(F3357="S",L3357*0.02,0)</f>
        <v>0</v>
      </c>
      <c r="O3357" s="82" t="str">
        <f aca="false">IF(L3357&lt;&gt;"",L3357+N3357,"")</f>
        <v/>
      </c>
      <c r="P3357" s="47" t="str">
        <f aca="false">IF(O3357&lt;&gt;"",O3357*0.1,"")</f>
        <v/>
      </c>
      <c r="Q3357" s="83" t="str">
        <f aca="false">IF(O3357&lt;&gt;"",O3357+P3357,"")</f>
        <v/>
      </c>
      <c r="R3357" s="84"/>
    </row>
    <row r="3358" customFormat="false" ht="15" hidden="false" customHeight="true" outlineLevel="0" collapsed="false">
      <c r="A3358" s="103"/>
      <c r="B3358" s="73"/>
      <c r="C3358" s="74"/>
      <c r="D3358" s="75"/>
      <c r="E3358" s="52" t="str">
        <f aca="false">IF(D3358&lt;&gt;"",IFERROR(VLOOKUP(D3358,PROVEEDORES!$A:$B,2,0),"!COD NO ENCONTRADO"),"")</f>
        <v/>
      </c>
      <c r="F3358" s="76" t="str">
        <f aca="false">IF(D3358&lt;&gt;"",IFERROR(VLOOKUP(D3358,PROVEEDORES!$A:$C,3,0),""),"")</f>
        <v/>
      </c>
      <c r="G3358" s="75"/>
      <c r="H3358" s="52" t="str">
        <f aca="false">IF(G3358&lt;&gt;"",IFERROR(VLOOKUP(G3358,PRODUCTOS!$A:$B,2,0),"!COD NO ENCONTRADO"),"")</f>
        <v/>
      </c>
      <c r="I3358" s="77"/>
      <c r="J3358" s="78"/>
      <c r="K3358" s="79"/>
      <c r="L3358" s="80" t="str">
        <f aca="false">IF(AND(J3358&lt;&gt;"",K3358&lt;&gt;""),J3358*K3358,"")</f>
        <v/>
      </c>
      <c r="M3358" s="81" t="str">
        <f aca="false">IF(L3358&lt;&gt;"",L3358*1.1,"")</f>
        <v/>
      </c>
      <c r="N3358" s="53" t="n">
        <f aca="false">IF(F3358="S",L3358*0.02,0)</f>
        <v>0</v>
      </c>
      <c r="O3358" s="82" t="str">
        <f aca="false">IF(L3358&lt;&gt;"",L3358+N3358,"")</f>
        <v/>
      </c>
      <c r="P3358" s="53" t="str">
        <f aca="false">IF(O3358&lt;&gt;"",O3358*0.1,"")</f>
        <v/>
      </c>
      <c r="Q3358" s="83" t="str">
        <f aca="false">IF(O3358&lt;&gt;"",O3358+P3358,"")</f>
        <v/>
      </c>
      <c r="R3358" s="84"/>
    </row>
    <row r="3359" customFormat="false" ht="15" hidden="false" customHeight="true" outlineLevel="0" collapsed="false">
      <c r="A3359" s="103"/>
      <c r="B3359" s="85"/>
      <c r="C3359" s="86"/>
      <c r="D3359" s="87"/>
      <c r="E3359" s="46" t="str">
        <f aca="false">IF(D3359&lt;&gt;"",IFERROR(VLOOKUP(D3359,PROVEEDORES!$A:$B,2,0),"!COD NO ENCONTRADO"),"")</f>
        <v/>
      </c>
      <c r="F3359" s="88" t="str">
        <f aca="false">IF(D3359&lt;&gt;"",IFERROR(VLOOKUP(D3359,PROVEEDORES!$A:$C,3,0),""),"")</f>
        <v/>
      </c>
      <c r="G3359" s="87"/>
      <c r="H3359" s="46" t="str">
        <f aca="false">IF(G3359&lt;&gt;"",IFERROR(VLOOKUP(G3359,PRODUCTOS!$A:$B,2,0),"!COD NO ENCONTRADO"),"")</f>
        <v/>
      </c>
      <c r="I3359" s="89"/>
      <c r="J3359" s="90"/>
      <c r="K3359" s="91"/>
      <c r="L3359" s="80" t="str">
        <f aca="false">IF(AND(J3359&lt;&gt;"",K3359&lt;&gt;""),J3359*K3359,"")</f>
        <v/>
      </c>
      <c r="M3359" s="81" t="str">
        <f aca="false">IF(L3359&lt;&gt;"",L3359*1.1,"")</f>
        <v/>
      </c>
      <c r="N3359" s="47" t="n">
        <f aca="false">IF(F3359="S",L3359*0.02,0)</f>
        <v>0</v>
      </c>
      <c r="O3359" s="82" t="str">
        <f aca="false">IF(L3359&lt;&gt;"",L3359+N3359,"")</f>
        <v/>
      </c>
      <c r="P3359" s="47" t="str">
        <f aca="false">IF(O3359&lt;&gt;"",O3359*0.1,"")</f>
        <v/>
      </c>
      <c r="Q3359" s="83" t="str">
        <f aca="false">IF(O3359&lt;&gt;"",O3359+P3359,"")</f>
        <v/>
      </c>
      <c r="R3359" s="84"/>
    </row>
    <row r="3360" customFormat="false" ht="15" hidden="false" customHeight="true" outlineLevel="0" collapsed="false">
      <c r="A3360" s="103"/>
      <c r="B3360" s="73"/>
      <c r="C3360" s="74"/>
      <c r="D3360" s="75"/>
      <c r="E3360" s="52" t="str">
        <f aca="false">IF(D3360&lt;&gt;"",IFERROR(VLOOKUP(D3360,PROVEEDORES!$A:$B,2,0),"!COD NO ENCONTRADO"),"")</f>
        <v/>
      </c>
      <c r="F3360" s="76" t="str">
        <f aca="false">IF(D3360&lt;&gt;"",IFERROR(VLOOKUP(D3360,PROVEEDORES!$A:$C,3,0),""),"")</f>
        <v/>
      </c>
      <c r="G3360" s="75"/>
      <c r="H3360" s="52" t="str">
        <f aca="false">IF(G3360&lt;&gt;"",IFERROR(VLOOKUP(G3360,PRODUCTOS!$A:$B,2,0),"!COD NO ENCONTRADO"),"")</f>
        <v/>
      </c>
      <c r="I3360" s="77"/>
      <c r="J3360" s="78"/>
      <c r="K3360" s="79"/>
      <c r="L3360" s="80" t="str">
        <f aca="false">IF(AND(J3360&lt;&gt;"",K3360&lt;&gt;""),J3360*K3360,"")</f>
        <v/>
      </c>
      <c r="M3360" s="81" t="str">
        <f aca="false">IF(L3360&lt;&gt;"",L3360*1.1,"")</f>
        <v/>
      </c>
      <c r="N3360" s="53" t="n">
        <f aca="false">IF(F3360="S",L3360*0.02,0)</f>
        <v>0</v>
      </c>
      <c r="O3360" s="82" t="str">
        <f aca="false">IF(L3360&lt;&gt;"",L3360+N3360,"")</f>
        <v/>
      </c>
      <c r="P3360" s="53" t="str">
        <f aca="false">IF(O3360&lt;&gt;"",O3360*0.1,"")</f>
        <v/>
      </c>
      <c r="Q3360" s="83" t="str">
        <f aca="false">IF(O3360&lt;&gt;"",O3360+P3360,"")</f>
        <v/>
      </c>
      <c r="R3360" s="84"/>
    </row>
    <row r="3361" customFormat="false" ht="15" hidden="false" customHeight="true" outlineLevel="0" collapsed="false">
      <c r="A3361" s="103"/>
      <c r="B3361" s="85"/>
      <c r="C3361" s="86"/>
      <c r="D3361" s="87"/>
      <c r="E3361" s="46" t="str">
        <f aca="false">IF(D3361&lt;&gt;"",IFERROR(VLOOKUP(D3361,PROVEEDORES!$A:$B,2,0),"!COD NO ENCONTRADO"),"")</f>
        <v/>
      </c>
      <c r="F3361" s="88" t="str">
        <f aca="false">IF(D3361&lt;&gt;"",IFERROR(VLOOKUP(D3361,PROVEEDORES!$A:$C,3,0),""),"")</f>
        <v/>
      </c>
      <c r="G3361" s="87"/>
      <c r="H3361" s="46" t="str">
        <f aca="false">IF(G3361&lt;&gt;"",IFERROR(VLOOKUP(G3361,PRODUCTOS!$A:$B,2,0),"!COD NO ENCONTRADO"),"")</f>
        <v/>
      </c>
      <c r="I3361" s="89"/>
      <c r="J3361" s="90"/>
      <c r="K3361" s="91"/>
      <c r="L3361" s="80" t="str">
        <f aca="false">IF(AND(J3361&lt;&gt;"",K3361&lt;&gt;""),J3361*K3361,"")</f>
        <v/>
      </c>
      <c r="M3361" s="81" t="str">
        <f aca="false">IF(L3361&lt;&gt;"",L3361*1.1,"")</f>
        <v/>
      </c>
      <c r="N3361" s="47" t="n">
        <f aca="false">IF(F3361="S",L3361*0.02,0)</f>
        <v>0</v>
      </c>
      <c r="O3361" s="82" t="str">
        <f aca="false">IF(L3361&lt;&gt;"",L3361+N3361,"")</f>
        <v/>
      </c>
      <c r="P3361" s="47" t="str">
        <f aca="false">IF(O3361&lt;&gt;"",O3361*0.1,"")</f>
        <v/>
      </c>
      <c r="Q3361" s="83" t="str">
        <f aca="false">IF(O3361&lt;&gt;"",O3361+P3361,"")</f>
        <v/>
      </c>
      <c r="R3361" s="84"/>
    </row>
    <row r="3362" customFormat="false" ht="15" hidden="false" customHeight="true" outlineLevel="0" collapsed="false">
      <c r="A3362" s="103"/>
      <c r="B3362" s="73"/>
      <c r="C3362" s="74"/>
      <c r="D3362" s="75"/>
      <c r="E3362" s="52" t="str">
        <f aca="false">IF(D3362&lt;&gt;"",IFERROR(VLOOKUP(D3362,PROVEEDORES!$A:$B,2,0),"!COD NO ENCONTRADO"),"")</f>
        <v/>
      </c>
      <c r="F3362" s="76" t="str">
        <f aca="false">IF(D3362&lt;&gt;"",IFERROR(VLOOKUP(D3362,PROVEEDORES!$A:$C,3,0),""),"")</f>
        <v/>
      </c>
      <c r="G3362" s="75"/>
      <c r="H3362" s="52" t="str">
        <f aca="false">IF(G3362&lt;&gt;"",IFERROR(VLOOKUP(G3362,PRODUCTOS!$A:$B,2,0),"!COD NO ENCONTRADO"),"")</f>
        <v/>
      </c>
      <c r="I3362" s="77"/>
      <c r="J3362" s="78"/>
      <c r="K3362" s="79"/>
      <c r="L3362" s="80" t="str">
        <f aca="false">IF(AND(J3362&lt;&gt;"",K3362&lt;&gt;""),J3362*K3362,"")</f>
        <v/>
      </c>
      <c r="M3362" s="81" t="str">
        <f aca="false">IF(L3362&lt;&gt;"",L3362*1.1,"")</f>
        <v/>
      </c>
      <c r="N3362" s="53" t="n">
        <f aca="false">IF(F3362="S",L3362*0.02,0)</f>
        <v>0</v>
      </c>
      <c r="O3362" s="82" t="str">
        <f aca="false">IF(L3362&lt;&gt;"",L3362+N3362,"")</f>
        <v/>
      </c>
      <c r="P3362" s="53" t="str">
        <f aca="false">IF(O3362&lt;&gt;"",O3362*0.1,"")</f>
        <v/>
      </c>
      <c r="Q3362" s="83" t="str">
        <f aca="false">IF(O3362&lt;&gt;"",O3362+P3362,"")</f>
        <v/>
      </c>
      <c r="R3362" s="84"/>
    </row>
    <row r="3363" customFormat="false" ht="15" hidden="false" customHeight="true" outlineLevel="0" collapsed="false">
      <c r="A3363" s="103"/>
      <c r="B3363" s="85"/>
      <c r="C3363" s="86"/>
      <c r="D3363" s="87"/>
      <c r="E3363" s="46" t="str">
        <f aca="false">IF(D3363&lt;&gt;"",IFERROR(VLOOKUP(D3363,PROVEEDORES!$A:$B,2,0),"!COD NO ENCONTRADO"),"")</f>
        <v/>
      </c>
      <c r="F3363" s="88" t="str">
        <f aca="false">IF(D3363&lt;&gt;"",IFERROR(VLOOKUP(D3363,PROVEEDORES!$A:$C,3,0),""),"")</f>
        <v/>
      </c>
      <c r="G3363" s="87"/>
      <c r="H3363" s="46" t="str">
        <f aca="false">IF(G3363&lt;&gt;"",IFERROR(VLOOKUP(G3363,PRODUCTOS!$A:$B,2,0),"!COD NO ENCONTRADO"),"")</f>
        <v/>
      </c>
      <c r="I3363" s="89"/>
      <c r="J3363" s="90"/>
      <c r="K3363" s="91"/>
      <c r="L3363" s="80" t="str">
        <f aca="false">IF(AND(J3363&lt;&gt;"",K3363&lt;&gt;""),J3363*K3363,"")</f>
        <v/>
      </c>
      <c r="M3363" s="81" t="str">
        <f aca="false">IF(L3363&lt;&gt;"",L3363*1.1,"")</f>
        <v/>
      </c>
      <c r="N3363" s="47" t="n">
        <f aca="false">IF(F3363="S",L3363*0.02,0)</f>
        <v>0</v>
      </c>
      <c r="O3363" s="82" t="str">
        <f aca="false">IF(L3363&lt;&gt;"",L3363+N3363,"")</f>
        <v/>
      </c>
      <c r="P3363" s="47" t="str">
        <f aca="false">IF(O3363&lt;&gt;"",O3363*0.1,"")</f>
        <v/>
      </c>
      <c r="Q3363" s="83" t="str">
        <f aca="false">IF(O3363&lt;&gt;"",O3363+P3363,"")</f>
        <v/>
      </c>
      <c r="R3363" s="84"/>
    </row>
    <row r="3364" customFormat="false" ht="15" hidden="false" customHeight="true" outlineLevel="0" collapsed="false">
      <c r="A3364" s="103"/>
      <c r="B3364" s="73"/>
      <c r="C3364" s="74"/>
      <c r="D3364" s="75"/>
      <c r="E3364" s="52" t="str">
        <f aca="false">IF(D3364&lt;&gt;"",IFERROR(VLOOKUP(D3364,PROVEEDORES!$A:$B,2,0),"!COD NO ENCONTRADO"),"")</f>
        <v/>
      </c>
      <c r="F3364" s="76" t="str">
        <f aca="false">IF(D3364&lt;&gt;"",IFERROR(VLOOKUP(D3364,PROVEEDORES!$A:$C,3,0),""),"")</f>
        <v/>
      </c>
      <c r="G3364" s="75"/>
      <c r="H3364" s="52" t="str">
        <f aca="false">IF(G3364&lt;&gt;"",IFERROR(VLOOKUP(G3364,PRODUCTOS!$A:$B,2,0),"!COD NO ENCONTRADO"),"")</f>
        <v/>
      </c>
      <c r="I3364" s="77"/>
      <c r="J3364" s="78"/>
      <c r="K3364" s="79"/>
      <c r="L3364" s="80" t="str">
        <f aca="false">IF(AND(J3364&lt;&gt;"",K3364&lt;&gt;""),J3364*K3364,"")</f>
        <v/>
      </c>
      <c r="M3364" s="81" t="str">
        <f aca="false">IF(L3364&lt;&gt;"",L3364*1.1,"")</f>
        <v/>
      </c>
      <c r="N3364" s="53" t="n">
        <f aca="false">IF(F3364="S",L3364*0.02,0)</f>
        <v>0</v>
      </c>
      <c r="O3364" s="82" t="str">
        <f aca="false">IF(L3364&lt;&gt;"",L3364+N3364,"")</f>
        <v/>
      </c>
      <c r="P3364" s="53" t="str">
        <f aca="false">IF(O3364&lt;&gt;"",O3364*0.1,"")</f>
        <v/>
      </c>
      <c r="Q3364" s="83" t="str">
        <f aca="false">IF(O3364&lt;&gt;"",O3364+P3364,"")</f>
        <v/>
      </c>
      <c r="R3364" s="84"/>
    </row>
    <row r="3365" customFormat="false" ht="15" hidden="false" customHeight="true" outlineLevel="0" collapsed="false">
      <c r="A3365" s="103"/>
      <c r="B3365" s="85"/>
      <c r="C3365" s="86"/>
      <c r="D3365" s="87"/>
      <c r="E3365" s="46" t="str">
        <f aca="false">IF(D3365&lt;&gt;"",IFERROR(VLOOKUP(D3365,PROVEEDORES!$A:$B,2,0),"!COD NO ENCONTRADO"),"")</f>
        <v/>
      </c>
      <c r="F3365" s="88" t="str">
        <f aca="false">IF(D3365&lt;&gt;"",IFERROR(VLOOKUP(D3365,PROVEEDORES!$A:$C,3,0),""),"")</f>
        <v/>
      </c>
      <c r="G3365" s="87"/>
      <c r="H3365" s="46" t="str">
        <f aca="false">IF(G3365&lt;&gt;"",IFERROR(VLOOKUP(G3365,PRODUCTOS!$A:$B,2,0),"!COD NO ENCONTRADO"),"")</f>
        <v/>
      </c>
      <c r="I3365" s="89"/>
      <c r="J3365" s="90"/>
      <c r="K3365" s="91"/>
      <c r="L3365" s="80" t="str">
        <f aca="false">IF(AND(J3365&lt;&gt;"",K3365&lt;&gt;""),J3365*K3365,"")</f>
        <v/>
      </c>
      <c r="M3365" s="81" t="str">
        <f aca="false">IF(L3365&lt;&gt;"",L3365*1.1,"")</f>
        <v/>
      </c>
      <c r="N3365" s="47" t="n">
        <f aca="false">IF(F3365="S",L3365*0.02,0)</f>
        <v>0</v>
      </c>
      <c r="O3365" s="82" t="str">
        <f aca="false">IF(L3365&lt;&gt;"",L3365+N3365,"")</f>
        <v/>
      </c>
      <c r="P3365" s="47" t="str">
        <f aca="false">IF(O3365&lt;&gt;"",O3365*0.1,"")</f>
        <v/>
      </c>
      <c r="Q3365" s="83" t="str">
        <f aca="false">IF(O3365&lt;&gt;"",O3365+P3365,"")</f>
        <v/>
      </c>
      <c r="R3365" s="84"/>
    </row>
    <row r="3366" customFormat="false" ht="15" hidden="false" customHeight="true" outlineLevel="0" collapsed="false">
      <c r="A3366" s="103"/>
      <c r="B3366" s="73"/>
      <c r="C3366" s="74"/>
      <c r="D3366" s="75"/>
      <c r="E3366" s="52" t="str">
        <f aca="false">IF(D3366&lt;&gt;"",IFERROR(VLOOKUP(D3366,PROVEEDORES!$A:$B,2,0),"!COD NO ENCONTRADO"),"")</f>
        <v/>
      </c>
      <c r="F3366" s="76" t="str">
        <f aca="false">IF(D3366&lt;&gt;"",IFERROR(VLOOKUP(D3366,PROVEEDORES!$A:$C,3,0),""),"")</f>
        <v/>
      </c>
      <c r="G3366" s="75"/>
      <c r="H3366" s="52" t="str">
        <f aca="false">IF(G3366&lt;&gt;"",IFERROR(VLOOKUP(G3366,PRODUCTOS!$A:$B,2,0),"!COD NO ENCONTRADO"),"")</f>
        <v/>
      </c>
      <c r="I3366" s="77"/>
      <c r="J3366" s="78"/>
      <c r="K3366" s="79"/>
      <c r="L3366" s="80" t="str">
        <f aca="false">IF(AND(J3366&lt;&gt;"",K3366&lt;&gt;""),J3366*K3366,"")</f>
        <v/>
      </c>
      <c r="M3366" s="81" t="str">
        <f aca="false">IF(L3366&lt;&gt;"",L3366*1.1,"")</f>
        <v/>
      </c>
      <c r="N3366" s="53" t="n">
        <f aca="false">IF(F3366="S",L3366*0.02,0)</f>
        <v>0</v>
      </c>
      <c r="O3366" s="82" t="str">
        <f aca="false">IF(L3366&lt;&gt;"",L3366+N3366,"")</f>
        <v/>
      </c>
      <c r="P3366" s="53" t="str">
        <f aca="false">IF(O3366&lt;&gt;"",O3366*0.1,"")</f>
        <v/>
      </c>
      <c r="Q3366" s="83" t="str">
        <f aca="false">IF(O3366&lt;&gt;"",O3366+P3366,"")</f>
        <v/>
      </c>
      <c r="R3366" s="84"/>
    </row>
    <row r="3367" customFormat="false" ht="15" hidden="false" customHeight="true" outlineLevel="0" collapsed="false">
      <c r="A3367" s="103"/>
      <c r="B3367" s="85"/>
      <c r="C3367" s="86"/>
      <c r="D3367" s="87"/>
      <c r="E3367" s="46" t="str">
        <f aca="false">IF(D3367&lt;&gt;"",IFERROR(VLOOKUP(D3367,PROVEEDORES!$A:$B,2,0),"!COD NO ENCONTRADO"),"")</f>
        <v/>
      </c>
      <c r="F3367" s="88" t="str">
        <f aca="false">IF(D3367&lt;&gt;"",IFERROR(VLOOKUP(D3367,PROVEEDORES!$A:$C,3,0),""),"")</f>
        <v/>
      </c>
      <c r="G3367" s="87"/>
      <c r="H3367" s="46" t="str">
        <f aca="false">IF(G3367&lt;&gt;"",IFERROR(VLOOKUP(G3367,PRODUCTOS!$A:$B,2,0),"!COD NO ENCONTRADO"),"")</f>
        <v/>
      </c>
      <c r="I3367" s="89"/>
      <c r="J3367" s="90"/>
      <c r="K3367" s="91"/>
      <c r="L3367" s="80" t="str">
        <f aca="false">IF(AND(J3367&lt;&gt;"",K3367&lt;&gt;""),J3367*K3367,"")</f>
        <v/>
      </c>
      <c r="M3367" s="81" t="str">
        <f aca="false">IF(L3367&lt;&gt;"",L3367*1.1,"")</f>
        <v/>
      </c>
      <c r="N3367" s="47" t="n">
        <f aca="false">IF(F3367="S",L3367*0.02,0)</f>
        <v>0</v>
      </c>
      <c r="O3367" s="82" t="str">
        <f aca="false">IF(L3367&lt;&gt;"",L3367+N3367,"")</f>
        <v/>
      </c>
      <c r="P3367" s="47" t="str">
        <f aca="false">IF(O3367&lt;&gt;"",O3367*0.1,"")</f>
        <v/>
      </c>
      <c r="Q3367" s="83" t="str">
        <f aca="false">IF(O3367&lt;&gt;"",O3367+P3367,"")</f>
        <v/>
      </c>
      <c r="R3367" s="84"/>
    </row>
    <row r="3368" customFormat="false" ht="15" hidden="false" customHeight="true" outlineLevel="0" collapsed="false">
      <c r="A3368" s="103"/>
      <c r="B3368" s="73"/>
      <c r="C3368" s="74"/>
      <c r="D3368" s="75"/>
      <c r="E3368" s="52" t="str">
        <f aca="false">IF(D3368&lt;&gt;"",IFERROR(VLOOKUP(D3368,PROVEEDORES!$A:$B,2,0),"!COD NO ENCONTRADO"),"")</f>
        <v/>
      </c>
      <c r="F3368" s="76" t="str">
        <f aca="false">IF(D3368&lt;&gt;"",IFERROR(VLOOKUP(D3368,PROVEEDORES!$A:$C,3,0),""),"")</f>
        <v/>
      </c>
      <c r="G3368" s="75"/>
      <c r="H3368" s="52" t="str">
        <f aca="false">IF(G3368&lt;&gt;"",IFERROR(VLOOKUP(G3368,PRODUCTOS!$A:$B,2,0),"!COD NO ENCONTRADO"),"")</f>
        <v/>
      </c>
      <c r="I3368" s="77"/>
      <c r="J3368" s="78"/>
      <c r="K3368" s="79"/>
      <c r="L3368" s="80" t="str">
        <f aca="false">IF(AND(J3368&lt;&gt;"",K3368&lt;&gt;""),J3368*K3368,"")</f>
        <v/>
      </c>
      <c r="M3368" s="81" t="str">
        <f aca="false">IF(L3368&lt;&gt;"",L3368*1.1,"")</f>
        <v/>
      </c>
      <c r="N3368" s="53" t="n">
        <f aca="false">IF(F3368="S",L3368*0.02,0)</f>
        <v>0</v>
      </c>
      <c r="O3368" s="82" t="str">
        <f aca="false">IF(L3368&lt;&gt;"",L3368+N3368,"")</f>
        <v/>
      </c>
      <c r="P3368" s="53" t="str">
        <f aca="false">IF(O3368&lt;&gt;"",O3368*0.1,"")</f>
        <v/>
      </c>
      <c r="Q3368" s="83" t="str">
        <f aca="false">IF(O3368&lt;&gt;"",O3368+P3368,"")</f>
        <v/>
      </c>
      <c r="R3368" s="84"/>
    </row>
    <row r="3369" customFormat="false" ht="15" hidden="false" customHeight="true" outlineLevel="0" collapsed="false">
      <c r="A3369" s="103"/>
      <c r="B3369" s="85"/>
      <c r="C3369" s="86"/>
      <c r="D3369" s="87"/>
      <c r="E3369" s="46" t="str">
        <f aca="false">IF(D3369&lt;&gt;"",IFERROR(VLOOKUP(D3369,PROVEEDORES!$A:$B,2,0),"!COD NO ENCONTRADO"),"")</f>
        <v/>
      </c>
      <c r="F3369" s="88" t="str">
        <f aca="false">IF(D3369&lt;&gt;"",IFERROR(VLOOKUP(D3369,PROVEEDORES!$A:$C,3,0),""),"")</f>
        <v/>
      </c>
      <c r="G3369" s="87"/>
      <c r="H3369" s="46" t="str">
        <f aca="false">IF(G3369&lt;&gt;"",IFERROR(VLOOKUP(G3369,PRODUCTOS!$A:$B,2,0),"!COD NO ENCONTRADO"),"")</f>
        <v/>
      </c>
      <c r="I3369" s="89"/>
      <c r="J3369" s="90"/>
      <c r="K3369" s="91"/>
      <c r="L3369" s="80" t="str">
        <f aca="false">IF(AND(J3369&lt;&gt;"",K3369&lt;&gt;""),J3369*K3369,"")</f>
        <v/>
      </c>
      <c r="M3369" s="81" t="str">
        <f aca="false">IF(L3369&lt;&gt;"",L3369*1.1,"")</f>
        <v/>
      </c>
      <c r="N3369" s="47" t="n">
        <f aca="false">IF(F3369="S",L3369*0.02,0)</f>
        <v>0</v>
      </c>
      <c r="O3369" s="82" t="str">
        <f aca="false">IF(L3369&lt;&gt;"",L3369+N3369,"")</f>
        <v/>
      </c>
      <c r="P3369" s="47" t="str">
        <f aca="false">IF(O3369&lt;&gt;"",O3369*0.1,"")</f>
        <v/>
      </c>
      <c r="Q3369" s="83" t="str">
        <f aca="false">IF(O3369&lt;&gt;"",O3369+P3369,"")</f>
        <v/>
      </c>
      <c r="R3369" s="84"/>
    </row>
    <row r="3370" customFormat="false" ht="15" hidden="false" customHeight="true" outlineLevel="0" collapsed="false">
      <c r="A3370" s="103"/>
      <c r="B3370" s="73"/>
      <c r="C3370" s="74"/>
      <c r="D3370" s="75"/>
      <c r="E3370" s="52" t="str">
        <f aca="false">IF(D3370&lt;&gt;"",IFERROR(VLOOKUP(D3370,PROVEEDORES!$A:$B,2,0),"!COD NO ENCONTRADO"),"")</f>
        <v/>
      </c>
      <c r="F3370" s="76" t="str">
        <f aca="false">IF(D3370&lt;&gt;"",IFERROR(VLOOKUP(D3370,PROVEEDORES!$A:$C,3,0),""),"")</f>
        <v/>
      </c>
      <c r="G3370" s="75"/>
      <c r="H3370" s="52" t="str">
        <f aca="false">IF(G3370&lt;&gt;"",IFERROR(VLOOKUP(G3370,PRODUCTOS!$A:$B,2,0),"!COD NO ENCONTRADO"),"")</f>
        <v/>
      </c>
      <c r="I3370" s="77"/>
      <c r="J3370" s="78"/>
      <c r="K3370" s="79"/>
      <c r="L3370" s="80" t="str">
        <f aca="false">IF(AND(J3370&lt;&gt;"",K3370&lt;&gt;""),J3370*K3370,"")</f>
        <v/>
      </c>
      <c r="M3370" s="81" t="str">
        <f aca="false">IF(L3370&lt;&gt;"",L3370*1.1,"")</f>
        <v/>
      </c>
      <c r="N3370" s="53" t="n">
        <f aca="false">IF(F3370="S",L3370*0.02,0)</f>
        <v>0</v>
      </c>
      <c r="O3370" s="82" t="str">
        <f aca="false">IF(L3370&lt;&gt;"",L3370+N3370,"")</f>
        <v/>
      </c>
      <c r="P3370" s="53" t="str">
        <f aca="false">IF(O3370&lt;&gt;"",O3370*0.1,"")</f>
        <v/>
      </c>
      <c r="Q3370" s="83" t="str">
        <f aca="false">IF(O3370&lt;&gt;"",O3370+P3370,"")</f>
        <v/>
      </c>
      <c r="R3370" s="84"/>
    </row>
    <row r="3371" customFormat="false" ht="15" hidden="false" customHeight="true" outlineLevel="0" collapsed="false">
      <c r="A3371" s="103"/>
      <c r="B3371" s="85"/>
      <c r="C3371" s="86"/>
      <c r="D3371" s="87"/>
      <c r="E3371" s="46" t="str">
        <f aca="false">IF(D3371&lt;&gt;"",IFERROR(VLOOKUP(D3371,PROVEEDORES!$A:$B,2,0),"!COD NO ENCONTRADO"),"")</f>
        <v/>
      </c>
      <c r="F3371" s="88" t="str">
        <f aca="false">IF(D3371&lt;&gt;"",IFERROR(VLOOKUP(D3371,PROVEEDORES!$A:$C,3,0),""),"")</f>
        <v/>
      </c>
      <c r="G3371" s="87"/>
      <c r="H3371" s="46" t="str">
        <f aca="false">IF(G3371&lt;&gt;"",IFERROR(VLOOKUP(G3371,PRODUCTOS!$A:$B,2,0),"!COD NO ENCONTRADO"),"")</f>
        <v/>
      </c>
      <c r="I3371" s="89"/>
      <c r="J3371" s="90"/>
      <c r="K3371" s="91"/>
      <c r="L3371" s="80" t="str">
        <f aca="false">IF(AND(J3371&lt;&gt;"",K3371&lt;&gt;""),J3371*K3371,"")</f>
        <v/>
      </c>
      <c r="M3371" s="81" t="str">
        <f aca="false">IF(L3371&lt;&gt;"",L3371*1.1,"")</f>
        <v/>
      </c>
      <c r="N3371" s="47" t="n">
        <f aca="false">IF(F3371="S",L3371*0.02,0)</f>
        <v>0</v>
      </c>
      <c r="O3371" s="82" t="str">
        <f aca="false">IF(L3371&lt;&gt;"",L3371+N3371,"")</f>
        <v/>
      </c>
      <c r="P3371" s="47" t="str">
        <f aca="false">IF(O3371&lt;&gt;"",O3371*0.1,"")</f>
        <v/>
      </c>
      <c r="Q3371" s="83" t="str">
        <f aca="false">IF(O3371&lt;&gt;"",O3371+P3371,"")</f>
        <v/>
      </c>
      <c r="R3371" s="84"/>
    </row>
    <row r="3372" customFormat="false" ht="15" hidden="false" customHeight="true" outlineLevel="0" collapsed="false">
      <c r="A3372" s="103"/>
      <c r="B3372" s="73"/>
      <c r="C3372" s="74"/>
      <c r="D3372" s="75"/>
      <c r="E3372" s="52" t="str">
        <f aca="false">IF(D3372&lt;&gt;"",IFERROR(VLOOKUP(D3372,PROVEEDORES!$A:$B,2,0),"!COD NO ENCONTRADO"),"")</f>
        <v/>
      </c>
      <c r="F3372" s="76" t="str">
        <f aca="false">IF(D3372&lt;&gt;"",IFERROR(VLOOKUP(D3372,PROVEEDORES!$A:$C,3,0),""),"")</f>
        <v/>
      </c>
      <c r="G3372" s="75"/>
      <c r="H3372" s="52" t="str">
        <f aca="false">IF(G3372&lt;&gt;"",IFERROR(VLOOKUP(G3372,PRODUCTOS!$A:$B,2,0),"!COD NO ENCONTRADO"),"")</f>
        <v/>
      </c>
      <c r="I3372" s="77"/>
      <c r="J3372" s="78"/>
      <c r="K3372" s="79"/>
      <c r="L3372" s="80" t="str">
        <f aca="false">IF(AND(J3372&lt;&gt;"",K3372&lt;&gt;""),J3372*K3372,"")</f>
        <v/>
      </c>
      <c r="M3372" s="81" t="str">
        <f aca="false">IF(L3372&lt;&gt;"",L3372*1.1,"")</f>
        <v/>
      </c>
      <c r="N3372" s="53" t="n">
        <f aca="false">IF(F3372="S",L3372*0.02,0)</f>
        <v>0</v>
      </c>
      <c r="O3372" s="82" t="str">
        <f aca="false">IF(L3372&lt;&gt;"",L3372+N3372,"")</f>
        <v/>
      </c>
      <c r="P3372" s="53" t="str">
        <f aca="false">IF(O3372&lt;&gt;"",O3372*0.1,"")</f>
        <v/>
      </c>
      <c r="Q3372" s="83" t="str">
        <f aca="false">IF(O3372&lt;&gt;"",O3372+P3372,"")</f>
        <v/>
      </c>
      <c r="R3372" s="84"/>
    </row>
    <row r="3373" customFormat="false" ht="15" hidden="false" customHeight="true" outlineLevel="0" collapsed="false">
      <c r="A3373" s="103"/>
      <c r="B3373" s="85"/>
      <c r="C3373" s="86"/>
      <c r="D3373" s="87"/>
      <c r="E3373" s="46" t="str">
        <f aca="false">IF(D3373&lt;&gt;"",IFERROR(VLOOKUP(D3373,PROVEEDORES!$A:$B,2,0),"!COD NO ENCONTRADO"),"")</f>
        <v/>
      </c>
      <c r="F3373" s="88" t="str">
        <f aca="false">IF(D3373&lt;&gt;"",IFERROR(VLOOKUP(D3373,PROVEEDORES!$A:$C,3,0),""),"")</f>
        <v/>
      </c>
      <c r="G3373" s="87"/>
      <c r="H3373" s="46" t="str">
        <f aca="false">IF(G3373&lt;&gt;"",IFERROR(VLOOKUP(G3373,PRODUCTOS!$A:$B,2,0),"!COD NO ENCONTRADO"),"")</f>
        <v/>
      </c>
      <c r="I3373" s="89"/>
      <c r="J3373" s="90"/>
      <c r="K3373" s="91"/>
      <c r="L3373" s="80" t="str">
        <f aca="false">IF(AND(J3373&lt;&gt;"",K3373&lt;&gt;""),J3373*K3373,"")</f>
        <v/>
      </c>
      <c r="M3373" s="81" t="str">
        <f aca="false">IF(L3373&lt;&gt;"",L3373*1.1,"")</f>
        <v/>
      </c>
      <c r="N3373" s="47" t="n">
        <f aca="false">IF(F3373="S",L3373*0.02,0)</f>
        <v>0</v>
      </c>
      <c r="O3373" s="82" t="str">
        <f aca="false">IF(L3373&lt;&gt;"",L3373+N3373,"")</f>
        <v/>
      </c>
      <c r="P3373" s="47" t="str">
        <f aca="false">IF(O3373&lt;&gt;"",O3373*0.1,"")</f>
        <v/>
      </c>
      <c r="Q3373" s="83" t="str">
        <f aca="false">IF(O3373&lt;&gt;"",O3373+P3373,"")</f>
        <v/>
      </c>
      <c r="R3373" s="84"/>
    </row>
    <row r="3374" customFormat="false" ht="15" hidden="false" customHeight="true" outlineLevel="0" collapsed="false">
      <c r="A3374" s="103"/>
      <c r="B3374" s="73"/>
      <c r="C3374" s="74"/>
      <c r="D3374" s="75"/>
      <c r="E3374" s="52" t="str">
        <f aca="false">IF(D3374&lt;&gt;"",IFERROR(VLOOKUP(D3374,PROVEEDORES!$A:$B,2,0),"!COD NO ENCONTRADO"),"")</f>
        <v/>
      </c>
      <c r="F3374" s="76" t="str">
        <f aca="false">IF(D3374&lt;&gt;"",IFERROR(VLOOKUP(D3374,PROVEEDORES!$A:$C,3,0),""),"")</f>
        <v/>
      </c>
      <c r="G3374" s="75"/>
      <c r="H3374" s="52" t="str">
        <f aca="false">IF(G3374&lt;&gt;"",IFERROR(VLOOKUP(G3374,PRODUCTOS!$A:$B,2,0),"!COD NO ENCONTRADO"),"")</f>
        <v/>
      </c>
      <c r="I3374" s="77"/>
      <c r="J3374" s="78"/>
      <c r="K3374" s="79"/>
      <c r="L3374" s="80" t="str">
        <f aca="false">IF(AND(J3374&lt;&gt;"",K3374&lt;&gt;""),J3374*K3374,"")</f>
        <v/>
      </c>
      <c r="M3374" s="81" t="str">
        <f aca="false">IF(L3374&lt;&gt;"",L3374*1.1,"")</f>
        <v/>
      </c>
      <c r="N3374" s="53" t="n">
        <f aca="false">IF(F3374="S",L3374*0.02,0)</f>
        <v>0</v>
      </c>
      <c r="O3374" s="82" t="str">
        <f aca="false">IF(L3374&lt;&gt;"",L3374+N3374,"")</f>
        <v/>
      </c>
      <c r="P3374" s="53" t="str">
        <f aca="false">IF(O3374&lt;&gt;"",O3374*0.1,"")</f>
        <v/>
      </c>
      <c r="Q3374" s="83" t="str">
        <f aca="false">IF(O3374&lt;&gt;"",O3374+P3374,"")</f>
        <v/>
      </c>
      <c r="R3374" s="84"/>
    </row>
    <row r="3375" customFormat="false" ht="15" hidden="false" customHeight="true" outlineLevel="0" collapsed="false">
      <c r="A3375" s="103"/>
      <c r="B3375" s="85"/>
      <c r="C3375" s="86"/>
      <c r="D3375" s="87"/>
      <c r="E3375" s="46" t="str">
        <f aca="false">IF(D3375&lt;&gt;"",IFERROR(VLOOKUP(D3375,PROVEEDORES!$A:$B,2,0),"!COD NO ENCONTRADO"),"")</f>
        <v/>
      </c>
      <c r="F3375" s="88" t="str">
        <f aca="false">IF(D3375&lt;&gt;"",IFERROR(VLOOKUP(D3375,PROVEEDORES!$A:$C,3,0),""),"")</f>
        <v/>
      </c>
      <c r="G3375" s="87"/>
      <c r="H3375" s="46" t="str">
        <f aca="false">IF(G3375&lt;&gt;"",IFERROR(VLOOKUP(G3375,PRODUCTOS!$A:$B,2,0),"!COD NO ENCONTRADO"),"")</f>
        <v/>
      </c>
      <c r="I3375" s="89"/>
      <c r="J3375" s="90"/>
      <c r="K3375" s="91"/>
      <c r="L3375" s="80" t="str">
        <f aca="false">IF(AND(J3375&lt;&gt;"",K3375&lt;&gt;""),J3375*K3375,"")</f>
        <v/>
      </c>
      <c r="M3375" s="81" t="str">
        <f aca="false">IF(L3375&lt;&gt;"",L3375*1.1,"")</f>
        <v/>
      </c>
      <c r="N3375" s="47" t="n">
        <f aca="false">IF(F3375="S",L3375*0.02,0)</f>
        <v>0</v>
      </c>
      <c r="O3375" s="82" t="str">
        <f aca="false">IF(L3375&lt;&gt;"",L3375+N3375,"")</f>
        <v/>
      </c>
      <c r="P3375" s="47" t="str">
        <f aca="false">IF(O3375&lt;&gt;"",O3375*0.1,"")</f>
        <v/>
      </c>
      <c r="Q3375" s="83" t="str">
        <f aca="false">IF(O3375&lt;&gt;"",O3375+P3375,"")</f>
        <v/>
      </c>
      <c r="R3375" s="84"/>
    </row>
    <row r="3376" customFormat="false" ht="15" hidden="false" customHeight="true" outlineLevel="0" collapsed="false">
      <c r="A3376" s="103"/>
      <c r="B3376" s="73"/>
      <c r="C3376" s="74"/>
      <c r="D3376" s="75"/>
      <c r="E3376" s="52" t="str">
        <f aca="false">IF(D3376&lt;&gt;"",IFERROR(VLOOKUP(D3376,PROVEEDORES!$A:$B,2,0),"!COD NO ENCONTRADO"),"")</f>
        <v/>
      </c>
      <c r="F3376" s="76" t="str">
        <f aca="false">IF(D3376&lt;&gt;"",IFERROR(VLOOKUP(D3376,PROVEEDORES!$A:$C,3,0),""),"")</f>
        <v/>
      </c>
      <c r="G3376" s="75"/>
      <c r="H3376" s="52" t="str">
        <f aca="false">IF(G3376&lt;&gt;"",IFERROR(VLOOKUP(G3376,PRODUCTOS!$A:$B,2,0),"!COD NO ENCONTRADO"),"")</f>
        <v/>
      </c>
      <c r="I3376" s="77"/>
      <c r="J3376" s="78"/>
      <c r="K3376" s="79"/>
      <c r="L3376" s="80" t="str">
        <f aca="false">IF(AND(J3376&lt;&gt;"",K3376&lt;&gt;""),J3376*K3376,"")</f>
        <v/>
      </c>
      <c r="M3376" s="81" t="str">
        <f aca="false">IF(L3376&lt;&gt;"",L3376*1.1,"")</f>
        <v/>
      </c>
      <c r="N3376" s="53" t="n">
        <f aca="false">IF(F3376="S",L3376*0.02,0)</f>
        <v>0</v>
      </c>
      <c r="O3376" s="82" t="str">
        <f aca="false">IF(L3376&lt;&gt;"",L3376+N3376,"")</f>
        <v/>
      </c>
      <c r="P3376" s="53" t="str">
        <f aca="false">IF(O3376&lt;&gt;"",O3376*0.1,"")</f>
        <v/>
      </c>
      <c r="Q3376" s="83" t="str">
        <f aca="false">IF(O3376&lt;&gt;"",O3376+P3376,"")</f>
        <v/>
      </c>
      <c r="R3376" s="84"/>
    </row>
    <row r="3377" customFormat="false" ht="15" hidden="false" customHeight="true" outlineLevel="0" collapsed="false">
      <c r="A3377" s="103"/>
      <c r="B3377" s="85"/>
      <c r="C3377" s="86"/>
      <c r="D3377" s="87"/>
      <c r="E3377" s="46" t="str">
        <f aca="false">IF(D3377&lt;&gt;"",IFERROR(VLOOKUP(D3377,PROVEEDORES!$A:$B,2,0),"!COD NO ENCONTRADO"),"")</f>
        <v/>
      </c>
      <c r="F3377" s="88" t="str">
        <f aca="false">IF(D3377&lt;&gt;"",IFERROR(VLOOKUP(D3377,PROVEEDORES!$A:$C,3,0),""),"")</f>
        <v/>
      </c>
      <c r="G3377" s="87"/>
      <c r="H3377" s="46" t="str">
        <f aca="false">IF(G3377&lt;&gt;"",IFERROR(VLOOKUP(G3377,PRODUCTOS!$A:$B,2,0),"!COD NO ENCONTRADO"),"")</f>
        <v/>
      </c>
      <c r="I3377" s="89"/>
      <c r="J3377" s="90"/>
      <c r="K3377" s="91"/>
      <c r="L3377" s="80" t="str">
        <f aca="false">IF(AND(J3377&lt;&gt;"",K3377&lt;&gt;""),J3377*K3377,"")</f>
        <v/>
      </c>
      <c r="M3377" s="81" t="str">
        <f aca="false">IF(L3377&lt;&gt;"",L3377*1.1,"")</f>
        <v/>
      </c>
      <c r="N3377" s="47" t="n">
        <f aca="false">IF(F3377="S",L3377*0.02,0)</f>
        <v>0</v>
      </c>
      <c r="O3377" s="82" t="str">
        <f aca="false">IF(L3377&lt;&gt;"",L3377+N3377,"")</f>
        <v/>
      </c>
      <c r="P3377" s="47" t="str">
        <f aca="false">IF(O3377&lt;&gt;"",O3377*0.1,"")</f>
        <v/>
      </c>
      <c r="Q3377" s="83" t="str">
        <f aca="false">IF(O3377&lt;&gt;"",O3377+P3377,"")</f>
        <v/>
      </c>
      <c r="R3377" s="84"/>
    </row>
    <row r="3378" customFormat="false" ht="15" hidden="false" customHeight="true" outlineLevel="0" collapsed="false">
      <c r="A3378" s="103"/>
      <c r="B3378" s="73"/>
      <c r="C3378" s="74"/>
      <c r="D3378" s="75"/>
      <c r="E3378" s="52" t="str">
        <f aca="false">IF(D3378&lt;&gt;"",IFERROR(VLOOKUP(D3378,PROVEEDORES!$A:$B,2,0),"!COD NO ENCONTRADO"),"")</f>
        <v/>
      </c>
      <c r="F3378" s="76" t="str">
        <f aca="false">IF(D3378&lt;&gt;"",IFERROR(VLOOKUP(D3378,PROVEEDORES!$A:$C,3,0),""),"")</f>
        <v/>
      </c>
      <c r="G3378" s="75"/>
      <c r="H3378" s="52" t="str">
        <f aca="false">IF(G3378&lt;&gt;"",IFERROR(VLOOKUP(G3378,PRODUCTOS!$A:$B,2,0),"!COD NO ENCONTRADO"),"")</f>
        <v/>
      </c>
      <c r="I3378" s="77"/>
      <c r="J3378" s="78"/>
      <c r="K3378" s="79"/>
      <c r="L3378" s="80" t="str">
        <f aca="false">IF(AND(J3378&lt;&gt;"",K3378&lt;&gt;""),J3378*K3378,"")</f>
        <v/>
      </c>
      <c r="M3378" s="81" t="str">
        <f aca="false">IF(L3378&lt;&gt;"",L3378*1.1,"")</f>
        <v/>
      </c>
      <c r="N3378" s="53" t="n">
        <f aca="false">IF(F3378="S",L3378*0.02,0)</f>
        <v>0</v>
      </c>
      <c r="O3378" s="82" t="str">
        <f aca="false">IF(L3378&lt;&gt;"",L3378+N3378,"")</f>
        <v/>
      </c>
      <c r="P3378" s="53" t="str">
        <f aca="false">IF(O3378&lt;&gt;"",O3378*0.1,"")</f>
        <v/>
      </c>
      <c r="Q3378" s="83" t="str">
        <f aca="false">IF(O3378&lt;&gt;"",O3378+P3378,"")</f>
        <v/>
      </c>
      <c r="R3378" s="84"/>
    </row>
    <row r="3379" customFormat="false" ht="15" hidden="false" customHeight="true" outlineLevel="0" collapsed="false">
      <c r="A3379" s="103"/>
      <c r="B3379" s="85"/>
      <c r="C3379" s="86"/>
      <c r="D3379" s="87"/>
      <c r="E3379" s="46" t="str">
        <f aca="false">IF(D3379&lt;&gt;"",IFERROR(VLOOKUP(D3379,PROVEEDORES!$A:$B,2,0),"!COD NO ENCONTRADO"),"")</f>
        <v/>
      </c>
      <c r="F3379" s="88" t="str">
        <f aca="false">IF(D3379&lt;&gt;"",IFERROR(VLOOKUP(D3379,PROVEEDORES!$A:$C,3,0),""),"")</f>
        <v/>
      </c>
      <c r="G3379" s="87"/>
      <c r="H3379" s="46" t="str">
        <f aca="false">IF(G3379&lt;&gt;"",IFERROR(VLOOKUP(G3379,PRODUCTOS!$A:$B,2,0),"!COD NO ENCONTRADO"),"")</f>
        <v/>
      </c>
      <c r="I3379" s="89"/>
      <c r="J3379" s="90"/>
      <c r="K3379" s="91"/>
      <c r="L3379" s="80" t="str">
        <f aca="false">IF(AND(J3379&lt;&gt;"",K3379&lt;&gt;""),J3379*K3379,"")</f>
        <v/>
      </c>
      <c r="M3379" s="81" t="str">
        <f aca="false">IF(L3379&lt;&gt;"",L3379*1.1,"")</f>
        <v/>
      </c>
      <c r="N3379" s="47" t="n">
        <f aca="false">IF(F3379="S",L3379*0.02,0)</f>
        <v>0</v>
      </c>
      <c r="O3379" s="82" t="str">
        <f aca="false">IF(L3379&lt;&gt;"",L3379+N3379,"")</f>
        <v/>
      </c>
      <c r="P3379" s="47" t="str">
        <f aca="false">IF(O3379&lt;&gt;"",O3379*0.1,"")</f>
        <v/>
      </c>
      <c r="Q3379" s="83" t="str">
        <f aca="false">IF(O3379&lt;&gt;"",O3379+P3379,"")</f>
        <v/>
      </c>
      <c r="R3379" s="84"/>
    </row>
    <row r="3380" customFormat="false" ht="15" hidden="false" customHeight="true" outlineLevel="0" collapsed="false">
      <c r="A3380" s="103"/>
      <c r="B3380" s="73"/>
      <c r="C3380" s="74"/>
      <c r="D3380" s="75"/>
      <c r="E3380" s="52" t="str">
        <f aca="false">IF(D3380&lt;&gt;"",IFERROR(VLOOKUP(D3380,PROVEEDORES!$A:$B,2,0),"!COD NO ENCONTRADO"),"")</f>
        <v/>
      </c>
      <c r="F3380" s="76" t="str">
        <f aca="false">IF(D3380&lt;&gt;"",IFERROR(VLOOKUP(D3380,PROVEEDORES!$A:$C,3,0),""),"")</f>
        <v/>
      </c>
      <c r="G3380" s="75"/>
      <c r="H3380" s="52" t="str">
        <f aca="false">IF(G3380&lt;&gt;"",IFERROR(VLOOKUP(G3380,PRODUCTOS!$A:$B,2,0),"!COD NO ENCONTRADO"),"")</f>
        <v/>
      </c>
      <c r="I3380" s="77"/>
      <c r="J3380" s="78"/>
      <c r="K3380" s="79"/>
      <c r="L3380" s="80" t="str">
        <f aca="false">IF(AND(J3380&lt;&gt;"",K3380&lt;&gt;""),J3380*K3380,"")</f>
        <v/>
      </c>
      <c r="M3380" s="81" t="str">
        <f aca="false">IF(L3380&lt;&gt;"",L3380*1.1,"")</f>
        <v/>
      </c>
      <c r="N3380" s="53" t="n">
        <f aca="false">IF(F3380="S",L3380*0.02,0)</f>
        <v>0</v>
      </c>
      <c r="O3380" s="82" t="str">
        <f aca="false">IF(L3380&lt;&gt;"",L3380+N3380,"")</f>
        <v/>
      </c>
      <c r="P3380" s="53" t="str">
        <f aca="false">IF(O3380&lt;&gt;"",O3380*0.1,"")</f>
        <v/>
      </c>
      <c r="Q3380" s="83" t="str">
        <f aca="false">IF(O3380&lt;&gt;"",O3380+P3380,"")</f>
        <v/>
      </c>
      <c r="R3380" s="84"/>
    </row>
    <row r="3381" customFormat="false" ht="15" hidden="false" customHeight="true" outlineLevel="0" collapsed="false">
      <c r="A3381" s="103"/>
      <c r="B3381" s="85"/>
      <c r="C3381" s="86"/>
      <c r="D3381" s="87"/>
      <c r="E3381" s="46" t="str">
        <f aca="false">IF(D3381&lt;&gt;"",IFERROR(VLOOKUP(D3381,PROVEEDORES!$A:$B,2,0),"!COD NO ENCONTRADO"),"")</f>
        <v/>
      </c>
      <c r="F3381" s="88" t="str">
        <f aca="false">IF(D3381&lt;&gt;"",IFERROR(VLOOKUP(D3381,PROVEEDORES!$A:$C,3,0),""),"")</f>
        <v/>
      </c>
      <c r="G3381" s="87"/>
      <c r="H3381" s="46" t="str">
        <f aca="false">IF(G3381&lt;&gt;"",IFERROR(VLOOKUP(G3381,PRODUCTOS!$A:$B,2,0),"!COD NO ENCONTRADO"),"")</f>
        <v/>
      </c>
      <c r="I3381" s="89"/>
      <c r="J3381" s="90"/>
      <c r="K3381" s="91"/>
      <c r="L3381" s="80" t="str">
        <f aca="false">IF(AND(J3381&lt;&gt;"",K3381&lt;&gt;""),J3381*K3381,"")</f>
        <v/>
      </c>
      <c r="M3381" s="81" t="str">
        <f aca="false">IF(L3381&lt;&gt;"",L3381*1.1,"")</f>
        <v/>
      </c>
      <c r="N3381" s="47" t="n">
        <f aca="false">IF(F3381="S",L3381*0.02,0)</f>
        <v>0</v>
      </c>
      <c r="O3381" s="82" t="str">
        <f aca="false">IF(L3381&lt;&gt;"",L3381+N3381,"")</f>
        <v/>
      </c>
      <c r="P3381" s="47" t="str">
        <f aca="false">IF(O3381&lt;&gt;"",O3381*0.1,"")</f>
        <v/>
      </c>
      <c r="Q3381" s="83" t="str">
        <f aca="false">IF(O3381&lt;&gt;"",O3381+P3381,"")</f>
        <v/>
      </c>
      <c r="R3381" s="84"/>
    </row>
    <row r="3382" customFormat="false" ht="15" hidden="false" customHeight="true" outlineLevel="0" collapsed="false">
      <c r="A3382" s="103"/>
      <c r="B3382" s="73"/>
      <c r="C3382" s="74"/>
      <c r="D3382" s="75"/>
      <c r="E3382" s="52" t="str">
        <f aca="false">IF(D3382&lt;&gt;"",IFERROR(VLOOKUP(D3382,PROVEEDORES!$A:$B,2,0),"!COD NO ENCONTRADO"),"")</f>
        <v/>
      </c>
      <c r="F3382" s="76" t="str">
        <f aca="false">IF(D3382&lt;&gt;"",IFERROR(VLOOKUP(D3382,PROVEEDORES!$A:$C,3,0),""),"")</f>
        <v/>
      </c>
      <c r="G3382" s="75"/>
      <c r="H3382" s="52" t="str">
        <f aca="false">IF(G3382&lt;&gt;"",IFERROR(VLOOKUP(G3382,PRODUCTOS!$A:$B,2,0),"!COD NO ENCONTRADO"),"")</f>
        <v/>
      </c>
      <c r="I3382" s="77"/>
      <c r="J3382" s="78"/>
      <c r="K3382" s="79"/>
      <c r="L3382" s="80" t="str">
        <f aca="false">IF(AND(J3382&lt;&gt;"",K3382&lt;&gt;""),J3382*K3382,"")</f>
        <v/>
      </c>
      <c r="M3382" s="81" t="str">
        <f aca="false">IF(L3382&lt;&gt;"",L3382*1.1,"")</f>
        <v/>
      </c>
      <c r="N3382" s="53" t="n">
        <f aca="false">IF(F3382="S",L3382*0.02,0)</f>
        <v>0</v>
      </c>
      <c r="O3382" s="82" t="str">
        <f aca="false">IF(L3382&lt;&gt;"",L3382+N3382,"")</f>
        <v/>
      </c>
      <c r="P3382" s="53" t="str">
        <f aca="false">IF(O3382&lt;&gt;"",O3382*0.1,"")</f>
        <v/>
      </c>
      <c r="Q3382" s="83" t="str">
        <f aca="false">IF(O3382&lt;&gt;"",O3382+P3382,"")</f>
        <v/>
      </c>
      <c r="R3382" s="84"/>
    </row>
    <row r="3383" customFormat="false" ht="15" hidden="false" customHeight="true" outlineLevel="0" collapsed="false">
      <c r="A3383" s="103"/>
      <c r="B3383" s="85"/>
      <c r="C3383" s="86"/>
      <c r="D3383" s="87"/>
      <c r="E3383" s="46" t="str">
        <f aca="false">IF(D3383&lt;&gt;"",IFERROR(VLOOKUP(D3383,PROVEEDORES!$A:$B,2,0),"!COD NO ENCONTRADO"),"")</f>
        <v/>
      </c>
      <c r="F3383" s="88" t="str">
        <f aca="false">IF(D3383&lt;&gt;"",IFERROR(VLOOKUP(D3383,PROVEEDORES!$A:$C,3,0),""),"")</f>
        <v/>
      </c>
      <c r="G3383" s="87"/>
      <c r="H3383" s="46" t="str">
        <f aca="false">IF(G3383&lt;&gt;"",IFERROR(VLOOKUP(G3383,PRODUCTOS!$A:$B,2,0),"!COD NO ENCONTRADO"),"")</f>
        <v/>
      </c>
      <c r="I3383" s="89"/>
      <c r="J3383" s="90"/>
      <c r="K3383" s="91"/>
      <c r="L3383" s="80" t="str">
        <f aca="false">IF(AND(J3383&lt;&gt;"",K3383&lt;&gt;""),J3383*K3383,"")</f>
        <v/>
      </c>
      <c r="M3383" s="81" t="str">
        <f aca="false">IF(L3383&lt;&gt;"",L3383*1.1,"")</f>
        <v/>
      </c>
      <c r="N3383" s="47" t="n">
        <f aca="false">IF(F3383="S",L3383*0.02,0)</f>
        <v>0</v>
      </c>
      <c r="O3383" s="82" t="str">
        <f aca="false">IF(L3383&lt;&gt;"",L3383+N3383,"")</f>
        <v/>
      </c>
      <c r="P3383" s="47" t="str">
        <f aca="false">IF(O3383&lt;&gt;"",O3383*0.1,"")</f>
        <v/>
      </c>
      <c r="Q3383" s="83" t="str">
        <f aca="false">IF(O3383&lt;&gt;"",O3383+P3383,"")</f>
        <v/>
      </c>
      <c r="R3383" s="84"/>
    </row>
    <row r="3384" customFormat="false" ht="15" hidden="false" customHeight="true" outlineLevel="0" collapsed="false">
      <c r="A3384" s="103"/>
      <c r="B3384" s="73"/>
      <c r="C3384" s="74"/>
      <c r="D3384" s="75"/>
      <c r="E3384" s="52" t="str">
        <f aca="false">IF(D3384&lt;&gt;"",IFERROR(VLOOKUP(D3384,PROVEEDORES!$A:$B,2,0),"!COD NO ENCONTRADO"),"")</f>
        <v/>
      </c>
      <c r="F3384" s="76" t="str">
        <f aca="false">IF(D3384&lt;&gt;"",IFERROR(VLOOKUP(D3384,PROVEEDORES!$A:$C,3,0),""),"")</f>
        <v/>
      </c>
      <c r="G3384" s="75"/>
      <c r="H3384" s="52" t="str">
        <f aca="false">IF(G3384&lt;&gt;"",IFERROR(VLOOKUP(G3384,PRODUCTOS!$A:$B,2,0),"!COD NO ENCONTRADO"),"")</f>
        <v/>
      </c>
      <c r="I3384" s="77"/>
      <c r="J3384" s="78"/>
      <c r="K3384" s="79"/>
      <c r="L3384" s="80" t="str">
        <f aca="false">IF(AND(J3384&lt;&gt;"",K3384&lt;&gt;""),J3384*K3384,"")</f>
        <v/>
      </c>
      <c r="M3384" s="81" t="str">
        <f aca="false">IF(L3384&lt;&gt;"",L3384*1.1,"")</f>
        <v/>
      </c>
      <c r="N3384" s="53" t="n">
        <f aca="false">IF(F3384="S",L3384*0.02,0)</f>
        <v>0</v>
      </c>
      <c r="O3384" s="82" t="str">
        <f aca="false">IF(L3384&lt;&gt;"",L3384+N3384,"")</f>
        <v/>
      </c>
      <c r="P3384" s="53" t="str">
        <f aca="false">IF(O3384&lt;&gt;"",O3384*0.1,"")</f>
        <v/>
      </c>
      <c r="Q3384" s="83" t="str">
        <f aca="false">IF(O3384&lt;&gt;"",O3384+P3384,"")</f>
        <v/>
      </c>
      <c r="R3384" s="84"/>
    </row>
    <row r="3385" customFormat="false" ht="15" hidden="false" customHeight="true" outlineLevel="0" collapsed="false">
      <c r="A3385" s="103"/>
      <c r="B3385" s="85"/>
      <c r="C3385" s="86"/>
      <c r="D3385" s="87"/>
      <c r="E3385" s="46" t="str">
        <f aca="false">IF(D3385&lt;&gt;"",IFERROR(VLOOKUP(D3385,PROVEEDORES!$A:$B,2,0),"!COD NO ENCONTRADO"),"")</f>
        <v/>
      </c>
      <c r="F3385" s="88" t="str">
        <f aca="false">IF(D3385&lt;&gt;"",IFERROR(VLOOKUP(D3385,PROVEEDORES!$A:$C,3,0),""),"")</f>
        <v/>
      </c>
      <c r="G3385" s="87"/>
      <c r="H3385" s="46" t="str">
        <f aca="false">IF(G3385&lt;&gt;"",IFERROR(VLOOKUP(G3385,PRODUCTOS!$A:$B,2,0),"!COD NO ENCONTRADO"),"")</f>
        <v/>
      </c>
      <c r="I3385" s="89"/>
      <c r="J3385" s="90"/>
      <c r="K3385" s="91"/>
      <c r="L3385" s="80" t="str">
        <f aca="false">IF(AND(J3385&lt;&gt;"",K3385&lt;&gt;""),J3385*K3385,"")</f>
        <v/>
      </c>
      <c r="M3385" s="81" t="str">
        <f aca="false">IF(L3385&lt;&gt;"",L3385*1.1,"")</f>
        <v/>
      </c>
      <c r="N3385" s="47" t="n">
        <f aca="false">IF(F3385="S",L3385*0.02,0)</f>
        <v>0</v>
      </c>
      <c r="O3385" s="82" t="str">
        <f aca="false">IF(L3385&lt;&gt;"",L3385+N3385,"")</f>
        <v/>
      </c>
      <c r="P3385" s="47" t="str">
        <f aca="false">IF(O3385&lt;&gt;"",O3385*0.1,"")</f>
        <v/>
      </c>
      <c r="Q3385" s="83" t="str">
        <f aca="false">IF(O3385&lt;&gt;"",O3385+P3385,"")</f>
        <v/>
      </c>
      <c r="R3385" s="84"/>
    </row>
    <row r="3386" customFormat="false" ht="15" hidden="false" customHeight="true" outlineLevel="0" collapsed="false">
      <c r="A3386" s="103"/>
      <c r="B3386" s="73"/>
      <c r="C3386" s="74"/>
      <c r="D3386" s="75"/>
      <c r="E3386" s="52" t="str">
        <f aca="false">IF(D3386&lt;&gt;"",IFERROR(VLOOKUP(D3386,PROVEEDORES!$A:$B,2,0),"!COD NO ENCONTRADO"),"")</f>
        <v/>
      </c>
      <c r="F3386" s="76" t="str">
        <f aca="false">IF(D3386&lt;&gt;"",IFERROR(VLOOKUP(D3386,PROVEEDORES!$A:$C,3,0),""),"")</f>
        <v/>
      </c>
      <c r="G3386" s="75"/>
      <c r="H3386" s="52" t="str">
        <f aca="false">IF(G3386&lt;&gt;"",IFERROR(VLOOKUP(G3386,PRODUCTOS!$A:$B,2,0),"!COD NO ENCONTRADO"),"")</f>
        <v/>
      </c>
      <c r="I3386" s="77"/>
      <c r="J3386" s="78"/>
      <c r="K3386" s="79"/>
      <c r="L3386" s="80" t="str">
        <f aca="false">IF(AND(J3386&lt;&gt;"",K3386&lt;&gt;""),J3386*K3386,"")</f>
        <v/>
      </c>
      <c r="M3386" s="81" t="str">
        <f aca="false">IF(L3386&lt;&gt;"",L3386*1.1,"")</f>
        <v/>
      </c>
      <c r="N3386" s="53" t="n">
        <f aca="false">IF(F3386="S",L3386*0.02,0)</f>
        <v>0</v>
      </c>
      <c r="O3386" s="82" t="str">
        <f aca="false">IF(L3386&lt;&gt;"",L3386+N3386,"")</f>
        <v/>
      </c>
      <c r="P3386" s="53" t="str">
        <f aca="false">IF(O3386&lt;&gt;"",O3386*0.1,"")</f>
        <v/>
      </c>
      <c r="Q3386" s="83" t="str">
        <f aca="false">IF(O3386&lt;&gt;"",O3386+P3386,"")</f>
        <v/>
      </c>
      <c r="R3386" s="84"/>
    </row>
    <row r="3387" customFormat="false" ht="15" hidden="false" customHeight="true" outlineLevel="0" collapsed="false">
      <c r="A3387" s="103"/>
      <c r="B3387" s="85"/>
      <c r="C3387" s="86"/>
      <c r="D3387" s="87"/>
      <c r="E3387" s="46" t="str">
        <f aca="false">IF(D3387&lt;&gt;"",IFERROR(VLOOKUP(D3387,PROVEEDORES!$A:$B,2,0),"!COD NO ENCONTRADO"),"")</f>
        <v/>
      </c>
      <c r="F3387" s="88" t="str">
        <f aca="false">IF(D3387&lt;&gt;"",IFERROR(VLOOKUP(D3387,PROVEEDORES!$A:$C,3,0),""),"")</f>
        <v/>
      </c>
      <c r="G3387" s="87"/>
      <c r="H3387" s="46" t="str">
        <f aca="false">IF(G3387&lt;&gt;"",IFERROR(VLOOKUP(G3387,PRODUCTOS!$A:$B,2,0),"!COD NO ENCONTRADO"),"")</f>
        <v/>
      </c>
      <c r="I3387" s="89"/>
      <c r="J3387" s="90"/>
      <c r="K3387" s="91"/>
      <c r="L3387" s="80" t="str">
        <f aca="false">IF(AND(J3387&lt;&gt;"",K3387&lt;&gt;""),J3387*K3387,"")</f>
        <v/>
      </c>
      <c r="M3387" s="81" t="str">
        <f aca="false">IF(L3387&lt;&gt;"",L3387*1.1,"")</f>
        <v/>
      </c>
      <c r="N3387" s="47" t="n">
        <f aca="false">IF(F3387="S",L3387*0.02,0)</f>
        <v>0</v>
      </c>
      <c r="O3387" s="82" t="str">
        <f aca="false">IF(L3387&lt;&gt;"",L3387+N3387,"")</f>
        <v/>
      </c>
      <c r="P3387" s="47" t="str">
        <f aca="false">IF(O3387&lt;&gt;"",O3387*0.1,"")</f>
        <v/>
      </c>
      <c r="Q3387" s="83" t="str">
        <f aca="false">IF(O3387&lt;&gt;"",O3387+P3387,"")</f>
        <v/>
      </c>
      <c r="R3387" s="84"/>
    </row>
    <row r="3388" customFormat="false" ht="15" hidden="false" customHeight="true" outlineLevel="0" collapsed="false">
      <c r="A3388" s="103"/>
      <c r="B3388" s="73"/>
      <c r="C3388" s="74"/>
      <c r="D3388" s="75"/>
      <c r="E3388" s="52" t="str">
        <f aca="false">IF(D3388&lt;&gt;"",IFERROR(VLOOKUP(D3388,PROVEEDORES!$A:$B,2,0),"!COD NO ENCONTRADO"),"")</f>
        <v/>
      </c>
      <c r="F3388" s="76" t="str">
        <f aca="false">IF(D3388&lt;&gt;"",IFERROR(VLOOKUP(D3388,PROVEEDORES!$A:$C,3,0),""),"")</f>
        <v/>
      </c>
      <c r="G3388" s="75"/>
      <c r="H3388" s="52" t="str">
        <f aca="false">IF(G3388&lt;&gt;"",IFERROR(VLOOKUP(G3388,PRODUCTOS!$A:$B,2,0),"!COD NO ENCONTRADO"),"")</f>
        <v/>
      </c>
      <c r="I3388" s="77"/>
      <c r="J3388" s="78"/>
      <c r="K3388" s="79"/>
      <c r="L3388" s="80" t="str">
        <f aca="false">IF(AND(J3388&lt;&gt;"",K3388&lt;&gt;""),J3388*K3388,"")</f>
        <v/>
      </c>
      <c r="M3388" s="81" t="str">
        <f aca="false">IF(L3388&lt;&gt;"",L3388*1.1,"")</f>
        <v/>
      </c>
      <c r="N3388" s="53" t="n">
        <f aca="false">IF(F3388="S",L3388*0.02,0)</f>
        <v>0</v>
      </c>
      <c r="O3388" s="82" t="str">
        <f aca="false">IF(L3388&lt;&gt;"",L3388+N3388,"")</f>
        <v/>
      </c>
      <c r="P3388" s="53" t="str">
        <f aca="false">IF(O3388&lt;&gt;"",O3388*0.1,"")</f>
        <v/>
      </c>
      <c r="Q3388" s="83" t="str">
        <f aca="false">IF(O3388&lt;&gt;"",O3388+P3388,"")</f>
        <v/>
      </c>
      <c r="R3388" s="84"/>
    </row>
    <row r="3389" customFormat="false" ht="15" hidden="false" customHeight="true" outlineLevel="0" collapsed="false">
      <c r="A3389" s="103"/>
      <c r="B3389" s="85"/>
      <c r="C3389" s="86"/>
      <c r="D3389" s="87"/>
      <c r="E3389" s="46" t="str">
        <f aca="false">IF(D3389&lt;&gt;"",IFERROR(VLOOKUP(D3389,PROVEEDORES!$A:$B,2,0),"!COD NO ENCONTRADO"),"")</f>
        <v/>
      </c>
      <c r="F3389" s="88" t="str">
        <f aca="false">IF(D3389&lt;&gt;"",IFERROR(VLOOKUP(D3389,PROVEEDORES!$A:$C,3,0),""),"")</f>
        <v/>
      </c>
      <c r="G3389" s="87"/>
      <c r="H3389" s="46" t="str">
        <f aca="false">IF(G3389&lt;&gt;"",IFERROR(VLOOKUP(G3389,PRODUCTOS!$A:$B,2,0),"!COD NO ENCONTRADO"),"")</f>
        <v/>
      </c>
      <c r="I3389" s="89"/>
      <c r="J3389" s="90"/>
      <c r="K3389" s="91"/>
      <c r="L3389" s="80" t="str">
        <f aca="false">IF(AND(J3389&lt;&gt;"",K3389&lt;&gt;""),J3389*K3389,"")</f>
        <v/>
      </c>
      <c r="M3389" s="81" t="str">
        <f aca="false">IF(L3389&lt;&gt;"",L3389*1.1,"")</f>
        <v/>
      </c>
      <c r="N3389" s="47" t="n">
        <f aca="false">IF(F3389="S",L3389*0.02,0)</f>
        <v>0</v>
      </c>
      <c r="O3389" s="82" t="str">
        <f aca="false">IF(L3389&lt;&gt;"",L3389+N3389,"")</f>
        <v/>
      </c>
      <c r="P3389" s="47" t="str">
        <f aca="false">IF(O3389&lt;&gt;"",O3389*0.1,"")</f>
        <v/>
      </c>
      <c r="Q3389" s="83" t="str">
        <f aca="false">IF(O3389&lt;&gt;"",O3389+P3389,"")</f>
        <v/>
      </c>
      <c r="R3389" s="84"/>
    </row>
    <row r="3390" customFormat="false" ht="15" hidden="false" customHeight="true" outlineLevel="0" collapsed="false">
      <c r="A3390" s="103"/>
      <c r="B3390" s="73"/>
      <c r="C3390" s="74"/>
      <c r="D3390" s="75"/>
      <c r="E3390" s="52" t="str">
        <f aca="false">IF(D3390&lt;&gt;"",IFERROR(VLOOKUP(D3390,PROVEEDORES!$A:$B,2,0),"!COD NO ENCONTRADO"),"")</f>
        <v/>
      </c>
      <c r="F3390" s="76" t="str">
        <f aca="false">IF(D3390&lt;&gt;"",IFERROR(VLOOKUP(D3390,PROVEEDORES!$A:$C,3,0),""),"")</f>
        <v/>
      </c>
      <c r="G3390" s="75"/>
      <c r="H3390" s="52" t="str">
        <f aca="false">IF(G3390&lt;&gt;"",IFERROR(VLOOKUP(G3390,PRODUCTOS!$A:$B,2,0),"!COD NO ENCONTRADO"),"")</f>
        <v/>
      </c>
      <c r="I3390" s="77"/>
      <c r="J3390" s="78"/>
      <c r="K3390" s="79"/>
      <c r="L3390" s="80" t="str">
        <f aca="false">IF(AND(J3390&lt;&gt;"",K3390&lt;&gt;""),J3390*K3390,"")</f>
        <v/>
      </c>
      <c r="M3390" s="81" t="str">
        <f aca="false">IF(L3390&lt;&gt;"",L3390*1.1,"")</f>
        <v/>
      </c>
      <c r="N3390" s="53" t="n">
        <f aca="false">IF(F3390="S",L3390*0.02,0)</f>
        <v>0</v>
      </c>
      <c r="O3390" s="82" t="str">
        <f aca="false">IF(L3390&lt;&gt;"",L3390+N3390,"")</f>
        <v/>
      </c>
      <c r="P3390" s="53" t="str">
        <f aca="false">IF(O3390&lt;&gt;"",O3390*0.1,"")</f>
        <v/>
      </c>
      <c r="Q3390" s="83" t="str">
        <f aca="false">IF(O3390&lt;&gt;"",O3390+P3390,"")</f>
        <v/>
      </c>
      <c r="R3390" s="84"/>
    </row>
    <row r="3391" customFormat="false" ht="15" hidden="false" customHeight="true" outlineLevel="0" collapsed="false">
      <c r="A3391" s="103"/>
      <c r="B3391" s="85"/>
      <c r="C3391" s="86"/>
      <c r="D3391" s="87"/>
      <c r="E3391" s="46" t="str">
        <f aca="false">IF(D3391&lt;&gt;"",IFERROR(VLOOKUP(D3391,PROVEEDORES!$A:$B,2,0),"!COD NO ENCONTRADO"),"")</f>
        <v/>
      </c>
      <c r="F3391" s="88" t="str">
        <f aca="false">IF(D3391&lt;&gt;"",IFERROR(VLOOKUP(D3391,PROVEEDORES!$A:$C,3,0),""),"")</f>
        <v/>
      </c>
      <c r="G3391" s="87"/>
      <c r="H3391" s="46" t="str">
        <f aca="false">IF(G3391&lt;&gt;"",IFERROR(VLOOKUP(G3391,PRODUCTOS!$A:$B,2,0),"!COD NO ENCONTRADO"),"")</f>
        <v/>
      </c>
      <c r="I3391" s="89"/>
      <c r="J3391" s="90"/>
      <c r="K3391" s="91"/>
      <c r="L3391" s="80" t="str">
        <f aca="false">IF(AND(J3391&lt;&gt;"",K3391&lt;&gt;""),J3391*K3391,"")</f>
        <v/>
      </c>
      <c r="M3391" s="81" t="str">
        <f aca="false">IF(L3391&lt;&gt;"",L3391*1.1,"")</f>
        <v/>
      </c>
      <c r="N3391" s="47" t="n">
        <f aca="false">IF(F3391="S",L3391*0.02,0)</f>
        <v>0</v>
      </c>
      <c r="O3391" s="82" t="str">
        <f aca="false">IF(L3391&lt;&gt;"",L3391+N3391,"")</f>
        <v/>
      </c>
      <c r="P3391" s="47" t="str">
        <f aca="false">IF(O3391&lt;&gt;"",O3391*0.1,"")</f>
        <v/>
      </c>
      <c r="Q3391" s="83" t="str">
        <f aca="false">IF(O3391&lt;&gt;"",O3391+P3391,"")</f>
        <v/>
      </c>
      <c r="R3391" s="84"/>
    </row>
    <row r="3392" customFormat="false" ht="15" hidden="false" customHeight="true" outlineLevel="0" collapsed="false">
      <c r="A3392" s="103"/>
      <c r="B3392" s="73"/>
      <c r="C3392" s="74"/>
      <c r="D3392" s="75"/>
      <c r="E3392" s="52" t="str">
        <f aca="false">IF(D3392&lt;&gt;"",IFERROR(VLOOKUP(D3392,PROVEEDORES!$A:$B,2,0),"!COD NO ENCONTRADO"),"")</f>
        <v/>
      </c>
      <c r="F3392" s="76" t="str">
        <f aca="false">IF(D3392&lt;&gt;"",IFERROR(VLOOKUP(D3392,PROVEEDORES!$A:$C,3,0),""),"")</f>
        <v/>
      </c>
      <c r="G3392" s="75"/>
      <c r="H3392" s="52" t="str">
        <f aca="false">IF(G3392&lt;&gt;"",IFERROR(VLOOKUP(G3392,PRODUCTOS!$A:$B,2,0),"!COD NO ENCONTRADO"),"")</f>
        <v/>
      </c>
      <c r="I3392" s="77"/>
      <c r="J3392" s="78"/>
      <c r="K3392" s="79"/>
      <c r="L3392" s="80" t="str">
        <f aca="false">IF(AND(J3392&lt;&gt;"",K3392&lt;&gt;""),J3392*K3392,"")</f>
        <v/>
      </c>
      <c r="M3392" s="81" t="str">
        <f aca="false">IF(L3392&lt;&gt;"",L3392*1.1,"")</f>
        <v/>
      </c>
      <c r="N3392" s="53" t="n">
        <f aca="false">IF(F3392="S",L3392*0.02,0)</f>
        <v>0</v>
      </c>
      <c r="O3392" s="82" t="str">
        <f aca="false">IF(L3392&lt;&gt;"",L3392+N3392,"")</f>
        <v/>
      </c>
      <c r="P3392" s="53" t="str">
        <f aca="false">IF(O3392&lt;&gt;"",O3392*0.1,"")</f>
        <v/>
      </c>
      <c r="Q3392" s="83" t="str">
        <f aca="false">IF(O3392&lt;&gt;"",O3392+P3392,"")</f>
        <v/>
      </c>
      <c r="R3392" s="84"/>
    </row>
    <row r="3393" customFormat="false" ht="15" hidden="false" customHeight="true" outlineLevel="0" collapsed="false">
      <c r="A3393" s="103"/>
      <c r="B3393" s="85"/>
      <c r="C3393" s="86"/>
      <c r="D3393" s="87"/>
      <c r="E3393" s="46" t="str">
        <f aca="false">IF(D3393&lt;&gt;"",IFERROR(VLOOKUP(D3393,PROVEEDORES!$A:$B,2,0),"!COD NO ENCONTRADO"),"")</f>
        <v/>
      </c>
      <c r="F3393" s="88" t="str">
        <f aca="false">IF(D3393&lt;&gt;"",IFERROR(VLOOKUP(D3393,PROVEEDORES!$A:$C,3,0),""),"")</f>
        <v/>
      </c>
      <c r="G3393" s="87"/>
      <c r="H3393" s="46" t="str">
        <f aca="false">IF(G3393&lt;&gt;"",IFERROR(VLOOKUP(G3393,PRODUCTOS!$A:$B,2,0),"!COD NO ENCONTRADO"),"")</f>
        <v/>
      </c>
      <c r="I3393" s="89"/>
      <c r="J3393" s="90"/>
      <c r="K3393" s="91"/>
      <c r="L3393" s="80" t="str">
        <f aca="false">IF(AND(J3393&lt;&gt;"",K3393&lt;&gt;""),J3393*K3393,"")</f>
        <v/>
      </c>
      <c r="M3393" s="81" t="str">
        <f aca="false">IF(L3393&lt;&gt;"",L3393*1.1,"")</f>
        <v/>
      </c>
      <c r="N3393" s="47" t="n">
        <f aca="false">IF(F3393="S",L3393*0.02,0)</f>
        <v>0</v>
      </c>
      <c r="O3393" s="82" t="str">
        <f aca="false">IF(L3393&lt;&gt;"",L3393+N3393,"")</f>
        <v/>
      </c>
      <c r="P3393" s="47" t="str">
        <f aca="false">IF(O3393&lt;&gt;"",O3393*0.1,"")</f>
        <v/>
      </c>
      <c r="Q3393" s="83" t="str">
        <f aca="false">IF(O3393&lt;&gt;"",O3393+P3393,"")</f>
        <v/>
      </c>
      <c r="R3393" s="84"/>
    </row>
    <row r="3394" customFormat="false" ht="15" hidden="false" customHeight="true" outlineLevel="0" collapsed="false">
      <c r="A3394" s="103"/>
      <c r="B3394" s="73"/>
      <c r="C3394" s="74"/>
      <c r="D3394" s="75"/>
      <c r="E3394" s="52" t="str">
        <f aca="false">IF(D3394&lt;&gt;"",IFERROR(VLOOKUP(D3394,PROVEEDORES!$A:$B,2,0),"!COD NO ENCONTRADO"),"")</f>
        <v/>
      </c>
      <c r="F3394" s="76" t="str">
        <f aca="false">IF(D3394&lt;&gt;"",IFERROR(VLOOKUP(D3394,PROVEEDORES!$A:$C,3,0),""),"")</f>
        <v/>
      </c>
      <c r="G3394" s="75"/>
      <c r="H3394" s="52" t="str">
        <f aca="false">IF(G3394&lt;&gt;"",IFERROR(VLOOKUP(G3394,PRODUCTOS!$A:$B,2,0),"!COD NO ENCONTRADO"),"")</f>
        <v/>
      </c>
      <c r="I3394" s="77"/>
      <c r="J3394" s="78"/>
      <c r="K3394" s="79"/>
      <c r="L3394" s="80" t="str">
        <f aca="false">IF(AND(J3394&lt;&gt;"",K3394&lt;&gt;""),J3394*K3394,"")</f>
        <v/>
      </c>
      <c r="M3394" s="81" t="str">
        <f aca="false">IF(L3394&lt;&gt;"",L3394*1.1,"")</f>
        <v/>
      </c>
      <c r="N3394" s="53" t="n">
        <f aca="false">IF(F3394="S",L3394*0.02,0)</f>
        <v>0</v>
      </c>
      <c r="O3394" s="82" t="str">
        <f aca="false">IF(L3394&lt;&gt;"",L3394+N3394,"")</f>
        <v/>
      </c>
      <c r="P3394" s="53" t="str">
        <f aca="false">IF(O3394&lt;&gt;"",O3394*0.1,"")</f>
        <v/>
      </c>
      <c r="Q3394" s="83" t="str">
        <f aca="false">IF(O3394&lt;&gt;"",O3394+P3394,"")</f>
        <v/>
      </c>
      <c r="R3394" s="84"/>
    </row>
    <row r="3395" customFormat="false" ht="15" hidden="false" customHeight="true" outlineLevel="0" collapsed="false">
      <c r="A3395" s="103"/>
      <c r="B3395" s="85"/>
      <c r="C3395" s="86"/>
      <c r="D3395" s="87"/>
      <c r="E3395" s="46" t="str">
        <f aca="false">IF(D3395&lt;&gt;"",IFERROR(VLOOKUP(D3395,PROVEEDORES!$A:$B,2,0),"!COD NO ENCONTRADO"),"")</f>
        <v/>
      </c>
      <c r="F3395" s="88" t="str">
        <f aca="false">IF(D3395&lt;&gt;"",IFERROR(VLOOKUP(D3395,PROVEEDORES!$A:$C,3,0),""),"")</f>
        <v/>
      </c>
      <c r="G3395" s="87"/>
      <c r="H3395" s="46" t="str">
        <f aca="false">IF(G3395&lt;&gt;"",IFERROR(VLOOKUP(G3395,PRODUCTOS!$A:$B,2,0),"!COD NO ENCONTRADO"),"")</f>
        <v/>
      </c>
      <c r="I3395" s="89"/>
      <c r="J3395" s="90"/>
      <c r="K3395" s="91"/>
      <c r="L3395" s="80" t="str">
        <f aca="false">IF(AND(J3395&lt;&gt;"",K3395&lt;&gt;""),J3395*K3395,"")</f>
        <v/>
      </c>
      <c r="M3395" s="81" t="str">
        <f aca="false">IF(L3395&lt;&gt;"",L3395*1.1,"")</f>
        <v/>
      </c>
      <c r="N3395" s="47" t="n">
        <f aca="false">IF(F3395="S",L3395*0.02,0)</f>
        <v>0</v>
      </c>
      <c r="O3395" s="82" t="str">
        <f aca="false">IF(L3395&lt;&gt;"",L3395+N3395,"")</f>
        <v/>
      </c>
      <c r="P3395" s="47" t="str">
        <f aca="false">IF(O3395&lt;&gt;"",O3395*0.1,"")</f>
        <v/>
      </c>
      <c r="Q3395" s="83" t="str">
        <f aca="false">IF(O3395&lt;&gt;"",O3395+P3395,"")</f>
        <v/>
      </c>
      <c r="R3395" s="84"/>
    </row>
    <row r="3396" customFormat="false" ht="15" hidden="false" customHeight="true" outlineLevel="0" collapsed="false">
      <c r="A3396" s="103"/>
      <c r="B3396" s="73"/>
      <c r="C3396" s="74"/>
      <c r="D3396" s="75"/>
      <c r="E3396" s="52" t="str">
        <f aca="false">IF(D3396&lt;&gt;"",IFERROR(VLOOKUP(D3396,PROVEEDORES!$A:$B,2,0),"!COD NO ENCONTRADO"),"")</f>
        <v/>
      </c>
      <c r="F3396" s="76" t="str">
        <f aca="false">IF(D3396&lt;&gt;"",IFERROR(VLOOKUP(D3396,PROVEEDORES!$A:$C,3,0),""),"")</f>
        <v/>
      </c>
      <c r="G3396" s="75"/>
      <c r="H3396" s="52" t="str">
        <f aca="false">IF(G3396&lt;&gt;"",IFERROR(VLOOKUP(G3396,PRODUCTOS!$A:$B,2,0),"!COD NO ENCONTRADO"),"")</f>
        <v/>
      </c>
      <c r="I3396" s="77"/>
      <c r="J3396" s="78"/>
      <c r="K3396" s="79"/>
      <c r="L3396" s="80" t="str">
        <f aca="false">IF(AND(J3396&lt;&gt;"",K3396&lt;&gt;""),J3396*K3396,"")</f>
        <v/>
      </c>
      <c r="M3396" s="81" t="str">
        <f aca="false">IF(L3396&lt;&gt;"",L3396*1.1,"")</f>
        <v/>
      </c>
      <c r="N3396" s="53" t="n">
        <f aca="false">IF(F3396="S",L3396*0.02,0)</f>
        <v>0</v>
      </c>
      <c r="O3396" s="82" t="str">
        <f aca="false">IF(L3396&lt;&gt;"",L3396+N3396,"")</f>
        <v/>
      </c>
      <c r="P3396" s="53" t="str">
        <f aca="false">IF(O3396&lt;&gt;"",O3396*0.1,"")</f>
        <v/>
      </c>
      <c r="Q3396" s="83" t="str">
        <f aca="false">IF(O3396&lt;&gt;"",O3396+P3396,"")</f>
        <v/>
      </c>
      <c r="R3396" s="84"/>
    </row>
    <row r="3397" customFormat="false" ht="15" hidden="false" customHeight="true" outlineLevel="0" collapsed="false">
      <c r="A3397" s="103"/>
      <c r="B3397" s="85"/>
      <c r="C3397" s="86"/>
      <c r="D3397" s="87"/>
      <c r="E3397" s="46" t="str">
        <f aca="false">IF(D3397&lt;&gt;"",IFERROR(VLOOKUP(D3397,PROVEEDORES!$A:$B,2,0),"!COD NO ENCONTRADO"),"")</f>
        <v/>
      </c>
      <c r="F3397" s="88" t="str">
        <f aca="false">IF(D3397&lt;&gt;"",IFERROR(VLOOKUP(D3397,PROVEEDORES!$A:$C,3,0),""),"")</f>
        <v/>
      </c>
      <c r="G3397" s="87"/>
      <c r="H3397" s="46" t="str">
        <f aca="false">IF(G3397&lt;&gt;"",IFERROR(VLOOKUP(G3397,PRODUCTOS!$A:$B,2,0),"!COD NO ENCONTRADO"),"")</f>
        <v/>
      </c>
      <c r="I3397" s="89"/>
      <c r="J3397" s="90"/>
      <c r="K3397" s="91"/>
      <c r="L3397" s="80" t="str">
        <f aca="false">IF(AND(J3397&lt;&gt;"",K3397&lt;&gt;""),J3397*K3397,"")</f>
        <v/>
      </c>
      <c r="M3397" s="81" t="str">
        <f aca="false">IF(L3397&lt;&gt;"",L3397*1.1,"")</f>
        <v/>
      </c>
      <c r="N3397" s="47" t="n">
        <f aca="false">IF(F3397="S",L3397*0.02,0)</f>
        <v>0</v>
      </c>
      <c r="O3397" s="82" t="str">
        <f aca="false">IF(L3397&lt;&gt;"",L3397+N3397,"")</f>
        <v/>
      </c>
      <c r="P3397" s="47" t="str">
        <f aca="false">IF(O3397&lt;&gt;"",O3397*0.1,"")</f>
        <v/>
      </c>
      <c r="Q3397" s="83" t="str">
        <f aca="false">IF(O3397&lt;&gt;"",O3397+P3397,"")</f>
        <v/>
      </c>
      <c r="R3397" s="84"/>
    </row>
    <row r="3398" customFormat="false" ht="15" hidden="false" customHeight="true" outlineLevel="0" collapsed="false">
      <c r="A3398" s="103"/>
      <c r="B3398" s="73"/>
      <c r="C3398" s="74"/>
      <c r="D3398" s="75"/>
      <c r="E3398" s="52" t="str">
        <f aca="false">IF(D3398&lt;&gt;"",IFERROR(VLOOKUP(D3398,PROVEEDORES!$A:$B,2,0),"!COD NO ENCONTRADO"),"")</f>
        <v/>
      </c>
      <c r="F3398" s="76" t="str">
        <f aca="false">IF(D3398&lt;&gt;"",IFERROR(VLOOKUP(D3398,PROVEEDORES!$A:$C,3,0),""),"")</f>
        <v/>
      </c>
      <c r="G3398" s="75"/>
      <c r="H3398" s="52" t="str">
        <f aca="false">IF(G3398&lt;&gt;"",IFERROR(VLOOKUP(G3398,PRODUCTOS!$A:$B,2,0),"!COD NO ENCONTRADO"),"")</f>
        <v/>
      </c>
      <c r="I3398" s="77"/>
      <c r="J3398" s="78"/>
      <c r="K3398" s="79"/>
      <c r="L3398" s="80" t="str">
        <f aca="false">IF(AND(J3398&lt;&gt;"",K3398&lt;&gt;""),J3398*K3398,"")</f>
        <v/>
      </c>
      <c r="M3398" s="81" t="str">
        <f aca="false">IF(L3398&lt;&gt;"",L3398*1.1,"")</f>
        <v/>
      </c>
      <c r="N3398" s="53" t="n">
        <f aca="false">IF(F3398="S",L3398*0.02,0)</f>
        <v>0</v>
      </c>
      <c r="O3398" s="82" t="str">
        <f aca="false">IF(L3398&lt;&gt;"",L3398+N3398,"")</f>
        <v/>
      </c>
      <c r="P3398" s="53" t="str">
        <f aca="false">IF(O3398&lt;&gt;"",O3398*0.1,"")</f>
        <v/>
      </c>
      <c r="Q3398" s="83" t="str">
        <f aca="false">IF(O3398&lt;&gt;"",O3398+P3398,"")</f>
        <v/>
      </c>
      <c r="R3398" s="84"/>
    </row>
    <row r="3399" customFormat="false" ht="15" hidden="false" customHeight="true" outlineLevel="0" collapsed="false">
      <c r="A3399" s="103"/>
      <c r="B3399" s="85"/>
      <c r="C3399" s="86"/>
      <c r="D3399" s="87"/>
      <c r="E3399" s="46" t="str">
        <f aca="false">IF(D3399&lt;&gt;"",IFERROR(VLOOKUP(D3399,PROVEEDORES!$A:$B,2,0),"!COD NO ENCONTRADO"),"")</f>
        <v/>
      </c>
      <c r="F3399" s="88" t="str">
        <f aca="false">IF(D3399&lt;&gt;"",IFERROR(VLOOKUP(D3399,PROVEEDORES!$A:$C,3,0),""),"")</f>
        <v/>
      </c>
      <c r="G3399" s="87"/>
      <c r="H3399" s="46" t="str">
        <f aca="false">IF(G3399&lt;&gt;"",IFERROR(VLOOKUP(G3399,PRODUCTOS!$A:$B,2,0),"!COD NO ENCONTRADO"),"")</f>
        <v/>
      </c>
      <c r="I3399" s="89"/>
      <c r="J3399" s="90"/>
      <c r="K3399" s="91"/>
      <c r="L3399" s="80" t="str">
        <f aca="false">IF(AND(J3399&lt;&gt;"",K3399&lt;&gt;""),J3399*K3399,"")</f>
        <v/>
      </c>
      <c r="M3399" s="81" t="str">
        <f aca="false">IF(L3399&lt;&gt;"",L3399*1.1,"")</f>
        <v/>
      </c>
      <c r="N3399" s="47" t="n">
        <f aca="false">IF(F3399="S",L3399*0.02,0)</f>
        <v>0</v>
      </c>
      <c r="O3399" s="82" t="str">
        <f aca="false">IF(L3399&lt;&gt;"",L3399+N3399,"")</f>
        <v/>
      </c>
      <c r="P3399" s="47" t="str">
        <f aca="false">IF(O3399&lt;&gt;"",O3399*0.1,"")</f>
        <v/>
      </c>
      <c r="Q3399" s="83" t="str">
        <f aca="false">IF(O3399&lt;&gt;"",O3399+P3399,"")</f>
        <v/>
      </c>
      <c r="R3399" s="84"/>
    </row>
    <row r="3400" customFormat="false" ht="15" hidden="false" customHeight="true" outlineLevel="0" collapsed="false">
      <c r="A3400" s="103"/>
      <c r="B3400" s="73"/>
      <c r="C3400" s="74"/>
      <c r="D3400" s="75"/>
      <c r="E3400" s="52" t="str">
        <f aca="false">IF(D3400&lt;&gt;"",IFERROR(VLOOKUP(D3400,PROVEEDORES!$A:$B,2,0),"!COD NO ENCONTRADO"),"")</f>
        <v/>
      </c>
      <c r="F3400" s="76" t="str">
        <f aca="false">IF(D3400&lt;&gt;"",IFERROR(VLOOKUP(D3400,PROVEEDORES!$A:$C,3,0),""),"")</f>
        <v/>
      </c>
      <c r="G3400" s="75"/>
      <c r="H3400" s="52" t="str">
        <f aca="false">IF(G3400&lt;&gt;"",IFERROR(VLOOKUP(G3400,PRODUCTOS!$A:$B,2,0),"!COD NO ENCONTRADO"),"")</f>
        <v/>
      </c>
      <c r="I3400" s="77"/>
      <c r="J3400" s="78"/>
      <c r="K3400" s="79"/>
      <c r="L3400" s="80" t="str">
        <f aca="false">IF(AND(J3400&lt;&gt;"",K3400&lt;&gt;""),J3400*K3400,"")</f>
        <v/>
      </c>
      <c r="M3400" s="81" t="str">
        <f aca="false">IF(L3400&lt;&gt;"",L3400*1.1,"")</f>
        <v/>
      </c>
      <c r="N3400" s="53" t="n">
        <f aca="false">IF(F3400="S",L3400*0.02,0)</f>
        <v>0</v>
      </c>
      <c r="O3400" s="82" t="str">
        <f aca="false">IF(L3400&lt;&gt;"",L3400+N3400,"")</f>
        <v/>
      </c>
      <c r="P3400" s="53" t="str">
        <f aca="false">IF(O3400&lt;&gt;"",O3400*0.1,"")</f>
        <v/>
      </c>
      <c r="Q3400" s="83" t="str">
        <f aca="false">IF(O3400&lt;&gt;"",O3400+P3400,"")</f>
        <v/>
      </c>
      <c r="R3400" s="84"/>
    </row>
    <row r="3401" customFormat="false" ht="15" hidden="false" customHeight="true" outlineLevel="0" collapsed="false">
      <c r="A3401" s="103"/>
      <c r="B3401" s="85"/>
      <c r="C3401" s="86"/>
      <c r="D3401" s="87"/>
      <c r="E3401" s="46" t="str">
        <f aca="false">IF(D3401&lt;&gt;"",IFERROR(VLOOKUP(D3401,PROVEEDORES!$A:$B,2,0),"!COD NO ENCONTRADO"),"")</f>
        <v/>
      </c>
      <c r="F3401" s="88" t="str">
        <f aca="false">IF(D3401&lt;&gt;"",IFERROR(VLOOKUP(D3401,PROVEEDORES!$A:$C,3,0),""),"")</f>
        <v/>
      </c>
      <c r="G3401" s="87"/>
      <c r="H3401" s="46" t="str">
        <f aca="false">IF(G3401&lt;&gt;"",IFERROR(VLOOKUP(G3401,PRODUCTOS!$A:$B,2,0),"!COD NO ENCONTRADO"),"")</f>
        <v/>
      </c>
      <c r="I3401" s="89"/>
      <c r="J3401" s="90"/>
      <c r="K3401" s="91"/>
      <c r="L3401" s="80" t="str">
        <f aca="false">IF(AND(J3401&lt;&gt;"",K3401&lt;&gt;""),J3401*K3401,"")</f>
        <v/>
      </c>
      <c r="M3401" s="81" t="str">
        <f aca="false">IF(L3401&lt;&gt;"",L3401*1.1,"")</f>
        <v/>
      </c>
      <c r="N3401" s="47" t="n">
        <f aca="false">IF(F3401="S",L3401*0.02,0)</f>
        <v>0</v>
      </c>
      <c r="O3401" s="82" t="str">
        <f aca="false">IF(L3401&lt;&gt;"",L3401+N3401,"")</f>
        <v/>
      </c>
      <c r="P3401" s="47" t="str">
        <f aca="false">IF(O3401&lt;&gt;"",O3401*0.1,"")</f>
        <v/>
      </c>
      <c r="Q3401" s="83" t="str">
        <f aca="false">IF(O3401&lt;&gt;"",O3401+P3401,"")</f>
        <v/>
      </c>
      <c r="R3401" s="84"/>
    </row>
    <row r="3402" customFormat="false" ht="15" hidden="false" customHeight="true" outlineLevel="0" collapsed="false">
      <c r="A3402" s="103"/>
      <c r="B3402" s="73"/>
      <c r="C3402" s="74"/>
      <c r="D3402" s="75"/>
      <c r="E3402" s="52" t="str">
        <f aca="false">IF(D3402&lt;&gt;"",IFERROR(VLOOKUP(D3402,PROVEEDORES!$A:$B,2,0),"!COD NO ENCONTRADO"),"")</f>
        <v/>
      </c>
      <c r="F3402" s="76" t="str">
        <f aca="false">IF(D3402&lt;&gt;"",IFERROR(VLOOKUP(D3402,PROVEEDORES!$A:$C,3,0),""),"")</f>
        <v/>
      </c>
      <c r="G3402" s="75"/>
      <c r="H3402" s="52" t="str">
        <f aca="false">IF(G3402&lt;&gt;"",IFERROR(VLOOKUP(G3402,PRODUCTOS!$A:$B,2,0),"!COD NO ENCONTRADO"),"")</f>
        <v/>
      </c>
      <c r="I3402" s="77"/>
      <c r="J3402" s="78"/>
      <c r="K3402" s="79"/>
      <c r="L3402" s="80" t="str">
        <f aca="false">IF(AND(J3402&lt;&gt;"",K3402&lt;&gt;""),J3402*K3402,"")</f>
        <v/>
      </c>
      <c r="M3402" s="81" t="str">
        <f aca="false">IF(L3402&lt;&gt;"",L3402*1.1,"")</f>
        <v/>
      </c>
      <c r="N3402" s="53" t="n">
        <f aca="false">IF(F3402="S",L3402*0.02,0)</f>
        <v>0</v>
      </c>
      <c r="O3402" s="82" t="str">
        <f aca="false">IF(L3402&lt;&gt;"",L3402+N3402,"")</f>
        <v/>
      </c>
      <c r="P3402" s="53" t="str">
        <f aca="false">IF(O3402&lt;&gt;"",O3402*0.1,"")</f>
        <v/>
      </c>
      <c r="Q3402" s="83" t="str">
        <f aca="false">IF(O3402&lt;&gt;"",O3402+P3402,"")</f>
        <v/>
      </c>
      <c r="R3402" s="84"/>
    </row>
    <row r="3403" customFormat="false" ht="15" hidden="false" customHeight="true" outlineLevel="0" collapsed="false">
      <c r="A3403" s="103"/>
      <c r="B3403" s="85"/>
      <c r="C3403" s="86"/>
      <c r="D3403" s="87"/>
      <c r="E3403" s="46" t="str">
        <f aca="false">IF(D3403&lt;&gt;"",IFERROR(VLOOKUP(D3403,PROVEEDORES!$A:$B,2,0),"!COD NO ENCONTRADO"),"")</f>
        <v/>
      </c>
      <c r="F3403" s="88" t="str">
        <f aca="false">IF(D3403&lt;&gt;"",IFERROR(VLOOKUP(D3403,PROVEEDORES!$A:$C,3,0),""),"")</f>
        <v/>
      </c>
      <c r="G3403" s="87"/>
      <c r="H3403" s="46" t="str">
        <f aca="false">IF(G3403&lt;&gt;"",IFERROR(VLOOKUP(G3403,PRODUCTOS!$A:$B,2,0),"!COD NO ENCONTRADO"),"")</f>
        <v/>
      </c>
      <c r="I3403" s="89"/>
      <c r="J3403" s="90"/>
      <c r="K3403" s="91"/>
      <c r="L3403" s="80" t="str">
        <f aca="false">IF(AND(J3403&lt;&gt;"",K3403&lt;&gt;""),J3403*K3403,"")</f>
        <v/>
      </c>
      <c r="M3403" s="81" t="str">
        <f aca="false">IF(L3403&lt;&gt;"",L3403*1.1,"")</f>
        <v/>
      </c>
      <c r="N3403" s="47" t="n">
        <f aca="false">IF(F3403="S",L3403*0.02,0)</f>
        <v>0</v>
      </c>
      <c r="O3403" s="82" t="str">
        <f aca="false">IF(L3403&lt;&gt;"",L3403+N3403,"")</f>
        <v/>
      </c>
      <c r="P3403" s="47" t="str">
        <f aca="false">IF(O3403&lt;&gt;"",O3403*0.1,"")</f>
        <v/>
      </c>
      <c r="Q3403" s="83" t="str">
        <f aca="false">IF(O3403&lt;&gt;"",O3403+P3403,"")</f>
        <v/>
      </c>
      <c r="R3403" s="84"/>
    </row>
    <row r="3404" customFormat="false" ht="15" hidden="false" customHeight="true" outlineLevel="0" collapsed="false">
      <c r="A3404" s="103"/>
      <c r="B3404" s="73"/>
      <c r="C3404" s="74"/>
      <c r="D3404" s="75"/>
      <c r="E3404" s="52" t="str">
        <f aca="false">IF(D3404&lt;&gt;"",IFERROR(VLOOKUP(D3404,PROVEEDORES!$A:$B,2,0),"!COD NO ENCONTRADO"),"")</f>
        <v/>
      </c>
      <c r="F3404" s="76" t="str">
        <f aca="false">IF(D3404&lt;&gt;"",IFERROR(VLOOKUP(D3404,PROVEEDORES!$A:$C,3,0),""),"")</f>
        <v/>
      </c>
      <c r="G3404" s="75"/>
      <c r="H3404" s="52" t="str">
        <f aca="false">IF(G3404&lt;&gt;"",IFERROR(VLOOKUP(G3404,PRODUCTOS!$A:$B,2,0),"!COD NO ENCONTRADO"),"")</f>
        <v/>
      </c>
      <c r="I3404" s="77"/>
      <c r="J3404" s="78"/>
      <c r="K3404" s="79"/>
      <c r="L3404" s="80" t="str">
        <f aca="false">IF(AND(J3404&lt;&gt;"",K3404&lt;&gt;""),J3404*K3404,"")</f>
        <v/>
      </c>
      <c r="M3404" s="81" t="str">
        <f aca="false">IF(L3404&lt;&gt;"",L3404*1.1,"")</f>
        <v/>
      </c>
      <c r="N3404" s="53" t="n">
        <f aca="false">IF(F3404="S",L3404*0.02,0)</f>
        <v>0</v>
      </c>
      <c r="O3404" s="82" t="str">
        <f aca="false">IF(L3404&lt;&gt;"",L3404+N3404,"")</f>
        <v/>
      </c>
      <c r="P3404" s="53" t="str">
        <f aca="false">IF(O3404&lt;&gt;"",O3404*0.1,"")</f>
        <v/>
      </c>
      <c r="Q3404" s="83" t="str">
        <f aca="false">IF(O3404&lt;&gt;"",O3404+P3404,"")</f>
        <v/>
      </c>
      <c r="R3404" s="84"/>
    </row>
    <row r="3405" customFormat="false" ht="15" hidden="false" customHeight="true" outlineLevel="0" collapsed="false">
      <c r="A3405" s="103"/>
      <c r="B3405" s="85"/>
      <c r="C3405" s="86"/>
      <c r="D3405" s="87"/>
      <c r="E3405" s="46" t="str">
        <f aca="false">IF(D3405&lt;&gt;"",IFERROR(VLOOKUP(D3405,PROVEEDORES!$A:$B,2,0),"!COD NO ENCONTRADO"),"")</f>
        <v/>
      </c>
      <c r="F3405" s="88" t="str">
        <f aca="false">IF(D3405&lt;&gt;"",IFERROR(VLOOKUP(D3405,PROVEEDORES!$A:$C,3,0),""),"")</f>
        <v/>
      </c>
      <c r="G3405" s="87"/>
      <c r="H3405" s="46" t="str">
        <f aca="false">IF(G3405&lt;&gt;"",IFERROR(VLOOKUP(G3405,PRODUCTOS!$A:$B,2,0),"!COD NO ENCONTRADO"),"")</f>
        <v/>
      </c>
      <c r="I3405" s="89"/>
      <c r="J3405" s="90"/>
      <c r="K3405" s="91"/>
      <c r="L3405" s="80" t="str">
        <f aca="false">IF(AND(J3405&lt;&gt;"",K3405&lt;&gt;""),J3405*K3405,"")</f>
        <v/>
      </c>
      <c r="M3405" s="81" t="str">
        <f aca="false">IF(L3405&lt;&gt;"",L3405*1.1,"")</f>
        <v/>
      </c>
      <c r="N3405" s="47" t="n">
        <f aca="false">IF(F3405="S",L3405*0.02,0)</f>
        <v>0</v>
      </c>
      <c r="O3405" s="82" t="str">
        <f aca="false">IF(L3405&lt;&gt;"",L3405+N3405,"")</f>
        <v/>
      </c>
      <c r="P3405" s="47" t="str">
        <f aca="false">IF(O3405&lt;&gt;"",O3405*0.1,"")</f>
        <v/>
      </c>
      <c r="Q3405" s="83" t="str">
        <f aca="false">IF(O3405&lt;&gt;"",O3405+P3405,"")</f>
        <v/>
      </c>
      <c r="R3405" s="84"/>
    </row>
    <row r="3406" customFormat="false" ht="15" hidden="false" customHeight="true" outlineLevel="0" collapsed="false">
      <c r="A3406" s="103"/>
      <c r="B3406" s="73"/>
      <c r="C3406" s="74"/>
      <c r="D3406" s="75"/>
      <c r="E3406" s="52" t="str">
        <f aca="false">IF(D3406&lt;&gt;"",IFERROR(VLOOKUP(D3406,PROVEEDORES!$A:$B,2,0),"!COD NO ENCONTRADO"),"")</f>
        <v/>
      </c>
      <c r="F3406" s="76" t="str">
        <f aca="false">IF(D3406&lt;&gt;"",IFERROR(VLOOKUP(D3406,PROVEEDORES!$A:$C,3,0),""),"")</f>
        <v/>
      </c>
      <c r="G3406" s="75"/>
      <c r="H3406" s="52" t="str">
        <f aca="false">IF(G3406&lt;&gt;"",IFERROR(VLOOKUP(G3406,PRODUCTOS!$A:$B,2,0),"!COD NO ENCONTRADO"),"")</f>
        <v/>
      </c>
      <c r="I3406" s="77"/>
      <c r="J3406" s="78"/>
      <c r="K3406" s="79"/>
      <c r="L3406" s="80" t="str">
        <f aca="false">IF(AND(J3406&lt;&gt;"",K3406&lt;&gt;""),J3406*K3406,"")</f>
        <v/>
      </c>
      <c r="M3406" s="81" t="str">
        <f aca="false">IF(L3406&lt;&gt;"",L3406*1.1,"")</f>
        <v/>
      </c>
      <c r="N3406" s="53" t="n">
        <f aca="false">IF(F3406="S",L3406*0.02,0)</f>
        <v>0</v>
      </c>
      <c r="O3406" s="82" t="str">
        <f aca="false">IF(L3406&lt;&gt;"",L3406+N3406,"")</f>
        <v/>
      </c>
      <c r="P3406" s="53" t="str">
        <f aca="false">IF(O3406&lt;&gt;"",O3406*0.1,"")</f>
        <v/>
      </c>
      <c r="Q3406" s="83" t="str">
        <f aca="false">IF(O3406&lt;&gt;"",O3406+P3406,"")</f>
        <v/>
      </c>
      <c r="R3406" s="84"/>
    </row>
    <row r="3407" customFormat="false" ht="15" hidden="false" customHeight="true" outlineLevel="0" collapsed="false">
      <c r="A3407" s="103"/>
      <c r="B3407" s="85"/>
      <c r="C3407" s="86"/>
      <c r="D3407" s="87"/>
      <c r="E3407" s="46" t="str">
        <f aca="false">IF(D3407&lt;&gt;"",IFERROR(VLOOKUP(D3407,PROVEEDORES!$A:$B,2,0),"!COD NO ENCONTRADO"),"")</f>
        <v/>
      </c>
      <c r="F3407" s="88" t="str">
        <f aca="false">IF(D3407&lt;&gt;"",IFERROR(VLOOKUP(D3407,PROVEEDORES!$A:$C,3,0),""),"")</f>
        <v/>
      </c>
      <c r="G3407" s="87"/>
      <c r="H3407" s="46" t="str">
        <f aca="false">IF(G3407&lt;&gt;"",IFERROR(VLOOKUP(G3407,PRODUCTOS!$A:$B,2,0),"!COD NO ENCONTRADO"),"")</f>
        <v/>
      </c>
      <c r="I3407" s="89"/>
      <c r="J3407" s="90"/>
      <c r="K3407" s="91"/>
      <c r="L3407" s="80" t="str">
        <f aca="false">IF(AND(J3407&lt;&gt;"",K3407&lt;&gt;""),J3407*K3407,"")</f>
        <v/>
      </c>
      <c r="M3407" s="81" t="str">
        <f aca="false">IF(L3407&lt;&gt;"",L3407*1.1,"")</f>
        <v/>
      </c>
      <c r="N3407" s="47" t="n">
        <f aca="false">IF(F3407="S",L3407*0.02,0)</f>
        <v>0</v>
      </c>
      <c r="O3407" s="82" t="str">
        <f aca="false">IF(L3407&lt;&gt;"",L3407+N3407,"")</f>
        <v/>
      </c>
      <c r="P3407" s="47" t="str">
        <f aca="false">IF(O3407&lt;&gt;"",O3407*0.1,"")</f>
        <v/>
      </c>
      <c r="Q3407" s="83" t="str">
        <f aca="false">IF(O3407&lt;&gt;"",O3407+P3407,"")</f>
        <v/>
      </c>
      <c r="R3407" s="84"/>
    </row>
    <row r="3408" customFormat="false" ht="15" hidden="false" customHeight="true" outlineLevel="0" collapsed="false">
      <c r="A3408" s="103"/>
      <c r="B3408" s="73"/>
      <c r="C3408" s="74"/>
      <c r="D3408" s="75"/>
      <c r="E3408" s="52" t="str">
        <f aca="false">IF(D3408&lt;&gt;"",IFERROR(VLOOKUP(D3408,PROVEEDORES!$A:$B,2,0),"!COD NO ENCONTRADO"),"")</f>
        <v/>
      </c>
      <c r="F3408" s="76" t="str">
        <f aca="false">IF(D3408&lt;&gt;"",IFERROR(VLOOKUP(D3408,PROVEEDORES!$A:$C,3,0),""),"")</f>
        <v/>
      </c>
      <c r="G3408" s="75"/>
      <c r="H3408" s="52" t="str">
        <f aca="false">IF(G3408&lt;&gt;"",IFERROR(VLOOKUP(G3408,PRODUCTOS!$A:$B,2,0),"!COD NO ENCONTRADO"),"")</f>
        <v/>
      </c>
      <c r="I3408" s="77"/>
      <c r="J3408" s="78"/>
      <c r="K3408" s="79"/>
      <c r="L3408" s="80" t="str">
        <f aca="false">IF(AND(J3408&lt;&gt;"",K3408&lt;&gt;""),J3408*K3408,"")</f>
        <v/>
      </c>
      <c r="M3408" s="81" t="str">
        <f aca="false">IF(L3408&lt;&gt;"",L3408*1.1,"")</f>
        <v/>
      </c>
      <c r="N3408" s="53" t="n">
        <f aca="false">IF(F3408="S",L3408*0.02,0)</f>
        <v>0</v>
      </c>
      <c r="O3408" s="82" t="str">
        <f aca="false">IF(L3408&lt;&gt;"",L3408+N3408,"")</f>
        <v/>
      </c>
      <c r="P3408" s="53" t="str">
        <f aca="false">IF(O3408&lt;&gt;"",O3408*0.1,"")</f>
        <v/>
      </c>
      <c r="Q3408" s="83" t="str">
        <f aca="false">IF(O3408&lt;&gt;"",O3408+P3408,"")</f>
        <v/>
      </c>
      <c r="R3408" s="84"/>
    </row>
    <row r="3409" customFormat="false" ht="15" hidden="false" customHeight="true" outlineLevel="0" collapsed="false">
      <c r="A3409" s="103"/>
      <c r="B3409" s="85"/>
      <c r="C3409" s="86"/>
      <c r="D3409" s="87"/>
      <c r="E3409" s="46" t="str">
        <f aca="false">IF(D3409&lt;&gt;"",IFERROR(VLOOKUP(D3409,PROVEEDORES!$A:$B,2,0),"!COD NO ENCONTRADO"),"")</f>
        <v/>
      </c>
      <c r="F3409" s="88" t="str">
        <f aca="false">IF(D3409&lt;&gt;"",IFERROR(VLOOKUP(D3409,PROVEEDORES!$A:$C,3,0),""),"")</f>
        <v/>
      </c>
      <c r="G3409" s="87"/>
      <c r="H3409" s="46" t="str">
        <f aca="false">IF(G3409&lt;&gt;"",IFERROR(VLOOKUP(G3409,PRODUCTOS!$A:$B,2,0),"!COD NO ENCONTRADO"),"")</f>
        <v/>
      </c>
      <c r="I3409" s="89"/>
      <c r="J3409" s="90"/>
      <c r="K3409" s="91"/>
      <c r="L3409" s="80" t="str">
        <f aca="false">IF(AND(J3409&lt;&gt;"",K3409&lt;&gt;""),J3409*K3409,"")</f>
        <v/>
      </c>
      <c r="M3409" s="81" t="str">
        <f aca="false">IF(L3409&lt;&gt;"",L3409*1.1,"")</f>
        <v/>
      </c>
      <c r="N3409" s="47" t="n">
        <f aca="false">IF(F3409="S",L3409*0.02,0)</f>
        <v>0</v>
      </c>
      <c r="O3409" s="82" t="str">
        <f aca="false">IF(L3409&lt;&gt;"",L3409+N3409,"")</f>
        <v/>
      </c>
      <c r="P3409" s="47" t="str">
        <f aca="false">IF(O3409&lt;&gt;"",O3409*0.1,"")</f>
        <v/>
      </c>
      <c r="Q3409" s="83" t="str">
        <f aca="false">IF(O3409&lt;&gt;"",O3409+P3409,"")</f>
        <v/>
      </c>
      <c r="R3409" s="84"/>
    </row>
    <row r="3410" customFormat="false" ht="15" hidden="false" customHeight="true" outlineLevel="0" collapsed="false">
      <c r="A3410" s="103"/>
      <c r="B3410" s="73"/>
      <c r="C3410" s="74"/>
      <c r="D3410" s="75"/>
      <c r="E3410" s="52" t="str">
        <f aca="false">IF(D3410&lt;&gt;"",IFERROR(VLOOKUP(D3410,PROVEEDORES!$A:$B,2,0),"!COD NO ENCONTRADO"),"")</f>
        <v/>
      </c>
      <c r="F3410" s="76" t="str">
        <f aca="false">IF(D3410&lt;&gt;"",IFERROR(VLOOKUP(D3410,PROVEEDORES!$A:$C,3,0),""),"")</f>
        <v/>
      </c>
      <c r="G3410" s="75"/>
      <c r="H3410" s="52" t="str">
        <f aca="false">IF(G3410&lt;&gt;"",IFERROR(VLOOKUP(G3410,PRODUCTOS!$A:$B,2,0),"!COD NO ENCONTRADO"),"")</f>
        <v/>
      </c>
      <c r="I3410" s="77"/>
      <c r="J3410" s="78"/>
      <c r="K3410" s="79"/>
      <c r="L3410" s="80" t="str">
        <f aca="false">IF(AND(J3410&lt;&gt;"",K3410&lt;&gt;""),J3410*K3410,"")</f>
        <v/>
      </c>
      <c r="M3410" s="81" t="str">
        <f aca="false">IF(L3410&lt;&gt;"",L3410*1.1,"")</f>
        <v/>
      </c>
      <c r="N3410" s="53" t="n">
        <f aca="false">IF(F3410="S",L3410*0.02,0)</f>
        <v>0</v>
      </c>
      <c r="O3410" s="82" t="str">
        <f aca="false">IF(L3410&lt;&gt;"",L3410+N3410,"")</f>
        <v/>
      </c>
      <c r="P3410" s="53" t="str">
        <f aca="false">IF(O3410&lt;&gt;"",O3410*0.1,"")</f>
        <v/>
      </c>
      <c r="Q3410" s="83" t="str">
        <f aca="false">IF(O3410&lt;&gt;"",O3410+P3410,"")</f>
        <v/>
      </c>
      <c r="R3410" s="84"/>
    </row>
    <row r="3411" customFormat="false" ht="15" hidden="false" customHeight="true" outlineLevel="0" collapsed="false">
      <c r="A3411" s="103"/>
      <c r="B3411" s="85"/>
      <c r="C3411" s="86"/>
      <c r="D3411" s="87"/>
      <c r="E3411" s="46" t="str">
        <f aca="false">IF(D3411&lt;&gt;"",IFERROR(VLOOKUP(D3411,PROVEEDORES!$A:$B,2,0),"!COD NO ENCONTRADO"),"")</f>
        <v/>
      </c>
      <c r="F3411" s="88" t="str">
        <f aca="false">IF(D3411&lt;&gt;"",IFERROR(VLOOKUP(D3411,PROVEEDORES!$A:$C,3,0),""),"")</f>
        <v/>
      </c>
      <c r="G3411" s="87"/>
      <c r="H3411" s="46" t="str">
        <f aca="false">IF(G3411&lt;&gt;"",IFERROR(VLOOKUP(G3411,PRODUCTOS!$A:$B,2,0),"!COD NO ENCONTRADO"),"")</f>
        <v/>
      </c>
      <c r="I3411" s="89"/>
      <c r="J3411" s="90"/>
      <c r="K3411" s="91"/>
      <c r="L3411" s="80" t="str">
        <f aca="false">IF(AND(J3411&lt;&gt;"",K3411&lt;&gt;""),J3411*K3411,"")</f>
        <v/>
      </c>
      <c r="M3411" s="81" t="str">
        <f aca="false">IF(L3411&lt;&gt;"",L3411*1.1,"")</f>
        <v/>
      </c>
      <c r="N3411" s="47" t="n">
        <f aca="false">IF(F3411="S",L3411*0.02,0)</f>
        <v>0</v>
      </c>
      <c r="O3411" s="82" t="str">
        <f aca="false">IF(L3411&lt;&gt;"",L3411+N3411,"")</f>
        <v/>
      </c>
      <c r="P3411" s="47" t="str">
        <f aca="false">IF(O3411&lt;&gt;"",O3411*0.1,"")</f>
        <v/>
      </c>
      <c r="Q3411" s="83" t="str">
        <f aca="false">IF(O3411&lt;&gt;"",O3411+P3411,"")</f>
        <v/>
      </c>
      <c r="R3411" s="84"/>
    </row>
    <row r="3412" customFormat="false" ht="15" hidden="false" customHeight="true" outlineLevel="0" collapsed="false">
      <c r="A3412" s="103"/>
      <c r="B3412" s="73"/>
      <c r="C3412" s="74"/>
      <c r="D3412" s="75"/>
      <c r="E3412" s="52" t="str">
        <f aca="false">IF(D3412&lt;&gt;"",IFERROR(VLOOKUP(D3412,PROVEEDORES!$A:$B,2,0),"!COD NO ENCONTRADO"),"")</f>
        <v/>
      </c>
      <c r="F3412" s="76" t="str">
        <f aca="false">IF(D3412&lt;&gt;"",IFERROR(VLOOKUP(D3412,PROVEEDORES!$A:$C,3,0),""),"")</f>
        <v/>
      </c>
      <c r="G3412" s="75"/>
      <c r="H3412" s="52" t="str">
        <f aca="false">IF(G3412&lt;&gt;"",IFERROR(VLOOKUP(G3412,PRODUCTOS!$A:$B,2,0),"!COD NO ENCONTRADO"),"")</f>
        <v/>
      </c>
      <c r="I3412" s="77"/>
      <c r="J3412" s="78"/>
      <c r="K3412" s="79"/>
      <c r="L3412" s="80" t="str">
        <f aca="false">IF(AND(J3412&lt;&gt;"",K3412&lt;&gt;""),J3412*K3412,"")</f>
        <v/>
      </c>
      <c r="M3412" s="81" t="str">
        <f aca="false">IF(L3412&lt;&gt;"",L3412*1.1,"")</f>
        <v/>
      </c>
      <c r="N3412" s="53" t="n">
        <f aca="false">IF(F3412="S",L3412*0.02,0)</f>
        <v>0</v>
      </c>
      <c r="O3412" s="82" t="str">
        <f aca="false">IF(L3412&lt;&gt;"",L3412+N3412,"")</f>
        <v/>
      </c>
      <c r="P3412" s="53" t="str">
        <f aca="false">IF(O3412&lt;&gt;"",O3412*0.1,"")</f>
        <v/>
      </c>
      <c r="Q3412" s="83" t="str">
        <f aca="false">IF(O3412&lt;&gt;"",O3412+P3412,"")</f>
        <v/>
      </c>
      <c r="R3412" s="84"/>
    </row>
    <row r="3413" customFormat="false" ht="15" hidden="false" customHeight="true" outlineLevel="0" collapsed="false">
      <c r="A3413" s="103"/>
      <c r="B3413" s="85"/>
      <c r="C3413" s="86"/>
      <c r="D3413" s="87"/>
      <c r="E3413" s="46" t="str">
        <f aca="false">IF(D3413&lt;&gt;"",IFERROR(VLOOKUP(D3413,PROVEEDORES!$A:$B,2,0),"!COD NO ENCONTRADO"),"")</f>
        <v/>
      </c>
      <c r="F3413" s="88" t="str">
        <f aca="false">IF(D3413&lt;&gt;"",IFERROR(VLOOKUP(D3413,PROVEEDORES!$A:$C,3,0),""),"")</f>
        <v/>
      </c>
      <c r="G3413" s="87"/>
      <c r="H3413" s="46" t="str">
        <f aca="false">IF(G3413&lt;&gt;"",IFERROR(VLOOKUP(G3413,PRODUCTOS!$A:$B,2,0),"!COD NO ENCONTRADO"),"")</f>
        <v/>
      </c>
      <c r="I3413" s="89"/>
      <c r="J3413" s="90"/>
      <c r="K3413" s="91"/>
      <c r="L3413" s="80" t="str">
        <f aca="false">IF(AND(J3413&lt;&gt;"",K3413&lt;&gt;""),J3413*K3413,"")</f>
        <v/>
      </c>
      <c r="M3413" s="81" t="str">
        <f aca="false">IF(L3413&lt;&gt;"",L3413*1.1,"")</f>
        <v/>
      </c>
      <c r="N3413" s="47" t="n">
        <f aca="false">IF(F3413="S",L3413*0.02,0)</f>
        <v>0</v>
      </c>
      <c r="O3413" s="82" t="str">
        <f aca="false">IF(L3413&lt;&gt;"",L3413+N3413,"")</f>
        <v/>
      </c>
      <c r="P3413" s="47" t="str">
        <f aca="false">IF(O3413&lt;&gt;"",O3413*0.1,"")</f>
        <v/>
      </c>
      <c r="Q3413" s="83" t="str">
        <f aca="false">IF(O3413&lt;&gt;"",O3413+P3413,"")</f>
        <v/>
      </c>
      <c r="R3413" s="84"/>
    </row>
    <row r="3414" customFormat="false" ht="15" hidden="false" customHeight="true" outlineLevel="0" collapsed="false">
      <c r="A3414" s="103"/>
      <c r="B3414" s="73"/>
      <c r="C3414" s="74"/>
      <c r="D3414" s="75"/>
      <c r="E3414" s="52" t="str">
        <f aca="false">IF(D3414&lt;&gt;"",IFERROR(VLOOKUP(D3414,PROVEEDORES!$A:$B,2,0),"!COD NO ENCONTRADO"),"")</f>
        <v/>
      </c>
      <c r="F3414" s="76" t="str">
        <f aca="false">IF(D3414&lt;&gt;"",IFERROR(VLOOKUP(D3414,PROVEEDORES!$A:$C,3,0),""),"")</f>
        <v/>
      </c>
      <c r="G3414" s="75"/>
      <c r="H3414" s="52" t="str">
        <f aca="false">IF(G3414&lt;&gt;"",IFERROR(VLOOKUP(G3414,PRODUCTOS!$A:$B,2,0),"!COD NO ENCONTRADO"),"")</f>
        <v/>
      </c>
      <c r="I3414" s="77"/>
      <c r="J3414" s="78"/>
      <c r="K3414" s="79"/>
      <c r="L3414" s="80" t="str">
        <f aca="false">IF(AND(J3414&lt;&gt;"",K3414&lt;&gt;""),J3414*K3414,"")</f>
        <v/>
      </c>
      <c r="M3414" s="81" t="str">
        <f aca="false">IF(L3414&lt;&gt;"",L3414*1.1,"")</f>
        <v/>
      </c>
      <c r="N3414" s="53" t="n">
        <f aca="false">IF(F3414="S",L3414*0.02,0)</f>
        <v>0</v>
      </c>
      <c r="O3414" s="82" t="str">
        <f aca="false">IF(L3414&lt;&gt;"",L3414+N3414,"")</f>
        <v/>
      </c>
      <c r="P3414" s="53" t="str">
        <f aca="false">IF(O3414&lt;&gt;"",O3414*0.1,"")</f>
        <v/>
      </c>
      <c r="Q3414" s="83" t="str">
        <f aca="false">IF(O3414&lt;&gt;"",O3414+P3414,"")</f>
        <v/>
      </c>
      <c r="R3414" s="84"/>
    </row>
    <row r="3415" customFormat="false" ht="15" hidden="false" customHeight="true" outlineLevel="0" collapsed="false">
      <c r="A3415" s="103"/>
      <c r="B3415" s="85"/>
      <c r="C3415" s="86"/>
      <c r="D3415" s="87"/>
      <c r="E3415" s="46" t="str">
        <f aca="false">IF(D3415&lt;&gt;"",IFERROR(VLOOKUP(D3415,PROVEEDORES!$A:$B,2,0),"!COD NO ENCONTRADO"),"")</f>
        <v/>
      </c>
      <c r="F3415" s="88" t="str">
        <f aca="false">IF(D3415&lt;&gt;"",IFERROR(VLOOKUP(D3415,PROVEEDORES!$A:$C,3,0),""),"")</f>
        <v/>
      </c>
      <c r="G3415" s="87"/>
      <c r="H3415" s="46" t="str">
        <f aca="false">IF(G3415&lt;&gt;"",IFERROR(VLOOKUP(G3415,PRODUCTOS!$A:$B,2,0),"!COD NO ENCONTRADO"),"")</f>
        <v/>
      </c>
      <c r="I3415" s="89"/>
      <c r="J3415" s="90"/>
      <c r="K3415" s="91"/>
      <c r="L3415" s="80" t="str">
        <f aca="false">IF(AND(J3415&lt;&gt;"",K3415&lt;&gt;""),J3415*K3415,"")</f>
        <v/>
      </c>
      <c r="M3415" s="81" t="str">
        <f aca="false">IF(L3415&lt;&gt;"",L3415*1.1,"")</f>
        <v/>
      </c>
      <c r="N3415" s="47" t="n">
        <f aca="false">IF(F3415="S",L3415*0.02,0)</f>
        <v>0</v>
      </c>
      <c r="O3415" s="82" t="str">
        <f aca="false">IF(L3415&lt;&gt;"",L3415+N3415,"")</f>
        <v/>
      </c>
      <c r="P3415" s="47" t="str">
        <f aca="false">IF(O3415&lt;&gt;"",O3415*0.1,"")</f>
        <v/>
      </c>
      <c r="Q3415" s="83" t="str">
        <f aca="false">IF(O3415&lt;&gt;"",O3415+P3415,"")</f>
        <v/>
      </c>
      <c r="R3415" s="84"/>
    </row>
    <row r="3416" customFormat="false" ht="15" hidden="false" customHeight="true" outlineLevel="0" collapsed="false">
      <c r="A3416" s="103"/>
      <c r="B3416" s="73"/>
      <c r="C3416" s="74"/>
      <c r="D3416" s="75"/>
      <c r="E3416" s="52" t="str">
        <f aca="false">IF(D3416&lt;&gt;"",IFERROR(VLOOKUP(D3416,PROVEEDORES!$A:$B,2,0),"!COD NO ENCONTRADO"),"")</f>
        <v/>
      </c>
      <c r="F3416" s="76" t="str">
        <f aca="false">IF(D3416&lt;&gt;"",IFERROR(VLOOKUP(D3416,PROVEEDORES!$A:$C,3,0),""),"")</f>
        <v/>
      </c>
      <c r="G3416" s="75"/>
      <c r="H3416" s="52" t="str">
        <f aca="false">IF(G3416&lt;&gt;"",IFERROR(VLOOKUP(G3416,PRODUCTOS!$A:$B,2,0),"!COD NO ENCONTRADO"),"")</f>
        <v/>
      </c>
      <c r="I3416" s="77"/>
      <c r="J3416" s="78"/>
      <c r="K3416" s="79"/>
      <c r="L3416" s="80" t="str">
        <f aca="false">IF(AND(J3416&lt;&gt;"",K3416&lt;&gt;""),J3416*K3416,"")</f>
        <v/>
      </c>
      <c r="M3416" s="81" t="str">
        <f aca="false">IF(L3416&lt;&gt;"",L3416*1.1,"")</f>
        <v/>
      </c>
      <c r="N3416" s="53" t="n">
        <f aca="false">IF(F3416="S",L3416*0.02,0)</f>
        <v>0</v>
      </c>
      <c r="O3416" s="82" t="str">
        <f aca="false">IF(L3416&lt;&gt;"",L3416+N3416,"")</f>
        <v/>
      </c>
      <c r="P3416" s="53" t="str">
        <f aca="false">IF(O3416&lt;&gt;"",O3416*0.1,"")</f>
        <v/>
      </c>
      <c r="Q3416" s="83" t="str">
        <f aca="false">IF(O3416&lt;&gt;"",O3416+P3416,"")</f>
        <v/>
      </c>
      <c r="R3416" s="84"/>
    </row>
    <row r="3417" customFormat="false" ht="15" hidden="false" customHeight="true" outlineLevel="0" collapsed="false">
      <c r="A3417" s="103"/>
      <c r="B3417" s="85"/>
      <c r="C3417" s="86"/>
      <c r="D3417" s="87"/>
      <c r="E3417" s="46" t="str">
        <f aca="false">IF(D3417&lt;&gt;"",IFERROR(VLOOKUP(D3417,PROVEEDORES!$A:$B,2,0),"!COD NO ENCONTRADO"),"")</f>
        <v/>
      </c>
      <c r="F3417" s="88" t="str">
        <f aca="false">IF(D3417&lt;&gt;"",IFERROR(VLOOKUP(D3417,PROVEEDORES!$A:$C,3,0),""),"")</f>
        <v/>
      </c>
      <c r="G3417" s="87"/>
      <c r="H3417" s="46" t="str">
        <f aca="false">IF(G3417&lt;&gt;"",IFERROR(VLOOKUP(G3417,PRODUCTOS!$A:$B,2,0),"!COD NO ENCONTRADO"),"")</f>
        <v/>
      </c>
      <c r="I3417" s="89"/>
      <c r="J3417" s="90"/>
      <c r="K3417" s="91"/>
      <c r="L3417" s="80" t="str">
        <f aca="false">IF(AND(J3417&lt;&gt;"",K3417&lt;&gt;""),J3417*K3417,"")</f>
        <v/>
      </c>
      <c r="M3417" s="81" t="str">
        <f aca="false">IF(L3417&lt;&gt;"",L3417*1.1,"")</f>
        <v/>
      </c>
      <c r="N3417" s="47" t="n">
        <f aca="false">IF(F3417="S",L3417*0.02,0)</f>
        <v>0</v>
      </c>
      <c r="O3417" s="82" t="str">
        <f aca="false">IF(L3417&lt;&gt;"",L3417+N3417,"")</f>
        <v/>
      </c>
      <c r="P3417" s="47" t="str">
        <f aca="false">IF(O3417&lt;&gt;"",O3417*0.1,"")</f>
        <v/>
      </c>
      <c r="Q3417" s="83" t="str">
        <f aca="false">IF(O3417&lt;&gt;"",O3417+P3417,"")</f>
        <v/>
      </c>
      <c r="R3417" s="84"/>
    </row>
    <row r="3418" customFormat="false" ht="15" hidden="false" customHeight="true" outlineLevel="0" collapsed="false">
      <c r="A3418" s="103"/>
      <c r="B3418" s="73"/>
      <c r="C3418" s="74"/>
      <c r="D3418" s="75"/>
      <c r="E3418" s="52" t="str">
        <f aca="false">IF(D3418&lt;&gt;"",IFERROR(VLOOKUP(D3418,PROVEEDORES!$A:$B,2,0),"!COD NO ENCONTRADO"),"")</f>
        <v/>
      </c>
      <c r="F3418" s="76" t="str">
        <f aca="false">IF(D3418&lt;&gt;"",IFERROR(VLOOKUP(D3418,PROVEEDORES!$A:$C,3,0),""),"")</f>
        <v/>
      </c>
      <c r="G3418" s="75"/>
      <c r="H3418" s="52" t="str">
        <f aca="false">IF(G3418&lt;&gt;"",IFERROR(VLOOKUP(G3418,PRODUCTOS!$A:$B,2,0),"!COD NO ENCONTRADO"),"")</f>
        <v/>
      </c>
      <c r="I3418" s="77"/>
      <c r="J3418" s="78"/>
      <c r="K3418" s="79"/>
      <c r="L3418" s="80" t="str">
        <f aca="false">IF(AND(J3418&lt;&gt;"",K3418&lt;&gt;""),J3418*K3418,"")</f>
        <v/>
      </c>
      <c r="M3418" s="81" t="str">
        <f aca="false">IF(L3418&lt;&gt;"",L3418*1.1,"")</f>
        <v/>
      </c>
      <c r="N3418" s="53" t="n">
        <f aca="false">IF(F3418="S",L3418*0.02,0)</f>
        <v>0</v>
      </c>
      <c r="O3418" s="82" t="str">
        <f aca="false">IF(L3418&lt;&gt;"",L3418+N3418,"")</f>
        <v/>
      </c>
      <c r="P3418" s="53" t="str">
        <f aca="false">IF(O3418&lt;&gt;"",O3418*0.1,"")</f>
        <v/>
      </c>
      <c r="Q3418" s="83" t="str">
        <f aca="false">IF(O3418&lt;&gt;"",O3418+P3418,"")</f>
        <v/>
      </c>
      <c r="R3418" s="84"/>
    </row>
    <row r="3419" customFormat="false" ht="15" hidden="false" customHeight="true" outlineLevel="0" collapsed="false">
      <c r="A3419" s="103"/>
      <c r="B3419" s="85"/>
      <c r="C3419" s="86"/>
      <c r="D3419" s="87"/>
      <c r="E3419" s="46" t="str">
        <f aca="false">IF(D3419&lt;&gt;"",IFERROR(VLOOKUP(D3419,PROVEEDORES!$A:$B,2,0),"!COD NO ENCONTRADO"),"")</f>
        <v/>
      </c>
      <c r="F3419" s="88" t="str">
        <f aca="false">IF(D3419&lt;&gt;"",IFERROR(VLOOKUP(D3419,PROVEEDORES!$A:$C,3,0),""),"")</f>
        <v/>
      </c>
      <c r="G3419" s="87"/>
      <c r="H3419" s="46" t="str">
        <f aca="false">IF(G3419&lt;&gt;"",IFERROR(VLOOKUP(G3419,PRODUCTOS!$A:$B,2,0),"!COD NO ENCONTRADO"),"")</f>
        <v/>
      </c>
      <c r="I3419" s="89"/>
      <c r="J3419" s="90"/>
      <c r="K3419" s="91"/>
      <c r="L3419" s="80" t="str">
        <f aca="false">IF(AND(J3419&lt;&gt;"",K3419&lt;&gt;""),J3419*K3419,"")</f>
        <v/>
      </c>
      <c r="M3419" s="81" t="str">
        <f aca="false">IF(L3419&lt;&gt;"",L3419*1.1,"")</f>
        <v/>
      </c>
      <c r="N3419" s="47" t="n">
        <f aca="false">IF(F3419="S",L3419*0.02,0)</f>
        <v>0</v>
      </c>
      <c r="O3419" s="82" t="str">
        <f aca="false">IF(L3419&lt;&gt;"",L3419+N3419,"")</f>
        <v/>
      </c>
      <c r="P3419" s="47" t="str">
        <f aca="false">IF(O3419&lt;&gt;"",O3419*0.1,"")</f>
        <v/>
      </c>
      <c r="Q3419" s="83" t="str">
        <f aca="false">IF(O3419&lt;&gt;"",O3419+P3419,"")</f>
        <v/>
      </c>
      <c r="R3419" s="84"/>
    </row>
    <row r="3420" customFormat="false" ht="15" hidden="false" customHeight="true" outlineLevel="0" collapsed="false">
      <c r="A3420" s="103"/>
      <c r="B3420" s="73"/>
      <c r="C3420" s="74"/>
      <c r="D3420" s="75"/>
      <c r="E3420" s="52" t="str">
        <f aca="false">IF(D3420&lt;&gt;"",IFERROR(VLOOKUP(D3420,PROVEEDORES!$A:$B,2,0),"!COD NO ENCONTRADO"),"")</f>
        <v/>
      </c>
      <c r="F3420" s="76" t="str">
        <f aca="false">IF(D3420&lt;&gt;"",IFERROR(VLOOKUP(D3420,PROVEEDORES!$A:$C,3,0),""),"")</f>
        <v/>
      </c>
      <c r="G3420" s="75"/>
      <c r="H3420" s="52" t="str">
        <f aca="false">IF(G3420&lt;&gt;"",IFERROR(VLOOKUP(G3420,PRODUCTOS!$A:$B,2,0),"!COD NO ENCONTRADO"),"")</f>
        <v/>
      </c>
      <c r="I3420" s="77"/>
      <c r="J3420" s="78"/>
      <c r="K3420" s="79"/>
      <c r="L3420" s="80" t="str">
        <f aca="false">IF(AND(J3420&lt;&gt;"",K3420&lt;&gt;""),J3420*K3420,"")</f>
        <v/>
      </c>
      <c r="M3420" s="81" t="str">
        <f aca="false">IF(L3420&lt;&gt;"",L3420*1.1,"")</f>
        <v/>
      </c>
      <c r="N3420" s="53" t="n">
        <f aca="false">IF(F3420="S",L3420*0.02,0)</f>
        <v>0</v>
      </c>
      <c r="O3420" s="82" t="str">
        <f aca="false">IF(L3420&lt;&gt;"",L3420+N3420,"")</f>
        <v/>
      </c>
      <c r="P3420" s="53" t="str">
        <f aca="false">IF(O3420&lt;&gt;"",O3420*0.1,"")</f>
        <v/>
      </c>
      <c r="Q3420" s="83" t="str">
        <f aca="false">IF(O3420&lt;&gt;"",O3420+P3420,"")</f>
        <v/>
      </c>
      <c r="R3420" s="84"/>
    </row>
    <row r="3421" customFormat="false" ht="15" hidden="false" customHeight="true" outlineLevel="0" collapsed="false">
      <c r="A3421" s="103"/>
      <c r="B3421" s="85"/>
      <c r="C3421" s="86"/>
      <c r="D3421" s="87"/>
      <c r="E3421" s="46" t="str">
        <f aca="false">IF(D3421&lt;&gt;"",IFERROR(VLOOKUP(D3421,PROVEEDORES!$A:$B,2,0),"!COD NO ENCONTRADO"),"")</f>
        <v/>
      </c>
      <c r="F3421" s="88" t="str">
        <f aca="false">IF(D3421&lt;&gt;"",IFERROR(VLOOKUP(D3421,PROVEEDORES!$A:$C,3,0),""),"")</f>
        <v/>
      </c>
      <c r="G3421" s="87"/>
      <c r="H3421" s="46" t="str">
        <f aca="false">IF(G3421&lt;&gt;"",IFERROR(VLOOKUP(G3421,PRODUCTOS!$A:$B,2,0),"!COD NO ENCONTRADO"),"")</f>
        <v/>
      </c>
      <c r="I3421" s="89"/>
      <c r="J3421" s="90"/>
      <c r="K3421" s="91"/>
      <c r="L3421" s="80" t="str">
        <f aca="false">IF(AND(J3421&lt;&gt;"",K3421&lt;&gt;""),J3421*K3421,"")</f>
        <v/>
      </c>
      <c r="M3421" s="81" t="str">
        <f aca="false">IF(L3421&lt;&gt;"",L3421*1.1,"")</f>
        <v/>
      </c>
      <c r="N3421" s="47" t="n">
        <f aca="false">IF(F3421="S",L3421*0.02,0)</f>
        <v>0</v>
      </c>
      <c r="O3421" s="82" t="str">
        <f aca="false">IF(L3421&lt;&gt;"",L3421+N3421,"")</f>
        <v/>
      </c>
      <c r="P3421" s="47" t="str">
        <f aca="false">IF(O3421&lt;&gt;"",O3421*0.1,"")</f>
        <v/>
      </c>
      <c r="Q3421" s="83" t="str">
        <f aca="false">IF(O3421&lt;&gt;"",O3421+P3421,"")</f>
        <v/>
      </c>
      <c r="R3421" s="84"/>
    </row>
    <row r="3422" customFormat="false" ht="15" hidden="false" customHeight="true" outlineLevel="0" collapsed="false">
      <c r="A3422" s="103"/>
      <c r="B3422" s="73"/>
      <c r="C3422" s="74"/>
      <c r="D3422" s="75"/>
      <c r="E3422" s="52" t="str">
        <f aca="false">IF(D3422&lt;&gt;"",IFERROR(VLOOKUP(D3422,PROVEEDORES!$A:$B,2,0),"!COD NO ENCONTRADO"),"")</f>
        <v/>
      </c>
      <c r="F3422" s="76" t="str">
        <f aca="false">IF(D3422&lt;&gt;"",IFERROR(VLOOKUP(D3422,PROVEEDORES!$A:$C,3,0),""),"")</f>
        <v/>
      </c>
      <c r="G3422" s="75"/>
      <c r="H3422" s="52" t="str">
        <f aca="false">IF(G3422&lt;&gt;"",IFERROR(VLOOKUP(G3422,PRODUCTOS!$A:$B,2,0),"!COD NO ENCONTRADO"),"")</f>
        <v/>
      </c>
      <c r="I3422" s="77"/>
      <c r="J3422" s="78"/>
      <c r="K3422" s="79"/>
      <c r="L3422" s="80" t="str">
        <f aca="false">IF(AND(J3422&lt;&gt;"",K3422&lt;&gt;""),J3422*K3422,"")</f>
        <v/>
      </c>
      <c r="M3422" s="81" t="str">
        <f aca="false">IF(L3422&lt;&gt;"",L3422*1.1,"")</f>
        <v/>
      </c>
      <c r="N3422" s="53" t="n">
        <f aca="false">IF(F3422="S",L3422*0.02,0)</f>
        <v>0</v>
      </c>
      <c r="O3422" s="82" t="str">
        <f aca="false">IF(L3422&lt;&gt;"",L3422+N3422,"")</f>
        <v/>
      </c>
      <c r="P3422" s="53" t="str">
        <f aca="false">IF(O3422&lt;&gt;"",O3422*0.1,"")</f>
        <v/>
      </c>
      <c r="Q3422" s="83" t="str">
        <f aca="false">IF(O3422&lt;&gt;"",O3422+P3422,"")</f>
        <v/>
      </c>
      <c r="R3422" s="84"/>
    </row>
    <row r="3423" customFormat="false" ht="15" hidden="false" customHeight="true" outlineLevel="0" collapsed="false">
      <c r="A3423" s="103"/>
      <c r="B3423" s="85"/>
      <c r="C3423" s="86"/>
      <c r="D3423" s="87"/>
      <c r="E3423" s="46" t="str">
        <f aca="false">IF(D3423&lt;&gt;"",IFERROR(VLOOKUP(D3423,PROVEEDORES!$A:$B,2,0),"!COD NO ENCONTRADO"),"")</f>
        <v/>
      </c>
      <c r="F3423" s="88" t="str">
        <f aca="false">IF(D3423&lt;&gt;"",IFERROR(VLOOKUP(D3423,PROVEEDORES!$A:$C,3,0),""),"")</f>
        <v/>
      </c>
      <c r="G3423" s="87"/>
      <c r="H3423" s="46" t="str">
        <f aca="false">IF(G3423&lt;&gt;"",IFERROR(VLOOKUP(G3423,PRODUCTOS!$A:$B,2,0),"!COD NO ENCONTRADO"),"")</f>
        <v/>
      </c>
      <c r="I3423" s="89"/>
      <c r="J3423" s="90"/>
      <c r="K3423" s="91"/>
      <c r="L3423" s="80" t="str">
        <f aca="false">IF(AND(J3423&lt;&gt;"",K3423&lt;&gt;""),J3423*K3423,"")</f>
        <v/>
      </c>
      <c r="M3423" s="81" t="str">
        <f aca="false">IF(L3423&lt;&gt;"",L3423*1.1,"")</f>
        <v/>
      </c>
      <c r="N3423" s="47" t="n">
        <f aca="false">IF(F3423="S",L3423*0.02,0)</f>
        <v>0</v>
      </c>
      <c r="O3423" s="82" t="str">
        <f aca="false">IF(L3423&lt;&gt;"",L3423+N3423,"")</f>
        <v/>
      </c>
      <c r="P3423" s="47" t="str">
        <f aca="false">IF(O3423&lt;&gt;"",O3423*0.1,"")</f>
        <v/>
      </c>
      <c r="Q3423" s="83" t="str">
        <f aca="false">IF(O3423&lt;&gt;"",O3423+P3423,"")</f>
        <v/>
      </c>
      <c r="R3423" s="84"/>
    </row>
    <row r="3424" customFormat="false" ht="15" hidden="false" customHeight="true" outlineLevel="0" collapsed="false">
      <c r="A3424" s="103"/>
      <c r="B3424" s="73"/>
      <c r="C3424" s="74"/>
      <c r="D3424" s="75"/>
      <c r="E3424" s="52" t="str">
        <f aca="false">IF(D3424&lt;&gt;"",IFERROR(VLOOKUP(D3424,PROVEEDORES!$A:$B,2,0),"!COD NO ENCONTRADO"),"")</f>
        <v/>
      </c>
      <c r="F3424" s="76" t="str">
        <f aca="false">IF(D3424&lt;&gt;"",IFERROR(VLOOKUP(D3424,PROVEEDORES!$A:$C,3,0),""),"")</f>
        <v/>
      </c>
      <c r="G3424" s="75"/>
      <c r="H3424" s="52" t="str">
        <f aca="false">IF(G3424&lt;&gt;"",IFERROR(VLOOKUP(G3424,PRODUCTOS!$A:$B,2,0),"!COD NO ENCONTRADO"),"")</f>
        <v/>
      </c>
      <c r="I3424" s="77"/>
      <c r="J3424" s="78"/>
      <c r="K3424" s="79"/>
      <c r="L3424" s="80" t="str">
        <f aca="false">IF(AND(J3424&lt;&gt;"",K3424&lt;&gt;""),J3424*K3424,"")</f>
        <v/>
      </c>
      <c r="M3424" s="81" t="str">
        <f aca="false">IF(L3424&lt;&gt;"",L3424*1.1,"")</f>
        <v/>
      </c>
      <c r="N3424" s="53" t="n">
        <f aca="false">IF(F3424="S",L3424*0.02,0)</f>
        <v>0</v>
      </c>
      <c r="O3424" s="82" t="str">
        <f aca="false">IF(L3424&lt;&gt;"",L3424+N3424,"")</f>
        <v/>
      </c>
      <c r="P3424" s="53" t="str">
        <f aca="false">IF(O3424&lt;&gt;"",O3424*0.1,"")</f>
        <v/>
      </c>
      <c r="Q3424" s="83" t="str">
        <f aca="false">IF(O3424&lt;&gt;"",O3424+P3424,"")</f>
        <v/>
      </c>
      <c r="R3424" s="84"/>
    </row>
    <row r="3425" customFormat="false" ht="15" hidden="false" customHeight="true" outlineLevel="0" collapsed="false">
      <c r="A3425" s="103"/>
      <c r="B3425" s="85"/>
      <c r="C3425" s="86"/>
      <c r="D3425" s="87"/>
      <c r="E3425" s="46" t="str">
        <f aca="false">IF(D3425&lt;&gt;"",IFERROR(VLOOKUP(D3425,PROVEEDORES!$A:$B,2,0),"!COD NO ENCONTRADO"),"")</f>
        <v/>
      </c>
      <c r="F3425" s="88" t="str">
        <f aca="false">IF(D3425&lt;&gt;"",IFERROR(VLOOKUP(D3425,PROVEEDORES!$A:$C,3,0),""),"")</f>
        <v/>
      </c>
      <c r="G3425" s="87"/>
      <c r="H3425" s="46" t="str">
        <f aca="false">IF(G3425&lt;&gt;"",IFERROR(VLOOKUP(G3425,PRODUCTOS!$A:$B,2,0),"!COD NO ENCONTRADO"),"")</f>
        <v/>
      </c>
      <c r="I3425" s="89"/>
      <c r="J3425" s="90"/>
      <c r="K3425" s="91"/>
      <c r="L3425" s="80" t="str">
        <f aca="false">IF(AND(J3425&lt;&gt;"",K3425&lt;&gt;""),J3425*K3425,"")</f>
        <v/>
      </c>
      <c r="M3425" s="81" t="str">
        <f aca="false">IF(L3425&lt;&gt;"",L3425*1.1,"")</f>
        <v/>
      </c>
      <c r="N3425" s="47" t="n">
        <f aca="false">IF(F3425="S",L3425*0.02,0)</f>
        <v>0</v>
      </c>
      <c r="O3425" s="82" t="str">
        <f aca="false">IF(L3425&lt;&gt;"",L3425+N3425,"")</f>
        <v/>
      </c>
      <c r="P3425" s="47" t="str">
        <f aca="false">IF(O3425&lt;&gt;"",O3425*0.1,"")</f>
        <v/>
      </c>
      <c r="Q3425" s="83" t="str">
        <f aca="false">IF(O3425&lt;&gt;"",O3425+P3425,"")</f>
        <v/>
      </c>
      <c r="R3425" s="84"/>
    </row>
    <row r="3426" customFormat="false" ht="15" hidden="false" customHeight="true" outlineLevel="0" collapsed="false">
      <c r="A3426" s="103"/>
      <c r="B3426" s="73"/>
      <c r="C3426" s="74"/>
      <c r="D3426" s="75"/>
      <c r="E3426" s="52" t="str">
        <f aca="false">IF(D3426&lt;&gt;"",IFERROR(VLOOKUP(D3426,PROVEEDORES!$A:$B,2,0),"!COD NO ENCONTRADO"),"")</f>
        <v/>
      </c>
      <c r="F3426" s="76" t="str">
        <f aca="false">IF(D3426&lt;&gt;"",IFERROR(VLOOKUP(D3426,PROVEEDORES!$A:$C,3,0),""),"")</f>
        <v/>
      </c>
      <c r="G3426" s="75"/>
      <c r="H3426" s="52" t="str">
        <f aca="false">IF(G3426&lt;&gt;"",IFERROR(VLOOKUP(G3426,PRODUCTOS!$A:$B,2,0),"!COD NO ENCONTRADO"),"")</f>
        <v/>
      </c>
      <c r="I3426" s="77"/>
      <c r="J3426" s="78"/>
      <c r="K3426" s="79"/>
      <c r="L3426" s="80" t="str">
        <f aca="false">IF(AND(J3426&lt;&gt;"",K3426&lt;&gt;""),J3426*K3426,"")</f>
        <v/>
      </c>
      <c r="M3426" s="81" t="str">
        <f aca="false">IF(L3426&lt;&gt;"",L3426*1.1,"")</f>
        <v/>
      </c>
      <c r="N3426" s="53" t="n">
        <f aca="false">IF(F3426="S",L3426*0.02,0)</f>
        <v>0</v>
      </c>
      <c r="O3426" s="82" t="str">
        <f aca="false">IF(L3426&lt;&gt;"",L3426+N3426,"")</f>
        <v/>
      </c>
      <c r="P3426" s="53" t="str">
        <f aca="false">IF(O3426&lt;&gt;"",O3426*0.1,"")</f>
        <v/>
      </c>
      <c r="Q3426" s="83" t="str">
        <f aca="false">IF(O3426&lt;&gt;"",O3426+P3426,"")</f>
        <v/>
      </c>
      <c r="R3426" s="84"/>
    </row>
    <row r="3427" customFormat="false" ht="15" hidden="false" customHeight="true" outlineLevel="0" collapsed="false">
      <c r="A3427" s="103"/>
      <c r="B3427" s="85"/>
      <c r="C3427" s="86"/>
      <c r="D3427" s="87"/>
      <c r="E3427" s="46" t="str">
        <f aca="false">IF(D3427&lt;&gt;"",IFERROR(VLOOKUP(D3427,PROVEEDORES!$A:$B,2,0),"!COD NO ENCONTRADO"),"")</f>
        <v/>
      </c>
      <c r="F3427" s="88" t="str">
        <f aca="false">IF(D3427&lt;&gt;"",IFERROR(VLOOKUP(D3427,PROVEEDORES!$A:$C,3,0),""),"")</f>
        <v/>
      </c>
      <c r="G3427" s="87"/>
      <c r="H3427" s="46" t="str">
        <f aca="false">IF(G3427&lt;&gt;"",IFERROR(VLOOKUP(G3427,PRODUCTOS!$A:$B,2,0),"!COD NO ENCONTRADO"),"")</f>
        <v/>
      </c>
      <c r="I3427" s="89"/>
      <c r="J3427" s="90"/>
      <c r="K3427" s="91"/>
      <c r="L3427" s="80" t="str">
        <f aca="false">IF(AND(J3427&lt;&gt;"",K3427&lt;&gt;""),J3427*K3427,"")</f>
        <v/>
      </c>
      <c r="M3427" s="81" t="str">
        <f aca="false">IF(L3427&lt;&gt;"",L3427*1.1,"")</f>
        <v/>
      </c>
      <c r="N3427" s="47" t="n">
        <f aca="false">IF(F3427="S",L3427*0.02,0)</f>
        <v>0</v>
      </c>
      <c r="O3427" s="82" t="str">
        <f aca="false">IF(L3427&lt;&gt;"",L3427+N3427,"")</f>
        <v/>
      </c>
      <c r="P3427" s="47" t="str">
        <f aca="false">IF(O3427&lt;&gt;"",O3427*0.1,"")</f>
        <v/>
      </c>
      <c r="Q3427" s="83" t="str">
        <f aca="false">IF(O3427&lt;&gt;"",O3427+P3427,"")</f>
        <v/>
      </c>
      <c r="R3427" s="84"/>
    </row>
    <row r="3428" customFormat="false" ht="15" hidden="false" customHeight="true" outlineLevel="0" collapsed="false">
      <c r="A3428" s="103"/>
      <c r="B3428" s="73"/>
      <c r="C3428" s="74"/>
      <c r="D3428" s="75"/>
      <c r="E3428" s="52" t="str">
        <f aca="false">IF(D3428&lt;&gt;"",IFERROR(VLOOKUP(D3428,PROVEEDORES!$A:$B,2,0),"!COD NO ENCONTRADO"),"")</f>
        <v/>
      </c>
      <c r="F3428" s="76" t="str">
        <f aca="false">IF(D3428&lt;&gt;"",IFERROR(VLOOKUP(D3428,PROVEEDORES!$A:$C,3,0),""),"")</f>
        <v/>
      </c>
      <c r="G3428" s="75"/>
      <c r="H3428" s="52" t="str">
        <f aca="false">IF(G3428&lt;&gt;"",IFERROR(VLOOKUP(G3428,PRODUCTOS!$A:$B,2,0),"!COD NO ENCONTRADO"),"")</f>
        <v/>
      </c>
      <c r="I3428" s="77"/>
      <c r="J3428" s="78"/>
      <c r="K3428" s="79"/>
      <c r="L3428" s="80" t="str">
        <f aca="false">IF(AND(J3428&lt;&gt;"",K3428&lt;&gt;""),J3428*K3428,"")</f>
        <v/>
      </c>
      <c r="M3428" s="81" t="str">
        <f aca="false">IF(L3428&lt;&gt;"",L3428*1.1,"")</f>
        <v/>
      </c>
      <c r="N3428" s="53" t="n">
        <f aca="false">IF(F3428="S",L3428*0.02,0)</f>
        <v>0</v>
      </c>
      <c r="O3428" s="82" t="str">
        <f aca="false">IF(L3428&lt;&gt;"",L3428+N3428,"")</f>
        <v/>
      </c>
      <c r="P3428" s="53" t="str">
        <f aca="false">IF(O3428&lt;&gt;"",O3428*0.1,"")</f>
        <v/>
      </c>
      <c r="Q3428" s="83" t="str">
        <f aca="false">IF(O3428&lt;&gt;"",O3428+P3428,"")</f>
        <v/>
      </c>
      <c r="R3428" s="84"/>
    </row>
    <row r="3429" customFormat="false" ht="15" hidden="false" customHeight="true" outlineLevel="0" collapsed="false">
      <c r="A3429" s="103"/>
      <c r="B3429" s="85"/>
      <c r="C3429" s="86"/>
      <c r="D3429" s="87"/>
      <c r="E3429" s="46" t="str">
        <f aca="false">IF(D3429&lt;&gt;"",IFERROR(VLOOKUP(D3429,PROVEEDORES!$A:$B,2,0),"!COD NO ENCONTRADO"),"")</f>
        <v/>
      </c>
      <c r="F3429" s="88" t="str">
        <f aca="false">IF(D3429&lt;&gt;"",IFERROR(VLOOKUP(D3429,PROVEEDORES!$A:$C,3,0),""),"")</f>
        <v/>
      </c>
      <c r="G3429" s="87"/>
      <c r="H3429" s="46" t="str">
        <f aca="false">IF(G3429&lt;&gt;"",IFERROR(VLOOKUP(G3429,PRODUCTOS!$A:$B,2,0),"!COD NO ENCONTRADO"),"")</f>
        <v/>
      </c>
      <c r="I3429" s="89"/>
      <c r="J3429" s="90"/>
      <c r="K3429" s="91"/>
      <c r="L3429" s="80" t="str">
        <f aca="false">IF(AND(J3429&lt;&gt;"",K3429&lt;&gt;""),J3429*K3429,"")</f>
        <v/>
      </c>
      <c r="M3429" s="81" t="str">
        <f aca="false">IF(L3429&lt;&gt;"",L3429*1.1,"")</f>
        <v/>
      </c>
      <c r="N3429" s="47" t="n">
        <f aca="false">IF(F3429="S",L3429*0.02,0)</f>
        <v>0</v>
      </c>
      <c r="O3429" s="82" t="str">
        <f aca="false">IF(L3429&lt;&gt;"",L3429+N3429,"")</f>
        <v/>
      </c>
      <c r="P3429" s="47" t="str">
        <f aca="false">IF(O3429&lt;&gt;"",O3429*0.1,"")</f>
        <v/>
      </c>
      <c r="Q3429" s="83" t="str">
        <f aca="false">IF(O3429&lt;&gt;"",O3429+P3429,"")</f>
        <v/>
      </c>
      <c r="R3429" s="84"/>
    </row>
    <row r="3430" customFormat="false" ht="15" hidden="false" customHeight="true" outlineLevel="0" collapsed="false">
      <c r="A3430" s="103"/>
      <c r="B3430" s="73"/>
      <c r="C3430" s="74"/>
      <c r="D3430" s="75"/>
      <c r="E3430" s="52" t="str">
        <f aca="false">IF(D3430&lt;&gt;"",IFERROR(VLOOKUP(D3430,PROVEEDORES!$A:$B,2,0),"!COD NO ENCONTRADO"),"")</f>
        <v/>
      </c>
      <c r="F3430" s="76" t="str">
        <f aca="false">IF(D3430&lt;&gt;"",IFERROR(VLOOKUP(D3430,PROVEEDORES!$A:$C,3,0),""),"")</f>
        <v/>
      </c>
      <c r="G3430" s="75"/>
      <c r="H3430" s="52" t="str">
        <f aca="false">IF(G3430&lt;&gt;"",IFERROR(VLOOKUP(G3430,PRODUCTOS!$A:$B,2,0),"!COD NO ENCONTRADO"),"")</f>
        <v/>
      </c>
      <c r="I3430" s="77"/>
      <c r="J3430" s="78"/>
      <c r="K3430" s="79"/>
      <c r="L3430" s="80" t="str">
        <f aca="false">IF(AND(J3430&lt;&gt;"",K3430&lt;&gt;""),J3430*K3430,"")</f>
        <v/>
      </c>
      <c r="M3430" s="81" t="str">
        <f aca="false">IF(L3430&lt;&gt;"",L3430*1.1,"")</f>
        <v/>
      </c>
      <c r="N3430" s="53" t="n">
        <f aca="false">IF(F3430="S",L3430*0.02,0)</f>
        <v>0</v>
      </c>
      <c r="O3430" s="82" t="str">
        <f aca="false">IF(L3430&lt;&gt;"",L3430+N3430,"")</f>
        <v/>
      </c>
      <c r="P3430" s="53" t="str">
        <f aca="false">IF(O3430&lt;&gt;"",O3430*0.1,"")</f>
        <v/>
      </c>
      <c r="Q3430" s="83" t="str">
        <f aca="false">IF(O3430&lt;&gt;"",O3430+P3430,"")</f>
        <v/>
      </c>
      <c r="R3430" s="84"/>
    </row>
    <row r="3431" customFormat="false" ht="15" hidden="false" customHeight="true" outlineLevel="0" collapsed="false">
      <c r="A3431" s="103"/>
      <c r="B3431" s="85"/>
      <c r="C3431" s="86"/>
      <c r="D3431" s="87"/>
      <c r="E3431" s="46" t="str">
        <f aca="false">IF(D3431&lt;&gt;"",IFERROR(VLOOKUP(D3431,PROVEEDORES!$A:$B,2,0),"!COD NO ENCONTRADO"),"")</f>
        <v/>
      </c>
      <c r="F3431" s="88" t="str">
        <f aca="false">IF(D3431&lt;&gt;"",IFERROR(VLOOKUP(D3431,PROVEEDORES!$A:$C,3,0),""),"")</f>
        <v/>
      </c>
      <c r="G3431" s="87"/>
      <c r="H3431" s="46" t="str">
        <f aca="false">IF(G3431&lt;&gt;"",IFERROR(VLOOKUP(G3431,PRODUCTOS!$A:$B,2,0),"!COD NO ENCONTRADO"),"")</f>
        <v/>
      </c>
      <c r="I3431" s="89"/>
      <c r="J3431" s="90"/>
      <c r="K3431" s="91"/>
      <c r="L3431" s="80" t="str">
        <f aca="false">IF(AND(J3431&lt;&gt;"",K3431&lt;&gt;""),J3431*K3431,"")</f>
        <v/>
      </c>
      <c r="M3431" s="81" t="str">
        <f aca="false">IF(L3431&lt;&gt;"",L3431*1.1,"")</f>
        <v/>
      </c>
      <c r="N3431" s="47" t="n">
        <f aca="false">IF(F3431="S",L3431*0.02,0)</f>
        <v>0</v>
      </c>
      <c r="O3431" s="82" t="str">
        <f aca="false">IF(L3431&lt;&gt;"",L3431+N3431,"")</f>
        <v/>
      </c>
      <c r="P3431" s="47" t="str">
        <f aca="false">IF(O3431&lt;&gt;"",O3431*0.1,"")</f>
        <v/>
      </c>
      <c r="Q3431" s="83" t="str">
        <f aca="false">IF(O3431&lt;&gt;"",O3431+P3431,"")</f>
        <v/>
      </c>
      <c r="R3431" s="84"/>
    </row>
    <row r="3432" customFormat="false" ht="15" hidden="false" customHeight="true" outlineLevel="0" collapsed="false">
      <c r="A3432" s="103"/>
      <c r="B3432" s="73"/>
      <c r="C3432" s="74"/>
      <c r="D3432" s="75"/>
      <c r="E3432" s="52" t="str">
        <f aca="false">IF(D3432&lt;&gt;"",IFERROR(VLOOKUP(D3432,PROVEEDORES!$A:$B,2,0),"!COD NO ENCONTRADO"),"")</f>
        <v/>
      </c>
      <c r="F3432" s="76" t="str">
        <f aca="false">IF(D3432&lt;&gt;"",IFERROR(VLOOKUP(D3432,PROVEEDORES!$A:$C,3,0),""),"")</f>
        <v/>
      </c>
      <c r="G3432" s="75"/>
      <c r="H3432" s="52" t="str">
        <f aca="false">IF(G3432&lt;&gt;"",IFERROR(VLOOKUP(G3432,PRODUCTOS!$A:$B,2,0),"!COD NO ENCONTRADO"),"")</f>
        <v/>
      </c>
      <c r="I3432" s="77"/>
      <c r="J3432" s="78"/>
      <c r="K3432" s="79"/>
      <c r="L3432" s="80" t="str">
        <f aca="false">IF(AND(J3432&lt;&gt;"",K3432&lt;&gt;""),J3432*K3432,"")</f>
        <v/>
      </c>
      <c r="M3432" s="81" t="str">
        <f aca="false">IF(L3432&lt;&gt;"",L3432*1.1,"")</f>
        <v/>
      </c>
      <c r="N3432" s="53" t="n">
        <f aca="false">IF(F3432="S",L3432*0.02,0)</f>
        <v>0</v>
      </c>
      <c r="O3432" s="82" t="str">
        <f aca="false">IF(L3432&lt;&gt;"",L3432+N3432,"")</f>
        <v/>
      </c>
      <c r="P3432" s="53" t="str">
        <f aca="false">IF(O3432&lt;&gt;"",O3432*0.1,"")</f>
        <v/>
      </c>
      <c r="Q3432" s="83" t="str">
        <f aca="false">IF(O3432&lt;&gt;"",O3432+P3432,"")</f>
        <v/>
      </c>
      <c r="R3432" s="84"/>
    </row>
    <row r="3433" customFormat="false" ht="15" hidden="false" customHeight="true" outlineLevel="0" collapsed="false">
      <c r="A3433" s="103"/>
      <c r="B3433" s="85"/>
      <c r="C3433" s="86"/>
      <c r="D3433" s="87"/>
      <c r="E3433" s="46" t="str">
        <f aca="false">IF(D3433&lt;&gt;"",IFERROR(VLOOKUP(D3433,PROVEEDORES!$A:$B,2,0),"!COD NO ENCONTRADO"),"")</f>
        <v/>
      </c>
      <c r="F3433" s="88" t="str">
        <f aca="false">IF(D3433&lt;&gt;"",IFERROR(VLOOKUP(D3433,PROVEEDORES!$A:$C,3,0),""),"")</f>
        <v/>
      </c>
      <c r="G3433" s="87"/>
      <c r="H3433" s="46" t="str">
        <f aca="false">IF(G3433&lt;&gt;"",IFERROR(VLOOKUP(G3433,PRODUCTOS!$A:$B,2,0),"!COD NO ENCONTRADO"),"")</f>
        <v/>
      </c>
      <c r="I3433" s="89"/>
      <c r="J3433" s="90"/>
      <c r="K3433" s="91"/>
      <c r="L3433" s="80" t="str">
        <f aca="false">IF(AND(J3433&lt;&gt;"",K3433&lt;&gt;""),J3433*K3433,"")</f>
        <v/>
      </c>
      <c r="M3433" s="81" t="str">
        <f aca="false">IF(L3433&lt;&gt;"",L3433*1.1,"")</f>
        <v/>
      </c>
      <c r="N3433" s="47" t="n">
        <f aca="false">IF(F3433="S",L3433*0.02,0)</f>
        <v>0</v>
      </c>
      <c r="O3433" s="82" t="str">
        <f aca="false">IF(L3433&lt;&gt;"",L3433+N3433,"")</f>
        <v/>
      </c>
      <c r="P3433" s="47" t="str">
        <f aca="false">IF(O3433&lt;&gt;"",O3433*0.1,"")</f>
        <v/>
      </c>
      <c r="Q3433" s="83" t="str">
        <f aca="false">IF(O3433&lt;&gt;"",O3433+P3433,"")</f>
        <v/>
      </c>
      <c r="R3433" s="84"/>
    </row>
    <row r="3434" customFormat="false" ht="15" hidden="false" customHeight="true" outlineLevel="0" collapsed="false">
      <c r="A3434" s="103"/>
      <c r="B3434" s="73"/>
      <c r="C3434" s="74"/>
      <c r="D3434" s="75"/>
      <c r="E3434" s="52" t="str">
        <f aca="false">IF(D3434&lt;&gt;"",IFERROR(VLOOKUP(D3434,PROVEEDORES!$A:$B,2,0),"!COD NO ENCONTRADO"),"")</f>
        <v/>
      </c>
      <c r="F3434" s="76" t="str">
        <f aca="false">IF(D3434&lt;&gt;"",IFERROR(VLOOKUP(D3434,PROVEEDORES!$A:$C,3,0),""),"")</f>
        <v/>
      </c>
      <c r="G3434" s="75"/>
      <c r="H3434" s="52" t="str">
        <f aca="false">IF(G3434&lt;&gt;"",IFERROR(VLOOKUP(G3434,PRODUCTOS!$A:$B,2,0),"!COD NO ENCONTRADO"),"")</f>
        <v/>
      </c>
      <c r="I3434" s="77"/>
      <c r="J3434" s="78"/>
      <c r="K3434" s="79"/>
      <c r="L3434" s="80" t="str">
        <f aca="false">IF(AND(J3434&lt;&gt;"",K3434&lt;&gt;""),J3434*K3434,"")</f>
        <v/>
      </c>
      <c r="M3434" s="81" t="str">
        <f aca="false">IF(L3434&lt;&gt;"",L3434*1.1,"")</f>
        <v/>
      </c>
      <c r="N3434" s="53" t="n">
        <f aca="false">IF(F3434="S",L3434*0.02,0)</f>
        <v>0</v>
      </c>
      <c r="O3434" s="82" t="str">
        <f aca="false">IF(L3434&lt;&gt;"",L3434+N3434,"")</f>
        <v/>
      </c>
      <c r="P3434" s="53" t="str">
        <f aca="false">IF(O3434&lt;&gt;"",O3434*0.1,"")</f>
        <v/>
      </c>
      <c r="Q3434" s="83" t="str">
        <f aca="false">IF(O3434&lt;&gt;"",O3434+P3434,"")</f>
        <v/>
      </c>
      <c r="R3434" s="84"/>
    </row>
    <row r="3435" customFormat="false" ht="15" hidden="false" customHeight="true" outlineLevel="0" collapsed="false">
      <c r="A3435" s="103"/>
      <c r="B3435" s="85"/>
      <c r="C3435" s="86"/>
      <c r="D3435" s="87"/>
      <c r="E3435" s="46" t="str">
        <f aca="false">IF(D3435&lt;&gt;"",IFERROR(VLOOKUP(D3435,PROVEEDORES!$A:$B,2,0),"!COD NO ENCONTRADO"),"")</f>
        <v/>
      </c>
      <c r="F3435" s="88" t="str">
        <f aca="false">IF(D3435&lt;&gt;"",IFERROR(VLOOKUP(D3435,PROVEEDORES!$A:$C,3,0),""),"")</f>
        <v/>
      </c>
      <c r="G3435" s="87"/>
      <c r="H3435" s="46" t="str">
        <f aca="false">IF(G3435&lt;&gt;"",IFERROR(VLOOKUP(G3435,PRODUCTOS!$A:$B,2,0),"!COD NO ENCONTRADO"),"")</f>
        <v/>
      </c>
      <c r="I3435" s="89"/>
      <c r="J3435" s="90"/>
      <c r="K3435" s="91"/>
      <c r="L3435" s="80" t="str">
        <f aca="false">IF(AND(J3435&lt;&gt;"",K3435&lt;&gt;""),J3435*K3435,"")</f>
        <v/>
      </c>
      <c r="M3435" s="81" t="str">
        <f aca="false">IF(L3435&lt;&gt;"",L3435*1.1,"")</f>
        <v/>
      </c>
      <c r="N3435" s="47" t="n">
        <f aca="false">IF(F3435="S",L3435*0.02,0)</f>
        <v>0</v>
      </c>
      <c r="O3435" s="82" t="str">
        <f aca="false">IF(L3435&lt;&gt;"",L3435+N3435,"")</f>
        <v/>
      </c>
      <c r="P3435" s="47" t="str">
        <f aca="false">IF(O3435&lt;&gt;"",O3435*0.1,"")</f>
        <v/>
      </c>
      <c r="Q3435" s="83" t="str">
        <f aca="false">IF(O3435&lt;&gt;"",O3435+P3435,"")</f>
        <v/>
      </c>
      <c r="R3435" s="84"/>
    </row>
    <row r="3436" customFormat="false" ht="15" hidden="false" customHeight="true" outlineLevel="0" collapsed="false">
      <c r="A3436" s="103"/>
      <c r="B3436" s="73"/>
      <c r="C3436" s="74"/>
      <c r="D3436" s="75"/>
      <c r="E3436" s="52" t="str">
        <f aca="false">IF(D3436&lt;&gt;"",IFERROR(VLOOKUP(D3436,PROVEEDORES!$A:$B,2,0),"!COD NO ENCONTRADO"),"")</f>
        <v/>
      </c>
      <c r="F3436" s="76" t="str">
        <f aca="false">IF(D3436&lt;&gt;"",IFERROR(VLOOKUP(D3436,PROVEEDORES!$A:$C,3,0),""),"")</f>
        <v/>
      </c>
      <c r="G3436" s="75"/>
      <c r="H3436" s="52" t="str">
        <f aca="false">IF(G3436&lt;&gt;"",IFERROR(VLOOKUP(G3436,PRODUCTOS!$A:$B,2,0),"!COD NO ENCONTRADO"),"")</f>
        <v/>
      </c>
      <c r="I3436" s="77"/>
      <c r="J3436" s="78"/>
      <c r="K3436" s="79"/>
      <c r="L3436" s="80" t="str">
        <f aca="false">IF(AND(J3436&lt;&gt;"",K3436&lt;&gt;""),J3436*K3436,"")</f>
        <v/>
      </c>
      <c r="M3436" s="81" t="str">
        <f aca="false">IF(L3436&lt;&gt;"",L3436*1.1,"")</f>
        <v/>
      </c>
      <c r="N3436" s="53" t="n">
        <f aca="false">IF(F3436="S",L3436*0.02,0)</f>
        <v>0</v>
      </c>
      <c r="O3436" s="82" t="str">
        <f aca="false">IF(L3436&lt;&gt;"",L3436+N3436,"")</f>
        <v/>
      </c>
      <c r="P3436" s="53" t="str">
        <f aca="false">IF(O3436&lt;&gt;"",O3436*0.1,"")</f>
        <v/>
      </c>
      <c r="Q3436" s="83" t="str">
        <f aca="false">IF(O3436&lt;&gt;"",O3436+P3436,"")</f>
        <v/>
      </c>
      <c r="R3436" s="84"/>
    </row>
    <row r="3437" customFormat="false" ht="15" hidden="false" customHeight="true" outlineLevel="0" collapsed="false">
      <c r="A3437" s="103"/>
      <c r="B3437" s="85"/>
      <c r="C3437" s="86"/>
      <c r="D3437" s="87"/>
      <c r="E3437" s="46" t="str">
        <f aca="false">IF(D3437&lt;&gt;"",IFERROR(VLOOKUP(D3437,PROVEEDORES!$A:$B,2,0),"!COD NO ENCONTRADO"),"")</f>
        <v/>
      </c>
      <c r="F3437" s="88" t="str">
        <f aca="false">IF(D3437&lt;&gt;"",IFERROR(VLOOKUP(D3437,PROVEEDORES!$A:$C,3,0),""),"")</f>
        <v/>
      </c>
      <c r="G3437" s="87"/>
      <c r="H3437" s="46" t="str">
        <f aca="false">IF(G3437&lt;&gt;"",IFERROR(VLOOKUP(G3437,PRODUCTOS!$A:$B,2,0),"!COD NO ENCONTRADO"),"")</f>
        <v/>
      </c>
      <c r="I3437" s="89"/>
      <c r="J3437" s="90"/>
      <c r="K3437" s="91"/>
      <c r="L3437" s="80" t="str">
        <f aca="false">IF(AND(J3437&lt;&gt;"",K3437&lt;&gt;""),J3437*K3437,"")</f>
        <v/>
      </c>
      <c r="M3437" s="81" t="str">
        <f aca="false">IF(L3437&lt;&gt;"",L3437*1.1,"")</f>
        <v/>
      </c>
      <c r="N3437" s="47" t="n">
        <f aca="false">IF(F3437="S",L3437*0.02,0)</f>
        <v>0</v>
      </c>
      <c r="O3437" s="82" t="str">
        <f aca="false">IF(L3437&lt;&gt;"",L3437+N3437,"")</f>
        <v/>
      </c>
      <c r="P3437" s="47" t="str">
        <f aca="false">IF(O3437&lt;&gt;"",O3437*0.1,"")</f>
        <v/>
      </c>
      <c r="Q3437" s="83" t="str">
        <f aca="false">IF(O3437&lt;&gt;"",O3437+P3437,"")</f>
        <v/>
      </c>
      <c r="R3437" s="84"/>
    </row>
    <row r="3438" customFormat="false" ht="15" hidden="false" customHeight="true" outlineLevel="0" collapsed="false">
      <c r="A3438" s="103"/>
      <c r="B3438" s="73"/>
      <c r="C3438" s="74"/>
      <c r="D3438" s="75"/>
      <c r="E3438" s="52" t="str">
        <f aca="false">IF(D3438&lt;&gt;"",IFERROR(VLOOKUP(D3438,PROVEEDORES!$A:$B,2,0),"!COD NO ENCONTRADO"),"")</f>
        <v/>
      </c>
      <c r="F3438" s="76" t="str">
        <f aca="false">IF(D3438&lt;&gt;"",IFERROR(VLOOKUP(D3438,PROVEEDORES!$A:$C,3,0),""),"")</f>
        <v/>
      </c>
      <c r="G3438" s="75"/>
      <c r="H3438" s="52" t="str">
        <f aca="false">IF(G3438&lt;&gt;"",IFERROR(VLOOKUP(G3438,PRODUCTOS!$A:$B,2,0),"!COD NO ENCONTRADO"),"")</f>
        <v/>
      </c>
      <c r="I3438" s="77"/>
      <c r="J3438" s="78"/>
      <c r="K3438" s="79"/>
      <c r="L3438" s="80" t="str">
        <f aca="false">IF(AND(J3438&lt;&gt;"",K3438&lt;&gt;""),J3438*K3438,"")</f>
        <v/>
      </c>
      <c r="M3438" s="81" t="str">
        <f aca="false">IF(L3438&lt;&gt;"",L3438*1.1,"")</f>
        <v/>
      </c>
      <c r="N3438" s="53" t="n">
        <f aca="false">IF(F3438="S",L3438*0.02,0)</f>
        <v>0</v>
      </c>
      <c r="O3438" s="82" t="str">
        <f aca="false">IF(L3438&lt;&gt;"",L3438+N3438,"")</f>
        <v/>
      </c>
      <c r="P3438" s="53" t="str">
        <f aca="false">IF(O3438&lt;&gt;"",O3438*0.1,"")</f>
        <v/>
      </c>
      <c r="Q3438" s="83" t="str">
        <f aca="false">IF(O3438&lt;&gt;"",O3438+P3438,"")</f>
        <v/>
      </c>
      <c r="R3438" s="84"/>
    </row>
    <row r="3439" customFormat="false" ht="15" hidden="false" customHeight="true" outlineLevel="0" collapsed="false">
      <c r="A3439" s="103"/>
      <c r="B3439" s="85"/>
      <c r="C3439" s="86"/>
      <c r="D3439" s="87"/>
      <c r="E3439" s="46" t="str">
        <f aca="false">IF(D3439&lt;&gt;"",IFERROR(VLOOKUP(D3439,PROVEEDORES!$A:$B,2,0),"!COD NO ENCONTRADO"),"")</f>
        <v/>
      </c>
      <c r="F3439" s="88" t="str">
        <f aca="false">IF(D3439&lt;&gt;"",IFERROR(VLOOKUP(D3439,PROVEEDORES!$A:$C,3,0),""),"")</f>
        <v/>
      </c>
      <c r="G3439" s="87"/>
      <c r="H3439" s="46" t="str">
        <f aca="false">IF(G3439&lt;&gt;"",IFERROR(VLOOKUP(G3439,PRODUCTOS!$A:$B,2,0),"!COD NO ENCONTRADO"),"")</f>
        <v/>
      </c>
      <c r="I3439" s="89"/>
      <c r="J3439" s="90"/>
      <c r="K3439" s="91"/>
      <c r="L3439" s="80" t="str">
        <f aca="false">IF(AND(J3439&lt;&gt;"",K3439&lt;&gt;""),J3439*K3439,"")</f>
        <v/>
      </c>
      <c r="M3439" s="81" t="str">
        <f aca="false">IF(L3439&lt;&gt;"",L3439*1.1,"")</f>
        <v/>
      </c>
      <c r="N3439" s="47" t="n">
        <f aca="false">IF(F3439="S",L3439*0.02,0)</f>
        <v>0</v>
      </c>
      <c r="O3439" s="82" t="str">
        <f aca="false">IF(L3439&lt;&gt;"",L3439+N3439,"")</f>
        <v/>
      </c>
      <c r="P3439" s="47" t="str">
        <f aca="false">IF(O3439&lt;&gt;"",O3439*0.1,"")</f>
        <v/>
      </c>
      <c r="Q3439" s="83" t="str">
        <f aca="false">IF(O3439&lt;&gt;"",O3439+P3439,"")</f>
        <v/>
      </c>
      <c r="R3439" s="84"/>
    </row>
    <row r="3440" customFormat="false" ht="15" hidden="false" customHeight="true" outlineLevel="0" collapsed="false">
      <c r="A3440" s="103"/>
      <c r="B3440" s="73"/>
      <c r="C3440" s="74"/>
      <c r="D3440" s="75"/>
      <c r="E3440" s="52" t="str">
        <f aca="false">IF(D3440&lt;&gt;"",IFERROR(VLOOKUP(D3440,PROVEEDORES!$A:$B,2,0),"!COD NO ENCONTRADO"),"")</f>
        <v/>
      </c>
      <c r="F3440" s="76" t="str">
        <f aca="false">IF(D3440&lt;&gt;"",IFERROR(VLOOKUP(D3440,PROVEEDORES!$A:$C,3,0),""),"")</f>
        <v/>
      </c>
      <c r="G3440" s="75"/>
      <c r="H3440" s="52" t="str">
        <f aca="false">IF(G3440&lt;&gt;"",IFERROR(VLOOKUP(G3440,PRODUCTOS!$A:$B,2,0),"!COD NO ENCONTRADO"),"")</f>
        <v/>
      </c>
      <c r="I3440" s="77"/>
      <c r="J3440" s="78"/>
      <c r="K3440" s="79"/>
      <c r="L3440" s="80" t="str">
        <f aca="false">IF(AND(J3440&lt;&gt;"",K3440&lt;&gt;""),J3440*K3440,"")</f>
        <v/>
      </c>
      <c r="M3440" s="81" t="str">
        <f aca="false">IF(L3440&lt;&gt;"",L3440*1.1,"")</f>
        <v/>
      </c>
      <c r="N3440" s="53" t="n">
        <f aca="false">IF(F3440="S",L3440*0.02,0)</f>
        <v>0</v>
      </c>
      <c r="O3440" s="82" t="str">
        <f aca="false">IF(L3440&lt;&gt;"",L3440+N3440,"")</f>
        <v/>
      </c>
      <c r="P3440" s="53" t="str">
        <f aca="false">IF(O3440&lt;&gt;"",O3440*0.1,"")</f>
        <v/>
      </c>
      <c r="Q3440" s="83" t="str">
        <f aca="false">IF(O3440&lt;&gt;"",O3440+P3440,"")</f>
        <v/>
      </c>
      <c r="R3440" s="84"/>
    </row>
    <row r="3441" customFormat="false" ht="15" hidden="false" customHeight="true" outlineLevel="0" collapsed="false">
      <c r="A3441" s="103"/>
      <c r="B3441" s="85"/>
      <c r="C3441" s="86"/>
      <c r="D3441" s="87"/>
      <c r="E3441" s="46" t="str">
        <f aca="false">IF(D3441&lt;&gt;"",IFERROR(VLOOKUP(D3441,PROVEEDORES!$A:$B,2,0),"!COD NO ENCONTRADO"),"")</f>
        <v/>
      </c>
      <c r="F3441" s="88" t="str">
        <f aca="false">IF(D3441&lt;&gt;"",IFERROR(VLOOKUP(D3441,PROVEEDORES!$A:$C,3,0),""),"")</f>
        <v/>
      </c>
      <c r="G3441" s="87"/>
      <c r="H3441" s="46" t="str">
        <f aca="false">IF(G3441&lt;&gt;"",IFERROR(VLOOKUP(G3441,PRODUCTOS!$A:$B,2,0),"!COD NO ENCONTRADO"),"")</f>
        <v/>
      </c>
      <c r="I3441" s="89"/>
      <c r="J3441" s="90"/>
      <c r="K3441" s="91"/>
      <c r="L3441" s="80" t="str">
        <f aca="false">IF(AND(J3441&lt;&gt;"",K3441&lt;&gt;""),J3441*K3441,"")</f>
        <v/>
      </c>
      <c r="M3441" s="81" t="str">
        <f aca="false">IF(L3441&lt;&gt;"",L3441*1.1,"")</f>
        <v/>
      </c>
      <c r="N3441" s="47" t="n">
        <f aca="false">IF(F3441="S",L3441*0.02,0)</f>
        <v>0</v>
      </c>
      <c r="O3441" s="82" t="str">
        <f aca="false">IF(L3441&lt;&gt;"",L3441+N3441,"")</f>
        <v/>
      </c>
      <c r="P3441" s="47" t="str">
        <f aca="false">IF(O3441&lt;&gt;"",O3441*0.1,"")</f>
        <v/>
      </c>
      <c r="Q3441" s="83" t="str">
        <f aca="false">IF(O3441&lt;&gt;"",O3441+P3441,"")</f>
        <v/>
      </c>
      <c r="R3441" s="84"/>
    </row>
    <row r="3442" customFormat="false" ht="15" hidden="false" customHeight="true" outlineLevel="0" collapsed="false">
      <c r="A3442" s="103"/>
      <c r="B3442" s="73"/>
      <c r="C3442" s="74"/>
      <c r="D3442" s="75"/>
      <c r="E3442" s="52" t="str">
        <f aca="false">IF(D3442&lt;&gt;"",IFERROR(VLOOKUP(D3442,PROVEEDORES!$A:$B,2,0),"!COD NO ENCONTRADO"),"")</f>
        <v/>
      </c>
      <c r="F3442" s="76" t="str">
        <f aca="false">IF(D3442&lt;&gt;"",IFERROR(VLOOKUP(D3442,PROVEEDORES!$A:$C,3,0),""),"")</f>
        <v/>
      </c>
      <c r="G3442" s="75"/>
      <c r="H3442" s="52" t="str">
        <f aca="false">IF(G3442&lt;&gt;"",IFERROR(VLOOKUP(G3442,PRODUCTOS!$A:$B,2,0),"!COD NO ENCONTRADO"),"")</f>
        <v/>
      </c>
      <c r="I3442" s="77"/>
      <c r="J3442" s="78"/>
      <c r="K3442" s="79"/>
      <c r="L3442" s="80" t="str">
        <f aca="false">IF(AND(J3442&lt;&gt;"",K3442&lt;&gt;""),J3442*K3442,"")</f>
        <v/>
      </c>
      <c r="M3442" s="81" t="str">
        <f aca="false">IF(L3442&lt;&gt;"",L3442*1.1,"")</f>
        <v/>
      </c>
      <c r="N3442" s="53" t="n">
        <f aca="false">IF(F3442="S",L3442*0.02,0)</f>
        <v>0</v>
      </c>
      <c r="O3442" s="82" t="str">
        <f aca="false">IF(L3442&lt;&gt;"",L3442+N3442,"")</f>
        <v/>
      </c>
      <c r="P3442" s="53" t="str">
        <f aca="false">IF(O3442&lt;&gt;"",O3442*0.1,"")</f>
        <v/>
      </c>
      <c r="Q3442" s="83" t="str">
        <f aca="false">IF(O3442&lt;&gt;"",O3442+P3442,"")</f>
        <v/>
      </c>
      <c r="R3442" s="84"/>
    </row>
    <row r="3443" customFormat="false" ht="15" hidden="false" customHeight="true" outlineLevel="0" collapsed="false">
      <c r="A3443" s="103"/>
      <c r="B3443" s="85"/>
      <c r="C3443" s="86"/>
      <c r="D3443" s="87"/>
      <c r="E3443" s="46" t="str">
        <f aca="false">IF(D3443&lt;&gt;"",IFERROR(VLOOKUP(D3443,PROVEEDORES!$A:$B,2,0),"!COD NO ENCONTRADO"),"")</f>
        <v/>
      </c>
      <c r="F3443" s="88" t="str">
        <f aca="false">IF(D3443&lt;&gt;"",IFERROR(VLOOKUP(D3443,PROVEEDORES!$A:$C,3,0),""),"")</f>
        <v/>
      </c>
      <c r="G3443" s="87"/>
      <c r="H3443" s="46" t="str">
        <f aca="false">IF(G3443&lt;&gt;"",IFERROR(VLOOKUP(G3443,PRODUCTOS!$A:$B,2,0),"!COD NO ENCONTRADO"),"")</f>
        <v/>
      </c>
      <c r="I3443" s="89"/>
      <c r="J3443" s="90"/>
      <c r="K3443" s="91"/>
      <c r="L3443" s="80" t="str">
        <f aca="false">IF(AND(J3443&lt;&gt;"",K3443&lt;&gt;""),J3443*K3443,"")</f>
        <v/>
      </c>
      <c r="M3443" s="81" t="str">
        <f aca="false">IF(L3443&lt;&gt;"",L3443*1.1,"")</f>
        <v/>
      </c>
      <c r="N3443" s="47" t="n">
        <f aca="false">IF(F3443="S",L3443*0.02,0)</f>
        <v>0</v>
      </c>
      <c r="O3443" s="82" t="str">
        <f aca="false">IF(L3443&lt;&gt;"",L3443+N3443,"")</f>
        <v/>
      </c>
      <c r="P3443" s="47" t="str">
        <f aca="false">IF(O3443&lt;&gt;"",O3443*0.1,"")</f>
        <v/>
      </c>
      <c r="Q3443" s="83" t="str">
        <f aca="false">IF(O3443&lt;&gt;"",O3443+P3443,"")</f>
        <v/>
      </c>
      <c r="R3443" s="84"/>
    </row>
    <row r="3444" customFormat="false" ht="15" hidden="false" customHeight="true" outlineLevel="0" collapsed="false">
      <c r="A3444" s="103"/>
      <c r="B3444" s="73"/>
      <c r="C3444" s="74"/>
      <c r="D3444" s="75"/>
      <c r="E3444" s="52" t="str">
        <f aca="false">IF(D3444&lt;&gt;"",IFERROR(VLOOKUP(D3444,PROVEEDORES!$A:$B,2,0),"!COD NO ENCONTRADO"),"")</f>
        <v/>
      </c>
      <c r="F3444" s="76" t="str">
        <f aca="false">IF(D3444&lt;&gt;"",IFERROR(VLOOKUP(D3444,PROVEEDORES!$A:$C,3,0),""),"")</f>
        <v/>
      </c>
      <c r="G3444" s="75"/>
      <c r="H3444" s="52" t="str">
        <f aca="false">IF(G3444&lt;&gt;"",IFERROR(VLOOKUP(G3444,PRODUCTOS!$A:$B,2,0),"!COD NO ENCONTRADO"),"")</f>
        <v/>
      </c>
      <c r="I3444" s="77"/>
      <c r="J3444" s="78"/>
      <c r="K3444" s="79"/>
      <c r="L3444" s="80" t="str">
        <f aca="false">IF(AND(J3444&lt;&gt;"",K3444&lt;&gt;""),J3444*K3444,"")</f>
        <v/>
      </c>
      <c r="M3444" s="81" t="str">
        <f aca="false">IF(L3444&lt;&gt;"",L3444*1.1,"")</f>
        <v/>
      </c>
      <c r="N3444" s="53" t="n">
        <f aca="false">IF(F3444="S",L3444*0.02,0)</f>
        <v>0</v>
      </c>
      <c r="O3444" s="82" t="str">
        <f aca="false">IF(L3444&lt;&gt;"",L3444+N3444,"")</f>
        <v/>
      </c>
      <c r="P3444" s="53" t="str">
        <f aca="false">IF(O3444&lt;&gt;"",O3444*0.1,"")</f>
        <v/>
      </c>
      <c r="Q3444" s="83" t="str">
        <f aca="false">IF(O3444&lt;&gt;"",O3444+P3444,"")</f>
        <v/>
      </c>
      <c r="R3444" s="84"/>
    </row>
    <row r="3445" customFormat="false" ht="15" hidden="false" customHeight="true" outlineLevel="0" collapsed="false">
      <c r="A3445" s="103"/>
      <c r="B3445" s="85"/>
      <c r="C3445" s="86"/>
      <c r="D3445" s="87"/>
      <c r="E3445" s="46" t="str">
        <f aca="false">IF(D3445&lt;&gt;"",IFERROR(VLOOKUP(D3445,PROVEEDORES!$A:$B,2,0),"!COD NO ENCONTRADO"),"")</f>
        <v/>
      </c>
      <c r="F3445" s="88" t="str">
        <f aca="false">IF(D3445&lt;&gt;"",IFERROR(VLOOKUP(D3445,PROVEEDORES!$A:$C,3,0),""),"")</f>
        <v/>
      </c>
      <c r="G3445" s="87"/>
      <c r="H3445" s="46" t="str">
        <f aca="false">IF(G3445&lt;&gt;"",IFERROR(VLOOKUP(G3445,PRODUCTOS!$A:$B,2,0),"!COD NO ENCONTRADO"),"")</f>
        <v/>
      </c>
      <c r="I3445" s="89"/>
      <c r="J3445" s="90"/>
      <c r="K3445" s="91"/>
      <c r="L3445" s="80" t="str">
        <f aca="false">IF(AND(J3445&lt;&gt;"",K3445&lt;&gt;""),J3445*K3445,"")</f>
        <v/>
      </c>
      <c r="M3445" s="81" t="str">
        <f aca="false">IF(L3445&lt;&gt;"",L3445*1.1,"")</f>
        <v/>
      </c>
      <c r="N3445" s="47" t="n">
        <f aca="false">IF(F3445="S",L3445*0.02,0)</f>
        <v>0</v>
      </c>
      <c r="O3445" s="82" t="str">
        <f aca="false">IF(L3445&lt;&gt;"",L3445+N3445,"")</f>
        <v/>
      </c>
      <c r="P3445" s="47" t="str">
        <f aca="false">IF(O3445&lt;&gt;"",O3445*0.1,"")</f>
        <v/>
      </c>
      <c r="Q3445" s="83" t="str">
        <f aca="false">IF(O3445&lt;&gt;"",O3445+P3445,"")</f>
        <v/>
      </c>
      <c r="R3445" s="84"/>
    </row>
    <row r="3446" customFormat="false" ht="15" hidden="false" customHeight="true" outlineLevel="0" collapsed="false">
      <c r="A3446" s="103"/>
      <c r="B3446" s="73"/>
      <c r="C3446" s="74"/>
      <c r="D3446" s="75"/>
      <c r="E3446" s="52" t="str">
        <f aca="false">IF(D3446&lt;&gt;"",IFERROR(VLOOKUP(D3446,PROVEEDORES!$A:$B,2,0),"!COD NO ENCONTRADO"),"")</f>
        <v/>
      </c>
      <c r="F3446" s="76" t="str">
        <f aca="false">IF(D3446&lt;&gt;"",IFERROR(VLOOKUP(D3446,PROVEEDORES!$A:$C,3,0),""),"")</f>
        <v/>
      </c>
      <c r="G3446" s="75"/>
      <c r="H3446" s="52" t="str">
        <f aca="false">IF(G3446&lt;&gt;"",IFERROR(VLOOKUP(G3446,PRODUCTOS!$A:$B,2,0),"!COD NO ENCONTRADO"),"")</f>
        <v/>
      </c>
      <c r="I3446" s="77"/>
      <c r="J3446" s="78"/>
      <c r="K3446" s="79"/>
      <c r="L3446" s="80" t="str">
        <f aca="false">IF(AND(J3446&lt;&gt;"",K3446&lt;&gt;""),J3446*K3446,"")</f>
        <v/>
      </c>
      <c r="M3446" s="81" t="str">
        <f aca="false">IF(L3446&lt;&gt;"",L3446*1.1,"")</f>
        <v/>
      </c>
      <c r="N3446" s="53" t="n">
        <f aca="false">IF(F3446="S",L3446*0.02,0)</f>
        <v>0</v>
      </c>
      <c r="O3446" s="82" t="str">
        <f aca="false">IF(L3446&lt;&gt;"",L3446+N3446,"")</f>
        <v/>
      </c>
      <c r="P3446" s="53" t="str">
        <f aca="false">IF(O3446&lt;&gt;"",O3446*0.1,"")</f>
        <v/>
      </c>
      <c r="Q3446" s="83" t="str">
        <f aca="false">IF(O3446&lt;&gt;"",O3446+P3446,"")</f>
        <v/>
      </c>
      <c r="R3446" s="84"/>
    </row>
    <row r="3447" customFormat="false" ht="15" hidden="false" customHeight="true" outlineLevel="0" collapsed="false">
      <c r="A3447" s="103"/>
      <c r="B3447" s="85"/>
      <c r="C3447" s="86"/>
      <c r="D3447" s="87"/>
      <c r="E3447" s="46" t="str">
        <f aca="false">IF(D3447&lt;&gt;"",IFERROR(VLOOKUP(D3447,PROVEEDORES!$A:$B,2,0),"!COD NO ENCONTRADO"),"")</f>
        <v/>
      </c>
      <c r="F3447" s="88" t="str">
        <f aca="false">IF(D3447&lt;&gt;"",IFERROR(VLOOKUP(D3447,PROVEEDORES!$A:$C,3,0),""),"")</f>
        <v/>
      </c>
      <c r="G3447" s="87"/>
      <c r="H3447" s="46" t="str">
        <f aca="false">IF(G3447&lt;&gt;"",IFERROR(VLOOKUP(G3447,PRODUCTOS!$A:$B,2,0),"!COD NO ENCONTRADO"),"")</f>
        <v/>
      </c>
      <c r="I3447" s="89"/>
      <c r="J3447" s="90"/>
      <c r="K3447" s="91"/>
      <c r="L3447" s="80" t="str">
        <f aca="false">IF(AND(J3447&lt;&gt;"",K3447&lt;&gt;""),J3447*K3447,"")</f>
        <v/>
      </c>
      <c r="M3447" s="81" t="str">
        <f aca="false">IF(L3447&lt;&gt;"",L3447*1.1,"")</f>
        <v/>
      </c>
      <c r="N3447" s="47" t="n">
        <f aca="false">IF(F3447="S",L3447*0.02,0)</f>
        <v>0</v>
      </c>
      <c r="O3447" s="82" t="str">
        <f aca="false">IF(L3447&lt;&gt;"",L3447+N3447,"")</f>
        <v/>
      </c>
      <c r="P3447" s="47" t="str">
        <f aca="false">IF(O3447&lt;&gt;"",O3447*0.1,"")</f>
        <v/>
      </c>
      <c r="Q3447" s="83" t="str">
        <f aca="false">IF(O3447&lt;&gt;"",O3447+P3447,"")</f>
        <v/>
      </c>
      <c r="R3447" s="84"/>
    </row>
    <row r="3448" customFormat="false" ht="15" hidden="false" customHeight="true" outlineLevel="0" collapsed="false">
      <c r="A3448" s="103"/>
      <c r="B3448" s="73"/>
      <c r="C3448" s="74"/>
      <c r="D3448" s="75"/>
      <c r="E3448" s="52" t="str">
        <f aca="false">IF(D3448&lt;&gt;"",IFERROR(VLOOKUP(D3448,PROVEEDORES!$A:$B,2,0),"!COD NO ENCONTRADO"),"")</f>
        <v/>
      </c>
      <c r="F3448" s="76" t="str">
        <f aca="false">IF(D3448&lt;&gt;"",IFERROR(VLOOKUP(D3448,PROVEEDORES!$A:$C,3,0),""),"")</f>
        <v/>
      </c>
      <c r="G3448" s="75"/>
      <c r="H3448" s="52" t="str">
        <f aca="false">IF(G3448&lt;&gt;"",IFERROR(VLOOKUP(G3448,PRODUCTOS!$A:$B,2,0),"!COD NO ENCONTRADO"),"")</f>
        <v/>
      </c>
      <c r="I3448" s="77"/>
      <c r="J3448" s="78"/>
      <c r="K3448" s="79"/>
      <c r="L3448" s="80" t="str">
        <f aca="false">IF(AND(J3448&lt;&gt;"",K3448&lt;&gt;""),J3448*K3448,"")</f>
        <v/>
      </c>
      <c r="M3448" s="81" t="str">
        <f aca="false">IF(L3448&lt;&gt;"",L3448*1.1,"")</f>
        <v/>
      </c>
      <c r="N3448" s="53" t="n">
        <f aca="false">IF(F3448="S",L3448*0.02,0)</f>
        <v>0</v>
      </c>
      <c r="O3448" s="82" t="str">
        <f aca="false">IF(L3448&lt;&gt;"",L3448+N3448,"")</f>
        <v/>
      </c>
      <c r="P3448" s="53" t="str">
        <f aca="false">IF(O3448&lt;&gt;"",O3448*0.1,"")</f>
        <v/>
      </c>
      <c r="Q3448" s="83" t="str">
        <f aca="false">IF(O3448&lt;&gt;"",O3448+P3448,"")</f>
        <v/>
      </c>
      <c r="R3448" s="84"/>
    </row>
    <row r="3449" customFormat="false" ht="15" hidden="false" customHeight="true" outlineLevel="0" collapsed="false">
      <c r="A3449" s="103"/>
      <c r="B3449" s="85"/>
      <c r="C3449" s="86"/>
      <c r="D3449" s="87"/>
      <c r="E3449" s="46" t="str">
        <f aca="false">IF(D3449&lt;&gt;"",IFERROR(VLOOKUP(D3449,PROVEEDORES!$A:$B,2,0),"!COD NO ENCONTRADO"),"")</f>
        <v/>
      </c>
      <c r="F3449" s="88" t="str">
        <f aca="false">IF(D3449&lt;&gt;"",IFERROR(VLOOKUP(D3449,PROVEEDORES!$A:$C,3,0),""),"")</f>
        <v/>
      </c>
      <c r="G3449" s="87"/>
      <c r="H3449" s="46" t="str">
        <f aca="false">IF(G3449&lt;&gt;"",IFERROR(VLOOKUP(G3449,PRODUCTOS!$A:$B,2,0),"!COD NO ENCONTRADO"),"")</f>
        <v/>
      </c>
      <c r="I3449" s="89"/>
      <c r="J3449" s="90"/>
      <c r="K3449" s="91"/>
      <c r="L3449" s="80" t="str">
        <f aca="false">IF(AND(J3449&lt;&gt;"",K3449&lt;&gt;""),J3449*K3449,"")</f>
        <v/>
      </c>
      <c r="M3449" s="81" t="str">
        <f aca="false">IF(L3449&lt;&gt;"",L3449*1.1,"")</f>
        <v/>
      </c>
      <c r="N3449" s="47" t="n">
        <f aca="false">IF(F3449="S",L3449*0.02,0)</f>
        <v>0</v>
      </c>
      <c r="O3449" s="82" t="str">
        <f aca="false">IF(L3449&lt;&gt;"",L3449+N3449,"")</f>
        <v/>
      </c>
      <c r="P3449" s="47" t="str">
        <f aca="false">IF(O3449&lt;&gt;"",O3449*0.1,"")</f>
        <v/>
      </c>
      <c r="Q3449" s="83" t="str">
        <f aca="false">IF(O3449&lt;&gt;"",O3449+P3449,"")</f>
        <v/>
      </c>
      <c r="R3449" s="84"/>
    </row>
    <row r="3450" customFormat="false" ht="15" hidden="false" customHeight="true" outlineLevel="0" collapsed="false">
      <c r="A3450" s="103"/>
      <c r="B3450" s="73"/>
      <c r="C3450" s="74"/>
      <c r="D3450" s="75"/>
      <c r="E3450" s="52" t="str">
        <f aca="false">IF(D3450&lt;&gt;"",IFERROR(VLOOKUP(D3450,PROVEEDORES!$A:$B,2,0),"!COD NO ENCONTRADO"),"")</f>
        <v/>
      </c>
      <c r="F3450" s="76" t="str">
        <f aca="false">IF(D3450&lt;&gt;"",IFERROR(VLOOKUP(D3450,PROVEEDORES!$A:$C,3,0),""),"")</f>
        <v/>
      </c>
      <c r="G3450" s="75"/>
      <c r="H3450" s="52" t="str">
        <f aca="false">IF(G3450&lt;&gt;"",IFERROR(VLOOKUP(G3450,PRODUCTOS!$A:$B,2,0),"!COD NO ENCONTRADO"),"")</f>
        <v/>
      </c>
      <c r="I3450" s="77"/>
      <c r="J3450" s="78"/>
      <c r="K3450" s="79"/>
      <c r="L3450" s="80" t="str">
        <f aca="false">IF(AND(J3450&lt;&gt;"",K3450&lt;&gt;""),J3450*K3450,"")</f>
        <v/>
      </c>
      <c r="M3450" s="81" t="str">
        <f aca="false">IF(L3450&lt;&gt;"",L3450*1.1,"")</f>
        <v/>
      </c>
      <c r="N3450" s="53" t="n">
        <f aca="false">IF(F3450="S",L3450*0.02,0)</f>
        <v>0</v>
      </c>
      <c r="O3450" s="82" t="str">
        <f aca="false">IF(L3450&lt;&gt;"",L3450+N3450,"")</f>
        <v/>
      </c>
      <c r="P3450" s="53" t="str">
        <f aca="false">IF(O3450&lt;&gt;"",O3450*0.1,"")</f>
        <v/>
      </c>
      <c r="Q3450" s="83" t="str">
        <f aca="false">IF(O3450&lt;&gt;"",O3450+P3450,"")</f>
        <v/>
      </c>
      <c r="R3450" s="84"/>
    </row>
    <row r="3451" customFormat="false" ht="15" hidden="false" customHeight="true" outlineLevel="0" collapsed="false">
      <c r="A3451" s="103"/>
      <c r="B3451" s="85"/>
      <c r="C3451" s="86"/>
      <c r="D3451" s="87"/>
      <c r="E3451" s="46" t="str">
        <f aca="false">IF(D3451&lt;&gt;"",IFERROR(VLOOKUP(D3451,PROVEEDORES!$A:$B,2,0),"!COD NO ENCONTRADO"),"")</f>
        <v/>
      </c>
      <c r="F3451" s="88" t="str">
        <f aca="false">IF(D3451&lt;&gt;"",IFERROR(VLOOKUP(D3451,PROVEEDORES!$A:$C,3,0),""),"")</f>
        <v/>
      </c>
      <c r="G3451" s="87"/>
      <c r="H3451" s="46" t="str">
        <f aca="false">IF(G3451&lt;&gt;"",IFERROR(VLOOKUP(G3451,PRODUCTOS!$A:$B,2,0),"!COD NO ENCONTRADO"),"")</f>
        <v/>
      </c>
      <c r="I3451" s="89"/>
      <c r="J3451" s="90"/>
      <c r="K3451" s="91"/>
      <c r="L3451" s="80" t="str">
        <f aca="false">IF(AND(J3451&lt;&gt;"",K3451&lt;&gt;""),J3451*K3451,"")</f>
        <v/>
      </c>
      <c r="M3451" s="81" t="str">
        <f aca="false">IF(L3451&lt;&gt;"",L3451*1.1,"")</f>
        <v/>
      </c>
      <c r="N3451" s="47" t="n">
        <f aca="false">IF(F3451="S",L3451*0.02,0)</f>
        <v>0</v>
      </c>
      <c r="O3451" s="82" t="str">
        <f aca="false">IF(L3451&lt;&gt;"",L3451+N3451,"")</f>
        <v/>
      </c>
      <c r="P3451" s="47" t="str">
        <f aca="false">IF(O3451&lt;&gt;"",O3451*0.1,"")</f>
        <v/>
      </c>
      <c r="Q3451" s="83" t="str">
        <f aca="false">IF(O3451&lt;&gt;"",O3451+P3451,"")</f>
        <v/>
      </c>
      <c r="R3451" s="84"/>
    </row>
    <row r="3452" customFormat="false" ht="15" hidden="false" customHeight="true" outlineLevel="0" collapsed="false">
      <c r="A3452" s="103"/>
      <c r="B3452" s="73"/>
      <c r="C3452" s="74"/>
      <c r="D3452" s="75"/>
      <c r="E3452" s="52" t="str">
        <f aca="false">IF(D3452&lt;&gt;"",IFERROR(VLOOKUP(D3452,PROVEEDORES!$A:$B,2,0),"!COD NO ENCONTRADO"),"")</f>
        <v/>
      </c>
      <c r="F3452" s="76" t="str">
        <f aca="false">IF(D3452&lt;&gt;"",IFERROR(VLOOKUP(D3452,PROVEEDORES!$A:$C,3,0),""),"")</f>
        <v/>
      </c>
      <c r="G3452" s="75"/>
      <c r="H3452" s="52" t="str">
        <f aca="false">IF(G3452&lt;&gt;"",IFERROR(VLOOKUP(G3452,PRODUCTOS!$A:$B,2,0),"!COD NO ENCONTRADO"),"")</f>
        <v/>
      </c>
      <c r="I3452" s="77"/>
      <c r="J3452" s="78"/>
      <c r="K3452" s="79"/>
      <c r="L3452" s="80" t="str">
        <f aca="false">IF(AND(J3452&lt;&gt;"",K3452&lt;&gt;""),J3452*K3452,"")</f>
        <v/>
      </c>
      <c r="M3452" s="81" t="str">
        <f aca="false">IF(L3452&lt;&gt;"",L3452*1.1,"")</f>
        <v/>
      </c>
      <c r="N3452" s="53" t="n">
        <f aca="false">IF(F3452="S",L3452*0.02,0)</f>
        <v>0</v>
      </c>
      <c r="O3452" s="82" t="str">
        <f aca="false">IF(L3452&lt;&gt;"",L3452+N3452,"")</f>
        <v/>
      </c>
      <c r="P3452" s="53" t="str">
        <f aca="false">IF(O3452&lt;&gt;"",O3452*0.1,"")</f>
        <v/>
      </c>
      <c r="Q3452" s="83" t="str">
        <f aca="false">IF(O3452&lt;&gt;"",O3452+P3452,"")</f>
        <v/>
      </c>
      <c r="R3452" s="84"/>
    </row>
    <row r="3453" customFormat="false" ht="15" hidden="false" customHeight="true" outlineLevel="0" collapsed="false">
      <c r="A3453" s="103"/>
      <c r="B3453" s="85"/>
      <c r="C3453" s="86"/>
      <c r="D3453" s="87"/>
      <c r="E3453" s="46" t="str">
        <f aca="false">IF(D3453&lt;&gt;"",IFERROR(VLOOKUP(D3453,PROVEEDORES!$A:$B,2,0),"!COD NO ENCONTRADO"),"")</f>
        <v/>
      </c>
      <c r="F3453" s="88" t="str">
        <f aca="false">IF(D3453&lt;&gt;"",IFERROR(VLOOKUP(D3453,PROVEEDORES!$A:$C,3,0),""),"")</f>
        <v/>
      </c>
      <c r="G3453" s="87"/>
      <c r="H3453" s="46" t="str">
        <f aca="false">IF(G3453&lt;&gt;"",IFERROR(VLOOKUP(G3453,PRODUCTOS!$A:$B,2,0),"!COD NO ENCONTRADO"),"")</f>
        <v/>
      </c>
      <c r="I3453" s="89"/>
      <c r="J3453" s="90"/>
      <c r="K3453" s="91"/>
      <c r="L3453" s="80" t="str">
        <f aca="false">IF(AND(J3453&lt;&gt;"",K3453&lt;&gt;""),J3453*K3453,"")</f>
        <v/>
      </c>
      <c r="M3453" s="81" t="str">
        <f aca="false">IF(L3453&lt;&gt;"",L3453*1.1,"")</f>
        <v/>
      </c>
      <c r="N3453" s="47" t="n">
        <f aca="false">IF(F3453="S",L3453*0.02,0)</f>
        <v>0</v>
      </c>
      <c r="O3453" s="82" t="str">
        <f aca="false">IF(L3453&lt;&gt;"",L3453+N3453,"")</f>
        <v/>
      </c>
      <c r="P3453" s="47" t="str">
        <f aca="false">IF(O3453&lt;&gt;"",O3453*0.1,"")</f>
        <v/>
      </c>
      <c r="Q3453" s="83" t="str">
        <f aca="false">IF(O3453&lt;&gt;"",O3453+P3453,"")</f>
        <v/>
      </c>
      <c r="R3453" s="84"/>
    </row>
    <row r="3454" customFormat="false" ht="15" hidden="false" customHeight="true" outlineLevel="0" collapsed="false">
      <c r="A3454" s="103"/>
      <c r="B3454" s="73"/>
      <c r="C3454" s="74"/>
      <c r="D3454" s="75"/>
      <c r="E3454" s="52" t="str">
        <f aca="false">IF(D3454&lt;&gt;"",IFERROR(VLOOKUP(D3454,PROVEEDORES!$A:$B,2,0),"!COD NO ENCONTRADO"),"")</f>
        <v/>
      </c>
      <c r="F3454" s="76" t="str">
        <f aca="false">IF(D3454&lt;&gt;"",IFERROR(VLOOKUP(D3454,PROVEEDORES!$A:$C,3,0),""),"")</f>
        <v/>
      </c>
      <c r="G3454" s="75"/>
      <c r="H3454" s="52" t="str">
        <f aca="false">IF(G3454&lt;&gt;"",IFERROR(VLOOKUP(G3454,PRODUCTOS!$A:$B,2,0),"!COD NO ENCONTRADO"),"")</f>
        <v/>
      </c>
      <c r="I3454" s="77"/>
      <c r="J3454" s="78"/>
      <c r="K3454" s="79"/>
      <c r="L3454" s="80" t="str">
        <f aca="false">IF(AND(J3454&lt;&gt;"",K3454&lt;&gt;""),J3454*K3454,"")</f>
        <v/>
      </c>
      <c r="M3454" s="81" t="str">
        <f aca="false">IF(L3454&lt;&gt;"",L3454*1.1,"")</f>
        <v/>
      </c>
      <c r="N3454" s="53" t="n">
        <f aca="false">IF(F3454="S",L3454*0.02,0)</f>
        <v>0</v>
      </c>
      <c r="O3454" s="82" t="str">
        <f aca="false">IF(L3454&lt;&gt;"",L3454+N3454,"")</f>
        <v/>
      </c>
      <c r="P3454" s="53" t="str">
        <f aca="false">IF(O3454&lt;&gt;"",O3454*0.1,"")</f>
        <v/>
      </c>
      <c r="Q3454" s="83" t="str">
        <f aca="false">IF(O3454&lt;&gt;"",O3454+P3454,"")</f>
        <v/>
      </c>
      <c r="R3454" s="84"/>
    </row>
    <row r="3455" customFormat="false" ht="15" hidden="false" customHeight="true" outlineLevel="0" collapsed="false">
      <c r="A3455" s="103"/>
      <c r="B3455" s="85"/>
      <c r="C3455" s="86"/>
      <c r="D3455" s="87"/>
      <c r="E3455" s="46" t="str">
        <f aca="false">IF(D3455&lt;&gt;"",IFERROR(VLOOKUP(D3455,PROVEEDORES!$A:$B,2,0),"!COD NO ENCONTRADO"),"")</f>
        <v/>
      </c>
      <c r="F3455" s="88" t="str">
        <f aca="false">IF(D3455&lt;&gt;"",IFERROR(VLOOKUP(D3455,PROVEEDORES!$A:$C,3,0),""),"")</f>
        <v/>
      </c>
      <c r="G3455" s="87"/>
      <c r="H3455" s="46" t="str">
        <f aca="false">IF(G3455&lt;&gt;"",IFERROR(VLOOKUP(G3455,PRODUCTOS!$A:$B,2,0),"!COD NO ENCONTRADO"),"")</f>
        <v/>
      </c>
      <c r="I3455" s="89"/>
      <c r="J3455" s="90"/>
      <c r="K3455" s="91"/>
      <c r="L3455" s="80" t="str">
        <f aca="false">IF(AND(J3455&lt;&gt;"",K3455&lt;&gt;""),J3455*K3455,"")</f>
        <v/>
      </c>
      <c r="M3455" s="81" t="str">
        <f aca="false">IF(L3455&lt;&gt;"",L3455*1.1,"")</f>
        <v/>
      </c>
      <c r="N3455" s="47" t="n">
        <f aca="false">IF(F3455="S",L3455*0.02,0)</f>
        <v>0</v>
      </c>
      <c r="O3455" s="82" t="str">
        <f aca="false">IF(L3455&lt;&gt;"",L3455+N3455,"")</f>
        <v/>
      </c>
      <c r="P3455" s="47" t="str">
        <f aca="false">IF(O3455&lt;&gt;"",O3455*0.1,"")</f>
        <v/>
      </c>
      <c r="Q3455" s="83" t="str">
        <f aca="false">IF(O3455&lt;&gt;"",O3455+P3455,"")</f>
        <v/>
      </c>
      <c r="R3455" s="84"/>
    </row>
    <row r="3456" customFormat="false" ht="15" hidden="false" customHeight="true" outlineLevel="0" collapsed="false">
      <c r="A3456" s="103"/>
      <c r="B3456" s="73"/>
      <c r="C3456" s="74"/>
      <c r="D3456" s="75"/>
      <c r="E3456" s="52" t="str">
        <f aca="false">IF(D3456&lt;&gt;"",IFERROR(VLOOKUP(D3456,PROVEEDORES!$A:$B,2,0),"!COD NO ENCONTRADO"),"")</f>
        <v/>
      </c>
      <c r="F3456" s="76" t="str">
        <f aca="false">IF(D3456&lt;&gt;"",IFERROR(VLOOKUP(D3456,PROVEEDORES!$A:$C,3,0),""),"")</f>
        <v/>
      </c>
      <c r="G3456" s="75"/>
      <c r="H3456" s="52" t="str">
        <f aca="false">IF(G3456&lt;&gt;"",IFERROR(VLOOKUP(G3456,PRODUCTOS!$A:$B,2,0),"!COD NO ENCONTRADO"),"")</f>
        <v/>
      </c>
      <c r="I3456" s="77"/>
      <c r="J3456" s="78"/>
      <c r="K3456" s="79"/>
      <c r="L3456" s="80" t="str">
        <f aca="false">IF(AND(J3456&lt;&gt;"",K3456&lt;&gt;""),J3456*K3456,"")</f>
        <v/>
      </c>
      <c r="M3456" s="81" t="str">
        <f aca="false">IF(L3456&lt;&gt;"",L3456*1.1,"")</f>
        <v/>
      </c>
      <c r="N3456" s="53" t="n">
        <f aca="false">IF(F3456="S",L3456*0.02,0)</f>
        <v>0</v>
      </c>
      <c r="O3456" s="82" t="str">
        <f aca="false">IF(L3456&lt;&gt;"",L3456+N3456,"")</f>
        <v/>
      </c>
      <c r="P3456" s="53" t="str">
        <f aca="false">IF(O3456&lt;&gt;"",O3456*0.1,"")</f>
        <v/>
      </c>
      <c r="Q3456" s="83" t="str">
        <f aca="false">IF(O3456&lt;&gt;"",O3456+P3456,"")</f>
        <v/>
      </c>
      <c r="R3456" s="84"/>
    </row>
    <row r="3457" customFormat="false" ht="15" hidden="false" customHeight="true" outlineLevel="0" collapsed="false">
      <c r="A3457" s="103"/>
      <c r="B3457" s="85"/>
      <c r="C3457" s="86"/>
      <c r="D3457" s="87"/>
      <c r="E3457" s="46" t="str">
        <f aca="false">IF(D3457&lt;&gt;"",IFERROR(VLOOKUP(D3457,PROVEEDORES!$A:$B,2,0),"!COD NO ENCONTRADO"),"")</f>
        <v/>
      </c>
      <c r="F3457" s="88" t="str">
        <f aca="false">IF(D3457&lt;&gt;"",IFERROR(VLOOKUP(D3457,PROVEEDORES!$A:$C,3,0),""),"")</f>
        <v/>
      </c>
      <c r="G3457" s="87"/>
      <c r="H3457" s="46" t="str">
        <f aca="false">IF(G3457&lt;&gt;"",IFERROR(VLOOKUP(G3457,PRODUCTOS!$A:$B,2,0),"!COD NO ENCONTRADO"),"")</f>
        <v/>
      </c>
      <c r="I3457" s="89"/>
      <c r="J3457" s="90"/>
      <c r="K3457" s="91"/>
      <c r="L3457" s="80" t="str">
        <f aca="false">IF(AND(J3457&lt;&gt;"",K3457&lt;&gt;""),J3457*K3457,"")</f>
        <v/>
      </c>
      <c r="M3457" s="81" t="str">
        <f aca="false">IF(L3457&lt;&gt;"",L3457*1.1,"")</f>
        <v/>
      </c>
      <c r="N3457" s="47" t="n">
        <f aca="false">IF(F3457="S",L3457*0.02,0)</f>
        <v>0</v>
      </c>
      <c r="O3457" s="82" t="str">
        <f aca="false">IF(L3457&lt;&gt;"",L3457+N3457,"")</f>
        <v/>
      </c>
      <c r="P3457" s="47" t="str">
        <f aca="false">IF(O3457&lt;&gt;"",O3457*0.1,"")</f>
        <v/>
      </c>
      <c r="Q3457" s="83" t="str">
        <f aca="false">IF(O3457&lt;&gt;"",O3457+P3457,"")</f>
        <v/>
      </c>
      <c r="R3457" s="84"/>
    </row>
    <row r="3458" customFormat="false" ht="15" hidden="false" customHeight="true" outlineLevel="0" collapsed="false">
      <c r="A3458" s="103"/>
      <c r="B3458" s="73"/>
      <c r="C3458" s="74"/>
      <c r="D3458" s="75"/>
      <c r="E3458" s="52" t="str">
        <f aca="false">IF(D3458&lt;&gt;"",IFERROR(VLOOKUP(D3458,PROVEEDORES!$A:$B,2,0),"!COD NO ENCONTRADO"),"")</f>
        <v/>
      </c>
      <c r="F3458" s="76" t="str">
        <f aca="false">IF(D3458&lt;&gt;"",IFERROR(VLOOKUP(D3458,PROVEEDORES!$A:$C,3,0),""),"")</f>
        <v/>
      </c>
      <c r="G3458" s="75"/>
      <c r="H3458" s="52" t="str">
        <f aca="false">IF(G3458&lt;&gt;"",IFERROR(VLOOKUP(G3458,PRODUCTOS!$A:$B,2,0),"!COD NO ENCONTRADO"),"")</f>
        <v/>
      </c>
      <c r="I3458" s="77"/>
      <c r="J3458" s="78"/>
      <c r="K3458" s="79"/>
      <c r="L3458" s="80" t="str">
        <f aca="false">IF(AND(J3458&lt;&gt;"",K3458&lt;&gt;""),J3458*K3458,"")</f>
        <v/>
      </c>
      <c r="M3458" s="81" t="str">
        <f aca="false">IF(L3458&lt;&gt;"",L3458*1.1,"")</f>
        <v/>
      </c>
      <c r="N3458" s="53" t="n">
        <f aca="false">IF(F3458="S",L3458*0.02,0)</f>
        <v>0</v>
      </c>
      <c r="O3458" s="82" t="str">
        <f aca="false">IF(L3458&lt;&gt;"",L3458+N3458,"")</f>
        <v/>
      </c>
      <c r="P3458" s="53" t="str">
        <f aca="false">IF(O3458&lt;&gt;"",O3458*0.1,"")</f>
        <v/>
      </c>
      <c r="Q3458" s="83" t="str">
        <f aca="false">IF(O3458&lt;&gt;"",O3458+P3458,"")</f>
        <v/>
      </c>
      <c r="R3458" s="84"/>
    </row>
    <row r="3459" customFormat="false" ht="15" hidden="false" customHeight="true" outlineLevel="0" collapsed="false">
      <c r="A3459" s="103"/>
      <c r="B3459" s="85"/>
      <c r="C3459" s="86"/>
      <c r="D3459" s="87"/>
      <c r="E3459" s="46" t="str">
        <f aca="false">IF(D3459&lt;&gt;"",IFERROR(VLOOKUP(D3459,PROVEEDORES!$A:$B,2,0),"!COD NO ENCONTRADO"),"")</f>
        <v/>
      </c>
      <c r="F3459" s="88" t="str">
        <f aca="false">IF(D3459&lt;&gt;"",IFERROR(VLOOKUP(D3459,PROVEEDORES!$A:$C,3,0),""),"")</f>
        <v/>
      </c>
      <c r="G3459" s="87"/>
      <c r="H3459" s="46" t="str">
        <f aca="false">IF(G3459&lt;&gt;"",IFERROR(VLOOKUP(G3459,PRODUCTOS!$A:$B,2,0),"!COD NO ENCONTRADO"),"")</f>
        <v/>
      </c>
      <c r="I3459" s="89"/>
      <c r="J3459" s="90"/>
      <c r="K3459" s="91"/>
      <c r="L3459" s="80" t="str">
        <f aca="false">IF(AND(J3459&lt;&gt;"",K3459&lt;&gt;""),J3459*K3459,"")</f>
        <v/>
      </c>
      <c r="M3459" s="81" t="str">
        <f aca="false">IF(L3459&lt;&gt;"",L3459*1.1,"")</f>
        <v/>
      </c>
      <c r="N3459" s="47" t="n">
        <f aca="false">IF(F3459="S",L3459*0.02,0)</f>
        <v>0</v>
      </c>
      <c r="O3459" s="82" t="str">
        <f aca="false">IF(L3459&lt;&gt;"",L3459+N3459,"")</f>
        <v/>
      </c>
      <c r="P3459" s="47" t="str">
        <f aca="false">IF(O3459&lt;&gt;"",O3459*0.1,"")</f>
        <v/>
      </c>
      <c r="Q3459" s="83" t="str">
        <f aca="false">IF(O3459&lt;&gt;"",O3459+P3459,"")</f>
        <v/>
      </c>
      <c r="R3459" s="84"/>
    </row>
    <row r="3460" customFormat="false" ht="15" hidden="false" customHeight="true" outlineLevel="0" collapsed="false">
      <c r="A3460" s="103"/>
      <c r="B3460" s="73"/>
      <c r="C3460" s="74"/>
      <c r="D3460" s="75"/>
      <c r="E3460" s="52" t="str">
        <f aca="false">IF(D3460&lt;&gt;"",IFERROR(VLOOKUP(D3460,PROVEEDORES!$A:$B,2,0),"!COD NO ENCONTRADO"),"")</f>
        <v/>
      </c>
      <c r="F3460" s="76" t="str">
        <f aca="false">IF(D3460&lt;&gt;"",IFERROR(VLOOKUP(D3460,PROVEEDORES!$A:$C,3,0),""),"")</f>
        <v/>
      </c>
      <c r="G3460" s="75"/>
      <c r="H3460" s="52" t="str">
        <f aca="false">IF(G3460&lt;&gt;"",IFERROR(VLOOKUP(G3460,PRODUCTOS!$A:$B,2,0),"!COD NO ENCONTRADO"),"")</f>
        <v/>
      </c>
      <c r="I3460" s="77"/>
      <c r="J3460" s="78"/>
      <c r="K3460" s="79"/>
      <c r="L3460" s="80" t="str">
        <f aca="false">IF(AND(J3460&lt;&gt;"",K3460&lt;&gt;""),J3460*K3460,"")</f>
        <v/>
      </c>
      <c r="M3460" s="81" t="str">
        <f aca="false">IF(L3460&lt;&gt;"",L3460*1.1,"")</f>
        <v/>
      </c>
      <c r="N3460" s="53" t="n">
        <f aca="false">IF(F3460="S",L3460*0.02,0)</f>
        <v>0</v>
      </c>
      <c r="O3460" s="82" t="str">
        <f aca="false">IF(L3460&lt;&gt;"",L3460+N3460,"")</f>
        <v/>
      </c>
      <c r="P3460" s="53" t="str">
        <f aca="false">IF(O3460&lt;&gt;"",O3460*0.1,"")</f>
        <v/>
      </c>
      <c r="Q3460" s="83" t="str">
        <f aca="false">IF(O3460&lt;&gt;"",O3460+P3460,"")</f>
        <v/>
      </c>
      <c r="R3460" s="84"/>
    </row>
    <row r="3461" customFormat="false" ht="15" hidden="false" customHeight="true" outlineLevel="0" collapsed="false">
      <c r="A3461" s="103"/>
      <c r="B3461" s="85"/>
      <c r="C3461" s="86"/>
      <c r="D3461" s="87"/>
      <c r="E3461" s="46" t="str">
        <f aca="false">IF(D3461&lt;&gt;"",IFERROR(VLOOKUP(D3461,PROVEEDORES!$A:$B,2,0),"!COD NO ENCONTRADO"),"")</f>
        <v/>
      </c>
      <c r="F3461" s="88" t="str">
        <f aca="false">IF(D3461&lt;&gt;"",IFERROR(VLOOKUP(D3461,PROVEEDORES!$A:$C,3,0),""),"")</f>
        <v/>
      </c>
      <c r="G3461" s="87"/>
      <c r="H3461" s="46" t="str">
        <f aca="false">IF(G3461&lt;&gt;"",IFERROR(VLOOKUP(G3461,PRODUCTOS!$A:$B,2,0),"!COD NO ENCONTRADO"),"")</f>
        <v/>
      </c>
      <c r="I3461" s="89"/>
      <c r="J3461" s="90"/>
      <c r="K3461" s="91"/>
      <c r="L3461" s="80" t="str">
        <f aca="false">IF(AND(J3461&lt;&gt;"",K3461&lt;&gt;""),J3461*K3461,"")</f>
        <v/>
      </c>
      <c r="M3461" s="81" t="str">
        <f aca="false">IF(L3461&lt;&gt;"",L3461*1.1,"")</f>
        <v/>
      </c>
      <c r="N3461" s="47" t="n">
        <f aca="false">IF(F3461="S",L3461*0.02,0)</f>
        <v>0</v>
      </c>
      <c r="O3461" s="82" t="str">
        <f aca="false">IF(L3461&lt;&gt;"",L3461+N3461,"")</f>
        <v/>
      </c>
      <c r="P3461" s="47" t="str">
        <f aca="false">IF(O3461&lt;&gt;"",O3461*0.1,"")</f>
        <v/>
      </c>
      <c r="Q3461" s="83" t="str">
        <f aca="false">IF(O3461&lt;&gt;"",O3461+P3461,"")</f>
        <v/>
      </c>
      <c r="R3461" s="84"/>
    </row>
    <row r="3462" customFormat="false" ht="15" hidden="false" customHeight="true" outlineLevel="0" collapsed="false">
      <c r="A3462" s="103"/>
      <c r="B3462" s="73"/>
      <c r="C3462" s="74"/>
      <c r="D3462" s="75"/>
      <c r="E3462" s="52" t="str">
        <f aca="false">IF(D3462&lt;&gt;"",IFERROR(VLOOKUP(D3462,PROVEEDORES!$A:$B,2,0),"!COD NO ENCONTRADO"),"")</f>
        <v/>
      </c>
      <c r="F3462" s="76" t="str">
        <f aca="false">IF(D3462&lt;&gt;"",IFERROR(VLOOKUP(D3462,PROVEEDORES!$A:$C,3,0),""),"")</f>
        <v/>
      </c>
      <c r="G3462" s="75"/>
      <c r="H3462" s="52" t="str">
        <f aca="false">IF(G3462&lt;&gt;"",IFERROR(VLOOKUP(G3462,PRODUCTOS!$A:$B,2,0),"!COD NO ENCONTRADO"),"")</f>
        <v/>
      </c>
      <c r="I3462" s="77"/>
      <c r="J3462" s="78"/>
      <c r="K3462" s="79"/>
      <c r="L3462" s="80" t="str">
        <f aca="false">IF(AND(J3462&lt;&gt;"",K3462&lt;&gt;""),J3462*K3462,"")</f>
        <v/>
      </c>
      <c r="M3462" s="81" t="str">
        <f aca="false">IF(L3462&lt;&gt;"",L3462*1.1,"")</f>
        <v/>
      </c>
      <c r="N3462" s="53" t="n">
        <f aca="false">IF(F3462="S",L3462*0.02,0)</f>
        <v>0</v>
      </c>
      <c r="O3462" s="82" t="str">
        <f aca="false">IF(L3462&lt;&gt;"",L3462+N3462,"")</f>
        <v/>
      </c>
      <c r="P3462" s="53" t="str">
        <f aca="false">IF(O3462&lt;&gt;"",O3462*0.1,"")</f>
        <v/>
      </c>
      <c r="Q3462" s="83" t="str">
        <f aca="false">IF(O3462&lt;&gt;"",O3462+P3462,"")</f>
        <v/>
      </c>
      <c r="R3462" s="84"/>
    </row>
    <row r="3463" customFormat="false" ht="15" hidden="false" customHeight="true" outlineLevel="0" collapsed="false">
      <c r="A3463" s="103"/>
      <c r="B3463" s="85"/>
      <c r="C3463" s="86"/>
      <c r="D3463" s="87"/>
      <c r="E3463" s="46" t="str">
        <f aca="false">IF(D3463&lt;&gt;"",IFERROR(VLOOKUP(D3463,PROVEEDORES!$A:$B,2,0),"!COD NO ENCONTRADO"),"")</f>
        <v/>
      </c>
      <c r="F3463" s="88" t="str">
        <f aca="false">IF(D3463&lt;&gt;"",IFERROR(VLOOKUP(D3463,PROVEEDORES!$A:$C,3,0),""),"")</f>
        <v/>
      </c>
      <c r="G3463" s="87"/>
      <c r="H3463" s="46" t="str">
        <f aca="false">IF(G3463&lt;&gt;"",IFERROR(VLOOKUP(G3463,PRODUCTOS!$A:$B,2,0),"!COD NO ENCONTRADO"),"")</f>
        <v/>
      </c>
      <c r="I3463" s="89"/>
      <c r="J3463" s="90"/>
      <c r="K3463" s="91"/>
      <c r="L3463" s="80" t="str">
        <f aca="false">IF(AND(J3463&lt;&gt;"",K3463&lt;&gt;""),J3463*K3463,"")</f>
        <v/>
      </c>
      <c r="M3463" s="81" t="str">
        <f aca="false">IF(L3463&lt;&gt;"",L3463*1.1,"")</f>
        <v/>
      </c>
      <c r="N3463" s="47" t="n">
        <f aca="false">IF(F3463="S",L3463*0.02,0)</f>
        <v>0</v>
      </c>
      <c r="O3463" s="82" t="str">
        <f aca="false">IF(L3463&lt;&gt;"",L3463+N3463,"")</f>
        <v/>
      </c>
      <c r="P3463" s="47" t="str">
        <f aca="false">IF(O3463&lt;&gt;"",O3463*0.1,"")</f>
        <v/>
      </c>
      <c r="Q3463" s="83" t="str">
        <f aca="false">IF(O3463&lt;&gt;"",O3463+P3463,"")</f>
        <v/>
      </c>
      <c r="R3463" s="84"/>
    </row>
    <row r="3464" customFormat="false" ht="15" hidden="false" customHeight="true" outlineLevel="0" collapsed="false">
      <c r="A3464" s="103"/>
      <c r="B3464" s="73"/>
      <c r="C3464" s="74"/>
      <c r="D3464" s="75"/>
      <c r="E3464" s="52" t="str">
        <f aca="false">IF(D3464&lt;&gt;"",IFERROR(VLOOKUP(D3464,PROVEEDORES!$A:$B,2,0),"!COD NO ENCONTRADO"),"")</f>
        <v/>
      </c>
      <c r="F3464" s="76" t="str">
        <f aca="false">IF(D3464&lt;&gt;"",IFERROR(VLOOKUP(D3464,PROVEEDORES!$A:$C,3,0),""),"")</f>
        <v/>
      </c>
      <c r="G3464" s="75"/>
      <c r="H3464" s="52" t="str">
        <f aca="false">IF(G3464&lt;&gt;"",IFERROR(VLOOKUP(G3464,PRODUCTOS!$A:$B,2,0),"!COD NO ENCONTRADO"),"")</f>
        <v/>
      </c>
      <c r="I3464" s="77"/>
      <c r="J3464" s="78"/>
      <c r="K3464" s="79"/>
      <c r="L3464" s="80" t="str">
        <f aca="false">IF(AND(J3464&lt;&gt;"",K3464&lt;&gt;""),J3464*K3464,"")</f>
        <v/>
      </c>
      <c r="M3464" s="81" t="str">
        <f aca="false">IF(L3464&lt;&gt;"",L3464*1.1,"")</f>
        <v/>
      </c>
      <c r="N3464" s="53" t="n">
        <f aca="false">IF(F3464="S",L3464*0.02,0)</f>
        <v>0</v>
      </c>
      <c r="O3464" s="82" t="str">
        <f aca="false">IF(L3464&lt;&gt;"",L3464+N3464,"")</f>
        <v/>
      </c>
      <c r="P3464" s="53" t="str">
        <f aca="false">IF(O3464&lt;&gt;"",O3464*0.1,"")</f>
        <v/>
      </c>
      <c r="Q3464" s="83" t="str">
        <f aca="false">IF(O3464&lt;&gt;"",O3464+P3464,"")</f>
        <v/>
      </c>
      <c r="R3464" s="84"/>
    </row>
    <row r="3465" customFormat="false" ht="15" hidden="false" customHeight="true" outlineLevel="0" collapsed="false">
      <c r="A3465" s="103"/>
      <c r="B3465" s="85"/>
      <c r="C3465" s="86"/>
      <c r="D3465" s="87"/>
      <c r="E3465" s="46" t="str">
        <f aca="false">IF(D3465&lt;&gt;"",IFERROR(VLOOKUP(D3465,PROVEEDORES!$A:$B,2,0),"!COD NO ENCONTRADO"),"")</f>
        <v/>
      </c>
      <c r="F3465" s="88" t="str">
        <f aca="false">IF(D3465&lt;&gt;"",IFERROR(VLOOKUP(D3465,PROVEEDORES!$A:$C,3,0),""),"")</f>
        <v/>
      </c>
      <c r="G3465" s="87"/>
      <c r="H3465" s="46" t="str">
        <f aca="false">IF(G3465&lt;&gt;"",IFERROR(VLOOKUP(G3465,PRODUCTOS!$A:$B,2,0),"!COD NO ENCONTRADO"),"")</f>
        <v/>
      </c>
      <c r="I3465" s="89"/>
      <c r="J3465" s="90"/>
      <c r="K3465" s="91"/>
      <c r="L3465" s="80" t="str">
        <f aca="false">IF(AND(J3465&lt;&gt;"",K3465&lt;&gt;""),J3465*K3465,"")</f>
        <v/>
      </c>
      <c r="M3465" s="81" t="str">
        <f aca="false">IF(L3465&lt;&gt;"",L3465*1.1,"")</f>
        <v/>
      </c>
      <c r="N3465" s="47" t="n">
        <f aca="false">IF(F3465="S",L3465*0.02,0)</f>
        <v>0</v>
      </c>
      <c r="O3465" s="82" t="str">
        <f aca="false">IF(L3465&lt;&gt;"",L3465+N3465,"")</f>
        <v/>
      </c>
      <c r="P3465" s="47" t="str">
        <f aca="false">IF(O3465&lt;&gt;"",O3465*0.1,"")</f>
        <v/>
      </c>
      <c r="Q3465" s="83" t="str">
        <f aca="false">IF(O3465&lt;&gt;"",O3465+P3465,"")</f>
        <v/>
      </c>
      <c r="R3465" s="84"/>
    </row>
    <row r="3466" customFormat="false" ht="15" hidden="false" customHeight="true" outlineLevel="0" collapsed="false">
      <c r="A3466" s="103"/>
      <c r="B3466" s="73"/>
      <c r="C3466" s="74"/>
      <c r="D3466" s="75"/>
      <c r="E3466" s="52" t="str">
        <f aca="false">IF(D3466&lt;&gt;"",IFERROR(VLOOKUP(D3466,PROVEEDORES!$A:$B,2,0),"!COD NO ENCONTRADO"),"")</f>
        <v/>
      </c>
      <c r="F3466" s="76" t="str">
        <f aca="false">IF(D3466&lt;&gt;"",IFERROR(VLOOKUP(D3466,PROVEEDORES!$A:$C,3,0),""),"")</f>
        <v/>
      </c>
      <c r="G3466" s="75"/>
      <c r="H3466" s="52" t="str">
        <f aca="false">IF(G3466&lt;&gt;"",IFERROR(VLOOKUP(G3466,PRODUCTOS!$A:$B,2,0),"!COD NO ENCONTRADO"),"")</f>
        <v/>
      </c>
      <c r="I3466" s="77"/>
      <c r="J3466" s="78"/>
      <c r="K3466" s="79"/>
      <c r="L3466" s="80" t="str">
        <f aca="false">IF(AND(J3466&lt;&gt;"",K3466&lt;&gt;""),J3466*K3466,"")</f>
        <v/>
      </c>
      <c r="M3466" s="81" t="str">
        <f aca="false">IF(L3466&lt;&gt;"",L3466*1.1,"")</f>
        <v/>
      </c>
      <c r="N3466" s="53" t="n">
        <f aca="false">IF(F3466="S",L3466*0.02,0)</f>
        <v>0</v>
      </c>
      <c r="O3466" s="82" t="str">
        <f aca="false">IF(L3466&lt;&gt;"",L3466+N3466,"")</f>
        <v/>
      </c>
      <c r="P3466" s="53" t="str">
        <f aca="false">IF(O3466&lt;&gt;"",O3466*0.1,"")</f>
        <v/>
      </c>
      <c r="Q3466" s="83" t="str">
        <f aca="false">IF(O3466&lt;&gt;"",O3466+P3466,"")</f>
        <v/>
      </c>
      <c r="R3466" s="84"/>
    </row>
    <row r="3467" customFormat="false" ht="15" hidden="false" customHeight="true" outlineLevel="0" collapsed="false">
      <c r="A3467" s="103"/>
      <c r="B3467" s="85"/>
      <c r="C3467" s="86"/>
      <c r="D3467" s="87"/>
      <c r="E3467" s="46" t="str">
        <f aca="false">IF(D3467&lt;&gt;"",IFERROR(VLOOKUP(D3467,PROVEEDORES!$A:$B,2,0),"!COD NO ENCONTRADO"),"")</f>
        <v/>
      </c>
      <c r="F3467" s="88" t="str">
        <f aca="false">IF(D3467&lt;&gt;"",IFERROR(VLOOKUP(D3467,PROVEEDORES!$A:$C,3,0),""),"")</f>
        <v/>
      </c>
      <c r="G3467" s="87"/>
      <c r="H3467" s="46" t="str">
        <f aca="false">IF(G3467&lt;&gt;"",IFERROR(VLOOKUP(G3467,PRODUCTOS!$A:$B,2,0),"!COD NO ENCONTRADO"),"")</f>
        <v/>
      </c>
      <c r="I3467" s="89"/>
      <c r="J3467" s="90"/>
      <c r="K3467" s="91"/>
      <c r="L3467" s="80" t="str">
        <f aca="false">IF(AND(J3467&lt;&gt;"",K3467&lt;&gt;""),J3467*K3467,"")</f>
        <v/>
      </c>
      <c r="M3467" s="81" t="str">
        <f aca="false">IF(L3467&lt;&gt;"",L3467*1.1,"")</f>
        <v/>
      </c>
      <c r="N3467" s="47" t="n">
        <f aca="false">IF(F3467="S",L3467*0.02,0)</f>
        <v>0</v>
      </c>
      <c r="O3467" s="82" t="str">
        <f aca="false">IF(L3467&lt;&gt;"",L3467+N3467,"")</f>
        <v/>
      </c>
      <c r="P3467" s="47" t="str">
        <f aca="false">IF(O3467&lt;&gt;"",O3467*0.1,"")</f>
        <v/>
      </c>
      <c r="Q3467" s="83" t="str">
        <f aca="false">IF(O3467&lt;&gt;"",O3467+P3467,"")</f>
        <v/>
      </c>
      <c r="R3467" s="84"/>
    </row>
    <row r="3468" customFormat="false" ht="15" hidden="false" customHeight="true" outlineLevel="0" collapsed="false">
      <c r="A3468" s="103"/>
      <c r="B3468" s="73"/>
      <c r="C3468" s="74"/>
      <c r="D3468" s="75"/>
      <c r="E3468" s="52" t="str">
        <f aca="false">IF(D3468&lt;&gt;"",IFERROR(VLOOKUP(D3468,PROVEEDORES!$A:$B,2,0),"!COD NO ENCONTRADO"),"")</f>
        <v/>
      </c>
      <c r="F3468" s="76" t="str">
        <f aca="false">IF(D3468&lt;&gt;"",IFERROR(VLOOKUP(D3468,PROVEEDORES!$A:$C,3,0),""),"")</f>
        <v/>
      </c>
      <c r="G3468" s="75"/>
      <c r="H3468" s="52" t="str">
        <f aca="false">IF(G3468&lt;&gt;"",IFERROR(VLOOKUP(G3468,PRODUCTOS!$A:$B,2,0),"!COD NO ENCONTRADO"),"")</f>
        <v/>
      </c>
      <c r="I3468" s="77"/>
      <c r="J3468" s="78"/>
      <c r="K3468" s="79"/>
      <c r="L3468" s="80" t="str">
        <f aca="false">IF(AND(J3468&lt;&gt;"",K3468&lt;&gt;""),J3468*K3468,"")</f>
        <v/>
      </c>
      <c r="M3468" s="81" t="str">
        <f aca="false">IF(L3468&lt;&gt;"",L3468*1.1,"")</f>
        <v/>
      </c>
      <c r="N3468" s="53" t="n">
        <f aca="false">IF(F3468="S",L3468*0.02,0)</f>
        <v>0</v>
      </c>
      <c r="O3468" s="82" t="str">
        <f aca="false">IF(L3468&lt;&gt;"",L3468+N3468,"")</f>
        <v/>
      </c>
      <c r="P3468" s="53" t="str">
        <f aca="false">IF(O3468&lt;&gt;"",O3468*0.1,"")</f>
        <v/>
      </c>
      <c r="Q3468" s="83" t="str">
        <f aca="false">IF(O3468&lt;&gt;"",O3468+P3468,"")</f>
        <v/>
      </c>
      <c r="R3468" s="84"/>
    </row>
    <row r="3469" customFormat="false" ht="15" hidden="false" customHeight="true" outlineLevel="0" collapsed="false">
      <c r="A3469" s="103"/>
      <c r="B3469" s="85"/>
      <c r="C3469" s="86"/>
      <c r="D3469" s="87"/>
      <c r="E3469" s="46" t="str">
        <f aca="false">IF(D3469&lt;&gt;"",IFERROR(VLOOKUP(D3469,PROVEEDORES!$A:$B,2,0),"!COD NO ENCONTRADO"),"")</f>
        <v/>
      </c>
      <c r="F3469" s="88" t="str">
        <f aca="false">IF(D3469&lt;&gt;"",IFERROR(VLOOKUP(D3469,PROVEEDORES!$A:$C,3,0),""),"")</f>
        <v/>
      </c>
      <c r="G3469" s="87"/>
      <c r="H3469" s="46" t="str">
        <f aca="false">IF(G3469&lt;&gt;"",IFERROR(VLOOKUP(G3469,PRODUCTOS!$A:$B,2,0),"!COD NO ENCONTRADO"),"")</f>
        <v/>
      </c>
      <c r="I3469" s="89"/>
      <c r="J3469" s="90"/>
      <c r="K3469" s="91"/>
      <c r="L3469" s="80" t="str">
        <f aca="false">IF(AND(J3469&lt;&gt;"",K3469&lt;&gt;""),J3469*K3469,"")</f>
        <v/>
      </c>
      <c r="M3469" s="81" t="str">
        <f aca="false">IF(L3469&lt;&gt;"",L3469*1.1,"")</f>
        <v/>
      </c>
      <c r="N3469" s="47" t="n">
        <f aca="false">IF(F3469="S",L3469*0.02,0)</f>
        <v>0</v>
      </c>
      <c r="O3469" s="82" t="str">
        <f aca="false">IF(L3469&lt;&gt;"",L3469+N3469,"")</f>
        <v/>
      </c>
      <c r="P3469" s="47" t="str">
        <f aca="false">IF(O3469&lt;&gt;"",O3469*0.1,"")</f>
        <v/>
      </c>
      <c r="Q3469" s="83" t="str">
        <f aca="false">IF(O3469&lt;&gt;"",O3469+P3469,"")</f>
        <v/>
      </c>
      <c r="R3469" s="84"/>
    </row>
    <row r="3470" customFormat="false" ht="15" hidden="false" customHeight="true" outlineLevel="0" collapsed="false">
      <c r="A3470" s="103"/>
      <c r="B3470" s="73"/>
      <c r="C3470" s="74"/>
      <c r="D3470" s="75"/>
      <c r="E3470" s="52" t="str">
        <f aca="false">IF(D3470&lt;&gt;"",IFERROR(VLOOKUP(D3470,PROVEEDORES!$A:$B,2,0),"!COD NO ENCONTRADO"),"")</f>
        <v/>
      </c>
      <c r="F3470" s="76" t="str">
        <f aca="false">IF(D3470&lt;&gt;"",IFERROR(VLOOKUP(D3470,PROVEEDORES!$A:$C,3,0),""),"")</f>
        <v/>
      </c>
      <c r="G3470" s="75"/>
      <c r="H3470" s="52" t="str">
        <f aca="false">IF(G3470&lt;&gt;"",IFERROR(VLOOKUP(G3470,PRODUCTOS!$A:$B,2,0),"!COD NO ENCONTRADO"),"")</f>
        <v/>
      </c>
      <c r="I3470" s="77"/>
      <c r="J3470" s="78"/>
      <c r="K3470" s="79"/>
      <c r="L3470" s="80" t="str">
        <f aca="false">IF(AND(J3470&lt;&gt;"",K3470&lt;&gt;""),J3470*K3470,"")</f>
        <v/>
      </c>
      <c r="M3470" s="81" t="str">
        <f aca="false">IF(L3470&lt;&gt;"",L3470*1.1,"")</f>
        <v/>
      </c>
      <c r="N3470" s="53" t="n">
        <f aca="false">IF(F3470="S",L3470*0.02,0)</f>
        <v>0</v>
      </c>
      <c r="O3470" s="82" t="str">
        <f aca="false">IF(L3470&lt;&gt;"",L3470+N3470,"")</f>
        <v/>
      </c>
      <c r="P3470" s="53" t="str">
        <f aca="false">IF(O3470&lt;&gt;"",O3470*0.1,"")</f>
        <v/>
      </c>
      <c r="Q3470" s="83" t="str">
        <f aca="false">IF(O3470&lt;&gt;"",O3470+P3470,"")</f>
        <v/>
      </c>
      <c r="R3470" s="84"/>
    </row>
    <row r="3471" customFormat="false" ht="15" hidden="false" customHeight="true" outlineLevel="0" collapsed="false">
      <c r="A3471" s="103"/>
      <c r="B3471" s="85"/>
      <c r="C3471" s="86"/>
      <c r="D3471" s="87"/>
      <c r="E3471" s="46" t="str">
        <f aca="false">IF(D3471&lt;&gt;"",IFERROR(VLOOKUP(D3471,PROVEEDORES!$A:$B,2,0),"!COD NO ENCONTRADO"),"")</f>
        <v/>
      </c>
      <c r="F3471" s="88" t="str">
        <f aca="false">IF(D3471&lt;&gt;"",IFERROR(VLOOKUP(D3471,PROVEEDORES!$A:$C,3,0),""),"")</f>
        <v/>
      </c>
      <c r="G3471" s="87"/>
      <c r="H3471" s="46" t="str">
        <f aca="false">IF(G3471&lt;&gt;"",IFERROR(VLOOKUP(G3471,PRODUCTOS!$A:$B,2,0),"!COD NO ENCONTRADO"),"")</f>
        <v/>
      </c>
      <c r="I3471" s="89"/>
      <c r="J3471" s="90"/>
      <c r="K3471" s="91"/>
      <c r="L3471" s="80" t="str">
        <f aca="false">IF(AND(J3471&lt;&gt;"",K3471&lt;&gt;""),J3471*K3471,"")</f>
        <v/>
      </c>
      <c r="M3471" s="81" t="str">
        <f aca="false">IF(L3471&lt;&gt;"",L3471*1.1,"")</f>
        <v/>
      </c>
      <c r="N3471" s="47" t="n">
        <f aca="false">IF(F3471="S",L3471*0.02,0)</f>
        <v>0</v>
      </c>
      <c r="O3471" s="82" t="str">
        <f aca="false">IF(L3471&lt;&gt;"",L3471+N3471,"")</f>
        <v/>
      </c>
      <c r="P3471" s="47" t="str">
        <f aca="false">IF(O3471&lt;&gt;"",O3471*0.1,"")</f>
        <v/>
      </c>
      <c r="Q3471" s="83" t="str">
        <f aca="false">IF(O3471&lt;&gt;"",O3471+P3471,"")</f>
        <v/>
      </c>
      <c r="R3471" s="84"/>
    </row>
    <row r="3472" customFormat="false" ht="15" hidden="false" customHeight="true" outlineLevel="0" collapsed="false">
      <c r="A3472" s="103"/>
      <c r="B3472" s="73"/>
      <c r="C3472" s="74"/>
      <c r="D3472" s="75"/>
      <c r="E3472" s="52" t="str">
        <f aca="false">IF(D3472&lt;&gt;"",IFERROR(VLOOKUP(D3472,PROVEEDORES!$A:$B,2,0),"!COD NO ENCONTRADO"),"")</f>
        <v/>
      </c>
      <c r="F3472" s="76" t="str">
        <f aca="false">IF(D3472&lt;&gt;"",IFERROR(VLOOKUP(D3472,PROVEEDORES!$A:$C,3,0),""),"")</f>
        <v/>
      </c>
      <c r="G3472" s="75"/>
      <c r="H3472" s="52" t="str">
        <f aca="false">IF(G3472&lt;&gt;"",IFERROR(VLOOKUP(G3472,PRODUCTOS!$A:$B,2,0),"!COD NO ENCONTRADO"),"")</f>
        <v/>
      </c>
      <c r="I3472" s="77"/>
      <c r="J3472" s="78"/>
      <c r="K3472" s="79"/>
      <c r="L3472" s="80" t="str">
        <f aca="false">IF(AND(J3472&lt;&gt;"",K3472&lt;&gt;""),J3472*K3472,"")</f>
        <v/>
      </c>
      <c r="M3472" s="81" t="str">
        <f aca="false">IF(L3472&lt;&gt;"",L3472*1.1,"")</f>
        <v/>
      </c>
      <c r="N3472" s="53" t="n">
        <f aca="false">IF(F3472="S",L3472*0.02,0)</f>
        <v>0</v>
      </c>
      <c r="O3472" s="82" t="str">
        <f aca="false">IF(L3472&lt;&gt;"",L3472+N3472,"")</f>
        <v/>
      </c>
      <c r="P3472" s="53" t="str">
        <f aca="false">IF(O3472&lt;&gt;"",O3472*0.1,"")</f>
        <v/>
      </c>
      <c r="Q3472" s="83" t="str">
        <f aca="false">IF(O3472&lt;&gt;"",O3472+P3472,"")</f>
        <v/>
      </c>
      <c r="R3472" s="84"/>
    </row>
    <row r="3473" customFormat="false" ht="15" hidden="false" customHeight="true" outlineLevel="0" collapsed="false">
      <c r="A3473" s="103"/>
      <c r="B3473" s="85"/>
      <c r="C3473" s="86"/>
      <c r="D3473" s="87"/>
      <c r="E3473" s="46" t="str">
        <f aca="false">IF(D3473&lt;&gt;"",IFERROR(VLOOKUP(D3473,PROVEEDORES!$A:$B,2,0),"!COD NO ENCONTRADO"),"")</f>
        <v/>
      </c>
      <c r="F3473" s="88" t="str">
        <f aca="false">IF(D3473&lt;&gt;"",IFERROR(VLOOKUP(D3473,PROVEEDORES!$A:$C,3,0),""),"")</f>
        <v/>
      </c>
      <c r="G3473" s="87"/>
      <c r="H3473" s="46" t="str">
        <f aca="false">IF(G3473&lt;&gt;"",IFERROR(VLOOKUP(G3473,PRODUCTOS!$A:$B,2,0),"!COD NO ENCONTRADO"),"")</f>
        <v/>
      </c>
      <c r="I3473" s="89"/>
      <c r="J3473" s="90"/>
      <c r="K3473" s="91"/>
      <c r="L3473" s="80" t="str">
        <f aca="false">IF(AND(J3473&lt;&gt;"",K3473&lt;&gt;""),J3473*K3473,"")</f>
        <v/>
      </c>
      <c r="M3473" s="81" t="str">
        <f aca="false">IF(L3473&lt;&gt;"",L3473*1.1,"")</f>
        <v/>
      </c>
      <c r="N3473" s="47" t="n">
        <f aca="false">IF(F3473="S",L3473*0.02,0)</f>
        <v>0</v>
      </c>
      <c r="O3473" s="82" t="str">
        <f aca="false">IF(L3473&lt;&gt;"",L3473+N3473,"")</f>
        <v/>
      </c>
      <c r="P3473" s="47" t="str">
        <f aca="false">IF(O3473&lt;&gt;"",O3473*0.1,"")</f>
        <v/>
      </c>
      <c r="Q3473" s="83" t="str">
        <f aca="false">IF(O3473&lt;&gt;"",O3473+P3473,"")</f>
        <v/>
      </c>
      <c r="R3473" s="84"/>
    </row>
    <row r="3474" customFormat="false" ht="15" hidden="false" customHeight="true" outlineLevel="0" collapsed="false">
      <c r="A3474" s="103"/>
      <c r="B3474" s="73"/>
      <c r="C3474" s="74"/>
      <c r="D3474" s="75"/>
      <c r="E3474" s="52" t="str">
        <f aca="false">IF(D3474&lt;&gt;"",IFERROR(VLOOKUP(D3474,PROVEEDORES!$A:$B,2,0),"!COD NO ENCONTRADO"),"")</f>
        <v/>
      </c>
      <c r="F3474" s="76" t="str">
        <f aca="false">IF(D3474&lt;&gt;"",IFERROR(VLOOKUP(D3474,PROVEEDORES!$A:$C,3,0),""),"")</f>
        <v/>
      </c>
      <c r="G3474" s="75"/>
      <c r="H3474" s="52" t="str">
        <f aca="false">IF(G3474&lt;&gt;"",IFERROR(VLOOKUP(G3474,PRODUCTOS!$A:$B,2,0),"!COD NO ENCONTRADO"),"")</f>
        <v/>
      </c>
      <c r="I3474" s="77"/>
      <c r="J3474" s="78"/>
      <c r="K3474" s="79"/>
      <c r="L3474" s="80" t="str">
        <f aca="false">IF(AND(J3474&lt;&gt;"",K3474&lt;&gt;""),J3474*K3474,"")</f>
        <v/>
      </c>
      <c r="M3474" s="81" t="str">
        <f aca="false">IF(L3474&lt;&gt;"",L3474*1.1,"")</f>
        <v/>
      </c>
      <c r="N3474" s="53" t="n">
        <f aca="false">IF(F3474="S",L3474*0.02,0)</f>
        <v>0</v>
      </c>
      <c r="O3474" s="82" t="str">
        <f aca="false">IF(L3474&lt;&gt;"",L3474+N3474,"")</f>
        <v/>
      </c>
      <c r="P3474" s="53" t="str">
        <f aca="false">IF(O3474&lt;&gt;"",O3474*0.1,"")</f>
        <v/>
      </c>
      <c r="Q3474" s="83" t="str">
        <f aca="false">IF(O3474&lt;&gt;"",O3474+P3474,"")</f>
        <v/>
      </c>
      <c r="R3474" s="84"/>
    </row>
    <row r="3475" customFormat="false" ht="15" hidden="false" customHeight="true" outlineLevel="0" collapsed="false">
      <c r="A3475" s="103"/>
      <c r="B3475" s="85"/>
      <c r="C3475" s="86"/>
      <c r="D3475" s="87"/>
      <c r="E3475" s="46" t="str">
        <f aca="false">IF(D3475&lt;&gt;"",IFERROR(VLOOKUP(D3475,PROVEEDORES!$A:$B,2,0),"!COD NO ENCONTRADO"),"")</f>
        <v/>
      </c>
      <c r="F3475" s="88" t="str">
        <f aca="false">IF(D3475&lt;&gt;"",IFERROR(VLOOKUP(D3475,PROVEEDORES!$A:$C,3,0),""),"")</f>
        <v/>
      </c>
      <c r="G3475" s="87"/>
      <c r="H3475" s="46" t="str">
        <f aca="false">IF(G3475&lt;&gt;"",IFERROR(VLOOKUP(G3475,PRODUCTOS!$A:$B,2,0),"!COD NO ENCONTRADO"),"")</f>
        <v/>
      </c>
      <c r="I3475" s="89"/>
      <c r="J3475" s="90"/>
      <c r="K3475" s="91"/>
      <c r="L3475" s="80" t="str">
        <f aca="false">IF(AND(J3475&lt;&gt;"",K3475&lt;&gt;""),J3475*K3475,"")</f>
        <v/>
      </c>
      <c r="M3475" s="81" t="str">
        <f aca="false">IF(L3475&lt;&gt;"",L3475*1.1,"")</f>
        <v/>
      </c>
      <c r="N3475" s="47" t="n">
        <f aca="false">IF(F3475="S",L3475*0.02,0)</f>
        <v>0</v>
      </c>
      <c r="O3475" s="82" t="str">
        <f aca="false">IF(L3475&lt;&gt;"",L3475+N3475,"")</f>
        <v/>
      </c>
      <c r="P3475" s="47" t="str">
        <f aca="false">IF(O3475&lt;&gt;"",O3475*0.1,"")</f>
        <v/>
      </c>
      <c r="Q3475" s="83" t="str">
        <f aca="false">IF(O3475&lt;&gt;"",O3475+P3475,"")</f>
        <v/>
      </c>
      <c r="R3475" s="84"/>
    </row>
    <row r="3476" customFormat="false" ht="15" hidden="false" customHeight="true" outlineLevel="0" collapsed="false">
      <c r="A3476" s="103"/>
      <c r="B3476" s="73"/>
      <c r="C3476" s="74"/>
      <c r="D3476" s="75"/>
      <c r="E3476" s="52" t="str">
        <f aca="false">IF(D3476&lt;&gt;"",IFERROR(VLOOKUP(D3476,PROVEEDORES!$A:$B,2,0),"!COD NO ENCONTRADO"),"")</f>
        <v/>
      </c>
      <c r="F3476" s="76" t="str">
        <f aca="false">IF(D3476&lt;&gt;"",IFERROR(VLOOKUP(D3476,PROVEEDORES!$A:$C,3,0),""),"")</f>
        <v/>
      </c>
      <c r="G3476" s="75"/>
      <c r="H3476" s="52" t="str">
        <f aca="false">IF(G3476&lt;&gt;"",IFERROR(VLOOKUP(G3476,PRODUCTOS!$A:$B,2,0),"!COD NO ENCONTRADO"),"")</f>
        <v/>
      </c>
      <c r="I3476" s="77"/>
      <c r="J3476" s="78"/>
      <c r="K3476" s="79"/>
      <c r="L3476" s="80" t="str">
        <f aca="false">IF(AND(J3476&lt;&gt;"",K3476&lt;&gt;""),J3476*K3476,"")</f>
        <v/>
      </c>
      <c r="M3476" s="81" t="str">
        <f aca="false">IF(L3476&lt;&gt;"",L3476*1.1,"")</f>
        <v/>
      </c>
      <c r="N3476" s="53" t="n">
        <f aca="false">IF(F3476="S",L3476*0.02,0)</f>
        <v>0</v>
      </c>
      <c r="O3476" s="82" t="str">
        <f aca="false">IF(L3476&lt;&gt;"",L3476+N3476,"")</f>
        <v/>
      </c>
      <c r="P3476" s="53" t="str">
        <f aca="false">IF(O3476&lt;&gt;"",O3476*0.1,"")</f>
        <v/>
      </c>
      <c r="Q3476" s="83" t="str">
        <f aca="false">IF(O3476&lt;&gt;"",O3476+P3476,"")</f>
        <v/>
      </c>
      <c r="R3476" s="84"/>
    </row>
    <row r="3477" customFormat="false" ht="15" hidden="false" customHeight="true" outlineLevel="0" collapsed="false">
      <c r="A3477" s="103"/>
      <c r="B3477" s="85"/>
      <c r="C3477" s="86"/>
      <c r="D3477" s="87"/>
      <c r="E3477" s="46" t="str">
        <f aca="false">IF(D3477&lt;&gt;"",IFERROR(VLOOKUP(D3477,PROVEEDORES!$A:$B,2,0),"!COD NO ENCONTRADO"),"")</f>
        <v/>
      </c>
      <c r="F3477" s="88" t="str">
        <f aca="false">IF(D3477&lt;&gt;"",IFERROR(VLOOKUP(D3477,PROVEEDORES!$A:$C,3,0),""),"")</f>
        <v/>
      </c>
      <c r="G3477" s="87"/>
      <c r="H3477" s="46" t="str">
        <f aca="false">IF(G3477&lt;&gt;"",IFERROR(VLOOKUP(G3477,PRODUCTOS!$A:$B,2,0),"!COD NO ENCONTRADO"),"")</f>
        <v/>
      </c>
      <c r="I3477" s="89"/>
      <c r="J3477" s="90"/>
      <c r="K3477" s="91"/>
      <c r="L3477" s="80" t="str">
        <f aca="false">IF(AND(J3477&lt;&gt;"",K3477&lt;&gt;""),J3477*K3477,"")</f>
        <v/>
      </c>
      <c r="M3477" s="81" t="str">
        <f aca="false">IF(L3477&lt;&gt;"",L3477*1.1,"")</f>
        <v/>
      </c>
      <c r="N3477" s="47" t="n">
        <f aca="false">IF(F3477="S",L3477*0.02,0)</f>
        <v>0</v>
      </c>
      <c r="O3477" s="82" t="str">
        <f aca="false">IF(L3477&lt;&gt;"",L3477+N3477,"")</f>
        <v/>
      </c>
      <c r="P3477" s="47" t="str">
        <f aca="false">IF(O3477&lt;&gt;"",O3477*0.1,"")</f>
        <v/>
      </c>
      <c r="Q3477" s="83" t="str">
        <f aca="false">IF(O3477&lt;&gt;"",O3477+P3477,"")</f>
        <v/>
      </c>
      <c r="R3477" s="84"/>
    </row>
    <row r="3478" customFormat="false" ht="15" hidden="false" customHeight="true" outlineLevel="0" collapsed="false">
      <c r="A3478" s="103"/>
      <c r="B3478" s="73"/>
      <c r="C3478" s="74"/>
      <c r="D3478" s="75"/>
      <c r="E3478" s="52" t="str">
        <f aca="false">IF(D3478&lt;&gt;"",IFERROR(VLOOKUP(D3478,PROVEEDORES!$A:$B,2,0),"!COD NO ENCONTRADO"),"")</f>
        <v/>
      </c>
      <c r="F3478" s="76" t="str">
        <f aca="false">IF(D3478&lt;&gt;"",IFERROR(VLOOKUP(D3478,PROVEEDORES!$A:$C,3,0),""),"")</f>
        <v/>
      </c>
      <c r="G3478" s="75"/>
      <c r="H3478" s="52" t="str">
        <f aca="false">IF(G3478&lt;&gt;"",IFERROR(VLOOKUP(G3478,PRODUCTOS!$A:$B,2,0),"!COD NO ENCONTRADO"),"")</f>
        <v/>
      </c>
      <c r="I3478" s="77"/>
      <c r="J3478" s="78"/>
      <c r="K3478" s="79"/>
      <c r="L3478" s="80" t="str">
        <f aca="false">IF(AND(J3478&lt;&gt;"",K3478&lt;&gt;""),J3478*K3478,"")</f>
        <v/>
      </c>
      <c r="M3478" s="81" t="str">
        <f aca="false">IF(L3478&lt;&gt;"",L3478*1.1,"")</f>
        <v/>
      </c>
      <c r="N3478" s="53" t="n">
        <f aca="false">IF(F3478="S",L3478*0.02,0)</f>
        <v>0</v>
      </c>
      <c r="O3478" s="82" t="str">
        <f aca="false">IF(L3478&lt;&gt;"",L3478+N3478,"")</f>
        <v/>
      </c>
      <c r="P3478" s="53" t="str">
        <f aca="false">IF(O3478&lt;&gt;"",O3478*0.1,"")</f>
        <v/>
      </c>
      <c r="Q3478" s="83" t="str">
        <f aca="false">IF(O3478&lt;&gt;"",O3478+P3478,"")</f>
        <v/>
      </c>
      <c r="R3478" s="84"/>
    </row>
    <row r="3479" customFormat="false" ht="15" hidden="false" customHeight="true" outlineLevel="0" collapsed="false">
      <c r="A3479" s="103"/>
      <c r="B3479" s="85"/>
      <c r="C3479" s="86"/>
      <c r="D3479" s="87"/>
      <c r="E3479" s="46" t="str">
        <f aca="false">IF(D3479&lt;&gt;"",IFERROR(VLOOKUP(D3479,PROVEEDORES!$A:$B,2,0),"!COD NO ENCONTRADO"),"")</f>
        <v/>
      </c>
      <c r="F3479" s="88" t="str">
        <f aca="false">IF(D3479&lt;&gt;"",IFERROR(VLOOKUP(D3479,PROVEEDORES!$A:$C,3,0),""),"")</f>
        <v/>
      </c>
      <c r="G3479" s="87"/>
      <c r="H3479" s="46" t="str">
        <f aca="false">IF(G3479&lt;&gt;"",IFERROR(VLOOKUP(G3479,PRODUCTOS!$A:$B,2,0),"!COD NO ENCONTRADO"),"")</f>
        <v/>
      </c>
      <c r="I3479" s="89"/>
      <c r="J3479" s="90"/>
      <c r="K3479" s="91"/>
      <c r="L3479" s="80" t="str">
        <f aca="false">IF(AND(J3479&lt;&gt;"",K3479&lt;&gt;""),J3479*K3479,"")</f>
        <v/>
      </c>
      <c r="M3479" s="81" t="str">
        <f aca="false">IF(L3479&lt;&gt;"",L3479*1.1,"")</f>
        <v/>
      </c>
      <c r="N3479" s="47" t="n">
        <f aca="false">IF(F3479="S",L3479*0.02,0)</f>
        <v>0</v>
      </c>
      <c r="O3479" s="82" t="str">
        <f aca="false">IF(L3479&lt;&gt;"",L3479+N3479,"")</f>
        <v/>
      </c>
      <c r="P3479" s="47" t="str">
        <f aca="false">IF(O3479&lt;&gt;"",O3479*0.1,"")</f>
        <v/>
      </c>
      <c r="Q3479" s="83" t="str">
        <f aca="false">IF(O3479&lt;&gt;"",O3479+P3479,"")</f>
        <v/>
      </c>
      <c r="R3479" s="84"/>
    </row>
    <row r="3480" customFormat="false" ht="15" hidden="false" customHeight="true" outlineLevel="0" collapsed="false">
      <c r="A3480" s="103"/>
      <c r="B3480" s="73"/>
      <c r="C3480" s="74"/>
      <c r="D3480" s="75"/>
      <c r="E3480" s="52" t="str">
        <f aca="false">IF(D3480&lt;&gt;"",IFERROR(VLOOKUP(D3480,PROVEEDORES!$A:$B,2,0),"!COD NO ENCONTRADO"),"")</f>
        <v/>
      </c>
      <c r="F3480" s="76" t="str">
        <f aca="false">IF(D3480&lt;&gt;"",IFERROR(VLOOKUP(D3480,PROVEEDORES!$A:$C,3,0),""),"")</f>
        <v/>
      </c>
      <c r="G3480" s="75"/>
      <c r="H3480" s="52" t="str">
        <f aca="false">IF(G3480&lt;&gt;"",IFERROR(VLOOKUP(G3480,PRODUCTOS!$A:$B,2,0),"!COD NO ENCONTRADO"),"")</f>
        <v/>
      </c>
      <c r="I3480" s="77"/>
      <c r="J3480" s="78"/>
      <c r="K3480" s="79"/>
      <c r="L3480" s="80" t="str">
        <f aca="false">IF(AND(J3480&lt;&gt;"",K3480&lt;&gt;""),J3480*K3480,"")</f>
        <v/>
      </c>
      <c r="M3480" s="81" t="str">
        <f aca="false">IF(L3480&lt;&gt;"",L3480*1.1,"")</f>
        <v/>
      </c>
      <c r="N3480" s="53" t="n">
        <f aca="false">IF(F3480="S",L3480*0.02,0)</f>
        <v>0</v>
      </c>
      <c r="O3480" s="82" t="str">
        <f aca="false">IF(L3480&lt;&gt;"",L3480+N3480,"")</f>
        <v/>
      </c>
      <c r="P3480" s="53" t="str">
        <f aca="false">IF(O3480&lt;&gt;"",O3480*0.1,"")</f>
        <v/>
      </c>
      <c r="Q3480" s="83" t="str">
        <f aca="false">IF(O3480&lt;&gt;"",O3480+P3480,"")</f>
        <v/>
      </c>
      <c r="R3480" s="84"/>
    </row>
    <row r="3481" customFormat="false" ht="15" hidden="false" customHeight="true" outlineLevel="0" collapsed="false">
      <c r="A3481" s="103"/>
      <c r="B3481" s="85"/>
      <c r="C3481" s="86"/>
      <c r="D3481" s="87"/>
      <c r="E3481" s="46" t="str">
        <f aca="false">IF(D3481&lt;&gt;"",IFERROR(VLOOKUP(D3481,PROVEEDORES!$A:$B,2,0),"!COD NO ENCONTRADO"),"")</f>
        <v/>
      </c>
      <c r="F3481" s="88" t="str">
        <f aca="false">IF(D3481&lt;&gt;"",IFERROR(VLOOKUP(D3481,PROVEEDORES!$A:$C,3,0),""),"")</f>
        <v/>
      </c>
      <c r="G3481" s="87"/>
      <c r="H3481" s="46" t="str">
        <f aca="false">IF(G3481&lt;&gt;"",IFERROR(VLOOKUP(G3481,PRODUCTOS!$A:$B,2,0),"!COD NO ENCONTRADO"),"")</f>
        <v/>
      </c>
      <c r="I3481" s="89"/>
      <c r="J3481" s="90"/>
      <c r="K3481" s="91"/>
      <c r="L3481" s="80" t="str">
        <f aca="false">IF(AND(J3481&lt;&gt;"",K3481&lt;&gt;""),J3481*K3481,"")</f>
        <v/>
      </c>
      <c r="M3481" s="81" t="str">
        <f aca="false">IF(L3481&lt;&gt;"",L3481*1.1,"")</f>
        <v/>
      </c>
      <c r="N3481" s="47" t="n">
        <f aca="false">IF(F3481="S",L3481*0.02,0)</f>
        <v>0</v>
      </c>
      <c r="O3481" s="82" t="str">
        <f aca="false">IF(L3481&lt;&gt;"",L3481+N3481,"")</f>
        <v/>
      </c>
      <c r="P3481" s="47" t="str">
        <f aca="false">IF(O3481&lt;&gt;"",O3481*0.1,"")</f>
        <v/>
      </c>
      <c r="Q3481" s="83" t="str">
        <f aca="false">IF(O3481&lt;&gt;"",O3481+P3481,"")</f>
        <v/>
      </c>
      <c r="R3481" s="84"/>
    </row>
    <row r="3482" customFormat="false" ht="15" hidden="false" customHeight="true" outlineLevel="0" collapsed="false">
      <c r="A3482" s="103"/>
      <c r="B3482" s="73"/>
      <c r="C3482" s="74"/>
      <c r="D3482" s="75"/>
      <c r="E3482" s="52" t="str">
        <f aca="false">IF(D3482&lt;&gt;"",IFERROR(VLOOKUP(D3482,PROVEEDORES!$A:$B,2,0),"!COD NO ENCONTRADO"),"")</f>
        <v/>
      </c>
      <c r="F3482" s="76" t="str">
        <f aca="false">IF(D3482&lt;&gt;"",IFERROR(VLOOKUP(D3482,PROVEEDORES!$A:$C,3,0),""),"")</f>
        <v/>
      </c>
      <c r="G3482" s="75"/>
      <c r="H3482" s="52" t="str">
        <f aca="false">IF(G3482&lt;&gt;"",IFERROR(VLOOKUP(G3482,PRODUCTOS!$A:$B,2,0),"!COD NO ENCONTRADO"),"")</f>
        <v/>
      </c>
      <c r="I3482" s="77"/>
      <c r="J3482" s="78"/>
      <c r="K3482" s="79"/>
      <c r="L3482" s="80" t="str">
        <f aca="false">IF(AND(J3482&lt;&gt;"",K3482&lt;&gt;""),J3482*K3482,"")</f>
        <v/>
      </c>
      <c r="M3482" s="81" t="str">
        <f aca="false">IF(L3482&lt;&gt;"",L3482*1.1,"")</f>
        <v/>
      </c>
      <c r="N3482" s="53" t="n">
        <f aca="false">IF(F3482="S",L3482*0.02,0)</f>
        <v>0</v>
      </c>
      <c r="O3482" s="82" t="str">
        <f aca="false">IF(L3482&lt;&gt;"",L3482+N3482,"")</f>
        <v/>
      </c>
      <c r="P3482" s="53" t="str">
        <f aca="false">IF(O3482&lt;&gt;"",O3482*0.1,"")</f>
        <v/>
      </c>
      <c r="Q3482" s="83" t="str">
        <f aca="false">IF(O3482&lt;&gt;"",O3482+P3482,"")</f>
        <v/>
      </c>
      <c r="R3482" s="84"/>
    </row>
    <row r="3483" customFormat="false" ht="15" hidden="false" customHeight="true" outlineLevel="0" collapsed="false">
      <c r="A3483" s="103"/>
      <c r="B3483" s="85"/>
      <c r="C3483" s="86"/>
      <c r="D3483" s="87"/>
      <c r="E3483" s="46" t="str">
        <f aca="false">IF(D3483&lt;&gt;"",IFERROR(VLOOKUP(D3483,PROVEEDORES!$A:$B,2,0),"!COD NO ENCONTRADO"),"")</f>
        <v/>
      </c>
      <c r="F3483" s="88" t="str">
        <f aca="false">IF(D3483&lt;&gt;"",IFERROR(VLOOKUP(D3483,PROVEEDORES!$A:$C,3,0),""),"")</f>
        <v/>
      </c>
      <c r="G3483" s="87"/>
      <c r="H3483" s="46" t="str">
        <f aca="false">IF(G3483&lt;&gt;"",IFERROR(VLOOKUP(G3483,PRODUCTOS!$A:$B,2,0),"!COD NO ENCONTRADO"),"")</f>
        <v/>
      </c>
      <c r="I3483" s="89"/>
      <c r="J3483" s="90"/>
      <c r="K3483" s="91"/>
      <c r="L3483" s="80" t="str">
        <f aca="false">IF(AND(J3483&lt;&gt;"",K3483&lt;&gt;""),J3483*K3483,"")</f>
        <v/>
      </c>
      <c r="M3483" s="81" t="str">
        <f aca="false">IF(L3483&lt;&gt;"",L3483*1.1,"")</f>
        <v/>
      </c>
      <c r="N3483" s="47" t="n">
        <f aca="false">IF(F3483="S",L3483*0.02,0)</f>
        <v>0</v>
      </c>
      <c r="O3483" s="82" t="str">
        <f aca="false">IF(L3483&lt;&gt;"",L3483+N3483,"")</f>
        <v/>
      </c>
      <c r="P3483" s="47" t="str">
        <f aca="false">IF(O3483&lt;&gt;"",O3483*0.1,"")</f>
        <v/>
      </c>
      <c r="Q3483" s="83" t="str">
        <f aca="false">IF(O3483&lt;&gt;"",O3483+P3483,"")</f>
        <v/>
      </c>
      <c r="R3483" s="84"/>
    </row>
    <row r="3484" customFormat="false" ht="15" hidden="false" customHeight="true" outlineLevel="0" collapsed="false">
      <c r="A3484" s="103"/>
      <c r="B3484" s="73"/>
      <c r="C3484" s="74"/>
      <c r="D3484" s="75"/>
      <c r="E3484" s="52" t="str">
        <f aca="false">IF(D3484&lt;&gt;"",IFERROR(VLOOKUP(D3484,PROVEEDORES!$A:$B,2,0),"!COD NO ENCONTRADO"),"")</f>
        <v/>
      </c>
      <c r="F3484" s="76" t="str">
        <f aca="false">IF(D3484&lt;&gt;"",IFERROR(VLOOKUP(D3484,PROVEEDORES!$A:$C,3,0),""),"")</f>
        <v/>
      </c>
      <c r="G3484" s="75"/>
      <c r="H3484" s="52" t="str">
        <f aca="false">IF(G3484&lt;&gt;"",IFERROR(VLOOKUP(G3484,PRODUCTOS!$A:$B,2,0),"!COD NO ENCONTRADO"),"")</f>
        <v/>
      </c>
      <c r="I3484" s="77"/>
      <c r="J3484" s="78"/>
      <c r="K3484" s="79"/>
      <c r="L3484" s="80" t="str">
        <f aca="false">IF(AND(J3484&lt;&gt;"",K3484&lt;&gt;""),J3484*K3484,"")</f>
        <v/>
      </c>
      <c r="M3484" s="81" t="str">
        <f aca="false">IF(L3484&lt;&gt;"",L3484*1.1,"")</f>
        <v/>
      </c>
      <c r="N3484" s="53" t="n">
        <f aca="false">IF(F3484="S",L3484*0.02,0)</f>
        <v>0</v>
      </c>
      <c r="O3484" s="82" t="str">
        <f aca="false">IF(L3484&lt;&gt;"",L3484+N3484,"")</f>
        <v/>
      </c>
      <c r="P3484" s="53" t="str">
        <f aca="false">IF(O3484&lt;&gt;"",O3484*0.1,"")</f>
        <v/>
      </c>
      <c r="Q3484" s="83" t="str">
        <f aca="false">IF(O3484&lt;&gt;"",O3484+P3484,"")</f>
        <v/>
      </c>
      <c r="R3484" s="84"/>
    </row>
    <row r="3485" customFormat="false" ht="15" hidden="false" customHeight="true" outlineLevel="0" collapsed="false">
      <c r="A3485" s="103"/>
      <c r="B3485" s="85"/>
      <c r="C3485" s="86"/>
      <c r="D3485" s="87"/>
      <c r="E3485" s="46" t="str">
        <f aca="false">IF(D3485&lt;&gt;"",IFERROR(VLOOKUP(D3485,PROVEEDORES!$A:$B,2,0),"!COD NO ENCONTRADO"),"")</f>
        <v/>
      </c>
      <c r="F3485" s="88" t="str">
        <f aca="false">IF(D3485&lt;&gt;"",IFERROR(VLOOKUP(D3485,PROVEEDORES!$A:$C,3,0),""),"")</f>
        <v/>
      </c>
      <c r="G3485" s="87"/>
      <c r="H3485" s="46" t="str">
        <f aca="false">IF(G3485&lt;&gt;"",IFERROR(VLOOKUP(G3485,PRODUCTOS!$A:$B,2,0),"!COD NO ENCONTRADO"),"")</f>
        <v/>
      </c>
      <c r="I3485" s="89"/>
      <c r="J3485" s="90"/>
      <c r="K3485" s="91"/>
      <c r="L3485" s="80" t="str">
        <f aca="false">IF(AND(J3485&lt;&gt;"",K3485&lt;&gt;""),J3485*K3485,"")</f>
        <v/>
      </c>
      <c r="M3485" s="81" t="str">
        <f aca="false">IF(L3485&lt;&gt;"",L3485*1.1,"")</f>
        <v/>
      </c>
      <c r="N3485" s="47" t="n">
        <f aca="false">IF(F3485="S",L3485*0.02,0)</f>
        <v>0</v>
      </c>
      <c r="O3485" s="82" t="str">
        <f aca="false">IF(L3485&lt;&gt;"",L3485+N3485,"")</f>
        <v/>
      </c>
      <c r="P3485" s="47" t="str">
        <f aca="false">IF(O3485&lt;&gt;"",O3485*0.1,"")</f>
        <v/>
      </c>
      <c r="Q3485" s="83" t="str">
        <f aca="false">IF(O3485&lt;&gt;"",O3485+P3485,"")</f>
        <v/>
      </c>
      <c r="R3485" s="84"/>
    </row>
    <row r="3486" customFormat="false" ht="15" hidden="false" customHeight="true" outlineLevel="0" collapsed="false">
      <c r="A3486" s="103"/>
      <c r="B3486" s="73"/>
      <c r="C3486" s="74"/>
      <c r="D3486" s="75"/>
      <c r="E3486" s="52" t="str">
        <f aca="false">IF(D3486&lt;&gt;"",IFERROR(VLOOKUP(D3486,PROVEEDORES!$A:$B,2,0),"!COD NO ENCONTRADO"),"")</f>
        <v/>
      </c>
      <c r="F3486" s="76" t="str">
        <f aca="false">IF(D3486&lt;&gt;"",IFERROR(VLOOKUP(D3486,PROVEEDORES!$A:$C,3,0),""),"")</f>
        <v/>
      </c>
      <c r="G3486" s="75"/>
      <c r="H3486" s="52" t="str">
        <f aca="false">IF(G3486&lt;&gt;"",IFERROR(VLOOKUP(G3486,PRODUCTOS!$A:$B,2,0),"!COD NO ENCONTRADO"),"")</f>
        <v/>
      </c>
      <c r="I3486" s="77"/>
      <c r="J3486" s="78"/>
      <c r="K3486" s="79"/>
      <c r="L3486" s="80" t="str">
        <f aca="false">IF(AND(J3486&lt;&gt;"",K3486&lt;&gt;""),J3486*K3486,"")</f>
        <v/>
      </c>
      <c r="M3486" s="81" t="str">
        <f aca="false">IF(L3486&lt;&gt;"",L3486*1.1,"")</f>
        <v/>
      </c>
      <c r="N3486" s="53" t="n">
        <f aca="false">IF(F3486="S",L3486*0.02,0)</f>
        <v>0</v>
      </c>
      <c r="O3486" s="82" t="str">
        <f aca="false">IF(L3486&lt;&gt;"",L3486+N3486,"")</f>
        <v/>
      </c>
      <c r="P3486" s="53" t="str">
        <f aca="false">IF(O3486&lt;&gt;"",O3486*0.1,"")</f>
        <v/>
      </c>
      <c r="Q3486" s="83" t="str">
        <f aca="false">IF(O3486&lt;&gt;"",O3486+P3486,"")</f>
        <v/>
      </c>
      <c r="R3486" s="84"/>
    </row>
    <row r="3487" customFormat="false" ht="15" hidden="false" customHeight="true" outlineLevel="0" collapsed="false">
      <c r="A3487" s="103"/>
      <c r="B3487" s="85"/>
      <c r="C3487" s="86"/>
      <c r="D3487" s="87"/>
      <c r="E3487" s="46" t="str">
        <f aca="false">IF(D3487&lt;&gt;"",IFERROR(VLOOKUP(D3487,PROVEEDORES!$A:$B,2,0),"!COD NO ENCONTRADO"),"")</f>
        <v/>
      </c>
      <c r="F3487" s="88" t="str">
        <f aca="false">IF(D3487&lt;&gt;"",IFERROR(VLOOKUP(D3487,PROVEEDORES!$A:$C,3,0),""),"")</f>
        <v/>
      </c>
      <c r="G3487" s="87"/>
      <c r="H3487" s="46" t="str">
        <f aca="false">IF(G3487&lt;&gt;"",IFERROR(VLOOKUP(G3487,PRODUCTOS!$A:$B,2,0),"!COD NO ENCONTRADO"),"")</f>
        <v/>
      </c>
      <c r="I3487" s="89"/>
      <c r="J3487" s="90"/>
      <c r="K3487" s="91"/>
      <c r="L3487" s="80" t="str">
        <f aca="false">IF(AND(J3487&lt;&gt;"",K3487&lt;&gt;""),J3487*K3487,"")</f>
        <v/>
      </c>
      <c r="M3487" s="81" t="str">
        <f aca="false">IF(L3487&lt;&gt;"",L3487*1.1,"")</f>
        <v/>
      </c>
      <c r="N3487" s="47" t="n">
        <f aca="false">IF(F3487="S",L3487*0.02,0)</f>
        <v>0</v>
      </c>
      <c r="O3487" s="82" t="str">
        <f aca="false">IF(L3487&lt;&gt;"",L3487+N3487,"")</f>
        <v/>
      </c>
      <c r="P3487" s="47" t="str">
        <f aca="false">IF(O3487&lt;&gt;"",O3487*0.1,"")</f>
        <v/>
      </c>
      <c r="Q3487" s="83" t="str">
        <f aca="false">IF(O3487&lt;&gt;"",O3487+P3487,"")</f>
        <v/>
      </c>
      <c r="R3487" s="84"/>
    </row>
    <row r="3488" customFormat="false" ht="15" hidden="false" customHeight="true" outlineLevel="0" collapsed="false">
      <c r="A3488" s="103"/>
      <c r="B3488" s="73"/>
      <c r="C3488" s="74"/>
      <c r="D3488" s="75"/>
      <c r="E3488" s="52" t="str">
        <f aca="false">IF(D3488&lt;&gt;"",IFERROR(VLOOKUP(D3488,PROVEEDORES!$A:$B,2,0),"!COD NO ENCONTRADO"),"")</f>
        <v/>
      </c>
      <c r="F3488" s="76" t="str">
        <f aca="false">IF(D3488&lt;&gt;"",IFERROR(VLOOKUP(D3488,PROVEEDORES!$A:$C,3,0),""),"")</f>
        <v/>
      </c>
      <c r="G3488" s="75"/>
      <c r="H3488" s="52" t="str">
        <f aca="false">IF(G3488&lt;&gt;"",IFERROR(VLOOKUP(G3488,PRODUCTOS!$A:$B,2,0),"!COD NO ENCONTRADO"),"")</f>
        <v/>
      </c>
      <c r="I3488" s="77"/>
      <c r="J3488" s="78"/>
      <c r="K3488" s="79"/>
      <c r="L3488" s="80" t="str">
        <f aca="false">IF(AND(J3488&lt;&gt;"",K3488&lt;&gt;""),J3488*K3488,"")</f>
        <v/>
      </c>
      <c r="M3488" s="81" t="str">
        <f aca="false">IF(L3488&lt;&gt;"",L3488*1.1,"")</f>
        <v/>
      </c>
      <c r="N3488" s="53" t="n">
        <f aca="false">IF(F3488="S",L3488*0.02,0)</f>
        <v>0</v>
      </c>
      <c r="O3488" s="82" t="str">
        <f aca="false">IF(L3488&lt;&gt;"",L3488+N3488,"")</f>
        <v/>
      </c>
      <c r="P3488" s="53" t="str">
        <f aca="false">IF(O3488&lt;&gt;"",O3488*0.1,"")</f>
        <v/>
      </c>
      <c r="Q3488" s="83" t="str">
        <f aca="false">IF(O3488&lt;&gt;"",O3488+P3488,"")</f>
        <v/>
      </c>
      <c r="R3488" s="84"/>
    </row>
    <row r="3489" customFormat="false" ht="15" hidden="false" customHeight="true" outlineLevel="0" collapsed="false">
      <c r="A3489" s="103"/>
      <c r="B3489" s="85"/>
      <c r="C3489" s="86"/>
      <c r="D3489" s="87"/>
      <c r="E3489" s="46" t="str">
        <f aca="false">IF(D3489&lt;&gt;"",IFERROR(VLOOKUP(D3489,PROVEEDORES!$A:$B,2,0),"!COD NO ENCONTRADO"),"")</f>
        <v/>
      </c>
      <c r="F3489" s="88" t="str">
        <f aca="false">IF(D3489&lt;&gt;"",IFERROR(VLOOKUP(D3489,PROVEEDORES!$A:$C,3,0),""),"")</f>
        <v/>
      </c>
      <c r="G3489" s="87"/>
      <c r="H3489" s="46" t="str">
        <f aca="false">IF(G3489&lt;&gt;"",IFERROR(VLOOKUP(G3489,PRODUCTOS!$A:$B,2,0),"!COD NO ENCONTRADO"),"")</f>
        <v/>
      </c>
      <c r="I3489" s="89"/>
      <c r="J3489" s="90"/>
      <c r="K3489" s="91"/>
      <c r="L3489" s="80" t="str">
        <f aca="false">IF(AND(J3489&lt;&gt;"",K3489&lt;&gt;""),J3489*K3489,"")</f>
        <v/>
      </c>
      <c r="M3489" s="81" t="str">
        <f aca="false">IF(L3489&lt;&gt;"",L3489*1.1,"")</f>
        <v/>
      </c>
      <c r="N3489" s="47" t="n">
        <f aca="false">IF(F3489="S",L3489*0.02,0)</f>
        <v>0</v>
      </c>
      <c r="O3489" s="82" t="str">
        <f aca="false">IF(L3489&lt;&gt;"",L3489+N3489,"")</f>
        <v/>
      </c>
      <c r="P3489" s="47" t="str">
        <f aca="false">IF(O3489&lt;&gt;"",O3489*0.1,"")</f>
        <v/>
      </c>
      <c r="Q3489" s="83" t="str">
        <f aca="false">IF(O3489&lt;&gt;"",O3489+P3489,"")</f>
        <v/>
      </c>
      <c r="R3489" s="84"/>
    </row>
    <row r="3490" customFormat="false" ht="15" hidden="false" customHeight="true" outlineLevel="0" collapsed="false">
      <c r="A3490" s="103"/>
      <c r="B3490" s="73"/>
      <c r="C3490" s="74"/>
      <c r="D3490" s="75"/>
      <c r="E3490" s="52" t="str">
        <f aca="false">IF(D3490&lt;&gt;"",IFERROR(VLOOKUP(D3490,PROVEEDORES!$A:$B,2,0),"!COD NO ENCONTRADO"),"")</f>
        <v/>
      </c>
      <c r="F3490" s="76" t="str">
        <f aca="false">IF(D3490&lt;&gt;"",IFERROR(VLOOKUP(D3490,PROVEEDORES!$A:$C,3,0),""),"")</f>
        <v/>
      </c>
      <c r="G3490" s="75"/>
      <c r="H3490" s="52" t="str">
        <f aca="false">IF(G3490&lt;&gt;"",IFERROR(VLOOKUP(G3490,PRODUCTOS!$A:$B,2,0),"!COD NO ENCONTRADO"),"")</f>
        <v/>
      </c>
      <c r="I3490" s="77"/>
      <c r="J3490" s="78"/>
      <c r="K3490" s="79"/>
      <c r="L3490" s="80" t="str">
        <f aca="false">IF(AND(J3490&lt;&gt;"",K3490&lt;&gt;""),J3490*K3490,"")</f>
        <v/>
      </c>
      <c r="M3490" s="81" t="str">
        <f aca="false">IF(L3490&lt;&gt;"",L3490*1.1,"")</f>
        <v/>
      </c>
      <c r="N3490" s="53" t="n">
        <f aca="false">IF(F3490="S",L3490*0.02,0)</f>
        <v>0</v>
      </c>
      <c r="O3490" s="82" t="str">
        <f aca="false">IF(L3490&lt;&gt;"",L3490+N3490,"")</f>
        <v/>
      </c>
      <c r="P3490" s="53" t="str">
        <f aca="false">IF(O3490&lt;&gt;"",O3490*0.1,"")</f>
        <v/>
      </c>
      <c r="Q3490" s="83" t="str">
        <f aca="false">IF(O3490&lt;&gt;"",O3490+P3490,"")</f>
        <v/>
      </c>
      <c r="R3490" s="84"/>
    </row>
    <row r="3491" customFormat="false" ht="15" hidden="false" customHeight="true" outlineLevel="0" collapsed="false">
      <c r="A3491" s="103"/>
      <c r="B3491" s="85"/>
      <c r="C3491" s="86"/>
      <c r="D3491" s="87"/>
      <c r="E3491" s="46" t="str">
        <f aca="false">IF(D3491&lt;&gt;"",IFERROR(VLOOKUP(D3491,PROVEEDORES!$A:$B,2,0),"!COD NO ENCONTRADO"),"")</f>
        <v/>
      </c>
      <c r="F3491" s="88" t="str">
        <f aca="false">IF(D3491&lt;&gt;"",IFERROR(VLOOKUP(D3491,PROVEEDORES!$A:$C,3,0),""),"")</f>
        <v/>
      </c>
      <c r="G3491" s="87"/>
      <c r="H3491" s="46" t="str">
        <f aca="false">IF(G3491&lt;&gt;"",IFERROR(VLOOKUP(G3491,PRODUCTOS!$A:$B,2,0),"!COD NO ENCONTRADO"),"")</f>
        <v/>
      </c>
      <c r="I3491" s="89"/>
      <c r="J3491" s="90"/>
      <c r="K3491" s="91"/>
      <c r="L3491" s="80" t="str">
        <f aca="false">IF(AND(J3491&lt;&gt;"",K3491&lt;&gt;""),J3491*K3491,"")</f>
        <v/>
      </c>
      <c r="M3491" s="81" t="str">
        <f aca="false">IF(L3491&lt;&gt;"",L3491*1.1,"")</f>
        <v/>
      </c>
      <c r="N3491" s="47" t="n">
        <f aca="false">IF(F3491="S",L3491*0.02,0)</f>
        <v>0</v>
      </c>
      <c r="O3491" s="82" t="str">
        <f aca="false">IF(L3491&lt;&gt;"",L3491+N3491,"")</f>
        <v/>
      </c>
      <c r="P3491" s="47" t="str">
        <f aca="false">IF(O3491&lt;&gt;"",O3491*0.1,"")</f>
        <v/>
      </c>
      <c r="Q3491" s="83" t="str">
        <f aca="false">IF(O3491&lt;&gt;"",O3491+P3491,"")</f>
        <v/>
      </c>
      <c r="R3491" s="84"/>
    </row>
    <row r="3492" customFormat="false" ht="15" hidden="false" customHeight="true" outlineLevel="0" collapsed="false">
      <c r="A3492" s="103"/>
      <c r="B3492" s="73"/>
      <c r="C3492" s="74"/>
      <c r="D3492" s="75"/>
      <c r="E3492" s="52" t="str">
        <f aca="false">IF(D3492&lt;&gt;"",IFERROR(VLOOKUP(D3492,PROVEEDORES!$A:$B,2,0),"!COD NO ENCONTRADO"),"")</f>
        <v/>
      </c>
      <c r="F3492" s="76" t="str">
        <f aca="false">IF(D3492&lt;&gt;"",IFERROR(VLOOKUP(D3492,PROVEEDORES!$A:$C,3,0),""),"")</f>
        <v/>
      </c>
      <c r="G3492" s="75"/>
      <c r="H3492" s="52" t="str">
        <f aca="false">IF(G3492&lt;&gt;"",IFERROR(VLOOKUP(G3492,PRODUCTOS!$A:$B,2,0),"!COD NO ENCONTRADO"),"")</f>
        <v/>
      </c>
      <c r="I3492" s="77"/>
      <c r="J3492" s="78"/>
      <c r="K3492" s="79"/>
      <c r="L3492" s="80" t="str">
        <f aca="false">IF(AND(J3492&lt;&gt;"",K3492&lt;&gt;""),J3492*K3492,"")</f>
        <v/>
      </c>
      <c r="M3492" s="81" t="str">
        <f aca="false">IF(L3492&lt;&gt;"",L3492*1.1,"")</f>
        <v/>
      </c>
      <c r="N3492" s="53" t="n">
        <f aca="false">IF(F3492="S",L3492*0.02,0)</f>
        <v>0</v>
      </c>
      <c r="O3492" s="82" t="str">
        <f aca="false">IF(L3492&lt;&gt;"",L3492+N3492,"")</f>
        <v/>
      </c>
      <c r="P3492" s="53" t="str">
        <f aca="false">IF(O3492&lt;&gt;"",O3492*0.1,"")</f>
        <v/>
      </c>
      <c r="Q3492" s="83" t="str">
        <f aca="false">IF(O3492&lt;&gt;"",O3492+P3492,"")</f>
        <v/>
      </c>
      <c r="R3492" s="84"/>
    </row>
    <row r="3493" customFormat="false" ht="15" hidden="false" customHeight="true" outlineLevel="0" collapsed="false">
      <c r="A3493" s="103"/>
      <c r="B3493" s="85"/>
      <c r="C3493" s="86"/>
      <c r="D3493" s="87"/>
      <c r="E3493" s="46" t="str">
        <f aca="false">IF(D3493&lt;&gt;"",IFERROR(VLOOKUP(D3493,PROVEEDORES!$A:$B,2,0),"!COD NO ENCONTRADO"),"")</f>
        <v/>
      </c>
      <c r="F3493" s="88" t="str">
        <f aca="false">IF(D3493&lt;&gt;"",IFERROR(VLOOKUP(D3493,PROVEEDORES!$A:$C,3,0),""),"")</f>
        <v/>
      </c>
      <c r="G3493" s="87"/>
      <c r="H3493" s="46" t="str">
        <f aca="false">IF(G3493&lt;&gt;"",IFERROR(VLOOKUP(G3493,PRODUCTOS!$A:$B,2,0),"!COD NO ENCONTRADO"),"")</f>
        <v/>
      </c>
      <c r="I3493" s="89"/>
      <c r="J3493" s="90"/>
      <c r="K3493" s="91"/>
      <c r="L3493" s="80" t="str">
        <f aca="false">IF(AND(J3493&lt;&gt;"",K3493&lt;&gt;""),J3493*K3493,"")</f>
        <v/>
      </c>
      <c r="M3493" s="81" t="str">
        <f aca="false">IF(L3493&lt;&gt;"",L3493*1.1,"")</f>
        <v/>
      </c>
      <c r="N3493" s="47" t="n">
        <f aca="false">IF(F3493="S",L3493*0.02,0)</f>
        <v>0</v>
      </c>
      <c r="O3493" s="82" t="str">
        <f aca="false">IF(L3493&lt;&gt;"",L3493+N3493,"")</f>
        <v/>
      </c>
      <c r="P3493" s="47" t="str">
        <f aca="false">IF(O3493&lt;&gt;"",O3493*0.1,"")</f>
        <v/>
      </c>
      <c r="Q3493" s="83" t="str">
        <f aca="false">IF(O3493&lt;&gt;"",O3493+P3493,"")</f>
        <v/>
      </c>
      <c r="R3493" s="84"/>
    </row>
    <row r="3494" customFormat="false" ht="15" hidden="false" customHeight="true" outlineLevel="0" collapsed="false">
      <c r="A3494" s="103"/>
      <c r="B3494" s="73"/>
      <c r="C3494" s="74"/>
      <c r="D3494" s="75"/>
      <c r="E3494" s="52" t="str">
        <f aca="false">IF(D3494&lt;&gt;"",IFERROR(VLOOKUP(D3494,PROVEEDORES!$A:$B,2,0),"!COD NO ENCONTRADO"),"")</f>
        <v/>
      </c>
      <c r="F3494" s="76" t="str">
        <f aca="false">IF(D3494&lt;&gt;"",IFERROR(VLOOKUP(D3494,PROVEEDORES!$A:$C,3,0),""),"")</f>
        <v/>
      </c>
      <c r="G3494" s="75"/>
      <c r="H3494" s="52" t="str">
        <f aca="false">IF(G3494&lt;&gt;"",IFERROR(VLOOKUP(G3494,PRODUCTOS!$A:$B,2,0),"!COD NO ENCONTRADO"),"")</f>
        <v/>
      </c>
      <c r="I3494" s="77"/>
      <c r="J3494" s="78"/>
      <c r="K3494" s="79"/>
      <c r="L3494" s="80" t="str">
        <f aca="false">IF(AND(J3494&lt;&gt;"",K3494&lt;&gt;""),J3494*K3494,"")</f>
        <v/>
      </c>
      <c r="M3494" s="81" t="str">
        <f aca="false">IF(L3494&lt;&gt;"",L3494*1.1,"")</f>
        <v/>
      </c>
      <c r="N3494" s="53" t="n">
        <f aca="false">IF(F3494="S",L3494*0.02,0)</f>
        <v>0</v>
      </c>
      <c r="O3494" s="82" t="str">
        <f aca="false">IF(L3494&lt;&gt;"",L3494+N3494,"")</f>
        <v/>
      </c>
      <c r="P3494" s="53" t="str">
        <f aca="false">IF(O3494&lt;&gt;"",O3494*0.1,"")</f>
        <v/>
      </c>
      <c r="Q3494" s="83" t="str">
        <f aca="false">IF(O3494&lt;&gt;"",O3494+P3494,"")</f>
        <v/>
      </c>
      <c r="R3494" s="84"/>
    </row>
    <row r="3495" customFormat="false" ht="15" hidden="false" customHeight="true" outlineLevel="0" collapsed="false">
      <c r="A3495" s="103"/>
      <c r="B3495" s="85"/>
      <c r="C3495" s="86"/>
      <c r="D3495" s="87"/>
      <c r="E3495" s="46" t="str">
        <f aca="false">IF(D3495&lt;&gt;"",IFERROR(VLOOKUP(D3495,PROVEEDORES!$A:$B,2,0),"!COD NO ENCONTRADO"),"")</f>
        <v/>
      </c>
      <c r="F3495" s="88" t="str">
        <f aca="false">IF(D3495&lt;&gt;"",IFERROR(VLOOKUP(D3495,PROVEEDORES!$A:$C,3,0),""),"")</f>
        <v/>
      </c>
      <c r="G3495" s="87"/>
      <c r="H3495" s="46" t="str">
        <f aca="false">IF(G3495&lt;&gt;"",IFERROR(VLOOKUP(G3495,PRODUCTOS!$A:$B,2,0),"!COD NO ENCONTRADO"),"")</f>
        <v/>
      </c>
      <c r="I3495" s="89"/>
      <c r="J3495" s="90"/>
      <c r="K3495" s="91"/>
      <c r="L3495" s="80" t="str">
        <f aca="false">IF(AND(J3495&lt;&gt;"",K3495&lt;&gt;""),J3495*K3495,"")</f>
        <v/>
      </c>
      <c r="M3495" s="81" t="str">
        <f aca="false">IF(L3495&lt;&gt;"",L3495*1.1,"")</f>
        <v/>
      </c>
      <c r="N3495" s="47" t="n">
        <f aca="false">IF(F3495="S",L3495*0.02,0)</f>
        <v>0</v>
      </c>
      <c r="O3495" s="82" t="str">
        <f aca="false">IF(L3495&lt;&gt;"",L3495+N3495,"")</f>
        <v/>
      </c>
      <c r="P3495" s="47" t="str">
        <f aca="false">IF(O3495&lt;&gt;"",O3495*0.1,"")</f>
        <v/>
      </c>
      <c r="Q3495" s="83" t="str">
        <f aca="false">IF(O3495&lt;&gt;"",O3495+P3495,"")</f>
        <v/>
      </c>
      <c r="R3495" s="84"/>
    </row>
    <row r="3496" customFormat="false" ht="15" hidden="false" customHeight="true" outlineLevel="0" collapsed="false">
      <c r="A3496" s="103"/>
      <c r="B3496" s="73"/>
      <c r="C3496" s="74"/>
      <c r="D3496" s="75"/>
      <c r="E3496" s="52" t="str">
        <f aca="false">IF(D3496&lt;&gt;"",IFERROR(VLOOKUP(D3496,PROVEEDORES!$A:$B,2,0),"!COD NO ENCONTRADO"),"")</f>
        <v/>
      </c>
      <c r="F3496" s="76" t="str">
        <f aca="false">IF(D3496&lt;&gt;"",IFERROR(VLOOKUP(D3496,PROVEEDORES!$A:$C,3,0),""),"")</f>
        <v/>
      </c>
      <c r="G3496" s="75"/>
      <c r="H3496" s="52" t="str">
        <f aca="false">IF(G3496&lt;&gt;"",IFERROR(VLOOKUP(G3496,PRODUCTOS!$A:$B,2,0),"!COD NO ENCONTRADO"),"")</f>
        <v/>
      </c>
      <c r="I3496" s="77"/>
      <c r="J3496" s="78"/>
      <c r="K3496" s="79"/>
      <c r="L3496" s="80" t="str">
        <f aca="false">IF(AND(J3496&lt;&gt;"",K3496&lt;&gt;""),J3496*K3496,"")</f>
        <v/>
      </c>
      <c r="M3496" s="81" t="str">
        <f aca="false">IF(L3496&lt;&gt;"",L3496*1.1,"")</f>
        <v/>
      </c>
      <c r="N3496" s="53" t="n">
        <f aca="false">IF(F3496="S",L3496*0.02,0)</f>
        <v>0</v>
      </c>
      <c r="O3496" s="82" t="str">
        <f aca="false">IF(L3496&lt;&gt;"",L3496+N3496,"")</f>
        <v/>
      </c>
      <c r="P3496" s="53" t="str">
        <f aca="false">IF(O3496&lt;&gt;"",O3496*0.1,"")</f>
        <v/>
      </c>
      <c r="Q3496" s="83" t="str">
        <f aca="false">IF(O3496&lt;&gt;"",O3496+P3496,"")</f>
        <v/>
      </c>
      <c r="R3496" s="84"/>
    </row>
    <row r="3497" customFormat="false" ht="15" hidden="false" customHeight="true" outlineLevel="0" collapsed="false">
      <c r="A3497" s="103"/>
      <c r="B3497" s="85"/>
      <c r="C3497" s="86"/>
      <c r="D3497" s="87"/>
      <c r="E3497" s="46" t="str">
        <f aca="false">IF(D3497&lt;&gt;"",IFERROR(VLOOKUP(D3497,PROVEEDORES!$A:$B,2,0),"!COD NO ENCONTRADO"),"")</f>
        <v/>
      </c>
      <c r="F3497" s="88" t="str">
        <f aca="false">IF(D3497&lt;&gt;"",IFERROR(VLOOKUP(D3497,PROVEEDORES!$A:$C,3,0),""),"")</f>
        <v/>
      </c>
      <c r="G3497" s="87"/>
      <c r="H3497" s="46" t="str">
        <f aca="false">IF(G3497&lt;&gt;"",IFERROR(VLOOKUP(G3497,PRODUCTOS!$A:$B,2,0),"!COD NO ENCONTRADO"),"")</f>
        <v/>
      </c>
      <c r="I3497" s="89"/>
      <c r="J3497" s="90"/>
      <c r="K3497" s="91"/>
      <c r="L3497" s="80" t="str">
        <f aca="false">IF(AND(J3497&lt;&gt;"",K3497&lt;&gt;""),J3497*K3497,"")</f>
        <v/>
      </c>
      <c r="M3497" s="81" t="str">
        <f aca="false">IF(L3497&lt;&gt;"",L3497*1.1,"")</f>
        <v/>
      </c>
      <c r="N3497" s="47" t="n">
        <f aca="false">IF(F3497="S",L3497*0.02,0)</f>
        <v>0</v>
      </c>
      <c r="O3497" s="82" t="str">
        <f aca="false">IF(L3497&lt;&gt;"",L3497+N3497,"")</f>
        <v/>
      </c>
      <c r="P3497" s="47" t="str">
        <f aca="false">IF(O3497&lt;&gt;"",O3497*0.1,"")</f>
        <v/>
      </c>
      <c r="Q3497" s="83" t="str">
        <f aca="false">IF(O3497&lt;&gt;"",O3497+P3497,"")</f>
        <v/>
      </c>
      <c r="R3497" s="84"/>
    </row>
    <row r="3498" customFormat="false" ht="15" hidden="false" customHeight="true" outlineLevel="0" collapsed="false">
      <c r="A3498" s="103"/>
      <c r="B3498" s="73"/>
      <c r="C3498" s="74"/>
      <c r="D3498" s="75"/>
      <c r="E3498" s="52" t="str">
        <f aca="false">IF(D3498&lt;&gt;"",IFERROR(VLOOKUP(D3498,PROVEEDORES!$A:$B,2,0),"!COD NO ENCONTRADO"),"")</f>
        <v/>
      </c>
      <c r="F3498" s="76" t="str">
        <f aca="false">IF(D3498&lt;&gt;"",IFERROR(VLOOKUP(D3498,PROVEEDORES!$A:$C,3,0),""),"")</f>
        <v/>
      </c>
      <c r="G3498" s="75"/>
      <c r="H3498" s="52" t="str">
        <f aca="false">IF(G3498&lt;&gt;"",IFERROR(VLOOKUP(G3498,PRODUCTOS!$A:$B,2,0),"!COD NO ENCONTRADO"),"")</f>
        <v/>
      </c>
      <c r="I3498" s="77"/>
      <c r="J3498" s="78"/>
      <c r="K3498" s="79"/>
      <c r="L3498" s="80" t="str">
        <f aca="false">IF(AND(J3498&lt;&gt;"",K3498&lt;&gt;""),J3498*K3498,"")</f>
        <v/>
      </c>
      <c r="M3498" s="81" t="str">
        <f aca="false">IF(L3498&lt;&gt;"",L3498*1.1,"")</f>
        <v/>
      </c>
      <c r="N3498" s="53" t="n">
        <f aca="false">IF(F3498="S",L3498*0.02,0)</f>
        <v>0</v>
      </c>
      <c r="O3498" s="82" t="str">
        <f aca="false">IF(L3498&lt;&gt;"",L3498+N3498,"")</f>
        <v/>
      </c>
      <c r="P3498" s="53" t="str">
        <f aca="false">IF(O3498&lt;&gt;"",O3498*0.1,"")</f>
        <v/>
      </c>
      <c r="Q3498" s="83" t="str">
        <f aca="false">IF(O3498&lt;&gt;"",O3498+P3498,"")</f>
        <v/>
      </c>
      <c r="R3498" s="84"/>
    </row>
    <row r="3499" customFormat="false" ht="15" hidden="false" customHeight="true" outlineLevel="0" collapsed="false">
      <c r="A3499" s="103"/>
      <c r="B3499" s="85"/>
      <c r="C3499" s="86"/>
      <c r="D3499" s="87"/>
      <c r="E3499" s="46" t="str">
        <f aca="false">IF(D3499&lt;&gt;"",IFERROR(VLOOKUP(D3499,PROVEEDORES!$A:$B,2,0),"!COD NO ENCONTRADO"),"")</f>
        <v/>
      </c>
      <c r="F3499" s="88" t="str">
        <f aca="false">IF(D3499&lt;&gt;"",IFERROR(VLOOKUP(D3499,PROVEEDORES!$A:$C,3,0),""),"")</f>
        <v/>
      </c>
      <c r="G3499" s="87"/>
      <c r="H3499" s="46" t="str">
        <f aca="false">IF(G3499&lt;&gt;"",IFERROR(VLOOKUP(G3499,PRODUCTOS!$A:$B,2,0),"!COD NO ENCONTRADO"),"")</f>
        <v/>
      </c>
      <c r="I3499" s="89"/>
      <c r="J3499" s="90"/>
      <c r="K3499" s="91"/>
      <c r="L3499" s="80" t="str">
        <f aca="false">IF(AND(J3499&lt;&gt;"",K3499&lt;&gt;""),J3499*K3499,"")</f>
        <v/>
      </c>
      <c r="M3499" s="81" t="str">
        <f aca="false">IF(L3499&lt;&gt;"",L3499*1.1,"")</f>
        <v/>
      </c>
      <c r="N3499" s="47" t="n">
        <f aca="false">IF(F3499="S",L3499*0.02,0)</f>
        <v>0</v>
      </c>
      <c r="O3499" s="82" t="str">
        <f aca="false">IF(L3499&lt;&gt;"",L3499+N3499,"")</f>
        <v/>
      </c>
      <c r="P3499" s="47" t="str">
        <f aca="false">IF(O3499&lt;&gt;"",O3499*0.1,"")</f>
        <v/>
      </c>
      <c r="Q3499" s="83" t="str">
        <f aca="false">IF(O3499&lt;&gt;"",O3499+P3499,"")</f>
        <v/>
      </c>
      <c r="R3499" s="84"/>
    </row>
    <row r="3500" customFormat="false" ht="15" hidden="false" customHeight="true" outlineLevel="0" collapsed="false">
      <c r="A3500" s="103"/>
      <c r="B3500" s="73"/>
      <c r="C3500" s="74"/>
      <c r="D3500" s="75"/>
      <c r="E3500" s="52" t="str">
        <f aca="false">IF(D3500&lt;&gt;"",IFERROR(VLOOKUP(D3500,PROVEEDORES!$A:$B,2,0),"!COD NO ENCONTRADO"),"")</f>
        <v/>
      </c>
      <c r="F3500" s="76" t="str">
        <f aca="false">IF(D3500&lt;&gt;"",IFERROR(VLOOKUP(D3500,PROVEEDORES!$A:$C,3,0),""),"")</f>
        <v/>
      </c>
      <c r="G3500" s="75"/>
      <c r="H3500" s="52" t="str">
        <f aca="false">IF(G3500&lt;&gt;"",IFERROR(VLOOKUP(G3500,PRODUCTOS!$A:$B,2,0),"!COD NO ENCONTRADO"),"")</f>
        <v/>
      </c>
      <c r="I3500" s="77"/>
      <c r="J3500" s="78"/>
      <c r="K3500" s="79"/>
      <c r="L3500" s="80" t="str">
        <f aca="false">IF(AND(J3500&lt;&gt;"",K3500&lt;&gt;""),J3500*K3500,"")</f>
        <v/>
      </c>
      <c r="M3500" s="81" t="str">
        <f aca="false">IF(L3500&lt;&gt;"",L3500*1.1,"")</f>
        <v/>
      </c>
      <c r="N3500" s="53" t="n">
        <f aca="false">IF(F3500="S",L3500*0.02,0)</f>
        <v>0</v>
      </c>
      <c r="O3500" s="82" t="str">
        <f aca="false">IF(L3500&lt;&gt;"",L3500+N3500,"")</f>
        <v/>
      </c>
      <c r="P3500" s="53" t="str">
        <f aca="false">IF(O3500&lt;&gt;"",O3500*0.1,"")</f>
        <v/>
      </c>
      <c r="Q3500" s="83" t="str">
        <f aca="false">IF(O3500&lt;&gt;"",O3500+P3500,"")</f>
        <v/>
      </c>
      <c r="R3500" s="84"/>
    </row>
    <row r="3501" customFormat="false" ht="15" hidden="false" customHeight="true" outlineLevel="0" collapsed="false">
      <c r="A3501" s="103"/>
      <c r="B3501" s="85"/>
      <c r="C3501" s="86"/>
      <c r="D3501" s="87"/>
      <c r="E3501" s="46" t="str">
        <f aca="false">IF(D3501&lt;&gt;"",IFERROR(VLOOKUP(D3501,PROVEEDORES!$A:$B,2,0),"!COD NO ENCONTRADO"),"")</f>
        <v/>
      </c>
      <c r="F3501" s="88" t="str">
        <f aca="false">IF(D3501&lt;&gt;"",IFERROR(VLOOKUP(D3501,PROVEEDORES!$A:$C,3,0),""),"")</f>
        <v/>
      </c>
      <c r="G3501" s="87"/>
      <c r="H3501" s="46" t="str">
        <f aca="false">IF(G3501&lt;&gt;"",IFERROR(VLOOKUP(G3501,PRODUCTOS!$A:$B,2,0),"!COD NO ENCONTRADO"),"")</f>
        <v/>
      </c>
      <c r="I3501" s="89"/>
      <c r="J3501" s="90"/>
      <c r="K3501" s="91"/>
      <c r="L3501" s="80" t="str">
        <f aca="false">IF(AND(J3501&lt;&gt;"",K3501&lt;&gt;""),J3501*K3501,"")</f>
        <v/>
      </c>
      <c r="M3501" s="81" t="str">
        <f aca="false">IF(L3501&lt;&gt;"",L3501*1.1,"")</f>
        <v/>
      </c>
      <c r="N3501" s="47" t="n">
        <f aca="false">IF(F3501="S",L3501*0.02,0)</f>
        <v>0</v>
      </c>
      <c r="O3501" s="82" t="str">
        <f aca="false">IF(L3501&lt;&gt;"",L3501+N3501,"")</f>
        <v/>
      </c>
      <c r="P3501" s="47" t="str">
        <f aca="false">IF(O3501&lt;&gt;"",O3501*0.1,"")</f>
        <v/>
      </c>
      <c r="Q3501" s="83" t="str">
        <f aca="false">IF(O3501&lt;&gt;"",O3501+P3501,"")</f>
        <v/>
      </c>
      <c r="R3501" s="84"/>
    </row>
    <row r="3502" customFormat="false" ht="15" hidden="false" customHeight="true" outlineLevel="0" collapsed="false">
      <c r="A3502" s="103"/>
      <c r="B3502" s="73"/>
      <c r="C3502" s="74"/>
      <c r="D3502" s="75"/>
      <c r="E3502" s="52" t="str">
        <f aca="false">IF(D3502&lt;&gt;"",IFERROR(VLOOKUP(D3502,PROVEEDORES!$A:$B,2,0),"!COD NO ENCONTRADO"),"")</f>
        <v/>
      </c>
      <c r="F3502" s="76" t="str">
        <f aca="false">IF(D3502&lt;&gt;"",IFERROR(VLOOKUP(D3502,PROVEEDORES!$A:$C,3,0),""),"")</f>
        <v/>
      </c>
      <c r="G3502" s="75"/>
      <c r="H3502" s="52" t="str">
        <f aca="false">IF(G3502&lt;&gt;"",IFERROR(VLOOKUP(G3502,PRODUCTOS!$A:$B,2,0),"!COD NO ENCONTRADO"),"")</f>
        <v/>
      </c>
      <c r="I3502" s="77"/>
      <c r="J3502" s="78"/>
      <c r="K3502" s="79"/>
      <c r="L3502" s="80" t="str">
        <f aca="false">IF(AND(J3502&lt;&gt;"",K3502&lt;&gt;""),J3502*K3502,"")</f>
        <v/>
      </c>
      <c r="M3502" s="81" t="str">
        <f aca="false">IF(L3502&lt;&gt;"",L3502*1.1,"")</f>
        <v/>
      </c>
      <c r="N3502" s="53" t="n">
        <f aca="false">IF(F3502="S",L3502*0.02,0)</f>
        <v>0</v>
      </c>
      <c r="O3502" s="82" t="str">
        <f aca="false">IF(L3502&lt;&gt;"",L3502+N3502,"")</f>
        <v/>
      </c>
      <c r="P3502" s="53" t="str">
        <f aca="false">IF(O3502&lt;&gt;"",O3502*0.1,"")</f>
        <v/>
      </c>
      <c r="Q3502" s="83" t="str">
        <f aca="false">IF(O3502&lt;&gt;"",O3502+P3502,"")</f>
        <v/>
      </c>
      <c r="R3502" s="84"/>
    </row>
    <row r="3503" customFormat="false" ht="15" hidden="false" customHeight="true" outlineLevel="0" collapsed="false">
      <c r="A3503" s="103"/>
      <c r="B3503" s="85"/>
      <c r="C3503" s="86"/>
      <c r="D3503" s="87"/>
      <c r="E3503" s="46" t="str">
        <f aca="false">IF(D3503&lt;&gt;"",IFERROR(VLOOKUP(D3503,PROVEEDORES!$A:$B,2,0),"!COD NO ENCONTRADO"),"")</f>
        <v/>
      </c>
      <c r="F3503" s="88" t="str">
        <f aca="false">IF(D3503&lt;&gt;"",IFERROR(VLOOKUP(D3503,PROVEEDORES!$A:$C,3,0),""),"")</f>
        <v/>
      </c>
      <c r="G3503" s="87"/>
      <c r="H3503" s="46" t="str">
        <f aca="false">IF(G3503&lt;&gt;"",IFERROR(VLOOKUP(G3503,PRODUCTOS!$A:$B,2,0),"!COD NO ENCONTRADO"),"")</f>
        <v/>
      </c>
      <c r="I3503" s="89"/>
      <c r="J3503" s="90"/>
      <c r="K3503" s="91"/>
      <c r="L3503" s="80" t="str">
        <f aca="false">IF(AND(J3503&lt;&gt;"",K3503&lt;&gt;""),J3503*K3503,"")</f>
        <v/>
      </c>
      <c r="M3503" s="81" t="str">
        <f aca="false">IF(L3503&lt;&gt;"",L3503*1.1,"")</f>
        <v/>
      </c>
      <c r="N3503" s="47" t="n">
        <f aca="false">IF(F3503="S",L3503*0.02,0)</f>
        <v>0</v>
      </c>
      <c r="O3503" s="82" t="str">
        <f aca="false">IF(L3503&lt;&gt;"",L3503+N3503,"")</f>
        <v/>
      </c>
      <c r="P3503" s="47" t="str">
        <f aca="false">IF(O3503&lt;&gt;"",O3503*0.1,"")</f>
        <v/>
      </c>
      <c r="Q3503" s="83" t="str">
        <f aca="false">IF(O3503&lt;&gt;"",O3503+P3503,"")</f>
        <v/>
      </c>
      <c r="R3503" s="84"/>
    </row>
    <row r="3504" customFormat="false" ht="15" hidden="false" customHeight="true" outlineLevel="0" collapsed="false">
      <c r="A3504" s="103"/>
      <c r="B3504" s="73"/>
      <c r="C3504" s="74"/>
      <c r="D3504" s="75"/>
      <c r="E3504" s="52" t="str">
        <f aca="false">IF(D3504&lt;&gt;"",IFERROR(VLOOKUP(D3504,PROVEEDORES!$A:$B,2,0),"!COD NO ENCONTRADO"),"")</f>
        <v/>
      </c>
      <c r="F3504" s="76" t="str">
        <f aca="false">IF(D3504&lt;&gt;"",IFERROR(VLOOKUP(D3504,PROVEEDORES!$A:$C,3,0),""),"")</f>
        <v/>
      </c>
      <c r="G3504" s="75"/>
      <c r="H3504" s="52" t="str">
        <f aca="false">IF(G3504&lt;&gt;"",IFERROR(VLOOKUP(G3504,PRODUCTOS!$A:$B,2,0),"!COD NO ENCONTRADO"),"")</f>
        <v/>
      </c>
      <c r="I3504" s="77"/>
      <c r="J3504" s="78"/>
      <c r="K3504" s="79"/>
      <c r="L3504" s="80" t="str">
        <f aca="false">IF(AND(J3504&lt;&gt;"",K3504&lt;&gt;""),J3504*K3504,"")</f>
        <v/>
      </c>
      <c r="M3504" s="81" t="str">
        <f aca="false">IF(L3504&lt;&gt;"",L3504*1.1,"")</f>
        <v/>
      </c>
      <c r="N3504" s="53" t="n">
        <f aca="false">IF(F3504="S",L3504*0.02,0)</f>
        <v>0</v>
      </c>
      <c r="O3504" s="82" t="str">
        <f aca="false">IF(L3504&lt;&gt;"",L3504+N3504,"")</f>
        <v/>
      </c>
      <c r="P3504" s="53" t="str">
        <f aca="false">IF(O3504&lt;&gt;"",O3504*0.1,"")</f>
        <v/>
      </c>
      <c r="Q3504" s="83" t="str">
        <f aca="false">IF(O3504&lt;&gt;"",O3504+P3504,"")</f>
        <v/>
      </c>
      <c r="R3504" s="84"/>
    </row>
    <row r="3505" customFormat="false" ht="15" hidden="false" customHeight="true" outlineLevel="0" collapsed="false">
      <c r="A3505" s="103"/>
      <c r="B3505" s="85"/>
      <c r="C3505" s="86"/>
      <c r="D3505" s="87"/>
      <c r="E3505" s="46" t="str">
        <f aca="false">IF(D3505&lt;&gt;"",IFERROR(VLOOKUP(D3505,PROVEEDORES!$A:$B,2,0),"!COD NO ENCONTRADO"),"")</f>
        <v/>
      </c>
      <c r="F3505" s="88" t="str">
        <f aca="false">IF(D3505&lt;&gt;"",IFERROR(VLOOKUP(D3505,PROVEEDORES!$A:$C,3,0),""),"")</f>
        <v/>
      </c>
      <c r="G3505" s="87"/>
      <c r="H3505" s="46" t="str">
        <f aca="false">IF(G3505&lt;&gt;"",IFERROR(VLOOKUP(G3505,PRODUCTOS!$A:$B,2,0),"!COD NO ENCONTRADO"),"")</f>
        <v/>
      </c>
      <c r="I3505" s="89"/>
      <c r="J3505" s="90"/>
      <c r="K3505" s="91"/>
      <c r="L3505" s="80" t="str">
        <f aca="false">IF(AND(J3505&lt;&gt;"",K3505&lt;&gt;""),J3505*K3505,"")</f>
        <v/>
      </c>
      <c r="M3505" s="81" t="str">
        <f aca="false">IF(L3505&lt;&gt;"",L3505*1.1,"")</f>
        <v/>
      </c>
      <c r="N3505" s="47" t="n">
        <f aca="false">IF(F3505="S",L3505*0.02,0)</f>
        <v>0</v>
      </c>
      <c r="O3505" s="82" t="str">
        <f aca="false">IF(L3505&lt;&gt;"",L3505+N3505,"")</f>
        <v/>
      </c>
      <c r="P3505" s="47" t="str">
        <f aca="false">IF(O3505&lt;&gt;"",O3505*0.1,"")</f>
        <v/>
      </c>
      <c r="Q3505" s="83" t="str">
        <f aca="false">IF(O3505&lt;&gt;"",O3505+P3505,"")</f>
        <v/>
      </c>
      <c r="R3505" s="84"/>
    </row>
    <row r="3506" customFormat="false" ht="15" hidden="false" customHeight="true" outlineLevel="0" collapsed="false">
      <c r="A3506" s="103"/>
      <c r="B3506" s="73"/>
      <c r="C3506" s="74"/>
      <c r="D3506" s="75"/>
      <c r="E3506" s="52" t="str">
        <f aca="false">IF(D3506&lt;&gt;"",IFERROR(VLOOKUP(D3506,PROVEEDORES!$A:$B,2,0),"!COD NO ENCONTRADO"),"")</f>
        <v/>
      </c>
      <c r="F3506" s="76" t="str">
        <f aca="false">IF(D3506&lt;&gt;"",IFERROR(VLOOKUP(D3506,PROVEEDORES!$A:$C,3,0),""),"")</f>
        <v/>
      </c>
      <c r="G3506" s="75"/>
      <c r="H3506" s="52" t="str">
        <f aca="false">IF(G3506&lt;&gt;"",IFERROR(VLOOKUP(G3506,PRODUCTOS!$A:$B,2,0),"!COD NO ENCONTRADO"),"")</f>
        <v/>
      </c>
      <c r="I3506" s="77"/>
      <c r="J3506" s="78"/>
      <c r="K3506" s="79"/>
      <c r="L3506" s="80" t="str">
        <f aca="false">IF(AND(J3506&lt;&gt;"",K3506&lt;&gt;""),J3506*K3506,"")</f>
        <v/>
      </c>
      <c r="M3506" s="81" t="str">
        <f aca="false">IF(L3506&lt;&gt;"",L3506*1.1,"")</f>
        <v/>
      </c>
      <c r="N3506" s="53" t="n">
        <f aca="false">IF(F3506="S",L3506*0.02,0)</f>
        <v>0</v>
      </c>
      <c r="O3506" s="82" t="str">
        <f aca="false">IF(L3506&lt;&gt;"",L3506+N3506,"")</f>
        <v/>
      </c>
      <c r="P3506" s="53" t="str">
        <f aca="false">IF(O3506&lt;&gt;"",O3506*0.1,"")</f>
        <v/>
      </c>
      <c r="Q3506" s="83" t="str">
        <f aca="false">IF(O3506&lt;&gt;"",O3506+P3506,"")</f>
        <v/>
      </c>
      <c r="R3506" s="84"/>
    </row>
    <row r="3507" customFormat="false" ht="15" hidden="false" customHeight="true" outlineLevel="0" collapsed="false">
      <c r="A3507" s="103"/>
      <c r="B3507" s="85"/>
      <c r="C3507" s="86"/>
      <c r="D3507" s="87"/>
      <c r="E3507" s="46" t="str">
        <f aca="false">IF(D3507&lt;&gt;"",IFERROR(VLOOKUP(D3507,PROVEEDORES!$A:$B,2,0),"!COD NO ENCONTRADO"),"")</f>
        <v/>
      </c>
      <c r="F3507" s="88" t="str">
        <f aca="false">IF(D3507&lt;&gt;"",IFERROR(VLOOKUP(D3507,PROVEEDORES!$A:$C,3,0),""),"")</f>
        <v/>
      </c>
      <c r="G3507" s="87"/>
      <c r="H3507" s="46" t="str">
        <f aca="false">IF(G3507&lt;&gt;"",IFERROR(VLOOKUP(G3507,PRODUCTOS!$A:$B,2,0),"!COD NO ENCONTRADO"),"")</f>
        <v/>
      </c>
      <c r="I3507" s="89"/>
      <c r="J3507" s="90"/>
      <c r="K3507" s="91"/>
      <c r="L3507" s="80" t="str">
        <f aca="false">IF(AND(J3507&lt;&gt;"",K3507&lt;&gt;""),J3507*K3507,"")</f>
        <v/>
      </c>
      <c r="M3507" s="81" t="str">
        <f aca="false">IF(L3507&lt;&gt;"",L3507*1.1,"")</f>
        <v/>
      </c>
      <c r="N3507" s="47" t="n">
        <f aca="false">IF(F3507="S",L3507*0.02,0)</f>
        <v>0</v>
      </c>
      <c r="O3507" s="82" t="str">
        <f aca="false">IF(L3507&lt;&gt;"",L3507+N3507,"")</f>
        <v/>
      </c>
      <c r="P3507" s="47" t="str">
        <f aca="false">IF(O3507&lt;&gt;"",O3507*0.1,"")</f>
        <v/>
      </c>
      <c r="Q3507" s="83" t="str">
        <f aca="false">IF(O3507&lt;&gt;"",O3507+P3507,"")</f>
        <v/>
      </c>
      <c r="R3507" s="84"/>
    </row>
    <row r="3508" customFormat="false" ht="15" hidden="false" customHeight="true" outlineLevel="0" collapsed="false">
      <c r="A3508" s="103"/>
      <c r="B3508" s="73"/>
      <c r="C3508" s="74"/>
      <c r="D3508" s="75"/>
      <c r="E3508" s="52" t="str">
        <f aca="false">IF(D3508&lt;&gt;"",IFERROR(VLOOKUP(D3508,PROVEEDORES!$A:$B,2,0),"!COD NO ENCONTRADO"),"")</f>
        <v/>
      </c>
      <c r="F3508" s="76" t="str">
        <f aca="false">IF(D3508&lt;&gt;"",IFERROR(VLOOKUP(D3508,PROVEEDORES!$A:$C,3,0),""),"")</f>
        <v/>
      </c>
      <c r="G3508" s="75"/>
      <c r="H3508" s="52" t="str">
        <f aca="false">IF(G3508&lt;&gt;"",IFERROR(VLOOKUP(G3508,PRODUCTOS!$A:$B,2,0),"!COD NO ENCONTRADO"),"")</f>
        <v/>
      </c>
      <c r="I3508" s="77"/>
      <c r="J3508" s="78"/>
      <c r="K3508" s="79"/>
      <c r="L3508" s="80" t="str">
        <f aca="false">IF(AND(J3508&lt;&gt;"",K3508&lt;&gt;""),J3508*K3508,"")</f>
        <v/>
      </c>
      <c r="M3508" s="81" t="str">
        <f aca="false">IF(L3508&lt;&gt;"",L3508*1.1,"")</f>
        <v/>
      </c>
      <c r="N3508" s="53" t="n">
        <f aca="false">IF(F3508="S",L3508*0.02,0)</f>
        <v>0</v>
      </c>
      <c r="O3508" s="82" t="str">
        <f aca="false">IF(L3508&lt;&gt;"",L3508+N3508,"")</f>
        <v/>
      </c>
      <c r="P3508" s="53" t="str">
        <f aca="false">IF(O3508&lt;&gt;"",O3508*0.1,"")</f>
        <v/>
      </c>
      <c r="Q3508" s="83" t="str">
        <f aca="false">IF(O3508&lt;&gt;"",O3508+P3508,"")</f>
        <v/>
      </c>
      <c r="R3508" s="84"/>
    </row>
    <row r="3509" customFormat="false" ht="15" hidden="false" customHeight="true" outlineLevel="0" collapsed="false">
      <c r="A3509" s="103"/>
      <c r="B3509" s="85"/>
      <c r="C3509" s="86"/>
      <c r="D3509" s="87"/>
      <c r="E3509" s="46" t="str">
        <f aca="false">IF(D3509&lt;&gt;"",IFERROR(VLOOKUP(D3509,PROVEEDORES!$A:$B,2,0),"!COD NO ENCONTRADO"),"")</f>
        <v/>
      </c>
      <c r="F3509" s="88" t="str">
        <f aca="false">IF(D3509&lt;&gt;"",IFERROR(VLOOKUP(D3509,PROVEEDORES!$A:$C,3,0),""),"")</f>
        <v/>
      </c>
      <c r="G3509" s="87"/>
      <c r="H3509" s="46" t="str">
        <f aca="false">IF(G3509&lt;&gt;"",IFERROR(VLOOKUP(G3509,PRODUCTOS!$A:$B,2,0),"!COD NO ENCONTRADO"),"")</f>
        <v/>
      </c>
      <c r="I3509" s="89"/>
      <c r="J3509" s="90"/>
      <c r="K3509" s="91"/>
      <c r="L3509" s="80" t="str">
        <f aca="false">IF(AND(J3509&lt;&gt;"",K3509&lt;&gt;""),J3509*K3509,"")</f>
        <v/>
      </c>
      <c r="M3509" s="81" t="str">
        <f aca="false">IF(L3509&lt;&gt;"",L3509*1.1,"")</f>
        <v/>
      </c>
      <c r="N3509" s="47" t="n">
        <f aca="false">IF(F3509="S",L3509*0.02,0)</f>
        <v>0</v>
      </c>
      <c r="O3509" s="82" t="str">
        <f aca="false">IF(L3509&lt;&gt;"",L3509+N3509,"")</f>
        <v/>
      </c>
      <c r="P3509" s="47" t="str">
        <f aca="false">IF(O3509&lt;&gt;"",O3509*0.1,"")</f>
        <v/>
      </c>
      <c r="Q3509" s="83" t="str">
        <f aca="false">IF(O3509&lt;&gt;"",O3509+P3509,"")</f>
        <v/>
      </c>
      <c r="R3509" s="84"/>
    </row>
    <row r="3510" customFormat="false" ht="15" hidden="false" customHeight="true" outlineLevel="0" collapsed="false">
      <c r="A3510" s="103"/>
      <c r="B3510" s="73"/>
      <c r="C3510" s="74"/>
      <c r="D3510" s="75"/>
      <c r="E3510" s="52" t="str">
        <f aca="false">IF(D3510&lt;&gt;"",IFERROR(VLOOKUP(D3510,PROVEEDORES!$A:$B,2,0),"!COD NO ENCONTRADO"),"")</f>
        <v/>
      </c>
      <c r="F3510" s="76" t="str">
        <f aca="false">IF(D3510&lt;&gt;"",IFERROR(VLOOKUP(D3510,PROVEEDORES!$A:$C,3,0),""),"")</f>
        <v/>
      </c>
      <c r="G3510" s="75"/>
      <c r="H3510" s="52" t="str">
        <f aca="false">IF(G3510&lt;&gt;"",IFERROR(VLOOKUP(G3510,PRODUCTOS!$A:$B,2,0),"!COD NO ENCONTRADO"),"")</f>
        <v/>
      </c>
      <c r="I3510" s="77"/>
      <c r="J3510" s="78"/>
      <c r="K3510" s="79"/>
      <c r="L3510" s="80" t="str">
        <f aca="false">IF(AND(J3510&lt;&gt;"",K3510&lt;&gt;""),J3510*K3510,"")</f>
        <v/>
      </c>
      <c r="M3510" s="81" t="str">
        <f aca="false">IF(L3510&lt;&gt;"",L3510*1.1,"")</f>
        <v/>
      </c>
      <c r="N3510" s="53" t="n">
        <f aca="false">IF(F3510="S",L3510*0.02,0)</f>
        <v>0</v>
      </c>
      <c r="O3510" s="82" t="str">
        <f aca="false">IF(L3510&lt;&gt;"",L3510+N3510,"")</f>
        <v/>
      </c>
      <c r="P3510" s="53" t="str">
        <f aca="false">IF(O3510&lt;&gt;"",O3510*0.1,"")</f>
        <v/>
      </c>
      <c r="Q3510" s="83" t="str">
        <f aca="false">IF(O3510&lt;&gt;"",O3510+P3510,"")</f>
        <v/>
      </c>
      <c r="R3510" s="84"/>
    </row>
    <row r="3511" customFormat="false" ht="15" hidden="false" customHeight="true" outlineLevel="0" collapsed="false">
      <c r="A3511" s="103"/>
      <c r="B3511" s="85"/>
      <c r="C3511" s="86"/>
      <c r="D3511" s="87"/>
      <c r="E3511" s="46" t="str">
        <f aca="false">IF(D3511&lt;&gt;"",IFERROR(VLOOKUP(D3511,PROVEEDORES!$A:$B,2,0),"!COD NO ENCONTRADO"),"")</f>
        <v/>
      </c>
      <c r="F3511" s="88" t="str">
        <f aca="false">IF(D3511&lt;&gt;"",IFERROR(VLOOKUP(D3511,PROVEEDORES!$A:$C,3,0),""),"")</f>
        <v/>
      </c>
      <c r="G3511" s="87"/>
      <c r="H3511" s="46" t="str">
        <f aca="false">IF(G3511&lt;&gt;"",IFERROR(VLOOKUP(G3511,PRODUCTOS!$A:$B,2,0),"!COD NO ENCONTRADO"),"")</f>
        <v/>
      </c>
      <c r="I3511" s="89"/>
      <c r="J3511" s="90"/>
      <c r="K3511" s="91"/>
      <c r="L3511" s="80" t="str">
        <f aca="false">IF(AND(J3511&lt;&gt;"",K3511&lt;&gt;""),J3511*K3511,"")</f>
        <v/>
      </c>
      <c r="M3511" s="81" t="str">
        <f aca="false">IF(L3511&lt;&gt;"",L3511*1.1,"")</f>
        <v/>
      </c>
      <c r="N3511" s="47" t="n">
        <f aca="false">IF(F3511="S",L3511*0.02,0)</f>
        <v>0</v>
      </c>
      <c r="O3511" s="82" t="str">
        <f aca="false">IF(L3511&lt;&gt;"",L3511+N3511,"")</f>
        <v/>
      </c>
      <c r="P3511" s="47" t="str">
        <f aca="false">IF(O3511&lt;&gt;"",O3511*0.1,"")</f>
        <v/>
      </c>
      <c r="Q3511" s="83" t="str">
        <f aca="false">IF(O3511&lt;&gt;"",O3511+P3511,"")</f>
        <v/>
      </c>
      <c r="R3511" s="84"/>
    </row>
    <row r="3512" customFormat="false" ht="15" hidden="false" customHeight="true" outlineLevel="0" collapsed="false">
      <c r="A3512" s="103"/>
      <c r="B3512" s="73"/>
      <c r="C3512" s="74"/>
      <c r="D3512" s="75"/>
      <c r="E3512" s="52" t="str">
        <f aca="false">IF(D3512&lt;&gt;"",IFERROR(VLOOKUP(D3512,PROVEEDORES!$A:$B,2,0),"!COD NO ENCONTRADO"),"")</f>
        <v/>
      </c>
      <c r="F3512" s="76" t="str">
        <f aca="false">IF(D3512&lt;&gt;"",IFERROR(VLOOKUP(D3512,PROVEEDORES!$A:$C,3,0),""),"")</f>
        <v/>
      </c>
      <c r="G3512" s="75"/>
      <c r="H3512" s="52" t="str">
        <f aca="false">IF(G3512&lt;&gt;"",IFERROR(VLOOKUP(G3512,PRODUCTOS!$A:$B,2,0),"!COD NO ENCONTRADO"),"")</f>
        <v/>
      </c>
      <c r="I3512" s="77"/>
      <c r="J3512" s="78"/>
      <c r="K3512" s="79"/>
      <c r="L3512" s="80" t="str">
        <f aca="false">IF(AND(J3512&lt;&gt;"",K3512&lt;&gt;""),J3512*K3512,"")</f>
        <v/>
      </c>
      <c r="M3512" s="81" t="str">
        <f aca="false">IF(L3512&lt;&gt;"",L3512*1.1,"")</f>
        <v/>
      </c>
      <c r="N3512" s="53" t="n">
        <f aca="false">IF(F3512="S",L3512*0.02,0)</f>
        <v>0</v>
      </c>
      <c r="O3512" s="82" t="str">
        <f aca="false">IF(L3512&lt;&gt;"",L3512+N3512,"")</f>
        <v/>
      </c>
      <c r="P3512" s="53" t="str">
        <f aca="false">IF(O3512&lt;&gt;"",O3512*0.1,"")</f>
        <v/>
      </c>
      <c r="Q3512" s="83" t="str">
        <f aca="false">IF(O3512&lt;&gt;"",O3512+P3512,"")</f>
        <v/>
      </c>
      <c r="R3512" s="84"/>
    </row>
    <row r="3513" customFormat="false" ht="15" hidden="false" customHeight="true" outlineLevel="0" collapsed="false">
      <c r="A3513" s="103"/>
      <c r="B3513" s="85"/>
      <c r="C3513" s="86"/>
      <c r="D3513" s="87"/>
      <c r="E3513" s="46" t="str">
        <f aca="false">IF(D3513&lt;&gt;"",IFERROR(VLOOKUP(D3513,PROVEEDORES!$A:$B,2,0),"!COD NO ENCONTRADO"),"")</f>
        <v/>
      </c>
      <c r="F3513" s="88" t="str">
        <f aca="false">IF(D3513&lt;&gt;"",IFERROR(VLOOKUP(D3513,PROVEEDORES!$A:$C,3,0),""),"")</f>
        <v/>
      </c>
      <c r="G3513" s="87"/>
      <c r="H3513" s="46" t="str">
        <f aca="false">IF(G3513&lt;&gt;"",IFERROR(VLOOKUP(G3513,PRODUCTOS!$A:$B,2,0),"!COD NO ENCONTRADO"),"")</f>
        <v/>
      </c>
      <c r="I3513" s="89"/>
      <c r="J3513" s="90"/>
      <c r="K3513" s="91"/>
      <c r="L3513" s="80" t="str">
        <f aca="false">IF(AND(J3513&lt;&gt;"",K3513&lt;&gt;""),J3513*K3513,"")</f>
        <v/>
      </c>
      <c r="M3513" s="81" t="str">
        <f aca="false">IF(L3513&lt;&gt;"",L3513*1.1,"")</f>
        <v/>
      </c>
      <c r="N3513" s="47" t="n">
        <f aca="false">IF(F3513="S",L3513*0.02,0)</f>
        <v>0</v>
      </c>
      <c r="O3513" s="82" t="str">
        <f aca="false">IF(L3513&lt;&gt;"",L3513+N3513,"")</f>
        <v/>
      </c>
      <c r="P3513" s="47" t="str">
        <f aca="false">IF(O3513&lt;&gt;"",O3513*0.1,"")</f>
        <v/>
      </c>
      <c r="Q3513" s="83" t="str">
        <f aca="false">IF(O3513&lt;&gt;"",O3513+P3513,"")</f>
        <v/>
      </c>
      <c r="R3513" s="84"/>
    </row>
    <row r="3514" customFormat="false" ht="15" hidden="false" customHeight="true" outlineLevel="0" collapsed="false">
      <c r="A3514" s="103"/>
      <c r="B3514" s="73"/>
      <c r="C3514" s="74"/>
      <c r="D3514" s="75"/>
      <c r="E3514" s="52" t="str">
        <f aca="false">IF(D3514&lt;&gt;"",IFERROR(VLOOKUP(D3514,PROVEEDORES!$A:$B,2,0),"!COD NO ENCONTRADO"),"")</f>
        <v/>
      </c>
      <c r="F3514" s="76" t="str">
        <f aca="false">IF(D3514&lt;&gt;"",IFERROR(VLOOKUP(D3514,PROVEEDORES!$A:$C,3,0),""),"")</f>
        <v/>
      </c>
      <c r="G3514" s="75"/>
      <c r="H3514" s="52" t="str">
        <f aca="false">IF(G3514&lt;&gt;"",IFERROR(VLOOKUP(G3514,PRODUCTOS!$A:$B,2,0),"!COD NO ENCONTRADO"),"")</f>
        <v/>
      </c>
      <c r="I3514" s="77"/>
      <c r="J3514" s="78"/>
      <c r="K3514" s="79"/>
      <c r="L3514" s="80" t="str">
        <f aca="false">IF(AND(J3514&lt;&gt;"",K3514&lt;&gt;""),J3514*K3514,"")</f>
        <v/>
      </c>
      <c r="M3514" s="81" t="str">
        <f aca="false">IF(L3514&lt;&gt;"",L3514*1.1,"")</f>
        <v/>
      </c>
      <c r="N3514" s="53" t="n">
        <f aca="false">IF(F3514="S",L3514*0.02,0)</f>
        <v>0</v>
      </c>
      <c r="O3514" s="82" t="str">
        <f aca="false">IF(L3514&lt;&gt;"",L3514+N3514,"")</f>
        <v/>
      </c>
      <c r="P3514" s="53" t="str">
        <f aca="false">IF(O3514&lt;&gt;"",O3514*0.1,"")</f>
        <v/>
      </c>
      <c r="Q3514" s="83" t="str">
        <f aca="false">IF(O3514&lt;&gt;"",O3514+P3514,"")</f>
        <v/>
      </c>
      <c r="R3514" s="84"/>
    </row>
    <row r="3515" customFormat="false" ht="15" hidden="false" customHeight="true" outlineLevel="0" collapsed="false">
      <c r="A3515" s="103"/>
      <c r="B3515" s="85"/>
      <c r="C3515" s="86"/>
      <c r="D3515" s="87"/>
      <c r="E3515" s="46" t="str">
        <f aca="false">IF(D3515&lt;&gt;"",IFERROR(VLOOKUP(D3515,PROVEEDORES!$A:$B,2,0),"!COD NO ENCONTRADO"),"")</f>
        <v/>
      </c>
      <c r="F3515" s="88" t="str">
        <f aca="false">IF(D3515&lt;&gt;"",IFERROR(VLOOKUP(D3515,PROVEEDORES!$A:$C,3,0),""),"")</f>
        <v/>
      </c>
      <c r="G3515" s="87"/>
      <c r="H3515" s="46" t="str">
        <f aca="false">IF(G3515&lt;&gt;"",IFERROR(VLOOKUP(G3515,PRODUCTOS!$A:$B,2,0),"!COD NO ENCONTRADO"),"")</f>
        <v/>
      </c>
      <c r="I3515" s="89"/>
      <c r="J3515" s="90"/>
      <c r="K3515" s="91"/>
      <c r="L3515" s="80" t="str">
        <f aca="false">IF(AND(J3515&lt;&gt;"",K3515&lt;&gt;""),J3515*K3515,"")</f>
        <v/>
      </c>
      <c r="M3515" s="81" t="str">
        <f aca="false">IF(L3515&lt;&gt;"",L3515*1.1,"")</f>
        <v/>
      </c>
      <c r="N3515" s="47" t="n">
        <f aca="false">IF(F3515="S",L3515*0.02,0)</f>
        <v>0</v>
      </c>
      <c r="O3515" s="82" t="str">
        <f aca="false">IF(L3515&lt;&gt;"",L3515+N3515,"")</f>
        <v/>
      </c>
      <c r="P3515" s="47" t="str">
        <f aca="false">IF(O3515&lt;&gt;"",O3515*0.1,"")</f>
        <v/>
      </c>
      <c r="Q3515" s="83" t="str">
        <f aca="false">IF(O3515&lt;&gt;"",O3515+P3515,"")</f>
        <v/>
      </c>
      <c r="R3515" s="84"/>
    </row>
    <row r="3516" customFormat="false" ht="15" hidden="false" customHeight="true" outlineLevel="0" collapsed="false">
      <c r="A3516" s="103"/>
      <c r="B3516" s="73"/>
      <c r="C3516" s="74"/>
      <c r="D3516" s="75"/>
      <c r="E3516" s="52" t="str">
        <f aca="false">IF(D3516&lt;&gt;"",IFERROR(VLOOKUP(D3516,PROVEEDORES!$A:$B,2,0),"!COD NO ENCONTRADO"),"")</f>
        <v/>
      </c>
      <c r="F3516" s="76" t="str">
        <f aca="false">IF(D3516&lt;&gt;"",IFERROR(VLOOKUP(D3516,PROVEEDORES!$A:$C,3,0),""),"")</f>
        <v/>
      </c>
      <c r="G3516" s="75"/>
      <c r="H3516" s="52" t="str">
        <f aca="false">IF(G3516&lt;&gt;"",IFERROR(VLOOKUP(G3516,PRODUCTOS!$A:$B,2,0),"!COD NO ENCONTRADO"),"")</f>
        <v/>
      </c>
      <c r="I3516" s="77"/>
      <c r="J3516" s="78"/>
      <c r="K3516" s="79"/>
      <c r="L3516" s="80" t="str">
        <f aca="false">IF(AND(J3516&lt;&gt;"",K3516&lt;&gt;""),J3516*K3516,"")</f>
        <v/>
      </c>
      <c r="M3516" s="81" t="str">
        <f aca="false">IF(L3516&lt;&gt;"",L3516*1.1,"")</f>
        <v/>
      </c>
      <c r="N3516" s="53" t="n">
        <f aca="false">IF(F3516="S",L3516*0.02,0)</f>
        <v>0</v>
      </c>
      <c r="O3516" s="82" t="str">
        <f aca="false">IF(L3516&lt;&gt;"",L3516+N3516,"")</f>
        <v/>
      </c>
      <c r="P3516" s="53" t="str">
        <f aca="false">IF(O3516&lt;&gt;"",O3516*0.1,"")</f>
        <v/>
      </c>
      <c r="Q3516" s="83" t="str">
        <f aca="false">IF(O3516&lt;&gt;"",O3516+P3516,"")</f>
        <v/>
      </c>
      <c r="R3516" s="84"/>
    </row>
    <row r="3517" customFormat="false" ht="15" hidden="false" customHeight="true" outlineLevel="0" collapsed="false">
      <c r="A3517" s="103"/>
      <c r="B3517" s="85"/>
      <c r="C3517" s="86"/>
      <c r="D3517" s="87"/>
      <c r="E3517" s="46" t="str">
        <f aca="false">IF(D3517&lt;&gt;"",IFERROR(VLOOKUP(D3517,PROVEEDORES!$A:$B,2,0),"!COD NO ENCONTRADO"),"")</f>
        <v/>
      </c>
      <c r="F3517" s="88" t="str">
        <f aca="false">IF(D3517&lt;&gt;"",IFERROR(VLOOKUP(D3517,PROVEEDORES!$A:$C,3,0),""),"")</f>
        <v/>
      </c>
      <c r="G3517" s="87"/>
      <c r="H3517" s="46" t="str">
        <f aca="false">IF(G3517&lt;&gt;"",IFERROR(VLOOKUP(G3517,PRODUCTOS!$A:$B,2,0),"!COD NO ENCONTRADO"),"")</f>
        <v/>
      </c>
      <c r="I3517" s="89"/>
      <c r="J3517" s="90"/>
      <c r="K3517" s="91"/>
      <c r="L3517" s="80" t="str">
        <f aca="false">IF(AND(J3517&lt;&gt;"",K3517&lt;&gt;""),J3517*K3517,"")</f>
        <v/>
      </c>
      <c r="M3517" s="81" t="str">
        <f aca="false">IF(L3517&lt;&gt;"",L3517*1.1,"")</f>
        <v/>
      </c>
      <c r="N3517" s="47" t="n">
        <f aca="false">IF(F3517="S",L3517*0.02,0)</f>
        <v>0</v>
      </c>
      <c r="O3517" s="82" t="str">
        <f aca="false">IF(L3517&lt;&gt;"",L3517+N3517,"")</f>
        <v/>
      </c>
      <c r="P3517" s="47" t="str">
        <f aca="false">IF(O3517&lt;&gt;"",O3517*0.1,"")</f>
        <v/>
      </c>
      <c r="Q3517" s="83" t="str">
        <f aca="false">IF(O3517&lt;&gt;"",O3517+P3517,"")</f>
        <v/>
      </c>
      <c r="R3517" s="84"/>
    </row>
    <row r="3518" customFormat="false" ht="15" hidden="false" customHeight="true" outlineLevel="0" collapsed="false">
      <c r="A3518" s="103"/>
      <c r="B3518" s="73"/>
      <c r="C3518" s="74"/>
      <c r="D3518" s="75"/>
      <c r="E3518" s="52" t="str">
        <f aca="false">IF(D3518&lt;&gt;"",IFERROR(VLOOKUP(D3518,PROVEEDORES!$A:$B,2,0),"!COD NO ENCONTRADO"),"")</f>
        <v/>
      </c>
      <c r="F3518" s="76" t="str">
        <f aca="false">IF(D3518&lt;&gt;"",IFERROR(VLOOKUP(D3518,PROVEEDORES!$A:$C,3,0),""),"")</f>
        <v/>
      </c>
      <c r="G3518" s="75"/>
      <c r="H3518" s="52" t="str">
        <f aca="false">IF(G3518&lt;&gt;"",IFERROR(VLOOKUP(G3518,PRODUCTOS!$A:$B,2,0),"!COD NO ENCONTRADO"),"")</f>
        <v/>
      </c>
      <c r="I3518" s="77"/>
      <c r="J3518" s="78"/>
      <c r="K3518" s="79"/>
      <c r="L3518" s="80" t="str">
        <f aca="false">IF(AND(J3518&lt;&gt;"",K3518&lt;&gt;""),J3518*K3518,"")</f>
        <v/>
      </c>
      <c r="M3518" s="81" t="str">
        <f aca="false">IF(L3518&lt;&gt;"",L3518*1.1,"")</f>
        <v/>
      </c>
      <c r="N3518" s="53" t="n">
        <f aca="false">IF(F3518="S",L3518*0.02,0)</f>
        <v>0</v>
      </c>
      <c r="O3518" s="82" t="str">
        <f aca="false">IF(L3518&lt;&gt;"",L3518+N3518,"")</f>
        <v/>
      </c>
      <c r="P3518" s="53" t="str">
        <f aca="false">IF(O3518&lt;&gt;"",O3518*0.1,"")</f>
        <v/>
      </c>
      <c r="Q3518" s="83" t="str">
        <f aca="false">IF(O3518&lt;&gt;"",O3518+P3518,"")</f>
        <v/>
      </c>
      <c r="R3518" s="84"/>
    </row>
    <row r="3519" customFormat="false" ht="15" hidden="false" customHeight="true" outlineLevel="0" collapsed="false">
      <c r="A3519" s="103"/>
      <c r="B3519" s="85"/>
      <c r="C3519" s="86"/>
      <c r="D3519" s="87"/>
      <c r="E3519" s="46" t="str">
        <f aca="false">IF(D3519&lt;&gt;"",IFERROR(VLOOKUP(D3519,PROVEEDORES!$A:$B,2,0),"!COD NO ENCONTRADO"),"")</f>
        <v/>
      </c>
      <c r="F3519" s="88" t="str">
        <f aca="false">IF(D3519&lt;&gt;"",IFERROR(VLOOKUP(D3519,PROVEEDORES!$A:$C,3,0),""),"")</f>
        <v/>
      </c>
      <c r="G3519" s="87"/>
      <c r="H3519" s="46" t="str">
        <f aca="false">IF(G3519&lt;&gt;"",IFERROR(VLOOKUP(G3519,PRODUCTOS!$A:$B,2,0),"!COD NO ENCONTRADO"),"")</f>
        <v/>
      </c>
      <c r="I3519" s="89"/>
      <c r="J3519" s="90"/>
      <c r="K3519" s="91"/>
      <c r="L3519" s="80" t="str">
        <f aca="false">IF(AND(J3519&lt;&gt;"",K3519&lt;&gt;""),J3519*K3519,"")</f>
        <v/>
      </c>
      <c r="M3519" s="81" t="str">
        <f aca="false">IF(L3519&lt;&gt;"",L3519*1.1,"")</f>
        <v/>
      </c>
      <c r="N3519" s="47" t="n">
        <f aca="false">IF(F3519="S",L3519*0.02,0)</f>
        <v>0</v>
      </c>
      <c r="O3519" s="82" t="str">
        <f aca="false">IF(L3519&lt;&gt;"",L3519+N3519,"")</f>
        <v/>
      </c>
      <c r="P3519" s="47" t="str">
        <f aca="false">IF(O3519&lt;&gt;"",O3519*0.1,"")</f>
        <v/>
      </c>
      <c r="Q3519" s="83" t="str">
        <f aca="false">IF(O3519&lt;&gt;"",O3519+P3519,"")</f>
        <v/>
      </c>
      <c r="R3519" s="84"/>
    </row>
    <row r="3520" customFormat="false" ht="15" hidden="false" customHeight="true" outlineLevel="0" collapsed="false">
      <c r="A3520" s="103"/>
      <c r="B3520" s="73"/>
      <c r="C3520" s="74"/>
      <c r="D3520" s="75"/>
      <c r="E3520" s="52" t="str">
        <f aca="false">IF(D3520&lt;&gt;"",IFERROR(VLOOKUP(D3520,PROVEEDORES!$A:$B,2,0),"!COD NO ENCONTRADO"),"")</f>
        <v/>
      </c>
      <c r="F3520" s="76" t="str">
        <f aca="false">IF(D3520&lt;&gt;"",IFERROR(VLOOKUP(D3520,PROVEEDORES!$A:$C,3,0),""),"")</f>
        <v/>
      </c>
      <c r="G3520" s="75"/>
      <c r="H3520" s="52" t="str">
        <f aca="false">IF(G3520&lt;&gt;"",IFERROR(VLOOKUP(G3520,PRODUCTOS!$A:$B,2,0),"!COD NO ENCONTRADO"),"")</f>
        <v/>
      </c>
      <c r="I3520" s="77"/>
      <c r="J3520" s="78"/>
      <c r="K3520" s="79"/>
      <c r="L3520" s="80" t="str">
        <f aca="false">IF(AND(J3520&lt;&gt;"",K3520&lt;&gt;""),J3520*K3520,"")</f>
        <v/>
      </c>
      <c r="M3520" s="81" t="str">
        <f aca="false">IF(L3520&lt;&gt;"",L3520*1.1,"")</f>
        <v/>
      </c>
      <c r="N3520" s="53" t="n">
        <f aca="false">IF(F3520="S",L3520*0.02,0)</f>
        <v>0</v>
      </c>
      <c r="O3520" s="82" t="str">
        <f aca="false">IF(L3520&lt;&gt;"",L3520+N3520,"")</f>
        <v/>
      </c>
      <c r="P3520" s="53" t="str">
        <f aca="false">IF(O3520&lt;&gt;"",O3520*0.1,"")</f>
        <v/>
      </c>
      <c r="Q3520" s="83" t="str">
        <f aca="false">IF(O3520&lt;&gt;"",O3520+P3520,"")</f>
        <v/>
      </c>
      <c r="R3520" s="84"/>
    </row>
    <row r="3521" customFormat="false" ht="15" hidden="false" customHeight="true" outlineLevel="0" collapsed="false">
      <c r="A3521" s="103"/>
      <c r="B3521" s="85"/>
      <c r="C3521" s="86"/>
      <c r="D3521" s="87"/>
      <c r="E3521" s="46" t="str">
        <f aca="false">IF(D3521&lt;&gt;"",IFERROR(VLOOKUP(D3521,PROVEEDORES!$A:$B,2,0),"!COD NO ENCONTRADO"),"")</f>
        <v/>
      </c>
      <c r="F3521" s="88" t="str">
        <f aca="false">IF(D3521&lt;&gt;"",IFERROR(VLOOKUP(D3521,PROVEEDORES!$A:$C,3,0),""),"")</f>
        <v/>
      </c>
      <c r="G3521" s="87"/>
      <c r="H3521" s="46" t="str">
        <f aca="false">IF(G3521&lt;&gt;"",IFERROR(VLOOKUP(G3521,PRODUCTOS!$A:$B,2,0),"!COD NO ENCONTRADO"),"")</f>
        <v/>
      </c>
      <c r="I3521" s="89"/>
      <c r="J3521" s="90"/>
      <c r="K3521" s="91"/>
      <c r="L3521" s="80" t="str">
        <f aca="false">IF(AND(J3521&lt;&gt;"",K3521&lt;&gt;""),J3521*K3521,"")</f>
        <v/>
      </c>
      <c r="M3521" s="81" t="str">
        <f aca="false">IF(L3521&lt;&gt;"",L3521*1.1,"")</f>
        <v/>
      </c>
      <c r="N3521" s="47" t="n">
        <f aca="false">IF(F3521="S",L3521*0.02,0)</f>
        <v>0</v>
      </c>
      <c r="O3521" s="82" t="str">
        <f aca="false">IF(L3521&lt;&gt;"",L3521+N3521,"")</f>
        <v/>
      </c>
      <c r="P3521" s="47" t="str">
        <f aca="false">IF(O3521&lt;&gt;"",O3521*0.1,"")</f>
        <v/>
      </c>
      <c r="Q3521" s="83" t="str">
        <f aca="false">IF(O3521&lt;&gt;"",O3521+P3521,"")</f>
        <v/>
      </c>
      <c r="R3521" s="84"/>
    </row>
    <row r="3522" customFormat="false" ht="15" hidden="false" customHeight="true" outlineLevel="0" collapsed="false">
      <c r="A3522" s="103"/>
      <c r="B3522" s="73"/>
      <c r="C3522" s="74"/>
      <c r="D3522" s="75"/>
      <c r="E3522" s="52" t="str">
        <f aca="false">IF(D3522&lt;&gt;"",IFERROR(VLOOKUP(D3522,PROVEEDORES!$A:$B,2,0),"!COD NO ENCONTRADO"),"")</f>
        <v/>
      </c>
      <c r="F3522" s="76" t="str">
        <f aca="false">IF(D3522&lt;&gt;"",IFERROR(VLOOKUP(D3522,PROVEEDORES!$A:$C,3,0),""),"")</f>
        <v/>
      </c>
      <c r="G3522" s="75"/>
      <c r="H3522" s="52" t="str">
        <f aca="false">IF(G3522&lt;&gt;"",IFERROR(VLOOKUP(G3522,PRODUCTOS!$A:$B,2,0),"!COD NO ENCONTRADO"),"")</f>
        <v/>
      </c>
      <c r="I3522" s="77"/>
      <c r="J3522" s="78"/>
      <c r="K3522" s="79"/>
      <c r="L3522" s="80" t="str">
        <f aca="false">IF(AND(J3522&lt;&gt;"",K3522&lt;&gt;""),J3522*K3522,"")</f>
        <v/>
      </c>
      <c r="M3522" s="81" t="str">
        <f aca="false">IF(L3522&lt;&gt;"",L3522*1.1,"")</f>
        <v/>
      </c>
      <c r="N3522" s="53" t="n">
        <f aca="false">IF(F3522="S",L3522*0.02,0)</f>
        <v>0</v>
      </c>
      <c r="O3522" s="82" t="str">
        <f aca="false">IF(L3522&lt;&gt;"",L3522+N3522,"")</f>
        <v/>
      </c>
      <c r="P3522" s="53" t="str">
        <f aca="false">IF(O3522&lt;&gt;"",O3522*0.1,"")</f>
        <v/>
      </c>
      <c r="Q3522" s="83" t="str">
        <f aca="false">IF(O3522&lt;&gt;"",O3522+P3522,"")</f>
        <v/>
      </c>
      <c r="R3522" s="84"/>
    </row>
    <row r="3523" customFormat="false" ht="15" hidden="false" customHeight="true" outlineLevel="0" collapsed="false">
      <c r="A3523" s="103"/>
      <c r="B3523" s="85"/>
      <c r="C3523" s="86"/>
      <c r="D3523" s="87"/>
      <c r="E3523" s="46" t="str">
        <f aca="false">IF(D3523&lt;&gt;"",IFERROR(VLOOKUP(D3523,PROVEEDORES!$A:$B,2,0),"!COD NO ENCONTRADO"),"")</f>
        <v/>
      </c>
      <c r="F3523" s="88" t="str">
        <f aca="false">IF(D3523&lt;&gt;"",IFERROR(VLOOKUP(D3523,PROVEEDORES!$A:$C,3,0),""),"")</f>
        <v/>
      </c>
      <c r="G3523" s="87"/>
      <c r="H3523" s="46" t="str">
        <f aca="false">IF(G3523&lt;&gt;"",IFERROR(VLOOKUP(G3523,PRODUCTOS!$A:$B,2,0),"!COD NO ENCONTRADO"),"")</f>
        <v/>
      </c>
      <c r="I3523" s="89"/>
      <c r="J3523" s="90"/>
      <c r="K3523" s="91"/>
      <c r="L3523" s="80" t="str">
        <f aca="false">IF(AND(J3523&lt;&gt;"",K3523&lt;&gt;""),J3523*K3523,"")</f>
        <v/>
      </c>
      <c r="M3523" s="81" t="str">
        <f aca="false">IF(L3523&lt;&gt;"",L3523*1.1,"")</f>
        <v/>
      </c>
      <c r="N3523" s="47" t="n">
        <f aca="false">IF(F3523="S",L3523*0.02,0)</f>
        <v>0</v>
      </c>
      <c r="O3523" s="82" t="str">
        <f aca="false">IF(L3523&lt;&gt;"",L3523+N3523,"")</f>
        <v/>
      </c>
      <c r="P3523" s="47" t="str">
        <f aca="false">IF(O3523&lt;&gt;"",O3523*0.1,"")</f>
        <v/>
      </c>
      <c r="Q3523" s="83" t="str">
        <f aca="false">IF(O3523&lt;&gt;"",O3523+P3523,"")</f>
        <v/>
      </c>
      <c r="R3523" s="84"/>
    </row>
    <row r="3524" customFormat="false" ht="15" hidden="false" customHeight="true" outlineLevel="0" collapsed="false">
      <c r="A3524" s="103"/>
      <c r="B3524" s="73"/>
      <c r="C3524" s="74"/>
      <c r="D3524" s="75"/>
      <c r="E3524" s="52" t="str">
        <f aca="false">IF(D3524&lt;&gt;"",IFERROR(VLOOKUP(D3524,PROVEEDORES!$A:$B,2,0),"!COD NO ENCONTRADO"),"")</f>
        <v/>
      </c>
      <c r="F3524" s="76" t="str">
        <f aca="false">IF(D3524&lt;&gt;"",IFERROR(VLOOKUP(D3524,PROVEEDORES!$A:$C,3,0),""),"")</f>
        <v/>
      </c>
      <c r="G3524" s="75"/>
      <c r="H3524" s="52" t="str">
        <f aca="false">IF(G3524&lt;&gt;"",IFERROR(VLOOKUP(G3524,PRODUCTOS!$A:$B,2,0),"!COD NO ENCONTRADO"),"")</f>
        <v/>
      </c>
      <c r="I3524" s="77"/>
      <c r="J3524" s="78"/>
      <c r="K3524" s="79"/>
      <c r="L3524" s="80" t="str">
        <f aca="false">IF(AND(J3524&lt;&gt;"",K3524&lt;&gt;""),J3524*K3524,"")</f>
        <v/>
      </c>
      <c r="M3524" s="81" t="str">
        <f aca="false">IF(L3524&lt;&gt;"",L3524*1.1,"")</f>
        <v/>
      </c>
      <c r="N3524" s="53" t="n">
        <f aca="false">IF(F3524="S",L3524*0.02,0)</f>
        <v>0</v>
      </c>
      <c r="O3524" s="82" t="str">
        <f aca="false">IF(L3524&lt;&gt;"",L3524+N3524,"")</f>
        <v/>
      </c>
      <c r="P3524" s="53" t="str">
        <f aca="false">IF(O3524&lt;&gt;"",O3524*0.1,"")</f>
        <v/>
      </c>
      <c r="Q3524" s="83" t="str">
        <f aca="false">IF(O3524&lt;&gt;"",O3524+P3524,"")</f>
        <v/>
      </c>
      <c r="R3524" s="84"/>
    </row>
    <row r="3525" customFormat="false" ht="15" hidden="false" customHeight="true" outlineLevel="0" collapsed="false">
      <c r="A3525" s="103"/>
      <c r="B3525" s="85"/>
      <c r="C3525" s="86"/>
      <c r="D3525" s="87"/>
      <c r="E3525" s="46" t="str">
        <f aca="false">IF(D3525&lt;&gt;"",IFERROR(VLOOKUP(D3525,PROVEEDORES!$A:$B,2,0),"!COD NO ENCONTRADO"),"")</f>
        <v/>
      </c>
      <c r="F3525" s="88" t="str">
        <f aca="false">IF(D3525&lt;&gt;"",IFERROR(VLOOKUP(D3525,PROVEEDORES!$A:$C,3,0),""),"")</f>
        <v/>
      </c>
      <c r="G3525" s="87"/>
      <c r="H3525" s="46" t="str">
        <f aca="false">IF(G3525&lt;&gt;"",IFERROR(VLOOKUP(G3525,PRODUCTOS!$A:$B,2,0),"!COD NO ENCONTRADO"),"")</f>
        <v/>
      </c>
      <c r="I3525" s="89"/>
      <c r="J3525" s="90"/>
      <c r="K3525" s="91"/>
      <c r="L3525" s="80" t="str">
        <f aca="false">IF(AND(J3525&lt;&gt;"",K3525&lt;&gt;""),J3525*K3525,"")</f>
        <v/>
      </c>
      <c r="M3525" s="81" t="str">
        <f aca="false">IF(L3525&lt;&gt;"",L3525*1.1,"")</f>
        <v/>
      </c>
      <c r="N3525" s="47" t="n">
        <f aca="false">IF(F3525="S",L3525*0.02,0)</f>
        <v>0</v>
      </c>
      <c r="O3525" s="82" t="str">
        <f aca="false">IF(L3525&lt;&gt;"",L3525+N3525,"")</f>
        <v/>
      </c>
      <c r="P3525" s="47" t="str">
        <f aca="false">IF(O3525&lt;&gt;"",O3525*0.1,"")</f>
        <v/>
      </c>
      <c r="Q3525" s="83" t="str">
        <f aca="false">IF(O3525&lt;&gt;"",O3525+P3525,"")</f>
        <v/>
      </c>
      <c r="R3525" s="84"/>
    </row>
    <row r="3526" customFormat="false" ht="15" hidden="false" customHeight="true" outlineLevel="0" collapsed="false">
      <c r="A3526" s="103"/>
      <c r="B3526" s="73"/>
      <c r="C3526" s="74"/>
      <c r="D3526" s="75"/>
      <c r="E3526" s="52" t="str">
        <f aca="false">IF(D3526&lt;&gt;"",IFERROR(VLOOKUP(D3526,PROVEEDORES!$A:$B,2,0),"!COD NO ENCONTRADO"),"")</f>
        <v/>
      </c>
      <c r="F3526" s="76" t="str">
        <f aca="false">IF(D3526&lt;&gt;"",IFERROR(VLOOKUP(D3526,PROVEEDORES!$A:$C,3,0),""),"")</f>
        <v/>
      </c>
      <c r="G3526" s="75"/>
      <c r="H3526" s="52" t="str">
        <f aca="false">IF(G3526&lt;&gt;"",IFERROR(VLOOKUP(G3526,PRODUCTOS!$A:$B,2,0),"!COD NO ENCONTRADO"),"")</f>
        <v/>
      </c>
      <c r="I3526" s="77"/>
      <c r="J3526" s="78"/>
      <c r="K3526" s="79"/>
      <c r="L3526" s="80" t="str">
        <f aca="false">IF(AND(J3526&lt;&gt;"",K3526&lt;&gt;""),J3526*K3526,"")</f>
        <v/>
      </c>
      <c r="M3526" s="81" t="str">
        <f aca="false">IF(L3526&lt;&gt;"",L3526*1.1,"")</f>
        <v/>
      </c>
      <c r="N3526" s="53" t="n">
        <f aca="false">IF(F3526="S",L3526*0.02,0)</f>
        <v>0</v>
      </c>
      <c r="O3526" s="82" t="str">
        <f aca="false">IF(L3526&lt;&gt;"",L3526+N3526,"")</f>
        <v/>
      </c>
      <c r="P3526" s="53" t="str">
        <f aca="false">IF(O3526&lt;&gt;"",O3526*0.1,"")</f>
        <v/>
      </c>
      <c r="Q3526" s="83" t="str">
        <f aca="false">IF(O3526&lt;&gt;"",O3526+P3526,"")</f>
        <v/>
      </c>
      <c r="R3526" s="84"/>
    </row>
    <row r="3527" customFormat="false" ht="15" hidden="false" customHeight="true" outlineLevel="0" collapsed="false">
      <c r="A3527" s="103"/>
      <c r="B3527" s="85"/>
      <c r="C3527" s="86"/>
      <c r="D3527" s="87"/>
      <c r="E3527" s="46" t="str">
        <f aca="false">IF(D3527&lt;&gt;"",IFERROR(VLOOKUP(D3527,PROVEEDORES!$A:$B,2,0),"!COD NO ENCONTRADO"),"")</f>
        <v/>
      </c>
      <c r="F3527" s="88" t="str">
        <f aca="false">IF(D3527&lt;&gt;"",IFERROR(VLOOKUP(D3527,PROVEEDORES!$A:$C,3,0),""),"")</f>
        <v/>
      </c>
      <c r="G3527" s="87"/>
      <c r="H3527" s="46" t="str">
        <f aca="false">IF(G3527&lt;&gt;"",IFERROR(VLOOKUP(G3527,PRODUCTOS!$A:$B,2,0),"!COD NO ENCONTRADO"),"")</f>
        <v/>
      </c>
      <c r="I3527" s="89"/>
      <c r="J3527" s="90"/>
      <c r="K3527" s="91"/>
      <c r="L3527" s="80" t="str">
        <f aca="false">IF(AND(J3527&lt;&gt;"",K3527&lt;&gt;""),J3527*K3527,"")</f>
        <v/>
      </c>
      <c r="M3527" s="81" t="str">
        <f aca="false">IF(L3527&lt;&gt;"",L3527*1.1,"")</f>
        <v/>
      </c>
      <c r="N3527" s="47" t="n">
        <f aca="false">IF(F3527="S",L3527*0.02,0)</f>
        <v>0</v>
      </c>
      <c r="O3527" s="82" t="str">
        <f aca="false">IF(L3527&lt;&gt;"",L3527+N3527,"")</f>
        <v/>
      </c>
      <c r="P3527" s="47" t="str">
        <f aca="false">IF(O3527&lt;&gt;"",O3527*0.1,"")</f>
        <v/>
      </c>
      <c r="Q3527" s="83" t="str">
        <f aca="false">IF(O3527&lt;&gt;"",O3527+P3527,"")</f>
        <v/>
      </c>
      <c r="R3527" s="84"/>
    </row>
    <row r="3528" customFormat="false" ht="15" hidden="false" customHeight="true" outlineLevel="0" collapsed="false">
      <c r="A3528" s="103"/>
      <c r="B3528" s="73"/>
      <c r="C3528" s="74"/>
      <c r="D3528" s="75"/>
      <c r="E3528" s="52" t="str">
        <f aca="false">IF(D3528&lt;&gt;"",IFERROR(VLOOKUP(D3528,PROVEEDORES!$A:$B,2,0),"!COD NO ENCONTRADO"),"")</f>
        <v/>
      </c>
      <c r="F3528" s="76" t="str">
        <f aca="false">IF(D3528&lt;&gt;"",IFERROR(VLOOKUP(D3528,PROVEEDORES!$A:$C,3,0),""),"")</f>
        <v/>
      </c>
      <c r="G3528" s="75"/>
      <c r="H3528" s="52" t="str">
        <f aca="false">IF(G3528&lt;&gt;"",IFERROR(VLOOKUP(G3528,PRODUCTOS!$A:$B,2,0),"!COD NO ENCONTRADO"),"")</f>
        <v/>
      </c>
      <c r="I3528" s="77"/>
      <c r="J3528" s="78"/>
      <c r="K3528" s="79"/>
      <c r="L3528" s="80" t="str">
        <f aca="false">IF(AND(J3528&lt;&gt;"",K3528&lt;&gt;""),J3528*K3528,"")</f>
        <v/>
      </c>
      <c r="M3528" s="81" t="str">
        <f aca="false">IF(L3528&lt;&gt;"",L3528*1.1,"")</f>
        <v/>
      </c>
      <c r="N3528" s="53" t="n">
        <f aca="false">IF(F3528="S",L3528*0.02,0)</f>
        <v>0</v>
      </c>
      <c r="O3528" s="82" t="str">
        <f aca="false">IF(L3528&lt;&gt;"",L3528+N3528,"")</f>
        <v/>
      </c>
      <c r="P3528" s="53" t="str">
        <f aca="false">IF(O3528&lt;&gt;"",O3528*0.1,"")</f>
        <v/>
      </c>
      <c r="Q3528" s="83" t="str">
        <f aca="false">IF(O3528&lt;&gt;"",O3528+P3528,"")</f>
        <v/>
      </c>
      <c r="R3528" s="84"/>
    </row>
    <row r="3529" customFormat="false" ht="15" hidden="false" customHeight="true" outlineLevel="0" collapsed="false">
      <c r="A3529" s="103"/>
      <c r="B3529" s="85"/>
      <c r="C3529" s="86"/>
      <c r="D3529" s="87"/>
      <c r="E3529" s="46" t="str">
        <f aca="false">IF(D3529&lt;&gt;"",IFERROR(VLOOKUP(D3529,PROVEEDORES!$A:$B,2,0),"!COD NO ENCONTRADO"),"")</f>
        <v/>
      </c>
      <c r="F3529" s="88" t="str">
        <f aca="false">IF(D3529&lt;&gt;"",IFERROR(VLOOKUP(D3529,PROVEEDORES!$A:$C,3,0),""),"")</f>
        <v/>
      </c>
      <c r="G3529" s="87"/>
      <c r="H3529" s="46" t="str">
        <f aca="false">IF(G3529&lt;&gt;"",IFERROR(VLOOKUP(G3529,PRODUCTOS!$A:$B,2,0),"!COD NO ENCONTRADO"),"")</f>
        <v/>
      </c>
      <c r="I3529" s="89"/>
      <c r="J3529" s="90"/>
      <c r="K3529" s="91"/>
      <c r="L3529" s="80" t="str">
        <f aca="false">IF(AND(J3529&lt;&gt;"",K3529&lt;&gt;""),J3529*K3529,"")</f>
        <v/>
      </c>
      <c r="M3529" s="81" t="str">
        <f aca="false">IF(L3529&lt;&gt;"",L3529*1.1,"")</f>
        <v/>
      </c>
      <c r="N3529" s="47" t="n">
        <f aca="false">IF(F3529="S",L3529*0.02,0)</f>
        <v>0</v>
      </c>
      <c r="O3529" s="82" t="str">
        <f aca="false">IF(L3529&lt;&gt;"",L3529+N3529,"")</f>
        <v/>
      </c>
      <c r="P3529" s="47" t="str">
        <f aca="false">IF(O3529&lt;&gt;"",O3529*0.1,"")</f>
        <v/>
      </c>
      <c r="Q3529" s="83" t="str">
        <f aca="false">IF(O3529&lt;&gt;"",O3529+P3529,"")</f>
        <v/>
      </c>
      <c r="R3529" s="84"/>
    </row>
    <row r="3530" customFormat="false" ht="15" hidden="false" customHeight="true" outlineLevel="0" collapsed="false">
      <c r="A3530" s="103"/>
      <c r="B3530" s="73"/>
      <c r="C3530" s="74"/>
      <c r="D3530" s="75"/>
      <c r="E3530" s="52" t="str">
        <f aca="false">IF(D3530&lt;&gt;"",IFERROR(VLOOKUP(D3530,PROVEEDORES!$A:$B,2,0),"!COD NO ENCONTRADO"),"")</f>
        <v/>
      </c>
      <c r="F3530" s="76" t="str">
        <f aca="false">IF(D3530&lt;&gt;"",IFERROR(VLOOKUP(D3530,PROVEEDORES!$A:$C,3,0),""),"")</f>
        <v/>
      </c>
      <c r="G3530" s="75"/>
      <c r="H3530" s="52" t="str">
        <f aca="false">IF(G3530&lt;&gt;"",IFERROR(VLOOKUP(G3530,PRODUCTOS!$A:$B,2,0),"!COD NO ENCONTRADO"),"")</f>
        <v/>
      </c>
      <c r="I3530" s="77"/>
      <c r="J3530" s="78"/>
      <c r="K3530" s="79"/>
      <c r="L3530" s="80" t="str">
        <f aca="false">IF(AND(J3530&lt;&gt;"",K3530&lt;&gt;""),J3530*K3530,"")</f>
        <v/>
      </c>
      <c r="M3530" s="81" t="str">
        <f aca="false">IF(L3530&lt;&gt;"",L3530*1.1,"")</f>
        <v/>
      </c>
      <c r="N3530" s="53" t="n">
        <f aca="false">IF(F3530="S",L3530*0.02,0)</f>
        <v>0</v>
      </c>
      <c r="O3530" s="82" t="str">
        <f aca="false">IF(L3530&lt;&gt;"",L3530+N3530,"")</f>
        <v/>
      </c>
      <c r="P3530" s="53" t="str">
        <f aca="false">IF(O3530&lt;&gt;"",O3530*0.1,"")</f>
        <v/>
      </c>
      <c r="Q3530" s="83" t="str">
        <f aca="false">IF(O3530&lt;&gt;"",O3530+P3530,"")</f>
        <v/>
      </c>
      <c r="R3530" s="84"/>
    </row>
    <row r="3531" customFormat="false" ht="15" hidden="false" customHeight="true" outlineLevel="0" collapsed="false">
      <c r="A3531" s="103"/>
      <c r="B3531" s="85"/>
      <c r="C3531" s="86"/>
      <c r="D3531" s="87"/>
      <c r="E3531" s="46" t="str">
        <f aca="false">IF(D3531&lt;&gt;"",IFERROR(VLOOKUP(D3531,PROVEEDORES!$A:$B,2,0),"!COD NO ENCONTRADO"),"")</f>
        <v/>
      </c>
      <c r="F3531" s="88" t="str">
        <f aca="false">IF(D3531&lt;&gt;"",IFERROR(VLOOKUP(D3531,PROVEEDORES!$A:$C,3,0),""),"")</f>
        <v/>
      </c>
      <c r="G3531" s="87"/>
      <c r="H3531" s="46" t="str">
        <f aca="false">IF(G3531&lt;&gt;"",IFERROR(VLOOKUP(G3531,PRODUCTOS!$A:$B,2,0),"!COD NO ENCONTRADO"),"")</f>
        <v/>
      </c>
      <c r="I3531" s="89"/>
      <c r="J3531" s="90"/>
      <c r="K3531" s="91"/>
      <c r="L3531" s="80" t="str">
        <f aca="false">IF(AND(J3531&lt;&gt;"",K3531&lt;&gt;""),J3531*K3531,"")</f>
        <v/>
      </c>
      <c r="M3531" s="81" t="str">
        <f aca="false">IF(L3531&lt;&gt;"",L3531*1.1,"")</f>
        <v/>
      </c>
      <c r="N3531" s="47" t="n">
        <f aca="false">IF(F3531="S",L3531*0.02,0)</f>
        <v>0</v>
      </c>
      <c r="O3531" s="82" t="str">
        <f aca="false">IF(L3531&lt;&gt;"",L3531+N3531,"")</f>
        <v/>
      </c>
      <c r="P3531" s="47" t="str">
        <f aca="false">IF(O3531&lt;&gt;"",O3531*0.1,"")</f>
        <v/>
      </c>
      <c r="Q3531" s="83" t="str">
        <f aca="false">IF(O3531&lt;&gt;"",O3531+P3531,"")</f>
        <v/>
      </c>
      <c r="R3531" s="84"/>
    </row>
    <row r="3532" customFormat="false" ht="15" hidden="false" customHeight="true" outlineLevel="0" collapsed="false">
      <c r="A3532" s="103"/>
      <c r="B3532" s="73"/>
      <c r="C3532" s="74"/>
      <c r="D3532" s="75"/>
      <c r="E3532" s="52" t="str">
        <f aca="false">IF(D3532&lt;&gt;"",IFERROR(VLOOKUP(D3532,PROVEEDORES!$A:$B,2,0),"!COD NO ENCONTRADO"),"")</f>
        <v/>
      </c>
      <c r="F3532" s="76" t="str">
        <f aca="false">IF(D3532&lt;&gt;"",IFERROR(VLOOKUP(D3532,PROVEEDORES!$A:$C,3,0),""),"")</f>
        <v/>
      </c>
      <c r="G3532" s="75"/>
      <c r="H3532" s="52" t="str">
        <f aca="false">IF(G3532&lt;&gt;"",IFERROR(VLOOKUP(G3532,PRODUCTOS!$A:$B,2,0),"!COD NO ENCONTRADO"),"")</f>
        <v/>
      </c>
      <c r="I3532" s="77"/>
      <c r="J3532" s="78"/>
      <c r="K3532" s="79"/>
      <c r="L3532" s="80" t="str">
        <f aca="false">IF(AND(J3532&lt;&gt;"",K3532&lt;&gt;""),J3532*K3532,"")</f>
        <v/>
      </c>
      <c r="M3532" s="81" t="str">
        <f aca="false">IF(L3532&lt;&gt;"",L3532*1.1,"")</f>
        <v/>
      </c>
      <c r="N3532" s="53" t="n">
        <f aca="false">IF(F3532="S",L3532*0.02,0)</f>
        <v>0</v>
      </c>
      <c r="O3532" s="82" t="str">
        <f aca="false">IF(L3532&lt;&gt;"",L3532+N3532,"")</f>
        <v/>
      </c>
      <c r="P3532" s="53" t="str">
        <f aca="false">IF(O3532&lt;&gt;"",O3532*0.1,"")</f>
        <v/>
      </c>
      <c r="Q3532" s="83" t="str">
        <f aca="false">IF(O3532&lt;&gt;"",O3532+P3532,"")</f>
        <v/>
      </c>
      <c r="R3532" s="84"/>
    </row>
    <row r="3533" customFormat="false" ht="15" hidden="false" customHeight="true" outlineLevel="0" collapsed="false">
      <c r="A3533" s="103"/>
      <c r="B3533" s="85"/>
      <c r="C3533" s="86"/>
      <c r="D3533" s="87"/>
      <c r="E3533" s="46" t="str">
        <f aca="false">IF(D3533&lt;&gt;"",IFERROR(VLOOKUP(D3533,PROVEEDORES!$A:$B,2,0),"!COD NO ENCONTRADO"),"")</f>
        <v/>
      </c>
      <c r="F3533" s="88" t="str">
        <f aca="false">IF(D3533&lt;&gt;"",IFERROR(VLOOKUP(D3533,PROVEEDORES!$A:$C,3,0),""),"")</f>
        <v/>
      </c>
      <c r="G3533" s="87"/>
      <c r="H3533" s="46" t="str">
        <f aca="false">IF(G3533&lt;&gt;"",IFERROR(VLOOKUP(G3533,PRODUCTOS!$A:$B,2,0),"!COD NO ENCONTRADO"),"")</f>
        <v/>
      </c>
      <c r="I3533" s="89"/>
      <c r="J3533" s="90"/>
      <c r="K3533" s="91"/>
      <c r="L3533" s="80" t="str">
        <f aca="false">IF(AND(J3533&lt;&gt;"",K3533&lt;&gt;""),J3533*K3533,"")</f>
        <v/>
      </c>
      <c r="M3533" s="81" t="str">
        <f aca="false">IF(L3533&lt;&gt;"",L3533*1.1,"")</f>
        <v/>
      </c>
      <c r="N3533" s="47" t="n">
        <f aca="false">IF(F3533="S",L3533*0.02,0)</f>
        <v>0</v>
      </c>
      <c r="O3533" s="82" t="str">
        <f aca="false">IF(L3533&lt;&gt;"",L3533+N3533,"")</f>
        <v/>
      </c>
      <c r="P3533" s="47" t="str">
        <f aca="false">IF(O3533&lt;&gt;"",O3533*0.1,"")</f>
        <v/>
      </c>
      <c r="Q3533" s="83" t="str">
        <f aca="false">IF(O3533&lt;&gt;"",O3533+P3533,"")</f>
        <v/>
      </c>
      <c r="R3533" s="84"/>
    </row>
    <row r="3534" customFormat="false" ht="15" hidden="false" customHeight="true" outlineLevel="0" collapsed="false">
      <c r="A3534" s="103"/>
      <c r="B3534" s="73"/>
      <c r="C3534" s="74"/>
      <c r="D3534" s="75"/>
      <c r="E3534" s="52" t="str">
        <f aca="false">IF(D3534&lt;&gt;"",IFERROR(VLOOKUP(D3534,PROVEEDORES!$A:$B,2,0),"!COD NO ENCONTRADO"),"")</f>
        <v/>
      </c>
      <c r="F3534" s="76" t="str">
        <f aca="false">IF(D3534&lt;&gt;"",IFERROR(VLOOKUP(D3534,PROVEEDORES!$A:$C,3,0),""),"")</f>
        <v/>
      </c>
      <c r="G3534" s="75"/>
      <c r="H3534" s="52" t="str">
        <f aca="false">IF(G3534&lt;&gt;"",IFERROR(VLOOKUP(G3534,PRODUCTOS!$A:$B,2,0),"!COD NO ENCONTRADO"),"")</f>
        <v/>
      </c>
      <c r="I3534" s="77"/>
      <c r="J3534" s="78"/>
      <c r="K3534" s="79"/>
      <c r="L3534" s="80" t="str">
        <f aca="false">IF(AND(J3534&lt;&gt;"",K3534&lt;&gt;""),J3534*K3534,"")</f>
        <v/>
      </c>
      <c r="M3534" s="81" t="str">
        <f aca="false">IF(L3534&lt;&gt;"",L3534*1.1,"")</f>
        <v/>
      </c>
      <c r="N3534" s="53" t="n">
        <f aca="false">IF(F3534="S",L3534*0.02,0)</f>
        <v>0</v>
      </c>
      <c r="O3534" s="82" t="str">
        <f aca="false">IF(L3534&lt;&gt;"",L3534+N3534,"")</f>
        <v/>
      </c>
      <c r="P3534" s="53" t="str">
        <f aca="false">IF(O3534&lt;&gt;"",O3534*0.1,"")</f>
        <v/>
      </c>
      <c r="Q3534" s="83" t="str">
        <f aca="false">IF(O3534&lt;&gt;"",O3534+P3534,"")</f>
        <v/>
      </c>
      <c r="R3534" s="84"/>
    </row>
    <row r="3535" customFormat="false" ht="15" hidden="false" customHeight="true" outlineLevel="0" collapsed="false">
      <c r="A3535" s="103"/>
      <c r="B3535" s="85"/>
      <c r="C3535" s="86"/>
      <c r="D3535" s="87"/>
      <c r="E3535" s="46" t="str">
        <f aca="false">IF(D3535&lt;&gt;"",IFERROR(VLOOKUP(D3535,PROVEEDORES!$A:$B,2,0),"!COD NO ENCONTRADO"),"")</f>
        <v/>
      </c>
      <c r="F3535" s="88" t="str">
        <f aca="false">IF(D3535&lt;&gt;"",IFERROR(VLOOKUP(D3535,PROVEEDORES!$A:$C,3,0),""),"")</f>
        <v/>
      </c>
      <c r="G3535" s="87"/>
      <c r="H3535" s="46" t="str">
        <f aca="false">IF(G3535&lt;&gt;"",IFERROR(VLOOKUP(G3535,PRODUCTOS!$A:$B,2,0),"!COD NO ENCONTRADO"),"")</f>
        <v/>
      </c>
      <c r="I3535" s="89"/>
      <c r="J3535" s="90"/>
      <c r="K3535" s="91"/>
      <c r="L3535" s="80" t="str">
        <f aca="false">IF(AND(J3535&lt;&gt;"",K3535&lt;&gt;""),J3535*K3535,"")</f>
        <v/>
      </c>
      <c r="M3535" s="81" t="str">
        <f aca="false">IF(L3535&lt;&gt;"",L3535*1.1,"")</f>
        <v/>
      </c>
      <c r="N3535" s="47" t="n">
        <f aca="false">IF(F3535="S",L3535*0.02,0)</f>
        <v>0</v>
      </c>
      <c r="O3535" s="82" t="str">
        <f aca="false">IF(L3535&lt;&gt;"",L3535+N3535,"")</f>
        <v/>
      </c>
      <c r="P3535" s="47" t="str">
        <f aca="false">IF(O3535&lt;&gt;"",O3535*0.1,"")</f>
        <v/>
      </c>
      <c r="Q3535" s="83" t="str">
        <f aca="false">IF(O3535&lt;&gt;"",O3535+P3535,"")</f>
        <v/>
      </c>
      <c r="R3535" s="84"/>
    </row>
    <row r="3536" customFormat="false" ht="15" hidden="false" customHeight="true" outlineLevel="0" collapsed="false">
      <c r="A3536" s="103"/>
      <c r="B3536" s="73"/>
      <c r="C3536" s="74"/>
      <c r="D3536" s="75"/>
      <c r="E3536" s="52" t="str">
        <f aca="false">IF(D3536&lt;&gt;"",IFERROR(VLOOKUP(D3536,PROVEEDORES!$A:$B,2,0),"!COD NO ENCONTRADO"),"")</f>
        <v/>
      </c>
      <c r="F3536" s="76" t="str">
        <f aca="false">IF(D3536&lt;&gt;"",IFERROR(VLOOKUP(D3536,PROVEEDORES!$A:$C,3,0),""),"")</f>
        <v/>
      </c>
      <c r="G3536" s="75"/>
      <c r="H3536" s="52" t="str">
        <f aca="false">IF(G3536&lt;&gt;"",IFERROR(VLOOKUP(G3536,PRODUCTOS!$A:$B,2,0),"!COD NO ENCONTRADO"),"")</f>
        <v/>
      </c>
      <c r="I3536" s="77"/>
      <c r="J3536" s="78"/>
      <c r="K3536" s="79"/>
      <c r="L3536" s="80" t="str">
        <f aca="false">IF(AND(J3536&lt;&gt;"",K3536&lt;&gt;""),J3536*K3536,"")</f>
        <v/>
      </c>
      <c r="M3536" s="81" t="str">
        <f aca="false">IF(L3536&lt;&gt;"",L3536*1.1,"")</f>
        <v/>
      </c>
      <c r="N3536" s="53" t="n">
        <f aca="false">IF(F3536="S",L3536*0.02,0)</f>
        <v>0</v>
      </c>
      <c r="O3536" s="82" t="str">
        <f aca="false">IF(L3536&lt;&gt;"",L3536+N3536,"")</f>
        <v/>
      </c>
      <c r="P3536" s="53" t="str">
        <f aca="false">IF(O3536&lt;&gt;"",O3536*0.1,"")</f>
        <v/>
      </c>
      <c r="Q3536" s="83" t="str">
        <f aca="false">IF(O3536&lt;&gt;"",O3536+P3536,"")</f>
        <v/>
      </c>
      <c r="R3536" s="84"/>
    </row>
    <row r="3537" customFormat="false" ht="15" hidden="false" customHeight="true" outlineLevel="0" collapsed="false">
      <c r="A3537" s="103"/>
      <c r="B3537" s="85"/>
      <c r="C3537" s="86"/>
      <c r="D3537" s="87"/>
      <c r="E3537" s="46" t="str">
        <f aca="false">IF(D3537&lt;&gt;"",IFERROR(VLOOKUP(D3537,PROVEEDORES!$A:$B,2,0),"!COD NO ENCONTRADO"),"")</f>
        <v/>
      </c>
      <c r="F3537" s="88" t="str">
        <f aca="false">IF(D3537&lt;&gt;"",IFERROR(VLOOKUP(D3537,PROVEEDORES!$A:$C,3,0),""),"")</f>
        <v/>
      </c>
      <c r="G3537" s="87"/>
      <c r="H3537" s="46" t="str">
        <f aca="false">IF(G3537&lt;&gt;"",IFERROR(VLOOKUP(G3537,PRODUCTOS!$A:$B,2,0),"!COD NO ENCONTRADO"),"")</f>
        <v/>
      </c>
      <c r="I3537" s="89"/>
      <c r="J3537" s="90"/>
      <c r="K3537" s="91"/>
      <c r="L3537" s="80" t="str">
        <f aca="false">IF(AND(J3537&lt;&gt;"",K3537&lt;&gt;""),J3537*K3537,"")</f>
        <v/>
      </c>
      <c r="M3537" s="81" t="str">
        <f aca="false">IF(L3537&lt;&gt;"",L3537*1.1,"")</f>
        <v/>
      </c>
      <c r="N3537" s="47" t="n">
        <f aca="false">IF(F3537="S",L3537*0.02,0)</f>
        <v>0</v>
      </c>
      <c r="O3537" s="82" t="str">
        <f aca="false">IF(L3537&lt;&gt;"",L3537+N3537,"")</f>
        <v/>
      </c>
      <c r="P3537" s="47" t="str">
        <f aca="false">IF(O3537&lt;&gt;"",O3537*0.1,"")</f>
        <v/>
      </c>
      <c r="Q3537" s="83" t="str">
        <f aca="false">IF(O3537&lt;&gt;"",O3537+P3537,"")</f>
        <v/>
      </c>
      <c r="R3537" s="84"/>
    </row>
    <row r="3538" customFormat="false" ht="15" hidden="false" customHeight="true" outlineLevel="0" collapsed="false">
      <c r="A3538" s="103"/>
      <c r="B3538" s="73"/>
      <c r="C3538" s="74"/>
      <c r="D3538" s="75"/>
      <c r="E3538" s="52" t="str">
        <f aca="false">IF(D3538&lt;&gt;"",IFERROR(VLOOKUP(D3538,PROVEEDORES!$A:$B,2,0),"!COD NO ENCONTRADO"),"")</f>
        <v/>
      </c>
      <c r="F3538" s="76" t="str">
        <f aca="false">IF(D3538&lt;&gt;"",IFERROR(VLOOKUP(D3538,PROVEEDORES!$A:$C,3,0),""),"")</f>
        <v/>
      </c>
      <c r="G3538" s="75"/>
      <c r="H3538" s="52" t="str">
        <f aca="false">IF(G3538&lt;&gt;"",IFERROR(VLOOKUP(G3538,PRODUCTOS!$A:$B,2,0),"!COD NO ENCONTRADO"),"")</f>
        <v/>
      </c>
      <c r="I3538" s="77"/>
      <c r="J3538" s="78"/>
      <c r="K3538" s="79"/>
      <c r="L3538" s="80" t="str">
        <f aca="false">IF(AND(J3538&lt;&gt;"",K3538&lt;&gt;""),J3538*K3538,"")</f>
        <v/>
      </c>
      <c r="M3538" s="81" t="str">
        <f aca="false">IF(L3538&lt;&gt;"",L3538*1.1,"")</f>
        <v/>
      </c>
      <c r="N3538" s="53" t="n">
        <f aca="false">IF(F3538="S",L3538*0.02,0)</f>
        <v>0</v>
      </c>
      <c r="O3538" s="82" t="str">
        <f aca="false">IF(L3538&lt;&gt;"",L3538+N3538,"")</f>
        <v/>
      </c>
      <c r="P3538" s="53" t="str">
        <f aca="false">IF(O3538&lt;&gt;"",O3538*0.1,"")</f>
        <v/>
      </c>
      <c r="Q3538" s="83" t="str">
        <f aca="false">IF(O3538&lt;&gt;"",O3538+P3538,"")</f>
        <v/>
      </c>
      <c r="R3538" s="84"/>
    </row>
    <row r="3539" customFormat="false" ht="15" hidden="false" customHeight="true" outlineLevel="0" collapsed="false">
      <c r="A3539" s="103"/>
      <c r="B3539" s="85"/>
      <c r="C3539" s="86"/>
      <c r="D3539" s="87"/>
      <c r="E3539" s="46" t="str">
        <f aca="false">IF(D3539&lt;&gt;"",IFERROR(VLOOKUP(D3539,PROVEEDORES!$A:$B,2,0),"!COD NO ENCONTRADO"),"")</f>
        <v/>
      </c>
      <c r="F3539" s="88" t="str">
        <f aca="false">IF(D3539&lt;&gt;"",IFERROR(VLOOKUP(D3539,PROVEEDORES!$A:$C,3,0),""),"")</f>
        <v/>
      </c>
      <c r="G3539" s="87"/>
      <c r="H3539" s="46" t="str">
        <f aca="false">IF(G3539&lt;&gt;"",IFERROR(VLOOKUP(G3539,PRODUCTOS!$A:$B,2,0),"!COD NO ENCONTRADO"),"")</f>
        <v/>
      </c>
      <c r="I3539" s="89"/>
      <c r="J3539" s="90"/>
      <c r="K3539" s="91"/>
      <c r="L3539" s="80" t="str">
        <f aca="false">IF(AND(J3539&lt;&gt;"",K3539&lt;&gt;""),J3539*K3539,"")</f>
        <v/>
      </c>
      <c r="M3539" s="81" t="str">
        <f aca="false">IF(L3539&lt;&gt;"",L3539*1.1,"")</f>
        <v/>
      </c>
      <c r="N3539" s="47" t="n">
        <f aca="false">IF(F3539="S",L3539*0.02,0)</f>
        <v>0</v>
      </c>
      <c r="O3539" s="82" t="str">
        <f aca="false">IF(L3539&lt;&gt;"",L3539+N3539,"")</f>
        <v/>
      </c>
      <c r="P3539" s="47" t="str">
        <f aca="false">IF(O3539&lt;&gt;"",O3539*0.1,"")</f>
        <v/>
      </c>
      <c r="Q3539" s="83" t="str">
        <f aca="false">IF(O3539&lt;&gt;"",O3539+P3539,"")</f>
        <v/>
      </c>
      <c r="R3539" s="84"/>
    </row>
    <row r="3540" customFormat="false" ht="15" hidden="false" customHeight="true" outlineLevel="0" collapsed="false">
      <c r="A3540" s="103"/>
      <c r="B3540" s="73"/>
      <c r="C3540" s="74"/>
      <c r="D3540" s="75"/>
      <c r="E3540" s="52" t="str">
        <f aca="false">IF(D3540&lt;&gt;"",IFERROR(VLOOKUP(D3540,PROVEEDORES!$A:$B,2,0),"!COD NO ENCONTRADO"),"")</f>
        <v/>
      </c>
      <c r="F3540" s="76" t="str">
        <f aca="false">IF(D3540&lt;&gt;"",IFERROR(VLOOKUP(D3540,PROVEEDORES!$A:$C,3,0),""),"")</f>
        <v/>
      </c>
      <c r="G3540" s="75"/>
      <c r="H3540" s="52" t="str">
        <f aca="false">IF(G3540&lt;&gt;"",IFERROR(VLOOKUP(G3540,PRODUCTOS!$A:$B,2,0),"!COD NO ENCONTRADO"),"")</f>
        <v/>
      </c>
      <c r="I3540" s="77"/>
      <c r="J3540" s="78"/>
      <c r="K3540" s="79"/>
      <c r="L3540" s="80" t="str">
        <f aca="false">IF(AND(J3540&lt;&gt;"",K3540&lt;&gt;""),J3540*K3540,"")</f>
        <v/>
      </c>
      <c r="M3540" s="81" t="str">
        <f aca="false">IF(L3540&lt;&gt;"",L3540*1.1,"")</f>
        <v/>
      </c>
      <c r="N3540" s="53" t="n">
        <f aca="false">IF(F3540="S",L3540*0.02,0)</f>
        <v>0</v>
      </c>
      <c r="O3540" s="82" t="str">
        <f aca="false">IF(L3540&lt;&gt;"",L3540+N3540,"")</f>
        <v/>
      </c>
      <c r="P3540" s="53" t="str">
        <f aca="false">IF(O3540&lt;&gt;"",O3540*0.1,"")</f>
        <v/>
      </c>
      <c r="Q3540" s="83" t="str">
        <f aca="false">IF(O3540&lt;&gt;"",O3540+P3540,"")</f>
        <v/>
      </c>
      <c r="R3540" s="84"/>
    </row>
    <row r="3541" customFormat="false" ht="15" hidden="false" customHeight="true" outlineLevel="0" collapsed="false">
      <c r="A3541" s="103"/>
      <c r="B3541" s="85"/>
      <c r="C3541" s="86"/>
      <c r="D3541" s="87"/>
      <c r="E3541" s="46" t="str">
        <f aca="false">IF(D3541&lt;&gt;"",IFERROR(VLOOKUP(D3541,PROVEEDORES!$A:$B,2,0),"!COD NO ENCONTRADO"),"")</f>
        <v/>
      </c>
      <c r="F3541" s="88" t="str">
        <f aca="false">IF(D3541&lt;&gt;"",IFERROR(VLOOKUP(D3541,PROVEEDORES!$A:$C,3,0),""),"")</f>
        <v/>
      </c>
      <c r="G3541" s="87"/>
      <c r="H3541" s="46" t="str">
        <f aca="false">IF(G3541&lt;&gt;"",IFERROR(VLOOKUP(G3541,PRODUCTOS!$A:$B,2,0),"!COD NO ENCONTRADO"),"")</f>
        <v/>
      </c>
      <c r="I3541" s="89"/>
      <c r="J3541" s="90"/>
      <c r="K3541" s="91"/>
      <c r="L3541" s="80" t="str">
        <f aca="false">IF(AND(J3541&lt;&gt;"",K3541&lt;&gt;""),J3541*K3541,"")</f>
        <v/>
      </c>
      <c r="M3541" s="81" t="str">
        <f aca="false">IF(L3541&lt;&gt;"",L3541*1.1,"")</f>
        <v/>
      </c>
      <c r="N3541" s="47" t="n">
        <f aca="false">IF(F3541="S",L3541*0.02,0)</f>
        <v>0</v>
      </c>
      <c r="O3541" s="82" t="str">
        <f aca="false">IF(L3541&lt;&gt;"",L3541+N3541,"")</f>
        <v/>
      </c>
      <c r="P3541" s="47" t="str">
        <f aca="false">IF(O3541&lt;&gt;"",O3541*0.1,"")</f>
        <v/>
      </c>
      <c r="Q3541" s="83" t="str">
        <f aca="false">IF(O3541&lt;&gt;"",O3541+P3541,"")</f>
        <v/>
      </c>
      <c r="R3541" s="84"/>
    </row>
    <row r="3542" customFormat="false" ht="15" hidden="false" customHeight="true" outlineLevel="0" collapsed="false">
      <c r="A3542" s="103"/>
      <c r="B3542" s="73"/>
      <c r="C3542" s="74"/>
      <c r="D3542" s="75"/>
      <c r="E3542" s="52" t="str">
        <f aca="false">IF(D3542&lt;&gt;"",IFERROR(VLOOKUP(D3542,PROVEEDORES!$A:$B,2,0),"!COD NO ENCONTRADO"),"")</f>
        <v/>
      </c>
      <c r="F3542" s="76" t="str">
        <f aca="false">IF(D3542&lt;&gt;"",IFERROR(VLOOKUP(D3542,PROVEEDORES!$A:$C,3,0),""),"")</f>
        <v/>
      </c>
      <c r="G3542" s="75"/>
      <c r="H3542" s="52" t="str">
        <f aca="false">IF(G3542&lt;&gt;"",IFERROR(VLOOKUP(G3542,PRODUCTOS!$A:$B,2,0),"!COD NO ENCONTRADO"),"")</f>
        <v/>
      </c>
      <c r="I3542" s="77"/>
      <c r="J3542" s="78"/>
      <c r="K3542" s="79"/>
      <c r="L3542" s="80" t="str">
        <f aca="false">IF(AND(J3542&lt;&gt;"",K3542&lt;&gt;""),J3542*K3542,"")</f>
        <v/>
      </c>
      <c r="M3542" s="81" t="str">
        <f aca="false">IF(L3542&lt;&gt;"",L3542*1.1,"")</f>
        <v/>
      </c>
      <c r="N3542" s="53" t="n">
        <f aca="false">IF(F3542="S",L3542*0.02,0)</f>
        <v>0</v>
      </c>
      <c r="O3542" s="82" t="str">
        <f aca="false">IF(L3542&lt;&gt;"",L3542+N3542,"")</f>
        <v/>
      </c>
      <c r="P3542" s="53" t="str">
        <f aca="false">IF(O3542&lt;&gt;"",O3542*0.1,"")</f>
        <v/>
      </c>
      <c r="Q3542" s="83" t="str">
        <f aca="false">IF(O3542&lt;&gt;"",O3542+P3542,"")</f>
        <v/>
      </c>
      <c r="R3542" s="84"/>
    </row>
    <row r="3543" customFormat="false" ht="15" hidden="false" customHeight="true" outlineLevel="0" collapsed="false">
      <c r="A3543" s="103"/>
      <c r="B3543" s="85"/>
      <c r="C3543" s="86"/>
      <c r="D3543" s="87"/>
      <c r="E3543" s="46" t="str">
        <f aca="false">IF(D3543&lt;&gt;"",IFERROR(VLOOKUP(D3543,PROVEEDORES!$A:$B,2,0),"!COD NO ENCONTRADO"),"")</f>
        <v/>
      </c>
      <c r="F3543" s="88" t="str">
        <f aca="false">IF(D3543&lt;&gt;"",IFERROR(VLOOKUP(D3543,PROVEEDORES!$A:$C,3,0),""),"")</f>
        <v/>
      </c>
      <c r="G3543" s="87"/>
      <c r="H3543" s="46" t="str">
        <f aca="false">IF(G3543&lt;&gt;"",IFERROR(VLOOKUP(G3543,PRODUCTOS!$A:$B,2,0),"!COD NO ENCONTRADO"),"")</f>
        <v/>
      </c>
      <c r="I3543" s="89"/>
      <c r="J3543" s="90"/>
      <c r="K3543" s="91"/>
      <c r="L3543" s="80" t="str">
        <f aca="false">IF(AND(J3543&lt;&gt;"",K3543&lt;&gt;""),J3543*K3543,"")</f>
        <v/>
      </c>
      <c r="M3543" s="81" t="str">
        <f aca="false">IF(L3543&lt;&gt;"",L3543*1.1,"")</f>
        <v/>
      </c>
      <c r="N3543" s="47" t="n">
        <f aca="false">IF(F3543="S",L3543*0.02,0)</f>
        <v>0</v>
      </c>
      <c r="O3543" s="82" t="str">
        <f aca="false">IF(L3543&lt;&gt;"",L3543+N3543,"")</f>
        <v/>
      </c>
      <c r="P3543" s="47" t="str">
        <f aca="false">IF(O3543&lt;&gt;"",O3543*0.1,"")</f>
        <v/>
      </c>
      <c r="Q3543" s="83" t="str">
        <f aca="false">IF(O3543&lt;&gt;"",O3543+P3543,"")</f>
        <v/>
      </c>
      <c r="R3543" s="84"/>
    </row>
    <row r="3544" customFormat="false" ht="15" hidden="false" customHeight="true" outlineLevel="0" collapsed="false">
      <c r="A3544" s="103"/>
      <c r="B3544" s="73"/>
      <c r="C3544" s="74"/>
      <c r="D3544" s="75"/>
      <c r="E3544" s="52" t="str">
        <f aca="false">IF(D3544&lt;&gt;"",IFERROR(VLOOKUP(D3544,PROVEEDORES!$A:$B,2,0),"!COD NO ENCONTRADO"),"")</f>
        <v/>
      </c>
      <c r="F3544" s="76" t="str">
        <f aca="false">IF(D3544&lt;&gt;"",IFERROR(VLOOKUP(D3544,PROVEEDORES!$A:$C,3,0),""),"")</f>
        <v/>
      </c>
      <c r="G3544" s="75"/>
      <c r="H3544" s="52" t="str">
        <f aca="false">IF(G3544&lt;&gt;"",IFERROR(VLOOKUP(G3544,PRODUCTOS!$A:$B,2,0),"!COD NO ENCONTRADO"),"")</f>
        <v/>
      </c>
      <c r="I3544" s="77"/>
      <c r="J3544" s="78"/>
      <c r="K3544" s="79"/>
      <c r="L3544" s="80" t="str">
        <f aca="false">IF(AND(J3544&lt;&gt;"",K3544&lt;&gt;""),J3544*K3544,"")</f>
        <v/>
      </c>
      <c r="M3544" s="81" t="str">
        <f aca="false">IF(L3544&lt;&gt;"",L3544*1.1,"")</f>
        <v/>
      </c>
      <c r="N3544" s="53" t="n">
        <f aca="false">IF(F3544="S",L3544*0.02,0)</f>
        <v>0</v>
      </c>
      <c r="O3544" s="82" t="str">
        <f aca="false">IF(L3544&lt;&gt;"",L3544+N3544,"")</f>
        <v/>
      </c>
      <c r="P3544" s="53" t="str">
        <f aca="false">IF(O3544&lt;&gt;"",O3544*0.1,"")</f>
        <v/>
      </c>
      <c r="Q3544" s="83" t="str">
        <f aca="false">IF(O3544&lt;&gt;"",O3544+P3544,"")</f>
        <v/>
      </c>
      <c r="R3544" s="84"/>
    </row>
    <row r="3545" customFormat="false" ht="15" hidden="false" customHeight="true" outlineLevel="0" collapsed="false">
      <c r="A3545" s="103"/>
      <c r="B3545" s="85"/>
      <c r="C3545" s="86"/>
      <c r="D3545" s="87"/>
      <c r="E3545" s="46" t="str">
        <f aca="false">IF(D3545&lt;&gt;"",IFERROR(VLOOKUP(D3545,PROVEEDORES!$A:$B,2,0),"!COD NO ENCONTRADO"),"")</f>
        <v/>
      </c>
      <c r="F3545" s="88" t="str">
        <f aca="false">IF(D3545&lt;&gt;"",IFERROR(VLOOKUP(D3545,PROVEEDORES!$A:$C,3,0),""),"")</f>
        <v/>
      </c>
      <c r="G3545" s="87"/>
      <c r="H3545" s="46" t="str">
        <f aca="false">IF(G3545&lt;&gt;"",IFERROR(VLOOKUP(G3545,PRODUCTOS!$A:$B,2,0),"!COD NO ENCONTRADO"),"")</f>
        <v/>
      </c>
      <c r="I3545" s="89"/>
      <c r="J3545" s="90"/>
      <c r="K3545" s="91"/>
      <c r="L3545" s="80" t="str">
        <f aca="false">IF(AND(J3545&lt;&gt;"",K3545&lt;&gt;""),J3545*K3545,"")</f>
        <v/>
      </c>
      <c r="M3545" s="81" t="str">
        <f aca="false">IF(L3545&lt;&gt;"",L3545*1.1,"")</f>
        <v/>
      </c>
      <c r="N3545" s="47" t="n">
        <f aca="false">IF(F3545="S",L3545*0.02,0)</f>
        <v>0</v>
      </c>
      <c r="O3545" s="82" t="str">
        <f aca="false">IF(L3545&lt;&gt;"",L3545+N3545,"")</f>
        <v/>
      </c>
      <c r="P3545" s="47" t="str">
        <f aca="false">IF(O3545&lt;&gt;"",O3545*0.1,"")</f>
        <v/>
      </c>
      <c r="Q3545" s="83" t="str">
        <f aca="false">IF(O3545&lt;&gt;"",O3545+P3545,"")</f>
        <v/>
      </c>
      <c r="R3545" s="84"/>
    </row>
    <row r="3546" customFormat="false" ht="15" hidden="false" customHeight="true" outlineLevel="0" collapsed="false">
      <c r="A3546" s="103"/>
      <c r="B3546" s="73"/>
      <c r="C3546" s="74"/>
      <c r="D3546" s="75"/>
      <c r="E3546" s="52" t="str">
        <f aca="false">IF(D3546&lt;&gt;"",IFERROR(VLOOKUP(D3546,PROVEEDORES!$A:$B,2,0),"!COD NO ENCONTRADO"),"")</f>
        <v/>
      </c>
      <c r="F3546" s="76" t="str">
        <f aca="false">IF(D3546&lt;&gt;"",IFERROR(VLOOKUP(D3546,PROVEEDORES!$A:$C,3,0),""),"")</f>
        <v/>
      </c>
      <c r="G3546" s="75"/>
      <c r="H3546" s="52" t="str">
        <f aca="false">IF(G3546&lt;&gt;"",IFERROR(VLOOKUP(G3546,PRODUCTOS!$A:$B,2,0),"!COD NO ENCONTRADO"),"")</f>
        <v/>
      </c>
      <c r="I3546" s="77"/>
      <c r="J3546" s="78"/>
      <c r="K3546" s="79"/>
      <c r="L3546" s="80" t="str">
        <f aca="false">IF(AND(J3546&lt;&gt;"",K3546&lt;&gt;""),J3546*K3546,"")</f>
        <v/>
      </c>
      <c r="M3546" s="81" t="str">
        <f aca="false">IF(L3546&lt;&gt;"",L3546*1.1,"")</f>
        <v/>
      </c>
      <c r="N3546" s="53" t="n">
        <f aca="false">IF(F3546="S",L3546*0.02,0)</f>
        <v>0</v>
      </c>
      <c r="O3546" s="82" t="str">
        <f aca="false">IF(L3546&lt;&gt;"",L3546+N3546,"")</f>
        <v/>
      </c>
      <c r="P3546" s="53" t="str">
        <f aca="false">IF(O3546&lt;&gt;"",O3546*0.1,"")</f>
        <v/>
      </c>
      <c r="Q3546" s="83" t="str">
        <f aca="false">IF(O3546&lt;&gt;"",O3546+P3546,"")</f>
        <v/>
      </c>
      <c r="R3546" s="84"/>
    </row>
    <row r="3547" customFormat="false" ht="15" hidden="false" customHeight="true" outlineLevel="0" collapsed="false">
      <c r="A3547" s="103"/>
      <c r="B3547" s="85"/>
      <c r="C3547" s="86"/>
      <c r="D3547" s="87"/>
      <c r="E3547" s="46" t="str">
        <f aca="false">IF(D3547&lt;&gt;"",IFERROR(VLOOKUP(D3547,PROVEEDORES!$A:$B,2,0),"!COD NO ENCONTRADO"),"")</f>
        <v/>
      </c>
      <c r="F3547" s="88" t="str">
        <f aca="false">IF(D3547&lt;&gt;"",IFERROR(VLOOKUP(D3547,PROVEEDORES!$A:$C,3,0),""),"")</f>
        <v/>
      </c>
      <c r="G3547" s="87"/>
      <c r="H3547" s="46" t="str">
        <f aca="false">IF(G3547&lt;&gt;"",IFERROR(VLOOKUP(G3547,PRODUCTOS!$A:$B,2,0),"!COD NO ENCONTRADO"),"")</f>
        <v/>
      </c>
      <c r="I3547" s="89"/>
      <c r="J3547" s="90"/>
      <c r="K3547" s="91"/>
      <c r="L3547" s="80" t="str">
        <f aca="false">IF(AND(J3547&lt;&gt;"",K3547&lt;&gt;""),J3547*K3547,"")</f>
        <v/>
      </c>
      <c r="M3547" s="81" t="str">
        <f aca="false">IF(L3547&lt;&gt;"",L3547*1.1,"")</f>
        <v/>
      </c>
      <c r="N3547" s="47" t="n">
        <f aca="false">IF(F3547="S",L3547*0.02,0)</f>
        <v>0</v>
      </c>
      <c r="O3547" s="82" t="str">
        <f aca="false">IF(L3547&lt;&gt;"",L3547+N3547,"")</f>
        <v/>
      </c>
      <c r="P3547" s="47" t="str">
        <f aca="false">IF(O3547&lt;&gt;"",O3547*0.1,"")</f>
        <v/>
      </c>
      <c r="Q3547" s="83" t="str">
        <f aca="false">IF(O3547&lt;&gt;"",O3547+P3547,"")</f>
        <v/>
      </c>
      <c r="R3547" s="84"/>
    </row>
    <row r="3548" customFormat="false" ht="15" hidden="false" customHeight="true" outlineLevel="0" collapsed="false">
      <c r="A3548" s="103"/>
      <c r="B3548" s="73"/>
      <c r="C3548" s="74"/>
      <c r="D3548" s="75"/>
      <c r="E3548" s="52" t="str">
        <f aca="false">IF(D3548&lt;&gt;"",IFERROR(VLOOKUP(D3548,PROVEEDORES!$A:$B,2,0),"!COD NO ENCONTRADO"),"")</f>
        <v/>
      </c>
      <c r="F3548" s="76" t="str">
        <f aca="false">IF(D3548&lt;&gt;"",IFERROR(VLOOKUP(D3548,PROVEEDORES!$A:$C,3,0),""),"")</f>
        <v/>
      </c>
      <c r="G3548" s="75"/>
      <c r="H3548" s="52" t="str">
        <f aca="false">IF(G3548&lt;&gt;"",IFERROR(VLOOKUP(G3548,PRODUCTOS!$A:$B,2,0),"!COD NO ENCONTRADO"),"")</f>
        <v/>
      </c>
      <c r="I3548" s="77"/>
      <c r="J3548" s="78"/>
      <c r="K3548" s="79"/>
      <c r="L3548" s="80" t="str">
        <f aca="false">IF(AND(J3548&lt;&gt;"",K3548&lt;&gt;""),J3548*K3548,"")</f>
        <v/>
      </c>
      <c r="M3548" s="81" t="str">
        <f aca="false">IF(L3548&lt;&gt;"",L3548*1.1,"")</f>
        <v/>
      </c>
      <c r="N3548" s="53" t="n">
        <f aca="false">IF(F3548="S",L3548*0.02,0)</f>
        <v>0</v>
      </c>
      <c r="O3548" s="82" t="str">
        <f aca="false">IF(L3548&lt;&gt;"",L3548+N3548,"")</f>
        <v/>
      </c>
      <c r="P3548" s="53" t="str">
        <f aca="false">IF(O3548&lt;&gt;"",O3548*0.1,"")</f>
        <v/>
      </c>
      <c r="Q3548" s="83" t="str">
        <f aca="false">IF(O3548&lt;&gt;"",O3548+P3548,"")</f>
        <v/>
      </c>
      <c r="R3548" s="84"/>
    </row>
    <row r="3549" customFormat="false" ht="15" hidden="false" customHeight="true" outlineLevel="0" collapsed="false">
      <c r="A3549" s="103"/>
      <c r="B3549" s="85"/>
      <c r="C3549" s="86"/>
      <c r="D3549" s="87"/>
      <c r="E3549" s="46" t="str">
        <f aca="false">IF(D3549&lt;&gt;"",IFERROR(VLOOKUP(D3549,PROVEEDORES!$A:$B,2,0),"!COD NO ENCONTRADO"),"")</f>
        <v/>
      </c>
      <c r="F3549" s="88" t="str">
        <f aca="false">IF(D3549&lt;&gt;"",IFERROR(VLOOKUP(D3549,PROVEEDORES!$A:$C,3,0),""),"")</f>
        <v/>
      </c>
      <c r="G3549" s="87"/>
      <c r="H3549" s="46" t="str">
        <f aca="false">IF(G3549&lt;&gt;"",IFERROR(VLOOKUP(G3549,PRODUCTOS!$A:$B,2,0),"!COD NO ENCONTRADO"),"")</f>
        <v/>
      </c>
      <c r="I3549" s="89"/>
      <c r="J3549" s="90"/>
      <c r="K3549" s="91"/>
      <c r="L3549" s="80" t="str">
        <f aca="false">IF(AND(J3549&lt;&gt;"",K3549&lt;&gt;""),J3549*K3549,"")</f>
        <v/>
      </c>
      <c r="M3549" s="81" t="str">
        <f aca="false">IF(L3549&lt;&gt;"",L3549*1.1,"")</f>
        <v/>
      </c>
      <c r="N3549" s="47" t="n">
        <f aca="false">IF(F3549="S",L3549*0.02,0)</f>
        <v>0</v>
      </c>
      <c r="O3549" s="82" t="str">
        <f aca="false">IF(L3549&lt;&gt;"",L3549+N3549,"")</f>
        <v/>
      </c>
      <c r="P3549" s="47" t="str">
        <f aca="false">IF(O3549&lt;&gt;"",O3549*0.1,"")</f>
        <v/>
      </c>
      <c r="Q3549" s="83" t="str">
        <f aca="false">IF(O3549&lt;&gt;"",O3549+P3549,"")</f>
        <v/>
      </c>
      <c r="R3549" s="84"/>
    </row>
    <row r="3550" customFormat="false" ht="15" hidden="false" customHeight="true" outlineLevel="0" collapsed="false">
      <c r="A3550" s="103"/>
      <c r="B3550" s="73"/>
      <c r="C3550" s="74"/>
      <c r="D3550" s="75"/>
      <c r="E3550" s="52" t="str">
        <f aca="false">IF(D3550&lt;&gt;"",IFERROR(VLOOKUP(D3550,PROVEEDORES!$A:$B,2,0),"!COD NO ENCONTRADO"),"")</f>
        <v/>
      </c>
      <c r="F3550" s="76" t="str">
        <f aca="false">IF(D3550&lt;&gt;"",IFERROR(VLOOKUP(D3550,PROVEEDORES!$A:$C,3,0),""),"")</f>
        <v/>
      </c>
      <c r="G3550" s="75"/>
      <c r="H3550" s="52" t="str">
        <f aca="false">IF(G3550&lt;&gt;"",IFERROR(VLOOKUP(G3550,PRODUCTOS!$A:$B,2,0),"!COD NO ENCONTRADO"),"")</f>
        <v/>
      </c>
      <c r="I3550" s="77"/>
      <c r="J3550" s="78"/>
      <c r="K3550" s="79"/>
      <c r="L3550" s="80" t="str">
        <f aca="false">IF(AND(J3550&lt;&gt;"",K3550&lt;&gt;""),J3550*K3550,"")</f>
        <v/>
      </c>
      <c r="M3550" s="81" t="str">
        <f aca="false">IF(L3550&lt;&gt;"",L3550*1.1,"")</f>
        <v/>
      </c>
      <c r="N3550" s="53" t="n">
        <f aca="false">IF(F3550="S",L3550*0.02,0)</f>
        <v>0</v>
      </c>
      <c r="O3550" s="82" t="str">
        <f aca="false">IF(L3550&lt;&gt;"",L3550+N3550,"")</f>
        <v/>
      </c>
      <c r="P3550" s="53" t="str">
        <f aca="false">IF(O3550&lt;&gt;"",O3550*0.1,"")</f>
        <v/>
      </c>
      <c r="Q3550" s="83" t="str">
        <f aca="false">IF(O3550&lt;&gt;"",O3550+P3550,"")</f>
        <v/>
      </c>
      <c r="R3550" s="84"/>
    </row>
    <row r="3551" customFormat="false" ht="15" hidden="false" customHeight="true" outlineLevel="0" collapsed="false">
      <c r="A3551" s="103"/>
      <c r="B3551" s="85"/>
      <c r="C3551" s="86"/>
      <c r="D3551" s="87"/>
      <c r="E3551" s="46" t="str">
        <f aca="false">IF(D3551&lt;&gt;"",IFERROR(VLOOKUP(D3551,PROVEEDORES!$A:$B,2,0),"!COD NO ENCONTRADO"),"")</f>
        <v/>
      </c>
      <c r="F3551" s="88" t="str">
        <f aca="false">IF(D3551&lt;&gt;"",IFERROR(VLOOKUP(D3551,PROVEEDORES!$A:$C,3,0),""),"")</f>
        <v/>
      </c>
      <c r="G3551" s="87"/>
      <c r="H3551" s="46" t="str">
        <f aca="false">IF(G3551&lt;&gt;"",IFERROR(VLOOKUP(G3551,PRODUCTOS!$A:$B,2,0),"!COD NO ENCONTRADO"),"")</f>
        <v/>
      </c>
      <c r="I3551" s="89"/>
      <c r="J3551" s="90"/>
      <c r="K3551" s="91"/>
      <c r="L3551" s="80" t="str">
        <f aca="false">IF(AND(J3551&lt;&gt;"",K3551&lt;&gt;""),J3551*K3551,"")</f>
        <v/>
      </c>
      <c r="M3551" s="81" t="str">
        <f aca="false">IF(L3551&lt;&gt;"",L3551*1.1,"")</f>
        <v/>
      </c>
      <c r="N3551" s="47" t="n">
        <f aca="false">IF(F3551="S",L3551*0.02,0)</f>
        <v>0</v>
      </c>
      <c r="O3551" s="82" t="str">
        <f aca="false">IF(L3551&lt;&gt;"",L3551+N3551,"")</f>
        <v/>
      </c>
      <c r="P3551" s="47" t="str">
        <f aca="false">IF(O3551&lt;&gt;"",O3551*0.1,"")</f>
        <v/>
      </c>
      <c r="Q3551" s="83" t="str">
        <f aca="false">IF(O3551&lt;&gt;"",O3551+P3551,"")</f>
        <v/>
      </c>
      <c r="R3551" s="84"/>
    </row>
    <row r="3552" customFormat="false" ht="15" hidden="false" customHeight="true" outlineLevel="0" collapsed="false">
      <c r="A3552" s="103"/>
      <c r="B3552" s="73"/>
      <c r="C3552" s="74"/>
      <c r="D3552" s="75"/>
      <c r="E3552" s="52" t="str">
        <f aca="false">IF(D3552&lt;&gt;"",IFERROR(VLOOKUP(D3552,PROVEEDORES!$A:$B,2,0),"!COD NO ENCONTRADO"),"")</f>
        <v/>
      </c>
      <c r="F3552" s="76" t="str">
        <f aca="false">IF(D3552&lt;&gt;"",IFERROR(VLOOKUP(D3552,PROVEEDORES!$A:$C,3,0),""),"")</f>
        <v/>
      </c>
      <c r="G3552" s="75"/>
      <c r="H3552" s="52" t="str">
        <f aca="false">IF(G3552&lt;&gt;"",IFERROR(VLOOKUP(G3552,PRODUCTOS!$A:$B,2,0),"!COD NO ENCONTRADO"),"")</f>
        <v/>
      </c>
      <c r="I3552" s="77"/>
      <c r="J3552" s="78"/>
      <c r="K3552" s="79"/>
      <c r="L3552" s="80" t="str">
        <f aca="false">IF(AND(J3552&lt;&gt;"",K3552&lt;&gt;""),J3552*K3552,"")</f>
        <v/>
      </c>
      <c r="M3552" s="81" t="str">
        <f aca="false">IF(L3552&lt;&gt;"",L3552*1.1,"")</f>
        <v/>
      </c>
      <c r="N3552" s="53" t="n">
        <f aca="false">IF(F3552="S",L3552*0.02,0)</f>
        <v>0</v>
      </c>
      <c r="O3552" s="82" t="str">
        <f aca="false">IF(L3552&lt;&gt;"",L3552+N3552,"")</f>
        <v/>
      </c>
      <c r="P3552" s="53" t="str">
        <f aca="false">IF(O3552&lt;&gt;"",O3552*0.1,"")</f>
        <v/>
      </c>
      <c r="Q3552" s="83" t="str">
        <f aca="false">IF(O3552&lt;&gt;"",O3552+P3552,"")</f>
        <v/>
      </c>
      <c r="R3552" s="84"/>
    </row>
    <row r="3553" customFormat="false" ht="15" hidden="false" customHeight="true" outlineLevel="0" collapsed="false">
      <c r="A3553" s="103"/>
      <c r="B3553" s="85"/>
      <c r="C3553" s="86"/>
      <c r="D3553" s="87"/>
      <c r="E3553" s="46" t="str">
        <f aca="false">IF(D3553&lt;&gt;"",IFERROR(VLOOKUP(D3553,PROVEEDORES!$A:$B,2,0),"!COD NO ENCONTRADO"),"")</f>
        <v/>
      </c>
      <c r="F3553" s="88" t="str">
        <f aca="false">IF(D3553&lt;&gt;"",IFERROR(VLOOKUP(D3553,PROVEEDORES!$A:$C,3,0),""),"")</f>
        <v/>
      </c>
      <c r="G3553" s="87"/>
      <c r="H3553" s="46" t="str">
        <f aca="false">IF(G3553&lt;&gt;"",IFERROR(VLOOKUP(G3553,PRODUCTOS!$A:$B,2,0),"!COD NO ENCONTRADO"),"")</f>
        <v/>
      </c>
      <c r="I3553" s="89"/>
      <c r="J3553" s="90"/>
      <c r="K3553" s="91"/>
      <c r="L3553" s="80" t="str">
        <f aca="false">IF(AND(J3553&lt;&gt;"",K3553&lt;&gt;""),J3553*K3553,"")</f>
        <v/>
      </c>
      <c r="M3553" s="81" t="str">
        <f aca="false">IF(L3553&lt;&gt;"",L3553*1.1,"")</f>
        <v/>
      </c>
      <c r="N3553" s="47" t="n">
        <f aca="false">IF(F3553="S",L3553*0.02,0)</f>
        <v>0</v>
      </c>
      <c r="O3553" s="82" t="str">
        <f aca="false">IF(L3553&lt;&gt;"",L3553+N3553,"")</f>
        <v/>
      </c>
      <c r="P3553" s="47" t="str">
        <f aca="false">IF(O3553&lt;&gt;"",O3553*0.1,"")</f>
        <v/>
      </c>
      <c r="Q3553" s="83" t="str">
        <f aca="false">IF(O3553&lt;&gt;"",O3553+P3553,"")</f>
        <v/>
      </c>
      <c r="R3553" s="84"/>
    </row>
    <row r="3554" customFormat="false" ht="15" hidden="false" customHeight="true" outlineLevel="0" collapsed="false">
      <c r="A3554" s="103"/>
      <c r="B3554" s="73"/>
      <c r="C3554" s="74"/>
      <c r="D3554" s="75"/>
      <c r="E3554" s="52" t="str">
        <f aca="false">IF(D3554&lt;&gt;"",IFERROR(VLOOKUP(D3554,PROVEEDORES!$A:$B,2,0),"!COD NO ENCONTRADO"),"")</f>
        <v/>
      </c>
      <c r="F3554" s="76" t="str">
        <f aca="false">IF(D3554&lt;&gt;"",IFERROR(VLOOKUP(D3554,PROVEEDORES!$A:$C,3,0),""),"")</f>
        <v/>
      </c>
      <c r="G3554" s="75"/>
      <c r="H3554" s="52" t="str">
        <f aca="false">IF(G3554&lt;&gt;"",IFERROR(VLOOKUP(G3554,PRODUCTOS!$A:$B,2,0),"!COD NO ENCONTRADO"),"")</f>
        <v/>
      </c>
      <c r="I3554" s="77"/>
      <c r="J3554" s="78"/>
      <c r="K3554" s="79"/>
      <c r="L3554" s="80" t="str">
        <f aca="false">IF(AND(J3554&lt;&gt;"",K3554&lt;&gt;""),J3554*K3554,"")</f>
        <v/>
      </c>
      <c r="M3554" s="81" t="str">
        <f aca="false">IF(L3554&lt;&gt;"",L3554*1.1,"")</f>
        <v/>
      </c>
      <c r="N3554" s="53" t="n">
        <f aca="false">IF(F3554="S",L3554*0.02,0)</f>
        <v>0</v>
      </c>
      <c r="O3554" s="82" t="str">
        <f aca="false">IF(L3554&lt;&gt;"",L3554+N3554,"")</f>
        <v/>
      </c>
      <c r="P3554" s="53" t="str">
        <f aca="false">IF(O3554&lt;&gt;"",O3554*0.1,"")</f>
        <v/>
      </c>
      <c r="Q3554" s="83" t="str">
        <f aca="false">IF(O3554&lt;&gt;"",O3554+P3554,"")</f>
        <v/>
      </c>
      <c r="R3554" s="84"/>
    </row>
    <row r="3555" customFormat="false" ht="15" hidden="false" customHeight="true" outlineLevel="0" collapsed="false">
      <c r="A3555" s="103"/>
      <c r="B3555" s="85"/>
      <c r="C3555" s="86"/>
      <c r="D3555" s="87"/>
      <c r="E3555" s="46" t="str">
        <f aca="false">IF(D3555&lt;&gt;"",IFERROR(VLOOKUP(D3555,PROVEEDORES!$A:$B,2,0),"!COD NO ENCONTRADO"),"")</f>
        <v/>
      </c>
      <c r="F3555" s="88" t="str">
        <f aca="false">IF(D3555&lt;&gt;"",IFERROR(VLOOKUP(D3555,PROVEEDORES!$A:$C,3,0),""),"")</f>
        <v/>
      </c>
      <c r="G3555" s="87"/>
      <c r="H3555" s="46" t="str">
        <f aca="false">IF(G3555&lt;&gt;"",IFERROR(VLOOKUP(G3555,PRODUCTOS!$A:$B,2,0),"!COD NO ENCONTRADO"),"")</f>
        <v/>
      </c>
      <c r="I3555" s="89"/>
      <c r="J3555" s="90"/>
      <c r="K3555" s="91"/>
      <c r="L3555" s="80" t="str">
        <f aca="false">IF(AND(J3555&lt;&gt;"",K3555&lt;&gt;""),J3555*K3555,"")</f>
        <v/>
      </c>
      <c r="M3555" s="81" t="str">
        <f aca="false">IF(L3555&lt;&gt;"",L3555*1.1,"")</f>
        <v/>
      </c>
      <c r="N3555" s="47" t="n">
        <f aca="false">IF(F3555="S",L3555*0.02,0)</f>
        <v>0</v>
      </c>
      <c r="O3555" s="82" t="str">
        <f aca="false">IF(L3555&lt;&gt;"",L3555+N3555,"")</f>
        <v/>
      </c>
      <c r="P3555" s="47" t="str">
        <f aca="false">IF(O3555&lt;&gt;"",O3555*0.1,"")</f>
        <v/>
      </c>
      <c r="Q3555" s="83" t="str">
        <f aca="false">IF(O3555&lt;&gt;"",O3555+P3555,"")</f>
        <v/>
      </c>
      <c r="R3555" s="84"/>
    </row>
    <row r="3556" customFormat="false" ht="15" hidden="false" customHeight="true" outlineLevel="0" collapsed="false">
      <c r="A3556" s="103"/>
      <c r="B3556" s="73"/>
      <c r="C3556" s="74"/>
      <c r="D3556" s="75"/>
      <c r="E3556" s="52" t="str">
        <f aca="false">IF(D3556&lt;&gt;"",IFERROR(VLOOKUP(D3556,PROVEEDORES!$A:$B,2,0),"!COD NO ENCONTRADO"),"")</f>
        <v/>
      </c>
      <c r="F3556" s="76" t="str">
        <f aca="false">IF(D3556&lt;&gt;"",IFERROR(VLOOKUP(D3556,PROVEEDORES!$A:$C,3,0),""),"")</f>
        <v/>
      </c>
      <c r="G3556" s="75"/>
      <c r="H3556" s="52" t="str">
        <f aca="false">IF(G3556&lt;&gt;"",IFERROR(VLOOKUP(G3556,PRODUCTOS!$A:$B,2,0),"!COD NO ENCONTRADO"),"")</f>
        <v/>
      </c>
      <c r="I3556" s="77"/>
      <c r="J3556" s="78"/>
      <c r="K3556" s="79"/>
      <c r="L3556" s="80" t="str">
        <f aca="false">IF(AND(J3556&lt;&gt;"",K3556&lt;&gt;""),J3556*K3556,"")</f>
        <v/>
      </c>
      <c r="M3556" s="81" t="str">
        <f aca="false">IF(L3556&lt;&gt;"",L3556*1.1,"")</f>
        <v/>
      </c>
      <c r="N3556" s="53" t="n">
        <f aca="false">IF(F3556="S",L3556*0.02,0)</f>
        <v>0</v>
      </c>
      <c r="O3556" s="82" t="str">
        <f aca="false">IF(L3556&lt;&gt;"",L3556+N3556,"")</f>
        <v/>
      </c>
      <c r="P3556" s="53" t="str">
        <f aca="false">IF(O3556&lt;&gt;"",O3556*0.1,"")</f>
        <v/>
      </c>
      <c r="Q3556" s="83" t="str">
        <f aca="false">IF(O3556&lt;&gt;"",O3556+P3556,"")</f>
        <v/>
      </c>
      <c r="R3556" s="84"/>
    </row>
    <row r="3557" customFormat="false" ht="15" hidden="false" customHeight="true" outlineLevel="0" collapsed="false">
      <c r="A3557" s="103"/>
      <c r="B3557" s="85"/>
      <c r="C3557" s="86"/>
      <c r="D3557" s="87"/>
      <c r="E3557" s="46" t="str">
        <f aca="false">IF(D3557&lt;&gt;"",IFERROR(VLOOKUP(D3557,PROVEEDORES!$A:$B,2,0),"!COD NO ENCONTRADO"),"")</f>
        <v/>
      </c>
      <c r="F3557" s="88" t="str">
        <f aca="false">IF(D3557&lt;&gt;"",IFERROR(VLOOKUP(D3557,PROVEEDORES!$A:$C,3,0),""),"")</f>
        <v/>
      </c>
      <c r="G3557" s="87"/>
      <c r="H3557" s="46" t="str">
        <f aca="false">IF(G3557&lt;&gt;"",IFERROR(VLOOKUP(G3557,PRODUCTOS!$A:$B,2,0),"!COD NO ENCONTRADO"),"")</f>
        <v/>
      </c>
      <c r="I3557" s="89"/>
      <c r="J3557" s="90"/>
      <c r="K3557" s="91"/>
      <c r="L3557" s="80" t="str">
        <f aca="false">IF(AND(J3557&lt;&gt;"",K3557&lt;&gt;""),J3557*K3557,"")</f>
        <v/>
      </c>
      <c r="M3557" s="81" t="str">
        <f aca="false">IF(L3557&lt;&gt;"",L3557*1.1,"")</f>
        <v/>
      </c>
      <c r="N3557" s="47" t="n">
        <f aca="false">IF(F3557="S",L3557*0.02,0)</f>
        <v>0</v>
      </c>
      <c r="O3557" s="82" t="str">
        <f aca="false">IF(L3557&lt;&gt;"",L3557+N3557,"")</f>
        <v/>
      </c>
      <c r="P3557" s="47" t="str">
        <f aca="false">IF(O3557&lt;&gt;"",O3557*0.1,"")</f>
        <v/>
      </c>
      <c r="Q3557" s="83" t="str">
        <f aca="false">IF(O3557&lt;&gt;"",O3557+P3557,"")</f>
        <v/>
      </c>
      <c r="R3557" s="84"/>
    </row>
    <row r="3558" customFormat="false" ht="15" hidden="false" customHeight="true" outlineLevel="0" collapsed="false">
      <c r="A3558" s="103"/>
      <c r="B3558" s="73"/>
      <c r="C3558" s="74"/>
      <c r="D3558" s="75"/>
      <c r="E3558" s="52" t="str">
        <f aca="false">IF(D3558&lt;&gt;"",IFERROR(VLOOKUP(D3558,PROVEEDORES!$A:$B,2,0),"!COD NO ENCONTRADO"),"")</f>
        <v/>
      </c>
      <c r="F3558" s="76" t="str">
        <f aca="false">IF(D3558&lt;&gt;"",IFERROR(VLOOKUP(D3558,PROVEEDORES!$A:$C,3,0),""),"")</f>
        <v/>
      </c>
      <c r="G3558" s="75"/>
      <c r="H3558" s="52" t="str">
        <f aca="false">IF(G3558&lt;&gt;"",IFERROR(VLOOKUP(G3558,PRODUCTOS!$A:$B,2,0),"!COD NO ENCONTRADO"),"")</f>
        <v/>
      </c>
      <c r="I3558" s="77"/>
      <c r="J3558" s="78"/>
      <c r="K3558" s="79"/>
      <c r="L3558" s="80" t="str">
        <f aca="false">IF(AND(J3558&lt;&gt;"",K3558&lt;&gt;""),J3558*K3558,"")</f>
        <v/>
      </c>
      <c r="M3558" s="81" t="str">
        <f aca="false">IF(L3558&lt;&gt;"",L3558*1.1,"")</f>
        <v/>
      </c>
      <c r="N3558" s="53" t="n">
        <f aca="false">IF(F3558="S",L3558*0.02,0)</f>
        <v>0</v>
      </c>
      <c r="O3558" s="82" t="str">
        <f aca="false">IF(L3558&lt;&gt;"",L3558+N3558,"")</f>
        <v/>
      </c>
      <c r="P3558" s="53" t="str">
        <f aca="false">IF(O3558&lt;&gt;"",O3558*0.1,"")</f>
        <v/>
      </c>
      <c r="Q3558" s="83" t="str">
        <f aca="false">IF(O3558&lt;&gt;"",O3558+P3558,"")</f>
        <v/>
      </c>
      <c r="R3558" s="84"/>
    </row>
    <row r="3559" customFormat="false" ht="15" hidden="false" customHeight="true" outlineLevel="0" collapsed="false">
      <c r="A3559" s="103"/>
      <c r="B3559" s="85"/>
      <c r="C3559" s="86"/>
      <c r="D3559" s="87"/>
      <c r="E3559" s="46" t="str">
        <f aca="false">IF(D3559&lt;&gt;"",IFERROR(VLOOKUP(D3559,PROVEEDORES!$A:$B,2,0),"!COD NO ENCONTRADO"),"")</f>
        <v/>
      </c>
      <c r="F3559" s="88" t="str">
        <f aca="false">IF(D3559&lt;&gt;"",IFERROR(VLOOKUP(D3559,PROVEEDORES!$A:$C,3,0),""),"")</f>
        <v/>
      </c>
      <c r="G3559" s="87"/>
      <c r="H3559" s="46" t="str">
        <f aca="false">IF(G3559&lt;&gt;"",IFERROR(VLOOKUP(G3559,PRODUCTOS!$A:$B,2,0),"!COD NO ENCONTRADO"),"")</f>
        <v/>
      </c>
      <c r="I3559" s="89"/>
      <c r="J3559" s="90"/>
      <c r="K3559" s="91"/>
      <c r="L3559" s="80" t="str">
        <f aca="false">IF(AND(J3559&lt;&gt;"",K3559&lt;&gt;""),J3559*K3559,"")</f>
        <v/>
      </c>
      <c r="M3559" s="81" t="str">
        <f aca="false">IF(L3559&lt;&gt;"",L3559*1.1,"")</f>
        <v/>
      </c>
      <c r="N3559" s="47" t="n">
        <f aca="false">IF(F3559="S",L3559*0.02,0)</f>
        <v>0</v>
      </c>
      <c r="O3559" s="82" t="str">
        <f aca="false">IF(L3559&lt;&gt;"",L3559+N3559,"")</f>
        <v/>
      </c>
      <c r="P3559" s="47" t="str">
        <f aca="false">IF(O3559&lt;&gt;"",O3559*0.1,"")</f>
        <v/>
      </c>
      <c r="Q3559" s="83" t="str">
        <f aca="false">IF(O3559&lt;&gt;"",O3559+P3559,"")</f>
        <v/>
      </c>
      <c r="R3559" s="84"/>
    </row>
    <row r="3560" customFormat="false" ht="15" hidden="false" customHeight="true" outlineLevel="0" collapsed="false">
      <c r="A3560" s="103"/>
      <c r="B3560" s="73"/>
      <c r="C3560" s="74"/>
      <c r="D3560" s="75"/>
      <c r="E3560" s="52" t="str">
        <f aca="false">IF(D3560&lt;&gt;"",IFERROR(VLOOKUP(D3560,PROVEEDORES!$A:$B,2,0),"!COD NO ENCONTRADO"),"")</f>
        <v/>
      </c>
      <c r="F3560" s="76" t="str">
        <f aca="false">IF(D3560&lt;&gt;"",IFERROR(VLOOKUP(D3560,PROVEEDORES!$A:$C,3,0),""),"")</f>
        <v/>
      </c>
      <c r="G3560" s="75"/>
      <c r="H3560" s="52" t="str">
        <f aca="false">IF(G3560&lt;&gt;"",IFERROR(VLOOKUP(G3560,PRODUCTOS!$A:$B,2,0),"!COD NO ENCONTRADO"),"")</f>
        <v/>
      </c>
      <c r="I3560" s="77"/>
      <c r="J3560" s="78"/>
      <c r="K3560" s="79"/>
      <c r="L3560" s="80" t="str">
        <f aca="false">IF(AND(J3560&lt;&gt;"",K3560&lt;&gt;""),J3560*K3560,"")</f>
        <v/>
      </c>
      <c r="M3560" s="81" t="str">
        <f aca="false">IF(L3560&lt;&gt;"",L3560*1.1,"")</f>
        <v/>
      </c>
      <c r="N3560" s="53" t="n">
        <f aca="false">IF(F3560="S",L3560*0.02,0)</f>
        <v>0</v>
      </c>
      <c r="O3560" s="82" t="str">
        <f aca="false">IF(L3560&lt;&gt;"",L3560+N3560,"")</f>
        <v/>
      </c>
      <c r="P3560" s="53" t="str">
        <f aca="false">IF(O3560&lt;&gt;"",O3560*0.1,"")</f>
        <v/>
      </c>
      <c r="Q3560" s="83" t="str">
        <f aca="false">IF(O3560&lt;&gt;"",O3560+P3560,"")</f>
        <v/>
      </c>
      <c r="R3560" s="84"/>
    </row>
    <row r="3561" customFormat="false" ht="15" hidden="false" customHeight="true" outlineLevel="0" collapsed="false">
      <c r="A3561" s="103"/>
      <c r="B3561" s="85"/>
      <c r="C3561" s="86"/>
      <c r="D3561" s="87"/>
      <c r="E3561" s="46" t="str">
        <f aca="false">IF(D3561&lt;&gt;"",IFERROR(VLOOKUP(D3561,PROVEEDORES!$A:$B,2,0),"!COD NO ENCONTRADO"),"")</f>
        <v/>
      </c>
      <c r="F3561" s="88" t="str">
        <f aca="false">IF(D3561&lt;&gt;"",IFERROR(VLOOKUP(D3561,PROVEEDORES!$A:$C,3,0),""),"")</f>
        <v/>
      </c>
      <c r="G3561" s="87"/>
      <c r="H3561" s="46" t="str">
        <f aca="false">IF(G3561&lt;&gt;"",IFERROR(VLOOKUP(G3561,PRODUCTOS!$A:$B,2,0),"!COD NO ENCONTRADO"),"")</f>
        <v/>
      </c>
      <c r="I3561" s="89"/>
      <c r="J3561" s="90"/>
      <c r="K3561" s="91"/>
      <c r="L3561" s="80" t="str">
        <f aca="false">IF(AND(J3561&lt;&gt;"",K3561&lt;&gt;""),J3561*K3561,"")</f>
        <v/>
      </c>
      <c r="M3561" s="81" t="str">
        <f aca="false">IF(L3561&lt;&gt;"",L3561*1.1,"")</f>
        <v/>
      </c>
      <c r="N3561" s="47" t="n">
        <f aca="false">IF(F3561="S",L3561*0.02,0)</f>
        <v>0</v>
      </c>
      <c r="O3561" s="82" t="str">
        <f aca="false">IF(L3561&lt;&gt;"",L3561+N3561,"")</f>
        <v/>
      </c>
      <c r="P3561" s="47" t="str">
        <f aca="false">IF(O3561&lt;&gt;"",O3561*0.1,"")</f>
        <v/>
      </c>
      <c r="Q3561" s="83" t="str">
        <f aca="false">IF(O3561&lt;&gt;"",O3561+P3561,"")</f>
        <v/>
      </c>
      <c r="R3561" s="84"/>
    </row>
    <row r="3562" customFormat="false" ht="15" hidden="false" customHeight="true" outlineLevel="0" collapsed="false">
      <c r="A3562" s="103"/>
      <c r="B3562" s="73"/>
      <c r="C3562" s="74"/>
      <c r="D3562" s="75"/>
      <c r="E3562" s="52" t="str">
        <f aca="false">IF(D3562&lt;&gt;"",IFERROR(VLOOKUP(D3562,PROVEEDORES!$A:$B,2,0),"!COD NO ENCONTRADO"),"")</f>
        <v/>
      </c>
      <c r="F3562" s="76" t="str">
        <f aca="false">IF(D3562&lt;&gt;"",IFERROR(VLOOKUP(D3562,PROVEEDORES!$A:$C,3,0),""),"")</f>
        <v/>
      </c>
      <c r="G3562" s="75"/>
      <c r="H3562" s="52" t="str">
        <f aca="false">IF(G3562&lt;&gt;"",IFERROR(VLOOKUP(G3562,PRODUCTOS!$A:$B,2,0),"!COD NO ENCONTRADO"),"")</f>
        <v/>
      </c>
      <c r="I3562" s="77"/>
      <c r="J3562" s="78"/>
      <c r="K3562" s="79"/>
      <c r="L3562" s="80" t="str">
        <f aca="false">IF(AND(J3562&lt;&gt;"",K3562&lt;&gt;""),J3562*K3562,"")</f>
        <v/>
      </c>
      <c r="M3562" s="81" t="str">
        <f aca="false">IF(L3562&lt;&gt;"",L3562*1.1,"")</f>
        <v/>
      </c>
      <c r="N3562" s="53" t="n">
        <f aca="false">IF(F3562="S",L3562*0.02,0)</f>
        <v>0</v>
      </c>
      <c r="O3562" s="82" t="str">
        <f aca="false">IF(L3562&lt;&gt;"",L3562+N3562,"")</f>
        <v/>
      </c>
      <c r="P3562" s="53" t="str">
        <f aca="false">IF(O3562&lt;&gt;"",O3562*0.1,"")</f>
        <v/>
      </c>
      <c r="Q3562" s="83" t="str">
        <f aca="false">IF(O3562&lt;&gt;"",O3562+P3562,"")</f>
        <v/>
      </c>
      <c r="R3562" s="84"/>
    </row>
    <row r="3563" customFormat="false" ht="15" hidden="false" customHeight="true" outlineLevel="0" collapsed="false">
      <c r="A3563" s="103"/>
      <c r="B3563" s="85"/>
      <c r="C3563" s="86"/>
      <c r="D3563" s="87"/>
      <c r="E3563" s="46" t="str">
        <f aca="false">IF(D3563&lt;&gt;"",IFERROR(VLOOKUP(D3563,PROVEEDORES!$A:$B,2,0),"!COD NO ENCONTRADO"),"")</f>
        <v/>
      </c>
      <c r="F3563" s="88" t="str">
        <f aca="false">IF(D3563&lt;&gt;"",IFERROR(VLOOKUP(D3563,PROVEEDORES!$A:$C,3,0),""),"")</f>
        <v/>
      </c>
      <c r="G3563" s="87"/>
      <c r="H3563" s="46" t="str">
        <f aca="false">IF(G3563&lt;&gt;"",IFERROR(VLOOKUP(G3563,PRODUCTOS!$A:$B,2,0),"!COD NO ENCONTRADO"),"")</f>
        <v/>
      </c>
      <c r="I3563" s="89"/>
      <c r="J3563" s="90"/>
      <c r="K3563" s="91"/>
      <c r="L3563" s="80" t="str">
        <f aca="false">IF(AND(J3563&lt;&gt;"",K3563&lt;&gt;""),J3563*K3563,"")</f>
        <v/>
      </c>
      <c r="M3563" s="81" t="str">
        <f aca="false">IF(L3563&lt;&gt;"",L3563*1.1,"")</f>
        <v/>
      </c>
      <c r="N3563" s="47" t="n">
        <f aca="false">IF(F3563="S",L3563*0.02,0)</f>
        <v>0</v>
      </c>
      <c r="O3563" s="82" t="str">
        <f aca="false">IF(L3563&lt;&gt;"",L3563+N3563,"")</f>
        <v/>
      </c>
      <c r="P3563" s="47" t="str">
        <f aca="false">IF(O3563&lt;&gt;"",O3563*0.1,"")</f>
        <v/>
      </c>
      <c r="Q3563" s="83" t="str">
        <f aca="false">IF(O3563&lt;&gt;"",O3563+P3563,"")</f>
        <v/>
      </c>
      <c r="R3563" s="84"/>
    </row>
    <row r="3564" customFormat="false" ht="15" hidden="false" customHeight="true" outlineLevel="0" collapsed="false">
      <c r="A3564" s="103"/>
      <c r="B3564" s="73"/>
      <c r="C3564" s="74"/>
      <c r="D3564" s="75"/>
      <c r="E3564" s="52" t="str">
        <f aca="false">IF(D3564&lt;&gt;"",IFERROR(VLOOKUP(D3564,PROVEEDORES!$A:$B,2,0),"!COD NO ENCONTRADO"),"")</f>
        <v/>
      </c>
      <c r="F3564" s="76" t="str">
        <f aca="false">IF(D3564&lt;&gt;"",IFERROR(VLOOKUP(D3564,PROVEEDORES!$A:$C,3,0),""),"")</f>
        <v/>
      </c>
      <c r="G3564" s="75"/>
      <c r="H3564" s="52" t="str">
        <f aca="false">IF(G3564&lt;&gt;"",IFERROR(VLOOKUP(G3564,PRODUCTOS!$A:$B,2,0),"!COD NO ENCONTRADO"),"")</f>
        <v/>
      </c>
      <c r="I3564" s="77"/>
      <c r="J3564" s="78"/>
      <c r="K3564" s="79"/>
      <c r="L3564" s="80" t="str">
        <f aca="false">IF(AND(J3564&lt;&gt;"",K3564&lt;&gt;""),J3564*K3564,"")</f>
        <v/>
      </c>
      <c r="M3564" s="81" t="str">
        <f aca="false">IF(L3564&lt;&gt;"",L3564*1.1,"")</f>
        <v/>
      </c>
      <c r="N3564" s="53" t="n">
        <f aca="false">IF(F3564="S",L3564*0.02,0)</f>
        <v>0</v>
      </c>
      <c r="O3564" s="82" t="str">
        <f aca="false">IF(L3564&lt;&gt;"",L3564+N3564,"")</f>
        <v/>
      </c>
      <c r="P3564" s="53" t="str">
        <f aca="false">IF(O3564&lt;&gt;"",O3564*0.1,"")</f>
        <v/>
      </c>
      <c r="Q3564" s="83" t="str">
        <f aca="false">IF(O3564&lt;&gt;"",O3564+P3564,"")</f>
        <v/>
      </c>
      <c r="R3564" s="84"/>
    </row>
    <row r="3565" customFormat="false" ht="15" hidden="false" customHeight="true" outlineLevel="0" collapsed="false">
      <c r="A3565" s="103"/>
      <c r="B3565" s="85"/>
      <c r="C3565" s="86"/>
      <c r="D3565" s="87"/>
      <c r="E3565" s="46" t="str">
        <f aca="false">IF(D3565&lt;&gt;"",IFERROR(VLOOKUP(D3565,PROVEEDORES!$A:$B,2,0),"!COD NO ENCONTRADO"),"")</f>
        <v/>
      </c>
      <c r="F3565" s="88" t="str">
        <f aca="false">IF(D3565&lt;&gt;"",IFERROR(VLOOKUP(D3565,PROVEEDORES!$A:$C,3,0),""),"")</f>
        <v/>
      </c>
      <c r="G3565" s="87"/>
      <c r="H3565" s="46" t="str">
        <f aca="false">IF(G3565&lt;&gt;"",IFERROR(VLOOKUP(G3565,PRODUCTOS!$A:$B,2,0),"!COD NO ENCONTRADO"),"")</f>
        <v/>
      </c>
      <c r="I3565" s="89"/>
      <c r="J3565" s="90"/>
      <c r="K3565" s="91"/>
      <c r="L3565" s="80" t="str">
        <f aca="false">IF(AND(J3565&lt;&gt;"",K3565&lt;&gt;""),J3565*K3565,"")</f>
        <v/>
      </c>
      <c r="M3565" s="81" t="str">
        <f aca="false">IF(L3565&lt;&gt;"",L3565*1.1,"")</f>
        <v/>
      </c>
      <c r="N3565" s="47" t="n">
        <f aca="false">IF(F3565="S",L3565*0.02,0)</f>
        <v>0</v>
      </c>
      <c r="O3565" s="82" t="str">
        <f aca="false">IF(L3565&lt;&gt;"",L3565+N3565,"")</f>
        <v/>
      </c>
      <c r="P3565" s="47" t="str">
        <f aca="false">IF(O3565&lt;&gt;"",O3565*0.1,"")</f>
        <v/>
      </c>
      <c r="Q3565" s="83" t="str">
        <f aca="false">IF(O3565&lt;&gt;"",O3565+P3565,"")</f>
        <v/>
      </c>
      <c r="R3565" s="84"/>
    </row>
    <row r="3566" customFormat="false" ht="15" hidden="false" customHeight="true" outlineLevel="0" collapsed="false">
      <c r="A3566" s="103"/>
      <c r="B3566" s="73"/>
      <c r="C3566" s="74"/>
      <c r="D3566" s="75"/>
      <c r="E3566" s="52" t="str">
        <f aca="false">IF(D3566&lt;&gt;"",IFERROR(VLOOKUP(D3566,PROVEEDORES!$A:$B,2,0),"!COD NO ENCONTRADO"),"")</f>
        <v/>
      </c>
      <c r="F3566" s="76" t="str">
        <f aca="false">IF(D3566&lt;&gt;"",IFERROR(VLOOKUP(D3566,PROVEEDORES!$A:$C,3,0),""),"")</f>
        <v/>
      </c>
      <c r="G3566" s="75"/>
      <c r="H3566" s="52" t="str">
        <f aca="false">IF(G3566&lt;&gt;"",IFERROR(VLOOKUP(G3566,PRODUCTOS!$A:$B,2,0),"!COD NO ENCONTRADO"),"")</f>
        <v/>
      </c>
      <c r="I3566" s="77"/>
      <c r="J3566" s="78"/>
      <c r="K3566" s="79"/>
      <c r="L3566" s="80" t="str">
        <f aca="false">IF(AND(J3566&lt;&gt;"",K3566&lt;&gt;""),J3566*K3566,"")</f>
        <v/>
      </c>
      <c r="M3566" s="81" t="str">
        <f aca="false">IF(L3566&lt;&gt;"",L3566*1.1,"")</f>
        <v/>
      </c>
      <c r="N3566" s="53" t="n">
        <f aca="false">IF(F3566="S",L3566*0.02,0)</f>
        <v>0</v>
      </c>
      <c r="O3566" s="82" t="str">
        <f aca="false">IF(L3566&lt;&gt;"",L3566+N3566,"")</f>
        <v/>
      </c>
      <c r="P3566" s="53" t="str">
        <f aca="false">IF(O3566&lt;&gt;"",O3566*0.1,"")</f>
        <v/>
      </c>
      <c r="Q3566" s="83" t="str">
        <f aca="false">IF(O3566&lt;&gt;"",O3566+P3566,"")</f>
        <v/>
      </c>
      <c r="R3566" s="84"/>
    </row>
    <row r="3567" customFormat="false" ht="15" hidden="false" customHeight="true" outlineLevel="0" collapsed="false">
      <c r="A3567" s="103"/>
      <c r="B3567" s="85"/>
      <c r="C3567" s="86"/>
      <c r="D3567" s="87"/>
      <c r="E3567" s="46" t="str">
        <f aca="false">IF(D3567&lt;&gt;"",IFERROR(VLOOKUP(D3567,PROVEEDORES!$A:$B,2,0),"!COD NO ENCONTRADO"),"")</f>
        <v/>
      </c>
      <c r="F3567" s="88" t="str">
        <f aca="false">IF(D3567&lt;&gt;"",IFERROR(VLOOKUP(D3567,PROVEEDORES!$A:$C,3,0),""),"")</f>
        <v/>
      </c>
      <c r="G3567" s="87"/>
      <c r="H3567" s="46" t="str">
        <f aca="false">IF(G3567&lt;&gt;"",IFERROR(VLOOKUP(G3567,PRODUCTOS!$A:$B,2,0),"!COD NO ENCONTRADO"),"")</f>
        <v/>
      </c>
      <c r="I3567" s="89"/>
      <c r="J3567" s="90"/>
      <c r="K3567" s="91"/>
      <c r="L3567" s="80" t="str">
        <f aca="false">IF(AND(J3567&lt;&gt;"",K3567&lt;&gt;""),J3567*K3567,"")</f>
        <v/>
      </c>
      <c r="M3567" s="81" t="str">
        <f aca="false">IF(L3567&lt;&gt;"",L3567*1.1,"")</f>
        <v/>
      </c>
      <c r="N3567" s="47" t="n">
        <f aca="false">IF(F3567="S",L3567*0.02,0)</f>
        <v>0</v>
      </c>
      <c r="O3567" s="82" t="str">
        <f aca="false">IF(L3567&lt;&gt;"",L3567+N3567,"")</f>
        <v/>
      </c>
      <c r="P3567" s="47" t="str">
        <f aca="false">IF(O3567&lt;&gt;"",O3567*0.1,"")</f>
        <v/>
      </c>
      <c r="Q3567" s="83" t="str">
        <f aca="false">IF(O3567&lt;&gt;"",O3567+P3567,"")</f>
        <v/>
      </c>
      <c r="R3567" s="84"/>
    </row>
    <row r="3568" customFormat="false" ht="15" hidden="false" customHeight="true" outlineLevel="0" collapsed="false">
      <c r="A3568" s="103"/>
      <c r="B3568" s="73"/>
      <c r="C3568" s="74"/>
      <c r="D3568" s="75"/>
      <c r="E3568" s="52" t="str">
        <f aca="false">IF(D3568&lt;&gt;"",IFERROR(VLOOKUP(D3568,PROVEEDORES!$A:$B,2,0),"!COD NO ENCONTRADO"),"")</f>
        <v/>
      </c>
      <c r="F3568" s="76" t="str">
        <f aca="false">IF(D3568&lt;&gt;"",IFERROR(VLOOKUP(D3568,PROVEEDORES!$A:$C,3,0),""),"")</f>
        <v/>
      </c>
      <c r="G3568" s="75"/>
      <c r="H3568" s="52" t="str">
        <f aca="false">IF(G3568&lt;&gt;"",IFERROR(VLOOKUP(G3568,PRODUCTOS!$A:$B,2,0),"!COD NO ENCONTRADO"),"")</f>
        <v/>
      </c>
      <c r="I3568" s="77"/>
      <c r="J3568" s="78"/>
      <c r="K3568" s="79"/>
      <c r="L3568" s="80" t="str">
        <f aca="false">IF(AND(J3568&lt;&gt;"",K3568&lt;&gt;""),J3568*K3568,"")</f>
        <v/>
      </c>
      <c r="M3568" s="81" t="str">
        <f aca="false">IF(L3568&lt;&gt;"",L3568*1.1,"")</f>
        <v/>
      </c>
      <c r="N3568" s="53" t="n">
        <f aca="false">IF(F3568="S",L3568*0.02,0)</f>
        <v>0</v>
      </c>
      <c r="O3568" s="82" t="str">
        <f aca="false">IF(L3568&lt;&gt;"",L3568+N3568,"")</f>
        <v/>
      </c>
      <c r="P3568" s="53" t="str">
        <f aca="false">IF(O3568&lt;&gt;"",O3568*0.1,"")</f>
        <v/>
      </c>
      <c r="Q3568" s="83" t="str">
        <f aca="false">IF(O3568&lt;&gt;"",O3568+P3568,"")</f>
        <v/>
      </c>
      <c r="R3568" s="84"/>
    </row>
    <row r="3569" customFormat="false" ht="15" hidden="false" customHeight="true" outlineLevel="0" collapsed="false">
      <c r="A3569" s="103"/>
      <c r="B3569" s="85"/>
      <c r="C3569" s="86"/>
      <c r="D3569" s="87"/>
      <c r="E3569" s="46" t="str">
        <f aca="false">IF(D3569&lt;&gt;"",IFERROR(VLOOKUP(D3569,PROVEEDORES!$A:$B,2,0),"!COD NO ENCONTRADO"),"")</f>
        <v/>
      </c>
      <c r="F3569" s="88" t="str">
        <f aca="false">IF(D3569&lt;&gt;"",IFERROR(VLOOKUP(D3569,PROVEEDORES!$A:$C,3,0),""),"")</f>
        <v/>
      </c>
      <c r="G3569" s="87"/>
      <c r="H3569" s="46" t="str">
        <f aca="false">IF(G3569&lt;&gt;"",IFERROR(VLOOKUP(G3569,PRODUCTOS!$A:$B,2,0),"!COD NO ENCONTRADO"),"")</f>
        <v/>
      </c>
      <c r="I3569" s="89"/>
      <c r="J3569" s="90"/>
      <c r="K3569" s="91"/>
      <c r="L3569" s="80" t="str">
        <f aca="false">IF(AND(J3569&lt;&gt;"",K3569&lt;&gt;""),J3569*K3569,"")</f>
        <v/>
      </c>
      <c r="M3569" s="81" t="str">
        <f aca="false">IF(L3569&lt;&gt;"",L3569*1.1,"")</f>
        <v/>
      </c>
      <c r="N3569" s="47" t="n">
        <f aca="false">IF(F3569="S",L3569*0.02,0)</f>
        <v>0</v>
      </c>
      <c r="O3569" s="82" t="str">
        <f aca="false">IF(L3569&lt;&gt;"",L3569+N3569,"")</f>
        <v/>
      </c>
      <c r="P3569" s="47" t="str">
        <f aca="false">IF(O3569&lt;&gt;"",O3569*0.1,"")</f>
        <v/>
      </c>
      <c r="Q3569" s="83" t="str">
        <f aca="false">IF(O3569&lt;&gt;"",O3569+P3569,"")</f>
        <v/>
      </c>
      <c r="R3569" s="84"/>
    </row>
    <row r="3570" customFormat="false" ht="15" hidden="false" customHeight="true" outlineLevel="0" collapsed="false">
      <c r="A3570" s="103"/>
      <c r="B3570" s="73"/>
      <c r="C3570" s="74"/>
      <c r="D3570" s="75"/>
      <c r="E3570" s="52" t="str">
        <f aca="false">IF(D3570&lt;&gt;"",IFERROR(VLOOKUP(D3570,PROVEEDORES!$A:$B,2,0),"!COD NO ENCONTRADO"),"")</f>
        <v/>
      </c>
      <c r="F3570" s="76" t="str">
        <f aca="false">IF(D3570&lt;&gt;"",IFERROR(VLOOKUP(D3570,PROVEEDORES!$A:$C,3,0),""),"")</f>
        <v/>
      </c>
      <c r="G3570" s="75"/>
      <c r="H3570" s="52" t="str">
        <f aca="false">IF(G3570&lt;&gt;"",IFERROR(VLOOKUP(G3570,PRODUCTOS!$A:$B,2,0),"!COD NO ENCONTRADO"),"")</f>
        <v/>
      </c>
      <c r="I3570" s="77"/>
      <c r="J3570" s="78"/>
      <c r="K3570" s="79"/>
      <c r="L3570" s="80" t="str">
        <f aca="false">IF(AND(J3570&lt;&gt;"",K3570&lt;&gt;""),J3570*K3570,"")</f>
        <v/>
      </c>
      <c r="M3570" s="81" t="str">
        <f aca="false">IF(L3570&lt;&gt;"",L3570*1.1,"")</f>
        <v/>
      </c>
      <c r="N3570" s="53" t="n">
        <f aca="false">IF(F3570="S",L3570*0.02,0)</f>
        <v>0</v>
      </c>
      <c r="O3570" s="82" t="str">
        <f aca="false">IF(L3570&lt;&gt;"",L3570+N3570,"")</f>
        <v/>
      </c>
      <c r="P3570" s="53" t="str">
        <f aca="false">IF(O3570&lt;&gt;"",O3570*0.1,"")</f>
        <v/>
      </c>
      <c r="Q3570" s="83" t="str">
        <f aca="false">IF(O3570&lt;&gt;"",O3570+P3570,"")</f>
        <v/>
      </c>
      <c r="R3570" s="84"/>
    </row>
    <row r="3571" customFormat="false" ht="15" hidden="false" customHeight="true" outlineLevel="0" collapsed="false">
      <c r="A3571" s="103"/>
      <c r="B3571" s="85"/>
      <c r="C3571" s="86"/>
      <c r="D3571" s="87"/>
      <c r="E3571" s="46" t="str">
        <f aca="false">IF(D3571&lt;&gt;"",IFERROR(VLOOKUP(D3571,PROVEEDORES!$A:$B,2,0),"!COD NO ENCONTRADO"),"")</f>
        <v/>
      </c>
      <c r="F3571" s="88" t="str">
        <f aca="false">IF(D3571&lt;&gt;"",IFERROR(VLOOKUP(D3571,PROVEEDORES!$A:$C,3,0),""),"")</f>
        <v/>
      </c>
      <c r="G3571" s="87"/>
      <c r="H3571" s="46" t="str">
        <f aca="false">IF(G3571&lt;&gt;"",IFERROR(VLOOKUP(G3571,PRODUCTOS!$A:$B,2,0),"!COD NO ENCONTRADO"),"")</f>
        <v/>
      </c>
      <c r="I3571" s="89"/>
      <c r="J3571" s="90"/>
      <c r="K3571" s="91"/>
      <c r="L3571" s="80" t="str">
        <f aca="false">IF(AND(J3571&lt;&gt;"",K3571&lt;&gt;""),J3571*K3571,"")</f>
        <v/>
      </c>
      <c r="M3571" s="81" t="str">
        <f aca="false">IF(L3571&lt;&gt;"",L3571*1.1,"")</f>
        <v/>
      </c>
      <c r="N3571" s="47" t="n">
        <f aca="false">IF(F3571="S",L3571*0.02,0)</f>
        <v>0</v>
      </c>
      <c r="O3571" s="82" t="str">
        <f aca="false">IF(L3571&lt;&gt;"",L3571+N3571,"")</f>
        <v/>
      </c>
      <c r="P3571" s="47" t="str">
        <f aca="false">IF(O3571&lt;&gt;"",O3571*0.1,"")</f>
        <v/>
      </c>
      <c r="Q3571" s="83" t="str">
        <f aca="false">IF(O3571&lt;&gt;"",O3571+P3571,"")</f>
        <v/>
      </c>
      <c r="R3571" s="84"/>
    </row>
    <row r="3572" customFormat="false" ht="15" hidden="false" customHeight="true" outlineLevel="0" collapsed="false">
      <c r="A3572" s="103"/>
      <c r="B3572" s="73"/>
      <c r="C3572" s="74"/>
      <c r="D3572" s="75"/>
      <c r="E3572" s="52" t="str">
        <f aca="false">IF(D3572&lt;&gt;"",IFERROR(VLOOKUP(D3572,PROVEEDORES!$A:$B,2,0),"!COD NO ENCONTRADO"),"")</f>
        <v/>
      </c>
      <c r="F3572" s="76" t="str">
        <f aca="false">IF(D3572&lt;&gt;"",IFERROR(VLOOKUP(D3572,PROVEEDORES!$A:$C,3,0),""),"")</f>
        <v/>
      </c>
      <c r="G3572" s="75"/>
      <c r="H3572" s="52" t="str">
        <f aca="false">IF(G3572&lt;&gt;"",IFERROR(VLOOKUP(G3572,PRODUCTOS!$A:$B,2,0),"!COD NO ENCONTRADO"),"")</f>
        <v/>
      </c>
      <c r="I3572" s="77"/>
      <c r="J3572" s="78"/>
      <c r="K3572" s="79"/>
      <c r="L3572" s="80" t="str">
        <f aca="false">IF(AND(J3572&lt;&gt;"",K3572&lt;&gt;""),J3572*K3572,"")</f>
        <v/>
      </c>
      <c r="M3572" s="81" t="str">
        <f aca="false">IF(L3572&lt;&gt;"",L3572*1.1,"")</f>
        <v/>
      </c>
      <c r="N3572" s="53" t="n">
        <f aca="false">IF(F3572="S",L3572*0.02,0)</f>
        <v>0</v>
      </c>
      <c r="O3572" s="82" t="str">
        <f aca="false">IF(L3572&lt;&gt;"",L3572+N3572,"")</f>
        <v/>
      </c>
      <c r="P3572" s="53" t="str">
        <f aca="false">IF(O3572&lt;&gt;"",O3572*0.1,"")</f>
        <v/>
      </c>
      <c r="Q3572" s="83" t="str">
        <f aca="false">IF(O3572&lt;&gt;"",O3572+P3572,"")</f>
        <v/>
      </c>
      <c r="R3572" s="84"/>
    </row>
    <row r="3573" customFormat="false" ht="15" hidden="false" customHeight="true" outlineLevel="0" collapsed="false">
      <c r="A3573" s="103"/>
      <c r="B3573" s="85"/>
      <c r="C3573" s="86"/>
      <c r="D3573" s="87"/>
      <c r="E3573" s="46" t="str">
        <f aca="false">IF(D3573&lt;&gt;"",IFERROR(VLOOKUP(D3573,PROVEEDORES!$A:$B,2,0),"!COD NO ENCONTRADO"),"")</f>
        <v/>
      </c>
      <c r="F3573" s="88" t="str">
        <f aca="false">IF(D3573&lt;&gt;"",IFERROR(VLOOKUP(D3573,PROVEEDORES!$A:$C,3,0),""),"")</f>
        <v/>
      </c>
      <c r="G3573" s="87"/>
      <c r="H3573" s="46" t="str">
        <f aca="false">IF(G3573&lt;&gt;"",IFERROR(VLOOKUP(G3573,PRODUCTOS!$A:$B,2,0),"!COD NO ENCONTRADO"),"")</f>
        <v/>
      </c>
      <c r="I3573" s="89"/>
      <c r="J3573" s="90"/>
      <c r="K3573" s="91"/>
      <c r="L3573" s="80" t="str">
        <f aca="false">IF(AND(J3573&lt;&gt;"",K3573&lt;&gt;""),J3573*K3573,"")</f>
        <v/>
      </c>
      <c r="M3573" s="81" t="str">
        <f aca="false">IF(L3573&lt;&gt;"",L3573*1.1,"")</f>
        <v/>
      </c>
      <c r="N3573" s="47" t="n">
        <f aca="false">IF(F3573="S",L3573*0.02,0)</f>
        <v>0</v>
      </c>
      <c r="O3573" s="82" t="str">
        <f aca="false">IF(L3573&lt;&gt;"",L3573+N3573,"")</f>
        <v/>
      </c>
      <c r="P3573" s="47" t="str">
        <f aca="false">IF(O3573&lt;&gt;"",O3573*0.1,"")</f>
        <v/>
      </c>
      <c r="Q3573" s="83" t="str">
        <f aca="false">IF(O3573&lt;&gt;"",O3573+P3573,"")</f>
        <v/>
      </c>
      <c r="R3573" s="84"/>
    </row>
    <row r="3574" customFormat="false" ht="15" hidden="false" customHeight="true" outlineLevel="0" collapsed="false">
      <c r="A3574" s="103"/>
      <c r="B3574" s="73"/>
      <c r="C3574" s="74"/>
      <c r="D3574" s="75"/>
      <c r="E3574" s="52" t="str">
        <f aca="false">IF(D3574&lt;&gt;"",IFERROR(VLOOKUP(D3574,PROVEEDORES!$A:$B,2,0),"!COD NO ENCONTRADO"),"")</f>
        <v/>
      </c>
      <c r="F3574" s="76" t="str">
        <f aca="false">IF(D3574&lt;&gt;"",IFERROR(VLOOKUP(D3574,PROVEEDORES!$A:$C,3,0),""),"")</f>
        <v/>
      </c>
      <c r="G3574" s="75"/>
      <c r="H3574" s="52" t="str">
        <f aca="false">IF(G3574&lt;&gt;"",IFERROR(VLOOKUP(G3574,PRODUCTOS!$A:$B,2,0),"!COD NO ENCONTRADO"),"")</f>
        <v/>
      </c>
      <c r="I3574" s="77"/>
      <c r="J3574" s="78"/>
      <c r="K3574" s="79"/>
      <c r="L3574" s="80" t="str">
        <f aca="false">IF(AND(J3574&lt;&gt;"",K3574&lt;&gt;""),J3574*K3574,"")</f>
        <v/>
      </c>
      <c r="M3574" s="81" t="str">
        <f aca="false">IF(L3574&lt;&gt;"",L3574*1.1,"")</f>
        <v/>
      </c>
      <c r="N3574" s="53" t="n">
        <f aca="false">IF(F3574="S",L3574*0.02,0)</f>
        <v>0</v>
      </c>
      <c r="O3574" s="82" t="str">
        <f aca="false">IF(L3574&lt;&gt;"",L3574+N3574,"")</f>
        <v/>
      </c>
      <c r="P3574" s="53" t="str">
        <f aca="false">IF(O3574&lt;&gt;"",O3574*0.1,"")</f>
        <v/>
      </c>
      <c r="Q3574" s="83" t="str">
        <f aca="false">IF(O3574&lt;&gt;"",O3574+P3574,"")</f>
        <v/>
      </c>
      <c r="R3574" s="84"/>
    </row>
    <row r="3575" customFormat="false" ht="15" hidden="false" customHeight="true" outlineLevel="0" collapsed="false">
      <c r="A3575" s="103"/>
      <c r="B3575" s="85"/>
      <c r="C3575" s="86"/>
      <c r="D3575" s="87"/>
      <c r="E3575" s="46" t="str">
        <f aca="false">IF(D3575&lt;&gt;"",IFERROR(VLOOKUP(D3575,PROVEEDORES!$A:$B,2,0),"!COD NO ENCONTRADO"),"")</f>
        <v/>
      </c>
      <c r="F3575" s="88" t="str">
        <f aca="false">IF(D3575&lt;&gt;"",IFERROR(VLOOKUP(D3575,PROVEEDORES!$A:$C,3,0),""),"")</f>
        <v/>
      </c>
      <c r="G3575" s="87"/>
      <c r="H3575" s="46" t="str">
        <f aca="false">IF(G3575&lt;&gt;"",IFERROR(VLOOKUP(G3575,PRODUCTOS!$A:$B,2,0),"!COD NO ENCONTRADO"),"")</f>
        <v/>
      </c>
      <c r="I3575" s="89"/>
      <c r="J3575" s="90"/>
      <c r="K3575" s="91"/>
      <c r="L3575" s="80" t="str">
        <f aca="false">IF(AND(J3575&lt;&gt;"",K3575&lt;&gt;""),J3575*K3575,"")</f>
        <v/>
      </c>
      <c r="M3575" s="81" t="str">
        <f aca="false">IF(L3575&lt;&gt;"",L3575*1.1,"")</f>
        <v/>
      </c>
      <c r="N3575" s="47" t="n">
        <f aca="false">IF(F3575="S",L3575*0.02,0)</f>
        <v>0</v>
      </c>
      <c r="O3575" s="82" t="str">
        <f aca="false">IF(L3575&lt;&gt;"",L3575+N3575,"")</f>
        <v/>
      </c>
      <c r="P3575" s="47" t="str">
        <f aca="false">IF(O3575&lt;&gt;"",O3575*0.1,"")</f>
        <v/>
      </c>
      <c r="Q3575" s="83" t="str">
        <f aca="false">IF(O3575&lt;&gt;"",O3575+P3575,"")</f>
        <v/>
      </c>
      <c r="R3575" s="84"/>
    </row>
    <row r="3576" customFormat="false" ht="15" hidden="false" customHeight="true" outlineLevel="0" collapsed="false">
      <c r="A3576" s="103"/>
      <c r="B3576" s="73"/>
      <c r="C3576" s="74"/>
      <c r="D3576" s="75"/>
      <c r="E3576" s="52" t="str">
        <f aca="false">IF(D3576&lt;&gt;"",IFERROR(VLOOKUP(D3576,PROVEEDORES!$A:$B,2,0),"!COD NO ENCONTRADO"),"")</f>
        <v/>
      </c>
      <c r="F3576" s="76" t="str">
        <f aca="false">IF(D3576&lt;&gt;"",IFERROR(VLOOKUP(D3576,PROVEEDORES!$A:$C,3,0),""),"")</f>
        <v/>
      </c>
      <c r="G3576" s="75"/>
      <c r="H3576" s="52" t="str">
        <f aca="false">IF(G3576&lt;&gt;"",IFERROR(VLOOKUP(G3576,PRODUCTOS!$A:$B,2,0),"!COD NO ENCONTRADO"),"")</f>
        <v/>
      </c>
      <c r="I3576" s="77"/>
      <c r="J3576" s="78"/>
      <c r="K3576" s="79"/>
      <c r="L3576" s="80" t="str">
        <f aca="false">IF(AND(J3576&lt;&gt;"",K3576&lt;&gt;""),J3576*K3576,"")</f>
        <v/>
      </c>
      <c r="M3576" s="81" t="str">
        <f aca="false">IF(L3576&lt;&gt;"",L3576*1.1,"")</f>
        <v/>
      </c>
      <c r="N3576" s="53" t="n">
        <f aca="false">IF(F3576="S",L3576*0.02,0)</f>
        <v>0</v>
      </c>
      <c r="O3576" s="82" t="str">
        <f aca="false">IF(L3576&lt;&gt;"",L3576+N3576,"")</f>
        <v/>
      </c>
      <c r="P3576" s="53" t="str">
        <f aca="false">IF(O3576&lt;&gt;"",O3576*0.1,"")</f>
        <v/>
      </c>
      <c r="Q3576" s="83" t="str">
        <f aca="false">IF(O3576&lt;&gt;"",O3576+P3576,"")</f>
        <v/>
      </c>
      <c r="R3576" s="84"/>
    </row>
    <row r="3577" customFormat="false" ht="15" hidden="false" customHeight="true" outlineLevel="0" collapsed="false">
      <c r="A3577" s="103"/>
      <c r="B3577" s="85"/>
      <c r="C3577" s="86"/>
      <c r="D3577" s="87"/>
      <c r="E3577" s="46" t="str">
        <f aca="false">IF(D3577&lt;&gt;"",IFERROR(VLOOKUP(D3577,PROVEEDORES!$A:$B,2,0),"!COD NO ENCONTRADO"),"")</f>
        <v/>
      </c>
      <c r="F3577" s="88" t="str">
        <f aca="false">IF(D3577&lt;&gt;"",IFERROR(VLOOKUP(D3577,PROVEEDORES!$A:$C,3,0),""),"")</f>
        <v/>
      </c>
      <c r="G3577" s="87"/>
      <c r="H3577" s="46" t="str">
        <f aca="false">IF(G3577&lt;&gt;"",IFERROR(VLOOKUP(G3577,PRODUCTOS!$A:$B,2,0),"!COD NO ENCONTRADO"),"")</f>
        <v/>
      </c>
      <c r="I3577" s="89"/>
      <c r="J3577" s="90"/>
      <c r="K3577" s="91"/>
      <c r="L3577" s="80" t="str">
        <f aca="false">IF(AND(J3577&lt;&gt;"",K3577&lt;&gt;""),J3577*K3577,"")</f>
        <v/>
      </c>
      <c r="M3577" s="81" t="str">
        <f aca="false">IF(L3577&lt;&gt;"",L3577*1.1,"")</f>
        <v/>
      </c>
      <c r="N3577" s="47" t="n">
        <f aca="false">IF(F3577="S",L3577*0.02,0)</f>
        <v>0</v>
      </c>
      <c r="O3577" s="82" t="str">
        <f aca="false">IF(L3577&lt;&gt;"",L3577+N3577,"")</f>
        <v/>
      </c>
      <c r="P3577" s="47" t="str">
        <f aca="false">IF(O3577&lt;&gt;"",O3577*0.1,"")</f>
        <v/>
      </c>
      <c r="Q3577" s="83" t="str">
        <f aca="false">IF(O3577&lt;&gt;"",O3577+P3577,"")</f>
        <v/>
      </c>
      <c r="R3577" s="84"/>
    </row>
    <row r="3578" customFormat="false" ht="15" hidden="false" customHeight="true" outlineLevel="0" collapsed="false">
      <c r="A3578" s="103"/>
      <c r="B3578" s="73"/>
      <c r="C3578" s="74"/>
      <c r="D3578" s="75"/>
      <c r="E3578" s="52" t="str">
        <f aca="false">IF(D3578&lt;&gt;"",IFERROR(VLOOKUP(D3578,PROVEEDORES!$A:$B,2,0),"!COD NO ENCONTRADO"),"")</f>
        <v/>
      </c>
      <c r="F3578" s="76" t="str">
        <f aca="false">IF(D3578&lt;&gt;"",IFERROR(VLOOKUP(D3578,PROVEEDORES!$A:$C,3,0),""),"")</f>
        <v/>
      </c>
      <c r="G3578" s="75"/>
      <c r="H3578" s="52" t="str">
        <f aca="false">IF(G3578&lt;&gt;"",IFERROR(VLOOKUP(G3578,PRODUCTOS!$A:$B,2,0),"!COD NO ENCONTRADO"),"")</f>
        <v/>
      </c>
      <c r="I3578" s="77"/>
      <c r="J3578" s="78"/>
      <c r="K3578" s="79"/>
      <c r="L3578" s="80" t="str">
        <f aca="false">IF(AND(J3578&lt;&gt;"",K3578&lt;&gt;""),J3578*K3578,"")</f>
        <v/>
      </c>
      <c r="M3578" s="81" t="str">
        <f aca="false">IF(L3578&lt;&gt;"",L3578*1.1,"")</f>
        <v/>
      </c>
      <c r="N3578" s="53" t="n">
        <f aca="false">IF(F3578="S",L3578*0.02,0)</f>
        <v>0</v>
      </c>
      <c r="O3578" s="82" t="str">
        <f aca="false">IF(L3578&lt;&gt;"",L3578+N3578,"")</f>
        <v/>
      </c>
      <c r="P3578" s="53" t="str">
        <f aca="false">IF(O3578&lt;&gt;"",O3578*0.1,"")</f>
        <v/>
      </c>
      <c r="Q3578" s="83" t="str">
        <f aca="false">IF(O3578&lt;&gt;"",O3578+P3578,"")</f>
        <v/>
      </c>
      <c r="R3578" s="84"/>
    </row>
    <row r="3579" customFormat="false" ht="15" hidden="false" customHeight="true" outlineLevel="0" collapsed="false">
      <c r="A3579" s="103"/>
      <c r="B3579" s="85"/>
      <c r="C3579" s="86"/>
      <c r="D3579" s="87"/>
      <c r="E3579" s="46" t="str">
        <f aca="false">IF(D3579&lt;&gt;"",IFERROR(VLOOKUP(D3579,PROVEEDORES!$A:$B,2,0),"!COD NO ENCONTRADO"),"")</f>
        <v/>
      </c>
      <c r="F3579" s="88" t="str">
        <f aca="false">IF(D3579&lt;&gt;"",IFERROR(VLOOKUP(D3579,PROVEEDORES!$A:$C,3,0),""),"")</f>
        <v/>
      </c>
      <c r="G3579" s="87"/>
      <c r="H3579" s="46" t="str">
        <f aca="false">IF(G3579&lt;&gt;"",IFERROR(VLOOKUP(G3579,PRODUCTOS!$A:$B,2,0),"!COD NO ENCONTRADO"),"")</f>
        <v/>
      </c>
      <c r="I3579" s="89"/>
      <c r="J3579" s="90"/>
      <c r="K3579" s="91"/>
      <c r="L3579" s="80" t="str">
        <f aca="false">IF(AND(J3579&lt;&gt;"",K3579&lt;&gt;""),J3579*K3579,"")</f>
        <v/>
      </c>
      <c r="M3579" s="81" t="str">
        <f aca="false">IF(L3579&lt;&gt;"",L3579*1.1,"")</f>
        <v/>
      </c>
      <c r="N3579" s="47" t="n">
        <f aca="false">IF(F3579="S",L3579*0.02,0)</f>
        <v>0</v>
      </c>
      <c r="O3579" s="82" t="str">
        <f aca="false">IF(L3579&lt;&gt;"",L3579+N3579,"")</f>
        <v/>
      </c>
      <c r="P3579" s="47" t="str">
        <f aca="false">IF(O3579&lt;&gt;"",O3579*0.1,"")</f>
        <v/>
      </c>
      <c r="Q3579" s="83" t="str">
        <f aca="false">IF(O3579&lt;&gt;"",O3579+P3579,"")</f>
        <v/>
      </c>
      <c r="R3579" s="84"/>
    </row>
    <row r="3580" customFormat="false" ht="15" hidden="false" customHeight="true" outlineLevel="0" collapsed="false">
      <c r="A3580" s="103"/>
      <c r="B3580" s="73"/>
      <c r="C3580" s="74"/>
      <c r="D3580" s="75"/>
      <c r="E3580" s="52" t="str">
        <f aca="false">IF(D3580&lt;&gt;"",IFERROR(VLOOKUP(D3580,PROVEEDORES!$A:$B,2,0),"!COD NO ENCONTRADO"),"")</f>
        <v/>
      </c>
      <c r="F3580" s="76" t="str">
        <f aca="false">IF(D3580&lt;&gt;"",IFERROR(VLOOKUP(D3580,PROVEEDORES!$A:$C,3,0),""),"")</f>
        <v/>
      </c>
      <c r="G3580" s="75"/>
      <c r="H3580" s="52" t="str">
        <f aca="false">IF(G3580&lt;&gt;"",IFERROR(VLOOKUP(G3580,PRODUCTOS!$A:$B,2,0),"!COD NO ENCONTRADO"),"")</f>
        <v/>
      </c>
      <c r="I3580" s="77"/>
      <c r="J3580" s="78"/>
      <c r="K3580" s="79"/>
      <c r="L3580" s="80" t="str">
        <f aca="false">IF(AND(J3580&lt;&gt;"",K3580&lt;&gt;""),J3580*K3580,"")</f>
        <v/>
      </c>
      <c r="M3580" s="81" t="str">
        <f aca="false">IF(L3580&lt;&gt;"",L3580*1.1,"")</f>
        <v/>
      </c>
      <c r="N3580" s="53" t="n">
        <f aca="false">IF(F3580="S",L3580*0.02,0)</f>
        <v>0</v>
      </c>
      <c r="O3580" s="82" t="str">
        <f aca="false">IF(L3580&lt;&gt;"",L3580+N3580,"")</f>
        <v/>
      </c>
      <c r="P3580" s="53" t="str">
        <f aca="false">IF(O3580&lt;&gt;"",O3580*0.1,"")</f>
        <v/>
      </c>
      <c r="Q3580" s="83" t="str">
        <f aca="false">IF(O3580&lt;&gt;"",O3580+P3580,"")</f>
        <v/>
      </c>
      <c r="R3580" s="84"/>
    </row>
    <row r="3581" customFormat="false" ht="15" hidden="false" customHeight="true" outlineLevel="0" collapsed="false">
      <c r="A3581" s="103"/>
      <c r="B3581" s="85"/>
      <c r="C3581" s="86"/>
      <c r="D3581" s="87"/>
      <c r="E3581" s="46" t="str">
        <f aca="false">IF(D3581&lt;&gt;"",IFERROR(VLOOKUP(D3581,PROVEEDORES!$A:$B,2,0),"!COD NO ENCONTRADO"),"")</f>
        <v/>
      </c>
      <c r="F3581" s="88" t="str">
        <f aca="false">IF(D3581&lt;&gt;"",IFERROR(VLOOKUP(D3581,PROVEEDORES!$A:$C,3,0),""),"")</f>
        <v/>
      </c>
      <c r="G3581" s="87"/>
      <c r="H3581" s="46" t="str">
        <f aca="false">IF(G3581&lt;&gt;"",IFERROR(VLOOKUP(G3581,PRODUCTOS!$A:$B,2,0),"!COD NO ENCONTRADO"),"")</f>
        <v/>
      </c>
      <c r="I3581" s="89"/>
      <c r="J3581" s="90"/>
      <c r="K3581" s="91"/>
      <c r="L3581" s="80" t="str">
        <f aca="false">IF(AND(J3581&lt;&gt;"",K3581&lt;&gt;""),J3581*K3581,"")</f>
        <v/>
      </c>
      <c r="M3581" s="81" t="str">
        <f aca="false">IF(L3581&lt;&gt;"",L3581*1.1,"")</f>
        <v/>
      </c>
      <c r="N3581" s="47" t="n">
        <f aca="false">IF(F3581="S",L3581*0.02,0)</f>
        <v>0</v>
      </c>
      <c r="O3581" s="82" t="str">
        <f aca="false">IF(L3581&lt;&gt;"",L3581+N3581,"")</f>
        <v/>
      </c>
      <c r="P3581" s="47" t="str">
        <f aca="false">IF(O3581&lt;&gt;"",O3581*0.1,"")</f>
        <v/>
      </c>
      <c r="Q3581" s="83" t="str">
        <f aca="false">IF(O3581&lt;&gt;"",O3581+P3581,"")</f>
        <v/>
      </c>
      <c r="R3581" s="84"/>
    </row>
    <row r="3582" customFormat="false" ht="15" hidden="false" customHeight="true" outlineLevel="0" collapsed="false">
      <c r="A3582" s="103"/>
      <c r="B3582" s="73"/>
      <c r="C3582" s="74"/>
      <c r="D3582" s="75"/>
      <c r="E3582" s="52" t="str">
        <f aca="false">IF(D3582&lt;&gt;"",IFERROR(VLOOKUP(D3582,PROVEEDORES!$A:$B,2,0),"!COD NO ENCONTRADO"),"")</f>
        <v/>
      </c>
      <c r="F3582" s="76" t="str">
        <f aca="false">IF(D3582&lt;&gt;"",IFERROR(VLOOKUP(D3582,PROVEEDORES!$A:$C,3,0),""),"")</f>
        <v/>
      </c>
      <c r="G3582" s="75"/>
      <c r="H3582" s="52" t="str">
        <f aca="false">IF(G3582&lt;&gt;"",IFERROR(VLOOKUP(G3582,PRODUCTOS!$A:$B,2,0),"!COD NO ENCONTRADO"),"")</f>
        <v/>
      </c>
      <c r="I3582" s="77"/>
      <c r="J3582" s="78"/>
      <c r="K3582" s="79"/>
      <c r="L3582" s="80" t="str">
        <f aca="false">IF(AND(J3582&lt;&gt;"",K3582&lt;&gt;""),J3582*K3582,"")</f>
        <v/>
      </c>
      <c r="M3582" s="81" t="str">
        <f aca="false">IF(L3582&lt;&gt;"",L3582*1.1,"")</f>
        <v/>
      </c>
      <c r="N3582" s="53" t="n">
        <f aca="false">IF(F3582="S",L3582*0.02,0)</f>
        <v>0</v>
      </c>
      <c r="O3582" s="82" t="str">
        <f aca="false">IF(L3582&lt;&gt;"",L3582+N3582,"")</f>
        <v/>
      </c>
      <c r="P3582" s="53" t="str">
        <f aca="false">IF(O3582&lt;&gt;"",O3582*0.1,"")</f>
        <v/>
      </c>
      <c r="Q3582" s="83" t="str">
        <f aca="false">IF(O3582&lt;&gt;"",O3582+P3582,"")</f>
        <v/>
      </c>
      <c r="R3582" s="84"/>
    </row>
    <row r="3583" customFormat="false" ht="15" hidden="false" customHeight="true" outlineLevel="0" collapsed="false">
      <c r="A3583" s="103"/>
      <c r="B3583" s="85"/>
      <c r="C3583" s="86"/>
      <c r="D3583" s="87"/>
      <c r="E3583" s="46" t="str">
        <f aca="false">IF(D3583&lt;&gt;"",IFERROR(VLOOKUP(D3583,PROVEEDORES!$A:$B,2,0),"!COD NO ENCONTRADO"),"")</f>
        <v/>
      </c>
      <c r="F3583" s="88" t="str">
        <f aca="false">IF(D3583&lt;&gt;"",IFERROR(VLOOKUP(D3583,PROVEEDORES!$A:$C,3,0),""),"")</f>
        <v/>
      </c>
      <c r="G3583" s="87"/>
      <c r="H3583" s="46" t="str">
        <f aca="false">IF(G3583&lt;&gt;"",IFERROR(VLOOKUP(G3583,PRODUCTOS!$A:$B,2,0),"!COD NO ENCONTRADO"),"")</f>
        <v/>
      </c>
      <c r="I3583" s="89"/>
      <c r="J3583" s="90"/>
      <c r="K3583" s="91"/>
      <c r="L3583" s="80" t="str">
        <f aca="false">IF(AND(J3583&lt;&gt;"",K3583&lt;&gt;""),J3583*K3583,"")</f>
        <v/>
      </c>
      <c r="M3583" s="81" t="str">
        <f aca="false">IF(L3583&lt;&gt;"",L3583*1.1,"")</f>
        <v/>
      </c>
      <c r="N3583" s="47" t="n">
        <f aca="false">IF(F3583="S",L3583*0.02,0)</f>
        <v>0</v>
      </c>
      <c r="O3583" s="82" t="str">
        <f aca="false">IF(L3583&lt;&gt;"",L3583+N3583,"")</f>
        <v/>
      </c>
      <c r="P3583" s="47" t="str">
        <f aca="false">IF(O3583&lt;&gt;"",O3583*0.1,"")</f>
        <v/>
      </c>
      <c r="Q3583" s="83" t="str">
        <f aca="false">IF(O3583&lt;&gt;"",O3583+P3583,"")</f>
        <v/>
      </c>
      <c r="R3583" s="84"/>
    </row>
    <row r="3584" customFormat="false" ht="15" hidden="false" customHeight="true" outlineLevel="0" collapsed="false">
      <c r="A3584" s="103"/>
      <c r="B3584" s="73"/>
      <c r="C3584" s="74"/>
      <c r="D3584" s="75"/>
      <c r="E3584" s="52" t="str">
        <f aca="false">IF(D3584&lt;&gt;"",IFERROR(VLOOKUP(D3584,PROVEEDORES!$A:$B,2,0),"!COD NO ENCONTRADO"),"")</f>
        <v/>
      </c>
      <c r="F3584" s="76" t="str">
        <f aca="false">IF(D3584&lt;&gt;"",IFERROR(VLOOKUP(D3584,PROVEEDORES!$A:$C,3,0),""),"")</f>
        <v/>
      </c>
      <c r="G3584" s="75"/>
      <c r="H3584" s="52" t="str">
        <f aca="false">IF(G3584&lt;&gt;"",IFERROR(VLOOKUP(G3584,PRODUCTOS!$A:$B,2,0),"!COD NO ENCONTRADO"),"")</f>
        <v/>
      </c>
      <c r="I3584" s="77"/>
      <c r="J3584" s="78"/>
      <c r="K3584" s="79"/>
      <c r="L3584" s="80" t="str">
        <f aca="false">IF(AND(J3584&lt;&gt;"",K3584&lt;&gt;""),J3584*K3584,"")</f>
        <v/>
      </c>
      <c r="M3584" s="81" t="str">
        <f aca="false">IF(L3584&lt;&gt;"",L3584*1.1,"")</f>
        <v/>
      </c>
      <c r="N3584" s="53" t="n">
        <f aca="false">IF(F3584="S",L3584*0.02,0)</f>
        <v>0</v>
      </c>
      <c r="O3584" s="82" t="str">
        <f aca="false">IF(L3584&lt;&gt;"",L3584+N3584,"")</f>
        <v/>
      </c>
      <c r="P3584" s="53" t="str">
        <f aca="false">IF(O3584&lt;&gt;"",O3584*0.1,"")</f>
        <v/>
      </c>
      <c r="Q3584" s="83" t="str">
        <f aca="false">IF(O3584&lt;&gt;"",O3584+P3584,"")</f>
        <v/>
      </c>
      <c r="R3584" s="84"/>
    </row>
    <row r="3585" customFormat="false" ht="15" hidden="false" customHeight="true" outlineLevel="0" collapsed="false">
      <c r="A3585" s="103"/>
      <c r="B3585" s="85"/>
      <c r="C3585" s="86"/>
      <c r="D3585" s="87"/>
      <c r="E3585" s="46" t="str">
        <f aca="false">IF(D3585&lt;&gt;"",IFERROR(VLOOKUP(D3585,PROVEEDORES!$A:$B,2,0),"!COD NO ENCONTRADO"),"")</f>
        <v/>
      </c>
      <c r="F3585" s="88" t="str">
        <f aca="false">IF(D3585&lt;&gt;"",IFERROR(VLOOKUP(D3585,PROVEEDORES!$A:$C,3,0),""),"")</f>
        <v/>
      </c>
      <c r="G3585" s="87"/>
      <c r="H3585" s="46" t="str">
        <f aca="false">IF(G3585&lt;&gt;"",IFERROR(VLOOKUP(G3585,PRODUCTOS!$A:$B,2,0),"!COD NO ENCONTRADO"),"")</f>
        <v/>
      </c>
      <c r="I3585" s="89"/>
      <c r="J3585" s="90"/>
      <c r="K3585" s="91"/>
      <c r="L3585" s="80" t="str">
        <f aca="false">IF(AND(J3585&lt;&gt;"",K3585&lt;&gt;""),J3585*K3585,"")</f>
        <v/>
      </c>
      <c r="M3585" s="81" t="str">
        <f aca="false">IF(L3585&lt;&gt;"",L3585*1.1,"")</f>
        <v/>
      </c>
      <c r="N3585" s="47" t="n">
        <f aca="false">IF(F3585="S",L3585*0.02,0)</f>
        <v>0</v>
      </c>
      <c r="O3585" s="82" t="str">
        <f aca="false">IF(L3585&lt;&gt;"",L3585+N3585,"")</f>
        <v/>
      </c>
      <c r="P3585" s="47" t="str">
        <f aca="false">IF(O3585&lt;&gt;"",O3585*0.1,"")</f>
        <v/>
      </c>
      <c r="Q3585" s="83" t="str">
        <f aca="false">IF(O3585&lt;&gt;"",O3585+P3585,"")</f>
        <v/>
      </c>
      <c r="R3585" s="84"/>
    </row>
    <row r="3586" customFormat="false" ht="15" hidden="false" customHeight="true" outlineLevel="0" collapsed="false">
      <c r="A3586" s="103"/>
      <c r="B3586" s="73"/>
      <c r="C3586" s="74"/>
      <c r="D3586" s="75"/>
      <c r="E3586" s="52" t="str">
        <f aca="false">IF(D3586&lt;&gt;"",IFERROR(VLOOKUP(D3586,PROVEEDORES!$A:$B,2,0),"!COD NO ENCONTRADO"),"")</f>
        <v/>
      </c>
      <c r="F3586" s="76" t="str">
        <f aca="false">IF(D3586&lt;&gt;"",IFERROR(VLOOKUP(D3586,PROVEEDORES!$A:$C,3,0),""),"")</f>
        <v/>
      </c>
      <c r="G3586" s="75"/>
      <c r="H3586" s="52" t="str">
        <f aca="false">IF(G3586&lt;&gt;"",IFERROR(VLOOKUP(G3586,PRODUCTOS!$A:$B,2,0),"!COD NO ENCONTRADO"),"")</f>
        <v/>
      </c>
      <c r="I3586" s="77"/>
      <c r="J3586" s="78"/>
      <c r="K3586" s="79"/>
      <c r="L3586" s="80" t="str">
        <f aca="false">IF(AND(J3586&lt;&gt;"",K3586&lt;&gt;""),J3586*K3586,"")</f>
        <v/>
      </c>
      <c r="M3586" s="81" t="str">
        <f aca="false">IF(L3586&lt;&gt;"",L3586*1.1,"")</f>
        <v/>
      </c>
      <c r="N3586" s="53" t="n">
        <f aca="false">IF(F3586="S",L3586*0.02,0)</f>
        <v>0</v>
      </c>
      <c r="O3586" s="82" t="str">
        <f aca="false">IF(L3586&lt;&gt;"",L3586+N3586,"")</f>
        <v/>
      </c>
      <c r="P3586" s="53" t="str">
        <f aca="false">IF(O3586&lt;&gt;"",O3586*0.1,"")</f>
        <v/>
      </c>
      <c r="Q3586" s="83" t="str">
        <f aca="false">IF(O3586&lt;&gt;"",O3586+P3586,"")</f>
        <v/>
      </c>
      <c r="R3586" s="84"/>
    </row>
    <row r="3587" customFormat="false" ht="15" hidden="false" customHeight="true" outlineLevel="0" collapsed="false">
      <c r="A3587" s="103"/>
      <c r="B3587" s="85"/>
      <c r="C3587" s="86"/>
      <c r="D3587" s="87"/>
      <c r="E3587" s="46" t="str">
        <f aca="false">IF(D3587&lt;&gt;"",IFERROR(VLOOKUP(D3587,PROVEEDORES!$A:$B,2,0),"!COD NO ENCONTRADO"),"")</f>
        <v/>
      </c>
      <c r="F3587" s="88" t="str">
        <f aca="false">IF(D3587&lt;&gt;"",IFERROR(VLOOKUP(D3587,PROVEEDORES!$A:$C,3,0),""),"")</f>
        <v/>
      </c>
      <c r="G3587" s="87"/>
      <c r="H3587" s="46" t="str">
        <f aca="false">IF(G3587&lt;&gt;"",IFERROR(VLOOKUP(G3587,PRODUCTOS!$A:$B,2,0),"!COD NO ENCONTRADO"),"")</f>
        <v/>
      </c>
      <c r="I3587" s="89"/>
      <c r="J3587" s="90"/>
      <c r="K3587" s="91"/>
      <c r="L3587" s="80" t="str">
        <f aca="false">IF(AND(J3587&lt;&gt;"",K3587&lt;&gt;""),J3587*K3587,"")</f>
        <v/>
      </c>
      <c r="M3587" s="81" t="str">
        <f aca="false">IF(L3587&lt;&gt;"",L3587*1.1,"")</f>
        <v/>
      </c>
      <c r="N3587" s="47" t="n">
        <f aca="false">IF(F3587="S",L3587*0.02,0)</f>
        <v>0</v>
      </c>
      <c r="O3587" s="82" t="str">
        <f aca="false">IF(L3587&lt;&gt;"",L3587+N3587,"")</f>
        <v/>
      </c>
      <c r="P3587" s="47" t="str">
        <f aca="false">IF(O3587&lt;&gt;"",O3587*0.1,"")</f>
        <v/>
      </c>
      <c r="Q3587" s="83" t="str">
        <f aca="false">IF(O3587&lt;&gt;"",O3587+P3587,"")</f>
        <v/>
      </c>
      <c r="R3587" s="84"/>
    </row>
    <row r="3588" customFormat="false" ht="15" hidden="false" customHeight="true" outlineLevel="0" collapsed="false">
      <c r="A3588" s="103"/>
      <c r="B3588" s="73"/>
      <c r="C3588" s="74"/>
      <c r="D3588" s="75"/>
      <c r="E3588" s="52" t="str">
        <f aca="false">IF(D3588&lt;&gt;"",IFERROR(VLOOKUP(D3588,PROVEEDORES!$A:$B,2,0),"!COD NO ENCONTRADO"),"")</f>
        <v/>
      </c>
      <c r="F3588" s="76" t="str">
        <f aca="false">IF(D3588&lt;&gt;"",IFERROR(VLOOKUP(D3588,PROVEEDORES!$A:$C,3,0),""),"")</f>
        <v/>
      </c>
      <c r="G3588" s="75"/>
      <c r="H3588" s="52" t="str">
        <f aca="false">IF(G3588&lt;&gt;"",IFERROR(VLOOKUP(G3588,PRODUCTOS!$A:$B,2,0),"!COD NO ENCONTRADO"),"")</f>
        <v/>
      </c>
      <c r="I3588" s="77"/>
      <c r="J3588" s="78"/>
      <c r="K3588" s="79"/>
      <c r="L3588" s="80" t="str">
        <f aca="false">IF(AND(J3588&lt;&gt;"",K3588&lt;&gt;""),J3588*K3588,"")</f>
        <v/>
      </c>
      <c r="M3588" s="81" t="str">
        <f aca="false">IF(L3588&lt;&gt;"",L3588*1.1,"")</f>
        <v/>
      </c>
      <c r="N3588" s="53" t="n">
        <f aca="false">IF(F3588="S",L3588*0.02,0)</f>
        <v>0</v>
      </c>
      <c r="O3588" s="82" t="str">
        <f aca="false">IF(L3588&lt;&gt;"",L3588+N3588,"")</f>
        <v/>
      </c>
      <c r="P3588" s="53" t="str">
        <f aca="false">IF(O3588&lt;&gt;"",O3588*0.1,"")</f>
        <v/>
      </c>
      <c r="Q3588" s="83" t="str">
        <f aca="false">IF(O3588&lt;&gt;"",O3588+P3588,"")</f>
        <v/>
      </c>
      <c r="R3588" s="84"/>
    </row>
    <row r="3589" customFormat="false" ht="15" hidden="false" customHeight="true" outlineLevel="0" collapsed="false">
      <c r="A3589" s="103"/>
      <c r="B3589" s="85"/>
      <c r="C3589" s="86"/>
      <c r="D3589" s="87"/>
      <c r="E3589" s="46" t="str">
        <f aca="false">IF(D3589&lt;&gt;"",IFERROR(VLOOKUP(D3589,PROVEEDORES!$A:$B,2,0),"!COD NO ENCONTRADO"),"")</f>
        <v/>
      </c>
      <c r="F3589" s="88" t="str">
        <f aca="false">IF(D3589&lt;&gt;"",IFERROR(VLOOKUP(D3589,PROVEEDORES!$A:$C,3,0),""),"")</f>
        <v/>
      </c>
      <c r="G3589" s="87"/>
      <c r="H3589" s="46" t="str">
        <f aca="false">IF(G3589&lt;&gt;"",IFERROR(VLOOKUP(G3589,PRODUCTOS!$A:$B,2,0),"!COD NO ENCONTRADO"),"")</f>
        <v/>
      </c>
      <c r="I3589" s="89"/>
      <c r="J3589" s="90"/>
      <c r="K3589" s="91"/>
      <c r="L3589" s="80" t="str">
        <f aca="false">IF(AND(J3589&lt;&gt;"",K3589&lt;&gt;""),J3589*K3589,"")</f>
        <v/>
      </c>
      <c r="M3589" s="81" t="str">
        <f aca="false">IF(L3589&lt;&gt;"",L3589*1.1,"")</f>
        <v/>
      </c>
      <c r="N3589" s="47" t="n">
        <f aca="false">IF(F3589="S",L3589*0.02,0)</f>
        <v>0</v>
      </c>
      <c r="O3589" s="82" t="str">
        <f aca="false">IF(L3589&lt;&gt;"",L3589+N3589,"")</f>
        <v/>
      </c>
      <c r="P3589" s="47" t="str">
        <f aca="false">IF(O3589&lt;&gt;"",O3589*0.1,"")</f>
        <v/>
      </c>
      <c r="Q3589" s="83" t="str">
        <f aca="false">IF(O3589&lt;&gt;"",O3589+P3589,"")</f>
        <v/>
      </c>
      <c r="R3589" s="84"/>
    </row>
    <row r="3590" customFormat="false" ht="15" hidden="false" customHeight="true" outlineLevel="0" collapsed="false">
      <c r="A3590" s="103"/>
      <c r="B3590" s="73"/>
      <c r="C3590" s="74"/>
      <c r="D3590" s="75"/>
      <c r="E3590" s="52" t="str">
        <f aca="false">IF(D3590&lt;&gt;"",IFERROR(VLOOKUP(D3590,PROVEEDORES!$A:$B,2,0),"!COD NO ENCONTRADO"),"")</f>
        <v/>
      </c>
      <c r="F3590" s="76" t="str">
        <f aca="false">IF(D3590&lt;&gt;"",IFERROR(VLOOKUP(D3590,PROVEEDORES!$A:$C,3,0),""),"")</f>
        <v/>
      </c>
      <c r="G3590" s="75"/>
      <c r="H3590" s="52" t="str">
        <f aca="false">IF(G3590&lt;&gt;"",IFERROR(VLOOKUP(G3590,PRODUCTOS!$A:$B,2,0),"!COD NO ENCONTRADO"),"")</f>
        <v/>
      </c>
      <c r="I3590" s="77"/>
      <c r="J3590" s="78"/>
      <c r="K3590" s="79"/>
      <c r="L3590" s="80" t="str">
        <f aca="false">IF(AND(J3590&lt;&gt;"",K3590&lt;&gt;""),J3590*K3590,"")</f>
        <v/>
      </c>
      <c r="M3590" s="81" t="str">
        <f aca="false">IF(L3590&lt;&gt;"",L3590*1.1,"")</f>
        <v/>
      </c>
      <c r="N3590" s="53" t="n">
        <f aca="false">IF(F3590="S",L3590*0.02,0)</f>
        <v>0</v>
      </c>
      <c r="O3590" s="82" t="str">
        <f aca="false">IF(L3590&lt;&gt;"",L3590+N3590,"")</f>
        <v/>
      </c>
      <c r="P3590" s="53" t="str">
        <f aca="false">IF(O3590&lt;&gt;"",O3590*0.1,"")</f>
        <v/>
      </c>
      <c r="Q3590" s="83" t="str">
        <f aca="false">IF(O3590&lt;&gt;"",O3590+P3590,"")</f>
        <v/>
      </c>
      <c r="R3590" s="84"/>
    </row>
    <row r="3591" customFormat="false" ht="15" hidden="false" customHeight="true" outlineLevel="0" collapsed="false">
      <c r="A3591" s="103"/>
      <c r="B3591" s="85"/>
      <c r="C3591" s="86"/>
      <c r="D3591" s="87"/>
      <c r="E3591" s="46" t="str">
        <f aca="false">IF(D3591&lt;&gt;"",IFERROR(VLOOKUP(D3591,PROVEEDORES!$A:$B,2,0),"!COD NO ENCONTRADO"),"")</f>
        <v/>
      </c>
      <c r="F3591" s="88" t="str">
        <f aca="false">IF(D3591&lt;&gt;"",IFERROR(VLOOKUP(D3591,PROVEEDORES!$A:$C,3,0),""),"")</f>
        <v/>
      </c>
      <c r="G3591" s="87"/>
      <c r="H3591" s="46" t="str">
        <f aca="false">IF(G3591&lt;&gt;"",IFERROR(VLOOKUP(G3591,PRODUCTOS!$A:$B,2,0),"!COD NO ENCONTRADO"),"")</f>
        <v/>
      </c>
      <c r="I3591" s="89"/>
      <c r="J3591" s="90"/>
      <c r="K3591" s="91"/>
      <c r="L3591" s="80" t="str">
        <f aca="false">IF(AND(J3591&lt;&gt;"",K3591&lt;&gt;""),J3591*K3591,"")</f>
        <v/>
      </c>
      <c r="M3591" s="81" t="str">
        <f aca="false">IF(L3591&lt;&gt;"",L3591*1.1,"")</f>
        <v/>
      </c>
      <c r="N3591" s="47" t="n">
        <f aca="false">IF(F3591="S",L3591*0.02,0)</f>
        <v>0</v>
      </c>
      <c r="O3591" s="82" t="str">
        <f aca="false">IF(L3591&lt;&gt;"",L3591+N3591,"")</f>
        <v/>
      </c>
      <c r="P3591" s="47" t="str">
        <f aca="false">IF(O3591&lt;&gt;"",O3591*0.1,"")</f>
        <v/>
      </c>
      <c r="Q3591" s="83" t="str">
        <f aca="false">IF(O3591&lt;&gt;"",O3591+P3591,"")</f>
        <v/>
      </c>
      <c r="R3591" s="84"/>
    </row>
    <row r="3592" customFormat="false" ht="15" hidden="false" customHeight="true" outlineLevel="0" collapsed="false">
      <c r="A3592" s="103"/>
      <c r="B3592" s="73"/>
      <c r="C3592" s="74"/>
      <c r="D3592" s="75"/>
      <c r="E3592" s="52" t="str">
        <f aca="false">IF(D3592&lt;&gt;"",IFERROR(VLOOKUP(D3592,PROVEEDORES!$A:$B,2,0),"!COD NO ENCONTRADO"),"")</f>
        <v/>
      </c>
      <c r="F3592" s="76" t="str">
        <f aca="false">IF(D3592&lt;&gt;"",IFERROR(VLOOKUP(D3592,PROVEEDORES!$A:$C,3,0),""),"")</f>
        <v/>
      </c>
      <c r="G3592" s="75"/>
      <c r="H3592" s="52" t="str">
        <f aca="false">IF(G3592&lt;&gt;"",IFERROR(VLOOKUP(G3592,PRODUCTOS!$A:$B,2,0),"!COD NO ENCONTRADO"),"")</f>
        <v/>
      </c>
      <c r="I3592" s="77"/>
      <c r="J3592" s="78"/>
      <c r="K3592" s="79"/>
      <c r="L3592" s="80" t="str">
        <f aca="false">IF(AND(J3592&lt;&gt;"",K3592&lt;&gt;""),J3592*K3592,"")</f>
        <v/>
      </c>
      <c r="M3592" s="81" t="str">
        <f aca="false">IF(L3592&lt;&gt;"",L3592*1.1,"")</f>
        <v/>
      </c>
      <c r="N3592" s="53" t="n">
        <f aca="false">IF(F3592="S",L3592*0.02,0)</f>
        <v>0</v>
      </c>
      <c r="O3592" s="82" t="str">
        <f aca="false">IF(L3592&lt;&gt;"",L3592+N3592,"")</f>
        <v/>
      </c>
      <c r="P3592" s="53" t="str">
        <f aca="false">IF(O3592&lt;&gt;"",O3592*0.1,"")</f>
        <v/>
      </c>
      <c r="Q3592" s="83" t="str">
        <f aca="false">IF(O3592&lt;&gt;"",O3592+P3592,"")</f>
        <v/>
      </c>
      <c r="R3592" s="84"/>
    </row>
    <row r="3593" customFormat="false" ht="15" hidden="false" customHeight="true" outlineLevel="0" collapsed="false">
      <c r="A3593" s="103"/>
      <c r="B3593" s="85"/>
      <c r="C3593" s="86"/>
      <c r="D3593" s="87"/>
      <c r="E3593" s="46" t="str">
        <f aca="false">IF(D3593&lt;&gt;"",IFERROR(VLOOKUP(D3593,PROVEEDORES!$A:$B,2,0),"!COD NO ENCONTRADO"),"")</f>
        <v/>
      </c>
      <c r="F3593" s="88" t="str">
        <f aca="false">IF(D3593&lt;&gt;"",IFERROR(VLOOKUP(D3593,PROVEEDORES!$A:$C,3,0),""),"")</f>
        <v/>
      </c>
      <c r="G3593" s="87"/>
      <c r="H3593" s="46" t="str">
        <f aca="false">IF(G3593&lt;&gt;"",IFERROR(VLOOKUP(G3593,PRODUCTOS!$A:$B,2,0),"!COD NO ENCONTRADO"),"")</f>
        <v/>
      </c>
      <c r="I3593" s="89"/>
      <c r="J3593" s="90"/>
      <c r="K3593" s="91"/>
      <c r="L3593" s="80" t="str">
        <f aca="false">IF(AND(J3593&lt;&gt;"",K3593&lt;&gt;""),J3593*K3593,"")</f>
        <v/>
      </c>
      <c r="M3593" s="81" t="str">
        <f aca="false">IF(L3593&lt;&gt;"",L3593*1.1,"")</f>
        <v/>
      </c>
      <c r="N3593" s="47" t="n">
        <f aca="false">IF(F3593="S",L3593*0.02,0)</f>
        <v>0</v>
      </c>
      <c r="O3593" s="82" t="str">
        <f aca="false">IF(L3593&lt;&gt;"",L3593+N3593,"")</f>
        <v/>
      </c>
      <c r="P3593" s="47" t="str">
        <f aca="false">IF(O3593&lt;&gt;"",O3593*0.1,"")</f>
        <v/>
      </c>
      <c r="Q3593" s="83" t="str">
        <f aca="false">IF(O3593&lt;&gt;"",O3593+P3593,"")</f>
        <v/>
      </c>
      <c r="R3593" s="84"/>
    </row>
    <row r="3594" customFormat="false" ht="15" hidden="false" customHeight="true" outlineLevel="0" collapsed="false">
      <c r="A3594" s="103"/>
      <c r="B3594" s="73"/>
      <c r="C3594" s="74"/>
      <c r="D3594" s="75"/>
      <c r="E3594" s="52" t="str">
        <f aca="false">IF(D3594&lt;&gt;"",IFERROR(VLOOKUP(D3594,PROVEEDORES!$A:$B,2,0),"!COD NO ENCONTRADO"),"")</f>
        <v/>
      </c>
      <c r="F3594" s="76" t="str">
        <f aca="false">IF(D3594&lt;&gt;"",IFERROR(VLOOKUP(D3594,PROVEEDORES!$A:$C,3,0),""),"")</f>
        <v/>
      </c>
      <c r="G3594" s="75"/>
      <c r="H3594" s="52" t="str">
        <f aca="false">IF(G3594&lt;&gt;"",IFERROR(VLOOKUP(G3594,PRODUCTOS!$A:$B,2,0),"!COD NO ENCONTRADO"),"")</f>
        <v/>
      </c>
      <c r="I3594" s="77"/>
      <c r="J3594" s="78"/>
      <c r="K3594" s="79"/>
      <c r="L3594" s="80" t="str">
        <f aca="false">IF(AND(J3594&lt;&gt;"",K3594&lt;&gt;""),J3594*K3594,"")</f>
        <v/>
      </c>
      <c r="M3594" s="81" t="str">
        <f aca="false">IF(L3594&lt;&gt;"",L3594*1.1,"")</f>
        <v/>
      </c>
      <c r="N3594" s="53" t="n">
        <f aca="false">IF(F3594="S",L3594*0.02,0)</f>
        <v>0</v>
      </c>
      <c r="O3594" s="82" t="str">
        <f aca="false">IF(L3594&lt;&gt;"",L3594+N3594,"")</f>
        <v/>
      </c>
      <c r="P3594" s="53" t="str">
        <f aca="false">IF(O3594&lt;&gt;"",O3594*0.1,"")</f>
        <v/>
      </c>
      <c r="Q3594" s="83" t="str">
        <f aca="false">IF(O3594&lt;&gt;"",O3594+P3594,"")</f>
        <v/>
      </c>
      <c r="R3594" s="84"/>
    </row>
    <row r="3595" customFormat="false" ht="15" hidden="false" customHeight="true" outlineLevel="0" collapsed="false">
      <c r="A3595" s="103"/>
      <c r="B3595" s="85"/>
      <c r="C3595" s="86"/>
      <c r="D3595" s="87"/>
      <c r="E3595" s="46" t="str">
        <f aca="false">IF(D3595&lt;&gt;"",IFERROR(VLOOKUP(D3595,PROVEEDORES!$A:$B,2,0),"!COD NO ENCONTRADO"),"")</f>
        <v/>
      </c>
      <c r="F3595" s="88" t="str">
        <f aca="false">IF(D3595&lt;&gt;"",IFERROR(VLOOKUP(D3595,PROVEEDORES!$A:$C,3,0),""),"")</f>
        <v/>
      </c>
      <c r="G3595" s="87"/>
      <c r="H3595" s="46" t="str">
        <f aca="false">IF(G3595&lt;&gt;"",IFERROR(VLOOKUP(G3595,PRODUCTOS!$A:$B,2,0),"!COD NO ENCONTRADO"),"")</f>
        <v/>
      </c>
      <c r="I3595" s="89"/>
      <c r="J3595" s="90"/>
      <c r="K3595" s="91"/>
      <c r="L3595" s="80" t="str">
        <f aca="false">IF(AND(J3595&lt;&gt;"",K3595&lt;&gt;""),J3595*K3595,"")</f>
        <v/>
      </c>
      <c r="M3595" s="81" t="str">
        <f aca="false">IF(L3595&lt;&gt;"",L3595*1.1,"")</f>
        <v/>
      </c>
      <c r="N3595" s="47" t="n">
        <f aca="false">IF(F3595="S",L3595*0.02,0)</f>
        <v>0</v>
      </c>
      <c r="O3595" s="82" t="str">
        <f aca="false">IF(L3595&lt;&gt;"",L3595+N3595,"")</f>
        <v/>
      </c>
      <c r="P3595" s="47" t="str">
        <f aca="false">IF(O3595&lt;&gt;"",O3595*0.1,"")</f>
        <v/>
      </c>
      <c r="Q3595" s="83" t="str">
        <f aca="false">IF(O3595&lt;&gt;"",O3595+P3595,"")</f>
        <v/>
      </c>
      <c r="R3595" s="84"/>
    </row>
    <row r="3596" customFormat="false" ht="15" hidden="false" customHeight="true" outlineLevel="0" collapsed="false">
      <c r="A3596" s="103"/>
      <c r="B3596" s="73"/>
      <c r="C3596" s="74"/>
      <c r="D3596" s="75"/>
      <c r="E3596" s="52" t="str">
        <f aca="false">IF(D3596&lt;&gt;"",IFERROR(VLOOKUP(D3596,PROVEEDORES!$A:$B,2,0),"!COD NO ENCONTRADO"),"")</f>
        <v/>
      </c>
      <c r="F3596" s="76" t="str">
        <f aca="false">IF(D3596&lt;&gt;"",IFERROR(VLOOKUP(D3596,PROVEEDORES!$A:$C,3,0),""),"")</f>
        <v/>
      </c>
      <c r="G3596" s="75"/>
      <c r="H3596" s="52" t="str">
        <f aca="false">IF(G3596&lt;&gt;"",IFERROR(VLOOKUP(G3596,PRODUCTOS!$A:$B,2,0),"!COD NO ENCONTRADO"),"")</f>
        <v/>
      </c>
      <c r="I3596" s="77"/>
      <c r="J3596" s="78"/>
      <c r="K3596" s="79"/>
      <c r="L3596" s="80" t="str">
        <f aca="false">IF(AND(J3596&lt;&gt;"",K3596&lt;&gt;""),J3596*K3596,"")</f>
        <v/>
      </c>
      <c r="M3596" s="81" t="str">
        <f aca="false">IF(L3596&lt;&gt;"",L3596*1.1,"")</f>
        <v/>
      </c>
      <c r="N3596" s="53" t="n">
        <f aca="false">IF(F3596="S",L3596*0.02,0)</f>
        <v>0</v>
      </c>
      <c r="O3596" s="82" t="str">
        <f aca="false">IF(L3596&lt;&gt;"",L3596+N3596,"")</f>
        <v/>
      </c>
      <c r="P3596" s="53" t="str">
        <f aca="false">IF(O3596&lt;&gt;"",O3596*0.1,"")</f>
        <v/>
      </c>
      <c r="Q3596" s="83" t="str">
        <f aca="false">IF(O3596&lt;&gt;"",O3596+P3596,"")</f>
        <v/>
      </c>
      <c r="R3596" s="84"/>
    </row>
    <row r="3597" customFormat="false" ht="15" hidden="false" customHeight="true" outlineLevel="0" collapsed="false">
      <c r="A3597" s="103"/>
      <c r="B3597" s="85"/>
      <c r="C3597" s="86"/>
      <c r="D3597" s="87"/>
      <c r="E3597" s="46" t="str">
        <f aca="false">IF(D3597&lt;&gt;"",IFERROR(VLOOKUP(D3597,PROVEEDORES!$A:$B,2,0),"!COD NO ENCONTRADO"),"")</f>
        <v/>
      </c>
      <c r="F3597" s="88" t="str">
        <f aca="false">IF(D3597&lt;&gt;"",IFERROR(VLOOKUP(D3597,PROVEEDORES!$A:$C,3,0),""),"")</f>
        <v/>
      </c>
      <c r="G3597" s="87"/>
      <c r="H3597" s="46" t="str">
        <f aca="false">IF(G3597&lt;&gt;"",IFERROR(VLOOKUP(G3597,PRODUCTOS!$A:$B,2,0),"!COD NO ENCONTRADO"),"")</f>
        <v/>
      </c>
      <c r="I3597" s="89"/>
      <c r="J3597" s="90"/>
      <c r="K3597" s="91"/>
      <c r="L3597" s="80" t="str">
        <f aca="false">IF(AND(J3597&lt;&gt;"",K3597&lt;&gt;""),J3597*K3597,"")</f>
        <v/>
      </c>
      <c r="M3597" s="81" t="str">
        <f aca="false">IF(L3597&lt;&gt;"",L3597*1.1,"")</f>
        <v/>
      </c>
      <c r="N3597" s="47" t="n">
        <f aca="false">IF(F3597="S",L3597*0.02,0)</f>
        <v>0</v>
      </c>
      <c r="O3597" s="82" t="str">
        <f aca="false">IF(L3597&lt;&gt;"",L3597+N3597,"")</f>
        <v/>
      </c>
      <c r="P3597" s="47" t="str">
        <f aca="false">IF(O3597&lt;&gt;"",O3597*0.1,"")</f>
        <v/>
      </c>
      <c r="Q3597" s="83" t="str">
        <f aca="false">IF(O3597&lt;&gt;"",O3597+P3597,"")</f>
        <v/>
      </c>
      <c r="R3597" s="84"/>
    </row>
    <row r="3598" customFormat="false" ht="15" hidden="false" customHeight="true" outlineLevel="0" collapsed="false">
      <c r="A3598" s="103"/>
      <c r="B3598" s="73"/>
      <c r="C3598" s="74"/>
      <c r="D3598" s="75"/>
      <c r="E3598" s="52" t="str">
        <f aca="false">IF(D3598&lt;&gt;"",IFERROR(VLOOKUP(D3598,PROVEEDORES!$A:$B,2,0),"!COD NO ENCONTRADO"),"")</f>
        <v/>
      </c>
      <c r="F3598" s="76" t="str">
        <f aca="false">IF(D3598&lt;&gt;"",IFERROR(VLOOKUP(D3598,PROVEEDORES!$A:$C,3,0),""),"")</f>
        <v/>
      </c>
      <c r="G3598" s="75"/>
      <c r="H3598" s="52" t="str">
        <f aca="false">IF(G3598&lt;&gt;"",IFERROR(VLOOKUP(G3598,PRODUCTOS!$A:$B,2,0),"!COD NO ENCONTRADO"),"")</f>
        <v/>
      </c>
      <c r="I3598" s="77"/>
      <c r="J3598" s="78"/>
      <c r="K3598" s="79"/>
      <c r="L3598" s="80" t="str">
        <f aca="false">IF(AND(J3598&lt;&gt;"",K3598&lt;&gt;""),J3598*K3598,"")</f>
        <v/>
      </c>
      <c r="M3598" s="81" t="str">
        <f aca="false">IF(L3598&lt;&gt;"",L3598*1.1,"")</f>
        <v/>
      </c>
      <c r="N3598" s="53" t="n">
        <f aca="false">IF(F3598="S",L3598*0.02,0)</f>
        <v>0</v>
      </c>
      <c r="O3598" s="82" t="str">
        <f aca="false">IF(L3598&lt;&gt;"",L3598+N3598,"")</f>
        <v/>
      </c>
      <c r="P3598" s="53" t="str">
        <f aca="false">IF(O3598&lt;&gt;"",O3598*0.1,"")</f>
        <v/>
      </c>
      <c r="Q3598" s="83" t="str">
        <f aca="false">IF(O3598&lt;&gt;"",O3598+P3598,"")</f>
        <v/>
      </c>
      <c r="R3598" s="84"/>
    </row>
    <row r="3599" customFormat="false" ht="15" hidden="false" customHeight="true" outlineLevel="0" collapsed="false">
      <c r="A3599" s="103"/>
      <c r="B3599" s="85"/>
      <c r="C3599" s="86"/>
      <c r="D3599" s="87"/>
      <c r="E3599" s="46" t="str">
        <f aca="false">IF(D3599&lt;&gt;"",IFERROR(VLOOKUP(D3599,PROVEEDORES!$A:$B,2,0),"!COD NO ENCONTRADO"),"")</f>
        <v/>
      </c>
      <c r="F3599" s="88" t="str">
        <f aca="false">IF(D3599&lt;&gt;"",IFERROR(VLOOKUP(D3599,PROVEEDORES!$A:$C,3,0),""),"")</f>
        <v/>
      </c>
      <c r="G3599" s="87"/>
      <c r="H3599" s="46" t="str">
        <f aca="false">IF(G3599&lt;&gt;"",IFERROR(VLOOKUP(G3599,PRODUCTOS!$A:$B,2,0),"!COD NO ENCONTRADO"),"")</f>
        <v/>
      </c>
      <c r="I3599" s="89"/>
      <c r="J3599" s="90"/>
      <c r="K3599" s="91"/>
      <c r="L3599" s="80" t="str">
        <f aca="false">IF(AND(J3599&lt;&gt;"",K3599&lt;&gt;""),J3599*K3599,"")</f>
        <v/>
      </c>
      <c r="M3599" s="81" t="str">
        <f aca="false">IF(L3599&lt;&gt;"",L3599*1.1,"")</f>
        <v/>
      </c>
      <c r="N3599" s="47" t="n">
        <f aca="false">IF(F3599="S",L3599*0.02,0)</f>
        <v>0</v>
      </c>
      <c r="O3599" s="82" t="str">
        <f aca="false">IF(L3599&lt;&gt;"",L3599+N3599,"")</f>
        <v/>
      </c>
      <c r="P3599" s="47" t="str">
        <f aca="false">IF(O3599&lt;&gt;"",O3599*0.1,"")</f>
        <v/>
      </c>
      <c r="Q3599" s="83" t="str">
        <f aca="false">IF(O3599&lt;&gt;"",O3599+P3599,"")</f>
        <v/>
      </c>
      <c r="R3599" s="84"/>
    </row>
    <row r="3600" customFormat="false" ht="15" hidden="false" customHeight="true" outlineLevel="0" collapsed="false">
      <c r="A3600" s="103"/>
      <c r="B3600" s="73"/>
      <c r="C3600" s="74"/>
      <c r="D3600" s="75"/>
      <c r="E3600" s="52" t="str">
        <f aca="false">IF(D3600&lt;&gt;"",IFERROR(VLOOKUP(D3600,PROVEEDORES!$A:$B,2,0),"!COD NO ENCONTRADO"),"")</f>
        <v/>
      </c>
      <c r="F3600" s="76" t="str">
        <f aca="false">IF(D3600&lt;&gt;"",IFERROR(VLOOKUP(D3600,PROVEEDORES!$A:$C,3,0),""),"")</f>
        <v/>
      </c>
      <c r="G3600" s="75"/>
      <c r="H3600" s="52" t="str">
        <f aca="false">IF(G3600&lt;&gt;"",IFERROR(VLOOKUP(G3600,PRODUCTOS!$A:$B,2,0),"!COD NO ENCONTRADO"),"")</f>
        <v/>
      </c>
      <c r="I3600" s="77"/>
      <c r="J3600" s="78"/>
      <c r="K3600" s="79"/>
      <c r="L3600" s="80" t="str">
        <f aca="false">IF(AND(J3600&lt;&gt;"",K3600&lt;&gt;""),J3600*K3600,"")</f>
        <v/>
      </c>
      <c r="M3600" s="81" t="str">
        <f aca="false">IF(L3600&lt;&gt;"",L3600*1.1,"")</f>
        <v/>
      </c>
      <c r="N3600" s="53" t="n">
        <f aca="false">IF(F3600="S",L3600*0.02,0)</f>
        <v>0</v>
      </c>
      <c r="O3600" s="82" t="str">
        <f aca="false">IF(L3600&lt;&gt;"",L3600+N3600,"")</f>
        <v/>
      </c>
      <c r="P3600" s="53" t="str">
        <f aca="false">IF(O3600&lt;&gt;"",O3600*0.1,"")</f>
        <v/>
      </c>
      <c r="Q3600" s="83" t="str">
        <f aca="false">IF(O3600&lt;&gt;"",O3600+P3600,"")</f>
        <v/>
      </c>
      <c r="R3600" s="84"/>
    </row>
    <row r="3601" customFormat="false" ht="15" hidden="false" customHeight="true" outlineLevel="0" collapsed="false">
      <c r="A3601" s="103"/>
      <c r="B3601" s="85"/>
      <c r="C3601" s="86"/>
      <c r="D3601" s="87"/>
      <c r="E3601" s="46" t="str">
        <f aca="false">IF(D3601&lt;&gt;"",IFERROR(VLOOKUP(D3601,PROVEEDORES!$A:$B,2,0),"!COD NO ENCONTRADO"),"")</f>
        <v/>
      </c>
      <c r="F3601" s="88" t="str">
        <f aca="false">IF(D3601&lt;&gt;"",IFERROR(VLOOKUP(D3601,PROVEEDORES!$A:$C,3,0),""),"")</f>
        <v/>
      </c>
      <c r="G3601" s="87"/>
      <c r="H3601" s="46" t="str">
        <f aca="false">IF(G3601&lt;&gt;"",IFERROR(VLOOKUP(G3601,PRODUCTOS!$A:$B,2,0),"!COD NO ENCONTRADO"),"")</f>
        <v/>
      </c>
      <c r="I3601" s="89"/>
      <c r="J3601" s="90"/>
      <c r="K3601" s="91"/>
      <c r="L3601" s="80" t="str">
        <f aca="false">IF(AND(J3601&lt;&gt;"",K3601&lt;&gt;""),J3601*K3601,"")</f>
        <v/>
      </c>
      <c r="M3601" s="81" t="str">
        <f aca="false">IF(L3601&lt;&gt;"",L3601*1.1,"")</f>
        <v/>
      </c>
      <c r="N3601" s="47" t="n">
        <f aca="false">IF(F3601="S",L3601*0.02,0)</f>
        <v>0</v>
      </c>
      <c r="O3601" s="82" t="str">
        <f aca="false">IF(L3601&lt;&gt;"",L3601+N3601,"")</f>
        <v/>
      </c>
      <c r="P3601" s="47" t="str">
        <f aca="false">IF(O3601&lt;&gt;"",O3601*0.1,"")</f>
        <v/>
      </c>
      <c r="Q3601" s="83" t="str">
        <f aca="false">IF(O3601&lt;&gt;"",O3601+P3601,"")</f>
        <v/>
      </c>
      <c r="R3601" s="84"/>
    </row>
    <row r="3602" customFormat="false" ht="15" hidden="false" customHeight="true" outlineLevel="0" collapsed="false">
      <c r="A3602" s="103"/>
      <c r="B3602" s="73"/>
      <c r="C3602" s="74"/>
      <c r="D3602" s="75"/>
      <c r="E3602" s="52" t="str">
        <f aca="false">IF(D3602&lt;&gt;"",IFERROR(VLOOKUP(D3602,PROVEEDORES!$A:$B,2,0),"!COD NO ENCONTRADO"),"")</f>
        <v/>
      </c>
      <c r="F3602" s="76" t="str">
        <f aca="false">IF(D3602&lt;&gt;"",IFERROR(VLOOKUP(D3602,PROVEEDORES!$A:$C,3,0),""),"")</f>
        <v/>
      </c>
      <c r="G3602" s="75"/>
      <c r="H3602" s="52" t="str">
        <f aca="false">IF(G3602&lt;&gt;"",IFERROR(VLOOKUP(G3602,PRODUCTOS!$A:$B,2,0),"!COD NO ENCONTRADO"),"")</f>
        <v/>
      </c>
      <c r="I3602" s="77"/>
      <c r="J3602" s="78"/>
      <c r="K3602" s="79"/>
      <c r="L3602" s="80" t="str">
        <f aca="false">IF(AND(J3602&lt;&gt;"",K3602&lt;&gt;""),J3602*K3602,"")</f>
        <v/>
      </c>
      <c r="M3602" s="81" t="str">
        <f aca="false">IF(L3602&lt;&gt;"",L3602*1.1,"")</f>
        <v/>
      </c>
      <c r="N3602" s="53" t="n">
        <f aca="false">IF(F3602="S",L3602*0.02,0)</f>
        <v>0</v>
      </c>
      <c r="O3602" s="82" t="str">
        <f aca="false">IF(L3602&lt;&gt;"",L3602+N3602,"")</f>
        <v/>
      </c>
      <c r="P3602" s="53" t="str">
        <f aca="false">IF(O3602&lt;&gt;"",O3602*0.1,"")</f>
        <v/>
      </c>
      <c r="Q3602" s="83" t="str">
        <f aca="false">IF(O3602&lt;&gt;"",O3602+P3602,"")</f>
        <v/>
      </c>
      <c r="R3602" s="84"/>
    </row>
    <row r="3603" customFormat="false" ht="15" hidden="false" customHeight="true" outlineLevel="0" collapsed="false">
      <c r="A3603" s="103"/>
      <c r="B3603" s="85"/>
      <c r="C3603" s="86"/>
      <c r="D3603" s="87"/>
      <c r="E3603" s="46" t="str">
        <f aca="false">IF(D3603&lt;&gt;"",IFERROR(VLOOKUP(D3603,PROVEEDORES!$A:$B,2,0),"!COD NO ENCONTRADO"),"")</f>
        <v/>
      </c>
      <c r="F3603" s="88" t="str">
        <f aca="false">IF(D3603&lt;&gt;"",IFERROR(VLOOKUP(D3603,PROVEEDORES!$A:$C,3,0),""),"")</f>
        <v/>
      </c>
      <c r="G3603" s="87"/>
      <c r="H3603" s="46" t="str">
        <f aca="false">IF(G3603&lt;&gt;"",IFERROR(VLOOKUP(G3603,PRODUCTOS!$A:$B,2,0),"!COD NO ENCONTRADO"),"")</f>
        <v/>
      </c>
      <c r="I3603" s="89"/>
      <c r="J3603" s="90"/>
      <c r="K3603" s="91"/>
      <c r="L3603" s="80" t="str">
        <f aca="false">IF(AND(J3603&lt;&gt;"",K3603&lt;&gt;""),J3603*K3603,"")</f>
        <v/>
      </c>
      <c r="M3603" s="81" t="str">
        <f aca="false">IF(L3603&lt;&gt;"",L3603*1.1,"")</f>
        <v/>
      </c>
      <c r="N3603" s="47" t="n">
        <f aca="false">IF(F3603="S",L3603*0.02,0)</f>
        <v>0</v>
      </c>
      <c r="O3603" s="82" t="str">
        <f aca="false">IF(L3603&lt;&gt;"",L3603+N3603,"")</f>
        <v/>
      </c>
      <c r="P3603" s="47" t="str">
        <f aca="false">IF(O3603&lt;&gt;"",O3603*0.1,"")</f>
        <v/>
      </c>
      <c r="Q3603" s="83" t="str">
        <f aca="false">IF(O3603&lt;&gt;"",O3603+P3603,"")</f>
        <v/>
      </c>
      <c r="R3603" s="84"/>
    </row>
    <row r="3604" customFormat="false" ht="15" hidden="false" customHeight="true" outlineLevel="0" collapsed="false">
      <c r="A3604" s="103"/>
      <c r="B3604" s="73"/>
      <c r="C3604" s="74"/>
      <c r="D3604" s="75"/>
      <c r="E3604" s="52" t="str">
        <f aca="false">IF(D3604&lt;&gt;"",IFERROR(VLOOKUP(D3604,PROVEEDORES!$A:$B,2,0),"!COD NO ENCONTRADO"),"")</f>
        <v/>
      </c>
      <c r="F3604" s="76" t="str">
        <f aca="false">IF(D3604&lt;&gt;"",IFERROR(VLOOKUP(D3604,PROVEEDORES!$A:$C,3,0),""),"")</f>
        <v/>
      </c>
      <c r="G3604" s="75"/>
      <c r="H3604" s="52" t="str">
        <f aca="false">IF(G3604&lt;&gt;"",IFERROR(VLOOKUP(G3604,PRODUCTOS!$A:$B,2,0),"!COD NO ENCONTRADO"),"")</f>
        <v/>
      </c>
      <c r="I3604" s="77"/>
      <c r="J3604" s="78"/>
      <c r="K3604" s="79"/>
      <c r="L3604" s="80" t="str">
        <f aca="false">IF(AND(J3604&lt;&gt;"",K3604&lt;&gt;""),J3604*K3604,"")</f>
        <v/>
      </c>
      <c r="M3604" s="81" t="str">
        <f aca="false">IF(L3604&lt;&gt;"",L3604*1.1,"")</f>
        <v/>
      </c>
      <c r="N3604" s="53" t="n">
        <f aca="false">IF(F3604="S",L3604*0.02,0)</f>
        <v>0</v>
      </c>
      <c r="O3604" s="82" t="str">
        <f aca="false">IF(L3604&lt;&gt;"",L3604+N3604,"")</f>
        <v/>
      </c>
      <c r="P3604" s="53" t="str">
        <f aca="false">IF(O3604&lt;&gt;"",O3604*0.1,"")</f>
        <v/>
      </c>
      <c r="Q3604" s="83" t="str">
        <f aca="false">IF(O3604&lt;&gt;"",O3604+P3604,"")</f>
        <v/>
      </c>
      <c r="R3604" s="84"/>
    </row>
    <row r="3605" customFormat="false" ht="15" hidden="false" customHeight="true" outlineLevel="0" collapsed="false">
      <c r="A3605" s="103"/>
      <c r="B3605" s="85"/>
      <c r="C3605" s="86"/>
      <c r="D3605" s="87"/>
      <c r="E3605" s="46" t="str">
        <f aca="false">IF(D3605&lt;&gt;"",IFERROR(VLOOKUP(D3605,PROVEEDORES!$A:$B,2,0),"!COD NO ENCONTRADO"),"")</f>
        <v/>
      </c>
      <c r="F3605" s="88" t="str">
        <f aca="false">IF(D3605&lt;&gt;"",IFERROR(VLOOKUP(D3605,PROVEEDORES!$A:$C,3,0),""),"")</f>
        <v/>
      </c>
      <c r="G3605" s="87"/>
      <c r="H3605" s="46" t="str">
        <f aca="false">IF(G3605&lt;&gt;"",IFERROR(VLOOKUP(G3605,PRODUCTOS!$A:$B,2,0),"!COD NO ENCONTRADO"),"")</f>
        <v/>
      </c>
      <c r="I3605" s="89"/>
      <c r="J3605" s="90"/>
      <c r="K3605" s="91"/>
      <c r="L3605" s="80" t="str">
        <f aca="false">IF(AND(J3605&lt;&gt;"",K3605&lt;&gt;""),J3605*K3605,"")</f>
        <v/>
      </c>
      <c r="M3605" s="81" t="str">
        <f aca="false">IF(L3605&lt;&gt;"",L3605*1.1,"")</f>
        <v/>
      </c>
      <c r="N3605" s="47" t="n">
        <f aca="false">IF(F3605="S",L3605*0.02,0)</f>
        <v>0</v>
      </c>
      <c r="O3605" s="82" t="str">
        <f aca="false">IF(L3605&lt;&gt;"",L3605+N3605,"")</f>
        <v/>
      </c>
      <c r="P3605" s="47" t="str">
        <f aca="false">IF(O3605&lt;&gt;"",O3605*0.1,"")</f>
        <v/>
      </c>
      <c r="Q3605" s="83" t="str">
        <f aca="false">IF(O3605&lt;&gt;"",O3605+P3605,"")</f>
        <v/>
      </c>
      <c r="R3605" s="84"/>
    </row>
    <row r="3606" customFormat="false" ht="15" hidden="false" customHeight="true" outlineLevel="0" collapsed="false">
      <c r="A3606" s="103"/>
      <c r="B3606" s="73"/>
      <c r="C3606" s="74"/>
      <c r="D3606" s="75"/>
      <c r="E3606" s="52" t="str">
        <f aca="false">IF(D3606&lt;&gt;"",IFERROR(VLOOKUP(D3606,PROVEEDORES!$A:$B,2,0),"!COD NO ENCONTRADO"),"")</f>
        <v/>
      </c>
      <c r="F3606" s="76" t="str">
        <f aca="false">IF(D3606&lt;&gt;"",IFERROR(VLOOKUP(D3606,PROVEEDORES!$A:$C,3,0),""),"")</f>
        <v/>
      </c>
      <c r="G3606" s="75"/>
      <c r="H3606" s="52" t="str">
        <f aca="false">IF(G3606&lt;&gt;"",IFERROR(VLOOKUP(G3606,PRODUCTOS!$A:$B,2,0),"!COD NO ENCONTRADO"),"")</f>
        <v/>
      </c>
      <c r="I3606" s="77"/>
      <c r="J3606" s="78"/>
      <c r="K3606" s="79"/>
      <c r="L3606" s="80" t="str">
        <f aca="false">IF(AND(J3606&lt;&gt;"",K3606&lt;&gt;""),J3606*K3606,"")</f>
        <v/>
      </c>
      <c r="M3606" s="81" t="str">
        <f aca="false">IF(L3606&lt;&gt;"",L3606*1.1,"")</f>
        <v/>
      </c>
      <c r="N3606" s="53" t="n">
        <f aca="false">IF(F3606="S",L3606*0.02,0)</f>
        <v>0</v>
      </c>
      <c r="O3606" s="82" t="str">
        <f aca="false">IF(L3606&lt;&gt;"",L3606+N3606,"")</f>
        <v/>
      </c>
      <c r="P3606" s="53" t="str">
        <f aca="false">IF(O3606&lt;&gt;"",O3606*0.1,"")</f>
        <v/>
      </c>
      <c r="Q3606" s="83" t="str">
        <f aca="false">IF(O3606&lt;&gt;"",O3606+P3606,"")</f>
        <v/>
      </c>
      <c r="R3606" s="84"/>
    </row>
    <row r="3607" customFormat="false" ht="15" hidden="false" customHeight="true" outlineLevel="0" collapsed="false">
      <c r="A3607" s="103"/>
      <c r="B3607" s="85"/>
      <c r="C3607" s="86"/>
      <c r="D3607" s="87"/>
      <c r="E3607" s="46" t="str">
        <f aca="false">IF(D3607&lt;&gt;"",IFERROR(VLOOKUP(D3607,PROVEEDORES!$A:$B,2,0),"!COD NO ENCONTRADO"),"")</f>
        <v/>
      </c>
      <c r="F3607" s="88" t="str">
        <f aca="false">IF(D3607&lt;&gt;"",IFERROR(VLOOKUP(D3607,PROVEEDORES!$A:$C,3,0),""),"")</f>
        <v/>
      </c>
      <c r="G3607" s="87"/>
      <c r="H3607" s="46" t="str">
        <f aca="false">IF(G3607&lt;&gt;"",IFERROR(VLOOKUP(G3607,PRODUCTOS!$A:$B,2,0),"!COD NO ENCONTRADO"),"")</f>
        <v/>
      </c>
      <c r="I3607" s="89"/>
      <c r="J3607" s="90"/>
      <c r="K3607" s="91"/>
      <c r="L3607" s="80" t="str">
        <f aca="false">IF(AND(J3607&lt;&gt;"",K3607&lt;&gt;""),J3607*K3607,"")</f>
        <v/>
      </c>
      <c r="M3607" s="81" t="str">
        <f aca="false">IF(L3607&lt;&gt;"",L3607*1.1,"")</f>
        <v/>
      </c>
      <c r="N3607" s="47" t="n">
        <f aca="false">IF(F3607="S",L3607*0.02,0)</f>
        <v>0</v>
      </c>
      <c r="O3607" s="82" t="str">
        <f aca="false">IF(L3607&lt;&gt;"",L3607+N3607,"")</f>
        <v/>
      </c>
      <c r="P3607" s="47" t="str">
        <f aca="false">IF(O3607&lt;&gt;"",O3607*0.1,"")</f>
        <v/>
      </c>
      <c r="Q3607" s="83" t="str">
        <f aca="false">IF(O3607&lt;&gt;"",O3607+P3607,"")</f>
        <v/>
      </c>
      <c r="R3607" s="84"/>
    </row>
    <row r="3608" customFormat="false" ht="15" hidden="false" customHeight="true" outlineLevel="0" collapsed="false">
      <c r="A3608" s="103"/>
      <c r="B3608" s="73"/>
      <c r="C3608" s="74"/>
      <c r="D3608" s="75"/>
      <c r="E3608" s="52" t="str">
        <f aca="false">IF(D3608&lt;&gt;"",IFERROR(VLOOKUP(D3608,PROVEEDORES!$A:$B,2,0),"!COD NO ENCONTRADO"),"")</f>
        <v/>
      </c>
      <c r="F3608" s="76" t="str">
        <f aca="false">IF(D3608&lt;&gt;"",IFERROR(VLOOKUP(D3608,PROVEEDORES!$A:$C,3,0),""),"")</f>
        <v/>
      </c>
      <c r="G3608" s="75"/>
      <c r="H3608" s="52" t="str">
        <f aca="false">IF(G3608&lt;&gt;"",IFERROR(VLOOKUP(G3608,PRODUCTOS!$A:$B,2,0),"!COD NO ENCONTRADO"),"")</f>
        <v/>
      </c>
      <c r="I3608" s="77"/>
      <c r="J3608" s="78"/>
      <c r="K3608" s="79"/>
      <c r="L3608" s="80" t="str">
        <f aca="false">IF(AND(J3608&lt;&gt;"",K3608&lt;&gt;""),J3608*K3608,"")</f>
        <v/>
      </c>
      <c r="M3608" s="81" t="str">
        <f aca="false">IF(L3608&lt;&gt;"",L3608*1.1,"")</f>
        <v/>
      </c>
      <c r="N3608" s="53" t="n">
        <f aca="false">IF(F3608="S",L3608*0.02,0)</f>
        <v>0</v>
      </c>
      <c r="O3608" s="82" t="str">
        <f aca="false">IF(L3608&lt;&gt;"",L3608+N3608,"")</f>
        <v/>
      </c>
      <c r="P3608" s="53" t="str">
        <f aca="false">IF(O3608&lt;&gt;"",O3608*0.1,"")</f>
        <v/>
      </c>
      <c r="Q3608" s="83" t="str">
        <f aca="false">IF(O3608&lt;&gt;"",O3608+P3608,"")</f>
        <v/>
      </c>
      <c r="R3608" s="84"/>
    </row>
    <row r="3609" customFormat="false" ht="15" hidden="false" customHeight="true" outlineLevel="0" collapsed="false">
      <c r="A3609" s="103"/>
      <c r="B3609" s="85"/>
      <c r="C3609" s="86"/>
      <c r="D3609" s="87"/>
      <c r="E3609" s="46" t="str">
        <f aca="false">IF(D3609&lt;&gt;"",IFERROR(VLOOKUP(D3609,PROVEEDORES!$A:$B,2,0),"!COD NO ENCONTRADO"),"")</f>
        <v/>
      </c>
      <c r="F3609" s="88" t="str">
        <f aca="false">IF(D3609&lt;&gt;"",IFERROR(VLOOKUP(D3609,PROVEEDORES!$A:$C,3,0),""),"")</f>
        <v/>
      </c>
      <c r="G3609" s="87"/>
      <c r="H3609" s="46" t="str">
        <f aca="false">IF(G3609&lt;&gt;"",IFERROR(VLOOKUP(G3609,PRODUCTOS!$A:$B,2,0),"!COD NO ENCONTRADO"),"")</f>
        <v/>
      </c>
      <c r="I3609" s="89"/>
      <c r="J3609" s="90"/>
      <c r="K3609" s="91"/>
      <c r="L3609" s="80" t="str">
        <f aca="false">IF(AND(J3609&lt;&gt;"",K3609&lt;&gt;""),J3609*K3609,"")</f>
        <v/>
      </c>
      <c r="M3609" s="81" t="str">
        <f aca="false">IF(L3609&lt;&gt;"",L3609*1.1,"")</f>
        <v/>
      </c>
      <c r="N3609" s="47" t="n">
        <f aca="false">IF(F3609="S",L3609*0.02,0)</f>
        <v>0</v>
      </c>
      <c r="O3609" s="82" t="str">
        <f aca="false">IF(L3609&lt;&gt;"",L3609+N3609,"")</f>
        <v/>
      </c>
      <c r="P3609" s="47" t="str">
        <f aca="false">IF(O3609&lt;&gt;"",O3609*0.1,"")</f>
        <v/>
      </c>
      <c r="Q3609" s="83" t="str">
        <f aca="false">IF(O3609&lt;&gt;"",O3609+P3609,"")</f>
        <v/>
      </c>
      <c r="R3609" s="84"/>
    </row>
    <row r="3610" customFormat="false" ht="15" hidden="false" customHeight="true" outlineLevel="0" collapsed="false">
      <c r="A3610" s="103"/>
      <c r="B3610" s="73"/>
      <c r="C3610" s="74"/>
      <c r="D3610" s="75"/>
      <c r="E3610" s="52" t="str">
        <f aca="false">IF(D3610&lt;&gt;"",IFERROR(VLOOKUP(D3610,PROVEEDORES!$A:$B,2,0),"!COD NO ENCONTRADO"),"")</f>
        <v/>
      </c>
      <c r="F3610" s="76" t="str">
        <f aca="false">IF(D3610&lt;&gt;"",IFERROR(VLOOKUP(D3610,PROVEEDORES!$A:$C,3,0),""),"")</f>
        <v/>
      </c>
      <c r="G3610" s="75"/>
      <c r="H3610" s="52" t="str">
        <f aca="false">IF(G3610&lt;&gt;"",IFERROR(VLOOKUP(G3610,PRODUCTOS!$A:$B,2,0),"!COD NO ENCONTRADO"),"")</f>
        <v/>
      </c>
      <c r="I3610" s="77"/>
      <c r="J3610" s="78"/>
      <c r="K3610" s="79"/>
      <c r="L3610" s="80" t="str">
        <f aca="false">IF(AND(J3610&lt;&gt;"",K3610&lt;&gt;""),J3610*K3610,"")</f>
        <v/>
      </c>
      <c r="M3610" s="81" t="str">
        <f aca="false">IF(L3610&lt;&gt;"",L3610*1.1,"")</f>
        <v/>
      </c>
      <c r="N3610" s="53" t="n">
        <f aca="false">IF(F3610="S",L3610*0.02,0)</f>
        <v>0</v>
      </c>
      <c r="O3610" s="82" t="str">
        <f aca="false">IF(L3610&lt;&gt;"",L3610+N3610,"")</f>
        <v/>
      </c>
      <c r="P3610" s="53" t="str">
        <f aca="false">IF(O3610&lt;&gt;"",O3610*0.1,"")</f>
        <v/>
      </c>
      <c r="Q3610" s="83" t="str">
        <f aca="false">IF(O3610&lt;&gt;"",O3610+P3610,"")</f>
        <v/>
      </c>
      <c r="R3610" s="84"/>
    </row>
    <row r="3611" customFormat="false" ht="15" hidden="false" customHeight="true" outlineLevel="0" collapsed="false">
      <c r="A3611" s="103"/>
      <c r="B3611" s="85"/>
      <c r="C3611" s="86"/>
      <c r="D3611" s="87"/>
      <c r="E3611" s="46" t="str">
        <f aca="false">IF(D3611&lt;&gt;"",IFERROR(VLOOKUP(D3611,PROVEEDORES!$A:$B,2,0),"!COD NO ENCONTRADO"),"")</f>
        <v/>
      </c>
      <c r="F3611" s="88" t="str">
        <f aca="false">IF(D3611&lt;&gt;"",IFERROR(VLOOKUP(D3611,PROVEEDORES!$A:$C,3,0),""),"")</f>
        <v/>
      </c>
      <c r="G3611" s="87"/>
      <c r="H3611" s="46" t="str">
        <f aca="false">IF(G3611&lt;&gt;"",IFERROR(VLOOKUP(G3611,PRODUCTOS!$A:$B,2,0),"!COD NO ENCONTRADO"),"")</f>
        <v/>
      </c>
      <c r="I3611" s="89"/>
      <c r="J3611" s="90"/>
      <c r="K3611" s="91"/>
      <c r="L3611" s="80" t="str">
        <f aca="false">IF(AND(J3611&lt;&gt;"",K3611&lt;&gt;""),J3611*K3611,"")</f>
        <v/>
      </c>
      <c r="M3611" s="81" t="str">
        <f aca="false">IF(L3611&lt;&gt;"",L3611*1.1,"")</f>
        <v/>
      </c>
      <c r="N3611" s="47" t="n">
        <f aca="false">IF(F3611="S",L3611*0.02,0)</f>
        <v>0</v>
      </c>
      <c r="O3611" s="82" t="str">
        <f aca="false">IF(L3611&lt;&gt;"",L3611+N3611,"")</f>
        <v/>
      </c>
      <c r="P3611" s="47" t="str">
        <f aca="false">IF(O3611&lt;&gt;"",O3611*0.1,"")</f>
        <v/>
      </c>
      <c r="Q3611" s="83" t="str">
        <f aca="false">IF(O3611&lt;&gt;"",O3611+P3611,"")</f>
        <v/>
      </c>
      <c r="R3611" s="84"/>
    </row>
    <row r="3612" customFormat="false" ht="15" hidden="false" customHeight="true" outlineLevel="0" collapsed="false">
      <c r="A3612" s="103"/>
      <c r="B3612" s="73"/>
      <c r="C3612" s="74"/>
      <c r="D3612" s="75"/>
      <c r="E3612" s="52" t="str">
        <f aca="false">IF(D3612&lt;&gt;"",IFERROR(VLOOKUP(D3612,PROVEEDORES!$A:$B,2,0),"!COD NO ENCONTRADO"),"")</f>
        <v/>
      </c>
      <c r="F3612" s="76" t="str">
        <f aca="false">IF(D3612&lt;&gt;"",IFERROR(VLOOKUP(D3612,PROVEEDORES!$A:$C,3,0),""),"")</f>
        <v/>
      </c>
      <c r="G3612" s="75"/>
      <c r="H3612" s="52" t="str">
        <f aca="false">IF(G3612&lt;&gt;"",IFERROR(VLOOKUP(G3612,PRODUCTOS!$A:$B,2,0),"!COD NO ENCONTRADO"),"")</f>
        <v/>
      </c>
      <c r="I3612" s="77"/>
      <c r="J3612" s="78"/>
      <c r="K3612" s="79"/>
      <c r="L3612" s="80" t="str">
        <f aca="false">IF(AND(J3612&lt;&gt;"",K3612&lt;&gt;""),J3612*K3612,"")</f>
        <v/>
      </c>
      <c r="M3612" s="81" t="str">
        <f aca="false">IF(L3612&lt;&gt;"",L3612*1.1,"")</f>
        <v/>
      </c>
      <c r="N3612" s="53" t="n">
        <f aca="false">IF(F3612="S",L3612*0.02,0)</f>
        <v>0</v>
      </c>
      <c r="O3612" s="82" t="str">
        <f aca="false">IF(L3612&lt;&gt;"",L3612+N3612,"")</f>
        <v/>
      </c>
      <c r="P3612" s="53" t="str">
        <f aca="false">IF(O3612&lt;&gt;"",O3612*0.1,"")</f>
        <v/>
      </c>
      <c r="Q3612" s="83" t="str">
        <f aca="false">IF(O3612&lt;&gt;"",O3612+P3612,"")</f>
        <v/>
      </c>
      <c r="R3612" s="84"/>
    </row>
    <row r="3613" customFormat="false" ht="15" hidden="false" customHeight="true" outlineLevel="0" collapsed="false">
      <c r="A3613" s="103"/>
      <c r="B3613" s="85"/>
      <c r="C3613" s="86"/>
      <c r="D3613" s="87"/>
      <c r="E3613" s="46" t="str">
        <f aca="false">IF(D3613&lt;&gt;"",IFERROR(VLOOKUP(D3613,PROVEEDORES!$A:$B,2,0),"!COD NO ENCONTRADO"),"")</f>
        <v/>
      </c>
      <c r="F3613" s="88" t="str">
        <f aca="false">IF(D3613&lt;&gt;"",IFERROR(VLOOKUP(D3613,PROVEEDORES!$A:$C,3,0),""),"")</f>
        <v/>
      </c>
      <c r="G3613" s="87"/>
      <c r="H3613" s="46" t="str">
        <f aca="false">IF(G3613&lt;&gt;"",IFERROR(VLOOKUP(G3613,PRODUCTOS!$A:$B,2,0),"!COD NO ENCONTRADO"),"")</f>
        <v/>
      </c>
      <c r="I3613" s="89"/>
      <c r="J3613" s="90"/>
      <c r="K3613" s="91"/>
      <c r="L3613" s="80" t="str">
        <f aca="false">IF(AND(J3613&lt;&gt;"",K3613&lt;&gt;""),J3613*K3613,"")</f>
        <v/>
      </c>
      <c r="M3613" s="81" t="str">
        <f aca="false">IF(L3613&lt;&gt;"",L3613*1.1,"")</f>
        <v/>
      </c>
      <c r="N3613" s="47" t="n">
        <f aca="false">IF(F3613="S",L3613*0.02,0)</f>
        <v>0</v>
      </c>
      <c r="O3613" s="82" t="str">
        <f aca="false">IF(L3613&lt;&gt;"",L3613+N3613,"")</f>
        <v/>
      </c>
      <c r="P3613" s="47" t="str">
        <f aca="false">IF(O3613&lt;&gt;"",O3613*0.1,"")</f>
        <v/>
      </c>
      <c r="Q3613" s="83" t="str">
        <f aca="false">IF(O3613&lt;&gt;"",O3613+P3613,"")</f>
        <v/>
      </c>
      <c r="R3613" s="84"/>
    </row>
    <row r="3614" customFormat="false" ht="15" hidden="false" customHeight="true" outlineLevel="0" collapsed="false">
      <c r="A3614" s="103"/>
      <c r="B3614" s="73"/>
      <c r="C3614" s="74"/>
      <c r="D3614" s="75"/>
      <c r="E3614" s="52" t="str">
        <f aca="false">IF(D3614&lt;&gt;"",IFERROR(VLOOKUP(D3614,PROVEEDORES!$A:$B,2,0),"!COD NO ENCONTRADO"),"")</f>
        <v/>
      </c>
      <c r="F3614" s="76" t="str">
        <f aca="false">IF(D3614&lt;&gt;"",IFERROR(VLOOKUP(D3614,PROVEEDORES!$A:$C,3,0),""),"")</f>
        <v/>
      </c>
      <c r="G3614" s="75"/>
      <c r="H3614" s="52" t="str">
        <f aca="false">IF(G3614&lt;&gt;"",IFERROR(VLOOKUP(G3614,PRODUCTOS!$A:$B,2,0),"!COD NO ENCONTRADO"),"")</f>
        <v/>
      </c>
      <c r="I3614" s="77"/>
      <c r="J3614" s="78"/>
      <c r="K3614" s="79"/>
      <c r="L3614" s="80" t="str">
        <f aca="false">IF(AND(J3614&lt;&gt;"",K3614&lt;&gt;""),J3614*K3614,"")</f>
        <v/>
      </c>
      <c r="M3614" s="81" t="str">
        <f aca="false">IF(L3614&lt;&gt;"",L3614*1.1,"")</f>
        <v/>
      </c>
      <c r="N3614" s="53" t="n">
        <f aca="false">IF(F3614="S",L3614*0.02,0)</f>
        <v>0</v>
      </c>
      <c r="O3614" s="82" t="str">
        <f aca="false">IF(L3614&lt;&gt;"",L3614+N3614,"")</f>
        <v/>
      </c>
      <c r="P3614" s="53" t="str">
        <f aca="false">IF(O3614&lt;&gt;"",O3614*0.1,"")</f>
        <v/>
      </c>
      <c r="Q3614" s="83" t="str">
        <f aca="false">IF(O3614&lt;&gt;"",O3614+P3614,"")</f>
        <v/>
      </c>
      <c r="R3614" s="84"/>
    </row>
    <row r="3615" customFormat="false" ht="15" hidden="false" customHeight="true" outlineLevel="0" collapsed="false">
      <c r="A3615" s="103"/>
      <c r="B3615" s="85"/>
      <c r="C3615" s="86"/>
      <c r="D3615" s="87"/>
      <c r="E3615" s="46" t="str">
        <f aca="false">IF(D3615&lt;&gt;"",IFERROR(VLOOKUP(D3615,PROVEEDORES!$A:$B,2,0),"!COD NO ENCONTRADO"),"")</f>
        <v/>
      </c>
      <c r="F3615" s="88" t="str">
        <f aca="false">IF(D3615&lt;&gt;"",IFERROR(VLOOKUP(D3615,PROVEEDORES!$A:$C,3,0),""),"")</f>
        <v/>
      </c>
      <c r="G3615" s="87"/>
      <c r="H3615" s="46" t="str">
        <f aca="false">IF(G3615&lt;&gt;"",IFERROR(VLOOKUP(G3615,PRODUCTOS!$A:$B,2,0),"!COD NO ENCONTRADO"),"")</f>
        <v/>
      </c>
      <c r="I3615" s="89"/>
      <c r="J3615" s="90"/>
      <c r="K3615" s="91"/>
      <c r="L3615" s="80" t="str">
        <f aca="false">IF(AND(J3615&lt;&gt;"",K3615&lt;&gt;""),J3615*K3615,"")</f>
        <v/>
      </c>
      <c r="M3615" s="81" t="str">
        <f aca="false">IF(L3615&lt;&gt;"",L3615*1.1,"")</f>
        <v/>
      </c>
      <c r="N3615" s="47" t="n">
        <f aca="false">IF(F3615="S",L3615*0.02,0)</f>
        <v>0</v>
      </c>
      <c r="O3615" s="82" t="str">
        <f aca="false">IF(L3615&lt;&gt;"",L3615+N3615,"")</f>
        <v/>
      </c>
      <c r="P3615" s="47" t="str">
        <f aca="false">IF(O3615&lt;&gt;"",O3615*0.1,"")</f>
        <v/>
      </c>
      <c r="Q3615" s="83" t="str">
        <f aca="false">IF(O3615&lt;&gt;"",O3615+P3615,"")</f>
        <v/>
      </c>
      <c r="R3615" s="84"/>
    </row>
    <row r="3616" customFormat="false" ht="15" hidden="false" customHeight="true" outlineLevel="0" collapsed="false">
      <c r="A3616" s="103"/>
      <c r="B3616" s="73"/>
      <c r="C3616" s="74"/>
      <c r="D3616" s="75"/>
      <c r="E3616" s="52" t="str">
        <f aca="false">IF(D3616&lt;&gt;"",IFERROR(VLOOKUP(D3616,PROVEEDORES!$A:$B,2,0),"!COD NO ENCONTRADO"),"")</f>
        <v/>
      </c>
      <c r="F3616" s="76" t="str">
        <f aca="false">IF(D3616&lt;&gt;"",IFERROR(VLOOKUP(D3616,PROVEEDORES!$A:$C,3,0),""),"")</f>
        <v/>
      </c>
      <c r="G3616" s="75"/>
      <c r="H3616" s="52" t="str">
        <f aca="false">IF(G3616&lt;&gt;"",IFERROR(VLOOKUP(G3616,PRODUCTOS!$A:$B,2,0),"!COD NO ENCONTRADO"),"")</f>
        <v/>
      </c>
      <c r="I3616" s="77"/>
      <c r="J3616" s="78"/>
      <c r="K3616" s="79"/>
      <c r="L3616" s="80" t="str">
        <f aca="false">IF(AND(J3616&lt;&gt;"",K3616&lt;&gt;""),J3616*K3616,"")</f>
        <v/>
      </c>
      <c r="M3616" s="81" t="str">
        <f aca="false">IF(L3616&lt;&gt;"",L3616*1.1,"")</f>
        <v/>
      </c>
      <c r="N3616" s="53" t="n">
        <f aca="false">IF(F3616="S",L3616*0.02,0)</f>
        <v>0</v>
      </c>
      <c r="O3616" s="82" t="str">
        <f aca="false">IF(L3616&lt;&gt;"",L3616+N3616,"")</f>
        <v/>
      </c>
      <c r="P3616" s="53" t="str">
        <f aca="false">IF(O3616&lt;&gt;"",O3616*0.1,"")</f>
        <v/>
      </c>
      <c r="Q3616" s="83" t="str">
        <f aca="false">IF(O3616&lt;&gt;"",O3616+P3616,"")</f>
        <v/>
      </c>
      <c r="R3616" s="84"/>
    </row>
    <row r="3617" customFormat="false" ht="15" hidden="false" customHeight="true" outlineLevel="0" collapsed="false">
      <c r="A3617" s="103"/>
      <c r="B3617" s="85"/>
      <c r="C3617" s="86"/>
      <c r="D3617" s="87"/>
      <c r="E3617" s="46" t="str">
        <f aca="false">IF(D3617&lt;&gt;"",IFERROR(VLOOKUP(D3617,PROVEEDORES!$A:$B,2,0),"!COD NO ENCONTRADO"),"")</f>
        <v/>
      </c>
      <c r="F3617" s="88" t="str">
        <f aca="false">IF(D3617&lt;&gt;"",IFERROR(VLOOKUP(D3617,PROVEEDORES!$A:$C,3,0),""),"")</f>
        <v/>
      </c>
      <c r="G3617" s="87"/>
      <c r="H3617" s="46" t="str">
        <f aca="false">IF(G3617&lt;&gt;"",IFERROR(VLOOKUP(G3617,PRODUCTOS!$A:$B,2,0),"!COD NO ENCONTRADO"),"")</f>
        <v/>
      </c>
      <c r="I3617" s="89"/>
      <c r="J3617" s="90"/>
      <c r="K3617" s="91"/>
      <c r="L3617" s="80" t="str">
        <f aca="false">IF(AND(J3617&lt;&gt;"",K3617&lt;&gt;""),J3617*K3617,"")</f>
        <v/>
      </c>
      <c r="M3617" s="81" t="str">
        <f aca="false">IF(L3617&lt;&gt;"",L3617*1.1,"")</f>
        <v/>
      </c>
      <c r="N3617" s="47" t="n">
        <f aca="false">IF(F3617="S",L3617*0.02,0)</f>
        <v>0</v>
      </c>
      <c r="O3617" s="82" t="str">
        <f aca="false">IF(L3617&lt;&gt;"",L3617+N3617,"")</f>
        <v/>
      </c>
      <c r="P3617" s="47" t="str">
        <f aca="false">IF(O3617&lt;&gt;"",O3617*0.1,"")</f>
        <v/>
      </c>
      <c r="Q3617" s="83" t="str">
        <f aca="false">IF(O3617&lt;&gt;"",O3617+P3617,"")</f>
        <v/>
      </c>
      <c r="R3617" s="84"/>
    </row>
    <row r="3618" customFormat="false" ht="15" hidden="false" customHeight="true" outlineLevel="0" collapsed="false">
      <c r="A3618" s="103"/>
      <c r="B3618" s="73"/>
      <c r="C3618" s="74"/>
      <c r="D3618" s="75"/>
      <c r="E3618" s="52" t="str">
        <f aca="false">IF(D3618&lt;&gt;"",IFERROR(VLOOKUP(D3618,PROVEEDORES!$A:$B,2,0),"!COD NO ENCONTRADO"),"")</f>
        <v/>
      </c>
      <c r="F3618" s="76" t="str">
        <f aca="false">IF(D3618&lt;&gt;"",IFERROR(VLOOKUP(D3618,PROVEEDORES!$A:$C,3,0),""),"")</f>
        <v/>
      </c>
      <c r="G3618" s="75"/>
      <c r="H3618" s="52" t="str">
        <f aca="false">IF(G3618&lt;&gt;"",IFERROR(VLOOKUP(G3618,PRODUCTOS!$A:$B,2,0),"!COD NO ENCONTRADO"),"")</f>
        <v/>
      </c>
      <c r="I3618" s="77"/>
      <c r="J3618" s="78"/>
      <c r="K3618" s="79"/>
      <c r="L3618" s="80" t="str">
        <f aca="false">IF(AND(J3618&lt;&gt;"",K3618&lt;&gt;""),J3618*K3618,"")</f>
        <v/>
      </c>
      <c r="M3618" s="81" t="str">
        <f aca="false">IF(L3618&lt;&gt;"",L3618*1.1,"")</f>
        <v/>
      </c>
      <c r="N3618" s="53" t="n">
        <f aca="false">IF(F3618="S",L3618*0.02,0)</f>
        <v>0</v>
      </c>
      <c r="O3618" s="82" t="str">
        <f aca="false">IF(L3618&lt;&gt;"",L3618+N3618,"")</f>
        <v/>
      </c>
      <c r="P3618" s="53" t="str">
        <f aca="false">IF(O3618&lt;&gt;"",O3618*0.1,"")</f>
        <v/>
      </c>
      <c r="Q3618" s="83" t="str">
        <f aca="false">IF(O3618&lt;&gt;"",O3618+P3618,"")</f>
        <v/>
      </c>
      <c r="R3618" s="84"/>
    </row>
    <row r="3619" customFormat="false" ht="15" hidden="false" customHeight="true" outlineLevel="0" collapsed="false">
      <c r="A3619" s="103"/>
      <c r="B3619" s="85"/>
      <c r="C3619" s="86"/>
      <c r="D3619" s="87"/>
      <c r="E3619" s="46" t="str">
        <f aca="false">IF(D3619&lt;&gt;"",IFERROR(VLOOKUP(D3619,PROVEEDORES!$A:$B,2,0),"!COD NO ENCONTRADO"),"")</f>
        <v/>
      </c>
      <c r="F3619" s="88" t="str">
        <f aca="false">IF(D3619&lt;&gt;"",IFERROR(VLOOKUP(D3619,PROVEEDORES!$A:$C,3,0),""),"")</f>
        <v/>
      </c>
      <c r="G3619" s="87"/>
      <c r="H3619" s="46" t="str">
        <f aca="false">IF(G3619&lt;&gt;"",IFERROR(VLOOKUP(G3619,PRODUCTOS!$A:$B,2,0),"!COD NO ENCONTRADO"),"")</f>
        <v/>
      </c>
      <c r="I3619" s="89"/>
      <c r="J3619" s="90"/>
      <c r="K3619" s="91"/>
      <c r="L3619" s="80" t="str">
        <f aca="false">IF(AND(J3619&lt;&gt;"",K3619&lt;&gt;""),J3619*K3619,"")</f>
        <v/>
      </c>
      <c r="M3619" s="81" t="str">
        <f aca="false">IF(L3619&lt;&gt;"",L3619*1.1,"")</f>
        <v/>
      </c>
      <c r="N3619" s="47" t="n">
        <f aca="false">IF(F3619="S",L3619*0.02,0)</f>
        <v>0</v>
      </c>
      <c r="O3619" s="82" t="str">
        <f aca="false">IF(L3619&lt;&gt;"",L3619+N3619,"")</f>
        <v/>
      </c>
      <c r="P3619" s="47" t="str">
        <f aca="false">IF(O3619&lt;&gt;"",O3619*0.1,"")</f>
        <v/>
      </c>
      <c r="Q3619" s="83" t="str">
        <f aca="false">IF(O3619&lt;&gt;"",O3619+P3619,"")</f>
        <v/>
      </c>
      <c r="R3619" s="84"/>
    </row>
    <row r="3620" customFormat="false" ht="15" hidden="false" customHeight="true" outlineLevel="0" collapsed="false">
      <c r="A3620" s="103"/>
      <c r="B3620" s="73"/>
      <c r="C3620" s="74"/>
      <c r="D3620" s="75"/>
      <c r="E3620" s="52" t="str">
        <f aca="false">IF(D3620&lt;&gt;"",IFERROR(VLOOKUP(D3620,PROVEEDORES!$A:$B,2,0),"!COD NO ENCONTRADO"),"")</f>
        <v/>
      </c>
      <c r="F3620" s="76" t="str">
        <f aca="false">IF(D3620&lt;&gt;"",IFERROR(VLOOKUP(D3620,PROVEEDORES!$A:$C,3,0),""),"")</f>
        <v/>
      </c>
      <c r="G3620" s="75"/>
      <c r="H3620" s="52" t="str">
        <f aca="false">IF(G3620&lt;&gt;"",IFERROR(VLOOKUP(G3620,PRODUCTOS!$A:$B,2,0),"!COD NO ENCONTRADO"),"")</f>
        <v/>
      </c>
      <c r="I3620" s="77"/>
      <c r="J3620" s="78"/>
      <c r="K3620" s="79"/>
      <c r="L3620" s="80" t="str">
        <f aca="false">IF(AND(J3620&lt;&gt;"",K3620&lt;&gt;""),J3620*K3620,"")</f>
        <v/>
      </c>
      <c r="M3620" s="81" t="str">
        <f aca="false">IF(L3620&lt;&gt;"",L3620*1.1,"")</f>
        <v/>
      </c>
      <c r="N3620" s="53" t="n">
        <f aca="false">IF(F3620="S",L3620*0.02,0)</f>
        <v>0</v>
      </c>
      <c r="O3620" s="82" t="str">
        <f aca="false">IF(L3620&lt;&gt;"",L3620+N3620,"")</f>
        <v/>
      </c>
      <c r="P3620" s="53" t="str">
        <f aca="false">IF(O3620&lt;&gt;"",O3620*0.1,"")</f>
        <v/>
      </c>
      <c r="Q3620" s="83" t="str">
        <f aca="false">IF(O3620&lt;&gt;"",O3620+P3620,"")</f>
        <v/>
      </c>
      <c r="R3620" s="84"/>
    </row>
    <row r="3621" customFormat="false" ht="15" hidden="false" customHeight="true" outlineLevel="0" collapsed="false">
      <c r="A3621" s="103"/>
      <c r="B3621" s="85"/>
      <c r="C3621" s="86"/>
      <c r="D3621" s="87"/>
      <c r="E3621" s="46" t="str">
        <f aca="false">IF(D3621&lt;&gt;"",IFERROR(VLOOKUP(D3621,PROVEEDORES!$A:$B,2,0),"!COD NO ENCONTRADO"),"")</f>
        <v/>
      </c>
      <c r="F3621" s="88" t="str">
        <f aca="false">IF(D3621&lt;&gt;"",IFERROR(VLOOKUP(D3621,PROVEEDORES!$A:$C,3,0),""),"")</f>
        <v/>
      </c>
      <c r="G3621" s="87"/>
      <c r="H3621" s="46" t="str">
        <f aca="false">IF(G3621&lt;&gt;"",IFERROR(VLOOKUP(G3621,PRODUCTOS!$A:$B,2,0),"!COD NO ENCONTRADO"),"")</f>
        <v/>
      </c>
      <c r="I3621" s="89"/>
      <c r="J3621" s="90"/>
      <c r="K3621" s="91"/>
      <c r="L3621" s="80" t="str">
        <f aca="false">IF(AND(J3621&lt;&gt;"",K3621&lt;&gt;""),J3621*K3621,"")</f>
        <v/>
      </c>
      <c r="M3621" s="81" t="str">
        <f aca="false">IF(L3621&lt;&gt;"",L3621*1.1,"")</f>
        <v/>
      </c>
      <c r="N3621" s="47" t="n">
        <f aca="false">IF(F3621="S",L3621*0.02,0)</f>
        <v>0</v>
      </c>
      <c r="O3621" s="82" t="str">
        <f aca="false">IF(L3621&lt;&gt;"",L3621+N3621,"")</f>
        <v/>
      </c>
      <c r="P3621" s="47" t="str">
        <f aca="false">IF(O3621&lt;&gt;"",O3621*0.1,"")</f>
        <v/>
      </c>
      <c r="Q3621" s="83" t="str">
        <f aca="false">IF(O3621&lt;&gt;"",O3621+P3621,"")</f>
        <v/>
      </c>
      <c r="R3621" s="84"/>
    </row>
    <row r="3622" customFormat="false" ht="15" hidden="false" customHeight="true" outlineLevel="0" collapsed="false">
      <c r="A3622" s="103"/>
      <c r="B3622" s="73"/>
      <c r="C3622" s="74"/>
      <c r="D3622" s="75"/>
      <c r="E3622" s="52" t="str">
        <f aca="false">IF(D3622&lt;&gt;"",IFERROR(VLOOKUP(D3622,PROVEEDORES!$A:$B,2,0),"!COD NO ENCONTRADO"),"")</f>
        <v/>
      </c>
      <c r="F3622" s="76" t="str">
        <f aca="false">IF(D3622&lt;&gt;"",IFERROR(VLOOKUP(D3622,PROVEEDORES!$A:$C,3,0),""),"")</f>
        <v/>
      </c>
      <c r="G3622" s="75"/>
      <c r="H3622" s="52" t="str">
        <f aca="false">IF(G3622&lt;&gt;"",IFERROR(VLOOKUP(G3622,PRODUCTOS!$A:$B,2,0),"!COD NO ENCONTRADO"),"")</f>
        <v/>
      </c>
      <c r="I3622" s="77"/>
      <c r="J3622" s="78"/>
      <c r="K3622" s="79"/>
      <c r="L3622" s="80" t="str">
        <f aca="false">IF(AND(J3622&lt;&gt;"",K3622&lt;&gt;""),J3622*K3622,"")</f>
        <v/>
      </c>
      <c r="M3622" s="81" t="str">
        <f aca="false">IF(L3622&lt;&gt;"",L3622*1.1,"")</f>
        <v/>
      </c>
      <c r="N3622" s="53" t="n">
        <f aca="false">IF(F3622="S",L3622*0.02,0)</f>
        <v>0</v>
      </c>
      <c r="O3622" s="82" t="str">
        <f aca="false">IF(L3622&lt;&gt;"",L3622+N3622,"")</f>
        <v/>
      </c>
      <c r="P3622" s="53" t="str">
        <f aca="false">IF(O3622&lt;&gt;"",O3622*0.1,"")</f>
        <v/>
      </c>
      <c r="Q3622" s="83" t="str">
        <f aca="false">IF(O3622&lt;&gt;"",O3622+P3622,"")</f>
        <v/>
      </c>
      <c r="R3622" s="84"/>
    </row>
    <row r="3623" customFormat="false" ht="15" hidden="false" customHeight="true" outlineLevel="0" collapsed="false">
      <c r="A3623" s="103"/>
      <c r="B3623" s="85"/>
      <c r="C3623" s="86"/>
      <c r="D3623" s="87"/>
      <c r="E3623" s="46" t="str">
        <f aca="false">IF(D3623&lt;&gt;"",IFERROR(VLOOKUP(D3623,PROVEEDORES!$A:$B,2,0),"!COD NO ENCONTRADO"),"")</f>
        <v/>
      </c>
      <c r="F3623" s="88" t="str">
        <f aca="false">IF(D3623&lt;&gt;"",IFERROR(VLOOKUP(D3623,PROVEEDORES!$A:$C,3,0),""),"")</f>
        <v/>
      </c>
      <c r="G3623" s="87"/>
      <c r="H3623" s="46" t="str">
        <f aca="false">IF(G3623&lt;&gt;"",IFERROR(VLOOKUP(G3623,PRODUCTOS!$A:$B,2,0),"!COD NO ENCONTRADO"),"")</f>
        <v/>
      </c>
      <c r="I3623" s="89"/>
      <c r="J3623" s="90"/>
      <c r="K3623" s="91"/>
      <c r="L3623" s="80" t="str">
        <f aca="false">IF(AND(J3623&lt;&gt;"",K3623&lt;&gt;""),J3623*K3623,"")</f>
        <v/>
      </c>
      <c r="M3623" s="81" t="str">
        <f aca="false">IF(L3623&lt;&gt;"",L3623*1.1,"")</f>
        <v/>
      </c>
      <c r="N3623" s="47" t="n">
        <f aca="false">IF(F3623="S",L3623*0.02,0)</f>
        <v>0</v>
      </c>
      <c r="O3623" s="82" t="str">
        <f aca="false">IF(L3623&lt;&gt;"",L3623+N3623,"")</f>
        <v/>
      </c>
      <c r="P3623" s="47" t="str">
        <f aca="false">IF(O3623&lt;&gt;"",O3623*0.1,"")</f>
        <v/>
      </c>
      <c r="Q3623" s="83" t="str">
        <f aca="false">IF(O3623&lt;&gt;"",O3623+P3623,"")</f>
        <v/>
      </c>
      <c r="R3623" s="84"/>
    </row>
    <row r="3624" customFormat="false" ht="15" hidden="false" customHeight="true" outlineLevel="0" collapsed="false">
      <c r="A3624" s="103"/>
      <c r="B3624" s="73"/>
      <c r="C3624" s="74"/>
      <c r="D3624" s="75"/>
      <c r="E3624" s="52" t="str">
        <f aca="false">IF(D3624&lt;&gt;"",IFERROR(VLOOKUP(D3624,PROVEEDORES!$A:$B,2,0),"!COD NO ENCONTRADO"),"")</f>
        <v/>
      </c>
      <c r="F3624" s="76" t="str">
        <f aca="false">IF(D3624&lt;&gt;"",IFERROR(VLOOKUP(D3624,PROVEEDORES!$A:$C,3,0),""),"")</f>
        <v/>
      </c>
      <c r="G3624" s="75"/>
      <c r="H3624" s="52" t="str">
        <f aca="false">IF(G3624&lt;&gt;"",IFERROR(VLOOKUP(G3624,PRODUCTOS!$A:$B,2,0),"!COD NO ENCONTRADO"),"")</f>
        <v/>
      </c>
      <c r="I3624" s="77"/>
      <c r="J3624" s="78"/>
      <c r="K3624" s="79"/>
      <c r="L3624" s="80" t="str">
        <f aca="false">IF(AND(J3624&lt;&gt;"",K3624&lt;&gt;""),J3624*K3624,"")</f>
        <v/>
      </c>
      <c r="M3624" s="81" t="str">
        <f aca="false">IF(L3624&lt;&gt;"",L3624*1.1,"")</f>
        <v/>
      </c>
      <c r="N3624" s="53" t="n">
        <f aca="false">IF(F3624="S",L3624*0.02,0)</f>
        <v>0</v>
      </c>
      <c r="O3624" s="82" t="str">
        <f aca="false">IF(L3624&lt;&gt;"",L3624+N3624,"")</f>
        <v/>
      </c>
      <c r="P3624" s="53" t="str">
        <f aca="false">IF(O3624&lt;&gt;"",O3624*0.1,"")</f>
        <v/>
      </c>
      <c r="Q3624" s="83" t="str">
        <f aca="false">IF(O3624&lt;&gt;"",O3624+P3624,"")</f>
        <v/>
      </c>
      <c r="R3624" s="84"/>
    </row>
    <row r="3625" customFormat="false" ht="15" hidden="false" customHeight="true" outlineLevel="0" collapsed="false">
      <c r="A3625" s="103"/>
      <c r="B3625" s="85"/>
      <c r="C3625" s="86"/>
      <c r="D3625" s="87"/>
      <c r="E3625" s="46" t="str">
        <f aca="false">IF(D3625&lt;&gt;"",IFERROR(VLOOKUP(D3625,PROVEEDORES!$A:$B,2,0),"!COD NO ENCONTRADO"),"")</f>
        <v/>
      </c>
      <c r="F3625" s="88" t="str">
        <f aca="false">IF(D3625&lt;&gt;"",IFERROR(VLOOKUP(D3625,PROVEEDORES!$A:$C,3,0),""),"")</f>
        <v/>
      </c>
      <c r="G3625" s="87"/>
      <c r="H3625" s="46" t="str">
        <f aca="false">IF(G3625&lt;&gt;"",IFERROR(VLOOKUP(G3625,PRODUCTOS!$A:$B,2,0),"!COD NO ENCONTRADO"),"")</f>
        <v/>
      </c>
      <c r="I3625" s="89"/>
      <c r="J3625" s="90"/>
      <c r="K3625" s="91"/>
      <c r="L3625" s="80" t="str">
        <f aca="false">IF(AND(J3625&lt;&gt;"",K3625&lt;&gt;""),J3625*K3625,"")</f>
        <v/>
      </c>
      <c r="M3625" s="81" t="str">
        <f aca="false">IF(L3625&lt;&gt;"",L3625*1.1,"")</f>
        <v/>
      </c>
      <c r="N3625" s="47" t="n">
        <f aca="false">IF(F3625="S",L3625*0.02,0)</f>
        <v>0</v>
      </c>
      <c r="O3625" s="82" t="str">
        <f aca="false">IF(L3625&lt;&gt;"",L3625+N3625,"")</f>
        <v/>
      </c>
      <c r="P3625" s="47" t="str">
        <f aca="false">IF(O3625&lt;&gt;"",O3625*0.1,"")</f>
        <v/>
      </c>
      <c r="Q3625" s="83" t="str">
        <f aca="false">IF(O3625&lt;&gt;"",O3625+P3625,"")</f>
        <v/>
      </c>
      <c r="R3625" s="84"/>
    </row>
    <row r="3626" customFormat="false" ht="15" hidden="false" customHeight="true" outlineLevel="0" collapsed="false">
      <c r="A3626" s="103"/>
      <c r="B3626" s="73"/>
      <c r="C3626" s="74"/>
      <c r="D3626" s="75"/>
      <c r="E3626" s="52" t="str">
        <f aca="false">IF(D3626&lt;&gt;"",IFERROR(VLOOKUP(D3626,PROVEEDORES!$A:$B,2,0),"!COD NO ENCONTRADO"),"")</f>
        <v/>
      </c>
      <c r="F3626" s="76" t="str">
        <f aca="false">IF(D3626&lt;&gt;"",IFERROR(VLOOKUP(D3626,PROVEEDORES!$A:$C,3,0),""),"")</f>
        <v/>
      </c>
      <c r="G3626" s="75"/>
      <c r="H3626" s="52" t="str">
        <f aca="false">IF(G3626&lt;&gt;"",IFERROR(VLOOKUP(G3626,PRODUCTOS!$A:$B,2,0),"!COD NO ENCONTRADO"),"")</f>
        <v/>
      </c>
      <c r="I3626" s="77"/>
      <c r="J3626" s="78"/>
      <c r="K3626" s="79"/>
      <c r="L3626" s="80" t="str">
        <f aca="false">IF(AND(J3626&lt;&gt;"",K3626&lt;&gt;""),J3626*K3626,"")</f>
        <v/>
      </c>
      <c r="M3626" s="81" t="str">
        <f aca="false">IF(L3626&lt;&gt;"",L3626*1.1,"")</f>
        <v/>
      </c>
      <c r="N3626" s="53" t="n">
        <f aca="false">IF(F3626="S",L3626*0.02,0)</f>
        <v>0</v>
      </c>
      <c r="O3626" s="82" t="str">
        <f aca="false">IF(L3626&lt;&gt;"",L3626+N3626,"")</f>
        <v/>
      </c>
      <c r="P3626" s="53" t="str">
        <f aca="false">IF(O3626&lt;&gt;"",O3626*0.1,"")</f>
        <v/>
      </c>
      <c r="Q3626" s="83" t="str">
        <f aca="false">IF(O3626&lt;&gt;"",O3626+P3626,"")</f>
        <v/>
      </c>
      <c r="R3626" s="84"/>
    </row>
    <row r="3627" customFormat="false" ht="15" hidden="false" customHeight="true" outlineLevel="0" collapsed="false">
      <c r="A3627" s="103"/>
      <c r="B3627" s="85"/>
      <c r="C3627" s="86"/>
      <c r="D3627" s="87"/>
      <c r="E3627" s="46" t="str">
        <f aca="false">IF(D3627&lt;&gt;"",IFERROR(VLOOKUP(D3627,PROVEEDORES!$A:$B,2,0),"!COD NO ENCONTRADO"),"")</f>
        <v/>
      </c>
      <c r="F3627" s="88" t="str">
        <f aca="false">IF(D3627&lt;&gt;"",IFERROR(VLOOKUP(D3627,PROVEEDORES!$A:$C,3,0),""),"")</f>
        <v/>
      </c>
      <c r="G3627" s="87"/>
      <c r="H3627" s="46" t="str">
        <f aca="false">IF(G3627&lt;&gt;"",IFERROR(VLOOKUP(G3627,PRODUCTOS!$A:$B,2,0),"!COD NO ENCONTRADO"),"")</f>
        <v/>
      </c>
      <c r="I3627" s="89"/>
      <c r="J3627" s="90"/>
      <c r="K3627" s="91"/>
      <c r="L3627" s="80" t="str">
        <f aca="false">IF(AND(J3627&lt;&gt;"",K3627&lt;&gt;""),J3627*K3627,"")</f>
        <v/>
      </c>
      <c r="M3627" s="81" t="str">
        <f aca="false">IF(L3627&lt;&gt;"",L3627*1.1,"")</f>
        <v/>
      </c>
      <c r="N3627" s="47" t="n">
        <f aca="false">IF(F3627="S",L3627*0.02,0)</f>
        <v>0</v>
      </c>
      <c r="O3627" s="82" t="str">
        <f aca="false">IF(L3627&lt;&gt;"",L3627+N3627,"")</f>
        <v/>
      </c>
      <c r="P3627" s="47" t="str">
        <f aca="false">IF(O3627&lt;&gt;"",O3627*0.1,"")</f>
        <v/>
      </c>
      <c r="Q3627" s="83" t="str">
        <f aca="false">IF(O3627&lt;&gt;"",O3627+P3627,"")</f>
        <v/>
      </c>
      <c r="R3627" s="84"/>
    </row>
    <row r="3628" customFormat="false" ht="15" hidden="false" customHeight="true" outlineLevel="0" collapsed="false">
      <c r="A3628" s="103"/>
      <c r="B3628" s="73"/>
      <c r="C3628" s="74"/>
      <c r="D3628" s="75"/>
      <c r="E3628" s="52" t="str">
        <f aca="false">IF(D3628&lt;&gt;"",IFERROR(VLOOKUP(D3628,PROVEEDORES!$A:$B,2,0),"!COD NO ENCONTRADO"),"")</f>
        <v/>
      </c>
      <c r="F3628" s="76" t="str">
        <f aca="false">IF(D3628&lt;&gt;"",IFERROR(VLOOKUP(D3628,PROVEEDORES!$A:$C,3,0),""),"")</f>
        <v/>
      </c>
      <c r="G3628" s="75"/>
      <c r="H3628" s="52" t="str">
        <f aca="false">IF(G3628&lt;&gt;"",IFERROR(VLOOKUP(G3628,PRODUCTOS!$A:$B,2,0),"!COD NO ENCONTRADO"),"")</f>
        <v/>
      </c>
      <c r="I3628" s="77"/>
      <c r="J3628" s="78"/>
      <c r="K3628" s="79"/>
      <c r="L3628" s="80" t="str">
        <f aca="false">IF(AND(J3628&lt;&gt;"",K3628&lt;&gt;""),J3628*K3628,"")</f>
        <v/>
      </c>
      <c r="M3628" s="81" t="str">
        <f aca="false">IF(L3628&lt;&gt;"",L3628*1.1,"")</f>
        <v/>
      </c>
      <c r="N3628" s="53" t="n">
        <f aca="false">IF(F3628="S",L3628*0.02,0)</f>
        <v>0</v>
      </c>
      <c r="O3628" s="82" t="str">
        <f aca="false">IF(L3628&lt;&gt;"",L3628+N3628,"")</f>
        <v/>
      </c>
      <c r="P3628" s="53" t="str">
        <f aca="false">IF(O3628&lt;&gt;"",O3628*0.1,"")</f>
        <v/>
      </c>
      <c r="Q3628" s="83" t="str">
        <f aca="false">IF(O3628&lt;&gt;"",O3628+P3628,"")</f>
        <v/>
      </c>
      <c r="R3628" s="84"/>
    </row>
    <row r="3629" customFormat="false" ht="15" hidden="false" customHeight="true" outlineLevel="0" collapsed="false">
      <c r="A3629" s="103"/>
      <c r="B3629" s="85"/>
      <c r="C3629" s="86"/>
      <c r="D3629" s="87"/>
      <c r="E3629" s="46" t="str">
        <f aca="false">IF(D3629&lt;&gt;"",IFERROR(VLOOKUP(D3629,PROVEEDORES!$A:$B,2,0),"!COD NO ENCONTRADO"),"")</f>
        <v/>
      </c>
      <c r="F3629" s="88" t="str">
        <f aca="false">IF(D3629&lt;&gt;"",IFERROR(VLOOKUP(D3629,PROVEEDORES!$A:$C,3,0),""),"")</f>
        <v/>
      </c>
      <c r="G3629" s="87"/>
      <c r="H3629" s="46" t="str">
        <f aca="false">IF(G3629&lt;&gt;"",IFERROR(VLOOKUP(G3629,PRODUCTOS!$A:$B,2,0),"!COD NO ENCONTRADO"),"")</f>
        <v/>
      </c>
      <c r="I3629" s="89"/>
      <c r="J3629" s="90"/>
      <c r="K3629" s="91"/>
      <c r="L3629" s="80" t="str">
        <f aca="false">IF(AND(J3629&lt;&gt;"",K3629&lt;&gt;""),J3629*K3629,"")</f>
        <v/>
      </c>
      <c r="M3629" s="81" t="str">
        <f aca="false">IF(L3629&lt;&gt;"",L3629*1.1,"")</f>
        <v/>
      </c>
      <c r="N3629" s="47" t="n">
        <f aca="false">IF(F3629="S",L3629*0.02,0)</f>
        <v>0</v>
      </c>
      <c r="O3629" s="82" t="str">
        <f aca="false">IF(L3629&lt;&gt;"",L3629+N3629,"")</f>
        <v/>
      </c>
      <c r="P3629" s="47" t="str">
        <f aca="false">IF(O3629&lt;&gt;"",O3629*0.1,"")</f>
        <v/>
      </c>
      <c r="Q3629" s="83" t="str">
        <f aca="false">IF(O3629&lt;&gt;"",O3629+P3629,"")</f>
        <v/>
      </c>
      <c r="R3629" s="84"/>
    </row>
    <row r="3630" customFormat="false" ht="15" hidden="false" customHeight="true" outlineLevel="0" collapsed="false">
      <c r="A3630" s="103"/>
      <c r="B3630" s="73"/>
      <c r="C3630" s="74"/>
      <c r="D3630" s="75"/>
      <c r="E3630" s="52" t="str">
        <f aca="false">IF(D3630&lt;&gt;"",IFERROR(VLOOKUP(D3630,PROVEEDORES!$A:$B,2,0),"!COD NO ENCONTRADO"),"")</f>
        <v/>
      </c>
      <c r="F3630" s="76" t="str">
        <f aca="false">IF(D3630&lt;&gt;"",IFERROR(VLOOKUP(D3630,PROVEEDORES!$A:$C,3,0),""),"")</f>
        <v/>
      </c>
      <c r="G3630" s="75"/>
      <c r="H3630" s="52" t="str">
        <f aca="false">IF(G3630&lt;&gt;"",IFERROR(VLOOKUP(G3630,PRODUCTOS!$A:$B,2,0),"!COD NO ENCONTRADO"),"")</f>
        <v/>
      </c>
      <c r="I3630" s="77"/>
      <c r="J3630" s="78"/>
      <c r="K3630" s="79"/>
      <c r="L3630" s="80" t="str">
        <f aca="false">IF(AND(J3630&lt;&gt;"",K3630&lt;&gt;""),J3630*K3630,"")</f>
        <v/>
      </c>
      <c r="M3630" s="81" t="str">
        <f aca="false">IF(L3630&lt;&gt;"",L3630*1.1,"")</f>
        <v/>
      </c>
      <c r="N3630" s="53" t="n">
        <f aca="false">IF(F3630="S",L3630*0.02,0)</f>
        <v>0</v>
      </c>
      <c r="O3630" s="82" t="str">
        <f aca="false">IF(L3630&lt;&gt;"",L3630+N3630,"")</f>
        <v/>
      </c>
      <c r="P3630" s="53" t="str">
        <f aca="false">IF(O3630&lt;&gt;"",O3630*0.1,"")</f>
        <v/>
      </c>
      <c r="Q3630" s="83" t="str">
        <f aca="false">IF(O3630&lt;&gt;"",O3630+P3630,"")</f>
        <v/>
      </c>
      <c r="R3630" s="84"/>
    </row>
    <row r="3631" customFormat="false" ht="15" hidden="false" customHeight="true" outlineLevel="0" collapsed="false">
      <c r="A3631" s="103"/>
      <c r="B3631" s="85"/>
      <c r="C3631" s="86"/>
      <c r="D3631" s="87"/>
      <c r="E3631" s="46" t="str">
        <f aca="false">IF(D3631&lt;&gt;"",IFERROR(VLOOKUP(D3631,PROVEEDORES!$A:$B,2,0),"!COD NO ENCONTRADO"),"")</f>
        <v/>
      </c>
      <c r="F3631" s="88" t="str">
        <f aca="false">IF(D3631&lt;&gt;"",IFERROR(VLOOKUP(D3631,PROVEEDORES!$A:$C,3,0),""),"")</f>
        <v/>
      </c>
      <c r="G3631" s="87"/>
      <c r="H3631" s="46" t="str">
        <f aca="false">IF(G3631&lt;&gt;"",IFERROR(VLOOKUP(G3631,PRODUCTOS!$A:$B,2,0),"!COD NO ENCONTRADO"),"")</f>
        <v/>
      </c>
      <c r="I3631" s="89"/>
      <c r="J3631" s="90"/>
      <c r="K3631" s="91"/>
      <c r="L3631" s="80" t="str">
        <f aca="false">IF(AND(J3631&lt;&gt;"",K3631&lt;&gt;""),J3631*K3631,"")</f>
        <v/>
      </c>
      <c r="M3631" s="81" t="str">
        <f aca="false">IF(L3631&lt;&gt;"",L3631*1.1,"")</f>
        <v/>
      </c>
      <c r="N3631" s="47" t="n">
        <f aca="false">IF(F3631="S",L3631*0.02,0)</f>
        <v>0</v>
      </c>
      <c r="O3631" s="82" t="str">
        <f aca="false">IF(L3631&lt;&gt;"",L3631+N3631,"")</f>
        <v/>
      </c>
      <c r="P3631" s="47" t="str">
        <f aca="false">IF(O3631&lt;&gt;"",O3631*0.1,"")</f>
        <v/>
      </c>
      <c r="Q3631" s="83" t="str">
        <f aca="false">IF(O3631&lt;&gt;"",O3631+P3631,"")</f>
        <v/>
      </c>
      <c r="R3631" s="84"/>
    </row>
    <row r="3632" customFormat="false" ht="15" hidden="false" customHeight="true" outlineLevel="0" collapsed="false">
      <c r="A3632" s="103"/>
      <c r="B3632" s="73"/>
      <c r="C3632" s="74"/>
      <c r="D3632" s="75"/>
      <c r="E3632" s="52" t="str">
        <f aca="false">IF(D3632&lt;&gt;"",IFERROR(VLOOKUP(D3632,PROVEEDORES!$A:$B,2,0),"!COD NO ENCONTRADO"),"")</f>
        <v/>
      </c>
      <c r="F3632" s="76" t="str">
        <f aca="false">IF(D3632&lt;&gt;"",IFERROR(VLOOKUP(D3632,PROVEEDORES!$A:$C,3,0),""),"")</f>
        <v/>
      </c>
      <c r="G3632" s="75"/>
      <c r="H3632" s="52" t="str">
        <f aca="false">IF(G3632&lt;&gt;"",IFERROR(VLOOKUP(G3632,PRODUCTOS!$A:$B,2,0),"!COD NO ENCONTRADO"),"")</f>
        <v/>
      </c>
      <c r="I3632" s="77"/>
      <c r="J3632" s="78"/>
      <c r="K3632" s="79"/>
      <c r="L3632" s="80" t="str">
        <f aca="false">IF(AND(J3632&lt;&gt;"",K3632&lt;&gt;""),J3632*K3632,"")</f>
        <v/>
      </c>
      <c r="M3632" s="81" t="str">
        <f aca="false">IF(L3632&lt;&gt;"",L3632*1.1,"")</f>
        <v/>
      </c>
      <c r="N3632" s="53" t="n">
        <f aca="false">IF(F3632="S",L3632*0.02,0)</f>
        <v>0</v>
      </c>
      <c r="O3632" s="82" t="str">
        <f aca="false">IF(L3632&lt;&gt;"",L3632+N3632,"")</f>
        <v/>
      </c>
      <c r="P3632" s="53" t="str">
        <f aca="false">IF(O3632&lt;&gt;"",O3632*0.1,"")</f>
        <v/>
      </c>
      <c r="Q3632" s="83" t="str">
        <f aca="false">IF(O3632&lt;&gt;"",O3632+P3632,"")</f>
        <v/>
      </c>
      <c r="R3632" s="84"/>
    </row>
    <row r="3633" customFormat="false" ht="15" hidden="false" customHeight="true" outlineLevel="0" collapsed="false">
      <c r="A3633" s="103"/>
      <c r="B3633" s="85"/>
      <c r="C3633" s="86"/>
      <c r="D3633" s="87"/>
      <c r="E3633" s="46" t="str">
        <f aca="false">IF(D3633&lt;&gt;"",IFERROR(VLOOKUP(D3633,PROVEEDORES!$A:$B,2,0),"!COD NO ENCONTRADO"),"")</f>
        <v/>
      </c>
      <c r="F3633" s="88" t="str">
        <f aca="false">IF(D3633&lt;&gt;"",IFERROR(VLOOKUP(D3633,PROVEEDORES!$A:$C,3,0),""),"")</f>
        <v/>
      </c>
      <c r="G3633" s="87"/>
      <c r="H3633" s="46" t="str">
        <f aca="false">IF(G3633&lt;&gt;"",IFERROR(VLOOKUP(G3633,PRODUCTOS!$A:$B,2,0),"!COD NO ENCONTRADO"),"")</f>
        <v/>
      </c>
      <c r="I3633" s="89"/>
      <c r="J3633" s="90"/>
      <c r="K3633" s="91"/>
      <c r="L3633" s="80" t="str">
        <f aca="false">IF(AND(J3633&lt;&gt;"",K3633&lt;&gt;""),J3633*K3633,"")</f>
        <v/>
      </c>
      <c r="M3633" s="81" t="str">
        <f aca="false">IF(L3633&lt;&gt;"",L3633*1.1,"")</f>
        <v/>
      </c>
      <c r="N3633" s="47" t="n">
        <f aca="false">IF(F3633="S",L3633*0.02,0)</f>
        <v>0</v>
      </c>
      <c r="O3633" s="82" t="str">
        <f aca="false">IF(L3633&lt;&gt;"",L3633+N3633,"")</f>
        <v/>
      </c>
      <c r="P3633" s="47" t="str">
        <f aca="false">IF(O3633&lt;&gt;"",O3633*0.1,"")</f>
        <v/>
      </c>
      <c r="Q3633" s="83" t="str">
        <f aca="false">IF(O3633&lt;&gt;"",O3633+P3633,"")</f>
        <v/>
      </c>
      <c r="R3633" s="84"/>
    </row>
    <row r="3634" customFormat="false" ht="15" hidden="false" customHeight="true" outlineLevel="0" collapsed="false">
      <c r="A3634" s="103"/>
      <c r="B3634" s="73"/>
      <c r="C3634" s="74"/>
      <c r="D3634" s="75"/>
      <c r="E3634" s="52" t="str">
        <f aca="false">IF(D3634&lt;&gt;"",IFERROR(VLOOKUP(D3634,PROVEEDORES!$A:$B,2,0),"!COD NO ENCONTRADO"),"")</f>
        <v/>
      </c>
      <c r="F3634" s="76" t="str">
        <f aca="false">IF(D3634&lt;&gt;"",IFERROR(VLOOKUP(D3634,PROVEEDORES!$A:$C,3,0),""),"")</f>
        <v/>
      </c>
      <c r="G3634" s="75"/>
      <c r="H3634" s="52" t="str">
        <f aca="false">IF(G3634&lt;&gt;"",IFERROR(VLOOKUP(G3634,PRODUCTOS!$A:$B,2,0),"!COD NO ENCONTRADO"),"")</f>
        <v/>
      </c>
      <c r="I3634" s="77"/>
      <c r="J3634" s="78"/>
      <c r="K3634" s="79"/>
      <c r="L3634" s="80" t="str">
        <f aca="false">IF(AND(J3634&lt;&gt;"",K3634&lt;&gt;""),J3634*K3634,"")</f>
        <v/>
      </c>
      <c r="M3634" s="81" t="str">
        <f aca="false">IF(L3634&lt;&gt;"",L3634*1.1,"")</f>
        <v/>
      </c>
      <c r="N3634" s="53" t="n">
        <f aca="false">IF(F3634="S",L3634*0.02,0)</f>
        <v>0</v>
      </c>
      <c r="O3634" s="82" t="str">
        <f aca="false">IF(L3634&lt;&gt;"",L3634+N3634,"")</f>
        <v/>
      </c>
      <c r="P3634" s="53" t="str">
        <f aca="false">IF(O3634&lt;&gt;"",O3634*0.1,"")</f>
        <v/>
      </c>
      <c r="Q3634" s="83" t="str">
        <f aca="false">IF(O3634&lt;&gt;"",O3634+P3634,"")</f>
        <v/>
      </c>
      <c r="R3634" s="84"/>
    </row>
    <row r="3635" customFormat="false" ht="15" hidden="false" customHeight="true" outlineLevel="0" collapsed="false">
      <c r="A3635" s="103"/>
      <c r="B3635" s="85"/>
      <c r="C3635" s="86"/>
      <c r="D3635" s="87"/>
      <c r="E3635" s="46" t="str">
        <f aca="false">IF(D3635&lt;&gt;"",IFERROR(VLOOKUP(D3635,PROVEEDORES!$A:$B,2,0),"!COD NO ENCONTRADO"),"")</f>
        <v/>
      </c>
      <c r="F3635" s="88" t="str">
        <f aca="false">IF(D3635&lt;&gt;"",IFERROR(VLOOKUP(D3635,PROVEEDORES!$A:$C,3,0),""),"")</f>
        <v/>
      </c>
      <c r="G3635" s="87"/>
      <c r="H3635" s="46" t="str">
        <f aca="false">IF(G3635&lt;&gt;"",IFERROR(VLOOKUP(G3635,PRODUCTOS!$A:$B,2,0),"!COD NO ENCONTRADO"),"")</f>
        <v/>
      </c>
      <c r="I3635" s="89"/>
      <c r="J3635" s="90"/>
      <c r="K3635" s="91"/>
      <c r="L3635" s="80" t="str">
        <f aca="false">IF(AND(J3635&lt;&gt;"",K3635&lt;&gt;""),J3635*K3635,"")</f>
        <v/>
      </c>
      <c r="M3635" s="81" t="str">
        <f aca="false">IF(L3635&lt;&gt;"",L3635*1.1,"")</f>
        <v/>
      </c>
      <c r="N3635" s="47" t="n">
        <f aca="false">IF(F3635="S",L3635*0.02,0)</f>
        <v>0</v>
      </c>
      <c r="O3635" s="82" t="str">
        <f aca="false">IF(L3635&lt;&gt;"",L3635+N3635,"")</f>
        <v/>
      </c>
      <c r="P3635" s="47" t="str">
        <f aca="false">IF(O3635&lt;&gt;"",O3635*0.1,"")</f>
        <v/>
      </c>
      <c r="Q3635" s="83" t="str">
        <f aca="false">IF(O3635&lt;&gt;"",O3635+P3635,"")</f>
        <v/>
      </c>
      <c r="R3635" s="84"/>
    </row>
    <row r="3636" customFormat="false" ht="15" hidden="false" customHeight="true" outlineLevel="0" collapsed="false">
      <c r="A3636" s="103"/>
      <c r="B3636" s="73"/>
      <c r="C3636" s="74"/>
      <c r="D3636" s="75"/>
      <c r="E3636" s="52" t="str">
        <f aca="false">IF(D3636&lt;&gt;"",IFERROR(VLOOKUP(D3636,PROVEEDORES!$A:$B,2,0),"!COD NO ENCONTRADO"),"")</f>
        <v/>
      </c>
      <c r="F3636" s="76" t="str">
        <f aca="false">IF(D3636&lt;&gt;"",IFERROR(VLOOKUP(D3636,PROVEEDORES!$A:$C,3,0),""),"")</f>
        <v/>
      </c>
      <c r="G3636" s="75"/>
      <c r="H3636" s="52" t="str">
        <f aca="false">IF(G3636&lt;&gt;"",IFERROR(VLOOKUP(G3636,PRODUCTOS!$A:$B,2,0),"!COD NO ENCONTRADO"),"")</f>
        <v/>
      </c>
      <c r="I3636" s="77"/>
      <c r="J3636" s="78"/>
      <c r="K3636" s="79"/>
      <c r="L3636" s="80" t="str">
        <f aca="false">IF(AND(J3636&lt;&gt;"",K3636&lt;&gt;""),J3636*K3636,"")</f>
        <v/>
      </c>
      <c r="M3636" s="81" t="str">
        <f aca="false">IF(L3636&lt;&gt;"",L3636*1.1,"")</f>
        <v/>
      </c>
      <c r="N3636" s="53" t="n">
        <f aca="false">IF(F3636="S",L3636*0.02,0)</f>
        <v>0</v>
      </c>
      <c r="O3636" s="82" t="str">
        <f aca="false">IF(L3636&lt;&gt;"",L3636+N3636,"")</f>
        <v/>
      </c>
      <c r="P3636" s="53" t="str">
        <f aca="false">IF(O3636&lt;&gt;"",O3636*0.1,"")</f>
        <v/>
      </c>
      <c r="Q3636" s="83" t="str">
        <f aca="false">IF(O3636&lt;&gt;"",O3636+P3636,"")</f>
        <v/>
      </c>
      <c r="R3636" s="84"/>
    </row>
    <row r="3637" customFormat="false" ht="15" hidden="false" customHeight="true" outlineLevel="0" collapsed="false">
      <c r="A3637" s="103"/>
      <c r="B3637" s="85"/>
      <c r="C3637" s="86"/>
      <c r="D3637" s="87"/>
      <c r="E3637" s="46" t="str">
        <f aca="false">IF(D3637&lt;&gt;"",IFERROR(VLOOKUP(D3637,PROVEEDORES!$A:$B,2,0),"!COD NO ENCONTRADO"),"")</f>
        <v/>
      </c>
      <c r="F3637" s="88" t="str">
        <f aca="false">IF(D3637&lt;&gt;"",IFERROR(VLOOKUP(D3637,PROVEEDORES!$A:$C,3,0),""),"")</f>
        <v/>
      </c>
      <c r="G3637" s="87"/>
      <c r="H3637" s="46" t="str">
        <f aca="false">IF(G3637&lt;&gt;"",IFERROR(VLOOKUP(G3637,PRODUCTOS!$A:$B,2,0),"!COD NO ENCONTRADO"),"")</f>
        <v/>
      </c>
      <c r="I3637" s="89"/>
      <c r="J3637" s="90"/>
      <c r="K3637" s="91"/>
      <c r="L3637" s="80" t="str">
        <f aca="false">IF(AND(J3637&lt;&gt;"",K3637&lt;&gt;""),J3637*K3637,"")</f>
        <v/>
      </c>
      <c r="M3637" s="81" t="str">
        <f aca="false">IF(L3637&lt;&gt;"",L3637*1.1,"")</f>
        <v/>
      </c>
      <c r="N3637" s="47" t="n">
        <f aca="false">IF(F3637="S",L3637*0.02,0)</f>
        <v>0</v>
      </c>
      <c r="O3637" s="82" t="str">
        <f aca="false">IF(L3637&lt;&gt;"",L3637+N3637,"")</f>
        <v/>
      </c>
      <c r="P3637" s="47" t="str">
        <f aca="false">IF(O3637&lt;&gt;"",O3637*0.1,"")</f>
        <v/>
      </c>
      <c r="Q3637" s="83" t="str">
        <f aca="false">IF(O3637&lt;&gt;"",O3637+P3637,"")</f>
        <v/>
      </c>
      <c r="R3637" s="84"/>
    </row>
    <row r="3638" customFormat="false" ht="15" hidden="false" customHeight="true" outlineLevel="0" collapsed="false">
      <c r="A3638" s="103"/>
      <c r="B3638" s="73"/>
      <c r="C3638" s="74"/>
      <c r="D3638" s="75"/>
      <c r="E3638" s="52" t="str">
        <f aca="false">IF(D3638&lt;&gt;"",IFERROR(VLOOKUP(D3638,PROVEEDORES!$A:$B,2,0),"!COD NO ENCONTRADO"),"")</f>
        <v/>
      </c>
      <c r="F3638" s="76" t="str">
        <f aca="false">IF(D3638&lt;&gt;"",IFERROR(VLOOKUP(D3638,PROVEEDORES!$A:$C,3,0),""),"")</f>
        <v/>
      </c>
      <c r="G3638" s="75"/>
      <c r="H3638" s="52" t="str">
        <f aca="false">IF(G3638&lt;&gt;"",IFERROR(VLOOKUP(G3638,PRODUCTOS!$A:$B,2,0),"!COD NO ENCONTRADO"),"")</f>
        <v/>
      </c>
      <c r="I3638" s="77"/>
      <c r="J3638" s="78"/>
      <c r="K3638" s="79"/>
      <c r="L3638" s="80" t="str">
        <f aca="false">IF(AND(J3638&lt;&gt;"",K3638&lt;&gt;""),J3638*K3638,"")</f>
        <v/>
      </c>
      <c r="M3638" s="81" t="str">
        <f aca="false">IF(L3638&lt;&gt;"",L3638*1.1,"")</f>
        <v/>
      </c>
      <c r="N3638" s="53" t="n">
        <f aca="false">IF(F3638="S",L3638*0.02,0)</f>
        <v>0</v>
      </c>
      <c r="O3638" s="82" t="str">
        <f aca="false">IF(L3638&lt;&gt;"",L3638+N3638,"")</f>
        <v/>
      </c>
      <c r="P3638" s="53" t="str">
        <f aca="false">IF(O3638&lt;&gt;"",O3638*0.1,"")</f>
        <v/>
      </c>
      <c r="Q3638" s="83" t="str">
        <f aca="false">IF(O3638&lt;&gt;"",O3638+P3638,"")</f>
        <v/>
      </c>
      <c r="R3638" s="84"/>
    </row>
    <row r="3639" customFormat="false" ht="15" hidden="false" customHeight="true" outlineLevel="0" collapsed="false">
      <c r="A3639" s="103"/>
      <c r="B3639" s="85"/>
      <c r="C3639" s="86"/>
      <c r="D3639" s="87"/>
      <c r="E3639" s="46" t="str">
        <f aca="false">IF(D3639&lt;&gt;"",IFERROR(VLOOKUP(D3639,PROVEEDORES!$A:$B,2,0),"!COD NO ENCONTRADO"),"")</f>
        <v/>
      </c>
      <c r="F3639" s="88" t="str">
        <f aca="false">IF(D3639&lt;&gt;"",IFERROR(VLOOKUP(D3639,PROVEEDORES!$A:$C,3,0),""),"")</f>
        <v/>
      </c>
      <c r="G3639" s="87"/>
      <c r="H3639" s="46" t="str">
        <f aca="false">IF(G3639&lt;&gt;"",IFERROR(VLOOKUP(G3639,PRODUCTOS!$A:$B,2,0),"!COD NO ENCONTRADO"),"")</f>
        <v/>
      </c>
      <c r="I3639" s="89"/>
      <c r="J3639" s="90"/>
      <c r="K3639" s="91"/>
      <c r="L3639" s="80" t="str">
        <f aca="false">IF(AND(J3639&lt;&gt;"",K3639&lt;&gt;""),J3639*K3639,"")</f>
        <v/>
      </c>
      <c r="M3639" s="81" t="str">
        <f aca="false">IF(L3639&lt;&gt;"",L3639*1.1,"")</f>
        <v/>
      </c>
      <c r="N3639" s="47" t="n">
        <f aca="false">IF(F3639="S",L3639*0.02,0)</f>
        <v>0</v>
      </c>
      <c r="O3639" s="82" t="str">
        <f aca="false">IF(L3639&lt;&gt;"",L3639+N3639,"")</f>
        <v/>
      </c>
      <c r="P3639" s="47" t="str">
        <f aca="false">IF(O3639&lt;&gt;"",O3639*0.1,"")</f>
        <v/>
      </c>
      <c r="Q3639" s="83" t="str">
        <f aca="false">IF(O3639&lt;&gt;"",O3639+P3639,"")</f>
        <v/>
      </c>
      <c r="R3639" s="84"/>
    </row>
    <row r="3640" customFormat="false" ht="15" hidden="false" customHeight="true" outlineLevel="0" collapsed="false">
      <c r="A3640" s="103"/>
      <c r="B3640" s="73"/>
      <c r="C3640" s="74"/>
      <c r="D3640" s="75"/>
      <c r="E3640" s="52" t="str">
        <f aca="false">IF(D3640&lt;&gt;"",IFERROR(VLOOKUP(D3640,PROVEEDORES!$A:$B,2,0),"!COD NO ENCONTRADO"),"")</f>
        <v/>
      </c>
      <c r="F3640" s="76" t="str">
        <f aca="false">IF(D3640&lt;&gt;"",IFERROR(VLOOKUP(D3640,PROVEEDORES!$A:$C,3,0),""),"")</f>
        <v/>
      </c>
      <c r="G3640" s="75"/>
      <c r="H3640" s="52" t="str">
        <f aca="false">IF(G3640&lt;&gt;"",IFERROR(VLOOKUP(G3640,PRODUCTOS!$A:$B,2,0),"!COD NO ENCONTRADO"),"")</f>
        <v/>
      </c>
      <c r="I3640" s="77"/>
      <c r="J3640" s="78"/>
      <c r="K3640" s="79"/>
      <c r="L3640" s="80" t="str">
        <f aca="false">IF(AND(J3640&lt;&gt;"",K3640&lt;&gt;""),J3640*K3640,"")</f>
        <v/>
      </c>
      <c r="M3640" s="81" t="str">
        <f aca="false">IF(L3640&lt;&gt;"",L3640*1.1,"")</f>
        <v/>
      </c>
      <c r="N3640" s="53" t="n">
        <f aca="false">IF(F3640="S",L3640*0.02,0)</f>
        <v>0</v>
      </c>
      <c r="O3640" s="82" t="str">
        <f aca="false">IF(L3640&lt;&gt;"",L3640+N3640,"")</f>
        <v/>
      </c>
      <c r="P3640" s="53" t="str">
        <f aca="false">IF(O3640&lt;&gt;"",O3640*0.1,"")</f>
        <v/>
      </c>
      <c r="Q3640" s="83" t="str">
        <f aca="false">IF(O3640&lt;&gt;"",O3640+P3640,"")</f>
        <v/>
      </c>
      <c r="R3640" s="84"/>
    </row>
    <row r="3641" customFormat="false" ht="15" hidden="false" customHeight="true" outlineLevel="0" collapsed="false">
      <c r="A3641" s="103"/>
      <c r="B3641" s="85"/>
      <c r="C3641" s="86"/>
      <c r="D3641" s="87"/>
      <c r="E3641" s="46" t="str">
        <f aca="false">IF(D3641&lt;&gt;"",IFERROR(VLOOKUP(D3641,PROVEEDORES!$A:$B,2,0),"!COD NO ENCONTRADO"),"")</f>
        <v/>
      </c>
      <c r="F3641" s="88" t="str">
        <f aca="false">IF(D3641&lt;&gt;"",IFERROR(VLOOKUP(D3641,PROVEEDORES!$A:$C,3,0),""),"")</f>
        <v/>
      </c>
      <c r="G3641" s="87"/>
      <c r="H3641" s="46" t="str">
        <f aca="false">IF(G3641&lt;&gt;"",IFERROR(VLOOKUP(G3641,PRODUCTOS!$A:$B,2,0),"!COD NO ENCONTRADO"),"")</f>
        <v/>
      </c>
      <c r="I3641" s="89"/>
      <c r="J3641" s="90"/>
      <c r="K3641" s="91"/>
      <c r="L3641" s="80" t="str">
        <f aca="false">IF(AND(J3641&lt;&gt;"",K3641&lt;&gt;""),J3641*K3641,"")</f>
        <v/>
      </c>
      <c r="M3641" s="81" t="str">
        <f aca="false">IF(L3641&lt;&gt;"",L3641*1.1,"")</f>
        <v/>
      </c>
      <c r="N3641" s="47" t="n">
        <f aca="false">IF(F3641="S",L3641*0.02,0)</f>
        <v>0</v>
      </c>
      <c r="O3641" s="82" t="str">
        <f aca="false">IF(L3641&lt;&gt;"",L3641+N3641,"")</f>
        <v/>
      </c>
      <c r="P3641" s="47" t="str">
        <f aca="false">IF(O3641&lt;&gt;"",O3641*0.1,"")</f>
        <v/>
      </c>
      <c r="Q3641" s="83" t="str">
        <f aca="false">IF(O3641&lt;&gt;"",O3641+P3641,"")</f>
        <v/>
      </c>
      <c r="R3641" s="84"/>
    </row>
    <row r="3642" customFormat="false" ht="15" hidden="false" customHeight="true" outlineLevel="0" collapsed="false">
      <c r="A3642" s="103"/>
      <c r="B3642" s="73"/>
      <c r="C3642" s="74"/>
      <c r="D3642" s="75"/>
      <c r="E3642" s="52" t="str">
        <f aca="false">IF(D3642&lt;&gt;"",IFERROR(VLOOKUP(D3642,PROVEEDORES!$A:$B,2,0),"!COD NO ENCONTRADO"),"")</f>
        <v/>
      </c>
      <c r="F3642" s="76" t="str">
        <f aca="false">IF(D3642&lt;&gt;"",IFERROR(VLOOKUP(D3642,PROVEEDORES!$A:$C,3,0),""),"")</f>
        <v/>
      </c>
      <c r="G3642" s="75"/>
      <c r="H3642" s="52" t="str">
        <f aca="false">IF(G3642&lt;&gt;"",IFERROR(VLOOKUP(G3642,PRODUCTOS!$A:$B,2,0),"!COD NO ENCONTRADO"),"")</f>
        <v/>
      </c>
      <c r="I3642" s="77"/>
      <c r="J3642" s="78"/>
      <c r="K3642" s="79"/>
      <c r="L3642" s="80" t="str">
        <f aca="false">IF(AND(J3642&lt;&gt;"",K3642&lt;&gt;""),J3642*K3642,"")</f>
        <v/>
      </c>
      <c r="M3642" s="81" t="str">
        <f aca="false">IF(L3642&lt;&gt;"",L3642*1.1,"")</f>
        <v/>
      </c>
      <c r="N3642" s="53" t="n">
        <f aca="false">IF(F3642="S",L3642*0.02,0)</f>
        <v>0</v>
      </c>
      <c r="O3642" s="82" t="str">
        <f aca="false">IF(L3642&lt;&gt;"",L3642+N3642,"")</f>
        <v/>
      </c>
      <c r="P3642" s="53" t="str">
        <f aca="false">IF(O3642&lt;&gt;"",O3642*0.1,"")</f>
        <v/>
      </c>
      <c r="Q3642" s="83" t="str">
        <f aca="false">IF(O3642&lt;&gt;"",O3642+P3642,"")</f>
        <v/>
      </c>
      <c r="R3642" s="84"/>
    </row>
    <row r="3643" customFormat="false" ht="15" hidden="false" customHeight="true" outlineLevel="0" collapsed="false">
      <c r="A3643" s="103"/>
      <c r="B3643" s="85"/>
      <c r="C3643" s="86"/>
      <c r="D3643" s="87"/>
      <c r="E3643" s="46" t="str">
        <f aca="false">IF(D3643&lt;&gt;"",IFERROR(VLOOKUP(D3643,PROVEEDORES!$A:$B,2,0),"!COD NO ENCONTRADO"),"")</f>
        <v/>
      </c>
      <c r="F3643" s="88" t="str">
        <f aca="false">IF(D3643&lt;&gt;"",IFERROR(VLOOKUP(D3643,PROVEEDORES!$A:$C,3,0),""),"")</f>
        <v/>
      </c>
      <c r="G3643" s="87"/>
      <c r="H3643" s="46" t="str">
        <f aca="false">IF(G3643&lt;&gt;"",IFERROR(VLOOKUP(G3643,PRODUCTOS!$A:$B,2,0),"!COD NO ENCONTRADO"),"")</f>
        <v/>
      </c>
      <c r="I3643" s="89"/>
      <c r="J3643" s="90"/>
      <c r="K3643" s="91"/>
      <c r="L3643" s="80" t="str">
        <f aca="false">IF(AND(J3643&lt;&gt;"",K3643&lt;&gt;""),J3643*K3643,"")</f>
        <v/>
      </c>
      <c r="M3643" s="81" t="str">
        <f aca="false">IF(L3643&lt;&gt;"",L3643*1.1,"")</f>
        <v/>
      </c>
      <c r="N3643" s="47" t="n">
        <f aca="false">IF(F3643="S",L3643*0.02,0)</f>
        <v>0</v>
      </c>
      <c r="O3643" s="82" t="str">
        <f aca="false">IF(L3643&lt;&gt;"",L3643+N3643,"")</f>
        <v/>
      </c>
      <c r="P3643" s="47" t="str">
        <f aca="false">IF(O3643&lt;&gt;"",O3643*0.1,"")</f>
        <v/>
      </c>
      <c r="Q3643" s="83" t="str">
        <f aca="false">IF(O3643&lt;&gt;"",O3643+P3643,"")</f>
        <v/>
      </c>
      <c r="R3643" s="84"/>
    </row>
    <row r="3644" customFormat="false" ht="15" hidden="false" customHeight="true" outlineLevel="0" collapsed="false">
      <c r="A3644" s="103"/>
      <c r="B3644" s="73"/>
      <c r="C3644" s="74"/>
      <c r="D3644" s="75"/>
      <c r="E3644" s="52" t="str">
        <f aca="false">IF(D3644&lt;&gt;"",IFERROR(VLOOKUP(D3644,PROVEEDORES!$A:$B,2,0),"!COD NO ENCONTRADO"),"")</f>
        <v/>
      </c>
      <c r="F3644" s="76" t="str">
        <f aca="false">IF(D3644&lt;&gt;"",IFERROR(VLOOKUP(D3644,PROVEEDORES!$A:$C,3,0),""),"")</f>
        <v/>
      </c>
      <c r="G3644" s="75"/>
      <c r="H3644" s="52" t="str">
        <f aca="false">IF(G3644&lt;&gt;"",IFERROR(VLOOKUP(G3644,PRODUCTOS!$A:$B,2,0),"!COD NO ENCONTRADO"),"")</f>
        <v/>
      </c>
      <c r="I3644" s="77"/>
      <c r="J3644" s="78"/>
      <c r="K3644" s="79"/>
      <c r="L3644" s="80" t="str">
        <f aca="false">IF(AND(J3644&lt;&gt;"",K3644&lt;&gt;""),J3644*K3644,"")</f>
        <v/>
      </c>
      <c r="M3644" s="81" t="str">
        <f aca="false">IF(L3644&lt;&gt;"",L3644*1.1,"")</f>
        <v/>
      </c>
      <c r="N3644" s="53" t="n">
        <f aca="false">IF(F3644="S",L3644*0.02,0)</f>
        <v>0</v>
      </c>
      <c r="O3644" s="82" t="str">
        <f aca="false">IF(L3644&lt;&gt;"",L3644+N3644,"")</f>
        <v/>
      </c>
      <c r="P3644" s="53" t="str">
        <f aca="false">IF(O3644&lt;&gt;"",O3644*0.1,"")</f>
        <v/>
      </c>
      <c r="Q3644" s="83" t="str">
        <f aca="false">IF(O3644&lt;&gt;"",O3644+P3644,"")</f>
        <v/>
      </c>
      <c r="R3644" s="84"/>
    </row>
    <row r="3645" customFormat="false" ht="15" hidden="false" customHeight="true" outlineLevel="0" collapsed="false">
      <c r="A3645" s="103"/>
      <c r="B3645" s="85"/>
      <c r="C3645" s="86"/>
      <c r="D3645" s="87"/>
      <c r="E3645" s="46" t="str">
        <f aca="false">IF(D3645&lt;&gt;"",IFERROR(VLOOKUP(D3645,PROVEEDORES!$A:$B,2,0),"!COD NO ENCONTRADO"),"")</f>
        <v/>
      </c>
      <c r="F3645" s="88" t="str">
        <f aca="false">IF(D3645&lt;&gt;"",IFERROR(VLOOKUP(D3645,PROVEEDORES!$A:$C,3,0),""),"")</f>
        <v/>
      </c>
      <c r="G3645" s="87"/>
      <c r="H3645" s="46" t="str">
        <f aca="false">IF(G3645&lt;&gt;"",IFERROR(VLOOKUP(G3645,PRODUCTOS!$A:$B,2,0),"!COD NO ENCONTRADO"),"")</f>
        <v/>
      </c>
      <c r="I3645" s="89"/>
      <c r="J3645" s="90"/>
      <c r="K3645" s="91"/>
      <c r="L3645" s="80" t="str">
        <f aca="false">IF(AND(J3645&lt;&gt;"",K3645&lt;&gt;""),J3645*K3645,"")</f>
        <v/>
      </c>
      <c r="M3645" s="81" t="str">
        <f aca="false">IF(L3645&lt;&gt;"",L3645*1.1,"")</f>
        <v/>
      </c>
      <c r="N3645" s="47" t="n">
        <f aca="false">IF(F3645="S",L3645*0.02,0)</f>
        <v>0</v>
      </c>
      <c r="O3645" s="82" t="str">
        <f aca="false">IF(L3645&lt;&gt;"",L3645+N3645,"")</f>
        <v/>
      </c>
      <c r="P3645" s="47" t="str">
        <f aca="false">IF(O3645&lt;&gt;"",O3645*0.1,"")</f>
        <v/>
      </c>
      <c r="Q3645" s="83" t="str">
        <f aca="false">IF(O3645&lt;&gt;"",O3645+P3645,"")</f>
        <v/>
      </c>
      <c r="R3645" s="84"/>
    </row>
    <row r="3646" customFormat="false" ht="15" hidden="false" customHeight="true" outlineLevel="0" collapsed="false">
      <c r="A3646" s="103"/>
      <c r="B3646" s="73"/>
      <c r="C3646" s="74"/>
      <c r="D3646" s="75"/>
      <c r="E3646" s="52" t="str">
        <f aca="false">IF(D3646&lt;&gt;"",IFERROR(VLOOKUP(D3646,PROVEEDORES!$A:$B,2,0),"!COD NO ENCONTRADO"),"")</f>
        <v/>
      </c>
      <c r="F3646" s="76" t="str">
        <f aca="false">IF(D3646&lt;&gt;"",IFERROR(VLOOKUP(D3646,PROVEEDORES!$A:$C,3,0),""),"")</f>
        <v/>
      </c>
      <c r="G3646" s="75"/>
      <c r="H3646" s="52" t="str">
        <f aca="false">IF(G3646&lt;&gt;"",IFERROR(VLOOKUP(G3646,PRODUCTOS!$A:$B,2,0),"!COD NO ENCONTRADO"),"")</f>
        <v/>
      </c>
      <c r="I3646" s="77"/>
      <c r="J3646" s="78"/>
      <c r="K3646" s="79"/>
      <c r="L3646" s="80" t="str">
        <f aca="false">IF(AND(J3646&lt;&gt;"",K3646&lt;&gt;""),J3646*K3646,"")</f>
        <v/>
      </c>
      <c r="M3646" s="81" t="str">
        <f aca="false">IF(L3646&lt;&gt;"",L3646*1.1,"")</f>
        <v/>
      </c>
      <c r="N3646" s="53" t="n">
        <f aca="false">IF(F3646="S",L3646*0.02,0)</f>
        <v>0</v>
      </c>
      <c r="O3646" s="82" t="str">
        <f aca="false">IF(L3646&lt;&gt;"",L3646+N3646,"")</f>
        <v/>
      </c>
      <c r="P3646" s="53" t="str">
        <f aca="false">IF(O3646&lt;&gt;"",O3646*0.1,"")</f>
        <v/>
      </c>
      <c r="Q3646" s="83" t="str">
        <f aca="false">IF(O3646&lt;&gt;"",O3646+P3646,"")</f>
        <v/>
      </c>
      <c r="R3646" s="84"/>
    </row>
    <row r="3647" customFormat="false" ht="15" hidden="false" customHeight="true" outlineLevel="0" collapsed="false">
      <c r="A3647" s="103"/>
      <c r="B3647" s="85"/>
      <c r="C3647" s="86"/>
      <c r="D3647" s="87"/>
      <c r="E3647" s="46" t="str">
        <f aca="false">IF(D3647&lt;&gt;"",IFERROR(VLOOKUP(D3647,PROVEEDORES!$A:$B,2,0),"!COD NO ENCONTRADO"),"")</f>
        <v/>
      </c>
      <c r="F3647" s="88" t="str">
        <f aca="false">IF(D3647&lt;&gt;"",IFERROR(VLOOKUP(D3647,PROVEEDORES!$A:$C,3,0),""),"")</f>
        <v/>
      </c>
      <c r="G3647" s="87"/>
      <c r="H3647" s="46" t="str">
        <f aca="false">IF(G3647&lt;&gt;"",IFERROR(VLOOKUP(G3647,PRODUCTOS!$A:$B,2,0),"!COD NO ENCONTRADO"),"")</f>
        <v/>
      </c>
      <c r="I3647" s="89"/>
      <c r="J3647" s="90"/>
      <c r="K3647" s="91"/>
      <c r="L3647" s="80" t="str">
        <f aca="false">IF(AND(J3647&lt;&gt;"",K3647&lt;&gt;""),J3647*K3647,"")</f>
        <v/>
      </c>
      <c r="M3647" s="81" t="str">
        <f aca="false">IF(L3647&lt;&gt;"",L3647*1.1,"")</f>
        <v/>
      </c>
      <c r="N3647" s="47" t="n">
        <f aca="false">IF(F3647="S",L3647*0.02,0)</f>
        <v>0</v>
      </c>
      <c r="O3647" s="82" t="str">
        <f aca="false">IF(L3647&lt;&gt;"",L3647+N3647,"")</f>
        <v/>
      </c>
      <c r="P3647" s="47" t="str">
        <f aca="false">IF(O3647&lt;&gt;"",O3647*0.1,"")</f>
        <v/>
      </c>
      <c r="Q3647" s="83" t="str">
        <f aca="false">IF(O3647&lt;&gt;"",O3647+P3647,"")</f>
        <v/>
      </c>
      <c r="R3647" s="84"/>
    </row>
    <row r="3648" customFormat="false" ht="15" hidden="false" customHeight="true" outlineLevel="0" collapsed="false">
      <c r="A3648" s="103"/>
      <c r="B3648" s="73"/>
      <c r="C3648" s="74"/>
      <c r="D3648" s="75"/>
      <c r="E3648" s="52" t="str">
        <f aca="false">IF(D3648&lt;&gt;"",IFERROR(VLOOKUP(D3648,PROVEEDORES!$A:$B,2,0),"!COD NO ENCONTRADO"),"")</f>
        <v/>
      </c>
      <c r="F3648" s="76" t="str">
        <f aca="false">IF(D3648&lt;&gt;"",IFERROR(VLOOKUP(D3648,PROVEEDORES!$A:$C,3,0),""),"")</f>
        <v/>
      </c>
      <c r="G3648" s="75"/>
      <c r="H3648" s="52" t="str">
        <f aca="false">IF(G3648&lt;&gt;"",IFERROR(VLOOKUP(G3648,PRODUCTOS!$A:$B,2,0),"!COD NO ENCONTRADO"),"")</f>
        <v/>
      </c>
      <c r="I3648" s="77"/>
      <c r="J3648" s="78"/>
      <c r="K3648" s="79"/>
      <c r="L3648" s="80" t="str">
        <f aca="false">IF(AND(J3648&lt;&gt;"",K3648&lt;&gt;""),J3648*K3648,"")</f>
        <v/>
      </c>
      <c r="M3648" s="81" t="str">
        <f aca="false">IF(L3648&lt;&gt;"",L3648*1.1,"")</f>
        <v/>
      </c>
      <c r="N3648" s="53" t="n">
        <f aca="false">IF(F3648="S",L3648*0.02,0)</f>
        <v>0</v>
      </c>
      <c r="O3648" s="82" t="str">
        <f aca="false">IF(L3648&lt;&gt;"",L3648+N3648,"")</f>
        <v/>
      </c>
      <c r="P3648" s="53" t="str">
        <f aca="false">IF(O3648&lt;&gt;"",O3648*0.1,"")</f>
        <v/>
      </c>
      <c r="Q3648" s="83" t="str">
        <f aca="false">IF(O3648&lt;&gt;"",O3648+P3648,"")</f>
        <v/>
      </c>
      <c r="R3648" s="84"/>
    </row>
    <row r="3649" customFormat="false" ht="15" hidden="false" customHeight="true" outlineLevel="0" collapsed="false">
      <c r="A3649" s="103"/>
      <c r="B3649" s="85"/>
      <c r="C3649" s="86"/>
      <c r="D3649" s="87"/>
      <c r="E3649" s="46" t="str">
        <f aca="false">IF(D3649&lt;&gt;"",IFERROR(VLOOKUP(D3649,PROVEEDORES!$A:$B,2,0),"!COD NO ENCONTRADO"),"")</f>
        <v/>
      </c>
      <c r="F3649" s="88" t="str">
        <f aca="false">IF(D3649&lt;&gt;"",IFERROR(VLOOKUP(D3649,PROVEEDORES!$A:$C,3,0),""),"")</f>
        <v/>
      </c>
      <c r="G3649" s="87"/>
      <c r="H3649" s="46" t="str">
        <f aca="false">IF(G3649&lt;&gt;"",IFERROR(VLOOKUP(G3649,PRODUCTOS!$A:$B,2,0),"!COD NO ENCONTRADO"),"")</f>
        <v/>
      </c>
      <c r="I3649" s="89"/>
      <c r="J3649" s="90"/>
      <c r="K3649" s="91"/>
      <c r="L3649" s="80" t="str">
        <f aca="false">IF(AND(J3649&lt;&gt;"",K3649&lt;&gt;""),J3649*K3649,"")</f>
        <v/>
      </c>
      <c r="M3649" s="81" t="str">
        <f aca="false">IF(L3649&lt;&gt;"",L3649*1.1,"")</f>
        <v/>
      </c>
      <c r="N3649" s="47" t="n">
        <f aca="false">IF(F3649="S",L3649*0.02,0)</f>
        <v>0</v>
      </c>
      <c r="O3649" s="82" t="str">
        <f aca="false">IF(L3649&lt;&gt;"",L3649+N3649,"")</f>
        <v/>
      </c>
      <c r="P3649" s="47" t="str">
        <f aca="false">IF(O3649&lt;&gt;"",O3649*0.1,"")</f>
        <v/>
      </c>
      <c r="Q3649" s="83" t="str">
        <f aca="false">IF(O3649&lt;&gt;"",O3649+P3649,"")</f>
        <v/>
      </c>
      <c r="R3649" s="84"/>
    </row>
    <row r="3650" customFormat="false" ht="15" hidden="false" customHeight="true" outlineLevel="0" collapsed="false">
      <c r="A3650" s="103"/>
      <c r="B3650" s="73"/>
      <c r="C3650" s="74"/>
      <c r="D3650" s="75"/>
      <c r="E3650" s="52" t="str">
        <f aca="false">IF(D3650&lt;&gt;"",IFERROR(VLOOKUP(D3650,PROVEEDORES!$A:$B,2,0),"!COD NO ENCONTRADO"),"")</f>
        <v/>
      </c>
      <c r="F3650" s="76" t="str">
        <f aca="false">IF(D3650&lt;&gt;"",IFERROR(VLOOKUP(D3650,PROVEEDORES!$A:$C,3,0),""),"")</f>
        <v/>
      </c>
      <c r="G3650" s="75"/>
      <c r="H3650" s="52" t="str">
        <f aca="false">IF(G3650&lt;&gt;"",IFERROR(VLOOKUP(G3650,PRODUCTOS!$A:$B,2,0),"!COD NO ENCONTRADO"),"")</f>
        <v/>
      </c>
      <c r="I3650" s="77"/>
      <c r="J3650" s="78"/>
      <c r="K3650" s="79"/>
      <c r="L3650" s="80" t="str">
        <f aca="false">IF(AND(J3650&lt;&gt;"",K3650&lt;&gt;""),J3650*K3650,"")</f>
        <v/>
      </c>
      <c r="M3650" s="81" t="str">
        <f aca="false">IF(L3650&lt;&gt;"",L3650*1.1,"")</f>
        <v/>
      </c>
      <c r="N3650" s="53" t="n">
        <f aca="false">IF(F3650="S",L3650*0.02,0)</f>
        <v>0</v>
      </c>
      <c r="O3650" s="82" t="str">
        <f aca="false">IF(L3650&lt;&gt;"",L3650+N3650,"")</f>
        <v/>
      </c>
      <c r="P3650" s="53" t="str">
        <f aca="false">IF(O3650&lt;&gt;"",O3650*0.1,"")</f>
        <v/>
      </c>
      <c r="Q3650" s="83" t="str">
        <f aca="false">IF(O3650&lt;&gt;"",O3650+P3650,"")</f>
        <v/>
      </c>
      <c r="R3650" s="84"/>
    </row>
    <row r="3651" customFormat="false" ht="15" hidden="false" customHeight="true" outlineLevel="0" collapsed="false">
      <c r="A3651" s="103"/>
      <c r="B3651" s="85"/>
      <c r="C3651" s="86"/>
      <c r="D3651" s="87"/>
      <c r="E3651" s="46" t="str">
        <f aca="false">IF(D3651&lt;&gt;"",IFERROR(VLOOKUP(D3651,PROVEEDORES!$A:$B,2,0),"!COD NO ENCONTRADO"),"")</f>
        <v/>
      </c>
      <c r="F3651" s="88" t="str">
        <f aca="false">IF(D3651&lt;&gt;"",IFERROR(VLOOKUP(D3651,PROVEEDORES!$A:$C,3,0),""),"")</f>
        <v/>
      </c>
      <c r="G3651" s="87"/>
      <c r="H3651" s="46" t="str">
        <f aca="false">IF(G3651&lt;&gt;"",IFERROR(VLOOKUP(G3651,PRODUCTOS!$A:$B,2,0),"!COD NO ENCONTRADO"),"")</f>
        <v/>
      </c>
      <c r="I3651" s="89"/>
      <c r="J3651" s="90"/>
      <c r="K3651" s="91"/>
      <c r="L3651" s="80" t="str">
        <f aca="false">IF(AND(J3651&lt;&gt;"",K3651&lt;&gt;""),J3651*K3651,"")</f>
        <v/>
      </c>
      <c r="M3651" s="81" t="str">
        <f aca="false">IF(L3651&lt;&gt;"",L3651*1.1,"")</f>
        <v/>
      </c>
      <c r="N3651" s="47" t="n">
        <f aca="false">IF(F3651="S",L3651*0.02,0)</f>
        <v>0</v>
      </c>
      <c r="O3651" s="82" t="str">
        <f aca="false">IF(L3651&lt;&gt;"",L3651+N3651,"")</f>
        <v/>
      </c>
      <c r="P3651" s="47" t="str">
        <f aca="false">IF(O3651&lt;&gt;"",O3651*0.1,"")</f>
        <v/>
      </c>
      <c r="Q3651" s="83" t="str">
        <f aca="false">IF(O3651&lt;&gt;"",O3651+P3651,"")</f>
        <v/>
      </c>
      <c r="R3651" s="84"/>
    </row>
    <row r="3652" customFormat="false" ht="15" hidden="false" customHeight="true" outlineLevel="0" collapsed="false">
      <c r="A3652" s="103"/>
      <c r="B3652" s="73"/>
      <c r="C3652" s="74"/>
      <c r="D3652" s="75"/>
      <c r="E3652" s="52" t="str">
        <f aca="false">IF(D3652&lt;&gt;"",IFERROR(VLOOKUP(D3652,PROVEEDORES!$A:$B,2,0),"!COD NO ENCONTRADO"),"")</f>
        <v/>
      </c>
      <c r="F3652" s="76" t="str">
        <f aca="false">IF(D3652&lt;&gt;"",IFERROR(VLOOKUP(D3652,PROVEEDORES!$A:$C,3,0),""),"")</f>
        <v/>
      </c>
      <c r="G3652" s="75"/>
      <c r="H3652" s="52" t="str">
        <f aca="false">IF(G3652&lt;&gt;"",IFERROR(VLOOKUP(G3652,PRODUCTOS!$A:$B,2,0),"!COD NO ENCONTRADO"),"")</f>
        <v/>
      </c>
      <c r="I3652" s="77"/>
      <c r="J3652" s="78"/>
      <c r="K3652" s="79"/>
      <c r="L3652" s="80" t="str">
        <f aca="false">IF(AND(J3652&lt;&gt;"",K3652&lt;&gt;""),J3652*K3652,"")</f>
        <v/>
      </c>
      <c r="M3652" s="81" t="str">
        <f aca="false">IF(L3652&lt;&gt;"",L3652*1.1,"")</f>
        <v/>
      </c>
      <c r="N3652" s="53" t="n">
        <f aca="false">IF(F3652="S",L3652*0.02,0)</f>
        <v>0</v>
      </c>
      <c r="O3652" s="82" t="str">
        <f aca="false">IF(L3652&lt;&gt;"",L3652+N3652,"")</f>
        <v/>
      </c>
      <c r="P3652" s="53" t="str">
        <f aca="false">IF(O3652&lt;&gt;"",O3652*0.1,"")</f>
        <v/>
      </c>
      <c r="Q3652" s="83" t="str">
        <f aca="false">IF(O3652&lt;&gt;"",O3652+P3652,"")</f>
        <v/>
      </c>
      <c r="R3652" s="84"/>
    </row>
    <row r="3653" customFormat="false" ht="15" hidden="false" customHeight="true" outlineLevel="0" collapsed="false">
      <c r="A3653" s="103"/>
      <c r="B3653" s="85"/>
      <c r="C3653" s="86"/>
      <c r="D3653" s="87"/>
      <c r="E3653" s="46" t="str">
        <f aca="false">IF(D3653&lt;&gt;"",IFERROR(VLOOKUP(D3653,PROVEEDORES!$A:$B,2,0),"!COD NO ENCONTRADO"),"")</f>
        <v/>
      </c>
      <c r="F3653" s="88" t="str">
        <f aca="false">IF(D3653&lt;&gt;"",IFERROR(VLOOKUP(D3653,PROVEEDORES!$A:$C,3,0),""),"")</f>
        <v/>
      </c>
      <c r="G3653" s="87"/>
      <c r="H3653" s="46" t="str">
        <f aca="false">IF(G3653&lt;&gt;"",IFERROR(VLOOKUP(G3653,PRODUCTOS!$A:$B,2,0),"!COD NO ENCONTRADO"),"")</f>
        <v/>
      </c>
      <c r="I3653" s="89"/>
      <c r="J3653" s="90"/>
      <c r="K3653" s="91"/>
      <c r="L3653" s="80" t="str">
        <f aca="false">IF(AND(J3653&lt;&gt;"",K3653&lt;&gt;""),J3653*K3653,"")</f>
        <v/>
      </c>
      <c r="M3653" s="81" t="str">
        <f aca="false">IF(L3653&lt;&gt;"",L3653*1.1,"")</f>
        <v/>
      </c>
      <c r="N3653" s="47" t="n">
        <f aca="false">IF(F3653="S",L3653*0.02,0)</f>
        <v>0</v>
      </c>
      <c r="O3653" s="82" t="str">
        <f aca="false">IF(L3653&lt;&gt;"",L3653+N3653,"")</f>
        <v/>
      </c>
      <c r="P3653" s="47" t="str">
        <f aca="false">IF(O3653&lt;&gt;"",O3653*0.1,"")</f>
        <v/>
      </c>
      <c r="Q3653" s="83" t="str">
        <f aca="false">IF(O3653&lt;&gt;"",O3653+P3653,"")</f>
        <v/>
      </c>
      <c r="R3653" s="84"/>
    </row>
    <row r="3654" customFormat="false" ht="15" hidden="false" customHeight="true" outlineLevel="0" collapsed="false">
      <c r="A3654" s="103"/>
      <c r="B3654" s="73"/>
      <c r="C3654" s="74"/>
      <c r="D3654" s="75"/>
      <c r="E3654" s="52" t="str">
        <f aca="false">IF(D3654&lt;&gt;"",IFERROR(VLOOKUP(D3654,PROVEEDORES!$A:$B,2,0),"!COD NO ENCONTRADO"),"")</f>
        <v/>
      </c>
      <c r="F3654" s="76" t="str">
        <f aca="false">IF(D3654&lt;&gt;"",IFERROR(VLOOKUP(D3654,PROVEEDORES!$A:$C,3,0),""),"")</f>
        <v/>
      </c>
      <c r="G3654" s="75"/>
      <c r="H3654" s="52" t="str">
        <f aca="false">IF(G3654&lt;&gt;"",IFERROR(VLOOKUP(G3654,PRODUCTOS!$A:$B,2,0),"!COD NO ENCONTRADO"),"")</f>
        <v/>
      </c>
      <c r="I3654" s="77"/>
      <c r="J3654" s="78"/>
      <c r="K3654" s="79"/>
      <c r="L3654" s="80" t="str">
        <f aca="false">IF(AND(J3654&lt;&gt;"",K3654&lt;&gt;""),J3654*K3654,"")</f>
        <v/>
      </c>
      <c r="M3654" s="81" t="str">
        <f aca="false">IF(L3654&lt;&gt;"",L3654*1.1,"")</f>
        <v/>
      </c>
      <c r="N3654" s="53" t="n">
        <f aca="false">IF(F3654="S",L3654*0.02,0)</f>
        <v>0</v>
      </c>
      <c r="O3654" s="82" t="str">
        <f aca="false">IF(L3654&lt;&gt;"",L3654+N3654,"")</f>
        <v/>
      </c>
      <c r="P3654" s="53" t="str">
        <f aca="false">IF(O3654&lt;&gt;"",O3654*0.1,"")</f>
        <v/>
      </c>
      <c r="Q3654" s="83" t="str">
        <f aca="false">IF(O3654&lt;&gt;"",O3654+P3654,"")</f>
        <v/>
      </c>
      <c r="R3654" s="84"/>
    </row>
    <row r="3655" customFormat="false" ht="15" hidden="false" customHeight="true" outlineLevel="0" collapsed="false">
      <c r="A3655" s="103"/>
      <c r="B3655" s="85"/>
      <c r="C3655" s="86"/>
      <c r="D3655" s="87"/>
      <c r="E3655" s="46" t="str">
        <f aca="false">IF(D3655&lt;&gt;"",IFERROR(VLOOKUP(D3655,PROVEEDORES!$A:$B,2,0),"!COD NO ENCONTRADO"),"")</f>
        <v/>
      </c>
      <c r="F3655" s="88" t="str">
        <f aca="false">IF(D3655&lt;&gt;"",IFERROR(VLOOKUP(D3655,PROVEEDORES!$A:$C,3,0),""),"")</f>
        <v/>
      </c>
      <c r="G3655" s="87"/>
      <c r="H3655" s="46" t="str">
        <f aca="false">IF(G3655&lt;&gt;"",IFERROR(VLOOKUP(G3655,PRODUCTOS!$A:$B,2,0),"!COD NO ENCONTRADO"),"")</f>
        <v/>
      </c>
      <c r="I3655" s="89"/>
      <c r="J3655" s="90"/>
      <c r="K3655" s="91"/>
      <c r="L3655" s="80" t="str">
        <f aca="false">IF(AND(J3655&lt;&gt;"",K3655&lt;&gt;""),J3655*K3655,"")</f>
        <v/>
      </c>
      <c r="M3655" s="81" t="str">
        <f aca="false">IF(L3655&lt;&gt;"",L3655*1.1,"")</f>
        <v/>
      </c>
      <c r="N3655" s="47" t="n">
        <f aca="false">IF(F3655="S",L3655*0.02,0)</f>
        <v>0</v>
      </c>
      <c r="O3655" s="82" t="str">
        <f aca="false">IF(L3655&lt;&gt;"",L3655+N3655,"")</f>
        <v/>
      </c>
      <c r="P3655" s="47" t="str">
        <f aca="false">IF(O3655&lt;&gt;"",O3655*0.1,"")</f>
        <v/>
      </c>
      <c r="Q3655" s="83" t="str">
        <f aca="false">IF(O3655&lt;&gt;"",O3655+P3655,"")</f>
        <v/>
      </c>
      <c r="R3655" s="84"/>
    </row>
    <row r="3656" customFormat="false" ht="15" hidden="false" customHeight="true" outlineLevel="0" collapsed="false">
      <c r="A3656" s="103"/>
      <c r="B3656" s="73"/>
      <c r="C3656" s="74"/>
      <c r="D3656" s="75"/>
      <c r="E3656" s="52" t="str">
        <f aca="false">IF(D3656&lt;&gt;"",IFERROR(VLOOKUP(D3656,PROVEEDORES!$A:$B,2,0),"!COD NO ENCONTRADO"),"")</f>
        <v/>
      </c>
      <c r="F3656" s="76" t="str">
        <f aca="false">IF(D3656&lt;&gt;"",IFERROR(VLOOKUP(D3656,PROVEEDORES!$A:$C,3,0),""),"")</f>
        <v/>
      </c>
      <c r="G3656" s="75"/>
      <c r="H3656" s="52" t="str">
        <f aca="false">IF(G3656&lt;&gt;"",IFERROR(VLOOKUP(G3656,PRODUCTOS!$A:$B,2,0),"!COD NO ENCONTRADO"),"")</f>
        <v/>
      </c>
      <c r="I3656" s="77"/>
      <c r="J3656" s="78"/>
      <c r="K3656" s="79"/>
      <c r="L3656" s="80" t="str">
        <f aca="false">IF(AND(J3656&lt;&gt;"",K3656&lt;&gt;""),J3656*K3656,"")</f>
        <v/>
      </c>
      <c r="M3656" s="81" t="str">
        <f aca="false">IF(L3656&lt;&gt;"",L3656*1.1,"")</f>
        <v/>
      </c>
      <c r="N3656" s="53" t="n">
        <f aca="false">IF(F3656="S",L3656*0.02,0)</f>
        <v>0</v>
      </c>
      <c r="O3656" s="82" t="str">
        <f aca="false">IF(L3656&lt;&gt;"",L3656+N3656,"")</f>
        <v/>
      </c>
      <c r="P3656" s="53" t="str">
        <f aca="false">IF(O3656&lt;&gt;"",O3656*0.1,"")</f>
        <v/>
      </c>
      <c r="Q3656" s="83" t="str">
        <f aca="false">IF(O3656&lt;&gt;"",O3656+P3656,"")</f>
        <v/>
      </c>
      <c r="R3656" s="84"/>
    </row>
    <row r="3657" customFormat="false" ht="15" hidden="false" customHeight="true" outlineLevel="0" collapsed="false">
      <c r="A3657" s="103"/>
      <c r="B3657" s="85"/>
      <c r="C3657" s="86"/>
      <c r="D3657" s="87"/>
      <c r="E3657" s="46" t="str">
        <f aca="false">IF(D3657&lt;&gt;"",IFERROR(VLOOKUP(D3657,PROVEEDORES!$A:$B,2,0),"!COD NO ENCONTRADO"),"")</f>
        <v/>
      </c>
      <c r="F3657" s="88" t="str">
        <f aca="false">IF(D3657&lt;&gt;"",IFERROR(VLOOKUP(D3657,PROVEEDORES!$A:$C,3,0),""),"")</f>
        <v/>
      </c>
      <c r="G3657" s="87"/>
      <c r="H3657" s="46" t="str">
        <f aca="false">IF(G3657&lt;&gt;"",IFERROR(VLOOKUP(G3657,PRODUCTOS!$A:$B,2,0),"!COD NO ENCONTRADO"),"")</f>
        <v/>
      </c>
      <c r="I3657" s="89"/>
      <c r="J3657" s="90"/>
      <c r="K3657" s="91"/>
      <c r="L3657" s="80" t="str">
        <f aca="false">IF(AND(J3657&lt;&gt;"",K3657&lt;&gt;""),J3657*K3657,"")</f>
        <v/>
      </c>
      <c r="M3657" s="81" t="str">
        <f aca="false">IF(L3657&lt;&gt;"",L3657*1.1,"")</f>
        <v/>
      </c>
      <c r="N3657" s="47" t="n">
        <f aca="false">IF(F3657="S",L3657*0.02,0)</f>
        <v>0</v>
      </c>
      <c r="O3657" s="82" t="str">
        <f aca="false">IF(L3657&lt;&gt;"",L3657+N3657,"")</f>
        <v/>
      </c>
      <c r="P3657" s="47" t="str">
        <f aca="false">IF(O3657&lt;&gt;"",O3657*0.1,"")</f>
        <v/>
      </c>
      <c r="Q3657" s="83" t="str">
        <f aca="false">IF(O3657&lt;&gt;"",O3657+P3657,"")</f>
        <v/>
      </c>
      <c r="R3657" s="84"/>
    </row>
    <row r="3658" customFormat="false" ht="15" hidden="false" customHeight="true" outlineLevel="0" collapsed="false">
      <c r="A3658" s="103"/>
      <c r="B3658" s="73"/>
      <c r="C3658" s="74"/>
      <c r="D3658" s="75"/>
      <c r="E3658" s="52" t="str">
        <f aca="false">IF(D3658&lt;&gt;"",IFERROR(VLOOKUP(D3658,PROVEEDORES!$A:$B,2,0),"!COD NO ENCONTRADO"),"")</f>
        <v/>
      </c>
      <c r="F3658" s="76" t="str">
        <f aca="false">IF(D3658&lt;&gt;"",IFERROR(VLOOKUP(D3658,PROVEEDORES!$A:$C,3,0),""),"")</f>
        <v/>
      </c>
      <c r="G3658" s="75"/>
      <c r="H3658" s="52" t="str">
        <f aca="false">IF(G3658&lt;&gt;"",IFERROR(VLOOKUP(G3658,PRODUCTOS!$A:$B,2,0),"!COD NO ENCONTRADO"),"")</f>
        <v/>
      </c>
      <c r="I3658" s="77"/>
      <c r="J3658" s="78"/>
      <c r="K3658" s="79"/>
      <c r="L3658" s="80" t="str">
        <f aca="false">IF(AND(J3658&lt;&gt;"",K3658&lt;&gt;""),J3658*K3658,"")</f>
        <v/>
      </c>
      <c r="M3658" s="81" t="str">
        <f aca="false">IF(L3658&lt;&gt;"",L3658*1.1,"")</f>
        <v/>
      </c>
      <c r="N3658" s="53" t="n">
        <f aca="false">IF(F3658="S",L3658*0.02,0)</f>
        <v>0</v>
      </c>
      <c r="O3658" s="82" t="str">
        <f aca="false">IF(L3658&lt;&gt;"",L3658+N3658,"")</f>
        <v/>
      </c>
      <c r="P3658" s="53" t="str">
        <f aca="false">IF(O3658&lt;&gt;"",O3658*0.1,"")</f>
        <v/>
      </c>
      <c r="Q3658" s="83" t="str">
        <f aca="false">IF(O3658&lt;&gt;"",O3658+P3658,"")</f>
        <v/>
      </c>
      <c r="R3658" s="84"/>
    </row>
    <row r="3659" customFormat="false" ht="15" hidden="false" customHeight="true" outlineLevel="0" collapsed="false">
      <c r="A3659" s="103"/>
      <c r="B3659" s="85"/>
      <c r="C3659" s="86"/>
      <c r="D3659" s="87"/>
      <c r="E3659" s="46" t="str">
        <f aca="false">IF(D3659&lt;&gt;"",IFERROR(VLOOKUP(D3659,PROVEEDORES!$A:$B,2,0),"!COD NO ENCONTRADO"),"")</f>
        <v/>
      </c>
      <c r="F3659" s="88" t="str">
        <f aca="false">IF(D3659&lt;&gt;"",IFERROR(VLOOKUP(D3659,PROVEEDORES!$A:$C,3,0),""),"")</f>
        <v/>
      </c>
      <c r="G3659" s="87"/>
      <c r="H3659" s="46" t="str">
        <f aca="false">IF(G3659&lt;&gt;"",IFERROR(VLOOKUP(G3659,PRODUCTOS!$A:$B,2,0),"!COD NO ENCONTRADO"),"")</f>
        <v/>
      </c>
      <c r="I3659" s="89"/>
      <c r="J3659" s="90"/>
      <c r="K3659" s="91"/>
      <c r="L3659" s="80" t="str">
        <f aca="false">IF(AND(J3659&lt;&gt;"",K3659&lt;&gt;""),J3659*K3659,"")</f>
        <v/>
      </c>
      <c r="M3659" s="81" t="str">
        <f aca="false">IF(L3659&lt;&gt;"",L3659*1.1,"")</f>
        <v/>
      </c>
      <c r="N3659" s="47" t="n">
        <f aca="false">IF(F3659="S",L3659*0.02,0)</f>
        <v>0</v>
      </c>
      <c r="O3659" s="82" t="str">
        <f aca="false">IF(L3659&lt;&gt;"",L3659+N3659,"")</f>
        <v/>
      </c>
      <c r="P3659" s="47" t="str">
        <f aca="false">IF(O3659&lt;&gt;"",O3659*0.1,"")</f>
        <v/>
      </c>
      <c r="Q3659" s="83" t="str">
        <f aca="false">IF(O3659&lt;&gt;"",O3659+P3659,"")</f>
        <v/>
      </c>
      <c r="R3659" s="84"/>
    </row>
    <row r="3660" customFormat="false" ht="15" hidden="false" customHeight="true" outlineLevel="0" collapsed="false">
      <c r="A3660" s="103"/>
      <c r="B3660" s="73"/>
      <c r="C3660" s="74"/>
      <c r="D3660" s="75"/>
      <c r="E3660" s="52" t="str">
        <f aca="false">IF(D3660&lt;&gt;"",IFERROR(VLOOKUP(D3660,PROVEEDORES!$A:$B,2,0),"!COD NO ENCONTRADO"),"")</f>
        <v/>
      </c>
      <c r="F3660" s="76" t="str">
        <f aca="false">IF(D3660&lt;&gt;"",IFERROR(VLOOKUP(D3660,PROVEEDORES!$A:$C,3,0),""),"")</f>
        <v/>
      </c>
      <c r="G3660" s="75"/>
      <c r="H3660" s="52" t="str">
        <f aca="false">IF(G3660&lt;&gt;"",IFERROR(VLOOKUP(G3660,PRODUCTOS!$A:$B,2,0),"!COD NO ENCONTRADO"),"")</f>
        <v/>
      </c>
      <c r="I3660" s="77"/>
      <c r="J3660" s="78"/>
      <c r="K3660" s="79"/>
      <c r="L3660" s="80" t="str">
        <f aca="false">IF(AND(J3660&lt;&gt;"",K3660&lt;&gt;""),J3660*K3660,"")</f>
        <v/>
      </c>
      <c r="M3660" s="81" t="str">
        <f aca="false">IF(L3660&lt;&gt;"",L3660*1.1,"")</f>
        <v/>
      </c>
      <c r="N3660" s="53" t="n">
        <f aca="false">IF(F3660="S",L3660*0.02,0)</f>
        <v>0</v>
      </c>
      <c r="O3660" s="82" t="str">
        <f aca="false">IF(L3660&lt;&gt;"",L3660+N3660,"")</f>
        <v/>
      </c>
      <c r="P3660" s="53" t="str">
        <f aca="false">IF(O3660&lt;&gt;"",O3660*0.1,"")</f>
        <v/>
      </c>
      <c r="Q3660" s="83" t="str">
        <f aca="false">IF(O3660&lt;&gt;"",O3660+P3660,"")</f>
        <v/>
      </c>
      <c r="R3660" s="84"/>
    </row>
    <row r="3661" customFormat="false" ht="15" hidden="false" customHeight="true" outlineLevel="0" collapsed="false">
      <c r="A3661" s="103"/>
      <c r="B3661" s="85"/>
      <c r="C3661" s="86"/>
      <c r="D3661" s="87"/>
      <c r="E3661" s="46" t="str">
        <f aca="false">IF(D3661&lt;&gt;"",IFERROR(VLOOKUP(D3661,PROVEEDORES!$A:$B,2,0),"!COD NO ENCONTRADO"),"")</f>
        <v/>
      </c>
      <c r="F3661" s="88" t="str">
        <f aca="false">IF(D3661&lt;&gt;"",IFERROR(VLOOKUP(D3661,PROVEEDORES!$A:$C,3,0),""),"")</f>
        <v/>
      </c>
      <c r="G3661" s="87"/>
      <c r="H3661" s="46" t="str">
        <f aca="false">IF(G3661&lt;&gt;"",IFERROR(VLOOKUP(G3661,PRODUCTOS!$A:$B,2,0),"!COD NO ENCONTRADO"),"")</f>
        <v/>
      </c>
      <c r="I3661" s="89"/>
      <c r="J3661" s="90"/>
      <c r="K3661" s="91"/>
      <c r="L3661" s="80" t="str">
        <f aca="false">IF(AND(J3661&lt;&gt;"",K3661&lt;&gt;""),J3661*K3661,"")</f>
        <v/>
      </c>
      <c r="M3661" s="81" t="str">
        <f aca="false">IF(L3661&lt;&gt;"",L3661*1.1,"")</f>
        <v/>
      </c>
      <c r="N3661" s="47" t="n">
        <f aca="false">IF(F3661="S",L3661*0.02,0)</f>
        <v>0</v>
      </c>
      <c r="O3661" s="82" t="str">
        <f aca="false">IF(L3661&lt;&gt;"",L3661+N3661,"")</f>
        <v/>
      </c>
      <c r="P3661" s="47" t="str">
        <f aca="false">IF(O3661&lt;&gt;"",O3661*0.1,"")</f>
        <v/>
      </c>
      <c r="Q3661" s="83" t="str">
        <f aca="false">IF(O3661&lt;&gt;"",O3661+P3661,"")</f>
        <v/>
      </c>
      <c r="R3661" s="84"/>
    </row>
    <row r="3662" customFormat="false" ht="15" hidden="false" customHeight="true" outlineLevel="0" collapsed="false">
      <c r="A3662" s="103"/>
      <c r="B3662" s="73"/>
      <c r="C3662" s="74"/>
      <c r="D3662" s="75"/>
      <c r="E3662" s="52" t="str">
        <f aca="false">IF(D3662&lt;&gt;"",IFERROR(VLOOKUP(D3662,PROVEEDORES!$A:$B,2,0),"!COD NO ENCONTRADO"),"")</f>
        <v/>
      </c>
      <c r="F3662" s="76" t="str">
        <f aca="false">IF(D3662&lt;&gt;"",IFERROR(VLOOKUP(D3662,PROVEEDORES!$A:$C,3,0),""),"")</f>
        <v/>
      </c>
      <c r="G3662" s="75"/>
      <c r="H3662" s="52" t="str">
        <f aca="false">IF(G3662&lt;&gt;"",IFERROR(VLOOKUP(G3662,PRODUCTOS!$A:$B,2,0),"!COD NO ENCONTRADO"),"")</f>
        <v/>
      </c>
      <c r="I3662" s="77"/>
      <c r="J3662" s="78"/>
      <c r="K3662" s="79"/>
      <c r="L3662" s="80" t="str">
        <f aca="false">IF(AND(J3662&lt;&gt;"",K3662&lt;&gt;""),J3662*K3662,"")</f>
        <v/>
      </c>
      <c r="M3662" s="81" t="str">
        <f aca="false">IF(L3662&lt;&gt;"",L3662*1.1,"")</f>
        <v/>
      </c>
      <c r="N3662" s="53" t="n">
        <f aca="false">IF(F3662="S",L3662*0.02,0)</f>
        <v>0</v>
      </c>
      <c r="O3662" s="82" t="str">
        <f aca="false">IF(L3662&lt;&gt;"",L3662+N3662,"")</f>
        <v/>
      </c>
      <c r="P3662" s="53" t="str">
        <f aca="false">IF(O3662&lt;&gt;"",O3662*0.1,"")</f>
        <v/>
      </c>
      <c r="Q3662" s="83" t="str">
        <f aca="false">IF(O3662&lt;&gt;"",O3662+P3662,"")</f>
        <v/>
      </c>
      <c r="R3662" s="84"/>
    </row>
    <row r="3663" customFormat="false" ht="15" hidden="false" customHeight="true" outlineLevel="0" collapsed="false">
      <c r="A3663" s="103"/>
      <c r="B3663" s="85"/>
      <c r="C3663" s="86"/>
      <c r="D3663" s="87"/>
      <c r="E3663" s="46" t="str">
        <f aca="false">IF(D3663&lt;&gt;"",IFERROR(VLOOKUP(D3663,PROVEEDORES!$A:$B,2,0),"!COD NO ENCONTRADO"),"")</f>
        <v/>
      </c>
      <c r="F3663" s="88" t="str">
        <f aca="false">IF(D3663&lt;&gt;"",IFERROR(VLOOKUP(D3663,PROVEEDORES!$A:$C,3,0),""),"")</f>
        <v/>
      </c>
      <c r="G3663" s="87"/>
      <c r="H3663" s="46" t="str">
        <f aca="false">IF(G3663&lt;&gt;"",IFERROR(VLOOKUP(G3663,PRODUCTOS!$A:$B,2,0),"!COD NO ENCONTRADO"),"")</f>
        <v/>
      </c>
      <c r="I3663" s="89"/>
      <c r="J3663" s="90"/>
      <c r="K3663" s="91"/>
      <c r="L3663" s="80" t="str">
        <f aca="false">IF(AND(J3663&lt;&gt;"",K3663&lt;&gt;""),J3663*K3663,"")</f>
        <v/>
      </c>
      <c r="M3663" s="81" t="str">
        <f aca="false">IF(L3663&lt;&gt;"",L3663*1.1,"")</f>
        <v/>
      </c>
      <c r="N3663" s="47" t="n">
        <f aca="false">IF(F3663="S",L3663*0.02,0)</f>
        <v>0</v>
      </c>
      <c r="O3663" s="82" t="str">
        <f aca="false">IF(L3663&lt;&gt;"",L3663+N3663,"")</f>
        <v/>
      </c>
      <c r="P3663" s="47" t="str">
        <f aca="false">IF(O3663&lt;&gt;"",O3663*0.1,"")</f>
        <v/>
      </c>
      <c r="Q3663" s="83" t="str">
        <f aca="false">IF(O3663&lt;&gt;"",O3663+P3663,"")</f>
        <v/>
      </c>
      <c r="R3663" s="84"/>
    </row>
    <row r="3664" customFormat="false" ht="15" hidden="false" customHeight="true" outlineLevel="0" collapsed="false">
      <c r="A3664" s="103"/>
      <c r="B3664" s="73"/>
      <c r="C3664" s="74"/>
      <c r="D3664" s="75"/>
      <c r="E3664" s="52" t="str">
        <f aca="false">IF(D3664&lt;&gt;"",IFERROR(VLOOKUP(D3664,PROVEEDORES!$A:$B,2,0),"!COD NO ENCONTRADO"),"")</f>
        <v/>
      </c>
      <c r="F3664" s="76" t="str">
        <f aca="false">IF(D3664&lt;&gt;"",IFERROR(VLOOKUP(D3664,PROVEEDORES!$A:$C,3,0),""),"")</f>
        <v/>
      </c>
      <c r="G3664" s="75"/>
      <c r="H3664" s="52" t="str">
        <f aca="false">IF(G3664&lt;&gt;"",IFERROR(VLOOKUP(G3664,PRODUCTOS!$A:$B,2,0),"!COD NO ENCONTRADO"),"")</f>
        <v/>
      </c>
      <c r="I3664" s="77"/>
      <c r="J3664" s="78"/>
      <c r="K3664" s="79"/>
      <c r="L3664" s="80" t="str">
        <f aca="false">IF(AND(J3664&lt;&gt;"",K3664&lt;&gt;""),J3664*K3664,"")</f>
        <v/>
      </c>
      <c r="M3664" s="81" t="str">
        <f aca="false">IF(L3664&lt;&gt;"",L3664*1.1,"")</f>
        <v/>
      </c>
      <c r="N3664" s="53" t="n">
        <f aca="false">IF(F3664="S",L3664*0.02,0)</f>
        <v>0</v>
      </c>
      <c r="O3664" s="82" t="str">
        <f aca="false">IF(L3664&lt;&gt;"",L3664+N3664,"")</f>
        <v/>
      </c>
      <c r="P3664" s="53" t="str">
        <f aca="false">IF(O3664&lt;&gt;"",O3664*0.1,"")</f>
        <v/>
      </c>
      <c r="Q3664" s="83" t="str">
        <f aca="false">IF(O3664&lt;&gt;"",O3664+P3664,"")</f>
        <v/>
      </c>
      <c r="R3664" s="84"/>
    </row>
    <row r="3665" customFormat="false" ht="15" hidden="false" customHeight="true" outlineLevel="0" collapsed="false">
      <c r="A3665" s="103"/>
      <c r="B3665" s="85"/>
      <c r="C3665" s="86"/>
      <c r="D3665" s="87"/>
      <c r="E3665" s="46" t="str">
        <f aca="false">IF(D3665&lt;&gt;"",IFERROR(VLOOKUP(D3665,PROVEEDORES!$A:$B,2,0),"!COD NO ENCONTRADO"),"")</f>
        <v/>
      </c>
      <c r="F3665" s="88" t="str">
        <f aca="false">IF(D3665&lt;&gt;"",IFERROR(VLOOKUP(D3665,PROVEEDORES!$A:$C,3,0),""),"")</f>
        <v/>
      </c>
      <c r="G3665" s="87"/>
      <c r="H3665" s="46" t="str">
        <f aca="false">IF(G3665&lt;&gt;"",IFERROR(VLOOKUP(G3665,PRODUCTOS!$A:$B,2,0),"!COD NO ENCONTRADO"),"")</f>
        <v/>
      </c>
      <c r="I3665" s="89"/>
      <c r="J3665" s="90"/>
      <c r="K3665" s="91"/>
      <c r="L3665" s="80" t="str">
        <f aca="false">IF(AND(J3665&lt;&gt;"",K3665&lt;&gt;""),J3665*K3665,"")</f>
        <v/>
      </c>
      <c r="M3665" s="81" t="str">
        <f aca="false">IF(L3665&lt;&gt;"",L3665*1.1,"")</f>
        <v/>
      </c>
      <c r="N3665" s="47" t="n">
        <f aca="false">IF(F3665="S",L3665*0.02,0)</f>
        <v>0</v>
      </c>
      <c r="O3665" s="82" t="str">
        <f aca="false">IF(L3665&lt;&gt;"",L3665+N3665,"")</f>
        <v/>
      </c>
      <c r="P3665" s="47" t="str">
        <f aca="false">IF(O3665&lt;&gt;"",O3665*0.1,"")</f>
        <v/>
      </c>
      <c r="Q3665" s="83" t="str">
        <f aca="false">IF(O3665&lt;&gt;"",O3665+P3665,"")</f>
        <v/>
      </c>
      <c r="R3665" s="84"/>
    </row>
    <row r="3666" customFormat="false" ht="15" hidden="false" customHeight="true" outlineLevel="0" collapsed="false">
      <c r="A3666" s="103"/>
      <c r="B3666" s="73"/>
      <c r="C3666" s="74"/>
      <c r="D3666" s="75"/>
      <c r="E3666" s="52" t="str">
        <f aca="false">IF(D3666&lt;&gt;"",IFERROR(VLOOKUP(D3666,PROVEEDORES!$A:$B,2,0),"!COD NO ENCONTRADO"),"")</f>
        <v/>
      </c>
      <c r="F3666" s="76" t="str">
        <f aca="false">IF(D3666&lt;&gt;"",IFERROR(VLOOKUP(D3666,PROVEEDORES!$A:$C,3,0),""),"")</f>
        <v/>
      </c>
      <c r="G3666" s="75"/>
      <c r="H3666" s="52" t="str">
        <f aca="false">IF(G3666&lt;&gt;"",IFERROR(VLOOKUP(G3666,PRODUCTOS!$A:$B,2,0),"!COD NO ENCONTRADO"),"")</f>
        <v/>
      </c>
      <c r="I3666" s="77"/>
      <c r="J3666" s="78"/>
      <c r="K3666" s="79"/>
      <c r="L3666" s="80" t="str">
        <f aca="false">IF(AND(J3666&lt;&gt;"",K3666&lt;&gt;""),J3666*K3666,"")</f>
        <v/>
      </c>
      <c r="M3666" s="81" t="str">
        <f aca="false">IF(L3666&lt;&gt;"",L3666*1.1,"")</f>
        <v/>
      </c>
      <c r="N3666" s="53" t="n">
        <f aca="false">IF(F3666="S",L3666*0.02,0)</f>
        <v>0</v>
      </c>
      <c r="O3666" s="82" t="str">
        <f aca="false">IF(L3666&lt;&gt;"",L3666+N3666,"")</f>
        <v/>
      </c>
      <c r="P3666" s="53" t="str">
        <f aca="false">IF(O3666&lt;&gt;"",O3666*0.1,"")</f>
        <v/>
      </c>
      <c r="Q3666" s="83" t="str">
        <f aca="false">IF(O3666&lt;&gt;"",O3666+P3666,"")</f>
        <v/>
      </c>
      <c r="R3666" s="84"/>
    </row>
    <row r="3667" customFormat="false" ht="15" hidden="false" customHeight="true" outlineLevel="0" collapsed="false">
      <c r="A3667" s="103"/>
      <c r="B3667" s="85"/>
      <c r="C3667" s="86"/>
      <c r="D3667" s="87"/>
      <c r="E3667" s="46" t="str">
        <f aca="false">IF(D3667&lt;&gt;"",IFERROR(VLOOKUP(D3667,PROVEEDORES!$A:$B,2,0),"!COD NO ENCONTRADO"),"")</f>
        <v/>
      </c>
      <c r="F3667" s="88" t="str">
        <f aca="false">IF(D3667&lt;&gt;"",IFERROR(VLOOKUP(D3667,PROVEEDORES!$A:$C,3,0),""),"")</f>
        <v/>
      </c>
      <c r="G3667" s="87"/>
      <c r="H3667" s="46" t="str">
        <f aca="false">IF(G3667&lt;&gt;"",IFERROR(VLOOKUP(G3667,PRODUCTOS!$A:$B,2,0),"!COD NO ENCONTRADO"),"")</f>
        <v/>
      </c>
      <c r="I3667" s="89"/>
      <c r="J3667" s="90"/>
      <c r="K3667" s="91"/>
      <c r="L3667" s="80" t="str">
        <f aca="false">IF(AND(J3667&lt;&gt;"",K3667&lt;&gt;""),J3667*K3667,"")</f>
        <v/>
      </c>
      <c r="M3667" s="81" t="str">
        <f aca="false">IF(L3667&lt;&gt;"",L3667*1.1,"")</f>
        <v/>
      </c>
      <c r="N3667" s="47" t="n">
        <f aca="false">IF(F3667="S",L3667*0.02,0)</f>
        <v>0</v>
      </c>
      <c r="O3667" s="82" t="str">
        <f aca="false">IF(L3667&lt;&gt;"",L3667+N3667,"")</f>
        <v/>
      </c>
      <c r="P3667" s="47" t="str">
        <f aca="false">IF(O3667&lt;&gt;"",O3667*0.1,"")</f>
        <v/>
      </c>
      <c r="Q3667" s="83" t="str">
        <f aca="false">IF(O3667&lt;&gt;"",O3667+P3667,"")</f>
        <v/>
      </c>
      <c r="R3667" s="84"/>
    </row>
    <row r="3668" customFormat="false" ht="15" hidden="false" customHeight="true" outlineLevel="0" collapsed="false">
      <c r="A3668" s="103"/>
      <c r="B3668" s="73"/>
      <c r="C3668" s="74"/>
      <c r="D3668" s="75"/>
      <c r="E3668" s="52" t="str">
        <f aca="false">IF(D3668&lt;&gt;"",IFERROR(VLOOKUP(D3668,PROVEEDORES!$A:$B,2,0),"!COD NO ENCONTRADO"),"")</f>
        <v/>
      </c>
      <c r="F3668" s="76" t="str">
        <f aca="false">IF(D3668&lt;&gt;"",IFERROR(VLOOKUP(D3668,PROVEEDORES!$A:$C,3,0),""),"")</f>
        <v/>
      </c>
      <c r="G3668" s="75"/>
      <c r="H3668" s="52" t="str">
        <f aca="false">IF(G3668&lt;&gt;"",IFERROR(VLOOKUP(G3668,PRODUCTOS!$A:$B,2,0),"!COD NO ENCONTRADO"),"")</f>
        <v/>
      </c>
      <c r="I3668" s="77"/>
      <c r="J3668" s="78"/>
      <c r="K3668" s="79"/>
      <c r="L3668" s="80" t="str">
        <f aca="false">IF(AND(J3668&lt;&gt;"",K3668&lt;&gt;""),J3668*K3668,"")</f>
        <v/>
      </c>
      <c r="M3668" s="81" t="str">
        <f aca="false">IF(L3668&lt;&gt;"",L3668*1.1,"")</f>
        <v/>
      </c>
      <c r="N3668" s="53" t="n">
        <f aca="false">IF(F3668="S",L3668*0.02,0)</f>
        <v>0</v>
      </c>
      <c r="O3668" s="82" t="str">
        <f aca="false">IF(L3668&lt;&gt;"",L3668+N3668,"")</f>
        <v/>
      </c>
      <c r="P3668" s="53" t="str">
        <f aca="false">IF(O3668&lt;&gt;"",O3668*0.1,"")</f>
        <v/>
      </c>
      <c r="Q3668" s="83" t="str">
        <f aca="false">IF(O3668&lt;&gt;"",O3668+P3668,"")</f>
        <v/>
      </c>
      <c r="R3668" s="84"/>
    </row>
    <row r="3669" customFormat="false" ht="15" hidden="false" customHeight="true" outlineLevel="0" collapsed="false">
      <c r="A3669" s="103"/>
      <c r="B3669" s="85"/>
      <c r="C3669" s="86"/>
      <c r="D3669" s="87"/>
      <c r="E3669" s="46" t="str">
        <f aca="false">IF(D3669&lt;&gt;"",IFERROR(VLOOKUP(D3669,PROVEEDORES!$A:$B,2,0),"!COD NO ENCONTRADO"),"")</f>
        <v/>
      </c>
      <c r="F3669" s="88" t="str">
        <f aca="false">IF(D3669&lt;&gt;"",IFERROR(VLOOKUP(D3669,PROVEEDORES!$A:$C,3,0),""),"")</f>
        <v/>
      </c>
      <c r="G3669" s="87"/>
      <c r="H3669" s="46" t="str">
        <f aca="false">IF(G3669&lt;&gt;"",IFERROR(VLOOKUP(G3669,PRODUCTOS!$A:$B,2,0),"!COD NO ENCONTRADO"),"")</f>
        <v/>
      </c>
      <c r="I3669" s="89"/>
      <c r="J3669" s="90"/>
      <c r="K3669" s="91"/>
      <c r="L3669" s="80" t="str">
        <f aca="false">IF(AND(J3669&lt;&gt;"",K3669&lt;&gt;""),J3669*K3669,"")</f>
        <v/>
      </c>
      <c r="M3669" s="81" t="str">
        <f aca="false">IF(L3669&lt;&gt;"",L3669*1.1,"")</f>
        <v/>
      </c>
      <c r="N3669" s="47" t="n">
        <f aca="false">IF(F3669="S",L3669*0.02,0)</f>
        <v>0</v>
      </c>
      <c r="O3669" s="82" t="str">
        <f aca="false">IF(L3669&lt;&gt;"",L3669+N3669,"")</f>
        <v/>
      </c>
      <c r="P3669" s="47" t="str">
        <f aca="false">IF(O3669&lt;&gt;"",O3669*0.1,"")</f>
        <v/>
      </c>
      <c r="Q3669" s="83" t="str">
        <f aca="false">IF(O3669&lt;&gt;"",O3669+P3669,"")</f>
        <v/>
      </c>
      <c r="R3669" s="84"/>
    </row>
    <row r="3670" customFormat="false" ht="15" hidden="false" customHeight="true" outlineLevel="0" collapsed="false">
      <c r="A3670" s="103"/>
      <c r="B3670" s="73"/>
      <c r="C3670" s="74"/>
      <c r="D3670" s="75"/>
      <c r="E3670" s="52" t="str">
        <f aca="false">IF(D3670&lt;&gt;"",IFERROR(VLOOKUP(D3670,PROVEEDORES!$A:$B,2,0),"!COD NO ENCONTRADO"),"")</f>
        <v/>
      </c>
      <c r="F3670" s="76" t="str">
        <f aca="false">IF(D3670&lt;&gt;"",IFERROR(VLOOKUP(D3670,PROVEEDORES!$A:$C,3,0),""),"")</f>
        <v/>
      </c>
      <c r="G3670" s="75"/>
      <c r="H3670" s="52" t="str">
        <f aca="false">IF(G3670&lt;&gt;"",IFERROR(VLOOKUP(G3670,PRODUCTOS!$A:$B,2,0),"!COD NO ENCONTRADO"),"")</f>
        <v/>
      </c>
      <c r="I3670" s="77"/>
      <c r="J3670" s="78"/>
      <c r="K3670" s="79"/>
      <c r="L3670" s="80" t="str">
        <f aca="false">IF(AND(J3670&lt;&gt;"",K3670&lt;&gt;""),J3670*K3670,"")</f>
        <v/>
      </c>
      <c r="M3670" s="81" t="str">
        <f aca="false">IF(L3670&lt;&gt;"",L3670*1.1,"")</f>
        <v/>
      </c>
      <c r="N3670" s="53" t="n">
        <f aca="false">IF(F3670="S",L3670*0.02,0)</f>
        <v>0</v>
      </c>
      <c r="O3670" s="82" t="str">
        <f aca="false">IF(L3670&lt;&gt;"",L3670+N3670,"")</f>
        <v/>
      </c>
      <c r="P3670" s="53" t="str">
        <f aca="false">IF(O3670&lt;&gt;"",O3670*0.1,"")</f>
        <v/>
      </c>
      <c r="Q3670" s="83" t="str">
        <f aca="false">IF(O3670&lt;&gt;"",O3670+P3670,"")</f>
        <v/>
      </c>
      <c r="R3670" s="84"/>
    </row>
    <row r="3671" customFormat="false" ht="15" hidden="false" customHeight="true" outlineLevel="0" collapsed="false">
      <c r="A3671" s="103"/>
      <c r="B3671" s="85"/>
      <c r="C3671" s="86"/>
      <c r="D3671" s="87"/>
      <c r="E3671" s="46" t="str">
        <f aca="false">IF(D3671&lt;&gt;"",IFERROR(VLOOKUP(D3671,PROVEEDORES!$A:$B,2,0),"!COD NO ENCONTRADO"),"")</f>
        <v/>
      </c>
      <c r="F3671" s="88" t="str">
        <f aca="false">IF(D3671&lt;&gt;"",IFERROR(VLOOKUP(D3671,PROVEEDORES!$A:$C,3,0),""),"")</f>
        <v/>
      </c>
      <c r="G3671" s="87"/>
      <c r="H3671" s="46" t="str">
        <f aca="false">IF(G3671&lt;&gt;"",IFERROR(VLOOKUP(G3671,PRODUCTOS!$A:$B,2,0),"!COD NO ENCONTRADO"),"")</f>
        <v/>
      </c>
      <c r="I3671" s="89"/>
      <c r="J3671" s="90"/>
      <c r="K3671" s="91"/>
      <c r="L3671" s="80" t="str">
        <f aca="false">IF(AND(J3671&lt;&gt;"",K3671&lt;&gt;""),J3671*K3671,"")</f>
        <v/>
      </c>
      <c r="M3671" s="81" t="str">
        <f aca="false">IF(L3671&lt;&gt;"",L3671*1.1,"")</f>
        <v/>
      </c>
      <c r="N3671" s="47" t="n">
        <f aca="false">IF(F3671="S",L3671*0.02,0)</f>
        <v>0</v>
      </c>
      <c r="O3671" s="82" t="str">
        <f aca="false">IF(L3671&lt;&gt;"",L3671+N3671,"")</f>
        <v/>
      </c>
      <c r="P3671" s="47" t="str">
        <f aca="false">IF(O3671&lt;&gt;"",O3671*0.1,"")</f>
        <v/>
      </c>
      <c r="Q3671" s="83" t="str">
        <f aca="false">IF(O3671&lt;&gt;"",O3671+P3671,"")</f>
        <v/>
      </c>
      <c r="R3671" s="84"/>
    </row>
    <row r="3672" customFormat="false" ht="15" hidden="false" customHeight="true" outlineLevel="0" collapsed="false">
      <c r="A3672" s="103"/>
      <c r="B3672" s="73"/>
      <c r="C3672" s="74"/>
      <c r="D3672" s="75"/>
      <c r="E3672" s="52" t="str">
        <f aca="false">IF(D3672&lt;&gt;"",IFERROR(VLOOKUP(D3672,PROVEEDORES!$A:$B,2,0),"!COD NO ENCONTRADO"),"")</f>
        <v/>
      </c>
      <c r="F3672" s="76" t="str">
        <f aca="false">IF(D3672&lt;&gt;"",IFERROR(VLOOKUP(D3672,PROVEEDORES!$A:$C,3,0),""),"")</f>
        <v/>
      </c>
      <c r="G3672" s="75"/>
      <c r="H3672" s="52" t="str">
        <f aca="false">IF(G3672&lt;&gt;"",IFERROR(VLOOKUP(G3672,PRODUCTOS!$A:$B,2,0),"!COD NO ENCONTRADO"),"")</f>
        <v/>
      </c>
      <c r="I3672" s="77"/>
      <c r="J3672" s="78"/>
      <c r="K3672" s="79"/>
      <c r="L3672" s="80" t="str">
        <f aca="false">IF(AND(J3672&lt;&gt;"",K3672&lt;&gt;""),J3672*K3672,"")</f>
        <v/>
      </c>
      <c r="M3672" s="81" t="str">
        <f aca="false">IF(L3672&lt;&gt;"",L3672*1.1,"")</f>
        <v/>
      </c>
      <c r="N3672" s="53" t="n">
        <f aca="false">IF(F3672="S",L3672*0.02,0)</f>
        <v>0</v>
      </c>
      <c r="O3672" s="82" t="str">
        <f aca="false">IF(L3672&lt;&gt;"",L3672+N3672,"")</f>
        <v/>
      </c>
      <c r="P3672" s="53" t="str">
        <f aca="false">IF(O3672&lt;&gt;"",O3672*0.1,"")</f>
        <v/>
      </c>
      <c r="Q3672" s="83" t="str">
        <f aca="false">IF(O3672&lt;&gt;"",O3672+P3672,"")</f>
        <v/>
      </c>
      <c r="R3672" s="84"/>
    </row>
    <row r="3673" customFormat="false" ht="15" hidden="false" customHeight="true" outlineLevel="0" collapsed="false">
      <c r="A3673" s="103"/>
      <c r="B3673" s="85"/>
      <c r="C3673" s="86"/>
      <c r="D3673" s="87"/>
      <c r="E3673" s="46" t="str">
        <f aca="false">IF(D3673&lt;&gt;"",IFERROR(VLOOKUP(D3673,PROVEEDORES!$A:$B,2,0),"!COD NO ENCONTRADO"),"")</f>
        <v/>
      </c>
      <c r="F3673" s="88" t="str">
        <f aca="false">IF(D3673&lt;&gt;"",IFERROR(VLOOKUP(D3673,PROVEEDORES!$A:$C,3,0),""),"")</f>
        <v/>
      </c>
      <c r="G3673" s="87"/>
      <c r="H3673" s="46" t="str">
        <f aca="false">IF(G3673&lt;&gt;"",IFERROR(VLOOKUP(G3673,PRODUCTOS!$A:$B,2,0),"!COD NO ENCONTRADO"),"")</f>
        <v/>
      </c>
      <c r="I3673" s="89"/>
      <c r="J3673" s="90"/>
      <c r="K3673" s="91"/>
      <c r="L3673" s="80" t="str">
        <f aca="false">IF(AND(J3673&lt;&gt;"",K3673&lt;&gt;""),J3673*K3673,"")</f>
        <v/>
      </c>
      <c r="M3673" s="81" t="str">
        <f aca="false">IF(L3673&lt;&gt;"",L3673*1.1,"")</f>
        <v/>
      </c>
      <c r="N3673" s="47" t="n">
        <f aca="false">IF(F3673="S",L3673*0.02,0)</f>
        <v>0</v>
      </c>
      <c r="O3673" s="82" t="str">
        <f aca="false">IF(L3673&lt;&gt;"",L3673+N3673,"")</f>
        <v/>
      </c>
      <c r="P3673" s="47" t="str">
        <f aca="false">IF(O3673&lt;&gt;"",O3673*0.1,"")</f>
        <v/>
      </c>
      <c r="Q3673" s="83" t="str">
        <f aca="false">IF(O3673&lt;&gt;"",O3673+P3673,"")</f>
        <v/>
      </c>
      <c r="R3673" s="84"/>
    </row>
    <row r="3674" customFormat="false" ht="15" hidden="false" customHeight="true" outlineLevel="0" collapsed="false">
      <c r="A3674" s="103"/>
      <c r="B3674" s="73"/>
      <c r="C3674" s="74"/>
      <c r="D3674" s="75"/>
      <c r="E3674" s="52" t="str">
        <f aca="false">IF(D3674&lt;&gt;"",IFERROR(VLOOKUP(D3674,PROVEEDORES!$A:$B,2,0),"!COD NO ENCONTRADO"),"")</f>
        <v/>
      </c>
      <c r="F3674" s="76" t="str">
        <f aca="false">IF(D3674&lt;&gt;"",IFERROR(VLOOKUP(D3674,PROVEEDORES!$A:$C,3,0),""),"")</f>
        <v/>
      </c>
      <c r="G3674" s="75"/>
      <c r="H3674" s="52" t="str">
        <f aca="false">IF(G3674&lt;&gt;"",IFERROR(VLOOKUP(G3674,PRODUCTOS!$A:$B,2,0),"!COD NO ENCONTRADO"),"")</f>
        <v/>
      </c>
      <c r="I3674" s="77"/>
      <c r="J3674" s="78"/>
      <c r="K3674" s="79"/>
      <c r="L3674" s="80" t="str">
        <f aca="false">IF(AND(J3674&lt;&gt;"",K3674&lt;&gt;""),J3674*K3674,"")</f>
        <v/>
      </c>
      <c r="M3674" s="81" t="str">
        <f aca="false">IF(L3674&lt;&gt;"",L3674*1.1,"")</f>
        <v/>
      </c>
      <c r="N3674" s="53" t="n">
        <f aca="false">IF(F3674="S",L3674*0.02,0)</f>
        <v>0</v>
      </c>
      <c r="O3674" s="82" t="str">
        <f aca="false">IF(L3674&lt;&gt;"",L3674+N3674,"")</f>
        <v/>
      </c>
      <c r="P3674" s="53" t="str">
        <f aca="false">IF(O3674&lt;&gt;"",O3674*0.1,"")</f>
        <v/>
      </c>
      <c r="Q3674" s="83" t="str">
        <f aca="false">IF(O3674&lt;&gt;"",O3674+P3674,"")</f>
        <v/>
      </c>
      <c r="R3674" s="84"/>
    </row>
    <row r="3675" customFormat="false" ht="15" hidden="false" customHeight="true" outlineLevel="0" collapsed="false">
      <c r="A3675" s="103"/>
      <c r="B3675" s="85"/>
      <c r="C3675" s="86"/>
      <c r="D3675" s="87"/>
      <c r="E3675" s="46" t="str">
        <f aca="false">IF(D3675&lt;&gt;"",IFERROR(VLOOKUP(D3675,PROVEEDORES!$A:$B,2,0),"!COD NO ENCONTRADO"),"")</f>
        <v/>
      </c>
      <c r="F3675" s="88" t="str">
        <f aca="false">IF(D3675&lt;&gt;"",IFERROR(VLOOKUP(D3675,PROVEEDORES!$A:$C,3,0),""),"")</f>
        <v/>
      </c>
      <c r="G3675" s="87"/>
      <c r="H3675" s="46" t="str">
        <f aca="false">IF(G3675&lt;&gt;"",IFERROR(VLOOKUP(G3675,PRODUCTOS!$A:$B,2,0),"!COD NO ENCONTRADO"),"")</f>
        <v/>
      </c>
      <c r="I3675" s="89"/>
      <c r="J3675" s="90"/>
      <c r="K3675" s="91"/>
      <c r="L3675" s="80" t="str">
        <f aca="false">IF(AND(J3675&lt;&gt;"",K3675&lt;&gt;""),J3675*K3675,"")</f>
        <v/>
      </c>
      <c r="M3675" s="81" t="str">
        <f aca="false">IF(L3675&lt;&gt;"",L3675*1.1,"")</f>
        <v/>
      </c>
      <c r="N3675" s="47" t="n">
        <f aca="false">IF(F3675="S",L3675*0.02,0)</f>
        <v>0</v>
      </c>
      <c r="O3675" s="82" t="str">
        <f aca="false">IF(L3675&lt;&gt;"",L3675+N3675,"")</f>
        <v/>
      </c>
      <c r="P3675" s="47" t="str">
        <f aca="false">IF(O3675&lt;&gt;"",O3675*0.1,"")</f>
        <v/>
      </c>
      <c r="Q3675" s="83" t="str">
        <f aca="false">IF(O3675&lt;&gt;"",O3675+P3675,"")</f>
        <v/>
      </c>
      <c r="R3675" s="84"/>
    </row>
    <row r="3676" customFormat="false" ht="15" hidden="false" customHeight="true" outlineLevel="0" collapsed="false">
      <c r="A3676" s="103"/>
      <c r="B3676" s="73"/>
      <c r="C3676" s="74"/>
      <c r="D3676" s="75"/>
      <c r="E3676" s="52" t="str">
        <f aca="false">IF(D3676&lt;&gt;"",IFERROR(VLOOKUP(D3676,PROVEEDORES!$A:$B,2,0),"!COD NO ENCONTRADO"),"")</f>
        <v/>
      </c>
      <c r="F3676" s="76" t="str">
        <f aca="false">IF(D3676&lt;&gt;"",IFERROR(VLOOKUP(D3676,PROVEEDORES!$A:$C,3,0),""),"")</f>
        <v/>
      </c>
      <c r="G3676" s="75"/>
      <c r="H3676" s="52" t="str">
        <f aca="false">IF(G3676&lt;&gt;"",IFERROR(VLOOKUP(G3676,PRODUCTOS!$A:$B,2,0),"!COD NO ENCONTRADO"),"")</f>
        <v/>
      </c>
      <c r="I3676" s="77"/>
      <c r="J3676" s="78"/>
      <c r="K3676" s="79"/>
      <c r="L3676" s="80" t="str">
        <f aca="false">IF(AND(J3676&lt;&gt;"",K3676&lt;&gt;""),J3676*K3676,"")</f>
        <v/>
      </c>
      <c r="M3676" s="81" t="str">
        <f aca="false">IF(L3676&lt;&gt;"",L3676*1.1,"")</f>
        <v/>
      </c>
      <c r="N3676" s="53" t="n">
        <f aca="false">IF(F3676="S",L3676*0.02,0)</f>
        <v>0</v>
      </c>
      <c r="O3676" s="82" t="str">
        <f aca="false">IF(L3676&lt;&gt;"",L3676+N3676,"")</f>
        <v/>
      </c>
      <c r="P3676" s="53" t="str">
        <f aca="false">IF(O3676&lt;&gt;"",O3676*0.1,"")</f>
        <v/>
      </c>
      <c r="Q3676" s="83" t="str">
        <f aca="false">IF(O3676&lt;&gt;"",O3676+P3676,"")</f>
        <v/>
      </c>
      <c r="R3676" s="84"/>
    </row>
    <row r="3677" customFormat="false" ht="15" hidden="false" customHeight="true" outlineLevel="0" collapsed="false">
      <c r="A3677" s="103"/>
      <c r="B3677" s="85"/>
      <c r="C3677" s="86"/>
      <c r="D3677" s="87"/>
      <c r="E3677" s="46" t="str">
        <f aca="false">IF(D3677&lt;&gt;"",IFERROR(VLOOKUP(D3677,PROVEEDORES!$A:$B,2,0),"!COD NO ENCONTRADO"),"")</f>
        <v/>
      </c>
      <c r="F3677" s="88" t="str">
        <f aca="false">IF(D3677&lt;&gt;"",IFERROR(VLOOKUP(D3677,PROVEEDORES!$A:$C,3,0),""),"")</f>
        <v/>
      </c>
      <c r="G3677" s="87"/>
      <c r="H3677" s="46" t="str">
        <f aca="false">IF(G3677&lt;&gt;"",IFERROR(VLOOKUP(G3677,PRODUCTOS!$A:$B,2,0),"!COD NO ENCONTRADO"),"")</f>
        <v/>
      </c>
      <c r="I3677" s="89"/>
      <c r="J3677" s="90"/>
      <c r="K3677" s="91"/>
      <c r="L3677" s="80" t="str">
        <f aca="false">IF(AND(J3677&lt;&gt;"",K3677&lt;&gt;""),J3677*K3677,"")</f>
        <v/>
      </c>
      <c r="M3677" s="81" t="str">
        <f aca="false">IF(L3677&lt;&gt;"",L3677*1.1,"")</f>
        <v/>
      </c>
      <c r="N3677" s="47" t="n">
        <f aca="false">IF(F3677="S",L3677*0.02,0)</f>
        <v>0</v>
      </c>
      <c r="O3677" s="82" t="str">
        <f aca="false">IF(L3677&lt;&gt;"",L3677+N3677,"")</f>
        <v/>
      </c>
      <c r="P3677" s="47" t="str">
        <f aca="false">IF(O3677&lt;&gt;"",O3677*0.1,"")</f>
        <v/>
      </c>
      <c r="Q3677" s="83" t="str">
        <f aca="false">IF(O3677&lt;&gt;"",O3677+P3677,"")</f>
        <v/>
      </c>
      <c r="R3677" s="84"/>
    </row>
    <row r="3678" customFormat="false" ht="15" hidden="false" customHeight="true" outlineLevel="0" collapsed="false">
      <c r="A3678" s="103"/>
      <c r="B3678" s="73"/>
      <c r="C3678" s="74"/>
      <c r="D3678" s="75"/>
      <c r="E3678" s="52" t="str">
        <f aca="false">IF(D3678&lt;&gt;"",IFERROR(VLOOKUP(D3678,PROVEEDORES!$A:$B,2,0),"!COD NO ENCONTRADO"),"")</f>
        <v/>
      </c>
      <c r="F3678" s="76" t="str">
        <f aca="false">IF(D3678&lt;&gt;"",IFERROR(VLOOKUP(D3678,PROVEEDORES!$A:$C,3,0),""),"")</f>
        <v/>
      </c>
      <c r="G3678" s="75"/>
      <c r="H3678" s="52" t="str">
        <f aca="false">IF(G3678&lt;&gt;"",IFERROR(VLOOKUP(G3678,PRODUCTOS!$A:$B,2,0),"!COD NO ENCONTRADO"),"")</f>
        <v/>
      </c>
      <c r="I3678" s="77"/>
      <c r="J3678" s="78"/>
      <c r="K3678" s="79"/>
      <c r="L3678" s="80" t="str">
        <f aca="false">IF(AND(J3678&lt;&gt;"",K3678&lt;&gt;""),J3678*K3678,"")</f>
        <v/>
      </c>
      <c r="M3678" s="81" t="str">
        <f aca="false">IF(L3678&lt;&gt;"",L3678*1.1,"")</f>
        <v/>
      </c>
      <c r="N3678" s="53" t="n">
        <f aca="false">IF(F3678="S",L3678*0.02,0)</f>
        <v>0</v>
      </c>
      <c r="O3678" s="82" t="str">
        <f aca="false">IF(L3678&lt;&gt;"",L3678+N3678,"")</f>
        <v/>
      </c>
      <c r="P3678" s="53" t="str">
        <f aca="false">IF(O3678&lt;&gt;"",O3678*0.1,"")</f>
        <v/>
      </c>
      <c r="Q3678" s="83" t="str">
        <f aca="false">IF(O3678&lt;&gt;"",O3678+P3678,"")</f>
        <v/>
      </c>
      <c r="R3678" s="84"/>
    </row>
    <row r="3679" customFormat="false" ht="15" hidden="false" customHeight="true" outlineLevel="0" collapsed="false">
      <c r="A3679" s="103"/>
      <c r="B3679" s="85"/>
      <c r="C3679" s="86"/>
      <c r="D3679" s="87"/>
      <c r="E3679" s="46" t="str">
        <f aca="false">IF(D3679&lt;&gt;"",IFERROR(VLOOKUP(D3679,PROVEEDORES!$A:$B,2,0),"!COD NO ENCONTRADO"),"")</f>
        <v/>
      </c>
      <c r="F3679" s="88" t="str">
        <f aca="false">IF(D3679&lt;&gt;"",IFERROR(VLOOKUP(D3679,PROVEEDORES!$A:$C,3,0),""),"")</f>
        <v/>
      </c>
      <c r="G3679" s="87"/>
      <c r="H3679" s="46" t="str">
        <f aca="false">IF(G3679&lt;&gt;"",IFERROR(VLOOKUP(G3679,PRODUCTOS!$A:$B,2,0),"!COD NO ENCONTRADO"),"")</f>
        <v/>
      </c>
      <c r="I3679" s="89"/>
      <c r="J3679" s="90"/>
      <c r="K3679" s="91"/>
      <c r="L3679" s="80" t="str">
        <f aca="false">IF(AND(J3679&lt;&gt;"",K3679&lt;&gt;""),J3679*K3679,"")</f>
        <v/>
      </c>
      <c r="M3679" s="81" t="str">
        <f aca="false">IF(L3679&lt;&gt;"",L3679*1.1,"")</f>
        <v/>
      </c>
      <c r="N3679" s="47" t="n">
        <f aca="false">IF(F3679="S",L3679*0.02,0)</f>
        <v>0</v>
      </c>
      <c r="O3679" s="82" t="str">
        <f aca="false">IF(L3679&lt;&gt;"",L3679+N3679,"")</f>
        <v/>
      </c>
      <c r="P3679" s="47" t="str">
        <f aca="false">IF(O3679&lt;&gt;"",O3679*0.1,"")</f>
        <v/>
      </c>
      <c r="Q3679" s="83" t="str">
        <f aca="false">IF(O3679&lt;&gt;"",O3679+P3679,"")</f>
        <v/>
      </c>
      <c r="R3679" s="84"/>
    </row>
    <row r="3680" customFormat="false" ht="15" hidden="false" customHeight="true" outlineLevel="0" collapsed="false">
      <c r="A3680" s="103"/>
      <c r="B3680" s="73"/>
      <c r="C3680" s="74"/>
      <c r="D3680" s="75"/>
      <c r="E3680" s="52" t="str">
        <f aca="false">IF(D3680&lt;&gt;"",IFERROR(VLOOKUP(D3680,PROVEEDORES!$A:$B,2,0),"!COD NO ENCONTRADO"),"")</f>
        <v/>
      </c>
      <c r="F3680" s="76" t="str">
        <f aca="false">IF(D3680&lt;&gt;"",IFERROR(VLOOKUP(D3680,PROVEEDORES!$A:$C,3,0),""),"")</f>
        <v/>
      </c>
      <c r="G3680" s="75"/>
      <c r="H3680" s="52" t="str">
        <f aca="false">IF(G3680&lt;&gt;"",IFERROR(VLOOKUP(G3680,PRODUCTOS!$A:$B,2,0),"!COD NO ENCONTRADO"),"")</f>
        <v/>
      </c>
      <c r="I3680" s="77"/>
      <c r="J3680" s="78"/>
      <c r="K3680" s="79"/>
      <c r="L3680" s="80" t="str">
        <f aca="false">IF(AND(J3680&lt;&gt;"",K3680&lt;&gt;""),J3680*K3680,"")</f>
        <v/>
      </c>
      <c r="M3680" s="81" t="str">
        <f aca="false">IF(L3680&lt;&gt;"",L3680*1.1,"")</f>
        <v/>
      </c>
      <c r="N3680" s="53" t="n">
        <f aca="false">IF(F3680="S",L3680*0.02,0)</f>
        <v>0</v>
      </c>
      <c r="O3680" s="82" t="str">
        <f aca="false">IF(L3680&lt;&gt;"",L3680+N3680,"")</f>
        <v/>
      </c>
      <c r="P3680" s="53" t="str">
        <f aca="false">IF(O3680&lt;&gt;"",O3680*0.1,"")</f>
        <v/>
      </c>
      <c r="Q3680" s="83" t="str">
        <f aca="false">IF(O3680&lt;&gt;"",O3680+P3680,"")</f>
        <v/>
      </c>
      <c r="R3680" s="84"/>
    </row>
    <row r="3681" customFormat="false" ht="15" hidden="false" customHeight="true" outlineLevel="0" collapsed="false">
      <c r="A3681" s="103"/>
      <c r="B3681" s="85"/>
      <c r="C3681" s="86"/>
      <c r="D3681" s="87"/>
      <c r="E3681" s="46" t="str">
        <f aca="false">IF(D3681&lt;&gt;"",IFERROR(VLOOKUP(D3681,PROVEEDORES!$A:$B,2,0),"!COD NO ENCONTRADO"),"")</f>
        <v/>
      </c>
      <c r="F3681" s="88" t="str">
        <f aca="false">IF(D3681&lt;&gt;"",IFERROR(VLOOKUP(D3681,PROVEEDORES!$A:$C,3,0),""),"")</f>
        <v/>
      </c>
      <c r="G3681" s="87"/>
      <c r="H3681" s="46" t="str">
        <f aca="false">IF(G3681&lt;&gt;"",IFERROR(VLOOKUP(G3681,PRODUCTOS!$A:$B,2,0),"!COD NO ENCONTRADO"),"")</f>
        <v/>
      </c>
      <c r="I3681" s="89"/>
      <c r="J3681" s="90"/>
      <c r="K3681" s="91"/>
      <c r="L3681" s="80" t="str">
        <f aca="false">IF(AND(J3681&lt;&gt;"",K3681&lt;&gt;""),J3681*K3681,"")</f>
        <v/>
      </c>
      <c r="M3681" s="81" t="str">
        <f aca="false">IF(L3681&lt;&gt;"",L3681*1.1,"")</f>
        <v/>
      </c>
      <c r="N3681" s="47" t="n">
        <f aca="false">IF(F3681="S",L3681*0.02,0)</f>
        <v>0</v>
      </c>
      <c r="O3681" s="82" t="str">
        <f aca="false">IF(L3681&lt;&gt;"",L3681+N3681,"")</f>
        <v/>
      </c>
      <c r="P3681" s="47" t="str">
        <f aca="false">IF(O3681&lt;&gt;"",O3681*0.1,"")</f>
        <v/>
      </c>
      <c r="Q3681" s="83" t="str">
        <f aca="false">IF(O3681&lt;&gt;"",O3681+P3681,"")</f>
        <v/>
      </c>
      <c r="R3681" s="84"/>
    </row>
    <row r="3682" customFormat="false" ht="15" hidden="false" customHeight="true" outlineLevel="0" collapsed="false">
      <c r="A3682" s="103"/>
      <c r="B3682" s="73"/>
      <c r="C3682" s="74"/>
      <c r="D3682" s="75"/>
      <c r="E3682" s="52" t="str">
        <f aca="false">IF(D3682&lt;&gt;"",IFERROR(VLOOKUP(D3682,PROVEEDORES!$A:$B,2,0),"!COD NO ENCONTRADO"),"")</f>
        <v/>
      </c>
      <c r="F3682" s="76" t="str">
        <f aca="false">IF(D3682&lt;&gt;"",IFERROR(VLOOKUP(D3682,PROVEEDORES!$A:$C,3,0),""),"")</f>
        <v/>
      </c>
      <c r="G3682" s="75"/>
      <c r="H3682" s="52" t="str">
        <f aca="false">IF(G3682&lt;&gt;"",IFERROR(VLOOKUP(G3682,PRODUCTOS!$A:$B,2,0),"!COD NO ENCONTRADO"),"")</f>
        <v/>
      </c>
      <c r="I3682" s="77"/>
      <c r="J3682" s="78"/>
      <c r="K3682" s="79"/>
      <c r="L3682" s="80" t="str">
        <f aca="false">IF(AND(J3682&lt;&gt;"",K3682&lt;&gt;""),J3682*K3682,"")</f>
        <v/>
      </c>
      <c r="M3682" s="81" t="str">
        <f aca="false">IF(L3682&lt;&gt;"",L3682*1.1,"")</f>
        <v/>
      </c>
      <c r="N3682" s="53" t="n">
        <f aca="false">IF(F3682="S",L3682*0.02,0)</f>
        <v>0</v>
      </c>
      <c r="O3682" s="82" t="str">
        <f aca="false">IF(L3682&lt;&gt;"",L3682+N3682,"")</f>
        <v/>
      </c>
      <c r="P3682" s="53" t="str">
        <f aca="false">IF(O3682&lt;&gt;"",O3682*0.1,"")</f>
        <v/>
      </c>
      <c r="Q3682" s="83" t="str">
        <f aca="false">IF(O3682&lt;&gt;"",O3682+P3682,"")</f>
        <v/>
      </c>
      <c r="R3682" s="84"/>
    </row>
    <row r="3683" customFormat="false" ht="15" hidden="false" customHeight="true" outlineLevel="0" collapsed="false">
      <c r="A3683" s="103"/>
      <c r="B3683" s="85"/>
      <c r="C3683" s="86"/>
      <c r="D3683" s="87"/>
      <c r="E3683" s="46" t="str">
        <f aca="false">IF(D3683&lt;&gt;"",IFERROR(VLOOKUP(D3683,PROVEEDORES!$A:$B,2,0),"!COD NO ENCONTRADO"),"")</f>
        <v/>
      </c>
      <c r="F3683" s="88" t="str">
        <f aca="false">IF(D3683&lt;&gt;"",IFERROR(VLOOKUP(D3683,PROVEEDORES!$A:$C,3,0),""),"")</f>
        <v/>
      </c>
      <c r="G3683" s="87"/>
      <c r="H3683" s="46" t="str">
        <f aca="false">IF(G3683&lt;&gt;"",IFERROR(VLOOKUP(G3683,PRODUCTOS!$A:$B,2,0),"!COD NO ENCONTRADO"),"")</f>
        <v/>
      </c>
      <c r="I3683" s="89"/>
      <c r="J3683" s="90"/>
      <c r="K3683" s="91"/>
      <c r="L3683" s="80" t="str">
        <f aca="false">IF(AND(J3683&lt;&gt;"",K3683&lt;&gt;""),J3683*K3683,"")</f>
        <v/>
      </c>
      <c r="M3683" s="81" t="str">
        <f aca="false">IF(L3683&lt;&gt;"",L3683*1.1,"")</f>
        <v/>
      </c>
      <c r="N3683" s="47" t="n">
        <f aca="false">IF(F3683="S",L3683*0.02,0)</f>
        <v>0</v>
      </c>
      <c r="O3683" s="82" t="str">
        <f aca="false">IF(L3683&lt;&gt;"",L3683+N3683,"")</f>
        <v/>
      </c>
      <c r="P3683" s="47" t="str">
        <f aca="false">IF(O3683&lt;&gt;"",O3683*0.1,"")</f>
        <v/>
      </c>
      <c r="Q3683" s="83" t="str">
        <f aca="false">IF(O3683&lt;&gt;"",O3683+P3683,"")</f>
        <v/>
      </c>
      <c r="R3683" s="84"/>
    </row>
    <row r="3684" customFormat="false" ht="15" hidden="false" customHeight="true" outlineLevel="0" collapsed="false">
      <c r="A3684" s="103"/>
      <c r="B3684" s="73"/>
      <c r="C3684" s="74"/>
      <c r="D3684" s="75"/>
      <c r="E3684" s="52" t="str">
        <f aca="false">IF(D3684&lt;&gt;"",IFERROR(VLOOKUP(D3684,PROVEEDORES!$A:$B,2,0),"!COD NO ENCONTRADO"),"")</f>
        <v/>
      </c>
      <c r="F3684" s="76" t="str">
        <f aca="false">IF(D3684&lt;&gt;"",IFERROR(VLOOKUP(D3684,PROVEEDORES!$A:$C,3,0),""),"")</f>
        <v/>
      </c>
      <c r="G3684" s="75"/>
      <c r="H3684" s="52" t="str">
        <f aca="false">IF(G3684&lt;&gt;"",IFERROR(VLOOKUP(G3684,PRODUCTOS!$A:$B,2,0),"!COD NO ENCONTRADO"),"")</f>
        <v/>
      </c>
      <c r="I3684" s="77"/>
      <c r="J3684" s="78"/>
      <c r="K3684" s="79"/>
      <c r="L3684" s="80" t="str">
        <f aca="false">IF(AND(J3684&lt;&gt;"",K3684&lt;&gt;""),J3684*K3684,"")</f>
        <v/>
      </c>
      <c r="M3684" s="81" t="str">
        <f aca="false">IF(L3684&lt;&gt;"",L3684*1.1,"")</f>
        <v/>
      </c>
      <c r="N3684" s="53" t="n">
        <f aca="false">IF(F3684="S",L3684*0.02,0)</f>
        <v>0</v>
      </c>
      <c r="O3684" s="82" t="str">
        <f aca="false">IF(L3684&lt;&gt;"",L3684+N3684,"")</f>
        <v/>
      </c>
      <c r="P3684" s="53" t="str">
        <f aca="false">IF(O3684&lt;&gt;"",O3684*0.1,"")</f>
        <v/>
      </c>
      <c r="Q3684" s="83" t="str">
        <f aca="false">IF(O3684&lt;&gt;"",O3684+P3684,"")</f>
        <v/>
      </c>
      <c r="R3684" s="84"/>
    </row>
    <row r="3685" customFormat="false" ht="15" hidden="false" customHeight="true" outlineLevel="0" collapsed="false">
      <c r="A3685" s="103"/>
      <c r="B3685" s="85"/>
      <c r="C3685" s="86"/>
      <c r="D3685" s="87"/>
      <c r="E3685" s="46" t="str">
        <f aca="false">IF(D3685&lt;&gt;"",IFERROR(VLOOKUP(D3685,PROVEEDORES!$A:$B,2,0),"!COD NO ENCONTRADO"),"")</f>
        <v/>
      </c>
      <c r="F3685" s="88" t="str">
        <f aca="false">IF(D3685&lt;&gt;"",IFERROR(VLOOKUP(D3685,PROVEEDORES!$A:$C,3,0),""),"")</f>
        <v/>
      </c>
      <c r="G3685" s="87"/>
      <c r="H3685" s="46" t="str">
        <f aca="false">IF(G3685&lt;&gt;"",IFERROR(VLOOKUP(G3685,PRODUCTOS!$A:$B,2,0),"!COD NO ENCONTRADO"),"")</f>
        <v/>
      </c>
      <c r="I3685" s="89"/>
      <c r="J3685" s="90"/>
      <c r="K3685" s="91"/>
      <c r="L3685" s="80" t="str">
        <f aca="false">IF(AND(J3685&lt;&gt;"",K3685&lt;&gt;""),J3685*K3685,"")</f>
        <v/>
      </c>
      <c r="M3685" s="81" t="str">
        <f aca="false">IF(L3685&lt;&gt;"",L3685*1.1,"")</f>
        <v/>
      </c>
      <c r="N3685" s="47" t="n">
        <f aca="false">IF(F3685="S",L3685*0.02,0)</f>
        <v>0</v>
      </c>
      <c r="O3685" s="82" t="str">
        <f aca="false">IF(L3685&lt;&gt;"",L3685+N3685,"")</f>
        <v/>
      </c>
      <c r="P3685" s="47" t="str">
        <f aca="false">IF(O3685&lt;&gt;"",O3685*0.1,"")</f>
        <v/>
      </c>
      <c r="Q3685" s="83" t="str">
        <f aca="false">IF(O3685&lt;&gt;"",O3685+P3685,"")</f>
        <v/>
      </c>
      <c r="R3685" s="84"/>
    </row>
    <row r="3686" customFormat="false" ht="15" hidden="false" customHeight="true" outlineLevel="0" collapsed="false">
      <c r="A3686" s="103"/>
      <c r="B3686" s="73"/>
      <c r="C3686" s="74"/>
      <c r="D3686" s="75"/>
      <c r="E3686" s="52" t="str">
        <f aca="false">IF(D3686&lt;&gt;"",IFERROR(VLOOKUP(D3686,PROVEEDORES!$A:$B,2,0),"!COD NO ENCONTRADO"),"")</f>
        <v/>
      </c>
      <c r="F3686" s="76" t="str">
        <f aca="false">IF(D3686&lt;&gt;"",IFERROR(VLOOKUP(D3686,PROVEEDORES!$A:$C,3,0),""),"")</f>
        <v/>
      </c>
      <c r="G3686" s="75"/>
      <c r="H3686" s="52" t="str">
        <f aca="false">IF(G3686&lt;&gt;"",IFERROR(VLOOKUP(G3686,PRODUCTOS!$A:$B,2,0),"!COD NO ENCONTRADO"),"")</f>
        <v/>
      </c>
      <c r="I3686" s="77"/>
      <c r="J3686" s="78"/>
      <c r="K3686" s="79"/>
      <c r="L3686" s="80" t="str">
        <f aca="false">IF(AND(J3686&lt;&gt;"",K3686&lt;&gt;""),J3686*K3686,"")</f>
        <v/>
      </c>
      <c r="M3686" s="81" t="str">
        <f aca="false">IF(L3686&lt;&gt;"",L3686*1.1,"")</f>
        <v/>
      </c>
      <c r="N3686" s="53" t="n">
        <f aca="false">IF(F3686="S",L3686*0.02,0)</f>
        <v>0</v>
      </c>
      <c r="O3686" s="82" t="str">
        <f aca="false">IF(L3686&lt;&gt;"",L3686+N3686,"")</f>
        <v/>
      </c>
      <c r="P3686" s="53" t="str">
        <f aca="false">IF(O3686&lt;&gt;"",O3686*0.1,"")</f>
        <v/>
      </c>
      <c r="Q3686" s="83" t="str">
        <f aca="false">IF(O3686&lt;&gt;"",O3686+P3686,"")</f>
        <v/>
      </c>
      <c r="R3686" s="84"/>
    </row>
    <row r="3687" customFormat="false" ht="15" hidden="false" customHeight="true" outlineLevel="0" collapsed="false">
      <c r="A3687" s="103"/>
      <c r="B3687" s="85"/>
      <c r="C3687" s="86"/>
      <c r="D3687" s="87"/>
      <c r="E3687" s="46" t="str">
        <f aca="false">IF(D3687&lt;&gt;"",IFERROR(VLOOKUP(D3687,PROVEEDORES!$A:$B,2,0),"!COD NO ENCONTRADO"),"")</f>
        <v/>
      </c>
      <c r="F3687" s="88" t="str">
        <f aca="false">IF(D3687&lt;&gt;"",IFERROR(VLOOKUP(D3687,PROVEEDORES!$A:$C,3,0),""),"")</f>
        <v/>
      </c>
      <c r="G3687" s="87"/>
      <c r="H3687" s="46" t="str">
        <f aca="false">IF(G3687&lt;&gt;"",IFERROR(VLOOKUP(G3687,PRODUCTOS!$A:$B,2,0),"!COD NO ENCONTRADO"),"")</f>
        <v/>
      </c>
      <c r="I3687" s="89"/>
      <c r="J3687" s="90"/>
      <c r="K3687" s="91"/>
      <c r="L3687" s="80" t="str">
        <f aca="false">IF(AND(J3687&lt;&gt;"",K3687&lt;&gt;""),J3687*K3687,"")</f>
        <v/>
      </c>
      <c r="M3687" s="81" t="str">
        <f aca="false">IF(L3687&lt;&gt;"",L3687*1.1,"")</f>
        <v/>
      </c>
      <c r="N3687" s="47" t="n">
        <f aca="false">IF(F3687="S",L3687*0.02,0)</f>
        <v>0</v>
      </c>
      <c r="O3687" s="82" t="str">
        <f aca="false">IF(L3687&lt;&gt;"",L3687+N3687,"")</f>
        <v/>
      </c>
      <c r="P3687" s="47" t="str">
        <f aca="false">IF(O3687&lt;&gt;"",O3687*0.1,"")</f>
        <v/>
      </c>
      <c r="Q3687" s="83" t="str">
        <f aca="false">IF(O3687&lt;&gt;"",O3687+P3687,"")</f>
        <v/>
      </c>
      <c r="R3687" s="84"/>
    </row>
    <row r="3688" customFormat="false" ht="15" hidden="false" customHeight="true" outlineLevel="0" collapsed="false">
      <c r="A3688" s="103"/>
      <c r="B3688" s="73"/>
      <c r="C3688" s="74"/>
      <c r="D3688" s="75"/>
      <c r="E3688" s="52" t="str">
        <f aca="false">IF(D3688&lt;&gt;"",IFERROR(VLOOKUP(D3688,PROVEEDORES!$A:$B,2,0),"!COD NO ENCONTRADO"),"")</f>
        <v/>
      </c>
      <c r="F3688" s="76" t="str">
        <f aca="false">IF(D3688&lt;&gt;"",IFERROR(VLOOKUP(D3688,PROVEEDORES!$A:$C,3,0),""),"")</f>
        <v/>
      </c>
      <c r="G3688" s="75"/>
      <c r="H3688" s="52" t="str">
        <f aca="false">IF(G3688&lt;&gt;"",IFERROR(VLOOKUP(G3688,PRODUCTOS!$A:$B,2,0),"!COD NO ENCONTRADO"),"")</f>
        <v/>
      </c>
      <c r="I3688" s="77"/>
      <c r="J3688" s="78"/>
      <c r="K3688" s="79"/>
      <c r="L3688" s="80" t="str">
        <f aca="false">IF(AND(J3688&lt;&gt;"",K3688&lt;&gt;""),J3688*K3688,"")</f>
        <v/>
      </c>
      <c r="M3688" s="81" t="str">
        <f aca="false">IF(L3688&lt;&gt;"",L3688*1.1,"")</f>
        <v/>
      </c>
      <c r="N3688" s="53" t="n">
        <f aca="false">IF(F3688="S",L3688*0.02,0)</f>
        <v>0</v>
      </c>
      <c r="O3688" s="82" t="str">
        <f aca="false">IF(L3688&lt;&gt;"",L3688+N3688,"")</f>
        <v/>
      </c>
      <c r="P3688" s="53" t="str">
        <f aca="false">IF(O3688&lt;&gt;"",O3688*0.1,"")</f>
        <v/>
      </c>
      <c r="Q3688" s="83" t="str">
        <f aca="false">IF(O3688&lt;&gt;"",O3688+P3688,"")</f>
        <v/>
      </c>
      <c r="R3688" s="84"/>
    </row>
    <row r="3689" customFormat="false" ht="15" hidden="false" customHeight="true" outlineLevel="0" collapsed="false">
      <c r="A3689" s="103"/>
      <c r="B3689" s="85"/>
      <c r="C3689" s="86"/>
      <c r="D3689" s="87"/>
      <c r="E3689" s="46" t="str">
        <f aca="false">IF(D3689&lt;&gt;"",IFERROR(VLOOKUP(D3689,PROVEEDORES!$A:$B,2,0),"!COD NO ENCONTRADO"),"")</f>
        <v/>
      </c>
      <c r="F3689" s="88" t="str">
        <f aca="false">IF(D3689&lt;&gt;"",IFERROR(VLOOKUP(D3689,PROVEEDORES!$A:$C,3,0),""),"")</f>
        <v/>
      </c>
      <c r="G3689" s="87"/>
      <c r="H3689" s="46" t="str">
        <f aca="false">IF(G3689&lt;&gt;"",IFERROR(VLOOKUP(G3689,PRODUCTOS!$A:$B,2,0),"!COD NO ENCONTRADO"),"")</f>
        <v/>
      </c>
      <c r="I3689" s="89"/>
      <c r="J3689" s="90"/>
      <c r="K3689" s="91"/>
      <c r="L3689" s="80" t="str">
        <f aca="false">IF(AND(J3689&lt;&gt;"",K3689&lt;&gt;""),J3689*K3689,"")</f>
        <v/>
      </c>
      <c r="M3689" s="81" t="str">
        <f aca="false">IF(L3689&lt;&gt;"",L3689*1.1,"")</f>
        <v/>
      </c>
      <c r="N3689" s="47" t="n">
        <f aca="false">IF(F3689="S",L3689*0.02,0)</f>
        <v>0</v>
      </c>
      <c r="O3689" s="82" t="str">
        <f aca="false">IF(L3689&lt;&gt;"",L3689+N3689,"")</f>
        <v/>
      </c>
      <c r="P3689" s="47" t="str">
        <f aca="false">IF(O3689&lt;&gt;"",O3689*0.1,"")</f>
        <v/>
      </c>
      <c r="Q3689" s="83" t="str">
        <f aca="false">IF(O3689&lt;&gt;"",O3689+P3689,"")</f>
        <v/>
      </c>
      <c r="R3689" s="84"/>
    </row>
    <row r="3690" customFormat="false" ht="15" hidden="false" customHeight="true" outlineLevel="0" collapsed="false">
      <c r="A3690" s="103"/>
      <c r="B3690" s="73"/>
      <c r="C3690" s="74"/>
      <c r="D3690" s="75"/>
      <c r="E3690" s="52" t="str">
        <f aca="false">IF(D3690&lt;&gt;"",IFERROR(VLOOKUP(D3690,PROVEEDORES!$A:$B,2,0),"!COD NO ENCONTRADO"),"")</f>
        <v/>
      </c>
      <c r="F3690" s="76" t="str">
        <f aca="false">IF(D3690&lt;&gt;"",IFERROR(VLOOKUP(D3690,PROVEEDORES!$A:$C,3,0),""),"")</f>
        <v/>
      </c>
      <c r="G3690" s="75"/>
      <c r="H3690" s="52" t="str">
        <f aca="false">IF(G3690&lt;&gt;"",IFERROR(VLOOKUP(G3690,PRODUCTOS!$A:$B,2,0),"!COD NO ENCONTRADO"),"")</f>
        <v/>
      </c>
      <c r="I3690" s="77"/>
      <c r="J3690" s="78"/>
      <c r="K3690" s="79"/>
      <c r="L3690" s="80" t="str">
        <f aca="false">IF(AND(J3690&lt;&gt;"",K3690&lt;&gt;""),J3690*K3690,"")</f>
        <v/>
      </c>
      <c r="M3690" s="81" t="str">
        <f aca="false">IF(L3690&lt;&gt;"",L3690*1.1,"")</f>
        <v/>
      </c>
      <c r="N3690" s="53" t="n">
        <f aca="false">IF(F3690="S",L3690*0.02,0)</f>
        <v>0</v>
      </c>
      <c r="O3690" s="82" t="str">
        <f aca="false">IF(L3690&lt;&gt;"",L3690+N3690,"")</f>
        <v/>
      </c>
      <c r="P3690" s="53" t="str">
        <f aca="false">IF(O3690&lt;&gt;"",O3690*0.1,"")</f>
        <v/>
      </c>
      <c r="Q3690" s="83" t="str">
        <f aca="false">IF(O3690&lt;&gt;"",O3690+P3690,"")</f>
        <v/>
      </c>
      <c r="R3690" s="84"/>
    </row>
    <row r="3691" customFormat="false" ht="15" hidden="false" customHeight="true" outlineLevel="0" collapsed="false">
      <c r="A3691" s="103"/>
      <c r="B3691" s="85"/>
      <c r="C3691" s="86"/>
      <c r="D3691" s="87"/>
      <c r="E3691" s="46" t="str">
        <f aca="false">IF(D3691&lt;&gt;"",IFERROR(VLOOKUP(D3691,PROVEEDORES!$A:$B,2,0),"!COD NO ENCONTRADO"),"")</f>
        <v/>
      </c>
      <c r="F3691" s="88" t="str">
        <f aca="false">IF(D3691&lt;&gt;"",IFERROR(VLOOKUP(D3691,PROVEEDORES!$A:$C,3,0),""),"")</f>
        <v/>
      </c>
      <c r="G3691" s="87"/>
      <c r="H3691" s="46" t="str">
        <f aca="false">IF(G3691&lt;&gt;"",IFERROR(VLOOKUP(G3691,PRODUCTOS!$A:$B,2,0),"!COD NO ENCONTRADO"),"")</f>
        <v/>
      </c>
      <c r="I3691" s="89"/>
      <c r="J3691" s="90"/>
      <c r="K3691" s="91"/>
      <c r="L3691" s="80" t="str">
        <f aca="false">IF(AND(J3691&lt;&gt;"",K3691&lt;&gt;""),J3691*K3691,"")</f>
        <v/>
      </c>
      <c r="M3691" s="81" t="str">
        <f aca="false">IF(L3691&lt;&gt;"",L3691*1.1,"")</f>
        <v/>
      </c>
      <c r="N3691" s="47" t="n">
        <f aca="false">IF(F3691="S",L3691*0.02,0)</f>
        <v>0</v>
      </c>
      <c r="O3691" s="82" t="str">
        <f aca="false">IF(L3691&lt;&gt;"",L3691+N3691,"")</f>
        <v/>
      </c>
      <c r="P3691" s="47" t="str">
        <f aca="false">IF(O3691&lt;&gt;"",O3691*0.1,"")</f>
        <v/>
      </c>
      <c r="Q3691" s="83" t="str">
        <f aca="false">IF(O3691&lt;&gt;"",O3691+P3691,"")</f>
        <v/>
      </c>
      <c r="R3691" s="84"/>
    </row>
    <row r="3692" customFormat="false" ht="15" hidden="false" customHeight="true" outlineLevel="0" collapsed="false">
      <c r="A3692" s="103"/>
      <c r="B3692" s="73"/>
      <c r="C3692" s="74"/>
      <c r="D3692" s="75"/>
      <c r="E3692" s="52" t="str">
        <f aca="false">IF(D3692&lt;&gt;"",IFERROR(VLOOKUP(D3692,PROVEEDORES!$A:$B,2,0),"!COD NO ENCONTRADO"),"")</f>
        <v/>
      </c>
      <c r="F3692" s="76" t="str">
        <f aca="false">IF(D3692&lt;&gt;"",IFERROR(VLOOKUP(D3692,PROVEEDORES!$A:$C,3,0),""),"")</f>
        <v/>
      </c>
      <c r="G3692" s="75"/>
      <c r="H3692" s="52" t="str">
        <f aca="false">IF(G3692&lt;&gt;"",IFERROR(VLOOKUP(G3692,PRODUCTOS!$A:$B,2,0),"!COD NO ENCONTRADO"),"")</f>
        <v/>
      </c>
      <c r="I3692" s="77"/>
      <c r="J3692" s="78"/>
      <c r="K3692" s="79"/>
      <c r="L3692" s="80" t="str">
        <f aca="false">IF(AND(J3692&lt;&gt;"",K3692&lt;&gt;""),J3692*K3692,"")</f>
        <v/>
      </c>
      <c r="M3692" s="81" t="str">
        <f aca="false">IF(L3692&lt;&gt;"",L3692*1.1,"")</f>
        <v/>
      </c>
      <c r="N3692" s="53" t="n">
        <f aca="false">IF(F3692="S",L3692*0.02,0)</f>
        <v>0</v>
      </c>
      <c r="O3692" s="82" t="str">
        <f aca="false">IF(L3692&lt;&gt;"",L3692+N3692,"")</f>
        <v/>
      </c>
      <c r="P3692" s="53" t="str">
        <f aca="false">IF(O3692&lt;&gt;"",O3692*0.1,"")</f>
        <v/>
      </c>
      <c r="Q3692" s="83" t="str">
        <f aca="false">IF(O3692&lt;&gt;"",O3692+P3692,"")</f>
        <v/>
      </c>
      <c r="R3692" s="84"/>
    </row>
    <row r="3693" customFormat="false" ht="15" hidden="false" customHeight="true" outlineLevel="0" collapsed="false">
      <c r="A3693" s="103"/>
      <c r="B3693" s="85"/>
      <c r="C3693" s="86"/>
      <c r="D3693" s="87"/>
      <c r="E3693" s="46" t="str">
        <f aca="false">IF(D3693&lt;&gt;"",IFERROR(VLOOKUP(D3693,PROVEEDORES!$A:$B,2,0),"!COD NO ENCONTRADO"),"")</f>
        <v/>
      </c>
      <c r="F3693" s="88" t="str">
        <f aca="false">IF(D3693&lt;&gt;"",IFERROR(VLOOKUP(D3693,PROVEEDORES!$A:$C,3,0),""),"")</f>
        <v/>
      </c>
      <c r="G3693" s="87"/>
      <c r="H3693" s="46" t="str">
        <f aca="false">IF(G3693&lt;&gt;"",IFERROR(VLOOKUP(G3693,PRODUCTOS!$A:$B,2,0),"!COD NO ENCONTRADO"),"")</f>
        <v/>
      </c>
      <c r="I3693" s="89"/>
      <c r="J3693" s="90"/>
      <c r="K3693" s="91"/>
      <c r="L3693" s="80" t="str">
        <f aca="false">IF(AND(J3693&lt;&gt;"",K3693&lt;&gt;""),J3693*K3693,"")</f>
        <v/>
      </c>
      <c r="M3693" s="81" t="str">
        <f aca="false">IF(L3693&lt;&gt;"",L3693*1.1,"")</f>
        <v/>
      </c>
      <c r="N3693" s="47" t="n">
        <f aca="false">IF(F3693="S",L3693*0.02,0)</f>
        <v>0</v>
      </c>
      <c r="O3693" s="82" t="str">
        <f aca="false">IF(L3693&lt;&gt;"",L3693+N3693,"")</f>
        <v/>
      </c>
      <c r="P3693" s="47" t="str">
        <f aca="false">IF(O3693&lt;&gt;"",O3693*0.1,"")</f>
        <v/>
      </c>
      <c r="Q3693" s="83" t="str">
        <f aca="false">IF(O3693&lt;&gt;"",O3693+P3693,"")</f>
        <v/>
      </c>
      <c r="R3693" s="84"/>
    </row>
    <row r="3694" customFormat="false" ht="15" hidden="false" customHeight="true" outlineLevel="0" collapsed="false">
      <c r="A3694" s="103"/>
      <c r="B3694" s="73"/>
      <c r="C3694" s="74"/>
      <c r="D3694" s="75"/>
      <c r="E3694" s="52" t="str">
        <f aca="false">IF(D3694&lt;&gt;"",IFERROR(VLOOKUP(D3694,PROVEEDORES!$A:$B,2,0),"!COD NO ENCONTRADO"),"")</f>
        <v/>
      </c>
      <c r="F3694" s="76" t="str">
        <f aca="false">IF(D3694&lt;&gt;"",IFERROR(VLOOKUP(D3694,PROVEEDORES!$A:$C,3,0),""),"")</f>
        <v/>
      </c>
      <c r="G3694" s="75"/>
      <c r="H3694" s="52" t="str">
        <f aca="false">IF(G3694&lt;&gt;"",IFERROR(VLOOKUP(G3694,PRODUCTOS!$A:$B,2,0),"!COD NO ENCONTRADO"),"")</f>
        <v/>
      </c>
      <c r="I3694" s="77"/>
      <c r="J3694" s="78"/>
      <c r="K3694" s="79"/>
      <c r="L3694" s="80" t="str">
        <f aca="false">IF(AND(J3694&lt;&gt;"",K3694&lt;&gt;""),J3694*K3694,"")</f>
        <v/>
      </c>
      <c r="M3694" s="81" t="str">
        <f aca="false">IF(L3694&lt;&gt;"",L3694*1.1,"")</f>
        <v/>
      </c>
      <c r="N3694" s="53" t="n">
        <f aca="false">IF(F3694="S",L3694*0.02,0)</f>
        <v>0</v>
      </c>
      <c r="O3694" s="82" t="str">
        <f aca="false">IF(L3694&lt;&gt;"",L3694+N3694,"")</f>
        <v/>
      </c>
      <c r="P3694" s="53" t="str">
        <f aca="false">IF(O3694&lt;&gt;"",O3694*0.1,"")</f>
        <v/>
      </c>
      <c r="Q3694" s="83" t="str">
        <f aca="false">IF(O3694&lt;&gt;"",O3694+P3694,"")</f>
        <v/>
      </c>
      <c r="R3694" s="84"/>
    </row>
    <row r="3695" customFormat="false" ht="15" hidden="false" customHeight="true" outlineLevel="0" collapsed="false">
      <c r="A3695" s="103"/>
      <c r="B3695" s="85"/>
      <c r="C3695" s="86"/>
      <c r="D3695" s="87"/>
      <c r="E3695" s="46" t="str">
        <f aca="false">IF(D3695&lt;&gt;"",IFERROR(VLOOKUP(D3695,PROVEEDORES!$A:$B,2,0),"!COD NO ENCONTRADO"),"")</f>
        <v/>
      </c>
      <c r="F3695" s="88" t="str">
        <f aca="false">IF(D3695&lt;&gt;"",IFERROR(VLOOKUP(D3695,PROVEEDORES!$A:$C,3,0),""),"")</f>
        <v/>
      </c>
      <c r="G3695" s="87"/>
      <c r="H3695" s="46" t="str">
        <f aca="false">IF(G3695&lt;&gt;"",IFERROR(VLOOKUP(G3695,PRODUCTOS!$A:$B,2,0),"!COD NO ENCONTRADO"),"")</f>
        <v/>
      </c>
      <c r="I3695" s="89"/>
      <c r="J3695" s="90"/>
      <c r="K3695" s="91"/>
      <c r="L3695" s="80" t="str">
        <f aca="false">IF(AND(J3695&lt;&gt;"",K3695&lt;&gt;""),J3695*K3695,"")</f>
        <v/>
      </c>
      <c r="M3695" s="81" t="str">
        <f aca="false">IF(L3695&lt;&gt;"",L3695*1.1,"")</f>
        <v/>
      </c>
      <c r="N3695" s="47" t="n">
        <f aca="false">IF(F3695="S",L3695*0.02,0)</f>
        <v>0</v>
      </c>
      <c r="O3695" s="82" t="str">
        <f aca="false">IF(L3695&lt;&gt;"",L3695+N3695,"")</f>
        <v/>
      </c>
      <c r="P3695" s="47" t="str">
        <f aca="false">IF(O3695&lt;&gt;"",O3695*0.1,"")</f>
        <v/>
      </c>
      <c r="Q3695" s="83" t="str">
        <f aca="false">IF(O3695&lt;&gt;"",O3695+P3695,"")</f>
        <v/>
      </c>
      <c r="R3695" s="84"/>
    </row>
    <row r="3696" customFormat="false" ht="15" hidden="false" customHeight="true" outlineLevel="0" collapsed="false">
      <c r="A3696" s="103"/>
      <c r="B3696" s="73"/>
      <c r="C3696" s="74"/>
      <c r="D3696" s="75"/>
      <c r="E3696" s="52" t="str">
        <f aca="false">IF(D3696&lt;&gt;"",IFERROR(VLOOKUP(D3696,PROVEEDORES!$A:$B,2,0),"!COD NO ENCONTRADO"),"")</f>
        <v/>
      </c>
      <c r="F3696" s="76" t="str">
        <f aca="false">IF(D3696&lt;&gt;"",IFERROR(VLOOKUP(D3696,PROVEEDORES!$A:$C,3,0),""),"")</f>
        <v/>
      </c>
      <c r="G3696" s="75"/>
      <c r="H3696" s="52" t="str">
        <f aca="false">IF(G3696&lt;&gt;"",IFERROR(VLOOKUP(G3696,PRODUCTOS!$A:$B,2,0),"!COD NO ENCONTRADO"),"")</f>
        <v/>
      </c>
      <c r="I3696" s="77"/>
      <c r="J3696" s="78"/>
      <c r="K3696" s="79"/>
      <c r="L3696" s="80" t="str">
        <f aca="false">IF(AND(J3696&lt;&gt;"",K3696&lt;&gt;""),J3696*K3696,"")</f>
        <v/>
      </c>
      <c r="M3696" s="81" t="str">
        <f aca="false">IF(L3696&lt;&gt;"",L3696*1.1,"")</f>
        <v/>
      </c>
      <c r="N3696" s="53" t="n">
        <f aca="false">IF(F3696="S",L3696*0.02,0)</f>
        <v>0</v>
      </c>
      <c r="O3696" s="82" t="str">
        <f aca="false">IF(L3696&lt;&gt;"",L3696+N3696,"")</f>
        <v/>
      </c>
      <c r="P3696" s="53" t="str">
        <f aca="false">IF(O3696&lt;&gt;"",O3696*0.1,"")</f>
        <v/>
      </c>
      <c r="Q3696" s="83" t="str">
        <f aca="false">IF(O3696&lt;&gt;"",O3696+P3696,"")</f>
        <v/>
      </c>
      <c r="R3696" s="84"/>
    </row>
    <row r="3697" customFormat="false" ht="15" hidden="false" customHeight="true" outlineLevel="0" collapsed="false">
      <c r="A3697" s="103"/>
      <c r="B3697" s="85"/>
      <c r="C3697" s="86"/>
      <c r="D3697" s="87"/>
      <c r="E3697" s="46" t="str">
        <f aca="false">IF(D3697&lt;&gt;"",IFERROR(VLOOKUP(D3697,PROVEEDORES!$A:$B,2,0),"!COD NO ENCONTRADO"),"")</f>
        <v/>
      </c>
      <c r="F3697" s="88" t="str">
        <f aca="false">IF(D3697&lt;&gt;"",IFERROR(VLOOKUP(D3697,PROVEEDORES!$A:$C,3,0),""),"")</f>
        <v/>
      </c>
      <c r="G3697" s="87"/>
      <c r="H3697" s="46" t="str">
        <f aca="false">IF(G3697&lt;&gt;"",IFERROR(VLOOKUP(G3697,PRODUCTOS!$A:$B,2,0),"!COD NO ENCONTRADO"),"")</f>
        <v/>
      </c>
      <c r="I3697" s="89"/>
      <c r="J3697" s="90"/>
      <c r="K3697" s="91"/>
      <c r="L3697" s="80" t="str">
        <f aca="false">IF(AND(J3697&lt;&gt;"",K3697&lt;&gt;""),J3697*K3697,"")</f>
        <v/>
      </c>
      <c r="M3697" s="81" t="str">
        <f aca="false">IF(L3697&lt;&gt;"",L3697*1.1,"")</f>
        <v/>
      </c>
      <c r="N3697" s="47" t="n">
        <f aca="false">IF(F3697="S",L3697*0.02,0)</f>
        <v>0</v>
      </c>
      <c r="O3697" s="82" t="str">
        <f aca="false">IF(L3697&lt;&gt;"",L3697+N3697,"")</f>
        <v/>
      </c>
      <c r="P3697" s="47" t="str">
        <f aca="false">IF(O3697&lt;&gt;"",O3697*0.1,"")</f>
        <v/>
      </c>
      <c r="Q3697" s="83" t="str">
        <f aca="false">IF(O3697&lt;&gt;"",O3697+P3697,"")</f>
        <v/>
      </c>
      <c r="R3697" s="84"/>
    </row>
    <row r="3698" customFormat="false" ht="15" hidden="false" customHeight="true" outlineLevel="0" collapsed="false">
      <c r="A3698" s="103"/>
      <c r="B3698" s="73"/>
      <c r="C3698" s="74"/>
      <c r="D3698" s="75"/>
      <c r="E3698" s="52" t="str">
        <f aca="false">IF(D3698&lt;&gt;"",IFERROR(VLOOKUP(D3698,PROVEEDORES!$A:$B,2,0),"!COD NO ENCONTRADO"),"")</f>
        <v/>
      </c>
      <c r="F3698" s="76" t="str">
        <f aca="false">IF(D3698&lt;&gt;"",IFERROR(VLOOKUP(D3698,PROVEEDORES!$A:$C,3,0),""),"")</f>
        <v/>
      </c>
      <c r="G3698" s="75"/>
      <c r="H3698" s="52" t="str">
        <f aca="false">IF(G3698&lt;&gt;"",IFERROR(VLOOKUP(G3698,PRODUCTOS!$A:$B,2,0),"!COD NO ENCONTRADO"),"")</f>
        <v/>
      </c>
      <c r="I3698" s="77"/>
      <c r="J3698" s="78"/>
      <c r="K3698" s="79"/>
      <c r="L3698" s="80" t="str">
        <f aca="false">IF(AND(J3698&lt;&gt;"",K3698&lt;&gt;""),J3698*K3698,"")</f>
        <v/>
      </c>
      <c r="M3698" s="81" t="str">
        <f aca="false">IF(L3698&lt;&gt;"",L3698*1.1,"")</f>
        <v/>
      </c>
      <c r="N3698" s="53" t="n">
        <f aca="false">IF(F3698="S",L3698*0.02,0)</f>
        <v>0</v>
      </c>
      <c r="O3698" s="82" t="str">
        <f aca="false">IF(L3698&lt;&gt;"",L3698+N3698,"")</f>
        <v/>
      </c>
      <c r="P3698" s="53" t="str">
        <f aca="false">IF(O3698&lt;&gt;"",O3698*0.1,"")</f>
        <v/>
      </c>
      <c r="Q3698" s="83" t="str">
        <f aca="false">IF(O3698&lt;&gt;"",O3698+P3698,"")</f>
        <v/>
      </c>
      <c r="R3698" s="84"/>
    </row>
    <row r="3699" customFormat="false" ht="15" hidden="false" customHeight="true" outlineLevel="0" collapsed="false">
      <c r="A3699" s="103"/>
      <c r="B3699" s="85"/>
      <c r="C3699" s="86"/>
      <c r="D3699" s="87"/>
      <c r="E3699" s="46" t="str">
        <f aca="false">IF(D3699&lt;&gt;"",IFERROR(VLOOKUP(D3699,PROVEEDORES!$A:$B,2,0),"!COD NO ENCONTRADO"),"")</f>
        <v/>
      </c>
      <c r="F3699" s="88" t="str">
        <f aca="false">IF(D3699&lt;&gt;"",IFERROR(VLOOKUP(D3699,PROVEEDORES!$A:$C,3,0),""),"")</f>
        <v/>
      </c>
      <c r="G3699" s="87"/>
      <c r="H3699" s="46" t="str">
        <f aca="false">IF(G3699&lt;&gt;"",IFERROR(VLOOKUP(G3699,PRODUCTOS!$A:$B,2,0),"!COD NO ENCONTRADO"),"")</f>
        <v/>
      </c>
      <c r="I3699" s="89"/>
      <c r="J3699" s="90"/>
      <c r="K3699" s="91"/>
      <c r="L3699" s="80" t="str">
        <f aca="false">IF(AND(J3699&lt;&gt;"",K3699&lt;&gt;""),J3699*K3699,"")</f>
        <v/>
      </c>
      <c r="M3699" s="81" t="str">
        <f aca="false">IF(L3699&lt;&gt;"",L3699*1.1,"")</f>
        <v/>
      </c>
      <c r="N3699" s="47" t="n">
        <f aca="false">IF(F3699="S",L3699*0.02,0)</f>
        <v>0</v>
      </c>
      <c r="O3699" s="82" t="str">
        <f aca="false">IF(L3699&lt;&gt;"",L3699+N3699,"")</f>
        <v/>
      </c>
      <c r="P3699" s="47" t="str">
        <f aca="false">IF(O3699&lt;&gt;"",O3699*0.1,"")</f>
        <v/>
      </c>
      <c r="Q3699" s="83" t="str">
        <f aca="false">IF(O3699&lt;&gt;"",O3699+P3699,"")</f>
        <v/>
      </c>
      <c r="R3699" s="84"/>
    </row>
    <row r="3700" customFormat="false" ht="15" hidden="false" customHeight="true" outlineLevel="0" collapsed="false">
      <c r="A3700" s="103"/>
      <c r="B3700" s="73"/>
      <c r="C3700" s="74"/>
      <c r="D3700" s="75"/>
      <c r="E3700" s="52" t="str">
        <f aca="false">IF(D3700&lt;&gt;"",IFERROR(VLOOKUP(D3700,PROVEEDORES!$A:$B,2,0),"!COD NO ENCONTRADO"),"")</f>
        <v/>
      </c>
      <c r="F3700" s="76" t="str">
        <f aca="false">IF(D3700&lt;&gt;"",IFERROR(VLOOKUP(D3700,PROVEEDORES!$A:$C,3,0),""),"")</f>
        <v/>
      </c>
      <c r="G3700" s="75"/>
      <c r="H3700" s="52" t="str">
        <f aca="false">IF(G3700&lt;&gt;"",IFERROR(VLOOKUP(G3700,PRODUCTOS!$A:$B,2,0),"!COD NO ENCONTRADO"),"")</f>
        <v/>
      </c>
      <c r="I3700" s="77"/>
      <c r="J3700" s="78"/>
      <c r="K3700" s="79"/>
      <c r="L3700" s="80" t="str">
        <f aca="false">IF(AND(J3700&lt;&gt;"",K3700&lt;&gt;""),J3700*K3700,"")</f>
        <v/>
      </c>
      <c r="M3700" s="81" t="str">
        <f aca="false">IF(L3700&lt;&gt;"",L3700*1.1,"")</f>
        <v/>
      </c>
      <c r="N3700" s="53" t="n">
        <f aca="false">IF(F3700="S",L3700*0.02,0)</f>
        <v>0</v>
      </c>
      <c r="O3700" s="82" t="str">
        <f aca="false">IF(L3700&lt;&gt;"",L3700+N3700,"")</f>
        <v/>
      </c>
      <c r="P3700" s="53" t="str">
        <f aca="false">IF(O3700&lt;&gt;"",O3700*0.1,"")</f>
        <v/>
      </c>
      <c r="Q3700" s="83" t="str">
        <f aca="false">IF(O3700&lt;&gt;"",O3700+P3700,"")</f>
        <v/>
      </c>
      <c r="R3700" s="84"/>
    </row>
    <row r="3701" customFormat="false" ht="15" hidden="false" customHeight="true" outlineLevel="0" collapsed="false">
      <c r="A3701" s="103"/>
      <c r="B3701" s="85"/>
      <c r="C3701" s="86"/>
      <c r="D3701" s="87"/>
      <c r="E3701" s="46" t="str">
        <f aca="false">IF(D3701&lt;&gt;"",IFERROR(VLOOKUP(D3701,PROVEEDORES!$A:$B,2,0),"!COD NO ENCONTRADO"),"")</f>
        <v/>
      </c>
      <c r="F3701" s="88" t="str">
        <f aca="false">IF(D3701&lt;&gt;"",IFERROR(VLOOKUP(D3701,PROVEEDORES!$A:$C,3,0),""),"")</f>
        <v/>
      </c>
      <c r="G3701" s="87"/>
      <c r="H3701" s="46" t="str">
        <f aca="false">IF(G3701&lt;&gt;"",IFERROR(VLOOKUP(G3701,PRODUCTOS!$A:$B,2,0),"!COD NO ENCONTRADO"),"")</f>
        <v/>
      </c>
      <c r="I3701" s="89"/>
      <c r="J3701" s="90"/>
      <c r="K3701" s="91"/>
      <c r="L3701" s="80" t="str">
        <f aca="false">IF(AND(J3701&lt;&gt;"",K3701&lt;&gt;""),J3701*K3701,"")</f>
        <v/>
      </c>
      <c r="M3701" s="81" t="str">
        <f aca="false">IF(L3701&lt;&gt;"",L3701*1.1,"")</f>
        <v/>
      </c>
      <c r="N3701" s="47" t="n">
        <f aca="false">IF(F3701="S",L3701*0.02,0)</f>
        <v>0</v>
      </c>
      <c r="O3701" s="82" t="str">
        <f aca="false">IF(L3701&lt;&gt;"",L3701+N3701,"")</f>
        <v/>
      </c>
      <c r="P3701" s="47" t="str">
        <f aca="false">IF(O3701&lt;&gt;"",O3701*0.1,"")</f>
        <v/>
      </c>
      <c r="Q3701" s="83" t="str">
        <f aca="false">IF(O3701&lt;&gt;"",O3701+P3701,"")</f>
        <v/>
      </c>
      <c r="R3701" s="84"/>
    </row>
    <row r="3702" customFormat="false" ht="15" hidden="false" customHeight="true" outlineLevel="0" collapsed="false">
      <c r="A3702" s="103"/>
      <c r="B3702" s="73"/>
      <c r="C3702" s="74"/>
      <c r="D3702" s="75"/>
      <c r="E3702" s="52" t="str">
        <f aca="false">IF(D3702&lt;&gt;"",IFERROR(VLOOKUP(D3702,PROVEEDORES!$A:$B,2,0),"!COD NO ENCONTRADO"),"")</f>
        <v/>
      </c>
      <c r="F3702" s="76" t="str">
        <f aca="false">IF(D3702&lt;&gt;"",IFERROR(VLOOKUP(D3702,PROVEEDORES!$A:$C,3,0),""),"")</f>
        <v/>
      </c>
      <c r="G3702" s="75"/>
      <c r="H3702" s="52" t="str">
        <f aca="false">IF(G3702&lt;&gt;"",IFERROR(VLOOKUP(G3702,PRODUCTOS!$A:$B,2,0),"!COD NO ENCONTRADO"),"")</f>
        <v/>
      </c>
      <c r="I3702" s="77"/>
      <c r="J3702" s="78"/>
      <c r="K3702" s="79"/>
      <c r="L3702" s="80" t="str">
        <f aca="false">IF(AND(J3702&lt;&gt;"",K3702&lt;&gt;""),J3702*K3702,"")</f>
        <v/>
      </c>
      <c r="M3702" s="81" t="str">
        <f aca="false">IF(L3702&lt;&gt;"",L3702*1.1,"")</f>
        <v/>
      </c>
      <c r="N3702" s="53" t="n">
        <f aca="false">IF(F3702="S",L3702*0.02,0)</f>
        <v>0</v>
      </c>
      <c r="O3702" s="82" t="str">
        <f aca="false">IF(L3702&lt;&gt;"",L3702+N3702,"")</f>
        <v/>
      </c>
      <c r="P3702" s="53" t="str">
        <f aca="false">IF(O3702&lt;&gt;"",O3702*0.1,"")</f>
        <v/>
      </c>
      <c r="Q3702" s="83" t="str">
        <f aca="false">IF(O3702&lt;&gt;"",O3702+P3702,"")</f>
        <v/>
      </c>
      <c r="R3702" s="84"/>
    </row>
    <row r="3703" customFormat="false" ht="15" hidden="false" customHeight="true" outlineLevel="0" collapsed="false">
      <c r="A3703" s="103"/>
      <c r="B3703" s="85"/>
      <c r="C3703" s="86"/>
      <c r="D3703" s="87"/>
      <c r="E3703" s="46" t="str">
        <f aca="false">IF(D3703&lt;&gt;"",IFERROR(VLOOKUP(D3703,PROVEEDORES!$A:$B,2,0),"!COD NO ENCONTRADO"),"")</f>
        <v/>
      </c>
      <c r="F3703" s="88" t="str">
        <f aca="false">IF(D3703&lt;&gt;"",IFERROR(VLOOKUP(D3703,PROVEEDORES!$A:$C,3,0),""),"")</f>
        <v/>
      </c>
      <c r="G3703" s="87"/>
      <c r="H3703" s="46" t="str">
        <f aca="false">IF(G3703&lt;&gt;"",IFERROR(VLOOKUP(G3703,PRODUCTOS!$A:$B,2,0),"!COD NO ENCONTRADO"),"")</f>
        <v/>
      </c>
      <c r="I3703" s="89"/>
      <c r="J3703" s="90"/>
      <c r="K3703" s="91"/>
      <c r="L3703" s="80" t="str">
        <f aca="false">IF(AND(J3703&lt;&gt;"",K3703&lt;&gt;""),J3703*K3703,"")</f>
        <v/>
      </c>
      <c r="M3703" s="81" t="str">
        <f aca="false">IF(L3703&lt;&gt;"",L3703*1.1,"")</f>
        <v/>
      </c>
      <c r="N3703" s="47" t="n">
        <f aca="false">IF(F3703="S",L3703*0.02,0)</f>
        <v>0</v>
      </c>
      <c r="O3703" s="82" t="str">
        <f aca="false">IF(L3703&lt;&gt;"",L3703+N3703,"")</f>
        <v/>
      </c>
      <c r="P3703" s="47" t="str">
        <f aca="false">IF(O3703&lt;&gt;"",O3703*0.1,"")</f>
        <v/>
      </c>
      <c r="Q3703" s="83" t="str">
        <f aca="false">IF(O3703&lt;&gt;"",O3703+P3703,"")</f>
        <v/>
      </c>
      <c r="R3703" s="84"/>
    </row>
    <row r="3704" customFormat="false" ht="15" hidden="false" customHeight="true" outlineLevel="0" collapsed="false">
      <c r="A3704" s="103"/>
      <c r="B3704" s="73"/>
      <c r="C3704" s="74"/>
      <c r="D3704" s="75"/>
      <c r="E3704" s="52" t="str">
        <f aca="false">IF(D3704&lt;&gt;"",IFERROR(VLOOKUP(D3704,PROVEEDORES!$A:$B,2,0),"!COD NO ENCONTRADO"),"")</f>
        <v/>
      </c>
      <c r="F3704" s="76" t="str">
        <f aca="false">IF(D3704&lt;&gt;"",IFERROR(VLOOKUP(D3704,PROVEEDORES!$A:$C,3,0),""),"")</f>
        <v/>
      </c>
      <c r="G3704" s="75"/>
      <c r="H3704" s="52" t="str">
        <f aca="false">IF(G3704&lt;&gt;"",IFERROR(VLOOKUP(G3704,PRODUCTOS!$A:$B,2,0),"!COD NO ENCONTRADO"),"")</f>
        <v/>
      </c>
      <c r="I3704" s="77"/>
      <c r="J3704" s="78"/>
      <c r="K3704" s="79"/>
      <c r="L3704" s="80" t="str">
        <f aca="false">IF(AND(J3704&lt;&gt;"",K3704&lt;&gt;""),J3704*K3704,"")</f>
        <v/>
      </c>
      <c r="M3704" s="81" t="str">
        <f aca="false">IF(L3704&lt;&gt;"",L3704*1.1,"")</f>
        <v/>
      </c>
      <c r="N3704" s="53" t="n">
        <f aca="false">IF(F3704="S",L3704*0.02,0)</f>
        <v>0</v>
      </c>
      <c r="O3704" s="82" t="str">
        <f aca="false">IF(L3704&lt;&gt;"",L3704+N3704,"")</f>
        <v/>
      </c>
      <c r="P3704" s="53" t="str">
        <f aca="false">IF(O3704&lt;&gt;"",O3704*0.1,"")</f>
        <v/>
      </c>
      <c r="Q3704" s="83" t="str">
        <f aca="false">IF(O3704&lt;&gt;"",O3704+P3704,"")</f>
        <v/>
      </c>
      <c r="R3704" s="84"/>
    </row>
    <row r="3705" customFormat="false" ht="15" hidden="false" customHeight="true" outlineLevel="0" collapsed="false">
      <c r="A3705" s="103"/>
      <c r="B3705" s="85"/>
      <c r="C3705" s="86"/>
      <c r="D3705" s="87"/>
      <c r="E3705" s="46" t="str">
        <f aca="false">IF(D3705&lt;&gt;"",IFERROR(VLOOKUP(D3705,PROVEEDORES!$A:$B,2,0),"!COD NO ENCONTRADO"),"")</f>
        <v/>
      </c>
      <c r="F3705" s="88" t="str">
        <f aca="false">IF(D3705&lt;&gt;"",IFERROR(VLOOKUP(D3705,PROVEEDORES!$A:$C,3,0),""),"")</f>
        <v/>
      </c>
      <c r="G3705" s="87"/>
      <c r="H3705" s="46" t="str">
        <f aca="false">IF(G3705&lt;&gt;"",IFERROR(VLOOKUP(G3705,PRODUCTOS!$A:$B,2,0),"!COD NO ENCONTRADO"),"")</f>
        <v/>
      </c>
      <c r="I3705" s="89"/>
      <c r="J3705" s="90"/>
      <c r="K3705" s="91"/>
      <c r="L3705" s="80" t="str">
        <f aca="false">IF(AND(J3705&lt;&gt;"",K3705&lt;&gt;""),J3705*K3705,"")</f>
        <v/>
      </c>
      <c r="M3705" s="81" t="str">
        <f aca="false">IF(L3705&lt;&gt;"",L3705*1.1,"")</f>
        <v/>
      </c>
      <c r="N3705" s="47" t="n">
        <f aca="false">IF(F3705="S",L3705*0.02,0)</f>
        <v>0</v>
      </c>
      <c r="O3705" s="82" t="str">
        <f aca="false">IF(L3705&lt;&gt;"",L3705+N3705,"")</f>
        <v/>
      </c>
      <c r="P3705" s="47" t="str">
        <f aca="false">IF(O3705&lt;&gt;"",O3705*0.1,"")</f>
        <v/>
      </c>
      <c r="Q3705" s="83" t="str">
        <f aca="false">IF(O3705&lt;&gt;"",O3705+P3705,"")</f>
        <v/>
      </c>
      <c r="R3705" s="84"/>
    </row>
    <row r="3706" customFormat="false" ht="15" hidden="false" customHeight="true" outlineLevel="0" collapsed="false">
      <c r="A3706" s="103"/>
      <c r="B3706" s="73"/>
      <c r="C3706" s="74"/>
      <c r="D3706" s="75"/>
      <c r="E3706" s="52" t="str">
        <f aca="false">IF(D3706&lt;&gt;"",IFERROR(VLOOKUP(D3706,PROVEEDORES!$A:$B,2,0),"!COD NO ENCONTRADO"),"")</f>
        <v/>
      </c>
      <c r="F3706" s="76" t="str">
        <f aca="false">IF(D3706&lt;&gt;"",IFERROR(VLOOKUP(D3706,PROVEEDORES!$A:$C,3,0),""),"")</f>
        <v/>
      </c>
      <c r="G3706" s="75"/>
      <c r="H3706" s="52" t="str">
        <f aca="false">IF(G3706&lt;&gt;"",IFERROR(VLOOKUP(G3706,PRODUCTOS!$A:$B,2,0),"!COD NO ENCONTRADO"),"")</f>
        <v/>
      </c>
      <c r="I3706" s="77"/>
      <c r="J3706" s="78"/>
      <c r="K3706" s="79"/>
      <c r="L3706" s="80" t="str">
        <f aca="false">IF(AND(J3706&lt;&gt;"",K3706&lt;&gt;""),J3706*K3706,"")</f>
        <v/>
      </c>
      <c r="M3706" s="81" t="str">
        <f aca="false">IF(L3706&lt;&gt;"",L3706*1.1,"")</f>
        <v/>
      </c>
      <c r="N3706" s="53" t="n">
        <f aca="false">IF(F3706="S",L3706*0.02,0)</f>
        <v>0</v>
      </c>
      <c r="O3706" s="82" t="str">
        <f aca="false">IF(L3706&lt;&gt;"",L3706+N3706,"")</f>
        <v/>
      </c>
      <c r="P3706" s="53" t="str">
        <f aca="false">IF(O3706&lt;&gt;"",O3706*0.1,"")</f>
        <v/>
      </c>
      <c r="Q3706" s="83" t="str">
        <f aca="false">IF(O3706&lt;&gt;"",O3706+P3706,"")</f>
        <v/>
      </c>
      <c r="R3706" s="84"/>
    </row>
    <row r="3707" customFormat="false" ht="15" hidden="false" customHeight="true" outlineLevel="0" collapsed="false">
      <c r="A3707" s="103"/>
      <c r="B3707" s="85"/>
      <c r="C3707" s="86"/>
      <c r="D3707" s="87"/>
      <c r="E3707" s="46" t="str">
        <f aca="false">IF(D3707&lt;&gt;"",IFERROR(VLOOKUP(D3707,PROVEEDORES!$A:$B,2,0),"!COD NO ENCONTRADO"),"")</f>
        <v/>
      </c>
      <c r="F3707" s="88" t="str">
        <f aca="false">IF(D3707&lt;&gt;"",IFERROR(VLOOKUP(D3707,PROVEEDORES!$A:$C,3,0),""),"")</f>
        <v/>
      </c>
      <c r="G3707" s="87"/>
      <c r="H3707" s="46" t="str">
        <f aca="false">IF(G3707&lt;&gt;"",IFERROR(VLOOKUP(G3707,PRODUCTOS!$A:$B,2,0),"!COD NO ENCONTRADO"),"")</f>
        <v/>
      </c>
      <c r="I3707" s="89"/>
      <c r="J3707" s="90"/>
      <c r="K3707" s="91"/>
      <c r="L3707" s="80" t="str">
        <f aca="false">IF(AND(J3707&lt;&gt;"",K3707&lt;&gt;""),J3707*K3707,"")</f>
        <v/>
      </c>
      <c r="M3707" s="81" t="str">
        <f aca="false">IF(L3707&lt;&gt;"",L3707*1.1,"")</f>
        <v/>
      </c>
      <c r="N3707" s="47" t="n">
        <f aca="false">IF(F3707="S",L3707*0.02,0)</f>
        <v>0</v>
      </c>
      <c r="O3707" s="82" t="str">
        <f aca="false">IF(L3707&lt;&gt;"",L3707+N3707,"")</f>
        <v/>
      </c>
      <c r="P3707" s="47" t="str">
        <f aca="false">IF(O3707&lt;&gt;"",O3707*0.1,"")</f>
        <v/>
      </c>
      <c r="Q3707" s="83" t="str">
        <f aca="false">IF(O3707&lt;&gt;"",O3707+P3707,"")</f>
        <v/>
      </c>
      <c r="R3707" s="84"/>
    </row>
    <row r="3708" customFormat="false" ht="15" hidden="false" customHeight="true" outlineLevel="0" collapsed="false">
      <c r="A3708" s="103"/>
      <c r="B3708" s="73"/>
      <c r="C3708" s="74"/>
      <c r="D3708" s="75"/>
      <c r="E3708" s="52" t="str">
        <f aca="false">IF(D3708&lt;&gt;"",IFERROR(VLOOKUP(D3708,PROVEEDORES!$A:$B,2,0),"!COD NO ENCONTRADO"),"")</f>
        <v/>
      </c>
      <c r="F3708" s="76" t="str">
        <f aca="false">IF(D3708&lt;&gt;"",IFERROR(VLOOKUP(D3708,PROVEEDORES!$A:$C,3,0),""),"")</f>
        <v/>
      </c>
      <c r="G3708" s="75"/>
      <c r="H3708" s="52" t="str">
        <f aca="false">IF(G3708&lt;&gt;"",IFERROR(VLOOKUP(G3708,PRODUCTOS!$A:$B,2,0),"!COD NO ENCONTRADO"),"")</f>
        <v/>
      </c>
      <c r="I3708" s="77"/>
      <c r="J3708" s="78"/>
      <c r="K3708" s="79"/>
      <c r="L3708" s="80" t="str">
        <f aca="false">IF(AND(J3708&lt;&gt;"",K3708&lt;&gt;""),J3708*K3708,"")</f>
        <v/>
      </c>
      <c r="M3708" s="81" t="str">
        <f aca="false">IF(L3708&lt;&gt;"",L3708*1.1,"")</f>
        <v/>
      </c>
      <c r="N3708" s="53" t="n">
        <f aca="false">IF(F3708="S",L3708*0.02,0)</f>
        <v>0</v>
      </c>
      <c r="O3708" s="82" t="str">
        <f aca="false">IF(L3708&lt;&gt;"",L3708+N3708,"")</f>
        <v/>
      </c>
      <c r="P3708" s="53" t="str">
        <f aca="false">IF(O3708&lt;&gt;"",O3708*0.1,"")</f>
        <v/>
      </c>
      <c r="Q3708" s="83" t="str">
        <f aca="false">IF(O3708&lt;&gt;"",O3708+P3708,"")</f>
        <v/>
      </c>
      <c r="R3708" s="84"/>
    </row>
    <row r="3709" customFormat="false" ht="15" hidden="false" customHeight="true" outlineLevel="0" collapsed="false">
      <c r="A3709" s="103"/>
      <c r="B3709" s="85"/>
      <c r="C3709" s="86"/>
      <c r="D3709" s="87"/>
      <c r="E3709" s="46" t="str">
        <f aca="false">IF(D3709&lt;&gt;"",IFERROR(VLOOKUP(D3709,PROVEEDORES!$A:$B,2,0),"!COD NO ENCONTRADO"),"")</f>
        <v/>
      </c>
      <c r="F3709" s="88" t="str">
        <f aca="false">IF(D3709&lt;&gt;"",IFERROR(VLOOKUP(D3709,PROVEEDORES!$A:$C,3,0),""),"")</f>
        <v/>
      </c>
      <c r="G3709" s="87"/>
      <c r="H3709" s="46" t="str">
        <f aca="false">IF(G3709&lt;&gt;"",IFERROR(VLOOKUP(G3709,PRODUCTOS!$A:$B,2,0),"!COD NO ENCONTRADO"),"")</f>
        <v/>
      </c>
      <c r="I3709" s="89"/>
      <c r="J3709" s="90"/>
      <c r="K3709" s="91"/>
      <c r="L3709" s="80" t="str">
        <f aca="false">IF(AND(J3709&lt;&gt;"",K3709&lt;&gt;""),J3709*K3709,"")</f>
        <v/>
      </c>
      <c r="M3709" s="81" t="str">
        <f aca="false">IF(L3709&lt;&gt;"",L3709*1.1,"")</f>
        <v/>
      </c>
      <c r="N3709" s="47" t="n">
        <f aca="false">IF(F3709="S",L3709*0.02,0)</f>
        <v>0</v>
      </c>
      <c r="O3709" s="82" t="str">
        <f aca="false">IF(L3709&lt;&gt;"",L3709+N3709,"")</f>
        <v/>
      </c>
      <c r="P3709" s="47" t="str">
        <f aca="false">IF(O3709&lt;&gt;"",O3709*0.1,"")</f>
        <v/>
      </c>
      <c r="Q3709" s="83" t="str">
        <f aca="false">IF(O3709&lt;&gt;"",O3709+P3709,"")</f>
        <v/>
      </c>
      <c r="R3709" s="84"/>
    </row>
    <row r="3710" customFormat="false" ht="15" hidden="false" customHeight="true" outlineLevel="0" collapsed="false">
      <c r="A3710" s="103"/>
      <c r="B3710" s="73"/>
      <c r="C3710" s="74"/>
      <c r="D3710" s="75"/>
      <c r="E3710" s="52" t="str">
        <f aca="false">IF(D3710&lt;&gt;"",IFERROR(VLOOKUP(D3710,PROVEEDORES!$A:$B,2,0),"!COD NO ENCONTRADO"),"")</f>
        <v/>
      </c>
      <c r="F3710" s="76" t="str">
        <f aca="false">IF(D3710&lt;&gt;"",IFERROR(VLOOKUP(D3710,PROVEEDORES!$A:$C,3,0),""),"")</f>
        <v/>
      </c>
      <c r="G3710" s="75"/>
      <c r="H3710" s="52" t="str">
        <f aca="false">IF(G3710&lt;&gt;"",IFERROR(VLOOKUP(G3710,PRODUCTOS!$A:$B,2,0),"!COD NO ENCONTRADO"),"")</f>
        <v/>
      </c>
      <c r="I3710" s="77"/>
      <c r="J3710" s="78"/>
      <c r="K3710" s="79"/>
      <c r="L3710" s="80" t="str">
        <f aca="false">IF(AND(J3710&lt;&gt;"",K3710&lt;&gt;""),J3710*K3710,"")</f>
        <v/>
      </c>
      <c r="M3710" s="81" t="str">
        <f aca="false">IF(L3710&lt;&gt;"",L3710*1.1,"")</f>
        <v/>
      </c>
      <c r="N3710" s="53" t="n">
        <f aca="false">IF(F3710="S",L3710*0.02,0)</f>
        <v>0</v>
      </c>
      <c r="O3710" s="82" t="str">
        <f aca="false">IF(L3710&lt;&gt;"",L3710+N3710,"")</f>
        <v/>
      </c>
      <c r="P3710" s="53" t="str">
        <f aca="false">IF(O3710&lt;&gt;"",O3710*0.1,"")</f>
        <v/>
      </c>
      <c r="Q3710" s="83" t="str">
        <f aca="false">IF(O3710&lt;&gt;"",O3710+P3710,"")</f>
        <v/>
      </c>
      <c r="R3710" s="84"/>
    </row>
    <row r="3711" customFormat="false" ht="15" hidden="false" customHeight="true" outlineLevel="0" collapsed="false">
      <c r="A3711" s="103"/>
      <c r="B3711" s="85"/>
      <c r="C3711" s="86"/>
      <c r="D3711" s="87"/>
      <c r="E3711" s="46" t="str">
        <f aca="false">IF(D3711&lt;&gt;"",IFERROR(VLOOKUP(D3711,PROVEEDORES!$A:$B,2,0),"!COD NO ENCONTRADO"),"")</f>
        <v/>
      </c>
      <c r="F3711" s="88" t="str">
        <f aca="false">IF(D3711&lt;&gt;"",IFERROR(VLOOKUP(D3711,PROVEEDORES!$A:$C,3,0),""),"")</f>
        <v/>
      </c>
      <c r="G3711" s="87"/>
      <c r="H3711" s="46" t="str">
        <f aca="false">IF(G3711&lt;&gt;"",IFERROR(VLOOKUP(G3711,PRODUCTOS!$A:$B,2,0),"!COD NO ENCONTRADO"),"")</f>
        <v/>
      </c>
      <c r="I3711" s="89"/>
      <c r="J3711" s="90"/>
      <c r="K3711" s="91"/>
      <c r="L3711" s="80" t="str">
        <f aca="false">IF(AND(J3711&lt;&gt;"",K3711&lt;&gt;""),J3711*K3711,"")</f>
        <v/>
      </c>
      <c r="M3711" s="81" t="str">
        <f aca="false">IF(L3711&lt;&gt;"",L3711*1.1,"")</f>
        <v/>
      </c>
      <c r="N3711" s="47" t="n">
        <f aca="false">IF(F3711="S",L3711*0.02,0)</f>
        <v>0</v>
      </c>
      <c r="O3711" s="82" t="str">
        <f aca="false">IF(L3711&lt;&gt;"",L3711+N3711,"")</f>
        <v/>
      </c>
      <c r="P3711" s="47" t="str">
        <f aca="false">IF(O3711&lt;&gt;"",O3711*0.1,"")</f>
        <v/>
      </c>
      <c r="Q3711" s="83" t="str">
        <f aca="false">IF(O3711&lt;&gt;"",O3711+P3711,"")</f>
        <v/>
      </c>
      <c r="R3711" s="84"/>
    </row>
    <row r="3712" customFormat="false" ht="15" hidden="false" customHeight="true" outlineLevel="0" collapsed="false">
      <c r="A3712" s="103"/>
      <c r="B3712" s="73"/>
      <c r="C3712" s="74"/>
      <c r="D3712" s="75"/>
      <c r="E3712" s="52" t="str">
        <f aca="false">IF(D3712&lt;&gt;"",IFERROR(VLOOKUP(D3712,PROVEEDORES!$A:$B,2,0),"!COD NO ENCONTRADO"),"")</f>
        <v/>
      </c>
      <c r="F3712" s="76" t="str">
        <f aca="false">IF(D3712&lt;&gt;"",IFERROR(VLOOKUP(D3712,PROVEEDORES!$A:$C,3,0),""),"")</f>
        <v/>
      </c>
      <c r="G3712" s="75"/>
      <c r="H3712" s="52" t="str">
        <f aca="false">IF(G3712&lt;&gt;"",IFERROR(VLOOKUP(G3712,PRODUCTOS!$A:$B,2,0),"!COD NO ENCONTRADO"),"")</f>
        <v/>
      </c>
      <c r="I3712" s="77"/>
      <c r="J3712" s="78"/>
      <c r="K3712" s="79"/>
      <c r="L3712" s="80" t="str">
        <f aca="false">IF(AND(J3712&lt;&gt;"",K3712&lt;&gt;""),J3712*K3712,"")</f>
        <v/>
      </c>
      <c r="M3712" s="81" t="str">
        <f aca="false">IF(L3712&lt;&gt;"",L3712*1.1,"")</f>
        <v/>
      </c>
      <c r="N3712" s="53" t="n">
        <f aca="false">IF(F3712="S",L3712*0.02,0)</f>
        <v>0</v>
      </c>
      <c r="O3712" s="82" t="str">
        <f aca="false">IF(L3712&lt;&gt;"",L3712+N3712,"")</f>
        <v/>
      </c>
      <c r="P3712" s="53" t="str">
        <f aca="false">IF(O3712&lt;&gt;"",O3712*0.1,"")</f>
        <v/>
      </c>
      <c r="Q3712" s="83" t="str">
        <f aca="false">IF(O3712&lt;&gt;"",O3712+P3712,"")</f>
        <v/>
      </c>
      <c r="R3712" s="84"/>
    </row>
    <row r="3713" customFormat="false" ht="15" hidden="false" customHeight="true" outlineLevel="0" collapsed="false">
      <c r="A3713" s="103"/>
      <c r="B3713" s="85"/>
      <c r="C3713" s="86"/>
      <c r="D3713" s="87"/>
      <c r="E3713" s="46" t="str">
        <f aca="false">IF(D3713&lt;&gt;"",IFERROR(VLOOKUP(D3713,PROVEEDORES!$A:$B,2,0),"!COD NO ENCONTRADO"),"")</f>
        <v/>
      </c>
      <c r="F3713" s="88" t="str">
        <f aca="false">IF(D3713&lt;&gt;"",IFERROR(VLOOKUP(D3713,PROVEEDORES!$A:$C,3,0),""),"")</f>
        <v/>
      </c>
      <c r="G3713" s="87"/>
      <c r="H3713" s="46" t="str">
        <f aca="false">IF(G3713&lt;&gt;"",IFERROR(VLOOKUP(G3713,PRODUCTOS!$A:$B,2,0),"!COD NO ENCONTRADO"),"")</f>
        <v/>
      </c>
      <c r="I3713" s="89"/>
      <c r="J3713" s="90"/>
      <c r="K3713" s="91"/>
      <c r="L3713" s="80" t="str">
        <f aca="false">IF(AND(J3713&lt;&gt;"",K3713&lt;&gt;""),J3713*K3713,"")</f>
        <v/>
      </c>
      <c r="M3713" s="81" t="str">
        <f aca="false">IF(L3713&lt;&gt;"",L3713*1.1,"")</f>
        <v/>
      </c>
      <c r="N3713" s="47" t="n">
        <f aca="false">IF(F3713="S",L3713*0.02,0)</f>
        <v>0</v>
      </c>
      <c r="O3713" s="82" t="str">
        <f aca="false">IF(L3713&lt;&gt;"",L3713+N3713,"")</f>
        <v/>
      </c>
      <c r="P3713" s="47" t="str">
        <f aca="false">IF(O3713&lt;&gt;"",O3713*0.1,"")</f>
        <v/>
      </c>
      <c r="Q3713" s="83" t="str">
        <f aca="false">IF(O3713&lt;&gt;"",O3713+P3713,"")</f>
        <v/>
      </c>
      <c r="R3713" s="84"/>
    </row>
    <row r="3714" customFormat="false" ht="15" hidden="false" customHeight="true" outlineLevel="0" collapsed="false">
      <c r="A3714" s="103"/>
      <c r="B3714" s="73"/>
      <c r="C3714" s="74"/>
      <c r="D3714" s="75"/>
      <c r="E3714" s="52" t="str">
        <f aca="false">IF(D3714&lt;&gt;"",IFERROR(VLOOKUP(D3714,PROVEEDORES!$A:$B,2,0),"!COD NO ENCONTRADO"),"")</f>
        <v/>
      </c>
      <c r="F3714" s="76" t="str">
        <f aca="false">IF(D3714&lt;&gt;"",IFERROR(VLOOKUP(D3714,PROVEEDORES!$A:$C,3,0),""),"")</f>
        <v/>
      </c>
      <c r="G3714" s="75"/>
      <c r="H3714" s="52" t="str">
        <f aca="false">IF(G3714&lt;&gt;"",IFERROR(VLOOKUP(G3714,PRODUCTOS!$A:$B,2,0),"!COD NO ENCONTRADO"),"")</f>
        <v/>
      </c>
      <c r="I3714" s="77"/>
      <c r="J3714" s="78"/>
      <c r="K3714" s="79"/>
      <c r="L3714" s="80" t="str">
        <f aca="false">IF(AND(J3714&lt;&gt;"",K3714&lt;&gt;""),J3714*K3714,"")</f>
        <v/>
      </c>
      <c r="M3714" s="81" t="str">
        <f aca="false">IF(L3714&lt;&gt;"",L3714*1.1,"")</f>
        <v/>
      </c>
      <c r="N3714" s="53" t="n">
        <f aca="false">IF(F3714="S",L3714*0.02,0)</f>
        <v>0</v>
      </c>
      <c r="O3714" s="82" t="str">
        <f aca="false">IF(L3714&lt;&gt;"",L3714+N3714,"")</f>
        <v/>
      </c>
      <c r="P3714" s="53" t="str">
        <f aca="false">IF(O3714&lt;&gt;"",O3714*0.1,"")</f>
        <v/>
      </c>
      <c r="Q3714" s="83" t="str">
        <f aca="false">IF(O3714&lt;&gt;"",O3714+P3714,"")</f>
        <v/>
      </c>
      <c r="R3714" s="84"/>
    </row>
    <row r="3715" customFormat="false" ht="15" hidden="false" customHeight="true" outlineLevel="0" collapsed="false">
      <c r="A3715" s="103"/>
      <c r="B3715" s="85"/>
      <c r="C3715" s="86"/>
      <c r="D3715" s="87"/>
      <c r="E3715" s="46" t="str">
        <f aca="false">IF(D3715&lt;&gt;"",IFERROR(VLOOKUP(D3715,PROVEEDORES!$A:$B,2,0),"!COD NO ENCONTRADO"),"")</f>
        <v/>
      </c>
      <c r="F3715" s="88" t="str">
        <f aca="false">IF(D3715&lt;&gt;"",IFERROR(VLOOKUP(D3715,PROVEEDORES!$A:$C,3,0),""),"")</f>
        <v/>
      </c>
      <c r="G3715" s="87"/>
      <c r="H3715" s="46" t="str">
        <f aca="false">IF(G3715&lt;&gt;"",IFERROR(VLOOKUP(G3715,PRODUCTOS!$A:$B,2,0),"!COD NO ENCONTRADO"),"")</f>
        <v/>
      </c>
      <c r="I3715" s="89"/>
      <c r="J3715" s="90"/>
      <c r="K3715" s="91"/>
      <c r="L3715" s="80" t="str">
        <f aca="false">IF(AND(J3715&lt;&gt;"",K3715&lt;&gt;""),J3715*K3715,"")</f>
        <v/>
      </c>
      <c r="M3715" s="81" t="str">
        <f aca="false">IF(L3715&lt;&gt;"",L3715*1.1,"")</f>
        <v/>
      </c>
      <c r="N3715" s="47" t="n">
        <f aca="false">IF(F3715="S",L3715*0.02,0)</f>
        <v>0</v>
      </c>
      <c r="O3715" s="82" t="str">
        <f aca="false">IF(L3715&lt;&gt;"",L3715+N3715,"")</f>
        <v/>
      </c>
      <c r="P3715" s="47" t="str">
        <f aca="false">IF(O3715&lt;&gt;"",O3715*0.1,"")</f>
        <v/>
      </c>
      <c r="Q3715" s="83" t="str">
        <f aca="false">IF(O3715&lt;&gt;"",O3715+P3715,"")</f>
        <v/>
      </c>
      <c r="R3715" s="84"/>
    </row>
    <row r="3716" customFormat="false" ht="15" hidden="false" customHeight="true" outlineLevel="0" collapsed="false">
      <c r="A3716" s="103"/>
      <c r="B3716" s="73"/>
      <c r="C3716" s="74"/>
      <c r="D3716" s="75"/>
      <c r="E3716" s="52" t="str">
        <f aca="false">IF(D3716&lt;&gt;"",IFERROR(VLOOKUP(D3716,PROVEEDORES!$A:$B,2,0),"!COD NO ENCONTRADO"),"")</f>
        <v/>
      </c>
      <c r="F3716" s="76" t="str">
        <f aca="false">IF(D3716&lt;&gt;"",IFERROR(VLOOKUP(D3716,PROVEEDORES!$A:$C,3,0),""),"")</f>
        <v/>
      </c>
      <c r="G3716" s="75"/>
      <c r="H3716" s="52" t="str">
        <f aca="false">IF(G3716&lt;&gt;"",IFERROR(VLOOKUP(G3716,PRODUCTOS!$A:$B,2,0),"!COD NO ENCONTRADO"),"")</f>
        <v/>
      </c>
      <c r="I3716" s="77"/>
      <c r="J3716" s="78"/>
      <c r="K3716" s="79"/>
      <c r="L3716" s="80" t="str">
        <f aca="false">IF(AND(J3716&lt;&gt;"",K3716&lt;&gt;""),J3716*K3716,"")</f>
        <v/>
      </c>
      <c r="M3716" s="81" t="str">
        <f aca="false">IF(L3716&lt;&gt;"",L3716*1.1,"")</f>
        <v/>
      </c>
      <c r="N3716" s="53" t="n">
        <f aca="false">IF(F3716="S",L3716*0.02,0)</f>
        <v>0</v>
      </c>
      <c r="O3716" s="82" t="str">
        <f aca="false">IF(L3716&lt;&gt;"",L3716+N3716,"")</f>
        <v/>
      </c>
      <c r="P3716" s="53" t="str">
        <f aca="false">IF(O3716&lt;&gt;"",O3716*0.1,"")</f>
        <v/>
      </c>
      <c r="Q3716" s="83" t="str">
        <f aca="false">IF(O3716&lt;&gt;"",O3716+P3716,"")</f>
        <v/>
      </c>
      <c r="R3716" s="84"/>
    </row>
    <row r="3717" customFormat="false" ht="15" hidden="false" customHeight="true" outlineLevel="0" collapsed="false">
      <c r="A3717" s="103"/>
      <c r="B3717" s="85"/>
      <c r="C3717" s="86"/>
      <c r="D3717" s="87"/>
      <c r="E3717" s="46" t="str">
        <f aca="false">IF(D3717&lt;&gt;"",IFERROR(VLOOKUP(D3717,PROVEEDORES!$A:$B,2,0),"!COD NO ENCONTRADO"),"")</f>
        <v/>
      </c>
      <c r="F3717" s="88" t="str">
        <f aca="false">IF(D3717&lt;&gt;"",IFERROR(VLOOKUP(D3717,PROVEEDORES!$A:$C,3,0),""),"")</f>
        <v/>
      </c>
      <c r="G3717" s="87"/>
      <c r="H3717" s="46" t="str">
        <f aca="false">IF(G3717&lt;&gt;"",IFERROR(VLOOKUP(G3717,PRODUCTOS!$A:$B,2,0),"!COD NO ENCONTRADO"),"")</f>
        <v/>
      </c>
      <c r="I3717" s="89"/>
      <c r="J3717" s="90"/>
      <c r="K3717" s="91"/>
      <c r="L3717" s="80" t="str">
        <f aca="false">IF(AND(J3717&lt;&gt;"",K3717&lt;&gt;""),J3717*K3717,"")</f>
        <v/>
      </c>
      <c r="M3717" s="81" t="str">
        <f aca="false">IF(L3717&lt;&gt;"",L3717*1.1,"")</f>
        <v/>
      </c>
      <c r="N3717" s="47" t="n">
        <f aca="false">IF(F3717="S",L3717*0.02,0)</f>
        <v>0</v>
      </c>
      <c r="O3717" s="82" t="str">
        <f aca="false">IF(L3717&lt;&gt;"",L3717+N3717,"")</f>
        <v/>
      </c>
      <c r="P3717" s="47" t="str">
        <f aca="false">IF(O3717&lt;&gt;"",O3717*0.1,"")</f>
        <v/>
      </c>
      <c r="Q3717" s="83" t="str">
        <f aca="false">IF(O3717&lt;&gt;"",O3717+P3717,"")</f>
        <v/>
      </c>
      <c r="R3717" s="84"/>
    </row>
    <row r="3718" customFormat="false" ht="15" hidden="false" customHeight="true" outlineLevel="0" collapsed="false">
      <c r="A3718" s="103"/>
      <c r="B3718" s="73"/>
      <c r="C3718" s="74"/>
      <c r="D3718" s="75"/>
      <c r="E3718" s="52" t="str">
        <f aca="false">IF(D3718&lt;&gt;"",IFERROR(VLOOKUP(D3718,PROVEEDORES!$A:$B,2,0),"!COD NO ENCONTRADO"),"")</f>
        <v/>
      </c>
      <c r="F3718" s="76" t="str">
        <f aca="false">IF(D3718&lt;&gt;"",IFERROR(VLOOKUP(D3718,PROVEEDORES!$A:$C,3,0),""),"")</f>
        <v/>
      </c>
      <c r="G3718" s="75"/>
      <c r="H3718" s="52" t="str">
        <f aca="false">IF(G3718&lt;&gt;"",IFERROR(VLOOKUP(G3718,PRODUCTOS!$A:$B,2,0),"!COD NO ENCONTRADO"),"")</f>
        <v/>
      </c>
      <c r="I3718" s="77"/>
      <c r="J3718" s="78"/>
      <c r="K3718" s="79"/>
      <c r="L3718" s="80" t="str">
        <f aca="false">IF(AND(J3718&lt;&gt;"",K3718&lt;&gt;""),J3718*K3718,"")</f>
        <v/>
      </c>
      <c r="M3718" s="81" t="str">
        <f aca="false">IF(L3718&lt;&gt;"",L3718*1.1,"")</f>
        <v/>
      </c>
      <c r="N3718" s="53" t="n">
        <f aca="false">IF(F3718="S",L3718*0.02,0)</f>
        <v>0</v>
      </c>
      <c r="O3718" s="82" t="str">
        <f aca="false">IF(L3718&lt;&gt;"",L3718+N3718,"")</f>
        <v/>
      </c>
      <c r="P3718" s="53" t="str">
        <f aca="false">IF(O3718&lt;&gt;"",O3718*0.1,"")</f>
        <v/>
      </c>
      <c r="Q3718" s="83" t="str">
        <f aca="false">IF(O3718&lt;&gt;"",O3718+P3718,"")</f>
        <v/>
      </c>
      <c r="R3718" s="84"/>
    </row>
    <row r="3719" customFormat="false" ht="15" hidden="false" customHeight="true" outlineLevel="0" collapsed="false">
      <c r="A3719" s="103"/>
      <c r="B3719" s="85"/>
      <c r="C3719" s="86"/>
      <c r="D3719" s="87"/>
      <c r="E3719" s="46" t="str">
        <f aca="false">IF(D3719&lt;&gt;"",IFERROR(VLOOKUP(D3719,PROVEEDORES!$A:$B,2,0),"!COD NO ENCONTRADO"),"")</f>
        <v/>
      </c>
      <c r="F3719" s="88" t="str">
        <f aca="false">IF(D3719&lt;&gt;"",IFERROR(VLOOKUP(D3719,PROVEEDORES!$A:$C,3,0),""),"")</f>
        <v/>
      </c>
      <c r="G3719" s="87"/>
      <c r="H3719" s="46" t="str">
        <f aca="false">IF(G3719&lt;&gt;"",IFERROR(VLOOKUP(G3719,PRODUCTOS!$A:$B,2,0),"!COD NO ENCONTRADO"),"")</f>
        <v/>
      </c>
      <c r="I3719" s="89"/>
      <c r="J3719" s="90"/>
      <c r="K3719" s="91"/>
      <c r="L3719" s="80" t="str">
        <f aca="false">IF(AND(J3719&lt;&gt;"",K3719&lt;&gt;""),J3719*K3719,"")</f>
        <v/>
      </c>
      <c r="M3719" s="81" t="str">
        <f aca="false">IF(L3719&lt;&gt;"",L3719*1.1,"")</f>
        <v/>
      </c>
      <c r="N3719" s="47" t="n">
        <f aca="false">IF(F3719="S",L3719*0.02,0)</f>
        <v>0</v>
      </c>
      <c r="O3719" s="82" t="str">
        <f aca="false">IF(L3719&lt;&gt;"",L3719+N3719,"")</f>
        <v/>
      </c>
      <c r="P3719" s="47" t="str">
        <f aca="false">IF(O3719&lt;&gt;"",O3719*0.1,"")</f>
        <v/>
      </c>
      <c r="Q3719" s="83" t="str">
        <f aca="false">IF(O3719&lt;&gt;"",O3719+P3719,"")</f>
        <v/>
      </c>
      <c r="R3719" s="84"/>
    </row>
    <row r="3720" customFormat="false" ht="15" hidden="false" customHeight="true" outlineLevel="0" collapsed="false">
      <c r="A3720" s="103"/>
      <c r="B3720" s="73"/>
      <c r="C3720" s="74"/>
      <c r="D3720" s="75"/>
      <c r="E3720" s="52" t="str">
        <f aca="false">IF(D3720&lt;&gt;"",IFERROR(VLOOKUP(D3720,PROVEEDORES!$A:$B,2,0),"!COD NO ENCONTRADO"),"")</f>
        <v/>
      </c>
      <c r="F3720" s="76" t="str">
        <f aca="false">IF(D3720&lt;&gt;"",IFERROR(VLOOKUP(D3720,PROVEEDORES!$A:$C,3,0),""),"")</f>
        <v/>
      </c>
      <c r="G3720" s="75"/>
      <c r="H3720" s="52" t="str">
        <f aca="false">IF(G3720&lt;&gt;"",IFERROR(VLOOKUP(G3720,PRODUCTOS!$A:$B,2,0),"!COD NO ENCONTRADO"),"")</f>
        <v/>
      </c>
      <c r="I3720" s="77"/>
      <c r="J3720" s="78"/>
      <c r="K3720" s="79"/>
      <c r="L3720" s="80" t="str">
        <f aca="false">IF(AND(J3720&lt;&gt;"",K3720&lt;&gt;""),J3720*K3720,"")</f>
        <v/>
      </c>
      <c r="M3720" s="81" t="str">
        <f aca="false">IF(L3720&lt;&gt;"",L3720*1.1,"")</f>
        <v/>
      </c>
      <c r="N3720" s="53" t="n">
        <f aca="false">IF(F3720="S",L3720*0.02,0)</f>
        <v>0</v>
      </c>
      <c r="O3720" s="82" t="str">
        <f aca="false">IF(L3720&lt;&gt;"",L3720+N3720,"")</f>
        <v/>
      </c>
      <c r="P3720" s="53" t="str">
        <f aca="false">IF(O3720&lt;&gt;"",O3720*0.1,"")</f>
        <v/>
      </c>
      <c r="Q3720" s="83" t="str">
        <f aca="false">IF(O3720&lt;&gt;"",O3720+P3720,"")</f>
        <v/>
      </c>
      <c r="R3720" s="84"/>
    </row>
    <row r="3721" customFormat="false" ht="15" hidden="false" customHeight="true" outlineLevel="0" collapsed="false">
      <c r="A3721" s="103"/>
      <c r="B3721" s="85"/>
      <c r="C3721" s="86"/>
      <c r="D3721" s="87"/>
      <c r="E3721" s="46" t="str">
        <f aca="false">IF(D3721&lt;&gt;"",IFERROR(VLOOKUP(D3721,PROVEEDORES!$A:$B,2,0),"!COD NO ENCONTRADO"),"")</f>
        <v/>
      </c>
      <c r="F3721" s="88" t="str">
        <f aca="false">IF(D3721&lt;&gt;"",IFERROR(VLOOKUP(D3721,PROVEEDORES!$A:$C,3,0),""),"")</f>
        <v/>
      </c>
      <c r="G3721" s="87"/>
      <c r="H3721" s="46" t="str">
        <f aca="false">IF(G3721&lt;&gt;"",IFERROR(VLOOKUP(G3721,PRODUCTOS!$A:$B,2,0),"!COD NO ENCONTRADO"),"")</f>
        <v/>
      </c>
      <c r="I3721" s="89"/>
      <c r="J3721" s="90"/>
      <c r="K3721" s="91"/>
      <c r="L3721" s="80" t="str">
        <f aca="false">IF(AND(J3721&lt;&gt;"",K3721&lt;&gt;""),J3721*K3721,"")</f>
        <v/>
      </c>
      <c r="M3721" s="81" t="str">
        <f aca="false">IF(L3721&lt;&gt;"",L3721*1.1,"")</f>
        <v/>
      </c>
      <c r="N3721" s="47" t="n">
        <f aca="false">IF(F3721="S",L3721*0.02,0)</f>
        <v>0</v>
      </c>
      <c r="O3721" s="82" t="str">
        <f aca="false">IF(L3721&lt;&gt;"",L3721+N3721,"")</f>
        <v/>
      </c>
      <c r="P3721" s="47" t="str">
        <f aca="false">IF(O3721&lt;&gt;"",O3721*0.1,"")</f>
        <v/>
      </c>
      <c r="Q3721" s="83" t="str">
        <f aca="false">IF(O3721&lt;&gt;"",O3721+P3721,"")</f>
        <v/>
      </c>
      <c r="R3721" s="84"/>
    </row>
    <row r="3722" customFormat="false" ht="15" hidden="false" customHeight="true" outlineLevel="0" collapsed="false">
      <c r="A3722" s="103"/>
      <c r="B3722" s="73"/>
      <c r="C3722" s="74"/>
      <c r="D3722" s="75"/>
      <c r="E3722" s="52" t="str">
        <f aca="false">IF(D3722&lt;&gt;"",IFERROR(VLOOKUP(D3722,PROVEEDORES!$A:$B,2,0),"!COD NO ENCONTRADO"),"")</f>
        <v/>
      </c>
      <c r="F3722" s="76" t="str">
        <f aca="false">IF(D3722&lt;&gt;"",IFERROR(VLOOKUP(D3722,PROVEEDORES!$A:$C,3,0),""),"")</f>
        <v/>
      </c>
      <c r="G3722" s="75"/>
      <c r="H3722" s="52" t="str">
        <f aca="false">IF(G3722&lt;&gt;"",IFERROR(VLOOKUP(G3722,PRODUCTOS!$A:$B,2,0),"!COD NO ENCONTRADO"),"")</f>
        <v/>
      </c>
      <c r="I3722" s="77"/>
      <c r="J3722" s="78"/>
      <c r="K3722" s="79"/>
      <c r="L3722" s="80" t="str">
        <f aca="false">IF(AND(J3722&lt;&gt;"",K3722&lt;&gt;""),J3722*K3722,"")</f>
        <v/>
      </c>
      <c r="M3722" s="81" t="str">
        <f aca="false">IF(L3722&lt;&gt;"",L3722*1.1,"")</f>
        <v/>
      </c>
      <c r="N3722" s="53" t="n">
        <f aca="false">IF(F3722="S",L3722*0.02,0)</f>
        <v>0</v>
      </c>
      <c r="O3722" s="82" t="str">
        <f aca="false">IF(L3722&lt;&gt;"",L3722+N3722,"")</f>
        <v/>
      </c>
      <c r="P3722" s="53" t="str">
        <f aca="false">IF(O3722&lt;&gt;"",O3722*0.1,"")</f>
        <v/>
      </c>
      <c r="Q3722" s="83" t="str">
        <f aca="false">IF(O3722&lt;&gt;"",O3722+P3722,"")</f>
        <v/>
      </c>
      <c r="R3722" s="84"/>
    </row>
    <row r="3723" customFormat="false" ht="15" hidden="false" customHeight="true" outlineLevel="0" collapsed="false">
      <c r="A3723" s="103"/>
      <c r="B3723" s="85"/>
      <c r="C3723" s="86"/>
      <c r="D3723" s="87"/>
      <c r="E3723" s="46" t="str">
        <f aca="false">IF(D3723&lt;&gt;"",IFERROR(VLOOKUP(D3723,PROVEEDORES!$A:$B,2,0),"!COD NO ENCONTRADO"),"")</f>
        <v/>
      </c>
      <c r="F3723" s="88" t="str">
        <f aca="false">IF(D3723&lt;&gt;"",IFERROR(VLOOKUP(D3723,PROVEEDORES!$A:$C,3,0),""),"")</f>
        <v/>
      </c>
      <c r="G3723" s="87"/>
      <c r="H3723" s="46" t="str">
        <f aca="false">IF(G3723&lt;&gt;"",IFERROR(VLOOKUP(G3723,PRODUCTOS!$A:$B,2,0),"!COD NO ENCONTRADO"),"")</f>
        <v/>
      </c>
      <c r="I3723" s="89"/>
      <c r="J3723" s="90"/>
      <c r="K3723" s="91"/>
      <c r="L3723" s="80" t="str">
        <f aca="false">IF(AND(J3723&lt;&gt;"",K3723&lt;&gt;""),J3723*K3723,"")</f>
        <v/>
      </c>
      <c r="M3723" s="81" t="str">
        <f aca="false">IF(L3723&lt;&gt;"",L3723*1.1,"")</f>
        <v/>
      </c>
      <c r="N3723" s="47" t="n">
        <f aca="false">IF(F3723="S",L3723*0.02,0)</f>
        <v>0</v>
      </c>
      <c r="O3723" s="82" t="str">
        <f aca="false">IF(L3723&lt;&gt;"",L3723+N3723,"")</f>
        <v/>
      </c>
      <c r="P3723" s="47" t="str">
        <f aca="false">IF(O3723&lt;&gt;"",O3723*0.1,"")</f>
        <v/>
      </c>
      <c r="Q3723" s="83" t="str">
        <f aca="false">IF(O3723&lt;&gt;"",O3723+P3723,"")</f>
        <v/>
      </c>
      <c r="R3723" s="84"/>
    </row>
    <row r="3724" customFormat="false" ht="15" hidden="false" customHeight="true" outlineLevel="0" collapsed="false">
      <c r="A3724" s="103"/>
      <c r="B3724" s="73"/>
      <c r="C3724" s="74"/>
      <c r="D3724" s="75"/>
      <c r="E3724" s="52" t="str">
        <f aca="false">IF(D3724&lt;&gt;"",IFERROR(VLOOKUP(D3724,PROVEEDORES!$A:$B,2,0),"!COD NO ENCONTRADO"),"")</f>
        <v/>
      </c>
      <c r="F3724" s="76" t="str">
        <f aca="false">IF(D3724&lt;&gt;"",IFERROR(VLOOKUP(D3724,PROVEEDORES!$A:$C,3,0),""),"")</f>
        <v/>
      </c>
      <c r="G3724" s="75"/>
      <c r="H3724" s="52" t="str">
        <f aca="false">IF(G3724&lt;&gt;"",IFERROR(VLOOKUP(G3724,PRODUCTOS!$A:$B,2,0),"!COD NO ENCONTRADO"),"")</f>
        <v/>
      </c>
      <c r="I3724" s="77"/>
      <c r="J3724" s="78"/>
      <c r="K3724" s="79"/>
      <c r="L3724" s="80" t="str">
        <f aca="false">IF(AND(J3724&lt;&gt;"",K3724&lt;&gt;""),J3724*K3724,"")</f>
        <v/>
      </c>
      <c r="M3724" s="81" t="str">
        <f aca="false">IF(L3724&lt;&gt;"",L3724*1.1,"")</f>
        <v/>
      </c>
      <c r="N3724" s="53" t="n">
        <f aca="false">IF(F3724="S",L3724*0.02,0)</f>
        <v>0</v>
      </c>
      <c r="O3724" s="82" t="str">
        <f aca="false">IF(L3724&lt;&gt;"",L3724+N3724,"")</f>
        <v/>
      </c>
      <c r="P3724" s="53" t="str">
        <f aca="false">IF(O3724&lt;&gt;"",O3724*0.1,"")</f>
        <v/>
      </c>
      <c r="Q3724" s="83" t="str">
        <f aca="false">IF(O3724&lt;&gt;"",O3724+P3724,"")</f>
        <v/>
      </c>
      <c r="R3724" s="84"/>
    </row>
    <row r="3725" customFormat="false" ht="15" hidden="false" customHeight="true" outlineLevel="0" collapsed="false">
      <c r="A3725" s="103"/>
      <c r="B3725" s="85"/>
      <c r="C3725" s="86"/>
      <c r="D3725" s="87"/>
      <c r="E3725" s="46" t="str">
        <f aca="false">IF(D3725&lt;&gt;"",IFERROR(VLOOKUP(D3725,PROVEEDORES!$A:$B,2,0),"!COD NO ENCONTRADO"),"")</f>
        <v/>
      </c>
      <c r="F3725" s="88" t="str">
        <f aca="false">IF(D3725&lt;&gt;"",IFERROR(VLOOKUP(D3725,PROVEEDORES!$A:$C,3,0),""),"")</f>
        <v/>
      </c>
      <c r="G3725" s="87"/>
      <c r="H3725" s="46" t="str">
        <f aca="false">IF(G3725&lt;&gt;"",IFERROR(VLOOKUP(G3725,PRODUCTOS!$A:$B,2,0),"!COD NO ENCONTRADO"),"")</f>
        <v/>
      </c>
      <c r="I3725" s="89"/>
      <c r="J3725" s="90"/>
      <c r="K3725" s="91"/>
      <c r="L3725" s="80" t="str">
        <f aca="false">IF(AND(J3725&lt;&gt;"",K3725&lt;&gt;""),J3725*K3725,"")</f>
        <v/>
      </c>
      <c r="M3725" s="81" t="str">
        <f aca="false">IF(L3725&lt;&gt;"",L3725*1.1,"")</f>
        <v/>
      </c>
      <c r="N3725" s="47" t="n">
        <f aca="false">IF(F3725="S",L3725*0.02,0)</f>
        <v>0</v>
      </c>
      <c r="O3725" s="82" t="str">
        <f aca="false">IF(L3725&lt;&gt;"",L3725+N3725,"")</f>
        <v/>
      </c>
      <c r="P3725" s="47" t="str">
        <f aca="false">IF(O3725&lt;&gt;"",O3725*0.1,"")</f>
        <v/>
      </c>
      <c r="Q3725" s="83" t="str">
        <f aca="false">IF(O3725&lt;&gt;"",O3725+P3725,"")</f>
        <v/>
      </c>
      <c r="R3725" s="84"/>
    </row>
    <row r="3726" customFormat="false" ht="15" hidden="false" customHeight="true" outlineLevel="0" collapsed="false">
      <c r="A3726" s="103"/>
      <c r="B3726" s="73"/>
      <c r="C3726" s="74"/>
      <c r="D3726" s="75"/>
      <c r="E3726" s="52" t="str">
        <f aca="false">IF(D3726&lt;&gt;"",IFERROR(VLOOKUP(D3726,PROVEEDORES!$A:$B,2,0),"!COD NO ENCONTRADO"),"")</f>
        <v/>
      </c>
      <c r="F3726" s="76" t="str">
        <f aca="false">IF(D3726&lt;&gt;"",IFERROR(VLOOKUP(D3726,PROVEEDORES!$A:$C,3,0),""),"")</f>
        <v/>
      </c>
      <c r="G3726" s="75"/>
      <c r="H3726" s="52" t="str">
        <f aca="false">IF(G3726&lt;&gt;"",IFERROR(VLOOKUP(G3726,PRODUCTOS!$A:$B,2,0),"!COD NO ENCONTRADO"),"")</f>
        <v/>
      </c>
      <c r="I3726" s="77"/>
      <c r="J3726" s="78"/>
      <c r="K3726" s="79"/>
      <c r="L3726" s="80" t="str">
        <f aca="false">IF(AND(J3726&lt;&gt;"",K3726&lt;&gt;""),J3726*K3726,"")</f>
        <v/>
      </c>
      <c r="M3726" s="81" t="str">
        <f aca="false">IF(L3726&lt;&gt;"",L3726*1.1,"")</f>
        <v/>
      </c>
      <c r="N3726" s="53" t="n">
        <f aca="false">IF(F3726="S",L3726*0.02,0)</f>
        <v>0</v>
      </c>
      <c r="O3726" s="82" t="str">
        <f aca="false">IF(L3726&lt;&gt;"",L3726+N3726,"")</f>
        <v/>
      </c>
      <c r="P3726" s="53" t="str">
        <f aca="false">IF(O3726&lt;&gt;"",O3726*0.1,"")</f>
        <v/>
      </c>
      <c r="Q3726" s="83" t="str">
        <f aca="false">IF(O3726&lt;&gt;"",O3726+P3726,"")</f>
        <v/>
      </c>
      <c r="R3726" s="84"/>
    </row>
    <row r="3727" customFormat="false" ht="15" hidden="false" customHeight="true" outlineLevel="0" collapsed="false">
      <c r="A3727" s="103"/>
      <c r="B3727" s="85"/>
      <c r="C3727" s="86"/>
      <c r="D3727" s="87"/>
      <c r="E3727" s="46" t="str">
        <f aca="false">IF(D3727&lt;&gt;"",IFERROR(VLOOKUP(D3727,PROVEEDORES!$A:$B,2,0),"!COD NO ENCONTRADO"),"")</f>
        <v/>
      </c>
      <c r="F3727" s="88" t="str">
        <f aca="false">IF(D3727&lt;&gt;"",IFERROR(VLOOKUP(D3727,PROVEEDORES!$A:$C,3,0),""),"")</f>
        <v/>
      </c>
      <c r="G3727" s="87"/>
      <c r="H3727" s="46" t="str">
        <f aca="false">IF(G3727&lt;&gt;"",IFERROR(VLOOKUP(G3727,PRODUCTOS!$A:$B,2,0),"!COD NO ENCONTRADO"),"")</f>
        <v/>
      </c>
      <c r="I3727" s="89"/>
      <c r="J3727" s="90"/>
      <c r="K3727" s="91"/>
      <c r="L3727" s="80" t="str">
        <f aca="false">IF(AND(J3727&lt;&gt;"",K3727&lt;&gt;""),J3727*K3727,"")</f>
        <v/>
      </c>
      <c r="M3727" s="81" t="str">
        <f aca="false">IF(L3727&lt;&gt;"",L3727*1.1,"")</f>
        <v/>
      </c>
      <c r="N3727" s="47" t="n">
        <f aca="false">IF(F3727="S",L3727*0.02,0)</f>
        <v>0</v>
      </c>
      <c r="O3727" s="82" t="str">
        <f aca="false">IF(L3727&lt;&gt;"",L3727+N3727,"")</f>
        <v/>
      </c>
      <c r="P3727" s="47" t="str">
        <f aca="false">IF(O3727&lt;&gt;"",O3727*0.1,"")</f>
        <v/>
      </c>
      <c r="Q3727" s="83" t="str">
        <f aca="false">IF(O3727&lt;&gt;"",O3727+P3727,"")</f>
        <v/>
      </c>
      <c r="R3727" s="84"/>
    </row>
    <row r="3728" customFormat="false" ht="15" hidden="false" customHeight="true" outlineLevel="0" collapsed="false">
      <c r="A3728" s="103"/>
      <c r="B3728" s="73"/>
      <c r="C3728" s="74"/>
      <c r="D3728" s="75"/>
      <c r="E3728" s="52" t="str">
        <f aca="false">IF(D3728&lt;&gt;"",IFERROR(VLOOKUP(D3728,PROVEEDORES!$A:$B,2,0),"!COD NO ENCONTRADO"),"")</f>
        <v/>
      </c>
      <c r="F3728" s="76" t="str">
        <f aca="false">IF(D3728&lt;&gt;"",IFERROR(VLOOKUP(D3728,PROVEEDORES!$A:$C,3,0),""),"")</f>
        <v/>
      </c>
      <c r="G3728" s="75"/>
      <c r="H3728" s="52" t="str">
        <f aca="false">IF(G3728&lt;&gt;"",IFERROR(VLOOKUP(G3728,PRODUCTOS!$A:$B,2,0),"!COD NO ENCONTRADO"),"")</f>
        <v/>
      </c>
      <c r="I3728" s="77"/>
      <c r="J3728" s="78"/>
      <c r="K3728" s="79"/>
      <c r="L3728" s="80" t="str">
        <f aca="false">IF(AND(J3728&lt;&gt;"",K3728&lt;&gt;""),J3728*K3728,"")</f>
        <v/>
      </c>
      <c r="M3728" s="81" t="str">
        <f aca="false">IF(L3728&lt;&gt;"",L3728*1.1,"")</f>
        <v/>
      </c>
      <c r="N3728" s="53" t="n">
        <f aca="false">IF(F3728="S",L3728*0.02,0)</f>
        <v>0</v>
      </c>
      <c r="O3728" s="82" t="str">
        <f aca="false">IF(L3728&lt;&gt;"",L3728+N3728,"")</f>
        <v/>
      </c>
      <c r="P3728" s="53" t="str">
        <f aca="false">IF(O3728&lt;&gt;"",O3728*0.1,"")</f>
        <v/>
      </c>
      <c r="Q3728" s="83" t="str">
        <f aca="false">IF(O3728&lt;&gt;"",O3728+P3728,"")</f>
        <v/>
      </c>
      <c r="R3728" s="84"/>
    </row>
    <row r="3729" customFormat="false" ht="15" hidden="false" customHeight="true" outlineLevel="0" collapsed="false">
      <c r="A3729" s="103"/>
      <c r="B3729" s="85"/>
      <c r="C3729" s="86"/>
      <c r="D3729" s="87"/>
      <c r="E3729" s="46" t="str">
        <f aca="false">IF(D3729&lt;&gt;"",IFERROR(VLOOKUP(D3729,PROVEEDORES!$A:$B,2,0),"!COD NO ENCONTRADO"),"")</f>
        <v/>
      </c>
      <c r="F3729" s="88" t="str">
        <f aca="false">IF(D3729&lt;&gt;"",IFERROR(VLOOKUP(D3729,PROVEEDORES!$A:$C,3,0),""),"")</f>
        <v/>
      </c>
      <c r="G3729" s="87"/>
      <c r="H3729" s="46" t="str">
        <f aca="false">IF(G3729&lt;&gt;"",IFERROR(VLOOKUP(G3729,PRODUCTOS!$A:$B,2,0),"!COD NO ENCONTRADO"),"")</f>
        <v/>
      </c>
      <c r="I3729" s="89"/>
      <c r="J3729" s="90"/>
      <c r="K3729" s="91"/>
      <c r="L3729" s="80" t="str">
        <f aca="false">IF(AND(J3729&lt;&gt;"",K3729&lt;&gt;""),J3729*K3729,"")</f>
        <v/>
      </c>
      <c r="M3729" s="81" t="str">
        <f aca="false">IF(L3729&lt;&gt;"",L3729*1.1,"")</f>
        <v/>
      </c>
      <c r="N3729" s="47" t="n">
        <f aca="false">IF(F3729="S",L3729*0.02,0)</f>
        <v>0</v>
      </c>
      <c r="O3729" s="82" t="str">
        <f aca="false">IF(L3729&lt;&gt;"",L3729+N3729,"")</f>
        <v/>
      </c>
      <c r="P3729" s="47" t="str">
        <f aca="false">IF(O3729&lt;&gt;"",O3729*0.1,"")</f>
        <v/>
      </c>
      <c r="Q3729" s="83" t="str">
        <f aca="false">IF(O3729&lt;&gt;"",O3729+P3729,"")</f>
        <v/>
      </c>
      <c r="R3729" s="84"/>
    </row>
    <row r="3730" customFormat="false" ht="15" hidden="false" customHeight="true" outlineLevel="0" collapsed="false">
      <c r="A3730" s="103"/>
      <c r="B3730" s="73"/>
      <c r="C3730" s="74"/>
      <c r="D3730" s="75"/>
      <c r="E3730" s="52" t="str">
        <f aca="false">IF(D3730&lt;&gt;"",IFERROR(VLOOKUP(D3730,PROVEEDORES!$A:$B,2,0),"!COD NO ENCONTRADO"),"")</f>
        <v/>
      </c>
      <c r="F3730" s="76" t="str">
        <f aca="false">IF(D3730&lt;&gt;"",IFERROR(VLOOKUP(D3730,PROVEEDORES!$A:$C,3,0),""),"")</f>
        <v/>
      </c>
      <c r="G3730" s="75"/>
      <c r="H3730" s="52" t="str">
        <f aca="false">IF(G3730&lt;&gt;"",IFERROR(VLOOKUP(G3730,PRODUCTOS!$A:$B,2,0),"!COD NO ENCONTRADO"),"")</f>
        <v/>
      </c>
      <c r="I3730" s="77"/>
      <c r="J3730" s="78"/>
      <c r="K3730" s="79"/>
      <c r="L3730" s="80" t="str">
        <f aca="false">IF(AND(J3730&lt;&gt;"",K3730&lt;&gt;""),J3730*K3730,"")</f>
        <v/>
      </c>
      <c r="M3730" s="81" t="str">
        <f aca="false">IF(L3730&lt;&gt;"",L3730*1.1,"")</f>
        <v/>
      </c>
      <c r="N3730" s="53" t="n">
        <f aca="false">IF(F3730="S",L3730*0.02,0)</f>
        <v>0</v>
      </c>
      <c r="O3730" s="82" t="str">
        <f aca="false">IF(L3730&lt;&gt;"",L3730+N3730,"")</f>
        <v/>
      </c>
      <c r="P3730" s="53" t="str">
        <f aca="false">IF(O3730&lt;&gt;"",O3730*0.1,"")</f>
        <v/>
      </c>
      <c r="Q3730" s="83" t="str">
        <f aca="false">IF(O3730&lt;&gt;"",O3730+P3730,"")</f>
        <v/>
      </c>
      <c r="R3730" s="84"/>
    </row>
    <row r="3731" customFormat="false" ht="15" hidden="false" customHeight="true" outlineLevel="0" collapsed="false">
      <c r="A3731" s="103"/>
      <c r="B3731" s="85"/>
      <c r="C3731" s="86"/>
      <c r="D3731" s="87"/>
      <c r="E3731" s="46" t="str">
        <f aca="false">IF(D3731&lt;&gt;"",IFERROR(VLOOKUP(D3731,PROVEEDORES!$A:$B,2,0),"!COD NO ENCONTRADO"),"")</f>
        <v/>
      </c>
      <c r="F3731" s="88" t="str">
        <f aca="false">IF(D3731&lt;&gt;"",IFERROR(VLOOKUP(D3731,PROVEEDORES!$A:$C,3,0),""),"")</f>
        <v/>
      </c>
      <c r="G3731" s="87"/>
      <c r="H3731" s="46" t="str">
        <f aca="false">IF(G3731&lt;&gt;"",IFERROR(VLOOKUP(G3731,PRODUCTOS!$A:$B,2,0),"!COD NO ENCONTRADO"),"")</f>
        <v/>
      </c>
      <c r="I3731" s="89"/>
      <c r="J3731" s="90"/>
      <c r="K3731" s="91"/>
      <c r="L3731" s="80" t="str">
        <f aca="false">IF(AND(J3731&lt;&gt;"",K3731&lt;&gt;""),J3731*K3731,"")</f>
        <v/>
      </c>
      <c r="M3731" s="81" t="str">
        <f aca="false">IF(L3731&lt;&gt;"",L3731*1.1,"")</f>
        <v/>
      </c>
      <c r="N3731" s="47" t="n">
        <f aca="false">IF(F3731="S",L3731*0.02,0)</f>
        <v>0</v>
      </c>
      <c r="O3731" s="82" t="str">
        <f aca="false">IF(L3731&lt;&gt;"",L3731+N3731,"")</f>
        <v/>
      </c>
      <c r="P3731" s="47" t="str">
        <f aca="false">IF(O3731&lt;&gt;"",O3731*0.1,"")</f>
        <v/>
      </c>
      <c r="Q3731" s="83" t="str">
        <f aca="false">IF(O3731&lt;&gt;"",O3731+P3731,"")</f>
        <v/>
      </c>
      <c r="R3731" s="84"/>
    </row>
    <row r="3732" customFormat="false" ht="15" hidden="false" customHeight="true" outlineLevel="0" collapsed="false">
      <c r="A3732" s="103"/>
      <c r="B3732" s="73"/>
      <c r="C3732" s="74"/>
      <c r="D3732" s="75"/>
      <c r="E3732" s="52" t="str">
        <f aca="false">IF(D3732&lt;&gt;"",IFERROR(VLOOKUP(D3732,PROVEEDORES!$A:$B,2,0),"!COD NO ENCONTRADO"),"")</f>
        <v/>
      </c>
      <c r="F3732" s="76" t="str">
        <f aca="false">IF(D3732&lt;&gt;"",IFERROR(VLOOKUP(D3732,PROVEEDORES!$A:$C,3,0),""),"")</f>
        <v/>
      </c>
      <c r="G3732" s="75"/>
      <c r="H3732" s="52" t="str">
        <f aca="false">IF(G3732&lt;&gt;"",IFERROR(VLOOKUP(G3732,PRODUCTOS!$A:$B,2,0),"!COD NO ENCONTRADO"),"")</f>
        <v/>
      </c>
      <c r="I3732" s="77"/>
      <c r="J3732" s="78"/>
      <c r="K3732" s="79"/>
      <c r="L3732" s="80" t="str">
        <f aca="false">IF(AND(J3732&lt;&gt;"",K3732&lt;&gt;""),J3732*K3732,"")</f>
        <v/>
      </c>
      <c r="M3732" s="81" t="str">
        <f aca="false">IF(L3732&lt;&gt;"",L3732*1.1,"")</f>
        <v/>
      </c>
      <c r="N3732" s="53" t="n">
        <f aca="false">IF(F3732="S",L3732*0.02,0)</f>
        <v>0</v>
      </c>
      <c r="O3732" s="82" t="str">
        <f aca="false">IF(L3732&lt;&gt;"",L3732+N3732,"")</f>
        <v/>
      </c>
      <c r="P3732" s="53" t="str">
        <f aca="false">IF(O3732&lt;&gt;"",O3732*0.1,"")</f>
        <v/>
      </c>
      <c r="Q3732" s="83" t="str">
        <f aca="false">IF(O3732&lt;&gt;"",O3732+P3732,"")</f>
        <v/>
      </c>
      <c r="R3732" s="84"/>
    </row>
    <row r="3733" customFormat="false" ht="15" hidden="false" customHeight="true" outlineLevel="0" collapsed="false">
      <c r="A3733" s="103"/>
      <c r="B3733" s="85"/>
      <c r="C3733" s="86"/>
      <c r="D3733" s="87"/>
      <c r="E3733" s="46" t="str">
        <f aca="false">IF(D3733&lt;&gt;"",IFERROR(VLOOKUP(D3733,PROVEEDORES!$A:$B,2,0),"!COD NO ENCONTRADO"),"")</f>
        <v/>
      </c>
      <c r="F3733" s="88" t="str">
        <f aca="false">IF(D3733&lt;&gt;"",IFERROR(VLOOKUP(D3733,PROVEEDORES!$A:$C,3,0),""),"")</f>
        <v/>
      </c>
      <c r="G3733" s="87"/>
      <c r="H3733" s="46" t="str">
        <f aca="false">IF(G3733&lt;&gt;"",IFERROR(VLOOKUP(G3733,PRODUCTOS!$A:$B,2,0),"!COD NO ENCONTRADO"),"")</f>
        <v/>
      </c>
      <c r="I3733" s="89"/>
      <c r="J3733" s="90"/>
      <c r="K3733" s="91"/>
      <c r="L3733" s="80" t="str">
        <f aca="false">IF(AND(J3733&lt;&gt;"",K3733&lt;&gt;""),J3733*K3733,"")</f>
        <v/>
      </c>
      <c r="M3733" s="81" t="str">
        <f aca="false">IF(L3733&lt;&gt;"",L3733*1.1,"")</f>
        <v/>
      </c>
      <c r="N3733" s="47" t="n">
        <f aca="false">IF(F3733="S",L3733*0.02,0)</f>
        <v>0</v>
      </c>
      <c r="O3733" s="82" t="str">
        <f aca="false">IF(L3733&lt;&gt;"",L3733+N3733,"")</f>
        <v/>
      </c>
      <c r="P3733" s="47" t="str">
        <f aca="false">IF(O3733&lt;&gt;"",O3733*0.1,"")</f>
        <v/>
      </c>
      <c r="Q3733" s="83" t="str">
        <f aca="false">IF(O3733&lt;&gt;"",O3733+P3733,"")</f>
        <v/>
      </c>
      <c r="R3733" s="84"/>
    </row>
    <row r="3734" customFormat="false" ht="15" hidden="false" customHeight="true" outlineLevel="0" collapsed="false">
      <c r="A3734" s="103"/>
      <c r="B3734" s="73"/>
      <c r="C3734" s="74"/>
      <c r="D3734" s="75"/>
      <c r="E3734" s="52" t="str">
        <f aca="false">IF(D3734&lt;&gt;"",IFERROR(VLOOKUP(D3734,PROVEEDORES!$A:$B,2,0),"!COD NO ENCONTRADO"),"")</f>
        <v/>
      </c>
      <c r="F3734" s="76" t="str">
        <f aca="false">IF(D3734&lt;&gt;"",IFERROR(VLOOKUP(D3734,PROVEEDORES!$A:$C,3,0),""),"")</f>
        <v/>
      </c>
      <c r="G3734" s="75"/>
      <c r="H3734" s="52" t="str">
        <f aca="false">IF(G3734&lt;&gt;"",IFERROR(VLOOKUP(G3734,PRODUCTOS!$A:$B,2,0),"!COD NO ENCONTRADO"),"")</f>
        <v/>
      </c>
      <c r="I3734" s="77"/>
      <c r="J3734" s="78"/>
      <c r="K3734" s="79"/>
      <c r="L3734" s="80" t="str">
        <f aca="false">IF(AND(J3734&lt;&gt;"",K3734&lt;&gt;""),J3734*K3734,"")</f>
        <v/>
      </c>
      <c r="M3734" s="81" t="str">
        <f aca="false">IF(L3734&lt;&gt;"",L3734*1.1,"")</f>
        <v/>
      </c>
      <c r="N3734" s="53" t="n">
        <f aca="false">IF(F3734="S",L3734*0.02,0)</f>
        <v>0</v>
      </c>
      <c r="O3734" s="82" t="str">
        <f aca="false">IF(L3734&lt;&gt;"",L3734+N3734,"")</f>
        <v/>
      </c>
      <c r="P3734" s="53" t="str">
        <f aca="false">IF(O3734&lt;&gt;"",O3734*0.1,"")</f>
        <v/>
      </c>
      <c r="Q3734" s="83" t="str">
        <f aca="false">IF(O3734&lt;&gt;"",O3734+P3734,"")</f>
        <v/>
      </c>
      <c r="R3734" s="84"/>
    </row>
    <row r="3735" customFormat="false" ht="15" hidden="false" customHeight="true" outlineLevel="0" collapsed="false">
      <c r="A3735" s="103"/>
      <c r="B3735" s="85"/>
      <c r="C3735" s="86"/>
      <c r="D3735" s="87"/>
      <c r="E3735" s="46" t="str">
        <f aca="false">IF(D3735&lt;&gt;"",IFERROR(VLOOKUP(D3735,PROVEEDORES!$A:$B,2,0),"!COD NO ENCONTRADO"),"")</f>
        <v/>
      </c>
      <c r="F3735" s="88" t="str">
        <f aca="false">IF(D3735&lt;&gt;"",IFERROR(VLOOKUP(D3735,PROVEEDORES!$A:$C,3,0),""),"")</f>
        <v/>
      </c>
      <c r="G3735" s="87"/>
      <c r="H3735" s="46" t="str">
        <f aca="false">IF(G3735&lt;&gt;"",IFERROR(VLOOKUP(G3735,PRODUCTOS!$A:$B,2,0),"!COD NO ENCONTRADO"),"")</f>
        <v/>
      </c>
      <c r="I3735" s="89"/>
      <c r="J3735" s="90"/>
      <c r="K3735" s="91"/>
      <c r="L3735" s="80" t="str">
        <f aca="false">IF(AND(J3735&lt;&gt;"",K3735&lt;&gt;""),J3735*K3735,"")</f>
        <v/>
      </c>
      <c r="M3735" s="81" t="str">
        <f aca="false">IF(L3735&lt;&gt;"",L3735*1.1,"")</f>
        <v/>
      </c>
      <c r="N3735" s="47" t="n">
        <f aca="false">IF(F3735="S",L3735*0.02,0)</f>
        <v>0</v>
      </c>
      <c r="O3735" s="82" t="str">
        <f aca="false">IF(L3735&lt;&gt;"",L3735+N3735,"")</f>
        <v/>
      </c>
      <c r="P3735" s="47" t="str">
        <f aca="false">IF(O3735&lt;&gt;"",O3735*0.1,"")</f>
        <v/>
      </c>
      <c r="Q3735" s="83" t="str">
        <f aca="false">IF(O3735&lt;&gt;"",O3735+P3735,"")</f>
        <v/>
      </c>
      <c r="R3735" s="84"/>
    </row>
    <row r="3736" customFormat="false" ht="15" hidden="false" customHeight="true" outlineLevel="0" collapsed="false">
      <c r="A3736" s="103"/>
      <c r="B3736" s="73"/>
      <c r="C3736" s="74"/>
      <c r="D3736" s="75"/>
      <c r="E3736" s="52" t="str">
        <f aca="false">IF(D3736&lt;&gt;"",IFERROR(VLOOKUP(D3736,PROVEEDORES!$A:$B,2,0),"!COD NO ENCONTRADO"),"")</f>
        <v/>
      </c>
      <c r="F3736" s="76" t="str">
        <f aca="false">IF(D3736&lt;&gt;"",IFERROR(VLOOKUP(D3736,PROVEEDORES!$A:$C,3,0),""),"")</f>
        <v/>
      </c>
      <c r="G3736" s="75"/>
      <c r="H3736" s="52" t="str">
        <f aca="false">IF(G3736&lt;&gt;"",IFERROR(VLOOKUP(G3736,PRODUCTOS!$A:$B,2,0),"!COD NO ENCONTRADO"),"")</f>
        <v/>
      </c>
      <c r="I3736" s="77"/>
      <c r="J3736" s="78"/>
      <c r="K3736" s="79"/>
      <c r="L3736" s="80" t="str">
        <f aca="false">IF(AND(J3736&lt;&gt;"",K3736&lt;&gt;""),J3736*K3736,"")</f>
        <v/>
      </c>
      <c r="M3736" s="81" t="str">
        <f aca="false">IF(L3736&lt;&gt;"",L3736*1.1,"")</f>
        <v/>
      </c>
      <c r="N3736" s="53" t="n">
        <f aca="false">IF(F3736="S",L3736*0.02,0)</f>
        <v>0</v>
      </c>
      <c r="O3736" s="82" t="str">
        <f aca="false">IF(L3736&lt;&gt;"",L3736+N3736,"")</f>
        <v/>
      </c>
      <c r="P3736" s="53" t="str">
        <f aca="false">IF(O3736&lt;&gt;"",O3736*0.1,"")</f>
        <v/>
      </c>
      <c r="Q3736" s="83" t="str">
        <f aca="false">IF(O3736&lt;&gt;"",O3736+P3736,"")</f>
        <v/>
      </c>
      <c r="R3736" s="84"/>
    </row>
    <row r="3737" customFormat="false" ht="15" hidden="false" customHeight="true" outlineLevel="0" collapsed="false">
      <c r="A3737" s="103"/>
      <c r="B3737" s="85"/>
      <c r="C3737" s="86"/>
      <c r="D3737" s="87"/>
      <c r="E3737" s="46" t="str">
        <f aca="false">IF(D3737&lt;&gt;"",IFERROR(VLOOKUP(D3737,PROVEEDORES!$A:$B,2,0),"!COD NO ENCONTRADO"),"")</f>
        <v/>
      </c>
      <c r="F3737" s="88" t="str">
        <f aca="false">IF(D3737&lt;&gt;"",IFERROR(VLOOKUP(D3737,PROVEEDORES!$A:$C,3,0),""),"")</f>
        <v/>
      </c>
      <c r="G3737" s="87"/>
      <c r="H3737" s="46" t="str">
        <f aca="false">IF(G3737&lt;&gt;"",IFERROR(VLOOKUP(G3737,PRODUCTOS!$A:$B,2,0),"!COD NO ENCONTRADO"),"")</f>
        <v/>
      </c>
      <c r="I3737" s="89"/>
      <c r="J3737" s="90"/>
      <c r="K3737" s="91"/>
      <c r="L3737" s="80" t="str">
        <f aca="false">IF(AND(J3737&lt;&gt;"",K3737&lt;&gt;""),J3737*K3737,"")</f>
        <v/>
      </c>
      <c r="M3737" s="81" t="str">
        <f aca="false">IF(L3737&lt;&gt;"",L3737*1.1,"")</f>
        <v/>
      </c>
      <c r="N3737" s="47" t="n">
        <f aca="false">IF(F3737="S",L3737*0.02,0)</f>
        <v>0</v>
      </c>
      <c r="O3737" s="82" t="str">
        <f aca="false">IF(L3737&lt;&gt;"",L3737+N3737,"")</f>
        <v/>
      </c>
      <c r="P3737" s="47" t="str">
        <f aca="false">IF(O3737&lt;&gt;"",O3737*0.1,"")</f>
        <v/>
      </c>
      <c r="Q3737" s="83" t="str">
        <f aca="false">IF(O3737&lt;&gt;"",O3737+P3737,"")</f>
        <v/>
      </c>
      <c r="R3737" s="84"/>
    </row>
    <row r="3738" customFormat="false" ht="15" hidden="false" customHeight="true" outlineLevel="0" collapsed="false">
      <c r="A3738" s="103"/>
      <c r="B3738" s="73"/>
      <c r="C3738" s="74"/>
      <c r="D3738" s="75"/>
      <c r="E3738" s="52" t="str">
        <f aca="false">IF(D3738&lt;&gt;"",IFERROR(VLOOKUP(D3738,PROVEEDORES!$A:$B,2,0),"!COD NO ENCONTRADO"),"")</f>
        <v/>
      </c>
      <c r="F3738" s="76" t="str">
        <f aca="false">IF(D3738&lt;&gt;"",IFERROR(VLOOKUP(D3738,PROVEEDORES!$A:$C,3,0),""),"")</f>
        <v/>
      </c>
      <c r="G3738" s="75"/>
      <c r="H3738" s="52" t="str">
        <f aca="false">IF(G3738&lt;&gt;"",IFERROR(VLOOKUP(G3738,PRODUCTOS!$A:$B,2,0),"!COD NO ENCONTRADO"),"")</f>
        <v/>
      </c>
      <c r="I3738" s="77"/>
      <c r="J3738" s="78"/>
      <c r="K3738" s="79"/>
      <c r="L3738" s="80" t="str">
        <f aca="false">IF(AND(J3738&lt;&gt;"",K3738&lt;&gt;""),J3738*K3738,"")</f>
        <v/>
      </c>
      <c r="M3738" s="81" t="str">
        <f aca="false">IF(L3738&lt;&gt;"",L3738*1.1,"")</f>
        <v/>
      </c>
      <c r="N3738" s="53" t="n">
        <f aca="false">IF(F3738="S",L3738*0.02,0)</f>
        <v>0</v>
      </c>
      <c r="O3738" s="82" t="str">
        <f aca="false">IF(L3738&lt;&gt;"",L3738+N3738,"")</f>
        <v/>
      </c>
      <c r="P3738" s="53" t="str">
        <f aca="false">IF(O3738&lt;&gt;"",O3738*0.1,"")</f>
        <v/>
      </c>
      <c r="Q3738" s="83" t="str">
        <f aca="false">IF(O3738&lt;&gt;"",O3738+P3738,"")</f>
        <v/>
      </c>
      <c r="R3738" s="84"/>
    </row>
    <row r="3739" customFormat="false" ht="15" hidden="false" customHeight="true" outlineLevel="0" collapsed="false">
      <c r="A3739" s="103"/>
      <c r="B3739" s="85"/>
      <c r="C3739" s="86"/>
      <c r="D3739" s="87"/>
      <c r="E3739" s="46" t="str">
        <f aca="false">IF(D3739&lt;&gt;"",IFERROR(VLOOKUP(D3739,PROVEEDORES!$A:$B,2,0),"!COD NO ENCONTRADO"),"")</f>
        <v/>
      </c>
      <c r="F3739" s="88" t="str">
        <f aca="false">IF(D3739&lt;&gt;"",IFERROR(VLOOKUP(D3739,PROVEEDORES!$A:$C,3,0),""),"")</f>
        <v/>
      </c>
      <c r="G3739" s="87"/>
      <c r="H3739" s="46" t="str">
        <f aca="false">IF(G3739&lt;&gt;"",IFERROR(VLOOKUP(G3739,PRODUCTOS!$A:$B,2,0),"!COD NO ENCONTRADO"),"")</f>
        <v/>
      </c>
      <c r="I3739" s="89"/>
      <c r="J3739" s="90"/>
      <c r="K3739" s="91"/>
      <c r="L3739" s="80" t="str">
        <f aca="false">IF(AND(J3739&lt;&gt;"",K3739&lt;&gt;""),J3739*K3739,"")</f>
        <v/>
      </c>
      <c r="M3739" s="81" t="str">
        <f aca="false">IF(L3739&lt;&gt;"",L3739*1.1,"")</f>
        <v/>
      </c>
      <c r="N3739" s="47" t="n">
        <f aca="false">IF(F3739="S",L3739*0.02,0)</f>
        <v>0</v>
      </c>
      <c r="O3739" s="82" t="str">
        <f aca="false">IF(L3739&lt;&gt;"",L3739+N3739,"")</f>
        <v/>
      </c>
      <c r="P3739" s="47" t="str">
        <f aca="false">IF(O3739&lt;&gt;"",O3739*0.1,"")</f>
        <v/>
      </c>
      <c r="Q3739" s="83" t="str">
        <f aca="false">IF(O3739&lt;&gt;"",O3739+P3739,"")</f>
        <v/>
      </c>
      <c r="R3739" s="84"/>
    </row>
    <row r="3740" customFormat="false" ht="15" hidden="false" customHeight="true" outlineLevel="0" collapsed="false">
      <c r="A3740" s="103"/>
      <c r="B3740" s="73"/>
      <c r="C3740" s="74"/>
      <c r="D3740" s="75"/>
      <c r="E3740" s="52" t="str">
        <f aca="false">IF(D3740&lt;&gt;"",IFERROR(VLOOKUP(D3740,PROVEEDORES!$A:$B,2,0),"!COD NO ENCONTRADO"),"")</f>
        <v/>
      </c>
      <c r="F3740" s="76" t="str">
        <f aca="false">IF(D3740&lt;&gt;"",IFERROR(VLOOKUP(D3740,PROVEEDORES!$A:$C,3,0),""),"")</f>
        <v/>
      </c>
      <c r="G3740" s="75"/>
      <c r="H3740" s="52" t="str">
        <f aca="false">IF(G3740&lt;&gt;"",IFERROR(VLOOKUP(G3740,PRODUCTOS!$A:$B,2,0),"!COD NO ENCONTRADO"),"")</f>
        <v/>
      </c>
      <c r="I3740" s="77"/>
      <c r="J3740" s="78"/>
      <c r="K3740" s="79"/>
      <c r="L3740" s="80" t="str">
        <f aca="false">IF(AND(J3740&lt;&gt;"",K3740&lt;&gt;""),J3740*K3740,"")</f>
        <v/>
      </c>
      <c r="M3740" s="81" t="str">
        <f aca="false">IF(L3740&lt;&gt;"",L3740*1.1,"")</f>
        <v/>
      </c>
      <c r="N3740" s="53" t="n">
        <f aca="false">IF(F3740="S",L3740*0.02,0)</f>
        <v>0</v>
      </c>
      <c r="O3740" s="82" t="str">
        <f aca="false">IF(L3740&lt;&gt;"",L3740+N3740,"")</f>
        <v/>
      </c>
      <c r="P3740" s="53" t="str">
        <f aca="false">IF(O3740&lt;&gt;"",O3740*0.1,"")</f>
        <v/>
      </c>
      <c r="Q3740" s="83" t="str">
        <f aca="false">IF(O3740&lt;&gt;"",O3740+P3740,"")</f>
        <v/>
      </c>
      <c r="R3740" s="84"/>
    </row>
    <row r="3741" customFormat="false" ht="15" hidden="false" customHeight="true" outlineLevel="0" collapsed="false">
      <c r="A3741" s="103"/>
      <c r="B3741" s="85"/>
      <c r="C3741" s="86"/>
      <c r="D3741" s="87"/>
      <c r="E3741" s="46" t="str">
        <f aca="false">IF(D3741&lt;&gt;"",IFERROR(VLOOKUP(D3741,PROVEEDORES!$A:$B,2,0),"!COD NO ENCONTRADO"),"")</f>
        <v/>
      </c>
      <c r="F3741" s="88" t="str">
        <f aca="false">IF(D3741&lt;&gt;"",IFERROR(VLOOKUP(D3741,PROVEEDORES!$A:$C,3,0),""),"")</f>
        <v/>
      </c>
      <c r="G3741" s="87"/>
      <c r="H3741" s="46" t="str">
        <f aca="false">IF(G3741&lt;&gt;"",IFERROR(VLOOKUP(G3741,PRODUCTOS!$A:$B,2,0),"!COD NO ENCONTRADO"),"")</f>
        <v/>
      </c>
      <c r="I3741" s="89"/>
      <c r="J3741" s="90"/>
      <c r="K3741" s="91"/>
      <c r="L3741" s="80" t="str">
        <f aca="false">IF(AND(J3741&lt;&gt;"",K3741&lt;&gt;""),J3741*K3741,"")</f>
        <v/>
      </c>
      <c r="M3741" s="81" t="str">
        <f aca="false">IF(L3741&lt;&gt;"",L3741*1.1,"")</f>
        <v/>
      </c>
      <c r="N3741" s="47" t="n">
        <f aca="false">IF(F3741="S",L3741*0.02,0)</f>
        <v>0</v>
      </c>
      <c r="O3741" s="82" t="str">
        <f aca="false">IF(L3741&lt;&gt;"",L3741+N3741,"")</f>
        <v/>
      </c>
      <c r="P3741" s="47" t="str">
        <f aca="false">IF(O3741&lt;&gt;"",O3741*0.1,"")</f>
        <v/>
      </c>
      <c r="Q3741" s="83" t="str">
        <f aca="false">IF(O3741&lt;&gt;"",O3741+P3741,"")</f>
        <v/>
      </c>
      <c r="R3741" s="84"/>
    </row>
    <row r="3742" customFormat="false" ht="15" hidden="false" customHeight="true" outlineLevel="0" collapsed="false">
      <c r="A3742" s="103"/>
      <c r="B3742" s="73"/>
      <c r="C3742" s="74"/>
      <c r="D3742" s="75"/>
      <c r="E3742" s="52" t="str">
        <f aca="false">IF(D3742&lt;&gt;"",IFERROR(VLOOKUP(D3742,PROVEEDORES!$A:$B,2,0),"!COD NO ENCONTRADO"),"")</f>
        <v/>
      </c>
      <c r="F3742" s="76" t="str">
        <f aca="false">IF(D3742&lt;&gt;"",IFERROR(VLOOKUP(D3742,PROVEEDORES!$A:$C,3,0),""),"")</f>
        <v/>
      </c>
      <c r="G3742" s="75"/>
      <c r="H3742" s="52" t="str">
        <f aca="false">IF(G3742&lt;&gt;"",IFERROR(VLOOKUP(G3742,PRODUCTOS!$A:$B,2,0),"!COD NO ENCONTRADO"),"")</f>
        <v/>
      </c>
      <c r="I3742" s="77"/>
      <c r="J3742" s="78"/>
      <c r="K3742" s="79"/>
      <c r="L3742" s="80" t="str">
        <f aca="false">IF(AND(J3742&lt;&gt;"",K3742&lt;&gt;""),J3742*K3742,"")</f>
        <v/>
      </c>
      <c r="M3742" s="81" t="str">
        <f aca="false">IF(L3742&lt;&gt;"",L3742*1.1,"")</f>
        <v/>
      </c>
      <c r="N3742" s="53" t="n">
        <f aca="false">IF(F3742="S",L3742*0.02,0)</f>
        <v>0</v>
      </c>
      <c r="O3742" s="82" t="str">
        <f aca="false">IF(L3742&lt;&gt;"",L3742+N3742,"")</f>
        <v/>
      </c>
      <c r="P3742" s="53" t="str">
        <f aca="false">IF(O3742&lt;&gt;"",O3742*0.1,"")</f>
        <v/>
      </c>
      <c r="Q3742" s="83" t="str">
        <f aca="false">IF(O3742&lt;&gt;"",O3742+P3742,"")</f>
        <v/>
      </c>
      <c r="R3742" s="84"/>
    </row>
    <row r="3743" customFormat="false" ht="15" hidden="false" customHeight="true" outlineLevel="0" collapsed="false">
      <c r="A3743" s="103"/>
      <c r="B3743" s="85"/>
      <c r="C3743" s="86"/>
      <c r="D3743" s="87"/>
      <c r="E3743" s="46" t="str">
        <f aca="false">IF(D3743&lt;&gt;"",IFERROR(VLOOKUP(D3743,PROVEEDORES!$A:$B,2,0),"!COD NO ENCONTRADO"),"")</f>
        <v/>
      </c>
      <c r="F3743" s="88" t="str">
        <f aca="false">IF(D3743&lt;&gt;"",IFERROR(VLOOKUP(D3743,PROVEEDORES!$A:$C,3,0),""),"")</f>
        <v/>
      </c>
      <c r="G3743" s="87"/>
      <c r="H3743" s="46" t="str">
        <f aca="false">IF(G3743&lt;&gt;"",IFERROR(VLOOKUP(G3743,PRODUCTOS!$A:$B,2,0),"!COD NO ENCONTRADO"),"")</f>
        <v/>
      </c>
      <c r="I3743" s="89"/>
      <c r="J3743" s="90"/>
      <c r="K3743" s="91"/>
      <c r="L3743" s="80" t="str">
        <f aca="false">IF(AND(J3743&lt;&gt;"",K3743&lt;&gt;""),J3743*K3743,"")</f>
        <v/>
      </c>
      <c r="M3743" s="81" t="str">
        <f aca="false">IF(L3743&lt;&gt;"",L3743*1.1,"")</f>
        <v/>
      </c>
      <c r="N3743" s="47" t="n">
        <f aca="false">IF(F3743="S",L3743*0.02,0)</f>
        <v>0</v>
      </c>
      <c r="O3743" s="82" t="str">
        <f aca="false">IF(L3743&lt;&gt;"",L3743+N3743,"")</f>
        <v/>
      </c>
      <c r="P3743" s="47" t="str">
        <f aca="false">IF(O3743&lt;&gt;"",O3743*0.1,"")</f>
        <v/>
      </c>
      <c r="Q3743" s="83" t="str">
        <f aca="false">IF(O3743&lt;&gt;"",O3743+P3743,"")</f>
        <v/>
      </c>
      <c r="R3743" s="84"/>
    </row>
    <row r="3744" customFormat="false" ht="15" hidden="false" customHeight="true" outlineLevel="0" collapsed="false">
      <c r="A3744" s="103"/>
      <c r="B3744" s="73"/>
      <c r="C3744" s="74"/>
      <c r="D3744" s="75"/>
      <c r="E3744" s="52" t="str">
        <f aca="false">IF(D3744&lt;&gt;"",IFERROR(VLOOKUP(D3744,PROVEEDORES!$A:$B,2,0),"!COD NO ENCONTRADO"),"")</f>
        <v/>
      </c>
      <c r="F3744" s="76" t="str">
        <f aca="false">IF(D3744&lt;&gt;"",IFERROR(VLOOKUP(D3744,PROVEEDORES!$A:$C,3,0),""),"")</f>
        <v/>
      </c>
      <c r="G3744" s="75"/>
      <c r="H3744" s="52" t="str">
        <f aca="false">IF(G3744&lt;&gt;"",IFERROR(VLOOKUP(G3744,PRODUCTOS!$A:$B,2,0),"!COD NO ENCONTRADO"),"")</f>
        <v/>
      </c>
      <c r="I3744" s="77"/>
      <c r="J3744" s="78"/>
      <c r="K3744" s="79"/>
      <c r="L3744" s="80" t="str">
        <f aca="false">IF(AND(J3744&lt;&gt;"",K3744&lt;&gt;""),J3744*K3744,"")</f>
        <v/>
      </c>
      <c r="M3744" s="81" t="str">
        <f aca="false">IF(L3744&lt;&gt;"",L3744*1.1,"")</f>
        <v/>
      </c>
      <c r="N3744" s="53" t="n">
        <f aca="false">IF(F3744="S",L3744*0.02,0)</f>
        <v>0</v>
      </c>
      <c r="O3744" s="82" t="str">
        <f aca="false">IF(L3744&lt;&gt;"",L3744+N3744,"")</f>
        <v/>
      </c>
      <c r="P3744" s="53" t="str">
        <f aca="false">IF(O3744&lt;&gt;"",O3744*0.1,"")</f>
        <v/>
      </c>
      <c r="Q3744" s="83" t="str">
        <f aca="false">IF(O3744&lt;&gt;"",O3744+P3744,"")</f>
        <v/>
      </c>
      <c r="R3744" s="84"/>
    </row>
    <row r="3745" customFormat="false" ht="15" hidden="false" customHeight="true" outlineLevel="0" collapsed="false">
      <c r="A3745" s="103"/>
      <c r="B3745" s="85"/>
      <c r="C3745" s="86"/>
      <c r="D3745" s="87"/>
      <c r="E3745" s="46" t="str">
        <f aca="false">IF(D3745&lt;&gt;"",IFERROR(VLOOKUP(D3745,PROVEEDORES!$A:$B,2,0),"!COD NO ENCONTRADO"),"")</f>
        <v/>
      </c>
      <c r="F3745" s="88" t="str">
        <f aca="false">IF(D3745&lt;&gt;"",IFERROR(VLOOKUP(D3745,PROVEEDORES!$A:$C,3,0),""),"")</f>
        <v/>
      </c>
      <c r="G3745" s="87"/>
      <c r="H3745" s="46" t="str">
        <f aca="false">IF(G3745&lt;&gt;"",IFERROR(VLOOKUP(G3745,PRODUCTOS!$A:$B,2,0),"!COD NO ENCONTRADO"),"")</f>
        <v/>
      </c>
      <c r="I3745" s="89"/>
      <c r="J3745" s="90"/>
      <c r="K3745" s="91"/>
      <c r="L3745" s="80" t="str">
        <f aca="false">IF(AND(J3745&lt;&gt;"",K3745&lt;&gt;""),J3745*K3745,"")</f>
        <v/>
      </c>
      <c r="M3745" s="81" t="str">
        <f aca="false">IF(L3745&lt;&gt;"",L3745*1.1,"")</f>
        <v/>
      </c>
      <c r="N3745" s="47" t="n">
        <f aca="false">IF(F3745="S",L3745*0.02,0)</f>
        <v>0</v>
      </c>
      <c r="O3745" s="82" t="str">
        <f aca="false">IF(L3745&lt;&gt;"",L3745+N3745,"")</f>
        <v/>
      </c>
      <c r="P3745" s="47" t="str">
        <f aca="false">IF(O3745&lt;&gt;"",O3745*0.1,"")</f>
        <v/>
      </c>
      <c r="Q3745" s="83" t="str">
        <f aca="false">IF(O3745&lt;&gt;"",O3745+P3745,"")</f>
        <v/>
      </c>
      <c r="R3745" s="84"/>
    </row>
    <row r="3746" customFormat="false" ht="15" hidden="false" customHeight="true" outlineLevel="0" collapsed="false">
      <c r="A3746" s="103"/>
      <c r="B3746" s="73"/>
      <c r="C3746" s="74"/>
      <c r="D3746" s="75"/>
      <c r="E3746" s="52" t="str">
        <f aca="false">IF(D3746&lt;&gt;"",IFERROR(VLOOKUP(D3746,PROVEEDORES!$A:$B,2,0),"!COD NO ENCONTRADO"),"")</f>
        <v/>
      </c>
      <c r="F3746" s="76" t="str">
        <f aca="false">IF(D3746&lt;&gt;"",IFERROR(VLOOKUP(D3746,PROVEEDORES!$A:$C,3,0),""),"")</f>
        <v/>
      </c>
      <c r="G3746" s="75"/>
      <c r="H3746" s="52" t="str">
        <f aca="false">IF(G3746&lt;&gt;"",IFERROR(VLOOKUP(G3746,PRODUCTOS!$A:$B,2,0),"!COD NO ENCONTRADO"),"")</f>
        <v/>
      </c>
      <c r="I3746" s="77"/>
      <c r="J3746" s="78"/>
      <c r="K3746" s="79"/>
      <c r="L3746" s="80" t="str">
        <f aca="false">IF(AND(J3746&lt;&gt;"",K3746&lt;&gt;""),J3746*K3746,"")</f>
        <v/>
      </c>
      <c r="M3746" s="81" t="str">
        <f aca="false">IF(L3746&lt;&gt;"",L3746*1.1,"")</f>
        <v/>
      </c>
      <c r="N3746" s="53" t="n">
        <f aca="false">IF(F3746="S",L3746*0.02,0)</f>
        <v>0</v>
      </c>
      <c r="O3746" s="82" t="str">
        <f aca="false">IF(L3746&lt;&gt;"",L3746+N3746,"")</f>
        <v/>
      </c>
      <c r="P3746" s="53" t="str">
        <f aca="false">IF(O3746&lt;&gt;"",O3746*0.1,"")</f>
        <v/>
      </c>
      <c r="Q3746" s="83" t="str">
        <f aca="false">IF(O3746&lt;&gt;"",O3746+P3746,"")</f>
        <v/>
      </c>
      <c r="R3746" s="84"/>
    </row>
    <row r="3747" customFormat="false" ht="15" hidden="false" customHeight="true" outlineLevel="0" collapsed="false">
      <c r="A3747" s="103"/>
      <c r="B3747" s="85"/>
      <c r="C3747" s="86"/>
      <c r="D3747" s="87"/>
      <c r="E3747" s="46" t="str">
        <f aca="false">IF(D3747&lt;&gt;"",IFERROR(VLOOKUP(D3747,PROVEEDORES!$A:$B,2,0),"!COD NO ENCONTRADO"),"")</f>
        <v/>
      </c>
      <c r="F3747" s="88" t="str">
        <f aca="false">IF(D3747&lt;&gt;"",IFERROR(VLOOKUP(D3747,PROVEEDORES!$A:$C,3,0),""),"")</f>
        <v/>
      </c>
      <c r="G3747" s="87"/>
      <c r="H3747" s="46" t="str">
        <f aca="false">IF(G3747&lt;&gt;"",IFERROR(VLOOKUP(G3747,PRODUCTOS!$A:$B,2,0),"!COD NO ENCONTRADO"),"")</f>
        <v/>
      </c>
      <c r="I3747" s="89"/>
      <c r="J3747" s="90"/>
      <c r="K3747" s="91"/>
      <c r="L3747" s="80" t="str">
        <f aca="false">IF(AND(J3747&lt;&gt;"",K3747&lt;&gt;""),J3747*K3747,"")</f>
        <v/>
      </c>
      <c r="M3747" s="81" t="str">
        <f aca="false">IF(L3747&lt;&gt;"",L3747*1.1,"")</f>
        <v/>
      </c>
      <c r="N3747" s="47" t="n">
        <f aca="false">IF(F3747="S",L3747*0.02,0)</f>
        <v>0</v>
      </c>
      <c r="O3747" s="82" t="str">
        <f aca="false">IF(L3747&lt;&gt;"",L3747+N3747,"")</f>
        <v/>
      </c>
      <c r="P3747" s="47" t="str">
        <f aca="false">IF(O3747&lt;&gt;"",O3747*0.1,"")</f>
        <v/>
      </c>
      <c r="Q3747" s="83" t="str">
        <f aca="false">IF(O3747&lt;&gt;"",O3747+P3747,"")</f>
        <v/>
      </c>
      <c r="R3747" s="84"/>
    </row>
    <row r="3748" customFormat="false" ht="15" hidden="false" customHeight="true" outlineLevel="0" collapsed="false">
      <c r="A3748" s="103"/>
      <c r="B3748" s="73"/>
      <c r="C3748" s="74"/>
      <c r="D3748" s="75"/>
      <c r="E3748" s="52" t="str">
        <f aca="false">IF(D3748&lt;&gt;"",IFERROR(VLOOKUP(D3748,PROVEEDORES!$A:$B,2,0),"!COD NO ENCONTRADO"),"")</f>
        <v/>
      </c>
      <c r="F3748" s="76" t="str">
        <f aca="false">IF(D3748&lt;&gt;"",IFERROR(VLOOKUP(D3748,PROVEEDORES!$A:$C,3,0),""),"")</f>
        <v/>
      </c>
      <c r="G3748" s="75"/>
      <c r="H3748" s="52" t="str">
        <f aca="false">IF(G3748&lt;&gt;"",IFERROR(VLOOKUP(G3748,PRODUCTOS!$A:$B,2,0),"!COD NO ENCONTRADO"),"")</f>
        <v/>
      </c>
      <c r="I3748" s="77"/>
      <c r="J3748" s="78"/>
      <c r="K3748" s="79"/>
      <c r="L3748" s="80" t="str">
        <f aca="false">IF(AND(J3748&lt;&gt;"",K3748&lt;&gt;""),J3748*K3748,"")</f>
        <v/>
      </c>
      <c r="M3748" s="81" t="str">
        <f aca="false">IF(L3748&lt;&gt;"",L3748*1.1,"")</f>
        <v/>
      </c>
      <c r="N3748" s="53" t="n">
        <f aca="false">IF(F3748="S",L3748*0.02,0)</f>
        <v>0</v>
      </c>
      <c r="O3748" s="82" t="str">
        <f aca="false">IF(L3748&lt;&gt;"",L3748+N3748,"")</f>
        <v/>
      </c>
      <c r="P3748" s="53" t="str">
        <f aca="false">IF(O3748&lt;&gt;"",O3748*0.1,"")</f>
        <v/>
      </c>
      <c r="Q3748" s="83" t="str">
        <f aca="false">IF(O3748&lt;&gt;"",O3748+P3748,"")</f>
        <v/>
      </c>
      <c r="R3748" s="84"/>
    </row>
    <row r="3749" customFormat="false" ht="15" hidden="false" customHeight="true" outlineLevel="0" collapsed="false">
      <c r="A3749" s="103"/>
      <c r="B3749" s="85"/>
      <c r="C3749" s="86"/>
      <c r="D3749" s="87"/>
      <c r="E3749" s="46" t="str">
        <f aca="false">IF(D3749&lt;&gt;"",IFERROR(VLOOKUP(D3749,PROVEEDORES!$A:$B,2,0),"!COD NO ENCONTRADO"),"")</f>
        <v/>
      </c>
      <c r="F3749" s="88" t="str">
        <f aca="false">IF(D3749&lt;&gt;"",IFERROR(VLOOKUP(D3749,PROVEEDORES!$A:$C,3,0),""),"")</f>
        <v/>
      </c>
      <c r="G3749" s="87"/>
      <c r="H3749" s="46" t="str">
        <f aca="false">IF(G3749&lt;&gt;"",IFERROR(VLOOKUP(G3749,PRODUCTOS!$A:$B,2,0),"!COD NO ENCONTRADO"),"")</f>
        <v/>
      </c>
      <c r="I3749" s="89"/>
      <c r="J3749" s="90"/>
      <c r="K3749" s="91"/>
      <c r="L3749" s="80" t="str">
        <f aca="false">IF(AND(J3749&lt;&gt;"",K3749&lt;&gt;""),J3749*K3749,"")</f>
        <v/>
      </c>
      <c r="M3749" s="81" t="str">
        <f aca="false">IF(L3749&lt;&gt;"",L3749*1.1,"")</f>
        <v/>
      </c>
      <c r="N3749" s="47" t="n">
        <f aca="false">IF(F3749="S",L3749*0.02,0)</f>
        <v>0</v>
      </c>
      <c r="O3749" s="82" t="str">
        <f aca="false">IF(L3749&lt;&gt;"",L3749+N3749,"")</f>
        <v/>
      </c>
      <c r="P3749" s="47" t="str">
        <f aca="false">IF(O3749&lt;&gt;"",O3749*0.1,"")</f>
        <v/>
      </c>
      <c r="Q3749" s="83" t="str">
        <f aca="false">IF(O3749&lt;&gt;"",O3749+P3749,"")</f>
        <v/>
      </c>
      <c r="R3749" s="84"/>
    </row>
    <row r="3750" customFormat="false" ht="15" hidden="false" customHeight="true" outlineLevel="0" collapsed="false">
      <c r="A3750" s="103"/>
      <c r="B3750" s="73"/>
      <c r="C3750" s="74"/>
      <c r="D3750" s="75"/>
      <c r="E3750" s="52" t="str">
        <f aca="false">IF(D3750&lt;&gt;"",IFERROR(VLOOKUP(D3750,PROVEEDORES!$A:$B,2,0),"!COD NO ENCONTRADO"),"")</f>
        <v/>
      </c>
      <c r="F3750" s="76" t="str">
        <f aca="false">IF(D3750&lt;&gt;"",IFERROR(VLOOKUP(D3750,PROVEEDORES!$A:$C,3,0),""),"")</f>
        <v/>
      </c>
      <c r="G3750" s="75"/>
      <c r="H3750" s="52" t="str">
        <f aca="false">IF(G3750&lt;&gt;"",IFERROR(VLOOKUP(G3750,PRODUCTOS!$A:$B,2,0),"!COD NO ENCONTRADO"),"")</f>
        <v/>
      </c>
      <c r="I3750" s="77"/>
      <c r="J3750" s="78"/>
      <c r="K3750" s="79"/>
      <c r="L3750" s="80" t="str">
        <f aca="false">IF(AND(J3750&lt;&gt;"",K3750&lt;&gt;""),J3750*K3750,"")</f>
        <v/>
      </c>
      <c r="M3750" s="81" t="str">
        <f aca="false">IF(L3750&lt;&gt;"",L3750*1.1,"")</f>
        <v/>
      </c>
      <c r="N3750" s="53" t="n">
        <f aca="false">IF(F3750="S",L3750*0.02,0)</f>
        <v>0</v>
      </c>
      <c r="O3750" s="82" t="str">
        <f aca="false">IF(L3750&lt;&gt;"",L3750+N3750,"")</f>
        <v/>
      </c>
      <c r="P3750" s="53" t="str">
        <f aca="false">IF(O3750&lt;&gt;"",O3750*0.1,"")</f>
        <v/>
      </c>
      <c r="Q3750" s="83" t="str">
        <f aca="false">IF(O3750&lt;&gt;"",O3750+P3750,"")</f>
        <v/>
      </c>
      <c r="R3750" s="84"/>
    </row>
    <row r="3751" customFormat="false" ht="15" hidden="false" customHeight="true" outlineLevel="0" collapsed="false">
      <c r="A3751" s="103"/>
      <c r="B3751" s="85"/>
      <c r="C3751" s="86"/>
      <c r="D3751" s="87"/>
      <c r="E3751" s="46" t="str">
        <f aca="false">IF(D3751&lt;&gt;"",IFERROR(VLOOKUP(D3751,PROVEEDORES!$A:$B,2,0),"!COD NO ENCONTRADO"),"")</f>
        <v/>
      </c>
      <c r="F3751" s="88" t="str">
        <f aca="false">IF(D3751&lt;&gt;"",IFERROR(VLOOKUP(D3751,PROVEEDORES!$A:$C,3,0),""),"")</f>
        <v/>
      </c>
      <c r="G3751" s="87"/>
      <c r="H3751" s="46" t="str">
        <f aca="false">IF(G3751&lt;&gt;"",IFERROR(VLOOKUP(G3751,PRODUCTOS!$A:$B,2,0),"!COD NO ENCONTRADO"),"")</f>
        <v/>
      </c>
      <c r="I3751" s="89"/>
      <c r="J3751" s="90"/>
      <c r="K3751" s="91"/>
      <c r="L3751" s="80" t="str">
        <f aca="false">IF(AND(J3751&lt;&gt;"",K3751&lt;&gt;""),J3751*K3751,"")</f>
        <v/>
      </c>
      <c r="M3751" s="81" t="str">
        <f aca="false">IF(L3751&lt;&gt;"",L3751*1.1,"")</f>
        <v/>
      </c>
      <c r="N3751" s="47" t="n">
        <f aca="false">IF(F3751="S",L3751*0.02,0)</f>
        <v>0</v>
      </c>
      <c r="O3751" s="82" t="str">
        <f aca="false">IF(L3751&lt;&gt;"",L3751+N3751,"")</f>
        <v/>
      </c>
      <c r="P3751" s="47" t="str">
        <f aca="false">IF(O3751&lt;&gt;"",O3751*0.1,"")</f>
        <v/>
      </c>
      <c r="Q3751" s="83" t="str">
        <f aca="false">IF(O3751&lt;&gt;"",O3751+P3751,"")</f>
        <v/>
      </c>
      <c r="R3751" s="84"/>
    </row>
    <row r="3752" customFormat="false" ht="15" hidden="false" customHeight="true" outlineLevel="0" collapsed="false">
      <c r="A3752" s="103"/>
      <c r="B3752" s="73"/>
      <c r="C3752" s="74"/>
      <c r="D3752" s="75"/>
      <c r="E3752" s="52" t="str">
        <f aca="false">IF(D3752&lt;&gt;"",IFERROR(VLOOKUP(D3752,PROVEEDORES!$A:$B,2,0),"!COD NO ENCONTRADO"),"")</f>
        <v/>
      </c>
      <c r="F3752" s="76" t="str">
        <f aca="false">IF(D3752&lt;&gt;"",IFERROR(VLOOKUP(D3752,PROVEEDORES!$A:$C,3,0),""),"")</f>
        <v/>
      </c>
      <c r="G3752" s="75"/>
      <c r="H3752" s="52" t="str">
        <f aca="false">IF(G3752&lt;&gt;"",IFERROR(VLOOKUP(G3752,PRODUCTOS!$A:$B,2,0),"!COD NO ENCONTRADO"),"")</f>
        <v/>
      </c>
      <c r="I3752" s="77"/>
      <c r="J3752" s="78"/>
      <c r="K3752" s="79"/>
      <c r="L3752" s="80" t="str">
        <f aca="false">IF(AND(J3752&lt;&gt;"",K3752&lt;&gt;""),J3752*K3752,"")</f>
        <v/>
      </c>
      <c r="M3752" s="81" t="str">
        <f aca="false">IF(L3752&lt;&gt;"",L3752*1.1,"")</f>
        <v/>
      </c>
      <c r="N3752" s="53" t="n">
        <f aca="false">IF(F3752="S",L3752*0.02,0)</f>
        <v>0</v>
      </c>
      <c r="O3752" s="82" t="str">
        <f aca="false">IF(L3752&lt;&gt;"",L3752+N3752,"")</f>
        <v/>
      </c>
      <c r="P3752" s="53" t="str">
        <f aca="false">IF(O3752&lt;&gt;"",O3752*0.1,"")</f>
        <v/>
      </c>
      <c r="Q3752" s="83" t="str">
        <f aca="false">IF(O3752&lt;&gt;"",O3752+P3752,"")</f>
        <v/>
      </c>
      <c r="R3752" s="84"/>
    </row>
    <row r="3753" customFormat="false" ht="15" hidden="false" customHeight="true" outlineLevel="0" collapsed="false">
      <c r="A3753" s="103"/>
      <c r="B3753" s="85"/>
      <c r="C3753" s="86"/>
      <c r="D3753" s="87"/>
      <c r="E3753" s="46" t="str">
        <f aca="false">IF(D3753&lt;&gt;"",IFERROR(VLOOKUP(D3753,PROVEEDORES!$A:$B,2,0),"!COD NO ENCONTRADO"),"")</f>
        <v/>
      </c>
      <c r="F3753" s="88" t="str">
        <f aca="false">IF(D3753&lt;&gt;"",IFERROR(VLOOKUP(D3753,PROVEEDORES!$A:$C,3,0),""),"")</f>
        <v/>
      </c>
      <c r="G3753" s="87"/>
      <c r="H3753" s="46" t="str">
        <f aca="false">IF(G3753&lt;&gt;"",IFERROR(VLOOKUP(G3753,PRODUCTOS!$A:$B,2,0),"!COD NO ENCONTRADO"),"")</f>
        <v/>
      </c>
      <c r="I3753" s="89"/>
      <c r="J3753" s="90"/>
      <c r="K3753" s="91"/>
      <c r="L3753" s="80" t="str">
        <f aca="false">IF(AND(J3753&lt;&gt;"",K3753&lt;&gt;""),J3753*K3753,"")</f>
        <v/>
      </c>
      <c r="M3753" s="81" t="str">
        <f aca="false">IF(L3753&lt;&gt;"",L3753*1.1,"")</f>
        <v/>
      </c>
      <c r="N3753" s="47" t="n">
        <f aca="false">IF(F3753="S",L3753*0.02,0)</f>
        <v>0</v>
      </c>
      <c r="O3753" s="82" t="str">
        <f aca="false">IF(L3753&lt;&gt;"",L3753+N3753,"")</f>
        <v/>
      </c>
      <c r="P3753" s="47" t="str">
        <f aca="false">IF(O3753&lt;&gt;"",O3753*0.1,"")</f>
        <v/>
      </c>
      <c r="Q3753" s="83" t="str">
        <f aca="false">IF(O3753&lt;&gt;"",O3753+P3753,"")</f>
        <v/>
      </c>
      <c r="R3753" s="84"/>
    </row>
    <row r="3754" customFormat="false" ht="15" hidden="false" customHeight="true" outlineLevel="0" collapsed="false">
      <c r="A3754" s="103"/>
      <c r="B3754" s="73"/>
      <c r="C3754" s="74"/>
      <c r="D3754" s="75"/>
      <c r="E3754" s="52" t="str">
        <f aca="false">IF(D3754&lt;&gt;"",IFERROR(VLOOKUP(D3754,PROVEEDORES!$A:$B,2,0),"!COD NO ENCONTRADO"),"")</f>
        <v/>
      </c>
      <c r="F3754" s="76" t="str">
        <f aca="false">IF(D3754&lt;&gt;"",IFERROR(VLOOKUP(D3754,PROVEEDORES!$A:$C,3,0),""),"")</f>
        <v/>
      </c>
      <c r="G3754" s="75"/>
      <c r="H3754" s="52" t="str">
        <f aca="false">IF(G3754&lt;&gt;"",IFERROR(VLOOKUP(G3754,PRODUCTOS!$A:$B,2,0),"!COD NO ENCONTRADO"),"")</f>
        <v/>
      </c>
      <c r="I3754" s="77"/>
      <c r="J3754" s="78"/>
      <c r="K3754" s="79"/>
      <c r="L3754" s="80" t="str">
        <f aca="false">IF(AND(J3754&lt;&gt;"",K3754&lt;&gt;""),J3754*K3754,"")</f>
        <v/>
      </c>
      <c r="M3754" s="81" t="str">
        <f aca="false">IF(L3754&lt;&gt;"",L3754*1.1,"")</f>
        <v/>
      </c>
      <c r="N3754" s="53" t="n">
        <f aca="false">IF(F3754="S",L3754*0.02,0)</f>
        <v>0</v>
      </c>
      <c r="O3754" s="82" t="str">
        <f aca="false">IF(L3754&lt;&gt;"",L3754+N3754,"")</f>
        <v/>
      </c>
      <c r="P3754" s="53" t="str">
        <f aca="false">IF(O3754&lt;&gt;"",O3754*0.1,"")</f>
        <v/>
      </c>
      <c r="Q3754" s="83" t="str">
        <f aca="false">IF(O3754&lt;&gt;"",O3754+P3754,"")</f>
        <v/>
      </c>
      <c r="R3754" s="84"/>
    </row>
    <row r="3755" customFormat="false" ht="15" hidden="false" customHeight="true" outlineLevel="0" collapsed="false">
      <c r="A3755" s="103"/>
      <c r="B3755" s="85"/>
      <c r="C3755" s="86"/>
      <c r="D3755" s="87"/>
      <c r="E3755" s="46" t="str">
        <f aca="false">IF(D3755&lt;&gt;"",IFERROR(VLOOKUP(D3755,PROVEEDORES!$A:$B,2,0),"!COD NO ENCONTRADO"),"")</f>
        <v/>
      </c>
      <c r="F3755" s="88" t="str">
        <f aca="false">IF(D3755&lt;&gt;"",IFERROR(VLOOKUP(D3755,PROVEEDORES!$A:$C,3,0),""),"")</f>
        <v/>
      </c>
      <c r="G3755" s="87"/>
      <c r="H3755" s="46" t="str">
        <f aca="false">IF(G3755&lt;&gt;"",IFERROR(VLOOKUP(G3755,PRODUCTOS!$A:$B,2,0),"!COD NO ENCONTRADO"),"")</f>
        <v/>
      </c>
      <c r="I3755" s="89"/>
      <c r="J3755" s="90"/>
      <c r="K3755" s="91"/>
      <c r="L3755" s="80" t="str">
        <f aca="false">IF(AND(J3755&lt;&gt;"",K3755&lt;&gt;""),J3755*K3755,"")</f>
        <v/>
      </c>
      <c r="M3755" s="81" t="str">
        <f aca="false">IF(L3755&lt;&gt;"",L3755*1.1,"")</f>
        <v/>
      </c>
      <c r="N3755" s="47" t="n">
        <f aca="false">IF(F3755="S",L3755*0.02,0)</f>
        <v>0</v>
      </c>
      <c r="O3755" s="82" t="str">
        <f aca="false">IF(L3755&lt;&gt;"",L3755+N3755,"")</f>
        <v/>
      </c>
      <c r="P3755" s="47" t="str">
        <f aca="false">IF(O3755&lt;&gt;"",O3755*0.1,"")</f>
        <v/>
      </c>
      <c r="Q3755" s="83" t="str">
        <f aca="false">IF(O3755&lt;&gt;"",O3755+P3755,"")</f>
        <v/>
      </c>
      <c r="R3755" s="84"/>
    </row>
    <row r="3756" customFormat="false" ht="15" hidden="false" customHeight="true" outlineLevel="0" collapsed="false">
      <c r="A3756" s="103"/>
      <c r="B3756" s="73"/>
      <c r="C3756" s="74"/>
      <c r="D3756" s="75"/>
      <c r="E3756" s="52" t="str">
        <f aca="false">IF(D3756&lt;&gt;"",IFERROR(VLOOKUP(D3756,PROVEEDORES!$A:$B,2,0),"!COD NO ENCONTRADO"),"")</f>
        <v/>
      </c>
      <c r="F3756" s="76" t="str">
        <f aca="false">IF(D3756&lt;&gt;"",IFERROR(VLOOKUP(D3756,PROVEEDORES!$A:$C,3,0),""),"")</f>
        <v/>
      </c>
      <c r="G3756" s="75"/>
      <c r="H3756" s="52" t="str">
        <f aca="false">IF(G3756&lt;&gt;"",IFERROR(VLOOKUP(G3756,PRODUCTOS!$A:$B,2,0),"!COD NO ENCONTRADO"),"")</f>
        <v/>
      </c>
      <c r="I3756" s="77"/>
      <c r="J3756" s="78"/>
      <c r="K3756" s="79"/>
      <c r="L3756" s="80" t="str">
        <f aca="false">IF(AND(J3756&lt;&gt;"",K3756&lt;&gt;""),J3756*K3756,"")</f>
        <v/>
      </c>
      <c r="M3756" s="81" t="str">
        <f aca="false">IF(L3756&lt;&gt;"",L3756*1.1,"")</f>
        <v/>
      </c>
      <c r="N3756" s="53" t="n">
        <f aca="false">IF(F3756="S",L3756*0.02,0)</f>
        <v>0</v>
      </c>
      <c r="O3756" s="82" t="str">
        <f aca="false">IF(L3756&lt;&gt;"",L3756+N3756,"")</f>
        <v/>
      </c>
      <c r="P3756" s="53" t="str">
        <f aca="false">IF(O3756&lt;&gt;"",O3756*0.1,"")</f>
        <v/>
      </c>
      <c r="Q3756" s="83" t="str">
        <f aca="false">IF(O3756&lt;&gt;"",O3756+P3756,"")</f>
        <v/>
      </c>
      <c r="R3756" s="84"/>
    </row>
    <row r="3757" customFormat="false" ht="15" hidden="false" customHeight="true" outlineLevel="0" collapsed="false">
      <c r="A3757" s="103"/>
      <c r="B3757" s="85"/>
      <c r="C3757" s="86"/>
      <c r="D3757" s="87"/>
      <c r="E3757" s="46" t="str">
        <f aca="false">IF(D3757&lt;&gt;"",IFERROR(VLOOKUP(D3757,PROVEEDORES!$A:$B,2,0),"!COD NO ENCONTRADO"),"")</f>
        <v/>
      </c>
      <c r="F3757" s="88" t="str">
        <f aca="false">IF(D3757&lt;&gt;"",IFERROR(VLOOKUP(D3757,PROVEEDORES!$A:$C,3,0),""),"")</f>
        <v/>
      </c>
      <c r="G3757" s="87"/>
      <c r="H3757" s="46" t="str">
        <f aca="false">IF(G3757&lt;&gt;"",IFERROR(VLOOKUP(G3757,PRODUCTOS!$A:$B,2,0),"!COD NO ENCONTRADO"),"")</f>
        <v/>
      </c>
      <c r="I3757" s="89"/>
      <c r="J3757" s="90"/>
      <c r="K3757" s="91"/>
      <c r="L3757" s="80" t="str">
        <f aca="false">IF(AND(J3757&lt;&gt;"",K3757&lt;&gt;""),J3757*K3757,"")</f>
        <v/>
      </c>
      <c r="M3757" s="81" t="str">
        <f aca="false">IF(L3757&lt;&gt;"",L3757*1.1,"")</f>
        <v/>
      </c>
      <c r="N3757" s="47" t="n">
        <f aca="false">IF(F3757="S",L3757*0.02,0)</f>
        <v>0</v>
      </c>
      <c r="O3757" s="82" t="str">
        <f aca="false">IF(L3757&lt;&gt;"",L3757+N3757,"")</f>
        <v/>
      </c>
      <c r="P3757" s="47" t="str">
        <f aca="false">IF(O3757&lt;&gt;"",O3757*0.1,"")</f>
        <v/>
      </c>
      <c r="Q3757" s="83" t="str">
        <f aca="false">IF(O3757&lt;&gt;"",O3757+P3757,"")</f>
        <v/>
      </c>
      <c r="R3757" s="84"/>
    </row>
    <row r="3758" customFormat="false" ht="15" hidden="false" customHeight="true" outlineLevel="0" collapsed="false">
      <c r="A3758" s="103"/>
      <c r="B3758" s="73"/>
      <c r="C3758" s="74"/>
      <c r="D3758" s="75"/>
      <c r="E3758" s="52" t="str">
        <f aca="false">IF(D3758&lt;&gt;"",IFERROR(VLOOKUP(D3758,PROVEEDORES!$A:$B,2,0),"!COD NO ENCONTRADO"),"")</f>
        <v/>
      </c>
      <c r="F3758" s="76" t="str">
        <f aca="false">IF(D3758&lt;&gt;"",IFERROR(VLOOKUP(D3758,PROVEEDORES!$A:$C,3,0),""),"")</f>
        <v/>
      </c>
      <c r="G3758" s="75"/>
      <c r="H3758" s="52" t="str">
        <f aca="false">IF(G3758&lt;&gt;"",IFERROR(VLOOKUP(G3758,PRODUCTOS!$A:$B,2,0),"!COD NO ENCONTRADO"),"")</f>
        <v/>
      </c>
      <c r="I3758" s="77"/>
      <c r="J3758" s="78"/>
      <c r="K3758" s="79"/>
      <c r="L3758" s="80" t="str">
        <f aca="false">IF(AND(J3758&lt;&gt;"",K3758&lt;&gt;""),J3758*K3758,"")</f>
        <v/>
      </c>
      <c r="M3758" s="81" t="str">
        <f aca="false">IF(L3758&lt;&gt;"",L3758*1.1,"")</f>
        <v/>
      </c>
      <c r="N3758" s="53" t="n">
        <f aca="false">IF(F3758="S",L3758*0.02,0)</f>
        <v>0</v>
      </c>
      <c r="O3758" s="82" t="str">
        <f aca="false">IF(L3758&lt;&gt;"",L3758+N3758,"")</f>
        <v/>
      </c>
      <c r="P3758" s="53" t="str">
        <f aca="false">IF(O3758&lt;&gt;"",O3758*0.1,"")</f>
        <v/>
      </c>
      <c r="Q3758" s="83" t="str">
        <f aca="false">IF(O3758&lt;&gt;"",O3758+P3758,"")</f>
        <v/>
      </c>
      <c r="R3758" s="84"/>
    </row>
    <row r="3759" customFormat="false" ht="15" hidden="false" customHeight="true" outlineLevel="0" collapsed="false">
      <c r="A3759" s="103"/>
      <c r="B3759" s="85"/>
      <c r="C3759" s="86"/>
      <c r="D3759" s="87"/>
      <c r="E3759" s="46" t="str">
        <f aca="false">IF(D3759&lt;&gt;"",IFERROR(VLOOKUP(D3759,PROVEEDORES!$A:$B,2,0),"!COD NO ENCONTRADO"),"")</f>
        <v/>
      </c>
      <c r="F3759" s="88" t="str">
        <f aca="false">IF(D3759&lt;&gt;"",IFERROR(VLOOKUP(D3759,PROVEEDORES!$A:$C,3,0),""),"")</f>
        <v/>
      </c>
      <c r="G3759" s="87"/>
      <c r="H3759" s="46" t="str">
        <f aca="false">IF(G3759&lt;&gt;"",IFERROR(VLOOKUP(G3759,PRODUCTOS!$A:$B,2,0),"!COD NO ENCONTRADO"),"")</f>
        <v/>
      </c>
      <c r="I3759" s="89"/>
      <c r="J3759" s="90"/>
      <c r="K3759" s="91"/>
      <c r="L3759" s="80" t="str">
        <f aca="false">IF(AND(J3759&lt;&gt;"",K3759&lt;&gt;""),J3759*K3759,"")</f>
        <v/>
      </c>
      <c r="M3759" s="81" t="str">
        <f aca="false">IF(L3759&lt;&gt;"",L3759*1.1,"")</f>
        <v/>
      </c>
      <c r="N3759" s="47" t="n">
        <f aca="false">IF(F3759="S",L3759*0.02,0)</f>
        <v>0</v>
      </c>
      <c r="O3759" s="82" t="str">
        <f aca="false">IF(L3759&lt;&gt;"",L3759+N3759,"")</f>
        <v/>
      </c>
      <c r="P3759" s="47" t="str">
        <f aca="false">IF(O3759&lt;&gt;"",O3759*0.1,"")</f>
        <v/>
      </c>
      <c r="Q3759" s="83" t="str">
        <f aca="false">IF(O3759&lt;&gt;"",O3759+P3759,"")</f>
        <v/>
      </c>
      <c r="R3759" s="84"/>
    </row>
    <row r="3760" customFormat="false" ht="15" hidden="false" customHeight="true" outlineLevel="0" collapsed="false">
      <c r="A3760" s="103"/>
      <c r="B3760" s="73"/>
      <c r="C3760" s="74"/>
      <c r="D3760" s="75"/>
      <c r="E3760" s="52" t="str">
        <f aca="false">IF(D3760&lt;&gt;"",IFERROR(VLOOKUP(D3760,PROVEEDORES!$A:$B,2,0),"!COD NO ENCONTRADO"),"")</f>
        <v/>
      </c>
      <c r="F3760" s="76" t="str">
        <f aca="false">IF(D3760&lt;&gt;"",IFERROR(VLOOKUP(D3760,PROVEEDORES!$A:$C,3,0),""),"")</f>
        <v/>
      </c>
      <c r="G3760" s="75"/>
      <c r="H3760" s="52" t="str">
        <f aca="false">IF(G3760&lt;&gt;"",IFERROR(VLOOKUP(G3760,PRODUCTOS!$A:$B,2,0),"!COD NO ENCONTRADO"),"")</f>
        <v/>
      </c>
      <c r="I3760" s="77"/>
      <c r="J3760" s="78"/>
      <c r="K3760" s="79"/>
      <c r="L3760" s="80" t="str">
        <f aca="false">IF(AND(J3760&lt;&gt;"",K3760&lt;&gt;""),J3760*K3760,"")</f>
        <v/>
      </c>
      <c r="M3760" s="81" t="str">
        <f aca="false">IF(L3760&lt;&gt;"",L3760*1.1,"")</f>
        <v/>
      </c>
      <c r="N3760" s="53" t="n">
        <f aca="false">IF(F3760="S",L3760*0.02,0)</f>
        <v>0</v>
      </c>
      <c r="O3760" s="82" t="str">
        <f aca="false">IF(L3760&lt;&gt;"",L3760+N3760,"")</f>
        <v/>
      </c>
      <c r="P3760" s="53" t="str">
        <f aca="false">IF(O3760&lt;&gt;"",O3760*0.1,"")</f>
        <v/>
      </c>
      <c r="Q3760" s="83" t="str">
        <f aca="false">IF(O3760&lt;&gt;"",O3760+P3760,"")</f>
        <v/>
      </c>
      <c r="R3760" s="84"/>
    </row>
    <row r="3761" customFormat="false" ht="15" hidden="false" customHeight="true" outlineLevel="0" collapsed="false">
      <c r="A3761" s="103"/>
      <c r="B3761" s="85"/>
      <c r="C3761" s="86"/>
      <c r="D3761" s="87"/>
      <c r="E3761" s="46" t="str">
        <f aca="false">IF(D3761&lt;&gt;"",IFERROR(VLOOKUP(D3761,PROVEEDORES!$A:$B,2,0),"!COD NO ENCONTRADO"),"")</f>
        <v/>
      </c>
      <c r="F3761" s="88" t="str">
        <f aca="false">IF(D3761&lt;&gt;"",IFERROR(VLOOKUP(D3761,PROVEEDORES!$A:$C,3,0),""),"")</f>
        <v/>
      </c>
      <c r="G3761" s="87"/>
      <c r="H3761" s="46" t="str">
        <f aca="false">IF(G3761&lt;&gt;"",IFERROR(VLOOKUP(G3761,PRODUCTOS!$A:$B,2,0),"!COD NO ENCONTRADO"),"")</f>
        <v/>
      </c>
      <c r="I3761" s="89"/>
      <c r="J3761" s="90"/>
      <c r="K3761" s="91"/>
      <c r="L3761" s="80" t="str">
        <f aca="false">IF(AND(J3761&lt;&gt;"",K3761&lt;&gt;""),J3761*K3761,"")</f>
        <v/>
      </c>
      <c r="M3761" s="81" t="str">
        <f aca="false">IF(L3761&lt;&gt;"",L3761*1.1,"")</f>
        <v/>
      </c>
      <c r="N3761" s="47" t="n">
        <f aca="false">IF(F3761="S",L3761*0.02,0)</f>
        <v>0</v>
      </c>
      <c r="O3761" s="82" t="str">
        <f aca="false">IF(L3761&lt;&gt;"",L3761+N3761,"")</f>
        <v/>
      </c>
      <c r="P3761" s="47" t="str">
        <f aca="false">IF(O3761&lt;&gt;"",O3761*0.1,"")</f>
        <v/>
      </c>
      <c r="Q3761" s="83" t="str">
        <f aca="false">IF(O3761&lt;&gt;"",O3761+P3761,"")</f>
        <v/>
      </c>
      <c r="R3761" s="84"/>
    </row>
    <row r="3762" customFormat="false" ht="15" hidden="false" customHeight="true" outlineLevel="0" collapsed="false">
      <c r="A3762" s="103"/>
      <c r="B3762" s="73"/>
      <c r="C3762" s="74"/>
      <c r="D3762" s="75"/>
      <c r="E3762" s="52" t="str">
        <f aca="false">IF(D3762&lt;&gt;"",IFERROR(VLOOKUP(D3762,PROVEEDORES!$A:$B,2,0),"!COD NO ENCONTRADO"),"")</f>
        <v/>
      </c>
      <c r="F3762" s="76" t="str">
        <f aca="false">IF(D3762&lt;&gt;"",IFERROR(VLOOKUP(D3762,PROVEEDORES!$A:$C,3,0),""),"")</f>
        <v/>
      </c>
      <c r="G3762" s="75"/>
      <c r="H3762" s="52" t="str">
        <f aca="false">IF(G3762&lt;&gt;"",IFERROR(VLOOKUP(G3762,PRODUCTOS!$A:$B,2,0),"!COD NO ENCONTRADO"),"")</f>
        <v/>
      </c>
      <c r="I3762" s="77"/>
      <c r="J3762" s="78"/>
      <c r="K3762" s="79"/>
      <c r="L3762" s="80" t="str">
        <f aca="false">IF(AND(J3762&lt;&gt;"",K3762&lt;&gt;""),J3762*K3762,"")</f>
        <v/>
      </c>
      <c r="M3762" s="81" t="str">
        <f aca="false">IF(L3762&lt;&gt;"",L3762*1.1,"")</f>
        <v/>
      </c>
      <c r="N3762" s="53" t="n">
        <f aca="false">IF(F3762="S",L3762*0.02,0)</f>
        <v>0</v>
      </c>
      <c r="O3762" s="82" t="str">
        <f aca="false">IF(L3762&lt;&gt;"",L3762+N3762,"")</f>
        <v/>
      </c>
      <c r="P3762" s="53" t="str">
        <f aca="false">IF(O3762&lt;&gt;"",O3762*0.1,"")</f>
        <v/>
      </c>
      <c r="Q3762" s="83" t="str">
        <f aca="false">IF(O3762&lt;&gt;"",O3762+P3762,"")</f>
        <v/>
      </c>
      <c r="R3762" s="84"/>
    </row>
    <row r="3763" customFormat="false" ht="15" hidden="false" customHeight="true" outlineLevel="0" collapsed="false">
      <c r="A3763" s="103"/>
      <c r="B3763" s="85"/>
      <c r="C3763" s="86"/>
      <c r="D3763" s="87"/>
      <c r="E3763" s="46" t="str">
        <f aca="false">IF(D3763&lt;&gt;"",IFERROR(VLOOKUP(D3763,PROVEEDORES!$A:$B,2,0),"!COD NO ENCONTRADO"),"")</f>
        <v/>
      </c>
      <c r="F3763" s="88" t="str">
        <f aca="false">IF(D3763&lt;&gt;"",IFERROR(VLOOKUP(D3763,PROVEEDORES!$A:$C,3,0),""),"")</f>
        <v/>
      </c>
      <c r="G3763" s="87"/>
      <c r="H3763" s="46" t="str">
        <f aca="false">IF(G3763&lt;&gt;"",IFERROR(VLOOKUP(G3763,PRODUCTOS!$A:$B,2,0),"!COD NO ENCONTRADO"),"")</f>
        <v/>
      </c>
      <c r="I3763" s="89"/>
      <c r="J3763" s="90"/>
      <c r="K3763" s="91"/>
      <c r="L3763" s="80" t="str">
        <f aca="false">IF(AND(J3763&lt;&gt;"",K3763&lt;&gt;""),J3763*K3763,"")</f>
        <v/>
      </c>
      <c r="M3763" s="81" t="str">
        <f aca="false">IF(L3763&lt;&gt;"",L3763*1.1,"")</f>
        <v/>
      </c>
      <c r="N3763" s="47" t="n">
        <f aca="false">IF(F3763="S",L3763*0.02,0)</f>
        <v>0</v>
      </c>
      <c r="O3763" s="82" t="str">
        <f aca="false">IF(L3763&lt;&gt;"",L3763+N3763,"")</f>
        <v/>
      </c>
      <c r="P3763" s="47" t="str">
        <f aca="false">IF(O3763&lt;&gt;"",O3763*0.1,"")</f>
        <v/>
      </c>
      <c r="Q3763" s="83" t="str">
        <f aca="false">IF(O3763&lt;&gt;"",O3763+P3763,"")</f>
        <v/>
      </c>
      <c r="R3763" s="84"/>
    </row>
    <row r="3764" customFormat="false" ht="15" hidden="false" customHeight="true" outlineLevel="0" collapsed="false">
      <c r="A3764" s="103"/>
      <c r="B3764" s="73"/>
      <c r="C3764" s="74"/>
      <c r="D3764" s="75"/>
      <c r="E3764" s="52" t="str">
        <f aca="false">IF(D3764&lt;&gt;"",IFERROR(VLOOKUP(D3764,PROVEEDORES!$A:$B,2,0),"!COD NO ENCONTRADO"),"")</f>
        <v/>
      </c>
      <c r="F3764" s="76" t="str">
        <f aca="false">IF(D3764&lt;&gt;"",IFERROR(VLOOKUP(D3764,PROVEEDORES!$A:$C,3,0),""),"")</f>
        <v/>
      </c>
      <c r="G3764" s="75"/>
      <c r="H3764" s="52" t="str">
        <f aca="false">IF(G3764&lt;&gt;"",IFERROR(VLOOKUP(G3764,PRODUCTOS!$A:$B,2,0),"!COD NO ENCONTRADO"),"")</f>
        <v/>
      </c>
      <c r="I3764" s="77"/>
      <c r="J3764" s="78"/>
      <c r="K3764" s="79"/>
      <c r="L3764" s="80" t="str">
        <f aca="false">IF(AND(J3764&lt;&gt;"",K3764&lt;&gt;""),J3764*K3764,"")</f>
        <v/>
      </c>
      <c r="M3764" s="81" t="str">
        <f aca="false">IF(L3764&lt;&gt;"",L3764*1.1,"")</f>
        <v/>
      </c>
      <c r="N3764" s="53" t="n">
        <f aca="false">IF(F3764="S",L3764*0.02,0)</f>
        <v>0</v>
      </c>
      <c r="O3764" s="82" t="str">
        <f aca="false">IF(L3764&lt;&gt;"",L3764+N3764,"")</f>
        <v/>
      </c>
      <c r="P3764" s="53" t="str">
        <f aca="false">IF(O3764&lt;&gt;"",O3764*0.1,"")</f>
        <v/>
      </c>
      <c r="Q3764" s="83" t="str">
        <f aca="false">IF(O3764&lt;&gt;"",O3764+P3764,"")</f>
        <v/>
      </c>
      <c r="R3764" s="84"/>
    </row>
    <row r="3765" customFormat="false" ht="15" hidden="false" customHeight="true" outlineLevel="0" collapsed="false">
      <c r="A3765" s="103"/>
      <c r="B3765" s="85"/>
      <c r="C3765" s="86"/>
      <c r="D3765" s="87"/>
      <c r="E3765" s="46" t="str">
        <f aca="false">IF(D3765&lt;&gt;"",IFERROR(VLOOKUP(D3765,PROVEEDORES!$A:$B,2,0),"!COD NO ENCONTRADO"),"")</f>
        <v/>
      </c>
      <c r="F3765" s="88" t="str">
        <f aca="false">IF(D3765&lt;&gt;"",IFERROR(VLOOKUP(D3765,PROVEEDORES!$A:$C,3,0),""),"")</f>
        <v/>
      </c>
      <c r="G3765" s="87"/>
      <c r="H3765" s="46" t="str">
        <f aca="false">IF(G3765&lt;&gt;"",IFERROR(VLOOKUP(G3765,PRODUCTOS!$A:$B,2,0),"!COD NO ENCONTRADO"),"")</f>
        <v/>
      </c>
      <c r="I3765" s="89"/>
      <c r="J3765" s="90"/>
      <c r="K3765" s="91"/>
      <c r="L3765" s="80" t="str">
        <f aca="false">IF(AND(J3765&lt;&gt;"",K3765&lt;&gt;""),J3765*K3765,"")</f>
        <v/>
      </c>
      <c r="M3765" s="81" t="str">
        <f aca="false">IF(L3765&lt;&gt;"",L3765*1.1,"")</f>
        <v/>
      </c>
      <c r="N3765" s="47" t="n">
        <f aca="false">IF(F3765="S",L3765*0.02,0)</f>
        <v>0</v>
      </c>
      <c r="O3765" s="82" t="str">
        <f aca="false">IF(L3765&lt;&gt;"",L3765+N3765,"")</f>
        <v/>
      </c>
      <c r="P3765" s="47" t="str">
        <f aca="false">IF(O3765&lt;&gt;"",O3765*0.1,"")</f>
        <v/>
      </c>
      <c r="Q3765" s="83" t="str">
        <f aca="false">IF(O3765&lt;&gt;"",O3765+P3765,"")</f>
        <v/>
      </c>
      <c r="R3765" s="84"/>
    </row>
    <row r="3766" customFormat="false" ht="15" hidden="false" customHeight="true" outlineLevel="0" collapsed="false">
      <c r="A3766" s="103"/>
      <c r="B3766" s="73"/>
      <c r="C3766" s="74"/>
      <c r="D3766" s="75"/>
      <c r="E3766" s="52" t="str">
        <f aca="false">IF(D3766&lt;&gt;"",IFERROR(VLOOKUP(D3766,PROVEEDORES!$A:$B,2,0),"!COD NO ENCONTRADO"),"")</f>
        <v/>
      </c>
      <c r="F3766" s="76" t="str">
        <f aca="false">IF(D3766&lt;&gt;"",IFERROR(VLOOKUP(D3766,PROVEEDORES!$A:$C,3,0),""),"")</f>
        <v/>
      </c>
      <c r="G3766" s="75"/>
      <c r="H3766" s="52" t="str">
        <f aca="false">IF(G3766&lt;&gt;"",IFERROR(VLOOKUP(G3766,PRODUCTOS!$A:$B,2,0),"!COD NO ENCONTRADO"),"")</f>
        <v/>
      </c>
      <c r="I3766" s="77"/>
      <c r="J3766" s="78"/>
      <c r="K3766" s="79"/>
      <c r="L3766" s="80" t="str">
        <f aca="false">IF(AND(J3766&lt;&gt;"",K3766&lt;&gt;""),J3766*K3766,"")</f>
        <v/>
      </c>
      <c r="M3766" s="81" t="str">
        <f aca="false">IF(L3766&lt;&gt;"",L3766*1.1,"")</f>
        <v/>
      </c>
      <c r="N3766" s="53" t="n">
        <f aca="false">IF(F3766="S",L3766*0.02,0)</f>
        <v>0</v>
      </c>
      <c r="O3766" s="82" t="str">
        <f aca="false">IF(L3766&lt;&gt;"",L3766+N3766,"")</f>
        <v/>
      </c>
      <c r="P3766" s="53" t="str">
        <f aca="false">IF(O3766&lt;&gt;"",O3766*0.1,"")</f>
        <v/>
      </c>
      <c r="Q3766" s="83" t="str">
        <f aca="false">IF(O3766&lt;&gt;"",O3766+P3766,"")</f>
        <v/>
      </c>
      <c r="R3766" s="84"/>
    </row>
    <row r="3767" customFormat="false" ht="15" hidden="false" customHeight="true" outlineLevel="0" collapsed="false">
      <c r="A3767" s="103"/>
      <c r="B3767" s="85"/>
      <c r="C3767" s="86"/>
      <c r="D3767" s="87"/>
      <c r="E3767" s="46" t="str">
        <f aca="false">IF(D3767&lt;&gt;"",IFERROR(VLOOKUP(D3767,PROVEEDORES!$A:$B,2,0),"!COD NO ENCONTRADO"),"")</f>
        <v/>
      </c>
      <c r="F3767" s="88" t="str">
        <f aca="false">IF(D3767&lt;&gt;"",IFERROR(VLOOKUP(D3767,PROVEEDORES!$A:$C,3,0),""),"")</f>
        <v/>
      </c>
      <c r="G3767" s="87"/>
      <c r="H3767" s="46" t="str">
        <f aca="false">IF(G3767&lt;&gt;"",IFERROR(VLOOKUP(G3767,PRODUCTOS!$A:$B,2,0),"!COD NO ENCONTRADO"),"")</f>
        <v/>
      </c>
      <c r="I3767" s="89"/>
      <c r="J3767" s="90"/>
      <c r="K3767" s="91"/>
      <c r="L3767" s="80" t="str">
        <f aca="false">IF(AND(J3767&lt;&gt;"",K3767&lt;&gt;""),J3767*K3767,"")</f>
        <v/>
      </c>
      <c r="M3767" s="81" t="str">
        <f aca="false">IF(L3767&lt;&gt;"",L3767*1.1,"")</f>
        <v/>
      </c>
      <c r="N3767" s="47" t="n">
        <f aca="false">IF(F3767="S",L3767*0.02,0)</f>
        <v>0</v>
      </c>
      <c r="O3767" s="82" t="str">
        <f aca="false">IF(L3767&lt;&gt;"",L3767+N3767,"")</f>
        <v/>
      </c>
      <c r="P3767" s="47" t="str">
        <f aca="false">IF(O3767&lt;&gt;"",O3767*0.1,"")</f>
        <v/>
      </c>
      <c r="Q3767" s="83" t="str">
        <f aca="false">IF(O3767&lt;&gt;"",O3767+P3767,"")</f>
        <v/>
      </c>
      <c r="R3767" s="84"/>
    </row>
    <row r="3768" customFormat="false" ht="15" hidden="false" customHeight="true" outlineLevel="0" collapsed="false">
      <c r="A3768" s="103"/>
      <c r="B3768" s="73"/>
      <c r="C3768" s="74"/>
      <c r="D3768" s="75"/>
      <c r="E3768" s="52" t="str">
        <f aca="false">IF(D3768&lt;&gt;"",IFERROR(VLOOKUP(D3768,PROVEEDORES!$A:$B,2,0),"!COD NO ENCONTRADO"),"")</f>
        <v/>
      </c>
      <c r="F3768" s="76" t="str">
        <f aca="false">IF(D3768&lt;&gt;"",IFERROR(VLOOKUP(D3768,PROVEEDORES!$A:$C,3,0),""),"")</f>
        <v/>
      </c>
      <c r="G3768" s="75"/>
      <c r="H3768" s="52" t="str">
        <f aca="false">IF(G3768&lt;&gt;"",IFERROR(VLOOKUP(G3768,PRODUCTOS!$A:$B,2,0),"!COD NO ENCONTRADO"),"")</f>
        <v/>
      </c>
      <c r="I3768" s="77"/>
      <c r="J3768" s="78"/>
      <c r="K3768" s="79"/>
      <c r="L3768" s="80" t="str">
        <f aca="false">IF(AND(J3768&lt;&gt;"",K3768&lt;&gt;""),J3768*K3768,"")</f>
        <v/>
      </c>
      <c r="M3768" s="81" t="str">
        <f aca="false">IF(L3768&lt;&gt;"",L3768*1.1,"")</f>
        <v/>
      </c>
      <c r="N3768" s="53" t="n">
        <f aca="false">IF(F3768="S",L3768*0.02,0)</f>
        <v>0</v>
      </c>
      <c r="O3768" s="82" t="str">
        <f aca="false">IF(L3768&lt;&gt;"",L3768+N3768,"")</f>
        <v/>
      </c>
      <c r="P3768" s="53" t="str">
        <f aca="false">IF(O3768&lt;&gt;"",O3768*0.1,"")</f>
        <v/>
      </c>
      <c r="Q3768" s="83" t="str">
        <f aca="false">IF(O3768&lt;&gt;"",O3768+P3768,"")</f>
        <v/>
      </c>
      <c r="R3768" s="84"/>
    </row>
    <row r="3769" customFormat="false" ht="15" hidden="false" customHeight="true" outlineLevel="0" collapsed="false">
      <c r="A3769" s="103"/>
      <c r="B3769" s="85"/>
      <c r="C3769" s="86"/>
      <c r="D3769" s="87"/>
      <c r="E3769" s="46" t="str">
        <f aca="false">IF(D3769&lt;&gt;"",IFERROR(VLOOKUP(D3769,PROVEEDORES!$A:$B,2,0),"!COD NO ENCONTRADO"),"")</f>
        <v/>
      </c>
      <c r="F3769" s="88" t="str">
        <f aca="false">IF(D3769&lt;&gt;"",IFERROR(VLOOKUP(D3769,PROVEEDORES!$A:$C,3,0),""),"")</f>
        <v/>
      </c>
      <c r="G3769" s="87"/>
      <c r="H3769" s="46" t="str">
        <f aca="false">IF(G3769&lt;&gt;"",IFERROR(VLOOKUP(G3769,PRODUCTOS!$A:$B,2,0),"!COD NO ENCONTRADO"),"")</f>
        <v/>
      </c>
      <c r="I3769" s="89"/>
      <c r="J3769" s="90"/>
      <c r="K3769" s="91"/>
      <c r="L3769" s="80" t="str">
        <f aca="false">IF(AND(J3769&lt;&gt;"",K3769&lt;&gt;""),J3769*K3769,"")</f>
        <v/>
      </c>
      <c r="M3769" s="81" t="str">
        <f aca="false">IF(L3769&lt;&gt;"",L3769*1.1,"")</f>
        <v/>
      </c>
      <c r="N3769" s="47" t="n">
        <f aca="false">IF(F3769="S",L3769*0.02,0)</f>
        <v>0</v>
      </c>
      <c r="O3769" s="82" t="str">
        <f aca="false">IF(L3769&lt;&gt;"",L3769+N3769,"")</f>
        <v/>
      </c>
      <c r="P3769" s="47" t="str">
        <f aca="false">IF(O3769&lt;&gt;"",O3769*0.1,"")</f>
        <v/>
      </c>
      <c r="Q3769" s="83" t="str">
        <f aca="false">IF(O3769&lt;&gt;"",O3769+P3769,"")</f>
        <v/>
      </c>
      <c r="R3769" s="84"/>
    </row>
    <row r="3770" customFormat="false" ht="15" hidden="false" customHeight="true" outlineLevel="0" collapsed="false">
      <c r="A3770" s="103"/>
      <c r="B3770" s="73"/>
      <c r="C3770" s="74"/>
      <c r="D3770" s="75"/>
      <c r="E3770" s="52" t="str">
        <f aca="false">IF(D3770&lt;&gt;"",IFERROR(VLOOKUP(D3770,PROVEEDORES!$A:$B,2,0),"!COD NO ENCONTRADO"),"")</f>
        <v/>
      </c>
      <c r="F3770" s="76" t="str">
        <f aca="false">IF(D3770&lt;&gt;"",IFERROR(VLOOKUP(D3770,PROVEEDORES!$A:$C,3,0),""),"")</f>
        <v/>
      </c>
      <c r="G3770" s="75"/>
      <c r="H3770" s="52" t="str">
        <f aca="false">IF(G3770&lt;&gt;"",IFERROR(VLOOKUP(G3770,PRODUCTOS!$A:$B,2,0),"!COD NO ENCONTRADO"),"")</f>
        <v/>
      </c>
      <c r="I3770" s="77"/>
      <c r="J3770" s="78"/>
      <c r="K3770" s="79"/>
      <c r="L3770" s="80" t="str">
        <f aca="false">IF(AND(J3770&lt;&gt;"",K3770&lt;&gt;""),J3770*K3770,"")</f>
        <v/>
      </c>
      <c r="M3770" s="81" t="str">
        <f aca="false">IF(L3770&lt;&gt;"",L3770*1.1,"")</f>
        <v/>
      </c>
      <c r="N3770" s="53" t="n">
        <f aca="false">IF(F3770="S",L3770*0.02,0)</f>
        <v>0</v>
      </c>
      <c r="O3770" s="82" t="str">
        <f aca="false">IF(L3770&lt;&gt;"",L3770+N3770,"")</f>
        <v/>
      </c>
      <c r="P3770" s="53" t="str">
        <f aca="false">IF(O3770&lt;&gt;"",O3770*0.1,"")</f>
        <v/>
      </c>
      <c r="Q3770" s="83" t="str">
        <f aca="false">IF(O3770&lt;&gt;"",O3770+P3770,"")</f>
        <v/>
      </c>
      <c r="R3770" s="84"/>
    </row>
    <row r="3771" customFormat="false" ht="15" hidden="false" customHeight="true" outlineLevel="0" collapsed="false">
      <c r="A3771" s="103"/>
      <c r="B3771" s="85"/>
      <c r="C3771" s="86"/>
      <c r="D3771" s="87"/>
      <c r="E3771" s="46" t="str">
        <f aca="false">IF(D3771&lt;&gt;"",IFERROR(VLOOKUP(D3771,PROVEEDORES!$A:$B,2,0),"!COD NO ENCONTRADO"),"")</f>
        <v/>
      </c>
      <c r="F3771" s="88" t="str">
        <f aca="false">IF(D3771&lt;&gt;"",IFERROR(VLOOKUP(D3771,PROVEEDORES!$A:$C,3,0),""),"")</f>
        <v/>
      </c>
      <c r="G3771" s="87"/>
      <c r="H3771" s="46" t="str">
        <f aca="false">IF(G3771&lt;&gt;"",IFERROR(VLOOKUP(G3771,PRODUCTOS!$A:$B,2,0),"!COD NO ENCONTRADO"),"")</f>
        <v/>
      </c>
      <c r="I3771" s="89"/>
      <c r="J3771" s="90"/>
      <c r="K3771" s="91"/>
      <c r="L3771" s="80" t="str">
        <f aca="false">IF(AND(J3771&lt;&gt;"",K3771&lt;&gt;""),J3771*K3771,"")</f>
        <v/>
      </c>
      <c r="M3771" s="81" t="str">
        <f aca="false">IF(L3771&lt;&gt;"",L3771*1.1,"")</f>
        <v/>
      </c>
      <c r="N3771" s="47" t="n">
        <f aca="false">IF(F3771="S",L3771*0.02,0)</f>
        <v>0</v>
      </c>
      <c r="O3771" s="82" t="str">
        <f aca="false">IF(L3771&lt;&gt;"",L3771+N3771,"")</f>
        <v/>
      </c>
      <c r="P3771" s="47" t="str">
        <f aca="false">IF(O3771&lt;&gt;"",O3771*0.1,"")</f>
        <v/>
      </c>
      <c r="Q3771" s="83" t="str">
        <f aca="false">IF(O3771&lt;&gt;"",O3771+P3771,"")</f>
        <v/>
      </c>
      <c r="R3771" s="84"/>
    </row>
    <row r="3772" customFormat="false" ht="15" hidden="false" customHeight="true" outlineLevel="0" collapsed="false">
      <c r="A3772" s="103"/>
      <c r="B3772" s="73"/>
      <c r="C3772" s="74"/>
      <c r="D3772" s="75"/>
      <c r="E3772" s="52" t="str">
        <f aca="false">IF(D3772&lt;&gt;"",IFERROR(VLOOKUP(D3772,PROVEEDORES!$A:$B,2,0),"!COD NO ENCONTRADO"),"")</f>
        <v/>
      </c>
      <c r="F3772" s="76" t="str">
        <f aca="false">IF(D3772&lt;&gt;"",IFERROR(VLOOKUP(D3772,PROVEEDORES!$A:$C,3,0),""),"")</f>
        <v/>
      </c>
      <c r="G3772" s="75"/>
      <c r="H3772" s="52" t="str">
        <f aca="false">IF(G3772&lt;&gt;"",IFERROR(VLOOKUP(G3772,PRODUCTOS!$A:$B,2,0),"!COD NO ENCONTRADO"),"")</f>
        <v/>
      </c>
      <c r="I3772" s="77"/>
      <c r="J3772" s="78"/>
      <c r="K3772" s="79"/>
      <c r="L3772" s="80" t="str">
        <f aca="false">IF(AND(J3772&lt;&gt;"",K3772&lt;&gt;""),J3772*K3772,"")</f>
        <v/>
      </c>
      <c r="M3772" s="81" t="str">
        <f aca="false">IF(L3772&lt;&gt;"",L3772*1.1,"")</f>
        <v/>
      </c>
      <c r="N3772" s="53" t="n">
        <f aca="false">IF(F3772="S",L3772*0.02,0)</f>
        <v>0</v>
      </c>
      <c r="O3772" s="82" t="str">
        <f aca="false">IF(L3772&lt;&gt;"",L3772+N3772,"")</f>
        <v/>
      </c>
      <c r="P3772" s="53" t="str">
        <f aca="false">IF(O3772&lt;&gt;"",O3772*0.1,"")</f>
        <v/>
      </c>
      <c r="Q3772" s="83" t="str">
        <f aca="false">IF(O3772&lt;&gt;"",O3772+P3772,"")</f>
        <v/>
      </c>
      <c r="R3772" s="84"/>
    </row>
    <row r="3773" customFormat="false" ht="15" hidden="false" customHeight="true" outlineLevel="0" collapsed="false">
      <c r="A3773" s="103"/>
      <c r="B3773" s="85"/>
      <c r="C3773" s="86"/>
      <c r="D3773" s="87"/>
      <c r="E3773" s="46" t="str">
        <f aca="false">IF(D3773&lt;&gt;"",IFERROR(VLOOKUP(D3773,PROVEEDORES!$A:$B,2,0),"!COD NO ENCONTRADO"),"")</f>
        <v/>
      </c>
      <c r="F3773" s="88" t="str">
        <f aca="false">IF(D3773&lt;&gt;"",IFERROR(VLOOKUP(D3773,PROVEEDORES!$A:$C,3,0),""),"")</f>
        <v/>
      </c>
      <c r="G3773" s="87"/>
      <c r="H3773" s="46" t="str">
        <f aca="false">IF(G3773&lt;&gt;"",IFERROR(VLOOKUP(G3773,PRODUCTOS!$A:$B,2,0),"!COD NO ENCONTRADO"),"")</f>
        <v/>
      </c>
      <c r="I3773" s="89"/>
      <c r="J3773" s="90"/>
      <c r="K3773" s="91"/>
      <c r="L3773" s="80" t="str">
        <f aca="false">IF(AND(J3773&lt;&gt;"",K3773&lt;&gt;""),J3773*K3773,"")</f>
        <v/>
      </c>
      <c r="M3773" s="81" t="str">
        <f aca="false">IF(L3773&lt;&gt;"",L3773*1.1,"")</f>
        <v/>
      </c>
      <c r="N3773" s="47" t="n">
        <f aca="false">IF(F3773="S",L3773*0.02,0)</f>
        <v>0</v>
      </c>
      <c r="O3773" s="82" t="str">
        <f aca="false">IF(L3773&lt;&gt;"",L3773+N3773,"")</f>
        <v/>
      </c>
      <c r="P3773" s="47" t="str">
        <f aca="false">IF(O3773&lt;&gt;"",O3773*0.1,"")</f>
        <v/>
      </c>
      <c r="Q3773" s="83" t="str">
        <f aca="false">IF(O3773&lt;&gt;"",O3773+P3773,"")</f>
        <v/>
      </c>
      <c r="R3773" s="84"/>
    </row>
    <row r="3774" customFormat="false" ht="15" hidden="false" customHeight="true" outlineLevel="0" collapsed="false">
      <c r="A3774" s="103"/>
      <c r="B3774" s="73"/>
      <c r="C3774" s="74"/>
      <c r="D3774" s="75"/>
      <c r="E3774" s="52" t="str">
        <f aca="false">IF(D3774&lt;&gt;"",IFERROR(VLOOKUP(D3774,PROVEEDORES!$A:$B,2,0),"!COD NO ENCONTRADO"),"")</f>
        <v/>
      </c>
      <c r="F3774" s="76" t="str">
        <f aca="false">IF(D3774&lt;&gt;"",IFERROR(VLOOKUP(D3774,PROVEEDORES!$A:$C,3,0),""),"")</f>
        <v/>
      </c>
      <c r="G3774" s="75"/>
      <c r="H3774" s="52" t="str">
        <f aca="false">IF(G3774&lt;&gt;"",IFERROR(VLOOKUP(G3774,PRODUCTOS!$A:$B,2,0),"!COD NO ENCONTRADO"),"")</f>
        <v/>
      </c>
      <c r="I3774" s="77"/>
      <c r="J3774" s="78"/>
      <c r="K3774" s="79"/>
      <c r="L3774" s="80" t="str">
        <f aca="false">IF(AND(J3774&lt;&gt;"",K3774&lt;&gt;""),J3774*K3774,"")</f>
        <v/>
      </c>
      <c r="M3774" s="81" t="str">
        <f aca="false">IF(L3774&lt;&gt;"",L3774*1.1,"")</f>
        <v/>
      </c>
      <c r="N3774" s="53" t="n">
        <f aca="false">IF(F3774="S",L3774*0.02,0)</f>
        <v>0</v>
      </c>
      <c r="O3774" s="82" t="str">
        <f aca="false">IF(L3774&lt;&gt;"",L3774+N3774,"")</f>
        <v/>
      </c>
      <c r="P3774" s="53" t="str">
        <f aca="false">IF(O3774&lt;&gt;"",O3774*0.1,"")</f>
        <v/>
      </c>
      <c r="Q3774" s="83" t="str">
        <f aca="false">IF(O3774&lt;&gt;"",O3774+P3774,"")</f>
        <v/>
      </c>
      <c r="R3774" s="84"/>
    </row>
    <row r="3775" customFormat="false" ht="15" hidden="false" customHeight="true" outlineLevel="0" collapsed="false">
      <c r="A3775" s="103"/>
      <c r="B3775" s="85"/>
      <c r="C3775" s="86"/>
      <c r="D3775" s="87"/>
      <c r="E3775" s="46" t="str">
        <f aca="false">IF(D3775&lt;&gt;"",IFERROR(VLOOKUP(D3775,PROVEEDORES!$A:$B,2,0),"!COD NO ENCONTRADO"),"")</f>
        <v/>
      </c>
      <c r="F3775" s="88" t="str">
        <f aca="false">IF(D3775&lt;&gt;"",IFERROR(VLOOKUP(D3775,PROVEEDORES!$A:$C,3,0),""),"")</f>
        <v/>
      </c>
      <c r="G3775" s="87"/>
      <c r="H3775" s="46" t="str">
        <f aca="false">IF(G3775&lt;&gt;"",IFERROR(VLOOKUP(G3775,PRODUCTOS!$A:$B,2,0),"!COD NO ENCONTRADO"),"")</f>
        <v/>
      </c>
      <c r="I3775" s="89"/>
      <c r="J3775" s="90"/>
      <c r="K3775" s="91"/>
      <c r="L3775" s="80" t="str">
        <f aca="false">IF(AND(J3775&lt;&gt;"",K3775&lt;&gt;""),J3775*K3775,"")</f>
        <v/>
      </c>
      <c r="M3775" s="81" t="str">
        <f aca="false">IF(L3775&lt;&gt;"",L3775*1.1,"")</f>
        <v/>
      </c>
      <c r="N3775" s="47" t="n">
        <f aca="false">IF(F3775="S",L3775*0.02,0)</f>
        <v>0</v>
      </c>
      <c r="O3775" s="82" t="str">
        <f aca="false">IF(L3775&lt;&gt;"",L3775+N3775,"")</f>
        <v/>
      </c>
      <c r="P3775" s="47" t="str">
        <f aca="false">IF(O3775&lt;&gt;"",O3775*0.1,"")</f>
        <v/>
      </c>
      <c r="Q3775" s="83" t="str">
        <f aca="false">IF(O3775&lt;&gt;"",O3775+P3775,"")</f>
        <v/>
      </c>
      <c r="R3775" s="84"/>
    </row>
    <row r="3776" customFormat="false" ht="15" hidden="false" customHeight="true" outlineLevel="0" collapsed="false">
      <c r="A3776" s="103"/>
      <c r="B3776" s="73"/>
      <c r="C3776" s="74"/>
      <c r="D3776" s="75"/>
      <c r="E3776" s="52" t="str">
        <f aca="false">IF(D3776&lt;&gt;"",IFERROR(VLOOKUP(D3776,PROVEEDORES!$A:$B,2,0),"!COD NO ENCONTRADO"),"")</f>
        <v/>
      </c>
      <c r="F3776" s="76" t="str">
        <f aca="false">IF(D3776&lt;&gt;"",IFERROR(VLOOKUP(D3776,PROVEEDORES!$A:$C,3,0),""),"")</f>
        <v/>
      </c>
      <c r="G3776" s="75"/>
      <c r="H3776" s="52" t="str">
        <f aca="false">IF(G3776&lt;&gt;"",IFERROR(VLOOKUP(G3776,PRODUCTOS!$A:$B,2,0),"!COD NO ENCONTRADO"),"")</f>
        <v/>
      </c>
      <c r="I3776" s="77"/>
      <c r="J3776" s="78"/>
      <c r="K3776" s="79"/>
      <c r="L3776" s="80" t="str">
        <f aca="false">IF(AND(J3776&lt;&gt;"",K3776&lt;&gt;""),J3776*K3776,"")</f>
        <v/>
      </c>
      <c r="M3776" s="81" t="str">
        <f aca="false">IF(L3776&lt;&gt;"",L3776*1.1,"")</f>
        <v/>
      </c>
      <c r="N3776" s="53" t="n">
        <f aca="false">IF(F3776="S",L3776*0.02,0)</f>
        <v>0</v>
      </c>
      <c r="O3776" s="82" t="str">
        <f aca="false">IF(L3776&lt;&gt;"",L3776+N3776,"")</f>
        <v/>
      </c>
      <c r="P3776" s="53" t="str">
        <f aca="false">IF(O3776&lt;&gt;"",O3776*0.1,"")</f>
        <v/>
      </c>
      <c r="Q3776" s="83" t="str">
        <f aca="false">IF(O3776&lt;&gt;"",O3776+P3776,"")</f>
        <v/>
      </c>
      <c r="R3776" s="84"/>
    </row>
    <row r="3777" customFormat="false" ht="15" hidden="false" customHeight="true" outlineLevel="0" collapsed="false">
      <c r="A3777" s="103"/>
      <c r="B3777" s="85"/>
      <c r="C3777" s="86"/>
      <c r="D3777" s="87"/>
      <c r="E3777" s="46" t="str">
        <f aca="false">IF(D3777&lt;&gt;"",IFERROR(VLOOKUP(D3777,PROVEEDORES!$A:$B,2,0),"!COD NO ENCONTRADO"),"")</f>
        <v/>
      </c>
      <c r="F3777" s="88" t="str">
        <f aca="false">IF(D3777&lt;&gt;"",IFERROR(VLOOKUP(D3777,PROVEEDORES!$A:$C,3,0),""),"")</f>
        <v/>
      </c>
      <c r="G3777" s="87"/>
      <c r="H3777" s="46" t="str">
        <f aca="false">IF(G3777&lt;&gt;"",IFERROR(VLOOKUP(G3777,PRODUCTOS!$A:$B,2,0),"!COD NO ENCONTRADO"),"")</f>
        <v/>
      </c>
      <c r="I3777" s="89"/>
      <c r="J3777" s="90"/>
      <c r="K3777" s="91"/>
      <c r="L3777" s="80" t="str">
        <f aca="false">IF(AND(J3777&lt;&gt;"",K3777&lt;&gt;""),J3777*K3777,"")</f>
        <v/>
      </c>
      <c r="M3777" s="81" t="str">
        <f aca="false">IF(L3777&lt;&gt;"",L3777*1.1,"")</f>
        <v/>
      </c>
      <c r="N3777" s="47" t="n">
        <f aca="false">IF(F3777="S",L3777*0.02,0)</f>
        <v>0</v>
      </c>
      <c r="O3777" s="82" t="str">
        <f aca="false">IF(L3777&lt;&gt;"",L3777+N3777,"")</f>
        <v/>
      </c>
      <c r="P3777" s="47" t="str">
        <f aca="false">IF(O3777&lt;&gt;"",O3777*0.1,"")</f>
        <v/>
      </c>
      <c r="Q3777" s="83" t="str">
        <f aca="false">IF(O3777&lt;&gt;"",O3777+P3777,"")</f>
        <v/>
      </c>
      <c r="R3777" s="84"/>
    </row>
    <row r="3778" customFormat="false" ht="15" hidden="false" customHeight="true" outlineLevel="0" collapsed="false">
      <c r="A3778" s="103"/>
      <c r="B3778" s="73"/>
      <c r="C3778" s="74"/>
      <c r="D3778" s="75"/>
      <c r="E3778" s="52" t="str">
        <f aca="false">IF(D3778&lt;&gt;"",IFERROR(VLOOKUP(D3778,PROVEEDORES!$A:$B,2,0),"!COD NO ENCONTRADO"),"")</f>
        <v/>
      </c>
      <c r="F3778" s="76" t="str">
        <f aca="false">IF(D3778&lt;&gt;"",IFERROR(VLOOKUP(D3778,PROVEEDORES!$A:$C,3,0),""),"")</f>
        <v/>
      </c>
      <c r="G3778" s="75"/>
      <c r="H3778" s="52" t="str">
        <f aca="false">IF(G3778&lt;&gt;"",IFERROR(VLOOKUP(G3778,PRODUCTOS!$A:$B,2,0),"!COD NO ENCONTRADO"),"")</f>
        <v/>
      </c>
      <c r="I3778" s="77"/>
      <c r="J3778" s="78"/>
      <c r="K3778" s="79"/>
      <c r="L3778" s="80" t="str">
        <f aca="false">IF(AND(J3778&lt;&gt;"",K3778&lt;&gt;""),J3778*K3778,"")</f>
        <v/>
      </c>
      <c r="M3778" s="81" t="str">
        <f aca="false">IF(L3778&lt;&gt;"",L3778*1.1,"")</f>
        <v/>
      </c>
      <c r="N3778" s="53" t="n">
        <f aca="false">IF(F3778="S",L3778*0.02,0)</f>
        <v>0</v>
      </c>
      <c r="O3778" s="82" t="str">
        <f aca="false">IF(L3778&lt;&gt;"",L3778+N3778,"")</f>
        <v/>
      </c>
      <c r="P3778" s="53" t="str">
        <f aca="false">IF(O3778&lt;&gt;"",O3778*0.1,"")</f>
        <v/>
      </c>
      <c r="Q3778" s="83" t="str">
        <f aca="false">IF(O3778&lt;&gt;"",O3778+P3778,"")</f>
        <v/>
      </c>
      <c r="R3778" s="84"/>
    </row>
    <row r="3779" customFormat="false" ht="15" hidden="false" customHeight="true" outlineLevel="0" collapsed="false">
      <c r="A3779" s="103"/>
      <c r="B3779" s="85"/>
      <c r="C3779" s="86"/>
      <c r="D3779" s="87"/>
      <c r="E3779" s="46" t="str">
        <f aca="false">IF(D3779&lt;&gt;"",IFERROR(VLOOKUP(D3779,PROVEEDORES!$A:$B,2,0),"!COD NO ENCONTRADO"),"")</f>
        <v/>
      </c>
      <c r="F3779" s="88" t="str">
        <f aca="false">IF(D3779&lt;&gt;"",IFERROR(VLOOKUP(D3779,PROVEEDORES!$A:$C,3,0),""),"")</f>
        <v/>
      </c>
      <c r="G3779" s="87"/>
      <c r="H3779" s="46" t="str">
        <f aca="false">IF(G3779&lt;&gt;"",IFERROR(VLOOKUP(G3779,PRODUCTOS!$A:$B,2,0),"!COD NO ENCONTRADO"),"")</f>
        <v/>
      </c>
      <c r="I3779" s="89"/>
      <c r="J3779" s="90"/>
      <c r="K3779" s="91"/>
      <c r="L3779" s="80" t="str">
        <f aca="false">IF(AND(J3779&lt;&gt;"",K3779&lt;&gt;""),J3779*K3779,"")</f>
        <v/>
      </c>
      <c r="M3779" s="81" t="str">
        <f aca="false">IF(L3779&lt;&gt;"",L3779*1.1,"")</f>
        <v/>
      </c>
      <c r="N3779" s="47" t="n">
        <f aca="false">IF(F3779="S",L3779*0.02,0)</f>
        <v>0</v>
      </c>
      <c r="O3779" s="82" t="str">
        <f aca="false">IF(L3779&lt;&gt;"",L3779+N3779,"")</f>
        <v/>
      </c>
      <c r="P3779" s="47" t="str">
        <f aca="false">IF(O3779&lt;&gt;"",O3779*0.1,"")</f>
        <v/>
      </c>
      <c r="Q3779" s="83" t="str">
        <f aca="false">IF(O3779&lt;&gt;"",O3779+P3779,"")</f>
        <v/>
      </c>
      <c r="R3779" s="84"/>
    </row>
    <row r="3780" customFormat="false" ht="15" hidden="false" customHeight="true" outlineLevel="0" collapsed="false">
      <c r="A3780" s="103"/>
      <c r="B3780" s="73"/>
      <c r="C3780" s="74"/>
      <c r="D3780" s="75"/>
      <c r="E3780" s="52" t="str">
        <f aca="false">IF(D3780&lt;&gt;"",IFERROR(VLOOKUP(D3780,PROVEEDORES!$A:$B,2,0),"!COD NO ENCONTRADO"),"")</f>
        <v/>
      </c>
      <c r="F3780" s="76" t="str">
        <f aca="false">IF(D3780&lt;&gt;"",IFERROR(VLOOKUP(D3780,PROVEEDORES!$A:$C,3,0),""),"")</f>
        <v/>
      </c>
      <c r="G3780" s="75"/>
      <c r="H3780" s="52" t="str">
        <f aca="false">IF(G3780&lt;&gt;"",IFERROR(VLOOKUP(G3780,PRODUCTOS!$A:$B,2,0),"!COD NO ENCONTRADO"),"")</f>
        <v/>
      </c>
      <c r="I3780" s="77"/>
      <c r="J3780" s="78"/>
      <c r="K3780" s="79"/>
      <c r="L3780" s="80" t="str">
        <f aca="false">IF(AND(J3780&lt;&gt;"",K3780&lt;&gt;""),J3780*K3780,"")</f>
        <v/>
      </c>
      <c r="M3780" s="81" t="str">
        <f aca="false">IF(L3780&lt;&gt;"",L3780*1.1,"")</f>
        <v/>
      </c>
      <c r="N3780" s="53" t="n">
        <f aca="false">IF(F3780="S",L3780*0.02,0)</f>
        <v>0</v>
      </c>
      <c r="O3780" s="82" t="str">
        <f aca="false">IF(L3780&lt;&gt;"",L3780+N3780,"")</f>
        <v/>
      </c>
      <c r="P3780" s="53" t="str">
        <f aca="false">IF(O3780&lt;&gt;"",O3780*0.1,"")</f>
        <v/>
      </c>
      <c r="Q3780" s="83" t="str">
        <f aca="false">IF(O3780&lt;&gt;"",O3780+P3780,"")</f>
        <v/>
      </c>
      <c r="R3780" s="84"/>
    </row>
    <row r="3781" customFormat="false" ht="15" hidden="false" customHeight="true" outlineLevel="0" collapsed="false">
      <c r="A3781" s="103"/>
      <c r="B3781" s="85"/>
      <c r="C3781" s="86"/>
      <c r="D3781" s="87"/>
      <c r="E3781" s="46" t="str">
        <f aca="false">IF(D3781&lt;&gt;"",IFERROR(VLOOKUP(D3781,PROVEEDORES!$A:$B,2,0),"!COD NO ENCONTRADO"),"")</f>
        <v/>
      </c>
      <c r="F3781" s="88" t="str">
        <f aca="false">IF(D3781&lt;&gt;"",IFERROR(VLOOKUP(D3781,PROVEEDORES!$A:$C,3,0),""),"")</f>
        <v/>
      </c>
      <c r="G3781" s="87"/>
      <c r="H3781" s="46" t="str">
        <f aca="false">IF(G3781&lt;&gt;"",IFERROR(VLOOKUP(G3781,PRODUCTOS!$A:$B,2,0),"!COD NO ENCONTRADO"),"")</f>
        <v/>
      </c>
      <c r="I3781" s="89"/>
      <c r="J3781" s="90"/>
      <c r="K3781" s="91"/>
      <c r="L3781" s="80" t="str">
        <f aca="false">IF(AND(J3781&lt;&gt;"",K3781&lt;&gt;""),J3781*K3781,"")</f>
        <v/>
      </c>
      <c r="M3781" s="81" t="str">
        <f aca="false">IF(L3781&lt;&gt;"",L3781*1.1,"")</f>
        <v/>
      </c>
      <c r="N3781" s="47" t="n">
        <f aca="false">IF(F3781="S",L3781*0.02,0)</f>
        <v>0</v>
      </c>
      <c r="O3781" s="82" t="str">
        <f aca="false">IF(L3781&lt;&gt;"",L3781+N3781,"")</f>
        <v/>
      </c>
      <c r="P3781" s="47" t="str">
        <f aca="false">IF(O3781&lt;&gt;"",O3781*0.1,"")</f>
        <v/>
      </c>
      <c r="Q3781" s="83" t="str">
        <f aca="false">IF(O3781&lt;&gt;"",O3781+P3781,"")</f>
        <v/>
      </c>
      <c r="R3781" s="84"/>
    </row>
    <row r="3782" customFormat="false" ht="15" hidden="false" customHeight="true" outlineLevel="0" collapsed="false">
      <c r="A3782" s="103"/>
      <c r="B3782" s="73"/>
      <c r="C3782" s="74"/>
      <c r="D3782" s="75"/>
      <c r="E3782" s="52" t="str">
        <f aca="false">IF(D3782&lt;&gt;"",IFERROR(VLOOKUP(D3782,PROVEEDORES!$A:$B,2,0),"!COD NO ENCONTRADO"),"")</f>
        <v/>
      </c>
      <c r="F3782" s="76" t="str">
        <f aca="false">IF(D3782&lt;&gt;"",IFERROR(VLOOKUP(D3782,PROVEEDORES!$A:$C,3,0),""),"")</f>
        <v/>
      </c>
      <c r="G3782" s="75"/>
      <c r="H3782" s="52" t="str">
        <f aca="false">IF(G3782&lt;&gt;"",IFERROR(VLOOKUP(G3782,PRODUCTOS!$A:$B,2,0),"!COD NO ENCONTRADO"),"")</f>
        <v/>
      </c>
      <c r="I3782" s="77"/>
      <c r="J3782" s="78"/>
      <c r="K3782" s="79"/>
      <c r="L3782" s="80" t="str">
        <f aca="false">IF(AND(J3782&lt;&gt;"",K3782&lt;&gt;""),J3782*K3782,"")</f>
        <v/>
      </c>
      <c r="M3782" s="81" t="str">
        <f aca="false">IF(L3782&lt;&gt;"",L3782*1.1,"")</f>
        <v/>
      </c>
      <c r="N3782" s="53" t="n">
        <f aca="false">IF(F3782="S",L3782*0.02,0)</f>
        <v>0</v>
      </c>
      <c r="O3782" s="82" t="str">
        <f aca="false">IF(L3782&lt;&gt;"",L3782+N3782,"")</f>
        <v/>
      </c>
      <c r="P3782" s="53" t="str">
        <f aca="false">IF(O3782&lt;&gt;"",O3782*0.1,"")</f>
        <v/>
      </c>
      <c r="Q3782" s="83" t="str">
        <f aca="false">IF(O3782&lt;&gt;"",O3782+P3782,"")</f>
        <v/>
      </c>
      <c r="R3782" s="84"/>
    </row>
    <row r="3783" customFormat="false" ht="15" hidden="false" customHeight="true" outlineLevel="0" collapsed="false">
      <c r="A3783" s="103"/>
      <c r="B3783" s="85"/>
      <c r="C3783" s="86"/>
      <c r="D3783" s="87"/>
      <c r="E3783" s="46" t="str">
        <f aca="false">IF(D3783&lt;&gt;"",IFERROR(VLOOKUP(D3783,PROVEEDORES!$A:$B,2,0),"!COD NO ENCONTRADO"),"")</f>
        <v/>
      </c>
      <c r="F3783" s="88" t="str">
        <f aca="false">IF(D3783&lt;&gt;"",IFERROR(VLOOKUP(D3783,PROVEEDORES!$A:$C,3,0),""),"")</f>
        <v/>
      </c>
      <c r="G3783" s="87"/>
      <c r="H3783" s="46" t="str">
        <f aca="false">IF(G3783&lt;&gt;"",IFERROR(VLOOKUP(G3783,PRODUCTOS!$A:$B,2,0),"!COD NO ENCONTRADO"),"")</f>
        <v/>
      </c>
      <c r="I3783" s="89"/>
      <c r="J3783" s="90"/>
      <c r="K3783" s="91"/>
      <c r="L3783" s="80" t="str">
        <f aca="false">IF(AND(J3783&lt;&gt;"",K3783&lt;&gt;""),J3783*K3783,"")</f>
        <v/>
      </c>
      <c r="M3783" s="81" t="str">
        <f aca="false">IF(L3783&lt;&gt;"",L3783*1.1,"")</f>
        <v/>
      </c>
      <c r="N3783" s="47" t="n">
        <f aca="false">IF(F3783="S",L3783*0.02,0)</f>
        <v>0</v>
      </c>
      <c r="O3783" s="82" t="str">
        <f aca="false">IF(L3783&lt;&gt;"",L3783+N3783,"")</f>
        <v/>
      </c>
      <c r="P3783" s="47" t="str">
        <f aca="false">IF(O3783&lt;&gt;"",O3783*0.1,"")</f>
        <v/>
      </c>
      <c r="Q3783" s="83" t="str">
        <f aca="false">IF(O3783&lt;&gt;"",O3783+P3783,"")</f>
        <v/>
      </c>
      <c r="R3783" s="84"/>
    </row>
    <row r="3784" customFormat="false" ht="15" hidden="false" customHeight="true" outlineLevel="0" collapsed="false">
      <c r="A3784" s="103"/>
      <c r="B3784" s="73"/>
      <c r="C3784" s="74"/>
      <c r="D3784" s="75"/>
      <c r="E3784" s="52" t="str">
        <f aca="false">IF(D3784&lt;&gt;"",IFERROR(VLOOKUP(D3784,PROVEEDORES!$A:$B,2,0),"!COD NO ENCONTRADO"),"")</f>
        <v/>
      </c>
      <c r="F3784" s="76" t="str">
        <f aca="false">IF(D3784&lt;&gt;"",IFERROR(VLOOKUP(D3784,PROVEEDORES!$A:$C,3,0),""),"")</f>
        <v/>
      </c>
      <c r="G3784" s="75"/>
      <c r="H3784" s="52" t="str">
        <f aca="false">IF(G3784&lt;&gt;"",IFERROR(VLOOKUP(G3784,PRODUCTOS!$A:$B,2,0),"!COD NO ENCONTRADO"),"")</f>
        <v/>
      </c>
      <c r="I3784" s="77"/>
      <c r="J3784" s="78"/>
      <c r="K3784" s="79"/>
      <c r="L3784" s="80" t="str">
        <f aca="false">IF(AND(J3784&lt;&gt;"",K3784&lt;&gt;""),J3784*K3784,"")</f>
        <v/>
      </c>
      <c r="M3784" s="81" t="str">
        <f aca="false">IF(L3784&lt;&gt;"",L3784*1.1,"")</f>
        <v/>
      </c>
      <c r="N3784" s="53" t="n">
        <f aca="false">IF(F3784="S",L3784*0.02,0)</f>
        <v>0</v>
      </c>
      <c r="O3784" s="82" t="str">
        <f aca="false">IF(L3784&lt;&gt;"",L3784+N3784,"")</f>
        <v/>
      </c>
      <c r="P3784" s="53" t="str">
        <f aca="false">IF(O3784&lt;&gt;"",O3784*0.1,"")</f>
        <v/>
      </c>
      <c r="Q3784" s="83" t="str">
        <f aca="false">IF(O3784&lt;&gt;"",O3784+P3784,"")</f>
        <v/>
      </c>
      <c r="R3784" s="84"/>
    </row>
    <row r="3785" customFormat="false" ht="15" hidden="false" customHeight="true" outlineLevel="0" collapsed="false">
      <c r="A3785" s="103"/>
      <c r="B3785" s="85"/>
      <c r="C3785" s="86"/>
      <c r="D3785" s="87"/>
      <c r="E3785" s="46" t="str">
        <f aca="false">IF(D3785&lt;&gt;"",IFERROR(VLOOKUP(D3785,PROVEEDORES!$A:$B,2,0),"!COD NO ENCONTRADO"),"")</f>
        <v/>
      </c>
      <c r="F3785" s="88" t="str">
        <f aca="false">IF(D3785&lt;&gt;"",IFERROR(VLOOKUP(D3785,PROVEEDORES!$A:$C,3,0),""),"")</f>
        <v/>
      </c>
      <c r="G3785" s="87"/>
      <c r="H3785" s="46" t="str">
        <f aca="false">IF(G3785&lt;&gt;"",IFERROR(VLOOKUP(G3785,PRODUCTOS!$A:$B,2,0),"!COD NO ENCONTRADO"),"")</f>
        <v/>
      </c>
      <c r="I3785" s="89"/>
      <c r="J3785" s="90"/>
      <c r="K3785" s="91"/>
      <c r="L3785" s="80" t="str">
        <f aca="false">IF(AND(J3785&lt;&gt;"",K3785&lt;&gt;""),J3785*K3785,"")</f>
        <v/>
      </c>
      <c r="M3785" s="81" t="str">
        <f aca="false">IF(L3785&lt;&gt;"",L3785*1.1,"")</f>
        <v/>
      </c>
      <c r="N3785" s="47" t="n">
        <f aca="false">IF(F3785="S",L3785*0.02,0)</f>
        <v>0</v>
      </c>
      <c r="O3785" s="82" t="str">
        <f aca="false">IF(L3785&lt;&gt;"",L3785+N3785,"")</f>
        <v/>
      </c>
      <c r="P3785" s="47" t="str">
        <f aca="false">IF(O3785&lt;&gt;"",O3785*0.1,"")</f>
        <v/>
      </c>
      <c r="Q3785" s="83" t="str">
        <f aca="false">IF(O3785&lt;&gt;"",O3785+P3785,"")</f>
        <v/>
      </c>
      <c r="R3785" s="84"/>
    </row>
    <row r="3786" customFormat="false" ht="15" hidden="false" customHeight="true" outlineLevel="0" collapsed="false">
      <c r="A3786" s="103"/>
      <c r="B3786" s="73"/>
      <c r="C3786" s="74"/>
      <c r="D3786" s="75"/>
      <c r="E3786" s="52" t="str">
        <f aca="false">IF(D3786&lt;&gt;"",IFERROR(VLOOKUP(D3786,PROVEEDORES!$A:$B,2,0),"!COD NO ENCONTRADO"),"")</f>
        <v/>
      </c>
      <c r="F3786" s="76" t="str">
        <f aca="false">IF(D3786&lt;&gt;"",IFERROR(VLOOKUP(D3786,PROVEEDORES!$A:$C,3,0),""),"")</f>
        <v/>
      </c>
      <c r="G3786" s="75"/>
      <c r="H3786" s="52" t="str">
        <f aca="false">IF(G3786&lt;&gt;"",IFERROR(VLOOKUP(G3786,PRODUCTOS!$A:$B,2,0),"!COD NO ENCONTRADO"),"")</f>
        <v/>
      </c>
      <c r="I3786" s="77"/>
      <c r="J3786" s="78"/>
      <c r="K3786" s="79"/>
      <c r="L3786" s="80" t="str">
        <f aca="false">IF(AND(J3786&lt;&gt;"",K3786&lt;&gt;""),J3786*K3786,"")</f>
        <v/>
      </c>
      <c r="M3786" s="81" t="str">
        <f aca="false">IF(L3786&lt;&gt;"",L3786*1.1,"")</f>
        <v/>
      </c>
      <c r="N3786" s="53" t="n">
        <f aca="false">IF(F3786="S",L3786*0.02,0)</f>
        <v>0</v>
      </c>
      <c r="O3786" s="82" t="str">
        <f aca="false">IF(L3786&lt;&gt;"",L3786+N3786,"")</f>
        <v/>
      </c>
      <c r="P3786" s="53" t="str">
        <f aca="false">IF(O3786&lt;&gt;"",O3786*0.1,"")</f>
        <v/>
      </c>
      <c r="Q3786" s="83" t="str">
        <f aca="false">IF(O3786&lt;&gt;"",O3786+P3786,"")</f>
        <v/>
      </c>
      <c r="R3786" s="84"/>
    </row>
    <row r="3787" customFormat="false" ht="15" hidden="false" customHeight="true" outlineLevel="0" collapsed="false">
      <c r="A3787" s="103"/>
      <c r="B3787" s="85"/>
      <c r="C3787" s="86"/>
      <c r="D3787" s="87"/>
      <c r="E3787" s="46" t="str">
        <f aca="false">IF(D3787&lt;&gt;"",IFERROR(VLOOKUP(D3787,PROVEEDORES!$A:$B,2,0),"!COD NO ENCONTRADO"),"")</f>
        <v/>
      </c>
      <c r="F3787" s="88" t="str">
        <f aca="false">IF(D3787&lt;&gt;"",IFERROR(VLOOKUP(D3787,PROVEEDORES!$A:$C,3,0),""),"")</f>
        <v/>
      </c>
      <c r="G3787" s="87"/>
      <c r="H3787" s="46" t="str">
        <f aca="false">IF(G3787&lt;&gt;"",IFERROR(VLOOKUP(G3787,PRODUCTOS!$A:$B,2,0),"!COD NO ENCONTRADO"),"")</f>
        <v/>
      </c>
      <c r="I3787" s="89"/>
      <c r="J3787" s="90"/>
      <c r="K3787" s="91"/>
      <c r="L3787" s="80" t="str">
        <f aca="false">IF(AND(J3787&lt;&gt;"",K3787&lt;&gt;""),J3787*K3787,"")</f>
        <v/>
      </c>
      <c r="M3787" s="81" t="str">
        <f aca="false">IF(L3787&lt;&gt;"",L3787*1.1,"")</f>
        <v/>
      </c>
      <c r="N3787" s="47" t="n">
        <f aca="false">IF(F3787="S",L3787*0.02,0)</f>
        <v>0</v>
      </c>
      <c r="O3787" s="82" t="str">
        <f aca="false">IF(L3787&lt;&gt;"",L3787+N3787,"")</f>
        <v/>
      </c>
      <c r="P3787" s="47" t="str">
        <f aca="false">IF(O3787&lt;&gt;"",O3787*0.1,"")</f>
        <v/>
      </c>
      <c r="Q3787" s="83" t="str">
        <f aca="false">IF(O3787&lt;&gt;"",O3787+P3787,"")</f>
        <v/>
      </c>
      <c r="R3787" s="84"/>
    </row>
    <row r="3788" customFormat="false" ht="15" hidden="false" customHeight="true" outlineLevel="0" collapsed="false">
      <c r="A3788" s="103"/>
      <c r="B3788" s="73"/>
      <c r="C3788" s="74"/>
      <c r="D3788" s="75"/>
      <c r="E3788" s="52" t="str">
        <f aca="false">IF(D3788&lt;&gt;"",IFERROR(VLOOKUP(D3788,PROVEEDORES!$A:$B,2,0),"!COD NO ENCONTRADO"),"")</f>
        <v/>
      </c>
      <c r="F3788" s="76" t="str">
        <f aca="false">IF(D3788&lt;&gt;"",IFERROR(VLOOKUP(D3788,PROVEEDORES!$A:$C,3,0),""),"")</f>
        <v/>
      </c>
      <c r="G3788" s="75"/>
      <c r="H3788" s="52" t="str">
        <f aca="false">IF(G3788&lt;&gt;"",IFERROR(VLOOKUP(G3788,PRODUCTOS!$A:$B,2,0),"!COD NO ENCONTRADO"),"")</f>
        <v/>
      </c>
      <c r="I3788" s="77"/>
      <c r="J3788" s="78"/>
      <c r="K3788" s="79"/>
      <c r="L3788" s="80" t="str">
        <f aca="false">IF(AND(J3788&lt;&gt;"",K3788&lt;&gt;""),J3788*K3788,"")</f>
        <v/>
      </c>
      <c r="M3788" s="81" t="str">
        <f aca="false">IF(L3788&lt;&gt;"",L3788*1.1,"")</f>
        <v/>
      </c>
      <c r="N3788" s="53" t="n">
        <f aca="false">IF(F3788="S",L3788*0.02,0)</f>
        <v>0</v>
      </c>
      <c r="O3788" s="82" t="str">
        <f aca="false">IF(L3788&lt;&gt;"",L3788+N3788,"")</f>
        <v/>
      </c>
      <c r="P3788" s="53" t="str">
        <f aca="false">IF(O3788&lt;&gt;"",O3788*0.1,"")</f>
        <v/>
      </c>
      <c r="Q3788" s="83" t="str">
        <f aca="false">IF(O3788&lt;&gt;"",O3788+P3788,"")</f>
        <v/>
      </c>
      <c r="R3788" s="84"/>
    </row>
    <row r="3789" customFormat="false" ht="15" hidden="false" customHeight="true" outlineLevel="0" collapsed="false">
      <c r="A3789" s="103"/>
      <c r="B3789" s="85"/>
      <c r="C3789" s="86"/>
      <c r="D3789" s="87"/>
      <c r="E3789" s="46" t="str">
        <f aca="false">IF(D3789&lt;&gt;"",IFERROR(VLOOKUP(D3789,PROVEEDORES!$A:$B,2,0),"!COD NO ENCONTRADO"),"")</f>
        <v/>
      </c>
      <c r="F3789" s="88" t="str">
        <f aca="false">IF(D3789&lt;&gt;"",IFERROR(VLOOKUP(D3789,PROVEEDORES!$A:$C,3,0),""),"")</f>
        <v/>
      </c>
      <c r="G3789" s="87"/>
      <c r="H3789" s="46" t="str">
        <f aca="false">IF(G3789&lt;&gt;"",IFERROR(VLOOKUP(G3789,PRODUCTOS!$A:$B,2,0),"!COD NO ENCONTRADO"),"")</f>
        <v/>
      </c>
      <c r="I3789" s="89"/>
      <c r="J3789" s="90"/>
      <c r="K3789" s="91"/>
      <c r="L3789" s="80" t="str">
        <f aca="false">IF(AND(J3789&lt;&gt;"",K3789&lt;&gt;""),J3789*K3789,"")</f>
        <v/>
      </c>
      <c r="M3789" s="81" t="str">
        <f aca="false">IF(L3789&lt;&gt;"",L3789*1.1,"")</f>
        <v/>
      </c>
      <c r="N3789" s="47" t="n">
        <f aca="false">IF(F3789="S",L3789*0.02,0)</f>
        <v>0</v>
      </c>
      <c r="O3789" s="82" t="str">
        <f aca="false">IF(L3789&lt;&gt;"",L3789+N3789,"")</f>
        <v/>
      </c>
      <c r="P3789" s="47" t="str">
        <f aca="false">IF(O3789&lt;&gt;"",O3789*0.1,"")</f>
        <v/>
      </c>
      <c r="Q3789" s="83" t="str">
        <f aca="false">IF(O3789&lt;&gt;"",O3789+P3789,"")</f>
        <v/>
      </c>
      <c r="R3789" s="84"/>
    </row>
    <row r="3790" customFormat="false" ht="15" hidden="false" customHeight="true" outlineLevel="0" collapsed="false">
      <c r="A3790" s="103"/>
      <c r="B3790" s="73"/>
      <c r="C3790" s="74"/>
      <c r="D3790" s="75"/>
      <c r="E3790" s="52" t="str">
        <f aca="false">IF(D3790&lt;&gt;"",IFERROR(VLOOKUP(D3790,PROVEEDORES!$A:$B,2,0),"!COD NO ENCONTRADO"),"")</f>
        <v/>
      </c>
      <c r="F3790" s="76" t="str">
        <f aca="false">IF(D3790&lt;&gt;"",IFERROR(VLOOKUP(D3790,PROVEEDORES!$A:$C,3,0),""),"")</f>
        <v/>
      </c>
      <c r="G3790" s="75"/>
      <c r="H3790" s="52" t="str">
        <f aca="false">IF(G3790&lt;&gt;"",IFERROR(VLOOKUP(G3790,PRODUCTOS!$A:$B,2,0),"!COD NO ENCONTRADO"),"")</f>
        <v/>
      </c>
      <c r="I3790" s="77"/>
      <c r="J3790" s="78"/>
      <c r="K3790" s="79"/>
      <c r="L3790" s="80" t="str">
        <f aca="false">IF(AND(J3790&lt;&gt;"",K3790&lt;&gt;""),J3790*K3790,"")</f>
        <v/>
      </c>
      <c r="M3790" s="81" t="str">
        <f aca="false">IF(L3790&lt;&gt;"",L3790*1.1,"")</f>
        <v/>
      </c>
      <c r="N3790" s="53" t="n">
        <f aca="false">IF(F3790="S",L3790*0.02,0)</f>
        <v>0</v>
      </c>
      <c r="O3790" s="82" t="str">
        <f aca="false">IF(L3790&lt;&gt;"",L3790+N3790,"")</f>
        <v/>
      </c>
      <c r="P3790" s="53" t="str">
        <f aca="false">IF(O3790&lt;&gt;"",O3790*0.1,"")</f>
        <v/>
      </c>
      <c r="Q3790" s="83" t="str">
        <f aca="false">IF(O3790&lt;&gt;"",O3790+P3790,"")</f>
        <v/>
      </c>
      <c r="R3790" s="84"/>
    </row>
    <row r="3791" customFormat="false" ht="15" hidden="false" customHeight="true" outlineLevel="0" collapsed="false">
      <c r="A3791" s="103"/>
      <c r="B3791" s="85"/>
      <c r="C3791" s="86"/>
      <c r="D3791" s="87"/>
      <c r="E3791" s="46" t="str">
        <f aca="false">IF(D3791&lt;&gt;"",IFERROR(VLOOKUP(D3791,PROVEEDORES!$A:$B,2,0),"!COD NO ENCONTRADO"),"")</f>
        <v/>
      </c>
      <c r="F3791" s="88" t="str">
        <f aca="false">IF(D3791&lt;&gt;"",IFERROR(VLOOKUP(D3791,PROVEEDORES!$A:$C,3,0),""),"")</f>
        <v/>
      </c>
      <c r="G3791" s="87"/>
      <c r="H3791" s="46" t="str">
        <f aca="false">IF(G3791&lt;&gt;"",IFERROR(VLOOKUP(G3791,PRODUCTOS!$A:$B,2,0),"!COD NO ENCONTRADO"),"")</f>
        <v/>
      </c>
      <c r="I3791" s="89"/>
      <c r="J3791" s="90"/>
      <c r="K3791" s="91"/>
      <c r="L3791" s="80" t="str">
        <f aca="false">IF(AND(J3791&lt;&gt;"",K3791&lt;&gt;""),J3791*K3791,"")</f>
        <v/>
      </c>
      <c r="M3791" s="81" t="str">
        <f aca="false">IF(L3791&lt;&gt;"",L3791*1.1,"")</f>
        <v/>
      </c>
      <c r="N3791" s="47" t="n">
        <f aca="false">IF(F3791="S",L3791*0.02,0)</f>
        <v>0</v>
      </c>
      <c r="O3791" s="82" t="str">
        <f aca="false">IF(L3791&lt;&gt;"",L3791+N3791,"")</f>
        <v/>
      </c>
      <c r="P3791" s="47" t="str">
        <f aca="false">IF(O3791&lt;&gt;"",O3791*0.1,"")</f>
        <v/>
      </c>
      <c r="Q3791" s="83" t="str">
        <f aca="false">IF(O3791&lt;&gt;"",O3791+P3791,"")</f>
        <v/>
      </c>
      <c r="R3791" s="84"/>
    </row>
    <row r="3792" customFormat="false" ht="15" hidden="false" customHeight="true" outlineLevel="0" collapsed="false">
      <c r="A3792" s="103"/>
      <c r="B3792" s="73"/>
      <c r="C3792" s="74"/>
      <c r="D3792" s="75"/>
      <c r="E3792" s="52" t="str">
        <f aca="false">IF(D3792&lt;&gt;"",IFERROR(VLOOKUP(D3792,PROVEEDORES!$A:$B,2,0),"!COD NO ENCONTRADO"),"")</f>
        <v/>
      </c>
      <c r="F3792" s="76" t="str">
        <f aca="false">IF(D3792&lt;&gt;"",IFERROR(VLOOKUP(D3792,PROVEEDORES!$A:$C,3,0),""),"")</f>
        <v/>
      </c>
      <c r="G3792" s="75"/>
      <c r="H3792" s="52" t="str">
        <f aca="false">IF(G3792&lt;&gt;"",IFERROR(VLOOKUP(G3792,PRODUCTOS!$A:$B,2,0),"!COD NO ENCONTRADO"),"")</f>
        <v/>
      </c>
      <c r="I3792" s="77"/>
      <c r="J3792" s="78"/>
      <c r="K3792" s="79"/>
      <c r="L3792" s="80" t="str">
        <f aca="false">IF(AND(J3792&lt;&gt;"",K3792&lt;&gt;""),J3792*K3792,"")</f>
        <v/>
      </c>
      <c r="M3792" s="81" t="str">
        <f aca="false">IF(L3792&lt;&gt;"",L3792*1.1,"")</f>
        <v/>
      </c>
      <c r="N3792" s="53" t="n">
        <f aca="false">IF(F3792="S",L3792*0.02,0)</f>
        <v>0</v>
      </c>
      <c r="O3792" s="82" t="str">
        <f aca="false">IF(L3792&lt;&gt;"",L3792+N3792,"")</f>
        <v/>
      </c>
      <c r="P3792" s="53" t="str">
        <f aca="false">IF(O3792&lt;&gt;"",O3792*0.1,"")</f>
        <v/>
      </c>
      <c r="Q3792" s="83" t="str">
        <f aca="false">IF(O3792&lt;&gt;"",O3792+P3792,"")</f>
        <v/>
      </c>
      <c r="R3792" s="84"/>
    </row>
    <row r="3793" customFormat="false" ht="15" hidden="false" customHeight="true" outlineLevel="0" collapsed="false">
      <c r="A3793" s="103"/>
      <c r="B3793" s="85"/>
      <c r="C3793" s="86"/>
      <c r="D3793" s="87"/>
      <c r="E3793" s="46" t="str">
        <f aca="false">IF(D3793&lt;&gt;"",IFERROR(VLOOKUP(D3793,PROVEEDORES!$A:$B,2,0),"!COD NO ENCONTRADO"),"")</f>
        <v/>
      </c>
      <c r="F3793" s="88" t="str">
        <f aca="false">IF(D3793&lt;&gt;"",IFERROR(VLOOKUP(D3793,PROVEEDORES!$A:$C,3,0),""),"")</f>
        <v/>
      </c>
      <c r="G3793" s="87"/>
      <c r="H3793" s="46" t="str">
        <f aca="false">IF(G3793&lt;&gt;"",IFERROR(VLOOKUP(G3793,PRODUCTOS!$A:$B,2,0),"!COD NO ENCONTRADO"),"")</f>
        <v/>
      </c>
      <c r="I3793" s="89"/>
      <c r="J3793" s="90"/>
      <c r="K3793" s="91"/>
      <c r="L3793" s="80" t="str">
        <f aca="false">IF(AND(J3793&lt;&gt;"",K3793&lt;&gt;""),J3793*K3793,"")</f>
        <v/>
      </c>
      <c r="M3793" s="81" t="str">
        <f aca="false">IF(L3793&lt;&gt;"",L3793*1.1,"")</f>
        <v/>
      </c>
      <c r="N3793" s="47" t="n">
        <f aca="false">IF(F3793="S",L3793*0.02,0)</f>
        <v>0</v>
      </c>
      <c r="O3793" s="82" t="str">
        <f aca="false">IF(L3793&lt;&gt;"",L3793+N3793,"")</f>
        <v/>
      </c>
      <c r="P3793" s="47" t="str">
        <f aca="false">IF(O3793&lt;&gt;"",O3793*0.1,"")</f>
        <v/>
      </c>
      <c r="Q3793" s="83" t="str">
        <f aca="false">IF(O3793&lt;&gt;"",O3793+P3793,"")</f>
        <v/>
      </c>
      <c r="R3793" s="84"/>
    </row>
    <row r="3794" customFormat="false" ht="15" hidden="false" customHeight="true" outlineLevel="0" collapsed="false">
      <c r="A3794" s="103"/>
      <c r="B3794" s="73"/>
      <c r="C3794" s="74"/>
      <c r="D3794" s="75"/>
      <c r="E3794" s="52" t="str">
        <f aca="false">IF(D3794&lt;&gt;"",IFERROR(VLOOKUP(D3794,PROVEEDORES!$A:$B,2,0),"!COD NO ENCONTRADO"),"")</f>
        <v/>
      </c>
      <c r="F3794" s="76" t="str">
        <f aca="false">IF(D3794&lt;&gt;"",IFERROR(VLOOKUP(D3794,PROVEEDORES!$A:$C,3,0),""),"")</f>
        <v/>
      </c>
      <c r="G3794" s="75"/>
      <c r="H3794" s="52" t="str">
        <f aca="false">IF(G3794&lt;&gt;"",IFERROR(VLOOKUP(G3794,PRODUCTOS!$A:$B,2,0),"!COD NO ENCONTRADO"),"")</f>
        <v/>
      </c>
      <c r="I3794" s="77"/>
      <c r="J3794" s="78"/>
      <c r="K3794" s="79"/>
      <c r="L3794" s="80" t="str">
        <f aca="false">IF(AND(J3794&lt;&gt;"",K3794&lt;&gt;""),J3794*K3794,"")</f>
        <v/>
      </c>
      <c r="M3794" s="81" t="str">
        <f aca="false">IF(L3794&lt;&gt;"",L3794*1.1,"")</f>
        <v/>
      </c>
      <c r="N3794" s="53" t="n">
        <f aca="false">IF(F3794="S",L3794*0.02,0)</f>
        <v>0</v>
      </c>
      <c r="O3794" s="82" t="str">
        <f aca="false">IF(L3794&lt;&gt;"",L3794+N3794,"")</f>
        <v/>
      </c>
      <c r="P3794" s="53" t="str">
        <f aca="false">IF(O3794&lt;&gt;"",O3794*0.1,"")</f>
        <v/>
      </c>
      <c r="Q3794" s="83" t="str">
        <f aca="false">IF(O3794&lt;&gt;"",O3794+P3794,"")</f>
        <v/>
      </c>
      <c r="R3794" s="84"/>
    </row>
    <row r="3795" customFormat="false" ht="15" hidden="false" customHeight="true" outlineLevel="0" collapsed="false">
      <c r="A3795" s="103"/>
      <c r="B3795" s="85"/>
      <c r="C3795" s="86"/>
      <c r="D3795" s="87"/>
      <c r="E3795" s="46" t="str">
        <f aca="false">IF(D3795&lt;&gt;"",IFERROR(VLOOKUP(D3795,PROVEEDORES!$A:$B,2,0),"!COD NO ENCONTRADO"),"")</f>
        <v/>
      </c>
      <c r="F3795" s="88" t="str">
        <f aca="false">IF(D3795&lt;&gt;"",IFERROR(VLOOKUP(D3795,PROVEEDORES!$A:$C,3,0),""),"")</f>
        <v/>
      </c>
      <c r="G3795" s="87"/>
      <c r="H3795" s="46" t="str">
        <f aca="false">IF(G3795&lt;&gt;"",IFERROR(VLOOKUP(G3795,PRODUCTOS!$A:$B,2,0),"!COD NO ENCONTRADO"),"")</f>
        <v/>
      </c>
      <c r="I3795" s="89"/>
      <c r="J3795" s="90"/>
      <c r="K3795" s="91"/>
      <c r="L3795" s="80" t="str">
        <f aca="false">IF(AND(J3795&lt;&gt;"",K3795&lt;&gt;""),J3795*K3795,"")</f>
        <v/>
      </c>
      <c r="M3795" s="81" t="str">
        <f aca="false">IF(L3795&lt;&gt;"",L3795*1.1,"")</f>
        <v/>
      </c>
      <c r="N3795" s="47" t="n">
        <f aca="false">IF(F3795="S",L3795*0.02,0)</f>
        <v>0</v>
      </c>
      <c r="O3795" s="82" t="str">
        <f aca="false">IF(L3795&lt;&gt;"",L3795+N3795,"")</f>
        <v/>
      </c>
      <c r="P3795" s="47" t="str">
        <f aca="false">IF(O3795&lt;&gt;"",O3795*0.1,"")</f>
        <v/>
      </c>
      <c r="Q3795" s="83" t="str">
        <f aca="false">IF(O3795&lt;&gt;"",O3795+P3795,"")</f>
        <v/>
      </c>
      <c r="R3795" s="84"/>
    </row>
    <row r="3796" customFormat="false" ht="15" hidden="false" customHeight="true" outlineLevel="0" collapsed="false">
      <c r="A3796" s="103"/>
      <c r="B3796" s="73"/>
      <c r="C3796" s="74"/>
      <c r="D3796" s="75"/>
      <c r="E3796" s="52" t="str">
        <f aca="false">IF(D3796&lt;&gt;"",IFERROR(VLOOKUP(D3796,PROVEEDORES!$A:$B,2,0),"!COD NO ENCONTRADO"),"")</f>
        <v/>
      </c>
      <c r="F3796" s="76" t="str">
        <f aca="false">IF(D3796&lt;&gt;"",IFERROR(VLOOKUP(D3796,PROVEEDORES!$A:$C,3,0),""),"")</f>
        <v/>
      </c>
      <c r="G3796" s="75"/>
      <c r="H3796" s="52" t="str">
        <f aca="false">IF(G3796&lt;&gt;"",IFERROR(VLOOKUP(G3796,PRODUCTOS!$A:$B,2,0),"!COD NO ENCONTRADO"),"")</f>
        <v/>
      </c>
      <c r="I3796" s="77"/>
      <c r="J3796" s="78"/>
      <c r="K3796" s="79"/>
      <c r="L3796" s="80" t="str">
        <f aca="false">IF(AND(J3796&lt;&gt;"",K3796&lt;&gt;""),J3796*K3796,"")</f>
        <v/>
      </c>
      <c r="M3796" s="81" t="str">
        <f aca="false">IF(L3796&lt;&gt;"",L3796*1.1,"")</f>
        <v/>
      </c>
      <c r="N3796" s="53" t="n">
        <f aca="false">IF(F3796="S",L3796*0.02,0)</f>
        <v>0</v>
      </c>
      <c r="O3796" s="82" t="str">
        <f aca="false">IF(L3796&lt;&gt;"",L3796+N3796,"")</f>
        <v/>
      </c>
      <c r="P3796" s="53" t="str">
        <f aca="false">IF(O3796&lt;&gt;"",O3796*0.1,"")</f>
        <v/>
      </c>
      <c r="Q3796" s="83" t="str">
        <f aca="false">IF(O3796&lt;&gt;"",O3796+P3796,"")</f>
        <v/>
      </c>
      <c r="R3796" s="84"/>
    </row>
    <row r="3797" customFormat="false" ht="15" hidden="false" customHeight="true" outlineLevel="0" collapsed="false">
      <c r="A3797" s="103"/>
      <c r="B3797" s="85"/>
      <c r="C3797" s="86"/>
      <c r="D3797" s="87"/>
      <c r="E3797" s="46" t="str">
        <f aca="false">IF(D3797&lt;&gt;"",IFERROR(VLOOKUP(D3797,PROVEEDORES!$A:$B,2,0),"!COD NO ENCONTRADO"),"")</f>
        <v/>
      </c>
      <c r="F3797" s="88" t="str">
        <f aca="false">IF(D3797&lt;&gt;"",IFERROR(VLOOKUP(D3797,PROVEEDORES!$A:$C,3,0),""),"")</f>
        <v/>
      </c>
      <c r="G3797" s="87"/>
      <c r="H3797" s="46" t="str">
        <f aca="false">IF(G3797&lt;&gt;"",IFERROR(VLOOKUP(G3797,PRODUCTOS!$A:$B,2,0),"!COD NO ENCONTRADO"),"")</f>
        <v/>
      </c>
      <c r="I3797" s="89"/>
      <c r="J3797" s="90"/>
      <c r="K3797" s="91"/>
      <c r="L3797" s="80" t="str">
        <f aca="false">IF(AND(J3797&lt;&gt;"",K3797&lt;&gt;""),J3797*K3797,"")</f>
        <v/>
      </c>
      <c r="M3797" s="81" t="str">
        <f aca="false">IF(L3797&lt;&gt;"",L3797*1.1,"")</f>
        <v/>
      </c>
      <c r="N3797" s="47" t="n">
        <f aca="false">IF(F3797="S",L3797*0.02,0)</f>
        <v>0</v>
      </c>
      <c r="O3797" s="82" t="str">
        <f aca="false">IF(L3797&lt;&gt;"",L3797+N3797,"")</f>
        <v/>
      </c>
      <c r="P3797" s="47" t="str">
        <f aca="false">IF(O3797&lt;&gt;"",O3797*0.1,"")</f>
        <v/>
      </c>
      <c r="Q3797" s="83" t="str">
        <f aca="false">IF(O3797&lt;&gt;"",O3797+P3797,"")</f>
        <v/>
      </c>
      <c r="R3797" s="84"/>
    </row>
    <row r="3798" customFormat="false" ht="15" hidden="false" customHeight="true" outlineLevel="0" collapsed="false">
      <c r="A3798" s="103"/>
      <c r="B3798" s="73"/>
      <c r="C3798" s="74"/>
      <c r="D3798" s="75"/>
      <c r="E3798" s="52" t="str">
        <f aca="false">IF(D3798&lt;&gt;"",IFERROR(VLOOKUP(D3798,PROVEEDORES!$A:$B,2,0),"!COD NO ENCONTRADO"),"")</f>
        <v/>
      </c>
      <c r="F3798" s="76" t="str">
        <f aca="false">IF(D3798&lt;&gt;"",IFERROR(VLOOKUP(D3798,PROVEEDORES!$A:$C,3,0),""),"")</f>
        <v/>
      </c>
      <c r="G3798" s="75"/>
      <c r="H3798" s="52" t="str">
        <f aca="false">IF(G3798&lt;&gt;"",IFERROR(VLOOKUP(G3798,PRODUCTOS!$A:$B,2,0),"!COD NO ENCONTRADO"),"")</f>
        <v/>
      </c>
      <c r="I3798" s="77"/>
      <c r="J3798" s="78"/>
      <c r="K3798" s="79"/>
      <c r="L3798" s="80" t="str">
        <f aca="false">IF(AND(J3798&lt;&gt;"",K3798&lt;&gt;""),J3798*K3798,"")</f>
        <v/>
      </c>
      <c r="M3798" s="81" t="str">
        <f aca="false">IF(L3798&lt;&gt;"",L3798*1.1,"")</f>
        <v/>
      </c>
      <c r="N3798" s="53" t="n">
        <f aca="false">IF(F3798="S",L3798*0.02,0)</f>
        <v>0</v>
      </c>
      <c r="O3798" s="82" t="str">
        <f aca="false">IF(L3798&lt;&gt;"",L3798+N3798,"")</f>
        <v/>
      </c>
      <c r="P3798" s="53" t="str">
        <f aca="false">IF(O3798&lt;&gt;"",O3798*0.1,"")</f>
        <v/>
      </c>
      <c r="Q3798" s="83" t="str">
        <f aca="false">IF(O3798&lt;&gt;"",O3798+P3798,"")</f>
        <v/>
      </c>
      <c r="R3798" s="84"/>
    </row>
    <row r="3799" customFormat="false" ht="15" hidden="false" customHeight="true" outlineLevel="0" collapsed="false">
      <c r="A3799" s="103"/>
      <c r="B3799" s="85"/>
      <c r="C3799" s="86"/>
      <c r="D3799" s="87"/>
      <c r="E3799" s="46" t="str">
        <f aca="false">IF(D3799&lt;&gt;"",IFERROR(VLOOKUP(D3799,PROVEEDORES!$A:$B,2,0),"!COD NO ENCONTRADO"),"")</f>
        <v/>
      </c>
      <c r="F3799" s="88" t="str">
        <f aca="false">IF(D3799&lt;&gt;"",IFERROR(VLOOKUP(D3799,PROVEEDORES!$A:$C,3,0),""),"")</f>
        <v/>
      </c>
      <c r="G3799" s="87"/>
      <c r="H3799" s="46" t="str">
        <f aca="false">IF(G3799&lt;&gt;"",IFERROR(VLOOKUP(G3799,PRODUCTOS!$A:$B,2,0),"!COD NO ENCONTRADO"),"")</f>
        <v/>
      </c>
      <c r="I3799" s="89"/>
      <c r="J3799" s="90"/>
      <c r="K3799" s="91"/>
      <c r="L3799" s="80" t="str">
        <f aca="false">IF(AND(J3799&lt;&gt;"",K3799&lt;&gt;""),J3799*K3799,"")</f>
        <v/>
      </c>
      <c r="M3799" s="81" t="str">
        <f aca="false">IF(L3799&lt;&gt;"",L3799*1.1,"")</f>
        <v/>
      </c>
      <c r="N3799" s="47" t="n">
        <f aca="false">IF(F3799="S",L3799*0.02,0)</f>
        <v>0</v>
      </c>
      <c r="O3799" s="82" t="str">
        <f aca="false">IF(L3799&lt;&gt;"",L3799+N3799,"")</f>
        <v/>
      </c>
      <c r="P3799" s="47" t="str">
        <f aca="false">IF(O3799&lt;&gt;"",O3799*0.1,"")</f>
        <v/>
      </c>
      <c r="Q3799" s="83" t="str">
        <f aca="false">IF(O3799&lt;&gt;"",O3799+P3799,"")</f>
        <v/>
      </c>
      <c r="R3799" s="84"/>
    </row>
    <row r="3800" customFormat="false" ht="15" hidden="false" customHeight="true" outlineLevel="0" collapsed="false">
      <c r="A3800" s="103"/>
      <c r="B3800" s="73"/>
      <c r="C3800" s="74"/>
      <c r="D3800" s="75"/>
      <c r="E3800" s="52" t="str">
        <f aca="false">IF(D3800&lt;&gt;"",IFERROR(VLOOKUP(D3800,PROVEEDORES!$A:$B,2,0),"!COD NO ENCONTRADO"),"")</f>
        <v/>
      </c>
      <c r="F3800" s="76" t="str">
        <f aca="false">IF(D3800&lt;&gt;"",IFERROR(VLOOKUP(D3800,PROVEEDORES!$A:$C,3,0),""),"")</f>
        <v/>
      </c>
      <c r="G3800" s="75"/>
      <c r="H3800" s="52" t="str">
        <f aca="false">IF(G3800&lt;&gt;"",IFERROR(VLOOKUP(G3800,PRODUCTOS!$A:$B,2,0),"!COD NO ENCONTRADO"),"")</f>
        <v/>
      </c>
      <c r="I3800" s="77"/>
      <c r="J3800" s="78"/>
      <c r="K3800" s="79"/>
      <c r="L3800" s="80" t="str">
        <f aca="false">IF(AND(J3800&lt;&gt;"",K3800&lt;&gt;""),J3800*K3800,"")</f>
        <v/>
      </c>
      <c r="M3800" s="81" t="str">
        <f aca="false">IF(L3800&lt;&gt;"",L3800*1.1,"")</f>
        <v/>
      </c>
      <c r="N3800" s="53" t="n">
        <f aca="false">IF(F3800="S",L3800*0.02,0)</f>
        <v>0</v>
      </c>
      <c r="O3800" s="82" t="str">
        <f aca="false">IF(L3800&lt;&gt;"",L3800+N3800,"")</f>
        <v/>
      </c>
      <c r="P3800" s="53" t="str">
        <f aca="false">IF(O3800&lt;&gt;"",O3800*0.1,"")</f>
        <v/>
      </c>
      <c r="Q3800" s="83" t="str">
        <f aca="false">IF(O3800&lt;&gt;"",O3800+P3800,"")</f>
        <v/>
      </c>
      <c r="R3800" s="84"/>
    </row>
    <row r="3801" customFormat="false" ht="15" hidden="false" customHeight="true" outlineLevel="0" collapsed="false">
      <c r="A3801" s="103"/>
      <c r="B3801" s="85"/>
      <c r="C3801" s="86"/>
      <c r="D3801" s="87"/>
      <c r="E3801" s="46" t="str">
        <f aca="false">IF(D3801&lt;&gt;"",IFERROR(VLOOKUP(D3801,PROVEEDORES!$A:$B,2,0),"!COD NO ENCONTRADO"),"")</f>
        <v/>
      </c>
      <c r="F3801" s="88" t="str">
        <f aca="false">IF(D3801&lt;&gt;"",IFERROR(VLOOKUP(D3801,PROVEEDORES!$A:$C,3,0),""),"")</f>
        <v/>
      </c>
      <c r="G3801" s="87"/>
      <c r="H3801" s="46" t="str">
        <f aca="false">IF(G3801&lt;&gt;"",IFERROR(VLOOKUP(G3801,PRODUCTOS!$A:$B,2,0),"!COD NO ENCONTRADO"),"")</f>
        <v/>
      </c>
      <c r="I3801" s="89"/>
      <c r="J3801" s="90"/>
      <c r="K3801" s="91"/>
      <c r="L3801" s="80" t="str">
        <f aca="false">IF(AND(J3801&lt;&gt;"",K3801&lt;&gt;""),J3801*K3801,"")</f>
        <v/>
      </c>
      <c r="M3801" s="81" t="str">
        <f aca="false">IF(L3801&lt;&gt;"",L3801*1.1,"")</f>
        <v/>
      </c>
      <c r="N3801" s="47" t="n">
        <f aca="false">IF(F3801="S",L3801*0.02,0)</f>
        <v>0</v>
      </c>
      <c r="O3801" s="82" t="str">
        <f aca="false">IF(L3801&lt;&gt;"",L3801+N3801,"")</f>
        <v/>
      </c>
      <c r="P3801" s="47" t="str">
        <f aca="false">IF(O3801&lt;&gt;"",O3801*0.1,"")</f>
        <v/>
      </c>
      <c r="Q3801" s="83" t="str">
        <f aca="false">IF(O3801&lt;&gt;"",O3801+P3801,"")</f>
        <v/>
      </c>
      <c r="R3801" s="84"/>
    </row>
    <row r="3802" customFormat="false" ht="15" hidden="false" customHeight="true" outlineLevel="0" collapsed="false">
      <c r="A3802" s="103"/>
      <c r="B3802" s="73"/>
      <c r="C3802" s="74"/>
      <c r="D3802" s="75"/>
      <c r="E3802" s="52" t="str">
        <f aca="false">IF(D3802&lt;&gt;"",IFERROR(VLOOKUP(D3802,PROVEEDORES!$A:$B,2,0),"!COD NO ENCONTRADO"),"")</f>
        <v/>
      </c>
      <c r="F3802" s="76" t="str">
        <f aca="false">IF(D3802&lt;&gt;"",IFERROR(VLOOKUP(D3802,PROVEEDORES!$A:$C,3,0),""),"")</f>
        <v/>
      </c>
      <c r="G3802" s="75"/>
      <c r="H3802" s="52" t="str">
        <f aca="false">IF(G3802&lt;&gt;"",IFERROR(VLOOKUP(G3802,PRODUCTOS!$A:$B,2,0),"!COD NO ENCONTRADO"),"")</f>
        <v/>
      </c>
      <c r="I3802" s="77"/>
      <c r="J3802" s="78"/>
      <c r="K3802" s="79"/>
      <c r="L3802" s="80" t="str">
        <f aca="false">IF(AND(J3802&lt;&gt;"",K3802&lt;&gt;""),J3802*K3802,"")</f>
        <v/>
      </c>
      <c r="M3802" s="81" t="str">
        <f aca="false">IF(L3802&lt;&gt;"",L3802*1.1,"")</f>
        <v/>
      </c>
      <c r="N3802" s="53" t="n">
        <f aca="false">IF(F3802="S",L3802*0.02,0)</f>
        <v>0</v>
      </c>
      <c r="O3802" s="82" t="str">
        <f aca="false">IF(L3802&lt;&gt;"",L3802+N3802,"")</f>
        <v/>
      </c>
      <c r="P3802" s="53" t="str">
        <f aca="false">IF(O3802&lt;&gt;"",O3802*0.1,"")</f>
        <v/>
      </c>
      <c r="Q3802" s="83" t="str">
        <f aca="false">IF(O3802&lt;&gt;"",O3802+P3802,"")</f>
        <v/>
      </c>
      <c r="R3802" s="84"/>
    </row>
    <row r="3803" customFormat="false" ht="15" hidden="false" customHeight="true" outlineLevel="0" collapsed="false">
      <c r="A3803" s="103"/>
      <c r="B3803" s="85"/>
      <c r="C3803" s="86"/>
      <c r="D3803" s="87"/>
      <c r="E3803" s="46" t="str">
        <f aca="false">IF(D3803&lt;&gt;"",IFERROR(VLOOKUP(D3803,PROVEEDORES!$A:$B,2,0),"!COD NO ENCONTRADO"),"")</f>
        <v/>
      </c>
      <c r="F3803" s="88" t="str">
        <f aca="false">IF(D3803&lt;&gt;"",IFERROR(VLOOKUP(D3803,PROVEEDORES!$A:$C,3,0),""),"")</f>
        <v/>
      </c>
      <c r="G3803" s="87"/>
      <c r="H3803" s="46" t="str">
        <f aca="false">IF(G3803&lt;&gt;"",IFERROR(VLOOKUP(G3803,PRODUCTOS!$A:$B,2,0),"!COD NO ENCONTRADO"),"")</f>
        <v/>
      </c>
      <c r="I3803" s="89"/>
      <c r="J3803" s="90"/>
      <c r="K3803" s="91"/>
      <c r="L3803" s="80" t="str">
        <f aca="false">IF(AND(J3803&lt;&gt;"",K3803&lt;&gt;""),J3803*K3803,"")</f>
        <v/>
      </c>
      <c r="M3803" s="81" t="str">
        <f aca="false">IF(L3803&lt;&gt;"",L3803*1.1,"")</f>
        <v/>
      </c>
      <c r="N3803" s="47" t="n">
        <f aca="false">IF(F3803="S",L3803*0.02,0)</f>
        <v>0</v>
      </c>
      <c r="O3803" s="82" t="str">
        <f aca="false">IF(L3803&lt;&gt;"",L3803+N3803,"")</f>
        <v/>
      </c>
      <c r="P3803" s="47" t="str">
        <f aca="false">IF(O3803&lt;&gt;"",O3803*0.1,"")</f>
        <v/>
      </c>
      <c r="Q3803" s="83" t="str">
        <f aca="false">IF(O3803&lt;&gt;"",O3803+P3803,"")</f>
        <v/>
      </c>
      <c r="R3803" s="84"/>
    </row>
    <row r="3804" customFormat="false" ht="15" hidden="false" customHeight="true" outlineLevel="0" collapsed="false">
      <c r="A3804" s="103"/>
      <c r="B3804" s="73"/>
      <c r="C3804" s="74"/>
      <c r="D3804" s="75"/>
      <c r="E3804" s="52" t="str">
        <f aca="false">IF(D3804&lt;&gt;"",IFERROR(VLOOKUP(D3804,PROVEEDORES!$A:$B,2,0),"!COD NO ENCONTRADO"),"")</f>
        <v/>
      </c>
      <c r="F3804" s="76" t="str">
        <f aca="false">IF(D3804&lt;&gt;"",IFERROR(VLOOKUP(D3804,PROVEEDORES!$A:$C,3,0),""),"")</f>
        <v/>
      </c>
      <c r="G3804" s="75"/>
      <c r="H3804" s="52" t="str">
        <f aca="false">IF(G3804&lt;&gt;"",IFERROR(VLOOKUP(G3804,PRODUCTOS!$A:$B,2,0),"!COD NO ENCONTRADO"),"")</f>
        <v/>
      </c>
      <c r="I3804" s="77"/>
      <c r="J3804" s="78"/>
      <c r="K3804" s="79"/>
      <c r="L3804" s="80" t="str">
        <f aca="false">IF(AND(J3804&lt;&gt;"",K3804&lt;&gt;""),J3804*K3804,"")</f>
        <v/>
      </c>
      <c r="M3804" s="81" t="str">
        <f aca="false">IF(L3804&lt;&gt;"",L3804*1.1,"")</f>
        <v/>
      </c>
      <c r="N3804" s="53" t="n">
        <f aca="false">IF(F3804="S",L3804*0.02,0)</f>
        <v>0</v>
      </c>
      <c r="O3804" s="82" t="str">
        <f aca="false">IF(L3804&lt;&gt;"",L3804+N3804,"")</f>
        <v/>
      </c>
      <c r="P3804" s="53" t="str">
        <f aca="false">IF(O3804&lt;&gt;"",O3804*0.1,"")</f>
        <v/>
      </c>
      <c r="Q3804" s="83" t="str">
        <f aca="false">IF(O3804&lt;&gt;"",O3804+P3804,"")</f>
        <v/>
      </c>
      <c r="R3804" s="84"/>
    </row>
    <row r="3805" customFormat="false" ht="15" hidden="false" customHeight="true" outlineLevel="0" collapsed="false">
      <c r="A3805" s="103"/>
      <c r="B3805" s="85"/>
      <c r="C3805" s="86"/>
      <c r="D3805" s="87"/>
      <c r="E3805" s="46" t="str">
        <f aca="false">IF(D3805&lt;&gt;"",IFERROR(VLOOKUP(D3805,PROVEEDORES!$A:$B,2,0),"!COD NO ENCONTRADO"),"")</f>
        <v/>
      </c>
      <c r="F3805" s="88" t="str">
        <f aca="false">IF(D3805&lt;&gt;"",IFERROR(VLOOKUP(D3805,PROVEEDORES!$A:$C,3,0),""),"")</f>
        <v/>
      </c>
      <c r="G3805" s="87"/>
      <c r="H3805" s="46" t="str">
        <f aca="false">IF(G3805&lt;&gt;"",IFERROR(VLOOKUP(G3805,PRODUCTOS!$A:$B,2,0),"!COD NO ENCONTRADO"),"")</f>
        <v/>
      </c>
      <c r="I3805" s="89"/>
      <c r="J3805" s="90"/>
      <c r="K3805" s="91"/>
      <c r="L3805" s="80" t="str">
        <f aca="false">IF(AND(J3805&lt;&gt;"",K3805&lt;&gt;""),J3805*K3805,"")</f>
        <v/>
      </c>
      <c r="M3805" s="81" t="str">
        <f aca="false">IF(L3805&lt;&gt;"",L3805*1.1,"")</f>
        <v/>
      </c>
      <c r="N3805" s="47" t="n">
        <f aca="false">IF(F3805="S",L3805*0.02,0)</f>
        <v>0</v>
      </c>
      <c r="O3805" s="82" t="str">
        <f aca="false">IF(L3805&lt;&gt;"",L3805+N3805,"")</f>
        <v/>
      </c>
      <c r="P3805" s="47" t="str">
        <f aca="false">IF(O3805&lt;&gt;"",O3805*0.1,"")</f>
        <v/>
      </c>
      <c r="Q3805" s="83" t="str">
        <f aca="false">IF(O3805&lt;&gt;"",O3805+P3805,"")</f>
        <v/>
      </c>
      <c r="R3805" s="84"/>
    </row>
    <row r="3806" customFormat="false" ht="15" hidden="false" customHeight="true" outlineLevel="0" collapsed="false">
      <c r="A3806" s="103"/>
      <c r="B3806" s="73"/>
      <c r="C3806" s="74"/>
      <c r="D3806" s="75"/>
      <c r="E3806" s="52" t="str">
        <f aca="false">IF(D3806&lt;&gt;"",IFERROR(VLOOKUP(D3806,PROVEEDORES!$A:$B,2,0),"!COD NO ENCONTRADO"),"")</f>
        <v/>
      </c>
      <c r="F3806" s="76" t="str">
        <f aca="false">IF(D3806&lt;&gt;"",IFERROR(VLOOKUP(D3806,PROVEEDORES!$A:$C,3,0),""),"")</f>
        <v/>
      </c>
      <c r="G3806" s="75"/>
      <c r="H3806" s="52" t="str">
        <f aca="false">IF(G3806&lt;&gt;"",IFERROR(VLOOKUP(G3806,PRODUCTOS!$A:$B,2,0),"!COD NO ENCONTRADO"),"")</f>
        <v/>
      </c>
      <c r="I3806" s="77"/>
      <c r="J3806" s="78"/>
      <c r="K3806" s="79"/>
      <c r="L3806" s="80" t="str">
        <f aca="false">IF(AND(J3806&lt;&gt;"",K3806&lt;&gt;""),J3806*K3806,"")</f>
        <v/>
      </c>
      <c r="M3806" s="81" t="str">
        <f aca="false">IF(L3806&lt;&gt;"",L3806*1.1,"")</f>
        <v/>
      </c>
      <c r="N3806" s="53" t="n">
        <f aca="false">IF(F3806="S",L3806*0.02,0)</f>
        <v>0</v>
      </c>
      <c r="O3806" s="82" t="str">
        <f aca="false">IF(L3806&lt;&gt;"",L3806+N3806,"")</f>
        <v/>
      </c>
      <c r="P3806" s="53" t="str">
        <f aca="false">IF(O3806&lt;&gt;"",O3806*0.1,"")</f>
        <v/>
      </c>
      <c r="Q3806" s="83" t="str">
        <f aca="false">IF(O3806&lt;&gt;"",O3806+P3806,"")</f>
        <v/>
      </c>
      <c r="R3806" s="84"/>
    </row>
    <row r="3807" customFormat="false" ht="15" hidden="false" customHeight="true" outlineLevel="0" collapsed="false">
      <c r="A3807" s="103"/>
      <c r="B3807" s="85"/>
      <c r="C3807" s="86"/>
      <c r="D3807" s="87"/>
      <c r="E3807" s="46" t="str">
        <f aca="false">IF(D3807&lt;&gt;"",IFERROR(VLOOKUP(D3807,PROVEEDORES!$A:$B,2,0),"!COD NO ENCONTRADO"),"")</f>
        <v/>
      </c>
      <c r="F3807" s="88" t="str">
        <f aca="false">IF(D3807&lt;&gt;"",IFERROR(VLOOKUP(D3807,PROVEEDORES!$A:$C,3,0),""),"")</f>
        <v/>
      </c>
      <c r="G3807" s="87"/>
      <c r="H3807" s="46" t="str">
        <f aca="false">IF(G3807&lt;&gt;"",IFERROR(VLOOKUP(G3807,PRODUCTOS!$A:$B,2,0),"!COD NO ENCONTRADO"),"")</f>
        <v/>
      </c>
      <c r="I3807" s="89"/>
      <c r="J3807" s="90"/>
      <c r="K3807" s="91"/>
      <c r="L3807" s="80" t="str">
        <f aca="false">IF(AND(J3807&lt;&gt;"",K3807&lt;&gt;""),J3807*K3807,"")</f>
        <v/>
      </c>
      <c r="M3807" s="81" t="str">
        <f aca="false">IF(L3807&lt;&gt;"",L3807*1.1,"")</f>
        <v/>
      </c>
      <c r="N3807" s="47" t="n">
        <f aca="false">IF(F3807="S",L3807*0.02,0)</f>
        <v>0</v>
      </c>
      <c r="O3807" s="82" t="str">
        <f aca="false">IF(L3807&lt;&gt;"",L3807+N3807,"")</f>
        <v/>
      </c>
      <c r="P3807" s="47" t="str">
        <f aca="false">IF(O3807&lt;&gt;"",O3807*0.1,"")</f>
        <v/>
      </c>
      <c r="Q3807" s="83" t="str">
        <f aca="false">IF(O3807&lt;&gt;"",O3807+P3807,"")</f>
        <v/>
      </c>
      <c r="R3807" s="84"/>
    </row>
    <row r="3808" customFormat="false" ht="15" hidden="false" customHeight="true" outlineLevel="0" collapsed="false">
      <c r="A3808" s="103"/>
      <c r="B3808" s="73"/>
      <c r="C3808" s="74"/>
      <c r="D3808" s="75"/>
      <c r="E3808" s="52" t="str">
        <f aca="false">IF(D3808&lt;&gt;"",IFERROR(VLOOKUP(D3808,PROVEEDORES!$A:$B,2,0),"!COD NO ENCONTRADO"),"")</f>
        <v/>
      </c>
      <c r="F3808" s="76" t="str">
        <f aca="false">IF(D3808&lt;&gt;"",IFERROR(VLOOKUP(D3808,PROVEEDORES!$A:$C,3,0),""),"")</f>
        <v/>
      </c>
      <c r="G3808" s="75"/>
      <c r="H3808" s="52" t="str">
        <f aca="false">IF(G3808&lt;&gt;"",IFERROR(VLOOKUP(G3808,PRODUCTOS!$A:$B,2,0),"!COD NO ENCONTRADO"),"")</f>
        <v/>
      </c>
      <c r="I3808" s="77"/>
      <c r="J3808" s="78"/>
      <c r="K3808" s="79"/>
      <c r="L3808" s="80" t="str">
        <f aca="false">IF(AND(J3808&lt;&gt;"",K3808&lt;&gt;""),J3808*K3808,"")</f>
        <v/>
      </c>
      <c r="M3808" s="81" t="str">
        <f aca="false">IF(L3808&lt;&gt;"",L3808*1.1,"")</f>
        <v/>
      </c>
      <c r="N3808" s="53" t="n">
        <f aca="false">IF(F3808="S",L3808*0.02,0)</f>
        <v>0</v>
      </c>
      <c r="O3808" s="82" t="str">
        <f aca="false">IF(L3808&lt;&gt;"",L3808+N3808,"")</f>
        <v/>
      </c>
      <c r="P3808" s="53" t="str">
        <f aca="false">IF(O3808&lt;&gt;"",O3808*0.1,"")</f>
        <v/>
      </c>
      <c r="Q3808" s="83" t="str">
        <f aca="false">IF(O3808&lt;&gt;"",O3808+P3808,"")</f>
        <v/>
      </c>
      <c r="R3808" s="84"/>
    </row>
    <row r="3809" customFormat="false" ht="15" hidden="false" customHeight="true" outlineLevel="0" collapsed="false">
      <c r="A3809" s="103"/>
      <c r="B3809" s="85"/>
      <c r="C3809" s="86"/>
      <c r="D3809" s="87"/>
      <c r="E3809" s="46" t="str">
        <f aca="false">IF(D3809&lt;&gt;"",IFERROR(VLOOKUP(D3809,PROVEEDORES!$A:$B,2,0),"!COD NO ENCONTRADO"),"")</f>
        <v/>
      </c>
      <c r="F3809" s="88" t="str">
        <f aca="false">IF(D3809&lt;&gt;"",IFERROR(VLOOKUP(D3809,PROVEEDORES!$A:$C,3,0),""),"")</f>
        <v/>
      </c>
      <c r="G3809" s="87"/>
      <c r="H3809" s="46" t="str">
        <f aca="false">IF(G3809&lt;&gt;"",IFERROR(VLOOKUP(G3809,PRODUCTOS!$A:$B,2,0),"!COD NO ENCONTRADO"),"")</f>
        <v/>
      </c>
      <c r="I3809" s="89"/>
      <c r="J3809" s="90"/>
      <c r="K3809" s="91"/>
      <c r="L3809" s="80" t="str">
        <f aca="false">IF(AND(J3809&lt;&gt;"",K3809&lt;&gt;""),J3809*K3809,"")</f>
        <v/>
      </c>
      <c r="M3809" s="81" t="str">
        <f aca="false">IF(L3809&lt;&gt;"",L3809*1.1,"")</f>
        <v/>
      </c>
      <c r="N3809" s="47" t="n">
        <f aca="false">IF(F3809="S",L3809*0.02,0)</f>
        <v>0</v>
      </c>
      <c r="O3809" s="82" t="str">
        <f aca="false">IF(L3809&lt;&gt;"",L3809+N3809,"")</f>
        <v/>
      </c>
      <c r="P3809" s="47" t="str">
        <f aca="false">IF(O3809&lt;&gt;"",O3809*0.1,"")</f>
        <v/>
      </c>
      <c r="Q3809" s="83" t="str">
        <f aca="false">IF(O3809&lt;&gt;"",O3809+P3809,"")</f>
        <v/>
      </c>
      <c r="R3809" s="84"/>
    </row>
    <row r="3810" customFormat="false" ht="15" hidden="false" customHeight="true" outlineLevel="0" collapsed="false">
      <c r="A3810" s="103"/>
      <c r="B3810" s="73"/>
      <c r="C3810" s="74"/>
      <c r="D3810" s="75"/>
      <c r="E3810" s="52" t="str">
        <f aca="false">IF(D3810&lt;&gt;"",IFERROR(VLOOKUP(D3810,PROVEEDORES!$A:$B,2,0),"!COD NO ENCONTRADO"),"")</f>
        <v/>
      </c>
      <c r="F3810" s="76" t="str">
        <f aca="false">IF(D3810&lt;&gt;"",IFERROR(VLOOKUP(D3810,PROVEEDORES!$A:$C,3,0),""),"")</f>
        <v/>
      </c>
      <c r="G3810" s="75"/>
      <c r="H3810" s="52" t="str">
        <f aca="false">IF(G3810&lt;&gt;"",IFERROR(VLOOKUP(G3810,PRODUCTOS!$A:$B,2,0),"!COD NO ENCONTRADO"),"")</f>
        <v/>
      </c>
      <c r="I3810" s="77"/>
      <c r="J3810" s="78"/>
      <c r="K3810" s="79"/>
      <c r="L3810" s="80" t="str">
        <f aca="false">IF(AND(J3810&lt;&gt;"",K3810&lt;&gt;""),J3810*K3810,"")</f>
        <v/>
      </c>
      <c r="M3810" s="81" t="str">
        <f aca="false">IF(L3810&lt;&gt;"",L3810*1.1,"")</f>
        <v/>
      </c>
      <c r="N3810" s="53" t="n">
        <f aca="false">IF(F3810="S",L3810*0.02,0)</f>
        <v>0</v>
      </c>
      <c r="O3810" s="82" t="str">
        <f aca="false">IF(L3810&lt;&gt;"",L3810+N3810,"")</f>
        <v/>
      </c>
      <c r="P3810" s="53" t="str">
        <f aca="false">IF(O3810&lt;&gt;"",O3810*0.1,"")</f>
        <v/>
      </c>
      <c r="Q3810" s="83" t="str">
        <f aca="false">IF(O3810&lt;&gt;"",O3810+P3810,"")</f>
        <v/>
      </c>
      <c r="R3810" s="84"/>
    </row>
    <row r="3811" customFormat="false" ht="15" hidden="false" customHeight="true" outlineLevel="0" collapsed="false">
      <c r="A3811" s="103"/>
      <c r="B3811" s="85"/>
      <c r="C3811" s="86"/>
      <c r="D3811" s="87"/>
      <c r="E3811" s="46" t="str">
        <f aca="false">IF(D3811&lt;&gt;"",IFERROR(VLOOKUP(D3811,PROVEEDORES!$A:$B,2,0),"!COD NO ENCONTRADO"),"")</f>
        <v/>
      </c>
      <c r="F3811" s="88" t="str">
        <f aca="false">IF(D3811&lt;&gt;"",IFERROR(VLOOKUP(D3811,PROVEEDORES!$A:$C,3,0),""),"")</f>
        <v/>
      </c>
      <c r="G3811" s="87"/>
      <c r="H3811" s="46" t="str">
        <f aca="false">IF(G3811&lt;&gt;"",IFERROR(VLOOKUP(G3811,PRODUCTOS!$A:$B,2,0),"!COD NO ENCONTRADO"),"")</f>
        <v/>
      </c>
      <c r="I3811" s="89"/>
      <c r="J3811" s="90"/>
      <c r="K3811" s="91"/>
      <c r="L3811" s="80" t="str">
        <f aca="false">IF(AND(J3811&lt;&gt;"",K3811&lt;&gt;""),J3811*K3811,"")</f>
        <v/>
      </c>
      <c r="M3811" s="81" t="str">
        <f aca="false">IF(L3811&lt;&gt;"",L3811*1.1,"")</f>
        <v/>
      </c>
      <c r="N3811" s="47" t="n">
        <f aca="false">IF(F3811="S",L3811*0.02,0)</f>
        <v>0</v>
      </c>
      <c r="O3811" s="82" t="str">
        <f aca="false">IF(L3811&lt;&gt;"",L3811+N3811,"")</f>
        <v/>
      </c>
      <c r="P3811" s="47" t="str">
        <f aca="false">IF(O3811&lt;&gt;"",O3811*0.1,"")</f>
        <v/>
      </c>
      <c r="Q3811" s="83" t="str">
        <f aca="false">IF(O3811&lt;&gt;"",O3811+P3811,"")</f>
        <v/>
      </c>
      <c r="R3811" s="84"/>
    </row>
    <row r="3812" customFormat="false" ht="15" hidden="false" customHeight="true" outlineLevel="0" collapsed="false">
      <c r="A3812" s="103"/>
      <c r="B3812" s="73"/>
      <c r="C3812" s="74"/>
      <c r="D3812" s="75"/>
      <c r="E3812" s="52" t="str">
        <f aca="false">IF(D3812&lt;&gt;"",IFERROR(VLOOKUP(D3812,PROVEEDORES!$A:$B,2,0),"!COD NO ENCONTRADO"),"")</f>
        <v/>
      </c>
      <c r="F3812" s="76" t="str">
        <f aca="false">IF(D3812&lt;&gt;"",IFERROR(VLOOKUP(D3812,PROVEEDORES!$A:$C,3,0),""),"")</f>
        <v/>
      </c>
      <c r="G3812" s="75"/>
      <c r="H3812" s="52" t="str">
        <f aca="false">IF(G3812&lt;&gt;"",IFERROR(VLOOKUP(G3812,PRODUCTOS!$A:$B,2,0),"!COD NO ENCONTRADO"),"")</f>
        <v/>
      </c>
      <c r="I3812" s="77"/>
      <c r="J3812" s="78"/>
      <c r="K3812" s="79"/>
      <c r="L3812" s="80" t="str">
        <f aca="false">IF(AND(J3812&lt;&gt;"",K3812&lt;&gt;""),J3812*K3812,"")</f>
        <v/>
      </c>
      <c r="M3812" s="81" t="str">
        <f aca="false">IF(L3812&lt;&gt;"",L3812*1.1,"")</f>
        <v/>
      </c>
      <c r="N3812" s="53" t="n">
        <f aca="false">IF(F3812="S",L3812*0.02,0)</f>
        <v>0</v>
      </c>
      <c r="O3812" s="82" t="str">
        <f aca="false">IF(L3812&lt;&gt;"",L3812+N3812,"")</f>
        <v/>
      </c>
      <c r="P3812" s="53" t="str">
        <f aca="false">IF(O3812&lt;&gt;"",O3812*0.1,"")</f>
        <v/>
      </c>
      <c r="Q3812" s="83" t="str">
        <f aca="false">IF(O3812&lt;&gt;"",O3812+P3812,"")</f>
        <v/>
      </c>
      <c r="R3812" s="84"/>
    </row>
    <row r="3813" customFormat="false" ht="15" hidden="false" customHeight="true" outlineLevel="0" collapsed="false">
      <c r="A3813" s="103"/>
      <c r="B3813" s="85"/>
      <c r="C3813" s="86"/>
      <c r="D3813" s="87"/>
      <c r="E3813" s="46" t="str">
        <f aca="false">IF(D3813&lt;&gt;"",IFERROR(VLOOKUP(D3813,PROVEEDORES!$A:$B,2,0),"!COD NO ENCONTRADO"),"")</f>
        <v/>
      </c>
      <c r="F3813" s="88" t="str">
        <f aca="false">IF(D3813&lt;&gt;"",IFERROR(VLOOKUP(D3813,PROVEEDORES!$A:$C,3,0),""),"")</f>
        <v/>
      </c>
      <c r="G3813" s="87"/>
      <c r="H3813" s="46" t="str">
        <f aca="false">IF(G3813&lt;&gt;"",IFERROR(VLOOKUP(G3813,PRODUCTOS!$A:$B,2,0),"!COD NO ENCONTRADO"),"")</f>
        <v/>
      </c>
      <c r="I3813" s="89"/>
      <c r="J3813" s="90"/>
      <c r="K3813" s="91"/>
      <c r="L3813" s="80" t="str">
        <f aca="false">IF(AND(J3813&lt;&gt;"",K3813&lt;&gt;""),J3813*K3813,"")</f>
        <v/>
      </c>
      <c r="M3813" s="81" t="str">
        <f aca="false">IF(L3813&lt;&gt;"",L3813*1.1,"")</f>
        <v/>
      </c>
      <c r="N3813" s="47" t="n">
        <f aca="false">IF(F3813="S",L3813*0.02,0)</f>
        <v>0</v>
      </c>
      <c r="O3813" s="82" t="str">
        <f aca="false">IF(L3813&lt;&gt;"",L3813+N3813,"")</f>
        <v/>
      </c>
      <c r="P3813" s="47" t="str">
        <f aca="false">IF(O3813&lt;&gt;"",O3813*0.1,"")</f>
        <v/>
      </c>
      <c r="Q3813" s="83" t="str">
        <f aca="false">IF(O3813&lt;&gt;"",O3813+P3813,"")</f>
        <v/>
      </c>
      <c r="R3813" s="84"/>
    </row>
    <row r="3814" customFormat="false" ht="15" hidden="false" customHeight="true" outlineLevel="0" collapsed="false">
      <c r="A3814" s="103"/>
      <c r="B3814" s="73"/>
      <c r="C3814" s="74"/>
      <c r="D3814" s="75"/>
      <c r="E3814" s="52" t="str">
        <f aca="false">IF(D3814&lt;&gt;"",IFERROR(VLOOKUP(D3814,PROVEEDORES!$A:$B,2,0),"!COD NO ENCONTRADO"),"")</f>
        <v/>
      </c>
      <c r="F3814" s="76" t="str">
        <f aca="false">IF(D3814&lt;&gt;"",IFERROR(VLOOKUP(D3814,PROVEEDORES!$A:$C,3,0),""),"")</f>
        <v/>
      </c>
      <c r="G3814" s="75"/>
      <c r="H3814" s="52" t="str">
        <f aca="false">IF(G3814&lt;&gt;"",IFERROR(VLOOKUP(G3814,PRODUCTOS!$A:$B,2,0),"!COD NO ENCONTRADO"),"")</f>
        <v/>
      </c>
      <c r="I3814" s="77"/>
      <c r="J3814" s="78"/>
      <c r="K3814" s="79"/>
      <c r="L3814" s="80" t="str">
        <f aca="false">IF(AND(J3814&lt;&gt;"",K3814&lt;&gt;""),J3814*K3814,"")</f>
        <v/>
      </c>
      <c r="M3814" s="81" t="str">
        <f aca="false">IF(L3814&lt;&gt;"",L3814*1.1,"")</f>
        <v/>
      </c>
      <c r="N3814" s="53" t="n">
        <f aca="false">IF(F3814="S",L3814*0.02,0)</f>
        <v>0</v>
      </c>
      <c r="O3814" s="82" t="str">
        <f aca="false">IF(L3814&lt;&gt;"",L3814+N3814,"")</f>
        <v/>
      </c>
      <c r="P3814" s="53" t="str">
        <f aca="false">IF(O3814&lt;&gt;"",O3814*0.1,"")</f>
        <v/>
      </c>
      <c r="Q3814" s="83" t="str">
        <f aca="false">IF(O3814&lt;&gt;"",O3814+P3814,"")</f>
        <v/>
      </c>
      <c r="R3814" s="84"/>
    </row>
    <row r="3815" customFormat="false" ht="15" hidden="false" customHeight="true" outlineLevel="0" collapsed="false">
      <c r="A3815" s="103"/>
      <c r="B3815" s="85"/>
      <c r="C3815" s="86"/>
      <c r="D3815" s="87"/>
      <c r="E3815" s="46" t="str">
        <f aca="false">IF(D3815&lt;&gt;"",IFERROR(VLOOKUP(D3815,PROVEEDORES!$A:$B,2,0),"!COD NO ENCONTRADO"),"")</f>
        <v/>
      </c>
      <c r="F3815" s="88" t="str">
        <f aca="false">IF(D3815&lt;&gt;"",IFERROR(VLOOKUP(D3815,PROVEEDORES!$A:$C,3,0),""),"")</f>
        <v/>
      </c>
      <c r="G3815" s="87"/>
      <c r="H3815" s="46" t="str">
        <f aca="false">IF(G3815&lt;&gt;"",IFERROR(VLOOKUP(G3815,PRODUCTOS!$A:$B,2,0),"!COD NO ENCONTRADO"),"")</f>
        <v/>
      </c>
      <c r="I3815" s="89"/>
      <c r="J3815" s="90"/>
      <c r="K3815" s="91"/>
      <c r="L3815" s="80" t="str">
        <f aca="false">IF(AND(J3815&lt;&gt;"",K3815&lt;&gt;""),J3815*K3815,"")</f>
        <v/>
      </c>
      <c r="M3815" s="81" t="str">
        <f aca="false">IF(L3815&lt;&gt;"",L3815*1.1,"")</f>
        <v/>
      </c>
      <c r="N3815" s="47" t="n">
        <f aca="false">IF(F3815="S",L3815*0.02,0)</f>
        <v>0</v>
      </c>
      <c r="O3815" s="82" t="str">
        <f aca="false">IF(L3815&lt;&gt;"",L3815+N3815,"")</f>
        <v/>
      </c>
      <c r="P3815" s="47" t="str">
        <f aca="false">IF(O3815&lt;&gt;"",O3815*0.1,"")</f>
        <v/>
      </c>
      <c r="Q3815" s="83" t="str">
        <f aca="false">IF(O3815&lt;&gt;"",O3815+P3815,"")</f>
        <v/>
      </c>
      <c r="R3815" s="84"/>
    </row>
    <row r="3816" customFormat="false" ht="15" hidden="false" customHeight="true" outlineLevel="0" collapsed="false">
      <c r="A3816" s="103"/>
      <c r="B3816" s="73"/>
      <c r="C3816" s="74"/>
      <c r="D3816" s="75"/>
      <c r="E3816" s="52" t="str">
        <f aca="false">IF(D3816&lt;&gt;"",IFERROR(VLOOKUP(D3816,PROVEEDORES!$A:$B,2,0),"!COD NO ENCONTRADO"),"")</f>
        <v/>
      </c>
      <c r="F3816" s="76" t="str">
        <f aca="false">IF(D3816&lt;&gt;"",IFERROR(VLOOKUP(D3816,PROVEEDORES!$A:$C,3,0),""),"")</f>
        <v/>
      </c>
      <c r="G3816" s="75"/>
      <c r="H3816" s="52" t="str">
        <f aca="false">IF(G3816&lt;&gt;"",IFERROR(VLOOKUP(G3816,PRODUCTOS!$A:$B,2,0),"!COD NO ENCONTRADO"),"")</f>
        <v/>
      </c>
      <c r="I3816" s="77"/>
      <c r="J3816" s="78"/>
      <c r="K3816" s="79"/>
      <c r="L3816" s="80" t="str">
        <f aca="false">IF(AND(J3816&lt;&gt;"",K3816&lt;&gt;""),J3816*K3816,"")</f>
        <v/>
      </c>
      <c r="M3816" s="81" t="str">
        <f aca="false">IF(L3816&lt;&gt;"",L3816*1.1,"")</f>
        <v/>
      </c>
      <c r="N3816" s="53" t="n">
        <f aca="false">IF(F3816="S",L3816*0.02,0)</f>
        <v>0</v>
      </c>
      <c r="O3816" s="82" t="str">
        <f aca="false">IF(L3816&lt;&gt;"",L3816+N3816,"")</f>
        <v/>
      </c>
      <c r="P3816" s="53" t="str">
        <f aca="false">IF(O3816&lt;&gt;"",O3816*0.1,"")</f>
        <v/>
      </c>
      <c r="Q3816" s="83" t="str">
        <f aca="false">IF(O3816&lt;&gt;"",O3816+P3816,"")</f>
        <v/>
      </c>
      <c r="R3816" s="84"/>
    </row>
    <row r="3817" customFormat="false" ht="15" hidden="false" customHeight="true" outlineLevel="0" collapsed="false">
      <c r="A3817" s="103"/>
      <c r="B3817" s="85"/>
      <c r="C3817" s="86"/>
      <c r="D3817" s="87"/>
      <c r="E3817" s="46" t="str">
        <f aca="false">IF(D3817&lt;&gt;"",IFERROR(VLOOKUP(D3817,PROVEEDORES!$A:$B,2,0),"!COD NO ENCONTRADO"),"")</f>
        <v/>
      </c>
      <c r="F3817" s="88" t="str">
        <f aca="false">IF(D3817&lt;&gt;"",IFERROR(VLOOKUP(D3817,PROVEEDORES!$A:$C,3,0),""),"")</f>
        <v/>
      </c>
      <c r="G3817" s="87"/>
      <c r="H3817" s="46" t="str">
        <f aca="false">IF(G3817&lt;&gt;"",IFERROR(VLOOKUP(G3817,PRODUCTOS!$A:$B,2,0),"!COD NO ENCONTRADO"),"")</f>
        <v/>
      </c>
      <c r="I3817" s="89"/>
      <c r="J3817" s="90"/>
      <c r="K3817" s="91"/>
      <c r="L3817" s="80" t="str">
        <f aca="false">IF(AND(J3817&lt;&gt;"",K3817&lt;&gt;""),J3817*K3817,"")</f>
        <v/>
      </c>
      <c r="M3817" s="81" t="str">
        <f aca="false">IF(L3817&lt;&gt;"",L3817*1.1,"")</f>
        <v/>
      </c>
      <c r="N3817" s="47" t="n">
        <f aca="false">IF(F3817="S",L3817*0.02,0)</f>
        <v>0</v>
      </c>
      <c r="O3817" s="82" t="str">
        <f aca="false">IF(L3817&lt;&gt;"",L3817+N3817,"")</f>
        <v/>
      </c>
      <c r="P3817" s="47" t="str">
        <f aca="false">IF(O3817&lt;&gt;"",O3817*0.1,"")</f>
        <v/>
      </c>
      <c r="Q3817" s="83" t="str">
        <f aca="false">IF(O3817&lt;&gt;"",O3817+P3817,"")</f>
        <v/>
      </c>
      <c r="R3817" s="84"/>
    </row>
    <row r="3818" customFormat="false" ht="15" hidden="false" customHeight="true" outlineLevel="0" collapsed="false">
      <c r="A3818" s="103"/>
      <c r="B3818" s="73"/>
      <c r="C3818" s="74"/>
      <c r="D3818" s="75"/>
      <c r="E3818" s="52" t="str">
        <f aca="false">IF(D3818&lt;&gt;"",IFERROR(VLOOKUP(D3818,PROVEEDORES!$A:$B,2,0),"!COD NO ENCONTRADO"),"")</f>
        <v/>
      </c>
      <c r="F3818" s="76" t="str">
        <f aca="false">IF(D3818&lt;&gt;"",IFERROR(VLOOKUP(D3818,PROVEEDORES!$A:$C,3,0),""),"")</f>
        <v/>
      </c>
      <c r="G3818" s="75"/>
      <c r="H3818" s="52" t="str">
        <f aca="false">IF(G3818&lt;&gt;"",IFERROR(VLOOKUP(G3818,PRODUCTOS!$A:$B,2,0),"!COD NO ENCONTRADO"),"")</f>
        <v/>
      </c>
      <c r="I3818" s="77"/>
      <c r="J3818" s="78"/>
      <c r="K3818" s="79"/>
      <c r="L3818" s="80" t="str">
        <f aca="false">IF(AND(J3818&lt;&gt;"",K3818&lt;&gt;""),J3818*K3818,"")</f>
        <v/>
      </c>
      <c r="M3818" s="81" t="str">
        <f aca="false">IF(L3818&lt;&gt;"",L3818*1.1,"")</f>
        <v/>
      </c>
      <c r="N3818" s="53" t="n">
        <f aca="false">IF(F3818="S",L3818*0.02,0)</f>
        <v>0</v>
      </c>
      <c r="O3818" s="82" t="str">
        <f aca="false">IF(L3818&lt;&gt;"",L3818+N3818,"")</f>
        <v/>
      </c>
      <c r="P3818" s="53" t="str">
        <f aca="false">IF(O3818&lt;&gt;"",O3818*0.1,"")</f>
        <v/>
      </c>
      <c r="Q3818" s="83" t="str">
        <f aca="false">IF(O3818&lt;&gt;"",O3818+P3818,"")</f>
        <v/>
      </c>
      <c r="R3818" s="84"/>
    </row>
    <row r="3819" customFormat="false" ht="15" hidden="false" customHeight="true" outlineLevel="0" collapsed="false">
      <c r="A3819" s="103"/>
      <c r="B3819" s="85"/>
      <c r="C3819" s="86"/>
      <c r="D3819" s="87"/>
      <c r="E3819" s="46" t="str">
        <f aca="false">IF(D3819&lt;&gt;"",IFERROR(VLOOKUP(D3819,PROVEEDORES!$A:$B,2,0),"!COD NO ENCONTRADO"),"")</f>
        <v/>
      </c>
      <c r="F3819" s="88" t="str">
        <f aca="false">IF(D3819&lt;&gt;"",IFERROR(VLOOKUP(D3819,PROVEEDORES!$A:$C,3,0),""),"")</f>
        <v/>
      </c>
      <c r="G3819" s="87"/>
      <c r="H3819" s="46" t="str">
        <f aca="false">IF(G3819&lt;&gt;"",IFERROR(VLOOKUP(G3819,PRODUCTOS!$A:$B,2,0),"!COD NO ENCONTRADO"),"")</f>
        <v/>
      </c>
      <c r="I3819" s="89"/>
      <c r="J3819" s="90"/>
      <c r="K3819" s="91"/>
      <c r="L3819" s="80" t="str">
        <f aca="false">IF(AND(J3819&lt;&gt;"",K3819&lt;&gt;""),J3819*K3819,"")</f>
        <v/>
      </c>
      <c r="M3819" s="81" t="str">
        <f aca="false">IF(L3819&lt;&gt;"",L3819*1.1,"")</f>
        <v/>
      </c>
      <c r="N3819" s="47" t="n">
        <f aca="false">IF(F3819="S",L3819*0.02,0)</f>
        <v>0</v>
      </c>
      <c r="O3819" s="82" t="str">
        <f aca="false">IF(L3819&lt;&gt;"",L3819+N3819,"")</f>
        <v/>
      </c>
      <c r="P3819" s="47" t="str">
        <f aca="false">IF(O3819&lt;&gt;"",O3819*0.1,"")</f>
        <v/>
      </c>
      <c r="Q3819" s="83" t="str">
        <f aca="false">IF(O3819&lt;&gt;"",O3819+P3819,"")</f>
        <v/>
      </c>
      <c r="R3819" s="84"/>
    </row>
    <row r="3820" customFormat="false" ht="15" hidden="false" customHeight="true" outlineLevel="0" collapsed="false">
      <c r="A3820" s="103"/>
      <c r="B3820" s="73"/>
      <c r="C3820" s="74"/>
      <c r="D3820" s="75"/>
      <c r="E3820" s="52" t="str">
        <f aca="false">IF(D3820&lt;&gt;"",IFERROR(VLOOKUP(D3820,PROVEEDORES!$A:$B,2,0),"!COD NO ENCONTRADO"),"")</f>
        <v/>
      </c>
      <c r="F3820" s="76" t="str">
        <f aca="false">IF(D3820&lt;&gt;"",IFERROR(VLOOKUP(D3820,PROVEEDORES!$A:$C,3,0),""),"")</f>
        <v/>
      </c>
      <c r="G3820" s="75"/>
      <c r="H3820" s="52" t="str">
        <f aca="false">IF(G3820&lt;&gt;"",IFERROR(VLOOKUP(G3820,PRODUCTOS!$A:$B,2,0),"!COD NO ENCONTRADO"),"")</f>
        <v/>
      </c>
      <c r="I3820" s="77"/>
      <c r="J3820" s="78"/>
      <c r="K3820" s="79"/>
      <c r="L3820" s="80" t="str">
        <f aca="false">IF(AND(J3820&lt;&gt;"",K3820&lt;&gt;""),J3820*K3820,"")</f>
        <v/>
      </c>
      <c r="M3820" s="81" t="str">
        <f aca="false">IF(L3820&lt;&gt;"",L3820*1.1,"")</f>
        <v/>
      </c>
      <c r="N3820" s="53" t="n">
        <f aca="false">IF(F3820="S",L3820*0.02,0)</f>
        <v>0</v>
      </c>
      <c r="O3820" s="82" t="str">
        <f aca="false">IF(L3820&lt;&gt;"",L3820+N3820,"")</f>
        <v/>
      </c>
      <c r="P3820" s="53" t="str">
        <f aca="false">IF(O3820&lt;&gt;"",O3820*0.1,"")</f>
        <v/>
      </c>
      <c r="Q3820" s="83" t="str">
        <f aca="false">IF(O3820&lt;&gt;"",O3820+P3820,"")</f>
        <v/>
      </c>
      <c r="R3820" s="84"/>
    </row>
    <row r="3821" customFormat="false" ht="15" hidden="false" customHeight="true" outlineLevel="0" collapsed="false">
      <c r="A3821" s="103"/>
      <c r="B3821" s="85"/>
      <c r="C3821" s="86"/>
      <c r="D3821" s="87"/>
      <c r="E3821" s="46" t="str">
        <f aca="false">IF(D3821&lt;&gt;"",IFERROR(VLOOKUP(D3821,PROVEEDORES!$A:$B,2,0),"!COD NO ENCONTRADO"),"")</f>
        <v/>
      </c>
      <c r="F3821" s="88" t="str">
        <f aca="false">IF(D3821&lt;&gt;"",IFERROR(VLOOKUP(D3821,PROVEEDORES!$A:$C,3,0),""),"")</f>
        <v/>
      </c>
      <c r="G3821" s="87"/>
      <c r="H3821" s="46" t="str">
        <f aca="false">IF(G3821&lt;&gt;"",IFERROR(VLOOKUP(G3821,PRODUCTOS!$A:$B,2,0),"!COD NO ENCONTRADO"),"")</f>
        <v/>
      </c>
      <c r="I3821" s="89"/>
      <c r="J3821" s="90"/>
      <c r="K3821" s="91"/>
      <c r="L3821" s="80" t="str">
        <f aca="false">IF(AND(J3821&lt;&gt;"",K3821&lt;&gt;""),J3821*K3821,"")</f>
        <v/>
      </c>
      <c r="M3821" s="81" t="str">
        <f aca="false">IF(L3821&lt;&gt;"",L3821*1.1,"")</f>
        <v/>
      </c>
      <c r="N3821" s="47" t="n">
        <f aca="false">IF(F3821="S",L3821*0.02,0)</f>
        <v>0</v>
      </c>
      <c r="O3821" s="82" t="str">
        <f aca="false">IF(L3821&lt;&gt;"",L3821+N3821,"")</f>
        <v/>
      </c>
      <c r="P3821" s="47" t="str">
        <f aca="false">IF(O3821&lt;&gt;"",O3821*0.1,"")</f>
        <v/>
      </c>
      <c r="Q3821" s="83" t="str">
        <f aca="false">IF(O3821&lt;&gt;"",O3821+P3821,"")</f>
        <v/>
      </c>
      <c r="R3821" s="84"/>
    </row>
    <row r="3822" customFormat="false" ht="15" hidden="false" customHeight="true" outlineLevel="0" collapsed="false">
      <c r="A3822" s="103"/>
      <c r="B3822" s="73"/>
      <c r="C3822" s="74"/>
      <c r="D3822" s="75"/>
      <c r="E3822" s="52" t="str">
        <f aca="false">IF(D3822&lt;&gt;"",IFERROR(VLOOKUP(D3822,PROVEEDORES!$A:$B,2,0),"!COD NO ENCONTRADO"),"")</f>
        <v/>
      </c>
      <c r="F3822" s="76" t="str">
        <f aca="false">IF(D3822&lt;&gt;"",IFERROR(VLOOKUP(D3822,PROVEEDORES!$A:$C,3,0),""),"")</f>
        <v/>
      </c>
      <c r="G3822" s="75"/>
      <c r="H3822" s="52" t="str">
        <f aca="false">IF(G3822&lt;&gt;"",IFERROR(VLOOKUP(G3822,PRODUCTOS!$A:$B,2,0),"!COD NO ENCONTRADO"),"")</f>
        <v/>
      </c>
      <c r="I3822" s="77"/>
      <c r="J3822" s="78"/>
      <c r="K3822" s="79"/>
      <c r="L3822" s="80" t="str">
        <f aca="false">IF(AND(J3822&lt;&gt;"",K3822&lt;&gt;""),J3822*K3822,"")</f>
        <v/>
      </c>
      <c r="M3822" s="81" t="str">
        <f aca="false">IF(L3822&lt;&gt;"",L3822*1.1,"")</f>
        <v/>
      </c>
      <c r="N3822" s="53" t="n">
        <f aca="false">IF(F3822="S",L3822*0.02,0)</f>
        <v>0</v>
      </c>
      <c r="O3822" s="82" t="str">
        <f aca="false">IF(L3822&lt;&gt;"",L3822+N3822,"")</f>
        <v/>
      </c>
      <c r="P3822" s="53" t="str">
        <f aca="false">IF(O3822&lt;&gt;"",O3822*0.1,"")</f>
        <v/>
      </c>
      <c r="Q3822" s="83" t="str">
        <f aca="false">IF(O3822&lt;&gt;"",O3822+P3822,"")</f>
        <v/>
      </c>
      <c r="R3822" s="84"/>
    </row>
    <row r="3823" customFormat="false" ht="15" hidden="false" customHeight="true" outlineLevel="0" collapsed="false">
      <c r="A3823" s="103"/>
      <c r="B3823" s="85"/>
      <c r="C3823" s="86"/>
      <c r="D3823" s="87"/>
      <c r="E3823" s="46" t="str">
        <f aca="false">IF(D3823&lt;&gt;"",IFERROR(VLOOKUP(D3823,PROVEEDORES!$A:$B,2,0),"!COD NO ENCONTRADO"),"")</f>
        <v/>
      </c>
      <c r="F3823" s="88" t="str">
        <f aca="false">IF(D3823&lt;&gt;"",IFERROR(VLOOKUP(D3823,PROVEEDORES!$A:$C,3,0),""),"")</f>
        <v/>
      </c>
      <c r="G3823" s="87"/>
      <c r="H3823" s="46" t="str">
        <f aca="false">IF(G3823&lt;&gt;"",IFERROR(VLOOKUP(G3823,PRODUCTOS!$A:$B,2,0),"!COD NO ENCONTRADO"),"")</f>
        <v/>
      </c>
      <c r="I3823" s="89"/>
      <c r="J3823" s="90"/>
      <c r="K3823" s="91"/>
      <c r="L3823" s="80" t="str">
        <f aca="false">IF(AND(J3823&lt;&gt;"",K3823&lt;&gt;""),J3823*K3823,"")</f>
        <v/>
      </c>
      <c r="M3823" s="81" t="str">
        <f aca="false">IF(L3823&lt;&gt;"",L3823*1.1,"")</f>
        <v/>
      </c>
      <c r="N3823" s="47" t="n">
        <f aca="false">IF(F3823="S",L3823*0.02,0)</f>
        <v>0</v>
      </c>
      <c r="O3823" s="82" t="str">
        <f aca="false">IF(L3823&lt;&gt;"",L3823+N3823,"")</f>
        <v/>
      </c>
      <c r="P3823" s="47" t="str">
        <f aca="false">IF(O3823&lt;&gt;"",O3823*0.1,"")</f>
        <v/>
      </c>
      <c r="Q3823" s="83" t="str">
        <f aca="false">IF(O3823&lt;&gt;"",O3823+P3823,"")</f>
        <v/>
      </c>
      <c r="R3823" s="84"/>
    </row>
    <row r="3824" customFormat="false" ht="15" hidden="false" customHeight="true" outlineLevel="0" collapsed="false">
      <c r="A3824" s="103"/>
      <c r="B3824" s="73"/>
      <c r="C3824" s="74"/>
      <c r="D3824" s="75"/>
      <c r="E3824" s="52" t="str">
        <f aca="false">IF(D3824&lt;&gt;"",IFERROR(VLOOKUP(D3824,PROVEEDORES!$A:$B,2,0),"!COD NO ENCONTRADO"),"")</f>
        <v/>
      </c>
      <c r="F3824" s="76" t="str">
        <f aca="false">IF(D3824&lt;&gt;"",IFERROR(VLOOKUP(D3824,PROVEEDORES!$A:$C,3,0),""),"")</f>
        <v/>
      </c>
      <c r="G3824" s="75"/>
      <c r="H3824" s="52" t="str">
        <f aca="false">IF(G3824&lt;&gt;"",IFERROR(VLOOKUP(G3824,PRODUCTOS!$A:$B,2,0),"!COD NO ENCONTRADO"),"")</f>
        <v/>
      </c>
      <c r="I3824" s="77"/>
      <c r="J3824" s="78"/>
      <c r="K3824" s="79"/>
      <c r="L3824" s="80" t="str">
        <f aca="false">IF(AND(J3824&lt;&gt;"",K3824&lt;&gt;""),J3824*K3824,"")</f>
        <v/>
      </c>
      <c r="M3824" s="81" t="str">
        <f aca="false">IF(L3824&lt;&gt;"",L3824*1.1,"")</f>
        <v/>
      </c>
      <c r="N3824" s="53" t="n">
        <f aca="false">IF(F3824="S",L3824*0.02,0)</f>
        <v>0</v>
      </c>
      <c r="O3824" s="82" t="str">
        <f aca="false">IF(L3824&lt;&gt;"",L3824+N3824,"")</f>
        <v/>
      </c>
      <c r="P3824" s="53" t="str">
        <f aca="false">IF(O3824&lt;&gt;"",O3824*0.1,"")</f>
        <v/>
      </c>
      <c r="Q3824" s="83" t="str">
        <f aca="false">IF(O3824&lt;&gt;"",O3824+P3824,"")</f>
        <v/>
      </c>
      <c r="R3824" s="84"/>
    </row>
    <row r="3825" customFormat="false" ht="15" hidden="false" customHeight="true" outlineLevel="0" collapsed="false">
      <c r="A3825" s="103"/>
      <c r="B3825" s="85"/>
      <c r="C3825" s="86"/>
      <c r="D3825" s="87"/>
      <c r="E3825" s="46" t="str">
        <f aca="false">IF(D3825&lt;&gt;"",IFERROR(VLOOKUP(D3825,PROVEEDORES!$A:$B,2,0),"!COD NO ENCONTRADO"),"")</f>
        <v/>
      </c>
      <c r="F3825" s="88" t="str">
        <f aca="false">IF(D3825&lt;&gt;"",IFERROR(VLOOKUP(D3825,PROVEEDORES!$A:$C,3,0),""),"")</f>
        <v/>
      </c>
      <c r="G3825" s="87"/>
      <c r="H3825" s="46" t="str">
        <f aca="false">IF(G3825&lt;&gt;"",IFERROR(VLOOKUP(G3825,PRODUCTOS!$A:$B,2,0),"!COD NO ENCONTRADO"),"")</f>
        <v/>
      </c>
      <c r="I3825" s="89"/>
      <c r="J3825" s="90"/>
      <c r="K3825" s="91"/>
      <c r="L3825" s="80" t="str">
        <f aca="false">IF(AND(J3825&lt;&gt;"",K3825&lt;&gt;""),J3825*K3825,"")</f>
        <v/>
      </c>
      <c r="M3825" s="81" t="str">
        <f aca="false">IF(L3825&lt;&gt;"",L3825*1.1,"")</f>
        <v/>
      </c>
      <c r="N3825" s="47" t="n">
        <f aca="false">IF(F3825="S",L3825*0.02,0)</f>
        <v>0</v>
      </c>
      <c r="O3825" s="82" t="str">
        <f aca="false">IF(L3825&lt;&gt;"",L3825+N3825,"")</f>
        <v/>
      </c>
      <c r="P3825" s="47" t="str">
        <f aca="false">IF(O3825&lt;&gt;"",O3825*0.1,"")</f>
        <v/>
      </c>
      <c r="Q3825" s="83" t="str">
        <f aca="false">IF(O3825&lt;&gt;"",O3825+P3825,"")</f>
        <v/>
      </c>
      <c r="R3825" s="84"/>
    </row>
    <row r="3826" customFormat="false" ht="15" hidden="false" customHeight="true" outlineLevel="0" collapsed="false">
      <c r="A3826" s="103"/>
      <c r="B3826" s="73"/>
      <c r="C3826" s="74"/>
      <c r="D3826" s="75"/>
      <c r="E3826" s="52" t="str">
        <f aca="false">IF(D3826&lt;&gt;"",IFERROR(VLOOKUP(D3826,PROVEEDORES!$A:$B,2,0),"!COD NO ENCONTRADO"),"")</f>
        <v/>
      </c>
      <c r="F3826" s="76" t="str">
        <f aca="false">IF(D3826&lt;&gt;"",IFERROR(VLOOKUP(D3826,PROVEEDORES!$A:$C,3,0),""),"")</f>
        <v/>
      </c>
      <c r="G3826" s="75"/>
      <c r="H3826" s="52" t="str">
        <f aca="false">IF(G3826&lt;&gt;"",IFERROR(VLOOKUP(G3826,PRODUCTOS!$A:$B,2,0),"!COD NO ENCONTRADO"),"")</f>
        <v/>
      </c>
      <c r="I3826" s="77"/>
      <c r="J3826" s="78"/>
      <c r="K3826" s="79"/>
      <c r="L3826" s="80" t="str">
        <f aca="false">IF(AND(J3826&lt;&gt;"",K3826&lt;&gt;""),J3826*K3826,"")</f>
        <v/>
      </c>
      <c r="M3826" s="81" t="str">
        <f aca="false">IF(L3826&lt;&gt;"",L3826*1.1,"")</f>
        <v/>
      </c>
      <c r="N3826" s="53" t="n">
        <f aca="false">IF(F3826="S",L3826*0.02,0)</f>
        <v>0</v>
      </c>
      <c r="O3826" s="82" t="str">
        <f aca="false">IF(L3826&lt;&gt;"",L3826+N3826,"")</f>
        <v/>
      </c>
      <c r="P3826" s="53" t="str">
        <f aca="false">IF(O3826&lt;&gt;"",O3826*0.1,"")</f>
        <v/>
      </c>
      <c r="Q3826" s="83" t="str">
        <f aca="false">IF(O3826&lt;&gt;"",O3826+P3826,"")</f>
        <v/>
      </c>
      <c r="R3826" s="84"/>
    </row>
    <row r="3827" customFormat="false" ht="15" hidden="false" customHeight="true" outlineLevel="0" collapsed="false">
      <c r="A3827" s="103"/>
      <c r="B3827" s="85"/>
      <c r="C3827" s="86"/>
      <c r="D3827" s="87"/>
      <c r="E3827" s="46" t="str">
        <f aca="false">IF(D3827&lt;&gt;"",IFERROR(VLOOKUP(D3827,PROVEEDORES!$A:$B,2,0),"!COD NO ENCONTRADO"),"")</f>
        <v/>
      </c>
      <c r="F3827" s="88" t="str">
        <f aca="false">IF(D3827&lt;&gt;"",IFERROR(VLOOKUP(D3827,PROVEEDORES!$A:$C,3,0),""),"")</f>
        <v/>
      </c>
      <c r="G3827" s="87"/>
      <c r="H3827" s="46" t="str">
        <f aca="false">IF(G3827&lt;&gt;"",IFERROR(VLOOKUP(G3827,PRODUCTOS!$A:$B,2,0),"!COD NO ENCONTRADO"),"")</f>
        <v/>
      </c>
      <c r="I3827" s="89"/>
      <c r="J3827" s="90"/>
      <c r="K3827" s="91"/>
      <c r="L3827" s="80" t="str">
        <f aca="false">IF(AND(J3827&lt;&gt;"",K3827&lt;&gt;""),J3827*K3827,"")</f>
        <v/>
      </c>
      <c r="M3827" s="81" t="str">
        <f aca="false">IF(L3827&lt;&gt;"",L3827*1.1,"")</f>
        <v/>
      </c>
      <c r="N3827" s="47" t="n">
        <f aca="false">IF(F3827="S",L3827*0.02,0)</f>
        <v>0</v>
      </c>
      <c r="O3827" s="82" t="str">
        <f aca="false">IF(L3827&lt;&gt;"",L3827+N3827,"")</f>
        <v/>
      </c>
      <c r="P3827" s="47" t="str">
        <f aca="false">IF(O3827&lt;&gt;"",O3827*0.1,"")</f>
        <v/>
      </c>
      <c r="Q3827" s="83" t="str">
        <f aca="false">IF(O3827&lt;&gt;"",O3827+P3827,"")</f>
        <v/>
      </c>
      <c r="R3827" s="84"/>
    </row>
    <row r="3828" customFormat="false" ht="15" hidden="false" customHeight="true" outlineLevel="0" collapsed="false">
      <c r="A3828" s="103"/>
      <c r="B3828" s="73"/>
      <c r="C3828" s="74"/>
      <c r="D3828" s="75"/>
      <c r="E3828" s="52" t="str">
        <f aca="false">IF(D3828&lt;&gt;"",IFERROR(VLOOKUP(D3828,PROVEEDORES!$A:$B,2,0),"!COD NO ENCONTRADO"),"")</f>
        <v/>
      </c>
      <c r="F3828" s="76" t="str">
        <f aca="false">IF(D3828&lt;&gt;"",IFERROR(VLOOKUP(D3828,PROVEEDORES!$A:$C,3,0),""),"")</f>
        <v/>
      </c>
      <c r="G3828" s="75"/>
      <c r="H3828" s="52" t="str">
        <f aca="false">IF(G3828&lt;&gt;"",IFERROR(VLOOKUP(G3828,PRODUCTOS!$A:$B,2,0),"!COD NO ENCONTRADO"),"")</f>
        <v/>
      </c>
      <c r="I3828" s="77"/>
      <c r="J3828" s="78"/>
      <c r="K3828" s="79"/>
      <c r="L3828" s="80" t="str">
        <f aca="false">IF(AND(J3828&lt;&gt;"",K3828&lt;&gt;""),J3828*K3828,"")</f>
        <v/>
      </c>
      <c r="M3828" s="81" t="str">
        <f aca="false">IF(L3828&lt;&gt;"",L3828*1.1,"")</f>
        <v/>
      </c>
      <c r="N3828" s="53" t="n">
        <f aca="false">IF(F3828="S",L3828*0.02,0)</f>
        <v>0</v>
      </c>
      <c r="O3828" s="82" t="str">
        <f aca="false">IF(L3828&lt;&gt;"",L3828+N3828,"")</f>
        <v/>
      </c>
      <c r="P3828" s="53" t="str">
        <f aca="false">IF(O3828&lt;&gt;"",O3828*0.1,"")</f>
        <v/>
      </c>
      <c r="Q3828" s="83" t="str">
        <f aca="false">IF(O3828&lt;&gt;"",O3828+P3828,"")</f>
        <v/>
      </c>
      <c r="R3828" s="84"/>
    </row>
    <row r="3829" customFormat="false" ht="15" hidden="false" customHeight="true" outlineLevel="0" collapsed="false">
      <c r="A3829" s="103"/>
      <c r="B3829" s="85"/>
      <c r="C3829" s="86"/>
      <c r="D3829" s="87"/>
      <c r="E3829" s="46" t="str">
        <f aca="false">IF(D3829&lt;&gt;"",IFERROR(VLOOKUP(D3829,PROVEEDORES!$A:$B,2,0),"!COD NO ENCONTRADO"),"")</f>
        <v/>
      </c>
      <c r="F3829" s="88" t="str">
        <f aca="false">IF(D3829&lt;&gt;"",IFERROR(VLOOKUP(D3829,PROVEEDORES!$A:$C,3,0),""),"")</f>
        <v/>
      </c>
      <c r="G3829" s="87"/>
      <c r="H3829" s="46" t="str">
        <f aca="false">IF(G3829&lt;&gt;"",IFERROR(VLOOKUP(G3829,PRODUCTOS!$A:$B,2,0),"!COD NO ENCONTRADO"),"")</f>
        <v/>
      </c>
      <c r="I3829" s="89"/>
      <c r="J3829" s="90"/>
      <c r="K3829" s="91"/>
      <c r="L3829" s="80" t="str">
        <f aca="false">IF(AND(J3829&lt;&gt;"",K3829&lt;&gt;""),J3829*K3829,"")</f>
        <v/>
      </c>
      <c r="M3829" s="81" t="str">
        <f aca="false">IF(L3829&lt;&gt;"",L3829*1.1,"")</f>
        <v/>
      </c>
      <c r="N3829" s="47" t="n">
        <f aca="false">IF(F3829="S",L3829*0.02,0)</f>
        <v>0</v>
      </c>
      <c r="O3829" s="82" t="str">
        <f aca="false">IF(L3829&lt;&gt;"",L3829+N3829,"")</f>
        <v/>
      </c>
      <c r="P3829" s="47" t="str">
        <f aca="false">IF(O3829&lt;&gt;"",O3829*0.1,"")</f>
        <v/>
      </c>
      <c r="Q3829" s="83" t="str">
        <f aca="false">IF(O3829&lt;&gt;"",O3829+P3829,"")</f>
        <v/>
      </c>
      <c r="R3829" s="84"/>
    </row>
    <row r="3830" customFormat="false" ht="15" hidden="false" customHeight="true" outlineLevel="0" collapsed="false">
      <c r="A3830" s="103"/>
      <c r="B3830" s="73"/>
      <c r="C3830" s="74"/>
      <c r="D3830" s="75"/>
      <c r="E3830" s="52" t="str">
        <f aca="false">IF(D3830&lt;&gt;"",IFERROR(VLOOKUP(D3830,PROVEEDORES!$A:$B,2,0),"!COD NO ENCONTRADO"),"")</f>
        <v/>
      </c>
      <c r="F3830" s="76" t="str">
        <f aca="false">IF(D3830&lt;&gt;"",IFERROR(VLOOKUP(D3830,PROVEEDORES!$A:$C,3,0),""),"")</f>
        <v/>
      </c>
      <c r="G3830" s="75"/>
      <c r="H3830" s="52" t="str">
        <f aca="false">IF(G3830&lt;&gt;"",IFERROR(VLOOKUP(G3830,PRODUCTOS!$A:$B,2,0),"!COD NO ENCONTRADO"),"")</f>
        <v/>
      </c>
      <c r="I3830" s="77"/>
      <c r="J3830" s="78"/>
      <c r="K3830" s="79"/>
      <c r="L3830" s="80" t="str">
        <f aca="false">IF(AND(J3830&lt;&gt;"",K3830&lt;&gt;""),J3830*K3830,"")</f>
        <v/>
      </c>
      <c r="M3830" s="81" t="str">
        <f aca="false">IF(L3830&lt;&gt;"",L3830*1.1,"")</f>
        <v/>
      </c>
      <c r="N3830" s="53" t="n">
        <f aca="false">IF(F3830="S",L3830*0.02,0)</f>
        <v>0</v>
      </c>
      <c r="O3830" s="82" t="str">
        <f aca="false">IF(L3830&lt;&gt;"",L3830+N3830,"")</f>
        <v/>
      </c>
      <c r="P3830" s="53" t="str">
        <f aca="false">IF(O3830&lt;&gt;"",O3830*0.1,"")</f>
        <v/>
      </c>
      <c r="Q3830" s="83" t="str">
        <f aca="false">IF(O3830&lt;&gt;"",O3830+P3830,"")</f>
        <v/>
      </c>
      <c r="R3830" s="84"/>
    </row>
    <row r="3831" customFormat="false" ht="15" hidden="false" customHeight="true" outlineLevel="0" collapsed="false">
      <c r="A3831" s="103"/>
      <c r="B3831" s="85"/>
      <c r="C3831" s="86"/>
      <c r="D3831" s="87"/>
      <c r="E3831" s="46" t="str">
        <f aca="false">IF(D3831&lt;&gt;"",IFERROR(VLOOKUP(D3831,PROVEEDORES!$A:$B,2,0),"!COD NO ENCONTRADO"),"")</f>
        <v/>
      </c>
      <c r="F3831" s="88" t="str">
        <f aca="false">IF(D3831&lt;&gt;"",IFERROR(VLOOKUP(D3831,PROVEEDORES!$A:$C,3,0),""),"")</f>
        <v/>
      </c>
      <c r="G3831" s="87"/>
      <c r="H3831" s="46" t="str">
        <f aca="false">IF(G3831&lt;&gt;"",IFERROR(VLOOKUP(G3831,PRODUCTOS!$A:$B,2,0),"!COD NO ENCONTRADO"),"")</f>
        <v/>
      </c>
      <c r="I3831" s="89"/>
      <c r="J3831" s="90"/>
      <c r="K3831" s="91"/>
      <c r="L3831" s="80" t="str">
        <f aca="false">IF(AND(J3831&lt;&gt;"",K3831&lt;&gt;""),J3831*K3831,"")</f>
        <v/>
      </c>
      <c r="M3831" s="81" t="str">
        <f aca="false">IF(L3831&lt;&gt;"",L3831*1.1,"")</f>
        <v/>
      </c>
      <c r="N3831" s="47" t="n">
        <f aca="false">IF(F3831="S",L3831*0.02,0)</f>
        <v>0</v>
      </c>
      <c r="O3831" s="82" t="str">
        <f aca="false">IF(L3831&lt;&gt;"",L3831+N3831,"")</f>
        <v/>
      </c>
      <c r="P3831" s="47" t="str">
        <f aca="false">IF(O3831&lt;&gt;"",O3831*0.1,"")</f>
        <v/>
      </c>
      <c r="Q3831" s="83" t="str">
        <f aca="false">IF(O3831&lt;&gt;"",O3831+P3831,"")</f>
        <v/>
      </c>
      <c r="R3831" s="84"/>
    </row>
    <row r="3832" customFormat="false" ht="15" hidden="false" customHeight="true" outlineLevel="0" collapsed="false">
      <c r="A3832" s="103"/>
      <c r="B3832" s="73"/>
      <c r="C3832" s="74"/>
      <c r="D3832" s="75"/>
      <c r="E3832" s="52" t="str">
        <f aca="false">IF(D3832&lt;&gt;"",IFERROR(VLOOKUP(D3832,PROVEEDORES!$A:$B,2,0),"!COD NO ENCONTRADO"),"")</f>
        <v/>
      </c>
      <c r="F3832" s="76" t="str">
        <f aca="false">IF(D3832&lt;&gt;"",IFERROR(VLOOKUP(D3832,PROVEEDORES!$A:$C,3,0),""),"")</f>
        <v/>
      </c>
      <c r="G3832" s="75"/>
      <c r="H3832" s="52" t="str">
        <f aca="false">IF(G3832&lt;&gt;"",IFERROR(VLOOKUP(G3832,PRODUCTOS!$A:$B,2,0),"!COD NO ENCONTRADO"),"")</f>
        <v/>
      </c>
      <c r="I3832" s="77"/>
      <c r="J3832" s="78"/>
      <c r="K3832" s="79"/>
      <c r="L3832" s="80" t="str">
        <f aca="false">IF(AND(J3832&lt;&gt;"",K3832&lt;&gt;""),J3832*K3832,"")</f>
        <v/>
      </c>
      <c r="M3832" s="81" t="str">
        <f aca="false">IF(L3832&lt;&gt;"",L3832*1.1,"")</f>
        <v/>
      </c>
      <c r="N3832" s="53" t="n">
        <f aca="false">IF(F3832="S",L3832*0.02,0)</f>
        <v>0</v>
      </c>
      <c r="O3832" s="82" t="str">
        <f aca="false">IF(L3832&lt;&gt;"",L3832+N3832,"")</f>
        <v/>
      </c>
      <c r="P3832" s="53" t="str">
        <f aca="false">IF(O3832&lt;&gt;"",O3832*0.1,"")</f>
        <v/>
      </c>
      <c r="Q3832" s="83" t="str">
        <f aca="false">IF(O3832&lt;&gt;"",O3832+P3832,"")</f>
        <v/>
      </c>
      <c r="R3832" s="84"/>
    </row>
    <row r="3833" customFormat="false" ht="15" hidden="false" customHeight="true" outlineLevel="0" collapsed="false">
      <c r="A3833" s="103"/>
      <c r="B3833" s="85"/>
      <c r="C3833" s="86"/>
      <c r="D3833" s="87"/>
      <c r="E3833" s="46" t="str">
        <f aca="false">IF(D3833&lt;&gt;"",IFERROR(VLOOKUP(D3833,PROVEEDORES!$A:$B,2,0),"!COD NO ENCONTRADO"),"")</f>
        <v/>
      </c>
      <c r="F3833" s="88" t="str">
        <f aca="false">IF(D3833&lt;&gt;"",IFERROR(VLOOKUP(D3833,PROVEEDORES!$A:$C,3,0),""),"")</f>
        <v/>
      </c>
      <c r="G3833" s="87"/>
      <c r="H3833" s="46" t="str">
        <f aca="false">IF(G3833&lt;&gt;"",IFERROR(VLOOKUP(G3833,PRODUCTOS!$A:$B,2,0),"!COD NO ENCONTRADO"),"")</f>
        <v/>
      </c>
      <c r="I3833" s="89"/>
      <c r="J3833" s="90"/>
      <c r="K3833" s="91"/>
      <c r="L3833" s="80" t="str">
        <f aca="false">IF(AND(J3833&lt;&gt;"",K3833&lt;&gt;""),J3833*K3833,"")</f>
        <v/>
      </c>
      <c r="M3833" s="81" t="str">
        <f aca="false">IF(L3833&lt;&gt;"",L3833*1.1,"")</f>
        <v/>
      </c>
      <c r="N3833" s="47" t="n">
        <f aca="false">IF(F3833="S",L3833*0.02,0)</f>
        <v>0</v>
      </c>
      <c r="O3833" s="82" t="str">
        <f aca="false">IF(L3833&lt;&gt;"",L3833+N3833,"")</f>
        <v/>
      </c>
      <c r="P3833" s="47" t="str">
        <f aca="false">IF(O3833&lt;&gt;"",O3833*0.1,"")</f>
        <v/>
      </c>
      <c r="Q3833" s="83" t="str">
        <f aca="false">IF(O3833&lt;&gt;"",O3833+P3833,"")</f>
        <v/>
      </c>
      <c r="R3833" s="84"/>
    </row>
    <row r="3834" customFormat="false" ht="15" hidden="false" customHeight="true" outlineLevel="0" collapsed="false">
      <c r="A3834" s="103"/>
      <c r="B3834" s="73"/>
      <c r="C3834" s="74"/>
      <c r="D3834" s="75"/>
      <c r="E3834" s="52" t="str">
        <f aca="false">IF(D3834&lt;&gt;"",IFERROR(VLOOKUP(D3834,PROVEEDORES!$A:$B,2,0),"!COD NO ENCONTRADO"),"")</f>
        <v/>
      </c>
      <c r="F3834" s="76" t="str">
        <f aca="false">IF(D3834&lt;&gt;"",IFERROR(VLOOKUP(D3834,PROVEEDORES!$A:$C,3,0),""),"")</f>
        <v/>
      </c>
      <c r="G3834" s="75"/>
      <c r="H3834" s="52" t="str">
        <f aca="false">IF(G3834&lt;&gt;"",IFERROR(VLOOKUP(G3834,PRODUCTOS!$A:$B,2,0),"!COD NO ENCONTRADO"),"")</f>
        <v/>
      </c>
      <c r="I3834" s="77"/>
      <c r="J3834" s="78"/>
      <c r="K3834" s="79"/>
      <c r="L3834" s="80" t="str">
        <f aca="false">IF(AND(J3834&lt;&gt;"",K3834&lt;&gt;""),J3834*K3834,"")</f>
        <v/>
      </c>
      <c r="M3834" s="81" t="str">
        <f aca="false">IF(L3834&lt;&gt;"",L3834*1.1,"")</f>
        <v/>
      </c>
      <c r="N3834" s="53" t="n">
        <f aca="false">IF(F3834="S",L3834*0.02,0)</f>
        <v>0</v>
      </c>
      <c r="O3834" s="82" t="str">
        <f aca="false">IF(L3834&lt;&gt;"",L3834+N3834,"")</f>
        <v/>
      </c>
      <c r="P3834" s="53" t="str">
        <f aca="false">IF(O3834&lt;&gt;"",O3834*0.1,"")</f>
        <v/>
      </c>
      <c r="Q3834" s="83" t="str">
        <f aca="false">IF(O3834&lt;&gt;"",O3834+P3834,"")</f>
        <v/>
      </c>
      <c r="R3834" s="84"/>
    </row>
    <row r="3835" customFormat="false" ht="15" hidden="false" customHeight="true" outlineLevel="0" collapsed="false">
      <c r="A3835" s="103"/>
      <c r="B3835" s="85"/>
      <c r="C3835" s="86"/>
      <c r="D3835" s="87"/>
      <c r="E3835" s="46" t="str">
        <f aca="false">IF(D3835&lt;&gt;"",IFERROR(VLOOKUP(D3835,PROVEEDORES!$A:$B,2,0),"!COD NO ENCONTRADO"),"")</f>
        <v/>
      </c>
      <c r="F3835" s="88" t="str">
        <f aca="false">IF(D3835&lt;&gt;"",IFERROR(VLOOKUP(D3835,PROVEEDORES!$A:$C,3,0),""),"")</f>
        <v/>
      </c>
      <c r="G3835" s="87"/>
      <c r="H3835" s="46" t="str">
        <f aca="false">IF(G3835&lt;&gt;"",IFERROR(VLOOKUP(G3835,PRODUCTOS!$A:$B,2,0),"!COD NO ENCONTRADO"),"")</f>
        <v/>
      </c>
      <c r="I3835" s="89"/>
      <c r="J3835" s="90"/>
      <c r="K3835" s="91"/>
      <c r="L3835" s="80" t="str">
        <f aca="false">IF(AND(J3835&lt;&gt;"",K3835&lt;&gt;""),J3835*K3835,"")</f>
        <v/>
      </c>
      <c r="M3835" s="81" t="str">
        <f aca="false">IF(L3835&lt;&gt;"",L3835*1.1,"")</f>
        <v/>
      </c>
      <c r="N3835" s="47" t="n">
        <f aca="false">IF(F3835="S",L3835*0.02,0)</f>
        <v>0</v>
      </c>
      <c r="O3835" s="82" t="str">
        <f aca="false">IF(L3835&lt;&gt;"",L3835+N3835,"")</f>
        <v/>
      </c>
      <c r="P3835" s="47" t="str">
        <f aca="false">IF(O3835&lt;&gt;"",O3835*0.1,"")</f>
        <v/>
      </c>
      <c r="Q3835" s="83" t="str">
        <f aca="false">IF(O3835&lt;&gt;"",O3835+P3835,"")</f>
        <v/>
      </c>
      <c r="R3835" s="84"/>
    </row>
    <row r="3836" customFormat="false" ht="15" hidden="false" customHeight="true" outlineLevel="0" collapsed="false">
      <c r="A3836" s="103"/>
      <c r="B3836" s="73"/>
      <c r="C3836" s="74"/>
      <c r="D3836" s="75"/>
      <c r="E3836" s="52" t="str">
        <f aca="false">IF(D3836&lt;&gt;"",IFERROR(VLOOKUP(D3836,PROVEEDORES!$A:$B,2,0),"!COD NO ENCONTRADO"),"")</f>
        <v/>
      </c>
      <c r="F3836" s="76" t="str">
        <f aca="false">IF(D3836&lt;&gt;"",IFERROR(VLOOKUP(D3836,PROVEEDORES!$A:$C,3,0),""),"")</f>
        <v/>
      </c>
      <c r="G3836" s="75"/>
      <c r="H3836" s="52" t="str">
        <f aca="false">IF(G3836&lt;&gt;"",IFERROR(VLOOKUP(G3836,PRODUCTOS!$A:$B,2,0),"!COD NO ENCONTRADO"),"")</f>
        <v/>
      </c>
      <c r="I3836" s="77"/>
      <c r="J3836" s="78"/>
      <c r="K3836" s="79"/>
      <c r="L3836" s="80" t="str">
        <f aca="false">IF(AND(J3836&lt;&gt;"",K3836&lt;&gt;""),J3836*K3836,"")</f>
        <v/>
      </c>
      <c r="M3836" s="81" t="str">
        <f aca="false">IF(L3836&lt;&gt;"",L3836*1.1,"")</f>
        <v/>
      </c>
      <c r="N3836" s="53" t="n">
        <f aca="false">IF(F3836="S",L3836*0.02,0)</f>
        <v>0</v>
      </c>
      <c r="O3836" s="82" t="str">
        <f aca="false">IF(L3836&lt;&gt;"",L3836+N3836,"")</f>
        <v/>
      </c>
      <c r="P3836" s="53" t="str">
        <f aca="false">IF(O3836&lt;&gt;"",O3836*0.1,"")</f>
        <v/>
      </c>
      <c r="Q3836" s="83" t="str">
        <f aca="false">IF(O3836&lt;&gt;"",O3836+P3836,"")</f>
        <v/>
      </c>
      <c r="R3836" s="84"/>
    </row>
    <row r="3837" customFormat="false" ht="15" hidden="false" customHeight="true" outlineLevel="0" collapsed="false">
      <c r="A3837" s="103"/>
      <c r="B3837" s="85"/>
      <c r="C3837" s="86"/>
      <c r="D3837" s="87"/>
      <c r="E3837" s="46" t="str">
        <f aca="false">IF(D3837&lt;&gt;"",IFERROR(VLOOKUP(D3837,PROVEEDORES!$A:$B,2,0),"!COD NO ENCONTRADO"),"")</f>
        <v/>
      </c>
      <c r="F3837" s="88" t="str">
        <f aca="false">IF(D3837&lt;&gt;"",IFERROR(VLOOKUP(D3837,PROVEEDORES!$A:$C,3,0),""),"")</f>
        <v/>
      </c>
      <c r="G3837" s="87"/>
      <c r="H3837" s="46" t="str">
        <f aca="false">IF(G3837&lt;&gt;"",IFERROR(VLOOKUP(G3837,PRODUCTOS!$A:$B,2,0),"!COD NO ENCONTRADO"),"")</f>
        <v/>
      </c>
      <c r="I3837" s="89"/>
      <c r="J3837" s="90"/>
      <c r="K3837" s="91"/>
      <c r="L3837" s="80" t="str">
        <f aca="false">IF(AND(J3837&lt;&gt;"",K3837&lt;&gt;""),J3837*K3837,"")</f>
        <v/>
      </c>
      <c r="M3837" s="81" t="str">
        <f aca="false">IF(L3837&lt;&gt;"",L3837*1.1,"")</f>
        <v/>
      </c>
      <c r="N3837" s="47" t="n">
        <f aca="false">IF(F3837="S",L3837*0.02,0)</f>
        <v>0</v>
      </c>
      <c r="O3837" s="82" t="str">
        <f aca="false">IF(L3837&lt;&gt;"",L3837+N3837,"")</f>
        <v/>
      </c>
      <c r="P3837" s="47" t="str">
        <f aca="false">IF(O3837&lt;&gt;"",O3837*0.1,"")</f>
        <v/>
      </c>
      <c r="Q3837" s="83" t="str">
        <f aca="false">IF(O3837&lt;&gt;"",O3837+P3837,"")</f>
        <v/>
      </c>
      <c r="R3837" s="84"/>
    </row>
    <row r="3838" customFormat="false" ht="15" hidden="false" customHeight="true" outlineLevel="0" collapsed="false">
      <c r="A3838" s="103"/>
      <c r="B3838" s="73"/>
      <c r="C3838" s="74"/>
      <c r="D3838" s="75"/>
      <c r="E3838" s="52" t="str">
        <f aca="false">IF(D3838&lt;&gt;"",IFERROR(VLOOKUP(D3838,PROVEEDORES!$A:$B,2,0),"!COD NO ENCONTRADO"),"")</f>
        <v/>
      </c>
      <c r="F3838" s="76" t="str">
        <f aca="false">IF(D3838&lt;&gt;"",IFERROR(VLOOKUP(D3838,PROVEEDORES!$A:$C,3,0),""),"")</f>
        <v/>
      </c>
      <c r="G3838" s="75"/>
      <c r="H3838" s="52" t="str">
        <f aca="false">IF(G3838&lt;&gt;"",IFERROR(VLOOKUP(G3838,PRODUCTOS!$A:$B,2,0),"!COD NO ENCONTRADO"),"")</f>
        <v/>
      </c>
      <c r="I3838" s="77"/>
      <c r="J3838" s="78"/>
      <c r="K3838" s="79"/>
      <c r="L3838" s="80" t="str">
        <f aca="false">IF(AND(J3838&lt;&gt;"",K3838&lt;&gt;""),J3838*K3838,"")</f>
        <v/>
      </c>
      <c r="M3838" s="81" t="str">
        <f aca="false">IF(L3838&lt;&gt;"",L3838*1.1,"")</f>
        <v/>
      </c>
      <c r="N3838" s="53" t="n">
        <f aca="false">IF(F3838="S",L3838*0.02,0)</f>
        <v>0</v>
      </c>
      <c r="O3838" s="82" t="str">
        <f aca="false">IF(L3838&lt;&gt;"",L3838+N3838,"")</f>
        <v/>
      </c>
      <c r="P3838" s="53" t="str">
        <f aca="false">IF(O3838&lt;&gt;"",O3838*0.1,"")</f>
        <v/>
      </c>
      <c r="Q3838" s="83" t="str">
        <f aca="false">IF(O3838&lt;&gt;"",O3838+P3838,"")</f>
        <v/>
      </c>
      <c r="R3838" s="84"/>
    </row>
    <row r="3839" customFormat="false" ht="15" hidden="false" customHeight="true" outlineLevel="0" collapsed="false">
      <c r="A3839" s="103"/>
      <c r="B3839" s="85"/>
      <c r="C3839" s="86"/>
      <c r="D3839" s="87"/>
      <c r="E3839" s="46" t="str">
        <f aca="false">IF(D3839&lt;&gt;"",IFERROR(VLOOKUP(D3839,PROVEEDORES!$A:$B,2,0),"!COD NO ENCONTRADO"),"")</f>
        <v/>
      </c>
      <c r="F3839" s="88" t="str">
        <f aca="false">IF(D3839&lt;&gt;"",IFERROR(VLOOKUP(D3839,PROVEEDORES!$A:$C,3,0),""),"")</f>
        <v/>
      </c>
      <c r="G3839" s="87"/>
      <c r="H3839" s="46" t="str">
        <f aca="false">IF(G3839&lt;&gt;"",IFERROR(VLOOKUP(G3839,PRODUCTOS!$A:$B,2,0),"!COD NO ENCONTRADO"),"")</f>
        <v/>
      </c>
      <c r="I3839" s="89"/>
      <c r="J3839" s="90"/>
      <c r="K3839" s="91"/>
      <c r="L3839" s="80" t="str">
        <f aca="false">IF(AND(J3839&lt;&gt;"",K3839&lt;&gt;""),J3839*K3839,"")</f>
        <v/>
      </c>
      <c r="M3839" s="81" t="str">
        <f aca="false">IF(L3839&lt;&gt;"",L3839*1.1,"")</f>
        <v/>
      </c>
      <c r="N3839" s="47" t="n">
        <f aca="false">IF(F3839="S",L3839*0.02,0)</f>
        <v>0</v>
      </c>
      <c r="O3839" s="82" t="str">
        <f aca="false">IF(L3839&lt;&gt;"",L3839+N3839,"")</f>
        <v/>
      </c>
      <c r="P3839" s="47" t="str">
        <f aca="false">IF(O3839&lt;&gt;"",O3839*0.1,"")</f>
        <v/>
      </c>
      <c r="Q3839" s="83" t="str">
        <f aca="false">IF(O3839&lt;&gt;"",O3839+P3839,"")</f>
        <v/>
      </c>
      <c r="R3839" s="84"/>
    </row>
    <row r="3840" customFormat="false" ht="15" hidden="false" customHeight="true" outlineLevel="0" collapsed="false">
      <c r="A3840" s="103"/>
      <c r="B3840" s="73"/>
      <c r="C3840" s="74"/>
      <c r="D3840" s="75"/>
      <c r="E3840" s="52" t="str">
        <f aca="false">IF(D3840&lt;&gt;"",IFERROR(VLOOKUP(D3840,PROVEEDORES!$A:$B,2,0),"!COD NO ENCONTRADO"),"")</f>
        <v/>
      </c>
      <c r="F3840" s="76" t="str">
        <f aca="false">IF(D3840&lt;&gt;"",IFERROR(VLOOKUP(D3840,PROVEEDORES!$A:$C,3,0),""),"")</f>
        <v/>
      </c>
      <c r="G3840" s="75"/>
      <c r="H3840" s="52" t="str">
        <f aca="false">IF(G3840&lt;&gt;"",IFERROR(VLOOKUP(G3840,PRODUCTOS!$A:$B,2,0),"!COD NO ENCONTRADO"),"")</f>
        <v/>
      </c>
      <c r="I3840" s="77"/>
      <c r="J3840" s="78"/>
      <c r="K3840" s="79"/>
      <c r="L3840" s="80" t="str">
        <f aca="false">IF(AND(J3840&lt;&gt;"",K3840&lt;&gt;""),J3840*K3840,"")</f>
        <v/>
      </c>
      <c r="M3840" s="81" t="str">
        <f aca="false">IF(L3840&lt;&gt;"",L3840*1.1,"")</f>
        <v/>
      </c>
      <c r="N3840" s="53" t="n">
        <f aca="false">IF(F3840="S",L3840*0.02,0)</f>
        <v>0</v>
      </c>
      <c r="O3840" s="82" t="str">
        <f aca="false">IF(L3840&lt;&gt;"",L3840+N3840,"")</f>
        <v/>
      </c>
      <c r="P3840" s="53" t="str">
        <f aca="false">IF(O3840&lt;&gt;"",O3840*0.1,"")</f>
        <v/>
      </c>
      <c r="Q3840" s="83" t="str">
        <f aca="false">IF(O3840&lt;&gt;"",O3840+P3840,"")</f>
        <v/>
      </c>
      <c r="R3840" s="84"/>
    </row>
    <row r="3841" customFormat="false" ht="15" hidden="false" customHeight="true" outlineLevel="0" collapsed="false">
      <c r="A3841" s="103"/>
      <c r="B3841" s="85"/>
      <c r="C3841" s="86"/>
      <c r="D3841" s="87"/>
      <c r="E3841" s="46" t="str">
        <f aca="false">IF(D3841&lt;&gt;"",IFERROR(VLOOKUP(D3841,PROVEEDORES!$A:$B,2,0),"!COD NO ENCONTRADO"),"")</f>
        <v/>
      </c>
      <c r="F3841" s="88" t="str">
        <f aca="false">IF(D3841&lt;&gt;"",IFERROR(VLOOKUP(D3841,PROVEEDORES!$A:$C,3,0),""),"")</f>
        <v/>
      </c>
      <c r="G3841" s="87"/>
      <c r="H3841" s="46" t="str">
        <f aca="false">IF(G3841&lt;&gt;"",IFERROR(VLOOKUP(G3841,PRODUCTOS!$A:$B,2,0),"!COD NO ENCONTRADO"),"")</f>
        <v/>
      </c>
      <c r="I3841" s="89"/>
      <c r="J3841" s="90"/>
      <c r="K3841" s="91"/>
      <c r="L3841" s="80" t="str">
        <f aca="false">IF(AND(J3841&lt;&gt;"",K3841&lt;&gt;""),J3841*K3841,"")</f>
        <v/>
      </c>
      <c r="M3841" s="81" t="str">
        <f aca="false">IF(L3841&lt;&gt;"",L3841*1.1,"")</f>
        <v/>
      </c>
      <c r="N3841" s="47" t="n">
        <f aca="false">IF(F3841="S",L3841*0.02,0)</f>
        <v>0</v>
      </c>
      <c r="O3841" s="82" t="str">
        <f aca="false">IF(L3841&lt;&gt;"",L3841+N3841,"")</f>
        <v/>
      </c>
      <c r="P3841" s="47" t="str">
        <f aca="false">IF(O3841&lt;&gt;"",O3841*0.1,"")</f>
        <v/>
      </c>
      <c r="Q3841" s="83" t="str">
        <f aca="false">IF(O3841&lt;&gt;"",O3841+P3841,"")</f>
        <v/>
      </c>
      <c r="R3841" s="84"/>
    </row>
    <row r="3842" customFormat="false" ht="15" hidden="false" customHeight="true" outlineLevel="0" collapsed="false">
      <c r="A3842" s="103"/>
      <c r="B3842" s="73"/>
      <c r="C3842" s="74"/>
      <c r="D3842" s="75"/>
      <c r="E3842" s="52" t="str">
        <f aca="false">IF(D3842&lt;&gt;"",IFERROR(VLOOKUP(D3842,PROVEEDORES!$A:$B,2,0),"!COD NO ENCONTRADO"),"")</f>
        <v/>
      </c>
      <c r="F3842" s="76" t="str">
        <f aca="false">IF(D3842&lt;&gt;"",IFERROR(VLOOKUP(D3842,PROVEEDORES!$A:$C,3,0),""),"")</f>
        <v/>
      </c>
      <c r="G3842" s="75"/>
      <c r="H3842" s="52" t="str">
        <f aca="false">IF(G3842&lt;&gt;"",IFERROR(VLOOKUP(G3842,PRODUCTOS!$A:$B,2,0),"!COD NO ENCONTRADO"),"")</f>
        <v/>
      </c>
      <c r="I3842" s="77"/>
      <c r="J3842" s="78"/>
      <c r="K3842" s="79"/>
      <c r="L3842" s="80" t="str">
        <f aca="false">IF(AND(J3842&lt;&gt;"",K3842&lt;&gt;""),J3842*K3842,"")</f>
        <v/>
      </c>
      <c r="M3842" s="81" t="str">
        <f aca="false">IF(L3842&lt;&gt;"",L3842*1.1,"")</f>
        <v/>
      </c>
      <c r="N3842" s="53" t="n">
        <f aca="false">IF(F3842="S",L3842*0.02,0)</f>
        <v>0</v>
      </c>
      <c r="O3842" s="82" t="str">
        <f aca="false">IF(L3842&lt;&gt;"",L3842+N3842,"")</f>
        <v/>
      </c>
      <c r="P3842" s="53" t="str">
        <f aca="false">IF(O3842&lt;&gt;"",O3842*0.1,"")</f>
        <v/>
      </c>
      <c r="Q3842" s="83" t="str">
        <f aca="false">IF(O3842&lt;&gt;"",O3842+P3842,"")</f>
        <v/>
      </c>
      <c r="R3842" s="84"/>
    </row>
    <row r="3843" customFormat="false" ht="15" hidden="false" customHeight="true" outlineLevel="0" collapsed="false">
      <c r="A3843" s="103"/>
      <c r="B3843" s="85"/>
      <c r="C3843" s="86"/>
      <c r="D3843" s="87"/>
      <c r="E3843" s="46" t="str">
        <f aca="false">IF(D3843&lt;&gt;"",IFERROR(VLOOKUP(D3843,PROVEEDORES!$A:$B,2,0),"!COD NO ENCONTRADO"),"")</f>
        <v/>
      </c>
      <c r="F3843" s="88" t="str">
        <f aca="false">IF(D3843&lt;&gt;"",IFERROR(VLOOKUP(D3843,PROVEEDORES!$A:$C,3,0),""),"")</f>
        <v/>
      </c>
      <c r="G3843" s="87"/>
      <c r="H3843" s="46" t="str">
        <f aca="false">IF(G3843&lt;&gt;"",IFERROR(VLOOKUP(G3843,PRODUCTOS!$A:$B,2,0),"!COD NO ENCONTRADO"),"")</f>
        <v/>
      </c>
      <c r="I3843" s="89"/>
      <c r="J3843" s="90"/>
      <c r="K3843" s="91"/>
      <c r="L3843" s="80" t="str">
        <f aca="false">IF(AND(J3843&lt;&gt;"",K3843&lt;&gt;""),J3843*K3843,"")</f>
        <v/>
      </c>
      <c r="M3843" s="81" t="str">
        <f aca="false">IF(L3843&lt;&gt;"",L3843*1.1,"")</f>
        <v/>
      </c>
      <c r="N3843" s="47" t="n">
        <f aca="false">IF(F3843="S",L3843*0.02,0)</f>
        <v>0</v>
      </c>
      <c r="O3843" s="82" t="str">
        <f aca="false">IF(L3843&lt;&gt;"",L3843+N3843,"")</f>
        <v/>
      </c>
      <c r="P3843" s="47" t="str">
        <f aca="false">IF(O3843&lt;&gt;"",O3843*0.1,"")</f>
        <v/>
      </c>
      <c r="Q3843" s="83" t="str">
        <f aca="false">IF(O3843&lt;&gt;"",O3843+P3843,"")</f>
        <v/>
      </c>
      <c r="R3843" s="84"/>
    </row>
    <row r="3844" customFormat="false" ht="15" hidden="false" customHeight="true" outlineLevel="0" collapsed="false">
      <c r="A3844" s="103"/>
      <c r="B3844" s="73"/>
      <c r="C3844" s="74"/>
      <c r="D3844" s="75"/>
      <c r="E3844" s="52" t="str">
        <f aca="false">IF(D3844&lt;&gt;"",IFERROR(VLOOKUP(D3844,PROVEEDORES!$A:$B,2,0),"!COD NO ENCONTRADO"),"")</f>
        <v/>
      </c>
      <c r="F3844" s="76" t="str">
        <f aca="false">IF(D3844&lt;&gt;"",IFERROR(VLOOKUP(D3844,PROVEEDORES!$A:$C,3,0),""),"")</f>
        <v/>
      </c>
      <c r="G3844" s="75"/>
      <c r="H3844" s="52" t="str">
        <f aca="false">IF(G3844&lt;&gt;"",IFERROR(VLOOKUP(G3844,PRODUCTOS!$A:$B,2,0),"!COD NO ENCONTRADO"),"")</f>
        <v/>
      </c>
      <c r="I3844" s="77"/>
      <c r="J3844" s="78"/>
      <c r="K3844" s="79"/>
      <c r="L3844" s="80" t="str">
        <f aca="false">IF(AND(J3844&lt;&gt;"",K3844&lt;&gt;""),J3844*K3844,"")</f>
        <v/>
      </c>
      <c r="M3844" s="81" t="str">
        <f aca="false">IF(L3844&lt;&gt;"",L3844*1.1,"")</f>
        <v/>
      </c>
      <c r="N3844" s="53" t="n">
        <f aca="false">IF(F3844="S",L3844*0.02,0)</f>
        <v>0</v>
      </c>
      <c r="O3844" s="82" t="str">
        <f aca="false">IF(L3844&lt;&gt;"",L3844+N3844,"")</f>
        <v/>
      </c>
      <c r="P3844" s="53" t="str">
        <f aca="false">IF(O3844&lt;&gt;"",O3844*0.1,"")</f>
        <v/>
      </c>
      <c r="Q3844" s="83" t="str">
        <f aca="false">IF(O3844&lt;&gt;"",O3844+P3844,"")</f>
        <v/>
      </c>
      <c r="R3844" s="84"/>
    </row>
    <row r="3845" customFormat="false" ht="15" hidden="false" customHeight="true" outlineLevel="0" collapsed="false">
      <c r="A3845" s="103"/>
      <c r="B3845" s="85"/>
      <c r="C3845" s="86"/>
      <c r="D3845" s="87"/>
      <c r="E3845" s="46" t="str">
        <f aca="false">IF(D3845&lt;&gt;"",IFERROR(VLOOKUP(D3845,PROVEEDORES!$A:$B,2,0),"!COD NO ENCONTRADO"),"")</f>
        <v/>
      </c>
      <c r="F3845" s="88" t="str">
        <f aca="false">IF(D3845&lt;&gt;"",IFERROR(VLOOKUP(D3845,PROVEEDORES!$A:$C,3,0),""),"")</f>
        <v/>
      </c>
      <c r="G3845" s="87"/>
      <c r="H3845" s="46" t="str">
        <f aca="false">IF(G3845&lt;&gt;"",IFERROR(VLOOKUP(G3845,PRODUCTOS!$A:$B,2,0),"!COD NO ENCONTRADO"),"")</f>
        <v/>
      </c>
      <c r="I3845" s="89"/>
      <c r="J3845" s="90"/>
      <c r="K3845" s="91"/>
      <c r="L3845" s="80" t="str">
        <f aca="false">IF(AND(J3845&lt;&gt;"",K3845&lt;&gt;""),J3845*K3845,"")</f>
        <v/>
      </c>
      <c r="M3845" s="81" t="str">
        <f aca="false">IF(L3845&lt;&gt;"",L3845*1.1,"")</f>
        <v/>
      </c>
      <c r="N3845" s="47" t="n">
        <f aca="false">IF(F3845="S",L3845*0.02,0)</f>
        <v>0</v>
      </c>
      <c r="O3845" s="82" t="str">
        <f aca="false">IF(L3845&lt;&gt;"",L3845+N3845,"")</f>
        <v/>
      </c>
      <c r="P3845" s="47" t="str">
        <f aca="false">IF(O3845&lt;&gt;"",O3845*0.1,"")</f>
        <v/>
      </c>
      <c r="Q3845" s="83" t="str">
        <f aca="false">IF(O3845&lt;&gt;"",O3845+P3845,"")</f>
        <v/>
      </c>
      <c r="R3845" s="84"/>
    </row>
    <row r="3846" customFormat="false" ht="15" hidden="false" customHeight="true" outlineLevel="0" collapsed="false">
      <c r="A3846" s="103"/>
      <c r="B3846" s="73"/>
      <c r="C3846" s="74"/>
      <c r="D3846" s="75"/>
      <c r="E3846" s="52" t="str">
        <f aca="false">IF(D3846&lt;&gt;"",IFERROR(VLOOKUP(D3846,PROVEEDORES!$A:$B,2,0),"!COD NO ENCONTRADO"),"")</f>
        <v/>
      </c>
      <c r="F3846" s="76" t="str">
        <f aca="false">IF(D3846&lt;&gt;"",IFERROR(VLOOKUP(D3846,PROVEEDORES!$A:$C,3,0),""),"")</f>
        <v/>
      </c>
      <c r="G3846" s="75"/>
      <c r="H3846" s="52" t="str">
        <f aca="false">IF(G3846&lt;&gt;"",IFERROR(VLOOKUP(G3846,PRODUCTOS!$A:$B,2,0),"!COD NO ENCONTRADO"),"")</f>
        <v/>
      </c>
      <c r="I3846" s="77"/>
      <c r="J3846" s="78"/>
      <c r="K3846" s="79"/>
      <c r="L3846" s="80" t="str">
        <f aca="false">IF(AND(J3846&lt;&gt;"",K3846&lt;&gt;""),J3846*K3846,"")</f>
        <v/>
      </c>
      <c r="M3846" s="81" t="str">
        <f aca="false">IF(L3846&lt;&gt;"",L3846*1.1,"")</f>
        <v/>
      </c>
      <c r="N3846" s="53" t="n">
        <f aca="false">IF(F3846="S",L3846*0.02,0)</f>
        <v>0</v>
      </c>
      <c r="O3846" s="82" t="str">
        <f aca="false">IF(L3846&lt;&gt;"",L3846+N3846,"")</f>
        <v/>
      </c>
      <c r="P3846" s="53" t="str">
        <f aca="false">IF(O3846&lt;&gt;"",O3846*0.1,"")</f>
        <v/>
      </c>
      <c r="Q3846" s="83" t="str">
        <f aca="false">IF(O3846&lt;&gt;"",O3846+P3846,"")</f>
        <v/>
      </c>
      <c r="R3846" s="84"/>
    </row>
    <row r="3847" customFormat="false" ht="15" hidden="false" customHeight="true" outlineLevel="0" collapsed="false">
      <c r="A3847" s="103"/>
      <c r="B3847" s="85"/>
      <c r="C3847" s="86"/>
      <c r="D3847" s="87"/>
      <c r="E3847" s="46" t="str">
        <f aca="false">IF(D3847&lt;&gt;"",IFERROR(VLOOKUP(D3847,PROVEEDORES!$A:$B,2,0),"!COD NO ENCONTRADO"),"")</f>
        <v/>
      </c>
      <c r="F3847" s="88" t="str">
        <f aca="false">IF(D3847&lt;&gt;"",IFERROR(VLOOKUP(D3847,PROVEEDORES!$A:$C,3,0),""),"")</f>
        <v/>
      </c>
      <c r="G3847" s="87"/>
      <c r="H3847" s="46" t="str">
        <f aca="false">IF(G3847&lt;&gt;"",IFERROR(VLOOKUP(G3847,PRODUCTOS!$A:$B,2,0),"!COD NO ENCONTRADO"),"")</f>
        <v/>
      </c>
      <c r="I3847" s="89"/>
      <c r="J3847" s="90"/>
      <c r="K3847" s="91"/>
      <c r="L3847" s="80" t="str">
        <f aca="false">IF(AND(J3847&lt;&gt;"",K3847&lt;&gt;""),J3847*K3847,"")</f>
        <v/>
      </c>
      <c r="M3847" s="81" t="str">
        <f aca="false">IF(L3847&lt;&gt;"",L3847*1.1,"")</f>
        <v/>
      </c>
      <c r="N3847" s="47" t="n">
        <f aca="false">IF(F3847="S",L3847*0.02,0)</f>
        <v>0</v>
      </c>
      <c r="O3847" s="82" t="str">
        <f aca="false">IF(L3847&lt;&gt;"",L3847+N3847,"")</f>
        <v/>
      </c>
      <c r="P3847" s="47" t="str">
        <f aca="false">IF(O3847&lt;&gt;"",O3847*0.1,"")</f>
        <v/>
      </c>
      <c r="Q3847" s="83" t="str">
        <f aca="false">IF(O3847&lt;&gt;"",O3847+P3847,"")</f>
        <v/>
      </c>
      <c r="R3847" s="84"/>
    </row>
    <row r="3848" customFormat="false" ht="15" hidden="false" customHeight="true" outlineLevel="0" collapsed="false">
      <c r="A3848" s="103"/>
      <c r="B3848" s="73"/>
      <c r="C3848" s="74"/>
      <c r="D3848" s="75"/>
      <c r="E3848" s="52" t="str">
        <f aca="false">IF(D3848&lt;&gt;"",IFERROR(VLOOKUP(D3848,PROVEEDORES!$A:$B,2,0),"!COD NO ENCONTRADO"),"")</f>
        <v/>
      </c>
      <c r="F3848" s="76" t="str">
        <f aca="false">IF(D3848&lt;&gt;"",IFERROR(VLOOKUP(D3848,PROVEEDORES!$A:$C,3,0),""),"")</f>
        <v/>
      </c>
      <c r="G3848" s="75"/>
      <c r="H3848" s="52" t="str">
        <f aca="false">IF(G3848&lt;&gt;"",IFERROR(VLOOKUP(G3848,PRODUCTOS!$A:$B,2,0),"!COD NO ENCONTRADO"),"")</f>
        <v/>
      </c>
      <c r="I3848" s="77"/>
      <c r="J3848" s="78"/>
      <c r="K3848" s="79"/>
      <c r="L3848" s="80" t="str">
        <f aca="false">IF(AND(J3848&lt;&gt;"",K3848&lt;&gt;""),J3848*K3848,"")</f>
        <v/>
      </c>
      <c r="M3848" s="81" t="str">
        <f aca="false">IF(L3848&lt;&gt;"",L3848*1.1,"")</f>
        <v/>
      </c>
      <c r="N3848" s="53" t="n">
        <f aca="false">IF(F3848="S",L3848*0.02,0)</f>
        <v>0</v>
      </c>
      <c r="O3848" s="82" t="str">
        <f aca="false">IF(L3848&lt;&gt;"",L3848+N3848,"")</f>
        <v/>
      </c>
      <c r="P3848" s="53" t="str">
        <f aca="false">IF(O3848&lt;&gt;"",O3848*0.1,"")</f>
        <v/>
      </c>
      <c r="Q3848" s="83" t="str">
        <f aca="false">IF(O3848&lt;&gt;"",O3848+P3848,"")</f>
        <v/>
      </c>
      <c r="R3848" s="84"/>
    </row>
    <row r="3849" customFormat="false" ht="15" hidden="false" customHeight="true" outlineLevel="0" collapsed="false">
      <c r="A3849" s="103"/>
      <c r="B3849" s="85"/>
      <c r="C3849" s="86"/>
      <c r="D3849" s="87"/>
      <c r="E3849" s="46" t="str">
        <f aca="false">IF(D3849&lt;&gt;"",IFERROR(VLOOKUP(D3849,PROVEEDORES!$A:$B,2,0),"!COD NO ENCONTRADO"),"")</f>
        <v/>
      </c>
      <c r="F3849" s="88" t="str">
        <f aca="false">IF(D3849&lt;&gt;"",IFERROR(VLOOKUP(D3849,PROVEEDORES!$A:$C,3,0),""),"")</f>
        <v/>
      </c>
      <c r="G3849" s="87"/>
      <c r="H3849" s="46" t="str">
        <f aca="false">IF(G3849&lt;&gt;"",IFERROR(VLOOKUP(G3849,PRODUCTOS!$A:$B,2,0),"!COD NO ENCONTRADO"),"")</f>
        <v/>
      </c>
      <c r="I3849" s="89"/>
      <c r="J3849" s="90"/>
      <c r="K3849" s="91"/>
      <c r="L3849" s="80" t="str">
        <f aca="false">IF(AND(J3849&lt;&gt;"",K3849&lt;&gt;""),J3849*K3849,"")</f>
        <v/>
      </c>
      <c r="M3849" s="81" t="str">
        <f aca="false">IF(L3849&lt;&gt;"",L3849*1.1,"")</f>
        <v/>
      </c>
      <c r="N3849" s="47" t="n">
        <f aca="false">IF(F3849="S",L3849*0.02,0)</f>
        <v>0</v>
      </c>
      <c r="O3849" s="82" t="str">
        <f aca="false">IF(L3849&lt;&gt;"",L3849+N3849,"")</f>
        <v/>
      </c>
      <c r="P3849" s="47" t="str">
        <f aca="false">IF(O3849&lt;&gt;"",O3849*0.1,"")</f>
        <v/>
      </c>
      <c r="Q3849" s="83" t="str">
        <f aca="false">IF(O3849&lt;&gt;"",O3849+P3849,"")</f>
        <v/>
      </c>
      <c r="R3849" s="84"/>
    </row>
    <row r="3850" customFormat="false" ht="15" hidden="false" customHeight="true" outlineLevel="0" collapsed="false">
      <c r="A3850" s="103"/>
      <c r="B3850" s="73"/>
      <c r="C3850" s="74"/>
      <c r="D3850" s="75"/>
      <c r="E3850" s="52" t="str">
        <f aca="false">IF(D3850&lt;&gt;"",IFERROR(VLOOKUP(D3850,PROVEEDORES!$A:$B,2,0),"!COD NO ENCONTRADO"),"")</f>
        <v/>
      </c>
      <c r="F3850" s="76" t="str">
        <f aca="false">IF(D3850&lt;&gt;"",IFERROR(VLOOKUP(D3850,PROVEEDORES!$A:$C,3,0),""),"")</f>
        <v/>
      </c>
      <c r="G3850" s="75"/>
      <c r="H3850" s="52" t="str">
        <f aca="false">IF(G3850&lt;&gt;"",IFERROR(VLOOKUP(G3850,PRODUCTOS!$A:$B,2,0),"!COD NO ENCONTRADO"),"")</f>
        <v/>
      </c>
      <c r="I3850" s="77"/>
      <c r="J3850" s="78"/>
      <c r="K3850" s="79"/>
      <c r="L3850" s="80" t="str">
        <f aca="false">IF(AND(J3850&lt;&gt;"",K3850&lt;&gt;""),J3850*K3850,"")</f>
        <v/>
      </c>
      <c r="M3850" s="81" t="str">
        <f aca="false">IF(L3850&lt;&gt;"",L3850*1.1,"")</f>
        <v/>
      </c>
      <c r="N3850" s="53" t="n">
        <f aca="false">IF(F3850="S",L3850*0.02,0)</f>
        <v>0</v>
      </c>
      <c r="O3850" s="82" t="str">
        <f aca="false">IF(L3850&lt;&gt;"",L3850+N3850,"")</f>
        <v/>
      </c>
      <c r="P3850" s="53" t="str">
        <f aca="false">IF(O3850&lt;&gt;"",O3850*0.1,"")</f>
        <v/>
      </c>
      <c r="Q3850" s="83" t="str">
        <f aca="false">IF(O3850&lt;&gt;"",O3850+P3850,"")</f>
        <v/>
      </c>
      <c r="R3850" s="84"/>
    </row>
    <row r="3851" customFormat="false" ht="15" hidden="false" customHeight="true" outlineLevel="0" collapsed="false">
      <c r="A3851" s="103"/>
      <c r="B3851" s="85"/>
      <c r="C3851" s="86"/>
      <c r="D3851" s="87"/>
      <c r="E3851" s="46" t="str">
        <f aca="false">IF(D3851&lt;&gt;"",IFERROR(VLOOKUP(D3851,PROVEEDORES!$A:$B,2,0),"!COD NO ENCONTRADO"),"")</f>
        <v/>
      </c>
      <c r="F3851" s="88" t="str">
        <f aca="false">IF(D3851&lt;&gt;"",IFERROR(VLOOKUP(D3851,PROVEEDORES!$A:$C,3,0),""),"")</f>
        <v/>
      </c>
      <c r="G3851" s="87"/>
      <c r="H3851" s="46" t="str">
        <f aca="false">IF(G3851&lt;&gt;"",IFERROR(VLOOKUP(G3851,PRODUCTOS!$A:$B,2,0),"!COD NO ENCONTRADO"),"")</f>
        <v/>
      </c>
      <c r="I3851" s="89"/>
      <c r="J3851" s="90"/>
      <c r="K3851" s="91"/>
      <c r="L3851" s="80" t="str">
        <f aca="false">IF(AND(J3851&lt;&gt;"",K3851&lt;&gt;""),J3851*K3851,"")</f>
        <v/>
      </c>
      <c r="M3851" s="81" t="str">
        <f aca="false">IF(L3851&lt;&gt;"",L3851*1.1,"")</f>
        <v/>
      </c>
      <c r="N3851" s="47" t="n">
        <f aca="false">IF(F3851="S",L3851*0.02,0)</f>
        <v>0</v>
      </c>
      <c r="O3851" s="82" t="str">
        <f aca="false">IF(L3851&lt;&gt;"",L3851+N3851,"")</f>
        <v/>
      </c>
      <c r="P3851" s="47" t="str">
        <f aca="false">IF(O3851&lt;&gt;"",O3851*0.1,"")</f>
        <v/>
      </c>
      <c r="Q3851" s="83" t="str">
        <f aca="false">IF(O3851&lt;&gt;"",O3851+P3851,"")</f>
        <v/>
      </c>
      <c r="R3851" s="84"/>
    </row>
    <row r="3852" customFormat="false" ht="15" hidden="false" customHeight="true" outlineLevel="0" collapsed="false">
      <c r="A3852" s="103"/>
      <c r="B3852" s="73"/>
      <c r="C3852" s="74"/>
      <c r="D3852" s="75"/>
      <c r="E3852" s="52" t="str">
        <f aca="false">IF(D3852&lt;&gt;"",IFERROR(VLOOKUP(D3852,PROVEEDORES!$A:$B,2,0),"!COD NO ENCONTRADO"),"")</f>
        <v/>
      </c>
      <c r="F3852" s="76" t="str">
        <f aca="false">IF(D3852&lt;&gt;"",IFERROR(VLOOKUP(D3852,PROVEEDORES!$A:$C,3,0),""),"")</f>
        <v/>
      </c>
      <c r="G3852" s="75"/>
      <c r="H3852" s="52" t="str">
        <f aca="false">IF(G3852&lt;&gt;"",IFERROR(VLOOKUP(G3852,PRODUCTOS!$A:$B,2,0),"!COD NO ENCONTRADO"),"")</f>
        <v/>
      </c>
      <c r="I3852" s="77"/>
      <c r="J3852" s="78"/>
      <c r="K3852" s="79"/>
      <c r="L3852" s="80" t="str">
        <f aca="false">IF(AND(J3852&lt;&gt;"",K3852&lt;&gt;""),J3852*K3852,"")</f>
        <v/>
      </c>
      <c r="M3852" s="81" t="str">
        <f aca="false">IF(L3852&lt;&gt;"",L3852*1.1,"")</f>
        <v/>
      </c>
      <c r="N3852" s="53" t="n">
        <f aca="false">IF(F3852="S",L3852*0.02,0)</f>
        <v>0</v>
      </c>
      <c r="O3852" s="82" t="str">
        <f aca="false">IF(L3852&lt;&gt;"",L3852+N3852,"")</f>
        <v/>
      </c>
      <c r="P3852" s="53" t="str">
        <f aca="false">IF(O3852&lt;&gt;"",O3852*0.1,"")</f>
        <v/>
      </c>
      <c r="Q3852" s="83" t="str">
        <f aca="false">IF(O3852&lt;&gt;"",O3852+P3852,"")</f>
        <v/>
      </c>
      <c r="R3852" s="84"/>
    </row>
    <row r="3853" customFormat="false" ht="15" hidden="false" customHeight="true" outlineLevel="0" collapsed="false">
      <c r="A3853" s="103"/>
      <c r="B3853" s="85"/>
      <c r="C3853" s="86"/>
      <c r="D3853" s="87"/>
      <c r="E3853" s="46" t="str">
        <f aca="false">IF(D3853&lt;&gt;"",IFERROR(VLOOKUP(D3853,PROVEEDORES!$A:$B,2,0),"!COD NO ENCONTRADO"),"")</f>
        <v/>
      </c>
      <c r="F3853" s="88" t="str">
        <f aca="false">IF(D3853&lt;&gt;"",IFERROR(VLOOKUP(D3853,PROVEEDORES!$A:$C,3,0),""),"")</f>
        <v/>
      </c>
      <c r="G3853" s="87"/>
      <c r="H3853" s="46" t="str">
        <f aca="false">IF(G3853&lt;&gt;"",IFERROR(VLOOKUP(G3853,PRODUCTOS!$A:$B,2,0),"!COD NO ENCONTRADO"),"")</f>
        <v/>
      </c>
      <c r="I3853" s="89"/>
      <c r="J3853" s="90"/>
      <c r="K3853" s="91"/>
      <c r="L3853" s="80" t="str">
        <f aca="false">IF(AND(J3853&lt;&gt;"",K3853&lt;&gt;""),J3853*K3853,"")</f>
        <v/>
      </c>
      <c r="M3853" s="81" t="str">
        <f aca="false">IF(L3853&lt;&gt;"",L3853*1.1,"")</f>
        <v/>
      </c>
      <c r="N3853" s="47" t="n">
        <f aca="false">IF(F3853="S",L3853*0.02,0)</f>
        <v>0</v>
      </c>
      <c r="O3853" s="82" t="str">
        <f aca="false">IF(L3853&lt;&gt;"",L3853+N3853,"")</f>
        <v/>
      </c>
      <c r="P3853" s="47" t="str">
        <f aca="false">IF(O3853&lt;&gt;"",O3853*0.1,"")</f>
        <v/>
      </c>
      <c r="Q3853" s="83" t="str">
        <f aca="false">IF(O3853&lt;&gt;"",O3853+P3853,"")</f>
        <v/>
      </c>
      <c r="R3853" s="84"/>
    </row>
    <row r="3854" customFormat="false" ht="15" hidden="false" customHeight="true" outlineLevel="0" collapsed="false">
      <c r="A3854" s="103"/>
      <c r="B3854" s="73"/>
      <c r="C3854" s="74"/>
      <c r="D3854" s="75"/>
      <c r="E3854" s="52" t="str">
        <f aca="false">IF(D3854&lt;&gt;"",IFERROR(VLOOKUP(D3854,PROVEEDORES!$A:$B,2,0),"!COD NO ENCONTRADO"),"")</f>
        <v/>
      </c>
      <c r="F3854" s="76" t="str">
        <f aca="false">IF(D3854&lt;&gt;"",IFERROR(VLOOKUP(D3854,PROVEEDORES!$A:$C,3,0),""),"")</f>
        <v/>
      </c>
      <c r="G3854" s="75"/>
      <c r="H3854" s="52" t="str">
        <f aca="false">IF(G3854&lt;&gt;"",IFERROR(VLOOKUP(G3854,PRODUCTOS!$A:$B,2,0),"!COD NO ENCONTRADO"),"")</f>
        <v/>
      </c>
      <c r="I3854" s="77"/>
      <c r="J3854" s="78"/>
      <c r="K3854" s="79"/>
      <c r="L3854" s="80" t="str">
        <f aca="false">IF(AND(J3854&lt;&gt;"",K3854&lt;&gt;""),J3854*K3854,"")</f>
        <v/>
      </c>
      <c r="M3854" s="81" t="str">
        <f aca="false">IF(L3854&lt;&gt;"",L3854*1.1,"")</f>
        <v/>
      </c>
      <c r="N3854" s="53" t="n">
        <f aca="false">IF(F3854="S",L3854*0.02,0)</f>
        <v>0</v>
      </c>
      <c r="O3854" s="82" t="str">
        <f aca="false">IF(L3854&lt;&gt;"",L3854+N3854,"")</f>
        <v/>
      </c>
      <c r="P3854" s="53" t="str">
        <f aca="false">IF(O3854&lt;&gt;"",O3854*0.1,"")</f>
        <v/>
      </c>
      <c r="Q3854" s="83" t="str">
        <f aca="false">IF(O3854&lt;&gt;"",O3854+P3854,"")</f>
        <v/>
      </c>
      <c r="R3854" s="84"/>
    </row>
    <row r="3855" customFormat="false" ht="15" hidden="false" customHeight="true" outlineLevel="0" collapsed="false">
      <c r="A3855" s="103"/>
      <c r="B3855" s="85"/>
      <c r="C3855" s="86"/>
      <c r="D3855" s="87"/>
      <c r="E3855" s="46" t="str">
        <f aca="false">IF(D3855&lt;&gt;"",IFERROR(VLOOKUP(D3855,PROVEEDORES!$A:$B,2,0),"!COD NO ENCONTRADO"),"")</f>
        <v/>
      </c>
      <c r="F3855" s="88" t="str">
        <f aca="false">IF(D3855&lt;&gt;"",IFERROR(VLOOKUP(D3855,PROVEEDORES!$A:$C,3,0),""),"")</f>
        <v/>
      </c>
      <c r="G3855" s="87"/>
      <c r="H3855" s="46" t="str">
        <f aca="false">IF(G3855&lt;&gt;"",IFERROR(VLOOKUP(G3855,PRODUCTOS!$A:$B,2,0),"!COD NO ENCONTRADO"),"")</f>
        <v/>
      </c>
      <c r="I3855" s="89"/>
      <c r="J3855" s="90"/>
      <c r="K3855" s="91"/>
      <c r="L3855" s="80" t="str">
        <f aca="false">IF(AND(J3855&lt;&gt;"",K3855&lt;&gt;""),J3855*K3855,"")</f>
        <v/>
      </c>
      <c r="M3855" s="81" t="str">
        <f aca="false">IF(L3855&lt;&gt;"",L3855*1.1,"")</f>
        <v/>
      </c>
      <c r="N3855" s="47" t="n">
        <f aca="false">IF(F3855="S",L3855*0.02,0)</f>
        <v>0</v>
      </c>
      <c r="O3855" s="82" t="str">
        <f aca="false">IF(L3855&lt;&gt;"",L3855+N3855,"")</f>
        <v/>
      </c>
      <c r="P3855" s="47" t="str">
        <f aca="false">IF(O3855&lt;&gt;"",O3855*0.1,"")</f>
        <v/>
      </c>
      <c r="Q3855" s="83" t="str">
        <f aca="false">IF(O3855&lt;&gt;"",O3855+P3855,"")</f>
        <v/>
      </c>
      <c r="R3855" s="84"/>
    </row>
    <row r="3856" customFormat="false" ht="15" hidden="false" customHeight="true" outlineLevel="0" collapsed="false">
      <c r="A3856" s="103"/>
      <c r="B3856" s="73"/>
      <c r="C3856" s="74"/>
      <c r="D3856" s="75"/>
      <c r="E3856" s="52" t="str">
        <f aca="false">IF(D3856&lt;&gt;"",IFERROR(VLOOKUP(D3856,PROVEEDORES!$A:$B,2,0),"!COD NO ENCONTRADO"),"")</f>
        <v/>
      </c>
      <c r="F3856" s="76" t="str">
        <f aca="false">IF(D3856&lt;&gt;"",IFERROR(VLOOKUP(D3856,PROVEEDORES!$A:$C,3,0),""),"")</f>
        <v/>
      </c>
      <c r="G3856" s="75"/>
      <c r="H3856" s="52" t="str">
        <f aca="false">IF(G3856&lt;&gt;"",IFERROR(VLOOKUP(G3856,PRODUCTOS!$A:$B,2,0),"!COD NO ENCONTRADO"),"")</f>
        <v/>
      </c>
      <c r="I3856" s="77"/>
      <c r="J3856" s="78"/>
      <c r="K3856" s="79"/>
      <c r="L3856" s="80" t="str">
        <f aca="false">IF(AND(J3856&lt;&gt;"",K3856&lt;&gt;""),J3856*K3856,"")</f>
        <v/>
      </c>
      <c r="M3856" s="81" t="str">
        <f aca="false">IF(L3856&lt;&gt;"",L3856*1.1,"")</f>
        <v/>
      </c>
      <c r="N3856" s="53" t="n">
        <f aca="false">IF(F3856="S",L3856*0.02,0)</f>
        <v>0</v>
      </c>
      <c r="O3856" s="82" t="str">
        <f aca="false">IF(L3856&lt;&gt;"",L3856+N3856,"")</f>
        <v/>
      </c>
      <c r="P3856" s="53" t="str">
        <f aca="false">IF(O3856&lt;&gt;"",O3856*0.1,"")</f>
        <v/>
      </c>
      <c r="Q3856" s="83" t="str">
        <f aca="false">IF(O3856&lt;&gt;"",O3856+P3856,"")</f>
        <v/>
      </c>
      <c r="R3856" s="84"/>
    </row>
    <row r="3857" customFormat="false" ht="15" hidden="false" customHeight="true" outlineLevel="0" collapsed="false">
      <c r="A3857" s="103"/>
      <c r="B3857" s="85"/>
      <c r="C3857" s="86"/>
      <c r="D3857" s="87"/>
      <c r="E3857" s="46" t="str">
        <f aca="false">IF(D3857&lt;&gt;"",IFERROR(VLOOKUP(D3857,PROVEEDORES!$A:$B,2,0),"!COD NO ENCONTRADO"),"")</f>
        <v/>
      </c>
      <c r="F3857" s="88" t="str">
        <f aca="false">IF(D3857&lt;&gt;"",IFERROR(VLOOKUP(D3857,PROVEEDORES!$A:$C,3,0),""),"")</f>
        <v/>
      </c>
      <c r="G3857" s="87"/>
      <c r="H3857" s="46" t="str">
        <f aca="false">IF(G3857&lt;&gt;"",IFERROR(VLOOKUP(G3857,PRODUCTOS!$A:$B,2,0),"!COD NO ENCONTRADO"),"")</f>
        <v/>
      </c>
      <c r="I3857" s="89"/>
      <c r="J3857" s="90"/>
      <c r="K3857" s="91"/>
      <c r="L3857" s="80" t="str">
        <f aca="false">IF(AND(J3857&lt;&gt;"",K3857&lt;&gt;""),J3857*K3857,"")</f>
        <v/>
      </c>
      <c r="M3857" s="81" t="str">
        <f aca="false">IF(L3857&lt;&gt;"",L3857*1.1,"")</f>
        <v/>
      </c>
      <c r="N3857" s="47" t="n">
        <f aca="false">IF(F3857="S",L3857*0.02,0)</f>
        <v>0</v>
      </c>
      <c r="O3857" s="82" t="str">
        <f aca="false">IF(L3857&lt;&gt;"",L3857+N3857,"")</f>
        <v/>
      </c>
      <c r="P3857" s="47" t="str">
        <f aca="false">IF(O3857&lt;&gt;"",O3857*0.1,"")</f>
        <v/>
      </c>
      <c r="Q3857" s="83" t="str">
        <f aca="false">IF(O3857&lt;&gt;"",O3857+P3857,"")</f>
        <v/>
      </c>
      <c r="R3857" s="84"/>
    </row>
    <row r="3858" customFormat="false" ht="15" hidden="false" customHeight="true" outlineLevel="0" collapsed="false">
      <c r="A3858" s="103"/>
      <c r="B3858" s="73"/>
      <c r="C3858" s="74"/>
      <c r="D3858" s="75"/>
      <c r="E3858" s="52" t="str">
        <f aca="false">IF(D3858&lt;&gt;"",IFERROR(VLOOKUP(D3858,PROVEEDORES!$A:$B,2,0),"!COD NO ENCONTRADO"),"")</f>
        <v/>
      </c>
      <c r="F3858" s="76" t="str">
        <f aca="false">IF(D3858&lt;&gt;"",IFERROR(VLOOKUP(D3858,PROVEEDORES!$A:$C,3,0),""),"")</f>
        <v/>
      </c>
      <c r="G3858" s="75"/>
      <c r="H3858" s="52" t="str">
        <f aca="false">IF(G3858&lt;&gt;"",IFERROR(VLOOKUP(G3858,PRODUCTOS!$A:$B,2,0),"!COD NO ENCONTRADO"),"")</f>
        <v/>
      </c>
      <c r="I3858" s="77"/>
      <c r="J3858" s="78"/>
      <c r="K3858" s="79"/>
      <c r="L3858" s="80" t="str">
        <f aca="false">IF(AND(J3858&lt;&gt;"",K3858&lt;&gt;""),J3858*K3858,"")</f>
        <v/>
      </c>
      <c r="M3858" s="81" t="str">
        <f aca="false">IF(L3858&lt;&gt;"",L3858*1.1,"")</f>
        <v/>
      </c>
      <c r="N3858" s="53" t="n">
        <f aca="false">IF(F3858="S",L3858*0.02,0)</f>
        <v>0</v>
      </c>
      <c r="O3858" s="82" t="str">
        <f aca="false">IF(L3858&lt;&gt;"",L3858+N3858,"")</f>
        <v/>
      </c>
      <c r="P3858" s="53" t="str">
        <f aca="false">IF(O3858&lt;&gt;"",O3858*0.1,"")</f>
        <v/>
      </c>
      <c r="Q3858" s="83" t="str">
        <f aca="false">IF(O3858&lt;&gt;"",O3858+P3858,"")</f>
        <v/>
      </c>
      <c r="R3858" s="84"/>
    </row>
    <row r="3859" customFormat="false" ht="15" hidden="false" customHeight="true" outlineLevel="0" collapsed="false">
      <c r="A3859" s="103"/>
      <c r="B3859" s="85"/>
      <c r="C3859" s="86"/>
      <c r="D3859" s="87"/>
      <c r="E3859" s="46" t="str">
        <f aca="false">IF(D3859&lt;&gt;"",IFERROR(VLOOKUP(D3859,PROVEEDORES!$A:$B,2,0),"!COD NO ENCONTRADO"),"")</f>
        <v/>
      </c>
      <c r="F3859" s="88" t="str">
        <f aca="false">IF(D3859&lt;&gt;"",IFERROR(VLOOKUP(D3859,PROVEEDORES!$A:$C,3,0),""),"")</f>
        <v/>
      </c>
      <c r="G3859" s="87"/>
      <c r="H3859" s="46" t="str">
        <f aca="false">IF(G3859&lt;&gt;"",IFERROR(VLOOKUP(G3859,PRODUCTOS!$A:$B,2,0),"!COD NO ENCONTRADO"),"")</f>
        <v/>
      </c>
      <c r="I3859" s="89"/>
      <c r="J3859" s="90"/>
      <c r="K3859" s="91"/>
      <c r="L3859" s="80" t="str">
        <f aca="false">IF(AND(J3859&lt;&gt;"",K3859&lt;&gt;""),J3859*K3859,"")</f>
        <v/>
      </c>
      <c r="M3859" s="81" t="str">
        <f aca="false">IF(L3859&lt;&gt;"",L3859*1.1,"")</f>
        <v/>
      </c>
      <c r="N3859" s="47" t="n">
        <f aca="false">IF(F3859="S",L3859*0.02,0)</f>
        <v>0</v>
      </c>
      <c r="O3859" s="82" t="str">
        <f aca="false">IF(L3859&lt;&gt;"",L3859+N3859,"")</f>
        <v/>
      </c>
      <c r="P3859" s="47" t="str">
        <f aca="false">IF(O3859&lt;&gt;"",O3859*0.1,"")</f>
        <v/>
      </c>
      <c r="Q3859" s="83" t="str">
        <f aca="false">IF(O3859&lt;&gt;"",O3859+P3859,"")</f>
        <v/>
      </c>
      <c r="R3859" s="84"/>
    </row>
    <row r="3860" customFormat="false" ht="15" hidden="false" customHeight="true" outlineLevel="0" collapsed="false">
      <c r="A3860" s="103"/>
      <c r="B3860" s="73"/>
      <c r="C3860" s="74"/>
      <c r="D3860" s="75"/>
      <c r="E3860" s="52" t="str">
        <f aca="false">IF(D3860&lt;&gt;"",IFERROR(VLOOKUP(D3860,PROVEEDORES!$A:$B,2,0),"!COD NO ENCONTRADO"),"")</f>
        <v/>
      </c>
      <c r="F3860" s="76" t="str">
        <f aca="false">IF(D3860&lt;&gt;"",IFERROR(VLOOKUP(D3860,PROVEEDORES!$A:$C,3,0),""),"")</f>
        <v/>
      </c>
      <c r="G3860" s="75"/>
      <c r="H3860" s="52" t="str">
        <f aca="false">IF(G3860&lt;&gt;"",IFERROR(VLOOKUP(G3860,PRODUCTOS!$A:$B,2,0),"!COD NO ENCONTRADO"),"")</f>
        <v/>
      </c>
      <c r="I3860" s="77"/>
      <c r="J3860" s="78"/>
      <c r="K3860" s="79"/>
      <c r="L3860" s="80" t="str">
        <f aca="false">IF(AND(J3860&lt;&gt;"",K3860&lt;&gt;""),J3860*K3860,"")</f>
        <v/>
      </c>
      <c r="M3860" s="81" t="str">
        <f aca="false">IF(L3860&lt;&gt;"",L3860*1.1,"")</f>
        <v/>
      </c>
      <c r="N3860" s="53" t="n">
        <f aca="false">IF(F3860="S",L3860*0.02,0)</f>
        <v>0</v>
      </c>
      <c r="O3860" s="82" t="str">
        <f aca="false">IF(L3860&lt;&gt;"",L3860+N3860,"")</f>
        <v/>
      </c>
      <c r="P3860" s="53" t="str">
        <f aca="false">IF(O3860&lt;&gt;"",O3860*0.1,"")</f>
        <v/>
      </c>
      <c r="Q3860" s="83" t="str">
        <f aca="false">IF(O3860&lt;&gt;"",O3860+P3860,"")</f>
        <v/>
      </c>
      <c r="R3860" s="84"/>
    </row>
    <row r="3861" customFormat="false" ht="15" hidden="false" customHeight="true" outlineLevel="0" collapsed="false">
      <c r="A3861" s="103"/>
      <c r="B3861" s="85"/>
      <c r="C3861" s="86"/>
      <c r="D3861" s="87"/>
      <c r="E3861" s="46" t="str">
        <f aca="false">IF(D3861&lt;&gt;"",IFERROR(VLOOKUP(D3861,PROVEEDORES!$A:$B,2,0),"!COD NO ENCONTRADO"),"")</f>
        <v/>
      </c>
      <c r="F3861" s="88" t="str">
        <f aca="false">IF(D3861&lt;&gt;"",IFERROR(VLOOKUP(D3861,PROVEEDORES!$A:$C,3,0),""),"")</f>
        <v/>
      </c>
      <c r="G3861" s="87"/>
      <c r="H3861" s="46" t="str">
        <f aca="false">IF(G3861&lt;&gt;"",IFERROR(VLOOKUP(G3861,PRODUCTOS!$A:$B,2,0),"!COD NO ENCONTRADO"),"")</f>
        <v/>
      </c>
      <c r="I3861" s="89"/>
      <c r="J3861" s="90"/>
      <c r="K3861" s="91"/>
      <c r="L3861" s="80" t="str">
        <f aca="false">IF(AND(J3861&lt;&gt;"",K3861&lt;&gt;""),J3861*K3861,"")</f>
        <v/>
      </c>
      <c r="M3861" s="81" t="str">
        <f aca="false">IF(L3861&lt;&gt;"",L3861*1.1,"")</f>
        <v/>
      </c>
      <c r="N3861" s="47" t="n">
        <f aca="false">IF(F3861="S",L3861*0.02,0)</f>
        <v>0</v>
      </c>
      <c r="O3861" s="82" t="str">
        <f aca="false">IF(L3861&lt;&gt;"",L3861+N3861,"")</f>
        <v/>
      </c>
      <c r="P3861" s="47" t="str">
        <f aca="false">IF(O3861&lt;&gt;"",O3861*0.1,"")</f>
        <v/>
      </c>
      <c r="Q3861" s="83" t="str">
        <f aca="false">IF(O3861&lt;&gt;"",O3861+P3861,"")</f>
        <v/>
      </c>
      <c r="R3861" s="84"/>
    </row>
    <row r="3862" customFormat="false" ht="15" hidden="false" customHeight="true" outlineLevel="0" collapsed="false">
      <c r="A3862" s="103"/>
      <c r="B3862" s="73"/>
      <c r="C3862" s="74"/>
      <c r="D3862" s="75"/>
      <c r="E3862" s="52" t="str">
        <f aca="false">IF(D3862&lt;&gt;"",IFERROR(VLOOKUP(D3862,PROVEEDORES!$A:$B,2,0),"!COD NO ENCONTRADO"),"")</f>
        <v/>
      </c>
      <c r="F3862" s="76" t="str">
        <f aca="false">IF(D3862&lt;&gt;"",IFERROR(VLOOKUP(D3862,PROVEEDORES!$A:$C,3,0),""),"")</f>
        <v/>
      </c>
      <c r="G3862" s="75"/>
      <c r="H3862" s="52" t="str">
        <f aca="false">IF(G3862&lt;&gt;"",IFERROR(VLOOKUP(G3862,PRODUCTOS!$A:$B,2,0),"!COD NO ENCONTRADO"),"")</f>
        <v/>
      </c>
      <c r="I3862" s="77"/>
      <c r="J3862" s="78"/>
      <c r="K3862" s="79"/>
      <c r="L3862" s="80" t="str">
        <f aca="false">IF(AND(J3862&lt;&gt;"",K3862&lt;&gt;""),J3862*K3862,"")</f>
        <v/>
      </c>
      <c r="M3862" s="81" t="str">
        <f aca="false">IF(L3862&lt;&gt;"",L3862*1.1,"")</f>
        <v/>
      </c>
      <c r="N3862" s="53" t="n">
        <f aca="false">IF(F3862="S",L3862*0.02,0)</f>
        <v>0</v>
      </c>
      <c r="O3862" s="82" t="str">
        <f aca="false">IF(L3862&lt;&gt;"",L3862+N3862,"")</f>
        <v/>
      </c>
      <c r="P3862" s="53" t="str">
        <f aca="false">IF(O3862&lt;&gt;"",O3862*0.1,"")</f>
        <v/>
      </c>
      <c r="Q3862" s="83" t="str">
        <f aca="false">IF(O3862&lt;&gt;"",O3862+P3862,"")</f>
        <v/>
      </c>
      <c r="R3862" s="84"/>
    </row>
    <row r="3863" customFormat="false" ht="15" hidden="false" customHeight="true" outlineLevel="0" collapsed="false">
      <c r="A3863" s="103"/>
      <c r="B3863" s="85"/>
      <c r="C3863" s="86"/>
      <c r="D3863" s="87"/>
      <c r="E3863" s="46" t="str">
        <f aca="false">IF(D3863&lt;&gt;"",IFERROR(VLOOKUP(D3863,PROVEEDORES!$A:$B,2,0),"!COD NO ENCONTRADO"),"")</f>
        <v/>
      </c>
      <c r="F3863" s="88" t="str">
        <f aca="false">IF(D3863&lt;&gt;"",IFERROR(VLOOKUP(D3863,PROVEEDORES!$A:$C,3,0),""),"")</f>
        <v/>
      </c>
      <c r="G3863" s="87"/>
      <c r="H3863" s="46" t="str">
        <f aca="false">IF(G3863&lt;&gt;"",IFERROR(VLOOKUP(G3863,PRODUCTOS!$A:$B,2,0),"!COD NO ENCONTRADO"),"")</f>
        <v/>
      </c>
      <c r="I3863" s="89"/>
      <c r="J3863" s="90"/>
      <c r="K3863" s="91"/>
      <c r="L3863" s="80" t="str">
        <f aca="false">IF(AND(J3863&lt;&gt;"",K3863&lt;&gt;""),J3863*K3863,"")</f>
        <v/>
      </c>
      <c r="M3863" s="81" t="str">
        <f aca="false">IF(L3863&lt;&gt;"",L3863*1.1,"")</f>
        <v/>
      </c>
      <c r="N3863" s="47" t="n">
        <f aca="false">IF(F3863="S",L3863*0.02,0)</f>
        <v>0</v>
      </c>
      <c r="O3863" s="82" t="str">
        <f aca="false">IF(L3863&lt;&gt;"",L3863+N3863,"")</f>
        <v/>
      </c>
      <c r="P3863" s="47" t="str">
        <f aca="false">IF(O3863&lt;&gt;"",O3863*0.1,"")</f>
        <v/>
      </c>
      <c r="Q3863" s="83" t="str">
        <f aca="false">IF(O3863&lt;&gt;"",O3863+P3863,"")</f>
        <v/>
      </c>
      <c r="R3863" s="84"/>
    </row>
    <row r="3864" customFormat="false" ht="15" hidden="false" customHeight="true" outlineLevel="0" collapsed="false">
      <c r="A3864" s="103"/>
      <c r="B3864" s="73"/>
      <c r="C3864" s="74"/>
      <c r="D3864" s="75"/>
      <c r="E3864" s="52" t="str">
        <f aca="false">IF(D3864&lt;&gt;"",IFERROR(VLOOKUP(D3864,PROVEEDORES!$A:$B,2,0),"!COD NO ENCONTRADO"),"")</f>
        <v/>
      </c>
      <c r="F3864" s="76" t="str">
        <f aca="false">IF(D3864&lt;&gt;"",IFERROR(VLOOKUP(D3864,PROVEEDORES!$A:$C,3,0),""),"")</f>
        <v/>
      </c>
      <c r="G3864" s="75"/>
      <c r="H3864" s="52" t="str">
        <f aca="false">IF(G3864&lt;&gt;"",IFERROR(VLOOKUP(G3864,PRODUCTOS!$A:$B,2,0),"!COD NO ENCONTRADO"),"")</f>
        <v/>
      </c>
      <c r="I3864" s="77"/>
      <c r="J3864" s="78"/>
      <c r="K3864" s="79"/>
      <c r="L3864" s="80" t="str">
        <f aca="false">IF(AND(J3864&lt;&gt;"",K3864&lt;&gt;""),J3864*K3864,"")</f>
        <v/>
      </c>
      <c r="M3864" s="81" t="str">
        <f aca="false">IF(L3864&lt;&gt;"",L3864*1.1,"")</f>
        <v/>
      </c>
      <c r="N3864" s="53" t="n">
        <f aca="false">IF(F3864="S",L3864*0.02,0)</f>
        <v>0</v>
      </c>
      <c r="O3864" s="82" t="str">
        <f aca="false">IF(L3864&lt;&gt;"",L3864+N3864,"")</f>
        <v/>
      </c>
      <c r="P3864" s="53" t="str">
        <f aca="false">IF(O3864&lt;&gt;"",O3864*0.1,"")</f>
        <v/>
      </c>
      <c r="Q3864" s="83" t="str">
        <f aca="false">IF(O3864&lt;&gt;"",O3864+P3864,"")</f>
        <v/>
      </c>
      <c r="R3864" s="84"/>
    </row>
    <row r="3865" customFormat="false" ht="15" hidden="false" customHeight="true" outlineLevel="0" collapsed="false">
      <c r="A3865" s="103"/>
      <c r="B3865" s="85"/>
      <c r="C3865" s="86"/>
      <c r="D3865" s="87"/>
      <c r="E3865" s="46" t="str">
        <f aca="false">IF(D3865&lt;&gt;"",IFERROR(VLOOKUP(D3865,PROVEEDORES!$A:$B,2,0),"!COD NO ENCONTRADO"),"")</f>
        <v/>
      </c>
      <c r="F3865" s="88" t="str">
        <f aca="false">IF(D3865&lt;&gt;"",IFERROR(VLOOKUP(D3865,PROVEEDORES!$A:$C,3,0),""),"")</f>
        <v/>
      </c>
      <c r="G3865" s="87"/>
      <c r="H3865" s="46" t="str">
        <f aca="false">IF(G3865&lt;&gt;"",IFERROR(VLOOKUP(G3865,PRODUCTOS!$A:$B,2,0),"!COD NO ENCONTRADO"),"")</f>
        <v/>
      </c>
      <c r="I3865" s="89"/>
      <c r="J3865" s="90"/>
      <c r="K3865" s="91"/>
      <c r="L3865" s="80" t="str">
        <f aca="false">IF(AND(J3865&lt;&gt;"",K3865&lt;&gt;""),J3865*K3865,"")</f>
        <v/>
      </c>
      <c r="M3865" s="81" t="str">
        <f aca="false">IF(L3865&lt;&gt;"",L3865*1.1,"")</f>
        <v/>
      </c>
      <c r="N3865" s="47" t="n">
        <f aca="false">IF(F3865="S",L3865*0.02,0)</f>
        <v>0</v>
      </c>
      <c r="O3865" s="82" t="str">
        <f aca="false">IF(L3865&lt;&gt;"",L3865+N3865,"")</f>
        <v/>
      </c>
      <c r="P3865" s="47" t="str">
        <f aca="false">IF(O3865&lt;&gt;"",O3865*0.1,"")</f>
        <v/>
      </c>
      <c r="Q3865" s="83" t="str">
        <f aca="false">IF(O3865&lt;&gt;"",O3865+P3865,"")</f>
        <v/>
      </c>
      <c r="R3865" s="84"/>
    </row>
    <row r="3866" customFormat="false" ht="15" hidden="false" customHeight="true" outlineLevel="0" collapsed="false">
      <c r="A3866" s="103"/>
      <c r="B3866" s="73"/>
      <c r="C3866" s="74"/>
      <c r="D3866" s="75"/>
      <c r="E3866" s="52" t="str">
        <f aca="false">IF(D3866&lt;&gt;"",IFERROR(VLOOKUP(D3866,PROVEEDORES!$A:$B,2,0),"!COD NO ENCONTRADO"),"")</f>
        <v/>
      </c>
      <c r="F3866" s="76" t="str">
        <f aca="false">IF(D3866&lt;&gt;"",IFERROR(VLOOKUP(D3866,PROVEEDORES!$A:$C,3,0),""),"")</f>
        <v/>
      </c>
      <c r="G3866" s="75"/>
      <c r="H3866" s="52" t="str">
        <f aca="false">IF(G3866&lt;&gt;"",IFERROR(VLOOKUP(G3866,PRODUCTOS!$A:$B,2,0),"!COD NO ENCONTRADO"),"")</f>
        <v/>
      </c>
      <c r="I3866" s="77"/>
      <c r="J3866" s="78"/>
      <c r="K3866" s="79"/>
      <c r="L3866" s="80" t="str">
        <f aca="false">IF(AND(J3866&lt;&gt;"",K3866&lt;&gt;""),J3866*K3866,"")</f>
        <v/>
      </c>
      <c r="M3866" s="81" t="str">
        <f aca="false">IF(L3866&lt;&gt;"",L3866*1.1,"")</f>
        <v/>
      </c>
      <c r="N3866" s="53" t="n">
        <f aca="false">IF(F3866="S",L3866*0.02,0)</f>
        <v>0</v>
      </c>
      <c r="O3866" s="82" t="str">
        <f aca="false">IF(L3866&lt;&gt;"",L3866+N3866,"")</f>
        <v/>
      </c>
      <c r="P3866" s="53" t="str">
        <f aca="false">IF(O3866&lt;&gt;"",O3866*0.1,"")</f>
        <v/>
      </c>
      <c r="Q3866" s="83" t="str">
        <f aca="false">IF(O3866&lt;&gt;"",O3866+P3866,"")</f>
        <v/>
      </c>
      <c r="R3866" s="84"/>
    </row>
    <row r="3867" customFormat="false" ht="15" hidden="false" customHeight="true" outlineLevel="0" collapsed="false">
      <c r="A3867" s="103"/>
      <c r="B3867" s="85"/>
      <c r="C3867" s="86"/>
      <c r="D3867" s="87"/>
      <c r="E3867" s="46" t="str">
        <f aca="false">IF(D3867&lt;&gt;"",IFERROR(VLOOKUP(D3867,PROVEEDORES!$A:$B,2,0),"!COD NO ENCONTRADO"),"")</f>
        <v/>
      </c>
      <c r="F3867" s="88" t="str">
        <f aca="false">IF(D3867&lt;&gt;"",IFERROR(VLOOKUP(D3867,PROVEEDORES!$A:$C,3,0),""),"")</f>
        <v/>
      </c>
      <c r="G3867" s="87"/>
      <c r="H3867" s="46" t="str">
        <f aca="false">IF(G3867&lt;&gt;"",IFERROR(VLOOKUP(G3867,PRODUCTOS!$A:$B,2,0),"!COD NO ENCONTRADO"),"")</f>
        <v/>
      </c>
      <c r="I3867" s="89"/>
      <c r="J3867" s="90"/>
      <c r="K3867" s="91"/>
      <c r="L3867" s="80" t="str">
        <f aca="false">IF(AND(J3867&lt;&gt;"",K3867&lt;&gt;""),J3867*K3867,"")</f>
        <v/>
      </c>
      <c r="M3867" s="81" t="str">
        <f aca="false">IF(L3867&lt;&gt;"",L3867*1.1,"")</f>
        <v/>
      </c>
      <c r="N3867" s="47" t="n">
        <f aca="false">IF(F3867="S",L3867*0.02,0)</f>
        <v>0</v>
      </c>
      <c r="O3867" s="82" t="str">
        <f aca="false">IF(L3867&lt;&gt;"",L3867+N3867,"")</f>
        <v/>
      </c>
      <c r="P3867" s="47" t="str">
        <f aca="false">IF(O3867&lt;&gt;"",O3867*0.1,"")</f>
        <v/>
      </c>
      <c r="Q3867" s="83" t="str">
        <f aca="false">IF(O3867&lt;&gt;"",O3867+P3867,"")</f>
        <v/>
      </c>
      <c r="R3867" s="84"/>
    </row>
    <row r="3868" customFormat="false" ht="15" hidden="false" customHeight="true" outlineLevel="0" collapsed="false">
      <c r="A3868" s="103"/>
      <c r="B3868" s="73"/>
      <c r="C3868" s="74"/>
      <c r="D3868" s="75"/>
      <c r="E3868" s="52" t="str">
        <f aca="false">IF(D3868&lt;&gt;"",IFERROR(VLOOKUP(D3868,PROVEEDORES!$A:$B,2,0),"!COD NO ENCONTRADO"),"")</f>
        <v/>
      </c>
      <c r="F3868" s="76" t="str">
        <f aca="false">IF(D3868&lt;&gt;"",IFERROR(VLOOKUP(D3868,PROVEEDORES!$A:$C,3,0),""),"")</f>
        <v/>
      </c>
      <c r="G3868" s="75"/>
      <c r="H3868" s="52" t="str">
        <f aca="false">IF(G3868&lt;&gt;"",IFERROR(VLOOKUP(G3868,PRODUCTOS!$A:$B,2,0),"!COD NO ENCONTRADO"),"")</f>
        <v/>
      </c>
      <c r="I3868" s="77"/>
      <c r="J3868" s="78"/>
      <c r="K3868" s="79"/>
      <c r="L3868" s="80" t="str">
        <f aca="false">IF(AND(J3868&lt;&gt;"",K3868&lt;&gt;""),J3868*K3868,"")</f>
        <v/>
      </c>
      <c r="M3868" s="81" t="str">
        <f aca="false">IF(L3868&lt;&gt;"",L3868*1.1,"")</f>
        <v/>
      </c>
      <c r="N3868" s="53" t="n">
        <f aca="false">IF(F3868="S",L3868*0.02,0)</f>
        <v>0</v>
      </c>
      <c r="O3868" s="82" t="str">
        <f aca="false">IF(L3868&lt;&gt;"",L3868+N3868,"")</f>
        <v/>
      </c>
      <c r="P3868" s="53" t="str">
        <f aca="false">IF(O3868&lt;&gt;"",O3868*0.1,"")</f>
        <v/>
      </c>
      <c r="Q3868" s="83" t="str">
        <f aca="false">IF(O3868&lt;&gt;"",O3868+P3868,"")</f>
        <v/>
      </c>
      <c r="R3868" s="84"/>
    </row>
    <row r="3869" customFormat="false" ht="15" hidden="false" customHeight="true" outlineLevel="0" collapsed="false">
      <c r="A3869" s="103"/>
      <c r="B3869" s="85"/>
      <c r="C3869" s="86"/>
      <c r="D3869" s="87"/>
      <c r="E3869" s="46" t="str">
        <f aca="false">IF(D3869&lt;&gt;"",IFERROR(VLOOKUP(D3869,PROVEEDORES!$A:$B,2,0),"!COD NO ENCONTRADO"),"")</f>
        <v/>
      </c>
      <c r="F3869" s="88" t="str">
        <f aca="false">IF(D3869&lt;&gt;"",IFERROR(VLOOKUP(D3869,PROVEEDORES!$A:$C,3,0),""),"")</f>
        <v/>
      </c>
      <c r="G3869" s="87"/>
      <c r="H3869" s="46" t="str">
        <f aca="false">IF(G3869&lt;&gt;"",IFERROR(VLOOKUP(G3869,PRODUCTOS!$A:$B,2,0),"!COD NO ENCONTRADO"),"")</f>
        <v/>
      </c>
      <c r="I3869" s="89"/>
      <c r="J3869" s="90"/>
      <c r="K3869" s="91"/>
      <c r="L3869" s="80" t="str">
        <f aca="false">IF(AND(J3869&lt;&gt;"",K3869&lt;&gt;""),J3869*K3869,"")</f>
        <v/>
      </c>
      <c r="M3869" s="81" t="str">
        <f aca="false">IF(L3869&lt;&gt;"",L3869*1.1,"")</f>
        <v/>
      </c>
      <c r="N3869" s="47" t="n">
        <f aca="false">IF(F3869="S",L3869*0.02,0)</f>
        <v>0</v>
      </c>
      <c r="O3869" s="82" t="str">
        <f aca="false">IF(L3869&lt;&gt;"",L3869+N3869,"")</f>
        <v/>
      </c>
      <c r="P3869" s="47" t="str">
        <f aca="false">IF(O3869&lt;&gt;"",O3869*0.1,"")</f>
        <v/>
      </c>
      <c r="Q3869" s="83" t="str">
        <f aca="false">IF(O3869&lt;&gt;"",O3869+P3869,"")</f>
        <v/>
      </c>
      <c r="R3869" s="84"/>
    </row>
    <row r="3870" customFormat="false" ht="15" hidden="false" customHeight="true" outlineLevel="0" collapsed="false">
      <c r="A3870" s="103"/>
      <c r="B3870" s="73"/>
      <c r="C3870" s="74"/>
      <c r="D3870" s="75"/>
      <c r="E3870" s="52" t="str">
        <f aca="false">IF(D3870&lt;&gt;"",IFERROR(VLOOKUP(D3870,PROVEEDORES!$A:$B,2,0),"!COD NO ENCONTRADO"),"")</f>
        <v/>
      </c>
      <c r="F3870" s="76" t="str">
        <f aca="false">IF(D3870&lt;&gt;"",IFERROR(VLOOKUP(D3870,PROVEEDORES!$A:$C,3,0),""),"")</f>
        <v/>
      </c>
      <c r="G3870" s="75"/>
      <c r="H3870" s="52" t="str">
        <f aca="false">IF(G3870&lt;&gt;"",IFERROR(VLOOKUP(G3870,PRODUCTOS!$A:$B,2,0),"!COD NO ENCONTRADO"),"")</f>
        <v/>
      </c>
      <c r="I3870" s="77"/>
      <c r="J3870" s="78"/>
      <c r="K3870" s="79"/>
      <c r="L3870" s="80" t="str">
        <f aca="false">IF(AND(J3870&lt;&gt;"",K3870&lt;&gt;""),J3870*K3870,"")</f>
        <v/>
      </c>
      <c r="M3870" s="81" t="str">
        <f aca="false">IF(L3870&lt;&gt;"",L3870*1.1,"")</f>
        <v/>
      </c>
      <c r="N3870" s="53" t="n">
        <f aca="false">IF(F3870="S",L3870*0.02,0)</f>
        <v>0</v>
      </c>
      <c r="O3870" s="82" t="str">
        <f aca="false">IF(L3870&lt;&gt;"",L3870+N3870,"")</f>
        <v/>
      </c>
      <c r="P3870" s="53" t="str">
        <f aca="false">IF(O3870&lt;&gt;"",O3870*0.1,"")</f>
        <v/>
      </c>
      <c r="Q3870" s="83" t="str">
        <f aca="false">IF(O3870&lt;&gt;"",O3870+P3870,"")</f>
        <v/>
      </c>
      <c r="R3870" s="84"/>
    </row>
    <row r="3871" customFormat="false" ht="15" hidden="false" customHeight="true" outlineLevel="0" collapsed="false">
      <c r="A3871" s="103"/>
      <c r="B3871" s="85"/>
      <c r="C3871" s="86"/>
      <c r="D3871" s="87"/>
      <c r="E3871" s="46" t="str">
        <f aca="false">IF(D3871&lt;&gt;"",IFERROR(VLOOKUP(D3871,PROVEEDORES!$A:$B,2,0),"!COD NO ENCONTRADO"),"")</f>
        <v/>
      </c>
      <c r="F3871" s="88" t="str">
        <f aca="false">IF(D3871&lt;&gt;"",IFERROR(VLOOKUP(D3871,PROVEEDORES!$A:$C,3,0),""),"")</f>
        <v/>
      </c>
      <c r="G3871" s="87"/>
      <c r="H3871" s="46" t="str">
        <f aca="false">IF(G3871&lt;&gt;"",IFERROR(VLOOKUP(G3871,PRODUCTOS!$A:$B,2,0),"!COD NO ENCONTRADO"),"")</f>
        <v/>
      </c>
      <c r="I3871" s="89"/>
      <c r="J3871" s="90"/>
      <c r="K3871" s="91"/>
      <c r="L3871" s="80" t="str">
        <f aca="false">IF(AND(J3871&lt;&gt;"",K3871&lt;&gt;""),J3871*K3871,"")</f>
        <v/>
      </c>
      <c r="M3871" s="81" t="str">
        <f aca="false">IF(L3871&lt;&gt;"",L3871*1.1,"")</f>
        <v/>
      </c>
      <c r="N3871" s="47" t="n">
        <f aca="false">IF(F3871="S",L3871*0.02,0)</f>
        <v>0</v>
      </c>
      <c r="O3871" s="82" t="str">
        <f aca="false">IF(L3871&lt;&gt;"",L3871+N3871,"")</f>
        <v/>
      </c>
      <c r="P3871" s="47" t="str">
        <f aca="false">IF(O3871&lt;&gt;"",O3871*0.1,"")</f>
        <v/>
      </c>
      <c r="Q3871" s="83" t="str">
        <f aca="false">IF(O3871&lt;&gt;"",O3871+P3871,"")</f>
        <v/>
      </c>
      <c r="R3871" s="84"/>
    </row>
    <row r="3872" customFormat="false" ht="15" hidden="false" customHeight="true" outlineLevel="0" collapsed="false">
      <c r="A3872" s="103"/>
      <c r="B3872" s="73"/>
      <c r="C3872" s="74"/>
      <c r="D3872" s="75"/>
      <c r="E3872" s="52" t="str">
        <f aca="false">IF(D3872&lt;&gt;"",IFERROR(VLOOKUP(D3872,PROVEEDORES!$A:$B,2,0),"!COD NO ENCONTRADO"),"")</f>
        <v/>
      </c>
      <c r="F3872" s="76" t="str">
        <f aca="false">IF(D3872&lt;&gt;"",IFERROR(VLOOKUP(D3872,PROVEEDORES!$A:$C,3,0),""),"")</f>
        <v/>
      </c>
      <c r="G3872" s="75"/>
      <c r="H3872" s="52" t="str">
        <f aca="false">IF(G3872&lt;&gt;"",IFERROR(VLOOKUP(G3872,PRODUCTOS!$A:$B,2,0),"!COD NO ENCONTRADO"),"")</f>
        <v/>
      </c>
      <c r="I3872" s="77"/>
      <c r="J3872" s="78"/>
      <c r="K3872" s="79"/>
      <c r="L3872" s="80" t="str">
        <f aca="false">IF(AND(J3872&lt;&gt;"",K3872&lt;&gt;""),J3872*K3872,"")</f>
        <v/>
      </c>
      <c r="M3872" s="81" t="str">
        <f aca="false">IF(L3872&lt;&gt;"",L3872*1.1,"")</f>
        <v/>
      </c>
      <c r="N3872" s="53" t="n">
        <f aca="false">IF(F3872="S",L3872*0.02,0)</f>
        <v>0</v>
      </c>
      <c r="O3872" s="82" t="str">
        <f aca="false">IF(L3872&lt;&gt;"",L3872+N3872,"")</f>
        <v/>
      </c>
      <c r="P3872" s="53" t="str">
        <f aca="false">IF(O3872&lt;&gt;"",O3872*0.1,"")</f>
        <v/>
      </c>
      <c r="Q3872" s="83" t="str">
        <f aca="false">IF(O3872&lt;&gt;"",O3872+P3872,"")</f>
        <v/>
      </c>
      <c r="R3872" s="84"/>
    </row>
    <row r="3873" customFormat="false" ht="15" hidden="false" customHeight="true" outlineLevel="0" collapsed="false">
      <c r="A3873" s="103"/>
      <c r="B3873" s="85"/>
      <c r="C3873" s="86"/>
      <c r="D3873" s="87"/>
      <c r="E3873" s="46" t="str">
        <f aca="false">IF(D3873&lt;&gt;"",IFERROR(VLOOKUP(D3873,PROVEEDORES!$A:$B,2,0),"!COD NO ENCONTRADO"),"")</f>
        <v/>
      </c>
      <c r="F3873" s="88" t="str">
        <f aca="false">IF(D3873&lt;&gt;"",IFERROR(VLOOKUP(D3873,PROVEEDORES!$A:$C,3,0),""),"")</f>
        <v/>
      </c>
      <c r="G3873" s="87"/>
      <c r="H3873" s="46" t="str">
        <f aca="false">IF(G3873&lt;&gt;"",IFERROR(VLOOKUP(G3873,PRODUCTOS!$A:$B,2,0),"!COD NO ENCONTRADO"),"")</f>
        <v/>
      </c>
      <c r="I3873" s="89"/>
      <c r="J3873" s="90"/>
      <c r="K3873" s="91"/>
      <c r="L3873" s="80" t="str">
        <f aca="false">IF(AND(J3873&lt;&gt;"",K3873&lt;&gt;""),J3873*K3873,"")</f>
        <v/>
      </c>
      <c r="M3873" s="81" t="str">
        <f aca="false">IF(L3873&lt;&gt;"",L3873*1.1,"")</f>
        <v/>
      </c>
      <c r="N3873" s="47" t="n">
        <f aca="false">IF(F3873="S",L3873*0.02,0)</f>
        <v>0</v>
      </c>
      <c r="O3873" s="82" t="str">
        <f aca="false">IF(L3873&lt;&gt;"",L3873+N3873,"")</f>
        <v/>
      </c>
      <c r="P3873" s="47" t="str">
        <f aca="false">IF(O3873&lt;&gt;"",O3873*0.1,"")</f>
        <v/>
      </c>
      <c r="Q3873" s="83" t="str">
        <f aca="false">IF(O3873&lt;&gt;"",O3873+P3873,"")</f>
        <v/>
      </c>
      <c r="R3873" s="84"/>
    </row>
    <row r="3874" customFormat="false" ht="15" hidden="false" customHeight="true" outlineLevel="0" collapsed="false">
      <c r="A3874" s="103"/>
      <c r="B3874" s="73"/>
      <c r="C3874" s="74"/>
      <c r="D3874" s="75"/>
      <c r="E3874" s="52" t="str">
        <f aca="false">IF(D3874&lt;&gt;"",IFERROR(VLOOKUP(D3874,PROVEEDORES!$A:$B,2,0),"!COD NO ENCONTRADO"),"")</f>
        <v/>
      </c>
      <c r="F3874" s="76" t="str">
        <f aca="false">IF(D3874&lt;&gt;"",IFERROR(VLOOKUP(D3874,PROVEEDORES!$A:$C,3,0),""),"")</f>
        <v/>
      </c>
      <c r="G3874" s="75"/>
      <c r="H3874" s="52" t="str">
        <f aca="false">IF(G3874&lt;&gt;"",IFERROR(VLOOKUP(G3874,PRODUCTOS!$A:$B,2,0),"!COD NO ENCONTRADO"),"")</f>
        <v/>
      </c>
      <c r="I3874" s="77"/>
      <c r="J3874" s="78"/>
      <c r="K3874" s="79"/>
      <c r="L3874" s="80" t="str">
        <f aca="false">IF(AND(J3874&lt;&gt;"",K3874&lt;&gt;""),J3874*K3874,"")</f>
        <v/>
      </c>
      <c r="M3874" s="81" t="str">
        <f aca="false">IF(L3874&lt;&gt;"",L3874*1.1,"")</f>
        <v/>
      </c>
      <c r="N3874" s="53" t="n">
        <f aca="false">IF(F3874="S",L3874*0.02,0)</f>
        <v>0</v>
      </c>
      <c r="O3874" s="82" t="str">
        <f aca="false">IF(L3874&lt;&gt;"",L3874+N3874,"")</f>
        <v/>
      </c>
      <c r="P3874" s="53" t="str">
        <f aca="false">IF(O3874&lt;&gt;"",O3874*0.1,"")</f>
        <v/>
      </c>
      <c r="Q3874" s="83" t="str">
        <f aca="false">IF(O3874&lt;&gt;"",O3874+P3874,"")</f>
        <v/>
      </c>
      <c r="R3874" s="84"/>
    </row>
    <row r="3875" customFormat="false" ht="15" hidden="false" customHeight="true" outlineLevel="0" collapsed="false">
      <c r="A3875" s="103"/>
      <c r="B3875" s="85"/>
      <c r="C3875" s="86"/>
      <c r="D3875" s="87"/>
      <c r="E3875" s="46" t="str">
        <f aca="false">IF(D3875&lt;&gt;"",IFERROR(VLOOKUP(D3875,PROVEEDORES!$A:$B,2,0),"!COD NO ENCONTRADO"),"")</f>
        <v/>
      </c>
      <c r="F3875" s="88" t="str">
        <f aca="false">IF(D3875&lt;&gt;"",IFERROR(VLOOKUP(D3875,PROVEEDORES!$A:$C,3,0),""),"")</f>
        <v/>
      </c>
      <c r="G3875" s="87"/>
      <c r="H3875" s="46" t="str">
        <f aca="false">IF(G3875&lt;&gt;"",IFERROR(VLOOKUP(G3875,PRODUCTOS!$A:$B,2,0),"!COD NO ENCONTRADO"),"")</f>
        <v/>
      </c>
      <c r="I3875" s="89"/>
      <c r="J3875" s="90"/>
      <c r="K3875" s="91"/>
      <c r="L3875" s="80" t="str">
        <f aca="false">IF(AND(J3875&lt;&gt;"",K3875&lt;&gt;""),J3875*K3875,"")</f>
        <v/>
      </c>
      <c r="M3875" s="81" t="str">
        <f aca="false">IF(L3875&lt;&gt;"",L3875*1.1,"")</f>
        <v/>
      </c>
      <c r="N3875" s="47" t="n">
        <f aca="false">IF(F3875="S",L3875*0.02,0)</f>
        <v>0</v>
      </c>
      <c r="O3875" s="82" t="str">
        <f aca="false">IF(L3875&lt;&gt;"",L3875+N3875,"")</f>
        <v/>
      </c>
      <c r="P3875" s="47" t="str">
        <f aca="false">IF(O3875&lt;&gt;"",O3875*0.1,"")</f>
        <v/>
      </c>
      <c r="Q3875" s="83" t="str">
        <f aca="false">IF(O3875&lt;&gt;"",O3875+P3875,"")</f>
        <v/>
      </c>
      <c r="R3875" s="84"/>
    </row>
    <row r="3876" customFormat="false" ht="15" hidden="false" customHeight="true" outlineLevel="0" collapsed="false">
      <c r="A3876" s="103"/>
      <c r="B3876" s="73"/>
      <c r="C3876" s="74"/>
      <c r="D3876" s="75"/>
      <c r="E3876" s="52" t="str">
        <f aca="false">IF(D3876&lt;&gt;"",IFERROR(VLOOKUP(D3876,PROVEEDORES!$A:$B,2,0),"!COD NO ENCONTRADO"),"")</f>
        <v/>
      </c>
      <c r="F3876" s="76" t="str">
        <f aca="false">IF(D3876&lt;&gt;"",IFERROR(VLOOKUP(D3876,PROVEEDORES!$A:$C,3,0),""),"")</f>
        <v/>
      </c>
      <c r="G3876" s="75"/>
      <c r="H3876" s="52" t="str">
        <f aca="false">IF(G3876&lt;&gt;"",IFERROR(VLOOKUP(G3876,PRODUCTOS!$A:$B,2,0),"!COD NO ENCONTRADO"),"")</f>
        <v/>
      </c>
      <c r="I3876" s="77"/>
      <c r="J3876" s="78"/>
      <c r="K3876" s="79"/>
      <c r="L3876" s="80" t="str">
        <f aca="false">IF(AND(J3876&lt;&gt;"",K3876&lt;&gt;""),J3876*K3876,"")</f>
        <v/>
      </c>
      <c r="M3876" s="81" t="str">
        <f aca="false">IF(L3876&lt;&gt;"",L3876*1.1,"")</f>
        <v/>
      </c>
      <c r="N3876" s="53" t="n">
        <f aca="false">IF(F3876="S",L3876*0.02,0)</f>
        <v>0</v>
      </c>
      <c r="O3876" s="82" t="str">
        <f aca="false">IF(L3876&lt;&gt;"",L3876+N3876,"")</f>
        <v/>
      </c>
      <c r="P3876" s="53" t="str">
        <f aca="false">IF(O3876&lt;&gt;"",O3876*0.1,"")</f>
        <v/>
      </c>
      <c r="Q3876" s="83" t="str">
        <f aca="false">IF(O3876&lt;&gt;"",O3876+P3876,"")</f>
        <v/>
      </c>
      <c r="R3876" s="84"/>
    </row>
    <row r="3877" customFormat="false" ht="15" hidden="false" customHeight="true" outlineLevel="0" collapsed="false">
      <c r="A3877" s="103"/>
      <c r="B3877" s="85"/>
      <c r="C3877" s="86"/>
      <c r="D3877" s="87"/>
      <c r="E3877" s="46" t="str">
        <f aca="false">IF(D3877&lt;&gt;"",IFERROR(VLOOKUP(D3877,PROVEEDORES!$A:$B,2,0),"!COD NO ENCONTRADO"),"")</f>
        <v/>
      </c>
      <c r="F3877" s="88" t="str">
        <f aca="false">IF(D3877&lt;&gt;"",IFERROR(VLOOKUP(D3877,PROVEEDORES!$A:$C,3,0),""),"")</f>
        <v/>
      </c>
      <c r="G3877" s="87"/>
      <c r="H3877" s="46" t="str">
        <f aca="false">IF(G3877&lt;&gt;"",IFERROR(VLOOKUP(G3877,PRODUCTOS!$A:$B,2,0),"!COD NO ENCONTRADO"),"")</f>
        <v/>
      </c>
      <c r="I3877" s="89"/>
      <c r="J3877" s="90"/>
      <c r="K3877" s="91"/>
      <c r="L3877" s="80" t="str">
        <f aca="false">IF(AND(J3877&lt;&gt;"",K3877&lt;&gt;""),J3877*K3877,"")</f>
        <v/>
      </c>
      <c r="M3877" s="81" t="str">
        <f aca="false">IF(L3877&lt;&gt;"",L3877*1.1,"")</f>
        <v/>
      </c>
      <c r="N3877" s="47" t="n">
        <f aca="false">IF(F3877="S",L3877*0.02,0)</f>
        <v>0</v>
      </c>
      <c r="O3877" s="82" t="str">
        <f aca="false">IF(L3877&lt;&gt;"",L3877+N3877,"")</f>
        <v/>
      </c>
      <c r="P3877" s="47" t="str">
        <f aca="false">IF(O3877&lt;&gt;"",O3877*0.1,"")</f>
        <v/>
      </c>
      <c r="Q3877" s="83" t="str">
        <f aca="false">IF(O3877&lt;&gt;"",O3877+P3877,"")</f>
        <v/>
      </c>
      <c r="R3877" s="84"/>
    </row>
    <row r="3878" customFormat="false" ht="15" hidden="false" customHeight="true" outlineLevel="0" collapsed="false">
      <c r="A3878" s="103"/>
      <c r="B3878" s="73"/>
      <c r="C3878" s="74"/>
      <c r="D3878" s="75"/>
      <c r="E3878" s="52" t="str">
        <f aca="false">IF(D3878&lt;&gt;"",IFERROR(VLOOKUP(D3878,PROVEEDORES!$A:$B,2,0),"!COD NO ENCONTRADO"),"")</f>
        <v/>
      </c>
      <c r="F3878" s="76" t="str">
        <f aca="false">IF(D3878&lt;&gt;"",IFERROR(VLOOKUP(D3878,PROVEEDORES!$A:$C,3,0),""),"")</f>
        <v/>
      </c>
      <c r="G3878" s="75"/>
      <c r="H3878" s="52" t="str">
        <f aca="false">IF(G3878&lt;&gt;"",IFERROR(VLOOKUP(G3878,PRODUCTOS!$A:$B,2,0),"!COD NO ENCONTRADO"),"")</f>
        <v/>
      </c>
      <c r="I3878" s="77"/>
      <c r="J3878" s="78"/>
      <c r="K3878" s="79"/>
      <c r="L3878" s="80" t="str">
        <f aca="false">IF(AND(J3878&lt;&gt;"",K3878&lt;&gt;""),J3878*K3878,"")</f>
        <v/>
      </c>
      <c r="M3878" s="81" t="str">
        <f aca="false">IF(L3878&lt;&gt;"",L3878*1.1,"")</f>
        <v/>
      </c>
      <c r="N3878" s="53" t="n">
        <f aca="false">IF(F3878="S",L3878*0.02,0)</f>
        <v>0</v>
      </c>
      <c r="O3878" s="82" t="str">
        <f aca="false">IF(L3878&lt;&gt;"",L3878+N3878,"")</f>
        <v/>
      </c>
      <c r="P3878" s="53" t="str">
        <f aca="false">IF(O3878&lt;&gt;"",O3878*0.1,"")</f>
        <v/>
      </c>
      <c r="Q3878" s="83" t="str">
        <f aca="false">IF(O3878&lt;&gt;"",O3878+P3878,"")</f>
        <v/>
      </c>
      <c r="R3878" s="84"/>
    </row>
    <row r="3879" customFormat="false" ht="15" hidden="false" customHeight="true" outlineLevel="0" collapsed="false">
      <c r="A3879" s="103"/>
      <c r="B3879" s="85"/>
      <c r="C3879" s="86"/>
      <c r="D3879" s="87"/>
      <c r="E3879" s="46" t="str">
        <f aca="false">IF(D3879&lt;&gt;"",IFERROR(VLOOKUP(D3879,PROVEEDORES!$A:$B,2,0),"!COD NO ENCONTRADO"),"")</f>
        <v/>
      </c>
      <c r="F3879" s="88" t="str">
        <f aca="false">IF(D3879&lt;&gt;"",IFERROR(VLOOKUP(D3879,PROVEEDORES!$A:$C,3,0),""),"")</f>
        <v/>
      </c>
      <c r="G3879" s="87"/>
      <c r="H3879" s="46" t="str">
        <f aca="false">IF(G3879&lt;&gt;"",IFERROR(VLOOKUP(G3879,PRODUCTOS!$A:$B,2,0),"!COD NO ENCONTRADO"),"")</f>
        <v/>
      </c>
      <c r="I3879" s="89"/>
      <c r="J3879" s="90"/>
      <c r="K3879" s="91"/>
      <c r="L3879" s="80" t="str">
        <f aca="false">IF(AND(J3879&lt;&gt;"",K3879&lt;&gt;""),J3879*K3879,"")</f>
        <v/>
      </c>
      <c r="M3879" s="81" t="str">
        <f aca="false">IF(L3879&lt;&gt;"",L3879*1.1,"")</f>
        <v/>
      </c>
      <c r="N3879" s="47" t="n">
        <f aca="false">IF(F3879="S",L3879*0.02,0)</f>
        <v>0</v>
      </c>
      <c r="O3879" s="82" t="str">
        <f aca="false">IF(L3879&lt;&gt;"",L3879+N3879,"")</f>
        <v/>
      </c>
      <c r="P3879" s="47" t="str">
        <f aca="false">IF(O3879&lt;&gt;"",O3879*0.1,"")</f>
        <v/>
      </c>
      <c r="Q3879" s="83" t="str">
        <f aca="false">IF(O3879&lt;&gt;"",O3879+P3879,"")</f>
        <v/>
      </c>
      <c r="R3879" s="84"/>
    </row>
    <row r="3880" customFormat="false" ht="15" hidden="false" customHeight="true" outlineLevel="0" collapsed="false">
      <c r="A3880" s="103"/>
      <c r="B3880" s="73"/>
      <c r="C3880" s="74"/>
      <c r="D3880" s="75"/>
      <c r="E3880" s="52" t="str">
        <f aca="false">IF(D3880&lt;&gt;"",IFERROR(VLOOKUP(D3880,PROVEEDORES!$A:$B,2,0),"!COD NO ENCONTRADO"),"")</f>
        <v/>
      </c>
      <c r="F3880" s="76" t="str">
        <f aca="false">IF(D3880&lt;&gt;"",IFERROR(VLOOKUP(D3880,PROVEEDORES!$A:$C,3,0),""),"")</f>
        <v/>
      </c>
      <c r="G3880" s="75"/>
      <c r="H3880" s="52" t="str">
        <f aca="false">IF(G3880&lt;&gt;"",IFERROR(VLOOKUP(G3880,PRODUCTOS!$A:$B,2,0),"!COD NO ENCONTRADO"),"")</f>
        <v/>
      </c>
      <c r="I3880" s="77"/>
      <c r="J3880" s="78"/>
      <c r="K3880" s="79"/>
      <c r="L3880" s="80" t="str">
        <f aca="false">IF(AND(J3880&lt;&gt;"",K3880&lt;&gt;""),J3880*K3880,"")</f>
        <v/>
      </c>
      <c r="M3880" s="81" t="str">
        <f aca="false">IF(L3880&lt;&gt;"",L3880*1.1,"")</f>
        <v/>
      </c>
      <c r="N3880" s="53" t="n">
        <f aca="false">IF(F3880="S",L3880*0.02,0)</f>
        <v>0</v>
      </c>
      <c r="O3880" s="82" t="str">
        <f aca="false">IF(L3880&lt;&gt;"",L3880+N3880,"")</f>
        <v/>
      </c>
      <c r="P3880" s="53" t="str">
        <f aca="false">IF(O3880&lt;&gt;"",O3880*0.1,"")</f>
        <v/>
      </c>
      <c r="Q3880" s="83" t="str">
        <f aca="false">IF(O3880&lt;&gt;"",O3880+P3880,"")</f>
        <v/>
      </c>
      <c r="R3880" s="84"/>
    </row>
    <row r="3881" customFormat="false" ht="15" hidden="false" customHeight="true" outlineLevel="0" collapsed="false">
      <c r="A3881" s="103"/>
      <c r="B3881" s="85"/>
      <c r="C3881" s="86"/>
      <c r="D3881" s="87"/>
      <c r="E3881" s="46" t="str">
        <f aca="false">IF(D3881&lt;&gt;"",IFERROR(VLOOKUP(D3881,PROVEEDORES!$A:$B,2,0),"!COD NO ENCONTRADO"),"")</f>
        <v/>
      </c>
      <c r="F3881" s="88" t="str">
        <f aca="false">IF(D3881&lt;&gt;"",IFERROR(VLOOKUP(D3881,PROVEEDORES!$A:$C,3,0),""),"")</f>
        <v/>
      </c>
      <c r="G3881" s="87"/>
      <c r="H3881" s="46" t="str">
        <f aca="false">IF(G3881&lt;&gt;"",IFERROR(VLOOKUP(G3881,PRODUCTOS!$A:$B,2,0),"!COD NO ENCONTRADO"),"")</f>
        <v/>
      </c>
      <c r="I3881" s="89"/>
      <c r="J3881" s="90"/>
      <c r="K3881" s="91"/>
      <c r="L3881" s="80" t="str">
        <f aca="false">IF(AND(J3881&lt;&gt;"",K3881&lt;&gt;""),J3881*K3881,"")</f>
        <v/>
      </c>
      <c r="M3881" s="81" t="str">
        <f aca="false">IF(L3881&lt;&gt;"",L3881*1.1,"")</f>
        <v/>
      </c>
      <c r="N3881" s="47" t="n">
        <f aca="false">IF(F3881="S",L3881*0.02,0)</f>
        <v>0</v>
      </c>
      <c r="O3881" s="82" t="str">
        <f aca="false">IF(L3881&lt;&gt;"",L3881+N3881,"")</f>
        <v/>
      </c>
      <c r="P3881" s="47" t="str">
        <f aca="false">IF(O3881&lt;&gt;"",O3881*0.1,"")</f>
        <v/>
      </c>
      <c r="Q3881" s="83" t="str">
        <f aca="false">IF(O3881&lt;&gt;"",O3881+P3881,"")</f>
        <v/>
      </c>
      <c r="R3881" s="84"/>
    </row>
    <row r="3882" customFormat="false" ht="15" hidden="false" customHeight="true" outlineLevel="0" collapsed="false">
      <c r="A3882" s="103"/>
      <c r="B3882" s="73"/>
      <c r="C3882" s="74"/>
      <c r="D3882" s="75"/>
      <c r="E3882" s="52" t="str">
        <f aca="false">IF(D3882&lt;&gt;"",IFERROR(VLOOKUP(D3882,PROVEEDORES!$A:$B,2,0),"!COD NO ENCONTRADO"),"")</f>
        <v/>
      </c>
      <c r="F3882" s="76" t="str">
        <f aca="false">IF(D3882&lt;&gt;"",IFERROR(VLOOKUP(D3882,PROVEEDORES!$A:$C,3,0),""),"")</f>
        <v/>
      </c>
      <c r="G3882" s="75"/>
      <c r="H3882" s="52" t="str">
        <f aca="false">IF(G3882&lt;&gt;"",IFERROR(VLOOKUP(G3882,PRODUCTOS!$A:$B,2,0),"!COD NO ENCONTRADO"),"")</f>
        <v/>
      </c>
      <c r="I3882" s="77"/>
      <c r="J3882" s="78"/>
      <c r="K3882" s="79"/>
      <c r="L3882" s="80" t="str">
        <f aca="false">IF(AND(J3882&lt;&gt;"",K3882&lt;&gt;""),J3882*K3882,"")</f>
        <v/>
      </c>
      <c r="M3882" s="81" t="str">
        <f aca="false">IF(L3882&lt;&gt;"",L3882*1.1,"")</f>
        <v/>
      </c>
      <c r="N3882" s="53" t="n">
        <f aca="false">IF(F3882="S",L3882*0.02,0)</f>
        <v>0</v>
      </c>
      <c r="O3882" s="82" t="str">
        <f aca="false">IF(L3882&lt;&gt;"",L3882+N3882,"")</f>
        <v/>
      </c>
      <c r="P3882" s="53" t="str">
        <f aca="false">IF(O3882&lt;&gt;"",O3882*0.1,"")</f>
        <v/>
      </c>
      <c r="Q3882" s="83" t="str">
        <f aca="false">IF(O3882&lt;&gt;"",O3882+P3882,"")</f>
        <v/>
      </c>
      <c r="R3882" s="84"/>
    </row>
    <row r="3883" customFormat="false" ht="15" hidden="false" customHeight="true" outlineLevel="0" collapsed="false">
      <c r="A3883" s="103"/>
      <c r="B3883" s="85"/>
      <c r="C3883" s="86"/>
      <c r="D3883" s="87"/>
      <c r="E3883" s="46" t="str">
        <f aca="false">IF(D3883&lt;&gt;"",IFERROR(VLOOKUP(D3883,PROVEEDORES!$A:$B,2,0),"!COD NO ENCONTRADO"),"")</f>
        <v/>
      </c>
      <c r="F3883" s="88" t="str">
        <f aca="false">IF(D3883&lt;&gt;"",IFERROR(VLOOKUP(D3883,PROVEEDORES!$A:$C,3,0),""),"")</f>
        <v/>
      </c>
      <c r="G3883" s="87"/>
      <c r="H3883" s="46" t="str">
        <f aca="false">IF(G3883&lt;&gt;"",IFERROR(VLOOKUP(G3883,PRODUCTOS!$A:$B,2,0),"!COD NO ENCONTRADO"),"")</f>
        <v/>
      </c>
      <c r="I3883" s="89"/>
      <c r="J3883" s="90"/>
      <c r="K3883" s="91"/>
      <c r="L3883" s="80" t="str">
        <f aca="false">IF(AND(J3883&lt;&gt;"",K3883&lt;&gt;""),J3883*K3883,"")</f>
        <v/>
      </c>
      <c r="M3883" s="81" t="str">
        <f aca="false">IF(L3883&lt;&gt;"",L3883*1.1,"")</f>
        <v/>
      </c>
      <c r="N3883" s="47" t="n">
        <f aca="false">IF(F3883="S",L3883*0.02,0)</f>
        <v>0</v>
      </c>
      <c r="O3883" s="82" t="str">
        <f aca="false">IF(L3883&lt;&gt;"",L3883+N3883,"")</f>
        <v/>
      </c>
      <c r="P3883" s="47" t="str">
        <f aca="false">IF(O3883&lt;&gt;"",O3883*0.1,"")</f>
        <v/>
      </c>
      <c r="Q3883" s="83" t="str">
        <f aca="false">IF(O3883&lt;&gt;"",O3883+P3883,"")</f>
        <v/>
      </c>
      <c r="R3883" s="84"/>
    </row>
    <row r="3884" customFormat="false" ht="15" hidden="false" customHeight="true" outlineLevel="0" collapsed="false">
      <c r="A3884" s="103"/>
      <c r="B3884" s="73"/>
      <c r="C3884" s="74"/>
      <c r="D3884" s="75"/>
      <c r="E3884" s="52" t="str">
        <f aca="false">IF(D3884&lt;&gt;"",IFERROR(VLOOKUP(D3884,PROVEEDORES!$A:$B,2,0),"!COD NO ENCONTRADO"),"")</f>
        <v/>
      </c>
      <c r="F3884" s="76" t="str">
        <f aca="false">IF(D3884&lt;&gt;"",IFERROR(VLOOKUP(D3884,PROVEEDORES!$A:$C,3,0),""),"")</f>
        <v/>
      </c>
      <c r="G3884" s="75"/>
      <c r="H3884" s="52" t="str">
        <f aca="false">IF(G3884&lt;&gt;"",IFERROR(VLOOKUP(G3884,PRODUCTOS!$A:$B,2,0),"!COD NO ENCONTRADO"),"")</f>
        <v/>
      </c>
      <c r="I3884" s="77"/>
      <c r="J3884" s="78"/>
      <c r="K3884" s="79"/>
      <c r="L3884" s="80" t="str">
        <f aca="false">IF(AND(J3884&lt;&gt;"",K3884&lt;&gt;""),J3884*K3884,"")</f>
        <v/>
      </c>
      <c r="M3884" s="81" t="str">
        <f aca="false">IF(L3884&lt;&gt;"",L3884*1.1,"")</f>
        <v/>
      </c>
      <c r="N3884" s="53" t="n">
        <f aca="false">IF(F3884="S",L3884*0.02,0)</f>
        <v>0</v>
      </c>
      <c r="O3884" s="82" t="str">
        <f aca="false">IF(L3884&lt;&gt;"",L3884+N3884,"")</f>
        <v/>
      </c>
      <c r="P3884" s="53" t="str">
        <f aca="false">IF(O3884&lt;&gt;"",O3884*0.1,"")</f>
        <v/>
      </c>
      <c r="Q3884" s="83" t="str">
        <f aca="false">IF(O3884&lt;&gt;"",O3884+P3884,"")</f>
        <v/>
      </c>
      <c r="R3884" s="84"/>
    </row>
    <row r="3885" customFormat="false" ht="15" hidden="false" customHeight="true" outlineLevel="0" collapsed="false">
      <c r="A3885" s="103"/>
      <c r="B3885" s="85"/>
      <c r="C3885" s="86"/>
      <c r="D3885" s="87"/>
      <c r="E3885" s="46" t="str">
        <f aca="false">IF(D3885&lt;&gt;"",IFERROR(VLOOKUP(D3885,PROVEEDORES!$A:$B,2,0),"!COD NO ENCONTRADO"),"")</f>
        <v/>
      </c>
      <c r="F3885" s="88" t="str">
        <f aca="false">IF(D3885&lt;&gt;"",IFERROR(VLOOKUP(D3885,PROVEEDORES!$A:$C,3,0),""),"")</f>
        <v/>
      </c>
      <c r="G3885" s="87"/>
      <c r="H3885" s="46" t="str">
        <f aca="false">IF(G3885&lt;&gt;"",IFERROR(VLOOKUP(G3885,PRODUCTOS!$A:$B,2,0),"!COD NO ENCONTRADO"),"")</f>
        <v/>
      </c>
      <c r="I3885" s="89"/>
      <c r="J3885" s="90"/>
      <c r="K3885" s="91"/>
      <c r="L3885" s="80" t="str">
        <f aca="false">IF(AND(J3885&lt;&gt;"",K3885&lt;&gt;""),J3885*K3885,"")</f>
        <v/>
      </c>
      <c r="M3885" s="81" t="str">
        <f aca="false">IF(L3885&lt;&gt;"",L3885*1.1,"")</f>
        <v/>
      </c>
      <c r="N3885" s="47" t="n">
        <f aca="false">IF(F3885="S",L3885*0.02,0)</f>
        <v>0</v>
      </c>
      <c r="O3885" s="82" t="str">
        <f aca="false">IF(L3885&lt;&gt;"",L3885+N3885,"")</f>
        <v/>
      </c>
      <c r="P3885" s="47" t="str">
        <f aca="false">IF(O3885&lt;&gt;"",O3885*0.1,"")</f>
        <v/>
      </c>
      <c r="Q3885" s="83" t="str">
        <f aca="false">IF(O3885&lt;&gt;"",O3885+P3885,"")</f>
        <v/>
      </c>
      <c r="R3885" s="84"/>
    </row>
    <row r="3886" customFormat="false" ht="15" hidden="false" customHeight="true" outlineLevel="0" collapsed="false">
      <c r="A3886" s="103"/>
      <c r="B3886" s="73"/>
      <c r="C3886" s="74"/>
      <c r="D3886" s="75"/>
      <c r="E3886" s="52" t="str">
        <f aca="false">IF(D3886&lt;&gt;"",IFERROR(VLOOKUP(D3886,PROVEEDORES!$A:$B,2,0),"!COD NO ENCONTRADO"),"")</f>
        <v/>
      </c>
      <c r="F3886" s="76" t="str">
        <f aca="false">IF(D3886&lt;&gt;"",IFERROR(VLOOKUP(D3886,PROVEEDORES!$A:$C,3,0),""),"")</f>
        <v/>
      </c>
      <c r="G3886" s="75"/>
      <c r="H3886" s="52" t="str">
        <f aca="false">IF(G3886&lt;&gt;"",IFERROR(VLOOKUP(G3886,PRODUCTOS!$A:$B,2,0),"!COD NO ENCONTRADO"),"")</f>
        <v/>
      </c>
      <c r="I3886" s="77"/>
      <c r="J3886" s="78"/>
      <c r="K3886" s="79"/>
      <c r="L3886" s="80" t="str">
        <f aca="false">IF(AND(J3886&lt;&gt;"",K3886&lt;&gt;""),J3886*K3886,"")</f>
        <v/>
      </c>
      <c r="M3886" s="81" t="str">
        <f aca="false">IF(L3886&lt;&gt;"",L3886*1.1,"")</f>
        <v/>
      </c>
      <c r="N3886" s="53" t="n">
        <f aca="false">IF(F3886="S",L3886*0.02,0)</f>
        <v>0</v>
      </c>
      <c r="O3886" s="82" t="str">
        <f aca="false">IF(L3886&lt;&gt;"",L3886+N3886,"")</f>
        <v/>
      </c>
      <c r="P3886" s="53" t="str">
        <f aca="false">IF(O3886&lt;&gt;"",O3886*0.1,"")</f>
        <v/>
      </c>
      <c r="Q3886" s="83" t="str">
        <f aca="false">IF(O3886&lt;&gt;"",O3886+P3886,"")</f>
        <v/>
      </c>
      <c r="R3886" s="84"/>
    </row>
    <row r="3887" customFormat="false" ht="15" hidden="false" customHeight="true" outlineLevel="0" collapsed="false">
      <c r="A3887" s="103"/>
      <c r="B3887" s="85"/>
      <c r="C3887" s="86"/>
      <c r="D3887" s="87"/>
      <c r="E3887" s="46" t="str">
        <f aca="false">IF(D3887&lt;&gt;"",IFERROR(VLOOKUP(D3887,PROVEEDORES!$A:$B,2,0),"!COD NO ENCONTRADO"),"")</f>
        <v/>
      </c>
      <c r="F3887" s="88" t="str">
        <f aca="false">IF(D3887&lt;&gt;"",IFERROR(VLOOKUP(D3887,PROVEEDORES!$A:$C,3,0),""),"")</f>
        <v/>
      </c>
      <c r="G3887" s="87"/>
      <c r="H3887" s="46" t="str">
        <f aca="false">IF(G3887&lt;&gt;"",IFERROR(VLOOKUP(G3887,PRODUCTOS!$A:$B,2,0),"!COD NO ENCONTRADO"),"")</f>
        <v/>
      </c>
      <c r="I3887" s="89"/>
      <c r="J3887" s="90"/>
      <c r="K3887" s="91"/>
      <c r="L3887" s="80" t="str">
        <f aca="false">IF(AND(J3887&lt;&gt;"",K3887&lt;&gt;""),J3887*K3887,"")</f>
        <v/>
      </c>
      <c r="M3887" s="81" t="str">
        <f aca="false">IF(L3887&lt;&gt;"",L3887*1.1,"")</f>
        <v/>
      </c>
      <c r="N3887" s="47" t="n">
        <f aca="false">IF(F3887="S",L3887*0.02,0)</f>
        <v>0</v>
      </c>
      <c r="O3887" s="82" t="str">
        <f aca="false">IF(L3887&lt;&gt;"",L3887+N3887,"")</f>
        <v/>
      </c>
      <c r="P3887" s="47" t="str">
        <f aca="false">IF(O3887&lt;&gt;"",O3887*0.1,"")</f>
        <v/>
      </c>
      <c r="Q3887" s="83" t="str">
        <f aca="false">IF(O3887&lt;&gt;"",O3887+P3887,"")</f>
        <v/>
      </c>
      <c r="R3887" s="84"/>
    </row>
    <row r="3888" customFormat="false" ht="15" hidden="false" customHeight="true" outlineLevel="0" collapsed="false">
      <c r="A3888" s="103"/>
      <c r="B3888" s="73"/>
      <c r="C3888" s="74"/>
      <c r="D3888" s="75"/>
      <c r="E3888" s="52" t="str">
        <f aca="false">IF(D3888&lt;&gt;"",IFERROR(VLOOKUP(D3888,PROVEEDORES!$A:$B,2,0),"!COD NO ENCONTRADO"),"")</f>
        <v/>
      </c>
      <c r="F3888" s="76" t="str">
        <f aca="false">IF(D3888&lt;&gt;"",IFERROR(VLOOKUP(D3888,PROVEEDORES!$A:$C,3,0),""),"")</f>
        <v/>
      </c>
      <c r="G3888" s="75"/>
      <c r="H3888" s="52" t="str">
        <f aca="false">IF(G3888&lt;&gt;"",IFERROR(VLOOKUP(G3888,PRODUCTOS!$A:$B,2,0),"!COD NO ENCONTRADO"),"")</f>
        <v/>
      </c>
      <c r="I3888" s="77"/>
      <c r="J3888" s="78"/>
      <c r="K3888" s="79"/>
      <c r="L3888" s="80" t="str">
        <f aca="false">IF(AND(J3888&lt;&gt;"",K3888&lt;&gt;""),J3888*K3888,"")</f>
        <v/>
      </c>
      <c r="M3888" s="81" t="str">
        <f aca="false">IF(L3888&lt;&gt;"",L3888*1.1,"")</f>
        <v/>
      </c>
      <c r="N3888" s="53" t="n">
        <f aca="false">IF(F3888="S",L3888*0.02,0)</f>
        <v>0</v>
      </c>
      <c r="O3888" s="82" t="str">
        <f aca="false">IF(L3888&lt;&gt;"",L3888+N3888,"")</f>
        <v/>
      </c>
      <c r="P3888" s="53" t="str">
        <f aca="false">IF(O3888&lt;&gt;"",O3888*0.1,"")</f>
        <v/>
      </c>
      <c r="Q3888" s="83" t="str">
        <f aca="false">IF(O3888&lt;&gt;"",O3888+P3888,"")</f>
        <v/>
      </c>
      <c r="R3888" s="84"/>
    </row>
    <row r="3889" customFormat="false" ht="15" hidden="false" customHeight="true" outlineLevel="0" collapsed="false">
      <c r="A3889" s="103"/>
      <c r="B3889" s="85"/>
      <c r="C3889" s="86"/>
      <c r="D3889" s="87"/>
      <c r="E3889" s="46" t="str">
        <f aca="false">IF(D3889&lt;&gt;"",IFERROR(VLOOKUP(D3889,PROVEEDORES!$A:$B,2,0),"!COD NO ENCONTRADO"),"")</f>
        <v/>
      </c>
      <c r="F3889" s="88" t="str">
        <f aca="false">IF(D3889&lt;&gt;"",IFERROR(VLOOKUP(D3889,PROVEEDORES!$A:$C,3,0),""),"")</f>
        <v/>
      </c>
      <c r="G3889" s="87"/>
      <c r="H3889" s="46" t="str">
        <f aca="false">IF(G3889&lt;&gt;"",IFERROR(VLOOKUP(G3889,PRODUCTOS!$A:$B,2,0),"!COD NO ENCONTRADO"),"")</f>
        <v/>
      </c>
      <c r="I3889" s="89"/>
      <c r="J3889" s="90"/>
      <c r="K3889" s="91"/>
      <c r="L3889" s="80" t="str">
        <f aca="false">IF(AND(J3889&lt;&gt;"",K3889&lt;&gt;""),J3889*K3889,"")</f>
        <v/>
      </c>
      <c r="M3889" s="81" t="str">
        <f aca="false">IF(L3889&lt;&gt;"",L3889*1.1,"")</f>
        <v/>
      </c>
      <c r="N3889" s="47" t="n">
        <f aca="false">IF(F3889="S",L3889*0.02,0)</f>
        <v>0</v>
      </c>
      <c r="O3889" s="82" t="str">
        <f aca="false">IF(L3889&lt;&gt;"",L3889+N3889,"")</f>
        <v/>
      </c>
      <c r="P3889" s="47" t="str">
        <f aca="false">IF(O3889&lt;&gt;"",O3889*0.1,"")</f>
        <v/>
      </c>
      <c r="Q3889" s="83" t="str">
        <f aca="false">IF(O3889&lt;&gt;"",O3889+P3889,"")</f>
        <v/>
      </c>
      <c r="R3889" s="84"/>
    </row>
    <row r="3890" customFormat="false" ht="15" hidden="false" customHeight="true" outlineLevel="0" collapsed="false">
      <c r="A3890" s="103"/>
      <c r="B3890" s="73"/>
      <c r="C3890" s="74"/>
      <c r="D3890" s="75"/>
      <c r="E3890" s="52" t="str">
        <f aca="false">IF(D3890&lt;&gt;"",IFERROR(VLOOKUP(D3890,PROVEEDORES!$A:$B,2,0),"!COD NO ENCONTRADO"),"")</f>
        <v/>
      </c>
      <c r="F3890" s="76" t="str">
        <f aca="false">IF(D3890&lt;&gt;"",IFERROR(VLOOKUP(D3890,PROVEEDORES!$A:$C,3,0),""),"")</f>
        <v/>
      </c>
      <c r="G3890" s="75"/>
      <c r="H3890" s="52" t="str">
        <f aca="false">IF(G3890&lt;&gt;"",IFERROR(VLOOKUP(G3890,PRODUCTOS!$A:$B,2,0),"!COD NO ENCONTRADO"),"")</f>
        <v/>
      </c>
      <c r="I3890" s="77"/>
      <c r="J3890" s="78"/>
      <c r="K3890" s="79"/>
      <c r="L3890" s="80" t="str">
        <f aca="false">IF(AND(J3890&lt;&gt;"",K3890&lt;&gt;""),J3890*K3890,"")</f>
        <v/>
      </c>
      <c r="M3890" s="81" t="str">
        <f aca="false">IF(L3890&lt;&gt;"",L3890*1.1,"")</f>
        <v/>
      </c>
      <c r="N3890" s="53" t="n">
        <f aca="false">IF(F3890="S",L3890*0.02,0)</f>
        <v>0</v>
      </c>
      <c r="O3890" s="82" t="str">
        <f aca="false">IF(L3890&lt;&gt;"",L3890+N3890,"")</f>
        <v/>
      </c>
      <c r="P3890" s="53" t="str">
        <f aca="false">IF(O3890&lt;&gt;"",O3890*0.1,"")</f>
        <v/>
      </c>
      <c r="Q3890" s="83" t="str">
        <f aca="false">IF(O3890&lt;&gt;"",O3890+P3890,"")</f>
        <v/>
      </c>
      <c r="R3890" s="84"/>
    </row>
    <row r="3891" customFormat="false" ht="15" hidden="false" customHeight="true" outlineLevel="0" collapsed="false">
      <c r="A3891" s="103"/>
      <c r="B3891" s="85"/>
      <c r="C3891" s="86"/>
      <c r="D3891" s="87"/>
      <c r="E3891" s="46" t="str">
        <f aca="false">IF(D3891&lt;&gt;"",IFERROR(VLOOKUP(D3891,PROVEEDORES!$A:$B,2,0),"!COD NO ENCONTRADO"),"")</f>
        <v/>
      </c>
      <c r="F3891" s="88" t="str">
        <f aca="false">IF(D3891&lt;&gt;"",IFERROR(VLOOKUP(D3891,PROVEEDORES!$A:$C,3,0),""),"")</f>
        <v/>
      </c>
      <c r="G3891" s="87"/>
      <c r="H3891" s="46" t="str">
        <f aca="false">IF(G3891&lt;&gt;"",IFERROR(VLOOKUP(G3891,PRODUCTOS!$A:$B,2,0),"!COD NO ENCONTRADO"),"")</f>
        <v/>
      </c>
      <c r="I3891" s="89"/>
      <c r="J3891" s="90"/>
      <c r="K3891" s="91"/>
      <c r="L3891" s="80" t="str">
        <f aca="false">IF(AND(J3891&lt;&gt;"",K3891&lt;&gt;""),J3891*K3891,"")</f>
        <v/>
      </c>
      <c r="M3891" s="81" t="str">
        <f aca="false">IF(L3891&lt;&gt;"",L3891*1.1,"")</f>
        <v/>
      </c>
      <c r="N3891" s="47" t="n">
        <f aca="false">IF(F3891="S",L3891*0.02,0)</f>
        <v>0</v>
      </c>
      <c r="O3891" s="82" t="str">
        <f aca="false">IF(L3891&lt;&gt;"",L3891+N3891,"")</f>
        <v/>
      </c>
      <c r="P3891" s="47" t="str">
        <f aca="false">IF(O3891&lt;&gt;"",O3891*0.1,"")</f>
        <v/>
      </c>
      <c r="Q3891" s="83" t="str">
        <f aca="false">IF(O3891&lt;&gt;"",O3891+P3891,"")</f>
        <v/>
      </c>
      <c r="R3891" s="84"/>
    </row>
    <row r="3892" customFormat="false" ht="15" hidden="false" customHeight="true" outlineLevel="0" collapsed="false">
      <c r="A3892" s="103"/>
      <c r="B3892" s="73"/>
      <c r="C3892" s="74"/>
      <c r="D3892" s="75"/>
      <c r="E3892" s="52" t="str">
        <f aca="false">IF(D3892&lt;&gt;"",IFERROR(VLOOKUP(D3892,PROVEEDORES!$A:$B,2,0),"!COD NO ENCONTRADO"),"")</f>
        <v/>
      </c>
      <c r="F3892" s="76" t="str">
        <f aca="false">IF(D3892&lt;&gt;"",IFERROR(VLOOKUP(D3892,PROVEEDORES!$A:$C,3,0),""),"")</f>
        <v/>
      </c>
      <c r="G3892" s="75"/>
      <c r="H3892" s="52" t="str">
        <f aca="false">IF(G3892&lt;&gt;"",IFERROR(VLOOKUP(G3892,PRODUCTOS!$A:$B,2,0),"!COD NO ENCONTRADO"),"")</f>
        <v/>
      </c>
      <c r="I3892" s="77"/>
      <c r="J3892" s="78"/>
      <c r="K3892" s="79"/>
      <c r="L3892" s="80" t="str">
        <f aca="false">IF(AND(J3892&lt;&gt;"",K3892&lt;&gt;""),J3892*K3892,"")</f>
        <v/>
      </c>
      <c r="M3892" s="81" t="str">
        <f aca="false">IF(L3892&lt;&gt;"",L3892*1.1,"")</f>
        <v/>
      </c>
      <c r="N3892" s="53" t="n">
        <f aca="false">IF(F3892="S",L3892*0.02,0)</f>
        <v>0</v>
      </c>
      <c r="O3892" s="82" t="str">
        <f aca="false">IF(L3892&lt;&gt;"",L3892+N3892,"")</f>
        <v/>
      </c>
      <c r="P3892" s="53" t="str">
        <f aca="false">IF(O3892&lt;&gt;"",O3892*0.1,"")</f>
        <v/>
      </c>
      <c r="Q3892" s="83" t="str">
        <f aca="false">IF(O3892&lt;&gt;"",O3892+P3892,"")</f>
        <v/>
      </c>
      <c r="R3892" s="84"/>
    </row>
    <row r="3893" customFormat="false" ht="15" hidden="false" customHeight="true" outlineLevel="0" collapsed="false">
      <c r="A3893" s="103"/>
      <c r="B3893" s="85"/>
      <c r="C3893" s="86"/>
      <c r="D3893" s="87"/>
      <c r="E3893" s="46" t="str">
        <f aca="false">IF(D3893&lt;&gt;"",IFERROR(VLOOKUP(D3893,PROVEEDORES!$A:$B,2,0),"!COD NO ENCONTRADO"),"")</f>
        <v/>
      </c>
      <c r="F3893" s="88" t="str">
        <f aca="false">IF(D3893&lt;&gt;"",IFERROR(VLOOKUP(D3893,PROVEEDORES!$A:$C,3,0),""),"")</f>
        <v/>
      </c>
      <c r="G3893" s="87"/>
      <c r="H3893" s="46" t="str">
        <f aca="false">IF(G3893&lt;&gt;"",IFERROR(VLOOKUP(G3893,PRODUCTOS!$A:$B,2,0),"!COD NO ENCONTRADO"),"")</f>
        <v/>
      </c>
      <c r="I3893" s="89"/>
      <c r="J3893" s="90"/>
      <c r="K3893" s="91"/>
      <c r="L3893" s="80" t="str">
        <f aca="false">IF(AND(J3893&lt;&gt;"",K3893&lt;&gt;""),J3893*K3893,"")</f>
        <v/>
      </c>
      <c r="M3893" s="81" t="str">
        <f aca="false">IF(L3893&lt;&gt;"",L3893*1.1,"")</f>
        <v/>
      </c>
      <c r="N3893" s="47" t="n">
        <f aca="false">IF(F3893="S",L3893*0.02,0)</f>
        <v>0</v>
      </c>
      <c r="O3893" s="82" t="str">
        <f aca="false">IF(L3893&lt;&gt;"",L3893+N3893,"")</f>
        <v/>
      </c>
      <c r="P3893" s="47" t="str">
        <f aca="false">IF(O3893&lt;&gt;"",O3893*0.1,"")</f>
        <v/>
      </c>
      <c r="Q3893" s="83" t="str">
        <f aca="false">IF(O3893&lt;&gt;"",O3893+P3893,"")</f>
        <v/>
      </c>
      <c r="R3893" s="84"/>
    </row>
    <row r="3894" customFormat="false" ht="15" hidden="false" customHeight="true" outlineLevel="0" collapsed="false">
      <c r="A3894" s="103"/>
      <c r="B3894" s="73"/>
      <c r="C3894" s="74"/>
      <c r="D3894" s="75"/>
      <c r="E3894" s="52" t="str">
        <f aca="false">IF(D3894&lt;&gt;"",IFERROR(VLOOKUP(D3894,PROVEEDORES!$A:$B,2,0),"!COD NO ENCONTRADO"),"")</f>
        <v/>
      </c>
      <c r="F3894" s="76" t="str">
        <f aca="false">IF(D3894&lt;&gt;"",IFERROR(VLOOKUP(D3894,PROVEEDORES!$A:$C,3,0),""),"")</f>
        <v/>
      </c>
      <c r="G3894" s="75"/>
      <c r="H3894" s="52" t="str">
        <f aca="false">IF(G3894&lt;&gt;"",IFERROR(VLOOKUP(G3894,PRODUCTOS!$A:$B,2,0),"!COD NO ENCONTRADO"),"")</f>
        <v/>
      </c>
      <c r="I3894" s="77"/>
      <c r="J3894" s="78"/>
      <c r="K3894" s="79"/>
      <c r="L3894" s="80" t="str">
        <f aca="false">IF(AND(J3894&lt;&gt;"",K3894&lt;&gt;""),J3894*K3894,"")</f>
        <v/>
      </c>
      <c r="M3894" s="81" t="str">
        <f aca="false">IF(L3894&lt;&gt;"",L3894*1.1,"")</f>
        <v/>
      </c>
      <c r="N3894" s="53" t="n">
        <f aca="false">IF(F3894="S",L3894*0.02,0)</f>
        <v>0</v>
      </c>
      <c r="O3894" s="82" t="str">
        <f aca="false">IF(L3894&lt;&gt;"",L3894+N3894,"")</f>
        <v/>
      </c>
      <c r="P3894" s="53" t="str">
        <f aca="false">IF(O3894&lt;&gt;"",O3894*0.1,"")</f>
        <v/>
      </c>
      <c r="Q3894" s="83" t="str">
        <f aca="false">IF(O3894&lt;&gt;"",O3894+P3894,"")</f>
        <v/>
      </c>
      <c r="R3894" s="84"/>
    </row>
    <row r="3895" customFormat="false" ht="15" hidden="false" customHeight="true" outlineLevel="0" collapsed="false">
      <c r="A3895" s="103"/>
      <c r="B3895" s="85"/>
      <c r="C3895" s="86"/>
      <c r="D3895" s="87"/>
      <c r="E3895" s="46" t="str">
        <f aca="false">IF(D3895&lt;&gt;"",IFERROR(VLOOKUP(D3895,PROVEEDORES!$A:$B,2,0),"!COD NO ENCONTRADO"),"")</f>
        <v/>
      </c>
      <c r="F3895" s="88" t="str">
        <f aca="false">IF(D3895&lt;&gt;"",IFERROR(VLOOKUP(D3895,PROVEEDORES!$A:$C,3,0),""),"")</f>
        <v/>
      </c>
      <c r="G3895" s="87"/>
      <c r="H3895" s="46" t="str">
        <f aca="false">IF(G3895&lt;&gt;"",IFERROR(VLOOKUP(G3895,PRODUCTOS!$A:$B,2,0),"!COD NO ENCONTRADO"),"")</f>
        <v/>
      </c>
      <c r="I3895" s="89"/>
      <c r="J3895" s="90"/>
      <c r="K3895" s="91"/>
      <c r="L3895" s="80" t="str">
        <f aca="false">IF(AND(J3895&lt;&gt;"",K3895&lt;&gt;""),J3895*K3895,"")</f>
        <v/>
      </c>
      <c r="M3895" s="81" t="str">
        <f aca="false">IF(L3895&lt;&gt;"",L3895*1.1,"")</f>
        <v/>
      </c>
      <c r="N3895" s="47" t="n">
        <f aca="false">IF(F3895="S",L3895*0.02,0)</f>
        <v>0</v>
      </c>
      <c r="O3895" s="82" t="str">
        <f aca="false">IF(L3895&lt;&gt;"",L3895+N3895,"")</f>
        <v/>
      </c>
      <c r="P3895" s="47" t="str">
        <f aca="false">IF(O3895&lt;&gt;"",O3895*0.1,"")</f>
        <v/>
      </c>
      <c r="Q3895" s="83" t="str">
        <f aca="false">IF(O3895&lt;&gt;"",O3895+P3895,"")</f>
        <v/>
      </c>
      <c r="R3895" s="84"/>
    </row>
    <row r="3896" customFormat="false" ht="15" hidden="false" customHeight="true" outlineLevel="0" collapsed="false">
      <c r="A3896" s="103"/>
      <c r="B3896" s="73"/>
      <c r="C3896" s="74"/>
      <c r="D3896" s="75"/>
      <c r="E3896" s="52" t="str">
        <f aca="false">IF(D3896&lt;&gt;"",IFERROR(VLOOKUP(D3896,PROVEEDORES!$A:$B,2,0),"!COD NO ENCONTRADO"),"")</f>
        <v/>
      </c>
      <c r="F3896" s="76" t="str">
        <f aca="false">IF(D3896&lt;&gt;"",IFERROR(VLOOKUP(D3896,PROVEEDORES!$A:$C,3,0),""),"")</f>
        <v/>
      </c>
      <c r="G3896" s="75"/>
      <c r="H3896" s="52" t="str">
        <f aca="false">IF(G3896&lt;&gt;"",IFERROR(VLOOKUP(G3896,PRODUCTOS!$A:$B,2,0),"!COD NO ENCONTRADO"),"")</f>
        <v/>
      </c>
      <c r="I3896" s="77"/>
      <c r="J3896" s="78"/>
      <c r="K3896" s="79"/>
      <c r="L3896" s="80" t="str">
        <f aca="false">IF(AND(J3896&lt;&gt;"",K3896&lt;&gt;""),J3896*K3896,"")</f>
        <v/>
      </c>
      <c r="M3896" s="81" t="str">
        <f aca="false">IF(L3896&lt;&gt;"",L3896*1.1,"")</f>
        <v/>
      </c>
      <c r="N3896" s="53" t="n">
        <f aca="false">IF(F3896="S",L3896*0.02,0)</f>
        <v>0</v>
      </c>
      <c r="O3896" s="82" t="str">
        <f aca="false">IF(L3896&lt;&gt;"",L3896+N3896,"")</f>
        <v/>
      </c>
      <c r="P3896" s="53" t="str">
        <f aca="false">IF(O3896&lt;&gt;"",O3896*0.1,"")</f>
        <v/>
      </c>
      <c r="Q3896" s="83" t="str">
        <f aca="false">IF(O3896&lt;&gt;"",O3896+P3896,"")</f>
        <v/>
      </c>
      <c r="R3896" s="84"/>
    </row>
    <row r="3897" customFormat="false" ht="15" hidden="false" customHeight="true" outlineLevel="0" collapsed="false">
      <c r="A3897" s="103"/>
      <c r="B3897" s="85"/>
      <c r="C3897" s="86"/>
      <c r="D3897" s="87"/>
      <c r="E3897" s="46" t="str">
        <f aca="false">IF(D3897&lt;&gt;"",IFERROR(VLOOKUP(D3897,PROVEEDORES!$A:$B,2,0),"!COD NO ENCONTRADO"),"")</f>
        <v/>
      </c>
      <c r="F3897" s="88" t="str">
        <f aca="false">IF(D3897&lt;&gt;"",IFERROR(VLOOKUP(D3897,PROVEEDORES!$A:$C,3,0),""),"")</f>
        <v/>
      </c>
      <c r="G3897" s="87"/>
      <c r="H3897" s="46" t="str">
        <f aca="false">IF(G3897&lt;&gt;"",IFERROR(VLOOKUP(G3897,PRODUCTOS!$A:$B,2,0),"!COD NO ENCONTRADO"),"")</f>
        <v/>
      </c>
      <c r="I3897" s="89"/>
      <c r="J3897" s="90"/>
      <c r="K3897" s="91"/>
      <c r="L3897" s="80" t="str">
        <f aca="false">IF(AND(J3897&lt;&gt;"",K3897&lt;&gt;""),J3897*K3897,"")</f>
        <v/>
      </c>
      <c r="M3897" s="81" t="str">
        <f aca="false">IF(L3897&lt;&gt;"",L3897*1.1,"")</f>
        <v/>
      </c>
      <c r="N3897" s="47" t="n">
        <f aca="false">IF(F3897="S",L3897*0.02,0)</f>
        <v>0</v>
      </c>
      <c r="O3897" s="82" t="str">
        <f aca="false">IF(L3897&lt;&gt;"",L3897+N3897,"")</f>
        <v/>
      </c>
      <c r="P3897" s="47" t="str">
        <f aca="false">IF(O3897&lt;&gt;"",O3897*0.1,"")</f>
        <v/>
      </c>
      <c r="Q3897" s="83" t="str">
        <f aca="false">IF(O3897&lt;&gt;"",O3897+P3897,"")</f>
        <v/>
      </c>
      <c r="R3897" s="84"/>
    </row>
    <row r="3898" customFormat="false" ht="15" hidden="false" customHeight="true" outlineLevel="0" collapsed="false">
      <c r="A3898" s="103"/>
      <c r="B3898" s="73"/>
      <c r="C3898" s="74"/>
      <c r="D3898" s="75"/>
      <c r="E3898" s="52" t="str">
        <f aca="false">IF(D3898&lt;&gt;"",IFERROR(VLOOKUP(D3898,PROVEEDORES!$A:$B,2,0),"!COD NO ENCONTRADO"),"")</f>
        <v/>
      </c>
      <c r="F3898" s="76" t="str">
        <f aca="false">IF(D3898&lt;&gt;"",IFERROR(VLOOKUP(D3898,PROVEEDORES!$A:$C,3,0),""),"")</f>
        <v/>
      </c>
      <c r="G3898" s="75"/>
      <c r="H3898" s="52" t="str">
        <f aca="false">IF(G3898&lt;&gt;"",IFERROR(VLOOKUP(G3898,PRODUCTOS!$A:$B,2,0),"!COD NO ENCONTRADO"),"")</f>
        <v/>
      </c>
      <c r="I3898" s="77"/>
      <c r="J3898" s="78"/>
      <c r="K3898" s="79"/>
      <c r="L3898" s="80" t="str">
        <f aca="false">IF(AND(J3898&lt;&gt;"",K3898&lt;&gt;""),J3898*K3898,"")</f>
        <v/>
      </c>
      <c r="M3898" s="81" t="str">
        <f aca="false">IF(L3898&lt;&gt;"",L3898*1.1,"")</f>
        <v/>
      </c>
      <c r="N3898" s="53" t="n">
        <f aca="false">IF(F3898="S",L3898*0.02,0)</f>
        <v>0</v>
      </c>
      <c r="O3898" s="82" t="str">
        <f aca="false">IF(L3898&lt;&gt;"",L3898+N3898,"")</f>
        <v/>
      </c>
      <c r="P3898" s="53" t="str">
        <f aca="false">IF(O3898&lt;&gt;"",O3898*0.1,"")</f>
        <v/>
      </c>
      <c r="Q3898" s="83" t="str">
        <f aca="false">IF(O3898&lt;&gt;"",O3898+P3898,"")</f>
        <v/>
      </c>
      <c r="R3898" s="84"/>
    </row>
    <row r="3899" customFormat="false" ht="15" hidden="false" customHeight="true" outlineLevel="0" collapsed="false">
      <c r="A3899" s="103"/>
      <c r="B3899" s="85"/>
      <c r="C3899" s="86"/>
      <c r="D3899" s="87"/>
      <c r="E3899" s="46" t="str">
        <f aca="false">IF(D3899&lt;&gt;"",IFERROR(VLOOKUP(D3899,PROVEEDORES!$A:$B,2,0),"!COD NO ENCONTRADO"),"")</f>
        <v/>
      </c>
      <c r="F3899" s="88" t="str">
        <f aca="false">IF(D3899&lt;&gt;"",IFERROR(VLOOKUP(D3899,PROVEEDORES!$A:$C,3,0),""),"")</f>
        <v/>
      </c>
      <c r="G3899" s="87"/>
      <c r="H3899" s="46" t="str">
        <f aca="false">IF(G3899&lt;&gt;"",IFERROR(VLOOKUP(G3899,PRODUCTOS!$A:$B,2,0),"!COD NO ENCONTRADO"),"")</f>
        <v/>
      </c>
      <c r="I3899" s="89"/>
      <c r="J3899" s="90"/>
      <c r="K3899" s="91"/>
      <c r="L3899" s="80" t="str">
        <f aca="false">IF(AND(J3899&lt;&gt;"",K3899&lt;&gt;""),J3899*K3899,"")</f>
        <v/>
      </c>
      <c r="M3899" s="81" t="str">
        <f aca="false">IF(L3899&lt;&gt;"",L3899*1.1,"")</f>
        <v/>
      </c>
      <c r="N3899" s="47" t="n">
        <f aca="false">IF(F3899="S",L3899*0.02,0)</f>
        <v>0</v>
      </c>
      <c r="O3899" s="82" t="str">
        <f aca="false">IF(L3899&lt;&gt;"",L3899+N3899,"")</f>
        <v/>
      </c>
      <c r="P3899" s="47" t="str">
        <f aca="false">IF(O3899&lt;&gt;"",O3899*0.1,"")</f>
        <v/>
      </c>
      <c r="Q3899" s="83" t="str">
        <f aca="false">IF(O3899&lt;&gt;"",O3899+P3899,"")</f>
        <v/>
      </c>
      <c r="R3899" s="84"/>
    </row>
    <row r="3900" customFormat="false" ht="15" hidden="false" customHeight="true" outlineLevel="0" collapsed="false">
      <c r="A3900" s="103"/>
      <c r="B3900" s="73"/>
      <c r="C3900" s="74"/>
      <c r="D3900" s="75"/>
      <c r="E3900" s="52" t="str">
        <f aca="false">IF(D3900&lt;&gt;"",IFERROR(VLOOKUP(D3900,PROVEEDORES!$A:$B,2,0),"!COD NO ENCONTRADO"),"")</f>
        <v/>
      </c>
      <c r="F3900" s="76" t="str">
        <f aca="false">IF(D3900&lt;&gt;"",IFERROR(VLOOKUP(D3900,PROVEEDORES!$A:$C,3,0),""),"")</f>
        <v/>
      </c>
      <c r="G3900" s="75"/>
      <c r="H3900" s="52" t="str">
        <f aca="false">IF(G3900&lt;&gt;"",IFERROR(VLOOKUP(G3900,PRODUCTOS!$A:$B,2,0),"!COD NO ENCONTRADO"),"")</f>
        <v/>
      </c>
      <c r="I3900" s="77"/>
      <c r="J3900" s="78"/>
      <c r="K3900" s="79"/>
      <c r="L3900" s="80" t="str">
        <f aca="false">IF(AND(J3900&lt;&gt;"",K3900&lt;&gt;""),J3900*K3900,"")</f>
        <v/>
      </c>
      <c r="M3900" s="81" t="str">
        <f aca="false">IF(L3900&lt;&gt;"",L3900*1.1,"")</f>
        <v/>
      </c>
      <c r="N3900" s="53" t="n">
        <f aca="false">IF(F3900="S",L3900*0.02,0)</f>
        <v>0</v>
      </c>
      <c r="O3900" s="82" t="str">
        <f aca="false">IF(L3900&lt;&gt;"",L3900+N3900,"")</f>
        <v/>
      </c>
      <c r="P3900" s="53" t="str">
        <f aca="false">IF(O3900&lt;&gt;"",O3900*0.1,"")</f>
        <v/>
      </c>
      <c r="Q3900" s="83" t="str">
        <f aca="false">IF(O3900&lt;&gt;"",O3900+P3900,"")</f>
        <v/>
      </c>
      <c r="R3900" s="84"/>
    </row>
    <row r="3901" customFormat="false" ht="15" hidden="false" customHeight="true" outlineLevel="0" collapsed="false">
      <c r="A3901" s="103"/>
      <c r="B3901" s="85"/>
      <c r="C3901" s="86"/>
      <c r="D3901" s="87"/>
      <c r="E3901" s="46" t="str">
        <f aca="false">IF(D3901&lt;&gt;"",IFERROR(VLOOKUP(D3901,PROVEEDORES!$A:$B,2,0),"!COD NO ENCONTRADO"),"")</f>
        <v/>
      </c>
      <c r="F3901" s="88" t="str">
        <f aca="false">IF(D3901&lt;&gt;"",IFERROR(VLOOKUP(D3901,PROVEEDORES!$A:$C,3,0),""),"")</f>
        <v/>
      </c>
      <c r="G3901" s="87"/>
      <c r="H3901" s="46" t="str">
        <f aca="false">IF(G3901&lt;&gt;"",IFERROR(VLOOKUP(G3901,PRODUCTOS!$A:$B,2,0),"!COD NO ENCONTRADO"),"")</f>
        <v/>
      </c>
      <c r="I3901" s="89"/>
      <c r="J3901" s="90"/>
      <c r="K3901" s="91"/>
      <c r="L3901" s="80" t="str">
        <f aca="false">IF(AND(J3901&lt;&gt;"",K3901&lt;&gt;""),J3901*K3901,"")</f>
        <v/>
      </c>
      <c r="M3901" s="81" t="str">
        <f aca="false">IF(L3901&lt;&gt;"",L3901*1.1,"")</f>
        <v/>
      </c>
      <c r="N3901" s="47" t="n">
        <f aca="false">IF(F3901="S",L3901*0.02,0)</f>
        <v>0</v>
      </c>
      <c r="O3901" s="82" t="str">
        <f aca="false">IF(L3901&lt;&gt;"",L3901+N3901,"")</f>
        <v/>
      </c>
      <c r="P3901" s="47" t="str">
        <f aca="false">IF(O3901&lt;&gt;"",O3901*0.1,"")</f>
        <v/>
      </c>
      <c r="Q3901" s="83" t="str">
        <f aca="false">IF(O3901&lt;&gt;"",O3901+P3901,"")</f>
        <v/>
      </c>
      <c r="R3901" s="84"/>
    </row>
    <row r="3902" customFormat="false" ht="15" hidden="false" customHeight="true" outlineLevel="0" collapsed="false">
      <c r="A3902" s="103"/>
      <c r="B3902" s="73"/>
      <c r="C3902" s="74"/>
      <c r="D3902" s="75"/>
      <c r="E3902" s="52" t="str">
        <f aca="false">IF(D3902&lt;&gt;"",IFERROR(VLOOKUP(D3902,PROVEEDORES!$A:$B,2,0),"!COD NO ENCONTRADO"),"")</f>
        <v/>
      </c>
      <c r="F3902" s="76" t="str">
        <f aca="false">IF(D3902&lt;&gt;"",IFERROR(VLOOKUP(D3902,PROVEEDORES!$A:$C,3,0),""),"")</f>
        <v/>
      </c>
      <c r="G3902" s="75"/>
      <c r="H3902" s="52" t="str">
        <f aca="false">IF(G3902&lt;&gt;"",IFERROR(VLOOKUP(G3902,PRODUCTOS!$A:$B,2,0),"!COD NO ENCONTRADO"),"")</f>
        <v/>
      </c>
      <c r="I3902" s="77"/>
      <c r="J3902" s="78"/>
      <c r="K3902" s="79"/>
      <c r="L3902" s="80" t="str">
        <f aca="false">IF(AND(J3902&lt;&gt;"",K3902&lt;&gt;""),J3902*K3902,"")</f>
        <v/>
      </c>
      <c r="M3902" s="81" t="str">
        <f aca="false">IF(L3902&lt;&gt;"",L3902*1.1,"")</f>
        <v/>
      </c>
      <c r="N3902" s="53" t="n">
        <f aca="false">IF(F3902="S",L3902*0.02,0)</f>
        <v>0</v>
      </c>
      <c r="O3902" s="82" t="str">
        <f aca="false">IF(L3902&lt;&gt;"",L3902+N3902,"")</f>
        <v/>
      </c>
      <c r="P3902" s="53" t="str">
        <f aca="false">IF(O3902&lt;&gt;"",O3902*0.1,"")</f>
        <v/>
      </c>
      <c r="Q3902" s="83" t="str">
        <f aca="false">IF(O3902&lt;&gt;"",O3902+P3902,"")</f>
        <v/>
      </c>
      <c r="R3902" s="84"/>
    </row>
    <row r="3903" customFormat="false" ht="15" hidden="false" customHeight="true" outlineLevel="0" collapsed="false">
      <c r="A3903" s="103"/>
      <c r="B3903" s="85"/>
      <c r="C3903" s="86"/>
      <c r="D3903" s="87"/>
      <c r="E3903" s="46" t="str">
        <f aca="false">IF(D3903&lt;&gt;"",IFERROR(VLOOKUP(D3903,PROVEEDORES!$A:$B,2,0),"!COD NO ENCONTRADO"),"")</f>
        <v/>
      </c>
      <c r="F3903" s="88" t="str">
        <f aca="false">IF(D3903&lt;&gt;"",IFERROR(VLOOKUP(D3903,PROVEEDORES!$A:$C,3,0),""),"")</f>
        <v/>
      </c>
      <c r="G3903" s="87"/>
      <c r="H3903" s="46" t="str">
        <f aca="false">IF(G3903&lt;&gt;"",IFERROR(VLOOKUP(G3903,PRODUCTOS!$A:$B,2,0),"!COD NO ENCONTRADO"),"")</f>
        <v/>
      </c>
      <c r="I3903" s="89"/>
      <c r="J3903" s="90"/>
      <c r="K3903" s="91"/>
      <c r="L3903" s="80" t="str">
        <f aca="false">IF(AND(J3903&lt;&gt;"",K3903&lt;&gt;""),J3903*K3903,"")</f>
        <v/>
      </c>
      <c r="M3903" s="81" t="str">
        <f aca="false">IF(L3903&lt;&gt;"",L3903*1.1,"")</f>
        <v/>
      </c>
      <c r="N3903" s="47" t="n">
        <f aca="false">IF(F3903="S",L3903*0.02,0)</f>
        <v>0</v>
      </c>
      <c r="O3903" s="82" t="str">
        <f aca="false">IF(L3903&lt;&gt;"",L3903+N3903,"")</f>
        <v/>
      </c>
      <c r="P3903" s="47" t="str">
        <f aca="false">IF(O3903&lt;&gt;"",O3903*0.1,"")</f>
        <v/>
      </c>
      <c r="Q3903" s="83" t="str">
        <f aca="false">IF(O3903&lt;&gt;"",O3903+P3903,"")</f>
        <v/>
      </c>
      <c r="R3903" s="84"/>
    </row>
    <row r="3904" customFormat="false" ht="15" hidden="false" customHeight="true" outlineLevel="0" collapsed="false">
      <c r="A3904" s="103"/>
      <c r="B3904" s="73"/>
      <c r="C3904" s="74"/>
      <c r="D3904" s="75"/>
      <c r="E3904" s="52" t="str">
        <f aca="false">IF(D3904&lt;&gt;"",IFERROR(VLOOKUP(D3904,PROVEEDORES!$A:$B,2,0),"!COD NO ENCONTRADO"),"")</f>
        <v/>
      </c>
      <c r="F3904" s="76" t="str">
        <f aca="false">IF(D3904&lt;&gt;"",IFERROR(VLOOKUP(D3904,PROVEEDORES!$A:$C,3,0),""),"")</f>
        <v/>
      </c>
      <c r="G3904" s="75"/>
      <c r="H3904" s="52" t="str">
        <f aca="false">IF(G3904&lt;&gt;"",IFERROR(VLOOKUP(G3904,PRODUCTOS!$A:$B,2,0),"!COD NO ENCONTRADO"),"")</f>
        <v/>
      </c>
      <c r="I3904" s="77"/>
      <c r="J3904" s="78"/>
      <c r="K3904" s="79"/>
      <c r="L3904" s="80" t="str">
        <f aca="false">IF(AND(J3904&lt;&gt;"",K3904&lt;&gt;""),J3904*K3904,"")</f>
        <v/>
      </c>
      <c r="M3904" s="81" t="str">
        <f aca="false">IF(L3904&lt;&gt;"",L3904*1.1,"")</f>
        <v/>
      </c>
      <c r="N3904" s="53" t="n">
        <f aca="false">IF(F3904="S",L3904*0.02,0)</f>
        <v>0</v>
      </c>
      <c r="O3904" s="82" t="str">
        <f aca="false">IF(L3904&lt;&gt;"",L3904+N3904,"")</f>
        <v/>
      </c>
      <c r="P3904" s="53" t="str">
        <f aca="false">IF(O3904&lt;&gt;"",O3904*0.1,"")</f>
        <v/>
      </c>
      <c r="Q3904" s="83" t="str">
        <f aca="false">IF(O3904&lt;&gt;"",O3904+P3904,"")</f>
        <v/>
      </c>
      <c r="R3904" s="84"/>
    </row>
    <row r="3905" customFormat="false" ht="15" hidden="false" customHeight="true" outlineLevel="0" collapsed="false">
      <c r="A3905" s="103"/>
      <c r="B3905" s="85"/>
      <c r="C3905" s="86"/>
      <c r="D3905" s="87"/>
      <c r="E3905" s="46" t="str">
        <f aca="false">IF(D3905&lt;&gt;"",IFERROR(VLOOKUP(D3905,PROVEEDORES!$A:$B,2,0),"!COD NO ENCONTRADO"),"")</f>
        <v/>
      </c>
      <c r="F3905" s="88" t="str">
        <f aca="false">IF(D3905&lt;&gt;"",IFERROR(VLOOKUP(D3905,PROVEEDORES!$A:$C,3,0),""),"")</f>
        <v/>
      </c>
      <c r="G3905" s="87"/>
      <c r="H3905" s="46" t="str">
        <f aca="false">IF(G3905&lt;&gt;"",IFERROR(VLOOKUP(G3905,PRODUCTOS!$A:$B,2,0),"!COD NO ENCONTRADO"),"")</f>
        <v/>
      </c>
      <c r="I3905" s="89"/>
      <c r="J3905" s="90"/>
      <c r="K3905" s="91"/>
      <c r="L3905" s="80" t="str">
        <f aca="false">IF(AND(J3905&lt;&gt;"",K3905&lt;&gt;""),J3905*K3905,"")</f>
        <v/>
      </c>
      <c r="M3905" s="81" t="str">
        <f aca="false">IF(L3905&lt;&gt;"",L3905*1.1,"")</f>
        <v/>
      </c>
      <c r="N3905" s="47" t="n">
        <f aca="false">IF(F3905="S",L3905*0.02,0)</f>
        <v>0</v>
      </c>
      <c r="O3905" s="82" t="str">
        <f aca="false">IF(L3905&lt;&gt;"",L3905+N3905,"")</f>
        <v/>
      </c>
      <c r="P3905" s="47" t="str">
        <f aca="false">IF(O3905&lt;&gt;"",O3905*0.1,"")</f>
        <v/>
      </c>
      <c r="Q3905" s="83" t="str">
        <f aca="false">IF(O3905&lt;&gt;"",O3905+P3905,"")</f>
        <v/>
      </c>
      <c r="R3905" s="84"/>
    </row>
    <row r="3906" customFormat="false" ht="15" hidden="false" customHeight="true" outlineLevel="0" collapsed="false">
      <c r="A3906" s="103"/>
      <c r="B3906" s="73"/>
      <c r="C3906" s="74"/>
      <c r="D3906" s="75"/>
      <c r="E3906" s="52" t="str">
        <f aca="false">IF(D3906&lt;&gt;"",IFERROR(VLOOKUP(D3906,PROVEEDORES!$A:$B,2,0),"!COD NO ENCONTRADO"),"")</f>
        <v/>
      </c>
      <c r="F3906" s="76" t="str">
        <f aca="false">IF(D3906&lt;&gt;"",IFERROR(VLOOKUP(D3906,PROVEEDORES!$A:$C,3,0),""),"")</f>
        <v/>
      </c>
      <c r="G3906" s="75"/>
      <c r="H3906" s="52" t="str">
        <f aca="false">IF(G3906&lt;&gt;"",IFERROR(VLOOKUP(G3906,PRODUCTOS!$A:$B,2,0),"!COD NO ENCONTRADO"),"")</f>
        <v/>
      </c>
      <c r="I3906" s="77"/>
      <c r="J3906" s="78"/>
      <c r="K3906" s="79"/>
      <c r="L3906" s="80" t="str">
        <f aca="false">IF(AND(J3906&lt;&gt;"",K3906&lt;&gt;""),J3906*K3906,"")</f>
        <v/>
      </c>
      <c r="M3906" s="81" t="str">
        <f aca="false">IF(L3906&lt;&gt;"",L3906*1.1,"")</f>
        <v/>
      </c>
      <c r="N3906" s="53" t="n">
        <f aca="false">IF(F3906="S",L3906*0.02,0)</f>
        <v>0</v>
      </c>
      <c r="O3906" s="82" t="str">
        <f aca="false">IF(L3906&lt;&gt;"",L3906+N3906,"")</f>
        <v/>
      </c>
      <c r="P3906" s="53" t="str">
        <f aca="false">IF(O3906&lt;&gt;"",O3906*0.1,"")</f>
        <v/>
      </c>
      <c r="Q3906" s="83" t="str">
        <f aca="false">IF(O3906&lt;&gt;"",O3906+P3906,"")</f>
        <v/>
      </c>
      <c r="R3906" s="84"/>
    </row>
    <row r="3907" customFormat="false" ht="15" hidden="false" customHeight="true" outlineLevel="0" collapsed="false">
      <c r="A3907" s="103"/>
      <c r="B3907" s="85"/>
      <c r="C3907" s="86"/>
      <c r="D3907" s="87"/>
      <c r="E3907" s="46" t="str">
        <f aca="false">IF(D3907&lt;&gt;"",IFERROR(VLOOKUP(D3907,PROVEEDORES!$A:$B,2,0),"!COD NO ENCONTRADO"),"")</f>
        <v/>
      </c>
      <c r="F3907" s="88" t="str">
        <f aca="false">IF(D3907&lt;&gt;"",IFERROR(VLOOKUP(D3907,PROVEEDORES!$A:$C,3,0),""),"")</f>
        <v/>
      </c>
      <c r="G3907" s="87"/>
      <c r="H3907" s="46" t="str">
        <f aca="false">IF(G3907&lt;&gt;"",IFERROR(VLOOKUP(G3907,PRODUCTOS!$A:$B,2,0),"!COD NO ENCONTRADO"),"")</f>
        <v/>
      </c>
      <c r="I3907" s="89"/>
      <c r="J3907" s="90"/>
      <c r="K3907" s="91"/>
      <c r="L3907" s="80" t="str">
        <f aca="false">IF(AND(J3907&lt;&gt;"",K3907&lt;&gt;""),J3907*K3907,"")</f>
        <v/>
      </c>
      <c r="M3907" s="81" t="str">
        <f aca="false">IF(L3907&lt;&gt;"",L3907*1.1,"")</f>
        <v/>
      </c>
      <c r="N3907" s="47" t="n">
        <f aca="false">IF(F3907="S",L3907*0.02,0)</f>
        <v>0</v>
      </c>
      <c r="O3907" s="82" t="str">
        <f aca="false">IF(L3907&lt;&gt;"",L3907+N3907,"")</f>
        <v/>
      </c>
      <c r="P3907" s="47" t="str">
        <f aca="false">IF(O3907&lt;&gt;"",O3907*0.1,"")</f>
        <v/>
      </c>
      <c r="Q3907" s="83" t="str">
        <f aca="false">IF(O3907&lt;&gt;"",O3907+P3907,"")</f>
        <v/>
      </c>
      <c r="R3907" s="84"/>
    </row>
    <row r="3908" customFormat="false" ht="15" hidden="false" customHeight="true" outlineLevel="0" collapsed="false">
      <c r="A3908" s="103"/>
      <c r="B3908" s="73"/>
      <c r="C3908" s="74"/>
      <c r="D3908" s="75"/>
      <c r="E3908" s="52" t="str">
        <f aca="false">IF(D3908&lt;&gt;"",IFERROR(VLOOKUP(D3908,PROVEEDORES!$A:$B,2,0),"!COD NO ENCONTRADO"),"")</f>
        <v/>
      </c>
      <c r="F3908" s="76" t="str">
        <f aca="false">IF(D3908&lt;&gt;"",IFERROR(VLOOKUP(D3908,PROVEEDORES!$A:$C,3,0),""),"")</f>
        <v/>
      </c>
      <c r="G3908" s="75"/>
      <c r="H3908" s="52" t="str">
        <f aca="false">IF(G3908&lt;&gt;"",IFERROR(VLOOKUP(G3908,PRODUCTOS!$A:$B,2,0),"!COD NO ENCONTRADO"),"")</f>
        <v/>
      </c>
      <c r="I3908" s="77"/>
      <c r="J3908" s="78"/>
      <c r="K3908" s="79"/>
      <c r="L3908" s="80" t="str">
        <f aca="false">IF(AND(J3908&lt;&gt;"",K3908&lt;&gt;""),J3908*K3908,"")</f>
        <v/>
      </c>
      <c r="M3908" s="81" t="str">
        <f aca="false">IF(L3908&lt;&gt;"",L3908*1.1,"")</f>
        <v/>
      </c>
      <c r="N3908" s="53" t="n">
        <f aca="false">IF(F3908="S",L3908*0.02,0)</f>
        <v>0</v>
      </c>
      <c r="O3908" s="82" t="str">
        <f aca="false">IF(L3908&lt;&gt;"",L3908+N3908,"")</f>
        <v/>
      </c>
      <c r="P3908" s="53" t="str">
        <f aca="false">IF(O3908&lt;&gt;"",O3908*0.1,"")</f>
        <v/>
      </c>
      <c r="Q3908" s="83" t="str">
        <f aca="false">IF(O3908&lt;&gt;"",O3908+P3908,"")</f>
        <v/>
      </c>
      <c r="R3908" s="84"/>
    </row>
    <row r="3909" customFormat="false" ht="15" hidden="false" customHeight="true" outlineLevel="0" collapsed="false">
      <c r="A3909" s="103"/>
      <c r="B3909" s="85"/>
      <c r="C3909" s="86"/>
      <c r="D3909" s="87"/>
      <c r="E3909" s="46" t="str">
        <f aca="false">IF(D3909&lt;&gt;"",IFERROR(VLOOKUP(D3909,PROVEEDORES!$A:$B,2,0),"!COD NO ENCONTRADO"),"")</f>
        <v/>
      </c>
      <c r="F3909" s="88" t="str">
        <f aca="false">IF(D3909&lt;&gt;"",IFERROR(VLOOKUP(D3909,PROVEEDORES!$A:$C,3,0),""),"")</f>
        <v/>
      </c>
      <c r="G3909" s="87"/>
      <c r="H3909" s="46" t="str">
        <f aca="false">IF(G3909&lt;&gt;"",IFERROR(VLOOKUP(G3909,PRODUCTOS!$A:$B,2,0),"!COD NO ENCONTRADO"),"")</f>
        <v/>
      </c>
      <c r="I3909" s="89"/>
      <c r="J3909" s="90"/>
      <c r="K3909" s="91"/>
      <c r="L3909" s="80" t="str">
        <f aca="false">IF(AND(J3909&lt;&gt;"",K3909&lt;&gt;""),J3909*K3909,"")</f>
        <v/>
      </c>
      <c r="M3909" s="81" t="str">
        <f aca="false">IF(L3909&lt;&gt;"",L3909*1.1,"")</f>
        <v/>
      </c>
      <c r="N3909" s="47" t="n">
        <f aca="false">IF(F3909="S",L3909*0.02,0)</f>
        <v>0</v>
      </c>
      <c r="O3909" s="82" t="str">
        <f aca="false">IF(L3909&lt;&gt;"",L3909+N3909,"")</f>
        <v/>
      </c>
      <c r="P3909" s="47" t="str">
        <f aca="false">IF(O3909&lt;&gt;"",O3909*0.1,"")</f>
        <v/>
      </c>
      <c r="Q3909" s="83" t="str">
        <f aca="false">IF(O3909&lt;&gt;"",O3909+P3909,"")</f>
        <v/>
      </c>
      <c r="R3909" s="84"/>
    </row>
    <row r="3910" customFormat="false" ht="15" hidden="false" customHeight="true" outlineLevel="0" collapsed="false">
      <c r="A3910" s="103"/>
      <c r="B3910" s="73"/>
      <c r="C3910" s="74"/>
      <c r="D3910" s="75"/>
      <c r="E3910" s="52" t="str">
        <f aca="false">IF(D3910&lt;&gt;"",IFERROR(VLOOKUP(D3910,PROVEEDORES!$A:$B,2,0),"!COD NO ENCONTRADO"),"")</f>
        <v/>
      </c>
      <c r="F3910" s="76" t="str">
        <f aca="false">IF(D3910&lt;&gt;"",IFERROR(VLOOKUP(D3910,PROVEEDORES!$A:$C,3,0),""),"")</f>
        <v/>
      </c>
      <c r="G3910" s="75"/>
      <c r="H3910" s="52" t="str">
        <f aca="false">IF(G3910&lt;&gt;"",IFERROR(VLOOKUP(G3910,PRODUCTOS!$A:$B,2,0),"!COD NO ENCONTRADO"),"")</f>
        <v/>
      </c>
      <c r="I3910" s="77"/>
      <c r="J3910" s="78"/>
      <c r="K3910" s="79"/>
      <c r="L3910" s="80" t="str">
        <f aca="false">IF(AND(J3910&lt;&gt;"",K3910&lt;&gt;""),J3910*K3910,"")</f>
        <v/>
      </c>
      <c r="M3910" s="81" t="str">
        <f aca="false">IF(L3910&lt;&gt;"",L3910*1.1,"")</f>
        <v/>
      </c>
      <c r="N3910" s="53" t="n">
        <f aca="false">IF(F3910="S",L3910*0.02,0)</f>
        <v>0</v>
      </c>
      <c r="O3910" s="82" t="str">
        <f aca="false">IF(L3910&lt;&gt;"",L3910+N3910,"")</f>
        <v/>
      </c>
      <c r="P3910" s="53" t="str">
        <f aca="false">IF(O3910&lt;&gt;"",O3910*0.1,"")</f>
        <v/>
      </c>
      <c r="Q3910" s="83" t="str">
        <f aca="false">IF(O3910&lt;&gt;"",O3910+P3910,"")</f>
        <v/>
      </c>
      <c r="R3910" s="84"/>
    </row>
    <row r="3911" customFormat="false" ht="15" hidden="false" customHeight="true" outlineLevel="0" collapsed="false">
      <c r="A3911" s="103"/>
      <c r="B3911" s="85"/>
      <c r="C3911" s="86"/>
      <c r="D3911" s="87"/>
      <c r="E3911" s="46" t="str">
        <f aca="false">IF(D3911&lt;&gt;"",IFERROR(VLOOKUP(D3911,PROVEEDORES!$A:$B,2,0),"!COD NO ENCONTRADO"),"")</f>
        <v/>
      </c>
      <c r="F3911" s="88" t="str">
        <f aca="false">IF(D3911&lt;&gt;"",IFERROR(VLOOKUP(D3911,PROVEEDORES!$A:$C,3,0),""),"")</f>
        <v/>
      </c>
      <c r="G3911" s="87"/>
      <c r="H3911" s="46" t="str">
        <f aca="false">IF(G3911&lt;&gt;"",IFERROR(VLOOKUP(G3911,PRODUCTOS!$A:$B,2,0),"!COD NO ENCONTRADO"),"")</f>
        <v/>
      </c>
      <c r="I3911" s="89"/>
      <c r="J3911" s="90"/>
      <c r="K3911" s="91"/>
      <c r="L3911" s="80" t="str">
        <f aca="false">IF(AND(J3911&lt;&gt;"",K3911&lt;&gt;""),J3911*K3911,"")</f>
        <v/>
      </c>
      <c r="M3911" s="81" t="str">
        <f aca="false">IF(L3911&lt;&gt;"",L3911*1.1,"")</f>
        <v/>
      </c>
      <c r="N3911" s="47" t="n">
        <f aca="false">IF(F3911="S",L3911*0.02,0)</f>
        <v>0</v>
      </c>
      <c r="O3911" s="82" t="str">
        <f aca="false">IF(L3911&lt;&gt;"",L3911+N3911,"")</f>
        <v/>
      </c>
      <c r="P3911" s="47" t="str">
        <f aca="false">IF(O3911&lt;&gt;"",O3911*0.1,"")</f>
        <v/>
      </c>
      <c r="Q3911" s="83" t="str">
        <f aca="false">IF(O3911&lt;&gt;"",O3911+P3911,"")</f>
        <v/>
      </c>
      <c r="R3911" s="84"/>
    </row>
    <row r="3912" customFormat="false" ht="15" hidden="false" customHeight="true" outlineLevel="0" collapsed="false">
      <c r="A3912" s="103"/>
      <c r="B3912" s="73"/>
      <c r="C3912" s="74"/>
      <c r="D3912" s="75"/>
      <c r="E3912" s="52" t="str">
        <f aca="false">IF(D3912&lt;&gt;"",IFERROR(VLOOKUP(D3912,PROVEEDORES!$A:$B,2,0),"!COD NO ENCONTRADO"),"")</f>
        <v/>
      </c>
      <c r="F3912" s="76" t="str">
        <f aca="false">IF(D3912&lt;&gt;"",IFERROR(VLOOKUP(D3912,PROVEEDORES!$A:$C,3,0),""),"")</f>
        <v/>
      </c>
      <c r="G3912" s="75"/>
      <c r="H3912" s="52" t="str">
        <f aca="false">IF(G3912&lt;&gt;"",IFERROR(VLOOKUP(G3912,PRODUCTOS!$A:$B,2,0),"!COD NO ENCONTRADO"),"")</f>
        <v/>
      </c>
      <c r="I3912" s="77"/>
      <c r="J3912" s="78"/>
      <c r="K3912" s="79"/>
      <c r="L3912" s="80" t="str">
        <f aca="false">IF(AND(J3912&lt;&gt;"",K3912&lt;&gt;""),J3912*K3912,"")</f>
        <v/>
      </c>
      <c r="M3912" s="81" t="str">
        <f aca="false">IF(L3912&lt;&gt;"",L3912*1.1,"")</f>
        <v/>
      </c>
      <c r="N3912" s="53" t="n">
        <f aca="false">IF(F3912="S",L3912*0.02,0)</f>
        <v>0</v>
      </c>
      <c r="O3912" s="82" t="str">
        <f aca="false">IF(L3912&lt;&gt;"",L3912+N3912,"")</f>
        <v/>
      </c>
      <c r="P3912" s="53" t="str">
        <f aca="false">IF(O3912&lt;&gt;"",O3912*0.1,"")</f>
        <v/>
      </c>
      <c r="Q3912" s="83" t="str">
        <f aca="false">IF(O3912&lt;&gt;"",O3912+P3912,"")</f>
        <v/>
      </c>
      <c r="R3912" s="84"/>
    </row>
    <row r="3913" customFormat="false" ht="15" hidden="false" customHeight="true" outlineLevel="0" collapsed="false">
      <c r="A3913" s="103"/>
      <c r="B3913" s="85"/>
      <c r="C3913" s="86"/>
      <c r="D3913" s="87"/>
      <c r="E3913" s="46" t="str">
        <f aca="false">IF(D3913&lt;&gt;"",IFERROR(VLOOKUP(D3913,PROVEEDORES!$A:$B,2,0),"!COD NO ENCONTRADO"),"")</f>
        <v/>
      </c>
      <c r="F3913" s="88" t="str">
        <f aca="false">IF(D3913&lt;&gt;"",IFERROR(VLOOKUP(D3913,PROVEEDORES!$A:$C,3,0),""),"")</f>
        <v/>
      </c>
      <c r="G3913" s="87"/>
      <c r="H3913" s="46" t="str">
        <f aca="false">IF(G3913&lt;&gt;"",IFERROR(VLOOKUP(G3913,PRODUCTOS!$A:$B,2,0),"!COD NO ENCONTRADO"),"")</f>
        <v/>
      </c>
      <c r="I3913" s="89"/>
      <c r="J3913" s="90"/>
      <c r="K3913" s="91"/>
      <c r="L3913" s="80" t="str">
        <f aca="false">IF(AND(J3913&lt;&gt;"",K3913&lt;&gt;""),J3913*K3913,"")</f>
        <v/>
      </c>
      <c r="M3913" s="81" t="str">
        <f aca="false">IF(L3913&lt;&gt;"",L3913*1.1,"")</f>
        <v/>
      </c>
      <c r="N3913" s="47" t="n">
        <f aca="false">IF(F3913="S",L3913*0.02,0)</f>
        <v>0</v>
      </c>
      <c r="O3913" s="82" t="str">
        <f aca="false">IF(L3913&lt;&gt;"",L3913+N3913,"")</f>
        <v/>
      </c>
      <c r="P3913" s="47" t="str">
        <f aca="false">IF(O3913&lt;&gt;"",O3913*0.1,"")</f>
        <v/>
      </c>
      <c r="Q3913" s="83" t="str">
        <f aca="false">IF(O3913&lt;&gt;"",O3913+P3913,"")</f>
        <v/>
      </c>
      <c r="R3913" s="84"/>
    </row>
    <row r="3914" customFormat="false" ht="15" hidden="false" customHeight="true" outlineLevel="0" collapsed="false">
      <c r="A3914" s="103"/>
      <c r="B3914" s="73"/>
      <c r="C3914" s="74"/>
      <c r="D3914" s="75"/>
      <c r="E3914" s="52" t="str">
        <f aca="false">IF(D3914&lt;&gt;"",IFERROR(VLOOKUP(D3914,PROVEEDORES!$A:$B,2,0),"!COD NO ENCONTRADO"),"")</f>
        <v/>
      </c>
      <c r="F3914" s="76" t="str">
        <f aca="false">IF(D3914&lt;&gt;"",IFERROR(VLOOKUP(D3914,PROVEEDORES!$A:$C,3,0),""),"")</f>
        <v/>
      </c>
      <c r="G3914" s="75"/>
      <c r="H3914" s="52" t="str">
        <f aca="false">IF(G3914&lt;&gt;"",IFERROR(VLOOKUP(G3914,PRODUCTOS!$A:$B,2,0),"!COD NO ENCONTRADO"),"")</f>
        <v/>
      </c>
      <c r="I3914" s="77"/>
      <c r="J3914" s="78"/>
      <c r="K3914" s="79"/>
      <c r="L3914" s="80" t="str">
        <f aca="false">IF(AND(J3914&lt;&gt;"",K3914&lt;&gt;""),J3914*K3914,"")</f>
        <v/>
      </c>
      <c r="M3914" s="81" t="str">
        <f aca="false">IF(L3914&lt;&gt;"",L3914*1.1,"")</f>
        <v/>
      </c>
      <c r="N3914" s="53" t="n">
        <f aca="false">IF(F3914="S",L3914*0.02,0)</f>
        <v>0</v>
      </c>
      <c r="O3914" s="82" t="str">
        <f aca="false">IF(L3914&lt;&gt;"",L3914+N3914,"")</f>
        <v/>
      </c>
      <c r="P3914" s="53" t="str">
        <f aca="false">IF(O3914&lt;&gt;"",O3914*0.1,"")</f>
        <v/>
      </c>
      <c r="Q3914" s="83" t="str">
        <f aca="false">IF(O3914&lt;&gt;"",O3914+P3914,"")</f>
        <v/>
      </c>
      <c r="R3914" s="84"/>
    </row>
    <row r="3915" customFormat="false" ht="15" hidden="false" customHeight="true" outlineLevel="0" collapsed="false">
      <c r="A3915" s="103"/>
      <c r="B3915" s="85"/>
      <c r="C3915" s="86"/>
      <c r="D3915" s="87"/>
      <c r="E3915" s="46" t="str">
        <f aca="false">IF(D3915&lt;&gt;"",IFERROR(VLOOKUP(D3915,PROVEEDORES!$A:$B,2,0),"!COD NO ENCONTRADO"),"")</f>
        <v/>
      </c>
      <c r="F3915" s="88" t="str">
        <f aca="false">IF(D3915&lt;&gt;"",IFERROR(VLOOKUP(D3915,PROVEEDORES!$A:$C,3,0),""),"")</f>
        <v/>
      </c>
      <c r="G3915" s="87"/>
      <c r="H3915" s="46" t="str">
        <f aca="false">IF(G3915&lt;&gt;"",IFERROR(VLOOKUP(G3915,PRODUCTOS!$A:$B,2,0),"!COD NO ENCONTRADO"),"")</f>
        <v/>
      </c>
      <c r="I3915" s="89"/>
      <c r="J3915" s="90"/>
      <c r="K3915" s="91"/>
      <c r="L3915" s="80" t="str">
        <f aca="false">IF(AND(J3915&lt;&gt;"",K3915&lt;&gt;""),J3915*K3915,"")</f>
        <v/>
      </c>
      <c r="M3915" s="81" t="str">
        <f aca="false">IF(L3915&lt;&gt;"",L3915*1.1,"")</f>
        <v/>
      </c>
      <c r="N3915" s="47" t="n">
        <f aca="false">IF(F3915="S",L3915*0.02,0)</f>
        <v>0</v>
      </c>
      <c r="O3915" s="82" t="str">
        <f aca="false">IF(L3915&lt;&gt;"",L3915+N3915,"")</f>
        <v/>
      </c>
      <c r="P3915" s="47" t="str">
        <f aca="false">IF(O3915&lt;&gt;"",O3915*0.1,"")</f>
        <v/>
      </c>
      <c r="Q3915" s="83" t="str">
        <f aca="false">IF(O3915&lt;&gt;"",O3915+P3915,"")</f>
        <v/>
      </c>
      <c r="R3915" s="84"/>
    </row>
    <row r="3916" customFormat="false" ht="15" hidden="false" customHeight="true" outlineLevel="0" collapsed="false">
      <c r="A3916" s="103"/>
      <c r="B3916" s="73"/>
      <c r="C3916" s="74"/>
      <c r="D3916" s="75"/>
      <c r="E3916" s="52" t="str">
        <f aca="false">IF(D3916&lt;&gt;"",IFERROR(VLOOKUP(D3916,PROVEEDORES!$A:$B,2,0),"!COD NO ENCONTRADO"),"")</f>
        <v/>
      </c>
      <c r="F3916" s="76" t="str">
        <f aca="false">IF(D3916&lt;&gt;"",IFERROR(VLOOKUP(D3916,PROVEEDORES!$A:$C,3,0),""),"")</f>
        <v/>
      </c>
      <c r="G3916" s="75"/>
      <c r="H3916" s="52" t="str">
        <f aca="false">IF(G3916&lt;&gt;"",IFERROR(VLOOKUP(G3916,PRODUCTOS!$A:$B,2,0),"!COD NO ENCONTRADO"),"")</f>
        <v/>
      </c>
      <c r="I3916" s="77"/>
      <c r="J3916" s="78"/>
      <c r="K3916" s="79"/>
      <c r="L3916" s="80" t="str">
        <f aca="false">IF(AND(J3916&lt;&gt;"",K3916&lt;&gt;""),J3916*K3916,"")</f>
        <v/>
      </c>
      <c r="M3916" s="81" t="str">
        <f aca="false">IF(L3916&lt;&gt;"",L3916*1.1,"")</f>
        <v/>
      </c>
      <c r="N3916" s="53" t="n">
        <f aca="false">IF(F3916="S",L3916*0.02,0)</f>
        <v>0</v>
      </c>
      <c r="O3916" s="82" t="str">
        <f aca="false">IF(L3916&lt;&gt;"",L3916+N3916,"")</f>
        <v/>
      </c>
      <c r="P3916" s="53" t="str">
        <f aca="false">IF(O3916&lt;&gt;"",O3916*0.1,"")</f>
        <v/>
      </c>
      <c r="Q3916" s="83" t="str">
        <f aca="false">IF(O3916&lt;&gt;"",O3916+P3916,"")</f>
        <v/>
      </c>
      <c r="R3916" s="84"/>
    </row>
    <row r="3917" customFormat="false" ht="15" hidden="false" customHeight="true" outlineLevel="0" collapsed="false">
      <c r="A3917" s="103"/>
      <c r="B3917" s="85"/>
      <c r="C3917" s="86"/>
      <c r="D3917" s="87"/>
      <c r="E3917" s="46" t="str">
        <f aca="false">IF(D3917&lt;&gt;"",IFERROR(VLOOKUP(D3917,PROVEEDORES!$A:$B,2,0),"!COD NO ENCONTRADO"),"")</f>
        <v/>
      </c>
      <c r="F3917" s="88" t="str">
        <f aca="false">IF(D3917&lt;&gt;"",IFERROR(VLOOKUP(D3917,PROVEEDORES!$A:$C,3,0),""),"")</f>
        <v/>
      </c>
      <c r="G3917" s="87"/>
      <c r="H3917" s="46" t="str">
        <f aca="false">IF(G3917&lt;&gt;"",IFERROR(VLOOKUP(G3917,PRODUCTOS!$A:$B,2,0),"!COD NO ENCONTRADO"),"")</f>
        <v/>
      </c>
      <c r="I3917" s="89"/>
      <c r="J3917" s="90"/>
      <c r="K3917" s="91"/>
      <c r="L3917" s="80" t="str">
        <f aca="false">IF(AND(J3917&lt;&gt;"",K3917&lt;&gt;""),J3917*K3917,"")</f>
        <v/>
      </c>
      <c r="M3917" s="81" t="str">
        <f aca="false">IF(L3917&lt;&gt;"",L3917*1.1,"")</f>
        <v/>
      </c>
      <c r="N3917" s="47" t="n">
        <f aca="false">IF(F3917="S",L3917*0.02,0)</f>
        <v>0</v>
      </c>
      <c r="O3917" s="82" t="str">
        <f aca="false">IF(L3917&lt;&gt;"",L3917+N3917,"")</f>
        <v/>
      </c>
      <c r="P3917" s="47" t="str">
        <f aca="false">IF(O3917&lt;&gt;"",O3917*0.1,"")</f>
        <v/>
      </c>
      <c r="Q3917" s="83" t="str">
        <f aca="false">IF(O3917&lt;&gt;"",O3917+P3917,"")</f>
        <v/>
      </c>
      <c r="R3917" s="84"/>
    </row>
    <row r="3918" customFormat="false" ht="15" hidden="false" customHeight="true" outlineLevel="0" collapsed="false">
      <c r="A3918" s="103"/>
      <c r="B3918" s="73"/>
      <c r="C3918" s="74"/>
      <c r="D3918" s="75"/>
      <c r="E3918" s="52" t="str">
        <f aca="false">IF(D3918&lt;&gt;"",IFERROR(VLOOKUP(D3918,PROVEEDORES!$A:$B,2,0),"!COD NO ENCONTRADO"),"")</f>
        <v/>
      </c>
      <c r="F3918" s="76" t="str">
        <f aca="false">IF(D3918&lt;&gt;"",IFERROR(VLOOKUP(D3918,PROVEEDORES!$A:$C,3,0),""),"")</f>
        <v/>
      </c>
      <c r="G3918" s="75"/>
      <c r="H3918" s="52" t="str">
        <f aca="false">IF(G3918&lt;&gt;"",IFERROR(VLOOKUP(G3918,PRODUCTOS!$A:$B,2,0),"!COD NO ENCONTRADO"),"")</f>
        <v/>
      </c>
      <c r="I3918" s="77"/>
      <c r="J3918" s="78"/>
      <c r="K3918" s="79"/>
      <c r="L3918" s="80" t="str">
        <f aca="false">IF(AND(J3918&lt;&gt;"",K3918&lt;&gt;""),J3918*K3918,"")</f>
        <v/>
      </c>
      <c r="M3918" s="81" t="str">
        <f aca="false">IF(L3918&lt;&gt;"",L3918*1.1,"")</f>
        <v/>
      </c>
      <c r="N3918" s="53" t="n">
        <f aca="false">IF(F3918="S",L3918*0.02,0)</f>
        <v>0</v>
      </c>
      <c r="O3918" s="82" t="str">
        <f aca="false">IF(L3918&lt;&gt;"",L3918+N3918,"")</f>
        <v/>
      </c>
      <c r="P3918" s="53" t="str">
        <f aca="false">IF(O3918&lt;&gt;"",O3918*0.1,"")</f>
        <v/>
      </c>
      <c r="Q3918" s="83" t="str">
        <f aca="false">IF(O3918&lt;&gt;"",O3918+P3918,"")</f>
        <v/>
      </c>
      <c r="R3918" s="84"/>
    </row>
    <row r="3919" customFormat="false" ht="15" hidden="false" customHeight="true" outlineLevel="0" collapsed="false">
      <c r="A3919" s="103"/>
      <c r="B3919" s="85"/>
      <c r="C3919" s="86"/>
      <c r="D3919" s="87"/>
      <c r="E3919" s="46" t="str">
        <f aca="false">IF(D3919&lt;&gt;"",IFERROR(VLOOKUP(D3919,PROVEEDORES!$A:$B,2,0),"!COD NO ENCONTRADO"),"")</f>
        <v/>
      </c>
      <c r="F3919" s="88" t="str">
        <f aca="false">IF(D3919&lt;&gt;"",IFERROR(VLOOKUP(D3919,PROVEEDORES!$A:$C,3,0),""),"")</f>
        <v/>
      </c>
      <c r="G3919" s="87"/>
      <c r="H3919" s="46" t="str">
        <f aca="false">IF(G3919&lt;&gt;"",IFERROR(VLOOKUP(G3919,PRODUCTOS!$A:$B,2,0),"!COD NO ENCONTRADO"),"")</f>
        <v/>
      </c>
      <c r="I3919" s="89"/>
      <c r="J3919" s="90"/>
      <c r="K3919" s="91"/>
      <c r="L3919" s="80" t="str">
        <f aca="false">IF(AND(J3919&lt;&gt;"",K3919&lt;&gt;""),J3919*K3919,"")</f>
        <v/>
      </c>
      <c r="M3919" s="81" t="str">
        <f aca="false">IF(L3919&lt;&gt;"",L3919*1.1,"")</f>
        <v/>
      </c>
      <c r="N3919" s="47" t="n">
        <f aca="false">IF(F3919="S",L3919*0.02,0)</f>
        <v>0</v>
      </c>
      <c r="O3919" s="82" t="str">
        <f aca="false">IF(L3919&lt;&gt;"",L3919+N3919,"")</f>
        <v/>
      </c>
      <c r="P3919" s="47" t="str">
        <f aca="false">IF(O3919&lt;&gt;"",O3919*0.1,"")</f>
        <v/>
      </c>
      <c r="Q3919" s="83" t="str">
        <f aca="false">IF(O3919&lt;&gt;"",O3919+P3919,"")</f>
        <v/>
      </c>
      <c r="R3919" s="84"/>
    </row>
    <row r="3920" customFormat="false" ht="15" hidden="false" customHeight="true" outlineLevel="0" collapsed="false">
      <c r="A3920" s="103"/>
      <c r="B3920" s="73"/>
      <c r="C3920" s="74"/>
      <c r="D3920" s="75"/>
      <c r="E3920" s="52" t="str">
        <f aca="false">IF(D3920&lt;&gt;"",IFERROR(VLOOKUP(D3920,PROVEEDORES!$A:$B,2,0),"!COD NO ENCONTRADO"),"")</f>
        <v/>
      </c>
      <c r="F3920" s="76" t="str">
        <f aca="false">IF(D3920&lt;&gt;"",IFERROR(VLOOKUP(D3920,PROVEEDORES!$A:$C,3,0),""),"")</f>
        <v/>
      </c>
      <c r="G3920" s="75"/>
      <c r="H3920" s="52" t="str">
        <f aca="false">IF(G3920&lt;&gt;"",IFERROR(VLOOKUP(G3920,PRODUCTOS!$A:$B,2,0),"!COD NO ENCONTRADO"),"")</f>
        <v/>
      </c>
      <c r="I3920" s="77"/>
      <c r="J3920" s="78"/>
      <c r="K3920" s="79"/>
      <c r="L3920" s="80" t="str">
        <f aca="false">IF(AND(J3920&lt;&gt;"",K3920&lt;&gt;""),J3920*K3920,"")</f>
        <v/>
      </c>
      <c r="M3920" s="81" t="str">
        <f aca="false">IF(L3920&lt;&gt;"",L3920*1.1,"")</f>
        <v/>
      </c>
      <c r="N3920" s="53" t="n">
        <f aca="false">IF(F3920="S",L3920*0.02,0)</f>
        <v>0</v>
      </c>
      <c r="O3920" s="82" t="str">
        <f aca="false">IF(L3920&lt;&gt;"",L3920+N3920,"")</f>
        <v/>
      </c>
      <c r="P3920" s="53" t="str">
        <f aca="false">IF(O3920&lt;&gt;"",O3920*0.1,"")</f>
        <v/>
      </c>
      <c r="Q3920" s="83" t="str">
        <f aca="false">IF(O3920&lt;&gt;"",O3920+P3920,"")</f>
        <v/>
      </c>
      <c r="R3920" s="84"/>
    </row>
    <row r="3921" customFormat="false" ht="15" hidden="false" customHeight="true" outlineLevel="0" collapsed="false">
      <c r="A3921" s="103"/>
      <c r="B3921" s="85"/>
      <c r="C3921" s="86"/>
      <c r="D3921" s="87"/>
      <c r="E3921" s="46" t="str">
        <f aca="false">IF(D3921&lt;&gt;"",IFERROR(VLOOKUP(D3921,PROVEEDORES!$A:$B,2,0),"!COD NO ENCONTRADO"),"")</f>
        <v/>
      </c>
      <c r="F3921" s="88" t="str">
        <f aca="false">IF(D3921&lt;&gt;"",IFERROR(VLOOKUP(D3921,PROVEEDORES!$A:$C,3,0),""),"")</f>
        <v/>
      </c>
      <c r="G3921" s="87"/>
      <c r="H3921" s="46" t="str">
        <f aca="false">IF(G3921&lt;&gt;"",IFERROR(VLOOKUP(G3921,PRODUCTOS!$A:$B,2,0),"!COD NO ENCONTRADO"),"")</f>
        <v/>
      </c>
      <c r="I3921" s="89"/>
      <c r="J3921" s="90"/>
      <c r="K3921" s="91"/>
      <c r="L3921" s="80" t="str">
        <f aca="false">IF(AND(J3921&lt;&gt;"",K3921&lt;&gt;""),J3921*K3921,"")</f>
        <v/>
      </c>
      <c r="M3921" s="81" t="str">
        <f aca="false">IF(L3921&lt;&gt;"",L3921*1.1,"")</f>
        <v/>
      </c>
      <c r="N3921" s="47" t="n">
        <f aca="false">IF(F3921="S",L3921*0.02,0)</f>
        <v>0</v>
      </c>
      <c r="O3921" s="82" t="str">
        <f aca="false">IF(L3921&lt;&gt;"",L3921+N3921,"")</f>
        <v/>
      </c>
      <c r="P3921" s="47" t="str">
        <f aca="false">IF(O3921&lt;&gt;"",O3921*0.1,"")</f>
        <v/>
      </c>
      <c r="Q3921" s="83" t="str">
        <f aca="false">IF(O3921&lt;&gt;"",O3921+P3921,"")</f>
        <v/>
      </c>
      <c r="R3921" s="84"/>
    </row>
    <row r="3922" customFormat="false" ht="15" hidden="false" customHeight="true" outlineLevel="0" collapsed="false">
      <c r="A3922" s="103"/>
      <c r="B3922" s="73"/>
      <c r="C3922" s="74"/>
      <c r="D3922" s="75"/>
      <c r="E3922" s="52" t="str">
        <f aca="false">IF(D3922&lt;&gt;"",IFERROR(VLOOKUP(D3922,PROVEEDORES!$A:$B,2,0),"!COD NO ENCONTRADO"),"")</f>
        <v/>
      </c>
      <c r="F3922" s="76" t="str">
        <f aca="false">IF(D3922&lt;&gt;"",IFERROR(VLOOKUP(D3922,PROVEEDORES!$A:$C,3,0),""),"")</f>
        <v/>
      </c>
      <c r="G3922" s="75"/>
      <c r="H3922" s="52" t="str">
        <f aca="false">IF(G3922&lt;&gt;"",IFERROR(VLOOKUP(G3922,PRODUCTOS!$A:$B,2,0),"!COD NO ENCONTRADO"),"")</f>
        <v/>
      </c>
      <c r="I3922" s="77"/>
      <c r="J3922" s="78"/>
      <c r="K3922" s="79"/>
      <c r="L3922" s="80" t="str">
        <f aca="false">IF(AND(J3922&lt;&gt;"",K3922&lt;&gt;""),J3922*K3922,"")</f>
        <v/>
      </c>
      <c r="M3922" s="81" t="str">
        <f aca="false">IF(L3922&lt;&gt;"",L3922*1.1,"")</f>
        <v/>
      </c>
      <c r="N3922" s="53" t="n">
        <f aca="false">IF(F3922="S",L3922*0.02,0)</f>
        <v>0</v>
      </c>
      <c r="O3922" s="82" t="str">
        <f aca="false">IF(L3922&lt;&gt;"",L3922+N3922,"")</f>
        <v/>
      </c>
      <c r="P3922" s="53" t="str">
        <f aca="false">IF(O3922&lt;&gt;"",O3922*0.1,"")</f>
        <v/>
      </c>
      <c r="Q3922" s="83" t="str">
        <f aca="false">IF(O3922&lt;&gt;"",O3922+P3922,"")</f>
        <v/>
      </c>
      <c r="R3922" s="84"/>
    </row>
    <row r="3923" customFormat="false" ht="15" hidden="false" customHeight="true" outlineLevel="0" collapsed="false">
      <c r="A3923" s="103"/>
      <c r="B3923" s="85"/>
      <c r="C3923" s="86"/>
      <c r="D3923" s="87"/>
      <c r="E3923" s="46" t="str">
        <f aca="false">IF(D3923&lt;&gt;"",IFERROR(VLOOKUP(D3923,PROVEEDORES!$A:$B,2,0),"!COD NO ENCONTRADO"),"")</f>
        <v/>
      </c>
      <c r="F3923" s="88" t="str">
        <f aca="false">IF(D3923&lt;&gt;"",IFERROR(VLOOKUP(D3923,PROVEEDORES!$A:$C,3,0),""),"")</f>
        <v/>
      </c>
      <c r="G3923" s="87"/>
      <c r="H3923" s="46" t="str">
        <f aca="false">IF(G3923&lt;&gt;"",IFERROR(VLOOKUP(G3923,PRODUCTOS!$A:$B,2,0),"!COD NO ENCONTRADO"),"")</f>
        <v/>
      </c>
      <c r="I3923" s="89"/>
      <c r="J3923" s="90"/>
      <c r="K3923" s="91"/>
      <c r="L3923" s="80" t="str">
        <f aca="false">IF(AND(J3923&lt;&gt;"",K3923&lt;&gt;""),J3923*K3923,"")</f>
        <v/>
      </c>
      <c r="M3923" s="81" t="str">
        <f aca="false">IF(L3923&lt;&gt;"",L3923*1.1,"")</f>
        <v/>
      </c>
      <c r="N3923" s="47" t="n">
        <f aca="false">IF(F3923="S",L3923*0.02,0)</f>
        <v>0</v>
      </c>
      <c r="O3923" s="82" t="str">
        <f aca="false">IF(L3923&lt;&gt;"",L3923+N3923,"")</f>
        <v/>
      </c>
      <c r="P3923" s="47" t="str">
        <f aca="false">IF(O3923&lt;&gt;"",O3923*0.1,"")</f>
        <v/>
      </c>
      <c r="Q3923" s="83" t="str">
        <f aca="false">IF(O3923&lt;&gt;"",O3923+P3923,"")</f>
        <v/>
      </c>
      <c r="R3923" s="84"/>
    </row>
    <row r="3924" customFormat="false" ht="15" hidden="false" customHeight="true" outlineLevel="0" collapsed="false">
      <c r="A3924" s="103"/>
      <c r="B3924" s="73"/>
      <c r="C3924" s="74"/>
      <c r="D3924" s="75"/>
      <c r="E3924" s="52" t="str">
        <f aca="false">IF(D3924&lt;&gt;"",IFERROR(VLOOKUP(D3924,PROVEEDORES!$A:$B,2,0),"!COD NO ENCONTRADO"),"")</f>
        <v/>
      </c>
      <c r="F3924" s="76" t="str">
        <f aca="false">IF(D3924&lt;&gt;"",IFERROR(VLOOKUP(D3924,PROVEEDORES!$A:$C,3,0),""),"")</f>
        <v/>
      </c>
      <c r="G3924" s="75"/>
      <c r="H3924" s="52" t="str">
        <f aca="false">IF(G3924&lt;&gt;"",IFERROR(VLOOKUP(G3924,PRODUCTOS!$A:$B,2,0),"!COD NO ENCONTRADO"),"")</f>
        <v/>
      </c>
      <c r="I3924" s="77"/>
      <c r="J3924" s="78"/>
      <c r="K3924" s="79"/>
      <c r="L3924" s="80" t="str">
        <f aca="false">IF(AND(J3924&lt;&gt;"",K3924&lt;&gt;""),J3924*K3924,"")</f>
        <v/>
      </c>
      <c r="M3924" s="81" t="str">
        <f aca="false">IF(L3924&lt;&gt;"",L3924*1.1,"")</f>
        <v/>
      </c>
      <c r="N3924" s="53" t="n">
        <f aca="false">IF(F3924="S",L3924*0.02,0)</f>
        <v>0</v>
      </c>
      <c r="O3924" s="82" t="str">
        <f aca="false">IF(L3924&lt;&gt;"",L3924+N3924,"")</f>
        <v/>
      </c>
      <c r="P3924" s="53" t="str">
        <f aca="false">IF(O3924&lt;&gt;"",O3924*0.1,"")</f>
        <v/>
      </c>
      <c r="Q3924" s="83" t="str">
        <f aca="false">IF(O3924&lt;&gt;"",O3924+P3924,"")</f>
        <v/>
      </c>
      <c r="R3924" s="84"/>
    </row>
    <row r="3925" customFormat="false" ht="15" hidden="false" customHeight="true" outlineLevel="0" collapsed="false">
      <c r="A3925" s="103"/>
      <c r="B3925" s="85"/>
      <c r="C3925" s="86"/>
      <c r="D3925" s="87"/>
      <c r="E3925" s="46" t="str">
        <f aca="false">IF(D3925&lt;&gt;"",IFERROR(VLOOKUP(D3925,PROVEEDORES!$A:$B,2,0),"!COD NO ENCONTRADO"),"")</f>
        <v/>
      </c>
      <c r="F3925" s="88" t="str">
        <f aca="false">IF(D3925&lt;&gt;"",IFERROR(VLOOKUP(D3925,PROVEEDORES!$A:$C,3,0),""),"")</f>
        <v/>
      </c>
      <c r="G3925" s="87"/>
      <c r="H3925" s="46" t="str">
        <f aca="false">IF(G3925&lt;&gt;"",IFERROR(VLOOKUP(G3925,PRODUCTOS!$A:$B,2,0),"!COD NO ENCONTRADO"),"")</f>
        <v/>
      </c>
      <c r="I3925" s="89"/>
      <c r="J3925" s="90"/>
      <c r="K3925" s="91"/>
      <c r="L3925" s="80" t="str">
        <f aca="false">IF(AND(J3925&lt;&gt;"",K3925&lt;&gt;""),J3925*K3925,"")</f>
        <v/>
      </c>
      <c r="M3925" s="81" t="str">
        <f aca="false">IF(L3925&lt;&gt;"",L3925*1.1,"")</f>
        <v/>
      </c>
      <c r="N3925" s="47" t="n">
        <f aca="false">IF(F3925="S",L3925*0.02,0)</f>
        <v>0</v>
      </c>
      <c r="O3925" s="82" t="str">
        <f aca="false">IF(L3925&lt;&gt;"",L3925+N3925,"")</f>
        <v/>
      </c>
      <c r="P3925" s="47" t="str">
        <f aca="false">IF(O3925&lt;&gt;"",O3925*0.1,"")</f>
        <v/>
      </c>
      <c r="Q3925" s="83" t="str">
        <f aca="false">IF(O3925&lt;&gt;"",O3925+P3925,"")</f>
        <v/>
      </c>
      <c r="R3925" s="84"/>
    </row>
    <row r="3926" customFormat="false" ht="15" hidden="false" customHeight="true" outlineLevel="0" collapsed="false">
      <c r="A3926" s="103"/>
      <c r="B3926" s="73"/>
      <c r="C3926" s="74"/>
      <c r="D3926" s="75"/>
      <c r="E3926" s="52" t="str">
        <f aca="false">IF(D3926&lt;&gt;"",IFERROR(VLOOKUP(D3926,PROVEEDORES!$A:$B,2,0),"!COD NO ENCONTRADO"),"")</f>
        <v/>
      </c>
      <c r="F3926" s="76" t="str">
        <f aca="false">IF(D3926&lt;&gt;"",IFERROR(VLOOKUP(D3926,PROVEEDORES!$A:$C,3,0),""),"")</f>
        <v/>
      </c>
      <c r="G3926" s="75"/>
      <c r="H3926" s="52" t="str">
        <f aca="false">IF(G3926&lt;&gt;"",IFERROR(VLOOKUP(G3926,PRODUCTOS!$A:$B,2,0),"!COD NO ENCONTRADO"),"")</f>
        <v/>
      </c>
      <c r="I3926" s="77"/>
      <c r="J3926" s="78"/>
      <c r="K3926" s="79"/>
      <c r="L3926" s="80" t="str">
        <f aca="false">IF(AND(J3926&lt;&gt;"",K3926&lt;&gt;""),J3926*K3926,"")</f>
        <v/>
      </c>
      <c r="M3926" s="81" t="str">
        <f aca="false">IF(L3926&lt;&gt;"",L3926*1.1,"")</f>
        <v/>
      </c>
      <c r="N3926" s="53" t="n">
        <f aca="false">IF(F3926="S",L3926*0.02,0)</f>
        <v>0</v>
      </c>
      <c r="O3926" s="82" t="str">
        <f aca="false">IF(L3926&lt;&gt;"",L3926+N3926,"")</f>
        <v/>
      </c>
      <c r="P3926" s="53" t="str">
        <f aca="false">IF(O3926&lt;&gt;"",O3926*0.1,"")</f>
        <v/>
      </c>
      <c r="Q3926" s="83" t="str">
        <f aca="false">IF(O3926&lt;&gt;"",O3926+P3926,"")</f>
        <v/>
      </c>
      <c r="R3926" s="84"/>
    </row>
    <row r="3927" customFormat="false" ht="15" hidden="false" customHeight="true" outlineLevel="0" collapsed="false">
      <c r="A3927" s="103"/>
      <c r="B3927" s="85"/>
      <c r="C3927" s="86"/>
      <c r="D3927" s="87"/>
      <c r="E3927" s="46" t="str">
        <f aca="false">IF(D3927&lt;&gt;"",IFERROR(VLOOKUP(D3927,PROVEEDORES!$A:$B,2,0),"!COD NO ENCONTRADO"),"")</f>
        <v/>
      </c>
      <c r="F3927" s="88" t="str">
        <f aca="false">IF(D3927&lt;&gt;"",IFERROR(VLOOKUP(D3927,PROVEEDORES!$A:$C,3,0),""),"")</f>
        <v/>
      </c>
      <c r="G3927" s="87"/>
      <c r="H3927" s="46" t="str">
        <f aca="false">IF(G3927&lt;&gt;"",IFERROR(VLOOKUP(G3927,PRODUCTOS!$A:$B,2,0),"!COD NO ENCONTRADO"),"")</f>
        <v/>
      </c>
      <c r="I3927" s="89"/>
      <c r="J3927" s="90"/>
      <c r="K3927" s="91"/>
      <c r="L3927" s="80" t="str">
        <f aca="false">IF(AND(J3927&lt;&gt;"",K3927&lt;&gt;""),J3927*K3927,"")</f>
        <v/>
      </c>
      <c r="M3927" s="81" t="str">
        <f aca="false">IF(L3927&lt;&gt;"",L3927*1.1,"")</f>
        <v/>
      </c>
      <c r="N3927" s="47" t="n">
        <f aca="false">IF(F3927="S",L3927*0.02,0)</f>
        <v>0</v>
      </c>
      <c r="O3927" s="82" t="str">
        <f aca="false">IF(L3927&lt;&gt;"",L3927+N3927,"")</f>
        <v/>
      </c>
      <c r="P3927" s="47" t="str">
        <f aca="false">IF(O3927&lt;&gt;"",O3927*0.1,"")</f>
        <v/>
      </c>
      <c r="Q3927" s="83" t="str">
        <f aca="false">IF(O3927&lt;&gt;"",O3927+P3927,"")</f>
        <v/>
      </c>
      <c r="R3927" s="84"/>
    </row>
    <row r="3928" customFormat="false" ht="15" hidden="false" customHeight="true" outlineLevel="0" collapsed="false">
      <c r="A3928" s="103"/>
      <c r="B3928" s="73"/>
      <c r="C3928" s="74"/>
      <c r="D3928" s="75"/>
      <c r="E3928" s="52" t="str">
        <f aca="false">IF(D3928&lt;&gt;"",IFERROR(VLOOKUP(D3928,PROVEEDORES!$A:$B,2,0),"!COD NO ENCONTRADO"),"")</f>
        <v/>
      </c>
      <c r="F3928" s="76" t="str">
        <f aca="false">IF(D3928&lt;&gt;"",IFERROR(VLOOKUP(D3928,PROVEEDORES!$A:$C,3,0),""),"")</f>
        <v/>
      </c>
      <c r="G3928" s="75"/>
      <c r="H3928" s="52" t="str">
        <f aca="false">IF(G3928&lt;&gt;"",IFERROR(VLOOKUP(G3928,PRODUCTOS!$A:$B,2,0),"!COD NO ENCONTRADO"),"")</f>
        <v/>
      </c>
      <c r="I3928" s="77"/>
      <c r="J3928" s="78"/>
      <c r="K3928" s="79"/>
      <c r="L3928" s="80" t="str">
        <f aca="false">IF(AND(J3928&lt;&gt;"",K3928&lt;&gt;""),J3928*K3928,"")</f>
        <v/>
      </c>
      <c r="M3928" s="81" t="str">
        <f aca="false">IF(L3928&lt;&gt;"",L3928*1.1,"")</f>
        <v/>
      </c>
      <c r="N3928" s="53" t="n">
        <f aca="false">IF(F3928="S",L3928*0.02,0)</f>
        <v>0</v>
      </c>
      <c r="O3928" s="82" t="str">
        <f aca="false">IF(L3928&lt;&gt;"",L3928+N3928,"")</f>
        <v/>
      </c>
      <c r="P3928" s="53" t="str">
        <f aca="false">IF(O3928&lt;&gt;"",O3928*0.1,"")</f>
        <v/>
      </c>
      <c r="Q3928" s="83" t="str">
        <f aca="false">IF(O3928&lt;&gt;"",O3928+P3928,"")</f>
        <v/>
      </c>
      <c r="R3928" s="84"/>
    </row>
    <row r="3929" customFormat="false" ht="15" hidden="false" customHeight="true" outlineLevel="0" collapsed="false">
      <c r="A3929" s="103"/>
      <c r="B3929" s="85"/>
      <c r="C3929" s="86"/>
      <c r="D3929" s="87"/>
      <c r="E3929" s="46" t="str">
        <f aca="false">IF(D3929&lt;&gt;"",IFERROR(VLOOKUP(D3929,PROVEEDORES!$A:$B,2,0),"!COD NO ENCONTRADO"),"")</f>
        <v/>
      </c>
      <c r="F3929" s="88" t="str">
        <f aca="false">IF(D3929&lt;&gt;"",IFERROR(VLOOKUP(D3929,PROVEEDORES!$A:$C,3,0),""),"")</f>
        <v/>
      </c>
      <c r="G3929" s="87"/>
      <c r="H3929" s="46" t="str">
        <f aca="false">IF(G3929&lt;&gt;"",IFERROR(VLOOKUP(G3929,PRODUCTOS!$A:$B,2,0),"!COD NO ENCONTRADO"),"")</f>
        <v/>
      </c>
      <c r="I3929" s="89"/>
      <c r="J3929" s="90"/>
      <c r="K3929" s="91"/>
      <c r="L3929" s="80" t="str">
        <f aca="false">IF(AND(J3929&lt;&gt;"",K3929&lt;&gt;""),J3929*K3929,"")</f>
        <v/>
      </c>
      <c r="M3929" s="81" t="str">
        <f aca="false">IF(L3929&lt;&gt;"",L3929*1.1,"")</f>
        <v/>
      </c>
      <c r="N3929" s="47" t="n">
        <f aca="false">IF(F3929="S",L3929*0.02,0)</f>
        <v>0</v>
      </c>
      <c r="O3929" s="82" t="str">
        <f aca="false">IF(L3929&lt;&gt;"",L3929+N3929,"")</f>
        <v/>
      </c>
      <c r="P3929" s="47" t="str">
        <f aca="false">IF(O3929&lt;&gt;"",O3929*0.1,"")</f>
        <v/>
      </c>
      <c r="Q3929" s="83" t="str">
        <f aca="false">IF(O3929&lt;&gt;"",O3929+P3929,"")</f>
        <v/>
      </c>
      <c r="R3929" s="84"/>
    </row>
    <row r="3930" customFormat="false" ht="15" hidden="false" customHeight="true" outlineLevel="0" collapsed="false">
      <c r="A3930" s="103"/>
      <c r="B3930" s="73"/>
      <c r="C3930" s="74"/>
      <c r="D3930" s="75"/>
      <c r="E3930" s="52" t="str">
        <f aca="false">IF(D3930&lt;&gt;"",IFERROR(VLOOKUP(D3930,PROVEEDORES!$A:$B,2,0),"!COD NO ENCONTRADO"),"")</f>
        <v/>
      </c>
      <c r="F3930" s="76" t="str">
        <f aca="false">IF(D3930&lt;&gt;"",IFERROR(VLOOKUP(D3930,PROVEEDORES!$A:$C,3,0),""),"")</f>
        <v/>
      </c>
      <c r="G3930" s="75"/>
      <c r="H3930" s="52" t="str">
        <f aca="false">IF(G3930&lt;&gt;"",IFERROR(VLOOKUP(G3930,PRODUCTOS!$A:$B,2,0),"!COD NO ENCONTRADO"),"")</f>
        <v/>
      </c>
      <c r="I3930" s="77"/>
      <c r="J3930" s="78"/>
      <c r="K3930" s="79"/>
      <c r="L3930" s="80" t="str">
        <f aca="false">IF(AND(J3930&lt;&gt;"",K3930&lt;&gt;""),J3930*K3930,"")</f>
        <v/>
      </c>
      <c r="M3930" s="81" t="str">
        <f aca="false">IF(L3930&lt;&gt;"",L3930*1.1,"")</f>
        <v/>
      </c>
      <c r="N3930" s="53" t="n">
        <f aca="false">IF(F3930="S",L3930*0.02,0)</f>
        <v>0</v>
      </c>
      <c r="O3930" s="82" t="str">
        <f aca="false">IF(L3930&lt;&gt;"",L3930+N3930,"")</f>
        <v/>
      </c>
      <c r="P3930" s="53" t="str">
        <f aca="false">IF(O3930&lt;&gt;"",O3930*0.1,"")</f>
        <v/>
      </c>
      <c r="Q3930" s="83" t="str">
        <f aca="false">IF(O3930&lt;&gt;"",O3930+P3930,"")</f>
        <v/>
      </c>
      <c r="R3930" s="84"/>
    </row>
    <row r="3931" customFormat="false" ht="15" hidden="false" customHeight="true" outlineLevel="0" collapsed="false">
      <c r="A3931" s="103"/>
      <c r="B3931" s="85"/>
      <c r="C3931" s="86"/>
      <c r="D3931" s="87"/>
      <c r="E3931" s="46" t="str">
        <f aca="false">IF(D3931&lt;&gt;"",IFERROR(VLOOKUP(D3931,PROVEEDORES!$A:$B,2,0),"!COD NO ENCONTRADO"),"")</f>
        <v/>
      </c>
      <c r="F3931" s="88" t="str">
        <f aca="false">IF(D3931&lt;&gt;"",IFERROR(VLOOKUP(D3931,PROVEEDORES!$A:$C,3,0),""),"")</f>
        <v/>
      </c>
      <c r="G3931" s="87"/>
      <c r="H3931" s="46" t="str">
        <f aca="false">IF(G3931&lt;&gt;"",IFERROR(VLOOKUP(G3931,PRODUCTOS!$A:$B,2,0),"!COD NO ENCONTRADO"),"")</f>
        <v/>
      </c>
      <c r="I3931" s="89"/>
      <c r="J3931" s="90"/>
      <c r="K3931" s="91"/>
      <c r="L3931" s="80" t="str">
        <f aca="false">IF(AND(J3931&lt;&gt;"",K3931&lt;&gt;""),J3931*K3931,"")</f>
        <v/>
      </c>
      <c r="M3931" s="81" t="str">
        <f aca="false">IF(L3931&lt;&gt;"",L3931*1.1,"")</f>
        <v/>
      </c>
      <c r="N3931" s="47" t="n">
        <f aca="false">IF(F3931="S",L3931*0.02,0)</f>
        <v>0</v>
      </c>
      <c r="O3931" s="82" t="str">
        <f aca="false">IF(L3931&lt;&gt;"",L3931+N3931,"")</f>
        <v/>
      </c>
      <c r="P3931" s="47" t="str">
        <f aca="false">IF(O3931&lt;&gt;"",O3931*0.1,"")</f>
        <v/>
      </c>
      <c r="Q3931" s="83" t="str">
        <f aca="false">IF(O3931&lt;&gt;"",O3931+P3931,"")</f>
        <v/>
      </c>
      <c r="R3931" s="84"/>
    </row>
    <row r="3932" customFormat="false" ht="15" hidden="false" customHeight="true" outlineLevel="0" collapsed="false">
      <c r="A3932" s="103"/>
      <c r="B3932" s="73"/>
      <c r="C3932" s="74"/>
      <c r="D3932" s="75"/>
      <c r="E3932" s="52" t="str">
        <f aca="false">IF(D3932&lt;&gt;"",IFERROR(VLOOKUP(D3932,PROVEEDORES!$A:$B,2,0),"!COD NO ENCONTRADO"),"")</f>
        <v/>
      </c>
      <c r="F3932" s="76" t="str">
        <f aca="false">IF(D3932&lt;&gt;"",IFERROR(VLOOKUP(D3932,PROVEEDORES!$A:$C,3,0),""),"")</f>
        <v/>
      </c>
      <c r="G3932" s="75"/>
      <c r="H3932" s="52" t="str">
        <f aca="false">IF(G3932&lt;&gt;"",IFERROR(VLOOKUP(G3932,PRODUCTOS!$A:$B,2,0),"!COD NO ENCONTRADO"),"")</f>
        <v/>
      </c>
      <c r="I3932" s="77"/>
      <c r="J3932" s="78"/>
      <c r="K3932" s="79"/>
      <c r="L3932" s="80" t="str">
        <f aca="false">IF(AND(J3932&lt;&gt;"",K3932&lt;&gt;""),J3932*K3932,"")</f>
        <v/>
      </c>
      <c r="M3932" s="81" t="str">
        <f aca="false">IF(L3932&lt;&gt;"",L3932*1.1,"")</f>
        <v/>
      </c>
      <c r="N3932" s="53" t="n">
        <f aca="false">IF(F3932="S",L3932*0.02,0)</f>
        <v>0</v>
      </c>
      <c r="O3932" s="82" t="str">
        <f aca="false">IF(L3932&lt;&gt;"",L3932+N3932,"")</f>
        <v/>
      </c>
      <c r="P3932" s="53" t="str">
        <f aca="false">IF(O3932&lt;&gt;"",O3932*0.1,"")</f>
        <v/>
      </c>
      <c r="Q3932" s="83" t="str">
        <f aca="false">IF(O3932&lt;&gt;"",O3932+P3932,"")</f>
        <v/>
      </c>
      <c r="R3932" s="84"/>
    </row>
    <row r="3933" customFormat="false" ht="15" hidden="false" customHeight="true" outlineLevel="0" collapsed="false">
      <c r="A3933" s="103"/>
      <c r="B3933" s="85"/>
      <c r="C3933" s="86"/>
      <c r="D3933" s="87"/>
      <c r="E3933" s="46" t="str">
        <f aca="false">IF(D3933&lt;&gt;"",IFERROR(VLOOKUP(D3933,PROVEEDORES!$A:$B,2,0),"!COD NO ENCONTRADO"),"")</f>
        <v/>
      </c>
      <c r="F3933" s="88" t="str">
        <f aca="false">IF(D3933&lt;&gt;"",IFERROR(VLOOKUP(D3933,PROVEEDORES!$A:$C,3,0),""),"")</f>
        <v/>
      </c>
      <c r="G3933" s="87"/>
      <c r="H3933" s="46" t="str">
        <f aca="false">IF(G3933&lt;&gt;"",IFERROR(VLOOKUP(G3933,PRODUCTOS!$A:$B,2,0),"!COD NO ENCONTRADO"),"")</f>
        <v/>
      </c>
      <c r="I3933" s="89"/>
      <c r="J3933" s="90"/>
      <c r="K3933" s="91"/>
      <c r="L3933" s="80" t="str">
        <f aca="false">IF(AND(J3933&lt;&gt;"",K3933&lt;&gt;""),J3933*K3933,"")</f>
        <v/>
      </c>
      <c r="M3933" s="81" t="str">
        <f aca="false">IF(L3933&lt;&gt;"",L3933*1.1,"")</f>
        <v/>
      </c>
      <c r="N3933" s="47" t="n">
        <f aca="false">IF(F3933="S",L3933*0.02,0)</f>
        <v>0</v>
      </c>
      <c r="O3933" s="82" t="str">
        <f aca="false">IF(L3933&lt;&gt;"",L3933+N3933,"")</f>
        <v/>
      </c>
      <c r="P3933" s="47" t="str">
        <f aca="false">IF(O3933&lt;&gt;"",O3933*0.1,"")</f>
        <v/>
      </c>
      <c r="Q3933" s="83" t="str">
        <f aca="false">IF(O3933&lt;&gt;"",O3933+P3933,"")</f>
        <v/>
      </c>
      <c r="R3933" s="84"/>
    </row>
    <row r="3934" customFormat="false" ht="15" hidden="false" customHeight="true" outlineLevel="0" collapsed="false">
      <c r="A3934" s="103"/>
      <c r="B3934" s="73"/>
      <c r="C3934" s="74"/>
      <c r="D3934" s="75"/>
      <c r="E3934" s="52" t="str">
        <f aca="false">IF(D3934&lt;&gt;"",IFERROR(VLOOKUP(D3934,PROVEEDORES!$A:$B,2,0),"!COD NO ENCONTRADO"),"")</f>
        <v/>
      </c>
      <c r="F3934" s="76" t="str">
        <f aca="false">IF(D3934&lt;&gt;"",IFERROR(VLOOKUP(D3934,PROVEEDORES!$A:$C,3,0),""),"")</f>
        <v/>
      </c>
      <c r="G3934" s="75"/>
      <c r="H3934" s="52" t="str">
        <f aca="false">IF(G3934&lt;&gt;"",IFERROR(VLOOKUP(G3934,PRODUCTOS!$A:$B,2,0),"!COD NO ENCONTRADO"),"")</f>
        <v/>
      </c>
      <c r="I3934" s="77"/>
      <c r="J3934" s="78"/>
      <c r="K3934" s="79"/>
      <c r="L3934" s="80" t="str">
        <f aca="false">IF(AND(J3934&lt;&gt;"",K3934&lt;&gt;""),J3934*K3934,"")</f>
        <v/>
      </c>
      <c r="M3934" s="81" t="str">
        <f aca="false">IF(L3934&lt;&gt;"",L3934*1.1,"")</f>
        <v/>
      </c>
      <c r="N3934" s="53" t="n">
        <f aca="false">IF(F3934="S",L3934*0.02,0)</f>
        <v>0</v>
      </c>
      <c r="O3934" s="82" t="str">
        <f aca="false">IF(L3934&lt;&gt;"",L3934+N3934,"")</f>
        <v/>
      </c>
      <c r="P3934" s="53" t="str">
        <f aca="false">IF(O3934&lt;&gt;"",O3934*0.1,"")</f>
        <v/>
      </c>
      <c r="Q3934" s="83" t="str">
        <f aca="false">IF(O3934&lt;&gt;"",O3934+P3934,"")</f>
        <v/>
      </c>
      <c r="R3934" s="84"/>
    </row>
    <row r="3935" customFormat="false" ht="15" hidden="false" customHeight="true" outlineLevel="0" collapsed="false">
      <c r="A3935" s="103"/>
      <c r="B3935" s="85"/>
      <c r="C3935" s="86"/>
      <c r="D3935" s="87"/>
      <c r="E3935" s="46" t="str">
        <f aca="false">IF(D3935&lt;&gt;"",IFERROR(VLOOKUP(D3935,PROVEEDORES!$A:$B,2,0),"!COD NO ENCONTRADO"),"")</f>
        <v/>
      </c>
      <c r="F3935" s="88" t="str">
        <f aca="false">IF(D3935&lt;&gt;"",IFERROR(VLOOKUP(D3935,PROVEEDORES!$A:$C,3,0),""),"")</f>
        <v/>
      </c>
      <c r="G3935" s="87"/>
      <c r="H3935" s="46" t="str">
        <f aca="false">IF(G3935&lt;&gt;"",IFERROR(VLOOKUP(G3935,PRODUCTOS!$A:$B,2,0),"!COD NO ENCONTRADO"),"")</f>
        <v/>
      </c>
      <c r="I3935" s="89"/>
      <c r="J3935" s="90"/>
      <c r="K3935" s="91"/>
      <c r="L3935" s="80" t="str">
        <f aca="false">IF(AND(J3935&lt;&gt;"",K3935&lt;&gt;""),J3935*K3935,"")</f>
        <v/>
      </c>
      <c r="M3935" s="81" t="str">
        <f aca="false">IF(L3935&lt;&gt;"",L3935*1.1,"")</f>
        <v/>
      </c>
      <c r="N3935" s="47" t="n">
        <f aca="false">IF(F3935="S",L3935*0.02,0)</f>
        <v>0</v>
      </c>
      <c r="O3935" s="82" t="str">
        <f aca="false">IF(L3935&lt;&gt;"",L3935+N3935,"")</f>
        <v/>
      </c>
      <c r="P3935" s="47" t="str">
        <f aca="false">IF(O3935&lt;&gt;"",O3935*0.1,"")</f>
        <v/>
      </c>
      <c r="Q3935" s="83" t="str">
        <f aca="false">IF(O3935&lt;&gt;"",O3935+P3935,"")</f>
        <v/>
      </c>
      <c r="R3935" s="84"/>
    </row>
    <row r="3936" customFormat="false" ht="15" hidden="false" customHeight="true" outlineLevel="0" collapsed="false">
      <c r="A3936" s="103"/>
      <c r="B3936" s="73"/>
      <c r="C3936" s="74"/>
      <c r="D3936" s="75"/>
      <c r="E3936" s="52" t="str">
        <f aca="false">IF(D3936&lt;&gt;"",IFERROR(VLOOKUP(D3936,PROVEEDORES!$A:$B,2,0),"!COD NO ENCONTRADO"),"")</f>
        <v/>
      </c>
      <c r="F3936" s="76" t="str">
        <f aca="false">IF(D3936&lt;&gt;"",IFERROR(VLOOKUP(D3936,PROVEEDORES!$A:$C,3,0),""),"")</f>
        <v/>
      </c>
      <c r="G3936" s="75"/>
      <c r="H3936" s="52" t="str">
        <f aca="false">IF(G3936&lt;&gt;"",IFERROR(VLOOKUP(G3936,PRODUCTOS!$A:$B,2,0),"!COD NO ENCONTRADO"),"")</f>
        <v/>
      </c>
      <c r="I3936" s="77"/>
      <c r="J3936" s="78"/>
      <c r="K3936" s="79"/>
      <c r="L3936" s="80" t="str">
        <f aca="false">IF(AND(J3936&lt;&gt;"",K3936&lt;&gt;""),J3936*K3936,"")</f>
        <v/>
      </c>
      <c r="M3936" s="81" t="str">
        <f aca="false">IF(L3936&lt;&gt;"",L3936*1.1,"")</f>
        <v/>
      </c>
      <c r="N3936" s="53" t="n">
        <f aca="false">IF(F3936="S",L3936*0.02,0)</f>
        <v>0</v>
      </c>
      <c r="O3936" s="82" t="str">
        <f aca="false">IF(L3936&lt;&gt;"",L3936+N3936,"")</f>
        <v/>
      </c>
      <c r="P3936" s="53" t="str">
        <f aca="false">IF(O3936&lt;&gt;"",O3936*0.1,"")</f>
        <v/>
      </c>
      <c r="Q3936" s="83" t="str">
        <f aca="false">IF(O3936&lt;&gt;"",O3936+P3936,"")</f>
        <v/>
      </c>
      <c r="R3936" s="84"/>
    </row>
    <row r="3937" customFormat="false" ht="15" hidden="false" customHeight="true" outlineLevel="0" collapsed="false">
      <c r="A3937" s="103"/>
      <c r="B3937" s="85"/>
      <c r="C3937" s="86"/>
      <c r="D3937" s="87"/>
      <c r="E3937" s="46" t="str">
        <f aca="false">IF(D3937&lt;&gt;"",IFERROR(VLOOKUP(D3937,PROVEEDORES!$A:$B,2,0),"!COD NO ENCONTRADO"),"")</f>
        <v/>
      </c>
      <c r="F3937" s="88" t="str">
        <f aca="false">IF(D3937&lt;&gt;"",IFERROR(VLOOKUP(D3937,PROVEEDORES!$A:$C,3,0),""),"")</f>
        <v/>
      </c>
      <c r="G3937" s="87"/>
      <c r="H3937" s="46" t="str">
        <f aca="false">IF(G3937&lt;&gt;"",IFERROR(VLOOKUP(G3937,PRODUCTOS!$A:$B,2,0),"!COD NO ENCONTRADO"),"")</f>
        <v/>
      </c>
      <c r="I3937" s="89"/>
      <c r="J3937" s="90"/>
      <c r="K3937" s="91"/>
      <c r="L3937" s="80" t="str">
        <f aca="false">IF(AND(J3937&lt;&gt;"",K3937&lt;&gt;""),J3937*K3937,"")</f>
        <v/>
      </c>
      <c r="M3937" s="81" t="str">
        <f aca="false">IF(L3937&lt;&gt;"",L3937*1.1,"")</f>
        <v/>
      </c>
      <c r="N3937" s="47" t="n">
        <f aca="false">IF(F3937="S",L3937*0.02,0)</f>
        <v>0</v>
      </c>
      <c r="O3937" s="82" t="str">
        <f aca="false">IF(L3937&lt;&gt;"",L3937+N3937,"")</f>
        <v/>
      </c>
      <c r="P3937" s="47" t="str">
        <f aca="false">IF(O3937&lt;&gt;"",O3937*0.1,"")</f>
        <v/>
      </c>
      <c r="Q3937" s="83" t="str">
        <f aca="false">IF(O3937&lt;&gt;"",O3937+P3937,"")</f>
        <v/>
      </c>
      <c r="R3937" s="84"/>
    </row>
    <row r="3938" customFormat="false" ht="15" hidden="false" customHeight="true" outlineLevel="0" collapsed="false">
      <c r="A3938" s="103"/>
      <c r="B3938" s="73"/>
      <c r="C3938" s="74"/>
      <c r="D3938" s="75"/>
      <c r="E3938" s="52" t="str">
        <f aca="false">IF(D3938&lt;&gt;"",IFERROR(VLOOKUP(D3938,PROVEEDORES!$A:$B,2,0),"!COD NO ENCONTRADO"),"")</f>
        <v/>
      </c>
      <c r="F3938" s="76" t="str">
        <f aca="false">IF(D3938&lt;&gt;"",IFERROR(VLOOKUP(D3938,PROVEEDORES!$A:$C,3,0),""),"")</f>
        <v/>
      </c>
      <c r="G3938" s="75"/>
      <c r="H3938" s="52" t="str">
        <f aca="false">IF(G3938&lt;&gt;"",IFERROR(VLOOKUP(G3938,PRODUCTOS!$A:$B,2,0),"!COD NO ENCONTRADO"),"")</f>
        <v/>
      </c>
      <c r="I3938" s="77"/>
      <c r="J3938" s="78"/>
      <c r="K3938" s="79"/>
      <c r="L3938" s="80" t="str">
        <f aca="false">IF(AND(J3938&lt;&gt;"",K3938&lt;&gt;""),J3938*K3938,"")</f>
        <v/>
      </c>
      <c r="M3938" s="81" t="str">
        <f aca="false">IF(L3938&lt;&gt;"",L3938*1.1,"")</f>
        <v/>
      </c>
      <c r="N3938" s="53" t="n">
        <f aca="false">IF(F3938="S",L3938*0.02,0)</f>
        <v>0</v>
      </c>
      <c r="O3938" s="82" t="str">
        <f aca="false">IF(L3938&lt;&gt;"",L3938+N3938,"")</f>
        <v/>
      </c>
      <c r="P3938" s="53" t="str">
        <f aca="false">IF(O3938&lt;&gt;"",O3938*0.1,"")</f>
        <v/>
      </c>
      <c r="Q3938" s="83" t="str">
        <f aca="false">IF(O3938&lt;&gt;"",O3938+P3938,"")</f>
        <v/>
      </c>
      <c r="R3938" s="84"/>
    </row>
    <row r="3939" customFormat="false" ht="15" hidden="false" customHeight="true" outlineLevel="0" collapsed="false">
      <c r="A3939" s="103"/>
      <c r="B3939" s="85"/>
      <c r="C3939" s="86"/>
      <c r="D3939" s="87"/>
      <c r="E3939" s="46" t="str">
        <f aca="false">IF(D3939&lt;&gt;"",IFERROR(VLOOKUP(D3939,PROVEEDORES!$A:$B,2,0),"!COD NO ENCONTRADO"),"")</f>
        <v/>
      </c>
      <c r="F3939" s="88" t="str">
        <f aca="false">IF(D3939&lt;&gt;"",IFERROR(VLOOKUP(D3939,PROVEEDORES!$A:$C,3,0),""),"")</f>
        <v/>
      </c>
      <c r="G3939" s="87"/>
      <c r="H3939" s="46" t="str">
        <f aca="false">IF(G3939&lt;&gt;"",IFERROR(VLOOKUP(G3939,PRODUCTOS!$A:$B,2,0),"!COD NO ENCONTRADO"),"")</f>
        <v/>
      </c>
      <c r="I3939" s="89"/>
      <c r="J3939" s="90"/>
      <c r="K3939" s="91"/>
      <c r="L3939" s="80" t="str">
        <f aca="false">IF(AND(J3939&lt;&gt;"",K3939&lt;&gt;""),J3939*K3939,"")</f>
        <v/>
      </c>
      <c r="M3939" s="81" t="str">
        <f aca="false">IF(L3939&lt;&gt;"",L3939*1.1,"")</f>
        <v/>
      </c>
      <c r="N3939" s="47" t="n">
        <f aca="false">IF(F3939="S",L3939*0.02,0)</f>
        <v>0</v>
      </c>
      <c r="O3939" s="82" t="str">
        <f aca="false">IF(L3939&lt;&gt;"",L3939+N3939,"")</f>
        <v/>
      </c>
      <c r="P3939" s="47" t="str">
        <f aca="false">IF(O3939&lt;&gt;"",O3939*0.1,"")</f>
        <v/>
      </c>
      <c r="Q3939" s="83" t="str">
        <f aca="false">IF(O3939&lt;&gt;"",O3939+P3939,"")</f>
        <v/>
      </c>
      <c r="R3939" s="84"/>
    </row>
    <row r="3940" customFormat="false" ht="15" hidden="false" customHeight="true" outlineLevel="0" collapsed="false">
      <c r="A3940" s="103"/>
      <c r="B3940" s="73"/>
      <c r="C3940" s="74"/>
      <c r="D3940" s="75"/>
      <c r="E3940" s="52" t="str">
        <f aca="false">IF(D3940&lt;&gt;"",IFERROR(VLOOKUP(D3940,PROVEEDORES!$A:$B,2,0),"!COD NO ENCONTRADO"),"")</f>
        <v/>
      </c>
      <c r="F3940" s="76" t="str">
        <f aca="false">IF(D3940&lt;&gt;"",IFERROR(VLOOKUP(D3940,PROVEEDORES!$A:$C,3,0),""),"")</f>
        <v/>
      </c>
      <c r="G3940" s="75"/>
      <c r="H3940" s="52" t="str">
        <f aca="false">IF(G3940&lt;&gt;"",IFERROR(VLOOKUP(G3940,PRODUCTOS!$A:$B,2,0),"!COD NO ENCONTRADO"),"")</f>
        <v/>
      </c>
      <c r="I3940" s="77"/>
      <c r="J3940" s="78"/>
      <c r="K3940" s="79"/>
      <c r="L3940" s="80" t="str">
        <f aca="false">IF(AND(J3940&lt;&gt;"",K3940&lt;&gt;""),J3940*K3940,"")</f>
        <v/>
      </c>
      <c r="M3940" s="81" t="str">
        <f aca="false">IF(L3940&lt;&gt;"",L3940*1.1,"")</f>
        <v/>
      </c>
      <c r="N3940" s="53" t="n">
        <f aca="false">IF(F3940="S",L3940*0.02,0)</f>
        <v>0</v>
      </c>
      <c r="O3940" s="82" t="str">
        <f aca="false">IF(L3940&lt;&gt;"",L3940+N3940,"")</f>
        <v/>
      </c>
      <c r="P3940" s="53" t="str">
        <f aca="false">IF(O3940&lt;&gt;"",O3940*0.1,"")</f>
        <v/>
      </c>
      <c r="Q3940" s="83" t="str">
        <f aca="false">IF(O3940&lt;&gt;"",O3940+P3940,"")</f>
        <v/>
      </c>
      <c r="R3940" s="84"/>
    </row>
    <row r="3941" customFormat="false" ht="15" hidden="false" customHeight="true" outlineLevel="0" collapsed="false">
      <c r="A3941" s="103"/>
      <c r="B3941" s="85"/>
      <c r="C3941" s="86"/>
      <c r="D3941" s="87"/>
      <c r="E3941" s="46" t="str">
        <f aca="false">IF(D3941&lt;&gt;"",IFERROR(VLOOKUP(D3941,PROVEEDORES!$A:$B,2,0),"!COD NO ENCONTRADO"),"")</f>
        <v/>
      </c>
      <c r="F3941" s="88" t="str">
        <f aca="false">IF(D3941&lt;&gt;"",IFERROR(VLOOKUP(D3941,PROVEEDORES!$A:$C,3,0),""),"")</f>
        <v/>
      </c>
      <c r="G3941" s="87"/>
      <c r="H3941" s="46" t="str">
        <f aca="false">IF(G3941&lt;&gt;"",IFERROR(VLOOKUP(G3941,PRODUCTOS!$A:$B,2,0),"!COD NO ENCONTRADO"),"")</f>
        <v/>
      </c>
      <c r="I3941" s="89"/>
      <c r="J3941" s="90"/>
      <c r="K3941" s="91"/>
      <c r="L3941" s="80" t="str">
        <f aca="false">IF(AND(J3941&lt;&gt;"",K3941&lt;&gt;""),J3941*K3941,"")</f>
        <v/>
      </c>
      <c r="M3941" s="81" t="str">
        <f aca="false">IF(L3941&lt;&gt;"",L3941*1.1,"")</f>
        <v/>
      </c>
      <c r="N3941" s="47" t="n">
        <f aca="false">IF(F3941="S",L3941*0.02,0)</f>
        <v>0</v>
      </c>
      <c r="O3941" s="82" t="str">
        <f aca="false">IF(L3941&lt;&gt;"",L3941+N3941,"")</f>
        <v/>
      </c>
      <c r="P3941" s="47" t="str">
        <f aca="false">IF(O3941&lt;&gt;"",O3941*0.1,"")</f>
        <v/>
      </c>
      <c r="Q3941" s="83" t="str">
        <f aca="false">IF(O3941&lt;&gt;"",O3941+P3941,"")</f>
        <v/>
      </c>
      <c r="R3941" s="84"/>
    </row>
    <row r="3942" customFormat="false" ht="15" hidden="false" customHeight="true" outlineLevel="0" collapsed="false">
      <c r="A3942" s="103"/>
      <c r="B3942" s="73"/>
      <c r="C3942" s="74"/>
      <c r="D3942" s="75"/>
      <c r="E3942" s="52" t="str">
        <f aca="false">IF(D3942&lt;&gt;"",IFERROR(VLOOKUP(D3942,PROVEEDORES!$A:$B,2,0),"!COD NO ENCONTRADO"),"")</f>
        <v/>
      </c>
      <c r="F3942" s="76" t="str">
        <f aca="false">IF(D3942&lt;&gt;"",IFERROR(VLOOKUP(D3942,PROVEEDORES!$A:$C,3,0),""),"")</f>
        <v/>
      </c>
      <c r="G3942" s="75"/>
      <c r="H3942" s="52" t="str">
        <f aca="false">IF(G3942&lt;&gt;"",IFERROR(VLOOKUP(G3942,PRODUCTOS!$A:$B,2,0),"!COD NO ENCONTRADO"),"")</f>
        <v/>
      </c>
      <c r="I3942" s="77"/>
      <c r="J3942" s="78"/>
      <c r="K3942" s="79"/>
      <c r="L3942" s="80" t="str">
        <f aca="false">IF(AND(J3942&lt;&gt;"",K3942&lt;&gt;""),J3942*K3942,"")</f>
        <v/>
      </c>
      <c r="M3942" s="81" t="str">
        <f aca="false">IF(L3942&lt;&gt;"",L3942*1.1,"")</f>
        <v/>
      </c>
      <c r="N3942" s="53" t="n">
        <f aca="false">IF(F3942="S",L3942*0.02,0)</f>
        <v>0</v>
      </c>
      <c r="O3942" s="82" t="str">
        <f aca="false">IF(L3942&lt;&gt;"",L3942+N3942,"")</f>
        <v/>
      </c>
      <c r="P3942" s="53" t="str">
        <f aca="false">IF(O3942&lt;&gt;"",O3942*0.1,"")</f>
        <v/>
      </c>
      <c r="Q3942" s="83" t="str">
        <f aca="false">IF(O3942&lt;&gt;"",O3942+P3942,"")</f>
        <v/>
      </c>
      <c r="R3942" s="84"/>
    </row>
    <row r="3943" customFormat="false" ht="15" hidden="false" customHeight="true" outlineLevel="0" collapsed="false">
      <c r="A3943" s="103"/>
      <c r="B3943" s="85"/>
      <c r="C3943" s="86"/>
      <c r="D3943" s="87"/>
      <c r="E3943" s="46" t="str">
        <f aca="false">IF(D3943&lt;&gt;"",IFERROR(VLOOKUP(D3943,PROVEEDORES!$A:$B,2,0),"!COD NO ENCONTRADO"),"")</f>
        <v/>
      </c>
      <c r="F3943" s="88" t="str">
        <f aca="false">IF(D3943&lt;&gt;"",IFERROR(VLOOKUP(D3943,PROVEEDORES!$A:$C,3,0),""),"")</f>
        <v/>
      </c>
      <c r="G3943" s="87"/>
      <c r="H3943" s="46" t="str">
        <f aca="false">IF(G3943&lt;&gt;"",IFERROR(VLOOKUP(G3943,PRODUCTOS!$A:$B,2,0),"!COD NO ENCONTRADO"),"")</f>
        <v/>
      </c>
      <c r="I3943" s="89"/>
      <c r="J3943" s="90"/>
      <c r="K3943" s="91"/>
      <c r="L3943" s="80" t="str">
        <f aca="false">IF(AND(J3943&lt;&gt;"",K3943&lt;&gt;""),J3943*K3943,"")</f>
        <v/>
      </c>
      <c r="M3943" s="81" t="str">
        <f aca="false">IF(L3943&lt;&gt;"",L3943*1.1,"")</f>
        <v/>
      </c>
      <c r="N3943" s="47" t="n">
        <f aca="false">IF(F3943="S",L3943*0.02,0)</f>
        <v>0</v>
      </c>
      <c r="O3943" s="82" t="str">
        <f aca="false">IF(L3943&lt;&gt;"",L3943+N3943,"")</f>
        <v/>
      </c>
      <c r="P3943" s="47" t="str">
        <f aca="false">IF(O3943&lt;&gt;"",O3943*0.1,"")</f>
        <v/>
      </c>
      <c r="Q3943" s="83" t="str">
        <f aca="false">IF(O3943&lt;&gt;"",O3943+P3943,"")</f>
        <v/>
      </c>
      <c r="R3943" s="84"/>
    </row>
    <row r="3944" customFormat="false" ht="15" hidden="false" customHeight="true" outlineLevel="0" collapsed="false">
      <c r="A3944" s="103"/>
      <c r="B3944" s="73"/>
      <c r="C3944" s="74"/>
      <c r="D3944" s="75"/>
      <c r="E3944" s="52" t="str">
        <f aca="false">IF(D3944&lt;&gt;"",IFERROR(VLOOKUP(D3944,PROVEEDORES!$A:$B,2,0),"!COD NO ENCONTRADO"),"")</f>
        <v/>
      </c>
      <c r="F3944" s="76" t="str">
        <f aca="false">IF(D3944&lt;&gt;"",IFERROR(VLOOKUP(D3944,PROVEEDORES!$A:$C,3,0),""),"")</f>
        <v/>
      </c>
      <c r="G3944" s="75"/>
      <c r="H3944" s="52" t="str">
        <f aca="false">IF(G3944&lt;&gt;"",IFERROR(VLOOKUP(G3944,PRODUCTOS!$A:$B,2,0),"!COD NO ENCONTRADO"),"")</f>
        <v/>
      </c>
      <c r="I3944" s="77"/>
      <c r="J3944" s="78"/>
      <c r="K3944" s="79"/>
      <c r="L3944" s="80" t="str">
        <f aca="false">IF(AND(J3944&lt;&gt;"",K3944&lt;&gt;""),J3944*K3944,"")</f>
        <v/>
      </c>
      <c r="M3944" s="81" t="str">
        <f aca="false">IF(L3944&lt;&gt;"",L3944*1.1,"")</f>
        <v/>
      </c>
      <c r="N3944" s="53" t="n">
        <f aca="false">IF(F3944="S",L3944*0.02,0)</f>
        <v>0</v>
      </c>
      <c r="O3944" s="82" t="str">
        <f aca="false">IF(L3944&lt;&gt;"",L3944+N3944,"")</f>
        <v/>
      </c>
      <c r="P3944" s="53" t="str">
        <f aca="false">IF(O3944&lt;&gt;"",O3944*0.1,"")</f>
        <v/>
      </c>
      <c r="Q3944" s="83" t="str">
        <f aca="false">IF(O3944&lt;&gt;"",O3944+P3944,"")</f>
        <v/>
      </c>
      <c r="R3944" s="84"/>
    </row>
    <row r="3945" customFormat="false" ht="15" hidden="false" customHeight="true" outlineLevel="0" collapsed="false">
      <c r="A3945" s="103"/>
      <c r="B3945" s="85"/>
      <c r="C3945" s="86"/>
      <c r="D3945" s="87"/>
      <c r="E3945" s="46" t="str">
        <f aca="false">IF(D3945&lt;&gt;"",IFERROR(VLOOKUP(D3945,PROVEEDORES!$A:$B,2,0),"!COD NO ENCONTRADO"),"")</f>
        <v/>
      </c>
      <c r="F3945" s="88" t="str">
        <f aca="false">IF(D3945&lt;&gt;"",IFERROR(VLOOKUP(D3945,PROVEEDORES!$A:$C,3,0),""),"")</f>
        <v/>
      </c>
      <c r="G3945" s="87"/>
      <c r="H3945" s="46" t="str">
        <f aca="false">IF(G3945&lt;&gt;"",IFERROR(VLOOKUP(G3945,PRODUCTOS!$A:$B,2,0),"!COD NO ENCONTRADO"),"")</f>
        <v/>
      </c>
      <c r="I3945" s="89"/>
      <c r="J3945" s="90"/>
      <c r="K3945" s="91"/>
      <c r="L3945" s="80" t="str">
        <f aca="false">IF(AND(J3945&lt;&gt;"",K3945&lt;&gt;""),J3945*K3945,"")</f>
        <v/>
      </c>
      <c r="M3945" s="81" t="str">
        <f aca="false">IF(L3945&lt;&gt;"",L3945*1.1,"")</f>
        <v/>
      </c>
      <c r="N3945" s="47" t="n">
        <f aca="false">IF(F3945="S",L3945*0.02,0)</f>
        <v>0</v>
      </c>
      <c r="O3945" s="82" t="str">
        <f aca="false">IF(L3945&lt;&gt;"",L3945+N3945,"")</f>
        <v/>
      </c>
      <c r="P3945" s="47" t="str">
        <f aca="false">IF(O3945&lt;&gt;"",O3945*0.1,"")</f>
        <v/>
      </c>
      <c r="Q3945" s="83" t="str">
        <f aca="false">IF(O3945&lt;&gt;"",O3945+P3945,"")</f>
        <v/>
      </c>
      <c r="R3945" s="84"/>
    </row>
    <row r="3946" customFormat="false" ht="15" hidden="false" customHeight="true" outlineLevel="0" collapsed="false">
      <c r="A3946" s="103"/>
      <c r="B3946" s="73"/>
      <c r="C3946" s="74"/>
      <c r="D3946" s="75"/>
      <c r="E3946" s="52" t="str">
        <f aca="false">IF(D3946&lt;&gt;"",IFERROR(VLOOKUP(D3946,PROVEEDORES!$A:$B,2,0),"!COD NO ENCONTRADO"),"")</f>
        <v/>
      </c>
      <c r="F3946" s="76" t="str">
        <f aca="false">IF(D3946&lt;&gt;"",IFERROR(VLOOKUP(D3946,PROVEEDORES!$A:$C,3,0),""),"")</f>
        <v/>
      </c>
      <c r="G3946" s="75"/>
      <c r="H3946" s="52" t="str">
        <f aca="false">IF(G3946&lt;&gt;"",IFERROR(VLOOKUP(G3946,PRODUCTOS!$A:$B,2,0),"!COD NO ENCONTRADO"),"")</f>
        <v/>
      </c>
      <c r="I3946" s="77"/>
      <c r="J3946" s="78"/>
      <c r="K3946" s="79"/>
      <c r="L3946" s="80" t="str">
        <f aca="false">IF(AND(J3946&lt;&gt;"",K3946&lt;&gt;""),J3946*K3946,"")</f>
        <v/>
      </c>
      <c r="M3946" s="81" t="str">
        <f aca="false">IF(L3946&lt;&gt;"",L3946*1.1,"")</f>
        <v/>
      </c>
      <c r="N3946" s="53" t="n">
        <f aca="false">IF(F3946="S",L3946*0.02,0)</f>
        <v>0</v>
      </c>
      <c r="O3946" s="82" t="str">
        <f aca="false">IF(L3946&lt;&gt;"",L3946+N3946,"")</f>
        <v/>
      </c>
      <c r="P3946" s="53" t="str">
        <f aca="false">IF(O3946&lt;&gt;"",O3946*0.1,"")</f>
        <v/>
      </c>
      <c r="Q3946" s="83" t="str">
        <f aca="false">IF(O3946&lt;&gt;"",O3946+P3946,"")</f>
        <v/>
      </c>
      <c r="R3946" s="84"/>
    </row>
    <row r="3947" customFormat="false" ht="15" hidden="false" customHeight="true" outlineLevel="0" collapsed="false">
      <c r="A3947" s="103"/>
      <c r="B3947" s="85"/>
      <c r="C3947" s="86"/>
      <c r="D3947" s="87"/>
      <c r="E3947" s="46" t="str">
        <f aca="false">IF(D3947&lt;&gt;"",IFERROR(VLOOKUP(D3947,PROVEEDORES!$A:$B,2,0),"!COD NO ENCONTRADO"),"")</f>
        <v/>
      </c>
      <c r="F3947" s="88" t="str">
        <f aca="false">IF(D3947&lt;&gt;"",IFERROR(VLOOKUP(D3947,PROVEEDORES!$A:$C,3,0),""),"")</f>
        <v/>
      </c>
      <c r="G3947" s="87"/>
      <c r="H3947" s="46" t="str">
        <f aca="false">IF(G3947&lt;&gt;"",IFERROR(VLOOKUP(G3947,PRODUCTOS!$A:$B,2,0),"!COD NO ENCONTRADO"),"")</f>
        <v/>
      </c>
      <c r="I3947" s="89"/>
      <c r="J3947" s="90"/>
      <c r="K3947" s="91"/>
      <c r="L3947" s="80" t="str">
        <f aca="false">IF(AND(J3947&lt;&gt;"",K3947&lt;&gt;""),J3947*K3947,"")</f>
        <v/>
      </c>
      <c r="M3947" s="81" t="str">
        <f aca="false">IF(L3947&lt;&gt;"",L3947*1.1,"")</f>
        <v/>
      </c>
      <c r="N3947" s="47" t="n">
        <f aca="false">IF(F3947="S",L3947*0.02,0)</f>
        <v>0</v>
      </c>
      <c r="O3947" s="82" t="str">
        <f aca="false">IF(L3947&lt;&gt;"",L3947+N3947,"")</f>
        <v/>
      </c>
      <c r="P3947" s="47" t="str">
        <f aca="false">IF(O3947&lt;&gt;"",O3947*0.1,"")</f>
        <v/>
      </c>
      <c r="Q3947" s="83" t="str">
        <f aca="false">IF(O3947&lt;&gt;"",O3947+P3947,"")</f>
        <v/>
      </c>
      <c r="R3947" s="84"/>
    </row>
    <row r="3948" customFormat="false" ht="15" hidden="false" customHeight="true" outlineLevel="0" collapsed="false">
      <c r="A3948" s="103"/>
      <c r="B3948" s="73"/>
      <c r="C3948" s="74"/>
      <c r="D3948" s="75"/>
      <c r="E3948" s="52" t="str">
        <f aca="false">IF(D3948&lt;&gt;"",IFERROR(VLOOKUP(D3948,PROVEEDORES!$A:$B,2,0),"!COD NO ENCONTRADO"),"")</f>
        <v/>
      </c>
      <c r="F3948" s="76" t="str">
        <f aca="false">IF(D3948&lt;&gt;"",IFERROR(VLOOKUP(D3948,PROVEEDORES!$A:$C,3,0),""),"")</f>
        <v/>
      </c>
      <c r="G3948" s="75"/>
      <c r="H3948" s="52" t="str">
        <f aca="false">IF(G3948&lt;&gt;"",IFERROR(VLOOKUP(G3948,PRODUCTOS!$A:$B,2,0),"!COD NO ENCONTRADO"),"")</f>
        <v/>
      </c>
      <c r="I3948" s="77"/>
      <c r="J3948" s="78"/>
      <c r="K3948" s="79"/>
      <c r="L3948" s="80" t="str">
        <f aca="false">IF(AND(J3948&lt;&gt;"",K3948&lt;&gt;""),J3948*K3948,"")</f>
        <v/>
      </c>
      <c r="M3948" s="81" t="str">
        <f aca="false">IF(L3948&lt;&gt;"",L3948*1.1,"")</f>
        <v/>
      </c>
      <c r="N3948" s="53" t="n">
        <f aca="false">IF(F3948="S",L3948*0.02,0)</f>
        <v>0</v>
      </c>
      <c r="O3948" s="82" t="str">
        <f aca="false">IF(L3948&lt;&gt;"",L3948+N3948,"")</f>
        <v/>
      </c>
      <c r="P3948" s="53" t="str">
        <f aca="false">IF(O3948&lt;&gt;"",O3948*0.1,"")</f>
        <v/>
      </c>
      <c r="Q3948" s="83" t="str">
        <f aca="false">IF(O3948&lt;&gt;"",O3948+P3948,"")</f>
        <v/>
      </c>
      <c r="R3948" s="84"/>
    </row>
    <row r="3949" customFormat="false" ht="15" hidden="false" customHeight="true" outlineLevel="0" collapsed="false">
      <c r="A3949" s="103"/>
      <c r="B3949" s="85"/>
      <c r="C3949" s="86"/>
      <c r="D3949" s="87"/>
      <c r="E3949" s="46" t="str">
        <f aca="false">IF(D3949&lt;&gt;"",IFERROR(VLOOKUP(D3949,PROVEEDORES!$A:$B,2,0),"!COD NO ENCONTRADO"),"")</f>
        <v/>
      </c>
      <c r="F3949" s="88" t="str">
        <f aca="false">IF(D3949&lt;&gt;"",IFERROR(VLOOKUP(D3949,PROVEEDORES!$A:$C,3,0),""),"")</f>
        <v/>
      </c>
      <c r="G3949" s="87"/>
      <c r="H3949" s="46" t="str">
        <f aca="false">IF(G3949&lt;&gt;"",IFERROR(VLOOKUP(G3949,PRODUCTOS!$A:$B,2,0),"!COD NO ENCONTRADO"),"")</f>
        <v/>
      </c>
      <c r="I3949" s="89"/>
      <c r="J3949" s="90"/>
      <c r="K3949" s="91"/>
      <c r="L3949" s="80" t="str">
        <f aca="false">IF(AND(J3949&lt;&gt;"",K3949&lt;&gt;""),J3949*K3949,"")</f>
        <v/>
      </c>
      <c r="M3949" s="81" t="str">
        <f aca="false">IF(L3949&lt;&gt;"",L3949*1.1,"")</f>
        <v/>
      </c>
      <c r="N3949" s="47" t="n">
        <f aca="false">IF(F3949="S",L3949*0.02,0)</f>
        <v>0</v>
      </c>
      <c r="O3949" s="82" t="str">
        <f aca="false">IF(L3949&lt;&gt;"",L3949+N3949,"")</f>
        <v/>
      </c>
      <c r="P3949" s="47" t="str">
        <f aca="false">IF(O3949&lt;&gt;"",O3949*0.1,"")</f>
        <v/>
      </c>
      <c r="Q3949" s="83" t="str">
        <f aca="false">IF(O3949&lt;&gt;"",O3949+P3949,"")</f>
        <v/>
      </c>
      <c r="R3949" s="84"/>
    </row>
    <row r="3950" customFormat="false" ht="15" hidden="false" customHeight="true" outlineLevel="0" collapsed="false">
      <c r="A3950" s="103"/>
      <c r="B3950" s="73"/>
      <c r="C3950" s="74"/>
      <c r="D3950" s="75"/>
      <c r="E3950" s="52" t="str">
        <f aca="false">IF(D3950&lt;&gt;"",IFERROR(VLOOKUP(D3950,PROVEEDORES!$A:$B,2,0),"!COD NO ENCONTRADO"),"")</f>
        <v/>
      </c>
      <c r="F3950" s="76" t="str">
        <f aca="false">IF(D3950&lt;&gt;"",IFERROR(VLOOKUP(D3950,PROVEEDORES!$A:$C,3,0),""),"")</f>
        <v/>
      </c>
      <c r="G3950" s="75"/>
      <c r="H3950" s="52" t="str">
        <f aca="false">IF(G3950&lt;&gt;"",IFERROR(VLOOKUP(G3950,PRODUCTOS!$A:$B,2,0),"!COD NO ENCONTRADO"),"")</f>
        <v/>
      </c>
      <c r="I3950" s="77"/>
      <c r="J3950" s="78"/>
      <c r="K3950" s="79"/>
      <c r="L3950" s="80" t="str">
        <f aca="false">IF(AND(J3950&lt;&gt;"",K3950&lt;&gt;""),J3950*K3950,"")</f>
        <v/>
      </c>
      <c r="M3950" s="81" t="str">
        <f aca="false">IF(L3950&lt;&gt;"",L3950*1.1,"")</f>
        <v/>
      </c>
      <c r="N3950" s="53" t="n">
        <f aca="false">IF(F3950="S",L3950*0.02,0)</f>
        <v>0</v>
      </c>
      <c r="O3950" s="82" t="str">
        <f aca="false">IF(L3950&lt;&gt;"",L3950+N3950,"")</f>
        <v/>
      </c>
      <c r="P3950" s="53" t="str">
        <f aca="false">IF(O3950&lt;&gt;"",O3950*0.1,"")</f>
        <v/>
      </c>
      <c r="Q3950" s="83" t="str">
        <f aca="false">IF(O3950&lt;&gt;"",O3950+P3950,"")</f>
        <v/>
      </c>
      <c r="R3950" s="84"/>
    </row>
    <row r="3951" customFormat="false" ht="15" hidden="false" customHeight="true" outlineLevel="0" collapsed="false">
      <c r="A3951" s="103"/>
      <c r="B3951" s="85"/>
      <c r="C3951" s="86"/>
      <c r="D3951" s="87"/>
      <c r="E3951" s="46" t="str">
        <f aca="false">IF(D3951&lt;&gt;"",IFERROR(VLOOKUP(D3951,PROVEEDORES!$A:$B,2,0),"!COD NO ENCONTRADO"),"")</f>
        <v/>
      </c>
      <c r="F3951" s="88" t="str">
        <f aca="false">IF(D3951&lt;&gt;"",IFERROR(VLOOKUP(D3951,PROVEEDORES!$A:$C,3,0),""),"")</f>
        <v/>
      </c>
      <c r="G3951" s="87"/>
      <c r="H3951" s="46" t="str">
        <f aca="false">IF(G3951&lt;&gt;"",IFERROR(VLOOKUP(G3951,PRODUCTOS!$A:$B,2,0),"!COD NO ENCONTRADO"),"")</f>
        <v/>
      </c>
      <c r="I3951" s="89"/>
      <c r="J3951" s="90"/>
      <c r="K3951" s="91"/>
      <c r="L3951" s="80" t="str">
        <f aca="false">IF(AND(J3951&lt;&gt;"",K3951&lt;&gt;""),J3951*K3951,"")</f>
        <v/>
      </c>
      <c r="M3951" s="81" t="str">
        <f aca="false">IF(L3951&lt;&gt;"",L3951*1.1,"")</f>
        <v/>
      </c>
      <c r="N3951" s="47" t="n">
        <f aca="false">IF(F3951="S",L3951*0.02,0)</f>
        <v>0</v>
      </c>
      <c r="O3951" s="82" t="str">
        <f aca="false">IF(L3951&lt;&gt;"",L3951+N3951,"")</f>
        <v/>
      </c>
      <c r="P3951" s="47" t="str">
        <f aca="false">IF(O3951&lt;&gt;"",O3951*0.1,"")</f>
        <v/>
      </c>
      <c r="Q3951" s="83" t="str">
        <f aca="false">IF(O3951&lt;&gt;"",O3951+P3951,"")</f>
        <v/>
      </c>
      <c r="R3951" s="84"/>
    </row>
    <row r="3952" customFormat="false" ht="15" hidden="false" customHeight="true" outlineLevel="0" collapsed="false">
      <c r="A3952" s="103"/>
      <c r="B3952" s="73"/>
      <c r="C3952" s="74"/>
      <c r="D3952" s="75"/>
      <c r="E3952" s="52" t="str">
        <f aca="false">IF(D3952&lt;&gt;"",IFERROR(VLOOKUP(D3952,PROVEEDORES!$A:$B,2,0),"!COD NO ENCONTRADO"),"")</f>
        <v/>
      </c>
      <c r="F3952" s="76" t="str">
        <f aca="false">IF(D3952&lt;&gt;"",IFERROR(VLOOKUP(D3952,PROVEEDORES!$A:$C,3,0),""),"")</f>
        <v/>
      </c>
      <c r="G3952" s="75"/>
      <c r="H3952" s="52" t="str">
        <f aca="false">IF(G3952&lt;&gt;"",IFERROR(VLOOKUP(G3952,PRODUCTOS!$A:$B,2,0),"!COD NO ENCONTRADO"),"")</f>
        <v/>
      </c>
      <c r="I3952" s="77"/>
      <c r="J3952" s="78"/>
      <c r="K3952" s="79"/>
      <c r="L3952" s="80" t="str">
        <f aca="false">IF(AND(J3952&lt;&gt;"",K3952&lt;&gt;""),J3952*K3952,"")</f>
        <v/>
      </c>
      <c r="M3952" s="81" t="str">
        <f aca="false">IF(L3952&lt;&gt;"",L3952*1.1,"")</f>
        <v/>
      </c>
      <c r="N3952" s="53" t="n">
        <f aca="false">IF(F3952="S",L3952*0.02,0)</f>
        <v>0</v>
      </c>
      <c r="O3952" s="82" t="str">
        <f aca="false">IF(L3952&lt;&gt;"",L3952+N3952,"")</f>
        <v/>
      </c>
      <c r="P3952" s="53" t="str">
        <f aca="false">IF(O3952&lt;&gt;"",O3952*0.1,"")</f>
        <v/>
      </c>
      <c r="Q3952" s="83" t="str">
        <f aca="false">IF(O3952&lt;&gt;"",O3952+P3952,"")</f>
        <v/>
      </c>
      <c r="R3952" s="84"/>
    </row>
    <row r="3953" customFormat="false" ht="15" hidden="false" customHeight="true" outlineLevel="0" collapsed="false">
      <c r="A3953" s="103"/>
      <c r="B3953" s="85"/>
      <c r="C3953" s="86"/>
      <c r="D3953" s="87"/>
      <c r="E3953" s="46" t="str">
        <f aca="false">IF(D3953&lt;&gt;"",IFERROR(VLOOKUP(D3953,PROVEEDORES!$A:$B,2,0),"!COD NO ENCONTRADO"),"")</f>
        <v/>
      </c>
      <c r="F3953" s="88" t="str">
        <f aca="false">IF(D3953&lt;&gt;"",IFERROR(VLOOKUP(D3953,PROVEEDORES!$A:$C,3,0),""),"")</f>
        <v/>
      </c>
      <c r="G3953" s="87"/>
      <c r="H3953" s="46" t="str">
        <f aca="false">IF(G3953&lt;&gt;"",IFERROR(VLOOKUP(G3953,PRODUCTOS!$A:$B,2,0),"!COD NO ENCONTRADO"),"")</f>
        <v/>
      </c>
      <c r="I3953" s="89"/>
      <c r="J3953" s="90"/>
      <c r="K3953" s="91"/>
      <c r="L3953" s="80" t="str">
        <f aca="false">IF(AND(J3953&lt;&gt;"",K3953&lt;&gt;""),J3953*K3953,"")</f>
        <v/>
      </c>
      <c r="M3953" s="81" t="str">
        <f aca="false">IF(L3953&lt;&gt;"",L3953*1.1,"")</f>
        <v/>
      </c>
      <c r="N3953" s="47" t="n">
        <f aca="false">IF(F3953="S",L3953*0.02,0)</f>
        <v>0</v>
      </c>
      <c r="O3953" s="82" t="str">
        <f aca="false">IF(L3953&lt;&gt;"",L3953+N3953,"")</f>
        <v/>
      </c>
      <c r="P3953" s="47" t="str">
        <f aca="false">IF(O3953&lt;&gt;"",O3953*0.1,"")</f>
        <v/>
      </c>
      <c r="Q3953" s="83" t="str">
        <f aca="false">IF(O3953&lt;&gt;"",O3953+P3953,"")</f>
        <v/>
      </c>
      <c r="R3953" s="84"/>
    </row>
    <row r="3954" customFormat="false" ht="15" hidden="false" customHeight="true" outlineLevel="0" collapsed="false">
      <c r="A3954" s="103"/>
      <c r="B3954" s="73"/>
      <c r="C3954" s="74"/>
      <c r="D3954" s="75"/>
      <c r="E3954" s="52" t="str">
        <f aca="false">IF(D3954&lt;&gt;"",IFERROR(VLOOKUP(D3954,PROVEEDORES!$A:$B,2,0),"!COD NO ENCONTRADO"),"")</f>
        <v/>
      </c>
      <c r="F3954" s="76" t="str">
        <f aca="false">IF(D3954&lt;&gt;"",IFERROR(VLOOKUP(D3954,PROVEEDORES!$A:$C,3,0),""),"")</f>
        <v/>
      </c>
      <c r="G3954" s="75"/>
      <c r="H3954" s="52" t="str">
        <f aca="false">IF(G3954&lt;&gt;"",IFERROR(VLOOKUP(G3954,PRODUCTOS!$A:$B,2,0),"!COD NO ENCONTRADO"),"")</f>
        <v/>
      </c>
      <c r="I3954" s="77"/>
      <c r="J3954" s="78"/>
      <c r="K3954" s="79"/>
      <c r="L3954" s="80" t="str">
        <f aca="false">IF(AND(J3954&lt;&gt;"",K3954&lt;&gt;""),J3954*K3954,"")</f>
        <v/>
      </c>
      <c r="M3954" s="81" t="str">
        <f aca="false">IF(L3954&lt;&gt;"",L3954*1.1,"")</f>
        <v/>
      </c>
      <c r="N3954" s="53" t="n">
        <f aca="false">IF(F3954="S",L3954*0.02,0)</f>
        <v>0</v>
      </c>
      <c r="O3954" s="82" t="str">
        <f aca="false">IF(L3954&lt;&gt;"",L3954+N3954,"")</f>
        <v/>
      </c>
      <c r="P3954" s="53" t="str">
        <f aca="false">IF(O3954&lt;&gt;"",O3954*0.1,"")</f>
        <v/>
      </c>
      <c r="Q3954" s="83" t="str">
        <f aca="false">IF(O3954&lt;&gt;"",O3954+P3954,"")</f>
        <v/>
      </c>
      <c r="R3954" s="84"/>
    </row>
    <row r="3955" customFormat="false" ht="15" hidden="false" customHeight="true" outlineLevel="0" collapsed="false">
      <c r="A3955" s="103"/>
      <c r="B3955" s="85"/>
      <c r="C3955" s="86"/>
      <c r="D3955" s="87"/>
      <c r="E3955" s="46" t="str">
        <f aca="false">IF(D3955&lt;&gt;"",IFERROR(VLOOKUP(D3955,PROVEEDORES!$A:$B,2,0),"!COD NO ENCONTRADO"),"")</f>
        <v/>
      </c>
      <c r="F3955" s="88" t="str">
        <f aca="false">IF(D3955&lt;&gt;"",IFERROR(VLOOKUP(D3955,PROVEEDORES!$A:$C,3,0),""),"")</f>
        <v/>
      </c>
      <c r="G3955" s="87"/>
      <c r="H3955" s="46" t="str">
        <f aca="false">IF(G3955&lt;&gt;"",IFERROR(VLOOKUP(G3955,PRODUCTOS!$A:$B,2,0),"!COD NO ENCONTRADO"),"")</f>
        <v/>
      </c>
      <c r="I3955" s="89"/>
      <c r="J3955" s="90"/>
      <c r="K3955" s="91"/>
      <c r="L3955" s="80" t="str">
        <f aca="false">IF(AND(J3955&lt;&gt;"",K3955&lt;&gt;""),J3955*K3955,"")</f>
        <v/>
      </c>
      <c r="M3955" s="81" t="str">
        <f aca="false">IF(L3955&lt;&gt;"",L3955*1.1,"")</f>
        <v/>
      </c>
      <c r="N3955" s="47" t="n">
        <f aca="false">IF(F3955="S",L3955*0.02,0)</f>
        <v>0</v>
      </c>
      <c r="O3955" s="82" t="str">
        <f aca="false">IF(L3955&lt;&gt;"",L3955+N3955,"")</f>
        <v/>
      </c>
      <c r="P3955" s="47" t="str">
        <f aca="false">IF(O3955&lt;&gt;"",O3955*0.1,"")</f>
        <v/>
      </c>
      <c r="Q3955" s="83" t="str">
        <f aca="false">IF(O3955&lt;&gt;"",O3955+P3955,"")</f>
        <v/>
      </c>
      <c r="R3955" s="84"/>
    </row>
    <row r="3956" customFormat="false" ht="15" hidden="false" customHeight="true" outlineLevel="0" collapsed="false">
      <c r="A3956" s="103"/>
      <c r="B3956" s="73"/>
      <c r="C3956" s="74"/>
      <c r="D3956" s="75"/>
      <c r="E3956" s="52" t="str">
        <f aca="false">IF(D3956&lt;&gt;"",IFERROR(VLOOKUP(D3956,PROVEEDORES!$A:$B,2,0),"!COD NO ENCONTRADO"),"")</f>
        <v/>
      </c>
      <c r="F3956" s="76" t="str">
        <f aca="false">IF(D3956&lt;&gt;"",IFERROR(VLOOKUP(D3956,PROVEEDORES!$A:$C,3,0),""),"")</f>
        <v/>
      </c>
      <c r="G3956" s="75"/>
      <c r="H3956" s="52" t="str">
        <f aca="false">IF(G3956&lt;&gt;"",IFERROR(VLOOKUP(G3956,PRODUCTOS!$A:$B,2,0),"!COD NO ENCONTRADO"),"")</f>
        <v/>
      </c>
      <c r="I3956" s="77"/>
      <c r="J3956" s="78"/>
      <c r="K3956" s="79"/>
      <c r="L3956" s="80" t="str">
        <f aca="false">IF(AND(J3956&lt;&gt;"",K3956&lt;&gt;""),J3956*K3956,"")</f>
        <v/>
      </c>
      <c r="M3956" s="81" t="str">
        <f aca="false">IF(L3956&lt;&gt;"",L3956*1.1,"")</f>
        <v/>
      </c>
      <c r="N3956" s="53" t="n">
        <f aca="false">IF(F3956="S",L3956*0.02,0)</f>
        <v>0</v>
      </c>
      <c r="O3956" s="82" t="str">
        <f aca="false">IF(L3956&lt;&gt;"",L3956+N3956,"")</f>
        <v/>
      </c>
      <c r="P3956" s="53" t="str">
        <f aca="false">IF(O3956&lt;&gt;"",O3956*0.1,"")</f>
        <v/>
      </c>
      <c r="Q3956" s="83" t="str">
        <f aca="false">IF(O3956&lt;&gt;"",O3956+P3956,"")</f>
        <v/>
      </c>
      <c r="R3956" s="84"/>
    </row>
    <row r="3957" customFormat="false" ht="15" hidden="false" customHeight="true" outlineLevel="0" collapsed="false">
      <c r="A3957" s="103"/>
      <c r="B3957" s="85"/>
      <c r="C3957" s="86"/>
      <c r="D3957" s="87"/>
      <c r="E3957" s="46" t="str">
        <f aca="false">IF(D3957&lt;&gt;"",IFERROR(VLOOKUP(D3957,PROVEEDORES!$A:$B,2,0),"!COD NO ENCONTRADO"),"")</f>
        <v/>
      </c>
      <c r="F3957" s="88" t="str">
        <f aca="false">IF(D3957&lt;&gt;"",IFERROR(VLOOKUP(D3957,PROVEEDORES!$A:$C,3,0),""),"")</f>
        <v/>
      </c>
      <c r="G3957" s="87"/>
      <c r="H3957" s="46" t="str">
        <f aca="false">IF(G3957&lt;&gt;"",IFERROR(VLOOKUP(G3957,PRODUCTOS!$A:$B,2,0),"!COD NO ENCONTRADO"),"")</f>
        <v/>
      </c>
      <c r="I3957" s="89"/>
      <c r="J3957" s="90"/>
      <c r="K3957" s="91"/>
      <c r="L3957" s="80" t="str">
        <f aca="false">IF(AND(J3957&lt;&gt;"",K3957&lt;&gt;""),J3957*K3957,"")</f>
        <v/>
      </c>
      <c r="M3957" s="81" t="str">
        <f aca="false">IF(L3957&lt;&gt;"",L3957*1.1,"")</f>
        <v/>
      </c>
      <c r="N3957" s="47" t="n">
        <f aca="false">IF(F3957="S",L3957*0.02,0)</f>
        <v>0</v>
      </c>
      <c r="O3957" s="82" t="str">
        <f aca="false">IF(L3957&lt;&gt;"",L3957+N3957,"")</f>
        <v/>
      </c>
      <c r="P3957" s="47" t="str">
        <f aca="false">IF(O3957&lt;&gt;"",O3957*0.1,"")</f>
        <v/>
      </c>
      <c r="Q3957" s="83" t="str">
        <f aca="false">IF(O3957&lt;&gt;"",O3957+P3957,"")</f>
        <v/>
      </c>
      <c r="R3957" s="84"/>
    </row>
    <row r="3958" customFormat="false" ht="15" hidden="false" customHeight="true" outlineLevel="0" collapsed="false">
      <c r="A3958" s="103"/>
      <c r="B3958" s="73"/>
      <c r="C3958" s="74"/>
      <c r="D3958" s="75"/>
      <c r="E3958" s="52" t="str">
        <f aca="false">IF(D3958&lt;&gt;"",IFERROR(VLOOKUP(D3958,PROVEEDORES!$A:$B,2,0),"!COD NO ENCONTRADO"),"")</f>
        <v/>
      </c>
      <c r="F3958" s="76" t="str">
        <f aca="false">IF(D3958&lt;&gt;"",IFERROR(VLOOKUP(D3958,PROVEEDORES!$A:$C,3,0),""),"")</f>
        <v/>
      </c>
      <c r="G3958" s="75"/>
      <c r="H3958" s="52" t="str">
        <f aca="false">IF(G3958&lt;&gt;"",IFERROR(VLOOKUP(G3958,PRODUCTOS!$A:$B,2,0),"!COD NO ENCONTRADO"),"")</f>
        <v/>
      </c>
      <c r="I3958" s="77"/>
      <c r="J3958" s="78"/>
      <c r="K3958" s="79"/>
      <c r="L3958" s="80" t="str">
        <f aca="false">IF(AND(J3958&lt;&gt;"",K3958&lt;&gt;""),J3958*K3958,"")</f>
        <v/>
      </c>
      <c r="M3958" s="81" t="str">
        <f aca="false">IF(L3958&lt;&gt;"",L3958*1.1,"")</f>
        <v/>
      </c>
      <c r="N3958" s="53" t="n">
        <f aca="false">IF(F3958="S",L3958*0.02,0)</f>
        <v>0</v>
      </c>
      <c r="O3958" s="82" t="str">
        <f aca="false">IF(L3958&lt;&gt;"",L3958+N3958,"")</f>
        <v/>
      </c>
      <c r="P3958" s="53" t="str">
        <f aca="false">IF(O3958&lt;&gt;"",O3958*0.1,"")</f>
        <v/>
      </c>
      <c r="Q3958" s="83" t="str">
        <f aca="false">IF(O3958&lt;&gt;"",O3958+P3958,"")</f>
        <v/>
      </c>
      <c r="R3958" s="84"/>
    </row>
    <row r="3959" customFormat="false" ht="15" hidden="false" customHeight="true" outlineLevel="0" collapsed="false">
      <c r="A3959" s="103"/>
      <c r="B3959" s="85"/>
      <c r="C3959" s="86"/>
      <c r="D3959" s="87"/>
      <c r="E3959" s="46" t="str">
        <f aca="false">IF(D3959&lt;&gt;"",IFERROR(VLOOKUP(D3959,PROVEEDORES!$A:$B,2,0),"!COD NO ENCONTRADO"),"")</f>
        <v/>
      </c>
      <c r="F3959" s="88" t="str">
        <f aca="false">IF(D3959&lt;&gt;"",IFERROR(VLOOKUP(D3959,PROVEEDORES!$A:$C,3,0),""),"")</f>
        <v/>
      </c>
      <c r="G3959" s="87"/>
      <c r="H3959" s="46" t="str">
        <f aca="false">IF(G3959&lt;&gt;"",IFERROR(VLOOKUP(G3959,PRODUCTOS!$A:$B,2,0),"!COD NO ENCONTRADO"),"")</f>
        <v/>
      </c>
      <c r="I3959" s="89"/>
      <c r="J3959" s="90"/>
      <c r="K3959" s="91"/>
      <c r="L3959" s="80" t="str">
        <f aca="false">IF(AND(J3959&lt;&gt;"",K3959&lt;&gt;""),J3959*K3959,"")</f>
        <v/>
      </c>
      <c r="M3959" s="81" t="str">
        <f aca="false">IF(L3959&lt;&gt;"",L3959*1.1,"")</f>
        <v/>
      </c>
      <c r="N3959" s="47" t="n">
        <f aca="false">IF(F3959="S",L3959*0.02,0)</f>
        <v>0</v>
      </c>
      <c r="O3959" s="82" t="str">
        <f aca="false">IF(L3959&lt;&gt;"",L3959+N3959,"")</f>
        <v/>
      </c>
      <c r="P3959" s="47" t="str">
        <f aca="false">IF(O3959&lt;&gt;"",O3959*0.1,"")</f>
        <v/>
      </c>
      <c r="Q3959" s="83" t="str">
        <f aca="false">IF(O3959&lt;&gt;"",O3959+P3959,"")</f>
        <v/>
      </c>
      <c r="R3959" s="84"/>
    </row>
    <row r="3960" customFormat="false" ht="15" hidden="false" customHeight="true" outlineLevel="0" collapsed="false">
      <c r="A3960" s="103"/>
      <c r="B3960" s="73"/>
      <c r="C3960" s="74"/>
      <c r="D3960" s="75"/>
      <c r="E3960" s="52" t="str">
        <f aca="false">IF(D3960&lt;&gt;"",IFERROR(VLOOKUP(D3960,PROVEEDORES!$A:$B,2,0),"!COD NO ENCONTRADO"),"")</f>
        <v/>
      </c>
      <c r="F3960" s="76" t="str">
        <f aca="false">IF(D3960&lt;&gt;"",IFERROR(VLOOKUP(D3960,PROVEEDORES!$A:$C,3,0),""),"")</f>
        <v/>
      </c>
      <c r="G3960" s="75"/>
      <c r="H3960" s="52" t="str">
        <f aca="false">IF(G3960&lt;&gt;"",IFERROR(VLOOKUP(G3960,PRODUCTOS!$A:$B,2,0),"!COD NO ENCONTRADO"),"")</f>
        <v/>
      </c>
      <c r="I3960" s="77"/>
      <c r="J3960" s="78"/>
      <c r="K3960" s="79"/>
      <c r="L3960" s="80" t="str">
        <f aca="false">IF(AND(J3960&lt;&gt;"",K3960&lt;&gt;""),J3960*K3960,"")</f>
        <v/>
      </c>
      <c r="M3960" s="81" t="str">
        <f aca="false">IF(L3960&lt;&gt;"",L3960*1.1,"")</f>
        <v/>
      </c>
      <c r="N3960" s="53" t="n">
        <f aca="false">IF(F3960="S",L3960*0.02,0)</f>
        <v>0</v>
      </c>
      <c r="O3960" s="82" t="str">
        <f aca="false">IF(L3960&lt;&gt;"",L3960+N3960,"")</f>
        <v/>
      </c>
      <c r="P3960" s="53" t="str">
        <f aca="false">IF(O3960&lt;&gt;"",O3960*0.1,"")</f>
        <v/>
      </c>
      <c r="Q3960" s="83" t="str">
        <f aca="false">IF(O3960&lt;&gt;"",O3960+P3960,"")</f>
        <v/>
      </c>
      <c r="R3960" s="84"/>
    </row>
    <row r="3961" customFormat="false" ht="15" hidden="false" customHeight="true" outlineLevel="0" collapsed="false">
      <c r="A3961" s="103"/>
      <c r="B3961" s="85"/>
      <c r="C3961" s="86"/>
      <c r="D3961" s="87"/>
      <c r="E3961" s="46" t="str">
        <f aca="false">IF(D3961&lt;&gt;"",IFERROR(VLOOKUP(D3961,PROVEEDORES!$A:$B,2,0),"!COD NO ENCONTRADO"),"")</f>
        <v/>
      </c>
      <c r="F3961" s="88" t="str">
        <f aca="false">IF(D3961&lt;&gt;"",IFERROR(VLOOKUP(D3961,PROVEEDORES!$A:$C,3,0),""),"")</f>
        <v/>
      </c>
      <c r="G3961" s="87"/>
      <c r="H3961" s="46" t="str">
        <f aca="false">IF(G3961&lt;&gt;"",IFERROR(VLOOKUP(G3961,PRODUCTOS!$A:$B,2,0),"!COD NO ENCONTRADO"),"")</f>
        <v/>
      </c>
      <c r="I3961" s="89"/>
      <c r="J3961" s="90"/>
      <c r="K3961" s="91"/>
      <c r="L3961" s="80" t="str">
        <f aca="false">IF(AND(J3961&lt;&gt;"",K3961&lt;&gt;""),J3961*K3961,"")</f>
        <v/>
      </c>
      <c r="M3961" s="81" t="str">
        <f aca="false">IF(L3961&lt;&gt;"",L3961*1.1,"")</f>
        <v/>
      </c>
      <c r="N3961" s="47" t="n">
        <f aca="false">IF(F3961="S",L3961*0.02,0)</f>
        <v>0</v>
      </c>
      <c r="O3961" s="82" t="str">
        <f aca="false">IF(L3961&lt;&gt;"",L3961+N3961,"")</f>
        <v/>
      </c>
      <c r="P3961" s="47" t="str">
        <f aca="false">IF(O3961&lt;&gt;"",O3961*0.1,"")</f>
        <v/>
      </c>
      <c r="Q3961" s="83" t="str">
        <f aca="false">IF(O3961&lt;&gt;"",O3961+P3961,"")</f>
        <v/>
      </c>
      <c r="R3961" s="84"/>
    </row>
    <row r="3962" customFormat="false" ht="15" hidden="false" customHeight="true" outlineLevel="0" collapsed="false">
      <c r="A3962" s="103"/>
      <c r="B3962" s="73"/>
      <c r="C3962" s="74"/>
      <c r="D3962" s="75"/>
      <c r="E3962" s="52" t="str">
        <f aca="false">IF(D3962&lt;&gt;"",IFERROR(VLOOKUP(D3962,PROVEEDORES!$A:$B,2,0),"!COD NO ENCONTRADO"),"")</f>
        <v/>
      </c>
      <c r="F3962" s="76" t="str">
        <f aca="false">IF(D3962&lt;&gt;"",IFERROR(VLOOKUP(D3962,PROVEEDORES!$A:$C,3,0),""),"")</f>
        <v/>
      </c>
      <c r="G3962" s="75"/>
      <c r="H3962" s="52" t="str">
        <f aca="false">IF(G3962&lt;&gt;"",IFERROR(VLOOKUP(G3962,PRODUCTOS!$A:$B,2,0),"!COD NO ENCONTRADO"),"")</f>
        <v/>
      </c>
      <c r="I3962" s="77"/>
      <c r="J3962" s="78"/>
      <c r="K3962" s="79"/>
      <c r="L3962" s="80" t="str">
        <f aca="false">IF(AND(J3962&lt;&gt;"",K3962&lt;&gt;""),J3962*K3962,"")</f>
        <v/>
      </c>
      <c r="M3962" s="81" t="str">
        <f aca="false">IF(L3962&lt;&gt;"",L3962*1.1,"")</f>
        <v/>
      </c>
      <c r="N3962" s="53" t="n">
        <f aca="false">IF(F3962="S",L3962*0.02,0)</f>
        <v>0</v>
      </c>
      <c r="O3962" s="82" t="str">
        <f aca="false">IF(L3962&lt;&gt;"",L3962+N3962,"")</f>
        <v/>
      </c>
      <c r="P3962" s="53" t="str">
        <f aca="false">IF(O3962&lt;&gt;"",O3962*0.1,"")</f>
        <v/>
      </c>
      <c r="Q3962" s="83" t="str">
        <f aca="false">IF(O3962&lt;&gt;"",O3962+P3962,"")</f>
        <v/>
      </c>
      <c r="R3962" s="84"/>
    </row>
    <row r="3963" customFormat="false" ht="15" hidden="false" customHeight="true" outlineLevel="0" collapsed="false">
      <c r="A3963" s="103"/>
      <c r="B3963" s="85"/>
      <c r="C3963" s="86"/>
      <c r="D3963" s="87"/>
      <c r="E3963" s="46" t="str">
        <f aca="false">IF(D3963&lt;&gt;"",IFERROR(VLOOKUP(D3963,PROVEEDORES!$A:$B,2,0),"!COD NO ENCONTRADO"),"")</f>
        <v/>
      </c>
      <c r="F3963" s="88" t="str">
        <f aca="false">IF(D3963&lt;&gt;"",IFERROR(VLOOKUP(D3963,PROVEEDORES!$A:$C,3,0),""),"")</f>
        <v/>
      </c>
      <c r="G3963" s="87"/>
      <c r="H3963" s="46" t="str">
        <f aca="false">IF(G3963&lt;&gt;"",IFERROR(VLOOKUP(G3963,PRODUCTOS!$A:$B,2,0),"!COD NO ENCONTRADO"),"")</f>
        <v/>
      </c>
      <c r="I3963" s="89"/>
      <c r="J3963" s="90"/>
      <c r="K3963" s="91"/>
      <c r="L3963" s="80" t="str">
        <f aca="false">IF(AND(J3963&lt;&gt;"",K3963&lt;&gt;""),J3963*K3963,"")</f>
        <v/>
      </c>
      <c r="M3963" s="81" t="str">
        <f aca="false">IF(L3963&lt;&gt;"",L3963*1.1,"")</f>
        <v/>
      </c>
      <c r="N3963" s="47" t="n">
        <f aca="false">IF(F3963="S",L3963*0.02,0)</f>
        <v>0</v>
      </c>
      <c r="O3963" s="82" t="str">
        <f aca="false">IF(L3963&lt;&gt;"",L3963+N3963,"")</f>
        <v/>
      </c>
      <c r="P3963" s="47" t="str">
        <f aca="false">IF(O3963&lt;&gt;"",O3963*0.1,"")</f>
        <v/>
      </c>
      <c r="Q3963" s="83" t="str">
        <f aca="false">IF(O3963&lt;&gt;"",O3963+P3963,"")</f>
        <v/>
      </c>
      <c r="R3963" s="84"/>
    </row>
    <row r="3964" customFormat="false" ht="15" hidden="false" customHeight="true" outlineLevel="0" collapsed="false">
      <c r="A3964" s="103"/>
      <c r="B3964" s="73"/>
      <c r="C3964" s="74"/>
      <c r="D3964" s="75"/>
      <c r="E3964" s="52" t="str">
        <f aca="false">IF(D3964&lt;&gt;"",IFERROR(VLOOKUP(D3964,PROVEEDORES!$A:$B,2,0),"!COD NO ENCONTRADO"),"")</f>
        <v/>
      </c>
      <c r="F3964" s="76" t="str">
        <f aca="false">IF(D3964&lt;&gt;"",IFERROR(VLOOKUP(D3964,PROVEEDORES!$A:$C,3,0),""),"")</f>
        <v/>
      </c>
      <c r="G3964" s="75"/>
      <c r="H3964" s="52" t="str">
        <f aca="false">IF(G3964&lt;&gt;"",IFERROR(VLOOKUP(G3964,PRODUCTOS!$A:$B,2,0),"!COD NO ENCONTRADO"),"")</f>
        <v/>
      </c>
      <c r="I3964" s="77"/>
      <c r="J3964" s="78"/>
      <c r="K3964" s="79"/>
      <c r="L3964" s="80" t="str">
        <f aca="false">IF(AND(J3964&lt;&gt;"",K3964&lt;&gt;""),J3964*K3964,"")</f>
        <v/>
      </c>
      <c r="M3964" s="81" t="str">
        <f aca="false">IF(L3964&lt;&gt;"",L3964*1.1,"")</f>
        <v/>
      </c>
      <c r="N3964" s="53" t="n">
        <f aca="false">IF(F3964="S",L3964*0.02,0)</f>
        <v>0</v>
      </c>
      <c r="O3964" s="82" t="str">
        <f aca="false">IF(L3964&lt;&gt;"",L3964+N3964,"")</f>
        <v/>
      </c>
      <c r="P3964" s="53" t="str">
        <f aca="false">IF(O3964&lt;&gt;"",O3964*0.1,"")</f>
        <v/>
      </c>
      <c r="Q3964" s="83" t="str">
        <f aca="false">IF(O3964&lt;&gt;"",O3964+P3964,"")</f>
        <v/>
      </c>
      <c r="R3964" s="84"/>
    </row>
    <row r="3965" customFormat="false" ht="15" hidden="false" customHeight="true" outlineLevel="0" collapsed="false">
      <c r="A3965" s="103"/>
      <c r="B3965" s="85"/>
      <c r="C3965" s="86"/>
      <c r="D3965" s="87"/>
      <c r="E3965" s="46" t="str">
        <f aca="false">IF(D3965&lt;&gt;"",IFERROR(VLOOKUP(D3965,PROVEEDORES!$A:$B,2,0),"!COD NO ENCONTRADO"),"")</f>
        <v/>
      </c>
      <c r="F3965" s="88" t="str">
        <f aca="false">IF(D3965&lt;&gt;"",IFERROR(VLOOKUP(D3965,PROVEEDORES!$A:$C,3,0),""),"")</f>
        <v/>
      </c>
      <c r="G3965" s="87"/>
      <c r="H3965" s="46" t="str">
        <f aca="false">IF(G3965&lt;&gt;"",IFERROR(VLOOKUP(G3965,PRODUCTOS!$A:$B,2,0),"!COD NO ENCONTRADO"),"")</f>
        <v/>
      </c>
      <c r="I3965" s="89"/>
      <c r="J3965" s="90"/>
      <c r="K3965" s="91"/>
      <c r="L3965" s="80" t="str">
        <f aca="false">IF(AND(J3965&lt;&gt;"",K3965&lt;&gt;""),J3965*K3965,"")</f>
        <v/>
      </c>
      <c r="M3965" s="81" t="str">
        <f aca="false">IF(L3965&lt;&gt;"",L3965*1.1,"")</f>
        <v/>
      </c>
      <c r="N3965" s="47" t="n">
        <f aca="false">IF(F3965="S",L3965*0.02,0)</f>
        <v>0</v>
      </c>
      <c r="O3965" s="82" t="str">
        <f aca="false">IF(L3965&lt;&gt;"",L3965+N3965,"")</f>
        <v/>
      </c>
      <c r="P3965" s="47" t="str">
        <f aca="false">IF(O3965&lt;&gt;"",O3965*0.1,"")</f>
        <v/>
      </c>
      <c r="Q3965" s="83" t="str">
        <f aca="false">IF(O3965&lt;&gt;"",O3965+P3965,"")</f>
        <v/>
      </c>
      <c r="R3965" s="84"/>
    </row>
    <row r="3966" customFormat="false" ht="15" hidden="false" customHeight="true" outlineLevel="0" collapsed="false">
      <c r="A3966" s="103"/>
      <c r="B3966" s="73"/>
      <c r="C3966" s="74"/>
      <c r="D3966" s="75"/>
      <c r="E3966" s="52" t="str">
        <f aca="false">IF(D3966&lt;&gt;"",IFERROR(VLOOKUP(D3966,PROVEEDORES!$A:$B,2,0),"!COD NO ENCONTRADO"),"")</f>
        <v/>
      </c>
      <c r="F3966" s="76" t="str">
        <f aca="false">IF(D3966&lt;&gt;"",IFERROR(VLOOKUP(D3966,PROVEEDORES!$A:$C,3,0),""),"")</f>
        <v/>
      </c>
      <c r="G3966" s="75"/>
      <c r="H3966" s="52" t="str">
        <f aca="false">IF(G3966&lt;&gt;"",IFERROR(VLOOKUP(G3966,PRODUCTOS!$A:$B,2,0),"!COD NO ENCONTRADO"),"")</f>
        <v/>
      </c>
      <c r="I3966" s="77"/>
      <c r="J3966" s="78"/>
      <c r="K3966" s="79"/>
      <c r="L3966" s="80" t="str">
        <f aca="false">IF(AND(J3966&lt;&gt;"",K3966&lt;&gt;""),J3966*K3966,"")</f>
        <v/>
      </c>
      <c r="M3966" s="81" t="str">
        <f aca="false">IF(L3966&lt;&gt;"",L3966*1.1,"")</f>
        <v/>
      </c>
      <c r="N3966" s="53" t="n">
        <f aca="false">IF(F3966="S",L3966*0.02,0)</f>
        <v>0</v>
      </c>
      <c r="O3966" s="82" t="str">
        <f aca="false">IF(L3966&lt;&gt;"",L3966+N3966,"")</f>
        <v/>
      </c>
      <c r="P3966" s="53" t="str">
        <f aca="false">IF(O3966&lt;&gt;"",O3966*0.1,"")</f>
        <v/>
      </c>
      <c r="Q3966" s="83" t="str">
        <f aca="false">IF(O3966&lt;&gt;"",O3966+P3966,"")</f>
        <v/>
      </c>
      <c r="R3966" s="84"/>
    </row>
    <row r="3967" customFormat="false" ht="15" hidden="false" customHeight="true" outlineLevel="0" collapsed="false">
      <c r="A3967" s="103"/>
      <c r="B3967" s="85"/>
      <c r="C3967" s="86"/>
      <c r="D3967" s="87"/>
      <c r="E3967" s="46" t="str">
        <f aca="false">IF(D3967&lt;&gt;"",IFERROR(VLOOKUP(D3967,PROVEEDORES!$A:$B,2,0),"!COD NO ENCONTRADO"),"")</f>
        <v/>
      </c>
      <c r="F3967" s="88" t="str">
        <f aca="false">IF(D3967&lt;&gt;"",IFERROR(VLOOKUP(D3967,PROVEEDORES!$A:$C,3,0),""),"")</f>
        <v/>
      </c>
      <c r="G3967" s="87"/>
      <c r="H3967" s="46" t="str">
        <f aca="false">IF(G3967&lt;&gt;"",IFERROR(VLOOKUP(G3967,PRODUCTOS!$A:$B,2,0),"!COD NO ENCONTRADO"),"")</f>
        <v/>
      </c>
      <c r="I3967" s="89"/>
      <c r="J3967" s="90"/>
      <c r="K3967" s="91"/>
      <c r="L3967" s="80" t="str">
        <f aca="false">IF(AND(J3967&lt;&gt;"",K3967&lt;&gt;""),J3967*K3967,"")</f>
        <v/>
      </c>
      <c r="M3967" s="81" t="str">
        <f aca="false">IF(L3967&lt;&gt;"",L3967*1.1,"")</f>
        <v/>
      </c>
      <c r="N3967" s="47" t="n">
        <f aca="false">IF(F3967="S",L3967*0.02,0)</f>
        <v>0</v>
      </c>
      <c r="O3967" s="82" t="str">
        <f aca="false">IF(L3967&lt;&gt;"",L3967+N3967,"")</f>
        <v/>
      </c>
      <c r="P3967" s="47" t="str">
        <f aca="false">IF(O3967&lt;&gt;"",O3967*0.1,"")</f>
        <v/>
      </c>
      <c r="Q3967" s="83" t="str">
        <f aca="false">IF(O3967&lt;&gt;"",O3967+P3967,"")</f>
        <v/>
      </c>
      <c r="R3967" s="84"/>
    </row>
    <row r="3968" customFormat="false" ht="15" hidden="false" customHeight="true" outlineLevel="0" collapsed="false">
      <c r="A3968" s="103"/>
      <c r="B3968" s="73"/>
      <c r="C3968" s="74"/>
      <c r="D3968" s="75"/>
      <c r="E3968" s="52" t="str">
        <f aca="false">IF(D3968&lt;&gt;"",IFERROR(VLOOKUP(D3968,PROVEEDORES!$A:$B,2,0),"!COD NO ENCONTRADO"),"")</f>
        <v/>
      </c>
      <c r="F3968" s="76" t="str">
        <f aca="false">IF(D3968&lt;&gt;"",IFERROR(VLOOKUP(D3968,PROVEEDORES!$A:$C,3,0),""),"")</f>
        <v/>
      </c>
      <c r="G3968" s="75"/>
      <c r="H3968" s="52" t="str">
        <f aca="false">IF(G3968&lt;&gt;"",IFERROR(VLOOKUP(G3968,PRODUCTOS!$A:$B,2,0),"!COD NO ENCONTRADO"),"")</f>
        <v/>
      </c>
      <c r="I3968" s="77"/>
      <c r="J3968" s="78"/>
      <c r="K3968" s="79"/>
      <c r="L3968" s="80" t="str">
        <f aca="false">IF(AND(J3968&lt;&gt;"",K3968&lt;&gt;""),J3968*K3968,"")</f>
        <v/>
      </c>
      <c r="M3968" s="81" t="str">
        <f aca="false">IF(L3968&lt;&gt;"",L3968*1.1,"")</f>
        <v/>
      </c>
      <c r="N3968" s="53" t="n">
        <f aca="false">IF(F3968="S",L3968*0.02,0)</f>
        <v>0</v>
      </c>
      <c r="O3968" s="82" t="str">
        <f aca="false">IF(L3968&lt;&gt;"",L3968+N3968,"")</f>
        <v/>
      </c>
      <c r="P3968" s="53" t="str">
        <f aca="false">IF(O3968&lt;&gt;"",O3968*0.1,"")</f>
        <v/>
      </c>
      <c r="Q3968" s="83" t="str">
        <f aca="false">IF(O3968&lt;&gt;"",O3968+P3968,"")</f>
        <v/>
      </c>
      <c r="R3968" s="84"/>
    </row>
    <row r="3969" customFormat="false" ht="15" hidden="false" customHeight="true" outlineLevel="0" collapsed="false">
      <c r="A3969" s="103"/>
      <c r="B3969" s="85"/>
      <c r="C3969" s="86"/>
      <c r="D3969" s="87"/>
      <c r="E3969" s="46" t="str">
        <f aca="false">IF(D3969&lt;&gt;"",IFERROR(VLOOKUP(D3969,PROVEEDORES!$A:$B,2,0),"!COD NO ENCONTRADO"),"")</f>
        <v/>
      </c>
      <c r="F3969" s="88" t="str">
        <f aca="false">IF(D3969&lt;&gt;"",IFERROR(VLOOKUP(D3969,PROVEEDORES!$A:$C,3,0),""),"")</f>
        <v/>
      </c>
      <c r="G3969" s="87"/>
      <c r="H3969" s="46" t="str">
        <f aca="false">IF(G3969&lt;&gt;"",IFERROR(VLOOKUP(G3969,PRODUCTOS!$A:$B,2,0),"!COD NO ENCONTRADO"),"")</f>
        <v/>
      </c>
      <c r="I3969" s="89"/>
      <c r="J3969" s="90"/>
      <c r="K3969" s="91"/>
      <c r="L3969" s="80" t="str">
        <f aca="false">IF(AND(J3969&lt;&gt;"",K3969&lt;&gt;""),J3969*K3969,"")</f>
        <v/>
      </c>
      <c r="M3969" s="81" t="str">
        <f aca="false">IF(L3969&lt;&gt;"",L3969*1.1,"")</f>
        <v/>
      </c>
      <c r="N3969" s="47" t="n">
        <f aca="false">IF(F3969="S",L3969*0.02,0)</f>
        <v>0</v>
      </c>
      <c r="O3969" s="82" t="str">
        <f aca="false">IF(L3969&lt;&gt;"",L3969+N3969,"")</f>
        <v/>
      </c>
      <c r="P3969" s="47" t="str">
        <f aca="false">IF(O3969&lt;&gt;"",O3969*0.1,"")</f>
        <v/>
      </c>
      <c r="Q3969" s="83" t="str">
        <f aca="false">IF(O3969&lt;&gt;"",O3969+P3969,"")</f>
        <v/>
      </c>
      <c r="R3969" s="84"/>
    </row>
    <row r="3970" customFormat="false" ht="15" hidden="false" customHeight="true" outlineLevel="0" collapsed="false">
      <c r="A3970" s="103"/>
      <c r="B3970" s="73"/>
      <c r="C3970" s="74"/>
      <c r="D3970" s="75"/>
      <c r="E3970" s="52" t="str">
        <f aca="false">IF(D3970&lt;&gt;"",IFERROR(VLOOKUP(D3970,PROVEEDORES!$A:$B,2,0),"!COD NO ENCONTRADO"),"")</f>
        <v/>
      </c>
      <c r="F3970" s="76" t="str">
        <f aca="false">IF(D3970&lt;&gt;"",IFERROR(VLOOKUP(D3970,PROVEEDORES!$A:$C,3,0),""),"")</f>
        <v/>
      </c>
      <c r="G3970" s="75"/>
      <c r="H3970" s="52" t="str">
        <f aca="false">IF(G3970&lt;&gt;"",IFERROR(VLOOKUP(G3970,PRODUCTOS!$A:$B,2,0),"!COD NO ENCONTRADO"),"")</f>
        <v/>
      </c>
      <c r="I3970" s="77"/>
      <c r="J3970" s="78"/>
      <c r="K3970" s="79"/>
      <c r="L3970" s="80" t="str">
        <f aca="false">IF(AND(J3970&lt;&gt;"",K3970&lt;&gt;""),J3970*K3970,"")</f>
        <v/>
      </c>
      <c r="M3970" s="81" t="str">
        <f aca="false">IF(L3970&lt;&gt;"",L3970*1.1,"")</f>
        <v/>
      </c>
      <c r="N3970" s="53" t="n">
        <f aca="false">IF(F3970="S",L3970*0.02,0)</f>
        <v>0</v>
      </c>
      <c r="O3970" s="82" t="str">
        <f aca="false">IF(L3970&lt;&gt;"",L3970+N3970,"")</f>
        <v/>
      </c>
      <c r="P3970" s="53" t="str">
        <f aca="false">IF(O3970&lt;&gt;"",O3970*0.1,"")</f>
        <v/>
      </c>
      <c r="Q3970" s="83" t="str">
        <f aca="false">IF(O3970&lt;&gt;"",O3970+P3970,"")</f>
        <v/>
      </c>
      <c r="R3970" s="84"/>
    </row>
    <row r="3971" customFormat="false" ht="15" hidden="false" customHeight="true" outlineLevel="0" collapsed="false">
      <c r="A3971" s="103"/>
      <c r="B3971" s="85"/>
      <c r="C3971" s="86"/>
      <c r="D3971" s="87"/>
      <c r="E3971" s="46" t="str">
        <f aca="false">IF(D3971&lt;&gt;"",IFERROR(VLOOKUP(D3971,PROVEEDORES!$A:$B,2,0),"!COD NO ENCONTRADO"),"")</f>
        <v/>
      </c>
      <c r="F3971" s="88" t="str">
        <f aca="false">IF(D3971&lt;&gt;"",IFERROR(VLOOKUP(D3971,PROVEEDORES!$A:$C,3,0),""),"")</f>
        <v/>
      </c>
      <c r="G3971" s="87"/>
      <c r="H3971" s="46" t="str">
        <f aca="false">IF(G3971&lt;&gt;"",IFERROR(VLOOKUP(G3971,PRODUCTOS!$A:$B,2,0),"!COD NO ENCONTRADO"),"")</f>
        <v/>
      </c>
      <c r="I3971" s="89"/>
      <c r="J3971" s="90"/>
      <c r="K3971" s="91"/>
      <c r="L3971" s="80" t="str">
        <f aca="false">IF(AND(J3971&lt;&gt;"",K3971&lt;&gt;""),J3971*K3971,"")</f>
        <v/>
      </c>
      <c r="M3971" s="81" t="str">
        <f aca="false">IF(L3971&lt;&gt;"",L3971*1.1,"")</f>
        <v/>
      </c>
      <c r="N3971" s="47" t="n">
        <f aca="false">IF(F3971="S",L3971*0.02,0)</f>
        <v>0</v>
      </c>
      <c r="O3971" s="82" t="str">
        <f aca="false">IF(L3971&lt;&gt;"",L3971+N3971,"")</f>
        <v/>
      </c>
      <c r="P3971" s="47" t="str">
        <f aca="false">IF(O3971&lt;&gt;"",O3971*0.1,"")</f>
        <v/>
      </c>
      <c r="Q3971" s="83" t="str">
        <f aca="false">IF(O3971&lt;&gt;"",O3971+P3971,"")</f>
        <v/>
      </c>
      <c r="R3971" s="84"/>
    </row>
    <row r="3972" customFormat="false" ht="15" hidden="false" customHeight="true" outlineLevel="0" collapsed="false">
      <c r="A3972" s="103"/>
      <c r="B3972" s="73"/>
      <c r="C3972" s="74"/>
      <c r="D3972" s="75"/>
      <c r="E3972" s="52" t="str">
        <f aca="false">IF(D3972&lt;&gt;"",IFERROR(VLOOKUP(D3972,PROVEEDORES!$A:$B,2,0),"!COD NO ENCONTRADO"),"")</f>
        <v/>
      </c>
      <c r="F3972" s="76" t="str">
        <f aca="false">IF(D3972&lt;&gt;"",IFERROR(VLOOKUP(D3972,PROVEEDORES!$A:$C,3,0),""),"")</f>
        <v/>
      </c>
      <c r="G3972" s="75"/>
      <c r="H3972" s="52" t="str">
        <f aca="false">IF(G3972&lt;&gt;"",IFERROR(VLOOKUP(G3972,PRODUCTOS!$A:$B,2,0),"!COD NO ENCONTRADO"),"")</f>
        <v/>
      </c>
      <c r="I3972" s="77"/>
      <c r="J3972" s="78"/>
      <c r="K3972" s="79"/>
      <c r="L3972" s="80" t="str">
        <f aca="false">IF(AND(J3972&lt;&gt;"",K3972&lt;&gt;""),J3972*K3972,"")</f>
        <v/>
      </c>
      <c r="M3972" s="81" t="str">
        <f aca="false">IF(L3972&lt;&gt;"",L3972*1.1,"")</f>
        <v/>
      </c>
      <c r="N3972" s="53" t="n">
        <f aca="false">IF(F3972="S",L3972*0.02,0)</f>
        <v>0</v>
      </c>
      <c r="O3972" s="82" t="str">
        <f aca="false">IF(L3972&lt;&gt;"",L3972+N3972,"")</f>
        <v/>
      </c>
      <c r="P3972" s="53" t="str">
        <f aca="false">IF(O3972&lt;&gt;"",O3972*0.1,"")</f>
        <v/>
      </c>
      <c r="Q3972" s="83" t="str">
        <f aca="false">IF(O3972&lt;&gt;"",O3972+P3972,"")</f>
        <v/>
      </c>
      <c r="R3972" s="84"/>
    </row>
    <row r="3973" customFormat="false" ht="15" hidden="false" customHeight="true" outlineLevel="0" collapsed="false">
      <c r="A3973" s="103"/>
      <c r="B3973" s="85"/>
      <c r="C3973" s="86"/>
      <c r="D3973" s="87"/>
      <c r="E3973" s="46" t="str">
        <f aca="false">IF(D3973&lt;&gt;"",IFERROR(VLOOKUP(D3973,PROVEEDORES!$A:$B,2,0),"!COD NO ENCONTRADO"),"")</f>
        <v/>
      </c>
      <c r="F3973" s="88" t="str">
        <f aca="false">IF(D3973&lt;&gt;"",IFERROR(VLOOKUP(D3973,PROVEEDORES!$A:$C,3,0),""),"")</f>
        <v/>
      </c>
      <c r="G3973" s="87"/>
      <c r="H3973" s="46" t="str">
        <f aca="false">IF(G3973&lt;&gt;"",IFERROR(VLOOKUP(G3973,PRODUCTOS!$A:$B,2,0),"!COD NO ENCONTRADO"),"")</f>
        <v/>
      </c>
      <c r="I3973" s="89"/>
      <c r="J3973" s="90"/>
      <c r="K3973" s="91"/>
      <c r="L3973" s="80" t="str">
        <f aca="false">IF(AND(J3973&lt;&gt;"",K3973&lt;&gt;""),J3973*K3973,"")</f>
        <v/>
      </c>
      <c r="M3973" s="81" t="str">
        <f aca="false">IF(L3973&lt;&gt;"",L3973*1.1,"")</f>
        <v/>
      </c>
      <c r="N3973" s="47" t="n">
        <f aca="false">IF(F3973="S",L3973*0.02,0)</f>
        <v>0</v>
      </c>
      <c r="O3973" s="82" t="str">
        <f aca="false">IF(L3973&lt;&gt;"",L3973+N3973,"")</f>
        <v/>
      </c>
      <c r="P3973" s="47" t="str">
        <f aca="false">IF(O3973&lt;&gt;"",O3973*0.1,"")</f>
        <v/>
      </c>
      <c r="Q3973" s="83" t="str">
        <f aca="false">IF(O3973&lt;&gt;"",O3973+P3973,"")</f>
        <v/>
      </c>
      <c r="R3973" s="84"/>
    </row>
    <row r="3974" customFormat="false" ht="15" hidden="false" customHeight="true" outlineLevel="0" collapsed="false">
      <c r="A3974" s="103"/>
      <c r="B3974" s="73"/>
      <c r="C3974" s="74"/>
      <c r="D3974" s="75"/>
      <c r="E3974" s="52" t="str">
        <f aca="false">IF(D3974&lt;&gt;"",IFERROR(VLOOKUP(D3974,PROVEEDORES!$A:$B,2,0),"!COD NO ENCONTRADO"),"")</f>
        <v/>
      </c>
      <c r="F3974" s="76" t="str">
        <f aca="false">IF(D3974&lt;&gt;"",IFERROR(VLOOKUP(D3974,PROVEEDORES!$A:$C,3,0),""),"")</f>
        <v/>
      </c>
      <c r="G3974" s="75"/>
      <c r="H3974" s="52" t="str">
        <f aca="false">IF(G3974&lt;&gt;"",IFERROR(VLOOKUP(G3974,PRODUCTOS!$A:$B,2,0),"!COD NO ENCONTRADO"),"")</f>
        <v/>
      </c>
      <c r="I3974" s="77"/>
      <c r="J3974" s="78"/>
      <c r="K3974" s="79"/>
      <c r="L3974" s="80" t="str">
        <f aca="false">IF(AND(J3974&lt;&gt;"",K3974&lt;&gt;""),J3974*K3974,"")</f>
        <v/>
      </c>
      <c r="M3974" s="81" t="str">
        <f aca="false">IF(L3974&lt;&gt;"",L3974*1.1,"")</f>
        <v/>
      </c>
      <c r="N3974" s="53" t="n">
        <f aca="false">IF(F3974="S",L3974*0.02,0)</f>
        <v>0</v>
      </c>
      <c r="O3974" s="82" t="str">
        <f aca="false">IF(L3974&lt;&gt;"",L3974+N3974,"")</f>
        <v/>
      </c>
      <c r="P3974" s="53" t="str">
        <f aca="false">IF(O3974&lt;&gt;"",O3974*0.1,"")</f>
        <v/>
      </c>
      <c r="Q3974" s="83" t="str">
        <f aca="false">IF(O3974&lt;&gt;"",O3974+P3974,"")</f>
        <v/>
      </c>
      <c r="R3974" s="84"/>
    </row>
    <row r="3975" customFormat="false" ht="15" hidden="false" customHeight="true" outlineLevel="0" collapsed="false">
      <c r="A3975" s="103"/>
      <c r="B3975" s="85"/>
      <c r="C3975" s="86"/>
      <c r="D3975" s="87"/>
      <c r="E3975" s="46" t="str">
        <f aca="false">IF(D3975&lt;&gt;"",IFERROR(VLOOKUP(D3975,PROVEEDORES!$A:$B,2,0),"!COD NO ENCONTRADO"),"")</f>
        <v/>
      </c>
      <c r="F3975" s="88" t="str">
        <f aca="false">IF(D3975&lt;&gt;"",IFERROR(VLOOKUP(D3975,PROVEEDORES!$A:$C,3,0),""),"")</f>
        <v/>
      </c>
      <c r="G3975" s="87"/>
      <c r="H3975" s="46" t="str">
        <f aca="false">IF(G3975&lt;&gt;"",IFERROR(VLOOKUP(G3975,PRODUCTOS!$A:$B,2,0),"!COD NO ENCONTRADO"),"")</f>
        <v/>
      </c>
      <c r="I3975" s="89"/>
      <c r="J3975" s="90"/>
      <c r="K3975" s="91"/>
      <c r="L3975" s="80" t="str">
        <f aca="false">IF(AND(J3975&lt;&gt;"",K3975&lt;&gt;""),J3975*K3975,"")</f>
        <v/>
      </c>
      <c r="M3975" s="81" t="str">
        <f aca="false">IF(L3975&lt;&gt;"",L3975*1.1,"")</f>
        <v/>
      </c>
      <c r="N3975" s="47" t="n">
        <f aca="false">IF(F3975="S",L3975*0.02,0)</f>
        <v>0</v>
      </c>
      <c r="O3975" s="82" t="str">
        <f aca="false">IF(L3975&lt;&gt;"",L3975+N3975,"")</f>
        <v/>
      </c>
      <c r="P3975" s="47" t="str">
        <f aca="false">IF(O3975&lt;&gt;"",O3975*0.1,"")</f>
        <v/>
      </c>
      <c r="Q3975" s="83" t="str">
        <f aca="false">IF(O3975&lt;&gt;"",O3975+P3975,"")</f>
        <v/>
      </c>
      <c r="R3975" s="84"/>
    </row>
    <row r="3976" customFormat="false" ht="15" hidden="false" customHeight="true" outlineLevel="0" collapsed="false">
      <c r="A3976" s="103"/>
      <c r="B3976" s="73"/>
      <c r="C3976" s="74"/>
      <c r="D3976" s="75"/>
      <c r="E3976" s="52" t="str">
        <f aca="false">IF(D3976&lt;&gt;"",IFERROR(VLOOKUP(D3976,PROVEEDORES!$A:$B,2,0),"!COD NO ENCONTRADO"),"")</f>
        <v/>
      </c>
      <c r="F3976" s="76" t="str">
        <f aca="false">IF(D3976&lt;&gt;"",IFERROR(VLOOKUP(D3976,PROVEEDORES!$A:$C,3,0),""),"")</f>
        <v/>
      </c>
      <c r="G3976" s="75"/>
      <c r="H3976" s="52" t="str">
        <f aca="false">IF(G3976&lt;&gt;"",IFERROR(VLOOKUP(G3976,PRODUCTOS!$A:$B,2,0),"!COD NO ENCONTRADO"),"")</f>
        <v/>
      </c>
      <c r="I3976" s="77"/>
      <c r="J3976" s="78"/>
      <c r="K3976" s="79"/>
      <c r="L3976" s="80" t="str">
        <f aca="false">IF(AND(J3976&lt;&gt;"",K3976&lt;&gt;""),J3976*K3976,"")</f>
        <v/>
      </c>
      <c r="M3976" s="81" t="str">
        <f aca="false">IF(L3976&lt;&gt;"",L3976*1.1,"")</f>
        <v/>
      </c>
      <c r="N3976" s="53" t="n">
        <f aca="false">IF(F3976="S",L3976*0.02,0)</f>
        <v>0</v>
      </c>
      <c r="O3976" s="82" t="str">
        <f aca="false">IF(L3976&lt;&gt;"",L3976+N3976,"")</f>
        <v/>
      </c>
      <c r="P3976" s="53" t="str">
        <f aca="false">IF(O3976&lt;&gt;"",O3976*0.1,"")</f>
        <v/>
      </c>
      <c r="Q3976" s="83" t="str">
        <f aca="false">IF(O3976&lt;&gt;"",O3976+P3976,"")</f>
        <v/>
      </c>
      <c r="R3976" s="84"/>
    </row>
    <row r="3977" customFormat="false" ht="15" hidden="false" customHeight="true" outlineLevel="0" collapsed="false">
      <c r="A3977" s="103"/>
      <c r="B3977" s="85"/>
      <c r="C3977" s="86"/>
      <c r="D3977" s="87"/>
      <c r="E3977" s="46" t="str">
        <f aca="false">IF(D3977&lt;&gt;"",IFERROR(VLOOKUP(D3977,PROVEEDORES!$A:$B,2,0),"!COD NO ENCONTRADO"),"")</f>
        <v/>
      </c>
      <c r="F3977" s="88" t="str">
        <f aca="false">IF(D3977&lt;&gt;"",IFERROR(VLOOKUP(D3977,PROVEEDORES!$A:$C,3,0),""),"")</f>
        <v/>
      </c>
      <c r="G3977" s="87"/>
      <c r="H3977" s="46" t="str">
        <f aca="false">IF(G3977&lt;&gt;"",IFERROR(VLOOKUP(G3977,PRODUCTOS!$A:$B,2,0),"!COD NO ENCONTRADO"),"")</f>
        <v/>
      </c>
      <c r="I3977" s="89"/>
      <c r="J3977" s="90"/>
      <c r="K3977" s="91"/>
      <c r="L3977" s="80" t="str">
        <f aca="false">IF(AND(J3977&lt;&gt;"",K3977&lt;&gt;""),J3977*K3977,"")</f>
        <v/>
      </c>
      <c r="M3977" s="81" t="str">
        <f aca="false">IF(L3977&lt;&gt;"",L3977*1.1,"")</f>
        <v/>
      </c>
      <c r="N3977" s="47" t="n">
        <f aca="false">IF(F3977="S",L3977*0.02,0)</f>
        <v>0</v>
      </c>
      <c r="O3977" s="82" t="str">
        <f aca="false">IF(L3977&lt;&gt;"",L3977+N3977,"")</f>
        <v/>
      </c>
      <c r="P3977" s="47" t="str">
        <f aca="false">IF(O3977&lt;&gt;"",O3977*0.1,"")</f>
        <v/>
      </c>
      <c r="Q3977" s="83" t="str">
        <f aca="false">IF(O3977&lt;&gt;"",O3977+P3977,"")</f>
        <v/>
      </c>
      <c r="R3977" s="84"/>
    </row>
    <row r="3978" customFormat="false" ht="15" hidden="false" customHeight="true" outlineLevel="0" collapsed="false">
      <c r="A3978" s="103"/>
      <c r="B3978" s="73"/>
      <c r="C3978" s="74"/>
      <c r="D3978" s="75"/>
      <c r="E3978" s="52" t="str">
        <f aca="false">IF(D3978&lt;&gt;"",IFERROR(VLOOKUP(D3978,PROVEEDORES!$A:$B,2,0),"!COD NO ENCONTRADO"),"")</f>
        <v/>
      </c>
      <c r="F3978" s="76" t="str">
        <f aca="false">IF(D3978&lt;&gt;"",IFERROR(VLOOKUP(D3978,PROVEEDORES!$A:$C,3,0),""),"")</f>
        <v/>
      </c>
      <c r="G3978" s="75"/>
      <c r="H3978" s="52" t="str">
        <f aca="false">IF(G3978&lt;&gt;"",IFERROR(VLOOKUP(G3978,PRODUCTOS!$A:$B,2,0),"!COD NO ENCONTRADO"),"")</f>
        <v/>
      </c>
      <c r="I3978" s="77"/>
      <c r="J3978" s="78"/>
      <c r="K3978" s="79"/>
      <c r="L3978" s="80" t="str">
        <f aca="false">IF(AND(J3978&lt;&gt;"",K3978&lt;&gt;""),J3978*K3978,"")</f>
        <v/>
      </c>
      <c r="M3978" s="81" t="str">
        <f aca="false">IF(L3978&lt;&gt;"",L3978*1.1,"")</f>
        <v/>
      </c>
      <c r="N3978" s="53" t="n">
        <f aca="false">IF(F3978="S",L3978*0.02,0)</f>
        <v>0</v>
      </c>
      <c r="O3978" s="82" t="str">
        <f aca="false">IF(L3978&lt;&gt;"",L3978+N3978,"")</f>
        <v/>
      </c>
      <c r="P3978" s="53" t="str">
        <f aca="false">IF(O3978&lt;&gt;"",O3978*0.1,"")</f>
        <v/>
      </c>
      <c r="Q3978" s="83" t="str">
        <f aca="false">IF(O3978&lt;&gt;"",O3978+P3978,"")</f>
        <v/>
      </c>
      <c r="R3978" s="84"/>
    </row>
    <row r="3979" customFormat="false" ht="15" hidden="false" customHeight="true" outlineLevel="0" collapsed="false">
      <c r="A3979" s="103"/>
      <c r="B3979" s="85"/>
      <c r="C3979" s="86"/>
      <c r="D3979" s="87"/>
      <c r="E3979" s="46" t="str">
        <f aca="false">IF(D3979&lt;&gt;"",IFERROR(VLOOKUP(D3979,PROVEEDORES!$A:$B,2,0),"!COD NO ENCONTRADO"),"")</f>
        <v/>
      </c>
      <c r="F3979" s="88" t="str">
        <f aca="false">IF(D3979&lt;&gt;"",IFERROR(VLOOKUP(D3979,PROVEEDORES!$A:$C,3,0),""),"")</f>
        <v/>
      </c>
      <c r="G3979" s="87"/>
      <c r="H3979" s="46" t="str">
        <f aca="false">IF(G3979&lt;&gt;"",IFERROR(VLOOKUP(G3979,PRODUCTOS!$A:$B,2,0),"!COD NO ENCONTRADO"),"")</f>
        <v/>
      </c>
      <c r="I3979" s="89"/>
      <c r="J3979" s="90"/>
      <c r="K3979" s="91"/>
      <c r="L3979" s="80" t="str">
        <f aca="false">IF(AND(J3979&lt;&gt;"",K3979&lt;&gt;""),J3979*K3979,"")</f>
        <v/>
      </c>
      <c r="M3979" s="81" t="str">
        <f aca="false">IF(L3979&lt;&gt;"",L3979*1.1,"")</f>
        <v/>
      </c>
      <c r="N3979" s="47" t="n">
        <f aca="false">IF(F3979="S",L3979*0.02,0)</f>
        <v>0</v>
      </c>
      <c r="O3979" s="82" t="str">
        <f aca="false">IF(L3979&lt;&gt;"",L3979+N3979,"")</f>
        <v/>
      </c>
      <c r="P3979" s="47" t="str">
        <f aca="false">IF(O3979&lt;&gt;"",O3979*0.1,"")</f>
        <v/>
      </c>
      <c r="Q3979" s="83" t="str">
        <f aca="false">IF(O3979&lt;&gt;"",O3979+P3979,"")</f>
        <v/>
      </c>
      <c r="R3979" s="84"/>
    </row>
    <row r="3980" customFormat="false" ht="15" hidden="false" customHeight="true" outlineLevel="0" collapsed="false">
      <c r="A3980" s="103"/>
      <c r="B3980" s="73"/>
      <c r="C3980" s="74"/>
      <c r="D3980" s="75"/>
      <c r="E3980" s="52" t="str">
        <f aca="false">IF(D3980&lt;&gt;"",IFERROR(VLOOKUP(D3980,PROVEEDORES!$A:$B,2,0),"!COD NO ENCONTRADO"),"")</f>
        <v/>
      </c>
      <c r="F3980" s="76" t="str">
        <f aca="false">IF(D3980&lt;&gt;"",IFERROR(VLOOKUP(D3980,PROVEEDORES!$A:$C,3,0),""),"")</f>
        <v/>
      </c>
      <c r="G3980" s="75"/>
      <c r="H3980" s="52" t="str">
        <f aca="false">IF(G3980&lt;&gt;"",IFERROR(VLOOKUP(G3980,PRODUCTOS!$A:$B,2,0),"!COD NO ENCONTRADO"),"")</f>
        <v/>
      </c>
      <c r="I3980" s="77"/>
      <c r="J3980" s="78"/>
      <c r="K3980" s="79"/>
      <c r="L3980" s="80" t="str">
        <f aca="false">IF(AND(J3980&lt;&gt;"",K3980&lt;&gt;""),J3980*K3980,"")</f>
        <v/>
      </c>
      <c r="M3980" s="81" t="str">
        <f aca="false">IF(L3980&lt;&gt;"",L3980*1.1,"")</f>
        <v/>
      </c>
      <c r="N3980" s="53" t="n">
        <f aca="false">IF(F3980="S",L3980*0.02,0)</f>
        <v>0</v>
      </c>
      <c r="O3980" s="82" t="str">
        <f aca="false">IF(L3980&lt;&gt;"",L3980+N3980,"")</f>
        <v/>
      </c>
      <c r="P3980" s="53" t="str">
        <f aca="false">IF(O3980&lt;&gt;"",O3980*0.1,"")</f>
        <v/>
      </c>
      <c r="Q3980" s="83" t="str">
        <f aca="false">IF(O3980&lt;&gt;"",O3980+P3980,"")</f>
        <v/>
      </c>
      <c r="R3980" s="84"/>
    </row>
    <row r="3981" customFormat="false" ht="15" hidden="false" customHeight="true" outlineLevel="0" collapsed="false">
      <c r="A3981" s="103"/>
      <c r="B3981" s="85"/>
      <c r="C3981" s="86"/>
      <c r="D3981" s="87"/>
      <c r="E3981" s="46" t="str">
        <f aca="false">IF(D3981&lt;&gt;"",IFERROR(VLOOKUP(D3981,PROVEEDORES!$A:$B,2,0),"!COD NO ENCONTRADO"),"")</f>
        <v/>
      </c>
      <c r="F3981" s="88" t="str">
        <f aca="false">IF(D3981&lt;&gt;"",IFERROR(VLOOKUP(D3981,PROVEEDORES!$A:$C,3,0),""),"")</f>
        <v/>
      </c>
      <c r="G3981" s="87"/>
      <c r="H3981" s="46" t="str">
        <f aca="false">IF(G3981&lt;&gt;"",IFERROR(VLOOKUP(G3981,PRODUCTOS!$A:$B,2,0),"!COD NO ENCONTRADO"),"")</f>
        <v/>
      </c>
      <c r="I3981" s="89"/>
      <c r="J3981" s="90"/>
      <c r="K3981" s="91"/>
      <c r="L3981" s="80" t="str">
        <f aca="false">IF(AND(J3981&lt;&gt;"",K3981&lt;&gt;""),J3981*K3981,"")</f>
        <v/>
      </c>
      <c r="M3981" s="81" t="str">
        <f aca="false">IF(L3981&lt;&gt;"",L3981*1.1,"")</f>
        <v/>
      </c>
      <c r="N3981" s="47" t="n">
        <f aca="false">IF(F3981="S",L3981*0.02,0)</f>
        <v>0</v>
      </c>
      <c r="O3981" s="82" t="str">
        <f aca="false">IF(L3981&lt;&gt;"",L3981+N3981,"")</f>
        <v/>
      </c>
      <c r="P3981" s="47" t="str">
        <f aca="false">IF(O3981&lt;&gt;"",O3981*0.1,"")</f>
        <v/>
      </c>
      <c r="Q3981" s="83" t="str">
        <f aca="false">IF(O3981&lt;&gt;"",O3981+P3981,"")</f>
        <v/>
      </c>
      <c r="R3981" s="84"/>
    </row>
    <row r="3982" customFormat="false" ht="15" hidden="false" customHeight="true" outlineLevel="0" collapsed="false">
      <c r="A3982" s="103"/>
      <c r="B3982" s="73"/>
      <c r="C3982" s="74"/>
      <c r="D3982" s="75"/>
      <c r="E3982" s="52" t="str">
        <f aca="false">IF(D3982&lt;&gt;"",IFERROR(VLOOKUP(D3982,PROVEEDORES!$A:$B,2,0),"!COD NO ENCONTRADO"),"")</f>
        <v/>
      </c>
      <c r="F3982" s="76" t="str">
        <f aca="false">IF(D3982&lt;&gt;"",IFERROR(VLOOKUP(D3982,PROVEEDORES!$A:$C,3,0),""),"")</f>
        <v/>
      </c>
      <c r="G3982" s="75"/>
      <c r="H3982" s="52" t="str">
        <f aca="false">IF(G3982&lt;&gt;"",IFERROR(VLOOKUP(G3982,PRODUCTOS!$A:$B,2,0),"!COD NO ENCONTRADO"),"")</f>
        <v/>
      </c>
      <c r="I3982" s="77"/>
      <c r="J3982" s="78"/>
      <c r="K3982" s="79"/>
      <c r="L3982" s="80" t="str">
        <f aca="false">IF(AND(J3982&lt;&gt;"",K3982&lt;&gt;""),J3982*K3982,"")</f>
        <v/>
      </c>
      <c r="M3982" s="81" t="str">
        <f aca="false">IF(L3982&lt;&gt;"",L3982*1.1,"")</f>
        <v/>
      </c>
      <c r="N3982" s="53" t="n">
        <f aca="false">IF(F3982="S",L3982*0.02,0)</f>
        <v>0</v>
      </c>
      <c r="O3982" s="82" t="str">
        <f aca="false">IF(L3982&lt;&gt;"",L3982+N3982,"")</f>
        <v/>
      </c>
      <c r="P3982" s="53" t="str">
        <f aca="false">IF(O3982&lt;&gt;"",O3982*0.1,"")</f>
        <v/>
      </c>
      <c r="Q3982" s="83" t="str">
        <f aca="false">IF(O3982&lt;&gt;"",O3982+P3982,"")</f>
        <v/>
      </c>
      <c r="R3982" s="84"/>
    </row>
    <row r="3983" customFormat="false" ht="15" hidden="false" customHeight="true" outlineLevel="0" collapsed="false">
      <c r="A3983" s="103"/>
      <c r="B3983" s="85"/>
      <c r="C3983" s="86"/>
      <c r="D3983" s="87"/>
      <c r="E3983" s="46" t="str">
        <f aca="false">IF(D3983&lt;&gt;"",IFERROR(VLOOKUP(D3983,PROVEEDORES!$A:$B,2,0),"!COD NO ENCONTRADO"),"")</f>
        <v/>
      </c>
      <c r="F3983" s="88" t="str">
        <f aca="false">IF(D3983&lt;&gt;"",IFERROR(VLOOKUP(D3983,PROVEEDORES!$A:$C,3,0),""),"")</f>
        <v/>
      </c>
      <c r="G3983" s="87"/>
      <c r="H3983" s="46" t="str">
        <f aca="false">IF(G3983&lt;&gt;"",IFERROR(VLOOKUP(G3983,PRODUCTOS!$A:$B,2,0),"!COD NO ENCONTRADO"),"")</f>
        <v/>
      </c>
      <c r="I3983" s="89"/>
      <c r="J3983" s="90"/>
      <c r="K3983" s="91"/>
      <c r="L3983" s="80" t="str">
        <f aca="false">IF(AND(J3983&lt;&gt;"",K3983&lt;&gt;""),J3983*K3983,"")</f>
        <v/>
      </c>
      <c r="M3983" s="81" t="str">
        <f aca="false">IF(L3983&lt;&gt;"",L3983*1.1,"")</f>
        <v/>
      </c>
      <c r="N3983" s="47" t="n">
        <f aca="false">IF(F3983="S",L3983*0.02,0)</f>
        <v>0</v>
      </c>
      <c r="O3983" s="82" t="str">
        <f aca="false">IF(L3983&lt;&gt;"",L3983+N3983,"")</f>
        <v/>
      </c>
      <c r="P3983" s="47" t="str">
        <f aca="false">IF(O3983&lt;&gt;"",O3983*0.1,"")</f>
        <v/>
      </c>
      <c r="Q3983" s="83" t="str">
        <f aca="false">IF(O3983&lt;&gt;"",O3983+P3983,"")</f>
        <v/>
      </c>
      <c r="R3983" s="84"/>
    </row>
    <row r="3984" customFormat="false" ht="15" hidden="false" customHeight="true" outlineLevel="0" collapsed="false">
      <c r="A3984" s="103"/>
      <c r="B3984" s="73"/>
      <c r="C3984" s="74"/>
      <c r="D3984" s="75"/>
      <c r="E3984" s="52" t="str">
        <f aca="false">IF(D3984&lt;&gt;"",IFERROR(VLOOKUP(D3984,PROVEEDORES!$A:$B,2,0),"!COD NO ENCONTRADO"),"")</f>
        <v/>
      </c>
      <c r="F3984" s="76" t="str">
        <f aca="false">IF(D3984&lt;&gt;"",IFERROR(VLOOKUP(D3984,PROVEEDORES!$A:$C,3,0),""),"")</f>
        <v/>
      </c>
      <c r="G3984" s="75"/>
      <c r="H3984" s="52" t="str">
        <f aca="false">IF(G3984&lt;&gt;"",IFERROR(VLOOKUP(G3984,PRODUCTOS!$A:$B,2,0),"!COD NO ENCONTRADO"),"")</f>
        <v/>
      </c>
      <c r="I3984" s="77"/>
      <c r="J3984" s="78"/>
      <c r="K3984" s="79"/>
      <c r="L3984" s="80" t="str">
        <f aca="false">IF(AND(J3984&lt;&gt;"",K3984&lt;&gt;""),J3984*K3984,"")</f>
        <v/>
      </c>
      <c r="M3984" s="81" t="str">
        <f aca="false">IF(L3984&lt;&gt;"",L3984*1.1,"")</f>
        <v/>
      </c>
      <c r="N3984" s="53" t="n">
        <f aca="false">IF(F3984="S",L3984*0.02,0)</f>
        <v>0</v>
      </c>
      <c r="O3984" s="82" t="str">
        <f aca="false">IF(L3984&lt;&gt;"",L3984+N3984,"")</f>
        <v/>
      </c>
      <c r="P3984" s="53" t="str">
        <f aca="false">IF(O3984&lt;&gt;"",O3984*0.1,"")</f>
        <v/>
      </c>
      <c r="Q3984" s="83" t="str">
        <f aca="false">IF(O3984&lt;&gt;"",O3984+P3984,"")</f>
        <v/>
      </c>
      <c r="R3984" s="84"/>
    </row>
    <row r="3985" customFormat="false" ht="15" hidden="false" customHeight="true" outlineLevel="0" collapsed="false">
      <c r="A3985" s="103"/>
      <c r="B3985" s="85"/>
      <c r="C3985" s="86"/>
      <c r="D3985" s="87"/>
      <c r="E3985" s="46" t="str">
        <f aca="false">IF(D3985&lt;&gt;"",IFERROR(VLOOKUP(D3985,PROVEEDORES!$A:$B,2,0),"!COD NO ENCONTRADO"),"")</f>
        <v/>
      </c>
      <c r="F3985" s="88" t="str">
        <f aca="false">IF(D3985&lt;&gt;"",IFERROR(VLOOKUP(D3985,PROVEEDORES!$A:$C,3,0),""),"")</f>
        <v/>
      </c>
      <c r="G3985" s="87"/>
      <c r="H3985" s="46" t="str">
        <f aca="false">IF(G3985&lt;&gt;"",IFERROR(VLOOKUP(G3985,PRODUCTOS!$A:$B,2,0),"!COD NO ENCONTRADO"),"")</f>
        <v/>
      </c>
      <c r="I3985" s="89"/>
      <c r="J3985" s="90"/>
      <c r="K3985" s="91"/>
      <c r="L3985" s="80" t="str">
        <f aca="false">IF(AND(J3985&lt;&gt;"",K3985&lt;&gt;""),J3985*K3985,"")</f>
        <v/>
      </c>
      <c r="M3985" s="81" t="str">
        <f aca="false">IF(L3985&lt;&gt;"",L3985*1.1,"")</f>
        <v/>
      </c>
      <c r="N3985" s="47" t="n">
        <f aca="false">IF(F3985="S",L3985*0.02,0)</f>
        <v>0</v>
      </c>
      <c r="O3985" s="82" t="str">
        <f aca="false">IF(L3985&lt;&gt;"",L3985+N3985,"")</f>
        <v/>
      </c>
      <c r="P3985" s="47" t="str">
        <f aca="false">IF(O3985&lt;&gt;"",O3985*0.1,"")</f>
        <v/>
      </c>
      <c r="Q3985" s="83" t="str">
        <f aca="false">IF(O3985&lt;&gt;"",O3985+P3985,"")</f>
        <v/>
      </c>
      <c r="R3985" s="84"/>
    </row>
    <row r="3986" customFormat="false" ht="15" hidden="false" customHeight="true" outlineLevel="0" collapsed="false">
      <c r="A3986" s="103"/>
      <c r="B3986" s="73"/>
      <c r="C3986" s="74"/>
      <c r="D3986" s="75"/>
      <c r="E3986" s="52" t="str">
        <f aca="false">IF(D3986&lt;&gt;"",IFERROR(VLOOKUP(D3986,PROVEEDORES!$A:$B,2,0),"!COD NO ENCONTRADO"),"")</f>
        <v/>
      </c>
      <c r="F3986" s="76" t="str">
        <f aca="false">IF(D3986&lt;&gt;"",IFERROR(VLOOKUP(D3986,PROVEEDORES!$A:$C,3,0),""),"")</f>
        <v/>
      </c>
      <c r="G3986" s="75"/>
      <c r="H3986" s="52" t="str">
        <f aca="false">IF(G3986&lt;&gt;"",IFERROR(VLOOKUP(G3986,PRODUCTOS!$A:$B,2,0),"!COD NO ENCONTRADO"),"")</f>
        <v/>
      </c>
      <c r="I3986" s="77"/>
      <c r="J3986" s="78"/>
      <c r="K3986" s="79"/>
      <c r="L3986" s="80" t="str">
        <f aca="false">IF(AND(J3986&lt;&gt;"",K3986&lt;&gt;""),J3986*K3986,"")</f>
        <v/>
      </c>
      <c r="M3986" s="81" t="str">
        <f aca="false">IF(L3986&lt;&gt;"",L3986*1.1,"")</f>
        <v/>
      </c>
      <c r="N3986" s="53" t="n">
        <f aca="false">IF(F3986="S",L3986*0.02,0)</f>
        <v>0</v>
      </c>
      <c r="O3986" s="82" t="str">
        <f aca="false">IF(L3986&lt;&gt;"",L3986+N3986,"")</f>
        <v/>
      </c>
      <c r="P3986" s="53" t="str">
        <f aca="false">IF(O3986&lt;&gt;"",O3986*0.1,"")</f>
        <v/>
      </c>
      <c r="Q3986" s="83" t="str">
        <f aca="false">IF(O3986&lt;&gt;"",O3986+P3986,"")</f>
        <v/>
      </c>
      <c r="R3986" s="84"/>
    </row>
    <row r="3987" customFormat="false" ht="15" hidden="false" customHeight="true" outlineLevel="0" collapsed="false">
      <c r="A3987" s="103"/>
      <c r="B3987" s="85"/>
      <c r="C3987" s="86"/>
      <c r="D3987" s="87"/>
      <c r="E3987" s="46" t="str">
        <f aca="false">IF(D3987&lt;&gt;"",IFERROR(VLOOKUP(D3987,PROVEEDORES!$A:$B,2,0),"!COD NO ENCONTRADO"),"")</f>
        <v/>
      </c>
      <c r="F3987" s="88" t="str">
        <f aca="false">IF(D3987&lt;&gt;"",IFERROR(VLOOKUP(D3987,PROVEEDORES!$A:$C,3,0),""),"")</f>
        <v/>
      </c>
      <c r="G3987" s="87"/>
      <c r="H3987" s="46" t="str">
        <f aca="false">IF(G3987&lt;&gt;"",IFERROR(VLOOKUP(G3987,PRODUCTOS!$A:$B,2,0),"!COD NO ENCONTRADO"),"")</f>
        <v/>
      </c>
      <c r="I3987" s="89"/>
      <c r="J3987" s="90"/>
      <c r="K3987" s="91"/>
      <c r="L3987" s="80" t="str">
        <f aca="false">IF(AND(J3987&lt;&gt;"",K3987&lt;&gt;""),J3987*K3987,"")</f>
        <v/>
      </c>
      <c r="M3987" s="81" t="str">
        <f aca="false">IF(L3987&lt;&gt;"",L3987*1.1,"")</f>
        <v/>
      </c>
      <c r="N3987" s="47" t="n">
        <f aca="false">IF(F3987="S",L3987*0.02,0)</f>
        <v>0</v>
      </c>
      <c r="O3987" s="82" t="str">
        <f aca="false">IF(L3987&lt;&gt;"",L3987+N3987,"")</f>
        <v/>
      </c>
      <c r="P3987" s="47" t="str">
        <f aca="false">IF(O3987&lt;&gt;"",O3987*0.1,"")</f>
        <v/>
      </c>
      <c r="Q3987" s="83" t="str">
        <f aca="false">IF(O3987&lt;&gt;"",O3987+P3987,"")</f>
        <v/>
      </c>
      <c r="R3987" s="84"/>
    </row>
    <row r="3988" customFormat="false" ht="15" hidden="false" customHeight="true" outlineLevel="0" collapsed="false">
      <c r="A3988" s="103"/>
      <c r="B3988" s="73"/>
      <c r="C3988" s="74"/>
      <c r="D3988" s="75"/>
      <c r="E3988" s="52" t="str">
        <f aca="false">IF(D3988&lt;&gt;"",IFERROR(VLOOKUP(D3988,PROVEEDORES!$A:$B,2,0),"!COD NO ENCONTRADO"),"")</f>
        <v/>
      </c>
      <c r="F3988" s="76" t="str">
        <f aca="false">IF(D3988&lt;&gt;"",IFERROR(VLOOKUP(D3988,PROVEEDORES!$A:$C,3,0),""),"")</f>
        <v/>
      </c>
      <c r="G3988" s="75"/>
      <c r="H3988" s="52" t="str">
        <f aca="false">IF(G3988&lt;&gt;"",IFERROR(VLOOKUP(G3988,PRODUCTOS!$A:$B,2,0),"!COD NO ENCONTRADO"),"")</f>
        <v/>
      </c>
      <c r="I3988" s="77"/>
      <c r="J3988" s="78"/>
      <c r="K3988" s="79"/>
      <c r="L3988" s="80" t="str">
        <f aca="false">IF(AND(J3988&lt;&gt;"",K3988&lt;&gt;""),J3988*K3988,"")</f>
        <v/>
      </c>
      <c r="M3988" s="81" t="str">
        <f aca="false">IF(L3988&lt;&gt;"",L3988*1.1,"")</f>
        <v/>
      </c>
      <c r="N3988" s="53" t="n">
        <f aca="false">IF(F3988="S",L3988*0.02,0)</f>
        <v>0</v>
      </c>
      <c r="O3988" s="82" t="str">
        <f aca="false">IF(L3988&lt;&gt;"",L3988+N3988,"")</f>
        <v/>
      </c>
      <c r="P3988" s="53" t="str">
        <f aca="false">IF(O3988&lt;&gt;"",O3988*0.1,"")</f>
        <v/>
      </c>
      <c r="Q3988" s="83" t="str">
        <f aca="false">IF(O3988&lt;&gt;"",O3988+P3988,"")</f>
        <v/>
      </c>
      <c r="R3988" s="84"/>
    </row>
    <row r="3989" customFormat="false" ht="15" hidden="false" customHeight="true" outlineLevel="0" collapsed="false">
      <c r="A3989" s="103"/>
      <c r="B3989" s="85"/>
      <c r="C3989" s="86"/>
      <c r="D3989" s="87"/>
      <c r="E3989" s="46" t="str">
        <f aca="false">IF(D3989&lt;&gt;"",IFERROR(VLOOKUP(D3989,PROVEEDORES!$A:$B,2,0),"!COD NO ENCONTRADO"),"")</f>
        <v/>
      </c>
      <c r="F3989" s="88" t="str">
        <f aca="false">IF(D3989&lt;&gt;"",IFERROR(VLOOKUP(D3989,PROVEEDORES!$A:$C,3,0),""),"")</f>
        <v/>
      </c>
      <c r="G3989" s="87"/>
      <c r="H3989" s="46" t="str">
        <f aca="false">IF(G3989&lt;&gt;"",IFERROR(VLOOKUP(G3989,PRODUCTOS!$A:$B,2,0),"!COD NO ENCONTRADO"),"")</f>
        <v/>
      </c>
      <c r="I3989" s="89"/>
      <c r="J3989" s="90"/>
      <c r="K3989" s="91"/>
      <c r="L3989" s="80" t="str">
        <f aca="false">IF(AND(J3989&lt;&gt;"",K3989&lt;&gt;""),J3989*K3989,"")</f>
        <v/>
      </c>
      <c r="M3989" s="81" t="str">
        <f aca="false">IF(L3989&lt;&gt;"",L3989*1.1,"")</f>
        <v/>
      </c>
      <c r="N3989" s="47" t="n">
        <f aca="false">IF(F3989="S",L3989*0.02,0)</f>
        <v>0</v>
      </c>
      <c r="O3989" s="82" t="str">
        <f aca="false">IF(L3989&lt;&gt;"",L3989+N3989,"")</f>
        <v/>
      </c>
      <c r="P3989" s="47" t="str">
        <f aca="false">IF(O3989&lt;&gt;"",O3989*0.1,"")</f>
        <v/>
      </c>
      <c r="Q3989" s="83" t="str">
        <f aca="false">IF(O3989&lt;&gt;"",O3989+P3989,"")</f>
        <v/>
      </c>
      <c r="R3989" s="84"/>
    </row>
    <row r="3990" customFormat="false" ht="15" hidden="false" customHeight="true" outlineLevel="0" collapsed="false">
      <c r="A3990" s="103"/>
      <c r="B3990" s="73"/>
      <c r="C3990" s="74"/>
      <c r="D3990" s="75"/>
      <c r="E3990" s="52" t="str">
        <f aca="false">IF(D3990&lt;&gt;"",IFERROR(VLOOKUP(D3990,PROVEEDORES!$A:$B,2,0),"!COD NO ENCONTRADO"),"")</f>
        <v/>
      </c>
      <c r="F3990" s="76" t="str">
        <f aca="false">IF(D3990&lt;&gt;"",IFERROR(VLOOKUP(D3990,PROVEEDORES!$A:$C,3,0),""),"")</f>
        <v/>
      </c>
      <c r="G3990" s="75"/>
      <c r="H3990" s="52" t="str">
        <f aca="false">IF(G3990&lt;&gt;"",IFERROR(VLOOKUP(G3990,PRODUCTOS!$A:$B,2,0),"!COD NO ENCONTRADO"),"")</f>
        <v/>
      </c>
      <c r="I3990" s="77"/>
      <c r="J3990" s="78"/>
      <c r="K3990" s="79"/>
      <c r="L3990" s="80" t="str">
        <f aca="false">IF(AND(J3990&lt;&gt;"",K3990&lt;&gt;""),J3990*K3990,"")</f>
        <v/>
      </c>
      <c r="M3990" s="81" t="str">
        <f aca="false">IF(L3990&lt;&gt;"",L3990*1.1,"")</f>
        <v/>
      </c>
      <c r="N3990" s="53" t="n">
        <f aca="false">IF(F3990="S",L3990*0.02,0)</f>
        <v>0</v>
      </c>
      <c r="O3990" s="82" t="str">
        <f aca="false">IF(L3990&lt;&gt;"",L3990+N3990,"")</f>
        <v/>
      </c>
      <c r="P3990" s="53" t="str">
        <f aca="false">IF(O3990&lt;&gt;"",O3990*0.1,"")</f>
        <v/>
      </c>
      <c r="Q3990" s="83" t="str">
        <f aca="false">IF(O3990&lt;&gt;"",O3990+P3990,"")</f>
        <v/>
      </c>
      <c r="R3990" s="84"/>
    </row>
    <row r="3991" customFormat="false" ht="15" hidden="false" customHeight="true" outlineLevel="0" collapsed="false">
      <c r="A3991" s="103"/>
      <c r="B3991" s="85"/>
      <c r="C3991" s="86"/>
      <c r="D3991" s="87"/>
      <c r="E3991" s="46" t="str">
        <f aca="false">IF(D3991&lt;&gt;"",IFERROR(VLOOKUP(D3991,PROVEEDORES!$A:$B,2,0),"!COD NO ENCONTRADO"),"")</f>
        <v/>
      </c>
      <c r="F3991" s="88" t="str">
        <f aca="false">IF(D3991&lt;&gt;"",IFERROR(VLOOKUP(D3991,PROVEEDORES!$A:$C,3,0),""),"")</f>
        <v/>
      </c>
      <c r="G3991" s="87"/>
      <c r="H3991" s="46" t="str">
        <f aca="false">IF(G3991&lt;&gt;"",IFERROR(VLOOKUP(G3991,PRODUCTOS!$A:$B,2,0),"!COD NO ENCONTRADO"),"")</f>
        <v/>
      </c>
      <c r="I3991" s="89"/>
      <c r="J3991" s="90"/>
      <c r="K3991" s="91"/>
      <c r="L3991" s="80" t="str">
        <f aca="false">IF(AND(J3991&lt;&gt;"",K3991&lt;&gt;""),J3991*K3991,"")</f>
        <v/>
      </c>
      <c r="M3991" s="81" t="str">
        <f aca="false">IF(L3991&lt;&gt;"",L3991*1.1,"")</f>
        <v/>
      </c>
      <c r="N3991" s="47" t="n">
        <f aca="false">IF(F3991="S",L3991*0.02,0)</f>
        <v>0</v>
      </c>
      <c r="O3991" s="82" t="str">
        <f aca="false">IF(L3991&lt;&gt;"",L3991+N3991,"")</f>
        <v/>
      </c>
      <c r="P3991" s="47" t="str">
        <f aca="false">IF(O3991&lt;&gt;"",O3991*0.1,"")</f>
        <v/>
      </c>
      <c r="Q3991" s="83" t="str">
        <f aca="false">IF(O3991&lt;&gt;"",O3991+P3991,"")</f>
        <v/>
      </c>
      <c r="R3991" s="84"/>
    </row>
    <row r="3992" customFormat="false" ht="15" hidden="false" customHeight="true" outlineLevel="0" collapsed="false">
      <c r="A3992" s="103"/>
      <c r="B3992" s="73"/>
      <c r="C3992" s="74"/>
      <c r="D3992" s="75"/>
      <c r="E3992" s="52" t="str">
        <f aca="false">IF(D3992&lt;&gt;"",IFERROR(VLOOKUP(D3992,PROVEEDORES!$A:$B,2,0),"!COD NO ENCONTRADO"),"")</f>
        <v/>
      </c>
      <c r="F3992" s="76" t="str">
        <f aca="false">IF(D3992&lt;&gt;"",IFERROR(VLOOKUP(D3992,PROVEEDORES!$A:$C,3,0),""),"")</f>
        <v/>
      </c>
      <c r="G3992" s="75"/>
      <c r="H3992" s="52" t="str">
        <f aca="false">IF(G3992&lt;&gt;"",IFERROR(VLOOKUP(G3992,PRODUCTOS!$A:$B,2,0),"!COD NO ENCONTRADO"),"")</f>
        <v/>
      </c>
      <c r="I3992" s="77"/>
      <c r="J3992" s="78"/>
      <c r="K3992" s="79"/>
      <c r="L3992" s="80" t="str">
        <f aca="false">IF(AND(J3992&lt;&gt;"",K3992&lt;&gt;""),J3992*K3992,"")</f>
        <v/>
      </c>
      <c r="M3992" s="81" t="str">
        <f aca="false">IF(L3992&lt;&gt;"",L3992*1.1,"")</f>
        <v/>
      </c>
      <c r="N3992" s="53" t="n">
        <f aca="false">IF(F3992="S",L3992*0.02,0)</f>
        <v>0</v>
      </c>
      <c r="O3992" s="82" t="str">
        <f aca="false">IF(L3992&lt;&gt;"",L3992+N3992,"")</f>
        <v/>
      </c>
      <c r="P3992" s="53" t="str">
        <f aca="false">IF(O3992&lt;&gt;"",O3992*0.1,"")</f>
        <v/>
      </c>
      <c r="Q3992" s="83" t="str">
        <f aca="false">IF(O3992&lt;&gt;"",O3992+P3992,"")</f>
        <v/>
      </c>
      <c r="R3992" s="84"/>
    </row>
    <row r="3993" customFormat="false" ht="15" hidden="false" customHeight="true" outlineLevel="0" collapsed="false">
      <c r="A3993" s="103"/>
      <c r="B3993" s="85"/>
      <c r="C3993" s="86"/>
      <c r="D3993" s="87"/>
      <c r="E3993" s="46" t="str">
        <f aca="false">IF(D3993&lt;&gt;"",IFERROR(VLOOKUP(D3993,PROVEEDORES!$A:$B,2,0),"!COD NO ENCONTRADO"),"")</f>
        <v/>
      </c>
      <c r="F3993" s="88" t="str">
        <f aca="false">IF(D3993&lt;&gt;"",IFERROR(VLOOKUP(D3993,PROVEEDORES!$A:$C,3,0),""),"")</f>
        <v/>
      </c>
      <c r="G3993" s="87"/>
      <c r="H3993" s="46" t="str">
        <f aca="false">IF(G3993&lt;&gt;"",IFERROR(VLOOKUP(G3993,PRODUCTOS!$A:$B,2,0),"!COD NO ENCONTRADO"),"")</f>
        <v/>
      </c>
      <c r="I3993" s="89"/>
      <c r="J3993" s="90"/>
      <c r="K3993" s="91"/>
      <c r="L3993" s="80" t="str">
        <f aca="false">IF(AND(J3993&lt;&gt;"",K3993&lt;&gt;""),J3993*K3993,"")</f>
        <v/>
      </c>
      <c r="M3993" s="81" t="str">
        <f aca="false">IF(L3993&lt;&gt;"",L3993*1.1,"")</f>
        <v/>
      </c>
      <c r="N3993" s="47" t="n">
        <f aca="false">IF(F3993="S",L3993*0.02,0)</f>
        <v>0</v>
      </c>
      <c r="O3993" s="82" t="str">
        <f aca="false">IF(L3993&lt;&gt;"",L3993+N3993,"")</f>
        <v/>
      </c>
      <c r="P3993" s="47" t="str">
        <f aca="false">IF(O3993&lt;&gt;"",O3993*0.1,"")</f>
        <v/>
      </c>
      <c r="Q3993" s="83" t="str">
        <f aca="false">IF(O3993&lt;&gt;"",O3993+P3993,"")</f>
        <v/>
      </c>
      <c r="R3993" s="84"/>
    </row>
    <row r="3994" customFormat="false" ht="15" hidden="false" customHeight="true" outlineLevel="0" collapsed="false">
      <c r="A3994" s="103"/>
      <c r="B3994" s="73"/>
      <c r="C3994" s="74"/>
      <c r="D3994" s="75"/>
      <c r="E3994" s="52" t="str">
        <f aca="false">IF(D3994&lt;&gt;"",IFERROR(VLOOKUP(D3994,PROVEEDORES!$A:$B,2,0),"!COD NO ENCONTRADO"),"")</f>
        <v/>
      </c>
      <c r="F3994" s="76" t="str">
        <f aca="false">IF(D3994&lt;&gt;"",IFERROR(VLOOKUP(D3994,PROVEEDORES!$A:$C,3,0),""),"")</f>
        <v/>
      </c>
      <c r="G3994" s="75"/>
      <c r="H3994" s="52" t="str">
        <f aca="false">IF(G3994&lt;&gt;"",IFERROR(VLOOKUP(G3994,PRODUCTOS!$A:$B,2,0),"!COD NO ENCONTRADO"),"")</f>
        <v/>
      </c>
      <c r="I3994" s="77"/>
      <c r="J3994" s="78"/>
      <c r="K3994" s="79"/>
      <c r="L3994" s="80" t="str">
        <f aca="false">IF(AND(J3994&lt;&gt;"",K3994&lt;&gt;""),J3994*K3994,"")</f>
        <v/>
      </c>
      <c r="M3994" s="81" t="str">
        <f aca="false">IF(L3994&lt;&gt;"",L3994*1.1,"")</f>
        <v/>
      </c>
      <c r="N3994" s="53" t="n">
        <f aca="false">IF(F3994="S",L3994*0.02,0)</f>
        <v>0</v>
      </c>
      <c r="O3994" s="82" t="str">
        <f aca="false">IF(L3994&lt;&gt;"",L3994+N3994,"")</f>
        <v/>
      </c>
      <c r="P3994" s="53" t="str">
        <f aca="false">IF(O3994&lt;&gt;"",O3994*0.1,"")</f>
        <v/>
      </c>
      <c r="Q3994" s="83" t="str">
        <f aca="false">IF(O3994&lt;&gt;"",O3994+P3994,"")</f>
        <v/>
      </c>
      <c r="R3994" s="84"/>
    </row>
    <row r="3995" customFormat="false" ht="15" hidden="false" customHeight="true" outlineLevel="0" collapsed="false">
      <c r="A3995" s="103"/>
      <c r="B3995" s="85"/>
      <c r="C3995" s="86"/>
      <c r="D3995" s="87"/>
      <c r="E3995" s="46" t="str">
        <f aca="false">IF(D3995&lt;&gt;"",IFERROR(VLOOKUP(D3995,PROVEEDORES!$A:$B,2,0),"!COD NO ENCONTRADO"),"")</f>
        <v/>
      </c>
      <c r="F3995" s="88" t="str">
        <f aca="false">IF(D3995&lt;&gt;"",IFERROR(VLOOKUP(D3995,PROVEEDORES!$A:$C,3,0),""),"")</f>
        <v/>
      </c>
      <c r="G3995" s="87"/>
      <c r="H3995" s="46" t="str">
        <f aca="false">IF(G3995&lt;&gt;"",IFERROR(VLOOKUP(G3995,PRODUCTOS!$A:$B,2,0),"!COD NO ENCONTRADO"),"")</f>
        <v/>
      </c>
      <c r="I3995" s="89"/>
      <c r="J3995" s="90"/>
      <c r="K3995" s="91"/>
      <c r="L3995" s="80" t="str">
        <f aca="false">IF(AND(J3995&lt;&gt;"",K3995&lt;&gt;""),J3995*K3995,"")</f>
        <v/>
      </c>
      <c r="M3995" s="81" t="str">
        <f aca="false">IF(L3995&lt;&gt;"",L3995*1.1,"")</f>
        <v/>
      </c>
      <c r="N3995" s="47" t="n">
        <f aca="false">IF(F3995="S",L3995*0.02,0)</f>
        <v>0</v>
      </c>
      <c r="O3995" s="82" t="str">
        <f aca="false">IF(L3995&lt;&gt;"",L3995+N3995,"")</f>
        <v/>
      </c>
      <c r="P3995" s="47" t="str">
        <f aca="false">IF(O3995&lt;&gt;"",O3995*0.1,"")</f>
        <v/>
      </c>
      <c r="Q3995" s="83" t="str">
        <f aca="false">IF(O3995&lt;&gt;"",O3995+P3995,"")</f>
        <v/>
      </c>
      <c r="R3995" s="84"/>
    </row>
    <row r="3996" customFormat="false" ht="15" hidden="false" customHeight="true" outlineLevel="0" collapsed="false">
      <c r="A3996" s="103"/>
      <c r="B3996" s="73"/>
      <c r="C3996" s="74"/>
      <c r="D3996" s="75"/>
      <c r="E3996" s="52" t="str">
        <f aca="false">IF(D3996&lt;&gt;"",IFERROR(VLOOKUP(D3996,PROVEEDORES!$A:$B,2,0),"!COD NO ENCONTRADO"),"")</f>
        <v/>
      </c>
      <c r="F3996" s="76" t="str">
        <f aca="false">IF(D3996&lt;&gt;"",IFERROR(VLOOKUP(D3996,PROVEEDORES!$A:$C,3,0),""),"")</f>
        <v/>
      </c>
      <c r="G3996" s="75"/>
      <c r="H3996" s="52" t="str">
        <f aca="false">IF(G3996&lt;&gt;"",IFERROR(VLOOKUP(G3996,PRODUCTOS!$A:$B,2,0),"!COD NO ENCONTRADO"),"")</f>
        <v/>
      </c>
      <c r="I3996" s="77"/>
      <c r="J3996" s="78"/>
      <c r="K3996" s="79"/>
      <c r="L3996" s="80" t="str">
        <f aca="false">IF(AND(J3996&lt;&gt;"",K3996&lt;&gt;""),J3996*K3996,"")</f>
        <v/>
      </c>
      <c r="M3996" s="81" t="str">
        <f aca="false">IF(L3996&lt;&gt;"",L3996*1.1,"")</f>
        <v/>
      </c>
      <c r="N3996" s="53" t="n">
        <f aca="false">IF(F3996="S",L3996*0.02,0)</f>
        <v>0</v>
      </c>
      <c r="O3996" s="82" t="str">
        <f aca="false">IF(L3996&lt;&gt;"",L3996+N3996,"")</f>
        <v/>
      </c>
      <c r="P3996" s="53" t="str">
        <f aca="false">IF(O3996&lt;&gt;"",O3996*0.1,"")</f>
        <v/>
      </c>
      <c r="Q3996" s="83" t="str">
        <f aca="false">IF(O3996&lt;&gt;"",O3996+P3996,"")</f>
        <v/>
      </c>
      <c r="R3996" s="84"/>
    </row>
    <row r="3997" customFormat="false" ht="15" hidden="false" customHeight="true" outlineLevel="0" collapsed="false">
      <c r="A3997" s="103"/>
      <c r="B3997" s="85"/>
      <c r="C3997" s="86"/>
      <c r="D3997" s="87"/>
      <c r="E3997" s="46" t="str">
        <f aca="false">IF(D3997&lt;&gt;"",IFERROR(VLOOKUP(D3997,PROVEEDORES!$A:$B,2,0),"!COD NO ENCONTRADO"),"")</f>
        <v/>
      </c>
      <c r="F3997" s="88" t="str">
        <f aca="false">IF(D3997&lt;&gt;"",IFERROR(VLOOKUP(D3997,PROVEEDORES!$A:$C,3,0),""),"")</f>
        <v/>
      </c>
      <c r="G3997" s="87"/>
      <c r="H3997" s="46" t="str">
        <f aca="false">IF(G3997&lt;&gt;"",IFERROR(VLOOKUP(G3997,PRODUCTOS!$A:$B,2,0),"!COD NO ENCONTRADO"),"")</f>
        <v/>
      </c>
      <c r="I3997" s="89"/>
      <c r="J3997" s="90"/>
      <c r="K3997" s="91"/>
      <c r="L3997" s="80" t="str">
        <f aca="false">IF(AND(J3997&lt;&gt;"",K3997&lt;&gt;""),J3997*K3997,"")</f>
        <v/>
      </c>
      <c r="M3997" s="81" t="str">
        <f aca="false">IF(L3997&lt;&gt;"",L3997*1.1,"")</f>
        <v/>
      </c>
      <c r="N3997" s="47" t="n">
        <f aca="false">IF(F3997="S",L3997*0.02,0)</f>
        <v>0</v>
      </c>
      <c r="O3997" s="82" t="str">
        <f aca="false">IF(L3997&lt;&gt;"",L3997+N3997,"")</f>
        <v/>
      </c>
      <c r="P3997" s="47" t="str">
        <f aca="false">IF(O3997&lt;&gt;"",O3997*0.1,"")</f>
        <v/>
      </c>
      <c r="Q3997" s="83" t="str">
        <f aca="false">IF(O3997&lt;&gt;"",O3997+P3997,"")</f>
        <v/>
      </c>
      <c r="R3997" s="84"/>
    </row>
    <row r="3998" customFormat="false" ht="15" hidden="false" customHeight="true" outlineLevel="0" collapsed="false">
      <c r="A3998" s="103"/>
      <c r="B3998" s="73"/>
      <c r="C3998" s="74"/>
      <c r="D3998" s="75"/>
      <c r="E3998" s="52" t="str">
        <f aca="false">IF(D3998&lt;&gt;"",IFERROR(VLOOKUP(D3998,PROVEEDORES!$A:$B,2,0),"!COD NO ENCONTRADO"),"")</f>
        <v/>
      </c>
      <c r="F3998" s="76" t="str">
        <f aca="false">IF(D3998&lt;&gt;"",IFERROR(VLOOKUP(D3998,PROVEEDORES!$A:$C,3,0),""),"")</f>
        <v/>
      </c>
      <c r="G3998" s="75"/>
      <c r="H3998" s="52" t="str">
        <f aca="false">IF(G3998&lt;&gt;"",IFERROR(VLOOKUP(G3998,PRODUCTOS!$A:$B,2,0),"!COD NO ENCONTRADO"),"")</f>
        <v/>
      </c>
      <c r="I3998" s="77"/>
      <c r="J3998" s="78"/>
      <c r="K3998" s="79"/>
      <c r="L3998" s="80" t="str">
        <f aca="false">IF(AND(J3998&lt;&gt;"",K3998&lt;&gt;""),J3998*K3998,"")</f>
        <v/>
      </c>
      <c r="M3998" s="81" t="str">
        <f aca="false">IF(L3998&lt;&gt;"",L3998*1.1,"")</f>
        <v/>
      </c>
      <c r="N3998" s="53" t="n">
        <f aca="false">IF(F3998="S",L3998*0.02,0)</f>
        <v>0</v>
      </c>
      <c r="O3998" s="82" t="str">
        <f aca="false">IF(L3998&lt;&gt;"",L3998+N3998,"")</f>
        <v/>
      </c>
      <c r="P3998" s="53" t="str">
        <f aca="false">IF(O3998&lt;&gt;"",O3998*0.1,"")</f>
        <v/>
      </c>
      <c r="Q3998" s="83" t="str">
        <f aca="false">IF(O3998&lt;&gt;"",O3998+P3998,"")</f>
        <v/>
      </c>
      <c r="R3998" s="84"/>
    </row>
    <row r="3999" customFormat="false" ht="15" hidden="false" customHeight="true" outlineLevel="0" collapsed="false">
      <c r="A3999" s="103"/>
      <c r="B3999" s="85"/>
      <c r="C3999" s="86"/>
      <c r="D3999" s="87"/>
      <c r="E3999" s="46" t="str">
        <f aca="false">IF(D3999&lt;&gt;"",IFERROR(VLOOKUP(D3999,PROVEEDORES!$A:$B,2,0),"!COD NO ENCONTRADO"),"")</f>
        <v/>
      </c>
      <c r="F3999" s="88" t="str">
        <f aca="false">IF(D3999&lt;&gt;"",IFERROR(VLOOKUP(D3999,PROVEEDORES!$A:$C,3,0),""),"")</f>
        <v/>
      </c>
      <c r="G3999" s="87"/>
      <c r="H3999" s="46" t="str">
        <f aca="false">IF(G3999&lt;&gt;"",IFERROR(VLOOKUP(G3999,PRODUCTOS!$A:$B,2,0),"!COD NO ENCONTRADO"),"")</f>
        <v/>
      </c>
      <c r="I3999" s="89"/>
      <c r="J3999" s="90"/>
      <c r="K3999" s="91"/>
      <c r="L3999" s="80" t="str">
        <f aca="false">IF(AND(J3999&lt;&gt;"",K3999&lt;&gt;""),J3999*K3999,"")</f>
        <v/>
      </c>
      <c r="M3999" s="81" t="str">
        <f aca="false">IF(L3999&lt;&gt;"",L3999*1.1,"")</f>
        <v/>
      </c>
      <c r="N3999" s="47" t="n">
        <f aca="false">IF(F3999="S",L3999*0.02,0)</f>
        <v>0</v>
      </c>
      <c r="O3999" s="82" t="str">
        <f aca="false">IF(L3999&lt;&gt;"",L3999+N3999,"")</f>
        <v/>
      </c>
      <c r="P3999" s="47" t="str">
        <f aca="false">IF(O3999&lt;&gt;"",O3999*0.1,"")</f>
        <v/>
      </c>
      <c r="Q3999" s="83" t="str">
        <f aca="false">IF(O3999&lt;&gt;"",O3999+P3999,"")</f>
        <v/>
      </c>
      <c r="R3999" s="84"/>
    </row>
    <row r="4000" customFormat="false" ht="15" hidden="false" customHeight="true" outlineLevel="0" collapsed="false">
      <c r="A4000" s="103"/>
      <c r="B4000" s="73"/>
      <c r="C4000" s="74"/>
      <c r="D4000" s="75"/>
      <c r="E4000" s="52" t="str">
        <f aca="false">IF(D4000&lt;&gt;"",IFERROR(VLOOKUP(D4000,PROVEEDORES!$A:$B,2,0),"!COD NO ENCONTRADO"),"")</f>
        <v/>
      </c>
      <c r="F4000" s="76" t="str">
        <f aca="false">IF(D4000&lt;&gt;"",IFERROR(VLOOKUP(D4000,PROVEEDORES!$A:$C,3,0),""),"")</f>
        <v/>
      </c>
      <c r="G4000" s="75"/>
      <c r="H4000" s="52" t="str">
        <f aca="false">IF(G4000&lt;&gt;"",IFERROR(VLOOKUP(G4000,PRODUCTOS!$A:$B,2,0),"!COD NO ENCONTRADO"),"")</f>
        <v/>
      </c>
      <c r="I4000" s="77"/>
      <c r="J4000" s="78"/>
      <c r="K4000" s="79"/>
      <c r="L4000" s="80" t="str">
        <f aca="false">IF(AND(J4000&lt;&gt;"",K4000&lt;&gt;""),J4000*K4000,"")</f>
        <v/>
      </c>
      <c r="M4000" s="81" t="str">
        <f aca="false">IF(L4000&lt;&gt;"",L4000*1.1,"")</f>
        <v/>
      </c>
      <c r="N4000" s="53" t="n">
        <f aca="false">IF(F4000="S",L4000*0.02,0)</f>
        <v>0</v>
      </c>
      <c r="O4000" s="82" t="str">
        <f aca="false">IF(L4000&lt;&gt;"",L4000+N4000,"")</f>
        <v/>
      </c>
      <c r="P4000" s="53" t="str">
        <f aca="false">IF(O4000&lt;&gt;"",O4000*0.1,"")</f>
        <v/>
      </c>
      <c r="Q4000" s="83" t="str">
        <f aca="false">IF(O4000&lt;&gt;"",O4000+P4000,"")</f>
        <v/>
      </c>
      <c r="R4000" s="84"/>
    </row>
    <row r="4001" customFormat="false" ht="15" hidden="false" customHeight="true" outlineLevel="0" collapsed="false">
      <c r="A4001" s="103"/>
      <c r="B4001" s="85"/>
      <c r="C4001" s="86"/>
      <c r="D4001" s="87"/>
      <c r="E4001" s="46" t="str">
        <f aca="false">IF(D4001&lt;&gt;"",IFERROR(VLOOKUP(D4001,PROVEEDORES!$A:$B,2,0),"!COD NO ENCONTRADO"),"")</f>
        <v/>
      </c>
      <c r="F4001" s="88" t="str">
        <f aca="false">IF(D4001&lt;&gt;"",IFERROR(VLOOKUP(D4001,PROVEEDORES!$A:$C,3,0),""),"")</f>
        <v/>
      </c>
      <c r="G4001" s="87"/>
      <c r="H4001" s="46" t="str">
        <f aca="false">IF(G4001&lt;&gt;"",IFERROR(VLOOKUP(G4001,PRODUCTOS!$A:$B,2,0),"!COD NO ENCONTRADO"),"")</f>
        <v/>
      </c>
      <c r="I4001" s="89"/>
      <c r="J4001" s="90"/>
      <c r="K4001" s="91"/>
      <c r="L4001" s="80" t="str">
        <f aca="false">IF(AND(J4001&lt;&gt;"",K4001&lt;&gt;""),J4001*K4001,"")</f>
        <v/>
      </c>
      <c r="M4001" s="81" t="str">
        <f aca="false">IF(L4001&lt;&gt;"",L4001*1.1,"")</f>
        <v/>
      </c>
      <c r="N4001" s="47" t="n">
        <f aca="false">IF(F4001="S",L4001*0.02,0)</f>
        <v>0</v>
      </c>
      <c r="O4001" s="82" t="str">
        <f aca="false">IF(L4001&lt;&gt;"",L4001+N4001,"")</f>
        <v/>
      </c>
      <c r="P4001" s="47" t="str">
        <f aca="false">IF(O4001&lt;&gt;"",O4001*0.1,"")</f>
        <v/>
      </c>
      <c r="Q4001" s="83" t="str">
        <f aca="false">IF(O4001&lt;&gt;"",O4001+P4001,"")</f>
        <v/>
      </c>
      <c r="R4001" s="84"/>
    </row>
    <row r="4002" customFormat="false" ht="15" hidden="false" customHeight="true" outlineLevel="0" collapsed="false">
      <c r="A4002" s="103"/>
      <c r="B4002" s="73"/>
      <c r="C4002" s="74"/>
      <c r="D4002" s="75"/>
      <c r="E4002" s="52" t="str">
        <f aca="false">IF(D4002&lt;&gt;"",IFERROR(VLOOKUP(D4002,PROVEEDORES!$A:$B,2,0),"!COD NO ENCONTRADO"),"")</f>
        <v/>
      </c>
      <c r="F4002" s="76" t="str">
        <f aca="false">IF(D4002&lt;&gt;"",IFERROR(VLOOKUP(D4002,PROVEEDORES!$A:$C,3,0),""),"")</f>
        <v/>
      </c>
      <c r="G4002" s="75"/>
      <c r="H4002" s="52" t="str">
        <f aca="false">IF(G4002&lt;&gt;"",IFERROR(VLOOKUP(G4002,PRODUCTOS!$A:$B,2,0),"!COD NO ENCONTRADO"),"")</f>
        <v/>
      </c>
      <c r="I4002" s="77"/>
      <c r="J4002" s="78"/>
      <c r="K4002" s="79"/>
      <c r="L4002" s="80" t="str">
        <f aca="false">IF(AND(J4002&lt;&gt;"",K4002&lt;&gt;""),J4002*K4002,"")</f>
        <v/>
      </c>
      <c r="M4002" s="81" t="str">
        <f aca="false">IF(L4002&lt;&gt;"",L4002*1.1,"")</f>
        <v/>
      </c>
      <c r="N4002" s="53" t="n">
        <f aca="false">IF(F4002="S",L4002*0.02,0)</f>
        <v>0</v>
      </c>
      <c r="O4002" s="82" t="str">
        <f aca="false">IF(L4002&lt;&gt;"",L4002+N4002,"")</f>
        <v/>
      </c>
      <c r="P4002" s="53" t="str">
        <f aca="false">IF(O4002&lt;&gt;"",O4002*0.1,"")</f>
        <v/>
      </c>
      <c r="Q4002" s="83" t="str">
        <f aca="false">IF(O4002&lt;&gt;"",O4002+P4002,"")</f>
        <v/>
      </c>
      <c r="R4002" s="84"/>
    </row>
    <row r="4003" customFormat="false" ht="15" hidden="false" customHeight="true" outlineLevel="0" collapsed="false">
      <c r="A4003" s="103"/>
      <c r="B4003" s="85"/>
      <c r="C4003" s="86"/>
      <c r="D4003" s="87"/>
      <c r="E4003" s="46" t="str">
        <f aca="false">IF(D4003&lt;&gt;"",IFERROR(VLOOKUP(D4003,PROVEEDORES!$A:$B,2,0),"!COD NO ENCONTRADO"),"")</f>
        <v/>
      </c>
      <c r="F4003" s="88" t="str">
        <f aca="false">IF(D4003&lt;&gt;"",IFERROR(VLOOKUP(D4003,PROVEEDORES!$A:$C,3,0),""),"")</f>
        <v/>
      </c>
      <c r="G4003" s="87"/>
      <c r="H4003" s="46" t="str">
        <f aca="false">IF(G4003&lt;&gt;"",IFERROR(VLOOKUP(G4003,PRODUCTOS!$A:$B,2,0),"!COD NO ENCONTRADO"),"")</f>
        <v/>
      </c>
      <c r="I4003" s="89"/>
      <c r="J4003" s="90"/>
      <c r="K4003" s="91"/>
      <c r="L4003" s="80" t="str">
        <f aca="false">IF(AND(J4003&lt;&gt;"",K4003&lt;&gt;""),J4003*K4003,"")</f>
        <v/>
      </c>
      <c r="M4003" s="81" t="str">
        <f aca="false">IF(L4003&lt;&gt;"",L4003*1.1,"")</f>
        <v/>
      </c>
      <c r="N4003" s="47" t="n">
        <f aca="false">IF(F4003="S",L4003*0.02,0)</f>
        <v>0</v>
      </c>
      <c r="O4003" s="82" t="str">
        <f aca="false">IF(L4003&lt;&gt;"",L4003+N4003,"")</f>
        <v/>
      </c>
      <c r="P4003" s="47" t="str">
        <f aca="false">IF(O4003&lt;&gt;"",O4003*0.1,"")</f>
        <v/>
      </c>
      <c r="Q4003" s="83" t="str">
        <f aca="false">IF(O4003&lt;&gt;"",O4003+P4003,"")</f>
        <v/>
      </c>
      <c r="R4003" s="84"/>
    </row>
    <row r="4004" customFormat="false" ht="15" hidden="false" customHeight="true" outlineLevel="0" collapsed="false">
      <c r="A4004" s="103"/>
      <c r="B4004" s="73"/>
      <c r="C4004" s="74"/>
      <c r="D4004" s="75"/>
      <c r="E4004" s="52" t="str">
        <f aca="false">IF(D4004&lt;&gt;"",IFERROR(VLOOKUP(D4004,PROVEEDORES!$A:$B,2,0),"!COD NO ENCONTRADO"),"")</f>
        <v/>
      </c>
      <c r="F4004" s="76" t="str">
        <f aca="false">IF(D4004&lt;&gt;"",IFERROR(VLOOKUP(D4004,PROVEEDORES!$A:$C,3,0),""),"")</f>
        <v/>
      </c>
      <c r="G4004" s="75"/>
      <c r="H4004" s="52" t="str">
        <f aca="false">IF(G4004&lt;&gt;"",IFERROR(VLOOKUP(G4004,PRODUCTOS!$A:$B,2,0),"!COD NO ENCONTRADO"),"")</f>
        <v/>
      </c>
      <c r="I4004" s="77"/>
      <c r="J4004" s="78"/>
      <c r="K4004" s="79"/>
      <c r="L4004" s="80" t="str">
        <f aca="false">IF(AND(J4004&lt;&gt;"",K4004&lt;&gt;""),J4004*K4004,"")</f>
        <v/>
      </c>
      <c r="M4004" s="81" t="str">
        <f aca="false">IF(L4004&lt;&gt;"",L4004*1.1,"")</f>
        <v/>
      </c>
      <c r="N4004" s="53" t="n">
        <f aca="false">IF(F4004="S",L4004*0.02,0)</f>
        <v>0</v>
      </c>
      <c r="O4004" s="82" t="str">
        <f aca="false">IF(L4004&lt;&gt;"",L4004+N4004,"")</f>
        <v/>
      </c>
      <c r="P4004" s="53" t="str">
        <f aca="false">IF(O4004&lt;&gt;"",O4004*0.1,"")</f>
        <v/>
      </c>
      <c r="Q4004" s="83" t="str">
        <f aca="false">IF(O4004&lt;&gt;"",O4004+P4004,"")</f>
        <v/>
      </c>
      <c r="R4004" s="84"/>
    </row>
    <row r="4005" customFormat="false" ht="15" hidden="false" customHeight="true" outlineLevel="0" collapsed="false">
      <c r="A4005" s="103"/>
      <c r="B4005" s="85"/>
      <c r="C4005" s="86"/>
      <c r="D4005" s="87"/>
      <c r="E4005" s="46" t="str">
        <f aca="false">IF(D4005&lt;&gt;"",IFERROR(VLOOKUP(D4005,PROVEEDORES!$A:$B,2,0),"!COD NO ENCONTRADO"),"")</f>
        <v/>
      </c>
      <c r="F4005" s="88" t="str">
        <f aca="false">IF(D4005&lt;&gt;"",IFERROR(VLOOKUP(D4005,PROVEEDORES!$A:$C,3,0),""),"")</f>
        <v/>
      </c>
      <c r="G4005" s="87"/>
      <c r="H4005" s="46" t="str">
        <f aca="false">IF(G4005&lt;&gt;"",IFERROR(VLOOKUP(G4005,PRODUCTOS!$A:$B,2,0),"!COD NO ENCONTRADO"),"")</f>
        <v/>
      </c>
      <c r="I4005" s="89"/>
      <c r="J4005" s="90"/>
      <c r="K4005" s="91"/>
      <c r="L4005" s="80" t="str">
        <f aca="false">IF(AND(J4005&lt;&gt;"",K4005&lt;&gt;""),J4005*K4005,"")</f>
        <v/>
      </c>
      <c r="M4005" s="81" t="str">
        <f aca="false">IF(L4005&lt;&gt;"",L4005*1.1,"")</f>
        <v/>
      </c>
      <c r="N4005" s="47" t="n">
        <f aca="false">IF(F4005="S",L4005*0.02,0)</f>
        <v>0</v>
      </c>
      <c r="O4005" s="82" t="str">
        <f aca="false">IF(L4005&lt;&gt;"",L4005+N4005,"")</f>
        <v/>
      </c>
      <c r="P4005" s="47" t="str">
        <f aca="false">IF(O4005&lt;&gt;"",O4005*0.1,"")</f>
        <v/>
      </c>
      <c r="Q4005" s="83" t="str">
        <f aca="false">IF(O4005&lt;&gt;"",O4005+P4005,"")</f>
        <v/>
      </c>
      <c r="R4005" s="84"/>
    </row>
    <row r="4006" customFormat="false" ht="15" hidden="false" customHeight="true" outlineLevel="0" collapsed="false">
      <c r="A4006" s="103"/>
      <c r="B4006" s="73"/>
      <c r="C4006" s="74"/>
      <c r="D4006" s="75"/>
      <c r="E4006" s="52" t="str">
        <f aca="false">IF(D4006&lt;&gt;"",IFERROR(VLOOKUP(D4006,PROVEEDORES!$A:$B,2,0),"!COD NO ENCONTRADO"),"")</f>
        <v/>
      </c>
      <c r="F4006" s="76" t="str">
        <f aca="false">IF(D4006&lt;&gt;"",IFERROR(VLOOKUP(D4006,PROVEEDORES!$A:$C,3,0),""),"")</f>
        <v/>
      </c>
      <c r="G4006" s="75"/>
      <c r="H4006" s="52" t="str">
        <f aca="false">IF(G4006&lt;&gt;"",IFERROR(VLOOKUP(G4006,PRODUCTOS!$A:$B,2,0),"!COD NO ENCONTRADO"),"")</f>
        <v/>
      </c>
      <c r="I4006" s="77"/>
      <c r="J4006" s="78"/>
      <c r="K4006" s="79"/>
      <c r="L4006" s="80" t="str">
        <f aca="false">IF(AND(J4006&lt;&gt;"",K4006&lt;&gt;""),J4006*K4006,"")</f>
        <v/>
      </c>
      <c r="M4006" s="81" t="str">
        <f aca="false">IF(L4006&lt;&gt;"",L4006*1.1,"")</f>
        <v/>
      </c>
      <c r="N4006" s="53" t="n">
        <f aca="false">IF(F4006="S",L4006*0.02,0)</f>
        <v>0</v>
      </c>
      <c r="O4006" s="82" t="str">
        <f aca="false">IF(L4006&lt;&gt;"",L4006+N4006,"")</f>
        <v/>
      </c>
      <c r="P4006" s="53" t="str">
        <f aca="false">IF(O4006&lt;&gt;"",O4006*0.1,"")</f>
        <v/>
      </c>
      <c r="Q4006" s="83" t="str">
        <f aca="false">IF(O4006&lt;&gt;"",O4006+P4006,"")</f>
        <v/>
      </c>
      <c r="R4006" s="84"/>
    </row>
    <row r="4007" customFormat="false" ht="15" hidden="false" customHeight="true" outlineLevel="0" collapsed="false">
      <c r="A4007" s="103"/>
      <c r="B4007" s="85"/>
      <c r="C4007" s="86"/>
      <c r="D4007" s="87"/>
      <c r="E4007" s="46" t="str">
        <f aca="false">IF(D4007&lt;&gt;"",IFERROR(VLOOKUP(D4007,PROVEEDORES!$A:$B,2,0),"!COD NO ENCONTRADO"),"")</f>
        <v/>
      </c>
      <c r="F4007" s="88" t="str">
        <f aca="false">IF(D4007&lt;&gt;"",IFERROR(VLOOKUP(D4007,PROVEEDORES!$A:$C,3,0),""),"")</f>
        <v/>
      </c>
      <c r="G4007" s="87"/>
      <c r="H4007" s="46" t="str">
        <f aca="false">IF(G4007&lt;&gt;"",IFERROR(VLOOKUP(G4007,PRODUCTOS!$A:$B,2,0),"!COD NO ENCONTRADO"),"")</f>
        <v/>
      </c>
      <c r="I4007" s="89"/>
      <c r="J4007" s="90"/>
      <c r="K4007" s="91"/>
      <c r="L4007" s="80" t="str">
        <f aca="false">IF(AND(J4007&lt;&gt;"",K4007&lt;&gt;""),J4007*K4007,"")</f>
        <v/>
      </c>
      <c r="M4007" s="81" t="str">
        <f aca="false">IF(L4007&lt;&gt;"",L4007*1.1,"")</f>
        <v/>
      </c>
      <c r="N4007" s="47" t="n">
        <f aca="false">IF(F4007="S",L4007*0.02,0)</f>
        <v>0</v>
      </c>
      <c r="O4007" s="82" t="str">
        <f aca="false">IF(L4007&lt;&gt;"",L4007+N4007,"")</f>
        <v/>
      </c>
      <c r="P4007" s="47" t="str">
        <f aca="false">IF(O4007&lt;&gt;"",O4007*0.1,"")</f>
        <v/>
      </c>
      <c r="Q4007" s="83" t="str">
        <f aca="false">IF(O4007&lt;&gt;"",O4007+P4007,"")</f>
        <v/>
      </c>
      <c r="R4007" s="84"/>
    </row>
    <row r="4008" customFormat="false" ht="15" hidden="false" customHeight="true" outlineLevel="0" collapsed="false">
      <c r="A4008" s="103"/>
      <c r="B4008" s="73"/>
      <c r="C4008" s="74"/>
      <c r="D4008" s="75"/>
      <c r="E4008" s="52" t="str">
        <f aca="false">IF(D4008&lt;&gt;"",IFERROR(VLOOKUP(D4008,PROVEEDORES!$A:$B,2,0),"!COD NO ENCONTRADO"),"")</f>
        <v/>
      </c>
      <c r="F4008" s="76" t="str">
        <f aca="false">IF(D4008&lt;&gt;"",IFERROR(VLOOKUP(D4008,PROVEEDORES!$A:$C,3,0),""),"")</f>
        <v/>
      </c>
      <c r="G4008" s="75"/>
      <c r="H4008" s="52" t="str">
        <f aca="false">IF(G4008&lt;&gt;"",IFERROR(VLOOKUP(G4008,PRODUCTOS!$A:$B,2,0),"!COD NO ENCONTRADO"),"")</f>
        <v/>
      </c>
      <c r="I4008" s="77"/>
      <c r="J4008" s="78"/>
      <c r="K4008" s="79"/>
      <c r="L4008" s="80" t="str">
        <f aca="false">IF(AND(J4008&lt;&gt;"",K4008&lt;&gt;""),J4008*K4008,"")</f>
        <v/>
      </c>
      <c r="M4008" s="81" t="str">
        <f aca="false">IF(L4008&lt;&gt;"",L4008*1.1,"")</f>
        <v/>
      </c>
      <c r="N4008" s="53" t="n">
        <f aca="false">IF(F4008="S",L4008*0.02,0)</f>
        <v>0</v>
      </c>
      <c r="O4008" s="82" t="str">
        <f aca="false">IF(L4008&lt;&gt;"",L4008+N4008,"")</f>
        <v/>
      </c>
      <c r="P4008" s="53" t="str">
        <f aca="false">IF(O4008&lt;&gt;"",O4008*0.1,"")</f>
        <v/>
      </c>
      <c r="Q4008" s="83" t="str">
        <f aca="false">IF(O4008&lt;&gt;"",O4008+P4008,"")</f>
        <v/>
      </c>
      <c r="R4008" s="84"/>
    </row>
    <row r="4009" customFormat="false" ht="15" hidden="false" customHeight="true" outlineLevel="0" collapsed="false">
      <c r="A4009" s="103"/>
      <c r="B4009" s="85"/>
      <c r="C4009" s="86"/>
      <c r="D4009" s="87"/>
      <c r="E4009" s="46" t="str">
        <f aca="false">IF(D4009&lt;&gt;"",IFERROR(VLOOKUP(D4009,PROVEEDORES!$A:$B,2,0),"!COD NO ENCONTRADO"),"")</f>
        <v/>
      </c>
      <c r="F4009" s="88" t="str">
        <f aca="false">IF(D4009&lt;&gt;"",IFERROR(VLOOKUP(D4009,PROVEEDORES!$A:$C,3,0),""),"")</f>
        <v/>
      </c>
      <c r="G4009" s="87"/>
      <c r="H4009" s="46" t="str">
        <f aca="false">IF(G4009&lt;&gt;"",IFERROR(VLOOKUP(G4009,PRODUCTOS!$A:$B,2,0),"!COD NO ENCONTRADO"),"")</f>
        <v/>
      </c>
      <c r="I4009" s="89"/>
      <c r="J4009" s="90"/>
      <c r="K4009" s="91"/>
      <c r="L4009" s="80" t="str">
        <f aca="false">IF(AND(J4009&lt;&gt;"",K4009&lt;&gt;""),J4009*K4009,"")</f>
        <v/>
      </c>
      <c r="M4009" s="81" t="str">
        <f aca="false">IF(L4009&lt;&gt;"",L4009*1.1,"")</f>
        <v/>
      </c>
      <c r="N4009" s="47" t="n">
        <f aca="false">IF(F4009="S",L4009*0.02,0)</f>
        <v>0</v>
      </c>
      <c r="O4009" s="82" t="str">
        <f aca="false">IF(L4009&lt;&gt;"",L4009+N4009,"")</f>
        <v/>
      </c>
      <c r="P4009" s="47" t="str">
        <f aca="false">IF(O4009&lt;&gt;"",O4009*0.1,"")</f>
        <v/>
      </c>
      <c r="Q4009" s="83" t="str">
        <f aca="false">IF(O4009&lt;&gt;"",O4009+P4009,"")</f>
        <v/>
      </c>
      <c r="R4009" s="84"/>
    </row>
    <row r="4010" customFormat="false" ht="15" hidden="false" customHeight="true" outlineLevel="0" collapsed="false">
      <c r="A4010" s="103"/>
      <c r="B4010" s="73"/>
      <c r="C4010" s="74"/>
      <c r="D4010" s="75"/>
      <c r="E4010" s="52" t="str">
        <f aca="false">IF(D4010&lt;&gt;"",IFERROR(VLOOKUP(D4010,PROVEEDORES!$A:$B,2,0),"!COD NO ENCONTRADO"),"")</f>
        <v/>
      </c>
      <c r="F4010" s="76" t="str">
        <f aca="false">IF(D4010&lt;&gt;"",IFERROR(VLOOKUP(D4010,PROVEEDORES!$A:$C,3,0),""),"")</f>
        <v/>
      </c>
      <c r="G4010" s="75"/>
      <c r="H4010" s="52" t="str">
        <f aca="false">IF(G4010&lt;&gt;"",IFERROR(VLOOKUP(G4010,PRODUCTOS!$A:$B,2,0),"!COD NO ENCONTRADO"),"")</f>
        <v/>
      </c>
      <c r="I4010" s="77"/>
      <c r="J4010" s="78"/>
      <c r="K4010" s="79"/>
      <c r="L4010" s="80" t="str">
        <f aca="false">IF(AND(J4010&lt;&gt;"",K4010&lt;&gt;""),J4010*K4010,"")</f>
        <v/>
      </c>
      <c r="M4010" s="81" t="str">
        <f aca="false">IF(L4010&lt;&gt;"",L4010*1.1,"")</f>
        <v/>
      </c>
      <c r="N4010" s="53" t="n">
        <f aca="false">IF(F4010="S",L4010*0.02,0)</f>
        <v>0</v>
      </c>
      <c r="O4010" s="82" t="str">
        <f aca="false">IF(L4010&lt;&gt;"",L4010+N4010,"")</f>
        <v/>
      </c>
      <c r="P4010" s="53" t="str">
        <f aca="false">IF(O4010&lt;&gt;"",O4010*0.1,"")</f>
        <v/>
      </c>
      <c r="Q4010" s="83" t="str">
        <f aca="false">IF(O4010&lt;&gt;"",O4010+P4010,"")</f>
        <v/>
      </c>
      <c r="R4010" s="84"/>
    </row>
    <row r="4011" customFormat="false" ht="15" hidden="false" customHeight="true" outlineLevel="0" collapsed="false">
      <c r="A4011" s="103"/>
      <c r="B4011" s="85"/>
      <c r="C4011" s="86"/>
      <c r="D4011" s="87"/>
      <c r="E4011" s="46" t="str">
        <f aca="false">IF(D4011&lt;&gt;"",IFERROR(VLOOKUP(D4011,PROVEEDORES!$A:$B,2,0),"!COD NO ENCONTRADO"),"")</f>
        <v/>
      </c>
      <c r="F4011" s="88" t="str">
        <f aca="false">IF(D4011&lt;&gt;"",IFERROR(VLOOKUP(D4011,PROVEEDORES!$A:$C,3,0),""),"")</f>
        <v/>
      </c>
      <c r="G4011" s="87"/>
      <c r="H4011" s="46" t="str">
        <f aca="false">IF(G4011&lt;&gt;"",IFERROR(VLOOKUP(G4011,PRODUCTOS!$A:$B,2,0),"!COD NO ENCONTRADO"),"")</f>
        <v/>
      </c>
      <c r="I4011" s="89"/>
      <c r="J4011" s="90"/>
      <c r="K4011" s="91"/>
      <c r="L4011" s="80" t="str">
        <f aca="false">IF(AND(J4011&lt;&gt;"",K4011&lt;&gt;""),J4011*K4011,"")</f>
        <v/>
      </c>
      <c r="M4011" s="81" t="str">
        <f aca="false">IF(L4011&lt;&gt;"",L4011*1.1,"")</f>
        <v/>
      </c>
      <c r="N4011" s="47" t="n">
        <f aca="false">IF(F4011="S",L4011*0.02,0)</f>
        <v>0</v>
      </c>
      <c r="O4011" s="82" t="str">
        <f aca="false">IF(L4011&lt;&gt;"",L4011+N4011,"")</f>
        <v/>
      </c>
      <c r="P4011" s="47" t="str">
        <f aca="false">IF(O4011&lt;&gt;"",O4011*0.1,"")</f>
        <v/>
      </c>
      <c r="Q4011" s="83" t="str">
        <f aca="false">IF(O4011&lt;&gt;"",O4011+P4011,"")</f>
        <v/>
      </c>
      <c r="R4011" s="84"/>
    </row>
    <row r="4012" customFormat="false" ht="15" hidden="false" customHeight="true" outlineLevel="0" collapsed="false">
      <c r="A4012" s="103"/>
      <c r="B4012" s="73"/>
      <c r="C4012" s="74"/>
      <c r="D4012" s="75"/>
      <c r="E4012" s="52" t="str">
        <f aca="false">IF(D4012&lt;&gt;"",IFERROR(VLOOKUP(D4012,PROVEEDORES!$A:$B,2,0),"!COD NO ENCONTRADO"),"")</f>
        <v/>
      </c>
      <c r="F4012" s="76" t="str">
        <f aca="false">IF(D4012&lt;&gt;"",IFERROR(VLOOKUP(D4012,PROVEEDORES!$A:$C,3,0),""),"")</f>
        <v/>
      </c>
      <c r="G4012" s="75"/>
      <c r="H4012" s="52" t="str">
        <f aca="false">IF(G4012&lt;&gt;"",IFERROR(VLOOKUP(G4012,PRODUCTOS!$A:$B,2,0),"!COD NO ENCONTRADO"),"")</f>
        <v/>
      </c>
      <c r="I4012" s="77"/>
      <c r="J4012" s="78"/>
      <c r="K4012" s="79"/>
      <c r="L4012" s="80" t="str">
        <f aca="false">IF(AND(J4012&lt;&gt;"",K4012&lt;&gt;""),J4012*K4012,"")</f>
        <v/>
      </c>
      <c r="M4012" s="81" t="str">
        <f aca="false">IF(L4012&lt;&gt;"",L4012*1.1,"")</f>
        <v/>
      </c>
      <c r="N4012" s="53" t="n">
        <f aca="false">IF(F4012="S",L4012*0.02,0)</f>
        <v>0</v>
      </c>
      <c r="O4012" s="82" t="str">
        <f aca="false">IF(L4012&lt;&gt;"",L4012+N4012,"")</f>
        <v/>
      </c>
      <c r="P4012" s="53" t="str">
        <f aca="false">IF(O4012&lt;&gt;"",O4012*0.1,"")</f>
        <v/>
      </c>
      <c r="Q4012" s="83" t="str">
        <f aca="false">IF(O4012&lt;&gt;"",O4012+P4012,"")</f>
        <v/>
      </c>
      <c r="R4012" s="84"/>
    </row>
    <row r="4013" customFormat="false" ht="15" hidden="false" customHeight="true" outlineLevel="0" collapsed="false">
      <c r="A4013" s="103"/>
      <c r="B4013" s="85"/>
      <c r="C4013" s="86"/>
      <c r="D4013" s="87"/>
      <c r="E4013" s="46" t="str">
        <f aca="false">IF(D4013&lt;&gt;"",IFERROR(VLOOKUP(D4013,PROVEEDORES!$A:$B,2,0),"!COD NO ENCONTRADO"),"")</f>
        <v/>
      </c>
      <c r="F4013" s="88" t="str">
        <f aca="false">IF(D4013&lt;&gt;"",IFERROR(VLOOKUP(D4013,PROVEEDORES!$A:$C,3,0),""),"")</f>
        <v/>
      </c>
      <c r="G4013" s="87"/>
      <c r="H4013" s="46" t="str">
        <f aca="false">IF(G4013&lt;&gt;"",IFERROR(VLOOKUP(G4013,PRODUCTOS!$A:$B,2,0),"!COD NO ENCONTRADO"),"")</f>
        <v/>
      </c>
      <c r="I4013" s="89"/>
      <c r="J4013" s="90"/>
      <c r="K4013" s="91"/>
      <c r="L4013" s="80" t="str">
        <f aca="false">IF(AND(J4013&lt;&gt;"",K4013&lt;&gt;""),J4013*K4013,"")</f>
        <v/>
      </c>
      <c r="M4013" s="81" t="str">
        <f aca="false">IF(L4013&lt;&gt;"",L4013*1.1,"")</f>
        <v/>
      </c>
      <c r="N4013" s="47" t="n">
        <f aca="false">IF(F4013="S",L4013*0.02,0)</f>
        <v>0</v>
      </c>
      <c r="O4013" s="82" t="str">
        <f aca="false">IF(L4013&lt;&gt;"",L4013+N4013,"")</f>
        <v/>
      </c>
      <c r="P4013" s="47" t="str">
        <f aca="false">IF(O4013&lt;&gt;"",O4013*0.1,"")</f>
        <v/>
      </c>
      <c r="Q4013" s="83" t="str">
        <f aca="false">IF(O4013&lt;&gt;"",O4013+P4013,"")</f>
        <v/>
      </c>
      <c r="R4013" s="84"/>
    </row>
    <row r="4014" customFormat="false" ht="15" hidden="false" customHeight="true" outlineLevel="0" collapsed="false">
      <c r="A4014" s="103"/>
      <c r="B4014" s="73"/>
      <c r="C4014" s="74"/>
      <c r="D4014" s="75"/>
      <c r="E4014" s="52" t="str">
        <f aca="false">IF(D4014&lt;&gt;"",IFERROR(VLOOKUP(D4014,PROVEEDORES!$A:$B,2,0),"!COD NO ENCONTRADO"),"")</f>
        <v/>
      </c>
      <c r="F4014" s="76" t="str">
        <f aca="false">IF(D4014&lt;&gt;"",IFERROR(VLOOKUP(D4014,PROVEEDORES!$A:$C,3,0),""),"")</f>
        <v/>
      </c>
      <c r="G4014" s="75"/>
      <c r="H4014" s="52" t="str">
        <f aca="false">IF(G4014&lt;&gt;"",IFERROR(VLOOKUP(G4014,PRODUCTOS!$A:$B,2,0),"!COD NO ENCONTRADO"),"")</f>
        <v/>
      </c>
      <c r="I4014" s="77"/>
      <c r="J4014" s="78"/>
      <c r="K4014" s="79"/>
      <c r="L4014" s="80" t="str">
        <f aca="false">IF(AND(J4014&lt;&gt;"",K4014&lt;&gt;""),J4014*K4014,"")</f>
        <v/>
      </c>
      <c r="M4014" s="81" t="str">
        <f aca="false">IF(L4014&lt;&gt;"",L4014*1.1,"")</f>
        <v/>
      </c>
      <c r="N4014" s="53" t="n">
        <f aca="false">IF(F4014="S",L4014*0.02,0)</f>
        <v>0</v>
      </c>
      <c r="O4014" s="82" t="str">
        <f aca="false">IF(L4014&lt;&gt;"",L4014+N4014,"")</f>
        <v/>
      </c>
      <c r="P4014" s="53" t="str">
        <f aca="false">IF(O4014&lt;&gt;"",O4014*0.1,"")</f>
        <v/>
      </c>
      <c r="Q4014" s="83" t="str">
        <f aca="false">IF(O4014&lt;&gt;"",O4014+P4014,"")</f>
        <v/>
      </c>
      <c r="R4014" s="84"/>
    </row>
    <row r="4015" customFormat="false" ht="15" hidden="false" customHeight="true" outlineLevel="0" collapsed="false">
      <c r="A4015" s="103"/>
      <c r="B4015" s="85"/>
      <c r="C4015" s="86"/>
      <c r="D4015" s="87"/>
      <c r="E4015" s="46" t="str">
        <f aca="false">IF(D4015&lt;&gt;"",IFERROR(VLOOKUP(D4015,PROVEEDORES!$A:$B,2,0),"!COD NO ENCONTRADO"),"")</f>
        <v/>
      </c>
      <c r="F4015" s="88" t="str">
        <f aca="false">IF(D4015&lt;&gt;"",IFERROR(VLOOKUP(D4015,PROVEEDORES!$A:$C,3,0),""),"")</f>
        <v/>
      </c>
      <c r="G4015" s="87"/>
      <c r="H4015" s="46" t="str">
        <f aca="false">IF(G4015&lt;&gt;"",IFERROR(VLOOKUP(G4015,PRODUCTOS!$A:$B,2,0),"!COD NO ENCONTRADO"),"")</f>
        <v/>
      </c>
      <c r="I4015" s="89"/>
      <c r="J4015" s="90"/>
      <c r="K4015" s="91"/>
      <c r="L4015" s="80" t="str">
        <f aca="false">IF(AND(J4015&lt;&gt;"",K4015&lt;&gt;""),J4015*K4015,"")</f>
        <v/>
      </c>
      <c r="M4015" s="81" t="str">
        <f aca="false">IF(L4015&lt;&gt;"",L4015*1.1,"")</f>
        <v/>
      </c>
      <c r="N4015" s="47" t="n">
        <f aca="false">IF(F4015="S",L4015*0.02,0)</f>
        <v>0</v>
      </c>
      <c r="O4015" s="82" t="str">
        <f aca="false">IF(L4015&lt;&gt;"",L4015+N4015,"")</f>
        <v/>
      </c>
      <c r="P4015" s="47" t="str">
        <f aca="false">IF(O4015&lt;&gt;"",O4015*0.1,"")</f>
        <v/>
      </c>
      <c r="Q4015" s="83" t="str">
        <f aca="false">IF(O4015&lt;&gt;"",O4015+P4015,"")</f>
        <v/>
      </c>
      <c r="R4015" s="84"/>
    </row>
    <row r="4016" customFormat="false" ht="15" hidden="false" customHeight="true" outlineLevel="0" collapsed="false">
      <c r="A4016" s="103"/>
      <c r="B4016" s="73"/>
      <c r="C4016" s="74"/>
      <c r="D4016" s="75"/>
      <c r="E4016" s="52" t="str">
        <f aca="false">IF(D4016&lt;&gt;"",IFERROR(VLOOKUP(D4016,PROVEEDORES!$A:$B,2,0),"!COD NO ENCONTRADO"),"")</f>
        <v/>
      </c>
      <c r="F4016" s="76" t="str">
        <f aca="false">IF(D4016&lt;&gt;"",IFERROR(VLOOKUP(D4016,PROVEEDORES!$A:$C,3,0),""),"")</f>
        <v/>
      </c>
      <c r="G4016" s="75"/>
      <c r="H4016" s="52" t="str">
        <f aca="false">IF(G4016&lt;&gt;"",IFERROR(VLOOKUP(G4016,PRODUCTOS!$A:$B,2,0),"!COD NO ENCONTRADO"),"")</f>
        <v/>
      </c>
      <c r="I4016" s="77"/>
      <c r="J4016" s="78"/>
      <c r="K4016" s="79"/>
      <c r="L4016" s="80" t="str">
        <f aca="false">IF(AND(J4016&lt;&gt;"",K4016&lt;&gt;""),J4016*K4016,"")</f>
        <v/>
      </c>
      <c r="M4016" s="81" t="str">
        <f aca="false">IF(L4016&lt;&gt;"",L4016*1.1,"")</f>
        <v/>
      </c>
      <c r="N4016" s="53" t="n">
        <f aca="false">IF(F4016="S",L4016*0.02,0)</f>
        <v>0</v>
      </c>
      <c r="O4016" s="82" t="str">
        <f aca="false">IF(L4016&lt;&gt;"",L4016+N4016,"")</f>
        <v/>
      </c>
      <c r="P4016" s="53" t="str">
        <f aca="false">IF(O4016&lt;&gt;"",O4016*0.1,"")</f>
        <v/>
      </c>
      <c r="Q4016" s="83" t="str">
        <f aca="false">IF(O4016&lt;&gt;"",O4016+P4016,"")</f>
        <v/>
      </c>
      <c r="R4016" s="84"/>
    </row>
    <row r="4017" customFormat="false" ht="15" hidden="false" customHeight="true" outlineLevel="0" collapsed="false">
      <c r="A4017" s="103"/>
      <c r="B4017" s="85"/>
      <c r="C4017" s="86"/>
      <c r="D4017" s="87"/>
      <c r="E4017" s="46" t="str">
        <f aca="false">IF(D4017&lt;&gt;"",IFERROR(VLOOKUP(D4017,PROVEEDORES!$A:$B,2,0),"!COD NO ENCONTRADO"),"")</f>
        <v/>
      </c>
      <c r="F4017" s="88" t="str">
        <f aca="false">IF(D4017&lt;&gt;"",IFERROR(VLOOKUP(D4017,PROVEEDORES!$A:$C,3,0),""),"")</f>
        <v/>
      </c>
      <c r="G4017" s="87"/>
      <c r="H4017" s="46" t="str">
        <f aca="false">IF(G4017&lt;&gt;"",IFERROR(VLOOKUP(G4017,PRODUCTOS!$A:$B,2,0),"!COD NO ENCONTRADO"),"")</f>
        <v/>
      </c>
      <c r="I4017" s="89"/>
      <c r="J4017" s="90"/>
      <c r="K4017" s="91"/>
      <c r="L4017" s="80" t="str">
        <f aca="false">IF(AND(J4017&lt;&gt;"",K4017&lt;&gt;""),J4017*K4017,"")</f>
        <v/>
      </c>
      <c r="M4017" s="81" t="str">
        <f aca="false">IF(L4017&lt;&gt;"",L4017*1.1,"")</f>
        <v/>
      </c>
      <c r="N4017" s="47" t="n">
        <f aca="false">IF(F4017="S",L4017*0.02,0)</f>
        <v>0</v>
      </c>
      <c r="O4017" s="82" t="str">
        <f aca="false">IF(L4017&lt;&gt;"",L4017+N4017,"")</f>
        <v/>
      </c>
      <c r="P4017" s="47" t="str">
        <f aca="false">IF(O4017&lt;&gt;"",O4017*0.1,"")</f>
        <v/>
      </c>
      <c r="Q4017" s="83" t="str">
        <f aca="false">IF(O4017&lt;&gt;"",O4017+P4017,"")</f>
        <v/>
      </c>
      <c r="R4017" s="84"/>
    </row>
    <row r="4018" customFormat="false" ht="15" hidden="false" customHeight="true" outlineLevel="0" collapsed="false">
      <c r="A4018" s="103"/>
      <c r="B4018" s="73"/>
      <c r="C4018" s="74"/>
      <c r="D4018" s="75"/>
      <c r="E4018" s="52" t="str">
        <f aca="false">IF(D4018&lt;&gt;"",IFERROR(VLOOKUP(D4018,PROVEEDORES!$A:$B,2,0),"!COD NO ENCONTRADO"),"")</f>
        <v/>
      </c>
      <c r="F4018" s="76" t="str">
        <f aca="false">IF(D4018&lt;&gt;"",IFERROR(VLOOKUP(D4018,PROVEEDORES!$A:$C,3,0),""),"")</f>
        <v/>
      </c>
      <c r="G4018" s="75"/>
      <c r="H4018" s="52" t="str">
        <f aca="false">IF(G4018&lt;&gt;"",IFERROR(VLOOKUP(G4018,PRODUCTOS!$A:$B,2,0),"!COD NO ENCONTRADO"),"")</f>
        <v/>
      </c>
      <c r="I4018" s="77"/>
      <c r="J4018" s="78"/>
      <c r="K4018" s="79"/>
      <c r="L4018" s="80" t="str">
        <f aca="false">IF(AND(J4018&lt;&gt;"",K4018&lt;&gt;""),J4018*K4018,"")</f>
        <v/>
      </c>
      <c r="M4018" s="81" t="str">
        <f aca="false">IF(L4018&lt;&gt;"",L4018*1.1,"")</f>
        <v/>
      </c>
      <c r="N4018" s="53" t="n">
        <f aca="false">IF(F4018="S",L4018*0.02,0)</f>
        <v>0</v>
      </c>
      <c r="O4018" s="82" t="str">
        <f aca="false">IF(L4018&lt;&gt;"",L4018+N4018,"")</f>
        <v/>
      </c>
      <c r="P4018" s="53" t="str">
        <f aca="false">IF(O4018&lt;&gt;"",O4018*0.1,"")</f>
        <v/>
      </c>
      <c r="Q4018" s="83" t="str">
        <f aca="false">IF(O4018&lt;&gt;"",O4018+P4018,"")</f>
        <v/>
      </c>
      <c r="R4018" s="84"/>
    </row>
    <row r="4019" customFormat="false" ht="15" hidden="false" customHeight="true" outlineLevel="0" collapsed="false">
      <c r="A4019" s="103"/>
      <c r="B4019" s="85"/>
      <c r="C4019" s="86"/>
      <c r="D4019" s="87"/>
      <c r="E4019" s="46" t="str">
        <f aca="false">IF(D4019&lt;&gt;"",IFERROR(VLOOKUP(D4019,PROVEEDORES!$A:$B,2,0),"!COD NO ENCONTRADO"),"")</f>
        <v/>
      </c>
      <c r="F4019" s="88" t="str">
        <f aca="false">IF(D4019&lt;&gt;"",IFERROR(VLOOKUP(D4019,PROVEEDORES!$A:$C,3,0),""),"")</f>
        <v/>
      </c>
      <c r="G4019" s="87"/>
      <c r="H4019" s="46" t="str">
        <f aca="false">IF(G4019&lt;&gt;"",IFERROR(VLOOKUP(G4019,PRODUCTOS!$A:$B,2,0),"!COD NO ENCONTRADO"),"")</f>
        <v/>
      </c>
      <c r="I4019" s="89"/>
      <c r="J4019" s="90"/>
      <c r="K4019" s="91"/>
      <c r="L4019" s="80" t="str">
        <f aca="false">IF(AND(J4019&lt;&gt;"",K4019&lt;&gt;""),J4019*K4019,"")</f>
        <v/>
      </c>
      <c r="M4019" s="81" t="str">
        <f aca="false">IF(L4019&lt;&gt;"",L4019*1.1,"")</f>
        <v/>
      </c>
      <c r="N4019" s="47" t="n">
        <f aca="false">IF(F4019="S",L4019*0.02,0)</f>
        <v>0</v>
      </c>
      <c r="O4019" s="82" t="str">
        <f aca="false">IF(L4019&lt;&gt;"",L4019+N4019,"")</f>
        <v/>
      </c>
      <c r="P4019" s="47" t="str">
        <f aca="false">IF(O4019&lt;&gt;"",O4019*0.1,"")</f>
        <v/>
      </c>
      <c r="Q4019" s="83" t="str">
        <f aca="false">IF(O4019&lt;&gt;"",O4019+P4019,"")</f>
        <v/>
      </c>
      <c r="R4019" s="84"/>
    </row>
    <row r="4020" customFormat="false" ht="15" hidden="false" customHeight="true" outlineLevel="0" collapsed="false">
      <c r="A4020" s="103"/>
      <c r="B4020" s="73"/>
      <c r="C4020" s="74"/>
      <c r="D4020" s="75"/>
      <c r="E4020" s="52" t="str">
        <f aca="false">IF(D4020&lt;&gt;"",IFERROR(VLOOKUP(D4020,PROVEEDORES!$A:$B,2,0),"!COD NO ENCONTRADO"),"")</f>
        <v/>
      </c>
      <c r="F4020" s="76" t="str">
        <f aca="false">IF(D4020&lt;&gt;"",IFERROR(VLOOKUP(D4020,PROVEEDORES!$A:$C,3,0),""),"")</f>
        <v/>
      </c>
      <c r="G4020" s="75"/>
      <c r="H4020" s="52" t="str">
        <f aca="false">IF(G4020&lt;&gt;"",IFERROR(VLOOKUP(G4020,PRODUCTOS!$A:$B,2,0),"!COD NO ENCONTRADO"),"")</f>
        <v/>
      </c>
      <c r="I4020" s="77"/>
      <c r="J4020" s="78"/>
      <c r="K4020" s="79"/>
      <c r="L4020" s="80" t="str">
        <f aca="false">IF(AND(J4020&lt;&gt;"",K4020&lt;&gt;""),J4020*K4020,"")</f>
        <v/>
      </c>
      <c r="M4020" s="81" t="str">
        <f aca="false">IF(L4020&lt;&gt;"",L4020*1.1,"")</f>
        <v/>
      </c>
      <c r="N4020" s="53" t="n">
        <f aca="false">IF(F4020="S",L4020*0.02,0)</f>
        <v>0</v>
      </c>
      <c r="O4020" s="82" t="str">
        <f aca="false">IF(L4020&lt;&gt;"",L4020+N4020,"")</f>
        <v/>
      </c>
      <c r="P4020" s="53" t="str">
        <f aca="false">IF(O4020&lt;&gt;"",O4020*0.1,"")</f>
        <v/>
      </c>
      <c r="Q4020" s="83" t="str">
        <f aca="false">IF(O4020&lt;&gt;"",O4020+P4020,"")</f>
        <v/>
      </c>
      <c r="R4020" s="84"/>
    </row>
    <row r="4021" customFormat="false" ht="15" hidden="false" customHeight="true" outlineLevel="0" collapsed="false">
      <c r="A4021" s="103"/>
      <c r="B4021" s="85"/>
      <c r="C4021" s="86"/>
      <c r="D4021" s="87"/>
      <c r="E4021" s="46" t="str">
        <f aca="false">IF(D4021&lt;&gt;"",IFERROR(VLOOKUP(D4021,PROVEEDORES!$A:$B,2,0),"!COD NO ENCONTRADO"),"")</f>
        <v/>
      </c>
      <c r="F4021" s="88" t="str">
        <f aca="false">IF(D4021&lt;&gt;"",IFERROR(VLOOKUP(D4021,PROVEEDORES!$A:$C,3,0),""),"")</f>
        <v/>
      </c>
      <c r="G4021" s="87"/>
      <c r="H4021" s="46" t="str">
        <f aca="false">IF(G4021&lt;&gt;"",IFERROR(VLOOKUP(G4021,PRODUCTOS!$A:$B,2,0),"!COD NO ENCONTRADO"),"")</f>
        <v/>
      </c>
      <c r="I4021" s="89"/>
      <c r="J4021" s="90"/>
      <c r="K4021" s="91"/>
      <c r="L4021" s="80" t="str">
        <f aca="false">IF(AND(J4021&lt;&gt;"",K4021&lt;&gt;""),J4021*K4021,"")</f>
        <v/>
      </c>
      <c r="M4021" s="81" t="str">
        <f aca="false">IF(L4021&lt;&gt;"",L4021*1.1,"")</f>
        <v/>
      </c>
      <c r="N4021" s="47" t="n">
        <f aca="false">IF(F4021="S",L4021*0.02,0)</f>
        <v>0</v>
      </c>
      <c r="O4021" s="82" t="str">
        <f aca="false">IF(L4021&lt;&gt;"",L4021+N4021,"")</f>
        <v/>
      </c>
      <c r="P4021" s="47" t="str">
        <f aca="false">IF(O4021&lt;&gt;"",O4021*0.1,"")</f>
        <v/>
      </c>
      <c r="Q4021" s="83" t="str">
        <f aca="false">IF(O4021&lt;&gt;"",O4021+P4021,"")</f>
        <v/>
      </c>
      <c r="R4021" s="84"/>
    </row>
    <row r="4022" customFormat="false" ht="15" hidden="false" customHeight="true" outlineLevel="0" collapsed="false">
      <c r="A4022" s="103"/>
      <c r="B4022" s="73"/>
      <c r="C4022" s="74"/>
      <c r="D4022" s="75"/>
      <c r="E4022" s="52" t="str">
        <f aca="false">IF(D4022&lt;&gt;"",IFERROR(VLOOKUP(D4022,PROVEEDORES!$A:$B,2,0),"!COD NO ENCONTRADO"),"")</f>
        <v/>
      </c>
      <c r="F4022" s="76" t="str">
        <f aca="false">IF(D4022&lt;&gt;"",IFERROR(VLOOKUP(D4022,PROVEEDORES!$A:$C,3,0),""),"")</f>
        <v/>
      </c>
      <c r="G4022" s="75"/>
      <c r="H4022" s="52" t="str">
        <f aca="false">IF(G4022&lt;&gt;"",IFERROR(VLOOKUP(G4022,PRODUCTOS!$A:$B,2,0),"!COD NO ENCONTRADO"),"")</f>
        <v/>
      </c>
      <c r="I4022" s="77"/>
      <c r="J4022" s="78"/>
      <c r="K4022" s="79"/>
      <c r="L4022" s="80" t="str">
        <f aca="false">IF(AND(J4022&lt;&gt;"",K4022&lt;&gt;""),J4022*K4022,"")</f>
        <v/>
      </c>
      <c r="M4022" s="81" t="str">
        <f aca="false">IF(L4022&lt;&gt;"",L4022*1.1,"")</f>
        <v/>
      </c>
      <c r="N4022" s="53" t="n">
        <f aca="false">IF(F4022="S",L4022*0.02,0)</f>
        <v>0</v>
      </c>
      <c r="O4022" s="82" t="str">
        <f aca="false">IF(L4022&lt;&gt;"",L4022+N4022,"")</f>
        <v/>
      </c>
      <c r="P4022" s="53" t="str">
        <f aca="false">IF(O4022&lt;&gt;"",O4022*0.1,"")</f>
        <v/>
      </c>
      <c r="Q4022" s="83" t="str">
        <f aca="false">IF(O4022&lt;&gt;"",O4022+P4022,"")</f>
        <v/>
      </c>
      <c r="R4022" s="84"/>
    </row>
    <row r="4023" customFormat="false" ht="15" hidden="false" customHeight="true" outlineLevel="0" collapsed="false">
      <c r="A4023" s="103"/>
      <c r="B4023" s="85"/>
      <c r="C4023" s="86"/>
      <c r="D4023" s="87"/>
      <c r="E4023" s="46" t="str">
        <f aca="false">IF(D4023&lt;&gt;"",IFERROR(VLOOKUP(D4023,PROVEEDORES!$A:$B,2,0),"!COD NO ENCONTRADO"),"")</f>
        <v/>
      </c>
      <c r="F4023" s="88" t="str">
        <f aca="false">IF(D4023&lt;&gt;"",IFERROR(VLOOKUP(D4023,PROVEEDORES!$A:$C,3,0),""),"")</f>
        <v/>
      </c>
      <c r="G4023" s="87"/>
      <c r="H4023" s="46" t="str">
        <f aca="false">IF(G4023&lt;&gt;"",IFERROR(VLOOKUP(G4023,PRODUCTOS!$A:$B,2,0),"!COD NO ENCONTRADO"),"")</f>
        <v/>
      </c>
      <c r="I4023" s="89"/>
      <c r="J4023" s="90"/>
      <c r="K4023" s="91"/>
      <c r="L4023" s="80" t="str">
        <f aca="false">IF(AND(J4023&lt;&gt;"",K4023&lt;&gt;""),J4023*K4023,"")</f>
        <v/>
      </c>
      <c r="M4023" s="81" t="str">
        <f aca="false">IF(L4023&lt;&gt;"",L4023*1.1,"")</f>
        <v/>
      </c>
      <c r="N4023" s="47" t="n">
        <f aca="false">IF(F4023="S",L4023*0.02,0)</f>
        <v>0</v>
      </c>
      <c r="O4023" s="82" t="str">
        <f aca="false">IF(L4023&lt;&gt;"",L4023+N4023,"")</f>
        <v/>
      </c>
      <c r="P4023" s="47" t="str">
        <f aca="false">IF(O4023&lt;&gt;"",O4023*0.1,"")</f>
        <v/>
      </c>
      <c r="Q4023" s="83" t="str">
        <f aca="false">IF(O4023&lt;&gt;"",O4023+P4023,"")</f>
        <v/>
      </c>
      <c r="R4023" s="84"/>
    </row>
    <row r="4024" customFormat="false" ht="15" hidden="false" customHeight="true" outlineLevel="0" collapsed="false">
      <c r="A4024" s="103"/>
      <c r="B4024" s="73"/>
      <c r="C4024" s="74"/>
      <c r="D4024" s="75"/>
      <c r="E4024" s="52" t="str">
        <f aca="false">IF(D4024&lt;&gt;"",IFERROR(VLOOKUP(D4024,PROVEEDORES!$A:$B,2,0),"!COD NO ENCONTRADO"),"")</f>
        <v/>
      </c>
      <c r="F4024" s="76" t="str">
        <f aca="false">IF(D4024&lt;&gt;"",IFERROR(VLOOKUP(D4024,PROVEEDORES!$A:$C,3,0),""),"")</f>
        <v/>
      </c>
      <c r="G4024" s="75"/>
      <c r="H4024" s="52" t="str">
        <f aca="false">IF(G4024&lt;&gt;"",IFERROR(VLOOKUP(G4024,PRODUCTOS!$A:$B,2,0),"!COD NO ENCONTRADO"),"")</f>
        <v/>
      </c>
      <c r="I4024" s="77"/>
      <c r="J4024" s="78"/>
      <c r="K4024" s="79"/>
      <c r="L4024" s="80" t="str">
        <f aca="false">IF(AND(J4024&lt;&gt;"",K4024&lt;&gt;""),J4024*K4024,"")</f>
        <v/>
      </c>
      <c r="M4024" s="81" t="str">
        <f aca="false">IF(L4024&lt;&gt;"",L4024*1.1,"")</f>
        <v/>
      </c>
      <c r="N4024" s="53" t="n">
        <f aca="false">IF(F4024="S",L4024*0.02,0)</f>
        <v>0</v>
      </c>
      <c r="O4024" s="82" t="str">
        <f aca="false">IF(L4024&lt;&gt;"",L4024+N4024,"")</f>
        <v/>
      </c>
      <c r="P4024" s="53" t="str">
        <f aca="false">IF(O4024&lt;&gt;"",O4024*0.1,"")</f>
        <v/>
      </c>
      <c r="Q4024" s="83" t="str">
        <f aca="false">IF(O4024&lt;&gt;"",O4024+P4024,"")</f>
        <v/>
      </c>
      <c r="R4024" s="84"/>
    </row>
    <row r="4025" customFormat="false" ht="15" hidden="false" customHeight="true" outlineLevel="0" collapsed="false">
      <c r="A4025" s="103"/>
      <c r="B4025" s="85"/>
      <c r="C4025" s="86"/>
      <c r="D4025" s="87"/>
      <c r="E4025" s="46" t="str">
        <f aca="false">IF(D4025&lt;&gt;"",IFERROR(VLOOKUP(D4025,PROVEEDORES!$A:$B,2,0),"!COD NO ENCONTRADO"),"")</f>
        <v/>
      </c>
      <c r="F4025" s="88" t="str">
        <f aca="false">IF(D4025&lt;&gt;"",IFERROR(VLOOKUP(D4025,PROVEEDORES!$A:$C,3,0),""),"")</f>
        <v/>
      </c>
      <c r="G4025" s="87"/>
      <c r="H4025" s="46" t="str">
        <f aca="false">IF(G4025&lt;&gt;"",IFERROR(VLOOKUP(G4025,PRODUCTOS!$A:$B,2,0),"!COD NO ENCONTRADO"),"")</f>
        <v/>
      </c>
      <c r="I4025" s="89"/>
      <c r="J4025" s="90"/>
      <c r="K4025" s="91"/>
      <c r="L4025" s="80" t="str">
        <f aca="false">IF(AND(J4025&lt;&gt;"",K4025&lt;&gt;""),J4025*K4025,"")</f>
        <v/>
      </c>
      <c r="M4025" s="81" t="str">
        <f aca="false">IF(L4025&lt;&gt;"",L4025*1.1,"")</f>
        <v/>
      </c>
      <c r="N4025" s="47" t="n">
        <f aca="false">IF(F4025="S",L4025*0.02,0)</f>
        <v>0</v>
      </c>
      <c r="O4025" s="82" t="str">
        <f aca="false">IF(L4025&lt;&gt;"",L4025+N4025,"")</f>
        <v/>
      </c>
      <c r="P4025" s="47" t="str">
        <f aca="false">IF(O4025&lt;&gt;"",O4025*0.1,"")</f>
        <v/>
      </c>
      <c r="Q4025" s="83" t="str">
        <f aca="false">IF(O4025&lt;&gt;"",O4025+P4025,"")</f>
        <v/>
      </c>
      <c r="R4025" s="84"/>
    </row>
    <row r="4026" customFormat="false" ht="15" hidden="false" customHeight="true" outlineLevel="0" collapsed="false">
      <c r="A4026" s="103"/>
      <c r="B4026" s="73"/>
      <c r="C4026" s="74"/>
      <c r="D4026" s="75"/>
      <c r="E4026" s="52" t="str">
        <f aca="false">IF(D4026&lt;&gt;"",IFERROR(VLOOKUP(D4026,PROVEEDORES!$A:$B,2,0),"!COD NO ENCONTRADO"),"")</f>
        <v/>
      </c>
      <c r="F4026" s="76" t="str">
        <f aca="false">IF(D4026&lt;&gt;"",IFERROR(VLOOKUP(D4026,PROVEEDORES!$A:$C,3,0),""),"")</f>
        <v/>
      </c>
      <c r="G4026" s="75"/>
      <c r="H4026" s="52" t="str">
        <f aca="false">IF(G4026&lt;&gt;"",IFERROR(VLOOKUP(G4026,PRODUCTOS!$A:$B,2,0),"!COD NO ENCONTRADO"),"")</f>
        <v/>
      </c>
      <c r="I4026" s="77"/>
      <c r="J4026" s="78"/>
      <c r="K4026" s="79"/>
      <c r="L4026" s="80" t="str">
        <f aca="false">IF(AND(J4026&lt;&gt;"",K4026&lt;&gt;""),J4026*K4026,"")</f>
        <v/>
      </c>
      <c r="M4026" s="81" t="str">
        <f aca="false">IF(L4026&lt;&gt;"",L4026*1.1,"")</f>
        <v/>
      </c>
      <c r="N4026" s="53" t="n">
        <f aca="false">IF(F4026="S",L4026*0.02,0)</f>
        <v>0</v>
      </c>
      <c r="O4026" s="82" t="str">
        <f aca="false">IF(L4026&lt;&gt;"",L4026+N4026,"")</f>
        <v/>
      </c>
      <c r="P4026" s="53" t="str">
        <f aca="false">IF(O4026&lt;&gt;"",O4026*0.1,"")</f>
        <v/>
      </c>
      <c r="Q4026" s="83" t="str">
        <f aca="false">IF(O4026&lt;&gt;"",O4026+P4026,"")</f>
        <v/>
      </c>
      <c r="R4026" s="84"/>
    </row>
    <row r="4027" customFormat="false" ht="15" hidden="false" customHeight="true" outlineLevel="0" collapsed="false">
      <c r="A4027" s="103"/>
      <c r="B4027" s="85"/>
      <c r="C4027" s="86"/>
      <c r="D4027" s="87"/>
      <c r="E4027" s="46" t="str">
        <f aca="false">IF(D4027&lt;&gt;"",IFERROR(VLOOKUP(D4027,PROVEEDORES!$A:$B,2,0),"!COD NO ENCONTRADO"),"")</f>
        <v/>
      </c>
      <c r="F4027" s="88" t="str">
        <f aca="false">IF(D4027&lt;&gt;"",IFERROR(VLOOKUP(D4027,PROVEEDORES!$A:$C,3,0),""),"")</f>
        <v/>
      </c>
      <c r="G4027" s="87"/>
      <c r="H4027" s="46" t="str">
        <f aca="false">IF(G4027&lt;&gt;"",IFERROR(VLOOKUP(G4027,PRODUCTOS!$A:$B,2,0),"!COD NO ENCONTRADO"),"")</f>
        <v/>
      </c>
      <c r="I4027" s="89"/>
      <c r="J4027" s="90"/>
      <c r="K4027" s="91"/>
      <c r="L4027" s="80" t="str">
        <f aca="false">IF(AND(J4027&lt;&gt;"",K4027&lt;&gt;""),J4027*K4027,"")</f>
        <v/>
      </c>
      <c r="M4027" s="81" t="str">
        <f aca="false">IF(L4027&lt;&gt;"",L4027*1.1,"")</f>
        <v/>
      </c>
      <c r="N4027" s="47" t="n">
        <f aca="false">IF(F4027="S",L4027*0.02,0)</f>
        <v>0</v>
      </c>
      <c r="O4027" s="82" t="str">
        <f aca="false">IF(L4027&lt;&gt;"",L4027+N4027,"")</f>
        <v/>
      </c>
      <c r="P4027" s="47" t="str">
        <f aca="false">IF(O4027&lt;&gt;"",O4027*0.1,"")</f>
        <v/>
      </c>
      <c r="Q4027" s="83" t="str">
        <f aca="false">IF(O4027&lt;&gt;"",O4027+P4027,"")</f>
        <v/>
      </c>
      <c r="R4027" s="84"/>
    </row>
    <row r="4028" customFormat="false" ht="15" hidden="false" customHeight="true" outlineLevel="0" collapsed="false">
      <c r="A4028" s="103"/>
      <c r="B4028" s="73"/>
      <c r="C4028" s="74"/>
      <c r="D4028" s="75"/>
      <c r="E4028" s="52" t="str">
        <f aca="false">IF(D4028&lt;&gt;"",IFERROR(VLOOKUP(D4028,PROVEEDORES!$A:$B,2,0),"!COD NO ENCONTRADO"),"")</f>
        <v/>
      </c>
      <c r="F4028" s="76" t="str">
        <f aca="false">IF(D4028&lt;&gt;"",IFERROR(VLOOKUP(D4028,PROVEEDORES!$A:$C,3,0),""),"")</f>
        <v/>
      </c>
      <c r="G4028" s="75"/>
      <c r="H4028" s="52" t="str">
        <f aca="false">IF(G4028&lt;&gt;"",IFERROR(VLOOKUP(G4028,PRODUCTOS!$A:$B,2,0),"!COD NO ENCONTRADO"),"")</f>
        <v/>
      </c>
      <c r="I4028" s="77"/>
      <c r="J4028" s="78"/>
      <c r="K4028" s="79"/>
      <c r="L4028" s="80" t="str">
        <f aca="false">IF(AND(J4028&lt;&gt;"",K4028&lt;&gt;""),J4028*K4028,"")</f>
        <v/>
      </c>
      <c r="M4028" s="81" t="str">
        <f aca="false">IF(L4028&lt;&gt;"",L4028*1.1,"")</f>
        <v/>
      </c>
      <c r="N4028" s="53" t="n">
        <f aca="false">IF(F4028="S",L4028*0.02,0)</f>
        <v>0</v>
      </c>
      <c r="O4028" s="82" t="str">
        <f aca="false">IF(L4028&lt;&gt;"",L4028+N4028,"")</f>
        <v/>
      </c>
      <c r="P4028" s="53" t="str">
        <f aca="false">IF(O4028&lt;&gt;"",O4028*0.1,"")</f>
        <v/>
      </c>
      <c r="Q4028" s="83" t="str">
        <f aca="false">IF(O4028&lt;&gt;"",O4028+P4028,"")</f>
        <v/>
      </c>
      <c r="R4028" s="84"/>
    </row>
    <row r="4029" customFormat="false" ht="15" hidden="false" customHeight="true" outlineLevel="0" collapsed="false">
      <c r="A4029" s="103"/>
      <c r="B4029" s="85"/>
      <c r="C4029" s="86"/>
      <c r="D4029" s="87"/>
      <c r="E4029" s="46" t="str">
        <f aca="false">IF(D4029&lt;&gt;"",IFERROR(VLOOKUP(D4029,PROVEEDORES!$A:$B,2,0),"!COD NO ENCONTRADO"),"")</f>
        <v/>
      </c>
      <c r="F4029" s="88" t="str">
        <f aca="false">IF(D4029&lt;&gt;"",IFERROR(VLOOKUP(D4029,PROVEEDORES!$A:$C,3,0),""),"")</f>
        <v/>
      </c>
      <c r="G4029" s="87"/>
      <c r="H4029" s="46" t="str">
        <f aca="false">IF(G4029&lt;&gt;"",IFERROR(VLOOKUP(G4029,PRODUCTOS!$A:$B,2,0),"!COD NO ENCONTRADO"),"")</f>
        <v/>
      </c>
      <c r="I4029" s="89"/>
      <c r="J4029" s="90"/>
      <c r="K4029" s="91"/>
      <c r="L4029" s="80" t="str">
        <f aca="false">IF(AND(J4029&lt;&gt;"",K4029&lt;&gt;""),J4029*K4029,"")</f>
        <v/>
      </c>
      <c r="M4029" s="81" t="str">
        <f aca="false">IF(L4029&lt;&gt;"",L4029*1.1,"")</f>
        <v/>
      </c>
      <c r="N4029" s="47" t="n">
        <f aca="false">IF(F4029="S",L4029*0.02,0)</f>
        <v>0</v>
      </c>
      <c r="O4029" s="82" t="str">
        <f aca="false">IF(L4029&lt;&gt;"",L4029+N4029,"")</f>
        <v/>
      </c>
      <c r="P4029" s="47" t="str">
        <f aca="false">IF(O4029&lt;&gt;"",O4029*0.1,"")</f>
        <v/>
      </c>
      <c r="Q4029" s="83" t="str">
        <f aca="false">IF(O4029&lt;&gt;"",O4029+P4029,"")</f>
        <v/>
      </c>
      <c r="R4029" s="84"/>
    </row>
    <row r="4030" customFormat="false" ht="15" hidden="false" customHeight="true" outlineLevel="0" collapsed="false">
      <c r="A4030" s="103"/>
      <c r="B4030" s="73"/>
      <c r="C4030" s="74"/>
      <c r="D4030" s="75"/>
      <c r="E4030" s="52" t="str">
        <f aca="false">IF(D4030&lt;&gt;"",IFERROR(VLOOKUP(D4030,PROVEEDORES!$A:$B,2,0),"!COD NO ENCONTRADO"),"")</f>
        <v/>
      </c>
      <c r="F4030" s="76" t="str">
        <f aca="false">IF(D4030&lt;&gt;"",IFERROR(VLOOKUP(D4030,PROVEEDORES!$A:$C,3,0),""),"")</f>
        <v/>
      </c>
      <c r="G4030" s="75"/>
      <c r="H4030" s="52" t="str">
        <f aca="false">IF(G4030&lt;&gt;"",IFERROR(VLOOKUP(G4030,PRODUCTOS!$A:$B,2,0),"!COD NO ENCONTRADO"),"")</f>
        <v/>
      </c>
      <c r="I4030" s="77"/>
      <c r="J4030" s="78"/>
      <c r="K4030" s="79"/>
      <c r="L4030" s="80" t="str">
        <f aca="false">IF(AND(J4030&lt;&gt;"",K4030&lt;&gt;""),J4030*K4030,"")</f>
        <v/>
      </c>
      <c r="M4030" s="81" t="str">
        <f aca="false">IF(L4030&lt;&gt;"",L4030*1.1,"")</f>
        <v/>
      </c>
      <c r="N4030" s="53" t="n">
        <f aca="false">IF(F4030="S",L4030*0.02,0)</f>
        <v>0</v>
      </c>
      <c r="O4030" s="82" t="str">
        <f aca="false">IF(L4030&lt;&gt;"",L4030+N4030,"")</f>
        <v/>
      </c>
      <c r="P4030" s="53" t="str">
        <f aca="false">IF(O4030&lt;&gt;"",O4030*0.1,"")</f>
        <v/>
      </c>
      <c r="Q4030" s="83" t="str">
        <f aca="false">IF(O4030&lt;&gt;"",O4030+P4030,"")</f>
        <v/>
      </c>
      <c r="R4030" s="84"/>
    </row>
    <row r="4031" customFormat="false" ht="15" hidden="false" customHeight="true" outlineLevel="0" collapsed="false">
      <c r="A4031" s="103"/>
      <c r="B4031" s="85"/>
      <c r="C4031" s="86"/>
      <c r="D4031" s="87"/>
      <c r="E4031" s="46" t="str">
        <f aca="false">IF(D4031&lt;&gt;"",IFERROR(VLOOKUP(D4031,PROVEEDORES!$A:$B,2,0),"!COD NO ENCONTRADO"),"")</f>
        <v/>
      </c>
      <c r="F4031" s="88" t="str">
        <f aca="false">IF(D4031&lt;&gt;"",IFERROR(VLOOKUP(D4031,PROVEEDORES!$A:$C,3,0),""),"")</f>
        <v/>
      </c>
      <c r="G4031" s="87"/>
      <c r="H4031" s="46" t="str">
        <f aca="false">IF(G4031&lt;&gt;"",IFERROR(VLOOKUP(G4031,PRODUCTOS!$A:$B,2,0),"!COD NO ENCONTRADO"),"")</f>
        <v/>
      </c>
      <c r="I4031" s="89"/>
      <c r="J4031" s="90"/>
      <c r="K4031" s="91"/>
      <c r="L4031" s="80" t="str">
        <f aca="false">IF(AND(J4031&lt;&gt;"",K4031&lt;&gt;""),J4031*K4031,"")</f>
        <v/>
      </c>
      <c r="M4031" s="81" t="str">
        <f aca="false">IF(L4031&lt;&gt;"",L4031*1.1,"")</f>
        <v/>
      </c>
      <c r="N4031" s="47" t="n">
        <f aca="false">IF(F4031="S",L4031*0.02,0)</f>
        <v>0</v>
      </c>
      <c r="O4031" s="82" t="str">
        <f aca="false">IF(L4031&lt;&gt;"",L4031+N4031,"")</f>
        <v/>
      </c>
      <c r="P4031" s="47" t="str">
        <f aca="false">IF(O4031&lt;&gt;"",O4031*0.1,"")</f>
        <v/>
      </c>
      <c r="Q4031" s="83" t="str">
        <f aca="false">IF(O4031&lt;&gt;"",O4031+P4031,"")</f>
        <v/>
      </c>
      <c r="R4031" s="84"/>
    </row>
    <row r="4032" customFormat="false" ht="15" hidden="false" customHeight="true" outlineLevel="0" collapsed="false">
      <c r="A4032" s="103"/>
      <c r="B4032" s="73"/>
      <c r="C4032" s="74"/>
      <c r="D4032" s="75"/>
      <c r="E4032" s="52" t="str">
        <f aca="false">IF(D4032&lt;&gt;"",IFERROR(VLOOKUP(D4032,PROVEEDORES!$A:$B,2,0),"!COD NO ENCONTRADO"),"")</f>
        <v/>
      </c>
      <c r="F4032" s="76" t="str">
        <f aca="false">IF(D4032&lt;&gt;"",IFERROR(VLOOKUP(D4032,PROVEEDORES!$A:$C,3,0),""),"")</f>
        <v/>
      </c>
      <c r="G4032" s="75"/>
      <c r="H4032" s="52" t="str">
        <f aca="false">IF(G4032&lt;&gt;"",IFERROR(VLOOKUP(G4032,PRODUCTOS!$A:$B,2,0),"!COD NO ENCONTRADO"),"")</f>
        <v/>
      </c>
      <c r="I4032" s="77"/>
      <c r="J4032" s="78"/>
      <c r="K4032" s="79"/>
      <c r="L4032" s="80" t="str">
        <f aca="false">IF(AND(J4032&lt;&gt;"",K4032&lt;&gt;""),J4032*K4032,"")</f>
        <v/>
      </c>
      <c r="M4032" s="81" t="str">
        <f aca="false">IF(L4032&lt;&gt;"",L4032*1.1,"")</f>
        <v/>
      </c>
      <c r="N4032" s="53" t="n">
        <f aca="false">IF(F4032="S",L4032*0.02,0)</f>
        <v>0</v>
      </c>
      <c r="O4032" s="82" t="str">
        <f aca="false">IF(L4032&lt;&gt;"",L4032+N4032,"")</f>
        <v/>
      </c>
      <c r="P4032" s="53" t="str">
        <f aca="false">IF(O4032&lt;&gt;"",O4032*0.1,"")</f>
        <v/>
      </c>
      <c r="Q4032" s="83" t="str">
        <f aca="false">IF(O4032&lt;&gt;"",O4032+P4032,"")</f>
        <v/>
      </c>
      <c r="R4032" s="84"/>
    </row>
    <row r="4033" customFormat="false" ht="15" hidden="false" customHeight="true" outlineLevel="0" collapsed="false">
      <c r="A4033" s="103"/>
      <c r="B4033" s="85"/>
      <c r="C4033" s="86"/>
      <c r="D4033" s="87"/>
      <c r="E4033" s="46" t="str">
        <f aca="false">IF(D4033&lt;&gt;"",IFERROR(VLOOKUP(D4033,PROVEEDORES!$A:$B,2,0),"!COD NO ENCONTRADO"),"")</f>
        <v/>
      </c>
      <c r="F4033" s="88" t="str">
        <f aca="false">IF(D4033&lt;&gt;"",IFERROR(VLOOKUP(D4033,PROVEEDORES!$A:$C,3,0),""),"")</f>
        <v/>
      </c>
      <c r="G4033" s="87"/>
      <c r="H4033" s="46" t="str">
        <f aca="false">IF(G4033&lt;&gt;"",IFERROR(VLOOKUP(G4033,PRODUCTOS!$A:$B,2,0),"!COD NO ENCONTRADO"),"")</f>
        <v/>
      </c>
      <c r="I4033" s="89"/>
      <c r="J4033" s="90"/>
      <c r="K4033" s="91"/>
      <c r="L4033" s="80" t="str">
        <f aca="false">IF(AND(J4033&lt;&gt;"",K4033&lt;&gt;""),J4033*K4033,"")</f>
        <v/>
      </c>
      <c r="M4033" s="81" t="str">
        <f aca="false">IF(L4033&lt;&gt;"",L4033*1.1,"")</f>
        <v/>
      </c>
      <c r="N4033" s="47" t="n">
        <f aca="false">IF(F4033="S",L4033*0.02,0)</f>
        <v>0</v>
      </c>
      <c r="O4033" s="82" t="str">
        <f aca="false">IF(L4033&lt;&gt;"",L4033+N4033,"")</f>
        <v/>
      </c>
      <c r="P4033" s="47" t="str">
        <f aca="false">IF(O4033&lt;&gt;"",O4033*0.1,"")</f>
        <v/>
      </c>
      <c r="Q4033" s="83" t="str">
        <f aca="false">IF(O4033&lt;&gt;"",O4033+P4033,"")</f>
        <v/>
      </c>
      <c r="R4033" s="84"/>
    </row>
    <row r="4034" customFormat="false" ht="15" hidden="false" customHeight="true" outlineLevel="0" collapsed="false">
      <c r="A4034" s="103"/>
      <c r="B4034" s="73"/>
      <c r="C4034" s="74"/>
      <c r="D4034" s="75"/>
      <c r="E4034" s="52" t="str">
        <f aca="false">IF(D4034&lt;&gt;"",IFERROR(VLOOKUP(D4034,PROVEEDORES!$A:$B,2,0),"!COD NO ENCONTRADO"),"")</f>
        <v/>
      </c>
      <c r="F4034" s="76" t="str">
        <f aca="false">IF(D4034&lt;&gt;"",IFERROR(VLOOKUP(D4034,PROVEEDORES!$A:$C,3,0),""),"")</f>
        <v/>
      </c>
      <c r="G4034" s="75"/>
      <c r="H4034" s="52" t="str">
        <f aca="false">IF(G4034&lt;&gt;"",IFERROR(VLOOKUP(G4034,PRODUCTOS!$A:$B,2,0),"!COD NO ENCONTRADO"),"")</f>
        <v/>
      </c>
      <c r="I4034" s="77"/>
      <c r="J4034" s="78"/>
      <c r="K4034" s="79"/>
      <c r="L4034" s="80" t="str">
        <f aca="false">IF(AND(J4034&lt;&gt;"",K4034&lt;&gt;""),J4034*K4034,"")</f>
        <v/>
      </c>
      <c r="M4034" s="81" t="str">
        <f aca="false">IF(L4034&lt;&gt;"",L4034*1.1,"")</f>
        <v/>
      </c>
      <c r="N4034" s="53" t="n">
        <f aca="false">IF(F4034="S",L4034*0.02,0)</f>
        <v>0</v>
      </c>
      <c r="O4034" s="82" t="str">
        <f aca="false">IF(L4034&lt;&gt;"",L4034+N4034,"")</f>
        <v/>
      </c>
      <c r="P4034" s="53" t="str">
        <f aca="false">IF(O4034&lt;&gt;"",O4034*0.1,"")</f>
        <v/>
      </c>
      <c r="Q4034" s="83" t="str">
        <f aca="false">IF(O4034&lt;&gt;"",O4034+P4034,"")</f>
        <v/>
      </c>
      <c r="R4034" s="84"/>
    </row>
    <row r="4035" customFormat="false" ht="15" hidden="false" customHeight="true" outlineLevel="0" collapsed="false">
      <c r="A4035" s="103"/>
      <c r="B4035" s="85"/>
      <c r="C4035" s="86"/>
      <c r="D4035" s="87"/>
      <c r="E4035" s="46" t="str">
        <f aca="false">IF(D4035&lt;&gt;"",IFERROR(VLOOKUP(D4035,PROVEEDORES!$A:$B,2,0),"!COD NO ENCONTRADO"),"")</f>
        <v/>
      </c>
      <c r="F4035" s="88" t="str">
        <f aca="false">IF(D4035&lt;&gt;"",IFERROR(VLOOKUP(D4035,PROVEEDORES!$A:$C,3,0),""),"")</f>
        <v/>
      </c>
      <c r="G4035" s="87"/>
      <c r="H4035" s="46" t="str">
        <f aca="false">IF(G4035&lt;&gt;"",IFERROR(VLOOKUP(G4035,PRODUCTOS!$A:$B,2,0),"!COD NO ENCONTRADO"),"")</f>
        <v/>
      </c>
      <c r="I4035" s="89"/>
      <c r="J4035" s="90"/>
      <c r="K4035" s="91"/>
      <c r="L4035" s="80" t="str">
        <f aca="false">IF(AND(J4035&lt;&gt;"",K4035&lt;&gt;""),J4035*K4035,"")</f>
        <v/>
      </c>
      <c r="M4035" s="81" t="str">
        <f aca="false">IF(L4035&lt;&gt;"",L4035*1.1,"")</f>
        <v/>
      </c>
      <c r="N4035" s="47" t="n">
        <f aca="false">IF(F4035="S",L4035*0.02,0)</f>
        <v>0</v>
      </c>
      <c r="O4035" s="82" t="str">
        <f aca="false">IF(L4035&lt;&gt;"",L4035+N4035,"")</f>
        <v/>
      </c>
      <c r="P4035" s="47" t="str">
        <f aca="false">IF(O4035&lt;&gt;"",O4035*0.1,"")</f>
        <v/>
      </c>
      <c r="Q4035" s="83" t="str">
        <f aca="false">IF(O4035&lt;&gt;"",O4035+P4035,"")</f>
        <v/>
      </c>
      <c r="R4035" s="84"/>
    </row>
    <row r="4036" customFormat="false" ht="15" hidden="false" customHeight="true" outlineLevel="0" collapsed="false">
      <c r="A4036" s="103"/>
      <c r="B4036" s="73"/>
      <c r="C4036" s="74"/>
      <c r="D4036" s="75"/>
      <c r="E4036" s="52" t="str">
        <f aca="false">IF(D4036&lt;&gt;"",IFERROR(VLOOKUP(D4036,PROVEEDORES!$A:$B,2,0),"!COD NO ENCONTRADO"),"")</f>
        <v/>
      </c>
      <c r="F4036" s="76" t="str">
        <f aca="false">IF(D4036&lt;&gt;"",IFERROR(VLOOKUP(D4036,PROVEEDORES!$A:$C,3,0),""),"")</f>
        <v/>
      </c>
      <c r="G4036" s="75"/>
      <c r="H4036" s="52" t="str">
        <f aca="false">IF(G4036&lt;&gt;"",IFERROR(VLOOKUP(G4036,PRODUCTOS!$A:$B,2,0),"!COD NO ENCONTRADO"),"")</f>
        <v/>
      </c>
      <c r="I4036" s="77"/>
      <c r="J4036" s="78"/>
      <c r="K4036" s="79"/>
      <c r="L4036" s="80" t="str">
        <f aca="false">IF(AND(J4036&lt;&gt;"",K4036&lt;&gt;""),J4036*K4036,"")</f>
        <v/>
      </c>
      <c r="M4036" s="81" t="str">
        <f aca="false">IF(L4036&lt;&gt;"",L4036*1.1,"")</f>
        <v/>
      </c>
      <c r="N4036" s="53" t="n">
        <f aca="false">IF(F4036="S",L4036*0.02,0)</f>
        <v>0</v>
      </c>
      <c r="O4036" s="82" t="str">
        <f aca="false">IF(L4036&lt;&gt;"",L4036+N4036,"")</f>
        <v/>
      </c>
      <c r="P4036" s="53" t="str">
        <f aca="false">IF(O4036&lt;&gt;"",O4036*0.1,"")</f>
        <v/>
      </c>
      <c r="Q4036" s="83" t="str">
        <f aca="false">IF(O4036&lt;&gt;"",O4036+P4036,"")</f>
        <v/>
      </c>
      <c r="R4036" s="84"/>
    </row>
    <row r="4037" customFormat="false" ht="15" hidden="false" customHeight="true" outlineLevel="0" collapsed="false">
      <c r="A4037" s="103"/>
      <c r="B4037" s="85"/>
      <c r="C4037" s="86"/>
      <c r="D4037" s="87"/>
      <c r="E4037" s="46" t="str">
        <f aca="false">IF(D4037&lt;&gt;"",IFERROR(VLOOKUP(D4037,PROVEEDORES!$A:$B,2,0),"!COD NO ENCONTRADO"),"")</f>
        <v/>
      </c>
      <c r="F4037" s="88" t="str">
        <f aca="false">IF(D4037&lt;&gt;"",IFERROR(VLOOKUP(D4037,PROVEEDORES!$A:$C,3,0),""),"")</f>
        <v/>
      </c>
      <c r="G4037" s="87"/>
      <c r="H4037" s="46" t="str">
        <f aca="false">IF(G4037&lt;&gt;"",IFERROR(VLOOKUP(G4037,PRODUCTOS!$A:$B,2,0),"!COD NO ENCONTRADO"),"")</f>
        <v/>
      </c>
      <c r="I4037" s="89"/>
      <c r="J4037" s="90"/>
      <c r="K4037" s="91"/>
      <c r="L4037" s="80" t="str">
        <f aca="false">IF(AND(J4037&lt;&gt;"",K4037&lt;&gt;""),J4037*K4037,"")</f>
        <v/>
      </c>
      <c r="M4037" s="81" t="str">
        <f aca="false">IF(L4037&lt;&gt;"",L4037*1.1,"")</f>
        <v/>
      </c>
      <c r="N4037" s="47" t="n">
        <f aca="false">IF(F4037="S",L4037*0.02,0)</f>
        <v>0</v>
      </c>
      <c r="O4037" s="82" t="str">
        <f aca="false">IF(L4037&lt;&gt;"",L4037+N4037,"")</f>
        <v/>
      </c>
      <c r="P4037" s="47" t="str">
        <f aca="false">IF(O4037&lt;&gt;"",O4037*0.1,"")</f>
        <v/>
      </c>
      <c r="Q4037" s="83" t="str">
        <f aca="false">IF(O4037&lt;&gt;"",O4037+P4037,"")</f>
        <v/>
      </c>
      <c r="R4037" s="84"/>
    </row>
    <row r="4038" customFormat="false" ht="15" hidden="false" customHeight="true" outlineLevel="0" collapsed="false">
      <c r="A4038" s="103"/>
      <c r="B4038" s="73"/>
      <c r="C4038" s="74"/>
      <c r="D4038" s="75"/>
      <c r="E4038" s="52" t="str">
        <f aca="false">IF(D4038&lt;&gt;"",IFERROR(VLOOKUP(D4038,PROVEEDORES!$A:$B,2,0),"!COD NO ENCONTRADO"),"")</f>
        <v/>
      </c>
      <c r="F4038" s="76" t="str">
        <f aca="false">IF(D4038&lt;&gt;"",IFERROR(VLOOKUP(D4038,PROVEEDORES!$A:$C,3,0),""),"")</f>
        <v/>
      </c>
      <c r="G4038" s="75"/>
      <c r="H4038" s="52" t="str">
        <f aca="false">IF(G4038&lt;&gt;"",IFERROR(VLOOKUP(G4038,PRODUCTOS!$A:$B,2,0),"!COD NO ENCONTRADO"),"")</f>
        <v/>
      </c>
      <c r="I4038" s="77"/>
      <c r="J4038" s="78"/>
      <c r="K4038" s="79"/>
      <c r="L4038" s="80" t="str">
        <f aca="false">IF(AND(J4038&lt;&gt;"",K4038&lt;&gt;""),J4038*K4038,"")</f>
        <v/>
      </c>
      <c r="M4038" s="81" t="str">
        <f aca="false">IF(L4038&lt;&gt;"",L4038*1.1,"")</f>
        <v/>
      </c>
      <c r="N4038" s="53" t="n">
        <f aca="false">IF(F4038="S",L4038*0.02,0)</f>
        <v>0</v>
      </c>
      <c r="O4038" s="82" t="str">
        <f aca="false">IF(L4038&lt;&gt;"",L4038+N4038,"")</f>
        <v/>
      </c>
      <c r="P4038" s="53" t="str">
        <f aca="false">IF(O4038&lt;&gt;"",O4038*0.1,"")</f>
        <v/>
      </c>
      <c r="Q4038" s="83" t="str">
        <f aca="false">IF(O4038&lt;&gt;"",O4038+P4038,"")</f>
        <v/>
      </c>
      <c r="R4038" s="84"/>
    </row>
    <row r="4039" customFormat="false" ht="15" hidden="false" customHeight="true" outlineLevel="0" collapsed="false">
      <c r="A4039" s="103"/>
      <c r="B4039" s="85"/>
      <c r="C4039" s="86"/>
      <c r="D4039" s="87"/>
      <c r="E4039" s="46" t="str">
        <f aca="false">IF(D4039&lt;&gt;"",IFERROR(VLOOKUP(D4039,PROVEEDORES!$A:$B,2,0),"!COD NO ENCONTRADO"),"")</f>
        <v/>
      </c>
      <c r="F4039" s="88" t="str">
        <f aca="false">IF(D4039&lt;&gt;"",IFERROR(VLOOKUP(D4039,PROVEEDORES!$A:$C,3,0),""),"")</f>
        <v/>
      </c>
      <c r="G4039" s="87"/>
      <c r="H4039" s="46" t="str">
        <f aca="false">IF(G4039&lt;&gt;"",IFERROR(VLOOKUP(G4039,PRODUCTOS!$A:$B,2,0),"!COD NO ENCONTRADO"),"")</f>
        <v/>
      </c>
      <c r="I4039" s="89"/>
      <c r="J4039" s="90"/>
      <c r="K4039" s="91"/>
      <c r="L4039" s="80" t="str">
        <f aca="false">IF(AND(J4039&lt;&gt;"",K4039&lt;&gt;""),J4039*K4039,"")</f>
        <v/>
      </c>
      <c r="M4039" s="81" t="str">
        <f aca="false">IF(L4039&lt;&gt;"",L4039*1.1,"")</f>
        <v/>
      </c>
      <c r="N4039" s="47" t="n">
        <f aca="false">IF(F4039="S",L4039*0.02,0)</f>
        <v>0</v>
      </c>
      <c r="O4039" s="82" t="str">
        <f aca="false">IF(L4039&lt;&gt;"",L4039+N4039,"")</f>
        <v/>
      </c>
      <c r="P4039" s="47" t="str">
        <f aca="false">IF(O4039&lt;&gt;"",O4039*0.1,"")</f>
        <v/>
      </c>
      <c r="Q4039" s="83" t="str">
        <f aca="false">IF(O4039&lt;&gt;"",O4039+P4039,"")</f>
        <v/>
      </c>
      <c r="R4039" s="84"/>
    </row>
    <row r="4040" customFormat="false" ht="15" hidden="false" customHeight="true" outlineLevel="0" collapsed="false">
      <c r="A4040" s="103"/>
      <c r="B4040" s="73"/>
      <c r="C4040" s="74"/>
      <c r="D4040" s="75"/>
      <c r="E4040" s="52" t="str">
        <f aca="false">IF(D4040&lt;&gt;"",IFERROR(VLOOKUP(D4040,PROVEEDORES!$A:$B,2,0),"!COD NO ENCONTRADO"),"")</f>
        <v/>
      </c>
      <c r="F4040" s="76" t="str">
        <f aca="false">IF(D4040&lt;&gt;"",IFERROR(VLOOKUP(D4040,PROVEEDORES!$A:$C,3,0),""),"")</f>
        <v/>
      </c>
      <c r="G4040" s="75"/>
      <c r="H4040" s="52" t="str">
        <f aca="false">IF(G4040&lt;&gt;"",IFERROR(VLOOKUP(G4040,PRODUCTOS!$A:$B,2,0),"!COD NO ENCONTRADO"),"")</f>
        <v/>
      </c>
      <c r="I4040" s="77"/>
      <c r="J4040" s="78"/>
      <c r="K4040" s="79"/>
      <c r="L4040" s="80" t="str">
        <f aca="false">IF(AND(J4040&lt;&gt;"",K4040&lt;&gt;""),J4040*K4040,"")</f>
        <v/>
      </c>
      <c r="M4040" s="81" t="str">
        <f aca="false">IF(L4040&lt;&gt;"",L4040*1.1,"")</f>
        <v/>
      </c>
      <c r="N4040" s="53" t="n">
        <f aca="false">IF(F4040="S",L4040*0.02,0)</f>
        <v>0</v>
      </c>
      <c r="O4040" s="82" t="str">
        <f aca="false">IF(L4040&lt;&gt;"",L4040+N4040,"")</f>
        <v/>
      </c>
      <c r="P4040" s="53" t="str">
        <f aca="false">IF(O4040&lt;&gt;"",O4040*0.1,"")</f>
        <v/>
      </c>
      <c r="Q4040" s="83" t="str">
        <f aca="false">IF(O4040&lt;&gt;"",O4040+P4040,"")</f>
        <v/>
      </c>
      <c r="R4040" s="84"/>
    </row>
    <row r="4041" customFormat="false" ht="15" hidden="false" customHeight="true" outlineLevel="0" collapsed="false">
      <c r="A4041" s="103"/>
      <c r="B4041" s="85"/>
      <c r="C4041" s="86"/>
      <c r="D4041" s="87"/>
      <c r="E4041" s="46" t="str">
        <f aca="false">IF(D4041&lt;&gt;"",IFERROR(VLOOKUP(D4041,PROVEEDORES!$A:$B,2,0),"!COD NO ENCONTRADO"),"")</f>
        <v/>
      </c>
      <c r="F4041" s="88" t="str">
        <f aca="false">IF(D4041&lt;&gt;"",IFERROR(VLOOKUP(D4041,PROVEEDORES!$A:$C,3,0),""),"")</f>
        <v/>
      </c>
      <c r="G4041" s="87"/>
      <c r="H4041" s="46" t="str">
        <f aca="false">IF(G4041&lt;&gt;"",IFERROR(VLOOKUP(G4041,PRODUCTOS!$A:$B,2,0),"!COD NO ENCONTRADO"),"")</f>
        <v/>
      </c>
      <c r="I4041" s="89"/>
      <c r="J4041" s="90"/>
      <c r="K4041" s="91"/>
      <c r="L4041" s="80" t="str">
        <f aca="false">IF(AND(J4041&lt;&gt;"",K4041&lt;&gt;""),J4041*K4041,"")</f>
        <v/>
      </c>
      <c r="M4041" s="81" t="str">
        <f aca="false">IF(L4041&lt;&gt;"",L4041*1.1,"")</f>
        <v/>
      </c>
      <c r="N4041" s="47" t="n">
        <f aca="false">IF(F4041="S",L4041*0.02,0)</f>
        <v>0</v>
      </c>
      <c r="O4041" s="82" t="str">
        <f aca="false">IF(L4041&lt;&gt;"",L4041+N4041,"")</f>
        <v/>
      </c>
      <c r="P4041" s="47" t="str">
        <f aca="false">IF(O4041&lt;&gt;"",O4041*0.1,"")</f>
        <v/>
      </c>
      <c r="Q4041" s="83" t="str">
        <f aca="false">IF(O4041&lt;&gt;"",O4041+P4041,"")</f>
        <v/>
      </c>
      <c r="R4041" s="84"/>
    </row>
    <row r="4042" customFormat="false" ht="15" hidden="false" customHeight="true" outlineLevel="0" collapsed="false">
      <c r="A4042" s="103"/>
      <c r="B4042" s="73"/>
      <c r="C4042" s="74"/>
      <c r="D4042" s="75"/>
      <c r="E4042" s="52" t="str">
        <f aca="false">IF(D4042&lt;&gt;"",IFERROR(VLOOKUP(D4042,PROVEEDORES!$A:$B,2,0),"!COD NO ENCONTRADO"),"")</f>
        <v/>
      </c>
      <c r="F4042" s="76" t="str">
        <f aca="false">IF(D4042&lt;&gt;"",IFERROR(VLOOKUP(D4042,PROVEEDORES!$A:$C,3,0),""),"")</f>
        <v/>
      </c>
      <c r="G4042" s="75"/>
      <c r="H4042" s="52" t="str">
        <f aca="false">IF(G4042&lt;&gt;"",IFERROR(VLOOKUP(G4042,PRODUCTOS!$A:$B,2,0),"!COD NO ENCONTRADO"),"")</f>
        <v/>
      </c>
      <c r="I4042" s="77"/>
      <c r="J4042" s="78"/>
      <c r="K4042" s="79"/>
      <c r="L4042" s="80" t="str">
        <f aca="false">IF(AND(J4042&lt;&gt;"",K4042&lt;&gt;""),J4042*K4042,"")</f>
        <v/>
      </c>
      <c r="M4042" s="81" t="str">
        <f aca="false">IF(L4042&lt;&gt;"",L4042*1.1,"")</f>
        <v/>
      </c>
      <c r="N4042" s="53" t="n">
        <f aca="false">IF(F4042="S",L4042*0.02,0)</f>
        <v>0</v>
      </c>
      <c r="O4042" s="82" t="str">
        <f aca="false">IF(L4042&lt;&gt;"",L4042+N4042,"")</f>
        <v/>
      </c>
      <c r="P4042" s="53" t="str">
        <f aca="false">IF(O4042&lt;&gt;"",O4042*0.1,"")</f>
        <v/>
      </c>
      <c r="Q4042" s="83" t="str">
        <f aca="false">IF(O4042&lt;&gt;"",O4042+P4042,"")</f>
        <v/>
      </c>
      <c r="R4042" s="84"/>
    </row>
    <row r="4043" customFormat="false" ht="15" hidden="false" customHeight="true" outlineLevel="0" collapsed="false">
      <c r="A4043" s="103"/>
      <c r="B4043" s="85"/>
      <c r="C4043" s="86"/>
      <c r="D4043" s="87"/>
      <c r="E4043" s="46" t="str">
        <f aca="false">IF(D4043&lt;&gt;"",IFERROR(VLOOKUP(D4043,PROVEEDORES!$A:$B,2,0),"!COD NO ENCONTRADO"),"")</f>
        <v/>
      </c>
      <c r="F4043" s="88" t="str">
        <f aca="false">IF(D4043&lt;&gt;"",IFERROR(VLOOKUP(D4043,PROVEEDORES!$A:$C,3,0),""),"")</f>
        <v/>
      </c>
      <c r="G4043" s="87"/>
      <c r="H4043" s="46" t="str">
        <f aca="false">IF(G4043&lt;&gt;"",IFERROR(VLOOKUP(G4043,PRODUCTOS!$A:$B,2,0),"!COD NO ENCONTRADO"),"")</f>
        <v/>
      </c>
      <c r="I4043" s="89"/>
      <c r="J4043" s="90"/>
      <c r="K4043" s="91"/>
      <c r="L4043" s="80" t="str">
        <f aca="false">IF(AND(J4043&lt;&gt;"",K4043&lt;&gt;""),J4043*K4043,"")</f>
        <v/>
      </c>
      <c r="M4043" s="81" t="str">
        <f aca="false">IF(L4043&lt;&gt;"",L4043*1.1,"")</f>
        <v/>
      </c>
      <c r="N4043" s="47" t="n">
        <f aca="false">IF(F4043="S",L4043*0.02,0)</f>
        <v>0</v>
      </c>
      <c r="O4043" s="82" t="str">
        <f aca="false">IF(L4043&lt;&gt;"",L4043+N4043,"")</f>
        <v/>
      </c>
      <c r="P4043" s="47" t="str">
        <f aca="false">IF(O4043&lt;&gt;"",O4043*0.1,"")</f>
        <v/>
      </c>
      <c r="Q4043" s="83" t="str">
        <f aca="false">IF(O4043&lt;&gt;"",O4043+P4043,"")</f>
        <v/>
      </c>
      <c r="R4043" s="84"/>
    </row>
    <row r="4044" customFormat="false" ht="15" hidden="false" customHeight="true" outlineLevel="0" collapsed="false">
      <c r="A4044" s="103"/>
      <c r="B4044" s="73"/>
      <c r="C4044" s="74"/>
      <c r="D4044" s="75"/>
      <c r="E4044" s="52" t="str">
        <f aca="false">IF(D4044&lt;&gt;"",IFERROR(VLOOKUP(D4044,PROVEEDORES!$A:$B,2,0),"!COD NO ENCONTRADO"),"")</f>
        <v/>
      </c>
      <c r="F4044" s="76" t="str">
        <f aca="false">IF(D4044&lt;&gt;"",IFERROR(VLOOKUP(D4044,PROVEEDORES!$A:$C,3,0),""),"")</f>
        <v/>
      </c>
      <c r="G4044" s="75"/>
      <c r="H4044" s="52" t="str">
        <f aca="false">IF(G4044&lt;&gt;"",IFERROR(VLOOKUP(G4044,PRODUCTOS!$A:$B,2,0),"!COD NO ENCONTRADO"),"")</f>
        <v/>
      </c>
      <c r="I4044" s="77"/>
      <c r="J4044" s="78"/>
      <c r="K4044" s="79"/>
      <c r="L4044" s="80" t="str">
        <f aca="false">IF(AND(J4044&lt;&gt;"",K4044&lt;&gt;""),J4044*K4044,"")</f>
        <v/>
      </c>
      <c r="M4044" s="81" t="str">
        <f aca="false">IF(L4044&lt;&gt;"",L4044*1.1,"")</f>
        <v/>
      </c>
      <c r="N4044" s="53" t="n">
        <f aca="false">IF(F4044="S",L4044*0.02,0)</f>
        <v>0</v>
      </c>
      <c r="O4044" s="82" t="str">
        <f aca="false">IF(L4044&lt;&gt;"",L4044+N4044,"")</f>
        <v/>
      </c>
      <c r="P4044" s="53" t="str">
        <f aca="false">IF(O4044&lt;&gt;"",O4044*0.1,"")</f>
        <v/>
      </c>
      <c r="Q4044" s="83" t="str">
        <f aca="false">IF(O4044&lt;&gt;"",O4044+P4044,"")</f>
        <v/>
      </c>
      <c r="R4044" s="84"/>
    </row>
    <row r="4045" customFormat="false" ht="15" hidden="false" customHeight="true" outlineLevel="0" collapsed="false">
      <c r="A4045" s="103"/>
      <c r="B4045" s="85"/>
      <c r="C4045" s="86"/>
      <c r="D4045" s="87"/>
      <c r="E4045" s="46" t="str">
        <f aca="false">IF(D4045&lt;&gt;"",IFERROR(VLOOKUP(D4045,PROVEEDORES!$A:$B,2,0),"!COD NO ENCONTRADO"),"")</f>
        <v/>
      </c>
      <c r="F4045" s="88" t="str">
        <f aca="false">IF(D4045&lt;&gt;"",IFERROR(VLOOKUP(D4045,PROVEEDORES!$A:$C,3,0),""),"")</f>
        <v/>
      </c>
      <c r="G4045" s="87"/>
      <c r="H4045" s="46" t="str">
        <f aca="false">IF(G4045&lt;&gt;"",IFERROR(VLOOKUP(G4045,PRODUCTOS!$A:$B,2,0),"!COD NO ENCONTRADO"),"")</f>
        <v/>
      </c>
      <c r="I4045" s="89"/>
      <c r="J4045" s="90"/>
      <c r="K4045" s="91"/>
      <c r="L4045" s="80" t="str">
        <f aca="false">IF(AND(J4045&lt;&gt;"",K4045&lt;&gt;""),J4045*K4045,"")</f>
        <v/>
      </c>
      <c r="M4045" s="81" t="str">
        <f aca="false">IF(L4045&lt;&gt;"",L4045*1.1,"")</f>
        <v/>
      </c>
      <c r="N4045" s="47" t="n">
        <f aca="false">IF(F4045="S",L4045*0.02,0)</f>
        <v>0</v>
      </c>
      <c r="O4045" s="82" t="str">
        <f aca="false">IF(L4045&lt;&gt;"",L4045+N4045,"")</f>
        <v/>
      </c>
      <c r="P4045" s="47" t="str">
        <f aca="false">IF(O4045&lt;&gt;"",O4045*0.1,"")</f>
        <v/>
      </c>
      <c r="Q4045" s="83" t="str">
        <f aca="false">IF(O4045&lt;&gt;"",O4045+P4045,"")</f>
        <v/>
      </c>
      <c r="R4045" s="84"/>
    </row>
    <row r="4046" customFormat="false" ht="15" hidden="false" customHeight="true" outlineLevel="0" collapsed="false">
      <c r="A4046" s="103"/>
      <c r="B4046" s="73"/>
      <c r="C4046" s="74"/>
      <c r="D4046" s="75"/>
      <c r="E4046" s="52" t="str">
        <f aca="false">IF(D4046&lt;&gt;"",IFERROR(VLOOKUP(D4046,PROVEEDORES!$A:$B,2,0),"!COD NO ENCONTRADO"),"")</f>
        <v/>
      </c>
      <c r="F4046" s="76" t="str">
        <f aca="false">IF(D4046&lt;&gt;"",IFERROR(VLOOKUP(D4046,PROVEEDORES!$A:$C,3,0),""),"")</f>
        <v/>
      </c>
      <c r="G4046" s="75"/>
      <c r="H4046" s="52" t="str">
        <f aca="false">IF(G4046&lt;&gt;"",IFERROR(VLOOKUP(G4046,PRODUCTOS!$A:$B,2,0),"!COD NO ENCONTRADO"),"")</f>
        <v/>
      </c>
      <c r="I4046" s="77"/>
      <c r="J4046" s="78"/>
      <c r="K4046" s="79"/>
      <c r="L4046" s="80" t="str">
        <f aca="false">IF(AND(J4046&lt;&gt;"",K4046&lt;&gt;""),J4046*K4046,"")</f>
        <v/>
      </c>
      <c r="M4046" s="81" t="str">
        <f aca="false">IF(L4046&lt;&gt;"",L4046*1.1,"")</f>
        <v/>
      </c>
      <c r="N4046" s="53" t="n">
        <f aca="false">IF(F4046="S",L4046*0.02,0)</f>
        <v>0</v>
      </c>
      <c r="O4046" s="82" t="str">
        <f aca="false">IF(L4046&lt;&gt;"",L4046+N4046,"")</f>
        <v/>
      </c>
      <c r="P4046" s="53" t="str">
        <f aca="false">IF(O4046&lt;&gt;"",O4046*0.1,"")</f>
        <v/>
      </c>
      <c r="Q4046" s="83" t="str">
        <f aca="false">IF(O4046&lt;&gt;"",O4046+P4046,"")</f>
        <v/>
      </c>
      <c r="R4046" s="84"/>
    </row>
    <row r="4047" customFormat="false" ht="15" hidden="false" customHeight="true" outlineLevel="0" collapsed="false">
      <c r="A4047" s="103"/>
      <c r="B4047" s="85"/>
      <c r="C4047" s="86"/>
      <c r="D4047" s="87"/>
      <c r="E4047" s="46" t="str">
        <f aca="false">IF(D4047&lt;&gt;"",IFERROR(VLOOKUP(D4047,PROVEEDORES!$A:$B,2,0),"!COD NO ENCONTRADO"),"")</f>
        <v/>
      </c>
      <c r="F4047" s="88" t="str">
        <f aca="false">IF(D4047&lt;&gt;"",IFERROR(VLOOKUP(D4047,PROVEEDORES!$A:$C,3,0),""),"")</f>
        <v/>
      </c>
      <c r="G4047" s="87"/>
      <c r="H4047" s="46" t="str">
        <f aca="false">IF(G4047&lt;&gt;"",IFERROR(VLOOKUP(G4047,PRODUCTOS!$A:$B,2,0),"!COD NO ENCONTRADO"),"")</f>
        <v/>
      </c>
      <c r="I4047" s="89"/>
      <c r="J4047" s="90"/>
      <c r="K4047" s="91"/>
      <c r="L4047" s="80" t="str">
        <f aca="false">IF(AND(J4047&lt;&gt;"",K4047&lt;&gt;""),J4047*K4047,"")</f>
        <v/>
      </c>
      <c r="M4047" s="81" t="str">
        <f aca="false">IF(L4047&lt;&gt;"",L4047*1.1,"")</f>
        <v/>
      </c>
      <c r="N4047" s="47" t="n">
        <f aca="false">IF(F4047="S",L4047*0.02,0)</f>
        <v>0</v>
      </c>
      <c r="O4047" s="82" t="str">
        <f aca="false">IF(L4047&lt;&gt;"",L4047+N4047,"")</f>
        <v/>
      </c>
      <c r="P4047" s="47" t="str">
        <f aca="false">IF(O4047&lt;&gt;"",O4047*0.1,"")</f>
        <v/>
      </c>
      <c r="Q4047" s="83" t="str">
        <f aca="false">IF(O4047&lt;&gt;"",O4047+P4047,"")</f>
        <v/>
      </c>
      <c r="R4047" s="84"/>
    </row>
    <row r="4048" customFormat="false" ht="15" hidden="false" customHeight="true" outlineLevel="0" collapsed="false">
      <c r="A4048" s="103"/>
      <c r="B4048" s="73"/>
      <c r="C4048" s="74"/>
      <c r="D4048" s="75"/>
      <c r="E4048" s="52" t="str">
        <f aca="false">IF(D4048&lt;&gt;"",IFERROR(VLOOKUP(D4048,PROVEEDORES!$A:$B,2,0),"!COD NO ENCONTRADO"),"")</f>
        <v/>
      </c>
      <c r="F4048" s="76" t="str">
        <f aca="false">IF(D4048&lt;&gt;"",IFERROR(VLOOKUP(D4048,PROVEEDORES!$A:$C,3,0),""),"")</f>
        <v/>
      </c>
      <c r="G4048" s="75"/>
      <c r="H4048" s="52" t="str">
        <f aca="false">IF(G4048&lt;&gt;"",IFERROR(VLOOKUP(G4048,PRODUCTOS!$A:$B,2,0),"!COD NO ENCONTRADO"),"")</f>
        <v/>
      </c>
      <c r="I4048" s="77"/>
      <c r="J4048" s="78"/>
      <c r="K4048" s="79"/>
      <c r="L4048" s="80" t="str">
        <f aca="false">IF(AND(J4048&lt;&gt;"",K4048&lt;&gt;""),J4048*K4048,"")</f>
        <v/>
      </c>
      <c r="M4048" s="81" t="str">
        <f aca="false">IF(L4048&lt;&gt;"",L4048*1.1,"")</f>
        <v/>
      </c>
      <c r="N4048" s="53" t="n">
        <f aca="false">IF(F4048="S",L4048*0.02,0)</f>
        <v>0</v>
      </c>
      <c r="O4048" s="82" t="str">
        <f aca="false">IF(L4048&lt;&gt;"",L4048+N4048,"")</f>
        <v/>
      </c>
      <c r="P4048" s="53" t="str">
        <f aca="false">IF(O4048&lt;&gt;"",O4048*0.1,"")</f>
        <v/>
      </c>
      <c r="Q4048" s="83" t="str">
        <f aca="false">IF(O4048&lt;&gt;"",O4048+P4048,"")</f>
        <v/>
      </c>
      <c r="R4048" s="84"/>
    </row>
    <row r="4049" customFormat="false" ht="15" hidden="false" customHeight="true" outlineLevel="0" collapsed="false">
      <c r="A4049" s="103"/>
      <c r="B4049" s="85"/>
      <c r="C4049" s="86"/>
      <c r="D4049" s="87"/>
      <c r="E4049" s="46" t="str">
        <f aca="false">IF(D4049&lt;&gt;"",IFERROR(VLOOKUP(D4049,PROVEEDORES!$A:$B,2,0),"!COD NO ENCONTRADO"),"")</f>
        <v/>
      </c>
      <c r="F4049" s="88" t="str">
        <f aca="false">IF(D4049&lt;&gt;"",IFERROR(VLOOKUP(D4049,PROVEEDORES!$A:$C,3,0),""),"")</f>
        <v/>
      </c>
      <c r="G4049" s="87"/>
      <c r="H4049" s="46" t="str">
        <f aca="false">IF(G4049&lt;&gt;"",IFERROR(VLOOKUP(G4049,PRODUCTOS!$A:$B,2,0),"!COD NO ENCONTRADO"),"")</f>
        <v/>
      </c>
      <c r="I4049" s="89"/>
      <c r="J4049" s="90"/>
      <c r="K4049" s="91"/>
      <c r="L4049" s="80" t="str">
        <f aca="false">IF(AND(J4049&lt;&gt;"",K4049&lt;&gt;""),J4049*K4049,"")</f>
        <v/>
      </c>
      <c r="M4049" s="81" t="str">
        <f aca="false">IF(L4049&lt;&gt;"",L4049*1.1,"")</f>
        <v/>
      </c>
      <c r="N4049" s="47" t="n">
        <f aca="false">IF(F4049="S",L4049*0.02,0)</f>
        <v>0</v>
      </c>
      <c r="O4049" s="82" t="str">
        <f aca="false">IF(L4049&lt;&gt;"",L4049+N4049,"")</f>
        <v/>
      </c>
      <c r="P4049" s="47" t="str">
        <f aca="false">IF(O4049&lt;&gt;"",O4049*0.1,"")</f>
        <v/>
      </c>
      <c r="Q4049" s="83" t="str">
        <f aca="false">IF(O4049&lt;&gt;"",O4049+P4049,"")</f>
        <v/>
      </c>
      <c r="R4049" s="84"/>
    </row>
    <row r="4050" customFormat="false" ht="15" hidden="false" customHeight="true" outlineLevel="0" collapsed="false">
      <c r="A4050" s="103"/>
      <c r="B4050" s="73"/>
      <c r="C4050" s="74"/>
      <c r="D4050" s="75"/>
      <c r="E4050" s="52" t="str">
        <f aca="false">IF(D4050&lt;&gt;"",IFERROR(VLOOKUP(D4050,PROVEEDORES!$A:$B,2,0),"!COD NO ENCONTRADO"),"")</f>
        <v/>
      </c>
      <c r="F4050" s="76" t="str">
        <f aca="false">IF(D4050&lt;&gt;"",IFERROR(VLOOKUP(D4050,PROVEEDORES!$A:$C,3,0),""),"")</f>
        <v/>
      </c>
      <c r="G4050" s="75"/>
      <c r="H4050" s="52" t="str">
        <f aca="false">IF(G4050&lt;&gt;"",IFERROR(VLOOKUP(G4050,PRODUCTOS!$A:$B,2,0),"!COD NO ENCONTRADO"),"")</f>
        <v/>
      </c>
      <c r="I4050" s="77"/>
      <c r="J4050" s="78"/>
      <c r="K4050" s="79"/>
      <c r="L4050" s="80" t="str">
        <f aca="false">IF(AND(J4050&lt;&gt;"",K4050&lt;&gt;""),J4050*K4050,"")</f>
        <v/>
      </c>
      <c r="M4050" s="81" t="str">
        <f aca="false">IF(L4050&lt;&gt;"",L4050*1.1,"")</f>
        <v/>
      </c>
      <c r="N4050" s="53" t="n">
        <f aca="false">IF(F4050="S",L4050*0.02,0)</f>
        <v>0</v>
      </c>
      <c r="O4050" s="82" t="str">
        <f aca="false">IF(L4050&lt;&gt;"",L4050+N4050,"")</f>
        <v/>
      </c>
      <c r="P4050" s="53" t="str">
        <f aca="false">IF(O4050&lt;&gt;"",O4050*0.1,"")</f>
        <v/>
      </c>
      <c r="Q4050" s="83" t="str">
        <f aca="false">IF(O4050&lt;&gt;"",O4050+P4050,"")</f>
        <v/>
      </c>
      <c r="R4050" s="84"/>
    </row>
    <row r="4051" customFormat="false" ht="15" hidden="false" customHeight="true" outlineLevel="0" collapsed="false">
      <c r="A4051" s="103"/>
      <c r="B4051" s="85"/>
      <c r="C4051" s="86"/>
      <c r="D4051" s="87"/>
      <c r="E4051" s="46" t="str">
        <f aca="false">IF(D4051&lt;&gt;"",IFERROR(VLOOKUP(D4051,PROVEEDORES!$A:$B,2,0),"!COD NO ENCONTRADO"),"")</f>
        <v/>
      </c>
      <c r="F4051" s="88" t="str">
        <f aca="false">IF(D4051&lt;&gt;"",IFERROR(VLOOKUP(D4051,PROVEEDORES!$A:$C,3,0),""),"")</f>
        <v/>
      </c>
      <c r="G4051" s="87"/>
      <c r="H4051" s="46" t="str">
        <f aca="false">IF(G4051&lt;&gt;"",IFERROR(VLOOKUP(G4051,PRODUCTOS!$A:$B,2,0),"!COD NO ENCONTRADO"),"")</f>
        <v/>
      </c>
      <c r="I4051" s="89"/>
      <c r="J4051" s="90"/>
      <c r="K4051" s="91"/>
      <c r="L4051" s="80" t="str">
        <f aca="false">IF(AND(J4051&lt;&gt;"",K4051&lt;&gt;""),J4051*K4051,"")</f>
        <v/>
      </c>
      <c r="M4051" s="81" t="str">
        <f aca="false">IF(L4051&lt;&gt;"",L4051*1.1,"")</f>
        <v/>
      </c>
      <c r="N4051" s="47" t="n">
        <f aca="false">IF(F4051="S",L4051*0.02,0)</f>
        <v>0</v>
      </c>
      <c r="O4051" s="82" t="str">
        <f aca="false">IF(L4051&lt;&gt;"",L4051+N4051,"")</f>
        <v/>
      </c>
      <c r="P4051" s="47" t="str">
        <f aca="false">IF(O4051&lt;&gt;"",O4051*0.1,"")</f>
        <v/>
      </c>
      <c r="Q4051" s="83" t="str">
        <f aca="false">IF(O4051&lt;&gt;"",O4051+P4051,"")</f>
        <v/>
      </c>
      <c r="R4051" s="84"/>
    </row>
    <row r="4052" customFormat="false" ht="15" hidden="false" customHeight="true" outlineLevel="0" collapsed="false">
      <c r="A4052" s="103"/>
      <c r="B4052" s="73"/>
      <c r="C4052" s="74"/>
      <c r="D4052" s="75"/>
      <c r="E4052" s="52" t="str">
        <f aca="false">IF(D4052&lt;&gt;"",IFERROR(VLOOKUP(D4052,PROVEEDORES!$A:$B,2,0),"!COD NO ENCONTRADO"),"")</f>
        <v/>
      </c>
      <c r="F4052" s="76" t="str">
        <f aca="false">IF(D4052&lt;&gt;"",IFERROR(VLOOKUP(D4052,PROVEEDORES!$A:$C,3,0),""),"")</f>
        <v/>
      </c>
      <c r="G4052" s="75"/>
      <c r="H4052" s="52" t="str">
        <f aca="false">IF(G4052&lt;&gt;"",IFERROR(VLOOKUP(G4052,PRODUCTOS!$A:$B,2,0),"!COD NO ENCONTRADO"),"")</f>
        <v/>
      </c>
      <c r="I4052" s="77"/>
      <c r="J4052" s="78"/>
      <c r="K4052" s="79"/>
      <c r="L4052" s="80" t="str">
        <f aca="false">IF(AND(J4052&lt;&gt;"",K4052&lt;&gt;""),J4052*K4052,"")</f>
        <v/>
      </c>
      <c r="M4052" s="81" t="str">
        <f aca="false">IF(L4052&lt;&gt;"",L4052*1.1,"")</f>
        <v/>
      </c>
      <c r="N4052" s="53" t="n">
        <f aca="false">IF(F4052="S",L4052*0.02,0)</f>
        <v>0</v>
      </c>
      <c r="O4052" s="82" t="str">
        <f aca="false">IF(L4052&lt;&gt;"",L4052+N4052,"")</f>
        <v/>
      </c>
      <c r="P4052" s="53" t="str">
        <f aca="false">IF(O4052&lt;&gt;"",O4052*0.1,"")</f>
        <v/>
      </c>
      <c r="Q4052" s="83" t="str">
        <f aca="false">IF(O4052&lt;&gt;"",O4052+P4052,"")</f>
        <v/>
      </c>
      <c r="R4052" s="84"/>
    </row>
    <row r="4053" customFormat="false" ht="15" hidden="false" customHeight="true" outlineLevel="0" collapsed="false">
      <c r="A4053" s="103"/>
      <c r="B4053" s="85"/>
      <c r="C4053" s="86"/>
      <c r="D4053" s="87"/>
      <c r="E4053" s="46" t="str">
        <f aca="false">IF(D4053&lt;&gt;"",IFERROR(VLOOKUP(D4053,PROVEEDORES!$A:$B,2,0),"!COD NO ENCONTRADO"),"")</f>
        <v/>
      </c>
      <c r="F4053" s="88" t="str">
        <f aca="false">IF(D4053&lt;&gt;"",IFERROR(VLOOKUP(D4053,PROVEEDORES!$A:$C,3,0),""),"")</f>
        <v/>
      </c>
      <c r="G4053" s="87"/>
      <c r="H4053" s="46" t="str">
        <f aca="false">IF(G4053&lt;&gt;"",IFERROR(VLOOKUP(G4053,PRODUCTOS!$A:$B,2,0),"!COD NO ENCONTRADO"),"")</f>
        <v/>
      </c>
      <c r="I4053" s="89"/>
      <c r="J4053" s="90"/>
      <c r="K4053" s="91"/>
      <c r="L4053" s="80" t="str">
        <f aca="false">IF(AND(J4053&lt;&gt;"",K4053&lt;&gt;""),J4053*K4053,"")</f>
        <v/>
      </c>
      <c r="M4053" s="81" t="str">
        <f aca="false">IF(L4053&lt;&gt;"",L4053*1.1,"")</f>
        <v/>
      </c>
      <c r="N4053" s="47" t="n">
        <f aca="false">IF(F4053="S",L4053*0.02,0)</f>
        <v>0</v>
      </c>
      <c r="O4053" s="82" t="str">
        <f aca="false">IF(L4053&lt;&gt;"",L4053+N4053,"")</f>
        <v/>
      </c>
      <c r="P4053" s="47" t="str">
        <f aca="false">IF(O4053&lt;&gt;"",O4053*0.1,"")</f>
        <v/>
      </c>
      <c r="Q4053" s="83" t="str">
        <f aca="false">IF(O4053&lt;&gt;"",O4053+P4053,"")</f>
        <v/>
      </c>
      <c r="R4053" s="84"/>
    </row>
    <row r="4054" customFormat="false" ht="15" hidden="false" customHeight="true" outlineLevel="0" collapsed="false">
      <c r="A4054" s="103"/>
      <c r="B4054" s="73"/>
      <c r="C4054" s="74"/>
      <c r="D4054" s="75"/>
      <c r="E4054" s="52" t="str">
        <f aca="false">IF(D4054&lt;&gt;"",IFERROR(VLOOKUP(D4054,PROVEEDORES!$A:$B,2,0),"!COD NO ENCONTRADO"),"")</f>
        <v/>
      </c>
      <c r="F4054" s="76" t="str">
        <f aca="false">IF(D4054&lt;&gt;"",IFERROR(VLOOKUP(D4054,PROVEEDORES!$A:$C,3,0),""),"")</f>
        <v/>
      </c>
      <c r="G4054" s="75"/>
      <c r="H4054" s="52" t="str">
        <f aca="false">IF(G4054&lt;&gt;"",IFERROR(VLOOKUP(G4054,PRODUCTOS!$A:$B,2,0),"!COD NO ENCONTRADO"),"")</f>
        <v/>
      </c>
      <c r="I4054" s="77"/>
      <c r="J4054" s="78"/>
      <c r="K4054" s="79"/>
      <c r="L4054" s="80" t="str">
        <f aca="false">IF(AND(J4054&lt;&gt;"",K4054&lt;&gt;""),J4054*K4054,"")</f>
        <v/>
      </c>
      <c r="M4054" s="81" t="str">
        <f aca="false">IF(L4054&lt;&gt;"",L4054*1.1,"")</f>
        <v/>
      </c>
      <c r="N4054" s="53" t="n">
        <f aca="false">IF(F4054="S",L4054*0.02,0)</f>
        <v>0</v>
      </c>
      <c r="O4054" s="82" t="str">
        <f aca="false">IF(L4054&lt;&gt;"",L4054+N4054,"")</f>
        <v/>
      </c>
      <c r="P4054" s="53" t="str">
        <f aca="false">IF(O4054&lt;&gt;"",O4054*0.1,"")</f>
        <v/>
      </c>
      <c r="Q4054" s="83" t="str">
        <f aca="false">IF(O4054&lt;&gt;"",O4054+P4054,"")</f>
        <v/>
      </c>
      <c r="R4054" s="84"/>
    </row>
    <row r="4055" customFormat="false" ht="15" hidden="false" customHeight="true" outlineLevel="0" collapsed="false">
      <c r="A4055" s="103"/>
      <c r="B4055" s="85"/>
      <c r="C4055" s="86"/>
      <c r="D4055" s="87"/>
      <c r="E4055" s="46" t="str">
        <f aca="false">IF(D4055&lt;&gt;"",IFERROR(VLOOKUP(D4055,PROVEEDORES!$A:$B,2,0),"!COD NO ENCONTRADO"),"")</f>
        <v/>
      </c>
      <c r="F4055" s="88" t="str">
        <f aca="false">IF(D4055&lt;&gt;"",IFERROR(VLOOKUP(D4055,PROVEEDORES!$A:$C,3,0),""),"")</f>
        <v/>
      </c>
      <c r="G4055" s="87"/>
      <c r="H4055" s="46" t="str">
        <f aca="false">IF(G4055&lt;&gt;"",IFERROR(VLOOKUP(G4055,PRODUCTOS!$A:$B,2,0),"!COD NO ENCONTRADO"),"")</f>
        <v/>
      </c>
      <c r="I4055" s="89"/>
      <c r="J4055" s="90"/>
      <c r="K4055" s="91"/>
      <c r="L4055" s="80" t="str">
        <f aca="false">IF(AND(J4055&lt;&gt;"",K4055&lt;&gt;""),J4055*K4055,"")</f>
        <v/>
      </c>
      <c r="M4055" s="81" t="str">
        <f aca="false">IF(L4055&lt;&gt;"",L4055*1.1,"")</f>
        <v/>
      </c>
      <c r="N4055" s="47" t="n">
        <f aca="false">IF(F4055="S",L4055*0.02,0)</f>
        <v>0</v>
      </c>
      <c r="O4055" s="82" t="str">
        <f aca="false">IF(L4055&lt;&gt;"",L4055+N4055,"")</f>
        <v/>
      </c>
      <c r="P4055" s="47" t="str">
        <f aca="false">IF(O4055&lt;&gt;"",O4055*0.1,"")</f>
        <v/>
      </c>
      <c r="Q4055" s="83" t="str">
        <f aca="false">IF(O4055&lt;&gt;"",O4055+P4055,"")</f>
        <v/>
      </c>
      <c r="R4055" s="84"/>
    </row>
    <row r="4056" customFormat="false" ht="15" hidden="false" customHeight="true" outlineLevel="0" collapsed="false">
      <c r="A4056" s="103"/>
      <c r="B4056" s="73"/>
      <c r="C4056" s="74"/>
      <c r="D4056" s="75"/>
      <c r="E4056" s="52" t="str">
        <f aca="false">IF(D4056&lt;&gt;"",IFERROR(VLOOKUP(D4056,PROVEEDORES!$A:$B,2,0),"!COD NO ENCONTRADO"),"")</f>
        <v/>
      </c>
      <c r="F4056" s="76" t="str">
        <f aca="false">IF(D4056&lt;&gt;"",IFERROR(VLOOKUP(D4056,PROVEEDORES!$A:$C,3,0),""),"")</f>
        <v/>
      </c>
      <c r="G4056" s="75"/>
      <c r="H4056" s="52" t="str">
        <f aca="false">IF(G4056&lt;&gt;"",IFERROR(VLOOKUP(G4056,PRODUCTOS!$A:$B,2,0),"!COD NO ENCONTRADO"),"")</f>
        <v/>
      </c>
      <c r="I4056" s="77"/>
      <c r="J4056" s="78"/>
      <c r="K4056" s="79"/>
      <c r="L4056" s="80" t="str">
        <f aca="false">IF(AND(J4056&lt;&gt;"",K4056&lt;&gt;""),J4056*K4056,"")</f>
        <v/>
      </c>
      <c r="M4056" s="81" t="str">
        <f aca="false">IF(L4056&lt;&gt;"",L4056*1.1,"")</f>
        <v/>
      </c>
      <c r="N4056" s="53" t="n">
        <f aca="false">IF(F4056="S",L4056*0.02,0)</f>
        <v>0</v>
      </c>
      <c r="O4056" s="82" t="str">
        <f aca="false">IF(L4056&lt;&gt;"",L4056+N4056,"")</f>
        <v/>
      </c>
      <c r="P4056" s="53" t="str">
        <f aca="false">IF(O4056&lt;&gt;"",O4056*0.1,"")</f>
        <v/>
      </c>
      <c r="Q4056" s="83" t="str">
        <f aca="false">IF(O4056&lt;&gt;"",O4056+P4056,"")</f>
        <v/>
      </c>
      <c r="R4056" s="84"/>
    </row>
    <row r="4057" customFormat="false" ht="15" hidden="false" customHeight="true" outlineLevel="0" collapsed="false">
      <c r="A4057" s="103"/>
      <c r="B4057" s="85"/>
      <c r="C4057" s="86"/>
      <c r="D4057" s="87"/>
      <c r="E4057" s="46" t="str">
        <f aca="false">IF(D4057&lt;&gt;"",IFERROR(VLOOKUP(D4057,PROVEEDORES!$A:$B,2,0),"!COD NO ENCONTRADO"),"")</f>
        <v/>
      </c>
      <c r="F4057" s="88" t="str">
        <f aca="false">IF(D4057&lt;&gt;"",IFERROR(VLOOKUP(D4057,PROVEEDORES!$A:$C,3,0),""),"")</f>
        <v/>
      </c>
      <c r="G4057" s="87"/>
      <c r="H4057" s="46" t="str">
        <f aca="false">IF(G4057&lt;&gt;"",IFERROR(VLOOKUP(G4057,PRODUCTOS!$A:$B,2,0),"!COD NO ENCONTRADO"),"")</f>
        <v/>
      </c>
      <c r="I4057" s="89"/>
      <c r="J4057" s="90"/>
      <c r="K4057" s="91"/>
      <c r="L4057" s="80" t="str">
        <f aca="false">IF(AND(J4057&lt;&gt;"",K4057&lt;&gt;""),J4057*K4057,"")</f>
        <v/>
      </c>
      <c r="M4057" s="81" t="str">
        <f aca="false">IF(L4057&lt;&gt;"",L4057*1.1,"")</f>
        <v/>
      </c>
      <c r="N4057" s="47" t="n">
        <f aca="false">IF(F4057="S",L4057*0.02,0)</f>
        <v>0</v>
      </c>
      <c r="O4057" s="82" t="str">
        <f aca="false">IF(L4057&lt;&gt;"",L4057+N4057,"")</f>
        <v/>
      </c>
      <c r="P4057" s="47" t="str">
        <f aca="false">IF(O4057&lt;&gt;"",O4057*0.1,"")</f>
        <v/>
      </c>
      <c r="Q4057" s="83" t="str">
        <f aca="false">IF(O4057&lt;&gt;"",O4057+P4057,"")</f>
        <v/>
      </c>
      <c r="R4057" s="84"/>
    </row>
    <row r="4058" customFormat="false" ht="15" hidden="false" customHeight="true" outlineLevel="0" collapsed="false">
      <c r="A4058" s="103"/>
      <c r="B4058" s="73"/>
      <c r="C4058" s="74"/>
      <c r="D4058" s="75"/>
      <c r="E4058" s="52" t="str">
        <f aca="false">IF(D4058&lt;&gt;"",IFERROR(VLOOKUP(D4058,PROVEEDORES!$A:$B,2,0),"!COD NO ENCONTRADO"),"")</f>
        <v/>
      </c>
      <c r="F4058" s="76" t="str">
        <f aca="false">IF(D4058&lt;&gt;"",IFERROR(VLOOKUP(D4058,PROVEEDORES!$A:$C,3,0),""),"")</f>
        <v/>
      </c>
      <c r="G4058" s="75"/>
      <c r="H4058" s="52" t="str">
        <f aca="false">IF(G4058&lt;&gt;"",IFERROR(VLOOKUP(G4058,PRODUCTOS!$A:$B,2,0),"!COD NO ENCONTRADO"),"")</f>
        <v/>
      </c>
      <c r="I4058" s="77"/>
      <c r="J4058" s="78"/>
      <c r="K4058" s="79"/>
      <c r="L4058" s="80" t="str">
        <f aca="false">IF(AND(J4058&lt;&gt;"",K4058&lt;&gt;""),J4058*K4058,"")</f>
        <v/>
      </c>
      <c r="M4058" s="81" t="str">
        <f aca="false">IF(L4058&lt;&gt;"",L4058*1.1,"")</f>
        <v/>
      </c>
      <c r="N4058" s="53" t="n">
        <f aca="false">IF(F4058="S",L4058*0.02,0)</f>
        <v>0</v>
      </c>
      <c r="O4058" s="82" t="str">
        <f aca="false">IF(L4058&lt;&gt;"",L4058+N4058,"")</f>
        <v/>
      </c>
      <c r="P4058" s="53" t="str">
        <f aca="false">IF(O4058&lt;&gt;"",O4058*0.1,"")</f>
        <v/>
      </c>
      <c r="Q4058" s="83" t="str">
        <f aca="false">IF(O4058&lt;&gt;"",O4058+P4058,"")</f>
        <v/>
      </c>
      <c r="R4058" s="84"/>
    </row>
    <row r="4059" customFormat="false" ht="15" hidden="false" customHeight="true" outlineLevel="0" collapsed="false">
      <c r="A4059" s="103"/>
      <c r="B4059" s="85"/>
      <c r="C4059" s="86"/>
      <c r="D4059" s="87"/>
      <c r="E4059" s="46" t="str">
        <f aca="false">IF(D4059&lt;&gt;"",IFERROR(VLOOKUP(D4059,PROVEEDORES!$A:$B,2,0),"!COD NO ENCONTRADO"),"")</f>
        <v/>
      </c>
      <c r="F4059" s="88" t="str">
        <f aca="false">IF(D4059&lt;&gt;"",IFERROR(VLOOKUP(D4059,PROVEEDORES!$A:$C,3,0),""),"")</f>
        <v/>
      </c>
      <c r="G4059" s="87"/>
      <c r="H4059" s="46" t="str">
        <f aca="false">IF(G4059&lt;&gt;"",IFERROR(VLOOKUP(G4059,PRODUCTOS!$A:$B,2,0),"!COD NO ENCONTRADO"),"")</f>
        <v/>
      </c>
      <c r="I4059" s="89"/>
      <c r="J4059" s="90"/>
      <c r="K4059" s="91"/>
      <c r="L4059" s="80" t="str">
        <f aca="false">IF(AND(J4059&lt;&gt;"",K4059&lt;&gt;""),J4059*K4059,"")</f>
        <v/>
      </c>
      <c r="M4059" s="81" t="str">
        <f aca="false">IF(L4059&lt;&gt;"",L4059*1.1,"")</f>
        <v/>
      </c>
      <c r="N4059" s="47" t="n">
        <f aca="false">IF(F4059="S",L4059*0.02,0)</f>
        <v>0</v>
      </c>
      <c r="O4059" s="82" t="str">
        <f aca="false">IF(L4059&lt;&gt;"",L4059+N4059,"")</f>
        <v/>
      </c>
      <c r="P4059" s="47" t="str">
        <f aca="false">IF(O4059&lt;&gt;"",O4059*0.1,"")</f>
        <v/>
      </c>
      <c r="Q4059" s="83" t="str">
        <f aca="false">IF(O4059&lt;&gt;"",O4059+P4059,"")</f>
        <v/>
      </c>
      <c r="R4059" s="84"/>
    </row>
    <row r="4060" customFormat="false" ht="15" hidden="false" customHeight="true" outlineLevel="0" collapsed="false">
      <c r="A4060" s="103"/>
      <c r="B4060" s="73"/>
      <c r="C4060" s="74"/>
      <c r="D4060" s="75"/>
      <c r="E4060" s="52" t="str">
        <f aca="false">IF(D4060&lt;&gt;"",IFERROR(VLOOKUP(D4060,PROVEEDORES!$A:$B,2,0),"!COD NO ENCONTRADO"),"")</f>
        <v/>
      </c>
      <c r="F4060" s="76" t="str">
        <f aca="false">IF(D4060&lt;&gt;"",IFERROR(VLOOKUP(D4060,PROVEEDORES!$A:$C,3,0),""),"")</f>
        <v/>
      </c>
      <c r="G4060" s="75"/>
      <c r="H4060" s="52" t="str">
        <f aca="false">IF(G4060&lt;&gt;"",IFERROR(VLOOKUP(G4060,PRODUCTOS!$A:$B,2,0),"!COD NO ENCONTRADO"),"")</f>
        <v/>
      </c>
      <c r="I4060" s="77"/>
      <c r="J4060" s="78"/>
      <c r="K4060" s="79"/>
      <c r="L4060" s="80" t="str">
        <f aca="false">IF(AND(J4060&lt;&gt;"",K4060&lt;&gt;""),J4060*K4060,"")</f>
        <v/>
      </c>
      <c r="M4060" s="81" t="str">
        <f aca="false">IF(L4060&lt;&gt;"",L4060*1.1,"")</f>
        <v/>
      </c>
      <c r="N4060" s="53" t="n">
        <f aca="false">IF(F4060="S",L4060*0.02,0)</f>
        <v>0</v>
      </c>
      <c r="O4060" s="82" t="str">
        <f aca="false">IF(L4060&lt;&gt;"",L4060+N4060,"")</f>
        <v/>
      </c>
      <c r="P4060" s="53" t="str">
        <f aca="false">IF(O4060&lt;&gt;"",O4060*0.1,"")</f>
        <v/>
      </c>
      <c r="Q4060" s="83" t="str">
        <f aca="false">IF(O4060&lt;&gt;"",O4060+P4060,"")</f>
        <v/>
      </c>
      <c r="R4060" s="84"/>
    </row>
    <row r="4061" customFormat="false" ht="15" hidden="false" customHeight="true" outlineLevel="0" collapsed="false">
      <c r="A4061" s="103"/>
      <c r="B4061" s="85"/>
      <c r="C4061" s="86"/>
      <c r="D4061" s="87"/>
      <c r="E4061" s="46" t="str">
        <f aca="false">IF(D4061&lt;&gt;"",IFERROR(VLOOKUP(D4061,PROVEEDORES!$A:$B,2,0),"!COD NO ENCONTRADO"),"")</f>
        <v/>
      </c>
      <c r="F4061" s="88" t="str">
        <f aca="false">IF(D4061&lt;&gt;"",IFERROR(VLOOKUP(D4061,PROVEEDORES!$A:$C,3,0),""),"")</f>
        <v/>
      </c>
      <c r="G4061" s="87"/>
      <c r="H4061" s="46" t="str">
        <f aca="false">IF(G4061&lt;&gt;"",IFERROR(VLOOKUP(G4061,PRODUCTOS!$A:$B,2,0),"!COD NO ENCONTRADO"),"")</f>
        <v/>
      </c>
      <c r="I4061" s="89"/>
      <c r="J4061" s="90"/>
      <c r="K4061" s="91"/>
      <c r="L4061" s="80" t="str">
        <f aca="false">IF(AND(J4061&lt;&gt;"",K4061&lt;&gt;""),J4061*K4061,"")</f>
        <v/>
      </c>
      <c r="M4061" s="81" t="str">
        <f aca="false">IF(L4061&lt;&gt;"",L4061*1.1,"")</f>
        <v/>
      </c>
      <c r="N4061" s="47" t="n">
        <f aca="false">IF(F4061="S",L4061*0.02,0)</f>
        <v>0</v>
      </c>
      <c r="O4061" s="82" t="str">
        <f aca="false">IF(L4061&lt;&gt;"",L4061+N4061,"")</f>
        <v/>
      </c>
      <c r="P4061" s="47" t="str">
        <f aca="false">IF(O4061&lt;&gt;"",O4061*0.1,"")</f>
        <v/>
      </c>
      <c r="Q4061" s="83" t="str">
        <f aca="false">IF(O4061&lt;&gt;"",O4061+P4061,"")</f>
        <v/>
      </c>
      <c r="R4061" s="84"/>
    </row>
    <row r="4062" customFormat="false" ht="15" hidden="false" customHeight="true" outlineLevel="0" collapsed="false">
      <c r="A4062" s="103"/>
      <c r="B4062" s="73"/>
      <c r="C4062" s="74"/>
      <c r="D4062" s="75"/>
      <c r="E4062" s="52" t="str">
        <f aca="false">IF(D4062&lt;&gt;"",IFERROR(VLOOKUP(D4062,PROVEEDORES!$A:$B,2,0),"!COD NO ENCONTRADO"),"")</f>
        <v/>
      </c>
      <c r="F4062" s="76" t="str">
        <f aca="false">IF(D4062&lt;&gt;"",IFERROR(VLOOKUP(D4062,PROVEEDORES!$A:$C,3,0),""),"")</f>
        <v/>
      </c>
      <c r="G4062" s="75"/>
      <c r="H4062" s="52" t="str">
        <f aca="false">IF(G4062&lt;&gt;"",IFERROR(VLOOKUP(G4062,PRODUCTOS!$A:$B,2,0),"!COD NO ENCONTRADO"),"")</f>
        <v/>
      </c>
      <c r="I4062" s="77"/>
      <c r="J4062" s="78"/>
      <c r="K4062" s="79"/>
      <c r="L4062" s="80" t="str">
        <f aca="false">IF(AND(J4062&lt;&gt;"",K4062&lt;&gt;""),J4062*K4062,"")</f>
        <v/>
      </c>
      <c r="M4062" s="81" t="str">
        <f aca="false">IF(L4062&lt;&gt;"",L4062*1.1,"")</f>
        <v/>
      </c>
      <c r="N4062" s="53" t="n">
        <f aca="false">IF(F4062="S",L4062*0.02,0)</f>
        <v>0</v>
      </c>
      <c r="O4062" s="82" t="str">
        <f aca="false">IF(L4062&lt;&gt;"",L4062+N4062,"")</f>
        <v/>
      </c>
      <c r="P4062" s="53" t="str">
        <f aca="false">IF(O4062&lt;&gt;"",O4062*0.1,"")</f>
        <v/>
      </c>
      <c r="Q4062" s="83" t="str">
        <f aca="false">IF(O4062&lt;&gt;"",O4062+P4062,"")</f>
        <v/>
      </c>
      <c r="R4062" s="84"/>
    </row>
    <row r="4063" customFormat="false" ht="15" hidden="false" customHeight="true" outlineLevel="0" collapsed="false">
      <c r="A4063" s="103"/>
      <c r="B4063" s="85"/>
      <c r="C4063" s="86"/>
      <c r="D4063" s="87"/>
      <c r="E4063" s="46" t="str">
        <f aca="false">IF(D4063&lt;&gt;"",IFERROR(VLOOKUP(D4063,PROVEEDORES!$A:$B,2,0),"!COD NO ENCONTRADO"),"")</f>
        <v/>
      </c>
      <c r="F4063" s="88" t="str">
        <f aca="false">IF(D4063&lt;&gt;"",IFERROR(VLOOKUP(D4063,PROVEEDORES!$A:$C,3,0),""),"")</f>
        <v/>
      </c>
      <c r="G4063" s="87"/>
      <c r="H4063" s="46" t="str">
        <f aca="false">IF(G4063&lt;&gt;"",IFERROR(VLOOKUP(G4063,PRODUCTOS!$A:$B,2,0),"!COD NO ENCONTRADO"),"")</f>
        <v/>
      </c>
      <c r="I4063" s="89"/>
      <c r="J4063" s="90"/>
      <c r="K4063" s="91"/>
      <c r="L4063" s="80" t="str">
        <f aca="false">IF(AND(J4063&lt;&gt;"",K4063&lt;&gt;""),J4063*K4063,"")</f>
        <v/>
      </c>
      <c r="M4063" s="81" t="str">
        <f aca="false">IF(L4063&lt;&gt;"",L4063*1.1,"")</f>
        <v/>
      </c>
      <c r="N4063" s="47" t="n">
        <f aca="false">IF(F4063="S",L4063*0.02,0)</f>
        <v>0</v>
      </c>
      <c r="O4063" s="82" t="str">
        <f aca="false">IF(L4063&lt;&gt;"",L4063+N4063,"")</f>
        <v/>
      </c>
      <c r="P4063" s="47" t="str">
        <f aca="false">IF(O4063&lt;&gt;"",O4063*0.1,"")</f>
        <v/>
      </c>
      <c r="Q4063" s="83" t="str">
        <f aca="false">IF(O4063&lt;&gt;"",O4063+P4063,"")</f>
        <v/>
      </c>
      <c r="R4063" s="84"/>
    </row>
    <row r="4064" customFormat="false" ht="15" hidden="false" customHeight="true" outlineLevel="0" collapsed="false">
      <c r="A4064" s="103"/>
      <c r="B4064" s="73"/>
      <c r="C4064" s="74"/>
      <c r="D4064" s="75"/>
      <c r="E4064" s="52" t="str">
        <f aca="false">IF(D4064&lt;&gt;"",IFERROR(VLOOKUP(D4064,PROVEEDORES!$A:$B,2,0),"!COD NO ENCONTRADO"),"")</f>
        <v/>
      </c>
      <c r="F4064" s="76" t="str">
        <f aca="false">IF(D4064&lt;&gt;"",IFERROR(VLOOKUP(D4064,PROVEEDORES!$A:$C,3,0),""),"")</f>
        <v/>
      </c>
      <c r="G4064" s="75"/>
      <c r="H4064" s="52" t="str">
        <f aca="false">IF(G4064&lt;&gt;"",IFERROR(VLOOKUP(G4064,PRODUCTOS!$A:$B,2,0),"!COD NO ENCONTRADO"),"")</f>
        <v/>
      </c>
      <c r="I4064" s="77"/>
      <c r="J4064" s="78"/>
      <c r="K4064" s="79"/>
      <c r="L4064" s="80" t="str">
        <f aca="false">IF(AND(J4064&lt;&gt;"",K4064&lt;&gt;""),J4064*K4064,"")</f>
        <v/>
      </c>
      <c r="M4064" s="81" t="str">
        <f aca="false">IF(L4064&lt;&gt;"",L4064*1.1,"")</f>
        <v/>
      </c>
      <c r="N4064" s="53" t="n">
        <f aca="false">IF(F4064="S",L4064*0.02,0)</f>
        <v>0</v>
      </c>
      <c r="O4064" s="82" t="str">
        <f aca="false">IF(L4064&lt;&gt;"",L4064+N4064,"")</f>
        <v/>
      </c>
      <c r="P4064" s="53" t="str">
        <f aca="false">IF(O4064&lt;&gt;"",O4064*0.1,"")</f>
        <v/>
      </c>
      <c r="Q4064" s="83" t="str">
        <f aca="false">IF(O4064&lt;&gt;"",O4064+P4064,"")</f>
        <v/>
      </c>
      <c r="R4064" s="84"/>
    </row>
    <row r="4065" customFormat="false" ht="15" hidden="false" customHeight="true" outlineLevel="0" collapsed="false">
      <c r="A4065" s="103"/>
      <c r="B4065" s="85"/>
      <c r="C4065" s="86"/>
      <c r="D4065" s="87"/>
      <c r="E4065" s="46" t="str">
        <f aca="false">IF(D4065&lt;&gt;"",IFERROR(VLOOKUP(D4065,PROVEEDORES!$A:$B,2,0),"!COD NO ENCONTRADO"),"")</f>
        <v/>
      </c>
      <c r="F4065" s="88" t="str">
        <f aca="false">IF(D4065&lt;&gt;"",IFERROR(VLOOKUP(D4065,PROVEEDORES!$A:$C,3,0),""),"")</f>
        <v/>
      </c>
      <c r="G4065" s="87"/>
      <c r="H4065" s="46" t="str">
        <f aca="false">IF(G4065&lt;&gt;"",IFERROR(VLOOKUP(G4065,PRODUCTOS!$A:$B,2,0),"!COD NO ENCONTRADO"),"")</f>
        <v/>
      </c>
      <c r="I4065" s="89"/>
      <c r="J4065" s="90"/>
      <c r="K4065" s="91"/>
      <c r="L4065" s="80" t="str">
        <f aca="false">IF(AND(J4065&lt;&gt;"",K4065&lt;&gt;""),J4065*K4065,"")</f>
        <v/>
      </c>
      <c r="M4065" s="81" t="str">
        <f aca="false">IF(L4065&lt;&gt;"",L4065*1.1,"")</f>
        <v/>
      </c>
      <c r="N4065" s="47" t="n">
        <f aca="false">IF(F4065="S",L4065*0.02,0)</f>
        <v>0</v>
      </c>
      <c r="O4065" s="82" t="str">
        <f aca="false">IF(L4065&lt;&gt;"",L4065+N4065,"")</f>
        <v/>
      </c>
      <c r="P4065" s="47" t="str">
        <f aca="false">IF(O4065&lt;&gt;"",O4065*0.1,"")</f>
        <v/>
      </c>
      <c r="Q4065" s="83" t="str">
        <f aca="false">IF(O4065&lt;&gt;"",O4065+P4065,"")</f>
        <v/>
      </c>
      <c r="R4065" s="84"/>
    </row>
    <row r="4066" customFormat="false" ht="15" hidden="false" customHeight="true" outlineLevel="0" collapsed="false">
      <c r="A4066" s="103"/>
      <c r="B4066" s="73"/>
      <c r="C4066" s="74"/>
      <c r="D4066" s="75"/>
      <c r="E4066" s="52" t="str">
        <f aca="false">IF(D4066&lt;&gt;"",IFERROR(VLOOKUP(D4066,PROVEEDORES!$A:$B,2,0),"!COD NO ENCONTRADO"),"")</f>
        <v/>
      </c>
      <c r="F4066" s="76" t="str">
        <f aca="false">IF(D4066&lt;&gt;"",IFERROR(VLOOKUP(D4066,PROVEEDORES!$A:$C,3,0),""),"")</f>
        <v/>
      </c>
      <c r="G4066" s="75"/>
      <c r="H4066" s="52" t="str">
        <f aca="false">IF(G4066&lt;&gt;"",IFERROR(VLOOKUP(G4066,PRODUCTOS!$A:$B,2,0),"!COD NO ENCONTRADO"),"")</f>
        <v/>
      </c>
      <c r="I4066" s="77"/>
      <c r="J4066" s="78"/>
      <c r="K4066" s="79"/>
      <c r="L4066" s="80" t="str">
        <f aca="false">IF(AND(J4066&lt;&gt;"",K4066&lt;&gt;""),J4066*K4066,"")</f>
        <v/>
      </c>
      <c r="M4066" s="81" t="str">
        <f aca="false">IF(L4066&lt;&gt;"",L4066*1.1,"")</f>
        <v/>
      </c>
      <c r="N4066" s="53" t="n">
        <f aca="false">IF(F4066="S",L4066*0.02,0)</f>
        <v>0</v>
      </c>
      <c r="O4066" s="82" t="str">
        <f aca="false">IF(L4066&lt;&gt;"",L4066+N4066,"")</f>
        <v/>
      </c>
      <c r="P4066" s="53" t="str">
        <f aca="false">IF(O4066&lt;&gt;"",O4066*0.1,"")</f>
        <v/>
      </c>
      <c r="Q4066" s="83" t="str">
        <f aca="false">IF(O4066&lt;&gt;"",O4066+P4066,"")</f>
        <v/>
      </c>
      <c r="R4066" s="84"/>
    </row>
    <row r="4067" customFormat="false" ht="15" hidden="false" customHeight="true" outlineLevel="0" collapsed="false">
      <c r="A4067" s="103"/>
      <c r="B4067" s="85"/>
      <c r="C4067" s="86"/>
      <c r="D4067" s="87"/>
      <c r="E4067" s="46" t="str">
        <f aca="false">IF(D4067&lt;&gt;"",IFERROR(VLOOKUP(D4067,PROVEEDORES!$A:$B,2,0),"!COD NO ENCONTRADO"),"")</f>
        <v/>
      </c>
      <c r="F4067" s="88" t="str">
        <f aca="false">IF(D4067&lt;&gt;"",IFERROR(VLOOKUP(D4067,PROVEEDORES!$A:$C,3,0),""),"")</f>
        <v/>
      </c>
      <c r="G4067" s="87"/>
      <c r="H4067" s="46" t="str">
        <f aca="false">IF(G4067&lt;&gt;"",IFERROR(VLOOKUP(G4067,PRODUCTOS!$A:$B,2,0),"!COD NO ENCONTRADO"),"")</f>
        <v/>
      </c>
      <c r="I4067" s="89"/>
      <c r="J4067" s="90"/>
      <c r="K4067" s="91"/>
      <c r="L4067" s="80" t="str">
        <f aca="false">IF(AND(J4067&lt;&gt;"",K4067&lt;&gt;""),J4067*K4067,"")</f>
        <v/>
      </c>
      <c r="M4067" s="81" t="str">
        <f aca="false">IF(L4067&lt;&gt;"",L4067*1.1,"")</f>
        <v/>
      </c>
      <c r="N4067" s="47" t="n">
        <f aca="false">IF(F4067="S",L4067*0.02,0)</f>
        <v>0</v>
      </c>
      <c r="O4067" s="82" t="str">
        <f aca="false">IF(L4067&lt;&gt;"",L4067+N4067,"")</f>
        <v/>
      </c>
      <c r="P4067" s="47" t="str">
        <f aca="false">IF(O4067&lt;&gt;"",O4067*0.1,"")</f>
        <v/>
      </c>
      <c r="Q4067" s="83" t="str">
        <f aca="false">IF(O4067&lt;&gt;"",O4067+P4067,"")</f>
        <v/>
      </c>
      <c r="R4067" s="84"/>
    </row>
    <row r="4068" customFormat="false" ht="15" hidden="false" customHeight="true" outlineLevel="0" collapsed="false">
      <c r="A4068" s="103"/>
      <c r="B4068" s="73"/>
      <c r="C4068" s="74"/>
      <c r="D4068" s="75"/>
      <c r="E4068" s="52" t="str">
        <f aca="false">IF(D4068&lt;&gt;"",IFERROR(VLOOKUP(D4068,PROVEEDORES!$A:$B,2,0),"!COD NO ENCONTRADO"),"")</f>
        <v/>
      </c>
      <c r="F4068" s="76" t="str">
        <f aca="false">IF(D4068&lt;&gt;"",IFERROR(VLOOKUP(D4068,PROVEEDORES!$A:$C,3,0),""),"")</f>
        <v/>
      </c>
      <c r="G4068" s="75"/>
      <c r="H4068" s="52" t="str">
        <f aca="false">IF(G4068&lt;&gt;"",IFERROR(VLOOKUP(G4068,PRODUCTOS!$A:$B,2,0),"!COD NO ENCONTRADO"),"")</f>
        <v/>
      </c>
      <c r="I4068" s="77"/>
      <c r="J4068" s="78"/>
      <c r="K4068" s="79"/>
      <c r="L4068" s="80" t="str">
        <f aca="false">IF(AND(J4068&lt;&gt;"",K4068&lt;&gt;""),J4068*K4068,"")</f>
        <v/>
      </c>
      <c r="M4068" s="81" t="str">
        <f aca="false">IF(L4068&lt;&gt;"",L4068*1.1,"")</f>
        <v/>
      </c>
      <c r="N4068" s="53" t="n">
        <f aca="false">IF(F4068="S",L4068*0.02,0)</f>
        <v>0</v>
      </c>
      <c r="O4068" s="82" t="str">
        <f aca="false">IF(L4068&lt;&gt;"",L4068+N4068,"")</f>
        <v/>
      </c>
      <c r="P4068" s="53" t="str">
        <f aca="false">IF(O4068&lt;&gt;"",O4068*0.1,"")</f>
        <v/>
      </c>
      <c r="Q4068" s="83" t="str">
        <f aca="false">IF(O4068&lt;&gt;"",O4068+P4068,"")</f>
        <v/>
      </c>
      <c r="R4068" s="84"/>
    </row>
    <row r="4069" customFormat="false" ht="15" hidden="false" customHeight="true" outlineLevel="0" collapsed="false">
      <c r="A4069" s="103"/>
      <c r="B4069" s="85"/>
      <c r="C4069" s="86"/>
      <c r="D4069" s="87"/>
      <c r="E4069" s="46" t="str">
        <f aca="false">IF(D4069&lt;&gt;"",IFERROR(VLOOKUP(D4069,PROVEEDORES!$A:$B,2,0),"!COD NO ENCONTRADO"),"")</f>
        <v/>
      </c>
      <c r="F4069" s="88" t="str">
        <f aca="false">IF(D4069&lt;&gt;"",IFERROR(VLOOKUP(D4069,PROVEEDORES!$A:$C,3,0),""),"")</f>
        <v/>
      </c>
      <c r="G4069" s="87"/>
      <c r="H4069" s="46" t="str">
        <f aca="false">IF(G4069&lt;&gt;"",IFERROR(VLOOKUP(G4069,PRODUCTOS!$A:$B,2,0),"!COD NO ENCONTRADO"),"")</f>
        <v/>
      </c>
      <c r="I4069" s="89"/>
      <c r="J4069" s="90"/>
      <c r="K4069" s="91"/>
      <c r="L4069" s="80" t="str">
        <f aca="false">IF(AND(J4069&lt;&gt;"",K4069&lt;&gt;""),J4069*K4069,"")</f>
        <v/>
      </c>
      <c r="M4069" s="81" t="str">
        <f aca="false">IF(L4069&lt;&gt;"",L4069*1.1,"")</f>
        <v/>
      </c>
      <c r="N4069" s="47" t="n">
        <f aca="false">IF(F4069="S",L4069*0.02,0)</f>
        <v>0</v>
      </c>
      <c r="O4069" s="82" t="str">
        <f aca="false">IF(L4069&lt;&gt;"",L4069+N4069,"")</f>
        <v/>
      </c>
      <c r="P4069" s="47" t="str">
        <f aca="false">IF(O4069&lt;&gt;"",O4069*0.1,"")</f>
        <v/>
      </c>
      <c r="Q4069" s="83" t="str">
        <f aca="false">IF(O4069&lt;&gt;"",O4069+P4069,"")</f>
        <v/>
      </c>
      <c r="R4069" s="84"/>
    </row>
    <row r="4070" customFormat="false" ht="15" hidden="false" customHeight="true" outlineLevel="0" collapsed="false">
      <c r="A4070" s="103"/>
      <c r="B4070" s="73"/>
      <c r="C4070" s="74"/>
      <c r="D4070" s="75"/>
      <c r="E4070" s="52" t="str">
        <f aca="false">IF(D4070&lt;&gt;"",IFERROR(VLOOKUP(D4070,PROVEEDORES!$A:$B,2,0),"!COD NO ENCONTRADO"),"")</f>
        <v/>
      </c>
      <c r="F4070" s="76" t="str">
        <f aca="false">IF(D4070&lt;&gt;"",IFERROR(VLOOKUP(D4070,PROVEEDORES!$A:$C,3,0),""),"")</f>
        <v/>
      </c>
      <c r="G4070" s="75"/>
      <c r="H4070" s="52" t="str">
        <f aca="false">IF(G4070&lt;&gt;"",IFERROR(VLOOKUP(G4070,PRODUCTOS!$A:$B,2,0),"!COD NO ENCONTRADO"),"")</f>
        <v/>
      </c>
      <c r="I4070" s="77"/>
      <c r="J4070" s="78"/>
      <c r="K4070" s="79"/>
      <c r="L4070" s="80" t="str">
        <f aca="false">IF(AND(J4070&lt;&gt;"",K4070&lt;&gt;""),J4070*K4070,"")</f>
        <v/>
      </c>
      <c r="M4070" s="81" t="str">
        <f aca="false">IF(L4070&lt;&gt;"",L4070*1.1,"")</f>
        <v/>
      </c>
      <c r="N4070" s="53" t="n">
        <f aca="false">IF(F4070="S",L4070*0.02,0)</f>
        <v>0</v>
      </c>
      <c r="O4070" s="82" t="str">
        <f aca="false">IF(L4070&lt;&gt;"",L4070+N4070,"")</f>
        <v/>
      </c>
      <c r="P4070" s="53" t="str">
        <f aca="false">IF(O4070&lt;&gt;"",O4070*0.1,"")</f>
        <v/>
      </c>
      <c r="Q4070" s="83" t="str">
        <f aca="false">IF(O4070&lt;&gt;"",O4070+P4070,"")</f>
        <v/>
      </c>
      <c r="R4070" s="84"/>
    </row>
    <row r="4071" customFormat="false" ht="15" hidden="false" customHeight="true" outlineLevel="0" collapsed="false">
      <c r="A4071" s="103"/>
      <c r="B4071" s="85"/>
      <c r="C4071" s="86"/>
      <c r="D4071" s="87"/>
      <c r="E4071" s="46" t="str">
        <f aca="false">IF(D4071&lt;&gt;"",IFERROR(VLOOKUP(D4071,PROVEEDORES!$A:$B,2,0),"!COD NO ENCONTRADO"),"")</f>
        <v/>
      </c>
      <c r="F4071" s="88" t="str">
        <f aca="false">IF(D4071&lt;&gt;"",IFERROR(VLOOKUP(D4071,PROVEEDORES!$A:$C,3,0),""),"")</f>
        <v/>
      </c>
      <c r="G4071" s="87"/>
      <c r="H4071" s="46" t="str">
        <f aca="false">IF(G4071&lt;&gt;"",IFERROR(VLOOKUP(G4071,PRODUCTOS!$A:$B,2,0),"!COD NO ENCONTRADO"),"")</f>
        <v/>
      </c>
      <c r="I4071" s="89"/>
      <c r="J4071" s="90"/>
      <c r="K4071" s="91"/>
      <c r="L4071" s="80" t="str">
        <f aca="false">IF(AND(J4071&lt;&gt;"",K4071&lt;&gt;""),J4071*K4071,"")</f>
        <v/>
      </c>
      <c r="M4071" s="81" t="str">
        <f aca="false">IF(L4071&lt;&gt;"",L4071*1.1,"")</f>
        <v/>
      </c>
      <c r="N4071" s="47" t="n">
        <f aca="false">IF(F4071="S",L4071*0.02,0)</f>
        <v>0</v>
      </c>
      <c r="O4071" s="82" t="str">
        <f aca="false">IF(L4071&lt;&gt;"",L4071+N4071,"")</f>
        <v/>
      </c>
      <c r="P4071" s="47" t="str">
        <f aca="false">IF(O4071&lt;&gt;"",O4071*0.1,"")</f>
        <v/>
      </c>
      <c r="Q4071" s="83" t="str">
        <f aca="false">IF(O4071&lt;&gt;"",O4071+P4071,"")</f>
        <v/>
      </c>
      <c r="R4071" s="84"/>
    </row>
    <row r="4072" customFormat="false" ht="15" hidden="false" customHeight="true" outlineLevel="0" collapsed="false">
      <c r="A4072" s="103"/>
      <c r="B4072" s="73"/>
      <c r="C4072" s="74"/>
      <c r="D4072" s="75"/>
      <c r="E4072" s="52" t="str">
        <f aca="false">IF(D4072&lt;&gt;"",IFERROR(VLOOKUP(D4072,PROVEEDORES!$A:$B,2,0),"!COD NO ENCONTRADO"),"")</f>
        <v/>
      </c>
      <c r="F4072" s="76" t="str">
        <f aca="false">IF(D4072&lt;&gt;"",IFERROR(VLOOKUP(D4072,PROVEEDORES!$A:$C,3,0),""),"")</f>
        <v/>
      </c>
      <c r="G4072" s="75"/>
      <c r="H4072" s="52" t="str">
        <f aca="false">IF(G4072&lt;&gt;"",IFERROR(VLOOKUP(G4072,PRODUCTOS!$A:$B,2,0),"!COD NO ENCONTRADO"),"")</f>
        <v/>
      </c>
      <c r="I4072" s="77"/>
      <c r="J4072" s="78"/>
      <c r="K4072" s="79"/>
      <c r="L4072" s="80" t="str">
        <f aca="false">IF(AND(J4072&lt;&gt;"",K4072&lt;&gt;""),J4072*K4072,"")</f>
        <v/>
      </c>
      <c r="M4072" s="81" t="str">
        <f aca="false">IF(L4072&lt;&gt;"",L4072*1.1,"")</f>
        <v/>
      </c>
      <c r="N4072" s="53" t="n">
        <f aca="false">IF(F4072="S",L4072*0.02,0)</f>
        <v>0</v>
      </c>
      <c r="O4072" s="82" t="str">
        <f aca="false">IF(L4072&lt;&gt;"",L4072+N4072,"")</f>
        <v/>
      </c>
      <c r="P4072" s="53" t="str">
        <f aca="false">IF(O4072&lt;&gt;"",O4072*0.1,"")</f>
        <v/>
      </c>
      <c r="Q4072" s="83" t="str">
        <f aca="false">IF(O4072&lt;&gt;"",O4072+P4072,"")</f>
        <v/>
      </c>
      <c r="R4072" s="84"/>
    </row>
    <row r="4073" customFormat="false" ht="15" hidden="false" customHeight="true" outlineLevel="0" collapsed="false">
      <c r="A4073" s="103"/>
      <c r="B4073" s="85"/>
      <c r="C4073" s="86"/>
      <c r="D4073" s="87"/>
      <c r="E4073" s="46" t="str">
        <f aca="false">IF(D4073&lt;&gt;"",IFERROR(VLOOKUP(D4073,PROVEEDORES!$A:$B,2,0),"!COD NO ENCONTRADO"),"")</f>
        <v/>
      </c>
      <c r="F4073" s="88" t="str">
        <f aca="false">IF(D4073&lt;&gt;"",IFERROR(VLOOKUP(D4073,PROVEEDORES!$A:$C,3,0),""),"")</f>
        <v/>
      </c>
      <c r="G4073" s="87"/>
      <c r="H4073" s="46" t="str">
        <f aca="false">IF(G4073&lt;&gt;"",IFERROR(VLOOKUP(G4073,PRODUCTOS!$A:$B,2,0),"!COD NO ENCONTRADO"),"")</f>
        <v/>
      </c>
      <c r="I4073" s="89"/>
      <c r="J4073" s="90"/>
      <c r="K4073" s="91"/>
      <c r="L4073" s="80" t="str">
        <f aca="false">IF(AND(J4073&lt;&gt;"",K4073&lt;&gt;""),J4073*K4073,"")</f>
        <v/>
      </c>
      <c r="M4073" s="81" t="str">
        <f aca="false">IF(L4073&lt;&gt;"",L4073*1.1,"")</f>
        <v/>
      </c>
      <c r="N4073" s="47" t="n">
        <f aca="false">IF(F4073="S",L4073*0.02,0)</f>
        <v>0</v>
      </c>
      <c r="O4073" s="82" t="str">
        <f aca="false">IF(L4073&lt;&gt;"",L4073+N4073,"")</f>
        <v/>
      </c>
      <c r="P4073" s="47" t="str">
        <f aca="false">IF(O4073&lt;&gt;"",O4073*0.1,"")</f>
        <v/>
      </c>
      <c r="Q4073" s="83" t="str">
        <f aca="false">IF(O4073&lt;&gt;"",O4073+P4073,"")</f>
        <v/>
      </c>
      <c r="R4073" s="84"/>
    </row>
    <row r="4074" customFormat="false" ht="15" hidden="false" customHeight="true" outlineLevel="0" collapsed="false">
      <c r="A4074" s="103"/>
      <c r="B4074" s="73"/>
      <c r="C4074" s="74"/>
      <c r="D4074" s="75"/>
      <c r="E4074" s="52" t="str">
        <f aca="false">IF(D4074&lt;&gt;"",IFERROR(VLOOKUP(D4074,PROVEEDORES!$A:$B,2,0),"!COD NO ENCONTRADO"),"")</f>
        <v/>
      </c>
      <c r="F4074" s="76" t="str">
        <f aca="false">IF(D4074&lt;&gt;"",IFERROR(VLOOKUP(D4074,PROVEEDORES!$A:$C,3,0),""),"")</f>
        <v/>
      </c>
      <c r="G4074" s="75"/>
      <c r="H4074" s="52" t="str">
        <f aca="false">IF(G4074&lt;&gt;"",IFERROR(VLOOKUP(G4074,PRODUCTOS!$A:$B,2,0),"!COD NO ENCONTRADO"),"")</f>
        <v/>
      </c>
      <c r="I4074" s="77"/>
      <c r="J4074" s="78"/>
      <c r="K4074" s="79"/>
      <c r="L4074" s="80" t="str">
        <f aca="false">IF(AND(J4074&lt;&gt;"",K4074&lt;&gt;""),J4074*K4074,"")</f>
        <v/>
      </c>
      <c r="M4074" s="81" t="str">
        <f aca="false">IF(L4074&lt;&gt;"",L4074*1.1,"")</f>
        <v/>
      </c>
      <c r="N4074" s="53" t="n">
        <f aca="false">IF(F4074="S",L4074*0.02,0)</f>
        <v>0</v>
      </c>
      <c r="O4074" s="82" t="str">
        <f aca="false">IF(L4074&lt;&gt;"",L4074+N4074,"")</f>
        <v/>
      </c>
      <c r="P4074" s="53" t="str">
        <f aca="false">IF(O4074&lt;&gt;"",O4074*0.1,"")</f>
        <v/>
      </c>
      <c r="Q4074" s="83" t="str">
        <f aca="false">IF(O4074&lt;&gt;"",O4074+P4074,"")</f>
        <v/>
      </c>
      <c r="R4074" s="84"/>
    </row>
    <row r="4075" customFormat="false" ht="15" hidden="false" customHeight="true" outlineLevel="0" collapsed="false">
      <c r="A4075" s="103"/>
      <c r="B4075" s="85"/>
      <c r="C4075" s="86"/>
      <c r="D4075" s="87"/>
      <c r="E4075" s="46" t="str">
        <f aca="false">IF(D4075&lt;&gt;"",IFERROR(VLOOKUP(D4075,PROVEEDORES!$A:$B,2,0),"!COD NO ENCONTRADO"),"")</f>
        <v/>
      </c>
      <c r="F4075" s="88" t="str">
        <f aca="false">IF(D4075&lt;&gt;"",IFERROR(VLOOKUP(D4075,PROVEEDORES!$A:$C,3,0),""),"")</f>
        <v/>
      </c>
      <c r="G4075" s="87"/>
      <c r="H4075" s="46" t="str">
        <f aca="false">IF(G4075&lt;&gt;"",IFERROR(VLOOKUP(G4075,PRODUCTOS!$A:$B,2,0),"!COD NO ENCONTRADO"),"")</f>
        <v/>
      </c>
      <c r="I4075" s="89"/>
      <c r="J4075" s="90"/>
      <c r="K4075" s="91"/>
      <c r="L4075" s="80" t="str">
        <f aca="false">IF(AND(J4075&lt;&gt;"",K4075&lt;&gt;""),J4075*K4075,"")</f>
        <v/>
      </c>
      <c r="M4075" s="81" t="str">
        <f aca="false">IF(L4075&lt;&gt;"",L4075*1.1,"")</f>
        <v/>
      </c>
      <c r="N4075" s="47" t="n">
        <f aca="false">IF(F4075="S",L4075*0.02,0)</f>
        <v>0</v>
      </c>
      <c r="O4075" s="82" t="str">
        <f aca="false">IF(L4075&lt;&gt;"",L4075+N4075,"")</f>
        <v/>
      </c>
      <c r="P4075" s="47" t="str">
        <f aca="false">IF(O4075&lt;&gt;"",O4075*0.1,"")</f>
        <v/>
      </c>
      <c r="Q4075" s="83" t="str">
        <f aca="false">IF(O4075&lt;&gt;"",O4075+P4075,"")</f>
        <v/>
      </c>
      <c r="R4075" s="84"/>
    </row>
    <row r="4076" customFormat="false" ht="15" hidden="false" customHeight="true" outlineLevel="0" collapsed="false">
      <c r="A4076" s="103"/>
      <c r="B4076" s="73"/>
      <c r="C4076" s="74"/>
      <c r="D4076" s="75"/>
      <c r="E4076" s="52" t="str">
        <f aca="false">IF(D4076&lt;&gt;"",IFERROR(VLOOKUP(D4076,PROVEEDORES!$A:$B,2,0),"!COD NO ENCONTRADO"),"")</f>
        <v/>
      </c>
      <c r="F4076" s="76" t="str">
        <f aca="false">IF(D4076&lt;&gt;"",IFERROR(VLOOKUP(D4076,PROVEEDORES!$A:$C,3,0),""),"")</f>
        <v/>
      </c>
      <c r="G4076" s="75"/>
      <c r="H4076" s="52" t="str">
        <f aca="false">IF(G4076&lt;&gt;"",IFERROR(VLOOKUP(G4076,PRODUCTOS!$A:$B,2,0),"!COD NO ENCONTRADO"),"")</f>
        <v/>
      </c>
      <c r="I4076" s="77"/>
      <c r="J4076" s="78"/>
      <c r="K4076" s="79"/>
      <c r="L4076" s="80" t="str">
        <f aca="false">IF(AND(J4076&lt;&gt;"",K4076&lt;&gt;""),J4076*K4076,"")</f>
        <v/>
      </c>
      <c r="M4076" s="81" t="str">
        <f aca="false">IF(L4076&lt;&gt;"",L4076*1.1,"")</f>
        <v/>
      </c>
      <c r="N4076" s="53" t="n">
        <f aca="false">IF(F4076="S",L4076*0.02,0)</f>
        <v>0</v>
      </c>
      <c r="O4076" s="82" t="str">
        <f aca="false">IF(L4076&lt;&gt;"",L4076+N4076,"")</f>
        <v/>
      </c>
      <c r="P4076" s="53" t="str">
        <f aca="false">IF(O4076&lt;&gt;"",O4076*0.1,"")</f>
        <v/>
      </c>
      <c r="Q4076" s="83" t="str">
        <f aca="false">IF(O4076&lt;&gt;"",O4076+P4076,"")</f>
        <v/>
      </c>
      <c r="R4076" s="84"/>
    </row>
    <row r="4077" customFormat="false" ht="15" hidden="false" customHeight="true" outlineLevel="0" collapsed="false">
      <c r="A4077" s="103"/>
      <c r="B4077" s="85"/>
      <c r="C4077" s="86"/>
      <c r="D4077" s="87"/>
      <c r="E4077" s="46" t="str">
        <f aca="false">IF(D4077&lt;&gt;"",IFERROR(VLOOKUP(D4077,PROVEEDORES!$A:$B,2,0),"!COD NO ENCONTRADO"),"")</f>
        <v/>
      </c>
      <c r="F4077" s="88" t="str">
        <f aca="false">IF(D4077&lt;&gt;"",IFERROR(VLOOKUP(D4077,PROVEEDORES!$A:$C,3,0),""),"")</f>
        <v/>
      </c>
      <c r="G4077" s="87"/>
      <c r="H4077" s="46" t="str">
        <f aca="false">IF(G4077&lt;&gt;"",IFERROR(VLOOKUP(G4077,PRODUCTOS!$A:$B,2,0),"!COD NO ENCONTRADO"),"")</f>
        <v/>
      </c>
      <c r="I4077" s="89"/>
      <c r="J4077" s="90"/>
      <c r="K4077" s="91"/>
      <c r="L4077" s="80" t="str">
        <f aca="false">IF(AND(J4077&lt;&gt;"",K4077&lt;&gt;""),J4077*K4077,"")</f>
        <v/>
      </c>
      <c r="M4077" s="81" t="str">
        <f aca="false">IF(L4077&lt;&gt;"",L4077*1.1,"")</f>
        <v/>
      </c>
      <c r="N4077" s="47" t="n">
        <f aca="false">IF(F4077="S",L4077*0.02,0)</f>
        <v>0</v>
      </c>
      <c r="O4077" s="82" t="str">
        <f aca="false">IF(L4077&lt;&gt;"",L4077+N4077,"")</f>
        <v/>
      </c>
      <c r="P4077" s="47" t="str">
        <f aca="false">IF(O4077&lt;&gt;"",O4077*0.1,"")</f>
        <v/>
      </c>
      <c r="Q4077" s="83" t="str">
        <f aca="false">IF(O4077&lt;&gt;"",O4077+P4077,"")</f>
        <v/>
      </c>
      <c r="R4077" s="84"/>
    </row>
    <row r="4078" customFormat="false" ht="15" hidden="false" customHeight="true" outlineLevel="0" collapsed="false">
      <c r="A4078" s="103"/>
      <c r="B4078" s="73"/>
      <c r="C4078" s="74"/>
      <c r="D4078" s="75"/>
      <c r="E4078" s="52" t="str">
        <f aca="false">IF(D4078&lt;&gt;"",IFERROR(VLOOKUP(D4078,PROVEEDORES!$A:$B,2,0),"!COD NO ENCONTRADO"),"")</f>
        <v/>
      </c>
      <c r="F4078" s="76" t="str">
        <f aca="false">IF(D4078&lt;&gt;"",IFERROR(VLOOKUP(D4078,PROVEEDORES!$A:$C,3,0),""),"")</f>
        <v/>
      </c>
      <c r="G4078" s="75"/>
      <c r="H4078" s="52" t="str">
        <f aca="false">IF(G4078&lt;&gt;"",IFERROR(VLOOKUP(G4078,PRODUCTOS!$A:$B,2,0),"!COD NO ENCONTRADO"),"")</f>
        <v/>
      </c>
      <c r="I4078" s="77"/>
      <c r="J4078" s="78"/>
      <c r="K4078" s="79"/>
      <c r="L4078" s="80" t="str">
        <f aca="false">IF(AND(J4078&lt;&gt;"",K4078&lt;&gt;""),J4078*K4078,"")</f>
        <v/>
      </c>
      <c r="M4078" s="81" t="str">
        <f aca="false">IF(L4078&lt;&gt;"",L4078*1.1,"")</f>
        <v/>
      </c>
      <c r="N4078" s="53" t="n">
        <f aca="false">IF(F4078="S",L4078*0.02,0)</f>
        <v>0</v>
      </c>
      <c r="O4078" s="82" t="str">
        <f aca="false">IF(L4078&lt;&gt;"",L4078+N4078,"")</f>
        <v/>
      </c>
      <c r="P4078" s="53" t="str">
        <f aca="false">IF(O4078&lt;&gt;"",O4078*0.1,"")</f>
        <v/>
      </c>
      <c r="Q4078" s="83" t="str">
        <f aca="false">IF(O4078&lt;&gt;"",O4078+P4078,"")</f>
        <v/>
      </c>
      <c r="R4078" s="84"/>
    </row>
    <row r="4079" customFormat="false" ht="15" hidden="false" customHeight="true" outlineLevel="0" collapsed="false">
      <c r="A4079" s="103"/>
      <c r="B4079" s="85"/>
      <c r="C4079" s="86"/>
      <c r="D4079" s="87"/>
      <c r="E4079" s="46" t="str">
        <f aca="false">IF(D4079&lt;&gt;"",IFERROR(VLOOKUP(D4079,PROVEEDORES!$A:$B,2,0),"!COD NO ENCONTRADO"),"")</f>
        <v/>
      </c>
      <c r="F4079" s="88" t="str">
        <f aca="false">IF(D4079&lt;&gt;"",IFERROR(VLOOKUP(D4079,PROVEEDORES!$A:$C,3,0),""),"")</f>
        <v/>
      </c>
      <c r="G4079" s="87"/>
      <c r="H4079" s="46" t="str">
        <f aca="false">IF(G4079&lt;&gt;"",IFERROR(VLOOKUP(G4079,PRODUCTOS!$A:$B,2,0),"!COD NO ENCONTRADO"),"")</f>
        <v/>
      </c>
      <c r="I4079" s="89"/>
      <c r="J4079" s="90"/>
      <c r="K4079" s="91"/>
      <c r="L4079" s="80" t="str">
        <f aca="false">IF(AND(J4079&lt;&gt;"",K4079&lt;&gt;""),J4079*K4079,"")</f>
        <v/>
      </c>
      <c r="M4079" s="81" t="str">
        <f aca="false">IF(L4079&lt;&gt;"",L4079*1.1,"")</f>
        <v/>
      </c>
      <c r="N4079" s="47" t="n">
        <f aca="false">IF(F4079="S",L4079*0.02,0)</f>
        <v>0</v>
      </c>
      <c r="O4079" s="82" t="str">
        <f aca="false">IF(L4079&lt;&gt;"",L4079+N4079,"")</f>
        <v/>
      </c>
      <c r="P4079" s="47" t="str">
        <f aca="false">IF(O4079&lt;&gt;"",O4079*0.1,"")</f>
        <v/>
      </c>
      <c r="Q4079" s="83" t="str">
        <f aca="false">IF(O4079&lt;&gt;"",O4079+P4079,"")</f>
        <v/>
      </c>
      <c r="R4079" s="84"/>
    </row>
    <row r="4080" customFormat="false" ht="15" hidden="false" customHeight="true" outlineLevel="0" collapsed="false">
      <c r="A4080" s="103"/>
      <c r="B4080" s="73"/>
      <c r="C4080" s="74"/>
      <c r="D4080" s="75"/>
      <c r="E4080" s="52" t="str">
        <f aca="false">IF(D4080&lt;&gt;"",IFERROR(VLOOKUP(D4080,PROVEEDORES!$A:$B,2,0),"!COD NO ENCONTRADO"),"")</f>
        <v/>
      </c>
      <c r="F4080" s="76" t="str">
        <f aca="false">IF(D4080&lt;&gt;"",IFERROR(VLOOKUP(D4080,PROVEEDORES!$A:$C,3,0),""),"")</f>
        <v/>
      </c>
      <c r="G4080" s="75"/>
      <c r="H4080" s="52" t="str">
        <f aca="false">IF(G4080&lt;&gt;"",IFERROR(VLOOKUP(G4080,PRODUCTOS!$A:$B,2,0),"!COD NO ENCONTRADO"),"")</f>
        <v/>
      </c>
      <c r="I4080" s="77"/>
      <c r="J4080" s="78"/>
      <c r="K4080" s="79"/>
      <c r="L4080" s="80" t="str">
        <f aca="false">IF(AND(J4080&lt;&gt;"",K4080&lt;&gt;""),J4080*K4080,"")</f>
        <v/>
      </c>
      <c r="M4080" s="81" t="str">
        <f aca="false">IF(L4080&lt;&gt;"",L4080*1.1,"")</f>
        <v/>
      </c>
      <c r="N4080" s="53" t="n">
        <f aca="false">IF(F4080="S",L4080*0.02,0)</f>
        <v>0</v>
      </c>
      <c r="O4080" s="82" t="str">
        <f aca="false">IF(L4080&lt;&gt;"",L4080+N4080,"")</f>
        <v/>
      </c>
      <c r="P4080" s="53" t="str">
        <f aca="false">IF(O4080&lt;&gt;"",O4080*0.1,"")</f>
        <v/>
      </c>
      <c r="Q4080" s="83" t="str">
        <f aca="false">IF(O4080&lt;&gt;"",O4080+P4080,"")</f>
        <v/>
      </c>
      <c r="R4080" s="84"/>
    </row>
    <row r="4081" customFormat="false" ht="15" hidden="false" customHeight="true" outlineLevel="0" collapsed="false">
      <c r="A4081" s="103"/>
      <c r="B4081" s="85"/>
      <c r="C4081" s="86"/>
      <c r="D4081" s="87"/>
      <c r="E4081" s="46" t="str">
        <f aca="false">IF(D4081&lt;&gt;"",IFERROR(VLOOKUP(D4081,PROVEEDORES!$A:$B,2,0),"!COD NO ENCONTRADO"),"")</f>
        <v/>
      </c>
      <c r="F4081" s="88" t="str">
        <f aca="false">IF(D4081&lt;&gt;"",IFERROR(VLOOKUP(D4081,PROVEEDORES!$A:$C,3,0),""),"")</f>
        <v/>
      </c>
      <c r="G4081" s="87"/>
      <c r="H4081" s="46" t="str">
        <f aca="false">IF(G4081&lt;&gt;"",IFERROR(VLOOKUP(G4081,PRODUCTOS!$A:$B,2,0),"!COD NO ENCONTRADO"),"")</f>
        <v/>
      </c>
      <c r="I4081" s="89"/>
      <c r="J4081" s="90"/>
      <c r="K4081" s="91"/>
      <c r="L4081" s="80" t="str">
        <f aca="false">IF(AND(J4081&lt;&gt;"",K4081&lt;&gt;""),J4081*K4081,"")</f>
        <v/>
      </c>
      <c r="M4081" s="81" t="str">
        <f aca="false">IF(L4081&lt;&gt;"",L4081*1.1,"")</f>
        <v/>
      </c>
      <c r="N4081" s="47" t="n">
        <f aca="false">IF(F4081="S",L4081*0.02,0)</f>
        <v>0</v>
      </c>
      <c r="O4081" s="82" t="str">
        <f aca="false">IF(L4081&lt;&gt;"",L4081+N4081,"")</f>
        <v/>
      </c>
      <c r="P4081" s="47" t="str">
        <f aca="false">IF(O4081&lt;&gt;"",O4081*0.1,"")</f>
        <v/>
      </c>
      <c r="Q4081" s="83" t="str">
        <f aca="false">IF(O4081&lt;&gt;"",O4081+P4081,"")</f>
        <v/>
      </c>
      <c r="R4081" s="84"/>
    </row>
    <row r="4082" customFormat="false" ht="15" hidden="false" customHeight="true" outlineLevel="0" collapsed="false">
      <c r="A4082" s="103"/>
      <c r="B4082" s="73"/>
      <c r="C4082" s="74"/>
      <c r="D4082" s="75"/>
      <c r="E4082" s="52" t="str">
        <f aca="false">IF(D4082&lt;&gt;"",IFERROR(VLOOKUP(D4082,PROVEEDORES!$A:$B,2,0),"!COD NO ENCONTRADO"),"")</f>
        <v/>
      </c>
      <c r="F4082" s="76" t="str">
        <f aca="false">IF(D4082&lt;&gt;"",IFERROR(VLOOKUP(D4082,PROVEEDORES!$A:$C,3,0),""),"")</f>
        <v/>
      </c>
      <c r="G4082" s="75"/>
      <c r="H4082" s="52" t="str">
        <f aca="false">IF(G4082&lt;&gt;"",IFERROR(VLOOKUP(G4082,PRODUCTOS!$A:$B,2,0),"!COD NO ENCONTRADO"),"")</f>
        <v/>
      </c>
      <c r="I4082" s="77"/>
      <c r="J4082" s="78"/>
      <c r="K4082" s="79"/>
      <c r="L4082" s="80" t="str">
        <f aca="false">IF(AND(J4082&lt;&gt;"",K4082&lt;&gt;""),J4082*K4082,"")</f>
        <v/>
      </c>
      <c r="M4082" s="81" t="str">
        <f aca="false">IF(L4082&lt;&gt;"",L4082*1.1,"")</f>
        <v/>
      </c>
      <c r="N4082" s="53" t="n">
        <f aca="false">IF(F4082="S",L4082*0.02,0)</f>
        <v>0</v>
      </c>
      <c r="O4082" s="82" t="str">
        <f aca="false">IF(L4082&lt;&gt;"",L4082+N4082,"")</f>
        <v/>
      </c>
      <c r="P4082" s="53" t="str">
        <f aca="false">IF(O4082&lt;&gt;"",O4082*0.1,"")</f>
        <v/>
      </c>
      <c r="Q4082" s="83" t="str">
        <f aca="false">IF(O4082&lt;&gt;"",O4082+P4082,"")</f>
        <v/>
      </c>
      <c r="R4082" s="84"/>
    </row>
    <row r="4083" customFormat="false" ht="15" hidden="false" customHeight="true" outlineLevel="0" collapsed="false">
      <c r="A4083" s="103"/>
      <c r="B4083" s="85"/>
      <c r="C4083" s="86"/>
      <c r="D4083" s="87"/>
      <c r="E4083" s="46" t="str">
        <f aca="false">IF(D4083&lt;&gt;"",IFERROR(VLOOKUP(D4083,PROVEEDORES!$A:$B,2,0),"!COD NO ENCONTRADO"),"")</f>
        <v/>
      </c>
      <c r="F4083" s="88" t="str">
        <f aca="false">IF(D4083&lt;&gt;"",IFERROR(VLOOKUP(D4083,PROVEEDORES!$A:$C,3,0),""),"")</f>
        <v/>
      </c>
      <c r="G4083" s="87"/>
      <c r="H4083" s="46" t="str">
        <f aca="false">IF(G4083&lt;&gt;"",IFERROR(VLOOKUP(G4083,PRODUCTOS!$A:$B,2,0),"!COD NO ENCONTRADO"),"")</f>
        <v/>
      </c>
      <c r="I4083" s="89"/>
      <c r="J4083" s="90"/>
      <c r="K4083" s="91"/>
      <c r="L4083" s="80" t="str">
        <f aca="false">IF(AND(J4083&lt;&gt;"",K4083&lt;&gt;""),J4083*K4083,"")</f>
        <v/>
      </c>
      <c r="M4083" s="81" t="str">
        <f aca="false">IF(L4083&lt;&gt;"",L4083*1.1,"")</f>
        <v/>
      </c>
      <c r="N4083" s="47" t="n">
        <f aca="false">IF(F4083="S",L4083*0.02,0)</f>
        <v>0</v>
      </c>
      <c r="O4083" s="82" t="str">
        <f aca="false">IF(L4083&lt;&gt;"",L4083+N4083,"")</f>
        <v/>
      </c>
      <c r="P4083" s="47" t="str">
        <f aca="false">IF(O4083&lt;&gt;"",O4083*0.1,"")</f>
        <v/>
      </c>
      <c r="Q4083" s="83" t="str">
        <f aca="false">IF(O4083&lt;&gt;"",O4083+P4083,"")</f>
        <v/>
      </c>
      <c r="R4083" s="84"/>
    </row>
    <row r="4084" customFormat="false" ht="15" hidden="false" customHeight="true" outlineLevel="0" collapsed="false">
      <c r="A4084" s="103"/>
      <c r="B4084" s="73"/>
      <c r="C4084" s="74"/>
      <c r="D4084" s="75"/>
      <c r="E4084" s="52" t="str">
        <f aca="false">IF(D4084&lt;&gt;"",IFERROR(VLOOKUP(D4084,PROVEEDORES!$A:$B,2,0),"!COD NO ENCONTRADO"),"")</f>
        <v/>
      </c>
      <c r="F4084" s="76" t="str">
        <f aca="false">IF(D4084&lt;&gt;"",IFERROR(VLOOKUP(D4084,PROVEEDORES!$A:$C,3,0),""),"")</f>
        <v/>
      </c>
      <c r="G4084" s="75"/>
      <c r="H4084" s="52" t="str">
        <f aca="false">IF(G4084&lt;&gt;"",IFERROR(VLOOKUP(G4084,PRODUCTOS!$A:$B,2,0),"!COD NO ENCONTRADO"),"")</f>
        <v/>
      </c>
      <c r="I4084" s="77"/>
      <c r="J4084" s="78"/>
      <c r="K4084" s="79"/>
      <c r="L4084" s="80" t="str">
        <f aca="false">IF(AND(J4084&lt;&gt;"",K4084&lt;&gt;""),J4084*K4084,"")</f>
        <v/>
      </c>
      <c r="M4084" s="81" t="str">
        <f aca="false">IF(L4084&lt;&gt;"",L4084*1.1,"")</f>
        <v/>
      </c>
      <c r="N4084" s="53" t="n">
        <f aca="false">IF(F4084="S",L4084*0.02,0)</f>
        <v>0</v>
      </c>
      <c r="O4084" s="82" t="str">
        <f aca="false">IF(L4084&lt;&gt;"",L4084+N4084,"")</f>
        <v/>
      </c>
      <c r="P4084" s="53" t="str">
        <f aca="false">IF(O4084&lt;&gt;"",O4084*0.1,"")</f>
        <v/>
      </c>
      <c r="Q4084" s="83" t="str">
        <f aca="false">IF(O4084&lt;&gt;"",O4084+P4084,"")</f>
        <v/>
      </c>
      <c r="R4084" s="84"/>
    </row>
    <row r="4085" customFormat="false" ht="15" hidden="false" customHeight="true" outlineLevel="0" collapsed="false">
      <c r="A4085" s="103"/>
      <c r="B4085" s="85"/>
      <c r="C4085" s="86"/>
      <c r="D4085" s="87"/>
      <c r="E4085" s="46" t="str">
        <f aca="false">IF(D4085&lt;&gt;"",IFERROR(VLOOKUP(D4085,PROVEEDORES!$A:$B,2,0),"!COD NO ENCONTRADO"),"")</f>
        <v/>
      </c>
      <c r="F4085" s="88" t="str">
        <f aca="false">IF(D4085&lt;&gt;"",IFERROR(VLOOKUP(D4085,PROVEEDORES!$A:$C,3,0),""),"")</f>
        <v/>
      </c>
      <c r="G4085" s="87"/>
      <c r="H4085" s="46" t="str">
        <f aca="false">IF(G4085&lt;&gt;"",IFERROR(VLOOKUP(G4085,PRODUCTOS!$A:$B,2,0),"!COD NO ENCONTRADO"),"")</f>
        <v/>
      </c>
      <c r="I4085" s="89"/>
      <c r="J4085" s="90"/>
      <c r="K4085" s="91"/>
      <c r="L4085" s="80" t="str">
        <f aca="false">IF(AND(J4085&lt;&gt;"",K4085&lt;&gt;""),J4085*K4085,"")</f>
        <v/>
      </c>
      <c r="M4085" s="81" t="str">
        <f aca="false">IF(L4085&lt;&gt;"",L4085*1.1,"")</f>
        <v/>
      </c>
      <c r="N4085" s="47" t="n">
        <f aca="false">IF(F4085="S",L4085*0.02,0)</f>
        <v>0</v>
      </c>
      <c r="O4085" s="82" t="str">
        <f aca="false">IF(L4085&lt;&gt;"",L4085+N4085,"")</f>
        <v/>
      </c>
      <c r="P4085" s="47" t="str">
        <f aca="false">IF(O4085&lt;&gt;"",O4085*0.1,"")</f>
        <v/>
      </c>
      <c r="Q4085" s="83" t="str">
        <f aca="false">IF(O4085&lt;&gt;"",O4085+P4085,"")</f>
        <v/>
      </c>
      <c r="R4085" s="84"/>
    </row>
    <row r="4086" customFormat="false" ht="15" hidden="false" customHeight="true" outlineLevel="0" collapsed="false">
      <c r="A4086" s="103"/>
      <c r="B4086" s="73"/>
      <c r="C4086" s="74"/>
      <c r="D4086" s="75"/>
      <c r="E4086" s="52" t="str">
        <f aca="false">IF(D4086&lt;&gt;"",IFERROR(VLOOKUP(D4086,PROVEEDORES!$A:$B,2,0),"!COD NO ENCONTRADO"),"")</f>
        <v/>
      </c>
      <c r="F4086" s="76" t="str">
        <f aca="false">IF(D4086&lt;&gt;"",IFERROR(VLOOKUP(D4086,PROVEEDORES!$A:$C,3,0),""),"")</f>
        <v/>
      </c>
      <c r="G4086" s="75"/>
      <c r="H4086" s="52" t="str">
        <f aca="false">IF(G4086&lt;&gt;"",IFERROR(VLOOKUP(G4086,PRODUCTOS!$A:$B,2,0),"!COD NO ENCONTRADO"),"")</f>
        <v/>
      </c>
      <c r="I4086" s="77"/>
      <c r="J4086" s="78"/>
      <c r="K4086" s="79"/>
      <c r="L4086" s="80" t="str">
        <f aca="false">IF(AND(J4086&lt;&gt;"",K4086&lt;&gt;""),J4086*K4086,"")</f>
        <v/>
      </c>
      <c r="M4086" s="81" t="str">
        <f aca="false">IF(L4086&lt;&gt;"",L4086*1.1,"")</f>
        <v/>
      </c>
      <c r="N4086" s="53" t="n">
        <f aca="false">IF(F4086="S",L4086*0.02,0)</f>
        <v>0</v>
      </c>
      <c r="O4086" s="82" t="str">
        <f aca="false">IF(L4086&lt;&gt;"",L4086+N4086,"")</f>
        <v/>
      </c>
      <c r="P4086" s="53" t="str">
        <f aca="false">IF(O4086&lt;&gt;"",O4086*0.1,"")</f>
        <v/>
      </c>
      <c r="Q4086" s="83" t="str">
        <f aca="false">IF(O4086&lt;&gt;"",O4086+P4086,"")</f>
        <v/>
      </c>
      <c r="R4086" s="84"/>
    </row>
    <row r="4087" customFormat="false" ht="15" hidden="false" customHeight="true" outlineLevel="0" collapsed="false">
      <c r="A4087" s="103"/>
      <c r="B4087" s="85"/>
      <c r="C4087" s="86"/>
      <c r="D4087" s="87"/>
      <c r="E4087" s="46" t="str">
        <f aca="false">IF(D4087&lt;&gt;"",IFERROR(VLOOKUP(D4087,PROVEEDORES!$A:$B,2,0),"!COD NO ENCONTRADO"),"")</f>
        <v/>
      </c>
      <c r="F4087" s="88" t="str">
        <f aca="false">IF(D4087&lt;&gt;"",IFERROR(VLOOKUP(D4087,PROVEEDORES!$A:$C,3,0),""),"")</f>
        <v/>
      </c>
      <c r="G4087" s="87"/>
      <c r="H4087" s="46" t="str">
        <f aca="false">IF(G4087&lt;&gt;"",IFERROR(VLOOKUP(G4087,PRODUCTOS!$A:$B,2,0),"!COD NO ENCONTRADO"),"")</f>
        <v/>
      </c>
      <c r="I4087" s="89"/>
      <c r="J4087" s="90"/>
      <c r="K4087" s="91"/>
      <c r="L4087" s="80" t="str">
        <f aca="false">IF(AND(J4087&lt;&gt;"",K4087&lt;&gt;""),J4087*K4087,"")</f>
        <v/>
      </c>
      <c r="M4087" s="81" t="str">
        <f aca="false">IF(L4087&lt;&gt;"",L4087*1.1,"")</f>
        <v/>
      </c>
      <c r="N4087" s="47" t="n">
        <f aca="false">IF(F4087="S",L4087*0.02,0)</f>
        <v>0</v>
      </c>
      <c r="O4087" s="82" t="str">
        <f aca="false">IF(L4087&lt;&gt;"",L4087+N4087,"")</f>
        <v/>
      </c>
      <c r="P4087" s="47" t="str">
        <f aca="false">IF(O4087&lt;&gt;"",O4087*0.1,"")</f>
        <v/>
      </c>
      <c r="Q4087" s="83" t="str">
        <f aca="false">IF(O4087&lt;&gt;"",O4087+P4087,"")</f>
        <v/>
      </c>
      <c r="R4087" s="84"/>
    </row>
    <row r="4088" customFormat="false" ht="15" hidden="false" customHeight="true" outlineLevel="0" collapsed="false">
      <c r="A4088" s="103"/>
      <c r="B4088" s="73"/>
      <c r="C4088" s="74"/>
      <c r="D4088" s="75"/>
      <c r="E4088" s="52" t="str">
        <f aca="false">IF(D4088&lt;&gt;"",IFERROR(VLOOKUP(D4088,PROVEEDORES!$A:$B,2,0),"!COD NO ENCONTRADO"),"")</f>
        <v/>
      </c>
      <c r="F4088" s="76" t="str">
        <f aca="false">IF(D4088&lt;&gt;"",IFERROR(VLOOKUP(D4088,PROVEEDORES!$A:$C,3,0),""),"")</f>
        <v/>
      </c>
      <c r="G4088" s="75"/>
      <c r="H4088" s="52" t="str">
        <f aca="false">IF(G4088&lt;&gt;"",IFERROR(VLOOKUP(G4088,PRODUCTOS!$A:$B,2,0),"!COD NO ENCONTRADO"),"")</f>
        <v/>
      </c>
      <c r="I4088" s="77"/>
      <c r="J4088" s="78"/>
      <c r="K4088" s="79"/>
      <c r="L4088" s="80" t="str">
        <f aca="false">IF(AND(J4088&lt;&gt;"",K4088&lt;&gt;""),J4088*K4088,"")</f>
        <v/>
      </c>
      <c r="M4088" s="81" t="str">
        <f aca="false">IF(L4088&lt;&gt;"",L4088*1.1,"")</f>
        <v/>
      </c>
      <c r="N4088" s="53" t="n">
        <f aca="false">IF(F4088="S",L4088*0.02,0)</f>
        <v>0</v>
      </c>
      <c r="O4088" s="82" t="str">
        <f aca="false">IF(L4088&lt;&gt;"",L4088+N4088,"")</f>
        <v/>
      </c>
      <c r="P4088" s="53" t="str">
        <f aca="false">IF(O4088&lt;&gt;"",O4088*0.1,"")</f>
        <v/>
      </c>
      <c r="Q4088" s="83" t="str">
        <f aca="false">IF(O4088&lt;&gt;"",O4088+P4088,"")</f>
        <v/>
      </c>
      <c r="R4088" s="84"/>
    </row>
    <row r="4089" customFormat="false" ht="15" hidden="false" customHeight="true" outlineLevel="0" collapsed="false">
      <c r="A4089" s="103"/>
      <c r="B4089" s="85"/>
      <c r="C4089" s="86"/>
      <c r="D4089" s="87"/>
      <c r="E4089" s="46" t="str">
        <f aca="false">IF(D4089&lt;&gt;"",IFERROR(VLOOKUP(D4089,PROVEEDORES!$A:$B,2,0),"!COD NO ENCONTRADO"),"")</f>
        <v/>
      </c>
      <c r="F4089" s="88" t="str">
        <f aca="false">IF(D4089&lt;&gt;"",IFERROR(VLOOKUP(D4089,PROVEEDORES!$A:$C,3,0),""),"")</f>
        <v/>
      </c>
      <c r="G4089" s="87"/>
      <c r="H4089" s="46" t="str">
        <f aca="false">IF(G4089&lt;&gt;"",IFERROR(VLOOKUP(G4089,PRODUCTOS!$A:$B,2,0),"!COD NO ENCONTRADO"),"")</f>
        <v/>
      </c>
      <c r="I4089" s="89"/>
      <c r="J4089" s="90"/>
      <c r="K4089" s="91"/>
      <c r="L4089" s="80" t="str">
        <f aca="false">IF(AND(J4089&lt;&gt;"",K4089&lt;&gt;""),J4089*K4089,"")</f>
        <v/>
      </c>
      <c r="M4089" s="81" t="str">
        <f aca="false">IF(L4089&lt;&gt;"",L4089*1.1,"")</f>
        <v/>
      </c>
      <c r="N4089" s="47" t="n">
        <f aca="false">IF(F4089="S",L4089*0.02,0)</f>
        <v>0</v>
      </c>
      <c r="O4089" s="82" t="str">
        <f aca="false">IF(L4089&lt;&gt;"",L4089+N4089,"")</f>
        <v/>
      </c>
      <c r="P4089" s="47" t="str">
        <f aca="false">IF(O4089&lt;&gt;"",O4089*0.1,"")</f>
        <v/>
      </c>
      <c r="Q4089" s="83" t="str">
        <f aca="false">IF(O4089&lt;&gt;"",O4089+P4089,"")</f>
        <v/>
      </c>
      <c r="R4089" s="84"/>
    </row>
    <row r="4090" customFormat="false" ht="15" hidden="false" customHeight="true" outlineLevel="0" collapsed="false">
      <c r="A4090" s="103"/>
      <c r="B4090" s="73"/>
      <c r="C4090" s="74"/>
      <c r="D4090" s="75"/>
      <c r="E4090" s="52" t="str">
        <f aca="false">IF(D4090&lt;&gt;"",IFERROR(VLOOKUP(D4090,PROVEEDORES!$A:$B,2,0),"!COD NO ENCONTRADO"),"")</f>
        <v/>
      </c>
      <c r="F4090" s="76" t="str">
        <f aca="false">IF(D4090&lt;&gt;"",IFERROR(VLOOKUP(D4090,PROVEEDORES!$A:$C,3,0),""),"")</f>
        <v/>
      </c>
      <c r="G4090" s="75"/>
      <c r="H4090" s="52" t="str">
        <f aca="false">IF(G4090&lt;&gt;"",IFERROR(VLOOKUP(G4090,PRODUCTOS!$A:$B,2,0),"!COD NO ENCONTRADO"),"")</f>
        <v/>
      </c>
      <c r="I4090" s="77"/>
      <c r="J4090" s="78"/>
      <c r="K4090" s="79"/>
      <c r="L4090" s="80" t="str">
        <f aca="false">IF(AND(J4090&lt;&gt;"",K4090&lt;&gt;""),J4090*K4090,"")</f>
        <v/>
      </c>
      <c r="M4090" s="81" t="str">
        <f aca="false">IF(L4090&lt;&gt;"",L4090*1.1,"")</f>
        <v/>
      </c>
      <c r="N4090" s="53" t="n">
        <f aca="false">IF(F4090="S",L4090*0.02,0)</f>
        <v>0</v>
      </c>
      <c r="O4090" s="82" t="str">
        <f aca="false">IF(L4090&lt;&gt;"",L4090+N4090,"")</f>
        <v/>
      </c>
      <c r="P4090" s="53" t="str">
        <f aca="false">IF(O4090&lt;&gt;"",O4090*0.1,"")</f>
        <v/>
      </c>
      <c r="Q4090" s="83" t="str">
        <f aca="false">IF(O4090&lt;&gt;"",O4090+P4090,"")</f>
        <v/>
      </c>
      <c r="R4090" s="84"/>
    </row>
    <row r="4091" customFormat="false" ht="15" hidden="false" customHeight="true" outlineLevel="0" collapsed="false">
      <c r="A4091" s="103"/>
      <c r="B4091" s="85"/>
      <c r="C4091" s="86"/>
      <c r="D4091" s="87"/>
      <c r="E4091" s="46" t="str">
        <f aca="false">IF(D4091&lt;&gt;"",IFERROR(VLOOKUP(D4091,PROVEEDORES!$A:$B,2,0),"!COD NO ENCONTRADO"),"")</f>
        <v/>
      </c>
      <c r="F4091" s="88" t="str">
        <f aca="false">IF(D4091&lt;&gt;"",IFERROR(VLOOKUP(D4091,PROVEEDORES!$A:$C,3,0),""),"")</f>
        <v/>
      </c>
      <c r="G4091" s="87"/>
      <c r="H4091" s="46" t="str">
        <f aca="false">IF(G4091&lt;&gt;"",IFERROR(VLOOKUP(G4091,PRODUCTOS!$A:$B,2,0),"!COD NO ENCONTRADO"),"")</f>
        <v/>
      </c>
      <c r="I4091" s="89"/>
      <c r="J4091" s="90"/>
      <c r="K4091" s="91"/>
      <c r="L4091" s="80" t="str">
        <f aca="false">IF(AND(J4091&lt;&gt;"",K4091&lt;&gt;""),J4091*K4091,"")</f>
        <v/>
      </c>
      <c r="M4091" s="81" t="str">
        <f aca="false">IF(L4091&lt;&gt;"",L4091*1.1,"")</f>
        <v/>
      </c>
      <c r="N4091" s="47" t="n">
        <f aca="false">IF(F4091="S",L4091*0.02,0)</f>
        <v>0</v>
      </c>
      <c r="O4091" s="82" t="str">
        <f aca="false">IF(L4091&lt;&gt;"",L4091+N4091,"")</f>
        <v/>
      </c>
      <c r="P4091" s="47" t="str">
        <f aca="false">IF(O4091&lt;&gt;"",O4091*0.1,"")</f>
        <v/>
      </c>
      <c r="Q4091" s="83" t="str">
        <f aca="false">IF(O4091&lt;&gt;"",O4091+P4091,"")</f>
        <v/>
      </c>
      <c r="R4091" s="84"/>
    </row>
    <row r="4092" customFormat="false" ht="15" hidden="false" customHeight="true" outlineLevel="0" collapsed="false">
      <c r="A4092" s="103"/>
      <c r="B4092" s="73"/>
      <c r="C4092" s="74"/>
      <c r="D4092" s="75"/>
      <c r="E4092" s="52" t="str">
        <f aca="false">IF(D4092&lt;&gt;"",IFERROR(VLOOKUP(D4092,PROVEEDORES!$A:$B,2,0),"!COD NO ENCONTRADO"),"")</f>
        <v/>
      </c>
      <c r="F4092" s="76" t="str">
        <f aca="false">IF(D4092&lt;&gt;"",IFERROR(VLOOKUP(D4092,PROVEEDORES!$A:$C,3,0),""),"")</f>
        <v/>
      </c>
      <c r="G4092" s="75"/>
      <c r="H4092" s="52" t="str">
        <f aca="false">IF(G4092&lt;&gt;"",IFERROR(VLOOKUP(G4092,PRODUCTOS!$A:$B,2,0),"!COD NO ENCONTRADO"),"")</f>
        <v/>
      </c>
      <c r="I4092" s="77"/>
      <c r="J4092" s="78"/>
      <c r="K4092" s="79"/>
      <c r="L4092" s="80" t="str">
        <f aca="false">IF(AND(J4092&lt;&gt;"",K4092&lt;&gt;""),J4092*K4092,"")</f>
        <v/>
      </c>
      <c r="M4092" s="81" t="str">
        <f aca="false">IF(L4092&lt;&gt;"",L4092*1.1,"")</f>
        <v/>
      </c>
      <c r="N4092" s="53" t="n">
        <f aca="false">IF(F4092="S",L4092*0.02,0)</f>
        <v>0</v>
      </c>
      <c r="O4092" s="82" t="str">
        <f aca="false">IF(L4092&lt;&gt;"",L4092+N4092,"")</f>
        <v/>
      </c>
      <c r="P4092" s="53" t="str">
        <f aca="false">IF(O4092&lt;&gt;"",O4092*0.1,"")</f>
        <v/>
      </c>
      <c r="Q4092" s="83" t="str">
        <f aca="false">IF(O4092&lt;&gt;"",O4092+P4092,"")</f>
        <v/>
      </c>
      <c r="R4092" s="84"/>
    </row>
    <row r="4093" customFormat="false" ht="15" hidden="false" customHeight="true" outlineLevel="0" collapsed="false">
      <c r="A4093" s="103"/>
      <c r="B4093" s="85"/>
      <c r="C4093" s="86"/>
      <c r="D4093" s="87"/>
      <c r="E4093" s="46" t="str">
        <f aca="false">IF(D4093&lt;&gt;"",IFERROR(VLOOKUP(D4093,PROVEEDORES!$A:$B,2,0),"!COD NO ENCONTRADO"),"")</f>
        <v/>
      </c>
      <c r="F4093" s="88" t="str">
        <f aca="false">IF(D4093&lt;&gt;"",IFERROR(VLOOKUP(D4093,PROVEEDORES!$A:$C,3,0),""),"")</f>
        <v/>
      </c>
      <c r="G4093" s="87"/>
      <c r="H4093" s="46" t="str">
        <f aca="false">IF(G4093&lt;&gt;"",IFERROR(VLOOKUP(G4093,PRODUCTOS!$A:$B,2,0),"!COD NO ENCONTRADO"),"")</f>
        <v/>
      </c>
      <c r="I4093" s="89"/>
      <c r="J4093" s="90"/>
      <c r="K4093" s="91"/>
      <c r="L4093" s="80" t="str">
        <f aca="false">IF(AND(J4093&lt;&gt;"",K4093&lt;&gt;""),J4093*K4093,"")</f>
        <v/>
      </c>
      <c r="M4093" s="81" t="str">
        <f aca="false">IF(L4093&lt;&gt;"",L4093*1.1,"")</f>
        <v/>
      </c>
      <c r="N4093" s="47" t="n">
        <f aca="false">IF(F4093="S",L4093*0.02,0)</f>
        <v>0</v>
      </c>
      <c r="O4093" s="82" t="str">
        <f aca="false">IF(L4093&lt;&gt;"",L4093+N4093,"")</f>
        <v/>
      </c>
      <c r="P4093" s="47" t="str">
        <f aca="false">IF(O4093&lt;&gt;"",O4093*0.1,"")</f>
        <v/>
      </c>
      <c r="Q4093" s="83" t="str">
        <f aca="false">IF(O4093&lt;&gt;"",O4093+P4093,"")</f>
        <v/>
      </c>
      <c r="R4093" s="84"/>
    </row>
    <row r="4094" customFormat="false" ht="15" hidden="false" customHeight="true" outlineLevel="0" collapsed="false">
      <c r="A4094" s="103"/>
      <c r="B4094" s="73"/>
      <c r="C4094" s="74"/>
      <c r="D4094" s="75"/>
      <c r="E4094" s="52" t="str">
        <f aca="false">IF(D4094&lt;&gt;"",IFERROR(VLOOKUP(D4094,PROVEEDORES!$A:$B,2,0),"!COD NO ENCONTRADO"),"")</f>
        <v/>
      </c>
      <c r="F4094" s="76" t="str">
        <f aca="false">IF(D4094&lt;&gt;"",IFERROR(VLOOKUP(D4094,PROVEEDORES!$A:$C,3,0),""),"")</f>
        <v/>
      </c>
      <c r="G4094" s="75"/>
      <c r="H4094" s="52" t="str">
        <f aca="false">IF(G4094&lt;&gt;"",IFERROR(VLOOKUP(G4094,PRODUCTOS!$A:$B,2,0),"!COD NO ENCONTRADO"),"")</f>
        <v/>
      </c>
      <c r="I4094" s="77"/>
      <c r="J4094" s="78"/>
      <c r="K4094" s="79"/>
      <c r="L4094" s="80" t="str">
        <f aca="false">IF(AND(J4094&lt;&gt;"",K4094&lt;&gt;""),J4094*K4094,"")</f>
        <v/>
      </c>
      <c r="M4094" s="81" t="str">
        <f aca="false">IF(L4094&lt;&gt;"",L4094*1.1,"")</f>
        <v/>
      </c>
      <c r="N4094" s="53" t="n">
        <f aca="false">IF(F4094="S",L4094*0.02,0)</f>
        <v>0</v>
      </c>
      <c r="O4094" s="82" t="str">
        <f aca="false">IF(L4094&lt;&gt;"",L4094+N4094,"")</f>
        <v/>
      </c>
      <c r="P4094" s="53" t="str">
        <f aca="false">IF(O4094&lt;&gt;"",O4094*0.1,"")</f>
        <v/>
      </c>
      <c r="Q4094" s="83" t="str">
        <f aca="false">IF(O4094&lt;&gt;"",O4094+P4094,"")</f>
        <v/>
      </c>
      <c r="R4094" s="84"/>
    </row>
    <row r="4095" customFormat="false" ht="15" hidden="false" customHeight="true" outlineLevel="0" collapsed="false">
      <c r="A4095" s="103"/>
      <c r="B4095" s="85"/>
      <c r="C4095" s="86"/>
      <c r="D4095" s="87"/>
      <c r="E4095" s="46" t="str">
        <f aca="false">IF(D4095&lt;&gt;"",IFERROR(VLOOKUP(D4095,PROVEEDORES!$A:$B,2,0),"!COD NO ENCONTRADO"),"")</f>
        <v/>
      </c>
      <c r="F4095" s="88" t="str">
        <f aca="false">IF(D4095&lt;&gt;"",IFERROR(VLOOKUP(D4095,PROVEEDORES!$A:$C,3,0),""),"")</f>
        <v/>
      </c>
      <c r="G4095" s="87"/>
      <c r="H4095" s="46" t="str">
        <f aca="false">IF(G4095&lt;&gt;"",IFERROR(VLOOKUP(G4095,PRODUCTOS!$A:$B,2,0),"!COD NO ENCONTRADO"),"")</f>
        <v/>
      </c>
      <c r="I4095" s="89"/>
      <c r="J4095" s="90"/>
      <c r="K4095" s="91"/>
      <c r="L4095" s="80" t="str">
        <f aca="false">IF(AND(J4095&lt;&gt;"",K4095&lt;&gt;""),J4095*K4095,"")</f>
        <v/>
      </c>
      <c r="M4095" s="81" t="str">
        <f aca="false">IF(L4095&lt;&gt;"",L4095*1.1,"")</f>
        <v/>
      </c>
      <c r="N4095" s="47" t="n">
        <f aca="false">IF(F4095="S",L4095*0.02,0)</f>
        <v>0</v>
      </c>
      <c r="O4095" s="82" t="str">
        <f aca="false">IF(L4095&lt;&gt;"",L4095+N4095,"")</f>
        <v/>
      </c>
      <c r="P4095" s="47" t="str">
        <f aca="false">IF(O4095&lt;&gt;"",O4095*0.1,"")</f>
        <v/>
      </c>
      <c r="Q4095" s="83" t="str">
        <f aca="false">IF(O4095&lt;&gt;"",O4095+P4095,"")</f>
        <v/>
      </c>
      <c r="R4095" s="84"/>
    </row>
    <row r="4096" customFormat="false" ht="15" hidden="false" customHeight="true" outlineLevel="0" collapsed="false">
      <c r="A4096" s="103"/>
      <c r="B4096" s="73"/>
      <c r="C4096" s="74"/>
      <c r="D4096" s="75"/>
      <c r="E4096" s="52" t="str">
        <f aca="false">IF(D4096&lt;&gt;"",IFERROR(VLOOKUP(D4096,PROVEEDORES!$A:$B,2,0),"!COD NO ENCONTRADO"),"")</f>
        <v/>
      </c>
      <c r="F4096" s="76" t="str">
        <f aca="false">IF(D4096&lt;&gt;"",IFERROR(VLOOKUP(D4096,PROVEEDORES!$A:$C,3,0),""),"")</f>
        <v/>
      </c>
      <c r="G4096" s="75"/>
      <c r="H4096" s="52" t="str">
        <f aca="false">IF(G4096&lt;&gt;"",IFERROR(VLOOKUP(G4096,PRODUCTOS!$A:$B,2,0),"!COD NO ENCONTRADO"),"")</f>
        <v/>
      </c>
      <c r="I4096" s="77"/>
      <c r="J4096" s="78"/>
      <c r="K4096" s="79"/>
      <c r="L4096" s="80" t="str">
        <f aca="false">IF(AND(J4096&lt;&gt;"",K4096&lt;&gt;""),J4096*K4096,"")</f>
        <v/>
      </c>
      <c r="M4096" s="81" t="str">
        <f aca="false">IF(L4096&lt;&gt;"",L4096*1.1,"")</f>
        <v/>
      </c>
      <c r="N4096" s="53" t="n">
        <f aca="false">IF(F4096="S",L4096*0.02,0)</f>
        <v>0</v>
      </c>
      <c r="O4096" s="82" t="str">
        <f aca="false">IF(L4096&lt;&gt;"",L4096+N4096,"")</f>
        <v/>
      </c>
      <c r="P4096" s="53" t="str">
        <f aca="false">IF(O4096&lt;&gt;"",O4096*0.1,"")</f>
        <v/>
      </c>
      <c r="Q4096" s="83" t="str">
        <f aca="false">IF(O4096&lt;&gt;"",O4096+P4096,"")</f>
        <v/>
      </c>
      <c r="R4096" s="84"/>
    </row>
    <row r="4097" customFormat="false" ht="15" hidden="false" customHeight="true" outlineLevel="0" collapsed="false">
      <c r="A4097" s="103"/>
      <c r="B4097" s="85"/>
      <c r="C4097" s="86"/>
      <c r="D4097" s="87"/>
      <c r="E4097" s="46" t="str">
        <f aca="false">IF(D4097&lt;&gt;"",IFERROR(VLOOKUP(D4097,PROVEEDORES!$A:$B,2,0),"!COD NO ENCONTRADO"),"")</f>
        <v/>
      </c>
      <c r="F4097" s="88" t="str">
        <f aca="false">IF(D4097&lt;&gt;"",IFERROR(VLOOKUP(D4097,PROVEEDORES!$A:$C,3,0),""),"")</f>
        <v/>
      </c>
      <c r="G4097" s="87"/>
      <c r="H4097" s="46" t="str">
        <f aca="false">IF(G4097&lt;&gt;"",IFERROR(VLOOKUP(G4097,PRODUCTOS!$A:$B,2,0),"!COD NO ENCONTRADO"),"")</f>
        <v/>
      </c>
      <c r="I4097" s="89"/>
      <c r="J4097" s="90"/>
      <c r="K4097" s="91"/>
      <c r="L4097" s="80" t="str">
        <f aca="false">IF(AND(J4097&lt;&gt;"",K4097&lt;&gt;""),J4097*K4097,"")</f>
        <v/>
      </c>
      <c r="M4097" s="81" t="str">
        <f aca="false">IF(L4097&lt;&gt;"",L4097*1.1,"")</f>
        <v/>
      </c>
      <c r="N4097" s="47" t="n">
        <f aca="false">IF(F4097="S",L4097*0.02,0)</f>
        <v>0</v>
      </c>
      <c r="O4097" s="82" t="str">
        <f aca="false">IF(L4097&lt;&gt;"",L4097+N4097,"")</f>
        <v/>
      </c>
      <c r="P4097" s="47" t="str">
        <f aca="false">IF(O4097&lt;&gt;"",O4097*0.1,"")</f>
        <v/>
      </c>
      <c r="Q4097" s="83" t="str">
        <f aca="false">IF(O4097&lt;&gt;"",O4097+P4097,"")</f>
        <v/>
      </c>
      <c r="R4097" s="84"/>
    </row>
    <row r="4098" customFormat="false" ht="15" hidden="false" customHeight="true" outlineLevel="0" collapsed="false">
      <c r="A4098" s="103"/>
      <c r="B4098" s="73"/>
      <c r="C4098" s="74"/>
      <c r="D4098" s="75"/>
      <c r="E4098" s="52" t="str">
        <f aca="false">IF(D4098&lt;&gt;"",IFERROR(VLOOKUP(D4098,PROVEEDORES!$A:$B,2,0),"!COD NO ENCONTRADO"),"")</f>
        <v/>
      </c>
      <c r="F4098" s="76" t="str">
        <f aca="false">IF(D4098&lt;&gt;"",IFERROR(VLOOKUP(D4098,PROVEEDORES!$A:$C,3,0),""),"")</f>
        <v/>
      </c>
      <c r="G4098" s="75"/>
      <c r="H4098" s="52" t="str">
        <f aca="false">IF(G4098&lt;&gt;"",IFERROR(VLOOKUP(G4098,PRODUCTOS!$A:$B,2,0),"!COD NO ENCONTRADO"),"")</f>
        <v/>
      </c>
      <c r="I4098" s="77"/>
      <c r="J4098" s="78"/>
      <c r="K4098" s="79"/>
      <c r="L4098" s="80" t="str">
        <f aca="false">IF(AND(J4098&lt;&gt;"",K4098&lt;&gt;""),J4098*K4098,"")</f>
        <v/>
      </c>
      <c r="M4098" s="81" t="str">
        <f aca="false">IF(L4098&lt;&gt;"",L4098*1.1,"")</f>
        <v/>
      </c>
      <c r="N4098" s="53" t="n">
        <f aca="false">IF(F4098="S",L4098*0.02,0)</f>
        <v>0</v>
      </c>
      <c r="O4098" s="82" t="str">
        <f aca="false">IF(L4098&lt;&gt;"",L4098+N4098,"")</f>
        <v/>
      </c>
      <c r="P4098" s="53" t="str">
        <f aca="false">IF(O4098&lt;&gt;"",O4098*0.1,"")</f>
        <v/>
      </c>
      <c r="Q4098" s="83" t="str">
        <f aca="false">IF(O4098&lt;&gt;"",O4098+P4098,"")</f>
        <v/>
      </c>
      <c r="R4098" s="84"/>
    </row>
    <row r="4099" customFormat="false" ht="15" hidden="false" customHeight="true" outlineLevel="0" collapsed="false">
      <c r="A4099" s="103"/>
      <c r="B4099" s="85"/>
      <c r="C4099" s="86"/>
      <c r="D4099" s="87"/>
      <c r="E4099" s="46" t="str">
        <f aca="false">IF(D4099&lt;&gt;"",IFERROR(VLOOKUP(D4099,PROVEEDORES!$A:$B,2,0),"!COD NO ENCONTRADO"),"")</f>
        <v/>
      </c>
      <c r="F4099" s="88" t="str">
        <f aca="false">IF(D4099&lt;&gt;"",IFERROR(VLOOKUP(D4099,PROVEEDORES!$A:$C,3,0),""),"")</f>
        <v/>
      </c>
      <c r="G4099" s="87"/>
      <c r="H4099" s="46" t="str">
        <f aca="false">IF(G4099&lt;&gt;"",IFERROR(VLOOKUP(G4099,PRODUCTOS!$A:$B,2,0),"!COD NO ENCONTRADO"),"")</f>
        <v/>
      </c>
      <c r="I4099" s="89"/>
      <c r="J4099" s="90"/>
      <c r="K4099" s="91"/>
      <c r="L4099" s="80" t="str">
        <f aca="false">IF(AND(J4099&lt;&gt;"",K4099&lt;&gt;""),J4099*K4099,"")</f>
        <v/>
      </c>
      <c r="M4099" s="81" t="str">
        <f aca="false">IF(L4099&lt;&gt;"",L4099*1.1,"")</f>
        <v/>
      </c>
      <c r="N4099" s="47" t="n">
        <f aca="false">IF(F4099="S",L4099*0.02,0)</f>
        <v>0</v>
      </c>
      <c r="O4099" s="82" t="str">
        <f aca="false">IF(L4099&lt;&gt;"",L4099+N4099,"")</f>
        <v/>
      </c>
      <c r="P4099" s="47" t="str">
        <f aca="false">IF(O4099&lt;&gt;"",O4099*0.1,"")</f>
        <v/>
      </c>
      <c r="Q4099" s="83" t="str">
        <f aca="false">IF(O4099&lt;&gt;"",O4099+P4099,"")</f>
        <v/>
      </c>
      <c r="R4099" s="84"/>
    </row>
    <row r="4100" customFormat="false" ht="15" hidden="false" customHeight="true" outlineLevel="0" collapsed="false">
      <c r="A4100" s="103"/>
      <c r="B4100" s="73"/>
      <c r="C4100" s="74"/>
      <c r="D4100" s="75"/>
      <c r="E4100" s="52" t="str">
        <f aca="false">IF(D4100&lt;&gt;"",IFERROR(VLOOKUP(D4100,PROVEEDORES!$A:$B,2,0),"!COD NO ENCONTRADO"),"")</f>
        <v/>
      </c>
      <c r="F4100" s="76" t="str">
        <f aca="false">IF(D4100&lt;&gt;"",IFERROR(VLOOKUP(D4100,PROVEEDORES!$A:$C,3,0),""),"")</f>
        <v/>
      </c>
      <c r="G4100" s="75"/>
      <c r="H4100" s="52" t="str">
        <f aca="false">IF(G4100&lt;&gt;"",IFERROR(VLOOKUP(G4100,PRODUCTOS!$A:$B,2,0),"!COD NO ENCONTRADO"),"")</f>
        <v/>
      </c>
      <c r="I4100" s="77"/>
      <c r="J4100" s="78"/>
      <c r="K4100" s="79"/>
      <c r="L4100" s="80" t="str">
        <f aca="false">IF(AND(J4100&lt;&gt;"",K4100&lt;&gt;""),J4100*K4100,"")</f>
        <v/>
      </c>
      <c r="M4100" s="81" t="str">
        <f aca="false">IF(L4100&lt;&gt;"",L4100*1.1,"")</f>
        <v/>
      </c>
      <c r="N4100" s="53" t="n">
        <f aca="false">IF(F4100="S",L4100*0.02,0)</f>
        <v>0</v>
      </c>
      <c r="O4100" s="82" t="str">
        <f aca="false">IF(L4100&lt;&gt;"",L4100+N4100,"")</f>
        <v/>
      </c>
      <c r="P4100" s="53" t="str">
        <f aca="false">IF(O4100&lt;&gt;"",O4100*0.1,"")</f>
        <v/>
      </c>
      <c r="Q4100" s="83" t="str">
        <f aca="false">IF(O4100&lt;&gt;"",O4100+P4100,"")</f>
        <v/>
      </c>
      <c r="R4100" s="84"/>
    </row>
    <row r="4101" customFormat="false" ht="15" hidden="false" customHeight="true" outlineLevel="0" collapsed="false">
      <c r="A4101" s="103"/>
      <c r="B4101" s="85"/>
      <c r="C4101" s="86"/>
      <c r="D4101" s="87"/>
      <c r="E4101" s="46" t="str">
        <f aca="false">IF(D4101&lt;&gt;"",IFERROR(VLOOKUP(D4101,PROVEEDORES!$A:$B,2,0),"!COD NO ENCONTRADO"),"")</f>
        <v/>
      </c>
      <c r="F4101" s="88" t="str">
        <f aca="false">IF(D4101&lt;&gt;"",IFERROR(VLOOKUP(D4101,PROVEEDORES!$A:$C,3,0),""),"")</f>
        <v/>
      </c>
      <c r="G4101" s="87"/>
      <c r="H4101" s="46" t="str">
        <f aca="false">IF(G4101&lt;&gt;"",IFERROR(VLOOKUP(G4101,PRODUCTOS!$A:$B,2,0),"!COD NO ENCONTRADO"),"")</f>
        <v/>
      </c>
      <c r="I4101" s="89"/>
      <c r="J4101" s="90"/>
      <c r="K4101" s="91"/>
      <c r="L4101" s="80" t="str">
        <f aca="false">IF(AND(J4101&lt;&gt;"",K4101&lt;&gt;""),J4101*K4101,"")</f>
        <v/>
      </c>
      <c r="M4101" s="81" t="str">
        <f aca="false">IF(L4101&lt;&gt;"",L4101*1.1,"")</f>
        <v/>
      </c>
      <c r="N4101" s="47" t="n">
        <f aca="false">IF(F4101="S",L4101*0.02,0)</f>
        <v>0</v>
      </c>
      <c r="O4101" s="82" t="str">
        <f aca="false">IF(L4101&lt;&gt;"",L4101+N4101,"")</f>
        <v/>
      </c>
      <c r="P4101" s="47" t="str">
        <f aca="false">IF(O4101&lt;&gt;"",O4101*0.1,"")</f>
        <v/>
      </c>
      <c r="Q4101" s="83" t="str">
        <f aca="false">IF(O4101&lt;&gt;"",O4101+P4101,"")</f>
        <v/>
      </c>
      <c r="R4101" s="84"/>
    </row>
    <row r="4102" customFormat="false" ht="15" hidden="false" customHeight="true" outlineLevel="0" collapsed="false">
      <c r="A4102" s="103"/>
      <c r="B4102" s="73"/>
      <c r="C4102" s="74"/>
      <c r="D4102" s="75"/>
      <c r="E4102" s="52" t="str">
        <f aca="false">IF(D4102&lt;&gt;"",IFERROR(VLOOKUP(D4102,PROVEEDORES!$A:$B,2,0),"!COD NO ENCONTRADO"),"")</f>
        <v/>
      </c>
      <c r="F4102" s="76" t="str">
        <f aca="false">IF(D4102&lt;&gt;"",IFERROR(VLOOKUP(D4102,PROVEEDORES!$A:$C,3,0),""),"")</f>
        <v/>
      </c>
      <c r="G4102" s="75"/>
      <c r="H4102" s="52" t="str">
        <f aca="false">IF(G4102&lt;&gt;"",IFERROR(VLOOKUP(G4102,PRODUCTOS!$A:$B,2,0),"!COD NO ENCONTRADO"),"")</f>
        <v/>
      </c>
      <c r="I4102" s="77"/>
      <c r="J4102" s="78"/>
      <c r="K4102" s="79"/>
      <c r="L4102" s="80" t="str">
        <f aca="false">IF(AND(J4102&lt;&gt;"",K4102&lt;&gt;""),J4102*K4102,"")</f>
        <v/>
      </c>
      <c r="M4102" s="81" t="str">
        <f aca="false">IF(L4102&lt;&gt;"",L4102*1.1,"")</f>
        <v/>
      </c>
      <c r="N4102" s="53" t="n">
        <f aca="false">IF(F4102="S",L4102*0.02,0)</f>
        <v>0</v>
      </c>
      <c r="O4102" s="82" t="str">
        <f aca="false">IF(L4102&lt;&gt;"",L4102+N4102,"")</f>
        <v/>
      </c>
      <c r="P4102" s="53" t="str">
        <f aca="false">IF(O4102&lt;&gt;"",O4102*0.1,"")</f>
        <v/>
      </c>
      <c r="Q4102" s="83" t="str">
        <f aca="false">IF(O4102&lt;&gt;"",O4102+P4102,"")</f>
        <v/>
      </c>
      <c r="R4102" s="84"/>
    </row>
    <row r="4103" customFormat="false" ht="15" hidden="false" customHeight="true" outlineLevel="0" collapsed="false">
      <c r="A4103" s="103"/>
      <c r="B4103" s="85"/>
      <c r="C4103" s="86"/>
      <c r="D4103" s="87"/>
      <c r="E4103" s="46" t="str">
        <f aca="false">IF(D4103&lt;&gt;"",IFERROR(VLOOKUP(D4103,PROVEEDORES!$A:$B,2,0),"!COD NO ENCONTRADO"),"")</f>
        <v/>
      </c>
      <c r="F4103" s="88" t="str">
        <f aca="false">IF(D4103&lt;&gt;"",IFERROR(VLOOKUP(D4103,PROVEEDORES!$A:$C,3,0),""),"")</f>
        <v/>
      </c>
      <c r="G4103" s="87"/>
      <c r="H4103" s="46" t="str">
        <f aca="false">IF(G4103&lt;&gt;"",IFERROR(VLOOKUP(G4103,PRODUCTOS!$A:$B,2,0),"!COD NO ENCONTRADO"),"")</f>
        <v/>
      </c>
      <c r="I4103" s="89"/>
      <c r="J4103" s="90"/>
      <c r="K4103" s="91"/>
      <c r="L4103" s="80" t="str">
        <f aca="false">IF(AND(J4103&lt;&gt;"",K4103&lt;&gt;""),J4103*K4103,"")</f>
        <v/>
      </c>
      <c r="M4103" s="81" t="str">
        <f aca="false">IF(L4103&lt;&gt;"",L4103*1.1,"")</f>
        <v/>
      </c>
      <c r="N4103" s="47" t="n">
        <f aca="false">IF(F4103="S",L4103*0.02,0)</f>
        <v>0</v>
      </c>
      <c r="O4103" s="82" t="str">
        <f aca="false">IF(L4103&lt;&gt;"",L4103+N4103,"")</f>
        <v/>
      </c>
      <c r="P4103" s="47" t="str">
        <f aca="false">IF(O4103&lt;&gt;"",O4103*0.1,"")</f>
        <v/>
      </c>
      <c r="Q4103" s="83" t="str">
        <f aca="false">IF(O4103&lt;&gt;"",O4103+P4103,"")</f>
        <v/>
      </c>
      <c r="R4103" s="84"/>
    </row>
    <row r="4104" customFormat="false" ht="15" hidden="false" customHeight="true" outlineLevel="0" collapsed="false">
      <c r="A4104" s="103"/>
      <c r="B4104" s="73"/>
      <c r="C4104" s="74"/>
      <c r="D4104" s="75"/>
      <c r="E4104" s="52" t="str">
        <f aca="false">IF(D4104&lt;&gt;"",IFERROR(VLOOKUP(D4104,PROVEEDORES!$A:$B,2,0),"!COD NO ENCONTRADO"),"")</f>
        <v/>
      </c>
      <c r="F4104" s="76" t="str">
        <f aca="false">IF(D4104&lt;&gt;"",IFERROR(VLOOKUP(D4104,PROVEEDORES!$A:$C,3,0),""),"")</f>
        <v/>
      </c>
      <c r="G4104" s="75"/>
      <c r="H4104" s="52" t="str">
        <f aca="false">IF(G4104&lt;&gt;"",IFERROR(VLOOKUP(G4104,PRODUCTOS!$A:$B,2,0),"!COD NO ENCONTRADO"),"")</f>
        <v/>
      </c>
      <c r="I4104" s="77"/>
      <c r="J4104" s="78"/>
      <c r="K4104" s="79"/>
      <c r="L4104" s="80" t="str">
        <f aca="false">IF(AND(J4104&lt;&gt;"",K4104&lt;&gt;""),J4104*K4104,"")</f>
        <v/>
      </c>
      <c r="M4104" s="81" t="str">
        <f aca="false">IF(L4104&lt;&gt;"",L4104*1.1,"")</f>
        <v/>
      </c>
      <c r="N4104" s="53" t="n">
        <f aca="false">IF(F4104="S",L4104*0.02,0)</f>
        <v>0</v>
      </c>
      <c r="O4104" s="82" t="str">
        <f aca="false">IF(L4104&lt;&gt;"",L4104+N4104,"")</f>
        <v/>
      </c>
      <c r="P4104" s="53" t="str">
        <f aca="false">IF(O4104&lt;&gt;"",O4104*0.1,"")</f>
        <v/>
      </c>
      <c r="Q4104" s="83" t="str">
        <f aca="false">IF(O4104&lt;&gt;"",O4104+P4104,"")</f>
        <v/>
      </c>
      <c r="R4104" s="84"/>
    </row>
    <row r="4105" customFormat="false" ht="15" hidden="false" customHeight="true" outlineLevel="0" collapsed="false">
      <c r="A4105" s="103"/>
      <c r="B4105" s="85"/>
      <c r="C4105" s="86"/>
      <c r="D4105" s="87"/>
      <c r="E4105" s="46" t="str">
        <f aca="false">IF(D4105&lt;&gt;"",IFERROR(VLOOKUP(D4105,PROVEEDORES!$A:$B,2,0),"!COD NO ENCONTRADO"),"")</f>
        <v/>
      </c>
      <c r="F4105" s="88" t="str">
        <f aca="false">IF(D4105&lt;&gt;"",IFERROR(VLOOKUP(D4105,PROVEEDORES!$A:$C,3,0),""),"")</f>
        <v/>
      </c>
      <c r="G4105" s="87"/>
      <c r="H4105" s="46" t="str">
        <f aca="false">IF(G4105&lt;&gt;"",IFERROR(VLOOKUP(G4105,PRODUCTOS!$A:$B,2,0),"!COD NO ENCONTRADO"),"")</f>
        <v/>
      </c>
      <c r="I4105" s="89"/>
      <c r="J4105" s="90"/>
      <c r="K4105" s="91"/>
      <c r="L4105" s="80" t="str">
        <f aca="false">IF(AND(J4105&lt;&gt;"",K4105&lt;&gt;""),J4105*K4105,"")</f>
        <v/>
      </c>
      <c r="M4105" s="81" t="str">
        <f aca="false">IF(L4105&lt;&gt;"",L4105*1.1,"")</f>
        <v/>
      </c>
      <c r="N4105" s="47" t="n">
        <f aca="false">IF(F4105="S",L4105*0.02,0)</f>
        <v>0</v>
      </c>
      <c r="O4105" s="82" t="str">
        <f aca="false">IF(L4105&lt;&gt;"",L4105+N4105,"")</f>
        <v/>
      </c>
      <c r="P4105" s="47" t="str">
        <f aca="false">IF(O4105&lt;&gt;"",O4105*0.1,"")</f>
        <v/>
      </c>
      <c r="Q4105" s="83" t="str">
        <f aca="false">IF(O4105&lt;&gt;"",O4105+P4105,"")</f>
        <v/>
      </c>
      <c r="R4105" s="84"/>
    </row>
    <row r="4106" customFormat="false" ht="15" hidden="false" customHeight="true" outlineLevel="0" collapsed="false">
      <c r="A4106" s="103"/>
      <c r="B4106" s="73"/>
      <c r="C4106" s="74"/>
      <c r="D4106" s="75"/>
      <c r="E4106" s="52" t="str">
        <f aca="false">IF(D4106&lt;&gt;"",IFERROR(VLOOKUP(D4106,PROVEEDORES!$A:$B,2,0),"!COD NO ENCONTRADO"),"")</f>
        <v/>
      </c>
      <c r="F4106" s="76" t="str">
        <f aca="false">IF(D4106&lt;&gt;"",IFERROR(VLOOKUP(D4106,PROVEEDORES!$A:$C,3,0),""),"")</f>
        <v/>
      </c>
      <c r="G4106" s="75"/>
      <c r="H4106" s="52" t="str">
        <f aca="false">IF(G4106&lt;&gt;"",IFERROR(VLOOKUP(G4106,PRODUCTOS!$A:$B,2,0),"!COD NO ENCONTRADO"),"")</f>
        <v/>
      </c>
      <c r="I4106" s="77"/>
      <c r="J4106" s="78"/>
      <c r="K4106" s="79"/>
      <c r="L4106" s="80" t="str">
        <f aca="false">IF(AND(J4106&lt;&gt;"",K4106&lt;&gt;""),J4106*K4106,"")</f>
        <v/>
      </c>
      <c r="M4106" s="81" t="str">
        <f aca="false">IF(L4106&lt;&gt;"",L4106*1.1,"")</f>
        <v/>
      </c>
      <c r="N4106" s="53" t="n">
        <f aca="false">IF(F4106="S",L4106*0.02,0)</f>
        <v>0</v>
      </c>
      <c r="O4106" s="82" t="str">
        <f aca="false">IF(L4106&lt;&gt;"",L4106+N4106,"")</f>
        <v/>
      </c>
      <c r="P4106" s="53" t="str">
        <f aca="false">IF(O4106&lt;&gt;"",O4106*0.1,"")</f>
        <v/>
      </c>
      <c r="Q4106" s="83" t="str">
        <f aca="false">IF(O4106&lt;&gt;"",O4106+P4106,"")</f>
        <v/>
      </c>
      <c r="R4106" s="84"/>
    </row>
    <row r="4107" customFormat="false" ht="15" hidden="false" customHeight="true" outlineLevel="0" collapsed="false">
      <c r="A4107" s="103"/>
      <c r="B4107" s="85"/>
      <c r="C4107" s="86"/>
      <c r="D4107" s="87"/>
      <c r="E4107" s="46" t="str">
        <f aca="false">IF(D4107&lt;&gt;"",IFERROR(VLOOKUP(D4107,PROVEEDORES!$A:$B,2,0),"!COD NO ENCONTRADO"),"")</f>
        <v/>
      </c>
      <c r="F4107" s="88" t="str">
        <f aca="false">IF(D4107&lt;&gt;"",IFERROR(VLOOKUP(D4107,PROVEEDORES!$A:$C,3,0),""),"")</f>
        <v/>
      </c>
      <c r="G4107" s="87"/>
      <c r="H4107" s="46" t="str">
        <f aca="false">IF(G4107&lt;&gt;"",IFERROR(VLOOKUP(G4107,PRODUCTOS!$A:$B,2,0),"!COD NO ENCONTRADO"),"")</f>
        <v/>
      </c>
      <c r="I4107" s="89"/>
      <c r="J4107" s="90"/>
      <c r="K4107" s="91"/>
      <c r="L4107" s="80" t="str">
        <f aca="false">IF(AND(J4107&lt;&gt;"",K4107&lt;&gt;""),J4107*K4107,"")</f>
        <v/>
      </c>
      <c r="M4107" s="81" t="str">
        <f aca="false">IF(L4107&lt;&gt;"",L4107*1.1,"")</f>
        <v/>
      </c>
      <c r="N4107" s="47" t="n">
        <f aca="false">IF(F4107="S",L4107*0.02,0)</f>
        <v>0</v>
      </c>
      <c r="O4107" s="82" t="str">
        <f aca="false">IF(L4107&lt;&gt;"",L4107+N4107,"")</f>
        <v/>
      </c>
      <c r="P4107" s="47" t="str">
        <f aca="false">IF(O4107&lt;&gt;"",O4107*0.1,"")</f>
        <v/>
      </c>
      <c r="Q4107" s="83" t="str">
        <f aca="false">IF(O4107&lt;&gt;"",O4107+P4107,"")</f>
        <v/>
      </c>
      <c r="R4107" s="84"/>
    </row>
    <row r="4108" customFormat="false" ht="15" hidden="false" customHeight="true" outlineLevel="0" collapsed="false">
      <c r="A4108" s="103"/>
      <c r="B4108" s="73"/>
      <c r="C4108" s="74"/>
      <c r="D4108" s="75"/>
      <c r="E4108" s="52" t="str">
        <f aca="false">IF(D4108&lt;&gt;"",IFERROR(VLOOKUP(D4108,PROVEEDORES!$A:$B,2,0),"!COD NO ENCONTRADO"),"")</f>
        <v/>
      </c>
      <c r="F4108" s="76" t="str">
        <f aca="false">IF(D4108&lt;&gt;"",IFERROR(VLOOKUP(D4108,PROVEEDORES!$A:$C,3,0),""),"")</f>
        <v/>
      </c>
      <c r="G4108" s="75"/>
      <c r="H4108" s="52" t="str">
        <f aca="false">IF(G4108&lt;&gt;"",IFERROR(VLOOKUP(G4108,PRODUCTOS!$A:$B,2,0),"!COD NO ENCONTRADO"),"")</f>
        <v/>
      </c>
      <c r="I4108" s="77"/>
      <c r="J4108" s="78"/>
      <c r="K4108" s="79"/>
      <c r="L4108" s="80" t="str">
        <f aca="false">IF(AND(J4108&lt;&gt;"",K4108&lt;&gt;""),J4108*K4108,"")</f>
        <v/>
      </c>
      <c r="M4108" s="81" t="str">
        <f aca="false">IF(L4108&lt;&gt;"",L4108*1.1,"")</f>
        <v/>
      </c>
      <c r="N4108" s="53" t="n">
        <f aca="false">IF(F4108="S",L4108*0.02,0)</f>
        <v>0</v>
      </c>
      <c r="O4108" s="82" t="str">
        <f aca="false">IF(L4108&lt;&gt;"",L4108+N4108,"")</f>
        <v/>
      </c>
      <c r="P4108" s="53" t="str">
        <f aca="false">IF(O4108&lt;&gt;"",O4108*0.1,"")</f>
        <v/>
      </c>
      <c r="Q4108" s="83" t="str">
        <f aca="false">IF(O4108&lt;&gt;"",O4108+P4108,"")</f>
        <v/>
      </c>
      <c r="R4108" s="84"/>
    </row>
    <row r="4109" customFormat="false" ht="15" hidden="false" customHeight="true" outlineLevel="0" collapsed="false">
      <c r="A4109" s="103"/>
      <c r="B4109" s="85"/>
      <c r="C4109" s="86"/>
      <c r="D4109" s="87"/>
      <c r="E4109" s="46" t="str">
        <f aca="false">IF(D4109&lt;&gt;"",IFERROR(VLOOKUP(D4109,PROVEEDORES!$A:$B,2,0),"!COD NO ENCONTRADO"),"")</f>
        <v/>
      </c>
      <c r="F4109" s="88" t="str">
        <f aca="false">IF(D4109&lt;&gt;"",IFERROR(VLOOKUP(D4109,PROVEEDORES!$A:$C,3,0),""),"")</f>
        <v/>
      </c>
      <c r="G4109" s="87"/>
      <c r="H4109" s="46" t="str">
        <f aca="false">IF(G4109&lt;&gt;"",IFERROR(VLOOKUP(G4109,PRODUCTOS!$A:$B,2,0),"!COD NO ENCONTRADO"),"")</f>
        <v/>
      </c>
      <c r="I4109" s="89"/>
      <c r="J4109" s="90"/>
      <c r="K4109" s="91"/>
      <c r="L4109" s="80" t="str">
        <f aca="false">IF(AND(J4109&lt;&gt;"",K4109&lt;&gt;""),J4109*K4109,"")</f>
        <v/>
      </c>
      <c r="M4109" s="81" t="str">
        <f aca="false">IF(L4109&lt;&gt;"",L4109*1.1,"")</f>
        <v/>
      </c>
      <c r="N4109" s="47" t="n">
        <f aca="false">IF(F4109="S",L4109*0.02,0)</f>
        <v>0</v>
      </c>
      <c r="O4109" s="82" t="str">
        <f aca="false">IF(L4109&lt;&gt;"",L4109+N4109,"")</f>
        <v/>
      </c>
      <c r="P4109" s="47" t="str">
        <f aca="false">IF(O4109&lt;&gt;"",O4109*0.1,"")</f>
        <v/>
      </c>
      <c r="Q4109" s="83" t="str">
        <f aca="false">IF(O4109&lt;&gt;"",O4109+P4109,"")</f>
        <v/>
      </c>
      <c r="R4109" s="84"/>
    </row>
    <row r="4110" customFormat="false" ht="15" hidden="false" customHeight="true" outlineLevel="0" collapsed="false">
      <c r="A4110" s="103"/>
      <c r="B4110" s="73"/>
      <c r="C4110" s="74"/>
      <c r="D4110" s="75"/>
      <c r="E4110" s="52" t="str">
        <f aca="false">IF(D4110&lt;&gt;"",IFERROR(VLOOKUP(D4110,PROVEEDORES!$A:$B,2,0),"!COD NO ENCONTRADO"),"")</f>
        <v/>
      </c>
      <c r="F4110" s="76" t="str">
        <f aca="false">IF(D4110&lt;&gt;"",IFERROR(VLOOKUP(D4110,PROVEEDORES!$A:$C,3,0),""),"")</f>
        <v/>
      </c>
      <c r="G4110" s="75"/>
      <c r="H4110" s="52" t="str">
        <f aca="false">IF(G4110&lt;&gt;"",IFERROR(VLOOKUP(G4110,PRODUCTOS!$A:$B,2,0),"!COD NO ENCONTRADO"),"")</f>
        <v/>
      </c>
      <c r="I4110" s="77"/>
      <c r="J4110" s="78"/>
      <c r="K4110" s="79"/>
      <c r="L4110" s="80" t="str">
        <f aca="false">IF(AND(J4110&lt;&gt;"",K4110&lt;&gt;""),J4110*K4110,"")</f>
        <v/>
      </c>
      <c r="M4110" s="81" t="str">
        <f aca="false">IF(L4110&lt;&gt;"",L4110*1.1,"")</f>
        <v/>
      </c>
      <c r="N4110" s="53" t="n">
        <f aca="false">IF(F4110="S",L4110*0.02,0)</f>
        <v>0</v>
      </c>
      <c r="O4110" s="82" t="str">
        <f aca="false">IF(L4110&lt;&gt;"",L4110+N4110,"")</f>
        <v/>
      </c>
      <c r="P4110" s="53" t="str">
        <f aca="false">IF(O4110&lt;&gt;"",O4110*0.1,"")</f>
        <v/>
      </c>
      <c r="Q4110" s="83" t="str">
        <f aca="false">IF(O4110&lt;&gt;"",O4110+P4110,"")</f>
        <v/>
      </c>
      <c r="R4110" s="84"/>
    </row>
    <row r="4111" customFormat="false" ht="15" hidden="false" customHeight="true" outlineLevel="0" collapsed="false">
      <c r="A4111" s="103"/>
      <c r="B4111" s="85"/>
      <c r="C4111" s="86"/>
      <c r="D4111" s="87"/>
      <c r="E4111" s="46" t="str">
        <f aca="false">IF(D4111&lt;&gt;"",IFERROR(VLOOKUP(D4111,PROVEEDORES!$A:$B,2,0),"!COD NO ENCONTRADO"),"")</f>
        <v/>
      </c>
      <c r="F4111" s="88" t="str">
        <f aca="false">IF(D4111&lt;&gt;"",IFERROR(VLOOKUP(D4111,PROVEEDORES!$A:$C,3,0),""),"")</f>
        <v/>
      </c>
      <c r="G4111" s="87"/>
      <c r="H4111" s="46" t="str">
        <f aca="false">IF(G4111&lt;&gt;"",IFERROR(VLOOKUP(G4111,PRODUCTOS!$A:$B,2,0),"!COD NO ENCONTRADO"),"")</f>
        <v/>
      </c>
      <c r="I4111" s="89"/>
      <c r="J4111" s="90"/>
      <c r="K4111" s="91"/>
      <c r="L4111" s="80" t="str">
        <f aca="false">IF(AND(J4111&lt;&gt;"",K4111&lt;&gt;""),J4111*K4111,"")</f>
        <v/>
      </c>
      <c r="M4111" s="81" t="str">
        <f aca="false">IF(L4111&lt;&gt;"",L4111*1.1,"")</f>
        <v/>
      </c>
      <c r="N4111" s="47" t="n">
        <f aca="false">IF(F4111="S",L4111*0.02,0)</f>
        <v>0</v>
      </c>
      <c r="O4111" s="82" t="str">
        <f aca="false">IF(L4111&lt;&gt;"",L4111+N4111,"")</f>
        <v/>
      </c>
      <c r="P4111" s="47" t="str">
        <f aca="false">IF(O4111&lt;&gt;"",O4111*0.1,"")</f>
        <v/>
      </c>
      <c r="Q4111" s="83" t="str">
        <f aca="false">IF(O4111&lt;&gt;"",O4111+P4111,"")</f>
        <v/>
      </c>
      <c r="R4111" s="84"/>
    </row>
    <row r="4112" customFormat="false" ht="15" hidden="false" customHeight="true" outlineLevel="0" collapsed="false">
      <c r="A4112" s="103"/>
      <c r="B4112" s="73"/>
      <c r="C4112" s="74"/>
      <c r="D4112" s="75"/>
      <c r="E4112" s="52" t="str">
        <f aca="false">IF(D4112&lt;&gt;"",IFERROR(VLOOKUP(D4112,PROVEEDORES!$A:$B,2,0),"!COD NO ENCONTRADO"),"")</f>
        <v/>
      </c>
      <c r="F4112" s="76" t="str">
        <f aca="false">IF(D4112&lt;&gt;"",IFERROR(VLOOKUP(D4112,PROVEEDORES!$A:$C,3,0),""),"")</f>
        <v/>
      </c>
      <c r="G4112" s="75"/>
      <c r="H4112" s="52" t="str">
        <f aca="false">IF(G4112&lt;&gt;"",IFERROR(VLOOKUP(G4112,PRODUCTOS!$A:$B,2,0),"!COD NO ENCONTRADO"),"")</f>
        <v/>
      </c>
      <c r="I4112" s="77"/>
      <c r="J4112" s="78"/>
      <c r="K4112" s="79"/>
      <c r="L4112" s="80" t="str">
        <f aca="false">IF(AND(J4112&lt;&gt;"",K4112&lt;&gt;""),J4112*K4112,"")</f>
        <v/>
      </c>
      <c r="M4112" s="81" t="str">
        <f aca="false">IF(L4112&lt;&gt;"",L4112*1.1,"")</f>
        <v/>
      </c>
      <c r="N4112" s="53" t="n">
        <f aca="false">IF(F4112="S",L4112*0.02,0)</f>
        <v>0</v>
      </c>
      <c r="O4112" s="82" t="str">
        <f aca="false">IF(L4112&lt;&gt;"",L4112+N4112,"")</f>
        <v/>
      </c>
      <c r="P4112" s="53" t="str">
        <f aca="false">IF(O4112&lt;&gt;"",O4112*0.1,"")</f>
        <v/>
      </c>
      <c r="Q4112" s="83" t="str">
        <f aca="false">IF(O4112&lt;&gt;"",O4112+P4112,"")</f>
        <v/>
      </c>
      <c r="R4112" s="84"/>
    </row>
    <row r="4113" customFormat="false" ht="15" hidden="false" customHeight="true" outlineLevel="0" collapsed="false">
      <c r="A4113" s="103"/>
      <c r="B4113" s="85"/>
      <c r="C4113" s="86"/>
      <c r="D4113" s="87"/>
      <c r="E4113" s="46" t="str">
        <f aca="false">IF(D4113&lt;&gt;"",IFERROR(VLOOKUP(D4113,PROVEEDORES!$A:$B,2,0),"!COD NO ENCONTRADO"),"")</f>
        <v/>
      </c>
      <c r="F4113" s="88" t="str">
        <f aca="false">IF(D4113&lt;&gt;"",IFERROR(VLOOKUP(D4113,PROVEEDORES!$A:$C,3,0),""),"")</f>
        <v/>
      </c>
      <c r="G4113" s="87"/>
      <c r="H4113" s="46" t="str">
        <f aca="false">IF(G4113&lt;&gt;"",IFERROR(VLOOKUP(G4113,PRODUCTOS!$A:$B,2,0),"!COD NO ENCONTRADO"),"")</f>
        <v/>
      </c>
      <c r="I4113" s="89"/>
      <c r="J4113" s="90"/>
      <c r="K4113" s="91"/>
      <c r="L4113" s="80" t="str">
        <f aca="false">IF(AND(J4113&lt;&gt;"",K4113&lt;&gt;""),J4113*K4113,"")</f>
        <v/>
      </c>
      <c r="M4113" s="81" t="str">
        <f aca="false">IF(L4113&lt;&gt;"",L4113*1.1,"")</f>
        <v/>
      </c>
      <c r="N4113" s="47" t="n">
        <f aca="false">IF(F4113="S",L4113*0.02,0)</f>
        <v>0</v>
      </c>
      <c r="O4113" s="82" t="str">
        <f aca="false">IF(L4113&lt;&gt;"",L4113+N4113,"")</f>
        <v/>
      </c>
      <c r="P4113" s="47" t="str">
        <f aca="false">IF(O4113&lt;&gt;"",O4113*0.1,"")</f>
        <v/>
      </c>
      <c r="Q4113" s="83" t="str">
        <f aca="false">IF(O4113&lt;&gt;"",O4113+P4113,"")</f>
        <v/>
      </c>
      <c r="R4113" s="84"/>
    </row>
    <row r="4114" customFormat="false" ht="15" hidden="false" customHeight="true" outlineLevel="0" collapsed="false">
      <c r="A4114" s="103"/>
      <c r="B4114" s="73"/>
      <c r="C4114" s="74"/>
      <c r="D4114" s="75"/>
      <c r="E4114" s="52" t="str">
        <f aca="false">IF(D4114&lt;&gt;"",IFERROR(VLOOKUP(D4114,PROVEEDORES!$A:$B,2,0),"!COD NO ENCONTRADO"),"")</f>
        <v/>
      </c>
      <c r="F4114" s="76" t="str">
        <f aca="false">IF(D4114&lt;&gt;"",IFERROR(VLOOKUP(D4114,PROVEEDORES!$A:$C,3,0),""),"")</f>
        <v/>
      </c>
      <c r="G4114" s="75"/>
      <c r="H4114" s="52" t="str">
        <f aca="false">IF(G4114&lt;&gt;"",IFERROR(VLOOKUP(G4114,PRODUCTOS!$A:$B,2,0),"!COD NO ENCONTRADO"),"")</f>
        <v/>
      </c>
      <c r="I4114" s="77"/>
      <c r="J4114" s="78"/>
      <c r="K4114" s="79"/>
      <c r="L4114" s="80" t="str">
        <f aca="false">IF(AND(J4114&lt;&gt;"",K4114&lt;&gt;""),J4114*K4114,"")</f>
        <v/>
      </c>
      <c r="M4114" s="81" t="str">
        <f aca="false">IF(L4114&lt;&gt;"",L4114*1.1,"")</f>
        <v/>
      </c>
      <c r="N4114" s="53" t="n">
        <f aca="false">IF(F4114="S",L4114*0.02,0)</f>
        <v>0</v>
      </c>
      <c r="O4114" s="82" t="str">
        <f aca="false">IF(L4114&lt;&gt;"",L4114+N4114,"")</f>
        <v/>
      </c>
      <c r="P4114" s="53" t="str">
        <f aca="false">IF(O4114&lt;&gt;"",O4114*0.1,"")</f>
        <v/>
      </c>
      <c r="Q4114" s="83" t="str">
        <f aca="false">IF(O4114&lt;&gt;"",O4114+P4114,"")</f>
        <v/>
      </c>
      <c r="R4114" s="84"/>
    </row>
    <row r="4115" customFormat="false" ht="15" hidden="false" customHeight="true" outlineLevel="0" collapsed="false">
      <c r="A4115" s="103"/>
      <c r="B4115" s="85"/>
      <c r="C4115" s="86"/>
      <c r="D4115" s="87"/>
      <c r="E4115" s="46" t="str">
        <f aca="false">IF(D4115&lt;&gt;"",IFERROR(VLOOKUP(D4115,PROVEEDORES!$A:$B,2,0),"!COD NO ENCONTRADO"),"")</f>
        <v/>
      </c>
      <c r="F4115" s="88" t="str">
        <f aca="false">IF(D4115&lt;&gt;"",IFERROR(VLOOKUP(D4115,PROVEEDORES!$A:$C,3,0),""),"")</f>
        <v/>
      </c>
      <c r="G4115" s="87"/>
      <c r="H4115" s="46" t="str">
        <f aca="false">IF(G4115&lt;&gt;"",IFERROR(VLOOKUP(G4115,PRODUCTOS!$A:$B,2,0),"!COD NO ENCONTRADO"),"")</f>
        <v/>
      </c>
      <c r="I4115" s="89"/>
      <c r="J4115" s="90"/>
      <c r="K4115" s="91"/>
      <c r="L4115" s="80" t="str">
        <f aca="false">IF(AND(J4115&lt;&gt;"",K4115&lt;&gt;""),J4115*K4115,"")</f>
        <v/>
      </c>
      <c r="M4115" s="81" t="str">
        <f aca="false">IF(L4115&lt;&gt;"",L4115*1.1,"")</f>
        <v/>
      </c>
      <c r="N4115" s="47" t="n">
        <f aca="false">IF(F4115="S",L4115*0.02,0)</f>
        <v>0</v>
      </c>
      <c r="O4115" s="82" t="str">
        <f aca="false">IF(L4115&lt;&gt;"",L4115+N4115,"")</f>
        <v/>
      </c>
      <c r="P4115" s="47" t="str">
        <f aca="false">IF(O4115&lt;&gt;"",O4115*0.1,"")</f>
        <v/>
      </c>
      <c r="Q4115" s="83" t="str">
        <f aca="false">IF(O4115&lt;&gt;"",O4115+P4115,"")</f>
        <v/>
      </c>
      <c r="R4115" s="84"/>
    </row>
    <row r="4116" customFormat="false" ht="15" hidden="false" customHeight="true" outlineLevel="0" collapsed="false">
      <c r="A4116" s="103"/>
      <c r="B4116" s="73"/>
      <c r="C4116" s="74"/>
      <c r="D4116" s="75"/>
      <c r="E4116" s="52" t="str">
        <f aca="false">IF(D4116&lt;&gt;"",IFERROR(VLOOKUP(D4116,PROVEEDORES!$A:$B,2,0),"!COD NO ENCONTRADO"),"")</f>
        <v/>
      </c>
      <c r="F4116" s="76" t="str">
        <f aca="false">IF(D4116&lt;&gt;"",IFERROR(VLOOKUP(D4116,PROVEEDORES!$A:$C,3,0),""),"")</f>
        <v/>
      </c>
      <c r="G4116" s="75"/>
      <c r="H4116" s="52" t="str">
        <f aca="false">IF(G4116&lt;&gt;"",IFERROR(VLOOKUP(G4116,PRODUCTOS!$A:$B,2,0),"!COD NO ENCONTRADO"),"")</f>
        <v/>
      </c>
      <c r="I4116" s="77"/>
      <c r="J4116" s="78"/>
      <c r="K4116" s="79"/>
      <c r="L4116" s="80" t="str">
        <f aca="false">IF(AND(J4116&lt;&gt;"",K4116&lt;&gt;""),J4116*K4116,"")</f>
        <v/>
      </c>
      <c r="M4116" s="81" t="str">
        <f aca="false">IF(L4116&lt;&gt;"",L4116*1.1,"")</f>
        <v/>
      </c>
      <c r="N4116" s="53" t="n">
        <f aca="false">IF(F4116="S",L4116*0.02,0)</f>
        <v>0</v>
      </c>
      <c r="O4116" s="82" t="str">
        <f aca="false">IF(L4116&lt;&gt;"",L4116+N4116,"")</f>
        <v/>
      </c>
      <c r="P4116" s="53" t="str">
        <f aca="false">IF(O4116&lt;&gt;"",O4116*0.1,"")</f>
        <v/>
      </c>
      <c r="Q4116" s="83" t="str">
        <f aca="false">IF(O4116&lt;&gt;"",O4116+P4116,"")</f>
        <v/>
      </c>
      <c r="R4116" s="84"/>
    </row>
    <row r="4117" customFormat="false" ht="15" hidden="false" customHeight="true" outlineLevel="0" collapsed="false">
      <c r="A4117" s="103"/>
      <c r="B4117" s="85"/>
      <c r="C4117" s="86"/>
      <c r="D4117" s="87"/>
      <c r="E4117" s="46" t="str">
        <f aca="false">IF(D4117&lt;&gt;"",IFERROR(VLOOKUP(D4117,PROVEEDORES!$A:$B,2,0),"!COD NO ENCONTRADO"),"")</f>
        <v/>
      </c>
      <c r="F4117" s="88" t="str">
        <f aca="false">IF(D4117&lt;&gt;"",IFERROR(VLOOKUP(D4117,PROVEEDORES!$A:$C,3,0),""),"")</f>
        <v/>
      </c>
      <c r="G4117" s="87"/>
      <c r="H4117" s="46" t="str">
        <f aca="false">IF(G4117&lt;&gt;"",IFERROR(VLOOKUP(G4117,PRODUCTOS!$A:$B,2,0),"!COD NO ENCONTRADO"),"")</f>
        <v/>
      </c>
      <c r="I4117" s="89"/>
      <c r="J4117" s="90"/>
      <c r="K4117" s="91"/>
      <c r="L4117" s="80" t="str">
        <f aca="false">IF(AND(J4117&lt;&gt;"",K4117&lt;&gt;""),J4117*K4117,"")</f>
        <v/>
      </c>
      <c r="M4117" s="81" t="str">
        <f aca="false">IF(L4117&lt;&gt;"",L4117*1.1,"")</f>
        <v/>
      </c>
      <c r="N4117" s="47" t="n">
        <f aca="false">IF(F4117="S",L4117*0.02,0)</f>
        <v>0</v>
      </c>
      <c r="O4117" s="82" t="str">
        <f aca="false">IF(L4117&lt;&gt;"",L4117+N4117,"")</f>
        <v/>
      </c>
      <c r="P4117" s="47" t="str">
        <f aca="false">IF(O4117&lt;&gt;"",O4117*0.1,"")</f>
        <v/>
      </c>
      <c r="Q4117" s="83" t="str">
        <f aca="false">IF(O4117&lt;&gt;"",O4117+P4117,"")</f>
        <v/>
      </c>
      <c r="R4117" s="84"/>
    </row>
    <row r="4118" customFormat="false" ht="15" hidden="false" customHeight="true" outlineLevel="0" collapsed="false">
      <c r="A4118" s="103"/>
      <c r="B4118" s="73"/>
      <c r="C4118" s="74"/>
      <c r="D4118" s="75"/>
      <c r="E4118" s="52" t="str">
        <f aca="false">IF(D4118&lt;&gt;"",IFERROR(VLOOKUP(D4118,PROVEEDORES!$A:$B,2,0),"!COD NO ENCONTRADO"),"")</f>
        <v/>
      </c>
      <c r="F4118" s="76" t="str">
        <f aca="false">IF(D4118&lt;&gt;"",IFERROR(VLOOKUP(D4118,PROVEEDORES!$A:$C,3,0),""),"")</f>
        <v/>
      </c>
      <c r="G4118" s="75"/>
      <c r="H4118" s="52" t="str">
        <f aca="false">IF(G4118&lt;&gt;"",IFERROR(VLOOKUP(G4118,PRODUCTOS!$A:$B,2,0),"!COD NO ENCONTRADO"),"")</f>
        <v/>
      </c>
      <c r="I4118" s="77"/>
      <c r="J4118" s="78"/>
      <c r="K4118" s="79"/>
      <c r="L4118" s="80" t="str">
        <f aca="false">IF(AND(J4118&lt;&gt;"",K4118&lt;&gt;""),J4118*K4118,"")</f>
        <v/>
      </c>
      <c r="M4118" s="81" t="str">
        <f aca="false">IF(L4118&lt;&gt;"",L4118*1.1,"")</f>
        <v/>
      </c>
      <c r="N4118" s="53" t="n">
        <f aca="false">IF(F4118="S",L4118*0.02,0)</f>
        <v>0</v>
      </c>
      <c r="O4118" s="82" t="str">
        <f aca="false">IF(L4118&lt;&gt;"",L4118+N4118,"")</f>
        <v/>
      </c>
      <c r="P4118" s="53" t="str">
        <f aca="false">IF(O4118&lt;&gt;"",O4118*0.1,"")</f>
        <v/>
      </c>
      <c r="Q4118" s="83" t="str">
        <f aca="false">IF(O4118&lt;&gt;"",O4118+P4118,"")</f>
        <v/>
      </c>
      <c r="R4118" s="84"/>
    </row>
    <row r="4119" customFormat="false" ht="15" hidden="false" customHeight="true" outlineLevel="0" collapsed="false">
      <c r="A4119" s="103"/>
      <c r="B4119" s="85"/>
      <c r="C4119" s="86"/>
      <c r="D4119" s="87"/>
      <c r="E4119" s="46" t="str">
        <f aca="false">IF(D4119&lt;&gt;"",IFERROR(VLOOKUP(D4119,PROVEEDORES!$A:$B,2,0),"!COD NO ENCONTRADO"),"")</f>
        <v/>
      </c>
      <c r="F4119" s="88" t="str">
        <f aca="false">IF(D4119&lt;&gt;"",IFERROR(VLOOKUP(D4119,PROVEEDORES!$A:$C,3,0),""),"")</f>
        <v/>
      </c>
      <c r="G4119" s="87"/>
      <c r="H4119" s="46" t="str">
        <f aca="false">IF(G4119&lt;&gt;"",IFERROR(VLOOKUP(G4119,PRODUCTOS!$A:$B,2,0),"!COD NO ENCONTRADO"),"")</f>
        <v/>
      </c>
      <c r="I4119" s="89"/>
      <c r="J4119" s="90"/>
      <c r="K4119" s="91"/>
      <c r="L4119" s="80" t="str">
        <f aca="false">IF(AND(J4119&lt;&gt;"",K4119&lt;&gt;""),J4119*K4119,"")</f>
        <v/>
      </c>
      <c r="M4119" s="81" t="str">
        <f aca="false">IF(L4119&lt;&gt;"",L4119*1.1,"")</f>
        <v/>
      </c>
      <c r="N4119" s="47" t="n">
        <f aca="false">IF(F4119="S",L4119*0.02,0)</f>
        <v>0</v>
      </c>
      <c r="O4119" s="82" t="str">
        <f aca="false">IF(L4119&lt;&gt;"",L4119+N4119,"")</f>
        <v/>
      </c>
      <c r="P4119" s="47" t="str">
        <f aca="false">IF(O4119&lt;&gt;"",O4119*0.1,"")</f>
        <v/>
      </c>
      <c r="Q4119" s="83" t="str">
        <f aca="false">IF(O4119&lt;&gt;"",O4119+P4119,"")</f>
        <v/>
      </c>
      <c r="R4119" s="84"/>
    </row>
    <row r="4120" customFormat="false" ht="15" hidden="false" customHeight="true" outlineLevel="0" collapsed="false">
      <c r="A4120" s="103"/>
      <c r="B4120" s="73"/>
      <c r="C4120" s="74"/>
      <c r="D4120" s="75"/>
      <c r="E4120" s="52" t="str">
        <f aca="false">IF(D4120&lt;&gt;"",IFERROR(VLOOKUP(D4120,PROVEEDORES!$A:$B,2,0),"!COD NO ENCONTRADO"),"")</f>
        <v/>
      </c>
      <c r="F4120" s="76" t="str">
        <f aca="false">IF(D4120&lt;&gt;"",IFERROR(VLOOKUP(D4120,PROVEEDORES!$A:$C,3,0),""),"")</f>
        <v/>
      </c>
      <c r="G4120" s="75"/>
      <c r="H4120" s="52" t="str">
        <f aca="false">IF(G4120&lt;&gt;"",IFERROR(VLOOKUP(G4120,PRODUCTOS!$A:$B,2,0),"!COD NO ENCONTRADO"),"")</f>
        <v/>
      </c>
      <c r="I4120" s="77"/>
      <c r="J4120" s="78"/>
      <c r="K4120" s="79"/>
      <c r="L4120" s="80" t="str">
        <f aca="false">IF(AND(J4120&lt;&gt;"",K4120&lt;&gt;""),J4120*K4120,"")</f>
        <v/>
      </c>
      <c r="M4120" s="81" t="str">
        <f aca="false">IF(L4120&lt;&gt;"",L4120*1.1,"")</f>
        <v/>
      </c>
      <c r="N4120" s="53" t="n">
        <f aca="false">IF(F4120="S",L4120*0.02,0)</f>
        <v>0</v>
      </c>
      <c r="O4120" s="82" t="str">
        <f aca="false">IF(L4120&lt;&gt;"",L4120+N4120,"")</f>
        <v/>
      </c>
      <c r="P4120" s="53" t="str">
        <f aca="false">IF(O4120&lt;&gt;"",O4120*0.1,"")</f>
        <v/>
      </c>
      <c r="Q4120" s="83" t="str">
        <f aca="false">IF(O4120&lt;&gt;"",O4120+P4120,"")</f>
        <v/>
      </c>
      <c r="R4120" s="84"/>
    </row>
    <row r="4121" customFormat="false" ht="15" hidden="false" customHeight="true" outlineLevel="0" collapsed="false">
      <c r="A4121" s="103"/>
      <c r="B4121" s="85"/>
      <c r="C4121" s="86"/>
      <c r="D4121" s="87"/>
      <c r="E4121" s="46" t="str">
        <f aca="false">IF(D4121&lt;&gt;"",IFERROR(VLOOKUP(D4121,PROVEEDORES!$A:$B,2,0),"!COD NO ENCONTRADO"),"")</f>
        <v/>
      </c>
      <c r="F4121" s="88" t="str">
        <f aca="false">IF(D4121&lt;&gt;"",IFERROR(VLOOKUP(D4121,PROVEEDORES!$A:$C,3,0),""),"")</f>
        <v/>
      </c>
      <c r="G4121" s="87"/>
      <c r="H4121" s="46" t="str">
        <f aca="false">IF(G4121&lt;&gt;"",IFERROR(VLOOKUP(G4121,PRODUCTOS!$A:$B,2,0),"!COD NO ENCONTRADO"),"")</f>
        <v/>
      </c>
      <c r="I4121" s="89"/>
      <c r="J4121" s="90"/>
      <c r="K4121" s="91"/>
      <c r="L4121" s="80" t="str">
        <f aca="false">IF(AND(J4121&lt;&gt;"",K4121&lt;&gt;""),J4121*K4121,"")</f>
        <v/>
      </c>
      <c r="M4121" s="81" t="str">
        <f aca="false">IF(L4121&lt;&gt;"",L4121*1.1,"")</f>
        <v/>
      </c>
      <c r="N4121" s="47" t="n">
        <f aca="false">IF(F4121="S",L4121*0.02,0)</f>
        <v>0</v>
      </c>
      <c r="O4121" s="82" t="str">
        <f aca="false">IF(L4121&lt;&gt;"",L4121+N4121,"")</f>
        <v/>
      </c>
      <c r="P4121" s="47" t="str">
        <f aca="false">IF(O4121&lt;&gt;"",O4121*0.1,"")</f>
        <v/>
      </c>
      <c r="Q4121" s="83" t="str">
        <f aca="false">IF(O4121&lt;&gt;"",O4121+P4121,"")</f>
        <v/>
      </c>
      <c r="R4121" s="84"/>
    </row>
    <row r="4122" customFormat="false" ht="15" hidden="false" customHeight="true" outlineLevel="0" collapsed="false">
      <c r="A4122" s="103"/>
      <c r="B4122" s="73"/>
      <c r="C4122" s="74"/>
      <c r="D4122" s="75"/>
      <c r="E4122" s="52" t="str">
        <f aca="false">IF(D4122&lt;&gt;"",IFERROR(VLOOKUP(D4122,PROVEEDORES!$A:$B,2,0),"!COD NO ENCONTRADO"),"")</f>
        <v/>
      </c>
      <c r="F4122" s="76" t="str">
        <f aca="false">IF(D4122&lt;&gt;"",IFERROR(VLOOKUP(D4122,PROVEEDORES!$A:$C,3,0),""),"")</f>
        <v/>
      </c>
      <c r="G4122" s="75"/>
      <c r="H4122" s="52" t="str">
        <f aca="false">IF(G4122&lt;&gt;"",IFERROR(VLOOKUP(G4122,PRODUCTOS!$A:$B,2,0),"!COD NO ENCONTRADO"),"")</f>
        <v/>
      </c>
      <c r="I4122" s="77"/>
      <c r="J4122" s="78"/>
      <c r="K4122" s="79"/>
      <c r="L4122" s="80" t="str">
        <f aca="false">IF(AND(J4122&lt;&gt;"",K4122&lt;&gt;""),J4122*K4122,"")</f>
        <v/>
      </c>
      <c r="M4122" s="81" t="str">
        <f aca="false">IF(L4122&lt;&gt;"",L4122*1.1,"")</f>
        <v/>
      </c>
      <c r="N4122" s="53" t="n">
        <f aca="false">IF(F4122="S",L4122*0.02,0)</f>
        <v>0</v>
      </c>
      <c r="O4122" s="82" t="str">
        <f aca="false">IF(L4122&lt;&gt;"",L4122+N4122,"")</f>
        <v/>
      </c>
      <c r="P4122" s="53" t="str">
        <f aca="false">IF(O4122&lt;&gt;"",O4122*0.1,"")</f>
        <v/>
      </c>
      <c r="Q4122" s="83" t="str">
        <f aca="false">IF(O4122&lt;&gt;"",O4122+P4122,"")</f>
        <v/>
      </c>
      <c r="R4122" s="84"/>
    </row>
    <row r="4123" customFormat="false" ht="15" hidden="false" customHeight="true" outlineLevel="0" collapsed="false">
      <c r="A4123" s="103"/>
      <c r="B4123" s="85"/>
      <c r="C4123" s="86"/>
      <c r="D4123" s="87"/>
      <c r="E4123" s="46" t="str">
        <f aca="false">IF(D4123&lt;&gt;"",IFERROR(VLOOKUP(D4123,PROVEEDORES!$A:$B,2,0),"!COD NO ENCONTRADO"),"")</f>
        <v/>
      </c>
      <c r="F4123" s="88" t="str">
        <f aca="false">IF(D4123&lt;&gt;"",IFERROR(VLOOKUP(D4123,PROVEEDORES!$A:$C,3,0),""),"")</f>
        <v/>
      </c>
      <c r="G4123" s="87"/>
      <c r="H4123" s="46" t="str">
        <f aca="false">IF(G4123&lt;&gt;"",IFERROR(VLOOKUP(G4123,PRODUCTOS!$A:$B,2,0),"!COD NO ENCONTRADO"),"")</f>
        <v/>
      </c>
      <c r="I4123" s="89"/>
      <c r="J4123" s="90"/>
      <c r="K4123" s="91"/>
      <c r="L4123" s="80" t="str">
        <f aca="false">IF(AND(J4123&lt;&gt;"",K4123&lt;&gt;""),J4123*K4123,"")</f>
        <v/>
      </c>
      <c r="M4123" s="81" t="str">
        <f aca="false">IF(L4123&lt;&gt;"",L4123*1.1,"")</f>
        <v/>
      </c>
      <c r="N4123" s="47" t="n">
        <f aca="false">IF(F4123="S",L4123*0.02,0)</f>
        <v>0</v>
      </c>
      <c r="O4123" s="82" t="str">
        <f aca="false">IF(L4123&lt;&gt;"",L4123+N4123,"")</f>
        <v/>
      </c>
      <c r="P4123" s="47" t="str">
        <f aca="false">IF(O4123&lt;&gt;"",O4123*0.1,"")</f>
        <v/>
      </c>
      <c r="Q4123" s="83" t="str">
        <f aca="false">IF(O4123&lt;&gt;"",O4123+P4123,"")</f>
        <v/>
      </c>
      <c r="R4123" s="84"/>
    </row>
    <row r="4124" customFormat="false" ht="15" hidden="false" customHeight="true" outlineLevel="0" collapsed="false">
      <c r="A4124" s="103"/>
      <c r="B4124" s="73"/>
      <c r="C4124" s="74"/>
      <c r="D4124" s="75"/>
      <c r="E4124" s="52" t="str">
        <f aca="false">IF(D4124&lt;&gt;"",IFERROR(VLOOKUP(D4124,PROVEEDORES!$A:$B,2,0),"!COD NO ENCONTRADO"),"")</f>
        <v/>
      </c>
      <c r="F4124" s="76" t="str">
        <f aca="false">IF(D4124&lt;&gt;"",IFERROR(VLOOKUP(D4124,PROVEEDORES!$A:$C,3,0),""),"")</f>
        <v/>
      </c>
      <c r="G4124" s="75"/>
      <c r="H4124" s="52" t="str">
        <f aca="false">IF(G4124&lt;&gt;"",IFERROR(VLOOKUP(G4124,PRODUCTOS!$A:$B,2,0),"!COD NO ENCONTRADO"),"")</f>
        <v/>
      </c>
      <c r="I4124" s="77"/>
      <c r="J4124" s="78"/>
      <c r="K4124" s="79"/>
      <c r="L4124" s="80" t="str">
        <f aca="false">IF(AND(J4124&lt;&gt;"",K4124&lt;&gt;""),J4124*K4124,"")</f>
        <v/>
      </c>
      <c r="M4124" s="81" t="str">
        <f aca="false">IF(L4124&lt;&gt;"",L4124*1.1,"")</f>
        <v/>
      </c>
      <c r="N4124" s="53" t="n">
        <f aca="false">IF(F4124="S",L4124*0.02,0)</f>
        <v>0</v>
      </c>
      <c r="O4124" s="82" t="str">
        <f aca="false">IF(L4124&lt;&gt;"",L4124+N4124,"")</f>
        <v/>
      </c>
      <c r="P4124" s="53" t="str">
        <f aca="false">IF(O4124&lt;&gt;"",O4124*0.1,"")</f>
        <v/>
      </c>
      <c r="Q4124" s="83" t="str">
        <f aca="false">IF(O4124&lt;&gt;"",O4124+P4124,"")</f>
        <v/>
      </c>
      <c r="R4124" s="84"/>
    </row>
    <row r="4125" customFormat="false" ht="15" hidden="false" customHeight="true" outlineLevel="0" collapsed="false">
      <c r="A4125" s="103"/>
      <c r="B4125" s="85"/>
      <c r="C4125" s="86"/>
      <c r="D4125" s="87"/>
      <c r="E4125" s="46" t="str">
        <f aca="false">IF(D4125&lt;&gt;"",IFERROR(VLOOKUP(D4125,PROVEEDORES!$A:$B,2,0),"!COD NO ENCONTRADO"),"")</f>
        <v/>
      </c>
      <c r="F4125" s="88" t="str">
        <f aca="false">IF(D4125&lt;&gt;"",IFERROR(VLOOKUP(D4125,PROVEEDORES!$A:$C,3,0),""),"")</f>
        <v/>
      </c>
      <c r="G4125" s="87"/>
      <c r="H4125" s="46" t="str">
        <f aca="false">IF(G4125&lt;&gt;"",IFERROR(VLOOKUP(G4125,PRODUCTOS!$A:$B,2,0),"!COD NO ENCONTRADO"),"")</f>
        <v/>
      </c>
      <c r="I4125" s="89"/>
      <c r="J4125" s="90"/>
      <c r="K4125" s="91"/>
      <c r="L4125" s="80" t="str">
        <f aca="false">IF(AND(J4125&lt;&gt;"",K4125&lt;&gt;""),J4125*K4125,"")</f>
        <v/>
      </c>
      <c r="M4125" s="81" t="str">
        <f aca="false">IF(L4125&lt;&gt;"",L4125*1.1,"")</f>
        <v/>
      </c>
      <c r="N4125" s="47" t="n">
        <f aca="false">IF(F4125="S",L4125*0.02,0)</f>
        <v>0</v>
      </c>
      <c r="O4125" s="82" t="str">
        <f aca="false">IF(L4125&lt;&gt;"",L4125+N4125,"")</f>
        <v/>
      </c>
      <c r="P4125" s="47" t="str">
        <f aca="false">IF(O4125&lt;&gt;"",O4125*0.1,"")</f>
        <v/>
      </c>
      <c r="Q4125" s="83" t="str">
        <f aca="false">IF(O4125&lt;&gt;"",O4125+P4125,"")</f>
        <v/>
      </c>
      <c r="R4125" s="84"/>
    </row>
    <row r="4126" customFormat="false" ht="15" hidden="false" customHeight="true" outlineLevel="0" collapsed="false">
      <c r="A4126" s="103"/>
      <c r="B4126" s="73"/>
      <c r="C4126" s="74"/>
      <c r="D4126" s="75"/>
      <c r="E4126" s="52" t="str">
        <f aca="false">IF(D4126&lt;&gt;"",IFERROR(VLOOKUP(D4126,PROVEEDORES!$A:$B,2,0),"!COD NO ENCONTRADO"),"")</f>
        <v/>
      </c>
      <c r="F4126" s="76" t="str">
        <f aca="false">IF(D4126&lt;&gt;"",IFERROR(VLOOKUP(D4126,PROVEEDORES!$A:$C,3,0),""),"")</f>
        <v/>
      </c>
      <c r="G4126" s="75"/>
      <c r="H4126" s="52" t="str">
        <f aca="false">IF(G4126&lt;&gt;"",IFERROR(VLOOKUP(G4126,PRODUCTOS!$A:$B,2,0),"!COD NO ENCONTRADO"),"")</f>
        <v/>
      </c>
      <c r="I4126" s="77"/>
      <c r="J4126" s="78"/>
      <c r="K4126" s="79"/>
      <c r="L4126" s="80" t="str">
        <f aca="false">IF(AND(J4126&lt;&gt;"",K4126&lt;&gt;""),J4126*K4126,"")</f>
        <v/>
      </c>
      <c r="M4126" s="81" t="str">
        <f aca="false">IF(L4126&lt;&gt;"",L4126*1.1,"")</f>
        <v/>
      </c>
      <c r="N4126" s="53" t="n">
        <f aca="false">IF(F4126="S",L4126*0.02,0)</f>
        <v>0</v>
      </c>
      <c r="O4126" s="82" t="str">
        <f aca="false">IF(L4126&lt;&gt;"",L4126+N4126,"")</f>
        <v/>
      </c>
      <c r="P4126" s="53" t="str">
        <f aca="false">IF(O4126&lt;&gt;"",O4126*0.1,"")</f>
        <v/>
      </c>
      <c r="Q4126" s="83" t="str">
        <f aca="false">IF(O4126&lt;&gt;"",O4126+P4126,"")</f>
        <v/>
      </c>
      <c r="R4126" s="84"/>
    </row>
    <row r="4127" customFormat="false" ht="15" hidden="false" customHeight="true" outlineLevel="0" collapsed="false">
      <c r="A4127" s="103"/>
      <c r="B4127" s="85"/>
      <c r="C4127" s="86"/>
      <c r="D4127" s="87"/>
      <c r="E4127" s="46" t="str">
        <f aca="false">IF(D4127&lt;&gt;"",IFERROR(VLOOKUP(D4127,PROVEEDORES!$A:$B,2,0),"!COD NO ENCONTRADO"),"")</f>
        <v/>
      </c>
      <c r="F4127" s="88" t="str">
        <f aca="false">IF(D4127&lt;&gt;"",IFERROR(VLOOKUP(D4127,PROVEEDORES!$A:$C,3,0),""),"")</f>
        <v/>
      </c>
      <c r="G4127" s="87"/>
      <c r="H4127" s="46" t="str">
        <f aca="false">IF(G4127&lt;&gt;"",IFERROR(VLOOKUP(G4127,PRODUCTOS!$A:$B,2,0),"!COD NO ENCONTRADO"),"")</f>
        <v/>
      </c>
      <c r="I4127" s="89"/>
      <c r="J4127" s="90"/>
      <c r="K4127" s="91"/>
      <c r="L4127" s="80" t="str">
        <f aca="false">IF(AND(J4127&lt;&gt;"",K4127&lt;&gt;""),J4127*K4127,"")</f>
        <v/>
      </c>
      <c r="M4127" s="81" t="str">
        <f aca="false">IF(L4127&lt;&gt;"",L4127*1.1,"")</f>
        <v/>
      </c>
      <c r="N4127" s="47" t="n">
        <f aca="false">IF(F4127="S",L4127*0.02,0)</f>
        <v>0</v>
      </c>
      <c r="O4127" s="82" t="str">
        <f aca="false">IF(L4127&lt;&gt;"",L4127+N4127,"")</f>
        <v/>
      </c>
      <c r="P4127" s="47" t="str">
        <f aca="false">IF(O4127&lt;&gt;"",O4127*0.1,"")</f>
        <v/>
      </c>
      <c r="Q4127" s="83" t="str">
        <f aca="false">IF(O4127&lt;&gt;"",O4127+P4127,"")</f>
        <v/>
      </c>
      <c r="R4127" s="84"/>
    </row>
    <row r="4128" customFormat="false" ht="15" hidden="false" customHeight="true" outlineLevel="0" collapsed="false">
      <c r="A4128" s="103"/>
      <c r="B4128" s="73"/>
      <c r="C4128" s="74"/>
      <c r="D4128" s="75"/>
      <c r="E4128" s="52" t="str">
        <f aca="false">IF(D4128&lt;&gt;"",IFERROR(VLOOKUP(D4128,PROVEEDORES!$A:$B,2,0),"!COD NO ENCONTRADO"),"")</f>
        <v/>
      </c>
      <c r="F4128" s="76" t="str">
        <f aca="false">IF(D4128&lt;&gt;"",IFERROR(VLOOKUP(D4128,PROVEEDORES!$A:$C,3,0),""),"")</f>
        <v/>
      </c>
      <c r="G4128" s="75"/>
      <c r="H4128" s="52" t="str">
        <f aca="false">IF(G4128&lt;&gt;"",IFERROR(VLOOKUP(G4128,PRODUCTOS!$A:$B,2,0),"!COD NO ENCONTRADO"),"")</f>
        <v/>
      </c>
      <c r="I4128" s="77"/>
      <c r="J4128" s="78"/>
      <c r="K4128" s="79"/>
      <c r="L4128" s="80" t="str">
        <f aca="false">IF(AND(J4128&lt;&gt;"",K4128&lt;&gt;""),J4128*K4128,"")</f>
        <v/>
      </c>
      <c r="M4128" s="81" t="str">
        <f aca="false">IF(L4128&lt;&gt;"",L4128*1.1,"")</f>
        <v/>
      </c>
      <c r="N4128" s="53" t="n">
        <f aca="false">IF(F4128="S",L4128*0.02,0)</f>
        <v>0</v>
      </c>
      <c r="O4128" s="82" t="str">
        <f aca="false">IF(L4128&lt;&gt;"",L4128+N4128,"")</f>
        <v/>
      </c>
      <c r="P4128" s="53" t="str">
        <f aca="false">IF(O4128&lt;&gt;"",O4128*0.1,"")</f>
        <v/>
      </c>
      <c r="Q4128" s="83" t="str">
        <f aca="false">IF(O4128&lt;&gt;"",O4128+P4128,"")</f>
        <v/>
      </c>
      <c r="R4128" s="84"/>
    </row>
    <row r="4129" customFormat="false" ht="15" hidden="false" customHeight="true" outlineLevel="0" collapsed="false">
      <c r="A4129" s="103"/>
      <c r="B4129" s="85"/>
      <c r="C4129" s="86"/>
      <c r="D4129" s="87"/>
      <c r="E4129" s="46" t="str">
        <f aca="false">IF(D4129&lt;&gt;"",IFERROR(VLOOKUP(D4129,PROVEEDORES!$A:$B,2,0),"!COD NO ENCONTRADO"),"")</f>
        <v/>
      </c>
      <c r="F4129" s="88" t="str">
        <f aca="false">IF(D4129&lt;&gt;"",IFERROR(VLOOKUP(D4129,PROVEEDORES!$A:$C,3,0),""),"")</f>
        <v/>
      </c>
      <c r="G4129" s="87"/>
      <c r="H4129" s="46" t="str">
        <f aca="false">IF(G4129&lt;&gt;"",IFERROR(VLOOKUP(G4129,PRODUCTOS!$A:$B,2,0),"!COD NO ENCONTRADO"),"")</f>
        <v/>
      </c>
      <c r="I4129" s="89"/>
      <c r="J4129" s="90"/>
      <c r="K4129" s="91"/>
      <c r="L4129" s="80" t="str">
        <f aca="false">IF(AND(J4129&lt;&gt;"",K4129&lt;&gt;""),J4129*K4129,"")</f>
        <v/>
      </c>
      <c r="M4129" s="81" t="str">
        <f aca="false">IF(L4129&lt;&gt;"",L4129*1.1,"")</f>
        <v/>
      </c>
      <c r="N4129" s="47" t="n">
        <f aca="false">IF(F4129="S",L4129*0.02,0)</f>
        <v>0</v>
      </c>
      <c r="O4129" s="82" t="str">
        <f aca="false">IF(L4129&lt;&gt;"",L4129+N4129,"")</f>
        <v/>
      </c>
      <c r="P4129" s="47" t="str">
        <f aca="false">IF(O4129&lt;&gt;"",O4129*0.1,"")</f>
        <v/>
      </c>
      <c r="Q4129" s="83" t="str">
        <f aca="false">IF(O4129&lt;&gt;"",O4129+P4129,"")</f>
        <v/>
      </c>
      <c r="R4129" s="84"/>
    </row>
    <row r="4130" customFormat="false" ht="15" hidden="false" customHeight="true" outlineLevel="0" collapsed="false">
      <c r="A4130" s="103"/>
      <c r="B4130" s="73"/>
      <c r="C4130" s="74"/>
      <c r="D4130" s="75"/>
      <c r="E4130" s="52" t="str">
        <f aca="false">IF(D4130&lt;&gt;"",IFERROR(VLOOKUP(D4130,PROVEEDORES!$A:$B,2,0),"!COD NO ENCONTRADO"),"")</f>
        <v/>
      </c>
      <c r="F4130" s="76" t="str">
        <f aca="false">IF(D4130&lt;&gt;"",IFERROR(VLOOKUP(D4130,PROVEEDORES!$A:$C,3,0),""),"")</f>
        <v/>
      </c>
      <c r="G4130" s="75"/>
      <c r="H4130" s="52" t="str">
        <f aca="false">IF(G4130&lt;&gt;"",IFERROR(VLOOKUP(G4130,PRODUCTOS!$A:$B,2,0),"!COD NO ENCONTRADO"),"")</f>
        <v/>
      </c>
      <c r="I4130" s="77"/>
      <c r="J4130" s="78"/>
      <c r="K4130" s="79"/>
      <c r="L4130" s="80" t="str">
        <f aca="false">IF(AND(J4130&lt;&gt;"",K4130&lt;&gt;""),J4130*K4130,"")</f>
        <v/>
      </c>
      <c r="M4130" s="81" t="str">
        <f aca="false">IF(L4130&lt;&gt;"",L4130*1.1,"")</f>
        <v/>
      </c>
      <c r="N4130" s="53" t="n">
        <f aca="false">IF(F4130="S",L4130*0.02,0)</f>
        <v>0</v>
      </c>
      <c r="O4130" s="82" t="str">
        <f aca="false">IF(L4130&lt;&gt;"",L4130+N4130,"")</f>
        <v/>
      </c>
      <c r="P4130" s="53" t="str">
        <f aca="false">IF(O4130&lt;&gt;"",O4130*0.1,"")</f>
        <v/>
      </c>
      <c r="Q4130" s="83" t="str">
        <f aca="false">IF(O4130&lt;&gt;"",O4130+P4130,"")</f>
        <v/>
      </c>
      <c r="R4130" s="84"/>
    </row>
    <row r="4131" customFormat="false" ht="15" hidden="false" customHeight="true" outlineLevel="0" collapsed="false">
      <c r="A4131" s="103"/>
      <c r="B4131" s="85"/>
      <c r="C4131" s="86"/>
      <c r="D4131" s="87"/>
      <c r="E4131" s="46" t="str">
        <f aca="false">IF(D4131&lt;&gt;"",IFERROR(VLOOKUP(D4131,PROVEEDORES!$A:$B,2,0),"!COD NO ENCONTRADO"),"")</f>
        <v/>
      </c>
      <c r="F4131" s="88" t="str">
        <f aca="false">IF(D4131&lt;&gt;"",IFERROR(VLOOKUP(D4131,PROVEEDORES!$A:$C,3,0),""),"")</f>
        <v/>
      </c>
      <c r="G4131" s="87"/>
      <c r="H4131" s="46" t="str">
        <f aca="false">IF(G4131&lt;&gt;"",IFERROR(VLOOKUP(G4131,PRODUCTOS!$A:$B,2,0),"!COD NO ENCONTRADO"),"")</f>
        <v/>
      </c>
      <c r="I4131" s="89"/>
      <c r="J4131" s="90"/>
      <c r="K4131" s="91"/>
      <c r="L4131" s="80" t="str">
        <f aca="false">IF(AND(J4131&lt;&gt;"",K4131&lt;&gt;""),J4131*K4131,"")</f>
        <v/>
      </c>
      <c r="M4131" s="81" t="str">
        <f aca="false">IF(L4131&lt;&gt;"",L4131*1.1,"")</f>
        <v/>
      </c>
      <c r="N4131" s="47" t="n">
        <f aca="false">IF(F4131="S",L4131*0.02,0)</f>
        <v>0</v>
      </c>
      <c r="O4131" s="82" t="str">
        <f aca="false">IF(L4131&lt;&gt;"",L4131+N4131,"")</f>
        <v/>
      </c>
      <c r="P4131" s="47" t="str">
        <f aca="false">IF(O4131&lt;&gt;"",O4131*0.1,"")</f>
        <v/>
      </c>
      <c r="Q4131" s="83" t="str">
        <f aca="false">IF(O4131&lt;&gt;"",O4131+P4131,"")</f>
        <v/>
      </c>
      <c r="R4131" s="84"/>
    </row>
    <row r="4132" customFormat="false" ht="15" hidden="false" customHeight="true" outlineLevel="0" collapsed="false">
      <c r="A4132" s="103"/>
      <c r="B4132" s="73"/>
      <c r="C4132" s="74"/>
      <c r="D4132" s="75"/>
      <c r="E4132" s="52" t="str">
        <f aca="false">IF(D4132&lt;&gt;"",IFERROR(VLOOKUP(D4132,PROVEEDORES!$A:$B,2,0),"!COD NO ENCONTRADO"),"")</f>
        <v/>
      </c>
      <c r="F4132" s="76" t="str">
        <f aca="false">IF(D4132&lt;&gt;"",IFERROR(VLOOKUP(D4132,PROVEEDORES!$A:$C,3,0),""),"")</f>
        <v/>
      </c>
      <c r="G4132" s="75"/>
      <c r="H4132" s="52" t="str">
        <f aca="false">IF(G4132&lt;&gt;"",IFERROR(VLOOKUP(G4132,PRODUCTOS!$A:$B,2,0),"!COD NO ENCONTRADO"),"")</f>
        <v/>
      </c>
      <c r="I4132" s="77"/>
      <c r="J4132" s="78"/>
      <c r="K4132" s="79"/>
      <c r="L4132" s="80" t="str">
        <f aca="false">IF(AND(J4132&lt;&gt;"",K4132&lt;&gt;""),J4132*K4132,"")</f>
        <v/>
      </c>
      <c r="M4132" s="81" t="str">
        <f aca="false">IF(L4132&lt;&gt;"",L4132*1.1,"")</f>
        <v/>
      </c>
      <c r="N4132" s="53" t="n">
        <f aca="false">IF(F4132="S",L4132*0.02,0)</f>
        <v>0</v>
      </c>
      <c r="O4132" s="82" t="str">
        <f aca="false">IF(L4132&lt;&gt;"",L4132+N4132,"")</f>
        <v/>
      </c>
      <c r="P4132" s="53" t="str">
        <f aca="false">IF(O4132&lt;&gt;"",O4132*0.1,"")</f>
        <v/>
      </c>
      <c r="Q4132" s="83" t="str">
        <f aca="false">IF(O4132&lt;&gt;"",O4132+P4132,"")</f>
        <v/>
      </c>
      <c r="R4132" s="84"/>
    </row>
    <row r="4133" customFormat="false" ht="15" hidden="false" customHeight="true" outlineLevel="0" collapsed="false">
      <c r="A4133" s="103"/>
      <c r="B4133" s="85"/>
      <c r="C4133" s="86"/>
      <c r="D4133" s="87"/>
      <c r="E4133" s="46" t="str">
        <f aca="false">IF(D4133&lt;&gt;"",IFERROR(VLOOKUP(D4133,PROVEEDORES!$A:$B,2,0),"!COD NO ENCONTRADO"),"")</f>
        <v/>
      </c>
      <c r="F4133" s="88" t="str">
        <f aca="false">IF(D4133&lt;&gt;"",IFERROR(VLOOKUP(D4133,PROVEEDORES!$A:$C,3,0),""),"")</f>
        <v/>
      </c>
      <c r="G4133" s="87"/>
      <c r="H4133" s="46" t="str">
        <f aca="false">IF(G4133&lt;&gt;"",IFERROR(VLOOKUP(G4133,PRODUCTOS!$A:$B,2,0),"!COD NO ENCONTRADO"),"")</f>
        <v/>
      </c>
      <c r="I4133" s="89"/>
      <c r="J4133" s="90"/>
      <c r="K4133" s="91"/>
      <c r="L4133" s="80" t="str">
        <f aca="false">IF(AND(J4133&lt;&gt;"",K4133&lt;&gt;""),J4133*K4133,"")</f>
        <v/>
      </c>
      <c r="M4133" s="81" t="str">
        <f aca="false">IF(L4133&lt;&gt;"",L4133*1.1,"")</f>
        <v/>
      </c>
      <c r="N4133" s="47" t="n">
        <f aca="false">IF(F4133="S",L4133*0.02,0)</f>
        <v>0</v>
      </c>
      <c r="O4133" s="82" t="str">
        <f aca="false">IF(L4133&lt;&gt;"",L4133+N4133,"")</f>
        <v/>
      </c>
      <c r="P4133" s="47" t="str">
        <f aca="false">IF(O4133&lt;&gt;"",O4133*0.1,"")</f>
        <v/>
      </c>
      <c r="Q4133" s="83" t="str">
        <f aca="false">IF(O4133&lt;&gt;"",O4133+P4133,"")</f>
        <v/>
      </c>
      <c r="R4133" s="84"/>
    </row>
    <row r="4134" customFormat="false" ht="15" hidden="false" customHeight="true" outlineLevel="0" collapsed="false">
      <c r="A4134" s="103"/>
      <c r="B4134" s="73"/>
      <c r="C4134" s="74"/>
      <c r="D4134" s="75"/>
      <c r="E4134" s="52" t="str">
        <f aca="false">IF(D4134&lt;&gt;"",IFERROR(VLOOKUP(D4134,PROVEEDORES!$A:$B,2,0),"!COD NO ENCONTRADO"),"")</f>
        <v/>
      </c>
      <c r="F4134" s="76" t="str">
        <f aca="false">IF(D4134&lt;&gt;"",IFERROR(VLOOKUP(D4134,PROVEEDORES!$A:$C,3,0),""),"")</f>
        <v/>
      </c>
      <c r="G4134" s="75"/>
      <c r="H4134" s="52" t="str">
        <f aca="false">IF(G4134&lt;&gt;"",IFERROR(VLOOKUP(G4134,PRODUCTOS!$A:$B,2,0),"!COD NO ENCONTRADO"),"")</f>
        <v/>
      </c>
      <c r="I4134" s="77"/>
      <c r="J4134" s="78"/>
      <c r="K4134" s="79"/>
      <c r="L4134" s="80" t="str">
        <f aca="false">IF(AND(J4134&lt;&gt;"",K4134&lt;&gt;""),J4134*K4134,"")</f>
        <v/>
      </c>
      <c r="M4134" s="81" t="str">
        <f aca="false">IF(L4134&lt;&gt;"",L4134*1.1,"")</f>
        <v/>
      </c>
      <c r="N4134" s="53" t="n">
        <f aca="false">IF(F4134="S",L4134*0.02,0)</f>
        <v>0</v>
      </c>
      <c r="O4134" s="82" t="str">
        <f aca="false">IF(L4134&lt;&gt;"",L4134+N4134,"")</f>
        <v/>
      </c>
      <c r="P4134" s="53" t="str">
        <f aca="false">IF(O4134&lt;&gt;"",O4134*0.1,"")</f>
        <v/>
      </c>
      <c r="Q4134" s="83" t="str">
        <f aca="false">IF(O4134&lt;&gt;"",O4134+P4134,"")</f>
        <v/>
      </c>
      <c r="R4134" s="84"/>
    </row>
    <row r="4135" customFormat="false" ht="15" hidden="false" customHeight="true" outlineLevel="0" collapsed="false">
      <c r="A4135" s="103"/>
      <c r="B4135" s="85"/>
      <c r="C4135" s="86"/>
      <c r="D4135" s="87"/>
      <c r="E4135" s="46" t="str">
        <f aca="false">IF(D4135&lt;&gt;"",IFERROR(VLOOKUP(D4135,PROVEEDORES!$A:$B,2,0),"!COD NO ENCONTRADO"),"")</f>
        <v/>
      </c>
      <c r="F4135" s="88" t="str">
        <f aca="false">IF(D4135&lt;&gt;"",IFERROR(VLOOKUP(D4135,PROVEEDORES!$A:$C,3,0),""),"")</f>
        <v/>
      </c>
      <c r="G4135" s="87"/>
      <c r="H4135" s="46" t="str">
        <f aca="false">IF(G4135&lt;&gt;"",IFERROR(VLOOKUP(G4135,PRODUCTOS!$A:$B,2,0),"!COD NO ENCONTRADO"),"")</f>
        <v/>
      </c>
      <c r="I4135" s="89"/>
      <c r="J4135" s="90"/>
      <c r="K4135" s="91"/>
      <c r="L4135" s="80" t="str">
        <f aca="false">IF(AND(J4135&lt;&gt;"",K4135&lt;&gt;""),J4135*K4135,"")</f>
        <v/>
      </c>
      <c r="M4135" s="81" t="str">
        <f aca="false">IF(L4135&lt;&gt;"",L4135*1.1,"")</f>
        <v/>
      </c>
      <c r="N4135" s="47" t="n">
        <f aca="false">IF(F4135="S",L4135*0.02,0)</f>
        <v>0</v>
      </c>
      <c r="O4135" s="82" t="str">
        <f aca="false">IF(L4135&lt;&gt;"",L4135+N4135,"")</f>
        <v/>
      </c>
      <c r="P4135" s="47" t="str">
        <f aca="false">IF(O4135&lt;&gt;"",O4135*0.1,"")</f>
        <v/>
      </c>
      <c r="Q4135" s="83" t="str">
        <f aca="false">IF(O4135&lt;&gt;"",O4135+P4135,"")</f>
        <v/>
      </c>
      <c r="R4135" s="84"/>
    </row>
    <row r="4136" customFormat="false" ht="15" hidden="false" customHeight="true" outlineLevel="0" collapsed="false">
      <c r="A4136" s="103"/>
      <c r="B4136" s="73"/>
      <c r="C4136" s="74"/>
      <c r="D4136" s="75"/>
      <c r="E4136" s="52" t="str">
        <f aca="false">IF(D4136&lt;&gt;"",IFERROR(VLOOKUP(D4136,PROVEEDORES!$A:$B,2,0),"!COD NO ENCONTRADO"),"")</f>
        <v/>
      </c>
      <c r="F4136" s="76" t="str">
        <f aca="false">IF(D4136&lt;&gt;"",IFERROR(VLOOKUP(D4136,PROVEEDORES!$A:$C,3,0),""),"")</f>
        <v/>
      </c>
      <c r="G4136" s="75"/>
      <c r="H4136" s="52" t="str">
        <f aca="false">IF(G4136&lt;&gt;"",IFERROR(VLOOKUP(G4136,PRODUCTOS!$A:$B,2,0),"!COD NO ENCONTRADO"),"")</f>
        <v/>
      </c>
      <c r="I4136" s="77"/>
      <c r="J4136" s="78"/>
      <c r="K4136" s="79"/>
      <c r="L4136" s="80" t="str">
        <f aca="false">IF(AND(J4136&lt;&gt;"",K4136&lt;&gt;""),J4136*K4136,"")</f>
        <v/>
      </c>
      <c r="M4136" s="81" t="str">
        <f aca="false">IF(L4136&lt;&gt;"",L4136*1.1,"")</f>
        <v/>
      </c>
      <c r="N4136" s="53" t="n">
        <f aca="false">IF(F4136="S",L4136*0.02,0)</f>
        <v>0</v>
      </c>
      <c r="O4136" s="82" t="str">
        <f aca="false">IF(L4136&lt;&gt;"",L4136+N4136,"")</f>
        <v/>
      </c>
      <c r="P4136" s="53" t="str">
        <f aca="false">IF(O4136&lt;&gt;"",O4136*0.1,"")</f>
        <v/>
      </c>
      <c r="Q4136" s="83" t="str">
        <f aca="false">IF(O4136&lt;&gt;"",O4136+P4136,"")</f>
        <v/>
      </c>
      <c r="R4136" s="84"/>
    </row>
    <row r="4137" customFormat="false" ht="15" hidden="false" customHeight="true" outlineLevel="0" collapsed="false">
      <c r="A4137" s="103"/>
      <c r="B4137" s="85"/>
      <c r="C4137" s="86"/>
      <c r="D4137" s="87"/>
      <c r="E4137" s="46" t="str">
        <f aca="false">IF(D4137&lt;&gt;"",IFERROR(VLOOKUP(D4137,PROVEEDORES!$A:$B,2,0),"!COD NO ENCONTRADO"),"")</f>
        <v/>
      </c>
      <c r="F4137" s="88" t="str">
        <f aca="false">IF(D4137&lt;&gt;"",IFERROR(VLOOKUP(D4137,PROVEEDORES!$A:$C,3,0),""),"")</f>
        <v/>
      </c>
      <c r="G4137" s="87"/>
      <c r="H4137" s="46" t="str">
        <f aca="false">IF(G4137&lt;&gt;"",IFERROR(VLOOKUP(G4137,PRODUCTOS!$A:$B,2,0),"!COD NO ENCONTRADO"),"")</f>
        <v/>
      </c>
      <c r="I4137" s="89"/>
      <c r="J4137" s="90"/>
      <c r="K4137" s="91"/>
      <c r="L4137" s="80" t="str">
        <f aca="false">IF(AND(J4137&lt;&gt;"",K4137&lt;&gt;""),J4137*K4137,"")</f>
        <v/>
      </c>
      <c r="M4137" s="81" t="str">
        <f aca="false">IF(L4137&lt;&gt;"",L4137*1.1,"")</f>
        <v/>
      </c>
      <c r="N4137" s="47" t="n">
        <f aca="false">IF(F4137="S",L4137*0.02,0)</f>
        <v>0</v>
      </c>
      <c r="O4137" s="82" t="str">
        <f aca="false">IF(L4137&lt;&gt;"",L4137+N4137,"")</f>
        <v/>
      </c>
      <c r="P4137" s="47" t="str">
        <f aca="false">IF(O4137&lt;&gt;"",O4137*0.1,"")</f>
        <v/>
      </c>
      <c r="Q4137" s="83" t="str">
        <f aca="false">IF(O4137&lt;&gt;"",O4137+P4137,"")</f>
        <v/>
      </c>
      <c r="R4137" s="84"/>
    </row>
    <row r="4138" customFormat="false" ht="15" hidden="false" customHeight="true" outlineLevel="0" collapsed="false">
      <c r="A4138" s="103"/>
      <c r="B4138" s="73"/>
      <c r="C4138" s="74"/>
      <c r="D4138" s="75"/>
      <c r="E4138" s="52" t="str">
        <f aca="false">IF(D4138&lt;&gt;"",IFERROR(VLOOKUP(D4138,PROVEEDORES!$A:$B,2,0),"!COD NO ENCONTRADO"),"")</f>
        <v/>
      </c>
      <c r="F4138" s="76" t="str">
        <f aca="false">IF(D4138&lt;&gt;"",IFERROR(VLOOKUP(D4138,PROVEEDORES!$A:$C,3,0),""),"")</f>
        <v/>
      </c>
      <c r="G4138" s="75"/>
      <c r="H4138" s="52" t="str">
        <f aca="false">IF(G4138&lt;&gt;"",IFERROR(VLOOKUP(G4138,PRODUCTOS!$A:$B,2,0),"!COD NO ENCONTRADO"),"")</f>
        <v/>
      </c>
      <c r="I4138" s="77"/>
      <c r="J4138" s="78"/>
      <c r="K4138" s="79"/>
      <c r="L4138" s="80" t="str">
        <f aca="false">IF(AND(J4138&lt;&gt;"",K4138&lt;&gt;""),J4138*K4138,"")</f>
        <v/>
      </c>
      <c r="M4138" s="81" t="str">
        <f aca="false">IF(L4138&lt;&gt;"",L4138*1.1,"")</f>
        <v/>
      </c>
      <c r="N4138" s="53" t="n">
        <f aca="false">IF(F4138="S",L4138*0.02,0)</f>
        <v>0</v>
      </c>
      <c r="O4138" s="82" t="str">
        <f aca="false">IF(L4138&lt;&gt;"",L4138+N4138,"")</f>
        <v/>
      </c>
      <c r="P4138" s="53" t="str">
        <f aca="false">IF(O4138&lt;&gt;"",O4138*0.1,"")</f>
        <v/>
      </c>
      <c r="Q4138" s="83" t="str">
        <f aca="false">IF(O4138&lt;&gt;"",O4138+P4138,"")</f>
        <v/>
      </c>
      <c r="R4138" s="84"/>
    </row>
    <row r="4139" customFormat="false" ht="15" hidden="false" customHeight="true" outlineLevel="0" collapsed="false">
      <c r="A4139" s="103"/>
      <c r="B4139" s="85"/>
      <c r="C4139" s="86"/>
      <c r="D4139" s="87"/>
      <c r="E4139" s="46" t="str">
        <f aca="false">IF(D4139&lt;&gt;"",IFERROR(VLOOKUP(D4139,PROVEEDORES!$A:$B,2,0),"!COD NO ENCONTRADO"),"")</f>
        <v/>
      </c>
      <c r="F4139" s="88" t="str">
        <f aca="false">IF(D4139&lt;&gt;"",IFERROR(VLOOKUP(D4139,PROVEEDORES!$A:$C,3,0),""),"")</f>
        <v/>
      </c>
      <c r="G4139" s="87"/>
      <c r="H4139" s="46" t="str">
        <f aca="false">IF(G4139&lt;&gt;"",IFERROR(VLOOKUP(G4139,PRODUCTOS!$A:$B,2,0),"!COD NO ENCONTRADO"),"")</f>
        <v/>
      </c>
      <c r="I4139" s="89"/>
      <c r="J4139" s="90"/>
      <c r="K4139" s="91"/>
      <c r="L4139" s="80" t="str">
        <f aca="false">IF(AND(J4139&lt;&gt;"",K4139&lt;&gt;""),J4139*K4139,"")</f>
        <v/>
      </c>
      <c r="M4139" s="81" t="str">
        <f aca="false">IF(L4139&lt;&gt;"",L4139*1.1,"")</f>
        <v/>
      </c>
      <c r="N4139" s="47" t="n">
        <f aca="false">IF(F4139="S",L4139*0.02,0)</f>
        <v>0</v>
      </c>
      <c r="O4139" s="82" t="str">
        <f aca="false">IF(L4139&lt;&gt;"",L4139+N4139,"")</f>
        <v/>
      </c>
      <c r="P4139" s="47" t="str">
        <f aca="false">IF(O4139&lt;&gt;"",O4139*0.1,"")</f>
        <v/>
      </c>
      <c r="Q4139" s="83" t="str">
        <f aca="false">IF(O4139&lt;&gt;"",O4139+P4139,"")</f>
        <v/>
      </c>
      <c r="R4139" s="84"/>
    </row>
    <row r="4140" customFormat="false" ht="15" hidden="false" customHeight="true" outlineLevel="0" collapsed="false">
      <c r="A4140" s="103"/>
      <c r="B4140" s="73"/>
      <c r="C4140" s="74"/>
      <c r="D4140" s="75"/>
      <c r="E4140" s="52" t="str">
        <f aca="false">IF(D4140&lt;&gt;"",IFERROR(VLOOKUP(D4140,PROVEEDORES!$A:$B,2,0),"!COD NO ENCONTRADO"),"")</f>
        <v/>
      </c>
      <c r="F4140" s="76" t="str">
        <f aca="false">IF(D4140&lt;&gt;"",IFERROR(VLOOKUP(D4140,PROVEEDORES!$A:$C,3,0),""),"")</f>
        <v/>
      </c>
      <c r="G4140" s="75"/>
      <c r="H4140" s="52" t="str">
        <f aca="false">IF(G4140&lt;&gt;"",IFERROR(VLOOKUP(G4140,PRODUCTOS!$A:$B,2,0),"!COD NO ENCONTRADO"),"")</f>
        <v/>
      </c>
      <c r="I4140" s="77"/>
      <c r="J4140" s="78"/>
      <c r="K4140" s="79"/>
      <c r="L4140" s="80" t="str">
        <f aca="false">IF(AND(J4140&lt;&gt;"",K4140&lt;&gt;""),J4140*K4140,"")</f>
        <v/>
      </c>
      <c r="M4140" s="81" t="str">
        <f aca="false">IF(L4140&lt;&gt;"",L4140*1.1,"")</f>
        <v/>
      </c>
      <c r="N4140" s="53" t="n">
        <f aca="false">IF(F4140="S",L4140*0.02,0)</f>
        <v>0</v>
      </c>
      <c r="O4140" s="82" t="str">
        <f aca="false">IF(L4140&lt;&gt;"",L4140+N4140,"")</f>
        <v/>
      </c>
      <c r="P4140" s="53" t="str">
        <f aca="false">IF(O4140&lt;&gt;"",O4140*0.1,"")</f>
        <v/>
      </c>
      <c r="Q4140" s="83" t="str">
        <f aca="false">IF(O4140&lt;&gt;"",O4140+P4140,"")</f>
        <v/>
      </c>
      <c r="R4140" s="84"/>
    </row>
    <row r="4141" customFormat="false" ht="15" hidden="false" customHeight="true" outlineLevel="0" collapsed="false">
      <c r="A4141" s="103"/>
      <c r="B4141" s="85"/>
      <c r="C4141" s="86"/>
      <c r="D4141" s="87"/>
      <c r="E4141" s="46" t="str">
        <f aca="false">IF(D4141&lt;&gt;"",IFERROR(VLOOKUP(D4141,PROVEEDORES!$A:$B,2,0),"!COD NO ENCONTRADO"),"")</f>
        <v/>
      </c>
      <c r="F4141" s="88" t="str">
        <f aca="false">IF(D4141&lt;&gt;"",IFERROR(VLOOKUP(D4141,PROVEEDORES!$A:$C,3,0),""),"")</f>
        <v/>
      </c>
      <c r="G4141" s="87"/>
      <c r="H4141" s="46" t="str">
        <f aca="false">IF(G4141&lt;&gt;"",IFERROR(VLOOKUP(G4141,PRODUCTOS!$A:$B,2,0),"!COD NO ENCONTRADO"),"")</f>
        <v/>
      </c>
      <c r="I4141" s="89"/>
      <c r="J4141" s="90"/>
      <c r="K4141" s="91"/>
      <c r="L4141" s="80" t="str">
        <f aca="false">IF(AND(J4141&lt;&gt;"",K4141&lt;&gt;""),J4141*K4141,"")</f>
        <v/>
      </c>
      <c r="M4141" s="81" t="str">
        <f aca="false">IF(L4141&lt;&gt;"",L4141*1.1,"")</f>
        <v/>
      </c>
      <c r="N4141" s="47" t="n">
        <f aca="false">IF(F4141="S",L4141*0.02,0)</f>
        <v>0</v>
      </c>
      <c r="O4141" s="82" t="str">
        <f aca="false">IF(L4141&lt;&gt;"",L4141+N4141,"")</f>
        <v/>
      </c>
      <c r="P4141" s="47" t="str">
        <f aca="false">IF(O4141&lt;&gt;"",O4141*0.1,"")</f>
        <v/>
      </c>
      <c r="Q4141" s="83" t="str">
        <f aca="false">IF(O4141&lt;&gt;"",O4141+P4141,"")</f>
        <v/>
      </c>
      <c r="R4141" s="84"/>
    </row>
    <row r="4142" customFormat="false" ht="15" hidden="false" customHeight="true" outlineLevel="0" collapsed="false">
      <c r="A4142" s="103"/>
      <c r="B4142" s="73"/>
      <c r="C4142" s="74"/>
      <c r="D4142" s="75"/>
      <c r="E4142" s="52" t="str">
        <f aca="false">IF(D4142&lt;&gt;"",IFERROR(VLOOKUP(D4142,PROVEEDORES!$A:$B,2,0),"!COD NO ENCONTRADO"),"")</f>
        <v/>
      </c>
      <c r="F4142" s="76" t="str">
        <f aca="false">IF(D4142&lt;&gt;"",IFERROR(VLOOKUP(D4142,PROVEEDORES!$A:$C,3,0),""),"")</f>
        <v/>
      </c>
      <c r="G4142" s="75"/>
      <c r="H4142" s="52" t="str">
        <f aca="false">IF(G4142&lt;&gt;"",IFERROR(VLOOKUP(G4142,PRODUCTOS!$A:$B,2,0),"!COD NO ENCONTRADO"),"")</f>
        <v/>
      </c>
      <c r="I4142" s="77"/>
      <c r="J4142" s="78"/>
      <c r="K4142" s="79"/>
      <c r="L4142" s="80" t="str">
        <f aca="false">IF(AND(J4142&lt;&gt;"",K4142&lt;&gt;""),J4142*K4142,"")</f>
        <v/>
      </c>
      <c r="M4142" s="81" t="str">
        <f aca="false">IF(L4142&lt;&gt;"",L4142*1.1,"")</f>
        <v/>
      </c>
      <c r="N4142" s="53" t="n">
        <f aca="false">IF(F4142="S",L4142*0.02,0)</f>
        <v>0</v>
      </c>
      <c r="O4142" s="82" t="str">
        <f aca="false">IF(L4142&lt;&gt;"",L4142+N4142,"")</f>
        <v/>
      </c>
      <c r="P4142" s="53" t="str">
        <f aca="false">IF(O4142&lt;&gt;"",O4142*0.1,"")</f>
        <v/>
      </c>
      <c r="Q4142" s="83" t="str">
        <f aca="false">IF(O4142&lt;&gt;"",O4142+P4142,"")</f>
        <v/>
      </c>
      <c r="R4142" s="84"/>
    </row>
    <row r="4143" customFormat="false" ht="15" hidden="false" customHeight="true" outlineLevel="0" collapsed="false">
      <c r="A4143" s="103"/>
      <c r="B4143" s="85"/>
      <c r="C4143" s="86"/>
      <c r="D4143" s="87"/>
      <c r="E4143" s="46" t="str">
        <f aca="false">IF(D4143&lt;&gt;"",IFERROR(VLOOKUP(D4143,PROVEEDORES!$A:$B,2,0),"!COD NO ENCONTRADO"),"")</f>
        <v/>
      </c>
      <c r="F4143" s="88" t="str">
        <f aca="false">IF(D4143&lt;&gt;"",IFERROR(VLOOKUP(D4143,PROVEEDORES!$A:$C,3,0),""),"")</f>
        <v/>
      </c>
      <c r="G4143" s="87"/>
      <c r="H4143" s="46" t="str">
        <f aca="false">IF(G4143&lt;&gt;"",IFERROR(VLOOKUP(G4143,PRODUCTOS!$A:$B,2,0),"!COD NO ENCONTRADO"),"")</f>
        <v/>
      </c>
      <c r="I4143" s="89"/>
      <c r="J4143" s="90"/>
      <c r="K4143" s="91"/>
      <c r="L4143" s="80" t="str">
        <f aca="false">IF(AND(J4143&lt;&gt;"",K4143&lt;&gt;""),J4143*K4143,"")</f>
        <v/>
      </c>
      <c r="M4143" s="81" t="str">
        <f aca="false">IF(L4143&lt;&gt;"",L4143*1.1,"")</f>
        <v/>
      </c>
      <c r="N4143" s="47" t="n">
        <f aca="false">IF(F4143="S",L4143*0.02,0)</f>
        <v>0</v>
      </c>
      <c r="O4143" s="82" t="str">
        <f aca="false">IF(L4143&lt;&gt;"",L4143+N4143,"")</f>
        <v/>
      </c>
      <c r="P4143" s="47" t="str">
        <f aca="false">IF(O4143&lt;&gt;"",O4143*0.1,"")</f>
        <v/>
      </c>
      <c r="Q4143" s="83" t="str">
        <f aca="false">IF(O4143&lt;&gt;"",O4143+P4143,"")</f>
        <v/>
      </c>
      <c r="R4143" s="84"/>
    </row>
    <row r="4144" customFormat="false" ht="15" hidden="false" customHeight="true" outlineLevel="0" collapsed="false">
      <c r="A4144" s="103"/>
      <c r="B4144" s="73"/>
      <c r="C4144" s="74"/>
      <c r="D4144" s="75"/>
      <c r="E4144" s="52" t="str">
        <f aca="false">IF(D4144&lt;&gt;"",IFERROR(VLOOKUP(D4144,PROVEEDORES!$A:$B,2,0),"!COD NO ENCONTRADO"),"")</f>
        <v/>
      </c>
      <c r="F4144" s="76" t="str">
        <f aca="false">IF(D4144&lt;&gt;"",IFERROR(VLOOKUP(D4144,PROVEEDORES!$A:$C,3,0),""),"")</f>
        <v/>
      </c>
      <c r="G4144" s="75"/>
      <c r="H4144" s="52" t="str">
        <f aca="false">IF(G4144&lt;&gt;"",IFERROR(VLOOKUP(G4144,PRODUCTOS!$A:$B,2,0),"!COD NO ENCONTRADO"),"")</f>
        <v/>
      </c>
      <c r="I4144" s="77"/>
      <c r="J4144" s="78"/>
      <c r="K4144" s="79"/>
      <c r="L4144" s="80" t="str">
        <f aca="false">IF(AND(J4144&lt;&gt;"",K4144&lt;&gt;""),J4144*K4144,"")</f>
        <v/>
      </c>
      <c r="M4144" s="81" t="str">
        <f aca="false">IF(L4144&lt;&gt;"",L4144*1.1,"")</f>
        <v/>
      </c>
      <c r="N4144" s="53" t="n">
        <f aca="false">IF(F4144="S",L4144*0.02,0)</f>
        <v>0</v>
      </c>
      <c r="O4144" s="82" t="str">
        <f aca="false">IF(L4144&lt;&gt;"",L4144+N4144,"")</f>
        <v/>
      </c>
      <c r="P4144" s="53" t="str">
        <f aca="false">IF(O4144&lt;&gt;"",O4144*0.1,"")</f>
        <v/>
      </c>
      <c r="Q4144" s="83" t="str">
        <f aca="false">IF(O4144&lt;&gt;"",O4144+P4144,"")</f>
        <v/>
      </c>
      <c r="R4144" s="84"/>
    </row>
    <row r="4145" customFormat="false" ht="15" hidden="false" customHeight="true" outlineLevel="0" collapsed="false">
      <c r="A4145" s="103"/>
      <c r="B4145" s="85"/>
      <c r="C4145" s="86"/>
      <c r="D4145" s="87"/>
      <c r="E4145" s="46" t="str">
        <f aca="false">IF(D4145&lt;&gt;"",IFERROR(VLOOKUP(D4145,PROVEEDORES!$A:$B,2,0),"!COD NO ENCONTRADO"),"")</f>
        <v/>
      </c>
      <c r="F4145" s="88" t="str">
        <f aca="false">IF(D4145&lt;&gt;"",IFERROR(VLOOKUP(D4145,PROVEEDORES!$A:$C,3,0),""),"")</f>
        <v/>
      </c>
      <c r="G4145" s="87"/>
      <c r="H4145" s="46" t="str">
        <f aca="false">IF(G4145&lt;&gt;"",IFERROR(VLOOKUP(G4145,PRODUCTOS!$A:$B,2,0),"!COD NO ENCONTRADO"),"")</f>
        <v/>
      </c>
      <c r="I4145" s="89"/>
      <c r="J4145" s="90"/>
      <c r="K4145" s="91"/>
      <c r="L4145" s="80" t="str">
        <f aca="false">IF(AND(J4145&lt;&gt;"",K4145&lt;&gt;""),J4145*K4145,"")</f>
        <v/>
      </c>
      <c r="M4145" s="81" t="str">
        <f aca="false">IF(L4145&lt;&gt;"",L4145*1.1,"")</f>
        <v/>
      </c>
      <c r="N4145" s="47" t="n">
        <f aca="false">IF(F4145="S",L4145*0.02,0)</f>
        <v>0</v>
      </c>
      <c r="O4145" s="82" t="str">
        <f aca="false">IF(L4145&lt;&gt;"",L4145+N4145,"")</f>
        <v/>
      </c>
      <c r="P4145" s="47" t="str">
        <f aca="false">IF(O4145&lt;&gt;"",O4145*0.1,"")</f>
        <v/>
      </c>
      <c r="Q4145" s="83" t="str">
        <f aca="false">IF(O4145&lt;&gt;"",O4145+P4145,"")</f>
        <v/>
      </c>
      <c r="R4145" s="84"/>
    </row>
    <row r="4146" customFormat="false" ht="15" hidden="false" customHeight="true" outlineLevel="0" collapsed="false">
      <c r="A4146" s="103"/>
      <c r="B4146" s="73"/>
      <c r="C4146" s="74"/>
      <c r="D4146" s="75"/>
      <c r="E4146" s="52" t="str">
        <f aca="false">IF(D4146&lt;&gt;"",IFERROR(VLOOKUP(D4146,PROVEEDORES!$A:$B,2,0),"!COD NO ENCONTRADO"),"")</f>
        <v/>
      </c>
      <c r="F4146" s="76" t="str">
        <f aca="false">IF(D4146&lt;&gt;"",IFERROR(VLOOKUP(D4146,PROVEEDORES!$A:$C,3,0),""),"")</f>
        <v/>
      </c>
      <c r="G4146" s="75"/>
      <c r="H4146" s="52" t="str">
        <f aca="false">IF(G4146&lt;&gt;"",IFERROR(VLOOKUP(G4146,PRODUCTOS!$A:$B,2,0),"!COD NO ENCONTRADO"),"")</f>
        <v/>
      </c>
      <c r="I4146" s="77"/>
      <c r="J4146" s="78"/>
      <c r="K4146" s="79"/>
      <c r="L4146" s="80" t="str">
        <f aca="false">IF(AND(J4146&lt;&gt;"",K4146&lt;&gt;""),J4146*K4146,"")</f>
        <v/>
      </c>
      <c r="M4146" s="81" t="str">
        <f aca="false">IF(L4146&lt;&gt;"",L4146*1.1,"")</f>
        <v/>
      </c>
      <c r="N4146" s="53" t="n">
        <f aca="false">IF(F4146="S",L4146*0.02,0)</f>
        <v>0</v>
      </c>
      <c r="O4146" s="82" t="str">
        <f aca="false">IF(L4146&lt;&gt;"",L4146+N4146,"")</f>
        <v/>
      </c>
      <c r="P4146" s="53" t="str">
        <f aca="false">IF(O4146&lt;&gt;"",O4146*0.1,"")</f>
        <v/>
      </c>
      <c r="Q4146" s="83" t="str">
        <f aca="false">IF(O4146&lt;&gt;"",O4146+P4146,"")</f>
        <v/>
      </c>
      <c r="R4146" s="84"/>
    </row>
    <row r="4147" customFormat="false" ht="15" hidden="false" customHeight="true" outlineLevel="0" collapsed="false">
      <c r="A4147" s="103"/>
      <c r="B4147" s="85"/>
      <c r="C4147" s="86"/>
      <c r="D4147" s="87"/>
      <c r="E4147" s="46" t="str">
        <f aca="false">IF(D4147&lt;&gt;"",IFERROR(VLOOKUP(D4147,PROVEEDORES!$A:$B,2,0),"!COD NO ENCONTRADO"),"")</f>
        <v/>
      </c>
      <c r="F4147" s="88" t="str">
        <f aca="false">IF(D4147&lt;&gt;"",IFERROR(VLOOKUP(D4147,PROVEEDORES!$A:$C,3,0),""),"")</f>
        <v/>
      </c>
      <c r="G4147" s="87"/>
      <c r="H4147" s="46" t="str">
        <f aca="false">IF(G4147&lt;&gt;"",IFERROR(VLOOKUP(G4147,PRODUCTOS!$A:$B,2,0),"!COD NO ENCONTRADO"),"")</f>
        <v/>
      </c>
      <c r="I4147" s="89"/>
      <c r="J4147" s="90"/>
      <c r="K4147" s="91"/>
      <c r="L4147" s="80" t="str">
        <f aca="false">IF(AND(J4147&lt;&gt;"",K4147&lt;&gt;""),J4147*K4147,"")</f>
        <v/>
      </c>
      <c r="M4147" s="81" t="str">
        <f aca="false">IF(L4147&lt;&gt;"",L4147*1.1,"")</f>
        <v/>
      </c>
      <c r="N4147" s="47" t="n">
        <f aca="false">IF(F4147="S",L4147*0.02,0)</f>
        <v>0</v>
      </c>
      <c r="O4147" s="82" t="str">
        <f aca="false">IF(L4147&lt;&gt;"",L4147+N4147,"")</f>
        <v/>
      </c>
      <c r="P4147" s="47" t="str">
        <f aca="false">IF(O4147&lt;&gt;"",O4147*0.1,"")</f>
        <v/>
      </c>
      <c r="Q4147" s="83" t="str">
        <f aca="false">IF(O4147&lt;&gt;"",O4147+P4147,"")</f>
        <v/>
      </c>
      <c r="R4147" s="84"/>
    </row>
    <row r="4148" customFormat="false" ht="15" hidden="false" customHeight="true" outlineLevel="0" collapsed="false">
      <c r="A4148" s="103"/>
      <c r="B4148" s="73"/>
      <c r="C4148" s="74"/>
      <c r="D4148" s="75"/>
      <c r="E4148" s="52" t="str">
        <f aca="false">IF(D4148&lt;&gt;"",IFERROR(VLOOKUP(D4148,PROVEEDORES!$A:$B,2,0),"!COD NO ENCONTRADO"),"")</f>
        <v/>
      </c>
      <c r="F4148" s="76" t="str">
        <f aca="false">IF(D4148&lt;&gt;"",IFERROR(VLOOKUP(D4148,PROVEEDORES!$A:$C,3,0),""),"")</f>
        <v/>
      </c>
      <c r="G4148" s="75"/>
      <c r="H4148" s="52" t="str">
        <f aca="false">IF(G4148&lt;&gt;"",IFERROR(VLOOKUP(G4148,PRODUCTOS!$A:$B,2,0),"!COD NO ENCONTRADO"),"")</f>
        <v/>
      </c>
      <c r="I4148" s="77"/>
      <c r="J4148" s="78"/>
      <c r="K4148" s="79"/>
      <c r="L4148" s="80" t="str">
        <f aca="false">IF(AND(J4148&lt;&gt;"",K4148&lt;&gt;""),J4148*K4148,"")</f>
        <v/>
      </c>
      <c r="M4148" s="81" t="str">
        <f aca="false">IF(L4148&lt;&gt;"",L4148*1.1,"")</f>
        <v/>
      </c>
      <c r="N4148" s="53" t="n">
        <f aca="false">IF(F4148="S",L4148*0.02,0)</f>
        <v>0</v>
      </c>
      <c r="O4148" s="82" t="str">
        <f aca="false">IF(L4148&lt;&gt;"",L4148+N4148,"")</f>
        <v/>
      </c>
      <c r="P4148" s="53" t="str">
        <f aca="false">IF(O4148&lt;&gt;"",O4148*0.1,"")</f>
        <v/>
      </c>
      <c r="Q4148" s="83" t="str">
        <f aca="false">IF(O4148&lt;&gt;"",O4148+P4148,"")</f>
        <v/>
      </c>
      <c r="R4148" s="84"/>
    </row>
    <row r="4149" customFormat="false" ht="15" hidden="false" customHeight="true" outlineLevel="0" collapsed="false">
      <c r="A4149" s="103"/>
      <c r="B4149" s="85"/>
      <c r="C4149" s="86"/>
      <c r="D4149" s="87"/>
      <c r="E4149" s="46" t="str">
        <f aca="false">IF(D4149&lt;&gt;"",IFERROR(VLOOKUP(D4149,PROVEEDORES!$A:$B,2,0),"!COD NO ENCONTRADO"),"")</f>
        <v/>
      </c>
      <c r="F4149" s="88" t="str">
        <f aca="false">IF(D4149&lt;&gt;"",IFERROR(VLOOKUP(D4149,PROVEEDORES!$A:$C,3,0),""),"")</f>
        <v/>
      </c>
      <c r="G4149" s="87"/>
      <c r="H4149" s="46" t="str">
        <f aca="false">IF(G4149&lt;&gt;"",IFERROR(VLOOKUP(G4149,PRODUCTOS!$A:$B,2,0),"!COD NO ENCONTRADO"),"")</f>
        <v/>
      </c>
      <c r="I4149" s="89"/>
      <c r="J4149" s="90"/>
      <c r="K4149" s="91"/>
      <c r="L4149" s="80" t="str">
        <f aca="false">IF(AND(J4149&lt;&gt;"",K4149&lt;&gt;""),J4149*K4149,"")</f>
        <v/>
      </c>
      <c r="M4149" s="81" t="str">
        <f aca="false">IF(L4149&lt;&gt;"",L4149*1.1,"")</f>
        <v/>
      </c>
      <c r="N4149" s="47" t="n">
        <f aca="false">IF(F4149="S",L4149*0.02,0)</f>
        <v>0</v>
      </c>
      <c r="O4149" s="82" t="str">
        <f aca="false">IF(L4149&lt;&gt;"",L4149+N4149,"")</f>
        <v/>
      </c>
      <c r="P4149" s="47" t="str">
        <f aca="false">IF(O4149&lt;&gt;"",O4149*0.1,"")</f>
        <v/>
      </c>
      <c r="Q4149" s="83" t="str">
        <f aca="false">IF(O4149&lt;&gt;"",O4149+P4149,"")</f>
        <v/>
      </c>
      <c r="R4149" s="84"/>
    </row>
    <row r="4150" customFormat="false" ht="15" hidden="false" customHeight="true" outlineLevel="0" collapsed="false">
      <c r="A4150" s="103"/>
      <c r="B4150" s="73"/>
      <c r="C4150" s="74"/>
      <c r="D4150" s="75"/>
      <c r="E4150" s="52" t="str">
        <f aca="false">IF(D4150&lt;&gt;"",IFERROR(VLOOKUP(D4150,PROVEEDORES!$A:$B,2,0),"!COD NO ENCONTRADO"),"")</f>
        <v/>
      </c>
      <c r="F4150" s="76" t="str">
        <f aca="false">IF(D4150&lt;&gt;"",IFERROR(VLOOKUP(D4150,PROVEEDORES!$A:$C,3,0),""),"")</f>
        <v/>
      </c>
      <c r="G4150" s="75"/>
      <c r="H4150" s="52" t="str">
        <f aca="false">IF(G4150&lt;&gt;"",IFERROR(VLOOKUP(G4150,PRODUCTOS!$A:$B,2,0),"!COD NO ENCONTRADO"),"")</f>
        <v/>
      </c>
      <c r="I4150" s="77"/>
      <c r="J4150" s="78"/>
      <c r="K4150" s="79"/>
      <c r="L4150" s="80" t="str">
        <f aca="false">IF(AND(J4150&lt;&gt;"",K4150&lt;&gt;""),J4150*K4150,"")</f>
        <v/>
      </c>
      <c r="M4150" s="81" t="str">
        <f aca="false">IF(L4150&lt;&gt;"",L4150*1.1,"")</f>
        <v/>
      </c>
      <c r="N4150" s="53" t="n">
        <f aca="false">IF(F4150="S",L4150*0.02,0)</f>
        <v>0</v>
      </c>
      <c r="O4150" s="82" t="str">
        <f aca="false">IF(L4150&lt;&gt;"",L4150+N4150,"")</f>
        <v/>
      </c>
      <c r="P4150" s="53" t="str">
        <f aca="false">IF(O4150&lt;&gt;"",O4150*0.1,"")</f>
        <v/>
      </c>
      <c r="Q4150" s="83" t="str">
        <f aca="false">IF(O4150&lt;&gt;"",O4150+P4150,"")</f>
        <v/>
      </c>
      <c r="R4150" s="84"/>
    </row>
    <row r="4151" customFormat="false" ht="15" hidden="false" customHeight="true" outlineLevel="0" collapsed="false">
      <c r="A4151" s="103"/>
      <c r="B4151" s="85"/>
      <c r="C4151" s="86"/>
      <c r="D4151" s="87"/>
      <c r="E4151" s="46" t="str">
        <f aca="false">IF(D4151&lt;&gt;"",IFERROR(VLOOKUP(D4151,PROVEEDORES!$A:$B,2,0),"!COD NO ENCONTRADO"),"")</f>
        <v/>
      </c>
      <c r="F4151" s="88" t="str">
        <f aca="false">IF(D4151&lt;&gt;"",IFERROR(VLOOKUP(D4151,PROVEEDORES!$A:$C,3,0),""),"")</f>
        <v/>
      </c>
      <c r="G4151" s="87"/>
      <c r="H4151" s="46" t="str">
        <f aca="false">IF(G4151&lt;&gt;"",IFERROR(VLOOKUP(G4151,PRODUCTOS!$A:$B,2,0),"!COD NO ENCONTRADO"),"")</f>
        <v/>
      </c>
      <c r="I4151" s="89"/>
      <c r="J4151" s="90"/>
      <c r="K4151" s="91"/>
      <c r="L4151" s="80" t="str">
        <f aca="false">IF(AND(J4151&lt;&gt;"",K4151&lt;&gt;""),J4151*K4151,"")</f>
        <v/>
      </c>
      <c r="M4151" s="81" t="str">
        <f aca="false">IF(L4151&lt;&gt;"",L4151*1.1,"")</f>
        <v/>
      </c>
      <c r="N4151" s="47" t="n">
        <f aca="false">IF(F4151="S",L4151*0.02,0)</f>
        <v>0</v>
      </c>
      <c r="O4151" s="82" t="str">
        <f aca="false">IF(L4151&lt;&gt;"",L4151+N4151,"")</f>
        <v/>
      </c>
      <c r="P4151" s="47" t="str">
        <f aca="false">IF(O4151&lt;&gt;"",O4151*0.1,"")</f>
        <v/>
      </c>
      <c r="Q4151" s="83" t="str">
        <f aca="false">IF(O4151&lt;&gt;"",O4151+P4151,"")</f>
        <v/>
      </c>
      <c r="R4151" s="84"/>
    </row>
    <row r="4152" customFormat="false" ht="15" hidden="false" customHeight="true" outlineLevel="0" collapsed="false">
      <c r="A4152" s="103"/>
      <c r="B4152" s="73"/>
      <c r="C4152" s="74"/>
      <c r="D4152" s="75"/>
      <c r="E4152" s="52" t="str">
        <f aca="false">IF(D4152&lt;&gt;"",IFERROR(VLOOKUP(D4152,PROVEEDORES!$A:$B,2,0),"!COD NO ENCONTRADO"),"")</f>
        <v/>
      </c>
      <c r="F4152" s="76" t="str">
        <f aca="false">IF(D4152&lt;&gt;"",IFERROR(VLOOKUP(D4152,PROVEEDORES!$A:$C,3,0),""),"")</f>
        <v/>
      </c>
      <c r="G4152" s="75"/>
      <c r="H4152" s="52" t="str">
        <f aca="false">IF(G4152&lt;&gt;"",IFERROR(VLOOKUP(G4152,PRODUCTOS!$A:$B,2,0),"!COD NO ENCONTRADO"),"")</f>
        <v/>
      </c>
      <c r="I4152" s="77"/>
      <c r="J4152" s="78"/>
      <c r="K4152" s="79"/>
      <c r="L4152" s="80" t="str">
        <f aca="false">IF(AND(J4152&lt;&gt;"",K4152&lt;&gt;""),J4152*K4152,"")</f>
        <v/>
      </c>
      <c r="M4152" s="81" t="str">
        <f aca="false">IF(L4152&lt;&gt;"",L4152*1.1,"")</f>
        <v/>
      </c>
      <c r="N4152" s="53" t="n">
        <f aca="false">IF(F4152="S",L4152*0.02,0)</f>
        <v>0</v>
      </c>
      <c r="O4152" s="82" t="str">
        <f aca="false">IF(L4152&lt;&gt;"",L4152+N4152,"")</f>
        <v/>
      </c>
      <c r="P4152" s="53" t="str">
        <f aca="false">IF(O4152&lt;&gt;"",O4152*0.1,"")</f>
        <v/>
      </c>
      <c r="Q4152" s="83" t="str">
        <f aca="false">IF(O4152&lt;&gt;"",O4152+P4152,"")</f>
        <v/>
      </c>
      <c r="R4152" s="84"/>
    </row>
    <row r="4153" customFormat="false" ht="15" hidden="false" customHeight="true" outlineLevel="0" collapsed="false">
      <c r="A4153" s="103"/>
      <c r="B4153" s="85"/>
      <c r="C4153" s="86"/>
      <c r="D4153" s="87"/>
      <c r="E4153" s="46" t="str">
        <f aca="false">IF(D4153&lt;&gt;"",IFERROR(VLOOKUP(D4153,PROVEEDORES!$A:$B,2,0),"!COD NO ENCONTRADO"),"")</f>
        <v/>
      </c>
      <c r="F4153" s="88" t="str">
        <f aca="false">IF(D4153&lt;&gt;"",IFERROR(VLOOKUP(D4153,PROVEEDORES!$A:$C,3,0),""),"")</f>
        <v/>
      </c>
      <c r="G4153" s="87"/>
      <c r="H4153" s="46" t="str">
        <f aca="false">IF(G4153&lt;&gt;"",IFERROR(VLOOKUP(G4153,PRODUCTOS!$A:$B,2,0),"!COD NO ENCONTRADO"),"")</f>
        <v/>
      </c>
      <c r="I4153" s="89"/>
      <c r="J4153" s="90"/>
      <c r="K4153" s="91"/>
      <c r="L4153" s="80" t="str">
        <f aca="false">IF(AND(J4153&lt;&gt;"",K4153&lt;&gt;""),J4153*K4153,"")</f>
        <v/>
      </c>
      <c r="M4153" s="81" t="str">
        <f aca="false">IF(L4153&lt;&gt;"",L4153*1.1,"")</f>
        <v/>
      </c>
      <c r="N4153" s="47" t="n">
        <f aca="false">IF(F4153="S",L4153*0.02,0)</f>
        <v>0</v>
      </c>
      <c r="O4153" s="82" t="str">
        <f aca="false">IF(L4153&lt;&gt;"",L4153+N4153,"")</f>
        <v/>
      </c>
      <c r="P4153" s="47" t="str">
        <f aca="false">IF(O4153&lt;&gt;"",O4153*0.1,"")</f>
        <v/>
      </c>
      <c r="Q4153" s="83" t="str">
        <f aca="false">IF(O4153&lt;&gt;"",O4153+P4153,"")</f>
        <v/>
      </c>
      <c r="R4153" s="84"/>
    </row>
    <row r="4154" customFormat="false" ht="15" hidden="false" customHeight="true" outlineLevel="0" collapsed="false">
      <c r="A4154" s="103"/>
      <c r="B4154" s="73"/>
      <c r="C4154" s="74"/>
      <c r="D4154" s="75"/>
      <c r="E4154" s="52" t="str">
        <f aca="false">IF(D4154&lt;&gt;"",IFERROR(VLOOKUP(D4154,PROVEEDORES!$A:$B,2,0),"!COD NO ENCONTRADO"),"")</f>
        <v/>
      </c>
      <c r="F4154" s="76" t="str">
        <f aca="false">IF(D4154&lt;&gt;"",IFERROR(VLOOKUP(D4154,PROVEEDORES!$A:$C,3,0),""),"")</f>
        <v/>
      </c>
      <c r="G4154" s="75"/>
      <c r="H4154" s="52" t="str">
        <f aca="false">IF(G4154&lt;&gt;"",IFERROR(VLOOKUP(G4154,PRODUCTOS!$A:$B,2,0),"!COD NO ENCONTRADO"),"")</f>
        <v/>
      </c>
      <c r="I4154" s="77"/>
      <c r="J4154" s="78"/>
      <c r="K4154" s="79"/>
      <c r="L4154" s="80" t="str">
        <f aca="false">IF(AND(J4154&lt;&gt;"",K4154&lt;&gt;""),J4154*K4154,"")</f>
        <v/>
      </c>
      <c r="M4154" s="81" t="str">
        <f aca="false">IF(L4154&lt;&gt;"",L4154*1.1,"")</f>
        <v/>
      </c>
      <c r="N4154" s="53" t="n">
        <f aca="false">IF(F4154="S",L4154*0.02,0)</f>
        <v>0</v>
      </c>
      <c r="O4154" s="82" t="str">
        <f aca="false">IF(L4154&lt;&gt;"",L4154+N4154,"")</f>
        <v/>
      </c>
      <c r="P4154" s="53" t="str">
        <f aca="false">IF(O4154&lt;&gt;"",O4154*0.1,"")</f>
        <v/>
      </c>
      <c r="Q4154" s="83" t="str">
        <f aca="false">IF(O4154&lt;&gt;"",O4154+P4154,"")</f>
        <v/>
      </c>
      <c r="R4154" s="84"/>
    </row>
    <row r="4155" customFormat="false" ht="15" hidden="false" customHeight="true" outlineLevel="0" collapsed="false">
      <c r="A4155" s="103"/>
      <c r="B4155" s="85"/>
      <c r="C4155" s="86"/>
      <c r="D4155" s="87"/>
      <c r="E4155" s="46" t="str">
        <f aca="false">IF(D4155&lt;&gt;"",IFERROR(VLOOKUP(D4155,PROVEEDORES!$A:$B,2,0),"!COD NO ENCONTRADO"),"")</f>
        <v/>
      </c>
      <c r="F4155" s="88" t="str">
        <f aca="false">IF(D4155&lt;&gt;"",IFERROR(VLOOKUP(D4155,PROVEEDORES!$A:$C,3,0),""),"")</f>
        <v/>
      </c>
      <c r="G4155" s="87"/>
      <c r="H4155" s="46" t="str">
        <f aca="false">IF(G4155&lt;&gt;"",IFERROR(VLOOKUP(G4155,PRODUCTOS!$A:$B,2,0),"!COD NO ENCONTRADO"),"")</f>
        <v/>
      </c>
      <c r="I4155" s="89"/>
      <c r="J4155" s="90"/>
      <c r="K4155" s="91"/>
      <c r="L4155" s="80" t="str">
        <f aca="false">IF(AND(J4155&lt;&gt;"",K4155&lt;&gt;""),J4155*K4155,"")</f>
        <v/>
      </c>
      <c r="M4155" s="81" t="str">
        <f aca="false">IF(L4155&lt;&gt;"",L4155*1.1,"")</f>
        <v/>
      </c>
      <c r="N4155" s="47" t="n">
        <f aca="false">IF(F4155="S",L4155*0.02,0)</f>
        <v>0</v>
      </c>
      <c r="O4155" s="82" t="str">
        <f aca="false">IF(L4155&lt;&gt;"",L4155+N4155,"")</f>
        <v/>
      </c>
      <c r="P4155" s="47" t="str">
        <f aca="false">IF(O4155&lt;&gt;"",O4155*0.1,"")</f>
        <v/>
      </c>
      <c r="Q4155" s="83" t="str">
        <f aca="false">IF(O4155&lt;&gt;"",O4155+P4155,"")</f>
        <v/>
      </c>
      <c r="R4155" s="84"/>
    </row>
    <row r="4156" customFormat="false" ht="15" hidden="false" customHeight="true" outlineLevel="0" collapsed="false">
      <c r="A4156" s="103"/>
      <c r="B4156" s="73"/>
      <c r="C4156" s="74"/>
      <c r="D4156" s="75"/>
      <c r="E4156" s="52" t="str">
        <f aca="false">IF(D4156&lt;&gt;"",IFERROR(VLOOKUP(D4156,PROVEEDORES!$A:$B,2,0),"!COD NO ENCONTRADO"),"")</f>
        <v/>
      </c>
      <c r="F4156" s="76" t="str">
        <f aca="false">IF(D4156&lt;&gt;"",IFERROR(VLOOKUP(D4156,PROVEEDORES!$A:$C,3,0),""),"")</f>
        <v/>
      </c>
      <c r="G4156" s="75"/>
      <c r="H4156" s="52" t="str">
        <f aca="false">IF(G4156&lt;&gt;"",IFERROR(VLOOKUP(G4156,PRODUCTOS!$A:$B,2,0),"!COD NO ENCONTRADO"),"")</f>
        <v/>
      </c>
      <c r="I4156" s="77"/>
      <c r="J4156" s="78"/>
      <c r="K4156" s="79"/>
      <c r="L4156" s="80" t="str">
        <f aca="false">IF(AND(J4156&lt;&gt;"",K4156&lt;&gt;""),J4156*K4156,"")</f>
        <v/>
      </c>
      <c r="M4156" s="81" t="str">
        <f aca="false">IF(L4156&lt;&gt;"",L4156*1.1,"")</f>
        <v/>
      </c>
      <c r="N4156" s="53" t="n">
        <f aca="false">IF(F4156="S",L4156*0.02,0)</f>
        <v>0</v>
      </c>
      <c r="O4156" s="82" t="str">
        <f aca="false">IF(L4156&lt;&gt;"",L4156+N4156,"")</f>
        <v/>
      </c>
      <c r="P4156" s="53" t="str">
        <f aca="false">IF(O4156&lt;&gt;"",O4156*0.1,"")</f>
        <v/>
      </c>
      <c r="Q4156" s="83" t="str">
        <f aca="false">IF(O4156&lt;&gt;"",O4156+P4156,"")</f>
        <v/>
      </c>
      <c r="R4156" s="84"/>
    </row>
    <row r="4157" customFormat="false" ht="15" hidden="false" customHeight="true" outlineLevel="0" collapsed="false">
      <c r="A4157" s="103"/>
      <c r="B4157" s="85"/>
      <c r="C4157" s="86"/>
      <c r="D4157" s="87"/>
      <c r="E4157" s="46" t="str">
        <f aca="false">IF(D4157&lt;&gt;"",IFERROR(VLOOKUP(D4157,PROVEEDORES!$A:$B,2,0),"!COD NO ENCONTRADO"),"")</f>
        <v/>
      </c>
      <c r="F4157" s="88" t="str">
        <f aca="false">IF(D4157&lt;&gt;"",IFERROR(VLOOKUP(D4157,PROVEEDORES!$A:$C,3,0),""),"")</f>
        <v/>
      </c>
      <c r="G4157" s="87"/>
      <c r="H4157" s="46" t="str">
        <f aca="false">IF(G4157&lt;&gt;"",IFERROR(VLOOKUP(G4157,PRODUCTOS!$A:$B,2,0),"!COD NO ENCONTRADO"),"")</f>
        <v/>
      </c>
      <c r="I4157" s="89"/>
      <c r="J4157" s="90"/>
      <c r="K4157" s="91"/>
      <c r="L4157" s="80" t="str">
        <f aca="false">IF(AND(J4157&lt;&gt;"",K4157&lt;&gt;""),J4157*K4157,"")</f>
        <v/>
      </c>
      <c r="M4157" s="81" t="str">
        <f aca="false">IF(L4157&lt;&gt;"",L4157*1.1,"")</f>
        <v/>
      </c>
      <c r="N4157" s="47" t="n">
        <f aca="false">IF(F4157="S",L4157*0.02,0)</f>
        <v>0</v>
      </c>
      <c r="O4157" s="82" t="str">
        <f aca="false">IF(L4157&lt;&gt;"",L4157+N4157,"")</f>
        <v/>
      </c>
      <c r="P4157" s="47" t="str">
        <f aca="false">IF(O4157&lt;&gt;"",O4157*0.1,"")</f>
        <v/>
      </c>
      <c r="Q4157" s="83" t="str">
        <f aca="false">IF(O4157&lt;&gt;"",O4157+P4157,"")</f>
        <v/>
      </c>
      <c r="R4157" s="84"/>
    </row>
    <row r="4158" customFormat="false" ht="15" hidden="false" customHeight="true" outlineLevel="0" collapsed="false">
      <c r="A4158" s="103"/>
      <c r="B4158" s="73"/>
      <c r="C4158" s="74"/>
      <c r="D4158" s="75"/>
      <c r="E4158" s="52" t="str">
        <f aca="false">IF(D4158&lt;&gt;"",IFERROR(VLOOKUP(D4158,PROVEEDORES!$A:$B,2,0),"!COD NO ENCONTRADO"),"")</f>
        <v/>
      </c>
      <c r="F4158" s="76" t="str">
        <f aca="false">IF(D4158&lt;&gt;"",IFERROR(VLOOKUP(D4158,PROVEEDORES!$A:$C,3,0),""),"")</f>
        <v/>
      </c>
      <c r="G4158" s="75"/>
      <c r="H4158" s="52" t="str">
        <f aca="false">IF(G4158&lt;&gt;"",IFERROR(VLOOKUP(G4158,PRODUCTOS!$A:$B,2,0),"!COD NO ENCONTRADO"),"")</f>
        <v/>
      </c>
      <c r="I4158" s="77"/>
      <c r="J4158" s="78"/>
      <c r="K4158" s="79"/>
      <c r="L4158" s="80" t="str">
        <f aca="false">IF(AND(J4158&lt;&gt;"",K4158&lt;&gt;""),J4158*K4158,"")</f>
        <v/>
      </c>
      <c r="M4158" s="81" t="str">
        <f aca="false">IF(L4158&lt;&gt;"",L4158*1.1,"")</f>
        <v/>
      </c>
      <c r="N4158" s="53" t="n">
        <f aca="false">IF(F4158="S",L4158*0.02,0)</f>
        <v>0</v>
      </c>
      <c r="O4158" s="82" t="str">
        <f aca="false">IF(L4158&lt;&gt;"",L4158+N4158,"")</f>
        <v/>
      </c>
      <c r="P4158" s="53" t="str">
        <f aca="false">IF(O4158&lt;&gt;"",O4158*0.1,"")</f>
        <v/>
      </c>
      <c r="Q4158" s="83" t="str">
        <f aca="false">IF(O4158&lt;&gt;"",O4158+P4158,"")</f>
        <v/>
      </c>
      <c r="R4158" s="84"/>
    </row>
    <row r="4159" customFormat="false" ht="15" hidden="false" customHeight="true" outlineLevel="0" collapsed="false">
      <c r="A4159" s="103"/>
      <c r="B4159" s="85"/>
      <c r="C4159" s="86"/>
      <c r="D4159" s="87"/>
      <c r="E4159" s="46" t="str">
        <f aca="false">IF(D4159&lt;&gt;"",IFERROR(VLOOKUP(D4159,PROVEEDORES!$A:$B,2,0),"!COD NO ENCONTRADO"),"")</f>
        <v/>
      </c>
      <c r="F4159" s="88" t="str">
        <f aca="false">IF(D4159&lt;&gt;"",IFERROR(VLOOKUP(D4159,PROVEEDORES!$A:$C,3,0),""),"")</f>
        <v/>
      </c>
      <c r="G4159" s="87"/>
      <c r="H4159" s="46" t="str">
        <f aca="false">IF(G4159&lt;&gt;"",IFERROR(VLOOKUP(G4159,PRODUCTOS!$A:$B,2,0),"!COD NO ENCONTRADO"),"")</f>
        <v/>
      </c>
      <c r="I4159" s="89"/>
      <c r="J4159" s="90"/>
      <c r="K4159" s="91"/>
      <c r="L4159" s="80" t="str">
        <f aca="false">IF(AND(J4159&lt;&gt;"",K4159&lt;&gt;""),J4159*K4159,"")</f>
        <v/>
      </c>
      <c r="M4159" s="81" t="str">
        <f aca="false">IF(L4159&lt;&gt;"",L4159*1.1,"")</f>
        <v/>
      </c>
      <c r="N4159" s="47" t="n">
        <f aca="false">IF(F4159="S",L4159*0.02,0)</f>
        <v>0</v>
      </c>
      <c r="O4159" s="82" t="str">
        <f aca="false">IF(L4159&lt;&gt;"",L4159+N4159,"")</f>
        <v/>
      </c>
      <c r="P4159" s="47" t="str">
        <f aca="false">IF(O4159&lt;&gt;"",O4159*0.1,"")</f>
        <v/>
      </c>
      <c r="Q4159" s="83" t="str">
        <f aca="false">IF(O4159&lt;&gt;"",O4159+P4159,"")</f>
        <v/>
      </c>
      <c r="R4159" s="84"/>
    </row>
    <row r="4160" customFormat="false" ht="15" hidden="false" customHeight="true" outlineLevel="0" collapsed="false">
      <c r="A4160" s="103"/>
      <c r="B4160" s="73"/>
      <c r="C4160" s="74"/>
      <c r="D4160" s="75"/>
      <c r="E4160" s="52" t="str">
        <f aca="false">IF(D4160&lt;&gt;"",IFERROR(VLOOKUP(D4160,PROVEEDORES!$A:$B,2,0),"!COD NO ENCONTRADO"),"")</f>
        <v/>
      </c>
      <c r="F4160" s="76" t="str">
        <f aca="false">IF(D4160&lt;&gt;"",IFERROR(VLOOKUP(D4160,PROVEEDORES!$A:$C,3,0),""),"")</f>
        <v/>
      </c>
      <c r="G4160" s="75"/>
      <c r="H4160" s="52" t="str">
        <f aca="false">IF(G4160&lt;&gt;"",IFERROR(VLOOKUP(G4160,PRODUCTOS!$A:$B,2,0),"!COD NO ENCONTRADO"),"")</f>
        <v/>
      </c>
      <c r="I4160" s="77"/>
      <c r="J4160" s="78"/>
      <c r="K4160" s="79"/>
      <c r="L4160" s="80" t="str">
        <f aca="false">IF(AND(J4160&lt;&gt;"",K4160&lt;&gt;""),J4160*K4160,"")</f>
        <v/>
      </c>
      <c r="M4160" s="81" t="str">
        <f aca="false">IF(L4160&lt;&gt;"",L4160*1.1,"")</f>
        <v/>
      </c>
      <c r="N4160" s="53" t="n">
        <f aca="false">IF(F4160="S",L4160*0.02,0)</f>
        <v>0</v>
      </c>
      <c r="O4160" s="82" t="str">
        <f aca="false">IF(L4160&lt;&gt;"",L4160+N4160,"")</f>
        <v/>
      </c>
      <c r="P4160" s="53" t="str">
        <f aca="false">IF(O4160&lt;&gt;"",O4160*0.1,"")</f>
        <v/>
      </c>
      <c r="Q4160" s="83" t="str">
        <f aca="false">IF(O4160&lt;&gt;"",O4160+P4160,"")</f>
        <v/>
      </c>
      <c r="R4160" s="84"/>
    </row>
    <row r="4161" customFormat="false" ht="15" hidden="false" customHeight="true" outlineLevel="0" collapsed="false">
      <c r="A4161" s="103"/>
      <c r="B4161" s="85"/>
      <c r="C4161" s="86"/>
      <c r="D4161" s="87"/>
      <c r="E4161" s="46" t="str">
        <f aca="false">IF(D4161&lt;&gt;"",IFERROR(VLOOKUP(D4161,PROVEEDORES!$A:$B,2,0),"!COD NO ENCONTRADO"),"")</f>
        <v/>
      </c>
      <c r="F4161" s="88" t="str">
        <f aca="false">IF(D4161&lt;&gt;"",IFERROR(VLOOKUP(D4161,PROVEEDORES!$A:$C,3,0),""),"")</f>
        <v/>
      </c>
      <c r="G4161" s="87"/>
      <c r="H4161" s="46" t="str">
        <f aca="false">IF(G4161&lt;&gt;"",IFERROR(VLOOKUP(G4161,PRODUCTOS!$A:$B,2,0),"!COD NO ENCONTRADO"),"")</f>
        <v/>
      </c>
      <c r="I4161" s="89"/>
      <c r="J4161" s="90"/>
      <c r="K4161" s="91"/>
      <c r="L4161" s="80" t="str">
        <f aca="false">IF(AND(J4161&lt;&gt;"",K4161&lt;&gt;""),J4161*K4161,"")</f>
        <v/>
      </c>
      <c r="M4161" s="81" t="str">
        <f aca="false">IF(L4161&lt;&gt;"",L4161*1.1,"")</f>
        <v/>
      </c>
      <c r="N4161" s="47" t="n">
        <f aca="false">IF(F4161="S",L4161*0.02,0)</f>
        <v>0</v>
      </c>
      <c r="O4161" s="82" t="str">
        <f aca="false">IF(L4161&lt;&gt;"",L4161+N4161,"")</f>
        <v/>
      </c>
      <c r="P4161" s="47" t="str">
        <f aca="false">IF(O4161&lt;&gt;"",O4161*0.1,"")</f>
        <v/>
      </c>
      <c r="Q4161" s="83" t="str">
        <f aca="false">IF(O4161&lt;&gt;"",O4161+P4161,"")</f>
        <v/>
      </c>
      <c r="R4161" s="84"/>
    </row>
    <row r="4162" customFormat="false" ht="15" hidden="false" customHeight="true" outlineLevel="0" collapsed="false">
      <c r="A4162" s="103"/>
      <c r="B4162" s="73"/>
      <c r="C4162" s="74"/>
      <c r="D4162" s="75"/>
      <c r="E4162" s="52" t="str">
        <f aca="false">IF(D4162&lt;&gt;"",IFERROR(VLOOKUP(D4162,PROVEEDORES!$A:$B,2,0),"!COD NO ENCONTRADO"),"")</f>
        <v/>
      </c>
      <c r="F4162" s="76" t="str">
        <f aca="false">IF(D4162&lt;&gt;"",IFERROR(VLOOKUP(D4162,PROVEEDORES!$A:$C,3,0),""),"")</f>
        <v/>
      </c>
      <c r="G4162" s="75"/>
      <c r="H4162" s="52" t="str">
        <f aca="false">IF(G4162&lt;&gt;"",IFERROR(VLOOKUP(G4162,PRODUCTOS!$A:$B,2,0),"!COD NO ENCONTRADO"),"")</f>
        <v/>
      </c>
      <c r="I4162" s="77"/>
      <c r="J4162" s="78"/>
      <c r="K4162" s="79"/>
      <c r="L4162" s="80" t="str">
        <f aca="false">IF(AND(J4162&lt;&gt;"",K4162&lt;&gt;""),J4162*K4162,"")</f>
        <v/>
      </c>
      <c r="M4162" s="81" t="str">
        <f aca="false">IF(L4162&lt;&gt;"",L4162*1.1,"")</f>
        <v/>
      </c>
      <c r="N4162" s="53" t="n">
        <f aca="false">IF(F4162="S",L4162*0.02,0)</f>
        <v>0</v>
      </c>
      <c r="O4162" s="82" t="str">
        <f aca="false">IF(L4162&lt;&gt;"",L4162+N4162,"")</f>
        <v/>
      </c>
      <c r="P4162" s="53" t="str">
        <f aca="false">IF(O4162&lt;&gt;"",O4162*0.1,"")</f>
        <v/>
      </c>
      <c r="Q4162" s="83" t="str">
        <f aca="false">IF(O4162&lt;&gt;"",O4162+P4162,"")</f>
        <v/>
      </c>
      <c r="R4162" s="84"/>
    </row>
    <row r="4163" customFormat="false" ht="15" hidden="false" customHeight="true" outlineLevel="0" collapsed="false">
      <c r="A4163" s="103"/>
      <c r="B4163" s="85"/>
      <c r="C4163" s="86"/>
      <c r="D4163" s="87"/>
      <c r="E4163" s="46" t="str">
        <f aca="false">IF(D4163&lt;&gt;"",IFERROR(VLOOKUP(D4163,PROVEEDORES!$A:$B,2,0),"!COD NO ENCONTRADO"),"")</f>
        <v/>
      </c>
      <c r="F4163" s="88" t="str">
        <f aca="false">IF(D4163&lt;&gt;"",IFERROR(VLOOKUP(D4163,PROVEEDORES!$A:$C,3,0),""),"")</f>
        <v/>
      </c>
      <c r="G4163" s="87"/>
      <c r="H4163" s="46" t="str">
        <f aca="false">IF(G4163&lt;&gt;"",IFERROR(VLOOKUP(G4163,PRODUCTOS!$A:$B,2,0),"!COD NO ENCONTRADO"),"")</f>
        <v/>
      </c>
      <c r="I4163" s="89"/>
      <c r="J4163" s="90"/>
      <c r="K4163" s="91"/>
      <c r="L4163" s="80" t="str">
        <f aca="false">IF(AND(J4163&lt;&gt;"",K4163&lt;&gt;""),J4163*K4163,"")</f>
        <v/>
      </c>
      <c r="M4163" s="81" t="str">
        <f aca="false">IF(L4163&lt;&gt;"",L4163*1.1,"")</f>
        <v/>
      </c>
      <c r="N4163" s="47" t="n">
        <f aca="false">IF(F4163="S",L4163*0.02,0)</f>
        <v>0</v>
      </c>
      <c r="O4163" s="82" t="str">
        <f aca="false">IF(L4163&lt;&gt;"",L4163+N4163,"")</f>
        <v/>
      </c>
      <c r="P4163" s="47" t="str">
        <f aca="false">IF(O4163&lt;&gt;"",O4163*0.1,"")</f>
        <v/>
      </c>
      <c r="Q4163" s="83" t="str">
        <f aca="false">IF(O4163&lt;&gt;"",O4163+P4163,"")</f>
        <v/>
      </c>
      <c r="R4163" s="84"/>
    </row>
    <row r="4164" customFormat="false" ht="15" hidden="false" customHeight="true" outlineLevel="0" collapsed="false">
      <c r="A4164" s="103"/>
      <c r="B4164" s="73"/>
      <c r="C4164" s="74"/>
      <c r="D4164" s="75"/>
      <c r="E4164" s="52" t="str">
        <f aca="false">IF(D4164&lt;&gt;"",IFERROR(VLOOKUP(D4164,PROVEEDORES!$A:$B,2,0),"!COD NO ENCONTRADO"),"")</f>
        <v/>
      </c>
      <c r="F4164" s="76" t="str">
        <f aca="false">IF(D4164&lt;&gt;"",IFERROR(VLOOKUP(D4164,PROVEEDORES!$A:$C,3,0),""),"")</f>
        <v/>
      </c>
      <c r="G4164" s="75"/>
      <c r="H4164" s="52" t="str">
        <f aca="false">IF(G4164&lt;&gt;"",IFERROR(VLOOKUP(G4164,PRODUCTOS!$A:$B,2,0),"!COD NO ENCONTRADO"),"")</f>
        <v/>
      </c>
      <c r="I4164" s="77"/>
      <c r="J4164" s="78"/>
      <c r="K4164" s="79"/>
      <c r="L4164" s="80" t="str">
        <f aca="false">IF(AND(J4164&lt;&gt;"",K4164&lt;&gt;""),J4164*K4164,"")</f>
        <v/>
      </c>
      <c r="M4164" s="81" t="str">
        <f aca="false">IF(L4164&lt;&gt;"",L4164*1.1,"")</f>
        <v/>
      </c>
      <c r="N4164" s="53" t="n">
        <f aca="false">IF(F4164="S",L4164*0.02,0)</f>
        <v>0</v>
      </c>
      <c r="O4164" s="82" t="str">
        <f aca="false">IF(L4164&lt;&gt;"",L4164+N4164,"")</f>
        <v/>
      </c>
      <c r="P4164" s="53" t="str">
        <f aca="false">IF(O4164&lt;&gt;"",O4164*0.1,"")</f>
        <v/>
      </c>
      <c r="Q4164" s="83" t="str">
        <f aca="false">IF(O4164&lt;&gt;"",O4164+P4164,"")</f>
        <v/>
      </c>
      <c r="R4164" s="84"/>
    </row>
    <row r="4165" customFormat="false" ht="15" hidden="false" customHeight="true" outlineLevel="0" collapsed="false">
      <c r="A4165" s="103"/>
      <c r="B4165" s="85"/>
      <c r="C4165" s="86"/>
      <c r="D4165" s="87"/>
      <c r="E4165" s="46" t="str">
        <f aca="false">IF(D4165&lt;&gt;"",IFERROR(VLOOKUP(D4165,PROVEEDORES!$A:$B,2,0),"!COD NO ENCONTRADO"),"")</f>
        <v/>
      </c>
      <c r="F4165" s="88" t="str">
        <f aca="false">IF(D4165&lt;&gt;"",IFERROR(VLOOKUP(D4165,PROVEEDORES!$A:$C,3,0),""),"")</f>
        <v/>
      </c>
      <c r="G4165" s="87"/>
      <c r="H4165" s="46" t="str">
        <f aca="false">IF(G4165&lt;&gt;"",IFERROR(VLOOKUP(G4165,PRODUCTOS!$A:$B,2,0),"!COD NO ENCONTRADO"),"")</f>
        <v/>
      </c>
      <c r="I4165" s="89"/>
      <c r="J4165" s="90"/>
      <c r="K4165" s="91"/>
      <c r="L4165" s="80" t="str">
        <f aca="false">IF(AND(J4165&lt;&gt;"",K4165&lt;&gt;""),J4165*K4165,"")</f>
        <v/>
      </c>
      <c r="M4165" s="81" t="str">
        <f aca="false">IF(L4165&lt;&gt;"",L4165*1.1,"")</f>
        <v/>
      </c>
      <c r="N4165" s="47" t="n">
        <f aca="false">IF(F4165="S",L4165*0.02,0)</f>
        <v>0</v>
      </c>
      <c r="O4165" s="82" t="str">
        <f aca="false">IF(L4165&lt;&gt;"",L4165+N4165,"")</f>
        <v/>
      </c>
      <c r="P4165" s="47" t="str">
        <f aca="false">IF(O4165&lt;&gt;"",O4165*0.1,"")</f>
        <v/>
      </c>
      <c r="Q4165" s="83" t="str">
        <f aca="false">IF(O4165&lt;&gt;"",O4165+P4165,"")</f>
        <v/>
      </c>
      <c r="R4165" s="84"/>
    </row>
    <row r="4166" customFormat="false" ht="15" hidden="false" customHeight="true" outlineLevel="0" collapsed="false">
      <c r="A4166" s="103"/>
      <c r="B4166" s="73"/>
      <c r="C4166" s="74"/>
      <c r="D4166" s="75"/>
      <c r="E4166" s="52" t="str">
        <f aca="false">IF(D4166&lt;&gt;"",IFERROR(VLOOKUP(D4166,PROVEEDORES!$A:$B,2,0),"!COD NO ENCONTRADO"),"")</f>
        <v/>
      </c>
      <c r="F4166" s="76" t="str">
        <f aca="false">IF(D4166&lt;&gt;"",IFERROR(VLOOKUP(D4166,PROVEEDORES!$A:$C,3,0),""),"")</f>
        <v/>
      </c>
      <c r="G4166" s="75"/>
      <c r="H4166" s="52" t="str">
        <f aca="false">IF(G4166&lt;&gt;"",IFERROR(VLOOKUP(G4166,PRODUCTOS!$A:$B,2,0),"!COD NO ENCONTRADO"),"")</f>
        <v/>
      </c>
      <c r="I4166" s="77"/>
      <c r="J4166" s="78"/>
      <c r="K4166" s="79"/>
      <c r="L4166" s="80" t="str">
        <f aca="false">IF(AND(J4166&lt;&gt;"",K4166&lt;&gt;""),J4166*K4166,"")</f>
        <v/>
      </c>
      <c r="M4166" s="81" t="str">
        <f aca="false">IF(L4166&lt;&gt;"",L4166*1.1,"")</f>
        <v/>
      </c>
      <c r="N4166" s="53" t="n">
        <f aca="false">IF(F4166="S",L4166*0.02,0)</f>
        <v>0</v>
      </c>
      <c r="O4166" s="82" t="str">
        <f aca="false">IF(L4166&lt;&gt;"",L4166+N4166,"")</f>
        <v/>
      </c>
      <c r="P4166" s="53" t="str">
        <f aca="false">IF(O4166&lt;&gt;"",O4166*0.1,"")</f>
        <v/>
      </c>
      <c r="Q4166" s="83" t="str">
        <f aca="false">IF(O4166&lt;&gt;"",O4166+P4166,"")</f>
        <v/>
      </c>
      <c r="R4166" s="84"/>
    </row>
    <row r="4167" customFormat="false" ht="15" hidden="false" customHeight="true" outlineLevel="0" collapsed="false">
      <c r="A4167" s="103"/>
      <c r="B4167" s="85"/>
      <c r="C4167" s="86"/>
      <c r="D4167" s="87"/>
      <c r="E4167" s="46" t="str">
        <f aca="false">IF(D4167&lt;&gt;"",IFERROR(VLOOKUP(D4167,PROVEEDORES!$A:$B,2,0),"!COD NO ENCONTRADO"),"")</f>
        <v/>
      </c>
      <c r="F4167" s="88" t="str">
        <f aca="false">IF(D4167&lt;&gt;"",IFERROR(VLOOKUP(D4167,PROVEEDORES!$A:$C,3,0),""),"")</f>
        <v/>
      </c>
      <c r="G4167" s="87"/>
      <c r="H4167" s="46" t="str">
        <f aca="false">IF(G4167&lt;&gt;"",IFERROR(VLOOKUP(G4167,PRODUCTOS!$A:$B,2,0),"!COD NO ENCONTRADO"),"")</f>
        <v/>
      </c>
      <c r="I4167" s="89"/>
      <c r="J4167" s="90"/>
      <c r="K4167" s="91"/>
      <c r="L4167" s="80" t="str">
        <f aca="false">IF(AND(J4167&lt;&gt;"",K4167&lt;&gt;""),J4167*K4167,"")</f>
        <v/>
      </c>
      <c r="M4167" s="81" t="str">
        <f aca="false">IF(L4167&lt;&gt;"",L4167*1.1,"")</f>
        <v/>
      </c>
      <c r="N4167" s="47" t="n">
        <f aca="false">IF(F4167="S",L4167*0.02,0)</f>
        <v>0</v>
      </c>
      <c r="O4167" s="82" t="str">
        <f aca="false">IF(L4167&lt;&gt;"",L4167+N4167,"")</f>
        <v/>
      </c>
      <c r="P4167" s="47" t="str">
        <f aca="false">IF(O4167&lt;&gt;"",O4167*0.1,"")</f>
        <v/>
      </c>
      <c r="Q4167" s="83" t="str">
        <f aca="false">IF(O4167&lt;&gt;"",O4167+P4167,"")</f>
        <v/>
      </c>
      <c r="R4167" s="84"/>
    </row>
    <row r="4168" customFormat="false" ht="15" hidden="false" customHeight="true" outlineLevel="0" collapsed="false">
      <c r="A4168" s="103"/>
      <c r="B4168" s="73"/>
      <c r="C4168" s="74"/>
      <c r="D4168" s="75"/>
      <c r="E4168" s="52" t="str">
        <f aca="false">IF(D4168&lt;&gt;"",IFERROR(VLOOKUP(D4168,PROVEEDORES!$A:$B,2,0),"!COD NO ENCONTRADO"),"")</f>
        <v/>
      </c>
      <c r="F4168" s="76" t="str">
        <f aca="false">IF(D4168&lt;&gt;"",IFERROR(VLOOKUP(D4168,PROVEEDORES!$A:$C,3,0),""),"")</f>
        <v/>
      </c>
      <c r="G4168" s="75"/>
      <c r="H4168" s="52" t="str">
        <f aca="false">IF(G4168&lt;&gt;"",IFERROR(VLOOKUP(G4168,PRODUCTOS!$A:$B,2,0),"!COD NO ENCONTRADO"),"")</f>
        <v/>
      </c>
      <c r="I4168" s="77"/>
      <c r="J4168" s="78"/>
      <c r="K4168" s="79"/>
      <c r="L4168" s="80" t="str">
        <f aca="false">IF(AND(J4168&lt;&gt;"",K4168&lt;&gt;""),J4168*K4168,"")</f>
        <v/>
      </c>
      <c r="M4168" s="81" t="str">
        <f aca="false">IF(L4168&lt;&gt;"",L4168*1.1,"")</f>
        <v/>
      </c>
      <c r="N4168" s="53" t="n">
        <f aca="false">IF(F4168="S",L4168*0.02,0)</f>
        <v>0</v>
      </c>
      <c r="O4168" s="82" t="str">
        <f aca="false">IF(L4168&lt;&gt;"",L4168+N4168,"")</f>
        <v/>
      </c>
      <c r="P4168" s="53" t="str">
        <f aca="false">IF(O4168&lt;&gt;"",O4168*0.1,"")</f>
        <v/>
      </c>
      <c r="Q4168" s="83" t="str">
        <f aca="false">IF(O4168&lt;&gt;"",O4168+P4168,"")</f>
        <v/>
      </c>
      <c r="R4168" s="84"/>
    </row>
    <row r="4169" customFormat="false" ht="15" hidden="false" customHeight="true" outlineLevel="0" collapsed="false">
      <c r="A4169" s="103"/>
      <c r="B4169" s="85"/>
      <c r="C4169" s="86"/>
      <c r="D4169" s="87"/>
      <c r="E4169" s="46" t="str">
        <f aca="false">IF(D4169&lt;&gt;"",IFERROR(VLOOKUP(D4169,PROVEEDORES!$A:$B,2,0),"!COD NO ENCONTRADO"),"")</f>
        <v/>
      </c>
      <c r="F4169" s="88" t="str">
        <f aca="false">IF(D4169&lt;&gt;"",IFERROR(VLOOKUP(D4169,PROVEEDORES!$A:$C,3,0),""),"")</f>
        <v/>
      </c>
      <c r="G4169" s="87"/>
      <c r="H4169" s="46" t="str">
        <f aca="false">IF(G4169&lt;&gt;"",IFERROR(VLOOKUP(G4169,PRODUCTOS!$A:$B,2,0),"!COD NO ENCONTRADO"),"")</f>
        <v/>
      </c>
      <c r="I4169" s="89"/>
      <c r="J4169" s="90"/>
      <c r="K4169" s="91"/>
      <c r="L4169" s="80" t="str">
        <f aca="false">IF(AND(J4169&lt;&gt;"",K4169&lt;&gt;""),J4169*K4169,"")</f>
        <v/>
      </c>
      <c r="M4169" s="81" t="str">
        <f aca="false">IF(L4169&lt;&gt;"",L4169*1.1,"")</f>
        <v/>
      </c>
      <c r="N4169" s="47" t="n">
        <f aca="false">IF(F4169="S",L4169*0.02,0)</f>
        <v>0</v>
      </c>
      <c r="O4169" s="82" t="str">
        <f aca="false">IF(L4169&lt;&gt;"",L4169+N4169,"")</f>
        <v/>
      </c>
      <c r="P4169" s="47" t="str">
        <f aca="false">IF(O4169&lt;&gt;"",O4169*0.1,"")</f>
        <v/>
      </c>
      <c r="Q4169" s="83" t="str">
        <f aca="false">IF(O4169&lt;&gt;"",O4169+P4169,"")</f>
        <v/>
      </c>
      <c r="R4169" s="84"/>
    </row>
    <row r="4170" customFormat="false" ht="15" hidden="false" customHeight="true" outlineLevel="0" collapsed="false">
      <c r="A4170" s="103"/>
      <c r="B4170" s="73"/>
      <c r="C4170" s="74"/>
      <c r="D4170" s="75"/>
      <c r="E4170" s="52" t="str">
        <f aca="false">IF(D4170&lt;&gt;"",IFERROR(VLOOKUP(D4170,PROVEEDORES!$A:$B,2,0),"!COD NO ENCONTRADO"),"")</f>
        <v/>
      </c>
      <c r="F4170" s="76" t="str">
        <f aca="false">IF(D4170&lt;&gt;"",IFERROR(VLOOKUP(D4170,PROVEEDORES!$A:$C,3,0),""),"")</f>
        <v/>
      </c>
      <c r="G4170" s="75"/>
      <c r="H4170" s="52" t="str">
        <f aca="false">IF(G4170&lt;&gt;"",IFERROR(VLOOKUP(G4170,PRODUCTOS!$A:$B,2,0),"!COD NO ENCONTRADO"),"")</f>
        <v/>
      </c>
      <c r="I4170" s="77"/>
      <c r="J4170" s="78"/>
      <c r="K4170" s="79"/>
      <c r="L4170" s="80" t="str">
        <f aca="false">IF(AND(J4170&lt;&gt;"",K4170&lt;&gt;""),J4170*K4170,"")</f>
        <v/>
      </c>
      <c r="M4170" s="81" t="str">
        <f aca="false">IF(L4170&lt;&gt;"",L4170*1.1,"")</f>
        <v/>
      </c>
      <c r="N4170" s="53" t="n">
        <f aca="false">IF(F4170="S",L4170*0.02,0)</f>
        <v>0</v>
      </c>
      <c r="O4170" s="82" t="str">
        <f aca="false">IF(L4170&lt;&gt;"",L4170+N4170,"")</f>
        <v/>
      </c>
      <c r="P4170" s="53" t="str">
        <f aca="false">IF(O4170&lt;&gt;"",O4170*0.1,"")</f>
        <v/>
      </c>
      <c r="Q4170" s="83" t="str">
        <f aca="false">IF(O4170&lt;&gt;"",O4170+P4170,"")</f>
        <v/>
      </c>
      <c r="R4170" s="84"/>
    </row>
    <row r="4171" customFormat="false" ht="15" hidden="false" customHeight="true" outlineLevel="0" collapsed="false">
      <c r="A4171" s="103"/>
      <c r="B4171" s="85"/>
      <c r="C4171" s="86"/>
      <c r="D4171" s="87"/>
      <c r="E4171" s="46" t="str">
        <f aca="false">IF(D4171&lt;&gt;"",IFERROR(VLOOKUP(D4171,PROVEEDORES!$A:$B,2,0),"!COD NO ENCONTRADO"),"")</f>
        <v/>
      </c>
      <c r="F4171" s="88" t="str">
        <f aca="false">IF(D4171&lt;&gt;"",IFERROR(VLOOKUP(D4171,PROVEEDORES!$A:$C,3,0),""),"")</f>
        <v/>
      </c>
      <c r="G4171" s="87"/>
      <c r="H4171" s="46" t="str">
        <f aca="false">IF(G4171&lt;&gt;"",IFERROR(VLOOKUP(G4171,PRODUCTOS!$A:$B,2,0),"!COD NO ENCONTRADO"),"")</f>
        <v/>
      </c>
      <c r="I4171" s="89"/>
      <c r="J4171" s="90"/>
      <c r="K4171" s="91"/>
      <c r="L4171" s="80" t="str">
        <f aca="false">IF(AND(J4171&lt;&gt;"",K4171&lt;&gt;""),J4171*K4171,"")</f>
        <v/>
      </c>
      <c r="M4171" s="81" t="str">
        <f aca="false">IF(L4171&lt;&gt;"",L4171*1.1,"")</f>
        <v/>
      </c>
      <c r="N4171" s="47" t="n">
        <f aca="false">IF(F4171="S",L4171*0.02,0)</f>
        <v>0</v>
      </c>
      <c r="O4171" s="82" t="str">
        <f aca="false">IF(L4171&lt;&gt;"",L4171+N4171,"")</f>
        <v/>
      </c>
      <c r="P4171" s="47" t="str">
        <f aca="false">IF(O4171&lt;&gt;"",O4171*0.1,"")</f>
        <v/>
      </c>
      <c r="Q4171" s="83" t="str">
        <f aca="false">IF(O4171&lt;&gt;"",O4171+P4171,"")</f>
        <v/>
      </c>
      <c r="R4171" s="84"/>
    </row>
    <row r="4172" customFormat="false" ht="15" hidden="false" customHeight="true" outlineLevel="0" collapsed="false">
      <c r="A4172" s="103"/>
      <c r="B4172" s="73"/>
      <c r="C4172" s="74"/>
      <c r="D4172" s="75"/>
      <c r="E4172" s="52" t="str">
        <f aca="false">IF(D4172&lt;&gt;"",IFERROR(VLOOKUP(D4172,PROVEEDORES!$A:$B,2,0),"!COD NO ENCONTRADO"),"")</f>
        <v/>
      </c>
      <c r="F4172" s="76" t="str">
        <f aca="false">IF(D4172&lt;&gt;"",IFERROR(VLOOKUP(D4172,PROVEEDORES!$A:$C,3,0),""),"")</f>
        <v/>
      </c>
      <c r="G4172" s="75"/>
      <c r="H4172" s="52" t="str">
        <f aca="false">IF(G4172&lt;&gt;"",IFERROR(VLOOKUP(G4172,PRODUCTOS!$A:$B,2,0),"!COD NO ENCONTRADO"),"")</f>
        <v/>
      </c>
      <c r="I4172" s="77"/>
      <c r="J4172" s="78"/>
      <c r="K4172" s="79"/>
      <c r="L4172" s="80" t="str">
        <f aca="false">IF(AND(J4172&lt;&gt;"",K4172&lt;&gt;""),J4172*K4172,"")</f>
        <v/>
      </c>
      <c r="M4172" s="81" t="str">
        <f aca="false">IF(L4172&lt;&gt;"",L4172*1.1,"")</f>
        <v/>
      </c>
      <c r="N4172" s="53" t="n">
        <f aca="false">IF(F4172="S",L4172*0.02,0)</f>
        <v>0</v>
      </c>
      <c r="O4172" s="82" t="str">
        <f aca="false">IF(L4172&lt;&gt;"",L4172+N4172,"")</f>
        <v/>
      </c>
      <c r="P4172" s="53" t="str">
        <f aca="false">IF(O4172&lt;&gt;"",O4172*0.1,"")</f>
        <v/>
      </c>
      <c r="Q4172" s="83" t="str">
        <f aca="false">IF(O4172&lt;&gt;"",O4172+P4172,"")</f>
        <v/>
      </c>
      <c r="R4172" s="84"/>
    </row>
    <row r="4173" customFormat="false" ht="15" hidden="false" customHeight="true" outlineLevel="0" collapsed="false">
      <c r="A4173" s="103"/>
      <c r="B4173" s="85"/>
      <c r="C4173" s="86"/>
      <c r="D4173" s="87"/>
      <c r="E4173" s="46" t="str">
        <f aca="false">IF(D4173&lt;&gt;"",IFERROR(VLOOKUP(D4173,PROVEEDORES!$A:$B,2,0),"!COD NO ENCONTRADO"),"")</f>
        <v/>
      </c>
      <c r="F4173" s="88" t="str">
        <f aca="false">IF(D4173&lt;&gt;"",IFERROR(VLOOKUP(D4173,PROVEEDORES!$A:$C,3,0),""),"")</f>
        <v/>
      </c>
      <c r="G4173" s="87"/>
      <c r="H4173" s="46" t="str">
        <f aca="false">IF(G4173&lt;&gt;"",IFERROR(VLOOKUP(G4173,PRODUCTOS!$A:$B,2,0),"!COD NO ENCONTRADO"),"")</f>
        <v/>
      </c>
      <c r="I4173" s="89"/>
      <c r="J4173" s="90"/>
      <c r="K4173" s="91"/>
      <c r="L4173" s="80" t="str">
        <f aca="false">IF(AND(J4173&lt;&gt;"",K4173&lt;&gt;""),J4173*K4173,"")</f>
        <v/>
      </c>
      <c r="M4173" s="81" t="str">
        <f aca="false">IF(L4173&lt;&gt;"",L4173*1.1,"")</f>
        <v/>
      </c>
      <c r="N4173" s="47" t="n">
        <f aca="false">IF(F4173="S",L4173*0.02,0)</f>
        <v>0</v>
      </c>
      <c r="O4173" s="82" t="str">
        <f aca="false">IF(L4173&lt;&gt;"",L4173+N4173,"")</f>
        <v/>
      </c>
      <c r="P4173" s="47" t="str">
        <f aca="false">IF(O4173&lt;&gt;"",O4173*0.1,"")</f>
        <v/>
      </c>
      <c r="Q4173" s="83" t="str">
        <f aca="false">IF(O4173&lt;&gt;"",O4173+P4173,"")</f>
        <v/>
      </c>
      <c r="R4173" s="84"/>
    </row>
    <row r="4174" customFormat="false" ht="15" hidden="false" customHeight="true" outlineLevel="0" collapsed="false">
      <c r="A4174" s="103"/>
      <c r="B4174" s="73"/>
      <c r="C4174" s="74"/>
      <c r="D4174" s="75"/>
      <c r="E4174" s="52" t="str">
        <f aca="false">IF(D4174&lt;&gt;"",IFERROR(VLOOKUP(D4174,PROVEEDORES!$A:$B,2,0),"!COD NO ENCONTRADO"),"")</f>
        <v/>
      </c>
      <c r="F4174" s="76" t="str">
        <f aca="false">IF(D4174&lt;&gt;"",IFERROR(VLOOKUP(D4174,PROVEEDORES!$A:$C,3,0),""),"")</f>
        <v/>
      </c>
      <c r="G4174" s="75"/>
      <c r="H4174" s="52" t="str">
        <f aca="false">IF(G4174&lt;&gt;"",IFERROR(VLOOKUP(G4174,PRODUCTOS!$A:$B,2,0),"!COD NO ENCONTRADO"),"")</f>
        <v/>
      </c>
      <c r="I4174" s="77"/>
      <c r="J4174" s="78"/>
      <c r="K4174" s="79"/>
      <c r="L4174" s="80" t="str">
        <f aca="false">IF(AND(J4174&lt;&gt;"",K4174&lt;&gt;""),J4174*K4174,"")</f>
        <v/>
      </c>
      <c r="M4174" s="81" t="str">
        <f aca="false">IF(L4174&lt;&gt;"",L4174*1.1,"")</f>
        <v/>
      </c>
      <c r="N4174" s="53" t="n">
        <f aca="false">IF(F4174="S",L4174*0.02,0)</f>
        <v>0</v>
      </c>
      <c r="O4174" s="82" t="str">
        <f aca="false">IF(L4174&lt;&gt;"",L4174+N4174,"")</f>
        <v/>
      </c>
      <c r="P4174" s="53" t="str">
        <f aca="false">IF(O4174&lt;&gt;"",O4174*0.1,"")</f>
        <v/>
      </c>
      <c r="Q4174" s="83" t="str">
        <f aca="false">IF(O4174&lt;&gt;"",O4174+P4174,"")</f>
        <v/>
      </c>
      <c r="R4174" s="84"/>
    </row>
    <row r="4175" customFormat="false" ht="15" hidden="false" customHeight="true" outlineLevel="0" collapsed="false">
      <c r="A4175" s="103"/>
      <c r="B4175" s="85"/>
      <c r="C4175" s="86"/>
      <c r="D4175" s="87"/>
      <c r="E4175" s="46" t="str">
        <f aca="false">IF(D4175&lt;&gt;"",IFERROR(VLOOKUP(D4175,PROVEEDORES!$A:$B,2,0),"!COD NO ENCONTRADO"),"")</f>
        <v/>
      </c>
      <c r="F4175" s="88" t="str">
        <f aca="false">IF(D4175&lt;&gt;"",IFERROR(VLOOKUP(D4175,PROVEEDORES!$A:$C,3,0),""),"")</f>
        <v/>
      </c>
      <c r="G4175" s="87"/>
      <c r="H4175" s="46" t="str">
        <f aca="false">IF(G4175&lt;&gt;"",IFERROR(VLOOKUP(G4175,PRODUCTOS!$A:$B,2,0),"!COD NO ENCONTRADO"),"")</f>
        <v/>
      </c>
      <c r="I4175" s="89"/>
      <c r="J4175" s="90"/>
      <c r="K4175" s="91"/>
      <c r="L4175" s="80" t="str">
        <f aca="false">IF(AND(J4175&lt;&gt;"",K4175&lt;&gt;""),J4175*K4175,"")</f>
        <v/>
      </c>
      <c r="M4175" s="81" t="str">
        <f aca="false">IF(L4175&lt;&gt;"",L4175*1.1,"")</f>
        <v/>
      </c>
      <c r="N4175" s="47" t="n">
        <f aca="false">IF(F4175="S",L4175*0.02,0)</f>
        <v>0</v>
      </c>
      <c r="O4175" s="82" t="str">
        <f aca="false">IF(L4175&lt;&gt;"",L4175+N4175,"")</f>
        <v/>
      </c>
      <c r="P4175" s="47" t="str">
        <f aca="false">IF(O4175&lt;&gt;"",O4175*0.1,"")</f>
        <v/>
      </c>
      <c r="Q4175" s="83" t="str">
        <f aca="false">IF(O4175&lt;&gt;"",O4175+P4175,"")</f>
        <v/>
      </c>
      <c r="R4175" s="84"/>
    </row>
    <row r="4176" customFormat="false" ht="15" hidden="false" customHeight="true" outlineLevel="0" collapsed="false">
      <c r="A4176" s="103"/>
      <c r="B4176" s="73"/>
      <c r="C4176" s="74"/>
      <c r="D4176" s="75"/>
      <c r="E4176" s="52" t="str">
        <f aca="false">IF(D4176&lt;&gt;"",IFERROR(VLOOKUP(D4176,PROVEEDORES!$A:$B,2,0),"!COD NO ENCONTRADO"),"")</f>
        <v/>
      </c>
      <c r="F4176" s="76" t="str">
        <f aca="false">IF(D4176&lt;&gt;"",IFERROR(VLOOKUP(D4176,PROVEEDORES!$A:$C,3,0),""),"")</f>
        <v/>
      </c>
      <c r="G4176" s="75"/>
      <c r="H4176" s="52" t="str">
        <f aca="false">IF(G4176&lt;&gt;"",IFERROR(VLOOKUP(G4176,PRODUCTOS!$A:$B,2,0),"!COD NO ENCONTRADO"),"")</f>
        <v/>
      </c>
      <c r="I4176" s="77"/>
      <c r="J4176" s="78"/>
      <c r="K4176" s="79"/>
      <c r="L4176" s="80" t="str">
        <f aca="false">IF(AND(J4176&lt;&gt;"",K4176&lt;&gt;""),J4176*K4176,"")</f>
        <v/>
      </c>
      <c r="M4176" s="81" t="str">
        <f aca="false">IF(L4176&lt;&gt;"",L4176*1.1,"")</f>
        <v/>
      </c>
      <c r="N4176" s="53" t="n">
        <f aca="false">IF(F4176="S",L4176*0.02,0)</f>
        <v>0</v>
      </c>
      <c r="O4176" s="82" t="str">
        <f aca="false">IF(L4176&lt;&gt;"",L4176+N4176,"")</f>
        <v/>
      </c>
      <c r="P4176" s="53" t="str">
        <f aca="false">IF(O4176&lt;&gt;"",O4176*0.1,"")</f>
        <v/>
      </c>
      <c r="Q4176" s="83" t="str">
        <f aca="false">IF(O4176&lt;&gt;"",O4176+P4176,"")</f>
        <v/>
      </c>
      <c r="R4176" s="84"/>
    </row>
    <row r="4177" customFormat="false" ht="15" hidden="false" customHeight="true" outlineLevel="0" collapsed="false">
      <c r="A4177" s="103"/>
      <c r="B4177" s="85"/>
      <c r="C4177" s="86"/>
      <c r="D4177" s="87"/>
      <c r="E4177" s="46" t="str">
        <f aca="false">IF(D4177&lt;&gt;"",IFERROR(VLOOKUP(D4177,PROVEEDORES!$A:$B,2,0),"!COD NO ENCONTRADO"),"")</f>
        <v/>
      </c>
      <c r="F4177" s="88" t="str">
        <f aca="false">IF(D4177&lt;&gt;"",IFERROR(VLOOKUP(D4177,PROVEEDORES!$A:$C,3,0),""),"")</f>
        <v/>
      </c>
      <c r="G4177" s="87"/>
      <c r="H4177" s="46" t="str">
        <f aca="false">IF(G4177&lt;&gt;"",IFERROR(VLOOKUP(G4177,PRODUCTOS!$A:$B,2,0),"!COD NO ENCONTRADO"),"")</f>
        <v/>
      </c>
      <c r="I4177" s="89"/>
      <c r="J4177" s="90"/>
      <c r="K4177" s="91"/>
      <c r="L4177" s="80" t="str">
        <f aca="false">IF(AND(J4177&lt;&gt;"",K4177&lt;&gt;""),J4177*K4177,"")</f>
        <v/>
      </c>
      <c r="M4177" s="81" t="str">
        <f aca="false">IF(L4177&lt;&gt;"",L4177*1.1,"")</f>
        <v/>
      </c>
      <c r="N4177" s="47" t="n">
        <f aca="false">IF(F4177="S",L4177*0.02,0)</f>
        <v>0</v>
      </c>
      <c r="O4177" s="82" t="str">
        <f aca="false">IF(L4177&lt;&gt;"",L4177+N4177,"")</f>
        <v/>
      </c>
      <c r="P4177" s="47" t="str">
        <f aca="false">IF(O4177&lt;&gt;"",O4177*0.1,"")</f>
        <v/>
      </c>
      <c r="Q4177" s="83" t="str">
        <f aca="false">IF(O4177&lt;&gt;"",O4177+P4177,"")</f>
        <v/>
      </c>
      <c r="R4177" s="84"/>
    </row>
    <row r="4178" customFormat="false" ht="15" hidden="false" customHeight="true" outlineLevel="0" collapsed="false">
      <c r="A4178" s="103"/>
      <c r="B4178" s="73"/>
      <c r="C4178" s="74"/>
      <c r="D4178" s="75"/>
      <c r="E4178" s="52" t="str">
        <f aca="false">IF(D4178&lt;&gt;"",IFERROR(VLOOKUP(D4178,PROVEEDORES!$A:$B,2,0),"!COD NO ENCONTRADO"),"")</f>
        <v/>
      </c>
      <c r="F4178" s="76" t="str">
        <f aca="false">IF(D4178&lt;&gt;"",IFERROR(VLOOKUP(D4178,PROVEEDORES!$A:$C,3,0),""),"")</f>
        <v/>
      </c>
      <c r="G4178" s="75"/>
      <c r="H4178" s="52" t="str">
        <f aca="false">IF(G4178&lt;&gt;"",IFERROR(VLOOKUP(G4178,PRODUCTOS!$A:$B,2,0),"!COD NO ENCONTRADO"),"")</f>
        <v/>
      </c>
      <c r="I4178" s="77"/>
      <c r="J4178" s="78"/>
      <c r="K4178" s="79"/>
      <c r="L4178" s="80" t="str">
        <f aca="false">IF(AND(J4178&lt;&gt;"",K4178&lt;&gt;""),J4178*K4178,"")</f>
        <v/>
      </c>
      <c r="M4178" s="81" t="str">
        <f aca="false">IF(L4178&lt;&gt;"",L4178*1.1,"")</f>
        <v/>
      </c>
      <c r="N4178" s="53" t="n">
        <f aca="false">IF(F4178="S",L4178*0.02,0)</f>
        <v>0</v>
      </c>
      <c r="O4178" s="82" t="str">
        <f aca="false">IF(L4178&lt;&gt;"",L4178+N4178,"")</f>
        <v/>
      </c>
      <c r="P4178" s="53" t="str">
        <f aca="false">IF(O4178&lt;&gt;"",O4178*0.1,"")</f>
        <v/>
      </c>
      <c r="Q4178" s="83" t="str">
        <f aca="false">IF(O4178&lt;&gt;"",O4178+P4178,"")</f>
        <v/>
      </c>
      <c r="R4178" s="84"/>
    </row>
    <row r="4179" customFormat="false" ht="15" hidden="false" customHeight="true" outlineLevel="0" collapsed="false">
      <c r="A4179" s="103"/>
      <c r="B4179" s="85"/>
      <c r="C4179" s="86"/>
      <c r="D4179" s="87"/>
      <c r="E4179" s="46" t="str">
        <f aca="false">IF(D4179&lt;&gt;"",IFERROR(VLOOKUP(D4179,PROVEEDORES!$A:$B,2,0),"!COD NO ENCONTRADO"),"")</f>
        <v/>
      </c>
      <c r="F4179" s="88" t="str">
        <f aca="false">IF(D4179&lt;&gt;"",IFERROR(VLOOKUP(D4179,PROVEEDORES!$A:$C,3,0),""),"")</f>
        <v/>
      </c>
      <c r="G4179" s="87"/>
      <c r="H4179" s="46" t="str">
        <f aca="false">IF(G4179&lt;&gt;"",IFERROR(VLOOKUP(G4179,PRODUCTOS!$A:$B,2,0),"!COD NO ENCONTRADO"),"")</f>
        <v/>
      </c>
      <c r="I4179" s="89"/>
      <c r="J4179" s="90"/>
      <c r="K4179" s="91"/>
      <c r="L4179" s="80" t="str">
        <f aca="false">IF(AND(J4179&lt;&gt;"",K4179&lt;&gt;""),J4179*K4179,"")</f>
        <v/>
      </c>
      <c r="M4179" s="81" t="str">
        <f aca="false">IF(L4179&lt;&gt;"",L4179*1.1,"")</f>
        <v/>
      </c>
      <c r="N4179" s="47" t="n">
        <f aca="false">IF(F4179="S",L4179*0.02,0)</f>
        <v>0</v>
      </c>
      <c r="O4179" s="82" t="str">
        <f aca="false">IF(L4179&lt;&gt;"",L4179+N4179,"")</f>
        <v/>
      </c>
      <c r="P4179" s="47" t="str">
        <f aca="false">IF(O4179&lt;&gt;"",O4179*0.1,"")</f>
        <v/>
      </c>
      <c r="Q4179" s="83" t="str">
        <f aca="false">IF(O4179&lt;&gt;"",O4179+P4179,"")</f>
        <v/>
      </c>
      <c r="R4179" s="84"/>
    </row>
    <row r="4180" customFormat="false" ht="15" hidden="false" customHeight="true" outlineLevel="0" collapsed="false">
      <c r="A4180" s="103"/>
      <c r="B4180" s="73"/>
      <c r="C4180" s="74"/>
      <c r="D4180" s="75"/>
      <c r="E4180" s="52" t="str">
        <f aca="false">IF(D4180&lt;&gt;"",IFERROR(VLOOKUP(D4180,PROVEEDORES!$A:$B,2,0),"!COD NO ENCONTRADO"),"")</f>
        <v/>
      </c>
      <c r="F4180" s="76" t="str">
        <f aca="false">IF(D4180&lt;&gt;"",IFERROR(VLOOKUP(D4180,PROVEEDORES!$A:$C,3,0),""),"")</f>
        <v/>
      </c>
      <c r="G4180" s="75"/>
      <c r="H4180" s="52" t="str">
        <f aca="false">IF(G4180&lt;&gt;"",IFERROR(VLOOKUP(G4180,PRODUCTOS!$A:$B,2,0),"!COD NO ENCONTRADO"),"")</f>
        <v/>
      </c>
      <c r="I4180" s="77"/>
      <c r="J4180" s="78"/>
      <c r="K4180" s="79"/>
      <c r="L4180" s="80" t="str">
        <f aca="false">IF(AND(J4180&lt;&gt;"",K4180&lt;&gt;""),J4180*K4180,"")</f>
        <v/>
      </c>
      <c r="M4180" s="81" t="str">
        <f aca="false">IF(L4180&lt;&gt;"",L4180*1.1,"")</f>
        <v/>
      </c>
      <c r="N4180" s="53" t="n">
        <f aca="false">IF(F4180="S",L4180*0.02,0)</f>
        <v>0</v>
      </c>
      <c r="O4180" s="82" t="str">
        <f aca="false">IF(L4180&lt;&gt;"",L4180+N4180,"")</f>
        <v/>
      </c>
      <c r="P4180" s="53" t="str">
        <f aca="false">IF(O4180&lt;&gt;"",O4180*0.1,"")</f>
        <v/>
      </c>
      <c r="Q4180" s="83" t="str">
        <f aca="false">IF(O4180&lt;&gt;"",O4180+P4180,"")</f>
        <v/>
      </c>
      <c r="R4180" s="84"/>
    </row>
    <row r="4181" customFormat="false" ht="15" hidden="false" customHeight="true" outlineLevel="0" collapsed="false">
      <c r="A4181" s="103"/>
      <c r="B4181" s="85"/>
      <c r="C4181" s="86"/>
      <c r="D4181" s="87"/>
      <c r="E4181" s="46" t="str">
        <f aca="false">IF(D4181&lt;&gt;"",IFERROR(VLOOKUP(D4181,PROVEEDORES!$A:$B,2,0),"!COD NO ENCONTRADO"),"")</f>
        <v/>
      </c>
      <c r="F4181" s="88" t="str">
        <f aca="false">IF(D4181&lt;&gt;"",IFERROR(VLOOKUP(D4181,PROVEEDORES!$A:$C,3,0),""),"")</f>
        <v/>
      </c>
      <c r="G4181" s="87"/>
      <c r="H4181" s="46" t="str">
        <f aca="false">IF(G4181&lt;&gt;"",IFERROR(VLOOKUP(G4181,PRODUCTOS!$A:$B,2,0),"!COD NO ENCONTRADO"),"")</f>
        <v/>
      </c>
      <c r="I4181" s="89"/>
      <c r="J4181" s="90"/>
      <c r="K4181" s="91"/>
      <c r="L4181" s="80" t="str">
        <f aca="false">IF(AND(J4181&lt;&gt;"",K4181&lt;&gt;""),J4181*K4181,"")</f>
        <v/>
      </c>
      <c r="M4181" s="81" t="str">
        <f aca="false">IF(L4181&lt;&gt;"",L4181*1.1,"")</f>
        <v/>
      </c>
      <c r="N4181" s="47" t="n">
        <f aca="false">IF(F4181="S",L4181*0.02,0)</f>
        <v>0</v>
      </c>
      <c r="O4181" s="82" t="str">
        <f aca="false">IF(L4181&lt;&gt;"",L4181+N4181,"")</f>
        <v/>
      </c>
      <c r="P4181" s="47" t="str">
        <f aca="false">IF(O4181&lt;&gt;"",O4181*0.1,"")</f>
        <v/>
      </c>
      <c r="Q4181" s="83" t="str">
        <f aca="false">IF(O4181&lt;&gt;"",O4181+P4181,"")</f>
        <v/>
      </c>
      <c r="R4181" s="84"/>
    </row>
    <row r="4182" customFormat="false" ht="15" hidden="false" customHeight="true" outlineLevel="0" collapsed="false">
      <c r="A4182" s="103"/>
      <c r="B4182" s="73"/>
      <c r="C4182" s="74"/>
      <c r="D4182" s="75"/>
      <c r="E4182" s="52" t="str">
        <f aca="false">IF(D4182&lt;&gt;"",IFERROR(VLOOKUP(D4182,PROVEEDORES!$A:$B,2,0),"!COD NO ENCONTRADO"),"")</f>
        <v/>
      </c>
      <c r="F4182" s="76" t="str">
        <f aca="false">IF(D4182&lt;&gt;"",IFERROR(VLOOKUP(D4182,PROVEEDORES!$A:$C,3,0),""),"")</f>
        <v/>
      </c>
      <c r="G4182" s="75"/>
      <c r="H4182" s="52" t="str">
        <f aca="false">IF(G4182&lt;&gt;"",IFERROR(VLOOKUP(G4182,PRODUCTOS!$A:$B,2,0),"!COD NO ENCONTRADO"),"")</f>
        <v/>
      </c>
      <c r="I4182" s="77"/>
      <c r="J4182" s="78"/>
      <c r="K4182" s="79"/>
      <c r="L4182" s="80" t="str">
        <f aca="false">IF(AND(J4182&lt;&gt;"",K4182&lt;&gt;""),J4182*K4182,"")</f>
        <v/>
      </c>
      <c r="M4182" s="81" t="str">
        <f aca="false">IF(L4182&lt;&gt;"",L4182*1.1,"")</f>
        <v/>
      </c>
      <c r="N4182" s="53" t="n">
        <f aca="false">IF(F4182="S",L4182*0.02,0)</f>
        <v>0</v>
      </c>
      <c r="O4182" s="82" t="str">
        <f aca="false">IF(L4182&lt;&gt;"",L4182+N4182,"")</f>
        <v/>
      </c>
      <c r="P4182" s="53" t="str">
        <f aca="false">IF(O4182&lt;&gt;"",O4182*0.1,"")</f>
        <v/>
      </c>
      <c r="Q4182" s="83" t="str">
        <f aca="false">IF(O4182&lt;&gt;"",O4182+P4182,"")</f>
        <v/>
      </c>
      <c r="R4182" s="84"/>
    </row>
    <row r="4183" customFormat="false" ht="15" hidden="false" customHeight="true" outlineLevel="0" collapsed="false">
      <c r="A4183" s="103"/>
      <c r="B4183" s="85"/>
      <c r="C4183" s="86"/>
      <c r="D4183" s="87"/>
      <c r="E4183" s="46" t="str">
        <f aca="false">IF(D4183&lt;&gt;"",IFERROR(VLOOKUP(D4183,PROVEEDORES!$A:$B,2,0),"!COD NO ENCONTRADO"),"")</f>
        <v/>
      </c>
      <c r="F4183" s="88" t="str">
        <f aca="false">IF(D4183&lt;&gt;"",IFERROR(VLOOKUP(D4183,PROVEEDORES!$A:$C,3,0),""),"")</f>
        <v/>
      </c>
      <c r="G4183" s="87"/>
      <c r="H4183" s="46" t="str">
        <f aca="false">IF(G4183&lt;&gt;"",IFERROR(VLOOKUP(G4183,PRODUCTOS!$A:$B,2,0),"!COD NO ENCONTRADO"),"")</f>
        <v/>
      </c>
      <c r="I4183" s="89"/>
      <c r="J4183" s="90"/>
      <c r="K4183" s="91"/>
      <c r="L4183" s="80" t="str">
        <f aca="false">IF(AND(J4183&lt;&gt;"",K4183&lt;&gt;""),J4183*K4183,"")</f>
        <v/>
      </c>
      <c r="M4183" s="81" t="str">
        <f aca="false">IF(L4183&lt;&gt;"",L4183*1.1,"")</f>
        <v/>
      </c>
      <c r="N4183" s="47" t="n">
        <f aca="false">IF(F4183="S",L4183*0.02,0)</f>
        <v>0</v>
      </c>
      <c r="O4183" s="82" t="str">
        <f aca="false">IF(L4183&lt;&gt;"",L4183+N4183,"")</f>
        <v/>
      </c>
      <c r="P4183" s="47" t="str">
        <f aca="false">IF(O4183&lt;&gt;"",O4183*0.1,"")</f>
        <v/>
      </c>
      <c r="Q4183" s="83" t="str">
        <f aca="false">IF(O4183&lt;&gt;"",O4183+P4183,"")</f>
        <v/>
      </c>
      <c r="R4183" s="84"/>
    </row>
    <row r="4184" customFormat="false" ht="15" hidden="false" customHeight="true" outlineLevel="0" collapsed="false">
      <c r="A4184" s="103"/>
      <c r="B4184" s="73"/>
      <c r="C4184" s="74"/>
      <c r="D4184" s="75"/>
      <c r="E4184" s="52" t="str">
        <f aca="false">IF(D4184&lt;&gt;"",IFERROR(VLOOKUP(D4184,PROVEEDORES!$A:$B,2,0),"!COD NO ENCONTRADO"),"")</f>
        <v/>
      </c>
      <c r="F4184" s="76" t="str">
        <f aca="false">IF(D4184&lt;&gt;"",IFERROR(VLOOKUP(D4184,PROVEEDORES!$A:$C,3,0),""),"")</f>
        <v/>
      </c>
      <c r="G4184" s="75"/>
      <c r="H4184" s="52" t="str">
        <f aca="false">IF(G4184&lt;&gt;"",IFERROR(VLOOKUP(G4184,PRODUCTOS!$A:$B,2,0),"!COD NO ENCONTRADO"),"")</f>
        <v/>
      </c>
      <c r="I4184" s="77"/>
      <c r="J4184" s="78"/>
      <c r="K4184" s="79"/>
      <c r="L4184" s="80" t="str">
        <f aca="false">IF(AND(J4184&lt;&gt;"",K4184&lt;&gt;""),J4184*K4184,"")</f>
        <v/>
      </c>
      <c r="M4184" s="81" t="str">
        <f aca="false">IF(L4184&lt;&gt;"",L4184*1.1,"")</f>
        <v/>
      </c>
      <c r="N4184" s="53" t="n">
        <f aca="false">IF(F4184="S",L4184*0.02,0)</f>
        <v>0</v>
      </c>
      <c r="O4184" s="82" t="str">
        <f aca="false">IF(L4184&lt;&gt;"",L4184+N4184,"")</f>
        <v/>
      </c>
      <c r="P4184" s="53" t="str">
        <f aca="false">IF(O4184&lt;&gt;"",O4184*0.1,"")</f>
        <v/>
      </c>
      <c r="Q4184" s="83" t="str">
        <f aca="false">IF(O4184&lt;&gt;"",O4184+P4184,"")</f>
        <v/>
      </c>
      <c r="R4184" s="84"/>
    </row>
    <row r="4185" customFormat="false" ht="15" hidden="false" customHeight="true" outlineLevel="0" collapsed="false">
      <c r="A4185" s="103"/>
      <c r="B4185" s="85"/>
      <c r="C4185" s="86"/>
      <c r="D4185" s="87"/>
      <c r="E4185" s="46" t="str">
        <f aca="false">IF(D4185&lt;&gt;"",IFERROR(VLOOKUP(D4185,PROVEEDORES!$A:$B,2,0),"!COD NO ENCONTRADO"),"")</f>
        <v/>
      </c>
      <c r="F4185" s="88" t="str">
        <f aca="false">IF(D4185&lt;&gt;"",IFERROR(VLOOKUP(D4185,PROVEEDORES!$A:$C,3,0),""),"")</f>
        <v/>
      </c>
      <c r="G4185" s="87"/>
      <c r="H4185" s="46" t="str">
        <f aca="false">IF(G4185&lt;&gt;"",IFERROR(VLOOKUP(G4185,PRODUCTOS!$A:$B,2,0),"!COD NO ENCONTRADO"),"")</f>
        <v/>
      </c>
      <c r="I4185" s="89"/>
      <c r="J4185" s="90"/>
      <c r="K4185" s="91"/>
      <c r="L4185" s="80" t="str">
        <f aca="false">IF(AND(J4185&lt;&gt;"",K4185&lt;&gt;""),J4185*K4185,"")</f>
        <v/>
      </c>
      <c r="M4185" s="81" t="str">
        <f aca="false">IF(L4185&lt;&gt;"",L4185*1.1,"")</f>
        <v/>
      </c>
      <c r="N4185" s="47" t="n">
        <f aca="false">IF(F4185="S",L4185*0.02,0)</f>
        <v>0</v>
      </c>
      <c r="O4185" s="82" t="str">
        <f aca="false">IF(L4185&lt;&gt;"",L4185+N4185,"")</f>
        <v/>
      </c>
      <c r="P4185" s="47" t="str">
        <f aca="false">IF(O4185&lt;&gt;"",O4185*0.1,"")</f>
        <v/>
      </c>
      <c r="Q4185" s="83" t="str">
        <f aca="false">IF(O4185&lt;&gt;"",O4185+P4185,"")</f>
        <v/>
      </c>
      <c r="R4185" s="84"/>
    </row>
    <row r="4186" customFormat="false" ht="15" hidden="false" customHeight="true" outlineLevel="0" collapsed="false">
      <c r="A4186" s="103"/>
      <c r="B4186" s="73"/>
      <c r="C4186" s="74"/>
      <c r="D4186" s="75"/>
      <c r="E4186" s="52" t="str">
        <f aca="false">IF(D4186&lt;&gt;"",IFERROR(VLOOKUP(D4186,PROVEEDORES!$A:$B,2,0),"!COD NO ENCONTRADO"),"")</f>
        <v/>
      </c>
      <c r="F4186" s="76" t="str">
        <f aca="false">IF(D4186&lt;&gt;"",IFERROR(VLOOKUP(D4186,PROVEEDORES!$A:$C,3,0),""),"")</f>
        <v/>
      </c>
      <c r="G4186" s="75"/>
      <c r="H4186" s="52" t="str">
        <f aca="false">IF(G4186&lt;&gt;"",IFERROR(VLOOKUP(G4186,PRODUCTOS!$A:$B,2,0),"!COD NO ENCONTRADO"),"")</f>
        <v/>
      </c>
      <c r="I4186" s="77"/>
      <c r="J4186" s="78"/>
      <c r="K4186" s="79"/>
      <c r="L4186" s="80" t="str">
        <f aca="false">IF(AND(J4186&lt;&gt;"",K4186&lt;&gt;""),J4186*K4186,"")</f>
        <v/>
      </c>
      <c r="M4186" s="81" t="str">
        <f aca="false">IF(L4186&lt;&gt;"",L4186*1.1,"")</f>
        <v/>
      </c>
      <c r="N4186" s="53" t="n">
        <f aca="false">IF(F4186="S",L4186*0.02,0)</f>
        <v>0</v>
      </c>
      <c r="O4186" s="82" t="str">
        <f aca="false">IF(L4186&lt;&gt;"",L4186+N4186,"")</f>
        <v/>
      </c>
      <c r="P4186" s="53" t="str">
        <f aca="false">IF(O4186&lt;&gt;"",O4186*0.1,"")</f>
        <v/>
      </c>
      <c r="Q4186" s="83" t="str">
        <f aca="false">IF(O4186&lt;&gt;"",O4186+P4186,"")</f>
        <v/>
      </c>
      <c r="R4186" s="84"/>
    </row>
    <row r="4187" customFormat="false" ht="15" hidden="false" customHeight="true" outlineLevel="0" collapsed="false">
      <c r="A4187" s="103"/>
      <c r="B4187" s="85"/>
      <c r="C4187" s="86"/>
      <c r="D4187" s="87"/>
      <c r="E4187" s="46" t="str">
        <f aca="false">IF(D4187&lt;&gt;"",IFERROR(VLOOKUP(D4187,PROVEEDORES!$A:$B,2,0),"!COD NO ENCONTRADO"),"")</f>
        <v/>
      </c>
      <c r="F4187" s="88" t="str">
        <f aca="false">IF(D4187&lt;&gt;"",IFERROR(VLOOKUP(D4187,PROVEEDORES!$A:$C,3,0),""),"")</f>
        <v/>
      </c>
      <c r="G4187" s="87"/>
      <c r="H4187" s="46" t="str">
        <f aca="false">IF(G4187&lt;&gt;"",IFERROR(VLOOKUP(G4187,PRODUCTOS!$A:$B,2,0),"!COD NO ENCONTRADO"),"")</f>
        <v/>
      </c>
      <c r="I4187" s="89"/>
      <c r="J4187" s="90"/>
      <c r="K4187" s="91"/>
      <c r="L4187" s="80" t="str">
        <f aca="false">IF(AND(J4187&lt;&gt;"",K4187&lt;&gt;""),J4187*K4187,"")</f>
        <v/>
      </c>
      <c r="M4187" s="81" t="str">
        <f aca="false">IF(L4187&lt;&gt;"",L4187*1.1,"")</f>
        <v/>
      </c>
      <c r="N4187" s="47" t="n">
        <f aca="false">IF(F4187="S",L4187*0.02,0)</f>
        <v>0</v>
      </c>
      <c r="O4187" s="82" t="str">
        <f aca="false">IF(L4187&lt;&gt;"",L4187+N4187,"")</f>
        <v/>
      </c>
      <c r="P4187" s="47" t="str">
        <f aca="false">IF(O4187&lt;&gt;"",O4187*0.1,"")</f>
        <v/>
      </c>
      <c r="Q4187" s="83" t="str">
        <f aca="false">IF(O4187&lt;&gt;"",O4187+P4187,"")</f>
        <v/>
      </c>
      <c r="R4187" s="84"/>
    </row>
    <row r="4188" customFormat="false" ht="15" hidden="false" customHeight="true" outlineLevel="0" collapsed="false">
      <c r="A4188" s="103"/>
      <c r="B4188" s="73"/>
      <c r="C4188" s="74"/>
      <c r="D4188" s="75"/>
      <c r="E4188" s="52" t="str">
        <f aca="false">IF(D4188&lt;&gt;"",IFERROR(VLOOKUP(D4188,PROVEEDORES!$A:$B,2,0),"!COD NO ENCONTRADO"),"")</f>
        <v/>
      </c>
      <c r="F4188" s="76" t="str">
        <f aca="false">IF(D4188&lt;&gt;"",IFERROR(VLOOKUP(D4188,PROVEEDORES!$A:$C,3,0),""),"")</f>
        <v/>
      </c>
      <c r="G4188" s="75"/>
      <c r="H4188" s="52" t="str">
        <f aca="false">IF(G4188&lt;&gt;"",IFERROR(VLOOKUP(G4188,PRODUCTOS!$A:$B,2,0),"!COD NO ENCONTRADO"),"")</f>
        <v/>
      </c>
      <c r="I4188" s="77"/>
      <c r="J4188" s="78"/>
      <c r="K4188" s="79"/>
      <c r="L4188" s="80" t="str">
        <f aca="false">IF(AND(J4188&lt;&gt;"",K4188&lt;&gt;""),J4188*K4188,"")</f>
        <v/>
      </c>
      <c r="M4188" s="81" t="str">
        <f aca="false">IF(L4188&lt;&gt;"",L4188*1.1,"")</f>
        <v/>
      </c>
      <c r="N4188" s="53" t="n">
        <f aca="false">IF(F4188="S",L4188*0.02,0)</f>
        <v>0</v>
      </c>
      <c r="O4188" s="82" t="str">
        <f aca="false">IF(L4188&lt;&gt;"",L4188+N4188,"")</f>
        <v/>
      </c>
      <c r="P4188" s="53" t="str">
        <f aca="false">IF(O4188&lt;&gt;"",O4188*0.1,"")</f>
        <v/>
      </c>
      <c r="Q4188" s="83" t="str">
        <f aca="false">IF(O4188&lt;&gt;"",O4188+P4188,"")</f>
        <v/>
      </c>
      <c r="R4188" s="84"/>
    </row>
    <row r="4189" customFormat="false" ht="15" hidden="false" customHeight="true" outlineLevel="0" collapsed="false">
      <c r="A4189" s="103"/>
      <c r="B4189" s="85"/>
      <c r="C4189" s="86"/>
      <c r="D4189" s="87"/>
      <c r="E4189" s="46" t="str">
        <f aca="false">IF(D4189&lt;&gt;"",IFERROR(VLOOKUP(D4189,PROVEEDORES!$A:$B,2,0),"!COD NO ENCONTRADO"),"")</f>
        <v/>
      </c>
      <c r="F4189" s="88" t="str">
        <f aca="false">IF(D4189&lt;&gt;"",IFERROR(VLOOKUP(D4189,PROVEEDORES!$A:$C,3,0),""),"")</f>
        <v/>
      </c>
      <c r="G4189" s="87"/>
      <c r="H4189" s="46" t="str">
        <f aca="false">IF(G4189&lt;&gt;"",IFERROR(VLOOKUP(G4189,PRODUCTOS!$A:$B,2,0),"!COD NO ENCONTRADO"),"")</f>
        <v/>
      </c>
      <c r="I4189" s="89"/>
      <c r="J4189" s="90"/>
      <c r="K4189" s="91"/>
      <c r="L4189" s="80" t="str">
        <f aca="false">IF(AND(J4189&lt;&gt;"",K4189&lt;&gt;""),J4189*K4189,"")</f>
        <v/>
      </c>
      <c r="M4189" s="81" t="str">
        <f aca="false">IF(L4189&lt;&gt;"",L4189*1.1,"")</f>
        <v/>
      </c>
      <c r="N4189" s="47" t="n">
        <f aca="false">IF(F4189="S",L4189*0.02,0)</f>
        <v>0</v>
      </c>
      <c r="O4189" s="82" t="str">
        <f aca="false">IF(L4189&lt;&gt;"",L4189+N4189,"")</f>
        <v/>
      </c>
      <c r="P4189" s="47" t="str">
        <f aca="false">IF(O4189&lt;&gt;"",O4189*0.1,"")</f>
        <v/>
      </c>
      <c r="Q4189" s="83" t="str">
        <f aca="false">IF(O4189&lt;&gt;"",O4189+P4189,"")</f>
        <v/>
      </c>
      <c r="R4189" s="84"/>
    </row>
    <row r="4190" customFormat="false" ht="15" hidden="false" customHeight="true" outlineLevel="0" collapsed="false">
      <c r="A4190" s="103"/>
      <c r="B4190" s="73"/>
      <c r="C4190" s="74"/>
      <c r="D4190" s="75"/>
      <c r="E4190" s="52" t="str">
        <f aca="false">IF(D4190&lt;&gt;"",IFERROR(VLOOKUP(D4190,PROVEEDORES!$A:$B,2,0),"!COD NO ENCONTRADO"),"")</f>
        <v/>
      </c>
      <c r="F4190" s="76" t="str">
        <f aca="false">IF(D4190&lt;&gt;"",IFERROR(VLOOKUP(D4190,PROVEEDORES!$A:$C,3,0),""),"")</f>
        <v/>
      </c>
      <c r="G4190" s="75"/>
      <c r="H4190" s="52" t="str">
        <f aca="false">IF(G4190&lt;&gt;"",IFERROR(VLOOKUP(G4190,PRODUCTOS!$A:$B,2,0),"!COD NO ENCONTRADO"),"")</f>
        <v/>
      </c>
      <c r="I4190" s="77"/>
      <c r="J4190" s="78"/>
      <c r="K4190" s="79"/>
      <c r="L4190" s="80" t="str">
        <f aca="false">IF(AND(J4190&lt;&gt;"",K4190&lt;&gt;""),J4190*K4190,"")</f>
        <v/>
      </c>
      <c r="M4190" s="81" t="str">
        <f aca="false">IF(L4190&lt;&gt;"",L4190*1.1,"")</f>
        <v/>
      </c>
      <c r="N4190" s="53" t="n">
        <f aca="false">IF(F4190="S",L4190*0.02,0)</f>
        <v>0</v>
      </c>
      <c r="O4190" s="82" t="str">
        <f aca="false">IF(L4190&lt;&gt;"",L4190+N4190,"")</f>
        <v/>
      </c>
      <c r="P4190" s="53" t="str">
        <f aca="false">IF(O4190&lt;&gt;"",O4190*0.1,"")</f>
        <v/>
      </c>
      <c r="Q4190" s="83" t="str">
        <f aca="false">IF(O4190&lt;&gt;"",O4190+P4190,"")</f>
        <v/>
      </c>
      <c r="R4190" s="84"/>
    </row>
    <row r="4191" customFormat="false" ht="15" hidden="false" customHeight="true" outlineLevel="0" collapsed="false">
      <c r="A4191" s="103"/>
      <c r="B4191" s="85"/>
      <c r="C4191" s="86"/>
      <c r="D4191" s="87"/>
      <c r="E4191" s="46" t="str">
        <f aca="false">IF(D4191&lt;&gt;"",IFERROR(VLOOKUP(D4191,PROVEEDORES!$A:$B,2,0),"!COD NO ENCONTRADO"),"")</f>
        <v/>
      </c>
      <c r="F4191" s="88" t="str">
        <f aca="false">IF(D4191&lt;&gt;"",IFERROR(VLOOKUP(D4191,PROVEEDORES!$A:$C,3,0),""),"")</f>
        <v/>
      </c>
      <c r="G4191" s="87"/>
      <c r="H4191" s="46" t="str">
        <f aca="false">IF(G4191&lt;&gt;"",IFERROR(VLOOKUP(G4191,PRODUCTOS!$A:$B,2,0),"!COD NO ENCONTRADO"),"")</f>
        <v/>
      </c>
      <c r="I4191" s="89"/>
      <c r="J4191" s="90"/>
      <c r="K4191" s="91"/>
      <c r="L4191" s="80" t="str">
        <f aca="false">IF(AND(J4191&lt;&gt;"",K4191&lt;&gt;""),J4191*K4191,"")</f>
        <v/>
      </c>
      <c r="M4191" s="81" t="str">
        <f aca="false">IF(L4191&lt;&gt;"",L4191*1.1,"")</f>
        <v/>
      </c>
      <c r="N4191" s="47" t="n">
        <f aca="false">IF(F4191="S",L4191*0.02,0)</f>
        <v>0</v>
      </c>
      <c r="O4191" s="82" t="str">
        <f aca="false">IF(L4191&lt;&gt;"",L4191+N4191,"")</f>
        <v/>
      </c>
      <c r="P4191" s="47" t="str">
        <f aca="false">IF(O4191&lt;&gt;"",O4191*0.1,"")</f>
        <v/>
      </c>
      <c r="Q4191" s="83" t="str">
        <f aca="false">IF(O4191&lt;&gt;"",O4191+P4191,"")</f>
        <v/>
      </c>
      <c r="R4191" s="84"/>
    </row>
    <row r="4192" customFormat="false" ht="15" hidden="false" customHeight="true" outlineLevel="0" collapsed="false">
      <c r="A4192" s="103"/>
      <c r="B4192" s="73"/>
      <c r="C4192" s="74"/>
      <c r="D4192" s="75"/>
      <c r="E4192" s="52" t="str">
        <f aca="false">IF(D4192&lt;&gt;"",IFERROR(VLOOKUP(D4192,PROVEEDORES!$A:$B,2,0),"!COD NO ENCONTRADO"),"")</f>
        <v/>
      </c>
      <c r="F4192" s="76" t="str">
        <f aca="false">IF(D4192&lt;&gt;"",IFERROR(VLOOKUP(D4192,PROVEEDORES!$A:$C,3,0),""),"")</f>
        <v/>
      </c>
      <c r="G4192" s="75"/>
      <c r="H4192" s="52" t="str">
        <f aca="false">IF(G4192&lt;&gt;"",IFERROR(VLOOKUP(G4192,PRODUCTOS!$A:$B,2,0),"!COD NO ENCONTRADO"),"")</f>
        <v/>
      </c>
      <c r="I4192" s="77"/>
      <c r="J4192" s="78"/>
      <c r="K4192" s="79"/>
      <c r="L4192" s="80" t="str">
        <f aca="false">IF(AND(J4192&lt;&gt;"",K4192&lt;&gt;""),J4192*K4192,"")</f>
        <v/>
      </c>
      <c r="M4192" s="81" t="str">
        <f aca="false">IF(L4192&lt;&gt;"",L4192*1.1,"")</f>
        <v/>
      </c>
      <c r="N4192" s="53" t="n">
        <f aca="false">IF(F4192="S",L4192*0.02,0)</f>
        <v>0</v>
      </c>
      <c r="O4192" s="82" t="str">
        <f aca="false">IF(L4192&lt;&gt;"",L4192+N4192,"")</f>
        <v/>
      </c>
      <c r="P4192" s="53" t="str">
        <f aca="false">IF(O4192&lt;&gt;"",O4192*0.1,"")</f>
        <v/>
      </c>
      <c r="Q4192" s="83" t="str">
        <f aca="false">IF(O4192&lt;&gt;"",O4192+P4192,"")</f>
        <v/>
      </c>
      <c r="R4192" s="84"/>
    </row>
    <row r="4193" customFormat="false" ht="15" hidden="false" customHeight="true" outlineLevel="0" collapsed="false">
      <c r="A4193" s="103"/>
      <c r="B4193" s="85"/>
      <c r="C4193" s="86"/>
      <c r="D4193" s="87"/>
      <c r="E4193" s="46" t="str">
        <f aca="false">IF(D4193&lt;&gt;"",IFERROR(VLOOKUP(D4193,PROVEEDORES!$A:$B,2,0),"!COD NO ENCONTRADO"),"")</f>
        <v/>
      </c>
      <c r="F4193" s="88" t="str">
        <f aca="false">IF(D4193&lt;&gt;"",IFERROR(VLOOKUP(D4193,PROVEEDORES!$A:$C,3,0),""),"")</f>
        <v/>
      </c>
      <c r="G4193" s="87"/>
      <c r="H4193" s="46" t="str">
        <f aca="false">IF(G4193&lt;&gt;"",IFERROR(VLOOKUP(G4193,PRODUCTOS!$A:$B,2,0),"!COD NO ENCONTRADO"),"")</f>
        <v/>
      </c>
      <c r="I4193" s="89"/>
      <c r="J4193" s="90"/>
      <c r="K4193" s="91"/>
      <c r="L4193" s="80" t="str">
        <f aca="false">IF(AND(J4193&lt;&gt;"",K4193&lt;&gt;""),J4193*K4193,"")</f>
        <v/>
      </c>
      <c r="M4193" s="81" t="str">
        <f aca="false">IF(L4193&lt;&gt;"",L4193*1.1,"")</f>
        <v/>
      </c>
      <c r="N4193" s="47" t="n">
        <f aca="false">IF(F4193="S",L4193*0.02,0)</f>
        <v>0</v>
      </c>
      <c r="O4193" s="82" t="str">
        <f aca="false">IF(L4193&lt;&gt;"",L4193+N4193,"")</f>
        <v/>
      </c>
      <c r="P4193" s="47" t="str">
        <f aca="false">IF(O4193&lt;&gt;"",O4193*0.1,"")</f>
        <v/>
      </c>
      <c r="Q4193" s="83" t="str">
        <f aca="false">IF(O4193&lt;&gt;"",O4193+P4193,"")</f>
        <v/>
      </c>
      <c r="R4193" s="84"/>
    </row>
    <row r="4194" customFormat="false" ht="15" hidden="false" customHeight="true" outlineLevel="0" collapsed="false">
      <c r="A4194" s="103"/>
      <c r="B4194" s="73"/>
      <c r="C4194" s="74"/>
      <c r="D4194" s="75"/>
      <c r="E4194" s="52" t="str">
        <f aca="false">IF(D4194&lt;&gt;"",IFERROR(VLOOKUP(D4194,PROVEEDORES!$A:$B,2,0),"!COD NO ENCONTRADO"),"")</f>
        <v/>
      </c>
      <c r="F4194" s="76" t="str">
        <f aca="false">IF(D4194&lt;&gt;"",IFERROR(VLOOKUP(D4194,PROVEEDORES!$A:$C,3,0),""),"")</f>
        <v/>
      </c>
      <c r="G4194" s="75"/>
      <c r="H4194" s="52" t="str">
        <f aca="false">IF(G4194&lt;&gt;"",IFERROR(VLOOKUP(G4194,PRODUCTOS!$A:$B,2,0),"!COD NO ENCONTRADO"),"")</f>
        <v/>
      </c>
      <c r="I4194" s="77"/>
      <c r="J4194" s="78"/>
      <c r="K4194" s="79"/>
      <c r="L4194" s="80" t="str">
        <f aca="false">IF(AND(J4194&lt;&gt;"",K4194&lt;&gt;""),J4194*K4194,"")</f>
        <v/>
      </c>
      <c r="M4194" s="81" t="str">
        <f aca="false">IF(L4194&lt;&gt;"",L4194*1.1,"")</f>
        <v/>
      </c>
      <c r="N4194" s="53" t="n">
        <f aca="false">IF(F4194="S",L4194*0.02,0)</f>
        <v>0</v>
      </c>
      <c r="O4194" s="82" t="str">
        <f aca="false">IF(L4194&lt;&gt;"",L4194+N4194,"")</f>
        <v/>
      </c>
      <c r="P4194" s="53" t="str">
        <f aca="false">IF(O4194&lt;&gt;"",O4194*0.1,"")</f>
        <v/>
      </c>
      <c r="Q4194" s="83" t="str">
        <f aca="false">IF(O4194&lt;&gt;"",O4194+P4194,"")</f>
        <v/>
      </c>
      <c r="R4194" s="84"/>
    </row>
    <row r="4195" customFormat="false" ht="15" hidden="false" customHeight="true" outlineLevel="0" collapsed="false">
      <c r="A4195" s="103"/>
      <c r="B4195" s="85"/>
      <c r="C4195" s="86"/>
      <c r="D4195" s="87"/>
      <c r="E4195" s="46" t="str">
        <f aca="false">IF(D4195&lt;&gt;"",IFERROR(VLOOKUP(D4195,PROVEEDORES!$A:$B,2,0),"!COD NO ENCONTRADO"),"")</f>
        <v/>
      </c>
      <c r="F4195" s="88" t="str">
        <f aca="false">IF(D4195&lt;&gt;"",IFERROR(VLOOKUP(D4195,PROVEEDORES!$A:$C,3,0),""),"")</f>
        <v/>
      </c>
      <c r="G4195" s="87"/>
      <c r="H4195" s="46" t="str">
        <f aca="false">IF(G4195&lt;&gt;"",IFERROR(VLOOKUP(G4195,PRODUCTOS!$A:$B,2,0),"!COD NO ENCONTRADO"),"")</f>
        <v/>
      </c>
      <c r="I4195" s="89"/>
      <c r="J4195" s="90"/>
      <c r="K4195" s="91"/>
      <c r="L4195" s="80" t="str">
        <f aca="false">IF(AND(J4195&lt;&gt;"",K4195&lt;&gt;""),J4195*K4195,"")</f>
        <v/>
      </c>
      <c r="M4195" s="81" t="str">
        <f aca="false">IF(L4195&lt;&gt;"",L4195*1.1,"")</f>
        <v/>
      </c>
      <c r="N4195" s="47" t="n">
        <f aca="false">IF(F4195="S",L4195*0.02,0)</f>
        <v>0</v>
      </c>
      <c r="O4195" s="82" t="str">
        <f aca="false">IF(L4195&lt;&gt;"",L4195+N4195,"")</f>
        <v/>
      </c>
      <c r="P4195" s="47" t="str">
        <f aca="false">IF(O4195&lt;&gt;"",O4195*0.1,"")</f>
        <v/>
      </c>
      <c r="Q4195" s="83" t="str">
        <f aca="false">IF(O4195&lt;&gt;"",O4195+P4195,"")</f>
        <v/>
      </c>
      <c r="R4195" s="84"/>
    </row>
    <row r="4196" customFormat="false" ht="15" hidden="false" customHeight="true" outlineLevel="0" collapsed="false">
      <c r="A4196" s="103"/>
      <c r="B4196" s="73"/>
      <c r="C4196" s="74"/>
      <c r="D4196" s="75"/>
      <c r="E4196" s="52" t="str">
        <f aca="false">IF(D4196&lt;&gt;"",IFERROR(VLOOKUP(D4196,PROVEEDORES!$A:$B,2,0),"!COD NO ENCONTRADO"),"")</f>
        <v/>
      </c>
      <c r="F4196" s="76" t="str">
        <f aca="false">IF(D4196&lt;&gt;"",IFERROR(VLOOKUP(D4196,PROVEEDORES!$A:$C,3,0),""),"")</f>
        <v/>
      </c>
      <c r="G4196" s="75"/>
      <c r="H4196" s="52" t="str">
        <f aca="false">IF(G4196&lt;&gt;"",IFERROR(VLOOKUP(G4196,PRODUCTOS!$A:$B,2,0),"!COD NO ENCONTRADO"),"")</f>
        <v/>
      </c>
      <c r="I4196" s="77"/>
      <c r="J4196" s="78"/>
      <c r="K4196" s="79"/>
      <c r="L4196" s="80" t="str">
        <f aca="false">IF(AND(J4196&lt;&gt;"",K4196&lt;&gt;""),J4196*K4196,"")</f>
        <v/>
      </c>
      <c r="M4196" s="81" t="str">
        <f aca="false">IF(L4196&lt;&gt;"",L4196*1.1,"")</f>
        <v/>
      </c>
      <c r="N4196" s="53" t="n">
        <f aca="false">IF(F4196="S",L4196*0.02,0)</f>
        <v>0</v>
      </c>
      <c r="O4196" s="82" t="str">
        <f aca="false">IF(L4196&lt;&gt;"",L4196+N4196,"")</f>
        <v/>
      </c>
      <c r="P4196" s="53" t="str">
        <f aca="false">IF(O4196&lt;&gt;"",O4196*0.1,"")</f>
        <v/>
      </c>
      <c r="Q4196" s="83" t="str">
        <f aca="false">IF(O4196&lt;&gt;"",O4196+P4196,"")</f>
        <v/>
      </c>
      <c r="R4196" s="84"/>
    </row>
    <row r="4197" customFormat="false" ht="15" hidden="false" customHeight="true" outlineLevel="0" collapsed="false">
      <c r="A4197" s="103"/>
      <c r="B4197" s="85"/>
      <c r="C4197" s="86"/>
      <c r="D4197" s="87"/>
      <c r="E4197" s="46" t="str">
        <f aca="false">IF(D4197&lt;&gt;"",IFERROR(VLOOKUP(D4197,PROVEEDORES!$A:$B,2,0),"!COD NO ENCONTRADO"),"")</f>
        <v/>
      </c>
      <c r="F4197" s="88" t="str">
        <f aca="false">IF(D4197&lt;&gt;"",IFERROR(VLOOKUP(D4197,PROVEEDORES!$A:$C,3,0),""),"")</f>
        <v/>
      </c>
      <c r="G4197" s="87"/>
      <c r="H4197" s="46" t="str">
        <f aca="false">IF(G4197&lt;&gt;"",IFERROR(VLOOKUP(G4197,PRODUCTOS!$A:$B,2,0),"!COD NO ENCONTRADO"),"")</f>
        <v/>
      </c>
      <c r="I4197" s="89"/>
      <c r="J4197" s="90"/>
      <c r="K4197" s="91"/>
      <c r="L4197" s="80" t="str">
        <f aca="false">IF(AND(J4197&lt;&gt;"",K4197&lt;&gt;""),J4197*K4197,"")</f>
        <v/>
      </c>
      <c r="M4197" s="81" t="str">
        <f aca="false">IF(L4197&lt;&gt;"",L4197*1.1,"")</f>
        <v/>
      </c>
      <c r="N4197" s="47" t="n">
        <f aca="false">IF(F4197="S",L4197*0.02,0)</f>
        <v>0</v>
      </c>
      <c r="O4197" s="82" t="str">
        <f aca="false">IF(L4197&lt;&gt;"",L4197+N4197,"")</f>
        <v/>
      </c>
      <c r="P4197" s="47" t="str">
        <f aca="false">IF(O4197&lt;&gt;"",O4197*0.1,"")</f>
        <v/>
      </c>
      <c r="Q4197" s="83" t="str">
        <f aca="false">IF(O4197&lt;&gt;"",O4197+P4197,"")</f>
        <v/>
      </c>
      <c r="R4197" s="84"/>
    </row>
    <row r="4198" customFormat="false" ht="15" hidden="false" customHeight="true" outlineLevel="0" collapsed="false">
      <c r="A4198" s="103"/>
      <c r="B4198" s="73"/>
      <c r="C4198" s="74"/>
      <c r="D4198" s="75"/>
      <c r="E4198" s="52" t="str">
        <f aca="false">IF(D4198&lt;&gt;"",IFERROR(VLOOKUP(D4198,PROVEEDORES!$A:$B,2,0),"!COD NO ENCONTRADO"),"")</f>
        <v/>
      </c>
      <c r="F4198" s="76" t="str">
        <f aca="false">IF(D4198&lt;&gt;"",IFERROR(VLOOKUP(D4198,PROVEEDORES!$A:$C,3,0),""),"")</f>
        <v/>
      </c>
      <c r="G4198" s="75"/>
      <c r="H4198" s="52" t="str">
        <f aca="false">IF(G4198&lt;&gt;"",IFERROR(VLOOKUP(G4198,PRODUCTOS!$A:$B,2,0),"!COD NO ENCONTRADO"),"")</f>
        <v/>
      </c>
      <c r="I4198" s="77"/>
      <c r="J4198" s="78"/>
      <c r="K4198" s="79"/>
      <c r="L4198" s="80" t="str">
        <f aca="false">IF(AND(J4198&lt;&gt;"",K4198&lt;&gt;""),J4198*K4198,"")</f>
        <v/>
      </c>
      <c r="M4198" s="81" t="str">
        <f aca="false">IF(L4198&lt;&gt;"",L4198*1.1,"")</f>
        <v/>
      </c>
      <c r="N4198" s="53" t="n">
        <f aca="false">IF(F4198="S",L4198*0.02,0)</f>
        <v>0</v>
      </c>
      <c r="O4198" s="82" t="str">
        <f aca="false">IF(L4198&lt;&gt;"",L4198+N4198,"")</f>
        <v/>
      </c>
      <c r="P4198" s="53" t="str">
        <f aca="false">IF(O4198&lt;&gt;"",O4198*0.1,"")</f>
        <v/>
      </c>
      <c r="Q4198" s="83" t="str">
        <f aca="false">IF(O4198&lt;&gt;"",O4198+P4198,"")</f>
        <v/>
      </c>
      <c r="R4198" s="84"/>
    </row>
    <row r="4199" customFormat="false" ht="15" hidden="false" customHeight="true" outlineLevel="0" collapsed="false">
      <c r="A4199" s="103"/>
      <c r="B4199" s="85"/>
      <c r="C4199" s="86"/>
      <c r="D4199" s="87"/>
      <c r="E4199" s="46" t="str">
        <f aca="false">IF(D4199&lt;&gt;"",IFERROR(VLOOKUP(D4199,PROVEEDORES!$A:$B,2,0),"!COD NO ENCONTRADO"),"")</f>
        <v/>
      </c>
      <c r="F4199" s="88" t="str">
        <f aca="false">IF(D4199&lt;&gt;"",IFERROR(VLOOKUP(D4199,PROVEEDORES!$A:$C,3,0),""),"")</f>
        <v/>
      </c>
      <c r="G4199" s="87"/>
      <c r="H4199" s="46" t="str">
        <f aca="false">IF(G4199&lt;&gt;"",IFERROR(VLOOKUP(G4199,PRODUCTOS!$A:$B,2,0),"!COD NO ENCONTRADO"),"")</f>
        <v/>
      </c>
      <c r="I4199" s="89"/>
      <c r="J4199" s="90"/>
      <c r="K4199" s="91"/>
      <c r="L4199" s="80" t="str">
        <f aca="false">IF(AND(J4199&lt;&gt;"",K4199&lt;&gt;""),J4199*K4199,"")</f>
        <v/>
      </c>
      <c r="M4199" s="81" t="str">
        <f aca="false">IF(L4199&lt;&gt;"",L4199*1.1,"")</f>
        <v/>
      </c>
      <c r="N4199" s="47" t="n">
        <f aca="false">IF(F4199="S",L4199*0.02,0)</f>
        <v>0</v>
      </c>
      <c r="O4199" s="82" t="str">
        <f aca="false">IF(L4199&lt;&gt;"",L4199+N4199,"")</f>
        <v/>
      </c>
      <c r="P4199" s="47" t="str">
        <f aca="false">IF(O4199&lt;&gt;"",O4199*0.1,"")</f>
        <v/>
      </c>
      <c r="Q4199" s="83" t="str">
        <f aca="false">IF(O4199&lt;&gt;"",O4199+P4199,"")</f>
        <v/>
      </c>
      <c r="R4199" s="84"/>
    </row>
    <row r="4200" customFormat="false" ht="15" hidden="false" customHeight="true" outlineLevel="0" collapsed="false">
      <c r="A4200" s="103"/>
      <c r="B4200" s="73"/>
      <c r="C4200" s="74"/>
      <c r="D4200" s="75"/>
      <c r="E4200" s="52" t="str">
        <f aca="false">IF(D4200&lt;&gt;"",IFERROR(VLOOKUP(D4200,PROVEEDORES!$A:$B,2,0),"!COD NO ENCONTRADO"),"")</f>
        <v/>
      </c>
      <c r="F4200" s="76" t="str">
        <f aca="false">IF(D4200&lt;&gt;"",IFERROR(VLOOKUP(D4200,PROVEEDORES!$A:$C,3,0),""),"")</f>
        <v/>
      </c>
      <c r="G4200" s="75"/>
      <c r="H4200" s="52" t="str">
        <f aca="false">IF(G4200&lt;&gt;"",IFERROR(VLOOKUP(G4200,PRODUCTOS!$A:$B,2,0),"!COD NO ENCONTRADO"),"")</f>
        <v/>
      </c>
      <c r="I4200" s="77"/>
      <c r="J4200" s="78"/>
      <c r="K4200" s="79"/>
      <c r="L4200" s="80" t="str">
        <f aca="false">IF(AND(J4200&lt;&gt;"",K4200&lt;&gt;""),J4200*K4200,"")</f>
        <v/>
      </c>
      <c r="M4200" s="81" t="str">
        <f aca="false">IF(L4200&lt;&gt;"",L4200*1.1,"")</f>
        <v/>
      </c>
      <c r="N4200" s="53" t="n">
        <f aca="false">IF(F4200="S",L4200*0.02,0)</f>
        <v>0</v>
      </c>
      <c r="O4200" s="82" t="str">
        <f aca="false">IF(L4200&lt;&gt;"",L4200+N4200,"")</f>
        <v/>
      </c>
      <c r="P4200" s="53" t="str">
        <f aca="false">IF(O4200&lt;&gt;"",O4200*0.1,"")</f>
        <v/>
      </c>
      <c r="Q4200" s="83" t="str">
        <f aca="false">IF(O4200&lt;&gt;"",O4200+P4200,"")</f>
        <v/>
      </c>
      <c r="R4200" s="84"/>
    </row>
    <row r="4201" customFormat="false" ht="15" hidden="false" customHeight="true" outlineLevel="0" collapsed="false">
      <c r="A4201" s="103"/>
      <c r="B4201" s="85"/>
      <c r="C4201" s="86"/>
      <c r="D4201" s="87"/>
      <c r="E4201" s="46" t="str">
        <f aca="false">IF(D4201&lt;&gt;"",IFERROR(VLOOKUP(D4201,PROVEEDORES!$A:$B,2,0),"!COD NO ENCONTRADO"),"")</f>
        <v/>
      </c>
      <c r="F4201" s="88" t="str">
        <f aca="false">IF(D4201&lt;&gt;"",IFERROR(VLOOKUP(D4201,PROVEEDORES!$A:$C,3,0),""),"")</f>
        <v/>
      </c>
      <c r="G4201" s="87"/>
      <c r="H4201" s="46" t="str">
        <f aca="false">IF(G4201&lt;&gt;"",IFERROR(VLOOKUP(G4201,PRODUCTOS!$A:$B,2,0),"!COD NO ENCONTRADO"),"")</f>
        <v/>
      </c>
      <c r="I4201" s="89"/>
      <c r="J4201" s="90"/>
      <c r="K4201" s="91"/>
      <c r="L4201" s="80" t="str">
        <f aca="false">IF(AND(J4201&lt;&gt;"",K4201&lt;&gt;""),J4201*K4201,"")</f>
        <v/>
      </c>
      <c r="M4201" s="81" t="str">
        <f aca="false">IF(L4201&lt;&gt;"",L4201*1.1,"")</f>
        <v/>
      </c>
      <c r="N4201" s="47" t="n">
        <f aca="false">IF(F4201="S",L4201*0.02,0)</f>
        <v>0</v>
      </c>
      <c r="O4201" s="82" t="str">
        <f aca="false">IF(L4201&lt;&gt;"",L4201+N4201,"")</f>
        <v/>
      </c>
      <c r="P4201" s="47" t="str">
        <f aca="false">IF(O4201&lt;&gt;"",O4201*0.1,"")</f>
        <v/>
      </c>
      <c r="Q4201" s="83" t="str">
        <f aca="false">IF(O4201&lt;&gt;"",O4201+P4201,"")</f>
        <v/>
      </c>
      <c r="R4201" s="84"/>
    </row>
    <row r="4202" customFormat="false" ht="15" hidden="false" customHeight="true" outlineLevel="0" collapsed="false">
      <c r="A4202" s="103"/>
      <c r="B4202" s="73"/>
      <c r="C4202" s="74"/>
      <c r="D4202" s="75"/>
      <c r="E4202" s="52" t="str">
        <f aca="false">IF(D4202&lt;&gt;"",IFERROR(VLOOKUP(D4202,PROVEEDORES!$A:$B,2,0),"!COD NO ENCONTRADO"),"")</f>
        <v/>
      </c>
      <c r="F4202" s="76" t="str">
        <f aca="false">IF(D4202&lt;&gt;"",IFERROR(VLOOKUP(D4202,PROVEEDORES!$A:$C,3,0),""),"")</f>
        <v/>
      </c>
      <c r="G4202" s="75"/>
      <c r="H4202" s="52" t="str">
        <f aca="false">IF(G4202&lt;&gt;"",IFERROR(VLOOKUP(G4202,PRODUCTOS!$A:$B,2,0),"!COD NO ENCONTRADO"),"")</f>
        <v/>
      </c>
      <c r="I4202" s="77"/>
      <c r="J4202" s="78"/>
      <c r="K4202" s="79"/>
      <c r="L4202" s="80" t="str">
        <f aca="false">IF(AND(J4202&lt;&gt;"",K4202&lt;&gt;""),J4202*K4202,"")</f>
        <v/>
      </c>
      <c r="M4202" s="81" t="str">
        <f aca="false">IF(L4202&lt;&gt;"",L4202*1.1,"")</f>
        <v/>
      </c>
      <c r="N4202" s="53" t="n">
        <f aca="false">IF(F4202="S",L4202*0.02,0)</f>
        <v>0</v>
      </c>
      <c r="O4202" s="82" t="str">
        <f aca="false">IF(L4202&lt;&gt;"",L4202+N4202,"")</f>
        <v/>
      </c>
      <c r="P4202" s="53" t="str">
        <f aca="false">IF(O4202&lt;&gt;"",O4202*0.1,"")</f>
        <v/>
      </c>
      <c r="Q4202" s="83" t="str">
        <f aca="false">IF(O4202&lt;&gt;"",O4202+P4202,"")</f>
        <v/>
      </c>
      <c r="R4202" s="84"/>
    </row>
    <row r="4203" customFormat="false" ht="15" hidden="false" customHeight="true" outlineLevel="0" collapsed="false">
      <c r="A4203" s="103"/>
      <c r="B4203" s="85"/>
      <c r="C4203" s="86"/>
      <c r="D4203" s="87"/>
      <c r="E4203" s="46" t="str">
        <f aca="false">IF(D4203&lt;&gt;"",IFERROR(VLOOKUP(D4203,PROVEEDORES!$A:$B,2,0),"!COD NO ENCONTRADO"),"")</f>
        <v/>
      </c>
      <c r="F4203" s="88" t="str">
        <f aca="false">IF(D4203&lt;&gt;"",IFERROR(VLOOKUP(D4203,PROVEEDORES!$A:$C,3,0),""),"")</f>
        <v/>
      </c>
      <c r="G4203" s="87"/>
      <c r="H4203" s="46" t="str">
        <f aca="false">IF(G4203&lt;&gt;"",IFERROR(VLOOKUP(G4203,PRODUCTOS!$A:$B,2,0),"!COD NO ENCONTRADO"),"")</f>
        <v/>
      </c>
      <c r="I4203" s="89"/>
      <c r="J4203" s="90"/>
      <c r="K4203" s="91"/>
      <c r="L4203" s="80" t="str">
        <f aca="false">IF(AND(J4203&lt;&gt;"",K4203&lt;&gt;""),J4203*K4203,"")</f>
        <v/>
      </c>
      <c r="M4203" s="81" t="str">
        <f aca="false">IF(L4203&lt;&gt;"",L4203*1.1,"")</f>
        <v/>
      </c>
      <c r="N4203" s="47" t="n">
        <f aca="false">IF(F4203="S",L4203*0.02,0)</f>
        <v>0</v>
      </c>
      <c r="O4203" s="82" t="str">
        <f aca="false">IF(L4203&lt;&gt;"",L4203+N4203,"")</f>
        <v/>
      </c>
      <c r="P4203" s="47" t="str">
        <f aca="false">IF(O4203&lt;&gt;"",O4203*0.1,"")</f>
        <v/>
      </c>
      <c r="Q4203" s="83" t="str">
        <f aca="false">IF(O4203&lt;&gt;"",O4203+P4203,"")</f>
        <v/>
      </c>
      <c r="R4203" s="84"/>
    </row>
    <row r="4204" customFormat="false" ht="15" hidden="false" customHeight="true" outlineLevel="0" collapsed="false">
      <c r="A4204" s="103"/>
      <c r="B4204" s="73"/>
      <c r="C4204" s="74"/>
      <c r="D4204" s="75"/>
      <c r="E4204" s="52" t="str">
        <f aca="false">IF(D4204&lt;&gt;"",IFERROR(VLOOKUP(D4204,PROVEEDORES!$A:$B,2,0),"!COD NO ENCONTRADO"),"")</f>
        <v/>
      </c>
      <c r="F4204" s="76" t="str">
        <f aca="false">IF(D4204&lt;&gt;"",IFERROR(VLOOKUP(D4204,PROVEEDORES!$A:$C,3,0),""),"")</f>
        <v/>
      </c>
      <c r="G4204" s="75"/>
      <c r="H4204" s="52" t="str">
        <f aca="false">IF(G4204&lt;&gt;"",IFERROR(VLOOKUP(G4204,PRODUCTOS!$A:$B,2,0),"!COD NO ENCONTRADO"),"")</f>
        <v/>
      </c>
      <c r="I4204" s="77"/>
      <c r="J4204" s="78"/>
      <c r="K4204" s="79"/>
      <c r="L4204" s="80" t="str">
        <f aca="false">IF(AND(J4204&lt;&gt;"",K4204&lt;&gt;""),J4204*K4204,"")</f>
        <v/>
      </c>
      <c r="M4204" s="81" t="str">
        <f aca="false">IF(L4204&lt;&gt;"",L4204*1.1,"")</f>
        <v/>
      </c>
      <c r="N4204" s="53" t="n">
        <f aca="false">IF(F4204="S",L4204*0.02,0)</f>
        <v>0</v>
      </c>
      <c r="O4204" s="82" t="str">
        <f aca="false">IF(L4204&lt;&gt;"",L4204+N4204,"")</f>
        <v/>
      </c>
      <c r="P4204" s="53" t="str">
        <f aca="false">IF(O4204&lt;&gt;"",O4204*0.1,"")</f>
        <v/>
      </c>
      <c r="Q4204" s="83" t="str">
        <f aca="false">IF(O4204&lt;&gt;"",O4204+P4204,"")</f>
        <v/>
      </c>
      <c r="R4204" s="84"/>
    </row>
    <row r="4205" customFormat="false" ht="15" hidden="false" customHeight="true" outlineLevel="0" collapsed="false">
      <c r="A4205" s="103"/>
      <c r="B4205" s="85"/>
      <c r="C4205" s="86"/>
      <c r="D4205" s="87"/>
      <c r="E4205" s="46" t="str">
        <f aca="false">IF(D4205&lt;&gt;"",IFERROR(VLOOKUP(D4205,PROVEEDORES!$A:$B,2,0),"!COD NO ENCONTRADO"),"")</f>
        <v/>
      </c>
      <c r="F4205" s="88" t="str">
        <f aca="false">IF(D4205&lt;&gt;"",IFERROR(VLOOKUP(D4205,PROVEEDORES!$A:$C,3,0),""),"")</f>
        <v/>
      </c>
      <c r="G4205" s="87"/>
      <c r="H4205" s="46" t="str">
        <f aca="false">IF(G4205&lt;&gt;"",IFERROR(VLOOKUP(G4205,PRODUCTOS!$A:$B,2,0),"!COD NO ENCONTRADO"),"")</f>
        <v/>
      </c>
      <c r="I4205" s="89"/>
      <c r="J4205" s="90"/>
      <c r="K4205" s="91"/>
      <c r="L4205" s="80" t="str">
        <f aca="false">IF(AND(J4205&lt;&gt;"",K4205&lt;&gt;""),J4205*K4205,"")</f>
        <v/>
      </c>
      <c r="M4205" s="81" t="str">
        <f aca="false">IF(L4205&lt;&gt;"",L4205*1.1,"")</f>
        <v/>
      </c>
      <c r="N4205" s="47" t="n">
        <f aca="false">IF(F4205="S",L4205*0.02,0)</f>
        <v>0</v>
      </c>
      <c r="O4205" s="82" t="str">
        <f aca="false">IF(L4205&lt;&gt;"",L4205+N4205,"")</f>
        <v/>
      </c>
      <c r="P4205" s="47" t="str">
        <f aca="false">IF(O4205&lt;&gt;"",O4205*0.1,"")</f>
        <v/>
      </c>
      <c r="Q4205" s="83" t="str">
        <f aca="false">IF(O4205&lt;&gt;"",O4205+P4205,"")</f>
        <v/>
      </c>
      <c r="R4205" s="84"/>
    </row>
    <row r="4206" customFormat="false" ht="15" hidden="false" customHeight="true" outlineLevel="0" collapsed="false">
      <c r="A4206" s="103"/>
      <c r="B4206" s="73"/>
      <c r="C4206" s="74"/>
      <c r="D4206" s="75"/>
      <c r="E4206" s="52" t="str">
        <f aca="false">IF(D4206&lt;&gt;"",IFERROR(VLOOKUP(D4206,PROVEEDORES!$A:$B,2,0),"!COD NO ENCONTRADO"),"")</f>
        <v/>
      </c>
      <c r="F4206" s="76" t="str">
        <f aca="false">IF(D4206&lt;&gt;"",IFERROR(VLOOKUP(D4206,PROVEEDORES!$A:$C,3,0),""),"")</f>
        <v/>
      </c>
      <c r="G4206" s="75"/>
      <c r="H4206" s="52" t="str">
        <f aca="false">IF(G4206&lt;&gt;"",IFERROR(VLOOKUP(G4206,PRODUCTOS!$A:$B,2,0),"!COD NO ENCONTRADO"),"")</f>
        <v/>
      </c>
      <c r="I4206" s="77"/>
      <c r="J4206" s="78"/>
      <c r="K4206" s="79"/>
      <c r="L4206" s="80" t="str">
        <f aca="false">IF(AND(J4206&lt;&gt;"",K4206&lt;&gt;""),J4206*K4206,"")</f>
        <v/>
      </c>
      <c r="M4206" s="81" t="str">
        <f aca="false">IF(L4206&lt;&gt;"",L4206*1.1,"")</f>
        <v/>
      </c>
      <c r="N4206" s="53" t="n">
        <f aca="false">IF(F4206="S",L4206*0.02,0)</f>
        <v>0</v>
      </c>
      <c r="O4206" s="82" t="str">
        <f aca="false">IF(L4206&lt;&gt;"",L4206+N4206,"")</f>
        <v/>
      </c>
      <c r="P4206" s="53" t="str">
        <f aca="false">IF(O4206&lt;&gt;"",O4206*0.1,"")</f>
        <v/>
      </c>
      <c r="Q4206" s="83" t="str">
        <f aca="false">IF(O4206&lt;&gt;"",O4206+P4206,"")</f>
        <v/>
      </c>
      <c r="R4206" s="84"/>
    </row>
    <row r="4207" customFormat="false" ht="15" hidden="false" customHeight="true" outlineLevel="0" collapsed="false">
      <c r="A4207" s="103"/>
      <c r="B4207" s="85"/>
      <c r="C4207" s="86"/>
      <c r="D4207" s="87"/>
      <c r="E4207" s="46" t="str">
        <f aca="false">IF(D4207&lt;&gt;"",IFERROR(VLOOKUP(D4207,PROVEEDORES!$A:$B,2,0),"!COD NO ENCONTRADO"),"")</f>
        <v/>
      </c>
      <c r="F4207" s="88" t="str">
        <f aca="false">IF(D4207&lt;&gt;"",IFERROR(VLOOKUP(D4207,PROVEEDORES!$A:$C,3,0),""),"")</f>
        <v/>
      </c>
      <c r="G4207" s="87"/>
      <c r="H4207" s="46" t="str">
        <f aca="false">IF(G4207&lt;&gt;"",IFERROR(VLOOKUP(G4207,PRODUCTOS!$A:$B,2,0),"!COD NO ENCONTRADO"),"")</f>
        <v/>
      </c>
      <c r="I4207" s="89"/>
      <c r="J4207" s="90"/>
      <c r="K4207" s="91"/>
      <c r="L4207" s="80" t="str">
        <f aca="false">IF(AND(J4207&lt;&gt;"",K4207&lt;&gt;""),J4207*K4207,"")</f>
        <v/>
      </c>
      <c r="M4207" s="81" t="str">
        <f aca="false">IF(L4207&lt;&gt;"",L4207*1.1,"")</f>
        <v/>
      </c>
      <c r="N4207" s="47" t="n">
        <f aca="false">IF(F4207="S",L4207*0.02,0)</f>
        <v>0</v>
      </c>
      <c r="O4207" s="82" t="str">
        <f aca="false">IF(L4207&lt;&gt;"",L4207+N4207,"")</f>
        <v/>
      </c>
      <c r="P4207" s="47" t="str">
        <f aca="false">IF(O4207&lt;&gt;"",O4207*0.1,"")</f>
        <v/>
      </c>
      <c r="Q4207" s="83" t="str">
        <f aca="false">IF(O4207&lt;&gt;"",O4207+P4207,"")</f>
        <v/>
      </c>
      <c r="R4207" s="84"/>
    </row>
    <row r="4208" customFormat="false" ht="15" hidden="false" customHeight="true" outlineLevel="0" collapsed="false">
      <c r="A4208" s="103"/>
      <c r="B4208" s="73"/>
      <c r="C4208" s="74"/>
      <c r="D4208" s="75"/>
      <c r="E4208" s="52" t="str">
        <f aca="false">IF(D4208&lt;&gt;"",IFERROR(VLOOKUP(D4208,PROVEEDORES!$A:$B,2,0),"!COD NO ENCONTRADO"),"")</f>
        <v/>
      </c>
      <c r="F4208" s="76" t="str">
        <f aca="false">IF(D4208&lt;&gt;"",IFERROR(VLOOKUP(D4208,PROVEEDORES!$A:$C,3,0),""),"")</f>
        <v/>
      </c>
      <c r="G4208" s="75"/>
      <c r="H4208" s="52" t="str">
        <f aca="false">IF(G4208&lt;&gt;"",IFERROR(VLOOKUP(G4208,PRODUCTOS!$A:$B,2,0),"!COD NO ENCONTRADO"),"")</f>
        <v/>
      </c>
      <c r="I4208" s="77"/>
      <c r="J4208" s="78"/>
      <c r="K4208" s="79"/>
      <c r="L4208" s="80" t="str">
        <f aca="false">IF(AND(J4208&lt;&gt;"",K4208&lt;&gt;""),J4208*K4208,"")</f>
        <v/>
      </c>
      <c r="M4208" s="81" t="str">
        <f aca="false">IF(L4208&lt;&gt;"",L4208*1.1,"")</f>
        <v/>
      </c>
      <c r="N4208" s="53" t="n">
        <f aca="false">IF(F4208="S",L4208*0.02,0)</f>
        <v>0</v>
      </c>
      <c r="O4208" s="82" t="str">
        <f aca="false">IF(L4208&lt;&gt;"",L4208+N4208,"")</f>
        <v/>
      </c>
      <c r="P4208" s="53" t="str">
        <f aca="false">IF(O4208&lt;&gt;"",O4208*0.1,"")</f>
        <v/>
      </c>
      <c r="Q4208" s="83" t="str">
        <f aca="false">IF(O4208&lt;&gt;"",O4208+P4208,"")</f>
        <v/>
      </c>
      <c r="R4208" s="84"/>
    </row>
    <row r="4209" customFormat="false" ht="15" hidden="false" customHeight="true" outlineLevel="0" collapsed="false">
      <c r="A4209" s="103"/>
      <c r="B4209" s="85"/>
      <c r="C4209" s="86"/>
      <c r="D4209" s="87"/>
      <c r="E4209" s="46" t="str">
        <f aca="false">IF(D4209&lt;&gt;"",IFERROR(VLOOKUP(D4209,PROVEEDORES!$A:$B,2,0),"!COD NO ENCONTRADO"),"")</f>
        <v/>
      </c>
      <c r="F4209" s="88" t="str">
        <f aca="false">IF(D4209&lt;&gt;"",IFERROR(VLOOKUP(D4209,PROVEEDORES!$A:$C,3,0),""),"")</f>
        <v/>
      </c>
      <c r="G4209" s="87"/>
      <c r="H4209" s="46" t="str">
        <f aca="false">IF(G4209&lt;&gt;"",IFERROR(VLOOKUP(G4209,PRODUCTOS!$A:$B,2,0),"!COD NO ENCONTRADO"),"")</f>
        <v/>
      </c>
      <c r="I4209" s="89"/>
      <c r="J4209" s="90"/>
      <c r="K4209" s="91"/>
      <c r="L4209" s="80" t="str">
        <f aca="false">IF(AND(J4209&lt;&gt;"",K4209&lt;&gt;""),J4209*K4209,"")</f>
        <v/>
      </c>
      <c r="M4209" s="81" t="str">
        <f aca="false">IF(L4209&lt;&gt;"",L4209*1.1,"")</f>
        <v/>
      </c>
      <c r="N4209" s="47" t="n">
        <f aca="false">IF(F4209="S",L4209*0.02,0)</f>
        <v>0</v>
      </c>
      <c r="O4209" s="82" t="str">
        <f aca="false">IF(L4209&lt;&gt;"",L4209+N4209,"")</f>
        <v/>
      </c>
      <c r="P4209" s="47" t="str">
        <f aca="false">IF(O4209&lt;&gt;"",O4209*0.1,"")</f>
        <v/>
      </c>
      <c r="Q4209" s="83" t="str">
        <f aca="false">IF(O4209&lt;&gt;"",O4209+P4209,"")</f>
        <v/>
      </c>
      <c r="R4209" s="84"/>
    </row>
    <row r="4210" customFormat="false" ht="15" hidden="false" customHeight="true" outlineLevel="0" collapsed="false">
      <c r="A4210" s="103"/>
      <c r="B4210" s="73"/>
      <c r="C4210" s="74"/>
      <c r="D4210" s="75"/>
      <c r="E4210" s="52" t="str">
        <f aca="false">IF(D4210&lt;&gt;"",IFERROR(VLOOKUP(D4210,PROVEEDORES!$A:$B,2,0),"!COD NO ENCONTRADO"),"")</f>
        <v/>
      </c>
      <c r="F4210" s="76" t="str">
        <f aca="false">IF(D4210&lt;&gt;"",IFERROR(VLOOKUP(D4210,PROVEEDORES!$A:$C,3,0),""),"")</f>
        <v/>
      </c>
      <c r="G4210" s="75"/>
      <c r="H4210" s="52" t="str">
        <f aca="false">IF(G4210&lt;&gt;"",IFERROR(VLOOKUP(G4210,PRODUCTOS!$A:$B,2,0),"!COD NO ENCONTRADO"),"")</f>
        <v/>
      </c>
      <c r="I4210" s="77"/>
      <c r="J4210" s="78"/>
      <c r="K4210" s="79"/>
      <c r="L4210" s="80" t="str">
        <f aca="false">IF(AND(J4210&lt;&gt;"",K4210&lt;&gt;""),J4210*K4210,"")</f>
        <v/>
      </c>
      <c r="M4210" s="81" t="str">
        <f aca="false">IF(L4210&lt;&gt;"",L4210*1.1,"")</f>
        <v/>
      </c>
      <c r="N4210" s="53" t="n">
        <f aca="false">IF(F4210="S",L4210*0.02,0)</f>
        <v>0</v>
      </c>
      <c r="O4210" s="82" t="str">
        <f aca="false">IF(L4210&lt;&gt;"",L4210+N4210,"")</f>
        <v/>
      </c>
      <c r="P4210" s="53" t="str">
        <f aca="false">IF(O4210&lt;&gt;"",O4210*0.1,"")</f>
        <v/>
      </c>
      <c r="Q4210" s="83" t="str">
        <f aca="false">IF(O4210&lt;&gt;"",O4210+P4210,"")</f>
        <v/>
      </c>
      <c r="R4210" s="84"/>
    </row>
    <row r="4211" customFormat="false" ht="15" hidden="false" customHeight="true" outlineLevel="0" collapsed="false">
      <c r="A4211" s="103"/>
      <c r="B4211" s="85"/>
      <c r="C4211" s="86"/>
      <c r="D4211" s="87"/>
      <c r="E4211" s="46" t="str">
        <f aca="false">IF(D4211&lt;&gt;"",IFERROR(VLOOKUP(D4211,PROVEEDORES!$A:$B,2,0),"!COD NO ENCONTRADO"),"")</f>
        <v/>
      </c>
      <c r="F4211" s="88" t="str">
        <f aca="false">IF(D4211&lt;&gt;"",IFERROR(VLOOKUP(D4211,PROVEEDORES!$A:$C,3,0),""),"")</f>
        <v/>
      </c>
      <c r="G4211" s="87"/>
      <c r="H4211" s="46" t="str">
        <f aca="false">IF(G4211&lt;&gt;"",IFERROR(VLOOKUP(G4211,PRODUCTOS!$A:$B,2,0),"!COD NO ENCONTRADO"),"")</f>
        <v/>
      </c>
      <c r="I4211" s="89"/>
      <c r="J4211" s="90"/>
      <c r="K4211" s="91"/>
      <c r="L4211" s="80" t="str">
        <f aca="false">IF(AND(J4211&lt;&gt;"",K4211&lt;&gt;""),J4211*K4211,"")</f>
        <v/>
      </c>
      <c r="M4211" s="81" t="str">
        <f aca="false">IF(L4211&lt;&gt;"",L4211*1.1,"")</f>
        <v/>
      </c>
      <c r="N4211" s="47" t="n">
        <f aca="false">IF(F4211="S",L4211*0.02,0)</f>
        <v>0</v>
      </c>
      <c r="O4211" s="82" t="str">
        <f aca="false">IF(L4211&lt;&gt;"",L4211+N4211,"")</f>
        <v/>
      </c>
      <c r="P4211" s="47" t="str">
        <f aca="false">IF(O4211&lt;&gt;"",O4211*0.1,"")</f>
        <v/>
      </c>
      <c r="Q4211" s="83" t="str">
        <f aca="false">IF(O4211&lt;&gt;"",O4211+P4211,"")</f>
        <v/>
      </c>
      <c r="R4211" s="84"/>
    </row>
    <row r="4212" customFormat="false" ht="15" hidden="false" customHeight="true" outlineLevel="0" collapsed="false">
      <c r="A4212" s="103"/>
      <c r="B4212" s="73"/>
      <c r="C4212" s="74"/>
      <c r="D4212" s="75"/>
      <c r="E4212" s="52" t="str">
        <f aca="false">IF(D4212&lt;&gt;"",IFERROR(VLOOKUP(D4212,PROVEEDORES!$A:$B,2,0),"!COD NO ENCONTRADO"),"")</f>
        <v/>
      </c>
      <c r="F4212" s="76" t="str">
        <f aca="false">IF(D4212&lt;&gt;"",IFERROR(VLOOKUP(D4212,PROVEEDORES!$A:$C,3,0),""),"")</f>
        <v/>
      </c>
      <c r="G4212" s="75"/>
      <c r="H4212" s="52" t="str">
        <f aca="false">IF(G4212&lt;&gt;"",IFERROR(VLOOKUP(G4212,PRODUCTOS!$A:$B,2,0),"!COD NO ENCONTRADO"),"")</f>
        <v/>
      </c>
      <c r="I4212" s="77"/>
      <c r="J4212" s="78"/>
      <c r="K4212" s="79"/>
      <c r="L4212" s="80" t="str">
        <f aca="false">IF(AND(J4212&lt;&gt;"",K4212&lt;&gt;""),J4212*K4212,"")</f>
        <v/>
      </c>
      <c r="M4212" s="81" t="str">
        <f aca="false">IF(L4212&lt;&gt;"",L4212*1.1,"")</f>
        <v/>
      </c>
      <c r="N4212" s="53" t="n">
        <f aca="false">IF(F4212="S",L4212*0.02,0)</f>
        <v>0</v>
      </c>
      <c r="O4212" s="82" t="str">
        <f aca="false">IF(L4212&lt;&gt;"",L4212+N4212,"")</f>
        <v/>
      </c>
      <c r="P4212" s="53" t="str">
        <f aca="false">IF(O4212&lt;&gt;"",O4212*0.1,"")</f>
        <v/>
      </c>
      <c r="Q4212" s="83" t="str">
        <f aca="false">IF(O4212&lt;&gt;"",O4212+P4212,"")</f>
        <v/>
      </c>
      <c r="R4212" s="84"/>
    </row>
    <row r="4213" customFormat="false" ht="15" hidden="false" customHeight="true" outlineLevel="0" collapsed="false">
      <c r="A4213" s="103"/>
      <c r="B4213" s="85"/>
      <c r="C4213" s="86"/>
      <c r="D4213" s="87"/>
      <c r="E4213" s="46" t="str">
        <f aca="false">IF(D4213&lt;&gt;"",IFERROR(VLOOKUP(D4213,PROVEEDORES!$A:$B,2,0),"!COD NO ENCONTRADO"),"")</f>
        <v/>
      </c>
      <c r="F4213" s="88" t="str">
        <f aca="false">IF(D4213&lt;&gt;"",IFERROR(VLOOKUP(D4213,PROVEEDORES!$A:$C,3,0),""),"")</f>
        <v/>
      </c>
      <c r="G4213" s="87"/>
      <c r="H4213" s="46" t="str">
        <f aca="false">IF(G4213&lt;&gt;"",IFERROR(VLOOKUP(G4213,PRODUCTOS!$A:$B,2,0),"!COD NO ENCONTRADO"),"")</f>
        <v/>
      </c>
      <c r="I4213" s="89"/>
      <c r="J4213" s="90"/>
      <c r="K4213" s="91"/>
      <c r="L4213" s="80" t="str">
        <f aca="false">IF(AND(J4213&lt;&gt;"",K4213&lt;&gt;""),J4213*K4213,"")</f>
        <v/>
      </c>
      <c r="M4213" s="81" t="str">
        <f aca="false">IF(L4213&lt;&gt;"",L4213*1.1,"")</f>
        <v/>
      </c>
      <c r="N4213" s="47" t="n">
        <f aca="false">IF(F4213="S",L4213*0.02,0)</f>
        <v>0</v>
      </c>
      <c r="O4213" s="82" t="str">
        <f aca="false">IF(L4213&lt;&gt;"",L4213+N4213,"")</f>
        <v/>
      </c>
      <c r="P4213" s="47" t="str">
        <f aca="false">IF(O4213&lt;&gt;"",O4213*0.1,"")</f>
        <v/>
      </c>
      <c r="Q4213" s="83" t="str">
        <f aca="false">IF(O4213&lt;&gt;"",O4213+P4213,"")</f>
        <v/>
      </c>
      <c r="R4213" s="84"/>
    </row>
    <row r="4214" customFormat="false" ht="15" hidden="false" customHeight="true" outlineLevel="0" collapsed="false">
      <c r="A4214" s="103"/>
      <c r="B4214" s="73"/>
      <c r="C4214" s="74"/>
      <c r="D4214" s="75"/>
      <c r="E4214" s="52" t="str">
        <f aca="false">IF(D4214&lt;&gt;"",IFERROR(VLOOKUP(D4214,PROVEEDORES!$A:$B,2,0),"!COD NO ENCONTRADO"),"")</f>
        <v/>
      </c>
      <c r="F4214" s="76" t="str">
        <f aca="false">IF(D4214&lt;&gt;"",IFERROR(VLOOKUP(D4214,PROVEEDORES!$A:$C,3,0),""),"")</f>
        <v/>
      </c>
      <c r="G4214" s="75"/>
      <c r="H4214" s="52" t="str">
        <f aca="false">IF(G4214&lt;&gt;"",IFERROR(VLOOKUP(G4214,PRODUCTOS!$A:$B,2,0),"!COD NO ENCONTRADO"),"")</f>
        <v/>
      </c>
      <c r="I4214" s="77"/>
      <c r="J4214" s="78"/>
      <c r="K4214" s="79"/>
      <c r="L4214" s="80" t="str">
        <f aca="false">IF(AND(J4214&lt;&gt;"",K4214&lt;&gt;""),J4214*K4214,"")</f>
        <v/>
      </c>
      <c r="M4214" s="81" t="str">
        <f aca="false">IF(L4214&lt;&gt;"",L4214*1.1,"")</f>
        <v/>
      </c>
      <c r="N4214" s="53" t="n">
        <f aca="false">IF(F4214="S",L4214*0.02,0)</f>
        <v>0</v>
      </c>
      <c r="O4214" s="82" t="str">
        <f aca="false">IF(L4214&lt;&gt;"",L4214+N4214,"")</f>
        <v/>
      </c>
      <c r="P4214" s="53" t="str">
        <f aca="false">IF(O4214&lt;&gt;"",O4214*0.1,"")</f>
        <v/>
      </c>
      <c r="Q4214" s="83" t="str">
        <f aca="false">IF(O4214&lt;&gt;"",O4214+P4214,"")</f>
        <v/>
      </c>
      <c r="R4214" s="84"/>
    </row>
    <row r="4215" customFormat="false" ht="15" hidden="false" customHeight="true" outlineLevel="0" collapsed="false">
      <c r="A4215" s="103"/>
      <c r="B4215" s="85"/>
      <c r="C4215" s="86"/>
      <c r="D4215" s="87"/>
      <c r="E4215" s="46" t="str">
        <f aca="false">IF(D4215&lt;&gt;"",IFERROR(VLOOKUP(D4215,PROVEEDORES!$A:$B,2,0),"!COD NO ENCONTRADO"),"")</f>
        <v/>
      </c>
      <c r="F4215" s="88" t="str">
        <f aca="false">IF(D4215&lt;&gt;"",IFERROR(VLOOKUP(D4215,PROVEEDORES!$A:$C,3,0),""),"")</f>
        <v/>
      </c>
      <c r="G4215" s="87"/>
      <c r="H4215" s="46" t="str">
        <f aca="false">IF(G4215&lt;&gt;"",IFERROR(VLOOKUP(G4215,PRODUCTOS!$A:$B,2,0),"!COD NO ENCONTRADO"),"")</f>
        <v/>
      </c>
      <c r="I4215" s="89"/>
      <c r="J4215" s="90"/>
      <c r="K4215" s="91"/>
      <c r="L4215" s="80" t="str">
        <f aca="false">IF(AND(J4215&lt;&gt;"",K4215&lt;&gt;""),J4215*K4215,"")</f>
        <v/>
      </c>
      <c r="M4215" s="81" t="str">
        <f aca="false">IF(L4215&lt;&gt;"",L4215*1.1,"")</f>
        <v/>
      </c>
      <c r="N4215" s="47" t="n">
        <f aca="false">IF(F4215="S",L4215*0.02,0)</f>
        <v>0</v>
      </c>
      <c r="O4215" s="82" t="str">
        <f aca="false">IF(L4215&lt;&gt;"",L4215+N4215,"")</f>
        <v/>
      </c>
      <c r="P4215" s="47" t="str">
        <f aca="false">IF(O4215&lt;&gt;"",O4215*0.1,"")</f>
        <v/>
      </c>
      <c r="Q4215" s="83" t="str">
        <f aca="false">IF(O4215&lt;&gt;"",O4215+P4215,"")</f>
        <v/>
      </c>
      <c r="R4215" s="84"/>
    </row>
    <row r="4216" customFormat="false" ht="15" hidden="false" customHeight="true" outlineLevel="0" collapsed="false">
      <c r="A4216" s="103"/>
      <c r="B4216" s="73"/>
      <c r="C4216" s="74"/>
      <c r="D4216" s="75"/>
      <c r="E4216" s="52" t="str">
        <f aca="false">IF(D4216&lt;&gt;"",IFERROR(VLOOKUP(D4216,PROVEEDORES!$A:$B,2,0),"!COD NO ENCONTRADO"),"")</f>
        <v/>
      </c>
      <c r="F4216" s="76" t="str">
        <f aca="false">IF(D4216&lt;&gt;"",IFERROR(VLOOKUP(D4216,PROVEEDORES!$A:$C,3,0),""),"")</f>
        <v/>
      </c>
      <c r="G4216" s="75"/>
      <c r="H4216" s="52" t="str">
        <f aca="false">IF(G4216&lt;&gt;"",IFERROR(VLOOKUP(G4216,PRODUCTOS!$A:$B,2,0),"!COD NO ENCONTRADO"),"")</f>
        <v/>
      </c>
      <c r="I4216" s="77"/>
      <c r="J4216" s="78"/>
      <c r="K4216" s="79"/>
      <c r="L4216" s="80" t="str">
        <f aca="false">IF(AND(J4216&lt;&gt;"",K4216&lt;&gt;""),J4216*K4216,"")</f>
        <v/>
      </c>
      <c r="M4216" s="81" t="str">
        <f aca="false">IF(L4216&lt;&gt;"",L4216*1.1,"")</f>
        <v/>
      </c>
      <c r="N4216" s="53" t="n">
        <f aca="false">IF(F4216="S",L4216*0.02,0)</f>
        <v>0</v>
      </c>
      <c r="O4216" s="82" t="str">
        <f aca="false">IF(L4216&lt;&gt;"",L4216+N4216,"")</f>
        <v/>
      </c>
      <c r="P4216" s="53" t="str">
        <f aca="false">IF(O4216&lt;&gt;"",O4216*0.1,"")</f>
        <v/>
      </c>
      <c r="Q4216" s="83" t="str">
        <f aca="false">IF(O4216&lt;&gt;"",O4216+P4216,"")</f>
        <v/>
      </c>
      <c r="R4216" s="84"/>
    </row>
    <row r="4217" customFormat="false" ht="15" hidden="false" customHeight="true" outlineLevel="0" collapsed="false">
      <c r="A4217" s="103"/>
      <c r="B4217" s="85"/>
      <c r="C4217" s="86"/>
      <c r="D4217" s="87"/>
      <c r="E4217" s="46" t="str">
        <f aca="false">IF(D4217&lt;&gt;"",IFERROR(VLOOKUP(D4217,PROVEEDORES!$A:$B,2,0),"!COD NO ENCONTRADO"),"")</f>
        <v/>
      </c>
      <c r="F4217" s="88" t="str">
        <f aca="false">IF(D4217&lt;&gt;"",IFERROR(VLOOKUP(D4217,PROVEEDORES!$A:$C,3,0),""),"")</f>
        <v/>
      </c>
      <c r="G4217" s="87"/>
      <c r="H4217" s="46" t="str">
        <f aca="false">IF(G4217&lt;&gt;"",IFERROR(VLOOKUP(G4217,PRODUCTOS!$A:$B,2,0),"!COD NO ENCONTRADO"),"")</f>
        <v/>
      </c>
      <c r="I4217" s="89"/>
      <c r="J4217" s="90"/>
      <c r="K4217" s="91"/>
      <c r="L4217" s="80" t="str">
        <f aca="false">IF(AND(J4217&lt;&gt;"",K4217&lt;&gt;""),J4217*K4217,"")</f>
        <v/>
      </c>
      <c r="M4217" s="81" t="str">
        <f aca="false">IF(L4217&lt;&gt;"",L4217*1.1,"")</f>
        <v/>
      </c>
      <c r="N4217" s="47" t="n">
        <f aca="false">IF(F4217="S",L4217*0.02,0)</f>
        <v>0</v>
      </c>
      <c r="O4217" s="82" t="str">
        <f aca="false">IF(L4217&lt;&gt;"",L4217+N4217,"")</f>
        <v/>
      </c>
      <c r="P4217" s="47" t="str">
        <f aca="false">IF(O4217&lt;&gt;"",O4217*0.1,"")</f>
        <v/>
      </c>
      <c r="Q4217" s="83" t="str">
        <f aca="false">IF(O4217&lt;&gt;"",O4217+P4217,"")</f>
        <v/>
      </c>
      <c r="R4217" s="84"/>
    </row>
    <row r="4218" customFormat="false" ht="15" hidden="false" customHeight="true" outlineLevel="0" collapsed="false">
      <c r="A4218" s="103"/>
      <c r="B4218" s="73"/>
      <c r="C4218" s="74"/>
      <c r="D4218" s="75"/>
      <c r="E4218" s="52" t="str">
        <f aca="false">IF(D4218&lt;&gt;"",IFERROR(VLOOKUP(D4218,PROVEEDORES!$A:$B,2,0),"!COD NO ENCONTRADO"),"")</f>
        <v/>
      </c>
      <c r="F4218" s="76" t="str">
        <f aca="false">IF(D4218&lt;&gt;"",IFERROR(VLOOKUP(D4218,PROVEEDORES!$A:$C,3,0),""),"")</f>
        <v/>
      </c>
      <c r="G4218" s="75"/>
      <c r="H4218" s="52" t="str">
        <f aca="false">IF(G4218&lt;&gt;"",IFERROR(VLOOKUP(G4218,PRODUCTOS!$A:$B,2,0),"!COD NO ENCONTRADO"),"")</f>
        <v/>
      </c>
      <c r="I4218" s="77"/>
      <c r="J4218" s="78"/>
      <c r="K4218" s="79"/>
      <c r="L4218" s="80" t="str">
        <f aca="false">IF(AND(J4218&lt;&gt;"",K4218&lt;&gt;""),J4218*K4218,"")</f>
        <v/>
      </c>
      <c r="M4218" s="81" t="str">
        <f aca="false">IF(L4218&lt;&gt;"",L4218*1.1,"")</f>
        <v/>
      </c>
      <c r="N4218" s="53" t="n">
        <f aca="false">IF(F4218="S",L4218*0.02,0)</f>
        <v>0</v>
      </c>
      <c r="O4218" s="82" t="str">
        <f aca="false">IF(L4218&lt;&gt;"",L4218+N4218,"")</f>
        <v/>
      </c>
      <c r="P4218" s="53" t="str">
        <f aca="false">IF(O4218&lt;&gt;"",O4218*0.1,"")</f>
        <v/>
      </c>
      <c r="Q4218" s="83" t="str">
        <f aca="false">IF(O4218&lt;&gt;"",O4218+P4218,"")</f>
        <v/>
      </c>
      <c r="R4218" s="84"/>
    </row>
    <row r="4219" customFormat="false" ht="15" hidden="false" customHeight="true" outlineLevel="0" collapsed="false">
      <c r="A4219" s="103"/>
      <c r="B4219" s="85"/>
      <c r="C4219" s="86"/>
      <c r="D4219" s="87"/>
      <c r="E4219" s="46" t="str">
        <f aca="false">IF(D4219&lt;&gt;"",IFERROR(VLOOKUP(D4219,PROVEEDORES!$A:$B,2,0),"!COD NO ENCONTRADO"),"")</f>
        <v/>
      </c>
      <c r="F4219" s="88" t="str">
        <f aca="false">IF(D4219&lt;&gt;"",IFERROR(VLOOKUP(D4219,PROVEEDORES!$A:$C,3,0),""),"")</f>
        <v/>
      </c>
      <c r="G4219" s="87"/>
      <c r="H4219" s="46" t="str">
        <f aca="false">IF(G4219&lt;&gt;"",IFERROR(VLOOKUP(G4219,PRODUCTOS!$A:$B,2,0),"!COD NO ENCONTRADO"),"")</f>
        <v/>
      </c>
      <c r="I4219" s="89"/>
      <c r="J4219" s="90"/>
      <c r="K4219" s="91"/>
      <c r="L4219" s="80" t="str">
        <f aca="false">IF(AND(J4219&lt;&gt;"",K4219&lt;&gt;""),J4219*K4219,"")</f>
        <v/>
      </c>
      <c r="M4219" s="81" t="str">
        <f aca="false">IF(L4219&lt;&gt;"",L4219*1.1,"")</f>
        <v/>
      </c>
      <c r="N4219" s="47" t="n">
        <f aca="false">IF(F4219="S",L4219*0.02,0)</f>
        <v>0</v>
      </c>
      <c r="O4219" s="82" t="str">
        <f aca="false">IF(L4219&lt;&gt;"",L4219+N4219,"")</f>
        <v/>
      </c>
      <c r="P4219" s="47" t="str">
        <f aca="false">IF(O4219&lt;&gt;"",O4219*0.1,"")</f>
        <v/>
      </c>
      <c r="Q4219" s="83" t="str">
        <f aca="false">IF(O4219&lt;&gt;"",O4219+P4219,"")</f>
        <v/>
      </c>
      <c r="R4219" s="84"/>
    </row>
    <row r="4220" customFormat="false" ht="15" hidden="false" customHeight="true" outlineLevel="0" collapsed="false">
      <c r="A4220" s="103"/>
      <c r="B4220" s="73"/>
      <c r="C4220" s="74"/>
      <c r="D4220" s="75"/>
      <c r="E4220" s="52" t="str">
        <f aca="false">IF(D4220&lt;&gt;"",IFERROR(VLOOKUP(D4220,PROVEEDORES!$A:$B,2,0),"!COD NO ENCONTRADO"),"")</f>
        <v/>
      </c>
      <c r="F4220" s="76" t="str">
        <f aca="false">IF(D4220&lt;&gt;"",IFERROR(VLOOKUP(D4220,PROVEEDORES!$A:$C,3,0),""),"")</f>
        <v/>
      </c>
      <c r="G4220" s="75"/>
      <c r="H4220" s="52" t="str">
        <f aca="false">IF(G4220&lt;&gt;"",IFERROR(VLOOKUP(G4220,PRODUCTOS!$A:$B,2,0),"!COD NO ENCONTRADO"),"")</f>
        <v/>
      </c>
      <c r="I4220" s="77"/>
      <c r="J4220" s="78"/>
      <c r="K4220" s="79"/>
      <c r="L4220" s="80" t="str">
        <f aca="false">IF(AND(J4220&lt;&gt;"",K4220&lt;&gt;""),J4220*K4220,"")</f>
        <v/>
      </c>
      <c r="M4220" s="81" t="str">
        <f aca="false">IF(L4220&lt;&gt;"",L4220*1.1,"")</f>
        <v/>
      </c>
      <c r="N4220" s="53" t="n">
        <f aca="false">IF(F4220="S",L4220*0.02,0)</f>
        <v>0</v>
      </c>
      <c r="O4220" s="82" t="str">
        <f aca="false">IF(L4220&lt;&gt;"",L4220+N4220,"")</f>
        <v/>
      </c>
      <c r="P4220" s="53" t="str">
        <f aca="false">IF(O4220&lt;&gt;"",O4220*0.1,"")</f>
        <v/>
      </c>
      <c r="Q4220" s="83" t="str">
        <f aca="false">IF(O4220&lt;&gt;"",O4220+P4220,"")</f>
        <v/>
      </c>
      <c r="R4220" s="84"/>
    </row>
    <row r="4221" customFormat="false" ht="15" hidden="false" customHeight="true" outlineLevel="0" collapsed="false">
      <c r="A4221" s="103"/>
      <c r="B4221" s="85"/>
      <c r="C4221" s="86"/>
      <c r="D4221" s="87"/>
      <c r="E4221" s="46" t="str">
        <f aca="false">IF(D4221&lt;&gt;"",IFERROR(VLOOKUP(D4221,PROVEEDORES!$A:$B,2,0),"!COD NO ENCONTRADO"),"")</f>
        <v/>
      </c>
      <c r="F4221" s="88" t="str">
        <f aca="false">IF(D4221&lt;&gt;"",IFERROR(VLOOKUP(D4221,PROVEEDORES!$A:$C,3,0),""),"")</f>
        <v/>
      </c>
      <c r="G4221" s="87"/>
      <c r="H4221" s="46" t="str">
        <f aca="false">IF(G4221&lt;&gt;"",IFERROR(VLOOKUP(G4221,PRODUCTOS!$A:$B,2,0),"!COD NO ENCONTRADO"),"")</f>
        <v/>
      </c>
      <c r="I4221" s="89"/>
      <c r="J4221" s="90"/>
      <c r="K4221" s="91"/>
      <c r="L4221" s="80" t="str">
        <f aca="false">IF(AND(J4221&lt;&gt;"",K4221&lt;&gt;""),J4221*K4221,"")</f>
        <v/>
      </c>
      <c r="M4221" s="81" t="str">
        <f aca="false">IF(L4221&lt;&gt;"",L4221*1.1,"")</f>
        <v/>
      </c>
      <c r="N4221" s="47" t="n">
        <f aca="false">IF(F4221="S",L4221*0.02,0)</f>
        <v>0</v>
      </c>
      <c r="O4221" s="82" t="str">
        <f aca="false">IF(L4221&lt;&gt;"",L4221+N4221,"")</f>
        <v/>
      </c>
      <c r="P4221" s="47" t="str">
        <f aca="false">IF(O4221&lt;&gt;"",O4221*0.1,"")</f>
        <v/>
      </c>
      <c r="Q4221" s="83" t="str">
        <f aca="false">IF(O4221&lt;&gt;"",O4221+P4221,"")</f>
        <v/>
      </c>
      <c r="R4221" s="84"/>
    </row>
    <row r="4222" customFormat="false" ht="15" hidden="false" customHeight="true" outlineLevel="0" collapsed="false">
      <c r="A4222" s="103"/>
      <c r="B4222" s="73"/>
      <c r="C4222" s="74"/>
      <c r="D4222" s="75"/>
      <c r="E4222" s="52" t="str">
        <f aca="false">IF(D4222&lt;&gt;"",IFERROR(VLOOKUP(D4222,PROVEEDORES!$A:$B,2,0),"!COD NO ENCONTRADO"),"")</f>
        <v/>
      </c>
      <c r="F4222" s="76" t="str">
        <f aca="false">IF(D4222&lt;&gt;"",IFERROR(VLOOKUP(D4222,PROVEEDORES!$A:$C,3,0),""),"")</f>
        <v/>
      </c>
      <c r="G4222" s="75"/>
      <c r="H4222" s="52" t="str">
        <f aca="false">IF(G4222&lt;&gt;"",IFERROR(VLOOKUP(G4222,PRODUCTOS!$A:$B,2,0),"!COD NO ENCONTRADO"),"")</f>
        <v/>
      </c>
      <c r="I4222" s="77"/>
      <c r="J4222" s="78"/>
      <c r="K4222" s="79"/>
      <c r="L4222" s="80" t="str">
        <f aca="false">IF(AND(J4222&lt;&gt;"",K4222&lt;&gt;""),J4222*K4222,"")</f>
        <v/>
      </c>
      <c r="M4222" s="81" t="str">
        <f aca="false">IF(L4222&lt;&gt;"",L4222*1.1,"")</f>
        <v/>
      </c>
      <c r="N4222" s="53" t="n">
        <f aca="false">IF(F4222="S",L4222*0.02,0)</f>
        <v>0</v>
      </c>
      <c r="O4222" s="82" t="str">
        <f aca="false">IF(L4222&lt;&gt;"",L4222+N4222,"")</f>
        <v/>
      </c>
      <c r="P4222" s="53" t="str">
        <f aca="false">IF(O4222&lt;&gt;"",O4222*0.1,"")</f>
        <v/>
      </c>
      <c r="Q4222" s="83" t="str">
        <f aca="false">IF(O4222&lt;&gt;"",O4222+P4222,"")</f>
        <v/>
      </c>
      <c r="R4222" s="84"/>
    </row>
    <row r="4223" customFormat="false" ht="15" hidden="false" customHeight="true" outlineLevel="0" collapsed="false">
      <c r="A4223" s="103"/>
      <c r="B4223" s="85"/>
      <c r="C4223" s="86"/>
      <c r="D4223" s="87"/>
      <c r="E4223" s="46" t="str">
        <f aca="false">IF(D4223&lt;&gt;"",IFERROR(VLOOKUP(D4223,PROVEEDORES!$A:$B,2,0),"!COD NO ENCONTRADO"),"")</f>
        <v/>
      </c>
      <c r="F4223" s="88" t="str">
        <f aca="false">IF(D4223&lt;&gt;"",IFERROR(VLOOKUP(D4223,PROVEEDORES!$A:$C,3,0),""),"")</f>
        <v/>
      </c>
      <c r="G4223" s="87"/>
      <c r="H4223" s="46" t="str">
        <f aca="false">IF(G4223&lt;&gt;"",IFERROR(VLOOKUP(G4223,PRODUCTOS!$A:$B,2,0),"!COD NO ENCONTRADO"),"")</f>
        <v/>
      </c>
      <c r="I4223" s="89"/>
      <c r="J4223" s="90"/>
      <c r="K4223" s="91"/>
      <c r="L4223" s="80" t="str">
        <f aca="false">IF(AND(J4223&lt;&gt;"",K4223&lt;&gt;""),J4223*K4223,"")</f>
        <v/>
      </c>
      <c r="M4223" s="81" t="str">
        <f aca="false">IF(L4223&lt;&gt;"",L4223*1.1,"")</f>
        <v/>
      </c>
      <c r="N4223" s="47" t="n">
        <f aca="false">IF(F4223="S",L4223*0.02,0)</f>
        <v>0</v>
      </c>
      <c r="O4223" s="82" t="str">
        <f aca="false">IF(L4223&lt;&gt;"",L4223+N4223,"")</f>
        <v/>
      </c>
      <c r="P4223" s="47" t="str">
        <f aca="false">IF(O4223&lt;&gt;"",O4223*0.1,"")</f>
        <v/>
      </c>
      <c r="Q4223" s="83" t="str">
        <f aca="false">IF(O4223&lt;&gt;"",O4223+P4223,"")</f>
        <v/>
      </c>
      <c r="R4223" s="84"/>
    </row>
    <row r="4224" customFormat="false" ht="15" hidden="false" customHeight="true" outlineLevel="0" collapsed="false">
      <c r="A4224" s="103"/>
      <c r="B4224" s="73"/>
      <c r="C4224" s="74"/>
      <c r="D4224" s="75"/>
      <c r="E4224" s="52" t="str">
        <f aca="false">IF(D4224&lt;&gt;"",IFERROR(VLOOKUP(D4224,PROVEEDORES!$A:$B,2,0),"!COD NO ENCONTRADO"),"")</f>
        <v/>
      </c>
      <c r="F4224" s="76" t="str">
        <f aca="false">IF(D4224&lt;&gt;"",IFERROR(VLOOKUP(D4224,PROVEEDORES!$A:$C,3,0),""),"")</f>
        <v/>
      </c>
      <c r="G4224" s="75"/>
      <c r="H4224" s="52" t="str">
        <f aca="false">IF(G4224&lt;&gt;"",IFERROR(VLOOKUP(G4224,PRODUCTOS!$A:$B,2,0),"!COD NO ENCONTRADO"),"")</f>
        <v/>
      </c>
      <c r="I4224" s="77"/>
      <c r="J4224" s="78"/>
      <c r="K4224" s="79"/>
      <c r="L4224" s="80" t="str">
        <f aca="false">IF(AND(J4224&lt;&gt;"",K4224&lt;&gt;""),J4224*K4224,"")</f>
        <v/>
      </c>
      <c r="M4224" s="81" t="str">
        <f aca="false">IF(L4224&lt;&gt;"",L4224*1.1,"")</f>
        <v/>
      </c>
      <c r="N4224" s="53" t="n">
        <f aca="false">IF(F4224="S",L4224*0.02,0)</f>
        <v>0</v>
      </c>
      <c r="O4224" s="82" t="str">
        <f aca="false">IF(L4224&lt;&gt;"",L4224+N4224,"")</f>
        <v/>
      </c>
      <c r="P4224" s="53" t="str">
        <f aca="false">IF(O4224&lt;&gt;"",O4224*0.1,"")</f>
        <v/>
      </c>
      <c r="Q4224" s="83" t="str">
        <f aca="false">IF(O4224&lt;&gt;"",O4224+P4224,"")</f>
        <v/>
      </c>
      <c r="R4224" s="84"/>
    </row>
    <row r="4225" customFormat="false" ht="15" hidden="false" customHeight="true" outlineLevel="0" collapsed="false">
      <c r="A4225" s="103"/>
      <c r="B4225" s="85"/>
      <c r="C4225" s="86"/>
      <c r="D4225" s="87"/>
      <c r="E4225" s="46" t="str">
        <f aca="false">IF(D4225&lt;&gt;"",IFERROR(VLOOKUP(D4225,PROVEEDORES!$A:$B,2,0),"!COD NO ENCONTRADO"),"")</f>
        <v/>
      </c>
      <c r="F4225" s="88" t="str">
        <f aca="false">IF(D4225&lt;&gt;"",IFERROR(VLOOKUP(D4225,PROVEEDORES!$A:$C,3,0),""),"")</f>
        <v/>
      </c>
      <c r="G4225" s="87"/>
      <c r="H4225" s="46" t="str">
        <f aca="false">IF(G4225&lt;&gt;"",IFERROR(VLOOKUP(G4225,PRODUCTOS!$A:$B,2,0),"!COD NO ENCONTRADO"),"")</f>
        <v/>
      </c>
      <c r="I4225" s="89"/>
      <c r="J4225" s="90"/>
      <c r="K4225" s="91"/>
      <c r="L4225" s="80" t="str">
        <f aca="false">IF(AND(J4225&lt;&gt;"",K4225&lt;&gt;""),J4225*K4225,"")</f>
        <v/>
      </c>
      <c r="M4225" s="81" t="str">
        <f aca="false">IF(L4225&lt;&gt;"",L4225*1.1,"")</f>
        <v/>
      </c>
      <c r="N4225" s="47" t="n">
        <f aca="false">IF(F4225="S",L4225*0.02,0)</f>
        <v>0</v>
      </c>
      <c r="O4225" s="82" t="str">
        <f aca="false">IF(L4225&lt;&gt;"",L4225+N4225,"")</f>
        <v/>
      </c>
      <c r="P4225" s="47" t="str">
        <f aca="false">IF(O4225&lt;&gt;"",O4225*0.1,"")</f>
        <v/>
      </c>
      <c r="Q4225" s="83" t="str">
        <f aca="false">IF(O4225&lt;&gt;"",O4225+P4225,"")</f>
        <v/>
      </c>
      <c r="R4225" s="84"/>
    </row>
    <row r="4226" customFormat="false" ht="15" hidden="false" customHeight="true" outlineLevel="0" collapsed="false">
      <c r="A4226" s="103"/>
      <c r="B4226" s="73"/>
      <c r="C4226" s="74"/>
      <c r="D4226" s="75"/>
      <c r="E4226" s="52" t="str">
        <f aca="false">IF(D4226&lt;&gt;"",IFERROR(VLOOKUP(D4226,PROVEEDORES!$A:$B,2,0),"!COD NO ENCONTRADO"),"")</f>
        <v/>
      </c>
      <c r="F4226" s="76" t="str">
        <f aca="false">IF(D4226&lt;&gt;"",IFERROR(VLOOKUP(D4226,PROVEEDORES!$A:$C,3,0),""),"")</f>
        <v/>
      </c>
      <c r="G4226" s="75"/>
      <c r="H4226" s="52" t="str">
        <f aca="false">IF(G4226&lt;&gt;"",IFERROR(VLOOKUP(G4226,PRODUCTOS!$A:$B,2,0),"!COD NO ENCONTRADO"),"")</f>
        <v/>
      </c>
      <c r="I4226" s="77"/>
      <c r="J4226" s="78"/>
      <c r="K4226" s="79"/>
      <c r="L4226" s="80" t="str">
        <f aca="false">IF(AND(J4226&lt;&gt;"",K4226&lt;&gt;""),J4226*K4226,"")</f>
        <v/>
      </c>
      <c r="M4226" s="81" t="str">
        <f aca="false">IF(L4226&lt;&gt;"",L4226*1.1,"")</f>
        <v/>
      </c>
      <c r="N4226" s="53" t="n">
        <f aca="false">IF(F4226="S",L4226*0.02,0)</f>
        <v>0</v>
      </c>
      <c r="O4226" s="82" t="str">
        <f aca="false">IF(L4226&lt;&gt;"",L4226+N4226,"")</f>
        <v/>
      </c>
      <c r="P4226" s="53" t="str">
        <f aca="false">IF(O4226&lt;&gt;"",O4226*0.1,"")</f>
        <v/>
      </c>
      <c r="Q4226" s="83" t="str">
        <f aca="false">IF(O4226&lt;&gt;"",O4226+P4226,"")</f>
        <v/>
      </c>
      <c r="R4226" s="84"/>
    </row>
    <row r="4227" customFormat="false" ht="15" hidden="false" customHeight="true" outlineLevel="0" collapsed="false">
      <c r="A4227" s="103"/>
      <c r="B4227" s="85"/>
      <c r="C4227" s="86"/>
      <c r="D4227" s="87"/>
      <c r="E4227" s="46" t="str">
        <f aca="false">IF(D4227&lt;&gt;"",IFERROR(VLOOKUP(D4227,PROVEEDORES!$A:$B,2,0),"!COD NO ENCONTRADO"),"")</f>
        <v/>
      </c>
      <c r="F4227" s="88" t="str">
        <f aca="false">IF(D4227&lt;&gt;"",IFERROR(VLOOKUP(D4227,PROVEEDORES!$A:$C,3,0),""),"")</f>
        <v/>
      </c>
      <c r="G4227" s="87"/>
      <c r="H4227" s="46" t="str">
        <f aca="false">IF(G4227&lt;&gt;"",IFERROR(VLOOKUP(G4227,PRODUCTOS!$A:$B,2,0),"!COD NO ENCONTRADO"),"")</f>
        <v/>
      </c>
      <c r="I4227" s="89"/>
      <c r="J4227" s="90"/>
      <c r="K4227" s="91"/>
      <c r="L4227" s="80" t="str">
        <f aca="false">IF(AND(J4227&lt;&gt;"",K4227&lt;&gt;""),J4227*K4227,"")</f>
        <v/>
      </c>
      <c r="M4227" s="81" t="str">
        <f aca="false">IF(L4227&lt;&gt;"",L4227*1.1,"")</f>
        <v/>
      </c>
      <c r="N4227" s="47" t="n">
        <f aca="false">IF(F4227="S",L4227*0.02,0)</f>
        <v>0</v>
      </c>
      <c r="O4227" s="82" t="str">
        <f aca="false">IF(L4227&lt;&gt;"",L4227+N4227,"")</f>
        <v/>
      </c>
      <c r="P4227" s="47" t="str">
        <f aca="false">IF(O4227&lt;&gt;"",O4227*0.1,"")</f>
        <v/>
      </c>
      <c r="Q4227" s="83" t="str">
        <f aca="false">IF(O4227&lt;&gt;"",O4227+P4227,"")</f>
        <v/>
      </c>
      <c r="R4227" s="84"/>
    </row>
    <row r="4228" customFormat="false" ht="15" hidden="false" customHeight="true" outlineLevel="0" collapsed="false">
      <c r="A4228" s="103"/>
      <c r="B4228" s="73"/>
      <c r="C4228" s="74"/>
      <c r="D4228" s="75"/>
      <c r="E4228" s="52" t="str">
        <f aca="false">IF(D4228&lt;&gt;"",IFERROR(VLOOKUP(D4228,PROVEEDORES!$A:$B,2,0),"!COD NO ENCONTRADO"),"")</f>
        <v/>
      </c>
      <c r="F4228" s="76" t="str">
        <f aca="false">IF(D4228&lt;&gt;"",IFERROR(VLOOKUP(D4228,PROVEEDORES!$A:$C,3,0),""),"")</f>
        <v/>
      </c>
      <c r="G4228" s="75"/>
      <c r="H4228" s="52" t="str">
        <f aca="false">IF(G4228&lt;&gt;"",IFERROR(VLOOKUP(G4228,PRODUCTOS!$A:$B,2,0),"!COD NO ENCONTRADO"),"")</f>
        <v/>
      </c>
      <c r="I4228" s="77"/>
      <c r="J4228" s="78"/>
      <c r="K4228" s="79"/>
      <c r="L4228" s="80" t="str">
        <f aca="false">IF(AND(J4228&lt;&gt;"",K4228&lt;&gt;""),J4228*K4228,"")</f>
        <v/>
      </c>
      <c r="M4228" s="81" t="str">
        <f aca="false">IF(L4228&lt;&gt;"",L4228*1.1,"")</f>
        <v/>
      </c>
      <c r="N4228" s="53" t="n">
        <f aca="false">IF(F4228="S",L4228*0.02,0)</f>
        <v>0</v>
      </c>
      <c r="O4228" s="82" t="str">
        <f aca="false">IF(L4228&lt;&gt;"",L4228+N4228,"")</f>
        <v/>
      </c>
      <c r="P4228" s="53" t="str">
        <f aca="false">IF(O4228&lt;&gt;"",O4228*0.1,"")</f>
        <v/>
      </c>
      <c r="Q4228" s="83" t="str">
        <f aca="false">IF(O4228&lt;&gt;"",O4228+P4228,"")</f>
        <v/>
      </c>
      <c r="R4228" s="84"/>
    </row>
    <row r="4229" customFormat="false" ht="15" hidden="false" customHeight="true" outlineLevel="0" collapsed="false">
      <c r="A4229" s="103"/>
      <c r="B4229" s="85"/>
      <c r="C4229" s="86"/>
      <c r="D4229" s="87"/>
      <c r="E4229" s="46" t="str">
        <f aca="false">IF(D4229&lt;&gt;"",IFERROR(VLOOKUP(D4229,PROVEEDORES!$A:$B,2,0),"!COD NO ENCONTRADO"),"")</f>
        <v/>
      </c>
      <c r="F4229" s="88" t="str">
        <f aca="false">IF(D4229&lt;&gt;"",IFERROR(VLOOKUP(D4229,PROVEEDORES!$A:$C,3,0),""),"")</f>
        <v/>
      </c>
      <c r="G4229" s="87"/>
      <c r="H4229" s="46" t="str">
        <f aca="false">IF(G4229&lt;&gt;"",IFERROR(VLOOKUP(G4229,PRODUCTOS!$A:$B,2,0),"!COD NO ENCONTRADO"),"")</f>
        <v/>
      </c>
      <c r="I4229" s="89"/>
      <c r="J4229" s="90"/>
      <c r="K4229" s="91"/>
      <c r="L4229" s="80" t="str">
        <f aca="false">IF(AND(J4229&lt;&gt;"",K4229&lt;&gt;""),J4229*K4229,"")</f>
        <v/>
      </c>
      <c r="M4229" s="81" t="str">
        <f aca="false">IF(L4229&lt;&gt;"",L4229*1.1,"")</f>
        <v/>
      </c>
      <c r="N4229" s="47" t="n">
        <f aca="false">IF(F4229="S",L4229*0.02,0)</f>
        <v>0</v>
      </c>
      <c r="O4229" s="82" t="str">
        <f aca="false">IF(L4229&lt;&gt;"",L4229+N4229,"")</f>
        <v/>
      </c>
      <c r="P4229" s="47" t="str">
        <f aca="false">IF(O4229&lt;&gt;"",O4229*0.1,"")</f>
        <v/>
      </c>
      <c r="Q4229" s="83" t="str">
        <f aca="false">IF(O4229&lt;&gt;"",O4229+P4229,"")</f>
        <v/>
      </c>
      <c r="R4229" s="84"/>
    </row>
    <row r="4230" customFormat="false" ht="15" hidden="false" customHeight="true" outlineLevel="0" collapsed="false">
      <c r="A4230" s="103"/>
      <c r="B4230" s="73"/>
      <c r="C4230" s="74"/>
      <c r="D4230" s="75"/>
      <c r="E4230" s="52" t="str">
        <f aca="false">IF(D4230&lt;&gt;"",IFERROR(VLOOKUP(D4230,PROVEEDORES!$A:$B,2,0),"!COD NO ENCONTRADO"),"")</f>
        <v/>
      </c>
      <c r="F4230" s="76" t="str">
        <f aca="false">IF(D4230&lt;&gt;"",IFERROR(VLOOKUP(D4230,PROVEEDORES!$A:$C,3,0),""),"")</f>
        <v/>
      </c>
      <c r="G4230" s="75"/>
      <c r="H4230" s="52" t="str">
        <f aca="false">IF(G4230&lt;&gt;"",IFERROR(VLOOKUP(G4230,PRODUCTOS!$A:$B,2,0),"!COD NO ENCONTRADO"),"")</f>
        <v/>
      </c>
      <c r="I4230" s="77"/>
      <c r="J4230" s="78"/>
      <c r="K4230" s="79"/>
      <c r="L4230" s="80" t="str">
        <f aca="false">IF(AND(J4230&lt;&gt;"",K4230&lt;&gt;""),J4230*K4230,"")</f>
        <v/>
      </c>
      <c r="M4230" s="81" t="str">
        <f aca="false">IF(L4230&lt;&gt;"",L4230*1.1,"")</f>
        <v/>
      </c>
      <c r="N4230" s="53" t="n">
        <f aca="false">IF(F4230="S",L4230*0.02,0)</f>
        <v>0</v>
      </c>
      <c r="O4230" s="82" t="str">
        <f aca="false">IF(L4230&lt;&gt;"",L4230+N4230,"")</f>
        <v/>
      </c>
      <c r="P4230" s="53" t="str">
        <f aca="false">IF(O4230&lt;&gt;"",O4230*0.1,"")</f>
        <v/>
      </c>
      <c r="Q4230" s="83" t="str">
        <f aca="false">IF(O4230&lt;&gt;"",O4230+P4230,"")</f>
        <v/>
      </c>
      <c r="R4230" s="84"/>
    </row>
    <row r="4231" customFormat="false" ht="15" hidden="false" customHeight="true" outlineLevel="0" collapsed="false">
      <c r="A4231" s="103"/>
      <c r="B4231" s="85"/>
      <c r="C4231" s="86"/>
      <c r="D4231" s="87"/>
      <c r="E4231" s="46" t="str">
        <f aca="false">IF(D4231&lt;&gt;"",IFERROR(VLOOKUP(D4231,PROVEEDORES!$A:$B,2,0),"!COD NO ENCONTRADO"),"")</f>
        <v/>
      </c>
      <c r="F4231" s="88" t="str">
        <f aca="false">IF(D4231&lt;&gt;"",IFERROR(VLOOKUP(D4231,PROVEEDORES!$A:$C,3,0),""),"")</f>
        <v/>
      </c>
      <c r="G4231" s="87"/>
      <c r="H4231" s="46" t="str">
        <f aca="false">IF(G4231&lt;&gt;"",IFERROR(VLOOKUP(G4231,PRODUCTOS!$A:$B,2,0),"!COD NO ENCONTRADO"),"")</f>
        <v/>
      </c>
      <c r="I4231" s="89"/>
      <c r="J4231" s="90"/>
      <c r="K4231" s="91"/>
      <c r="L4231" s="80" t="str">
        <f aca="false">IF(AND(J4231&lt;&gt;"",K4231&lt;&gt;""),J4231*K4231,"")</f>
        <v/>
      </c>
      <c r="M4231" s="81" t="str">
        <f aca="false">IF(L4231&lt;&gt;"",L4231*1.1,"")</f>
        <v/>
      </c>
      <c r="N4231" s="47" t="n">
        <f aca="false">IF(F4231="S",L4231*0.02,0)</f>
        <v>0</v>
      </c>
      <c r="O4231" s="82" t="str">
        <f aca="false">IF(L4231&lt;&gt;"",L4231+N4231,"")</f>
        <v/>
      </c>
      <c r="P4231" s="47" t="str">
        <f aca="false">IF(O4231&lt;&gt;"",O4231*0.1,"")</f>
        <v/>
      </c>
      <c r="Q4231" s="83" t="str">
        <f aca="false">IF(O4231&lt;&gt;"",O4231+P4231,"")</f>
        <v/>
      </c>
      <c r="R4231" s="84"/>
    </row>
    <row r="4232" customFormat="false" ht="15" hidden="false" customHeight="true" outlineLevel="0" collapsed="false">
      <c r="A4232" s="103"/>
      <c r="B4232" s="73"/>
      <c r="C4232" s="74"/>
      <c r="D4232" s="75"/>
      <c r="E4232" s="52" t="str">
        <f aca="false">IF(D4232&lt;&gt;"",IFERROR(VLOOKUP(D4232,PROVEEDORES!$A:$B,2,0),"!COD NO ENCONTRADO"),"")</f>
        <v/>
      </c>
      <c r="F4232" s="76" t="str">
        <f aca="false">IF(D4232&lt;&gt;"",IFERROR(VLOOKUP(D4232,PROVEEDORES!$A:$C,3,0),""),"")</f>
        <v/>
      </c>
      <c r="G4232" s="75"/>
      <c r="H4232" s="52" t="str">
        <f aca="false">IF(G4232&lt;&gt;"",IFERROR(VLOOKUP(G4232,PRODUCTOS!$A:$B,2,0),"!COD NO ENCONTRADO"),"")</f>
        <v/>
      </c>
      <c r="I4232" s="77"/>
      <c r="J4232" s="78"/>
      <c r="K4232" s="79"/>
      <c r="L4232" s="80" t="str">
        <f aca="false">IF(AND(J4232&lt;&gt;"",K4232&lt;&gt;""),J4232*K4232,"")</f>
        <v/>
      </c>
      <c r="M4232" s="81" t="str">
        <f aca="false">IF(L4232&lt;&gt;"",L4232*1.1,"")</f>
        <v/>
      </c>
      <c r="N4232" s="53" t="n">
        <f aca="false">IF(F4232="S",L4232*0.02,0)</f>
        <v>0</v>
      </c>
      <c r="O4232" s="82" t="str">
        <f aca="false">IF(L4232&lt;&gt;"",L4232+N4232,"")</f>
        <v/>
      </c>
      <c r="P4232" s="53" t="str">
        <f aca="false">IF(O4232&lt;&gt;"",O4232*0.1,"")</f>
        <v/>
      </c>
      <c r="Q4232" s="83" t="str">
        <f aca="false">IF(O4232&lt;&gt;"",O4232+P4232,"")</f>
        <v/>
      </c>
      <c r="R4232" s="84"/>
    </row>
    <row r="4233" customFormat="false" ht="15" hidden="false" customHeight="true" outlineLevel="0" collapsed="false">
      <c r="A4233" s="103"/>
      <c r="B4233" s="85"/>
      <c r="C4233" s="86"/>
      <c r="D4233" s="87"/>
      <c r="E4233" s="46" t="str">
        <f aca="false">IF(D4233&lt;&gt;"",IFERROR(VLOOKUP(D4233,PROVEEDORES!$A:$B,2,0),"!COD NO ENCONTRADO"),"")</f>
        <v/>
      </c>
      <c r="F4233" s="88" t="str">
        <f aca="false">IF(D4233&lt;&gt;"",IFERROR(VLOOKUP(D4233,PROVEEDORES!$A:$C,3,0),""),"")</f>
        <v/>
      </c>
      <c r="G4233" s="87"/>
      <c r="H4233" s="46" t="str">
        <f aca="false">IF(G4233&lt;&gt;"",IFERROR(VLOOKUP(G4233,PRODUCTOS!$A:$B,2,0),"!COD NO ENCONTRADO"),"")</f>
        <v/>
      </c>
      <c r="I4233" s="89"/>
      <c r="J4233" s="90"/>
      <c r="K4233" s="91"/>
      <c r="L4233" s="80" t="str">
        <f aca="false">IF(AND(J4233&lt;&gt;"",K4233&lt;&gt;""),J4233*K4233,"")</f>
        <v/>
      </c>
      <c r="M4233" s="81" t="str">
        <f aca="false">IF(L4233&lt;&gt;"",L4233*1.1,"")</f>
        <v/>
      </c>
      <c r="N4233" s="47" t="n">
        <f aca="false">IF(F4233="S",L4233*0.02,0)</f>
        <v>0</v>
      </c>
      <c r="O4233" s="82" t="str">
        <f aca="false">IF(L4233&lt;&gt;"",L4233+N4233,"")</f>
        <v/>
      </c>
      <c r="P4233" s="47" t="str">
        <f aca="false">IF(O4233&lt;&gt;"",O4233*0.1,"")</f>
        <v/>
      </c>
      <c r="Q4233" s="83" t="str">
        <f aca="false">IF(O4233&lt;&gt;"",O4233+P4233,"")</f>
        <v/>
      </c>
      <c r="R4233" s="84"/>
    </row>
    <row r="4234" customFormat="false" ht="15" hidden="false" customHeight="true" outlineLevel="0" collapsed="false">
      <c r="A4234" s="103"/>
      <c r="B4234" s="73"/>
      <c r="C4234" s="74"/>
      <c r="D4234" s="75"/>
      <c r="E4234" s="52" t="str">
        <f aca="false">IF(D4234&lt;&gt;"",IFERROR(VLOOKUP(D4234,PROVEEDORES!$A:$B,2,0),"!COD NO ENCONTRADO"),"")</f>
        <v/>
      </c>
      <c r="F4234" s="76" t="str">
        <f aca="false">IF(D4234&lt;&gt;"",IFERROR(VLOOKUP(D4234,PROVEEDORES!$A:$C,3,0),""),"")</f>
        <v/>
      </c>
      <c r="G4234" s="75"/>
      <c r="H4234" s="52" t="str">
        <f aca="false">IF(G4234&lt;&gt;"",IFERROR(VLOOKUP(G4234,PRODUCTOS!$A:$B,2,0),"!COD NO ENCONTRADO"),"")</f>
        <v/>
      </c>
      <c r="I4234" s="77"/>
      <c r="J4234" s="78"/>
      <c r="K4234" s="79"/>
      <c r="L4234" s="80" t="str">
        <f aca="false">IF(AND(J4234&lt;&gt;"",K4234&lt;&gt;""),J4234*K4234,"")</f>
        <v/>
      </c>
      <c r="M4234" s="81" t="str">
        <f aca="false">IF(L4234&lt;&gt;"",L4234*1.1,"")</f>
        <v/>
      </c>
      <c r="N4234" s="53" t="n">
        <f aca="false">IF(F4234="S",L4234*0.02,0)</f>
        <v>0</v>
      </c>
      <c r="O4234" s="82" t="str">
        <f aca="false">IF(L4234&lt;&gt;"",L4234+N4234,"")</f>
        <v/>
      </c>
      <c r="P4234" s="53" t="str">
        <f aca="false">IF(O4234&lt;&gt;"",O4234*0.1,"")</f>
        <v/>
      </c>
      <c r="Q4234" s="83" t="str">
        <f aca="false">IF(O4234&lt;&gt;"",O4234+P4234,"")</f>
        <v/>
      </c>
      <c r="R4234" s="84"/>
    </row>
    <row r="4235" customFormat="false" ht="15" hidden="false" customHeight="true" outlineLevel="0" collapsed="false">
      <c r="A4235" s="103"/>
      <c r="B4235" s="85"/>
      <c r="C4235" s="86"/>
      <c r="D4235" s="87"/>
      <c r="E4235" s="46" t="str">
        <f aca="false">IF(D4235&lt;&gt;"",IFERROR(VLOOKUP(D4235,PROVEEDORES!$A:$B,2,0),"!COD NO ENCONTRADO"),"")</f>
        <v/>
      </c>
      <c r="F4235" s="88" t="str">
        <f aca="false">IF(D4235&lt;&gt;"",IFERROR(VLOOKUP(D4235,PROVEEDORES!$A:$C,3,0),""),"")</f>
        <v/>
      </c>
      <c r="G4235" s="87"/>
      <c r="H4235" s="46" t="str">
        <f aca="false">IF(G4235&lt;&gt;"",IFERROR(VLOOKUP(G4235,PRODUCTOS!$A:$B,2,0),"!COD NO ENCONTRADO"),"")</f>
        <v/>
      </c>
      <c r="I4235" s="89"/>
      <c r="J4235" s="90"/>
      <c r="K4235" s="91"/>
      <c r="L4235" s="80" t="str">
        <f aca="false">IF(AND(J4235&lt;&gt;"",K4235&lt;&gt;""),J4235*K4235,"")</f>
        <v/>
      </c>
      <c r="M4235" s="81" t="str">
        <f aca="false">IF(L4235&lt;&gt;"",L4235*1.1,"")</f>
        <v/>
      </c>
      <c r="N4235" s="47" t="n">
        <f aca="false">IF(F4235="S",L4235*0.02,0)</f>
        <v>0</v>
      </c>
      <c r="O4235" s="82" t="str">
        <f aca="false">IF(L4235&lt;&gt;"",L4235+N4235,"")</f>
        <v/>
      </c>
      <c r="P4235" s="47" t="str">
        <f aca="false">IF(O4235&lt;&gt;"",O4235*0.1,"")</f>
        <v/>
      </c>
      <c r="Q4235" s="83" t="str">
        <f aca="false">IF(O4235&lt;&gt;"",O4235+P4235,"")</f>
        <v/>
      </c>
      <c r="R4235" s="84"/>
    </row>
    <row r="4236" customFormat="false" ht="15" hidden="false" customHeight="true" outlineLevel="0" collapsed="false">
      <c r="A4236" s="103"/>
      <c r="B4236" s="73"/>
      <c r="C4236" s="74"/>
      <c r="D4236" s="75"/>
      <c r="E4236" s="52" t="str">
        <f aca="false">IF(D4236&lt;&gt;"",IFERROR(VLOOKUP(D4236,PROVEEDORES!$A:$B,2,0),"!COD NO ENCONTRADO"),"")</f>
        <v/>
      </c>
      <c r="F4236" s="76" t="str">
        <f aca="false">IF(D4236&lt;&gt;"",IFERROR(VLOOKUP(D4236,PROVEEDORES!$A:$C,3,0),""),"")</f>
        <v/>
      </c>
      <c r="G4236" s="75"/>
      <c r="H4236" s="52" t="str">
        <f aca="false">IF(G4236&lt;&gt;"",IFERROR(VLOOKUP(G4236,PRODUCTOS!$A:$B,2,0),"!COD NO ENCONTRADO"),"")</f>
        <v/>
      </c>
      <c r="I4236" s="77"/>
      <c r="J4236" s="78"/>
      <c r="K4236" s="79"/>
      <c r="L4236" s="80" t="str">
        <f aca="false">IF(AND(J4236&lt;&gt;"",K4236&lt;&gt;""),J4236*K4236,"")</f>
        <v/>
      </c>
      <c r="M4236" s="81" t="str">
        <f aca="false">IF(L4236&lt;&gt;"",L4236*1.1,"")</f>
        <v/>
      </c>
      <c r="N4236" s="53" t="n">
        <f aca="false">IF(F4236="S",L4236*0.02,0)</f>
        <v>0</v>
      </c>
      <c r="O4236" s="82" t="str">
        <f aca="false">IF(L4236&lt;&gt;"",L4236+N4236,"")</f>
        <v/>
      </c>
      <c r="P4236" s="53" t="str">
        <f aca="false">IF(O4236&lt;&gt;"",O4236*0.1,"")</f>
        <v/>
      </c>
      <c r="Q4236" s="83" t="str">
        <f aca="false">IF(O4236&lt;&gt;"",O4236+P4236,"")</f>
        <v/>
      </c>
      <c r="R4236" s="84"/>
    </row>
    <row r="4237" customFormat="false" ht="15" hidden="false" customHeight="true" outlineLevel="0" collapsed="false">
      <c r="A4237" s="103"/>
      <c r="B4237" s="85"/>
      <c r="C4237" s="86"/>
      <c r="D4237" s="87"/>
      <c r="E4237" s="46" t="str">
        <f aca="false">IF(D4237&lt;&gt;"",IFERROR(VLOOKUP(D4237,PROVEEDORES!$A:$B,2,0),"!COD NO ENCONTRADO"),"")</f>
        <v/>
      </c>
      <c r="F4237" s="88" t="str">
        <f aca="false">IF(D4237&lt;&gt;"",IFERROR(VLOOKUP(D4237,PROVEEDORES!$A:$C,3,0),""),"")</f>
        <v/>
      </c>
      <c r="G4237" s="87"/>
      <c r="H4237" s="46" t="str">
        <f aca="false">IF(G4237&lt;&gt;"",IFERROR(VLOOKUP(G4237,PRODUCTOS!$A:$B,2,0),"!COD NO ENCONTRADO"),"")</f>
        <v/>
      </c>
      <c r="I4237" s="89"/>
      <c r="J4237" s="90"/>
      <c r="K4237" s="91"/>
      <c r="L4237" s="80" t="str">
        <f aca="false">IF(AND(J4237&lt;&gt;"",K4237&lt;&gt;""),J4237*K4237,"")</f>
        <v/>
      </c>
      <c r="M4237" s="81" t="str">
        <f aca="false">IF(L4237&lt;&gt;"",L4237*1.1,"")</f>
        <v/>
      </c>
      <c r="N4237" s="47" t="n">
        <f aca="false">IF(F4237="S",L4237*0.02,0)</f>
        <v>0</v>
      </c>
      <c r="O4237" s="82" t="str">
        <f aca="false">IF(L4237&lt;&gt;"",L4237+N4237,"")</f>
        <v/>
      </c>
      <c r="P4237" s="47" t="str">
        <f aca="false">IF(O4237&lt;&gt;"",O4237*0.1,"")</f>
        <v/>
      </c>
      <c r="Q4237" s="83" t="str">
        <f aca="false">IF(O4237&lt;&gt;"",O4237+P4237,"")</f>
        <v/>
      </c>
      <c r="R4237" s="84"/>
    </row>
    <row r="4238" customFormat="false" ht="15" hidden="false" customHeight="true" outlineLevel="0" collapsed="false">
      <c r="A4238" s="103"/>
      <c r="B4238" s="73"/>
      <c r="C4238" s="74"/>
      <c r="D4238" s="75"/>
      <c r="E4238" s="52" t="str">
        <f aca="false">IF(D4238&lt;&gt;"",IFERROR(VLOOKUP(D4238,PROVEEDORES!$A:$B,2,0),"!COD NO ENCONTRADO"),"")</f>
        <v/>
      </c>
      <c r="F4238" s="76" t="str">
        <f aca="false">IF(D4238&lt;&gt;"",IFERROR(VLOOKUP(D4238,PROVEEDORES!$A:$C,3,0),""),"")</f>
        <v/>
      </c>
      <c r="G4238" s="75"/>
      <c r="H4238" s="52" t="str">
        <f aca="false">IF(G4238&lt;&gt;"",IFERROR(VLOOKUP(G4238,PRODUCTOS!$A:$B,2,0),"!COD NO ENCONTRADO"),"")</f>
        <v/>
      </c>
      <c r="I4238" s="77"/>
      <c r="J4238" s="78"/>
      <c r="K4238" s="79"/>
      <c r="L4238" s="80" t="str">
        <f aca="false">IF(AND(J4238&lt;&gt;"",K4238&lt;&gt;""),J4238*K4238,"")</f>
        <v/>
      </c>
      <c r="M4238" s="81" t="str">
        <f aca="false">IF(L4238&lt;&gt;"",L4238*1.1,"")</f>
        <v/>
      </c>
      <c r="N4238" s="53" t="n">
        <f aca="false">IF(F4238="S",L4238*0.02,0)</f>
        <v>0</v>
      </c>
      <c r="O4238" s="82" t="str">
        <f aca="false">IF(L4238&lt;&gt;"",L4238+N4238,"")</f>
        <v/>
      </c>
      <c r="P4238" s="53" t="str">
        <f aca="false">IF(O4238&lt;&gt;"",O4238*0.1,"")</f>
        <v/>
      </c>
      <c r="Q4238" s="83" t="str">
        <f aca="false">IF(O4238&lt;&gt;"",O4238+P4238,"")</f>
        <v/>
      </c>
      <c r="R4238" s="84"/>
    </row>
    <row r="4239" customFormat="false" ht="15" hidden="false" customHeight="true" outlineLevel="0" collapsed="false">
      <c r="A4239" s="103"/>
      <c r="B4239" s="85"/>
      <c r="C4239" s="86"/>
      <c r="D4239" s="87"/>
      <c r="E4239" s="46" t="str">
        <f aca="false">IF(D4239&lt;&gt;"",IFERROR(VLOOKUP(D4239,PROVEEDORES!$A:$B,2,0),"!COD NO ENCONTRADO"),"")</f>
        <v/>
      </c>
      <c r="F4239" s="88" t="str">
        <f aca="false">IF(D4239&lt;&gt;"",IFERROR(VLOOKUP(D4239,PROVEEDORES!$A:$C,3,0),""),"")</f>
        <v/>
      </c>
      <c r="G4239" s="87"/>
      <c r="H4239" s="46" t="str">
        <f aca="false">IF(G4239&lt;&gt;"",IFERROR(VLOOKUP(G4239,PRODUCTOS!$A:$B,2,0),"!COD NO ENCONTRADO"),"")</f>
        <v/>
      </c>
      <c r="I4239" s="89"/>
      <c r="J4239" s="90"/>
      <c r="K4239" s="91"/>
      <c r="L4239" s="80" t="str">
        <f aca="false">IF(AND(J4239&lt;&gt;"",K4239&lt;&gt;""),J4239*K4239,"")</f>
        <v/>
      </c>
      <c r="M4239" s="81" t="str">
        <f aca="false">IF(L4239&lt;&gt;"",L4239*1.1,"")</f>
        <v/>
      </c>
      <c r="N4239" s="47" t="n">
        <f aca="false">IF(F4239="S",L4239*0.02,0)</f>
        <v>0</v>
      </c>
      <c r="O4239" s="82" t="str">
        <f aca="false">IF(L4239&lt;&gt;"",L4239+N4239,"")</f>
        <v/>
      </c>
      <c r="P4239" s="47" t="str">
        <f aca="false">IF(O4239&lt;&gt;"",O4239*0.1,"")</f>
        <v/>
      </c>
      <c r="Q4239" s="83" t="str">
        <f aca="false">IF(O4239&lt;&gt;"",O4239+P4239,"")</f>
        <v/>
      </c>
      <c r="R4239" s="84"/>
    </row>
    <row r="4240" customFormat="false" ht="15" hidden="false" customHeight="true" outlineLevel="0" collapsed="false">
      <c r="A4240" s="103"/>
      <c r="B4240" s="73"/>
      <c r="C4240" s="74"/>
      <c r="D4240" s="75"/>
      <c r="E4240" s="52" t="str">
        <f aca="false">IF(D4240&lt;&gt;"",IFERROR(VLOOKUP(D4240,PROVEEDORES!$A:$B,2,0),"!COD NO ENCONTRADO"),"")</f>
        <v/>
      </c>
      <c r="F4240" s="76" t="str">
        <f aca="false">IF(D4240&lt;&gt;"",IFERROR(VLOOKUP(D4240,PROVEEDORES!$A:$C,3,0),""),"")</f>
        <v/>
      </c>
      <c r="G4240" s="75"/>
      <c r="H4240" s="52" t="str">
        <f aca="false">IF(G4240&lt;&gt;"",IFERROR(VLOOKUP(G4240,PRODUCTOS!$A:$B,2,0),"!COD NO ENCONTRADO"),"")</f>
        <v/>
      </c>
      <c r="I4240" s="77"/>
      <c r="J4240" s="78"/>
      <c r="K4240" s="79"/>
      <c r="L4240" s="80" t="str">
        <f aca="false">IF(AND(J4240&lt;&gt;"",K4240&lt;&gt;""),J4240*K4240,"")</f>
        <v/>
      </c>
      <c r="M4240" s="81" t="str">
        <f aca="false">IF(L4240&lt;&gt;"",L4240*1.1,"")</f>
        <v/>
      </c>
      <c r="N4240" s="53" t="n">
        <f aca="false">IF(F4240="S",L4240*0.02,0)</f>
        <v>0</v>
      </c>
      <c r="O4240" s="82" t="str">
        <f aca="false">IF(L4240&lt;&gt;"",L4240+N4240,"")</f>
        <v/>
      </c>
      <c r="P4240" s="53" t="str">
        <f aca="false">IF(O4240&lt;&gt;"",O4240*0.1,"")</f>
        <v/>
      </c>
      <c r="Q4240" s="83" t="str">
        <f aca="false">IF(O4240&lt;&gt;"",O4240+P4240,"")</f>
        <v/>
      </c>
      <c r="R4240" s="84"/>
    </row>
    <row r="4241" customFormat="false" ht="15" hidden="false" customHeight="true" outlineLevel="0" collapsed="false">
      <c r="A4241" s="103"/>
      <c r="B4241" s="85"/>
      <c r="C4241" s="86"/>
      <c r="D4241" s="87"/>
      <c r="E4241" s="46" t="str">
        <f aca="false">IF(D4241&lt;&gt;"",IFERROR(VLOOKUP(D4241,PROVEEDORES!$A:$B,2,0),"!COD NO ENCONTRADO"),"")</f>
        <v/>
      </c>
      <c r="F4241" s="88" t="str">
        <f aca="false">IF(D4241&lt;&gt;"",IFERROR(VLOOKUP(D4241,PROVEEDORES!$A:$C,3,0),""),"")</f>
        <v/>
      </c>
      <c r="G4241" s="87"/>
      <c r="H4241" s="46" t="str">
        <f aca="false">IF(G4241&lt;&gt;"",IFERROR(VLOOKUP(G4241,PRODUCTOS!$A:$B,2,0),"!COD NO ENCONTRADO"),"")</f>
        <v/>
      </c>
      <c r="I4241" s="89"/>
      <c r="J4241" s="90"/>
      <c r="K4241" s="91"/>
      <c r="L4241" s="80" t="str">
        <f aca="false">IF(AND(J4241&lt;&gt;"",K4241&lt;&gt;""),J4241*K4241,"")</f>
        <v/>
      </c>
      <c r="M4241" s="81" t="str">
        <f aca="false">IF(L4241&lt;&gt;"",L4241*1.1,"")</f>
        <v/>
      </c>
      <c r="N4241" s="47" t="n">
        <f aca="false">IF(F4241="S",L4241*0.02,0)</f>
        <v>0</v>
      </c>
      <c r="O4241" s="82" t="str">
        <f aca="false">IF(L4241&lt;&gt;"",L4241+N4241,"")</f>
        <v/>
      </c>
      <c r="P4241" s="47" t="str">
        <f aca="false">IF(O4241&lt;&gt;"",O4241*0.1,"")</f>
        <v/>
      </c>
      <c r="Q4241" s="83" t="str">
        <f aca="false">IF(O4241&lt;&gt;"",O4241+P4241,"")</f>
        <v/>
      </c>
      <c r="R4241" s="84"/>
    </row>
    <row r="4242" customFormat="false" ht="15" hidden="false" customHeight="true" outlineLevel="0" collapsed="false">
      <c r="A4242" s="103"/>
      <c r="B4242" s="73"/>
      <c r="C4242" s="74"/>
      <c r="D4242" s="75"/>
      <c r="E4242" s="52" t="str">
        <f aca="false">IF(D4242&lt;&gt;"",IFERROR(VLOOKUP(D4242,PROVEEDORES!$A:$B,2,0),"!COD NO ENCONTRADO"),"")</f>
        <v/>
      </c>
      <c r="F4242" s="76" t="str">
        <f aca="false">IF(D4242&lt;&gt;"",IFERROR(VLOOKUP(D4242,PROVEEDORES!$A:$C,3,0),""),"")</f>
        <v/>
      </c>
      <c r="G4242" s="75"/>
      <c r="H4242" s="52" t="str">
        <f aca="false">IF(G4242&lt;&gt;"",IFERROR(VLOOKUP(G4242,PRODUCTOS!$A:$B,2,0),"!COD NO ENCONTRADO"),"")</f>
        <v/>
      </c>
      <c r="I4242" s="77"/>
      <c r="J4242" s="78"/>
      <c r="K4242" s="79"/>
      <c r="L4242" s="80" t="str">
        <f aca="false">IF(AND(J4242&lt;&gt;"",K4242&lt;&gt;""),J4242*K4242,"")</f>
        <v/>
      </c>
      <c r="M4242" s="81" t="str">
        <f aca="false">IF(L4242&lt;&gt;"",L4242*1.1,"")</f>
        <v/>
      </c>
      <c r="N4242" s="53" t="n">
        <f aca="false">IF(F4242="S",L4242*0.02,0)</f>
        <v>0</v>
      </c>
      <c r="O4242" s="82" t="str">
        <f aca="false">IF(L4242&lt;&gt;"",L4242+N4242,"")</f>
        <v/>
      </c>
      <c r="P4242" s="53" t="str">
        <f aca="false">IF(O4242&lt;&gt;"",O4242*0.1,"")</f>
        <v/>
      </c>
      <c r="Q4242" s="83" t="str">
        <f aca="false">IF(O4242&lt;&gt;"",O4242+P4242,"")</f>
        <v/>
      </c>
      <c r="R4242" s="84"/>
    </row>
    <row r="4243" customFormat="false" ht="15" hidden="false" customHeight="true" outlineLevel="0" collapsed="false">
      <c r="A4243" s="103"/>
      <c r="B4243" s="85"/>
      <c r="C4243" s="86"/>
      <c r="D4243" s="87"/>
      <c r="E4243" s="46" t="str">
        <f aca="false">IF(D4243&lt;&gt;"",IFERROR(VLOOKUP(D4243,PROVEEDORES!$A:$B,2,0),"!COD NO ENCONTRADO"),"")</f>
        <v/>
      </c>
      <c r="F4243" s="88" t="str">
        <f aca="false">IF(D4243&lt;&gt;"",IFERROR(VLOOKUP(D4243,PROVEEDORES!$A:$C,3,0),""),"")</f>
        <v/>
      </c>
      <c r="G4243" s="87"/>
      <c r="H4243" s="46" t="str">
        <f aca="false">IF(G4243&lt;&gt;"",IFERROR(VLOOKUP(G4243,PRODUCTOS!$A:$B,2,0),"!COD NO ENCONTRADO"),"")</f>
        <v/>
      </c>
      <c r="I4243" s="89"/>
      <c r="J4243" s="90"/>
      <c r="K4243" s="91"/>
      <c r="L4243" s="80" t="str">
        <f aca="false">IF(AND(J4243&lt;&gt;"",K4243&lt;&gt;""),J4243*K4243,"")</f>
        <v/>
      </c>
      <c r="M4243" s="81" t="str">
        <f aca="false">IF(L4243&lt;&gt;"",L4243*1.1,"")</f>
        <v/>
      </c>
      <c r="N4243" s="47" t="n">
        <f aca="false">IF(F4243="S",L4243*0.02,0)</f>
        <v>0</v>
      </c>
      <c r="O4243" s="82" t="str">
        <f aca="false">IF(L4243&lt;&gt;"",L4243+N4243,"")</f>
        <v/>
      </c>
      <c r="P4243" s="47" t="str">
        <f aca="false">IF(O4243&lt;&gt;"",O4243*0.1,"")</f>
        <v/>
      </c>
      <c r="Q4243" s="83" t="str">
        <f aca="false">IF(O4243&lt;&gt;"",O4243+P4243,"")</f>
        <v/>
      </c>
      <c r="R4243" s="84"/>
    </row>
    <row r="4244" customFormat="false" ht="15" hidden="false" customHeight="true" outlineLevel="0" collapsed="false">
      <c r="A4244" s="103"/>
      <c r="B4244" s="73"/>
      <c r="C4244" s="74"/>
      <c r="D4244" s="75"/>
      <c r="E4244" s="52" t="str">
        <f aca="false">IF(D4244&lt;&gt;"",IFERROR(VLOOKUP(D4244,PROVEEDORES!$A:$B,2,0),"!COD NO ENCONTRADO"),"")</f>
        <v/>
      </c>
      <c r="F4244" s="76" t="str">
        <f aca="false">IF(D4244&lt;&gt;"",IFERROR(VLOOKUP(D4244,PROVEEDORES!$A:$C,3,0),""),"")</f>
        <v/>
      </c>
      <c r="G4244" s="75"/>
      <c r="H4244" s="52" t="str">
        <f aca="false">IF(G4244&lt;&gt;"",IFERROR(VLOOKUP(G4244,PRODUCTOS!$A:$B,2,0),"!COD NO ENCONTRADO"),"")</f>
        <v/>
      </c>
      <c r="I4244" s="77"/>
      <c r="J4244" s="78"/>
      <c r="K4244" s="79"/>
      <c r="L4244" s="80" t="str">
        <f aca="false">IF(AND(J4244&lt;&gt;"",K4244&lt;&gt;""),J4244*K4244,"")</f>
        <v/>
      </c>
      <c r="M4244" s="81" t="str">
        <f aca="false">IF(L4244&lt;&gt;"",L4244*1.1,"")</f>
        <v/>
      </c>
      <c r="N4244" s="53" t="n">
        <f aca="false">IF(F4244="S",L4244*0.02,0)</f>
        <v>0</v>
      </c>
      <c r="O4244" s="82" t="str">
        <f aca="false">IF(L4244&lt;&gt;"",L4244+N4244,"")</f>
        <v/>
      </c>
      <c r="P4244" s="53" t="str">
        <f aca="false">IF(O4244&lt;&gt;"",O4244*0.1,"")</f>
        <v/>
      </c>
      <c r="Q4244" s="83" t="str">
        <f aca="false">IF(O4244&lt;&gt;"",O4244+P4244,"")</f>
        <v/>
      </c>
      <c r="R4244" s="84"/>
    </row>
    <row r="4245" customFormat="false" ht="15" hidden="false" customHeight="true" outlineLevel="0" collapsed="false">
      <c r="A4245" s="103"/>
      <c r="B4245" s="85"/>
      <c r="C4245" s="86"/>
      <c r="D4245" s="87"/>
      <c r="E4245" s="46" t="str">
        <f aca="false">IF(D4245&lt;&gt;"",IFERROR(VLOOKUP(D4245,PROVEEDORES!$A:$B,2,0),"!COD NO ENCONTRADO"),"")</f>
        <v/>
      </c>
      <c r="F4245" s="88" t="str">
        <f aca="false">IF(D4245&lt;&gt;"",IFERROR(VLOOKUP(D4245,PROVEEDORES!$A:$C,3,0),""),"")</f>
        <v/>
      </c>
      <c r="G4245" s="87"/>
      <c r="H4245" s="46" t="str">
        <f aca="false">IF(G4245&lt;&gt;"",IFERROR(VLOOKUP(G4245,PRODUCTOS!$A:$B,2,0),"!COD NO ENCONTRADO"),"")</f>
        <v/>
      </c>
      <c r="I4245" s="89"/>
      <c r="J4245" s="90"/>
      <c r="K4245" s="91"/>
      <c r="L4245" s="80" t="str">
        <f aca="false">IF(AND(J4245&lt;&gt;"",K4245&lt;&gt;""),J4245*K4245,"")</f>
        <v/>
      </c>
      <c r="M4245" s="81" t="str">
        <f aca="false">IF(L4245&lt;&gt;"",L4245*1.1,"")</f>
        <v/>
      </c>
      <c r="N4245" s="47" t="n">
        <f aca="false">IF(F4245="S",L4245*0.02,0)</f>
        <v>0</v>
      </c>
      <c r="O4245" s="82" t="str">
        <f aca="false">IF(L4245&lt;&gt;"",L4245+N4245,"")</f>
        <v/>
      </c>
      <c r="P4245" s="47" t="str">
        <f aca="false">IF(O4245&lt;&gt;"",O4245*0.1,"")</f>
        <v/>
      </c>
      <c r="Q4245" s="83" t="str">
        <f aca="false">IF(O4245&lt;&gt;"",O4245+P4245,"")</f>
        <v/>
      </c>
      <c r="R4245" s="84"/>
    </row>
    <row r="4246" customFormat="false" ht="15" hidden="false" customHeight="true" outlineLevel="0" collapsed="false">
      <c r="A4246" s="103"/>
      <c r="B4246" s="73"/>
      <c r="C4246" s="74"/>
      <c r="D4246" s="75"/>
      <c r="E4246" s="52" t="str">
        <f aca="false">IF(D4246&lt;&gt;"",IFERROR(VLOOKUP(D4246,PROVEEDORES!$A:$B,2,0),"!COD NO ENCONTRADO"),"")</f>
        <v/>
      </c>
      <c r="F4246" s="76" t="str">
        <f aca="false">IF(D4246&lt;&gt;"",IFERROR(VLOOKUP(D4246,PROVEEDORES!$A:$C,3,0),""),"")</f>
        <v/>
      </c>
      <c r="G4246" s="75"/>
      <c r="H4246" s="52" t="str">
        <f aca="false">IF(G4246&lt;&gt;"",IFERROR(VLOOKUP(G4246,PRODUCTOS!$A:$B,2,0),"!COD NO ENCONTRADO"),"")</f>
        <v/>
      </c>
      <c r="I4246" s="77"/>
      <c r="J4246" s="78"/>
      <c r="K4246" s="79"/>
      <c r="L4246" s="80" t="str">
        <f aca="false">IF(AND(J4246&lt;&gt;"",K4246&lt;&gt;""),J4246*K4246,"")</f>
        <v/>
      </c>
      <c r="M4246" s="81" t="str">
        <f aca="false">IF(L4246&lt;&gt;"",L4246*1.1,"")</f>
        <v/>
      </c>
      <c r="N4246" s="53" t="n">
        <f aca="false">IF(F4246="S",L4246*0.02,0)</f>
        <v>0</v>
      </c>
      <c r="O4246" s="82" t="str">
        <f aca="false">IF(L4246&lt;&gt;"",L4246+N4246,"")</f>
        <v/>
      </c>
      <c r="P4246" s="53" t="str">
        <f aca="false">IF(O4246&lt;&gt;"",O4246*0.1,"")</f>
        <v/>
      </c>
      <c r="Q4246" s="83" t="str">
        <f aca="false">IF(O4246&lt;&gt;"",O4246+P4246,"")</f>
        <v/>
      </c>
      <c r="R4246" s="84"/>
    </row>
    <row r="4247" customFormat="false" ht="15" hidden="false" customHeight="true" outlineLevel="0" collapsed="false">
      <c r="A4247" s="103"/>
      <c r="B4247" s="85"/>
      <c r="C4247" s="86"/>
      <c r="D4247" s="87"/>
      <c r="E4247" s="46" t="str">
        <f aca="false">IF(D4247&lt;&gt;"",IFERROR(VLOOKUP(D4247,PROVEEDORES!$A:$B,2,0),"!COD NO ENCONTRADO"),"")</f>
        <v/>
      </c>
      <c r="F4247" s="88" t="str">
        <f aca="false">IF(D4247&lt;&gt;"",IFERROR(VLOOKUP(D4247,PROVEEDORES!$A:$C,3,0),""),"")</f>
        <v/>
      </c>
      <c r="G4247" s="87"/>
      <c r="H4247" s="46" t="str">
        <f aca="false">IF(G4247&lt;&gt;"",IFERROR(VLOOKUP(G4247,PRODUCTOS!$A:$B,2,0),"!COD NO ENCONTRADO"),"")</f>
        <v/>
      </c>
      <c r="I4247" s="89"/>
      <c r="J4247" s="90"/>
      <c r="K4247" s="91"/>
      <c r="L4247" s="80" t="str">
        <f aca="false">IF(AND(J4247&lt;&gt;"",K4247&lt;&gt;""),J4247*K4247,"")</f>
        <v/>
      </c>
      <c r="M4247" s="81" t="str">
        <f aca="false">IF(L4247&lt;&gt;"",L4247*1.1,"")</f>
        <v/>
      </c>
      <c r="N4247" s="47" t="n">
        <f aca="false">IF(F4247="S",L4247*0.02,0)</f>
        <v>0</v>
      </c>
      <c r="O4247" s="82" t="str">
        <f aca="false">IF(L4247&lt;&gt;"",L4247+N4247,"")</f>
        <v/>
      </c>
      <c r="P4247" s="47" t="str">
        <f aca="false">IF(O4247&lt;&gt;"",O4247*0.1,"")</f>
        <v/>
      </c>
      <c r="Q4247" s="83" t="str">
        <f aca="false">IF(O4247&lt;&gt;"",O4247+P4247,"")</f>
        <v/>
      </c>
      <c r="R4247" s="84"/>
    </row>
    <row r="4248" customFormat="false" ht="15" hidden="false" customHeight="true" outlineLevel="0" collapsed="false">
      <c r="A4248" s="103"/>
      <c r="B4248" s="73"/>
      <c r="C4248" s="74"/>
      <c r="D4248" s="75"/>
      <c r="E4248" s="52" t="str">
        <f aca="false">IF(D4248&lt;&gt;"",IFERROR(VLOOKUP(D4248,PROVEEDORES!$A:$B,2,0),"!COD NO ENCONTRADO"),"")</f>
        <v/>
      </c>
      <c r="F4248" s="76" t="str">
        <f aca="false">IF(D4248&lt;&gt;"",IFERROR(VLOOKUP(D4248,PROVEEDORES!$A:$C,3,0),""),"")</f>
        <v/>
      </c>
      <c r="G4248" s="75"/>
      <c r="H4248" s="52" t="str">
        <f aca="false">IF(G4248&lt;&gt;"",IFERROR(VLOOKUP(G4248,PRODUCTOS!$A:$B,2,0),"!COD NO ENCONTRADO"),"")</f>
        <v/>
      </c>
      <c r="I4248" s="77"/>
      <c r="J4248" s="78"/>
      <c r="K4248" s="79"/>
      <c r="L4248" s="80" t="str">
        <f aca="false">IF(AND(J4248&lt;&gt;"",K4248&lt;&gt;""),J4248*K4248,"")</f>
        <v/>
      </c>
      <c r="M4248" s="81" t="str">
        <f aca="false">IF(L4248&lt;&gt;"",L4248*1.1,"")</f>
        <v/>
      </c>
      <c r="N4248" s="53" t="n">
        <f aca="false">IF(F4248="S",L4248*0.02,0)</f>
        <v>0</v>
      </c>
      <c r="O4248" s="82" t="str">
        <f aca="false">IF(L4248&lt;&gt;"",L4248+N4248,"")</f>
        <v/>
      </c>
      <c r="P4248" s="53" t="str">
        <f aca="false">IF(O4248&lt;&gt;"",O4248*0.1,"")</f>
        <v/>
      </c>
      <c r="Q4248" s="83" t="str">
        <f aca="false">IF(O4248&lt;&gt;"",O4248+P4248,"")</f>
        <v/>
      </c>
      <c r="R4248" s="84"/>
    </row>
    <row r="4249" customFormat="false" ht="15" hidden="false" customHeight="true" outlineLevel="0" collapsed="false">
      <c r="A4249" s="103"/>
      <c r="B4249" s="85"/>
      <c r="C4249" s="86"/>
      <c r="D4249" s="87"/>
      <c r="E4249" s="46" t="str">
        <f aca="false">IF(D4249&lt;&gt;"",IFERROR(VLOOKUP(D4249,PROVEEDORES!$A:$B,2,0),"!COD NO ENCONTRADO"),"")</f>
        <v/>
      </c>
      <c r="F4249" s="88" t="str">
        <f aca="false">IF(D4249&lt;&gt;"",IFERROR(VLOOKUP(D4249,PROVEEDORES!$A:$C,3,0),""),"")</f>
        <v/>
      </c>
      <c r="G4249" s="87"/>
      <c r="H4249" s="46" t="str">
        <f aca="false">IF(G4249&lt;&gt;"",IFERROR(VLOOKUP(G4249,PRODUCTOS!$A:$B,2,0),"!COD NO ENCONTRADO"),"")</f>
        <v/>
      </c>
      <c r="I4249" s="89"/>
      <c r="J4249" s="90"/>
      <c r="K4249" s="91"/>
      <c r="L4249" s="80" t="str">
        <f aca="false">IF(AND(J4249&lt;&gt;"",K4249&lt;&gt;""),J4249*K4249,"")</f>
        <v/>
      </c>
      <c r="M4249" s="81" t="str">
        <f aca="false">IF(L4249&lt;&gt;"",L4249*1.1,"")</f>
        <v/>
      </c>
      <c r="N4249" s="47" t="n">
        <f aca="false">IF(F4249="S",L4249*0.02,0)</f>
        <v>0</v>
      </c>
      <c r="O4249" s="82" t="str">
        <f aca="false">IF(L4249&lt;&gt;"",L4249+N4249,"")</f>
        <v/>
      </c>
      <c r="P4249" s="47" t="str">
        <f aca="false">IF(O4249&lt;&gt;"",O4249*0.1,"")</f>
        <v/>
      </c>
      <c r="Q4249" s="83" t="str">
        <f aca="false">IF(O4249&lt;&gt;"",O4249+P4249,"")</f>
        <v/>
      </c>
      <c r="R4249" s="84"/>
    </row>
    <row r="4250" customFormat="false" ht="15" hidden="false" customHeight="true" outlineLevel="0" collapsed="false">
      <c r="A4250" s="103"/>
      <c r="B4250" s="73"/>
      <c r="C4250" s="74"/>
      <c r="D4250" s="75"/>
      <c r="E4250" s="52" t="str">
        <f aca="false">IF(D4250&lt;&gt;"",IFERROR(VLOOKUP(D4250,PROVEEDORES!$A:$B,2,0),"!COD NO ENCONTRADO"),"")</f>
        <v/>
      </c>
      <c r="F4250" s="76" t="str">
        <f aca="false">IF(D4250&lt;&gt;"",IFERROR(VLOOKUP(D4250,PROVEEDORES!$A:$C,3,0),""),"")</f>
        <v/>
      </c>
      <c r="G4250" s="75"/>
      <c r="H4250" s="52" t="str">
        <f aca="false">IF(G4250&lt;&gt;"",IFERROR(VLOOKUP(G4250,PRODUCTOS!$A:$B,2,0),"!COD NO ENCONTRADO"),"")</f>
        <v/>
      </c>
      <c r="I4250" s="77"/>
      <c r="J4250" s="78"/>
      <c r="K4250" s="79"/>
      <c r="L4250" s="80" t="str">
        <f aca="false">IF(AND(J4250&lt;&gt;"",K4250&lt;&gt;""),J4250*K4250,"")</f>
        <v/>
      </c>
      <c r="M4250" s="81" t="str">
        <f aca="false">IF(L4250&lt;&gt;"",L4250*1.1,"")</f>
        <v/>
      </c>
      <c r="N4250" s="53" t="n">
        <f aca="false">IF(F4250="S",L4250*0.02,0)</f>
        <v>0</v>
      </c>
      <c r="O4250" s="82" t="str">
        <f aca="false">IF(L4250&lt;&gt;"",L4250+N4250,"")</f>
        <v/>
      </c>
      <c r="P4250" s="53" t="str">
        <f aca="false">IF(O4250&lt;&gt;"",O4250*0.1,"")</f>
        <v/>
      </c>
      <c r="Q4250" s="83" t="str">
        <f aca="false">IF(O4250&lt;&gt;"",O4250+P4250,"")</f>
        <v/>
      </c>
      <c r="R4250" s="84"/>
    </row>
    <row r="4251" customFormat="false" ht="15" hidden="false" customHeight="true" outlineLevel="0" collapsed="false">
      <c r="A4251" s="103"/>
      <c r="B4251" s="85"/>
      <c r="C4251" s="86"/>
      <c r="D4251" s="87"/>
      <c r="E4251" s="46" t="str">
        <f aca="false">IF(D4251&lt;&gt;"",IFERROR(VLOOKUP(D4251,PROVEEDORES!$A:$B,2,0),"!COD NO ENCONTRADO"),"")</f>
        <v/>
      </c>
      <c r="F4251" s="88" t="str">
        <f aca="false">IF(D4251&lt;&gt;"",IFERROR(VLOOKUP(D4251,PROVEEDORES!$A:$C,3,0),""),"")</f>
        <v/>
      </c>
      <c r="G4251" s="87"/>
      <c r="H4251" s="46" t="str">
        <f aca="false">IF(G4251&lt;&gt;"",IFERROR(VLOOKUP(G4251,PRODUCTOS!$A:$B,2,0),"!COD NO ENCONTRADO"),"")</f>
        <v/>
      </c>
      <c r="I4251" s="89"/>
      <c r="J4251" s="90"/>
      <c r="K4251" s="91"/>
      <c r="L4251" s="80" t="str">
        <f aca="false">IF(AND(J4251&lt;&gt;"",K4251&lt;&gt;""),J4251*K4251,"")</f>
        <v/>
      </c>
      <c r="M4251" s="81" t="str">
        <f aca="false">IF(L4251&lt;&gt;"",L4251*1.1,"")</f>
        <v/>
      </c>
      <c r="N4251" s="47" t="n">
        <f aca="false">IF(F4251="S",L4251*0.02,0)</f>
        <v>0</v>
      </c>
      <c r="O4251" s="82" t="str">
        <f aca="false">IF(L4251&lt;&gt;"",L4251+N4251,"")</f>
        <v/>
      </c>
      <c r="P4251" s="47" t="str">
        <f aca="false">IF(O4251&lt;&gt;"",O4251*0.1,"")</f>
        <v/>
      </c>
      <c r="Q4251" s="83" t="str">
        <f aca="false">IF(O4251&lt;&gt;"",O4251+P4251,"")</f>
        <v/>
      </c>
      <c r="R4251" s="84"/>
    </row>
    <row r="4252" customFormat="false" ht="15" hidden="false" customHeight="true" outlineLevel="0" collapsed="false">
      <c r="A4252" s="103"/>
      <c r="B4252" s="73"/>
      <c r="C4252" s="74"/>
      <c r="D4252" s="75"/>
      <c r="E4252" s="52" t="str">
        <f aca="false">IF(D4252&lt;&gt;"",IFERROR(VLOOKUP(D4252,PROVEEDORES!$A:$B,2,0),"!COD NO ENCONTRADO"),"")</f>
        <v/>
      </c>
      <c r="F4252" s="76" t="str">
        <f aca="false">IF(D4252&lt;&gt;"",IFERROR(VLOOKUP(D4252,PROVEEDORES!$A:$C,3,0),""),"")</f>
        <v/>
      </c>
      <c r="G4252" s="75"/>
      <c r="H4252" s="52" t="str">
        <f aca="false">IF(G4252&lt;&gt;"",IFERROR(VLOOKUP(G4252,PRODUCTOS!$A:$B,2,0),"!COD NO ENCONTRADO"),"")</f>
        <v/>
      </c>
      <c r="I4252" s="77"/>
      <c r="J4252" s="78"/>
      <c r="K4252" s="79"/>
      <c r="L4252" s="80" t="str">
        <f aca="false">IF(AND(J4252&lt;&gt;"",K4252&lt;&gt;""),J4252*K4252,"")</f>
        <v/>
      </c>
      <c r="M4252" s="81" t="str">
        <f aca="false">IF(L4252&lt;&gt;"",L4252*1.1,"")</f>
        <v/>
      </c>
      <c r="N4252" s="53" t="n">
        <f aca="false">IF(F4252="S",L4252*0.02,0)</f>
        <v>0</v>
      </c>
      <c r="O4252" s="82" t="str">
        <f aca="false">IF(L4252&lt;&gt;"",L4252+N4252,"")</f>
        <v/>
      </c>
      <c r="P4252" s="53" t="str">
        <f aca="false">IF(O4252&lt;&gt;"",O4252*0.1,"")</f>
        <v/>
      </c>
      <c r="Q4252" s="83" t="str">
        <f aca="false">IF(O4252&lt;&gt;"",O4252+P4252,"")</f>
        <v/>
      </c>
      <c r="R4252" s="84"/>
    </row>
    <row r="4253" customFormat="false" ht="15" hidden="false" customHeight="true" outlineLevel="0" collapsed="false">
      <c r="A4253" s="103"/>
      <c r="B4253" s="85"/>
      <c r="C4253" s="86"/>
      <c r="D4253" s="87"/>
      <c r="E4253" s="46" t="str">
        <f aca="false">IF(D4253&lt;&gt;"",IFERROR(VLOOKUP(D4253,PROVEEDORES!$A:$B,2,0),"!COD NO ENCONTRADO"),"")</f>
        <v/>
      </c>
      <c r="F4253" s="88" t="str">
        <f aca="false">IF(D4253&lt;&gt;"",IFERROR(VLOOKUP(D4253,PROVEEDORES!$A:$C,3,0),""),"")</f>
        <v/>
      </c>
      <c r="G4253" s="87"/>
      <c r="H4253" s="46" t="str">
        <f aca="false">IF(G4253&lt;&gt;"",IFERROR(VLOOKUP(G4253,PRODUCTOS!$A:$B,2,0),"!COD NO ENCONTRADO"),"")</f>
        <v/>
      </c>
      <c r="I4253" s="89"/>
      <c r="J4253" s="90"/>
      <c r="K4253" s="91"/>
      <c r="L4253" s="80" t="str">
        <f aca="false">IF(AND(J4253&lt;&gt;"",K4253&lt;&gt;""),J4253*K4253,"")</f>
        <v/>
      </c>
      <c r="M4253" s="81" t="str">
        <f aca="false">IF(L4253&lt;&gt;"",L4253*1.1,"")</f>
        <v/>
      </c>
      <c r="N4253" s="47" t="n">
        <f aca="false">IF(F4253="S",L4253*0.02,0)</f>
        <v>0</v>
      </c>
      <c r="O4253" s="82" t="str">
        <f aca="false">IF(L4253&lt;&gt;"",L4253+N4253,"")</f>
        <v/>
      </c>
      <c r="P4253" s="47" t="str">
        <f aca="false">IF(O4253&lt;&gt;"",O4253*0.1,"")</f>
        <v/>
      </c>
      <c r="Q4253" s="83" t="str">
        <f aca="false">IF(O4253&lt;&gt;"",O4253+P4253,"")</f>
        <v/>
      </c>
      <c r="R4253" s="84"/>
    </row>
    <row r="4254" customFormat="false" ht="15" hidden="false" customHeight="true" outlineLevel="0" collapsed="false">
      <c r="A4254" s="103"/>
      <c r="B4254" s="73"/>
      <c r="C4254" s="74"/>
      <c r="D4254" s="75"/>
      <c r="E4254" s="52" t="str">
        <f aca="false">IF(D4254&lt;&gt;"",IFERROR(VLOOKUP(D4254,PROVEEDORES!$A:$B,2,0),"!COD NO ENCONTRADO"),"")</f>
        <v/>
      </c>
      <c r="F4254" s="76" t="str">
        <f aca="false">IF(D4254&lt;&gt;"",IFERROR(VLOOKUP(D4254,PROVEEDORES!$A:$C,3,0),""),"")</f>
        <v/>
      </c>
      <c r="G4254" s="75"/>
      <c r="H4254" s="52" t="str">
        <f aca="false">IF(G4254&lt;&gt;"",IFERROR(VLOOKUP(G4254,PRODUCTOS!$A:$B,2,0),"!COD NO ENCONTRADO"),"")</f>
        <v/>
      </c>
      <c r="I4254" s="77"/>
      <c r="J4254" s="78"/>
      <c r="K4254" s="79"/>
      <c r="L4254" s="80" t="str">
        <f aca="false">IF(AND(J4254&lt;&gt;"",K4254&lt;&gt;""),J4254*K4254,"")</f>
        <v/>
      </c>
      <c r="M4254" s="81" t="str">
        <f aca="false">IF(L4254&lt;&gt;"",L4254*1.1,"")</f>
        <v/>
      </c>
      <c r="N4254" s="53" t="n">
        <f aca="false">IF(F4254="S",L4254*0.02,0)</f>
        <v>0</v>
      </c>
      <c r="O4254" s="82" t="str">
        <f aca="false">IF(L4254&lt;&gt;"",L4254+N4254,"")</f>
        <v/>
      </c>
      <c r="P4254" s="53" t="str">
        <f aca="false">IF(O4254&lt;&gt;"",O4254*0.1,"")</f>
        <v/>
      </c>
      <c r="Q4254" s="83" t="str">
        <f aca="false">IF(O4254&lt;&gt;"",O4254+P4254,"")</f>
        <v/>
      </c>
      <c r="R4254" s="84"/>
    </row>
    <row r="4255" customFormat="false" ht="15" hidden="false" customHeight="true" outlineLevel="0" collapsed="false">
      <c r="A4255" s="103"/>
      <c r="B4255" s="85"/>
      <c r="C4255" s="86"/>
      <c r="D4255" s="87"/>
      <c r="E4255" s="46" t="str">
        <f aca="false">IF(D4255&lt;&gt;"",IFERROR(VLOOKUP(D4255,PROVEEDORES!$A:$B,2,0),"!COD NO ENCONTRADO"),"")</f>
        <v/>
      </c>
      <c r="F4255" s="88" t="str">
        <f aca="false">IF(D4255&lt;&gt;"",IFERROR(VLOOKUP(D4255,PROVEEDORES!$A:$C,3,0),""),"")</f>
        <v/>
      </c>
      <c r="G4255" s="87"/>
      <c r="H4255" s="46" t="str">
        <f aca="false">IF(G4255&lt;&gt;"",IFERROR(VLOOKUP(G4255,PRODUCTOS!$A:$B,2,0),"!COD NO ENCONTRADO"),"")</f>
        <v/>
      </c>
      <c r="I4255" s="89"/>
      <c r="J4255" s="90"/>
      <c r="K4255" s="91"/>
      <c r="L4255" s="80" t="str">
        <f aca="false">IF(AND(J4255&lt;&gt;"",K4255&lt;&gt;""),J4255*K4255,"")</f>
        <v/>
      </c>
      <c r="M4255" s="81" t="str">
        <f aca="false">IF(L4255&lt;&gt;"",L4255*1.1,"")</f>
        <v/>
      </c>
      <c r="N4255" s="47" t="n">
        <f aca="false">IF(F4255="S",L4255*0.02,0)</f>
        <v>0</v>
      </c>
      <c r="O4255" s="82" t="str">
        <f aca="false">IF(L4255&lt;&gt;"",L4255+N4255,"")</f>
        <v/>
      </c>
      <c r="P4255" s="47" t="str">
        <f aca="false">IF(O4255&lt;&gt;"",O4255*0.1,"")</f>
        <v/>
      </c>
      <c r="Q4255" s="83" t="str">
        <f aca="false">IF(O4255&lt;&gt;"",O4255+P4255,"")</f>
        <v/>
      </c>
      <c r="R4255" s="84"/>
    </row>
    <row r="4256" customFormat="false" ht="15" hidden="false" customHeight="true" outlineLevel="0" collapsed="false">
      <c r="A4256" s="103"/>
      <c r="B4256" s="73"/>
      <c r="C4256" s="74"/>
      <c r="D4256" s="75"/>
      <c r="E4256" s="52" t="str">
        <f aca="false">IF(D4256&lt;&gt;"",IFERROR(VLOOKUP(D4256,PROVEEDORES!$A:$B,2,0),"!COD NO ENCONTRADO"),"")</f>
        <v/>
      </c>
      <c r="F4256" s="76" t="str">
        <f aca="false">IF(D4256&lt;&gt;"",IFERROR(VLOOKUP(D4256,PROVEEDORES!$A:$C,3,0),""),"")</f>
        <v/>
      </c>
      <c r="G4256" s="75"/>
      <c r="H4256" s="52" t="str">
        <f aca="false">IF(G4256&lt;&gt;"",IFERROR(VLOOKUP(G4256,PRODUCTOS!$A:$B,2,0),"!COD NO ENCONTRADO"),"")</f>
        <v/>
      </c>
      <c r="I4256" s="77"/>
      <c r="J4256" s="78"/>
      <c r="K4256" s="79"/>
      <c r="L4256" s="80" t="str">
        <f aca="false">IF(AND(J4256&lt;&gt;"",K4256&lt;&gt;""),J4256*K4256,"")</f>
        <v/>
      </c>
      <c r="M4256" s="81" t="str">
        <f aca="false">IF(L4256&lt;&gt;"",L4256*1.1,"")</f>
        <v/>
      </c>
      <c r="N4256" s="53" t="n">
        <f aca="false">IF(F4256="S",L4256*0.02,0)</f>
        <v>0</v>
      </c>
      <c r="O4256" s="82" t="str">
        <f aca="false">IF(L4256&lt;&gt;"",L4256+N4256,"")</f>
        <v/>
      </c>
      <c r="P4256" s="53" t="str">
        <f aca="false">IF(O4256&lt;&gt;"",O4256*0.1,"")</f>
        <v/>
      </c>
      <c r="Q4256" s="83" t="str">
        <f aca="false">IF(O4256&lt;&gt;"",O4256+P4256,"")</f>
        <v/>
      </c>
      <c r="R4256" s="84"/>
    </row>
    <row r="4257" customFormat="false" ht="15" hidden="false" customHeight="true" outlineLevel="0" collapsed="false">
      <c r="A4257" s="103"/>
      <c r="B4257" s="85"/>
      <c r="C4257" s="86"/>
      <c r="D4257" s="87"/>
      <c r="E4257" s="46" t="str">
        <f aca="false">IF(D4257&lt;&gt;"",IFERROR(VLOOKUP(D4257,PROVEEDORES!$A:$B,2,0),"!COD NO ENCONTRADO"),"")</f>
        <v/>
      </c>
      <c r="F4257" s="88" t="str">
        <f aca="false">IF(D4257&lt;&gt;"",IFERROR(VLOOKUP(D4257,PROVEEDORES!$A:$C,3,0),""),"")</f>
        <v/>
      </c>
      <c r="G4257" s="87"/>
      <c r="H4257" s="46" t="str">
        <f aca="false">IF(G4257&lt;&gt;"",IFERROR(VLOOKUP(G4257,PRODUCTOS!$A:$B,2,0),"!COD NO ENCONTRADO"),"")</f>
        <v/>
      </c>
      <c r="I4257" s="89"/>
      <c r="J4257" s="90"/>
      <c r="K4257" s="91"/>
      <c r="L4257" s="80" t="str">
        <f aca="false">IF(AND(J4257&lt;&gt;"",K4257&lt;&gt;""),J4257*K4257,"")</f>
        <v/>
      </c>
      <c r="M4257" s="81" t="str">
        <f aca="false">IF(L4257&lt;&gt;"",L4257*1.1,"")</f>
        <v/>
      </c>
      <c r="N4257" s="47" t="n">
        <f aca="false">IF(F4257="S",L4257*0.02,0)</f>
        <v>0</v>
      </c>
      <c r="O4257" s="82" t="str">
        <f aca="false">IF(L4257&lt;&gt;"",L4257+N4257,"")</f>
        <v/>
      </c>
      <c r="P4257" s="47" t="str">
        <f aca="false">IF(O4257&lt;&gt;"",O4257*0.1,"")</f>
        <v/>
      </c>
      <c r="Q4257" s="83" t="str">
        <f aca="false">IF(O4257&lt;&gt;"",O4257+P4257,"")</f>
        <v/>
      </c>
      <c r="R4257" s="84"/>
    </row>
    <row r="4258" customFormat="false" ht="15" hidden="false" customHeight="true" outlineLevel="0" collapsed="false">
      <c r="A4258" s="103"/>
      <c r="B4258" s="73"/>
      <c r="C4258" s="74"/>
      <c r="D4258" s="75"/>
      <c r="E4258" s="52" t="str">
        <f aca="false">IF(D4258&lt;&gt;"",IFERROR(VLOOKUP(D4258,PROVEEDORES!$A:$B,2,0),"!COD NO ENCONTRADO"),"")</f>
        <v/>
      </c>
      <c r="F4258" s="76" t="str">
        <f aca="false">IF(D4258&lt;&gt;"",IFERROR(VLOOKUP(D4258,PROVEEDORES!$A:$C,3,0),""),"")</f>
        <v/>
      </c>
      <c r="G4258" s="75"/>
      <c r="H4258" s="52" t="str">
        <f aca="false">IF(G4258&lt;&gt;"",IFERROR(VLOOKUP(G4258,PRODUCTOS!$A:$B,2,0),"!COD NO ENCONTRADO"),"")</f>
        <v/>
      </c>
      <c r="I4258" s="77"/>
      <c r="J4258" s="78"/>
      <c r="K4258" s="79"/>
      <c r="L4258" s="80" t="str">
        <f aca="false">IF(AND(J4258&lt;&gt;"",K4258&lt;&gt;""),J4258*K4258,"")</f>
        <v/>
      </c>
      <c r="M4258" s="81" t="str">
        <f aca="false">IF(L4258&lt;&gt;"",L4258*1.1,"")</f>
        <v/>
      </c>
      <c r="N4258" s="53" t="n">
        <f aca="false">IF(F4258="S",L4258*0.02,0)</f>
        <v>0</v>
      </c>
      <c r="O4258" s="82" t="str">
        <f aca="false">IF(L4258&lt;&gt;"",L4258+N4258,"")</f>
        <v/>
      </c>
      <c r="P4258" s="53" t="str">
        <f aca="false">IF(O4258&lt;&gt;"",O4258*0.1,"")</f>
        <v/>
      </c>
      <c r="Q4258" s="83" t="str">
        <f aca="false">IF(O4258&lt;&gt;"",O4258+P4258,"")</f>
        <v/>
      </c>
      <c r="R4258" s="84"/>
    </row>
    <row r="4259" customFormat="false" ht="15" hidden="false" customHeight="true" outlineLevel="0" collapsed="false">
      <c r="A4259" s="103"/>
      <c r="B4259" s="85"/>
      <c r="C4259" s="86"/>
      <c r="D4259" s="87"/>
      <c r="E4259" s="46" t="str">
        <f aca="false">IF(D4259&lt;&gt;"",IFERROR(VLOOKUP(D4259,PROVEEDORES!$A:$B,2,0),"!COD NO ENCONTRADO"),"")</f>
        <v/>
      </c>
      <c r="F4259" s="88" t="str">
        <f aca="false">IF(D4259&lt;&gt;"",IFERROR(VLOOKUP(D4259,PROVEEDORES!$A:$C,3,0),""),"")</f>
        <v/>
      </c>
      <c r="G4259" s="87"/>
      <c r="H4259" s="46" t="str">
        <f aca="false">IF(G4259&lt;&gt;"",IFERROR(VLOOKUP(G4259,PRODUCTOS!$A:$B,2,0),"!COD NO ENCONTRADO"),"")</f>
        <v/>
      </c>
      <c r="I4259" s="89"/>
      <c r="J4259" s="90"/>
      <c r="K4259" s="91"/>
      <c r="L4259" s="80" t="str">
        <f aca="false">IF(AND(J4259&lt;&gt;"",K4259&lt;&gt;""),J4259*K4259,"")</f>
        <v/>
      </c>
      <c r="M4259" s="81" t="str">
        <f aca="false">IF(L4259&lt;&gt;"",L4259*1.1,"")</f>
        <v/>
      </c>
      <c r="N4259" s="47" t="n">
        <f aca="false">IF(F4259="S",L4259*0.02,0)</f>
        <v>0</v>
      </c>
      <c r="O4259" s="82" t="str">
        <f aca="false">IF(L4259&lt;&gt;"",L4259+N4259,"")</f>
        <v/>
      </c>
      <c r="P4259" s="47" t="str">
        <f aca="false">IF(O4259&lt;&gt;"",O4259*0.1,"")</f>
        <v/>
      </c>
      <c r="Q4259" s="83" t="str">
        <f aca="false">IF(O4259&lt;&gt;"",O4259+P4259,"")</f>
        <v/>
      </c>
      <c r="R4259" s="84"/>
    </row>
    <row r="4260" customFormat="false" ht="15" hidden="false" customHeight="true" outlineLevel="0" collapsed="false">
      <c r="A4260" s="103"/>
      <c r="B4260" s="73"/>
      <c r="C4260" s="74"/>
      <c r="D4260" s="75"/>
      <c r="E4260" s="52" t="str">
        <f aca="false">IF(D4260&lt;&gt;"",IFERROR(VLOOKUP(D4260,PROVEEDORES!$A:$B,2,0),"!COD NO ENCONTRADO"),"")</f>
        <v/>
      </c>
      <c r="F4260" s="76" t="str">
        <f aca="false">IF(D4260&lt;&gt;"",IFERROR(VLOOKUP(D4260,PROVEEDORES!$A:$C,3,0),""),"")</f>
        <v/>
      </c>
      <c r="G4260" s="75"/>
      <c r="H4260" s="52" t="str">
        <f aca="false">IF(G4260&lt;&gt;"",IFERROR(VLOOKUP(G4260,PRODUCTOS!$A:$B,2,0),"!COD NO ENCONTRADO"),"")</f>
        <v/>
      </c>
      <c r="I4260" s="77"/>
      <c r="J4260" s="78"/>
      <c r="K4260" s="79"/>
      <c r="L4260" s="80" t="str">
        <f aca="false">IF(AND(J4260&lt;&gt;"",K4260&lt;&gt;""),J4260*K4260,"")</f>
        <v/>
      </c>
      <c r="M4260" s="81" t="str">
        <f aca="false">IF(L4260&lt;&gt;"",L4260*1.1,"")</f>
        <v/>
      </c>
      <c r="N4260" s="53" t="n">
        <f aca="false">IF(F4260="S",L4260*0.02,0)</f>
        <v>0</v>
      </c>
      <c r="O4260" s="82" t="str">
        <f aca="false">IF(L4260&lt;&gt;"",L4260+N4260,"")</f>
        <v/>
      </c>
      <c r="P4260" s="53" t="str">
        <f aca="false">IF(O4260&lt;&gt;"",O4260*0.1,"")</f>
        <v/>
      </c>
      <c r="Q4260" s="83" t="str">
        <f aca="false">IF(O4260&lt;&gt;"",O4260+P4260,"")</f>
        <v/>
      </c>
      <c r="R4260" s="84"/>
    </row>
    <row r="4261" customFormat="false" ht="15" hidden="false" customHeight="true" outlineLevel="0" collapsed="false">
      <c r="A4261" s="103"/>
      <c r="B4261" s="85"/>
      <c r="C4261" s="86"/>
      <c r="D4261" s="87"/>
      <c r="E4261" s="46" t="str">
        <f aca="false">IF(D4261&lt;&gt;"",IFERROR(VLOOKUP(D4261,PROVEEDORES!$A:$B,2,0),"!COD NO ENCONTRADO"),"")</f>
        <v/>
      </c>
      <c r="F4261" s="88" t="str">
        <f aca="false">IF(D4261&lt;&gt;"",IFERROR(VLOOKUP(D4261,PROVEEDORES!$A:$C,3,0),""),"")</f>
        <v/>
      </c>
      <c r="G4261" s="87"/>
      <c r="H4261" s="46" t="str">
        <f aca="false">IF(G4261&lt;&gt;"",IFERROR(VLOOKUP(G4261,PRODUCTOS!$A:$B,2,0),"!COD NO ENCONTRADO"),"")</f>
        <v/>
      </c>
      <c r="I4261" s="89"/>
      <c r="J4261" s="90"/>
      <c r="K4261" s="91"/>
      <c r="L4261" s="80" t="str">
        <f aca="false">IF(AND(J4261&lt;&gt;"",K4261&lt;&gt;""),J4261*K4261,"")</f>
        <v/>
      </c>
      <c r="M4261" s="81" t="str">
        <f aca="false">IF(L4261&lt;&gt;"",L4261*1.1,"")</f>
        <v/>
      </c>
      <c r="N4261" s="47" t="n">
        <f aca="false">IF(F4261="S",L4261*0.02,0)</f>
        <v>0</v>
      </c>
      <c r="O4261" s="82" t="str">
        <f aca="false">IF(L4261&lt;&gt;"",L4261+N4261,"")</f>
        <v/>
      </c>
      <c r="P4261" s="47" t="str">
        <f aca="false">IF(O4261&lt;&gt;"",O4261*0.1,"")</f>
        <v/>
      </c>
      <c r="Q4261" s="83" t="str">
        <f aca="false">IF(O4261&lt;&gt;"",O4261+P4261,"")</f>
        <v/>
      </c>
      <c r="R4261" s="84"/>
    </row>
    <row r="4262" customFormat="false" ht="15" hidden="false" customHeight="true" outlineLevel="0" collapsed="false">
      <c r="A4262" s="103"/>
      <c r="B4262" s="73"/>
      <c r="C4262" s="74"/>
      <c r="D4262" s="75"/>
      <c r="E4262" s="52" t="str">
        <f aca="false">IF(D4262&lt;&gt;"",IFERROR(VLOOKUP(D4262,PROVEEDORES!$A:$B,2,0),"!COD NO ENCONTRADO"),"")</f>
        <v/>
      </c>
      <c r="F4262" s="76" t="str">
        <f aca="false">IF(D4262&lt;&gt;"",IFERROR(VLOOKUP(D4262,PROVEEDORES!$A:$C,3,0),""),"")</f>
        <v/>
      </c>
      <c r="G4262" s="75"/>
      <c r="H4262" s="52" t="str">
        <f aca="false">IF(G4262&lt;&gt;"",IFERROR(VLOOKUP(G4262,PRODUCTOS!$A:$B,2,0),"!COD NO ENCONTRADO"),"")</f>
        <v/>
      </c>
      <c r="I4262" s="77"/>
      <c r="J4262" s="78"/>
      <c r="K4262" s="79"/>
      <c r="L4262" s="80" t="str">
        <f aca="false">IF(AND(J4262&lt;&gt;"",K4262&lt;&gt;""),J4262*K4262,"")</f>
        <v/>
      </c>
      <c r="M4262" s="81" t="str">
        <f aca="false">IF(L4262&lt;&gt;"",L4262*1.1,"")</f>
        <v/>
      </c>
      <c r="N4262" s="53" t="n">
        <f aca="false">IF(F4262="S",L4262*0.02,0)</f>
        <v>0</v>
      </c>
      <c r="O4262" s="82" t="str">
        <f aca="false">IF(L4262&lt;&gt;"",L4262+N4262,"")</f>
        <v/>
      </c>
      <c r="P4262" s="53" t="str">
        <f aca="false">IF(O4262&lt;&gt;"",O4262*0.1,"")</f>
        <v/>
      </c>
      <c r="Q4262" s="83" t="str">
        <f aca="false">IF(O4262&lt;&gt;"",O4262+P4262,"")</f>
        <v/>
      </c>
      <c r="R4262" s="84"/>
    </row>
    <row r="4263" customFormat="false" ht="15" hidden="false" customHeight="true" outlineLevel="0" collapsed="false">
      <c r="A4263" s="103"/>
      <c r="B4263" s="85"/>
      <c r="C4263" s="86"/>
      <c r="D4263" s="87"/>
      <c r="E4263" s="46" t="str">
        <f aca="false">IF(D4263&lt;&gt;"",IFERROR(VLOOKUP(D4263,PROVEEDORES!$A:$B,2,0),"!COD NO ENCONTRADO"),"")</f>
        <v/>
      </c>
      <c r="F4263" s="88" t="str">
        <f aca="false">IF(D4263&lt;&gt;"",IFERROR(VLOOKUP(D4263,PROVEEDORES!$A:$C,3,0),""),"")</f>
        <v/>
      </c>
      <c r="G4263" s="87"/>
      <c r="H4263" s="46" t="str">
        <f aca="false">IF(G4263&lt;&gt;"",IFERROR(VLOOKUP(G4263,PRODUCTOS!$A:$B,2,0),"!COD NO ENCONTRADO"),"")</f>
        <v/>
      </c>
      <c r="I4263" s="89"/>
      <c r="J4263" s="90"/>
      <c r="K4263" s="91"/>
      <c r="L4263" s="80" t="str">
        <f aca="false">IF(AND(J4263&lt;&gt;"",K4263&lt;&gt;""),J4263*K4263,"")</f>
        <v/>
      </c>
      <c r="M4263" s="81" t="str">
        <f aca="false">IF(L4263&lt;&gt;"",L4263*1.1,"")</f>
        <v/>
      </c>
      <c r="N4263" s="47" t="n">
        <f aca="false">IF(F4263="S",L4263*0.02,0)</f>
        <v>0</v>
      </c>
      <c r="O4263" s="82" t="str">
        <f aca="false">IF(L4263&lt;&gt;"",L4263+N4263,"")</f>
        <v/>
      </c>
      <c r="P4263" s="47" t="str">
        <f aca="false">IF(O4263&lt;&gt;"",O4263*0.1,"")</f>
        <v/>
      </c>
      <c r="Q4263" s="83" t="str">
        <f aca="false">IF(O4263&lt;&gt;"",O4263+P4263,"")</f>
        <v/>
      </c>
      <c r="R4263" s="84"/>
    </row>
    <row r="4264" customFormat="false" ht="15" hidden="false" customHeight="true" outlineLevel="0" collapsed="false">
      <c r="A4264" s="103"/>
      <c r="B4264" s="73"/>
      <c r="C4264" s="74"/>
      <c r="D4264" s="75"/>
      <c r="E4264" s="52" t="str">
        <f aca="false">IF(D4264&lt;&gt;"",IFERROR(VLOOKUP(D4264,PROVEEDORES!$A:$B,2,0),"!COD NO ENCONTRADO"),"")</f>
        <v/>
      </c>
      <c r="F4264" s="76" t="str">
        <f aca="false">IF(D4264&lt;&gt;"",IFERROR(VLOOKUP(D4264,PROVEEDORES!$A:$C,3,0),""),"")</f>
        <v/>
      </c>
      <c r="G4264" s="75"/>
      <c r="H4264" s="52" t="str">
        <f aca="false">IF(G4264&lt;&gt;"",IFERROR(VLOOKUP(G4264,PRODUCTOS!$A:$B,2,0),"!COD NO ENCONTRADO"),"")</f>
        <v/>
      </c>
      <c r="I4264" s="77"/>
      <c r="J4264" s="78"/>
      <c r="K4264" s="79"/>
      <c r="L4264" s="80" t="str">
        <f aca="false">IF(AND(J4264&lt;&gt;"",K4264&lt;&gt;""),J4264*K4264,"")</f>
        <v/>
      </c>
      <c r="M4264" s="81" t="str">
        <f aca="false">IF(L4264&lt;&gt;"",L4264*1.1,"")</f>
        <v/>
      </c>
      <c r="N4264" s="53" t="n">
        <f aca="false">IF(F4264="S",L4264*0.02,0)</f>
        <v>0</v>
      </c>
      <c r="O4264" s="82" t="str">
        <f aca="false">IF(L4264&lt;&gt;"",L4264+N4264,"")</f>
        <v/>
      </c>
      <c r="P4264" s="53" t="str">
        <f aca="false">IF(O4264&lt;&gt;"",O4264*0.1,"")</f>
        <v/>
      </c>
      <c r="Q4264" s="83" t="str">
        <f aca="false">IF(O4264&lt;&gt;"",O4264+P4264,"")</f>
        <v/>
      </c>
      <c r="R4264" s="84"/>
    </row>
    <row r="4265" customFormat="false" ht="15" hidden="false" customHeight="true" outlineLevel="0" collapsed="false">
      <c r="A4265" s="103"/>
      <c r="B4265" s="85"/>
      <c r="C4265" s="86"/>
      <c r="D4265" s="87"/>
      <c r="E4265" s="46" t="str">
        <f aca="false">IF(D4265&lt;&gt;"",IFERROR(VLOOKUP(D4265,PROVEEDORES!$A:$B,2,0),"!COD NO ENCONTRADO"),"")</f>
        <v/>
      </c>
      <c r="F4265" s="88" t="str">
        <f aca="false">IF(D4265&lt;&gt;"",IFERROR(VLOOKUP(D4265,PROVEEDORES!$A:$C,3,0),""),"")</f>
        <v/>
      </c>
      <c r="G4265" s="87"/>
      <c r="H4265" s="46" t="str">
        <f aca="false">IF(G4265&lt;&gt;"",IFERROR(VLOOKUP(G4265,PRODUCTOS!$A:$B,2,0),"!COD NO ENCONTRADO"),"")</f>
        <v/>
      </c>
      <c r="I4265" s="89"/>
      <c r="J4265" s="90"/>
      <c r="K4265" s="91"/>
      <c r="L4265" s="80" t="str">
        <f aca="false">IF(AND(J4265&lt;&gt;"",K4265&lt;&gt;""),J4265*K4265,"")</f>
        <v/>
      </c>
      <c r="M4265" s="81" t="str">
        <f aca="false">IF(L4265&lt;&gt;"",L4265*1.1,"")</f>
        <v/>
      </c>
      <c r="N4265" s="47" t="n">
        <f aca="false">IF(F4265="S",L4265*0.02,0)</f>
        <v>0</v>
      </c>
      <c r="O4265" s="82" t="str">
        <f aca="false">IF(L4265&lt;&gt;"",L4265+N4265,"")</f>
        <v/>
      </c>
      <c r="P4265" s="47" t="str">
        <f aca="false">IF(O4265&lt;&gt;"",O4265*0.1,"")</f>
        <v/>
      </c>
      <c r="Q4265" s="83" t="str">
        <f aca="false">IF(O4265&lt;&gt;"",O4265+P4265,"")</f>
        <v/>
      </c>
      <c r="R4265" s="84"/>
    </row>
    <row r="4266" customFormat="false" ht="15" hidden="false" customHeight="true" outlineLevel="0" collapsed="false">
      <c r="A4266" s="103"/>
      <c r="B4266" s="73"/>
      <c r="C4266" s="74"/>
      <c r="D4266" s="75"/>
      <c r="E4266" s="52" t="str">
        <f aca="false">IF(D4266&lt;&gt;"",IFERROR(VLOOKUP(D4266,PROVEEDORES!$A:$B,2,0),"!COD NO ENCONTRADO"),"")</f>
        <v/>
      </c>
      <c r="F4266" s="76" t="str">
        <f aca="false">IF(D4266&lt;&gt;"",IFERROR(VLOOKUP(D4266,PROVEEDORES!$A:$C,3,0),""),"")</f>
        <v/>
      </c>
      <c r="G4266" s="75"/>
      <c r="H4266" s="52" t="str">
        <f aca="false">IF(G4266&lt;&gt;"",IFERROR(VLOOKUP(G4266,PRODUCTOS!$A:$B,2,0),"!COD NO ENCONTRADO"),"")</f>
        <v/>
      </c>
      <c r="I4266" s="77"/>
      <c r="J4266" s="78"/>
      <c r="K4266" s="79"/>
      <c r="L4266" s="80" t="str">
        <f aca="false">IF(AND(J4266&lt;&gt;"",K4266&lt;&gt;""),J4266*K4266,"")</f>
        <v/>
      </c>
      <c r="M4266" s="81" t="str">
        <f aca="false">IF(L4266&lt;&gt;"",L4266*1.1,"")</f>
        <v/>
      </c>
      <c r="N4266" s="53" t="n">
        <f aca="false">IF(F4266="S",L4266*0.02,0)</f>
        <v>0</v>
      </c>
      <c r="O4266" s="82" t="str">
        <f aca="false">IF(L4266&lt;&gt;"",L4266+N4266,"")</f>
        <v/>
      </c>
      <c r="P4266" s="53" t="str">
        <f aca="false">IF(O4266&lt;&gt;"",O4266*0.1,"")</f>
        <v/>
      </c>
      <c r="Q4266" s="83" t="str">
        <f aca="false">IF(O4266&lt;&gt;"",O4266+P4266,"")</f>
        <v/>
      </c>
      <c r="R4266" s="84"/>
    </row>
    <row r="4267" customFormat="false" ht="15" hidden="false" customHeight="true" outlineLevel="0" collapsed="false">
      <c r="A4267" s="103"/>
      <c r="B4267" s="85"/>
      <c r="C4267" s="86"/>
      <c r="D4267" s="87"/>
      <c r="E4267" s="46" t="str">
        <f aca="false">IF(D4267&lt;&gt;"",IFERROR(VLOOKUP(D4267,PROVEEDORES!$A:$B,2,0),"!COD NO ENCONTRADO"),"")</f>
        <v/>
      </c>
      <c r="F4267" s="88" t="str">
        <f aca="false">IF(D4267&lt;&gt;"",IFERROR(VLOOKUP(D4267,PROVEEDORES!$A:$C,3,0),""),"")</f>
        <v/>
      </c>
      <c r="G4267" s="87"/>
      <c r="H4267" s="46" t="str">
        <f aca="false">IF(G4267&lt;&gt;"",IFERROR(VLOOKUP(G4267,PRODUCTOS!$A:$B,2,0),"!COD NO ENCONTRADO"),"")</f>
        <v/>
      </c>
      <c r="I4267" s="89"/>
      <c r="J4267" s="90"/>
      <c r="K4267" s="91"/>
      <c r="L4267" s="80" t="str">
        <f aca="false">IF(AND(J4267&lt;&gt;"",K4267&lt;&gt;""),J4267*K4267,"")</f>
        <v/>
      </c>
      <c r="M4267" s="81" t="str">
        <f aca="false">IF(L4267&lt;&gt;"",L4267*1.1,"")</f>
        <v/>
      </c>
      <c r="N4267" s="47" t="n">
        <f aca="false">IF(F4267="S",L4267*0.02,0)</f>
        <v>0</v>
      </c>
      <c r="O4267" s="82" t="str">
        <f aca="false">IF(L4267&lt;&gt;"",L4267+N4267,"")</f>
        <v/>
      </c>
      <c r="P4267" s="47" t="str">
        <f aca="false">IF(O4267&lt;&gt;"",O4267*0.1,"")</f>
        <v/>
      </c>
      <c r="Q4267" s="83" t="str">
        <f aca="false">IF(O4267&lt;&gt;"",O4267+P4267,"")</f>
        <v/>
      </c>
      <c r="R4267" s="84"/>
    </row>
    <row r="4268" customFormat="false" ht="15" hidden="false" customHeight="true" outlineLevel="0" collapsed="false">
      <c r="A4268" s="103"/>
      <c r="B4268" s="73"/>
      <c r="C4268" s="74"/>
      <c r="D4268" s="75"/>
      <c r="E4268" s="52" t="str">
        <f aca="false">IF(D4268&lt;&gt;"",IFERROR(VLOOKUP(D4268,PROVEEDORES!$A:$B,2,0),"!COD NO ENCONTRADO"),"")</f>
        <v/>
      </c>
      <c r="F4268" s="76" t="str">
        <f aca="false">IF(D4268&lt;&gt;"",IFERROR(VLOOKUP(D4268,PROVEEDORES!$A:$C,3,0),""),"")</f>
        <v/>
      </c>
      <c r="G4268" s="75"/>
      <c r="H4268" s="52" t="str">
        <f aca="false">IF(G4268&lt;&gt;"",IFERROR(VLOOKUP(G4268,PRODUCTOS!$A:$B,2,0),"!COD NO ENCONTRADO"),"")</f>
        <v/>
      </c>
      <c r="I4268" s="77"/>
      <c r="J4268" s="78"/>
      <c r="K4268" s="79"/>
      <c r="L4268" s="80" t="str">
        <f aca="false">IF(AND(J4268&lt;&gt;"",K4268&lt;&gt;""),J4268*K4268,"")</f>
        <v/>
      </c>
      <c r="M4268" s="81" t="str">
        <f aca="false">IF(L4268&lt;&gt;"",L4268*1.1,"")</f>
        <v/>
      </c>
      <c r="N4268" s="53" t="n">
        <f aca="false">IF(F4268="S",L4268*0.02,0)</f>
        <v>0</v>
      </c>
      <c r="O4268" s="82" t="str">
        <f aca="false">IF(L4268&lt;&gt;"",L4268+N4268,"")</f>
        <v/>
      </c>
      <c r="P4268" s="53" t="str">
        <f aca="false">IF(O4268&lt;&gt;"",O4268*0.1,"")</f>
        <v/>
      </c>
      <c r="Q4268" s="83" t="str">
        <f aca="false">IF(O4268&lt;&gt;"",O4268+P4268,"")</f>
        <v/>
      </c>
      <c r="R4268" s="84"/>
    </row>
    <row r="4269" customFormat="false" ht="15" hidden="false" customHeight="true" outlineLevel="0" collapsed="false">
      <c r="A4269" s="103"/>
      <c r="B4269" s="85"/>
      <c r="C4269" s="86"/>
      <c r="D4269" s="87"/>
      <c r="E4269" s="46" t="str">
        <f aca="false">IF(D4269&lt;&gt;"",IFERROR(VLOOKUP(D4269,PROVEEDORES!$A:$B,2,0),"!COD NO ENCONTRADO"),"")</f>
        <v/>
      </c>
      <c r="F4269" s="88" t="str">
        <f aca="false">IF(D4269&lt;&gt;"",IFERROR(VLOOKUP(D4269,PROVEEDORES!$A:$C,3,0),""),"")</f>
        <v/>
      </c>
      <c r="G4269" s="87"/>
      <c r="H4269" s="46" t="str">
        <f aca="false">IF(G4269&lt;&gt;"",IFERROR(VLOOKUP(G4269,PRODUCTOS!$A:$B,2,0),"!COD NO ENCONTRADO"),"")</f>
        <v/>
      </c>
      <c r="I4269" s="89"/>
      <c r="J4269" s="90"/>
      <c r="K4269" s="91"/>
      <c r="L4269" s="80" t="str">
        <f aca="false">IF(AND(J4269&lt;&gt;"",K4269&lt;&gt;""),J4269*K4269,"")</f>
        <v/>
      </c>
      <c r="M4269" s="81" t="str">
        <f aca="false">IF(L4269&lt;&gt;"",L4269*1.1,"")</f>
        <v/>
      </c>
      <c r="N4269" s="47" t="n">
        <f aca="false">IF(F4269="S",L4269*0.02,0)</f>
        <v>0</v>
      </c>
      <c r="O4269" s="82" t="str">
        <f aca="false">IF(L4269&lt;&gt;"",L4269+N4269,"")</f>
        <v/>
      </c>
      <c r="P4269" s="47" t="str">
        <f aca="false">IF(O4269&lt;&gt;"",O4269*0.1,"")</f>
        <v/>
      </c>
      <c r="Q4269" s="83" t="str">
        <f aca="false">IF(O4269&lt;&gt;"",O4269+P4269,"")</f>
        <v/>
      </c>
      <c r="R4269" s="84"/>
    </row>
    <row r="4270" customFormat="false" ht="15" hidden="false" customHeight="true" outlineLevel="0" collapsed="false">
      <c r="A4270" s="103"/>
      <c r="B4270" s="73"/>
      <c r="C4270" s="74"/>
      <c r="D4270" s="75"/>
      <c r="E4270" s="52" t="str">
        <f aca="false">IF(D4270&lt;&gt;"",IFERROR(VLOOKUP(D4270,PROVEEDORES!$A:$B,2,0),"!COD NO ENCONTRADO"),"")</f>
        <v/>
      </c>
      <c r="F4270" s="76" t="str">
        <f aca="false">IF(D4270&lt;&gt;"",IFERROR(VLOOKUP(D4270,PROVEEDORES!$A:$C,3,0),""),"")</f>
        <v/>
      </c>
      <c r="G4270" s="75"/>
      <c r="H4270" s="52" t="str">
        <f aca="false">IF(G4270&lt;&gt;"",IFERROR(VLOOKUP(G4270,PRODUCTOS!$A:$B,2,0),"!COD NO ENCONTRADO"),"")</f>
        <v/>
      </c>
      <c r="I4270" s="77"/>
      <c r="J4270" s="78"/>
      <c r="K4270" s="79"/>
      <c r="L4270" s="80" t="str">
        <f aca="false">IF(AND(J4270&lt;&gt;"",K4270&lt;&gt;""),J4270*K4270,"")</f>
        <v/>
      </c>
      <c r="M4270" s="81" t="str">
        <f aca="false">IF(L4270&lt;&gt;"",L4270*1.1,"")</f>
        <v/>
      </c>
      <c r="N4270" s="53" t="n">
        <f aca="false">IF(F4270="S",L4270*0.02,0)</f>
        <v>0</v>
      </c>
      <c r="O4270" s="82" t="str">
        <f aca="false">IF(L4270&lt;&gt;"",L4270+N4270,"")</f>
        <v/>
      </c>
      <c r="P4270" s="53" t="str">
        <f aca="false">IF(O4270&lt;&gt;"",O4270*0.1,"")</f>
        <v/>
      </c>
      <c r="Q4270" s="83" t="str">
        <f aca="false">IF(O4270&lt;&gt;"",O4270+P4270,"")</f>
        <v/>
      </c>
      <c r="R4270" s="84"/>
    </row>
    <row r="4271" customFormat="false" ht="15" hidden="false" customHeight="true" outlineLevel="0" collapsed="false">
      <c r="A4271" s="103"/>
      <c r="B4271" s="85"/>
      <c r="C4271" s="86"/>
      <c r="D4271" s="87"/>
      <c r="E4271" s="46" t="str">
        <f aca="false">IF(D4271&lt;&gt;"",IFERROR(VLOOKUP(D4271,PROVEEDORES!$A:$B,2,0),"!COD NO ENCONTRADO"),"")</f>
        <v/>
      </c>
      <c r="F4271" s="88" t="str">
        <f aca="false">IF(D4271&lt;&gt;"",IFERROR(VLOOKUP(D4271,PROVEEDORES!$A:$C,3,0),""),"")</f>
        <v/>
      </c>
      <c r="G4271" s="87"/>
      <c r="H4271" s="46" t="str">
        <f aca="false">IF(G4271&lt;&gt;"",IFERROR(VLOOKUP(G4271,PRODUCTOS!$A:$B,2,0),"!COD NO ENCONTRADO"),"")</f>
        <v/>
      </c>
      <c r="I4271" s="89"/>
      <c r="J4271" s="90"/>
      <c r="K4271" s="91"/>
      <c r="L4271" s="80" t="str">
        <f aca="false">IF(AND(J4271&lt;&gt;"",K4271&lt;&gt;""),J4271*K4271,"")</f>
        <v/>
      </c>
      <c r="M4271" s="81" t="str">
        <f aca="false">IF(L4271&lt;&gt;"",L4271*1.1,"")</f>
        <v/>
      </c>
      <c r="N4271" s="47" t="n">
        <f aca="false">IF(F4271="S",L4271*0.02,0)</f>
        <v>0</v>
      </c>
      <c r="O4271" s="82" t="str">
        <f aca="false">IF(L4271&lt;&gt;"",L4271+N4271,"")</f>
        <v/>
      </c>
      <c r="P4271" s="47" t="str">
        <f aca="false">IF(O4271&lt;&gt;"",O4271*0.1,"")</f>
        <v/>
      </c>
      <c r="Q4271" s="83" t="str">
        <f aca="false">IF(O4271&lt;&gt;"",O4271+P4271,"")</f>
        <v/>
      </c>
      <c r="R4271" s="84"/>
    </row>
    <row r="4272" customFormat="false" ht="15" hidden="false" customHeight="true" outlineLevel="0" collapsed="false">
      <c r="A4272" s="103"/>
      <c r="B4272" s="73"/>
      <c r="C4272" s="74"/>
      <c r="D4272" s="75"/>
      <c r="E4272" s="52" t="str">
        <f aca="false">IF(D4272&lt;&gt;"",IFERROR(VLOOKUP(D4272,PROVEEDORES!$A:$B,2,0),"!COD NO ENCONTRADO"),"")</f>
        <v/>
      </c>
      <c r="F4272" s="76" t="str">
        <f aca="false">IF(D4272&lt;&gt;"",IFERROR(VLOOKUP(D4272,PROVEEDORES!$A:$C,3,0),""),"")</f>
        <v/>
      </c>
      <c r="G4272" s="75"/>
      <c r="H4272" s="52" t="str">
        <f aca="false">IF(G4272&lt;&gt;"",IFERROR(VLOOKUP(G4272,PRODUCTOS!$A:$B,2,0),"!COD NO ENCONTRADO"),"")</f>
        <v/>
      </c>
      <c r="I4272" s="77"/>
      <c r="J4272" s="78"/>
      <c r="K4272" s="79"/>
      <c r="L4272" s="80" t="str">
        <f aca="false">IF(AND(J4272&lt;&gt;"",K4272&lt;&gt;""),J4272*K4272,"")</f>
        <v/>
      </c>
      <c r="M4272" s="81" t="str">
        <f aca="false">IF(L4272&lt;&gt;"",L4272*1.1,"")</f>
        <v/>
      </c>
      <c r="N4272" s="53" t="n">
        <f aca="false">IF(F4272="S",L4272*0.02,0)</f>
        <v>0</v>
      </c>
      <c r="O4272" s="82" t="str">
        <f aca="false">IF(L4272&lt;&gt;"",L4272+N4272,"")</f>
        <v/>
      </c>
      <c r="P4272" s="53" t="str">
        <f aca="false">IF(O4272&lt;&gt;"",O4272*0.1,"")</f>
        <v/>
      </c>
      <c r="Q4272" s="83" t="str">
        <f aca="false">IF(O4272&lt;&gt;"",O4272+P4272,"")</f>
        <v/>
      </c>
      <c r="R4272" s="84"/>
    </row>
    <row r="4273" customFormat="false" ht="15" hidden="false" customHeight="true" outlineLevel="0" collapsed="false">
      <c r="A4273" s="103"/>
      <c r="B4273" s="85"/>
      <c r="C4273" s="86"/>
      <c r="D4273" s="87"/>
      <c r="E4273" s="46" t="str">
        <f aca="false">IF(D4273&lt;&gt;"",IFERROR(VLOOKUP(D4273,PROVEEDORES!$A:$B,2,0),"!COD NO ENCONTRADO"),"")</f>
        <v/>
      </c>
      <c r="F4273" s="88" t="str">
        <f aca="false">IF(D4273&lt;&gt;"",IFERROR(VLOOKUP(D4273,PROVEEDORES!$A:$C,3,0),""),"")</f>
        <v/>
      </c>
      <c r="G4273" s="87"/>
      <c r="H4273" s="46" t="str">
        <f aca="false">IF(G4273&lt;&gt;"",IFERROR(VLOOKUP(G4273,PRODUCTOS!$A:$B,2,0),"!COD NO ENCONTRADO"),"")</f>
        <v/>
      </c>
      <c r="I4273" s="89"/>
      <c r="J4273" s="90"/>
      <c r="K4273" s="91"/>
      <c r="L4273" s="80" t="str">
        <f aca="false">IF(AND(J4273&lt;&gt;"",K4273&lt;&gt;""),J4273*K4273,"")</f>
        <v/>
      </c>
      <c r="M4273" s="81" t="str">
        <f aca="false">IF(L4273&lt;&gt;"",L4273*1.1,"")</f>
        <v/>
      </c>
      <c r="N4273" s="47" t="n">
        <f aca="false">IF(F4273="S",L4273*0.02,0)</f>
        <v>0</v>
      </c>
      <c r="O4273" s="82" t="str">
        <f aca="false">IF(L4273&lt;&gt;"",L4273+N4273,"")</f>
        <v/>
      </c>
      <c r="P4273" s="47" t="str">
        <f aca="false">IF(O4273&lt;&gt;"",O4273*0.1,"")</f>
        <v/>
      </c>
      <c r="Q4273" s="83" t="str">
        <f aca="false">IF(O4273&lt;&gt;"",O4273+P4273,"")</f>
        <v/>
      </c>
      <c r="R4273" s="84"/>
    </row>
    <row r="4274" customFormat="false" ht="15" hidden="false" customHeight="true" outlineLevel="0" collapsed="false">
      <c r="A4274" s="103"/>
      <c r="B4274" s="73"/>
      <c r="C4274" s="74"/>
      <c r="D4274" s="75"/>
      <c r="E4274" s="52" t="str">
        <f aca="false">IF(D4274&lt;&gt;"",IFERROR(VLOOKUP(D4274,PROVEEDORES!$A:$B,2,0),"!COD NO ENCONTRADO"),"")</f>
        <v/>
      </c>
      <c r="F4274" s="76" t="str">
        <f aca="false">IF(D4274&lt;&gt;"",IFERROR(VLOOKUP(D4274,PROVEEDORES!$A:$C,3,0),""),"")</f>
        <v/>
      </c>
      <c r="G4274" s="75"/>
      <c r="H4274" s="52" t="str">
        <f aca="false">IF(G4274&lt;&gt;"",IFERROR(VLOOKUP(G4274,PRODUCTOS!$A:$B,2,0),"!COD NO ENCONTRADO"),"")</f>
        <v/>
      </c>
      <c r="I4274" s="77"/>
      <c r="J4274" s="78"/>
      <c r="K4274" s="79"/>
      <c r="L4274" s="80" t="str">
        <f aca="false">IF(AND(J4274&lt;&gt;"",K4274&lt;&gt;""),J4274*K4274,"")</f>
        <v/>
      </c>
      <c r="M4274" s="81" t="str">
        <f aca="false">IF(L4274&lt;&gt;"",L4274*1.1,"")</f>
        <v/>
      </c>
      <c r="N4274" s="53" t="n">
        <f aca="false">IF(F4274="S",L4274*0.02,0)</f>
        <v>0</v>
      </c>
      <c r="O4274" s="82" t="str">
        <f aca="false">IF(L4274&lt;&gt;"",L4274+N4274,"")</f>
        <v/>
      </c>
      <c r="P4274" s="53" t="str">
        <f aca="false">IF(O4274&lt;&gt;"",O4274*0.1,"")</f>
        <v/>
      </c>
      <c r="Q4274" s="83" t="str">
        <f aca="false">IF(O4274&lt;&gt;"",O4274+P4274,"")</f>
        <v/>
      </c>
      <c r="R4274" s="84"/>
    </row>
    <row r="4275" customFormat="false" ht="15" hidden="false" customHeight="true" outlineLevel="0" collapsed="false">
      <c r="A4275" s="103"/>
      <c r="B4275" s="85"/>
      <c r="C4275" s="86"/>
      <c r="D4275" s="87"/>
      <c r="E4275" s="46" t="str">
        <f aca="false">IF(D4275&lt;&gt;"",IFERROR(VLOOKUP(D4275,PROVEEDORES!$A:$B,2,0),"!COD NO ENCONTRADO"),"")</f>
        <v/>
      </c>
      <c r="F4275" s="88" t="str">
        <f aca="false">IF(D4275&lt;&gt;"",IFERROR(VLOOKUP(D4275,PROVEEDORES!$A:$C,3,0),""),"")</f>
        <v/>
      </c>
      <c r="G4275" s="87"/>
      <c r="H4275" s="46" t="str">
        <f aca="false">IF(G4275&lt;&gt;"",IFERROR(VLOOKUP(G4275,PRODUCTOS!$A:$B,2,0),"!COD NO ENCONTRADO"),"")</f>
        <v/>
      </c>
      <c r="I4275" s="89"/>
      <c r="J4275" s="90"/>
      <c r="K4275" s="91"/>
      <c r="L4275" s="80" t="str">
        <f aca="false">IF(AND(J4275&lt;&gt;"",K4275&lt;&gt;""),J4275*K4275,"")</f>
        <v/>
      </c>
      <c r="M4275" s="81" t="str">
        <f aca="false">IF(L4275&lt;&gt;"",L4275*1.1,"")</f>
        <v/>
      </c>
      <c r="N4275" s="47" t="n">
        <f aca="false">IF(F4275="S",L4275*0.02,0)</f>
        <v>0</v>
      </c>
      <c r="O4275" s="82" t="str">
        <f aca="false">IF(L4275&lt;&gt;"",L4275+N4275,"")</f>
        <v/>
      </c>
      <c r="P4275" s="47" t="str">
        <f aca="false">IF(O4275&lt;&gt;"",O4275*0.1,"")</f>
        <v/>
      </c>
      <c r="Q4275" s="83" t="str">
        <f aca="false">IF(O4275&lt;&gt;"",O4275+P4275,"")</f>
        <v/>
      </c>
      <c r="R4275" s="84"/>
    </row>
    <row r="4276" customFormat="false" ht="15" hidden="false" customHeight="true" outlineLevel="0" collapsed="false">
      <c r="A4276" s="103"/>
      <c r="B4276" s="73"/>
      <c r="C4276" s="74"/>
      <c r="D4276" s="75"/>
      <c r="E4276" s="52" t="str">
        <f aca="false">IF(D4276&lt;&gt;"",IFERROR(VLOOKUP(D4276,PROVEEDORES!$A:$B,2,0),"!COD NO ENCONTRADO"),"")</f>
        <v/>
      </c>
      <c r="F4276" s="76" t="str">
        <f aca="false">IF(D4276&lt;&gt;"",IFERROR(VLOOKUP(D4276,PROVEEDORES!$A:$C,3,0),""),"")</f>
        <v/>
      </c>
      <c r="G4276" s="75"/>
      <c r="H4276" s="52" t="str">
        <f aca="false">IF(G4276&lt;&gt;"",IFERROR(VLOOKUP(G4276,PRODUCTOS!$A:$B,2,0),"!COD NO ENCONTRADO"),"")</f>
        <v/>
      </c>
      <c r="I4276" s="77"/>
      <c r="J4276" s="78"/>
      <c r="K4276" s="79"/>
      <c r="L4276" s="80" t="str">
        <f aca="false">IF(AND(J4276&lt;&gt;"",K4276&lt;&gt;""),J4276*K4276,"")</f>
        <v/>
      </c>
      <c r="M4276" s="81" t="str">
        <f aca="false">IF(L4276&lt;&gt;"",L4276*1.1,"")</f>
        <v/>
      </c>
      <c r="N4276" s="53" t="n">
        <f aca="false">IF(F4276="S",L4276*0.02,0)</f>
        <v>0</v>
      </c>
      <c r="O4276" s="82" t="str">
        <f aca="false">IF(L4276&lt;&gt;"",L4276+N4276,"")</f>
        <v/>
      </c>
      <c r="P4276" s="53" t="str">
        <f aca="false">IF(O4276&lt;&gt;"",O4276*0.1,"")</f>
        <v/>
      </c>
      <c r="Q4276" s="83" t="str">
        <f aca="false">IF(O4276&lt;&gt;"",O4276+P4276,"")</f>
        <v/>
      </c>
      <c r="R4276" s="84"/>
    </row>
    <row r="4277" customFormat="false" ht="15" hidden="false" customHeight="true" outlineLevel="0" collapsed="false">
      <c r="A4277" s="103"/>
      <c r="B4277" s="85"/>
      <c r="C4277" s="86"/>
      <c r="D4277" s="87"/>
      <c r="E4277" s="46" t="str">
        <f aca="false">IF(D4277&lt;&gt;"",IFERROR(VLOOKUP(D4277,PROVEEDORES!$A:$B,2,0),"!COD NO ENCONTRADO"),"")</f>
        <v/>
      </c>
      <c r="F4277" s="88" t="str">
        <f aca="false">IF(D4277&lt;&gt;"",IFERROR(VLOOKUP(D4277,PROVEEDORES!$A:$C,3,0),""),"")</f>
        <v/>
      </c>
      <c r="G4277" s="87"/>
      <c r="H4277" s="46" t="str">
        <f aca="false">IF(G4277&lt;&gt;"",IFERROR(VLOOKUP(G4277,PRODUCTOS!$A:$B,2,0),"!COD NO ENCONTRADO"),"")</f>
        <v/>
      </c>
      <c r="I4277" s="89"/>
      <c r="J4277" s="90"/>
      <c r="K4277" s="91"/>
      <c r="L4277" s="80" t="str">
        <f aca="false">IF(AND(J4277&lt;&gt;"",K4277&lt;&gt;""),J4277*K4277,"")</f>
        <v/>
      </c>
      <c r="M4277" s="81" t="str">
        <f aca="false">IF(L4277&lt;&gt;"",L4277*1.1,"")</f>
        <v/>
      </c>
      <c r="N4277" s="47" t="n">
        <f aca="false">IF(F4277="S",L4277*0.02,0)</f>
        <v>0</v>
      </c>
      <c r="O4277" s="82" t="str">
        <f aca="false">IF(L4277&lt;&gt;"",L4277+N4277,"")</f>
        <v/>
      </c>
      <c r="P4277" s="47" t="str">
        <f aca="false">IF(O4277&lt;&gt;"",O4277*0.1,"")</f>
        <v/>
      </c>
      <c r="Q4277" s="83" t="str">
        <f aca="false">IF(O4277&lt;&gt;"",O4277+P4277,"")</f>
        <v/>
      </c>
      <c r="R4277" s="84"/>
    </row>
    <row r="4278" customFormat="false" ht="15" hidden="false" customHeight="true" outlineLevel="0" collapsed="false">
      <c r="A4278" s="103"/>
      <c r="B4278" s="73"/>
      <c r="C4278" s="74"/>
      <c r="D4278" s="75"/>
      <c r="E4278" s="52" t="str">
        <f aca="false">IF(D4278&lt;&gt;"",IFERROR(VLOOKUP(D4278,PROVEEDORES!$A:$B,2,0),"!COD NO ENCONTRADO"),"")</f>
        <v/>
      </c>
      <c r="F4278" s="76" t="str">
        <f aca="false">IF(D4278&lt;&gt;"",IFERROR(VLOOKUP(D4278,PROVEEDORES!$A:$C,3,0),""),"")</f>
        <v/>
      </c>
      <c r="G4278" s="75"/>
      <c r="H4278" s="52" t="str">
        <f aca="false">IF(G4278&lt;&gt;"",IFERROR(VLOOKUP(G4278,PRODUCTOS!$A:$B,2,0),"!COD NO ENCONTRADO"),"")</f>
        <v/>
      </c>
      <c r="I4278" s="77"/>
      <c r="J4278" s="78"/>
      <c r="K4278" s="79"/>
      <c r="L4278" s="80" t="str">
        <f aca="false">IF(AND(J4278&lt;&gt;"",K4278&lt;&gt;""),J4278*K4278,"")</f>
        <v/>
      </c>
      <c r="M4278" s="81" t="str">
        <f aca="false">IF(L4278&lt;&gt;"",L4278*1.1,"")</f>
        <v/>
      </c>
      <c r="N4278" s="53" t="n">
        <f aca="false">IF(F4278="S",L4278*0.02,0)</f>
        <v>0</v>
      </c>
      <c r="O4278" s="82" t="str">
        <f aca="false">IF(L4278&lt;&gt;"",L4278+N4278,"")</f>
        <v/>
      </c>
      <c r="P4278" s="53" t="str">
        <f aca="false">IF(O4278&lt;&gt;"",O4278*0.1,"")</f>
        <v/>
      </c>
      <c r="Q4278" s="83" t="str">
        <f aca="false">IF(O4278&lt;&gt;"",O4278+P4278,"")</f>
        <v/>
      </c>
      <c r="R4278" s="84"/>
    </row>
    <row r="4279" customFormat="false" ht="15" hidden="false" customHeight="true" outlineLevel="0" collapsed="false">
      <c r="A4279" s="103"/>
      <c r="B4279" s="85"/>
      <c r="C4279" s="86"/>
      <c r="D4279" s="87"/>
      <c r="E4279" s="46" t="str">
        <f aca="false">IF(D4279&lt;&gt;"",IFERROR(VLOOKUP(D4279,PROVEEDORES!$A:$B,2,0),"!COD NO ENCONTRADO"),"")</f>
        <v/>
      </c>
      <c r="F4279" s="88" t="str">
        <f aca="false">IF(D4279&lt;&gt;"",IFERROR(VLOOKUP(D4279,PROVEEDORES!$A:$C,3,0),""),"")</f>
        <v/>
      </c>
      <c r="G4279" s="87"/>
      <c r="H4279" s="46" t="str">
        <f aca="false">IF(G4279&lt;&gt;"",IFERROR(VLOOKUP(G4279,PRODUCTOS!$A:$B,2,0),"!COD NO ENCONTRADO"),"")</f>
        <v/>
      </c>
      <c r="I4279" s="89"/>
      <c r="J4279" s="90"/>
      <c r="K4279" s="91"/>
      <c r="L4279" s="80" t="str">
        <f aca="false">IF(AND(J4279&lt;&gt;"",K4279&lt;&gt;""),J4279*K4279,"")</f>
        <v/>
      </c>
      <c r="M4279" s="81" t="str">
        <f aca="false">IF(L4279&lt;&gt;"",L4279*1.1,"")</f>
        <v/>
      </c>
      <c r="N4279" s="47" t="n">
        <f aca="false">IF(F4279="S",L4279*0.02,0)</f>
        <v>0</v>
      </c>
      <c r="O4279" s="82" t="str">
        <f aca="false">IF(L4279&lt;&gt;"",L4279+N4279,"")</f>
        <v/>
      </c>
      <c r="P4279" s="47" t="str">
        <f aca="false">IF(O4279&lt;&gt;"",O4279*0.1,"")</f>
        <v/>
      </c>
      <c r="Q4279" s="83" t="str">
        <f aca="false">IF(O4279&lt;&gt;"",O4279+P4279,"")</f>
        <v/>
      </c>
      <c r="R4279" s="84"/>
    </row>
    <row r="4280" customFormat="false" ht="15" hidden="false" customHeight="true" outlineLevel="0" collapsed="false">
      <c r="A4280" s="103"/>
      <c r="B4280" s="73"/>
      <c r="C4280" s="74"/>
      <c r="D4280" s="75"/>
      <c r="E4280" s="52" t="str">
        <f aca="false">IF(D4280&lt;&gt;"",IFERROR(VLOOKUP(D4280,PROVEEDORES!$A:$B,2,0),"!COD NO ENCONTRADO"),"")</f>
        <v/>
      </c>
      <c r="F4280" s="76" t="str">
        <f aca="false">IF(D4280&lt;&gt;"",IFERROR(VLOOKUP(D4280,PROVEEDORES!$A:$C,3,0),""),"")</f>
        <v/>
      </c>
      <c r="G4280" s="75"/>
      <c r="H4280" s="52" t="str">
        <f aca="false">IF(G4280&lt;&gt;"",IFERROR(VLOOKUP(G4280,PRODUCTOS!$A:$B,2,0),"!COD NO ENCONTRADO"),"")</f>
        <v/>
      </c>
      <c r="I4280" s="77"/>
      <c r="J4280" s="78"/>
      <c r="K4280" s="79"/>
      <c r="L4280" s="80" t="str">
        <f aca="false">IF(AND(J4280&lt;&gt;"",K4280&lt;&gt;""),J4280*K4280,"")</f>
        <v/>
      </c>
      <c r="M4280" s="81" t="str">
        <f aca="false">IF(L4280&lt;&gt;"",L4280*1.1,"")</f>
        <v/>
      </c>
      <c r="N4280" s="53" t="n">
        <f aca="false">IF(F4280="S",L4280*0.02,0)</f>
        <v>0</v>
      </c>
      <c r="O4280" s="82" t="str">
        <f aca="false">IF(L4280&lt;&gt;"",L4280+N4280,"")</f>
        <v/>
      </c>
      <c r="P4280" s="53" t="str">
        <f aca="false">IF(O4280&lt;&gt;"",O4280*0.1,"")</f>
        <v/>
      </c>
      <c r="Q4280" s="83" t="str">
        <f aca="false">IF(O4280&lt;&gt;"",O4280+P4280,"")</f>
        <v/>
      </c>
      <c r="R4280" s="84"/>
    </row>
    <row r="4281" customFormat="false" ht="15" hidden="false" customHeight="true" outlineLevel="0" collapsed="false">
      <c r="A4281" s="103"/>
      <c r="B4281" s="85"/>
      <c r="C4281" s="86"/>
      <c r="D4281" s="87"/>
      <c r="E4281" s="46" t="str">
        <f aca="false">IF(D4281&lt;&gt;"",IFERROR(VLOOKUP(D4281,PROVEEDORES!$A:$B,2,0),"!COD NO ENCONTRADO"),"")</f>
        <v/>
      </c>
      <c r="F4281" s="88" t="str">
        <f aca="false">IF(D4281&lt;&gt;"",IFERROR(VLOOKUP(D4281,PROVEEDORES!$A:$C,3,0),""),"")</f>
        <v/>
      </c>
      <c r="G4281" s="87"/>
      <c r="H4281" s="46" t="str">
        <f aca="false">IF(G4281&lt;&gt;"",IFERROR(VLOOKUP(G4281,PRODUCTOS!$A:$B,2,0),"!COD NO ENCONTRADO"),"")</f>
        <v/>
      </c>
      <c r="I4281" s="89"/>
      <c r="J4281" s="90"/>
      <c r="K4281" s="91"/>
      <c r="L4281" s="80" t="str">
        <f aca="false">IF(AND(J4281&lt;&gt;"",K4281&lt;&gt;""),J4281*K4281,"")</f>
        <v/>
      </c>
      <c r="M4281" s="81" t="str">
        <f aca="false">IF(L4281&lt;&gt;"",L4281*1.1,"")</f>
        <v/>
      </c>
      <c r="N4281" s="47" t="n">
        <f aca="false">IF(F4281="S",L4281*0.02,0)</f>
        <v>0</v>
      </c>
      <c r="O4281" s="82" t="str">
        <f aca="false">IF(L4281&lt;&gt;"",L4281+N4281,"")</f>
        <v/>
      </c>
      <c r="P4281" s="47" t="str">
        <f aca="false">IF(O4281&lt;&gt;"",O4281*0.1,"")</f>
        <v/>
      </c>
      <c r="Q4281" s="83" t="str">
        <f aca="false">IF(O4281&lt;&gt;"",O4281+P4281,"")</f>
        <v/>
      </c>
      <c r="R4281" s="84"/>
    </row>
    <row r="4282" customFormat="false" ht="15" hidden="false" customHeight="true" outlineLevel="0" collapsed="false">
      <c r="A4282" s="103"/>
      <c r="B4282" s="73"/>
      <c r="C4282" s="74"/>
      <c r="D4282" s="75"/>
      <c r="E4282" s="52" t="str">
        <f aca="false">IF(D4282&lt;&gt;"",IFERROR(VLOOKUP(D4282,PROVEEDORES!$A:$B,2,0),"!COD NO ENCONTRADO"),"")</f>
        <v/>
      </c>
      <c r="F4282" s="76" t="str">
        <f aca="false">IF(D4282&lt;&gt;"",IFERROR(VLOOKUP(D4282,PROVEEDORES!$A:$C,3,0),""),"")</f>
        <v/>
      </c>
      <c r="G4282" s="75"/>
      <c r="H4282" s="52" t="str">
        <f aca="false">IF(G4282&lt;&gt;"",IFERROR(VLOOKUP(G4282,PRODUCTOS!$A:$B,2,0),"!COD NO ENCONTRADO"),"")</f>
        <v/>
      </c>
      <c r="I4282" s="77"/>
      <c r="J4282" s="78"/>
      <c r="K4282" s="79"/>
      <c r="L4282" s="80" t="str">
        <f aca="false">IF(AND(J4282&lt;&gt;"",K4282&lt;&gt;""),J4282*K4282,"")</f>
        <v/>
      </c>
      <c r="M4282" s="81" t="str">
        <f aca="false">IF(L4282&lt;&gt;"",L4282*1.1,"")</f>
        <v/>
      </c>
      <c r="N4282" s="53" t="n">
        <f aca="false">IF(F4282="S",L4282*0.02,0)</f>
        <v>0</v>
      </c>
      <c r="O4282" s="82" t="str">
        <f aca="false">IF(L4282&lt;&gt;"",L4282+N4282,"")</f>
        <v/>
      </c>
      <c r="P4282" s="53" t="str">
        <f aca="false">IF(O4282&lt;&gt;"",O4282*0.1,"")</f>
        <v/>
      </c>
      <c r="Q4282" s="83" t="str">
        <f aca="false">IF(O4282&lt;&gt;"",O4282+P4282,"")</f>
        <v/>
      </c>
      <c r="R4282" s="84"/>
    </row>
    <row r="4283" customFormat="false" ht="15" hidden="false" customHeight="true" outlineLevel="0" collapsed="false">
      <c r="A4283" s="103"/>
      <c r="B4283" s="85"/>
      <c r="C4283" s="86"/>
      <c r="D4283" s="87"/>
      <c r="E4283" s="46" t="str">
        <f aca="false">IF(D4283&lt;&gt;"",IFERROR(VLOOKUP(D4283,PROVEEDORES!$A:$B,2,0),"!COD NO ENCONTRADO"),"")</f>
        <v/>
      </c>
      <c r="F4283" s="88" t="str">
        <f aca="false">IF(D4283&lt;&gt;"",IFERROR(VLOOKUP(D4283,PROVEEDORES!$A:$C,3,0),""),"")</f>
        <v/>
      </c>
      <c r="G4283" s="87"/>
      <c r="H4283" s="46" t="str">
        <f aca="false">IF(G4283&lt;&gt;"",IFERROR(VLOOKUP(G4283,PRODUCTOS!$A:$B,2,0),"!COD NO ENCONTRADO"),"")</f>
        <v/>
      </c>
      <c r="I4283" s="89"/>
      <c r="J4283" s="90"/>
      <c r="K4283" s="91"/>
      <c r="L4283" s="80" t="str">
        <f aca="false">IF(AND(J4283&lt;&gt;"",K4283&lt;&gt;""),J4283*K4283,"")</f>
        <v/>
      </c>
      <c r="M4283" s="81" t="str">
        <f aca="false">IF(L4283&lt;&gt;"",L4283*1.1,"")</f>
        <v/>
      </c>
      <c r="N4283" s="47" t="n">
        <f aca="false">IF(F4283="S",L4283*0.02,0)</f>
        <v>0</v>
      </c>
      <c r="O4283" s="82" t="str">
        <f aca="false">IF(L4283&lt;&gt;"",L4283+N4283,"")</f>
        <v/>
      </c>
      <c r="P4283" s="47" t="str">
        <f aca="false">IF(O4283&lt;&gt;"",O4283*0.1,"")</f>
        <v/>
      </c>
      <c r="Q4283" s="83" t="str">
        <f aca="false">IF(O4283&lt;&gt;"",O4283+P4283,"")</f>
        <v/>
      </c>
      <c r="R4283" s="84"/>
    </row>
    <row r="4284" customFormat="false" ht="15" hidden="false" customHeight="true" outlineLevel="0" collapsed="false">
      <c r="A4284" s="103"/>
      <c r="B4284" s="73"/>
      <c r="C4284" s="74"/>
      <c r="D4284" s="75"/>
      <c r="E4284" s="52" t="str">
        <f aca="false">IF(D4284&lt;&gt;"",IFERROR(VLOOKUP(D4284,PROVEEDORES!$A:$B,2,0),"!COD NO ENCONTRADO"),"")</f>
        <v/>
      </c>
      <c r="F4284" s="76" t="str">
        <f aca="false">IF(D4284&lt;&gt;"",IFERROR(VLOOKUP(D4284,PROVEEDORES!$A:$C,3,0),""),"")</f>
        <v/>
      </c>
      <c r="G4284" s="75"/>
      <c r="H4284" s="52" t="str">
        <f aca="false">IF(G4284&lt;&gt;"",IFERROR(VLOOKUP(G4284,PRODUCTOS!$A:$B,2,0),"!COD NO ENCONTRADO"),"")</f>
        <v/>
      </c>
      <c r="I4284" s="77"/>
      <c r="J4284" s="78"/>
      <c r="K4284" s="79"/>
      <c r="L4284" s="80" t="str">
        <f aca="false">IF(AND(J4284&lt;&gt;"",K4284&lt;&gt;""),J4284*K4284,"")</f>
        <v/>
      </c>
      <c r="M4284" s="81" t="str">
        <f aca="false">IF(L4284&lt;&gt;"",L4284*1.1,"")</f>
        <v/>
      </c>
      <c r="N4284" s="53" t="n">
        <f aca="false">IF(F4284="S",L4284*0.02,0)</f>
        <v>0</v>
      </c>
      <c r="O4284" s="82" t="str">
        <f aca="false">IF(L4284&lt;&gt;"",L4284+N4284,"")</f>
        <v/>
      </c>
      <c r="P4284" s="53" t="str">
        <f aca="false">IF(O4284&lt;&gt;"",O4284*0.1,"")</f>
        <v/>
      </c>
      <c r="Q4284" s="83" t="str">
        <f aca="false">IF(O4284&lt;&gt;"",O4284+P4284,"")</f>
        <v/>
      </c>
      <c r="R4284" s="84"/>
    </row>
    <row r="4285" customFormat="false" ht="15" hidden="false" customHeight="true" outlineLevel="0" collapsed="false">
      <c r="A4285" s="103"/>
      <c r="B4285" s="85"/>
      <c r="C4285" s="86"/>
      <c r="D4285" s="87"/>
      <c r="E4285" s="46" t="str">
        <f aca="false">IF(D4285&lt;&gt;"",IFERROR(VLOOKUP(D4285,PROVEEDORES!$A:$B,2,0),"!COD NO ENCONTRADO"),"")</f>
        <v/>
      </c>
      <c r="F4285" s="88" t="str">
        <f aca="false">IF(D4285&lt;&gt;"",IFERROR(VLOOKUP(D4285,PROVEEDORES!$A:$C,3,0),""),"")</f>
        <v/>
      </c>
      <c r="G4285" s="87"/>
      <c r="H4285" s="46" t="str">
        <f aca="false">IF(G4285&lt;&gt;"",IFERROR(VLOOKUP(G4285,PRODUCTOS!$A:$B,2,0),"!COD NO ENCONTRADO"),"")</f>
        <v/>
      </c>
      <c r="I4285" s="89"/>
      <c r="J4285" s="90"/>
      <c r="K4285" s="91"/>
      <c r="L4285" s="80" t="str">
        <f aca="false">IF(AND(J4285&lt;&gt;"",K4285&lt;&gt;""),J4285*K4285,"")</f>
        <v/>
      </c>
      <c r="M4285" s="81" t="str">
        <f aca="false">IF(L4285&lt;&gt;"",L4285*1.1,"")</f>
        <v/>
      </c>
      <c r="N4285" s="47" t="n">
        <f aca="false">IF(F4285="S",L4285*0.02,0)</f>
        <v>0</v>
      </c>
      <c r="O4285" s="82" t="str">
        <f aca="false">IF(L4285&lt;&gt;"",L4285+N4285,"")</f>
        <v/>
      </c>
      <c r="P4285" s="47" t="str">
        <f aca="false">IF(O4285&lt;&gt;"",O4285*0.1,"")</f>
        <v/>
      </c>
      <c r="Q4285" s="83" t="str">
        <f aca="false">IF(O4285&lt;&gt;"",O4285+P4285,"")</f>
        <v/>
      </c>
      <c r="R4285" s="84"/>
    </row>
    <row r="4286" customFormat="false" ht="15" hidden="false" customHeight="true" outlineLevel="0" collapsed="false">
      <c r="A4286" s="103"/>
      <c r="B4286" s="73"/>
      <c r="C4286" s="74"/>
      <c r="D4286" s="75"/>
      <c r="E4286" s="52" t="str">
        <f aca="false">IF(D4286&lt;&gt;"",IFERROR(VLOOKUP(D4286,PROVEEDORES!$A:$B,2,0),"!COD NO ENCONTRADO"),"")</f>
        <v/>
      </c>
      <c r="F4286" s="76" t="str">
        <f aca="false">IF(D4286&lt;&gt;"",IFERROR(VLOOKUP(D4286,PROVEEDORES!$A:$C,3,0),""),"")</f>
        <v/>
      </c>
      <c r="G4286" s="75"/>
      <c r="H4286" s="52" t="str">
        <f aca="false">IF(G4286&lt;&gt;"",IFERROR(VLOOKUP(G4286,PRODUCTOS!$A:$B,2,0),"!COD NO ENCONTRADO"),"")</f>
        <v/>
      </c>
      <c r="I4286" s="77"/>
      <c r="J4286" s="78"/>
      <c r="K4286" s="79"/>
      <c r="L4286" s="80" t="str">
        <f aca="false">IF(AND(J4286&lt;&gt;"",K4286&lt;&gt;""),J4286*K4286,"")</f>
        <v/>
      </c>
      <c r="M4286" s="81" t="str">
        <f aca="false">IF(L4286&lt;&gt;"",L4286*1.1,"")</f>
        <v/>
      </c>
      <c r="N4286" s="53" t="n">
        <f aca="false">IF(F4286="S",L4286*0.02,0)</f>
        <v>0</v>
      </c>
      <c r="O4286" s="82" t="str">
        <f aca="false">IF(L4286&lt;&gt;"",L4286+N4286,"")</f>
        <v/>
      </c>
      <c r="P4286" s="53" t="str">
        <f aca="false">IF(O4286&lt;&gt;"",O4286*0.1,"")</f>
        <v/>
      </c>
      <c r="Q4286" s="83" t="str">
        <f aca="false">IF(O4286&lt;&gt;"",O4286+P4286,"")</f>
        <v/>
      </c>
      <c r="R4286" s="84"/>
    </row>
    <row r="4287" customFormat="false" ht="15" hidden="false" customHeight="true" outlineLevel="0" collapsed="false">
      <c r="A4287" s="103"/>
      <c r="B4287" s="85"/>
      <c r="C4287" s="86"/>
      <c r="D4287" s="87"/>
      <c r="E4287" s="46" t="str">
        <f aca="false">IF(D4287&lt;&gt;"",IFERROR(VLOOKUP(D4287,PROVEEDORES!$A:$B,2,0),"!COD NO ENCONTRADO"),"")</f>
        <v/>
      </c>
      <c r="F4287" s="88" t="str">
        <f aca="false">IF(D4287&lt;&gt;"",IFERROR(VLOOKUP(D4287,PROVEEDORES!$A:$C,3,0),""),"")</f>
        <v/>
      </c>
      <c r="G4287" s="87"/>
      <c r="H4287" s="46" t="str">
        <f aca="false">IF(G4287&lt;&gt;"",IFERROR(VLOOKUP(G4287,PRODUCTOS!$A:$B,2,0),"!COD NO ENCONTRADO"),"")</f>
        <v/>
      </c>
      <c r="I4287" s="89"/>
      <c r="J4287" s="90"/>
      <c r="K4287" s="91"/>
      <c r="L4287" s="80" t="str">
        <f aca="false">IF(AND(J4287&lt;&gt;"",K4287&lt;&gt;""),J4287*K4287,"")</f>
        <v/>
      </c>
      <c r="M4287" s="81" t="str">
        <f aca="false">IF(L4287&lt;&gt;"",L4287*1.1,"")</f>
        <v/>
      </c>
      <c r="N4287" s="47" t="n">
        <f aca="false">IF(F4287="S",L4287*0.02,0)</f>
        <v>0</v>
      </c>
      <c r="O4287" s="82" t="str">
        <f aca="false">IF(L4287&lt;&gt;"",L4287+N4287,"")</f>
        <v/>
      </c>
      <c r="P4287" s="47" t="str">
        <f aca="false">IF(O4287&lt;&gt;"",O4287*0.1,"")</f>
        <v/>
      </c>
      <c r="Q4287" s="83" t="str">
        <f aca="false">IF(O4287&lt;&gt;"",O4287+P4287,"")</f>
        <v/>
      </c>
      <c r="R4287" s="84"/>
    </row>
    <row r="4288" customFormat="false" ht="15" hidden="false" customHeight="true" outlineLevel="0" collapsed="false">
      <c r="A4288" s="103"/>
      <c r="B4288" s="73"/>
      <c r="C4288" s="74"/>
      <c r="D4288" s="75"/>
      <c r="E4288" s="52" t="str">
        <f aca="false">IF(D4288&lt;&gt;"",IFERROR(VLOOKUP(D4288,PROVEEDORES!$A:$B,2,0),"!COD NO ENCONTRADO"),"")</f>
        <v/>
      </c>
      <c r="F4288" s="76" t="str">
        <f aca="false">IF(D4288&lt;&gt;"",IFERROR(VLOOKUP(D4288,PROVEEDORES!$A:$C,3,0),""),"")</f>
        <v/>
      </c>
      <c r="G4288" s="75"/>
      <c r="H4288" s="52" t="str">
        <f aca="false">IF(G4288&lt;&gt;"",IFERROR(VLOOKUP(G4288,PRODUCTOS!$A:$B,2,0),"!COD NO ENCONTRADO"),"")</f>
        <v/>
      </c>
      <c r="I4288" s="77"/>
      <c r="J4288" s="78"/>
      <c r="K4288" s="79"/>
      <c r="L4288" s="80" t="str">
        <f aca="false">IF(AND(J4288&lt;&gt;"",K4288&lt;&gt;""),J4288*K4288,"")</f>
        <v/>
      </c>
      <c r="M4288" s="81" t="str">
        <f aca="false">IF(L4288&lt;&gt;"",L4288*1.1,"")</f>
        <v/>
      </c>
      <c r="N4288" s="53" t="n">
        <f aca="false">IF(F4288="S",L4288*0.02,0)</f>
        <v>0</v>
      </c>
      <c r="O4288" s="82" t="str">
        <f aca="false">IF(L4288&lt;&gt;"",L4288+N4288,"")</f>
        <v/>
      </c>
      <c r="P4288" s="53" t="str">
        <f aca="false">IF(O4288&lt;&gt;"",O4288*0.1,"")</f>
        <v/>
      </c>
      <c r="Q4288" s="83" t="str">
        <f aca="false">IF(O4288&lt;&gt;"",O4288+P4288,"")</f>
        <v/>
      </c>
      <c r="R4288" s="84"/>
    </row>
    <row r="4289" customFormat="false" ht="15" hidden="false" customHeight="true" outlineLevel="0" collapsed="false">
      <c r="A4289" s="103"/>
      <c r="B4289" s="85"/>
      <c r="C4289" s="86"/>
      <c r="D4289" s="87"/>
      <c r="E4289" s="46" t="str">
        <f aca="false">IF(D4289&lt;&gt;"",IFERROR(VLOOKUP(D4289,PROVEEDORES!$A:$B,2,0),"!COD NO ENCONTRADO"),"")</f>
        <v/>
      </c>
      <c r="F4289" s="88" t="str">
        <f aca="false">IF(D4289&lt;&gt;"",IFERROR(VLOOKUP(D4289,PROVEEDORES!$A:$C,3,0),""),"")</f>
        <v/>
      </c>
      <c r="G4289" s="87"/>
      <c r="H4289" s="46" t="str">
        <f aca="false">IF(G4289&lt;&gt;"",IFERROR(VLOOKUP(G4289,PRODUCTOS!$A:$B,2,0),"!COD NO ENCONTRADO"),"")</f>
        <v/>
      </c>
      <c r="I4289" s="89"/>
      <c r="J4289" s="90"/>
      <c r="K4289" s="91"/>
      <c r="L4289" s="80" t="str">
        <f aca="false">IF(AND(J4289&lt;&gt;"",K4289&lt;&gt;""),J4289*K4289,"")</f>
        <v/>
      </c>
      <c r="M4289" s="81" t="str">
        <f aca="false">IF(L4289&lt;&gt;"",L4289*1.1,"")</f>
        <v/>
      </c>
      <c r="N4289" s="47" t="n">
        <f aca="false">IF(F4289="S",L4289*0.02,0)</f>
        <v>0</v>
      </c>
      <c r="O4289" s="82" t="str">
        <f aca="false">IF(L4289&lt;&gt;"",L4289+N4289,"")</f>
        <v/>
      </c>
      <c r="P4289" s="47" t="str">
        <f aca="false">IF(O4289&lt;&gt;"",O4289*0.1,"")</f>
        <v/>
      </c>
      <c r="Q4289" s="83" t="str">
        <f aca="false">IF(O4289&lt;&gt;"",O4289+P4289,"")</f>
        <v/>
      </c>
      <c r="R4289" s="84"/>
    </row>
    <row r="4290" customFormat="false" ht="15" hidden="false" customHeight="true" outlineLevel="0" collapsed="false">
      <c r="A4290" s="103"/>
      <c r="B4290" s="73"/>
      <c r="C4290" s="74"/>
      <c r="D4290" s="75"/>
      <c r="E4290" s="52" t="str">
        <f aca="false">IF(D4290&lt;&gt;"",IFERROR(VLOOKUP(D4290,PROVEEDORES!$A:$B,2,0),"!COD NO ENCONTRADO"),"")</f>
        <v/>
      </c>
      <c r="F4290" s="76" t="str">
        <f aca="false">IF(D4290&lt;&gt;"",IFERROR(VLOOKUP(D4290,PROVEEDORES!$A:$C,3,0),""),"")</f>
        <v/>
      </c>
      <c r="G4290" s="75"/>
      <c r="H4290" s="52" t="str">
        <f aca="false">IF(G4290&lt;&gt;"",IFERROR(VLOOKUP(G4290,PRODUCTOS!$A:$B,2,0),"!COD NO ENCONTRADO"),"")</f>
        <v/>
      </c>
      <c r="I4290" s="77"/>
      <c r="J4290" s="78"/>
      <c r="K4290" s="79"/>
      <c r="L4290" s="80" t="str">
        <f aca="false">IF(AND(J4290&lt;&gt;"",K4290&lt;&gt;""),J4290*K4290,"")</f>
        <v/>
      </c>
      <c r="M4290" s="81" t="str">
        <f aca="false">IF(L4290&lt;&gt;"",L4290*1.1,"")</f>
        <v/>
      </c>
      <c r="N4290" s="53" t="n">
        <f aca="false">IF(F4290="S",L4290*0.02,0)</f>
        <v>0</v>
      </c>
      <c r="O4290" s="82" t="str">
        <f aca="false">IF(L4290&lt;&gt;"",L4290+N4290,"")</f>
        <v/>
      </c>
      <c r="P4290" s="53" t="str">
        <f aca="false">IF(O4290&lt;&gt;"",O4290*0.1,"")</f>
        <v/>
      </c>
      <c r="Q4290" s="83" t="str">
        <f aca="false">IF(O4290&lt;&gt;"",O4290+P4290,"")</f>
        <v/>
      </c>
      <c r="R4290" s="84"/>
    </row>
    <row r="4291" customFormat="false" ht="15" hidden="false" customHeight="true" outlineLevel="0" collapsed="false">
      <c r="A4291" s="103"/>
      <c r="B4291" s="85"/>
      <c r="C4291" s="86"/>
      <c r="D4291" s="87"/>
      <c r="E4291" s="46" t="str">
        <f aca="false">IF(D4291&lt;&gt;"",IFERROR(VLOOKUP(D4291,PROVEEDORES!$A:$B,2,0),"!COD NO ENCONTRADO"),"")</f>
        <v/>
      </c>
      <c r="F4291" s="88" t="str">
        <f aca="false">IF(D4291&lt;&gt;"",IFERROR(VLOOKUP(D4291,PROVEEDORES!$A:$C,3,0),""),"")</f>
        <v/>
      </c>
      <c r="G4291" s="87"/>
      <c r="H4291" s="46" t="str">
        <f aca="false">IF(G4291&lt;&gt;"",IFERROR(VLOOKUP(G4291,PRODUCTOS!$A:$B,2,0),"!COD NO ENCONTRADO"),"")</f>
        <v/>
      </c>
      <c r="I4291" s="89"/>
      <c r="J4291" s="90"/>
      <c r="K4291" s="91"/>
      <c r="L4291" s="80" t="str">
        <f aca="false">IF(AND(J4291&lt;&gt;"",K4291&lt;&gt;""),J4291*K4291,"")</f>
        <v/>
      </c>
      <c r="M4291" s="81" t="str">
        <f aca="false">IF(L4291&lt;&gt;"",L4291*1.1,"")</f>
        <v/>
      </c>
      <c r="N4291" s="47" t="n">
        <f aca="false">IF(F4291="S",L4291*0.02,0)</f>
        <v>0</v>
      </c>
      <c r="O4291" s="82" t="str">
        <f aca="false">IF(L4291&lt;&gt;"",L4291+N4291,"")</f>
        <v/>
      </c>
      <c r="P4291" s="47" t="str">
        <f aca="false">IF(O4291&lt;&gt;"",O4291*0.1,"")</f>
        <v/>
      </c>
      <c r="Q4291" s="83" t="str">
        <f aca="false">IF(O4291&lt;&gt;"",O4291+P4291,"")</f>
        <v/>
      </c>
      <c r="R4291" s="84"/>
    </row>
    <row r="4292" customFormat="false" ht="15" hidden="false" customHeight="true" outlineLevel="0" collapsed="false">
      <c r="A4292" s="103"/>
      <c r="B4292" s="73"/>
      <c r="C4292" s="74"/>
      <c r="D4292" s="75"/>
      <c r="E4292" s="52" t="str">
        <f aca="false">IF(D4292&lt;&gt;"",IFERROR(VLOOKUP(D4292,PROVEEDORES!$A:$B,2,0),"!COD NO ENCONTRADO"),"")</f>
        <v/>
      </c>
      <c r="F4292" s="76" t="str">
        <f aca="false">IF(D4292&lt;&gt;"",IFERROR(VLOOKUP(D4292,PROVEEDORES!$A:$C,3,0),""),"")</f>
        <v/>
      </c>
      <c r="G4292" s="75"/>
      <c r="H4292" s="52" t="str">
        <f aca="false">IF(G4292&lt;&gt;"",IFERROR(VLOOKUP(G4292,PRODUCTOS!$A:$B,2,0),"!COD NO ENCONTRADO"),"")</f>
        <v/>
      </c>
      <c r="I4292" s="77"/>
      <c r="J4292" s="78"/>
      <c r="K4292" s="79"/>
      <c r="L4292" s="80" t="str">
        <f aca="false">IF(AND(J4292&lt;&gt;"",K4292&lt;&gt;""),J4292*K4292,"")</f>
        <v/>
      </c>
      <c r="M4292" s="81" t="str">
        <f aca="false">IF(L4292&lt;&gt;"",L4292*1.1,"")</f>
        <v/>
      </c>
      <c r="N4292" s="53" t="n">
        <f aca="false">IF(F4292="S",L4292*0.02,0)</f>
        <v>0</v>
      </c>
      <c r="O4292" s="82" t="str">
        <f aca="false">IF(L4292&lt;&gt;"",L4292+N4292,"")</f>
        <v/>
      </c>
      <c r="P4292" s="53" t="str">
        <f aca="false">IF(O4292&lt;&gt;"",O4292*0.1,"")</f>
        <v/>
      </c>
      <c r="Q4292" s="83" t="str">
        <f aca="false">IF(O4292&lt;&gt;"",O4292+P4292,"")</f>
        <v/>
      </c>
      <c r="R4292" s="84"/>
    </row>
    <row r="4293" customFormat="false" ht="15" hidden="false" customHeight="true" outlineLevel="0" collapsed="false">
      <c r="A4293" s="103"/>
      <c r="B4293" s="85"/>
      <c r="C4293" s="86"/>
      <c r="D4293" s="87"/>
      <c r="E4293" s="46" t="str">
        <f aca="false">IF(D4293&lt;&gt;"",IFERROR(VLOOKUP(D4293,PROVEEDORES!$A:$B,2,0),"!COD NO ENCONTRADO"),"")</f>
        <v/>
      </c>
      <c r="F4293" s="88" t="str">
        <f aca="false">IF(D4293&lt;&gt;"",IFERROR(VLOOKUP(D4293,PROVEEDORES!$A:$C,3,0),""),"")</f>
        <v/>
      </c>
      <c r="G4293" s="87"/>
      <c r="H4293" s="46" t="str">
        <f aca="false">IF(G4293&lt;&gt;"",IFERROR(VLOOKUP(G4293,PRODUCTOS!$A:$B,2,0),"!COD NO ENCONTRADO"),"")</f>
        <v/>
      </c>
      <c r="I4293" s="89"/>
      <c r="J4293" s="90"/>
      <c r="K4293" s="91"/>
      <c r="L4293" s="80" t="str">
        <f aca="false">IF(AND(J4293&lt;&gt;"",K4293&lt;&gt;""),J4293*K4293,"")</f>
        <v/>
      </c>
      <c r="M4293" s="81" t="str">
        <f aca="false">IF(L4293&lt;&gt;"",L4293*1.1,"")</f>
        <v/>
      </c>
      <c r="N4293" s="47" t="n">
        <f aca="false">IF(F4293="S",L4293*0.02,0)</f>
        <v>0</v>
      </c>
      <c r="O4293" s="82" t="str">
        <f aca="false">IF(L4293&lt;&gt;"",L4293+N4293,"")</f>
        <v/>
      </c>
      <c r="P4293" s="47" t="str">
        <f aca="false">IF(O4293&lt;&gt;"",O4293*0.1,"")</f>
        <v/>
      </c>
      <c r="Q4293" s="83" t="str">
        <f aca="false">IF(O4293&lt;&gt;"",O4293+P4293,"")</f>
        <v/>
      </c>
      <c r="R4293" s="84"/>
    </row>
    <row r="4294" customFormat="false" ht="15" hidden="false" customHeight="true" outlineLevel="0" collapsed="false">
      <c r="A4294" s="103"/>
      <c r="B4294" s="73"/>
      <c r="C4294" s="74"/>
      <c r="D4294" s="75"/>
      <c r="E4294" s="52" t="str">
        <f aca="false">IF(D4294&lt;&gt;"",IFERROR(VLOOKUP(D4294,PROVEEDORES!$A:$B,2,0),"!COD NO ENCONTRADO"),"")</f>
        <v/>
      </c>
      <c r="F4294" s="76" t="str">
        <f aca="false">IF(D4294&lt;&gt;"",IFERROR(VLOOKUP(D4294,PROVEEDORES!$A:$C,3,0),""),"")</f>
        <v/>
      </c>
      <c r="G4294" s="75"/>
      <c r="H4294" s="52" t="str">
        <f aca="false">IF(G4294&lt;&gt;"",IFERROR(VLOOKUP(G4294,PRODUCTOS!$A:$B,2,0),"!COD NO ENCONTRADO"),"")</f>
        <v/>
      </c>
      <c r="I4294" s="77"/>
      <c r="J4294" s="78"/>
      <c r="K4294" s="79"/>
      <c r="L4294" s="80" t="str">
        <f aca="false">IF(AND(J4294&lt;&gt;"",K4294&lt;&gt;""),J4294*K4294,"")</f>
        <v/>
      </c>
      <c r="M4294" s="81" t="str">
        <f aca="false">IF(L4294&lt;&gt;"",L4294*1.1,"")</f>
        <v/>
      </c>
      <c r="N4294" s="53" t="n">
        <f aca="false">IF(F4294="S",L4294*0.02,0)</f>
        <v>0</v>
      </c>
      <c r="O4294" s="82" t="str">
        <f aca="false">IF(L4294&lt;&gt;"",L4294+N4294,"")</f>
        <v/>
      </c>
      <c r="P4294" s="53" t="str">
        <f aca="false">IF(O4294&lt;&gt;"",O4294*0.1,"")</f>
        <v/>
      </c>
      <c r="Q4294" s="83" t="str">
        <f aca="false">IF(O4294&lt;&gt;"",O4294+P4294,"")</f>
        <v/>
      </c>
      <c r="R4294" s="84"/>
    </row>
    <row r="4295" customFormat="false" ht="15" hidden="false" customHeight="true" outlineLevel="0" collapsed="false">
      <c r="A4295" s="103"/>
      <c r="B4295" s="85"/>
      <c r="C4295" s="86"/>
      <c r="D4295" s="87"/>
      <c r="E4295" s="46" t="str">
        <f aca="false">IF(D4295&lt;&gt;"",IFERROR(VLOOKUP(D4295,PROVEEDORES!$A:$B,2,0),"!COD NO ENCONTRADO"),"")</f>
        <v/>
      </c>
      <c r="F4295" s="88" t="str">
        <f aca="false">IF(D4295&lt;&gt;"",IFERROR(VLOOKUP(D4295,PROVEEDORES!$A:$C,3,0),""),"")</f>
        <v/>
      </c>
      <c r="G4295" s="87"/>
      <c r="H4295" s="46" t="str">
        <f aca="false">IF(G4295&lt;&gt;"",IFERROR(VLOOKUP(G4295,PRODUCTOS!$A:$B,2,0),"!COD NO ENCONTRADO"),"")</f>
        <v/>
      </c>
      <c r="I4295" s="89"/>
      <c r="J4295" s="90"/>
      <c r="K4295" s="91"/>
      <c r="L4295" s="80" t="str">
        <f aca="false">IF(AND(J4295&lt;&gt;"",K4295&lt;&gt;""),J4295*K4295,"")</f>
        <v/>
      </c>
      <c r="M4295" s="81" t="str">
        <f aca="false">IF(L4295&lt;&gt;"",L4295*1.1,"")</f>
        <v/>
      </c>
      <c r="N4295" s="47" t="n">
        <f aca="false">IF(F4295="S",L4295*0.02,0)</f>
        <v>0</v>
      </c>
      <c r="O4295" s="82" t="str">
        <f aca="false">IF(L4295&lt;&gt;"",L4295+N4295,"")</f>
        <v/>
      </c>
      <c r="P4295" s="47" t="str">
        <f aca="false">IF(O4295&lt;&gt;"",O4295*0.1,"")</f>
        <v/>
      </c>
      <c r="Q4295" s="83" t="str">
        <f aca="false">IF(O4295&lt;&gt;"",O4295+P4295,"")</f>
        <v/>
      </c>
      <c r="R4295" s="84"/>
    </row>
    <row r="4296" customFormat="false" ht="15" hidden="false" customHeight="true" outlineLevel="0" collapsed="false">
      <c r="A4296" s="103"/>
      <c r="B4296" s="73"/>
      <c r="C4296" s="74"/>
      <c r="D4296" s="75"/>
      <c r="E4296" s="52" t="str">
        <f aca="false">IF(D4296&lt;&gt;"",IFERROR(VLOOKUP(D4296,PROVEEDORES!$A:$B,2,0),"!COD NO ENCONTRADO"),"")</f>
        <v/>
      </c>
      <c r="F4296" s="76" t="str">
        <f aca="false">IF(D4296&lt;&gt;"",IFERROR(VLOOKUP(D4296,PROVEEDORES!$A:$C,3,0),""),"")</f>
        <v/>
      </c>
      <c r="G4296" s="75"/>
      <c r="H4296" s="52" t="str">
        <f aca="false">IF(G4296&lt;&gt;"",IFERROR(VLOOKUP(G4296,PRODUCTOS!$A:$B,2,0),"!COD NO ENCONTRADO"),"")</f>
        <v/>
      </c>
      <c r="I4296" s="77"/>
      <c r="J4296" s="78"/>
      <c r="K4296" s="79"/>
      <c r="L4296" s="80" t="str">
        <f aca="false">IF(AND(J4296&lt;&gt;"",K4296&lt;&gt;""),J4296*K4296,"")</f>
        <v/>
      </c>
      <c r="M4296" s="81" t="str">
        <f aca="false">IF(L4296&lt;&gt;"",L4296*1.1,"")</f>
        <v/>
      </c>
      <c r="N4296" s="53" t="n">
        <f aca="false">IF(F4296="S",L4296*0.02,0)</f>
        <v>0</v>
      </c>
      <c r="O4296" s="82" t="str">
        <f aca="false">IF(L4296&lt;&gt;"",L4296+N4296,"")</f>
        <v/>
      </c>
      <c r="P4296" s="53" t="str">
        <f aca="false">IF(O4296&lt;&gt;"",O4296*0.1,"")</f>
        <v/>
      </c>
      <c r="Q4296" s="83" t="str">
        <f aca="false">IF(O4296&lt;&gt;"",O4296+P4296,"")</f>
        <v/>
      </c>
      <c r="R4296" s="84"/>
    </row>
    <row r="4297" customFormat="false" ht="15" hidden="false" customHeight="true" outlineLevel="0" collapsed="false">
      <c r="A4297" s="103"/>
      <c r="B4297" s="85"/>
      <c r="C4297" s="86"/>
      <c r="D4297" s="87"/>
      <c r="E4297" s="46" t="str">
        <f aca="false">IF(D4297&lt;&gt;"",IFERROR(VLOOKUP(D4297,PROVEEDORES!$A:$B,2,0),"!COD NO ENCONTRADO"),"")</f>
        <v/>
      </c>
      <c r="F4297" s="88" t="str">
        <f aca="false">IF(D4297&lt;&gt;"",IFERROR(VLOOKUP(D4297,PROVEEDORES!$A:$C,3,0),""),"")</f>
        <v/>
      </c>
      <c r="G4297" s="87"/>
      <c r="H4297" s="46" t="str">
        <f aca="false">IF(G4297&lt;&gt;"",IFERROR(VLOOKUP(G4297,PRODUCTOS!$A:$B,2,0),"!COD NO ENCONTRADO"),"")</f>
        <v/>
      </c>
      <c r="I4297" s="89"/>
      <c r="J4297" s="90"/>
      <c r="K4297" s="91"/>
      <c r="L4297" s="80" t="str">
        <f aca="false">IF(AND(J4297&lt;&gt;"",K4297&lt;&gt;""),J4297*K4297,"")</f>
        <v/>
      </c>
      <c r="M4297" s="81" t="str">
        <f aca="false">IF(L4297&lt;&gt;"",L4297*1.1,"")</f>
        <v/>
      </c>
      <c r="N4297" s="47" t="n">
        <f aca="false">IF(F4297="S",L4297*0.02,0)</f>
        <v>0</v>
      </c>
      <c r="O4297" s="82" t="str">
        <f aca="false">IF(L4297&lt;&gt;"",L4297+N4297,"")</f>
        <v/>
      </c>
      <c r="P4297" s="47" t="str">
        <f aca="false">IF(O4297&lt;&gt;"",O4297*0.1,"")</f>
        <v/>
      </c>
      <c r="Q4297" s="83" t="str">
        <f aca="false">IF(O4297&lt;&gt;"",O4297+P4297,"")</f>
        <v/>
      </c>
      <c r="R4297" s="84"/>
    </row>
    <row r="4298" customFormat="false" ht="15" hidden="false" customHeight="true" outlineLevel="0" collapsed="false">
      <c r="A4298" s="103"/>
      <c r="B4298" s="73"/>
      <c r="C4298" s="74"/>
      <c r="D4298" s="75"/>
      <c r="E4298" s="52" t="str">
        <f aca="false">IF(D4298&lt;&gt;"",IFERROR(VLOOKUP(D4298,PROVEEDORES!$A:$B,2,0),"!COD NO ENCONTRADO"),"")</f>
        <v/>
      </c>
      <c r="F4298" s="76" t="str">
        <f aca="false">IF(D4298&lt;&gt;"",IFERROR(VLOOKUP(D4298,PROVEEDORES!$A:$C,3,0),""),"")</f>
        <v/>
      </c>
      <c r="G4298" s="75"/>
      <c r="H4298" s="52" t="str">
        <f aca="false">IF(G4298&lt;&gt;"",IFERROR(VLOOKUP(G4298,PRODUCTOS!$A:$B,2,0),"!COD NO ENCONTRADO"),"")</f>
        <v/>
      </c>
      <c r="I4298" s="77"/>
      <c r="J4298" s="78"/>
      <c r="K4298" s="79"/>
      <c r="L4298" s="80" t="str">
        <f aca="false">IF(AND(J4298&lt;&gt;"",K4298&lt;&gt;""),J4298*K4298,"")</f>
        <v/>
      </c>
      <c r="M4298" s="81" t="str">
        <f aca="false">IF(L4298&lt;&gt;"",L4298*1.1,"")</f>
        <v/>
      </c>
      <c r="N4298" s="53" t="n">
        <f aca="false">IF(F4298="S",L4298*0.02,0)</f>
        <v>0</v>
      </c>
      <c r="O4298" s="82" t="str">
        <f aca="false">IF(L4298&lt;&gt;"",L4298+N4298,"")</f>
        <v/>
      </c>
      <c r="P4298" s="53" t="str">
        <f aca="false">IF(O4298&lt;&gt;"",O4298*0.1,"")</f>
        <v/>
      </c>
      <c r="Q4298" s="83" t="str">
        <f aca="false">IF(O4298&lt;&gt;"",O4298+P4298,"")</f>
        <v/>
      </c>
      <c r="R4298" s="84"/>
    </row>
    <row r="4299" customFormat="false" ht="15" hidden="false" customHeight="true" outlineLevel="0" collapsed="false">
      <c r="A4299" s="103"/>
      <c r="B4299" s="85"/>
      <c r="C4299" s="86"/>
      <c r="D4299" s="87"/>
      <c r="E4299" s="46" t="str">
        <f aca="false">IF(D4299&lt;&gt;"",IFERROR(VLOOKUP(D4299,PROVEEDORES!$A:$B,2,0),"!COD NO ENCONTRADO"),"")</f>
        <v/>
      </c>
      <c r="F4299" s="88" t="str">
        <f aca="false">IF(D4299&lt;&gt;"",IFERROR(VLOOKUP(D4299,PROVEEDORES!$A:$C,3,0),""),"")</f>
        <v/>
      </c>
      <c r="G4299" s="87"/>
      <c r="H4299" s="46" t="str">
        <f aca="false">IF(G4299&lt;&gt;"",IFERROR(VLOOKUP(G4299,PRODUCTOS!$A:$B,2,0),"!COD NO ENCONTRADO"),"")</f>
        <v/>
      </c>
      <c r="I4299" s="89"/>
      <c r="J4299" s="90"/>
      <c r="K4299" s="91"/>
      <c r="L4299" s="80" t="str">
        <f aca="false">IF(AND(J4299&lt;&gt;"",K4299&lt;&gt;""),J4299*K4299,"")</f>
        <v/>
      </c>
      <c r="M4299" s="81" t="str">
        <f aca="false">IF(L4299&lt;&gt;"",L4299*1.1,"")</f>
        <v/>
      </c>
      <c r="N4299" s="47" t="n">
        <f aca="false">IF(F4299="S",L4299*0.02,0)</f>
        <v>0</v>
      </c>
      <c r="O4299" s="82" t="str">
        <f aca="false">IF(L4299&lt;&gt;"",L4299+N4299,"")</f>
        <v/>
      </c>
      <c r="P4299" s="47" t="str">
        <f aca="false">IF(O4299&lt;&gt;"",O4299*0.1,"")</f>
        <v/>
      </c>
      <c r="Q4299" s="83" t="str">
        <f aca="false">IF(O4299&lt;&gt;"",O4299+P4299,"")</f>
        <v/>
      </c>
      <c r="R4299" s="84"/>
    </row>
    <row r="4300" customFormat="false" ht="15" hidden="false" customHeight="true" outlineLevel="0" collapsed="false">
      <c r="A4300" s="103"/>
      <c r="B4300" s="73"/>
      <c r="C4300" s="74"/>
      <c r="D4300" s="75"/>
      <c r="E4300" s="52" t="str">
        <f aca="false">IF(D4300&lt;&gt;"",IFERROR(VLOOKUP(D4300,PROVEEDORES!$A:$B,2,0),"!COD NO ENCONTRADO"),"")</f>
        <v/>
      </c>
      <c r="F4300" s="76" t="str">
        <f aca="false">IF(D4300&lt;&gt;"",IFERROR(VLOOKUP(D4300,PROVEEDORES!$A:$C,3,0),""),"")</f>
        <v/>
      </c>
      <c r="G4300" s="75"/>
      <c r="H4300" s="52" t="str">
        <f aca="false">IF(G4300&lt;&gt;"",IFERROR(VLOOKUP(G4300,PRODUCTOS!$A:$B,2,0),"!COD NO ENCONTRADO"),"")</f>
        <v/>
      </c>
      <c r="I4300" s="77"/>
      <c r="J4300" s="78"/>
      <c r="K4300" s="79"/>
      <c r="L4300" s="80" t="str">
        <f aca="false">IF(AND(J4300&lt;&gt;"",K4300&lt;&gt;""),J4300*K4300,"")</f>
        <v/>
      </c>
      <c r="M4300" s="81" t="str">
        <f aca="false">IF(L4300&lt;&gt;"",L4300*1.1,"")</f>
        <v/>
      </c>
      <c r="N4300" s="53" t="n">
        <f aca="false">IF(F4300="S",L4300*0.02,0)</f>
        <v>0</v>
      </c>
      <c r="O4300" s="82" t="str">
        <f aca="false">IF(L4300&lt;&gt;"",L4300+N4300,"")</f>
        <v/>
      </c>
      <c r="P4300" s="53" t="str">
        <f aca="false">IF(O4300&lt;&gt;"",O4300*0.1,"")</f>
        <v/>
      </c>
      <c r="Q4300" s="83" t="str">
        <f aca="false">IF(O4300&lt;&gt;"",O4300+P4300,"")</f>
        <v/>
      </c>
      <c r="R4300" s="84"/>
    </row>
    <row r="4301" customFormat="false" ht="15" hidden="false" customHeight="true" outlineLevel="0" collapsed="false">
      <c r="A4301" s="103"/>
      <c r="B4301" s="85"/>
      <c r="C4301" s="86"/>
      <c r="D4301" s="87"/>
      <c r="E4301" s="46" t="str">
        <f aca="false">IF(D4301&lt;&gt;"",IFERROR(VLOOKUP(D4301,PROVEEDORES!$A:$B,2,0),"!COD NO ENCONTRADO"),"")</f>
        <v/>
      </c>
      <c r="F4301" s="88" t="str">
        <f aca="false">IF(D4301&lt;&gt;"",IFERROR(VLOOKUP(D4301,PROVEEDORES!$A:$C,3,0),""),"")</f>
        <v/>
      </c>
      <c r="G4301" s="87"/>
      <c r="H4301" s="46" t="str">
        <f aca="false">IF(G4301&lt;&gt;"",IFERROR(VLOOKUP(G4301,PRODUCTOS!$A:$B,2,0),"!COD NO ENCONTRADO"),"")</f>
        <v/>
      </c>
      <c r="I4301" s="89"/>
      <c r="J4301" s="90"/>
      <c r="K4301" s="91"/>
      <c r="L4301" s="80" t="str">
        <f aca="false">IF(AND(J4301&lt;&gt;"",K4301&lt;&gt;""),J4301*K4301,"")</f>
        <v/>
      </c>
      <c r="M4301" s="81" t="str">
        <f aca="false">IF(L4301&lt;&gt;"",L4301*1.1,"")</f>
        <v/>
      </c>
      <c r="N4301" s="47" t="n">
        <f aca="false">IF(F4301="S",L4301*0.02,0)</f>
        <v>0</v>
      </c>
      <c r="O4301" s="82" t="str">
        <f aca="false">IF(L4301&lt;&gt;"",L4301+N4301,"")</f>
        <v/>
      </c>
      <c r="P4301" s="47" t="str">
        <f aca="false">IF(O4301&lt;&gt;"",O4301*0.1,"")</f>
        <v/>
      </c>
      <c r="Q4301" s="83" t="str">
        <f aca="false">IF(O4301&lt;&gt;"",O4301+P4301,"")</f>
        <v/>
      </c>
      <c r="R4301" s="84"/>
    </row>
    <row r="4302" customFormat="false" ht="15" hidden="false" customHeight="true" outlineLevel="0" collapsed="false">
      <c r="A4302" s="103"/>
      <c r="B4302" s="73"/>
      <c r="C4302" s="74"/>
      <c r="D4302" s="75"/>
      <c r="E4302" s="52" t="str">
        <f aca="false">IF(D4302&lt;&gt;"",IFERROR(VLOOKUP(D4302,PROVEEDORES!$A:$B,2,0),"!COD NO ENCONTRADO"),"")</f>
        <v/>
      </c>
      <c r="F4302" s="76" t="str">
        <f aca="false">IF(D4302&lt;&gt;"",IFERROR(VLOOKUP(D4302,PROVEEDORES!$A:$C,3,0),""),"")</f>
        <v/>
      </c>
      <c r="G4302" s="75"/>
      <c r="H4302" s="52" t="str">
        <f aca="false">IF(G4302&lt;&gt;"",IFERROR(VLOOKUP(G4302,PRODUCTOS!$A:$B,2,0),"!COD NO ENCONTRADO"),"")</f>
        <v/>
      </c>
      <c r="I4302" s="77"/>
      <c r="J4302" s="78"/>
      <c r="K4302" s="79"/>
      <c r="L4302" s="80" t="str">
        <f aca="false">IF(AND(J4302&lt;&gt;"",K4302&lt;&gt;""),J4302*K4302,"")</f>
        <v/>
      </c>
      <c r="M4302" s="81" t="str">
        <f aca="false">IF(L4302&lt;&gt;"",L4302*1.1,"")</f>
        <v/>
      </c>
      <c r="N4302" s="53" t="n">
        <f aca="false">IF(F4302="S",L4302*0.02,0)</f>
        <v>0</v>
      </c>
      <c r="O4302" s="82" t="str">
        <f aca="false">IF(L4302&lt;&gt;"",L4302+N4302,"")</f>
        <v/>
      </c>
      <c r="P4302" s="53" t="str">
        <f aca="false">IF(O4302&lt;&gt;"",O4302*0.1,"")</f>
        <v/>
      </c>
      <c r="Q4302" s="83" t="str">
        <f aca="false">IF(O4302&lt;&gt;"",O4302+P4302,"")</f>
        <v/>
      </c>
      <c r="R4302" s="84"/>
    </row>
    <row r="4303" customFormat="false" ht="15" hidden="false" customHeight="true" outlineLevel="0" collapsed="false">
      <c r="A4303" s="103"/>
      <c r="B4303" s="85"/>
      <c r="C4303" s="86"/>
      <c r="D4303" s="87"/>
      <c r="E4303" s="46" t="str">
        <f aca="false">IF(D4303&lt;&gt;"",IFERROR(VLOOKUP(D4303,PROVEEDORES!$A:$B,2,0),"!COD NO ENCONTRADO"),"")</f>
        <v/>
      </c>
      <c r="F4303" s="88" t="str">
        <f aca="false">IF(D4303&lt;&gt;"",IFERROR(VLOOKUP(D4303,PROVEEDORES!$A:$C,3,0),""),"")</f>
        <v/>
      </c>
      <c r="G4303" s="87"/>
      <c r="H4303" s="46" t="str">
        <f aca="false">IF(G4303&lt;&gt;"",IFERROR(VLOOKUP(G4303,PRODUCTOS!$A:$B,2,0),"!COD NO ENCONTRADO"),"")</f>
        <v/>
      </c>
      <c r="I4303" s="89"/>
      <c r="J4303" s="90"/>
      <c r="K4303" s="91"/>
      <c r="L4303" s="80" t="str">
        <f aca="false">IF(AND(J4303&lt;&gt;"",K4303&lt;&gt;""),J4303*K4303,"")</f>
        <v/>
      </c>
      <c r="M4303" s="81" t="str">
        <f aca="false">IF(L4303&lt;&gt;"",L4303*1.1,"")</f>
        <v/>
      </c>
      <c r="N4303" s="47" t="n">
        <f aca="false">IF(F4303="S",L4303*0.02,0)</f>
        <v>0</v>
      </c>
      <c r="O4303" s="82" t="str">
        <f aca="false">IF(L4303&lt;&gt;"",L4303+N4303,"")</f>
        <v/>
      </c>
      <c r="P4303" s="47" t="str">
        <f aca="false">IF(O4303&lt;&gt;"",O4303*0.1,"")</f>
        <v/>
      </c>
      <c r="Q4303" s="83" t="str">
        <f aca="false">IF(O4303&lt;&gt;"",O4303+P4303,"")</f>
        <v/>
      </c>
      <c r="R4303" s="84"/>
    </row>
    <row r="4304" customFormat="false" ht="15" hidden="false" customHeight="true" outlineLevel="0" collapsed="false">
      <c r="A4304" s="103"/>
      <c r="B4304" s="73"/>
      <c r="C4304" s="74"/>
      <c r="D4304" s="75"/>
      <c r="E4304" s="52" t="str">
        <f aca="false">IF(D4304&lt;&gt;"",IFERROR(VLOOKUP(D4304,PROVEEDORES!$A:$B,2,0),"!COD NO ENCONTRADO"),"")</f>
        <v/>
      </c>
      <c r="F4304" s="76" t="str">
        <f aca="false">IF(D4304&lt;&gt;"",IFERROR(VLOOKUP(D4304,PROVEEDORES!$A:$C,3,0),""),"")</f>
        <v/>
      </c>
      <c r="G4304" s="75"/>
      <c r="H4304" s="52" t="str">
        <f aca="false">IF(G4304&lt;&gt;"",IFERROR(VLOOKUP(G4304,PRODUCTOS!$A:$B,2,0),"!COD NO ENCONTRADO"),"")</f>
        <v/>
      </c>
      <c r="I4304" s="77"/>
      <c r="J4304" s="78"/>
      <c r="K4304" s="79"/>
      <c r="L4304" s="80" t="str">
        <f aca="false">IF(AND(J4304&lt;&gt;"",K4304&lt;&gt;""),J4304*K4304,"")</f>
        <v/>
      </c>
      <c r="M4304" s="81" t="str">
        <f aca="false">IF(L4304&lt;&gt;"",L4304*1.1,"")</f>
        <v/>
      </c>
      <c r="N4304" s="53" t="n">
        <f aca="false">IF(F4304="S",L4304*0.02,0)</f>
        <v>0</v>
      </c>
      <c r="O4304" s="82" t="str">
        <f aca="false">IF(L4304&lt;&gt;"",L4304+N4304,"")</f>
        <v/>
      </c>
      <c r="P4304" s="53" t="str">
        <f aca="false">IF(O4304&lt;&gt;"",O4304*0.1,"")</f>
        <v/>
      </c>
      <c r="Q4304" s="83" t="str">
        <f aca="false">IF(O4304&lt;&gt;"",O4304+P4304,"")</f>
        <v/>
      </c>
      <c r="R4304" s="84"/>
    </row>
    <row r="4305" customFormat="false" ht="15" hidden="false" customHeight="true" outlineLevel="0" collapsed="false">
      <c r="A4305" s="103"/>
      <c r="B4305" s="85"/>
      <c r="C4305" s="86"/>
      <c r="D4305" s="87"/>
      <c r="E4305" s="46" t="str">
        <f aca="false">IF(D4305&lt;&gt;"",IFERROR(VLOOKUP(D4305,PROVEEDORES!$A:$B,2,0),"!COD NO ENCONTRADO"),"")</f>
        <v/>
      </c>
      <c r="F4305" s="88" t="str">
        <f aca="false">IF(D4305&lt;&gt;"",IFERROR(VLOOKUP(D4305,PROVEEDORES!$A:$C,3,0),""),"")</f>
        <v/>
      </c>
      <c r="G4305" s="87"/>
      <c r="H4305" s="46" t="str">
        <f aca="false">IF(G4305&lt;&gt;"",IFERROR(VLOOKUP(G4305,PRODUCTOS!$A:$B,2,0),"!COD NO ENCONTRADO"),"")</f>
        <v/>
      </c>
      <c r="I4305" s="89"/>
      <c r="J4305" s="90"/>
      <c r="K4305" s="91"/>
      <c r="L4305" s="80" t="str">
        <f aca="false">IF(AND(J4305&lt;&gt;"",K4305&lt;&gt;""),J4305*K4305,"")</f>
        <v/>
      </c>
      <c r="M4305" s="81" t="str">
        <f aca="false">IF(L4305&lt;&gt;"",L4305*1.1,"")</f>
        <v/>
      </c>
      <c r="N4305" s="47" t="n">
        <f aca="false">IF(F4305="S",L4305*0.02,0)</f>
        <v>0</v>
      </c>
      <c r="O4305" s="82" t="str">
        <f aca="false">IF(L4305&lt;&gt;"",L4305+N4305,"")</f>
        <v/>
      </c>
      <c r="P4305" s="47" t="str">
        <f aca="false">IF(O4305&lt;&gt;"",O4305*0.1,"")</f>
        <v/>
      </c>
      <c r="Q4305" s="83" t="str">
        <f aca="false">IF(O4305&lt;&gt;"",O4305+P4305,"")</f>
        <v/>
      </c>
      <c r="R4305" s="84"/>
    </row>
    <row r="4306" customFormat="false" ht="15" hidden="false" customHeight="true" outlineLevel="0" collapsed="false">
      <c r="A4306" s="103"/>
      <c r="B4306" s="73"/>
      <c r="C4306" s="74"/>
      <c r="D4306" s="75"/>
      <c r="E4306" s="52" t="str">
        <f aca="false">IF(D4306&lt;&gt;"",IFERROR(VLOOKUP(D4306,PROVEEDORES!$A:$B,2,0),"!COD NO ENCONTRADO"),"")</f>
        <v/>
      </c>
      <c r="F4306" s="76" t="str">
        <f aca="false">IF(D4306&lt;&gt;"",IFERROR(VLOOKUP(D4306,PROVEEDORES!$A:$C,3,0),""),"")</f>
        <v/>
      </c>
      <c r="G4306" s="75"/>
      <c r="H4306" s="52" t="str">
        <f aca="false">IF(G4306&lt;&gt;"",IFERROR(VLOOKUP(G4306,PRODUCTOS!$A:$B,2,0),"!COD NO ENCONTRADO"),"")</f>
        <v/>
      </c>
      <c r="I4306" s="77"/>
      <c r="J4306" s="78"/>
      <c r="K4306" s="79"/>
      <c r="L4306" s="80" t="str">
        <f aca="false">IF(AND(J4306&lt;&gt;"",K4306&lt;&gt;""),J4306*K4306,"")</f>
        <v/>
      </c>
      <c r="M4306" s="81" t="str">
        <f aca="false">IF(L4306&lt;&gt;"",L4306*1.1,"")</f>
        <v/>
      </c>
      <c r="N4306" s="53" t="n">
        <f aca="false">IF(F4306="S",L4306*0.02,0)</f>
        <v>0</v>
      </c>
      <c r="O4306" s="82" t="str">
        <f aca="false">IF(L4306&lt;&gt;"",L4306+N4306,"")</f>
        <v/>
      </c>
      <c r="P4306" s="53" t="str">
        <f aca="false">IF(O4306&lt;&gt;"",O4306*0.1,"")</f>
        <v/>
      </c>
      <c r="Q4306" s="83" t="str">
        <f aca="false">IF(O4306&lt;&gt;"",O4306+P4306,"")</f>
        <v/>
      </c>
      <c r="R4306" s="84"/>
    </row>
    <row r="4307" customFormat="false" ht="15" hidden="false" customHeight="true" outlineLevel="0" collapsed="false">
      <c r="A4307" s="103"/>
      <c r="B4307" s="85"/>
      <c r="C4307" s="86"/>
      <c r="D4307" s="87"/>
      <c r="E4307" s="46" t="str">
        <f aca="false">IF(D4307&lt;&gt;"",IFERROR(VLOOKUP(D4307,PROVEEDORES!$A:$B,2,0),"!COD NO ENCONTRADO"),"")</f>
        <v/>
      </c>
      <c r="F4307" s="88" t="str">
        <f aca="false">IF(D4307&lt;&gt;"",IFERROR(VLOOKUP(D4307,PROVEEDORES!$A:$C,3,0),""),"")</f>
        <v/>
      </c>
      <c r="G4307" s="87"/>
      <c r="H4307" s="46" t="str">
        <f aca="false">IF(G4307&lt;&gt;"",IFERROR(VLOOKUP(G4307,PRODUCTOS!$A:$B,2,0),"!COD NO ENCONTRADO"),"")</f>
        <v/>
      </c>
      <c r="I4307" s="89"/>
      <c r="J4307" s="90"/>
      <c r="K4307" s="91"/>
      <c r="L4307" s="80" t="str">
        <f aca="false">IF(AND(J4307&lt;&gt;"",K4307&lt;&gt;""),J4307*K4307,"")</f>
        <v/>
      </c>
      <c r="M4307" s="81" t="str">
        <f aca="false">IF(L4307&lt;&gt;"",L4307*1.1,"")</f>
        <v/>
      </c>
      <c r="N4307" s="47" t="n">
        <f aca="false">IF(F4307="S",L4307*0.02,0)</f>
        <v>0</v>
      </c>
      <c r="O4307" s="82" t="str">
        <f aca="false">IF(L4307&lt;&gt;"",L4307+N4307,"")</f>
        <v/>
      </c>
      <c r="P4307" s="47" t="str">
        <f aca="false">IF(O4307&lt;&gt;"",O4307*0.1,"")</f>
        <v/>
      </c>
      <c r="Q4307" s="83" t="str">
        <f aca="false">IF(O4307&lt;&gt;"",O4307+P4307,"")</f>
        <v/>
      </c>
      <c r="R4307" s="84"/>
    </row>
    <row r="4308" customFormat="false" ht="15" hidden="false" customHeight="true" outlineLevel="0" collapsed="false">
      <c r="A4308" s="103"/>
      <c r="B4308" s="73"/>
      <c r="C4308" s="74"/>
      <c r="D4308" s="75"/>
      <c r="E4308" s="52" t="str">
        <f aca="false">IF(D4308&lt;&gt;"",IFERROR(VLOOKUP(D4308,PROVEEDORES!$A:$B,2,0),"!COD NO ENCONTRADO"),"")</f>
        <v/>
      </c>
      <c r="F4308" s="76" t="str">
        <f aca="false">IF(D4308&lt;&gt;"",IFERROR(VLOOKUP(D4308,PROVEEDORES!$A:$C,3,0),""),"")</f>
        <v/>
      </c>
      <c r="G4308" s="75"/>
      <c r="H4308" s="52" t="str">
        <f aca="false">IF(G4308&lt;&gt;"",IFERROR(VLOOKUP(G4308,PRODUCTOS!$A:$B,2,0),"!COD NO ENCONTRADO"),"")</f>
        <v/>
      </c>
      <c r="I4308" s="77"/>
      <c r="J4308" s="78"/>
      <c r="K4308" s="79"/>
      <c r="L4308" s="80" t="str">
        <f aca="false">IF(AND(J4308&lt;&gt;"",K4308&lt;&gt;""),J4308*K4308,"")</f>
        <v/>
      </c>
      <c r="M4308" s="81" t="str">
        <f aca="false">IF(L4308&lt;&gt;"",L4308*1.1,"")</f>
        <v/>
      </c>
      <c r="N4308" s="53" t="n">
        <f aca="false">IF(F4308="S",L4308*0.02,0)</f>
        <v>0</v>
      </c>
      <c r="O4308" s="82" t="str">
        <f aca="false">IF(L4308&lt;&gt;"",L4308+N4308,"")</f>
        <v/>
      </c>
      <c r="P4308" s="53" t="str">
        <f aca="false">IF(O4308&lt;&gt;"",O4308*0.1,"")</f>
        <v/>
      </c>
      <c r="Q4308" s="83" t="str">
        <f aca="false">IF(O4308&lt;&gt;"",O4308+P4308,"")</f>
        <v/>
      </c>
      <c r="R4308" s="84"/>
    </row>
    <row r="4309" customFormat="false" ht="15" hidden="false" customHeight="true" outlineLevel="0" collapsed="false">
      <c r="A4309" s="103"/>
      <c r="B4309" s="85"/>
      <c r="C4309" s="86"/>
      <c r="D4309" s="87"/>
      <c r="E4309" s="46" t="str">
        <f aca="false">IF(D4309&lt;&gt;"",IFERROR(VLOOKUP(D4309,PROVEEDORES!$A:$B,2,0),"!COD NO ENCONTRADO"),"")</f>
        <v/>
      </c>
      <c r="F4309" s="88" t="str">
        <f aca="false">IF(D4309&lt;&gt;"",IFERROR(VLOOKUP(D4309,PROVEEDORES!$A:$C,3,0),""),"")</f>
        <v/>
      </c>
      <c r="G4309" s="87"/>
      <c r="H4309" s="46" t="str">
        <f aca="false">IF(G4309&lt;&gt;"",IFERROR(VLOOKUP(G4309,PRODUCTOS!$A:$B,2,0),"!COD NO ENCONTRADO"),"")</f>
        <v/>
      </c>
      <c r="I4309" s="89"/>
      <c r="J4309" s="90"/>
      <c r="K4309" s="91"/>
      <c r="L4309" s="80" t="str">
        <f aca="false">IF(AND(J4309&lt;&gt;"",K4309&lt;&gt;""),J4309*K4309,"")</f>
        <v/>
      </c>
      <c r="M4309" s="81" t="str">
        <f aca="false">IF(L4309&lt;&gt;"",L4309*1.1,"")</f>
        <v/>
      </c>
      <c r="N4309" s="47" t="n">
        <f aca="false">IF(F4309="S",L4309*0.02,0)</f>
        <v>0</v>
      </c>
      <c r="O4309" s="82" t="str">
        <f aca="false">IF(L4309&lt;&gt;"",L4309+N4309,"")</f>
        <v/>
      </c>
      <c r="P4309" s="47" t="str">
        <f aca="false">IF(O4309&lt;&gt;"",O4309*0.1,"")</f>
        <v/>
      </c>
      <c r="Q4309" s="83" t="str">
        <f aca="false">IF(O4309&lt;&gt;"",O4309+P4309,"")</f>
        <v/>
      </c>
      <c r="R4309" s="84"/>
    </row>
    <row r="4310" customFormat="false" ht="15" hidden="false" customHeight="true" outlineLevel="0" collapsed="false">
      <c r="A4310" s="103"/>
      <c r="B4310" s="73"/>
      <c r="C4310" s="74"/>
      <c r="D4310" s="75"/>
      <c r="E4310" s="52" t="str">
        <f aca="false">IF(D4310&lt;&gt;"",IFERROR(VLOOKUP(D4310,PROVEEDORES!$A:$B,2,0),"!COD NO ENCONTRADO"),"")</f>
        <v/>
      </c>
      <c r="F4310" s="76" t="str">
        <f aca="false">IF(D4310&lt;&gt;"",IFERROR(VLOOKUP(D4310,PROVEEDORES!$A:$C,3,0),""),"")</f>
        <v/>
      </c>
      <c r="G4310" s="75"/>
      <c r="H4310" s="52" t="str">
        <f aca="false">IF(G4310&lt;&gt;"",IFERROR(VLOOKUP(G4310,PRODUCTOS!$A:$B,2,0),"!COD NO ENCONTRADO"),"")</f>
        <v/>
      </c>
      <c r="I4310" s="77"/>
      <c r="J4310" s="78"/>
      <c r="K4310" s="79"/>
      <c r="L4310" s="80" t="str">
        <f aca="false">IF(AND(J4310&lt;&gt;"",K4310&lt;&gt;""),J4310*K4310,"")</f>
        <v/>
      </c>
      <c r="M4310" s="81" t="str">
        <f aca="false">IF(L4310&lt;&gt;"",L4310*1.1,"")</f>
        <v/>
      </c>
      <c r="N4310" s="53" t="n">
        <f aca="false">IF(F4310="S",L4310*0.02,0)</f>
        <v>0</v>
      </c>
      <c r="O4310" s="82" t="str">
        <f aca="false">IF(L4310&lt;&gt;"",L4310+N4310,"")</f>
        <v/>
      </c>
      <c r="P4310" s="53" t="str">
        <f aca="false">IF(O4310&lt;&gt;"",O4310*0.1,"")</f>
        <v/>
      </c>
      <c r="Q4310" s="83" t="str">
        <f aca="false">IF(O4310&lt;&gt;"",O4310+P4310,"")</f>
        <v/>
      </c>
      <c r="R4310" s="84"/>
    </row>
    <row r="4311" customFormat="false" ht="15" hidden="false" customHeight="true" outlineLevel="0" collapsed="false">
      <c r="A4311" s="103"/>
      <c r="B4311" s="85"/>
      <c r="C4311" s="86"/>
      <c r="D4311" s="87"/>
      <c r="E4311" s="46" t="str">
        <f aca="false">IF(D4311&lt;&gt;"",IFERROR(VLOOKUP(D4311,PROVEEDORES!$A:$B,2,0),"!COD NO ENCONTRADO"),"")</f>
        <v/>
      </c>
      <c r="F4311" s="88" t="str">
        <f aca="false">IF(D4311&lt;&gt;"",IFERROR(VLOOKUP(D4311,PROVEEDORES!$A:$C,3,0),""),"")</f>
        <v/>
      </c>
      <c r="G4311" s="87"/>
      <c r="H4311" s="46" t="str">
        <f aca="false">IF(G4311&lt;&gt;"",IFERROR(VLOOKUP(G4311,PRODUCTOS!$A:$B,2,0),"!COD NO ENCONTRADO"),"")</f>
        <v/>
      </c>
      <c r="I4311" s="89"/>
      <c r="J4311" s="90"/>
      <c r="K4311" s="91"/>
      <c r="L4311" s="80" t="str">
        <f aca="false">IF(AND(J4311&lt;&gt;"",K4311&lt;&gt;""),J4311*K4311,"")</f>
        <v/>
      </c>
      <c r="M4311" s="81" t="str">
        <f aca="false">IF(L4311&lt;&gt;"",L4311*1.1,"")</f>
        <v/>
      </c>
      <c r="N4311" s="47" t="n">
        <f aca="false">IF(F4311="S",L4311*0.02,0)</f>
        <v>0</v>
      </c>
      <c r="O4311" s="82" t="str">
        <f aca="false">IF(L4311&lt;&gt;"",L4311+N4311,"")</f>
        <v/>
      </c>
      <c r="P4311" s="47" t="str">
        <f aca="false">IF(O4311&lt;&gt;"",O4311*0.1,"")</f>
        <v/>
      </c>
      <c r="Q4311" s="83" t="str">
        <f aca="false">IF(O4311&lt;&gt;"",O4311+P4311,"")</f>
        <v/>
      </c>
      <c r="R4311" s="84"/>
    </row>
    <row r="4312" customFormat="false" ht="15" hidden="false" customHeight="true" outlineLevel="0" collapsed="false">
      <c r="A4312" s="103"/>
      <c r="B4312" s="73"/>
      <c r="C4312" s="74"/>
      <c r="D4312" s="75"/>
      <c r="E4312" s="52" t="str">
        <f aca="false">IF(D4312&lt;&gt;"",IFERROR(VLOOKUP(D4312,PROVEEDORES!$A:$B,2,0),"!COD NO ENCONTRADO"),"")</f>
        <v/>
      </c>
      <c r="F4312" s="76" t="str">
        <f aca="false">IF(D4312&lt;&gt;"",IFERROR(VLOOKUP(D4312,PROVEEDORES!$A:$C,3,0),""),"")</f>
        <v/>
      </c>
      <c r="G4312" s="75"/>
      <c r="H4312" s="52" t="str">
        <f aca="false">IF(G4312&lt;&gt;"",IFERROR(VLOOKUP(G4312,PRODUCTOS!$A:$B,2,0),"!COD NO ENCONTRADO"),"")</f>
        <v/>
      </c>
      <c r="I4312" s="77"/>
      <c r="J4312" s="78"/>
      <c r="K4312" s="79"/>
      <c r="L4312" s="80" t="str">
        <f aca="false">IF(AND(J4312&lt;&gt;"",K4312&lt;&gt;""),J4312*K4312,"")</f>
        <v/>
      </c>
      <c r="M4312" s="81" t="str">
        <f aca="false">IF(L4312&lt;&gt;"",L4312*1.1,"")</f>
        <v/>
      </c>
      <c r="N4312" s="53" t="n">
        <f aca="false">IF(F4312="S",L4312*0.02,0)</f>
        <v>0</v>
      </c>
      <c r="O4312" s="82" t="str">
        <f aca="false">IF(L4312&lt;&gt;"",L4312+N4312,"")</f>
        <v/>
      </c>
      <c r="P4312" s="53" t="str">
        <f aca="false">IF(O4312&lt;&gt;"",O4312*0.1,"")</f>
        <v/>
      </c>
      <c r="Q4312" s="83" t="str">
        <f aca="false">IF(O4312&lt;&gt;"",O4312+P4312,"")</f>
        <v/>
      </c>
      <c r="R4312" s="84"/>
    </row>
    <row r="4313" customFormat="false" ht="15" hidden="false" customHeight="true" outlineLevel="0" collapsed="false">
      <c r="A4313" s="103"/>
      <c r="B4313" s="85"/>
      <c r="C4313" s="86"/>
      <c r="D4313" s="87"/>
      <c r="E4313" s="46" t="str">
        <f aca="false">IF(D4313&lt;&gt;"",IFERROR(VLOOKUP(D4313,PROVEEDORES!$A:$B,2,0),"!COD NO ENCONTRADO"),"")</f>
        <v/>
      </c>
      <c r="F4313" s="88" t="str">
        <f aca="false">IF(D4313&lt;&gt;"",IFERROR(VLOOKUP(D4313,PROVEEDORES!$A:$C,3,0),""),"")</f>
        <v/>
      </c>
      <c r="G4313" s="87"/>
      <c r="H4313" s="46" t="str">
        <f aca="false">IF(G4313&lt;&gt;"",IFERROR(VLOOKUP(G4313,PRODUCTOS!$A:$B,2,0),"!COD NO ENCONTRADO"),"")</f>
        <v/>
      </c>
      <c r="I4313" s="89"/>
      <c r="J4313" s="90"/>
      <c r="K4313" s="91"/>
      <c r="L4313" s="80" t="str">
        <f aca="false">IF(AND(J4313&lt;&gt;"",K4313&lt;&gt;""),J4313*K4313,"")</f>
        <v/>
      </c>
      <c r="M4313" s="81" t="str">
        <f aca="false">IF(L4313&lt;&gt;"",L4313*1.1,"")</f>
        <v/>
      </c>
      <c r="N4313" s="47" t="n">
        <f aca="false">IF(F4313="S",L4313*0.02,0)</f>
        <v>0</v>
      </c>
      <c r="O4313" s="82" t="str">
        <f aca="false">IF(L4313&lt;&gt;"",L4313+N4313,"")</f>
        <v/>
      </c>
      <c r="P4313" s="47" t="str">
        <f aca="false">IF(O4313&lt;&gt;"",O4313*0.1,"")</f>
        <v/>
      </c>
      <c r="Q4313" s="83" t="str">
        <f aca="false">IF(O4313&lt;&gt;"",O4313+P4313,"")</f>
        <v/>
      </c>
      <c r="R4313" s="84"/>
    </row>
    <row r="4314" customFormat="false" ht="15" hidden="false" customHeight="true" outlineLevel="0" collapsed="false">
      <c r="A4314" s="103"/>
      <c r="B4314" s="73"/>
      <c r="C4314" s="74"/>
      <c r="D4314" s="75"/>
      <c r="E4314" s="52" t="str">
        <f aca="false">IF(D4314&lt;&gt;"",IFERROR(VLOOKUP(D4314,PROVEEDORES!$A:$B,2,0),"!COD NO ENCONTRADO"),"")</f>
        <v/>
      </c>
      <c r="F4314" s="76" t="str">
        <f aca="false">IF(D4314&lt;&gt;"",IFERROR(VLOOKUP(D4314,PROVEEDORES!$A:$C,3,0),""),"")</f>
        <v/>
      </c>
      <c r="G4314" s="75"/>
      <c r="H4314" s="52" t="str">
        <f aca="false">IF(G4314&lt;&gt;"",IFERROR(VLOOKUP(G4314,PRODUCTOS!$A:$B,2,0),"!COD NO ENCONTRADO"),"")</f>
        <v/>
      </c>
      <c r="I4314" s="77"/>
      <c r="J4314" s="78"/>
      <c r="K4314" s="79"/>
      <c r="L4314" s="80" t="str">
        <f aca="false">IF(AND(J4314&lt;&gt;"",K4314&lt;&gt;""),J4314*K4314,"")</f>
        <v/>
      </c>
      <c r="M4314" s="81" t="str">
        <f aca="false">IF(L4314&lt;&gt;"",L4314*1.1,"")</f>
        <v/>
      </c>
      <c r="N4314" s="53" t="n">
        <f aca="false">IF(F4314="S",L4314*0.02,0)</f>
        <v>0</v>
      </c>
      <c r="O4314" s="82" t="str">
        <f aca="false">IF(L4314&lt;&gt;"",L4314+N4314,"")</f>
        <v/>
      </c>
      <c r="P4314" s="53" t="str">
        <f aca="false">IF(O4314&lt;&gt;"",O4314*0.1,"")</f>
        <v/>
      </c>
      <c r="Q4314" s="83" t="str">
        <f aca="false">IF(O4314&lt;&gt;"",O4314+P4314,"")</f>
        <v/>
      </c>
      <c r="R4314" s="84"/>
    </row>
    <row r="4315" customFormat="false" ht="15" hidden="false" customHeight="true" outlineLevel="0" collapsed="false">
      <c r="A4315" s="103"/>
      <c r="B4315" s="85"/>
      <c r="C4315" s="86"/>
      <c r="D4315" s="87"/>
      <c r="E4315" s="46" t="str">
        <f aca="false">IF(D4315&lt;&gt;"",IFERROR(VLOOKUP(D4315,PROVEEDORES!$A:$B,2,0),"!COD NO ENCONTRADO"),"")</f>
        <v/>
      </c>
      <c r="F4315" s="88" t="str">
        <f aca="false">IF(D4315&lt;&gt;"",IFERROR(VLOOKUP(D4315,PROVEEDORES!$A:$C,3,0),""),"")</f>
        <v/>
      </c>
      <c r="G4315" s="87"/>
      <c r="H4315" s="46" t="str">
        <f aca="false">IF(G4315&lt;&gt;"",IFERROR(VLOOKUP(G4315,PRODUCTOS!$A:$B,2,0),"!COD NO ENCONTRADO"),"")</f>
        <v/>
      </c>
      <c r="I4315" s="89"/>
      <c r="J4315" s="90"/>
      <c r="K4315" s="91"/>
      <c r="L4315" s="80" t="str">
        <f aca="false">IF(AND(J4315&lt;&gt;"",K4315&lt;&gt;""),J4315*K4315,"")</f>
        <v/>
      </c>
      <c r="M4315" s="81" t="str">
        <f aca="false">IF(L4315&lt;&gt;"",L4315*1.1,"")</f>
        <v/>
      </c>
      <c r="N4315" s="47" t="n">
        <f aca="false">IF(F4315="S",L4315*0.02,0)</f>
        <v>0</v>
      </c>
      <c r="O4315" s="82" t="str">
        <f aca="false">IF(L4315&lt;&gt;"",L4315+N4315,"")</f>
        <v/>
      </c>
      <c r="P4315" s="47" t="str">
        <f aca="false">IF(O4315&lt;&gt;"",O4315*0.1,"")</f>
        <v/>
      </c>
      <c r="Q4315" s="83" t="str">
        <f aca="false">IF(O4315&lt;&gt;"",O4315+P4315,"")</f>
        <v/>
      </c>
      <c r="R4315" s="84"/>
    </row>
    <row r="4316" customFormat="false" ht="15" hidden="false" customHeight="true" outlineLevel="0" collapsed="false">
      <c r="A4316" s="103"/>
      <c r="B4316" s="73"/>
      <c r="C4316" s="74"/>
      <c r="D4316" s="75"/>
      <c r="E4316" s="52" t="str">
        <f aca="false">IF(D4316&lt;&gt;"",IFERROR(VLOOKUP(D4316,PROVEEDORES!$A:$B,2,0),"!COD NO ENCONTRADO"),"")</f>
        <v/>
      </c>
      <c r="F4316" s="76" t="str">
        <f aca="false">IF(D4316&lt;&gt;"",IFERROR(VLOOKUP(D4316,PROVEEDORES!$A:$C,3,0),""),"")</f>
        <v/>
      </c>
      <c r="G4316" s="75"/>
      <c r="H4316" s="52" t="str">
        <f aca="false">IF(G4316&lt;&gt;"",IFERROR(VLOOKUP(G4316,PRODUCTOS!$A:$B,2,0),"!COD NO ENCONTRADO"),"")</f>
        <v/>
      </c>
      <c r="I4316" s="77"/>
      <c r="J4316" s="78"/>
      <c r="K4316" s="79"/>
      <c r="L4316" s="80" t="str">
        <f aca="false">IF(AND(J4316&lt;&gt;"",K4316&lt;&gt;""),J4316*K4316,"")</f>
        <v/>
      </c>
      <c r="M4316" s="81" t="str">
        <f aca="false">IF(L4316&lt;&gt;"",L4316*1.1,"")</f>
        <v/>
      </c>
      <c r="N4316" s="53" t="n">
        <f aca="false">IF(F4316="S",L4316*0.02,0)</f>
        <v>0</v>
      </c>
      <c r="O4316" s="82" t="str">
        <f aca="false">IF(L4316&lt;&gt;"",L4316+N4316,"")</f>
        <v/>
      </c>
      <c r="P4316" s="53" t="str">
        <f aca="false">IF(O4316&lt;&gt;"",O4316*0.1,"")</f>
        <v/>
      </c>
      <c r="Q4316" s="83" t="str">
        <f aca="false">IF(O4316&lt;&gt;"",O4316+P4316,"")</f>
        <v/>
      </c>
      <c r="R4316" s="84"/>
    </row>
    <row r="4317" customFormat="false" ht="15" hidden="false" customHeight="true" outlineLevel="0" collapsed="false">
      <c r="A4317" s="103"/>
      <c r="B4317" s="85"/>
      <c r="C4317" s="86"/>
      <c r="D4317" s="87"/>
      <c r="E4317" s="46" t="str">
        <f aca="false">IF(D4317&lt;&gt;"",IFERROR(VLOOKUP(D4317,PROVEEDORES!$A:$B,2,0),"!COD NO ENCONTRADO"),"")</f>
        <v/>
      </c>
      <c r="F4317" s="88" t="str">
        <f aca="false">IF(D4317&lt;&gt;"",IFERROR(VLOOKUP(D4317,PROVEEDORES!$A:$C,3,0),""),"")</f>
        <v/>
      </c>
      <c r="G4317" s="87"/>
      <c r="H4317" s="46" t="str">
        <f aca="false">IF(G4317&lt;&gt;"",IFERROR(VLOOKUP(G4317,PRODUCTOS!$A:$B,2,0),"!COD NO ENCONTRADO"),"")</f>
        <v/>
      </c>
      <c r="I4317" s="89"/>
      <c r="J4317" s="90"/>
      <c r="K4317" s="91"/>
      <c r="L4317" s="80" t="str">
        <f aca="false">IF(AND(J4317&lt;&gt;"",K4317&lt;&gt;""),J4317*K4317,"")</f>
        <v/>
      </c>
      <c r="M4317" s="81" t="str">
        <f aca="false">IF(L4317&lt;&gt;"",L4317*1.1,"")</f>
        <v/>
      </c>
      <c r="N4317" s="47" t="n">
        <f aca="false">IF(F4317="S",L4317*0.02,0)</f>
        <v>0</v>
      </c>
      <c r="O4317" s="82" t="str">
        <f aca="false">IF(L4317&lt;&gt;"",L4317+N4317,"")</f>
        <v/>
      </c>
      <c r="P4317" s="47" t="str">
        <f aca="false">IF(O4317&lt;&gt;"",O4317*0.1,"")</f>
        <v/>
      </c>
      <c r="Q4317" s="83" t="str">
        <f aca="false">IF(O4317&lt;&gt;"",O4317+P4317,"")</f>
        <v/>
      </c>
      <c r="R4317" s="84"/>
    </row>
    <row r="4318" customFormat="false" ht="15" hidden="false" customHeight="true" outlineLevel="0" collapsed="false">
      <c r="A4318" s="103"/>
      <c r="B4318" s="73"/>
      <c r="C4318" s="74"/>
      <c r="D4318" s="75"/>
      <c r="E4318" s="52" t="str">
        <f aca="false">IF(D4318&lt;&gt;"",IFERROR(VLOOKUP(D4318,PROVEEDORES!$A:$B,2,0),"!COD NO ENCONTRADO"),"")</f>
        <v/>
      </c>
      <c r="F4318" s="76" t="str">
        <f aca="false">IF(D4318&lt;&gt;"",IFERROR(VLOOKUP(D4318,PROVEEDORES!$A:$C,3,0),""),"")</f>
        <v/>
      </c>
      <c r="G4318" s="75"/>
      <c r="H4318" s="52" t="str">
        <f aca="false">IF(G4318&lt;&gt;"",IFERROR(VLOOKUP(G4318,PRODUCTOS!$A:$B,2,0),"!COD NO ENCONTRADO"),"")</f>
        <v/>
      </c>
      <c r="I4318" s="77"/>
      <c r="J4318" s="78"/>
      <c r="K4318" s="79"/>
      <c r="L4318" s="80" t="str">
        <f aca="false">IF(AND(J4318&lt;&gt;"",K4318&lt;&gt;""),J4318*K4318,"")</f>
        <v/>
      </c>
      <c r="M4318" s="81" t="str">
        <f aca="false">IF(L4318&lt;&gt;"",L4318*1.1,"")</f>
        <v/>
      </c>
      <c r="N4318" s="53" t="n">
        <f aca="false">IF(F4318="S",L4318*0.02,0)</f>
        <v>0</v>
      </c>
      <c r="O4318" s="82" t="str">
        <f aca="false">IF(L4318&lt;&gt;"",L4318+N4318,"")</f>
        <v/>
      </c>
      <c r="P4318" s="53" t="str">
        <f aca="false">IF(O4318&lt;&gt;"",O4318*0.1,"")</f>
        <v/>
      </c>
      <c r="Q4318" s="83" t="str">
        <f aca="false">IF(O4318&lt;&gt;"",O4318+P4318,"")</f>
        <v/>
      </c>
      <c r="R4318" s="84"/>
    </row>
    <row r="4319" customFormat="false" ht="15" hidden="false" customHeight="true" outlineLevel="0" collapsed="false">
      <c r="A4319" s="103"/>
      <c r="B4319" s="85"/>
      <c r="C4319" s="86"/>
      <c r="D4319" s="87"/>
      <c r="E4319" s="46" t="str">
        <f aca="false">IF(D4319&lt;&gt;"",IFERROR(VLOOKUP(D4319,PROVEEDORES!$A:$B,2,0),"!COD NO ENCONTRADO"),"")</f>
        <v/>
      </c>
      <c r="F4319" s="88" t="str">
        <f aca="false">IF(D4319&lt;&gt;"",IFERROR(VLOOKUP(D4319,PROVEEDORES!$A:$C,3,0),""),"")</f>
        <v/>
      </c>
      <c r="G4319" s="87"/>
      <c r="H4319" s="46" t="str">
        <f aca="false">IF(G4319&lt;&gt;"",IFERROR(VLOOKUP(G4319,PRODUCTOS!$A:$B,2,0),"!COD NO ENCONTRADO"),"")</f>
        <v/>
      </c>
      <c r="I4319" s="89"/>
      <c r="J4319" s="90"/>
      <c r="K4319" s="91"/>
      <c r="L4319" s="80" t="str">
        <f aca="false">IF(AND(J4319&lt;&gt;"",K4319&lt;&gt;""),J4319*K4319,"")</f>
        <v/>
      </c>
      <c r="M4319" s="81" t="str">
        <f aca="false">IF(L4319&lt;&gt;"",L4319*1.1,"")</f>
        <v/>
      </c>
      <c r="N4319" s="47" t="n">
        <f aca="false">IF(F4319="S",L4319*0.02,0)</f>
        <v>0</v>
      </c>
      <c r="O4319" s="82" t="str">
        <f aca="false">IF(L4319&lt;&gt;"",L4319+N4319,"")</f>
        <v/>
      </c>
      <c r="P4319" s="47" t="str">
        <f aca="false">IF(O4319&lt;&gt;"",O4319*0.1,"")</f>
        <v/>
      </c>
      <c r="Q4319" s="83" t="str">
        <f aca="false">IF(O4319&lt;&gt;"",O4319+P4319,"")</f>
        <v/>
      </c>
      <c r="R4319" s="84"/>
    </row>
    <row r="4320" customFormat="false" ht="15" hidden="false" customHeight="true" outlineLevel="0" collapsed="false">
      <c r="A4320" s="103"/>
      <c r="B4320" s="73"/>
      <c r="C4320" s="74"/>
      <c r="D4320" s="75"/>
      <c r="E4320" s="52" t="str">
        <f aca="false">IF(D4320&lt;&gt;"",IFERROR(VLOOKUP(D4320,PROVEEDORES!$A:$B,2,0),"!COD NO ENCONTRADO"),"")</f>
        <v/>
      </c>
      <c r="F4320" s="76" t="str">
        <f aca="false">IF(D4320&lt;&gt;"",IFERROR(VLOOKUP(D4320,PROVEEDORES!$A:$C,3,0),""),"")</f>
        <v/>
      </c>
      <c r="G4320" s="75"/>
      <c r="H4320" s="52" t="str">
        <f aca="false">IF(G4320&lt;&gt;"",IFERROR(VLOOKUP(G4320,PRODUCTOS!$A:$B,2,0),"!COD NO ENCONTRADO"),"")</f>
        <v/>
      </c>
      <c r="I4320" s="77"/>
      <c r="J4320" s="78"/>
      <c r="K4320" s="79"/>
      <c r="L4320" s="80" t="str">
        <f aca="false">IF(AND(J4320&lt;&gt;"",K4320&lt;&gt;""),J4320*K4320,"")</f>
        <v/>
      </c>
      <c r="M4320" s="81" t="str">
        <f aca="false">IF(L4320&lt;&gt;"",L4320*1.1,"")</f>
        <v/>
      </c>
      <c r="N4320" s="53" t="n">
        <f aca="false">IF(F4320="S",L4320*0.02,0)</f>
        <v>0</v>
      </c>
      <c r="O4320" s="82" t="str">
        <f aca="false">IF(L4320&lt;&gt;"",L4320+N4320,"")</f>
        <v/>
      </c>
      <c r="P4320" s="53" t="str">
        <f aca="false">IF(O4320&lt;&gt;"",O4320*0.1,"")</f>
        <v/>
      </c>
      <c r="Q4320" s="83" t="str">
        <f aca="false">IF(O4320&lt;&gt;"",O4320+P4320,"")</f>
        <v/>
      </c>
      <c r="R4320" s="84"/>
    </row>
    <row r="4321" customFormat="false" ht="15" hidden="false" customHeight="true" outlineLevel="0" collapsed="false">
      <c r="A4321" s="103"/>
      <c r="B4321" s="85"/>
      <c r="C4321" s="86"/>
      <c r="D4321" s="87"/>
      <c r="E4321" s="46" t="str">
        <f aca="false">IF(D4321&lt;&gt;"",IFERROR(VLOOKUP(D4321,PROVEEDORES!$A:$B,2,0),"!COD NO ENCONTRADO"),"")</f>
        <v/>
      </c>
      <c r="F4321" s="88" t="str">
        <f aca="false">IF(D4321&lt;&gt;"",IFERROR(VLOOKUP(D4321,PROVEEDORES!$A:$C,3,0),""),"")</f>
        <v/>
      </c>
      <c r="G4321" s="87"/>
      <c r="H4321" s="46" t="str">
        <f aca="false">IF(G4321&lt;&gt;"",IFERROR(VLOOKUP(G4321,PRODUCTOS!$A:$B,2,0),"!COD NO ENCONTRADO"),"")</f>
        <v/>
      </c>
      <c r="I4321" s="89"/>
      <c r="J4321" s="90"/>
      <c r="K4321" s="91"/>
      <c r="L4321" s="80" t="str">
        <f aca="false">IF(AND(J4321&lt;&gt;"",K4321&lt;&gt;""),J4321*K4321,"")</f>
        <v/>
      </c>
      <c r="M4321" s="81" t="str">
        <f aca="false">IF(L4321&lt;&gt;"",L4321*1.1,"")</f>
        <v/>
      </c>
      <c r="N4321" s="47" t="n">
        <f aca="false">IF(F4321="S",L4321*0.02,0)</f>
        <v>0</v>
      </c>
      <c r="O4321" s="82" t="str">
        <f aca="false">IF(L4321&lt;&gt;"",L4321+N4321,"")</f>
        <v/>
      </c>
      <c r="P4321" s="47" t="str">
        <f aca="false">IF(O4321&lt;&gt;"",O4321*0.1,"")</f>
        <v/>
      </c>
      <c r="Q4321" s="83" t="str">
        <f aca="false">IF(O4321&lt;&gt;"",O4321+P4321,"")</f>
        <v/>
      </c>
      <c r="R4321" s="84"/>
    </row>
    <row r="4322" customFormat="false" ht="15" hidden="false" customHeight="true" outlineLevel="0" collapsed="false">
      <c r="A4322" s="103"/>
      <c r="B4322" s="73"/>
      <c r="C4322" s="74"/>
      <c r="D4322" s="75"/>
      <c r="E4322" s="52" t="str">
        <f aca="false">IF(D4322&lt;&gt;"",IFERROR(VLOOKUP(D4322,PROVEEDORES!$A:$B,2,0),"!COD NO ENCONTRADO"),"")</f>
        <v/>
      </c>
      <c r="F4322" s="76" t="str">
        <f aca="false">IF(D4322&lt;&gt;"",IFERROR(VLOOKUP(D4322,PROVEEDORES!$A:$C,3,0),""),"")</f>
        <v/>
      </c>
      <c r="G4322" s="75"/>
      <c r="H4322" s="52" t="str">
        <f aca="false">IF(G4322&lt;&gt;"",IFERROR(VLOOKUP(G4322,PRODUCTOS!$A:$B,2,0),"!COD NO ENCONTRADO"),"")</f>
        <v/>
      </c>
      <c r="I4322" s="77"/>
      <c r="J4322" s="78"/>
      <c r="K4322" s="79"/>
      <c r="L4322" s="80" t="str">
        <f aca="false">IF(AND(J4322&lt;&gt;"",K4322&lt;&gt;""),J4322*K4322,"")</f>
        <v/>
      </c>
      <c r="M4322" s="81" t="str">
        <f aca="false">IF(L4322&lt;&gt;"",L4322*1.1,"")</f>
        <v/>
      </c>
      <c r="N4322" s="53" t="n">
        <f aca="false">IF(F4322="S",L4322*0.02,0)</f>
        <v>0</v>
      </c>
      <c r="O4322" s="82" t="str">
        <f aca="false">IF(L4322&lt;&gt;"",L4322+N4322,"")</f>
        <v/>
      </c>
      <c r="P4322" s="53" t="str">
        <f aca="false">IF(O4322&lt;&gt;"",O4322*0.1,"")</f>
        <v/>
      </c>
      <c r="Q4322" s="83" t="str">
        <f aca="false">IF(O4322&lt;&gt;"",O4322+P4322,"")</f>
        <v/>
      </c>
      <c r="R4322" s="84"/>
    </row>
    <row r="4323" customFormat="false" ht="15" hidden="false" customHeight="true" outlineLevel="0" collapsed="false">
      <c r="A4323" s="103"/>
      <c r="B4323" s="85"/>
      <c r="C4323" s="86"/>
      <c r="D4323" s="87"/>
      <c r="E4323" s="46" t="str">
        <f aca="false">IF(D4323&lt;&gt;"",IFERROR(VLOOKUP(D4323,PROVEEDORES!$A:$B,2,0),"!COD NO ENCONTRADO"),"")</f>
        <v/>
      </c>
      <c r="F4323" s="88" t="str">
        <f aca="false">IF(D4323&lt;&gt;"",IFERROR(VLOOKUP(D4323,PROVEEDORES!$A:$C,3,0),""),"")</f>
        <v/>
      </c>
      <c r="G4323" s="87"/>
      <c r="H4323" s="46" t="str">
        <f aca="false">IF(G4323&lt;&gt;"",IFERROR(VLOOKUP(G4323,PRODUCTOS!$A:$B,2,0),"!COD NO ENCONTRADO"),"")</f>
        <v/>
      </c>
      <c r="I4323" s="89"/>
      <c r="J4323" s="90"/>
      <c r="K4323" s="91"/>
      <c r="L4323" s="80" t="str">
        <f aca="false">IF(AND(J4323&lt;&gt;"",K4323&lt;&gt;""),J4323*K4323,"")</f>
        <v/>
      </c>
      <c r="M4323" s="81" t="str">
        <f aca="false">IF(L4323&lt;&gt;"",L4323*1.1,"")</f>
        <v/>
      </c>
      <c r="N4323" s="47" t="n">
        <f aca="false">IF(F4323="S",L4323*0.02,0)</f>
        <v>0</v>
      </c>
      <c r="O4323" s="82" t="str">
        <f aca="false">IF(L4323&lt;&gt;"",L4323+N4323,"")</f>
        <v/>
      </c>
      <c r="P4323" s="47" t="str">
        <f aca="false">IF(O4323&lt;&gt;"",O4323*0.1,"")</f>
        <v/>
      </c>
      <c r="Q4323" s="83" t="str">
        <f aca="false">IF(O4323&lt;&gt;"",O4323+P4323,"")</f>
        <v/>
      </c>
      <c r="R4323" s="84"/>
    </row>
    <row r="4324" customFormat="false" ht="15" hidden="false" customHeight="true" outlineLevel="0" collapsed="false">
      <c r="A4324" s="103"/>
      <c r="B4324" s="73"/>
      <c r="C4324" s="74"/>
      <c r="D4324" s="75"/>
      <c r="E4324" s="52" t="str">
        <f aca="false">IF(D4324&lt;&gt;"",IFERROR(VLOOKUP(D4324,PROVEEDORES!$A:$B,2,0),"!COD NO ENCONTRADO"),"")</f>
        <v/>
      </c>
      <c r="F4324" s="76" t="str">
        <f aca="false">IF(D4324&lt;&gt;"",IFERROR(VLOOKUP(D4324,PROVEEDORES!$A:$C,3,0),""),"")</f>
        <v/>
      </c>
      <c r="G4324" s="75"/>
      <c r="H4324" s="52" t="str">
        <f aca="false">IF(G4324&lt;&gt;"",IFERROR(VLOOKUP(G4324,PRODUCTOS!$A:$B,2,0),"!COD NO ENCONTRADO"),"")</f>
        <v/>
      </c>
      <c r="I4324" s="77"/>
      <c r="J4324" s="78"/>
      <c r="K4324" s="79"/>
      <c r="L4324" s="80" t="str">
        <f aca="false">IF(AND(J4324&lt;&gt;"",K4324&lt;&gt;""),J4324*K4324,"")</f>
        <v/>
      </c>
      <c r="M4324" s="81" t="str">
        <f aca="false">IF(L4324&lt;&gt;"",L4324*1.1,"")</f>
        <v/>
      </c>
      <c r="N4324" s="53" t="n">
        <f aca="false">IF(F4324="S",L4324*0.02,0)</f>
        <v>0</v>
      </c>
      <c r="O4324" s="82" t="str">
        <f aca="false">IF(L4324&lt;&gt;"",L4324+N4324,"")</f>
        <v/>
      </c>
      <c r="P4324" s="53" t="str">
        <f aca="false">IF(O4324&lt;&gt;"",O4324*0.1,"")</f>
        <v/>
      </c>
      <c r="Q4324" s="83" t="str">
        <f aca="false">IF(O4324&lt;&gt;"",O4324+P4324,"")</f>
        <v/>
      </c>
      <c r="R4324" s="84"/>
    </row>
    <row r="4325" customFormat="false" ht="15" hidden="false" customHeight="true" outlineLevel="0" collapsed="false">
      <c r="A4325" s="103"/>
      <c r="B4325" s="85"/>
      <c r="C4325" s="86"/>
      <c r="D4325" s="87"/>
      <c r="E4325" s="46" t="str">
        <f aca="false">IF(D4325&lt;&gt;"",IFERROR(VLOOKUP(D4325,PROVEEDORES!$A:$B,2,0),"!COD NO ENCONTRADO"),"")</f>
        <v/>
      </c>
      <c r="F4325" s="88" t="str">
        <f aca="false">IF(D4325&lt;&gt;"",IFERROR(VLOOKUP(D4325,PROVEEDORES!$A:$C,3,0),""),"")</f>
        <v/>
      </c>
      <c r="G4325" s="87"/>
      <c r="H4325" s="46" t="str">
        <f aca="false">IF(G4325&lt;&gt;"",IFERROR(VLOOKUP(G4325,PRODUCTOS!$A:$B,2,0),"!COD NO ENCONTRADO"),"")</f>
        <v/>
      </c>
      <c r="I4325" s="89"/>
      <c r="J4325" s="90"/>
      <c r="K4325" s="91"/>
      <c r="L4325" s="80" t="str">
        <f aca="false">IF(AND(J4325&lt;&gt;"",K4325&lt;&gt;""),J4325*K4325,"")</f>
        <v/>
      </c>
      <c r="M4325" s="81" t="str">
        <f aca="false">IF(L4325&lt;&gt;"",L4325*1.1,"")</f>
        <v/>
      </c>
      <c r="N4325" s="47" t="n">
        <f aca="false">IF(F4325="S",L4325*0.02,0)</f>
        <v>0</v>
      </c>
      <c r="O4325" s="82" t="str">
        <f aca="false">IF(L4325&lt;&gt;"",L4325+N4325,"")</f>
        <v/>
      </c>
      <c r="P4325" s="47" t="str">
        <f aca="false">IF(O4325&lt;&gt;"",O4325*0.1,"")</f>
        <v/>
      </c>
      <c r="Q4325" s="83" t="str">
        <f aca="false">IF(O4325&lt;&gt;"",O4325+P4325,"")</f>
        <v/>
      </c>
      <c r="R4325" s="84"/>
    </row>
    <row r="4326" customFormat="false" ht="15" hidden="false" customHeight="true" outlineLevel="0" collapsed="false">
      <c r="A4326" s="103"/>
      <c r="B4326" s="73"/>
      <c r="C4326" s="74"/>
      <c r="D4326" s="75"/>
      <c r="E4326" s="52" t="str">
        <f aca="false">IF(D4326&lt;&gt;"",IFERROR(VLOOKUP(D4326,PROVEEDORES!$A:$B,2,0),"!COD NO ENCONTRADO"),"")</f>
        <v/>
      </c>
      <c r="F4326" s="76" t="str">
        <f aca="false">IF(D4326&lt;&gt;"",IFERROR(VLOOKUP(D4326,PROVEEDORES!$A:$C,3,0),""),"")</f>
        <v/>
      </c>
      <c r="G4326" s="75"/>
      <c r="H4326" s="52" t="str">
        <f aca="false">IF(G4326&lt;&gt;"",IFERROR(VLOOKUP(G4326,PRODUCTOS!$A:$B,2,0),"!COD NO ENCONTRADO"),"")</f>
        <v/>
      </c>
      <c r="I4326" s="77"/>
      <c r="J4326" s="78"/>
      <c r="K4326" s="79"/>
      <c r="L4326" s="80" t="str">
        <f aca="false">IF(AND(J4326&lt;&gt;"",K4326&lt;&gt;""),J4326*K4326,"")</f>
        <v/>
      </c>
      <c r="M4326" s="81" t="str">
        <f aca="false">IF(L4326&lt;&gt;"",L4326*1.1,"")</f>
        <v/>
      </c>
      <c r="N4326" s="53" t="n">
        <f aca="false">IF(F4326="S",L4326*0.02,0)</f>
        <v>0</v>
      </c>
      <c r="O4326" s="82" t="str">
        <f aca="false">IF(L4326&lt;&gt;"",L4326+N4326,"")</f>
        <v/>
      </c>
      <c r="P4326" s="53" t="str">
        <f aca="false">IF(O4326&lt;&gt;"",O4326*0.1,"")</f>
        <v/>
      </c>
      <c r="Q4326" s="83" t="str">
        <f aca="false">IF(O4326&lt;&gt;"",O4326+P4326,"")</f>
        <v/>
      </c>
      <c r="R4326" s="84"/>
    </row>
    <row r="4327" customFormat="false" ht="15" hidden="false" customHeight="true" outlineLevel="0" collapsed="false">
      <c r="A4327" s="103"/>
      <c r="B4327" s="85"/>
      <c r="C4327" s="86"/>
      <c r="D4327" s="87"/>
      <c r="E4327" s="46" t="str">
        <f aca="false">IF(D4327&lt;&gt;"",IFERROR(VLOOKUP(D4327,PROVEEDORES!$A:$B,2,0),"!COD NO ENCONTRADO"),"")</f>
        <v/>
      </c>
      <c r="F4327" s="88" t="str">
        <f aca="false">IF(D4327&lt;&gt;"",IFERROR(VLOOKUP(D4327,PROVEEDORES!$A:$C,3,0),""),"")</f>
        <v/>
      </c>
      <c r="G4327" s="87"/>
      <c r="H4327" s="46" t="str">
        <f aca="false">IF(G4327&lt;&gt;"",IFERROR(VLOOKUP(G4327,PRODUCTOS!$A:$B,2,0),"!COD NO ENCONTRADO"),"")</f>
        <v/>
      </c>
      <c r="I4327" s="89"/>
      <c r="J4327" s="90"/>
      <c r="K4327" s="91"/>
      <c r="L4327" s="80" t="str">
        <f aca="false">IF(AND(J4327&lt;&gt;"",K4327&lt;&gt;""),J4327*K4327,"")</f>
        <v/>
      </c>
      <c r="M4327" s="81" t="str">
        <f aca="false">IF(L4327&lt;&gt;"",L4327*1.1,"")</f>
        <v/>
      </c>
      <c r="N4327" s="47" t="n">
        <f aca="false">IF(F4327="S",L4327*0.02,0)</f>
        <v>0</v>
      </c>
      <c r="O4327" s="82" t="str">
        <f aca="false">IF(L4327&lt;&gt;"",L4327+N4327,"")</f>
        <v/>
      </c>
      <c r="P4327" s="47" t="str">
        <f aca="false">IF(O4327&lt;&gt;"",O4327*0.1,"")</f>
        <v/>
      </c>
      <c r="Q4327" s="83" t="str">
        <f aca="false">IF(O4327&lt;&gt;"",O4327+P4327,"")</f>
        <v/>
      </c>
      <c r="R4327" s="84"/>
    </row>
    <row r="4328" customFormat="false" ht="15" hidden="false" customHeight="true" outlineLevel="0" collapsed="false">
      <c r="A4328" s="103"/>
      <c r="B4328" s="73"/>
      <c r="C4328" s="74"/>
      <c r="D4328" s="75"/>
      <c r="E4328" s="52" t="str">
        <f aca="false">IF(D4328&lt;&gt;"",IFERROR(VLOOKUP(D4328,PROVEEDORES!$A:$B,2,0),"!COD NO ENCONTRADO"),"")</f>
        <v/>
      </c>
      <c r="F4328" s="76" t="str">
        <f aca="false">IF(D4328&lt;&gt;"",IFERROR(VLOOKUP(D4328,PROVEEDORES!$A:$C,3,0),""),"")</f>
        <v/>
      </c>
      <c r="G4328" s="75"/>
      <c r="H4328" s="52" t="str">
        <f aca="false">IF(G4328&lt;&gt;"",IFERROR(VLOOKUP(G4328,PRODUCTOS!$A:$B,2,0),"!COD NO ENCONTRADO"),"")</f>
        <v/>
      </c>
      <c r="I4328" s="77"/>
      <c r="J4328" s="78"/>
      <c r="K4328" s="79"/>
      <c r="L4328" s="80" t="str">
        <f aca="false">IF(AND(J4328&lt;&gt;"",K4328&lt;&gt;""),J4328*K4328,"")</f>
        <v/>
      </c>
      <c r="M4328" s="81" t="str">
        <f aca="false">IF(L4328&lt;&gt;"",L4328*1.1,"")</f>
        <v/>
      </c>
      <c r="N4328" s="53" t="n">
        <f aca="false">IF(F4328="S",L4328*0.02,0)</f>
        <v>0</v>
      </c>
      <c r="O4328" s="82" t="str">
        <f aca="false">IF(L4328&lt;&gt;"",L4328+N4328,"")</f>
        <v/>
      </c>
      <c r="P4328" s="53" t="str">
        <f aca="false">IF(O4328&lt;&gt;"",O4328*0.1,"")</f>
        <v/>
      </c>
      <c r="Q4328" s="83" t="str">
        <f aca="false">IF(O4328&lt;&gt;"",O4328+P4328,"")</f>
        <v/>
      </c>
      <c r="R4328" s="84"/>
    </row>
    <row r="4329" customFormat="false" ht="15" hidden="false" customHeight="true" outlineLevel="0" collapsed="false">
      <c r="A4329" s="103"/>
      <c r="B4329" s="85"/>
      <c r="C4329" s="86"/>
      <c r="D4329" s="87"/>
      <c r="E4329" s="46" t="str">
        <f aca="false">IF(D4329&lt;&gt;"",IFERROR(VLOOKUP(D4329,PROVEEDORES!$A:$B,2,0),"!COD NO ENCONTRADO"),"")</f>
        <v/>
      </c>
      <c r="F4329" s="88" t="str">
        <f aca="false">IF(D4329&lt;&gt;"",IFERROR(VLOOKUP(D4329,PROVEEDORES!$A:$C,3,0),""),"")</f>
        <v/>
      </c>
      <c r="G4329" s="87"/>
      <c r="H4329" s="46" t="str">
        <f aca="false">IF(G4329&lt;&gt;"",IFERROR(VLOOKUP(G4329,PRODUCTOS!$A:$B,2,0),"!COD NO ENCONTRADO"),"")</f>
        <v/>
      </c>
      <c r="I4329" s="89"/>
      <c r="J4329" s="90"/>
      <c r="K4329" s="91"/>
      <c r="L4329" s="80" t="str">
        <f aca="false">IF(AND(J4329&lt;&gt;"",K4329&lt;&gt;""),J4329*K4329,"")</f>
        <v/>
      </c>
      <c r="M4329" s="81" t="str">
        <f aca="false">IF(L4329&lt;&gt;"",L4329*1.1,"")</f>
        <v/>
      </c>
      <c r="N4329" s="47" t="n">
        <f aca="false">IF(F4329="S",L4329*0.02,0)</f>
        <v>0</v>
      </c>
      <c r="O4329" s="82" t="str">
        <f aca="false">IF(L4329&lt;&gt;"",L4329+N4329,"")</f>
        <v/>
      </c>
      <c r="P4329" s="47" t="str">
        <f aca="false">IF(O4329&lt;&gt;"",O4329*0.1,"")</f>
        <v/>
      </c>
      <c r="Q4329" s="83" t="str">
        <f aca="false">IF(O4329&lt;&gt;"",O4329+P4329,"")</f>
        <v/>
      </c>
      <c r="R4329" s="84"/>
    </row>
    <row r="4330" customFormat="false" ht="15" hidden="false" customHeight="true" outlineLevel="0" collapsed="false">
      <c r="A4330" s="103"/>
      <c r="B4330" s="73"/>
      <c r="C4330" s="74"/>
      <c r="D4330" s="75"/>
      <c r="E4330" s="52" t="str">
        <f aca="false">IF(D4330&lt;&gt;"",IFERROR(VLOOKUP(D4330,PROVEEDORES!$A:$B,2,0),"!COD NO ENCONTRADO"),"")</f>
        <v/>
      </c>
      <c r="F4330" s="76" t="str">
        <f aca="false">IF(D4330&lt;&gt;"",IFERROR(VLOOKUP(D4330,PROVEEDORES!$A:$C,3,0),""),"")</f>
        <v/>
      </c>
      <c r="G4330" s="75"/>
      <c r="H4330" s="52" t="str">
        <f aca="false">IF(G4330&lt;&gt;"",IFERROR(VLOOKUP(G4330,PRODUCTOS!$A:$B,2,0),"!COD NO ENCONTRADO"),"")</f>
        <v/>
      </c>
      <c r="I4330" s="77"/>
      <c r="J4330" s="78"/>
      <c r="K4330" s="79"/>
      <c r="L4330" s="80" t="str">
        <f aca="false">IF(AND(J4330&lt;&gt;"",K4330&lt;&gt;""),J4330*K4330,"")</f>
        <v/>
      </c>
      <c r="M4330" s="81" t="str">
        <f aca="false">IF(L4330&lt;&gt;"",L4330*1.1,"")</f>
        <v/>
      </c>
      <c r="N4330" s="53" t="n">
        <f aca="false">IF(F4330="S",L4330*0.02,0)</f>
        <v>0</v>
      </c>
      <c r="O4330" s="82" t="str">
        <f aca="false">IF(L4330&lt;&gt;"",L4330+N4330,"")</f>
        <v/>
      </c>
      <c r="P4330" s="53" t="str">
        <f aca="false">IF(O4330&lt;&gt;"",O4330*0.1,"")</f>
        <v/>
      </c>
      <c r="Q4330" s="83" t="str">
        <f aca="false">IF(O4330&lt;&gt;"",O4330+P4330,"")</f>
        <v/>
      </c>
      <c r="R4330" s="84"/>
    </row>
    <row r="4331" customFormat="false" ht="15" hidden="false" customHeight="true" outlineLevel="0" collapsed="false">
      <c r="A4331" s="103"/>
      <c r="B4331" s="85"/>
      <c r="C4331" s="86"/>
      <c r="D4331" s="87"/>
      <c r="E4331" s="46" t="str">
        <f aca="false">IF(D4331&lt;&gt;"",IFERROR(VLOOKUP(D4331,PROVEEDORES!$A:$B,2,0),"!COD NO ENCONTRADO"),"")</f>
        <v/>
      </c>
      <c r="F4331" s="88" t="str">
        <f aca="false">IF(D4331&lt;&gt;"",IFERROR(VLOOKUP(D4331,PROVEEDORES!$A:$C,3,0),""),"")</f>
        <v/>
      </c>
      <c r="G4331" s="87"/>
      <c r="H4331" s="46" t="str">
        <f aca="false">IF(G4331&lt;&gt;"",IFERROR(VLOOKUP(G4331,PRODUCTOS!$A:$B,2,0),"!COD NO ENCONTRADO"),"")</f>
        <v/>
      </c>
      <c r="I4331" s="89"/>
      <c r="J4331" s="90"/>
      <c r="K4331" s="91"/>
      <c r="L4331" s="80" t="str">
        <f aca="false">IF(AND(J4331&lt;&gt;"",K4331&lt;&gt;""),J4331*K4331,"")</f>
        <v/>
      </c>
      <c r="M4331" s="81" t="str">
        <f aca="false">IF(L4331&lt;&gt;"",L4331*1.1,"")</f>
        <v/>
      </c>
      <c r="N4331" s="47" t="n">
        <f aca="false">IF(F4331="S",L4331*0.02,0)</f>
        <v>0</v>
      </c>
      <c r="O4331" s="82" t="str">
        <f aca="false">IF(L4331&lt;&gt;"",L4331+N4331,"")</f>
        <v/>
      </c>
      <c r="P4331" s="47" t="str">
        <f aca="false">IF(O4331&lt;&gt;"",O4331*0.1,"")</f>
        <v/>
      </c>
      <c r="Q4331" s="83" t="str">
        <f aca="false">IF(O4331&lt;&gt;"",O4331+P4331,"")</f>
        <v/>
      </c>
      <c r="R4331" s="84"/>
    </row>
    <row r="4332" customFormat="false" ht="15" hidden="false" customHeight="true" outlineLevel="0" collapsed="false">
      <c r="A4332" s="103"/>
      <c r="B4332" s="73"/>
      <c r="C4332" s="74"/>
      <c r="D4332" s="75"/>
      <c r="E4332" s="52" t="str">
        <f aca="false">IF(D4332&lt;&gt;"",IFERROR(VLOOKUP(D4332,PROVEEDORES!$A:$B,2,0),"!COD NO ENCONTRADO"),"")</f>
        <v/>
      </c>
      <c r="F4332" s="76" t="str">
        <f aca="false">IF(D4332&lt;&gt;"",IFERROR(VLOOKUP(D4332,PROVEEDORES!$A:$C,3,0),""),"")</f>
        <v/>
      </c>
      <c r="G4332" s="75"/>
      <c r="H4332" s="52" t="str">
        <f aca="false">IF(G4332&lt;&gt;"",IFERROR(VLOOKUP(G4332,PRODUCTOS!$A:$B,2,0),"!COD NO ENCONTRADO"),"")</f>
        <v/>
      </c>
      <c r="I4332" s="77"/>
      <c r="J4332" s="78"/>
      <c r="K4332" s="79"/>
      <c r="L4332" s="80" t="str">
        <f aca="false">IF(AND(J4332&lt;&gt;"",K4332&lt;&gt;""),J4332*K4332,"")</f>
        <v/>
      </c>
      <c r="M4332" s="81" t="str">
        <f aca="false">IF(L4332&lt;&gt;"",L4332*1.1,"")</f>
        <v/>
      </c>
      <c r="N4332" s="53" t="n">
        <f aca="false">IF(F4332="S",L4332*0.02,0)</f>
        <v>0</v>
      </c>
      <c r="O4332" s="82" t="str">
        <f aca="false">IF(L4332&lt;&gt;"",L4332+N4332,"")</f>
        <v/>
      </c>
      <c r="P4332" s="53" t="str">
        <f aca="false">IF(O4332&lt;&gt;"",O4332*0.1,"")</f>
        <v/>
      </c>
      <c r="Q4332" s="83" t="str">
        <f aca="false">IF(O4332&lt;&gt;"",O4332+P4332,"")</f>
        <v/>
      </c>
      <c r="R4332" s="84"/>
    </row>
    <row r="4333" customFormat="false" ht="15" hidden="false" customHeight="true" outlineLevel="0" collapsed="false">
      <c r="A4333" s="103"/>
      <c r="B4333" s="85"/>
      <c r="C4333" s="86"/>
      <c r="D4333" s="87"/>
      <c r="E4333" s="46" t="str">
        <f aca="false">IF(D4333&lt;&gt;"",IFERROR(VLOOKUP(D4333,PROVEEDORES!$A:$B,2,0),"!COD NO ENCONTRADO"),"")</f>
        <v/>
      </c>
      <c r="F4333" s="88" t="str">
        <f aca="false">IF(D4333&lt;&gt;"",IFERROR(VLOOKUP(D4333,PROVEEDORES!$A:$C,3,0),""),"")</f>
        <v/>
      </c>
      <c r="G4333" s="87"/>
      <c r="H4333" s="46" t="str">
        <f aca="false">IF(G4333&lt;&gt;"",IFERROR(VLOOKUP(G4333,PRODUCTOS!$A:$B,2,0),"!COD NO ENCONTRADO"),"")</f>
        <v/>
      </c>
      <c r="I4333" s="89"/>
      <c r="J4333" s="90"/>
      <c r="K4333" s="91"/>
      <c r="L4333" s="80" t="str">
        <f aca="false">IF(AND(J4333&lt;&gt;"",K4333&lt;&gt;""),J4333*K4333,"")</f>
        <v/>
      </c>
      <c r="M4333" s="81" t="str">
        <f aca="false">IF(L4333&lt;&gt;"",L4333*1.1,"")</f>
        <v/>
      </c>
      <c r="N4333" s="47" t="n">
        <f aca="false">IF(F4333="S",L4333*0.02,0)</f>
        <v>0</v>
      </c>
      <c r="O4333" s="82" t="str">
        <f aca="false">IF(L4333&lt;&gt;"",L4333+N4333,"")</f>
        <v/>
      </c>
      <c r="P4333" s="47" t="str">
        <f aca="false">IF(O4333&lt;&gt;"",O4333*0.1,"")</f>
        <v/>
      </c>
      <c r="Q4333" s="83" t="str">
        <f aca="false">IF(O4333&lt;&gt;"",O4333+P4333,"")</f>
        <v/>
      </c>
      <c r="R4333" s="84"/>
    </row>
    <row r="4334" customFormat="false" ht="15" hidden="false" customHeight="true" outlineLevel="0" collapsed="false">
      <c r="A4334" s="103"/>
      <c r="B4334" s="73"/>
      <c r="C4334" s="74"/>
      <c r="D4334" s="75"/>
      <c r="E4334" s="52" t="str">
        <f aca="false">IF(D4334&lt;&gt;"",IFERROR(VLOOKUP(D4334,PROVEEDORES!$A:$B,2,0),"!COD NO ENCONTRADO"),"")</f>
        <v/>
      </c>
      <c r="F4334" s="76" t="str">
        <f aca="false">IF(D4334&lt;&gt;"",IFERROR(VLOOKUP(D4334,PROVEEDORES!$A:$C,3,0),""),"")</f>
        <v/>
      </c>
      <c r="G4334" s="75"/>
      <c r="H4334" s="52" t="str">
        <f aca="false">IF(G4334&lt;&gt;"",IFERROR(VLOOKUP(G4334,PRODUCTOS!$A:$B,2,0),"!COD NO ENCONTRADO"),"")</f>
        <v/>
      </c>
      <c r="I4334" s="77"/>
      <c r="J4334" s="78"/>
      <c r="K4334" s="79"/>
      <c r="L4334" s="80" t="str">
        <f aca="false">IF(AND(J4334&lt;&gt;"",K4334&lt;&gt;""),J4334*K4334,"")</f>
        <v/>
      </c>
      <c r="M4334" s="81" t="str">
        <f aca="false">IF(L4334&lt;&gt;"",L4334*1.1,"")</f>
        <v/>
      </c>
      <c r="N4334" s="53" t="n">
        <f aca="false">IF(F4334="S",L4334*0.02,0)</f>
        <v>0</v>
      </c>
      <c r="O4334" s="82" t="str">
        <f aca="false">IF(L4334&lt;&gt;"",L4334+N4334,"")</f>
        <v/>
      </c>
      <c r="P4334" s="53" t="str">
        <f aca="false">IF(O4334&lt;&gt;"",O4334*0.1,"")</f>
        <v/>
      </c>
      <c r="Q4334" s="83" t="str">
        <f aca="false">IF(O4334&lt;&gt;"",O4334+P4334,"")</f>
        <v/>
      </c>
      <c r="R4334" s="84"/>
    </row>
    <row r="4335" customFormat="false" ht="15" hidden="false" customHeight="true" outlineLevel="0" collapsed="false">
      <c r="A4335" s="103"/>
      <c r="B4335" s="85"/>
      <c r="C4335" s="86"/>
      <c r="D4335" s="87"/>
      <c r="E4335" s="46" t="str">
        <f aca="false">IF(D4335&lt;&gt;"",IFERROR(VLOOKUP(D4335,PROVEEDORES!$A:$B,2,0),"!COD NO ENCONTRADO"),"")</f>
        <v/>
      </c>
      <c r="F4335" s="88" t="str">
        <f aca="false">IF(D4335&lt;&gt;"",IFERROR(VLOOKUP(D4335,PROVEEDORES!$A:$C,3,0),""),"")</f>
        <v/>
      </c>
      <c r="G4335" s="87"/>
      <c r="H4335" s="46" t="str">
        <f aca="false">IF(G4335&lt;&gt;"",IFERROR(VLOOKUP(G4335,PRODUCTOS!$A:$B,2,0),"!COD NO ENCONTRADO"),"")</f>
        <v/>
      </c>
      <c r="I4335" s="89"/>
      <c r="J4335" s="90"/>
      <c r="K4335" s="91"/>
      <c r="L4335" s="80" t="str">
        <f aca="false">IF(AND(J4335&lt;&gt;"",K4335&lt;&gt;""),J4335*K4335,"")</f>
        <v/>
      </c>
      <c r="M4335" s="81" t="str">
        <f aca="false">IF(L4335&lt;&gt;"",L4335*1.1,"")</f>
        <v/>
      </c>
      <c r="N4335" s="47" t="n">
        <f aca="false">IF(F4335="S",L4335*0.02,0)</f>
        <v>0</v>
      </c>
      <c r="O4335" s="82" t="str">
        <f aca="false">IF(L4335&lt;&gt;"",L4335+N4335,"")</f>
        <v/>
      </c>
      <c r="P4335" s="47" t="str">
        <f aca="false">IF(O4335&lt;&gt;"",O4335*0.1,"")</f>
        <v/>
      </c>
      <c r="Q4335" s="83" t="str">
        <f aca="false">IF(O4335&lt;&gt;"",O4335+P4335,"")</f>
        <v/>
      </c>
      <c r="R4335" s="84"/>
    </row>
    <row r="4336" customFormat="false" ht="15" hidden="false" customHeight="true" outlineLevel="0" collapsed="false">
      <c r="A4336" s="103"/>
      <c r="B4336" s="73"/>
      <c r="C4336" s="74"/>
      <c r="D4336" s="75"/>
      <c r="E4336" s="52" t="str">
        <f aca="false">IF(D4336&lt;&gt;"",IFERROR(VLOOKUP(D4336,PROVEEDORES!$A:$B,2,0),"!COD NO ENCONTRADO"),"")</f>
        <v/>
      </c>
      <c r="F4336" s="76" t="str">
        <f aca="false">IF(D4336&lt;&gt;"",IFERROR(VLOOKUP(D4336,PROVEEDORES!$A:$C,3,0),""),"")</f>
        <v/>
      </c>
      <c r="G4336" s="75"/>
      <c r="H4336" s="52" t="str">
        <f aca="false">IF(G4336&lt;&gt;"",IFERROR(VLOOKUP(G4336,PRODUCTOS!$A:$B,2,0),"!COD NO ENCONTRADO"),"")</f>
        <v/>
      </c>
      <c r="I4336" s="77"/>
      <c r="J4336" s="78"/>
      <c r="K4336" s="79"/>
      <c r="L4336" s="80" t="str">
        <f aca="false">IF(AND(J4336&lt;&gt;"",K4336&lt;&gt;""),J4336*K4336,"")</f>
        <v/>
      </c>
      <c r="M4336" s="81" t="str">
        <f aca="false">IF(L4336&lt;&gt;"",L4336*1.1,"")</f>
        <v/>
      </c>
      <c r="N4336" s="53" t="n">
        <f aca="false">IF(F4336="S",L4336*0.02,0)</f>
        <v>0</v>
      </c>
      <c r="O4336" s="82" t="str">
        <f aca="false">IF(L4336&lt;&gt;"",L4336+N4336,"")</f>
        <v/>
      </c>
      <c r="P4336" s="53" t="str">
        <f aca="false">IF(O4336&lt;&gt;"",O4336*0.1,"")</f>
        <v/>
      </c>
      <c r="Q4336" s="83" t="str">
        <f aca="false">IF(O4336&lt;&gt;"",O4336+P4336,"")</f>
        <v/>
      </c>
      <c r="R4336" s="84"/>
    </row>
    <row r="4337" customFormat="false" ht="15" hidden="false" customHeight="true" outlineLevel="0" collapsed="false">
      <c r="A4337" s="103"/>
      <c r="B4337" s="85"/>
      <c r="C4337" s="86"/>
      <c r="D4337" s="87"/>
      <c r="E4337" s="46" t="str">
        <f aca="false">IF(D4337&lt;&gt;"",IFERROR(VLOOKUP(D4337,PROVEEDORES!$A:$B,2,0),"!COD NO ENCONTRADO"),"")</f>
        <v/>
      </c>
      <c r="F4337" s="88" t="str">
        <f aca="false">IF(D4337&lt;&gt;"",IFERROR(VLOOKUP(D4337,PROVEEDORES!$A:$C,3,0),""),"")</f>
        <v/>
      </c>
      <c r="G4337" s="87"/>
      <c r="H4337" s="46" t="str">
        <f aca="false">IF(G4337&lt;&gt;"",IFERROR(VLOOKUP(G4337,PRODUCTOS!$A:$B,2,0),"!COD NO ENCONTRADO"),"")</f>
        <v/>
      </c>
      <c r="I4337" s="89"/>
      <c r="J4337" s="90"/>
      <c r="K4337" s="91"/>
      <c r="L4337" s="80" t="str">
        <f aca="false">IF(AND(J4337&lt;&gt;"",K4337&lt;&gt;""),J4337*K4337,"")</f>
        <v/>
      </c>
      <c r="M4337" s="81" t="str">
        <f aca="false">IF(L4337&lt;&gt;"",L4337*1.1,"")</f>
        <v/>
      </c>
      <c r="N4337" s="47" t="n">
        <f aca="false">IF(F4337="S",L4337*0.02,0)</f>
        <v>0</v>
      </c>
      <c r="O4337" s="82" t="str">
        <f aca="false">IF(L4337&lt;&gt;"",L4337+N4337,"")</f>
        <v/>
      </c>
      <c r="P4337" s="47" t="str">
        <f aca="false">IF(O4337&lt;&gt;"",O4337*0.1,"")</f>
        <v/>
      </c>
      <c r="Q4337" s="83" t="str">
        <f aca="false">IF(O4337&lt;&gt;"",O4337+P4337,"")</f>
        <v/>
      </c>
      <c r="R4337" s="84"/>
    </row>
    <row r="4338" customFormat="false" ht="15" hidden="false" customHeight="true" outlineLevel="0" collapsed="false">
      <c r="A4338" s="103"/>
      <c r="B4338" s="73"/>
      <c r="C4338" s="74"/>
      <c r="D4338" s="75"/>
      <c r="E4338" s="52" t="str">
        <f aca="false">IF(D4338&lt;&gt;"",IFERROR(VLOOKUP(D4338,PROVEEDORES!$A:$B,2,0),"!COD NO ENCONTRADO"),"")</f>
        <v/>
      </c>
      <c r="F4338" s="76" t="str">
        <f aca="false">IF(D4338&lt;&gt;"",IFERROR(VLOOKUP(D4338,PROVEEDORES!$A:$C,3,0),""),"")</f>
        <v/>
      </c>
      <c r="G4338" s="75"/>
      <c r="H4338" s="52" t="str">
        <f aca="false">IF(G4338&lt;&gt;"",IFERROR(VLOOKUP(G4338,PRODUCTOS!$A:$B,2,0),"!COD NO ENCONTRADO"),"")</f>
        <v/>
      </c>
      <c r="I4338" s="77"/>
      <c r="J4338" s="78"/>
      <c r="K4338" s="79"/>
      <c r="L4338" s="80" t="str">
        <f aca="false">IF(AND(J4338&lt;&gt;"",K4338&lt;&gt;""),J4338*K4338,"")</f>
        <v/>
      </c>
      <c r="M4338" s="81" t="str">
        <f aca="false">IF(L4338&lt;&gt;"",L4338*1.1,"")</f>
        <v/>
      </c>
      <c r="N4338" s="53" t="n">
        <f aca="false">IF(F4338="S",L4338*0.02,0)</f>
        <v>0</v>
      </c>
      <c r="O4338" s="82" t="str">
        <f aca="false">IF(L4338&lt;&gt;"",L4338+N4338,"")</f>
        <v/>
      </c>
      <c r="P4338" s="53" t="str">
        <f aca="false">IF(O4338&lt;&gt;"",O4338*0.1,"")</f>
        <v/>
      </c>
      <c r="Q4338" s="83" t="str">
        <f aca="false">IF(O4338&lt;&gt;"",O4338+P4338,"")</f>
        <v/>
      </c>
      <c r="R4338" s="84"/>
    </row>
    <row r="4339" customFormat="false" ht="15" hidden="false" customHeight="true" outlineLevel="0" collapsed="false">
      <c r="A4339" s="103"/>
      <c r="B4339" s="85"/>
      <c r="C4339" s="86"/>
      <c r="D4339" s="87"/>
      <c r="E4339" s="46" t="str">
        <f aca="false">IF(D4339&lt;&gt;"",IFERROR(VLOOKUP(D4339,PROVEEDORES!$A:$B,2,0),"!COD NO ENCONTRADO"),"")</f>
        <v/>
      </c>
      <c r="F4339" s="88" t="str">
        <f aca="false">IF(D4339&lt;&gt;"",IFERROR(VLOOKUP(D4339,PROVEEDORES!$A:$C,3,0),""),"")</f>
        <v/>
      </c>
      <c r="G4339" s="87"/>
      <c r="H4339" s="46" t="str">
        <f aca="false">IF(G4339&lt;&gt;"",IFERROR(VLOOKUP(G4339,PRODUCTOS!$A:$B,2,0),"!COD NO ENCONTRADO"),"")</f>
        <v/>
      </c>
      <c r="I4339" s="89"/>
      <c r="J4339" s="90"/>
      <c r="K4339" s="91"/>
      <c r="L4339" s="80" t="str">
        <f aca="false">IF(AND(J4339&lt;&gt;"",K4339&lt;&gt;""),J4339*K4339,"")</f>
        <v/>
      </c>
      <c r="M4339" s="81" t="str">
        <f aca="false">IF(L4339&lt;&gt;"",L4339*1.1,"")</f>
        <v/>
      </c>
      <c r="N4339" s="47" t="n">
        <f aca="false">IF(F4339="S",L4339*0.02,0)</f>
        <v>0</v>
      </c>
      <c r="O4339" s="82" t="str">
        <f aca="false">IF(L4339&lt;&gt;"",L4339+N4339,"")</f>
        <v/>
      </c>
      <c r="P4339" s="47" t="str">
        <f aca="false">IF(O4339&lt;&gt;"",O4339*0.1,"")</f>
        <v/>
      </c>
      <c r="Q4339" s="83" t="str">
        <f aca="false">IF(O4339&lt;&gt;"",O4339+P4339,"")</f>
        <v/>
      </c>
      <c r="R4339" s="84"/>
    </row>
    <row r="4340" customFormat="false" ht="15" hidden="false" customHeight="true" outlineLevel="0" collapsed="false">
      <c r="A4340" s="103"/>
      <c r="B4340" s="73"/>
      <c r="C4340" s="74"/>
      <c r="D4340" s="75"/>
      <c r="E4340" s="52" t="str">
        <f aca="false">IF(D4340&lt;&gt;"",IFERROR(VLOOKUP(D4340,PROVEEDORES!$A:$B,2,0),"!COD NO ENCONTRADO"),"")</f>
        <v/>
      </c>
      <c r="F4340" s="76" t="str">
        <f aca="false">IF(D4340&lt;&gt;"",IFERROR(VLOOKUP(D4340,PROVEEDORES!$A:$C,3,0),""),"")</f>
        <v/>
      </c>
      <c r="G4340" s="75"/>
      <c r="H4340" s="52" t="str">
        <f aca="false">IF(G4340&lt;&gt;"",IFERROR(VLOOKUP(G4340,PRODUCTOS!$A:$B,2,0),"!COD NO ENCONTRADO"),"")</f>
        <v/>
      </c>
      <c r="I4340" s="77"/>
      <c r="J4340" s="78"/>
      <c r="K4340" s="79"/>
      <c r="L4340" s="80" t="str">
        <f aca="false">IF(AND(J4340&lt;&gt;"",K4340&lt;&gt;""),J4340*K4340,"")</f>
        <v/>
      </c>
      <c r="M4340" s="81" t="str">
        <f aca="false">IF(L4340&lt;&gt;"",L4340*1.1,"")</f>
        <v/>
      </c>
      <c r="N4340" s="53" t="n">
        <f aca="false">IF(F4340="S",L4340*0.02,0)</f>
        <v>0</v>
      </c>
      <c r="O4340" s="82" t="str">
        <f aca="false">IF(L4340&lt;&gt;"",L4340+N4340,"")</f>
        <v/>
      </c>
      <c r="P4340" s="53" t="str">
        <f aca="false">IF(O4340&lt;&gt;"",O4340*0.1,"")</f>
        <v/>
      </c>
      <c r="Q4340" s="83" t="str">
        <f aca="false">IF(O4340&lt;&gt;"",O4340+P4340,"")</f>
        <v/>
      </c>
      <c r="R4340" s="84"/>
    </row>
    <row r="4341" customFormat="false" ht="15" hidden="false" customHeight="true" outlineLevel="0" collapsed="false">
      <c r="A4341" s="103"/>
      <c r="B4341" s="85"/>
      <c r="C4341" s="86"/>
      <c r="D4341" s="87"/>
      <c r="E4341" s="46" t="str">
        <f aca="false">IF(D4341&lt;&gt;"",IFERROR(VLOOKUP(D4341,PROVEEDORES!$A:$B,2,0),"!COD NO ENCONTRADO"),"")</f>
        <v/>
      </c>
      <c r="F4341" s="88" t="str">
        <f aca="false">IF(D4341&lt;&gt;"",IFERROR(VLOOKUP(D4341,PROVEEDORES!$A:$C,3,0),""),"")</f>
        <v/>
      </c>
      <c r="G4341" s="87"/>
      <c r="H4341" s="46" t="str">
        <f aca="false">IF(G4341&lt;&gt;"",IFERROR(VLOOKUP(G4341,PRODUCTOS!$A:$B,2,0),"!COD NO ENCONTRADO"),"")</f>
        <v/>
      </c>
      <c r="I4341" s="89"/>
      <c r="J4341" s="90"/>
      <c r="K4341" s="91"/>
      <c r="L4341" s="80" t="str">
        <f aca="false">IF(AND(J4341&lt;&gt;"",K4341&lt;&gt;""),J4341*K4341,"")</f>
        <v/>
      </c>
      <c r="M4341" s="81" t="str">
        <f aca="false">IF(L4341&lt;&gt;"",L4341*1.1,"")</f>
        <v/>
      </c>
      <c r="N4341" s="47" t="n">
        <f aca="false">IF(F4341="S",L4341*0.02,0)</f>
        <v>0</v>
      </c>
      <c r="O4341" s="82" t="str">
        <f aca="false">IF(L4341&lt;&gt;"",L4341+N4341,"")</f>
        <v/>
      </c>
      <c r="P4341" s="47" t="str">
        <f aca="false">IF(O4341&lt;&gt;"",O4341*0.1,"")</f>
        <v/>
      </c>
      <c r="Q4341" s="83" t="str">
        <f aca="false">IF(O4341&lt;&gt;"",O4341+P4341,"")</f>
        <v/>
      </c>
      <c r="R4341" s="84"/>
    </row>
    <row r="4342" customFormat="false" ht="15" hidden="false" customHeight="true" outlineLevel="0" collapsed="false">
      <c r="A4342" s="103"/>
      <c r="B4342" s="73"/>
      <c r="C4342" s="74"/>
      <c r="D4342" s="75"/>
      <c r="E4342" s="52" t="str">
        <f aca="false">IF(D4342&lt;&gt;"",IFERROR(VLOOKUP(D4342,PROVEEDORES!$A:$B,2,0),"!COD NO ENCONTRADO"),"")</f>
        <v/>
      </c>
      <c r="F4342" s="76" t="str">
        <f aca="false">IF(D4342&lt;&gt;"",IFERROR(VLOOKUP(D4342,PROVEEDORES!$A:$C,3,0),""),"")</f>
        <v/>
      </c>
      <c r="G4342" s="75"/>
      <c r="H4342" s="52" t="str">
        <f aca="false">IF(G4342&lt;&gt;"",IFERROR(VLOOKUP(G4342,PRODUCTOS!$A:$B,2,0),"!COD NO ENCONTRADO"),"")</f>
        <v/>
      </c>
      <c r="I4342" s="77"/>
      <c r="J4342" s="78"/>
      <c r="K4342" s="79"/>
      <c r="L4342" s="80" t="str">
        <f aca="false">IF(AND(J4342&lt;&gt;"",K4342&lt;&gt;""),J4342*K4342,"")</f>
        <v/>
      </c>
      <c r="M4342" s="81" t="str">
        <f aca="false">IF(L4342&lt;&gt;"",L4342*1.1,"")</f>
        <v/>
      </c>
      <c r="N4342" s="53" t="n">
        <f aca="false">IF(F4342="S",L4342*0.02,0)</f>
        <v>0</v>
      </c>
      <c r="O4342" s="82" t="str">
        <f aca="false">IF(L4342&lt;&gt;"",L4342+N4342,"")</f>
        <v/>
      </c>
      <c r="P4342" s="53" t="str">
        <f aca="false">IF(O4342&lt;&gt;"",O4342*0.1,"")</f>
        <v/>
      </c>
      <c r="Q4342" s="83" t="str">
        <f aca="false">IF(O4342&lt;&gt;"",O4342+P4342,"")</f>
        <v/>
      </c>
      <c r="R4342" s="84"/>
    </row>
    <row r="4343" customFormat="false" ht="15" hidden="false" customHeight="true" outlineLevel="0" collapsed="false">
      <c r="A4343" s="103"/>
      <c r="B4343" s="85"/>
      <c r="C4343" s="86"/>
      <c r="D4343" s="87"/>
      <c r="E4343" s="46" t="str">
        <f aca="false">IF(D4343&lt;&gt;"",IFERROR(VLOOKUP(D4343,PROVEEDORES!$A:$B,2,0),"!COD NO ENCONTRADO"),"")</f>
        <v/>
      </c>
      <c r="F4343" s="88" t="str">
        <f aca="false">IF(D4343&lt;&gt;"",IFERROR(VLOOKUP(D4343,PROVEEDORES!$A:$C,3,0),""),"")</f>
        <v/>
      </c>
      <c r="G4343" s="87"/>
      <c r="H4343" s="46" t="str">
        <f aca="false">IF(G4343&lt;&gt;"",IFERROR(VLOOKUP(G4343,PRODUCTOS!$A:$B,2,0),"!COD NO ENCONTRADO"),"")</f>
        <v/>
      </c>
      <c r="I4343" s="89"/>
      <c r="J4343" s="90"/>
      <c r="K4343" s="91"/>
      <c r="L4343" s="80" t="str">
        <f aca="false">IF(AND(J4343&lt;&gt;"",K4343&lt;&gt;""),J4343*K4343,"")</f>
        <v/>
      </c>
      <c r="M4343" s="81" t="str">
        <f aca="false">IF(L4343&lt;&gt;"",L4343*1.1,"")</f>
        <v/>
      </c>
      <c r="N4343" s="47" t="n">
        <f aca="false">IF(F4343="S",L4343*0.02,0)</f>
        <v>0</v>
      </c>
      <c r="O4343" s="82" t="str">
        <f aca="false">IF(L4343&lt;&gt;"",L4343+N4343,"")</f>
        <v/>
      </c>
      <c r="P4343" s="47" t="str">
        <f aca="false">IF(O4343&lt;&gt;"",O4343*0.1,"")</f>
        <v/>
      </c>
      <c r="Q4343" s="83" t="str">
        <f aca="false">IF(O4343&lt;&gt;"",O4343+P4343,"")</f>
        <v/>
      </c>
      <c r="R4343" s="84"/>
    </row>
    <row r="4344" customFormat="false" ht="15" hidden="false" customHeight="true" outlineLevel="0" collapsed="false">
      <c r="A4344" s="103"/>
      <c r="B4344" s="73"/>
      <c r="C4344" s="74"/>
      <c r="D4344" s="75"/>
      <c r="E4344" s="52" t="str">
        <f aca="false">IF(D4344&lt;&gt;"",IFERROR(VLOOKUP(D4344,PROVEEDORES!$A:$B,2,0),"!COD NO ENCONTRADO"),"")</f>
        <v/>
      </c>
      <c r="F4344" s="76" t="str">
        <f aca="false">IF(D4344&lt;&gt;"",IFERROR(VLOOKUP(D4344,PROVEEDORES!$A:$C,3,0),""),"")</f>
        <v/>
      </c>
      <c r="G4344" s="75"/>
      <c r="H4344" s="52" t="str">
        <f aca="false">IF(G4344&lt;&gt;"",IFERROR(VLOOKUP(G4344,PRODUCTOS!$A:$B,2,0),"!COD NO ENCONTRADO"),"")</f>
        <v/>
      </c>
      <c r="I4344" s="77"/>
      <c r="J4344" s="78"/>
      <c r="K4344" s="79"/>
      <c r="L4344" s="80" t="str">
        <f aca="false">IF(AND(J4344&lt;&gt;"",K4344&lt;&gt;""),J4344*K4344,"")</f>
        <v/>
      </c>
      <c r="M4344" s="81" t="str">
        <f aca="false">IF(L4344&lt;&gt;"",L4344*1.1,"")</f>
        <v/>
      </c>
      <c r="N4344" s="53" t="n">
        <f aca="false">IF(F4344="S",L4344*0.02,0)</f>
        <v>0</v>
      </c>
      <c r="O4344" s="82" t="str">
        <f aca="false">IF(L4344&lt;&gt;"",L4344+N4344,"")</f>
        <v/>
      </c>
      <c r="P4344" s="53" t="str">
        <f aca="false">IF(O4344&lt;&gt;"",O4344*0.1,"")</f>
        <v/>
      </c>
      <c r="Q4344" s="83" t="str">
        <f aca="false">IF(O4344&lt;&gt;"",O4344+P4344,"")</f>
        <v/>
      </c>
      <c r="R4344" s="84"/>
    </row>
    <row r="4345" customFormat="false" ht="15" hidden="false" customHeight="true" outlineLevel="0" collapsed="false">
      <c r="A4345" s="103"/>
      <c r="B4345" s="85"/>
      <c r="C4345" s="86"/>
      <c r="D4345" s="87"/>
      <c r="E4345" s="46" t="str">
        <f aca="false">IF(D4345&lt;&gt;"",IFERROR(VLOOKUP(D4345,PROVEEDORES!$A:$B,2,0),"!COD NO ENCONTRADO"),"")</f>
        <v/>
      </c>
      <c r="F4345" s="88" t="str">
        <f aca="false">IF(D4345&lt;&gt;"",IFERROR(VLOOKUP(D4345,PROVEEDORES!$A:$C,3,0),""),"")</f>
        <v/>
      </c>
      <c r="G4345" s="87"/>
      <c r="H4345" s="46" t="str">
        <f aca="false">IF(G4345&lt;&gt;"",IFERROR(VLOOKUP(G4345,PRODUCTOS!$A:$B,2,0),"!COD NO ENCONTRADO"),"")</f>
        <v/>
      </c>
      <c r="I4345" s="89"/>
      <c r="J4345" s="90"/>
      <c r="K4345" s="91"/>
      <c r="L4345" s="80" t="str">
        <f aca="false">IF(AND(J4345&lt;&gt;"",K4345&lt;&gt;""),J4345*K4345,"")</f>
        <v/>
      </c>
      <c r="M4345" s="81" t="str">
        <f aca="false">IF(L4345&lt;&gt;"",L4345*1.1,"")</f>
        <v/>
      </c>
      <c r="N4345" s="47" t="n">
        <f aca="false">IF(F4345="S",L4345*0.02,0)</f>
        <v>0</v>
      </c>
      <c r="O4345" s="82" t="str">
        <f aca="false">IF(L4345&lt;&gt;"",L4345+N4345,"")</f>
        <v/>
      </c>
      <c r="P4345" s="47" t="str">
        <f aca="false">IF(O4345&lt;&gt;"",O4345*0.1,"")</f>
        <v/>
      </c>
      <c r="Q4345" s="83" t="str">
        <f aca="false">IF(O4345&lt;&gt;"",O4345+P4345,"")</f>
        <v/>
      </c>
      <c r="R4345" s="84"/>
    </row>
    <row r="4346" customFormat="false" ht="15" hidden="false" customHeight="true" outlineLevel="0" collapsed="false">
      <c r="A4346" s="103"/>
      <c r="B4346" s="73"/>
      <c r="C4346" s="74"/>
      <c r="D4346" s="75"/>
      <c r="E4346" s="52" t="str">
        <f aca="false">IF(D4346&lt;&gt;"",IFERROR(VLOOKUP(D4346,PROVEEDORES!$A:$B,2,0),"!COD NO ENCONTRADO"),"")</f>
        <v/>
      </c>
      <c r="F4346" s="76" t="str">
        <f aca="false">IF(D4346&lt;&gt;"",IFERROR(VLOOKUP(D4346,PROVEEDORES!$A:$C,3,0),""),"")</f>
        <v/>
      </c>
      <c r="G4346" s="75"/>
      <c r="H4346" s="52" t="str">
        <f aca="false">IF(G4346&lt;&gt;"",IFERROR(VLOOKUP(G4346,PRODUCTOS!$A:$B,2,0),"!COD NO ENCONTRADO"),"")</f>
        <v/>
      </c>
      <c r="I4346" s="77"/>
      <c r="J4346" s="78"/>
      <c r="K4346" s="79"/>
      <c r="L4346" s="80" t="str">
        <f aca="false">IF(AND(J4346&lt;&gt;"",K4346&lt;&gt;""),J4346*K4346,"")</f>
        <v/>
      </c>
      <c r="M4346" s="81" t="str">
        <f aca="false">IF(L4346&lt;&gt;"",L4346*1.1,"")</f>
        <v/>
      </c>
      <c r="N4346" s="53" t="n">
        <f aca="false">IF(F4346="S",L4346*0.02,0)</f>
        <v>0</v>
      </c>
      <c r="O4346" s="82" t="str">
        <f aca="false">IF(L4346&lt;&gt;"",L4346+N4346,"")</f>
        <v/>
      </c>
      <c r="P4346" s="53" t="str">
        <f aca="false">IF(O4346&lt;&gt;"",O4346*0.1,"")</f>
        <v/>
      </c>
      <c r="Q4346" s="83" t="str">
        <f aca="false">IF(O4346&lt;&gt;"",O4346+P4346,"")</f>
        <v/>
      </c>
      <c r="R4346" s="84"/>
    </row>
    <row r="4347" customFormat="false" ht="15" hidden="false" customHeight="true" outlineLevel="0" collapsed="false">
      <c r="A4347" s="103"/>
      <c r="B4347" s="85"/>
      <c r="C4347" s="86"/>
      <c r="D4347" s="87"/>
      <c r="E4347" s="46" t="str">
        <f aca="false">IF(D4347&lt;&gt;"",IFERROR(VLOOKUP(D4347,PROVEEDORES!$A:$B,2,0),"!COD NO ENCONTRADO"),"")</f>
        <v/>
      </c>
      <c r="F4347" s="88" t="str">
        <f aca="false">IF(D4347&lt;&gt;"",IFERROR(VLOOKUP(D4347,PROVEEDORES!$A:$C,3,0),""),"")</f>
        <v/>
      </c>
      <c r="G4347" s="87"/>
      <c r="H4347" s="46" t="str">
        <f aca="false">IF(G4347&lt;&gt;"",IFERROR(VLOOKUP(G4347,PRODUCTOS!$A:$B,2,0),"!COD NO ENCONTRADO"),"")</f>
        <v/>
      </c>
      <c r="I4347" s="89"/>
      <c r="J4347" s="90"/>
      <c r="K4347" s="91"/>
      <c r="L4347" s="80" t="str">
        <f aca="false">IF(AND(J4347&lt;&gt;"",K4347&lt;&gt;""),J4347*K4347,"")</f>
        <v/>
      </c>
      <c r="M4347" s="81" t="str">
        <f aca="false">IF(L4347&lt;&gt;"",L4347*1.1,"")</f>
        <v/>
      </c>
      <c r="N4347" s="47" t="n">
        <f aca="false">IF(F4347="S",L4347*0.02,0)</f>
        <v>0</v>
      </c>
      <c r="O4347" s="82" t="str">
        <f aca="false">IF(L4347&lt;&gt;"",L4347+N4347,"")</f>
        <v/>
      </c>
      <c r="P4347" s="47" t="str">
        <f aca="false">IF(O4347&lt;&gt;"",O4347*0.1,"")</f>
        <v/>
      </c>
      <c r="Q4347" s="83" t="str">
        <f aca="false">IF(O4347&lt;&gt;"",O4347+P4347,"")</f>
        <v/>
      </c>
      <c r="R4347" s="84"/>
    </row>
    <row r="4348" customFormat="false" ht="15" hidden="false" customHeight="true" outlineLevel="0" collapsed="false">
      <c r="A4348" s="103"/>
      <c r="B4348" s="73"/>
      <c r="C4348" s="74"/>
      <c r="D4348" s="75"/>
      <c r="E4348" s="52" t="str">
        <f aca="false">IF(D4348&lt;&gt;"",IFERROR(VLOOKUP(D4348,PROVEEDORES!$A:$B,2,0),"!COD NO ENCONTRADO"),"")</f>
        <v/>
      </c>
      <c r="F4348" s="76" t="str">
        <f aca="false">IF(D4348&lt;&gt;"",IFERROR(VLOOKUP(D4348,PROVEEDORES!$A:$C,3,0),""),"")</f>
        <v/>
      </c>
      <c r="G4348" s="75"/>
      <c r="H4348" s="52" t="str">
        <f aca="false">IF(G4348&lt;&gt;"",IFERROR(VLOOKUP(G4348,PRODUCTOS!$A:$B,2,0),"!COD NO ENCONTRADO"),"")</f>
        <v/>
      </c>
      <c r="I4348" s="77"/>
      <c r="J4348" s="78"/>
      <c r="K4348" s="79"/>
      <c r="L4348" s="80" t="str">
        <f aca="false">IF(AND(J4348&lt;&gt;"",K4348&lt;&gt;""),J4348*K4348,"")</f>
        <v/>
      </c>
      <c r="M4348" s="81" t="str">
        <f aca="false">IF(L4348&lt;&gt;"",L4348*1.1,"")</f>
        <v/>
      </c>
      <c r="N4348" s="53" t="n">
        <f aca="false">IF(F4348="S",L4348*0.02,0)</f>
        <v>0</v>
      </c>
      <c r="O4348" s="82" t="str">
        <f aca="false">IF(L4348&lt;&gt;"",L4348+N4348,"")</f>
        <v/>
      </c>
      <c r="P4348" s="53" t="str">
        <f aca="false">IF(O4348&lt;&gt;"",O4348*0.1,"")</f>
        <v/>
      </c>
      <c r="Q4348" s="83" t="str">
        <f aca="false">IF(O4348&lt;&gt;"",O4348+P4348,"")</f>
        <v/>
      </c>
      <c r="R4348" s="84"/>
    </row>
    <row r="4349" customFormat="false" ht="15" hidden="false" customHeight="true" outlineLevel="0" collapsed="false">
      <c r="A4349" s="103"/>
      <c r="B4349" s="85"/>
      <c r="C4349" s="86"/>
      <c r="D4349" s="87"/>
      <c r="E4349" s="46" t="str">
        <f aca="false">IF(D4349&lt;&gt;"",IFERROR(VLOOKUP(D4349,PROVEEDORES!$A:$B,2,0),"!COD NO ENCONTRADO"),"")</f>
        <v/>
      </c>
      <c r="F4349" s="88" t="str">
        <f aca="false">IF(D4349&lt;&gt;"",IFERROR(VLOOKUP(D4349,PROVEEDORES!$A:$C,3,0),""),"")</f>
        <v/>
      </c>
      <c r="G4349" s="87"/>
      <c r="H4349" s="46" t="str">
        <f aca="false">IF(G4349&lt;&gt;"",IFERROR(VLOOKUP(G4349,PRODUCTOS!$A:$B,2,0),"!COD NO ENCONTRADO"),"")</f>
        <v/>
      </c>
      <c r="I4349" s="89"/>
      <c r="J4349" s="90"/>
      <c r="K4349" s="91"/>
      <c r="L4349" s="80" t="str">
        <f aca="false">IF(AND(J4349&lt;&gt;"",K4349&lt;&gt;""),J4349*K4349,"")</f>
        <v/>
      </c>
      <c r="M4349" s="81" t="str">
        <f aca="false">IF(L4349&lt;&gt;"",L4349*1.1,"")</f>
        <v/>
      </c>
      <c r="N4349" s="47" t="n">
        <f aca="false">IF(F4349="S",L4349*0.02,0)</f>
        <v>0</v>
      </c>
      <c r="O4349" s="82" t="str">
        <f aca="false">IF(L4349&lt;&gt;"",L4349+N4349,"")</f>
        <v/>
      </c>
      <c r="P4349" s="47" t="str">
        <f aca="false">IF(O4349&lt;&gt;"",O4349*0.1,"")</f>
        <v/>
      </c>
      <c r="Q4349" s="83" t="str">
        <f aca="false">IF(O4349&lt;&gt;"",O4349+P4349,"")</f>
        <v/>
      </c>
      <c r="R4349" s="84"/>
    </row>
    <row r="4350" customFormat="false" ht="15" hidden="false" customHeight="true" outlineLevel="0" collapsed="false">
      <c r="A4350" s="103"/>
      <c r="B4350" s="73"/>
      <c r="C4350" s="74"/>
      <c r="D4350" s="75"/>
      <c r="E4350" s="52" t="str">
        <f aca="false">IF(D4350&lt;&gt;"",IFERROR(VLOOKUP(D4350,PROVEEDORES!$A:$B,2,0),"!COD NO ENCONTRADO"),"")</f>
        <v/>
      </c>
      <c r="F4350" s="76" t="str">
        <f aca="false">IF(D4350&lt;&gt;"",IFERROR(VLOOKUP(D4350,PROVEEDORES!$A:$C,3,0),""),"")</f>
        <v/>
      </c>
      <c r="G4350" s="75"/>
      <c r="H4350" s="52" t="str">
        <f aca="false">IF(G4350&lt;&gt;"",IFERROR(VLOOKUP(G4350,PRODUCTOS!$A:$B,2,0),"!COD NO ENCONTRADO"),"")</f>
        <v/>
      </c>
      <c r="I4350" s="77"/>
      <c r="J4350" s="78"/>
      <c r="K4350" s="79"/>
      <c r="L4350" s="80" t="str">
        <f aca="false">IF(AND(J4350&lt;&gt;"",K4350&lt;&gt;""),J4350*K4350,"")</f>
        <v/>
      </c>
      <c r="M4350" s="81" t="str">
        <f aca="false">IF(L4350&lt;&gt;"",L4350*1.1,"")</f>
        <v/>
      </c>
      <c r="N4350" s="53" t="n">
        <f aca="false">IF(F4350="S",L4350*0.02,0)</f>
        <v>0</v>
      </c>
      <c r="O4350" s="82" t="str">
        <f aca="false">IF(L4350&lt;&gt;"",L4350+N4350,"")</f>
        <v/>
      </c>
      <c r="P4350" s="53" t="str">
        <f aca="false">IF(O4350&lt;&gt;"",O4350*0.1,"")</f>
        <v/>
      </c>
      <c r="Q4350" s="83" t="str">
        <f aca="false">IF(O4350&lt;&gt;"",O4350+P4350,"")</f>
        <v/>
      </c>
      <c r="R4350" s="84"/>
    </row>
    <row r="4351" customFormat="false" ht="15" hidden="false" customHeight="true" outlineLevel="0" collapsed="false">
      <c r="A4351" s="103"/>
      <c r="B4351" s="85"/>
      <c r="C4351" s="86"/>
      <c r="D4351" s="87"/>
      <c r="E4351" s="46" t="str">
        <f aca="false">IF(D4351&lt;&gt;"",IFERROR(VLOOKUP(D4351,PROVEEDORES!$A:$B,2,0),"!COD NO ENCONTRADO"),"")</f>
        <v/>
      </c>
      <c r="F4351" s="88" t="str">
        <f aca="false">IF(D4351&lt;&gt;"",IFERROR(VLOOKUP(D4351,PROVEEDORES!$A:$C,3,0),""),"")</f>
        <v/>
      </c>
      <c r="G4351" s="87"/>
      <c r="H4351" s="46" t="str">
        <f aca="false">IF(G4351&lt;&gt;"",IFERROR(VLOOKUP(G4351,PRODUCTOS!$A:$B,2,0),"!COD NO ENCONTRADO"),"")</f>
        <v/>
      </c>
      <c r="I4351" s="89"/>
      <c r="J4351" s="90"/>
      <c r="K4351" s="91"/>
      <c r="L4351" s="80" t="str">
        <f aca="false">IF(AND(J4351&lt;&gt;"",K4351&lt;&gt;""),J4351*K4351,"")</f>
        <v/>
      </c>
      <c r="M4351" s="81" t="str">
        <f aca="false">IF(L4351&lt;&gt;"",L4351*1.1,"")</f>
        <v/>
      </c>
      <c r="N4351" s="47" t="n">
        <f aca="false">IF(F4351="S",L4351*0.02,0)</f>
        <v>0</v>
      </c>
      <c r="O4351" s="82" t="str">
        <f aca="false">IF(L4351&lt;&gt;"",L4351+N4351,"")</f>
        <v/>
      </c>
      <c r="P4351" s="47" t="str">
        <f aca="false">IF(O4351&lt;&gt;"",O4351*0.1,"")</f>
        <v/>
      </c>
      <c r="Q4351" s="83" t="str">
        <f aca="false">IF(O4351&lt;&gt;"",O4351+P4351,"")</f>
        <v/>
      </c>
      <c r="R4351" s="84"/>
    </row>
    <row r="4352" customFormat="false" ht="15" hidden="false" customHeight="true" outlineLevel="0" collapsed="false">
      <c r="A4352" s="103"/>
      <c r="B4352" s="73"/>
      <c r="C4352" s="74"/>
      <c r="D4352" s="75"/>
      <c r="E4352" s="52" t="str">
        <f aca="false">IF(D4352&lt;&gt;"",IFERROR(VLOOKUP(D4352,PROVEEDORES!$A:$B,2,0),"!COD NO ENCONTRADO"),"")</f>
        <v/>
      </c>
      <c r="F4352" s="76" t="str">
        <f aca="false">IF(D4352&lt;&gt;"",IFERROR(VLOOKUP(D4352,PROVEEDORES!$A:$C,3,0),""),"")</f>
        <v/>
      </c>
      <c r="G4352" s="75"/>
      <c r="H4352" s="52" t="str">
        <f aca="false">IF(G4352&lt;&gt;"",IFERROR(VLOOKUP(G4352,PRODUCTOS!$A:$B,2,0),"!COD NO ENCONTRADO"),"")</f>
        <v/>
      </c>
      <c r="I4352" s="77"/>
      <c r="J4352" s="78"/>
      <c r="K4352" s="79"/>
      <c r="L4352" s="80" t="str">
        <f aca="false">IF(AND(J4352&lt;&gt;"",K4352&lt;&gt;""),J4352*K4352,"")</f>
        <v/>
      </c>
      <c r="M4352" s="81" t="str">
        <f aca="false">IF(L4352&lt;&gt;"",L4352*1.1,"")</f>
        <v/>
      </c>
      <c r="N4352" s="53" t="n">
        <f aca="false">IF(F4352="S",L4352*0.02,0)</f>
        <v>0</v>
      </c>
      <c r="O4352" s="82" t="str">
        <f aca="false">IF(L4352&lt;&gt;"",L4352+N4352,"")</f>
        <v/>
      </c>
      <c r="P4352" s="53" t="str">
        <f aca="false">IF(O4352&lt;&gt;"",O4352*0.1,"")</f>
        <v/>
      </c>
      <c r="Q4352" s="83" t="str">
        <f aca="false">IF(O4352&lt;&gt;"",O4352+P4352,"")</f>
        <v/>
      </c>
      <c r="R4352" s="84"/>
    </row>
    <row r="4353" customFormat="false" ht="15" hidden="false" customHeight="true" outlineLevel="0" collapsed="false">
      <c r="A4353" s="103"/>
      <c r="B4353" s="85"/>
      <c r="C4353" s="86"/>
      <c r="D4353" s="87"/>
      <c r="E4353" s="46" t="str">
        <f aca="false">IF(D4353&lt;&gt;"",IFERROR(VLOOKUP(D4353,PROVEEDORES!$A:$B,2,0),"!COD NO ENCONTRADO"),"")</f>
        <v/>
      </c>
      <c r="F4353" s="88" t="str">
        <f aca="false">IF(D4353&lt;&gt;"",IFERROR(VLOOKUP(D4353,PROVEEDORES!$A:$C,3,0),""),"")</f>
        <v/>
      </c>
      <c r="G4353" s="87"/>
      <c r="H4353" s="46" t="str">
        <f aca="false">IF(G4353&lt;&gt;"",IFERROR(VLOOKUP(G4353,PRODUCTOS!$A:$B,2,0),"!COD NO ENCONTRADO"),"")</f>
        <v/>
      </c>
      <c r="I4353" s="89"/>
      <c r="J4353" s="90"/>
      <c r="K4353" s="91"/>
      <c r="L4353" s="80" t="str">
        <f aca="false">IF(AND(J4353&lt;&gt;"",K4353&lt;&gt;""),J4353*K4353,"")</f>
        <v/>
      </c>
      <c r="M4353" s="81" t="str">
        <f aca="false">IF(L4353&lt;&gt;"",L4353*1.1,"")</f>
        <v/>
      </c>
      <c r="N4353" s="47" t="n">
        <f aca="false">IF(F4353="S",L4353*0.02,0)</f>
        <v>0</v>
      </c>
      <c r="O4353" s="82" t="str">
        <f aca="false">IF(L4353&lt;&gt;"",L4353+N4353,"")</f>
        <v/>
      </c>
      <c r="P4353" s="47" t="str">
        <f aca="false">IF(O4353&lt;&gt;"",O4353*0.1,"")</f>
        <v/>
      </c>
      <c r="Q4353" s="83" t="str">
        <f aca="false">IF(O4353&lt;&gt;"",O4353+P4353,"")</f>
        <v/>
      </c>
      <c r="R4353" s="84"/>
    </row>
    <row r="4354" customFormat="false" ht="15" hidden="false" customHeight="true" outlineLevel="0" collapsed="false">
      <c r="A4354" s="103"/>
      <c r="B4354" s="73"/>
      <c r="C4354" s="74"/>
      <c r="D4354" s="75"/>
      <c r="E4354" s="52" t="str">
        <f aca="false">IF(D4354&lt;&gt;"",IFERROR(VLOOKUP(D4354,PROVEEDORES!$A:$B,2,0),"!COD NO ENCONTRADO"),"")</f>
        <v/>
      </c>
      <c r="F4354" s="76" t="str">
        <f aca="false">IF(D4354&lt;&gt;"",IFERROR(VLOOKUP(D4354,PROVEEDORES!$A:$C,3,0),""),"")</f>
        <v/>
      </c>
      <c r="G4354" s="75"/>
      <c r="H4354" s="52" t="str">
        <f aca="false">IF(G4354&lt;&gt;"",IFERROR(VLOOKUP(G4354,PRODUCTOS!$A:$B,2,0),"!COD NO ENCONTRADO"),"")</f>
        <v/>
      </c>
      <c r="I4354" s="77"/>
      <c r="J4354" s="78"/>
      <c r="K4354" s="79"/>
      <c r="L4354" s="80" t="str">
        <f aca="false">IF(AND(J4354&lt;&gt;"",K4354&lt;&gt;""),J4354*K4354,"")</f>
        <v/>
      </c>
      <c r="M4354" s="81" t="str">
        <f aca="false">IF(L4354&lt;&gt;"",L4354*1.1,"")</f>
        <v/>
      </c>
      <c r="N4354" s="53" t="n">
        <f aca="false">IF(F4354="S",L4354*0.02,0)</f>
        <v>0</v>
      </c>
      <c r="O4354" s="82" t="str">
        <f aca="false">IF(L4354&lt;&gt;"",L4354+N4354,"")</f>
        <v/>
      </c>
      <c r="P4354" s="53" t="str">
        <f aca="false">IF(O4354&lt;&gt;"",O4354*0.1,"")</f>
        <v/>
      </c>
      <c r="Q4354" s="83" t="str">
        <f aca="false">IF(O4354&lt;&gt;"",O4354+P4354,"")</f>
        <v/>
      </c>
      <c r="R4354" s="84"/>
    </row>
    <row r="4355" customFormat="false" ht="15" hidden="false" customHeight="true" outlineLevel="0" collapsed="false">
      <c r="A4355" s="103"/>
      <c r="B4355" s="85"/>
      <c r="C4355" s="86"/>
      <c r="D4355" s="87"/>
      <c r="E4355" s="46" t="str">
        <f aca="false">IF(D4355&lt;&gt;"",IFERROR(VLOOKUP(D4355,PROVEEDORES!$A:$B,2,0),"!COD NO ENCONTRADO"),"")</f>
        <v/>
      </c>
      <c r="F4355" s="88" t="str">
        <f aca="false">IF(D4355&lt;&gt;"",IFERROR(VLOOKUP(D4355,PROVEEDORES!$A:$C,3,0),""),"")</f>
        <v/>
      </c>
      <c r="G4355" s="87"/>
      <c r="H4355" s="46" t="str">
        <f aca="false">IF(G4355&lt;&gt;"",IFERROR(VLOOKUP(G4355,PRODUCTOS!$A:$B,2,0),"!COD NO ENCONTRADO"),"")</f>
        <v/>
      </c>
      <c r="I4355" s="89"/>
      <c r="J4355" s="90"/>
      <c r="K4355" s="91"/>
      <c r="L4355" s="80" t="str">
        <f aca="false">IF(AND(J4355&lt;&gt;"",K4355&lt;&gt;""),J4355*K4355,"")</f>
        <v/>
      </c>
      <c r="M4355" s="81" t="str">
        <f aca="false">IF(L4355&lt;&gt;"",L4355*1.1,"")</f>
        <v/>
      </c>
      <c r="N4355" s="47" t="n">
        <f aca="false">IF(F4355="S",L4355*0.02,0)</f>
        <v>0</v>
      </c>
      <c r="O4355" s="82" t="str">
        <f aca="false">IF(L4355&lt;&gt;"",L4355+N4355,"")</f>
        <v/>
      </c>
      <c r="P4355" s="47" t="str">
        <f aca="false">IF(O4355&lt;&gt;"",O4355*0.1,"")</f>
        <v/>
      </c>
      <c r="Q4355" s="83" t="str">
        <f aca="false">IF(O4355&lt;&gt;"",O4355+P4355,"")</f>
        <v/>
      </c>
      <c r="R4355" s="84"/>
    </row>
    <row r="4356" customFormat="false" ht="15" hidden="false" customHeight="true" outlineLevel="0" collapsed="false">
      <c r="A4356" s="103"/>
      <c r="B4356" s="73"/>
      <c r="C4356" s="74"/>
      <c r="D4356" s="75"/>
      <c r="E4356" s="52" t="str">
        <f aca="false">IF(D4356&lt;&gt;"",IFERROR(VLOOKUP(D4356,PROVEEDORES!$A:$B,2,0),"!COD NO ENCONTRADO"),"")</f>
        <v/>
      </c>
      <c r="F4356" s="76" t="str">
        <f aca="false">IF(D4356&lt;&gt;"",IFERROR(VLOOKUP(D4356,PROVEEDORES!$A:$C,3,0),""),"")</f>
        <v/>
      </c>
      <c r="G4356" s="75"/>
      <c r="H4356" s="52" t="str">
        <f aca="false">IF(G4356&lt;&gt;"",IFERROR(VLOOKUP(G4356,PRODUCTOS!$A:$B,2,0),"!COD NO ENCONTRADO"),"")</f>
        <v/>
      </c>
      <c r="I4356" s="77"/>
      <c r="J4356" s="78"/>
      <c r="K4356" s="79"/>
      <c r="L4356" s="80" t="str">
        <f aca="false">IF(AND(J4356&lt;&gt;"",K4356&lt;&gt;""),J4356*K4356,"")</f>
        <v/>
      </c>
      <c r="M4356" s="81" t="str">
        <f aca="false">IF(L4356&lt;&gt;"",L4356*1.1,"")</f>
        <v/>
      </c>
      <c r="N4356" s="53" t="n">
        <f aca="false">IF(F4356="S",L4356*0.02,0)</f>
        <v>0</v>
      </c>
      <c r="O4356" s="82" t="str">
        <f aca="false">IF(L4356&lt;&gt;"",L4356+N4356,"")</f>
        <v/>
      </c>
      <c r="P4356" s="53" t="str">
        <f aca="false">IF(O4356&lt;&gt;"",O4356*0.1,"")</f>
        <v/>
      </c>
      <c r="Q4356" s="83" t="str">
        <f aca="false">IF(O4356&lt;&gt;"",O4356+P4356,"")</f>
        <v/>
      </c>
      <c r="R4356" s="84"/>
    </row>
    <row r="4357" customFormat="false" ht="15" hidden="false" customHeight="true" outlineLevel="0" collapsed="false">
      <c r="A4357" s="103"/>
      <c r="B4357" s="85"/>
      <c r="C4357" s="86"/>
      <c r="D4357" s="87"/>
      <c r="E4357" s="46" t="str">
        <f aca="false">IF(D4357&lt;&gt;"",IFERROR(VLOOKUP(D4357,PROVEEDORES!$A:$B,2,0),"!COD NO ENCONTRADO"),"")</f>
        <v/>
      </c>
      <c r="F4357" s="88" t="str">
        <f aca="false">IF(D4357&lt;&gt;"",IFERROR(VLOOKUP(D4357,PROVEEDORES!$A:$C,3,0),""),"")</f>
        <v/>
      </c>
      <c r="G4357" s="87"/>
      <c r="H4357" s="46" t="str">
        <f aca="false">IF(G4357&lt;&gt;"",IFERROR(VLOOKUP(G4357,PRODUCTOS!$A:$B,2,0),"!COD NO ENCONTRADO"),"")</f>
        <v/>
      </c>
      <c r="I4357" s="89"/>
      <c r="J4357" s="90"/>
      <c r="K4357" s="91"/>
      <c r="L4357" s="80" t="str">
        <f aca="false">IF(AND(J4357&lt;&gt;"",K4357&lt;&gt;""),J4357*K4357,"")</f>
        <v/>
      </c>
      <c r="M4357" s="81" t="str">
        <f aca="false">IF(L4357&lt;&gt;"",L4357*1.1,"")</f>
        <v/>
      </c>
      <c r="N4357" s="47" t="n">
        <f aca="false">IF(F4357="S",L4357*0.02,0)</f>
        <v>0</v>
      </c>
      <c r="O4357" s="82" t="str">
        <f aca="false">IF(L4357&lt;&gt;"",L4357+N4357,"")</f>
        <v/>
      </c>
      <c r="P4357" s="47" t="str">
        <f aca="false">IF(O4357&lt;&gt;"",O4357*0.1,"")</f>
        <v/>
      </c>
      <c r="Q4357" s="83" t="str">
        <f aca="false">IF(O4357&lt;&gt;"",O4357+P4357,"")</f>
        <v/>
      </c>
      <c r="R4357" s="84"/>
    </row>
    <row r="4358" customFormat="false" ht="15" hidden="false" customHeight="true" outlineLevel="0" collapsed="false">
      <c r="A4358" s="103"/>
      <c r="B4358" s="73"/>
      <c r="C4358" s="74"/>
      <c r="D4358" s="75"/>
      <c r="E4358" s="52" t="str">
        <f aca="false">IF(D4358&lt;&gt;"",IFERROR(VLOOKUP(D4358,PROVEEDORES!$A:$B,2,0),"!COD NO ENCONTRADO"),"")</f>
        <v/>
      </c>
      <c r="F4358" s="76" t="str">
        <f aca="false">IF(D4358&lt;&gt;"",IFERROR(VLOOKUP(D4358,PROVEEDORES!$A:$C,3,0),""),"")</f>
        <v/>
      </c>
      <c r="G4358" s="75"/>
      <c r="H4358" s="52" t="str">
        <f aca="false">IF(G4358&lt;&gt;"",IFERROR(VLOOKUP(G4358,PRODUCTOS!$A:$B,2,0),"!COD NO ENCONTRADO"),"")</f>
        <v/>
      </c>
      <c r="I4358" s="77"/>
      <c r="J4358" s="78"/>
      <c r="K4358" s="79"/>
      <c r="L4358" s="80" t="str">
        <f aca="false">IF(AND(J4358&lt;&gt;"",K4358&lt;&gt;""),J4358*K4358,"")</f>
        <v/>
      </c>
      <c r="M4358" s="81" t="str">
        <f aca="false">IF(L4358&lt;&gt;"",L4358*1.1,"")</f>
        <v/>
      </c>
      <c r="N4358" s="53" t="n">
        <f aca="false">IF(F4358="S",L4358*0.02,0)</f>
        <v>0</v>
      </c>
      <c r="O4358" s="82" t="str">
        <f aca="false">IF(L4358&lt;&gt;"",L4358+N4358,"")</f>
        <v/>
      </c>
      <c r="P4358" s="53" t="str">
        <f aca="false">IF(O4358&lt;&gt;"",O4358*0.1,"")</f>
        <v/>
      </c>
      <c r="Q4358" s="83" t="str">
        <f aca="false">IF(O4358&lt;&gt;"",O4358+P4358,"")</f>
        <v/>
      </c>
      <c r="R4358" s="84"/>
    </row>
    <row r="4359" customFormat="false" ht="15" hidden="false" customHeight="true" outlineLevel="0" collapsed="false">
      <c r="A4359" s="103"/>
      <c r="B4359" s="85"/>
      <c r="C4359" s="86"/>
      <c r="D4359" s="87"/>
      <c r="E4359" s="46" t="str">
        <f aca="false">IF(D4359&lt;&gt;"",IFERROR(VLOOKUP(D4359,PROVEEDORES!$A:$B,2,0),"!COD NO ENCONTRADO"),"")</f>
        <v/>
      </c>
      <c r="F4359" s="88" t="str">
        <f aca="false">IF(D4359&lt;&gt;"",IFERROR(VLOOKUP(D4359,PROVEEDORES!$A:$C,3,0),""),"")</f>
        <v/>
      </c>
      <c r="G4359" s="87"/>
      <c r="H4359" s="46" t="str">
        <f aca="false">IF(G4359&lt;&gt;"",IFERROR(VLOOKUP(G4359,PRODUCTOS!$A:$B,2,0),"!COD NO ENCONTRADO"),"")</f>
        <v/>
      </c>
      <c r="I4359" s="89"/>
      <c r="J4359" s="90"/>
      <c r="K4359" s="91"/>
      <c r="L4359" s="80" t="str">
        <f aca="false">IF(AND(J4359&lt;&gt;"",K4359&lt;&gt;""),J4359*K4359,"")</f>
        <v/>
      </c>
      <c r="M4359" s="81" t="str">
        <f aca="false">IF(L4359&lt;&gt;"",L4359*1.1,"")</f>
        <v/>
      </c>
      <c r="N4359" s="47" t="n">
        <f aca="false">IF(F4359="S",L4359*0.02,0)</f>
        <v>0</v>
      </c>
      <c r="O4359" s="82" t="str">
        <f aca="false">IF(L4359&lt;&gt;"",L4359+N4359,"")</f>
        <v/>
      </c>
      <c r="P4359" s="47" t="str">
        <f aca="false">IF(O4359&lt;&gt;"",O4359*0.1,"")</f>
        <v/>
      </c>
      <c r="Q4359" s="83" t="str">
        <f aca="false">IF(O4359&lt;&gt;"",O4359+P4359,"")</f>
        <v/>
      </c>
      <c r="R4359" s="84"/>
    </row>
    <row r="4360" customFormat="false" ht="15" hidden="false" customHeight="true" outlineLevel="0" collapsed="false">
      <c r="A4360" s="103"/>
      <c r="B4360" s="73"/>
      <c r="C4360" s="74"/>
      <c r="D4360" s="75"/>
      <c r="E4360" s="52" t="str">
        <f aca="false">IF(D4360&lt;&gt;"",IFERROR(VLOOKUP(D4360,PROVEEDORES!$A:$B,2,0),"!COD NO ENCONTRADO"),"")</f>
        <v/>
      </c>
      <c r="F4360" s="76" t="str">
        <f aca="false">IF(D4360&lt;&gt;"",IFERROR(VLOOKUP(D4360,PROVEEDORES!$A:$C,3,0),""),"")</f>
        <v/>
      </c>
      <c r="G4360" s="75"/>
      <c r="H4360" s="52" t="str">
        <f aca="false">IF(G4360&lt;&gt;"",IFERROR(VLOOKUP(G4360,PRODUCTOS!$A:$B,2,0),"!COD NO ENCONTRADO"),"")</f>
        <v/>
      </c>
      <c r="I4360" s="77"/>
      <c r="J4360" s="78"/>
      <c r="K4360" s="79"/>
      <c r="L4360" s="80" t="str">
        <f aca="false">IF(AND(J4360&lt;&gt;"",K4360&lt;&gt;""),J4360*K4360,"")</f>
        <v/>
      </c>
      <c r="M4360" s="81" t="str">
        <f aca="false">IF(L4360&lt;&gt;"",L4360*1.1,"")</f>
        <v/>
      </c>
      <c r="N4360" s="53" t="n">
        <f aca="false">IF(F4360="S",L4360*0.02,0)</f>
        <v>0</v>
      </c>
      <c r="O4360" s="82" t="str">
        <f aca="false">IF(L4360&lt;&gt;"",L4360+N4360,"")</f>
        <v/>
      </c>
      <c r="P4360" s="53" t="str">
        <f aca="false">IF(O4360&lt;&gt;"",O4360*0.1,"")</f>
        <v/>
      </c>
      <c r="Q4360" s="83" t="str">
        <f aca="false">IF(O4360&lt;&gt;"",O4360+P4360,"")</f>
        <v/>
      </c>
      <c r="R4360" s="84"/>
    </row>
    <row r="4361" customFormat="false" ht="15" hidden="false" customHeight="true" outlineLevel="0" collapsed="false">
      <c r="A4361" s="103"/>
      <c r="B4361" s="85"/>
      <c r="C4361" s="86"/>
      <c r="D4361" s="87"/>
      <c r="E4361" s="46" t="str">
        <f aca="false">IF(D4361&lt;&gt;"",IFERROR(VLOOKUP(D4361,PROVEEDORES!$A:$B,2,0),"!COD NO ENCONTRADO"),"")</f>
        <v/>
      </c>
      <c r="F4361" s="88" t="str">
        <f aca="false">IF(D4361&lt;&gt;"",IFERROR(VLOOKUP(D4361,PROVEEDORES!$A:$C,3,0),""),"")</f>
        <v/>
      </c>
      <c r="G4361" s="87"/>
      <c r="H4361" s="46" t="str">
        <f aca="false">IF(G4361&lt;&gt;"",IFERROR(VLOOKUP(G4361,PRODUCTOS!$A:$B,2,0),"!COD NO ENCONTRADO"),"")</f>
        <v/>
      </c>
      <c r="I4361" s="89"/>
      <c r="J4361" s="90"/>
      <c r="K4361" s="91"/>
      <c r="L4361" s="80" t="str">
        <f aca="false">IF(AND(J4361&lt;&gt;"",K4361&lt;&gt;""),J4361*K4361,"")</f>
        <v/>
      </c>
      <c r="M4361" s="81" t="str">
        <f aca="false">IF(L4361&lt;&gt;"",L4361*1.1,"")</f>
        <v/>
      </c>
      <c r="N4361" s="47" t="n">
        <f aca="false">IF(F4361="S",L4361*0.02,0)</f>
        <v>0</v>
      </c>
      <c r="O4361" s="82" t="str">
        <f aca="false">IF(L4361&lt;&gt;"",L4361+N4361,"")</f>
        <v/>
      </c>
      <c r="P4361" s="47" t="str">
        <f aca="false">IF(O4361&lt;&gt;"",O4361*0.1,"")</f>
        <v/>
      </c>
      <c r="Q4361" s="83" t="str">
        <f aca="false">IF(O4361&lt;&gt;"",O4361+P4361,"")</f>
        <v/>
      </c>
      <c r="R4361" s="84"/>
    </row>
    <row r="4362" customFormat="false" ht="15" hidden="false" customHeight="true" outlineLevel="0" collapsed="false">
      <c r="A4362" s="103"/>
      <c r="B4362" s="73"/>
      <c r="C4362" s="74"/>
      <c r="D4362" s="75"/>
      <c r="E4362" s="52" t="str">
        <f aca="false">IF(D4362&lt;&gt;"",IFERROR(VLOOKUP(D4362,PROVEEDORES!$A:$B,2,0),"!COD NO ENCONTRADO"),"")</f>
        <v/>
      </c>
      <c r="F4362" s="76" t="str">
        <f aca="false">IF(D4362&lt;&gt;"",IFERROR(VLOOKUP(D4362,PROVEEDORES!$A:$C,3,0),""),"")</f>
        <v/>
      </c>
      <c r="G4362" s="75"/>
      <c r="H4362" s="52" t="str">
        <f aca="false">IF(G4362&lt;&gt;"",IFERROR(VLOOKUP(G4362,PRODUCTOS!$A:$B,2,0),"!COD NO ENCONTRADO"),"")</f>
        <v/>
      </c>
      <c r="I4362" s="77"/>
      <c r="J4362" s="78"/>
      <c r="K4362" s="79"/>
      <c r="L4362" s="80" t="str">
        <f aca="false">IF(AND(J4362&lt;&gt;"",K4362&lt;&gt;""),J4362*K4362,"")</f>
        <v/>
      </c>
      <c r="M4362" s="81" t="str">
        <f aca="false">IF(L4362&lt;&gt;"",L4362*1.1,"")</f>
        <v/>
      </c>
      <c r="N4362" s="53" t="n">
        <f aca="false">IF(F4362="S",L4362*0.02,0)</f>
        <v>0</v>
      </c>
      <c r="O4362" s="82" t="str">
        <f aca="false">IF(L4362&lt;&gt;"",L4362+N4362,"")</f>
        <v/>
      </c>
      <c r="P4362" s="53" t="str">
        <f aca="false">IF(O4362&lt;&gt;"",O4362*0.1,"")</f>
        <v/>
      </c>
      <c r="Q4362" s="83" t="str">
        <f aca="false">IF(O4362&lt;&gt;"",O4362+P4362,"")</f>
        <v/>
      </c>
      <c r="R4362" s="84"/>
    </row>
    <row r="4363" customFormat="false" ht="15" hidden="false" customHeight="true" outlineLevel="0" collapsed="false">
      <c r="A4363" s="103"/>
      <c r="B4363" s="85"/>
      <c r="C4363" s="86"/>
      <c r="D4363" s="87"/>
      <c r="E4363" s="46" t="str">
        <f aca="false">IF(D4363&lt;&gt;"",IFERROR(VLOOKUP(D4363,PROVEEDORES!$A:$B,2,0),"!COD NO ENCONTRADO"),"")</f>
        <v/>
      </c>
      <c r="F4363" s="88" t="str">
        <f aca="false">IF(D4363&lt;&gt;"",IFERROR(VLOOKUP(D4363,PROVEEDORES!$A:$C,3,0),""),"")</f>
        <v/>
      </c>
      <c r="G4363" s="87"/>
      <c r="H4363" s="46" t="str">
        <f aca="false">IF(G4363&lt;&gt;"",IFERROR(VLOOKUP(G4363,PRODUCTOS!$A:$B,2,0),"!COD NO ENCONTRADO"),"")</f>
        <v/>
      </c>
      <c r="I4363" s="89"/>
      <c r="J4363" s="90"/>
      <c r="K4363" s="91"/>
      <c r="L4363" s="80" t="str">
        <f aca="false">IF(AND(J4363&lt;&gt;"",K4363&lt;&gt;""),J4363*K4363,"")</f>
        <v/>
      </c>
      <c r="M4363" s="81" t="str">
        <f aca="false">IF(L4363&lt;&gt;"",L4363*1.1,"")</f>
        <v/>
      </c>
      <c r="N4363" s="47" t="n">
        <f aca="false">IF(F4363="S",L4363*0.02,0)</f>
        <v>0</v>
      </c>
      <c r="O4363" s="82" t="str">
        <f aca="false">IF(L4363&lt;&gt;"",L4363+N4363,"")</f>
        <v/>
      </c>
      <c r="P4363" s="47" t="str">
        <f aca="false">IF(O4363&lt;&gt;"",O4363*0.1,"")</f>
        <v/>
      </c>
      <c r="Q4363" s="83" t="str">
        <f aca="false">IF(O4363&lt;&gt;"",O4363+P4363,"")</f>
        <v/>
      </c>
      <c r="R4363" s="84"/>
    </row>
    <row r="4364" customFormat="false" ht="15" hidden="false" customHeight="true" outlineLevel="0" collapsed="false">
      <c r="A4364" s="103"/>
      <c r="B4364" s="73"/>
      <c r="C4364" s="74"/>
      <c r="D4364" s="75"/>
      <c r="E4364" s="52" t="str">
        <f aca="false">IF(D4364&lt;&gt;"",IFERROR(VLOOKUP(D4364,PROVEEDORES!$A:$B,2,0),"!COD NO ENCONTRADO"),"")</f>
        <v/>
      </c>
      <c r="F4364" s="76" t="str">
        <f aca="false">IF(D4364&lt;&gt;"",IFERROR(VLOOKUP(D4364,PROVEEDORES!$A:$C,3,0),""),"")</f>
        <v/>
      </c>
      <c r="G4364" s="75"/>
      <c r="H4364" s="52" t="str">
        <f aca="false">IF(G4364&lt;&gt;"",IFERROR(VLOOKUP(G4364,PRODUCTOS!$A:$B,2,0),"!COD NO ENCONTRADO"),"")</f>
        <v/>
      </c>
      <c r="I4364" s="77"/>
      <c r="J4364" s="78"/>
      <c r="K4364" s="79"/>
      <c r="L4364" s="80" t="str">
        <f aca="false">IF(AND(J4364&lt;&gt;"",K4364&lt;&gt;""),J4364*K4364,"")</f>
        <v/>
      </c>
      <c r="M4364" s="81" t="str">
        <f aca="false">IF(L4364&lt;&gt;"",L4364*1.1,"")</f>
        <v/>
      </c>
      <c r="N4364" s="53" t="n">
        <f aca="false">IF(F4364="S",L4364*0.02,0)</f>
        <v>0</v>
      </c>
      <c r="O4364" s="82" t="str">
        <f aca="false">IF(L4364&lt;&gt;"",L4364+N4364,"")</f>
        <v/>
      </c>
      <c r="P4364" s="53" t="str">
        <f aca="false">IF(O4364&lt;&gt;"",O4364*0.1,"")</f>
        <v/>
      </c>
      <c r="Q4364" s="83" t="str">
        <f aca="false">IF(O4364&lt;&gt;"",O4364+P4364,"")</f>
        <v/>
      </c>
      <c r="R4364" s="84"/>
    </row>
    <row r="4365" customFormat="false" ht="15" hidden="false" customHeight="true" outlineLevel="0" collapsed="false">
      <c r="A4365" s="103"/>
      <c r="B4365" s="85"/>
      <c r="C4365" s="86"/>
      <c r="D4365" s="87"/>
      <c r="E4365" s="46" t="str">
        <f aca="false">IF(D4365&lt;&gt;"",IFERROR(VLOOKUP(D4365,PROVEEDORES!$A:$B,2,0),"!COD NO ENCONTRADO"),"")</f>
        <v/>
      </c>
      <c r="F4365" s="88" t="str">
        <f aca="false">IF(D4365&lt;&gt;"",IFERROR(VLOOKUP(D4365,PROVEEDORES!$A:$C,3,0),""),"")</f>
        <v/>
      </c>
      <c r="G4365" s="87"/>
      <c r="H4365" s="46" t="str">
        <f aca="false">IF(G4365&lt;&gt;"",IFERROR(VLOOKUP(G4365,PRODUCTOS!$A:$B,2,0),"!COD NO ENCONTRADO"),"")</f>
        <v/>
      </c>
      <c r="I4365" s="89"/>
      <c r="J4365" s="90"/>
      <c r="K4365" s="91"/>
      <c r="L4365" s="80" t="str">
        <f aca="false">IF(AND(J4365&lt;&gt;"",K4365&lt;&gt;""),J4365*K4365,"")</f>
        <v/>
      </c>
      <c r="M4365" s="81" t="str">
        <f aca="false">IF(L4365&lt;&gt;"",L4365*1.1,"")</f>
        <v/>
      </c>
      <c r="N4365" s="47" t="n">
        <f aca="false">IF(F4365="S",L4365*0.02,0)</f>
        <v>0</v>
      </c>
      <c r="O4365" s="82" t="str">
        <f aca="false">IF(L4365&lt;&gt;"",L4365+N4365,"")</f>
        <v/>
      </c>
      <c r="P4365" s="47" t="str">
        <f aca="false">IF(O4365&lt;&gt;"",O4365*0.1,"")</f>
        <v/>
      </c>
      <c r="Q4365" s="83" t="str">
        <f aca="false">IF(O4365&lt;&gt;"",O4365+P4365,"")</f>
        <v/>
      </c>
      <c r="R4365" s="84"/>
    </row>
    <row r="4366" customFormat="false" ht="15" hidden="false" customHeight="true" outlineLevel="0" collapsed="false">
      <c r="A4366" s="103"/>
      <c r="B4366" s="73"/>
      <c r="C4366" s="74"/>
      <c r="D4366" s="75"/>
      <c r="E4366" s="52" t="str">
        <f aca="false">IF(D4366&lt;&gt;"",IFERROR(VLOOKUP(D4366,PROVEEDORES!$A:$B,2,0),"!COD NO ENCONTRADO"),"")</f>
        <v/>
      </c>
      <c r="F4366" s="76" t="str">
        <f aca="false">IF(D4366&lt;&gt;"",IFERROR(VLOOKUP(D4366,PROVEEDORES!$A:$C,3,0),""),"")</f>
        <v/>
      </c>
      <c r="G4366" s="75"/>
      <c r="H4366" s="52" t="str">
        <f aca="false">IF(G4366&lt;&gt;"",IFERROR(VLOOKUP(G4366,PRODUCTOS!$A:$B,2,0),"!COD NO ENCONTRADO"),"")</f>
        <v/>
      </c>
      <c r="I4366" s="77"/>
      <c r="J4366" s="78"/>
      <c r="K4366" s="79"/>
      <c r="L4366" s="80" t="str">
        <f aca="false">IF(AND(J4366&lt;&gt;"",K4366&lt;&gt;""),J4366*K4366,"")</f>
        <v/>
      </c>
      <c r="M4366" s="81" t="str">
        <f aca="false">IF(L4366&lt;&gt;"",L4366*1.1,"")</f>
        <v/>
      </c>
      <c r="N4366" s="53" t="n">
        <f aca="false">IF(F4366="S",L4366*0.02,0)</f>
        <v>0</v>
      </c>
      <c r="O4366" s="82" t="str">
        <f aca="false">IF(L4366&lt;&gt;"",L4366+N4366,"")</f>
        <v/>
      </c>
      <c r="P4366" s="53" t="str">
        <f aca="false">IF(O4366&lt;&gt;"",O4366*0.1,"")</f>
        <v/>
      </c>
      <c r="Q4366" s="83" t="str">
        <f aca="false">IF(O4366&lt;&gt;"",O4366+P4366,"")</f>
        <v/>
      </c>
      <c r="R4366" s="84"/>
    </row>
    <row r="4367" customFormat="false" ht="15" hidden="false" customHeight="true" outlineLevel="0" collapsed="false">
      <c r="A4367" s="103"/>
      <c r="B4367" s="85"/>
      <c r="C4367" s="86"/>
      <c r="D4367" s="87"/>
      <c r="E4367" s="46" t="str">
        <f aca="false">IF(D4367&lt;&gt;"",IFERROR(VLOOKUP(D4367,PROVEEDORES!$A:$B,2,0),"!COD NO ENCONTRADO"),"")</f>
        <v/>
      </c>
      <c r="F4367" s="88" t="str">
        <f aca="false">IF(D4367&lt;&gt;"",IFERROR(VLOOKUP(D4367,PROVEEDORES!$A:$C,3,0),""),"")</f>
        <v/>
      </c>
      <c r="G4367" s="87"/>
      <c r="H4367" s="46" t="str">
        <f aca="false">IF(G4367&lt;&gt;"",IFERROR(VLOOKUP(G4367,PRODUCTOS!$A:$B,2,0),"!COD NO ENCONTRADO"),"")</f>
        <v/>
      </c>
      <c r="I4367" s="89"/>
      <c r="J4367" s="90"/>
      <c r="K4367" s="91"/>
      <c r="L4367" s="80" t="str">
        <f aca="false">IF(AND(J4367&lt;&gt;"",K4367&lt;&gt;""),J4367*K4367,"")</f>
        <v/>
      </c>
      <c r="M4367" s="81" t="str">
        <f aca="false">IF(L4367&lt;&gt;"",L4367*1.1,"")</f>
        <v/>
      </c>
      <c r="N4367" s="47" t="n">
        <f aca="false">IF(F4367="S",L4367*0.02,0)</f>
        <v>0</v>
      </c>
      <c r="O4367" s="82" t="str">
        <f aca="false">IF(L4367&lt;&gt;"",L4367+N4367,"")</f>
        <v/>
      </c>
      <c r="P4367" s="47" t="str">
        <f aca="false">IF(O4367&lt;&gt;"",O4367*0.1,"")</f>
        <v/>
      </c>
      <c r="Q4367" s="83" t="str">
        <f aca="false">IF(O4367&lt;&gt;"",O4367+P4367,"")</f>
        <v/>
      </c>
      <c r="R4367" s="84"/>
    </row>
    <row r="4368" customFormat="false" ht="15" hidden="false" customHeight="true" outlineLevel="0" collapsed="false">
      <c r="A4368" s="103"/>
      <c r="B4368" s="73"/>
      <c r="C4368" s="74"/>
      <c r="D4368" s="75"/>
      <c r="E4368" s="52" t="str">
        <f aca="false">IF(D4368&lt;&gt;"",IFERROR(VLOOKUP(D4368,PROVEEDORES!$A:$B,2,0),"!COD NO ENCONTRADO"),"")</f>
        <v/>
      </c>
      <c r="F4368" s="76" t="str">
        <f aca="false">IF(D4368&lt;&gt;"",IFERROR(VLOOKUP(D4368,PROVEEDORES!$A:$C,3,0),""),"")</f>
        <v/>
      </c>
      <c r="G4368" s="75"/>
      <c r="H4368" s="52" t="str">
        <f aca="false">IF(G4368&lt;&gt;"",IFERROR(VLOOKUP(G4368,PRODUCTOS!$A:$B,2,0),"!COD NO ENCONTRADO"),"")</f>
        <v/>
      </c>
      <c r="I4368" s="77"/>
      <c r="J4368" s="78"/>
      <c r="K4368" s="79"/>
      <c r="L4368" s="80" t="str">
        <f aca="false">IF(AND(J4368&lt;&gt;"",K4368&lt;&gt;""),J4368*K4368,"")</f>
        <v/>
      </c>
      <c r="M4368" s="81" t="str">
        <f aca="false">IF(L4368&lt;&gt;"",L4368*1.1,"")</f>
        <v/>
      </c>
      <c r="N4368" s="53" t="n">
        <f aca="false">IF(F4368="S",L4368*0.02,0)</f>
        <v>0</v>
      </c>
      <c r="O4368" s="82" t="str">
        <f aca="false">IF(L4368&lt;&gt;"",L4368+N4368,"")</f>
        <v/>
      </c>
      <c r="P4368" s="53" t="str">
        <f aca="false">IF(O4368&lt;&gt;"",O4368*0.1,"")</f>
        <v/>
      </c>
      <c r="Q4368" s="83" t="str">
        <f aca="false">IF(O4368&lt;&gt;"",O4368+P4368,"")</f>
        <v/>
      </c>
      <c r="R4368" s="84"/>
    </row>
    <row r="4369" customFormat="false" ht="15" hidden="false" customHeight="true" outlineLevel="0" collapsed="false">
      <c r="A4369" s="103"/>
      <c r="B4369" s="85"/>
      <c r="C4369" s="86"/>
      <c r="D4369" s="87"/>
      <c r="E4369" s="46" t="str">
        <f aca="false">IF(D4369&lt;&gt;"",IFERROR(VLOOKUP(D4369,PROVEEDORES!$A:$B,2,0),"!COD NO ENCONTRADO"),"")</f>
        <v/>
      </c>
      <c r="F4369" s="88" t="str">
        <f aca="false">IF(D4369&lt;&gt;"",IFERROR(VLOOKUP(D4369,PROVEEDORES!$A:$C,3,0),""),"")</f>
        <v/>
      </c>
      <c r="G4369" s="87"/>
      <c r="H4369" s="46" t="str">
        <f aca="false">IF(G4369&lt;&gt;"",IFERROR(VLOOKUP(G4369,PRODUCTOS!$A:$B,2,0),"!COD NO ENCONTRADO"),"")</f>
        <v/>
      </c>
      <c r="I4369" s="89"/>
      <c r="J4369" s="90"/>
      <c r="K4369" s="91"/>
      <c r="L4369" s="80" t="str">
        <f aca="false">IF(AND(J4369&lt;&gt;"",K4369&lt;&gt;""),J4369*K4369,"")</f>
        <v/>
      </c>
      <c r="M4369" s="81" t="str">
        <f aca="false">IF(L4369&lt;&gt;"",L4369*1.1,"")</f>
        <v/>
      </c>
      <c r="N4369" s="47" t="n">
        <f aca="false">IF(F4369="S",L4369*0.02,0)</f>
        <v>0</v>
      </c>
      <c r="O4369" s="82" t="str">
        <f aca="false">IF(L4369&lt;&gt;"",L4369+N4369,"")</f>
        <v/>
      </c>
      <c r="P4369" s="47" t="str">
        <f aca="false">IF(O4369&lt;&gt;"",O4369*0.1,"")</f>
        <v/>
      </c>
      <c r="Q4369" s="83" t="str">
        <f aca="false">IF(O4369&lt;&gt;"",O4369+P4369,"")</f>
        <v/>
      </c>
      <c r="R4369" s="84"/>
    </row>
    <row r="4370" customFormat="false" ht="15" hidden="false" customHeight="true" outlineLevel="0" collapsed="false">
      <c r="A4370" s="103"/>
      <c r="B4370" s="73"/>
      <c r="C4370" s="74"/>
      <c r="D4370" s="75"/>
      <c r="E4370" s="52" t="str">
        <f aca="false">IF(D4370&lt;&gt;"",IFERROR(VLOOKUP(D4370,PROVEEDORES!$A:$B,2,0),"!COD NO ENCONTRADO"),"")</f>
        <v/>
      </c>
      <c r="F4370" s="76" t="str">
        <f aca="false">IF(D4370&lt;&gt;"",IFERROR(VLOOKUP(D4370,PROVEEDORES!$A:$C,3,0),""),"")</f>
        <v/>
      </c>
      <c r="G4370" s="75"/>
      <c r="H4370" s="52" t="str">
        <f aca="false">IF(G4370&lt;&gt;"",IFERROR(VLOOKUP(G4370,PRODUCTOS!$A:$B,2,0),"!COD NO ENCONTRADO"),"")</f>
        <v/>
      </c>
      <c r="I4370" s="77"/>
      <c r="J4370" s="78"/>
      <c r="K4370" s="79"/>
      <c r="L4370" s="80" t="str">
        <f aca="false">IF(AND(J4370&lt;&gt;"",K4370&lt;&gt;""),J4370*K4370,"")</f>
        <v/>
      </c>
      <c r="M4370" s="81" t="str">
        <f aca="false">IF(L4370&lt;&gt;"",L4370*1.1,"")</f>
        <v/>
      </c>
      <c r="N4370" s="53" t="n">
        <f aca="false">IF(F4370="S",L4370*0.02,0)</f>
        <v>0</v>
      </c>
      <c r="O4370" s="82" t="str">
        <f aca="false">IF(L4370&lt;&gt;"",L4370+N4370,"")</f>
        <v/>
      </c>
      <c r="P4370" s="53" t="str">
        <f aca="false">IF(O4370&lt;&gt;"",O4370*0.1,"")</f>
        <v/>
      </c>
      <c r="Q4370" s="83" t="str">
        <f aca="false">IF(O4370&lt;&gt;"",O4370+P4370,"")</f>
        <v/>
      </c>
      <c r="R4370" s="84"/>
    </row>
    <row r="4371" customFormat="false" ht="15" hidden="false" customHeight="true" outlineLevel="0" collapsed="false">
      <c r="A4371" s="103"/>
      <c r="B4371" s="85"/>
      <c r="C4371" s="86"/>
      <c r="D4371" s="87"/>
      <c r="E4371" s="46" t="str">
        <f aca="false">IF(D4371&lt;&gt;"",IFERROR(VLOOKUP(D4371,PROVEEDORES!$A:$B,2,0),"!COD NO ENCONTRADO"),"")</f>
        <v/>
      </c>
      <c r="F4371" s="88" t="str">
        <f aca="false">IF(D4371&lt;&gt;"",IFERROR(VLOOKUP(D4371,PROVEEDORES!$A:$C,3,0),""),"")</f>
        <v/>
      </c>
      <c r="G4371" s="87"/>
      <c r="H4371" s="46" t="str">
        <f aca="false">IF(G4371&lt;&gt;"",IFERROR(VLOOKUP(G4371,PRODUCTOS!$A:$B,2,0),"!COD NO ENCONTRADO"),"")</f>
        <v/>
      </c>
      <c r="I4371" s="89"/>
      <c r="J4371" s="90"/>
      <c r="K4371" s="91"/>
      <c r="L4371" s="80" t="str">
        <f aca="false">IF(AND(J4371&lt;&gt;"",K4371&lt;&gt;""),J4371*K4371,"")</f>
        <v/>
      </c>
      <c r="M4371" s="81" t="str">
        <f aca="false">IF(L4371&lt;&gt;"",L4371*1.1,"")</f>
        <v/>
      </c>
      <c r="N4371" s="47" t="n">
        <f aca="false">IF(F4371="S",L4371*0.02,0)</f>
        <v>0</v>
      </c>
      <c r="O4371" s="82" t="str">
        <f aca="false">IF(L4371&lt;&gt;"",L4371+N4371,"")</f>
        <v/>
      </c>
      <c r="P4371" s="47" t="str">
        <f aca="false">IF(O4371&lt;&gt;"",O4371*0.1,"")</f>
        <v/>
      </c>
      <c r="Q4371" s="83" t="str">
        <f aca="false">IF(O4371&lt;&gt;"",O4371+P4371,"")</f>
        <v/>
      </c>
      <c r="R4371" s="84"/>
    </row>
    <row r="4372" customFormat="false" ht="15" hidden="false" customHeight="true" outlineLevel="0" collapsed="false">
      <c r="A4372" s="103"/>
      <c r="B4372" s="73"/>
      <c r="C4372" s="74"/>
      <c r="D4372" s="75"/>
      <c r="E4372" s="52" t="str">
        <f aca="false">IF(D4372&lt;&gt;"",IFERROR(VLOOKUP(D4372,PROVEEDORES!$A:$B,2,0),"!COD NO ENCONTRADO"),"")</f>
        <v/>
      </c>
      <c r="F4372" s="76" t="str">
        <f aca="false">IF(D4372&lt;&gt;"",IFERROR(VLOOKUP(D4372,PROVEEDORES!$A:$C,3,0),""),"")</f>
        <v/>
      </c>
      <c r="G4372" s="75"/>
      <c r="H4372" s="52" t="str">
        <f aca="false">IF(G4372&lt;&gt;"",IFERROR(VLOOKUP(G4372,PRODUCTOS!$A:$B,2,0),"!COD NO ENCONTRADO"),"")</f>
        <v/>
      </c>
      <c r="I4372" s="77"/>
      <c r="J4372" s="78"/>
      <c r="K4372" s="79"/>
      <c r="L4372" s="80" t="str">
        <f aca="false">IF(AND(J4372&lt;&gt;"",K4372&lt;&gt;""),J4372*K4372,"")</f>
        <v/>
      </c>
      <c r="M4372" s="81" t="str">
        <f aca="false">IF(L4372&lt;&gt;"",L4372*1.1,"")</f>
        <v/>
      </c>
      <c r="N4372" s="53" t="n">
        <f aca="false">IF(F4372="S",L4372*0.02,0)</f>
        <v>0</v>
      </c>
      <c r="O4372" s="82" t="str">
        <f aca="false">IF(L4372&lt;&gt;"",L4372+N4372,"")</f>
        <v/>
      </c>
      <c r="P4372" s="53" t="str">
        <f aca="false">IF(O4372&lt;&gt;"",O4372*0.1,"")</f>
        <v/>
      </c>
      <c r="Q4372" s="83" t="str">
        <f aca="false">IF(O4372&lt;&gt;"",O4372+P4372,"")</f>
        <v/>
      </c>
      <c r="R4372" s="84"/>
    </row>
    <row r="4373" customFormat="false" ht="15" hidden="false" customHeight="true" outlineLevel="0" collapsed="false">
      <c r="A4373" s="103"/>
      <c r="B4373" s="85"/>
      <c r="C4373" s="86"/>
      <c r="D4373" s="87"/>
      <c r="E4373" s="46" t="str">
        <f aca="false">IF(D4373&lt;&gt;"",IFERROR(VLOOKUP(D4373,PROVEEDORES!$A:$B,2,0),"!COD NO ENCONTRADO"),"")</f>
        <v/>
      </c>
      <c r="F4373" s="88" t="str">
        <f aca="false">IF(D4373&lt;&gt;"",IFERROR(VLOOKUP(D4373,PROVEEDORES!$A:$C,3,0),""),"")</f>
        <v/>
      </c>
      <c r="G4373" s="87"/>
      <c r="H4373" s="46" t="str">
        <f aca="false">IF(G4373&lt;&gt;"",IFERROR(VLOOKUP(G4373,PRODUCTOS!$A:$B,2,0),"!COD NO ENCONTRADO"),"")</f>
        <v/>
      </c>
      <c r="I4373" s="89"/>
      <c r="J4373" s="90"/>
      <c r="K4373" s="91"/>
      <c r="L4373" s="80" t="str">
        <f aca="false">IF(AND(J4373&lt;&gt;"",K4373&lt;&gt;""),J4373*K4373,"")</f>
        <v/>
      </c>
      <c r="M4373" s="81" t="str">
        <f aca="false">IF(L4373&lt;&gt;"",L4373*1.1,"")</f>
        <v/>
      </c>
      <c r="N4373" s="47" t="n">
        <f aca="false">IF(F4373="S",L4373*0.02,0)</f>
        <v>0</v>
      </c>
      <c r="O4373" s="82" t="str">
        <f aca="false">IF(L4373&lt;&gt;"",L4373+N4373,"")</f>
        <v/>
      </c>
      <c r="P4373" s="47" t="str">
        <f aca="false">IF(O4373&lt;&gt;"",O4373*0.1,"")</f>
        <v/>
      </c>
      <c r="Q4373" s="83" t="str">
        <f aca="false">IF(O4373&lt;&gt;"",O4373+P4373,"")</f>
        <v/>
      </c>
      <c r="R4373" s="84"/>
    </row>
    <row r="4374" customFormat="false" ht="15" hidden="false" customHeight="true" outlineLevel="0" collapsed="false">
      <c r="A4374" s="103"/>
      <c r="B4374" s="73"/>
      <c r="C4374" s="74"/>
      <c r="D4374" s="75"/>
      <c r="E4374" s="52" t="str">
        <f aca="false">IF(D4374&lt;&gt;"",IFERROR(VLOOKUP(D4374,PROVEEDORES!$A:$B,2,0),"!COD NO ENCONTRADO"),"")</f>
        <v/>
      </c>
      <c r="F4374" s="76" t="str">
        <f aca="false">IF(D4374&lt;&gt;"",IFERROR(VLOOKUP(D4374,PROVEEDORES!$A:$C,3,0),""),"")</f>
        <v/>
      </c>
      <c r="G4374" s="75"/>
      <c r="H4374" s="52" t="str">
        <f aca="false">IF(G4374&lt;&gt;"",IFERROR(VLOOKUP(G4374,PRODUCTOS!$A:$B,2,0),"!COD NO ENCONTRADO"),"")</f>
        <v/>
      </c>
      <c r="I4374" s="77"/>
      <c r="J4374" s="78"/>
      <c r="K4374" s="79"/>
      <c r="L4374" s="80" t="str">
        <f aca="false">IF(AND(J4374&lt;&gt;"",K4374&lt;&gt;""),J4374*K4374,"")</f>
        <v/>
      </c>
      <c r="M4374" s="81" t="str">
        <f aca="false">IF(L4374&lt;&gt;"",L4374*1.1,"")</f>
        <v/>
      </c>
      <c r="N4374" s="53" t="n">
        <f aca="false">IF(F4374="S",L4374*0.02,0)</f>
        <v>0</v>
      </c>
      <c r="O4374" s="82" t="str">
        <f aca="false">IF(L4374&lt;&gt;"",L4374+N4374,"")</f>
        <v/>
      </c>
      <c r="P4374" s="53" t="str">
        <f aca="false">IF(O4374&lt;&gt;"",O4374*0.1,"")</f>
        <v/>
      </c>
      <c r="Q4374" s="83" t="str">
        <f aca="false">IF(O4374&lt;&gt;"",O4374+P4374,"")</f>
        <v/>
      </c>
      <c r="R4374" s="84"/>
    </row>
    <row r="4375" customFormat="false" ht="15" hidden="false" customHeight="true" outlineLevel="0" collapsed="false">
      <c r="A4375" s="103"/>
      <c r="B4375" s="85"/>
      <c r="C4375" s="86"/>
      <c r="D4375" s="87"/>
      <c r="E4375" s="46" t="str">
        <f aca="false">IF(D4375&lt;&gt;"",IFERROR(VLOOKUP(D4375,PROVEEDORES!$A:$B,2,0),"!COD NO ENCONTRADO"),"")</f>
        <v/>
      </c>
      <c r="F4375" s="88" t="str">
        <f aca="false">IF(D4375&lt;&gt;"",IFERROR(VLOOKUP(D4375,PROVEEDORES!$A:$C,3,0),""),"")</f>
        <v/>
      </c>
      <c r="G4375" s="87"/>
      <c r="H4375" s="46" t="str">
        <f aca="false">IF(G4375&lt;&gt;"",IFERROR(VLOOKUP(G4375,PRODUCTOS!$A:$B,2,0),"!COD NO ENCONTRADO"),"")</f>
        <v/>
      </c>
      <c r="I4375" s="89"/>
      <c r="J4375" s="90"/>
      <c r="K4375" s="91"/>
      <c r="L4375" s="80" t="str">
        <f aca="false">IF(AND(J4375&lt;&gt;"",K4375&lt;&gt;""),J4375*K4375,"")</f>
        <v/>
      </c>
      <c r="M4375" s="81" t="str">
        <f aca="false">IF(L4375&lt;&gt;"",L4375*1.1,"")</f>
        <v/>
      </c>
      <c r="N4375" s="47" t="n">
        <f aca="false">IF(F4375="S",L4375*0.02,0)</f>
        <v>0</v>
      </c>
      <c r="O4375" s="82" t="str">
        <f aca="false">IF(L4375&lt;&gt;"",L4375+N4375,"")</f>
        <v/>
      </c>
      <c r="P4375" s="47" t="str">
        <f aca="false">IF(O4375&lt;&gt;"",O4375*0.1,"")</f>
        <v/>
      </c>
      <c r="Q4375" s="83" t="str">
        <f aca="false">IF(O4375&lt;&gt;"",O4375+P4375,"")</f>
        <v/>
      </c>
      <c r="R4375" s="84"/>
    </row>
    <row r="4376" customFormat="false" ht="15" hidden="false" customHeight="true" outlineLevel="0" collapsed="false">
      <c r="A4376" s="103"/>
      <c r="B4376" s="73"/>
      <c r="C4376" s="74"/>
      <c r="D4376" s="75"/>
      <c r="E4376" s="52" t="str">
        <f aca="false">IF(D4376&lt;&gt;"",IFERROR(VLOOKUP(D4376,PROVEEDORES!$A:$B,2,0),"!COD NO ENCONTRADO"),"")</f>
        <v/>
      </c>
      <c r="F4376" s="76" t="str">
        <f aca="false">IF(D4376&lt;&gt;"",IFERROR(VLOOKUP(D4376,PROVEEDORES!$A:$C,3,0),""),"")</f>
        <v/>
      </c>
      <c r="G4376" s="75"/>
      <c r="H4376" s="52" t="str">
        <f aca="false">IF(G4376&lt;&gt;"",IFERROR(VLOOKUP(G4376,PRODUCTOS!$A:$B,2,0),"!COD NO ENCONTRADO"),"")</f>
        <v/>
      </c>
      <c r="I4376" s="77"/>
      <c r="J4376" s="78"/>
      <c r="K4376" s="79"/>
      <c r="L4376" s="80" t="str">
        <f aca="false">IF(AND(J4376&lt;&gt;"",K4376&lt;&gt;""),J4376*K4376,"")</f>
        <v/>
      </c>
      <c r="M4376" s="81" t="str">
        <f aca="false">IF(L4376&lt;&gt;"",L4376*1.1,"")</f>
        <v/>
      </c>
      <c r="N4376" s="53" t="n">
        <f aca="false">IF(F4376="S",L4376*0.02,0)</f>
        <v>0</v>
      </c>
      <c r="O4376" s="82" t="str">
        <f aca="false">IF(L4376&lt;&gt;"",L4376+N4376,"")</f>
        <v/>
      </c>
      <c r="P4376" s="53" t="str">
        <f aca="false">IF(O4376&lt;&gt;"",O4376*0.1,"")</f>
        <v/>
      </c>
      <c r="Q4376" s="83" t="str">
        <f aca="false">IF(O4376&lt;&gt;"",O4376+P4376,"")</f>
        <v/>
      </c>
      <c r="R4376" s="84"/>
    </row>
    <row r="4377" customFormat="false" ht="15" hidden="false" customHeight="true" outlineLevel="0" collapsed="false">
      <c r="A4377" s="103"/>
      <c r="B4377" s="85"/>
      <c r="C4377" s="86"/>
      <c r="D4377" s="87"/>
      <c r="E4377" s="46" t="str">
        <f aca="false">IF(D4377&lt;&gt;"",IFERROR(VLOOKUP(D4377,PROVEEDORES!$A:$B,2,0),"!COD NO ENCONTRADO"),"")</f>
        <v/>
      </c>
      <c r="F4377" s="88" t="str">
        <f aca="false">IF(D4377&lt;&gt;"",IFERROR(VLOOKUP(D4377,PROVEEDORES!$A:$C,3,0),""),"")</f>
        <v/>
      </c>
      <c r="G4377" s="87"/>
      <c r="H4377" s="46" t="str">
        <f aca="false">IF(G4377&lt;&gt;"",IFERROR(VLOOKUP(G4377,PRODUCTOS!$A:$B,2,0),"!COD NO ENCONTRADO"),"")</f>
        <v/>
      </c>
      <c r="I4377" s="89"/>
      <c r="J4377" s="90"/>
      <c r="K4377" s="91"/>
      <c r="L4377" s="80" t="str">
        <f aca="false">IF(AND(J4377&lt;&gt;"",K4377&lt;&gt;""),J4377*K4377,"")</f>
        <v/>
      </c>
      <c r="M4377" s="81" t="str">
        <f aca="false">IF(L4377&lt;&gt;"",L4377*1.1,"")</f>
        <v/>
      </c>
      <c r="N4377" s="47" t="n">
        <f aca="false">IF(F4377="S",L4377*0.02,0)</f>
        <v>0</v>
      </c>
      <c r="O4377" s="82" t="str">
        <f aca="false">IF(L4377&lt;&gt;"",L4377+N4377,"")</f>
        <v/>
      </c>
      <c r="P4377" s="47" t="str">
        <f aca="false">IF(O4377&lt;&gt;"",O4377*0.1,"")</f>
        <v/>
      </c>
      <c r="Q4377" s="83" t="str">
        <f aca="false">IF(O4377&lt;&gt;"",O4377+P4377,"")</f>
        <v/>
      </c>
      <c r="R4377" s="84"/>
    </row>
    <row r="4378" customFormat="false" ht="15" hidden="false" customHeight="true" outlineLevel="0" collapsed="false">
      <c r="A4378" s="103"/>
      <c r="B4378" s="73"/>
      <c r="C4378" s="74"/>
      <c r="D4378" s="75"/>
      <c r="E4378" s="52" t="str">
        <f aca="false">IF(D4378&lt;&gt;"",IFERROR(VLOOKUP(D4378,PROVEEDORES!$A:$B,2,0),"!COD NO ENCONTRADO"),"")</f>
        <v/>
      </c>
      <c r="F4378" s="76" t="str">
        <f aca="false">IF(D4378&lt;&gt;"",IFERROR(VLOOKUP(D4378,PROVEEDORES!$A:$C,3,0),""),"")</f>
        <v/>
      </c>
      <c r="G4378" s="75"/>
      <c r="H4378" s="52" t="str">
        <f aca="false">IF(G4378&lt;&gt;"",IFERROR(VLOOKUP(G4378,PRODUCTOS!$A:$B,2,0),"!COD NO ENCONTRADO"),"")</f>
        <v/>
      </c>
      <c r="I4378" s="77"/>
      <c r="J4378" s="78"/>
      <c r="K4378" s="79"/>
      <c r="L4378" s="80" t="str">
        <f aca="false">IF(AND(J4378&lt;&gt;"",K4378&lt;&gt;""),J4378*K4378,"")</f>
        <v/>
      </c>
      <c r="M4378" s="81" t="str">
        <f aca="false">IF(L4378&lt;&gt;"",L4378*1.1,"")</f>
        <v/>
      </c>
      <c r="N4378" s="53" t="n">
        <f aca="false">IF(F4378="S",L4378*0.02,0)</f>
        <v>0</v>
      </c>
      <c r="O4378" s="82" t="str">
        <f aca="false">IF(L4378&lt;&gt;"",L4378+N4378,"")</f>
        <v/>
      </c>
      <c r="P4378" s="53" t="str">
        <f aca="false">IF(O4378&lt;&gt;"",O4378*0.1,"")</f>
        <v/>
      </c>
      <c r="Q4378" s="83" t="str">
        <f aca="false">IF(O4378&lt;&gt;"",O4378+P4378,"")</f>
        <v/>
      </c>
      <c r="R4378" s="84"/>
    </row>
    <row r="4379" customFormat="false" ht="15" hidden="false" customHeight="true" outlineLevel="0" collapsed="false">
      <c r="A4379" s="103"/>
      <c r="B4379" s="85"/>
      <c r="C4379" s="86"/>
      <c r="D4379" s="87"/>
      <c r="E4379" s="46" t="str">
        <f aca="false">IF(D4379&lt;&gt;"",IFERROR(VLOOKUP(D4379,PROVEEDORES!$A:$B,2,0),"!COD NO ENCONTRADO"),"")</f>
        <v/>
      </c>
      <c r="F4379" s="88" t="str">
        <f aca="false">IF(D4379&lt;&gt;"",IFERROR(VLOOKUP(D4379,PROVEEDORES!$A:$C,3,0),""),"")</f>
        <v/>
      </c>
      <c r="G4379" s="87"/>
      <c r="H4379" s="46" t="str">
        <f aca="false">IF(G4379&lt;&gt;"",IFERROR(VLOOKUP(G4379,PRODUCTOS!$A:$B,2,0),"!COD NO ENCONTRADO"),"")</f>
        <v/>
      </c>
      <c r="I4379" s="89"/>
      <c r="J4379" s="90"/>
      <c r="K4379" s="91"/>
      <c r="L4379" s="80" t="str">
        <f aca="false">IF(AND(J4379&lt;&gt;"",K4379&lt;&gt;""),J4379*K4379,"")</f>
        <v/>
      </c>
      <c r="M4379" s="81" t="str">
        <f aca="false">IF(L4379&lt;&gt;"",L4379*1.1,"")</f>
        <v/>
      </c>
      <c r="N4379" s="47" t="n">
        <f aca="false">IF(F4379="S",L4379*0.02,0)</f>
        <v>0</v>
      </c>
      <c r="O4379" s="82" t="str">
        <f aca="false">IF(L4379&lt;&gt;"",L4379+N4379,"")</f>
        <v/>
      </c>
      <c r="P4379" s="47" t="str">
        <f aca="false">IF(O4379&lt;&gt;"",O4379*0.1,"")</f>
        <v/>
      </c>
      <c r="Q4379" s="83" t="str">
        <f aca="false">IF(O4379&lt;&gt;"",O4379+P4379,"")</f>
        <v/>
      </c>
      <c r="R4379" s="84"/>
    </row>
    <row r="4380" customFormat="false" ht="15" hidden="false" customHeight="true" outlineLevel="0" collapsed="false">
      <c r="A4380" s="103"/>
      <c r="B4380" s="73"/>
      <c r="C4380" s="74"/>
      <c r="D4380" s="75"/>
      <c r="E4380" s="52" t="str">
        <f aca="false">IF(D4380&lt;&gt;"",IFERROR(VLOOKUP(D4380,PROVEEDORES!$A:$B,2,0),"!COD NO ENCONTRADO"),"")</f>
        <v/>
      </c>
      <c r="F4380" s="76" t="str">
        <f aca="false">IF(D4380&lt;&gt;"",IFERROR(VLOOKUP(D4380,PROVEEDORES!$A:$C,3,0),""),"")</f>
        <v/>
      </c>
      <c r="G4380" s="75"/>
      <c r="H4380" s="52" t="str">
        <f aca="false">IF(G4380&lt;&gt;"",IFERROR(VLOOKUP(G4380,PRODUCTOS!$A:$B,2,0),"!COD NO ENCONTRADO"),"")</f>
        <v/>
      </c>
      <c r="I4380" s="77"/>
      <c r="J4380" s="78"/>
      <c r="K4380" s="79"/>
      <c r="L4380" s="80" t="str">
        <f aca="false">IF(AND(J4380&lt;&gt;"",K4380&lt;&gt;""),J4380*K4380,"")</f>
        <v/>
      </c>
      <c r="M4380" s="81" t="str">
        <f aca="false">IF(L4380&lt;&gt;"",L4380*1.1,"")</f>
        <v/>
      </c>
      <c r="N4380" s="53" t="n">
        <f aca="false">IF(F4380="S",L4380*0.02,0)</f>
        <v>0</v>
      </c>
      <c r="O4380" s="82" t="str">
        <f aca="false">IF(L4380&lt;&gt;"",L4380+N4380,"")</f>
        <v/>
      </c>
      <c r="P4380" s="53" t="str">
        <f aca="false">IF(O4380&lt;&gt;"",O4380*0.1,"")</f>
        <v/>
      </c>
      <c r="Q4380" s="83" t="str">
        <f aca="false">IF(O4380&lt;&gt;"",O4380+P4380,"")</f>
        <v/>
      </c>
      <c r="R4380" s="84"/>
    </row>
    <row r="4381" customFormat="false" ht="15" hidden="false" customHeight="true" outlineLevel="0" collapsed="false">
      <c r="A4381" s="103"/>
      <c r="B4381" s="85"/>
      <c r="C4381" s="86"/>
      <c r="D4381" s="87"/>
      <c r="E4381" s="46" t="str">
        <f aca="false">IF(D4381&lt;&gt;"",IFERROR(VLOOKUP(D4381,PROVEEDORES!$A:$B,2,0),"!COD NO ENCONTRADO"),"")</f>
        <v/>
      </c>
      <c r="F4381" s="88" t="str">
        <f aca="false">IF(D4381&lt;&gt;"",IFERROR(VLOOKUP(D4381,PROVEEDORES!$A:$C,3,0),""),"")</f>
        <v/>
      </c>
      <c r="G4381" s="87"/>
      <c r="H4381" s="46" t="str">
        <f aca="false">IF(G4381&lt;&gt;"",IFERROR(VLOOKUP(G4381,PRODUCTOS!$A:$B,2,0),"!COD NO ENCONTRADO"),"")</f>
        <v/>
      </c>
      <c r="I4381" s="89"/>
      <c r="J4381" s="90"/>
      <c r="K4381" s="91"/>
      <c r="L4381" s="80" t="str">
        <f aca="false">IF(AND(J4381&lt;&gt;"",K4381&lt;&gt;""),J4381*K4381,"")</f>
        <v/>
      </c>
      <c r="M4381" s="81" t="str">
        <f aca="false">IF(L4381&lt;&gt;"",L4381*1.1,"")</f>
        <v/>
      </c>
      <c r="N4381" s="47" t="n">
        <f aca="false">IF(F4381="S",L4381*0.02,0)</f>
        <v>0</v>
      </c>
      <c r="O4381" s="82" t="str">
        <f aca="false">IF(L4381&lt;&gt;"",L4381+N4381,"")</f>
        <v/>
      </c>
      <c r="P4381" s="47" t="str">
        <f aca="false">IF(O4381&lt;&gt;"",O4381*0.1,"")</f>
        <v/>
      </c>
      <c r="Q4381" s="83" t="str">
        <f aca="false">IF(O4381&lt;&gt;"",O4381+P4381,"")</f>
        <v/>
      </c>
      <c r="R4381" s="84"/>
    </row>
    <row r="4382" customFormat="false" ht="15" hidden="false" customHeight="true" outlineLevel="0" collapsed="false">
      <c r="A4382" s="103"/>
      <c r="B4382" s="73"/>
      <c r="C4382" s="74"/>
      <c r="D4382" s="75"/>
      <c r="E4382" s="52" t="str">
        <f aca="false">IF(D4382&lt;&gt;"",IFERROR(VLOOKUP(D4382,PROVEEDORES!$A:$B,2,0),"!COD NO ENCONTRADO"),"")</f>
        <v/>
      </c>
      <c r="F4382" s="76" t="str">
        <f aca="false">IF(D4382&lt;&gt;"",IFERROR(VLOOKUP(D4382,PROVEEDORES!$A:$C,3,0),""),"")</f>
        <v/>
      </c>
      <c r="G4382" s="75"/>
      <c r="H4382" s="52" t="str">
        <f aca="false">IF(G4382&lt;&gt;"",IFERROR(VLOOKUP(G4382,PRODUCTOS!$A:$B,2,0),"!COD NO ENCONTRADO"),"")</f>
        <v/>
      </c>
      <c r="I4382" s="77"/>
      <c r="J4382" s="78"/>
      <c r="K4382" s="79"/>
      <c r="L4382" s="80" t="str">
        <f aca="false">IF(AND(J4382&lt;&gt;"",K4382&lt;&gt;""),J4382*K4382,"")</f>
        <v/>
      </c>
      <c r="M4382" s="81" t="str">
        <f aca="false">IF(L4382&lt;&gt;"",L4382*1.1,"")</f>
        <v/>
      </c>
      <c r="N4382" s="53" t="n">
        <f aca="false">IF(F4382="S",L4382*0.02,0)</f>
        <v>0</v>
      </c>
      <c r="O4382" s="82" t="str">
        <f aca="false">IF(L4382&lt;&gt;"",L4382+N4382,"")</f>
        <v/>
      </c>
      <c r="P4382" s="53" t="str">
        <f aca="false">IF(O4382&lt;&gt;"",O4382*0.1,"")</f>
        <v/>
      </c>
      <c r="Q4382" s="83" t="str">
        <f aca="false">IF(O4382&lt;&gt;"",O4382+P4382,"")</f>
        <v/>
      </c>
      <c r="R4382" s="84"/>
    </row>
    <row r="4383" customFormat="false" ht="15" hidden="false" customHeight="true" outlineLevel="0" collapsed="false">
      <c r="A4383" s="103"/>
      <c r="B4383" s="85"/>
      <c r="C4383" s="86"/>
      <c r="D4383" s="87"/>
      <c r="E4383" s="46" t="str">
        <f aca="false">IF(D4383&lt;&gt;"",IFERROR(VLOOKUP(D4383,PROVEEDORES!$A:$B,2,0),"!COD NO ENCONTRADO"),"")</f>
        <v/>
      </c>
      <c r="F4383" s="88" t="str">
        <f aca="false">IF(D4383&lt;&gt;"",IFERROR(VLOOKUP(D4383,PROVEEDORES!$A:$C,3,0),""),"")</f>
        <v/>
      </c>
      <c r="G4383" s="87"/>
      <c r="H4383" s="46" t="str">
        <f aca="false">IF(G4383&lt;&gt;"",IFERROR(VLOOKUP(G4383,PRODUCTOS!$A:$B,2,0),"!COD NO ENCONTRADO"),"")</f>
        <v/>
      </c>
      <c r="I4383" s="89"/>
      <c r="J4383" s="90"/>
      <c r="K4383" s="91"/>
      <c r="L4383" s="80" t="str">
        <f aca="false">IF(AND(J4383&lt;&gt;"",K4383&lt;&gt;""),J4383*K4383,"")</f>
        <v/>
      </c>
      <c r="M4383" s="81" t="str">
        <f aca="false">IF(L4383&lt;&gt;"",L4383*1.1,"")</f>
        <v/>
      </c>
      <c r="N4383" s="47" t="n">
        <f aca="false">IF(F4383="S",L4383*0.02,0)</f>
        <v>0</v>
      </c>
      <c r="O4383" s="82" t="str">
        <f aca="false">IF(L4383&lt;&gt;"",L4383+N4383,"")</f>
        <v/>
      </c>
      <c r="P4383" s="47" t="str">
        <f aca="false">IF(O4383&lt;&gt;"",O4383*0.1,"")</f>
        <v/>
      </c>
      <c r="Q4383" s="83" t="str">
        <f aca="false">IF(O4383&lt;&gt;"",O4383+P4383,"")</f>
        <v/>
      </c>
      <c r="R4383" s="84"/>
    </row>
    <row r="4384" customFormat="false" ht="15" hidden="false" customHeight="true" outlineLevel="0" collapsed="false">
      <c r="A4384" s="103"/>
      <c r="B4384" s="73"/>
      <c r="C4384" s="74"/>
      <c r="D4384" s="75"/>
      <c r="E4384" s="52" t="str">
        <f aca="false">IF(D4384&lt;&gt;"",IFERROR(VLOOKUP(D4384,PROVEEDORES!$A:$B,2,0),"!COD NO ENCONTRADO"),"")</f>
        <v/>
      </c>
      <c r="F4384" s="76" t="str">
        <f aca="false">IF(D4384&lt;&gt;"",IFERROR(VLOOKUP(D4384,PROVEEDORES!$A:$C,3,0),""),"")</f>
        <v/>
      </c>
      <c r="G4384" s="75"/>
      <c r="H4384" s="52" t="str">
        <f aca="false">IF(G4384&lt;&gt;"",IFERROR(VLOOKUP(G4384,PRODUCTOS!$A:$B,2,0),"!COD NO ENCONTRADO"),"")</f>
        <v/>
      </c>
      <c r="I4384" s="77"/>
      <c r="J4384" s="78"/>
      <c r="K4384" s="79"/>
      <c r="L4384" s="80" t="str">
        <f aca="false">IF(AND(J4384&lt;&gt;"",K4384&lt;&gt;""),J4384*K4384,"")</f>
        <v/>
      </c>
      <c r="M4384" s="81" t="str">
        <f aca="false">IF(L4384&lt;&gt;"",L4384*1.1,"")</f>
        <v/>
      </c>
      <c r="N4384" s="53" t="n">
        <f aca="false">IF(F4384="S",L4384*0.02,0)</f>
        <v>0</v>
      </c>
      <c r="O4384" s="82" t="str">
        <f aca="false">IF(L4384&lt;&gt;"",L4384+N4384,"")</f>
        <v/>
      </c>
      <c r="P4384" s="53" t="str">
        <f aca="false">IF(O4384&lt;&gt;"",O4384*0.1,"")</f>
        <v/>
      </c>
      <c r="Q4384" s="83" t="str">
        <f aca="false">IF(O4384&lt;&gt;"",O4384+P4384,"")</f>
        <v/>
      </c>
      <c r="R4384" s="84"/>
    </row>
    <row r="4385" customFormat="false" ht="15" hidden="false" customHeight="true" outlineLevel="0" collapsed="false">
      <c r="A4385" s="103"/>
      <c r="B4385" s="85"/>
      <c r="C4385" s="86"/>
      <c r="D4385" s="87"/>
      <c r="E4385" s="46" t="str">
        <f aca="false">IF(D4385&lt;&gt;"",IFERROR(VLOOKUP(D4385,PROVEEDORES!$A:$B,2,0),"!COD NO ENCONTRADO"),"")</f>
        <v/>
      </c>
      <c r="F4385" s="88" t="str">
        <f aca="false">IF(D4385&lt;&gt;"",IFERROR(VLOOKUP(D4385,PROVEEDORES!$A:$C,3,0),""),"")</f>
        <v/>
      </c>
      <c r="G4385" s="87"/>
      <c r="H4385" s="46" t="str">
        <f aca="false">IF(G4385&lt;&gt;"",IFERROR(VLOOKUP(G4385,PRODUCTOS!$A:$B,2,0),"!COD NO ENCONTRADO"),"")</f>
        <v/>
      </c>
      <c r="I4385" s="89"/>
      <c r="J4385" s="90"/>
      <c r="K4385" s="91"/>
      <c r="L4385" s="80" t="str">
        <f aca="false">IF(AND(J4385&lt;&gt;"",K4385&lt;&gt;""),J4385*K4385,"")</f>
        <v/>
      </c>
      <c r="M4385" s="81" t="str">
        <f aca="false">IF(L4385&lt;&gt;"",L4385*1.1,"")</f>
        <v/>
      </c>
      <c r="N4385" s="47" t="n">
        <f aca="false">IF(F4385="S",L4385*0.02,0)</f>
        <v>0</v>
      </c>
      <c r="O4385" s="82" t="str">
        <f aca="false">IF(L4385&lt;&gt;"",L4385+N4385,"")</f>
        <v/>
      </c>
      <c r="P4385" s="47" t="str">
        <f aca="false">IF(O4385&lt;&gt;"",O4385*0.1,"")</f>
        <v/>
      </c>
      <c r="Q4385" s="83" t="str">
        <f aca="false">IF(O4385&lt;&gt;"",O4385+P4385,"")</f>
        <v/>
      </c>
      <c r="R4385" s="84"/>
    </row>
    <row r="4386" customFormat="false" ht="15" hidden="false" customHeight="true" outlineLevel="0" collapsed="false">
      <c r="A4386" s="103"/>
      <c r="B4386" s="73"/>
      <c r="C4386" s="74"/>
      <c r="D4386" s="75"/>
      <c r="E4386" s="52" t="str">
        <f aca="false">IF(D4386&lt;&gt;"",IFERROR(VLOOKUP(D4386,PROVEEDORES!$A:$B,2,0),"!COD NO ENCONTRADO"),"")</f>
        <v/>
      </c>
      <c r="F4386" s="76" t="str">
        <f aca="false">IF(D4386&lt;&gt;"",IFERROR(VLOOKUP(D4386,PROVEEDORES!$A:$C,3,0),""),"")</f>
        <v/>
      </c>
      <c r="G4386" s="75"/>
      <c r="H4386" s="52" t="str">
        <f aca="false">IF(G4386&lt;&gt;"",IFERROR(VLOOKUP(G4386,PRODUCTOS!$A:$B,2,0),"!COD NO ENCONTRADO"),"")</f>
        <v/>
      </c>
      <c r="I4386" s="77"/>
      <c r="J4386" s="78"/>
      <c r="K4386" s="79"/>
      <c r="L4386" s="80" t="str">
        <f aca="false">IF(AND(J4386&lt;&gt;"",K4386&lt;&gt;""),J4386*K4386,"")</f>
        <v/>
      </c>
      <c r="M4386" s="81" t="str">
        <f aca="false">IF(L4386&lt;&gt;"",L4386*1.1,"")</f>
        <v/>
      </c>
      <c r="N4386" s="53" t="n">
        <f aca="false">IF(F4386="S",L4386*0.02,0)</f>
        <v>0</v>
      </c>
      <c r="O4386" s="82" t="str">
        <f aca="false">IF(L4386&lt;&gt;"",L4386+N4386,"")</f>
        <v/>
      </c>
      <c r="P4386" s="53" t="str">
        <f aca="false">IF(O4386&lt;&gt;"",O4386*0.1,"")</f>
        <v/>
      </c>
      <c r="Q4386" s="83" t="str">
        <f aca="false">IF(O4386&lt;&gt;"",O4386+P4386,"")</f>
        <v/>
      </c>
      <c r="R4386" s="84"/>
    </row>
    <row r="4387" customFormat="false" ht="15" hidden="false" customHeight="true" outlineLevel="0" collapsed="false">
      <c r="A4387" s="103"/>
      <c r="B4387" s="85"/>
      <c r="C4387" s="86"/>
      <c r="D4387" s="87"/>
      <c r="E4387" s="46" t="str">
        <f aca="false">IF(D4387&lt;&gt;"",IFERROR(VLOOKUP(D4387,PROVEEDORES!$A:$B,2,0),"!COD NO ENCONTRADO"),"")</f>
        <v/>
      </c>
      <c r="F4387" s="88" t="str">
        <f aca="false">IF(D4387&lt;&gt;"",IFERROR(VLOOKUP(D4387,PROVEEDORES!$A:$C,3,0),""),"")</f>
        <v/>
      </c>
      <c r="G4387" s="87"/>
      <c r="H4387" s="46" t="str">
        <f aca="false">IF(G4387&lt;&gt;"",IFERROR(VLOOKUP(G4387,PRODUCTOS!$A:$B,2,0),"!COD NO ENCONTRADO"),"")</f>
        <v/>
      </c>
      <c r="I4387" s="89"/>
      <c r="J4387" s="90"/>
      <c r="K4387" s="91"/>
      <c r="L4387" s="80" t="str">
        <f aca="false">IF(AND(J4387&lt;&gt;"",K4387&lt;&gt;""),J4387*K4387,"")</f>
        <v/>
      </c>
      <c r="M4387" s="81" t="str">
        <f aca="false">IF(L4387&lt;&gt;"",L4387*1.1,"")</f>
        <v/>
      </c>
      <c r="N4387" s="47" t="n">
        <f aca="false">IF(F4387="S",L4387*0.02,0)</f>
        <v>0</v>
      </c>
      <c r="O4387" s="82" t="str">
        <f aca="false">IF(L4387&lt;&gt;"",L4387+N4387,"")</f>
        <v/>
      </c>
      <c r="P4387" s="47" t="str">
        <f aca="false">IF(O4387&lt;&gt;"",O4387*0.1,"")</f>
        <v/>
      </c>
      <c r="Q4387" s="83" t="str">
        <f aca="false">IF(O4387&lt;&gt;"",O4387+P4387,"")</f>
        <v/>
      </c>
      <c r="R4387" s="84"/>
    </row>
    <row r="4388" customFormat="false" ht="15" hidden="false" customHeight="true" outlineLevel="0" collapsed="false">
      <c r="A4388" s="103"/>
      <c r="B4388" s="73"/>
      <c r="C4388" s="74"/>
      <c r="D4388" s="75"/>
      <c r="E4388" s="52" t="str">
        <f aca="false">IF(D4388&lt;&gt;"",IFERROR(VLOOKUP(D4388,PROVEEDORES!$A:$B,2,0),"!COD NO ENCONTRADO"),"")</f>
        <v/>
      </c>
      <c r="F4388" s="76" t="str">
        <f aca="false">IF(D4388&lt;&gt;"",IFERROR(VLOOKUP(D4388,PROVEEDORES!$A:$C,3,0),""),"")</f>
        <v/>
      </c>
      <c r="G4388" s="75"/>
      <c r="H4388" s="52" t="str">
        <f aca="false">IF(G4388&lt;&gt;"",IFERROR(VLOOKUP(G4388,PRODUCTOS!$A:$B,2,0),"!COD NO ENCONTRADO"),"")</f>
        <v/>
      </c>
      <c r="I4388" s="77"/>
      <c r="J4388" s="78"/>
      <c r="K4388" s="79"/>
      <c r="L4388" s="80" t="str">
        <f aca="false">IF(AND(J4388&lt;&gt;"",K4388&lt;&gt;""),J4388*K4388,"")</f>
        <v/>
      </c>
      <c r="M4388" s="81" t="str">
        <f aca="false">IF(L4388&lt;&gt;"",L4388*1.1,"")</f>
        <v/>
      </c>
      <c r="N4388" s="53" t="n">
        <f aca="false">IF(F4388="S",L4388*0.02,0)</f>
        <v>0</v>
      </c>
      <c r="O4388" s="82" t="str">
        <f aca="false">IF(L4388&lt;&gt;"",L4388+N4388,"")</f>
        <v/>
      </c>
      <c r="P4388" s="53" t="str">
        <f aca="false">IF(O4388&lt;&gt;"",O4388*0.1,"")</f>
        <v/>
      </c>
      <c r="Q4388" s="83" t="str">
        <f aca="false">IF(O4388&lt;&gt;"",O4388+P4388,"")</f>
        <v/>
      </c>
      <c r="R4388" s="84"/>
    </row>
    <row r="4389" customFormat="false" ht="15" hidden="false" customHeight="true" outlineLevel="0" collapsed="false">
      <c r="A4389" s="103"/>
      <c r="B4389" s="85"/>
      <c r="C4389" s="86"/>
      <c r="D4389" s="87"/>
      <c r="E4389" s="46" t="str">
        <f aca="false">IF(D4389&lt;&gt;"",IFERROR(VLOOKUP(D4389,PROVEEDORES!$A:$B,2,0),"!COD NO ENCONTRADO"),"")</f>
        <v/>
      </c>
      <c r="F4389" s="88" t="str">
        <f aca="false">IF(D4389&lt;&gt;"",IFERROR(VLOOKUP(D4389,PROVEEDORES!$A:$C,3,0),""),"")</f>
        <v/>
      </c>
      <c r="G4389" s="87"/>
      <c r="H4389" s="46" t="str">
        <f aca="false">IF(G4389&lt;&gt;"",IFERROR(VLOOKUP(G4389,PRODUCTOS!$A:$B,2,0),"!COD NO ENCONTRADO"),"")</f>
        <v/>
      </c>
      <c r="I4389" s="89"/>
      <c r="J4389" s="90"/>
      <c r="K4389" s="91"/>
      <c r="L4389" s="80" t="str">
        <f aca="false">IF(AND(J4389&lt;&gt;"",K4389&lt;&gt;""),J4389*K4389,"")</f>
        <v/>
      </c>
      <c r="M4389" s="81" t="str">
        <f aca="false">IF(L4389&lt;&gt;"",L4389*1.1,"")</f>
        <v/>
      </c>
      <c r="N4389" s="47" t="n">
        <f aca="false">IF(F4389="S",L4389*0.02,0)</f>
        <v>0</v>
      </c>
      <c r="O4389" s="82" t="str">
        <f aca="false">IF(L4389&lt;&gt;"",L4389+N4389,"")</f>
        <v/>
      </c>
      <c r="P4389" s="47" t="str">
        <f aca="false">IF(O4389&lt;&gt;"",O4389*0.1,"")</f>
        <v/>
      </c>
      <c r="Q4389" s="83" t="str">
        <f aca="false">IF(O4389&lt;&gt;"",O4389+P4389,"")</f>
        <v/>
      </c>
      <c r="R4389" s="84"/>
    </row>
    <row r="4390" customFormat="false" ht="15" hidden="false" customHeight="true" outlineLevel="0" collapsed="false">
      <c r="A4390" s="103"/>
      <c r="B4390" s="73"/>
      <c r="C4390" s="74"/>
      <c r="D4390" s="75"/>
      <c r="E4390" s="52" t="str">
        <f aca="false">IF(D4390&lt;&gt;"",IFERROR(VLOOKUP(D4390,PROVEEDORES!$A:$B,2,0),"!COD NO ENCONTRADO"),"")</f>
        <v/>
      </c>
      <c r="F4390" s="76" t="str">
        <f aca="false">IF(D4390&lt;&gt;"",IFERROR(VLOOKUP(D4390,PROVEEDORES!$A:$C,3,0),""),"")</f>
        <v/>
      </c>
      <c r="G4390" s="75"/>
      <c r="H4390" s="52" t="str">
        <f aca="false">IF(G4390&lt;&gt;"",IFERROR(VLOOKUP(G4390,PRODUCTOS!$A:$B,2,0),"!COD NO ENCONTRADO"),"")</f>
        <v/>
      </c>
      <c r="I4390" s="77"/>
      <c r="J4390" s="78"/>
      <c r="K4390" s="79"/>
      <c r="L4390" s="80" t="str">
        <f aca="false">IF(AND(J4390&lt;&gt;"",K4390&lt;&gt;""),J4390*K4390,"")</f>
        <v/>
      </c>
      <c r="M4390" s="81" t="str">
        <f aca="false">IF(L4390&lt;&gt;"",L4390*1.1,"")</f>
        <v/>
      </c>
      <c r="N4390" s="53" t="n">
        <f aca="false">IF(F4390="S",L4390*0.02,0)</f>
        <v>0</v>
      </c>
      <c r="O4390" s="82" t="str">
        <f aca="false">IF(L4390&lt;&gt;"",L4390+N4390,"")</f>
        <v/>
      </c>
      <c r="P4390" s="53" t="str">
        <f aca="false">IF(O4390&lt;&gt;"",O4390*0.1,"")</f>
        <v/>
      </c>
      <c r="Q4390" s="83" t="str">
        <f aca="false">IF(O4390&lt;&gt;"",O4390+P4390,"")</f>
        <v/>
      </c>
      <c r="R4390" s="84"/>
    </row>
    <row r="4391" customFormat="false" ht="15" hidden="false" customHeight="true" outlineLevel="0" collapsed="false">
      <c r="A4391" s="103"/>
      <c r="B4391" s="85"/>
      <c r="C4391" s="86"/>
      <c r="D4391" s="87"/>
      <c r="E4391" s="46" t="str">
        <f aca="false">IF(D4391&lt;&gt;"",IFERROR(VLOOKUP(D4391,PROVEEDORES!$A:$B,2,0),"!COD NO ENCONTRADO"),"")</f>
        <v/>
      </c>
      <c r="F4391" s="88" t="str">
        <f aca="false">IF(D4391&lt;&gt;"",IFERROR(VLOOKUP(D4391,PROVEEDORES!$A:$C,3,0),""),"")</f>
        <v/>
      </c>
      <c r="G4391" s="87"/>
      <c r="H4391" s="46" t="str">
        <f aca="false">IF(G4391&lt;&gt;"",IFERROR(VLOOKUP(G4391,PRODUCTOS!$A:$B,2,0),"!COD NO ENCONTRADO"),"")</f>
        <v/>
      </c>
      <c r="I4391" s="89"/>
      <c r="J4391" s="90"/>
      <c r="K4391" s="91"/>
      <c r="L4391" s="80" t="str">
        <f aca="false">IF(AND(J4391&lt;&gt;"",K4391&lt;&gt;""),J4391*K4391,"")</f>
        <v/>
      </c>
      <c r="M4391" s="81" t="str">
        <f aca="false">IF(L4391&lt;&gt;"",L4391*1.1,"")</f>
        <v/>
      </c>
      <c r="N4391" s="47" t="n">
        <f aca="false">IF(F4391="S",L4391*0.02,0)</f>
        <v>0</v>
      </c>
      <c r="O4391" s="82" t="str">
        <f aca="false">IF(L4391&lt;&gt;"",L4391+N4391,"")</f>
        <v/>
      </c>
      <c r="P4391" s="47" t="str">
        <f aca="false">IF(O4391&lt;&gt;"",O4391*0.1,"")</f>
        <v/>
      </c>
      <c r="Q4391" s="83" t="str">
        <f aca="false">IF(O4391&lt;&gt;"",O4391+P4391,"")</f>
        <v/>
      </c>
      <c r="R4391" s="84"/>
    </row>
    <row r="4392" customFormat="false" ht="15" hidden="false" customHeight="true" outlineLevel="0" collapsed="false">
      <c r="A4392" s="103"/>
      <c r="B4392" s="73"/>
      <c r="C4392" s="74"/>
      <c r="D4392" s="75"/>
      <c r="E4392" s="52" t="str">
        <f aca="false">IF(D4392&lt;&gt;"",IFERROR(VLOOKUP(D4392,PROVEEDORES!$A:$B,2,0),"!COD NO ENCONTRADO"),"")</f>
        <v/>
      </c>
      <c r="F4392" s="76" t="str">
        <f aca="false">IF(D4392&lt;&gt;"",IFERROR(VLOOKUP(D4392,PROVEEDORES!$A:$C,3,0),""),"")</f>
        <v/>
      </c>
      <c r="G4392" s="75"/>
      <c r="H4392" s="52" t="str">
        <f aca="false">IF(G4392&lt;&gt;"",IFERROR(VLOOKUP(G4392,PRODUCTOS!$A:$B,2,0),"!COD NO ENCONTRADO"),"")</f>
        <v/>
      </c>
      <c r="I4392" s="77"/>
      <c r="J4392" s="78"/>
      <c r="K4392" s="79"/>
      <c r="L4392" s="80" t="str">
        <f aca="false">IF(AND(J4392&lt;&gt;"",K4392&lt;&gt;""),J4392*K4392,"")</f>
        <v/>
      </c>
      <c r="M4392" s="81" t="str">
        <f aca="false">IF(L4392&lt;&gt;"",L4392*1.1,"")</f>
        <v/>
      </c>
      <c r="N4392" s="53" t="n">
        <f aca="false">IF(F4392="S",L4392*0.02,0)</f>
        <v>0</v>
      </c>
      <c r="O4392" s="82" t="str">
        <f aca="false">IF(L4392&lt;&gt;"",L4392+N4392,"")</f>
        <v/>
      </c>
      <c r="P4392" s="53" t="str">
        <f aca="false">IF(O4392&lt;&gt;"",O4392*0.1,"")</f>
        <v/>
      </c>
      <c r="Q4392" s="83" t="str">
        <f aca="false">IF(O4392&lt;&gt;"",O4392+P4392,"")</f>
        <v/>
      </c>
      <c r="R4392" s="84"/>
    </row>
    <row r="4393" customFormat="false" ht="15" hidden="false" customHeight="true" outlineLevel="0" collapsed="false">
      <c r="A4393" s="103"/>
      <c r="B4393" s="85"/>
      <c r="C4393" s="86"/>
      <c r="D4393" s="87"/>
      <c r="E4393" s="46" t="str">
        <f aca="false">IF(D4393&lt;&gt;"",IFERROR(VLOOKUP(D4393,PROVEEDORES!$A:$B,2,0),"!COD NO ENCONTRADO"),"")</f>
        <v/>
      </c>
      <c r="F4393" s="88" t="str">
        <f aca="false">IF(D4393&lt;&gt;"",IFERROR(VLOOKUP(D4393,PROVEEDORES!$A:$C,3,0),""),"")</f>
        <v/>
      </c>
      <c r="G4393" s="87"/>
      <c r="H4393" s="46" t="str">
        <f aca="false">IF(G4393&lt;&gt;"",IFERROR(VLOOKUP(G4393,PRODUCTOS!$A:$B,2,0),"!COD NO ENCONTRADO"),"")</f>
        <v/>
      </c>
      <c r="I4393" s="89"/>
      <c r="J4393" s="90"/>
      <c r="K4393" s="91"/>
      <c r="L4393" s="80" t="str">
        <f aca="false">IF(AND(J4393&lt;&gt;"",K4393&lt;&gt;""),J4393*K4393,"")</f>
        <v/>
      </c>
      <c r="M4393" s="81" t="str">
        <f aca="false">IF(L4393&lt;&gt;"",L4393*1.1,"")</f>
        <v/>
      </c>
      <c r="N4393" s="47" t="n">
        <f aca="false">IF(F4393="S",L4393*0.02,0)</f>
        <v>0</v>
      </c>
      <c r="O4393" s="82" t="str">
        <f aca="false">IF(L4393&lt;&gt;"",L4393+N4393,"")</f>
        <v/>
      </c>
      <c r="P4393" s="47" t="str">
        <f aca="false">IF(O4393&lt;&gt;"",O4393*0.1,"")</f>
        <v/>
      </c>
      <c r="Q4393" s="83" t="str">
        <f aca="false">IF(O4393&lt;&gt;"",O4393+P4393,"")</f>
        <v/>
      </c>
      <c r="R4393" s="84"/>
    </row>
    <row r="4394" customFormat="false" ht="15" hidden="false" customHeight="true" outlineLevel="0" collapsed="false">
      <c r="A4394" s="103"/>
      <c r="B4394" s="73"/>
      <c r="C4394" s="74"/>
      <c r="D4394" s="75"/>
      <c r="E4394" s="52" t="str">
        <f aca="false">IF(D4394&lt;&gt;"",IFERROR(VLOOKUP(D4394,PROVEEDORES!$A:$B,2,0),"!COD NO ENCONTRADO"),"")</f>
        <v/>
      </c>
      <c r="F4394" s="76" t="str">
        <f aca="false">IF(D4394&lt;&gt;"",IFERROR(VLOOKUP(D4394,PROVEEDORES!$A:$C,3,0),""),"")</f>
        <v/>
      </c>
      <c r="G4394" s="75"/>
      <c r="H4394" s="52" t="str">
        <f aca="false">IF(G4394&lt;&gt;"",IFERROR(VLOOKUP(G4394,PRODUCTOS!$A:$B,2,0),"!COD NO ENCONTRADO"),"")</f>
        <v/>
      </c>
      <c r="I4394" s="77"/>
      <c r="J4394" s="78"/>
      <c r="K4394" s="79"/>
      <c r="L4394" s="80" t="str">
        <f aca="false">IF(AND(J4394&lt;&gt;"",K4394&lt;&gt;""),J4394*K4394,"")</f>
        <v/>
      </c>
      <c r="M4394" s="81" t="str">
        <f aca="false">IF(L4394&lt;&gt;"",L4394*1.1,"")</f>
        <v/>
      </c>
      <c r="N4394" s="53" t="n">
        <f aca="false">IF(F4394="S",L4394*0.02,0)</f>
        <v>0</v>
      </c>
      <c r="O4394" s="82" t="str">
        <f aca="false">IF(L4394&lt;&gt;"",L4394+N4394,"")</f>
        <v/>
      </c>
      <c r="P4394" s="53" t="str">
        <f aca="false">IF(O4394&lt;&gt;"",O4394*0.1,"")</f>
        <v/>
      </c>
      <c r="Q4394" s="83" t="str">
        <f aca="false">IF(O4394&lt;&gt;"",O4394+P4394,"")</f>
        <v/>
      </c>
      <c r="R4394" s="84"/>
    </row>
    <row r="4395" customFormat="false" ht="15" hidden="false" customHeight="true" outlineLevel="0" collapsed="false">
      <c r="A4395" s="103"/>
      <c r="B4395" s="85"/>
      <c r="C4395" s="86"/>
      <c r="D4395" s="87"/>
      <c r="E4395" s="46" t="str">
        <f aca="false">IF(D4395&lt;&gt;"",IFERROR(VLOOKUP(D4395,PROVEEDORES!$A:$B,2,0),"!COD NO ENCONTRADO"),"")</f>
        <v/>
      </c>
      <c r="F4395" s="88" t="str">
        <f aca="false">IF(D4395&lt;&gt;"",IFERROR(VLOOKUP(D4395,PROVEEDORES!$A:$C,3,0),""),"")</f>
        <v/>
      </c>
      <c r="G4395" s="87"/>
      <c r="H4395" s="46" t="str">
        <f aca="false">IF(G4395&lt;&gt;"",IFERROR(VLOOKUP(G4395,PRODUCTOS!$A:$B,2,0),"!COD NO ENCONTRADO"),"")</f>
        <v/>
      </c>
      <c r="I4395" s="89"/>
      <c r="J4395" s="90"/>
      <c r="K4395" s="91"/>
      <c r="L4395" s="80" t="str">
        <f aca="false">IF(AND(J4395&lt;&gt;"",K4395&lt;&gt;""),J4395*K4395,"")</f>
        <v/>
      </c>
      <c r="M4395" s="81" t="str">
        <f aca="false">IF(L4395&lt;&gt;"",L4395*1.1,"")</f>
        <v/>
      </c>
      <c r="N4395" s="47" t="n">
        <f aca="false">IF(F4395="S",L4395*0.02,0)</f>
        <v>0</v>
      </c>
      <c r="O4395" s="82" t="str">
        <f aca="false">IF(L4395&lt;&gt;"",L4395+N4395,"")</f>
        <v/>
      </c>
      <c r="P4395" s="47" t="str">
        <f aca="false">IF(O4395&lt;&gt;"",O4395*0.1,"")</f>
        <v/>
      </c>
      <c r="Q4395" s="83" t="str">
        <f aca="false">IF(O4395&lt;&gt;"",O4395+P4395,"")</f>
        <v/>
      </c>
      <c r="R4395" s="84"/>
    </row>
    <row r="4396" customFormat="false" ht="15" hidden="false" customHeight="true" outlineLevel="0" collapsed="false">
      <c r="A4396" s="103"/>
      <c r="B4396" s="73"/>
      <c r="C4396" s="74"/>
      <c r="D4396" s="75"/>
      <c r="E4396" s="52" t="str">
        <f aca="false">IF(D4396&lt;&gt;"",IFERROR(VLOOKUP(D4396,PROVEEDORES!$A:$B,2,0),"!COD NO ENCONTRADO"),"")</f>
        <v/>
      </c>
      <c r="F4396" s="76" t="str">
        <f aca="false">IF(D4396&lt;&gt;"",IFERROR(VLOOKUP(D4396,PROVEEDORES!$A:$C,3,0),""),"")</f>
        <v/>
      </c>
      <c r="G4396" s="75"/>
      <c r="H4396" s="52" t="str">
        <f aca="false">IF(G4396&lt;&gt;"",IFERROR(VLOOKUP(G4396,PRODUCTOS!$A:$B,2,0),"!COD NO ENCONTRADO"),"")</f>
        <v/>
      </c>
      <c r="I4396" s="77"/>
      <c r="J4396" s="78"/>
      <c r="K4396" s="79"/>
      <c r="L4396" s="80" t="str">
        <f aca="false">IF(AND(J4396&lt;&gt;"",K4396&lt;&gt;""),J4396*K4396,"")</f>
        <v/>
      </c>
      <c r="M4396" s="81" t="str">
        <f aca="false">IF(L4396&lt;&gt;"",L4396*1.1,"")</f>
        <v/>
      </c>
      <c r="N4396" s="53" t="n">
        <f aca="false">IF(F4396="S",L4396*0.02,0)</f>
        <v>0</v>
      </c>
      <c r="O4396" s="82" t="str">
        <f aca="false">IF(L4396&lt;&gt;"",L4396+N4396,"")</f>
        <v/>
      </c>
      <c r="P4396" s="53" t="str">
        <f aca="false">IF(O4396&lt;&gt;"",O4396*0.1,"")</f>
        <v/>
      </c>
      <c r="Q4396" s="83" t="str">
        <f aca="false">IF(O4396&lt;&gt;"",O4396+P4396,"")</f>
        <v/>
      </c>
      <c r="R4396" s="84"/>
    </row>
    <row r="4397" customFormat="false" ht="15" hidden="false" customHeight="true" outlineLevel="0" collapsed="false">
      <c r="A4397" s="103"/>
      <c r="B4397" s="85"/>
      <c r="C4397" s="86"/>
      <c r="D4397" s="87"/>
      <c r="E4397" s="46" t="str">
        <f aca="false">IF(D4397&lt;&gt;"",IFERROR(VLOOKUP(D4397,PROVEEDORES!$A:$B,2,0),"!COD NO ENCONTRADO"),"")</f>
        <v/>
      </c>
      <c r="F4397" s="88" t="str">
        <f aca="false">IF(D4397&lt;&gt;"",IFERROR(VLOOKUP(D4397,PROVEEDORES!$A:$C,3,0),""),"")</f>
        <v/>
      </c>
      <c r="G4397" s="87"/>
      <c r="H4397" s="46" t="str">
        <f aca="false">IF(G4397&lt;&gt;"",IFERROR(VLOOKUP(G4397,PRODUCTOS!$A:$B,2,0),"!COD NO ENCONTRADO"),"")</f>
        <v/>
      </c>
      <c r="I4397" s="89"/>
      <c r="J4397" s="90"/>
      <c r="K4397" s="91"/>
      <c r="L4397" s="80" t="str">
        <f aca="false">IF(AND(J4397&lt;&gt;"",K4397&lt;&gt;""),J4397*K4397,"")</f>
        <v/>
      </c>
      <c r="M4397" s="81" t="str">
        <f aca="false">IF(L4397&lt;&gt;"",L4397*1.1,"")</f>
        <v/>
      </c>
      <c r="N4397" s="47" t="n">
        <f aca="false">IF(F4397="S",L4397*0.02,0)</f>
        <v>0</v>
      </c>
      <c r="O4397" s="82" t="str">
        <f aca="false">IF(L4397&lt;&gt;"",L4397+N4397,"")</f>
        <v/>
      </c>
      <c r="P4397" s="47" t="str">
        <f aca="false">IF(O4397&lt;&gt;"",O4397*0.1,"")</f>
        <v/>
      </c>
      <c r="Q4397" s="83" t="str">
        <f aca="false">IF(O4397&lt;&gt;"",O4397+P4397,"")</f>
        <v/>
      </c>
      <c r="R4397" s="84"/>
    </row>
    <row r="4398" customFormat="false" ht="15" hidden="false" customHeight="true" outlineLevel="0" collapsed="false">
      <c r="A4398" s="103"/>
      <c r="B4398" s="73"/>
      <c r="C4398" s="74"/>
      <c r="D4398" s="75"/>
      <c r="E4398" s="52" t="str">
        <f aca="false">IF(D4398&lt;&gt;"",IFERROR(VLOOKUP(D4398,PROVEEDORES!$A:$B,2,0),"!COD NO ENCONTRADO"),"")</f>
        <v/>
      </c>
      <c r="F4398" s="76" t="str">
        <f aca="false">IF(D4398&lt;&gt;"",IFERROR(VLOOKUP(D4398,PROVEEDORES!$A:$C,3,0),""),"")</f>
        <v/>
      </c>
      <c r="G4398" s="75"/>
      <c r="H4398" s="52" t="str">
        <f aca="false">IF(G4398&lt;&gt;"",IFERROR(VLOOKUP(G4398,PRODUCTOS!$A:$B,2,0),"!COD NO ENCONTRADO"),"")</f>
        <v/>
      </c>
      <c r="I4398" s="77"/>
      <c r="J4398" s="78"/>
      <c r="K4398" s="79"/>
      <c r="L4398" s="80" t="str">
        <f aca="false">IF(AND(J4398&lt;&gt;"",K4398&lt;&gt;""),J4398*K4398,"")</f>
        <v/>
      </c>
      <c r="M4398" s="81" t="str">
        <f aca="false">IF(L4398&lt;&gt;"",L4398*1.1,"")</f>
        <v/>
      </c>
      <c r="N4398" s="53" t="n">
        <f aca="false">IF(F4398="S",L4398*0.02,0)</f>
        <v>0</v>
      </c>
      <c r="O4398" s="82" t="str">
        <f aca="false">IF(L4398&lt;&gt;"",L4398+N4398,"")</f>
        <v/>
      </c>
      <c r="P4398" s="53" t="str">
        <f aca="false">IF(O4398&lt;&gt;"",O4398*0.1,"")</f>
        <v/>
      </c>
      <c r="Q4398" s="83" t="str">
        <f aca="false">IF(O4398&lt;&gt;"",O4398+P4398,"")</f>
        <v/>
      </c>
      <c r="R4398" s="84"/>
    </row>
    <row r="4399" customFormat="false" ht="15" hidden="false" customHeight="true" outlineLevel="0" collapsed="false">
      <c r="A4399" s="103"/>
      <c r="B4399" s="85"/>
      <c r="C4399" s="86"/>
      <c r="D4399" s="87"/>
      <c r="E4399" s="46" t="str">
        <f aca="false">IF(D4399&lt;&gt;"",IFERROR(VLOOKUP(D4399,PROVEEDORES!$A:$B,2,0),"!COD NO ENCONTRADO"),"")</f>
        <v/>
      </c>
      <c r="F4399" s="88" t="str">
        <f aca="false">IF(D4399&lt;&gt;"",IFERROR(VLOOKUP(D4399,PROVEEDORES!$A:$C,3,0),""),"")</f>
        <v/>
      </c>
      <c r="G4399" s="87"/>
      <c r="H4399" s="46" t="str">
        <f aca="false">IF(G4399&lt;&gt;"",IFERROR(VLOOKUP(G4399,PRODUCTOS!$A:$B,2,0),"!COD NO ENCONTRADO"),"")</f>
        <v/>
      </c>
      <c r="I4399" s="89"/>
      <c r="J4399" s="90"/>
      <c r="K4399" s="91"/>
      <c r="L4399" s="80" t="str">
        <f aca="false">IF(AND(J4399&lt;&gt;"",K4399&lt;&gt;""),J4399*K4399,"")</f>
        <v/>
      </c>
      <c r="M4399" s="81" t="str">
        <f aca="false">IF(L4399&lt;&gt;"",L4399*1.1,"")</f>
        <v/>
      </c>
      <c r="N4399" s="47" t="n">
        <f aca="false">IF(F4399="S",L4399*0.02,0)</f>
        <v>0</v>
      </c>
      <c r="O4399" s="82" t="str">
        <f aca="false">IF(L4399&lt;&gt;"",L4399+N4399,"")</f>
        <v/>
      </c>
      <c r="P4399" s="47" t="str">
        <f aca="false">IF(O4399&lt;&gt;"",O4399*0.1,"")</f>
        <v/>
      </c>
      <c r="Q4399" s="83" t="str">
        <f aca="false">IF(O4399&lt;&gt;"",O4399+P4399,"")</f>
        <v/>
      </c>
      <c r="R4399" s="84"/>
    </row>
    <row r="4400" customFormat="false" ht="15" hidden="false" customHeight="true" outlineLevel="0" collapsed="false">
      <c r="A4400" s="103"/>
      <c r="B4400" s="73"/>
      <c r="C4400" s="74"/>
      <c r="D4400" s="75"/>
      <c r="E4400" s="52" t="str">
        <f aca="false">IF(D4400&lt;&gt;"",IFERROR(VLOOKUP(D4400,PROVEEDORES!$A:$B,2,0),"!COD NO ENCONTRADO"),"")</f>
        <v/>
      </c>
      <c r="F4400" s="76" t="str">
        <f aca="false">IF(D4400&lt;&gt;"",IFERROR(VLOOKUP(D4400,PROVEEDORES!$A:$C,3,0),""),"")</f>
        <v/>
      </c>
      <c r="G4400" s="75"/>
      <c r="H4400" s="52" t="str">
        <f aca="false">IF(G4400&lt;&gt;"",IFERROR(VLOOKUP(G4400,PRODUCTOS!$A:$B,2,0),"!COD NO ENCONTRADO"),"")</f>
        <v/>
      </c>
      <c r="I4400" s="77"/>
      <c r="J4400" s="78"/>
      <c r="K4400" s="79"/>
      <c r="L4400" s="80" t="str">
        <f aca="false">IF(AND(J4400&lt;&gt;"",K4400&lt;&gt;""),J4400*K4400,"")</f>
        <v/>
      </c>
      <c r="M4400" s="81" t="str">
        <f aca="false">IF(L4400&lt;&gt;"",L4400*1.1,"")</f>
        <v/>
      </c>
      <c r="N4400" s="53" t="n">
        <f aca="false">IF(F4400="S",L4400*0.02,0)</f>
        <v>0</v>
      </c>
      <c r="O4400" s="82" t="str">
        <f aca="false">IF(L4400&lt;&gt;"",L4400+N4400,"")</f>
        <v/>
      </c>
      <c r="P4400" s="53" t="str">
        <f aca="false">IF(O4400&lt;&gt;"",O4400*0.1,"")</f>
        <v/>
      </c>
      <c r="Q4400" s="83" t="str">
        <f aca="false">IF(O4400&lt;&gt;"",O4400+P4400,"")</f>
        <v/>
      </c>
      <c r="R4400" s="84"/>
    </row>
    <row r="4401" customFormat="false" ht="15" hidden="false" customHeight="true" outlineLevel="0" collapsed="false">
      <c r="A4401" s="103"/>
      <c r="B4401" s="85"/>
      <c r="C4401" s="86"/>
      <c r="D4401" s="87"/>
      <c r="E4401" s="46" t="str">
        <f aca="false">IF(D4401&lt;&gt;"",IFERROR(VLOOKUP(D4401,PROVEEDORES!$A:$B,2,0),"!COD NO ENCONTRADO"),"")</f>
        <v/>
      </c>
      <c r="F4401" s="88" t="str">
        <f aca="false">IF(D4401&lt;&gt;"",IFERROR(VLOOKUP(D4401,PROVEEDORES!$A:$C,3,0),""),"")</f>
        <v/>
      </c>
      <c r="G4401" s="87"/>
      <c r="H4401" s="46" t="str">
        <f aca="false">IF(G4401&lt;&gt;"",IFERROR(VLOOKUP(G4401,PRODUCTOS!$A:$B,2,0),"!COD NO ENCONTRADO"),"")</f>
        <v/>
      </c>
      <c r="I4401" s="89"/>
      <c r="J4401" s="90"/>
      <c r="K4401" s="91"/>
      <c r="L4401" s="80" t="str">
        <f aca="false">IF(AND(J4401&lt;&gt;"",K4401&lt;&gt;""),J4401*K4401,"")</f>
        <v/>
      </c>
      <c r="M4401" s="81" t="str">
        <f aca="false">IF(L4401&lt;&gt;"",L4401*1.1,"")</f>
        <v/>
      </c>
      <c r="N4401" s="47" t="n">
        <f aca="false">IF(F4401="S",L4401*0.02,0)</f>
        <v>0</v>
      </c>
      <c r="O4401" s="82" t="str">
        <f aca="false">IF(L4401&lt;&gt;"",L4401+N4401,"")</f>
        <v/>
      </c>
      <c r="P4401" s="47" t="str">
        <f aca="false">IF(O4401&lt;&gt;"",O4401*0.1,"")</f>
        <v/>
      </c>
      <c r="Q4401" s="83" t="str">
        <f aca="false">IF(O4401&lt;&gt;"",O4401+P4401,"")</f>
        <v/>
      </c>
      <c r="R4401" s="84"/>
    </row>
    <row r="4402" customFormat="false" ht="15" hidden="false" customHeight="true" outlineLevel="0" collapsed="false">
      <c r="A4402" s="103"/>
      <c r="B4402" s="73"/>
      <c r="C4402" s="74"/>
      <c r="D4402" s="75"/>
      <c r="E4402" s="52" t="str">
        <f aca="false">IF(D4402&lt;&gt;"",IFERROR(VLOOKUP(D4402,PROVEEDORES!$A:$B,2,0),"!COD NO ENCONTRADO"),"")</f>
        <v/>
      </c>
      <c r="F4402" s="76" t="str">
        <f aca="false">IF(D4402&lt;&gt;"",IFERROR(VLOOKUP(D4402,PROVEEDORES!$A:$C,3,0),""),"")</f>
        <v/>
      </c>
      <c r="G4402" s="75"/>
      <c r="H4402" s="52" t="str">
        <f aca="false">IF(G4402&lt;&gt;"",IFERROR(VLOOKUP(G4402,PRODUCTOS!$A:$B,2,0),"!COD NO ENCONTRADO"),"")</f>
        <v/>
      </c>
      <c r="I4402" s="77"/>
      <c r="J4402" s="78"/>
      <c r="K4402" s="79"/>
      <c r="L4402" s="80" t="str">
        <f aca="false">IF(AND(J4402&lt;&gt;"",K4402&lt;&gt;""),J4402*K4402,"")</f>
        <v/>
      </c>
      <c r="M4402" s="81" t="str">
        <f aca="false">IF(L4402&lt;&gt;"",L4402*1.1,"")</f>
        <v/>
      </c>
      <c r="N4402" s="53" t="n">
        <f aca="false">IF(F4402="S",L4402*0.02,0)</f>
        <v>0</v>
      </c>
      <c r="O4402" s="82" t="str">
        <f aca="false">IF(L4402&lt;&gt;"",L4402+N4402,"")</f>
        <v/>
      </c>
      <c r="P4402" s="53" t="str">
        <f aca="false">IF(O4402&lt;&gt;"",O4402*0.1,"")</f>
        <v/>
      </c>
      <c r="Q4402" s="83" t="str">
        <f aca="false">IF(O4402&lt;&gt;"",O4402+P4402,"")</f>
        <v/>
      </c>
      <c r="R4402" s="84"/>
    </row>
    <row r="4403" customFormat="false" ht="15" hidden="false" customHeight="true" outlineLevel="0" collapsed="false">
      <c r="A4403" s="103"/>
      <c r="B4403" s="85"/>
      <c r="C4403" s="86"/>
      <c r="D4403" s="87"/>
      <c r="E4403" s="46" t="str">
        <f aca="false">IF(D4403&lt;&gt;"",IFERROR(VLOOKUP(D4403,PROVEEDORES!$A:$B,2,0),"!COD NO ENCONTRADO"),"")</f>
        <v/>
      </c>
      <c r="F4403" s="88" t="str">
        <f aca="false">IF(D4403&lt;&gt;"",IFERROR(VLOOKUP(D4403,PROVEEDORES!$A:$C,3,0),""),"")</f>
        <v/>
      </c>
      <c r="G4403" s="87"/>
      <c r="H4403" s="46" t="str">
        <f aca="false">IF(G4403&lt;&gt;"",IFERROR(VLOOKUP(G4403,PRODUCTOS!$A:$B,2,0),"!COD NO ENCONTRADO"),"")</f>
        <v/>
      </c>
      <c r="I4403" s="89"/>
      <c r="J4403" s="90"/>
      <c r="K4403" s="91"/>
      <c r="L4403" s="80" t="str">
        <f aca="false">IF(AND(J4403&lt;&gt;"",K4403&lt;&gt;""),J4403*K4403,"")</f>
        <v/>
      </c>
      <c r="M4403" s="81" t="str">
        <f aca="false">IF(L4403&lt;&gt;"",L4403*1.1,"")</f>
        <v/>
      </c>
      <c r="N4403" s="47" t="n">
        <f aca="false">IF(F4403="S",L4403*0.02,0)</f>
        <v>0</v>
      </c>
      <c r="O4403" s="82" t="str">
        <f aca="false">IF(L4403&lt;&gt;"",L4403+N4403,"")</f>
        <v/>
      </c>
      <c r="P4403" s="47" t="str">
        <f aca="false">IF(O4403&lt;&gt;"",O4403*0.1,"")</f>
        <v/>
      </c>
      <c r="Q4403" s="83" t="str">
        <f aca="false">IF(O4403&lt;&gt;"",O4403+P4403,"")</f>
        <v/>
      </c>
      <c r="R4403" s="84"/>
    </row>
    <row r="4404" customFormat="false" ht="15" hidden="false" customHeight="true" outlineLevel="0" collapsed="false">
      <c r="A4404" s="103"/>
      <c r="B4404" s="73"/>
      <c r="C4404" s="74"/>
      <c r="D4404" s="75"/>
      <c r="E4404" s="52" t="str">
        <f aca="false">IF(D4404&lt;&gt;"",IFERROR(VLOOKUP(D4404,PROVEEDORES!$A:$B,2,0),"!COD NO ENCONTRADO"),"")</f>
        <v/>
      </c>
      <c r="F4404" s="76" t="str">
        <f aca="false">IF(D4404&lt;&gt;"",IFERROR(VLOOKUP(D4404,PROVEEDORES!$A:$C,3,0),""),"")</f>
        <v/>
      </c>
      <c r="G4404" s="75"/>
      <c r="H4404" s="52" t="str">
        <f aca="false">IF(G4404&lt;&gt;"",IFERROR(VLOOKUP(G4404,PRODUCTOS!$A:$B,2,0),"!COD NO ENCONTRADO"),"")</f>
        <v/>
      </c>
      <c r="I4404" s="77"/>
      <c r="J4404" s="78"/>
      <c r="K4404" s="79"/>
      <c r="L4404" s="80" t="str">
        <f aca="false">IF(AND(J4404&lt;&gt;"",K4404&lt;&gt;""),J4404*K4404,"")</f>
        <v/>
      </c>
      <c r="M4404" s="81" t="str">
        <f aca="false">IF(L4404&lt;&gt;"",L4404*1.1,"")</f>
        <v/>
      </c>
      <c r="N4404" s="53" t="n">
        <f aca="false">IF(F4404="S",L4404*0.02,0)</f>
        <v>0</v>
      </c>
      <c r="O4404" s="82" t="str">
        <f aca="false">IF(L4404&lt;&gt;"",L4404+N4404,"")</f>
        <v/>
      </c>
      <c r="P4404" s="53" t="str">
        <f aca="false">IF(O4404&lt;&gt;"",O4404*0.1,"")</f>
        <v/>
      </c>
      <c r="Q4404" s="83" t="str">
        <f aca="false">IF(O4404&lt;&gt;"",O4404+P4404,"")</f>
        <v/>
      </c>
      <c r="R4404" s="84"/>
    </row>
    <row r="4405" customFormat="false" ht="15" hidden="false" customHeight="true" outlineLevel="0" collapsed="false">
      <c r="A4405" s="103"/>
      <c r="B4405" s="85"/>
      <c r="C4405" s="86"/>
      <c r="D4405" s="87"/>
      <c r="E4405" s="46" t="str">
        <f aca="false">IF(D4405&lt;&gt;"",IFERROR(VLOOKUP(D4405,PROVEEDORES!$A:$B,2,0),"!COD NO ENCONTRADO"),"")</f>
        <v/>
      </c>
      <c r="F4405" s="88" t="str">
        <f aca="false">IF(D4405&lt;&gt;"",IFERROR(VLOOKUP(D4405,PROVEEDORES!$A:$C,3,0),""),"")</f>
        <v/>
      </c>
      <c r="G4405" s="87"/>
      <c r="H4405" s="46" t="str">
        <f aca="false">IF(G4405&lt;&gt;"",IFERROR(VLOOKUP(G4405,PRODUCTOS!$A:$B,2,0),"!COD NO ENCONTRADO"),"")</f>
        <v/>
      </c>
      <c r="I4405" s="89"/>
      <c r="J4405" s="90"/>
      <c r="K4405" s="91"/>
      <c r="L4405" s="80" t="str">
        <f aca="false">IF(AND(J4405&lt;&gt;"",K4405&lt;&gt;""),J4405*K4405,"")</f>
        <v/>
      </c>
      <c r="M4405" s="81" t="str">
        <f aca="false">IF(L4405&lt;&gt;"",L4405*1.1,"")</f>
        <v/>
      </c>
      <c r="N4405" s="47" t="n">
        <f aca="false">IF(F4405="S",L4405*0.02,0)</f>
        <v>0</v>
      </c>
      <c r="O4405" s="82" t="str">
        <f aca="false">IF(L4405&lt;&gt;"",L4405+N4405,"")</f>
        <v/>
      </c>
      <c r="P4405" s="47" t="str">
        <f aca="false">IF(O4405&lt;&gt;"",O4405*0.1,"")</f>
        <v/>
      </c>
      <c r="Q4405" s="83" t="str">
        <f aca="false">IF(O4405&lt;&gt;"",O4405+P4405,"")</f>
        <v/>
      </c>
      <c r="R4405" s="84"/>
    </row>
    <row r="4406" customFormat="false" ht="15" hidden="false" customHeight="true" outlineLevel="0" collapsed="false">
      <c r="A4406" s="103"/>
      <c r="B4406" s="73"/>
      <c r="C4406" s="74"/>
      <c r="D4406" s="75"/>
      <c r="E4406" s="52" t="str">
        <f aca="false">IF(D4406&lt;&gt;"",IFERROR(VLOOKUP(D4406,PROVEEDORES!$A:$B,2,0),"!COD NO ENCONTRADO"),"")</f>
        <v/>
      </c>
      <c r="F4406" s="76" t="str">
        <f aca="false">IF(D4406&lt;&gt;"",IFERROR(VLOOKUP(D4406,PROVEEDORES!$A:$C,3,0),""),"")</f>
        <v/>
      </c>
      <c r="G4406" s="75"/>
      <c r="H4406" s="52" t="str">
        <f aca="false">IF(G4406&lt;&gt;"",IFERROR(VLOOKUP(G4406,PRODUCTOS!$A:$B,2,0),"!COD NO ENCONTRADO"),"")</f>
        <v/>
      </c>
      <c r="I4406" s="77"/>
      <c r="J4406" s="78"/>
      <c r="K4406" s="79"/>
      <c r="L4406" s="80" t="str">
        <f aca="false">IF(AND(J4406&lt;&gt;"",K4406&lt;&gt;""),J4406*K4406,"")</f>
        <v/>
      </c>
      <c r="M4406" s="81" t="str">
        <f aca="false">IF(L4406&lt;&gt;"",L4406*1.1,"")</f>
        <v/>
      </c>
      <c r="N4406" s="53" t="n">
        <f aca="false">IF(F4406="S",L4406*0.02,0)</f>
        <v>0</v>
      </c>
      <c r="O4406" s="82" t="str">
        <f aca="false">IF(L4406&lt;&gt;"",L4406+N4406,"")</f>
        <v/>
      </c>
      <c r="P4406" s="53" t="str">
        <f aca="false">IF(O4406&lt;&gt;"",O4406*0.1,"")</f>
        <v/>
      </c>
      <c r="Q4406" s="83" t="str">
        <f aca="false">IF(O4406&lt;&gt;"",O4406+P4406,"")</f>
        <v/>
      </c>
      <c r="R4406" s="84"/>
    </row>
    <row r="4407" customFormat="false" ht="15" hidden="false" customHeight="true" outlineLevel="0" collapsed="false">
      <c r="A4407" s="103"/>
      <c r="B4407" s="85"/>
      <c r="C4407" s="86"/>
      <c r="D4407" s="87"/>
      <c r="E4407" s="46" t="str">
        <f aca="false">IF(D4407&lt;&gt;"",IFERROR(VLOOKUP(D4407,PROVEEDORES!$A:$B,2,0),"!COD NO ENCONTRADO"),"")</f>
        <v/>
      </c>
      <c r="F4407" s="88" t="str">
        <f aca="false">IF(D4407&lt;&gt;"",IFERROR(VLOOKUP(D4407,PROVEEDORES!$A:$C,3,0),""),"")</f>
        <v/>
      </c>
      <c r="G4407" s="87"/>
      <c r="H4407" s="46" t="str">
        <f aca="false">IF(G4407&lt;&gt;"",IFERROR(VLOOKUP(G4407,PRODUCTOS!$A:$B,2,0),"!COD NO ENCONTRADO"),"")</f>
        <v/>
      </c>
      <c r="I4407" s="89"/>
      <c r="J4407" s="90"/>
      <c r="K4407" s="91"/>
      <c r="L4407" s="80" t="str">
        <f aca="false">IF(AND(J4407&lt;&gt;"",K4407&lt;&gt;""),J4407*K4407,"")</f>
        <v/>
      </c>
      <c r="M4407" s="81" t="str">
        <f aca="false">IF(L4407&lt;&gt;"",L4407*1.1,"")</f>
        <v/>
      </c>
      <c r="N4407" s="47" t="n">
        <f aca="false">IF(F4407="S",L4407*0.02,0)</f>
        <v>0</v>
      </c>
      <c r="O4407" s="82" t="str">
        <f aca="false">IF(L4407&lt;&gt;"",L4407+N4407,"")</f>
        <v/>
      </c>
      <c r="P4407" s="47" t="str">
        <f aca="false">IF(O4407&lt;&gt;"",O4407*0.1,"")</f>
        <v/>
      </c>
      <c r="Q4407" s="83" t="str">
        <f aca="false">IF(O4407&lt;&gt;"",O4407+P4407,"")</f>
        <v/>
      </c>
      <c r="R4407" s="84"/>
    </row>
    <row r="4408" customFormat="false" ht="15" hidden="false" customHeight="true" outlineLevel="0" collapsed="false">
      <c r="A4408" s="103"/>
      <c r="B4408" s="73"/>
      <c r="C4408" s="74"/>
      <c r="D4408" s="75"/>
      <c r="E4408" s="52" t="str">
        <f aca="false">IF(D4408&lt;&gt;"",IFERROR(VLOOKUP(D4408,PROVEEDORES!$A:$B,2,0),"!COD NO ENCONTRADO"),"")</f>
        <v/>
      </c>
      <c r="F4408" s="76" t="str">
        <f aca="false">IF(D4408&lt;&gt;"",IFERROR(VLOOKUP(D4408,PROVEEDORES!$A:$C,3,0),""),"")</f>
        <v/>
      </c>
      <c r="G4408" s="75"/>
      <c r="H4408" s="52" t="str">
        <f aca="false">IF(G4408&lt;&gt;"",IFERROR(VLOOKUP(G4408,PRODUCTOS!$A:$B,2,0),"!COD NO ENCONTRADO"),"")</f>
        <v/>
      </c>
      <c r="I4408" s="77"/>
      <c r="J4408" s="78"/>
      <c r="K4408" s="79"/>
      <c r="L4408" s="80" t="str">
        <f aca="false">IF(AND(J4408&lt;&gt;"",K4408&lt;&gt;""),J4408*K4408,"")</f>
        <v/>
      </c>
      <c r="M4408" s="81" t="str">
        <f aca="false">IF(L4408&lt;&gt;"",L4408*1.1,"")</f>
        <v/>
      </c>
      <c r="N4408" s="53" t="n">
        <f aca="false">IF(F4408="S",L4408*0.02,0)</f>
        <v>0</v>
      </c>
      <c r="O4408" s="82" t="str">
        <f aca="false">IF(L4408&lt;&gt;"",L4408+N4408,"")</f>
        <v/>
      </c>
      <c r="P4408" s="53" t="str">
        <f aca="false">IF(O4408&lt;&gt;"",O4408*0.1,"")</f>
        <v/>
      </c>
      <c r="Q4408" s="83" t="str">
        <f aca="false">IF(O4408&lt;&gt;"",O4408+P4408,"")</f>
        <v/>
      </c>
      <c r="R4408" s="84"/>
    </row>
    <row r="4409" customFormat="false" ht="15" hidden="false" customHeight="true" outlineLevel="0" collapsed="false">
      <c r="A4409" s="103"/>
      <c r="B4409" s="85"/>
      <c r="C4409" s="86"/>
      <c r="D4409" s="87"/>
      <c r="E4409" s="46" t="str">
        <f aca="false">IF(D4409&lt;&gt;"",IFERROR(VLOOKUP(D4409,PROVEEDORES!$A:$B,2,0),"!COD NO ENCONTRADO"),"")</f>
        <v/>
      </c>
      <c r="F4409" s="88" t="str">
        <f aca="false">IF(D4409&lt;&gt;"",IFERROR(VLOOKUP(D4409,PROVEEDORES!$A:$C,3,0),""),"")</f>
        <v/>
      </c>
      <c r="G4409" s="87"/>
      <c r="H4409" s="46" t="str">
        <f aca="false">IF(G4409&lt;&gt;"",IFERROR(VLOOKUP(G4409,PRODUCTOS!$A:$B,2,0),"!COD NO ENCONTRADO"),"")</f>
        <v/>
      </c>
      <c r="I4409" s="89"/>
      <c r="J4409" s="90"/>
      <c r="K4409" s="91"/>
      <c r="L4409" s="80" t="str">
        <f aca="false">IF(AND(J4409&lt;&gt;"",K4409&lt;&gt;""),J4409*K4409,"")</f>
        <v/>
      </c>
      <c r="M4409" s="81" t="str">
        <f aca="false">IF(L4409&lt;&gt;"",L4409*1.1,"")</f>
        <v/>
      </c>
      <c r="N4409" s="47" t="n">
        <f aca="false">IF(F4409="S",L4409*0.02,0)</f>
        <v>0</v>
      </c>
      <c r="O4409" s="82" t="str">
        <f aca="false">IF(L4409&lt;&gt;"",L4409+N4409,"")</f>
        <v/>
      </c>
      <c r="P4409" s="47" t="str">
        <f aca="false">IF(O4409&lt;&gt;"",O4409*0.1,"")</f>
        <v/>
      </c>
      <c r="Q4409" s="83" t="str">
        <f aca="false">IF(O4409&lt;&gt;"",O4409+P4409,"")</f>
        <v/>
      </c>
      <c r="R4409" s="84"/>
    </row>
    <row r="4410" customFormat="false" ht="15" hidden="false" customHeight="true" outlineLevel="0" collapsed="false">
      <c r="A4410" s="103"/>
      <c r="B4410" s="73"/>
      <c r="C4410" s="74"/>
      <c r="D4410" s="75"/>
      <c r="E4410" s="52" t="str">
        <f aca="false">IF(D4410&lt;&gt;"",IFERROR(VLOOKUP(D4410,PROVEEDORES!$A:$B,2,0),"!COD NO ENCONTRADO"),"")</f>
        <v/>
      </c>
      <c r="F4410" s="76" t="str">
        <f aca="false">IF(D4410&lt;&gt;"",IFERROR(VLOOKUP(D4410,PROVEEDORES!$A:$C,3,0),""),"")</f>
        <v/>
      </c>
      <c r="G4410" s="75"/>
      <c r="H4410" s="52" t="str">
        <f aca="false">IF(G4410&lt;&gt;"",IFERROR(VLOOKUP(G4410,PRODUCTOS!$A:$B,2,0),"!COD NO ENCONTRADO"),"")</f>
        <v/>
      </c>
      <c r="I4410" s="77"/>
      <c r="J4410" s="78"/>
      <c r="K4410" s="79"/>
      <c r="L4410" s="80" t="str">
        <f aca="false">IF(AND(J4410&lt;&gt;"",K4410&lt;&gt;""),J4410*K4410,"")</f>
        <v/>
      </c>
      <c r="M4410" s="81" t="str">
        <f aca="false">IF(L4410&lt;&gt;"",L4410*1.1,"")</f>
        <v/>
      </c>
      <c r="N4410" s="53" t="n">
        <f aca="false">IF(F4410="S",L4410*0.02,0)</f>
        <v>0</v>
      </c>
      <c r="O4410" s="82" t="str">
        <f aca="false">IF(L4410&lt;&gt;"",L4410+N4410,"")</f>
        <v/>
      </c>
      <c r="P4410" s="53" t="str">
        <f aca="false">IF(O4410&lt;&gt;"",O4410*0.1,"")</f>
        <v/>
      </c>
      <c r="Q4410" s="83" t="str">
        <f aca="false">IF(O4410&lt;&gt;"",O4410+P4410,"")</f>
        <v/>
      </c>
      <c r="R4410" s="84"/>
    </row>
    <row r="4411" customFormat="false" ht="15" hidden="false" customHeight="true" outlineLevel="0" collapsed="false">
      <c r="A4411" s="103"/>
      <c r="B4411" s="85"/>
      <c r="C4411" s="86"/>
      <c r="D4411" s="87"/>
      <c r="E4411" s="46" t="str">
        <f aca="false">IF(D4411&lt;&gt;"",IFERROR(VLOOKUP(D4411,PROVEEDORES!$A:$B,2,0),"!COD NO ENCONTRADO"),"")</f>
        <v/>
      </c>
      <c r="F4411" s="88" t="str">
        <f aca="false">IF(D4411&lt;&gt;"",IFERROR(VLOOKUP(D4411,PROVEEDORES!$A:$C,3,0),""),"")</f>
        <v/>
      </c>
      <c r="G4411" s="87"/>
      <c r="H4411" s="46" t="str">
        <f aca="false">IF(G4411&lt;&gt;"",IFERROR(VLOOKUP(G4411,PRODUCTOS!$A:$B,2,0),"!COD NO ENCONTRADO"),"")</f>
        <v/>
      </c>
      <c r="I4411" s="89"/>
      <c r="J4411" s="90"/>
      <c r="K4411" s="91"/>
      <c r="L4411" s="80" t="str">
        <f aca="false">IF(AND(J4411&lt;&gt;"",K4411&lt;&gt;""),J4411*K4411,"")</f>
        <v/>
      </c>
      <c r="M4411" s="81" t="str">
        <f aca="false">IF(L4411&lt;&gt;"",L4411*1.1,"")</f>
        <v/>
      </c>
      <c r="N4411" s="47" t="n">
        <f aca="false">IF(F4411="S",L4411*0.02,0)</f>
        <v>0</v>
      </c>
      <c r="O4411" s="82" t="str">
        <f aca="false">IF(L4411&lt;&gt;"",L4411+N4411,"")</f>
        <v/>
      </c>
      <c r="P4411" s="47" t="str">
        <f aca="false">IF(O4411&lt;&gt;"",O4411*0.1,"")</f>
        <v/>
      </c>
      <c r="Q4411" s="83" t="str">
        <f aca="false">IF(O4411&lt;&gt;"",O4411+P4411,"")</f>
        <v/>
      </c>
      <c r="R4411" s="84"/>
    </row>
    <row r="4412" customFormat="false" ht="15" hidden="false" customHeight="true" outlineLevel="0" collapsed="false">
      <c r="A4412" s="103"/>
      <c r="B4412" s="73"/>
      <c r="C4412" s="74"/>
      <c r="D4412" s="75"/>
      <c r="E4412" s="52" t="str">
        <f aca="false">IF(D4412&lt;&gt;"",IFERROR(VLOOKUP(D4412,PROVEEDORES!$A:$B,2,0),"!COD NO ENCONTRADO"),"")</f>
        <v/>
      </c>
      <c r="F4412" s="76" t="str">
        <f aca="false">IF(D4412&lt;&gt;"",IFERROR(VLOOKUP(D4412,PROVEEDORES!$A:$C,3,0),""),"")</f>
        <v/>
      </c>
      <c r="G4412" s="75"/>
      <c r="H4412" s="52" t="str">
        <f aca="false">IF(G4412&lt;&gt;"",IFERROR(VLOOKUP(G4412,PRODUCTOS!$A:$B,2,0),"!COD NO ENCONTRADO"),"")</f>
        <v/>
      </c>
      <c r="I4412" s="77"/>
      <c r="J4412" s="78"/>
      <c r="K4412" s="79"/>
      <c r="L4412" s="80" t="str">
        <f aca="false">IF(AND(J4412&lt;&gt;"",K4412&lt;&gt;""),J4412*K4412,"")</f>
        <v/>
      </c>
      <c r="M4412" s="81" t="str">
        <f aca="false">IF(L4412&lt;&gt;"",L4412*1.1,"")</f>
        <v/>
      </c>
      <c r="N4412" s="53" t="n">
        <f aca="false">IF(F4412="S",L4412*0.02,0)</f>
        <v>0</v>
      </c>
      <c r="O4412" s="82" t="str">
        <f aca="false">IF(L4412&lt;&gt;"",L4412+N4412,"")</f>
        <v/>
      </c>
      <c r="P4412" s="53" t="str">
        <f aca="false">IF(O4412&lt;&gt;"",O4412*0.1,"")</f>
        <v/>
      </c>
      <c r="Q4412" s="83" t="str">
        <f aca="false">IF(O4412&lt;&gt;"",O4412+P4412,"")</f>
        <v/>
      </c>
      <c r="R4412" s="84"/>
    </row>
    <row r="4413" customFormat="false" ht="15" hidden="false" customHeight="true" outlineLevel="0" collapsed="false">
      <c r="A4413" s="103"/>
      <c r="B4413" s="85"/>
      <c r="C4413" s="86"/>
      <c r="D4413" s="87"/>
      <c r="E4413" s="46" t="str">
        <f aca="false">IF(D4413&lt;&gt;"",IFERROR(VLOOKUP(D4413,PROVEEDORES!$A:$B,2,0),"!COD NO ENCONTRADO"),"")</f>
        <v/>
      </c>
      <c r="F4413" s="88" t="str">
        <f aca="false">IF(D4413&lt;&gt;"",IFERROR(VLOOKUP(D4413,PROVEEDORES!$A:$C,3,0),""),"")</f>
        <v/>
      </c>
      <c r="G4413" s="87"/>
      <c r="H4413" s="46" t="str">
        <f aca="false">IF(G4413&lt;&gt;"",IFERROR(VLOOKUP(G4413,PRODUCTOS!$A:$B,2,0),"!COD NO ENCONTRADO"),"")</f>
        <v/>
      </c>
      <c r="I4413" s="89"/>
      <c r="J4413" s="90"/>
      <c r="K4413" s="91"/>
      <c r="L4413" s="80" t="str">
        <f aca="false">IF(AND(J4413&lt;&gt;"",K4413&lt;&gt;""),J4413*K4413,"")</f>
        <v/>
      </c>
      <c r="M4413" s="81" t="str">
        <f aca="false">IF(L4413&lt;&gt;"",L4413*1.1,"")</f>
        <v/>
      </c>
      <c r="N4413" s="47" t="n">
        <f aca="false">IF(F4413="S",L4413*0.02,0)</f>
        <v>0</v>
      </c>
      <c r="O4413" s="82" t="str">
        <f aca="false">IF(L4413&lt;&gt;"",L4413+N4413,"")</f>
        <v/>
      </c>
      <c r="P4413" s="47" t="str">
        <f aca="false">IF(O4413&lt;&gt;"",O4413*0.1,"")</f>
        <v/>
      </c>
      <c r="Q4413" s="83" t="str">
        <f aca="false">IF(O4413&lt;&gt;"",O4413+P4413,"")</f>
        <v/>
      </c>
      <c r="R4413" s="84"/>
    </row>
    <row r="4414" customFormat="false" ht="15" hidden="false" customHeight="true" outlineLevel="0" collapsed="false">
      <c r="A4414" s="103"/>
      <c r="B4414" s="73"/>
      <c r="C4414" s="74"/>
      <c r="D4414" s="75"/>
      <c r="E4414" s="52" t="str">
        <f aca="false">IF(D4414&lt;&gt;"",IFERROR(VLOOKUP(D4414,PROVEEDORES!$A:$B,2,0),"!COD NO ENCONTRADO"),"")</f>
        <v/>
      </c>
      <c r="F4414" s="76" t="str">
        <f aca="false">IF(D4414&lt;&gt;"",IFERROR(VLOOKUP(D4414,PROVEEDORES!$A:$C,3,0),""),"")</f>
        <v/>
      </c>
      <c r="G4414" s="75"/>
      <c r="H4414" s="52" t="str">
        <f aca="false">IF(G4414&lt;&gt;"",IFERROR(VLOOKUP(G4414,PRODUCTOS!$A:$B,2,0),"!COD NO ENCONTRADO"),"")</f>
        <v/>
      </c>
      <c r="I4414" s="77"/>
      <c r="J4414" s="78"/>
      <c r="K4414" s="79"/>
      <c r="L4414" s="80" t="str">
        <f aca="false">IF(AND(J4414&lt;&gt;"",K4414&lt;&gt;""),J4414*K4414,"")</f>
        <v/>
      </c>
      <c r="M4414" s="81" t="str">
        <f aca="false">IF(L4414&lt;&gt;"",L4414*1.1,"")</f>
        <v/>
      </c>
      <c r="N4414" s="53" t="n">
        <f aca="false">IF(F4414="S",L4414*0.02,0)</f>
        <v>0</v>
      </c>
      <c r="O4414" s="82" t="str">
        <f aca="false">IF(L4414&lt;&gt;"",L4414+N4414,"")</f>
        <v/>
      </c>
      <c r="P4414" s="53" t="str">
        <f aca="false">IF(O4414&lt;&gt;"",O4414*0.1,"")</f>
        <v/>
      </c>
      <c r="Q4414" s="83" t="str">
        <f aca="false">IF(O4414&lt;&gt;"",O4414+P4414,"")</f>
        <v/>
      </c>
      <c r="R4414" s="84"/>
    </row>
    <row r="4415" customFormat="false" ht="15" hidden="false" customHeight="true" outlineLevel="0" collapsed="false">
      <c r="A4415" s="103"/>
      <c r="B4415" s="85"/>
      <c r="C4415" s="86"/>
      <c r="D4415" s="87"/>
      <c r="E4415" s="46" t="str">
        <f aca="false">IF(D4415&lt;&gt;"",IFERROR(VLOOKUP(D4415,PROVEEDORES!$A:$B,2,0),"!COD NO ENCONTRADO"),"")</f>
        <v/>
      </c>
      <c r="F4415" s="88" t="str">
        <f aca="false">IF(D4415&lt;&gt;"",IFERROR(VLOOKUP(D4415,PROVEEDORES!$A:$C,3,0),""),"")</f>
        <v/>
      </c>
      <c r="G4415" s="87"/>
      <c r="H4415" s="46" t="str">
        <f aca="false">IF(G4415&lt;&gt;"",IFERROR(VLOOKUP(G4415,PRODUCTOS!$A:$B,2,0),"!COD NO ENCONTRADO"),"")</f>
        <v/>
      </c>
      <c r="I4415" s="89"/>
      <c r="J4415" s="90"/>
      <c r="K4415" s="91"/>
      <c r="L4415" s="80" t="str">
        <f aca="false">IF(AND(J4415&lt;&gt;"",K4415&lt;&gt;""),J4415*K4415,"")</f>
        <v/>
      </c>
      <c r="M4415" s="81" t="str">
        <f aca="false">IF(L4415&lt;&gt;"",L4415*1.1,"")</f>
        <v/>
      </c>
      <c r="N4415" s="47" t="n">
        <f aca="false">IF(F4415="S",L4415*0.02,0)</f>
        <v>0</v>
      </c>
      <c r="O4415" s="82" t="str">
        <f aca="false">IF(L4415&lt;&gt;"",L4415+N4415,"")</f>
        <v/>
      </c>
      <c r="P4415" s="47" t="str">
        <f aca="false">IF(O4415&lt;&gt;"",O4415*0.1,"")</f>
        <v/>
      </c>
      <c r="Q4415" s="83" t="str">
        <f aca="false">IF(O4415&lt;&gt;"",O4415+P4415,"")</f>
        <v/>
      </c>
      <c r="R4415" s="84"/>
    </row>
    <row r="4416" customFormat="false" ht="15" hidden="false" customHeight="true" outlineLevel="0" collapsed="false">
      <c r="A4416" s="103"/>
      <c r="B4416" s="73"/>
      <c r="C4416" s="74"/>
      <c r="D4416" s="75"/>
      <c r="E4416" s="52" t="str">
        <f aca="false">IF(D4416&lt;&gt;"",IFERROR(VLOOKUP(D4416,PROVEEDORES!$A:$B,2,0),"!COD NO ENCONTRADO"),"")</f>
        <v/>
      </c>
      <c r="F4416" s="76" t="str">
        <f aca="false">IF(D4416&lt;&gt;"",IFERROR(VLOOKUP(D4416,PROVEEDORES!$A:$C,3,0),""),"")</f>
        <v/>
      </c>
      <c r="G4416" s="75"/>
      <c r="H4416" s="52" t="str">
        <f aca="false">IF(G4416&lt;&gt;"",IFERROR(VLOOKUP(G4416,PRODUCTOS!$A:$B,2,0),"!COD NO ENCONTRADO"),"")</f>
        <v/>
      </c>
      <c r="I4416" s="77"/>
      <c r="J4416" s="78"/>
      <c r="K4416" s="79"/>
      <c r="L4416" s="80" t="str">
        <f aca="false">IF(AND(J4416&lt;&gt;"",K4416&lt;&gt;""),J4416*K4416,"")</f>
        <v/>
      </c>
      <c r="M4416" s="81" t="str">
        <f aca="false">IF(L4416&lt;&gt;"",L4416*1.1,"")</f>
        <v/>
      </c>
      <c r="N4416" s="53" t="n">
        <f aca="false">IF(F4416="S",L4416*0.02,0)</f>
        <v>0</v>
      </c>
      <c r="O4416" s="82" t="str">
        <f aca="false">IF(L4416&lt;&gt;"",L4416+N4416,"")</f>
        <v/>
      </c>
      <c r="P4416" s="53" t="str">
        <f aca="false">IF(O4416&lt;&gt;"",O4416*0.1,"")</f>
        <v/>
      </c>
      <c r="Q4416" s="83" t="str">
        <f aca="false">IF(O4416&lt;&gt;"",O4416+P4416,"")</f>
        <v/>
      </c>
      <c r="R4416" s="84"/>
    </row>
    <row r="4417" customFormat="false" ht="15" hidden="false" customHeight="true" outlineLevel="0" collapsed="false">
      <c r="A4417" s="103"/>
      <c r="B4417" s="85"/>
      <c r="C4417" s="86"/>
      <c r="D4417" s="87"/>
      <c r="E4417" s="46" t="str">
        <f aca="false">IF(D4417&lt;&gt;"",IFERROR(VLOOKUP(D4417,PROVEEDORES!$A:$B,2,0),"!COD NO ENCONTRADO"),"")</f>
        <v/>
      </c>
      <c r="F4417" s="88" t="str">
        <f aca="false">IF(D4417&lt;&gt;"",IFERROR(VLOOKUP(D4417,PROVEEDORES!$A:$C,3,0),""),"")</f>
        <v/>
      </c>
      <c r="G4417" s="87"/>
      <c r="H4417" s="46" t="str">
        <f aca="false">IF(G4417&lt;&gt;"",IFERROR(VLOOKUP(G4417,PRODUCTOS!$A:$B,2,0),"!COD NO ENCONTRADO"),"")</f>
        <v/>
      </c>
      <c r="I4417" s="89"/>
      <c r="J4417" s="90"/>
      <c r="K4417" s="91"/>
      <c r="L4417" s="80" t="str">
        <f aca="false">IF(AND(J4417&lt;&gt;"",K4417&lt;&gt;""),J4417*K4417,"")</f>
        <v/>
      </c>
      <c r="M4417" s="81" t="str">
        <f aca="false">IF(L4417&lt;&gt;"",L4417*1.1,"")</f>
        <v/>
      </c>
      <c r="N4417" s="47" t="n">
        <f aca="false">IF(F4417="S",L4417*0.02,0)</f>
        <v>0</v>
      </c>
      <c r="O4417" s="82" t="str">
        <f aca="false">IF(L4417&lt;&gt;"",L4417+N4417,"")</f>
        <v/>
      </c>
      <c r="P4417" s="47" t="str">
        <f aca="false">IF(O4417&lt;&gt;"",O4417*0.1,"")</f>
        <v/>
      </c>
      <c r="Q4417" s="83" t="str">
        <f aca="false">IF(O4417&lt;&gt;"",O4417+P4417,"")</f>
        <v/>
      </c>
      <c r="R4417" s="84"/>
    </row>
    <row r="4418" customFormat="false" ht="15" hidden="false" customHeight="true" outlineLevel="0" collapsed="false">
      <c r="A4418" s="103"/>
      <c r="B4418" s="73"/>
      <c r="C4418" s="74"/>
      <c r="D4418" s="75"/>
      <c r="E4418" s="52" t="str">
        <f aca="false">IF(D4418&lt;&gt;"",IFERROR(VLOOKUP(D4418,PROVEEDORES!$A:$B,2,0),"!COD NO ENCONTRADO"),"")</f>
        <v/>
      </c>
      <c r="F4418" s="76" t="str">
        <f aca="false">IF(D4418&lt;&gt;"",IFERROR(VLOOKUP(D4418,PROVEEDORES!$A:$C,3,0),""),"")</f>
        <v/>
      </c>
      <c r="G4418" s="75"/>
      <c r="H4418" s="52" t="str">
        <f aca="false">IF(G4418&lt;&gt;"",IFERROR(VLOOKUP(G4418,PRODUCTOS!$A:$B,2,0),"!COD NO ENCONTRADO"),"")</f>
        <v/>
      </c>
      <c r="I4418" s="77"/>
      <c r="J4418" s="78"/>
      <c r="K4418" s="79"/>
      <c r="L4418" s="80" t="str">
        <f aca="false">IF(AND(J4418&lt;&gt;"",K4418&lt;&gt;""),J4418*K4418,"")</f>
        <v/>
      </c>
      <c r="M4418" s="81" t="str">
        <f aca="false">IF(L4418&lt;&gt;"",L4418*1.1,"")</f>
        <v/>
      </c>
      <c r="N4418" s="53" t="n">
        <f aca="false">IF(F4418="S",L4418*0.02,0)</f>
        <v>0</v>
      </c>
      <c r="O4418" s="82" t="str">
        <f aca="false">IF(L4418&lt;&gt;"",L4418+N4418,"")</f>
        <v/>
      </c>
      <c r="P4418" s="53" t="str">
        <f aca="false">IF(O4418&lt;&gt;"",O4418*0.1,"")</f>
        <v/>
      </c>
      <c r="Q4418" s="83" t="str">
        <f aca="false">IF(O4418&lt;&gt;"",O4418+P4418,"")</f>
        <v/>
      </c>
      <c r="R4418" s="84"/>
    </row>
    <row r="4419" customFormat="false" ht="15" hidden="false" customHeight="true" outlineLevel="0" collapsed="false">
      <c r="A4419" s="103"/>
      <c r="B4419" s="85"/>
      <c r="C4419" s="86"/>
      <c r="D4419" s="87"/>
      <c r="E4419" s="46" t="str">
        <f aca="false">IF(D4419&lt;&gt;"",IFERROR(VLOOKUP(D4419,PROVEEDORES!$A:$B,2,0),"!COD NO ENCONTRADO"),"")</f>
        <v/>
      </c>
      <c r="F4419" s="88" t="str">
        <f aca="false">IF(D4419&lt;&gt;"",IFERROR(VLOOKUP(D4419,PROVEEDORES!$A:$C,3,0),""),"")</f>
        <v/>
      </c>
      <c r="G4419" s="87"/>
      <c r="H4419" s="46" t="str">
        <f aca="false">IF(G4419&lt;&gt;"",IFERROR(VLOOKUP(G4419,PRODUCTOS!$A:$B,2,0),"!COD NO ENCONTRADO"),"")</f>
        <v/>
      </c>
      <c r="I4419" s="89"/>
      <c r="J4419" s="90"/>
      <c r="K4419" s="91"/>
      <c r="L4419" s="80" t="str">
        <f aca="false">IF(AND(J4419&lt;&gt;"",K4419&lt;&gt;""),J4419*K4419,"")</f>
        <v/>
      </c>
      <c r="M4419" s="81" t="str">
        <f aca="false">IF(L4419&lt;&gt;"",L4419*1.1,"")</f>
        <v/>
      </c>
      <c r="N4419" s="47" t="n">
        <f aca="false">IF(F4419="S",L4419*0.02,0)</f>
        <v>0</v>
      </c>
      <c r="O4419" s="82" t="str">
        <f aca="false">IF(L4419&lt;&gt;"",L4419+N4419,"")</f>
        <v/>
      </c>
      <c r="P4419" s="47" t="str">
        <f aca="false">IF(O4419&lt;&gt;"",O4419*0.1,"")</f>
        <v/>
      </c>
      <c r="Q4419" s="83" t="str">
        <f aca="false">IF(O4419&lt;&gt;"",O4419+P4419,"")</f>
        <v/>
      </c>
      <c r="R4419" s="84"/>
    </row>
    <row r="4420" customFormat="false" ht="15" hidden="false" customHeight="true" outlineLevel="0" collapsed="false">
      <c r="A4420" s="103"/>
      <c r="B4420" s="73"/>
      <c r="C4420" s="74"/>
      <c r="D4420" s="75"/>
      <c r="E4420" s="52" t="str">
        <f aca="false">IF(D4420&lt;&gt;"",IFERROR(VLOOKUP(D4420,PROVEEDORES!$A:$B,2,0),"!COD NO ENCONTRADO"),"")</f>
        <v/>
      </c>
      <c r="F4420" s="76" t="str">
        <f aca="false">IF(D4420&lt;&gt;"",IFERROR(VLOOKUP(D4420,PROVEEDORES!$A:$C,3,0),""),"")</f>
        <v/>
      </c>
      <c r="G4420" s="75"/>
      <c r="H4420" s="52" t="str">
        <f aca="false">IF(G4420&lt;&gt;"",IFERROR(VLOOKUP(G4420,PRODUCTOS!$A:$B,2,0),"!COD NO ENCONTRADO"),"")</f>
        <v/>
      </c>
      <c r="I4420" s="77"/>
      <c r="J4420" s="78"/>
      <c r="K4420" s="79"/>
      <c r="L4420" s="80" t="str">
        <f aca="false">IF(AND(J4420&lt;&gt;"",K4420&lt;&gt;""),J4420*K4420,"")</f>
        <v/>
      </c>
      <c r="M4420" s="81" t="str">
        <f aca="false">IF(L4420&lt;&gt;"",L4420*1.1,"")</f>
        <v/>
      </c>
      <c r="N4420" s="53" t="n">
        <f aca="false">IF(F4420="S",L4420*0.02,0)</f>
        <v>0</v>
      </c>
      <c r="O4420" s="82" t="str">
        <f aca="false">IF(L4420&lt;&gt;"",L4420+N4420,"")</f>
        <v/>
      </c>
      <c r="P4420" s="53" t="str">
        <f aca="false">IF(O4420&lt;&gt;"",O4420*0.1,"")</f>
        <v/>
      </c>
      <c r="Q4420" s="83" t="str">
        <f aca="false">IF(O4420&lt;&gt;"",O4420+P4420,"")</f>
        <v/>
      </c>
      <c r="R4420" s="84"/>
    </row>
    <row r="4421" customFormat="false" ht="15" hidden="false" customHeight="true" outlineLevel="0" collapsed="false">
      <c r="A4421" s="103"/>
      <c r="B4421" s="85"/>
      <c r="C4421" s="86"/>
      <c r="D4421" s="87"/>
      <c r="E4421" s="46" t="str">
        <f aca="false">IF(D4421&lt;&gt;"",IFERROR(VLOOKUP(D4421,PROVEEDORES!$A:$B,2,0),"!COD NO ENCONTRADO"),"")</f>
        <v/>
      </c>
      <c r="F4421" s="88" t="str">
        <f aca="false">IF(D4421&lt;&gt;"",IFERROR(VLOOKUP(D4421,PROVEEDORES!$A:$C,3,0),""),"")</f>
        <v/>
      </c>
      <c r="G4421" s="87"/>
      <c r="H4421" s="46" t="str">
        <f aca="false">IF(G4421&lt;&gt;"",IFERROR(VLOOKUP(G4421,PRODUCTOS!$A:$B,2,0),"!COD NO ENCONTRADO"),"")</f>
        <v/>
      </c>
      <c r="I4421" s="89"/>
      <c r="J4421" s="90"/>
      <c r="K4421" s="91"/>
      <c r="L4421" s="80" t="str">
        <f aca="false">IF(AND(J4421&lt;&gt;"",K4421&lt;&gt;""),J4421*K4421,"")</f>
        <v/>
      </c>
      <c r="M4421" s="81" t="str">
        <f aca="false">IF(L4421&lt;&gt;"",L4421*1.1,"")</f>
        <v/>
      </c>
      <c r="N4421" s="47" t="n">
        <f aca="false">IF(F4421="S",L4421*0.02,0)</f>
        <v>0</v>
      </c>
      <c r="O4421" s="82" t="str">
        <f aca="false">IF(L4421&lt;&gt;"",L4421+N4421,"")</f>
        <v/>
      </c>
      <c r="P4421" s="47" t="str">
        <f aca="false">IF(O4421&lt;&gt;"",O4421*0.1,"")</f>
        <v/>
      </c>
      <c r="Q4421" s="83" t="str">
        <f aca="false">IF(O4421&lt;&gt;"",O4421+P4421,"")</f>
        <v/>
      </c>
      <c r="R4421" s="84"/>
    </row>
    <row r="4422" customFormat="false" ht="15" hidden="false" customHeight="true" outlineLevel="0" collapsed="false">
      <c r="A4422" s="103"/>
      <c r="B4422" s="73"/>
      <c r="C4422" s="74"/>
      <c r="D4422" s="75"/>
      <c r="E4422" s="52" t="str">
        <f aca="false">IF(D4422&lt;&gt;"",IFERROR(VLOOKUP(D4422,PROVEEDORES!$A:$B,2,0),"!COD NO ENCONTRADO"),"")</f>
        <v/>
      </c>
      <c r="F4422" s="76" t="str">
        <f aca="false">IF(D4422&lt;&gt;"",IFERROR(VLOOKUP(D4422,PROVEEDORES!$A:$C,3,0),""),"")</f>
        <v/>
      </c>
      <c r="G4422" s="75"/>
      <c r="H4422" s="52" t="str">
        <f aca="false">IF(G4422&lt;&gt;"",IFERROR(VLOOKUP(G4422,PRODUCTOS!$A:$B,2,0),"!COD NO ENCONTRADO"),"")</f>
        <v/>
      </c>
      <c r="I4422" s="77"/>
      <c r="J4422" s="78"/>
      <c r="K4422" s="79"/>
      <c r="L4422" s="80" t="str">
        <f aca="false">IF(AND(J4422&lt;&gt;"",K4422&lt;&gt;""),J4422*K4422,"")</f>
        <v/>
      </c>
      <c r="M4422" s="81" t="str">
        <f aca="false">IF(L4422&lt;&gt;"",L4422*1.1,"")</f>
        <v/>
      </c>
      <c r="N4422" s="53" t="n">
        <f aca="false">IF(F4422="S",L4422*0.02,0)</f>
        <v>0</v>
      </c>
      <c r="O4422" s="82" t="str">
        <f aca="false">IF(L4422&lt;&gt;"",L4422+N4422,"")</f>
        <v/>
      </c>
      <c r="P4422" s="53" t="str">
        <f aca="false">IF(O4422&lt;&gt;"",O4422*0.1,"")</f>
        <v/>
      </c>
      <c r="Q4422" s="83" t="str">
        <f aca="false">IF(O4422&lt;&gt;"",O4422+P4422,"")</f>
        <v/>
      </c>
      <c r="R4422" s="84"/>
    </row>
    <row r="4423" customFormat="false" ht="15" hidden="false" customHeight="true" outlineLevel="0" collapsed="false">
      <c r="A4423" s="103"/>
      <c r="B4423" s="85"/>
      <c r="C4423" s="86"/>
      <c r="D4423" s="87"/>
      <c r="E4423" s="46" t="str">
        <f aca="false">IF(D4423&lt;&gt;"",IFERROR(VLOOKUP(D4423,PROVEEDORES!$A:$B,2,0),"!COD NO ENCONTRADO"),"")</f>
        <v/>
      </c>
      <c r="F4423" s="88" t="str">
        <f aca="false">IF(D4423&lt;&gt;"",IFERROR(VLOOKUP(D4423,PROVEEDORES!$A:$C,3,0),""),"")</f>
        <v/>
      </c>
      <c r="G4423" s="87"/>
      <c r="H4423" s="46" t="str">
        <f aca="false">IF(G4423&lt;&gt;"",IFERROR(VLOOKUP(G4423,PRODUCTOS!$A:$B,2,0),"!COD NO ENCONTRADO"),"")</f>
        <v/>
      </c>
      <c r="I4423" s="89"/>
      <c r="J4423" s="90"/>
      <c r="K4423" s="91"/>
      <c r="L4423" s="80" t="str">
        <f aca="false">IF(AND(J4423&lt;&gt;"",K4423&lt;&gt;""),J4423*K4423,"")</f>
        <v/>
      </c>
      <c r="M4423" s="81" t="str">
        <f aca="false">IF(L4423&lt;&gt;"",L4423*1.1,"")</f>
        <v/>
      </c>
      <c r="N4423" s="47" t="n">
        <f aca="false">IF(F4423="S",L4423*0.02,0)</f>
        <v>0</v>
      </c>
      <c r="O4423" s="82" t="str">
        <f aca="false">IF(L4423&lt;&gt;"",L4423+N4423,"")</f>
        <v/>
      </c>
      <c r="P4423" s="47" t="str">
        <f aca="false">IF(O4423&lt;&gt;"",O4423*0.1,"")</f>
        <v/>
      </c>
      <c r="Q4423" s="83" t="str">
        <f aca="false">IF(O4423&lt;&gt;"",O4423+P4423,"")</f>
        <v/>
      </c>
      <c r="R4423" s="84"/>
    </row>
    <row r="4424" customFormat="false" ht="15" hidden="false" customHeight="true" outlineLevel="0" collapsed="false">
      <c r="A4424" s="103"/>
      <c r="B4424" s="73"/>
      <c r="C4424" s="74"/>
      <c r="D4424" s="75"/>
      <c r="E4424" s="52" t="str">
        <f aca="false">IF(D4424&lt;&gt;"",IFERROR(VLOOKUP(D4424,PROVEEDORES!$A:$B,2,0),"!COD NO ENCONTRADO"),"")</f>
        <v/>
      </c>
      <c r="F4424" s="76" t="str">
        <f aca="false">IF(D4424&lt;&gt;"",IFERROR(VLOOKUP(D4424,PROVEEDORES!$A:$C,3,0),""),"")</f>
        <v/>
      </c>
      <c r="G4424" s="75"/>
      <c r="H4424" s="52" t="str">
        <f aca="false">IF(G4424&lt;&gt;"",IFERROR(VLOOKUP(G4424,PRODUCTOS!$A:$B,2,0),"!COD NO ENCONTRADO"),"")</f>
        <v/>
      </c>
      <c r="I4424" s="77"/>
      <c r="J4424" s="78"/>
      <c r="K4424" s="79"/>
      <c r="L4424" s="80" t="str">
        <f aca="false">IF(AND(J4424&lt;&gt;"",K4424&lt;&gt;""),J4424*K4424,"")</f>
        <v/>
      </c>
      <c r="M4424" s="81" t="str">
        <f aca="false">IF(L4424&lt;&gt;"",L4424*1.1,"")</f>
        <v/>
      </c>
      <c r="N4424" s="53" t="n">
        <f aca="false">IF(F4424="S",L4424*0.02,0)</f>
        <v>0</v>
      </c>
      <c r="O4424" s="82" t="str">
        <f aca="false">IF(L4424&lt;&gt;"",L4424+N4424,"")</f>
        <v/>
      </c>
      <c r="P4424" s="53" t="str">
        <f aca="false">IF(O4424&lt;&gt;"",O4424*0.1,"")</f>
        <v/>
      </c>
      <c r="Q4424" s="83" t="str">
        <f aca="false">IF(O4424&lt;&gt;"",O4424+P4424,"")</f>
        <v/>
      </c>
      <c r="R4424" s="84"/>
    </row>
    <row r="4425" customFormat="false" ht="15" hidden="false" customHeight="true" outlineLevel="0" collapsed="false">
      <c r="A4425" s="103"/>
      <c r="B4425" s="85"/>
      <c r="C4425" s="86"/>
      <c r="D4425" s="87"/>
      <c r="E4425" s="46" t="str">
        <f aca="false">IF(D4425&lt;&gt;"",IFERROR(VLOOKUP(D4425,PROVEEDORES!$A:$B,2,0),"!COD NO ENCONTRADO"),"")</f>
        <v/>
      </c>
      <c r="F4425" s="88" t="str">
        <f aca="false">IF(D4425&lt;&gt;"",IFERROR(VLOOKUP(D4425,PROVEEDORES!$A:$C,3,0),""),"")</f>
        <v/>
      </c>
      <c r="G4425" s="87"/>
      <c r="H4425" s="46" t="str">
        <f aca="false">IF(G4425&lt;&gt;"",IFERROR(VLOOKUP(G4425,PRODUCTOS!$A:$B,2,0),"!COD NO ENCONTRADO"),"")</f>
        <v/>
      </c>
      <c r="I4425" s="89"/>
      <c r="J4425" s="90"/>
      <c r="K4425" s="91"/>
      <c r="L4425" s="80" t="str">
        <f aca="false">IF(AND(J4425&lt;&gt;"",K4425&lt;&gt;""),J4425*K4425,"")</f>
        <v/>
      </c>
      <c r="M4425" s="81" t="str">
        <f aca="false">IF(L4425&lt;&gt;"",L4425*1.1,"")</f>
        <v/>
      </c>
      <c r="N4425" s="47" t="n">
        <f aca="false">IF(F4425="S",L4425*0.02,0)</f>
        <v>0</v>
      </c>
      <c r="O4425" s="82" t="str">
        <f aca="false">IF(L4425&lt;&gt;"",L4425+N4425,"")</f>
        <v/>
      </c>
      <c r="P4425" s="47" t="str">
        <f aca="false">IF(O4425&lt;&gt;"",O4425*0.1,"")</f>
        <v/>
      </c>
      <c r="Q4425" s="83" t="str">
        <f aca="false">IF(O4425&lt;&gt;"",O4425+P4425,"")</f>
        <v/>
      </c>
      <c r="R4425" s="84"/>
    </row>
    <row r="4426" customFormat="false" ht="15" hidden="false" customHeight="true" outlineLevel="0" collapsed="false">
      <c r="A4426" s="103"/>
      <c r="B4426" s="73"/>
      <c r="C4426" s="74"/>
      <c r="D4426" s="75"/>
      <c r="E4426" s="52" t="str">
        <f aca="false">IF(D4426&lt;&gt;"",IFERROR(VLOOKUP(D4426,PROVEEDORES!$A:$B,2,0),"!COD NO ENCONTRADO"),"")</f>
        <v/>
      </c>
      <c r="F4426" s="76" t="str">
        <f aca="false">IF(D4426&lt;&gt;"",IFERROR(VLOOKUP(D4426,PROVEEDORES!$A:$C,3,0),""),"")</f>
        <v/>
      </c>
      <c r="G4426" s="75"/>
      <c r="H4426" s="52" t="str">
        <f aca="false">IF(G4426&lt;&gt;"",IFERROR(VLOOKUP(G4426,PRODUCTOS!$A:$B,2,0),"!COD NO ENCONTRADO"),"")</f>
        <v/>
      </c>
      <c r="I4426" s="77"/>
      <c r="J4426" s="78"/>
      <c r="K4426" s="79"/>
      <c r="L4426" s="80" t="str">
        <f aca="false">IF(AND(J4426&lt;&gt;"",K4426&lt;&gt;""),J4426*K4426,"")</f>
        <v/>
      </c>
      <c r="M4426" s="81" t="str">
        <f aca="false">IF(L4426&lt;&gt;"",L4426*1.1,"")</f>
        <v/>
      </c>
      <c r="N4426" s="53" t="n">
        <f aca="false">IF(F4426="S",L4426*0.02,0)</f>
        <v>0</v>
      </c>
      <c r="O4426" s="82" t="str">
        <f aca="false">IF(L4426&lt;&gt;"",L4426+N4426,"")</f>
        <v/>
      </c>
      <c r="P4426" s="53" t="str">
        <f aca="false">IF(O4426&lt;&gt;"",O4426*0.1,"")</f>
        <v/>
      </c>
      <c r="Q4426" s="83" t="str">
        <f aca="false">IF(O4426&lt;&gt;"",O4426+P4426,"")</f>
        <v/>
      </c>
      <c r="R4426" s="84"/>
    </row>
    <row r="4427" customFormat="false" ht="15" hidden="false" customHeight="true" outlineLevel="0" collapsed="false">
      <c r="A4427" s="103"/>
      <c r="B4427" s="85"/>
      <c r="C4427" s="86"/>
      <c r="D4427" s="87"/>
      <c r="E4427" s="46" t="str">
        <f aca="false">IF(D4427&lt;&gt;"",IFERROR(VLOOKUP(D4427,PROVEEDORES!$A:$B,2,0),"!COD NO ENCONTRADO"),"")</f>
        <v/>
      </c>
      <c r="F4427" s="88" t="str">
        <f aca="false">IF(D4427&lt;&gt;"",IFERROR(VLOOKUP(D4427,PROVEEDORES!$A:$C,3,0),""),"")</f>
        <v/>
      </c>
      <c r="G4427" s="87"/>
      <c r="H4427" s="46" t="str">
        <f aca="false">IF(G4427&lt;&gt;"",IFERROR(VLOOKUP(G4427,PRODUCTOS!$A:$B,2,0),"!COD NO ENCONTRADO"),"")</f>
        <v/>
      </c>
      <c r="I4427" s="89"/>
      <c r="J4427" s="90"/>
      <c r="K4427" s="91"/>
      <c r="L4427" s="80" t="str">
        <f aca="false">IF(AND(J4427&lt;&gt;"",K4427&lt;&gt;""),J4427*K4427,"")</f>
        <v/>
      </c>
      <c r="M4427" s="81" t="str">
        <f aca="false">IF(L4427&lt;&gt;"",L4427*1.1,"")</f>
        <v/>
      </c>
      <c r="N4427" s="47" t="n">
        <f aca="false">IF(F4427="S",L4427*0.02,0)</f>
        <v>0</v>
      </c>
      <c r="O4427" s="82" t="str">
        <f aca="false">IF(L4427&lt;&gt;"",L4427+N4427,"")</f>
        <v/>
      </c>
      <c r="P4427" s="47" t="str">
        <f aca="false">IF(O4427&lt;&gt;"",O4427*0.1,"")</f>
        <v/>
      </c>
      <c r="Q4427" s="83" t="str">
        <f aca="false">IF(O4427&lt;&gt;"",O4427+P4427,"")</f>
        <v/>
      </c>
      <c r="R4427" s="84"/>
    </row>
    <row r="4428" customFormat="false" ht="15" hidden="false" customHeight="true" outlineLevel="0" collapsed="false">
      <c r="A4428" s="103"/>
      <c r="B4428" s="73"/>
      <c r="C4428" s="74"/>
      <c r="D4428" s="75"/>
      <c r="E4428" s="52" t="str">
        <f aca="false">IF(D4428&lt;&gt;"",IFERROR(VLOOKUP(D4428,PROVEEDORES!$A:$B,2,0),"!COD NO ENCONTRADO"),"")</f>
        <v/>
      </c>
      <c r="F4428" s="76" t="str">
        <f aca="false">IF(D4428&lt;&gt;"",IFERROR(VLOOKUP(D4428,PROVEEDORES!$A:$C,3,0),""),"")</f>
        <v/>
      </c>
      <c r="G4428" s="75"/>
      <c r="H4428" s="52" t="str">
        <f aca="false">IF(G4428&lt;&gt;"",IFERROR(VLOOKUP(G4428,PRODUCTOS!$A:$B,2,0),"!COD NO ENCONTRADO"),"")</f>
        <v/>
      </c>
      <c r="I4428" s="77"/>
      <c r="J4428" s="78"/>
      <c r="K4428" s="79"/>
      <c r="L4428" s="80" t="str">
        <f aca="false">IF(AND(J4428&lt;&gt;"",K4428&lt;&gt;""),J4428*K4428,"")</f>
        <v/>
      </c>
      <c r="M4428" s="81" t="str">
        <f aca="false">IF(L4428&lt;&gt;"",L4428*1.1,"")</f>
        <v/>
      </c>
      <c r="N4428" s="53" t="n">
        <f aca="false">IF(F4428="S",L4428*0.02,0)</f>
        <v>0</v>
      </c>
      <c r="O4428" s="82" t="str">
        <f aca="false">IF(L4428&lt;&gt;"",L4428+N4428,"")</f>
        <v/>
      </c>
      <c r="P4428" s="53" t="str">
        <f aca="false">IF(O4428&lt;&gt;"",O4428*0.1,"")</f>
        <v/>
      </c>
      <c r="Q4428" s="83" t="str">
        <f aca="false">IF(O4428&lt;&gt;"",O4428+P4428,"")</f>
        <v/>
      </c>
      <c r="R4428" s="84"/>
    </row>
    <row r="4429" customFormat="false" ht="15" hidden="false" customHeight="true" outlineLevel="0" collapsed="false">
      <c r="A4429" s="103"/>
      <c r="B4429" s="85"/>
      <c r="C4429" s="86"/>
      <c r="D4429" s="87"/>
      <c r="E4429" s="46" t="str">
        <f aca="false">IF(D4429&lt;&gt;"",IFERROR(VLOOKUP(D4429,PROVEEDORES!$A:$B,2,0),"!COD NO ENCONTRADO"),"")</f>
        <v/>
      </c>
      <c r="F4429" s="88" t="str">
        <f aca="false">IF(D4429&lt;&gt;"",IFERROR(VLOOKUP(D4429,PROVEEDORES!$A:$C,3,0),""),"")</f>
        <v/>
      </c>
      <c r="G4429" s="87"/>
      <c r="H4429" s="46" t="str">
        <f aca="false">IF(G4429&lt;&gt;"",IFERROR(VLOOKUP(G4429,PRODUCTOS!$A:$B,2,0),"!COD NO ENCONTRADO"),"")</f>
        <v/>
      </c>
      <c r="I4429" s="89"/>
      <c r="J4429" s="90"/>
      <c r="K4429" s="91"/>
      <c r="L4429" s="80" t="str">
        <f aca="false">IF(AND(J4429&lt;&gt;"",K4429&lt;&gt;""),J4429*K4429,"")</f>
        <v/>
      </c>
      <c r="M4429" s="81" t="str">
        <f aca="false">IF(L4429&lt;&gt;"",L4429*1.1,"")</f>
        <v/>
      </c>
      <c r="N4429" s="47" t="n">
        <f aca="false">IF(F4429="S",L4429*0.02,0)</f>
        <v>0</v>
      </c>
      <c r="O4429" s="82" t="str">
        <f aca="false">IF(L4429&lt;&gt;"",L4429+N4429,"")</f>
        <v/>
      </c>
      <c r="P4429" s="47" t="str">
        <f aca="false">IF(O4429&lt;&gt;"",O4429*0.1,"")</f>
        <v/>
      </c>
      <c r="Q4429" s="83" t="str">
        <f aca="false">IF(O4429&lt;&gt;"",O4429+P4429,"")</f>
        <v/>
      </c>
      <c r="R4429" s="84"/>
    </row>
    <row r="4430" customFormat="false" ht="15" hidden="false" customHeight="true" outlineLevel="0" collapsed="false">
      <c r="A4430" s="103"/>
      <c r="B4430" s="73"/>
      <c r="C4430" s="74"/>
      <c r="D4430" s="75"/>
      <c r="E4430" s="52" t="str">
        <f aca="false">IF(D4430&lt;&gt;"",IFERROR(VLOOKUP(D4430,PROVEEDORES!$A:$B,2,0),"!COD NO ENCONTRADO"),"")</f>
        <v/>
      </c>
      <c r="F4430" s="76" t="str">
        <f aca="false">IF(D4430&lt;&gt;"",IFERROR(VLOOKUP(D4430,PROVEEDORES!$A:$C,3,0),""),"")</f>
        <v/>
      </c>
      <c r="G4430" s="75"/>
      <c r="H4430" s="52" t="str">
        <f aca="false">IF(G4430&lt;&gt;"",IFERROR(VLOOKUP(G4430,PRODUCTOS!$A:$B,2,0),"!COD NO ENCONTRADO"),"")</f>
        <v/>
      </c>
      <c r="I4430" s="77"/>
      <c r="J4430" s="78"/>
      <c r="K4430" s="79"/>
      <c r="L4430" s="80" t="str">
        <f aca="false">IF(AND(J4430&lt;&gt;"",K4430&lt;&gt;""),J4430*K4430,"")</f>
        <v/>
      </c>
      <c r="M4430" s="81" t="str">
        <f aca="false">IF(L4430&lt;&gt;"",L4430*1.1,"")</f>
        <v/>
      </c>
      <c r="N4430" s="53" t="n">
        <f aca="false">IF(F4430="S",L4430*0.02,0)</f>
        <v>0</v>
      </c>
      <c r="O4430" s="82" t="str">
        <f aca="false">IF(L4430&lt;&gt;"",L4430+N4430,"")</f>
        <v/>
      </c>
      <c r="P4430" s="53" t="str">
        <f aca="false">IF(O4430&lt;&gt;"",O4430*0.1,"")</f>
        <v/>
      </c>
      <c r="Q4430" s="83" t="str">
        <f aca="false">IF(O4430&lt;&gt;"",O4430+P4430,"")</f>
        <v/>
      </c>
      <c r="R4430" s="84"/>
    </row>
    <row r="4431" customFormat="false" ht="15" hidden="false" customHeight="true" outlineLevel="0" collapsed="false">
      <c r="A4431" s="103"/>
      <c r="B4431" s="85"/>
      <c r="C4431" s="86"/>
      <c r="D4431" s="87"/>
      <c r="E4431" s="46" t="str">
        <f aca="false">IF(D4431&lt;&gt;"",IFERROR(VLOOKUP(D4431,PROVEEDORES!$A:$B,2,0),"!COD NO ENCONTRADO"),"")</f>
        <v/>
      </c>
      <c r="F4431" s="88" t="str">
        <f aca="false">IF(D4431&lt;&gt;"",IFERROR(VLOOKUP(D4431,PROVEEDORES!$A:$C,3,0),""),"")</f>
        <v/>
      </c>
      <c r="G4431" s="87"/>
      <c r="H4431" s="46" t="str">
        <f aca="false">IF(G4431&lt;&gt;"",IFERROR(VLOOKUP(G4431,PRODUCTOS!$A:$B,2,0),"!COD NO ENCONTRADO"),"")</f>
        <v/>
      </c>
      <c r="I4431" s="89"/>
      <c r="J4431" s="90"/>
      <c r="K4431" s="91"/>
      <c r="L4431" s="80" t="str">
        <f aca="false">IF(AND(J4431&lt;&gt;"",K4431&lt;&gt;""),J4431*K4431,"")</f>
        <v/>
      </c>
      <c r="M4431" s="81" t="str">
        <f aca="false">IF(L4431&lt;&gt;"",L4431*1.1,"")</f>
        <v/>
      </c>
      <c r="N4431" s="47" t="n">
        <f aca="false">IF(F4431="S",L4431*0.02,0)</f>
        <v>0</v>
      </c>
      <c r="O4431" s="82" t="str">
        <f aca="false">IF(L4431&lt;&gt;"",L4431+N4431,"")</f>
        <v/>
      </c>
      <c r="P4431" s="47" t="str">
        <f aca="false">IF(O4431&lt;&gt;"",O4431*0.1,"")</f>
        <v/>
      </c>
      <c r="Q4431" s="83" t="str">
        <f aca="false">IF(O4431&lt;&gt;"",O4431+P4431,"")</f>
        <v/>
      </c>
      <c r="R4431" s="84"/>
    </row>
    <row r="4432" customFormat="false" ht="15" hidden="false" customHeight="true" outlineLevel="0" collapsed="false">
      <c r="A4432" s="103"/>
      <c r="B4432" s="73"/>
      <c r="C4432" s="74"/>
      <c r="D4432" s="75"/>
      <c r="E4432" s="52" t="str">
        <f aca="false">IF(D4432&lt;&gt;"",IFERROR(VLOOKUP(D4432,PROVEEDORES!$A:$B,2,0),"!COD NO ENCONTRADO"),"")</f>
        <v/>
      </c>
      <c r="F4432" s="76" t="str">
        <f aca="false">IF(D4432&lt;&gt;"",IFERROR(VLOOKUP(D4432,PROVEEDORES!$A:$C,3,0),""),"")</f>
        <v/>
      </c>
      <c r="G4432" s="75"/>
      <c r="H4432" s="52" t="str">
        <f aca="false">IF(G4432&lt;&gt;"",IFERROR(VLOOKUP(G4432,PRODUCTOS!$A:$B,2,0),"!COD NO ENCONTRADO"),"")</f>
        <v/>
      </c>
      <c r="I4432" s="77"/>
      <c r="J4432" s="78"/>
      <c r="K4432" s="79"/>
      <c r="L4432" s="80" t="str">
        <f aca="false">IF(AND(J4432&lt;&gt;"",K4432&lt;&gt;""),J4432*K4432,"")</f>
        <v/>
      </c>
      <c r="M4432" s="81" t="str">
        <f aca="false">IF(L4432&lt;&gt;"",L4432*1.1,"")</f>
        <v/>
      </c>
      <c r="N4432" s="53" t="n">
        <f aca="false">IF(F4432="S",L4432*0.02,0)</f>
        <v>0</v>
      </c>
      <c r="O4432" s="82" t="str">
        <f aca="false">IF(L4432&lt;&gt;"",L4432+N4432,"")</f>
        <v/>
      </c>
      <c r="P4432" s="53" t="str">
        <f aca="false">IF(O4432&lt;&gt;"",O4432*0.1,"")</f>
        <v/>
      </c>
      <c r="Q4432" s="83" t="str">
        <f aca="false">IF(O4432&lt;&gt;"",O4432+P4432,"")</f>
        <v/>
      </c>
      <c r="R4432" s="84"/>
    </row>
    <row r="4433" customFormat="false" ht="15" hidden="false" customHeight="true" outlineLevel="0" collapsed="false">
      <c r="A4433" s="103"/>
      <c r="B4433" s="85"/>
      <c r="C4433" s="86"/>
      <c r="D4433" s="87"/>
      <c r="E4433" s="46" t="str">
        <f aca="false">IF(D4433&lt;&gt;"",IFERROR(VLOOKUP(D4433,PROVEEDORES!$A:$B,2,0),"!COD NO ENCONTRADO"),"")</f>
        <v/>
      </c>
      <c r="F4433" s="88" t="str">
        <f aca="false">IF(D4433&lt;&gt;"",IFERROR(VLOOKUP(D4433,PROVEEDORES!$A:$C,3,0),""),"")</f>
        <v/>
      </c>
      <c r="G4433" s="87"/>
      <c r="H4433" s="46" t="str">
        <f aca="false">IF(G4433&lt;&gt;"",IFERROR(VLOOKUP(G4433,PRODUCTOS!$A:$B,2,0),"!COD NO ENCONTRADO"),"")</f>
        <v/>
      </c>
      <c r="I4433" s="89"/>
      <c r="J4433" s="90"/>
      <c r="K4433" s="91"/>
      <c r="L4433" s="80" t="str">
        <f aca="false">IF(AND(J4433&lt;&gt;"",K4433&lt;&gt;""),J4433*K4433,"")</f>
        <v/>
      </c>
      <c r="M4433" s="81" t="str">
        <f aca="false">IF(L4433&lt;&gt;"",L4433*1.1,"")</f>
        <v/>
      </c>
      <c r="N4433" s="47" t="n">
        <f aca="false">IF(F4433="S",L4433*0.02,0)</f>
        <v>0</v>
      </c>
      <c r="O4433" s="82" t="str">
        <f aca="false">IF(L4433&lt;&gt;"",L4433+N4433,"")</f>
        <v/>
      </c>
      <c r="P4433" s="47" t="str">
        <f aca="false">IF(O4433&lt;&gt;"",O4433*0.1,"")</f>
        <v/>
      </c>
      <c r="Q4433" s="83" t="str">
        <f aca="false">IF(O4433&lt;&gt;"",O4433+P4433,"")</f>
        <v/>
      </c>
      <c r="R4433" s="84"/>
    </row>
    <row r="4434" customFormat="false" ht="15" hidden="false" customHeight="true" outlineLevel="0" collapsed="false">
      <c r="A4434" s="103"/>
      <c r="B4434" s="73"/>
      <c r="C4434" s="74"/>
      <c r="D4434" s="75"/>
      <c r="E4434" s="52" t="str">
        <f aca="false">IF(D4434&lt;&gt;"",IFERROR(VLOOKUP(D4434,PROVEEDORES!$A:$B,2,0),"!COD NO ENCONTRADO"),"")</f>
        <v/>
      </c>
      <c r="F4434" s="76" t="str">
        <f aca="false">IF(D4434&lt;&gt;"",IFERROR(VLOOKUP(D4434,PROVEEDORES!$A:$C,3,0),""),"")</f>
        <v/>
      </c>
      <c r="G4434" s="75"/>
      <c r="H4434" s="52" t="str">
        <f aca="false">IF(G4434&lt;&gt;"",IFERROR(VLOOKUP(G4434,PRODUCTOS!$A:$B,2,0),"!COD NO ENCONTRADO"),"")</f>
        <v/>
      </c>
      <c r="I4434" s="77"/>
      <c r="J4434" s="78"/>
      <c r="K4434" s="79"/>
      <c r="L4434" s="80" t="str">
        <f aca="false">IF(AND(J4434&lt;&gt;"",K4434&lt;&gt;""),J4434*K4434,"")</f>
        <v/>
      </c>
      <c r="M4434" s="81" t="str">
        <f aca="false">IF(L4434&lt;&gt;"",L4434*1.1,"")</f>
        <v/>
      </c>
      <c r="N4434" s="53" t="n">
        <f aca="false">IF(F4434="S",L4434*0.02,0)</f>
        <v>0</v>
      </c>
      <c r="O4434" s="82" t="str">
        <f aca="false">IF(L4434&lt;&gt;"",L4434+N4434,"")</f>
        <v/>
      </c>
      <c r="P4434" s="53" t="str">
        <f aca="false">IF(O4434&lt;&gt;"",O4434*0.1,"")</f>
        <v/>
      </c>
      <c r="Q4434" s="83" t="str">
        <f aca="false">IF(O4434&lt;&gt;"",O4434+P4434,"")</f>
        <v/>
      </c>
      <c r="R4434" s="84"/>
    </row>
    <row r="4435" customFormat="false" ht="15" hidden="false" customHeight="true" outlineLevel="0" collapsed="false">
      <c r="A4435" s="103"/>
      <c r="B4435" s="85"/>
      <c r="C4435" s="86"/>
      <c r="D4435" s="87"/>
      <c r="E4435" s="46" t="str">
        <f aca="false">IF(D4435&lt;&gt;"",IFERROR(VLOOKUP(D4435,PROVEEDORES!$A:$B,2,0),"!COD NO ENCONTRADO"),"")</f>
        <v/>
      </c>
      <c r="F4435" s="88" t="str">
        <f aca="false">IF(D4435&lt;&gt;"",IFERROR(VLOOKUP(D4435,PROVEEDORES!$A:$C,3,0),""),"")</f>
        <v/>
      </c>
      <c r="G4435" s="87"/>
      <c r="H4435" s="46" t="str">
        <f aca="false">IF(G4435&lt;&gt;"",IFERROR(VLOOKUP(G4435,PRODUCTOS!$A:$B,2,0),"!COD NO ENCONTRADO"),"")</f>
        <v/>
      </c>
      <c r="I4435" s="89"/>
      <c r="J4435" s="90"/>
      <c r="K4435" s="91"/>
      <c r="L4435" s="80" t="str">
        <f aca="false">IF(AND(J4435&lt;&gt;"",K4435&lt;&gt;""),J4435*K4435,"")</f>
        <v/>
      </c>
      <c r="M4435" s="81" t="str">
        <f aca="false">IF(L4435&lt;&gt;"",L4435*1.1,"")</f>
        <v/>
      </c>
      <c r="N4435" s="47" t="n">
        <f aca="false">IF(F4435="S",L4435*0.02,0)</f>
        <v>0</v>
      </c>
      <c r="O4435" s="82" t="str">
        <f aca="false">IF(L4435&lt;&gt;"",L4435+N4435,"")</f>
        <v/>
      </c>
      <c r="P4435" s="47" t="str">
        <f aca="false">IF(O4435&lt;&gt;"",O4435*0.1,"")</f>
        <v/>
      </c>
      <c r="Q4435" s="83" t="str">
        <f aca="false">IF(O4435&lt;&gt;"",O4435+P4435,"")</f>
        <v/>
      </c>
      <c r="R4435" s="84"/>
    </row>
    <row r="4436" customFormat="false" ht="15" hidden="false" customHeight="true" outlineLevel="0" collapsed="false">
      <c r="A4436" s="103"/>
      <c r="B4436" s="73"/>
      <c r="C4436" s="74"/>
      <c r="D4436" s="75"/>
      <c r="E4436" s="52" t="str">
        <f aca="false">IF(D4436&lt;&gt;"",IFERROR(VLOOKUP(D4436,PROVEEDORES!$A:$B,2,0),"!COD NO ENCONTRADO"),"")</f>
        <v/>
      </c>
      <c r="F4436" s="76" t="str">
        <f aca="false">IF(D4436&lt;&gt;"",IFERROR(VLOOKUP(D4436,PROVEEDORES!$A:$C,3,0),""),"")</f>
        <v/>
      </c>
      <c r="G4436" s="75"/>
      <c r="H4436" s="52" t="str">
        <f aca="false">IF(G4436&lt;&gt;"",IFERROR(VLOOKUP(G4436,PRODUCTOS!$A:$B,2,0),"!COD NO ENCONTRADO"),"")</f>
        <v/>
      </c>
      <c r="I4436" s="77"/>
      <c r="J4436" s="78"/>
      <c r="K4436" s="79"/>
      <c r="L4436" s="80" t="str">
        <f aca="false">IF(AND(J4436&lt;&gt;"",K4436&lt;&gt;""),J4436*K4436,"")</f>
        <v/>
      </c>
      <c r="M4436" s="81" t="str">
        <f aca="false">IF(L4436&lt;&gt;"",L4436*1.1,"")</f>
        <v/>
      </c>
      <c r="N4436" s="53" t="n">
        <f aca="false">IF(F4436="S",L4436*0.02,0)</f>
        <v>0</v>
      </c>
      <c r="O4436" s="82" t="str">
        <f aca="false">IF(L4436&lt;&gt;"",L4436+N4436,"")</f>
        <v/>
      </c>
      <c r="P4436" s="53" t="str">
        <f aca="false">IF(O4436&lt;&gt;"",O4436*0.1,"")</f>
        <v/>
      </c>
      <c r="Q4436" s="83" t="str">
        <f aca="false">IF(O4436&lt;&gt;"",O4436+P4436,"")</f>
        <v/>
      </c>
      <c r="R4436" s="84"/>
    </row>
    <row r="4437" customFormat="false" ht="15" hidden="false" customHeight="true" outlineLevel="0" collapsed="false">
      <c r="A4437" s="103"/>
      <c r="B4437" s="85"/>
      <c r="C4437" s="86"/>
      <c r="D4437" s="87"/>
      <c r="E4437" s="46" t="str">
        <f aca="false">IF(D4437&lt;&gt;"",IFERROR(VLOOKUP(D4437,PROVEEDORES!$A:$B,2,0),"!COD NO ENCONTRADO"),"")</f>
        <v/>
      </c>
      <c r="F4437" s="88" t="str">
        <f aca="false">IF(D4437&lt;&gt;"",IFERROR(VLOOKUP(D4437,PROVEEDORES!$A:$C,3,0),""),"")</f>
        <v/>
      </c>
      <c r="G4437" s="87"/>
      <c r="H4437" s="46" t="str">
        <f aca="false">IF(G4437&lt;&gt;"",IFERROR(VLOOKUP(G4437,PRODUCTOS!$A:$B,2,0),"!COD NO ENCONTRADO"),"")</f>
        <v/>
      </c>
      <c r="I4437" s="89"/>
      <c r="J4437" s="90"/>
      <c r="K4437" s="91"/>
      <c r="L4437" s="80" t="str">
        <f aca="false">IF(AND(J4437&lt;&gt;"",K4437&lt;&gt;""),J4437*K4437,"")</f>
        <v/>
      </c>
      <c r="M4437" s="81" t="str">
        <f aca="false">IF(L4437&lt;&gt;"",L4437*1.1,"")</f>
        <v/>
      </c>
      <c r="N4437" s="47" t="n">
        <f aca="false">IF(F4437="S",L4437*0.02,0)</f>
        <v>0</v>
      </c>
      <c r="O4437" s="82" t="str">
        <f aca="false">IF(L4437&lt;&gt;"",L4437+N4437,"")</f>
        <v/>
      </c>
      <c r="P4437" s="47" t="str">
        <f aca="false">IF(O4437&lt;&gt;"",O4437*0.1,"")</f>
        <v/>
      </c>
      <c r="Q4437" s="83" t="str">
        <f aca="false">IF(O4437&lt;&gt;"",O4437+P4437,"")</f>
        <v/>
      </c>
      <c r="R4437" s="84"/>
    </row>
    <row r="4438" customFormat="false" ht="15" hidden="false" customHeight="true" outlineLevel="0" collapsed="false">
      <c r="A4438" s="103"/>
      <c r="B4438" s="73"/>
      <c r="C4438" s="74"/>
      <c r="D4438" s="75"/>
      <c r="E4438" s="52" t="str">
        <f aca="false">IF(D4438&lt;&gt;"",IFERROR(VLOOKUP(D4438,PROVEEDORES!$A:$B,2,0),"!COD NO ENCONTRADO"),"")</f>
        <v/>
      </c>
      <c r="F4438" s="76" t="str">
        <f aca="false">IF(D4438&lt;&gt;"",IFERROR(VLOOKUP(D4438,PROVEEDORES!$A:$C,3,0),""),"")</f>
        <v/>
      </c>
      <c r="G4438" s="75"/>
      <c r="H4438" s="52" t="str">
        <f aca="false">IF(G4438&lt;&gt;"",IFERROR(VLOOKUP(G4438,PRODUCTOS!$A:$B,2,0),"!COD NO ENCONTRADO"),"")</f>
        <v/>
      </c>
      <c r="I4438" s="77"/>
      <c r="J4438" s="78"/>
      <c r="K4438" s="79"/>
      <c r="L4438" s="80" t="str">
        <f aca="false">IF(AND(J4438&lt;&gt;"",K4438&lt;&gt;""),J4438*K4438,"")</f>
        <v/>
      </c>
      <c r="M4438" s="81" t="str">
        <f aca="false">IF(L4438&lt;&gt;"",L4438*1.1,"")</f>
        <v/>
      </c>
      <c r="N4438" s="53" t="n">
        <f aca="false">IF(F4438="S",L4438*0.02,0)</f>
        <v>0</v>
      </c>
      <c r="O4438" s="82" t="str">
        <f aca="false">IF(L4438&lt;&gt;"",L4438+N4438,"")</f>
        <v/>
      </c>
      <c r="P4438" s="53" t="str">
        <f aca="false">IF(O4438&lt;&gt;"",O4438*0.1,"")</f>
        <v/>
      </c>
      <c r="Q4438" s="83" t="str">
        <f aca="false">IF(O4438&lt;&gt;"",O4438+P4438,"")</f>
        <v/>
      </c>
      <c r="R4438" s="84"/>
    </row>
    <row r="4439" customFormat="false" ht="15" hidden="false" customHeight="true" outlineLevel="0" collapsed="false">
      <c r="A4439" s="103"/>
      <c r="B4439" s="85"/>
      <c r="C4439" s="86"/>
      <c r="D4439" s="87"/>
      <c r="E4439" s="46" t="str">
        <f aca="false">IF(D4439&lt;&gt;"",IFERROR(VLOOKUP(D4439,PROVEEDORES!$A:$B,2,0),"!COD NO ENCONTRADO"),"")</f>
        <v/>
      </c>
      <c r="F4439" s="88" t="str">
        <f aca="false">IF(D4439&lt;&gt;"",IFERROR(VLOOKUP(D4439,PROVEEDORES!$A:$C,3,0),""),"")</f>
        <v/>
      </c>
      <c r="G4439" s="87"/>
      <c r="H4439" s="46" t="str">
        <f aca="false">IF(G4439&lt;&gt;"",IFERROR(VLOOKUP(G4439,PRODUCTOS!$A:$B,2,0),"!COD NO ENCONTRADO"),"")</f>
        <v/>
      </c>
      <c r="I4439" s="89"/>
      <c r="J4439" s="90"/>
      <c r="K4439" s="91"/>
      <c r="L4439" s="80" t="str">
        <f aca="false">IF(AND(J4439&lt;&gt;"",K4439&lt;&gt;""),J4439*K4439,"")</f>
        <v/>
      </c>
      <c r="M4439" s="81" t="str">
        <f aca="false">IF(L4439&lt;&gt;"",L4439*1.1,"")</f>
        <v/>
      </c>
      <c r="N4439" s="47" t="n">
        <f aca="false">IF(F4439="S",L4439*0.02,0)</f>
        <v>0</v>
      </c>
      <c r="O4439" s="82" t="str">
        <f aca="false">IF(L4439&lt;&gt;"",L4439+N4439,"")</f>
        <v/>
      </c>
      <c r="P4439" s="47" t="str">
        <f aca="false">IF(O4439&lt;&gt;"",O4439*0.1,"")</f>
        <v/>
      </c>
      <c r="Q4439" s="83" t="str">
        <f aca="false">IF(O4439&lt;&gt;"",O4439+P4439,"")</f>
        <v/>
      </c>
      <c r="R4439" s="84"/>
    </row>
    <row r="4440" customFormat="false" ht="15" hidden="false" customHeight="true" outlineLevel="0" collapsed="false">
      <c r="A4440" s="103"/>
      <c r="B4440" s="73"/>
      <c r="C4440" s="74"/>
      <c r="D4440" s="75"/>
      <c r="E4440" s="52" t="str">
        <f aca="false">IF(D4440&lt;&gt;"",IFERROR(VLOOKUP(D4440,PROVEEDORES!$A:$B,2,0),"!COD NO ENCONTRADO"),"")</f>
        <v/>
      </c>
      <c r="F4440" s="76" t="str">
        <f aca="false">IF(D4440&lt;&gt;"",IFERROR(VLOOKUP(D4440,PROVEEDORES!$A:$C,3,0),""),"")</f>
        <v/>
      </c>
      <c r="G4440" s="75"/>
      <c r="H4440" s="52" t="str">
        <f aca="false">IF(G4440&lt;&gt;"",IFERROR(VLOOKUP(G4440,PRODUCTOS!$A:$B,2,0),"!COD NO ENCONTRADO"),"")</f>
        <v/>
      </c>
      <c r="I4440" s="77"/>
      <c r="J4440" s="78"/>
      <c r="K4440" s="79"/>
      <c r="L4440" s="80" t="str">
        <f aca="false">IF(AND(J4440&lt;&gt;"",K4440&lt;&gt;""),J4440*K4440,"")</f>
        <v/>
      </c>
      <c r="M4440" s="81" t="str">
        <f aca="false">IF(L4440&lt;&gt;"",L4440*1.1,"")</f>
        <v/>
      </c>
      <c r="N4440" s="53" t="n">
        <f aca="false">IF(F4440="S",L4440*0.02,0)</f>
        <v>0</v>
      </c>
      <c r="O4440" s="82" t="str">
        <f aca="false">IF(L4440&lt;&gt;"",L4440+N4440,"")</f>
        <v/>
      </c>
      <c r="P4440" s="53" t="str">
        <f aca="false">IF(O4440&lt;&gt;"",O4440*0.1,"")</f>
        <v/>
      </c>
      <c r="Q4440" s="83" t="str">
        <f aca="false">IF(O4440&lt;&gt;"",O4440+P4440,"")</f>
        <v/>
      </c>
      <c r="R4440" s="84"/>
    </row>
    <row r="4441" customFormat="false" ht="15" hidden="false" customHeight="true" outlineLevel="0" collapsed="false">
      <c r="A4441" s="103"/>
      <c r="B4441" s="85"/>
      <c r="C4441" s="86"/>
      <c r="D4441" s="87"/>
      <c r="E4441" s="46" t="str">
        <f aca="false">IF(D4441&lt;&gt;"",IFERROR(VLOOKUP(D4441,PROVEEDORES!$A:$B,2,0),"!COD NO ENCONTRADO"),"")</f>
        <v/>
      </c>
      <c r="F4441" s="88" t="str">
        <f aca="false">IF(D4441&lt;&gt;"",IFERROR(VLOOKUP(D4441,PROVEEDORES!$A:$C,3,0),""),"")</f>
        <v/>
      </c>
      <c r="G4441" s="87"/>
      <c r="H4441" s="46" t="str">
        <f aca="false">IF(G4441&lt;&gt;"",IFERROR(VLOOKUP(G4441,PRODUCTOS!$A:$B,2,0),"!COD NO ENCONTRADO"),"")</f>
        <v/>
      </c>
      <c r="I4441" s="89"/>
      <c r="J4441" s="90"/>
      <c r="K4441" s="91"/>
      <c r="L4441" s="80" t="str">
        <f aca="false">IF(AND(J4441&lt;&gt;"",K4441&lt;&gt;""),J4441*K4441,"")</f>
        <v/>
      </c>
      <c r="M4441" s="81" t="str">
        <f aca="false">IF(L4441&lt;&gt;"",L4441*1.1,"")</f>
        <v/>
      </c>
      <c r="N4441" s="47" t="n">
        <f aca="false">IF(F4441="S",L4441*0.02,0)</f>
        <v>0</v>
      </c>
      <c r="O4441" s="82" t="str">
        <f aca="false">IF(L4441&lt;&gt;"",L4441+N4441,"")</f>
        <v/>
      </c>
      <c r="P4441" s="47" t="str">
        <f aca="false">IF(O4441&lt;&gt;"",O4441*0.1,"")</f>
        <v/>
      </c>
      <c r="Q4441" s="83" t="str">
        <f aca="false">IF(O4441&lt;&gt;"",O4441+P4441,"")</f>
        <v/>
      </c>
      <c r="R4441" s="84"/>
    </row>
    <row r="4442" customFormat="false" ht="15" hidden="false" customHeight="true" outlineLevel="0" collapsed="false">
      <c r="A4442" s="103"/>
      <c r="B4442" s="73"/>
      <c r="C4442" s="74"/>
      <c r="D4442" s="75"/>
      <c r="E4442" s="52" t="str">
        <f aca="false">IF(D4442&lt;&gt;"",IFERROR(VLOOKUP(D4442,PROVEEDORES!$A:$B,2,0),"!COD NO ENCONTRADO"),"")</f>
        <v/>
      </c>
      <c r="F4442" s="76" t="str">
        <f aca="false">IF(D4442&lt;&gt;"",IFERROR(VLOOKUP(D4442,PROVEEDORES!$A:$C,3,0),""),"")</f>
        <v/>
      </c>
      <c r="G4442" s="75"/>
      <c r="H4442" s="52" t="str">
        <f aca="false">IF(G4442&lt;&gt;"",IFERROR(VLOOKUP(G4442,PRODUCTOS!$A:$B,2,0),"!COD NO ENCONTRADO"),"")</f>
        <v/>
      </c>
      <c r="I4442" s="77"/>
      <c r="J4442" s="78"/>
      <c r="K4442" s="79"/>
      <c r="L4442" s="80" t="str">
        <f aca="false">IF(AND(J4442&lt;&gt;"",K4442&lt;&gt;""),J4442*K4442,"")</f>
        <v/>
      </c>
      <c r="M4442" s="81" t="str">
        <f aca="false">IF(L4442&lt;&gt;"",L4442*1.1,"")</f>
        <v/>
      </c>
      <c r="N4442" s="53" t="n">
        <f aca="false">IF(F4442="S",L4442*0.02,0)</f>
        <v>0</v>
      </c>
      <c r="O4442" s="82" t="str">
        <f aca="false">IF(L4442&lt;&gt;"",L4442+N4442,"")</f>
        <v/>
      </c>
      <c r="P4442" s="53" t="str">
        <f aca="false">IF(O4442&lt;&gt;"",O4442*0.1,"")</f>
        <v/>
      </c>
      <c r="Q4442" s="83" t="str">
        <f aca="false">IF(O4442&lt;&gt;"",O4442+P4442,"")</f>
        <v/>
      </c>
      <c r="R4442" s="84"/>
    </row>
    <row r="4443" customFormat="false" ht="15" hidden="false" customHeight="true" outlineLevel="0" collapsed="false">
      <c r="A4443" s="103"/>
      <c r="B4443" s="85"/>
      <c r="C4443" s="86"/>
      <c r="D4443" s="87"/>
      <c r="E4443" s="46" t="str">
        <f aca="false">IF(D4443&lt;&gt;"",IFERROR(VLOOKUP(D4443,PROVEEDORES!$A:$B,2,0),"!COD NO ENCONTRADO"),"")</f>
        <v/>
      </c>
      <c r="F4443" s="88" t="str">
        <f aca="false">IF(D4443&lt;&gt;"",IFERROR(VLOOKUP(D4443,PROVEEDORES!$A:$C,3,0),""),"")</f>
        <v/>
      </c>
      <c r="G4443" s="87"/>
      <c r="H4443" s="46" t="str">
        <f aca="false">IF(G4443&lt;&gt;"",IFERROR(VLOOKUP(G4443,PRODUCTOS!$A:$B,2,0),"!COD NO ENCONTRADO"),"")</f>
        <v/>
      </c>
      <c r="I4443" s="89"/>
      <c r="J4443" s="90"/>
      <c r="K4443" s="91"/>
      <c r="L4443" s="80" t="str">
        <f aca="false">IF(AND(J4443&lt;&gt;"",K4443&lt;&gt;""),J4443*K4443,"")</f>
        <v/>
      </c>
      <c r="M4443" s="81" t="str">
        <f aca="false">IF(L4443&lt;&gt;"",L4443*1.1,"")</f>
        <v/>
      </c>
      <c r="N4443" s="47" t="n">
        <f aca="false">IF(F4443="S",L4443*0.02,0)</f>
        <v>0</v>
      </c>
      <c r="O4443" s="82" t="str">
        <f aca="false">IF(L4443&lt;&gt;"",L4443+N4443,"")</f>
        <v/>
      </c>
      <c r="P4443" s="47" t="str">
        <f aca="false">IF(O4443&lt;&gt;"",O4443*0.1,"")</f>
        <v/>
      </c>
      <c r="Q4443" s="83" t="str">
        <f aca="false">IF(O4443&lt;&gt;"",O4443+P4443,"")</f>
        <v/>
      </c>
      <c r="R4443" s="84"/>
    </row>
    <row r="4444" customFormat="false" ht="15" hidden="false" customHeight="true" outlineLevel="0" collapsed="false">
      <c r="A4444" s="103"/>
      <c r="B4444" s="73"/>
      <c r="C4444" s="74"/>
      <c r="D4444" s="75"/>
      <c r="E4444" s="52" t="str">
        <f aca="false">IF(D4444&lt;&gt;"",IFERROR(VLOOKUP(D4444,PROVEEDORES!$A:$B,2,0),"!COD NO ENCONTRADO"),"")</f>
        <v/>
      </c>
      <c r="F4444" s="76" t="str">
        <f aca="false">IF(D4444&lt;&gt;"",IFERROR(VLOOKUP(D4444,PROVEEDORES!$A:$C,3,0),""),"")</f>
        <v/>
      </c>
      <c r="G4444" s="75"/>
      <c r="H4444" s="52" t="str">
        <f aca="false">IF(G4444&lt;&gt;"",IFERROR(VLOOKUP(G4444,PRODUCTOS!$A:$B,2,0),"!COD NO ENCONTRADO"),"")</f>
        <v/>
      </c>
      <c r="I4444" s="77"/>
      <c r="J4444" s="78"/>
      <c r="K4444" s="79"/>
      <c r="L4444" s="80" t="str">
        <f aca="false">IF(AND(J4444&lt;&gt;"",K4444&lt;&gt;""),J4444*K4444,"")</f>
        <v/>
      </c>
      <c r="M4444" s="81" t="str">
        <f aca="false">IF(L4444&lt;&gt;"",L4444*1.1,"")</f>
        <v/>
      </c>
      <c r="N4444" s="53" t="n">
        <f aca="false">IF(F4444="S",L4444*0.02,0)</f>
        <v>0</v>
      </c>
      <c r="O4444" s="82" t="str">
        <f aca="false">IF(L4444&lt;&gt;"",L4444+N4444,"")</f>
        <v/>
      </c>
      <c r="P4444" s="53" t="str">
        <f aca="false">IF(O4444&lt;&gt;"",O4444*0.1,"")</f>
        <v/>
      </c>
      <c r="Q4444" s="83" t="str">
        <f aca="false">IF(O4444&lt;&gt;"",O4444+P4444,"")</f>
        <v/>
      </c>
      <c r="R4444" s="84"/>
    </row>
    <row r="4445" customFormat="false" ht="15" hidden="false" customHeight="true" outlineLevel="0" collapsed="false">
      <c r="A4445" s="103"/>
      <c r="B4445" s="85"/>
      <c r="C4445" s="86"/>
      <c r="D4445" s="87"/>
      <c r="E4445" s="46" t="str">
        <f aca="false">IF(D4445&lt;&gt;"",IFERROR(VLOOKUP(D4445,PROVEEDORES!$A:$B,2,0),"!COD NO ENCONTRADO"),"")</f>
        <v/>
      </c>
      <c r="F4445" s="88" t="str">
        <f aca="false">IF(D4445&lt;&gt;"",IFERROR(VLOOKUP(D4445,PROVEEDORES!$A:$C,3,0),""),"")</f>
        <v/>
      </c>
      <c r="G4445" s="87"/>
      <c r="H4445" s="46" t="str">
        <f aca="false">IF(G4445&lt;&gt;"",IFERROR(VLOOKUP(G4445,PRODUCTOS!$A:$B,2,0),"!COD NO ENCONTRADO"),"")</f>
        <v/>
      </c>
      <c r="I4445" s="89"/>
      <c r="J4445" s="90"/>
      <c r="K4445" s="91"/>
      <c r="L4445" s="80" t="str">
        <f aca="false">IF(AND(J4445&lt;&gt;"",K4445&lt;&gt;""),J4445*K4445,"")</f>
        <v/>
      </c>
      <c r="M4445" s="81" t="str">
        <f aca="false">IF(L4445&lt;&gt;"",L4445*1.1,"")</f>
        <v/>
      </c>
      <c r="N4445" s="47" t="n">
        <f aca="false">IF(F4445="S",L4445*0.02,0)</f>
        <v>0</v>
      </c>
      <c r="O4445" s="82" t="str">
        <f aca="false">IF(L4445&lt;&gt;"",L4445+N4445,"")</f>
        <v/>
      </c>
      <c r="P4445" s="47" t="str">
        <f aca="false">IF(O4445&lt;&gt;"",O4445*0.1,"")</f>
        <v/>
      </c>
      <c r="Q4445" s="83" t="str">
        <f aca="false">IF(O4445&lt;&gt;"",O4445+P4445,"")</f>
        <v/>
      </c>
      <c r="R4445" s="84"/>
    </row>
    <row r="4446" customFormat="false" ht="15" hidden="false" customHeight="true" outlineLevel="0" collapsed="false">
      <c r="A4446" s="103"/>
      <c r="B4446" s="73"/>
      <c r="C4446" s="74"/>
      <c r="D4446" s="75"/>
      <c r="E4446" s="52" t="str">
        <f aca="false">IF(D4446&lt;&gt;"",IFERROR(VLOOKUP(D4446,PROVEEDORES!$A:$B,2,0),"!COD NO ENCONTRADO"),"")</f>
        <v/>
      </c>
      <c r="F4446" s="76" t="str">
        <f aca="false">IF(D4446&lt;&gt;"",IFERROR(VLOOKUP(D4446,PROVEEDORES!$A:$C,3,0),""),"")</f>
        <v/>
      </c>
      <c r="G4446" s="75"/>
      <c r="H4446" s="52" t="str">
        <f aca="false">IF(G4446&lt;&gt;"",IFERROR(VLOOKUP(G4446,PRODUCTOS!$A:$B,2,0),"!COD NO ENCONTRADO"),"")</f>
        <v/>
      </c>
      <c r="I4446" s="77"/>
      <c r="J4446" s="78"/>
      <c r="K4446" s="79"/>
      <c r="L4446" s="80" t="str">
        <f aca="false">IF(AND(J4446&lt;&gt;"",K4446&lt;&gt;""),J4446*K4446,"")</f>
        <v/>
      </c>
      <c r="M4446" s="81" t="str">
        <f aca="false">IF(L4446&lt;&gt;"",L4446*1.1,"")</f>
        <v/>
      </c>
      <c r="N4446" s="53" t="n">
        <f aca="false">IF(F4446="S",L4446*0.02,0)</f>
        <v>0</v>
      </c>
      <c r="O4446" s="82" t="str">
        <f aca="false">IF(L4446&lt;&gt;"",L4446+N4446,"")</f>
        <v/>
      </c>
      <c r="P4446" s="53" t="str">
        <f aca="false">IF(O4446&lt;&gt;"",O4446*0.1,"")</f>
        <v/>
      </c>
      <c r="Q4446" s="83" t="str">
        <f aca="false">IF(O4446&lt;&gt;"",O4446+P4446,"")</f>
        <v/>
      </c>
      <c r="R4446" s="84"/>
    </row>
    <row r="4447" customFormat="false" ht="15" hidden="false" customHeight="true" outlineLevel="0" collapsed="false">
      <c r="A4447" s="103"/>
      <c r="B4447" s="85"/>
      <c r="C4447" s="86"/>
      <c r="D4447" s="87"/>
      <c r="E4447" s="46" t="str">
        <f aca="false">IF(D4447&lt;&gt;"",IFERROR(VLOOKUP(D4447,PROVEEDORES!$A:$B,2,0),"!COD NO ENCONTRADO"),"")</f>
        <v/>
      </c>
      <c r="F4447" s="88" t="str">
        <f aca="false">IF(D4447&lt;&gt;"",IFERROR(VLOOKUP(D4447,PROVEEDORES!$A:$C,3,0),""),"")</f>
        <v/>
      </c>
      <c r="G4447" s="87"/>
      <c r="H4447" s="46" t="str">
        <f aca="false">IF(G4447&lt;&gt;"",IFERROR(VLOOKUP(G4447,PRODUCTOS!$A:$B,2,0),"!COD NO ENCONTRADO"),"")</f>
        <v/>
      </c>
      <c r="I4447" s="89"/>
      <c r="J4447" s="90"/>
      <c r="K4447" s="91"/>
      <c r="L4447" s="80" t="str">
        <f aca="false">IF(AND(J4447&lt;&gt;"",K4447&lt;&gt;""),J4447*K4447,"")</f>
        <v/>
      </c>
      <c r="M4447" s="81" t="str">
        <f aca="false">IF(L4447&lt;&gt;"",L4447*1.1,"")</f>
        <v/>
      </c>
      <c r="N4447" s="47" t="n">
        <f aca="false">IF(F4447="S",L4447*0.02,0)</f>
        <v>0</v>
      </c>
      <c r="O4447" s="82" t="str">
        <f aca="false">IF(L4447&lt;&gt;"",L4447+N4447,"")</f>
        <v/>
      </c>
      <c r="P4447" s="47" t="str">
        <f aca="false">IF(O4447&lt;&gt;"",O4447*0.1,"")</f>
        <v/>
      </c>
      <c r="Q4447" s="83" t="str">
        <f aca="false">IF(O4447&lt;&gt;"",O4447+P4447,"")</f>
        <v/>
      </c>
      <c r="R4447" s="84"/>
    </row>
    <row r="4448" customFormat="false" ht="15" hidden="false" customHeight="true" outlineLevel="0" collapsed="false">
      <c r="A4448" s="103"/>
      <c r="B4448" s="73"/>
      <c r="C4448" s="74"/>
      <c r="D4448" s="75"/>
      <c r="E4448" s="52" t="str">
        <f aca="false">IF(D4448&lt;&gt;"",IFERROR(VLOOKUP(D4448,PROVEEDORES!$A:$B,2,0),"!COD NO ENCONTRADO"),"")</f>
        <v/>
      </c>
      <c r="F4448" s="76" t="str">
        <f aca="false">IF(D4448&lt;&gt;"",IFERROR(VLOOKUP(D4448,PROVEEDORES!$A:$C,3,0),""),"")</f>
        <v/>
      </c>
      <c r="G4448" s="75"/>
      <c r="H4448" s="52" t="str">
        <f aca="false">IF(G4448&lt;&gt;"",IFERROR(VLOOKUP(G4448,PRODUCTOS!$A:$B,2,0),"!COD NO ENCONTRADO"),"")</f>
        <v/>
      </c>
      <c r="I4448" s="77"/>
      <c r="J4448" s="78"/>
      <c r="K4448" s="79"/>
      <c r="L4448" s="80" t="str">
        <f aca="false">IF(AND(J4448&lt;&gt;"",K4448&lt;&gt;""),J4448*K4448,"")</f>
        <v/>
      </c>
      <c r="M4448" s="81" t="str">
        <f aca="false">IF(L4448&lt;&gt;"",L4448*1.1,"")</f>
        <v/>
      </c>
      <c r="N4448" s="53" t="n">
        <f aca="false">IF(F4448="S",L4448*0.02,0)</f>
        <v>0</v>
      </c>
      <c r="O4448" s="82" t="str">
        <f aca="false">IF(L4448&lt;&gt;"",L4448+N4448,"")</f>
        <v/>
      </c>
      <c r="P4448" s="53" t="str">
        <f aca="false">IF(O4448&lt;&gt;"",O4448*0.1,"")</f>
        <v/>
      </c>
      <c r="Q4448" s="83" t="str">
        <f aca="false">IF(O4448&lt;&gt;"",O4448+P4448,"")</f>
        <v/>
      </c>
      <c r="R4448" s="84"/>
    </row>
    <row r="4449" customFormat="false" ht="15" hidden="false" customHeight="true" outlineLevel="0" collapsed="false">
      <c r="A4449" s="103"/>
      <c r="B4449" s="85"/>
      <c r="C4449" s="86"/>
      <c r="D4449" s="87"/>
      <c r="E4449" s="46" t="str">
        <f aca="false">IF(D4449&lt;&gt;"",IFERROR(VLOOKUP(D4449,PROVEEDORES!$A:$B,2,0),"!COD NO ENCONTRADO"),"")</f>
        <v/>
      </c>
      <c r="F4449" s="88" t="str">
        <f aca="false">IF(D4449&lt;&gt;"",IFERROR(VLOOKUP(D4449,PROVEEDORES!$A:$C,3,0),""),"")</f>
        <v/>
      </c>
      <c r="G4449" s="87"/>
      <c r="H4449" s="46" t="str">
        <f aca="false">IF(G4449&lt;&gt;"",IFERROR(VLOOKUP(G4449,PRODUCTOS!$A:$B,2,0),"!COD NO ENCONTRADO"),"")</f>
        <v/>
      </c>
      <c r="I4449" s="89"/>
      <c r="J4449" s="90"/>
      <c r="K4449" s="91"/>
      <c r="L4449" s="80" t="str">
        <f aca="false">IF(AND(J4449&lt;&gt;"",K4449&lt;&gt;""),J4449*K4449,"")</f>
        <v/>
      </c>
      <c r="M4449" s="81" t="str">
        <f aca="false">IF(L4449&lt;&gt;"",L4449*1.1,"")</f>
        <v/>
      </c>
      <c r="N4449" s="47" t="n">
        <f aca="false">IF(F4449="S",L4449*0.02,0)</f>
        <v>0</v>
      </c>
      <c r="O4449" s="82" t="str">
        <f aca="false">IF(L4449&lt;&gt;"",L4449+N4449,"")</f>
        <v/>
      </c>
      <c r="P4449" s="47" t="str">
        <f aca="false">IF(O4449&lt;&gt;"",O4449*0.1,"")</f>
        <v/>
      </c>
      <c r="Q4449" s="83" t="str">
        <f aca="false">IF(O4449&lt;&gt;"",O4449+P4449,"")</f>
        <v/>
      </c>
      <c r="R4449" s="84"/>
    </row>
    <row r="4450" customFormat="false" ht="15" hidden="false" customHeight="true" outlineLevel="0" collapsed="false">
      <c r="A4450" s="103"/>
      <c r="B4450" s="73"/>
      <c r="C4450" s="74"/>
      <c r="D4450" s="75"/>
      <c r="E4450" s="52" t="str">
        <f aca="false">IF(D4450&lt;&gt;"",IFERROR(VLOOKUP(D4450,PROVEEDORES!$A:$B,2,0),"!COD NO ENCONTRADO"),"")</f>
        <v/>
      </c>
      <c r="F4450" s="76" t="str">
        <f aca="false">IF(D4450&lt;&gt;"",IFERROR(VLOOKUP(D4450,PROVEEDORES!$A:$C,3,0),""),"")</f>
        <v/>
      </c>
      <c r="G4450" s="75"/>
      <c r="H4450" s="52" t="str">
        <f aca="false">IF(G4450&lt;&gt;"",IFERROR(VLOOKUP(G4450,PRODUCTOS!$A:$B,2,0),"!COD NO ENCONTRADO"),"")</f>
        <v/>
      </c>
      <c r="I4450" s="77"/>
      <c r="J4450" s="78"/>
      <c r="K4450" s="79"/>
      <c r="L4450" s="80" t="str">
        <f aca="false">IF(AND(J4450&lt;&gt;"",K4450&lt;&gt;""),J4450*K4450,"")</f>
        <v/>
      </c>
      <c r="M4450" s="81" t="str">
        <f aca="false">IF(L4450&lt;&gt;"",L4450*1.1,"")</f>
        <v/>
      </c>
      <c r="N4450" s="53" t="n">
        <f aca="false">IF(F4450="S",L4450*0.02,0)</f>
        <v>0</v>
      </c>
      <c r="O4450" s="82" t="str">
        <f aca="false">IF(L4450&lt;&gt;"",L4450+N4450,"")</f>
        <v/>
      </c>
      <c r="P4450" s="53" t="str">
        <f aca="false">IF(O4450&lt;&gt;"",O4450*0.1,"")</f>
        <v/>
      </c>
      <c r="Q4450" s="83" t="str">
        <f aca="false">IF(O4450&lt;&gt;"",O4450+P4450,"")</f>
        <v/>
      </c>
      <c r="R4450" s="84"/>
    </row>
    <row r="4451" customFormat="false" ht="15" hidden="false" customHeight="true" outlineLevel="0" collapsed="false">
      <c r="A4451" s="103"/>
      <c r="B4451" s="85"/>
      <c r="C4451" s="86"/>
      <c r="D4451" s="87"/>
      <c r="E4451" s="46" t="str">
        <f aca="false">IF(D4451&lt;&gt;"",IFERROR(VLOOKUP(D4451,PROVEEDORES!$A:$B,2,0),"!COD NO ENCONTRADO"),"")</f>
        <v/>
      </c>
      <c r="F4451" s="88" t="str">
        <f aca="false">IF(D4451&lt;&gt;"",IFERROR(VLOOKUP(D4451,PROVEEDORES!$A:$C,3,0),""),"")</f>
        <v/>
      </c>
      <c r="G4451" s="87"/>
      <c r="H4451" s="46" t="str">
        <f aca="false">IF(G4451&lt;&gt;"",IFERROR(VLOOKUP(G4451,PRODUCTOS!$A:$B,2,0),"!COD NO ENCONTRADO"),"")</f>
        <v/>
      </c>
      <c r="I4451" s="89"/>
      <c r="J4451" s="90"/>
      <c r="K4451" s="91"/>
      <c r="L4451" s="80" t="str">
        <f aca="false">IF(AND(J4451&lt;&gt;"",K4451&lt;&gt;""),J4451*K4451,"")</f>
        <v/>
      </c>
      <c r="M4451" s="81" t="str">
        <f aca="false">IF(L4451&lt;&gt;"",L4451*1.1,"")</f>
        <v/>
      </c>
      <c r="N4451" s="47" t="n">
        <f aca="false">IF(F4451="S",L4451*0.02,0)</f>
        <v>0</v>
      </c>
      <c r="O4451" s="82" t="str">
        <f aca="false">IF(L4451&lt;&gt;"",L4451+N4451,"")</f>
        <v/>
      </c>
      <c r="P4451" s="47" t="str">
        <f aca="false">IF(O4451&lt;&gt;"",O4451*0.1,"")</f>
        <v/>
      </c>
      <c r="Q4451" s="83" t="str">
        <f aca="false">IF(O4451&lt;&gt;"",O4451+P4451,"")</f>
        <v/>
      </c>
      <c r="R4451" s="84"/>
    </row>
    <row r="4452" customFormat="false" ht="15" hidden="false" customHeight="true" outlineLevel="0" collapsed="false">
      <c r="A4452" s="103"/>
      <c r="B4452" s="73"/>
      <c r="C4452" s="74"/>
      <c r="D4452" s="75"/>
      <c r="E4452" s="52" t="str">
        <f aca="false">IF(D4452&lt;&gt;"",IFERROR(VLOOKUP(D4452,PROVEEDORES!$A:$B,2,0),"!COD NO ENCONTRADO"),"")</f>
        <v/>
      </c>
      <c r="F4452" s="76" t="str">
        <f aca="false">IF(D4452&lt;&gt;"",IFERROR(VLOOKUP(D4452,PROVEEDORES!$A:$C,3,0),""),"")</f>
        <v/>
      </c>
      <c r="G4452" s="75"/>
      <c r="H4452" s="52" t="str">
        <f aca="false">IF(G4452&lt;&gt;"",IFERROR(VLOOKUP(G4452,PRODUCTOS!$A:$B,2,0),"!COD NO ENCONTRADO"),"")</f>
        <v/>
      </c>
      <c r="I4452" s="77"/>
      <c r="J4452" s="78"/>
      <c r="K4452" s="79"/>
      <c r="L4452" s="80" t="str">
        <f aca="false">IF(AND(J4452&lt;&gt;"",K4452&lt;&gt;""),J4452*K4452,"")</f>
        <v/>
      </c>
      <c r="M4452" s="81" t="str">
        <f aca="false">IF(L4452&lt;&gt;"",L4452*1.1,"")</f>
        <v/>
      </c>
      <c r="N4452" s="53" t="n">
        <f aca="false">IF(F4452="S",L4452*0.02,0)</f>
        <v>0</v>
      </c>
      <c r="O4452" s="82" t="str">
        <f aca="false">IF(L4452&lt;&gt;"",L4452+N4452,"")</f>
        <v/>
      </c>
      <c r="P4452" s="53" t="str">
        <f aca="false">IF(O4452&lt;&gt;"",O4452*0.1,"")</f>
        <v/>
      </c>
      <c r="Q4452" s="83" t="str">
        <f aca="false">IF(O4452&lt;&gt;"",O4452+P4452,"")</f>
        <v/>
      </c>
      <c r="R4452" s="84"/>
    </row>
    <row r="4453" customFormat="false" ht="15" hidden="false" customHeight="true" outlineLevel="0" collapsed="false">
      <c r="A4453" s="103"/>
      <c r="B4453" s="85"/>
      <c r="C4453" s="86"/>
      <c r="D4453" s="87"/>
      <c r="E4453" s="46" t="str">
        <f aca="false">IF(D4453&lt;&gt;"",IFERROR(VLOOKUP(D4453,PROVEEDORES!$A:$B,2,0),"!COD NO ENCONTRADO"),"")</f>
        <v/>
      </c>
      <c r="F4453" s="88" t="str">
        <f aca="false">IF(D4453&lt;&gt;"",IFERROR(VLOOKUP(D4453,PROVEEDORES!$A:$C,3,0),""),"")</f>
        <v/>
      </c>
      <c r="G4453" s="87"/>
      <c r="H4453" s="46" t="str">
        <f aca="false">IF(G4453&lt;&gt;"",IFERROR(VLOOKUP(G4453,PRODUCTOS!$A:$B,2,0),"!COD NO ENCONTRADO"),"")</f>
        <v/>
      </c>
      <c r="I4453" s="89"/>
      <c r="J4453" s="90"/>
      <c r="K4453" s="91"/>
      <c r="L4453" s="80" t="str">
        <f aca="false">IF(AND(J4453&lt;&gt;"",K4453&lt;&gt;""),J4453*K4453,"")</f>
        <v/>
      </c>
      <c r="M4453" s="81" t="str">
        <f aca="false">IF(L4453&lt;&gt;"",L4453*1.1,"")</f>
        <v/>
      </c>
      <c r="N4453" s="47" t="n">
        <f aca="false">IF(F4453="S",L4453*0.02,0)</f>
        <v>0</v>
      </c>
      <c r="O4453" s="82" t="str">
        <f aca="false">IF(L4453&lt;&gt;"",L4453+N4453,"")</f>
        <v/>
      </c>
      <c r="P4453" s="47" t="str">
        <f aca="false">IF(O4453&lt;&gt;"",O4453*0.1,"")</f>
        <v/>
      </c>
      <c r="Q4453" s="83" t="str">
        <f aca="false">IF(O4453&lt;&gt;"",O4453+P4453,"")</f>
        <v/>
      </c>
      <c r="R4453" s="84"/>
    </row>
    <row r="4454" customFormat="false" ht="15" hidden="false" customHeight="true" outlineLevel="0" collapsed="false">
      <c r="A4454" s="103"/>
      <c r="B4454" s="73"/>
      <c r="C4454" s="74"/>
      <c r="D4454" s="75"/>
      <c r="E4454" s="52" t="str">
        <f aca="false">IF(D4454&lt;&gt;"",IFERROR(VLOOKUP(D4454,PROVEEDORES!$A:$B,2,0),"!COD NO ENCONTRADO"),"")</f>
        <v/>
      </c>
      <c r="F4454" s="76" t="str">
        <f aca="false">IF(D4454&lt;&gt;"",IFERROR(VLOOKUP(D4454,PROVEEDORES!$A:$C,3,0),""),"")</f>
        <v/>
      </c>
      <c r="G4454" s="75"/>
      <c r="H4454" s="52" t="str">
        <f aca="false">IF(G4454&lt;&gt;"",IFERROR(VLOOKUP(G4454,PRODUCTOS!$A:$B,2,0),"!COD NO ENCONTRADO"),"")</f>
        <v/>
      </c>
      <c r="I4454" s="77"/>
      <c r="J4454" s="78"/>
      <c r="K4454" s="79"/>
      <c r="L4454" s="80" t="str">
        <f aca="false">IF(AND(J4454&lt;&gt;"",K4454&lt;&gt;""),J4454*K4454,"")</f>
        <v/>
      </c>
      <c r="M4454" s="81" t="str">
        <f aca="false">IF(L4454&lt;&gt;"",L4454*1.1,"")</f>
        <v/>
      </c>
      <c r="N4454" s="53" t="n">
        <f aca="false">IF(F4454="S",L4454*0.02,0)</f>
        <v>0</v>
      </c>
      <c r="O4454" s="82" t="str">
        <f aca="false">IF(L4454&lt;&gt;"",L4454+N4454,"")</f>
        <v/>
      </c>
      <c r="P4454" s="53" t="str">
        <f aca="false">IF(O4454&lt;&gt;"",O4454*0.1,"")</f>
        <v/>
      </c>
      <c r="Q4454" s="83" t="str">
        <f aca="false">IF(O4454&lt;&gt;"",O4454+P4454,"")</f>
        <v/>
      </c>
      <c r="R4454" s="84"/>
    </row>
    <row r="4455" customFormat="false" ht="15" hidden="false" customHeight="true" outlineLevel="0" collapsed="false">
      <c r="A4455" s="103"/>
      <c r="B4455" s="85"/>
      <c r="C4455" s="86"/>
      <c r="D4455" s="87"/>
      <c r="E4455" s="46" t="str">
        <f aca="false">IF(D4455&lt;&gt;"",IFERROR(VLOOKUP(D4455,PROVEEDORES!$A:$B,2,0),"!COD NO ENCONTRADO"),"")</f>
        <v/>
      </c>
      <c r="F4455" s="88" t="str">
        <f aca="false">IF(D4455&lt;&gt;"",IFERROR(VLOOKUP(D4455,PROVEEDORES!$A:$C,3,0),""),"")</f>
        <v/>
      </c>
      <c r="G4455" s="87"/>
      <c r="H4455" s="46" t="str">
        <f aca="false">IF(G4455&lt;&gt;"",IFERROR(VLOOKUP(G4455,PRODUCTOS!$A:$B,2,0),"!COD NO ENCONTRADO"),"")</f>
        <v/>
      </c>
      <c r="I4455" s="89"/>
      <c r="J4455" s="90"/>
      <c r="K4455" s="91"/>
      <c r="L4455" s="80" t="str">
        <f aca="false">IF(AND(J4455&lt;&gt;"",K4455&lt;&gt;""),J4455*K4455,"")</f>
        <v/>
      </c>
      <c r="M4455" s="81" t="str">
        <f aca="false">IF(L4455&lt;&gt;"",L4455*1.1,"")</f>
        <v/>
      </c>
      <c r="N4455" s="47" t="n">
        <f aca="false">IF(F4455="S",L4455*0.02,0)</f>
        <v>0</v>
      </c>
      <c r="O4455" s="82" t="str">
        <f aca="false">IF(L4455&lt;&gt;"",L4455+N4455,"")</f>
        <v/>
      </c>
      <c r="P4455" s="47" t="str">
        <f aca="false">IF(O4455&lt;&gt;"",O4455*0.1,"")</f>
        <v/>
      </c>
      <c r="Q4455" s="83" t="str">
        <f aca="false">IF(O4455&lt;&gt;"",O4455+P4455,"")</f>
        <v/>
      </c>
      <c r="R4455" s="84"/>
    </row>
    <row r="4456" customFormat="false" ht="15" hidden="false" customHeight="true" outlineLevel="0" collapsed="false">
      <c r="A4456" s="103"/>
      <c r="B4456" s="73"/>
      <c r="C4456" s="74"/>
      <c r="D4456" s="75"/>
      <c r="E4456" s="52" t="str">
        <f aca="false">IF(D4456&lt;&gt;"",IFERROR(VLOOKUP(D4456,PROVEEDORES!$A:$B,2,0),"!COD NO ENCONTRADO"),"")</f>
        <v/>
      </c>
      <c r="F4456" s="76" t="str">
        <f aca="false">IF(D4456&lt;&gt;"",IFERROR(VLOOKUP(D4456,PROVEEDORES!$A:$C,3,0),""),"")</f>
        <v/>
      </c>
      <c r="G4456" s="75"/>
      <c r="H4456" s="52" t="str">
        <f aca="false">IF(G4456&lt;&gt;"",IFERROR(VLOOKUP(G4456,PRODUCTOS!$A:$B,2,0),"!COD NO ENCONTRADO"),"")</f>
        <v/>
      </c>
      <c r="I4456" s="77"/>
      <c r="J4456" s="78"/>
      <c r="K4456" s="79"/>
      <c r="L4456" s="80" t="str">
        <f aca="false">IF(AND(J4456&lt;&gt;"",K4456&lt;&gt;""),J4456*K4456,"")</f>
        <v/>
      </c>
      <c r="M4456" s="81" t="str">
        <f aca="false">IF(L4456&lt;&gt;"",L4456*1.1,"")</f>
        <v/>
      </c>
      <c r="N4456" s="53" t="n">
        <f aca="false">IF(F4456="S",L4456*0.02,0)</f>
        <v>0</v>
      </c>
      <c r="O4456" s="82" t="str">
        <f aca="false">IF(L4456&lt;&gt;"",L4456+N4456,"")</f>
        <v/>
      </c>
      <c r="P4456" s="53" t="str">
        <f aca="false">IF(O4456&lt;&gt;"",O4456*0.1,"")</f>
        <v/>
      </c>
      <c r="Q4456" s="83" t="str">
        <f aca="false">IF(O4456&lt;&gt;"",O4456+P4456,"")</f>
        <v/>
      </c>
      <c r="R4456" s="84"/>
    </row>
    <row r="4457" customFormat="false" ht="15" hidden="false" customHeight="true" outlineLevel="0" collapsed="false">
      <c r="A4457" s="103"/>
      <c r="B4457" s="85"/>
      <c r="C4457" s="86"/>
      <c r="D4457" s="87"/>
      <c r="E4457" s="46" t="str">
        <f aca="false">IF(D4457&lt;&gt;"",IFERROR(VLOOKUP(D4457,PROVEEDORES!$A:$B,2,0),"!COD NO ENCONTRADO"),"")</f>
        <v/>
      </c>
      <c r="F4457" s="88" t="str">
        <f aca="false">IF(D4457&lt;&gt;"",IFERROR(VLOOKUP(D4457,PROVEEDORES!$A:$C,3,0),""),"")</f>
        <v/>
      </c>
      <c r="G4457" s="87"/>
      <c r="H4457" s="46" t="str">
        <f aca="false">IF(G4457&lt;&gt;"",IFERROR(VLOOKUP(G4457,PRODUCTOS!$A:$B,2,0),"!COD NO ENCONTRADO"),"")</f>
        <v/>
      </c>
      <c r="I4457" s="89"/>
      <c r="J4457" s="90"/>
      <c r="K4457" s="91"/>
      <c r="L4457" s="80" t="str">
        <f aca="false">IF(AND(J4457&lt;&gt;"",K4457&lt;&gt;""),J4457*K4457,"")</f>
        <v/>
      </c>
      <c r="M4457" s="81" t="str">
        <f aca="false">IF(L4457&lt;&gt;"",L4457*1.1,"")</f>
        <v/>
      </c>
      <c r="N4457" s="47" t="n">
        <f aca="false">IF(F4457="S",L4457*0.02,0)</f>
        <v>0</v>
      </c>
      <c r="O4457" s="82" t="str">
        <f aca="false">IF(L4457&lt;&gt;"",L4457+N4457,"")</f>
        <v/>
      </c>
      <c r="P4457" s="47" t="str">
        <f aca="false">IF(O4457&lt;&gt;"",O4457*0.1,"")</f>
        <v/>
      </c>
      <c r="Q4457" s="83" t="str">
        <f aca="false">IF(O4457&lt;&gt;"",O4457+P4457,"")</f>
        <v/>
      </c>
      <c r="R4457" s="84"/>
    </row>
    <row r="4458" customFormat="false" ht="15" hidden="false" customHeight="true" outlineLevel="0" collapsed="false">
      <c r="A4458" s="103"/>
      <c r="B4458" s="73"/>
      <c r="C4458" s="74"/>
      <c r="D4458" s="75"/>
      <c r="E4458" s="52" t="str">
        <f aca="false">IF(D4458&lt;&gt;"",IFERROR(VLOOKUP(D4458,PROVEEDORES!$A:$B,2,0),"!COD NO ENCONTRADO"),"")</f>
        <v/>
      </c>
      <c r="F4458" s="76" t="str">
        <f aca="false">IF(D4458&lt;&gt;"",IFERROR(VLOOKUP(D4458,PROVEEDORES!$A:$C,3,0),""),"")</f>
        <v/>
      </c>
      <c r="G4458" s="75"/>
      <c r="H4458" s="52" t="str">
        <f aca="false">IF(G4458&lt;&gt;"",IFERROR(VLOOKUP(G4458,PRODUCTOS!$A:$B,2,0),"!COD NO ENCONTRADO"),"")</f>
        <v/>
      </c>
      <c r="I4458" s="77"/>
      <c r="J4458" s="78"/>
      <c r="K4458" s="79"/>
      <c r="L4458" s="80" t="str">
        <f aca="false">IF(AND(J4458&lt;&gt;"",K4458&lt;&gt;""),J4458*K4458,"")</f>
        <v/>
      </c>
      <c r="M4458" s="81" t="str">
        <f aca="false">IF(L4458&lt;&gt;"",L4458*1.1,"")</f>
        <v/>
      </c>
      <c r="N4458" s="53" t="n">
        <f aca="false">IF(F4458="S",L4458*0.02,0)</f>
        <v>0</v>
      </c>
      <c r="O4458" s="82" t="str">
        <f aca="false">IF(L4458&lt;&gt;"",L4458+N4458,"")</f>
        <v/>
      </c>
      <c r="P4458" s="53" t="str">
        <f aca="false">IF(O4458&lt;&gt;"",O4458*0.1,"")</f>
        <v/>
      </c>
      <c r="Q4458" s="83" t="str">
        <f aca="false">IF(O4458&lt;&gt;"",O4458+P4458,"")</f>
        <v/>
      </c>
      <c r="R4458" s="84"/>
    </row>
    <row r="4459" customFormat="false" ht="15" hidden="false" customHeight="true" outlineLevel="0" collapsed="false">
      <c r="A4459" s="103"/>
      <c r="B4459" s="85"/>
      <c r="C4459" s="86"/>
      <c r="D4459" s="87"/>
      <c r="E4459" s="46" t="str">
        <f aca="false">IF(D4459&lt;&gt;"",IFERROR(VLOOKUP(D4459,PROVEEDORES!$A:$B,2,0),"!COD NO ENCONTRADO"),"")</f>
        <v/>
      </c>
      <c r="F4459" s="88" t="str">
        <f aca="false">IF(D4459&lt;&gt;"",IFERROR(VLOOKUP(D4459,PROVEEDORES!$A:$C,3,0),""),"")</f>
        <v/>
      </c>
      <c r="G4459" s="87"/>
      <c r="H4459" s="46" t="str">
        <f aca="false">IF(G4459&lt;&gt;"",IFERROR(VLOOKUP(G4459,PRODUCTOS!$A:$B,2,0),"!COD NO ENCONTRADO"),"")</f>
        <v/>
      </c>
      <c r="I4459" s="89"/>
      <c r="J4459" s="90"/>
      <c r="K4459" s="91"/>
      <c r="L4459" s="80" t="str">
        <f aca="false">IF(AND(J4459&lt;&gt;"",K4459&lt;&gt;""),J4459*K4459,"")</f>
        <v/>
      </c>
      <c r="M4459" s="81" t="str">
        <f aca="false">IF(L4459&lt;&gt;"",L4459*1.1,"")</f>
        <v/>
      </c>
      <c r="N4459" s="47" t="n">
        <f aca="false">IF(F4459="S",L4459*0.02,0)</f>
        <v>0</v>
      </c>
      <c r="O4459" s="82" t="str">
        <f aca="false">IF(L4459&lt;&gt;"",L4459+N4459,"")</f>
        <v/>
      </c>
      <c r="P4459" s="47" t="str">
        <f aca="false">IF(O4459&lt;&gt;"",O4459*0.1,"")</f>
        <v/>
      </c>
      <c r="Q4459" s="83" t="str">
        <f aca="false">IF(O4459&lt;&gt;"",O4459+P4459,"")</f>
        <v/>
      </c>
      <c r="R4459" s="84"/>
    </row>
    <row r="4460" customFormat="false" ht="15" hidden="false" customHeight="true" outlineLevel="0" collapsed="false">
      <c r="A4460" s="103"/>
      <c r="B4460" s="73"/>
      <c r="C4460" s="74"/>
      <c r="D4460" s="75"/>
      <c r="E4460" s="52" t="str">
        <f aca="false">IF(D4460&lt;&gt;"",IFERROR(VLOOKUP(D4460,PROVEEDORES!$A:$B,2,0),"!COD NO ENCONTRADO"),"")</f>
        <v/>
      </c>
      <c r="F4460" s="76" t="str">
        <f aca="false">IF(D4460&lt;&gt;"",IFERROR(VLOOKUP(D4460,PROVEEDORES!$A:$C,3,0),""),"")</f>
        <v/>
      </c>
      <c r="G4460" s="75"/>
      <c r="H4460" s="52" t="str">
        <f aca="false">IF(G4460&lt;&gt;"",IFERROR(VLOOKUP(G4460,PRODUCTOS!$A:$B,2,0),"!COD NO ENCONTRADO"),"")</f>
        <v/>
      </c>
      <c r="I4460" s="77"/>
      <c r="J4460" s="78"/>
      <c r="K4460" s="79"/>
      <c r="L4460" s="80" t="str">
        <f aca="false">IF(AND(J4460&lt;&gt;"",K4460&lt;&gt;""),J4460*K4460,"")</f>
        <v/>
      </c>
      <c r="M4460" s="81" t="str">
        <f aca="false">IF(L4460&lt;&gt;"",L4460*1.1,"")</f>
        <v/>
      </c>
      <c r="N4460" s="53" t="n">
        <f aca="false">IF(F4460="S",L4460*0.02,0)</f>
        <v>0</v>
      </c>
      <c r="O4460" s="82" t="str">
        <f aca="false">IF(L4460&lt;&gt;"",L4460+N4460,"")</f>
        <v/>
      </c>
      <c r="P4460" s="53" t="str">
        <f aca="false">IF(O4460&lt;&gt;"",O4460*0.1,"")</f>
        <v/>
      </c>
      <c r="Q4460" s="83" t="str">
        <f aca="false">IF(O4460&lt;&gt;"",O4460+P4460,"")</f>
        <v/>
      </c>
      <c r="R4460" s="84"/>
    </row>
    <row r="4461" customFormat="false" ht="15" hidden="false" customHeight="true" outlineLevel="0" collapsed="false">
      <c r="A4461" s="103"/>
      <c r="B4461" s="85"/>
      <c r="C4461" s="86"/>
      <c r="D4461" s="87"/>
      <c r="E4461" s="46" t="str">
        <f aca="false">IF(D4461&lt;&gt;"",IFERROR(VLOOKUP(D4461,PROVEEDORES!$A:$B,2,0),"!COD NO ENCONTRADO"),"")</f>
        <v/>
      </c>
      <c r="F4461" s="88" t="str">
        <f aca="false">IF(D4461&lt;&gt;"",IFERROR(VLOOKUP(D4461,PROVEEDORES!$A:$C,3,0),""),"")</f>
        <v/>
      </c>
      <c r="G4461" s="87"/>
      <c r="H4461" s="46" t="str">
        <f aca="false">IF(G4461&lt;&gt;"",IFERROR(VLOOKUP(G4461,PRODUCTOS!$A:$B,2,0),"!COD NO ENCONTRADO"),"")</f>
        <v/>
      </c>
      <c r="I4461" s="89"/>
      <c r="J4461" s="90"/>
      <c r="K4461" s="91"/>
      <c r="L4461" s="80" t="str">
        <f aca="false">IF(AND(J4461&lt;&gt;"",K4461&lt;&gt;""),J4461*K4461,"")</f>
        <v/>
      </c>
      <c r="M4461" s="81" t="str">
        <f aca="false">IF(L4461&lt;&gt;"",L4461*1.1,"")</f>
        <v/>
      </c>
      <c r="N4461" s="47" t="n">
        <f aca="false">IF(F4461="S",L4461*0.02,0)</f>
        <v>0</v>
      </c>
      <c r="O4461" s="82" t="str">
        <f aca="false">IF(L4461&lt;&gt;"",L4461+N4461,"")</f>
        <v/>
      </c>
      <c r="P4461" s="47" t="str">
        <f aca="false">IF(O4461&lt;&gt;"",O4461*0.1,"")</f>
        <v/>
      </c>
      <c r="Q4461" s="83" t="str">
        <f aca="false">IF(O4461&lt;&gt;"",O4461+P4461,"")</f>
        <v/>
      </c>
      <c r="R4461" s="84"/>
    </row>
    <row r="4462" customFormat="false" ht="15" hidden="false" customHeight="true" outlineLevel="0" collapsed="false">
      <c r="A4462" s="103"/>
      <c r="B4462" s="73"/>
      <c r="C4462" s="74"/>
      <c r="D4462" s="75"/>
      <c r="E4462" s="52" t="str">
        <f aca="false">IF(D4462&lt;&gt;"",IFERROR(VLOOKUP(D4462,PROVEEDORES!$A:$B,2,0),"!COD NO ENCONTRADO"),"")</f>
        <v/>
      </c>
      <c r="F4462" s="76" t="str">
        <f aca="false">IF(D4462&lt;&gt;"",IFERROR(VLOOKUP(D4462,PROVEEDORES!$A:$C,3,0),""),"")</f>
        <v/>
      </c>
      <c r="G4462" s="75"/>
      <c r="H4462" s="52" t="str">
        <f aca="false">IF(G4462&lt;&gt;"",IFERROR(VLOOKUP(G4462,PRODUCTOS!$A:$B,2,0),"!COD NO ENCONTRADO"),"")</f>
        <v/>
      </c>
      <c r="I4462" s="77"/>
      <c r="J4462" s="78"/>
      <c r="K4462" s="79"/>
      <c r="L4462" s="80" t="str">
        <f aca="false">IF(AND(J4462&lt;&gt;"",K4462&lt;&gt;""),J4462*K4462,"")</f>
        <v/>
      </c>
      <c r="M4462" s="81" t="str">
        <f aca="false">IF(L4462&lt;&gt;"",L4462*1.1,"")</f>
        <v/>
      </c>
      <c r="N4462" s="53" t="n">
        <f aca="false">IF(F4462="S",L4462*0.02,0)</f>
        <v>0</v>
      </c>
      <c r="O4462" s="82" t="str">
        <f aca="false">IF(L4462&lt;&gt;"",L4462+N4462,"")</f>
        <v/>
      </c>
      <c r="P4462" s="53" t="str">
        <f aca="false">IF(O4462&lt;&gt;"",O4462*0.1,"")</f>
        <v/>
      </c>
      <c r="Q4462" s="83" t="str">
        <f aca="false">IF(O4462&lt;&gt;"",O4462+P4462,"")</f>
        <v/>
      </c>
      <c r="R4462" s="84"/>
    </row>
    <row r="4463" customFormat="false" ht="15" hidden="false" customHeight="true" outlineLevel="0" collapsed="false">
      <c r="A4463" s="103"/>
      <c r="B4463" s="85"/>
      <c r="C4463" s="86"/>
      <c r="D4463" s="87"/>
      <c r="E4463" s="46" t="str">
        <f aca="false">IF(D4463&lt;&gt;"",IFERROR(VLOOKUP(D4463,PROVEEDORES!$A:$B,2,0),"!COD NO ENCONTRADO"),"")</f>
        <v/>
      </c>
      <c r="F4463" s="88" t="str">
        <f aca="false">IF(D4463&lt;&gt;"",IFERROR(VLOOKUP(D4463,PROVEEDORES!$A:$C,3,0),""),"")</f>
        <v/>
      </c>
      <c r="G4463" s="87"/>
      <c r="H4463" s="46" t="str">
        <f aca="false">IF(G4463&lt;&gt;"",IFERROR(VLOOKUP(G4463,PRODUCTOS!$A:$B,2,0),"!COD NO ENCONTRADO"),"")</f>
        <v/>
      </c>
      <c r="I4463" s="89"/>
      <c r="J4463" s="90"/>
      <c r="K4463" s="91"/>
      <c r="L4463" s="80" t="str">
        <f aca="false">IF(AND(J4463&lt;&gt;"",K4463&lt;&gt;""),J4463*K4463,"")</f>
        <v/>
      </c>
      <c r="M4463" s="81" t="str">
        <f aca="false">IF(L4463&lt;&gt;"",L4463*1.1,"")</f>
        <v/>
      </c>
      <c r="N4463" s="47" t="n">
        <f aca="false">IF(F4463="S",L4463*0.02,0)</f>
        <v>0</v>
      </c>
      <c r="O4463" s="82" t="str">
        <f aca="false">IF(L4463&lt;&gt;"",L4463+N4463,"")</f>
        <v/>
      </c>
      <c r="P4463" s="47" t="str">
        <f aca="false">IF(O4463&lt;&gt;"",O4463*0.1,"")</f>
        <v/>
      </c>
      <c r="Q4463" s="83" t="str">
        <f aca="false">IF(O4463&lt;&gt;"",O4463+P4463,"")</f>
        <v/>
      </c>
      <c r="R4463" s="84"/>
    </row>
    <row r="4464" customFormat="false" ht="15" hidden="false" customHeight="true" outlineLevel="0" collapsed="false">
      <c r="A4464" s="103"/>
      <c r="B4464" s="73"/>
      <c r="C4464" s="74"/>
      <c r="D4464" s="75"/>
      <c r="E4464" s="52" t="str">
        <f aca="false">IF(D4464&lt;&gt;"",IFERROR(VLOOKUP(D4464,PROVEEDORES!$A:$B,2,0),"!COD NO ENCONTRADO"),"")</f>
        <v/>
      </c>
      <c r="F4464" s="76" t="str">
        <f aca="false">IF(D4464&lt;&gt;"",IFERROR(VLOOKUP(D4464,PROVEEDORES!$A:$C,3,0),""),"")</f>
        <v/>
      </c>
      <c r="G4464" s="75"/>
      <c r="H4464" s="52" t="str">
        <f aca="false">IF(G4464&lt;&gt;"",IFERROR(VLOOKUP(G4464,PRODUCTOS!$A:$B,2,0),"!COD NO ENCONTRADO"),"")</f>
        <v/>
      </c>
      <c r="I4464" s="77"/>
      <c r="J4464" s="78"/>
      <c r="K4464" s="79"/>
      <c r="L4464" s="80" t="str">
        <f aca="false">IF(AND(J4464&lt;&gt;"",K4464&lt;&gt;""),J4464*K4464,"")</f>
        <v/>
      </c>
      <c r="M4464" s="81" t="str">
        <f aca="false">IF(L4464&lt;&gt;"",L4464*1.1,"")</f>
        <v/>
      </c>
      <c r="N4464" s="53" t="n">
        <f aca="false">IF(F4464="S",L4464*0.02,0)</f>
        <v>0</v>
      </c>
      <c r="O4464" s="82" t="str">
        <f aca="false">IF(L4464&lt;&gt;"",L4464+N4464,"")</f>
        <v/>
      </c>
      <c r="P4464" s="53" t="str">
        <f aca="false">IF(O4464&lt;&gt;"",O4464*0.1,"")</f>
        <v/>
      </c>
      <c r="Q4464" s="83" t="str">
        <f aca="false">IF(O4464&lt;&gt;"",O4464+P4464,"")</f>
        <v/>
      </c>
      <c r="R4464" s="84"/>
    </row>
    <row r="4465" customFormat="false" ht="15" hidden="false" customHeight="true" outlineLevel="0" collapsed="false">
      <c r="A4465" s="103"/>
      <c r="B4465" s="85"/>
      <c r="C4465" s="86"/>
      <c r="D4465" s="87"/>
      <c r="E4465" s="46" t="str">
        <f aca="false">IF(D4465&lt;&gt;"",IFERROR(VLOOKUP(D4465,PROVEEDORES!$A:$B,2,0),"!COD NO ENCONTRADO"),"")</f>
        <v/>
      </c>
      <c r="F4465" s="88" t="str">
        <f aca="false">IF(D4465&lt;&gt;"",IFERROR(VLOOKUP(D4465,PROVEEDORES!$A:$C,3,0),""),"")</f>
        <v/>
      </c>
      <c r="G4465" s="87"/>
      <c r="H4465" s="46" t="str">
        <f aca="false">IF(G4465&lt;&gt;"",IFERROR(VLOOKUP(G4465,PRODUCTOS!$A:$B,2,0),"!COD NO ENCONTRADO"),"")</f>
        <v/>
      </c>
      <c r="I4465" s="89"/>
      <c r="J4465" s="90"/>
      <c r="K4465" s="91"/>
      <c r="L4465" s="80" t="str">
        <f aca="false">IF(AND(J4465&lt;&gt;"",K4465&lt;&gt;""),J4465*K4465,"")</f>
        <v/>
      </c>
      <c r="M4465" s="81" t="str">
        <f aca="false">IF(L4465&lt;&gt;"",L4465*1.1,"")</f>
        <v/>
      </c>
      <c r="N4465" s="47" t="n">
        <f aca="false">IF(F4465="S",L4465*0.02,0)</f>
        <v>0</v>
      </c>
      <c r="O4465" s="82" t="str">
        <f aca="false">IF(L4465&lt;&gt;"",L4465+N4465,"")</f>
        <v/>
      </c>
      <c r="P4465" s="47" t="str">
        <f aca="false">IF(O4465&lt;&gt;"",O4465*0.1,"")</f>
        <v/>
      </c>
      <c r="Q4465" s="83" t="str">
        <f aca="false">IF(O4465&lt;&gt;"",O4465+P4465,"")</f>
        <v/>
      </c>
      <c r="R4465" s="84"/>
    </row>
    <row r="4466" customFormat="false" ht="15" hidden="false" customHeight="true" outlineLevel="0" collapsed="false">
      <c r="A4466" s="103"/>
      <c r="B4466" s="73"/>
      <c r="C4466" s="74"/>
      <c r="D4466" s="75"/>
      <c r="E4466" s="52" t="str">
        <f aca="false">IF(D4466&lt;&gt;"",IFERROR(VLOOKUP(D4466,PROVEEDORES!$A:$B,2,0),"!COD NO ENCONTRADO"),"")</f>
        <v/>
      </c>
      <c r="F4466" s="76" t="str">
        <f aca="false">IF(D4466&lt;&gt;"",IFERROR(VLOOKUP(D4466,PROVEEDORES!$A:$C,3,0),""),"")</f>
        <v/>
      </c>
      <c r="G4466" s="75"/>
      <c r="H4466" s="52" t="str">
        <f aca="false">IF(G4466&lt;&gt;"",IFERROR(VLOOKUP(G4466,PRODUCTOS!$A:$B,2,0),"!COD NO ENCONTRADO"),"")</f>
        <v/>
      </c>
      <c r="I4466" s="77"/>
      <c r="J4466" s="78"/>
      <c r="K4466" s="79"/>
      <c r="L4466" s="80" t="str">
        <f aca="false">IF(AND(J4466&lt;&gt;"",K4466&lt;&gt;""),J4466*K4466,"")</f>
        <v/>
      </c>
      <c r="M4466" s="81" t="str">
        <f aca="false">IF(L4466&lt;&gt;"",L4466*1.1,"")</f>
        <v/>
      </c>
      <c r="N4466" s="53" t="n">
        <f aca="false">IF(F4466="S",L4466*0.02,0)</f>
        <v>0</v>
      </c>
      <c r="O4466" s="82" t="str">
        <f aca="false">IF(L4466&lt;&gt;"",L4466+N4466,"")</f>
        <v/>
      </c>
      <c r="P4466" s="53" t="str">
        <f aca="false">IF(O4466&lt;&gt;"",O4466*0.1,"")</f>
        <v/>
      </c>
      <c r="Q4466" s="83" t="str">
        <f aca="false">IF(O4466&lt;&gt;"",O4466+P4466,"")</f>
        <v/>
      </c>
      <c r="R4466" s="84"/>
    </row>
    <row r="4467" customFormat="false" ht="15" hidden="false" customHeight="true" outlineLevel="0" collapsed="false">
      <c r="A4467" s="103"/>
      <c r="B4467" s="85"/>
      <c r="C4467" s="86"/>
      <c r="D4467" s="87"/>
      <c r="E4467" s="46" t="str">
        <f aca="false">IF(D4467&lt;&gt;"",IFERROR(VLOOKUP(D4467,PROVEEDORES!$A:$B,2,0),"!COD NO ENCONTRADO"),"")</f>
        <v/>
      </c>
      <c r="F4467" s="88" t="str">
        <f aca="false">IF(D4467&lt;&gt;"",IFERROR(VLOOKUP(D4467,PROVEEDORES!$A:$C,3,0),""),"")</f>
        <v/>
      </c>
      <c r="G4467" s="87"/>
      <c r="H4467" s="46" t="str">
        <f aca="false">IF(G4467&lt;&gt;"",IFERROR(VLOOKUP(G4467,PRODUCTOS!$A:$B,2,0),"!COD NO ENCONTRADO"),"")</f>
        <v/>
      </c>
      <c r="I4467" s="89"/>
      <c r="J4467" s="90"/>
      <c r="K4467" s="91"/>
      <c r="L4467" s="80" t="str">
        <f aca="false">IF(AND(J4467&lt;&gt;"",K4467&lt;&gt;""),J4467*K4467,"")</f>
        <v/>
      </c>
      <c r="M4467" s="81" t="str">
        <f aca="false">IF(L4467&lt;&gt;"",L4467*1.1,"")</f>
        <v/>
      </c>
      <c r="N4467" s="47" t="n">
        <f aca="false">IF(F4467="S",L4467*0.02,0)</f>
        <v>0</v>
      </c>
      <c r="O4467" s="82" t="str">
        <f aca="false">IF(L4467&lt;&gt;"",L4467+N4467,"")</f>
        <v/>
      </c>
      <c r="P4467" s="47" t="str">
        <f aca="false">IF(O4467&lt;&gt;"",O4467*0.1,"")</f>
        <v/>
      </c>
      <c r="Q4467" s="83" t="str">
        <f aca="false">IF(O4467&lt;&gt;"",O4467+P4467,"")</f>
        <v/>
      </c>
      <c r="R4467" s="84"/>
    </row>
    <row r="4468" customFormat="false" ht="15" hidden="false" customHeight="true" outlineLevel="0" collapsed="false">
      <c r="A4468" s="103"/>
      <c r="B4468" s="73"/>
      <c r="C4468" s="74"/>
      <c r="D4468" s="75"/>
      <c r="E4468" s="52" t="str">
        <f aca="false">IF(D4468&lt;&gt;"",IFERROR(VLOOKUP(D4468,PROVEEDORES!$A:$B,2,0),"!COD NO ENCONTRADO"),"")</f>
        <v/>
      </c>
      <c r="F4468" s="76" t="str">
        <f aca="false">IF(D4468&lt;&gt;"",IFERROR(VLOOKUP(D4468,PROVEEDORES!$A:$C,3,0),""),"")</f>
        <v/>
      </c>
      <c r="G4468" s="75"/>
      <c r="H4468" s="52" t="str">
        <f aca="false">IF(G4468&lt;&gt;"",IFERROR(VLOOKUP(G4468,PRODUCTOS!$A:$B,2,0),"!COD NO ENCONTRADO"),"")</f>
        <v/>
      </c>
      <c r="I4468" s="77"/>
      <c r="J4468" s="78"/>
      <c r="K4468" s="79"/>
      <c r="L4468" s="80" t="str">
        <f aca="false">IF(AND(J4468&lt;&gt;"",K4468&lt;&gt;""),J4468*K4468,"")</f>
        <v/>
      </c>
      <c r="M4468" s="81" t="str">
        <f aca="false">IF(L4468&lt;&gt;"",L4468*1.1,"")</f>
        <v/>
      </c>
      <c r="N4468" s="53" t="n">
        <f aca="false">IF(F4468="S",L4468*0.02,0)</f>
        <v>0</v>
      </c>
      <c r="O4468" s="82" t="str">
        <f aca="false">IF(L4468&lt;&gt;"",L4468+N4468,"")</f>
        <v/>
      </c>
      <c r="P4468" s="53" t="str">
        <f aca="false">IF(O4468&lt;&gt;"",O4468*0.1,"")</f>
        <v/>
      </c>
      <c r="Q4468" s="83" t="str">
        <f aca="false">IF(O4468&lt;&gt;"",O4468+P4468,"")</f>
        <v/>
      </c>
      <c r="R4468" s="84"/>
    </row>
    <row r="4469" customFormat="false" ht="15" hidden="false" customHeight="true" outlineLevel="0" collapsed="false">
      <c r="A4469" s="103"/>
      <c r="B4469" s="85"/>
      <c r="C4469" s="86"/>
      <c r="D4469" s="87"/>
      <c r="E4469" s="46" t="str">
        <f aca="false">IF(D4469&lt;&gt;"",IFERROR(VLOOKUP(D4469,PROVEEDORES!$A:$B,2,0),"!COD NO ENCONTRADO"),"")</f>
        <v/>
      </c>
      <c r="F4469" s="88" t="str">
        <f aca="false">IF(D4469&lt;&gt;"",IFERROR(VLOOKUP(D4469,PROVEEDORES!$A:$C,3,0),""),"")</f>
        <v/>
      </c>
      <c r="G4469" s="87"/>
      <c r="H4469" s="46" t="str">
        <f aca="false">IF(G4469&lt;&gt;"",IFERROR(VLOOKUP(G4469,PRODUCTOS!$A:$B,2,0),"!COD NO ENCONTRADO"),"")</f>
        <v/>
      </c>
      <c r="I4469" s="89"/>
      <c r="J4469" s="90"/>
      <c r="K4469" s="91"/>
      <c r="L4469" s="80" t="str">
        <f aca="false">IF(AND(J4469&lt;&gt;"",K4469&lt;&gt;""),J4469*K4469,"")</f>
        <v/>
      </c>
      <c r="M4469" s="81" t="str">
        <f aca="false">IF(L4469&lt;&gt;"",L4469*1.1,"")</f>
        <v/>
      </c>
      <c r="N4469" s="47" t="n">
        <f aca="false">IF(F4469="S",L4469*0.02,0)</f>
        <v>0</v>
      </c>
      <c r="O4469" s="82" t="str">
        <f aca="false">IF(L4469&lt;&gt;"",L4469+N4469,"")</f>
        <v/>
      </c>
      <c r="P4469" s="47" t="str">
        <f aca="false">IF(O4469&lt;&gt;"",O4469*0.1,"")</f>
        <v/>
      </c>
      <c r="Q4469" s="83" t="str">
        <f aca="false">IF(O4469&lt;&gt;"",O4469+P4469,"")</f>
        <v/>
      </c>
      <c r="R4469" s="84"/>
    </row>
    <row r="4470" customFormat="false" ht="15" hidden="false" customHeight="true" outlineLevel="0" collapsed="false">
      <c r="A4470" s="103"/>
      <c r="B4470" s="73"/>
      <c r="C4470" s="74"/>
      <c r="D4470" s="75"/>
      <c r="E4470" s="52" t="str">
        <f aca="false">IF(D4470&lt;&gt;"",IFERROR(VLOOKUP(D4470,PROVEEDORES!$A:$B,2,0),"!COD NO ENCONTRADO"),"")</f>
        <v/>
      </c>
      <c r="F4470" s="76" t="str">
        <f aca="false">IF(D4470&lt;&gt;"",IFERROR(VLOOKUP(D4470,PROVEEDORES!$A:$C,3,0),""),"")</f>
        <v/>
      </c>
      <c r="G4470" s="75"/>
      <c r="H4470" s="52" t="str">
        <f aca="false">IF(G4470&lt;&gt;"",IFERROR(VLOOKUP(G4470,PRODUCTOS!$A:$B,2,0),"!COD NO ENCONTRADO"),"")</f>
        <v/>
      </c>
      <c r="I4470" s="77"/>
      <c r="J4470" s="78"/>
      <c r="K4470" s="79"/>
      <c r="L4470" s="80" t="str">
        <f aca="false">IF(AND(J4470&lt;&gt;"",K4470&lt;&gt;""),J4470*K4470,"")</f>
        <v/>
      </c>
      <c r="M4470" s="81" t="str">
        <f aca="false">IF(L4470&lt;&gt;"",L4470*1.1,"")</f>
        <v/>
      </c>
      <c r="N4470" s="53" t="n">
        <f aca="false">IF(F4470="S",L4470*0.02,0)</f>
        <v>0</v>
      </c>
      <c r="O4470" s="82" t="str">
        <f aca="false">IF(L4470&lt;&gt;"",L4470+N4470,"")</f>
        <v/>
      </c>
      <c r="P4470" s="53" t="str">
        <f aca="false">IF(O4470&lt;&gt;"",O4470*0.1,"")</f>
        <v/>
      </c>
      <c r="Q4470" s="83" t="str">
        <f aca="false">IF(O4470&lt;&gt;"",O4470+P4470,"")</f>
        <v/>
      </c>
      <c r="R4470" s="84"/>
    </row>
    <row r="4471" customFormat="false" ht="15" hidden="false" customHeight="true" outlineLevel="0" collapsed="false">
      <c r="A4471" s="103"/>
      <c r="B4471" s="85"/>
      <c r="C4471" s="86"/>
      <c r="D4471" s="87"/>
      <c r="E4471" s="46" t="str">
        <f aca="false">IF(D4471&lt;&gt;"",IFERROR(VLOOKUP(D4471,PROVEEDORES!$A:$B,2,0),"!COD NO ENCONTRADO"),"")</f>
        <v/>
      </c>
      <c r="F4471" s="88" t="str">
        <f aca="false">IF(D4471&lt;&gt;"",IFERROR(VLOOKUP(D4471,PROVEEDORES!$A:$C,3,0),""),"")</f>
        <v/>
      </c>
      <c r="G4471" s="87"/>
      <c r="H4471" s="46" t="str">
        <f aca="false">IF(G4471&lt;&gt;"",IFERROR(VLOOKUP(G4471,PRODUCTOS!$A:$B,2,0),"!COD NO ENCONTRADO"),"")</f>
        <v/>
      </c>
      <c r="I4471" s="89"/>
      <c r="J4471" s="90"/>
      <c r="K4471" s="91"/>
      <c r="L4471" s="80" t="str">
        <f aca="false">IF(AND(J4471&lt;&gt;"",K4471&lt;&gt;""),J4471*K4471,"")</f>
        <v/>
      </c>
      <c r="M4471" s="81" t="str">
        <f aca="false">IF(L4471&lt;&gt;"",L4471*1.1,"")</f>
        <v/>
      </c>
      <c r="N4471" s="47" t="n">
        <f aca="false">IF(F4471="S",L4471*0.02,0)</f>
        <v>0</v>
      </c>
      <c r="O4471" s="82" t="str">
        <f aca="false">IF(L4471&lt;&gt;"",L4471+N4471,"")</f>
        <v/>
      </c>
      <c r="P4471" s="47" t="str">
        <f aca="false">IF(O4471&lt;&gt;"",O4471*0.1,"")</f>
        <v/>
      </c>
      <c r="Q4471" s="83" t="str">
        <f aca="false">IF(O4471&lt;&gt;"",O4471+P4471,"")</f>
        <v/>
      </c>
      <c r="R4471" s="84"/>
    </row>
    <row r="4472" customFormat="false" ht="15" hidden="false" customHeight="true" outlineLevel="0" collapsed="false">
      <c r="A4472" s="103"/>
      <c r="B4472" s="73"/>
      <c r="C4472" s="74"/>
      <c r="D4472" s="75"/>
      <c r="E4472" s="52" t="str">
        <f aca="false">IF(D4472&lt;&gt;"",IFERROR(VLOOKUP(D4472,PROVEEDORES!$A:$B,2,0),"!COD NO ENCONTRADO"),"")</f>
        <v/>
      </c>
      <c r="F4472" s="76" t="str">
        <f aca="false">IF(D4472&lt;&gt;"",IFERROR(VLOOKUP(D4472,PROVEEDORES!$A:$C,3,0),""),"")</f>
        <v/>
      </c>
      <c r="G4472" s="75"/>
      <c r="H4472" s="52" t="str">
        <f aca="false">IF(G4472&lt;&gt;"",IFERROR(VLOOKUP(G4472,PRODUCTOS!$A:$B,2,0),"!COD NO ENCONTRADO"),"")</f>
        <v/>
      </c>
      <c r="I4472" s="77"/>
      <c r="J4472" s="78"/>
      <c r="K4472" s="79"/>
      <c r="L4472" s="80" t="str">
        <f aca="false">IF(AND(J4472&lt;&gt;"",K4472&lt;&gt;""),J4472*K4472,"")</f>
        <v/>
      </c>
      <c r="M4472" s="81" t="str">
        <f aca="false">IF(L4472&lt;&gt;"",L4472*1.1,"")</f>
        <v/>
      </c>
      <c r="N4472" s="53" t="n">
        <f aca="false">IF(F4472="S",L4472*0.02,0)</f>
        <v>0</v>
      </c>
      <c r="O4472" s="82" t="str">
        <f aca="false">IF(L4472&lt;&gt;"",L4472+N4472,"")</f>
        <v/>
      </c>
      <c r="P4472" s="53" t="str">
        <f aca="false">IF(O4472&lt;&gt;"",O4472*0.1,"")</f>
        <v/>
      </c>
      <c r="Q4472" s="83" t="str">
        <f aca="false">IF(O4472&lt;&gt;"",O4472+P4472,"")</f>
        <v/>
      </c>
      <c r="R4472" s="84"/>
    </row>
    <row r="4473" customFormat="false" ht="15" hidden="false" customHeight="true" outlineLevel="0" collapsed="false">
      <c r="A4473" s="103"/>
      <c r="B4473" s="85"/>
      <c r="C4473" s="86"/>
      <c r="D4473" s="87"/>
      <c r="E4473" s="46" t="str">
        <f aca="false">IF(D4473&lt;&gt;"",IFERROR(VLOOKUP(D4473,PROVEEDORES!$A:$B,2,0),"!COD NO ENCONTRADO"),"")</f>
        <v/>
      </c>
      <c r="F4473" s="88" t="str">
        <f aca="false">IF(D4473&lt;&gt;"",IFERROR(VLOOKUP(D4473,PROVEEDORES!$A:$C,3,0),""),"")</f>
        <v/>
      </c>
      <c r="G4473" s="87"/>
      <c r="H4473" s="46" t="str">
        <f aca="false">IF(G4473&lt;&gt;"",IFERROR(VLOOKUP(G4473,PRODUCTOS!$A:$B,2,0),"!COD NO ENCONTRADO"),"")</f>
        <v/>
      </c>
      <c r="I4473" s="89"/>
      <c r="J4473" s="90"/>
      <c r="K4473" s="91"/>
      <c r="L4473" s="80" t="str">
        <f aca="false">IF(AND(J4473&lt;&gt;"",K4473&lt;&gt;""),J4473*K4473,"")</f>
        <v/>
      </c>
      <c r="M4473" s="81" t="str">
        <f aca="false">IF(L4473&lt;&gt;"",L4473*1.1,"")</f>
        <v/>
      </c>
      <c r="N4473" s="47" t="n">
        <f aca="false">IF(F4473="S",L4473*0.02,0)</f>
        <v>0</v>
      </c>
      <c r="O4473" s="82" t="str">
        <f aca="false">IF(L4473&lt;&gt;"",L4473+N4473,"")</f>
        <v/>
      </c>
      <c r="P4473" s="47" t="str">
        <f aca="false">IF(O4473&lt;&gt;"",O4473*0.1,"")</f>
        <v/>
      </c>
      <c r="Q4473" s="83" t="str">
        <f aca="false">IF(O4473&lt;&gt;"",O4473+P4473,"")</f>
        <v/>
      </c>
      <c r="R4473" s="84"/>
    </row>
    <row r="4474" customFormat="false" ht="15" hidden="false" customHeight="true" outlineLevel="0" collapsed="false">
      <c r="A4474" s="103"/>
      <c r="B4474" s="73"/>
      <c r="C4474" s="74"/>
      <c r="D4474" s="75"/>
      <c r="E4474" s="52" t="str">
        <f aca="false">IF(D4474&lt;&gt;"",IFERROR(VLOOKUP(D4474,PROVEEDORES!$A:$B,2,0),"!COD NO ENCONTRADO"),"")</f>
        <v/>
      </c>
      <c r="F4474" s="76" t="str">
        <f aca="false">IF(D4474&lt;&gt;"",IFERROR(VLOOKUP(D4474,PROVEEDORES!$A:$C,3,0),""),"")</f>
        <v/>
      </c>
      <c r="G4474" s="75"/>
      <c r="H4474" s="52" t="str">
        <f aca="false">IF(G4474&lt;&gt;"",IFERROR(VLOOKUP(G4474,PRODUCTOS!$A:$B,2,0),"!COD NO ENCONTRADO"),"")</f>
        <v/>
      </c>
      <c r="I4474" s="77"/>
      <c r="J4474" s="78"/>
      <c r="K4474" s="79"/>
      <c r="L4474" s="80" t="str">
        <f aca="false">IF(AND(J4474&lt;&gt;"",K4474&lt;&gt;""),J4474*K4474,"")</f>
        <v/>
      </c>
      <c r="M4474" s="81" t="str">
        <f aca="false">IF(L4474&lt;&gt;"",L4474*1.1,"")</f>
        <v/>
      </c>
      <c r="N4474" s="53" t="n">
        <f aca="false">IF(F4474="S",L4474*0.02,0)</f>
        <v>0</v>
      </c>
      <c r="O4474" s="82" t="str">
        <f aca="false">IF(L4474&lt;&gt;"",L4474+N4474,"")</f>
        <v/>
      </c>
      <c r="P4474" s="53" t="str">
        <f aca="false">IF(O4474&lt;&gt;"",O4474*0.1,"")</f>
        <v/>
      </c>
      <c r="Q4474" s="83" t="str">
        <f aca="false">IF(O4474&lt;&gt;"",O4474+P4474,"")</f>
        <v/>
      </c>
      <c r="R4474" s="84"/>
    </row>
    <row r="4475" customFormat="false" ht="15" hidden="false" customHeight="true" outlineLevel="0" collapsed="false">
      <c r="A4475" s="103"/>
      <c r="B4475" s="85"/>
      <c r="C4475" s="86"/>
      <c r="D4475" s="87"/>
      <c r="E4475" s="46" t="str">
        <f aca="false">IF(D4475&lt;&gt;"",IFERROR(VLOOKUP(D4475,PROVEEDORES!$A:$B,2,0),"!COD NO ENCONTRADO"),"")</f>
        <v/>
      </c>
      <c r="F4475" s="88" t="str">
        <f aca="false">IF(D4475&lt;&gt;"",IFERROR(VLOOKUP(D4475,PROVEEDORES!$A:$C,3,0),""),"")</f>
        <v/>
      </c>
      <c r="G4475" s="87"/>
      <c r="H4475" s="46" t="str">
        <f aca="false">IF(G4475&lt;&gt;"",IFERROR(VLOOKUP(G4475,PRODUCTOS!$A:$B,2,0),"!COD NO ENCONTRADO"),"")</f>
        <v/>
      </c>
      <c r="I4475" s="89"/>
      <c r="J4475" s="90"/>
      <c r="K4475" s="91"/>
      <c r="L4475" s="80" t="str">
        <f aca="false">IF(AND(J4475&lt;&gt;"",K4475&lt;&gt;""),J4475*K4475,"")</f>
        <v/>
      </c>
      <c r="M4475" s="81" t="str">
        <f aca="false">IF(L4475&lt;&gt;"",L4475*1.1,"")</f>
        <v/>
      </c>
      <c r="N4475" s="47" t="n">
        <f aca="false">IF(F4475="S",L4475*0.02,0)</f>
        <v>0</v>
      </c>
      <c r="O4475" s="82" t="str">
        <f aca="false">IF(L4475&lt;&gt;"",L4475+N4475,"")</f>
        <v/>
      </c>
      <c r="P4475" s="47" t="str">
        <f aca="false">IF(O4475&lt;&gt;"",O4475*0.1,"")</f>
        <v/>
      </c>
      <c r="Q4475" s="83" t="str">
        <f aca="false">IF(O4475&lt;&gt;"",O4475+P4475,"")</f>
        <v/>
      </c>
      <c r="R4475" s="84"/>
    </row>
    <row r="4476" customFormat="false" ht="15" hidden="false" customHeight="true" outlineLevel="0" collapsed="false">
      <c r="A4476" s="103"/>
      <c r="B4476" s="73"/>
      <c r="C4476" s="74"/>
      <c r="D4476" s="75"/>
      <c r="E4476" s="52" t="str">
        <f aca="false">IF(D4476&lt;&gt;"",IFERROR(VLOOKUP(D4476,PROVEEDORES!$A:$B,2,0),"!COD NO ENCONTRADO"),"")</f>
        <v/>
      </c>
      <c r="F4476" s="76" t="str">
        <f aca="false">IF(D4476&lt;&gt;"",IFERROR(VLOOKUP(D4476,PROVEEDORES!$A:$C,3,0),""),"")</f>
        <v/>
      </c>
      <c r="G4476" s="75"/>
      <c r="H4476" s="52" t="str">
        <f aca="false">IF(G4476&lt;&gt;"",IFERROR(VLOOKUP(G4476,PRODUCTOS!$A:$B,2,0),"!COD NO ENCONTRADO"),"")</f>
        <v/>
      </c>
      <c r="I4476" s="77"/>
      <c r="J4476" s="78"/>
      <c r="K4476" s="79"/>
      <c r="L4476" s="80" t="str">
        <f aca="false">IF(AND(J4476&lt;&gt;"",K4476&lt;&gt;""),J4476*K4476,"")</f>
        <v/>
      </c>
      <c r="M4476" s="81" t="str">
        <f aca="false">IF(L4476&lt;&gt;"",L4476*1.1,"")</f>
        <v/>
      </c>
      <c r="N4476" s="53" t="n">
        <f aca="false">IF(F4476="S",L4476*0.02,0)</f>
        <v>0</v>
      </c>
      <c r="O4476" s="82" t="str">
        <f aca="false">IF(L4476&lt;&gt;"",L4476+N4476,"")</f>
        <v/>
      </c>
      <c r="P4476" s="53" t="str">
        <f aca="false">IF(O4476&lt;&gt;"",O4476*0.1,"")</f>
        <v/>
      </c>
      <c r="Q4476" s="83" t="str">
        <f aca="false">IF(O4476&lt;&gt;"",O4476+P4476,"")</f>
        <v/>
      </c>
      <c r="R4476" s="84"/>
    </row>
    <row r="4477" customFormat="false" ht="15" hidden="false" customHeight="true" outlineLevel="0" collapsed="false">
      <c r="A4477" s="103"/>
      <c r="B4477" s="85"/>
      <c r="C4477" s="86"/>
      <c r="D4477" s="87"/>
      <c r="E4477" s="46" t="str">
        <f aca="false">IF(D4477&lt;&gt;"",IFERROR(VLOOKUP(D4477,PROVEEDORES!$A:$B,2,0),"!COD NO ENCONTRADO"),"")</f>
        <v/>
      </c>
      <c r="F4477" s="88" t="str">
        <f aca="false">IF(D4477&lt;&gt;"",IFERROR(VLOOKUP(D4477,PROVEEDORES!$A:$C,3,0),""),"")</f>
        <v/>
      </c>
      <c r="G4477" s="87"/>
      <c r="H4477" s="46" t="str">
        <f aca="false">IF(G4477&lt;&gt;"",IFERROR(VLOOKUP(G4477,PRODUCTOS!$A:$B,2,0),"!COD NO ENCONTRADO"),"")</f>
        <v/>
      </c>
      <c r="I4477" s="89"/>
      <c r="J4477" s="90"/>
      <c r="K4477" s="91"/>
      <c r="L4477" s="80" t="str">
        <f aca="false">IF(AND(J4477&lt;&gt;"",K4477&lt;&gt;""),J4477*K4477,"")</f>
        <v/>
      </c>
      <c r="M4477" s="81" t="str">
        <f aca="false">IF(L4477&lt;&gt;"",L4477*1.1,"")</f>
        <v/>
      </c>
      <c r="N4477" s="47" t="n">
        <f aca="false">IF(F4477="S",L4477*0.02,0)</f>
        <v>0</v>
      </c>
      <c r="O4477" s="82" t="str">
        <f aca="false">IF(L4477&lt;&gt;"",L4477+N4477,"")</f>
        <v/>
      </c>
      <c r="P4477" s="47" t="str">
        <f aca="false">IF(O4477&lt;&gt;"",O4477*0.1,"")</f>
        <v/>
      </c>
      <c r="Q4477" s="83" t="str">
        <f aca="false">IF(O4477&lt;&gt;"",O4477+P4477,"")</f>
        <v/>
      </c>
      <c r="R4477" s="84"/>
    </row>
    <row r="4478" customFormat="false" ht="15" hidden="false" customHeight="true" outlineLevel="0" collapsed="false">
      <c r="A4478" s="103"/>
      <c r="B4478" s="73"/>
      <c r="C4478" s="74"/>
      <c r="D4478" s="75"/>
      <c r="E4478" s="52" t="str">
        <f aca="false">IF(D4478&lt;&gt;"",IFERROR(VLOOKUP(D4478,PROVEEDORES!$A:$B,2,0),"!COD NO ENCONTRADO"),"")</f>
        <v/>
      </c>
      <c r="F4478" s="76" t="str">
        <f aca="false">IF(D4478&lt;&gt;"",IFERROR(VLOOKUP(D4478,PROVEEDORES!$A:$C,3,0),""),"")</f>
        <v/>
      </c>
      <c r="G4478" s="75"/>
      <c r="H4478" s="52" t="str">
        <f aca="false">IF(G4478&lt;&gt;"",IFERROR(VLOOKUP(G4478,PRODUCTOS!$A:$B,2,0),"!COD NO ENCONTRADO"),"")</f>
        <v/>
      </c>
      <c r="I4478" s="77"/>
      <c r="J4478" s="78"/>
      <c r="K4478" s="79"/>
      <c r="L4478" s="80" t="str">
        <f aca="false">IF(AND(J4478&lt;&gt;"",K4478&lt;&gt;""),J4478*K4478,"")</f>
        <v/>
      </c>
      <c r="M4478" s="81" t="str">
        <f aca="false">IF(L4478&lt;&gt;"",L4478*1.1,"")</f>
        <v/>
      </c>
      <c r="N4478" s="53" t="n">
        <f aca="false">IF(F4478="S",L4478*0.02,0)</f>
        <v>0</v>
      </c>
      <c r="O4478" s="82" t="str">
        <f aca="false">IF(L4478&lt;&gt;"",L4478+N4478,"")</f>
        <v/>
      </c>
      <c r="P4478" s="53" t="str">
        <f aca="false">IF(O4478&lt;&gt;"",O4478*0.1,"")</f>
        <v/>
      </c>
      <c r="Q4478" s="83" t="str">
        <f aca="false">IF(O4478&lt;&gt;"",O4478+P4478,"")</f>
        <v/>
      </c>
      <c r="R4478" s="84"/>
    </row>
    <row r="4479" customFormat="false" ht="15" hidden="false" customHeight="true" outlineLevel="0" collapsed="false">
      <c r="A4479" s="103"/>
      <c r="B4479" s="85"/>
      <c r="C4479" s="86"/>
      <c r="D4479" s="87"/>
      <c r="E4479" s="46" t="str">
        <f aca="false">IF(D4479&lt;&gt;"",IFERROR(VLOOKUP(D4479,PROVEEDORES!$A:$B,2,0),"!COD NO ENCONTRADO"),"")</f>
        <v/>
      </c>
      <c r="F4479" s="88" t="str">
        <f aca="false">IF(D4479&lt;&gt;"",IFERROR(VLOOKUP(D4479,PROVEEDORES!$A:$C,3,0),""),"")</f>
        <v/>
      </c>
      <c r="G4479" s="87"/>
      <c r="H4479" s="46" t="str">
        <f aca="false">IF(G4479&lt;&gt;"",IFERROR(VLOOKUP(G4479,PRODUCTOS!$A:$B,2,0),"!COD NO ENCONTRADO"),"")</f>
        <v/>
      </c>
      <c r="I4479" s="89"/>
      <c r="J4479" s="90"/>
      <c r="K4479" s="91"/>
      <c r="L4479" s="80" t="str">
        <f aca="false">IF(AND(J4479&lt;&gt;"",K4479&lt;&gt;""),J4479*K4479,"")</f>
        <v/>
      </c>
      <c r="M4479" s="81" t="str">
        <f aca="false">IF(L4479&lt;&gt;"",L4479*1.1,"")</f>
        <v/>
      </c>
      <c r="N4479" s="47" t="n">
        <f aca="false">IF(F4479="S",L4479*0.02,0)</f>
        <v>0</v>
      </c>
      <c r="O4479" s="82" t="str">
        <f aca="false">IF(L4479&lt;&gt;"",L4479+N4479,"")</f>
        <v/>
      </c>
      <c r="P4479" s="47" t="str">
        <f aca="false">IF(O4479&lt;&gt;"",O4479*0.1,"")</f>
        <v/>
      </c>
      <c r="Q4479" s="83" t="str">
        <f aca="false">IF(O4479&lt;&gt;"",O4479+P4479,"")</f>
        <v/>
      </c>
      <c r="R4479" s="84"/>
    </row>
    <row r="4480" customFormat="false" ht="15" hidden="false" customHeight="true" outlineLevel="0" collapsed="false">
      <c r="A4480" s="103"/>
      <c r="B4480" s="73"/>
      <c r="C4480" s="74"/>
      <c r="D4480" s="75"/>
      <c r="E4480" s="52" t="str">
        <f aca="false">IF(D4480&lt;&gt;"",IFERROR(VLOOKUP(D4480,PROVEEDORES!$A:$B,2,0),"!COD NO ENCONTRADO"),"")</f>
        <v/>
      </c>
      <c r="F4480" s="76" t="str">
        <f aca="false">IF(D4480&lt;&gt;"",IFERROR(VLOOKUP(D4480,PROVEEDORES!$A:$C,3,0),""),"")</f>
        <v/>
      </c>
      <c r="G4480" s="75"/>
      <c r="H4480" s="52" t="str">
        <f aca="false">IF(G4480&lt;&gt;"",IFERROR(VLOOKUP(G4480,PRODUCTOS!$A:$B,2,0),"!COD NO ENCONTRADO"),"")</f>
        <v/>
      </c>
      <c r="I4480" s="77"/>
      <c r="J4480" s="78"/>
      <c r="K4480" s="79"/>
      <c r="L4480" s="80" t="str">
        <f aca="false">IF(AND(J4480&lt;&gt;"",K4480&lt;&gt;""),J4480*K4480,"")</f>
        <v/>
      </c>
      <c r="M4480" s="81" t="str">
        <f aca="false">IF(L4480&lt;&gt;"",L4480*1.1,"")</f>
        <v/>
      </c>
      <c r="N4480" s="53" t="n">
        <f aca="false">IF(F4480="S",L4480*0.02,0)</f>
        <v>0</v>
      </c>
      <c r="O4480" s="82" t="str">
        <f aca="false">IF(L4480&lt;&gt;"",L4480+N4480,"")</f>
        <v/>
      </c>
      <c r="P4480" s="53" t="str">
        <f aca="false">IF(O4480&lt;&gt;"",O4480*0.1,"")</f>
        <v/>
      </c>
      <c r="Q4480" s="83" t="str">
        <f aca="false">IF(O4480&lt;&gt;"",O4480+P4480,"")</f>
        <v/>
      </c>
      <c r="R4480" s="84"/>
    </row>
    <row r="4481" customFormat="false" ht="15" hidden="false" customHeight="true" outlineLevel="0" collapsed="false">
      <c r="A4481" s="103"/>
      <c r="B4481" s="85"/>
      <c r="C4481" s="86"/>
      <c r="D4481" s="87"/>
      <c r="E4481" s="46" t="str">
        <f aca="false">IF(D4481&lt;&gt;"",IFERROR(VLOOKUP(D4481,PROVEEDORES!$A:$B,2,0),"!COD NO ENCONTRADO"),"")</f>
        <v/>
      </c>
      <c r="F4481" s="88" t="str">
        <f aca="false">IF(D4481&lt;&gt;"",IFERROR(VLOOKUP(D4481,PROVEEDORES!$A:$C,3,0),""),"")</f>
        <v/>
      </c>
      <c r="G4481" s="87"/>
      <c r="H4481" s="46" t="str">
        <f aca="false">IF(G4481&lt;&gt;"",IFERROR(VLOOKUP(G4481,PRODUCTOS!$A:$B,2,0),"!COD NO ENCONTRADO"),"")</f>
        <v/>
      </c>
      <c r="I4481" s="89"/>
      <c r="J4481" s="90"/>
      <c r="K4481" s="91"/>
      <c r="L4481" s="80" t="str">
        <f aca="false">IF(AND(J4481&lt;&gt;"",K4481&lt;&gt;""),J4481*K4481,"")</f>
        <v/>
      </c>
      <c r="M4481" s="81" t="str">
        <f aca="false">IF(L4481&lt;&gt;"",L4481*1.1,"")</f>
        <v/>
      </c>
      <c r="N4481" s="47" t="n">
        <f aca="false">IF(F4481="S",L4481*0.02,0)</f>
        <v>0</v>
      </c>
      <c r="O4481" s="82" t="str">
        <f aca="false">IF(L4481&lt;&gt;"",L4481+N4481,"")</f>
        <v/>
      </c>
      <c r="P4481" s="47" t="str">
        <f aca="false">IF(O4481&lt;&gt;"",O4481*0.1,"")</f>
        <v/>
      </c>
      <c r="Q4481" s="83" t="str">
        <f aca="false">IF(O4481&lt;&gt;"",O4481+P4481,"")</f>
        <v/>
      </c>
      <c r="R4481" s="84"/>
    </row>
    <row r="4482" customFormat="false" ht="15" hidden="false" customHeight="true" outlineLevel="0" collapsed="false">
      <c r="A4482" s="103"/>
      <c r="B4482" s="73"/>
      <c r="C4482" s="74"/>
      <c r="D4482" s="75"/>
      <c r="E4482" s="52" t="str">
        <f aca="false">IF(D4482&lt;&gt;"",IFERROR(VLOOKUP(D4482,PROVEEDORES!$A:$B,2,0),"!COD NO ENCONTRADO"),"")</f>
        <v/>
      </c>
      <c r="F4482" s="76" t="str">
        <f aca="false">IF(D4482&lt;&gt;"",IFERROR(VLOOKUP(D4482,PROVEEDORES!$A:$C,3,0),""),"")</f>
        <v/>
      </c>
      <c r="G4482" s="75"/>
      <c r="H4482" s="52" t="str">
        <f aca="false">IF(G4482&lt;&gt;"",IFERROR(VLOOKUP(G4482,PRODUCTOS!$A:$B,2,0),"!COD NO ENCONTRADO"),"")</f>
        <v/>
      </c>
      <c r="I4482" s="77"/>
      <c r="J4482" s="78"/>
      <c r="K4482" s="79"/>
      <c r="L4482" s="80" t="str">
        <f aca="false">IF(AND(J4482&lt;&gt;"",K4482&lt;&gt;""),J4482*K4482,"")</f>
        <v/>
      </c>
      <c r="M4482" s="81" t="str">
        <f aca="false">IF(L4482&lt;&gt;"",L4482*1.1,"")</f>
        <v/>
      </c>
      <c r="N4482" s="53" t="n">
        <f aca="false">IF(F4482="S",L4482*0.02,0)</f>
        <v>0</v>
      </c>
      <c r="O4482" s="82" t="str">
        <f aca="false">IF(L4482&lt;&gt;"",L4482+N4482,"")</f>
        <v/>
      </c>
      <c r="P4482" s="53" t="str">
        <f aca="false">IF(O4482&lt;&gt;"",O4482*0.1,"")</f>
        <v/>
      </c>
      <c r="Q4482" s="83" t="str">
        <f aca="false">IF(O4482&lt;&gt;"",O4482+P4482,"")</f>
        <v/>
      </c>
      <c r="R4482" s="84"/>
    </row>
    <row r="4483" customFormat="false" ht="15" hidden="false" customHeight="true" outlineLevel="0" collapsed="false">
      <c r="A4483" s="103"/>
      <c r="B4483" s="85"/>
      <c r="C4483" s="86"/>
      <c r="D4483" s="87"/>
      <c r="E4483" s="46" t="str">
        <f aca="false">IF(D4483&lt;&gt;"",IFERROR(VLOOKUP(D4483,PROVEEDORES!$A:$B,2,0),"!COD NO ENCONTRADO"),"")</f>
        <v/>
      </c>
      <c r="F4483" s="88" t="str">
        <f aca="false">IF(D4483&lt;&gt;"",IFERROR(VLOOKUP(D4483,PROVEEDORES!$A:$C,3,0),""),"")</f>
        <v/>
      </c>
      <c r="G4483" s="87"/>
      <c r="H4483" s="46" t="str">
        <f aca="false">IF(G4483&lt;&gt;"",IFERROR(VLOOKUP(G4483,PRODUCTOS!$A:$B,2,0),"!COD NO ENCONTRADO"),"")</f>
        <v/>
      </c>
      <c r="I4483" s="89"/>
      <c r="J4483" s="90"/>
      <c r="K4483" s="91"/>
      <c r="L4483" s="80" t="str">
        <f aca="false">IF(AND(J4483&lt;&gt;"",K4483&lt;&gt;""),J4483*K4483,"")</f>
        <v/>
      </c>
      <c r="M4483" s="81" t="str">
        <f aca="false">IF(L4483&lt;&gt;"",L4483*1.1,"")</f>
        <v/>
      </c>
      <c r="N4483" s="47" t="n">
        <f aca="false">IF(F4483="S",L4483*0.02,0)</f>
        <v>0</v>
      </c>
      <c r="O4483" s="82" t="str">
        <f aca="false">IF(L4483&lt;&gt;"",L4483+N4483,"")</f>
        <v/>
      </c>
      <c r="P4483" s="47" t="str">
        <f aca="false">IF(O4483&lt;&gt;"",O4483*0.1,"")</f>
        <v/>
      </c>
      <c r="Q4483" s="83" t="str">
        <f aca="false">IF(O4483&lt;&gt;"",O4483+P4483,"")</f>
        <v/>
      </c>
      <c r="R4483" s="84"/>
    </row>
    <row r="4484" customFormat="false" ht="15" hidden="false" customHeight="true" outlineLevel="0" collapsed="false">
      <c r="A4484" s="103"/>
      <c r="B4484" s="73"/>
      <c r="C4484" s="74"/>
      <c r="D4484" s="75"/>
      <c r="E4484" s="52" t="str">
        <f aca="false">IF(D4484&lt;&gt;"",IFERROR(VLOOKUP(D4484,PROVEEDORES!$A:$B,2,0),"!COD NO ENCONTRADO"),"")</f>
        <v/>
      </c>
      <c r="F4484" s="76" t="str">
        <f aca="false">IF(D4484&lt;&gt;"",IFERROR(VLOOKUP(D4484,PROVEEDORES!$A:$C,3,0),""),"")</f>
        <v/>
      </c>
      <c r="G4484" s="75"/>
      <c r="H4484" s="52" t="str">
        <f aca="false">IF(G4484&lt;&gt;"",IFERROR(VLOOKUP(G4484,PRODUCTOS!$A:$B,2,0),"!COD NO ENCONTRADO"),"")</f>
        <v/>
      </c>
      <c r="I4484" s="77"/>
      <c r="J4484" s="78"/>
      <c r="K4484" s="79"/>
      <c r="L4484" s="80" t="str">
        <f aca="false">IF(AND(J4484&lt;&gt;"",K4484&lt;&gt;""),J4484*K4484,"")</f>
        <v/>
      </c>
      <c r="M4484" s="81" t="str">
        <f aca="false">IF(L4484&lt;&gt;"",L4484*1.1,"")</f>
        <v/>
      </c>
      <c r="N4484" s="53" t="n">
        <f aca="false">IF(F4484="S",L4484*0.02,0)</f>
        <v>0</v>
      </c>
      <c r="O4484" s="82" t="str">
        <f aca="false">IF(L4484&lt;&gt;"",L4484+N4484,"")</f>
        <v/>
      </c>
      <c r="P4484" s="53" t="str">
        <f aca="false">IF(O4484&lt;&gt;"",O4484*0.1,"")</f>
        <v/>
      </c>
      <c r="Q4484" s="83" t="str">
        <f aca="false">IF(O4484&lt;&gt;"",O4484+P4484,"")</f>
        <v/>
      </c>
      <c r="R4484" s="84"/>
    </row>
    <row r="4485" customFormat="false" ht="15" hidden="false" customHeight="true" outlineLevel="0" collapsed="false">
      <c r="A4485" s="103"/>
      <c r="B4485" s="85"/>
      <c r="C4485" s="86"/>
      <c r="D4485" s="87"/>
      <c r="E4485" s="46" t="str">
        <f aca="false">IF(D4485&lt;&gt;"",IFERROR(VLOOKUP(D4485,PROVEEDORES!$A:$B,2,0),"!COD NO ENCONTRADO"),"")</f>
        <v/>
      </c>
      <c r="F4485" s="88" t="str">
        <f aca="false">IF(D4485&lt;&gt;"",IFERROR(VLOOKUP(D4485,PROVEEDORES!$A:$C,3,0),""),"")</f>
        <v/>
      </c>
      <c r="G4485" s="87"/>
      <c r="H4485" s="46" t="str">
        <f aca="false">IF(G4485&lt;&gt;"",IFERROR(VLOOKUP(G4485,PRODUCTOS!$A:$B,2,0),"!COD NO ENCONTRADO"),"")</f>
        <v/>
      </c>
      <c r="I4485" s="89"/>
      <c r="J4485" s="90"/>
      <c r="K4485" s="91"/>
      <c r="L4485" s="80" t="str">
        <f aca="false">IF(AND(J4485&lt;&gt;"",K4485&lt;&gt;""),J4485*K4485,"")</f>
        <v/>
      </c>
      <c r="M4485" s="81" t="str">
        <f aca="false">IF(L4485&lt;&gt;"",L4485*1.1,"")</f>
        <v/>
      </c>
      <c r="N4485" s="47" t="n">
        <f aca="false">IF(F4485="S",L4485*0.02,0)</f>
        <v>0</v>
      </c>
      <c r="O4485" s="82" t="str">
        <f aca="false">IF(L4485&lt;&gt;"",L4485+N4485,"")</f>
        <v/>
      </c>
      <c r="P4485" s="47" t="str">
        <f aca="false">IF(O4485&lt;&gt;"",O4485*0.1,"")</f>
        <v/>
      </c>
      <c r="Q4485" s="83" t="str">
        <f aca="false">IF(O4485&lt;&gt;"",O4485+P4485,"")</f>
        <v/>
      </c>
      <c r="R4485" s="84"/>
    </row>
    <row r="4486" customFormat="false" ht="15" hidden="false" customHeight="true" outlineLevel="0" collapsed="false">
      <c r="A4486" s="103"/>
      <c r="B4486" s="73"/>
      <c r="C4486" s="74"/>
      <c r="D4486" s="75"/>
      <c r="E4486" s="52" t="str">
        <f aca="false">IF(D4486&lt;&gt;"",IFERROR(VLOOKUP(D4486,PROVEEDORES!$A:$B,2,0),"!COD NO ENCONTRADO"),"")</f>
        <v/>
      </c>
      <c r="F4486" s="76" t="str">
        <f aca="false">IF(D4486&lt;&gt;"",IFERROR(VLOOKUP(D4486,PROVEEDORES!$A:$C,3,0),""),"")</f>
        <v/>
      </c>
      <c r="G4486" s="75"/>
      <c r="H4486" s="52" t="str">
        <f aca="false">IF(G4486&lt;&gt;"",IFERROR(VLOOKUP(G4486,PRODUCTOS!$A:$B,2,0),"!COD NO ENCONTRADO"),"")</f>
        <v/>
      </c>
      <c r="I4486" s="77"/>
      <c r="J4486" s="78"/>
      <c r="K4486" s="79"/>
      <c r="L4486" s="80" t="str">
        <f aca="false">IF(AND(J4486&lt;&gt;"",K4486&lt;&gt;""),J4486*K4486,"")</f>
        <v/>
      </c>
      <c r="M4486" s="81" t="str">
        <f aca="false">IF(L4486&lt;&gt;"",L4486*1.1,"")</f>
        <v/>
      </c>
      <c r="N4486" s="53" t="n">
        <f aca="false">IF(F4486="S",L4486*0.02,0)</f>
        <v>0</v>
      </c>
      <c r="O4486" s="82" t="str">
        <f aca="false">IF(L4486&lt;&gt;"",L4486+N4486,"")</f>
        <v/>
      </c>
      <c r="P4486" s="53" t="str">
        <f aca="false">IF(O4486&lt;&gt;"",O4486*0.1,"")</f>
        <v/>
      </c>
      <c r="Q4486" s="83" t="str">
        <f aca="false">IF(O4486&lt;&gt;"",O4486+P4486,"")</f>
        <v/>
      </c>
      <c r="R4486" s="84"/>
    </row>
    <row r="4487" customFormat="false" ht="15" hidden="false" customHeight="true" outlineLevel="0" collapsed="false">
      <c r="A4487" s="103"/>
      <c r="B4487" s="85"/>
      <c r="C4487" s="86"/>
      <c r="D4487" s="87"/>
      <c r="E4487" s="46" t="str">
        <f aca="false">IF(D4487&lt;&gt;"",IFERROR(VLOOKUP(D4487,PROVEEDORES!$A:$B,2,0),"!COD NO ENCONTRADO"),"")</f>
        <v/>
      </c>
      <c r="F4487" s="88" t="str">
        <f aca="false">IF(D4487&lt;&gt;"",IFERROR(VLOOKUP(D4487,PROVEEDORES!$A:$C,3,0),""),"")</f>
        <v/>
      </c>
      <c r="G4487" s="87"/>
      <c r="H4487" s="46" t="str">
        <f aca="false">IF(G4487&lt;&gt;"",IFERROR(VLOOKUP(G4487,PRODUCTOS!$A:$B,2,0),"!COD NO ENCONTRADO"),"")</f>
        <v/>
      </c>
      <c r="I4487" s="89"/>
      <c r="J4487" s="90"/>
      <c r="K4487" s="91"/>
      <c r="L4487" s="80" t="str">
        <f aca="false">IF(AND(J4487&lt;&gt;"",K4487&lt;&gt;""),J4487*K4487,"")</f>
        <v/>
      </c>
      <c r="M4487" s="81" t="str">
        <f aca="false">IF(L4487&lt;&gt;"",L4487*1.1,"")</f>
        <v/>
      </c>
      <c r="N4487" s="47" t="n">
        <f aca="false">IF(F4487="S",L4487*0.02,0)</f>
        <v>0</v>
      </c>
      <c r="O4487" s="82" t="str">
        <f aca="false">IF(L4487&lt;&gt;"",L4487+N4487,"")</f>
        <v/>
      </c>
      <c r="P4487" s="47" t="str">
        <f aca="false">IF(O4487&lt;&gt;"",O4487*0.1,"")</f>
        <v/>
      </c>
      <c r="Q4487" s="83" t="str">
        <f aca="false">IF(O4487&lt;&gt;"",O4487+P4487,"")</f>
        <v/>
      </c>
      <c r="R4487" s="84"/>
    </row>
    <row r="4488" customFormat="false" ht="15" hidden="false" customHeight="true" outlineLevel="0" collapsed="false">
      <c r="A4488" s="103"/>
      <c r="B4488" s="73"/>
      <c r="C4488" s="74"/>
      <c r="D4488" s="75"/>
      <c r="E4488" s="52" t="str">
        <f aca="false">IF(D4488&lt;&gt;"",IFERROR(VLOOKUP(D4488,PROVEEDORES!$A:$B,2,0),"!COD NO ENCONTRADO"),"")</f>
        <v/>
      </c>
      <c r="F4488" s="76" t="str">
        <f aca="false">IF(D4488&lt;&gt;"",IFERROR(VLOOKUP(D4488,PROVEEDORES!$A:$C,3,0),""),"")</f>
        <v/>
      </c>
      <c r="G4488" s="75"/>
      <c r="H4488" s="52" t="str">
        <f aca="false">IF(G4488&lt;&gt;"",IFERROR(VLOOKUP(G4488,PRODUCTOS!$A:$B,2,0),"!COD NO ENCONTRADO"),"")</f>
        <v/>
      </c>
      <c r="I4488" s="77"/>
      <c r="J4488" s="78"/>
      <c r="K4488" s="79"/>
      <c r="L4488" s="80" t="str">
        <f aca="false">IF(AND(J4488&lt;&gt;"",K4488&lt;&gt;""),J4488*K4488,"")</f>
        <v/>
      </c>
      <c r="M4488" s="81" t="str">
        <f aca="false">IF(L4488&lt;&gt;"",L4488*1.1,"")</f>
        <v/>
      </c>
      <c r="N4488" s="53" t="n">
        <f aca="false">IF(F4488="S",L4488*0.02,0)</f>
        <v>0</v>
      </c>
      <c r="O4488" s="82" t="str">
        <f aca="false">IF(L4488&lt;&gt;"",L4488+N4488,"")</f>
        <v/>
      </c>
      <c r="P4488" s="53" t="str">
        <f aca="false">IF(O4488&lt;&gt;"",O4488*0.1,"")</f>
        <v/>
      </c>
      <c r="Q4488" s="83" t="str">
        <f aca="false">IF(O4488&lt;&gt;"",O4488+P4488,"")</f>
        <v/>
      </c>
      <c r="R4488" s="84"/>
    </row>
    <row r="4489" customFormat="false" ht="15" hidden="false" customHeight="true" outlineLevel="0" collapsed="false">
      <c r="A4489" s="103"/>
      <c r="B4489" s="85"/>
      <c r="C4489" s="86"/>
      <c r="D4489" s="87"/>
      <c r="E4489" s="46" t="str">
        <f aca="false">IF(D4489&lt;&gt;"",IFERROR(VLOOKUP(D4489,PROVEEDORES!$A:$B,2,0),"!COD NO ENCONTRADO"),"")</f>
        <v/>
      </c>
      <c r="F4489" s="88" t="str">
        <f aca="false">IF(D4489&lt;&gt;"",IFERROR(VLOOKUP(D4489,PROVEEDORES!$A:$C,3,0),""),"")</f>
        <v/>
      </c>
      <c r="G4489" s="87"/>
      <c r="H4489" s="46" t="str">
        <f aca="false">IF(G4489&lt;&gt;"",IFERROR(VLOOKUP(G4489,PRODUCTOS!$A:$B,2,0),"!COD NO ENCONTRADO"),"")</f>
        <v/>
      </c>
      <c r="I4489" s="89"/>
      <c r="J4489" s="90"/>
      <c r="K4489" s="91"/>
      <c r="L4489" s="80" t="str">
        <f aca="false">IF(AND(J4489&lt;&gt;"",K4489&lt;&gt;""),J4489*K4489,"")</f>
        <v/>
      </c>
      <c r="M4489" s="81" t="str">
        <f aca="false">IF(L4489&lt;&gt;"",L4489*1.1,"")</f>
        <v/>
      </c>
      <c r="N4489" s="47" t="n">
        <f aca="false">IF(F4489="S",L4489*0.02,0)</f>
        <v>0</v>
      </c>
      <c r="O4489" s="82" t="str">
        <f aca="false">IF(L4489&lt;&gt;"",L4489+N4489,"")</f>
        <v/>
      </c>
      <c r="P4489" s="47" t="str">
        <f aca="false">IF(O4489&lt;&gt;"",O4489*0.1,"")</f>
        <v/>
      </c>
      <c r="Q4489" s="83" t="str">
        <f aca="false">IF(O4489&lt;&gt;"",O4489+P4489,"")</f>
        <v/>
      </c>
      <c r="R4489" s="84"/>
    </row>
    <row r="4490" customFormat="false" ht="15" hidden="false" customHeight="true" outlineLevel="0" collapsed="false">
      <c r="A4490" s="103"/>
      <c r="B4490" s="73"/>
      <c r="C4490" s="74"/>
      <c r="D4490" s="75"/>
      <c r="E4490" s="52" t="str">
        <f aca="false">IF(D4490&lt;&gt;"",IFERROR(VLOOKUP(D4490,PROVEEDORES!$A:$B,2,0),"!COD NO ENCONTRADO"),"")</f>
        <v/>
      </c>
      <c r="F4490" s="76" t="str">
        <f aca="false">IF(D4490&lt;&gt;"",IFERROR(VLOOKUP(D4490,PROVEEDORES!$A:$C,3,0),""),"")</f>
        <v/>
      </c>
      <c r="G4490" s="75"/>
      <c r="H4490" s="52" t="str">
        <f aca="false">IF(G4490&lt;&gt;"",IFERROR(VLOOKUP(G4490,PRODUCTOS!$A:$B,2,0),"!COD NO ENCONTRADO"),"")</f>
        <v/>
      </c>
      <c r="I4490" s="77"/>
      <c r="J4490" s="78"/>
      <c r="K4490" s="79"/>
      <c r="L4490" s="80" t="str">
        <f aca="false">IF(AND(J4490&lt;&gt;"",K4490&lt;&gt;""),J4490*K4490,"")</f>
        <v/>
      </c>
      <c r="M4490" s="81" t="str">
        <f aca="false">IF(L4490&lt;&gt;"",L4490*1.1,"")</f>
        <v/>
      </c>
      <c r="N4490" s="53" t="n">
        <f aca="false">IF(F4490="S",L4490*0.02,0)</f>
        <v>0</v>
      </c>
      <c r="O4490" s="82" t="str">
        <f aca="false">IF(L4490&lt;&gt;"",L4490+N4490,"")</f>
        <v/>
      </c>
      <c r="P4490" s="53" t="str">
        <f aca="false">IF(O4490&lt;&gt;"",O4490*0.1,"")</f>
        <v/>
      </c>
      <c r="Q4490" s="83" t="str">
        <f aca="false">IF(O4490&lt;&gt;"",O4490+P4490,"")</f>
        <v/>
      </c>
      <c r="R4490" s="84"/>
    </row>
    <row r="4491" customFormat="false" ht="15" hidden="false" customHeight="true" outlineLevel="0" collapsed="false">
      <c r="A4491" s="103"/>
      <c r="B4491" s="85"/>
      <c r="C4491" s="86"/>
      <c r="D4491" s="87"/>
      <c r="E4491" s="46" t="str">
        <f aca="false">IF(D4491&lt;&gt;"",IFERROR(VLOOKUP(D4491,PROVEEDORES!$A:$B,2,0),"!COD NO ENCONTRADO"),"")</f>
        <v/>
      </c>
      <c r="F4491" s="88" t="str">
        <f aca="false">IF(D4491&lt;&gt;"",IFERROR(VLOOKUP(D4491,PROVEEDORES!$A:$C,3,0),""),"")</f>
        <v/>
      </c>
      <c r="G4491" s="87"/>
      <c r="H4491" s="46" t="str">
        <f aca="false">IF(G4491&lt;&gt;"",IFERROR(VLOOKUP(G4491,PRODUCTOS!$A:$B,2,0),"!COD NO ENCONTRADO"),"")</f>
        <v/>
      </c>
      <c r="I4491" s="89"/>
      <c r="J4491" s="90"/>
      <c r="K4491" s="91"/>
      <c r="L4491" s="80" t="str">
        <f aca="false">IF(AND(J4491&lt;&gt;"",K4491&lt;&gt;""),J4491*K4491,"")</f>
        <v/>
      </c>
      <c r="M4491" s="81" t="str">
        <f aca="false">IF(L4491&lt;&gt;"",L4491*1.1,"")</f>
        <v/>
      </c>
      <c r="N4491" s="47" t="n">
        <f aca="false">IF(F4491="S",L4491*0.02,0)</f>
        <v>0</v>
      </c>
      <c r="O4491" s="82" t="str">
        <f aca="false">IF(L4491&lt;&gt;"",L4491+N4491,"")</f>
        <v/>
      </c>
      <c r="P4491" s="47" t="str">
        <f aca="false">IF(O4491&lt;&gt;"",O4491*0.1,"")</f>
        <v/>
      </c>
      <c r="Q4491" s="83" t="str">
        <f aca="false">IF(O4491&lt;&gt;"",O4491+P4491,"")</f>
        <v/>
      </c>
      <c r="R4491" s="84"/>
    </row>
    <row r="4492" customFormat="false" ht="15" hidden="false" customHeight="true" outlineLevel="0" collapsed="false">
      <c r="A4492" s="103"/>
      <c r="B4492" s="73"/>
      <c r="C4492" s="74"/>
      <c r="D4492" s="75"/>
      <c r="E4492" s="52" t="str">
        <f aca="false">IF(D4492&lt;&gt;"",IFERROR(VLOOKUP(D4492,PROVEEDORES!$A:$B,2,0),"!COD NO ENCONTRADO"),"")</f>
        <v/>
      </c>
      <c r="F4492" s="76" t="str">
        <f aca="false">IF(D4492&lt;&gt;"",IFERROR(VLOOKUP(D4492,PROVEEDORES!$A:$C,3,0),""),"")</f>
        <v/>
      </c>
      <c r="G4492" s="75"/>
      <c r="H4492" s="52" t="str">
        <f aca="false">IF(G4492&lt;&gt;"",IFERROR(VLOOKUP(G4492,PRODUCTOS!$A:$B,2,0),"!COD NO ENCONTRADO"),"")</f>
        <v/>
      </c>
      <c r="I4492" s="77"/>
      <c r="J4492" s="78"/>
      <c r="K4492" s="79"/>
      <c r="L4492" s="80" t="str">
        <f aca="false">IF(AND(J4492&lt;&gt;"",K4492&lt;&gt;""),J4492*K4492,"")</f>
        <v/>
      </c>
      <c r="M4492" s="81" t="str">
        <f aca="false">IF(L4492&lt;&gt;"",L4492*1.1,"")</f>
        <v/>
      </c>
      <c r="N4492" s="53" t="n">
        <f aca="false">IF(F4492="S",L4492*0.02,0)</f>
        <v>0</v>
      </c>
      <c r="O4492" s="82" t="str">
        <f aca="false">IF(L4492&lt;&gt;"",L4492+N4492,"")</f>
        <v/>
      </c>
      <c r="P4492" s="53" t="str">
        <f aca="false">IF(O4492&lt;&gt;"",O4492*0.1,"")</f>
        <v/>
      </c>
      <c r="Q4492" s="83" t="str">
        <f aca="false">IF(O4492&lt;&gt;"",O4492+P4492,"")</f>
        <v/>
      </c>
      <c r="R4492" s="84"/>
    </row>
    <row r="4493" customFormat="false" ht="15" hidden="false" customHeight="true" outlineLevel="0" collapsed="false">
      <c r="A4493" s="103"/>
      <c r="B4493" s="85"/>
      <c r="C4493" s="86"/>
      <c r="D4493" s="87"/>
      <c r="E4493" s="46" t="str">
        <f aca="false">IF(D4493&lt;&gt;"",IFERROR(VLOOKUP(D4493,PROVEEDORES!$A:$B,2,0),"!COD NO ENCONTRADO"),"")</f>
        <v/>
      </c>
      <c r="F4493" s="88" t="str">
        <f aca="false">IF(D4493&lt;&gt;"",IFERROR(VLOOKUP(D4493,PROVEEDORES!$A:$C,3,0),""),"")</f>
        <v/>
      </c>
      <c r="G4493" s="87"/>
      <c r="H4493" s="46" t="str">
        <f aca="false">IF(G4493&lt;&gt;"",IFERROR(VLOOKUP(G4493,PRODUCTOS!$A:$B,2,0),"!COD NO ENCONTRADO"),"")</f>
        <v/>
      </c>
      <c r="I4493" s="89"/>
      <c r="J4493" s="90"/>
      <c r="K4493" s="91"/>
      <c r="L4493" s="80" t="str">
        <f aca="false">IF(AND(J4493&lt;&gt;"",K4493&lt;&gt;""),J4493*K4493,"")</f>
        <v/>
      </c>
      <c r="M4493" s="81" t="str">
        <f aca="false">IF(L4493&lt;&gt;"",L4493*1.1,"")</f>
        <v/>
      </c>
      <c r="N4493" s="47" t="n">
        <f aca="false">IF(F4493="S",L4493*0.02,0)</f>
        <v>0</v>
      </c>
      <c r="O4493" s="82" t="str">
        <f aca="false">IF(L4493&lt;&gt;"",L4493+N4493,"")</f>
        <v/>
      </c>
      <c r="P4493" s="47" t="str">
        <f aca="false">IF(O4493&lt;&gt;"",O4493*0.1,"")</f>
        <v/>
      </c>
      <c r="Q4493" s="83" t="str">
        <f aca="false">IF(O4493&lt;&gt;"",O4493+P4493,"")</f>
        <v/>
      </c>
      <c r="R4493" s="84"/>
    </row>
    <row r="4494" customFormat="false" ht="15" hidden="false" customHeight="true" outlineLevel="0" collapsed="false">
      <c r="A4494" s="103"/>
      <c r="B4494" s="73"/>
      <c r="C4494" s="74"/>
      <c r="D4494" s="75"/>
      <c r="E4494" s="52" t="str">
        <f aca="false">IF(D4494&lt;&gt;"",IFERROR(VLOOKUP(D4494,PROVEEDORES!$A:$B,2,0),"!COD NO ENCONTRADO"),"")</f>
        <v/>
      </c>
      <c r="F4494" s="76" t="str">
        <f aca="false">IF(D4494&lt;&gt;"",IFERROR(VLOOKUP(D4494,PROVEEDORES!$A:$C,3,0),""),"")</f>
        <v/>
      </c>
      <c r="G4494" s="75"/>
      <c r="H4494" s="52" t="str">
        <f aca="false">IF(G4494&lt;&gt;"",IFERROR(VLOOKUP(G4494,PRODUCTOS!$A:$B,2,0),"!COD NO ENCONTRADO"),"")</f>
        <v/>
      </c>
      <c r="I4494" s="77"/>
      <c r="J4494" s="78"/>
      <c r="K4494" s="79"/>
      <c r="L4494" s="80" t="str">
        <f aca="false">IF(AND(J4494&lt;&gt;"",K4494&lt;&gt;""),J4494*K4494,"")</f>
        <v/>
      </c>
      <c r="M4494" s="81" t="str">
        <f aca="false">IF(L4494&lt;&gt;"",L4494*1.1,"")</f>
        <v/>
      </c>
      <c r="N4494" s="53" t="n">
        <f aca="false">IF(F4494="S",L4494*0.02,0)</f>
        <v>0</v>
      </c>
      <c r="O4494" s="82" t="str">
        <f aca="false">IF(L4494&lt;&gt;"",L4494+N4494,"")</f>
        <v/>
      </c>
      <c r="P4494" s="53" t="str">
        <f aca="false">IF(O4494&lt;&gt;"",O4494*0.1,"")</f>
        <v/>
      </c>
      <c r="Q4494" s="83" t="str">
        <f aca="false">IF(O4494&lt;&gt;"",O4494+P4494,"")</f>
        <v/>
      </c>
      <c r="R4494" s="84"/>
    </row>
    <row r="4495" customFormat="false" ht="15" hidden="false" customHeight="true" outlineLevel="0" collapsed="false">
      <c r="A4495" s="103"/>
      <c r="B4495" s="85"/>
      <c r="C4495" s="86"/>
      <c r="D4495" s="87"/>
      <c r="E4495" s="46" t="str">
        <f aca="false">IF(D4495&lt;&gt;"",IFERROR(VLOOKUP(D4495,PROVEEDORES!$A:$B,2,0),"!COD NO ENCONTRADO"),"")</f>
        <v/>
      </c>
      <c r="F4495" s="88" t="str">
        <f aca="false">IF(D4495&lt;&gt;"",IFERROR(VLOOKUP(D4495,PROVEEDORES!$A:$C,3,0),""),"")</f>
        <v/>
      </c>
      <c r="G4495" s="87"/>
      <c r="H4495" s="46" t="str">
        <f aca="false">IF(G4495&lt;&gt;"",IFERROR(VLOOKUP(G4495,PRODUCTOS!$A:$B,2,0),"!COD NO ENCONTRADO"),"")</f>
        <v/>
      </c>
      <c r="I4495" s="89"/>
      <c r="J4495" s="90"/>
      <c r="K4495" s="91"/>
      <c r="L4495" s="80" t="str">
        <f aca="false">IF(AND(J4495&lt;&gt;"",K4495&lt;&gt;""),J4495*K4495,"")</f>
        <v/>
      </c>
      <c r="M4495" s="81" t="str">
        <f aca="false">IF(L4495&lt;&gt;"",L4495*1.1,"")</f>
        <v/>
      </c>
      <c r="N4495" s="47" t="n">
        <f aca="false">IF(F4495="S",L4495*0.02,0)</f>
        <v>0</v>
      </c>
      <c r="O4495" s="82" t="str">
        <f aca="false">IF(L4495&lt;&gt;"",L4495+N4495,"")</f>
        <v/>
      </c>
      <c r="P4495" s="47" t="str">
        <f aca="false">IF(O4495&lt;&gt;"",O4495*0.1,"")</f>
        <v/>
      </c>
      <c r="Q4495" s="83" t="str">
        <f aca="false">IF(O4495&lt;&gt;"",O4495+P4495,"")</f>
        <v/>
      </c>
      <c r="R4495" s="84"/>
    </row>
    <row r="4496" customFormat="false" ht="15" hidden="false" customHeight="true" outlineLevel="0" collapsed="false">
      <c r="A4496" s="103"/>
      <c r="B4496" s="73"/>
      <c r="C4496" s="74"/>
      <c r="D4496" s="75"/>
      <c r="E4496" s="52" t="str">
        <f aca="false">IF(D4496&lt;&gt;"",IFERROR(VLOOKUP(D4496,PROVEEDORES!$A:$B,2,0),"!COD NO ENCONTRADO"),"")</f>
        <v/>
      </c>
      <c r="F4496" s="76" t="str">
        <f aca="false">IF(D4496&lt;&gt;"",IFERROR(VLOOKUP(D4496,PROVEEDORES!$A:$C,3,0),""),"")</f>
        <v/>
      </c>
      <c r="G4496" s="75"/>
      <c r="H4496" s="52" t="str">
        <f aca="false">IF(G4496&lt;&gt;"",IFERROR(VLOOKUP(G4496,PRODUCTOS!$A:$B,2,0),"!COD NO ENCONTRADO"),"")</f>
        <v/>
      </c>
      <c r="I4496" s="77"/>
      <c r="J4496" s="78"/>
      <c r="K4496" s="79"/>
      <c r="L4496" s="80" t="str">
        <f aca="false">IF(AND(J4496&lt;&gt;"",K4496&lt;&gt;""),J4496*K4496,"")</f>
        <v/>
      </c>
      <c r="M4496" s="81" t="str">
        <f aca="false">IF(L4496&lt;&gt;"",L4496*1.1,"")</f>
        <v/>
      </c>
      <c r="N4496" s="53" t="n">
        <f aca="false">IF(F4496="S",L4496*0.02,0)</f>
        <v>0</v>
      </c>
      <c r="O4496" s="82" t="str">
        <f aca="false">IF(L4496&lt;&gt;"",L4496+N4496,"")</f>
        <v/>
      </c>
      <c r="P4496" s="53" t="str">
        <f aca="false">IF(O4496&lt;&gt;"",O4496*0.1,"")</f>
        <v/>
      </c>
      <c r="Q4496" s="83" t="str">
        <f aca="false">IF(O4496&lt;&gt;"",O4496+P4496,"")</f>
        <v/>
      </c>
      <c r="R4496" s="84"/>
    </row>
    <row r="4497" customFormat="false" ht="15" hidden="false" customHeight="true" outlineLevel="0" collapsed="false">
      <c r="A4497" s="103"/>
      <c r="B4497" s="85"/>
      <c r="C4497" s="86"/>
      <c r="D4497" s="87"/>
      <c r="E4497" s="46" t="str">
        <f aca="false">IF(D4497&lt;&gt;"",IFERROR(VLOOKUP(D4497,PROVEEDORES!$A:$B,2,0),"!COD NO ENCONTRADO"),"")</f>
        <v/>
      </c>
      <c r="F4497" s="88" t="str">
        <f aca="false">IF(D4497&lt;&gt;"",IFERROR(VLOOKUP(D4497,PROVEEDORES!$A:$C,3,0),""),"")</f>
        <v/>
      </c>
      <c r="G4497" s="87"/>
      <c r="H4497" s="46" t="str">
        <f aca="false">IF(G4497&lt;&gt;"",IFERROR(VLOOKUP(G4497,PRODUCTOS!$A:$B,2,0),"!COD NO ENCONTRADO"),"")</f>
        <v/>
      </c>
      <c r="I4497" s="89"/>
      <c r="J4497" s="90"/>
      <c r="K4497" s="91"/>
      <c r="L4497" s="80" t="str">
        <f aca="false">IF(AND(J4497&lt;&gt;"",K4497&lt;&gt;""),J4497*K4497,"")</f>
        <v/>
      </c>
      <c r="M4497" s="81" t="str">
        <f aca="false">IF(L4497&lt;&gt;"",L4497*1.1,"")</f>
        <v/>
      </c>
      <c r="N4497" s="47" t="n">
        <f aca="false">IF(F4497="S",L4497*0.02,0)</f>
        <v>0</v>
      </c>
      <c r="O4497" s="82" t="str">
        <f aca="false">IF(L4497&lt;&gt;"",L4497+N4497,"")</f>
        <v/>
      </c>
      <c r="P4497" s="47" t="str">
        <f aca="false">IF(O4497&lt;&gt;"",O4497*0.1,"")</f>
        <v/>
      </c>
      <c r="Q4497" s="83" t="str">
        <f aca="false">IF(O4497&lt;&gt;"",O4497+P4497,"")</f>
        <v/>
      </c>
      <c r="R4497" s="84"/>
    </row>
    <row r="4498" customFormat="false" ht="15" hidden="false" customHeight="true" outlineLevel="0" collapsed="false">
      <c r="A4498" s="103"/>
      <c r="B4498" s="73"/>
      <c r="C4498" s="74"/>
      <c r="D4498" s="75"/>
      <c r="E4498" s="52" t="str">
        <f aca="false">IF(D4498&lt;&gt;"",IFERROR(VLOOKUP(D4498,PROVEEDORES!$A:$B,2,0),"!COD NO ENCONTRADO"),"")</f>
        <v/>
      </c>
      <c r="F4498" s="76" t="str">
        <f aca="false">IF(D4498&lt;&gt;"",IFERROR(VLOOKUP(D4498,PROVEEDORES!$A:$C,3,0),""),"")</f>
        <v/>
      </c>
      <c r="G4498" s="75"/>
      <c r="H4498" s="52" t="str">
        <f aca="false">IF(G4498&lt;&gt;"",IFERROR(VLOOKUP(G4498,PRODUCTOS!$A:$B,2,0),"!COD NO ENCONTRADO"),"")</f>
        <v/>
      </c>
      <c r="I4498" s="77"/>
      <c r="J4498" s="78"/>
      <c r="K4498" s="79"/>
      <c r="L4498" s="80" t="str">
        <f aca="false">IF(AND(J4498&lt;&gt;"",K4498&lt;&gt;""),J4498*K4498,"")</f>
        <v/>
      </c>
      <c r="M4498" s="81" t="str">
        <f aca="false">IF(L4498&lt;&gt;"",L4498*1.1,"")</f>
        <v/>
      </c>
      <c r="N4498" s="53" t="n">
        <f aca="false">IF(F4498="S",L4498*0.02,0)</f>
        <v>0</v>
      </c>
      <c r="O4498" s="82" t="str">
        <f aca="false">IF(L4498&lt;&gt;"",L4498+N4498,"")</f>
        <v/>
      </c>
      <c r="P4498" s="53" t="str">
        <f aca="false">IF(O4498&lt;&gt;"",O4498*0.1,"")</f>
        <v/>
      </c>
      <c r="Q4498" s="83" t="str">
        <f aca="false">IF(O4498&lt;&gt;"",O4498+P4498,"")</f>
        <v/>
      </c>
      <c r="R4498" s="84"/>
    </row>
    <row r="4499" customFormat="false" ht="15" hidden="false" customHeight="true" outlineLevel="0" collapsed="false">
      <c r="A4499" s="103"/>
      <c r="B4499" s="85"/>
      <c r="C4499" s="86"/>
      <c r="D4499" s="87"/>
      <c r="E4499" s="46" t="str">
        <f aca="false">IF(D4499&lt;&gt;"",IFERROR(VLOOKUP(D4499,PROVEEDORES!$A:$B,2,0),"!COD NO ENCONTRADO"),"")</f>
        <v/>
      </c>
      <c r="F4499" s="88" t="str">
        <f aca="false">IF(D4499&lt;&gt;"",IFERROR(VLOOKUP(D4499,PROVEEDORES!$A:$C,3,0),""),"")</f>
        <v/>
      </c>
      <c r="G4499" s="87"/>
      <c r="H4499" s="46" t="str">
        <f aca="false">IF(G4499&lt;&gt;"",IFERROR(VLOOKUP(G4499,PRODUCTOS!$A:$B,2,0),"!COD NO ENCONTRADO"),"")</f>
        <v/>
      </c>
      <c r="I4499" s="89"/>
      <c r="J4499" s="90"/>
      <c r="K4499" s="91"/>
      <c r="L4499" s="80" t="str">
        <f aca="false">IF(AND(J4499&lt;&gt;"",K4499&lt;&gt;""),J4499*K4499,"")</f>
        <v/>
      </c>
      <c r="M4499" s="81" t="str">
        <f aca="false">IF(L4499&lt;&gt;"",L4499*1.1,"")</f>
        <v/>
      </c>
      <c r="N4499" s="47" t="n">
        <f aca="false">IF(F4499="S",L4499*0.02,0)</f>
        <v>0</v>
      </c>
      <c r="O4499" s="82" t="str">
        <f aca="false">IF(L4499&lt;&gt;"",L4499+N4499,"")</f>
        <v/>
      </c>
      <c r="P4499" s="47" t="str">
        <f aca="false">IF(O4499&lt;&gt;"",O4499*0.1,"")</f>
        <v/>
      </c>
      <c r="Q4499" s="83" t="str">
        <f aca="false">IF(O4499&lt;&gt;"",O4499+P4499,"")</f>
        <v/>
      </c>
      <c r="R4499" s="84"/>
    </row>
    <row r="4500" customFormat="false" ht="15" hidden="false" customHeight="true" outlineLevel="0" collapsed="false">
      <c r="A4500" s="103"/>
      <c r="B4500" s="73"/>
      <c r="C4500" s="74"/>
      <c r="D4500" s="75"/>
      <c r="E4500" s="52" t="str">
        <f aca="false">IF(D4500&lt;&gt;"",IFERROR(VLOOKUP(D4500,PROVEEDORES!$A:$B,2,0),"!COD NO ENCONTRADO"),"")</f>
        <v/>
      </c>
      <c r="F4500" s="76" t="str">
        <f aca="false">IF(D4500&lt;&gt;"",IFERROR(VLOOKUP(D4500,PROVEEDORES!$A:$C,3,0),""),"")</f>
        <v/>
      </c>
      <c r="G4500" s="75"/>
      <c r="H4500" s="52" t="str">
        <f aca="false">IF(G4500&lt;&gt;"",IFERROR(VLOOKUP(G4500,PRODUCTOS!$A:$B,2,0),"!COD NO ENCONTRADO"),"")</f>
        <v/>
      </c>
      <c r="I4500" s="77"/>
      <c r="J4500" s="78"/>
      <c r="K4500" s="79"/>
      <c r="L4500" s="80" t="str">
        <f aca="false">IF(AND(J4500&lt;&gt;"",K4500&lt;&gt;""),J4500*K4500,"")</f>
        <v/>
      </c>
      <c r="M4500" s="81" t="str">
        <f aca="false">IF(L4500&lt;&gt;"",L4500*1.1,"")</f>
        <v/>
      </c>
      <c r="N4500" s="53" t="n">
        <f aca="false">IF(F4500="S",L4500*0.02,0)</f>
        <v>0</v>
      </c>
      <c r="O4500" s="82" t="str">
        <f aca="false">IF(L4500&lt;&gt;"",L4500+N4500,"")</f>
        <v/>
      </c>
      <c r="P4500" s="53" t="str">
        <f aca="false">IF(O4500&lt;&gt;"",O4500*0.1,"")</f>
        <v/>
      </c>
      <c r="Q4500" s="83" t="str">
        <f aca="false">IF(O4500&lt;&gt;"",O4500+P4500,"")</f>
        <v/>
      </c>
      <c r="R4500" s="84"/>
    </row>
    <row r="4501" customFormat="false" ht="15" hidden="false" customHeight="true" outlineLevel="0" collapsed="false">
      <c r="A4501" s="103"/>
      <c r="B4501" s="85"/>
      <c r="C4501" s="86"/>
      <c r="D4501" s="87"/>
      <c r="E4501" s="46" t="str">
        <f aca="false">IF(D4501&lt;&gt;"",IFERROR(VLOOKUP(D4501,PROVEEDORES!$A:$B,2,0),"!COD NO ENCONTRADO"),"")</f>
        <v/>
      </c>
      <c r="F4501" s="88" t="str">
        <f aca="false">IF(D4501&lt;&gt;"",IFERROR(VLOOKUP(D4501,PROVEEDORES!$A:$C,3,0),""),"")</f>
        <v/>
      </c>
      <c r="G4501" s="87"/>
      <c r="H4501" s="46" t="str">
        <f aca="false">IF(G4501&lt;&gt;"",IFERROR(VLOOKUP(G4501,PRODUCTOS!$A:$B,2,0),"!COD NO ENCONTRADO"),"")</f>
        <v/>
      </c>
      <c r="I4501" s="89"/>
      <c r="J4501" s="90"/>
      <c r="K4501" s="91"/>
      <c r="L4501" s="80" t="str">
        <f aca="false">IF(AND(J4501&lt;&gt;"",K4501&lt;&gt;""),J4501*K4501,"")</f>
        <v/>
      </c>
      <c r="M4501" s="81" t="str">
        <f aca="false">IF(L4501&lt;&gt;"",L4501*1.1,"")</f>
        <v/>
      </c>
      <c r="N4501" s="47" t="n">
        <f aca="false">IF(F4501="S",L4501*0.02,0)</f>
        <v>0</v>
      </c>
      <c r="O4501" s="82" t="str">
        <f aca="false">IF(L4501&lt;&gt;"",L4501+N4501,"")</f>
        <v/>
      </c>
      <c r="P4501" s="47" t="str">
        <f aca="false">IF(O4501&lt;&gt;"",O4501*0.1,"")</f>
        <v/>
      </c>
      <c r="Q4501" s="83" t="str">
        <f aca="false">IF(O4501&lt;&gt;"",O4501+P4501,"")</f>
        <v/>
      </c>
      <c r="R4501" s="84"/>
    </row>
    <row r="4502" customFormat="false" ht="15" hidden="false" customHeight="true" outlineLevel="0" collapsed="false">
      <c r="A4502" s="103"/>
      <c r="B4502" s="73"/>
      <c r="C4502" s="74"/>
      <c r="D4502" s="75"/>
      <c r="E4502" s="52" t="str">
        <f aca="false">IF(D4502&lt;&gt;"",IFERROR(VLOOKUP(D4502,PROVEEDORES!$A:$B,2,0),"!COD NO ENCONTRADO"),"")</f>
        <v/>
      </c>
      <c r="F4502" s="76" t="str">
        <f aca="false">IF(D4502&lt;&gt;"",IFERROR(VLOOKUP(D4502,PROVEEDORES!$A:$C,3,0),""),"")</f>
        <v/>
      </c>
      <c r="G4502" s="75"/>
      <c r="H4502" s="52" t="str">
        <f aca="false">IF(G4502&lt;&gt;"",IFERROR(VLOOKUP(G4502,PRODUCTOS!$A:$B,2,0),"!COD NO ENCONTRADO"),"")</f>
        <v/>
      </c>
      <c r="I4502" s="77"/>
      <c r="J4502" s="78"/>
      <c r="K4502" s="79"/>
      <c r="L4502" s="80" t="str">
        <f aca="false">IF(AND(J4502&lt;&gt;"",K4502&lt;&gt;""),J4502*K4502,"")</f>
        <v/>
      </c>
      <c r="M4502" s="81" t="str">
        <f aca="false">IF(L4502&lt;&gt;"",L4502*1.1,"")</f>
        <v/>
      </c>
      <c r="N4502" s="53" t="n">
        <f aca="false">IF(F4502="S",L4502*0.02,0)</f>
        <v>0</v>
      </c>
      <c r="O4502" s="82" t="str">
        <f aca="false">IF(L4502&lt;&gt;"",L4502+N4502,"")</f>
        <v/>
      </c>
      <c r="P4502" s="53" t="str">
        <f aca="false">IF(O4502&lt;&gt;"",O4502*0.1,"")</f>
        <v/>
      </c>
      <c r="Q4502" s="83" t="str">
        <f aca="false">IF(O4502&lt;&gt;"",O4502+P4502,"")</f>
        <v/>
      </c>
      <c r="R4502" s="84"/>
    </row>
    <row r="4503" customFormat="false" ht="15" hidden="false" customHeight="true" outlineLevel="0" collapsed="false">
      <c r="A4503" s="103"/>
      <c r="B4503" s="85"/>
      <c r="C4503" s="86"/>
      <c r="D4503" s="87"/>
      <c r="E4503" s="46" t="str">
        <f aca="false">IF(D4503&lt;&gt;"",IFERROR(VLOOKUP(D4503,PROVEEDORES!$A:$B,2,0),"!COD NO ENCONTRADO"),"")</f>
        <v/>
      </c>
      <c r="F4503" s="88" t="str">
        <f aca="false">IF(D4503&lt;&gt;"",IFERROR(VLOOKUP(D4503,PROVEEDORES!$A:$C,3,0),""),"")</f>
        <v/>
      </c>
      <c r="G4503" s="87"/>
      <c r="H4503" s="46" t="str">
        <f aca="false">IF(G4503&lt;&gt;"",IFERROR(VLOOKUP(G4503,PRODUCTOS!$A:$B,2,0),"!COD NO ENCONTRADO"),"")</f>
        <v/>
      </c>
      <c r="I4503" s="89"/>
      <c r="J4503" s="90"/>
      <c r="K4503" s="91"/>
      <c r="L4503" s="80" t="str">
        <f aca="false">IF(AND(J4503&lt;&gt;"",K4503&lt;&gt;""),J4503*K4503,"")</f>
        <v/>
      </c>
      <c r="M4503" s="81" t="str">
        <f aca="false">IF(L4503&lt;&gt;"",L4503*1.1,"")</f>
        <v/>
      </c>
      <c r="N4503" s="47" t="n">
        <f aca="false">IF(F4503="S",L4503*0.02,0)</f>
        <v>0</v>
      </c>
      <c r="O4503" s="82" t="str">
        <f aca="false">IF(L4503&lt;&gt;"",L4503+N4503,"")</f>
        <v/>
      </c>
      <c r="P4503" s="47" t="str">
        <f aca="false">IF(O4503&lt;&gt;"",O4503*0.1,"")</f>
        <v/>
      </c>
      <c r="Q4503" s="83" t="str">
        <f aca="false">IF(O4503&lt;&gt;"",O4503+P4503,"")</f>
        <v/>
      </c>
      <c r="R4503" s="84"/>
    </row>
    <row r="4504" customFormat="false" ht="15" hidden="false" customHeight="true" outlineLevel="0" collapsed="false">
      <c r="A4504" s="103"/>
      <c r="B4504" s="73"/>
      <c r="C4504" s="74"/>
      <c r="D4504" s="75"/>
      <c r="E4504" s="52" t="str">
        <f aca="false">IF(D4504&lt;&gt;"",IFERROR(VLOOKUP(D4504,PROVEEDORES!$A:$B,2,0),"!COD NO ENCONTRADO"),"")</f>
        <v/>
      </c>
      <c r="F4504" s="76" t="str">
        <f aca="false">IF(D4504&lt;&gt;"",IFERROR(VLOOKUP(D4504,PROVEEDORES!$A:$C,3,0),""),"")</f>
        <v/>
      </c>
      <c r="G4504" s="75"/>
      <c r="H4504" s="52" t="str">
        <f aca="false">IF(G4504&lt;&gt;"",IFERROR(VLOOKUP(G4504,PRODUCTOS!$A:$B,2,0),"!COD NO ENCONTRADO"),"")</f>
        <v/>
      </c>
      <c r="I4504" s="77"/>
      <c r="J4504" s="78"/>
      <c r="K4504" s="79"/>
      <c r="L4504" s="80" t="str">
        <f aca="false">IF(AND(J4504&lt;&gt;"",K4504&lt;&gt;""),J4504*K4504,"")</f>
        <v/>
      </c>
      <c r="M4504" s="81" t="str">
        <f aca="false">IF(L4504&lt;&gt;"",L4504*1.1,"")</f>
        <v/>
      </c>
      <c r="N4504" s="53" t="n">
        <f aca="false">IF(F4504="S",L4504*0.02,0)</f>
        <v>0</v>
      </c>
      <c r="O4504" s="82" t="str">
        <f aca="false">IF(L4504&lt;&gt;"",L4504+N4504,"")</f>
        <v/>
      </c>
      <c r="P4504" s="53" t="str">
        <f aca="false">IF(O4504&lt;&gt;"",O4504*0.1,"")</f>
        <v/>
      </c>
      <c r="Q4504" s="83" t="str">
        <f aca="false">IF(O4504&lt;&gt;"",O4504+P4504,"")</f>
        <v/>
      </c>
      <c r="R4504" s="84"/>
    </row>
    <row r="4505" customFormat="false" ht="15" hidden="false" customHeight="true" outlineLevel="0" collapsed="false">
      <c r="A4505" s="103"/>
      <c r="B4505" s="85"/>
      <c r="C4505" s="86"/>
      <c r="D4505" s="87"/>
      <c r="E4505" s="46" t="str">
        <f aca="false">IF(D4505&lt;&gt;"",IFERROR(VLOOKUP(D4505,PROVEEDORES!$A:$B,2,0),"!COD NO ENCONTRADO"),"")</f>
        <v/>
      </c>
      <c r="F4505" s="88" t="str">
        <f aca="false">IF(D4505&lt;&gt;"",IFERROR(VLOOKUP(D4505,PROVEEDORES!$A:$C,3,0),""),"")</f>
        <v/>
      </c>
      <c r="G4505" s="87"/>
      <c r="H4505" s="46" t="str">
        <f aca="false">IF(G4505&lt;&gt;"",IFERROR(VLOOKUP(G4505,PRODUCTOS!$A:$B,2,0),"!COD NO ENCONTRADO"),"")</f>
        <v/>
      </c>
      <c r="I4505" s="89"/>
      <c r="J4505" s="90"/>
      <c r="K4505" s="91"/>
      <c r="L4505" s="80" t="str">
        <f aca="false">IF(AND(J4505&lt;&gt;"",K4505&lt;&gt;""),J4505*K4505,"")</f>
        <v/>
      </c>
      <c r="M4505" s="81" t="str">
        <f aca="false">IF(L4505&lt;&gt;"",L4505*1.1,"")</f>
        <v/>
      </c>
      <c r="N4505" s="47" t="n">
        <f aca="false">IF(F4505="S",L4505*0.02,0)</f>
        <v>0</v>
      </c>
      <c r="O4505" s="82" t="str">
        <f aca="false">IF(L4505&lt;&gt;"",L4505+N4505,"")</f>
        <v/>
      </c>
      <c r="P4505" s="47" t="str">
        <f aca="false">IF(O4505&lt;&gt;"",O4505*0.1,"")</f>
        <v/>
      </c>
      <c r="Q4505" s="83" t="str">
        <f aca="false">IF(O4505&lt;&gt;"",O4505+P4505,"")</f>
        <v/>
      </c>
      <c r="R4505" s="84"/>
    </row>
    <row r="4506" customFormat="false" ht="15" hidden="false" customHeight="true" outlineLevel="0" collapsed="false">
      <c r="A4506" s="103"/>
      <c r="B4506" s="73"/>
      <c r="C4506" s="74"/>
      <c r="D4506" s="75"/>
      <c r="E4506" s="52" t="str">
        <f aca="false">IF(D4506&lt;&gt;"",IFERROR(VLOOKUP(D4506,PROVEEDORES!$A:$B,2,0),"!COD NO ENCONTRADO"),"")</f>
        <v/>
      </c>
      <c r="F4506" s="76" t="str">
        <f aca="false">IF(D4506&lt;&gt;"",IFERROR(VLOOKUP(D4506,PROVEEDORES!$A:$C,3,0),""),"")</f>
        <v/>
      </c>
      <c r="G4506" s="75"/>
      <c r="H4506" s="52" t="str">
        <f aca="false">IF(G4506&lt;&gt;"",IFERROR(VLOOKUP(G4506,PRODUCTOS!$A:$B,2,0),"!COD NO ENCONTRADO"),"")</f>
        <v/>
      </c>
      <c r="I4506" s="77"/>
      <c r="J4506" s="78"/>
      <c r="K4506" s="79"/>
      <c r="L4506" s="80" t="str">
        <f aca="false">IF(AND(J4506&lt;&gt;"",K4506&lt;&gt;""),J4506*K4506,"")</f>
        <v/>
      </c>
      <c r="M4506" s="81" t="str">
        <f aca="false">IF(L4506&lt;&gt;"",L4506*1.1,"")</f>
        <v/>
      </c>
      <c r="N4506" s="53" t="n">
        <f aca="false">IF(F4506="S",L4506*0.02,0)</f>
        <v>0</v>
      </c>
      <c r="O4506" s="82" t="str">
        <f aca="false">IF(L4506&lt;&gt;"",L4506+N4506,"")</f>
        <v/>
      </c>
      <c r="P4506" s="53" t="str">
        <f aca="false">IF(O4506&lt;&gt;"",O4506*0.1,"")</f>
        <v/>
      </c>
      <c r="Q4506" s="83" t="str">
        <f aca="false">IF(O4506&lt;&gt;"",O4506+P4506,"")</f>
        <v/>
      </c>
      <c r="R4506" s="84"/>
    </row>
    <row r="4507" customFormat="false" ht="15" hidden="false" customHeight="true" outlineLevel="0" collapsed="false">
      <c r="A4507" s="103"/>
      <c r="B4507" s="85"/>
      <c r="C4507" s="86"/>
      <c r="D4507" s="87"/>
      <c r="E4507" s="46" t="str">
        <f aca="false">IF(D4507&lt;&gt;"",IFERROR(VLOOKUP(D4507,PROVEEDORES!$A:$B,2,0),"!COD NO ENCONTRADO"),"")</f>
        <v/>
      </c>
      <c r="F4507" s="88" t="str">
        <f aca="false">IF(D4507&lt;&gt;"",IFERROR(VLOOKUP(D4507,PROVEEDORES!$A:$C,3,0),""),"")</f>
        <v/>
      </c>
      <c r="G4507" s="87"/>
      <c r="H4507" s="46" t="str">
        <f aca="false">IF(G4507&lt;&gt;"",IFERROR(VLOOKUP(G4507,PRODUCTOS!$A:$B,2,0),"!COD NO ENCONTRADO"),"")</f>
        <v/>
      </c>
      <c r="I4507" s="89"/>
      <c r="J4507" s="90"/>
      <c r="K4507" s="91"/>
      <c r="L4507" s="80" t="str">
        <f aca="false">IF(AND(J4507&lt;&gt;"",K4507&lt;&gt;""),J4507*K4507,"")</f>
        <v/>
      </c>
      <c r="M4507" s="81" t="str">
        <f aca="false">IF(L4507&lt;&gt;"",L4507*1.1,"")</f>
        <v/>
      </c>
      <c r="N4507" s="47" t="n">
        <f aca="false">IF(F4507="S",L4507*0.02,0)</f>
        <v>0</v>
      </c>
      <c r="O4507" s="82" t="str">
        <f aca="false">IF(L4507&lt;&gt;"",L4507+N4507,"")</f>
        <v/>
      </c>
      <c r="P4507" s="47" t="str">
        <f aca="false">IF(O4507&lt;&gt;"",O4507*0.1,"")</f>
        <v/>
      </c>
      <c r="Q4507" s="83" t="str">
        <f aca="false">IF(O4507&lt;&gt;"",O4507+P4507,"")</f>
        <v/>
      </c>
      <c r="R4507" s="84"/>
    </row>
    <row r="4508" customFormat="false" ht="15" hidden="false" customHeight="true" outlineLevel="0" collapsed="false">
      <c r="A4508" s="103"/>
      <c r="B4508" s="73"/>
      <c r="C4508" s="74"/>
      <c r="D4508" s="75"/>
      <c r="E4508" s="52" t="str">
        <f aca="false">IF(D4508&lt;&gt;"",IFERROR(VLOOKUP(D4508,PROVEEDORES!$A:$B,2,0),"!COD NO ENCONTRADO"),"")</f>
        <v/>
      </c>
      <c r="F4508" s="76" t="str">
        <f aca="false">IF(D4508&lt;&gt;"",IFERROR(VLOOKUP(D4508,PROVEEDORES!$A:$C,3,0),""),"")</f>
        <v/>
      </c>
      <c r="G4508" s="75"/>
      <c r="H4508" s="52" t="str">
        <f aca="false">IF(G4508&lt;&gt;"",IFERROR(VLOOKUP(G4508,PRODUCTOS!$A:$B,2,0),"!COD NO ENCONTRADO"),"")</f>
        <v/>
      </c>
      <c r="I4508" s="77"/>
      <c r="J4508" s="78"/>
      <c r="K4508" s="79"/>
      <c r="L4508" s="80" t="str">
        <f aca="false">IF(AND(J4508&lt;&gt;"",K4508&lt;&gt;""),J4508*K4508,"")</f>
        <v/>
      </c>
      <c r="M4508" s="81" t="str">
        <f aca="false">IF(L4508&lt;&gt;"",L4508*1.1,"")</f>
        <v/>
      </c>
      <c r="N4508" s="53" t="n">
        <f aca="false">IF(F4508="S",L4508*0.02,0)</f>
        <v>0</v>
      </c>
      <c r="O4508" s="82" t="str">
        <f aca="false">IF(L4508&lt;&gt;"",L4508+N4508,"")</f>
        <v/>
      </c>
      <c r="P4508" s="53" t="str">
        <f aca="false">IF(O4508&lt;&gt;"",O4508*0.1,"")</f>
        <v/>
      </c>
      <c r="Q4508" s="83" t="str">
        <f aca="false">IF(O4508&lt;&gt;"",O4508+P4508,"")</f>
        <v/>
      </c>
      <c r="R4508" s="84"/>
    </row>
    <row r="4509" customFormat="false" ht="15" hidden="false" customHeight="true" outlineLevel="0" collapsed="false">
      <c r="A4509" s="103"/>
      <c r="B4509" s="85"/>
      <c r="C4509" s="86"/>
      <c r="D4509" s="87"/>
      <c r="E4509" s="46" t="str">
        <f aca="false">IF(D4509&lt;&gt;"",IFERROR(VLOOKUP(D4509,PROVEEDORES!$A:$B,2,0),"!COD NO ENCONTRADO"),"")</f>
        <v/>
      </c>
      <c r="F4509" s="88" t="str">
        <f aca="false">IF(D4509&lt;&gt;"",IFERROR(VLOOKUP(D4509,PROVEEDORES!$A:$C,3,0),""),"")</f>
        <v/>
      </c>
      <c r="G4509" s="87"/>
      <c r="H4509" s="46" t="str">
        <f aca="false">IF(G4509&lt;&gt;"",IFERROR(VLOOKUP(G4509,PRODUCTOS!$A:$B,2,0),"!COD NO ENCONTRADO"),"")</f>
        <v/>
      </c>
      <c r="I4509" s="89"/>
      <c r="J4509" s="90"/>
      <c r="K4509" s="91"/>
      <c r="L4509" s="80" t="str">
        <f aca="false">IF(AND(J4509&lt;&gt;"",K4509&lt;&gt;""),J4509*K4509,"")</f>
        <v/>
      </c>
      <c r="M4509" s="81" t="str">
        <f aca="false">IF(L4509&lt;&gt;"",L4509*1.1,"")</f>
        <v/>
      </c>
      <c r="N4509" s="47" t="n">
        <f aca="false">IF(F4509="S",L4509*0.02,0)</f>
        <v>0</v>
      </c>
      <c r="O4509" s="82" t="str">
        <f aca="false">IF(L4509&lt;&gt;"",L4509+N4509,"")</f>
        <v/>
      </c>
      <c r="P4509" s="47" t="str">
        <f aca="false">IF(O4509&lt;&gt;"",O4509*0.1,"")</f>
        <v/>
      </c>
      <c r="Q4509" s="83" t="str">
        <f aca="false">IF(O4509&lt;&gt;"",O4509+P4509,"")</f>
        <v/>
      </c>
      <c r="R4509" s="84"/>
    </row>
    <row r="4510" customFormat="false" ht="15" hidden="false" customHeight="true" outlineLevel="0" collapsed="false">
      <c r="A4510" s="103"/>
      <c r="B4510" s="73"/>
      <c r="C4510" s="74"/>
      <c r="D4510" s="75"/>
      <c r="E4510" s="52" t="str">
        <f aca="false">IF(D4510&lt;&gt;"",IFERROR(VLOOKUP(D4510,PROVEEDORES!$A:$B,2,0),"!COD NO ENCONTRADO"),"")</f>
        <v/>
      </c>
      <c r="F4510" s="76" t="str">
        <f aca="false">IF(D4510&lt;&gt;"",IFERROR(VLOOKUP(D4510,PROVEEDORES!$A:$C,3,0),""),"")</f>
        <v/>
      </c>
      <c r="G4510" s="75"/>
      <c r="H4510" s="52" t="str">
        <f aca="false">IF(G4510&lt;&gt;"",IFERROR(VLOOKUP(G4510,PRODUCTOS!$A:$B,2,0),"!COD NO ENCONTRADO"),"")</f>
        <v/>
      </c>
      <c r="I4510" s="77"/>
      <c r="J4510" s="78"/>
      <c r="K4510" s="79"/>
      <c r="L4510" s="80" t="str">
        <f aca="false">IF(AND(J4510&lt;&gt;"",K4510&lt;&gt;""),J4510*K4510,"")</f>
        <v/>
      </c>
      <c r="M4510" s="81" t="str">
        <f aca="false">IF(L4510&lt;&gt;"",L4510*1.1,"")</f>
        <v/>
      </c>
      <c r="N4510" s="53" t="n">
        <f aca="false">IF(F4510="S",L4510*0.02,0)</f>
        <v>0</v>
      </c>
      <c r="O4510" s="82" t="str">
        <f aca="false">IF(L4510&lt;&gt;"",L4510+N4510,"")</f>
        <v/>
      </c>
      <c r="P4510" s="53" t="str">
        <f aca="false">IF(O4510&lt;&gt;"",O4510*0.1,"")</f>
        <v/>
      </c>
      <c r="Q4510" s="83" t="str">
        <f aca="false">IF(O4510&lt;&gt;"",O4510+P4510,"")</f>
        <v/>
      </c>
      <c r="R4510" s="84"/>
    </row>
    <row r="4511" customFormat="false" ht="15" hidden="false" customHeight="true" outlineLevel="0" collapsed="false">
      <c r="A4511" s="103"/>
      <c r="B4511" s="85"/>
      <c r="C4511" s="86"/>
      <c r="D4511" s="87"/>
      <c r="E4511" s="46" t="str">
        <f aca="false">IF(D4511&lt;&gt;"",IFERROR(VLOOKUP(D4511,PROVEEDORES!$A:$B,2,0),"!COD NO ENCONTRADO"),"")</f>
        <v/>
      </c>
      <c r="F4511" s="88" t="str">
        <f aca="false">IF(D4511&lt;&gt;"",IFERROR(VLOOKUP(D4511,PROVEEDORES!$A:$C,3,0),""),"")</f>
        <v/>
      </c>
      <c r="G4511" s="87"/>
      <c r="H4511" s="46" t="str">
        <f aca="false">IF(G4511&lt;&gt;"",IFERROR(VLOOKUP(G4511,PRODUCTOS!$A:$B,2,0),"!COD NO ENCONTRADO"),"")</f>
        <v/>
      </c>
      <c r="I4511" s="89"/>
      <c r="J4511" s="90"/>
      <c r="K4511" s="91"/>
      <c r="L4511" s="80" t="str">
        <f aca="false">IF(AND(J4511&lt;&gt;"",K4511&lt;&gt;""),J4511*K4511,"")</f>
        <v/>
      </c>
      <c r="M4511" s="81" t="str">
        <f aca="false">IF(L4511&lt;&gt;"",L4511*1.1,"")</f>
        <v/>
      </c>
      <c r="N4511" s="47" t="n">
        <f aca="false">IF(F4511="S",L4511*0.02,0)</f>
        <v>0</v>
      </c>
      <c r="O4511" s="82" t="str">
        <f aca="false">IF(L4511&lt;&gt;"",L4511+N4511,"")</f>
        <v/>
      </c>
      <c r="P4511" s="47" t="str">
        <f aca="false">IF(O4511&lt;&gt;"",O4511*0.1,"")</f>
        <v/>
      </c>
      <c r="Q4511" s="83" t="str">
        <f aca="false">IF(O4511&lt;&gt;"",O4511+P4511,"")</f>
        <v/>
      </c>
      <c r="R4511" s="84"/>
    </row>
    <row r="4512" customFormat="false" ht="15" hidden="false" customHeight="true" outlineLevel="0" collapsed="false">
      <c r="A4512" s="103"/>
      <c r="B4512" s="73"/>
      <c r="C4512" s="74"/>
      <c r="D4512" s="75"/>
      <c r="E4512" s="52" t="str">
        <f aca="false">IF(D4512&lt;&gt;"",IFERROR(VLOOKUP(D4512,PROVEEDORES!$A:$B,2,0),"!COD NO ENCONTRADO"),"")</f>
        <v/>
      </c>
      <c r="F4512" s="76" t="str">
        <f aca="false">IF(D4512&lt;&gt;"",IFERROR(VLOOKUP(D4512,PROVEEDORES!$A:$C,3,0),""),"")</f>
        <v/>
      </c>
      <c r="G4512" s="75"/>
      <c r="H4512" s="52" t="str">
        <f aca="false">IF(G4512&lt;&gt;"",IFERROR(VLOOKUP(G4512,PRODUCTOS!$A:$B,2,0),"!COD NO ENCONTRADO"),"")</f>
        <v/>
      </c>
      <c r="I4512" s="77"/>
      <c r="J4512" s="78"/>
      <c r="K4512" s="79"/>
      <c r="L4512" s="80" t="str">
        <f aca="false">IF(AND(J4512&lt;&gt;"",K4512&lt;&gt;""),J4512*K4512,"")</f>
        <v/>
      </c>
      <c r="M4512" s="81" t="str">
        <f aca="false">IF(L4512&lt;&gt;"",L4512*1.1,"")</f>
        <v/>
      </c>
      <c r="N4512" s="53" t="n">
        <f aca="false">IF(F4512="S",L4512*0.02,0)</f>
        <v>0</v>
      </c>
      <c r="O4512" s="82" t="str">
        <f aca="false">IF(L4512&lt;&gt;"",L4512+N4512,"")</f>
        <v/>
      </c>
      <c r="P4512" s="53" t="str">
        <f aca="false">IF(O4512&lt;&gt;"",O4512*0.1,"")</f>
        <v/>
      </c>
      <c r="Q4512" s="83" t="str">
        <f aca="false">IF(O4512&lt;&gt;"",O4512+P4512,"")</f>
        <v/>
      </c>
      <c r="R4512" s="84"/>
    </row>
    <row r="4513" customFormat="false" ht="15" hidden="false" customHeight="true" outlineLevel="0" collapsed="false">
      <c r="A4513" s="103"/>
      <c r="B4513" s="85"/>
      <c r="C4513" s="86"/>
      <c r="D4513" s="87"/>
      <c r="E4513" s="46" t="str">
        <f aca="false">IF(D4513&lt;&gt;"",IFERROR(VLOOKUP(D4513,PROVEEDORES!$A:$B,2,0),"!COD NO ENCONTRADO"),"")</f>
        <v/>
      </c>
      <c r="F4513" s="88" t="str">
        <f aca="false">IF(D4513&lt;&gt;"",IFERROR(VLOOKUP(D4513,PROVEEDORES!$A:$C,3,0),""),"")</f>
        <v/>
      </c>
      <c r="G4513" s="87"/>
      <c r="H4513" s="46" t="str">
        <f aca="false">IF(G4513&lt;&gt;"",IFERROR(VLOOKUP(G4513,PRODUCTOS!$A:$B,2,0),"!COD NO ENCONTRADO"),"")</f>
        <v/>
      </c>
      <c r="I4513" s="89"/>
      <c r="J4513" s="90"/>
      <c r="K4513" s="91"/>
      <c r="L4513" s="80" t="str">
        <f aca="false">IF(AND(J4513&lt;&gt;"",K4513&lt;&gt;""),J4513*K4513,"")</f>
        <v/>
      </c>
      <c r="M4513" s="81" t="str">
        <f aca="false">IF(L4513&lt;&gt;"",L4513*1.1,"")</f>
        <v/>
      </c>
      <c r="N4513" s="47" t="n">
        <f aca="false">IF(F4513="S",L4513*0.02,0)</f>
        <v>0</v>
      </c>
      <c r="O4513" s="82" t="str">
        <f aca="false">IF(L4513&lt;&gt;"",L4513+N4513,"")</f>
        <v/>
      </c>
      <c r="P4513" s="47" t="str">
        <f aca="false">IF(O4513&lt;&gt;"",O4513*0.1,"")</f>
        <v/>
      </c>
      <c r="Q4513" s="83" t="str">
        <f aca="false">IF(O4513&lt;&gt;"",O4513+P4513,"")</f>
        <v/>
      </c>
      <c r="R4513" s="84"/>
    </row>
    <row r="4514" customFormat="false" ht="15" hidden="false" customHeight="true" outlineLevel="0" collapsed="false">
      <c r="A4514" s="103"/>
      <c r="B4514" s="73"/>
      <c r="C4514" s="74"/>
      <c r="D4514" s="75"/>
      <c r="E4514" s="52" t="str">
        <f aca="false">IF(D4514&lt;&gt;"",IFERROR(VLOOKUP(D4514,PROVEEDORES!$A:$B,2,0),"!COD NO ENCONTRADO"),"")</f>
        <v/>
      </c>
      <c r="F4514" s="76" t="str">
        <f aca="false">IF(D4514&lt;&gt;"",IFERROR(VLOOKUP(D4514,PROVEEDORES!$A:$C,3,0),""),"")</f>
        <v/>
      </c>
      <c r="G4514" s="75"/>
      <c r="H4514" s="52" t="str">
        <f aca="false">IF(G4514&lt;&gt;"",IFERROR(VLOOKUP(G4514,PRODUCTOS!$A:$B,2,0),"!COD NO ENCONTRADO"),"")</f>
        <v/>
      </c>
      <c r="I4514" s="77"/>
      <c r="J4514" s="78"/>
      <c r="K4514" s="79"/>
      <c r="L4514" s="80" t="str">
        <f aca="false">IF(AND(J4514&lt;&gt;"",K4514&lt;&gt;""),J4514*K4514,"")</f>
        <v/>
      </c>
      <c r="M4514" s="81" t="str">
        <f aca="false">IF(L4514&lt;&gt;"",L4514*1.1,"")</f>
        <v/>
      </c>
      <c r="N4514" s="53" t="n">
        <f aca="false">IF(F4514="S",L4514*0.02,0)</f>
        <v>0</v>
      </c>
      <c r="O4514" s="82" t="str">
        <f aca="false">IF(L4514&lt;&gt;"",L4514+N4514,"")</f>
        <v/>
      </c>
      <c r="P4514" s="53" t="str">
        <f aca="false">IF(O4514&lt;&gt;"",O4514*0.1,"")</f>
        <v/>
      </c>
      <c r="Q4514" s="83" t="str">
        <f aca="false">IF(O4514&lt;&gt;"",O4514+P4514,"")</f>
        <v/>
      </c>
      <c r="R4514" s="84"/>
    </row>
    <row r="4515" customFormat="false" ht="15" hidden="false" customHeight="true" outlineLevel="0" collapsed="false">
      <c r="A4515" s="103"/>
      <c r="B4515" s="85"/>
      <c r="C4515" s="86"/>
      <c r="D4515" s="87"/>
      <c r="E4515" s="46" t="str">
        <f aca="false">IF(D4515&lt;&gt;"",IFERROR(VLOOKUP(D4515,PROVEEDORES!$A:$B,2,0),"!COD NO ENCONTRADO"),"")</f>
        <v/>
      </c>
      <c r="F4515" s="88" t="str">
        <f aca="false">IF(D4515&lt;&gt;"",IFERROR(VLOOKUP(D4515,PROVEEDORES!$A:$C,3,0),""),"")</f>
        <v/>
      </c>
      <c r="G4515" s="87"/>
      <c r="H4515" s="46" t="str">
        <f aca="false">IF(G4515&lt;&gt;"",IFERROR(VLOOKUP(G4515,PRODUCTOS!$A:$B,2,0),"!COD NO ENCONTRADO"),"")</f>
        <v/>
      </c>
      <c r="I4515" s="89"/>
      <c r="J4515" s="90"/>
      <c r="K4515" s="91"/>
      <c r="L4515" s="80" t="str">
        <f aca="false">IF(AND(J4515&lt;&gt;"",K4515&lt;&gt;""),J4515*K4515,"")</f>
        <v/>
      </c>
      <c r="M4515" s="81" t="str">
        <f aca="false">IF(L4515&lt;&gt;"",L4515*1.1,"")</f>
        <v/>
      </c>
      <c r="N4515" s="47" t="n">
        <f aca="false">IF(F4515="S",L4515*0.02,0)</f>
        <v>0</v>
      </c>
      <c r="O4515" s="82" t="str">
        <f aca="false">IF(L4515&lt;&gt;"",L4515+N4515,"")</f>
        <v/>
      </c>
      <c r="P4515" s="47" t="str">
        <f aca="false">IF(O4515&lt;&gt;"",O4515*0.1,"")</f>
        <v/>
      </c>
      <c r="Q4515" s="83" t="str">
        <f aca="false">IF(O4515&lt;&gt;"",O4515+P4515,"")</f>
        <v/>
      </c>
      <c r="R4515" s="84"/>
    </row>
    <row r="4516" customFormat="false" ht="15" hidden="false" customHeight="true" outlineLevel="0" collapsed="false">
      <c r="A4516" s="103"/>
      <c r="B4516" s="73"/>
      <c r="C4516" s="74"/>
      <c r="D4516" s="75"/>
      <c r="E4516" s="52" t="str">
        <f aca="false">IF(D4516&lt;&gt;"",IFERROR(VLOOKUP(D4516,PROVEEDORES!$A:$B,2,0),"!COD NO ENCONTRADO"),"")</f>
        <v/>
      </c>
      <c r="F4516" s="76" t="str">
        <f aca="false">IF(D4516&lt;&gt;"",IFERROR(VLOOKUP(D4516,PROVEEDORES!$A:$C,3,0),""),"")</f>
        <v/>
      </c>
      <c r="G4516" s="75"/>
      <c r="H4516" s="52" t="str">
        <f aca="false">IF(G4516&lt;&gt;"",IFERROR(VLOOKUP(G4516,PRODUCTOS!$A:$B,2,0),"!COD NO ENCONTRADO"),"")</f>
        <v/>
      </c>
      <c r="I4516" s="77"/>
      <c r="J4516" s="78"/>
      <c r="K4516" s="79"/>
      <c r="L4516" s="80" t="str">
        <f aca="false">IF(AND(J4516&lt;&gt;"",K4516&lt;&gt;""),J4516*K4516,"")</f>
        <v/>
      </c>
      <c r="M4516" s="81" t="str">
        <f aca="false">IF(L4516&lt;&gt;"",L4516*1.1,"")</f>
        <v/>
      </c>
      <c r="N4516" s="53" t="n">
        <f aca="false">IF(F4516="S",L4516*0.02,0)</f>
        <v>0</v>
      </c>
      <c r="O4516" s="82" t="str">
        <f aca="false">IF(L4516&lt;&gt;"",L4516+N4516,"")</f>
        <v/>
      </c>
      <c r="P4516" s="53" t="str">
        <f aca="false">IF(O4516&lt;&gt;"",O4516*0.1,"")</f>
        <v/>
      </c>
      <c r="Q4516" s="83" t="str">
        <f aca="false">IF(O4516&lt;&gt;"",O4516+P4516,"")</f>
        <v/>
      </c>
      <c r="R4516" s="84"/>
    </row>
    <row r="4517" customFormat="false" ht="15" hidden="false" customHeight="true" outlineLevel="0" collapsed="false">
      <c r="A4517" s="103"/>
      <c r="B4517" s="85"/>
      <c r="C4517" s="86"/>
      <c r="D4517" s="87"/>
      <c r="E4517" s="46" t="str">
        <f aca="false">IF(D4517&lt;&gt;"",IFERROR(VLOOKUP(D4517,PROVEEDORES!$A:$B,2,0),"!COD NO ENCONTRADO"),"")</f>
        <v/>
      </c>
      <c r="F4517" s="88" t="str">
        <f aca="false">IF(D4517&lt;&gt;"",IFERROR(VLOOKUP(D4517,PROVEEDORES!$A:$C,3,0),""),"")</f>
        <v/>
      </c>
      <c r="G4517" s="87"/>
      <c r="H4517" s="46" t="str">
        <f aca="false">IF(G4517&lt;&gt;"",IFERROR(VLOOKUP(G4517,PRODUCTOS!$A:$B,2,0),"!COD NO ENCONTRADO"),"")</f>
        <v/>
      </c>
      <c r="I4517" s="89"/>
      <c r="J4517" s="90"/>
      <c r="K4517" s="91"/>
      <c r="L4517" s="80" t="str">
        <f aca="false">IF(AND(J4517&lt;&gt;"",K4517&lt;&gt;""),J4517*K4517,"")</f>
        <v/>
      </c>
      <c r="M4517" s="81" t="str">
        <f aca="false">IF(L4517&lt;&gt;"",L4517*1.1,"")</f>
        <v/>
      </c>
      <c r="N4517" s="47" t="n">
        <f aca="false">IF(F4517="S",L4517*0.02,0)</f>
        <v>0</v>
      </c>
      <c r="O4517" s="82" t="str">
        <f aca="false">IF(L4517&lt;&gt;"",L4517+N4517,"")</f>
        <v/>
      </c>
      <c r="P4517" s="47" t="str">
        <f aca="false">IF(O4517&lt;&gt;"",O4517*0.1,"")</f>
        <v/>
      </c>
      <c r="Q4517" s="83" t="str">
        <f aca="false">IF(O4517&lt;&gt;"",O4517+P4517,"")</f>
        <v/>
      </c>
      <c r="R4517" s="84"/>
    </row>
    <row r="4518" customFormat="false" ht="15" hidden="false" customHeight="true" outlineLevel="0" collapsed="false">
      <c r="A4518" s="103"/>
      <c r="B4518" s="73"/>
      <c r="C4518" s="74"/>
      <c r="D4518" s="75"/>
      <c r="E4518" s="52" t="str">
        <f aca="false">IF(D4518&lt;&gt;"",IFERROR(VLOOKUP(D4518,PROVEEDORES!$A:$B,2,0),"!COD NO ENCONTRADO"),"")</f>
        <v/>
      </c>
      <c r="F4518" s="76" t="str">
        <f aca="false">IF(D4518&lt;&gt;"",IFERROR(VLOOKUP(D4518,PROVEEDORES!$A:$C,3,0),""),"")</f>
        <v/>
      </c>
      <c r="G4518" s="75"/>
      <c r="H4518" s="52" t="str">
        <f aca="false">IF(G4518&lt;&gt;"",IFERROR(VLOOKUP(G4518,PRODUCTOS!$A:$B,2,0),"!COD NO ENCONTRADO"),"")</f>
        <v/>
      </c>
      <c r="I4518" s="77"/>
      <c r="J4518" s="78"/>
      <c r="K4518" s="79"/>
      <c r="L4518" s="80" t="str">
        <f aca="false">IF(AND(J4518&lt;&gt;"",K4518&lt;&gt;""),J4518*K4518,"")</f>
        <v/>
      </c>
      <c r="M4518" s="81" t="str">
        <f aca="false">IF(L4518&lt;&gt;"",L4518*1.1,"")</f>
        <v/>
      </c>
      <c r="N4518" s="53" t="n">
        <f aca="false">IF(F4518="S",L4518*0.02,0)</f>
        <v>0</v>
      </c>
      <c r="O4518" s="82" t="str">
        <f aca="false">IF(L4518&lt;&gt;"",L4518+N4518,"")</f>
        <v/>
      </c>
      <c r="P4518" s="53" t="str">
        <f aca="false">IF(O4518&lt;&gt;"",O4518*0.1,"")</f>
        <v/>
      </c>
      <c r="Q4518" s="83" t="str">
        <f aca="false">IF(O4518&lt;&gt;"",O4518+P4518,"")</f>
        <v/>
      </c>
      <c r="R4518" s="84"/>
    </row>
    <row r="4519" customFormat="false" ht="15" hidden="false" customHeight="true" outlineLevel="0" collapsed="false">
      <c r="A4519" s="103"/>
      <c r="B4519" s="85"/>
      <c r="C4519" s="86"/>
      <c r="D4519" s="87"/>
      <c r="E4519" s="46" t="str">
        <f aca="false">IF(D4519&lt;&gt;"",IFERROR(VLOOKUP(D4519,PROVEEDORES!$A:$B,2,0),"!COD NO ENCONTRADO"),"")</f>
        <v/>
      </c>
      <c r="F4519" s="88" t="str">
        <f aca="false">IF(D4519&lt;&gt;"",IFERROR(VLOOKUP(D4519,PROVEEDORES!$A:$C,3,0),""),"")</f>
        <v/>
      </c>
      <c r="G4519" s="87"/>
      <c r="H4519" s="46" t="str">
        <f aca="false">IF(G4519&lt;&gt;"",IFERROR(VLOOKUP(G4519,PRODUCTOS!$A:$B,2,0),"!COD NO ENCONTRADO"),"")</f>
        <v/>
      </c>
      <c r="I4519" s="89"/>
      <c r="J4519" s="90"/>
      <c r="K4519" s="91"/>
      <c r="L4519" s="80" t="str">
        <f aca="false">IF(AND(J4519&lt;&gt;"",K4519&lt;&gt;""),J4519*K4519,"")</f>
        <v/>
      </c>
      <c r="M4519" s="81" t="str">
        <f aca="false">IF(L4519&lt;&gt;"",L4519*1.1,"")</f>
        <v/>
      </c>
      <c r="N4519" s="47" t="n">
        <f aca="false">IF(F4519="S",L4519*0.02,0)</f>
        <v>0</v>
      </c>
      <c r="O4519" s="82" t="str">
        <f aca="false">IF(L4519&lt;&gt;"",L4519+N4519,"")</f>
        <v/>
      </c>
      <c r="P4519" s="47" t="str">
        <f aca="false">IF(O4519&lt;&gt;"",O4519*0.1,"")</f>
        <v/>
      </c>
      <c r="Q4519" s="83" t="str">
        <f aca="false">IF(O4519&lt;&gt;"",O4519+P4519,"")</f>
        <v/>
      </c>
      <c r="R4519" s="84"/>
    </row>
    <row r="4520" customFormat="false" ht="15" hidden="false" customHeight="true" outlineLevel="0" collapsed="false">
      <c r="A4520" s="103"/>
      <c r="B4520" s="73"/>
      <c r="C4520" s="74"/>
      <c r="D4520" s="75"/>
      <c r="E4520" s="52" t="str">
        <f aca="false">IF(D4520&lt;&gt;"",IFERROR(VLOOKUP(D4520,PROVEEDORES!$A:$B,2,0),"!COD NO ENCONTRADO"),"")</f>
        <v/>
      </c>
      <c r="F4520" s="76" t="str">
        <f aca="false">IF(D4520&lt;&gt;"",IFERROR(VLOOKUP(D4520,PROVEEDORES!$A:$C,3,0),""),"")</f>
        <v/>
      </c>
      <c r="G4520" s="75"/>
      <c r="H4520" s="52" t="str">
        <f aca="false">IF(G4520&lt;&gt;"",IFERROR(VLOOKUP(G4520,PRODUCTOS!$A:$B,2,0),"!COD NO ENCONTRADO"),"")</f>
        <v/>
      </c>
      <c r="I4520" s="77"/>
      <c r="J4520" s="78"/>
      <c r="K4520" s="79"/>
      <c r="L4520" s="80" t="str">
        <f aca="false">IF(AND(J4520&lt;&gt;"",K4520&lt;&gt;""),J4520*K4520,"")</f>
        <v/>
      </c>
      <c r="M4520" s="81" t="str">
        <f aca="false">IF(L4520&lt;&gt;"",L4520*1.1,"")</f>
        <v/>
      </c>
      <c r="N4520" s="53" t="n">
        <f aca="false">IF(F4520="S",L4520*0.02,0)</f>
        <v>0</v>
      </c>
      <c r="O4520" s="82" t="str">
        <f aca="false">IF(L4520&lt;&gt;"",L4520+N4520,"")</f>
        <v/>
      </c>
      <c r="P4520" s="53" t="str">
        <f aca="false">IF(O4520&lt;&gt;"",O4520*0.1,"")</f>
        <v/>
      </c>
      <c r="Q4520" s="83" t="str">
        <f aca="false">IF(O4520&lt;&gt;"",O4520+P4520,"")</f>
        <v/>
      </c>
      <c r="R4520" s="84"/>
    </row>
    <row r="4521" customFormat="false" ht="15" hidden="false" customHeight="true" outlineLevel="0" collapsed="false">
      <c r="A4521" s="103"/>
      <c r="B4521" s="85"/>
      <c r="C4521" s="86"/>
      <c r="D4521" s="87"/>
      <c r="E4521" s="46" t="str">
        <f aca="false">IF(D4521&lt;&gt;"",IFERROR(VLOOKUP(D4521,PROVEEDORES!$A:$B,2,0),"!COD NO ENCONTRADO"),"")</f>
        <v/>
      </c>
      <c r="F4521" s="88" t="str">
        <f aca="false">IF(D4521&lt;&gt;"",IFERROR(VLOOKUP(D4521,PROVEEDORES!$A:$C,3,0),""),"")</f>
        <v/>
      </c>
      <c r="G4521" s="87"/>
      <c r="H4521" s="46" t="str">
        <f aca="false">IF(G4521&lt;&gt;"",IFERROR(VLOOKUP(G4521,PRODUCTOS!$A:$B,2,0),"!COD NO ENCONTRADO"),"")</f>
        <v/>
      </c>
      <c r="I4521" s="89"/>
      <c r="J4521" s="90"/>
      <c r="K4521" s="91"/>
      <c r="L4521" s="80" t="str">
        <f aca="false">IF(AND(J4521&lt;&gt;"",K4521&lt;&gt;""),J4521*K4521,"")</f>
        <v/>
      </c>
      <c r="M4521" s="81" t="str">
        <f aca="false">IF(L4521&lt;&gt;"",L4521*1.1,"")</f>
        <v/>
      </c>
      <c r="N4521" s="47" t="n">
        <f aca="false">IF(F4521="S",L4521*0.02,0)</f>
        <v>0</v>
      </c>
      <c r="O4521" s="82" t="str">
        <f aca="false">IF(L4521&lt;&gt;"",L4521+N4521,"")</f>
        <v/>
      </c>
      <c r="P4521" s="47" t="str">
        <f aca="false">IF(O4521&lt;&gt;"",O4521*0.1,"")</f>
        <v/>
      </c>
      <c r="Q4521" s="83" t="str">
        <f aca="false">IF(O4521&lt;&gt;"",O4521+P4521,"")</f>
        <v/>
      </c>
      <c r="R4521" s="84"/>
    </row>
    <row r="4522" customFormat="false" ht="15" hidden="false" customHeight="true" outlineLevel="0" collapsed="false">
      <c r="A4522" s="103"/>
      <c r="B4522" s="73"/>
      <c r="C4522" s="74"/>
      <c r="D4522" s="75"/>
      <c r="E4522" s="52" t="str">
        <f aca="false">IF(D4522&lt;&gt;"",IFERROR(VLOOKUP(D4522,PROVEEDORES!$A:$B,2,0),"!COD NO ENCONTRADO"),"")</f>
        <v/>
      </c>
      <c r="F4522" s="76" t="str">
        <f aca="false">IF(D4522&lt;&gt;"",IFERROR(VLOOKUP(D4522,PROVEEDORES!$A:$C,3,0),""),"")</f>
        <v/>
      </c>
      <c r="G4522" s="75"/>
      <c r="H4522" s="52" t="str">
        <f aca="false">IF(G4522&lt;&gt;"",IFERROR(VLOOKUP(G4522,PRODUCTOS!$A:$B,2,0),"!COD NO ENCONTRADO"),"")</f>
        <v/>
      </c>
      <c r="I4522" s="77"/>
      <c r="J4522" s="78"/>
      <c r="K4522" s="79"/>
      <c r="L4522" s="80" t="str">
        <f aca="false">IF(AND(J4522&lt;&gt;"",K4522&lt;&gt;""),J4522*K4522,"")</f>
        <v/>
      </c>
      <c r="M4522" s="81" t="str">
        <f aca="false">IF(L4522&lt;&gt;"",L4522*1.1,"")</f>
        <v/>
      </c>
      <c r="N4522" s="53" t="n">
        <f aca="false">IF(F4522="S",L4522*0.02,0)</f>
        <v>0</v>
      </c>
      <c r="O4522" s="82" t="str">
        <f aca="false">IF(L4522&lt;&gt;"",L4522+N4522,"")</f>
        <v/>
      </c>
      <c r="P4522" s="53" t="str">
        <f aca="false">IF(O4522&lt;&gt;"",O4522*0.1,"")</f>
        <v/>
      </c>
      <c r="Q4522" s="83" t="str">
        <f aca="false">IF(O4522&lt;&gt;"",O4522+P4522,"")</f>
        <v/>
      </c>
      <c r="R4522" s="84"/>
    </row>
    <row r="4523" customFormat="false" ht="15" hidden="false" customHeight="true" outlineLevel="0" collapsed="false">
      <c r="A4523" s="103"/>
      <c r="B4523" s="85"/>
      <c r="C4523" s="86"/>
      <c r="D4523" s="87"/>
      <c r="E4523" s="46" t="str">
        <f aca="false">IF(D4523&lt;&gt;"",IFERROR(VLOOKUP(D4523,PROVEEDORES!$A:$B,2,0),"!COD NO ENCONTRADO"),"")</f>
        <v/>
      </c>
      <c r="F4523" s="88" t="str">
        <f aca="false">IF(D4523&lt;&gt;"",IFERROR(VLOOKUP(D4523,PROVEEDORES!$A:$C,3,0),""),"")</f>
        <v/>
      </c>
      <c r="G4523" s="87"/>
      <c r="H4523" s="46" t="str">
        <f aca="false">IF(G4523&lt;&gt;"",IFERROR(VLOOKUP(G4523,PRODUCTOS!$A:$B,2,0),"!COD NO ENCONTRADO"),"")</f>
        <v/>
      </c>
      <c r="I4523" s="89"/>
      <c r="J4523" s="90"/>
      <c r="K4523" s="91"/>
      <c r="L4523" s="80" t="str">
        <f aca="false">IF(AND(J4523&lt;&gt;"",K4523&lt;&gt;""),J4523*K4523,"")</f>
        <v/>
      </c>
      <c r="M4523" s="81" t="str">
        <f aca="false">IF(L4523&lt;&gt;"",L4523*1.1,"")</f>
        <v/>
      </c>
      <c r="N4523" s="47" t="n">
        <f aca="false">IF(F4523="S",L4523*0.02,0)</f>
        <v>0</v>
      </c>
      <c r="O4523" s="82" t="str">
        <f aca="false">IF(L4523&lt;&gt;"",L4523+N4523,"")</f>
        <v/>
      </c>
      <c r="P4523" s="47" t="str">
        <f aca="false">IF(O4523&lt;&gt;"",O4523*0.1,"")</f>
        <v/>
      </c>
      <c r="Q4523" s="83" t="str">
        <f aca="false">IF(O4523&lt;&gt;"",O4523+P4523,"")</f>
        <v/>
      </c>
      <c r="R4523" s="84"/>
    </row>
    <row r="4524" customFormat="false" ht="15" hidden="false" customHeight="true" outlineLevel="0" collapsed="false">
      <c r="A4524" s="103"/>
      <c r="B4524" s="73"/>
      <c r="C4524" s="74"/>
      <c r="D4524" s="75"/>
      <c r="E4524" s="52" t="str">
        <f aca="false">IF(D4524&lt;&gt;"",IFERROR(VLOOKUP(D4524,PROVEEDORES!$A:$B,2,0),"!COD NO ENCONTRADO"),"")</f>
        <v/>
      </c>
      <c r="F4524" s="76" t="str">
        <f aca="false">IF(D4524&lt;&gt;"",IFERROR(VLOOKUP(D4524,PROVEEDORES!$A:$C,3,0),""),"")</f>
        <v/>
      </c>
      <c r="G4524" s="75"/>
      <c r="H4524" s="52" t="str">
        <f aca="false">IF(G4524&lt;&gt;"",IFERROR(VLOOKUP(G4524,PRODUCTOS!$A:$B,2,0),"!COD NO ENCONTRADO"),"")</f>
        <v/>
      </c>
      <c r="I4524" s="77"/>
      <c r="J4524" s="78"/>
      <c r="K4524" s="79"/>
      <c r="L4524" s="80" t="str">
        <f aca="false">IF(AND(J4524&lt;&gt;"",K4524&lt;&gt;""),J4524*K4524,"")</f>
        <v/>
      </c>
      <c r="M4524" s="81" t="str">
        <f aca="false">IF(L4524&lt;&gt;"",L4524*1.1,"")</f>
        <v/>
      </c>
      <c r="N4524" s="53" t="n">
        <f aca="false">IF(F4524="S",L4524*0.02,0)</f>
        <v>0</v>
      </c>
      <c r="O4524" s="82" t="str">
        <f aca="false">IF(L4524&lt;&gt;"",L4524+N4524,"")</f>
        <v/>
      </c>
      <c r="P4524" s="53" t="str">
        <f aca="false">IF(O4524&lt;&gt;"",O4524*0.1,"")</f>
        <v/>
      </c>
      <c r="Q4524" s="83" t="str">
        <f aca="false">IF(O4524&lt;&gt;"",O4524+P4524,"")</f>
        <v/>
      </c>
      <c r="R4524" s="84"/>
    </row>
    <row r="4525" customFormat="false" ht="15" hidden="false" customHeight="true" outlineLevel="0" collapsed="false">
      <c r="A4525" s="103"/>
      <c r="B4525" s="85"/>
      <c r="C4525" s="86"/>
      <c r="D4525" s="87"/>
      <c r="E4525" s="46" t="str">
        <f aca="false">IF(D4525&lt;&gt;"",IFERROR(VLOOKUP(D4525,PROVEEDORES!$A:$B,2,0),"!COD NO ENCONTRADO"),"")</f>
        <v/>
      </c>
      <c r="F4525" s="88" t="str">
        <f aca="false">IF(D4525&lt;&gt;"",IFERROR(VLOOKUP(D4525,PROVEEDORES!$A:$C,3,0),""),"")</f>
        <v/>
      </c>
      <c r="G4525" s="87"/>
      <c r="H4525" s="46" t="str">
        <f aca="false">IF(G4525&lt;&gt;"",IFERROR(VLOOKUP(G4525,PRODUCTOS!$A:$B,2,0),"!COD NO ENCONTRADO"),"")</f>
        <v/>
      </c>
      <c r="I4525" s="89"/>
      <c r="J4525" s="90"/>
      <c r="K4525" s="91"/>
      <c r="L4525" s="80" t="str">
        <f aca="false">IF(AND(J4525&lt;&gt;"",K4525&lt;&gt;""),J4525*K4525,"")</f>
        <v/>
      </c>
      <c r="M4525" s="81" t="str">
        <f aca="false">IF(L4525&lt;&gt;"",L4525*1.1,"")</f>
        <v/>
      </c>
      <c r="N4525" s="47" t="n">
        <f aca="false">IF(F4525="S",L4525*0.02,0)</f>
        <v>0</v>
      </c>
      <c r="O4525" s="82" t="str">
        <f aca="false">IF(L4525&lt;&gt;"",L4525+N4525,"")</f>
        <v/>
      </c>
      <c r="P4525" s="47" t="str">
        <f aca="false">IF(O4525&lt;&gt;"",O4525*0.1,"")</f>
        <v/>
      </c>
      <c r="Q4525" s="83" t="str">
        <f aca="false">IF(O4525&lt;&gt;"",O4525+P4525,"")</f>
        <v/>
      </c>
      <c r="R4525" s="84"/>
    </row>
    <row r="4526" customFormat="false" ht="15" hidden="false" customHeight="true" outlineLevel="0" collapsed="false">
      <c r="A4526" s="103"/>
      <c r="B4526" s="73"/>
      <c r="C4526" s="74"/>
      <c r="D4526" s="75"/>
      <c r="E4526" s="52" t="str">
        <f aca="false">IF(D4526&lt;&gt;"",IFERROR(VLOOKUP(D4526,PROVEEDORES!$A:$B,2,0),"!COD NO ENCONTRADO"),"")</f>
        <v/>
      </c>
      <c r="F4526" s="76" t="str">
        <f aca="false">IF(D4526&lt;&gt;"",IFERROR(VLOOKUP(D4526,PROVEEDORES!$A:$C,3,0),""),"")</f>
        <v/>
      </c>
      <c r="G4526" s="75"/>
      <c r="H4526" s="52" t="str">
        <f aca="false">IF(G4526&lt;&gt;"",IFERROR(VLOOKUP(G4526,PRODUCTOS!$A:$B,2,0),"!COD NO ENCONTRADO"),"")</f>
        <v/>
      </c>
      <c r="I4526" s="77"/>
      <c r="J4526" s="78"/>
      <c r="K4526" s="79"/>
      <c r="L4526" s="80" t="str">
        <f aca="false">IF(AND(J4526&lt;&gt;"",K4526&lt;&gt;""),J4526*K4526,"")</f>
        <v/>
      </c>
      <c r="M4526" s="81" t="str">
        <f aca="false">IF(L4526&lt;&gt;"",L4526*1.1,"")</f>
        <v/>
      </c>
      <c r="N4526" s="53" t="n">
        <f aca="false">IF(F4526="S",L4526*0.02,0)</f>
        <v>0</v>
      </c>
      <c r="O4526" s="82" t="str">
        <f aca="false">IF(L4526&lt;&gt;"",L4526+N4526,"")</f>
        <v/>
      </c>
      <c r="P4526" s="53" t="str">
        <f aca="false">IF(O4526&lt;&gt;"",O4526*0.1,"")</f>
        <v/>
      </c>
      <c r="Q4526" s="83" t="str">
        <f aca="false">IF(O4526&lt;&gt;"",O4526+P4526,"")</f>
        <v/>
      </c>
      <c r="R4526" s="84"/>
    </row>
    <row r="4527" customFormat="false" ht="15" hidden="false" customHeight="true" outlineLevel="0" collapsed="false">
      <c r="A4527" s="103"/>
      <c r="B4527" s="85"/>
      <c r="C4527" s="86"/>
      <c r="D4527" s="87"/>
      <c r="E4527" s="46" t="str">
        <f aca="false">IF(D4527&lt;&gt;"",IFERROR(VLOOKUP(D4527,PROVEEDORES!$A:$B,2,0),"!COD NO ENCONTRADO"),"")</f>
        <v/>
      </c>
      <c r="F4527" s="88" t="str">
        <f aca="false">IF(D4527&lt;&gt;"",IFERROR(VLOOKUP(D4527,PROVEEDORES!$A:$C,3,0),""),"")</f>
        <v/>
      </c>
      <c r="G4527" s="87"/>
      <c r="H4527" s="46" t="str">
        <f aca="false">IF(G4527&lt;&gt;"",IFERROR(VLOOKUP(G4527,PRODUCTOS!$A:$B,2,0),"!COD NO ENCONTRADO"),"")</f>
        <v/>
      </c>
      <c r="I4527" s="89"/>
      <c r="J4527" s="90"/>
      <c r="K4527" s="91"/>
      <c r="L4527" s="80" t="str">
        <f aca="false">IF(AND(J4527&lt;&gt;"",K4527&lt;&gt;""),J4527*K4527,"")</f>
        <v/>
      </c>
      <c r="M4527" s="81" t="str">
        <f aca="false">IF(L4527&lt;&gt;"",L4527*1.1,"")</f>
        <v/>
      </c>
      <c r="N4527" s="47" t="n">
        <f aca="false">IF(F4527="S",L4527*0.02,0)</f>
        <v>0</v>
      </c>
      <c r="O4527" s="82" t="str">
        <f aca="false">IF(L4527&lt;&gt;"",L4527+N4527,"")</f>
        <v/>
      </c>
      <c r="P4527" s="47" t="str">
        <f aca="false">IF(O4527&lt;&gt;"",O4527*0.1,"")</f>
        <v/>
      </c>
      <c r="Q4527" s="83" t="str">
        <f aca="false">IF(O4527&lt;&gt;"",O4527+P4527,"")</f>
        <v/>
      </c>
      <c r="R4527" s="84"/>
    </row>
    <row r="4528" customFormat="false" ht="15" hidden="false" customHeight="true" outlineLevel="0" collapsed="false">
      <c r="A4528" s="103"/>
      <c r="B4528" s="73"/>
      <c r="C4528" s="74"/>
      <c r="D4528" s="75"/>
      <c r="E4528" s="52" t="str">
        <f aca="false">IF(D4528&lt;&gt;"",IFERROR(VLOOKUP(D4528,PROVEEDORES!$A:$B,2,0),"!COD NO ENCONTRADO"),"")</f>
        <v/>
      </c>
      <c r="F4528" s="76" t="str">
        <f aca="false">IF(D4528&lt;&gt;"",IFERROR(VLOOKUP(D4528,PROVEEDORES!$A:$C,3,0),""),"")</f>
        <v/>
      </c>
      <c r="G4528" s="75"/>
      <c r="H4528" s="52" t="str">
        <f aca="false">IF(G4528&lt;&gt;"",IFERROR(VLOOKUP(G4528,PRODUCTOS!$A:$B,2,0),"!COD NO ENCONTRADO"),"")</f>
        <v/>
      </c>
      <c r="I4528" s="77"/>
      <c r="J4528" s="78"/>
      <c r="K4528" s="79"/>
      <c r="L4528" s="80" t="str">
        <f aca="false">IF(AND(J4528&lt;&gt;"",K4528&lt;&gt;""),J4528*K4528,"")</f>
        <v/>
      </c>
      <c r="M4528" s="81" t="str">
        <f aca="false">IF(L4528&lt;&gt;"",L4528*1.1,"")</f>
        <v/>
      </c>
      <c r="N4528" s="53" t="n">
        <f aca="false">IF(F4528="S",L4528*0.02,0)</f>
        <v>0</v>
      </c>
      <c r="O4528" s="82" t="str">
        <f aca="false">IF(L4528&lt;&gt;"",L4528+N4528,"")</f>
        <v/>
      </c>
      <c r="P4528" s="53" t="str">
        <f aca="false">IF(O4528&lt;&gt;"",O4528*0.1,"")</f>
        <v/>
      </c>
      <c r="Q4528" s="83" t="str">
        <f aca="false">IF(O4528&lt;&gt;"",O4528+P4528,"")</f>
        <v/>
      </c>
      <c r="R4528" s="84"/>
    </row>
    <row r="4529" customFormat="false" ht="15" hidden="false" customHeight="true" outlineLevel="0" collapsed="false">
      <c r="A4529" s="103"/>
      <c r="B4529" s="85"/>
      <c r="C4529" s="86"/>
      <c r="D4529" s="87"/>
      <c r="E4529" s="46" t="str">
        <f aca="false">IF(D4529&lt;&gt;"",IFERROR(VLOOKUP(D4529,PROVEEDORES!$A:$B,2,0),"!COD NO ENCONTRADO"),"")</f>
        <v/>
      </c>
      <c r="F4529" s="88" t="str">
        <f aca="false">IF(D4529&lt;&gt;"",IFERROR(VLOOKUP(D4529,PROVEEDORES!$A:$C,3,0),""),"")</f>
        <v/>
      </c>
      <c r="G4529" s="87"/>
      <c r="H4529" s="46" t="str">
        <f aca="false">IF(G4529&lt;&gt;"",IFERROR(VLOOKUP(G4529,PRODUCTOS!$A:$B,2,0),"!COD NO ENCONTRADO"),"")</f>
        <v/>
      </c>
      <c r="I4529" s="89"/>
      <c r="J4529" s="90"/>
      <c r="K4529" s="91"/>
      <c r="L4529" s="80" t="str">
        <f aca="false">IF(AND(J4529&lt;&gt;"",K4529&lt;&gt;""),J4529*K4529,"")</f>
        <v/>
      </c>
      <c r="M4529" s="81" t="str">
        <f aca="false">IF(L4529&lt;&gt;"",L4529*1.1,"")</f>
        <v/>
      </c>
      <c r="N4529" s="47" t="n">
        <f aca="false">IF(F4529="S",L4529*0.02,0)</f>
        <v>0</v>
      </c>
      <c r="O4529" s="82" t="str">
        <f aca="false">IF(L4529&lt;&gt;"",L4529+N4529,"")</f>
        <v/>
      </c>
      <c r="P4529" s="47" t="str">
        <f aca="false">IF(O4529&lt;&gt;"",O4529*0.1,"")</f>
        <v/>
      </c>
      <c r="Q4529" s="83" t="str">
        <f aca="false">IF(O4529&lt;&gt;"",O4529+P4529,"")</f>
        <v/>
      </c>
      <c r="R4529" s="84"/>
    </row>
    <row r="4530" customFormat="false" ht="15" hidden="false" customHeight="true" outlineLevel="0" collapsed="false">
      <c r="A4530" s="103"/>
      <c r="B4530" s="73"/>
      <c r="C4530" s="74"/>
      <c r="D4530" s="75"/>
      <c r="E4530" s="52" t="str">
        <f aca="false">IF(D4530&lt;&gt;"",IFERROR(VLOOKUP(D4530,PROVEEDORES!$A:$B,2,0),"!COD NO ENCONTRADO"),"")</f>
        <v/>
      </c>
      <c r="F4530" s="76" t="str">
        <f aca="false">IF(D4530&lt;&gt;"",IFERROR(VLOOKUP(D4530,PROVEEDORES!$A:$C,3,0),""),"")</f>
        <v/>
      </c>
      <c r="G4530" s="75"/>
      <c r="H4530" s="52" t="str">
        <f aca="false">IF(G4530&lt;&gt;"",IFERROR(VLOOKUP(G4530,PRODUCTOS!$A:$B,2,0),"!COD NO ENCONTRADO"),"")</f>
        <v/>
      </c>
      <c r="I4530" s="77"/>
      <c r="J4530" s="78"/>
      <c r="K4530" s="79"/>
      <c r="L4530" s="80" t="str">
        <f aca="false">IF(AND(J4530&lt;&gt;"",K4530&lt;&gt;""),J4530*K4530,"")</f>
        <v/>
      </c>
      <c r="M4530" s="81" t="str">
        <f aca="false">IF(L4530&lt;&gt;"",L4530*1.1,"")</f>
        <v/>
      </c>
      <c r="N4530" s="53" t="n">
        <f aca="false">IF(F4530="S",L4530*0.02,0)</f>
        <v>0</v>
      </c>
      <c r="O4530" s="82" t="str">
        <f aca="false">IF(L4530&lt;&gt;"",L4530+N4530,"")</f>
        <v/>
      </c>
      <c r="P4530" s="53" t="str">
        <f aca="false">IF(O4530&lt;&gt;"",O4530*0.1,"")</f>
        <v/>
      </c>
      <c r="Q4530" s="83" t="str">
        <f aca="false">IF(O4530&lt;&gt;"",O4530+P4530,"")</f>
        <v/>
      </c>
      <c r="R4530" s="84"/>
    </row>
    <row r="4531" customFormat="false" ht="15" hidden="false" customHeight="true" outlineLevel="0" collapsed="false">
      <c r="A4531" s="103"/>
      <c r="B4531" s="85"/>
      <c r="C4531" s="86"/>
      <c r="D4531" s="87"/>
      <c r="E4531" s="46" t="str">
        <f aca="false">IF(D4531&lt;&gt;"",IFERROR(VLOOKUP(D4531,PROVEEDORES!$A:$B,2,0),"!COD NO ENCONTRADO"),"")</f>
        <v/>
      </c>
      <c r="F4531" s="88" t="str">
        <f aca="false">IF(D4531&lt;&gt;"",IFERROR(VLOOKUP(D4531,PROVEEDORES!$A:$C,3,0),""),"")</f>
        <v/>
      </c>
      <c r="G4531" s="87"/>
      <c r="H4531" s="46" t="str">
        <f aca="false">IF(G4531&lt;&gt;"",IFERROR(VLOOKUP(G4531,PRODUCTOS!$A:$B,2,0),"!COD NO ENCONTRADO"),"")</f>
        <v/>
      </c>
      <c r="I4531" s="89"/>
      <c r="J4531" s="90"/>
      <c r="K4531" s="91"/>
      <c r="L4531" s="80" t="str">
        <f aca="false">IF(AND(J4531&lt;&gt;"",K4531&lt;&gt;""),J4531*K4531,"")</f>
        <v/>
      </c>
      <c r="M4531" s="81" t="str">
        <f aca="false">IF(L4531&lt;&gt;"",L4531*1.1,"")</f>
        <v/>
      </c>
      <c r="N4531" s="47" t="n">
        <f aca="false">IF(F4531="S",L4531*0.02,0)</f>
        <v>0</v>
      </c>
      <c r="O4531" s="82" t="str">
        <f aca="false">IF(L4531&lt;&gt;"",L4531+N4531,"")</f>
        <v/>
      </c>
      <c r="P4531" s="47" t="str">
        <f aca="false">IF(O4531&lt;&gt;"",O4531*0.1,"")</f>
        <v/>
      </c>
      <c r="Q4531" s="83" t="str">
        <f aca="false">IF(O4531&lt;&gt;"",O4531+P4531,"")</f>
        <v/>
      </c>
      <c r="R4531" s="84"/>
    </row>
    <row r="4532" customFormat="false" ht="15" hidden="false" customHeight="true" outlineLevel="0" collapsed="false">
      <c r="A4532" s="103"/>
      <c r="B4532" s="73"/>
      <c r="C4532" s="74"/>
      <c r="D4532" s="75"/>
      <c r="E4532" s="52" t="str">
        <f aca="false">IF(D4532&lt;&gt;"",IFERROR(VLOOKUP(D4532,PROVEEDORES!$A:$B,2,0),"!COD NO ENCONTRADO"),"")</f>
        <v/>
      </c>
      <c r="F4532" s="76" t="str">
        <f aca="false">IF(D4532&lt;&gt;"",IFERROR(VLOOKUP(D4532,PROVEEDORES!$A:$C,3,0),""),"")</f>
        <v/>
      </c>
      <c r="G4532" s="75"/>
      <c r="H4532" s="52" t="str">
        <f aca="false">IF(G4532&lt;&gt;"",IFERROR(VLOOKUP(G4532,PRODUCTOS!$A:$B,2,0),"!COD NO ENCONTRADO"),"")</f>
        <v/>
      </c>
      <c r="I4532" s="77"/>
      <c r="J4532" s="78"/>
      <c r="K4532" s="79"/>
      <c r="L4532" s="80" t="str">
        <f aca="false">IF(AND(J4532&lt;&gt;"",K4532&lt;&gt;""),J4532*K4532,"")</f>
        <v/>
      </c>
      <c r="M4532" s="81" t="str">
        <f aca="false">IF(L4532&lt;&gt;"",L4532*1.1,"")</f>
        <v/>
      </c>
      <c r="N4532" s="53" t="n">
        <f aca="false">IF(F4532="S",L4532*0.02,0)</f>
        <v>0</v>
      </c>
      <c r="O4532" s="82" t="str">
        <f aca="false">IF(L4532&lt;&gt;"",L4532+N4532,"")</f>
        <v/>
      </c>
      <c r="P4532" s="53" t="str">
        <f aca="false">IF(O4532&lt;&gt;"",O4532*0.1,"")</f>
        <v/>
      </c>
      <c r="Q4532" s="83" t="str">
        <f aca="false">IF(O4532&lt;&gt;"",O4532+P4532,"")</f>
        <v/>
      </c>
      <c r="R4532" s="84"/>
    </row>
    <row r="4533" customFormat="false" ht="15" hidden="false" customHeight="true" outlineLevel="0" collapsed="false">
      <c r="A4533" s="103"/>
      <c r="B4533" s="85"/>
      <c r="C4533" s="86"/>
      <c r="D4533" s="87"/>
      <c r="E4533" s="46" t="str">
        <f aca="false">IF(D4533&lt;&gt;"",IFERROR(VLOOKUP(D4533,PROVEEDORES!$A:$B,2,0),"!COD NO ENCONTRADO"),"")</f>
        <v/>
      </c>
      <c r="F4533" s="88" t="str">
        <f aca="false">IF(D4533&lt;&gt;"",IFERROR(VLOOKUP(D4533,PROVEEDORES!$A:$C,3,0),""),"")</f>
        <v/>
      </c>
      <c r="G4533" s="87"/>
      <c r="H4533" s="46" t="str">
        <f aca="false">IF(G4533&lt;&gt;"",IFERROR(VLOOKUP(G4533,PRODUCTOS!$A:$B,2,0),"!COD NO ENCONTRADO"),"")</f>
        <v/>
      </c>
      <c r="I4533" s="89"/>
      <c r="J4533" s="90"/>
      <c r="K4533" s="91"/>
      <c r="L4533" s="80" t="str">
        <f aca="false">IF(AND(J4533&lt;&gt;"",K4533&lt;&gt;""),J4533*K4533,"")</f>
        <v/>
      </c>
      <c r="M4533" s="81" t="str">
        <f aca="false">IF(L4533&lt;&gt;"",L4533*1.1,"")</f>
        <v/>
      </c>
      <c r="N4533" s="47" t="n">
        <f aca="false">IF(F4533="S",L4533*0.02,0)</f>
        <v>0</v>
      </c>
      <c r="O4533" s="82" t="str">
        <f aca="false">IF(L4533&lt;&gt;"",L4533+N4533,"")</f>
        <v/>
      </c>
      <c r="P4533" s="47" t="str">
        <f aca="false">IF(O4533&lt;&gt;"",O4533*0.1,"")</f>
        <v/>
      </c>
      <c r="Q4533" s="83" t="str">
        <f aca="false">IF(O4533&lt;&gt;"",O4533+P4533,"")</f>
        <v/>
      </c>
      <c r="R4533" s="84"/>
    </row>
    <row r="4534" customFormat="false" ht="15" hidden="false" customHeight="true" outlineLevel="0" collapsed="false">
      <c r="A4534" s="103"/>
      <c r="B4534" s="73"/>
      <c r="C4534" s="74"/>
      <c r="D4534" s="75"/>
      <c r="E4534" s="52" t="str">
        <f aca="false">IF(D4534&lt;&gt;"",IFERROR(VLOOKUP(D4534,PROVEEDORES!$A:$B,2,0),"!COD NO ENCONTRADO"),"")</f>
        <v/>
      </c>
      <c r="F4534" s="76" t="str">
        <f aca="false">IF(D4534&lt;&gt;"",IFERROR(VLOOKUP(D4534,PROVEEDORES!$A:$C,3,0),""),"")</f>
        <v/>
      </c>
      <c r="G4534" s="75"/>
      <c r="H4534" s="52" t="str">
        <f aca="false">IF(G4534&lt;&gt;"",IFERROR(VLOOKUP(G4534,PRODUCTOS!$A:$B,2,0),"!COD NO ENCONTRADO"),"")</f>
        <v/>
      </c>
      <c r="I4534" s="77"/>
      <c r="J4534" s="78"/>
      <c r="K4534" s="79"/>
      <c r="L4534" s="80" t="str">
        <f aca="false">IF(AND(J4534&lt;&gt;"",K4534&lt;&gt;""),J4534*K4534,"")</f>
        <v/>
      </c>
      <c r="M4534" s="81" t="str">
        <f aca="false">IF(L4534&lt;&gt;"",L4534*1.1,"")</f>
        <v/>
      </c>
      <c r="N4534" s="53" t="n">
        <f aca="false">IF(F4534="S",L4534*0.02,0)</f>
        <v>0</v>
      </c>
      <c r="O4534" s="82" t="str">
        <f aca="false">IF(L4534&lt;&gt;"",L4534+N4534,"")</f>
        <v/>
      </c>
      <c r="P4534" s="53" t="str">
        <f aca="false">IF(O4534&lt;&gt;"",O4534*0.1,"")</f>
        <v/>
      </c>
      <c r="Q4534" s="83" t="str">
        <f aca="false">IF(O4534&lt;&gt;"",O4534+P4534,"")</f>
        <v/>
      </c>
      <c r="R4534" s="84"/>
    </row>
    <row r="4535" customFormat="false" ht="15" hidden="false" customHeight="true" outlineLevel="0" collapsed="false">
      <c r="A4535" s="103"/>
      <c r="B4535" s="85"/>
      <c r="C4535" s="86"/>
      <c r="D4535" s="87"/>
      <c r="E4535" s="46" t="str">
        <f aca="false">IF(D4535&lt;&gt;"",IFERROR(VLOOKUP(D4535,PROVEEDORES!$A:$B,2,0),"!COD NO ENCONTRADO"),"")</f>
        <v/>
      </c>
      <c r="F4535" s="88" t="str">
        <f aca="false">IF(D4535&lt;&gt;"",IFERROR(VLOOKUP(D4535,PROVEEDORES!$A:$C,3,0),""),"")</f>
        <v/>
      </c>
      <c r="G4535" s="87"/>
      <c r="H4535" s="46" t="str">
        <f aca="false">IF(G4535&lt;&gt;"",IFERROR(VLOOKUP(G4535,PRODUCTOS!$A:$B,2,0),"!COD NO ENCONTRADO"),"")</f>
        <v/>
      </c>
      <c r="I4535" s="89"/>
      <c r="J4535" s="90"/>
      <c r="K4535" s="91"/>
      <c r="L4535" s="80" t="str">
        <f aca="false">IF(AND(J4535&lt;&gt;"",K4535&lt;&gt;""),J4535*K4535,"")</f>
        <v/>
      </c>
      <c r="M4535" s="81" t="str">
        <f aca="false">IF(L4535&lt;&gt;"",L4535*1.1,"")</f>
        <v/>
      </c>
      <c r="N4535" s="47" t="n">
        <f aca="false">IF(F4535="S",L4535*0.02,0)</f>
        <v>0</v>
      </c>
      <c r="O4535" s="82" t="str">
        <f aca="false">IF(L4535&lt;&gt;"",L4535+N4535,"")</f>
        <v/>
      </c>
      <c r="P4535" s="47" t="str">
        <f aca="false">IF(O4535&lt;&gt;"",O4535*0.1,"")</f>
        <v/>
      </c>
      <c r="Q4535" s="83" t="str">
        <f aca="false">IF(O4535&lt;&gt;"",O4535+P4535,"")</f>
        <v/>
      </c>
      <c r="R4535" s="84"/>
    </row>
    <row r="4536" customFormat="false" ht="15" hidden="false" customHeight="true" outlineLevel="0" collapsed="false">
      <c r="A4536" s="103"/>
      <c r="B4536" s="73"/>
      <c r="C4536" s="74"/>
      <c r="D4536" s="75"/>
      <c r="E4536" s="52" t="str">
        <f aca="false">IF(D4536&lt;&gt;"",IFERROR(VLOOKUP(D4536,PROVEEDORES!$A:$B,2,0),"!COD NO ENCONTRADO"),"")</f>
        <v/>
      </c>
      <c r="F4536" s="76" t="str">
        <f aca="false">IF(D4536&lt;&gt;"",IFERROR(VLOOKUP(D4536,PROVEEDORES!$A:$C,3,0),""),"")</f>
        <v/>
      </c>
      <c r="G4536" s="75"/>
      <c r="H4536" s="52" t="str">
        <f aca="false">IF(G4536&lt;&gt;"",IFERROR(VLOOKUP(G4536,PRODUCTOS!$A:$B,2,0),"!COD NO ENCONTRADO"),"")</f>
        <v/>
      </c>
      <c r="I4536" s="77"/>
      <c r="J4536" s="78"/>
      <c r="K4536" s="79"/>
      <c r="L4536" s="80" t="str">
        <f aca="false">IF(AND(J4536&lt;&gt;"",K4536&lt;&gt;""),J4536*K4536,"")</f>
        <v/>
      </c>
      <c r="M4536" s="81" t="str">
        <f aca="false">IF(L4536&lt;&gt;"",L4536*1.1,"")</f>
        <v/>
      </c>
      <c r="N4536" s="53" t="n">
        <f aca="false">IF(F4536="S",L4536*0.02,0)</f>
        <v>0</v>
      </c>
      <c r="O4536" s="82" t="str">
        <f aca="false">IF(L4536&lt;&gt;"",L4536+N4536,"")</f>
        <v/>
      </c>
      <c r="P4536" s="53" t="str">
        <f aca="false">IF(O4536&lt;&gt;"",O4536*0.1,"")</f>
        <v/>
      </c>
      <c r="Q4536" s="83" t="str">
        <f aca="false">IF(O4536&lt;&gt;"",O4536+P4536,"")</f>
        <v/>
      </c>
      <c r="R4536" s="84"/>
    </row>
    <row r="4537" customFormat="false" ht="15" hidden="false" customHeight="true" outlineLevel="0" collapsed="false">
      <c r="A4537" s="103"/>
      <c r="B4537" s="85"/>
      <c r="C4537" s="86"/>
      <c r="D4537" s="87"/>
      <c r="E4537" s="46" t="str">
        <f aca="false">IF(D4537&lt;&gt;"",IFERROR(VLOOKUP(D4537,PROVEEDORES!$A:$B,2,0),"!COD NO ENCONTRADO"),"")</f>
        <v/>
      </c>
      <c r="F4537" s="88" t="str">
        <f aca="false">IF(D4537&lt;&gt;"",IFERROR(VLOOKUP(D4537,PROVEEDORES!$A:$C,3,0),""),"")</f>
        <v/>
      </c>
      <c r="G4537" s="87"/>
      <c r="H4537" s="46" t="str">
        <f aca="false">IF(G4537&lt;&gt;"",IFERROR(VLOOKUP(G4537,PRODUCTOS!$A:$B,2,0),"!COD NO ENCONTRADO"),"")</f>
        <v/>
      </c>
      <c r="I4537" s="89"/>
      <c r="J4537" s="90"/>
      <c r="K4537" s="91"/>
      <c r="L4537" s="80" t="str">
        <f aca="false">IF(AND(J4537&lt;&gt;"",K4537&lt;&gt;""),J4537*K4537,"")</f>
        <v/>
      </c>
      <c r="M4537" s="81" t="str">
        <f aca="false">IF(L4537&lt;&gt;"",L4537*1.1,"")</f>
        <v/>
      </c>
      <c r="N4537" s="47" t="n">
        <f aca="false">IF(F4537="S",L4537*0.02,0)</f>
        <v>0</v>
      </c>
      <c r="O4537" s="82" t="str">
        <f aca="false">IF(L4537&lt;&gt;"",L4537+N4537,"")</f>
        <v/>
      </c>
      <c r="P4537" s="47" t="str">
        <f aca="false">IF(O4537&lt;&gt;"",O4537*0.1,"")</f>
        <v/>
      </c>
      <c r="Q4537" s="83" t="str">
        <f aca="false">IF(O4537&lt;&gt;"",O4537+P4537,"")</f>
        <v/>
      </c>
      <c r="R4537" s="84"/>
    </row>
    <row r="4538" customFormat="false" ht="15" hidden="false" customHeight="true" outlineLevel="0" collapsed="false">
      <c r="A4538" s="103"/>
      <c r="B4538" s="73"/>
      <c r="C4538" s="74"/>
      <c r="D4538" s="75"/>
      <c r="E4538" s="52" t="str">
        <f aca="false">IF(D4538&lt;&gt;"",IFERROR(VLOOKUP(D4538,PROVEEDORES!$A:$B,2,0),"!COD NO ENCONTRADO"),"")</f>
        <v/>
      </c>
      <c r="F4538" s="76" t="str">
        <f aca="false">IF(D4538&lt;&gt;"",IFERROR(VLOOKUP(D4538,PROVEEDORES!$A:$C,3,0),""),"")</f>
        <v/>
      </c>
      <c r="G4538" s="75"/>
      <c r="H4538" s="52" t="str">
        <f aca="false">IF(G4538&lt;&gt;"",IFERROR(VLOOKUP(G4538,PRODUCTOS!$A:$B,2,0),"!COD NO ENCONTRADO"),"")</f>
        <v/>
      </c>
      <c r="I4538" s="77"/>
      <c r="J4538" s="78"/>
      <c r="K4538" s="79"/>
      <c r="L4538" s="80" t="str">
        <f aca="false">IF(AND(J4538&lt;&gt;"",K4538&lt;&gt;""),J4538*K4538,"")</f>
        <v/>
      </c>
      <c r="M4538" s="81" t="str">
        <f aca="false">IF(L4538&lt;&gt;"",L4538*1.1,"")</f>
        <v/>
      </c>
      <c r="N4538" s="53" t="n">
        <f aca="false">IF(F4538="S",L4538*0.02,0)</f>
        <v>0</v>
      </c>
      <c r="O4538" s="82" t="str">
        <f aca="false">IF(L4538&lt;&gt;"",L4538+N4538,"")</f>
        <v/>
      </c>
      <c r="P4538" s="53" t="str">
        <f aca="false">IF(O4538&lt;&gt;"",O4538*0.1,"")</f>
        <v/>
      </c>
      <c r="Q4538" s="83" t="str">
        <f aca="false">IF(O4538&lt;&gt;"",O4538+P4538,"")</f>
        <v/>
      </c>
      <c r="R4538" s="84"/>
    </row>
    <row r="4539" customFormat="false" ht="15" hidden="false" customHeight="true" outlineLevel="0" collapsed="false">
      <c r="A4539" s="103"/>
      <c r="B4539" s="85"/>
      <c r="C4539" s="86"/>
      <c r="D4539" s="87"/>
      <c r="E4539" s="46" t="str">
        <f aca="false">IF(D4539&lt;&gt;"",IFERROR(VLOOKUP(D4539,PROVEEDORES!$A:$B,2,0),"!COD NO ENCONTRADO"),"")</f>
        <v/>
      </c>
      <c r="F4539" s="88" t="str">
        <f aca="false">IF(D4539&lt;&gt;"",IFERROR(VLOOKUP(D4539,PROVEEDORES!$A:$C,3,0),""),"")</f>
        <v/>
      </c>
      <c r="G4539" s="87"/>
      <c r="H4539" s="46" t="str">
        <f aca="false">IF(G4539&lt;&gt;"",IFERROR(VLOOKUP(G4539,PRODUCTOS!$A:$B,2,0),"!COD NO ENCONTRADO"),"")</f>
        <v/>
      </c>
      <c r="I4539" s="89"/>
      <c r="J4539" s="90"/>
      <c r="K4539" s="91"/>
      <c r="L4539" s="80" t="str">
        <f aca="false">IF(AND(J4539&lt;&gt;"",K4539&lt;&gt;""),J4539*K4539,"")</f>
        <v/>
      </c>
      <c r="M4539" s="81" t="str">
        <f aca="false">IF(L4539&lt;&gt;"",L4539*1.1,"")</f>
        <v/>
      </c>
      <c r="N4539" s="47" t="n">
        <f aca="false">IF(F4539="S",L4539*0.02,0)</f>
        <v>0</v>
      </c>
      <c r="O4539" s="82" t="str">
        <f aca="false">IF(L4539&lt;&gt;"",L4539+N4539,"")</f>
        <v/>
      </c>
      <c r="P4539" s="47" t="str">
        <f aca="false">IF(O4539&lt;&gt;"",O4539*0.1,"")</f>
        <v/>
      </c>
      <c r="Q4539" s="83" t="str">
        <f aca="false">IF(O4539&lt;&gt;"",O4539+P4539,"")</f>
        <v/>
      </c>
      <c r="R4539" s="84"/>
    </row>
    <row r="4540" customFormat="false" ht="15" hidden="false" customHeight="true" outlineLevel="0" collapsed="false">
      <c r="A4540" s="103"/>
      <c r="B4540" s="73"/>
      <c r="C4540" s="74"/>
      <c r="D4540" s="75"/>
      <c r="E4540" s="52" t="str">
        <f aca="false">IF(D4540&lt;&gt;"",IFERROR(VLOOKUP(D4540,PROVEEDORES!$A:$B,2,0),"!COD NO ENCONTRADO"),"")</f>
        <v/>
      </c>
      <c r="F4540" s="76" t="str">
        <f aca="false">IF(D4540&lt;&gt;"",IFERROR(VLOOKUP(D4540,PROVEEDORES!$A:$C,3,0),""),"")</f>
        <v/>
      </c>
      <c r="G4540" s="75"/>
      <c r="H4540" s="52" t="str">
        <f aca="false">IF(G4540&lt;&gt;"",IFERROR(VLOOKUP(G4540,PRODUCTOS!$A:$B,2,0),"!COD NO ENCONTRADO"),"")</f>
        <v/>
      </c>
      <c r="I4540" s="77"/>
      <c r="J4540" s="78"/>
      <c r="K4540" s="79"/>
      <c r="L4540" s="80" t="str">
        <f aca="false">IF(AND(J4540&lt;&gt;"",K4540&lt;&gt;""),J4540*K4540,"")</f>
        <v/>
      </c>
      <c r="M4540" s="81" t="str">
        <f aca="false">IF(L4540&lt;&gt;"",L4540*1.1,"")</f>
        <v/>
      </c>
      <c r="N4540" s="53" t="n">
        <f aca="false">IF(F4540="S",L4540*0.02,0)</f>
        <v>0</v>
      </c>
      <c r="O4540" s="82" t="str">
        <f aca="false">IF(L4540&lt;&gt;"",L4540+N4540,"")</f>
        <v/>
      </c>
      <c r="P4540" s="53" t="str">
        <f aca="false">IF(O4540&lt;&gt;"",O4540*0.1,"")</f>
        <v/>
      </c>
      <c r="Q4540" s="83" t="str">
        <f aca="false">IF(O4540&lt;&gt;"",O4540+P4540,"")</f>
        <v/>
      </c>
      <c r="R4540" s="84"/>
    </row>
    <row r="4541" customFormat="false" ht="15" hidden="false" customHeight="true" outlineLevel="0" collapsed="false">
      <c r="A4541" s="103"/>
      <c r="B4541" s="85"/>
      <c r="C4541" s="86"/>
      <c r="D4541" s="87"/>
      <c r="E4541" s="46" t="str">
        <f aca="false">IF(D4541&lt;&gt;"",IFERROR(VLOOKUP(D4541,PROVEEDORES!$A:$B,2,0),"!COD NO ENCONTRADO"),"")</f>
        <v/>
      </c>
      <c r="F4541" s="88" t="str">
        <f aca="false">IF(D4541&lt;&gt;"",IFERROR(VLOOKUP(D4541,PROVEEDORES!$A:$C,3,0),""),"")</f>
        <v/>
      </c>
      <c r="G4541" s="87"/>
      <c r="H4541" s="46" t="str">
        <f aca="false">IF(G4541&lt;&gt;"",IFERROR(VLOOKUP(G4541,PRODUCTOS!$A:$B,2,0),"!COD NO ENCONTRADO"),"")</f>
        <v/>
      </c>
      <c r="I4541" s="89"/>
      <c r="J4541" s="90"/>
      <c r="K4541" s="91"/>
      <c r="L4541" s="80" t="str">
        <f aca="false">IF(AND(J4541&lt;&gt;"",K4541&lt;&gt;""),J4541*K4541,"")</f>
        <v/>
      </c>
      <c r="M4541" s="81" t="str">
        <f aca="false">IF(L4541&lt;&gt;"",L4541*1.1,"")</f>
        <v/>
      </c>
      <c r="N4541" s="47" t="n">
        <f aca="false">IF(F4541="S",L4541*0.02,0)</f>
        <v>0</v>
      </c>
      <c r="O4541" s="82" t="str">
        <f aca="false">IF(L4541&lt;&gt;"",L4541+N4541,"")</f>
        <v/>
      </c>
      <c r="P4541" s="47" t="str">
        <f aca="false">IF(O4541&lt;&gt;"",O4541*0.1,"")</f>
        <v/>
      </c>
      <c r="Q4541" s="83" t="str">
        <f aca="false">IF(O4541&lt;&gt;"",O4541+P4541,"")</f>
        <v/>
      </c>
      <c r="R4541" s="84"/>
    </row>
    <row r="4542" customFormat="false" ht="15" hidden="false" customHeight="true" outlineLevel="0" collapsed="false">
      <c r="A4542" s="103"/>
      <c r="B4542" s="73"/>
      <c r="C4542" s="74"/>
      <c r="D4542" s="75"/>
      <c r="E4542" s="52" t="str">
        <f aca="false">IF(D4542&lt;&gt;"",IFERROR(VLOOKUP(D4542,PROVEEDORES!$A:$B,2,0),"!COD NO ENCONTRADO"),"")</f>
        <v/>
      </c>
      <c r="F4542" s="76" t="str">
        <f aca="false">IF(D4542&lt;&gt;"",IFERROR(VLOOKUP(D4542,PROVEEDORES!$A:$C,3,0),""),"")</f>
        <v/>
      </c>
      <c r="G4542" s="75"/>
      <c r="H4542" s="52" t="str">
        <f aca="false">IF(G4542&lt;&gt;"",IFERROR(VLOOKUP(G4542,PRODUCTOS!$A:$B,2,0),"!COD NO ENCONTRADO"),"")</f>
        <v/>
      </c>
      <c r="I4542" s="77"/>
      <c r="J4542" s="78"/>
      <c r="K4542" s="79"/>
      <c r="L4542" s="80" t="str">
        <f aca="false">IF(AND(J4542&lt;&gt;"",K4542&lt;&gt;""),J4542*K4542,"")</f>
        <v/>
      </c>
      <c r="M4542" s="81" t="str">
        <f aca="false">IF(L4542&lt;&gt;"",L4542*1.1,"")</f>
        <v/>
      </c>
      <c r="N4542" s="53" t="n">
        <f aca="false">IF(F4542="S",L4542*0.02,0)</f>
        <v>0</v>
      </c>
      <c r="O4542" s="82" t="str">
        <f aca="false">IF(L4542&lt;&gt;"",L4542+N4542,"")</f>
        <v/>
      </c>
      <c r="P4542" s="53" t="str">
        <f aca="false">IF(O4542&lt;&gt;"",O4542*0.1,"")</f>
        <v/>
      </c>
      <c r="Q4542" s="83" t="str">
        <f aca="false">IF(O4542&lt;&gt;"",O4542+P4542,"")</f>
        <v/>
      </c>
      <c r="R4542" s="84"/>
    </row>
    <row r="4543" customFormat="false" ht="15" hidden="false" customHeight="true" outlineLevel="0" collapsed="false">
      <c r="A4543" s="103"/>
      <c r="B4543" s="85"/>
      <c r="C4543" s="86"/>
      <c r="D4543" s="87"/>
      <c r="E4543" s="46" t="str">
        <f aca="false">IF(D4543&lt;&gt;"",IFERROR(VLOOKUP(D4543,PROVEEDORES!$A:$B,2,0),"!COD NO ENCONTRADO"),"")</f>
        <v/>
      </c>
      <c r="F4543" s="88" t="str">
        <f aca="false">IF(D4543&lt;&gt;"",IFERROR(VLOOKUP(D4543,PROVEEDORES!$A:$C,3,0),""),"")</f>
        <v/>
      </c>
      <c r="G4543" s="87"/>
      <c r="H4543" s="46" t="str">
        <f aca="false">IF(G4543&lt;&gt;"",IFERROR(VLOOKUP(G4543,PRODUCTOS!$A:$B,2,0),"!COD NO ENCONTRADO"),"")</f>
        <v/>
      </c>
      <c r="I4543" s="89"/>
      <c r="J4543" s="90"/>
      <c r="K4543" s="91"/>
      <c r="L4543" s="80" t="str">
        <f aca="false">IF(AND(J4543&lt;&gt;"",K4543&lt;&gt;""),J4543*K4543,"")</f>
        <v/>
      </c>
      <c r="M4543" s="81" t="str">
        <f aca="false">IF(L4543&lt;&gt;"",L4543*1.1,"")</f>
        <v/>
      </c>
      <c r="N4543" s="47" t="n">
        <f aca="false">IF(F4543="S",L4543*0.02,0)</f>
        <v>0</v>
      </c>
      <c r="O4543" s="82" t="str">
        <f aca="false">IF(L4543&lt;&gt;"",L4543+N4543,"")</f>
        <v/>
      </c>
      <c r="P4543" s="47" t="str">
        <f aca="false">IF(O4543&lt;&gt;"",O4543*0.1,"")</f>
        <v/>
      </c>
      <c r="Q4543" s="83" t="str">
        <f aca="false">IF(O4543&lt;&gt;"",O4543+P4543,"")</f>
        <v/>
      </c>
      <c r="R4543" s="84"/>
    </row>
    <row r="4544" customFormat="false" ht="15" hidden="false" customHeight="true" outlineLevel="0" collapsed="false">
      <c r="A4544" s="103"/>
      <c r="B4544" s="73"/>
      <c r="C4544" s="74"/>
      <c r="D4544" s="75"/>
      <c r="E4544" s="52" t="str">
        <f aca="false">IF(D4544&lt;&gt;"",IFERROR(VLOOKUP(D4544,PROVEEDORES!$A:$B,2,0),"!COD NO ENCONTRADO"),"")</f>
        <v/>
      </c>
      <c r="F4544" s="76" t="str">
        <f aca="false">IF(D4544&lt;&gt;"",IFERROR(VLOOKUP(D4544,PROVEEDORES!$A:$C,3,0),""),"")</f>
        <v/>
      </c>
      <c r="G4544" s="75"/>
      <c r="H4544" s="52" t="str">
        <f aca="false">IF(G4544&lt;&gt;"",IFERROR(VLOOKUP(G4544,PRODUCTOS!$A:$B,2,0),"!COD NO ENCONTRADO"),"")</f>
        <v/>
      </c>
      <c r="I4544" s="77"/>
      <c r="J4544" s="78"/>
      <c r="K4544" s="79"/>
      <c r="L4544" s="80" t="str">
        <f aca="false">IF(AND(J4544&lt;&gt;"",K4544&lt;&gt;""),J4544*K4544,"")</f>
        <v/>
      </c>
      <c r="M4544" s="81" t="str">
        <f aca="false">IF(L4544&lt;&gt;"",L4544*1.1,"")</f>
        <v/>
      </c>
      <c r="N4544" s="53" t="n">
        <f aca="false">IF(F4544="S",L4544*0.02,0)</f>
        <v>0</v>
      </c>
      <c r="O4544" s="82" t="str">
        <f aca="false">IF(L4544&lt;&gt;"",L4544+N4544,"")</f>
        <v/>
      </c>
      <c r="P4544" s="53" t="str">
        <f aca="false">IF(O4544&lt;&gt;"",O4544*0.1,"")</f>
        <v/>
      </c>
      <c r="Q4544" s="83" t="str">
        <f aca="false">IF(O4544&lt;&gt;"",O4544+P4544,"")</f>
        <v/>
      </c>
      <c r="R4544" s="84"/>
    </row>
    <row r="4545" customFormat="false" ht="15" hidden="false" customHeight="true" outlineLevel="0" collapsed="false">
      <c r="A4545" s="103"/>
      <c r="B4545" s="85"/>
      <c r="C4545" s="86"/>
      <c r="D4545" s="87"/>
      <c r="E4545" s="46" t="str">
        <f aca="false">IF(D4545&lt;&gt;"",IFERROR(VLOOKUP(D4545,PROVEEDORES!$A:$B,2,0),"!COD NO ENCONTRADO"),"")</f>
        <v/>
      </c>
      <c r="F4545" s="88" t="str">
        <f aca="false">IF(D4545&lt;&gt;"",IFERROR(VLOOKUP(D4545,PROVEEDORES!$A:$C,3,0),""),"")</f>
        <v/>
      </c>
      <c r="G4545" s="87"/>
      <c r="H4545" s="46" t="str">
        <f aca="false">IF(G4545&lt;&gt;"",IFERROR(VLOOKUP(G4545,PRODUCTOS!$A:$B,2,0),"!COD NO ENCONTRADO"),"")</f>
        <v/>
      </c>
      <c r="I4545" s="89"/>
      <c r="J4545" s="90"/>
      <c r="K4545" s="91"/>
      <c r="L4545" s="80" t="str">
        <f aca="false">IF(AND(J4545&lt;&gt;"",K4545&lt;&gt;""),J4545*K4545,"")</f>
        <v/>
      </c>
      <c r="M4545" s="81" t="str">
        <f aca="false">IF(L4545&lt;&gt;"",L4545*1.1,"")</f>
        <v/>
      </c>
      <c r="N4545" s="47" t="n">
        <f aca="false">IF(F4545="S",L4545*0.02,0)</f>
        <v>0</v>
      </c>
      <c r="O4545" s="82" t="str">
        <f aca="false">IF(L4545&lt;&gt;"",L4545+N4545,"")</f>
        <v/>
      </c>
      <c r="P4545" s="47" t="str">
        <f aca="false">IF(O4545&lt;&gt;"",O4545*0.1,"")</f>
        <v/>
      </c>
      <c r="Q4545" s="83" t="str">
        <f aca="false">IF(O4545&lt;&gt;"",O4545+P4545,"")</f>
        <v/>
      </c>
      <c r="R4545" s="84"/>
    </row>
    <row r="4546" customFormat="false" ht="15" hidden="false" customHeight="true" outlineLevel="0" collapsed="false">
      <c r="A4546" s="103"/>
      <c r="B4546" s="73"/>
      <c r="C4546" s="74"/>
      <c r="D4546" s="75"/>
      <c r="E4546" s="52" t="str">
        <f aca="false">IF(D4546&lt;&gt;"",IFERROR(VLOOKUP(D4546,PROVEEDORES!$A:$B,2,0),"!COD NO ENCONTRADO"),"")</f>
        <v/>
      </c>
      <c r="F4546" s="76" t="str">
        <f aca="false">IF(D4546&lt;&gt;"",IFERROR(VLOOKUP(D4546,PROVEEDORES!$A:$C,3,0),""),"")</f>
        <v/>
      </c>
      <c r="G4546" s="75"/>
      <c r="H4546" s="52" t="str">
        <f aca="false">IF(G4546&lt;&gt;"",IFERROR(VLOOKUP(G4546,PRODUCTOS!$A:$B,2,0),"!COD NO ENCONTRADO"),"")</f>
        <v/>
      </c>
      <c r="I4546" s="77"/>
      <c r="J4546" s="78"/>
      <c r="K4546" s="79"/>
      <c r="L4546" s="80" t="str">
        <f aca="false">IF(AND(J4546&lt;&gt;"",K4546&lt;&gt;""),J4546*K4546,"")</f>
        <v/>
      </c>
      <c r="M4546" s="81" t="str">
        <f aca="false">IF(L4546&lt;&gt;"",L4546*1.1,"")</f>
        <v/>
      </c>
      <c r="N4546" s="53" t="n">
        <f aca="false">IF(F4546="S",L4546*0.02,0)</f>
        <v>0</v>
      </c>
      <c r="O4546" s="82" t="str">
        <f aca="false">IF(L4546&lt;&gt;"",L4546+N4546,"")</f>
        <v/>
      </c>
      <c r="P4546" s="53" t="str">
        <f aca="false">IF(O4546&lt;&gt;"",O4546*0.1,"")</f>
        <v/>
      </c>
      <c r="Q4546" s="83" t="str">
        <f aca="false">IF(O4546&lt;&gt;"",O4546+P4546,"")</f>
        <v/>
      </c>
      <c r="R4546" s="84"/>
    </row>
    <row r="4547" customFormat="false" ht="15" hidden="false" customHeight="true" outlineLevel="0" collapsed="false">
      <c r="A4547" s="103"/>
      <c r="B4547" s="85"/>
      <c r="C4547" s="86"/>
      <c r="D4547" s="87"/>
      <c r="E4547" s="46" t="str">
        <f aca="false">IF(D4547&lt;&gt;"",IFERROR(VLOOKUP(D4547,PROVEEDORES!$A:$B,2,0),"!COD NO ENCONTRADO"),"")</f>
        <v/>
      </c>
      <c r="F4547" s="88" t="str">
        <f aca="false">IF(D4547&lt;&gt;"",IFERROR(VLOOKUP(D4547,PROVEEDORES!$A:$C,3,0),""),"")</f>
        <v/>
      </c>
      <c r="G4547" s="87"/>
      <c r="H4547" s="46" t="str">
        <f aca="false">IF(G4547&lt;&gt;"",IFERROR(VLOOKUP(G4547,PRODUCTOS!$A:$B,2,0),"!COD NO ENCONTRADO"),"")</f>
        <v/>
      </c>
      <c r="I4547" s="89"/>
      <c r="J4547" s="90"/>
      <c r="K4547" s="91"/>
      <c r="L4547" s="80" t="str">
        <f aca="false">IF(AND(J4547&lt;&gt;"",K4547&lt;&gt;""),J4547*K4547,"")</f>
        <v/>
      </c>
      <c r="M4547" s="81" t="str">
        <f aca="false">IF(L4547&lt;&gt;"",L4547*1.1,"")</f>
        <v/>
      </c>
      <c r="N4547" s="47" t="n">
        <f aca="false">IF(F4547="S",L4547*0.02,0)</f>
        <v>0</v>
      </c>
      <c r="O4547" s="82" t="str">
        <f aca="false">IF(L4547&lt;&gt;"",L4547+N4547,"")</f>
        <v/>
      </c>
      <c r="P4547" s="47" t="str">
        <f aca="false">IF(O4547&lt;&gt;"",O4547*0.1,"")</f>
        <v/>
      </c>
      <c r="Q4547" s="83" t="str">
        <f aca="false">IF(O4547&lt;&gt;"",O4547+P4547,"")</f>
        <v/>
      </c>
      <c r="R4547" s="84"/>
    </row>
    <row r="4548" customFormat="false" ht="15" hidden="false" customHeight="true" outlineLevel="0" collapsed="false">
      <c r="A4548" s="103"/>
      <c r="B4548" s="73"/>
      <c r="C4548" s="74"/>
      <c r="D4548" s="75"/>
      <c r="E4548" s="52" t="str">
        <f aca="false">IF(D4548&lt;&gt;"",IFERROR(VLOOKUP(D4548,PROVEEDORES!$A:$B,2,0),"!COD NO ENCONTRADO"),"")</f>
        <v/>
      </c>
      <c r="F4548" s="76" t="str">
        <f aca="false">IF(D4548&lt;&gt;"",IFERROR(VLOOKUP(D4548,PROVEEDORES!$A:$C,3,0),""),"")</f>
        <v/>
      </c>
      <c r="G4548" s="75"/>
      <c r="H4548" s="52" t="str">
        <f aca="false">IF(G4548&lt;&gt;"",IFERROR(VLOOKUP(G4548,PRODUCTOS!$A:$B,2,0),"!COD NO ENCONTRADO"),"")</f>
        <v/>
      </c>
      <c r="I4548" s="77"/>
      <c r="J4548" s="78"/>
      <c r="K4548" s="79"/>
      <c r="L4548" s="80" t="str">
        <f aca="false">IF(AND(J4548&lt;&gt;"",K4548&lt;&gt;""),J4548*K4548,"")</f>
        <v/>
      </c>
      <c r="M4548" s="81" t="str">
        <f aca="false">IF(L4548&lt;&gt;"",L4548*1.1,"")</f>
        <v/>
      </c>
      <c r="N4548" s="53" t="n">
        <f aca="false">IF(F4548="S",L4548*0.02,0)</f>
        <v>0</v>
      </c>
      <c r="O4548" s="82" t="str">
        <f aca="false">IF(L4548&lt;&gt;"",L4548+N4548,"")</f>
        <v/>
      </c>
      <c r="P4548" s="53" t="str">
        <f aca="false">IF(O4548&lt;&gt;"",O4548*0.1,"")</f>
        <v/>
      </c>
      <c r="Q4548" s="83" t="str">
        <f aca="false">IF(O4548&lt;&gt;"",O4548+P4548,"")</f>
        <v/>
      </c>
      <c r="R4548" s="84"/>
    </row>
    <row r="4549" customFormat="false" ht="15" hidden="false" customHeight="true" outlineLevel="0" collapsed="false">
      <c r="A4549" s="103"/>
      <c r="B4549" s="85"/>
      <c r="C4549" s="86"/>
      <c r="D4549" s="87"/>
      <c r="E4549" s="46" t="str">
        <f aca="false">IF(D4549&lt;&gt;"",IFERROR(VLOOKUP(D4549,PROVEEDORES!$A:$B,2,0),"!COD NO ENCONTRADO"),"")</f>
        <v/>
      </c>
      <c r="F4549" s="88" t="str">
        <f aca="false">IF(D4549&lt;&gt;"",IFERROR(VLOOKUP(D4549,PROVEEDORES!$A:$C,3,0),""),"")</f>
        <v/>
      </c>
      <c r="G4549" s="87"/>
      <c r="H4549" s="46" t="str">
        <f aca="false">IF(G4549&lt;&gt;"",IFERROR(VLOOKUP(G4549,PRODUCTOS!$A:$B,2,0),"!COD NO ENCONTRADO"),"")</f>
        <v/>
      </c>
      <c r="I4549" s="89"/>
      <c r="J4549" s="90"/>
      <c r="K4549" s="91"/>
      <c r="L4549" s="80" t="str">
        <f aca="false">IF(AND(J4549&lt;&gt;"",K4549&lt;&gt;""),J4549*K4549,"")</f>
        <v/>
      </c>
      <c r="M4549" s="81" t="str">
        <f aca="false">IF(L4549&lt;&gt;"",L4549*1.1,"")</f>
        <v/>
      </c>
      <c r="N4549" s="47" t="n">
        <f aca="false">IF(F4549="S",L4549*0.02,0)</f>
        <v>0</v>
      </c>
      <c r="O4549" s="82" t="str">
        <f aca="false">IF(L4549&lt;&gt;"",L4549+N4549,"")</f>
        <v/>
      </c>
      <c r="P4549" s="47" t="str">
        <f aca="false">IF(O4549&lt;&gt;"",O4549*0.1,"")</f>
        <v/>
      </c>
      <c r="Q4549" s="83" t="str">
        <f aca="false">IF(O4549&lt;&gt;"",O4549+P4549,"")</f>
        <v/>
      </c>
      <c r="R4549" s="84"/>
    </row>
    <row r="4550" customFormat="false" ht="15" hidden="false" customHeight="true" outlineLevel="0" collapsed="false">
      <c r="A4550" s="103"/>
      <c r="B4550" s="73"/>
      <c r="C4550" s="74"/>
      <c r="D4550" s="75"/>
      <c r="E4550" s="52" t="str">
        <f aca="false">IF(D4550&lt;&gt;"",IFERROR(VLOOKUP(D4550,PROVEEDORES!$A:$B,2,0),"!COD NO ENCONTRADO"),"")</f>
        <v/>
      </c>
      <c r="F4550" s="76" t="str">
        <f aca="false">IF(D4550&lt;&gt;"",IFERROR(VLOOKUP(D4550,PROVEEDORES!$A:$C,3,0),""),"")</f>
        <v/>
      </c>
      <c r="G4550" s="75"/>
      <c r="H4550" s="52" t="str">
        <f aca="false">IF(G4550&lt;&gt;"",IFERROR(VLOOKUP(G4550,PRODUCTOS!$A:$B,2,0),"!COD NO ENCONTRADO"),"")</f>
        <v/>
      </c>
      <c r="I4550" s="77"/>
      <c r="J4550" s="78"/>
      <c r="K4550" s="79"/>
      <c r="L4550" s="80" t="str">
        <f aca="false">IF(AND(J4550&lt;&gt;"",K4550&lt;&gt;""),J4550*K4550,"")</f>
        <v/>
      </c>
      <c r="M4550" s="81" t="str">
        <f aca="false">IF(L4550&lt;&gt;"",L4550*1.1,"")</f>
        <v/>
      </c>
      <c r="N4550" s="53" t="n">
        <f aca="false">IF(F4550="S",L4550*0.02,0)</f>
        <v>0</v>
      </c>
      <c r="O4550" s="82" t="str">
        <f aca="false">IF(L4550&lt;&gt;"",L4550+N4550,"")</f>
        <v/>
      </c>
      <c r="P4550" s="53" t="str">
        <f aca="false">IF(O4550&lt;&gt;"",O4550*0.1,"")</f>
        <v/>
      </c>
      <c r="Q4550" s="83" t="str">
        <f aca="false">IF(O4550&lt;&gt;"",O4550+P4550,"")</f>
        <v/>
      </c>
      <c r="R4550" s="84"/>
    </row>
    <row r="4551" customFormat="false" ht="15" hidden="false" customHeight="true" outlineLevel="0" collapsed="false">
      <c r="A4551" s="103"/>
      <c r="B4551" s="85"/>
      <c r="C4551" s="86"/>
      <c r="D4551" s="87"/>
      <c r="E4551" s="46" t="str">
        <f aca="false">IF(D4551&lt;&gt;"",IFERROR(VLOOKUP(D4551,PROVEEDORES!$A:$B,2,0),"!COD NO ENCONTRADO"),"")</f>
        <v/>
      </c>
      <c r="F4551" s="88" t="str">
        <f aca="false">IF(D4551&lt;&gt;"",IFERROR(VLOOKUP(D4551,PROVEEDORES!$A:$C,3,0),""),"")</f>
        <v/>
      </c>
      <c r="G4551" s="87"/>
      <c r="H4551" s="46" t="str">
        <f aca="false">IF(G4551&lt;&gt;"",IFERROR(VLOOKUP(G4551,PRODUCTOS!$A:$B,2,0),"!COD NO ENCONTRADO"),"")</f>
        <v/>
      </c>
      <c r="I4551" s="89"/>
      <c r="J4551" s="90"/>
      <c r="K4551" s="91"/>
      <c r="L4551" s="80" t="str">
        <f aca="false">IF(AND(J4551&lt;&gt;"",K4551&lt;&gt;""),J4551*K4551,"")</f>
        <v/>
      </c>
      <c r="M4551" s="81" t="str">
        <f aca="false">IF(L4551&lt;&gt;"",L4551*1.1,"")</f>
        <v/>
      </c>
      <c r="N4551" s="47" t="n">
        <f aca="false">IF(F4551="S",L4551*0.02,0)</f>
        <v>0</v>
      </c>
      <c r="O4551" s="82" t="str">
        <f aca="false">IF(L4551&lt;&gt;"",L4551+N4551,"")</f>
        <v/>
      </c>
      <c r="P4551" s="47" t="str">
        <f aca="false">IF(O4551&lt;&gt;"",O4551*0.1,"")</f>
        <v/>
      </c>
      <c r="Q4551" s="83" t="str">
        <f aca="false">IF(O4551&lt;&gt;"",O4551+P4551,"")</f>
        <v/>
      </c>
      <c r="R4551" s="84"/>
    </row>
    <row r="4552" customFormat="false" ht="15" hidden="false" customHeight="true" outlineLevel="0" collapsed="false">
      <c r="A4552" s="103"/>
      <c r="B4552" s="73"/>
      <c r="C4552" s="74"/>
      <c r="D4552" s="75"/>
      <c r="E4552" s="52" t="str">
        <f aca="false">IF(D4552&lt;&gt;"",IFERROR(VLOOKUP(D4552,PROVEEDORES!$A:$B,2,0),"!COD NO ENCONTRADO"),"")</f>
        <v/>
      </c>
      <c r="F4552" s="76" t="str">
        <f aca="false">IF(D4552&lt;&gt;"",IFERROR(VLOOKUP(D4552,PROVEEDORES!$A:$C,3,0),""),"")</f>
        <v/>
      </c>
      <c r="G4552" s="75"/>
      <c r="H4552" s="52" t="str">
        <f aca="false">IF(G4552&lt;&gt;"",IFERROR(VLOOKUP(G4552,PRODUCTOS!$A:$B,2,0),"!COD NO ENCONTRADO"),"")</f>
        <v/>
      </c>
      <c r="I4552" s="77"/>
      <c r="J4552" s="78"/>
      <c r="K4552" s="79"/>
      <c r="L4552" s="80" t="str">
        <f aca="false">IF(AND(J4552&lt;&gt;"",K4552&lt;&gt;""),J4552*K4552,"")</f>
        <v/>
      </c>
      <c r="M4552" s="81" t="str">
        <f aca="false">IF(L4552&lt;&gt;"",L4552*1.1,"")</f>
        <v/>
      </c>
      <c r="N4552" s="53" t="n">
        <f aca="false">IF(F4552="S",L4552*0.02,0)</f>
        <v>0</v>
      </c>
      <c r="O4552" s="82" t="str">
        <f aca="false">IF(L4552&lt;&gt;"",L4552+N4552,"")</f>
        <v/>
      </c>
      <c r="P4552" s="53" t="str">
        <f aca="false">IF(O4552&lt;&gt;"",O4552*0.1,"")</f>
        <v/>
      </c>
      <c r="Q4552" s="83" t="str">
        <f aca="false">IF(O4552&lt;&gt;"",O4552+P4552,"")</f>
        <v/>
      </c>
      <c r="R4552" s="84"/>
    </row>
    <row r="4553" customFormat="false" ht="15" hidden="false" customHeight="true" outlineLevel="0" collapsed="false">
      <c r="A4553" s="103"/>
      <c r="B4553" s="85"/>
      <c r="C4553" s="86"/>
      <c r="D4553" s="87"/>
      <c r="E4553" s="46" t="str">
        <f aca="false">IF(D4553&lt;&gt;"",IFERROR(VLOOKUP(D4553,PROVEEDORES!$A:$B,2,0),"!COD NO ENCONTRADO"),"")</f>
        <v/>
      </c>
      <c r="F4553" s="88" t="str">
        <f aca="false">IF(D4553&lt;&gt;"",IFERROR(VLOOKUP(D4553,PROVEEDORES!$A:$C,3,0),""),"")</f>
        <v/>
      </c>
      <c r="G4553" s="87"/>
      <c r="H4553" s="46" t="str">
        <f aca="false">IF(G4553&lt;&gt;"",IFERROR(VLOOKUP(G4553,PRODUCTOS!$A:$B,2,0),"!COD NO ENCONTRADO"),"")</f>
        <v/>
      </c>
      <c r="I4553" s="89"/>
      <c r="J4553" s="90"/>
      <c r="K4553" s="91"/>
      <c r="L4553" s="80" t="str">
        <f aca="false">IF(AND(J4553&lt;&gt;"",K4553&lt;&gt;""),J4553*K4553,"")</f>
        <v/>
      </c>
      <c r="M4553" s="81" t="str">
        <f aca="false">IF(L4553&lt;&gt;"",L4553*1.1,"")</f>
        <v/>
      </c>
      <c r="N4553" s="47" t="n">
        <f aca="false">IF(F4553="S",L4553*0.02,0)</f>
        <v>0</v>
      </c>
      <c r="O4553" s="82" t="str">
        <f aca="false">IF(L4553&lt;&gt;"",L4553+N4553,"")</f>
        <v/>
      </c>
      <c r="P4553" s="47" t="str">
        <f aca="false">IF(O4553&lt;&gt;"",O4553*0.1,"")</f>
        <v/>
      </c>
      <c r="Q4553" s="83" t="str">
        <f aca="false">IF(O4553&lt;&gt;"",O4553+P4553,"")</f>
        <v/>
      </c>
      <c r="R4553" s="84"/>
    </row>
    <row r="4554" customFormat="false" ht="15" hidden="false" customHeight="true" outlineLevel="0" collapsed="false">
      <c r="A4554" s="103"/>
      <c r="B4554" s="73"/>
      <c r="C4554" s="74"/>
      <c r="D4554" s="75"/>
      <c r="E4554" s="52" t="str">
        <f aca="false">IF(D4554&lt;&gt;"",IFERROR(VLOOKUP(D4554,PROVEEDORES!$A:$B,2,0),"!COD NO ENCONTRADO"),"")</f>
        <v/>
      </c>
      <c r="F4554" s="76" t="str">
        <f aca="false">IF(D4554&lt;&gt;"",IFERROR(VLOOKUP(D4554,PROVEEDORES!$A:$C,3,0),""),"")</f>
        <v/>
      </c>
      <c r="G4554" s="75"/>
      <c r="H4554" s="52" t="str">
        <f aca="false">IF(G4554&lt;&gt;"",IFERROR(VLOOKUP(G4554,PRODUCTOS!$A:$B,2,0),"!COD NO ENCONTRADO"),"")</f>
        <v/>
      </c>
      <c r="I4554" s="77"/>
      <c r="J4554" s="78"/>
      <c r="K4554" s="79"/>
      <c r="L4554" s="80" t="str">
        <f aca="false">IF(AND(J4554&lt;&gt;"",K4554&lt;&gt;""),J4554*K4554,"")</f>
        <v/>
      </c>
      <c r="M4554" s="81" t="str">
        <f aca="false">IF(L4554&lt;&gt;"",L4554*1.1,"")</f>
        <v/>
      </c>
      <c r="N4554" s="53" t="n">
        <f aca="false">IF(F4554="S",L4554*0.02,0)</f>
        <v>0</v>
      </c>
      <c r="O4554" s="82" t="str">
        <f aca="false">IF(L4554&lt;&gt;"",L4554+N4554,"")</f>
        <v/>
      </c>
      <c r="P4554" s="53" t="str">
        <f aca="false">IF(O4554&lt;&gt;"",O4554*0.1,"")</f>
        <v/>
      </c>
      <c r="Q4554" s="83" t="str">
        <f aca="false">IF(O4554&lt;&gt;"",O4554+P4554,"")</f>
        <v/>
      </c>
      <c r="R4554" s="84"/>
    </row>
    <row r="4555" customFormat="false" ht="15" hidden="false" customHeight="true" outlineLevel="0" collapsed="false">
      <c r="A4555" s="103"/>
      <c r="B4555" s="85"/>
      <c r="C4555" s="86"/>
      <c r="D4555" s="87"/>
      <c r="E4555" s="46" t="str">
        <f aca="false">IF(D4555&lt;&gt;"",IFERROR(VLOOKUP(D4555,PROVEEDORES!$A:$B,2,0),"!COD NO ENCONTRADO"),"")</f>
        <v/>
      </c>
      <c r="F4555" s="88" t="str">
        <f aca="false">IF(D4555&lt;&gt;"",IFERROR(VLOOKUP(D4555,PROVEEDORES!$A:$C,3,0),""),"")</f>
        <v/>
      </c>
      <c r="G4555" s="87"/>
      <c r="H4555" s="46" t="str">
        <f aca="false">IF(G4555&lt;&gt;"",IFERROR(VLOOKUP(G4555,PRODUCTOS!$A:$B,2,0),"!COD NO ENCONTRADO"),"")</f>
        <v/>
      </c>
      <c r="I4555" s="89"/>
      <c r="J4555" s="90"/>
      <c r="K4555" s="91"/>
      <c r="L4555" s="80" t="str">
        <f aca="false">IF(AND(J4555&lt;&gt;"",K4555&lt;&gt;""),J4555*K4555,"")</f>
        <v/>
      </c>
      <c r="M4555" s="81" t="str">
        <f aca="false">IF(L4555&lt;&gt;"",L4555*1.1,"")</f>
        <v/>
      </c>
      <c r="N4555" s="47" t="n">
        <f aca="false">IF(F4555="S",L4555*0.02,0)</f>
        <v>0</v>
      </c>
      <c r="O4555" s="82" t="str">
        <f aca="false">IF(L4555&lt;&gt;"",L4555+N4555,"")</f>
        <v/>
      </c>
      <c r="P4555" s="47" t="str">
        <f aca="false">IF(O4555&lt;&gt;"",O4555*0.1,"")</f>
        <v/>
      </c>
      <c r="Q4555" s="83" t="str">
        <f aca="false">IF(O4555&lt;&gt;"",O4555+P4555,"")</f>
        <v/>
      </c>
      <c r="R4555" s="84"/>
    </row>
    <row r="4556" customFormat="false" ht="15" hidden="false" customHeight="true" outlineLevel="0" collapsed="false">
      <c r="A4556" s="103"/>
      <c r="B4556" s="73"/>
      <c r="C4556" s="74"/>
      <c r="D4556" s="75"/>
      <c r="E4556" s="52" t="str">
        <f aca="false">IF(D4556&lt;&gt;"",IFERROR(VLOOKUP(D4556,PROVEEDORES!$A:$B,2,0),"!COD NO ENCONTRADO"),"")</f>
        <v/>
      </c>
      <c r="F4556" s="76" t="str">
        <f aca="false">IF(D4556&lt;&gt;"",IFERROR(VLOOKUP(D4556,PROVEEDORES!$A:$C,3,0),""),"")</f>
        <v/>
      </c>
      <c r="G4556" s="75"/>
      <c r="H4556" s="52" t="str">
        <f aca="false">IF(G4556&lt;&gt;"",IFERROR(VLOOKUP(G4556,PRODUCTOS!$A:$B,2,0),"!COD NO ENCONTRADO"),"")</f>
        <v/>
      </c>
      <c r="I4556" s="77"/>
      <c r="J4556" s="78"/>
      <c r="K4556" s="79"/>
      <c r="L4556" s="80" t="str">
        <f aca="false">IF(AND(J4556&lt;&gt;"",K4556&lt;&gt;""),J4556*K4556,"")</f>
        <v/>
      </c>
      <c r="M4556" s="81" t="str">
        <f aca="false">IF(L4556&lt;&gt;"",L4556*1.1,"")</f>
        <v/>
      </c>
      <c r="N4556" s="53" t="n">
        <f aca="false">IF(F4556="S",L4556*0.02,0)</f>
        <v>0</v>
      </c>
      <c r="O4556" s="82" t="str">
        <f aca="false">IF(L4556&lt;&gt;"",L4556+N4556,"")</f>
        <v/>
      </c>
      <c r="P4556" s="53" t="str">
        <f aca="false">IF(O4556&lt;&gt;"",O4556*0.1,"")</f>
        <v/>
      </c>
      <c r="Q4556" s="83" t="str">
        <f aca="false">IF(O4556&lt;&gt;"",O4556+P4556,"")</f>
        <v/>
      </c>
      <c r="R4556" s="84"/>
    </row>
    <row r="4557" customFormat="false" ht="15" hidden="false" customHeight="true" outlineLevel="0" collapsed="false">
      <c r="A4557" s="103"/>
      <c r="B4557" s="85"/>
      <c r="C4557" s="86"/>
      <c r="D4557" s="87"/>
      <c r="E4557" s="46" t="str">
        <f aca="false">IF(D4557&lt;&gt;"",IFERROR(VLOOKUP(D4557,PROVEEDORES!$A:$B,2,0),"!COD NO ENCONTRADO"),"")</f>
        <v/>
      </c>
      <c r="F4557" s="88" t="str">
        <f aca="false">IF(D4557&lt;&gt;"",IFERROR(VLOOKUP(D4557,PROVEEDORES!$A:$C,3,0),""),"")</f>
        <v/>
      </c>
      <c r="G4557" s="87"/>
      <c r="H4557" s="46" t="str">
        <f aca="false">IF(G4557&lt;&gt;"",IFERROR(VLOOKUP(G4557,PRODUCTOS!$A:$B,2,0),"!COD NO ENCONTRADO"),"")</f>
        <v/>
      </c>
      <c r="I4557" s="89"/>
      <c r="J4557" s="90"/>
      <c r="K4557" s="91"/>
      <c r="L4557" s="80" t="str">
        <f aca="false">IF(AND(J4557&lt;&gt;"",K4557&lt;&gt;""),J4557*K4557,"")</f>
        <v/>
      </c>
      <c r="M4557" s="81" t="str">
        <f aca="false">IF(L4557&lt;&gt;"",L4557*1.1,"")</f>
        <v/>
      </c>
      <c r="N4557" s="47" t="n">
        <f aca="false">IF(F4557="S",L4557*0.02,0)</f>
        <v>0</v>
      </c>
      <c r="O4557" s="82" t="str">
        <f aca="false">IF(L4557&lt;&gt;"",L4557+N4557,"")</f>
        <v/>
      </c>
      <c r="P4557" s="47" t="str">
        <f aca="false">IF(O4557&lt;&gt;"",O4557*0.1,"")</f>
        <v/>
      </c>
      <c r="Q4557" s="83" t="str">
        <f aca="false">IF(O4557&lt;&gt;"",O4557+P4557,"")</f>
        <v/>
      </c>
      <c r="R4557" s="84"/>
    </row>
    <row r="4558" customFormat="false" ht="15" hidden="false" customHeight="true" outlineLevel="0" collapsed="false">
      <c r="A4558" s="103"/>
      <c r="B4558" s="73"/>
      <c r="C4558" s="74"/>
      <c r="D4558" s="75"/>
      <c r="E4558" s="52" t="str">
        <f aca="false">IF(D4558&lt;&gt;"",IFERROR(VLOOKUP(D4558,PROVEEDORES!$A:$B,2,0),"!COD NO ENCONTRADO"),"")</f>
        <v/>
      </c>
      <c r="F4558" s="76" t="str">
        <f aca="false">IF(D4558&lt;&gt;"",IFERROR(VLOOKUP(D4558,PROVEEDORES!$A:$C,3,0),""),"")</f>
        <v/>
      </c>
      <c r="G4558" s="75"/>
      <c r="H4558" s="52" t="str">
        <f aca="false">IF(G4558&lt;&gt;"",IFERROR(VLOOKUP(G4558,PRODUCTOS!$A:$B,2,0),"!COD NO ENCONTRADO"),"")</f>
        <v/>
      </c>
      <c r="I4558" s="77"/>
      <c r="J4558" s="78"/>
      <c r="K4558" s="79"/>
      <c r="L4558" s="80" t="str">
        <f aca="false">IF(AND(J4558&lt;&gt;"",K4558&lt;&gt;""),J4558*K4558,"")</f>
        <v/>
      </c>
      <c r="M4558" s="81" t="str">
        <f aca="false">IF(L4558&lt;&gt;"",L4558*1.1,"")</f>
        <v/>
      </c>
      <c r="N4558" s="53" t="n">
        <f aca="false">IF(F4558="S",L4558*0.02,0)</f>
        <v>0</v>
      </c>
      <c r="O4558" s="82" t="str">
        <f aca="false">IF(L4558&lt;&gt;"",L4558+N4558,"")</f>
        <v/>
      </c>
      <c r="P4558" s="53" t="str">
        <f aca="false">IF(O4558&lt;&gt;"",O4558*0.1,"")</f>
        <v/>
      </c>
      <c r="Q4558" s="83" t="str">
        <f aca="false">IF(O4558&lt;&gt;"",O4558+P4558,"")</f>
        <v/>
      </c>
      <c r="R4558" s="84"/>
    </row>
    <row r="4559" customFormat="false" ht="15" hidden="false" customHeight="true" outlineLevel="0" collapsed="false">
      <c r="A4559" s="103"/>
      <c r="B4559" s="85"/>
      <c r="C4559" s="86"/>
      <c r="D4559" s="87"/>
      <c r="E4559" s="46" t="str">
        <f aca="false">IF(D4559&lt;&gt;"",IFERROR(VLOOKUP(D4559,PROVEEDORES!$A:$B,2,0),"!COD NO ENCONTRADO"),"")</f>
        <v/>
      </c>
      <c r="F4559" s="88" t="str">
        <f aca="false">IF(D4559&lt;&gt;"",IFERROR(VLOOKUP(D4559,PROVEEDORES!$A:$C,3,0),""),"")</f>
        <v/>
      </c>
      <c r="G4559" s="87"/>
      <c r="H4559" s="46" t="str">
        <f aca="false">IF(G4559&lt;&gt;"",IFERROR(VLOOKUP(G4559,PRODUCTOS!$A:$B,2,0),"!COD NO ENCONTRADO"),"")</f>
        <v/>
      </c>
      <c r="I4559" s="89"/>
      <c r="J4559" s="90"/>
      <c r="K4559" s="91"/>
      <c r="L4559" s="80" t="str">
        <f aca="false">IF(AND(J4559&lt;&gt;"",K4559&lt;&gt;""),J4559*K4559,"")</f>
        <v/>
      </c>
      <c r="M4559" s="81" t="str">
        <f aca="false">IF(L4559&lt;&gt;"",L4559*1.1,"")</f>
        <v/>
      </c>
      <c r="N4559" s="47" t="n">
        <f aca="false">IF(F4559="S",L4559*0.02,0)</f>
        <v>0</v>
      </c>
      <c r="O4559" s="82" t="str">
        <f aca="false">IF(L4559&lt;&gt;"",L4559+N4559,"")</f>
        <v/>
      </c>
      <c r="P4559" s="47" t="str">
        <f aca="false">IF(O4559&lt;&gt;"",O4559*0.1,"")</f>
        <v/>
      </c>
      <c r="Q4559" s="83" t="str">
        <f aca="false">IF(O4559&lt;&gt;"",O4559+P4559,"")</f>
        <v/>
      </c>
      <c r="R4559" s="84"/>
    </row>
    <row r="4560" customFormat="false" ht="15" hidden="false" customHeight="true" outlineLevel="0" collapsed="false">
      <c r="A4560" s="103"/>
      <c r="B4560" s="73"/>
      <c r="C4560" s="74"/>
      <c r="D4560" s="75"/>
      <c r="E4560" s="52" t="str">
        <f aca="false">IF(D4560&lt;&gt;"",IFERROR(VLOOKUP(D4560,PROVEEDORES!$A:$B,2,0),"!COD NO ENCONTRADO"),"")</f>
        <v/>
      </c>
      <c r="F4560" s="76" t="str">
        <f aca="false">IF(D4560&lt;&gt;"",IFERROR(VLOOKUP(D4560,PROVEEDORES!$A:$C,3,0),""),"")</f>
        <v/>
      </c>
      <c r="G4560" s="75"/>
      <c r="H4560" s="52" t="str">
        <f aca="false">IF(G4560&lt;&gt;"",IFERROR(VLOOKUP(G4560,PRODUCTOS!$A:$B,2,0),"!COD NO ENCONTRADO"),"")</f>
        <v/>
      </c>
      <c r="I4560" s="77"/>
      <c r="J4560" s="78"/>
      <c r="K4560" s="79"/>
      <c r="L4560" s="80" t="str">
        <f aca="false">IF(AND(J4560&lt;&gt;"",K4560&lt;&gt;""),J4560*K4560,"")</f>
        <v/>
      </c>
      <c r="M4560" s="81" t="str">
        <f aca="false">IF(L4560&lt;&gt;"",L4560*1.1,"")</f>
        <v/>
      </c>
      <c r="N4560" s="53" t="n">
        <f aca="false">IF(F4560="S",L4560*0.02,0)</f>
        <v>0</v>
      </c>
      <c r="O4560" s="82" t="str">
        <f aca="false">IF(L4560&lt;&gt;"",L4560+N4560,"")</f>
        <v/>
      </c>
      <c r="P4560" s="53" t="str">
        <f aca="false">IF(O4560&lt;&gt;"",O4560*0.1,"")</f>
        <v/>
      </c>
      <c r="Q4560" s="83" t="str">
        <f aca="false">IF(O4560&lt;&gt;"",O4560+P4560,"")</f>
        <v/>
      </c>
      <c r="R4560" s="84"/>
    </row>
    <row r="4561" customFormat="false" ht="15" hidden="false" customHeight="true" outlineLevel="0" collapsed="false">
      <c r="A4561" s="103"/>
      <c r="B4561" s="85"/>
      <c r="C4561" s="86"/>
      <c r="D4561" s="87"/>
      <c r="E4561" s="46" t="str">
        <f aca="false">IF(D4561&lt;&gt;"",IFERROR(VLOOKUP(D4561,PROVEEDORES!$A:$B,2,0),"!COD NO ENCONTRADO"),"")</f>
        <v/>
      </c>
      <c r="F4561" s="88" t="str">
        <f aca="false">IF(D4561&lt;&gt;"",IFERROR(VLOOKUP(D4561,PROVEEDORES!$A:$C,3,0),""),"")</f>
        <v/>
      </c>
      <c r="G4561" s="87"/>
      <c r="H4561" s="46" t="str">
        <f aca="false">IF(G4561&lt;&gt;"",IFERROR(VLOOKUP(G4561,PRODUCTOS!$A:$B,2,0),"!COD NO ENCONTRADO"),"")</f>
        <v/>
      </c>
      <c r="I4561" s="89"/>
      <c r="J4561" s="90"/>
      <c r="K4561" s="91"/>
      <c r="L4561" s="80" t="str">
        <f aca="false">IF(AND(J4561&lt;&gt;"",K4561&lt;&gt;""),J4561*K4561,"")</f>
        <v/>
      </c>
      <c r="M4561" s="81" t="str">
        <f aca="false">IF(L4561&lt;&gt;"",L4561*1.1,"")</f>
        <v/>
      </c>
      <c r="N4561" s="47" t="n">
        <f aca="false">IF(F4561="S",L4561*0.02,0)</f>
        <v>0</v>
      </c>
      <c r="O4561" s="82" t="str">
        <f aca="false">IF(L4561&lt;&gt;"",L4561+N4561,"")</f>
        <v/>
      </c>
      <c r="P4561" s="47" t="str">
        <f aca="false">IF(O4561&lt;&gt;"",O4561*0.1,"")</f>
        <v/>
      </c>
      <c r="Q4561" s="83" t="str">
        <f aca="false">IF(O4561&lt;&gt;"",O4561+P4561,"")</f>
        <v/>
      </c>
      <c r="R4561" s="84"/>
    </row>
    <row r="4562" customFormat="false" ht="15" hidden="false" customHeight="true" outlineLevel="0" collapsed="false">
      <c r="A4562" s="103"/>
      <c r="B4562" s="73"/>
      <c r="C4562" s="74"/>
      <c r="D4562" s="75"/>
      <c r="E4562" s="52" t="str">
        <f aca="false">IF(D4562&lt;&gt;"",IFERROR(VLOOKUP(D4562,PROVEEDORES!$A:$B,2,0),"!COD NO ENCONTRADO"),"")</f>
        <v/>
      </c>
      <c r="F4562" s="76" t="str">
        <f aca="false">IF(D4562&lt;&gt;"",IFERROR(VLOOKUP(D4562,PROVEEDORES!$A:$C,3,0),""),"")</f>
        <v/>
      </c>
      <c r="G4562" s="75"/>
      <c r="H4562" s="52" t="str">
        <f aca="false">IF(G4562&lt;&gt;"",IFERROR(VLOOKUP(G4562,PRODUCTOS!$A:$B,2,0),"!COD NO ENCONTRADO"),"")</f>
        <v/>
      </c>
      <c r="I4562" s="77"/>
      <c r="J4562" s="78"/>
      <c r="K4562" s="79"/>
      <c r="L4562" s="80" t="str">
        <f aca="false">IF(AND(J4562&lt;&gt;"",K4562&lt;&gt;""),J4562*K4562,"")</f>
        <v/>
      </c>
      <c r="M4562" s="81" t="str">
        <f aca="false">IF(L4562&lt;&gt;"",L4562*1.1,"")</f>
        <v/>
      </c>
      <c r="N4562" s="53" t="n">
        <f aca="false">IF(F4562="S",L4562*0.02,0)</f>
        <v>0</v>
      </c>
      <c r="O4562" s="82" t="str">
        <f aca="false">IF(L4562&lt;&gt;"",L4562+N4562,"")</f>
        <v/>
      </c>
      <c r="P4562" s="53" t="str">
        <f aca="false">IF(O4562&lt;&gt;"",O4562*0.1,"")</f>
        <v/>
      </c>
      <c r="Q4562" s="83" t="str">
        <f aca="false">IF(O4562&lt;&gt;"",O4562+P4562,"")</f>
        <v/>
      </c>
      <c r="R4562" s="84"/>
    </row>
    <row r="4563" customFormat="false" ht="15" hidden="false" customHeight="true" outlineLevel="0" collapsed="false">
      <c r="A4563" s="103"/>
      <c r="B4563" s="85"/>
      <c r="C4563" s="86"/>
      <c r="D4563" s="87"/>
      <c r="E4563" s="46" t="str">
        <f aca="false">IF(D4563&lt;&gt;"",IFERROR(VLOOKUP(D4563,PROVEEDORES!$A:$B,2,0),"!COD NO ENCONTRADO"),"")</f>
        <v/>
      </c>
      <c r="F4563" s="88" t="str">
        <f aca="false">IF(D4563&lt;&gt;"",IFERROR(VLOOKUP(D4563,PROVEEDORES!$A:$C,3,0),""),"")</f>
        <v/>
      </c>
      <c r="G4563" s="87"/>
      <c r="H4563" s="46" t="str">
        <f aca="false">IF(G4563&lt;&gt;"",IFERROR(VLOOKUP(G4563,PRODUCTOS!$A:$B,2,0),"!COD NO ENCONTRADO"),"")</f>
        <v/>
      </c>
      <c r="I4563" s="89"/>
      <c r="J4563" s="90"/>
      <c r="K4563" s="91"/>
      <c r="L4563" s="80" t="str">
        <f aca="false">IF(AND(J4563&lt;&gt;"",K4563&lt;&gt;""),J4563*K4563,"")</f>
        <v/>
      </c>
      <c r="M4563" s="81" t="str">
        <f aca="false">IF(L4563&lt;&gt;"",L4563*1.1,"")</f>
        <v/>
      </c>
      <c r="N4563" s="47" t="n">
        <f aca="false">IF(F4563="S",L4563*0.02,0)</f>
        <v>0</v>
      </c>
      <c r="O4563" s="82" t="str">
        <f aca="false">IF(L4563&lt;&gt;"",L4563+N4563,"")</f>
        <v/>
      </c>
      <c r="P4563" s="47" t="str">
        <f aca="false">IF(O4563&lt;&gt;"",O4563*0.1,"")</f>
        <v/>
      </c>
      <c r="Q4563" s="83" t="str">
        <f aca="false">IF(O4563&lt;&gt;"",O4563+P4563,"")</f>
        <v/>
      </c>
      <c r="R4563" s="84"/>
    </row>
    <row r="4564" customFormat="false" ht="15" hidden="false" customHeight="true" outlineLevel="0" collapsed="false">
      <c r="A4564" s="103"/>
      <c r="B4564" s="73"/>
      <c r="C4564" s="74"/>
      <c r="D4564" s="75"/>
      <c r="E4564" s="52" t="str">
        <f aca="false">IF(D4564&lt;&gt;"",IFERROR(VLOOKUP(D4564,PROVEEDORES!$A:$B,2,0),"!COD NO ENCONTRADO"),"")</f>
        <v/>
      </c>
      <c r="F4564" s="76" t="str">
        <f aca="false">IF(D4564&lt;&gt;"",IFERROR(VLOOKUP(D4564,PROVEEDORES!$A:$C,3,0),""),"")</f>
        <v/>
      </c>
      <c r="G4564" s="75"/>
      <c r="H4564" s="52" t="str">
        <f aca="false">IF(G4564&lt;&gt;"",IFERROR(VLOOKUP(G4564,PRODUCTOS!$A:$B,2,0),"!COD NO ENCONTRADO"),"")</f>
        <v/>
      </c>
      <c r="I4564" s="77"/>
      <c r="J4564" s="78"/>
      <c r="K4564" s="79"/>
      <c r="L4564" s="80" t="str">
        <f aca="false">IF(AND(J4564&lt;&gt;"",K4564&lt;&gt;""),J4564*K4564,"")</f>
        <v/>
      </c>
      <c r="M4564" s="81" t="str">
        <f aca="false">IF(L4564&lt;&gt;"",L4564*1.1,"")</f>
        <v/>
      </c>
      <c r="N4564" s="53" t="n">
        <f aca="false">IF(F4564="S",L4564*0.02,0)</f>
        <v>0</v>
      </c>
      <c r="O4564" s="82" t="str">
        <f aca="false">IF(L4564&lt;&gt;"",L4564+N4564,"")</f>
        <v/>
      </c>
      <c r="P4564" s="53" t="str">
        <f aca="false">IF(O4564&lt;&gt;"",O4564*0.1,"")</f>
        <v/>
      </c>
      <c r="Q4564" s="83" t="str">
        <f aca="false">IF(O4564&lt;&gt;"",O4564+P4564,"")</f>
        <v/>
      </c>
      <c r="R4564" s="84"/>
    </row>
    <row r="4565" customFormat="false" ht="15" hidden="false" customHeight="true" outlineLevel="0" collapsed="false">
      <c r="A4565" s="103"/>
      <c r="B4565" s="85"/>
      <c r="C4565" s="86"/>
      <c r="D4565" s="87"/>
      <c r="E4565" s="46" t="str">
        <f aca="false">IF(D4565&lt;&gt;"",IFERROR(VLOOKUP(D4565,PROVEEDORES!$A:$B,2,0),"!COD NO ENCONTRADO"),"")</f>
        <v/>
      </c>
      <c r="F4565" s="88" t="str">
        <f aca="false">IF(D4565&lt;&gt;"",IFERROR(VLOOKUP(D4565,PROVEEDORES!$A:$C,3,0),""),"")</f>
        <v/>
      </c>
      <c r="G4565" s="87"/>
      <c r="H4565" s="46" t="str">
        <f aca="false">IF(G4565&lt;&gt;"",IFERROR(VLOOKUP(G4565,PRODUCTOS!$A:$B,2,0),"!COD NO ENCONTRADO"),"")</f>
        <v/>
      </c>
      <c r="I4565" s="89"/>
      <c r="J4565" s="90"/>
      <c r="K4565" s="91"/>
      <c r="L4565" s="80" t="str">
        <f aca="false">IF(AND(J4565&lt;&gt;"",K4565&lt;&gt;""),J4565*K4565,"")</f>
        <v/>
      </c>
      <c r="M4565" s="81" t="str">
        <f aca="false">IF(L4565&lt;&gt;"",L4565*1.1,"")</f>
        <v/>
      </c>
      <c r="N4565" s="47" t="n">
        <f aca="false">IF(F4565="S",L4565*0.02,0)</f>
        <v>0</v>
      </c>
      <c r="O4565" s="82" t="str">
        <f aca="false">IF(L4565&lt;&gt;"",L4565+N4565,"")</f>
        <v/>
      </c>
      <c r="P4565" s="47" t="str">
        <f aca="false">IF(O4565&lt;&gt;"",O4565*0.1,"")</f>
        <v/>
      </c>
      <c r="Q4565" s="83" t="str">
        <f aca="false">IF(O4565&lt;&gt;"",O4565+P4565,"")</f>
        <v/>
      </c>
      <c r="R4565" s="84"/>
    </row>
    <row r="4566" customFormat="false" ht="15" hidden="false" customHeight="true" outlineLevel="0" collapsed="false">
      <c r="A4566" s="103"/>
      <c r="B4566" s="73"/>
      <c r="C4566" s="74"/>
      <c r="D4566" s="75"/>
      <c r="E4566" s="52" t="str">
        <f aca="false">IF(D4566&lt;&gt;"",IFERROR(VLOOKUP(D4566,PROVEEDORES!$A:$B,2,0),"!COD NO ENCONTRADO"),"")</f>
        <v/>
      </c>
      <c r="F4566" s="76" t="str">
        <f aca="false">IF(D4566&lt;&gt;"",IFERROR(VLOOKUP(D4566,PROVEEDORES!$A:$C,3,0),""),"")</f>
        <v/>
      </c>
      <c r="G4566" s="75"/>
      <c r="H4566" s="52" t="str">
        <f aca="false">IF(G4566&lt;&gt;"",IFERROR(VLOOKUP(G4566,PRODUCTOS!$A:$B,2,0),"!COD NO ENCONTRADO"),"")</f>
        <v/>
      </c>
      <c r="I4566" s="77"/>
      <c r="J4566" s="78"/>
      <c r="K4566" s="79"/>
      <c r="L4566" s="80" t="str">
        <f aca="false">IF(AND(J4566&lt;&gt;"",K4566&lt;&gt;""),J4566*K4566,"")</f>
        <v/>
      </c>
      <c r="M4566" s="81" t="str">
        <f aca="false">IF(L4566&lt;&gt;"",L4566*1.1,"")</f>
        <v/>
      </c>
      <c r="N4566" s="53" t="n">
        <f aca="false">IF(F4566="S",L4566*0.02,0)</f>
        <v>0</v>
      </c>
      <c r="O4566" s="82" t="str">
        <f aca="false">IF(L4566&lt;&gt;"",L4566+N4566,"")</f>
        <v/>
      </c>
      <c r="P4566" s="53" t="str">
        <f aca="false">IF(O4566&lt;&gt;"",O4566*0.1,"")</f>
        <v/>
      </c>
      <c r="Q4566" s="83" t="str">
        <f aca="false">IF(O4566&lt;&gt;"",O4566+P4566,"")</f>
        <v/>
      </c>
      <c r="R4566" s="84"/>
    </row>
    <row r="4567" customFormat="false" ht="15" hidden="false" customHeight="true" outlineLevel="0" collapsed="false">
      <c r="A4567" s="103"/>
      <c r="B4567" s="85"/>
      <c r="C4567" s="86"/>
      <c r="D4567" s="87"/>
      <c r="E4567" s="46" t="str">
        <f aca="false">IF(D4567&lt;&gt;"",IFERROR(VLOOKUP(D4567,PROVEEDORES!$A:$B,2,0),"!COD NO ENCONTRADO"),"")</f>
        <v/>
      </c>
      <c r="F4567" s="88" t="str">
        <f aca="false">IF(D4567&lt;&gt;"",IFERROR(VLOOKUP(D4567,PROVEEDORES!$A:$C,3,0),""),"")</f>
        <v/>
      </c>
      <c r="G4567" s="87"/>
      <c r="H4567" s="46" t="str">
        <f aca="false">IF(G4567&lt;&gt;"",IFERROR(VLOOKUP(G4567,PRODUCTOS!$A:$B,2,0),"!COD NO ENCONTRADO"),"")</f>
        <v/>
      </c>
      <c r="I4567" s="89"/>
      <c r="J4567" s="90"/>
      <c r="K4567" s="91"/>
      <c r="L4567" s="80" t="str">
        <f aca="false">IF(AND(J4567&lt;&gt;"",K4567&lt;&gt;""),J4567*K4567,"")</f>
        <v/>
      </c>
      <c r="M4567" s="81" t="str">
        <f aca="false">IF(L4567&lt;&gt;"",L4567*1.1,"")</f>
        <v/>
      </c>
      <c r="N4567" s="47" t="n">
        <f aca="false">IF(F4567="S",L4567*0.02,0)</f>
        <v>0</v>
      </c>
      <c r="O4567" s="82" t="str">
        <f aca="false">IF(L4567&lt;&gt;"",L4567+N4567,"")</f>
        <v/>
      </c>
      <c r="P4567" s="47" t="str">
        <f aca="false">IF(O4567&lt;&gt;"",O4567*0.1,"")</f>
        <v/>
      </c>
      <c r="Q4567" s="83" t="str">
        <f aca="false">IF(O4567&lt;&gt;"",O4567+P4567,"")</f>
        <v/>
      </c>
      <c r="R4567" s="84"/>
    </row>
    <row r="4568" customFormat="false" ht="15" hidden="false" customHeight="true" outlineLevel="0" collapsed="false">
      <c r="A4568" s="103"/>
      <c r="B4568" s="73"/>
      <c r="C4568" s="74"/>
      <c r="D4568" s="75"/>
      <c r="E4568" s="52" t="str">
        <f aca="false">IF(D4568&lt;&gt;"",IFERROR(VLOOKUP(D4568,PROVEEDORES!$A:$B,2,0),"!COD NO ENCONTRADO"),"")</f>
        <v/>
      </c>
      <c r="F4568" s="76" t="str">
        <f aca="false">IF(D4568&lt;&gt;"",IFERROR(VLOOKUP(D4568,PROVEEDORES!$A:$C,3,0),""),"")</f>
        <v/>
      </c>
      <c r="G4568" s="75"/>
      <c r="H4568" s="52" t="str">
        <f aca="false">IF(G4568&lt;&gt;"",IFERROR(VLOOKUP(G4568,PRODUCTOS!$A:$B,2,0),"!COD NO ENCONTRADO"),"")</f>
        <v/>
      </c>
      <c r="I4568" s="77"/>
      <c r="J4568" s="78"/>
      <c r="K4568" s="79"/>
      <c r="L4568" s="80" t="str">
        <f aca="false">IF(AND(J4568&lt;&gt;"",K4568&lt;&gt;""),J4568*K4568,"")</f>
        <v/>
      </c>
      <c r="M4568" s="81" t="str">
        <f aca="false">IF(L4568&lt;&gt;"",L4568*1.1,"")</f>
        <v/>
      </c>
      <c r="N4568" s="53" t="n">
        <f aca="false">IF(F4568="S",L4568*0.02,0)</f>
        <v>0</v>
      </c>
      <c r="O4568" s="82" t="str">
        <f aca="false">IF(L4568&lt;&gt;"",L4568+N4568,"")</f>
        <v/>
      </c>
      <c r="P4568" s="53" t="str">
        <f aca="false">IF(O4568&lt;&gt;"",O4568*0.1,"")</f>
        <v/>
      </c>
      <c r="Q4568" s="83" t="str">
        <f aca="false">IF(O4568&lt;&gt;"",O4568+P4568,"")</f>
        <v/>
      </c>
      <c r="R4568" s="84"/>
    </row>
    <row r="4569" customFormat="false" ht="15" hidden="false" customHeight="true" outlineLevel="0" collapsed="false">
      <c r="A4569" s="103"/>
      <c r="B4569" s="85"/>
      <c r="C4569" s="86"/>
      <c r="D4569" s="87"/>
      <c r="E4569" s="46" t="str">
        <f aca="false">IF(D4569&lt;&gt;"",IFERROR(VLOOKUP(D4569,PROVEEDORES!$A:$B,2,0),"!COD NO ENCONTRADO"),"")</f>
        <v/>
      </c>
      <c r="F4569" s="88" t="str">
        <f aca="false">IF(D4569&lt;&gt;"",IFERROR(VLOOKUP(D4569,PROVEEDORES!$A:$C,3,0),""),"")</f>
        <v/>
      </c>
      <c r="G4569" s="87"/>
      <c r="H4569" s="46" t="str">
        <f aca="false">IF(G4569&lt;&gt;"",IFERROR(VLOOKUP(G4569,PRODUCTOS!$A:$B,2,0),"!COD NO ENCONTRADO"),"")</f>
        <v/>
      </c>
      <c r="I4569" s="89"/>
      <c r="J4569" s="90"/>
      <c r="K4569" s="91"/>
      <c r="L4569" s="80" t="str">
        <f aca="false">IF(AND(J4569&lt;&gt;"",K4569&lt;&gt;""),J4569*K4569,"")</f>
        <v/>
      </c>
      <c r="M4569" s="81" t="str">
        <f aca="false">IF(L4569&lt;&gt;"",L4569*1.1,"")</f>
        <v/>
      </c>
      <c r="N4569" s="47" t="n">
        <f aca="false">IF(F4569="S",L4569*0.02,0)</f>
        <v>0</v>
      </c>
      <c r="O4569" s="82" t="str">
        <f aca="false">IF(L4569&lt;&gt;"",L4569+N4569,"")</f>
        <v/>
      </c>
      <c r="P4569" s="47" t="str">
        <f aca="false">IF(O4569&lt;&gt;"",O4569*0.1,"")</f>
        <v/>
      </c>
      <c r="Q4569" s="83" t="str">
        <f aca="false">IF(O4569&lt;&gt;"",O4569+P4569,"")</f>
        <v/>
      </c>
      <c r="R4569" s="84"/>
    </row>
    <row r="4570" customFormat="false" ht="15" hidden="false" customHeight="true" outlineLevel="0" collapsed="false">
      <c r="A4570" s="103"/>
      <c r="B4570" s="73"/>
      <c r="C4570" s="74"/>
      <c r="D4570" s="75"/>
      <c r="E4570" s="52" t="str">
        <f aca="false">IF(D4570&lt;&gt;"",IFERROR(VLOOKUP(D4570,PROVEEDORES!$A:$B,2,0),"!COD NO ENCONTRADO"),"")</f>
        <v/>
      </c>
      <c r="F4570" s="76" t="str">
        <f aca="false">IF(D4570&lt;&gt;"",IFERROR(VLOOKUP(D4570,PROVEEDORES!$A:$C,3,0),""),"")</f>
        <v/>
      </c>
      <c r="G4570" s="75"/>
      <c r="H4570" s="52" t="str">
        <f aca="false">IF(G4570&lt;&gt;"",IFERROR(VLOOKUP(G4570,PRODUCTOS!$A:$B,2,0),"!COD NO ENCONTRADO"),"")</f>
        <v/>
      </c>
      <c r="I4570" s="77"/>
      <c r="J4570" s="78"/>
      <c r="K4570" s="79"/>
      <c r="L4570" s="80" t="str">
        <f aca="false">IF(AND(J4570&lt;&gt;"",K4570&lt;&gt;""),J4570*K4570,"")</f>
        <v/>
      </c>
      <c r="M4570" s="81" t="str">
        <f aca="false">IF(L4570&lt;&gt;"",L4570*1.1,"")</f>
        <v/>
      </c>
      <c r="N4570" s="53" t="n">
        <f aca="false">IF(F4570="S",L4570*0.02,0)</f>
        <v>0</v>
      </c>
      <c r="O4570" s="82" t="str">
        <f aca="false">IF(L4570&lt;&gt;"",L4570+N4570,"")</f>
        <v/>
      </c>
      <c r="P4570" s="53" t="str">
        <f aca="false">IF(O4570&lt;&gt;"",O4570*0.1,"")</f>
        <v/>
      </c>
      <c r="Q4570" s="83" t="str">
        <f aca="false">IF(O4570&lt;&gt;"",O4570+P4570,"")</f>
        <v/>
      </c>
      <c r="R4570" s="84"/>
    </row>
    <row r="4571" customFormat="false" ht="15" hidden="false" customHeight="true" outlineLevel="0" collapsed="false">
      <c r="A4571" s="103"/>
      <c r="B4571" s="85"/>
      <c r="C4571" s="86"/>
      <c r="D4571" s="87"/>
      <c r="E4571" s="46" t="str">
        <f aca="false">IF(D4571&lt;&gt;"",IFERROR(VLOOKUP(D4571,PROVEEDORES!$A:$B,2,0),"!COD NO ENCONTRADO"),"")</f>
        <v/>
      </c>
      <c r="F4571" s="88" t="str">
        <f aca="false">IF(D4571&lt;&gt;"",IFERROR(VLOOKUP(D4571,PROVEEDORES!$A:$C,3,0),""),"")</f>
        <v/>
      </c>
      <c r="G4571" s="87"/>
      <c r="H4571" s="46" t="str">
        <f aca="false">IF(G4571&lt;&gt;"",IFERROR(VLOOKUP(G4571,PRODUCTOS!$A:$B,2,0),"!COD NO ENCONTRADO"),"")</f>
        <v/>
      </c>
      <c r="I4571" s="89"/>
      <c r="J4571" s="90"/>
      <c r="K4571" s="91"/>
      <c r="L4571" s="80" t="str">
        <f aca="false">IF(AND(J4571&lt;&gt;"",K4571&lt;&gt;""),J4571*K4571,"")</f>
        <v/>
      </c>
      <c r="M4571" s="81" t="str">
        <f aca="false">IF(L4571&lt;&gt;"",L4571*1.1,"")</f>
        <v/>
      </c>
      <c r="N4571" s="47" t="n">
        <f aca="false">IF(F4571="S",L4571*0.02,0)</f>
        <v>0</v>
      </c>
      <c r="O4571" s="82" t="str">
        <f aca="false">IF(L4571&lt;&gt;"",L4571+N4571,"")</f>
        <v/>
      </c>
      <c r="P4571" s="47" t="str">
        <f aca="false">IF(O4571&lt;&gt;"",O4571*0.1,"")</f>
        <v/>
      </c>
      <c r="Q4571" s="83" t="str">
        <f aca="false">IF(O4571&lt;&gt;"",O4571+P4571,"")</f>
        <v/>
      </c>
      <c r="R4571" s="84"/>
    </row>
    <row r="4572" customFormat="false" ht="15" hidden="false" customHeight="true" outlineLevel="0" collapsed="false">
      <c r="A4572" s="103"/>
      <c r="B4572" s="73"/>
      <c r="C4572" s="74"/>
      <c r="D4572" s="75"/>
      <c r="E4572" s="52" t="str">
        <f aca="false">IF(D4572&lt;&gt;"",IFERROR(VLOOKUP(D4572,PROVEEDORES!$A:$B,2,0),"!COD NO ENCONTRADO"),"")</f>
        <v/>
      </c>
      <c r="F4572" s="76" t="str">
        <f aca="false">IF(D4572&lt;&gt;"",IFERROR(VLOOKUP(D4572,PROVEEDORES!$A:$C,3,0),""),"")</f>
        <v/>
      </c>
      <c r="G4572" s="75"/>
      <c r="H4572" s="52" t="str">
        <f aca="false">IF(G4572&lt;&gt;"",IFERROR(VLOOKUP(G4572,PRODUCTOS!$A:$B,2,0),"!COD NO ENCONTRADO"),"")</f>
        <v/>
      </c>
      <c r="I4572" s="77"/>
      <c r="J4572" s="78"/>
      <c r="K4572" s="79"/>
      <c r="L4572" s="80" t="str">
        <f aca="false">IF(AND(J4572&lt;&gt;"",K4572&lt;&gt;""),J4572*K4572,"")</f>
        <v/>
      </c>
      <c r="M4572" s="81" t="str">
        <f aca="false">IF(L4572&lt;&gt;"",L4572*1.1,"")</f>
        <v/>
      </c>
      <c r="N4572" s="53" t="n">
        <f aca="false">IF(F4572="S",L4572*0.02,0)</f>
        <v>0</v>
      </c>
      <c r="O4572" s="82" t="str">
        <f aca="false">IF(L4572&lt;&gt;"",L4572+N4572,"")</f>
        <v/>
      </c>
      <c r="P4572" s="53" t="str">
        <f aca="false">IF(O4572&lt;&gt;"",O4572*0.1,"")</f>
        <v/>
      </c>
      <c r="Q4572" s="83" t="str">
        <f aca="false">IF(O4572&lt;&gt;"",O4572+P4572,"")</f>
        <v/>
      </c>
      <c r="R4572" s="84"/>
    </row>
    <row r="4573" customFormat="false" ht="15" hidden="false" customHeight="true" outlineLevel="0" collapsed="false">
      <c r="A4573" s="103"/>
      <c r="B4573" s="85"/>
      <c r="C4573" s="86"/>
      <c r="D4573" s="87"/>
      <c r="E4573" s="46" t="str">
        <f aca="false">IF(D4573&lt;&gt;"",IFERROR(VLOOKUP(D4573,PROVEEDORES!$A:$B,2,0),"!COD NO ENCONTRADO"),"")</f>
        <v/>
      </c>
      <c r="F4573" s="88" t="str">
        <f aca="false">IF(D4573&lt;&gt;"",IFERROR(VLOOKUP(D4573,PROVEEDORES!$A:$C,3,0),""),"")</f>
        <v/>
      </c>
      <c r="G4573" s="87"/>
      <c r="H4573" s="46" t="str">
        <f aca="false">IF(G4573&lt;&gt;"",IFERROR(VLOOKUP(G4573,PRODUCTOS!$A:$B,2,0),"!COD NO ENCONTRADO"),"")</f>
        <v/>
      </c>
      <c r="I4573" s="89"/>
      <c r="J4573" s="90"/>
      <c r="K4573" s="91"/>
      <c r="L4573" s="80" t="str">
        <f aca="false">IF(AND(J4573&lt;&gt;"",K4573&lt;&gt;""),J4573*K4573,"")</f>
        <v/>
      </c>
      <c r="M4573" s="81" t="str">
        <f aca="false">IF(L4573&lt;&gt;"",L4573*1.1,"")</f>
        <v/>
      </c>
      <c r="N4573" s="47" t="n">
        <f aca="false">IF(F4573="S",L4573*0.02,0)</f>
        <v>0</v>
      </c>
      <c r="O4573" s="82" t="str">
        <f aca="false">IF(L4573&lt;&gt;"",L4573+N4573,"")</f>
        <v/>
      </c>
      <c r="P4573" s="47" t="str">
        <f aca="false">IF(O4573&lt;&gt;"",O4573*0.1,"")</f>
        <v/>
      </c>
      <c r="Q4573" s="83" t="str">
        <f aca="false">IF(O4573&lt;&gt;"",O4573+P4573,"")</f>
        <v/>
      </c>
      <c r="R4573" s="84"/>
    </row>
    <row r="4574" customFormat="false" ht="15" hidden="false" customHeight="true" outlineLevel="0" collapsed="false">
      <c r="A4574" s="103"/>
      <c r="B4574" s="73"/>
      <c r="C4574" s="74"/>
      <c r="D4574" s="75"/>
      <c r="E4574" s="52" t="str">
        <f aca="false">IF(D4574&lt;&gt;"",IFERROR(VLOOKUP(D4574,PROVEEDORES!$A:$B,2,0),"!COD NO ENCONTRADO"),"")</f>
        <v/>
      </c>
      <c r="F4574" s="76" t="str">
        <f aca="false">IF(D4574&lt;&gt;"",IFERROR(VLOOKUP(D4574,PROVEEDORES!$A:$C,3,0),""),"")</f>
        <v/>
      </c>
      <c r="G4574" s="75"/>
      <c r="H4574" s="52" t="str">
        <f aca="false">IF(G4574&lt;&gt;"",IFERROR(VLOOKUP(G4574,PRODUCTOS!$A:$B,2,0),"!COD NO ENCONTRADO"),"")</f>
        <v/>
      </c>
      <c r="I4574" s="77"/>
      <c r="J4574" s="78"/>
      <c r="K4574" s="79"/>
      <c r="L4574" s="80" t="str">
        <f aca="false">IF(AND(J4574&lt;&gt;"",K4574&lt;&gt;""),J4574*K4574,"")</f>
        <v/>
      </c>
      <c r="M4574" s="81" t="str">
        <f aca="false">IF(L4574&lt;&gt;"",L4574*1.1,"")</f>
        <v/>
      </c>
      <c r="N4574" s="53" t="n">
        <f aca="false">IF(F4574="S",L4574*0.02,0)</f>
        <v>0</v>
      </c>
      <c r="O4574" s="82" t="str">
        <f aca="false">IF(L4574&lt;&gt;"",L4574+N4574,"")</f>
        <v/>
      </c>
      <c r="P4574" s="53" t="str">
        <f aca="false">IF(O4574&lt;&gt;"",O4574*0.1,"")</f>
        <v/>
      </c>
      <c r="Q4574" s="83" t="str">
        <f aca="false">IF(O4574&lt;&gt;"",O4574+P4574,"")</f>
        <v/>
      </c>
      <c r="R4574" s="84"/>
    </row>
    <row r="4575" customFormat="false" ht="15" hidden="false" customHeight="true" outlineLevel="0" collapsed="false">
      <c r="A4575" s="103"/>
      <c r="B4575" s="85"/>
      <c r="C4575" s="86"/>
      <c r="D4575" s="87"/>
      <c r="E4575" s="46" t="str">
        <f aca="false">IF(D4575&lt;&gt;"",IFERROR(VLOOKUP(D4575,PROVEEDORES!$A:$B,2,0),"!COD NO ENCONTRADO"),"")</f>
        <v/>
      </c>
      <c r="F4575" s="88" t="str">
        <f aca="false">IF(D4575&lt;&gt;"",IFERROR(VLOOKUP(D4575,PROVEEDORES!$A:$C,3,0),""),"")</f>
        <v/>
      </c>
      <c r="G4575" s="87"/>
      <c r="H4575" s="46" t="str">
        <f aca="false">IF(G4575&lt;&gt;"",IFERROR(VLOOKUP(G4575,PRODUCTOS!$A:$B,2,0),"!COD NO ENCONTRADO"),"")</f>
        <v/>
      </c>
      <c r="I4575" s="89"/>
      <c r="J4575" s="90"/>
      <c r="K4575" s="91"/>
      <c r="L4575" s="80" t="str">
        <f aca="false">IF(AND(J4575&lt;&gt;"",K4575&lt;&gt;""),J4575*K4575,"")</f>
        <v/>
      </c>
      <c r="M4575" s="81" t="str">
        <f aca="false">IF(L4575&lt;&gt;"",L4575*1.1,"")</f>
        <v/>
      </c>
      <c r="N4575" s="47" t="n">
        <f aca="false">IF(F4575="S",L4575*0.02,0)</f>
        <v>0</v>
      </c>
      <c r="O4575" s="82" t="str">
        <f aca="false">IF(L4575&lt;&gt;"",L4575+N4575,"")</f>
        <v/>
      </c>
      <c r="P4575" s="47" t="str">
        <f aca="false">IF(O4575&lt;&gt;"",O4575*0.1,"")</f>
        <v/>
      </c>
      <c r="Q4575" s="83" t="str">
        <f aca="false">IF(O4575&lt;&gt;"",O4575+P4575,"")</f>
        <v/>
      </c>
      <c r="R4575" s="84"/>
    </row>
    <row r="4576" customFormat="false" ht="15" hidden="false" customHeight="true" outlineLevel="0" collapsed="false">
      <c r="A4576" s="103"/>
      <c r="B4576" s="73"/>
      <c r="C4576" s="74"/>
      <c r="D4576" s="75"/>
      <c r="E4576" s="52" t="str">
        <f aca="false">IF(D4576&lt;&gt;"",IFERROR(VLOOKUP(D4576,PROVEEDORES!$A:$B,2,0),"!COD NO ENCONTRADO"),"")</f>
        <v/>
      </c>
      <c r="F4576" s="76" t="str">
        <f aca="false">IF(D4576&lt;&gt;"",IFERROR(VLOOKUP(D4576,PROVEEDORES!$A:$C,3,0),""),"")</f>
        <v/>
      </c>
      <c r="G4576" s="75"/>
      <c r="H4576" s="52" t="str">
        <f aca="false">IF(G4576&lt;&gt;"",IFERROR(VLOOKUP(G4576,PRODUCTOS!$A:$B,2,0),"!COD NO ENCONTRADO"),"")</f>
        <v/>
      </c>
      <c r="I4576" s="77"/>
      <c r="J4576" s="78"/>
      <c r="K4576" s="79"/>
      <c r="L4576" s="80" t="str">
        <f aca="false">IF(AND(J4576&lt;&gt;"",K4576&lt;&gt;""),J4576*K4576,"")</f>
        <v/>
      </c>
      <c r="M4576" s="81" t="str">
        <f aca="false">IF(L4576&lt;&gt;"",L4576*1.1,"")</f>
        <v/>
      </c>
      <c r="N4576" s="53" t="n">
        <f aca="false">IF(F4576="S",L4576*0.02,0)</f>
        <v>0</v>
      </c>
      <c r="O4576" s="82" t="str">
        <f aca="false">IF(L4576&lt;&gt;"",L4576+N4576,"")</f>
        <v/>
      </c>
      <c r="P4576" s="53" t="str">
        <f aca="false">IF(O4576&lt;&gt;"",O4576*0.1,"")</f>
        <v/>
      </c>
      <c r="Q4576" s="83" t="str">
        <f aca="false">IF(O4576&lt;&gt;"",O4576+P4576,"")</f>
        <v/>
      </c>
      <c r="R4576" s="84"/>
    </row>
    <row r="4577" customFormat="false" ht="15" hidden="false" customHeight="true" outlineLevel="0" collapsed="false">
      <c r="A4577" s="103"/>
      <c r="B4577" s="85"/>
      <c r="C4577" s="86"/>
      <c r="D4577" s="87"/>
      <c r="E4577" s="46" t="str">
        <f aca="false">IF(D4577&lt;&gt;"",IFERROR(VLOOKUP(D4577,PROVEEDORES!$A:$B,2,0),"!COD NO ENCONTRADO"),"")</f>
        <v/>
      </c>
      <c r="F4577" s="88" t="str">
        <f aca="false">IF(D4577&lt;&gt;"",IFERROR(VLOOKUP(D4577,PROVEEDORES!$A:$C,3,0),""),"")</f>
        <v/>
      </c>
      <c r="G4577" s="87"/>
      <c r="H4577" s="46" t="str">
        <f aca="false">IF(G4577&lt;&gt;"",IFERROR(VLOOKUP(G4577,PRODUCTOS!$A:$B,2,0),"!COD NO ENCONTRADO"),"")</f>
        <v/>
      </c>
      <c r="I4577" s="89"/>
      <c r="J4577" s="90"/>
      <c r="K4577" s="91"/>
      <c r="L4577" s="80" t="str">
        <f aca="false">IF(AND(J4577&lt;&gt;"",K4577&lt;&gt;""),J4577*K4577,"")</f>
        <v/>
      </c>
      <c r="M4577" s="81" t="str">
        <f aca="false">IF(L4577&lt;&gt;"",L4577*1.1,"")</f>
        <v/>
      </c>
      <c r="N4577" s="47" t="n">
        <f aca="false">IF(F4577="S",L4577*0.02,0)</f>
        <v>0</v>
      </c>
      <c r="O4577" s="82" t="str">
        <f aca="false">IF(L4577&lt;&gt;"",L4577+N4577,"")</f>
        <v/>
      </c>
      <c r="P4577" s="47" t="str">
        <f aca="false">IF(O4577&lt;&gt;"",O4577*0.1,"")</f>
        <v/>
      </c>
      <c r="Q4577" s="83" t="str">
        <f aca="false">IF(O4577&lt;&gt;"",O4577+P4577,"")</f>
        <v/>
      </c>
      <c r="R4577" s="84"/>
    </row>
    <row r="4578" customFormat="false" ht="15" hidden="false" customHeight="true" outlineLevel="0" collapsed="false">
      <c r="A4578" s="103"/>
      <c r="B4578" s="73"/>
      <c r="C4578" s="74"/>
      <c r="D4578" s="75"/>
      <c r="E4578" s="52" t="str">
        <f aca="false">IF(D4578&lt;&gt;"",IFERROR(VLOOKUP(D4578,PROVEEDORES!$A:$B,2,0),"!COD NO ENCONTRADO"),"")</f>
        <v/>
      </c>
      <c r="F4578" s="76" t="str">
        <f aca="false">IF(D4578&lt;&gt;"",IFERROR(VLOOKUP(D4578,PROVEEDORES!$A:$C,3,0),""),"")</f>
        <v/>
      </c>
      <c r="G4578" s="75"/>
      <c r="H4578" s="52" t="str">
        <f aca="false">IF(G4578&lt;&gt;"",IFERROR(VLOOKUP(G4578,PRODUCTOS!$A:$B,2,0),"!COD NO ENCONTRADO"),"")</f>
        <v/>
      </c>
      <c r="I4578" s="77"/>
      <c r="J4578" s="78"/>
      <c r="K4578" s="79"/>
      <c r="L4578" s="80" t="str">
        <f aca="false">IF(AND(J4578&lt;&gt;"",K4578&lt;&gt;""),J4578*K4578,"")</f>
        <v/>
      </c>
      <c r="M4578" s="81" t="str">
        <f aca="false">IF(L4578&lt;&gt;"",L4578*1.1,"")</f>
        <v/>
      </c>
      <c r="N4578" s="53" t="n">
        <f aca="false">IF(F4578="S",L4578*0.02,0)</f>
        <v>0</v>
      </c>
      <c r="O4578" s="82" t="str">
        <f aca="false">IF(L4578&lt;&gt;"",L4578+N4578,"")</f>
        <v/>
      </c>
      <c r="P4578" s="53" t="str">
        <f aca="false">IF(O4578&lt;&gt;"",O4578*0.1,"")</f>
        <v/>
      </c>
      <c r="Q4578" s="83" t="str">
        <f aca="false">IF(O4578&lt;&gt;"",O4578+P4578,"")</f>
        <v/>
      </c>
      <c r="R4578" s="84"/>
    </row>
    <row r="4579" customFormat="false" ht="15" hidden="false" customHeight="true" outlineLevel="0" collapsed="false">
      <c r="A4579" s="103"/>
      <c r="B4579" s="85"/>
      <c r="C4579" s="86"/>
      <c r="D4579" s="87"/>
      <c r="E4579" s="46" t="str">
        <f aca="false">IF(D4579&lt;&gt;"",IFERROR(VLOOKUP(D4579,PROVEEDORES!$A:$B,2,0),"!COD NO ENCONTRADO"),"")</f>
        <v/>
      </c>
      <c r="F4579" s="88" t="str">
        <f aca="false">IF(D4579&lt;&gt;"",IFERROR(VLOOKUP(D4579,PROVEEDORES!$A:$C,3,0),""),"")</f>
        <v/>
      </c>
      <c r="G4579" s="87"/>
      <c r="H4579" s="46" t="str">
        <f aca="false">IF(G4579&lt;&gt;"",IFERROR(VLOOKUP(G4579,PRODUCTOS!$A:$B,2,0),"!COD NO ENCONTRADO"),"")</f>
        <v/>
      </c>
      <c r="I4579" s="89"/>
      <c r="J4579" s="90"/>
      <c r="K4579" s="91"/>
      <c r="L4579" s="80" t="str">
        <f aca="false">IF(AND(J4579&lt;&gt;"",K4579&lt;&gt;""),J4579*K4579,"")</f>
        <v/>
      </c>
      <c r="M4579" s="81" t="str">
        <f aca="false">IF(L4579&lt;&gt;"",L4579*1.1,"")</f>
        <v/>
      </c>
      <c r="N4579" s="47" t="n">
        <f aca="false">IF(F4579="S",L4579*0.02,0)</f>
        <v>0</v>
      </c>
      <c r="O4579" s="82" t="str">
        <f aca="false">IF(L4579&lt;&gt;"",L4579+N4579,"")</f>
        <v/>
      </c>
      <c r="P4579" s="47" t="str">
        <f aca="false">IF(O4579&lt;&gt;"",O4579*0.1,"")</f>
        <v/>
      </c>
      <c r="Q4579" s="83" t="str">
        <f aca="false">IF(O4579&lt;&gt;"",O4579+P4579,"")</f>
        <v/>
      </c>
      <c r="R4579" s="84"/>
    </row>
    <row r="4580" customFormat="false" ht="15" hidden="false" customHeight="true" outlineLevel="0" collapsed="false">
      <c r="A4580" s="103"/>
      <c r="B4580" s="73"/>
      <c r="C4580" s="74"/>
      <c r="D4580" s="75"/>
      <c r="E4580" s="52" t="str">
        <f aca="false">IF(D4580&lt;&gt;"",IFERROR(VLOOKUP(D4580,PROVEEDORES!$A:$B,2,0),"!COD NO ENCONTRADO"),"")</f>
        <v/>
      </c>
      <c r="F4580" s="76" t="str">
        <f aca="false">IF(D4580&lt;&gt;"",IFERROR(VLOOKUP(D4580,PROVEEDORES!$A:$C,3,0),""),"")</f>
        <v/>
      </c>
      <c r="G4580" s="75"/>
      <c r="H4580" s="52" t="str">
        <f aca="false">IF(G4580&lt;&gt;"",IFERROR(VLOOKUP(G4580,PRODUCTOS!$A:$B,2,0),"!COD NO ENCONTRADO"),"")</f>
        <v/>
      </c>
      <c r="I4580" s="77"/>
      <c r="J4580" s="78"/>
      <c r="K4580" s="79"/>
      <c r="L4580" s="80" t="str">
        <f aca="false">IF(AND(J4580&lt;&gt;"",K4580&lt;&gt;""),J4580*K4580,"")</f>
        <v/>
      </c>
      <c r="M4580" s="81" t="str">
        <f aca="false">IF(L4580&lt;&gt;"",L4580*1.1,"")</f>
        <v/>
      </c>
      <c r="N4580" s="53" t="n">
        <f aca="false">IF(F4580="S",L4580*0.02,0)</f>
        <v>0</v>
      </c>
      <c r="O4580" s="82" t="str">
        <f aca="false">IF(L4580&lt;&gt;"",L4580+N4580,"")</f>
        <v/>
      </c>
      <c r="P4580" s="53" t="str">
        <f aca="false">IF(O4580&lt;&gt;"",O4580*0.1,"")</f>
        <v/>
      </c>
      <c r="Q4580" s="83" t="str">
        <f aca="false">IF(O4580&lt;&gt;"",O4580+P4580,"")</f>
        <v/>
      </c>
      <c r="R4580" s="84"/>
    </row>
    <row r="4581" customFormat="false" ht="15" hidden="false" customHeight="true" outlineLevel="0" collapsed="false">
      <c r="A4581" s="103"/>
      <c r="B4581" s="85"/>
      <c r="C4581" s="86"/>
      <c r="D4581" s="87"/>
      <c r="E4581" s="46" t="str">
        <f aca="false">IF(D4581&lt;&gt;"",IFERROR(VLOOKUP(D4581,PROVEEDORES!$A:$B,2,0),"!COD NO ENCONTRADO"),"")</f>
        <v/>
      </c>
      <c r="F4581" s="88" t="str">
        <f aca="false">IF(D4581&lt;&gt;"",IFERROR(VLOOKUP(D4581,PROVEEDORES!$A:$C,3,0),""),"")</f>
        <v/>
      </c>
      <c r="G4581" s="87"/>
      <c r="H4581" s="46" t="str">
        <f aca="false">IF(G4581&lt;&gt;"",IFERROR(VLOOKUP(G4581,PRODUCTOS!$A:$B,2,0),"!COD NO ENCONTRADO"),"")</f>
        <v/>
      </c>
      <c r="I4581" s="89"/>
      <c r="J4581" s="90"/>
      <c r="K4581" s="91"/>
      <c r="L4581" s="80" t="str">
        <f aca="false">IF(AND(J4581&lt;&gt;"",K4581&lt;&gt;""),J4581*K4581,"")</f>
        <v/>
      </c>
      <c r="M4581" s="81" t="str">
        <f aca="false">IF(L4581&lt;&gt;"",L4581*1.1,"")</f>
        <v/>
      </c>
      <c r="N4581" s="47" t="n">
        <f aca="false">IF(F4581="S",L4581*0.02,0)</f>
        <v>0</v>
      </c>
      <c r="O4581" s="82" t="str">
        <f aca="false">IF(L4581&lt;&gt;"",L4581+N4581,"")</f>
        <v/>
      </c>
      <c r="P4581" s="47" t="str">
        <f aca="false">IF(O4581&lt;&gt;"",O4581*0.1,"")</f>
        <v/>
      </c>
      <c r="Q4581" s="83" t="str">
        <f aca="false">IF(O4581&lt;&gt;"",O4581+P4581,"")</f>
        <v/>
      </c>
      <c r="R4581" s="84"/>
    </row>
    <row r="4582" customFormat="false" ht="15" hidden="false" customHeight="true" outlineLevel="0" collapsed="false">
      <c r="A4582" s="103"/>
      <c r="B4582" s="73"/>
      <c r="C4582" s="74"/>
      <c r="D4582" s="75"/>
      <c r="E4582" s="52" t="str">
        <f aca="false">IF(D4582&lt;&gt;"",IFERROR(VLOOKUP(D4582,PROVEEDORES!$A:$B,2,0),"!COD NO ENCONTRADO"),"")</f>
        <v/>
      </c>
      <c r="F4582" s="76" t="str">
        <f aca="false">IF(D4582&lt;&gt;"",IFERROR(VLOOKUP(D4582,PROVEEDORES!$A:$C,3,0),""),"")</f>
        <v/>
      </c>
      <c r="G4582" s="75"/>
      <c r="H4582" s="52" t="str">
        <f aca="false">IF(G4582&lt;&gt;"",IFERROR(VLOOKUP(G4582,PRODUCTOS!$A:$B,2,0),"!COD NO ENCONTRADO"),"")</f>
        <v/>
      </c>
      <c r="I4582" s="77"/>
      <c r="J4582" s="78"/>
      <c r="K4582" s="79"/>
      <c r="L4582" s="80" t="str">
        <f aca="false">IF(AND(J4582&lt;&gt;"",K4582&lt;&gt;""),J4582*K4582,"")</f>
        <v/>
      </c>
      <c r="M4582" s="81" t="str">
        <f aca="false">IF(L4582&lt;&gt;"",L4582*1.1,"")</f>
        <v/>
      </c>
      <c r="N4582" s="53" t="n">
        <f aca="false">IF(F4582="S",L4582*0.02,0)</f>
        <v>0</v>
      </c>
      <c r="O4582" s="82" t="str">
        <f aca="false">IF(L4582&lt;&gt;"",L4582+N4582,"")</f>
        <v/>
      </c>
      <c r="P4582" s="53" t="str">
        <f aca="false">IF(O4582&lt;&gt;"",O4582*0.1,"")</f>
        <v/>
      </c>
      <c r="Q4582" s="83" t="str">
        <f aca="false">IF(O4582&lt;&gt;"",O4582+P4582,"")</f>
        <v/>
      </c>
      <c r="R4582" s="84"/>
    </row>
    <row r="4583" customFormat="false" ht="15" hidden="false" customHeight="true" outlineLevel="0" collapsed="false">
      <c r="A4583" s="103"/>
      <c r="B4583" s="85"/>
      <c r="C4583" s="86"/>
      <c r="D4583" s="87"/>
      <c r="E4583" s="46" t="str">
        <f aca="false">IF(D4583&lt;&gt;"",IFERROR(VLOOKUP(D4583,PROVEEDORES!$A:$B,2,0),"!COD NO ENCONTRADO"),"")</f>
        <v/>
      </c>
      <c r="F4583" s="88" t="str">
        <f aca="false">IF(D4583&lt;&gt;"",IFERROR(VLOOKUP(D4583,PROVEEDORES!$A:$C,3,0),""),"")</f>
        <v/>
      </c>
      <c r="G4583" s="87"/>
      <c r="H4583" s="46" t="str">
        <f aca="false">IF(G4583&lt;&gt;"",IFERROR(VLOOKUP(G4583,PRODUCTOS!$A:$B,2,0),"!COD NO ENCONTRADO"),"")</f>
        <v/>
      </c>
      <c r="I4583" s="89"/>
      <c r="J4583" s="90"/>
      <c r="K4583" s="91"/>
      <c r="L4583" s="80" t="str">
        <f aca="false">IF(AND(J4583&lt;&gt;"",K4583&lt;&gt;""),J4583*K4583,"")</f>
        <v/>
      </c>
      <c r="M4583" s="81" t="str">
        <f aca="false">IF(L4583&lt;&gt;"",L4583*1.1,"")</f>
        <v/>
      </c>
      <c r="N4583" s="47" t="n">
        <f aca="false">IF(F4583="S",L4583*0.02,0)</f>
        <v>0</v>
      </c>
      <c r="O4583" s="82" t="str">
        <f aca="false">IF(L4583&lt;&gt;"",L4583+N4583,"")</f>
        <v/>
      </c>
      <c r="P4583" s="47" t="str">
        <f aca="false">IF(O4583&lt;&gt;"",O4583*0.1,"")</f>
        <v/>
      </c>
      <c r="Q4583" s="83" t="str">
        <f aca="false">IF(O4583&lt;&gt;"",O4583+P4583,"")</f>
        <v/>
      </c>
      <c r="R4583" s="84"/>
    </row>
    <row r="4584" customFormat="false" ht="15" hidden="false" customHeight="true" outlineLevel="0" collapsed="false">
      <c r="A4584" s="103"/>
      <c r="B4584" s="73"/>
      <c r="C4584" s="74"/>
      <c r="D4584" s="75"/>
      <c r="E4584" s="52" t="str">
        <f aca="false">IF(D4584&lt;&gt;"",IFERROR(VLOOKUP(D4584,PROVEEDORES!$A:$B,2,0),"!COD NO ENCONTRADO"),"")</f>
        <v/>
      </c>
      <c r="F4584" s="76" t="str">
        <f aca="false">IF(D4584&lt;&gt;"",IFERROR(VLOOKUP(D4584,PROVEEDORES!$A:$C,3,0),""),"")</f>
        <v/>
      </c>
      <c r="G4584" s="75"/>
      <c r="H4584" s="52" t="str">
        <f aca="false">IF(G4584&lt;&gt;"",IFERROR(VLOOKUP(G4584,PRODUCTOS!$A:$B,2,0),"!COD NO ENCONTRADO"),"")</f>
        <v/>
      </c>
      <c r="I4584" s="77"/>
      <c r="J4584" s="78"/>
      <c r="K4584" s="79"/>
      <c r="L4584" s="80" t="str">
        <f aca="false">IF(AND(J4584&lt;&gt;"",K4584&lt;&gt;""),J4584*K4584,"")</f>
        <v/>
      </c>
      <c r="M4584" s="81" t="str">
        <f aca="false">IF(L4584&lt;&gt;"",L4584*1.1,"")</f>
        <v/>
      </c>
      <c r="N4584" s="53" t="n">
        <f aca="false">IF(F4584="S",L4584*0.02,0)</f>
        <v>0</v>
      </c>
      <c r="O4584" s="82" t="str">
        <f aca="false">IF(L4584&lt;&gt;"",L4584+N4584,"")</f>
        <v/>
      </c>
      <c r="P4584" s="53" t="str">
        <f aca="false">IF(O4584&lt;&gt;"",O4584*0.1,"")</f>
        <v/>
      </c>
      <c r="Q4584" s="83" t="str">
        <f aca="false">IF(O4584&lt;&gt;"",O4584+P4584,"")</f>
        <v/>
      </c>
      <c r="R4584" s="84"/>
    </row>
    <row r="4585" customFormat="false" ht="15" hidden="false" customHeight="true" outlineLevel="0" collapsed="false">
      <c r="A4585" s="103"/>
      <c r="B4585" s="85"/>
      <c r="C4585" s="86"/>
      <c r="D4585" s="87"/>
      <c r="E4585" s="46" t="str">
        <f aca="false">IF(D4585&lt;&gt;"",IFERROR(VLOOKUP(D4585,PROVEEDORES!$A:$B,2,0),"!COD NO ENCONTRADO"),"")</f>
        <v/>
      </c>
      <c r="F4585" s="88" t="str">
        <f aca="false">IF(D4585&lt;&gt;"",IFERROR(VLOOKUP(D4585,PROVEEDORES!$A:$C,3,0),""),"")</f>
        <v/>
      </c>
      <c r="G4585" s="87"/>
      <c r="H4585" s="46" t="str">
        <f aca="false">IF(G4585&lt;&gt;"",IFERROR(VLOOKUP(G4585,PRODUCTOS!$A:$B,2,0),"!COD NO ENCONTRADO"),"")</f>
        <v/>
      </c>
      <c r="I4585" s="89"/>
      <c r="J4585" s="90"/>
      <c r="K4585" s="91"/>
      <c r="L4585" s="80" t="str">
        <f aca="false">IF(AND(J4585&lt;&gt;"",K4585&lt;&gt;""),J4585*K4585,"")</f>
        <v/>
      </c>
      <c r="M4585" s="81" t="str">
        <f aca="false">IF(L4585&lt;&gt;"",L4585*1.1,"")</f>
        <v/>
      </c>
      <c r="N4585" s="47" t="n">
        <f aca="false">IF(F4585="S",L4585*0.02,0)</f>
        <v>0</v>
      </c>
      <c r="O4585" s="82" t="str">
        <f aca="false">IF(L4585&lt;&gt;"",L4585+N4585,"")</f>
        <v/>
      </c>
      <c r="P4585" s="47" t="str">
        <f aca="false">IF(O4585&lt;&gt;"",O4585*0.1,"")</f>
        <v/>
      </c>
      <c r="Q4585" s="83" t="str">
        <f aca="false">IF(O4585&lt;&gt;"",O4585+P4585,"")</f>
        <v/>
      </c>
      <c r="R4585" s="84"/>
    </row>
    <row r="4586" customFormat="false" ht="15" hidden="false" customHeight="true" outlineLevel="0" collapsed="false">
      <c r="A4586" s="103"/>
      <c r="B4586" s="73"/>
      <c r="C4586" s="74"/>
      <c r="D4586" s="75"/>
      <c r="E4586" s="52" t="str">
        <f aca="false">IF(D4586&lt;&gt;"",IFERROR(VLOOKUP(D4586,PROVEEDORES!$A:$B,2,0),"!COD NO ENCONTRADO"),"")</f>
        <v/>
      </c>
      <c r="F4586" s="76" t="str">
        <f aca="false">IF(D4586&lt;&gt;"",IFERROR(VLOOKUP(D4586,PROVEEDORES!$A:$C,3,0),""),"")</f>
        <v/>
      </c>
      <c r="G4586" s="75"/>
      <c r="H4586" s="52" t="str">
        <f aca="false">IF(G4586&lt;&gt;"",IFERROR(VLOOKUP(G4586,PRODUCTOS!$A:$B,2,0),"!COD NO ENCONTRADO"),"")</f>
        <v/>
      </c>
      <c r="I4586" s="77"/>
      <c r="J4586" s="78"/>
      <c r="K4586" s="79"/>
      <c r="L4586" s="80" t="str">
        <f aca="false">IF(AND(J4586&lt;&gt;"",K4586&lt;&gt;""),J4586*K4586,"")</f>
        <v/>
      </c>
      <c r="M4586" s="81" t="str">
        <f aca="false">IF(L4586&lt;&gt;"",L4586*1.1,"")</f>
        <v/>
      </c>
      <c r="N4586" s="53" t="n">
        <f aca="false">IF(F4586="S",L4586*0.02,0)</f>
        <v>0</v>
      </c>
      <c r="O4586" s="82" t="str">
        <f aca="false">IF(L4586&lt;&gt;"",L4586+N4586,"")</f>
        <v/>
      </c>
      <c r="P4586" s="53" t="str">
        <f aca="false">IF(O4586&lt;&gt;"",O4586*0.1,"")</f>
        <v/>
      </c>
      <c r="Q4586" s="83" t="str">
        <f aca="false">IF(O4586&lt;&gt;"",O4586+P4586,"")</f>
        <v/>
      </c>
      <c r="R4586" s="84"/>
    </row>
    <row r="4587" customFormat="false" ht="15" hidden="false" customHeight="true" outlineLevel="0" collapsed="false">
      <c r="A4587" s="103"/>
      <c r="B4587" s="85"/>
      <c r="C4587" s="86"/>
      <c r="D4587" s="87"/>
      <c r="E4587" s="46" t="str">
        <f aca="false">IF(D4587&lt;&gt;"",IFERROR(VLOOKUP(D4587,PROVEEDORES!$A:$B,2,0),"!COD NO ENCONTRADO"),"")</f>
        <v/>
      </c>
      <c r="F4587" s="88" t="str">
        <f aca="false">IF(D4587&lt;&gt;"",IFERROR(VLOOKUP(D4587,PROVEEDORES!$A:$C,3,0),""),"")</f>
        <v/>
      </c>
      <c r="G4587" s="87"/>
      <c r="H4587" s="46" t="str">
        <f aca="false">IF(G4587&lt;&gt;"",IFERROR(VLOOKUP(G4587,PRODUCTOS!$A:$B,2,0),"!COD NO ENCONTRADO"),"")</f>
        <v/>
      </c>
      <c r="I4587" s="89"/>
      <c r="J4587" s="90"/>
      <c r="K4587" s="91"/>
      <c r="L4587" s="80" t="str">
        <f aca="false">IF(AND(J4587&lt;&gt;"",K4587&lt;&gt;""),J4587*K4587,"")</f>
        <v/>
      </c>
      <c r="M4587" s="81" t="str">
        <f aca="false">IF(L4587&lt;&gt;"",L4587*1.1,"")</f>
        <v/>
      </c>
      <c r="N4587" s="47" t="n">
        <f aca="false">IF(F4587="S",L4587*0.02,0)</f>
        <v>0</v>
      </c>
      <c r="O4587" s="82" t="str">
        <f aca="false">IF(L4587&lt;&gt;"",L4587+N4587,"")</f>
        <v/>
      </c>
      <c r="P4587" s="47" t="str">
        <f aca="false">IF(O4587&lt;&gt;"",O4587*0.1,"")</f>
        <v/>
      </c>
      <c r="Q4587" s="83" t="str">
        <f aca="false">IF(O4587&lt;&gt;"",O4587+P4587,"")</f>
        <v/>
      </c>
      <c r="R4587" s="84"/>
    </row>
    <row r="4588" customFormat="false" ht="15" hidden="false" customHeight="true" outlineLevel="0" collapsed="false">
      <c r="A4588" s="103"/>
      <c r="B4588" s="73"/>
      <c r="C4588" s="74"/>
      <c r="D4588" s="75"/>
      <c r="E4588" s="52" t="str">
        <f aca="false">IF(D4588&lt;&gt;"",IFERROR(VLOOKUP(D4588,PROVEEDORES!$A:$B,2,0),"!COD NO ENCONTRADO"),"")</f>
        <v/>
      </c>
      <c r="F4588" s="76" t="str">
        <f aca="false">IF(D4588&lt;&gt;"",IFERROR(VLOOKUP(D4588,PROVEEDORES!$A:$C,3,0),""),"")</f>
        <v/>
      </c>
      <c r="G4588" s="75"/>
      <c r="H4588" s="52" t="str">
        <f aca="false">IF(G4588&lt;&gt;"",IFERROR(VLOOKUP(G4588,PRODUCTOS!$A:$B,2,0),"!COD NO ENCONTRADO"),"")</f>
        <v/>
      </c>
      <c r="I4588" s="77"/>
      <c r="J4588" s="78"/>
      <c r="K4588" s="79"/>
      <c r="L4588" s="80" t="str">
        <f aca="false">IF(AND(J4588&lt;&gt;"",K4588&lt;&gt;""),J4588*K4588,"")</f>
        <v/>
      </c>
      <c r="M4588" s="81" t="str">
        <f aca="false">IF(L4588&lt;&gt;"",L4588*1.1,"")</f>
        <v/>
      </c>
      <c r="N4588" s="53" t="n">
        <f aca="false">IF(F4588="S",L4588*0.02,0)</f>
        <v>0</v>
      </c>
      <c r="O4588" s="82" t="str">
        <f aca="false">IF(L4588&lt;&gt;"",L4588+N4588,"")</f>
        <v/>
      </c>
      <c r="P4588" s="53" t="str">
        <f aca="false">IF(O4588&lt;&gt;"",O4588*0.1,"")</f>
        <v/>
      </c>
      <c r="Q4588" s="83" t="str">
        <f aca="false">IF(O4588&lt;&gt;"",O4588+P4588,"")</f>
        <v/>
      </c>
      <c r="R4588" s="84"/>
    </row>
    <row r="4589" customFormat="false" ht="15" hidden="false" customHeight="true" outlineLevel="0" collapsed="false">
      <c r="A4589" s="103"/>
      <c r="B4589" s="85"/>
      <c r="C4589" s="86"/>
      <c r="D4589" s="87"/>
      <c r="E4589" s="46" t="str">
        <f aca="false">IF(D4589&lt;&gt;"",IFERROR(VLOOKUP(D4589,PROVEEDORES!$A:$B,2,0),"!COD NO ENCONTRADO"),"")</f>
        <v/>
      </c>
      <c r="F4589" s="88" t="str">
        <f aca="false">IF(D4589&lt;&gt;"",IFERROR(VLOOKUP(D4589,PROVEEDORES!$A:$C,3,0),""),"")</f>
        <v/>
      </c>
      <c r="G4589" s="87"/>
      <c r="H4589" s="46" t="str">
        <f aca="false">IF(G4589&lt;&gt;"",IFERROR(VLOOKUP(G4589,PRODUCTOS!$A:$B,2,0),"!COD NO ENCONTRADO"),"")</f>
        <v/>
      </c>
      <c r="I4589" s="89"/>
      <c r="J4589" s="90"/>
      <c r="K4589" s="91"/>
      <c r="L4589" s="80" t="str">
        <f aca="false">IF(AND(J4589&lt;&gt;"",K4589&lt;&gt;""),J4589*K4589,"")</f>
        <v/>
      </c>
      <c r="M4589" s="81" t="str">
        <f aca="false">IF(L4589&lt;&gt;"",L4589*1.1,"")</f>
        <v/>
      </c>
      <c r="N4589" s="47" t="n">
        <f aca="false">IF(F4589="S",L4589*0.02,0)</f>
        <v>0</v>
      </c>
      <c r="O4589" s="82" t="str">
        <f aca="false">IF(L4589&lt;&gt;"",L4589+N4589,"")</f>
        <v/>
      </c>
      <c r="P4589" s="47" t="str">
        <f aca="false">IF(O4589&lt;&gt;"",O4589*0.1,"")</f>
        <v/>
      </c>
      <c r="Q4589" s="83" t="str">
        <f aca="false">IF(O4589&lt;&gt;"",O4589+P4589,"")</f>
        <v/>
      </c>
      <c r="R4589" s="84"/>
    </row>
    <row r="4590" customFormat="false" ht="15" hidden="false" customHeight="true" outlineLevel="0" collapsed="false">
      <c r="A4590" s="103"/>
      <c r="B4590" s="73"/>
      <c r="C4590" s="74"/>
      <c r="D4590" s="75"/>
      <c r="E4590" s="52" t="str">
        <f aca="false">IF(D4590&lt;&gt;"",IFERROR(VLOOKUP(D4590,PROVEEDORES!$A:$B,2,0),"!COD NO ENCONTRADO"),"")</f>
        <v/>
      </c>
      <c r="F4590" s="76" t="str">
        <f aca="false">IF(D4590&lt;&gt;"",IFERROR(VLOOKUP(D4590,PROVEEDORES!$A:$C,3,0),""),"")</f>
        <v/>
      </c>
      <c r="G4590" s="75"/>
      <c r="H4590" s="52" t="str">
        <f aca="false">IF(G4590&lt;&gt;"",IFERROR(VLOOKUP(G4590,PRODUCTOS!$A:$B,2,0),"!COD NO ENCONTRADO"),"")</f>
        <v/>
      </c>
      <c r="I4590" s="77"/>
      <c r="J4590" s="78"/>
      <c r="K4590" s="79"/>
      <c r="L4590" s="80" t="str">
        <f aca="false">IF(AND(J4590&lt;&gt;"",K4590&lt;&gt;""),J4590*K4590,"")</f>
        <v/>
      </c>
      <c r="M4590" s="81" t="str">
        <f aca="false">IF(L4590&lt;&gt;"",L4590*1.1,"")</f>
        <v/>
      </c>
      <c r="N4590" s="53" t="n">
        <f aca="false">IF(F4590="S",L4590*0.02,0)</f>
        <v>0</v>
      </c>
      <c r="O4590" s="82" t="str">
        <f aca="false">IF(L4590&lt;&gt;"",L4590+N4590,"")</f>
        <v/>
      </c>
      <c r="P4590" s="53" t="str">
        <f aca="false">IF(O4590&lt;&gt;"",O4590*0.1,"")</f>
        <v/>
      </c>
      <c r="Q4590" s="83" t="str">
        <f aca="false">IF(O4590&lt;&gt;"",O4590+P4590,"")</f>
        <v/>
      </c>
      <c r="R4590" s="84"/>
    </row>
    <row r="4591" customFormat="false" ht="15" hidden="false" customHeight="true" outlineLevel="0" collapsed="false">
      <c r="A4591" s="103"/>
      <c r="B4591" s="85"/>
      <c r="C4591" s="86"/>
      <c r="D4591" s="87"/>
      <c r="E4591" s="46" t="str">
        <f aca="false">IF(D4591&lt;&gt;"",IFERROR(VLOOKUP(D4591,PROVEEDORES!$A:$B,2,0),"!COD NO ENCONTRADO"),"")</f>
        <v/>
      </c>
      <c r="F4591" s="88" t="str">
        <f aca="false">IF(D4591&lt;&gt;"",IFERROR(VLOOKUP(D4591,PROVEEDORES!$A:$C,3,0),""),"")</f>
        <v/>
      </c>
      <c r="G4591" s="87"/>
      <c r="H4591" s="46" t="str">
        <f aca="false">IF(G4591&lt;&gt;"",IFERROR(VLOOKUP(G4591,PRODUCTOS!$A:$B,2,0),"!COD NO ENCONTRADO"),"")</f>
        <v/>
      </c>
      <c r="I4591" s="89"/>
      <c r="J4591" s="90"/>
      <c r="K4591" s="91"/>
      <c r="L4591" s="80" t="str">
        <f aca="false">IF(AND(J4591&lt;&gt;"",K4591&lt;&gt;""),J4591*K4591,"")</f>
        <v/>
      </c>
      <c r="M4591" s="81" t="str">
        <f aca="false">IF(L4591&lt;&gt;"",L4591*1.1,"")</f>
        <v/>
      </c>
      <c r="N4591" s="47" t="n">
        <f aca="false">IF(F4591="S",L4591*0.02,0)</f>
        <v>0</v>
      </c>
      <c r="O4591" s="82" t="str">
        <f aca="false">IF(L4591&lt;&gt;"",L4591+N4591,"")</f>
        <v/>
      </c>
      <c r="P4591" s="47" t="str">
        <f aca="false">IF(O4591&lt;&gt;"",O4591*0.1,"")</f>
        <v/>
      </c>
      <c r="Q4591" s="83" t="str">
        <f aca="false">IF(O4591&lt;&gt;"",O4591+P4591,"")</f>
        <v/>
      </c>
      <c r="R4591" s="84"/>
    </row>
    <row r="4592" customFormat="false" ht="15" hidden="false" customHeight="true" outlineLevel="0" collapsed="false">
      <c r="A4592" s="103"/>
      <c r="B4592" s="73"/>
      <c r="C4592" s="74"/>
      <c r="D4592" s="75"/>
      <c r="E4592" s="52" t="str">
        <f aca="false">IF(D4592&lt;&gt;"",IFERROR(VLOOKUP(D4592,PROVEEDORES!$A:$B,2,0),"!COD NO ENCONTRADO"),"")</f>
        <v/>
      </c>
      <c r="F4592" s="76" t="str">
        <f aca="false">IF(D4592&lt;&gt;"",IFERROR(VLOOKUP(D4592,PROVEEDORES!$A:$C,3,0),""),"")</f>
        <v/>
      </c>
      <c r="G4592" s="75"/>
      <c r="H4592" s="52" t="str">
        <f aca="false">IF(G4592&lt;&gt;"",IFERROR(VLOOKUP(G4592,PRODUCTOS!$A:$B,2,0),"!COD NO ENCONTRADO"),"")</f>
        <v/>
      </c>
      <c r="I4592" s="77"/>
      <c r="J4592" s="78"/>
      <c r="K4592" s="79"/>
      <c r="L4592" s="80" t="str">
        <f aca="false">IF(AND(J4592&lt;&gt;"",K4592&lt;&gt;""),J4592*K4592,"")</f>
        <v/>
      </c>
      <c r="M4592" s="81" t="str">
        <f aca="false">IF(L4592&lt;&gt;"",L4592*1.1,"")</f>
        <v/>
      </c>
      <c r="N4592" s="53" t="n">
        <f aca="false">IF(F4592="S",L4592*0.02,0)</f>
        <v>0</v>
      </c>
      <c r="O4592" s="82" t="str">
        <f aca="false">IF(L4592&lt;&gt;"",L4592+N4592,"")</f>
        <v/>
      </c>
      <c r="P4592" s="53" t="str">
        <f aca="false">IF(O4592&lt;&gt;"",O4592*0.1,"")</f>
        <v/>
      </c>
      <c r="Q4592" s="83" t="str">
        <f aca="false">IF(O4592&lt;&gt;"",O4592+P4592,"")</f>
        <v/>
      </c>
      <c r="R4592" s="84"/>
    </row>
    <row r="4593" customFormat="false" ht="15" hidden="false" customHeight="true" outlineLevel="0" collapsed="false">
      <c r="A4593" s="103"/>
      <c r="B4593" s="85"/>
      <c r="C4593" s="86"/>
      <c r="D4593" s="87"/>
      <c r="E4593" s="46" t="str">
        <f aca="false">IF(D4593&lt;&gt;"",IFERROR(VLOOKUP(D4593,PROVEEDORES!$A:$B,2,0),"!COD NO ENCONTRADO"),"")</f>
        <v/>
      </c>
      <c r="F4593" s="88" t="str">
        <f aca="false">IF(D4593&lt;&gt;"",IFERROR(VLOOKUP(D4593,PROVEEDORES!$A:$C,3,0),""),"")</f>
        <v/>
      </c>
      <c r="G4593" s="87"/>
      <c r="H4593" s="46" t="str">
        <f aca="false">IF(G4593&lt;&gt;"",IFERROR(VLOOKUP(G4593,PRODUCTOS!$A:$B,2,0),"!COD NO ENCONTRADO"),"")</f>
        <v/>
      </c>
      <c r="I4593" s="89"/>
      <c r="J4593" s="90"/>
      <c r="K4593" s="91"/>
      <c r="L4593" s="80" t="str">
        <f aca="false">IF(AND(J4593&lt;&gt;"",K4593&lt;&gt;""),J4593*K4593,"")</f>
        <v/>
      </c>
      <c r="M4593" s="81" t="str">
        <f aca="false">IF(L4593&lt;&gt;"",L4593*1.1,"")</f>
        <v/>
      </c>
      <c r="N4593" s="47" t="n">
        <f aca="false">IF(F4593="S",L4593*0.02,0)</f>
        <v>0</v>
      </c>
      <c r="O4593" s="82" t="str">
        <f aca="false">IF(L4593&lt;&gt;"",L4593+N4593,"")</f>
        <v/>
      </c>
      <c r="P4593" s="47" t="str">
        <f aca="false">IF(O4593&lt;&gt;"",O4593*0.1,"")</f>
        <v/>
      </c>
      <c r="Q4593" s="83" t="str">
        <f aca="false">IF(O4593&lt;&gt;"",O4593+P4593,"")</f>
        <v/>
      </c>
      <c r="R4593" s="84"/>
    </row>
    <row r="4594" customFormat="false" ht="15" hidden="false" customHeight="true" outlineLevel="0" collapsed="false">
      <c r="A4594" s="103"/>
      <c r="B4594" s="73"/>
      <c r="C4594" s="74"/>
      <c r="D4594" s="75"/>
      <c r="E4594" s="52" t="str">
        <f aca="false">IF(D4594&lt;&gt;"",IFERROR(VLOOKUP(D4594,PROVEEDORES!$A:$B,2,0),"!COD NO ENCONTRADO"),"")</f>
        <v/>
      </c>
      <c r="F4594" s="76" t="str">
        <f aca="false">IF(D4594&lt;&gt;"",IFERROR(VLOOKUP(D4594,PROVEEDORES!$A:$C,3,0),""),"")</f>
        <v/>
      </c>
      <c r="G4594" s="75"/>
      <c r="H4594" s="52" t="str">
        <f aca="false">IF(G4594&lt;&gt;"",IFERROR(VLOOKUP(G4594,PRODUCTOS!$A:$B,2,0),"!COD NO ENCONTRADO"),"")</f>
        <v/>
      </c>
      <c r="I4594" s="77"/>
      <c r="J4594" s="78"/>
      <c r="K4594" s="79"/>
      <c r="L4594" s="80" t="str">
        <f aca="false">IF(AND(J4594&lt;&gt;"",K4594&lt;&gt;""),J4594*K4594,"")</f>
        <v/>
      </c>
      <c r="M4594" s="81" t="str">
        <f aca="false">IF(L4594&lt;&gt;"",L4594*1.1,"")</f>
        <v/>
      </c>
      <c r="N4594" s="53" t="n">
        <f aca="false">IF(F4594="S",L4594*0.02,0)</f>
        <v>0</v>
      </c>
      <c r="O4594" s="82" t="str">
        <f aca="false">IF(L4594&lt;&gt;"",L4594+N4594,"")</f>
        <v/>
      </c>
      <c r="P4594" s="53" t="str">
        <f aca="false">IF(O4594&lt;&gt;"",O4594*0.1,"")</f>
        <v/>
      </c>
      <c r="Q4594" s="83" t="str">
        <f aca="false">IF(O4594&lt;&gt;"",O4594+P4594,"")</f>
        <v/>
      </c>
      <c r="R4594" s="84"/>
    </row>
    <row r="4595" customFormat="false" ht="15" hidden="false" customHeight="true" outlineLevel="0" collapsed="false">
      <c r="A4595" s="103"/>
      <c r="B4595" s="85"/>
      <c r="C4595" s="86"/>
      <c r="D4595" s="87"/>
      <c r="E4595" s="46" t="str">
        <f aca="false">IF(D4595&lt;&gt;"",IFERROR(VLOOKUP(D4595,PROVEEDORES!$A:$B,2,0),"!COD NO ENCONTRADO"),"")</f>
        <v/>
      </c>
      <c r="F4595" s="88" t="str">
        <f aca="false">IF(D4595&lt;&gt;"",IFERROR(VLOOKUP(D4595,PROVEEDORES!$A:$C,3,0),""),"")</f>
        <v/>
      </c>
      <c r="G4595" s="87"/>
      <c r="H4595" s="46" t="str">
        <f aca="false">IF(G4595&lt;&gt;"",IFERROR(VLOOKUP(G4595,PRODUCTOS!$A:$B,2,0),"!COD NO ENCONTRADO"),"")</f>
        <v/>
      </c>
      <c r="I4595" s="89"/>
      <c r="J4595" s="90"/>
      <c r="K4595" s="91"/>
      <c r="L4595" s="80" t="str">
        <f aca="false">IF(AND(J4595&lt;&gt;"",K4595&lt;&gt;""),J4595*K4595,"")</f>
        <v/>
      </c>
      <c r="M4595" s="81" t="str">
        <f aca="false">IF(L4595&lt;&gt;"",L4595*1.1,"")</f>
        <v/>
      </c>
      <c r="N4595" s="47" t="n">
        <f aca="false">IF(F4595="S",L4595*0.02,0)</f>
        <v>0</v>
      </c>
      <c r="O4595" s="82" t="str">
        <f aca="false">IF(L4595&lt;&gt;"",L4595+N4595,"")</f>
        <v/>
      </c>
      <c r="P4595" s="47" t="str">
        <f aca="false">IF(O4595&lt;&gt;"",O4595*0.1,"")</f>
        <v/>
      </c>
      <c r="Q4595" s="83" t="str">
        <f aca="false">IF(O4595&lt;&gt;"",O4595+P4595,"")</f>
        <v/>
      </c>
      <c r="R4595" s="84"/>
    </row>
    <row r="4596" customFormat="false" ht="15" hidden="false" customHeight="true" outlineLevel="0" collapsed="false">
      <c r="A4596" s="103"/>
      <c r="B4596" s="73"/>
      <c r="C4596" s="74"/>
      <c r="D4596" s="75"/>
      <c r="E4596" s="52" t="str">
        <f aca="false">IF(D4596&lt;&gt;"",IFERROR(VLOOKUP(D4596,PROVEEDORES!$A:$B,2,0),"!COD NO ENCONTRADO"),"")</f>
        <v/>
      </c>
      <c r="F4596" s="76" t="str">
        <f aca="false">IF(D4596&lt;&gt;"",IFERROR(VLOOKUP(D4596,PROVEEDORES!$A:$C,3,0),""),"")</f>
        <v/>
      </c>
      <c r="G4596" s="75"/>
      <c r="H4596" s="52" t="str">
        <f aca="false">IF(G4596&lt;&gt;"",IFERROR(VLOOKUP(G4596,PRODUCTOS!$A:$B,2,0),"!COD NO ENCONTRADO"),"")</f>
        <v/>
      </c>
      <c r="I4596" s="77"/>
      <c r="J4596" s="78"/>
      <c r="K4596" s="79"/>
      <c r="L4596" s="80" t="str">
        <f aca="false">IF(AND(J4596&lt;&gt;"",K4596&lt;&gt;""),J4596*K4596,"")</f>
        <v/>
      </c>
      <c r="M4596" s="81" t="str">
        <f aca="false">IF(L4596&lt;&gt;"",L4596*1.1,"")</f>
        <v/>
      </c>
      <c r="N4596" s="53" t="n">
        <f aca="false">IF(F4596="S",L4596*0.02,0)</f>
        <v>0</v>
      </c>
      <c r="O4596" s="82" t="str">
        <f aca="false">IF(L4596&lt;&gt;"",L4596+N4596,"")</f>
        <v/>
      </c>
      <c r="P4596" s="53" t="str">
        <f aca="false">IF(O4596&lt;&gt;"",O4596*0.1,"")</f>
        <v/>
      </c>
      <c r="Q4596" s="83" t="str">
        <f aca="false">IF(O4596&lt;&gt;"",O4596+P4596,"")</f>
        <v/>
      </c>
      <c r="R4596" s="84"/>
    </row>
    <row r="4597" customFormat="false" ht="15" hidden="false" customHeight="true" outlineLevel="0" collapsed="false">
      <c r="A4597" s="103"/>
      <c r="B4597" s="85"/>
      <c r="C4597" s="86"/>
      <c r="D4597" s="87"/>
      <c r="E4597" s="46" t="str">
        <f aca="false">IF(D4597&lt;&gt;"",IFERROR(VLOOKUP(D4597,PROVEEDORES!$A:$B,2,0),"!COD NO ENCONTRADO"),"")</f>
        <v/>
      </c>
      <c r="F4597" s="88" t="str">
        <f aca="false">IF(D4597&lt;&gt;"",IFERROR(VLOOKUP(D4597,PROVEEDORES!$A:$C,3,0),""),"")</f>
        <v/>
      </c>
      <c r="G4597" s="87"/>
      <c r="H4597" s="46" t="str">
        <f aca="false">IF(G4597&lt;&gt;"",IFERROR(VLOOKUP(G4597,PRODUCTOS!$A:$B,2,0),"!COD NO ENCONTRADO"),"")</f>
        <v/>
      </c>
      <c r="I4597" s="89"/>
      <c r="J4597" s="90"/>
      <c r="K4597" s="91"/>
      <c r="L4597" s="80" t="str">
        <f aca="false">IF(AND(J4597&lt;&gt;"",K4597&lt;&gt;""),J4597*K4597,"")</f>
        <v/>
      </c>
      <c r="M4597" s="81" t="str">
        <f aca="false">IF(L4597&lt;&gt;"",L4597*1.1,"")</f>
        <v/>
      </c>
      <c r="N4597" s="47" t="n">
        <f aca="false">IF(F4597="S",L4597*0.02,0)</f>
        <v>0</v>
      </c>
      <c r="O4597" s="82" t="str">
        <f aca="false">IF(L4597&lt;&gt;"",L4597+N4597,"")</f>
        <v/>
      </c>
      <c r="P4597" s="47" t="str">
        <f aca="false">IF(O4597&lt;&gt;"",O4597*0.1,"")</f>
        <v/>
      </c>
      <c r="Q4597" s="83" t="str">
        <f aca="false">IF(O4597&lt;&gt;"",O4597+P4597,"")</f>
        <v/>
      </c>
      <c r="R4597" s="84"/>
    </row>
    <row r="4598" customFormat="false" ht="15" hidden="false" customHeight="true" outlineLevel="0" collapsed="false">
      <c r="A4598" s="103"/>
      <c r="B4598" s="73"/>
      <c r="C4598" s="74"/>
      <c r="D4598" s="75"/>
      <c r="E4598" s="52" t="str">
        <f aca="false">IF(D4598&lt;&gt;"",IFERROR(VLOOKUP(D4598,PROVEEDORES!$A:$B,2,0),"!COD NO ENCONTRADO"),"")</f>
        <v/>
      </c>
      <c r="F4598" s="76" t="str">
        <f aca="false">IF(D4598&lt;&gt;"",IFERROR(VLOOKUP(D4598,PROVEEDORES!$A:$C,3,0),""),"")</f>
        <v/>
      </c>
      <c r="G4598" s="75"/>
      <c r="H4598" s="52" t="str">
        <f aca="false">IF(G4598&lt;&gt;"",IFERROR(VLOOKUP(G4598,PRODUCTOS!$A:$B,2,0),"!COD NO ENCONTRADO"),"")</f>
        <v/>
      </c>
      <c r="I4598" s="77"/>
      <c r="J4598" s="78"/>
      <c r="K4598" s="79"/>
      <c r="L4598" s="80" t="str">
        <f aca="false">IF(AND(J4598&lt;&gt;"",K4598&lt;&gt;""),J4598*K4598,"")</f>
        <v/>
      </c>
      <c r="M4598" s="81" t="str">
        <f aca="false">IF(L4598&lt;&gt;"",L4598*1.1,"")</f>
        <v/>
      </c>
      <c r="N4598" s="53" t="n">
        <f aca="false">IF(F4598="S",L4598*0.02,0)</f>
        <v>0</v>
      </c>
      <c r="O4598" s="82" t="str">
        <f aca="false">IF(L4598&lt;&gt;"",L4598+N4598,"")</f>
        <v/>
      </c>
      <c r="P4598" s="53" t="str">
        <f aca="false">IF(O4598&lt;&gt;"",O4598*0.1,"")</f>
        <v/>
      </c>
      <c r="Q4598" s="83" t="str">
        <f aca="false">IF(O4598&lt;&gt;"",O4598+P4598,"")</f>
        <v/>
      </c>
      <c r="R4598" s="84"/>
    </row>
    <row r="4599" customFormat="false" ht="15" hidden="false" customHeight="true" outlineLevel="0" collapsed="false">
      <c r="A4599" s="103"/>
      <c r="B4599" s="85"/>
      <c r="C4599" s="86"/>
      <c r="D4599" s="87"/>
      <c r="E4599" s="46" t="str">
        <f aca="false">IF(D4599&lt;&gt;"",IFERROR(VLOOKUP(D4599,PROVEEDORES!$A:$B,2,0),"!COD NO ENCONTRADO"),"")</f>
        <v/>
      </c>
      <c r="F4599" s="88" t="str">
        <f aca="false">IF(D4599&lt;&gt;"",IFERROR(VLOOKUP(D4599,PROVEEDORES!$A:$C,3,0),""),"")</f>
        <v/>
      </c>
      <c r="G4599" s="87"/>
      <c r="H4599" s="46" t="str">
        <f aca="false">IF(G4599&lt;&gt;"",IFERROR(VLOOKUP(G4599,PRODUCTOS!$A:$B,2,0),"!COD NO ENCONTRADO"),"")</f>
        <v/>
      </c>
      <c r="I4599" s="89"/>
      <c r="J4599" s="90"/>
      <c r="K4599" s="91"/>
      <c r="L4599" s="80" t="str">
        <f aca="false">IF(AND(J4599&lt;&gt;"",K4599&lt;&gt;""),J4599*K4599,"")</f>
        <v/>
      </c>
      <c r="M4599" s="81" t="str">
        <f aca="false">IF(L4599&lt;&gt;"",L4599*1.1,"")</f>
        <v/>
      </c>
      <c r="N4599" s="47" t="n">
        <f aca="false">IF(F4599="S",L4599*0.02,0)</f>
        <v>0</v>
      </c>
      <c r="O4599" s="82" t="str">
        <f aca="false">IF(L4599&lt;&gt;"",L4599+N4599,"")</f>
        <v/>
      </c>
      <c r="P4599" s="47" t="str">
        <f aca="false">IF(O4599&lt;&gt;"",O4599*0.1,"")</f>
        <v/>
      </c>
      <c r="Q4599" s="83" t="str">
        <f aca="false">IF(O4599&lt;&gt;"",O4599+P4599,"")</f>
        <v/>
      </c>
      <c r="R4599" s="84"/>
    </row>
    <row r="4600" customFormat="false" ht="15" hidden="false" customHeight="true" outlineLevel="0" collapsed="false">
      <c r="A4600" s="103"/>
      <c r="B4600" s="73"/>
      <c r="C4600" s="74"/>
      <c r="D4600" s="75"/>
      <c r="E4600" s="52" t="str">
        <f aca="false">IF(D4600&lt;&gt;"",IFERROR(VLOOKUP(D4600,PROVEEDORES!$A:$B,2,0),"!COD NO ENCONTRADO"),"")</f>
        <v/>
      </c>
      <c r="F4600" s="76" t="str">
        <f aca="false">IF(D4600&lt;&gt;"",IFERROR(VLOOKUP(D4600,PROVEEDORES!$A:$C,3,0),""),"")</f>
        <v/>
      </c>
      <c r="G4600" s="75"/>
      <c r="H4600" s="52" t="str">
        <f aca="false">IF(G4600&lt;&gt;"",IFERROR(VLOOKUP(G4600,PRODUCTOS!$A:$B,2,0),"!COD NO ENCONTRADO"),"")</f>
        <v/>
      </c>
      <c r="I4600" s="77"/>
      <c r="J4600" s="78"/>
      <c r="K4600" s="79"/>
      <c r="L4600" s="80" t="str">
        <f aca="false">IF(AND(J4600&lt;&gt;"",K4600&lt;&gt;""),J4600*K4600,"")</f>
        <v/>
      </c>
      <c r="M4600" s="81" t="str">
        <f aca="false">IF(L4600&lt;&gt;"",L4600*1.1,"")</f>
        <v/>
      </c>
      <c r="N4600" s="53" t="n">
        <f aca="false">IF(F4600="S",L4600*0.02,0)</f>
        <v>0</v>
      </c>
      <c r="O4600" s="82" t="str">
        <f aca="false">IF(L4600&lt;&gt;"",L4600+N4600,"")</f>
        <v/>
      </c>
      <c r="P4600" s="53" t="str">
        <f aca="false">IF(O4600&lt;&gt;"",O4600*0.1,"")</f>
        <v/>
      </c>
      <c r="Q4600" s="83" t="str">
        <f aca="false">IF(O4600&lt;&gt;"",O4600+P4600,"")</f>
        <v/>
      </c>
      <c r="R4600" s="84"/>
    </row>
    <row r="4601" customFormat="false" ht="15" hidden="false" customHeight="true" outlineLevel="0" collapsed="false">
      <c r="A4601" s="103"/>
      <c r="B4601" s="85"/>
      <c r="C4601" s="86"/>
      <c r="D4601" s="87"/>
      <c r="E4601" s="46" t="str">
        <f aca="false">IF(D4601&lt;&gt;"",IFERROR(VLOOKUP(D4601,PROVEEDORES!$A:$B,2,0),"!COD NO ENCONTRADO"),"")</f>
        <v/>
      </c>
      <c r="F4601" s="88" t="str">
        <f aca="false">IF(D4601&lt;&gt;"",IFERROR(VLOOKUP(D4601,PROVEEDORES!$A:$C,3,0),""),"")</f>
        <v/>
      </c>
      <c r="G4601" s="87"/>
      <c r="H4601" s="46" t="str">
        <f aca="false">IF(G4601&lt;&gt;"",IFERROR(VLOOKUP(G4601,PRODUCTOS!$A:$B,2,0),"!COD NO ENCONTRADO"),"")</f>
        <v/>
      </c>
      <c r="I4601" s="89"/>
      <c r="J4601" s="90"/>
      <c r="K4601" s="91"/>
      <c r="L4601" s="80" t="str">
        <f aca="false">IF(AND(J4601&lt;&gt;"",K4601&lt;&gt;""),J4601*K4601,"")</f>
        <v/>
      </c>
      <c r="M4601" s="81" t="str">
        <f aca="false">IF(L4601&lt;&gt;"",L4601*1.1,"")</f>
        <v/>
      </c>
      <c r="N4601" s="47" t="n">
        <f aca="false">IF(F4601="S",L4601*0.02,0)</f>
        <v>0</v>
      </c>
      <c r="O4601" s="82" t="str">
        <f aca="false">IF(L4601&lt;&gt;"",L4601+N4601,"")</f>
        <v/>
      </c>
      <c r="P4601" s="47" t="str">
        <f aca="false">IF(O4601&lt;&gt;"",O4601*0.1,"")</f>
        <v/>
      </c>
      <c r="Q4601" s="83" t="str">
        <f aca="false">IF(O4601&lt;&gt;"",O4601+P4601,"")</f>
        <v/>
      </c>
      <c r="R4601" s="84"/>
    </row>
    <row r="4602" customFormat="false" ht="15" hidden="false" customHeight="true" outlineLevel="0" collapsed="false">
      <c r="A4602" s="103"/>
      <c r="B4602" s="73"/>
      <c r="C4602" s="74"/>
      <c r="D4602" s="75"/>
      <c r="E4602" s="52" t="str">
        <f aca="false">IF(D4602&lt;&gt;"",IFERROR(VLOOKUP(D4602,PROVEEDORES!$A:$B,2,0),"!COD NO ENCONTRADO"),"")</f>
        <v/>
      </c>
      <c r="F4602" s="76" t="str">
        <f aca="false">IF(D4602&lt;&gt;"",IFERROR(VLOOKUP(D4602,PROVEEDORES!$A:$C,3,0),""),"")</f>
        <v/>
      </c>
      <c r="G4602" s="75"/>
      <c r="H4602" s="52" t="str">
        <f aca="false">IF(G4602&lt;&gt;"",IFERROR(VLOOKUP(G4602,PRODUCTOS!$A:$B,2,0),"!COD NO ENCONTRADO"),"")</f>
        <v/>
      </c>
      <c r="I4602" s="77"/>
      <c r="J4602" s="78"/>
      <c r="K4602" s="79"/>
      <c r="L4602" s="80" t="str">
        <f aca="false">IF(AND(J4602&lt;&gt;"",K4602&lt;&gt;""),J4602*K4602,"")</f>
        <v/>
      </c>
      <c r="M4602" s="81" t="str">
        <f aca="false">IF(L4602&lt;&gt;"",L4602*1.1,"")</f>
        <v/>
      </c>
      <c r="N4602" s="53" t="n">
        <f aca="false">IF(F4602="S",L4602*0.02,0)</f>
        <v>0</v>
      </c>
      <c r="O4602" s="82" t="str">
        <f aca="false">IF(L4602&lt;&gt;"",L4602+N4602,"")</f>
        <v/>
      </c>
      <c r="P4602" s="53" t="str">
        <f aca="false">IF(O4602&lt;&gt;"",O4602*0.1,"")</f>
        <v/>
      </c>
      <c r="Q4602" s="83" t="str">
        <f aca="false">IF(O4602&lt;&gt;"",O4602+P4602,"")</f>
        <v/>
      </c>
      <c r="R4602" s="84"/>
    </row>
    <row r="4603" customFormat="false" ht="15" hidden="false" customHeight="true" outlineLevel="0" collapsed="false">
      <c r="A4603" s="103"/>
      <c r="B4603" s="85"/>
      <c r="C4603" s="86"/>
      <c r="D4603" s="87"/>
      <c r="E4603" s="46" t="str">
        <f aca="false">IF(D4603&lt;&gt;"",IFERROR(VLOOKUP(D4603,PROVEEDORES!$A:$B,2,0),"!COD NO ENCONTRADO"),"")</f>
        <v/>
      </c>
      <c r="F4603" s="88" t="str">
        <f aca="false">IF(D4603&lt;&gt;"",IFERROR(VLOOKUP(D4603,PROVEEDORES!$A:$C,3,0),""),"")</f>
        <v/>
      </c>
      <c r="G4603" s="87"/>
      <c r="H4603" s="46" t="str">
        <f aca="false">IF(G4603&lt;&gt;"",IFERROR(VLOOKUP(G4603,PRODUCTOS!$A:$B,2,0),"!COD NO ENCONTRADO"),"")</f>
        <v/>
      </c>
      <c r="I4603" s="89"/>
      <c r="J4603" s="90"/>
      <c r="K4603" s="91"/>
      <c r="L4603" s="80" t="str">
        <f aca="false">IF(AND(J4603&lt;&gt;"",K4603&lt;&gt;""),J4603*K4603,"")</f>
        <v/>
      </c>
      <c r="M4603" s="81" t="str">
        <f aca="false">IF(L4603&lt;&gt;"",L4603*1.1,"")</f>
        <v/>
      </c>
      <c r="N4603" s="47" t="n">
        <f aca="false">IF(F4603="S",L4603*0.02,0)</f>
        <v>0</v>
      </c>
      <c r="O4603" s="82" t="str">
        <f aca="false">IF(L4603&lt;&gt;"",L4603+N4603,"")</f>
        <v/>
      </c>
      <c r="P4603" s="47" t="str">
        <f aca="false">IF(O4603&lt;&gt;"",O4603*0.1,"")</f>
        <v/>
      </c>
      <c r="Q4603" s="83" t="str">
        <f aca="false">IF(O4603&lt;&gt;"",O4603+P4603,"")</f>
        <v/>
      </c>
      <c r="R4603" s="84"/>
    </row>
    <row r="4604" customFormat="false" ht="15" hidden="false" customHeight="true" outlineLevel="0" collapsed="false">
      <c r="A4604" s="103"/>
      <c r="B4604" s="73"/>
      <c r="C4604" s="74"/>
      <c r="D4604" s="75"/>
      <c r="E4604" s="52" t="str">
        <f aca="false">IF(D4604&lt;&gt;"",IFERROR(VLOOKUP(D4604,PROVEEDORES!$A:$B,2,0),"!COD NO ENCONTRADO"),"")</f>
        <v/>
      </c>
      <c r="F4604" s="76" t="str">
        <f aca="false">IF(D4604&lt;&gt;"",IFERROR(VLOOKUP(D4604,PROVEEDORES!$A:$C,3,0),""),"")</f>
        <v/>
      </c>
      <c r="G4604" s="75"/>
      <c r="H4604" s="52" t="str">
        <f aca="false">IF(G4604&lt;&gt;"",IFERROR(VLOOKUP(G4604,PRODUCTOS!$A:$B,2,0),"!COD NO ENCONTRADO"),"")</f>
        <v/>
      </c>
      <c r="I4604" s="77"/>
      <c r="J4604" s="78"/>
      <c r="K4604" s="79"/>
      <c r="L4604" s="80" t="str">
        <f aca="false">IF(AND(J4604&lt;&gt;"",K4604&lt;&gt;""),J4604*K4604,"")</f>
        <v/>
      </c>
      <c r="M4604" s="81" t="str">
        <f aca="false">IF(L4604&lt;&gt;"",L4604*1.1,"")</f>
        <v/>
      </c>
      <c r="N4604" s="53" t="n">
        <f aca="false">IF(F4604="S",L4604*0.02,0)</f>
        <v>0</v>
      </c>
      <c r="O4604" s="82" t="str">
        <f aca="false">IF(L4604&lt;&gt;"",L4604+N4604,"")</f>
        <v/>
      </c>
      <c r="P4604" s="53" t="str">
        <f aca="false">IF(O4604&lt;&gt;"",O4604*0.1,"")</f>
        <v/>
      </c>
      <c r="Q4604" s="83" t="str">
        <f aca="false">IF(O4604&lt;&gt;"",O4604+P4604,"")</f>
        <v/>
      </c>
      <c r="R4604" s="84"/>
    </row>
    <row r="4605" customFormat="false" ht="15" hidden="false" customHeight="true" outlineLevel="0" collapsed="false">
      <c r="A4605" s="103"/>
      <c r="B4605" s="85"/>
      <c r="C4605" s="86"/>
      <c r="D4605" s="87"/>
      <c r="E4605" s="46" t="str">
        <f aca="false">IF(D4605&lt;&gt;"",IFERROR(VLOOKUP(D4605,PROVEEDORES!$A:$B,2,0),"!COD NO ENCONTRADO"),"")</f>
        <v/>
      </c>
      <c r="F4605" s="88" t="str">
        <f aca="false">IF(D4605&lt;&gt;"",IFERROR(VLOOKUP(D4605,PROVEEDORES!$A:$C,3,0),""),"")</f>
        <v/>
      </c>
      <c r="G4605" s="87"/>
      <c r="H4605" s="46" t="str">
        <f aca="false">IF(G4605&lt;&gt;"",IFERROR(VLOOKUP(G4605,PRODUCTOS!$A:$B,2,0),"!COD NO ENCONTRADO"),"")</f>
        <v/>
      </c>
      <c r="I4605" s="89"/>
      <c r="J4605" s="90"/>
      <c r="K4605" s="91"/>
      <c r="L4605" s="80" t="str">
        <f aca="false">IF(AND(J4605&lt;&gt;"",K4605&lt;&gt;""),J4605*K4605,"")</f>
        <v/>
      </c>
      <c r="M4605" s="81" t="str">
        <f aca="false">IF(L4605&lt;&gt;"",L4605*1.1,"")</f>
        <v/>
      </c>
      <c r="N4605" s="47" t="n">
        <f aca="false">IF(F4605="S",L4605*0.02,0)</f>
        <v>0</v>
      </c>
      <c r="O4605" s="82" t="str">
        <f aca="false">IF(L4605&lt;&gt;"",L4605+N4605,"")</f>
        <v/>
      </c>
      <c r="P4605" s="47" t="str">
        <f aca="false">IF(O4605&lt;&gt;"",O4605*0.1,"")</f>
        <v/>
      </c>
      <c r="Q4605" s="83" t="str">
        <f aca="false">IF(O4605&lt;&gt;"",O4605+P4605,"")</f>
        <v/>
      </c>
      <c r="R4605" s="84"/>
    </row>
    <row r="4606" customFormat="false" ht="15" hidden="false" customHeight="true" outlineLevel="0" collapsed="false">
      <c r="A4606" s="103"/>
      <c r="B4606" s="73"/>
      <c r="C4606" s="74"/>
      <c r="D4606" s="75"/>
      <c r="E4606" s="52" t="str">
        <f aca="false">IF(D4606&lt;&gt;"",IFERROR(VLOOKUP(D4606,PROVEEDORES!$A:$B,2,0),"!COD NO ENCONTRADO"),"")</f>
        <v/>
      </c>
      <c r="F4606" s="76" t="str">
        <f aca="false">IF(D4606&lt;&gt;"",IFERROR(VLOOKUP(D4606,PROVEEDORES!$A:$C,3,0),""),"")</f>
        <v/>
      </c>
      <c r="G4606" s="75"/>
      <c r="H4606" s="52" t="str">
        <f aca="false">IF(G4606&lt;&gt;"",IFERROR(VLOOKUP(G4606,PRODUCTOS!$A:$B,2,0),"!COD NO ENCONTRADO"),"")</f>
        <v/>
      </c>
      <c r="I4606" s="77"/>
      <c r="J4606" s="78"/>
      <c r="K4606" s="79"/>
      <c r="L4606" s="80" t="str">
        <f aca="false">IF(AND(J4606&lt;&gt;"",K4606&lt;&gt;""),J4606*K4606,"")</f>
        <v/>
      </c>
      <c r="M4606" s="81" t="str">
        <f aca="false">IF(L4606&lt;&gt;"",L4606*1.1,"")</f>
        <v/>
      </c>
      <c r="N4606" s="53" t="n">
        <f aca="false">IF(F4606="S",L4606*0.02,0)</f>
        <v>0</v>
      </c>
      <c r="O4606" s="82" t="str">
        <f aca="false">IF(L4606&lt;&gt;"",L4606+N4606,"")</f>
        <v/>
      </c>
      <c r="P4606" s="53" t="str">
        <f aca="false">IF(O4606&lt;&gt;"",O4606*0.1,"")</f>
        <v/>
      </c>
      <c r="Q4606" s="83" t="str">
        <f aca="false">IF(O4606&lt;&gt;"",O4606+P4606,"")</f>
        <v/>
      </c>
      <c r="R4606" s="84"/>
    </row>
    <row r="4607" customFormat="false" ht="15" hidden="false" customHeight="true" outlineLevel="0" collapsed="false">
      <c r="A4607" s="103"/>
      <c r="B4607" s="85"/>
      <c r="C4607" s="86"/>
      <c r="D4607" s="87"/>
      <c r="E4607" s="46" t="str">
        <f aca="false">IF(D4607&lt;&gt;"",IFERROR(VLOOKUP(D4607,PROVEEDORES!$A:$B,2,0),"!COD NO ENCONTRADO"),"")</f>
        <v/>
      </c>
      <c r="F4607" s="88" t="str">
        <f aca="false">IF(D4607&lt;&gt;"",IFERROR(VLOOKUP(D4607,PROVEEDORES!$A:$C,3,0),""),"")</f>
        <v/>
      </c>
      <c r="G4607" s="87"/>
      <c r="H4607" s="46" t="str">
        <f aca="false">IF(G4607&lt;&gt;"",IFERROR(VLOOKUP(G4607,PRODUCTOS!$A:$B,2,0),"!COD NO ENCONTRADO"),"")</f>
        <v/>
      </c>
      <c r="I4607" s="89"/>
      <c r="J4607" s="90"/>
      <c r="K4607" s="91"/>
      <c r="L4607" s="80" t="str">
        <f aca="false">IF(AND(J4607&lt;&gt;"",K4607&lt;&gt;""),J4607*K4607,"")</f>
        <v/>
      </c>
      <c r="M4607" s="81" t="str">
        <f aca="false">IF(L4607&lt;&gt;"",L4607*1.1,"")</f>
        <v/>
      </c>
      <c r="N4607" s="47" t="n">
        <f aca="false">IF(F4607="S",L4607*0.02,0)</f>
        <v>0</v>
      </c>
      <c r="O4607" s="82" t="str">
        <f aca="false">IF(L4607&lt;&gt;"",L4607+N4607,"")</f>
        <v/>
      </c>
      <c r="P4607" s="47" t="str">
        <f aca="false">IF(O4607&lt;&gt;"",O4607*0.1,"")</f>
        <v/>
      </c>
      <c r="Q4607" s="83" t="str">
        <f aca="false">IF(O4607&lt;&gt;"",O4607+P4607,"")</f>
        <v/>
      </c>
      <c r="R4607" s="84"/>
    </row>
    <row r="4608" customFormat="false" ht="15" hidden="false" customHeight="true" outlineLevel="0" collapsed="false">
      <c r="A4608" s="103"/>
      <c r="B4608" s="73"/>
      <c r="C4608" s="74"/>
      <c r="D4608" s="75"/>
      <c r="E4608" s="52" t="str">
        <f aca="false">IF(D4608&lt;&gt;"",IFERROR(VLOOKUP(D4608,PROVEEDORES!$A:$B,2,0),"!COD NO ENCONTRADO"),"")</f>
        <v/>
      </c>
      <c r="F4608" s="76" t="str">
        <f aca="false">IF(D4608&lt;&gt;"",IFERROR(VLOOKUP(D4608,PROVEEDORES!$A:$C,3,0),""),"")</f>
        <v/>
      </c>
      <c r="G4608" s="75"/>
      <c r="H4608" s="52" t="str">
        <f aca="false">IF(G4608&lt;&gt;"",IFERROR(VLOOKUP(G4608,PRODUCTOS!$A:$B,2,0),"!COD NO ENCONTRADO"),"")</f>
        <v/>
      </c>
      <c r="I4608" s="77"/>
      <c r="J4608" s="78"/>
      <c r="K4608" s="79"/>
      <c r="L4608" s="80" t="str">
        <f aca="false">IF(AND(J4608&lt;&gt;"",K4608&lt;&gt;""),J4608*K4608,"")</f>
        <v/>
      </c>
      <c r="M4608" s="81" t="str">
        <f aca="false">IF(L4608&lt;&gt;"",L4608*1.1,"")</f>
        <v/>
      </c>
      <c r="N4608" s="53" t="n">
        <f aca="false">IF(F4608="S",L4608*0.02,0)</f>
        <v>0</v>
      </c>
      <c r="O4608" s="82" t="str">
        <f aca="false">IF(L4608&lt;&gt;"",L4608+N4608,"")</f>
        <v/>
      </c>
      <c r="P4608" s="53" t="str">
        <f aca="false">IF(O4608&lt;&gt;"",O4608*0.1,"")</f>
        <v/>
      </c>
      <c r="Q4608" s="83" t="str">
        <f aca="false">IF(O4608&lt;&gt;"",O4608+P4608,"")</f>
        <v/>
      </c>
      <c r="R4608" s="84"/>
    </row>
    <row r="4609" customFormat="false" ht="15" hidden="false" customHeight="true" outlineLevel="0" collapsed="false">
      <c r="A4609" s="103"/>
      <c r="B4609" s="85"/>
      <c r="C4609" s="86"/>
      <c r="D4609" s="87"/>
      <c r="E4609" s="46" t="str">
        <f aca="false">IF(D4609&lt;&gt;"",IFERROR(VLOOKUP(D4609,PROVEEDORES!$A:$B,2,0),"!COD NO ENCONTRADO"),"")</f>
        <v/>
      </c>
      <c r="F4609" s="88" t="str">
        <f aca="false">IF(D4609&lt;&gt;"",IFERROR(VLOOKUP(D4609,PROVEEDORES!$A:$C,3,0),""),"")</f>
        <v/>
      </c>
      <c r="G4609" s="87"/>
      <c r="H4609" s="46" t="str">
        <f aca="false">IF(G4609&lt;&gt;"",IFERROR(VLOOKUP(G4609,PRODUCTOS!$A:$B,2,0),"!COD NO ENCONTRADO"),"")</f>
        <v/>
      </c>
      <c r="I4609" s="89"/>
      <c r="J4609" s="90"/>
      <c r="K4609" s="91"/>
      <c r="L4609" s="80" t="str">
        <f aca="false">IF(AND(J4609&lt;&gt;"",K4609&lt;&gt;""),J4609*K4609,"")</f>
        <v/>
      </c>
      <c r="M4609" s="81" t="str">
        <f aca="false">IF(L4609&lt;&gt;"",L4609*1.1,"")</f>
        <v/>
      </c>
      <c r="N4609" s="47" t="n">
        <f aca="false">IF(F4609="S",L4609*0.02,0)</f>
        <v>0</v>
      </c>
      <c r="O4609" s="82" t="str">
        <f aca="false">IF(L4609&lt;&gt;"",L4609+N4609,"")</f>
        <v/>
      </c>
      <c r="P4609" s="47" t="str">
        <f aca="false">IF(O4609&lt;&gt;"",O4609*0.1,"")</f>
        <v/>
      </c>
      <c r="Q4609" s="83" t="str">
        <f aca="false">IF(O4609&lt;&gt;"",O4609+P4609,"")</f>
        <v/>
      </c>
      <c r="R4609" s="84"/>
    </row>
    <row r="4610" customFormat="false" ht="15" hidden="false" customHeight="true" outlineLevel="0" collapsed="false">
      <c r="A4610" s="103"/>
      <c r="B4610" s="73"/>
      <c r="C4610" s="74"/>
      <c r="D4610" s="75"/>
      <c r="E4610" s="52" t="str">
        <f aca="false">IF(D4610&lt;&gt;"",IFERROR(VLOOKUP(D4610,PROVEEDORES!$A:$B,2,0),"!COD NO ENCONTRADO"),"")</f>
        <v/>
      </c>
      <c r="F4610" s="76" t="str">
        <f aca="false">IF(D4610&lt;&gt;"",IFERROR(VLOOKUP(D4610,PROVEEDORES!$A:$C,3,0),""),"")</f>
        <v/>
      </c>
      <c r="G4610" s="75"/>
      <c r="H4610" s="52" t="str">
        <f aca="false">IF(G4610&lt;&gt;"",IFERROR(VLOOKUP(G4610,PRODUCTOS!$A:$B,2,0),"!COD NO ENCONTRADO"),"")</f>
        <v/>
      </c>
      <c r="I4610" s="77"/>
      <c r="J4610" s="78"/>
      <c r="K4610" s="79"/>
      <c r="L4610" s="80" t="str">
        <f aca="false">IF(AND(J4610&lt;&gt;"",K4610&lt;&gt;""),J4610*K4610,"")</f>
        <v/>
      </c>
      <c r="M4610" s="81" t="str">
        <f aca="false">IF(L4610&lt;&gt;"",L4610*1.1,"")</f>
        <v/>
      </c>
      <c r="N4610" s="53" t="n">
        <f aca="false">IF(F4610="S",L4610*0.02,0)</f>
        <v>0</v>
      </c>
      <c r="O4610" s="82" t="str">
        <f aca="false">IF(L4610&lt;&gt;"",L4610+N4610,"")</f>
        <v/>
      </c>
      <c r="P4610" s="53" t="str">
        <f aca="false">IF(O4610&lt;&gt;"",O4610*0.1,"")</f>
        <v/>
      </c>
      <c r="Q4610" s="83" t="str">
        <f aca="false">IF(O4610&lt;&gt;"",O4610+P4610,"")</f>
        <v/>
      </c>
      <c r="R4610" s="84"/>
    </row>
    <row r="4611" customFormat="false" ht="15" hidden="false" customHeight="true" outlineLevel="0" collapsed="false">
      <c r="A4611" s="103"/>
      <c r="B4611" s="85"/>
      <c r="C4611" s="86"/>
      <c r="D4611" s="87"/>
      <c r="E4611" s="46" t="str">
        <f aca="false">IF(D4611&lt;&gt;"",IFERROR(VLOOKUP(D4611,PROVEEDORES!$A:$B,2,0),"!COD NO ENCONTRADO"),"")</f>
        <v/>
      </c>
      <c r="F4611" s="88" t="str">
        <f aca="false">IF(D4611&lt;&gt;"",IFERROR(VLOOKUP(D4611,PROVEEDORES!$A:$C,3,0),""),"")</f>
        <v/>
      </c>
      <c r="G4611" s="87"/>
      <c r="H4611" s="46" t="str">
        <f aca="false">IF(G4611&lt;&gt;"",IFERROR(VLOOKUP(G4611,PRODUCTOS!$A:$B,2,0),"!COD NO ENCONTRADO"),"")</f>
        <v/>
      </c>
      <c r="I4611" s="89"/>
      <c r="J4611" s="90"/>
      <c r="K4611" s="91"/>
      <c r="L4611" s="80" t="str">
        <f aca="false">IF(AND(J4611&lt;&gt;"",K4611&lt;&gt;""),J4611*K4611,"")</f>
        <v/>
      </c>
      <c r="M4611" s="81" t="str">
        <f aca="false">IF(L4611&lt;&gt;"",L4611*1.1,"")</f>
        <v/>
      </c>
      <c r="N4611" s="47" t="n">
        <f aca="false">IF(F4611="S",L4611*0.02,0)</f>
        <v>0</v>
      </c>
      <c r="O4611" s="82" t="str">
        <f aca="false">IF(L4611&lt;&gt;"",L4611+N4611,"")</f>
        <v/>
      </c>
      <c r="P4611" s="47" t="str">
        <f aca="false">IF(O4611&lt;&gt;"",O4611*0.1,"")</f>
        <v/>
      </c>
      <c r="Q4611" s="83" t="str">
        <f aca="false">IF(O4611&lt;&gt;"",O4611+P4611,"")</f>
        <v/>
      </c>
      <c r="R4611" s="84"/>
    </row>
    <row r="4612" customFormat="false" ht="15" hidden="false" customHeight="true" outlineLevel="0" collapsed="false">
      <c r="A4612" s="103"/>
      <c r="B4612" s="73"/>
      <c r="C4612" s="74"/>
      <c r="D4612" s="75"/>
      <c r="E4612" s="52" t="str">
        <f aca="false">IF(D4612&lt;&gt;"",IFERROR(VLOOKUP(D4612,PROVEEDORES!$A:$B,2,0),"!COD NO ENCONTRADO"),"")</f>
        <v/>
      </c>
      <c r="F4612" s="76" t="str">
        <f aca="false">IF(D4612&lt;&gt;"",IFERROR(VLOOKUP(D4612,PROVEEDORES!$A:$C,3,0),""),"")</f>
        <v/>
      </c>
      <c r="G4612" s="75"/>
      <c r="H4612" s="52" t="str">
        <f aca="false">IF(G4612&lt;&gt;"",IFERROR(VLOOKUP(G4612,PRODUCTOS!$A:$B,2,0),"!COD NO ENCONTRADO"),"")</f>
        <v/>
      </c>
      <c r="I4612" s="77"/>
      <c r="J4612" s="78"/>
      <c r="K4612" s="79"/>
      <c r="L4612" s="80" t="str">
        <f aca="false">IF(AND(J4612&lt;&gt;"",K4612&lt;&gt;""),J4612*K4612,"")</f>
        <v/>
      </c>
      <c r="M4612" s="81" t="str">
        <f aca="false">IF(L4612&lt;&gt;"",L4612*1.1,"")</f>
        <v/>
      </c>
      <c r="N4612" s="53" t="n">
        <f aca="false">IF(F4612="S",L4612*0.02,0)</f>
        <v>0</v>
      </c>
      <c r="O4612" s="82" t="str">
        <f aca="false">IF(L4612&lt;&gt;"",L4612+N4612,"")</f>
        <v/>
      </c>
      <c r="P4612" s="53" t="str">
        <f aca="false">IF(O4612&lt;&gt;"",O4612*0.1,"")</f>
        <v/>
      </c>
      <c r="Q4612" s="83" t="str">
        <f aca="false">IF(O4612&lt;&gt;"",O4612+P4612,"")</f>
        <v/>
      </c>
      <c r="R4612" s="84"/>
    </row>
    <row r="4613" customFormat="false" ht="15" hidden="false" customHeight="true" outlineLevel="0" collapsed="false">
      <c r="A4613" s="103"/>
      <c r="B4613" s="85"/>
      <c r="C4613" s="86"/>
      <c r="D4613" s="87"/>
      <c r="E4613" s="46" t="str">
        <f aca="false">IF(D4613&lt;&gt;"",IFERROR(VLOOKUP(D4613,PROVEEDORES!$A:$B,2,0),"!COD NO ENCONTRADO"),"")</f>
        <v/>
      </c>
      <c r="F4613" s="88" t="str">
        <f aca="false">IF(D4613&lt;&gt;"",IFERROR(VLOOKUP(D4613,PROVEEDORES!$A:$C,3,0),""),"")</f>
        <v/>
      </c>
      <c r="G4613" s="87"/>
      <c r="H4613" s="46" t="str">
        <f aca="false">IF(G4613&lt;&gt;"",IFERROR(VLOOKUP(G4613,PRODUCTOS!$A:$B,2,0),"!COD NO ENCONTRADO"),"")</f>
        <v/>
      </c>
      <c r="I4613" s="89"/>
      <c r="J4613" s="90"/>
      <c r="K4613" s="91"/>
      <c r="L4613" s="80" t="str">
        <f aca="false">IF(AND(J4613&lt;&gt;"",K4613&lt;&gt;""),J4613*K4613,"")</f>
        <v/>
      </c>
      <c r="M4613" s="81" t="str">
        <f aca="false">IF(L4613&lt;&gt;"",L4613*1.1,"")</f>
        <v/>
      </c>
      <c r="N4613" s="47" t="n">
        <f aca="false">IF(F4613="S",L4613*0.02,0)</f>
        <v>0</v>
      </c>
      <c r="O4613" s="82" t="str">
        <f aca="false">IF(L4613&lt;&gt;"",L4613+N4613,"")</f>
        <v/>
      </c>
      <c r="P4613" s="47" t="str">
        <f aca="false">IF(O4613&lt;&gt;"",O4613*0.1,"")</f>
        <v/>
      </c>
      <c r="Q4613" s="83" t="str">
        <f aca="false">IF(O4613&lt;&gt;"",O4613+P4613,"")</f>
        <v/>
      </c>
      <c r="R4613" s="84"/>
    </row>
    <row r="4614" customFormat="false" ht="15" hidden="false" customHeight="true" outlineLevel="0" collapsed="false">
      <c r="A4614" s="103"/>
      <c r="B4614" s="73"/>
      <c r="C4614" s="74"/>
      <c r="D4614" s="75"/>
      <c r="E4614" s="52" t="str">
        <f aca="false">IF(D4614&lt;&gt;"",IFERROR(VLOOKUP(D4614,PROVEEDORES!$A:$B,2,0),"!COD NO ENCONTRADO"),"")</f>
        <v/>
      </c>
      <c r="F4614" s="76" t="str">
        <f aca="false">IF(D4614&lt;&gt;"",IFERROR(VLOOKUP(D4614,PROVEEDORES!$A:$C,3,0),""),"")</f>
        <v/>
      </c>
      <c r="G4614" s="75"/>
      <c r="H4614" s="52" t="str">
        <f aca="false">IF(G4614&lt;&gt;"",IFERROR(VLOOKUP(G4614,PRODUCTOS!$A:$B,2,0),"!COD NO ENCONTRADO"),"")</f>
        <v/>
      </c>
      <c r="I4614" s="77"/>
      <c r="J4614" s="78"/>
      <c r="K4614" s="79"/>
      <c r="L4614" s="80" t="str">
        <f aca="false">IF(AND(J4614&lt;&gt;"",K4614&lt;&gt;""),J4614*K4614,"")</f>
        <v/>
      </c>
      <c r="M4614" s="81" t="str">
        <f aca="false">IF(L4614&lt;&gt;"",L4614*1.1,"")</f>
        <v/>
      </c>
      <c r="N4614" s="53" t="n">
        <f aca="false">IF(F4614="S",L4614*0.02,0)</f>
        <v>0</v>
      </c>
      <c r="O4614" s="82" t="str">
        <f aca="false">IF(L4614&lt;&gt;"",L4614+N4614,"")</f>
        <v/>
      </c>
      <c r="P4614" s="53" t="str">
        <f aca="false">IF(O4614&lt;&gt;"",O4614*0.1,"")</f>
        <v/>
      </c>
      <c r="Q4614" s="83" t="str">
        <f aca="false">IF(O4614&lt;&gt;"",O4614+P4614,"")</f>
        <v/>
      </c>
      <c r="R4614" s="84"/>
    </row>
    <row r="4615" customFormat="false" ht="15" hidden="false" customHeight="true" outlineLevel="0" collapsed="false">
      <c r="A4615" s="103"/>
      <c r="B4615" s="85"/>
      <c r="C4615" s="86"/>
      <c r="D4615" s="87"/>
      <c r="E4615" s="46" t="str">
        <f aca="false">IF(D4615&lt;&gt;"",IFERROR(VLOOKUP(D4615,PROVEEDORES!$A:$B,2,0),"!COD NO ENCONTRADO"),"")</f>
        <v/>
      </c>
      <c r="F4615" s="88" t="str">
        <f aca="false">IF(D4615&lt;&gt;"",IFERROR(VLOOKUP(D4615,PROVEEDORES!$A:$C,3,0),""),"")</f>
        <v/>
      </c>
      <c r="G4615" s="87"/>
      <c r="H4615" s="46" t="str">
        <f aca="false">IF(G4615&lt;&gt;"",IFERROR(VLOOKUP(G4615,PRODUCTOS!$A:$B,2,0),"!COD NO ENCONTRADO"),"")</f>
        <v/>
      </c>
      <c r="I4615" s="89"/>
      <c r="J4615" s="90"/>
      <c r="K4615" s="91"/>
      <c r="L4615" s="80" t="str">
        <f aca="false">IF(AND(J4615&lt;&gt;"",K4615&lt;&gt;""),J4615*K4615,"")</f>
        <v/>
      </c>
      <c r="M4615" s="81" t="str">
        <f aca="false">IF(L4615&lt;&gt;"",L4615*1.1,"")</f>
        <v/>
      </c>
      <c r="N4615" s="47" t="n">
        <f aca="false">IF(F4615="S",L4615*0.02,0)</f>
        <v>0</v>
      </c>
      <c r="O4615" s="82" t="str">
        <f aca="false">IF(L4615&lt;&gt;"",L4615+N4615,"")</f>
        <v/>
      </c>
      <c r="P4615" s="47" t="str">
        <f aca="false">IF(O4615&lt;&gt;"",O4615*0.1,"")</f>
        <v/>
      </c>
      <c r="Q4615" s="83" t="str">
        <f aca="false">IF(O4615&lt;&gt;"",O4615+P4615,"")</f>
        <v/>
      </c>
      <c r="R4615" s="84"/>
    </row>
    <row r="4616" customFormat="false" ht="15" hidden="false" customHeight="true" outlineLevel="0" collapsed="false">
      <c r="A4616" s="103"/>
      <c r="B4616" s="73"/>
      <c r="C4616" s="74"/>
      <c r="D4616" s="75"/>
      <c r="E4616" s="52" t="str">
        <f aca="false">IF(D4616&lt;&gt;"",IFERROR(VLOOKUP(D4616,PROVEEDORES!$A:$B,2,0),"!COD NO ENCONTRADO"),"")</f>
        <v/>
      </c>
      <c r="F4616" s="76" t="str">
        <f aca="false">IF(D4616&lt;&gt;"",IFERROR(VLOOKUP(D4616,PROVEEDORES!$A:$C,3,0),""),"")</f>
        <v/>
      </c>
      <c r="G4616" s="75"/>
      <c r="H4616" s="52" t="str">
        <f aca="false">IF(G4616&lt;&gt;"",IFERROR(VLOOKUP(G4616,PRODUCTOS!$A:$B,2,0),"!COD NO ENCONTRADO"),"")</f>
        <v/>
      </c>
      <c r="I4616" s="77"/>
      <c r="J4616" s="78"/>
      <c r="K4616" s="79"/>
      <c r="L4616" s="80" t="str">
        <f aca="false">IF(AND(J4616&lt;&gt;"",K4616&lt;&gt;""),J4616*K4616,"")</f>
        <v/>
      </c>
      <c r="M4616" s="81" t="str">
        <f aca="false">IF(L4616&lt;&gt;"",L4616*1.1,"")</f>
        <v/>
      </c>
      <c r="N4616" s="53" t="n">
        <f aca="false">IF(F4616="S",L4616*0.02,0)</f>
        <v>0</v>
      </c>
      <c r="O4616" s="82" t="str">
        <f aca="false">IF(L4616&lt;&gt;"",L4616+N4616,"")</f>
        <v/>
      </c>
      <c r="P4616" s="53" t="str">
        <f aca="false">IF(O4616&lt;&gt;"",O4616*0.1,"")</f>
        <v/>
      </c>
      <c r="Q4616" s="83" t="str">
        <f aca="false">IF(O4616&lt;&gt;"",O4616+P4616,"")</f>
        <v/>
      </c>
      <c r="R4616" s="84"/>
    </row>
    <row r="4617" customFormat="false" ht="15" hidden="false" customHeight="true" outlineLevel="0" collapsed="false">
      <c r="A4617" s="103"/>
      <c r="B4617" s="85"/>
      <c r="C4617" s="86"/>
      <c r="D4617" s="87"/>
      <c r="E4617" s="46" t="str">
        <f aca="false">IF(D4617&lt;&gt;"",IFERROR(VLOOKUP(D4617,PROVEEDORES!$A:$B,2,0),"!COD NO ENCONTRADO"),"")</f>
        <v/>
      </c>
      <c r="F4617" s="88" t="str">
        <f aca="false">IF(D4617&lt;&gt;"",IFERROR(VLOOKUP(D4617,PROVEEDORES!$A:$C,3,0),""),"")</f>
        <v/>
      </c>
      <c r="G4617" s="87"/>
      <c r="H4617" s="46" t="str">
        <f aca="false">IF(G4617&lt;&gt;"",IFERROR(VLOOKUP(G4617,PRODUCTOS!$A:$B,2,0),"!COD NO ENCONTRADO"),"")</f>
        <v/>
      </c>
      <c r="I4617" s="89"/>
      <c r="J4617" s="90"/>
      <c r="K4617" s="91"/>
      <c r="L4617" s="80" t="str">
        <f aca="false">IF(AND(J4617&lt;&gt;"",K4617&lt;&gt;""),J4617*K4617,"")</f>
        <v/>
      </c>
      <c r="M4617" s="81" t="str">
        <f aca="false">IF(L4617&lt;&gt;"",L4617*1.1,"")</f>
        <v/>
      </c>
      <c r="N4617" s="47" t="n">
        <f aca="false">IF(F4617="S",L4617*0.02,0)</f>
        <v>0</v>
      </c>
      <c r="O4617" s="82" t="str">
        <f aca="false">IF(L4617&lt;&gt;"",L4617+N4617,"")</f>
        <v/>
      </c>
      <c r="P4617" s="47" t="str">
        <f aca="false">IF(O4617&lt;&gt;"",O4617*0.1,"")</f>
        <v/>
      </c>
      <c r="Q4617" s="83" t="str">
        <f aca="false">IF(O4617&lt;&gt;"",O4617+P4617,"")</f>
        <v/>
      </c>
      <c r="R4617" s="84"/>
    </row>
    <row r="4618" customFormat="false" ht="15" hidden="false" customHeight="true" outlineLevel="0" collapsed="false">
      <c r="A4618" s="103"/>
      <c r="B4618" s="73"/>
      <c r="C4618" s="74"/>
      <c r="D4618" s="75"/>
      <c r="E4618" s="52" t="str">
        <f aca="false">IF(D4618&lt;&gt;"",IFERROR(VLOOKUP(D4618,PROVEEDORES!$A:$B,2,0),"!COD NO ENCONTRADO"),"")</f>
        <v/>
      </c>
      <c r="F4618" s="76" t="str">
        <f aca="false">IF(D4618&lt;&gt;"",IFERROR(VLOOKUP(D4618,PROVEEDORES!$A:$C,3,0),""),"")</f>
        <v/>
      </c>
      <c r="G4618" s="75"/>
      <c r="H4618" s="52" t="str">
        <f aca="false">IF(G4618&lt;&gt;"",IFERROR(VLOOKUP(G4618,PRODUCTOS!$A:$B,2,0),"!COD NO ENCONTRADO"),"")</f>
        <v/>
      </c>
      <c r="I4618" s="77"/>
      <c r="J4618" s="78"/>
      <c r="K4618" s="79"/>
      <c r="L4618" s="80" t="str">
        <f aca="false">IF(AND(J4618&lt;&gt;"",K4618&lt;&gt;""),J4618*K4618,"")</f>
        <v/>
      </c>
      <c r="M4618" s="81" t="str">
        <f aca="false">IF(L4618&lt;&gt;"",L4618*1.1,"")</f>
        <v/>
      </c>
      <c r="N4618" s="53" t="n">
        <f aca="false">IF(F4618="S",L4618*0.02,0)</f>
        <v>0</v>
      </c>
      <c r="O4618" s="82" t="str">
        <f aca="false">IF(L4618&lt;&gt;"",L4618+N4618,"")</f>
        <v/>
      </c>
      <c r="P4618" s="53" t="str">
        <f aca="false">IF(O4618&lt;&gt;"",O4618*0.1,"")</f>
        <v/>
      </c>
      <c r="Q4618" s="83" t="str">
        <f aca="false">IF(O4618&lt;&gt;"",O4618+P4618,"")</f>
        <v/>
      </c>
      <c r="R4618" s="84"/>
    </row>
    <row r="4619" customFormat="false" ht="15" hidden="false" customHeight="true" outlineLevel="0" collapsed="false">
      <c r="A4619" s="103"/>
      <c r="B4619" s="85"/>
      <c r="C4619" s="86"/>
      <c r="D4619" s="87"/>
      <c r="E4619" s="46" t="str">
        <f aca="false">IF(D4619&lt;&gt;"",IFERROR(VLOOKUP(D4619,PROVEEDORES!$A:$B,2,0),"!COD NO ENCONTRADO"),"")</f>
        <v/>
      </c>
      <c r="F4619" s="88" t="str">
        <f aca="false">IF(D4619&lt;&gt;"",IFERROR(VLOOKUP(D4619,PROVEEDORES!$A:$C,3,0),""),"")</f>
        <v/>
      </c>
      <c r="G4619" s="87"/>
      <c r="H4619" s="46" t="str">
        <f aca="false">IF(G4619&lt;&gt;"",IFERROR(VLOOKUP(G4619,PRODUCTOS!$A:$B,2,0),"!COD NO ENCONTRADO"),"")</f>
        <v/>
      </c>
      <c r="I4619" s="89"/>
      <c r="J4619" s="90"/>
      <c r="K4619" s="91"/>
      <c r="L4619" s="80" t="str">
        <f aca="false">IF(AND(J4619&lt;&gt;"",K4619&lt;&gt;""),J4619*K4619,"")</f>
        <v/>
      </c>
      <c r="M4619" s="81" t="str">
        <f aca="false">IF(L4619&lt;&gt;"",L4619*1.1,"")</f>
        <v/>
      </c>
      <c r="N4619" s="47" t="n">
        <f aca="false">IF(F4619="S",L4619*0.02,0)</f>
        <v>0</v>
      </c>
      <c r="O4619" s="82" t="str">
        <f aca="false">IF(L4619&lt;&gt;"",L4619+N4619,"")</f>
        <v/>
      </c>
      <c r="P4619" s="47" t="str">
        <f aca="false">IF(O4619&lt;&gt;"",O4619*0.1,"")</f>
        <v/>
      </c>
      <c r="Q4619" s="83" t="str">
        <f aca="false">IF(O4619&lt;&gt;"",O4619+P4619,"")</f>
        <v/>
      </c>
      <c r="R4619" s="84"/>
    </row>
    <row r="4620" customFormat="false" ht="15" hidden="false" customHeight="true" outlineLevel="0" collapsed="false">
      <c r="A4620" s="103"/>
      <c r="B4620" s="73"/>
      <c r="C4620" s="74"/>
      <c r="D4620" s="75"/>
      <c r="E4620" s="52" t="str">
        <f aca="false">IF(D4620&lt;&gt;"",IFERROR(VLOOKUP(D4620,PROVEEDORES!$A:$B,2,0),"!COD NO ENCONTRADO"),"")</f>
        <v/>
      </c>
      <c r="F4620" s="76" t="str">
        <f aca="false">IF(D4620&lt;&gt;"",IFERROR(VLOOKUP(D4620,PROVEEDORES!$A:$C,3,0),""),"")</f>
        <v/>
      </c>
      <c r="G4620" s="75"/>
      <c r="H4620" s="52" t="str">
        <f aca="false">IF(G4620&lt;&gt;"",IFERROR(VLOOKUP(G4620,PRODUCTOS!$A:$B,2,0),"!COD NO ENCONTRADO"),"")</f>
        <v/>
      </c>
      <c r="I4620" s="77"/>
      <c r="J4620" s="78"/>
      <c r="K4620" s="79"/>
      <c r="L4620" s="80" t="str">
        <f aca="false">IF(AND(J4620&lt;&gt;"",K4620&lt;&gt;""),J4620*K4620,"")</f>
        <v/>
      </c>
      <c r="M4620" s="81" t="str">
        <f aca="false">IF(L4620&lt;&gt;"",L4620*1.1,"")</f>
        <v/>
      </c>
      <c r="N4620" s="53" t="n">
        <f aca="false">IF(F4620="S",L4620*0.02,0)</f>
        <v>0</v>
      </c>
      <c r="O4620" s="82" t="str">
        <f aca="false">IF(L4620&lt;&gt;"",L4620+N4620,"")</f>
        <v/>
      </c>
      <c r="P4620" s="53" t="str">
        <f aca="false">IF(O4620&lt;&gt;"",O4620*0.1,"")</f>
        <v/>
      </c>
      <c r="Q4620" s="83" t="str">
        <f aca="false">IF(O4620&lt;&gt;"",O4620+P4620,"")</f>
        <v/>
      </c>
      <c r="R4620" s="84"/>
    </row>
    <row r="4621" customFormat="false" ht="15" hidden="false" customHeight="true" outlineLevel="0" collapsed="false">
      <c r="A4621" s="103"/>
      <c r="B4621" s="85"/>
      <c r="C4621" s="86"/>
      <c r="D4621" s="87"/>
      <c r="E4621" s="46" t="str">
        <f aca="false">IF(D4621&lt;&gt;"",IFERROR(VLOOKUP(D4621,PROVEEDORES!$A:$B,2,0),"!COD NO ENCONTRADO"),"")</f>
        <v/>
      </c>
      <c r="F4621" s="88" t="str">
        <f aca="false">IF(D4621&lt;&gt;"",IFERROR(VLOOKUP(D4621,PROVEEDORES!$A:$C,3,0),""),"")</f>
        <v/>
      </c>
      <c r="G4621" s="87"/>
      <c r="H4621" s="46" t="str">
        <f aca="false">IF(G4621&lt;&gt;"",IFERROR(VLOOKUP(G4621,PRODUCTOS!$A:$B,2,0),"!COD NO ENCONTRADO"),"")</f>
        <v/>
      </c>
      <c r="I4621" s="89"/>
      <c r="J4621" s="90"/>
      <c r="K4621" s="91"/>
      <c r="L4621" s="80" t="str">
        <f aca="false">IF(AND(J4621&lt;&gt;"",K4621&lt;&gt;""),J4621*K4621,"")</f>
        <v/>
      </c>
      <c r="M4621" s="81" t="str">
        <f aca="false">IF(L4621&lt;&gt;"",L4621*1.1,"")</f>
        <v/>
      </c>
      <c r="N4621" s="47" t="n">
        <f aca="false">IF(F4621="S",L4621*0.02,0)</f>
        <v>0</v>
      </c>
      <c r="O4621" s="82" t="str">
        <f aca="false">IF(L4621&lt;&gt;"",L4621+N4621,"")</f>
        <v/>
      </c>
      <c r="P4621" s="47" t="str">
        <f aca="false">IF(O4621&lt;&gt;"",O4621*0.1,"")</f>
        <v/>
      </c>
      <c r="Q4621" s="83" t="str">
        <f aca="false">IF(O4621&lt;&gt;"",O4621+P4621,"")</f>
        <v/>
      </c>
      <c r="R4621" s="84"/>
    </row>
    <row r="4622" customFormat="false" ht="15" hidden="false" customHeight="true" outlineLevel="0" collapsed="false">
      <c r="A4622" s="103"/>
      <c r="B4622" s="73"/>
      <c r="C4622" s="74"/>
      <c r="D4622" s="75"/>
      <c r="E4622" s="52" t="str">
        <f aca="false">IF(D4622&lt;&gt;"",IFERROR(VLOOKUP(D4622,PROVEEDORES!$A:$B,2,0),"!COD NO ENCONTRADO"),"")</f>
        <v/>
      </c>
      <c r="F4622" s="76" t="str">
        <f aca="false">IF(D4622&lt;&gt;"",IFERROR(VLOOKUP(D4622,PROVEEDORES!$A:$C,3,0),""),"")</f>
        <v/>
      </c>
      <c r="G4622" s="75"/>
      <c r="H4622" s="52" t="str">
        <f aca="false">IF(G4622&lt;&gt;"",IFERROR(VLOOKUP(G4622,PRODUCTOS!$A:$B,2,0),"!COD NO ENCONTRADO"),"")</f>
        <v/>
      </c>
      <c r="I4622" s="77"/>
      <c r="J4622" s="78"/>
      <c r="K4622" s="79"/>
      <c r="L4622" s="80" t="str">
        <f aca="false">IF(AND(J4622&lt;&gt;"",K4622&lt;&gt;""),J4622*K4622,"")</f>
        <v/>
      </c>
      <c r="M4622" s="81" t="str">
        <f aca="false">IF(L4622&lt;&gt;"",L4622*1.1,"")</f>
        <v/>
      </c>
      <c r="N4622" s="53" t="n">
        <f aca="false">IF(F4622="S",L4622*0.02,0)</f>
        <v>0</v>
      </c>
      <c r="O4622" s="82" t="str">
        <f aca="false">IF(L4622&lt;&gt;"",L4622+N4622,"")</f>
        <v/>
      </c>
      <c r="P4622" s="53" t="str">
        <f aca="false">IF(O4622&lt;&gt;"",O4622*0.1,"")</f>
        <v/>
      </c>
      <c r="Q4622" s="83" t="str">
        <f aca="false">IF(O4622&lt;&gt;"",O4622+P4622,"")</f>
        <v/>
      </c>
      <c r="R4622" s="84"/>
    </row>
    <row r="4623" customFormat="false" ht="15" hidden="false" customHeight="true" outlineLevel="0" collapsed="false">
      <c r="A4623" s="103"/>
      <c r="B4623" s="85"/>
      <c r="C4623" s="86"/>
      <c r="D4623" s="87"/>
      <c r="E4623" s="46" t="str">
        <f aca="false">IF(D4623&lt;&gt;"",IFERROR(VLOOKUP(D4623,PROVEEDORES!$A:$B,2,0),"!COD NO ENCONTRADO"),"")</f>
        <v/>
      </c>
      <c r="F4623" s="88" t="str">
        <f aca="false">IF(D4623&lt;&gt;"",IFERROR(VLOOKUP(D4623,PROVEEDORES!$A:$C,3,0),""),"")</f>
        <v/>
      </c>
      <c r="G4623" s="87"/>
      <c r="H4623" s="46" t="str">
        <f aca="false">IF(G4623&lt;&gt;"",IFERROR(VLOOKUP(G4623,PRODUCTOS!$A:$B,2,0),"!COD NO ENCONTRADO"),"")</f>
        <v/>
      </c>
      <c r="I4623" s="89"/>
      <c r="J4623" s="90"/>
      <c r="K4623" s="91"/>
      <c r="L4623" s="80" t="str">
        <f aca="false">IF(AND(J4623&lt;&gt;"",K4623&lt;&gt;""),J4623*K4623,"")</f>
        <v/>
      </c>
      <c r="M4623" s="81" t="str">
        <f aca="false">IF(L4623&lt;&gt;"",L4623*1.1,"")</f>
        <v/>
      </c>
      <c r="N4623" s="47" t="n">
        <f aca="false">IF(F4623="S",L4623*0.02,0)</f>
        <v>0</v>
      </c>
      <c r="O4623" s="82" t="str">
        <f aca="false">IF(L4623&lt;&gt;"",L4623+N4623,"")</f>
        <v/>
      </c>
      <c r="P4623" s="47" t="str">
        <f aca="false">IF(O4623&lt;&gt;"",O4623*0.1,"")</f>
        <v/>
      </c>
      <c r="Q4623" s="83" t="str">
        <f aca="false">IF(O4623&lt;&gt;"",O4623+P4623,"")</f>
        <v/>
      </c>
      <c r="R4623" s="84"/>
    </row>
    <row r="4624" customFormat="false" ht="15" hidden="false" customHeight="true" outlineLevel="0" collapsed="false">
      <c r="A4624" s="103"/>
      <c r="B4624" s="73"/>
      <c r="C4624" s="74"/>
      <c r="D4624" s="75"/>
      <c r="E4624" s="52" t="str">
        <f aca="false">IF(D4624&lt;&gt;"",IFERROR(VLOOKUP(D4624,PROVEEDORES!$A:$B,2,0),"!COD NO ENCONTRADO"),"")</f>
        <v/>
      </c>
      <c r="F4624" s="76" t="str">
        <f aca="false">IF(D4624&lt;&gt;"",IFERROR(VLOOKUP(D4624,PROVEEDORES!$A:$C,3,0),""),"")</f>
        <v/>
      </c>
      <c r="G4624" s="75"/>
      <c r="H4624" s="52" t="str">
        <f aca="false">IF(G4624&lt;&gt;"",IFERROR(VLOOKUP(G4624,PRODUCTOS!$A:$B,2,0),"!COD NO ENCONTRADO"),"")</f>
        <v/>
      </c>
      <c r="I4624" s="77"/>
      <c r="J4624" s="78"/>
      <c r="K4624" s="79"/>
      <c r="L4624" s="80" t="str">
        <f aca="false">IF(AND(J4624&lt;&gt;"",K4624&lt;&gt;""),J4624*K4624,"")</f>
        <v/>
      </c>
      <c r="M4624" s="81" t="str">
        <f aca="false">IF(L4624&lt;&gt;"",L4624*1.1,"")</f>
        <v/>
      </c>
      <c r="N4624" s="53" t="n">
        <f aca="false">IF(F4624="S",L4624*0.02,0)</f>
        <v>0</v>
      </c>
      <c r="O4624" s="82" t="str">
        <f aca="false">IF(L4624&lt;&gt;"",L4624+N4624,"")</f>
        <v/>
      </c>
      <c r="P4624" s="53" t="str">
        <f aca="false">IF(O4624&lt;&gt;"",O4624*0.1,"")</f>
        <v/>
      </c>
      <c r="Q4624" s="83" t="str">
        <f aca="false">IF(O4624&lt;&gt;"",O4624+P4624,"")</f>
        <v/>
      </c>
      <c r="R4624" s="84"/>
    </row>
    <row r="4625" customFormat="false" ht="15" hidden="false" customHeight="true" outlineLevel="0" collapsed="false">
      <c r="A4625" s="103"/>
      <c r="B4625" s="85"/>
      <c r="C4625" s="86"/>
      <c r="D4625" s="87"/>
      <c r="E4625" s="46" t="str">
        <f aca="false">IF(D4625&lt;&gt;"",IFERROR(VLOOKUP(D4625,PROVEEDORES!$A:$B,2,0),"!COD NO ENCONTRADO"),"")</f>
        <v/>
      </c>
      <c r="F4625" s="88" t="str">
        <f aca="false">IF(D4625&lt;&gt;"",IFERROR(VLOOKUP(D4625,PROVEEDORES!$A:$C,3,0),""),"")</f>
        <v/>
      </c>
      <c r="G4625" s="87"/>
      <c r="H4625" s="46" t="str">
        <f aca="false">IF(G4625&lt;&gt;"",IFERROR(VLOOKUP(G4625,PRODUCTOS!$A:$B,2,0),"!COD NO ENCONTRADO"),"")</f>
        <v/>
      </c>
      <c r="I4625" s="89"/>
      <c r="J4625" s="90"/>
      <c r="K4625" s="91"/>
      <c r="L4625" s="80" t="str">
        <f aca="false">IF(AND(J4625&lt;&gt;"",K4625&lt;&gt;""),J4625*K4625,"")</f>
        <v/>
      </c>
      <c r="M4625" s="81" t="str">
        <f aca="false">IF(L4625&lt;&gt;"",L4625*1.1,"")</f>
        <v/>
      </c>
      <c r="N4625" s="47" t="n">
        <f aca="false">IF(F4625="S",L4625*0.02,0)</f>
        <v>0</v>
      </c>
      <c r="O4625" s="82" t="str">
        <f aca="false">IF(L4625&lt;&gt;"",L4625+N4625,"")</f>
        <v/>
      </c>
      <c r="P4625" s="47" t="str">
        <f aca="false">IF(O4625&lt;&gt;"",O4625*0.1,"")</f>
        <v/>
      </c>
      <c r="Q4625" s="83" t="str">
        <f aca="false">IF(O4625&lt;&gt;"",O4625+P4625,"")</f>
        <v/>
      </c>
      <c r="R4625" s="84"/>
    </row>
    <row r="4626" customFormat="false" ht="15" hidden="false" customHeight="true" outlineLevel="0" collapsed="false">
      <c r="A4626" s="103"/>
      <c r="B4626" s="73"/>
      <c r="C4626" s="74"/>
      <c r="D4626" s="75"/>
      <c r="E4626" s="52" t="str">
        <f aca="false">IF(D4626&lt;&gt;"",IFERROR(VLOOKUP(D4626,PROVEEDORES!$A:$B,2,0),"!COD NO ENCONTRADO"),"")</f>
        <v/>
      </c>
      <c r="F4626" s="76" t="str">
        <f aca="false">IF(D4626&lt;&gt;"",IFERROR(VLOOKUP(D4626,PROVEEDORES!$A:$C,3,0),""),"")</f>
        <v/>
      </c>
      <c r="G4626" s="75"/>
      <c r="H4626" s="52" t="str">
        <f aca="false">IF(G4626&lt;&gt;"",IFERROR(VLOOKUP(G4626,PRODUCTOS!$A:$B,2,0),"!COD NO ENCONTRADO"),"")</f>
        <v/>
      </c>
      <c r="I4626" s="77"/>
      <c r="J4626" s="78"/>
      <c r="K4626" s="79"/>
      <c r="L4626" s="80" t="str">
        <f aca="false">IF(AND(J4626&lt;&gt;"",K4626&lt;&gt;""),J4626*K4626,"")</f>
        <v/>
      </c>
      <c r="M4626" s="81" t="str">
        <f aca="false">IF(L4626&lt;&gt;"",L4626*1.1,"")</f>
        <v/>
      </c>
      <c r="N4626" s="53" t="n">
        <f aca="false">IF(F4626="S",L4626*0.02,0)</f>
        <v>0</v>
      </c>
      <c r="O4626" s="82" t="str">
        <f aca="false">IF(L4626&lt;&gt;"",L4626+N4626,"")</f>
        <v/>
      </c>
      <c r="P4626" s="53" t="str">
        <f aca="false">IF(O4626&lt;&gt;"",O4626*0.1,"")</f>
        <v/>
      </c>
      <c r="Q4626" s="83" t="str">
        <f aca="false">IF(O4626&lt;&gt;"",O4626+P4626,"")</f>
        <v/>
      </c>
      <c r="R4626" s="84"/>
    </row>
    <row r="4627" customFormat="false" ht="15" hidden="false" customHeight="true" outlineLevel="0" collapsed="false">
      <c r="A4627" s="103"/>
      <c r="B4627" s="85"/>
      <c r="C4627" s="86"/>
      <c r="D4627" s="87"/>
      <c r="E4627" s="46" t="str">
        <f aca="false">IF(D4627&lt;&gt;"",IFERROR(VLOOKUP(D4627,PROVEEDORES!$A:$B,2,0),"!COD NO ENCONTRADO"),"")</f>
        <v/>
      </c>
      <c r="F4627" s="88" t="str">
        <f aca="false">IF(D4627&lt;&gt;"",IFERROR(VLOOKUP(D4627,PROVEEDORES!$A:$C,3,0),""),"")</f>
        <v/>
      </c>
      <c r="G4627" s="87"/>
      <c r="H4627" s="46" t="str">
        <f aca="false">IF(G4627&lt;&gt;"",IFERROR(VLOOKUP(G4627,PRODUCTOS!$A:$B,2,0),"!COD NO ENCONTRADO"),"")</f>
        <v/>
      </c>
      <c r="I4627" s="89"/>
      <c r="J4627" s="90"/>
      <c r="K4627" s="91"/>
      <c r="L4627" s="80" t="str">
        <f aca="false">IF(AND(J4627&lt;&gt;"",K4627&lt;&gt;""),J4627*K4627,"")</f>
        <v/>
      </c>
      <c r="M4627" s="81" t="str">
        <f aca="false">IF(L4627&lt;&gt;"",L4627*1.1,"")</f>
        <v/>
      </c>
      <c r="N4627" s="47" t="n">
        <f aca="false">IF(F4627="S",L4627*0.02,0)</f>
        <v>0</v>
      </c>
      <c r="O4627" s="82" t="str">
        <f aca="false">IF(L4627&lt;&gt;"",L4627+N4627,"")</f>
        <v/>
      </c>
      <c r="P4627" s="47" t="str">
        <f aca="false">IF(O4627&lt;&gt;"",O4627*0.1,"")</f>
        <v/>
      </c>
      <c r="Q4627" s="83" t="str">
        <f aca="false">IF(O4627&lt;&gt;"",O4627+P4627,"")</f>
        <v/>
      </c>
      <c r="R4627" s="84"/>
    </row>
    <row r="4628" customFormat="false" ht="15" hidden="false" customHeight="true" outlineLevel="0" collapsed="false">
      <c r="A4628" s="103"/>
      <c r="B4628" s="73"/>
      <c r="C4628" s="74"/>
      <c r="D4628" s="75"/>
      <c r="E4628" s="52" t="str">
        <f aca="false">IF(D4628&lt;&gt;"",IFERROR(VLOOKUP(D4628,PROVEEDORES!$A:$B,2,0),"!COD NO ENCONTRADO"),"")</f>
        <v/>
      </c>
      <c r="F4628" s="76" t="str">
        <f aca="false">IF(D4628&lt;&gt;"",IFERROR(VLOOKUP(D4628,PROVEEDORES!$A:$C,3,0),""),"")</f>
        <v/>
      </c>
      <c r="G4628" s="75"/>
      <c r="H4628" s="52" t="str">
        <f aca="false">IF(G4628&lt;&gt;"",IFERROR(VLOOKUP(G4628,PRODUCTOS!$A:$B,2,0),"!COD NO ENCONTRADO"),"")</f>
        <v/>
      </c>
      <c r="I4628" s="77"/>
      <c r="J4628" s="78"/>
      <c r="K4628" s="79"/>
      <c r="L4628" s="80" t="str">
        <f aca="false">IF(AND(J4628&lt;&gt;"",K4628&lt;&gt;""),J4628*K4628,"")</f>
        <v/>
      </c>
      <c r="M4628" s="81" t="str">
        <f aca="false">IF(L4628&lt;&gt;"",L4628*1.1,"")</f>
        <v/>
      </c>
      <c r="N4628" s="53" t="n">
        <f aca="false">IF(F4628="S",L4628*0.02,0)</f>
        <v>0</v>
      </c>
      <c r="O4628" s="82" t="str">
        <f aca="false">IF(L4628&lt;&gt;"",L4628+N4628,"")</f>
        <v/>
      </c>
      <c r="P4628" s="53" t="str">
        <f aca="false">IF(O4628&lt;&gt;"",O4628*0.1,"")</f>
        <v/>
      </c>
      <c r="Q4628" s="83" t="str">
        <f aca="false">IF(O4628&lt;&gt;"",O4628+P4628,"")</f>
        <v/>
      </c>
      <c r="R4628" s="84"/>
    </row>
    <row r="4629" customFormat="false" ht="15" hidden="false" customHeight="true" outlineLevel="0" collapsed="false">
      <c r="A4629" s="103"/>
      <c r="B4629" s="85"/>
      <c r="C4629" s="86"/>
      <c r="D4629" s="87"/>
      <c r="E4629" s="46" t="str">
        <f aca="false">IF(D4629&lt;&gt;"",IFERROR(VLOOKUP(D4629,PROVEEDORES!$A:$B,2,0),"!COD NO ENCONTRADO"),"")</f>
        <v/>
      </c>
      <c r="F4629" s="88" t="str">
        <f aca="false">IF(D4629&lt;&gt;"",IFERROR(VLOOKUP(D4629,PROVEEDORES!$A:$C,3,0),""),"")</f>
        <v/>
      </c>
      <c r="G4629" s="87"/>
      <c r="H4629" s="46" t="str">
        <f aca="false">IF(G4629&lt;&gt;"",IFERROR(VLOOKUP(G4629,PRODUCTOS!$A:$B,2,0),"!COD NO ENCONTRADO"),"")</f>
        <v/>
      </c>
      <c r="I4629" s="89"/>
      <c r="J4629" s="90"/>
      <c r="K4629" s="91"/>
      <c r="L4629" s="80" t="str">
        <f aca="false">IF(AND(J4629&lt;&gt;"",K4629&lt;&gt;""),J4629*K4629,"")</f>
        <v/>
      </c>
      <c r="M4629" s="81" t="str">
        <f aca="false">IF(L4629&lt;&gt;"",L4629*1.1,"")</f>
        <v/>
      </c>
      <c r="N4629" s="47" t="n">
        <f aca="false">IF(F4629="S",L4629*0.02,0)</f>
        <v>0</v>
      </c>
      <c r="O4629" s="82" t="str">
        <f aca="false">IF(L4629&lt;&gt;"",L4629+N4629,"")</f>
        <v/>
      </c>
      <c r="P4629" s="47" t="str">
        <f aca="false">IF(O4629&lt;&gt;"",O4629*0.1,"")</f>
        <v/>
      </c>
      <c r="Q4629" s="83" t="str">
        <f aca="false">IF(O4629&lt;&gt;"",O4629+P4629,"")</f>
        <v/>
      </c>
      <c r="R4629" s="84"/>
    </row>
    <row r="4630" customFormat="false" ht="15" hidden="false" customHeight="true" outlineLevel="0" collapsed="false">
      <c r="A4630" s="103"/>
      <c r="B4630" s="73"/>
      <c r="C4630" s="74"/>
      <c r="D4630" s="75"/>
      <c r="E4630" s="52" t="str">
        <f aca="false">IF(D4630&lt;&gt;"",IFERROR(VLOOKUP(D4630,PROVEEDORES!$A:$B,2,0),"!COD NO ENCONTRADO"),"")</f>
        <v/>
      </c>
      <c r="F4630" s="76" t="str">
        <f aca="false">IF(D4630&lt;&gt;"",IFERROR(VLOOKUP(D4630,PROVEEDORES!$A:$C,3,0),""),"")</f>
        <v/>
      </c>
      <c r="G4630" s="75"/>
      <c r="H4630" s="52" t="str">
        <f aca="false">IF(G4630&lt;&gt;"",IFERROR(VLOOKUP(G4630,PRODUCTOS!$A:$B,2,0),"!COD NO ENCONTRADO"),"")</f>
        <v/>
      </c>
      <c r="I4630" s="77"/>
      <c r="J4630" s="78"/>
      <c r="K4630" s="79"/>
      <c r="L4630" s="80" t="str">
        <f aca="false">IF(AND(J4630&lt;&gt;"",K4630&lt;&gt;""),J4630*K4630,"")</f>
        <v/>
      </c>
      <c r="M4630" s="81" t="str">
        <f aca="false">IF(L4630&lt;&gt;"",L4630*1.1,"")</f>
        <v/>
      </c>
      <c r="N4630" s="53" t="n">
        <f aca="false">IF(F4630="S",L4630*0.02,0)</f>
        <v>0</v>
      </c>
      <c r="O4630" s="82" t="str">
        <f aca="false">IF(L4630&lt;&gt;"",L4630+N4630,"")</f>
        <v/>
      </c>
      <c r="P4630" s="53" t="str">
        <f aca="false">IF(O4630&lt;&gt;"",O4630*0.1,"")</f>
        <v/>
      </c>
      <c r="Q4630" s="83" t="str">
        <f aca="false">IF(O4630&lt;&gt;"",O4630+P4630,"")</f>
        <v/>
      </c>
      <c r="R4630" s="84"/>
    </row>
    <row r="4631" customFormat="false" ht="15" hidden="false" customHeight="true" outlineLevel="0" collapsed="false">
      <c r="A4631" s="103"/>
      <c r="B4631" s="85"/>
      <c r="C4631" s="86"/>
      <c r="D4631" s="87"/>
      <c r="E4631" s="46" t="str">
        <f aca="false">IF(D4631&lt;&gt;"",IFERROR(VLOOKUP(D4631,PROVEEDORES!$A:$B,2,0),"!COD NO ENCONTRADO"),"")</f>
        <v/>
      </c>
      <c r="F4631" s="88" t="str">
        <f aca="false">IF(D4631&lt;&gt;"",IFERROR(VLOOKUP(D4631,PROVEEDORES!$A:$C,3,0),""),"")</f>
        <v/>
      </c>
      <c r="G4631" s="87"/>
      <c r="H4631" s="46" t="str">
        <f aca="false">IF(G4631&lt;&gt;"",IFERROR(VLOOKUP(G4631,PRODUCTOS!$A:$B,2,0),"!COD NO ENCONTRADO"),"")</f>
        <v/>
      </c>
      <c r="I4631" s="89"/>
      <c r="J4631" s="90"/>
      <c r="K4631" s="91"/>
      <c r="L4631" s="80" t="str">
        <f aca="false">IF(AND(J4631&lt;&gt;"",K4631&lt;&gt;""),J4631*K4631,"")</f>
        <v/>
      </c>
      <c r="M4631" s="81" t="str">
        <f aca="false">IF(L4631&lt;&gt;"",L4631*1.1,"")</f>
        <v/>
      </c>
      <c r="N4631" s="47" t="n">
        <f aca="false">IF(F4631="S",L4631*0.02,0)</f>
        <v>0</v>
      </c>
      <c r="O4631" s="82" t="str">
        <f aca="false">IF(L4631&lt;&gt;"",L4631+N4631,"")</f>
        <v/>
      </c>
      <c r="P4631" s="47" t="str">
        <f aca="false">IF(O4631&lt;&gt;"",O4631*0.1,"")</f>
        <v/>
      </c>
      <c r="Q4631" s="83" t="str">
        <f aca="false">IF(O4631&lt;&gt;"",O4631+P4631,"")</f>
        <v/>
      </c>
      <c r="R4631" s="84"/>
    </row>
    <row r="4632" customFormat="false" ht="15" hidden="false" customHeight="true" outlineLevel="0" collapsed="false">
      <c r="A4632" s="103"/>
      <c r="B4632" s="73"/>
      <c r="C4632" s="74"/>
      <c r="D4632" s="75"/>
      <c r="E4632" s="52" t="str">
        <f aca="false">IF(D4632&lt;&gt;"",IFERROR(VLOOKUP(D4632,PROVEEDORES!$A:$B,2,0),"!COD NO ENCONTRADO"),"")</f>
        <v/>
      </c>
      <c r="F4632" s="76" t="str">
        <f aca="false">IF(D4632&lt;&gt;"",IFERROR(VLOOKUP(D4632,PROVEEDORES!$A:$C,3,0),""),"")</f>
        <v/>
      </c>
      <c r="G4632" s="75"/>
      <c r="H4632" s="52" t="str">
        <f aca="false">IF(G4632&lt;&gt;"",IFERROR(VLOOKUP(G4632,PRODUCTOS!$A:$B,2,0),"!COD NO ENCONTRADO"),"")</f>
        <v/>
      </c>
      <c r="I4632" s="77"/>
      <c r="J4632" s="78"/>
      <c r="K4632" s="79"/>
      <c r="L4632" s="80" t="str">
        <f aca="false">IF(AND(J4632&lt;&gt;"",K4632&lt;&gt;""),J4632*K4632,"")</f>
        <v/>
      </c>
      <c r="M4632" s="81" t="str">
        <f aca="false">IF(L4632&lt;&gt;"",L4632*1.1,"")</f>
        <v/>
      </c>
      <c r="N4632" s="53" t="n">
        <f aca="false">IF(F4632="S",L4632*0.02,0)</f>
        <v>0</v>
      </c>
      <c r="O4632" s="82" t="str">
        <f aca="false">IF(L4632&lt;&gt;"",L4632+N4632,"")</f>
        <v/>
      </c>
      <c r="P4632" s="53" t="str">
        <f aca="false">IF(O4632&lt;&gt;"",O4632*0.1,"")</f>
        <v/>
      </c>
      <c r="Q4632" s="83" t="str">
        <f aca="false">IF(O4632&lt;&gt;"",O4632+P4632,"")</f>
        <v/>
      </c>
      <c r="R4632" s="84"/>
    </row>
    <row r="4633" customFormat="false" ht="15" hidden="false" customHeight="true" outlineLevel="0" collapsed="false">
      <c r="A4633" s="103"/>
      <c r="B4633" s="85"/>
      <c r="C4633" s="86"/>
      <c r="D4633" s="87"/>
      <c r="E4633" s="46" t="str">
        <f aca="false">IF(D4633&lt;&gt;"",IFERROR(VLOOKUP(D4633,PROVEEDORES!$A:$B,2,0),"!COD NO ENCONTRADO"),"")</f>
        <v/>
      </c>
      <c r="F4633" s="88" t="str">
        <f aca="false">IF(D4633&lt;&gt;"",IFERROR(VLOOKUP(D4633,PROVEEDORES!$A:$C,3,0),""),"")</f>
        <v/>
      </c>
      <c r="G4633" s="87"/>
      <c r="H4633" s="46" t="str">
        <f aca="false">IF(G4633&lt;&gt;"",IFERROR(VLOOKUP(G4633,PRODUCTOS!$A:$B,2,0),"!COD NO ENCONTRADO"),"")</f>
        <v/>
      </c>
      <c r="I4633" s="89"/>
      <c r="J4633" s="90"/>
      <c r="K4633" s="91"/>
      <c r="L4633" s="80" t="str">
        <f aca="false">IF(AND(J4633&lt;&gt;"",K4633&lt;&gt;""),J4633*K4633,"")</f>
        <v/>
      </c>
      <c r="M4633" s="81" t="str">
        <f aca="false">IF(L4633&lt;&gt;"",L4633*1.1,"")</f>
        <v/>
      </c>
      <c r="N4633" s="47" t="n">
        <f aca="false">IF(F4633="S",L4633*0.02,0)</f>
        <v>0</v>
      </c>
      <c r="O4633" s="82" t="str">
        <f aca="false">IF(L4633&lt;&gt;"",L4633+N4633,"")</f>
        <v/>
      </c>
      <c r="P4633" s="47" t="str">
        <f aca="false">IF(O4633&lt;&gt;"",O4633*0.1,"")</f>
        <v/>
      </c>
      <c r="Q4633" s="83" t="str">
        <f aca="false">IF(O4633&lt;&gt;"",O4633+P4633,"")</f>
        <v/>
      </c>
      <c r="R4633" s="84"/>
    </row>
    <row r="4634" customFormat="false" ht="15" hidden="false" customHeight="true" outlineLevel="0" collapsed="false">
      <c r="A4634" s="103"/>
      <c r="B4634" s="73"/>
      <c r="C4634" s="74"/>
      <c r="D4634" s="75"/>
      <c r="E4634" s="52" t="str">
        <f aca="false">IF(D4634&lt;&gt;"",IFERROR(VLOOKUP(D4634,PROVEEDORES!$A:$B,2,0),"!COD NO ENCONTRADO"),"")</f>
        <v/>
      </c>
      <c r="F4634" s="76" t="str">
        <f aca="false">IF(D4634&lt;&gt;"",IFERROR(VLOOKUP(D4634,PROVEEDORES!$A:$C,3,0),""),"")</f>
        <v/>
      </c>
      <c r="G4634" s="75"/>
      <c r="H4634" s="52" t="str">
        <f aca="false">IF(G4634&lt;&gt;"",IFERROR(VLOOKUP(G4634,PRODUCTOS!$A:$B,2,0),"!COD NO ENCONTRADO"),"")</f>
        <v/>
      </c>
      <c r="I4634" s="77"/>
      <c r="J4634" s="78"/>
      <c r="K4634" s="79"/>
      <c r="L4634" s="80" t="str">
        <f aca="false">IF(AND(J4634&lt;&gt;"",K4634&lt;&gt;""),J4634*K4634,"")</f>
        <v/>
      </c>
      <c r="M4634" s="81" t="str">
        <f aca="false">IF(L4634&lt;&gt;"",L4634*1.1,"")</f>
        <v/>
      </c>
      <c r="N4634" s="53" t="n">
        <f aca="false">IF(F4634="S",L4634*0.02,0)</f>
        <v>0</v>
      </c>
      <c r="O4634" s="82" t="str">
        <f aca="false">IF(L4634&lt;&gt;"",L4634+N4634,"")</f>
        <v/>
      </c>
      <c r="P4634" s="53" t="str">
        <f aca="false">IF(O4634&lt;&gt;"",O4634*0.1,"")</f>
        <v/>
      </c>
      <c r="Q4634" s="83" t="str">
        <f aca="false">IF(O4634&lt;&gt;"",O4634+P4634,"")</f>
        <v/>
      </c>
      <c r="R4634" s="84"/>
    </row>
    <row r="4635" customFormat="false" ht="15" hidden="false" customHeight="true" outlineLevel="0" collapsed="false">
      <c r="A4635" s="103"/>
      <c r="B4635" s="85"/>
      <c r="C4635" s="86"/>
      <c r="D4635" s="87"/>
      <c r="E4635" s="46" t="str">
        <f aca="false">IF(D4635&lt;&gt;"",IFERROR(VLOOKUP(D4635,PROVEEDORES!$A:$B,2,0),"!COD NO ENCONTRADO"),"")</f>
        <v/>
      </c>
      <c r="F4635" s="88" t="str">
        <f aca="false">IF(D4635&lt;&gt;"",IFERROR(VLOOKUP(D4635,PROVEEDORES!$A:$C,3,0),""),"")</f>
        <v/>
      </c>
      <c r="G4635" s="87"/>
      <c r="H4635" s="46" t="str">
        <f aca="false">IF(G4635&lt;&gt;"",IFERROR(VLOOKUP(G4635,PRODUCTOS!$A:$B,2,0),"!COD NO ENCONTRADO"),"")</f>
        <v/>
      </c>
      <c r="I4635" s="89"/>
      <c r="J4635" s="90"/>
      <c r="K4635" s="91"/>
      <c r="L4635" s="80" t="str">
        <f aca="false">IF(AND(J4635&lt;&gt;"",K4635&lt;&gt;""),J4635*K4635,"")</f>
        <v/>
      </c>
      <c r="M4635" s="81" t="str">
        <f aca="false">IF(L4635&lt;&gt;"",L4635*1.1,"")</f>
        <v/>
      </c>
      <c r="N4635" s="47" t="n">
        <f aca="false">IF(F4635="S",L4635*0.02,0)</f>
        <v>0</v>
      </c>
      <c r="O4635" s="82" t="str">
        <f aca="false">IF(L4635&lt;&gt;"",L4635+N4635,"")</f>
        <v/>
      </c>
      <c r="P4635" s="47" t="str">
        <f aca="false">IF(O4635&lt;&gt;"",O4635*0.1,"")</f>
        <v/>
      </c>
      <c r="Q4635" s="83" t="str">
        <f aca="false">IF(O4635&lt;&gt;"",O4635+P4635,"")</f>
        <v/>
      </c>
      <c r="R4635" s="84"/>
    </row>
    <row r="4636" customFormat="false" ht="15" hidden="false" customHeight="true" outlineLevel="0" collapsed="false">
      <c r="A4636" s="103"/>
      <c r="B4636" s="73"/>
      <c r="C4636" s="74"/>
      <c r="D4636" s="75"/>
      <c r="E4636" s="52" t="str">
        <f aca="false">IF(D4636&lt;&gt;"",IFERROR(VLOOKUP(D4636,PROVEEDORES!$A:$B,2,0),"!COD NO ENCONTRADO"),"")</f>
        <v/>
      </c>
      <c r="F4636" s="76" t="str">
        <f aca="false">IF(D4636&lt;&gt;"",IFERROR(VLOOKUP(D4636,PROVEEDORES!$A:$C,3,0),""),"")</f>
        <v/>
      </c>
      <c r="G4636" s="75"/>
      <c r="H4636" s="52" t="str">
        <f aca="false">IF(G4636&lt;&gt;"",IFERROR(VLOOKUP(G4636,PRODUCTOS!$A:$B,2,0),"!COD NO ENCONTRADO"),"")</f>
        <v/>
      </c>
      <c r="I4636" s="77"/>
      <c r="J4636" s="78"/>
      <c r="K4636" s="79"/>
      <c r="L4636" s="80" t="str">
        <f aca="false">IF(AND(J4636&lt;&gt;"",K4636&lt;&gt;""),J4636*K4636,"")</f>
        <v/>
      </c>
      <c r="M4636" s="81" t="str">
        <f aca="false">IF(L4636&lt;&gt;"",L4636*1.1,"")</f>
        <v/>
      </c>
      <c r="N4636" s="53" t="n">
        <f aca="false">IF(F4636="S",L4636*0.02,0)</f>
        <v>0</v>
      </c>
      <c r="O4636" s="82" t="str">
        <f aca="false">IF(L4636&lt;&gt;"",L4636+N4636,"")</f>
        <v/>
      </c>
      <c r="P4636" s="53" t="str">
        <f aca="false">IF(O4636&lt;&gt;"",O4636*0.1,"")</f>
        <v/>
      </c>
      <c r="Q4636" s="83" t="str">
        <f aca="false">IF(O4636&lt;&gt;"",O4636+P4636,"")</f>
        <v/>
      </c>
      <c r="R4636" s="84"/>
    </row>
    <row r="4637" customFormat="false" ht="15" hidden="false" customHeight="true" outlineLevel="0" collapsed="false">
      <c r="A4637" s="103"/>
      <c r="B4637" s="85"/>
      <c r="C4637" s="86"/>
      <c r="D4637" s="87"/>
      <c r="E4637" s="46" t="str">
        <f aca="false">IF(D4637&lt;&gt;"",IFERROR(VLOOKUP(D4637,PROVEEDORES!$A:$B,2,0),"!COD NO ENCONTRADO"),"")</f>
        <v/>
      </c>
      <c r="F4637" s="88" t="str">
        <f aca="false">IF(D4637&lt;&gt;"",IFERROR(VLOOKUP(D4637,PROVEEDORES!$A:$C,3,0),""),"")</f>
        <v/>
      </c>
      <c r="G4637" s="87"/>
      <c r="H4637" s="46" t="str">
        <f aca="false">IF(G4637&lt;&gt;"",IFERROR(VLOOKUP(G4637,PRODUCTOS!$A:$B,2,0),"!COD NO ENCONTRADO"),"")</f>
        <v/>
      </c>
      <c r="I4637" s="89"/>
      <c r="J4637" s="90"/>
      <c r="K4637" s="91"/>
      <c r="L4637" s="80" t="str">
        <f aca="false">IF(AND(J4637&lt;&gt;"",K4637&lt;&gt;""),J4637*K4637,"")</f>
        <v/>
      </c>
      <c r="M4637" s="81" t="str">
        <f aca="false">IF(L4637&lt;&gt;"",L4637*1.1,"")</f>
        <v/>
      </c>
      <c r="N4637" s="47" t="n">
        <f aca="false">IF(F4637="S",L4637*0.02,0)</f>
        <v>0</v>
      </c>
      <c r="O4637" s="82" t="str">
        <f aca="false">IF(L4637&lt;&gt;"",L4637+N4637,"")</f>
        <v/>
      </c>
      <c r="P4637" s="47" t="str">
        <f aca="false">IF(O4637&lt;&gt;"",O4637*0.1,"")</f>
        <v/>
      </c>
      <c r="Q4637" s="83" t="str">
        <f aca="false">IF(O4637&lt;&gt;"",O4637+P4637,"")</f>
        <v/>
      </c>
      <c r="R4637" s="84"/>
    </row>
    <row r="4638" customFormat="false" ht="15" hidden="false" customHeight="true" outlineLevel="0" collapsed="false">
      <c r="A4638" s="103"/>
      <c r="B4638" s="73"/>
      <c r="C4638" s="74"/>
      <c r="D4638" s="75"/>
      <c r="E4638" s="52" t="str">
        <f aca="false">IF(D4638&lt;&gt;"",IFERROR(VLOOKUP(D4638,PROVEEDORES!$A:$B,2,0),"!COD NO ENCONTRADO"),"")</f>
        <v/>
      </c>
      <c r="F4638" s="76" t="str">
        <f aca="false">IF(D4638&lt;&gt;"",IFERROR(VLOOKUP(D4638,PROVEEDORES!$A:$C,3,0),""),"")</f>
        <v/>
      </c>
      <c r="G4638" s="75"/>
      <c r="H4638" s="52" t="str">
        <f aca="false">IF(G4638&lt;&gt;"",IFERROR(VLOOKUP(G4638,PRODUCTOS!$A:$B,2,0),"!COD NO ENCONTRADO"),"")</f>
        <v/>
      </c>
      <c r="I4638" s="77"/>
      <c r="J4638" s="78"/>
      <c r="K4638" s="79"/>
      <c r="L4638" s="80" t="str">
        <f aca="false">IF(AND(J4638&lt;&gt;"",K4638&lt;&gt;""),J4638*K4638,"")</f>
        <v/>
      </c>
      <c r="M4638" s="81" t="str">
        <f aca="false">IF(L4638&lt;&gt;"",L4638*1.1,"")</f>
        <v/>
      </c>
      <c r="N4638" s="53" t="n">
        <f aca="false">IF(F4638="S",L4638*0.02,0)</f>
        <v>0</v>
      </c>
      <c r="O4638" s="82" t="str">
        <f aca="false">IF(L4638&lt;&gt;"",L4638+N4638,"")</f>
        <v/>
      </c>
      <c r="P4638" s="53" t="str">
        <f aca="false">IF(O4638&lt;&gt;"",O4638*0.1,"")</f>
        <v/>
      </c>
      <c r="Q4638" s="83" t="str">
        <f aca="false">IF(O4638&lt;&gt;"",O4638+P4638,"")</f>
        <v/>
      </c>
      <c r="R4638" s="84"/>
    </row>
    <row r="4639" customFormat="false" ht="15" hidden="false" customHeight="true" outlineLevel="0" collapsed="false">
      <c r="A4639" s="103"/>
      <c r="B4639" s="85"/>
      <c r="C4639" s="86"/>
      <c r="D4639" s="87"/>
      <c r="E4639" s="46" t="str">
        <f aca="false">IF(D4639&lt;&gt;"",IFERROR(VLOOKUP(D4639,PROVEEDORES!$A:$B,2,0),"!COD NO ENCONTRADO"),"")</f>
        <v/>
      </c>
      <c r="F4639" s="88" t="str">
        <f aca="false">IF(D4639&lt;&gt;"",IFERROR(VLOOKUP(D4639,PROVEEDORES!$A:$C,3,0),""),"")</f>
        <v/>
      </c>
      <c r="G4639" s="87"/>
      <c r="H4639" s="46" t="str">
        <f aca="false">IF(G4639&lt;&gt;"",IFERROR(VLOOKUP(G4639,PRODUCTOS!$A:$B,2,0),"!COD NO ENCONTRADO"),"")</f>
        <v/>
      </c>
      <c r="I4639" s="89"/>
      <c r="J4639" s="90"/>
      <c r="K4639" s="91"/>
      <c r="L4639" s="80" t="str">
        <f aca="false">IF(AND(J4639&lt;&gt;"",K4639&lt;&gt;""),J4639*K4639,"")</f>
        <v/>
      </c>
      <c r="M4639" s="81" t="str">
        <f aca="false">IF(L4639&lt;&gt;"",L4639*1.1,"")</f>
        <v/>
      </c>
      <c r="N4639" s="47" t="n">
        <f aca="false">IF(F4639="S",L4639*0.02,0)</f>
        <v>0</v>
      </c>
      <c r="O4639" s="82" t="str">
        <f aca="false">IF(L4639&lt;&gt;"",L4639+N4639,"")</f>
        <v/>
      </c>
      <c r="P4639" s="47" t="str">
        <f aca="false">IF(O4639&lt;&gt;"",O4639*0.1,"")</f>
        <v/>
      </c>
      <c r="Q4639" s="83" t="str">
        <f aca="false">IF(O4639&lt;&gt;"",O4639+P4639,"")</f>
        <v/>
      </c>
      <c r="R4639" s="84"/>
    </row>
    <row r="4640" customFormat="false" ht="15" hidden="false" customHeight="true" outlineLevel="0" collapsed="false">
      <c r="A4640" s="103"/>
      <c r="B4640" s="73"/>
      <c r="C4640" s="74"/>
      <c r="D4640" s="75"/>
      <c r="E4640" s="52" t="str">
        <f aca="false">IF(D4640&lt;&gt;"",IFERROR(VLOOKUP(D4640,PROVEEDORES!$A:$B,2,0),"!COD NO ENCONTRADO"),"")</f>
        <v/>
      </c>
      <c r="F4640" s="76" t="str">
        <f aca="false">IF(D4640&lt;&gt;"",IFERROR(VLOOKUP(D4640,PROVEEDORES!$A:$C,3,0),""),"")</f>
        <v/>
      </c>
      <c r="G4640" s="75"/>
      <c r="H4640" s="52" t="str">
        <f aca="false">IF(G4640&lt;&gt;"",IFERROR(VLOOKUP(G4640,PRODUCTOS!$A:$B,2,0),"!COD NO ENCONTRADO"),"")</f>
        <v/>
      </c>
      <c r="I4640" s="77"/>
      <c r="J4640" s="78"/>
      <c r="K4640" s="79"/>
      <c r="L4640" s="80" t="str">
        <f aca="false">IF(AND(J4640&lt;&gt;"",K4640&lt;&gt;""),J4640*K4640,"")</f>
        <v/>
      </c>
      <c r="M4640" s="81" t="str">
        <f aca="false">IF(L4640&lt;&gt;"",L4640*1.1,"")</f>
        <v/>
      </c>
      <c r="N4640" s="53" t="n">
        <f aca="false">IF(F4640="S",L4640*0.02,0)</f>
        <v>0</v>
      </c>
      <c r="O4640" s="82" t="str">
        <f aca="false">IF(L4640&lt;&gt;"",L4640+N4640,"")</f>
        <v/>
      </c>
      <c r="P4640" s="53" t="str">
        <f aca="false">IF(O4640&lt;&gt;"",O4640*0.1,"")</f>
        <v/>
      </c>
      <c r="Q4640" s="83" t="str">
        <f aca="false">IF(O4640&lt;&gt;"",O4640+P4640,"")</f>
        <v/>
      </c>
      <c r="R4640" s="84"/>
    </row>
    <row r="4641" customFormat="false" ht="15" hidden="false" customHeight="true" outlineLevel="0" collapsed="false">
      <c r="A4641" s="103"/>
      <c r="B4641" s="85"/>
      <c r="C4641" s="86"/>
      <c r="D4641" s="87"/>
      <c r="E4641" s="46" t="str">
        <f aca="false">IF(D4641&lt;&gt;"",IFERROR(VLOOKUP(D4641,PROVEEDORES!$A:$B,2,0),"!COD NO ENCONTRADO"),"")</f>
        <v/>
      </c>
      <c r="F4641" s="88" t="str">
        <f aca="false">IF(D4641&lt;&gt;"",IFERROR(VLOOKUP(D4641,PROVEEDORES!$A:$C,3,0),""),"")</f>
        <v/>
      </c>
      <c r="G4641" s="87"/>
      <c r="H4641" s="46" t="str">
        <f aca="false">IF(G4641&lt;&gt;"",IFERROR(VLOOKUP(G4641,PRODUCTOS!$A:$B,2,0),"!COD NO ENCONTRADO"),"")</f>
        <v/>
      </c>
      <c r="I4641" s="89"/>
      <c r="J4641" s="90"/>
      <c r="K4641" s="91"/>
      <c r="L4641" s="80" t="str">
        <f aca="false">IF(AND(J4641&lt;&gt;"",K4641&lt;&gt;""),J4641*K4641,"")</f>
        <v/>
      </c>
      <c r="M4641" s="81" t="str">
        <f aca="false">IF(L4641&lt;&gt;"",L4641*1.1,"")</f>
        <v/>
      </c>
      <c r="N4641" s="47" t="n">
        <f aca="false">IF(F4641="S",L4641*0.02,0)</f>
        <v>0</v>
      </c>
      <c r="O4641" s="82" t="str">
        <f aca="false">IF(L4641&lt;&gt;"",L4641+N4641,"")</f>
        <v/>
      </c>
      <c r="P4641" s="47" t="str">
        <f aca="false">IF(O4641&lt;&gt;"",O4641*0.1,"")</f>
        <v/>
      </c>
      <c r="Q4641" s="83" t="str">
        <f aca="false">IF(O4641&lt;&gt;"",O4641+P4641,"")</f>
        <v/>
      </c>
      <c r="R4641" s="84"/>
    </row>
    <row r="4642" customFormat="false" ht="15" hidden="false" customHeight="true" outlineLevel="0" collapsed="false">
      <c r="A4642" s="103"/>
      <c r="B4642" s="73"/>
      <c r="C4642" s="74"/>
      <c r="D4642" s="75"/>
      <c r="E4642" s="52" t="str">
        <f aca="false">IF(D4642&lt;&gt;"",IFERROR(VLOOKUP(D4642,PROVEEDORES!$A:$B,2,0),"!COD NO ENCONTRADO"),"")</f>
        <v/>
      </c>
      <c r="F4642" s="76" t="str">
        <f aca="false">IF(D4642&lt;&gt;"",IFERROR(VLOOKUP(D4642,PROVEEDORES!$A:$C,3,0),""),"")</f>
        <v/>
      </c>
      <c r="G4642" s="75"/>
      <c r="H4642" s="52" t="str">
        <f aca="false">IF(G4642&lt;&gt;"",IFERROR(VLOOKUP(G4642,PRODUCTOS!$A:$B,2,0),"!COD NO ENCONTRADO"),"")</f>
        <v/>
      </c>
      <c r="I4642" s="77"/>
      <c r="J4642" s="78"/>
      <c r="K4642" s="79"/>
      <c r="L4642" s="80" t="str">
        <f aca="false">IF(AND(J4642&lt;&gt;"",K4642&lt;&gt;""),J4642*K4642,"")</f>
        <v/>
      </c>
      <c r="M4642" s="81" t="str">
        <f aca="false">IF(L4642&lt;&gt;"",L4642*1.1,"")</f>
        <v/>
      </c>
      <c r="N4642" s="53" t="n">
        <f aca="false">IF(F4642="S",L4642*0.02,0)</f>
        <v>0</v>
      </c>
      <c r="O4642" s="82" t="str">
        <f aca="false">IF(L4642&lt;&gt;"",L4642+N4642,"")</f>
        <v/>
      </c>
      <c r="P4642" s="53" t="str">
        <f aca="false">IF(O4642&lt;&gt;"",O4642*0.1,"")</f>
        <v/>
      </c>
      <c r="Q4642" s="83" t="str">
        <f aca="false">IF(O4642&lt;&gt;"",O4642+P4642,"")</f>
        <v/>
      </c>
      <c r="R4642" s="84"/>
    </row>
    <row r="4643" customFormat="false" ht="15" hidden="false" customHeight="true" outlineLevel="0" collapsed="false">
      <c r="A4643" s="103"/>
      <c r="B4643" s="85"/>
      <c r="C4643" s="86"/>
      <c r="D4643" s="87"/>
      <c r="E4643" s="46" t="str">
        <f aca="false">IF(D4643&lt;&gt;"",IFERROR(VLOOKUP(D4643,PROVEEDORES!$A:$B,2,0),"!COD NO ENCONTRADO"),"")</f>
        <v/>
      </c>
      <c r="F4643" s="88" t="str">
        <f aca="false">IF(D4643&lt;&gt;"",IFERROR(VLOOKUP(D4643,PROVEEDORES!$A:$C,3,0),""),"")</f>
        <v/>
      </c>
      <c r="G4643" s="87"/>
      <c r="H4643" s="46" t="str">
        <f aca="false">IF(G4643&lt;&gt;"",IFERROR(VLOOKUP(G4643,PRODUCTOS!$A:$B,2,0),"!COD NO ENCONTRADO"),"")</f>
        <v/>
      </c>
      <c r="I4643" s="89"/>
      <c r="J4643" s="90"/>
      <c r="K4643" s="91"/>
      <c r="L4643" s="80" t="str">
        <f aca="false">IF(AND(J4643&lt;&gt;"",K4643&lt;&gt;""),J4643*K4643,"")</f>
        <v/>
      </c>
      <c r="M4643" s="81" t="str">
        <f aca="false">IF(L4643&lt;&gt;"",L4643*1.1,"")</f>
        <v/>
      </c>
      <c r="N4643" s="47" t="n">
        <f aca="false">IF(F4643="S",L4643*0.02,0)</f>
        <v>0</v>
      </c>
      <c r="O4643" s="82" t="str">
        <f aca="false">IF(L4643&lt;&gt;"",L4643+N4643,"")</f>
        <v/>
      </c>
      <c r="P4643" s="47" t="str">
        <f aca="false">IF(O4643&lt;&gt;"",O4643*0.1,"")</f>
        <v/>
      </c>
      <c r="Q4643" s="83" t="str">
        <f aca="false">IF(O4643&lt;&gt;"",O4643+P4643,"")</f>
        <v/>
      </c>
      <c r="R4643" s="84"/>
    </row>
    <row r="4644" customFormat="false" ht="15" hidden="false" customHeight="true" outlineLevel="0" collapsed="false">
      <c r="A4644" s="103"/>
      <c r="B4644" s="73"/>
      <c r="C4644" s="74"/>
      <c r="D4644" s="75"/>
      <c r="E4644" s="52" t="str">
        <f aca="false">IF(D4644&lt;&gt;"",IFERROR(VLOOKUP(D4644,PROVEEDORES!$A:$B,2,0),"!COD NO ENCONTRADO"),"")</f>
        <v/>
      </c>
      <c r="F4644" s="76" t="str">
        <f aca="false">IF(D4644&lt;&gt;"",IFERROR(VLOOKUP(D4644,PROVEEDORES!$A:$C,3,0),""),"")</f>
        <v/>
      </c>
      <c r="G4644" s="75"/>
      <c r="H4644" s="52" t="str">
        <f aca="false">IF(G4644&lt;&gt;"",IFERROR(VLOOKUP(G4644,PRODUCTOS!$A:$B,2,0),"!COD NO ENCONTRADO"),"")</f>
        <v/>
      </c>
      <c r="I4644" s="77"/>
      <c r="J4644" s="78"/>
      <c r="K4644" s="79"/>
      <c r="L4644" s="80" t="str">
        <f aca="false">IF(AND(J4644&lt;&gt;"",K4644&lt;&gt;""),J4644*K4644,"")</f>
        <v/>
      </c>
      <c r="M4644" s="81" t="str">
        <f aca="false">IF(L4644&lt;&gt;"",L4644*1.1,"")</f>
        <v/>
      </c>
      <c r="N4644" s="53" t="n">
        <f aca="false">IF(F4644="S",L4644*0.02,0)</f>
        <v>0</v>
      </c>
      <c r="O4644" s="82" t="str">
        <f aca="false">IF(L4644&lt;&gt;"",L4644+N4644,"")</f>
        <v/>
      </c>
      <c r="P4644" s="53" t="str">
        <f aca="false">IF(O4644&lt;&gt;"",O4644*0.1,"")</f>
        <v/>
      </c>
      <c r="Q4644" s="83" t="str">
        <f aca="false">IF(O4644&lt;&gt;"",O4644+P4644,"")</f>
        <v/>
      </c>
      <c r="R4644" s="84"/>
    </row>
    <row r="4645" customFormat="false" ht="15" hidden="false" customHeight="true" outlineLevel="0" collapsed="false">
      <c r="A4645" s="103"/>
      <c r="B4645" s="85"/>
      <c r="C4645" s="86"/>
      <c r="D4645" s="87"/>
      <c r="E4645" s="46" t="str">
        <f aca="false">IF(D4645&lt;&gt;"",IFERROR(VLOOKUP(D4645,PROVEEDORES!$A:$B,2,0),"!COD NO ENCONTRADO"),"")</f>
        <v/>
      </c>
      <c r="F4645" s="88" t="str">
        <f aca="false">IF(D4645&lt;&gt;"",IFERROR(VLOOKUP(D4645,PROVEEDORES!$A:$C,3,0),""),"")</f>
        <v/>
      </c>
      <c r="G4645" s="87"/>
      <c r="H4645" s="46" t="str">
        <f aca="false">IF(G4645&lt;&gt;"",IFERROR(VLOOKUP(G4645,PRODUCTOS!$A:$B,2,0),"!COD NO ENCONTRADO"),"")</f>
        <v/>
      </c>
      <c r="I4645" s="89"/>
      <c r="J4645" s="90"/>
      <c r="K4645" s="91"/>
      <c r="L4645" s="80" t="str">
        <f aca="false">IF(AND(J4645&lt;&gt;"",K4645&lt;&gt;""),J4645*K4645,"")</f>
        <v/>
      </c>
      <c r="M4645" s="81" t="str">
        <f aca="false">IF(L4645&lt;&gt;"",L4645*1.1,"")</f>
        <v/>
      </c>
      <c r="N4645" s="47" t="n">
        <f aca="false">IF(F4645="S",L4645*0.02,0)</f>
        <v>0</v>
      </c>
      <c r="O4645" s="82" t="str">
        <f aca="false">IF(L4645&lt;&gt;"",L4645+N4645,"")</f>
        <v/>
      </c>
      <c r="P4645" s="47" t="str">
        <f aca="false">IF(O4645&lt;&gt;"",O4645*0.1,"")</f>
        <v/>
      </c>
      <c r="Q4645" s="83" t="str">
        <f aca="false">IF(O4645&lt;&gt;"",O4645+P4645,"")</f>
        <v/>
      </c>
      <c r="R4645" s="84"/>
    </row>
    <row r="4646" customFormat="false" ht="15" hidden="false" customHeight="true" outlineLevel="0" collapsed="false">
      <c r="A4646" s="103"/>
      <c r="B4646" s="73"/>
      <c r="C4646" s="74"/>
      <c r="D4646" s="75"/>
      <c r="E4646" s="52" t="str">
        <f aca="false">IF(D4646&lt;&gt;"",IFERROR(VLOOKUP(D4646,PROVEEDORES!$A:$B,2,0),"!COD NO ENCONTRADO"),"")</f>
        <v/>
      </c>
      <c r="F4646" s="76" t="str">
        <f aca="false">IF(D4646&lt;&gt;"",IFERROR(VLOOKUP(D4646,PROVEEDORES!$A:$C,3,0),""),"")</f>
        <v/>
      </c>
      <c r="G4646" s="75"/>
      <c r="H4646" s="52" t="str">
        <f aca="false">IF(G4646&lt;&gt;"",IFERROR(VLOOKUP(G4646,PRODUCTOS!$A:$B,2,0),"!COD NO ENCONTRADO"),"")</f>
        <v/>
      </c>
      <c r="I4646" s="77"/>
      <c r="J4646" s="78"/>
      <c r="K4646" s="79"/>
      <c r="L4646" s="80" t="str">
        <f aca="false">IF(AND(J4646&lt;&gt;"",K4646&lt;&gt;""),J4646*K4646,"")</f>
        <v/>
      </c>
      <c r="M4646" s="81" t="str">
        <f aca="false">IF(L4646&lt;&gt;"",L4646*1.1,"")</f>
        <v/>
      </c>
      <c r="N4646" s="53" t="n">
        <f aca="false">IF(F4646="S",L4646*0.02,0)</f>
        <v>0</v>
      </c>
      <c r="O4646" s="82" t="str">
        <f aca="false">IF(L4646&lt;&gt;"",L4646+N4646,"")</f>
        <v/>
      </c>
      <c r="P4646" s="53" t="str">
        <f aca="false">IF(O4646&lt;&gt;"",O4646*0.1,"")</f>
        <v/>
      </c>
      <c r="Q4646" s="83" t="str">
        <f aca="false">IF(O4646&lt;&gt;"",O4646+P4646,"")</f>
        <v/>
      </c>
      <c r="R4646" s="84"/>
    </row>
    <row r="4647" customFormat="false" ht="15" hidden="false" customHeight="true" outlineLevel="0" collapsed="false">
      <c r="A4647" s="103"/>
      <c r="B4647" s="85"/>
      <c r="C4647" s="86"/>
      <c r="D4647" s="87"/>
      <c r="E4647" s="46" t="str">
        <f aca="false">IF(D4647&lt;&gt;"",IFERROR(VLOOKUP(D4647,PROVEEDORES!$A:$B,2,0),"!COD NO ENCONTRADO"),"")</f>
        <v/>
      </c>
      <c r="F4647" s="88" t="str">
        <f aca="false">IF(D4647&lt;&gt;"",IFERROR(VLOOKUP(D4647,PROVEEDORES!$A:$C,3,0),""),"")</f>
        <v/>
      </c>
      <c r="G4647" s="87"/>
      <c r="H4647" s="46" t="str">
        <f aca="false">IF(G4647&lt;&gt;"",IFERROR(VLOOKUP(G4647,PRODUCTOS!$A:$B,2,0),"!COD NO ENCONTRADO"),"")</f>
        <v/>
      </c>
      <c r="I4647" s="89"/>
      <c r="J4647" s="90"/>
      <c r="K4647" s="91"/>
      <c r="L4647" s="80" t="str">
        <f aca="false">IF(AND(J4647&lt;&gt;"",K4647&lt;&gt;""),J4647*K4647,"")</f>
        <v/>
      </c>
      <c r="M4647" s="81" t="str">
        <f aca="false">IF(L4647&lt;&gt;"",L4647*1.1,"")</f>
        <v/>
      </c>
      <c r="N4647" s="47" t="n">
        <f aca="false">IF(F4647="S",L4647*0.02,0)</f>
        <v>0</v>
      </c>
      <c r="O4647" s="82" t="str">
        <f aca="false">IF(L4647&lt;&gt;"",L4647+N4647,"")</f>
        <v/>
      </c>
      <c r="P4647" s="47" t="str">
        <f aca="false">IF(O4647&lt;&gt;"",O4647*0.1,"")</f>
        <v/>
      </c>
      <c r="Q4647" s="83" t="str">
        <f aca="false">IF(O4647&lt;&gt;"",O4647+P4647,"")</f>
        <v/>
      </c>
      <c r="R4647" s="84"/>
    </row>
    <row r="4648" customFormat="false" ht="15" hidden="false" customHeight="true" outlineLevel="0" collapsed="false">
      <c r="A4648" s="103"/>
      <c r="B4648" s="73"/>
      <c r="C4648" s="74"/>
      <c r="D4648" s="75"/>
      <c r="E4648" s="52" t="str">
        <f aca="false">IF(D4648&lt;&gt;"",IFERROR(VLOOKUP(D4648,PROVEEDORES!$A:$B,2,0),"!COD NO ENCONTRADO"),"")</f>
        <v/>
      </c>
      <c r="F4648" s="76" t="str">
        <f aca="false">IF(D4648&lt;&gt;"",IFERROR(VLOOKUP(D4648,PROVEEDORES!$A:$C,3,0),""),"")</f>
        <v/>
      </c>
      <c r="G4648" s="75"/>
      <c r="H4648" s="52" t="str">
        <f aca="false">IF(G4648&lt;&gt;"",IFERROR(VLOOKUP(G4648,PRODUCTOS!$A:$B,2,0),"!COD NO ENCONTRADO"),"")</f>
        <v/>
      </c>
      <c r="I4648" s="77"/>
      <c r="J4648" s="78"/>
      <c r="K4648" s="79"/>
      <c r="L4648" s="80" t="str">
        <f aca="false">IF(AND(J4648&lt;&gt;"",K4648&lt;&gt;""),J4648*K4648,"")</f>
        <v/>
      </c>
      <c r="M4648" s="81" t="str">
        <f aca="false">IF(L4648&lt;&gt;"",L4648*1.1,"")</f>
        <v/>
      </c>
      <c r="N4648" s="53" t="n">
        <f aca="false">IF(F4648="S",L4648*0.02,0)</f>
        <v>0</v>
      </c>
      <c r="O4648" s="82" t="str">
        <f aca="false">IF(L4648&lt;&gt;"",L4648+N4648,"")</f>
        <v/>
      </c>
      <c r="P4648" s="53" t="str">
        <f aca="false">IF(O4648&lt;&gt;"",O4648*0.1,"")</f>
        <v/>
      </c>
      <c r="Q4648" s="83" t="str">
        <f aca="false">IF(O4648&lt;&gt;"",O4648+P4648,"")</f>
        <v/>
      </c>
      <c r="R4648" s="84"/>
    </row>
    <row r="4649" customFormat="false" ht="15" hidden="false" customHeight="true" outlineLevel="0" collapsed="false">
      <c r="A4649" s="103"/>
      <c r="B4649" s="85"/>
      <c r="C4649" s="86"/>
      <c r="D4649" s="87"/>
      <c r="E4649" s="46" t="str">
        <f aca="false">IF(D4649&lt;&gt;"",IFERROR(VLOOKUP(D4649,PROVEEDORES!$A:$B,2,0),"!COD NO ENCONTRADO"),"")</f>
        <v/>
      </c>
      <c r="F4649" s="88" t="str">
        <f aca="false">IF(D4649&lt;&gt;"",IFERROR(VLOOKUP(D4649,PROVEEDORES!$A:$C,3,0),""),"")</f>
        <v/>
      </c>
      <c r="G4649" s="87"/>
      <c r="H4649" s="46" t="str">
        <f aca="false">IF(G4649&lt;&gt;"",IFERROR(VLOOKUP(G4649,PRODUCTOS!$A:$B,2,0),"!COD NO ENCONTRADO"),"")</f>
        <v/>
      </c>
      <c r="I4649" s="89"/>
      <c r="J4649" s="90"/>
      <c r="K4649" s="91"/>
      <c r="L4649" s="80" t="str">
        <f aca="false">IF(AND(J4649&lt;&gt;"",K4649&lt;&gt;""),J4649*K4649,"")</f>
        <v/>
      </c>
      <c r="M4649" s="81" t="str">
        <f aca="false">IF(L4649&lt;&gt;"",L4649*1.1,"")</f>
        <v/>
      </c>
      <c r="N4649" s="47" t="n">
        <f aca="false">IF(F4649="S",L4649*0.02,0)</f>
        <v>0</v>
      </c>
      <c r="O4649" s="82" t="str">
        <f aca="false">IF(L4649&lt;&gt;"",L4649+N4649,"")</f>
        <v/>
      </c>
      <c r="P4649" s="47" t="str">
        <f aca="false">IF(O4649&lt;&gt;"",O4649*0.1,"")</f>
        <v/>
      </c>
      <c r="Q4649" s="83" t="str">
        <f aca="false">IF(O4649&lt;&gt;"",O4649+P4649,"")</f>
        <v/>
      </c>
      <c r="R4649" s="84"/>
    </row>
    <row r="4650" customFormat="false" ht="15" hidden="false" customHeight="true" outlineLevel="0" collapsed="false">
      <c r="A4650" s="103"/>
      <c r="B4650" s="73"/>
      <c r="C4650" s="74"/>
      <c r="D4650" s="75"/>
      <c r="E4650" s="52" t="str">
        <f aca="false">IF(D4650&lt;&gt;"",IFERROR(VLOOKUP(D4650,PROVEEDORES!$A:$B,2,0),"!COD NO ENCONTRADO"),"")</f>
        <v/>
      </c>
      <c r="F4650" s="76" t="str">
        <f aca="false">IF(D4650&lt;&gt;"",IFERROR(VLOOKUP(D4650,PROVEEDORES!$A:$C,3,0),""),"")</f>
        <v/>
      </c>
      <c r="G4650" s="75"/>
      <c r="H4650" s="52" t="str">
        <f aca="false">IF(G4650&lt;&gt;"",IFERROR(VLOOKUP(G4650,PRODUCTOS!$A:$B,2,0),"!COD NO ENCONTRADO"),"")</f>
        <v/>
      </c>
      <c r="I4650" s="77"/>
      <c r="J4650" s="78"/>
      <c r="K4650" s="79"/>
      <c r="L4650" s="80" t="str">
        <f aca="false">IF(AND(J4650&lt;&gt;"",K4650&lt;&gt;""),J4650*K4650,"")</f>
        <v/>
      </c>
      <c r="M4650" s="81" t="str">
        <f aca="false">IF(L4650&lt;&gt;"",L4650*1.1,"")</f>
        <v/>
      </c>
      <c r="N4650" s="53" t="n">
        <f aca="false">IF(F4650="S",L4650*0.02,0)</f>
        <v>0</v>
      </c>
      <c r="O4650" s="82" t="str">
        <f aca="false">IF(L4650&lt;&gt;"",L4650+N4650,"")</f>
        <v/>
      </c>
      <c r="P4650" s="53" t="str">
        <f aca="false">IF(O4650&lt;&gt;"",O4650*0.1,"")</f>
        <v/>
      </c>
      <c r="Q4650" s="83" t="str">
        <f aca="false">IF(O4650&lt;&gt;"",O4650+P4650,"")</f>
        <v/>
      </c>
      <c r="R4650" s="84"/>
    </row>
    <row r="4651" customFormat="false" ht="15" hidden="false" customHeight="true" outlineLevel="0" collapsed="false">
      <c r="A4651" s="103"/>
      <c r="B4651" s="85"/>
      <c r="C4651" s="86"/>
      <c r="D4651" s="87"/>
      <c r="E4651" s="46" t="str">
        <f aca="false">IF(D4651&lt;&gt;"",IFERROR(VLOOKUP(D4651,PROVEEDORES!$A:$B,2,0),"!COD NO ENCONTRADO"),"")</f>
        <v/>
      </c>
      <c r="F4651" s="88" t="str">
        <f aca="false">IF(D4651&lt;&gt;"",IFERROR(VLOOKUP(D4651,PROVEEDORES!$A:$C,3,0),""),"")</f>
        <v/>
      </c>
      <c r="G4651" s="87"/>
      <c r="H4651" s="46" t="str">
        <f aca="false">IF(G4651&lt;&gt;"",IFERROR(VLOOKUP(G4651,PRODUCTOS!$A:$B,2,0),"!COD NO ENCONTRADO"),"")</f>
        <v/>
      </c>
      <c r="I4651" s="89"/>
      <c r="J4651" s="90"/>
      <c r="K4651" s="91"/>
      <c r="L4651" s="80" t="str">
        <f aca="false">IF(AND(J4651&lt;&gt;"",K4651&lt;&gt;""),J4651*K4651,"")</f>
        <v/>
      </c>
      <c r="M4651" s="81" t="str">
        <f aca="false">IF(L4651&lt;&gt;"",L4651*1.1,"")</f>
        <v/>
      </c>
      <c r="N4651" s="47" t="n">
        <f aca="false">IF(F4651="S",L4651*0.02,0)</f>
        <v>0</v>
      </c>
      <c r="O4651" s="82" t="str">
        <f aca="false">IF(L4651&lt;&gt;"",L4651+N4651,"")</f>
        <v/>
      </c>
      <c r="P4651" s="47" t="str">
        <f aca="false">IF(O4651&lt;&gt;"",O4651*0.1,"")</f>
        <v/>
      </c>
      <c r="Q4651" s="83" t="str">
        <f aca="false">IF(O4651&lt;&gt;"",O4651+P4651,"")</f>
        <v/>
      </c>
      <c r="R4651" s="84"/>
    </row>
    <row r="4652" customFormat="false" ht="15" hidden="false" customHeight="true" outlineLevel="0" collapsed="false">
      <c r="A4652" s="103"/>
      <c r="B4652" s="73"/>
      <c r="C4652" s="74"/>
      <c r="D4652" s="75"/>
      <c r="E4652" s="52" t="str">
        <f aca="false">IF(D4652&lt;&gt;"",IFERROR(VLOOKUP(D4652,PROVEEDORES!$A:$B,2,0),"!COD NO ENCONTRADO"),"")</f>
        <v/>
      </c>
      <c r="F4652" s="76" t="str">
        <f aca="false">IF(D4652&lt;&gt;"",IFERROR(VLOOKUP(D4652,PROVEEDORES!$A:$C,3,0),""),"")</f>
        <v/>
      </c>
      <c r="G4652" s="75"/>
      <c r="H4652" s="52" t="str">
        <f aca="false">IF(G4652&lt;&gt;"",IFERROR(VLOOKUP(G4652,PRODUCTOS!$A:$B,2,0),"!COD NO ENCONTRADO"),"")</f>
        <v/>
      </c>
      <c r="I4652" s="77"/>
      <c r="J4652" s="78"/>
      <c r="K4652" s="79"/>
      <c r="L4652" s="80" t="str">
        <f aca="false">IF(AND(J4652&lt;&gt;"",K4652&lt;&gt;""),J4652*K4652,"")</f>
        <v/>
      </c>
      <c r="M4652" s="81" t="str">
        <f aca="false">IF(L4652&lt;&gt;"",L4652*1.1,"")</f>
        <v/>
      </c>
      <c r="N4652" s="53" t="n">
        <f aca="false">IF(F4652="S",L4652*0.02,0)</f>
        <v>0</v>
      </c>
      <c r="O4652" s="82" t="str">
        <f aca="false">IF(L4652&lt;&gt;"",L4652+N4652,"")</f>
        <v/>
      </c>
      <c r="P4652" s="53" t="str">
        <f aca="false">IF(O4652&lt;&gt;"",O4652*0.1,"")</f>
        <v/>
      </c>
      <c r="Q4652" s="83" t="str">
        <f aca="false">IF(O4652&lt;&gt;"",O4652+P4652,"")</f>
        <v/>
      </c>
      <c r="R4652" s="84"/>
    </row>
    <row r="4653" customFormat="false" ht="15" hidden="false" customHeight="true" outlineLevel="0" collapsed="false">
      <c r="A4653" s="103"/>
      <c r="B4653" s="85"/>
      <c r="C4653" s="86"/>
      <c r="D4653" s="87"/>
      <c r="E4653" s="46" t="str">
        <f aca="false">IF(D4653&lt;&gt;"",IFERROR(VLOOKUP(D4653,PROVEEDORES!$A:$B,2,0),"!COD NO ENCONTRADO"),"")</f>
        <v/>
      </c>
      <c r="F4653" s="88" t="str">
        <f aca="false">IF(D4653&lt;&gt;"",IFERROR(VLOOKUP(D4653,PROVEEDORES!$A:$C,3,0),""),"")</f>
        <v/>
      </c>
      <c r="G4653" s="87"/>
      <c r="H4653" s="46" t="str">
        <f aca="false">IF(G4653&lt;&gt;"",IFERROR(VLOOKUP(G4653,PRODUCTOS!$A:$B,2,0),"!COD NO ENCONTRADO"),"")</f>
        <v/>
      </c>
      <c r="I4653" s="89"/>
      <c r="J4653" s="90"/>
      <c r="K4653" s="91"/>
      <c r="L4653" s="80" t="str">
        <f aca="false">IF(AND(J4653&lt;&gt;"",K4653&lt;&gt;""),J4653*K4653,"")</f>
        <v/>
      </c>
      <c r="M4653" s="81" t="str">
        <f aca="false">IF(L4653&lt;&gt;"",L4653*1.1,"")</f>
        <v/>
      </c>
      <c r="N4653" s="47" t="n">
        <f aca="false">IF(F4653="S",L4653*0.02,0)</f>
        <v>0</v>
      </c>
      <c r="O4653" s="82" t="str">
        <f aca="false">IF(L4653&lt;&gt;"",L4653+N4653,"")</f>
        <v/>
      </c>
      <c r="P4653" s="47" t="str">
        <f aca="false">IF(O4653&lt;&gt;"",O4653*0.1,"")</f>
        <v/>
      </c>
      <c r="Q4653" s="83" t="str">
        <f aca="false">IF(O4653&lt;&gt;"",O4653+P4653,"")</f>
        <v/>
      </c>
      <c r="R4653" s="84"/>
    </row>
    <row r="4654" customFormat="false" ht="15" hidden="false" customHeight="true" outlineLevel="0" collapsed="false">
      <c r="A4654" s="103"/>
      <c r="B4654" s="73"/>
      <c r="C4654" s="74"/>
      <c r="D4654" s="75"/>
      <c r="E4654" s="52" t="str">
        <f aca="false">IF(D4654&lt;&gt;"",IFERROR(VLOOKUP(D4654,PROVEEDORES!$A:$B,2,0),"!COD NO ENCONTRADO"),"")</f>
        <v/>
      </c>
      <c r="F4654" s="76" t="str">
        <f aca="false">IF(D4654&lt;&gt;"",IFERROR(VLOOKUP(D4654,PROVEEDORES!$A:$C,3,0),""),"")</f>
        <v/>
      </c>
      <c r="G4654" s="75"/>
      <c r="H4654" s="52" t="str">
        <f aca="false">IF(G4654&lt;&gt;"",IFERROR(VLOOKUP(G4654,PRODUCTOS!$A:$B,2,0),"!COD NO ENCONTRADO"),"")</f>
        <v/>
      </c>
      <c r="I4654" s="77"/>
      <c r="J4654" s="78"/>
      <c r="K4654" s="79"/>
      <c r="L4654" s="80" t="str">
        <f aca="false">IF(AND(J4654&lt;&gt;"",K4654&lt;&gt;""),J4654*K4654,"")</f>
        <v/>
      </c>
      <c r="M4654" s="81" t="str">
        <f aca="false">IF(L4654&lt;&gt;"",L4654*1.1,"")</f>
        <v/>
      </c>
      <c r="N4654" s="53" t="n">
        <f aca="false">IF(F4654="S",L4654*0.02,0)</f>
        <v>0</v>
      </c>
      <c r="O4654" s="82" t="str">
        <f aca="false">IF(L4654&lt;&gt;"",L4654+N4654,"")</f>
        <v/>
      </c>
      <c r="P4654" s="53" t="str">
        <f aca="false">IF(O4654&lt;&gt;"",O4654*0.1,"")</f>
        <v/>
      </c>
      <c r="Q4654" s="83" t="str">
        <f aca="false">IF(O4654&lt;&gt;"",O4654+P4654,"")</f>
        <v/>
      </c>
      <c r="R4654" s="84"/>
    </row>
    <row r="4655" customFormat="false" ht="15" hidden="false" customHeight="true" outlineLevel="0" collapsed="false">
      <c r="A4655" s="103"/>
      <c r="B4655" s="85"/>
      <c r="C4655" s="86"/>
      <c r="D4655" s="87"/>
      <c r="E4655" s="46" t="str">
        <f aca="false">IF(D4655&lt;&gt;"",IFERROR(VLOOKUP(D4655,PROVEEDORES!$A:$B,2,0),"!COD NO ENCONTRADO"),"")</f>
        <v/>
      </c>
      <c r="F4655" s="88" t="str">
        <f aca="false">IF(D4655&lt;&gt;"",IFERROR(VLOOKUP(D4655,PROVEEDORES!$A:$C,3,0),""),"")</f>
        <v/>
      </c>
      <c r="G4655" s="87"/>
      <c r="H4655" s="46" t="str">
        <f aca="false">IF(G4655&lt;&gt;"",IFERROR(VLOOKUP(G4655,PRODUCTOS!$A:$B,2,0),"!COD NO ENCONTRADO"),"")</f>
        <v/>
      </c>
      <c r="I4655" s="89"/>
      <c r="J4655" s="90"/>
      <c r="K4655" s="91"/>
      <c r="L4655" s="80" t="str">
        <f aca="false">IF(AND(J4655&lt;&gt;"",K4655&lt;&gt;""),J4655*K4655,"")</f>
        <v/>
      </c>
      <c r="M4655" s="81" t="str">
        <f aca="false">IF(L4655&lt;&gt;"",L4655*1.1,"")</f>
        <v/>
      </c>
      <c r="N4655" s="47" t="n">
        <f aca="false">IF(F4655="S",L4655*0.02,0)</f>
        <v>0</v>
      </c>
      <c r="O4655" s="82" t="str">
        <f aca="false">IF(L4655&lt;&gt;"",L4655+N4655,"")</f>
        <v/>
      </c>
      <c r="P4655" s="47" t="str">
        <f aca="false">IF(O4655&lt;&gt;"",O4655*0.1,"")</f>
        <v/>
      </c>
      <c r="Q4655" s="83" t="str">
        <f aca="false">IF(O4655&lt;&gt;"",O4655+P4655,"")</f>
        <v/>
      </c>
      <c r="R4655" s="84"/>
    </row>
    <row r="4656" customFormat="false" ht="15" hidden="false" customHeight="true" outlineLevel="0" collapsed="false">
      <c r="A4656" s="103"/>
      <c r="B4656" s="73"/>
      <c r="C4656" s="74"/>
      <c r="D4656" s="75"/>
      <c r="E4656" s="52" t="str">
        <f aca="false">IF(D4656&lt;&gt;"",IFERROR(VLOOKUP(D4656,PROVEEDORES!$A:$B,2,0),"!COD NO ENCONTRADO"),"")</f>
        <v/>
      </c>
      <c r="F4656" s="76" t="str">
        <f aca="false">IF(D4656&lt;&gt;"",IFERROR(VLOOKUP(D4656,PROVEEDORES!$A:$C,3,0),""),"")</f>
        <v/>
      </c>
      <c r="G4656" s="75"/>
      <c r="H4656" s="52" t="str">
        <f aca="false">IF(G4656&lt;&gt;"",IFERROR(VLOOKUP(G4656,PRODUCTOS!$A:$B,2,0),"!COD NO ENCONTRADO"),"")</f>
        <v/>
      </c>
      <c r="I4656" s="77"/>
      <c r="J4656" s="78"/>
      <c r="K4656" s="79"/>
      <c r="L4656" s="80" t="str">
        <f aca="false">IF(AND(J4656&lt;&gt;"",K4656&lt;&gt;""),J4656*K4656,"")</f>
        <v/>
      </c>
      <c r="M4656" s="81" t="str">
        <f aca="false">IF(L4656&lt;&gt;"",L4656*1.1,"")</f>
        <v/>
      </c>
      <c r="N4656" s="53" t="n">
        <f aca="false">IF(F4656="S",L4656*0.02,0)</f>
        <v>0</v>
      </c>
      <c r="O4656" s="82" t="str">
        <f aca="false">IF(L4656&lt;&gt;"",L4656+N4656,"")</f>
        <v/>
      </c>
      <c r="P4656" s="53" t="str">
        <f aca="false">IF(O4656&lt;&gt;"",O4656*0.1,"")</f>
        <v/>
      </c>
      <c r="Q4656" s="83" t="str">
        <f aca="false">IF(O4656&lt;&gt;"",O4656+P4656,"")</f>
        <v/>
      </c>
      <c r="R4656" s="84"/>
    </row>
    <row r="4657" customFormat="false" ht="15" hidden="false" customHeight="true" outlineLevel="0" collapsed="false">
      <c r="A4657" s="103"/>
      <c r="B4657" s="85"/>
      <c r="C4657" s="86"/>
      <c r="D4657" s="87"/>
      <c r="E4657" s="46" t="str">
        <f aca="false">IF(D4657&lt;&gt;"",IFERROR(VLOOKUP(D4657,PROVEEDORES!$A:$B,2,0),"!COD NO ENCONTRADO"),"")</f>
        <v/>
      </c>
      <c r="F4657" s="88" t="str">
        <f aca="false">IF(D4657&lt;&gt;"",IFERROR(VLOOKUP(D4657,PROVEEDORES!$A:$C,3,0),""),"")</f>
        <v/>
      </c>
      <c r="G4657" s="87"/>
      <c r="H4657" s="46" t="str">
        <f aca="false">IF(G4657&lt;&gt;"",IFERROR(VLOOKUP(G4657,PRODUCTOS!$A:$B,2,0),"!COD NO ENCONTRADO"),"")</f>
        <v/>
      </c>
      <c r="I4657" s="89"/>
      <c r="J4657" s="90"/>
      <c r="K4657" s="91"/>
      <c r="L4657" s="80" t="str">
        <f aca="false">IF(AND(J4657&lt;&gt;"",K4657&lt;&gt;""),J4657*K4657,"")</f>
        <v/>
      </c>
      <c r="M4657" s="81" t="str">
        <f aca="false">IF(L4657&lt;&gt;"",L4657*1.1,"")</f>
        <v/>
      </c>
      <c r="N4657" s="47" t="n">
        <f aca="false">IF(F4657="S",L4657*0.02,0)</f>
        <v>0</v>
      </c>
      <c r="O4657" s="82" t="str">
        <f aca="false">IF(L4657&lt;&gt;"",L4657+N4657,"")</f>
        <v/>
      </c>
      <c r="P4657" s="47" t="str">
        <f aca="false">IF(O4657&lt;&gt;"",O4657*0.1,"")</f>
        <v/>
      </c>
      <c r="Q4657" s="83" t="str">
        <f aca="false">IF(O4657&lt;&gt;"",O4657+P4657,"")</f>
        <v/>
      </c>
      <c r="R4657" s="84"/>
    </row>
    <row r="4658" customFormat="false" ht="15" hidden="false" customHeight="true" outlineLevel="0" collapsed="false">
      <c r="A4658" s="103"/>
      <c r="B4658" s="73"/>
      <c r="C4658" s="74"/>
      <c r="D4658" s="75"/>
      <c r="E4658" s="52" t="str">
        <f aca="false">IF(D4658&lt;&gt;"",IFERROR(VLOOKUP(D4658,PROVEEDORES!$A:$B,2,0),"!COD NO ENCONTRADO"),"")</f>
        <v/>
      </c>
      <c r="F4658" s="76" t="str">
        <f aca="false">IF(D4658&lt;&gt;"",IFERROR(VLOOKUP(D4658,PROVEEDORES!$A:$C,3,0),""),"")</f>
        <v/>
      </c>
      <c r="G4658" s="75"/>
      <c r="H4658" s="52" t="str">
        <f aca="false">IF(G4658&lt;&gt;"",IFERROR(VLOOKUP(G4658,PRODUCTOS!$A:$B,2,0),"!COD NO ENCONTRADO"),"")</f>
        <v/>
      </c>
      <c r="I4658" s="77"/>
      <c r="J4658" s="78"/>
      <c r="K4658" s="79"/>
      <c r="L4658" s="80" t="str">
        <f aca="false">IF(AND(J4658&lt;&gt;"",K4658&lt;&gt;""),J4658*K4658,"")</f>
        <v/>
      </c>
      <c r="M4658" s="81" t="str">
        <f aca="false">IF(L4658&lt;&gt;"",L4658*1.1,"")</f>
        <v/>
      </c>
      <c r="N4658" s="53" t="n">
        <f aca="false">IF(F4658="S",L4658*0.02,0)</f>
        <v>0</v>
      </c>
      <c r="O4658" s="82" t="str">
        <f aca="false">IF(L4658&lt;&gt;"",L4658+N4658,"")</f>
        <v/>
      </c>
      <c r="P4658" s="53" t="str">
        <f aca="false">IF(O4658&lt;&gt;"",O4658*0.1,"")</f>
        <v/>
      </c>
      <c r="Q4658" s="83" t="str">
        <f aca="false">IF(O4658&lt;&gt;"",O4658+P4658,"")</f>
        <v/>
      </c>
      <c r="R4658" s="84"/>
    </row>
    <row r="4659" customFormat="false" ht="15" hidden="false" customHeight="true" outlineLevel="0" collapsed="false">
      <c r="A4659" s="103"/>
      <c r="B4659" s="85"/>
      <c r="C4659" s="86"/>
      <c r="D4659" s="87"/>
      <c r="E4659" s="46" t="str">
        <f aca="false">IF(D4659&lt;&gt;"",IFERROR(VLOOKUP(D4659,PROVEEDORES!$A:$B,2,0),"!COD NO ENCONTRADO"),"")</f>
        <v/>
      </c>
      <c r="F4659" s="88" t="str">
        <f aca="false">IF(D4659&lt;&gt;"",IFERROR(VLOOKUP(D4659,PROVEEDORES!$A:$C,3,0),""),"")</f>
        <v/>
      </c>
      <c r="G4659" s="87"/>
      <c r="H4659" s="46" t="str">
        <f aca="false">IF(G4659&lt;&gt;"",IFERROR(VLOOKUP(G4659,PRODUCTOS!$A:$B,2,0),"!COD NO ENCONTRADO"),"")</f>
        <v/>
      </c>
      <c r="I4659" s="89"/>
      <c r="J4659" s="90"/>
      <c r="K4659" s="91"/>
      <c r="L4659" s="80" t="str">
        <f aca="false">IF(AND(J4659&lt;&gt;"",K4659&lt;&gt;""),J4659*K4659,"")</f>
        <v/>
      </c>
      <c r="M4659" s="81" t="str">
        <f aca="false">IF(L4659&lt;&gt;"",L4659*1.1,"")</f>
        <v/>
      </c>
      <c r="N4659" s="47" t="n">
        <f aca="false">IF(F4659="S",L4659*0.02,0)</f>
        <v>0</v>
      </c>
      <c r="O4659" s="82" t="str">
        <f aca="false">IF(L4659&lt;&gt;"",L4659+N4659,"")</f>
        <v/>
      </c>
      <c r="P4659" s="47" t="str">
        <f aca="false">IF(O4659&lt;&gt;"",O4659*0.1,"")</f>
        <v/>
      </c>
      <c r="Q4659" s="83" t="str">
        <f aca="false">IF(O4659&lt;&gt;"",O4659+P4659,"")</f>
        <v/>
      </c>
      <c r="R4659" s="84"/>
    </row>
    <row r="4660" customFormat="false" ht="15" hidden="false" customHeight="true" outlineLevel="0" collapsed="false">
      <c r="A4660" s="103"/>
      <c r="B4660" s="73"/>
      <c r="C4660" s="74"/>
      <c r="D4660" s="75"/>
      <c r="E4660" s="52" t="str">
        <f aca="false">IF(D4660&lt;&gt;"",IFERROR(VLOOKUP(D4660,PROVEEDORES!$A:$B,2,0),"!COD NO ENCONTRADO"),"")</f>
        <v/>
      </c>
      <c r="F4660" s="76" t="str">
        <f aca="false">IF(D4660&lt;&gt;"",IFERROR(VLOOKUP(D4660,PROVEEDORES!$A:$C,3,0),""),"")</f>
        <v/>
      </c>
      <c r="G4660" s="75"/>
      <c r="H4660" s="52" t="str">
        <f aca="false">IF(G4660&lt;&gt;"",IFERROR(VLOOKUP(G4660,PRODUCTOS!$A:$B,2,0),"!COD NO ENCONTRADO"),"")</f>
        <v/>
      </c>
      <c r="I4660" s="77"/>
      <c r="J4660" s="78"/>
      <c r="K4660" s="79"/>
      <c r="L4660" s="80" t="str">
        <f aca="false">IF(AND(J4660&lt;&gt;"",K4660&lt;&gt;""),J4660*K4660,"")</f>
        <v/>
      </c>
      <c r="M4660" s="81" t="str">
        <f aca="false">IF(L4660&lt;&gt;"",L4660*1.1,"")</f>
        <v/>
      </c>
      <c r="N4660" s="53" t="n">
        <f aca="false">IF(F4660="S",L4660*0.02,0)</f>
        <v>0</v>
      </c>
      <c r="O4660" s="82" t="str">
        <f aca="false">IF(L4660&lt;&gt;"",L4660+N4660,"")</f>
        <v/>
      </c>
      <c r="P4660" s="53" t="str">
        <f aca="false">IF(O4660&lt;&gt;"",O4660*0.1,"")</f>
        <v/>
      </c>
      <c r="Q4660" s="83" t="str">
        <f aca="false">IF(O4660&lt;&gt;"",O4660+P4660,"")</f>
        <v/>
      </c>
      <c r="R4660" s="84"/>
    </row>
    <row r="4661" customFormat="false" ht="15" hidden="false" customHeight="true" outlineLevel="0" collapsed="false">
      <c r="A4661" s="103"/>
      <c r="B4661" s="85"/>
      <c r="C4661" s="86"/>
      <c r="D4661" s="87"/>
      <c r="E4661" s="46" t="str">
        <f aca="false">IF(D4661&lt;&gt;"",IFERROR(VLOOKUP(D4661,PROVEEDORES!$A:$B,2,0),"!COD NO ENCONTRADO"),"")</f>
        <v/>
      </c>
      <c r="F4661" s="88" t="str">
        <f aca="false">IF(D4661&lt;&gt;"",IFERROR(VLOOKUP(D4661,PROVEEDORES!$A:$C,3,0),""),"")</f>
        <v/>
      </c>
      <c r="G4661" s="87"/>
      <c r="H4661" s="46" t="str">
        <f aca="false">IF(G4661&lt;&gt;"",IFERROR(VLOOKUP(G4661,PRODUCTOS!$A:$B,2,0),"!COD NO ENCONTRADO"),"")</f>
        <v/>
      </c>
      <c r="I4661" s="89"/>
      <c r="J4661" s="90"/>
      <c r="K4661" s="91"/>
      <c r="L4661" s="80" t="str">
        <f aca="false">IF(AND(J4661&lt;&gt;"",K4661&lt;&gt;""),J4661*K4661,"")</f>
        <v/>
      </c>
      <c r="M4661" s="81" t="str">
        <f aca="false">IF(L4661&lt;&gt;"",L4661*1.1,"")</f>
        <v/>
      </c>
      <c r="N4661" s="47" t="n">
        <f aca="false">IF(F4661="S",L4661*0.02,0)</f>
        <v>0</v>
      </c>
      <c r="O4661" s="82" t="str">
        <f aca="false">IF(L4661&lt;&gt;"",L4661+N4661,"")</f>
        <v/>
      </c>
      <c r="P4661" s="47" t="str">
        <f aca="false">IF(O4661&lt;&gt;"",O4661*0.1,"")</f>
        <v/>
      </c>
      <c r="Q4661" s="83" t="str">
        <f aca="false">IF(O4661&lt;&gt;"",O4661+P4661,"")</f>
        <v/>
      </c>
      <c r="R4661" s="84"/>
    </row>
    <row r="4662" customFormat="false" ht="15" hidden="false" customHeight="true" outlineLevel="0" collapsed="false">
      <c r="A4662" s="103"/>
      <c r="B4662" s="73"/>
      <c r="C4662" s="74"/>
      <c r="D4662" s="75"/>
      <c r="E4662" s="52" t="str">
        <f aca="false">IF(D4662&lt;&gt;"",IFERROR(VLOOKUP(D4662,PROVEEDORES!$A:$B,2,0),"!COD NO ENCONTRADO"),"")</f>
        <v/>
      </c>
      <c r="F4662" s="76" t="str">
        <f aca="false">IF(D4662&lt;&gt;"",IFERROR(VLOOKUP(D4662,PROVEEDORES!$A:$C,3,0),""),"")</f>
        <v/>
      </c>
      <c r="G4662" s="75"/>
      <c r="H4662" s="52" t="str">
        <f aca="false">IF(G4662&lt;&gt;"",IFERROR(VLOOKUP(G4662,PRODUCTOS!$A:$B,2,0),"!COD NO ENCONTRADO"),"")</f>
        <v/>
      </c>
      <c r="I4662" s="77"/>
      <c r="J4662" s="78"/>
      <c r="K4662" s="79"/>
      <c r="L4662" s="80" t="str">
        <f aca="false">IF(AND(J4662&lt;&gt;"",K4662&lt;&gt;""),J4662*K4662,"")</f>
        <v/>
      </c>
      <c r="M4662" s="81" t="str">
        <f aca="false">IF(L4662&lt;&gt;"",L4662*1.1,"")</f>
        <v/>
      </c>
      <c r="N4662" s="53" t="n">
        <f aca="false">IF(F4662="S",L4662*0.02,0)</f>
        <v>0</v>
      </c>
      <c r="O4662" s="82" t="str">
        <f aca="false">IF(L4662&lt;&gt;"",L4662+N4662,"")</f>
        <v/>
      </c>
      <c r="P4662" s="53" t="str">
        <f aca="false">IF(O4662&lt;&gt;"",O4662*0.1,"")</f>
        <v/>
      </c>
      <c r="Q4662" s="83" t="str">
        <f aca="false">IF(O4662&lt;&gt;"",O4662+P4662,"")</f>
        <v/>
      </c>
      <c r="R4662" s="84"/>
    </row>
    <row r="4663" customFormat="false" ht="15" hidden="false" customHeight="true" outlineLevel="0" collapsed="false">
      <c r="A4663" s="103"/>
      <c r="B4663" s="85"/>
      <c r="C4663" s="86"/>
      <c r="D4663" s="87"/>
      <c r="E4663" s="46" t="str">
        <f aca="false">IF(D4663&lt;&gt;"",IFERROR(VLOOKUP(D4663,PROVEEDORES!$A:$B,2,0),"!COD NO ENCONTRADO"),"")</f>
        <v/>
      </c>
      <c r="F4663" s="88" t="str">
        <f aca="false">IF(D4663&lt;&gt;"",IFERROR(VLOOKUP(D4663,PROVEEDORES!$A:$C,3,0),""),"")</f>
        <v/>
      </c>
      <c r="G4663" s="87"/>
      <c r="H4663" s="46" t="str">
        <f aca="false">IF(G4663&lt;&gt;"",IFERROR(VLOOKUP(G4663,PRODUCTOS!$A:$B,2,0),"!COD NO ENCONTRADO"),"")</f>
        <v/>
      </c>
      <c r="I4663" s="89"/>
      <c r="J4663" s="90"/>
      <c r="K4663" s="91"/>
      <c r="L4663" s="80" t="str">
        <f aca="false">IF(AND(J4663&lt;&gt;"",K4663&lt;&gt;""),J4663*K4663,"")</f>
        <v/>
      </c>
      <c r="M4663" s="81" t="str">
        <f aca="false">IF(L4663&lt;&gt;"",L4663*1.1,"")</f>
        <v/>
      </c>
      <c r="N4663" s="47" t="n">
        <f aca="false">IF(F4663="S",L4663*0.02,0)</f>
        <v>0</v>
      </c>
      <c r="O4663" s="82" t="str">
        <f aca="false">IF(L4663&lt;&gt;"",L4663+N4663,"")</f>
        <v/>
      </c>
      <c r="P4663" s="47" t="str">
        <f aca="false">IF(O4663&lt;&gt;"",O4663*0.1,"")</f>
        <v/>
      </c>
      <c r="Q4663" s="83" t="str">
        <f aca="false">IF(O4663&lt;&gt;"",O4663+P4663,"")</f>
        <v/>
      </c>
      <c r="R4663" s="84"/>
    </row>
    <row r="4664" customFormat="false" ht="15" hidden="false" customHeight="true" outlineLevel="0" collapsed="false">
      <c r="A4664" s="103"/>
      <c r="B4664" s="73"/>
      <c r="C4664" s="74"/>
      <c r="D4664" s="75"/>
      <c r="E4664" s="52" t="str">
        <f aca="false">IF(D4664&lt;&gt;"",IFERROR(VLOOKUP(D4664,PROVEEDORES!$A:$B,2,0),"!COD NO ENCONTRADO"),"")</f>
        <v/>
      </c>
      <c r="F4664" s="76" t="str">
        <f aca="false">IF(D4664&lt;&gt;"",IFERROR(VLOOKUP(D4664,PROVEEDORES!$A:$C,3,0),""),"")</f>
        <v/>
      </c>
      <c r="G4664" s="75"/>
      <c r="H4664" s="52" t="str">
        <f aca="false">IF(G4664&lt;&gt;"",IFERROR(VLOOKUP(G4664,PRODUCTOS!$A:$B,2,0),"!COD NO ENCONTRADO"),"")</f>
        <v/>
      </c>
      <c r="I4664" s="77"/>
      <c r="J4664" s="78"/>
      <c r="K4664" s="79"/>
      <c r="L4664" s="80" t="str">
        <f aca="false">IF(AND(J4664&lt;&gt;"",K4664&lt;&gt;""),J4664*K4664,"")</f>
        <v/>
      </c>
      <c r="M4664" s="81" t="str">
        <f aca="false">IF(L4664&lt;&gt;"",L4664*1.1,"")</f>
        <v/>
      </c>
      <c r="N4664" s="53" t="n">
        <f aca="false">IF(F4664="S",L4664*0.02,0)</f>
        <v>0</v>
      </c>
      <c r="O4664" s="82" t="str">
        <f aca="false">IF(L4664&lt;&gt;"",L4664+N4664,"")</f>
        <v/>
      </c>
      <c r="P4664" s="53" t="str">
        <f aca="false">IF(O4664&lt;&gt;"",O4664*0.1,"")</f>
        <v/>
      </c>
      <c r="Q4664" s="83" t="str">
        <f aca="false">IF(O4664&lt;&gt;"",O4664+P4664,"")</f>
        <v/>
      </c>
      <c r="R4664" s="84"/>
    </row>
    <row r="4665" customFormat="false" ht="15" hidden="false" customHeight="true" outlineLevel="0" collapsed="false">
      <c r="A4665" s="103"/>
      <c r="B4665" s="85"/>
      <c r="C4665" s="86"/>
      <c r="D4665" s="87"/>
      <c r="E4665" s="46" t="str">
        <f aca="false">IF(D4665&lt;&gt;"",IFERROR(VLOOKUP(D4665,PROVEEDORES!$A:$B,2,0),"!COD NO ENCONTRADO"),"")</f>
        <v/>
      </c>
      <c r="F4665" s="88" t="str">
        <f aca="false">IF(D4665&lt;&gt;"",IFERROR(VLOOKUP(D4665,PROVEEDORES!$A:$C,3,0),""),"")</f>
        <v/>
      </c>
      <c r="G4665" s="87"/>
      <c r="H4665" s="46" t="str">
        <f aca="false">IF(G4665&lt;&gt;"",IFERROR(VLOOKUP(G4665,PRODUCTOS!$A:$B,2,0),"!COD NO ENCONTRADO"),"")</f>
        <v/>
      </c>
      <c r="I4665" s="89"/>
      <c r="J4665" s="90"/>
      <c r="K4665" s="91"/>
      <c r="L4665" s="80" t="str">
        <f aca="false">IF(AND(J4665&lt;&gt;"",K4665&lt;&gt;""),J4665*K4665,"")</f>
        <v/>
      </c>
      <c r="M4665" s="81" t="str">
        <f aca="false">IF(L4665&lt;&gt;"",L4665*1.1,"")</f>
        <v/>
      </c>
      <c r="N4665" s="47" t="n">
        <f aca="false">IF(F4665="S",L4665*0.02,0)</f>
        <v>0</v>
      </c>
      <c r="O4665" s="82" t="str">
        <f aca="false">IF(L4665&lt;&gt;"",L4665+N4665,"")</f>
        <v/>
      </c>
      <c r="P4665" s="47" t="str">
        <f aca="false">IF(O4665&lt;&gt;"",O4665*0.1,"")</f>
        <v/>
      </c>
      <c r="Q4665" s="83" t="str">
        <f aca="false">IF(O4665&lt;&gt;"",O4665+P4665,"")</f>
        <v/>
      </c>
      <c r="R4665" s="84"/>
    </row>
    <row r="4666" customFormat="false" ht="15" hidden="false" customHeight="true" outlineLevel="0" collapsed="false">
      <c r="A4666" s="103"/>
      <c r="B4666" s="73"/>
      <c r="C4666" s="74"/>
      <c r="D4666" s="75"/>
      <c r="E4666" s="52" t="str">
        <f aca="false">IF(D4666&lt;&gt;"",IFERROR(VLOOKUP(D4666,PROVEEDORES!$A:$B,2,0),"!COD NO ENCONTRADO"),"")</f>
        <v/>
      </c>
      <c r="F4666" s="76" t="str">
        <f aca="false">IF(D4666&lt;&gt;"",IFERROR(VLOOKUP(D4666,PROVEEDORES!$A:$C,3,0),""),"")</f>
        <v/>
      </c>
      <c r="G4666" s="75"/>
      <c r="H4666" s="52" t="str">
        <f aca="false">IF(G4666&lt;&gt;"",IFERROR(VLOOKUP(G4666,PRODUCTOS!$A:$B,2,0),"!COD NO ENCONTRADO"),"")</f>
        <v/>
      </c>
      <c r="I4666" s="77"/>
      <c r="J4666" s="78"/>
      <c r="K4666" s="79"/>
      <c r="L4666" s="80" t="str">
        <f aca="false">IF(AND(J4666&lt;&gt;"",K4666&lt;&gt;""),J4666*K4666,"")</f>
        <v/>
      </c>
      <c r="M4666" s="81" t="str">
        <f aca="false">IF(L4666&lt;&gt;"",L4666*1.1,"")</f>
        <v/>
      </c>
      <c r="N4666" s="53" t="n">
        <f aca="false">IF(F4666="S",L4666*0.02,0)</f>
        <v>0</v>
      </c>
      <c r="O4666" s="82" t="str">
        <f aca="false">IF(L4666&lt;&gt;"",L4666+N4666,"")</f>
        <v/>
      </c>
      <c r="P4666" s="53" t="str">
        <f aca="false">IF(O4666&lt;&gt;"",O4666*0.1,"")</f>
        <v/>
      </c>
      <c r="Q4666" s="83" t="str">
        <f aca="false">IF(O4666&lt;&gt;"",O4666+P4666,"")</f>
        <v/>
      </c>
      <c r="R4666" s="84"/>
    </row>
    <row r="4667" customFormat="false" ht="15" hidden="false" customHeight="true" outlineLevel="0" collapsed="false">
      <c r="A4667" s="103"/>
      <c r="B4667" s="85"/>
      <c r="C4667" s="86"/>
      <c r="D4667" s="87"/>
      <c r="E4667" s="46" t="str">
        <f aca="false">IF(D4667&lt;&gt;"",IFERROR(VLOOKUP(D4667,PROVEEDORES!$A:$B,2,0),"!COD NO ENCONTRADO"),"")</f>
        <v/>
      </c>
      <c r="F4667" s="88" t="str">
        <f aca="false">IF(D4667&lt;&gt;"",IFERROR(VLOOKUP(D4667,PROVEEDORES!$A:$C,3,0),""),"")</f>
        <v/>
      </c>
      <c r="G4667" s="87"/>
      <c r="H4667" s="46" t="str">
        <f aca="false">IF(G4667&lt;&gt;"",IFERROR(VLOOKUP(G4667,PRODUCTOS!$A:$B,2,0),"!COD NO ENCONTRADO"),"")</f>
        <v/>
      </c>
      <c r="I4667" s="89"/>
      <c r="J4667" s="90"/>
      <c r="K4667" s="91"/>
      <c r="L4667" s="80" t="str">
        <f aca="false">IF(AND(J4667&lt;&gt;"",K4667&lt;&gt;""),J4667*K4667,"")</f>
        <v/>
      </c>
      <c r="M4667" s="81" t="str">
        <f aca="false">IF(L4667&lt;&gt;"",L4667*1.1,"")</f>
        <v/>
      </c>
      <c r="N4667" s="47" t="n">
        <f aca="false">IF(F4667="S",L4667*0.02,0)</f>
        <v>0</v>
      </c>
      <c r="O4667" s="82" t="str">
        <f aca="false">IF(L4667&lt;&gt;"",L4667+N4667,"")</f>
        <v/>
      </c>
      <c r="P4667" s="47" t="str">
        <f aca="false">IF(O4667&lt;&gt;"",O4667*0.1,"")</f>
        <v/>
      </c>
      <c r="Q4667" s="83" t="str">
        <f aca="false">IF(O4667&lt;&gt;"",O4667+P4667,"")</f>
        <v/>
      </c>
      <c r="R4667" s="84"/>
    </row>
    <row r="4668" customFormat="false" ht="15" hidden="false" customHeight="true" outlineLevel="0" collapsed="false">
      <c r="A4668" s="103"/>
      <c r="B4668" s="73"/>
      <c r="C4668" s="74"/>
      <c r="D4668" s="75"/>
      <c r="E4668" s="52" t="str">
        <f aca="false">IF(D4668&lt;&gt;"",IFERROR(VLOOKUP(D4668,PROVEEDORES!$A:$B,2,0),"!COD NO ENCONTRADO"),"")</f>
        <v/>
      </c>
      <c r="F4668" s="76" t="str">
        <f aca="false">IF(D4668&lt;&gt;"",IFERROR(VLOOKUP(D4668,PROVEEDORES!$A:$C,3,0),""),"")</f>
        <v/>
      </c>
      <c r="G4668" s="75"/>
      <c r="H4668" s="52" t="str">
        <f aca="false">IF(G4668&lt;&gt;"",IFERROR(VLOOKUP(G4668,PRODUCTOS!$A:$B,2,0),"!COD NO ENCONTRADO"),"")</f>
        <v/>
      </c>
      <c r="I4668" s="77"/>
      <c r="J4668" s="78"/>
      <c r="K4668" s="79"/>
      <c r="L4668" s="80" t="str">
        <f aca="false">IF(AND(J4668&lt;&gt;"",K4668&lt;&gt;""),J4668*K4668,"")</f>
        <v/>
      </c>
      <c r="M4668" s="81" t="str">
        <f aca="false">IF(L4668&lt;&gt;"",L4668*1.1,"")</f>
        <v/>
      </c>
      <c r="N4668" s="53" t="n">
        <f aca="false">IF(F4668="S",L4668*0.02,0)</f>
        <v>0</v>
      </c>
      <c r="O4668" s="82" t="str">
        <f aca="false">IF(L4668&lt;&gt;"",L4668+N4668,"")</f>
        <v/>
      </c>
      <c r="P4668" s="53" t="str">
        <f aca="false">IF(O4668&lt;&gt;"",O4668*0.1,"")</f>
        <v/>
      </c>
      <c r="Q4668" s="83" t="str">
        <f aca="false">IF(O4668&lt;&gt;"",O4668+P4668,"")</f>
        <v/>
      </c>
      <c r="R4668" s="84"/>
    </row>
    <row r="4669" customFormat="false" ht="15" hidden="false" customHeight="true" outlineLevel="0" collapsed="false">
      <c r="A4669" s="103"/>
      <c r="B4669" s="85"/>
      <c r="C4669" s="86"/>
      <c r="D4669" s="87"/>
      <c r="E4669" s="46" t="str">
        <f aca="false">IF(D4669&lt;&gt;"",IFERROR(VLOOKUP(D4669,PROVEEDORES!$A:$B,2,0),"!COD NO ENCONTRADO"),"")</f>
        <v/>
      </c>
      <c r="F4669" s="88" t="str">
        <f aca="false">IF(D4669&lt;&gt;"",IFERROR(VLOOKUP(D4669,PROVEEDORES!$A:$C,3,0),""),"")</f>
        <v/>
      </c>
      <c r="G4669" s="87"/>
      <c r="H4669" s="46" t="str">
        <f aca="false">IF(G4669&lt;&gt;"",IFERROR(VLOOKUP(G4669,PRODUCTOS!$A:$B,2,0),"!COD NO ENCONTRADO"),"")</f>
        <v/>
      </c>
      <c r="I4669" s="89"/>
      <c r="J4669" s="90"/>
      <c r="K4669" s="91"/>
      <c r="L4669" s="80" t="str">
        <f aca="false">IF(AND(J4669&lt;&gt;"",K4669&lt;&gt;""),J4669*K4669,"")</f>
        <v/>
      </c>
      <c r="M4669" s="81" t="str">
        <f aca="false">IF(L4669&lt;&gt;"",L4669*1.1,"")</f>
        <v/>
      </c>
      <c r="N4669" s="47" t="n">
        <f aca="false">IF(F4669="S",L4669*0.02,0)</f>
        <v>0</v>
      </c>
      <c r="O4669" s="82" t="str">
        <f aca="false">IF(L4669&lt;&gt;"",L4669+N4669,"")</f>
        <v/>
      </c>
      <c r="P4669" s="47" t="str">
        <f aca="false">IF(O4669&lt;&gt;"",O4669*0.1,"")</f>
        <v/>
      </c>
      <c r="Q4669" s="83" t="str">
        <f aca="false">IF(O4669&lt;&gt;"",O4669+P4669,"")</f>
        <v/>
      </c>
      <c r="R4669" s="84"/>
    </row>
    <row r="4670" customFormat="false" ht="15" hidden="false" customHeight="true" outlineLevel="0" collapsed="false">
      <c r="A4670" s="103"/>
      <c r="B4670" s="73"/>
      <c r="C4670" s="74"/>
      <c r="D4670" s="75"/>
      <c r="E4670" s="52" t="str">
        <f aca="false">IF(D4670&lt;&gt;"",IFERROR(VLOOKUP(D4670,PROVEEDORES!$A:$B,2,0),"!COD NO ENCONTRADO"),"")</f>
        <v/>
      </c>
      <c r="F4670" s="76" t="str">
        <f aca="false">IF(D4670&lt;&gt;"",IFERROR(VLOOKUP(D4670,PROVEEDORES!$A:$C,3,0),""),"")</f>
        <v/>
      </c>
      <c r="G4670" s="75"/>
      <c r="H4670" s="52" t="str">
        <f aca="false">IF(G4670&lt;&gt;"",IFERROR(VLOOKUP(G4670,PRODUCTOS!$A:$B,2,0),"!COD NO ENCONTRADO"),"")</f>
        <v/>
      </c>
      <c r="I4670" s="77"/>
      <c r="J4670" s="78"/>
      <c r="K4670" s="79"/>
      <c r="L4670" s="80" t="str">
        <f aca="false">IF(AND(J4670&lt;&gt;"",K4670&lt;&gt;""),J4670*K4670,"")</f>
        <v/>
      </c>
      <c r="M4670" s="81" t="str">
        <f aca="false">IF(L4670&lt;&gt;"",L4670*1.1,"")</f>
        <v/>
      </c>
      <c r="N4670" s="53" t="n">
        <f aca="false">IF(F4670="S",L4670*0.02,0)</f>
        <v>0</v>
      </c>
      <c r="O4670" s="82" t="str">
        <f aca="false">IF(L4670&lt;&gt;"",L4670+N4670,"")</f>
        <v/>
      </c>
      <c r="P4670" s="53" t="str">
        <f aca="false">IF(O4670&lt;&gt;"",O4670*0.1,"")</f>
        <v/>
      </c>
      <c r="Q4670" s="83" t="str">
        <f aca="false">IF(O4670&lt;&gt;"",O4670+P4670,"")</f>
        <v/>
      </c>
      <c r="R4670" s="84"/>
    </row>
    <row r="4671" customFormat="false" ht="15" hidden="false" customHeight="true" outlineLevel="0" collapsed="false">
      <c r="A4671" s="103"/>
      <c r="B4671" s="85"/>
      <c r="C4671" s="86"/>
      <c r="D4671" s="87"/>
      <c r="E4671" s="46" t="str">
        <f aca="false">IF(D4671&lt;&gt;"",IFERROR(VLOOKUP(D4671,PROVEEDORES!$A:$B,2,0),"!COD NO ENCONTRADO"),"")</f>
        <v/>
      </c>
      <c r="F4671" s="88" t="str">
        <f aca="false">IF(D4671&lt;&gt;"",IFERROR(VLOOKUP(D4671,PROVEEDORES!$A:$C,3,0),""),"")</f>
        <v/>
      </c>
      <c r="G4671" s="87"/>
      <c r="H4671" s="46" t="str">
        <f aca="false">IF(G4671&lt;&gt;"",IFERROR(VLOOKUP(G4671,PRODUCTOS!$A:$B,2,0),"!COD NO ENCONTRADO"),"")</f>
        <v/>
      </c>
      <c r="I4671" s="89"/>
      <c r="J4671" s="90"/>
      <c r="K4671" s="91"/>
      <c r="L4671" s="80" t="str">
        <f aca="false">IF(AND(J4671&lt;&gt;"",K4671&lt;&gt;""),J4671*K4671,"")</f>
        <v/>
      </c>
      <c r="M4671" s="81" t="str">
        <f aca="false">IF(L4671&lt;&gt;"",L4671*1.1,"")</f>
        <v/>
      </c>
      <c r="N4671" s="47" t="n">
        <f aca="false">IF(F4671="S",L4671*0.02,0)</f>
        <v>0</v>
      </c>
      <c r="O4671" s="82" t="str">
        <f aca="false">IF(L4671&lt;&gt;"",L4671+N4671,"")</f>
        <v/>
      </c>
      <c r="P4671" s="47" t="str">
        <f aca="false">IF(O4671&lt;&gt;"",O4671*0.1,"")</f>
        <v/>
      </c>
      <c r="Q4671" s="83" t="str">
        <f aca="false">IF(O4671&lt;&gt;"",O4671+P4671,"")</f>
        <v/>
      </c>
      <c r="R4671" s="84"/>
    </row>
    <row r="4672" customFormat="false" ht="15" hidden="false" customHeight="true" outlineLevel="0" collapsed="false">
      <c r="A4672" s="103"/>
      <c r="B4672" s="73"/>
      <c r="C4672" s="74"/>
      <c r="D4672" s="75"/>
      <c r="E4672" s="52" t="str">
        <f aca="false">IF(D4672&lt;&gt;"",IFERROR(VLOOKUP(D4672,PROVEEDORES!$A:$B,2,0),"!COD NO ENCONTRADO"),"")</f>
        <v/>
      </c>
      <c r="F4672" s="76" t="str">
        <f aca="false">IF(D4672&lt;&gt;"",IFERROR(VLOOKUP(D4672,PROVEEDORES!$A:$C,3,0),""),"")</f>
        <v/>
      </c>
      <c r="G4672" s="75"/>
      <c r="H4672" s="52" t="str">
        <f aca="false">IF(G4672&lt;&gt;"",IFERROR(VLOOKUP(G4672,PRODUCTOS!$A:$B,2,0),"!COD NO ENCONTRADO"),"")</f>
        <v/>
      </c>
      <c r="I4672" s="77"/>
      <c r="J4672" s="78"/>
      <c r="K4672" s="79"/>
      <c r="L4672" s="80" t="str">
        <f aca="false">IF(AND(J4672&lt;&gt;"",K4672&lt;&gt;""),J4672*K4672,"")</f>
        <v/>
      </c>
      <c r="M4672" s="81" t="str">
        <f aca="false">IF(L4672&lt;&gt;"",L4672*1.1,"")</f>
        <v/>
      </c>
      <c r="N4672" s="53" t="n">
        <f aca="false">IF(F4672="S",L4672*0.02,0)</f>
        <v>0</v>
      </c>
      <c r="O4672" s="82" t="str">
        <f aca="false">IF(L4672&lt;&gt;"",L4672+N4672,"")</f>
        <v/>
      </c>
      <c r="P4672" s="53" t="str">
        <f aca="false">IF(O4672&lt;&gt;"",O4672*0.1,"")</f>
        <v/>
      </c>
      <c r="Q4672" s="83" t="str">
        <f aca="false">IF(O4672&lt;&gt;"",O4672+P4672,"")</f>
        <v/>
      </c>
      <c r="R4672" s="84"/>
    </row>
    <row r="4673" customFormat="false" ht="15" hidden="false" customHeight="true" outlineLevel="0" collapsed="false">
      <c r="A4673" s="103"/>
      <c r="B4673" s="85"/>
      <c r="C4673" s="86"/>
      <c r="D4673" s="87"/>
      <c r="E4673" s="46" t="str">
        <f aca="false">IF(D4673&lt;&gt;"",IFERROR(VLOOKUP(D4673,PROVEEDORES!$A:$B,2,0),"!COD NO ENCONTRADO"),"")</f>
        <v/>
      </c>
      <c r="F4673" s="88" t="str">
        <f aca="false">IF(D4673&lt;&gt;"",IFERROR(VLOOKUP(D4673,PROVEEDORES!$A:$C,3,0),""),"")</f>
        <v/>
      </c>
      <c r="G4673" s="87"/>
      <c r="H4673" s="46" t="str">
        <f aca="false">IF(G4673&lt;&gt;"",IFERROR(VLOOKUP(G4673,PRODUCTOS!$A:$B,2,0),"!COD NO ENCONTRADO"),"")</f>
        <v/>
      </c>
      <c r="I4673" s="89"/>
      <c r="J4673" s="90"/>
      <c r="K4673" s="91"/>
      <c r="L4673" s="80" t="str">
        <f aca="false">IF(AND(J4673&lt;&gt;"",K4673&lt;&gt;""),J4673*K4673,"")</f>
        <v/>
      </c>
      <c r="M4673" s="81" t="str">
        <f aca="false">IF(L4673&lt;&gt;"",L4673*1.1,"")</f>
        <v/>
      </c>
      <c r="N4673" s="47" t="n">
        <f aca="false">IF(F4673="S",L4673*0.02,0)</f>
        <v>0</v>
      </c>
      <c r="O4673" s="82" t="str">
        <f aca="false">IF(L4673&lt;&gt;"",L4673+N4673,"")</f>
        <v/>
      </c>
      <c r="P4673" s="47" t="str">
        <f aca="false">IF(O4673&lt;&gt;"",O4673*0.1,"")</f>
        <v/>
      </c>
      <c r="Q4673" s="83" t="str">
        <f aca="false">IF(O4673&lt;&gt;"",O4673+P4673,"")</f>
        <v/>
      </c>
      <c r="R4673" s="84"/>
    </row>
    <row r="4674" customFormat="false" ht="15" hidden="false" customHeight="true" outlineLevel="0" collapsed="false">
      <c r="A4674" s="103"/>
      <c r="B4674" s="73"/>
      <c r="C4674" s="74"/>
      <c r="D4674" s="75"/>
      <c r="E4674" s="52" t="str">
        <f aca="false">IF(D4674&lt;&gt;"",IFERROR(VLOOKUP(D4674,PROVEEDORES!$A:$B,2,0),"!COD NO ENCONTRADO"),"")</f>
        <v/>
      </c>
      <c r="F4674" s="76" t="str">
        <f aca="false">IF(D4674&lt;&gt;"",IFERROR(VLOOKUP(D4674,PROVEEDORES!$A:$C,3,0),""),"")</f>
        <v/>
      </c>
      <c r="G4674" s="75"/>
      <c r="H4674" s="52" t="str">
        <f aca="false">IF(G4674&lt;&gt;"",IFERROR(VLOOKUP(G4674,PRODUCTOS!$A:$B,2,0),"!COD NO ENCONTRADO"),"")</f>
        <v/>
      </c>
      <c r="I4674" s="77"/>
      <c r="J4674" s="78"/>
      <c r="K4674" s="79"/>
      <c r="L4674" s="80" t="str">
        <f aca="false">IF(AND(J4674&lt;&gt;"",K4674&lt;&gt;""),J4674*K4674,"")</f>
        <v/>
      </c>
      <c r="M4674" s="81" t="str">
        <f aca="false">IF(L4674&lt;&gt;"",L4674*1.1,"")</f>
        <v/>
      </c>
      <c r="N4674" s="53" t="n">
        <f aca="false">IF(F4674="S",L4674*0.02,0)</f>
        <v>0</v>
      </c>
      <c r="O4674" s="82" t="str">
        <f aca="false">IF(L4674&lt;&gt;"",L4674+N4674,"")</f>
        <v/>
      </c>
      <c r="P4674" s="53" t="str">
        <f aca="false">IF(O4674&lt;&gt;"",O4674*0.1,"")</f>
        <v/>
      </c>
      <c r="Q4674" s="83" t="str">
        <f aca="false">IF(O4674&lt;&gt;"",O4674+P4674,"")</f>
        <v/>
      </c>
      <c r="R4674" s="84"/>
    </row>
    <row r="4675" customFormat="false" ht="15" hidden="false" customHeight="true" outlineLevel="0" collapsed="false">
      <c r="A4675" s="103"/>
      <c r="B4675" s="85"/>
      <c r="C4675" s="86"/>
      <c r="D4675" s="87"/>
      <c r="E4675" s="46" t="str">
        <f aca="false">IF(D4675&lt;&gt;"",IFERROR(VLOOKUP(D4675,PROVEEDORES!$A:$B,2,0),"!COD NO ENCONTRADO"),"")</f>
        <v/>
      </c>
      <c r="F4675" s="88" t="str">
        <f aca="false">IF(D4675&lt;&gt;"",IFERROR(VLOOKUP(D4675,PROVEEDORES!$A:$C,3,0),""),"")</f>
        <v/>
      </c>
      <c r="G4675" s="87"/>
      <c r="H4675" s="46" t="str">
        <f aca="false">IF(G4675&lt;&gt;"",IFERROR(VLOOKUP(G4675,PRODUCTOS!$A:$B,2,0),"!COD NO ENCONTRADO"),"")</f>
        <v/>
      </c>
      <c r="I4675" s="89"/>
      <c r="J4675" s="90"/>
      <c r="K4675" s="91"/>
      <c r="L4675" s="80" t="str">
        <f aca="false">IF(AND(J4675&lt;&gt;"",K4675&lt;&gt;""),J4675*K4675,"")</f>
        <v/>
      </c>
      <c r="M4675" s="81" t="str">
        <f aca="false">IF(L4675&lt;&gt;"",L4675*1.1,"")</f>
        <v/>
      </c>
      <c r="N4675" s="47" t="n">
        <f aca="false">IF(F4675="S",L4675*0.02,0)</f>
        <v>0</v>
      </c>
      <c r="O4675" s="82" t="str">
        <f aca="false">IF(L4675&lt;&gt;"",L4675+N4675,"")</f>
        <v/>
      </c>
      <c r="P4675" s="47" t="str">
        <f aca="false">IF(O4675&lt;&gt;"",O4675*0.1,"")</f>
        <v/>
      </c>
      <c r="Q4675" s="83" t="str">
        <f aca="false">IF(O4675&lt;&gt;"",O4675+P4675,"")</f>
        <v/>
      </c>
      <c r="R4675" s="84"/>
    </row>
    <row r="4676" customFormat="false" ht="15" hidden="false" customHeight="true" outlineLevel="0" collapsed="false">
      <c r="A4676" s="103"/>
      <c r="B4676" s="73"/>
      <c r="C4676" s="74"/>
      <c r="D4676" s="75"/>
      <c r="E4676" s="52" t="str">
        <f aca="false">IF(D4676&lt;&gt;"",IFERROR(VLOOKUP(D4676,PROVEEDORES!$A:$B,2,0),"!COD NO ENCONTRADO"),"")</f>
        <v/>
      </c>
      <c r="F4676" s="76" t="str">
        <f aca="false">IF(D4676&lt;&gt;"",IFERROR(VLOOKUP(D4676,PROVEEDORES!$A:$C,3,0),""),"")</f>
        <v/>
      </c>
      <c r="G4676" s="75"/>
      <c r="H4676" s="52" t="str">
        <f aca="false">IF(G4676&lt;&gt;"",IFERROR(VLOOKUP(G4676,PRODUCTOS!$A:$B,2,0),"!COD NO ENCONTRADO"),"")</f>
        <v/>
      </c>
      <c r="I4676" s="77"/>
      <c r="J4676" s="78"/>
      <c r="K4676" s="79"/>
      <c r="L4676" s="80" t="str">
        <f aca="false">IF(AND(J4676&lt;&gt;"",K4676&lt;&gt;""),J4676*K4676,"")</f>
        <v/>
      </c>
      <c r="M4676" s="81" t="str">
        <f aca="false">IF(L4676&lt;&gt;"",L4676*1.1,"")</f>
        <v/>
      </c>
      <c r="N4676" s="53" t="n">
        <f aca="false">IF(F4676="S",L4676*0.02,0)</f>
        <v>0</v>
      </c>
      <c r="O4676" s="82" t="str">
        <f aca="false">IF(L4676&lt;&gt;"",L4676+N4676,"")</f>
        <v/>
      </c>
      <c r="P4676" s="53" t="str">
        <f aca="false">IF(O4676&lt;&gt;"",O4676*0.1,"")</f>
        <v/>
      </c>
      <c r="Q4676" s="83" t="str">
        <f aca="false">IF(O4676&lt;&gt;"",O4676+P4676,"")</f>
        <v/>
      </c>
      <c r="R4676" s="84"/>
    </row>
    <row r="4677" customFormat="false" ht="15" hidden="false" customHeight="true" outlineLevel="0" collapsed="false">
      <c r="A4677" s="103"/>
      <c r="B4677" s="85"/>
      <c r="C4677" s="86"/>
      <c r="D4677" s="87"/>
      <c r="E4677" s="46" t="str">
        <f aca="false">IF(D4677&lt;&gt;"",IFERROR(VLOOKUP(D4677,PROVEEDORES!$A:$B,2,0),"!COD NO ENCONTRADO"),"")</f>
        <v/>
      </c>
      <c r="F4677" s="88" t="str">
        <f aca="false">IF(D4677&lt;&gt;"",IFERROR(VLOOKUP(D4677,PROVEEDORES!$A:$C,3,0),""),"")</f>
        <v/>
      </c>
      <c r="G4677" s="87"/>
      <c r="H4677" s="46" t="str">
        <f aca="false">IF(G4677&lt;&gt;"",IFERROR(VLOOKUP(G4677,PRODUCTOS!$A:$B,2,0),"!COD NO ENCONTRADO"),"")</f>
        <v/>
      </c>
      <c r="I4677" s="89"/>
      <c r="J4677" s="90"/>
      <c r="K4677" s="91"/>
      <c r="L4677" s="80" t="str">
        <f aca="false">IF(AND(J4677&lt;&gt;"",K4677&lt;&gt;""),J4677*K4677,"")</f>
        <v/>
      </c>
      <c r="M4677" s="81" t="str">
        <f aca="false">IF(L4677&lt;&gt;"",L4677*1.1,"")</f>
        <v/>
      </c>
      <c r="N4677" s="47" t="n">
        <f aca="false">IF(F4677="S",L4677*0.02,0)</f>
        <v>0</v>
      </c>
      <c r="O4677" s="82" t="str">
        <f aca="false">IF(L4677&lt;&gt;"",L4677+N4677,"")</f>
        <v/>
      </c>
      <c r="P4677" s="47" t="str">
        <f aca="false">IF(O4677&lt;&gt;"",O4677*0.1,"")</f>
        <v/>
      </c>
      <c r="Q4677" s="83" t="str">
        <f aca="false">IF(O4677&lt;&gt;"",O4677+P4677,"")</f>
        <v/>
      </c>
      <c r="R4677" s="84"/>
    </row>
    <row r="4678" customFormat="false" ht="15" hidden="false" customHeight="true" outlineLevel="0" collapsed="false">
      <c r="A4678" s="103"/>
      <c r="B4678" s="73"/>
      <c r="C4678" s="74"/>
      <c r="D4678" s="75"/>
      <c r="E4678" s="52" t="str">
        <f aca="false">IF(D4678&lt;&gt;"",IFERROR(VLOOKUP(D4678,PROVEEDORES!$A:$B,2,0),"!COD NO ENCONTRADO"),"")</f>
        <v/>
      </c>
      <c r="F4678" s="76" t="str">
        <f aca="false">IF(D4678&lt;&gt;"",IFERROR(VLOOKUP(D4678,PROVEEDORES!$A:$C,3,0),""),"")</f>
        <v/>
      </c>
      <c r="G4678" s="75"/>
      <c r="H4678" s="52" t="str">
        <f aca="false">IF(G4678&lt;&gt;"",IFERROR(VLOOKUP(G4678,PRODUCTOS!$A:$B,2,0),"!COD NO ENCONTRADO"),"")</f>
        <v/>
      </c>
      <c r="I4678" s="77"/>
      <c r="J4678" s="78"/>
      <c r="K4678" s="79"/>
      <c r="L4678" s="80" t="str">
        <f aca="false">IF(AND(J4678&lt;&gt;"",K4678&lt;&gt;""),J4678*K4678,"")</f>
        <v/>
      </c>
      <c r="M4678" s="81" t="str">
        <f aca="false">IF(L4678&lt;&gt;"",L4678*1.1,"")</f>
        <v/>
      </c>
      <c r="N4678" s="53" t="n">
        <f aca="false">IF(F4678="S",L4678*0.02,0)</f>
        <v>0</v>
      </c>
      <c r="O4678" s="82" t="str">
        <f aca="false">IF(L4678&lt;&gt;"",L4678+N4678,"")</f>
        <v/>
      </c>
      <c r="P4678" s="53" t="str">
        <f aca="false">IF(O4678&lt;&gt;"",O4678*0.1,"")</f>
        <v/>
      </c>
      <c r="Q4678" s="83" t="str">
        <f aca="false">IF(O4678&lt;&gt;"",O4678+P4678,"")</f>
        <v/>
      </c>
      <c r="R4678" s="84"/>
    </row>
    <row r="4679" customFormat="false" ht="15" hidden="false" customHeight="true" outlineLevel="0" collapsed="false">
      <c r="A4679" s="103"/>
      <c r="B4679" s="85"/>
      <c r="C4679" s="86"/>
      <c r="D4679" s="87"/>
      <c r="E4679" s="46" t="str">
        <f aca="false">IF(D4679&lt;&gt;"",IFERROR(VLOOKUP(D4679,PROVEEDORES!$A:$B,2,0),"!COD NO ENCONTRADO"),"")</f>
        <v/>
      </c>
      <c r="F4679" s="88" t="str">
        <f aca="false">IF(D4679&lt;&gt;"",IFERROR(VLOOKUP(D4679,PROVEEDORES!$A:$C,3,0),""),"")</f>
        <v/>
      </c>
      <c r="G4679" s="87"/>
      <c r="H4679" s="46" t="str">
        <f aca="false">IF(G4679&lt;&gt;"",IFERROR(VLOOKUP(G4679,PRODUCTOS!$A:$B,2,0),"!COD NO ENCONTRADO"),"")</f>
        <v/>
      </c>
      <c r="I4679" s="89"/>
      <c r="J4679" s="90"/>
      <c r="K4679" s="91"/>
      <c r="L4679" s="80" t="str">
        <f aca="false">IF(AND(J4679&lt;&gt;"",K4679&lt;&gt;""),J4679*K4679,"")</f>
        <v/>
      </c>
      <c r="M4679" s="81" t="str">
        <f aca="false">IF(L4679&lt;&gt;"",L4679*1.1,"")</f>
        <v/>
      </c>
      <c r="N4679" s="47" t="n">
        <f aca="false">IF(F4679="S",L4679*0.02,0)</f>
        <v>0</v>
      </c>
      <c r="O4679" s="82" t="str">
        <f aca="false">IF(L4679&lt;&gt;"",L4679+N4679,"")</f>
        <v/>
      </c>
      <c r="P4679" s="47" t="str">
        <f aca="false">IF(O4679&lt;&gt;"",O4679*0.1,"")</f>
        <v/>
      </c>
      <c r="Q4679" s="83" t="str">
        <f aca="false">IF(O4679&lt;&gt;"",O4679+P4679,"")</f>
        <v/>
      </c>
      <c r="R4679" s="84"/>
    </row>
    <row r="4680" customFormat="false" ht="15" hidden="false" customHeight="true" outlineLevel="0" collapsed="false">
      <c r="A4680" s="103"/>
      <c r="B4680" s="73"/>
      <c r="C4680" s="74"/>
      <c r="D4680" s="75"/>
      <c r="E4680" s="52" t="str">
        <f aca="false">IF(D4680&lt;&gt;"",IFERROR(VLOOKUP(D4680,PROVEEDORES!$A:$B,2,0),"!COD NO ENCONTRADO"),"")</f>
        <v/>
      </c>
      <c r="F4680" s="76" t="str">
        <f aca="false">IF(D4680&lt;&gt;"",IFERROR(VLOOKUP(D4680,PROVEEDORES!$A:$C,3,0),""),"")</f>
        <v/>
      </c>
      <c r="G4680" s="75"/>
      <c r="H4680" s="52" t="str">
        <f aca="false">IF(G4680&lt;&gt;"",IFERROR(VLOOKUP(G4680,PRODUCTOS!$A:$B,2,0),"!COD NO ENCONTRADO"),"")</f>
        <v/>
      </c>
      <c r="I4680" s="77"/>
      <c r="J4680" s="78"/>
      <c r="K4680" s="79"/>
      <c r="L4680" s="80" t="str">
        <f aca="false">IF(AND(J4680&lt;&gt;"",K4680&lt;&gt;""),J4680*K4680,"")</f>
        <v/>
      </c>
      <c r="M4680" s="81" t="str">
        <f aca="false">IF(L4680&lt;&gt;"",L4680*1.1,"")</f>
        <v/>
      </c>
      <c r="N4680" s="53" t="n">
        <f aca="false">IF(F4680="S",L4680*0.02,0)</f>
        <v>0</v>
      </c>
      <c r="O4680" s="82" t="str">
        <f aca="false">IF(L4680&lt;&gt;"",L4680+N4680,"")</f>
        <v/>
      </c>
      <c r="P4680" s="53" t="str">
        <f aca="false">IF(O4680&lt;&gt;"",O4680*0.1,"")</f>
        <v/>
      </c>
      <c r="Q4680" s="83" t="str">
        <f aca="false">IF(O4680&lt;&gt;"",O4680+P4680,"")</f>
        <v/>
      </c>
      <c r="R4680" s="84"/>
    </row>
    <row r="4681" customFormat="false" ht="15" hidden="false" customHeight="true" outlineLevel="0" collapsed="false">
      <c r="A4681" s="103"/>
      <c r="B4681" s="85"/>
      <c r="C4681" s="86"/>
      <c r="D4681" s="87"/>
      <c r="E4681" s="46" t="str">
        <f aca="false">IF(D4681&lt;&gt;"",IFERROR(VLOOKUP(D4681,PROVEEDORES!$A:$B,2,0),"!COD NO ENCONTRADO"),"")</f>
        <v/>
      </c>
      <c r="F4681" s="88" t="str">
        <f aca="false">IF(D4681&lt;&gt;"",IFERROR(VLOOKUP(D4681,PROVEEDORES!$A:$C,3,0),""),"")</f>
        <v/>
      </c>
      <c r="G4681" s="87"/>
      <c r="H4681" s="46" t="str">
        <f aca="false">IF(G4681&lt;&gt;"",IFERROR(VLOOKUP(G4681,PRODUCTOS!$A:$B,2,0),"!COD NO ENCONTRADO"),"")</f>
        <v/>
      </c>
      <c r="I4681" s="89"/>
      <c r="J4681" s="90"/>
      <c r="K4681" s="91"/>
      <c r="L4681" s="80" t="str">
        <f aca="false">IF(AND(J4681&lt;&gt;"",K4681&lt;&gt;""),J4681*K4681,"")</f>
        <v/>
      </c>
      <c r="M4681" s="81" t="str">
        <f aca="false">IF(L4681&lt;&gt;"",L4681*1.1,"")</f>
        <v/>
      </c>
      <c r="N4681" s="47" t="n">
        <f aca="false">IF(F4681="S",L4681*0.02,0)</f>
        <v>0</v>
      </c>
      <c r="O4681" s="82" t="str">
        <f aca="false">IF(L4681&lt;&gt;"",L4681+N4681,"")</f>
        <v/>
      </c>
      <c r="P4681" s="47" t="str">
        <f aca="false">IF(O4681&lt;&gt;"",O4681*0.1,"")</f>
        <v/>
      </c>
      <c r="Q4681" s="83" t="str">
        <f aca="false">IF(O4681&lt;&gt;"",O4681+P4681,"")</f>
        <v/>
      </c>
      <c r="R4681" s="84"/>
    </row>
    <row r="4682" customFormat="false" ht="15" hidden="false" customHeight="true" outlineLevel="0" collapsed="false">
      <c r="A4682" s="103"/>
      <c r="B4682" s="73"/>
      <c r="C4682" s="74"/>
      <c r="D4682" s="75"/>
      <c r="E4682" s="52" t="str">
        <f aca="false">IF(D4682&lt;&gt;"",IFERROR(VLOOKUP(D4682,PROVEEDORES!$A:$B,2,0),"!COD NO ENCONTRADO"),"")</f>
        <v/>
      </c>
      <c r="F4682" s="76" t="str">
        <f aca="false">IF(D4682&lt;&gt;"",IFERROR(VLOOKUP(D4682,PROVEEDORES!$A:$C,3,0),""),"")</f>
        <v/>
      </c>
      <c r="G4682" s="75"/>
      <c r="H4682" s="52" t="str">
        <f aca="false">IF(G4682&lt;&gt;"",IFERROR(VLOOKUP(G4682,PRODUCTOS!$A:$B,2,0),"!COD NO ENCONTRADO"),"")</f>
        <v/>
      </c>
      <c r="I4682" s="77"/>
      <c r="J4682" s="78"/>
      <c r="K4682" s="79"/>
      <c r="L4682" s="80" t="str">
        <f aca="false">IF(AND(J4682&lt;&gt;"",K4682&lt;&gt;""),J4682*K4682,"")</f>
        <v/>
      </c>
      <c r="M4682" s="81" t="str">
        <f aca="false">IF(L4682&lt;&gt;"",L4682*1.1,"")</f>
        <v/>
      </c>
      <c r="N4682" s="53" t="n">
        <f aca="false">IF(F4682="S",L4682*0.02,0)</f>
        <v>0</v>
      </c>
      <c r="O4682" s="82" t="str">
        <f aca="false">IF(L4682&lt;&gt;"",L4682+N4682,"")</f>
        <v/>
      </c>
      <c r="P4682" s="53" t="str">
        <f aca="false">IF(O4682&lt;&gt;"",O4682*0.1,"")</f>
        <v/>
      </c>
      <c r="Q4682" s="83" t="str">
        <f aca="false">IF(O4682&lt;&gt;"",O4682+P4682,"")</f>
        <v/>
      </c>
      <c r="R4682" s="84"/>
    </row>
    <row r="4683" customFormat="false" ht="15" hidden="false" customHeight="true" outlineLevel="0" collapsed="false">
      <c r="A4683" s="103"/>
      <c r="B4683" s="85"/>
      <c r="C4683" s="86"/>
      <c r="D4683" s="87"/>
      <c r="E4683" s="46" t="str">
        <f aca="false">IF(D4683&lt;&gt;"",IFERROR(VLOOKUP(D4683,PROVEEDORES!$A:$B,2,0),"!COD NO ENCONTRADO"),"")</f>
        <v/>
      </c>
      <c r="F4683" s="88" t="str">
        <f aca="false">IF(D4683&lt;&gt;"",IFERROR(VLOOKUP(D4683,PROVEEDORES!$A:$C,3,0),""),"")</f>
        <v/>
      </c>
      <c r="G4683" s="87"/>
      <c r="H4683" s="46" t="str">
        <f aca="false">IF(G4683&lt;&gt;"",IFERROR(VLOOKUP(G4683,PRODUCTOS!$A:$B,2,0),"!COD NO ENCONTRADO"),"")</f>
        <v/>
      </c>
      <c r="I4683" s="89"/>
      <c r="J4683" s="90"/>
      <c r="K4683" s="91"/>
      <c r="L4683" s="80" t="str">
        <f aca="false">IF(AND(J4683&lt;&gt;"",K4683&lt;&gt;""),J4683*K4683,"")</f>
        <v/>
      </c>
      <c r="M4683" s="81" t="str">
        <f aca="false">IF(L4683&lt;&gt;"",L4683*1.1,"")</f>
        <v/>
      </c>
      <c r="N4683" s="47" t="n">
        <f aca="false">IF(F4683="S",L4683*0.02,0)</f>
        <v>0</v>
      </c>
      <c r="O4683" s="82" t="str">
        <f aca="false">IF(L4683&lt;&gt;"",L4683+N4683,"")</f>
        <v/>
      </c>
      <c r="P4683" s="47" t="str">
        <f aca="false">IF(O4683&lt;&gt;"",O4683*0.1,"")</f>
        <v/>
      </c>
      <c r="Q4683" s="83" t="str">
        <f aca="false">IF(O4683&lt;&gt;"",O4683+P4683,"")</f>
        <v/>
      </c>
      <c r="R4683" s="84"/>
    </row>
    <row r="4684" customFormat="false" ht="15" hidden="false" customHeight="true" outlineLevel="0" collapsed="false">
      <c r="A4684" s="103"/>
      <c r="B4684" s="73"/>
      <c r="C4684" s="74"/>
      <c r="D4684" s="75"/>
      <c r="E4684" s="52" t="str">
        <f aca="false">IF(D4684&lt;&gt;"",IFERROR(VLOOKUP(D4684,PROVEEDORES!$A:$B,2,0),"!COD NO ENCONTRADO"),"")</f>
        <v/>
      </c>
      <c r="F4684" s="76" t="str">
        <f aca="false">IF(D4684&lt;&gt;"",IFERROR(VLOOKUP(D4684,PROVEEDORES!$A:$C,3,0),""),"")</f>
        <v/>
      </c>
      <c r="G4684" s="75"/>
      <c r="H4684" s="52" t="str">
        <f aca="false">IF(G4684&lt;&gt;"",IFERROR(VLOOKUP(G4684,PRODUCTOS!$A:$B,2,0),"!COD NO ENCONTRADO"),"")</f>
        <v/>
      </c>
      <c r="I4684" s="77"/>
      <c r="J4684" s="78"/>
      <c r="K4684" s="79"/>
      <c r="L4684" s="80" t="str">
        <f aca="false">IF(AND(J4684&lt;&gt;"",K4684&lt;&gt;""),J4684*K4684,"")</f>
        <v/>
      </c>
      <c r="M4684" s="81" t="str">
        <f aca="false">IF(L4684&lt;&gt;"",L4684*1.1,"")</f>
        <v/>
      </c>
      <c r="N4684" s="53" t="n">
        <f aca="false">IF(F4684="S",L4684*0.02,0)</f>
        <v>0</v>
      </c>
      <c r="O4684" s="82" t="str">
        <f aca="false">IF(L4684&lt;&gt;"",L4684+N4684,"")</f>
        <v/>
      </c>
      <c r="P4684" s="53" t="str">
        <f aca="false">IF(O4684&lt;&gt;"",O4684*0.1,"")</f>
        <v/>
      </c>
      <c r="Q4684" s="83" t="str">
        <f aca="false">IF(O4684&lt;&gt;"",O4684+P4684,"")</f>
        <v/>
      </c>
      <c r="R4684" s="84"/>
    </row>
    <row r="4685" customFormat="false" ht="15" hidden="false" customHeight="true" outlineLevel="0" collapsed="false">
      <c r="A4685" s="103"/>
      <c r="B4685" s="85"/>
      <c r="C4685" s="86"/>
      <c r="D4685" s="87"/>
      <c r="E4685" s="46" t="str">
        <f aca="false">IF(D4685&lt;&gt;"",IFERROR(VLOOKUP(D4685,PROVEEDORES!$A:$B,2,0),"!COD NO ENCONTRADO"),"")</f>
        <v/>
      </c>
      <c r="F4685" s="88" t="str">
        <f aca="false">IF(D4685&lt;&gt;"",IFERROR(VLOOKUP(D4685,PROVEEDORES!$A:$C,3,0),""),"")</f>
        <v/>
      </c>
      <c r="G4685" s="87"/>
      <c r="H4685" s="46" t="str">
        <f aca="false">IF(G4685&lt;&gt;"",IFERROR(VLOOKUP(G4685,PRODUCTOS!$A:$B,2,0),"!COD NO ENCONTRADO"),"")</f>
        <v/>
      </c>
      <c r="I4685" s="89"/>
      <c r="J4685" s="90"/>
      <c r="K4685" s="91"/>
      <c r="L4685" s="80" t="str">
        <f aca="false">IF(AND(J4685&lt;&gt;"",K4685&lt;&gt;""),J4685*K4685,"")</f>
        <v/>
      </c>
      <c r="M4685" s="81" t="str">
        <f aca="false">IF(L4685&lt;&gt;"",L4685*1.1,"")</f>
        <v/>
      </c>
      <c r="N4685" s="47" t="n">
        <f aca="false">IF(F4685="S",L4685*0.02,0)</f>
        <v>0</v>
      </c>
      <c r="O4685" s="82" t="str">
        <f aca="false">IF(L4685&lt;&gt;"",L4685+N4685,"")</f>
        <v/>
      </c>
      <c r="P4685" s="47" t="str">
        <f aca="false">IF(O4685&lt;&gt;"",O4685*0.1,"")</f>
        <v/>
      </c>
      <c r="Q4685" s="83" t="str">
        <f aca="false">IF(O4685&lt;&gt;"",O4685+P4685,"")</f>
        <v/>
      </c>
      <c r="R4685" s="84"/>
    </row>
    <row r="4686" customFormat="false" ht="15" hidden="false" customHeight="true" outlineLevel="0" collapsed="false">
      <c r="A4686" s="103"/>
      <c r="B4686" s="73"/>
      <c r="C4686" s="74"/>
      <c r="D4686" s="75"/>
      <c r="E4686" s="52" t="str">
        <f aca="false">IF(D4686&lt;&gt;"",IFERROR(VLOOKUP(D4686,PROVEEDORES!$A:$B,2,0),"!COD NO ENCONTRADO"),"")</f>
        <v/>
      </c>
      <c r="F4686" s="76" t="str">
        <f aca="false">IF(D4686&lt;&gt;"",IFERROR(VLOOKUP(D4686,PROVEEDORES!$A:$C,3,0),""),"")</f>
        <v/>
      </c>
      <c r="G4686" s="75"/>
      <c r="H4686" s="52" t="str">
        <f aca="false">IF(G4686&lt;&gt;"",IFERROR(VLOOKUP(G4686,PRODUCTOS!$A:$B,2,0),"!COD NO ENCONTRADO"),"")</f>
        <v/>
      </c>
      <c r="I4686" s="77"/>
      <c r="J4686" s="78"/>
      <c r="K4686" s="79"/>
      <c r="L4686" s="80" t="str">
        <f aca="false">IF(AND(J4686&lt;&gt;"",K4686&lt;&gt;""),J4686*K4686,"")</f>
        <v/>
      </c>
      <c r="M4686" s="81" t="str">
        <f aca="false">IF(L4686&lt;&gt;"",L4686*1.1,"")</f>
        <v/>
      </c>
      <c r="N4686" s="53" t="n">
        <f aca="false">IF(F4686="S",L4686*0.02,0)</f>
        <v>0</v>
      </c>
      <c r="O4686" s="82" t="str">
        <f aca="false">IF(L4686&lt;&gt;"",L4686+N4686,"")</f>
        <v/>
      </c>
      <c r="P4686" s="53" t="str">
        <f aca="false">IF(O4686&lt;&gt;"",O4686*0.1,"")</f>
        <v/>
      </c>
      <c r="Q4686" s="83" t="str">
        <f aca="false">IF(O4686&lt;&gt;"",O4686+P4686,"")</f>
        <v/>
      </c>
      <c r="R4686" s="84"/>
    </row>
    <row r="4687" customFormat="false" ht="15" hidden="false" customHeight="true" outlineLevel="0" collapsed="false">
      <c r="A4687" s="103"/>
      <c r="B4687" s="85"/>
      <c r="C4687" s="86"/>
      <c r="D4687" s="87"/>
      <c r="E4687" s="46" t="str">
        <f aca="false">IF(D4687&lt;&gt;"",IFERROR(VLOOKUP(D4687,PROVEEDORES!$A:$B,2,0),"!COD NO ENCONTRADO"),"")</f>
        <v/>
      </c>
      <c r="F4687" s="88" t="str">
        <f aca="false">IF(D4687&lt;&gt;"",IFERROR(VLOOKUP(D4687,PROVEEDORES!$A:$C,3,0),""),"")</f>
        <v/>
      </c>
      <c r="G4687" s="87"/>
      <c r="H4687" s="46" t="str">
        <f aca="false">IF(G4687&lt;&gt;"",IFERROR(VLOOKUP(G4687,PRODUCTOS!$A:$B,2,0),"!COD NO ENCONTRADO"),"")</f>
        <v/>
      </c>
      <c r="I4687" s="89"/>
      <c r="J4687" s="90"/>
      <c r="K4687" s="91"/>
      <c r="L4687" s="80" t="str">
        <f aca="false">IF(AND(J4687&lt;&gt;"",K4687&lt;&gt;""),J4687*K4687,"")</f>
        <v/>
      </c>
      <c r="M4687" s="81" t="str">
        <f aca="false">IF(L4687&lt;&gt;"",L4687*1.1,"")</f>
        <v/>
      </c>
      <c r="N4687" s="47" t="n">
        <f aca="false">IF(F4687="S",L4687*0.02,0)</f>
        <v>0</v>
      </c>
      <c r="O4687" s="82" t="str">
        <f aca="false">IF(L4687&lt;&gt;"",L4687+N4687,"")</f>
        <v/>
      </c>
      <c r="P4687" s="47" t="str">
        <f aca="false">IF(O4687&lt;&gt;"",O4687*0.1,"")</f>
        <v/>
      </c>
      <c r="Q4687" s="83" t="str">
        <f aca="false">IF(O4687&lt;&gt;"",O4687+P4687,"")</f>
        <v/>
      </c>
      <c r="R4687" s="84"/>
    </row>
    <row r="4688" customFormat="false" ht="15" hidden="false" customHeight="true" outlineLevel="0" collapsed="false">
      <c r="A4688" s="103"/>
      <c r="B4688" s="73"/>
      <c r="C4688" s="74"/>
      <c r="D4688" s="75"/>
      <c r="E4688" s="52" t="str">
        <f aca="false">IF(D4688&lt;&gt;"",IFERROR(VLOOKUP(D4688,PROVEEDORES!$A:$B,2,0),"!COD NO ENCONTRADO"),"")</f>
        <v/>
      </c>
      <c r="F4688" s="76" t="str">
        <f aca="false">IF(D4688&lt;&gt;"",IFERROR(VLOOKUP(D4688,PROVEEDORES!$A:$C,3,0),""),"")</f>
        <v/>
      </c>
      <c r="G4688" s="75"/>
      <c r="H4688" s="52" t="str">
        <f aca="false">IF(G4688&lt;&gt;"",IFERROR(VLOOKUP(G4688,PRODUCTOS!$A:$B,2,0),"!COD NO ENCONTRADO"),"")</f>
        <v/>
      </c>
      <c r="I4688" s="77"/>
      <c r="J4688" s="78"/>
      <c r="K4688" s="79"/>
      <c r="L4688" s="80" t="str">
        <f aca="false">IF(AND(J4688&lt;&gt;"",K4688&lt;&gt;""),J4688*K4688,"")</f>
        <v/>
      </c>
      <c r="M4688" s="81" t="str">
        <f aca="false">IF(L4688&lt;&gt;"",L4688*1.1,"")</f>
        <v/>
      </c>
      <c r="N4688" s="53" t="n">
        <f aca="false">IF(F4688="S",L4688*0.02,0)</f>
        <v>0</v>
      </c>
      <c r="O4688" s="82" t="str">
        <f aca="false">IF(L4688&lt;&gt;"",L4688+N4688,"")</f>
        <v/>
      </c>
      <c r="P4688" s="53" t="str">
        <f aca="false">IF(O4688&lt;&gt;"",O4688*0.1,"")</f>
        <v/>
      </c>
      <c r="Q4688" s="83" t="str">
        <f aca="false">IF(O4688&lt;&gt;"",O4688+P4688,"")</f>
        <v/>
      </c>
      <c r="R4688" s="84"/>
    </row>
    <row r="4689" customFormat="false" ht="15" hidden="false" customHeight="true" outlineLevel="0" collapsed="false">
      <c r="A4689" s="103"/>
      <c r="B4689" s="85"/>
      <c r="C4689" s="86"/>
      <c r="D4689" s="87"/>
      <c r="E4689" s="46" t="str">
        <f aca="false">IF(D4689&lt;&gt;"",IFERROR(VLOOKUP(D4689,PROVEEDORES!$A:$B,2,0),"!COD NO ENCONTRADO"),"")</f>
        <v/>
      </c>
      <c r="F4689" s="88" t="str">
        <f aca="false">IF(D4689&lt;&gt;"",IFERROR(VLOOKUP(D4689,PROVEEDORES!$A:$C,3,0),""),"")</f>
        <v/>
      </c>
      <c r="G4689" s="87"/>
      <c r="H4689" s="46" t="str">
        <f aca="false">IF(G4689&lt;&gt;"",IFERROR(VLOOKUP(G4689,PRODUCTOS!$A:$B,2,0),"!COD NO ENCONTRADO"),"")</f>
        <v/>
      </c>
      <c r="I4689" s="89"/>
      <c r="J4689" s="90"/>
      <c r="K4689" s="91"/>
      <c r="L4689" s="80" t="str">
        <f aca="false">IF(AND(J4689&lt;&gt;"",K4689&lt;&gt;""),J4689*K4689,"")</f>
        <v/>
      </c>
      <c r="M4689" s="81" t="str">
        <f aca="false">IF(L4689&lt;&gt;"",L4689*1.1,"")</f>
        <v/>
      </c>
      <c r="N4689" s="47" t="n">
        <f aca="false">IF(F4689="S",L4689*0.02,0)</f>
        <v>0</v>
      </c>
      <c r="O4689" s="82" t="str">
        <f aca="false">IF(L4689&lt;&gt;"",L4689+N4689,"")</f>
        <v/>
      </c>
      <c r="P4689" s="47" t="str">
        <f aca="false">IF(O4689&lt;&gt;"",O4689*0.1,"")</f>
        <v/>
      </c>
      <c r="Q4689" s="83" t="str">
        <f aca="false">IF(O4689&lt;&gt;"",O4689+P4689,"")</f>
        <v/>
      </c>
      <c r="R4689" s="84"/>
    </row>
    <row r="4690" customFormat="false" ht="15" hidden="false" customHeight="true" outlineLevel="0" collapsed="false">
      <c r="A4690" s="103"/>
      <c r="B4690" s="73"/>
      <c r="C4690" s="74"/>
      <c r="D4690" s="75"/>
      <c r="E4690" s="52" t="str">
        <f aca="false">IF(D4690&lt;&gt;"",IFERROR(VLOOKUP(D4690,PROVEEDORES!$A:$B,2,0),"!COD NO ENCONTRADO"),"")</f>
        <v/>
      </c>
      <c r="F4690" s="76" t="str">
        <f aca="false">IF(D4690&lt;&gt;"",IFERROR(VLOOKUP(D4690,PROVEEDORES!$A:$C,3,0),""),"")</f>
        <v/>
      </c>
      <c r="G4690" s="75"/>
      <c r="H4690" s="52" t="str">
        <f aca="false">IF(G4690&lt;&gt;"",IFERROR(VLOOKUP(G4690,PRODUCTOS!$A:$B,2,0),"!COD NO ENCONTRADO"),"")</f>
        <v/>
      </c>
      <c r="I4690" s="77"/>
      <c r="J4690" s="78"/>
      <c r="K4690" s="79"/>
      <c r="L4690" s="80" t="str">
        <f aca="false">IF(AND(J4690&lt;&gt;"",K4690&lt;&gt;""),J4690*K4690,"")</f>
        <v/>
      </c>
      <c r="M4690" s="81" t="str">
        <f aca="false">IF(L4690&lt;&gt;"",L4690*1.1,"")</f>
        <v/>
      </c>
      <c r="N4690" s="53" t="n">
        <f aca="false">IF(F4690="S",L4690*0.02,0)</f>
        <v>0</v>
      </c>
      <c r="O4690" s="82" t="str">
        <f aca="false">IF(L4690&lt;&gt;"",L4690+N4690,"")</f>
        <v/>
      </c>
      <c r="P4690" s="53" t="str">
        <f aca="false">IF(O4690&lt;&gt;"",O4690*0.1,"")</f>
        <v/>
      </c>
      <c r="Q4690" s="83" t="str">
        <f aca="false">IF(O4690&lt;&gt;"",O4690+P4690,"")</f>
        <v/>
      </c>
      <c r="R4690" s="84"/>
    </row>
    <row r="4691" customFormat="false" ht="15" hidden="false" customHeight="true" outlineLevel="0" collapsed="false">
      <c r="A4691" s="103"/>
      <c r="B4691" s="85"/>
      <c r="C4691" s="86"/>
      <c r="D4691" s="87"/>
      <c r="E4691" s="46" t="str">
        <f aca="false">IF(D4691&lt;&gt;"",IFERROR(VLOOKUP(D4691,PROVEEDORES!$A:$B,2,0),"!COD NO ENCONTRADO"),"")</f>
        <v/>
      </c>
      <c r="F4691" s="88" t="str">
        <f aca="false">IF(D4691&lt;&gt;"",IFERROR(VLOOKUP(D4691,PROVEEDORES!$A:$C,3,0),""),"")</f>
        <v/>
      </c>
      <c r="G4691" s="87"/>
      <c r="H4691" s="46" t="str">
        <f aca="false">IF(G4691&lt;&gt;"",IFERROR(VLOOKUP(G4691,PRODUCTOS!$A:$B,2,0),"!COD NO ENCONTRADO"),"")</f>
        <v/>
      </c>
      <c r="I4691" s="89"/>
      <c r="J4691" s="90"/>
      <c r="K4691" s="91"/>
      <c r="L4691" s="80" t="str">
        <f aca="false">IF(AND(J4691&lt;&gt;"",K4691&lt;&gt;""),J4691*K4691,"")</f>
        <v/>
      </c>
      <c r="M4691" s="81" t="str">
        <f aca="false">IF(L4691&lt;&gt;"",L4691*1.1,"")</f>
        <v/>
      </c>
      <c r="N4691" s="47" t="n">
        <f aca="false">IF(F4691="S",L4691*0.02,0)</f>
        <v>0</v>
      </c>
      <c r="O4691" s="82" t="str">
        <f aca="false">IF(L4691&lt;&gt;"",L4691+N4691,"")</f>
        <v/>
      </c>
      <c r="P4691" s="47" t="str">
        <f aca="false">IF(O4691&lt;&gt;"",O4691*0.1,"")</f>
        <v/>
      </c>
      <c r="Q4691" s="83" t="str">
        <f aca="false">IF(O4691&lt;&gt;"",O4691+P4691,"")</f>
        <v/>
      </c>
      <c r="R4691" s="84"/>
    </row>
    <row r="4692" customFormat="false" ht="15" hidden="false" customHeight="true" outlineLevel="0" collapsed="false">
      <c r="A4692" s="103"/>
      <c r="B4692" s="73"/>
      <c r="C4692" s="74"/>
      <c r="D4692" s="75"/>
      <c r="E4692" s="52" t="str">
        <f aca="false">IF(D4692&lt;&gt;"",IFERROR(VLOOKUP(D4692,PROVEEDORES!$A:$B,2,0),"!COD NO ENCONTRADO"),"")</f>
        <v/>
      </c>
      <c r="F4692" s="76" t="str">
        <f aca="false">IF(D4692&lt;&gt;"",IFERROR(VLOOKUP(D4692,PROVEEDORES!$A:$C,3,0),""),"")</f>
        <v/>
      </c>
      <c r="G4692" s="75"/>
      <c r="H4692" s="52" t="str">
        <f aca="false">IF(G4692&lt;&gt;"",IFERROR(VLOOKUP(G4692,PRODUCTOS!$A:$B,2,0),"!COD NO ENCONTRADO"),"")</f>
        <v/>
      </c>
      <c r="I4692" s="77"/>
      <c r="J4692" s="78"/>
      <c r="K4692" s="79"/>
      <c r="L4692" s="80" t="str">
        <f aca="false">IF(AND(J4692&lt;&gt;"",K4692&lt;&gt;""),J4692*K4692,"")</f>
        <v/>
      </c>
      <c r="M4692" s="81" t="str">
        <f aca="false">IF(L4692&lt;&gt;"",L4692*1.1,"")</f>
        <v/>
      </c>
      <c r="N4692" s="53" t="n">
        <f aca="false">IF(F4692="S",L4692*0.02,0)</f>
        <v>0</v>
      </c>
      <c r="O4692" s="82" t="str">
        <f aca="false">IF(L4692&lt;&gt;"",L4692+N4692,"")</f>
        <v/>
      </c>
      <c r="P4692" s="53" t="str">
        <f aca="false">IF(O4692&lt;&gt;"",O4692*0.1,"")</f>
        <v/>
      </c>
      <c r="Q4692" s="83" t="str">
        <f aca="false">IF(O4692&lt;&gt;"",O4692+P4692,"")</f>
        <v/>
      </c>
      <c r="R4692" s="84"/>
    </row>
    <row r="4693" customFormat="false" ht="15" hidden="false" customHeight="true" outlineLevel="0" collapsed="false">
      <c r="A4693" s="103"/>
      <c r="B4693" s="85"/>
      <c r="C4693" s="86"/>
      <c r="D4693" s="87"/>
      <c r="E4693" s="46" t="str">
        <f aca="false">IF(D4693&lt;&gt;"",IFERROR(VLOOKUP(D4693,PROVEEDORES!$A:$B,2,0),"!COD NO ENCONTRADO"),"")</f>
        <v/>
      </c>
      <c r="F4693" s="88" t="str">
        <f aca="false">IF(D4693&lt;&gt;"",IFERROR(VLOOKUP(D4693,PROVEEDORES!$A:$C,3,0),""),"")</f>
        <v/>
      </c>
      <c r="G4693" s="87"/>
      <c r="H4693" s="46" t="str">
        <f aca="false">IF(G4693&lt;&gt;"",IFERROR(VLOOKUP(G4693,PRODUCTOS!$A:$B,2,0),"!COD NO ENCONTRADO"),"")</f>
        <v/>
      </c>
      <c r="I4693" s="89"/>
      <c r="J4693" s="90"/>
      <c r="K4693" s="91"/>
      <c r="L4693" s="80" t="str">
        <f aca="false">IF(AND(J4693&lt;&gt;"",K4693&lt;&gt;""),J4693*K4693,"")</f>
        <v/>
      </c>
      <c r="M4693" s="81" t="str">
        <f aca="false">IF(L4693&lt;&gt;"",L4693*1.1,"")</f>
        <v/>
      </c>
      <c r="N4693" s="47" t="n">
        <f aca="false">IF(F4693="S",L4693*0.02,0)</f>
        <v>0</v>
      </c>
      <c r="O4693" s="82" t="str">
        <f aca="false">IF(L4693&lt;&gt;"",L4693+N4693,"")</f>
        <v/>
      </c>
      <c r="P4693" s="47" t="str">
        <f aca="false">IF(O4693&lt;&gt;"",O4693*0.1,"")</f>
        <v/>
      </c>
      <c r="Q4693" s="83" t="str">
        <f aca="false">IF(O4693&lt;&gt;"",O4693+P4693,"")</f>
        <v/>
      </c>
      <c r="R4693" s="84"/>
    </row>
    <row r="4694" customFormat="false" ht="15" hidden="false" customHeight="true" outlineLevel="0" collapsed="false">
      <c r="A4694" s="103"/>
      <c r="B4694" s="73"/>
      <c r="C4694" s="74"/>
      <c r="D4694" s="75"/>
      <c r="E4694" s="52" t="str">
        <f aca="false">IF(D4694&lt;&gt;"",IFERROR(VLOOKUP(D4694,PROVEEDORES!$A:$B,2,0),"!COD NO ENCONTRADO"),"")</f>
        <v/>
      </c>
      <c r="F4694" s="76" t="str">
        <f aca="false">IF(D4694&lt;&gt;"",IFERROR(VLOOKUP(D4694,PROVEEDORES!$A:$C,3,0),""),"")</f>
        <v/>
      </c>
      <c r="G4694" s="75"/>
      <c r="H4694" s="52" t="str">
        <f aca="false">IF(G4694&lt;&gt;"",IFERROR(VLOOKUP(G4694,PRODUCTOS!$A:$B,2,0),"!COD NO ENCONTRADO"),"")</f>
        <v/>
      </c>
      <c r="I4694" s="77"/>
      <c r="J4694" s="78"/>
      <c r="K4694" s="79"/>
      <c r="L4694" s="80" t="str">
        <f aca="false">IF(AND(J4694&lt;&gt;"",K4694&lt;&gt;""),J4694*K4694,"")</f>
        <v/>
      </c>
      <c r="M4694" s="81" t="str">
        <f aca="false">IF(L4694&lt;&gt;"",L4694*1.1,"")</f>
        <v/>
      </c>
      <c r="N4694" s="53" t="n">
        <f aca="false">IF(F4694="S",L4694*0.02,0)</f>
        <v>0</v>
      </c>
      <c r="O4694" s="82" t="str">
        <f aca="false">IF(L4694&lt;&gt;"",L4694+N4694,"")</f>
        <v/>
      </c>
      <c r="P4694" s="53" t="str">
        <f aca="false">IF(O4694&lt;&gt;"",O4694*0.1,"")</f>
        <v/>
      </c>
      <c r="Q4694" s="83" t="str">
        <f aca="false">IF(O4694&lt;&gt;"",O4694+P4694,"")</f>
        <v/>
      </c>
      <c r="R4694" s="84"/>
    </row>
    <row r="4695" customFormat="false" ht="15" hidden="false" customHeight="true" outlineLevel="0" collapsed="false">
      <c r="A4695" s="103"/>
      <c r="B4695" s="85"/>
      <c r="C4695" s="86"/>
      <c r="D4695" s="87"/>
      <c r="E4695" s="46" t="str">
        <f aca="false">IF(D4695&lt;&gt;"",IFERROR(VLOOKUP(D4695,PROVEEDORES!$A:$B,2,0),"!COD NO ENCONTRADO"),"")</f>
        <v/>
      </c>
      <c r="F4695" s="88" t="str">
        <f aca="false">IF(D4695&lt;&gt;"",IFERROR(VLOOKUP(D4695,PROVEEDORES!$A:$C,3,0),""),"")</f>
        <v/>
      </c>
      <c r="G4695" s="87"/>
      <c r="H4695" s="46" t="str">
        <f aca="false">IF(G4695&lt;&gt;"",IFERROR(VLOOKUP(G4695,PRODUCTOS!$A:$B,2,0),"!COD NO ENCONTRADO"),"")</f>
        <v/>
      </c>
      <c r="I4695" s="89"/>
      <c r="J4695" s="90"/>
      <c r="K4695" s="91"/>
      <c r="L4695" s="80" t="str">
        <f aca="false">IF(AND(J4695&lt;&gt;"",K4695&lt;&gt;""),J4695*K4695,"")</f>
        <v/>
      </c>
      <c r="M4695" s="81" t="str">
        <f aca="false">IF(L4695&lt;&gt;"",L4695*1.1,"")</f>
        <v/>
      </c>
      <c r="N4695" s="47" t="n">
        <f aca="false">IF(F4695="S",L4695*0.02,0)</f>
        <v>0</v>
      </c>
      <c r="O4695" s="82" t="str">
        <f aca="false">IF(L4695&lt;&gt;"",L4695+N4695,"")</f>
        <v/>
      </c>
      <c r="P4695" s="47" t="str">
        <f aca="false">IF(O4695&lt;&gt;"",O4695*0.1,"")</f>
        <v/>
      </c>
      <c r="Q4695" s="83" t="str">
        <f aca="false">IF(O4695&lt;&gt;"",O4695+P4695,"")</f>
        <v/>
      </c>
      <c r="R4695" s="84"/>
    </row>
    <row r="4696" customFormat="false" ht="15" hidden="false" customHeight="true" outlineLevel="0" collapsed="false">
      <c r="A4696" s="103"/>
      <c r="B4696" s="73"/>
      <c r="C4696" s="74"/>
      <c r="D4696" s="75"/>
      <c r="E4696" s="52" t="str">
        <f aca="false">IF(D4696&lt;&gt;"",IFERROR(VLOOKUP(D4696,PROVEEDORES!$A:$B,2,0),"!COD NO ENCONTRADO"),"")</f>
        <v/>
      </c>
      <c r="F4696" s="76" t="str">
        <f aca="false">IF(D4696&lt;&gt;"",IFERROR(VLOOKUP(D4696,PROVEEDORES!$A:$C,3,0),""),"")</f>
        <v/>
      </c>
      <c r="G4696" s="75"/>
      <c r="H4696" s="52" t="str">
        <f aca="false">IF(G4696&lt;&gt;"",IFERROR(VLOOKUP(G4696,PRODUCTOS!$A:$B,2,0),"!COD NO ENCONTRADO"),"")</f>
        <v/>
      </c>
      <c r="I4696" s="77"/>
      <c r="J4696" s="78"/>
      <c r="K4696" s="79"/>
      <c r="L4696" s="80" t="str">
        <f aca="false">IF(AND(J4696&lt;&gt;"",K4696&lt;&gt;""),J4696*K4696,"")</f>
        <v/>
      </c>
      <c r="M4696" s="81" t="str">
        <f aca="false">IF(L4696&lt;&gt;"",L4696*1.1,"")</f>
        <v/>
      </c>
      <c r="N4696" s="53" t="n">
        <f aca="false">IF(F4696="S",L4696*0.02,0)</f>
        <v>0</v>
      </c>
      <c r="O4696" s="82" t="str">
        <f aca="false">IF(L4696&lt;&gt;"",L4696+N4696,"")</f>
        <v/>
      </c>
      <c r="P4696" s="53" t="str">
        <f aca="false">IF(O4696&lt;&gt;"",O4696*0.1,"")</f>
        <v/>
      </c>
      <c r="Q4696" s="83" t="str">
        <f aca="false">IF(O4696&lt;&gt;"",O4696+P4696,"")</f>
        <v/>
      </c>
      <c r="R4696" s="84"/>
    </row>
    <row r="4697" customFormat="false" ht="15" hidden="false" customHeight="true" outlineLevel="0" collapsed="false">
      <c r="A4697" s="103"/>
      <c r="B4697" s="85"/>
      <c r="C4697" s="86"/>
      <c r="D4697" s="87"/>
      <c r="E4697" s="46" t="str">
        <f aca="false">IF(D4697&lt;&gt;"",IFERROR(VLOOKUP(D4697,PROVEEDORES!$A:$B,2,0),"!COD NO ENCONTRADO"),"")</f>
        <v/>
      </c>
      <c r="F4697" s="88" t="str">
        <f aca="false">IF(D4697&lt;&gt;"",IFERROR(VLOOKUP(D4697,PROVEEDORES!$A:$C,3,0),""),"")</f>
        <v/>
      </c>
      <c r="G4697" s="87"/>
      <c r="H4697" s="46" t="str">
        <f aca="false">IF(G4697&lt;&gt;"",IFERROR(VLOOKUP(G4697,PRODUCTOS!$A:$B,2,0),"!COD NO ENCONTRADO"),"")</f>
        <v/>
      </c>
      <c r="I4697" s="89"/>
      <c r="J4697" s="90"/>
      <c r="K4697" s="91"/>
      <c r="L4697" s="80" t="str">
        <f aca="false">IF(AND(J4697&lt;&gt;"",K4697&lt;&gt;""),J4697*K4697,"")</f>
        <v/>
      </c>
      <c r="M4697" s="81" t="str">
        <f aca="false">IF(L4697&lt;&gt;"",L4697*1.1,"")</f>
        <v/>
      </c>
      <c r="N4697" s="47" t="n">
        <f aca="false">IF(F4697="S",L4697*0.02,0)</f>
        <v>0</v>
      </c>
      <c r="O4697" s="82" t="str">
        <f aca="false">IF(L4697&lt;&gt;"",L4697+N4697,"")</f>
        <v/>
      </c>
      <c r="P4697" s="47" t="str">
        <f aca="false">IF(O4697&lt;&gt;"",O4697*0.1,"")</f>
        <v/>
      </c>
      <c r="Q4697" s="83" t="str">
        <f aca="false">IF(O4697&lt;&gt;"",O4697+P4697,"")</f>
        <v/>
      </c>
      <c r="R4697" s="84"/>
    </row>
    <row r="4698" customFormat="false" ht="15" hidden="false" customHeight="true" outlineLevel="0" collapsed="false">
      <c r="A4698" s="103"/>
      <c r="B4698" s="73"/>
      <c r="C4698" s="74"/>
      <c r="D4698" s="75"/>
      <c r="E4698" s="52" t="str">
        <f aca="false">IF(D4698&lt;&gt;"",IFERROR(VLOOKUP(D4698,PROVEEDORES!$A:$B,2,0),"!COD NO ENCONTRADO"),"")</f>
        <v/>
      </c>
      <c r="F4698" s="76" t="str">
        <f aca="false">IF(D4698&lt;&gt;"",IFERROR(VLOOKUP(D4698,PROVEEDORES!$A:$C,3,0),""),"")</f>
        <v/>
      </c>
      <c r="G4698" s="75"/>
      <c r="H4698" s="52" t="str">
        <f aca="false">IF(G4698&lt;&gt;"",IFERROR(VLOOKUP(G4698,PRODUCTOS!$A:$B,2,0),"!COD NO ENCONTRADO"),"")</f>
        <v/>
      </c>
      <c r="I4698" s="77"/>
      <c r="J4698" s="78"/>
      <c r="K4698" s="79"/>
      <c r="L4698" s="80" t="str">
        <f aca="false">IF(AND(J4698&lt;&gt;"",K4698&lt;&gt;""),J4698*K4698,"")</f>
        <v/>
      </c>
      <c r="M4698" s="81" t="str">
        <f aca="false">IF(L4698&lt;&gt;"",L4698*1.1,"")</f>
        <v/>
      </c>
      <c r="N4698" s="53" t="n">
        <f aca="false">IF(F4698="S",L4698*0.02,0)</f>
        <v>0</v>
      </c>
      <c r="O4698" s="82" t="str">
        <f aca="false">IF(L4698&lt;&gt;"",L4698+N4698,"")</f>
        <v/>
      </c>
      <c r="P4698" s="53" t="str">
        <f aca="false">IF(O4698&lt;&gt;"",O4698*0.1,"")</f>
        <v/>
      </c>
      <c r="Q4698" s="83" t="str">
        <f aca="false">IF(O4698&lt;&gt;"",O4698+P4698,"")</f>
        <v/>
      </c>
      <c r="R4698" s="84"/>
    </row>
    <row r="4699" customFormat="false" ht="15" hidden="false" customHeight="true" outlineLevel="0" collapsed="false">
      <c r="A4699" s="103"/>
      <c r="B4699" s="85"/>
      <c r="C4699" s="86"/>
      <c r="D4699" s="87"/>
      <c r="E4699" s="46" t="str">
        <f aca="false">IF(D4699&lt;&gt;"",IFERROR(VLOOKUP(D4699,PROVEEDORES!$A:$B,2,0),"!COD NO ENCONTRADO"),"")</f>
        <v/>
      </c>
      <c r="F4699" s="88" t="str">
        <f aca="false">IF(D4699&lt;&gt;"",IFERROR(VLOOKUP(D4699,PROVEEDORES!$A:$C,3,0),""),"")</f>
        <v/>
      </c>
      <c r="G4699" s="87"/>
      <c r="H4699" s="46" t="str">
        <f aca="false">IF(G4699&lt;&gt;"",IFERROR(VLOOKUP(G4699,PRODUCTOS!$A:$B,2,0),"!COD NO ENCONTRADO"),"")</f>
        <v/>
      </c>
      <c r="I4699" s="89"/>
      <c r="J4699" s="90"/>
      <c r="K4699" s="91"/>
      <c r="L4699" s="80" t="str">
        <f aca="false">IF(AND(J4699&lt;&gt;"",K4699&lt;&gt;""),J4699*K4699,"")</f>
        <v/>
      </c>
      <c r="M4699" s="81" t="str">
        <f aca="false">IF(L4699&lt;&gt;"",L4699*1.1,"")</f>
        <v/>
      </c>
      <c r="N4699" s="47" t="n">
        <f aca="false">IF(F4699="S",L4699*0.02,0)</f>
        <v>0</v>
      </c>
      <c r="O4699" s="82" t="str">
        <f aca="false">IF(L4699&lt;&gt;"",L4699+N4699,"")</f>
        <v/>
      </c>
      <c r="P4699" s="47" t="str">
        <f aca="false">IF(O4699&lt;&gt;"",O4699*0.1,"")</f>
        <v/>
      </c>
      <c r="Q4699" s="83" t="str">
        <f aca="false">IF(O4699&lt;&gt;"",O4699+P4699,"")</f>
        <v/>
      </c>
      <c r="R4699" s="84"/>
    </row>
    <row r="4700" customFormat="false" ht="15" hidden="false" customHeight="true" outlineLevel="0" collapsed="false">
      <c r="A4700" s="103"/>
      <c r="B4700" s="73"/>
      <c r="C4700" s="74"/>
      <c r="D4700" s="75"/>
      <c r="E4700" s="52" t="str">
        <f aca="false">IF(D4700&lt;&gt;"",IFERROR(VLOOKUP(D4700,PROVEEDORES!$A:$B,2,0),"!COD NO ENCONTRADO"),"")</f>
        <v/>
      </c>
      <c r="F4700" s="76" t="str">
        <f aca="false">IF(D4700&lt;&gt;"",IFERROR(VLOOKUP(D4700,PROVEEDORES!$A:$C,3,0),""),"")</f>
        <v/>
      </c>
      <c r="G4700" s="75"/>
      <c r="H4700" s="52" t="str">
        <f aca="false">IF(G4700&lt;&gt;"",IFERROR(VLOOKUP(G4700,PRODUCTOS!$A:$B,2,0),"!COD NO ENCONTRADO"),"")</f>
        <v/>
      </c>
      <c r="I4700" s="77"/>
      <c r="J4700" s="78"/>
      <c r="K4700" s="79"/>
      <c r="L4700" s="80" t="str">
        <f aca="false">IF(AND(J4700&lt;&gt;"",K4700&lt;&gt;""),J4700*K4700,"")</f>
        <v/>
      </c>
      <c r="M4700" s="81" t="str">
        <f aca="false">IF(L4700&lt;&gt;"",L4700*1.1,"")</f>
        <v/>
      </c>
      <c r="N4700" s="53" t="n">
        <f aca="false">IF(F4700="S",L4700*0.02,0)</f>
        <v>0</v>
      </c>
      <c r="O4700" s="82" t="str">
        <f aca="false">IF(L4700&lt;&gt;"",L4700+N4700,"")</f>
        <v/>
      </c>
      <c r="P4700" s="53" t="str">
        <f aca="false">IF(O4700&lt;&gt;"",O4700*0.1,"")</f>
        <v/>
      </c>
      <c r="Q4700" s="83" t="str">
        <f aca="false">IF(O4700&lt;&gt;"",O4700+P4700,"")</f>
        <v/>
      </c>
      <c r="R4700" s="84"/>
    </row>
    <row r="4701" customFormat="false" ht="15" hidden="false" customHeight="true" outlineLevel="0" collapsed="false">
      <c r="A4701" s="103"/>
      <c r="B4701" s="85"/>
      <c r="C4701" s="86"/>
      <c r="D4701" s="87"/>
      <c r="E4701" s="46" t="str">
        <f aca="false">IF(D4701&lt;&gt;"",IFERROR(VLOOKUP(D4701,PROVEEDORES!$A:$B,2,0),"!COD NO ENCONTRADO"),"")</f>
        <v/>
      </c>
      <c r="F4701" s="88" t="str">
        <f aca="false">IF(D4701&lt;&gt;"",IFERROR(VLOOKUP(D4701,PROVEEDORES!$A:$C,3,0),""),"")</f>
        <v/>
      </c>
      <c r="G4701" s="87"/>
      <c r="H4701" s="46" t="str">
        <f aca="false">IF(G4701&lt;&gt;"",IFERROR(VLOOKUP(G4701,PRODUCTOS!$A:$B,2,0),"!COD NO ENCONTRADO"),"")</f>
        <v/>
      </c>
      <c r="I4701" s="89"/>
      <c r="J4701" s="90"/>
      <c r="K4701" s="91"/>
      <c r="L4701" s="80" t="str">
        <f aca="false">IF(AND(J4701&lt;&gt;"",K4701&lt;&gt;""),J4701*K4701,"")</f>
        <v/>
      </c>
      <c r="M4701" s="81" t="str">
        <f aca="false">IF(L4701&lt;&gt;"",L4701*1.1,"")</f>
        <v/>
      </c>
      <c r="N4701" s="47" t="n">
        <f aca="false">IF(F4701="S",L4701*0.02,0)</f>
        <v>0</v>
      </c>
      <c r="O4701" s="82" t="str">
        <f aca="false">IF(L4701&lt;&gt;"",L4701+N4701,"")</f>
        <v/>
      </c>
      <c r="P4701" s="47" t="str">
        <f aca="false">IF(O4701&lt;&gt;"",O4701*0.1,"")</f>
        <v/>
      </c>
      <c r="Q4701" s="83" t="str">
        <f aca="false">IF(O4701&lt;&gt;"",O4701+P4701,"")</f>
        <v/>
      </c>
      <c r="R4701" s="84"/>
    </row>
    <row r="4702" customFormat="false" ht="15" hidden="false" customHeight="true" outlineLevel="0" collapsed="false">
      <c r="A4702" s="103"/>
      <c r="B4702" s="73"/>
      <c r="C4702" s="74"/>
      <c r="D4702" s="75"/>
      <c r="E4702" s="52" t="str">
        <f aca="false">IF(D4702&lt;&gt;"",IFERROR(VLOOKUP(D4702,PROVEEDORES!$A:$B,2,0),"!COD NO ENCONTRADO"),"")</f>
        <v/>
      </c>
      <c r="F4702" s="76" t="str">
        <f aca="false">IF(D4702&lt;&gt;"",IFERROR(VLOOKUP(D4702,PROVEEDORES!$A:$C,3,0),""),"")</f>
        <v/>
      </c>
      <c r="G4702" s="75"/>
      <c r="H4702" s="52" t="str">
        <f aca="false">IF(G4702&lt;&gt;"",IFERROR(VLOOKUP(G4702,PRODUCTOS!$A:$B,2,0),"!COD NO ENCONTRADO"),"")</f>
        <v/>
      </c>
      <c r="I4702" s="77"/>
      <c r="J4702" s="78"/>
      <c r="K4702" s="79"/>
      <c r="L4702" s="80" t="str">
        <f aca="false">IF(AND(J4702&lt;&gt;"",K4702&lt;&gt;""),J4702*K4702,"")</f>
        <v/>
      </c>
      <c r="M4702" s="81" t="str">
        <f aca="false">IF(L4702&lt;&gt;"",L4702*1.1,"")</f>
        <v/>
      </c>
      <c r="N4702" s="53" t="n">
        <f aca="false">IF(F4702="S",L4702*0.02,0)</f>
        <v>0</v>
      </c>
      <c r="O4702" s="82" t="str">
        <f aca="false">IF(L4702&lt;&gt;"",L4702+N4702,"")</f>
        <v/>
      </c>
      <c r="P4702" s="53" t="str">
        <f aca="false">IF(O4702&lt;&gt;"",O4702*0.1,"")</f>
        <v/>
      </c>
      <c r="Q4702" s="83" t="str">
        <f aca="false">IF(O4702&lt;&gt;"",O4702+P4702,"")</f>
        <v/>
      </c>
      <c r="R4702" s="84"/>
    </row>
    <row r="4703" customFormat="false" ht="15" hidden="false" customHeight="true" outlineLevel="0" collapsed="false">
      <c r="A4703" s="103"/>
      <c r="B4703" s="85"/>
      <c r="C4703" s="86"/>
      <c r="D4703" s="87"/>
      <c r="E4703" s="46" t="str">
        <f aca="false">IF(D4703&lt;&gt;"",IFERROR(VLOOKUP(D4703,PROVEEDORES!$A:$B,2,0),"!COD NO ENCONTRADO"),"")</f>
        <v/>
      </c>
      <c r="F4703" s="88" t="str">
        <f aca="false">IF(D4703&lt;&gt;"",IFERROR(VLOOKUP(D4703,PROVEEDORES!$A:$C,3,0),""),"")</f>
        <v/>
      </c>
      <c r="G4703" s="87"/>
      <c r="H4703" s="46" t="str">
        <f aca="false">IF(G4703&lt;&gt;"",IFERROR(VLOOKUP(G4703,PRODUCTOS!$A:$B,2,0),"!COD NO ENCONTRADO"),"")</f>
        <v/>
      </c>
      <c r="I4703" s="89"/>
      <c r="J4703" s="90"/>
      <c r="K4703" s="91"/>
      <c r="L4703" s="80" t="str">
        <f aca="false">IF(AND(J4703&lt;&gt;"",K4703&lt;&gt;""),J4703*K4703,"")</f>
        <v/>
      </c>
      <c r="M4703" s="81" t="str">
        <f aca="false">IF(L4703&lt;&gt;"",L4703*1.1,"")</f>
        <v/>
      </c>
      <c r="N4703" s="47" t="n">
        <f aca="false">IF(F4703="S",L4703*0.02,0)</f>
        <v>0</v>
      </c>
      <c r="O4703" s="82" t="str">
        <f aca="false">IF(L4703&lt;&gt;"",L4703+N4703,"")</f>
        <v/>
      </c>
      <c r="P4703" s="47" t="str">
        <f aca="false">IF(O4703&lt;&gt;"",O4703*0.1,"")</f>
        <v/>
      </c>
      <c r="Q4703" s="83" t="str">
        <f aca="false">IF(O4703&lt;&gt;"",O4703+P4703,"")</f>
        <v/>
      </c>
      <c r="R4703" s="84"/>
    </row>
    <row r="4704" customFormat="false" ht="15" hidden="false" customHeight="true" outlineLevel="0" collapsed="false">
      <c r="A4704" s="103"/>
      <c r="B4704" s="73"/>
      <c r="C4704" s="74"/>
      <c r="D4704" s="75"/>
      <c r="E4704" s="52" t="str">
        <f aca="false">IF(D4704&lt;&gt;"",IFERROR(VLOOKUP(D4704,PROVEEDORES!$A:$B,2,0),"!COD NO ENCONTRADO"),"")</f>
        <v/>
      </c>
      <c r="F4704" s="76" t="str">
        <f aca="false">IF(D4704&lt;&gt;"",IFERROR(VLOOKUP(D4704,PROVEEDORES!$A:$C,3,0),""),"")</f>
        <v/>
      </c>
      <c r="G4704" s="75"/>
      <c r="H4704" s="52" t="str">
        <f aca="false">IF(G4704&lt;&gt;"",IFERROR(VLOOKUP(G4704,PRODUCTOS!$A:$B,2,0),"!COD NO ENCONTRADO"),"")</f>
        <v/>
      </c>
      <c r="I4704" s="77"/>
      <c r="J4704" s="78"/>
      <c r="K4704" s="79"/>
      <c r="L4704" s="80" t="str">
        <f aca="false">IF(AND(J4704&lt;&gt;"",K4704&lt;&gt;""),J4704*K4704,"")</f>
        <v/>
      </c>
      <c r="M4704" s="81" t="str">
        <f aca="false">IF(L4704&lt;&gt;"",L4704*1.1,"")</f>
        <v/>
      </c>
      <c r="N4704" s="53" t="n">
        <f aca="false">IF(F4704="S",L4704*0.02,0)</f>
        <v>0</v>
      </c>
      <c r="O4704" s="82" t="str">
        <f aca="false">IF(L4704&lt;&gt;"",L4704+N4704,"")</f>
        <v/>
      </c>
      <c r="P4704" s="53" t="str">
        <f aca="false">IF(O4704&lt;&gt;"",O4704*0.1,"")</f>
        <v/>
      </c>
      <c r="Q4704" s="83" t="str">
        <f aca="false">IF(O4704&lt;&gt;"",O4704+P4704,"")</f>
        <v/>
      </c>
      <c r="R4704" s="84"/>
    </row>
    <row r="4705" customFormat="false" ht="15" hidden="false" customHeight="true" outlineLevel="0" collapsed="false">
      <c r="A4705" s="103"/>
      <c r="B4705" s="85"/>
      <c r="C4705" s="86"/>
      <c r="D4705" s="87"/>
      <c r="E4705" s="46" t="str">
        <f aca="false">IF(D4705&lt;&gt;"",IFERROR(VLOOKUP(D4705,PROVEEDORES!$A:$B,2,0),"!COD NO ENCONTRADO"),"")</f>
        <v/>
      </c>
      <c r="F4705" s="88" t="str">
        <f aca="false">IF(D4705&lt;&gt;"",IFERROR(VLOOKUP(D4705,PROVEEDORES!$A:$C,3,0),""),"")</f>
        <v/>
      </c>
      <c r="G4705" s="87"/>
      <c r="H4705" s="46" t="str">
        <f aca="false">IF(G4705&lt;&gt;"",IFERROR(VLOOKUP(G4705,PRODUCTOS!$A:$B,2,0),"!COD NO ENCONTRADO"),"")</f>
        <v/>
      </c>
      <c r="I4705" s="89"/>
      <c r="J4705" s="90"/>
      <c r="K4705" s="91"/>
      <c r="L4705" s="80" t="str">
        <f aca="false">IF(AND(J4705&lt;&gt;"",K4705&lt;&gt;""),J4705*K4705,"")</f>
        <v/>
      </c>
      <c r="M4705" s="81" t="str">
        <f aca="false">IF(L4705&lt;&gt;"",L4705*1.1,"")</f>
        <v/>
      </c>
      <c r="N4705" s="47" t="n">
        <f aca="false">IF(F4705="S",L4705*0.02,0)</f>
        <v>0</v>
      </c>
      <c r="O4705" s="82" t="str">
        <f aca="false">IF(L4705&lt;&gt;"",L4705+N4705,"")</f>
        <v/>
      </c>
      <c r="P4705" s="47" t="str">
        <f aca="false">IF(O4705&lt;&gt;"",O4705*0.1,"")</f>
        <v/>
      </c>
      <c r="Q4705" s="83" t="str">
        <f aca="false">IF(O4705&lt;&gt;"",O4705+P4705,"")</f>
        <v/>
      </c>
      <c r="R4705" s="84"/>
    </row>
    <row r="4706" customFormat="false" ht="15" hidden="false" customHeight="true" outlineLevel="0" collapsed="false">
      <c r="A4706" s="103"/>
      <c r="B4706" s="73"/>
      <c r="C4706" s="74"/>
      <c r="D4706" s="75"/>
      <c r="E4706" s="52" t="str">
        <f aca="false">IF(D4706&lt;&gt;"",IFERROR(VLOOKUP(D4706,PROVEEDORES!$A:$B,2,0),"!COD NO ENCONTRADO"),"")</f>
        <v/>
      </c>
      <c r="F4706" s="76" t="str">
        <f aca="false">IF(D4706&lt;&gt;"",IFERROR(VLOOKUP(D4706,PROVEEDORES!$A:$C,3,0),""),"")</f>
        <v/>
      </c>
      <c r="G4706" s="75"/>
      <c r="H4706" s="52" t="str">
        <f aca="false">IF(G4706&lt;&gt;"",IFERROR(VLOOKUP(G4706,PRODUCTOS!$A:$B,2,0),"!COD NO ENCONTRADO"),"")</f>
        <v/>
      </c>
      <c r="I4706" s="77"/>
      <c r="J4706" s="78"/>
      <c r="K4706" s="79"/>
      <c r="L4706" s="80" t="str">
        <f aca="false">IF(AND(J4706&lt;&gt;"",K4706&lt;&gt;""),J4706*K4706,"")</f>
        <v/>
      </c>
      <c r="M4706" s="81" t="str">
        <f aca="false">IF(L4706&lt;&gt;"",L4706*1.1,"")</f>
        <v/>
      </c>
      <c r="N4706" s="53" t="n">
        <f aca="false">IF(F4706="S",L4706*0.02,0)</f>
        <v>0</v>
      </c>
      <c r="O4706" s="82" t="str">
        <f aca="false">IF(L4706&lt;&gt;"",L4706+N4706,"")</f>
        <v/>
      </c>
      <c r="P4706" s="53" t="str">
        <f aca="false">IF(O4706&lt;&gt;"",O4706*0.1,"")</f>
        <v/>
      </c>
      <c r="Q4706" s="83" t="str">
        <f aca="false">IF(O4706&lt;&gt;"",O4706+P4706,"")</f>
        <v/>
      </c>
      <c r="R4706" s="84"/>
    </row>
    <row r="4707" customFormat="false" ht="15" hidden="false" customHeight="true" outlineLevel="0" collapsed="false">
      <c r="A4707" s="103"/>
      <c r="B4707" s="85"/>
      <c r="C4707" s="86"/>
      <c r="D4707" s="87"/>
      <c r="E4707" s="46" t="str">
        <f aca="false">IF(D4707&lt;&gt;"",IFERROR(VLOOKUP(D4707,PROVEEDORES!$A:$B,2,0),"!COD NO ENCONTRADO"),"")</f>
        <v/>
      </c>
      <c r="F4707" s="88" t="str">
        <f aca="false">IF(D4707&lt;&gt;"",IFERROR(VLOOKUP(D4707,PROVEEDORES!$A:$C,3,0),""),"")</f>
        <v/>
      </c>
      <c r="G4707" s="87"/>
      <c r="H4707" s="46" t="str">
        <f aca="false">IF(G4707&lt;&gt;"",IFERROR(VLOOKUP(G4707,PRODUCTOS!$A:$B,2,0),"!COD NO ENCONTRADO"),"")</f>
        <v/>
      </c>
      <c r="I4707" s="89"/>
      <c r="J4707" s="90"/>
      <c r="K4707" s="91"/>
      <c r="L4707" s="80" t="str">
        <f aca="false">IF(AND(J4707&lt;&gt;"",K4707&lt;&gt;""),J4707*K4707,"")</f>
        <v/>
      </c>
      <c r="M4707" s="81" t="str">
        <f aca="false">IF(L4707&lt;&gt;"",L4707*1.1,"")</f>
        <v/>
      </c>
      <c r="N4707" s="47" t="n">
        <f aca="false">IF(F4707="S",L4707*0.02,0)</f>
        <v>0</v>
      </c>
      <c r="O4707" s="82" t="str">
        <f aca="false">IF(L4707&lt;&gt;"",L4707+N4707,"")</f>
        <v/>
      </c>
      <c r="P4707" s="47" t="str">
        <f aca="false">IF(O4707&lt;&gt;"",O4707*0.1,"")</f>
        <v/>
      </c>
      <c r="Q4707" s="83" t="str">
        <f aca="false">IF(O4707&lt;&gt;"",O4707+P4707,"")</f>
        <v/>
      </c>
      <c r="R4707" s="84"/>
    </row>
    <row r="4708" customFormat="false" ht="15" hidden="false" customHeight="true" outlineLevel="0" collapsed="false">
      <c r="A4708" s="103"/>
      <c r="B4708" s="73"/>
      <c r="C4708" s="74"/>
      <c r="D4708" s="75"/>
      <c r="E4708" s="52" t="str">
        <f aca="false">IF(D4708&lt;&gt;"",IFERROR(VLOOKUP(D4708,PROVEEDORES!$A:$B,2,0),"!COD NO ENCONTRADO"),"")</f>
        <v/>
      </c>
      <c r="F4708" s="76" t="str">
        <f aca="false">IF(D4708&lt;&gt;"",IFERROR(VLOOKUP(D4708,PROVEEDORES!$A:$C,3,0),""),"")</f>
        <v/>
      </c>
      <c r="G4708" s="75"/>
      <c r="H4708" s="52" t="str">
        <f aca="false">IF(G4708&lt;&gt;"",IFERROR(VLOOKUP(G4708,PRODUCTOS!$A:$B,2,0),"!COD NO ENCONTRADO"),"")</f>
        <v/>
      </c>
      <c r="I4708" s="77"/>
      <c r="J4708" s="78"/>
      <c r="K4708" s="79"/>
      <c r="L4708" s="80" t="str">
        <f aca="false">IF(AND(J4708&lt;&gt;"",K4708&lt;&gt;""),J4708*K4708,"")</f>
        <v/>
      </c>
      <c r="M4708" s="81" t="str">
        <f aca="false">IF(L4708&lt;&gt;"",L4708*1.1,"")</f>
        <v/>
      </c>
      <c r="N4708" s="53" t="n">
        <f aca="false">IF(F4708="S",L4708*0.02,0)</f>
        <v>0</v>
      </c>
      <c r="O4708" s="82" t="str">
        <f aca="false">IF(L4708&lt;&gt;"",L4708+N4708,"")</f>
        <v/>
      </c>
      <c r="P4708" s="53" t="str">
        <f aca="false">IF(O4708&lt;&gt;"",O4708*0.1,"")</f>
        <v/>
      </c>
      <c r="Q4708" s="83" t="str">
        <f aca="false">IF(O4708&lt;&gt;"",O4708+P4708,"")</f>
        <v/>
      </c>
      <c r="R4708" s="84"/>
    </row>
    <row r="4709" customFormat="false" ht="15" hidden="false" customHeight="true" outlineLevel="0" collapsed="false">
      <c r="A4709" s="103"/>
      <c r="B4709" s="85"/>
      <c r="C4709" s="86"/>
      <c r="D4709" s="87"/>
      <c r="E4709" s="46" t="str">
        <f aca="false">IF(D4709&lt;&gt;"",IFERROR(VLOOKUP(D4709,PROVEEDORES!$A:$B,2,0),"!COD NO ENCONTRADO"),"")</f>
        <v/>
      </c>
      <c r="F4709" s="88" t="str">
        <f aca="false">IF(D4709&lt;&gt;"",IFERROR(VLOOKUP(D4709,PROVEEDORES!$A:$C,3,0),""),"")</f>
        <v/>
      </c>
      <c r="G4709" s="87"/>
      <c r="H4709" s="46" t="str">
        <f aca="false">IF(G4709&lt;&gt;"",IFERROR(VLOOKUP(G4709,PRODUCTOS!$A:$B,2,0),"!COD NO ENCONTRADO"),"")</f>
        <v/>
      </c>
      <c r="I4709" s="89"/>
      <c r="J4709" s="90"/>
      <c r="K4709" s="91"/>
      <c r="L4709" s="80" t="str">
        <f aca="false">IF(AND(J4709&lt;&gt;"",K4709&lt;&gt;""),J4709*K4709,"")</f>
        <v/>
      </c>
      <c r="M4709" s="81" t="str">
        <f aca="false">IF(L4709&lt;&gt;"",L4709*1.1,"")</f>
        <v/>
      </c>
      <c r="N4709" s="47" t="n">
        <f aca="false">IF(F4709="S",L4709*0.02,0)</f>
        <v>0</v>
      </c>
      <c r="O4709" s="82" t="str">
        <f aca="false">IF(L4709&lt;&gt;"",L4709+N4709,"")</f>
        <v/>
      </c>
      <c r="P4709" s="47" t="str">
        <f aca="false">IF(O4709&lt;&gt;"",O4709*0.1,"")</f>
        <v/>
      </c>
      <c r="Q4709" s="83" t="str">
        <f aca="false">IF(O4709&lt;&gt;"",O4709+P4709,"")</f>
        <v/>
      </c>
      <c r="R4709" s="84"/>
    </row>
    <row r="4710" customFormat="false" ht="15" hidden="false" customHeight="true" outlineLevel="0" collapsed="false">
      <c r="A4710" s="103"/>
      <c r="B4710" s="73"/>
      <c r="C4710" s="74"/>
      <c r="D4710" s="75"/>
      <c r="E4710" s="52" t="str">
        <f aca="false">IF(D4710&lt;&gt;"",IFERROR(VLOOKUP(D4710,PROVEEDORES!$A:$B,2,0),"!COD NO ENCONTRADO"),"")</f>
        <v/>
      </c>
      <c r="F4710" s="76" t="str">
        <f aca="false">IF(D4710&lt;&gt;"",IFERROR(VLOOKUP(D4710,PROVEEDORES!$A:$C,3,0),""),"")</f>
        <v/>
      </c>
      <c r="G4710" s="75"/>
      <c r="H4710" s="52" t="str">
        <f aca="false">IF(G4710&lt;&gt;"",IFERROR(VLOOKUP(G4710,PRODUCTOS!$A:$B,2,0),"!COD NO ENCONTRADO"),"")</f>
        <v/>
      </c>
      <c r="I4710" s="77"/>
      <c r="J4710" s="78"/>
      <c r="K4710" s="79"/>
      <c r="L4710" s="80" t="str">
        <f aca="false">IF(AND(J4710&lt;&gt;"",K4710&lt;&gt;""),J4710*K4710,"")</f>
        <v/>
      </c>
      <c r="M4710" s="81" t="str">
        <f aca="false">IF(L4710&lt;&gt;"",L4710*1.1,"")</f>
        <v/>
      </c>
      <c r="N4710" s="53" t="n">
        <f aca="false">IF(F4710="S",L4710*0.02,0)</f>
        <v>0</v>
      </c>
      <c r="O4710" s="82" t="str">
        <f aca="false">IF(L4710&lt;&gt;"",L4710+N4710,"")</f>
        <v/>
      </c>
      <c r="P4710" s="53" t="str">
        <f aca="false">IF(O4710&lt;&gt;"",O4710*0.1,"")</f>
        <v/>
      </c>
      <c r="Q4710" s="83" t="str">
        <f aca="false">IF(O4710&lt;&gt;"",O4710+P4710,"")</f>
        <v/>
      </c>
      <c r="R4710" s="84"/>
    </row>
    <row r="4711" customFormat="false" ht="15" hidden="false" customHeight="true" outlineLevel="0" collapsed="false">
      <c r="A4711" s="103"/>
      <c r="B4711" s="85"/>
      <c r="C4711" s="86"/>
      <c r="D4711" s="87"/>
      <c r="E4711" s="46" t="str">
        <f aca="false">IF(D4711&lt;&gt;"",IFERROR(VLOOKUP(D4711,PROVEEDORES!$A:$B,2,0),"!COD NO ENCONTRADO"),"")</f>
        <v/>
      </c>
      <c r="F4711" s="88" t="str">
        <f aca="false">IF(D4711&lt;&gt;"",IFERROR(VLOOKUP(D4711,PROVEEDORES!$A:$C,3,0),""),"")</f>
        <v/>
      </c>
      <c r="G4711" s="87"/>
      <c r="H4711" s="46" t="str">
        <f aca="false">IF(G4711&lt;&gt;"",IFERROR(VLOOKUP(G4711,PRODUCTOS!$A:$B,2,0),"!COD NO ENCONTRADO"),"")</f>
        <v/>
      </c>
      <c r="I4711" s="89"/>
      <c r="J4711" s="90"/>
      <c r="K4711" s="91"/>
      <c r="L4711" s="80" t="str">
        <f aca="false">IF(AND(J4711&lt;&gt;"",K4711&lt;&gt;""),J4711*K4711,"")</f>
        <v/>
      </c>
      <c r="M4711" s="81" t="str">
        <f aca="false">IF(L4711&lt;&gt;"",L4711*1.1,"")</f>
        <v/>
      </c>
      <c r="N4711" s="47" t="n">
        <f aca="false">IF(F4711="S",L4711*0.02,0)</f>
        <v>0</v>
      </c>
      <c r="O4711" s="82" t="str">
        <f aca="false">IF(L4711&lt;&gt;"",L4711+N4711,"")</f>
        <v/>
      </c>
      <c r="P4711" s="47" t="str">
        <f aca="false">IF(O4711&lt;&gt;"",O4711*0.1,"")</f>
        <v/>
      </c>
      <c r="Q4711" s="83" t="str">
        <f aca="false">IF(O4711&lt;&gt;"",O4711+P4711,"")</f>
        <v/>
      </c>
      <c r="R4711" s="84"/>
    </row>
    <row r="4712" customFormat="false" ht="15" hidden="false" customHeight="true" outlineLevel="0" collapsed="false">
      <c r="A4712" s="103"/>
      <c r="B4712" s="73"/>
      <c r="C4712" s="74"/>
      <c r="D4712" s="75"/>
      <c r="E4712" s="52" t="str">
        <f aca="false">IF(D4712&lt;&gt;"",IFERROR(VLOOKUP(D4712,PROVEEDORES!$A:$B,2,0),"!COD NO ENCONTRADO"),"")</f>
        <v/>
      </c>
      <c r="F4712" s="76" t="str">
        <f aca="false">IF(D4712&lt;&gt;"",IFERROR(VLOOKUP(D4712,PROVEEDORES!$A:$C,3,0),""),"")</f>
        <v/>
      </c>
      <c r="G4712" s="75"/>
      <c r="H4712" s="52" t="str">
        <f aca="false">IF(G4712&lt;&gt;"",IFERROR(VLOOKUP(G4712,PRODUCTOS!$A:$B,2,0),"!COD NO ENCONTRADO"),"")</f>
        <v/>
      </c>
      <c r="I4712" s="77"/>
      <c r="J4712" s="78"/>
      <c r="K4712" s="79"/>
      <c r="L4712" s="80" t="str">
        <f aca="false">IF(AND(J4712&lt;&gt;"",K4712&lt;&gt;""),J4712*K4712,"")</f>
        <v/>
      </c>
      <c r="M4712" s="81" t="str">
        <f aca="false">IF(L4712&lt;&gt;"",L4712*1.1,"")</f>
        <v/>
      </c>
      <c r="N4712" s="53" t="n">
        <f aca="false">IF(F4712="S",L4712*0.02,0)</f>
        <v>0</v>
      </c>
      <c r="O4712" s="82" t="str">
        <f aca="false">IF(L4712&lt;&gt;"",L4712+N4712,"")</f>
        <v/>
      </c>
      <c r="P4712" s="53" t="str">
        <f aca="false">IF(O4712&lt;&gt;"",O4712*0.1,"")</f>
        <v/>
      </c>
      <c r="Q4712" s="83" t="str">
        <f aca="false">IF(O4712&lt;&gt;"",O4712+P4712,"")</f>
        <v/>
      </c>
      <c r="R4712" s="84"/>
    </row>
    <row r="4713" customFormat="false" ht="15" hidden="false" customHeight="true" outlineLevel="0" collapsed="false">
      <c r="A4713" s="103"/>
      <c r="B4713" s="85"/>
      <c r="C4713" s="86"/>
      <c r="D4713" s="87"/>
      <c r="E4713" s="46" t="str">
        <f aca="false">IF(D4713&lt;&gt;"",IFERROR(VLOOKUP(D4713,PROVEEDORES!$A:$B,2,0),"!COD NO ENCONTRADO"),"")</f>
        <v/>
      </c>
      <c r="F4713" s="88" t="str">
        <f aca="false">IF(D4713&lt;&gt;"",IFERROR(VLOOKUP(D4713,PROVEEDORES!$A:$C,3,0),""),"")</f>
        <v/>
      </c>
      <c r="G4713" s="87"/>
      <c r="H4713" s="46" t="str">
        <f aca="false">IF(G4713&lt;&gt;"",IFERROR(VLOOKUP(G4713,PRODUCTOS!$A:$B,2,0),"!COD NO ENCONTRADO"),"")</f>
        <v/>
      </c>
      <c r="I4713" s="89"/>
      <c r="J4713" s="90"/>
      <c r="K4713" s="91"/>
      <c r="L4713" s="80" t="str">
        <f aca="false">IF(AND(J4713&lt;&gt;"",K4713&lt;&gt;""),J4713*K4713,"")</f>
        <v/>
      </c>
      <c r="M4713" s="81" t="str">
        <f aca="false">IF(L4713&lt;&gt;"",L4713*1.1,"")</f>
        <v/>
      </c>
      <c r="N4713" s="47" t="n">
        <f aca="false">IF(F4713="S",L4713*0.02,0)</f>
        <v>0</v>
      </c>
      <c r="O4713" s="82" t="str">
        <f aca="false">IF(L4713&lt;&gt;"",L4713+N4713,"")</f>
        <v/>
      </c>
      <c r="P4713" s="47" t="str">
        <f aca="false">IF(O4713&lt;&gt;"",O4713*0.1,"")</f>
        <v/>
      </c>
      <c r="Q4713" s="83" t="str">
        <f aca="false">IF(O4713&lt;&gt;"",O4713+P4713,"")</f>
        <v/>
      </c>
      <c r="R4713" s="84"/>
    </row>
    <row r="4714" customFormat="false" ht="15" hidden="false" customHeight="true" outlineLevel="0" collapsed="false">
      <c r="A4714" s="103"/>
      <c r="B4714" s="73"/>
      <c r="C4714" s="74"/>
      <c r="D4714" s="75"/>
      <c r="E4714" s="52" t="str">
        <f aca="false">IF(D4714&lt;&gt;"",IFERROR(VLOOKUP(D4714,PROVEEDORES!$A:$B,2,0),"!COD NO ENCONTRADO"),"")</f>
        <v/>
      </c>
      <c r="F4714" s="76" t="str">
        <f aca="false">IF(D4714&lt;&gt;"",IFERROR(VLOOKUP(D4714,PROVEEDORES!$A:$C,3,0),""),"")</f>
        <v/>
      </c>
      <c r="G4714" s="75"/>
      <c r="H4714" s="52" t="str">
        <f aca="false">IF(G4714&lt;&gt;"",IFERROR(VLOOKUP(G4714,PRODUCTOS!$A:$B,2,0),"!COD NO ENCONTRADO"),"")</f>
        <v/>
      </c>
      <c r="I4714" s="77"/>
      <c r="J4714" s="78"/>
      <c r="K4714" s="79"/>
      <c r="L4714" s="80" t="str">
        <f aca="false">IF(AND(J4714&lt;&gt;"",K4714&lt;&gt;""),J4714*K4714,"")</f>
        <v/>
      </c>
      <c r="M4714" s="81" t="str">
        <f aca="false">IF(L4714&lt;&gt;"",L4714*1.1,"")</f>
        <v/>
      </c>
      <c r="N4714" s="53" t="n">
        <f aca="false">IF(F4714="S",L4714*0.02,0)</f>
        <v>0</v>
      </c>
      <c r="O4714" s="82" t="str">
        <f aca="false">IF(L4714&lt;&gt;"",L4714+N4714,"")</f>
        <v/>
      </c>
      <c r="P4714" s="53" t="str">
        <f aca="false">IF(O4714&lt;&gt;"",O4714*0.1,"")</f>
        <v/>
      </c>
      <c r="Q4714" s="83" t="str">
        <f aca="false">IF(O4714&lt;&gt;"",O4714+P4714,"")</f>
        <v/>
      </c>
      <c r="R4714" s="84"/>
    </row>
    <row r="4715" customFormat="false" ht="15" hidden="false" customHeight="true" outlineLevel="0" collapsed="false">
      <c r="A4715" s="103"/>
      <c r="B4715" s="85"/>
      <c r="C4715" s="86"/>
      <c r="D4715" s="87"/>
      <c r="E4715" s="46" t="str">
        <f aca="false">IF(D4715&lt;&gt;"",IFERROR(VLOOKUP(D4715,PROVEEDORES!$A:$B,2,0),"!COD NO ENCONTRADO"),"")</f>
        <v/>
      </c>
      <c r="F4715" s="88" t="str">
        <f aca="false">IF(D4715&lt;&gt;"",IFERROR(VLOOKUP(D4715,PROVEEDORES!$A:$C,3,0),""),"")</f>
        <v/>
      </c>
      <c r="G4715" s="87"/>
      <c r="H4715" s="46" t="str">
        <f aca="false">IF(G4715&lt;&gt;"",IFERROR(VLOOKUP(G4715,PRODUCTOS!$A:$B,2,0),"!COD NO ENCONTRADO"),"")</f>
        <v/>
      </c>
      <c r="I4715" s="89"/>
      <c r="J4715" s="90"/>
      <c r="K4715" s="91"/>
      <c r="L4715" s="80" t="str">
        <f aca="false">IF(AND(J4715&lt;&gt;"",K4715&lt;&gt;""),J4715*K4715,"")</f>
        <v/>
      </c>
      <c r="M4715" s="81" t="str">
        <f aca="false">IF(L4715&lt;&gt;"",L4715*1.1,"")</f>
        <v/>
      </c>
      <c r="N4715" s="47" t="n">
        <f aca="false">IF(F4715="S",L4715*0.02,0)</f>
        <v>0</v>
      </c>
      <c r="O4715" s="82" t="str">
        <f aca="false">IF(L4715&lt;&gt;"",L4715+N4715,"")</f>
        <v/>
      </c>
      <c r="P4715" s="47" t="str">
        <f aca="false">IF(O4715&lt;&gt;"",O4715*0.1,"")</f>
        <v/>
      </c>
      <c r="Q4715" s="83" t="str">
        <f aca="false">IF(O4715&lt;&gt;"",O4715+P4715,"")</f>
        <v/>
      </c>
      <c r="R4715" s="84"/>
    </row>
    <row r="4716" customFormat="false" ht="15" hidden="false" customHeight="true" outlineLevel="0" collapsed="false">
      <c r="A4716" s="103"/>
      <c r="B4716" s="73"/>
      <c r="C4716" s="74"/>
      <c r="D4716" s="75"/>
      <c r="E4716" s="52" t="str">
        <f aca="false">IF(D4716&lt;&gt;"",IFERROR(VLOOKUP(D4716,PROVEEDORES!$A:$B,2,0),"!COD NO ENCONTRADO"),"")</f>
        <v/>
      </c>
      <c r="F4716" s="76" t="str">
        <f aca="false">IF(D4716&lt;&gt;"",IFERROR(VLOOKUP(D4716,PROVEEDORES!$A:$C,3,0),""),"")</f>
        <v/>
      </c>
      <c r="G4716" s="75"/>
      <c r="H4716" s="52" t="str">
        <f aca="false">IF(G4716&lt;&gt;"",IFERROR(VLOOKUP(G4716,PRODUCTOS!$A:$B,2,0),"!COD NO ENCONTRADO"),"")</f>
        <v/>
      </c>
      <c r="I4716" s="77"/>
      <c r="J4716" s="78"/>
      <c r="K4716" s="79"/>
      <c r="L4716" s="80" t="str">
        <f aca="false">IF(AND(J4716&lt;&gt;"",K4716&lt;&gt;""),J4716*K4716,"")</f>
        <v/>
      </c>
      <c r="M4716" s="81" t="str">
        <f aca="false">IF(L4716&lt;&gt;"",L4716*1.1,"")</f>
        <v/>
      </c>
      <c r="N4716" s="53" t="n">
        <f aca="false">IF(F4716="S",L4716*0.02,0)</f>
        <v>0</v>
      </c>
      <c r="O4716" s="82" t="str">
        <f aca="false">IF(L4716&lt;&gt;"",L4716+N4716,"")</f>
        <v/>
      </c>
      <c r="P4716" s="53" t="str">
        <f aca="false">IF(O4716&lt;&gt;"",O4716*0.1,"")</f>
        <v/>
      </c>
      <c r="Q4716" s="83" t="str">
        <f aca="false">IF(O4716&lt;&gt;"",O4716+P4716,"")</f>
        <v/>
      </c>
      <c r="R4716" s="84"/>
    </row>
    <row r="4717" customFormat="false" ht="15" hidden="false" customHeight="true" outlineLevel="0" collapsed="false">
      <c r="A4717" s="103"/>
      <c r="B4717" s="85"/>
      <c r="C4717" s="86"/>
      <c r="D4717" s="87"/>
      <c r="E4717" s="46" t="str">
        <f aca="false">IF(D4717&lt;&gt;"",IFERROR(VLOOKUP(D4717,PROVEEDORES!$A:$B,2,0),"!COD NO ENCONTRADO"),"")</f>
        <v/>
      </c>
      <c r="F4717" s="88" t="str">
        <f aca="false">IF(D4717&lt;&gt;"",IFERROR(VLOOKUP(D4717,PROVEEDORES!$A:$C,3,0),""),"")</f>
        <v/>
      </c>
      <c r="G4717" s="87"/>
      <c r="H4717" s="46" t="str">
        <f aca="false">IF(G4717&lt;&gt;"",IFERROR(VLOOKUP(G4717,PRODUCTOS!$A:$B,2,0),"!COD NO ENCONTRADO"),"")</f>
        <v/>
      </c>
      <c r="I4717" s="89"/>
      <c r="J4717" s="90"/>
      <c r="K4717" s="91"/>
      <c r="L4717" s="80" t="str">
        <f aca="false">IF(AND(J4717&lt;&gt;"",K4717&lt;&gt;""),J4717*K4717,"")</f>
        <v/>
      </c>
      <c r="M4717" s="81" t="str">
        <f aca="false">IF(L4717&lt;&gt;"",L4717*1.1,"")</f>
        <v/>
      </c>
      <c r="N4717" s="47" t="n">
        <f aca="false">IF(F4717="S",L4717*0.02,0)</f>
        <v>0</v>
      </c>
      <c r="O4717" s="82" t="str">
        <f aca="false">IF(L4717&lt;&gt;"",L4717+N4717,"")</f>
        <v/>
      </c>
      <c r="P4717" s="47" t="str">
        <f aca="false">IF(O4717&lt;&gt;"",O4717*0.1,"")</f>
        <v/>
      </c>
      <c r="Q4717" s="83" t="str">
        <f aca="false">IF(O4717&lt;&gt;"",O4717+P4717,"")</f>
        <v/>
      </c>
      <c r="R4717" s="84"/>
    </row>
    <row r="4718" customFormat="false" ht="15" hidden="false" customHeight="true" outlineLevel="0" collapsed="false">
      <c r="A4718" s="103"/>
      <c r="B4718" s="73"/>
      <c r="C4718" s="74"/>
      <c r="D4718" s="75"/>
      <c r="E4718" s="52" t="str">
        <f aca="false">IF(D4718&lt;&gt;"",IFERROR(VLOOKUP(D4718,PROVEEDORES!$A:$B,2,0),"!COD NO ENCONTRADO"),"")</f>
        <v/>
      </c>
      <c r="F4718" s="76" t="str">
        <f aca="false">IF(D4718&lt;&gt;"",IFERROR(VLOOKUP(D4718,PROVEEDORES!$A:$C,3,0),""),"")</f>
        <v/>
      </c>
      <c r="G4718" s="75"/>
      <c r="H4718" s="52" t="str">
        <f aca="false">IF(G4718&lt;&gt;"",IFERROR(VLOOKUP(G4718,PRODUCTOS!$A:$B,2,0),"!COD NO ENCONTRADO"),"")</f>
        <v/>
      </c>
      <c r="I4718" s="77"/>
      <c r="J4718" s="78"/>
      <c r="K4718" s="79"/>
      <c r="L4718" s="80" t="str">
        <f aca="false">IF(AND(J4718&lt;&gt;"",K4718&lt;&gt;""),J4718*K4718,"")</f>
        <v/>
      </c>
      <c r="M4718" s="81" t="str">
        <f aca="false">IF(L4718&lt;&gt;"",L4718*1.1,"")</f>
        <v/>
      </c>
      <c r="N4718" s="53" t="n">
        <f aca="false">IF(F4718="S",L4718*0.02,0)</f>
        <v>0</v>
      </c>
      <c r="O4718" s="82" t="str">
        <f aca="false">IF(L4718&lt;&gt;"",L4718+N4718,"")</f>
        <v/>
      </c>
      <c r="P4718" s="53" t="str">
        <f aca="false">IF(O4718&lt;&gt;"",O4718*0.1,"")</f>
        <v/>
      </c>
      <c r="Q4718" s="83" t="str">
        <f aca="false">IF(O4718&lt;&gt;"",O4718+P4718,"")</f>
        <v/>
      </c>
      <c r="R4718" s="84"/>
    </row>
    <row r="4719" customFormat="false" ht="15" hidden="false" customHeight="true" outlineLevel="0" collapsed="false">
      <c r="A4719" s="103"/>
      <c r="B4719" s="85"/>
      <c r="C4719" s="86"/>
      <c r="D4719" s="87"/>
      <c r="E4719" s="46" t="str">
        <f aca="false">IF(D4719&lt;&gt;"",IFERROR(VLOOKUP(D4719,PROVEEDORES!$A:$B,2,0),"!COD NO ENCONTRADO"),"")</f>
        <v/>
      </c>
      <c r="F4719" s="88" t="str">
        <f aca="false">IF(D4719&lt;&gt;"",IFERROR(VLOOKUP(D4719,PROVEEDORES!$A:$C,3,0),""),"")</f>
        <v/>
      </c>
      <c r="G4719" s="87"/>
      <c r="H4719" s="46" t="str">
        <f aca="false">IF(G4719&lt;&gt;"",IFERROR(VLOOKUP(G4719,PRODUCTOS!$A:$B,2,0),"!COD NO ENCONTRADO"),"")</f>
        <v/>
      </c>
      <c r="I4719" s="89"/>
      <c r="J4719" s="90"/>
      <c r="K4719" s="91"/>
      <c r="L4719" s="80" t="str">
        <f aca="false">IF(AND(J4719&lt;&gt;"",K4719&lt;&gt;""),J4719*K4719,"")</f>
        <v/>
      </c>
      <c r="M4719" s="81" t="str">
        <f aca="false">IF(L4719&lt;&gt;"",L4719*1.1,"")</f>
        <v/>
      </c>
      <c r="N4719" s="47" t="n">
        <f aca="false">IF(F4719="S",L4719*0.02,0)</f>
        <v>0</v>
      </c>
      <c r="O4719" s="82" t="str">
        <f aca="false">IF(L4719&lt;&gt;"",L4719+N4719,"")</f>
        <v/>
      </c>
      <c r="P4719" s="47" t="str">
        <f aca="false">IF(O4719&lt;&gt;"",O4719*0.1,"")</f>
        <v/>
      </c>
      <c r="Q4719" s="83" t="str">
        <f aca="false">IF(O4719&lt;&gt;"",O4719+P4719,"")</f>
        <v/>
      </c>
      <c r="R4719" s="84"/>
    </row>
    <row r="4720" customFormat="false" ht="15" hidden="false" customHeight="true" outlineLevel="0" collapsed="false">
      <c r="A4720" s="103"/>
      <c r="B4720" s="73"/>
      <c r="C4720" s="74"/>
      <c r="D4720" s="75"/>
      <c r="E4720" s="52" t="str">
        <f aca="false">IF(D4720&lt;&gt;"",IFERROR(VLOOKUP(D4720,PROVEEDORES!$A:$B,2,0),"!COD NO ENCONTRADO"),"")</f>
        <v/>
      </c>
      <c r="F4720" s="76" t="str">
        <f aca="false">IF(D4720&lt;&gt;"",IFERROR(VLOOKUP(D4720,PROVEEDORES!$A:$C,3,0),""),"")</f>
        <v/>
      </c>
      <c r="G4720" s="75"/>
      <c r="H4720" s="52" t="str">
        <f aca="false">IF(G4720&lt;&gt;"",IFERROR(VLOOKUP(G4720,PRODUCTOS!$A:$B,2,0),"!COD NO ENCONTRADO"),"")</f>
        <v/>
      </c>
      <c r="I4720" s="77"/>
      <c r="J4720" s="78"/>
      <c r="K4720" s="79"/>
      <c r="L4720" s="80" t="str">
        <f aca="false">IF(AND(J4720&lt;&gt;"",K4720&lt;&gt;""),J4720*K4720,"")</f>
        <v/>
      </c>
      <c r="M4720" s="81" t="str">
        <f aca="false">IF(L4720&lt;&gt;"",L4720*1.1,"")</f>
        <v/>
      </c>
      <c r="N4720" s="53" t="n">
        <f aca="false">IF(F4720="S",L4720*0.02,0)</f>
        <v>0</v>
      </c>
      <c r="O4720" s="82" t="str">
        <f aca="false">IF(L4720&lt;&gt;"",L4720+N4720,"")</f>
        <v/>
      </c>
      <c r="P4720" s="53" t="str">
        <f aca="false">IF(O4720&lt;&gt;"",O4720*0.1,"")</f>
        <v/>
      </c>
      <c r="Q4720" s="83" t="str">
        <f aca="false">IF(O4720&lt;&gt;"",O4720+P4720,"")</f>
        <v/>
      </c>
      <c r="R4720" s="84"/>
    </row>
    <row r="4721" customFormat="false" ht="15" hidden="false" customHeight="true" outlineLevel="0" collapsed="false">
      <c r="A4721" s="103"/>
      <c r="B4721" s="85"/>
      <c r="C4721" s="86"/>
      <c r="D4721" s="87"/>
      <c r="E4721" s="46" t="str">
        <f aca="false">IF(D4721&lt;&gt;"",IFERROR(VLOOKUP(D4721,PROVEEDORES!$A:$B,2,0),"!COD NO ENCONTRADO"),"")</f>
        <v/>
      </c>
      <c r="F4721" s="88" t="str">
        <f aca="false">IF(D4721&lt;&gt;"",IFERROR(VLOOKUP(D4721,PROVEEDORES!$A:$C,3,0),""),"")</f>
        <v/>
      </c>
      <c r="G4721" s="87"/>
      <c r="H4721" s="46" t="str">
        <f aca="false">IF(G4721&lt;&gt;"",IFERROR(VLOOKUP(G4721,PRODUCTOS!$A:$B,2,0),"!COD NO ENCONTRADO"),"")</f>
        <v/>
      </c>
      <c r="I4721" s="89"/>
      <c r="J4721" s="90"/>
      <c r="K4721" s="91"/>
      <c r="L4721" s="80" t="str">
        <f aca="false">IF(AND(J4721&lt;&gt;"",K4721&lt;&gt;""),J4721*K4721,"")</f>
        <v/>
      </c>
      <c r="M4721" s="81" t="str">
        <f aca="false">IF(L4721&lt;&gt;"",L4721*1.1,"")</f>
        <v/>
      </c>
      <c r="N4721" s="47" t="n">
        <f aca="false">IF(F4721="S",L4721*0.02,0)</f>
        <v>0</v>
      </c>
      <c r="O4721" s="82" t="str">
        <f aca="false">IF(L4721&lt;&gt;"",L4721+N4721,"")</f>
        <v/>
      </c>
      <c r="P4721" s="47" t="str">
        <f aca="false">IF(O4721&lt;&gt;"",O4721*0.1,"")</f>
        <v/>
      </c>
      <c r="Q4721" s="83" t="str">
        <f aca="false">IF(O4721&lt;&gt;"",O4721+P4721,"")</f>
        <v/>
      </c>
      <c r="R4721" s="84"/>
    </row>
    <row r="4722" customFormat="false" ht="15" hidden="false" customHeight="true" outlineLevel="0" collapsed="false">
      <c r="A4722" s="103"/>
      <c r="B4722" s="73"/>
      <c r="C4722" s="74"/>
      <c r="D4722" s="75"/>
      <c r="E4722" s="52" t="str">
        <f aca="false">IF(D4722&lt;&gt;"",IFERROR(VLOOKUP(D4722,PROVEEDORES!$A:$B,2,0),"!COD NO ENCONTRADO"),"")</f>
        <v/>
      </c>
      <c r="F4722" s="76" t="str">
        <f aca="false">IF(D4722&lt;&gt;"",IFERROR(VLOOKUP(D4722,PROVEEDORES!$A:$C,3,0),""),"")</f>
        <v/>
      </c>
      <c r="G4722" s="75"/>
      <c r="H4722" s="52" t="str">
        <f aca="false">IF(G4722&lt;&gt;"",IFERROR(VLOOKUP(G4722,PRODUCTOS!$A:$B,2,0),"!COD NO ENCONTRADO"),"")</f>
        <v/>
      </c>
      <c r="I4722" s="77"/>
      <c r="J4722" s="78"/>
      <c r="K4722" s="79"/>
      <c r="L4722" s="80" t="str">
        <f aca="false">IF(AND(J4722&lt;&gt;"",K4722&lt;&gt;""),J4722*K4722,"")</f>
        <v/>
      </c>
      <c r="M4722" s="81" t="str">
        <f aca="false">IF(L4722&lt;&gt;"",L4722*1.1,"")</f>
        <v/>
      </c>
      <c r="N4722" s="53" t="n">
        <f aca="false">IF(F4722="S",L4722*0.02,0)</f>
        <v>0</v>
      </c>
      <c r="O4722" s="82" t="str">
        <f aca="false">IF(L4722&lt;&gt;"",L4722+N4722,"")</f>
        <v/>
      </c>
      <c r="P4722" s="53" t="str">
        <f aca="false">IF(O4722&lt;&gt;"",O4722*0.1,"")</f>
        <v/>
      </c>
      <c r="Q4722" s="83" t="str">
        <f aca="false">IF(O4722&lt;&gt;"",O4722+P4722,"")</f>
        <v/>
      </c>
      <c r="R4722" s="84"/>
    </row>
    <row r="4723" customFormat="false" ht="15" hidden="false" customHeight="true" outlineLevel="0" collapsed="false">
      <c r="A4723" s="103"/>
      <c r="B4723" s="85"/>
      <c r="C4723" s="86"/>
      <c r="D4723" s="87"/>
      <c r="E4723" s="46" t="str">
        <f aca="false">IF(D4723&lt;&gt;"",IFERROR(VLOOKUP(D4723,PROVEEDORES!$A:$B,2,0),"!COD NO ENCONTRADO"),"")</f>
        <v/>
      </c>
      <c r="F4723" s="88" t="str">
        <f aca="false">IF(D4723&lt;&gt;"",IFERROR(VLOOKUP(D4723,PROVEEDORES!$A:$C,3,0),""),"")</f>
        <v/>
      </c>
      <c r="G4723" s="87"/>
      <c r="H4723" s="46" t="str">
        <f aca="false">IF(G4723&lt;&gt;"",IFERROR(VLOOKUP(G4723,PRODUCTOS!$A:$B,2,0),"!COD NO ENCONTRADO"),"")</f>
        <v/>
      </c>
      <c r="I4723" s="89"/>
      <c r="J4723" s="90"/>
      <c r="K4723" s="91"/>
      <c r="L4723" s="80" t="str">
        <f aca="false">IF(AND(J4723&lt;&gt;"",K4723&lt;&gt;""),J4723*K4723,"")</f>
        <v/>
      </c>
      <c r="M4723" s="81" t="str">
        <f aca="false">IF(L4723&lt;&gt;"",L4723*1.1,"")</f>
        <v/>
      </c>
      <c r="N4723" s="47" t="n">
        <f aca="false">IF(F4723="S",L4723*0.02,0)</f>
        <v>0</v>
      </c>
      <c r="O4723" s="82" t="str">
        <f aca="false">IF(L4723&lt;&gt;"",L4723+N4723,"")</f>
        <v/>
      </c>
      <c r="P4723" s="47" t="str">
        <f aca="false">IF(O4723&lt;&gt;"",O4723*0.1,"")</f>
        <v/>
      </c>
      <c r="Q4723" s="83" t="str">
        <f aca="false">IF(O4723&lt;&gt;"",O4723+P4723,"")</f>
        <v/>
      </c>
      <c r="R4723" s="84"/>
    </row>
    <row r="4724" customFormat="false" ht="15" hidden="false" customHeight="true" outlineLevel="0" collapsed="false">
      <c r="A4724" s="103"/>
      <c r="B4724" s="73"/>
      <c r="C4724" s="74"/>
      <c r="D4724" s="75"/>
      <c r="E4724" s="52" t="str">
        <f aca="false">IF(D4724&lt;&gt;"",IFERROR(VLOOKUP(D4724,PROVEEDORES!$A:$B,2,0),"!COD NO ENCONTRADO"),"")</f>
        <v/>
      </c>
      <c r="F4724" s="76" t="str">
        <f aca="false">IF(D4724&lt;&gt;"",IFERROR(VLOOKUP(D4724,PROVEEDORES!$A:$C,3,0),""),"")</f>
        <v/>
      </c>
      <c r="G4724" s="75"/>
      <c r="H4724" s="52" t="str">
        <f aca="false">IF(G4724&lt;&gt;"",IFERROR(VLOOKUP(G4724,PRODUCTOS!$A:$B,2,0),"!COD NO ENCONTRADO"),"")</f>
        <v/>
      </c>
      <c r="I4724" s="77"/>
      <c r="J4724" s="78"/>
      <c r="K4724" s="79"/>
      <c r="L4724" s="80" t="str">
        <f aca="false">IF(AND(J4724&lt;&gt;"",K4724&lt;&gt;""),J4724*K4724,"")</f>
        <v/>
      </c>
      <c r="M4724" s="81" t="str">
        <f aca="false">IF(L4724&lt;&gt;"",L4724*1.1,"")</f>
        <v/>
      </c>
      <c r="N4724" s="53" t="n">
        <f aca="false">IF(F4724="S",L4724*0.02,0)</f>
        <v>0</v>
      </c>
      <c r="O4724" s="82" t="str">
        <f aca="false">IF(L4724&lt;&gt;"",L4724+N4724,"")</f>
        <v/>
      </c>
      <c r="P4724" s="53" t="str">
        <f aca="false">IF(O4724&lt;&gt;"",O4724*0.1,"")</f>
        <v/>
      </c>
      <c r="Q4724" s="83" t="str">
        <f aca="false">IF(O4724&lt;&gt;"",O4724+P4724,"")</f>
        <v/>
      </c>
      <c r="R4724" s="84"/>
    </row>
    <row r="4725" customFormat="false" ht="15" hidden="false" customHeight="true" outlineLevel="0" collapsed="false">
      <c r="A4725" s="103"/>
      <c r="B4725" s="85"/>
      <c r="C4725" s="86"/>
      <c r="D4725" s="87"/>
      <c r="E4725" s="46" t="str">
        <f aca="false">IF(D4725&lt;&gt;"",IFERROR(VLOOKUP(D4725,PROVEEDORES!$A:$B,2,0),"!COD NO ENCONTRADO"),"")</f>
        <v/>
      </c>
      <c r="F4725" s="88" t="str">
        <f aca="false">IF(D4725&lt;&gt;"",IFERROR(VLOOKUP(D4725,PROVEEDORES!$A:$C,3,0),""),"")</f>
        <v/>
      </c>
      <c r="G4725" s="87"/>
      <c r="H4725" s="46" t="str">
        <f aca="false">IF(G4725&lt;&gt;"",IFERROR(VLOOKUP(G4725,PRODUCTOS!$A:$B,2,0),"!COD NO ENCONTRADO"),"")</f>
        <v/>
      </c>
      <c r="I4725" s="89"/>
      <c r="J4725" s="90"/>
      <c r="K4725" s="91"/>
      <c r="L4725" s="80" t="str">
        <f aca="false">IF(AND(J4725&lt;&gt;"",K4725&lt;&gt;""),J4725*K4725,"")</f>
        <v/>
      </c>
      <c r="M4725" s="81" t="str">
        <f aca="false">IF(L4725&lt;&gt;"",L4725*1.1,"")</f>
        <v/>
      </c>
      <c r="N4725" s="47" t="n">
        <f aca="false">IF(F4725="S",L4725*0.02,0)</f>
        <v>0</v>
      </c>
      <c r="O4725" s="82" t="str">
        <f aca="false">IF(L4725&lt;&gt;"",L4725+N4725,"")</f>
        <v/>
      </c>
      <c r="P4725" s="47" t="str">
        <f aca="false">IF(O4725&lt;&gt;"",O4725*0.1,"")</f>
        <v/>
      </c>
      <c r="Q4725" s="83" t="str">
        <f aca="false">IF(O4725&lt;&gt;"",O4725+P4725,"")</f>
        <v/>
      </c>
      <c r="R4725" s="84"/>
    </row>
    <row r="4726" customFormat="false" ht="15" hidden="false" customHeight="true" outlineLevel="0" collapsed="false">
      <c r="A4726" s="103"/>
      <c r="B4726" s="73"/>
      <c r="C4726" s="74"/>
      <c r="D4726" s="75"/>
      <c r="E4726" s="52" t="str">
        <f aca="false">IF(D4726&lt;&gt;"",IFERROR(VLOOKUP(D4726,PROVEEDORES!$A:$B,2,0),"!COD NO ENCONTRADO"),"")</f>
        <v/>
      </c>
      <c r="F4726" s="76" t="str">
        <f aca="false">IF(D4726&lt;&gt;"",IFERROR(VLOOKUP(D4726,PROVEEDORES!$A:$C,3,0),""),"")</f>
        <v/>
      </c>
      <c r="G4726" s="75"/>
      <c r="H4726" s="52" t="str">
        <f aca="false">IF(G4726&lt;&gt;"",IFERROR(VLOOKUP(G4726,PRODUCTOS!$A:$B,2,0),"!COD NO ENCONTRADO"),"")</f>
        <v/>
      </c>
      <c r="I4726" s="77"/>
      <c r="J4726" s="78"/>
      <c r="K4726" s="79"/>
      <c r="L4726" s="80" t="str">
        <f aca="false">IF(AND(J4726&lt;&gt;"",K4726&lt;&gt;""),J4726*K4726,"")</f>
        <v/>
      </c>
      <c r="M4726" s="81" t="str">
        <f aca="false">IF(L4726&lt;&gt;"",L4726*1.1,"")</f>
        <v/>
      </c>
      <c r="N4726" s="53" t="n">
        <f aca="false">IF(F4726="S",L4726*0.02,0)</f>
        <v>0</v>
      </c>
      <c r="O4726" s="82" t="str">
        <f aca="false">IF(L4726&lt;&gt;"",L4726+N4726,"")</f>
        <v/>
      </c>
      <c r="P4726" s="53" t="str">
        <f aca="false">IF(O4726&lt;&gt;"",O4726*0.1,"")</f>
        <v/>
      </c>
      <c r="Q4726" s="83" t="str">
        <f aca="false">IF(O4726&lt;&gt;"",O4726+P4726,"")</f>
        <v/>
      </c>
      <c r="R4726" s="84"/>
    </row>
    <row r="4727" customFormat="false" ht="15" hidden="false" customHeight="true" outlineLevel="0" collapsed="false">
      <c r="A4727" s="103"/>
      <c r="B4727" s="85"/>
      <c r="C4727" s="86"/>
      <c r="D4727" s="87"/>
      <c r="E4727" s="46" t="str">
        <f aca="false">IF(D4727&lt;&gt;"",IFERROR(VLOOKUP(D4727,PROVEEDORES!$A:$B,2,0),"!COD NO ENCONTRADO"),"")</f>
        <v/>
      </c>
      <c r="F4727" s="88" t="str">
        <f aca="false">IF(D4727&lt;&gt;"",IFERROR(VLOOKUP(D4727,PROVEEDORES!$A:$C,3,0),""),"")</f>
        <v/>
      </c>
      <c r="G4727" s="87"/>
      <c r="H4727" s="46" t="str">
        <f aca="false">IF(G4727&lt;&gt;"",IFERROR(VLOOKUP(G4727,PRODUCTOS!$A:$B,2,0),"!COD NO ENCONTRADO"),"")</f>
        <v/>
      </c>
      <c r="I4727" s="89"/>
      <c r="J4727" s="90"/>
      <c r="K4727" s="91"/>
      <c r="L4727" s="80" t="str">
        <f aca="false">IF(AND(J4727&lt;&gt;"",K4727&lt;&gt;""),J4727*K4727,"")</f>
        <v/>
      </c>
      <c r="M4727" s="81" t="str">
        <f aca="false">IF(L4727&lt;&gt;"",L4727*1.1,"")</f>
        <v/>
      </c>
      <c r="N4727" s="47" t="n">
        <f aca="false">IF(F4727="S",L4727*0.02,0)</f>
        <v>0</v>
      </c>
      <c r="O4727" s="82" t="str">
        <f aca="false">IF(L4727&lt;&gt;"",L4727+N4727,"")</f>
        <v/>
      </c>
      <c r="P4727" s="47" t="str">
        <f aca="false">IF(O4727&lt;&gt;"",O4727*0.1,"")</f>
        <v/>
      </c>
      <c r="Q4727" s="83" t="str">
        <f aca="false">IF(O4727&lt;&gt;"",O4727+P4727,"")</f>
        <v/>
      </c>
      <c r="R4727" s="84"/>
    </row>
    <row r="4728" customFormat="false" ht="15" hidden="false" customHeight="true" outlineLevel="0" collapsed="false">
      <c r="A4728" s="103"/>
      <c r="B4728" s="73"/>
      <c r="C4728" s="74"/>
      <c r="D4728" s="75"/>
      <c r="E4728" s="52" t="str">
        <f aca="false">IF(D4728&lt;&gt;"",IFERROR(VLOOKUP(D4728,PROVEEDORES!$A:$B,2,0),"!COD NO ENCONTRADO"),"")</f>
        <v/>
      </c>
      <c r="F4728" s="76" t="str">
        <f aca="false">IF(D4728&lt;&gt;"",IFERROR(VLOOKUP(D4728,PROVEEDORES!$A:$C,3,0),""),"")</f>
        <v/>
      </c>
      <c r="G4728" s="75"/>
      <c r="H4728" s="52" t="str">
        <f aca="false">IF(G4728&lt;&gt;"",IFERROR(VLOOKUP(G4728,PRODUCTOS!$A:$B,2,0),"!COD NO ENCONTRADO"),"")</f>
        <v/>
      </c>
      <c r="I4728" s="77"/>
      <c r="J4728" s="78"/>
      <c r="K4728" s="79"/>
      <c r="L4728" s="80" t="str">
        <f aca="false">IF(AND(J4728&lt;&gt;"",K4728&lt;&gt;""),J4728*K4728,"")</f>
        <v/>
      </c>
      <c r="M4728" s="81" t="str">
        <f aca="false">IF(L4728&lt;&gt;"",L4728*1.1,"")</f>
        <v/>
      </c>
      <c r="N4728" s="53" t="n">
        <f aca="false">IF(F4728="S",L4728*0.02,0)</f>
        <v>0</v>
      </c>
      <c r="O4728" s="82" t="str">
        <f aca="false">IF(L4728&lt;&gt;"",L4728+N4728,"")</f>
        <v/>
      </c>
      <c r="P4728" s="53" t="str">
        <f aca="false">IF(O4728&lt;&gt;"",O4728*0.1,"")</f>
        <v/>
      </c>
      <c r="Q4728" s="83" t="str">
        <f aca="false">IF(O4728&lt;&gt;"",O4728+P4728,"")</f>
        <v/>
      </c>
      <c r="R4728" s="84"/>
    </row>
    <row r="4729" customFormat="false" ht="15" hidden="false" customHeight="true" outlineLevel="0" collapsed="false">
      <c r="A4729" s="103"/>
      <c r="B4729" s="85"/>
      <c r="C4729" s="86"/>
      <c r="D4729" s="87"/>
      <c r="E4729" s="46" t="str">
        <f aca="false">IF(D4729&lt;&gt;"",IFERROR(VLOOKUP(D4729,PROVEEDORES!$A:$B,2,0),"!COD NO ENCONTRADO"),"")</f>
        <v/>
      </c>
      <c r="F4729" s="88" t="str">
        <f aca="false">IF(D4729&lt;&gt;"",IFERROR(VLOOKUP(D4729,PROVEEDORES!$A:$C,3,0),""),"")</f>
        <v/>
      </c>
      <c r="G4729" s="87"/>
      <c r="H4729" s="46" t="str">
        <f aca="false">IF(G4729&lt;&gt;"",IFERROR(VLOOKUP(G4729,PRODUCTOS!$A:$B,2,0),"!COD NO ENCONTRADO"),"")</f>
        <v/>
      </c>
      <c r="I4729" s="89"/>
      <c r="J4729" s="90"/>
      <c r="K4729" s="91"/>
      <c r="L4729" s="80" t="str">
        <f aca="false">IF(AND(J4729&lt;&gt;"",K4729&lt;&gt;""),J4729*K4729,"")</f>
        <v/>
      </c>
      <c r="M4729" s="81" t="str">
        <f aca="false">IF(L4729&lt;&gt;"",L4729*1.1,"")</f>
        <v/>
      </c>
      <c r="N4729" s="47" t="n">
        <f aca="false">IF(F4729="S",L4729*0.02,0)</f>
        <v>0</v>
      </c>
      <c r="O4729" s="82" t="str">
        <f aca="false">IF(L4729&lt;&gt;"",L4729+N4729,"")</f>
        <v/>
      </c>
      <c r="P4729" s="47" t="str">
        <f aca="false">IF(O4729&lt;&gt;"",O4729*0.1,"")</f>
        <v/>
      </c>
      <c r="Q4729" s="83" t="str">
        <f aca="false">IF(O4729&lt;&gt;"",O4729+P4729,"")</f>
        <v/>
      </c>
      <c r="R4729" s="84"/>
    </row>
    <row r="4730" customFormat="false" ht="15" hidden="false" customHeight="true" outlineLevel="0" collapsed="false">
      <c r="A4730" s="103"/>
      <c r="B4730" s="73"/>
      <c r="C4730" s="74"/>
      <c r="D4730" s="75"/>
      <c r="E4730" s="52" t="str">
        <f aca="false">IF(D4730&lt;&gt;"",IFERROR(VLOOKUP(D4730,PROVEEDORES!$A:$B,2,0),"!COD NO ENCONTRADO"),"")</f>
        <v/>
      </c>
      <c r="F4730" s="76" t="str">
        <f aca="false">IF(D4730&lt;&gt;"",IFERROR(VLOOKUP(D4730,PROVEEDORES!$A:$C,3,0),""),"")</f>
        <v/>
      </c>
      <c r="G4730" s="75"/>
      <c r="H4730" s="52" t="str">
        <f aca="false">IF(G4730&lt;&gt;"",IFERROR(VLOOKUP(G4730,PRODUCTOS!$A:$B,2,0),"!COD NO ENCONTRADO"),"")</f>
        <v/>
      </c>
      <c r="I4730" s="77"/>
      <c r="J4730" s="78"/>
      <c r="K4730" s="79"/>
      <c r="L4730" s="80" t="str">
        <f aca="false">IF(AND(J4730&lt;&gt;"",K4730&lt;&gt;""),J4730*K4730,"")</f>
        <v/>
      </c>
      <c r="M4730" s="81" t="str">
        <f aca="false">IF(L4730&lt;&gt;"",L4730*1.1,"")</f>
        <v/>
      </c>
      <c r="N4730" s="53" t="n">
        <f aca="false">IF(F4730="S",L4730*0.02,0)</f>
        <v>0</v>
      </c>
      <c r="O4730" s="82" t="str">
        <f aca="false">IF(L4730&lt;&gt;"",L4730+N4730,"")</f>
        <v/>
      </c>
      <c r="P4730" s="53" t="str">
        <f aca="false">IF(O4730&lt;&gt;"",O4730*0.1,"")</f>
        <v/>
      </c>
      <c r="Q4730" s="83" t="str">
        <f aca="false">IF(O4730&lt;&gt;"",O4730+P4730,"")</f>
        <v/>
      </c>
      <c r="R4730" s="84"/>
    </row>
    <row r="4731" customFormat="false" ht="15" hidden="false" customHeight="true" outlineLevel="0" collapsed="false">
      <c r="A4731" s="103"/>
      <c r="B4731" s="85"/>
      <c r="C4731" s="86"/>
      <c r="D4731" s="87"/>
      <c r="E4731" s="46" t="str">
        <f aca="false">IF(D4731&lt;&gt;"",IFERROR(VLOOKUP(D4731,PROVEEDORES!$A:$B,2,0),"!COD NO ENCONTRADO"),"")</f>
        <v/>
      </c>
      <c r="F4731" s="88" t="str">
        <f aca="false">IF(D4731&lt;&gt;"",IFERROR(VLOOKUP(D4731,PROVEEDORES!$A:$C,3,0),""),"")</f>
        <v/>
      </c>
      <c r="G4731" s="87"/>
      <c r="H4731" s="46" t="str">
        <f aca="false">IF(G4731&lt;&gt;"",IFERROR(VLOOKUP(G4731,PRODUCTOS!$A:$B,2,0),"!COD NO ENCONTRADO"),"")</f>
        <v/>
      </c>
      <c r="I4731" s="89"/>
      <c r="J4731" s="90"/>
      <c r="K4731" s="91"/>
      <c r="L4731" s="80" t="str">
        <f aca="false">IF(AND(J4731&lt;&gt;"",K4731&lt;&gt;""),J4731*K4731,"")</f>
        <v/>
      </c>
      <c r="M4731" s="81" t="str">
        <f aca="false">IF(L4731&lt;&gt;"",L4731*1.1,"")</f>
        <v/>
      </c>
      <c r="N4731" s="47" t="n">
        <f aca="false">IF(F4731="S",L4731*0.02,0)</f>
        <v>0</v>
      </c>
      <c r="O4731" s="82" t="str">
        <f aca="false">IF(L4731&lt;&gt;"",L4731+N4731,"")</f>
        <v/>
      </c>
      <c r="P4731" s="47" t="str">
        <f aca="false">IF(O4731&lt;&gt;"",O4731*0.1,"")</f>
        <v/>
      </c>
      <c r="Q4731" s="83" t="str">
        <f aca="false">IF(O4731&lt;&gt;"",O4731+P4731,"")</f>
        <v/>
      </c>
      <c r="R4731" s="84"/>
    </row>
    <row r="4732" customFormat="false" ht="15" hidden="false" customHeight="true" outlineLevel="0" collapsed="false">
      <c r="A4732" s="103"/>
      <c r="B4732" s="73"/>
      <c r="C4732" s="74"/>
      <c r="D4732" s="75"/>
      <c r="E4732" s="52" t="str">
        <f aca="false">IF(D4732&lt;&gt;"",IFERROR(VLOOKUP(D4732,PROVEEDORES!$A:$B,2,0),"!COD NO ENCONTRADO"),"")</f>
        <v/>
      </c>
      <c r="F4732" s="76" t="str">
        <f aca="false">IF(D4732&lt;&gt;"",IFERROR(VLOOKUP(D4732,PROVEEDORES!$A:$C,3,0),""),"")</f>
        <v/>
      </c>
      <c r="G4732" s="75"/>
      <c r="H4732" s="52" t="str">
        <f aca="false">IF(G4732&lt;&gt;"",IFERROR(VLOOKUP(G4732,PRODUCTOS!$A:$B,2,0),"!COD NO ENCONTRADO"),"")</f>
        <v/>
      </c>
      <c r="I4732" s="77"/>
      <c r="J4732" s="78"/>
      <c r="K4732" s="79"/>
      <c r="L4732" s="80" t="str">
        <f aca="false">IF(AND(J4732&lt;&gt;"",K4732&lt;&gt;""),J4732*K4732,"")</f>
        <v/>
      </c>
      <c r="M4732" s="81" t="str">
        <f aca="false">IF(L4732&lt;&gt;"",L4732*1.1,"")</f>
        <v/>
      </c>
      <c r="N4732" s="53" t="n">
        <f aca="false">IF(F4732="S",L4732*0.02,0)</f>
        <v>0</v>
      </c>
      <c r="O4732" s="82" t="str">
        <f aca="false">IF(L4732&lt;&gt;"",L4732+N4732,"")</f>
        <v/>
      </c>
      <c r="P4732" s="53" t="str">
        <f aca="false">IF(O4732&lt;&gt;"",O4732*0.1,"")</f>
        <v/>
      </c>
      <c r="Q4732" s="83" t="str">
        <f aca="false">IF(O4732&lt;&gt;"",O4732+P4732,"")</f>
        <v/>
      </c>
      <c r="R4732" s="84"/>
    </row>
    <row r="4733" customFormat="false" ht="15" hidden="false" customHeight="true" outlineLevel="0" collapsed="false">
      <c r="A4733" s="103"/>
      <c r="B4733" s="85"/>
      <c r="C4733" s="86"/>
      <c r="D4733" s="87"/>
      <c r="E4733" s="46" t="str">
        <f aca="false">IF(D4733&lt;&gt;"",IFERROR(VLOOKUP(D4733,PROVEEDORES!$A:$B,2,0),"!COD NO ENCONTRADO"),"")</f>
        <v/>
      </c>
      <c r="F4733" s="88" t="str">
        <f aca="false">IF(D4733&lt;&gt;"",IFERROR(VLOOKUP(D4733,PROVEEDORES!$A:$C,3,0),""),"")</f>
        <v/>
      </c>
      <c r="G4733" s="87"/>
      <c r="H4733" s="46" t="str">
        <f aca="false">IF(G4733&lt;&gt;"",IFERROR(VLOOKUP(G4733,PRODUCTOS!$A:$B,2,0),"!COD NO ENCONTRADO"),"")</f>
        <v/>
      </c>
      <c r="I4733" s="89"/>
      <c r="J4733" s="90"/>
      <c r="K4733" s="91"/>
      <c r="L4733" s="80" t="str">
        <f aca="false">IF(AND(J4733&lt;&gt;"",K4733&lt;&gt;""),J4733*K4733,"")</f>
        <v/>
      </c>
      <c r="M4733" s="81" t="str">
        <f aca="false">IF(L4733&lt;&gt;"",L4733*1.1,"")</f>
        <v/>
      </c>
      <c r="N4733" s="47" t="n">
        <f aca="false">IF(F4733="S",L4733*0.02,0)</f>
        <v>0</v>
      </c>
      <c r="O4733" s="82" t="str">
        <f aca="false">IF(L4733&lt;&gt;"",L4733+N4733,"")</f>
        <v/>
      </c>
      <c r="P4733" s="47" t="str">
        <f aca="false">IF(O4733&lt;&gt;"",O4733*0.1,"")</f>
        <v/>
      </c>
      <c r="Q4733" s="83" t="str">
        <f aca="false">IF(O4733&lt;&gt;"",O4733+P4733,"")</f>
        <v/>
      </c>
      <c r="R4733" s="84"/>
    </row>
    <row r="4734" customFormat="false" ht="15" hidden="false" customHeight="true" outlineLevel="0" collapsed="false">
      <c r="A4734" s="103"/>
      <c r="B4734" s="73"/>
      <c r="C4734" s="74"/>
      <c r="D4734" s="75"/>
      <c r="E4734" s="52" t="str">
        <f aca="false">IF(D4734&lt;&gt;"",IFERROR(VLOOKUP(D4734,PROVEEDORES!$A:$B,2,0),"!COD NO ENCONTRADO"),"")</f>
        <v/>
      </c>
      <c r="F4734" s="76" t="str">
        <f aca="false">IF(D4734&lt;&gt;"",IFERROR(VLOOKUP(D4734,PROVEEDORES!$A:$C,3,0),""),"")</f>
        <v/>
      </c>
      <c r="G4734" s="75"/>
      <c r="H4734" s="52" t="str">
        <f aca="false">IF(G4734&lt;&gt;"",IFERROR(VLOOKUP(G4734,PRODUCTOS!$A:$B,2,0),"!COD NO ENCONTRADO"),"")</f>
        <v/>
      </c>
      <c r="I4734" s="77"/>
      <c r="J4734" s="78"/>
      <c r="K4734" s="79"/>
      <c r="L4734" s="80" t="str">
        <f aca="false">IF(AND(J4734&lt;&gt;"",K4734&lt;&gt;""),J4734*K4734,"")</f>
        <v/>
      </c>
      <c r="M4734" s="81" t="str">
        <f aca="false">IF(L4734&lt;&gt;"",L4734*1.1,"")</f>
        <v/>
      </c>
      <c r="N4734" s="53" t="n">
        <f aca="false">IF(F4734="S",L4734*0.02,0)</f>
        <v>0</v>
      </c>
      <c r="O4734" s="82" t="str">
        <f aca="false">IF(L4734&lt;&gt;"",L4734+N4734,"")</f>
        <v/>
      </c>
      <c r="P4734" s="53" t="str">
        <f aca="false">IF(O4734&lt;&gt;"",O4734*0.1,"")</f>
        <v/>
      </c>
      <c r="Q4734" s="83" t="str">
        <f aca="false">IF(O4734&lt;&gt;"",O4734+P4734,"")</f>
        <v/>
      </c>
      <c r="R4734" s="84"/>
    </row>
    <row r="4735" customFormat="false" ht="15" hidden="false" customHeight="true" outlineLevel="0" collapsed="false">
      <c r="A4735" s="103"/>
      <c r="B4735" s="85"/>
      <c r="C4735" s="86"/>
      <c r="D4735" s="87"/>
      <c r="E4735" s="46" t="str">
        <f aca="false">IF(D4735&lt;&gt;"",IFERROR(VLOOKUP(D4735,PROVEEDORES!$A:$B,2,0),"!COD NO ENCONTRADO"),"")</f>
        <v/>
      </c>
      <c r="F4735" s="88" t="str">
        <f aca="false">IF(D4735&lt;&gt;"",IFERROR(VLOOKUP(D4735,PROVEEDORES!$A:$C,3,0),""),"")</f>
        <v/>
      </c>
      <c r="G4735" s="87"/>
      <c r="H4735" s="46" t="str">
        <f aca="false">IF(G4735&lt;&gt;"",IFERROR(VLOOKUP(G4735,PRODUCTOS!$A:$B,2,0),"!COD NO ENCONTRADO"),"")</f>
        <v/>
      </c>
      <c r="I4735" s="89"/>
      <c r="J4735" s="90"/>
      <c r="K4735" s="91"/>
      <c r="L4735" s="80" t="str">
        <f aca="false">IF(AND(J4735&lt;&gt;"",K4735&lt;&gt;""),J4735*K4735,"")</f>
        <v/>
      </c>
      <c r="M4735" s="81" t="str">
        <f aca="false">IF(L4735&lt;&gt;"",L4735*1.1,"")</f>
        <v/>
      </c>
      <c r="N4735" s="47" t="n">
        <f aca="false">IF(F4735="S",L4735*0.02,0)</f>
        <v>0</v>
      </c>
      <c r="O4735" s="82" t="str">
        <f aca="false">IF(L4735&lt;&gt;"",L4735+N4735,"")</f>
        <v/>
      </c>
      <c r="P4735" s="47" t="str">
        <f aca="false">IF(O4735&lt;&gt;"",O4735*0.1,"")</f>
        <v/>
      </c>
      <c r="Q4735" s="83" t="str">
        <f aca="false">IF(O4735&lt;&gt;"",O4735+P4735,"")</f>
        <v/>
      </c>
      <c r="R4735" s="84"/>
    </row>
    <row r="4736" customFormat="false" ht="15" hidden="false" customHeight="true" outlineLevel="0" collapsed="false">
      <c r="A4736" s="103"/>
      <c r="B4736" s="73"/>
      <c r="C4736" s="74"/>
      <c r="D4736" s="75"/>
      <c r="E4736" s="52" t="str">
        <f aca="false">IF(D4736&lt;&gt;"",IFERROR(VLOOKUP(D4736,PROVEEDORES!$A:$B,2,0),"!COD NO ENCONTRADO"),"")</f>
        <v/>
      </c>
      <c r="F4736" s="76" t="str">
        <f aca="false">IF(D4736&lt;&gt;"",IFERROR(VLOOKUP(D4736,PROVEEDORES!$A:$C,3,0),""),"")</f>
        <v/>
      </c>
      <c r="G4736" s="75"/>
      <c r="H4736" s="52" t="str">
        <f aca="false">IF(G4736&lt;&gt;"",IFERROR(VLOOKUP(G4736,PRODUCTOS!$A:$B,2,0),"!COD NO ENCONTRADO"),"")</f>
        <v/>
      </c>
      <c r="I4736" s="77"/>
      <c r="J4736" s="78"/>
      <c r="K4736" s="79"/>
      <c r="L4736" s="80" t="str">
        <f aca="false">IF(AND(J4736&lt;&gt;"",K4736&lt;&gt;""),J4736*K4736,"")</f>
        <v/>
      </c>
      <c r="M4736" s="81" t="str">
        <f aca="false">IF(L4736&lt;&gt;"",L4736*1.1,"")</f>
        <v/>
      </c>
      <c r="N4736" s="53" t="n">
        <f aca="false">IF(F4736="S",L4736*0.02,0)</f>
        <v>0</v>
      </c>
      <c r="O4736" s="82" t="str">
        <f aca="false">IF(L4736&lt;&gt;"",L4736+N4736,"")</f>
        <v/>
      </c>
      <c r="P4736" s="53" t="str">
        <f aca="false">IF(O4736&lt;&gt;"",O4736*0.1,"")</f>
        <v/>
      </c>
      <c r="Q4736" s="83" t="str">
        <f aca="false">IF(O4736&lt;&gt;"",O4736+P4736,"")</f>
        <v/>
      </c>
      <c r="R4736" s="84"/>
    </row>
    <row r="4737" customFormat="false" ht="15" hidden="false" customHeight="true" outlineLevel="0" collapsed="false">
      <c r="A4737" s="103"/>
      <c r="B4737" s="85"/>
      <c r="C4737" s="86"/>
      <c r="D4737" s="87"/>
      <c r="E4737" s="46" t="str">
        <f aca="false">IF(D4737&lt;&gt;"",IFERROR(VLOOKUP(D4737,PROVEEDORES!$A:$B,2,0),"!COD NO ENCONTRADO"),"")</f>
        <v/>
      </c>
      <c r="F4737" s="88" t="str">
        <f aca="false">IF(D4737&lt;&gt;"",IFERROR(VLOOKUP(D4737,PROVEEDORES!$A:$C,3,0),""),"")</f>
        <v/>
      </c>
      <c r="G4737" s="87"/>
      <c r="H4737" s="46" t="str">
        <f aca="false">IF(G4737&lt;&gt;"",IFERROR(VLOOKUP(G4737,PRODUCTOS!$A:$B,2,0),"!COD NO ENCONTRADO"),"")</f>
        <v/>
      </c>
      <c r="I4737" s="89"/>
      <c r="J4737" s="90"/>
      <c r="K4737" s="91"/>
      <c r="L4737" s="80" t="str">
        <f aca="false">IF(AND(J4737&lt;&gt;"",K4737&lt;&gt;""),J4737*K4737,"")</f>
        <v/>
      </c>
      <c r="M4737" s="81" t="str">
        <f aca="false">IF(L4737&lt;&gt;"",L4737*1.1,"")</f>
        <v/>
      </c>
      <c r="N4737" s="47" t="n">
        <f aca="false">IF(F4737="S",L4737*0.02,0)</f>
        <v>0</v>
      </c>
      <c r="O4737" s="82" t="str">
        <f aca="false">IF(L4737&lt;&gt;"",L4737+N4737,"")</f>
        <v/>
      </c>
      <c r="P4737" s="47" t="str">
        <f aca="false">IF(O4737&lt;&gt;"",O4737*0.1,"")</f>
        <v/>
      </c>
      <c r="Q4737" s="83" t="str">
        <f aca="false">IF(O4737&lt;&gt;"",O4737+P4737,"")</f>
        <v/>
      </c>
      <c r="R4737" s="84"/>
    </row>
    <row r="4738" customFormat="false" ht="15" hidden="false" customHeight="true" outlineLevel="0" collapsed="false">
      <c r="A4738" s="103"/>
      <c r="B4738" s="73"/>
      <c r="C4738" s="74"/>
      <c r="D4738" s="75"/>
      <c r="E4738" s="52" t="str">
        <f aca="false">IF(D4738&lt;&gt;"",IFERROR(VLOOKUP(D4738,PROVEEDORES!$A:$B,2,0),"!COD NO ENCONTRADO"),"")</f>
        <v/>
      </c>
      <c r="F4738" s="76" t="str">
        <f aca="false">IF(D4738&lt;&gt;"",IFERROR(VLOOKUP(D4738,PROVEEDORES!$A:$C,3,0),""),"")</f>
        <v/>
      </c>
      <c r="G4738" s="75"/>
      <c r="H4738" s="52" t="str">
        <f aca="false">IF(G4738&lt;&gt;"",IFERROR(VLOOKUP(G4738,PRODUCTOS!$A:$B,2,0),"!COD NO ENCONTRADO"),"")</f>
        <v/>
      </c>
      <c r="I4738" s="77"/>
      <c r="J4738" s="78"/>
      <c r="K4738" s="79"/>
      <c r="L4738" s="80" t="str">
        <f aca="false">IF(AND(J4738&lt;&gt;"",K4738&lt;&gt;""),J4738*K4738,"")</f>
        <v/>
      </c>
      <c r="M4738" s="81" t="str">
        <f aca="false">IF(L4738&lt;&gt;"",L4738*1.1,"")</f>
        <v/>
      </c>
      <c r="N4738" s="53" t="n">
        <f aca="false">IF(F4738="S",L4738*0.02,0)</f>
        <v>0</v>
      </c>
      <c r="O4738" s="82" t="str">
        <f aca="false">IF(L4738&lt;&gt;"",L4738+N4738,"")</f>
        <v/>
      </c>
      <c r="P4738" s="53" t="str">
        <f aca="false">IF(O4738&lt;&gt;"",O4738*0.1,"")</f>
        <v/>
      </c>
      <c r="Q4738" s="83" t="str">
        <f aca="false">IF(O4738&lt;&gt;"",O4738+P4738,"")</f>
        <v/>
      </c>
      <c r="R4738" s="84"/>
    </row>
    <row r="4739" customFormat="false" ht="15" hidden="false" customHeight="true" outlineLevel="0" collapsed="false">
      <c r="A4739" s="103"/>
      <c r="B4739" s="85"/>
      <c r="C4739" s="86"/>
      <c r="D4739" s="87"/>
      <c r="E4739" s="46" t="str">
        <f aca="false">IF(D4739&lt;&gt;"",IFERROR(VLOOKUP(D4739,PROVEEDORES!$A:$B,2,0),"!COD NO ENCONTRADO"),"")</f>
        <v/>
      </c>
      <c r="F4739" s="88" t="str">
        <f aca="false">IF(D4739&lt;&gt;"",IFERROR(VLOOKUP(D4739,PROVEEDORES!$A:$C,3,0),""),"")</f>
        <v/>
      </c>
      <c r="G4739" s="87"/>
      <c r="H4739" s="46" t="str">
        <f aca="false">IF(G4739&lt;&gt;"",IFERROR(VLOOKUP(G4739,PRODUCTOS!$A:$B,2,0),"!COD NO ENCONTRADO"),"")</f>
        <v/>
      </c>
      <c r="I4739" s="89"/>
      <c r="J4739" s="90"/>
      <c r="K4739" s="91"/>
      <c r="L4739" s="80" t="str">
        <f aca="false">IF(AND(J4739&lt;&gt;"",K4739&lt;&gt;""),J4739*K4739,"")</f>
        <v/>
      </c>
      <c r="M4739" s="81" t="str">
        <f aca="false">IF(L4739&lt;&gt;"",L4739*1.1,"")</f>
        <v/>
      </c>
      <c r="N4739" s="47" t="n">
        <f aca="false">IF(F4739="S",L4739*0.02,0)</f>
        <v>0</v>
      </c>
      <c r="O4739" s="82" t="str">
        <f aca="false">IF(L4739&lt;&gt;"",L4739+N4739,"")</f>
        <v/>
      </c>
      <c r="P4739" s="47" t="str">
        <f aca="false">IF(O4739&lt;&gt;"",O4739*0.1,"")</f>
        <v/>
      </c>
      <c r="Q4739" s="83" t="str">
        <f aca="false">IF(O4739&lt;&gt;"",O4739+P4739,"")</f>
        <v/>
      </c>
      <c r="R4739" s="84"/>
    </row>
    <row r="4740" customFormat="false" ht="15" hidden="false" customHeight="true" outlineLevel="0" collapsed="false">
      <c r="A4740" s="103"/>
      <c r="B4740" s="73"/>
      <c r="C4740" s="74"/>
      <c r="D4740" s="75"/>
      <c r="E4740" s="52" t="str">
        <f aca="false">IF(D4740&lt;&gt;"",IFERROR(VLOOKUP(D4740,PROVEEDORES!$A:$B,2,0),"!COD NO ENCONTRADO"),"")</f>
        <v/>
      </c>
      <c r="F4740" s="76" t="str">
        <f aca="false">IF(D4740&lt;&gt;"",IFERROR(VLOOKUP(D4740,PROVEEDORES!$A:$C,3,0),""),"")</f>
        <v/>
      </c>
      <c r="G4740" s="75"/>
      <c r="H4740" s="52" t="str">
        <f aca="false">IF(G4740&lt;&gt;"",IFERROR(VLOOKUP(G4740,PRODUCTOS!$A:$B,2,0),"!COD NO ENCONTRADO"),"")</f>
        <v/>
      </c>
      <c r="I4740" s="77"/>
      <c r="J4740" s="78"/>
      <c r="K4740" s="79"/>
      <c r="L4740" s="80" t="str">
        <f aca="false">IF(AND(J4740&lt;&gt;"",K4740&lt;&gt;""),J4740*K4740,"")</f>
        <v/>
      </c>
      <c r="M4740" s="81" t="str">
        <f aca="false">IF(L4740&lt;&gt;"",L4740*1.1,"")</f>
        <v/>
      </c>
      <c r="N4740" s="53" t="n">
        <f aca="false">IF(F4740="S",L4740*0.02,0)</f>
        <v>0</v>
      </c>
      <c r="O4740" s="82" t="str">
        <f aca="false">IF(L4740&lt;&gt;"",L4740+N4740,"")</f>
        <v/>
      </c>
      <c r="P4740" s="53" t="str">
        <f aca="false">IF(O4740&lt;&gt;"",O4740*0.1,"")</f>
        <v/>
      </c>
      <c r="Q4740" s="83" t="str">
        <f aca="false">IF(O4740&lt;&gt;"",O4740+P4740,"")</f>
        <v/>
      </c>
      <c r="R4740" s="84"/>
    </row>
    <row r="4741" customFormat="false" ht="15" hidden="false" customHeight="true" outlineLevel="0" collapsed="false">
      <c r="A4741" s="103"/>
      <c r="B4741" s="85"/>
      <c r="C4741" s="86"/>
      <c r="D4741" s="87"/>
      <c r="E4741" s="46" t="str">
        <f aca="false">IF(D4741&lt;&gt;"",IFERROR(VLOOKUP(D4741,PROVEEDORES!$A:$B,2,0),"!COD NO ENCONTRADO"),"")</f>
        <v/>
      </c>
      <c r="F4741" s="88" t="str">
        <f aca="false">IF(D4741&lt;&gt;"",IFERROR(VLOOKUP(D4741,PROVEEDORES!$A:$C,3,0),""),"")</f>
        <v/>
      </c>
      <c r="G4741" s="87"/>
      <c r="H4741" s="46" t="str">
        <f aca="false">IF(G4741&lt;&gt;"",IFERROR(VLOOKUP(G4741,PRODUCTOS!$A:$B,2,0),"!COD NO ENCONTRADO"),"")</f>
        <v/>
      </c>
      <c r="I4741" s="89"/>
      <c r="J4741" s="90"/>
      <c r="K4741" s="91"/>
      <c r="L4741" s="80" t="str">
        <f aca="false">IF(AND(J4741&lt;&gt;"",K4741&lt;&gt;""),J4741*K4741,"")</f>
        <v/>
      </c>
      <c r="M4741" s="81" t="str">
        <f aca="false">IF(L4741&lt;&gt;"",L4741*1.1,"")</f>
        <v/>
      </c>
      <c r="N4741" s="47" t="n">
        <f aca="false">IF(F4741="S",L4741*0.02,0)</f>
        <v>0</v>
      </c>
      <c r="O4741" s="82" t="str">
        <f aca="false">IF(L4741&lt;&gt;"",L4741+N4741,"")</f>
        <v/>
      </c>
      <c r="P4741" s="47" t="str">
        <f aca="false">IF(O4741&lt;&gt;"",O4741*0.1,"")</f>
        <v/>
      </c>
      <c r="Q4741" s="83" t="str">
        <f aca="false">IF(O4741&lt;&gt;"",O4741+P4741,"")</f>
        <v/>
      </c>
      <c r="R4741" s="84"/>
    </row>
    <row r="4742" customFormat="false" ht="15" hidden="false" customHeight="true" outlineLevel="0" collapsed="false">
      <c r="A4742" s="103"/>
      <c r="B4742" s="73"/>
      <c r="C4742" s="74"/>
      <c r="D4742" s="75"/>
      <c r="E4742" s="52" t="str">
        <f aca="false">IF(D4742&lt;&gt;"",IFERROR(VLOOKUP(D4742,PROVEEDORES!$A:$B,2,0),"!COD NO ENCONTRADO"),"")</f>
        <v/>
      </c>
      <c r="F4742" s="76" t="str">
        <f aca="false">IF(D4742&lt;&gt;"",IFERROR(VLOOKUP(D4742,PROVEEDORES!$A:$C,3,0),""),"")</f>
        <v/>
      </c>
      <c r="G4742" s="75"/>
      <c r="H4742" s="52" t="str">
        <f aca="false">IF(G4742&lt;&gt;"",IFERROR(VLOOKUP(G4742,PRODUCTOS!$A:$B,2,0),"!COD NO ENCONTRADO"),"")</f>
        <v/>
      </c>
      <c r="I4742" s="77"/>
      <c r="J4742" s="78"/>
      <c r="K4742" s="79"/>
      <c r="L4742" s="80" t="str">
        <f aca="false">IF(AND(J4742&lt;&gt;"",K4742&lt;&gt;""),J4742*K4742,"")</f>
        <v/>
      </c>
      <c r="M4742" s="81" t="str">
        <f aca="false">IF(L4742&lt;&gt;"",L4742*1.1,"")</f>
        <v/>
      </c>
      <c r="N4742" s="53" t="n">
        <f aca="false">IF(F4742="S",L4742*0.02,0)</f>
        <v>0</v>
      </c>
      <c r="O4742" s="82" t="str">
        <f aca="false">IF(L4742&lt;&gt;"",L4742+N4742,"")</f>
        <v/>
      </c>
      <c r="P4742" s="53" t="str">
        <f aca="false">IF(O4742&lt;&gt;"",O4742*0.1,"")</f>
        <v/>
      </c>
      <c r="Q4742" s="83" t="str">
        <f aca="false">IF(O4742&lt;&gt;"",O4742+P4742,"")</f>
        <v/>
      </c>
      <c r="R4742" s="84"/>
    </row>
    <row r="4743" customFormat="false" ht="15" hidden="false" customHeight="true" outlineLevel="0" collapsed="false">
      <c r="A4743" s="103"/>
      <c r="B4743" s="85"/>
      <c r="C4743" s="86"/>
      <c r="D4743" s="87"/>
      <c r="E4743" s="46" t="str">
        <f aca="false">IF(D4743&lt;&gt;"",IFERROR(VLOOKUP(D4743,PROVEEDORES!$A:$B,2,0),"!COD NO ENCONTRADO"),"")</f>
        <v/>
      </c>
      <c r="F4743" s="88" t="str">
        <f aca="false">IF(D4743&lt;&gt;"",IFERROR(VLOOKUP(D4743,PROVEEDORES!$A:$C,3,0),""),"")</f>
        <v/>
      </c>
      <c r="G4743" s="87"/>
      <c r="H4743" s="46" t="str">
        <f aca="false">IF(G4743&lt;&gt;"",IFERROR(VLOOKUP(G4743,PRODUCTOS!$A:$B,2,0),"!COD NO ENCONTRADO"),"")</f>
        <v/>
      </c>
      <c r="I4743" s="89"/>
      <c r="J4743" s="90"/>
      <c r="K4743" s="91"/>
      <c r="L4743" s="80" t="str">
        <f aca="false">IF(AND(J4743&lt;&gt;"",K4743&lt;&gt;""),J4743*K4743,"")</f>
        <v/>
      </c>
      <c r="M4743" s="81" t="str">
        <f aca="false">IF(L4743&lt;&gt;"",L4743*1.1,"")</f>
        <v/>
      </c>
      <c r="N4743" s="47" t="n">
        <f aca="false">IF(F4743="S",L4743*0.02,0)</f>
        <v>0</v>
      </c>
      <c r="O4743" s="82" t="str">
        <f aca="false">IF(L4743&lt;&gt;"",L4743+N4743,"")</f>
        <v/>
      </c>
      <c r="P4743" s="47" t="str">
        <f aca="false">IF(O4743&lt;&gt;"",O4743*0.1,"")</f>
        <v/>
      </c>
      <c r="Q4743" s="83" t="str">
        <f aca="false">IF(O4743&lt;&gt;"",O4743+P4743,"")</f>
        <v/>
      </c>
      <c r="R4743" s="84"/>
    </row>
    <row r="4744" customFormat="false" ht="15" hidden="false" customHeight="true" outlineLevel="0" collapsed="false">
      <c r="A4744" s="103"/>
      <c r="B4744" s="73"/>
      <c r="C4744" s="74"/>
      <c r="D4744" s="75"/>
      <c r="E4744" s="52" t="str">
        <f aca="false">IF(D4744&lt;&gt;"",IFERROR(VLOOKUP(D4744,PROVEEDORES!$A:$B,2,0),"!COD NO ENCONTRADO"),"")</f>
        <v/>
      </c>
      <c r="F4744" s="76" t="str">
        <f aca="false">IF(D4744&lt;&gt;"",IFERROR(VLOOKUP(D4744,PROVEEDORES!$A:$C,3,0),""),"")</f>
        <v/>
      </c>
      <c r="G4744" s="75"/>
      <c r="H4744" s="52" t="str">
        <f aca="false">IF(G4744&lt;&gt;"",IFERROR(VLOOKUP(G4744,PRODUCTOS!$A:$B,2,0),"!COD NO ENCONTRADO"),"")</f>
        <v/>
      </c>
      <c r="I4744" s="77"/>
      <c r="J4744" s="78"/>
      <c r="K4744" s="79"/>
      <c r="L4744" s="80" t="str">
        <f aca="false">IF(AND(J4744&lt;&gt;"",K4744&lt;&gt;""),J4744*K4744,"")</f>
        <v/>
      </c>
      <c r="M4744" s="81" t="str">
        <f aca="false">IF(L4744&lt;&gt;"",L4744*1.1,"")</f>
        <v/>
      </c>
      <c r="N4744" s="53" t="n">
        <f aca="false">IF(F4744="S",L4744*0.02,0)</f>
        <v>0</v>
      </c>
      <c r="O4744" s="82" t="str">
        <f aca="false">IF(L4744&lt;&gt;"",L4744+N4744,"")</f>
        <v/>
      </c>
      <c r="P4744" s="53" t="str">
        <f aca="false">IF(O4744&lt;&gt;"",O4744*0.1,"")</f>
        <v/>
      </c>
      <c r="Q4744" s="83" t="str">
        <f aca="false">IF(O4744&lt;&gt;"",O4744+P4744,"")</f>
        <v/>
      </c>
      <c r="R4744" s="84"/>
    </row>
    <row r="4745" customFormat="false" ht="15" hidden="false" customHeight="true" outlineLevel="0" collapsed="false">
      <c r="A4745" s="103"/>
      <c r="B4745" s="85"/>
      <c r="C4745" s="86"/>
      <c r="D4745" s="87"/>
      <c r="E4745" s="46" t="str">
        <f aca="false">IF(D4745&lt;&gt;"",IFERROR(VLOOKUP(D4745,PROVEEDORES!$A:$B,2,0),"!COD NO ENCONTRADO"),"")</f>
        <v/>
      </c>
      <c r="F4745" s="88" t="str">
        <f aca="false">IF(D4745&lt;&gt;"",IFERROR(VLOOKUP(D4745,PROVEEDORES!$A:$C,3,0),""),"")</f>
        <v/>
      </c>
      <c r="G4745" s="87"/>
      <c r="H4745" s="46" t="str">
        <f aca="false">IF(G4745&lt;&gt;"",IFERROR(VLOOKUP(G4745,PRODUCTOS!$A:$B,2,0),"!COD NO ENCONTRADO"),"")</f>
        <v/>
      </c>
      <c r="I4745" s="89"/>
      <c r="J4745" s="90"/>
      <c r="K4745" s="91"/>
      <c r="L4745" s="80" t="str">
        <f aca="false">IF(AND(J4745&lt;&gt;"",K4745&lt;&gt;""),J4745*K4745,"")</f>
        <v/>
      </c>
      <c r="M4745" s="81" t="str">
        <f aca="false">IF(L4745&lt;&gt;"",L4745*1.1,"")</f>
        <v/>
      </c>
      <c r="N4745" s="47" t="n">
        <f aca="false">IF(F4745="S",L4745*0.02,0)</f>
        <v>0</v>
      </c>
      <c r="O4745" s="82" t="str">
        <f aca="false">IF(L4745&lt;&gt;"",L4745+N4745,"")</f>
        <v/>
      </c>
      <c r="P4745" s="47" t="str">
        <f aca="false">IF(O4745&lt;&gt;"",O4745*0.1,"")</f>
        <v/>
      </c>
      <c r="Q4745" s="83" t="str">
        <f aca="false">IF(O4745&lt;&gt;"",O4745+P4745,"")</f>
        <v/>
      </c>
      <c r="R4745" s="84"/>
    </row>
    <row r="4746" customFormat="false" ht="15" hidden="false" customHeight="true" outlineLevel="0" collapsed="false">
      <c r="A4746" s="103"/>
      <c r="B4746" s="73"/>
      <c r="C4746" s="74"/>
      <c r="D4746" s="75"/>
      <c r="E4746" s="52" t="str">
        <f aca="false">IF(D4746&lt;&gt;"",IFERROR(VLOOKUP(D4746,PROVEEDORES!$A:$B,2,0),"!COD NO ENCONTRADO"),"")</f>
        <v/>
      </c>
      <c r="F4746" s="76" t="str">
        <f aca="false">IF(D4746&lt;&gt;"",IFERROR(VLOOKUP(D4746,PROVEEDORES!$A:$C,3,0),""),"")</f>
        <v/>
      </c>
      <c r="G4746" s="75"/>
      <c r="H4746" s="52" t="str">
        <f aca="false">IF(G4746&lt;&gt;"",IFERROR(VLOOKUP(G4746,PRODUCTOS!$A:$B,2,0),"!COD NO ENCONTRADO"),"")</f>
        <v/>
      </c>
      <c r="I4746" s="77"/>
      <c r="J4746" s="78"/>
      <c r="K4746" s="79"/>
      <c r="L4746" s="80" t="str">
        <f aca="false">IF(AND(J4746&lt;&gt;"",K4746&lt;&gt;""),J4746*K4746,"")</f>
        <v/>
      </c>
      <c r="M4746" s="81" t="str">
        <f aca="false">IF(L4746&lt;&gt;"",L4746*1.1,"")</f>
        <v/>
      </c>
      <c r="N4746" s="53" t="n">
        <f aca="false">IF(F4746="S",L4746*0.02,0)</f>
        <v>0</v>
      </c>
      <c r="O4746" s="82" t="str">
        <f aca="false">IF(L4746&lt;&gt;"",L4746+N4746,"")</f>
        <v/>
      </c>
      <c r="P4746" s="53" t="str">
        <f aca="false">IF(O4746&lt;&gt;"",O4746*0.1,"")</f>
        <v/>
      </c>
      <c r="Q4746" s="83" t="str">
        <f aca="false">IF(O4746&lt;&gt;"",O4746+P4746,"")</f>
        <v/>
      </c>
      <c r="R4746" s="84"/>
    </row>
    <row r="4747" customFormat="false" ht="15" hidden="false" customHeight="true" outlineLevel="0" collapsed="false">
      <c r="A4747" s="103"/>
      <c r="B4747" s="85"/>
      <c r="C4747" s="86"/>
      <c r="D4747" s="87"/>
      <c r="E4747" s="46" t="str">
        <f aca="false">IF(D4747&lt;&gt;"",IFERROR(VLOOKUP(D4747,PROVEEDORES!$A:$B,2,0),"!COD NO ENCONTRADO"),"")</f>
        <v/>
      </c>
      <c r="F4747" s="88" t="str">
        <f aca="false">IF(D4747&lt;&gt;"",IFERROR(VLOOKUP(D4747,PROVEEDORES!$A:$C,3,0),""),"")</f>
        <v/>
      </c>
      <c r="G4747" s="87"/>
      <c r="H4747" s="46" t="str">
        <f aca="false">IF(G4747&lt;&gt;"",IFERROR(VLOOKUP(G4747,PRODUCTOS!$A:$B,2,0),"!COD NO ENCONTRADO"),"")</f>
        <v/>
      </c>
      <c r="I4747" s="89"/>
      <c r="J4747" s="90"/>
      <c r="K4747" s="91"/>
      <c r="L4747" s="80" t="str">
        <f aca="false">IF(AND(J4747&lt;&gt;"",K4747&lt;&gt;""),J4747*K4747,"")</f>
        <v/>
      </c>
      <c r="M4747" s="81" t="str">
        <f aca="false">IF(L4747&lt;&gt;"",L4747*1.1,"")</f>
        <v/>
      </c>
      <c r="N4747" s="47" t="n">
        <f aca="false">IF(F4747="S",L4747*0.02,0)</f>
        <v>0</v>
      </c>
      <c r="O4747" s="82" t="str">
        <f aca="false">IF(L4747&lt;&gt;"",L4747+N4747,"")</f>
        <v/>
      </c>
      <c r="P4747" s="47" t="str">
        <f aca="false">IF(O4747&lt;&gt;"",O4747*0.1,"")</f>
        <v/>
      </c>
      <c r="Q4747" s="83" t="str">
        <f aca="false">IF(O4747&lt;&gt;"",O4747+P4747,"")</f>
        <v/>
      </c>
      <c r="R4747" s="84"/>
    </row>
    <row r="4748" customFormat="false" ht="15" hidden="false" customHeight="true" outlineLevel="0" collapsed="false">
      <c r="A4748" s="103"/>
      <c r="B4748" s="73"/>
      <c r="C4748" s="74"/>
      <c r="D4748" s="75"/>
      <c r="E4748" s="52" t="str">
        <f aca="false">IF(D4748&lt;&gt;"",IFERROR(VLOOKUP(D4748,PROVEEDORES!$A:$B,2,0),"!COD NO ENCONTRADO"),"")</f>
        <v/>
      </c>
      <c r="F4748" s="76" t="str">
        <f aca="false">IF(D4748&lt;&gt;"",IFERROR(VLOOKUP(D4748,PROVEEDORES!$A:$C,3,0),""),"")</f>
        <v/>
      </c>
      <c r="G4748" s="75"/>
      <c r="H4748" s="52" t="str">
        <f aca="false">IF(G4748&lt;&gt;"",IFERROR(VLOOKUP(G4748,PRODUCTOS!$A:$B,2,0),"!COD NO ENCONTRADO"),"")</f>
        <v/>
      </c>
      <c r="I4748" s="77"/>
      <c r="J4748" s="78"/>
      <c r="K4748" s="79"/>
      <c r="L4748" s="80" t="str">
        <f aca="false">IF(AND(J4748&lt;&gt;"",K4748&lt;&gt;""),J4748*K4748,"")</f>
        <v/>
      </c>
      <c r="M4748" s="81" t="str">
        <f aca="false">IF(L4748&lt;&gt;"",L4748*1.1,"")</f>
        <v/>
      </c>
      <c r="N4748" s="53" t="n">
        <f aca="false">IF(F4748="S",L4748*0.02,0)</f>
        <v>0</v>
      </c>
      <c r="O4748" s="82" t="str">
        <f aca="false">IF(L4748&lt;&gt;"",L4748+N4748,"")</f>
        <v/>
      </c>
      <c r="P4748" s="53" t="str">
        <f aca="false">IF(O4748&lt;&gt;"",O4748*0.1,"")</f>
        <v/>
      </c>
      <c r="Q4748" s="83" t="str">
        <f aca="false">IF(O4748&lt;&gt;"",O4748+P4748,"")</f>
        <v/>
      </c>
      <c r="R4748" s="84"/>
    </row>
    <row r="4749" customFormat="false" ht="15" hidden="false" customHeight="true" outlineLevel="0" collapsed="false">
      <c r="A4749" s="103"/>
      <c r="B4749" s="85"/>
      <c r="C4749" s="86"/>
      <c r="D4749" s="87"/>
      <c r="E4749" s="46" t="str">
        <f aca="false">IF(D4749&lt;&gt;"",IFERROR(VLOOKUP(D4749,PROVEEDORES!$A:$B,2,0),"!COD NO ENCONTRADO"),"")</f>
        <v/>
      </c>
      <c r="F4749" s="88" t="str">
        <f aca="false">IF(D4749&lt;&gt;"",IFERROR(VLOOKUP(D4749,PROVEEDORES!$A:$C,3,0),""),"")</f>
        <v/>
      </c>
      <c r="G4749" s="87"/>
      <c r="H4749" s="46" t="str">
        <f aca="false">IF(G4749&lt;&gt;"",IFERROR(VLOOKUP(G4749,PRODUCTOS!$A:$B,2,0),"!COD NO ENCONTRADO"),"")</f>
        <v/>
      </c>
      <c r="I4749" s="89"/>
      <c r="J4749" s="90"/>
      <c r="K4749" s="91"/>
      <c r="L4749" s="80" t="str">
        <f aca="false">IF(AND(J4749&lt;&gt;"",K4749&lt;&gt;""),J4749*K4749,"")</f>
        <v/>
      </c>
      <c r="M4749" s="81" t="str">
        <f aca="false">IF(L4749&lt;&gt;"",L4749*1.1,"")</f>
        <v/>
      </c>
      <c r="N4749" s="47" t="n">
        <f aca="false">IF(F4749="S",L4749*0.02,0)</f>
        <v>0</v>
      </c>
      <c r="O4749" s="82" t="str">
        <f aca="false">IF(L4749&lt;&gt;"",L4749+N4749,"")</f>
        <v/>
      </c>
      <c r="P4749" s="47" t="str">
        <f aca="false">IF(O4749&lt;&gt;"",O4749*0.1,"")</f>
        <v/>
      </c>
      <c r="Q4749" s="83" t="str">
        <f aca="false">IF(O4749&lt;&gt;"",O4749+P4749,"")</f>
        <v/>
      </c>
      <c r="R4749" s="84"/>
    </row>
    <row r="4750" customFormat="false" ht="15" hidden="false" customHeight="true" outlineLevel="0" collapsed="false">
      <c r="A4750" s="103"/>
      <c r="B4750" s="73"/>
      <c r="C4750" s="74"/>
      <c r="D4750" s="75"/>
      <c r="E4750" s="52" t="str">
        <f aca="false">IF(D4750&lt;&gt;"",IFERROR(VLOOKUP(D4750,PROVEEDORES!$A:$B,2,0),"!COD NO ENCONTRADO"),"")</f>
        <v/>
      </c>
      <c r="F4750" s="76" t="str">
        <f aca="false">IF(D4750&lt;&gt;"",IFERROR(VLOOKUP(D4750,PROVEEDORES!$A:$C,3,0),""),"")</f>
        <v/>
      </c>
      <c r="G4750" s="75"/>
      <c r="H4750" s="52" t="str">
        <f aca="false">IF(G4750&lt;&gt;"",IFERROR(VLOOKUP(G4750,PRODUCTOS!$A:$B,2,0),"!COD NO ENCONTRADO"),"")</f>
        <v/>
      </c>
      <c r="I4750" s="77"/>
      <c r="J4750" s="78"/>
      <c r="K4750" s="79"/>
      <c r="L4750" s="80" t="str">
        <f aca="false">IF(AND(J4750&lt;&gt;"",K4750&lt;&gt;""),J4750*K4750,"")</f>
        <v/>
      </c>
      <c r="M4750" s="81" t="str">
        <f aca="false">IF(L4750&lt;&gt;"",L4750*1.1,"")</f>
        <v/>
      </c>
      <c r="N4750" s="53" t="n">
        <f aca="false">IF(F4750="S",L4750*0.02,0)</f>
        <v>0</v>
      </c>
      <c r="O4750" s="82" t="str">
        <f aca="false">IF(L4750&lt;&gt;"",L4750+N4750,"")</f>
        <v/>
      </c>
      <c r="P4750" s="53" t="str">
        <f aca="false">IF(O4750&lt;&gt;"",O4750*0.1,"")</f>
        <v/>
      </c>
      <c r="Q4750" s="83" t="str">
        <f aca="false">IF(O4750&lt;&gt;"",O4750+P4750,"")</f>
        <v/>
      </c>
      <c r="R4750" s="84"/>
    </row>
    <row r="4751" customFormat="false" ht="15" hidden="false" customHeight="true" outlineLevel="0" collapsed="false">
      <c r="A4751" s="103"/>
      <c r="B4751" s="85"/>
      <c r="C4751" s="86"/>
      <c r="D4751" s="87"/>
      <c r="E4751" s="46" t="str">
        <f aca="false">IF(D4751&lt;&gt;"",IFERROR(VLOOKUP(D4751,PROVEEDORES!$A:$B,2,0),"!COD NO ENCONTRADO"),"")</f>
        <v/>
      </c>
      <c r="F4751" s="88" t="str">
        <f aca="false">IF(D4751&lt;&gt;"",IFERROR(VLOOKUP(D4751,PROVEEDORES!$A:$C,3,0),""),"")</f>
        <v/>
      </c>
      <c r="G4751" s="87"/>
      <c r="H4751" s="46" t="str">
        <f aca="false">IF(G4751&lt;&gt;"",IFERROR(VLOOKUP(G4751,PRODUCTOS!$A:$B,2,0),"!COD NO ENCONTRADO"),"")</f>
        <v/>
      </c>
      <c r="I4751" s="89"/>
      <c r="J4751" s="90"/>
      <c r="K4751" s="91"/>
      <c r="L4751" s="80" t="str">
        <f aca="false">IF(AND(J4751&lt;&gt;"",K4751&lt;&gt;""),J4751*K4751,"")</f>
        <v/>
      </c>
      <c r="M4751" s="81" t="str">
        <f aca="false">IF(L4751&lt;&gt;"",L4751*1.1,"")</f>
        <v/>
      </c>
      <c r="N4751" s="47" t="n">
        <f aca="false">IF(F4751="S",L4751*0.02,0)</f>
        <v>0</v>
      </c>
      <c r="O4751" s="82" t="str">
        <f aca="false">IF(L4751&lt;&gt;"",L4751+N4751,"")</f>
        <v/>
      </c>
      <c r="P4751" s="47" t="str">
        <f aca="false">IF(O4751&lt;&gt;"",O4751*0.1,"")</f>
        <v/>
      </c>
      <c r="Q4751" s="83" t="str">
        <f aca="false">IF(O4751&lt;&gt;"",O4751+P4751,"")</f>
        <v/>
      </c>
      <c r="R4751" s="84"/>
    </row>
    <row r="4752" customFormat="false" ht="15" hidden="false" customHeight="true" outlineLevel="0" collapsed="false">
      <c r="A4752" s="103"/>
      <c r="B4752" s="73"/>
      <c r="C4752" s="74"/>
      <c r="D4752" s="75"/>
      <c r="E4752" s="52" t="str">
        <f aca="false">IF(D4752&lt;&gt;"",IFERROR(VLOOKUP(D4752,PROVEEDORES!$A:$B,2,0),"!COD NO ENCONTRADO"),"")</f>
        <v/>
      </c>
      <c r="F4752" s="76" t="str">
        <f aca="false">IF(D4752&lt;&gt;"",IFERROR(VLOOKUP(D4752,PROVEEDORES!$A:$C,3,0),""),"")</f>
        <v/>
      </c>
      <c r="G4752" s="75"/>
      <c r="H4752" s="52" t="str">
        <f aca="false">IF(G4752&lt;&gt;"",IFERROR(VLOOKUP(G4752,PRODUCTOS!$A:$B,2,0),"!COD NO ENCONTRADO"),"")</f>
        <v/>
      </c>
      <c r="I4752" s="77"/>
      <c r="J4752" s="78"/>
      <c r="K4752" s="79"/>
      <c r="L4752" s="80" t="str">
        <f aca="false">IF(AND(J4752&lt;&gt;"",K4752&lt;&gt;""),J4752*K4752,"")</f>
        <v/>
      </c>
      <c r="M4752" s="81" t="str">
        <f aca="false">IF(L4752&lt;&gt;"",L4752*1.1,"")</f>
        <v/>
      </c>
      <c r="N4752" s="53" t="n">
        <f aca="false">IF(F4752="S",L4752*0.02,0)</f>
        <v>0</v>
      </c>
      <c r="O4752" s="82" t="str">
        <f aca="false">IF(L4752&lt;&gt;"",L4752+N4752,"")</f>
        <v/>
      </c>
      <c r="P4752" s="53" t="str">
        <f aca="false">IF(O4752&lt;&gt;"",O4752*0.1,"")</f>
        <v/>
      </c>
      <c r="Q4752" s="83" t="str">
        <f aca="false">IF(O4752&lt;&gt;"",O4752+P4752,"")</f>
        <v/>
      </c>
      <c r="R4752" s="84"/>
    </row>
    <row r="4753" customFormat="false" ht="15" hidden="false" customHeight="true" outlineLevel="0" collapsed="false">
      <c r="A4753" s="103"/>
      <c r="B4753" s="85"/>
      <c r="C4753" s="86"/>
      <c r="D4753" s="87"/>
      <c r="E4753" s="46" t="str">
        <f aca="false">IF(D4753&lt;&gt;"",IFERROR(VLOOKUP(D4753,PROVEEDORES!$A:$B,2,0),"!COD NO ENCONTRADO"),"")</f>
        <v/>
      </c>
      <c r="F4753" s="88" t="str">
        <f aca="false">IF(D4753&lt;&gt;"",IFERROR(VLOOKUP(D4753,PROVEEDORES!$A:$C,3,0),""),"")</f>
        <v/>
      </c>
      <c r="G4753" s="87"/>
      <c r="H4753" s="46" t="str">
        <f aca="false">IF(G4753&lt;&gt;"",IFERROR(VLOOKUP(G4753,PRODUCTOS!$A:$B,2,0),"!COD NO ENCONTRADO"),"")</f>
        <v/>
      </c>
      <c r="I4753" s="89"/>
      <c r="J4753" s="90"/>
      <c r="K4753" s="91"/>
      <c r="L4753" s="80" t="str">
        <f aca="false">IF(AND(J4753&lt;&gt;"",K4753&lt;&gt;""),J4753*K4753,"")</f>
        <v/>
      </c>
      <c r="M4753" s="81" t="str">
        <f aca="false">IF(L4753&lt;&gt;"",L4753*1.1,"")</f>
        <v/>
      </c>
      <c r="N4753" s="47" t="n">
        <f aca="false">IF(F4753="S",L4753*0.02,0)</f>
        <v>0</v>
      </c>
      <c r="O4753" s="82" t="str">
        <f aca="false">IF(L4753&lt;&gt;"",L4753+N4753,"")</f>
        <v/>
      </c>
      <c r="P4753" s="47" t="str">
        <f aca="false">IF(O4753&lt;&gt;"",O4753*0.1,"")</f>
        <v/>
      </c>
      <c r="Q4753" s="83" t="str">
        <f aca="false">IF(O4753&lt;&gt;"",O4753+P4753,"")</f>
        <v/>
      </c>
      <c r="R4753" s="84"/>
    </row>
    <row r="4754" customFormat="false" ht="15" hidden="false" customHeight="true" outlineLevel="0" collapsed="false">
      <c r="A4754" s="103"/>
      <c r="B4754" s="73"/>
      <c r="C4754" s="74"/>
      <c r="D4754" s="75"/>
      <c r="E4754" s="52" t="str">
        <f aca="false">IF(D4754&lt;&gt;"",IFERROR(VLOOKUP(D4754,PROVEEDORES!$A:$B,2,0),"!COD NO ENCONTRADO"),"")</f>
        <v/>
      </c>
      <c r="F4754" s="76" t="str">
        <f aca="false">IF(D4754&lt;&gt;"",IFERROR(VLOOKUP(D4754,PROVEEDORES!$A:$C,3,0),""),"")</f>
        <v/>
      </c>
      <c r="G4754" s="75"/>
      <c r="H4754" s="52" t="str">
        <f aca="false">IF(G4754&lt;&gt;"",IFERROR(VLOOKUP(G4754,PRODUCTOS!$A:$B,2,0),"!COD NO ENCONTRADO"),"")</f>
        <v/>
      </c>
      <c r="I4754" s="77"/>
      <c r="J4754" s="78"/>
      <c r="K4754" s="79"/>
      <c r="L4754" s="80" t="str">
        <f aca="false">IF(AND(J4754&lt;&gt;"",K4754&lt;&gt;""),J4754*K4754,"")</f>
        <v/>
      </c>
      <c r="M4754" s="81" t="str">
        <f aca="false">IF(L4754&lt;&gt;"",L4754*1.1,"")</f>
        <v/>
      </c>
      <c r="N4754" s="53" t="n">
        <f aca="false">IF(F4754="S",L4754*0.02,0)</f>
        <v>0</v>
      </c>
      <c r="O4754" s="82" t="str">
        <f aca="false">IF(L4754&lt;&gt;"",L4754+N4754,"")</f>
        <v/>
      </c>
      <c r="P4754" s="53" t="str">
        <f aca="false">IF(O4754&lt;&gt;"",O4754*0.1,"")</f>
        <v/>
      </c>
      <c r="Q4754" s="83" t="str">
        <f aca="false">IF(O4754&lt;&gt;"",O4754+P4754,"")</f>
        <v/>
      </c>
      <c r="R4754" s="84"/>
    </row>
    <row r="4755" customFormat="false" ht="15" hidden="false" customHeight="true" outlineLevel="0" collapsed="false">
      <c r="A4755" s="103"/>
      <c r="B4755" s="85"/>
      <c r="C4755" s="86"/>
      <c r="D4755" s="87"/>
      <c r="E4755" s="46" t="str">
        <f aca="false">IF(D4755&lt;&gt;"",IFERROR(VLOOKUP(D4755,PROVEEDORES!$A:$B,2,0),"!COD NO ENCONTRADO"),"")</f>
        <v/>
      </c>
      <c r="F4755" s="88" t="str">
        <f aca="false">IF(D4755&lt;&gt;"",IFERROR(VLOOKUP(D4755,PROVEEDORES!$A:$C,3,0),""),"")</f>
        <v/>
      </c>
      <c r="G4755" s="87"/>
      <c r="H4755" s="46" t="str">
        <f aca="false">IF(G4755&lt;&gt;"",IFERROR(VLOOKUP(G4755,PRODUCTOS!$A:$B,2,0),"!COD NO ENCONTRADO"),"")</f>
        <v/>
      </c>
      <c r="I4755" s="89"/>
      <c r="J4755" s="90"/>
      <c r="K4755" s="91"/>
      <c r="L4755" s="80" t="str">
        <f aca="false">IF(AND(J4755&lt;&gt;"",K4755&lt;&gt;""),J4755*K4755,"")</f>
        <v/>
      </c>
      <c r="M4755" s="81" t="str">
        <f aca="false">IF(L4755&lt;&gt;"",L4755*1.1,"")</f>
        <v/>
      </c>
      <c r="N4755" s="47" t="n">
        <f aca="false">IF(F4755="S",L4755*0.02,0)</f>
        <v>0</v>
      </c>
      <c r="O4755" s="82" t="str">
        <f aca="false">IF(L4755&lt;&gt;"",L4755+N4755,"")</f>
        <v/>
      </c>
      <c r="P4755" s="47" t="str">
        <f aca="false">IF(O4755&lt;&gt;"",O4755*0.1,"")</f>
        <v/>
      </c>
      <c r="Q4755" s="83" t="str">
        <f aca="false">IF(O4755&lt;&gt;"",O4755+P4755,"")</f>
        <v/>
      </c>
      <c r="R4755" s="84"/>
    </row>
    <row r="4756" customFormat="false" ht="15" hidden="false" customHeight="true" outlineLevel="0" collapsed="false">
      <c r="A4756" s="103"/>
      <c r="B4756" s="73"/>
      <c r="C4756" s="74"/>
      <c r="D4756" s="75"/>
      <c r="E4756" s="52" t="str">
        <f aca="false">IF(D4756&lt;&gt;"",IFERROR(VLOOKUP(D4756,PROVEEDORES!$A:$B,2,0),"!COD NO ENCONTRADO"),"")</f>
        <v/>
      </c>
      <c r="F4756" s="76" t="str">
        <f aca="false">IF(D4756&lt;&gt;"",IFERROR(VLOOKUP(D4756,PROVEEDORES!$A:$C,3,0),""),"")</f>
        <v/>
      </c>
      <c r="G4756" s="75"/>
      <c r="H4756" s="52" t="str">
        <f aca="false">IF(G4756&lt;&gt;"",IFERROR(VLOOKUP(G4756,PRODUCTOS!$A:$B,2,0),"!COD NO ENCONTRADO"),"")</f>
        <v/>
      </c>
      <c r="I4756" s="77"/>
      <c r="J4756" s="78"/>
      <c r="K4756" s="79"/>
      <c r="L4756" s="80" t="str">
        <f aca="false">IF(AND(J4756&lt;&gt;"",K4756&lt;&gt;""),J4756*K4756,"")</f>
        <v/>
      </c>
      <c r="M4756" s="81" t="str">
        <f aca="false">IF(L4756&lt;&gt;"",L4756*1.1,"")</f>
        <v/>
      </c>
      <c r="N4756" s="53" t="n">
        <f aca="false">IF(F4756="S",L4756*0.02,0)</f>
        <v>0</v>
      </c>
      <c r="O4756" s="82" t="str">
        <f aca="false">IF(L4756&lt;&gt;"",L4756+N4756,"")</f>
        <v/>
      </c>
      <c r="P4756" s="53" t="str">
        <f aca="false">IF(O4756&lt;&gt;"",O4756*0.1,"")</f>
        <v/>
      </c>
      <c r="Q4756" s="83" t="str">
        <f aca="false">IF(O4756&lt;&gt;"",O4756+P4756,"")</f>
        <v/>
      </c>
      <c r="R4756" s="84"/>
    </row>
    <row r="4757" customFormat="false" ht="15" hidden="false" customHeight="true" outlineLevel="0" collapsed="false">
      <c r="A4757" s="103"/>
      <c r="B4757" s="85"/>
      <c r="C4757" s="86"/>
      <c r="D4757" s="87"/>
      <c r="E4757" s="46" t="str">
        <f aca="false">IF(D4757&lt;&gt;"",IFERROR(VLOOKUP(D4757,PROVEEDORES!$A:$B,2,0),"!COD NO ENCONTRADO"),"")</f>
        <v/>
      </c>
      <c r="F4757" s="88" t="str">
        <f aca="false">IF(D4757&lt;&gt;"",IFERROR(VLOOKUP(D4757,PROVEEDORES!$A:$C,3,0),""),"")</f>
        <v/>
      </c>
      <c r="G4757" s="87"/>
      <c r="H4757" s="46" t="str">
        <f aca="false">IF(G4757&lt;&gt;"",IFERROR(VLOOKUP(G4757,PRODUCTOS!$A:$B,2,0),"!COD NO ENCONTRADO"),"")</f>
        <v/>
      </c>
      <c r="I4757" s="89"/>
      <c r="J4757" s="90"/>
      <c r="K4757" s="91"/>
      <c r="L4757" s="80" t="str">
        <f aca="false">IF(AND(J4757&lt;&gt;"",K4757&lt;&gt;""),J4757*K4757,"")</f>
        <v/>
      </c>
      <c r="M4757" s="81" t="str">
        <f aca="false">IF(L4757&lt;&gt;"",L4757*1.1,"")</f>
        <v/>
      </c>
      <c r="N4757" s="47" t="n">
        <f aca="false">IF(F4757="S",L4757*0.02,0)</f>
        <v>0</v>
      </c>
      <c r="O4757" s="82" t="str">
        <f aca="false">IF(L4757&lt;&gt;"",L4757+N4757,"")</f>
        <v/>
      </c>
      <c r="P4757" s="47" t="str">
        <f aca="false">IF(O4757&lt;&gt;"",O4757*0.1,"")</f>
        <v/>
      </c>
      <c r="Q4757" s="83" t="str">
        <f aca="false">IF(O4757&lt;&gt;"",O4757+P4757,"")</f>
        <v/>
      </c>
      <c r="R4757" s="84"/>
    </row>
    <row r="4758" customFormat="false" ht="15" hidden="false" customHeight="true" outlineLevel="0" collapsed="false">
      <c r="A4758" s="103"/>
      <c r="B4758" s="73"/>
      <c r="C4758" s="74"/>
      <c r="D4758" s="75"/>
      <c r="E4758" s="52" t="str">
        <f aca="false">IF(D4758&lt;&gt;"",IFERROR(VLOOKUP(D4758,PROVEEDORES!$A:$B,2,0),"!COD NO ENCONTRADO"),"")</f>
        <v/>
      </c>
      <c r="F4758" s="76" t="str">
        <f aca="false">IF(D4758&lt;&gt;"",IFERROR(VLOOKUP(D4758,PROVEEDORES!$A:$C,3,0),""),"")</f>
        <v/>
      </c>
      <c r="G4758" s="75"/>
      <c r="H4758" s="52" t="str">
        <f aca="false">IF(G4758&lt;&gt;"",IFERROR(VLOOKUP(G4758,PRODUCTOS!$A:$B,2,0),"!COD NO ENCONTRADO"),"")</f>
        <v/>
      </c>
      <c r="I4758" s="77"/>
      <c r="J4758" s="78"/>
      <c r="K4758" s="79"/>
      <c r="L4758" s="80" t="str">
        <f aca="false">IF(AND(J4758&lt;&gt;"",K4758&lt;&gt;""),J4758*K4758,"")</f>
        <v/>
      </c>
      <c r="M4758" s="81" t="str">
        <f aca="false">IF(L4758&lt;&gt;"",L4758*1.1,"")</f>
        <v/>
      </c>
      <c r="N4758" s="53" t="n">
        <f aca="false">IF(F4758="S",L4758*0.02,0)</f>
        <v>0</v>
      </c>
      <c r="O4758" s="82" t="str">
        <f aca="false">IF(L4758&lt;&gt;"",L4758+N4758,"")</f>
        <v/>
      </c>
      <c r="P4758" s="53" t="str">
        <f aca="false">IF(O4758&lt;&gt;"",O4758*0.1,"")</f>
        <v/>
      </c>
      <c r="Q4758" s="83" t="str">
        <f aca="false">IF(O4758&lt;&gt;"",O4758+P4758,"")</f>
        <v/>
      </c>
      <c r="R4758" s="84"/>
    </row>
    <row r="4759" customFormat="false" ht="15" hidden="false" customHeight="true" outlineLevel="0" collapsed="false">
      <c r="A4759" s="103"/>
      <c r="B4759" s="85"/>
      <c r="C4759" s="86"/>
      <c r="D4759" s="87"/>
      <c r="E4759" s="46" t="str">
        <f aca="false">IF(D4759&lt;&gt;"",IFERROR(VLOOKUP(D4759,PROVEEDORES!$A:$B,2,0),"!COD NO ENCONTRADO"),"")</f>
        <v/>
      </c>
      <c r="F4759" s="88" t="str">
        <f aca="false">IF(D4759&lt;&gt;"",IFERROR(VLOOKUP(D4759,PROVEEDORES!$A:$C,3,0),""),"")</f>
        <v/>
      </c>
      <c r="G4759" s="87"/>
      <c r="H4759" s="46" t="str">
        <f aca="false">IF(G4759&lt;&gt;"",IFERROR(VLOOKUP(G4759,PRODUCTOS!$A:$B,2,0),"!COD NO ENCONTRADO"),"")</f>
        <v/>
      </c>
      <c r="I4759" s="89"/>
      <c r="J4759" s="90"/>
      <c r="K4759" s="91"/>
      <c r="L4759" s="80" t="str">
        <f aca="false">IF(AND(J4759&lt;&gt;"",K4759&lt;&gt;""),J4759*K4759,"")</f>
        <v/>
      </c>
      <c r="M4759" s="81" t="str">
        <f aca="false">IF(L4759&lt;&gt;"",L4759*1.1,"")</f>
        <v/>
      </c>
      <c r="N4759" s="47" t="n">
        <f aca="false">IF(F4759="S",L4759*0.02,0)</f>
        <v>0</v>
      </c>
      <c r="O4759" s="82" t="str">
        <f aca="false">IF(L4759&lt;&gt;"",L4759+N4759,"")</f>
        <v/>
      </c>
      <c r="P4759" s="47" t="str">
        <f aca="false">IF(O4759&lt;&gt;"",O4759*0.1,"")</f>
        <v/>
      </c>
      <c r="Q4759" s="83" t="str">
        <f aca="false">IF(O4759&lt;&gt;"",O4759+P4759,"")</f>
        <v/>
      </c>
      <c r="R4759" s="84"/>
    </row>
    <row r="4760" customFormat="false" ht="15" hidden="false" customHeight="true" outlineLevel="0" collapsed="false">
      <c r="A4760" s="103"/>
      <c r="B4760" s="73"/>
      <c r="C4760" s="74"/>
      <c r="D4760" s="75"/>
      <c r="E4760" s="52" t="str">
        <f aca="false">IF(D4760&lt;&gt;"",IFERROR(VLOOKUP(D4760,PROVEEDORES!$A:$B,2,0),"!COD NO ENCONTRADO"),"")</f>
        <v/>
      </c>
      <c r="F4760" s="76" t="str">
        <f aca="false">IF(D4760&lt;&gt;"",IFERROR(VLOOKUP(D4760,PROVEEDORES!$A:$C,3,0),""),"")</f>
        <v/>
      </c>
      <c r="G4760" s="75"/>
      <c r="H4760" s="52" t="str">
        <f aca="false">IF(G4760&lt;&gt;"",IFERROR(VLOOKUP(G4760,PRODUCTOS!$A:$B,2,0),"!COD NO ENCONTRADO"),"")</f>
        <v/>
      </c>
      <c r="I4760" s="77"/>
      <c r="J4760" s="78"/>
      <c r="K4760" s="79"/>
      <c r="L4760" s="80" t="str">
        <f aca="false">IF(AND(J4760&lt;&gt;"",K4760&lt;&gt;""),J4760*K4760,"")</f>
        <v/>
      </c>
      <c r="M4760" s="81" t="str">
        <f aca="false">IF(L4760&lt;&gt;"",L4760*1.1,"")</f>
        <v/>
      </c>
      <c r="N4760" s="53" t="n">
        <f aca="false">IF(F4760="S",L4760*0.02,0)</f>
        <v>0</v>
      </c>
      <c r="O4760" s="82" t="str">
        <f aca="false">IF(L4760&lt;&gt;"",L4760+N4760,"")</f>
        <v/>
      </c>
      <c r="P4760" s="53" t="str">
        <f aca="false">IF(O4760&lt;&gt;"",O4760*0.1,"")</f>
        <v/>
      </c>
      <c r="Q4760" s="83" t="str">
        <f aca="false">IF(O4760&lt;&gt;"",O4760+P4760,"")</f>
        <v/>
      </c>
      <c r="R4760" s="84"/>
    </row>
    <row r="4761" customFormat="false" ht="15" hidden="false" customHeight="true" outlineLevel="0" collapsed="false">
      <c r="A4761" s="103"/>
      <c r="B4761" s="85"/>
      <c r="C4761" s="86"/>
      <c r="D4761" s="87"/>
      <c r="E4761" s="46" t="str">
        <f aca="false">IF(D4761&lt;&gt;"",IFERROR(VLOOKUP(D4761,PROVEEDORES!$A:$B,2,0),"!COD NO ENCONTRADO"),"")</f>
        <v/>
      </c>
      <c r="F4761" s="88" t="str">
        <f aca="false">IF(D4761&lt;&gt;"",IFERROR(VLOOKUP(D4761,PROVEEDORES!$A:$C,3,0),""),"")</f>
        <v/>
      </c>
      <c r="G4761" s="87"/>
      <c r="H4761" s="46" t="str">
        <f aca="false">IF(G4761&lt;&gt;"",IFERROR(VLOOKUP(G4761,PRODUCTOS!$A:$B,2,0),"!COD NO ENCONTRADO"),"")</f>
        <v/>
      </c>
      <c r="I4761" s="89"/>
      <c r="J4761" s="90"/>
      <c r="K4761" s="91"/>
      <c r="L4761" s="80" t="str">
        <f aca="false">IF(AND(J4761&lt;&gt;"",K4761&lt;&gt;""),J4761*K4761,"")</f>
        <v/>
      </c>
      <c r="M4761" s="81" t="str">
        <f aca="false">IF(L4761&lt;&gt;"",L4761*1.1,"")</f>
        <v/>
      </c>
      <c r="N4761" s="47" t="n">
        <f aca="false">IF(F4761="S",L4761*0.02,0)</f>
        <v>0</v>
      </c>
      <c r="O4761" s="82" t="str">
        <f aca="false">IF(L4761&lt;&gt;"",L4761+N4761,"")</f>
        <v/>
      </c>
      <c r="P4761" s="47" t="str">
        <f aca="false">IF(O4761&lt;&gt;"",O4761*0.1,"")</f>
        <v/>
      </c>
      <c r="Q4761" s="83" t="str">
        <f aca="false">IF(O4761&lt;&gt;"",O4761+P4761,"")</f>
        <v/>
      </c>
      <c r="R4761" s="84"/>
    </row>
    <row r="4762" customFormat="false" ht="15" hidden="false" customHeight="true" outlineLevel="0" collapsed="false">
      <c r="A4762" s="103"/>
      <c r="B4762" s="73"/>
      <c r="C4762" s="74"/>
      <c r="D4762" s="75"/>
      <c r="E4762" s="52" t="str">
        <f aca="false">IF(D4762&lt;&gt;"",IFERROR(VLOOKUP(D4762,PROVEEDORES!$A:$B,2,0),"!COD NO ENCONTRADO"),"")</f>
        <v/>
      </c>
      <c r="F4762" s="76" t="str">
        <f aca="false">IF(D4762&lt;&gt;"",IFERROR(VLOOKUP(D4762,PROVEEDORES!$A:$C,3,0),""),"")</f>
        <v/>
      </c>
      <c r="G4762" s="75"/>
      <c r="H4762" s="52" t="str">
        <f aca="false">IF(G4762&lt;&gt;"",IFERROR(VLOOKUP(G4762,PRODUCTOS!$A:$B,2,0),"!COD NO ENCONTRADO"),"")</f>
        <v/>
      </c>
      <c r="I4762" s="77"/>
      <c r="J4762" s="78"/>
      <c r="K4762" s="79"/>
      <c r="L4762" s="80" t="str">
        <f aca="false">IF(AND(J4762&lt;&gt;"",K4762&lt;&gt;""),J4762*K4762,"")</f>
        <v/>
      </c>
      <c r="M4762" s="81" t="str">
        <f aca="false">IF(L4762&lt;&gt;"",L4762*1.1,"")</f>
        <v/>
      </c>
      <c r="N4762" s="53" t="n">
        <f aca="false">IF(F4762="S",L4762*0.02,0)</f>
        <v>0</v>
      </c>
      <c r="O4762" s="82" t="str">
        <f aca="false">IF(L4762&lt;&gt;"",L4762+N4762,"")</f>
        <v/>
      </c>
      <c r="P4762" s="53" t="str">
        <f aca="false">IF(O4762&lt;&gt;"",O4762*0.1,"")</f>
        <v/>
      </c>
      <c r="Q4762" s="83" t="str">
        <f aca="false">IF(O4762&lt;&gt;"",O4762+P4762,"")</f>
        <v/>
      </c>
      <c r="R4762" s="84"/>
    </row>
    <row r="4763" customFormat="false" ht="15" hidden="false" customHeight="true" outlineLevel="0" collapsed="false">
      <c r="A4763" s="103"/>
      <c r="B4763" s="85"/>
      <c r="C4763" s="86"/>
      <c r="D4763" s="87"/>
      <c r="E4763" s="46" t="str">
        <f aca="false">IF(D4763&lt;&gt;"",IFERROR(VLOOKUP(D4763,PROVEEDORES!$A:$B,2,0),"!COD NO ENCONTRADO"),"")</f>
        <v/>
      </c>
      <c r="F4763" s="88" t="str">
        <f aca="false">IF(D4763&lt;&gt;"",IFERROR(VLOOKUP(D4763,PROVEEDORES!$A:$C,3,0),""),"")</f>
        <v/>
      </c>
      <c r="G4763" s="87"/>
      <c r="H4763" s="46" t="str">
        <f aca="false">IF(G4763&lt;&gt;"",IFERROR(VLOOKUP(G4763,PRODUCTOS!$A:$B,2,0),"!COD NO ENCONTRADO"),"")</f>
        <v/>
      </c>
      <c r="I4763" s="89"/>
      <c r="J4763" s="90"/>
      <c r="K4763" s="91"/>
      <c r="L4763" s="80" t="str">
        <f aca="false">IF(AND(J4763&lt;&gt;"",K4763&lt;&gt;""),J4763*K4763,"")</f>
        <v/>
      </c>
      <c r="M4763" s="81" t="str">
        <f aca="false">IF(L4763&lt;&gt;"",L4763*1.1,"")</f>
        <v/>
      </c>
      <c r="N4763" s="47" t="n">
        <f aca="false">IF(F4763="S",L4763*0.02,0)</f>
        <v>0</v>
      </c>
      <c r="O4763" s="82" t="str">
        <f aca="false">IF(L4763&lt;&gt;"",L4763+N4763,"")</f>
        <v/>
      </c>
      <c r="P4763" s="47" t="str">
        <f aca="false">IF(O4763&lt;&gt;"",O4763*0.1,"")</f>
        <v/>
      </c>
      <c r="Q4763" s="83" t="str">
        <f aca="false">IF(O4763&lt;&gt;"",O4763+P4763,"")</f>
        <v/>
      </c>
      <c r="R4763" s="84"/>
    </row>
    <row r="4764" customFormat="false" ht="15" hidden="false" customHeight="true" outlineLevel="0" collapsed="false">
      <c r="A4764" s="103"/>
      <c r="B4764" s="73"/>
      <c r="C4764" s="74"/>
      <c r="D4764" s="75"/>
      <c r="E4764" s="52" t="str">
        <f aca="false">IF(D4764&lt;&gt;"",IFERROR(VLOOKUP(D4764,PROVEEDORES!$A:$B,2,0),"!COD NO ENCONTRADO"),"")</f>
        <v/>
      </c>
      <c r="F4764" s="76" t="str">
        <f aca="false">IF(D4764&lt;&gt;"",IFERROR(VLOOKUP(D4764,PROVEEDORES!$A:$C,3,0),""),"")</f>
        <v/>
      </c>
      <c r="G4764" s="75"/>
      <c r="H4764" s="52" t="str">
        <f aca="false">IF(G4764&lt;&gt;"",IFERROR(VLOOKUP(G4764,PRODUCTOS!$A:$B,2,0),"!COD NO ENCONTRADO"),"")</f>
        <v/>
      </c>
      <c r="I4764" s="77"/>
      <c r="J4764" s="78"/>
      <c r="K4764" s="79"/>
      <c r="L4764" s="80" t="str">
        <f aca="false">IF(AND(J4764&lt;&gt;"",K4764&lt;&gt;""),J4764*K4764,"")</f>
        <v/>
      </c>
      <c r="M4764" s="81" t="str">
        <f aca="false">IF(L4764&lt;&gt;"",L4764*1.1,"")</f>
        <v/>
      </c>
      <c r="N4764" s="53" t="n">
        <f aca="false">IF(F4764="S",L4764*0.02,0)</f>
        <v>0</v>
      </c>
      <c r="O4764" s="82" t="str">
        <f aca="false">IF(L4764&lt;&gt;"",L4764+N4764,"")</f>
        <v/>
      </c>
      <c r="P4764" s="53" t="str">
        <f aca="false">IF(O4764&lt;&gt;"",O4764*0.1,"")</f>
        <v/>
      </c>
      <c r="Q4764" s="83" t="str">
        <f aca="false">IF(O4764&lt;&gt;"",O4764+P4764,"")</f>
        <v/>
      </c>
      <c r="R4764" s="84"/>
    </row>
    <row r="4765" customFormat="false" ht="15" hidden="false" customHeight="true" outlineLevel="0" collapsed="false">
      <c r="A4765" s="103"/>
      <c r="B4765" s="85"/>
      <c r="C4765" s="86"/>
      <c r="D4765" s="87"/>
      <c r="E4765" s="46" t="str">
        <f aca="false">IF(D4765&lt;&gt;"",IFERROR(VLOOKUP(D4765,PROVEEDORES!$A:$B,2,0),"!COD NO ENCONTRADO"),"")</f>
        <v/>
      </c>
      <c r="F4765" s="88" t="str">
        <f aca="false">IF(D4765&lt;&gt;"",IFERROR(VLOOKUP(D4765,PROVEEDORES!$A:$C,3,0),""),"")</f>
        <v/>
      </c>
      <c r="G4765" s="87"/>
      <c r="H4765" s="46" t="str">
        <f aca="false">IF(G4765&lt;&gt;"",IFERROR(VLOOKUP(G4765,PRODUCTOS!$A:$B,2,0),"!COD NO ENCONTRADO"),"")</f>
        <v/>
      </c>
      <c r="I4765" s="89"/>
      <c r="J4765" s="90"/>
      <c r="K4765" s="91"/>
      <c r="L4765" s="80" t="str">
        <f aca="false">IF(AND(J4765&lt;&gt;"",K4765&lt;&gt;""),J4765*K4765,"")</f>
        <v/>
      </c>
      <c r="M4765" s="81" t="str">
        <f aca="false">IF(L4765&lt;&gt;"",L4765*1.1,"")</f>
        <v/>
      </c>
      <c r="N4765" s="47" t="n">
        <f aca="false">IF(F4765="S",L4765*0.02,0)</f>
        <v>0</v>
      </c>
      <c r="O4765" s="82" t="str">
        <f aca="false">IF(L4765&lt;&gt;"",L4765+N4765,"")</f>
        <v/>
      </c>
      <c r="P4765" s="47" t="str">
        <f aca="false">IF(O4765&lt;&gt;"",O4765*0.1,"")</f>
        <v/>
      </c>
      <c r="Q4765" s="83" t="str">
        <f aca="false">IF(O4765&lt;&gt;"",O4765+P4765,"")</f>
        <v/>
      </c>
      <c r="R4765" s="84"/>
    </row>
    <row r="4766" customFormat="false" ht="15" hidden="false" customHeight="true" outlineLevel="0" collapsed="false">
      <c r="A4766" s="103"/>
      <c r="B4766" s="73"/>
      <c r="C4766" s="74"/>
      <c r="D4766" s="75"/>
      <c r="E4766" s="52" t="str">
        <f aca="false">IF(D4766&lt;&gt;"",IFERROR(VLOOKUP(D4766,PROVEEDORES!$A:$B,2,0),"!COD NO ENCONTRADO"),"")</f>
        <v/>
      </c>
      <c r="F4766" s="76" t="str">
        <f aca="false">IF(D4766&lt;&gt;"",IFERROR(VLOOKUP(D4766,PROVEEDORES!$A:$C,3,0),""),"")</f>
        <v/>
      </c>
      <c r="G4766" s="75"/>
      <c r="H4766" s="52" t="str">
        <f aca="false">IF(G4766&lt;&gt;"",IFERROR(VLOOKUP(G4766,PRODUCTOS!$A:$B,2,0),"!COD NO ENCONTRADO"),"")</f>
        <v/>
      </c>
      <c r="I4766" s="77"/>
      <c r="J4766" s="78"/>
      <c r="K4766" s="79"/>
      <c r="L4766" s="80" t="str">
        <f aca="false">IF(AND(J4766&lt;&gt;"",K4766&lt;&gt;""),J4766*K4766,"")</f>
        <v/>
      </c>
      <c r="M4766" s="81" t="str">
        <f aca="false">IF(L4766&lt;&gt;"",L4766*1.1,"")</f>
        <v/>
      </c>
      <c r="N4766" s="53" t="n">
        <f aca="false">IF(F4766="S",L4766*0.02,0)</f>
        <v>0</v>
      </c>
      <c r="O4766" s="82" t="str">
        <f aca="false">IF(L4766&lt;&gt;"",L4766+N4766,"")</f>
        <v/>
      </c>
      <c r="P4766" s="53" t="str">
        <f aca="false">IF(O4766&lt;&gt;"",O4766*0.1,"")</f>
        <v/>
      </c>
      <c r="Q4766" s="83" t="str">
        <f aca="false">IF(O4766&lt;&gt;"",O4766+P4766,"")</f>
        <v/>
      </c>
      <c r="R4766" s="84"/>
    </row>
    <row r="4767" customFormat="false" ht="15" hidden="false" customHeight="true" outlineLevel="0" collapsed="false">
      <c r="A4767" s="103"/>
      <c r="B4767" s="85"/>
      <c r="C4767" s="86"/>
      <c r="D4767" s="87"/>
      <c r="E4767" s="46" t="str">
        <f aca="false">IF(D4767&lt;&gt;"",IFERROR(VLOOKUP(D4767,PROVEEDORES!$A:$B,2,0),"!COD NO ENCONTRADO"),"")</f>
        <v/>
      </c>
      <c r="F4767" s="88" t="str">
        <f aca="false">IF(D4767&lt;&gt;"",IFERROR(VLOOKUP(D4767,PROVEEDORES!$A:$C,3,0),""),"")</f>
        <v/>
      </c>
      <c r="G4767" s="87"/>
      <c r="H4767" s="46" t="str">
        <f aca="false">IF(G4767&lt;&gt;"",IFERROR(VLOOKUP(G4767,PRODUCTOS!$A:$B,2,0),"!COD NO ENCONTRADO"),"")</f>
        <v/>
      </c>
      <c r="I4767" s="89"/>
      <c r="J4767" s="90"/>
      <c r="K4767" s="91"/>
      <c r="L4767" s="80" t="str">
        <f aca="false">IF(AND(J4767&lt;&gt;"",K4767&lt;&gt;""),J4767*K4767,"")</f>
        <v/>
      </c>
      <c r="M4767" s="81" t="str">
        <f aca="false">IF(L4767&lt;&gt;"",L4767*1.1,"")</f>
        <v/>
      </c>
      <c r="N4767" s="47" t="n">
        <f aca="false">IF(F4767="S",L4767*0.02,0)</f>
        <v>0</v>
      </c>
      <c r="O4767" s="82" t="str">
        <f aca="false">IF(L4767&lt;&gt;"",L4767+N4767,"")</f>
        <v/>
      </c>
      <c r="P4767" s="47" t="str">
        <f aca="false">IF(O4767&lt;&gt;"",O4767*0.1,"")</f>
        <v/>
      </c>
      <c r="Q4767" s="83" t="str">
        <f aca="false">IF(O4767&lt;&gt;"",O4767+P4767,"")</f>
        <v/>
      </c>
      <c r="R4767" s="84"/>
    </row>
    <row r="4768" customFormat="false" ht="15" hidden="false" customHeight="true" outlineLevel="0" collapsed="false">
      <c r="A4768" s="103"/>
      <c r="B4768" s="73"/>
      <c r="C4768" s="74"/>
      <c r="D4768" s="75"/>
      <c r="E4768" s="52" t="str">
        <f aca="false">IF(D4768&lt;&gt;"",IFERROR(VLOOKUP(D4768,PROVEEDORES!$A:$B,2,0),"!COD NO ENCONTRADO"),"")</f>
        <v/>
      </c>
      <c r="F4768" s="76" t="str">
        <f aca="false">IF(D4768&lt;&gt;"",IFERROR(VLOOKUP(D4768,PROVEEDORES!$A:$C,3,0),""),"")</f>
        <v/>
      </c>
      <c r="G4768" s="75"/>
      <c r="H4768" s="52" t="str">
        <f aca="false">IF(G4768&lt;&gt;"",IFERROR(VLOOKUP(G4768,PRODUCTOS!$A:$B,2,0),"!COD NO ENCONTRADO"),"")</f>
        <v/>
      </c>
      <c r="I4768" s="77"/>
      <c r="J4768" s="78"/>
      <c r="K4768" s="79"/>
      <c r="L4768" s="80" t="str">
        <f aca="false">IF(AND(J4768&lt;&gt;"",K4768&lt;&gt;""),J4768*K4768,"")</f>
        <v/>
      </c>
      <c r="M4768" s="81" t="str">
        <f aca="false">IF(L4768&lt;&gt;"",L4768*1.1,"")</f>
        <v/>
      </c>
      <c r="N4768" s="53" t="n">
        <f aca="false">IF(F4768="S",L4768*0.02,0)</f>
        <v>0</v>
      </c>
      <c r="O4768" s="82" t="str">
        <f aca="false">IF(L4768&lt;&gt;"",L4768+N4768,"")</f>
        <v/>
      </c>
      <c r="P4768" s="53" t="str">
        <f aca="false">IF(O4768&lt;&gt;"",O4768*0.1,"")</f>
        <v/>
      </c>
      <c r="Q4768" s="83" t="str">
        <f aca="false">IF(O4768&lt;&gt;"",O4768+P4768,"")</f>
        <v/>
      </c>
      <c r="R4768" s="84"/>
    </row>
    <row r="4769" customFormat="false" ht="15" hidden="false" customHeight="true" outlineLevel="0" collapsed="false">
      <c r="A4769" s="103"/>
      <c r="B4769" s="85"/>
      <c r="C4769" s="86"/>
      <c r="D4769" s="87"/>
      <c r="E4769" s="46" t="str">
        <f aca="false">IF(D4769&lt;&gt;"",IFERROR(VLOOKUP(D4769,PROVEEDORES!$A:$B,2,0),"!COD NO ENCONTRADO"),"")</f>
        <v/>
      </c>
      <c r="F4769" s="88" t="str">
        <f aca="false">IF(D4769&lt;&gt;"",IFERROR(VLOOKUP(D4769,PROVEEDORES!$A:$C,3,0),""),"")</f>
        <v/>
      </c>
      <c r="G4769" s="87"/>
      <c r="H4769" s="46" t="str">
        <f aca="false">IF(G4769&lt;&gt;"",IFERROR(VLOOKUP(G4769,PRODUCTOS!$A:$B,2,0),"!COD NO ENCONTRADO"),"")</f>
        <v/>
      </c>
      <c r="I4769" s="89"/>
      <c r="J4769" s="90"/>
      <c r="K4769" s="91"/>
      <c r="L4769" s="80" t="str">
        <f aca="false">IF(AND(J4769&lt;&gt;"",K4769&lt;&gt;""),J4769*K4769,"")</f>
        <v/>
      </c>
      <c r="M4769" s="81" t="str">
        <f aca="false">IF(L4769&lt;&gt;"",L4769*1.1,"")</f>
        <v/>
      </c>
      <c r="N4769" s="47" t="n">
        <f aca="false">IF(F4769="S",L4769*0.02,0)</f>
        <v>0</v>
      </c>
      <c r="O4769" s="82" t="str">
        <f aca="false">IF(L4769&lt;&gt;"",L4769+N4769,"")</f>
        <v/>
      </c>
      <c r="P4769" s="47" t="str">
        <f aca="false">IF(O4769&lt;&gt;"",O4769*0.1,"")</f>
        <v/>
      </c>
      <c r="Q4769" s="83" t="str">
        <f aca="false">IF(O4769&lt;&gt;"",O4769+P4769,"")</f>
        <v/>
      </c>
      <c r="R4769" s="84"/>
    </row>
    <row r="4770" customFormat="false" ht="15" hidden="false" customHeight="true" outlineLevel="0" collapsed="false">
      <c r="A4770" s="103"/>
      <c r="B4770" s="73"/>
      <c r="C4770" s="74"/>
      <c r="D4770" s="75"/>
      <c r="E4770" s="52" t="str">
        <f aca="false">IF(D4770&lt;&gt;"",IFERROR(VLOOKUP(D4770,PROVEEDORES!$A:$B,2,0),"!COD NO ENCONTRADO"),"")</f>
        <v/>
      </c>
      <c r="F4770" s="76" t="str">
        <f aca="false">IF(D4770&lt;&gt;"",IFERROR(VLOOKUP(D4770,PROVEEDORES!$A:$C,3,0),""),"")</f>
        <v/>
      </c>
      <c r="G4770" s="75"/>
      <c r="H4770" s="52" t="str">
        <f aca="false">IF(G4770&lt;&gt;"",IFERROR(VLOOKUP(G4770,PRODUCTOS!$A:$B,2,0),"!COD NO ENCONTRADO"),"")</f>
        <v/>
      </c>
      <c r="I4770" s="77"/>
      <c r="J4770" s="78"/>
      <c r="K4770" s="79"/>
      <c r="L4770" s="80" t="str">
        <f aca="false">IF(AND(J4770&lt;&gt;"",K4770&lt;&gt;""),J4770*K4770,"")</f>
        <v/>
      </c>
      <c r="M4770" s="81" t="str">
        <f aca="false">IF(L4770&lt;&gt;"",L4770*1.1,"")</f>
        <v/>
      </c>
      <c r="N4770" s="53" t="n">
        <f aca="false">IF(F4770="S",L4770*0.02,0)</f>
        <v>0</v>
      </c>
      <c r="O4770" s="82" t="str">
        <f aca="false">IF(L4770&lt;&gt;"",L4770+N4770,"")</f>
        <v/>
      </c>
      <c r="P4770" s="53" t="str">
        <f aca="false">IF(O4770&lt;&gt;"",O4770*0.1,"")</f>
        <v/>
      </c>
      <c r="Q4770" s="83" t="str">
        <f aca="false">IF(O4770&lt;&gt;"",O4770+P4770,"")</f>
        <v/>
      </c>
      <c r="R4770" s="84"/>
    </row>
    <row r="4771" customFormat="false" ht="15" hidden="false" customHeight="true" outlineLevel="0" collapsed="false">
      <c r="A4771" s="103"/>
      <c r="B4771" s="85"/>
      <c r="C4771" s="86"/>
      <c r="D4771" s="87"/>
      <c r="E4771" s="46" t="str">
        <f aca="false">IF(D4771&lt;&gt;"",IFERROR(VLOOKUP(D4771,PROVEEDORES!$A:$B,2,0),"!COD NO ENCONTRADO"),"")</f>
        <v/>
      </c>
      <c r="F4771" s="88" t="str">
        <f aca="false">IF(D4771&lt;&gt;"",IFERROR(VLOOKUP(D4771,PROVEEDORES!$A:$C,3,0),""),"")</f>
        <v/>
      </c>
      <c r="G4771" s="87"/>
      <c r="H4771" s="46" t="str">
        <f aca="false">IF(G4771&lt;&gt;"",IFERROR(VLOOKUP(G4771,PRODUCTOS!$A:$B,2,0),"!COD NO ENCONTRADO"),"")</f>
        <v/>
      </c>
      <c r="I4771" s="89"/>
      <c r="J4771" s="90"/>
      <c r="K4771" s="91"/>
      <c r="L4771" s="80" t="str">
        <f aca="false">IF(AND(J4771&lt;&gt;"",K4771&lt;&gt;""),J4771*K4771,"")</f>
        <v/>
      </c>
      <c r="M4771" s="81" t="str">
        <f aca="false">IF(L4771&lt;&gt;"",L4771*1.1,"")</f>
        <v/>
      </c>
      <c r="N4771" s="47" t="n">
        <f aca="false">IF(F4771="S",L4771*0.02,0)</f>
        <v>0</v>
      </c>
      <c r="O4771" s="82" t="str">
        <f aca="false">IF(L4771&lt;&gt;"",L4771+N4771,"")</f>
        <v/>
      </c>
      <c r="P4771" s="47" t="str">
        <f aca="false">IF(O4771&lt;&gt;"",O4771*0.1,"")</f>
        <v/>
      </c>
      <c r="Q4771" s="83" t="str">
        <f aca="false">IF(O4771&lt;&gt;"",O4771+P4771,"")</f>
        <v/>
      </c>
      <c r="R4771" s="84"/>
    </row>
    <row r="4772" customFormat="false" ht="15" hidden="false" customHeight="true" outlineLevel="0" collapsed="false">
      <c r="A4772" s="103"/>
      <c r="B4772" s="73"/>
      <c r="C4772" s="74"/>
      <c r="D4772" s="75"/>
      <c r="E4772" s="52" t="str">
        <f aca="false">IF(D4772&lt;&gt;"",IFERROR(VLOOKUP(D4772,PROVEEDORES!$A:$B,2,0),"!COD NO ENCONTRADO"),"")</f>
        <v/>
      </c>
      <c r="F4772" s="76" t="str">
        <f aca="false">IF(D4772&lt;&gt;"",IFERROR(VLOOKUP(D4772,PROVEEDORES!$A:$C,3,0),""),"")</f>
        <v/>
      </c>
      <c r="G4772" s="75"/>
      <c r="H4772" s="52" t="str">
        <f aca="false">IF(G4772&lt;&gt;"",IFERROR(VLOOKUP(G4772,PRODUCTOS!$A:$B,2,0),"!COD NO ENCONTRADO"),"")</f>
        <v/>
      </c>
      <c r="I4772" s="77"/>
      <c r="J4772" s="78"/>
      <c r="K4772" s="79"/>
      <c r="L4772" s="80" t="str">
        <f aca="false">IF(AND(J4772&lt;&gt;"",K4772&lt;&gt;""),J4772*K4772,"")</f>
        <v/>
      </c>
      <c r="M4772" s="81" t="str">
        <f aca="false">IF(L4772&lt;&gt;"",L4772*1.1,"")</f>
        <v/>
      </c>
      <c r="N4772" s="53" t="n">
        <f aca="false">IF(F4772="S",L4772*0.02,0)</f>
        <v>0</v>
      </c>
      <c r="O4772" s="82" t="str">
        <f aca="false">IF(L4772&lt;&gt;"",L4772+N4772,"")</f>
        <v/>
      </c>
      <c r="P4772" s="53" t="str">
        <f aca="false">IF(O4772&lt;&gt;"",O4772*0.1,"")</f>
        <v/>
      </c>
      <c r="Q4772" s="83" t="str">
        <f aca="false">IF(O4772&lt;&gt;"",O4772+P4772,"")</f>
        <v/>
      </c>
      <c r="R4772" s="84"/>
    </row>
    <row r="4773" customFormat="false" ht="15" hidden="false" customHeight="true" outlineLevel="0" collapsed="false">
      <c r="A4773" s="103"/>
      <c r="B4773" s="85"/>
      <c r="C4773" s="86"/>
      <c r="D4773" s="87"/>
      <c r="E4773" s="46" t="str">
        <f aca="false">IF(D4773&lt;&gt;"",IFERROR(VLOOKUP(D4773,PROVEEDORES!$A:$B,2,0),"!COD NO ENCONTRADO"),"")</f>
        <v/>
      </c>
      <c r="F4773" s="88" t="str">
        <f aca="false">IF(D4773&lt;&gt;"",IFERROR(VLOOKUP(D4773,PROVEEDORES!$A:$C,3,0),""),"")</f>
        <v/>
      </c>
      <c r="G4773" s="87"/>
      <c r="H4773" s="46" t="str">
        <f aca="false">IF(G4773&lt;&gt;"",IFERROR(VLOOKUP(G4773,PRODUCTOS!$A:$B,2,0),"!COD NO ENCONTRADO"),"")</f>
        <v/>
      </c>
      <c r="I4773" s="89"/>
      <c r="J4773" s="90"/>
      <c r="K4773" s="91"/>
      <c r="L4773" s="80" t="str">
        <f aca="false">IF(AND(J4773&lt;&gt;"",K4773&lt;&gt;""),J4773*K4773,"")</f>
        <v/>
      </c>
      <c r="M4773" s="81" t="str">
        <f aca="false">IF(L4773&lt;&gt;"",L4773*1.1,"")</f>
        <v/>
      </c>
      <c r="N4773" s="47" t="n">
        <f aca="false">IF(F4773="S",L4773*0.02,0)</f>
        <v>0</v>
      </c>
      <c r="O4773" s="82" t="str">
        <f aca="false">IF(L4773&lt;&gt;"",L4773+N4773,"")</f>
        <v/>
      </c>
      <c r="P4773" s="47" t="str">
        <f aca="false">IF(O4773&lt;&gt;"",O4773*0.1,"")</f>
        <v/>
      </c>
      <c r="Q4773" s="83" t="str">
        <f aca="false">IF(O4773&lt;&gt;"",O4773+P4773,"")</f>
        <v/>
      </c>
      <c r="R4773" s="84"/>
    </row>
    <row r="4774" customFormat="false" ht="15" hidden="false" customHeight="true" outlineLevel="0" collapsed="false">
      <c r="A4774" s="103"/>
      <c r="B4774" s="73"/>
      <c r="C4774" s="74"/>
      <c r="D4774" s="75"/>
      <c r="E4774" s="52" t="str">
        <f aca="false">IF(D4774&lt;&gt;"",IFERROR(VLOOKUP(D4774,PROVEEDORES!$A:$B,2,0),"!COD NO ENCONTRADO"),"")</f>
        <v/>
      </c>
      <c r="F4774" s="76" t="str">
        <f aca="false">IF(D4774&lt;&gt;"",IFERROR(VLOOKUP(D4774,PROVEEDORES!$A:$C,3,0),""),"")</f>
        <v/>
      </c>
      <c r="G4774" s="75"/>
      <c r="H4774" s="52" t="str">
        <f aca="false">IF(G4774&lt;&gt;"",IFERROR(VLOOKUP(G4774,PRODUCTOS!$A:$B,2,0),"!COD NO ENCONTRADO"),"")</f>
        <v/>
      </c>
      <c r="I4774" s="77"/>
      <c r="J4774" s="78"/>
      <c r="K4774" s="79"/>
      <c r="L4774" s="80" t="str">
        <f aca="false">IF(AND(J4774&lt;&gt;"",K4774&lt;&gt;""),J4774*K4774,"")</f>
        <v/>
      </c>
      <c r="M4774" s="81" t="str">
        <f aca="false">IF(L4774&lt;&gt;"",L4774*1.1,"")</f>
        <v/>
      </c>
      <c r="N4774" s="53" t="n">
        <f aca="false">IF(F4774="S",L4774*0.02,0)</f>
        <v>0</v>
      </c>
      <c r="O4774" s="82" t="str">
        <f aca="false">IF(L4774&lt;&gt;"",L4774+N4774,"")</f>
        <v/>
      </c>
      <c r="P4774" s="53" t="str">
        <f aca="false">IF(O4774&lt;&gt;"",O4774*0.1,"")</f>
        <v/>
      </c>
      <c r="Q4774" s="83" t="str">
        <f aca="false">IF(O4774&lt;&gt;"",O4774+P4774,"")</f>
        <v/>
      </c>
      <c r="R4774" s="84"/>
    </row>
    <row r="4775" customFormat="false" ht="15" hidden="false" customHeight="true" outlineLevel="0" collapsed="false">
      <c r="A4775" s="103"/>
      <c r="B4775" s="85"/>
      <c r="C4775" s="86"/>
      <c r="D4775" s="87"/>
      <c r="E4775" s="46" t="str">
        <f aca="false">IF(D4775&lt;&gt;"",IFERROR(VLOOKUP(D4775,PROVEEDORES!$A:$B,2,0),"!COD NO ENCONTRADO"),"")</f>
        <v/>
      </c>
      <c r="F4775" s="88" t="str">
        <f aca="false">IF(D4775&lt;&gt;"",IFERROR(VLOOKUP(D4775,PROVEEDORES!$A:$C,3,0),""),"")</f>
        <v/>
      </c>
      <c r="G4775" s="87"/>
      <c r="H4775" s="46" t="str">
        <f aca="false">IF(G4775&lt;&gt;"",IFERROR(VLOOKUP(G4775,PRODUCTOS!$A:$B,2,0),"!COD NO ENCONTRADO"),"")</f>
        <v/>
      </c>
      <c r="I4775" s="89"/>
      <c r="J4775" s="90"/>
      <c r="K4775" s="91"/>
      <c r="L4775" s="80" t="str">
        <f aca="false">IF(AND(J4775&lt;&gt;"",K4775&lt;&gt;""),J4775*K4775,"")</f>
        <v/>
      </c>
      <c r="M4775" s="81" t="str">
        <f aca="false">IF(L4775&lt;&gt;"",L4775*1.1,"")</f>
        <v/>
      </c>
      <c r="N4775" s="47" t="n">
        <f aca="false">IF(F4775="S",L4775*0.02,0)</f>
        <v>0</v>
      </c>
      <c r="O4775" s="82" t="str">
        <f aca="false">IF(L4775&lt;&gt;"",L4775+N4775,"")</f>
        <v/>
      </c>
      <c r="P4775" s="47" t="str">
        <f aca="false">IF(O4775&lt;&gt;"",O4775*0.1,"")</f>
        <v/>
      </c>
      <c r="Q4775" s="83" t="str">
        <f aca="false">IF(O4775&lt;&gt;"",O4775+P4775,"")</f>
        <v/>
      </c>
      <c r="R4775" s="84"/>
    </row>
    <row r="4776" customFormat="false" ht="15" hidden="false" customHeight="true" outlineLevel="0" collapsed="false">
      <c r="A4776" s="103"/>
      <c r="B4776" s="73"/>
      <c r="C4776" s="74"/>
      <c r="D4776" s="75"/>
      <c r="E4776" s="52" t="str">
        <f aca="false">IF(D4776&lt;&gt;"",IFERROR(VLOOKUP(D4776,PROVEEDORES!$A:$B,2,0),"!COD NO ENCONTRADO"),"")</f>
        <v/>
      </c>
      <c r="F4776" s="76" t="str">
        <f aca="false">IF(D4776&lt;&gt;"",IFERROR(VLOOKUP(D4776,PROVEEDORES!$A:$C,3,0),""),"")</f>
        <v/>
      </c>
      <c r="G4776" s="75"/>
      <c r="H4776" s="52" t="str">
        <f aca="false">IF(G4776&lt;&gt;"",IFERROR(VLOOKUP(G4776,PRODUCTOS!$A:$B,2,0),"!COD NO ENCONTRADO"),"")</f>
        <v/>
      </c>
      <c r="I4776" s="77"/>
      <c r="J4776" s="78"/>
      <c r="K4776" s="79"/>
      <c r="L4776" s="80" t="str">
        <f aca="false">IF(AND(J4776&lt;&gt;"",K4776&lt;&gt;""),J4776*K4776,"")</f>
        <v/>
      </c>
      <c r="M4776" s="81" t="str">
        <f aca="false">IF(L4776&lt;&gt;"",L4776*1.1,"")</f>
        <v/>
      </c>
      <c r="N4776" s="53" t="n">
        <f aca="false">IF(F4776="S",L4776*0.02,0)</f>
        <v>0</v>
      </c>
      <c r="O4776" s="82" t="str">
        <f aca="false">IF(L4776&lt;&gt;"",L4776+N4776,"")</f>
        <v/>
      </c>
      <c r="P4776" s="53" t="str">
        <f aca="false">IF(O4776&lt;&gt;"",O4776*0.1,"")</f>
        <v/>
      </c>
      <c r="Q4776" s="83" t="str">
        <f aca="false">IF(O4776&lt;&gt;"",O4776+P4776,"")</f>
        <v/>
      </c>
      <c r="R4776" s="84"/>
    </row>
    <row r="4777" customFormat="false" ht="15" hidden="false" customHeight="true" outlineLevel="0" collapsed="false">
      <c r="A4777" s="103"/>
      <c r="B4777" s="85"/>
      <c r="C4777" s="86"/>
      <c r="D4777" s="87"/>
      <c r="E4777" s="46" t="str">
        <f aca="false">IF(D4777&lt;&gt;"",IFERROR(VLOOKUP(D4777,PROVEEDORES!$A:$B,2,0),"!COD NO ENCONTRADO"),"")</f>
        <v/>
      </c>
      <c r="F4777" s="88" t="str">
        <f aca="false">IF(D4777&lt;&gt;"",IFERROR(VLOOKUP(D4777,PROVEEDORES!$A:$C,3,0),""),"")</f>
        <v/>
      </c>
      <c r="G4777" s="87"/>
      <c r="H4777" s="46" t="str">
        <f aca="false">IF(G4777&lt;&gt;"",IFERROR(VLOOKUP(G4777,PRODUCTOS!$A:$B,2,0),"!COD NO ENCONTRADO"),"")</f>
        <v/>
      </c>
      <c r="I4777" s="89"/>
      <c r="J4777" s="90"/>
      <c r="K4777" s="91"/>
      <c r="L4777" s="80" t="str">
        <f aca="false">IF(AND(J4777&lt;&gt;"",K4777&lt;&gt;""),J4777*K4777,"")</f>
        <v/>
      </c>
      <c r="M4777" s="81" t="str">
        <f aca="false">IF(L4777&lt;&gt;"",L4777*1.1,"")</f>
        <v/>
      </c>
      <c r="N4777" s="47" t="n">
        <f aca="false">IF(F4777="S",L4777*0.02,0)</f>
        <v>0</v>
      </c>
      <c r="O4777" s="82" t="str">
        <f aca="false">IF(L4777&lt;&gt;"",L4777+N4777,"")</f>
        <v/>
      </c>
      <c r="P4777" s="47" t="str">
        <f aca="false">IF(O4777&lt;&gt;"",O4777*0.1,"")</f>
        <v/>
      </c>
      <c r="Q4777" s="83" t="str">
        <f aca="false">IF(O4777&lt;&gt;"",O4777+P4777,"")</f>
        <v/>
      </c>
      <c r="R4777" s="84"/>
    </row>
    <row r="4778" customFormat="false" ht="15" hidden="false" customHeight="true" outlineLevel="0" collapsed="false">
      <c r="A4778" s="103"/>
      <c r="B4778" s="73"/>
      <c r="C4778" s="74"/>
      <c r="D4778" s="75"/>
      <c r="E4778" s="52" t="str">
        <f aca="false">IF(D4778&lt;&gt;"",IFERROR(VLOOKUP(D4778,PROVEEDORES!$A:$B,2,0),"!COD NO ENCONTRADO"),"")</f>
        <v/>
      </c>
      <c r="F4778" s="76" t="str">
        <f aca="false">IF(D4778&lt;&gt;"",IFERROR(VLOOKUP(D4778,PROVEEDORES!$A:$C,3,0),""),"")</f>
        <v/>
      </c>
      <c r="G4778" s="75"/>
      <c r="H4778" s="52" t="str">
        <f aca="false">IF(G4778&lt;&gt;"",IFERROR(VLOOKUP(G4778,PRODUCTOS!$A:$B,2,0),"!COD NO ENCONTRADO"),"")</f>
        <v/>
      </c>
      <c r="I4778" s="77"/>
      <c r="J4778" s="78"/>
      <c r="K4778" s="79"/>
      <c r="L4778" s="80" t="str">
        <f aca="false">IF(AND(J4778&lt;&gt;"",K4778&lt;&gt;""),J4778*K4778,"")</f>
        <v/>
      </c>
      <c r="M4778" s="81" t="str">
        <f aca="false">IF(L4778&lt;&gt;"",L4778*1.1,"")</f>
        <v/>
      </c>
      <c r="N4778" s="53" t="n">
        <f aca="false">IF(F4778="S",L4778*0.02,0)</f>
        <v>0</v>
      </c>
      <c r="O4778" s="82" t="str">
        <f aca="false">IF(L4778&lt;&gt;"",L4778+N4778,"")</f>
        <v/>
      </c>
      <c r="P4778" s="53" t="str">
        <f aca="false">IF(O4778&lt;&gt;"",O4778*0.1,"")</f>
        <v/>
      </c>
      <c r="Q4778" s="83" t="str">
        <f aca="false">IF(O4778&lt;&gt;"",O4778+P4778,"")</f>
        <v/>
      </c>
      <c r="R4778" s="84"/>
    </row>
    <row r="4779" customFormat="false" ht="15" hidden="false" customHeight="true" outlineLevel="0" collapsed="false">
      <c r="A4779" s="103"/>
      <c r="B4779" s="85"/>
      <c r="C4779" s="86"/>
      <c r="D4779" s="87"/>
      <c r="E4779" s="46" t="str">
        <f aca="false">IF(D4779&lt;&gt;"",IFERROR(VLOOKUP(D4779,PROVEEDORES!$A:$B,2,0),"!COD NO ENCONTRADO"),"")</f>
        <v/>
      </c>
      <c r="F4779" s="88" t="str">
        <f aca="false">IF(D4779&lt;&gt;"",IFERROR(VLOOKUP(D4779,PROVEEDORES!$A:$C,3,0),""),"")</f>
        <v/>
      </c>
      <c r="G4779" s="87"/>
      <c r="H4779" s="46" t="str">
        <f aca="false">IF(G4779&lt;&gt;"",IFERROR(VLOOKUP(G4779,PRODUCTOS!$A:$B,2,0),"!COD NO ENCONTRADO"),"")</f>
        <v/>
      </c>
      <c r="I4779" s="89"/>
      <c r="J4779" s="90"/>
      <c r="K4779" s="91"/>
      <c r="L4779" s="80" t="str">
        <f aca="false">IF(AND(J4779&lt;&gt;"",K4779&lt;&gt;""),J4779*K4779,"")</f>
        <v/>
      </c>
      <c r="M4779" s="81" t="str">
        <f aca="false">IF(L4779&lt;&gt;"",L4779*1.1,"")</f>
        <v/>
      </c>
      <c r="N4779" s="47" t="n">
        <f aca="false">IF(F4779="S",L4779*0.02,0)</f>
        <v>0</v>
      </c>
      <c r="O4779" s="82" t="str">
        <f aca="false">IF(L4779&lt;&gt;"",L4779+N4779,"")</f>
        <v/>
      </c>
      <c r="P4779" s="47" t="str">
        <f aca="false">IF(O4779&lt;&gt;"",O4779*0.1,"")</f>
        <v/>
      </c>
      <c r="Q4779" s="83" t="str">
        <f aca="false">IF(O4779&lt;&gt;"",O4779+P4779,"")</f>
        <v/>
      </c>
      <c r="R4779" s="84"/>
    </row>
    <row r="4780" customFormat="false" ht="15" hidden="false" customHeight="true" outlineLevel="0" collapsed="false">
      <c r="A4780" s="103"/>
      <c r="B4780" s="73"/>
      <c r="C4780" s="74"/>
      <c r="D4780" s="75"/>
      <c r="E4780" s="52" t="str">
        <f aca="false">IF(D4780&lt;&gt;"",IFERROR(VLOOKUP(D4780,PROVEEDORES!$A:$B,2,0),"!COD NO ENCONTRADO"),"")</f>
        <v/>
      </c>
      <c r="F4780" s="76" t="str">
        <f aca="false">IF(D4780&lt;&gt;"",IFERROR(VLOOKUP(D4780,PROVEEDORES!$A:$C,3,0),""),"")</f>
        <v/>
      </c>
      <c r="G4780" s="75"/>
      <c r="H4780" s="52" t="str">
        <f aca="false">IF(G4780&lt;&gt;"",IFERROR(VLOOKUP(G4780,PRODUCTOS!$A:$B,2,0),"!COD NO ENCONTRADO"),"")</f>
        <v/>
      </c>
      <c r="I4780" s="77"/>
      <c r="J4780" s="78"/>
      <c r="K4780" s="79"/>
      <c r="L4780" s="80" t="str">
        <f aca="false">IF(AND(J4780&lt;&gt;"",K4780&lt;&gt;""),J4780*K4780,"")</f>
        <v/>
      </c>
      <c r="M4780" s="81" t="str">
        <f aca="false">IF(L4780&lt;&gt;"",L4780*1.1,"")</f>
        <v/>
      </c>
      <c r="N4780" s="53" t="n">
        <f aca="false">IF(F4780="S",L4780*0.02,0)</f>
        <v>0</v>
      </c>
      <c r="O4780" s="82" t="str">
        <f aca="false">IF(L4780&lt;&gt;"",L4780+N4780,"")</f>
        <v/>
      </c>
      <c r="P4780" s="53" t="str">
        <f aca="false">IF(O4780&lt;&gt;"",O4780*0.1,"")</f>
        <v/>
      </c>
      <c r="Q4780" s="83" t="str">
        <f aca="false">IF(O4780&lt;&gt;"",O4780+P4780,"")</f>
        <v/>
      </c>
      <c r="R4780" s="84"/>
    </row>
    <row r="4781" customFormat="false" ht="15" hidden="false" customHeight="true" outlineLevel="0" collapsed="false">
      <c r="A4781" s="103"/>
      <c r="B4781" s="85"/>
      <c r="C4781" s="86"/>
      <c r="D4781" s="87"/>
      <c r="E4781" s="46" t="str">
        <f aca="false">IF(D4781&lt;&gt;"",IFERROR(VLOOKUP(D4781,PROVEEDORES!$A:$B,2,0),"!COD NO ENCONTRADO"),"")</f>
        <v/>
      </c>
      <c r="F4781" s="88" t="str">
        <f aca="false">IF(D4781&lt;&gt;"",IFERROR(VLOOKUP(D4781,PROVEEDORES!$A:$C,3,0),""),"")</f>
        <v/>
      </c>
      <c r="G4781" s="87"/>
      <c r="H4781" s="46" t="str">
        <f aca="false">IF(G4781&lt;&gt;"",IFERROR(VLOOKUP(G4781,PRODUCTOS!$A:$B,2,0),"!COD NO ENCONTRADO"),"")</f>
        <v/>
      </c>
      <c r="I4781" s="89"/>
      <c r="J4781" s="90"/>
      <c r="K4781" s="91"/>
      <c r="L4781" s="80" t="str">
        <f aca="false">IF(AND(J4781&lt;&gt;"",K4781&lt;&gt;""),J4781*K4781,"")</f>
        <v/>
      </c>
      <c r="M4781" s="81" t="str">
        <f aca="false">IF(L4781&lt;&gt;"",L4781*1.1,"")</f>
        <v/>
      </c>
      <c r="N4781" s="47" t="n">
        <f aca="false">IF(F4781="S",L4781*0.02,0)</f>
        <v>0</v>
      </c>
      <c r="O4781" s="82" t="str">
        <f aca="false">IF(L4781&lt;&gt;"",L4781+N4781,"")</f>
        <v/>
      </c>
      <c r="P4781" s="47" t="str">
        <f aca="false">IF(O4781&lt;&gt;"",O4781*0.1,"")</f>
        <v/>
      </c>
      <c r="Q4781" s="83" t="str">
        <f aca="false">IF(O4781&lt;&gt;"",O4781+P4781,"")</f>
        <v/>
      </c>
      <c r="R4781" s="84"/>
    </row>
    <row r="4782" customFormat="false" ht="15" hidden="false" customHeight="true" outlineLevel="0" collapsed="false">
      <c r="A4782" s="103"/>
      <c r="B4782" s="73"/>
      <c r="C4782" s="74"/>
      <c r="D4782" s="75"/>
      <c r="E4782" s="52" t="str">
        <f aca="false">IF(D4782&lt;&gt;"",IFERROR(VLOOKUP(D4782,PROVEEDORES!$A:$B,2,0),"!COD NO ENCONTRADO"),"")</f>
        <v/>
      </c>
      <c r="F4782" s="76" t="str">
        <f aca="false">IF(D4782&lt;&gt;"",IFERROR(VLOOKUP(D4782,PROVEEDORES!$A:$C,3,0),""),"")</f>
        <v/>
      </c>
      <c r="G4782" s="75"/>
      <c r="H4782" s="52" t="str">
        <f aca="false">IF(G4782&lt;&gt;"",IFERROR(VLOOKUP(G4782,PRODUCTOS!$A:$B,2,0),"!COD NO ENCONTRADO"),"")</f>
        <v/>
      </c>
      <c r="I4782" s="77"/>
      <c r="J4782" s="78"/>
      <c r="K4782" s="79"/>
      <c r="L4782" s="80" t="str">
        <f aca="false">IF(AND(J4782&lt;&gt;"",K4782&lt;&gt;""),J4782*K4782,"")</f>
        <v/>
      </c>
      <c r="M4782" s="81" t="str">
        <f aca="false">IF(L4782&lt;&gt;"",L4782*1.1,"")</f>
        <v/>
      </c>
      <c r="N4782" s="53" t="n">
        <f aca="false">IF(F4782="S",L4782*0.02,0)</f>
        <v>0</v>
      </c>
      <c r="O4782" s="82" t="str">
        <f aca="false">IF(L4782&lt;&gt;"",L4782+N4782,"")</f>
        <v/>
      </c>
      <c r="P4782" s="53" t="str">
        <f aca="false">IF(O4782&lt;&gt;"",O4782*0.1,"")</f>
        <v/>
      </c>
      <c r="Q4782" s="83" t="str">
        <f aca="false">IF(O4782&lt;&gt;"",O4782+P4782,"")</f>
        <v/>
      </c>
      <c r="R4782" s="84"/>
    </row>
    <row r="4783" customFormat="false" ht="15" hidden="false" customHeight="true" outlineLevel="0" collapsed="false">
      <c r="A4783" s="103"/>
      <c r="B4783" s="85"/>
      <c r="C4783" s="86"/>
      <c r="D4783" s="87"/>
      <c r="E4783" s="46" t="str">
        <f aca="false">IF(D4783&lt;&gt;"",IFERROR(VLOOKUP(D4783,PROVEEDORES!$A:$B,2,0),"!COD NO ENCONTRADO"),"")</f>
        <v/>
      </c>
      <c r="F4783" s="88" t="str">
        <f aca="false">IF(D4783&lt;&gt;"",IFERROR(VLOOKUP(D4783,PROVEEDORES!$A:$C,3,0),""),"")</f>
        <v/>
      </c>
      <c r="G4783" s="87"/>
      <c r="H4783" s="46" t="str">
        <f aca="false">IF(G4783&lt;&gt;"",IFERROR(VLOOKUP(G4783,PRODUCTOS!$A:$B,2,0),"!COD NO ENCONTRADO"),"")</f>
        <v/>
      </c>
      <c r="I4783" s="89"/>
      <c r="J4783" s="90"/>
      <c r="K4783" s="91"/>
      <c r="L4783" s="80" t="str">
        <f aca="false">IF(AND(J4783&lt;&gt;"",K4783&lt;&gt;""),J4783*K4783,"")</f>
        <v/>
      </c>
      <c r="M4783" s="81" t="str">
        <f aca="false">IF(L4783&lt;&gt;"",L4783*1.1,"")</f>
        <v/>
      </c>
      <c r="N4783" s="47" t="n">
        <f aca="false">IF(F4783="S",L4783*0.02,0)</f>
        <v>0</v>
      </c>
      <c r="O4783" s="82" t="str">
        <f aca="false">IF(L4783&lt;&gt;"",L4783+N4783,"")</f>
        <v/>
      </c>
      <c r="P4783" s="47" t="str">
        <f aca="false">IF(O4783&lt;&gt;"",O4783*0.1,"")</f>
        <v/>
      </c>
      <c r="Q4783" s="83" t="str">
        <f aca="false">IF(O4783&lt;&gt;"",O4783+P4783,"")</f>
        <v/>
      </c>
      <c r="R4783" s="84"/>
    </row>
    <row r="4784" customFormat="false" ht="15" hidden="false" customHeight="true" outlineLevel="0" collapsed="false">
      <c r="A4784" s="103"/>
      <c r="B4784" s="73"/>
      <c r="C4784" s="74"/>
      <c r="D4784" s="75"/>
      <c r="E4784" s="52" t="str">
        <f aca="false">IF(D4784&lt;&gt;"",IFERROR(VLOOKUP(D4784,PROVEEDORES!$A:$B,2,0),"!COD NO ENCONTRADO"),"")</f>
        <v/>
      </c>
      <c r="F4784" s="76" t="str">
        <f aca="false">IF(D4784&lt;&gt;"",IFERROR(VLOOKUP(D4784,PROVEEDORES!$A:$C,3,0),""),"")</f>
        <v/>
      </c>
      <c r="G4784" s="75"/>
      <c r="H4784" s="52" t="str">
        <f aca="false">IF(G4784&lt;&gt;"",IFERROR(VLOOKUP(G4784,PRODUCTOS!$A:$B,2,0),"!COD NO ENCONTRADO"),"")</f>
        <v/>
      </c>
      <c r="I4784" s="77"/>
      <c r="J4784" s="78"/>
      <c r="K4784" s="79"/>
      <c r="L4784" s="80" t="str">
        <f aca="false">IF(AND(J4784&lt;&gt;"",K4784&lt;&gt;""),J4784*K4784,"")</f>
        <v/>
      </c>
      <c r="M4784" s="81" t="str">
        <f aca="false">IF(L4784&lt;&gt;"",L4784*1.1,"")</f>
        <v/>
      </c>
      <c r="N4784" s="53" t="n">
        <f aca="false">IF(F4784="S",L4784*0.02,0)</f>
        <v>0</v>
      </c>
      <c r="O4784" s="82" t="str">
        <f aca="false">IF(L4784&lt;&gt;"",L4784+N4784,"")</f>
        <v/>
      </c>
      <c r="P4784" s="53" t="str">
        <f aca="false">IF(O4784&lt;&gt;"",O4784*0.1,"")</f>
        <v/>
      </c>
      <c r="Q4784" s="83" t="str">
        <f aca="false">IF(O4784&lt;&gt;"",O4784+P4784,"")</f>
        <v/>
      </c>
      <c r="R4784" s="84"/>
    </row>
    <row r="4785" customFormat="false" ht="15" hidden="false" customHeight="true" outlineLevel="0" collapsed="false">
      <c r="A4785" s="103"/>
      <c r="B4785" s="85"/>
      <c r="C4785" s="86"/>
      <c r="D4785" s="87"/>
      <c r="E4785" s="46" t="str">
        <f aca="false">IF(D4785&lt;&gt;"",IFERROR(VLOOKUP(D4785,PROVEEDORES!$A:$B,2,0),"!COD NO ENCONTRADO"),"")</f>
        <v/>
      </c>
      <c r="F4785" s="88" t="str">
        <f aca="false">IF(D4785&lt;&gt;"",IFERROR(VLOOKUP(D4785,PROVEEDORES!$A:$C,3,0),""),"")</f>
        <v/>
      </c>
      <c r="G4785" s="87"/>
      <c r="H4785" s="46" t="str">
        <f aca="false">IF(G4785&lt;&gt;"",IFERROR(VLOOKUP(G4785,PRODUCTOS!$A:$B,2,0),"!COD NO ENCONTRADO"),"")</f>
        <v/>
      </c>
      <c r="I4785" s="89"/>
      <c r="J4785" s="90"/>
      <c r="K4785" s="91"/>
      <c r="L4785" s="80" t="str">
        <f aca="false">IF(AND(J4785&lt;&gt;"",K4785&lt;&gt;""),J4785*K4785,"")</f>
        <v/>
      </c>
      <c r="M4785" s="81" t="str">
        <f aca="false">IF(L4785&lt;&gt;"",L4785*1.1,"")</f>
        <v/>
      </c>
      <c r="N4785" s="47" t="n">
        <f aca="false">IF(F4785="S",L4785*0.02,0)</f>
        <v>0</v>
      </c>
      <c r="O4785" s="82" t="str">
        <f aca="false">IF(L4785&lt;&gt;"",L4785+N4785,"")</f>
        <v/>
      </c>
      <c r="P4785" s="47" t="str">
        <f aca="false">IF(O4785&lt;&gt;"",O4785*0.1,"")</f>
        <v/>
      </c>
      <c r="Q4785" s="83" t="str">
        <f aca="false">IF(O4785&lt;&gt;"",O4785+P4785,"")</f>
        <v/>
      </c>
      <c r="R4785" s="84"/>
    </row>
    <row r="4786" customFormat="false" ht="15" hidden="false" customHeight="true" outlineLevel="0" collapsed="false">
      <c r="A4786" s="103"/>
      <c r="B4786" s="73"/>
      <c r="C4786" s="74"/>
      <c r="D4786" s="75"/>
      <c r="E4786" s="52" t="str">
        <f aca="false">IF(D4786&lt;&gt;"",IFERROR(VLOOKUP(D4786,PROVEEDORES!$A:$B,2,0),"!COD NO ENCONTRADO"),"")</f>
        <v/>
      </c>
      <c r="F4786" s="76" t="str">
        <f aca="false">IF(D4786&lt;&gt;"",IFERROR(VLOOKUP(D4786,PROVEEDORES!$A:$C,3,0),""),"")</f>
        <v/>
      </c>
      <c r="G4786" s="75"/>
      <c r="H4786" s="52" t="str">
        <f aca="false">IF(G4786&lt;&gt;"",IFERROR(VLOOKUP(G4786,PRODUCTOS!$A:$B,2,0),"!COD NO ENCONTRADO"),"")</f>
        <v/>
      </c>
      <c r="I4786" s="77"/>
      <c r="J4786" s="78"/>
      <c r="K4786" s="79"/>
      <c r="L4786" s="80" t="str">
        <f aca="false">IF(AND(J4786&lt;&gt;"",K4786&lt;&gt;""),J4786*K4786,"")</f>
        <v/>
      </c>
      <c r="M4786" s="81" t="str">
        <f aca="false">IF(L4786&lt;&gt;"",L4786*1.1,"")</f>
        <v/>
      </c>
      <c r="N4786" s="53" t="n">
        <f aca="false">IF(F4786="S",L4786*0.02,0)</f>
        <v>0</v>
      </c>
      <c r="O4786" s="82" t="str">
        <f aca="false">IF(L4786&lt;&gt;"",L4786+N4786,"")</f>
        <v/>
      </c>
      <c r="P4786" s="53" t="str">
        <f aca="false">IF(O4786&lt;&gt;"",O4786*0.1,"")</f>
        <v/>
      </c>
      <c r="Q4786" s="83" t="str">
        <f aca="false">IF(O4786&lt;&gt;"",O4786+P4786,"")</f>
        <v/>
      </c>
      <c r="R4786" s="84"/>
    </row>
    <row r="4787" customFormat="false" ht="15" hidden="false" customHeight="true" outlineLevel="0" collapsed="false">
      <c r="A4787" s="103"/>
      <c r="B4787" s="85"/>
      <c r="C4787" s="86"/>
      <c r="D4787" s="87"/>
      <c r="E4787" s="46" t="str">
        <f aca="false">IF(D4787&lt;&gt;"",IFERROR(VLOOKUP(D4787,PROVEEDORES!$A:$B,2,0),"!COD NO ENCONTRADO"),"")</f>
        <v/>
      </c>
      <c r="F4787" s="88" t="str">
        <f aca="false">IF(D4787&lt;&gt;"",IFERROR(VLOOKUP(D4787,PROVEEDORES!$A:$C,3,0),""),"")</f>
        <v/>
      </c>
      <c r="G4787" s="87"/>
      <c r="H4787" s="46" t="str">
        <f aca="false">IF(G4787&lt;&gt;"",IFERROR(VLOOKUP(G4787,PRODUCTOS!$A:$B,2,0),"!COD NO ENCONTRADO"),"")</f>
        <v/>
      </c>
      <c r="I4787" s="89"/>
      <c r="J4787" s="90"/>
      <c r="K4787" s="91"/>
      <c r="L4787" s="80" t="str">
        <f aca="false">IF(AND(J4787&lt;&gt;"",K4787&lt;&gt;""),J4787*K4787,"")</f>
        <v/>
      </c>
      <c r="M4787" s="81" t="str">
        <f aca="false">IF(L4787&lt;&gt;"",L4787*1.1,"")</f>
        <v/>
      </c>
      <c r="N4787" s="47" t="n">
        <f aca="false">IF(F4787="S",L4787*0.02,0)</f>
        <v>0</v>
      </c>
      <c r="O4787" s="82" t="str">
        <f aca="false">IF(L4787&lt;&gt;"",L4787+N4787,"")</f>
        <v/>
      </c>
      <c r="P4787" s="47" t="str">
        <f aca="false">IF(O4787&lt;&gt;"",O4787*0.1,"")</f>
        <v/>
      </c>
      <c r="Q4787" s="83" t="str">
        <f aca="false">IF(O4787&lt;&gt;"",O4787+P4787,"")</f>
        <v/>
      </c>
      <c r="R4787" s="84"/>
    </row>
    <row r="4788" customFormat="false" ht="15" hidden="false" customHeight="true" outlineLevel="0" collapsed="false">
      <c r="A4788" s="103"/>
      <c r="B4788" s="73"/>
      <c r="C4788" s="74"/>
      <c r="D4788" s="75"/>
      <c r="E4788" s="52" t="str">
        <f aca="false">IF(D4788&lt;&gt;"",IFERROR(VLOOKUP(D4788,PROVEEDORES!$A:$B,2,0),"!COD NO ENCONTRADO"),"")</f>
        <v/>
      </c>
      <c r="F4788" s="76" t="str">
        <f aca="false">IF(D4788&lt;&gt;"",IFERROR(VLOOKUP(D4788,PROVEEDORES!$A:$C,3,0),""),"")</f>
        <v/>
      </c>
      <c r="G4788" s="75"/>
      <c r="H4788" s="52" t="str">
        <f aca="false">IF(G4788&lt;&gt;"",IFERROR(VLOOKUP(G4788,PRODUCTOS!$A:$B,2,0),"!COD NO ENCONTRADO"),"")</f>
        <v/>
      </c>
      <c r="I4788" s="77"/>
      <c r="J4788" s="78"/>
      <c r="K4788" s="79"/>
      <c r="L4788" s="80" t="str">
        <f aca="false">IF(AND(J4788&lt;&gt;"",K4788&lt;&gt;""),J4788*K4788,"")</f>
        <v/>
      </c>
      <c r="M4788" s="81" t="str">
        <f aca="false">IF(L4788&lt;&gt;"",L4788*1.1,"")</f>
        <v/>
      </c>
      <c r="N4788" s="53" t="n">
        <f aca="false">IF(F4788="S",L4788*0.02,0)</f>
        <v>0</v>
      </c>
      <c r="O4788" s="82" t="str">
        <f aca="false">IF(L4788&lt;&gt;"",L4788+N4788,"")</f>
        <v/>
      </c>
      <c r="P4788" s="53" t="str">
        <f aca="false">IF(O4788&lt;&gt;"",O4788*0.1,"")</f>
        <v/>
      </c>
      <c r="Q4788" s="83" t="str">
        <f aca="false">IF(O4788&lt;&gt;"",O4788+P4788,"")</f>
        <v/>
      </c>
      <c r="R4788" s="84"/>
    </row>
    <row r="4789" customFormat="false" ht="15" hidden="false" customHeight="true" outlineLevel="0" collapsed="false">
      <c r="A4789" s="103"/>
      <c r="B4789" s="85"/>
      <c r="C4789" s="86"/>
      <c r="D4789" s="87"/>
      <c r="E4789" s="46" t="str">
        <f aca="false">IF(D4789&lt;&gt;"",IFERROR(VLOOKUP(D4789,PROVEEDORES!$A:$B,2,0),"!COD NO ENCONTRADO"),"")</f>
        <v/>
      </c>
      <c r="F4789" s="88" t="str">
        <f aca="false">IF(D4789&lt;&gt;"",IFERROR(VLOOKUP(D4789,PROVEEDORES!$A:$C,3,0),""),"")</f>
        <v/>
      </c>
      <c r="G4789" s="87"/>
      <c r="H4789" s="46" t="str">
        <f aca="false">IF(G4789&lt;&gt;"",IFERROR(VLOOKUP(G4789,PRODUCTOS!$A:$B,2,0),"!COD NO ENCONTRADO"),"")</f>
        <v/>
      </c>
      <c r="I4789" s="89"/>
      <c r="J4789" s="90"/>
      <c r="K4789" s="91"/>
      <c r="L4789" s="80" t="str">
        <f aca="false">IF(AND(J4789&lt;&gt;"",K4789&lt;&gt;""),J4789*K4789,"")</f>
        <v/>
      </c>
      <c r="M4789" s="81" t="str">
        <f aca="false">IF(L4789&lt;&gt;"",L4789*1.1,"")</f>
        <v/>
      </c>
      <c r="N4789" s="47" t="n">
        <f aca="false">IF(F4789="S",L4789*0.02,0)</f>
        <v>0</v>
      </c>
      <c r="O4789" s="82" t="str">
        <f aca="false">IF(L4789&lt;&gt;"",L4789+N4789,"")</f>
        <v/>
      </c>
      <c r="P4789" s="47" t="str">
        <f aca="false">IF(O4789&lt;&gt;"",O4789*0.1,"")</f>
        <v/>
      </c>
      <c r="Q4789" s="83" t="str">
        <f aca="false">IF(O4789&lt;&gt;"",O4789+P4789,"")</f>
        <v/>
      </c>
      <c r="R4789" s="84"/>
    </row>
    <row r="4790" customFormat="false" ht="15" hidden="false" customHeight="true" outlineLevel="0" collapsed="false">
      <c r="A4790" s="103"/>
      <c r="B4790" s="73"/>
      <c r="C4790" s="74"/>
      <c r="D4790" s="75"/>
      <c r="E4790" s="52" t="str">
        <f aca="false">IF(D4790&lt;&gt;"",IFERROR(VLOOKUP(D4790,PROVEEDORES!$A:$B,2,0),"!COD NO ENCONTRADO"),"")</f>
        <v/>
      </c>
      <c r="F4790" s="76" t="str">
        <f aca="false">IF(D4790&lt;&gt;"",IFERROR(VLOOKUP(D4790,PROVEEDORES!$A:$C,3,0),""),"")</f>
        <v/>
      </c>
      <c r="G4790" s="75"/>
      <c r="H4790" s="52" t="str">
        <f aca="false">IF(G4790&lt;&gt;"",IFERROR(VLOOKUP(G4790,PRODUCTOS!$A:$B,2,0),"!COD NO ENCONTRADO"),"")</f>
        <v/>
      </c>
      <c r="I4790" s="77"/>
      <c r="J4790" s="78"/>
      <c r="K4790" s="79"/>
      <c r="L4790" s="80" t="str">
        <f aca="false">IF(AND(J4790&lt;&gt;"",K4790&lt;&gt;""),J4790*K4790,"")</f>
        <v/>
      </c>
      <c r="M4790" s="81" t="str">
        <f aca="false">IF(L4790&lt;&gt;"",L4790*1.1,"")</f>
        <v/>
      </c>
      <c r="N4790" s="53" t="n">
        <f aca="false">IF(F4790="S",L4790*0.02,0)</f>
        <v>0</v>
      </c>
      <c r="O4790" s="82" t="str">
        <f aca="false">IF(L4790&lt;&gt;"",L4790+N4790,"")</f>
        <v/>
      </c>
      <c r="P4790" s="53" t="str">
        <f aca="false">IF(O4790&lt;&gt;"",O4790*0.1,"")</f>
        <v/>
      </c>
      <c r="Q4790" s="83" t="str">
        <f aca="false">IF(O4790&lt;&gt;"",O4790+P4790,"")</f>
        <v/>
      </c>
      <c r="R4790" s="84"/>
    </row>
    <row r="4791" customFormat="false" ht="15" hidden="false" customHeight="true" outlineLevel="0" collapsed="false">
      <c r="A4791" s="103"/>
      <c r="B4791" s="85"/>
      <c r="C4791" s="86"/>
      <c r="D4791" s="87"/>
      <c r="E4791" s="46" t="str">
        <f aca="false">IF(D4791&lt;&gt;"",IFERROR(VLOOKUP(D4791,PROVEEDORES!$A:$B,2,0),"!COD NO ENCONTRADO"),"")</f>
        <v/>
      </c>
      <c r="F4791" s="88" t="str">
        <f aca="false">IF(D4791&lt;&gt;"",IFERROR(VLOOKUP(D4791,PROVEEDORES!$A:$C,3,0),""),"")</f>
        <v/>
      </c>
      <c r="G4791" s="87"/>
      <c r="H4791" s="46" t="str">
        <f aca="false">IF(G4791&lt;&gt;"",IFERROR(VLOOKUP(G4791,PRODUCTOS!$A:$B,2,0),"!COD NO ENCONTRADO"),"")</f>
        <v/>
      </c>
      <c r="I4791" s="89"/>
      <c r="J4791" s="90"/>
      <c r="K4791" s="91"/>
      <c r="L4791" s="80" t="str">
        <f aca="false">IF(AND(J4791&lt;&gt;"",K4791&lt;&gt;""),J4791*K4791,"")</f>
        <v/>
      </c>
      <c r="M4791" s="81" t="str">
        <f aca="false">IF(L4791&lt;&gt;"",L4791*1.1,"")</f>
        <v/>
      </c>
      <c r="N4791" s="47" t="n">
        <f aca="false">IF(F4791="S",L4791*0.02,0)</f>
        <v>0</v>
      </c>
      <c r="O4791" s="82" t="str">
        <f aca="false">IF(L4791&lt;&gt;"",L4791+N4791,"")</f>
        <v/>
      </c>
      <c r="P4791" s="47" t="str">
        <f aca="false">IF(O4791&lt;&gt;"",O4791*0.1,"")</f>
        <v/>
      </c>
      <c r="Q4791" s="83" t="str">
        <f aca="false">IF(O4791&lt;&gt;"",O4791+P4791,"")</f>
        <v/>
      </c>
      <c r="R4791" s="84"/>
    </row>
    <row r="4792" customFormat="false" ht="15" hidden="false" customHeight="true" outlineLevel="0" collapsed="false">
      <c r="A4792" s="103"/>
      <c r="B4792" s="73"/>
      <c r="C4792" s="74"/>
      <c r="D4792" s="75"/>
      <c r="E4792" s="52" t="str">
        <f aca="false">IF(D4792&lt;&gt;"",IFERROR(VLOOKUP(D4792,PROVEEDORES!$A:$B,2,0),"!COD NO ENCONTRADO"),"")</f>
        <v/>
      </c>
      <c r="F4792" s="76" t="str">
        <f aca="false">IF(D4792&lt;&gt;"",IFERROR(VLOOKUP(D4792,PROVEEDORES!$A:$C,3,0),""),"")</f>
        <v/>
      </c>
      <c r="G4792" s="75"/>
      <c r="H4792" s="52" t="str">
        <f aca="false">IF(G4792&lt;&gt;"",IFERROR(VLOOKUP(G4792,PRODUCTOS!$A:$B,2,0),"!COD NO ENCONTRADO"),"")</f>
        <v/>
      </c>
      <c r="I4792" s="77"/>
      <c r="J4792" s="78"/>
      <c r="K4792" s="79"/>
      <c r="L4792" s="80" t="str">
        <f aca="false">IF(AND(J4792&lt;&gt;"",K4792&lt;&gt;""),J4792*K4792,"")</f>
        <v/>
      </c>
      <c r="M4792" s="81" t="str">
        <f aca="false">IF(L4792&lt;&gt;"",L4792*1.1,"")</f>
        <v/>
      </c>
      <c r="N4792" s="53" t="n">
        <f aca="false">IF(F4792="S",L4792*0.02,0)</f>
        <v>0</v>
      </c>
      <c r="O4792" s="82" t="str">
        <f aca="false">IF(L4792&lt;&gt;"",L4792+N4792,"")</f>
        <v/>
      </c>
      <c r="P4792" s="53" t="str">
        <f aca="false">IF(O4792&lt;&gt;"",O4792*0.1,"")</f>
        <v/>
      </c>
      <c r="Q4792" s="83" t="str">
        <f aca="false">IF(O4792&lt;&gt;"",O4792+P4792,"")</f>
        <v/>
      </c>
      <c r="R4792" s="84"/>
    </row>
    <row r="4793" customFormat="false" ht="15" hidden="false" customHeight="true" outlineLevel="0" collapsed="false">
      <c r="A4793" s="103"/>
      <c r="B4793" s="85"/>
      <c r="C4793" s="86"/>
      <c r="D4793" s="87"/>
      <c r="E4793" s="46" t="str">
        <f aca="false">IF(D4793&lt;&gt;"",IFERROR(VLOOKUP(D4793,PROVEEDORES!$A:$B,2,0),"!COD NO ENCONTRADO"),"")</f>
        <v/>
      </c>
      <c r="F4793" s="88" t="str">
        <f aca="false">IF(D4793&lt;&gt;"",IFERROR(VLOOKUP(D4793,PROVEEDORES!$A:$C,3,0),""),"")</f>
        <v/>
      </c>
      <c r="G4793" s="87"/>
      <c r="H4793" s="46" t="str">
        <f aca="false">IF(G4793&lt;&gt;"",IFERROR(VLOOKUP(G4793,PRODUCTOS!$A:$B,2,0),"!COD NO ENCONTRADO"),"")</f>
        <v/>
      </c>
      <c r="I4793" s="89"/>
      <c r="J4793" s="90"/>
      <c r="K4793" s="91"/>
      <c r="L4793" s="80" t="str">
        <f aca="false">IF(AND(J4793&lt;&gt;"",K4793&lt;&gt;""),J4793*K4793,"")</f>
        <v/>
      </c>
      <c r="M4793" s="81" t="str">
        <f aca="false">IF(L4793&lt;&gt;"",L4793*1.1,"")</f>
        <v/>
      </c>
      <c r="N4793" s="47" t="n">
        <f aca="false">IF(F4793="S",L4793*0.02,0)</f>
        <v>0</v>
      </c>
      <c r="O4793" s="82" t="str">
        <f aca="false">IF(L4793&lt;&gt;"",L4793+N4793,"")</f>
        <v/>
      </c>
      <c r="P4793" s="47" t="str">
        <f aca="false">IF(O4793&lt;&gt;"",O4793*0.1,"")</f>
        <v/>
      </c>
      <c r="Q4793" s="83" t="str">
        <f aca="false">IF(O4793&lt;&gt;"",O4793+P4793,"")</f>
        <v/>
      </c>
      <c r="R4793" s="84"/>
    </row>
    <row r="4794" customFormat="false" ht="15" hidden="false" customHeight="true" outlineLevel="0" collapsed="false">
      <c r="A4794" s="103"/>
      <c r="B4794" s="73"/>
      <c r="C4794" s="74"/>
      <c r="D4794" s="75"/>
      <c r="E4794" s="52" t="str">
        <f aca="false">IF(D4794&lt;&gt;"",IFERROR(VLOOKUP(D4794,PROVEEDORES!$A:$B,2,0),"!COD NO ENCONTRADO"),"")</f>
        <v/>
      </c>
      <c r="F4794" s="76" t="str">
        <f aca="false">IF(D4794&lt;&gt;"",IFERROR(VLOOKUP(D4794,PROVEEDORES!$A:$C,3,0),""),"")</f>
        <v/>
      </c>
      <c r="G4794" s="75"/>
      <c r="H4794" s="52" t="str">
        <f aca="false">IF(G4794&lt;&gt;"",IFERROR(VLOOKUP(G4794,PRODUCTOS!$A:$B,2,0),"!COD NO ENCONTRADO"),"")</f>
        <v/>
      </c>
      <c r="I4794" s="77"/>
      <c r="J4794" s="78"/>
      <c r="K4794" s="79"/>
      <c r="L4794" s="80" t="str">
        <f aca="false">IF(AND(J4794&lt;&gt;"",K4794&lt;&gt;""),J4794*K4794,"")</f>
        <v/>
      </c>
      <c r="M4794" s="81" t="str">
        <f aca="false">IF(L4794&lt;&gt;"",L4794*1.1,"")</f>
        <v/>
      </c>
      <c r="N4794" s="53" t="n">
        <f aca="false">IF(F4794="S",L4794*0.02,0)</f>
        <v>0</v>
      </c>
      <c r="O4794" s="82" t="str">
        <f aca="false">IF(L4794&lt;&gt;"",L4794+N4794,"")</f>
        <v/>
      </c>
      <c r="P4794" s="53" t="str">
        <f aca="false">IF(O4794&lt;&gt;"",O4794*0.1,"")</f>
        <v/>
      </c>
      <c r="Q4794" s="83" t="str">
        <f aca="false">IF(O4794&lt;&gt;"",O4794+P4794,"")</f>
        <v/>
      </c>
      <c r="R4794" s="84"/>
    </row>
    <row r="4795" customFormat="false" ht="15" hidden="false" customHeight="true" outlineLevel="0" collapsed="false">
      <c r="A4795" s="103"/>
      <c r="B4795" s="85"/>
      <c r="C4795" s="86"/>
      <c r="D4795" s="87"/>
      <c r="E4795" s="46" t="str">
        <f aca="false">IF(D4795&lt;&gt;"",IFERROR(VLOOKUP(D4795,PROVEEDORES!$A:$B,2,0),"!COD NO ENCONTRADO"),"")</f>
        <v/>
      </c>
      <c r="F4795" s="88" t="str">
        <f aca="false">IF(D4795&lt;&gt;"",IFERROR(VLOOKUP(D4795,PROVEEDORES!$A:$C,3,0),""),"")</f>
        <v/>
      </c>
      <c r="G4795" s="87"/>
      <c r="H4795" s="46" t="str">
        <f aca="false">IF(G4795&lt;&gt;"",IFERROR(VLOOKUP(G4795,PRODUCTOS!$A:$B,2,0),"!COD NO ENCONTRADO"),"")</f>
        <v/>
      </c>
      <c r="I4795" s="89"/>
      <c r="J4795" s="90"/>
      <c r="K4795" s="91"/>
      <c r="L4795" s="80" t="str">
        <f aca="false">IF(AND(J4795&lt;&gt;"",K4795&lt;&gt;""),J4795*K4795,"")</f>
        <v/>
      </c>
      <c r="M4795" s="81" t="str">
        <f aca="false">IF(L4795&lt;&gt;"",L4795*1.1,"")</f>
        <v/>
      </c>
      <c r="N4795" s="47" t="n">
        <f aca="false">IF(F4795="S",L4795*0.02,0)</f>
        <v>0</v>
      </c>
      <c r="O4795" s="82" t="str">
        <f aca="false">IF(L4795&lt;&gt;"",L4795+N4795,"")</f>
        <v/>
      </c>
      <c r="P4795" s="47" t="str">
        <f aca="false">IF(O4795&lt;&gt;"",O4795*0.1,"")</f>
        <v/>
      </c>
      <c r="Q4795" s="83" t="str">
        <f aca="false">IF(O4795&lt;&gt;"",O4795+P4795,"")</f>
        <v/>
      </c>
      <c r="R4795" s="84"/>
    </row>
    <row r="4796" customFormat="false" ht="15" hidden="false" customHeight="true" outlineLevel="0" collapsed="false">
      <c r="A4796" s="103"/>
      <c r="B4796" s="73"/>
      <c r="C4796" s="74"/>
      <c r="D4796" s="75"/>
      <c r="E4796" s="52" t="str">
        <f aca="false">IF(D4796&lt;&gt;"",IFERROR(VLOOKUP(D4796,PROVEEDORES!$A:$B,2,0),"!COD NO ENCONTRADO"),"")</f>
        <v/>
      </c>
      <c r="F4796" s="76" t="str">
        <f aca="false">IF(D4796&lt;&gt;"",IFERROR(VLOOKUP(D4796,PROVEEDORES!$A:$C,3,0),""),"")</f>
        <v/>
      </c>
      <c r="G4796" s="75"/>
      <c r="H4796" s="52" t="str">
        <f aca="false">IF(G4796&lt;&gt;"",IFERROR(VLOOKUP(G4796,PRODUCTOS!$A:$B,2,0),"!COD NO ENCONTRADO"),"")</f>
        <v/>
      </c>
      <c r="I4796" s="77"/>
      <c r="J4796" s="78"/>
      <c r="K4796" s="79"/>
      <c r="L4796" s="80" t="str">
        <f aca="false">IF(AND(J4796&lt;&gt;"",K4796&lt;&gt;""),J4796*K4796,"")</f>
        <v/>
      </c>
      <c r="M4796" s="81" t="str">
        <f aca="false">IF(L4796&lt;&gt;"",L4796*1.1,"")</f>
        <v/>
      </c>
      <c r="N4796" s="53" t="n">
        <f aca="false">IF(F4796="S",L4796*0.02,0)</f>
        <v>0</v>
      </c>
      <c r="O4796" s="82" t="str">
        <f aca="false">IF(L4796&lt;&gt;"",L4796+N4796,"")</f>
        <v/>
      </c>
      <c r="P4796" s="53" t="str">
        <f aca="false">IF(O4796&lt;&gt;"",O4796*0.1,"")</f>
        <v/>
      </c>
      <c r="Q4796" s="83" t="str">
        <f aca="false">IF(O4796&lt;&gt;"",O4796+P4796,"")</f>
        <v/>
      </c>
      <c r="R4796" s="84"/>
    </row>
    <row r="4797" customFormat="false" ht="15" hidden="false" customHeight="true" outlineLevel="0" collapsed="false">
      <c r="A4797" s="103"/>
      <c r="B4797" s="85"/>
      <c r="C4797" s="86"/>
      <c r="D4797" s="87"/>
      <c r="E4797" s="46" t="str">
        <f aca="false">IF(D4797&lt;&gt;"",IFERROR(VLOOKUP(D4797,PROVEEDORES!$A:$B,2,0),"!COD NO ENCONTRADO"),"")</f>
        <v/>
      </c>
      <c r="F4797" s="88" t="str">
        <f aca="false">IF(D4797&lt;&gt;"",IFERROR(VLOOKUP(D4797,PROVEEDORES!$A:$C,3,0),""),"")</f>
        <v/>
      </c>
      <c r="G4797" s="87"/>
      <c r="H4797" s="46" t="str">
        <f aca="false">IF(G4797&lt;&gt;"",IFERROR(VLOOKUP(G4797,PRODUCTOS!$A:$B,2,0),"!COD NO ENCONTRADO"),"")</f>
        <v/>
      </c>
      <c r="I4797" s="89"/>
      <c r="J4797" s="90"/>
      <c r="K4797" s="91"/>
      <c r="L4797" s="80" t="str">
        <f aca="false">IF(AND(J4797&lt;&gt;"",K4797&lt;&gt;""),J4797*K4797,"")</f>
        <v/>
      </c>
      <c r="M4797" s="81" t="str">
        <f aca="false">IF(L4797&lt;&gt;"",L4797*1.1,"")</f>
        <v/>
      </c>
      <c r="N4797" s="47" t="n">
        <f aca="false">IF(F4797="S",L4797*0.02,0)</f>
        <v>0</v>
      </c>
      <c r="O4797" s="82" t="str">
        <f aca="false">IF(L4797&lt;&gt;"",L4797+N4797,"")</f>
        <v/>
      </c>
      <c r="P4797" s="47" t="str">
        <f aca="false">IF(O4797&lt;&gt;"",O4797*0.1,"")</f>
        <v/>
      </c>
      <c r="Q4797" s="83" t="str">
        <f aca="false">IF(O4797&lt;&gt;"",O4797+P4797,"")</f>
        <v/>
      </c>
      <c r="R4797" s="84"/>
    </row>
    <row r="4798" customFormat="false" ht="15" hidden="false" customHeight="true" outlineLevel="0" collapsed="false">
      <c r="A4798" s="103"/>
      <c r="B4798" s="73"/>
      <c r="C4798" s="74"/>
      <c r="D4798" s="75"/>
      <c r="E4798" s="52" t="str">
        <f aca="false">IF(D4798&lt;&gt;"",IFERROR(VLOOKUP(D4798,PROVEEDORES!$A:$B,2,0),"!COD NO ENCONTRADO"),"")</f>
        <v/>
      </c>
      <c r="F4798" s="76" t="str">
        <f aca="false">IF(D4798&lt;&gt;"",IFERROR(VLOOKUP(D4798,PROVEEDORES!$A:$C,3,0),""),"")</f>
        <v/>
      </c>
      <c r="G4798" s="75"/>
      <c r="H4798" s="52" t="str">
        <f aca="false">IF(G4798&lt;&gt;"",IFERROR(VLOOKUP(G4798,PRODUCTOS!$A:$B,2,0),"!COD NO ENCONTRADO"),"")</f>
        <v/>
      </c>
      <c r="I4798" s="77"/>
      <c r="J4798" s="78"/>
      <c r="K4798" s="79"/>
      <c r="L4798" s="80" t="str">
        <f aca="false">IF(AND(J4798&lt;&gt;"",K4798&lt;&gt;""),J4798*K4798,"")</f>
        <v/>
      </c>
      <c r="M4798" s="81" t="str">
        <f aca="false">IF(L4798&lt;&gt;"",L4798*1.1,"")</f>
        <v/>
      </c>
      <c r="N4798" s="53" t="n">
        <f aca="false">IF(F4798="S",L4798*0.02,0)</f>
        <v>0</v>
      </c>
      <c r="O4798" s="82" t="str">
        <f aca="false">IF(L4798&lt;&gt;"",L4798+N4798,"")</f>
        <v/>
      </c>
      <c r="P4798" s="53" t="str">
        <f aca="false">IF(O4798&lt;&gt;"",O4798*0.1,"")</f>
        <v/>
      </c>
      <c r="Q4798" s="83" t="str">
        <f aca="false">IF(O4798&lt;&gt;"",O4798+P4798,"")</f>
        <v/>
      </c>
      <c r="R4798" s="84"/>
    </row>
    <row r="4799" customFormat="false" ht="15" hidden="false" customHeight="true" outlineLevel="0" collapsed="false">
      <c r="A4799" s="103"/>
      <c r="B4799" s="85"/>
      <c r="C4799" s="86"/>
      <c r="D4799" s="87"/>
      <c r="E4799" s="46" t="str">
        <f aca="false">IF(D4799&lt;&gt;"",IFERROR(VLOOKUP(D4799,PROVEEDORES!$A:$B,2,0),"!COD NO ENCONTRADO"),"")</f>
        <v/>
      </c>
      <c r="F4799" s="88" t="str">
        <f aca="false">IF(D4799&lt;&gt;"",IFERROR(VLOOKUP(D4799,PROVEEDORES!$A:$C,3,0),""),"")</f>
        <v/>
      </c>
      <c r="G4799" s="87"/>
      <c r="H4799" s="46" t="str">
        <f aca="false">IF(G4799&lt;&gt;"",IFERROR(VLOOKUP(G4799,PRODUCTOS!$A:$B,2,0),"!COD NO ENCONTRADO"),"")</f>
        <v/>
      </c>
      <c r="I4799" s="89"/>
      <c r="J4799" s="90"/>
      <c r="K4799" s="91"/>
      <c r="L4799" s="80" t="str">
        <f aca="false">IF(AND(J4799&lt;&gt;"",K4799&lt;&gt;""),J4799*K4799,"")</f>
        <v/>
      </c>
      <c r="M4799" s="81" t="str">
        <f aca="false">IF(L4799&lt;&gt;"",L4799*1.1,"")</f>
        <v/>
      </c>
      <c r="N4799" s="47" t="n">
        <f aca="false">IF(F4799="S",L4799*0.02,0)</f>
        <v>0</v>
      </c>
      <c r="O4799" s="82" t="str">
        <f aca="false">IF(L4799&lt;&gt;"",L4799+N4799,"")</f>
        <v/>
      </c>
      <c r="P4799" s="47" t="str">
        <f aca="false">IF(O4799&lt;&gt;"",O4799*0.1,"")</f>
        <v/>
      </c>
      <c r="Q4799" s="83" t="str">
        <f aca="false">IF(O4799&lt;&gt;"",O4799+P4799,"")</f>
        <v/>
      </c>
      <c r="R4799" s="84"/>
    </row>
    <row r="4800" customFormat="false" ht="15" hidden="false" customHeight="true" outlineLevel="0" collapsed="false">
      <c r="A4800" s="103"/>
      <c r="B4800" s="73"/>
      <c r="C4800" s="74"/>
      <c r="D4800" s="75"/>
      <c r="E4800" s="52" t="str">
        <f aca="false">IF(D4800&lt;&gt;"",IFERROR(VLOOKUP(D4800,PROVEEDORES!$A:$B,2,0),"!COD NO ENCONTRADO"),"")</f>
        <v/>
      </c>
      <c r="F4800" s="76" t="str">
        <f aca="false">IF(D4800&lt;&gt;"",IFERROR(VLOOKUP(D4800,PROVEEDORES!$A:$C,3,0),""),"")</f>
        <v/>
      </c>
      <c r="G4800" s="75"/>
      <c r="H4800" s="52" t="str">
        <f aca="false">IF(G4800&lt;&gt;"",IFERROR(VLOOKUP(G4800,PRODUCTOS!$A:$B,2,0),"!COD NO ENCONTRADO"),"")</f>
        <v/>
      </c>
      <c r="I4800" s="77"/>
      <c r="J4800" s="78"/>
      <c r="K4800" s="79"/>
      <c r="L4800" s="80" t="str">
        <f aca="false">IF(AND(J4800&lt;&gt;"",K4800&lt;&gt;""),J4800*K4800,"")</f>
        <v/>
      </c>
      <c r="M4800" s="81" t="str">
        <f aca="false">IF(L4800&lt;&gt;"",L4800*1.1,"")</f>
        <v/>
      </c>
      <c r="N4800" s="53" t="n">
        <f aca="false">IF(F4800="S",L4800*0.02,0)</f>
        <v>0</v>
      </c>
      <c r="O4800" s="82" t="str">
        <f aca="false">IF(L4800&lt;&gt;"",L4800+N4800,"")</f>
        <v/>
      </c>
      <c r="P4800" s="53" t="str">
        <f aca="false">IF(O4800&lt;&gt;"",O4800*0.1,"")</f>
        <v/>
      </c>
      <c r="Q4800" s="83" t="str">
        <f aca="false">IF(O4800&lt;&gt;"",O4800+P4800,"")</f>
        <v/>
      </c>
      <c r="R4800" s="84"/>
    </row>
    <row r="4801" customFormat="false" ht="15" hidden="false" customHeight="true" outlineLevel="0" collapsed="false">
      <c r="A4801" s="103"/>
      <c r="B4801" s="85"/>
      <c r="C4801" s="86"/>
      <c r="D4801" s="87"/>
      <c r="E4801" s="46" t="str">
        <f aca="false">IF(D4801&lt;&gt;"",IFERROR(VLOOKUP(D4801,PROVEEDORES!$A:$B,2,0),"!COD NO ENCONTRADO"),"")</f>
        <v/>
      </c>
      <c r="F4801" s="88" t="str">
        <f aca="false">IF(D4801&lt;&gt;"",IFERROR(VLOOKUP(D4801,PROVEEDORES!$A:$C,3,0),""),"")</f>
        <v/>
      </c>
      <c r="G4801" s="87"/>
      <c r="H4801" s="46" t="str">
        <f aca="false">IF(G4801&lt;&gt;"",IFERROR(VLOOKUP(G4801,PRODUCTOS!$A:$B,2,0),"!COD NO ENCONTRADO"),"")</f>
        <v/>
      </c>
      <c r="I4801" s="89"/>
      <c r="J4801" s="90"/>
      <c r="K4801" s="91"/>
      <c r="L4801" s="80" t="str">
        <f aca="false">IF(AND(J4801&lt;&gt;"",K4801&lt;&gt;""),J4801*K4801,"")</f>
        <v/>
      </c>
      <c r="M4801" s="81" t="str">
        <f aca="false">IF(L4801&lt;&gt;"",L4801*1.1,"")</f>
        <v/>
      </c>
      <c r="N4801" s="47" t="n">
        <f aca="false">IF(F4801="S",L4801*0.02,0)</f>
        <v>0</v>
      </c>
      <c r="O4801" s="82" t="str">
        <f aca="false">IF(L4801&lt;&gt;"",L4801+N4801,"")</f>
        <v/>
      </c>
      <c r="P4801" s="47" t="str">
        <f aca="false">IF(O4801&lt;&gt;"",O4801*0.1,"")</f>
        <v/>
      </c>
      <c r="Q4801" s="83" t="str">
        <f aca="false">IF(O4801&lt;&gt;"",O4801+P4801,"")</f>
        <v/>
      </c>
      <c r="R4801" s="84"/>
    </row>
    <row r="4802" customFormat="false" ht="15" hidden="false" customHeight="true" outlineLevel="0" collapsed="false">
      <c r="A4802" s="103"/>
      <c r="B4802" s="73"/>
      <c r="C4802" s="74"/>
      <c r="D4802" s="75"/>
      <c r="E4802" s="52" t="str">
        <f aca="false">IF(D4802&lt;&gt;"",IFERROR(VLOOKUP(D4802,PROVEEDORES!$A:$B,2,0),"!COD NO ENCONTRADO"),"")</f>
        <v/>
      </c>
      <c r="F4802" s="76" t="str">
        <f aca="false">IF(D4802&lt;&gt;"",IFERROR(VLOOKUP(D4802,PROVEEDORES!$A:$C,3,0),""),"")</f>
        <v/>
      </c>
      <c r="G4802" s="75"/>
      <c r="H4802" s="52" t="str">
        <f aca="false">IF(G4802&lt;&gt;"",IFERROR(VLOOKUP(G4802,PRODUCTOS!$A:$B,2,0),"!COD NO ENCONTRADO"),"")</f>
        <v/>
      </c>
      <c r="I4802" s="77"/>
      <c r="J4802" s="78"/>
      <c r="K4802" s="79"/>
      <c r="L4802" s="80" t="str">
        <f aca="false">IF(AND(J4802&lt;&gt;"",K4802&lt;&gt;""),J4802*K4802,"")</f>
        <v/>
      </c>
      <c r="M4802" s="81" t="str">
        <f aca="false">IF(L4802&lt;&gt;"",L4802*1.1,"")</f>
        <v/>
      </c>
      <c r="N4802" s="53" t="n">
        <f aca="false">IF(F4802="S",L4802*0.02,0)</f>
        <v>0</v>
      </c>
      <c r="O4802" s="82" t="str">
        <f aca="false">IF(L4802&lt;&gt;"",L4802+N4802,"")</f>
        <v/>
      </c>
      <c r="P4802" s="53" t="str">
        <f aca="false">IF(O4802&lt;&gt;"",O4802*0.1,"")</f>
        <v/>
      </c>
      <c r="Q4802" s="83" t="str">
        <f aca="false">IF(O4802&lt;&gt;"",O4802+P4802,"")</f>
        <v/>
      </c>
      <c r="R4802" s="84"/>
    </row>
    <row r="4803" customFormat="false" ht="15" hidden="false" customHeight="true" outlineLevel="0" collapsed="false">
      <c r="A4803" s="103"/>
      <c r="B4803" s="85"/>
      <c r="C4803" s="86"/>
      <c r="D4803" s="87"/>
      <c r="E4803" s="46" t="str">
        <f aca="false">IF(D4803&lt;&gt;"",IFERROR(VLOOKUP(D4803,PROVEEDORES!$A:$B,2,0),"!COD NO ENCONTRADO"),"")</f>
        <v/>
      </c>
      <c r="F4803" s="88" t="str">
        <f aca="false">IF(D4803&lt;&gt;"",IFERROR(VLOOKUP(D4803,PROVEEDORES!$A:$C,3,0),""),"")</f>
        <v/>
      </c>
      <c r="G4803" s="87"/>
      <c r="H4803" s="46" t="str">
        <f aca="false">IF(G4803&lt;&gt;"",IFERROR(VLOOKUP(G4803,PRODUCTOS!$A:$B,2,0),"!COD NO ENCONTRADO"),"")</f>
        <v/>
      </c>
      <c r="I4803" s="89"/>
      <c r="J4803" s="90"/>
      <c r="K4803" s="91"/>
      <c r="L4803" s="80" t="str">
        <f aca="false">IF(AND(J4803&lt;&gt;"",K4803&lt;&gt;""),J4803*K4803,"")</f>
        <v/>
      </c>
      <c r="M4803" s="81" t="str">
        <f aca="false">IF(L4803&lt;&gt;"",L4803*1.1,"")</f>
        <v/>
      </c>
      <c r="N4803" s="47" t="n">
        <f aca="false">IF(F4803="S",L4803*0.02,0)</f>
        <v>0</v>
      </c>
      <c r="O4803" s="82" t="str">
        <f aca="false">IF(L4803&lt;&gt;"",L4803+N4803,"")</f>
        <v/>
      </c>
      <c r="P4803" s="47" t="str">
        <f aca="false">IF(O4803&lt;&gt;"",O4803*0.1,"")</f>
        <v/>
      </c>
      <c r="Q4803" s="83" t="str">
        <f aca="false">IF(O4803&lt;&gt;"",O4803+P4803,"")</f>
        <v/>
      </c>
      <c r="R4803" s="84"/>
    </row>
    <row r="4804" customFormat="false" ht="15" hidden="false" customHeight="true" outlineLevel="0" collapsed="false">
      <c r="A4804" s="103"/>
      <c r="B4804" s="73"/>
      <c r="C4804" s="74"/>
      <c r="D4804" s="75"/>
      <c r="E4804" s="52" t="str">
        <f aca="false">IF(D4804&lt;&gt;"",IFERROR(VLOOKUP(D4804,PROVEEDORES!$A:$B,2,0),"!COD NO ENCONTRADO"),"")</f>
        <v/>
      </c>
      <c r="F4804" s="76" t="str">
        <f aca="false">IF(D4804&lt;&gt;"",IFERROR(VLOOKUP(D4804,PROVEEDORES!$A:$C,3,0),""),"")</f>
        <v/>
      </c>
      <c r="G4804" s="75"/>
      <c r="H4804" s="52" t="str">
        <f aca="false">IF(G4804&lt;&gt;"",IFERROR(VLOOKUP(G4804,PRODUCTOS!$A:$B,2,0),"!COD NO ENCONTRADO"),"")</f>
        <v/>
      </c>
      <c r="I4804" s="77"/>
      <c r="J4804" s="78"/>
      <c r="K4804" s="79"/>
      <c r="L4804" s="80" t="str">
        <f aca="false">IF(AND(J4804&lt;&gt;"",K4804&lt;&gt;""),J4804*K4804,"")</f>
        <v/>
      </c>
      <c r="M4804" s="81" t="str">
        <f aca="false">IF(L4804&lt;&gt;"",L4804*1.1,"")</f>
        <v/>
      </c>
      <c r="N4804" s="53" t="n">
        <f aca="false">IF(F4804="S",L4804*0.02,0)</f>
        <v>0</v>
      </c>
      <c r="O4804" s="82" t="str">
        <f aca="false">IF(L4804&lt;&gt;"",L4804+N4804,"")</f>
        <v/>
      </c>
      <c r="P4804" s="53" t="str">
        <f aca="false">IF(O4804&lt;&gt;"",O4804*0.1,"")</f>
        <v/>
      </c>
      <c r="Q4804" s="83" t="str">
        <f aca="false">IF(O4804&lt;&gt;"",O4804+P4804,"")</f>
        <v/>
      </c>
      <c r="R4804" s="84"/>
    </row>
    <row r="4805" customFormat="false" ht="15" hidden="false" customHeight="true" outlineLevel="0" collapsed="false">
      <c r="A4805" s="103"/>
      <c r="B4805" s="85"/>
      <c r="C4805" s="86"/>
      <c r="D4805" s="87"/>
      <c r="E4805" s="46" t="str">
        <f aca="false">IF(D4805&lt;&gt;"",IFERROR(VLOOKUP(D4805,PROVEEDORES!$A:$B,2,0),"!COD NO ENCONTRADO"),"")</f>
        <v/>
      </c>
      <c r="F4805" s="88" t="str">
        <f aca="false">IF(D4805&lt;&gt;"",IFERROR(VLOOKUP(D4805,PROVEEDORES!$A:$C,3,0),""),"")</f>
        <v/>
      </c>
      <c r="G4805" s="87"/>
      <c r="H4805" s="46" t="str">
        <f aca="false">IF(G4805&lt;&gt;"",IFERROR(VLOOKUP(G4805,PRODUCTOS!$A:$B,2,0),"!COD NO ENCONTRADO"),"")</f>
        <v/>
      </c>
      <c r="I4805" s="89"/>
      <c r="J4805" s="90"/>
      <c r="K4805" s="91"/>
      <c r="L4805" s="80" t="str">
        <f aca="false">IF(AND(J4805&lt;&gt;"",K4805&lt;&gt;""),J4805*K4805,"")</f>
        <v/>
      </c>
      <c r="M4805" s="81" t="str">
        <f aca="false">IF(L4805&lt;&gt;"",L4805*1.1,"")</f>
        <v/>
      </c>
      <c r="N4805" s="47" t="n">
        <f aca="false">IF(F4805="S",L4805*0.02,0)</f>
        <v>0</v>
      </c>
      <c r="O4805" s="82" t="str">
        <f aca="false">IF(L4805&lt;&gt;"",L4805+N4805,"")</f>
        <v/>
      </c>
      <c r="P4805" s="47" t="str">
        <f aca="false">IF(O4805&lt;&gt;"",O4805*0.1,"")</f>
        <v/>
      </c>
      <c r="Q4805" s="83" t="str">
        <f aca="false">IF(O4805&lt;&gt;"",O4805+P4805,"")</f>
        <v/>
      </c>
      <c r="R4805" s="84"/>
    </row>
    <row r="4806" customFormat="false" ht="15" hidden="false" customHeight="true" outlineLevel="0" collapsed="false">
      <c r="A4806" s="103"/>
      <c r="B4806" s="73"/>
      <c r="C4806" s="74"/>
      <c r="D4806" s="75"/>
      <c r="E4806" s="52" t="str">
        <f aca="false">IF(D4806&lt;&gt;"",IFERROR(VLOOKUP(D4806,PROVEEDORES!$A:$B,2,0),"!COD NO ENCONTRADO"),"")</f>
        <v/>
      </c>
      <c r="F4806" s="76" t="str">
        <f aca="false">IF(D4806&lt;&gt;"",IFERROR(VLOOKUP(D4806,PROVEEDORES!$A:$C,3,0),""),"")</f>
        <v/>
      </c>
      <c r="G4806" s="75"/>
      <c r="H4806" s="52" t="str">
        <f aca="false">IF(G4806&lt;&gt;"",IFERROR(VLOOKUP(G4806,PRODUCTOS!$A:$B,2,0),"!COD NO ENCONTRADO"),"")</f>
        <v/>
      </c>
      <c r="I4806" s="77"/>
      <c r="J4806" s="78"/>
      <c r="K4806" s="79"/>
      <c r="L4806" s="80" t="str">
        <f aca="false">IF(AND(J4806&lt;&gt;"",K4806&lt;&gt;""),J4806*K4806,"")</f>
        <v/>
      </c>
      <c r="M4806" s="81" t="str">
        <f aca="false">IF(L4806&lt;&gt;"",L4806*1.1,"")</f>
        <v/>
      </c>
      <c r="N4806" s="53" t="n">
        <f aca="false">IF(F4806="S",L4806*0.02,0)</f>
        <v>0</v>
      </c>
      <c r="O4806" s="82" t="str">
        <f aca="false">IF(L4806&lt;&gt;"",L4806+N4806,"")</f>
        <v/>
      </c>
      <c r="P4806" s="53" t="str">
        <f aca="false">IF(O4806&lt;&gt;"",O4806*0.1,"")</f>
        <v/>
      </c>
      <c r="Q4806" s="83" t="str">
        <f aca="false">IF(O4806&lt;&gt;"",O4806+P4806,"")</f>
        <v/>
      </c>
      <c r="R4806" s="84"/>
    </row>
    <row r="4807" customFormat="false" ht="15" hidden="false" customHeight="true" outlineLevel="0" collapsed="false">
      <c r="A4807" s="103"/>
      <c r="B4807" s="85"/>
      <c r="C4807" s="86"/>
      <c r="D4807" s="87"/>
      <c r="E4807" s="46" t="str">
        <f aca="false">IF(D4807&lt;&gt;"",IFERROR(VLOOKUP(D4807,PROVEEDORES!$A:$B,2,0),"!COD NO ENCONTRADO"),"")</f>
        <v/>
      </c>
      <c r="F4807" s="88" t="str">
        <f aca="false">IF(D4807&lt;&gt;"",IFERROR(VLOOKUP(D4807,PROVEEDORES!$A:$C,3,0),""),"")</f>
        <v/>
      </c>
      <c r="G4807" s="87"/>
      <c r="H4807" s="46" t="str">
        <f aca="false">IF(G4807&lt;&gt;"",IFERROR(VLOOKUP(G4807,PRODUCTOS!$A:$B,2,0),"!COD NO ENCONTRADO"),"")</f>
        <v/>
      </c>
      <c r="I4807" s="89"/>
      <c r="J4807" s="90"/>
      <c r="K4807" s="91"/>
      <c r="L4807" s="80" t="str">
        <f aca="false">IF(AND(J4807&lt;&gt;"",K4807&lt;&gt;""),J4807*K4807,"")</f>
        <v/>
      </c>
      <c r="M4807" s="81" t="str">
        <f aca="false">IF(L4807&lt;&gt;"",L4807*1.1,"")</f>
        <v/>
      </c>
      <c r="N4807" s="47" t="n">
        <f aca="false">IF(F4807="S",L4807*0.02,0)</f>
        <v>0</v>
      </c>
      <c r="O4807" s="82" t="str">
        <f aca="false">IF(L4807&lt;&gt;"",L4807+N4807,"")</f>
        <v/>
      </c>
      <c r="P4807" s="47" t="str">
        <f aca="false">IF(O4807&lt;&gt;"",O4807*0.1,"")</f>
        <v/>
      </c>
      <c r="Q4807" s="83" t="str">
        <f aca="false">IF(O4807&lt;&gt;"",O4807+P4807,"")</f>
        <v/>
      </c>
      <c r="R4807" s="84"/>
    </row>
    <row r="4808" customFormat="false" ht="15" hidden="false" customHeight="true" outlineLevel="0" collapsed="false">
      <c r="A4808" s="103"/>
      <c r="B4808" s="73"/>
      <c r="C4808" s="74"/>
      <c r="D4808" s="75"/>
      <c r="E4808" s="52" t="str">
        <f aca="false">IF(D4808&lt;&gt;"",IFERROR(VLOOKUP(D4808,PROVEEDORES!$A:$B,2,0),"!COD NO ENCONTRADO"),"")</f>
        <v/>
      </c>
      <c r="F4808" s="76" t="str">
        <f aca="false">IF(D4808&lt;&gt;"",IFERROR(VLOOKUP(D4808,PROVEEDORES!$A:$C,3,0),""),"")</f>
        <v/>
      </c>
      <c r="G4808" s="75"/>
      <c r="H4808" s="52" t="str">
        <f aca="false">IF(G4808&lt;&gt;"",IFERROR(VLOOKUP(G4808,PRODUCTOS!$A:$B,2,0),"!COD NO ENCONTRADO"),"")</f>
        <v/>
      </c>
      <c r="I4808" s="77"/>
      <c r="J4808" s="78"/>
      <c r="K4808" s="79"/>
      <c r="L4808" s="80" t="str">
        <f aca="false">IF(AND(J4808&lt;&gt;"",K4808&lt;&gt;""),J4808*K4808,"")</f>
        <v/>
      </c>
      <c r="M4808" s="81" t="str">
        <f aca="false">IF(L4808&lt;&gt;"",L4808*1.1,"")</f>
        <v/>
      </c>
      <c r="N4808" s="53" t="n">
        <f aca="false">IF(F4808="S",L4808*0.02,0)</f>
        <v>0</v>
      </c>
      <c r="O4808" s="82" t="str">
        <f aca="false">IF(L4808&lt;&gt;"",L4808+N4808,"")</f>
        <v/>
      </c>
      <c r="P4808" s="53" t="str">
        <f aca="false">IF(O4808&lt;&gt;"",O4808*0.1,"")</f>
        <v/>
      </c>
      <c r="Q4808" s="83" t="str">
        <f aca="false">IF(O4808&lt;&gt;"",O4808+P4808,"")</f>
        <v/>
      </c>
      <c r="R4808" s="84"/>
    </row>
    <row r="4809" customFormat="false" ht="15" hidden="false" customHeight="true" outlineLevel="0" collapsed="false">
      <c r="A4809" s="103"/>
      <c r="B4809" s="85"/>
      <c r="C4809" s="86"/>
      <c r="D4809" s="87"/>
      <c r="E4809" s="46" t="str">
        <f aca="false">IF(D4809&lt;&gt;"",IFERROR(VLOOKUP(D4809,PROVEEDORES!$A:$B,2,0),"!COD NO ENCONTRADO"),"")</f>
        <v/>
      </c>
      <c r="F4809" s="88" t="str">
        <f aca="false">IF(D4809&lt;&gt;"",IFERROR(VLOOKUP(D4809,PROVEEDORES!$A:$C,3,0),""),"")</f>
        <v/>
      </c>
      <c r="G4809" s="87"/>
      <c r="H4809" s="46" t="str">
        <f aca="false">IF(G4809&lt;&gt;"",IFERROR(VLOOKUP(G4809,PRODUCTOS!$A:$B,2,0),"!COD NO ENCONTRADO"),"")</f>
        <v/>
      </c>
      <c r="I4809" s="89"/>
      <c r="J4809" s="90"/>
      <c r="K4809" s="91"/>
      <c r="L4809" s="80" t="str">
        <f aca="false">IF(AND(J4809&lt;&gt;"",K4809&lt;&gt;""),J4809*K4809,"")</f>
        <v/>
      </c>
      <c r="M4809" s="81" t="str">
        <f aca="false">IF(L4809&lt;&gt;"",L4809*1.1,"")</f>
        <v/>
      </c>
      <c r="N4809" s="47" t="n">
        <f aca="false">IF(F4809="S",L4809*0.02,0)</f>
        <v>0</v>
      </c>
      <c r="O4809" s="82" t="str">
        <f aca="false">IF(L4809&lt;&gt;"",L4809+N4809,"")</f>
        <v/>
      </c>
      <c r="P4809" s="47" t="str">
        <f aca="false">IF(O4809&lt;&gt;"",O4809*0.1,"")</f>
        <v/>
      </c>
      <c r="Q4809" s="83" t="str">
        <f aca="false">IF(O4809&lt;&gt;"",O4809+P4809,"")</f>
        <v/>
      </c>
      <c r="R4809" s="84"/>
    </row>
    <row r="4810" customFormat="false" ht="15" hidden="false" customHeight="true" outlineLevel="0" collapsed="false">
      <c r="A4810" s="103"/>
      <c r="B4810" s="73"/>
      <c r="C4810" s="74"/>
      <c r="D4810" s="75"/>
      <c r="E4810" s="52" t="str">
        <f aca="false">IF(D4810&lt;&gt;"",IFERROR(VLOOKUP(D4810,PROVEEDORES!$A:$B,2,0),"!COD NO ENCONTRADO"),"")</f>
        <v/>
      </c>
      <c r="F4810" s="76" t="str">
        <f aca="false">IF(D4810&lt;&gt;"",IFERROR(VLOOKUP(D4810,PROVEEDORES!$A:$C,3,0),""),"")</f>
        <v/>
      </c>
      <c r="G4810" s="75"/>
      <c r="H4810" s="52" t="str">
        <f aca="false">IF(G4810&lt;&gt;"",IFERROR(VLOOKUP(G4810,PRODUCTOS!$A:$B,2,0),"!COD NO ENCONTRADO"),"")</f>
        <v/>
      </c>
      <c r="I4810" s="77"/>
      <c r="J4810" s="78"/>
      <c r="K4810" s="79"/>
      <c r="L4810" s="80" t="str">
        <f aca="false">IF(AND(J4810&lt;&gt;"",K4810&lt;&gt;""),J4810*K4810,"")</f>
        <v/>
      </c>
      <c r="M4810" s="81" t="str">
        <f aca="false">IF(L4810&lt;&gt;"",L4810*1.1,"")</f>
        <v/>
      </c>
      <c r="N4810" s="53" t="n">
        <f aca="false">IF(F4810="S",L4810*0.02,0)</f>
        <v>0</v>
      </c>
      <c r="O4810" s="82" t="str">
        <f aca="false">IF(L4810&lt;&gt;"",L4810+N4810,"")</f>
        <v/>
      </c>
      <c r="P4810" s="53" t="str">
        <f aca="false">IF(O4810&lt;&gt;"",O4810*0.1,"")</f>
        <v/>
      </c>
      <c r="Q4810" s="83" t="str">
        <f aca="false">IF(O4810&lt;&gt;"",O4810+P4810,"")</f>
        <v/>
      </c>
      <c r="R4810" s="84"/>
    </row>
    <row r="4811" customFormat="false" ht="15" hidden="false" customHeight="true" outlineLevel="0" collapsed="false">
      <c r="A4811" s="103"/>
      <c r="B4811" s="85"/>
      <c r="C4811" s="86"/>
      <c r="D4811" s="87"/>
      <c r="E4811" s="46" t="str">
        <f aca="false">IF(D4811&lt;&gt;"",IFERROR(VLOOKUP(D4811,PROVEEDORES!$A:$B,2,0),"!COD NO ENCONTRADO"),"")</f>
        <v/>
      </c>
      <c r="F4811" s="88" t="str">
        <f aca="false">IF(D4811&lt;&gt;"",IFERROR(VLOOKUP(D4811,PROVEEDORES!$A:$C,3,0),""),"")</f>
        <v/>
      </c>
      <c r="G4811" s="87"/>
      <c r="H4811" s="46" t="str">
        <f aca="false">IF(G4811&lt;&gt;"",IFERROR(VLOOKUP(G4811,PRODUCTOS!$A:$B,2,0),"!COD NO ENCONTRADO"),"")</f>
        <v/>
      </c>
      <c r="I4811" s="89"/>
      <c r="J4811" s="90"/>
      <c r="K4811" s="91"/>
      <c r="L4811" s="80" t="str">
        <f aca="false">IF(AND(J4811&lt;&gt;"",K4811&lt;&gt;""),J4811*K4811,"")</f>
        <v/>
      </c>
      <c r="M4811" s="81" t="str">
        <f aca="false">IF(L4811&lt;&gt;"",L4811*1.1,"")</f>
        <v/>
      </c>
      <c r="N4811" s="47" t="n">
        <f aca="false">IF(F4811="S",L4811*0.02,0)</f>
        <v>0</v>
      </c>
      <c r="O4811" s="82" t="str">
        <f aca="false">IF(L4811&lt;&gt;"",L4811+N4811,"")</f>
        <v/>
      </c>
      <c r="P4811" s="47" t="str">
        <f aca="false">IF(O4811&lt;&gt;"",O4811*0.1,"")</f>
        <v/>
      </c>
      <c r="Q4811" s="83" t="str">
        <f aca="false">IF(O4811&lt;&gt;"",O4811+P4811,"")</f>
        <v/>
      </c>
      <c r="R4811" s="84"/>
    </row>
    <row r="4812" customFormat="false" ht="15" hidden="false" customHeight="true" outlineLevel="0" collapsed="false">
      <c r="A4812" s="103"/>
      <c r="B4812" s="73"/>
      <c r="C4812" s="74"/>
      <c r="D4812" s="75"/>
      <c r="E4812" s="52" t="str">
        <f aca="false">IF(D4812&lt;&gt;"",IFERROR(VLOOKUP(D4812,PROVEEDORES!$A:$B,2,0),"!COD NO ENCONTRADO"),"")</f>
        <v/>
      </c>
      <c r="F4812" s="76" t="str">
        <f aca="false">IF(D4812&lt;&gt;"",IFERROR(VLOOKUP(D4812,PROVEEDORES!$A:$C,3,0),""),"")</f>
        <v/>
      </c>
      <c r="G4812" s="75"/>
      <c r="H4812" s="52" t="str">
        <f aca="false">IF(G4812&lt;&gt;"",IFERROR(VLOOKUP(G4812,PRODUCTOS!$A:$B,2,0),"!COD NO ENCONTRADO"),"")</f>
        <v/>
      </c>
      <c r="I4812" s="77"/>
      <c r="J4812" s="78"/>
      <c r="K4812" s="79"/>
      <c r="L4812" s="80" t="str">
        <f aca="false">IF(AND(J4812&lt;&gt;"",K4812&lt;&gt;""),J4812*K4812,"")</f>
        <v/>
      </c>
      <c r="M4812" s="81" t="str">
        <f aca="false">IF(L4812&lt;&gt;"",L4812*1.1,"")</f>
        <v/>
      </c>
      <c r="N4812" s="53" t="n">
        <f aca="false">IF(F4812="S",L4812*0.02,0)</f>
        <v>0</v>
      </c>
      <c r="O4812" s="82" t="str">
        <f aca="false">IF(L4812&lt;&gt;"",L4812+N4812,"")</f>
        <v/>
      </c>
      <c r="P4812" s="53" t="str">
        <f aca="false">IF(O4812&lt;&gt;"",O4812*0.1,"")</f>
        <v/>
      </c>
      <c r="Q4812" s="83" t="str">
        <f aca="false">IF(O4812&lt;&gt;"",O4812+P4812,"")</f>
        <v/>
      </c>
      <c r="R4812" s="84"/>
    </row>
    <row r="4813" customFormat="false" ht="15" hidden="false" customHeight="true" outlineLevel="0" collapsed="false">
      <c r="A4813" s="103"/>
      <c r="B4813" s="85"/>
      <c r="C4813" s="86"/>
      <c r="D4813" s="87"/>
      <c r="E4813" s="46" t="str">
        <f aca="false">IF(D4813&lt;&gt;"",IFERROR(VLOOKUP(D4813,PROVEEDORES!$A:$B,2,0),"!COD NO ENCONTRADO"),"")</f>
        <v/>
      </c>
      <c r="F4813" s="88" t="str">
        <f aca="false">IF(D4813&lt;&gt;"",IFERROR(VLOOKUP(D4813,PROVEEDORES!$A:$C,3,0),""),"")</f>
        <v/>
      </c>
      <c r="G4813" s="87"/>
      <c r="H4813" s="46" t="str">
        <f aca="false">IF(G4813&lt;&gt;"",IFERROR(VLOOKUP(G4813,PRODUCTOS!$A:$B,2,0),"!COD NO ENCONTRADO"),"")</f>
        <v/>
      </c>
      <c r="I4813" s="89"/>
      <c r="J4813" s="90"/>
      <c r="K4813" s="91"/>
      <c r="L4813" s="80" t="str">
        <f aca="false">IF(AND(J4813&lt;&gt;"",K4813&lt;&gt;""),J4813*K4813,"")</f>
        <v/>
      </c>
      <c r="M4813" s="81" t="str">
        <f aca="false">IF(L4813&lt;&gt;"",L4813*1.1,"")</f>
        <v/>
      </c>
      <c r="N4813" s="47" t="n">
        <f aca="false">IF(F4813="S",L4813*0.02,0)</f>
        <v>0</v>
      </c>
      <c r="O4813" s="82" t="str">
        <f aca="false">IF(L4813&lt;&gt;"",L4813+N4813,"")</f>
        <v/>
      </c>
      <c r="P4813" s="47" t="str">
        <f aca="false">IF(O4813&lt;&gt;"",O4813*0.1,"")</f>
        <v/>
      </c>
      <c r="Q4813" s="83" t="str">
        <f aca="false">IF(O4813&lt;&gt;"",O4813+P4813,"")</f>
        <v/>
      </c>
      <c r="R4813" s="84"/>
    </row>
    <row r="4814" customFormat="false" ht="15" hidden="false" customHeight="true" outlineLevel="0" collapsed="false">
      <c r="A4814" s="103"/>
      <c r="B4814" s="73"/>
      <c r="C4814" s="74"/>
      <c r="D4814" s="75"/>
      <c r="E4814" s="52" t="str">
        <f aca="false">IF(D4814&lt;&gt;"",IFERROR(VLOOKUP(D4814,PROVEEDORES!$A:$B,2,0),"!COD NO ENCONTRADO"),"")</f>
        <v/>
      </c>
      <c r="F4814" s="76" t="str">
        <f aca="false">IF(D4814&lt;&gt;"",IFERROR(VLOOKUP(D4814,PROVEEDORES!$A:$C,3,0),""),"")</f>
        <v/>
      </c>
      <c r="G4814" s="75"/>
      <c r="H4814" s="52" t="str">
        <f aca="false">IF(G4814&lt;&gt;"",IFERROR(VLOOKUP(G4814,PRODUCTOS!$A:$B,2,0),"!COD NO ENCONTRADO"),"")</f>
        <v/>
      </c>
      <c r="I4814" s="77"/>
      <c r="J4814" s="78"/>
      <c r="K4814" s="79"/>
      <c r="L4814" s="80" t="str">
        <f aca="false">IF(AND(J4814&lt;&gt;"",K4814&lt;&gt;""),J4814*K4814,"")</f>
        <v/>
      </c>
      <c r="M4814" s="81" t="str">
        <f aca="false">IF(L4814&lt;&gt;"",L4814*1.1,"")</f>
        <v/>
      </c>
      <c r="N4814" s="53" t="n">
        <f aca="false">IF(F4814="S",L4814*0.02,0)</f>
        <v>0</v>
      </c>
      <c r="O4814" s="82" t="str">
        <f aca="false">IF(L4814&lt;&gt;"",L4814+N4814,"")</f>
        <v/>
      </c>
      <c r="P4814" s="53" t="str">
        <f aca="false">IF(O4814&lt;&gt;"",O4814*0.1,"")</f>
        <v/>
      </c>
      <c r="Q4814" s="83" t="str">
        <f aca="false">IF(O4814&lt;&gt;"",O4814+P4814,"")</f>
        <v/>
      </c>
      <c r="R4814" s="84"/>
    </row>
    <row r="4815" customFormat="false" ht="15" hidden="false" customHeight="true" outlineLevel="0" collapsed="false">
      <c r="A4815" s="103"/>
      <c r="B4815" s="85"/>
      <c r="C4815" s="86"/>
      <c r="D4815" s="87"/>
      <c r="E4815" s="46" t="str">
        <f aca="false">IF(D4815&lt;&gt;"",IFERROR(VLOOKUP(D4815,PROVEEDORES!$A:$B,2,0),"!COD NO ENCONTRADO"),"")</f>
        <v/>
      </c>
      <c r="F4815" s="88" t="str">
        <f aca="false">IF(D4815&lt;&gt;"",IFERROR(VLOOKUP(D4815,PROVEEDORES!$A:$C,3,0),""),"")</f>
        <v/>
      </c>
      <c r="G4815" s="87"/>
      <c r="H4815" s="46" t="str">
        <f aca="false">IF(G4815&lt;&gt;"",IFERROR(VLOOKUP(G4815,PRODUCTOS!$A:$B,2,0),"!COD NO ENCONTRADO"),"")</f>
        <v/>
      </c>
      <c r="I4815" s="89"/>
      <c r="J4815" s="90"/>
      <c r="K4815" s="91"/>
      <c r="L4815" s="80" t="str">
        <f aca="false">IF(AND(J4815&lt;&gt;"",K4815&lt;&gt;""),J4815*K4815,"")</f>
        <v/>
      </c>
      <c r="M4815" s="81" t="str">
        <f aca="false">IF(L4815&lt;&gt;"",L4815*1.1,"")</f>
        <v/>
      </c>
      <c r="N4815" s="47" t="n">
        <f aca="false">IF(F4815="S",L4815*0.02,0)</f>
        <v>0</v>
      </c>
      <c r="O4815" s="82" t="str">
        <f aca="false">IF(L4815&lt;&gt;"",L4815+N4815,"")</f>
        <v/>
      </c>
      <c r="P4815" s="47" t="str">
        <f aca="false">IF(O4815&lt;&gt;"",O4815*0.1,"")</f>
        <v/>
      </c>
      <c r="Q4815" s="83" t="str">
        <f aca="false">IF(O4815&lt;&gt;"",O4815+P4815,"")</f>
        <v/>
      </c>
      <c r="R4815" s="84"/>
    </row>
    <row r="4816" customFormat="false" ht="15" hidden="false" customHeight="true" outlineLevel="0" collapsed="false">
      <c r="A4816" s="103"/>
      <c r="B4816" s="73"/>
      <c r="C4816" s="74"/>
      <c r="D4816" s="75"/>
      <c r="E4816" s="52" t="str">
        <f aca="false">IF(D4816&lt;&gt;"",IFERROR(VLOOKUP(D4816,PROVEEDORES!$A:$B,2,0),"!COD NO ENCONTRADO"),"")</f>
        <v/>
      </c>
      <c r="F4816" s="76" t="str">
        <f aca="false">IF(D4816&lt;&gt;"",IFERROR(VLOOKUP(D4816,PROVEEDORES!$A:$C,3,0),""),"")</f>
        <v/>
      </c>
      <c r="G4816" s="75"/>
      <c r="H4816" s="52" t="str">
        <f aca="false">IF(G4816&lt;&gt;"",IFERROR(VLOOKUP(G4816,PRODUCTOS!$A:$B,2,0),"!COD NO ENCONTRADO"),"")</f>
        <v/>
      </c>
      <c r="I4816" s="77"/>
      <c r="J4816" s="78"/>
      <c r="K4816" s="79"/>
      <c r="L4816" s="80" t="str">
        <f aca="false">IF(AND(J4816&lt;&gt;"",K4816&lt;&gt;""),J4816*K4816,"")</f>
        <v/>
      </c>
      <c r="M4816" s="81" t="str">
        <f aca="false">IF(L4816&lt;&gt;"",L4816*1.1,"")</f>
        <v/>
      </c>
      <c r="N4816" s="53" t="n">
        <f aca="false">IF(F4816="S",L4816*0.02,0)</f>
        <v>0</v>
      </c>
      <c r="O4816" s="82" t="str">
        <f aca="false">IF(L4816&lt;&gt;"",L4816+N4816,"")</f>
        <v/>
      </c>
      <c r="P4816" s="53" t="str">
        <f aca="false">IF(O4816&lt;&gt;"",O4816*0.1,"")</f>
        <v/>
      </c>
      <c r="Q4816" s="83" t="str">
        <f aca="false">IF(O4816&lt;&gt;"",O4816+P4816,"")</f>
        <v/>
      </c>
      <c r="R4816" s="84"/>
    </row>
    <row r="4817" customFormat="false" ht="15" hidden="false" customHeight="true" outlineLevel="0" collapsed="false">
      <c r="A4817" s="103"/>
      <c r="B4817" s="85"/>
      <c r="C4817" s="86"/>
      <c r="D4817" s="87"/>
      <c r="E4817" s="46" t="str">
        <f aca="false">IF(D4817&lt;&gt;"",IFERROR(VLOOKUP(D4817,PROVEEDORES!$A:$B,2,0),"!COD NO ENCONTRADO"),"")</f>
        <v/>
      </c>
      <c r="F4817" s="88" t="str">
        <f aca="false">IF(D4817&lt;&gt;"",IFERROR(VLOOKUP(D4817,PROVEEDORES!$A:$C,3,0),""),"")</f>
        <v/>
      </c>
      <c r="G4817" s="87"/>
      <c r="H4817" s="46" t="str">
        <f aca="false">IF(G4817&lt;&gt;"",IFERROR(VLOOKUP(G4817,PRODUCTOS!$A:$B,2,0),"!COD NO ENCONTRADO"),"")</f>
        <v/>
      </c>
      <c r="I4817" s="89"/>
      <c r="J4817" s="90"/>
      <c r="K4817" s="91"/>
      <c r="L4817" s="80" t="str">
        <f aca="false">IF(AND(J4817&lt;&gt;"",K4817&lt;&gt;""),J4817*K4817,"")</f>
        <v/>
      </c>
      <c r="M4817" s="81" t="str">
        <f aca="false">IF(L4817&lt;&gt;"",L4817*1.1,"")</f>
        <v/>
      </c>
      <c r="N4817" s="47" t="n">
        <f aca="false">IF(F4817="S",L4817*0.02,0)</f>
        <v>0</v>
      </c>
      <c r="O4817" s="82" t="str">
        <f aca="false">IF(L4817&lt;&gt;"",L4817+N4817,"")</f>
        <v/>
      </c>
      <c r="P4817" s="47" t="str">
        <f aca="false">IF(O4817&lt;&gt;"",O4817*0.1,"")</f>
        <v/>
      </c>
      <c r="Q4817" s="83" t="str">
        <f aca="false">IF(O4817&lt;&gt;"",O4817+P4817,"")</f>
        <v/>
      </c>
      <c r="R4817" s="84"/>
    </row>
    <row r="4818" customFormat="false" ht="15" hidden="false" customHeight="true" outlineLevel="0" collapsed="false">
      <c r="A4818" s="103"/>
      <c r="B4818" s="73"/>
      <c r="C4818" s="74"/>
      <c r="D4818" s="75"/>
      <c r="E4818" s="52" t="str">
        <f aca="false">IF(D4818&lt;&gt;"",IFERROR(VLOOKUP(D4818,PROVEEDORES!$A:$B,2,0),"!COD NO ENCONTRADO"),"")</f>
        <v/>
      </c>
      <c r="F4818" s="76" t="str">
        <f aca="false">IF(D4818&lt;&gt;"",IFERROR(VLOOKUP(D4818,PROVEEDORES!$A:$C,3,0),""),"")</f>
        <v/>
      </c>
      <c r="G4818" s="75"/>
      <c r="H4818" s="52" t="str">
        <f aca="false">IF(G4818&lt;&gt;"",IFERROR(VLOOKUP(G4818,PRODUCTOS!$A:$B,2,0),"!COD NO ENCONTRADO"),"")</f>
        <v/>
      </c>
      <c r="I4818" s="77"/>
      <c r="J4818" s="78"/>
      <c r="K4818" s="79"/>
      <c r="L4818" s="80" t="str">
        <f aca="false">IF(AND(J4818&lt;&gt;"",K4818&lt;&gt;""),J4818*K4818,"")</f>
        <v/>
      </c>
      <c r="M4818" s="81" t="str">
        <f aca="false">IF(L4818&lt;&gt;"",L4818*1.1,"")</f>
        <v/>
      </c>
      <c r="N4818" s="53" t="n">
        <f aca="false">IF(F4818="S",L4818*0.02,0)</f>
        <v>0</v>
      </c>
      <c r="O4818" s="82" t="str">
        <f aca="false">IF(L4818&lt;&gt;"",L4818+N4818,"")</f>
        <v/>
      </c>
      <c r="P4818" s="53" t="str">
        <f aca="false">IF(O4818&lt;&gt;"",O4818*0.1,"")</f>
        <v/>
      </c>
      <c r="Q4818" s="83" t="str">
        <f aca="false">IF(O4818&lt;&gt;"",O4818+P4818,"")</f>
        <v/>
      </c>
      <c r="R4818" s="84"/>
    </row>
    <row r="4819" customFormat="false" ht="15" hidden="false" customHeight="true" outlineLevel="0" collapsed="false">
      <c r="A4819" s="103"/>
      <c r="B4819" s="85"/>
      <c r="C4819" s="86"/>
      <c r="D4819" s="87"/>
      <c r="E4819" s="46" t="str">
        <f aca="false">IF(D4819&lt;&gt;"",IFERROR(VLOOKUP(D4819,PROVEEDORES!$A:$B,2,0),"!COD NO ENCONTRADO"),"")</f>
        <v/>
      </c>
      <c r="F4819" s="88" t="str">
        <f aca="false">IF(D4819&lt;&gt;"",IFERROR(VLOOKUP(D4819,PROVEEDORES!$A:$C,3,0),""),"")</f>
        <v/>
      </c>
      <c r="G4819" s="87"/>
      <c r="H4819" s="46" t="str">
        <f aca="false">IF(G4819&lt;&gt;"",IFERROR(VLOOKUP(G4819,PRODUCTOS!$A:$B,2,0),"!COD NO ENCONTRADO"),"")</f>
        <v/>
      </c>
      <c r="I4819" s="89"/>
      <c r="J4819" s="90"/>
      <c r="K4819" s="91"/>
      <c r="L4819" s="80" t="str">
        <f aca="false">IF(AND(J4819&lt;&gt;"",K4819&lt;&gt;""),J4819*K4819,"")</f>
        <v/>
      </c>
      <c r="M4819" s="81" t="str">
        <f aca="false">IF(L4819&lt;&gt;"",L4819*1.1,"")</f>
        <v/>
      </c>
      <c r="N4819" s="47" t="n">
        <f aca="false">IF(F4819="S",L4819*0.02,0)</f>
        <v>0</v>
      </c>
      <c r="O4819" s="82" t="str">
        <f aca="false">IF(L4819&lt;&gt;"",L4819+N4819,"")</f>
        <v/>
      </c>
      <c r="P4819" s="47" t="str">
        <f aca="false">IF(O4819&lt;&gt;"",O4819*0.1,"")</f>
        <v/>
      </c>
      <c r="Q4819" s="83" t="str">
        <f aca="false">IF(O4819&lt;&gt;"",O4819+P4819,"")</f>
        <v/>
      </c>
      <c r="R4819" s="84"/>
    </row>
    <row r="4820" customFormat="false" ht="15" hidden="false" customHeight="true" outlineLevel="0" collapsed="false">
      <c r="A4820" s="103"/>
      <c r="B4820" s="73"/>
      <c r="C4820" s="74"/>
      <c r="D4820" s="75"/>
      <c r="E4820" s="52" t="str">
        <f aca="false">IF(D4820&lt;&gt;"",IFERROR(VLOOKUP(D4820,PROVEEDORES!$A:$B,2,0),"!COD NO ENCONTRADO"),"")</f>
        <v/>
      </c>
      <c r="F4820" s="76" t="str">
        <f aca="false">IF(D4820&lt;&gt;"",IFERROR(VLOOKUP(D4820,PROVEEDORES!$A:$C,3,0),""),"")</f>
        <v/>
      </c>
      <c r="G4820" s="75"/>
      <c r="H4820" s="52" t="str">
        <f aca="false">IF(G4820&lt;&gt;"",IFERROR(VLOOKUP(G4820,PRODUCTOS!$A:$B,2,0),"!COD NO ENCONTRADO"),"")</f>
        <v/>
      </c>
      <c r="I4820" s="77"/>
      <c r="J4820" s="78"/>
      <c r="K4820" s="79"/>
      <c r="L4820" s="80" t="str">
        <f aca="false">IF(AND(J4820&lt;&gt;"",K4820&lt;&gt;""),J4820*K4820,"")</f>
        <v/>
      </c>
      <c r="M4820" s="81" t="str">
        <f aca="false">IF(L4820&lt;&gt;"",L4820*1.1,"")</f>
        <v/>
      </c>
      <c r="N4820" s="53" t="n">
        <f aca="false">IF(F4820="S",L4820*0.02,0)</f>
        <v>0</v>
      </c>
      <c r="O4820" s="82" t="str">
        <f aca="false">IF(L4820&lt;&gt;"",L4820+N4820,"")</f>
        <v/>
      </c>
      <c r="P4820" s="53" t="str">
        <f aca="false">IF(O4820&lt;&gt;"",O4820*0.1,"")</f>
        <v/>
      </c>
      <c r="Q4820" s="83" t="str">
        <f aca="false">IF(O4820&lt;&gt;"",O4820+P4820,"")</f>
        <v/>
      </c>
      <c r="R4820" s="84"/>
    </row>
    <row r="4821" customFormat="false" ht="15" hidden="false" customHeight="true" outlineLevel="0" collapsed="false">
      <c r="A4821" s="103"/>
      <c r="B4821" s="85"/>
      <c r="C4821" s="86"/>
      <c r="D4821" s="87"/>
      <c r="E4821" s="46" t="str">
        <f aca="false">IF(D4821&lt;&gt;"",IFERROR(VLOOKUP(D4821,PROVEEDORES!$A:$B,2,0),"!COD NO ENCONTRADO"),"")</f>
        <v/>
      </c>
      <c r="F4821" s="88" t="str">
        <f aca="false">IF(D4821&lt;&gt;"",IFERROR(VLOOKUP(D4821,PROVEEDORES!$A:$C,3,0),""),"")</f>
        <v/>
      </c>
      <c r="G4821" s="87"/>
      <c r="H4821" s="46" t="str">
        <f aca="false">IF(G4821&lt;&gt;"",IFERROR(VLOOKUP(G4821,PRODUCTOS!$A:$B,2,0),"!COD NO ENCONTRADO"),"")</f>
        <v/>
      </c>
      <c r="I4821" s="89"/>
      <c r="J4821" s="90"/>
      <c r="K4821" s="91"/>
      <c r="L4821" s="80" t="str">
        <f aca="false">IF(AND(J4821&lt;&gt;"",K4821&lt;&gt;""),J4821*K4821,"")</f>
        <v/>
      </c>
      <c r="M4821" s="81" t="str">
        <f aca="false">IF(L4821&lt;&gt;"",L4821*1.1,"")</f>
        <v/>
      </c>
      <c r="N4821" s="47" t="n">
        <f aca="false">IF(F4821="S",L4821*0.02,0)</f>
        <v>0</v>
      </c>
      <c r="O4821" s="82" t="str">
        <f aca="false">IF(L4821&lt;&gt;"",L4821+N4821,"")</f>
        <v/>
      </c>
      <c r="P4821" s="47" t="str">
        <f aca="false">IF(O4821&lt;&gt;"",O4821*0.1,"")</f>
        <v/>
      </c>
      <c r="Q4821" s="83" t="str">
        <f aca="false">IF(O4821&lt;&gt;"",O4821+P4821,"")</f>
        <v/>
      </c>
      <c r="R4821" s="84"/>
    </row>
    <row r="4822" customFormat="false" ht="15" hidden="false" customHeight="true" outlineLevel="0" collapsed="false">
      <c r="A4822" s="103"/>
      <c r="B4822" s="73"/>
      <c r="C4822" s="74"/>
      <c r="D4822" s="75"/>
      <c r="E4822" s="52" t="str">
        <f aca="false">IF(D4822&lt;&gt;"",IFERROR(VLOOKUP(D4822,PROVEEDORES!$A:$B,2,0),"!COD NO ENCONTRADO"),"")</f>
        <v/>
      </c>
      <c r="F4822" s="76" t="str">
        <f aca="false">IF(D4822&lt;&gt;"",IFERROR(VLOOKUP(D4822,PROVEEDORES!$A:$C,3,0),""),"")</f>
        <v/>
      </c>
      <c r="G4822" s="75"/>
      <c r="H4822" s="52" t="str">
        <f aca="false">IF(G4822&lt;&gt;"",IFERROR(VLOOKUP(G4822,PRODUCTOS!$A:$B,2,0),"!COD NO ENCONTRADO"),"")</f>
        <v/>
      </c>
      <c r="I4822" s="77"/>
      <c r="J4822" s="78"/>
      <c r="K4822" s="79"/>
      <c r="L4822" s="80" t="str">
        <f aca="false">IF(AND(J4822&lt;&gt;"",K4822&lt;&gt;""),J4822*K4822,"")</f>
        <v/>
      </c>
      <c r="M4822" s="81" t="str">
        <f aca="false">IF(L4822&lt;&gt;"",L4822*1.1,"")</f>
        <v/>
      </c>
      <c r="N4822" s="53" t="n">
        <f aca="false">IF(F4822="S",L4822*0.02,0)</f>
        <v>0</v>
      </c>
      <c r="O4822" s="82" t="str">
        <f aca="false">IF(L4822&lt;&gt;"",L4822+N4822,"")</f>
        <v/>
      </c>
      <c r="P4822" s="53" t="str">
        <f aca="false">IF(O4822&lt;&gt;"",O4822*0.1,"")</f>
        <v/>
      </c>
      <c r="Q4822" s="83" t="str">
        <f aca="false">IF(O4822&lt;&gt;"",O4822+P4822,"")</f>
        <v/>
      </c>
      <c r="R4822" s="84"/>
    </row>
    <row r="4823" customFormat="false" ht="15" hidden="false" customHeight="true" outlineLevel="0" collapsed="false">
      <c r="A4823" s="103"/>
      <c r="B4823" s="85"/>
      <c r="C4823" s="86"/>
      <c r="D4823" s="87"/>
      <c r="E4823" s="46" t="str">
        <f aca="false">IF(D4823&lt;&gt;"",IFERROR(VLOOKUP(D4823,PROVEEDORES!$A:$B,2,0),"!COD NO ENCONTRADO"),"")</f>
        <v/>
      </c>
      <c r="F4823" s="88" t="str">
        <f aca="false">IF(D4823&lt;&gt;"",IFERROR(VLOOKUP(D4823,PROVEEDORES!$A:$C,3,0),""),"")</f>
        <v/>
      </c>
      <c r="G4823" s="87"/>
      <c r="H4823" s="46" t="str">
        <f aca="false">IF(G4823&lt;&gt;"",IFERROR(VLOOKUP(G4823,PRODUCTOS!$A:$B,2,0),"!COD NO ENCONTRADO"),"")</f>
        <v/>
      </c>
      <c r="I4823" s="89"/>
      <c r="J4823" s="90"/>
      <c r="K4823" s="91"/>
      <c r="L4823" s="80" t="str">
        <f aca="false">IF(AND(J4823&lt;&gt;"",K4823&lt;&gt;""),J4823*K4823,"")</f>
        <v/>
      </c>
      <c r="M4823" s="81" t="str">
        <f aca="false">IF(L4823&lt;&gt;"",L4823*1.1,"")</f>
        <v/>
      </c>
      <c r="N4823" s="47" t="n">
        <f aca="false">IF(F4823="S",L4823*0.02,0)</f>
        <v>0</v>
      </c>
      <c r="O4823" s="82" t="str">
        <f aca="false">IF(L4823&lt;&gt;"",L4823+N4823,"")</f>
        <v/>
      </c>
      <c r="P4823" s="47" t="str">
        <f aca="false">IF(O4823&lt;&gt;"",O4823*0.1,"")</f>
        <v/>
      </c>
      <c r="Q4823" s="83" t="str">
        <f aca="false">IF(O4823&lt;&gt;"",O4823+P4823,"")</f>
        <v/>
      </c>
      <c r="R4823" s="84"/>
    </row>
    <row r="4824" customFormat="false" ht="15" hidden="false" customHeight="true" outlineLevel="0" collapsed="false">
      <c r="A4824" s="103"/>
      <c r="B4824" s="73"/>
      <c r="C4824" s="74"/>
      <c r="D4824" s="75"/>
      <c r="E4824" s="52" t="str">
        <f aca="false">IF(D4824&lt;&gt;"",IFERROR(VLOOKUP(D4824,PROVEEDORES!$A:$B,2,0),"!COD NO ENCONTRADO"),"")</f>
        <v/>
      </c>
      <c r="F4824" s="76" t="str">
        <f aca="false">IF(D4824&lt;&gt;"",IFERROR(VLOOKUP(D4824,PROVEEDORES!$A:$C,3,0),""),"")</f>
        <v/>
      </c>
      <c r="G4824" s="75"/>
      <c r="H4824" s="52" t="str">
        <f aca="false">IF(G4824&lt;&gt;"",IFERROR(VLOOKUP(G4824,PRODUCTOS!$A:$B,2,0),"!COD NO ENCONTRADO"),"")</f>
        <v/>
      </c>
      <c r="I4824" s="77"/>
      <c r="J4824" s="78"/>
      <c r="K4824" s="79"/>
      <c r="L4824" s="80" t="str">
        <f aca="false">IF(AND(J4824&lt;&gt;"",K4824&lt;&gt;""),J4824*K4824,"")</f>
        <v/>
      </c>
      <c r="M4824" s="81" t="str">
        <f aca="false">IF(L4824&lt;&gt;"",L4824*1.1,"")</f>
        <v/>
      </c>
      <c r="N4824" s="53" t="n">
        <f aca="false">IF(F4824="S",L4824*0.02,0)</f>
        <v>0</v>
      </c>
      <c r="O4824" s="82" t="str">
        <f aca="false">IF(L4824&lt;&gt;"",L4824+N4824,"")</f>
        <v/>
      </c>
      <c r="P4824" s="53" t="str">
        <f aca="false">IF(O4824&lt;&gt;"",O4824*0.1,"")</f>
        <v/>
      </c>
      <c r="Q4824" s="83" t="str">
        <f aca="false">IF(O4824&lt;&gt;"",O4824+P4824,"")</f>
        <v/>
      </c>
      <c r="R4824" s="84"/>
    </row>
    <row r="4825" customFormat="false" ht="15" hidden="false" customHeight="true" outlineLevel="0" collapsed="false">
      <c r="A4825" s="103"/>
      <c r="B4825" s="85"/>
      <c r="C4825" s="86"/>
      <c r="D4825" s="87"/>
      <c r="E4825" s="46" t="str">
        <f aca="false">IF(D4825&lt;&gt;"",IFERROR(VLOOKUP(D4825,PROVEEDORES!$A:$B,2,0),"!COD NO ENCONTRADO"),"")</f>
        <v/>
      </c>
      <c r="F4825" s="88" t="str">
        <f aca="false">IF(D4825&lt;&gt;"",IFERROR(VLOOKUP(D4825,PROVEEDORES!$A:$C,3,0),""),"")</f>
        <v/>
      </c>
      <c r="G4825" s="87"/>
      <c r="H4825" s="46" t="str">
        <f aca="false">IF(G4825&lt;&gt;"",IFERROR(VLOOKUP(G4825,PRODUCTOS!$A:$B,2,0),"!COD NO ENCONTRADO"),"")</f>
        <v/>
      </c>
      <c r="I4825" s="89"/>
      <c r="J4825" s="90"/>
      <c r="K4825" s="91"/>
      <c r="L4825" s="80" t="str">
        <f aca="false">IF(AND(J4825&lt;&gt;"",K4825&lt;&gt;""),J4825*K4825,"")</f>
        <v/>
      </c>
      <c r="M4825" s="81" t="str">
        <f aca="false">IF(L4825&lt;&gt;"",L4825*1.1,"")</f>
        <v/>
      </c>
      <c r="N4825" s="47" t="n">
        <f aca="false">IF(F4825="S",L4825*0.02,0)</f>
        <v>0</v>
      </c>
      <c r="O4825" s="82" t="str">
        <f aca="false">IF(L4825&lt;&gt;"",L4825+N4825,"")</f>
        <v/>
      </c>
      <c r="P4825" s="47" t="str">
        <f aca="false">IF(O4825&lt;&gt;"",O4825*0.1,"")</f>
        <v/>
      </c>
      <c r="Q4825" s="83" t="str">
        <f aca="false">IF(O4825&lt;&gt;"",O4825+P4825,"")</f>
        <v/>
      </c>
      <c r="R4825" s="84"/>
    </row>
    <row r="4826" customFormat="false" ht="15" hidden="false" customHeight="true" outlineLevel="0" collapsed="false">
      <c r="A4826" s="103"/>
      <c r="B4826" s="73"/>
      <c r="C4826" s="74"/>
      <c r="D4826" s="75"/>
      <c r="E4826" s="52" t="str">
        <f aca="false">IF(D4826&lt;&gt;"",IFERROR(VLOOKUP(D4826,PROVEEDORES!$A:$B,2,0),"!COD NO ENCONTRADO"),"")</f>
        <v/>
      </c>
      <c r="F4826" s="76" t="str">
        <f aca="false">IF(D4826&lt;&gt;"",IFERROR(VLOOKUP(D4826,PROVEEDORES!$A:$C,3,0),""),"")</f>
        <v/>
      </c>
      <c r="G4826" s="75"/>
      <c r="H4826" s="52" t="str">
        <f aca="false">IF(G4826&lt;&gt;"",IFERROR(VLOOKUP(G4826,PRODUCTOS!$A:$B,2,0),"!COD NO ENCONTRADO"),"")</f>
        <v/>
      </c>
      <c r="I4826" s="77"/>
      <c r="J4826" s="78"/>
      <c r="K4826" s="79"/>
      <c r="L4826" s="80" t="str">
        <f aca="false">IF(AND(J4826&lt;&gt;"",K4826&lt;&gt;""),J4826*K4826,"")</f>
        <v/>
      </c>
      <c r="M4826" s="81" t="str">
        <f aca="false">IF(L4826&lt;&gt;"",L4826*1.1,"")</f>
        <v/>
      </c>
      <c r="N4826" s="53" t="n">
        <f aca="false">IF(F4826="S",L4826*0.02,0)</f>
        <v>0</v>
      </c>
      <c r="O4826" s="82" t="str">
        <f aca="false">IF(L4826&lt;&gt;"",L4826+N4826,"")</f>
        <v/>
      </c>
      <c r="P4826" s="53" t="str">
        <f aca="false">IF(O4826&lt;&gt;"",O4826*0.1,"")</f>
        <v/>
      </c>
      <c r="Q4826" s="83" t="str">
        <f aca="false">IF(O4826&lt;&gt;"",O4826+P4826,"")</f>
        <v/>
      </c>
      <c r="R4826" s="84"/>
    </row>
    <row r="4827" customFormat="false" ht="15" hidden="false" customHeight="true" outlineLevel="0" collapsed="false">
      <c r="A4827" s="103"/>
      <c r="B4827" s="85"/>
      <c r="C4827" s="86"/>
      <c r="D4827" s="87"/>
      <c r="E4827" s="46" t="str">
        <f aca="false">IF(D4827&lt;&gt;"",IFERROR(VLOOKUP(D4827,PROVEEDORES!$A:$B,2,0),"!COD NO ENCONTRADO"),"")</f>
        <v/>
      </c>
      <c r="F4827" s="88" t="str">
        <f aca="false">IF(D4827&lt;&gt;"",IFERROR(VLOOKUP(D4827,PROVEEDORES!$A:$C,3,0),""),"")</f>
        <v/>
      </c>
      <c r="G4827" s="87"/>
      <c r="H4827" s="46" t="str">
        <f aca="false">IF(G4827&lt;&gt;"",IFERROR(VLOOKUP(G4827,PRODUCTOS!$A:$B,2,0),"!COD NO ENCONTRADO"),"")</f>
        <v/>
      </c>
      <c r="I4827" s="89"/>
      <c r="J4827" s="90"/>
      <c r="K4827" s="91"/>
      <c r="L4827" s="80" t="str">
        <f aca="false">IF(AND(J4827&lt;&gt;"",K4827&lt;&gt;""),J4827*K4827,"")</f>
        <v/>
      </c>
      <c r="M4827" s="81" t="str">
        <f aca="false">IF(L4827&lt;&gt;"",L4827*1.1,"")</f>
        <v/>
      </c>
      <c r="N4827" s="47" t="n">
        <f aca="false">IF(F4827="S",L4827*0.02,0)</f>
        <v>0</v>
      </c>
      <c r="O4827" s="82" t="str">
        <f aca="false">IF(L4827&lt;&gt;"",L4827+N4827,"")</f>
        <v/>
      </c>
      <c r="P4827" s="47" t="str">
        <f aca="false">IF(O4827&lt;&gt;"",O4827*0.1,"")</f>
        <v/>
      </c>
      <c r="Q4827" s="83" t="str">
        <f aca="false">IF(O4827&lt;&gt;"",O4827+P4827,"")</f>
        <v/>
      </c>
      <c r="R4827" s="84"/>
    </row>
    <row r="4828" customFormat="false" ht="15" hidden="false" customHeight="true" outlineLevel="0" collapsed="false">
      <c r="A4828" s="103"/>
      <c r="B4828" s="73"/>
      <c r="C4828" s="74"/>
      <c r="D4828" s="75"/>
      <c r="E4828" s="52" t="str">
        <f aca="false">IF(D4828&lt;&gt;"",IFERROR(VLOOKUP(D4828,PROVEEDORES!$A:$B,2,0),"!COD NO ENCONTRADO"),"")</f>
        <v/>
      </c>
      <c r="F4828" s="76" t="str">
        <f aca="false">IF(D4828&lt;&gt;"",IFERROR(VLOOKUP(D4828,PROVEEDORES!$A:$C,3,0),""),"")</f>
        <v/>
      </c>
      <c r="G4828" s="75"/>
      <c r="H4828" s="52" t="str">
        <f aca="false">IF(G4828&lt;&gt;"",IFERROR(VLOOKUP(G4828,PRODUCTOS!$A:$B,2,0),"!COD NO ENCONTRADO"),"")</f>
        <v/>
      </c>
      <c r="I4828" s="77"/>
      <c r="J4828" s="78"/>
      <c r="K4828" s="79"/>
      <c r="L4828" s="80" t="str">
        <f aca="false">IF(AND(J4828&lt;&gt;"",K4828&lt;&gt;""),J4828*K4828,"")</f>
        <v/>
      </c>
      <c r="M4828" s="81" t="str">
        <f aca="false">IF(L4828&lt;&gt;"",L4828*1.1,"")</f>
        <v/>
      </c>
      <c r="N4828" s="53" t="n">
        <f aca="false">IF(F4828="S",L4828*0.02,0)</f>
        <v>0</v>
      </c>
      <c r="O4828" s="82" t="str">
        <f aca="false">IF(L4828&lt;&gt;"",L4828+N4828,"")</f>
        <v/>
      </c>
      <c r="P4828" s="53" t="str">
        <f aca="false">IF(O4828&lt;&gt;"",O4828*0.1,"")</f>
        <v/>
      </c>
      <c r="Q4828" s="83" t="str">
        <f aca="false">IF(O4828&lt;&gt;"",O4828+P4828,"")</f>
        <v/>
      </c>
      <c r="R4828" s="84"/>
    </row>
    <row r="4829" customFormat="false" ht="15" hidden="false" customHeight="true" outlineLevel="0" collapsed="false">
      <c r="A4829" s="103"/>
      <c r="B4829" s="85"/>
      <c r="C4829" s="86"/>
      <c r="D4829" s="87"/>
      <c r="E4829" s="46" t="str">
        <f aca="false">IF(D4829&lt;&gt;"",IFERROR(VLOOKUP(D4829,PROVEEDORES!$A:$B,2,0),"!COD NO ENCONTRADO"),"")</f>
        <v/>
      </c>
      <c r="F4829" s="88" t="str">
        <f aca="false">IF(D4829&lt;&gt;"",IFERROR(VLOOKUP(D4829,PROVEEDORES!$A:$C,3,0),""),"")</f>
        <v/>
      </c>
      <c r="G4829" s="87"/>
      <c r="H4829" s="46" t="str">
        <f aca="false">IF(G4829&lt;&gt;"",IFERROR(VLOOKUP(G4829,PRODUCTOS!$A:$B,2,0),"!COD NO ENCONTRADO"),"")</f>
        <v/>
      </c>
      <c r="I4829" s="89"/>
      <c r="J4829" s="90"/>
      <c r="K4829" s="91"/>
      <c r="L4829" s="80" t="str">
        <f aca="false">IF(AND(J4829&lt;&gt;"",K4829&lt;&gt;""),J4829*K4829,"")</f>
        <v/>
      </c>
      <c r="M4829" s="81" t="str">
        <f aca="false">IF(L4829&lt;&gt;"",L4829*1.1,"")</f>
        <v/>
      </c>
      <c r="N4829" s="47" t="n">
        <f aca="false">IF(F4829="S",L4829*0.02,0)</f>
        <v>0</v>
      </c>
      <c r="O4829" s="82" t="str">
        <f aca="false">IF(L4829&lt;&gt;"",L4829+N4829,"")</f>
        <v/>
      </c>
      <c r="P4829" s="47" t="str">
        <f aca="false">IF(O4829&lt;&gt;"",O4829*0.1,"")</f>
        <v/>
      </c>
      <c r="Q4829" s="83" t="str">
        <f aca="false">IF(O4829&lt;&gt;"",O4829+P4829,"")</f>
        <v/>
      </c>
      <c r="R4829" s="84"/>
    </row>
    <row r="4830" customFormat="false" ht="15" hidden="false" customHeight="true" outlineLevel="0" collapsed="false">
      <c r="A4830" s="103"/>
      <c r="B4830" s="73"/>
      <c r="C4830" s="74"/>
      <c r="D4830" s="75"/>
      <c r="E4830" s="52" t="str">
        <f aca="false">IF(D4830&lt;&gt;"",IFERROR(VLOOKUP(D4830,PROVEEDORES!$A:$B,2,0),"!COD NO ENCONTRADO"),"")</f>
        <v/>
      </c>
      <c r="F4830" s="76" t="str">
        <f aca="false">IF(D4830&lt;&gt;"",IFERROR(VLOOKUP(D4830,PROVEEDORES!$A:$C,3,0),""),"")</f>
        <v/>
      </c>
      <c r="G4830" s="75"/>
      <c r="H4830" s="52" t="str">
        <f aca="false">IF(G4830&lt;&gt;"",IFERROR(VLOOKUP(G4830,PRODUCTOS!$A:$B,2,0),"!COD NO ENCONTRADO"),"")</f>
        <v/>
      </c>
      <c r="I4830" s="77"/>
      <c r="J4830" s="78"/>
      <c r="K4830" s="79"/>
      <c r="L4830" s="80" t="str">
        <f aca="false">IF(AND(J4830&lt;&gt;"",K4830&lt;&gt;""),J4830*K4830,"")</f>
        <v/>
      </c>
      <c r="M4830" s="81" t="str">
        <f aca="false">IF(L4830&lt;&gt;"",L4830*1.1,"")</f>
        <v/>
      </c>
      <c r="N4830" s="53" t="n">
        <f aca="false">IF(F4830="S",L4830*0.02,0)</f>
        <v>0</v>
      </c>
      <c r="O4830" s="82" t="str">
        <f aca="false">IF(L4830&lt;&gt;"",L4830+N4830,"")</f>
        <v/>
      </c>
      <c r="P4830" s="53" t="str">
        <f aca="false">IF(O4830&lt;&gt;"",O4830*0.1,"")</f>
        <v/>
      </c>
      <c r="Q4830" s="83" t="str">
        <f aca="false">IF(O4830&lt;&gt;"",O4830+P4830,"")</f>
        <v/>
      </c>
      <c r="R4830" s="84"/>
    </row>
    <row r="4831" customFormat="false" ht="15" hidden="false" customHeight="true" outlineLevel="0" collapsed="false">
      <c r="A4831" s="103"/>
      <c r="B4831" s="85"/>
      <c r="C4831" s="86"/>
      <c r="D4831" s="87"/>
      <c r="E4831" s="46" t="str">
        <f aca="false">IF(D4831&lt;&gt;"",IFERROR(VLOOKUP(D4831,PROVEEDORES!$A:$B,2,0),"!COD NO ENCONTRADO"),"")</f>
        <v/>
      </c>
      <c r="F4831" s="88" t="str">
        <f aca="false">IF(D4831&lt;&gt;"",IFERROR(VLOOKUP(D4831,PROVEEDORES!$A:$C,3,0),""),"")</f>
        <v/>
      </c>
      <c r="G4831" s="87"/>
      <c r="H4831" s="46" t="str">
        <f aca="false">IF(G4831&lt;&gt;"",IFERROR(VLOOKUP(G4831,PRODUCTOS!$A:$B,2,0),"!COD NO ENCONTRADO"),"")</f>
        <v/>
      </c>
      <c r="I4831" s="89"/>
      <c r="J4831" s="90"/>
      <c r="K4831" s="91"/>
      <c r="L4831" s="80" t="str">
        <f aca="false">IF(AND(J4831&lt;&gt;"",K4831&lt;&gt;""),J4831*K4831,"")</f>
        <v/>
      </c>
      <c r="M4831" s="81" t="str">
        <f aca="false">IF(L4831&lt;&gt;"",L4831*1.1,"")</f>
        <v/>
      </c>
      <c r="N4831" s="47" t="n">
        <f aca="false">IF(F4831="S",L4831*0.02,0)</f>
        <v>0</v>
      </c>
      <c r="O4831" s="82" t="str">
        <f aca="false">IF(L4831&lt;&gt;"",L4831+N4831,"")</f>
        <v/>
      </c>
      <c r="P4831" s="47" t="str">
        <f aca="false">IF(O4831&lt;&gt;"",O4831*0.1,"")</f>
        <v/>
      </c>
      <c r="Q4831" s="83" t="str">
        <f aca="false">IF(O4831&lt;&gt;"",O4831+P4831,"")</f>
        <v/>
      </c>
      <c r="R4831" s="84"/>
    </row>
    <row r="4832" customFormat="false" ht="15" hidden="false" customHeight="true" outlineLevel="0" collapsed="false">
      <c r="A4832" s="103"/>
      <c r="B4832" s="73"/>
      <c r="C4832" s="74"/>
      <c r="D4832" s="75"/>
      <c r="E4832" s="52" t="str">
        <f aca="false">IF(D4832&lt;&gt;"",IFERROR(VLOOKUP(D4832,PROVEEDORES!$A:$B,2,0),"!COD NO ENCONTRADO"),"")</f>
        <v/>
      </c>
      <c r="F4832" s="76" t="str">
        <f aca="false">IF(D4832&lt;&gt;"",IFERROR(VLOOKUP(D4832,PROVEEDORES!$A:$C,3,0),""),"")</f>
        <v/>
      </c>
      <c r="G4832" s="75"/>
      <c r="H4832" s="52" t="str">
        <f aca="false">IF(G4832&lt;&gt;"",IFERROR(VLOOKUP(G4832,PRODUCTOS!$A:$B,2,0),"!COD NO ENCONTRADO"),"")</f>
        <v/>
      </c>
      <c r="I4832" s="77"/>
      <c r="J4832" s="78"/>
      <c r="K4832" s="79"/>
      <c r="L4832" s="80" t="str">
        <f aca="false">IF(AND(J4832&lt;&gt;"",K4832&lt;&gt;""),J4832*K4832,"")</f>
        <v/>
      </c>
      <c r="M4832" s="81" t="str">
        <f aca="false">IF(L4832&lt;&gt;"",L4832*1.1,"")</f>
        <v/>
      </c>
      <c r="N4832" s="53" t="n">
        <f aca="false">IF(F4832="S",L4832*0.02,0)</f>
        <v>0</v>
      </c>
      <c r="O4832" s="82" t="str">
        <f aca="false">IF(L4832&lt;&gt;"",L4832+N4832,"")</f>
        <v/>
      </c>
      <c r="P4832" s="53" t="str">
        <f aca="false">IF(O4832&lt;&gt;"",O4832*0.1,"")</f>
        <v/>
      </c>
      <c r="Q4832" s="83" t="str">
        <f aca="false">IF(O4832&lt;&gt;"",O4832+P4832,"")</f>
        <v/>
      </c>
      <c r="R4832" s="84"/>
    </row>
    <row r="4833" customFormat="false" ht="15" hidden="false" customHeight="true" outlineLevel="0" collapsed="false">
      <c r="A4833" s="103"/>
      <c r="B4833" s="85"/>
      <c r="C4833" s="86"/>
      <c r="D4833" s="87"/>
      <c r="E4833" s="46" t="str">
        <f aca="false">IF(D4833&lt;&gt;"",IFERROR(VLOOKUP(D4833,PROVEEDORES!$A:$B,2,0),"!COD NO ENCONTRADO"),"")</f>
        <v/>
      </c>
      <c r="F4833" s="88" t="str">
        <f aca="false">IF(D4833&lt;&gt;"",IFERROR(VLOOKUP(D4833,PROVEEDORES!$A:$C,3,0),""),"")</f>
        <v/>
      </c>
      <c r="G4833" s="87"/>
      <c r="H4833" s="46" t="str">
        <f aca="false">IF(G4833&lt;&gt;"",IFERROR(VLOOKUP(G4833,PRODUCTOS!$A:$B,2,0),"!COD NO ENCONTRADO"),"")</f>
        <v/>
      </c>
      <c r="I4833" s="89"/>
      <c r="J4833" s="90"/>
      <c r="K4833" s="91"/>
      <c r="L4833" s="80" t="str">
        <f aca="false">IF(AND(J4833&lt;&gt;"",K4833&lt;&gt;""),J4833*K4833,"")</f>
        <v/>
      </c>
      <c r="M4833" s="81" t="str">
        <f aca="false">IF(L4833&lt;&gt;"",L4833*1.1,"")</f>
        <v/>
      </c>
      <c r="N4833" s="47" t="n">
        <f aca="false">IF(F4833="S",L4833*0.02,0)</f>
        <v>0</v>
      </c>
      <c r="O4833" s="82" t="str">
        <f aca="false">IF(L4833&lt;&gt;"",L4833+N4833,"")</f>
        <v/>
      </c>
      <c r="P4833" s="47" t="str">
        <f aca="false">IF(O4833&lt;&gt;"",O4833*0.1,"")</f>
        <v/>
      </c>
      <c r="Q4833" s="83" t="str">
        <f aca="false">IF(O4833&lt;&gt;"",O4833+P4833,"")</f>
        <v/>
      </c>
      <c r="R4833" s="84"/>
    </row>
    <row r="4834" customFormat="false" ht="15" hidden="false" customHeight="true" outlineLevel="0" collapsed="false">
      <c r="A4834" s="103"/>
      <c r="B4834" s="73"/>
      <c r="C4834" s="74"/>
      <c r="D4834" s="75"/>
      <c r="E4834" s="52" t="str">
        <f aca="false">IF(D4834&lt;&gt;"",IFERROR(VLOOKUP(D4834,PROVEEDORES!$A:$B,2,0),"!COD NO ENCONTRADO"),"")</f>
        <v/>
      </c>
      <c r="F4834" s="76" t="str">
        <f aca="false">IF(D4834&lt;&gt;"",IFERROR(VLOOKUP(D4834,PROVEEDORES!$A:$C,3,0),""),"")</f>
        <v/>
      </c>
      <c r="G4834" s="75"/>
      <c r="H4834" s="52" t="str">
        <f aca="false">IF(G4834&lt;&gt;"",IFERROR(VLOOKUP(G4834,PRODUCTOS!$A:$B,2,0),"!COD NO ENCONTRADO"),"")</f>
        <v/>
      </c>
      <c r="I4834" s="77"/>
      <c r="J4834" s="78"/>
      <c r="K4834" s="79"/>
      <c r="L4834" s="80" t="str">
        <f aca="false">IF(AND(J4834&lt;&gt;"",K4834&lt;&gt;""),J4834*K4834,"")</f>
        <v/>
      </c>
      <c r="M4834" s="81" t="str">
        <f aca="false">IF(L4834&lt;&gt;"",L4834*1.1,"")</f>
        <v/>
      </c>
      <c r="N4834" s="53" t="n">
        <f aca="false">IF(F4834="S",L4834*0.02,0)</f>
        <v>0</v>
      </c>
      <c r="O4834" s="82" t="str">
        <f aca="false">IF(L4834&lt;&gt;"",L4834+N4834,"")</f>
        <v/>
      </c>
      <c r="P4834" s="53" t="str">
        <f aca="false">IF(O4834&lt;&gt;"",O4834*0.1,"")</f>
        <v/>
      </c>
      <c r="Q4834" s="83" t="str">
        <f aca="false">IF(O4834&lt;&gt;"",O4834+P4834,"")</f>
        <v/>
      </c>
      <c r="R4834" s="84"/>
    </row>
    <row r="4835" customFormat="false" ht="15" hidden="false" customHeight="true" outlineLevel="0" collapsed="false">
      <c r="A4835" s="103"/>
      <c r="B4835" s="85"/>
      <c r="C4835" s="86"/>
      <c r="D4835" s="87"/>
      <c r="E4835" s="46" t="str">
        <f aca="false">IF(D4835&lt;&gt;"",IFERROR(VLOOKUP(D4835,PROVEEDORES!$A:$B,2,0),"!COD NO ENCONTRADO"),"")</f>
        <v/>
      </c>
      <c r="F4835" s="88" t="str">
        <f aca="false">IF(D4835&lt;&gt;"",IFERROR(VLOOKUP(D4835,PROVEEDORES!$A:$C,3,0),""),"")</f>
        <v/>
      </c>
      <c r="G4835" s="87"/>
      <c r="H4835" s="46" t="str">
        <f aca="false">IF(G4835&lt;&gt;"",IFERROR(VLOOKUP(G4835,PRODUCTOS!$A:$B,2,0),"!COD NO ENCONTRADO"),"")</f>
        <v/>
      </c>
      <c r="I4835" s="89"/>
      <c r="J4835" s="90"/>
      <c r="K4835" s="91"/>
      <c r="L4835" s="80" t="str">
        <f aca="false">IF(AND(J4835&lt;&gt;"",K4835&lt;&gt;""),J4835*K4835,"")</f>
        <v/>
      </c>
      <c r="M4835" s="81" t="str">
        <f aca="false">IF(L4835&lt;&gt;"",L4835*1.1,"")</f>
        <v/>
      </c>
      <c r="N4835" s="47" t="n">
        <f aca="false">IF(F4835="S",L4835*0.02,0)</f>
        <v>0</v>
      </c>
      <c r="O4835" s="82" t="str">
        <f aca="false">IF(L4835&lt;&gt;"",L4835+N4835,"")</f>
        <v/>
      </c>
      <c r="P4835" s="47" t="str">
        <f aca="false">IF(O4835&lt;&gt;"",O4835*0.1,"")</f>
        <v/>
      </c>
      <c r="Q4835" s="83" t="str">
        <f aca="false">IF(O4835&lt;&gt;"",O4835+P4835,"")</f>
        <v/>
      </c>
      <c r="R4835" s="84"/>
    </row>
    <row r="4836" customFormat="false" ht="15" hidden="false" customHeight="true" outlineLevel="0" collapsed="false">
      <c r="A4836" s="103"/>
      <c r="B4836" s="73"/>
      <c r="C4836" s="74"/>
      <c r="D4836" s="75"/>
      <c r="E4836" s="52" t="str">
        <f aca="false">IF(D4836&lt;&gt;"",IFERROR(VLOOKUP(D4836,PROVEEDORES!$A:$B,2,0),"!COD NO ENCONTRADO"),"")</f>
        <v/>
      </c>
      <c r="F4836" s="76" t="str">
        <f aca="false">IF(D4836&lt;&gt;"",IFERROR(VLOOKUP(D4836,PROVEEDORES!$A:$C,3,0),""),"")</f>
        <v/>
      </c>
      <c r="G4836" s="75"/>
      <c r="H4836" s="52" t="str">
        <f aca="false">IF(G4836&lt;&gt;"",IFERROR(VLOOKUP(G4836,PRODUCTOS!$A:$B,2,0),"!COD NO ENCONTRADO"),"")</f>
        <v/>
      </c>
      <c r="I4836" s="77"/>
      <c r="J4836" s="78"/>
      <c r="K4836" s="79"/>
      <c r="L4836" s="80" t="str">
        <f aca="false">IF(AND(J4836&lt;&gt;"",K4836&lt;&gt;""),J4836*K4836,"")</f>
        <v/>
      </c>
      <c r="M4836" s="81" t="str">
        <f aca="false">IF(L4836&lt;&gt;"",L4836*1.1,"")</f>
        <v/>
      </c>
      <c r="N4836" s="53" t="n">
        <f aca="false">IF(F4836="S",L4836*0.02,0)</f>
        <v>0</v>
      </c>
      <c r="O4836" s="82" t="str">
        <f aca="false">IF(L4836&lt;&gt;"",L4836+N4836,"")</f>
        <v/>
      </c>
      <c r="P4836" s="53" t="str">
        <f aca="false">IF(O4836&lt;&gt;"",O4836*0.1,"")</f>
        <v/>
      </c>
      <c r="Q4836" s="83" t="str">
        <f aca="false">IF(O4836&lt;&gt;"",O4836+P4836,"")</f>
        <v/>
      </c>
      <c r="R4836" s="84"/>
    </row>
    <row r="4837" customFormat="false" ht="15" hidden="false" customHeight="true" outlineLevel="0" collapsed="false">
      <c r="A4837" s="103"/>
      <c r="B4837" s="85"/>
      <c r="C4837" s="86"/>
      <c r="D4837" s="87"/>
      <c r="E4837" s="46" t="str">
        <f aca="false">IF(D4837&lt;&gt;"",IFERROR(VLOOKUP(D4837,PROVEEDORES!$A:$B,2,0),"!COD NO ENCONTRADO"),"")</f>
        <v/>
      </c>
      <c r="F4837" s="88" t="str">
        <f aca="false">IF(D4837&lt;&gt;"",IFERROR(VLOOKUP(D4837,PROVEEDORES!$A:$C,3,0),""),"")</f>
        <v/>
      </c>
      <c r="G4837" s="87"/>
      <c r="H4837" s="46" t="str">
        <f aca="false">IF(G4837&lt;&gt;"",IFERROR(VLOOKUP(G4837,PRODUCTOS!$A:$B,2,0),"!COD NO ENCONTRADO"),"")</f>
        <v/>
      </c>
      <c r="I4837" s="89"/>
      <c r="J4837" s="90"/>
      <c r="K4837" s="91"/>
      <c r="L4837" s="80" t="str">
        <f aca="false">IF(AND(J4837&lt;&gt;"",K4837&lt;&gt;""),J4837*K4837,"")</f>
        <v/>
      </c>
      <c r="M4837" s="81" t="str">
        <f aca="false">IF(L4837&lt;&gt;"",L4837*1.1,"")</f>
        <v/>
      </c>
      <c r="N4837" s="47" t="n">
        <f aca="false">IF(F4837="S",L4837*0.02,0)</f>
        <v>0</v>
      </c>
      <c r="O4837" s="82" t="str">
        <f aca="false">IF(L4837&lt;&gt;"",L4837+N4837,"")</f>
        <v/>
      </c>
      <c r="P4837" s="47" t="str">
        <f aca="false">IF(O4837&lt;&gt;"",O4837*0.1,"")</f>
        <v/>
      </c>
      <c r="Q4837" s="83" t="str">
        <f aca="false">IF(O4837&lt;&gt;"",O4837+P4837,"")</f>
        <v/>
      </c>
      <c r="R4837" s="84"/>
    </row>
    <row r="4838" customFormat="false" ht="15" hidden="false" customHeight="true" outlineLevel="0" collapsed="false">
      <c r="A4838" s="103"/>
      <c r="B4838" s="73"/>
      <c r="C4838" s="74"/>
      <c r="D4838" s="75"/>
      <c r="E4838" s="52" t="str">
        <f aca="false">IF(D4838&lt;&gt;"",IFERROR(VLOOKUP(D4838,PROVEEDORES!$A:$B,2,0),"!COD NO ENCONTRADO"),"")</f>
        <v/>
      </c>
      <c r="F4838" s="76" t="str">
        <f aca="false">IF(D4838&lt;&gt;"",IFERROR(VLOOKUP(D4838,PROVEEDORES!$A:$C,3,0),""),"")</f>
        <v/>
      </c>
      <c r="G4838" s="75"/>
      <c r="H4838" s="52" t="str">
        <f aca="false">IF(G4838&lt;&gt;"",IFERROR(VLOOKUP(G4838,PRODUCTOS!$A:$B,2,0),"!COD NO ENCONTRADO"),"")</f>
        <v/>
      </c>
      <c r="I4838" s="77"/>
      <c r="J4838" s="78"/>
      <c r="K4838" s="79"/>
      <c r="L4838" s="80" t="str">
        <f aca="false">IF(AND(J4838&lt;&gt;"",K4838&lt;&gt;""),J4838*K4838,"")</f>
        <v/>
      </c>
      <c r="M4838" s="81" t="str">
        <f aca="false">IF(L4838&lt;&gt;"",L4838*1.1,"")</f>
        <v/>
      </c>
      <c r="N4838" s="53" t="n">
        <f aca="false">IF(F4838="S",L4838*0.02,0)</f>
        <v>0</v>
      </c>
      <c r="O4838" s="82" t="str">
        <f aca="false">IF(L4838&lt;&gt;"",L4838+N4838,"")</f>
        <v/>
      </c>
      <c r="P4838" s="53" t="str">
        <f aca="false">IF(O4838&lt;&gt;"",O4838*0.1,"")</f>
        <v/>
      </c>
      <c r="Q4838" s="83" t="str">
        <f aca="false">IF(O4838&lt;&gt;"",O4838+P4838,"")</f>
        <v/>
      </c>
      <c r="R4838" s="84"/>
    </row>
    <row r="4839" customFormat="false" ht="15" hidden="false" customHeight="true" outlineLevel="0" collapsed="false">
      <c r="A4839" s="103"/>
      <c r="B4839" s="85"/>
      <c r="C4839" s="86"/>
      <c r="D4839" s="87"/>
      <c r="E4839" s="46" t="str">
        <f aca="false">IF(D4839&lt;&gt;"",IFERROR(VLOOKUP(D4839,PROVEEDORES!$A:$B,2,0),"!COD NO ENCONTRADO"),"")</f>
        <v/>
      </c>
      <c r="F4839" s="88" t="str">
        <f aca="false">IF(D4839&lt;&gt;"",IFERROR(VLOOKUP(D4839,PROVEEDORES!$A:$C,3,0),""),"")</f>
        <v/>
      </c>
      <c r="G4839" s="87"/>
      <c r="H4839" s="46" t="str">
        <f aca="false">IF(G4839&lt;&gt;"",IFERROR(VLOOKUP(G4839,PRODUCTOS!$A:$B,2,0),"!COD NO ENCONTRADO"),"")</f>
        <v/>
      </c>
      <c r="I4839" s="89"/>
      <c r="J4839" s="90"/>
      <c r="K4839" s="91"/>
      <c r="L4839" s="80" t="str">
        <f aca="false">IF(AND(J4839&lt;&gt;"",K4839&lt;&gt;""),J4839*K4839,"")</f>
        <v/>
      </c>
      <c r="M4839" s="81" t="str">
        <f aca="false">IF(L4839&lt;&gt;"",L4839*1.1,"")</f>
        <v/>
      </c>
      <c r="N4839" s="47" t="n">
        <f aca="false">IF(F4839="S",L4839*0.02,0)</f>
        <v>0</v>
      </c>
      <c r="O4839" s="82" t="str">
        <f aca="false">IF(L4839&lt;&gt;"",L4839+N4839,"")</f>
        <v/>
      </c>
      <c r="P4839" s="47" t="str">
        <f aca="false">IF(O4839&lt;&gt;"",O4839*0.1,"")</f>
        <v/>
      </c>
      <c r="Q4839" s="83" t="str">
        <f aca="false">IF(O4839&lt;&gt;"",O4839+P4839,"")</f>
        <v/>
      </c>
      <c r="R4839" s="84"/>
    </row>
    <row r="4840" customFormat="false" ht="15" hidden="false" customHeight="true" outlineLevel="0" collapsed="false">
      <c r="A4840" s="103"/>
      <c r="B4840" s="73"/>
      <c r="C4840" s="74"/>
      <c r="D4840" s="75"/>
      <c r="E4840" s="52" t="str">
        <f aca="false">IF(D4840&lt;&gt;"",IFERROR(VLOOKUP(D4840,PROVEEDORES!$A:$B,2,0),"!COD NO ENCONTRADO"),"")</f>
        <v/>
      </c>
      <c r="F4840" s="76" t="str">
        <f aca="false">IF(D4840&lt;&gt;"",IFERROR(VLOOKUP(D4840,PROVEEDORES!$A:$C,3,0),""),"")</f>
        <v/>
      </c>
      <c r="G4840" s="75"/>
      <c r="H4840" s="52" t="str">
        <f aca="false">IF(G4840&lt;&gt;"",IFERROR(VLOOKUP(G4840,PRODUCTOS!$A:$B,2,0),"!COD NO ENCONTRADO"),"")</f>
        <v/>
      </c>
      <c r="I4840" s="77"/>
      <c r="J4840" s="78"/>
      <c r="K4840" s="79"/>
      <c r="L4840" s="80" t="str">
        <f aca="false">IF(AND(J4840&lt;&gt;"",K4840&lt;&gt;""),J4840*K4840,"")</f>
        <v/>
      </c>
      <c r="M4840" s="81" t="str">
        <f aca="false">IF(L4840&lt;&gt;"",L4840*1.1,"")</f>
        <v/>
      </c>
      <c r="N4840" s="53" t="n">
        <f aca="false">IF(F4840="S",L4840*0.02,0)</f>
        <v>0</v>
      </c>
      <c r="O4840" s="82" t="str">
        <f aca="false">IF(L4840&lt;&gt;"",L4840+N4840,"")</f>
        <v/>
      </c>
      <c r="P4840" s="53" t="str">
        <f aca="false">IF(O4840&lt;&gt;"",O4840*0.1,"")</f>
        <v/>
      </c>
      <c r="Q4840" s="83" t="str">
        <f aca="false">IF(O4840&lt;&gt;"",O4840+P4840,"")</f>
        <v/>
      </c>
      <c r="R4840" s="84"/>
    </row>
    <row r="4841" customFormat="false" ht="15" hidden="false" customHeight="true" outlineLevel="0" collapsed="false">
      <c r="A4841" s="103"/>
      <c r="B4841" s="85"/>
      <c r="C4841" s="86"/>
      <c r="D4841" s="87"/>
      <c r="E4841" s="46" t="str">
        <f aca="false">IF(D4841&lt;&gt;"",IFERROR(VLOOKUP(D4841,PROVEEDORES!$A:$B,2,0),"!COD NO ENCONTRADO"),"")</f>
        <v/>
      </c>
      <c r="F4841" s="88" t="str">
        <f aca="false">IF(D4841&lt;&gt;"",IFERROR(VLOOKUP(D4841,PROVEEDORES!$A:$C,3,0),""),"")</f>
        <v/>
      </c>
      <c r="G4841" s="87"/>
      <c r="H4841" s="46" t="str">
        <f aca="false">IF(G4841&lt;&gt;"",IFERROR(VLOOKUP(G4841,PRODUCTOS!$A:$B,2,0),"!COD NO ENCONTRADO"),"")</f>
        <v/>
      </c>
      <c r="I4841" s="89"/>
      <c r="J4841" s="90"/>
      <c r="K4841" s="91"/>
      <c r="L4841" s="80" t="str">
        <f aca="false">IF(AND(J4841&lt;&gt;"",K4841&lt;&gt;""),J4841*K4841,"")</f>
        <v/>
      </c>
      <c r="M4841" s="81" t="str">
        <f aca="false">IF(L4841&lt;&gt;"",L4841*1.1,"")</f>
        <v/>
      </c>
      <c r="N4841" s="47" t="n">
        <f aca="false">IF(F4841="S",L4841*0.02,0)</f>
        <v>0</v>
      </c>
      <c r="O4841" s="82" t="str">
        <f aca="false">IF(L4841&lt;&gt;"",L4841+N4841,"")</f>
        <v/>
      </c>
      <c r="P4841" s="47" t="str">
        <f aca="false">IF(O4841&lt;&gt;"",O4841*0.1,"")</f>
        <v/>
      </c>
      <c r="Q4841" s="83" t="str">
        <f aca="false">IF(O4841&lt;&gt;"",O4841+P4841,"")</f>
        <v/>
      </c>
      <c r="R4841" s="84"/>
    </row>
    <row r="4842" customFormat="false" ht="15" hidden="false" customHeight="true" outlineLevel="0" collapsed="false">
      <c r="A4842" s="103"/>
      <c r="B4842" s="73"/>
      <c r="C4842" s="74"/>
      <c r="D4842" s="75"/>
      <c r="E4842" s="52" t="str">
        <f aca="false">IF(D4842&lt;&gt;"",IFERROR(VLOOKUP(D4842,PROVEEDORES!$A:$B,2,0),"!COD NO ENCONTRADO"),"")</f>
        <v/>
      </c>
      <c r="F4842" s="76" t="str">
        <f aca="false">IF(D4842&lt;&gt;"",IFERROR(VLOOKUP(D4842,PROVEEDORES!$A:$C,3,0),""),"")</f>
        <v/>
      </c>
      <c r="G4842" s="75"/>
      <c r="H4842" s="52" t="str">
        <f aca="false">IF(G4842&lt;&gt;"",IFERROR(VLOOKUP(G4842,PRODUCTOS!$A:$B,2,0),"!COD NO ENCONTRADO"),"")</f>
        <v/>
      </c>
      <c r="I4842" s="77"/>
      <c r="J4842" s="78"/>
      <c r="K4842" s="79"/>
      <c r="L4842" s="80" t="str">
        <f aca="false">IF(AND(J4842&lt;&gt;"",K4842&lt;&gt;""),J4842*K4842,"")</f>
        <v/>
      </c>
      <c r="M4842" s="81" t="str">
        <f aca="false">IF(L4842&lt;&gt;"",L4842*1.1,"")</f>
        <v/>
      </c>
      <c r="N4842" s="53" t="n">
        <f aca="false">IF(F4842="S",L4842*0.02,0)</f>
        <v>0</v>
      </c>
      <c r="O4842" s="82" t="str">
        <f aca="false">IF(L4842&lt;&gt;"",L4842+N4842,"")</f>
        <v/>
      </c>
      <c r="P4842" s="53" t="str">
        <f aca="false">IF(O4842&lt;&gt;"",O4842*0.1,"")</f>
        <v/>
      </c>
      <c r="Q4842" s="83" t="str">
        <f aca="false">IF(O4842&lt;&gt;"",O4842+P4842,"")</f>
        <v/>
      </c>
      <c r="R4842" s="84"/>
    </row>
    <row r="4843" customFormat="false" ht="15" hidden="false" customHeight="true" outlineLevel="0" collapsed="false">
      <c r="A4843" s="103"/>
      <c r="B4843" s="85"/>
      <c r="C4843" s="86"/>
      <c r="D4843" s="87"/>
      <c r="E4843" s="46" t="str">
        <f aca="false">IF(D4843&lt;&gt;"",IFERROR(VLOOKUP(D4843,PROVEEDORES!$A:$B,2,0),"!COD NO ENCONTRADO"),"")</f>
        <v/>
      </c>
      <c r="F4843" s="88" t="str">
        <f aca="false">IF(D4843&lt;&gt;"",IFERROR(VLOOKUP(D4843,PROVEEDORES!$A:$C,3,0),""),"")</f>
        <v/>
      </c>
      <c r="G4843" s="87"/>
      <c r="H4843" s="46" t="str">
        <f aca="false">IF(G4843&lt;&gt;"",IFERROR(VLOOKUP(G4843,PRODUCTOS!$A:$B,2,0),"!COD NO ENCONTRADO"),"")</f>
        <v/>
      </c>
      <c r="I4843" s="89"/>
      <c r="J4843" s="90"/>
      <c r="K4843" s="91"/>
      <c r="L4843" s="80" t="str">
        <f aca="false">IF(AND(J4843&lt;&gt;"",K4843&lt;&gt;""),J4843*K4843,"")</f>
        <v/>
      </c>
      <c r="M4843" s="81" t="str">
        <f aca="false">IF(L4843&lt;&gt;"",L4843*1.1,"")</f>
        <v/>
      </c>
      <c r="N4843" s="47" t="n">
        <f aca="false">IF(F4843="S",L4843*0.02,0)</f>
        <v>0</v>
      </c>
      <c r="O4843" s="82" t="str">
        <f aca="false">IF(L4843&lt;&gt;"",L4843+N4843,"")</f>
        <v/>
      </c>
      <c r="P4843" s="47" t="str">
        <f aca="false">IF(O4843&lt;&gt;"",O4843*0.1,"")</f>
        <v/>
      </c>
      <c r="Q4843" s="83" t="str">
        <f aca="false">IF(O4843&lt;&gt;"",O4843+P4843,"")</f>
        <v/>
      </c>
      <c r="R4843" s="84"/>
    </row>
    <row r="4844" customFormat="false" ht="15" hidden="false" customHeight="true" outlineLevel="0" collapsed="false">
      <c r="A4844" s="103"/>
      <c r="B4844" s="73"/>
      <c r="C4844" s="74"/>
      <c r="D4844" s="75"/>
      <c r="E4844" s="52" t="str">
        <f aca="false">IF(D4844&lt;&gt;"",IFERROR(VLOOKUP(D4844,PROVEEDORES!$A:$B,2,0),"!COD NO ENCONTRADO"),"")</f>
        <v/>
      </c>
      <c r="F4844" s="76" t="str">
        <f aca="false">IF(D4844&lt;&gt;"",IFERROR(VLOOKUP(D4844,PROVEEDORES!$A:$C,3,0),""),"")</f>
        <v/>
      </c>
      <c r="G4844" s="75"/>
      <c r="H4844" s="52" t="str">
        <f aca="false">IF(G4844&lt;&gt;"",IFERROR(VLOOKUP(G4844,PRODUCTOS!$A:$B,2,0),"!COD NO ENCONTRADO"),"")</f>
        <v/>
      </c>
      <c r="I4844" s="77"/>
      <c r="J4844" s="78"/>
      <c r="K4844" s="79"/>
      <c r="L4844" s="80" t="str">
        <f aca="false">IF(AND(J4844&lt;&gt;"",K4844&lt;&gt;""),J4844*K4844,"")</f>
        <v/>
      </c>
      <c r="M4844" s="81" t="str">
        <f aca="false">IF(L4844&lt;&gt;"",L4844*1.1,"")</f>
        <v/>
      </c>
      <c r="N4844" s="53" t="n">
        <f aca="false">IF(F4844="S",L4844*0.02,0)</f>
        <v>0</v>
      </c>
      <c r="O4844" s="82" t="str">
        <f aca="false">IF(L4844&lt;&gt;"",L4844+N4844,"")</f>
        <v/>
      </c>
      <c r="P4844" s="53" t="str">
        <f aca="false">IF(O4844&lt;&gt;"",O4844*0.1,"")</f>
        <v/>
      </c>
      <c r="Q4844" s="83" t="str">
        <f aca="false">IF(O4844&lt;&gt;"",O4844+P4844,"")</f>
        <v/>
      </c>
      <c r="R4844" s="84"/>
    </row>
    <row r="4845" customFormat="false" ht="15" hidden="false" customHeight="true" outlineLevel="0" collapsed="false">
      <c r="A4845" s="103"/>
      <c r="B4845" s="85"/>
      <c r="C4845" s="86"/>
      <c r="D4845" s="87"/>
      <c r="E4845" s="46" t="str">
        <f aca="false">IF(D4845&lt;&gt;"",IFERROR(VLOOKUP(D4845,PROVEEDORES!$A:$B,2,0),"!COD NO ENCONTRADO"),"")</f>
        <v/>
      </c>
      <c r="F4845" s="88" t="str">
        <f aca="false">IF(D4845&lt;&gt;"",IFERROR(VLOOKUP(D4845,PROVEEDORES!$A:$C,3,0),""),"")</f>
        <v/>
      </c>
      <c r="G4845" s="87"/>
      <c r="H4845" s="46" t="str">
        <f aca="false">IF(G4845&lt;&gt;"",IFERROR(VLOOKUP(G4845,PRODUCTOS!$A:$B,2,0),"!COD NO ENCONTRADO"),"")</f>
        <v/>
      </c>
      <c r="I4845" s="89"/>
      <c r="J4845" s="90"/>
      <c r="K4845" s="91"/>
      <c r="L4845" s="80" t="str">
        <f aca="false">IF(AND(J4845&lt;&gt;"",K4845&lt;&gt;""),J4845*K4845,"")</f>
        <v/>
      </c>
      <c r="M4845" s="81" t="str">
        <f aca="false">IF(L4845&lt;&gt;"",L4845*1.1,"")</f>
        <v/>
      </c>
      <c r="N4845" s="47" t="n">
        <f aca="false">IF(F4845="S",L4845*0.02,0)</f>
        <v>0</v>
      </c>
      <c r="O4845" s="82" t="str">
        <f aca="false">IF(L4845&lt;&gt;"",L4845+N4845,"")</f>
        <v/>
      </c>
      <c r="P4845" s="47" t="str">
        <f aca="false">IF(O4845&lt;&gt;"",O4845*0.1,"")</f>
        <v/>
      </c>
      <c r="Q4845" s="83" t="str">
        <f aca="false">IF(O4845&lt;&gt;"",O4845+P4845,"")</f>
        <v/>
      </c>
      <c r="R4845" s="84"/>
    </row>
    <row r="4846" customFormat="false" ht="15" hidden="false" customHeight="true" outlineLevel="0" collapsed="false">
      <c r="A4846" s="103"/>
      <c r="B4846" s="73"/>
      <c r="C4846" s="74"/>
      <c r="D4846" s="75"/>
      <c r="E4846" s="52" t="str">
        <f aca="false">IF(D4846&lt;&gt;"",IFERROR(VLOOKUP(D4846,PROVEEDORES!$A:$B,2,0),"!COD NO ENCONTRADO"),"")</f>
        <v/>
      </c>
      <c r="F4846" s="76" t="str">
        <f aca="false">IF(D4846&lt;&gt;"",IFERROR(VLOOKUP(D4846,PROVEEDORES!$A:$C,3,0),""),"")</f>
        <v/>
      </c>
      <c r="G4846" s="75"/>
      <c r="H4846" s="52" t="str">
        <f aca="false">IF(G4846&lt;&gt;"",IFERROR(VLOOKUP(G4846,PRODUCTOS!$A:$B,2,0),"!COD NO ENCONTRADO"),"")</f>
        <v/>
      </c>
      <c r="I4846" s="77"/>
      <c r="J4846" s="78"/>
      <c r="K4846" s="79"/>
      <c r="L4846" s="80" t="str">
        <f aca="false">IF(AND(J4846&lt;&gt;"",K4846&lt;&gt;""),J4846*K4846,"")</f>
        <v/>
      </c>
      <c r="M4846" s="81" t="str">
        <f aca="false">IF(L4846&lt;&gt;"",L4846*1.1,"")</f>
        <v/>
      </c>
      <c r="N4846" s="53" t="n">
        <f aca="false">IF(F4846="S",L4846*0.02,0)</f>
        <v>0</v>
      </c>
      <c r="O4846" s="82" t="str">
        <f aca="false">IF(L4846&lt;&gt;"",L4846+N4846,"")</f>
        <v/>
      </c>
      <c r="P4846" s="53" t="str">
        <f aca="false">IF(O4846&lt;&gt;"",O4846*0.1,"")</f>
        <v/>
      </c>
      <c r="Q4846" s="83" t="str">
        <f aca="false">IF(O4846&lt;&gt;"",O4846+P4846,"")</f>
        <v/>
      </c>
      <c r="R4846" s="84"/>
    </row>
    <row r="4847" customFormat="false" ht="15" hidden="false" customHeight="true" outlineLevel="0" collapsed="false">
      <c r="A4847" s="103"/>
      <c r="B4847" s="85"/>
      <c r="C4847" s="86"/>
      <c r="D4847" s="87"/>
      <c r="E4847" s="46" t="str">
        <f aca="false">IF(D4847&lt;&gt;"",IFERROR(VLOOKUP(D4847,PROVEEDORES!$A:$B,2,0),"!COD NO ENCONTRADO"),"")</f>
        <v/>
      </c>
      <c r="F4847" s="88" t="str">
        <f aca="false">IF(D4847&lt;&gt;"",IFERROR(VLOOKUP(D4847,PROVEEDORES!$A:$C,3,0),""),"")</f>
        <v/>
      </c>
      <c r="G4847" s="87"/>
      <c r="H4847" s="46" t="str">
        <f aca="false">IF(G4847&lt;&gt;"",IFERROR(VLOOKUP(G4847,PRODUCTOS!$A:$B,2,0),"!COD NO ENCONTRADO"),"")</f>
        <v/>
      </c>
      <c r="I4847" s="89"/>
      <c r="J4847" s="90"/>
      <c r="K4847" s="91"/>
      <c r="L4847" s="80" t="str">
        <f aca="false">IF(AND(J4847&lt;&gt;"",K4847&lt;&gt;""),J4847*K4847,"")</f>
        <v/>
      </c>
      <c r="M4847" s="81" t="str">
        <f aca="false">IF(L4847&lt;&gt;"",L4847*1.1,"")</f>
        <v/>
      </c>
      <c r="N4847" s="47" t="n">
        <f aca="false">IF(F4847="S",L4847*0.02,0)</f>
        <v>0</v>
      </c>
      <c r="O4847" s="82" t="str">
        <f aca="false">IF(L4847&lt;&gt;"",L4847+N4847,"")</f>
        <v/>
      </c>
      <c r="P4847" s="47" t="str">
        <f aca="false">IF(O4847&lt;&gt;"",O4847*0.1,"")</f>
        <v/>
      </c>
      <c r="Q4847" s="83" t="str">
        <f aca="false">IF(O4847&lt;&gt;"",O4847+P4847,"")</f>
        <v/>
      </c>
      <c r="R4847" s="84"/>
    </row>
    <row r="4848" customFormat="false" ht="15" hidden="false" customHeight="true" outlineLevel="0" collapsed="false">
      <c r="A4848" s="103"/>
      <c r="B4848" s="73"/>
      <c r="C4848" s="74"/>
      <c r="D4848" s="75"/>
      <c r="E4848" s="52" t="str">
        <f aca="false">IF(D4848&lt;&gt;"",IFERROR(VLOOKUP(D4848,PROVEEDORES!$A:$B,2,0),"!COD NO ENCONTRADO"),"")</f>
        <v/>
      </c>
      <c r="F4848" s="76" t="str">
        <f aca="false">IF(D4848&lt;&gt;"",IFERROR(VLOOKUP(D4848,PROVEEDORES!$A:$C,3,0),""),"")</f>
        <v/>
      </c>
      <c r="G4848" s="75"/>
      <c r="H4848" s="52" t="str">
        <f aca="false">IF(G4848&lt;&gt;"",IFERROR(VLOOKUP(G4848,PRODUCTOS!$A:$B,2,0),"!COD NO ENCONTRADO"),"")</f>
        <v/>
      </c>
      <c r="I4848" s="77"/>
      <c r="J4848" s="78"/>
      <c r="K4848" s="79"/>
      <c r="L4848" s="80" t="str">
        <f aca="false">IF(AND(J4848&lt;&gt;"",K4848&lt;&gt;""),J4848*K4848,"")</f>
        <v/>
      </c>
      <c r="M4848" s="81" t="str">
        <f aca="false">IF(L4848&lt;&gt;"",L4848*1.1,"")</f>
        <v/>
      </c>
      <c r="N4848" s="53" t="n">
        <f aca="false">IF(F4848="S",L4848*0.02,0)</f>
        <v>0</v>
      </c>
      <c r="O4848" s="82" t="str">
        <f aca="false">IF(L4848&lt;&gt;"",L4848+N4848,"")</f>
        <v/>
      </c>
      <c r="P4848" s="53" t="str">
        <f aca="false">IF(O4848&lt;&gt;"",O4848*0.1,"")</f>
        <v/>
      </c>
      <c r="Q4848" s="83" t="str">
        <f aca="false">IF(O4848&lt;&gt;"",O4848+P4848,"")</f>
        <v/>
      </c>
      <c r="R4848" s="84"/>
    </row>
    <row r="4849" customFormat="false" ht="15" hidden="false" customHeight="true" outlineLevel="0" collapsed="false">
      <c r="A4849" s="103"/>
      <c r="B4849" s="85"/>
      <c r="C4849" s="86"/>
      <c r="D4849" s="87"/>
      <c r="E4849" s="46" t="str">
        <f aca="false">IF(D4849&lt;&gt;"",IFERROR(VLOOKUP(D4849,PROVEEDORES!$A:$B,2,0),"!COD NO ENCONTRADO"),"")</f>
        <v/>
      </c>
      <c r="F4849" s="88" t="str">
        <f aca="false">IF(D4849&lt;&gt;"",IFERROR(VLOOKUP(D4849,PROVEEDORES!$A:$C,3,0),""),"")</f>
        <v/>
      </c>
      <c r="G4849" s="87"/>
      <c r="H4849" s="46" t="str">
        <f aca="false">IF(G4849&lt;&gt;"",IFERROR(VLOOKUP(G4849,PRODUCTOS!$A:$B,2,0),"!COD NO ENCONTRADO"),"")</f>
        <v/>
      </c>
      <c r="I4849" s="89"/>
      <c r="J4849" s="90"/>
      <c r="K4849" s="91"/>
      <c r="L4849" s="80" t="str">
        <f aca="false">IF(AND(J4849&lt;&gt;"",K4849&lt;&gt;""),J4849*K4849,"")</f>
        <v/>
      </c>
      <c r="M4849" s="81" t="str">
        <f aca="false">IF(L4849&lt;&gt;"",L4849*1.1,"")</f>
        <v/>
      </c>
      <c r="N4849" s="47" t="n">
        <f aca="false">IF(F4849="S",L4849*0.02,0)</f>
        <v>0</v>
      </c>
      <c r="O4849" s="82" t="str">
        <f aca="false">IF(L4849&lt;&gt;"",L4849+N4849,"")</f>
        <v/>
      </c>
      <c r="P4849" s="47" t="str">
        <f aca="false">IF(O4849&lt;&gt;"",O4849*0.1,"")</f>
        <v/>
      </c>
      <c r="Q4849" s="83" t="str">
        <f aca="false">IF(O4849&lt;&gt;"",O4849+P4849,"")</f>
        <v/>
      </c>
      <c r="R4849" s="84"/>
    </row>
    <row r="4850" customFormat="false" ht="15" hidden="false" customHeight="true" outlineLevel="0" collapsed="false">
      <c r="A4850" s="103"/>
      <c r="B4850" s="73"/>
      <c r="C4850" s="74"/>
      <c r="D4850" s="75"/>
      <c r="E4850" s="52" t="str">
        <f aca="false">IF(D4850&lt;&gt;"",IFERROR(VLOOKUP(D4850,PROVEEDORES!$A:$B,2,0),"!COD NO ENCONTRADO"),"")</f>
        <v/>
      </c>
      <c r="F4850" s="76" t="str">
        <f aca="false">IF(D4850&lt;&gt;"",IFERROR(VLOOKUP(D4850,PROVEEDORES!$A:$C,3,0),""),"")</f>
        <v/>
      </c>
      <c r="G4850" s="75"/>
      <c r="H4850" s="52" t="str">
        <f aca="false">IF(G4850&lt;&gt;"",IFERROR(VLOOKUP(G4850,PRODUCTOS!$A:$B,2,0),"!COD NO ENCONTRADO"),"")</f>
        <v/>
      </c>
      <c r="I4850" s="77"/>
      <c r="J4850" s="78"/>
      <c r="K4850" s="79"/>
      <c r="L4850" s="80" t="str">
        <f aca="false">IF(AND(J4850&lt;&gt;"",K4850&lt;&gt;""),J4850*K4850,"")</f>
        <v/>
      </c>
      <c r="M4850" s="81" t="str">
        <f aca="false">IF(L4850&lt;&gt;"",L4850*1.1,"")</f>
        <v/>
      </c>
      <c r="N4850" s="53" t="n">
        <f aca="false">IF(F4850="S",L4850*0.02,0)</f>
        <v>0</v>
      </c>
      <c r="O4850" s="82" t="str">
        <f aca="false">IF(L4850&lt;&gt;"",L4850+N4850,"")</f>
        <v/>
      </c>
      <c r="P4850" s="53" t="str">
        <f aca="false">IF(O4850&lt;&gt;"",O4850*0.1,"")</f>
        <v/>
      </c>
      <c r="Q4850" s="83" t="str">
        <f aca="false">IF(O4850&lt;&gt;"",O4850+P4850,"")</f>
        <v/>
      </c>
      <c r="R4850" s="84"/>
    </row>
    <row r="4851" customFormat="false" ht="15" hidden="false" customHeight="true" outlineLevel="0" collapsed="false">
      <c r="A4851" s="103"/>
      <c r="B4851" s="85"/>
      <c r="C4851" s="86"/>
      <c r="D4851" s="87"/>
      <c r="E4851" s="46" t="str">
        <f aca="false">IF(D4851&lt;&gt;"",IFERROR(VLOOKUP(D4851,PROVEEDORES!$A:$B,2,0),"!COD NO ENCONTRADO"),"")</f>
        <v/>
      </c>
      <c r="F4851" s="88" t="str">
        <f aca="false">IF(D4851&lt;&gt;"",IFERROR(VLOOKUP(D4851,PROVEEDORES!$A:$C,3,0),""),"")</f>
        <v/>
      </c>
      <c r="G4851" s="87"/>
      <c r="H4851" s="46" t="str">
        <f aca="false">IF(G4851&lt;&gt;"",IFERROR(VLOOKUP(G4851,PRODUCTOS!$A:$B,2,0),"!COD NO ENCONTRADO"),"")</f>
        <v/>
      </c>
      <c r="I4851" s="89"/>
      <c r="J4851" s="90"/>
      <c r="K4851" s="91"/>
      <c r="L4851" s="80" t="str">
        <f aca="false">IF(AND(J4851&lt;&gt;"",K4851&lt;&gt;""),J4851*K4851,"")</f>
        <v/>
      </c>
      <c r="M4851" s="81" t="str">
        <f aca="false">IF(L4851&lt;&gt;"",L4851*1.1,"")</f>
        <v/>
      </c>
      <c r="N4851" s="47" t="n">
        <f aca="false">IF(F4851="S",L4851*0.02,0)</f>
        <v>0</v>
      </c>
      <c r="O4851" s="82" t="str">
        <f aca="false">IF(L4851&lt;&gt;"",L4851+N4851,"")</f>
        <v/>
      </c>
      <c r="P4851" s="47" t="str">
        <f aca="false">IF(O4851&lt;&gt;"",O4851*0.1,"")</f>
        <v/>
      </c>
      <c r="Q4851" s="83" t="str">
        <f aca="false">IF(O4851&lt;&gt;"",O4851+P4851,"")</f>
        <v/>
      </c>
      <c r="R4851" s="84"/>
    </row>
    <row r="4852" customFormat="false" ht="15" hidden="false" customHeight="true" outlineLevel="0" collapsed="false">
      <c r="A4852" s="103"/>
      <c r="B4852" s="73"/>
      <c r="C4852" s="74"/>
      <c r="D4852" s="75"/>
      <c r="E4852" s="52" t="str">
        <f aca="false">IF(D4852&lt;&gt;"",IFERROR(VLOOKUP(D4852,PROVEEDORES!$A:$B,2,0),"!COD NO ENCONTRADO"),"")</f>
        <v/>
      </c>
      <c r="F4852" s="76" t="str">
        <f aca="false">IF(D4852&lt;&gt;"",IFERROR(VLOOKUP(D4852,PROVEEDORES!$A:$C,3,0),""),"")</f>
        <v/>
      </c>
      <c r="G4852" s="75"/>
      <c r="H4852" s="52" t="str">
        <f aca="false">IF(G4852&lt;&gt;"",IFERROR(VLOOKUP(G4852,PRODUCTOS!$A:$B,2,0),"!COD NO ENCONTRADO"),"")</f>
        <v/>
      </c>
      <c r="I4852" s="77"/>
      <c r="J4852" s="78"/>
      <c r="K4852" s="79"/>
      <c r="L4852" s="80" t="str">
        <f aca="false">IF(AND(J4852&lt;&gt;"",K4852&lt;&gt;""),J4852*K4852,"")</f>
        <v/>
      </c>
      <c r="M4852" s="81" t="str">
        <f aca="false">IF(L4852&lt;&gt;"",L4852*1.1,"")</f>
        <v/>
      </c>
      <c r="N4852" s="53" t="n">
        <f aca="false">IF(F4852="S",L4852*0.02,0)</f>
        <v>0</v>
      </c>
      <c r="O4852" s="82" t="str">
        <f aca="false">IF(L4852&lt;&gt;"",L4852+N4852,"")</f>
        <v/>
      </c>
      <c r="P4852" s="53" t="str">
        <f aca="false">IF(O4852&lt;&gt;"",O4852*0.1,"")</f>
        <v/>
      </c>
      <c r="Q4852" s="83" t="str">
        <f aca="false">IF(O4852&lt;&gt;"",O4852+P4852,"")</f>
        <v/>
      </c>
      <c r="R4852" s="84"/>
    </row>
    <row r="4853" customFormat="false" ht="15" hidden="false" customHeight="true" outlineLevel="0" collapsed="false">
      <c r="A4853" s="103"/>
      <c r="B4853" s="85"/>
      <c r="C4853" s="86"/>
      <c r="D4853" s="87"/>
      <c r="E4853" s="46" t="str">
        <f aca="false">IF(D4853&lt;&gt;"",IFERROR(VLOOKUP(D4853,PROVEEDORES!$A:$B,2,0),"!COD NO ENCONTRADO"),"")</f>
        <v/>
      </c>
      <c r="F4853" s="88" t="str">
        <f aca="false">IF(D4853&lt;&gt;"",IFERROR(VLOOKUP(D4853,PROVEEDORES!$A:$C,3,0),""),"")</f>
        <v/>
      </c>
      <c r="G4853" s="87"/>
      <c r="H4853" s="46" t="str">
        <f aca="false">IF(G4853&lt;&gt;"",IFERROR(VLOOKUP(G4853,PRODUCTOS!$A:$B,2,0),"!COD NO ENCONTRADO"),"")</f>
        <v/>
      </c>
      <c r="I4853" s="89"/>
      <c r="J4853" s="90"/>
      <c r="K4853" s="91"/>
      <c r="L4853" s="80" t="str">
        <f aca="false">IF(AND(J4853&lt;&gt;"",K4853&lt;&gt;""),J4853*K4853,"")</f>
        <v/>
      </c>
      <c r="M4853" s="81" t="str">
        <f aca="false">IF(L4853&lt;&gt;"",L4853*1.1,"")</f>
        <v/>
      </c>
      <c r="N4853" s="47" t="n">
        <f aca="false">IF(F4853="S",L4853*0.02,0)</f>
        <v>0</v>
      </c>
      <c r="O4853" s="82" t="str">
        <f aca="false">IF(L4853&lt;&gt;"",L4853+N4853,"")</f>
        <v/>
      </c>
      <c r="P4853" s="47" t="str">
        <f aca="false">IF(O4853&lt;&gt;"",O4853*0.1,"")</f>
        <v/>
      </c>
      <c r="Q4853" s="83" t="str">
        <f aca="false">IF(O4853&lt;&gt;"",O4853+P4853,"")</f>
        <v/>
      </c>
      <c r="R4853" s="84"/>
    </row>
    <row r="4854" customFormat="false" ht="15" hidden="false" customHeight="true" outlineLevel="0" collapsed="false">
      <c r="A4854" s="103"/>
      <c r="B4854" s="73"/>
      <c r="C4854" s="74"/>
      <c r="D4854" s="75"/>
      <c r="E4854" s="52" t="str">
        <f aca="false">IF(D4854&lt;&gt;"",IFERROR(VLOOKUP(D4854,PROVEEDORES!$A:$B,2,0),"!COD NO ENCONTRADO"),"")</f>
        <v/>
      </c>
      <c r="F4854" s="76" t="str">
        <f aca="false">IF(D4854&lt;&gt;"",IFERROR(VLOOKUP(D4854,PROVEEDORES!$A:$C,3,0),""),"")</f>
        <v/>
      </c>
      <c r="G4854" s="75"/>
      <c r="H4854" s="52" t="str">
        <f aca="false">IF(G4854&lt;&gt;"",IFERROR(VLOOKUP(G4854,PRODUCTOS!$A:$B,2,0),"!COD NO ENCONTRADO"),"")</f>
        <v/>
      </c>
      <c r="I4854" s="77"/>
      <c r="J4854" s="78"/>
      <c r="K4854" s="79"/>
      <c r="L4854" s="80" t="str">
        <f aca="false">IF(AND(J4854&lt;&gt;"",K4854&lt;&gt;""),J4854*K4854,"")</f>
        <v/>
      </c>
      <c r="M4854" s="81" t="str">
        <f aca="false">IF(L4854&lt;&gt;"",L4854*1.1,"")</f>
        <v/>
      </c>
      <c r="N4854" s="53" t="n">
        <f aca="false">IF(F4854="S",L4854*0.02,0)</f>
        <v>0</v>
      </c>
      <c r="O4854" s="82" t="str">
        <f aca="false">IF(L4854&lt;&gt;"",L4854+N4854,"")</f>
        <v/>
      </c>
      <c r="P4854" s="53" t="str">
        <f aca="false">IF(O4854&lt;&gt;"",O4854*0.1,"")</f>
        <v/>
      </c>
      <c r="Q4854" s="83" t="str">
        <f aca="false">IF(O4854&lt;&gt;"",O4854+P4854,"")</f>
        <v/>
      </c>
      <c r="R4854" s="84"/>
    </row>
    <row r="4855" customFormat="false" ht="15" hidden="false" customHeight="true" outlineLevel="0" collapsed="false">
      <c r="A4855" s="103"/>
      <c r="B4855" s="85"/>
      <c r="C4855" s="86"/>
      <c r="D4855" s="87"/>
      <c r="E4855" s="46" t="str">
        <f aca="false">IF(D4855&lt;&gt;"",IFERROR(VLOOKUP(D4855,PROVEEDORES!$A:$B,2,0),"!COD NO ENCONTRADO"),"")</f>
        <v/>
      </c>
      <c r="F4855" s="88" t="str">
        <f aca="false">IF(D4855&lt;&gt;"",IFERROR(VLOOKUP(D4855,PROVEEDORES!$A:$C,3,0),""),"")</f>
        <v/>
      </c>
      <c r="G4855" s="87"/>
      <c r="H4855" s="46" t="str">
        <f aca="false">IF(G4855&lt;&gt;"",IFERROR(VLOOKUP(G4855,PRODUCTOS!$A:$B,2,0),"!COD NO ENCONTRADO"),"")</f>
        <v/>
      </c>
      <c r="I4855" s="89"/>
      <c r="J4855" s="90"/>
      <c r="K4855" s="91"/>
      <c r="L4855" s="80" t="str">
        <f aca="false">IF(AND(J4855&lt;&gt;"",K4855&lt;&gt;""),J4855*K4855,"")</f>
        <v/>
      </c>
      <c r="M4855" s="81" t="str">
        <f aca="false">IF(L4855&lt;&gt;"",L4855*1.1,"")</f>
        <v/>
      </c>
      <c r="N4855" s="47" t="n">
        <f aca="false">IF(F4855="S",L4855*0.02,0)</f>
        <v>0</v>
      </c>
      <c r="O4855" s="82" t="str">
        <f aca="false">IF(L4855&lt;&gt;"",L4855+N4855,"")</f>
        <v/>
      </c>
      <c r="P4855" s="47" t="str">
        <f aca="false">IF(O4855&lt;&gt;"",O4855*0.1,"")</f>
        <v/>
      </c>
      <c r="Q4855" s="83" t="str">
        <f aca="false">IF(O4855&lt;&gt;"",O4855+P4855,"")</f>
        <v/>
      </c>
      <c r="R4855" s="84"/>
    </row>
    <row r="4856" customFormat="false" ht="15" hidden="false" customHeight="true" outlineLevel="0" collapsed="false">
      <c r="A4856" s="103"/>
      <c r="B4856" s="73"/>
      <c r="C4856" s="74"/>
      <c r="D4856" s="75"/>
      <c r="E4856" s="52" t="str">
        <f aca="false">IF(D4856&lt;&gt;"",IFERROR(VLOOKUP(D4856,PROVEEDORES!$A:$B,2,0),"!COD NO ENCONTRADO"),"")</f>
        <v/>
      </c>
      <c r="F4856" s="76" t="str">
        <f aca="false">IF(D4856&lt;&gt;"",IFERROR(VLOOKUP(D4856,PROVEEDORES!$A:$C,3,0),""),"")</f>
        <v/>
      </c>
      <c r="G4856" s="75"/>
      <c r="H4856" s="52" t="str">
        <f aca="false">IF(G4856&lt;&gt;"",IFERROR(VLOOKUP(G4856,PRODUCTOS!$A:$B,2,0),"!COD NO ENCONTRADO"),"")</f>
        <v/>
      </c>
      <c r="I4856" s="77"/>
      <c r="J4856" s="78"/>
      <c r="K4856" s="79"/>
      <c r="L4856" s="80" t="str">
        <f aca="false">IF(AND(J4856&lt;&gt;"",K4856&lt;&gt;""),J4856*K4856,"")</f>
        <v/>
      </c>
      <c r="M4856" s="81" t="str">
        <f aca="false">IF(L4856&lt;&gt;"",L4856*1.1,"")</f>
        <v/>
      </c>
      <c r="N4856" s="53" t="n">
        <f aca="false">IF(F4856="S",L4856*0.02,0)</f>
        <v>0</v>
      </c>
      <c r="O4856" s="82" t="str">
        <f aca="false">IF(L4856&lt;&gt;"",L4856+N4856,"")</f>
        <v/>
      </c>
      <c r="P4856" s="53" t="str">
        <f aca="false">IF(O4856&lt;&gt;"",O4856*0.1,"")</f>
        <v/>
      </c>
      <c r="Q4856" s="83" t="str">
        <f aca="false">IF(O4856&lt;&gt;"",O4856+P4856,"")</f>
        <v/>
      </c>
      <c r="R4856" s="84"/>
    </row>
    <row r="4857" customFormat="false" ht="15" hidden="false" customHeight="true" outlineLevel="0" collapsed="false">
      <c r="A4857" s="103"/>
      <c r="B4857" s="85"/>
      <c r="C4857" s="86"/>
      <c r="D4857" s="87"/>
      <c r="E4857" s="46" t="str">
        <f aca="false">IF(D4857&lt;&gt;"",IFERROR(VLOOKUP(D4857,PROVEEDORES!$A:$B,2,0),"!COD NO ENCONTRADO"),"")</f>
        <v/>
      </c>
      <c r="F4857" s="88" t="str">
        <f aca="false">IF(D4857&lt;&gt;"",IFERROR(VLOOKUP(D4857,PROVEEDORES!$A:$C,3,0),""),"")</f>
        <v/>
      </c>
      <c r="G4857" s="87"/>
      <c r="H4857" s="46" t="str">
        <f aca="false">IF(G4857&lt;&gt;"",IFERROR(VLOOKUP(G4857,PRODUCTOS!$A:$B,2,0),"!COD NO ENCONTRADO"),"")</f>
        <v/>
      </c>
      <c r="I4857" s="89"/>
      <c r="J4857" s="90"/>
      <c r="K4857" s="91"/>
      <c r="L4857" s="80" t="str">
        <f aca="false">IF(AND(J4857&lt;&gt;"",K4857&lt;&gt;""),J4857*K4857,"")</f>
        <v/>
      </c>
      <c r="M4857" s="81" t="str">
        <f aca="false">IF(L4857&lt;&gt;"",L4857*1.1,"")</f>
        <v/>
      </c>
      <c r="N4857" s="47" t="n">
        <f aca="false">IF(F4857="S",L4857*0.02,0)</f>
        <v>0</v>
      </c>
      <c r="O4857" s="82" t="str">
        <f aca="false">IF(L4857&lt;&gt;"",L4857+N4857,"")</f>
        <v/>
      </c>
      <c r="P4857" s="47" t="str">
        <f aca="false">IF(O4857&lt;&gt;"",O4857*0.1,"")</f>
        <v/>
      </c>
      <c r="Q4857" s="83" t="str">
        <f aca="false">IF(O4857&lt;&gt;"",O4857+P4857,"")</f>
        <v/>
      </c>
      <c r="R4857" s="84"/>
    </row>
    <row r="4858" customFormat="false" ht="15" hidden="false" customHeight="true" outlineLevel="0" collapsed="false">
      <c r="A4858" s="103"/>
      <c r="B4858" s="73"/>
      <c r="C4858" s="74"/>
      <c r="D4858" s="75"/>
      <c r="E4858" s="52" t="str">
        <f aca="false">IF(D4858&lt;&gt;"",IFERROR(VLOOKUP(D4858,PROVEEDORES!$A:$B,2,0),"!COD NO ENCONTRADO"),"")</f>
        <v/>
      </c>
      <c r="F4858" s="76" t="str">
        <f aca="false">IF(D4858&lt;&gt;"",IFERROR(VLOOKUP(D4858,PROVEEDORES!$A:$C,3,0),""),"")</f>
        <v/>
      </c>
      <c r="G4858" s="75"/>
      <c r="H4858" s="52" t="str">
        <f aca="false">IF(G4858&lt;&gt;"",IFERROR(VLOOKUP(G4858,PRODUCTOS!$A:$B,2,0),"!COD NO ENCONTRADO"),"")</f>
        <v/>
      </c>
      <c r="I4858" s="77"/>
      <c r="J4858" s="78"/>
      <c r="K4858" s="79"/>
      <c r="L4858" s="80" t="str">
        <f aca="false">IF(AND(J4858&lt;&gt;"",K4858&lt;&gt;""),J4858*K4858,"")</f>
        <v/>
      </c>
      <c r="M4858" s="81" t="str">
        <f aca="false">IF(L4858&lt;&gt;"",L4858*1.1,"")</f>
        <v/>
      </c>
      <c r="N4858" s="53" t="n">
        <f aca="false">IF(F4858="S",L4858*0.02,0)</f>
        <v>0</v>
      </c>
      <c r="O4858" s="82" t="str">
        <f aca="false">IF(L4858&lt;&gt;"",L4858+N4858,"")</f>
        <v/>
      </c>
      <c r="P4858" s="53" t="str">
        <f aca="false">IF(O4858&lt;&gt;"",O4858*0.1,"")</f>
        <v/>
      </c>
      <c r="Q4858" s="83" t="str">
        <f aca="false">IF(O4858&lt;&gt;"",O4858+P4858,"")</f>
        <v/>
      </c>
      <c r="R4858" s="84"/>
    </row>
    <row r="4859" customFormat="false" ht="15" hidden="false" customHeight="true" outlineLevel="0" collapsed="false">
      <c r="A4859" s="103"/>
      <c r="B4859" s="85"/>
      <c r="C4859" s="86"/>
      <c r="D4859" s="87"/>
      <c r="E4859" s="46" t="str">
        <f aca="false">IF(D4859&lt;&gt;"",IFERROR(VLOOKUP(D4859,PROVEEDORES!$A:$B,2,0),"!COD NO ENCONTRADO"),"")</f>
        <v/>
      </c>
      <c r="F4859" s="88" t="str">
        <f aca="false">IF(D4859&lt;&gt;"",IFERROR(VLOOKUP(D4859,PROVEEDORES!$A:$C,3,0),""),"")</f>
        <v/>
      </c>
      <c r="G4859" s="87"/>
      <c r="H4859" s="46" t="str">
        <f aca="false">IF(G4859&lt;&gt;"",IFERROR(VLOOKUP(G4859,PRODUCTOS!$A:$B,2,0),"!COD NO ENCONTRADO"),"")</f>
        <v/>
      </c>
      <c r="I4859" s="89"/>
      <c r="J4859" s="90"/>
      <c r="K4859" s="91"/>
      <c r="L4859" s="80" t="str">
        <f aca="false">IF(AND(J4859&lt;&gt;"",K4859&lt;&gt;""),J4859*K4859,"")</f>
        <v/>
      </c>
      <c r="M4859" s="81" t="str">
        <f aca="false">IF(L4859&lt;&gt;"",L4859*1.1,"")</f>
        <v/>
      </c>
      <c r="N4859" s="47" t="n">
        <f aca="false">IF(F4859="S",L4859*0.02,0)</f>
        <v>0</v>
      </c>
      <c r="O4859" s="82" t="str">
        <f aca="false">IF(L4859&lt;&gt;"",L4859+N4859,"")</f>
        <v/>
      </c>
      <c r="P4859" s="47" t="str">
        <f aca="false">IF(O4859&lt;&gt;"",O4859*0.1,"")</f>
        <v/>
      </c>
      <c r="Q4859" s="83" t="str">
        <f aca="false">IF(O4859&lt;&gt;"",O4859+P4859,"")</f>
        <v/>
      </c>
      <c r="R4859" s="84"/>
    </row>
    <row r="4860" customFormat="false" ht="15" hidden="false" customHeight="true" outlineLevel="0" collapsed="false">
      <c r="A4860" s="103"/>
      <c r="B4860" s="73"/>
      <c r="C4860" s="74"/>
      <c r="D4860" s="75"/>
      <c r="E4860" s="52" t="str">
        <f aca="false">IF(D4860&lt;&gt;"",IFERROR(VLOOKUP(D4860,PROVEEDORES!$A:$B,2,0),"!COD NO ENCONTRADO"),"")</f>
        <v/>
      </c>
      <c r="F4860" s="76" t="str">
        <f aca="false">IF(D4860&lt;&gt;"",IFERROR(VLOOKUP(D4860,PROVEEDORES!$A:$C,3,0),""),"")</f>
        <v/>
      </c>
      <c r="G4860" s="75"/>
      <c r="H4860" s="52" t="str">
        <f aca="false">IF(G4860&lt;&gt;"",IFERROR(VLOOKUP(G4860,PRODUCTOS!$A:$B,2,0),"!COD NO ENCONTRADO"),"")</f>
        <v/>
      </c>
      <c r="I4860" s="77"/>
      <c r="J4860" s="78"/>
      <c r="K4860" s="79"/>
      <c r="L4860" s="80" t="str">
        <f aca="false">IF(AND(J4860&lt;&gt;"",K4860&lt;&gt;""),J4860*K4860,"")</f>
        <v/>
      </c>
      <c r="M4860" s="81" t="str">
        <f aca="false">IF(L4860&lt;&gt;"",L4860*1.1,"")</f>
        <v/>
      </c>
      <c r="N4860" s="53" t="n">
        <f aca="false">IF(F4860="S",L4860*0.02,0)</f>
        <v>0</v>
      </c>
      <c r="O4860" s="82" t="str">
        <f aca="false">IF(L4860&lt;&gt;"",L4860+N4860,"")</f>
        <v/>
      </c>
      <c r="P4860" s="53" t="str">
        <f aca="false">IF(O4860&lt;&gt;"",O4860*0.1,"")</f>
        <v/>
      </c>
      <c r="Q4860" s="83" t="str">
        <f aca="false">IF(O4860&lt;&gt;"",O4860+P4860,"")</f>
        <v/>
      </c>
      <c r="R4860" s="84"/>
    </row>
    <row r="4861" customFormat="false" ht="15" hidden="false" customHeight="true" outlineLevel="0" collapsed="false">
      <c r="A4861" s="103"/>
      <c r="B4861" s="85"/>
      <c r="C4861" s="86"/>
      <c r="D4861" s="87"/>
      <c r="E4861" s="46" t="str">
        <f aca="false">IF(D4861&lt;&gt;"",IFERROR(VLOOKUP(D4861,PROVEEDORES!$A:$B,2,0),"!COD NO ENCONTRADO"),"")</f>
        <v/>
      </c>
      <c r="F4861" s="88" t="str">
        <f aca="false">IF(D4861&lt;&gt;"",IFERROR(VLOOKUP(D4861,PROVEEDORES!$A:$C,3,0),""),"")</f>
        <v/>
      </c>
      <c r="G4861" s="87"/>
      <c r="H4861" s="46" t="str">
        <f aca="false">IF(G4861&lt;&gt;"",IFERROR(VLOOKUP(G4861,PRODUCTOS!$A:$B,2,0),"!COD NO ENCONTRADO"),"")</f>
        <v/>
      </c>
      <c r="I4861" s="89"/>
      <c r="J4861" s="90"/>
      <c r="K4861" s="91"/>
      <c r="L4861" s="80" t="str">
        <f aca="false">IF(AND(J4861&lt;&gt;"",K4861&lt;&gt;""),J4861*K4861,"")</f>
        <v/>
      </c>
      <c r="M4861" s="81" t="str">
        <f aca="false">IF(L4861&lt;&gt;"",L4861*1.1,"")</f>
        <v/>
      </c>
      <c r="N4861" s="47" t="n">
        <f aca="false">IF(F4861="S",L4861*0.02,0)</f>
        <v>0</v>
      </c>
      <c r="O4861" s="82" t="str">
        <f aca="false">IF(L4861&lt;&gt;"",L4861+N4861,"")</f>
        <v/>
      </c>
      <c r="P4861" s="47" t="str">
        <f aca="false">IF(O4861&lt;&gt;"",O4861*0.1,"")</f>
        <v/>
      </c>
      <c r="Q4861" s="83" t="str">
        <f aca="false">IF(O4861&lt;&gt;"",O4861+P4861,"")</f>
        <v/>
      </c>
      <c r="R4861" s="84"/>
    </row>
    <row r="4862" customFormat="false" ht="15" hidden="false" customHeight="true" outlineLevel="0" collapsed="false">
      <c r="A4862" s="103"/>
      <c r="B4862" s="73"/>
      <c r="C4862" s="74"/>
      <c r="D4862" s="75"/>
      <c r="E4862" s="52" t="str">
        <f aca="false">IF(D4862&lt;&gt;"",IFERROR(VLOOKUP(D4862,PROVEEDORES!$A:$B,2,0),"!COD NO ENCONTRADO"),"")</f>
        <v/>
      </c>
      <c r="F4862" s="76" t="str">
        <f aca="false">IF(D4862&lt;&gt;"",IFERROR(VLOOKUP(D4862,PROVEEDORES!$A:$C,3,0),""),"")</f>
        <v/>
      </c>
      <c r="G4862" s="75"/>
      <c r="H4862" s="52" t="str">
        <f aca="false">IF(G4862&lt;&gt;"",IFERROR(VLOOKUP(G4862,PRODUCTOS!$A:$B,2,0),"!COD NO ENCONTRADO"),"")</f>
        <v/>
      </c>
      <c r="I4862" s="77"/>
      <c r="J4862" s="78"/>
      <c r="K4862" s="79"/>
      <c r="L4862" s="80" t="str">
        <f aca="false">IF(AND(J4862&lt;&gt;"",K4862&lt;&gt;""),J4862*K4862,"")</f>
        <v/>
      </c>
      <c r="M4862" s="81" t="str">
        <f aca="false">IF(L4862&lt;&gt;"",L4862*1.1,"")</f>
        <v/>
      </c>
      <c r="N4862" s="53" t="n">
        <f aca="false">IF(F4862="S",L4862*0.02,0)</f>
        <v>0</v>
      </c>
      <c r="O4862" s="82" t="str">
        <f aca="false">IF(L4862&lt;&gt;"",L4862+N4862,"")</f>
        <v/>
      </c>
      <c r="P4862" s="53" t="str">
        <f aca="false">IF(O4862&lt;&gt;"",O4862*0.1,"")</f>
        <v/>
      </c>
      <c r="Q4862" s="83" t="str">
        <f aca="false">IF(O4862&lt;&gt;"",O4862+P4862,"")</f>
        <v/>
      </c>
      <c r="R4862" s="84"/>
    </row>
    <row r="4863" customFormat="false" ht="15" hidden="false" customHeight="true" outlineLevel="0" collapsed="false">
      <c r="A4863" s="103"/>
      <c r="B4863" s="85"/>
      <c r="C4863" s="86"/>
      <c r="D4863" s="87"/>
      <c r="E4863" s="46" t="str">
        <f aca="false">IF(D4863&lt;&gt;"",IFERROR(VLOOKUP(D4863,PROVEEDORES!$A:$B,2,0),"!COD NO ENCONTRADO"),"")</f>
        <v/>
      </c>
      <c r="F4863" s="88" t="str">
        <f aca="false">IF(D4863&lt;&gt;"",IFERROR(VLOOKUP(D4863,PROVEEDORES!$A:$C,3,0),""),"")</f>
        <v/>
      </c>
      <c r="G4863" s="87"/>
      <c r="H4863" s="46" t="str">
        <f aca="false">IF(G4863&lt;&gt;"",IFERROR(VLOOKUP(G4863,PRODUCTOS!$A:$B,2,0),"!COD NO ENCONTRADO"),"")</f>
        <v/>
      </c>
      <c r="I4863" s="89"/>
      <c r="J4863" s="90"/>
      <c r="K4863" s="91"/>
      <c r="L4863" s="80" t="str">
        <f aca="false">IF(AND(J4863&lt;&gt;"",K4863&lt;&gt;""),J4863*K4863,"")</f>
        <v/>
      </c>
      <c r="M4863" s="81" t="str">
        <f aca="false">IF(L4863&lt;&gt;"",L4863*1.1,"")</f>
        <v/>
      </c>
      <c r="N4863" s="47" t="n">
        <f aca="false">IF(F4863="S",L4863*0.02,0)</f>
        <v>0</v>
      </c>
      <c r="O4863" s="82" t="str">
        <f aca="false">IF(L4863&lt;&gt;"",L4863+N4863,"")</f>
        <v/>
      </c>
      <c r="P4863" s="47" t="str">
        <f aca="false">IF(O4863&lt;&gt;"",O4863*0.1,"")</f>
        <v/>
      </c>
      <c r="Q4863" s="83" t="str">
        <f aca="false">IF(O4863&lt;&gt;"",O4863+P4863,"")</f>
        <v/>
      </c>
      <c r="R4863" s="84"/>
    </row>
    <row r="4864" customFormat="false" ht="15" hidden="false" customHeight="true" outlineLevel="0" collapsed="false">
      <c r="A4864" s="103"/>
      <c r="B4864" s="73"/>
      <c r="C4864" s="74"/>
      <c r="D4864" s="75"/>
      <c r="E4864" s="52" t="str">
        <f aca="false">IF(D4864&lt;&gt;"",IFERROR(VLOOKUP(D4864,PROVEEDORES!$A:$B,2,0),"!COD NO ENCONTRADO"),"")</f>
        <v/>
      </c>
      <c r="F4864" s="76" t="str">
        <f aca="false">IF(D4864&lt;&gt;"",IFERROR(VLOOKUP(D4864,PROVEEDORES!$A:$C,3,0),""),"")</f>
        <v/>
      </c>
      <c r="G4864" s="75"/>
      <c r="H4864" s="52" t="str">
        <f aca="false">IF(G4864&lt;&gt;"",IFERROR(VLOOKUP(G4864,PRODUCTOS!$A:$B,2,0),"!COD NO ENCONTRADO"),"")</f>
        <v/>
      </c>
      <c r="I4864" s="77"/>
      <c r="J4864" s="78"/>
      <c r="K4864" s="79"/>
      <c r="L4864" s="80" t="str">
        <f aca="false">IF(AND(J4864&lt;&gt;"",K4864&lt;&gt;""),J4864*K4864,"")</f>
        <v/>
      </c>
      <c r="M4864" s="81" t="str">
        <f aca="false">IF(L4864&lt;&gt;"",L4864*1.1,"")</f>
        <v/>
      </c>
      <c r="N4864" s="53" t="n">
        <f aca="false">IF(F4864="S",L4864*0.02,0)</f>
        <v>0</v>
      </c>
      <c r="O4864" s="82" t="str">
        <f aca="false">IF(L4864&lt;&gt;"",L4864+N4864,"")</f>
        <v/>
      </c>
      <c r="P4864" s="53" t="str">
        <f aca="false">IF(O4864&lt;&gt;"",O4864*0.1,"")</f>
        <v/>
      </c>
      <c r="Q4864" s="83" t="str">
        <f aca="false">IF(O4864&lt;&gt;"",O4864+P4864,"")</f>
        <v/>
      </c>
      <c r="R4864" s="84"/>
    </row>
    <row r="4865" customFormat="false" ht="15" hidden="false" customHeight="true" outlineLevel="0" collapsed="false">
      <c r="A4865" s="103"/>
      <c r="B4865" s="85"/>
      <c r="C4865" s="86"/>
      <c r="D4865" s="87"/>
      <c r="E4865" s="46" t="str">
        <f aca="false">IF(D4865&lt;&gt;"",IFERROR(VLOOKUP(D4865,PROVEEDORES!$A:$B,2,0),"!COD NO ENCONTRADO"),"")</f>
        <v/>
      </c>
      <c r="F4865" s="88" t="str">
        <f aca="false">IF(D4865&lt;&gt;"",IFERROR(VLOOKUP(D4865,PROVEEDORES!$A:$C,3,0),""),"")</f>
        <v/>
      </c>
      <c r="G4865" s="87"/>
      <c r="H4865" s="46" t="str">
        <f aca="false">IF(G4865&lt;&gt;"",IFERROR(VLOOKUP(G4865,PRODUCTOS!$A:$B,2,0),"!COD NO ENCONTRADO"),"")</f>
        <v/>
      </c>
      <c r="I4865" s="89"/>
      <c r="J4865" s="90"/>
      <c r="K4865" s="91"/>
      <c r="L4865" s="80" t="str">
        <f aca="false">IF(AND(J4865&lt;&gt;"",K4865&lt;&gt;""),J4865*K4865,"")</f>
        <v/>
      </c>
      <c r="M4865" s="81" t="str">
        <f aca="false">IF(L4865&lt;&gt;"",L4865*1.1,"")</f>
        <v/>
      </c>
      <c r="N4865" s="47" t="n">
        <f aca="false">IF(F4865="S",L4865*0.02,0)</f>
        <v>0</v>
      </c>
      <c r="O4865" s="82" t="str">
        <f aca="false">IF(L4865&lt;&gt;"",L4865+N4865,"")</f>
        <v/>
      </c>
      <c r="P4865" s="47" t="str">
        <f aca="false">IF(O4865&lt;&gt;"",O4865*0.1,"")</f>
        <v/>
      </c>
      <c r="Q4865" s="83" t="str">
        <f aca="false">IF(O4865&lt;&gt;"",O4865+P4865,"")</f>
        <v/>
      </c>
      <c r="R4865" s="84"/>
    </row>
    <row r="4866" customFormat="false" ht="15" hidden="false" customHeight="true" outlineLevel="0" collapsed="false">
      <c r="A4866" s="103"/>
      <c r="B4866" s="73"/>
      <c r="C4866" s="74"/>
      <c r="D4866" s="75"/>
      <c r="E4866" s="52" t="str">
        <f aca="false">IF(D4866&lt;&gt;"",IFERROR(VLOOKUP(D4866,PROVEEDORES!$A:$B,2,0),"!COD NO ENCONTRADO"),"")</f>
        <v/>
      </c>
      <c r="F4866" s="76" t="str">
        <f aca="false">IF(D4866&lt;&gt;"",IFERROR(VLOOKUP(D4866,PROVEEDORES!$A:$C,3,0),""),"")</f>
        <v/>
      </c>
      <c r="G4866" s="75"/>
      <c r="H4866" s="52" t="str">
        <f aca="false">IF(G4866&lt;&gt;"",IFERROR(VLOOKUP(G4866,PRODUCTOS!$A:$B,2,0),"!COD NO ENCONTRADO"),"")</f>
        <v/>
      </c>
      <c r="I4866" s="77"/>
      <c r="J4866" s="78"/>
      <c r="K4866" s="79"/>
      <c r="L4866" s="80" t="str">
        <f aca="false">IF(AND(J4866&lt;&gt;"",K4866&lt;&gt;""),J4866*K4866,"")</f>
        <v/>
      </c>
      <c r="M4866" s="81" t="str">
        <f aca="false">IF(L4866&lt;&gt;"",L4866*1.1,"")</f>
        <v/>
      </c>
      <c r="N4866" s="53" t="n">
        <f aca="false">IF(F4866="S",L4866*0.02,0)</f>
        <v>0</v>
      </c>
      <c r="O4866" s="82" t="str">
        <f aca="false">IF(L4866&lt;&gt;"",L4866+N4866,"")</f>
        <v/>
      </c>
      <c r="P4866" s="53" t="str">
        <f aca="false">IF(O4866&lt;&gt;"",O4866*0.1,"")</f>
        <v/>
      </c>
      <c r="Q4866" s="83" t="str">
        <f aca="false">IF(O4866&lt;&gt;"",O4866+P4866,"")</f>
        <v/>
      </c>
      <c r="R4866" s="84"/>
    </row>
    <row r="4867" customFormat="false" ht="15" hidden="false" customHeight="true" outlineLevel="0" collapsed="false">
      <c r="A4867" s="103"/>
      <c r="B4867" s="85"/>
      <c r="C4867" s="86"/>
      <c r="D4867" s="87"/>
      <c r="E4867" s="46" t="str">
        <f aca="false">IF(D4867&lt;&gt;"",IFERROR(VLOOKUP(D4867,PROVEEDORES!$A:$B,2,0),"!COD NO ENCONTRADO"),"")</f>
        <v/>
      </c>
      <c r="F4867" s="88" t="str">
        <f aca="false">IF(D4867&lt;&gt;"",IFERROR(VLOOKUP(D4867,PROVEEDORES!$A:$C,3,0),""),"")</f>
        <v/>
      </c>
      <c r="G4867" s="87"/>
      <c r="H4867" s="46" t="str">
        <f aca="false">IF(G4867&lt;&gt;"",IFERROR(VLOOKUP(G4867,PRODUCTOS!$A:$B,2,0),"!COD NO ENCONTRADO"),"")</f>
        <v/>
      </c>
      <c r="I4867" s="89"/>
      <c r="J4867" s="90"/>
      <c r="K4867" s="91"/>
      <c r="L4867" s="80" t="str">
        <f aca="false">IF(AND(J4867&lt;&gt;"",K4867&lt;&gt;""),J4867*K4867,"")</f>
        <v/>
      </c>
      <c r="M4867" s="81" t="str">
        <f aca="false">IF(L4867&lt;&gt;"",L4867*1.1,"")</f>
        <v/>
      </c>
      <c r="N4867" s="47" t="n">
        <f aca="false">IF(F4867="S",L4867*0.02,0)</f>
        <v>0</v>
      </c>
      <c r="O4867" s="82" t="str">
        <f aca="false">IF(L4867&lt;&gt;"",L4867+N4867,"")</f>
        <v/>
      </c>
      <c r="P4867" s="47" t="str">
        <f aca="false">IF(O4867&lt;&gt;"",O4867*0.1,"")</f>
        <v/>
      </c>
      <c r="Q4867" s="83" t="str">
        <f aca="false">IF(O4867&lt;&gt;"",O4867+P4867,"")</f>
        <v/>
      </c>
      <c r="R4867" s="84"/>
    </row>
    <row r="4868" customFormat="false" ht="15" hidden="false" customHeight="true" outlineLevel="0" collapsed="false">
      <c r="A4868" s="103"/>
      <c r="B4868" s="73"/>
      <c r="C4868" s="74"/>
      <c r="D4868" s="75"/>
      <c r="E4868" s="52" t="str">
        <f aca="false">IF(D4868&lt;&gt;"",IFERROR(VLOOKUP(D4868,PROVEEDORES!$A:$B,2,0),"!COD NO ENCONTRADO"),"")</f>
        <v/>
      </c>
      <c r="F4868" s="76" t="str">
        <f aca="false">IF(D4868&lt;&gt;"",IFERROR(VLOOKUP(D4868,PROVEEDORES!$A:$C,3,0),""),"")</f>
        <v/>
      </c>
      <c r="G4868" s="75"/>
      <c r="H4868" s="52" t="str">
        <f aca="false">IF(G4868&lt;&gt;"",IFERROR(VLOOKUP(G4868,PRODUCTOS!$A:$B,2,0),"!COD NO ENCONTRADO"),"")</f>
        <v/>
      </c>
      <c r="I4868" s="77"/>
      <c r="J4868" s="78"/>
      <c r="K4868" s="79"/>
      <c r="L4868" s="80" t="str">
        <f aca="false">IF(AND(J4868&lt;&gt;"",K4868&lt;&gt;""),J4868*K4868,"")</f>
        <v/>
      </c>
      <c r="M4868" s="81" t="str">
        <f aca="false">IF(L4868&lt;&gt;"",L4868*1.1,"")</f>
        <v/>
      </c>
      <c r="N4868" s="53" t="n">
        <f aca="false">IF(F4868="S",L4868*0.02,0)</f>
        <v>0</v>
      </c>
      <c r="O4868" s="82" t="str">
        <f aca="false">IF(L4868&lt;&gt;"",L4868+N4868,"")</f>
        <v/>
      </c>
      <c r="P4868" s="53" t="str">
        <f aca="false">IF(O4868&lt;&gt;"",O4868*0.1,"")</f>
        <v/>
      </c>
      <c r="Q4868" s="83" t="str">
        <f aca="false">IF(O4868&lt;&gt;"",O4868+P4868,"")</f>
        <v/>
      </c>
      <c r="R4868" s="84"/>
    </row>
    <row r="4869" customFormat="false" ht="15" hidden="false" customHeight="true" outlineLevel="0" collapsed="false">
      <c r="A4869" s="103"/>
      <c r="B4869" s="85"/>
      <c r="C4869" s="86"/>
      <c r="D4869" s="87"/>
      <c r="E4869" s="46" t="str">
        <f aca="false">IF(D4869&lt;&gt;"",IFERROR(VLOOKUP(D4869,PROVEEDORES!$A:$B,2,0),"!COD NO ENCONTRADO"),"")</f>
        <v/>
      </c>
      <c r="F4869" s="88" t="str">
        <f aca="false">IF(D4869&lt;&gt;"",IFERROR(VLOOKUP(D4869,PROVEEDORES!$A:$C,3,0),""),"")</f>
        <v/>
      </c>
      <c r="G4869" s="87"/>
      <c r="H4869" s="46" t="str">
        <f aca="false">IF(G4869&lt;&gt;"",IFERROR(VLOOKUP(G4869,PRODUCTOS!$A:$B,2,0),"!COD NO ENCONTRADO"),"")</f>
        <v/>
      </c>
      <c r="I4869" s="89"/>
      <c r="J4869" s="90"/>
      <c r="K4869" s="91"/>
      <c r="L4869" s="80" t="str">
        <f aca="false">IF(AND(J4869&lt;&gt;"",K4869&lt;&gt;""),J4869*K4869,"")</f>
        <v/>
      </c>
      <c r="M4869" s="81" t="str">
        <f aca="false">IF(L4869&lt;&gt;"",L4869*1.1,"")</f>
        <v/>
      </c>
      <c r="N4869" s="47" t="n">
        <f aca="false">IF(F4869="S",L4869*0.02,0)</f>
        <v>0</v>
      </c>
      <c r="O4869" s="82" t="str">
        <f aca="false">IF(L4869&lt;&gt;"",L4869+N4869,"")</f>
        <v/>
      </c>
      <c r="P4869" s="47" t="str">
        <f aca="false">IF(O4869&lt;&gt;"",O4869*0.1,"")</f>
        <v/>
      </c>
      <c r="Q4869" s="83" t="str">
        <f aca="false">IF(O4869&lt;&gt;"",O4869+P4869,"")</f>
        <v/>
      </c>
      <c r="R4869" s="84"/>
    </row>
    <row r="4870" customFormat="false" ht="15" hidden="false" customHeight="true" outlineLevel="0" collapsed="false">
      <c r="A4870" s="103"/>
      <c r="B4870" s="73"/>
      <c r="C4870" s="74"/>
      <c r="D4870" s="75"/>
      <c r="E4870" s="52" t="str">
        <f aca="false">IF(D4870&lt;&gt;"",IFERROR(VLOOKUP(D4870,PROVEEDORES!$A:$B,2,0),"!COD NO ENCONTRADO"),"")</f>
        <v/>
      </c>
      <c r="F4870" s="76" t="str">
        <f aca="false">IF(D4870&lt;&gt;"",IFERROR(VLOOKUP(D4870,PROVEEDORES!$A:$C,3,0),""),"")</f>
        <v/>
      </c>
      <c r="G4870" s="75"/>
      <c r="H4870" s="52" t="str">
        <f aca="false">IF(G4870&lt;&gt;"",IFERROR(VLOOKUP(G4870,PRODUCTOS!$A:$B,2,0),"!COD NO ENCONTRADO"),"")</f>
        <v/>
      </c>
      <c r="I4870" s="77"/>
      <c r="J4870" s="78"/>
      <c r="K4870" s="79"/>
      <c r="L4870" s="80" t="str">
        <f aca="false">IF(AND(J4870&lt;&gt;"",K4870&lt;&gt;""),J4870*K4870,"")</f>
        <v/>
      </c>
      <c r="M4870" s="81" t="str">
        <f aca="false">IF(L4870&lt;&gt;"",L4870*1.1,"")</f>
        <v/>
      </c>
      <c r="N4870" s="53" t="n">
        <f aca="false">IF(F4870="S",L4870*0.02,0)</f>
        <v>0</v>
      </c>
      <c r="O4870" s="82" t="str">
        <f aca="false">IF(L4870&lt;&gt;"",L4870+N4870,"")</f>
        <v/>
      </c>
      <c r="P4870" s="53" t="str">
        <f aca="false">IF(O4870&lt;&gt;"",O4870*0.1,"")</f>
        <v/>
      </c>
      <c r="Q4870" s="83" t="str">
        <f aca="false">IF(O4870&lt;&gt;"",O4870+P4870,"")</f>
        <v/>
      </c>
      <c r="R4870" s="84"/>
    </row>
    <row r="4871" customFormat="false" ht="15" hidden="false" customHeight="true" outlineLevel="0" collapsed="false">
      <c r="A4871" s="103"/>
      <c r="B4871" s="85"/>
      <c r="C4871" s="86"/>
      <c r="D4871" s="87"/>
      <c r="E4871" s="46" t="str">
        <f aca="false">IF(D4871&lt;&gt;"",IFERROR(VLOOKUP(D4871,PROVEEDORES!$A:$B,2,0),"!COD NO ENCONTRADO"),"")</f>
        <v/>
      </c>
      <c r="F4871" s="88" t="str">
        <f aca="false">IF(D4871&lt;&gt;"",IFERROR(VLOOKUP(D4871,PROVEEDORES!$A:$C,3,0),""),"")</f>
        <v/>
      </c>
      <c r="G4871" s="87"/>
      <c r="H4871" s="46" t="str">
        <f aca="false">IF(G4871&lt;&gt;"",IFERROR(VLOOKUP(G4871,PRODUCTOS!$A:$B,2,0),"!COD NO ENCONTRADO"),"")</f>
        <v/>
      </c>
      <c r="I4871" s="89"/>
      <c r="J4871" s="90"/>
      <c r="K4871" s="91"/>
      <c r="L4871" s="80" t="str">
        <f aca="false">IF(AND(J4871&lt;&gt;"",K4871&lt;&gt;""),J4871*K4871,"")</f>
        <v/>
      </c>
      <c r="M4871" s="81" t="str">
        <f aca="false">IF(L4871&lt;&gt;"",L4871*1.1,"")</f>
        <v/>
      </c>
      <c r="N4871" s="47" t="n">
        <f aca="false">IF(F4871="S",L4871*0.02,0)</f>
        <v>0</v>
      </c>
      <c r="O4871" s="82" t="str">
        <f aca="false">IF(L4871&lt;&gt;"",L4871+N4871,"")</f>
        <v/>
      </c>
      <c r="P4871" s="47" t="str">
        <f aca="false">IF(O4871&lt;&gt;"",O4871*0.1,"")</f>
        <v/>
      </c>
      <c r="Q4871" s="83" t="str">
        <f aca="false">IF(O4871&lt;&gt;"",O4871+P4871,"")</f>
        <v/>
      </c>
      <c r="R4871" s="84"/>
    </row>
    <row r="4872" customFormat="false" ht="15" hidden="false" customHeight="true" outlineLevel="0" collapsed="false">
      <c r="A4872" s="103"/>
      <c r="B4872" s="73"/>
      <c r="C4872" s="74"/>
      <c r="D4872" s="75"/>
      <c r="E4872" s="52" t="str">
        <f aca="false">IF(D4872&lt;&gt;"",IFERROR(VLOOKUP(D4872,PROVEEDORES!$A:$B,2,0),"!COD NO ENCONTRADO"),"")</f>
        <v/>
      </c>
      <c r="F4872" s="76" t="str">
        <f aca="false">IF(D4872&lt;&gt;"",IFERROR(VLOOKUP(D4872,PROVEEDORES!$A:$C,3,0),""),"")</f>
        <v/>
      </c>
      <c r="G4872" s="75"/>
      <c r="H4872" s="52" t="str">
        <f aca="false">IF(G4872&lt;&gt;"",IFERROR(VLOOKUP(G4872,PRODUCTOS!$A:$B,2,0),"!COD NO ENCONTRADO"),"")</f>
        <v/>
      </c>
      <c r="I4872" s="77"/>
      <c r="J4872" s="78"/>
      <c r="K4872" s="79"/>
      <c r="L4872" s="80" t="str">
        <f aca="false">IF(AND(J4872&lt;&gt;"",K4872&lt;&gt;""),J4872*K4872,"")</f>
        <v/>
      </c>
      <c r="M4872" s="81" t="str">
        <f aca="false">IF(L4872&lt;&gt;"",L4872*1.1,"")</f>
        <v/>
      </c>
      <c r="N4872" s="53" t="n">
        <f aca="false">IF(F4872="S",L4872*0.02,0)</f>
        <v>0</v>
      </c>
      <c r="O4872" s="82" t="str">
        <f aca="false">IF(L4872&lt;&gt;"",L4872+N4872,"")</f>
        <v/>
      </c>
      <c r="P4872" s="53" t="str">
        <f aca="false">IF(O4872&lt;&gt;"",O4872*0.1,"")</f>
        <v/>
      </c>
      <c r="Q4872" s="83" t="str">
        <f aca="false">IF(O4872&lt;&gt;"",O4872+P4872,"")</f>
        <v/>
      </c>
      <c r="R4872" s="84"/>
    </row>
    <row r="4873" customFormat="false" ht="15" hidden="false" customHeight="true" outlineLevel="0" collapsed="false">
      <c r="A4873" s="103"/>
      <c r="B4873" s="85"/>
      <c r="C4873" s="86"/>
      <c r="D4873" s="87"/>
      <c r="E4873" s="46" t="str">
        <f aca="false">IF(D4873&lt;&gt;"",IFERROR(VLOOKUP(D4873,PROVEEDORES!$A:$B,2,0),"!COD NO ENCONTRADO"),"")</f>
        <v/>
      </c>
      <c r="F4873" s="88" t="str">
        <f aca="false">IF(D4873&lt;&gt;"",IFERROR(VLOOKUP(D4873,PROVEEDORES!$A:$C,3,0),""),"")</f>
        <v/>
      </c>
      <c r="G4873" s="87"/>
      <c r="H4873" s="46" t="str">
        <f aca="false">IF(G4873&lt;&gt;"",IFERROR(VLOOKUP(G4873,PRODUCTOS!$A:$B,2,0),"!COD NO ENCONTRADO"),"")</f>
        <v/>
      </c>
      <c r="I4873" s="89"/>
      <c r="J4873" s="90"/>
      <c r="K4873" s="91"/>
      <c r="L4873" s="80" t="str">
        <f aca="false">IF(AND(J4873&lt;&gt;"",K4873&lt;&gt;""),J4873*K4873,"")</f>
        <v/>
      </c>
      <c r="M4873" s="81" t="str">
        <f aca="false">IF(L4873&lt;&gt;"",L4873*1.1,"")</f>
        <v/>
      </c>
      <c r="N4873" s="47" t="n">
        <f aca="false">IF(F4873="S",L4873*0.02,0)</f>
        <v>0</v>
      </c>
      <c r="O4873" s="82" t="str">
        <f aca="false">IF(L4873&lt;&gt;"",L4873+N4873,"")</f>
        <v/>
      </c>
      <c r="P4873" s="47" t="str">
        <f aca="false">IF(O4873&lt;&gt;"",O4873*0.1,"")</f>
        <v/>
      </c>
      <c r="Q4873" s="83" t="str">
        <f aca="false">IF(O4873&lt;&gt;"",O4873+P4873,"")</f>
        <v/>
      </c>
      <c r="R4873" s="84"/>
    </row>
    <row r="4874" customFormat="false" ht="15" hidden="false" customHeight="true" outlineLevel="0" collapsed="false">
      <c r="A4874" s="103"/>
      <c r="B4874" s="73"/>
      <c r="C4874" s="74"/>
      <c r="D4874" s="75"/>
      <c r="E4874" s="52" t="str">
        <f aca="false">IF(D4874&lt;&gt;"",IFERROR(VLOOKUP(D4874,PROVEEDORES!$A:$B,2,0),"!COD NO ENCONTRADO"),"")</f>
        <v/>
      </c>
      <c r="F4874" s="76" t="str">
        <f aca="false">IF(D4874&lt;&gt;"",IFERROR(VLOOKUP(D4874,PROVEEDORES!$A:$C,3,0),""),"")</f>
        <v/>
      </c>
      <c r="G4874" s="75"/>
      <c r="H4874" s="52" t="str">
        <f aca="false">IF(G4874&lt;&gt;"",IFERROR(VLOOKUP(G4874,PRODUCTOS!$A:$B,2,0),"!COD NO ENCONTRADO"),"")</f>
        <v/>
      </c>
      <c r="I4874" s="77"/>
      <c r="J4874" s="78"/>
      <c r="K4874" s="79"/>
      <c r="L4874" s="80" t="str">
        <f aca="false">IF(AND(J4874&lt;&gt;"",K4874&lt;&gt;""),J4874*K4874,"")</f>
        <v/>
      </c>
      <c r="M4874" s="81" t="str">
        <f aca="false">IF(L4874&lt;&gt;"",L4874*1.1,"")</f>
        <v/>
      </c>
      <c r="N4874" s="53" t="n">
        <f aca="false">IF(F4874="S",L4874*0.02,0)</f>
        <v>0</v>
      </c>
      <c r="O4874" s="82" t="str">
        <f aca="false">IF(L4874&lt;&gt;"",L4874+N4874,"")</f>
        <v/>
      </c>
      <c r="P4874" s="53" t="str">
        <f aca="false">IF(O4874&lt;&gt;"",O4874*0.1,"")</f>
        <v/>
      </c>
      <c r="Q4874" s="83" t="str">
        <f aca="false">IF(O4874&lt;&gt;"",O4874+P4874,"")</f>
        <v/>
      </c>
      <c r="R4874" s="84"/>
    </row>
    <row r="4875" customFormat="false" ht="15" hidden="false" customHeight="true" outlineLevel="0" collapsed="false">
      <c r="A4875" s="103"/>
      <c r="B4875" s="85"/>
      <c r="C4875" s="86"/>
      <c r="D4875" s="87"/>
      <c r="E4875" s="46" t="str">
        <f aca="false">IF(D4875&lt;&gt;"",IFERROR(VLOOKUP(D4875,PROVEEDORES!$A:$B,2,0),"!COD NO ENCONTRADO"),"")</f>
        <v/>
      </c>
      <c r="F4875" s="88" t="str">
        <f aca="false">IF(D4875&lt;&gt;"",IFERROR(VLOOKUP(D4875,PROVEEDORES!$A:$C,3,0),""),"")</f>
        <v/>
      </c>
      <c r="G4875" s="87"/>
      <c r="H4875" s="46" t="str">
        <f aca="false">IF(G4875&lt;&gt;"",IFERROR(VLOOKUP(G4875,PRODUCTOS!$A:$B,2,0),"!COD NO ENCONTRADO"),"")</f>
        <v/>
      </c>
      <c r="I4875" s="89"/>
      <c r="J4875" s="90"/>
      <c r="K4875" s="91"/>
      <c r="L4875" s="80" t="str">
        <f aca="false">IF(AND(J4875&lt;&gt;"",K4875&lt;&gt;""),J4875*K4875,"")</f>
        <v/>
      </c>
      <c r="M4875" s="81" t="str">
        <f aca="false">IF(L4875&lt;&gt;"",L4875*1.1,"")</f>
        <v/>
      </c>
      <c r="N4875" s="47" t="n">
        <f aca="false">IF(F4875="S",L4875*0.02,0)</f>
        <v>0</v>
      </c>
      <c r="O4875" s="82" t="str">
        <f aca="false">IF(L4875&lt;&gt;"",L4875+N4875,"")</f>
        <v/>
      </c>
      <c r="P4875" s="47" t="str">
        <f aca="false">IF(O4875&lt;&gt;"",O4875*0.1,"")</f>
        <v/>
      </c>
      <c r="Q4875" s="83" t="str">
        <f aca="false">IF(O4875&lt;&gt;"",O4875+P4875,"")</f>
        <v/>
      </c>
      <c r="R4875" s="84"/>
    </row>
    <row r="4876" customFormat="false" ht="15" hidden="false" customHeight="true" outlineLevel="0" collapsed="false">
      <c r="A4876" s="103"/>
      <c r="B4876" s="73"/>
      <c r="C4876" s="74"/>
      <c r="D4876" s="75"/>
      <c r="E4876" s="52" t="str">
        <f aca="false">IF(D4876&lt;&gt;"",IFERROR(VLOOKUP(D4876,PROVEEDORES!$A:$B,2,0),"!COD NO ENCONTRADO"),"")</f>
        <v/>
      </c>
      <c r="F4876" s="76" t="str">
        <f aca="false">IF(D4876&lt;&gt;"",IFERROR(VLOOKUP(D4876,PROVEEDORES!$A:$C,3,0),""),"")</f>
        <v/>
      </c>
      <c r="G4876" s="75"/>
      <c r="H4876" s="52" t="str">
        <f aca="false">IF(G4876&lt;&gt;"",IFERROR(VLOOKUP(G4876,PRODUCTOS!$A:$B,2,0),"!COD NO ENCONTRADO"),"")</f>
        <v/>
      </c>
      <c r="I4876" s="77"/>
      <c r="J4876" s="78"/>
      <c r="K4876" s="79"/>
      <c r="L4876" s="80" t="str">
        <f aca="false">IF(AND(J4876&lt;&gt;"",K4876&lt;&gt;""),J4876*K4876,"")</f>
        <v/>
      </c>
      <c r="M4876" s="81" t="str">
        <f aca="false">IF(L4876&lt;&gt;"",L4876*1.1,"")</f>
        <v/>
      </c>
      <c r="N4876" s="53" t="n">
        <f aca="false">IF(F4876="S",L4876*0.02,0)</f>
        <v>0</v>
      </c>
      <c r="O4876" s="82" t="str">
        <f aca="false">IF(L4876&lt;&gt;"",L4876+N4876,"")</f>
        <v/>
      </c>
      <c r="P4876" s="53" t="str">
        <f aca="false">IF(O4876&lt;&gt;"",O4876*0.1,"")</f>
        <v/>
      </c>
      <c r="Q4876" s="83" t="str">
        <f aca="false">IF(O4876&lt;&gt;"",O4876+P4876,"")</f>
        <v/>
      </c>
      <c r="R4876" s="84"/>
    </row>
    <row r="4877" customFormat="false" ht="15" hidden="false" customHeight="true" outlineLevel="0" collapsed="false">
      <c r="A4877" s="103"/>
      <c r="B4877" s="85"/>
      <c r="C4877" s="86"/>
      <c r="D4877" s="87"/>
      <c r="E4877" s="46" t="str">
        <f aca="false">IF(D4877&lt;&gt;"",IFERROR(VLOOKUP(D4877,PROVEEDORES!$A:$B,2,0),"!COD NO ENCONTRADO"),"")</f>
        <v/>
      </c>
      <c r="F4877" s="88" t="str">
        <f aca="false">IF(D4877&lt;&gt;"",IFERROR(VLOOKUP(D4877,PROVEEDORES!$A:$C,3,0),""),"")</f>
        <v/>
      </c>
      <c r="G4877" s="87"/>
      <c r="H4877" s="46" t="str">
        <f aca="false">IF(G4877&lt;&gt;"",IFERROR(VLOOKUP(G4877,PRODUCTOS!$A:$B,2,0),"!COD NO ENCONTRADO"),"")</f>
        <v/>
      </c>
      <c r="I4877" s="89"/>
      <c r="J4877" s="90"/>
      <c r="K4877" s="91"/>
      <c r="L4877" s="80" t="str">
        <f aca="false">IF(AND(J4877&lt;&gt;"",K4877&lt;&gt;""),J4877*K4877,"")</f>
        <v/>
      </c>
      <c r="M4877" s="81" t="str">
        <f aca="false">IF(L4877&lt;&gt;"",L4877*1.1,"")</f>
        <v/>
      </c>
      <c r="N4877" s="47" t="n">
        <f aca="false">IF(F4877="S",L4877*0.02,0)</f>
        <v>0</v>
      </c>
      <c r="O4877" s="82" t="str">
        <f aca="false">IF(L4877&lt;&gt;"",L4877+N4877,"")</f>
        <v/>
      </c>
      <c r="P4877" s="47" t="str">
        <f aca="false">IF(O4877&lt;&gt;"",O4877*0.1,"")</f>
        <v/>
      </c>
      <c r="Q4877" s="83" t="str">
        <f aca="false">IF(O4877&lt;&gt;"",O4877+P4877,"")</f>
        <v/>
      </c>
      <c r="R4877" s="84"/>
    </row>
    <row r="4878" customFormat="false" ht="15" hidden="false" customHeight="true" outlineLevel="0" collapsed="false">
      <c r="A4878" s="103"/>
      <c r="B4878" s="73"/>
      <c r="C4878" s="74"/>
      <c r="D4878" s="75"/>
      <c r="E4878" s="52" t="str">
        <f aca="false">IF(D4878&lt;&gt;"",IFERROR(VLOOKUP(D4878,PROVEEDORES!$A:$B,2,0),"!COD NO ENCONTRADO"),"")</f>
        <v/>
      </c>
      <c r="F4878" s="76" t="str">
        <f aca="false">IF(D4878&lt;&gt;"",IFERROR(VLOOKUP(D4878,PROVEEDORES!$A:$C,3,0),""),"")</f>
        <v/>
      </c>
      <c r="G4878" s="75"/>
      <c r="H4878" s="52" t="str">
        <f aca="false">IF(G4878&lt;&gt;"",IFERROR(VLOOKUP(G4878,PRODUCTOS!$A:$B,2,0),"!COD NO ENCONTRADO"),"")</f>
        <v/>
      </c>
      <c r="I4878" s="77"/>
      <c r="J4878" s="78"/>
      <c r="K4878" s="79"/>
      <c r="L4878" s="80" t="str">
        <f aca="false">IF(AND(J4878&lt;&gt;"",K4878&lt;&gt;""),J4878*K4878,"")</f>
        <v/>
      </c>
      <c r="M4878" s="81" t="str">
        <f aca="false">IF(L4878&lt;&gt;"",L4878*1.1,"")</f>
        <v/>
      </c>
      <c r="N4878" s="53" t="n">
        <f aca="false">IF(F4878="S",L4878*0.02,0)</f>
        <v>0</v>
      </c>
      <c r="O4878" s="82" t="str">
        <f aca="false">IF(L4878&lt;&gt;"",L4878+N4878,"")</f>
        <v/>
      </c>
      <c r="P4878" s="53" t="str">
        <f aca="false">IF(O4878&lt;&gt;"",O4878*0.1,"")</f>
        <v/>
      </c>
      <c r="Q4878" s="83" t="str">
        <f aca="false">IF(O4878&lt;&gt;"",O4878+P4878,"")</f>
        <v/>
      </c>
      <c r="R4878" s="84"/>
    </row>
    <row r="4879" customFormat="false" ht="15" hidden="false" customHeight="true" outlineLevel="0" collapsed="false">
      <c r="A4879" s="103"/>
      <c r="B4879" s="85"/>
      <c r="C4879" s="86"/>
      <c r="D4879" s="87"/>
      <c r="E4879" s="46" t="str">
        <f aca="false">IF(D4879&lt;&gt;"",IFERROR(VLOOKUP(D4879,PROVEEDORES!$A:$B,2,0),"!COD NO ENCONTRADO"),"")</f>
        <v/>
      </c>
      <c r="F4879" s="88" t="str">
        <f aca="false">IF(D4879&lt;&gt;"",IFERROR(VLOOKUP(D4879,PROVEEDORES!$A:$C,3,0),""),"")</f>
        <v/>
      </c>
      <c r="G4879" s="87"/>
      <c r="H4879" s="46" t="str">
        <f aca="false">IF(G4879&lt;&gt;"",IFERROR(VLOOKUP(G4879,PRODUCTOS!$A:$B,2,0),"!COD NO ENCONTRADO"),"")</f>
        <v/>
      </c>
      <c r="I4879" s="89"/>
      <c r="J4879" s="90"/>
      <c r="K4879" s="91"/>
      <c r="L4879" s="80" t="str">
        <f aca="false">IF(AND(J4879&lt;&gt;"",K4879&lt;&gt;""),J4879*K4879,"")</f>
        <v/>
      </c>
      <c r="M4879" s="81" t="str">
        <f aca="false">IF(L4879&lt;&gt;"",L4879*1.1,"")</f>
        <v/>
      </c>
      <c r="N4879" s="47" t="n">
        <f aca="false">IF(F4879="S",L4879*0.02,0)</f>
        <v>0</v>
      </c>
      <c r="O4879" s="82" t="str">
        <f aca="false">IF(L4879&lt;&gt;"",L4879+N4879,"")</f>
        <v/>
      </c>
      <c r="P4879" s="47" t="str">
        <f aca="false">IF(O4879&lt;&gt;"",O4879*0.1,"")</f>
        <v/>
      </c>
      <c r="Q4879" s="83" t="str">
        <f aca="false">IF(O4879&lt;&gt;"",O4879+P4879,"")</f>
        <v/>
      </c>
      <c r="R4879" s="84"/>
    </row>
    <row r="4880" customFormat="false" ht="15" hidden="false" customHeight="true" outlineLevel="0" collapsed="false">
      <c r="A4880" s="103"/>
      <c r="B4880" s="73"/>
      <c r="C4880" s="74"/>
      <c r="D4880" s="75"/>
      <c r="E4880" s="52" t="str">
        <f aca="false">IF(D4880&lt;&gt;"",IFERROR(VLOOKUP(D4880,PROVEEDORES!$A:$B,2,0),"!COD NO ENCONTRADO"),"")</f>
        <v/>
      </c>
      <c r="F4880" s="76" t="str">
        <f aca="false">IF(D4880&lt;&gt;"",IFERROR(VLOOKUP(D4880,PROVEEDORES!$A:$C,3,0),""),"")</f>
        <v/>
      </c>
      <c r="G4880" s="75"/>
      <c r="H4880" s="52" t="str">
        <f aca="false">IF(G4880&lt;&gt;"",IFERROR(VLOOKUP(G4880,PRODUCTOS!$A:$B,2,0),"!COD NO ENCONTRADO"),"")</f>
        <v/>
      </c>
      <c r="I4880" s="77"/>
      <c r="J4880" s="78"/>
      <c r="K4880" s="79"/>
      <c r="L4880" s="80" t="str">
        <f aca="false">IF(AND(J4880&lt;&gt;"",K4880&lt;&gt;""),J4880*K4880,"")</f>
        <v/>
      </c>
      <c r="M4880" s="81" t="str">
        <f aca="false">IF(L4880&lt;&gt;"",L4880*1.1,"")</f>
        <v/>
      </c>
      <c r="N4880" s="53" t="n">
        <f aca="false">IF(F4880="S",L4880*0.02,0)</f>
        <v>0</v>
      </c>
      <c r="O4880" s="82" t="str">
        <f aca="false">IF(L4880&lt;&gt;"",L4880+N4880,"")</f>
        <v/>
      </c>
      <c r="P4880" s="53" t="str">
        <f aca="false">IF(O4880&lt;&gt;"",O4880*0.1,"")</f>
        <v/>
      </c>
      <c r="Q4880" s="83" t="str">
        <f aca="false">IF(O4880&lt;&gt;"",O4880+P4880,"")</f>
        <v/>
      </c>
      <c r="R4880" s="84"/>
    </row>
    <row r="4881" customFormat="false" ht="15" hidden="false" customHeight="true" outlineLevel="0" collapsed="false">
      <c r="A4881" s="103"/>
      <c r="B4881" s="85"/>
      <c r="C4881" s="86"/>
      <c r="D4881" s="87"/>
      <c r="E4881" s="46" t="str">
        <f aca="false">IF(D4881&lt;&gt;"",IFERROR(VLOOKUP(D4881,PROVEEDORES!$A:$B,2,0),"!COD NO ENCONTRADO"),"")</f>
        <v/>
      </c>
      <c r="F4881" s="88" t="str">
        <f aca="false">IF(D4881&lt;&gt;"",IFERROR(VLOOKUP(D4881,PROVEEDORES!$A:$C,3,0),""),"")</f>
        <v/>
      </c>
      <c r="G4881" s="87"/>
      <c r="H4881" s="46" t="str">
        <f aca="false">IF(G4881&lt;&gt;"",IFERROR(VLOOKUP(G4881,PRODUCTOS!$A:$B,2,0),"!COD NO ENCONTRADO"),"")</f>
        <v/>
      </c>
      <c r="I4881" s="89"/>
      <c r="J4881" s="90"/>
      <c r="K4881" s="91"/>
      <c r="L4881" s="80" t="str">
        <f aca="false">IF(AND(J4881&lt;&gt;"",K4881&lt;&gt;""),J4881*K4881,"")</f>
        <v/>
      </c>
      <c r="M4881" s="81" t="str">
        <f aca="false">IF(L4881&lt;&gt;"",L4881*1.1,"")</f>
        <v/>
      </c>
      <c r="N4881" s="47" t="n">
        <f aca="false">IF(F4881="S",L4881*0.02,0)</f>
        <v>0</v>
      </c>
      <c r="O4881" s="82" t="str">
        <f aca="false">IF(L4881&lt;&gt;"",L4881+N4881,"")</f>
        <v/>
      </c>
      <c r="P4881" s="47" t="str">
        <f aca="false">IF(O4881&lt;&gt;"",O4881*0.1,"")</f>
        <v/>
      </c>
      <c r="Q4881" s="83" t="str">
        <f aca="false">IF(O4881&lt;&gt;"",O4881+P4881,"")</f>
        <v/>
      </c>
      <c r="R4881" s="84"/>
    </row>
    <row r="4882" customFormat="false" ht="15" hidden="false" customHeight="true" outlineLevel="0" collapsed="false">
      <c r="A4882" s="103"/>
      <c r="B4882" s="73"/>
      <c r="C4882" s="74"/>
      <c r="D4882" s="75"/>
      <c r="E4882" s="52" t="str">
        <f aca="false">IF(D4882&lt;&gt;"",IFERROR(VLOOKUP(D4882,PROVEEDORES!$A:$B,2,0),"!COD NO ENCONTRADO"),"")</f>
        <v/>
      </c>
      <c r="F4882" s="76" t="str">
        <f aca="false">IF(D4882&lt;&gt;"",IFERROR(VLOOKUP(D4882,PROVEEDORES!$A:$C,3,0),""),"")</f>
        <v/>
      </c>
      <c r="G4882" s="75"/>
      <c r="H4882" s="52" t="str">
        <f aca="false">IF(G4882&lt;&gt;"",IFERROR(VLOOKUP(G4882,PRODUCTOS!$A:$B,2,0),"!COD NO ENCONTRADO"),"")</f>
        <v/>
      </c>
      <c r="I4882" s="77"/>
      <c r="J4882" s="78"/>
      <c r="K4882" s="79"/>
      <c r="L4882" s="80" t="str">
        <f aca="false">IF(AND(J4882&lt;&gt;"",K4882&lt;&gt;""),J4882*K4882,"")</f>
        <v/>
      </c>
      <c r="M4882" s="81" t="str">
        <f aca="false">IF(L4882&lt;&gt;"",L4882*1.1,"")</f>
        <v/>
      </c>
      <c r="N4882" s="53" t="n">
        <f aca="false">IF(F4882="S",L4882*0.02,0)</f>
        <v>0</v>
      </c>
      <c r="O4882" s="82" t="str">
        <f aca="false">IF(L4882&lt;&gt;"",L4882+N4882,"")</f>
        <v/>
      </c>
      <c r="P4882" s="53" t="str">
        <f aca="false">IF(O4882&lt;&gt;"",O4882*0.1,"")</f>
        <v/>
      </c>
      <c r="Q4882" s="83" t="str">
        <f aca="false">IF(O4882&lt;&gt;"",O4882+P4882,"")</f>
        <v/>
      </c>
      <c r="R4882" s="84"/>
    </row>
    <row r="4883" customFormat="false" ht="15" hidden="false" customHeight="true" outlineLevel="0" collapsed="false">
      <c r="A4883" s="103"/>
      <c r="B4883" s="85"/>
      <c r="C4883" s="86"/>
      <c r="D4883" s="87"/>
      <c r="E4883" s="46" t="str">
        <f aca="false">IF(D4883&lt;&gt;"",IFERROR(VLOOKUP(D4883,PROVEEDORES!$A:$B,2,0),"!COD NO ENCONTRADO"),"")</f>
        <v/>
      </c>
      <c r="F4883" s="88" t="str">
        <f aca="false">IF(D4883&lt;&gt;"",IFERROR(VLOOKUP(D4883,PROVEEDORES!$A:$C,3,0),""),"")</f>
        <v/>
      </c>
      <c r="G4883" s="87"/>
      <c r="H4883" s="46" t="str">
        <f aca="false">IF(G4883&lt;&gt;"",IFERROR(VLOOKUP(G4883,PRODUCTOS!$A:$B,2,0),"!COD NO ENCONTRADO"),"")</f>
        <v/>
      </c>
      <c r="I4883" s="89"/>
      <c r="J4883" s="90"/>
      <c r="K4883" s="91"/>
      <c r="L4883" s="80" t="str">
        <f aca="false">IF(AND(J4883&lt;&gt;"",K4883&lt;&gt;""),J4883*K4883,"")</f>
        <v/>
      </c>
      <c r="M4883" s="81" t="str">
        <f aca="false">IF(L4883&lt;&gt;"",L4883*1.1,"")</f>
        <v/>
      </c>
      <c r="N4883" s="47" t="n">
        <f aca="false">IF(F4883="S",L4883*0.02,0)</f>
        <v>0</v>
      </c>
      <c r="O4883" s="82" t="str">
        <f aca="false">IF(L4883&lt;&gt;"",L4883+N4883,"")</f>
        <v/>
      </c>
      <c r="P4883" s="47" t="str">
        <f aca="false">IF(O4883&lt;&gt;"",O4883*0.1,"")</f>
        <v/>
      </c>
      <c r="Q4883" s="83" t="str">
        <f aca="false">IF(O4883&lt;&gt;"",O4883+P4883,"")</f>
        <v/>
      </c>
      <c r="R4883" s="84"/>
    </row>
    <row r="4884" customFormat="false" ht="15" hidden="false" customHeight="true" outlineLevel="0" collapsed="false">
      <c r="A4884" s="103"/>
      <c r="B4884" s="73"/>
      <c r="C4884" s="74"/>
      <c r="D4884" s="75"/>
      <c r="E4884" s="52" t="str">
        <f aca="false">IF(D4884&lt;&gt;"",IFERROR(VLOOKUP(D4884,PROVEEDORES!$A:$B,2,0),"!COD NO ENCONTRADO"),"")</f>
        <v/>
      </c>
      <c r="F4884" s="76" t="str">
        <f aca="false">IF(D4884&lt;&gt;"",IFERROR(VLOOKUP(D4884,PROVEEDORES!$A:$C,3,0),""),"")</f>
        <v/>
      </c>
      <c r="G4884" s="75"/>
      <c r="H4884" s="52" t="str">
        <f aca="false">IF(G4884&lt;&gt;"",IFERROR(VLOOKUP(G4884,PRODUCTOS!$A:$B,2,0),"!COD NO ENCONTRADO"),"")</f>
        <v/>
      </c>
      <c r="I4884" s="77"/>
      <c r="J4884" s="78"/>
      <c r="K4884" s="79"/>
      <c r="L4884" s="80" t="str">
        <f aca="false">IF(AND(J4884&lt;&gt;"",K4884&lt;&gt;""),J4884*K4884,"")</f>
        <v/>
      </c>
      <c r="M4884" s="81" t="str">
        <f aca="false">IF(L4884&lt;&gt;"",L4884*1.1,"")</f>
        <v/>
      </c>
      <c r="N4884" s="53" t="n">
        <f aca="false">IF(F4884="S",L4884*0.02,0)</f>
        <v>0</v>
      </c>
      <c r="O4884" s="82" t="str">
        <f aca="false">IF(L4884&lt;&gt;"",L4884+N4884,"")</f>
        <v/>
      </c>
      <c r="P4884" s="53" t="str">
        <f aca="false">IF(O4884&lt;&gt;"",O4884*0.1,"")</f>
        <v/>
      </c>
      <c r="Q4884" s="83" t="str">
        <f aca="false">IF(O4884&lt;&gt;"",O4884+P4884,"")</f>
        <v/>
      </c>
      <c r="R4884" s="84"/>
    </row>
    <row r="4885" customFormat="false" ht="15" hidden="false" customHeight="true" outlineLevel="0" collapsed="false">
      <c r="A4885" s="103"/>
      <c r="B4885" s="85"/>
      <c r="C4885" s="86"/>
      <c r="D4885" s="87"/>
      <c r="E4885" s="46" t="str">
        <f aca="false">IF(D4885&lt;&gt;"",IFERROR(VLOOKUP(D4885,PROVEEDORES!$A:$B,2,0),"!COD NO ENCONTRADO"),"")</f>
        <v/>
      </c>
      <c r="F4885" s="88" t="str">
        <f aca="false">IF(D4885&lt;&gt;"",IFERROR(VLOOKUP(D4885,PROVEEDORES!$A:$C,3,0),""),"")</f>
        <v/>
      </c>
      <c r="G4885" s="87"/>
      <c r="H4885" s="46" t="str">
        <f aca="false">IF(G4885&lt;&gt;"",IFERROR(VLOOKUP(G4885,PRODUCTOS!$A:$B,2,0),"!COD NO ENCONTRADO"),"")</f>
        <v/>
      </c>
      <c r="I4885" s="89"/>
      <c r="J4885" s="90"/>
      <c r="K4885" s="91"/>
      <c r="L4885" s="80" t="str">
        <f aca="false">IF(AND(J4885&lt;&gt;"",K4885&lt;&gt;""),J4885*K4885,"")</f>
        <v/>
      </c>
      <c r="M4885" s="81" t="str">
        <f aca="false">IF(L4885&lt;&gt;"",L4885*1.1,"")</f>
        <v/>
      </c>
      <c r="N4885" s="47" t="n">
        <f aca="false">IF(F4885="S",L4885*0.02,0)</f>
        <v>0</v>
      </c>
      <c r="O4885" s="82" t="str">
        <f aca="false">IF(L4885&lt;&gt;"",L4885+N4885,"")</f>
        <v/>
      </c>
      <c r="P4885" s="47" t="str">
        <f aca="false">IF(O4885&lt;&gt;"",O4885*0.1,"")</f>
        <v/>
      </c>
      <c r="Q4885" s="83" t="str">
        <f aca="false">IF(O4885&lt;&gt;"",O4885+P4885,"")</f>
        <v/>
      </c>
      <c r="R4885" s="84"/>
    </row>
    <row r="4886" customFormat="false" ht="15" hidden="false" customHeight="true" outlineLevel="0" collapsed="false">
      <c r="A4886" s="103"/>
      <c r="B4886" s="73"/>
      <c r="C4886" s="74"/>
      <c r="D4886" s="75"/>
      <c r="E4886" s="52" t="str">
        <f aca="false">IF(D4886&lt;&gt;"",IFERROR(VLOOKUP(D4886,PROVEEDORES!$A:$B,2,0),"!COD NO ENCONTRADO"),"")</f>
        <v/>
      </c>
      <c r="F4886" s="76" t="str">
        <f aca="false">IF(D4886&lt;&gt;"",IFERROR(VLOOKUP(D4886,PROVEEDORES!$A:$C,3,0),""),"")</f>
        <v/>
      </c>
      <c r="G4886" s="75"/>
      <c r="H4886" s="52" t="str">
        <f aca="false">IF(G4886&lt;&gt;"",IFERROR(VLOOKUP(G4886,PRODUCTOS!$A:$B,2,0),"!COD NO ENCONTRADO"),"")</f>
        <v/>
      </c>
      <c r="I4886" s="77"/>
      <c r="J4886" s="78"/>
      <c r="K4886" s="79"/>
      <c r="L4886" s="80" t="str">
        <f aca="false">IF(AND(J4886&lt;&gt;"",K4886&lt;&gt;""),J4886*K4886,"")</f>
        <v/>
      </c>
      <c r="M4886" s="81" t="str">
        <f aca="false">IF(L4886&lt;&gt;"",L4886*1.1,"")</f>
        <v/>
      </c>
      <c r="N4886" s="53" t="n">
        <f aca="false">IF(F4886="S",L4886*0.02,0)</f>
        <v>0</v>
      </c>
      <c r="O4886" s="82" t="str">
        <f aca="false">IF(L4886&lt;&gt;"",L4886+N4886,"")</f>
        <v/>
      </c>
      <c r="P4886" s="53" t="str">
        <f aca="false">IF(O4886&lt;&gt;"",O4886*0.1,"")</f>
        <v/>
      </c>
      <c r="Q4886" s="83" t="str">
        <f aca="false">IF(O4886&lt;&gt;"",O4886+P4886,"")</f>
        <v/>
      </c>
      <c r="R4886" s="84"/>
    </row>
    <row r="4887" customFormat="false" ht="15" hidden="false" customHeight="true" outlineLevel="0" collapsed="false">
      <c r="A4887" s="103"/>
      <c r="B4887" s="85"/>
      <c r="C4887" s="86"/>
      <c r="D4887" s="87"/>
      <c r="E4887" s="46" t="str">
        <f aca="false">IF(D4887&lt;&gt;"",IFERROR(VLOOKUP(D4887,PROVEEDORES!$A:$B,2,0),"!COD NO ENCONTRADO"),"")</f>
        <v/>
      </c>
      <c r="F4887" s="88" t="str">
        <f aca="false">IF(D4887&lt;&gt;"",IFERROR(VLOOKUP(D4887,PROVEEDORES!$A:$C,3,0),""),"")</f>
        <v/>
      </c>
      <c r="G4887" s="87"/>
      <c r="H4887" s="46" t="str">
        <f aca="false">IF(G4887&lt;&gt;"",IFERROR(VLOOKUP(G4887,PRODUCTOS!$A:$B,2,0),"!COD NO ENCONTRADO"),"")</f>
        <v/>
      </c>
      <c r="I4887" s="89"/>
      <c r="J4887" s="90"/>
      <c r="K4887" s="91"/>
      <c r="L4887" s="80" t="str">
        <f aca="false">IF(AND(J4887&lt;&gt;"",K4887&lt;&gt;""),J4887*K4887,"")</f>
        <v/>
      </c>
      <c r="M4887" s="81" t="str">
        <f aca="false">IF(L4887&lt;&gt;"",L4887*1.1,"")</f>
        <v/>
      </c>
      <c r="N4887" s="47" t="n">
        <f aca="false">IF(F4887="S",L4887*0.02,0)</f>
        <v>0</v>
      </c>
      <c r="O4887" s="82" t="str">
        <f aca="false">IF(L4887&lt;&gt;"",L4887+N4887,"")</f>
        <v/>
      </c>
      <c r="P4887" s="47" t="str">
        <f aca="false">IF(O4887&lt;&gt;"",O4887*0.1,"")</f>
        <v/>
      </c>
      <c r="Q4887" s="83" t="str">
        <f aca="false">IF(O4887&lt;&gt;"",O4887+P4887,"")</f>
        <v/>
      </c>
      <c r="R4887" s="84"/>
    </row>
    <row r="4888" customFormat="false" ht="15" hidden="false" customHeight="true" outlineLevel="0" collapsed="false">
      <c r="A4888" s="103"/>
      <c r="B4888" s="73"/>
      <c r="C4888" s="74"/>
      <c r="D4888" s="75"/>
      <c r="E4888" s="52" t="str">
        <f aca="false">IF(D4888&lt;&gt;"",IFERROR(VLOOKUP(D4888,PROVEEDORES!$A:$B,2,0),"!COD NO ENCONTRADO"),"")</f>
        <v/>
      </c>
      <c r="F4888" s="76" t="str">
        <f aca="false">IF(D4888&lt;&gt;"",IFERROR(VLOOKUP(D4888,PROVEEDORES!$A:$C,3,0),""),"")</f>
        <v/>
      </c>
      <c r="G4888" s="75"/>
      <c r="H4888" s="52" t="str">
        <f aca="false">IF(G4888&lt;&gt;"",IFERROR(VLOOKUP(G4888,PRODUCTOS!$A:$B,2,0),"!COD NO ENCONTRADO"),"")</f>
        <v/>
      </c>
      <c r="I4888" s="77"/>
      <c r="J4888" s="78"/>
      <c r="K4888" s="79"/>
      <c r="L4888" s="80" t="str">
        <f aca="false">IF(AND(J4888&lt;&gt;"",K4888&lt;&gt;""),J4888*K4888,"")</f>
        <v/>
      </c>
      <c r="M4888" s="81" t="str">
        <f aca="false">IF(L4888&lt;&gt;"",L4888*1.1,"")</f>
        <v/>
      </c>
      <c r="N4888" s="53" t="n">
        <f aca="false">IF(F4888="S",L4888*0.02,0)</f>
        <v>0</v>
      </c>
      <c r="O4888" s="82" t="str">
        <f aca="false">IF(L4888&lt;&gt;"",L4888+N4888,"")</f>
        <v/>
      </c>
      <c r="P4888" s="53" t="str">
        <f aca="false">IF(O4888&lt;&gt;"",O4888*0.1,"")</f>
        <v/>
      </c>
      <c r="Q4888" s="83" t="str">
        <f aca="false">IF(O4888&lt;&gt;"",O4888+P4888,"")</f>
        <v/>
      </c>
      <c r="R4888" s="84"/>
    </row>
    <row r="4889" customFormat="false" ht="15" hidden="false" customHeight="true" outlineLevel="0" collapsed="false">
      <c r="A4889" s="103"/>
      <c r="B4889" s="85"/>
      <c r="C4889" s="86"/>
      <c r="D4889" s="87"/>
      <c r="E4889" s="46" t="str">
        <f aca="false">IF(D4889&lt;&gt;"",IFERROR(VLOOKUP(D4889,PROVEEDORES!$A:$B,2,0),"!COD NO ENCONTRADO"),"")</f>
        <v/>
      </c>
      <c r="F4889" s="88" t="str">
        <f aca="false">IF(D4889&lt;&gt;"",IFERROR(VLOOKUP(D4889,PROVEEDORES!$A:$C,3,0),""),"")</f>
        <v/>
      </c>
      <c r="G4889" s="87"/>
      <c r="H4889" s="46" t="str">
        <f aca="false">IF(G4889&lt;&gt;"",IFERROR(VLOOKUP(G4889,PRODUCTOS!$A:$B,2,0),"!COD NO ENCONTRADO"),"")</f>
        <v/>
      </c>
      <c r="I4889" s="89"/>
      <c r="J4889" s="90"/>
      <c r="K4889" s="91"/>
      <c r="L4889" s="80" t="str">
        <f aca="false">IF(AND(J4889&lt;&gt;"",K4889&lt;&gt;""),J4889*K4889,"")</f>
        <v/>
      </c>
      <c r="M4889" s="81" t="str">
        <f aca="false">IF(L4889&lt;&gt;"",L4889*1.1,"")</f>
        <v/>
      </c>
      <c r="N4889" s="47" t="n">
        <f aca="false">IF(F4889="S",L4889*0.02,0)</f>
        <v>0</v>
      </c>
      <c r="O4889" s="82" t="str">
        <f aca="false">IF(L4889&lt;&gt;"",L4889+N4889,"")</f>
        <v/>
      </c>
      <c r="P4889" s="47" t="str">
        <f aca="false">IF(O4889&lt;&gt;"",O4889*0.1,"")</f>
        <v/>
      </c>
      <c r="Q4889" s="83" t="str">
        <f aca="false">IF(O4889&lt;&gt;"",O4889+P4889,"")</f>
        <v/>
      </c>
      <c r="R4889" s="84"/>
    </row>
    <row r="4890" customFormat="false" ht="15" hidden="false" customHeight="true" outlineLevel="0" collapsed="false">
      <c r="A4890" s="103"/>
      <c r="B4890" s="73"/>
      <c r="C4890" s="74"/>
      <c r="D4890" s="75"/>
      <c r="E4890" s="52" t="str">
        <f aca="false">IF(D4890&lt;&gt;"",IFERROR(VLOOKUP(D4890,PROVEEDORES!$A:$B,2,0),"!COD NO ENCONTRADO"),"")</f>
        <v/>
      </c>
      <c r="F4890" s="76" t="str">
        <f aca="false">IF(D4890&lt;&gt;"",IFERROR(VLOOKUP(D4890,PROVEEDORES!$A:$C,3,0),""),"")</f>
        <v/>
      </c>
      <c r="G4890" s="75"/>
      <c r="H4890" s="52" t="str">
        <f aca="false">IF(G4890&lt;&gt;"",IFERROR(VLOOKUP(G4890,PRODUCTOS!$A:$B,2,0),"!COD NO ENCONTRADO"),"")</f>
        <v/>
      </c>
      <c r="I4890" s="77"/>
      <c r="J4890" s="78"/>
      <c r="K4890" s="79"/>
      <c r="L4890" s="80" t="str">
        <f aca="false">IF(AND(J4890&lt;&gt;"",K4890&lt;&gt;""),J4890*K4890,"")</f>
        <v/>
      </c>
      <c r="M4890" s="81" t="str">
        <f aca="false">IF(L4890&lt;&gt;"",L4890*1.1,"")</f>
        <v/>
      </c>
      <c r="N4890" s="53" t="n">
        <f aca="false">IF(F4890="S",L4890*0.02,0)</f>
        <v>0</v>
      </c>
      <c r="O4890" s="82" t="str">
        <f aca="false">IF(L4890&lt;&gt;"",L4890+N4890,"")</f>
        <v/>
      </c>
      <c r="P4890" s="53" t="str">
        <f aca="false">IF(O4890&lt;&gt;"",O4890*0.1,"")</f>
        <v/>
      </c>
      <c r="Q4890" s="83" t="str">
        <f aca="false">IF(O4890&lt;&gt;"",O4890+P4890,"")</f>
        <v/>
      </c>
      <c r="R4890" s="84"/>
    </row>
    <row r="4891" customFormat="false" ht="15" hidden="false" customHeight="true" outlineLevel="0" collapsed="false">
      <c r="A4891" s="103"/>
      <c r="B4891" s="85"/>
      <c r="C4891" s="86"/>
      <c r="D4891" s="87"/>
      <c r="E4891" s="46" t="str">
        <f aca="false">IF(D4891&lt;&gt;"",IFERROR(VLOOKUP(D4891,PROVEEDORES!$A:$B,2,0),"!COD NO ENCONTRADO"),"")</f>
        <v/>
      </c>
      <c r="F4891" s="88" t="str">
        <f aca="false">IF(D4891&lt;&gt;"",IFERROR(VLOOKUP(D4891,PROVEEDORES!$A:$C,3,0),""),"")</f>
        <v/>
      </c>
      <c r="G4891" s="87"/>
      <c r="H4891" s="46" t="str">
        <f aca="false">IF(G4891&lt;&gt;"",IFERROR(VLOOKUP(G4891,PRODUCTOS!$A:$B,2,0),"!COD NO ENCONTRADO"),"")</f>
        <v/>
      </c>
      <c r="I4891" s="89"/>
      <c r="J4891" s="90"/>
      <c r="K4891" s="91"/>
      <c r="L4891" s="80" t="str">
        <f aca="false">IF(AND(J4891&lt;&gt;"",K4891&lt;&gt;""),J4891*K4891,"")</f>
        <v/>
      </c>
      <c r="M4891" s="81" t="str">
        <f aca="false">IF(L4891&lt;&gt;"",L4891*1.1,"")</f>
        <v/>
      </c>
      <c r="N4891" s="47" t="n">
        <f aca="false">IF(F4891="S",L4891*0.02,0)</f>
        <v>0</v>
      </c>
      <c r="O4891" s="82" t="str">
        <f aca="false">IF(L4891&lt;&gt;"",L4891+N4891,"")</f>
        <v/>
      </c>
      <c r="P4891" s="47" t="str">
        <f aca="false">IF(O4891&lt;&gt;"",O4891*0.1,"")</f>
        <v/>
      </c>
      <c r="Q4891" s="83" t="str">
        <f aca="false">IF(O4891&lt;&gt;"",O4891+P4891,"")</f>
        <v/>
      </c>
      <c r="R4891" s="84"/>
    </row>
    <row r="4892" customFormat="false" ht="15" hidden="false" customHeight="true" outlineLevel="0" collapsed="false">
      <c r="A4892" s="103"/>
      <c r="B4892" s="73"/>
      <c r="C4892" s="74"/>
      <c r="D4892" s="75"/>
      <c r="E4892" s="52" t="str">
        <f aca="false">IF(D4892&lt;&gt;"",IFERROR(VLOOKUP(D4892,PROVEEDORES!$A:$B,2,0),"!COD NO ENCONTRADO"),"")</f>
        <v/>
      </c>
      <c r="F4892" s="76" t="str">
        <f aca="false">IF(D4892&lt;&gt;"",IFERROR(VLOOKUP(D4892,PROVEEDORES!$A:$C,3,0),""),"")</f>
        <v/>
      </c>
      <c r="G4892" s="75"/>
      <c r="H4892" s="52" t="str">
        <f aca="false">IF(G4892&lt;&gt;"",IFERROR(VLOOKUP(G4892,PRODUCTOS!$A:$B,2,0),"!COD NO ENCONTRADO"),"")</f>
        <v/>
      </c>
      <c r="I4892" s="77"/>
      <c r="J4892" s="78"/>
      <c r="K4892" s="79"/>
      <c r="L4892" s="80" t="str">
        <f aca="false">IF(AND(J4892&lt;&gt;"",K4892&lt;&gt;""),J4892*K4892,"")</f>
        <v/>
      </c>
      <c r="M4892" s="81" t="str">
        <f aca="false">IF(L4892&lt;&gt;"",L4892*1.1,"")</f>
        <v/>
      </c>
      <c r="N4892" s="53" t="n">
        <f aca="false">IF(F4892="S",L4892*0.02,0)</f>
        <v>0</v>
      </c>
      <c r="O4892" s="82" t="str">
        <f aca="false">IF(L4892&lt;&gt;"",L4892+N4892,"")</f>
        <v/>
      </c>
      <c r="P4892" s="53" t="str">
        <f aca="false">IF(O4892&lt;&gt;"",O4892*0.1,"")</f>
        <v/>
      </c>
      <c r="Q4892" s="83" t="str">
        <f aca="false">IF(O4892&lt;&gt;"",O4892+P4892,"")</f>
        <v/>
      </c>
      <c r="R4892" s="84"/>
    </row>
    <row r="4893" customFormat="false" ht="15" hidden="false" customHeight="true" outlineLevel="0" collapsed="false">
      <c r="A4893" s="103"/>
      <c r="B4893" s="85"/>
      <c r="C4893" s="86"/>
      <c r="D4893" s="87"/>
      <c r="E4893" s="46" t="str">
        <f aca="false">IF(D4893&lt;&gt;"",IFERROR(VLOOKUP(D4893,PROVEEDORES!$A:$B,2,0),"!COD NO ENCONTRADO"),"")</f>
        <v/>
      </c>
      <c r="F4893" s="88" t="str">
        <f aca="false">IF(D4893&lt;&gt;"",IFERROR(VLOOKUP(D4893,PROVEEDORES!$A:$C,3,0),""),"")</f>
        <v/>
      </c>
      <c r="G4893" s="87"/>
      <c r="H4893" s="46" t="str">
        <f aca="false">IF(G4893&lt;&gt;"",IFERROR(VLOOKUP(G4893,PRODUCTOS!$A:$B,2,0),"!COD NO ENCONTRADO"),"")</f>
        <v/>
      </c>
      <c r="I4893" s="89"/>
      <c r="J4893" s="90"/>
      <c r="K4893" s="91"/>
      <c r="L4893" s="80" t="str">
        <f aca="false">IF(AND(J4893&lt;&gt;"",K4893&lt;&gt;""),J4893*K4893,"")</f>
        <v/>
      </c>
      <c r="M4893" s="81" t="str">
        <f aca="false">IF(L4893&lt;&gt;"",L4893*1.1,"")</f>
        <v/>
      </c>
      <c r="N4893" s="47" t="n">
        <f aca="false">IF(F4893="S",L4893*0.02,0)</f>
        <v>0</v>
      </c>
      <c r="O4893" s="82" t="str">
        <f aca="false">IF(L4893&lt;&gt;"",L4893+N4893,"")</f>
        <v/>
      </c>
      <c r="P4893" s="47" t="str">
        <f aca="false">IF(O4893&lt;&gt;"",O4893*0.1,"")</f>
        <v/>
      </c>
      <c r="Q4893" s="83" t="str">
        <f aca="false">IF(O4893&lt;&gt;"",O4893+P4893,"")</f>
        <v/>
      </c>
      <c r="R4893" s="84"/>
    </row>
    <row r="4894" customFormat="false" ht="15" hidden="false" customHeight="true" outlineLevel="0" collapsed="false">
      <c r="A4894" s="103"/>
      <c r="B4894" s="73"/>
      <c r="C4894" s="74"/>
      <c r="D4894" s="75"/>
      <c r="E4894" s="52" t="str">
        <f aca="false">IF(D4894&lt;&gt;"",IFERROR(VLOOKUP(D4894,PROVEEDORES!$A:$B,2,0),"!COD NO ENCONTRADO"),"")</f>
        <v/>
      </c>
      <c r="F4894" s="76" t="str">
        <f aca="false">IF(D4894&lt;&gt;"",IFERROR(VLOOKUP(D4894,PROVEEDORES!$A:$C,3,0),""),"")</f>
        <v/>
      </c>
      <c r="G4894" s="75"/>
      <c r="H4894" s="52" t="str">
        <f aca="false">IF(G4894&lt;&gt;"",IFERROR(VLOOKUP(G4894,PRODUCTOS!$A:$B,2,0),"!COD NO ENCONTRADO"),"")</f>
        <v/>
      </c>
      <c r="I4894" s="77"/>
      <c r="J4894" s="78"/>
      <c r="K4894" s="79"/>
      <c r="L4894" s="80" t="str">
        <f aca="false">IF(AND(J4894&lt;&gt;"",K4894&lt;&gt;""),J4894*K4894,"")</f>
        <v/>
      </c>
      <c r="M4894" s="81" t="str">
        <f aca="false">IF(L4894&lt;&gt;"",L4894*1.1,"")</f>
        <v/>
      </c>
      <c r="N4894" s="53" t="n">
        <f aca="false">IF(F4894="S",L4894*0.02,0)</f>
        <v>0</v>
      </c>
      <c r="O4894" s="82" t="str">
        <f aca="false">IF(L4894&lt;&gt;"",L4894+N4894,"")</f>
        <v/>
      </c>
      <c r="P4894" s="53" t="str">
        <f aca="false">IF(O4894&lt;&gt;"",O4894*0.1,"")</f>
        <v/>
      </c>
      <c r="Q4894" s="83" t="str">
        <f aca="false">IF(O4894&lt;&gt;"",O4894+P4894,"")</f>
        <v/>
      </c>
      <c r="R4894" s="84"/>
    </row>
    <row r="4895" customFormat="false" ht="15" hidden="false" customHeight="true" outlineLevel="0" collapsed="false">
      <c r="A4895" s="103"/>
      <c r="B4895" s="85"/>
      <c r="C4895" s="86"/>
      <c r="D4895" s="87"/>
      <c r="E4895" s="46" t="str">
        <f aca="false">IF(D4895&lt;&gt;"",IFERROR(VLOOKUP(D4895,PROVEEDORES!$A:$B,2,0),"!COD NO ENCONTRADO"),"")</f>
        <v/>
      </c>
      <c r="F4895" s="88" t="str">
        <f aca="false">IF(D4895&lt;&gt;"",IFERROR(VLOOKUP(D4895,PROVEEDORES!$A:$C,3,0),""),"")</f>
        <v/>
      </c>
      <c r="G4895" s="87"/>
      <c r="H4895" s="46" t="str">
        <f aca="false">IF(G4895&lt;&gt;"",IFERROR(VLOOKUP(G4895,PRODUCTOS!$A:$B,2,0),"!COD NO ENCONTRADO"),"")</f>
        <v/>
      </c>
      <c r="I4895" s="89"/>
      <c r="J4895" s="90"/>
      <c r="K4895" s="91"/>
      <c r="L4895" s="80" t="str">
        <f aca="false">IF(AND(J4895&lt;&gt;"",K4895&lt;&gt;""),J4895*K4895,"")</f>
        <v/>
      </c>
      <c r="M4895" s="81" t="str">
        <f aca="false">IF(L4895&lt;&gt;"",L4895*1.1,"")</f>
        <v/>
      </c>
      <c r="N4895" s="47" t="n">
        <f aca="false">IF(F4895="S",L4895*0.02,0)</f>
        <v>0</v>
      </c>
      <c r="O4895" s="82" t="str">
        <f aca="false">IF(L4895&lt;&gt;"",L4895+N4895,"")</f>
        <v/>
      </c>
      <c r="P4895" s="47" t="str">
        <f aca="false">IF(O4895&lt;&gt;"",O4895*0.1,"")</f>
        <v/>
      </c>
      <c r="Q4895" s="83" t="str">
        <f aca="false">IF(O4895&lt;&gt;"",O4895+P4895,"")</f>
        <v/>
      </c>
      <c r="R4895" s="84"/>
    </row>
    <row r="4896" customFormat="false" ht="15" hidden="false" customHeight="true" outlineLevel="0" collapsed="false">
      <c r="A4896" s="103"/>
      <c r="B4896" s="73"/>
      <c r="C4896" s="74"/>
      <c r="D4896" s="75"/>
      <c r="E4896" s="52" t="str">
        <f aca="false">IF(D4896&lt;&gt;"",IFERROR(VLOOKUP(D4896,PROVEEDORES!$A:$B,2,0),"!COD NO ENCONTRADO"),"")</f>
        <v/>
      </c>
      <c r="F4896" s="76" t="str">
        <f aca="false">IF(D4896&lt;&gt;"",IFERROR(VLOOKUP(D4896,PROVEEDORES!$A:$C,3,0),""),"")</f>
        <v/>
      </c>
      <c r="G4896" s="75"/>
      <c r="H4896" s="52" t="str">
        <f aca="false">IF(G4896&lt;&gt;"",IFERROR(VLOOKUP(G4896,PRODUCTOS!$A:$B,2,0),"!COD NO ENCONTRADO"),"")</f>
        <v/>
      </c>
      <c r="I4896" s="77"/>
      <c r="J4896" s="78"/>
      <c r="K4896" s="79"/>
      <c r="L4896" s="80" t="str">
        <f aca="false">IF(AND(J4896&lt;&gt;"",K4896&lt;&gt;""),J4896*K4896,"")</f>
        <v/>
      </c>
      <c r="M4896" s="81" t="str">
        <f aca="false">IF(L4896&lt;&gt;"",L4896*1.1,"")</f>
        <v/>
      </c>
      <c r="N4896" s="53" t="n">
        <f aca="false">IF(F4896="S",L4896*0.02,0)</f>
        <v>0</v>
      </c>
      <c r="O4896" s="82" t="str">
        <f aca="false">IF(L4896&lt;&gt;"",L4896+N4896,"")</f>
        <v/>
      </c>
      <c r="P4896" s="53" t="str">
        <f aca="false">IF(O4896&lt;&gt;"",O4896*0.1,"")</f>
        <v/>
      </c>
      <c r="Q4896" s="83" t="str">
        <f aca="false">IF(O4896&lt;&gt;"",O4896+P4896,"")</f>
        <v/>
      </c>
      <c r="R4896" s="84"/>
    </row>
    <row r="4897" customFormat="false" ht="15" hidden="false" customHeight="true" outlineLevel="0" collapsed="false">
      <c r="A4897" s="103"/>
      <c r="B4897" s="85"/>
      <c r="C4897" s="86"/>
      <c r="D4897" s="87"/>
      <c r="E4897" s="46" t="str">
        <f aca="false">IF(D4897&lt;&gt;"",IFERROR(VLOOKUP(D4897,PROVEEDORES!$A:$B,2,0),"!COD NO ENCONTRADO"),"")</f>
        <v/>
      </c>
      <c r="F4897" s="88" t="str">
        <f aca="false">IF(D4897&lt;&gt;"",IFERROR(VLOOKUP(D4897,PROVEEDORES!$A:$C,3,0),""),"")</f>
        <v/>
      </c>
      <c r="G4897" s="87"/>
      <c r="H4897" s="46" t="str">
        <f aca="false">IF(G4897&lt;&gt;"",IFERROR(VLOOKUP(G4897,PRODUCTOS!$A:$B,2,0),"!COD NO ENCONTRADO"),"")</f>
        <v/>
      </c>
      <c r="I4897" s="89"/>
      <c r="J4897" s="90"/>
      <c r="K4897" s="91"/>
      <c r="L4897" s="80" t="str">
        <f aca="false">IF(AND(J4897&lt;&gt;"",K4897&lt;&gt;""),J4897*K4897,"")</f>
        <v/>
      </c>
      <c r="M4897" s="81" t="str">
        <f aca="false">IF(L4897&lt;&gt;"",L4897*1.1,"")</f>
        <v/>
      </c>
      <c r="N4897" s="47" t="n">
        <f aca="false">IF(F4897="S",L4897*0.02,0)</f>
        <v>0</v>
      </c>
      <c r="O4897" s="82" t="str">
        <f aca="false">IF(L4897&lt;&gt;"",L4897+N4897,"")</f>
        <v/>
      </c>
      <c r="P4897" s="47" t="str">
        <f aca="false">IF(O4897&lt;&gt;"",O4897*0.1,"")</f>
        <v/>
      </c>
      <c r="Q4897" s="83" t="str">
        <f aca="false">IF(O4897&lt;&gt;"",O4897+P4897,"")</f>
        <v/>
      </c>
      <c r="R4897" s="84"/>
    </row>
    <row r="4898" customFormat="false" ht="15" hidden="false" customHeight="true" outlineLevel="0" collapsed="false">
      <c r="A4898" s="103"/>
      <c r="B4898" s="73"/>
      <c r="C4898" s="74"/>
      <c r="D4898" s="75"/>
      <c r="E4898" s="52" t="str">
        <f aca="false">IF(D4898&lt;&gt;"",IFERROR(VLOOKUP(D4898,PROVEEDORES!$A:$B,2,0),"!COD NO ENCONTRADO"),"")</f>
        <v/>
      </c>
      <c r="F4898" s="76" t="str">
        <f aca="false">IF(D4898&lt;&gt;"",IFERROR(VLOOKUP(D4898,PROVEEDORES!$A:$C,3,0),""),"")</f>
        <v/>
      </c>
      <c r="G4898" s="75"/>
      <c r="H4898" s="52" t="str">
        <f aca="false">IF(G4898&lt;&gt;"",IFERROR(VLOOKUP(G4898,PRODUCTOS!$A:$B,2,0),"!COD NO ENCONTRADO"),"")</f>
        <v/>
      </c>
      <c r="I4898" s="77"/>
      <c r="J4898" s="78"/>
      <c r="K4898" s="79"/>
      <c r="L4898" s="80" t="str">
        <f aca="false">IF(AND(J4898&lt;&gt;"",K4898&lt;&gt;""),J4898*K4898,"")</f>
        <v/>
      </c>
      <c r="M4898" s="81" t="str">
        <f aca="false">IF(L4898&lt;&gt;"",L4898*1.1,"")</f>
        <v/>
      </c>
      <c r="N4898" s="53" t="n">
        <f aca="false">IF(F4898="S",L4898*0.02,0)</f>
        <v>0</v>
      </c>
      <c r="O4898" s="82" t="str">
        <f aca="false">IF(L4898&lt;&gt;"",L4898+N4898,"")</f>
        <v/>
      </c>
      <c r="P4898" s="53" t="str">
        <f aca="false">IF(O4898&lt;&gt;"",O4898*0.1,"")</f>
        <v/>
      </c>
      <c r="Q4898" s="83" t="str">
        <f aca="false">IF(O4898&lt;&gt;"",O4898+P4898,"")</f>
        <v/>
      </c>
      <c r="R4898" s="84"/>
    </row>
    <row r="4899" customFormat="false" ht="15" hidden="false" customHeight="true" outlineLevel="0" collapsed="false">
      <c r="A4899" s="103"/>
      <c r="B4899" s="85"/>
      <c r="C4899" s="86"/>
      <c r="D4899" s="87"/>
      <c r="E4899" s="46" t="str">
        <f aca="false">IF(D4899&lt;&gt;"",IFERROR(VLOOKUP(D4899,PROVEEDORES!$A:$B,2,0),"!COD NO ENCONTRADO"),"")</f>
        <v/>
      </c>
      <c r="F4899" s="88" t="str">
        <f aca="false">IF(D4899&lt;&gt;"",IFERROR(VLOOKUP(D4899,PROVEEDORES!$A:$C,3,0),""),"")</f>
        <v/>
      </c>
      <c r="G4899" s="87"/>
      <c r="H4899" s="46" t="str">
        <f aca="false">IF(G4899&lt;&gt;"",IFERROR(VLOOKUP(G4899,PRODUCTOS!$A:$B,2,0),"!COD NO ENCONTRADO"),"")</f>
        <v/>
      </c>
      <c r="I4899" s="89"/>
      <c r="J4899" s="90"/>
      <c r="K4899" s="91"/>
      <c r="L4899" s="80" t="str">
        <f aca="false">IF(AND(J4899&lt;&gt;"",K4899&lt;&gt;""),J4899*K4899,"")</f>
        <v/>
      </c>
      <c r="M4899" s="81" t="str">
        <f aca="false">IF(L4899&lt;&gt;"",L4899*1.1,"")</f>
        <v/>
      </c>
      <c r="N4899" s="47" t="n">
        <f aca="false">IF(F4899="S",L4899*0.02,0)</f>
        <v>0</v>
      </c>
      <c r="O4899" s="82" t="str">
        <f aca="false">IF(L4899&lt;&gt;"",L4899+N4899,"")</f>
        <v/>
      </c>
      <c r="P4899" s="47" t="str">
        <f aca="false">IF(O4899&lt;&gt;"",O4899*0.1,"")</f>
        <v/>
      </c>
      <c r="Q4899" s="83" t="str">
        <f aca="false">IF(O4899&lt;&gt;"",O4899+P4899,"")</f>
        <v/>
      </c>
      <c r="R4899" s="84"/>
    </row>
    <row r="4900" customFormat="false" ht="15" hidden="false" customHeight="true" outlineLevel="0" collapsed="false">
      <c r="A4900" s="103"/>
      <c r="B4900" s="73"/>
      <c r="C4900" s="74"/>
      <c r="D4900" s="75"/>
      <c r="E4900" s="52" t="str">
        <f aca="false">IF(D4900&lt;&gt;"",IFERROR(VLOOKUP(D4900,PROVEEDORES!$A:$B,2,0),"!COD NO ENCONTRADO"),"")</f>
        <v/>
      </c>
      <c r="F4900" s="76" t="str">
        <f aca="false">IF(D4900&lt;&gt;"",IFERROR(VLOOKUP(D4900,PROVEEDORES!$A:$C,3,0),""),"")</f>
        <v/>
      </c>
      <c r="G4900" s="75"/>
      <c r="H4900" s="52" t="str">
        <f aca="false">IF(G4900&lt;&gt;"",IFERROR(VLOOKUP(G4900,PRODUCTOS!$A:$B,2,0),"!COD NO ENCONTRADO"),"")</f>
        <v/>
      </c>
      <c r="I4900" s="77"/>
      <c r="J4900" s="78"/>
      <c r="K4900" s="79"/>
      <c r="L4900" s="80" t="str">
        <f aca="false">IF(AND(J4900&lt;&gt;"",K4900&lt;&gt;""),J4900*K4900,"")</f>
        <v/>
      </c>
      <c r="M4900" s="81" t="str">
        <f aca="false">IF(L4900&lt;&gt;"",L4900*1.1,"")</f>
        <v/>
      </c>
      <c r="N4900" s="53" t="n">
        <f aca="false">IF(F4900="S",L4900*0.02,0)</f>
        <v>0</v>
      </c>
      <c r="O4900" s="82" t="str">
        <f aca="false">IF(L4900&lt;&gt;"",L4900+N4900,"")</f>
        <v/>
      </c>
      <c r="P4900" s="53" t="str">
        <f aca="false">IF(O4900&lt;&gt;"",O4900*0.1,"")</f>
        <v/>
      </c>
      <c r="Q4900" s="83" t="str">
        <f aca="false">IF(O4900&lt;&gt;"",O4900+P4900,"")</f>
        <v/>
      </c>
      <c r="R4900" s="84"/>
    </row>
    <row r="4901" customFormat="false" ht="15" hidden="false" customHeight="true" outlineLevel="0" collapsed="false">
      <c r="A4901" s="103"/>
      <c r="B4901" s="85"/>
      <c r="C4901" s="86"/>
      <c r="D4901" s="87"/>
      <c r="E4901" s="46" t="str">
        <f aca="false">IF(D4901&lt;&gt;"",IFERROR(VLOOKUP(D4901,PROVEEDORES!$A:$B,2,0),"!COD NO ENCONTRADO"),"")</f>
        <v/>
      </c>
      <c r="F4901" s="88" t="str">
        <f aca="false">IF(D4901&lt;&gt;"",IFERROR(VLOOKUP(D4901,PROVEEDORES!$A:$C,3,0),""),"")</f>
        <v/>
      </c>
      <c r="G4901" s="87"/>
      <c r="H4901" s="46" t="str">
        <f aca="false">IF(G4901&lt;&gt;"",IFERROR(VLOOKUP(G4901,PRODUCTOS!$A:$B,2,0),"!COD NO ENCONTRADO"),"")</f>
        <v/>
      </c>
      <c r="I4901" s="89"/>
      <c r="J4901" s="90"/>
      <c r="K4901" s="91"/>
      <c r="L4901" s="80" t="str">
        <f aca="false">IF(AND(J4901&lt;&gt;"",K4901&lt;&gt;""),J4901*K4901,"")</f>
        <v/>
      </c>
      <c r="M4901" s="81" t="str">
        <f aca="false">IF(L4901&lt;&gt;"",L4901*1.1,"")</f>
        <v/>
      </c>
      <c r="N4901" s="47" t="n">
        <f aca="false">IF(F4901="S",L4901*0.02,0)</f>
        <v>0</v>
      </c>
      <c r="O4901" s="82" t="str">
        <f aca="false">IF(L4901&lt;&gt;"",L4901+N4901,"")</f>
        <v/>
      </c>
      <c r="P4901" s="47" t="str">
        <f aca="false">IF(O4901&lt;&gt;"",O4901*0.1,"")</f>
        <v/>
      </c>
      <c r="Q4901" s="83" t="str">
        <f aca="false">IF(O4901&lt;&gt;"",O4901+P4901,"")</f>
        <v/>
      </c>
      <c r="R4901" s="84"/>
    </row>
    <row r="4902" customFormat="false" ht="15" hidden="false" customHeight="true" outlineLevel="0" collapsed="false">
      <c r="A4902" s="103"/>
      <c r="B4902" s="73"/>
      <c r="C4902" s="74"/>
      <c r="D4902" s="75"/>
      <c r="E4902" s="52" t="str">
        <f aca="false">IF(D4902&lt;&gt;"",IFERROR(VLOOKUP(D4902,PROVEEDORES!$A:$B,2,0),"!COD NO ENCONTRADO"),"")</f>
        <v/>
      </c>
      <c r="F4902" s="76" t="str">
        <f aca="false">IF(D4902&lt;&gt;"",IFERROR(VLOOKUP(D4902,PROVEEDORES!$A:$C,3,0),""),"")</f>
        <v/>
      </c>
      <c r="G4902" s="75"/>
      <c r="H4902" s="52" t="str">
        <f aca="false">IF(G4902&lt;&gt;"",IFERROR(VLOOKUP(G4902,PRODUCTOS!$A:$B,2,0),"!COD NO ENCONTRADO"),"")</f>
        <v/>
      </c>
      <c r="I4902" s="77"/>
      <c r="J4902" s="78"/>
      <c r="K4902" s="79"/>
      <c r="L4902" s="80" t="str">
        <f aca="false">IF(AND(J4902&lt;&gt;"",K4902&lt;&gt;""),J4902*K4902,"")</f>
        <v/>
      </c>
      <c r="M4902" s="81" t="str">
        <f aca="false">IF(L4902&lt;&gt;"",L4902*1.1,"")</f>
        <v/>
      </c>
      <c r="N4902" s="53" t="n">
        <f aca="false">IF(F4902="S",L4902*0.02,0)</f>
        <v>0</v>
      </c>
      <c r="O4902" s="82" t="str">
        <f aca="false">IF(L4902&lt;&gt;"",L4902+N4902,"")</f>
        <v/>
      </c>
      <c r="P4902" s="53" t="str">
        <f aca="false">IF(O4902&lt;&gt;"",O4902*0.1,"")</f>
        <v/>
      </c>
      <c r="Q4902" s="83" t="str">
        <f aca="false">IF(O4902&lt;&gt;"",O4902+P4902,"")</f>
        <v/>
      </c>
      <c r="R4902" s="84"/>
    </row>
    <row r="4903" customFormat="false" ht="15" hidden="false" customHeight="true" outlineLevel="0" collapsed="false">
      <c r="A4903" s="103"/>
      <c r="B4903" s="85"/>
      <c r="C4903" s="86"/>
      <c r="D4903" s="87"/>
      <c r="E4903" s="46" t="str">
        <f aca="false">IF(D4903&lt;&gt;"",IFERROR(VLOOKUP(D4903,PROVEEDORES!$A:$B,2,0),"!COD NO ENCONTRADO"),"")</f>
        <v/>
      </c>
      <c r="F4903" s="88" t="str">
        <f aca="false">IF(D4903&lt;&gt;"",IFERROR(VLOOKUP(D4903,PROVEEDORES!$A:$C,3,0),""),"")</f>
        <v/>
      </c>
      <c r="G4903" s="87"/>
      <c r="H4903" s="46" t="str">
        <f aca="false">IF(G4903&lt;&gt;"",IFERROR(VLOOKUP(G4903,PRODUCTOS!$A:$B,2,0),"!COD NO ENCONTRADO"),"")</f>
        <v/>
      </c>
      <c r="I4903" s="89"/>
      <c r="J4903" s="90"/>
      <c r="K4903" s="91"/>
      <c r="L4903" s="80" t="str">
        <f aca="false">IF(AND(J4903&lt;&gt;"",K4903&lt;&gt;""),J4903*K4903,"")</f>
        <v/>
      </c>
      <c r="M4903" s="81" t="str">
        <f aca="false">IF(L4903&lt;&gt;"",L4903*1.1,"")</f>
        <v/>
      </c>
      <c r="N4903" s="47" t="n">
        <f aca="false">IF(F4903="S",L4903*0.02,0)</f>
        <v>0</v>
      </c>
      <c r="O4903" s="82" t="str">
        <f aca="false">IF(L4903&lt;&gt;"",L4903+N4903,"")</f>
        <v/>
      </c>
      <c r="P4903" s="47" t="str">
        <f aca="false">IF(O4903&lt;&gt;"",O4903*0.1,"")</f>
        <v/>
      </c>
      <c r="Q4903" s="83" t="str">
        <f aca="false">IF(O4903&lt;&gt;"",O4903+P4903,"")</f>
        <v/>
      </c>
      <c r="R4903" s="84"/>
    </row>
    <row r="4904" customFormat="false" ht="15" hidden="false" customHeight="true" outlineLevel="0" collapsed="false">
      <c r="A4904" s="103"/>
      <c r="B4904" s="73"/>
      <c r="C4904" s="74"/>
      <c r="D4904" s="75"/>
      <c r="E4904" s="52" t="str">
        <f aca="false">IF(D4904&lt;&gt;"",IFERROR(VLOOKUP(D4904,PROVEEDORES!$A:$B,2,0),"!COD NO ENCONTRADO"),"")</f>
        <v/>
      </c>
      <c r="F4904" s="76" t="str">
        <f aca="false">IF(D4904&lt;&gt;"",IFERROR(VLOOKUP(D4904,PROVEEDORES!$A:$C,3,0),""),"")</f>
        <v/>
      </c>
      <c r="G4904" s="75"/>
      <c r="H4904" s="52" t="str">
        <f aca="false">IF(G4904&lt;&gt;"",IFERROR(VLOOKUP(G4904,PRODUCTOS!$A:$B,2,0),"!COD NO ENCONTRADO"),"")</f>
        <v/>
      </c>
      <c r="I4904" s="77"/>
      <c r="J4904" s="78"/>
      <c r="K4904" s="79"/>
      <c r="L4904" s="80" t="str">
        <f aca="false">IF(AND(J4904&lt;&gt;"",K4904&lt;&gt;""),J4904*K4904,"")</f>
        <v/>
      </c>
      <c r="M4904" s="81" t="str">
        <f aca="false">IF(L4904&lt;&gt;"",L4904*1.1,"")</f>
        <v/>
      </c>
      <c r="N4904" s="53" t="n">
        <f aca="false">IF(F4904="S",L4904*0.02,0)</f>
        <v>0</v>
      </c>
      <c r="O4904" s="82" t="str">
        <f aca="false">IF(L4904&lt;&gt;"",L4904+N4904,"")</f>
        <v/>
      </c>
      <c r="P4904" s="53" t="str">
        <f aca="false">IF(O4904&lt;&gt;"",O4904*0.1,"")</f>
        <v/>
      </c>
      <c r="Q4904" s="83" t="str">
        <f aca="false">IF(O4904&lt;&gt;"",O4904+P4904,"")</f>
        <v/>
      </c>
      <c r="R4904" s="84"/>
    </row>
    <row r="4905" customFormat="false" ht="15" hidden="false" customHeight="true" outlineLevel="0" collapsed="false">
      <c r="A4905" s="103"/>
      <c r="B4905" s="85"/>
      <c r="C4905" s="86"/>
      <c r="D4905" s="87"/>
      <c r="E4905" s="46" t="str">
        <f aca="false">IF(D4905&lt;&gt;"",IFERROR(VLOOKUP(D4905,PROVEEDORES!$A:$B,2,0),"!COD NO ENCONTRADO"),"")</f>
        <v/>
      </c>
      <c r="F4905" s="88" t="str">
        <f aca="false">IF(D4905&lt;&gt;"",IFERROR(VLOOKUP(D4905,PROVEEDORES!$A:$C,3,0),""),"")</f>
        <v/>
      </c>
      <c r="G4905" s="87"/>
      <c r="H4905" s="46" t="str">
        <f aca="false">IF(G4905&lt;&gt;"",IFERROR(VLOOKUP(G4905,PRODUCTOS!$A:$B,2,0),"!COD NO ENCONTRADO"),"")</f>
        <v/>
      </c>
      <c r="I4905" s="89"/>
      <c r="J4905" s="90"/>
      <c r="K4905" s="91"/>
      <c r="L4905" s="80" t="str">
        <f aca="false">IF(AND(J4905&lt;&gt;"",K4905&lt;&gt;""),J4905*K4905,"")</f>
        <v/>
      </c>
      <c r="M4905" s="81" t="str">
        <f aca="false">IF(L4905&lt;&gt;"",L4905*1.1,"")</f>
        <v/>
      </c>
      <c r="N4905" s="47" t="n">
        <f aca="false">IF(F4905="S",L4905*0.02,0)</f>
        <v>0</v>
      </c>
      <c r="O4905" s="82" t="str">
        <f aca="false">IF(L4905&lt;&gt;"",L4905+N4905,"")</f>
        <v/>
      </c>
      <c r="P4905" s="47" t="str">
        <f aca="false">IF(O4905&lt;&gt;"",O4905*0.1,"")</f>
        <v/>
      </c>
      <c r="Q4905" s="83" t="str">
        <f aca="false">IF(O4905&lt;&gt;"",O4905+P4905,"")</f>
        <v/>
      </c>
      <c r="R4905" s="84"/>
    </row>
    <row r="4906" customFormat="false" ht="15" hidden="false" customHeight="true" outlineLevel="0" collapsed="false">
      <c r="A4906" s="103"/>
      <c r="B4906" s="73"/>
      <c r="C4906" s="74"/>
      <c r="D4906" s="75"/>
      <c r="E4906" s="52" t="str">
        <f aca="false">IF(D4906&lt;&gt;"",IFERROR(VLOOKUP(D4906,PROVEEDORES!$A:$B,2,0),"!COD NO ENCONTRADO"),"")</f>
        <v/>
      </c>
      <c r="F4906" s="76" t="str">
        <f aca="false">IF(D4906&lt;&gt;"",IFERROR(VLOOKUP(D4906,PROVEEDORES!$A:$C,3,0),""),"")</f>
        <v/>
      </c>
      <c r="G4906" s="75"/>
      <c r="H4906" s="52" t="str">
        <f aca="false">IF(G4906&lt;&gt;"",IFERROR(VLOOKUP(G4906,PRODUCTOS!$A:$B,2,0),"!COD NO ENCONTRADO"),"")</f>
        <v/>
      </c>
      <c r="I4906" s="77"/>
      <c r="J4906" s="78"/>
      <c r="K4906" s="79"/>
      <c r="L4906" s="80" t="str">
        <f aca="false">IF(AND(J4906&lt;&gt;"",K4906&lt;&gt;""),J4906*K4906,"")</f>
        <v/>
      </c>
      <c r="M4906" s="81" t="str">
        <f aca="false">IF(L4906&lt;&gt;"",L4906*1.1,"")</f>
        <v/>
      </c>
      <c r="N4906" s="53" t="n">
        <f aca="false">IF(F4906="S",L4906*0.02,0)</f>
        <v>0</v>
      </c>
      <c r="O4906" s="82" t="str">
        <f aca="false">IF(L4906&lt;&gt;"",L4906+N4906,"")</f>
        <v/>
      </c>
      <c r="P4906" s="53" t="str">
        <f aca="false">IF(O4906&lt;&gt;"",O4906*0.1,"")</f>
        <v/>
      </c>
      <c r="Q4906" s="83" t="str">
        <f aca="false">IF(O4906&lt;&gt;"",O4906+P4906,"")</f>
        <v/>
      </c>
      <c r="R4906" s="84"/>
    </row>
    <row r="4907" customFormat="false" ht="15" hidden="false" customHeight="true" outlineLevel="0" collapsed="false">
      <c r="A4907" s="103"/>
      <c r="B4907" s="85"/>
      <c r="C4907" s="86"/>
      <c r="D4907" s="87"/>
      <c r="E4907" s="46" t="str">
        <f aca="false">IF(D4907&lt;&gt;"",IFERROR(VLOOKUP(D4907,PROVEEDORES!$A:$B,2,0),"!COD NO ENCONTRADO"),"")</f>
        <v/>
      </c>
      <c r="F4907" s="88" t="str">
        <f aca="false">IF(D4907&lt;&gt;"",IFERROR(VLOOKUP(D4907,PROVEEDORES!$A:$C,3,0),""),"")</f>
        <v/>
      </c>
      <c r="G4907" s="87"/>
      <c r="H4907" s="46" t="str">
        <f aca="false">IF(G4907&lt;&gt;"",IFERROR(VLOOKUP(G4907,PRODUCTOS!$A:$B,2,0),"!COD NO ENCONTRADO"),"")</f>
        <v/>
      </c>
      <c r="I4907" s="89"/>
      <c r="J4907" s="90"/>
      <c r="K4907" s="91"/>
      <c r="L4907" s="80" t="str">
        <f aca="false">IF(AND(J4907&lt;&gt;"",K4907&lt;&gt;""),J4907*K4907,"")</f>
        <v/>
      </c>
      <c r="M4907" s="81" t="str">
        <f aca="false">IF(L4907&lt;&gt;"",L4907*1.1,"")</f>
        <v/>
      </c>
      <c r="N4907" s="47" t="n">
        <f aca="false">IF(F4907="S",L4907*0.02,0)</f>
        <v>0</v>
      </c>
      <c r="O4907" s="82" t="str">
        <f aca="false">IF(L4907&lt;&gt;"",L4907+N4907,"")</f>
        <v/>
      </c>
      <c r="P4907" s="47" t="str">
        <f aca="false">IF(O4907&lt;&gt;"",O4907*0.1,"")</f>
        <v/>
      </c>
      <c r="Q4907" s="83" t="str">
        <f aca="false">IF(O4907&lt;&gt;"",O4907+P4907,"")</f>
        <v/>
      </c>
      <c r="R4907" s="84"/>
    </row>
    <row r="4908" customFormat="false" ht="15" hidden="false" customHeight="true" outlineLevel="0" collapsed="false">
      <c r="A4908" s="103"/>
      <c r="B4908" s="73"/>
      <c r="C4908" s="74"/>
      <c r="D4908" s="75"/>
      <c r="E4908" s="52" t="str">
        <f aca="false">IF(D4908&lt;&gt;"",IFERROR(VLOOKUP(D4908,PROVEEDORES!$A:$B,2,0),"!COD NO ENCONTRADO"),"")</f>
        <v/>
      </c>
      <c r="F4908" s="76" t="str">
        <f aca="false">IF(D4908&lt;&gt;"",IFERROR(VLOOKUP(D4908,PROVEEDORES!$A:$C,3,0),""),"")</f>
        <v/>
      </c>
      <c r="G4908" s="75"/>
      <c r="H4908" s="52" t="str">
        <f aca="false">IF(G4908&lt;&gt;"",IFERROR(VLOOKUP(G4908,PRODUCTOS!$A:$B,2,0),"!COD NO ENCONTRADO"),"")</f>
        <v/>
      </c>
      <c r="I4908" s="77"/>
      <c r="J4908" s="78"/>
      <c r="K4908" s="79"/>
      <c r="L4908" s="80" t="str">
        <f aca="false">IF(AND(J4908&lt;&gt;"",K4908&lt;&gt;""),J4908*K4908,"")</f>
        <v/>
      </c>
      <c r="M4908" s="81" t="str">
        <f aca="false">IF(L4908&lt;&gt;"",L4908*1.1,"")</f>
        <v/>
      </c>
      <c r="N4908" s="53" t="n">
        <f aca="false">IF(F4908="S",L4908*0.02,0)</f>
        <v>0</v>
      </c>
      <c r="O4908" s="82" t="str">
        <f aca="false">IF(L4908&lt;&gt;"",L4908+N4908,"")</f>
        <v/>
      </c>
      <c r="P4908" s="53" t="str">
        <f aca="false">IF(O4908&lt;&gt;"",O4908*0.1,"")</f>
        <v/>
      </c>
      <c r="Q4908" s="83" t="str">
        <f aca="false">IF(O4908&lt;&gt;"",O4908+P4908,"")</f>
        <v/>
      </c>
      <c r="R4908" s="84"/>
    </row>
    <row r="4909" customFormat="false" ht="15" hidden="false" customHeight="true" outlineLevel="0" collapsed="false">
      <c r="A4909" s="103"/>
      <c r="B4909" s="85"/>
      <c r="C4909" s="86"/>
      <c r="D4909" s="87"/>
      <c r="E4909" s="46" t="str">
        <f aca="false">IF(D4909&lt;&gt;"",IFERROR(VLOOKUP(D4909,PROVEEDORES!$A:$B,2,0),"!COD NO ENCONTRADO"),"")</f>
        <v/>
      </c>
      <c r="F4909" s="88" t="str">
        <f aca="false">IF(D4909&lt;&gt;"",IFERROR(VLOOKUP(D4909,PROVEEDORES!$A:$C,3,0),""),"")</f>
        <v/>
      </c>
      <c r="G4909" s="87"/>
      <c r="H4909" s="46" t="str">
        <f aca="false">IF(G4909&lt;&gt;"",IFERROR(VLOOKUP(G4909,PRODUCTOS!$A:$B,2,0),"!COD NO ENCONTRADO"),"")</f>
        <v/>
      </c>
      <c r="I4909" s="89"/>
      <c r="J4909" s="90"/>
      <c r="K4909" s="91"/>
      <c r="L4909" s="80" t="str">
        <f aca="false">IF(AND(J4909&lt;&gt;"",K4909&lt;&gt;""),J4909*K4909,"")</f>
        <v/>
      </c>
      <c r="M4909" s="81" t="str">
        <f aca="false">IF(L4909&lt;&gt;"",L4909*1.1,"")</f>
        <v/>
      </c>
      <c r="N4909" s="47" t="n">
        <f aca="false">IF(F4909="S",L4909*0.02,0)</f>
        <v>0</v>
      </c>
      <c r="O4909" s="82" t="str">
        <f aca="false">IF(L4909&lt;&gt;"",L4909+N4909,"")</f>
        <v/>
      </c>
      <c r="P4909" s="47" t="str">
        <f aca="false">IF(O4909&lt;&gt;"",O4909*0.1,"")</f>
        <v/>
      </c>
      <c r="Q4909" s="83" t="str">
        <f aca="false">IF(O4909&lt;&gt;"",O4909+P4909,"")</f>
        <v/>
      </c>
      <c r="R4909" s="84"/>
    </row>
    <row r="4910" customFormat="false" ht="15" hidden="false" customHeight="true" outlineLevel="0" collapsed="false">
      <c r="A4910" s="103"/>
      <c r="B4910" s="73"/>
      <c r="C4910" s="74"/>
      <c r="D4910" s="75"/>
      <c r="E4910" s="52" t="str">
        <f aca="false">IF(D4910&lt;&gt;"",IFERROR(VLOOKUP(D4910,PROVEEDORES!$A:$B,2,0),"!COD NO ENCONTRADO"),"")</f>
        <v/>
      </c>
      <c r="F4910" s="76" t="str">
        <f aca="false">IF(D4910&lt;&gt;"",IFERROR(VLOOKUP(D4910,PROVEEDORES!$A:$C,3,0),""),"")</f>
        <v/>
      </c>
      <c r="G4910" s="75"/>
      <c r="H4910" s="52" t="str">
        <f aca="false">IF(G4910&lt;&gt;"",IFERROR(VLOOKUP(G4910,PRODUCTOS!$A:$B,2,0),"!COD NO ENCONTRADO"),"")</f>
        <v/>
      </c>
      <c r="I4910" s="77"/>
      <c r="J4910" s="78"/>
      <c r="K4910" s="79"/>
      <c r="L4910" s="80" t="str">
        <f aca="false">IF(AND(J4910&lt;&gt;"",K4910&lt;&gt;""),J4910*K4910,"")</f>
        <v/>
      </c>
      <c r="M4910" s="81" t="str">
        <f aca="false">IF(L4910&lt;&gt;"",L4910*1.1,"")</f>
        <v/>
      </c>
      <c r="N4910" s="53" t="n">
        <f aca="false">IF(F4910="S",L4910*0.02,0)</f>
        <v>0</v>
      </c>
      <c r="O4910" s="82" t="str">
        <f aca="false">IF(L4910&lt;&gt;"",L4910+N4910,"")</f>
        <v/>
      </c>
      <c r="P4910" s="53" t="str">
        <f aca="false">IF(O4910&lt;&gt;"",O4910*0.1,"")</f>
        <v/>
      </c>
      <c r="Q4910" s="83" t="str">
        <f aca="false">IF(O4910&lt;&gt;"",O4910+P4910,"")</f>
        <v/>
      </c>
      <c r="R4910" s="84"/>
    </row>
    <row r="4911" customFormat="false" ht="15" hidden="false" customHeight="true" outlineLevel="0" collapsed="false">
      <c r="A4911" s="103"/>
      <c r="B4911" s="85"/>
      <c r="C4911" s="86"/>
      <c r="D4911" s="87"/>
      <c r="E4911" s="46" t="str">
        <f aca="false">IF(D4911&lt;&gt;"",IFERROR(VLOOKUP(D4911,PROVEEDORES!$A:$B,2,0),"!COD NO ENCONTRADO"),"")</f>
        <v/>
      </c>
      <c r="F4911" s="88" t="str">
        <f aca="false">IF(D4911&lt;&gt;"",IFERROR(VLOOKUP(D4911,PROVEEDORES!$A:$C,3,0),""),"")</f>
        <v/>
      </c>
      <c r="G4911" s="87"/>
      <c r="H4911" s="46" t="str">
        <f aca="false">IF(G4911&lt;&gt;"",IFERROR(VLOOKUP(G4911,PRODUCTOS!$A:$B,2,0),"!COD NO ENCONTRADO"),"")</f>
        <v/>
      </c>
      <c r="I4911" s="89"/>
      <c r="J4911" s="90"/>
      <c r="K4911" s="91"/>
      <c r="L4911" s="80" t="str">
        <f aca="false">IF(AND(J4911&lt;&gt;"",K4911&lt;&gt;""),J4911*K4911,"")</f>
        <v/>
      </c>
      <c r="M4911" s="81" t="str">
        <f aca="false">IF(L4911&lt;&gt;"",L4911*1.1,"")</f>
        <v/>
      </c>
      <c r="N4911" s="47" t="n">
        <f aca="false">IF(F4911="S",L4911*0.02,0)</f>
        <v>0</v>
      </c>
      <c r="O4911" s="82" t="str">
        <f aca="false">IF(L4911&lt;&gt;"",L4911+N4911,"")</f>
        <v/>
      </c>
      <c r="P4911" s="47" t="str">
        <f aca="false">IF(O4911&lt;&gt;"",O4911*0.1,"")</f>
        <v/>
      </c>
      <c r="Q4911" s="83" t="str">
        <f aca="false">IF(O4911&lt;&gt;"",O4911+P4911,"")</f>
        <v/>
      </c>
      <c r="R4911" s="84"/>
    </row>
    <row r="4912" customFormat="false" ht="15" hidden="false" customHeight="true" outlineLevel="0" collapsed="false">
      <c r="A4912" s="103"/>
      <c r="B4912" s="73"/>
      <c r="C4912" s="74"/>
      <c r="D4912" s="75"/>
      <c r="E4912" s="52" t="str">
        <f aca="false">IF(D4912&lt;&gt;"",IFERROR(VLOOKUP(D4912,PROVEEDORES!$A:$B,2,0),"!COD NO ENCONTRADO"),"")</f>
        <v/>
      </c>
      <c r="F4912" s="76" t="str">
        <f aca="false">IF(D4912&lt;&gt;"",IFERROR(VLOOKUP(D4912,PROVEEDORES!$A:$C,3,0),""),"")</f>
        <v/>
      </c>
      <c r="G4912" s="75"/>
      <c r="H4912" s="52" t="str">
        <f aca="false">IF(G4912&lt;&gt;"",IFERROR(VLOOKUP(G4912,PRODUCTOS!$A:$B,2,0),"!COD NO ENCONTRADO"),"")</f>
        <v/>
      </c>
      <c r="I4912" s="77"/>
      <c r="J4912" s="78"/>
      <c r="K4912" s="79"/>
      <c r="L4912" s="80" t="str">
        <f aca="false">IF(AND(J4912&lt;&gt;"",K4912&lt;&gt;""),J4912*K4912,"")</f>
        <v/>
      </c>
      <c r="M4912" s="81" t="str">
        <f aca="false">IF(L4912&lt;&gt;"",L4912*1.1,"")</f>
        <v/>
      </c>
      <c r="N4912" s="53" t="n">
        <f aca="false">IF(F4912="S",L4912*0.02,0)</f>
        <v>0</v>
      </c>
      <c r="O4912" s="82" t="str">
        <f aca="false">IF(L4912&lt;&gt;"",L4912+N4912,"")</f>
        <v/>
      </c>
      <c r="P4912" s="53" t="str">
        <f aca="false">IF(O4912&lt;&gt;"",O4912*0.1,"")</f>
        <v/>
      </c>
      <c r="Q4912" s="83" t="str">
        <f aca="false">IF(O4912&lt;&gt;"",O4912+P4912,"")</f>
        <v/>
      </c>
      <c r="R4912" s="84"/>
    </row>
    <row r="4913" customFormat="false" ht="15" hidden="false" customHeight="true" outlineLevel="0" collapsed="false">
      <c r="A4913" s="103"/>
      <c r="B4913" s="85"/>
      <c r="C4913" s="86"/>
      <c r="D4913" s="87"/>
      <c r="E4913" s="46" t="str">
        <f aca="false">IF(D4913&lt;&gt;"",IFERROR(VLOOKUP(D4913,PROVEEDORES!$A:$B,2,0),"!COD NO ENCONTRADO"),"")</f>
        <v/>
      </c>
      <c r="F4913" s="88" t="str">
        <f aca="false">IF(D4913&lt;&gt;"",IFERROR(VLOOKUP(D4913,PROVEEDORES!$A:$C,3,0),""),"")</f>
        <v/>
      </c>
      <c r="G4913" s="87"/>
      <c r="H4913" s="46" t="str">
        <f aca="false">IF(G4913&lt;&gt;"",IFERROR(VLOOKUP(G4913,PRODUCTOS!$A:$B,2,0),"!COD NO ENCONTRADO"),"")</f>
        <v/>
      </c>
      <c r="I4913" s="89"/>
      <c r="J4913" s="90"/>
      <c r="K4913" s="91"/>
      <c r="L4913" s="80" t="str">
        <f aca="false">IF(AND(J4913&lt;&gt;"",K4913&lt;&gt;""),J4913*K4913,"")</f>
        <v/>
      </c>
      <c r="M4913" s="81" t="str">
        <f aca="false">IF(L4913&lt;&gt;"",L4913*1.1,"")</f>
        <v/>
      </c>
      <c r="N4913" s="47" t="n">
        <f aca="false">IF(F4913="S",L4913*0.02,0)</f>
        <v>0</v>
      </c>
      <c r="O4913" s="82" t="str">
        <f aca="false">IF(L4913&lt;&gt;"",L4913+N4913,"")</f>
        <v/>
      </c>
      <c r="P4913" s="47" t="str">
        <f aca="false">IF(O4913&lt;&gt;"",O4913*0.1,"")</f>
        <v/>
      </c>
      <c r="Q4913" s="83" t="str">
        <f aca="false">IF(O4913&lt;&gt;"",O4913+P4913,"")</f>
        <v/>
      </c>
      <c r="R4913" s="84"/>
    </row>
    <row r="4914" customFormat="false" ht="15" hidden="false" customHeight="true" outlineLevel="0" collapsed="false">
      <c r="A4914" s="103"/>
      <c r="B4914" s="73"/>
      <c r="C4914" s="74"/>
      <c r="D4914" s="75"/>
      <c r="E4914" s="52" t="str">
        <f aca="false">IF(D4914&lt;&gt;"",IFERROR(VLOOKUP(D4914,PROVEEDORES!$A:$B,2,0),"!COD NO ENCONTRADO"),"")</f>
        <v/>
      </c>
      <c r="F4914" s="76" t="str">
        <f aca="false">IF(D4914&lt;&gt;"",IFERROR(VLOOKUP(D4914,PROVEEDORES!$A:$C,3,0),""),"")</f>
        <v/>
      </c>
      <c r="G4914" s="75"/>
      <c r="H4914" s="52" t="str">
        <f aca="false">IF(G4914&lt;&gt;"",IFERROR(VLOOKUP(G4914,PRODUCTOS!$A:$B,2,0),"!COD NO ENCONTRADO"),"")</f>
        <v/>
      </c>
      <c r="I4914" s="77"/>
      <c r="J4914" s="78"/>
      <c r="K4914" s="79"/>
      <c r="L4914" s="80" t="str">
        <f aca="false">IF(AND(J4914&lt;&gt;"",K4914&lt;&gt;""),J4914*K4914,"")</f>
        <v/>
      </c>
      <c r="M4914" s="81" t="str">
        <f aca="false">IF(L4914&lt;&gt;"",L4914*1.1,"")</f>
        <v/>
      </c>
      <c r="N4914" s="53" t="n">
        <f aca="false">IF(F4914="S",L4914*0.02,0)</f>
        <v>0</v>
      </c>
      <c r="O4914" s="82" t="str">
        <f aca="false">IF(L4914&lt;&gt;"",L4914+N4914,"")</f>
        <v/>
      </c>
      <c r="P4914" s="53" t="str">
        <f aca="false">IF(O4914&lt;&gt;"",O4914*0.1,"")</f>
        <v/>
      </c>
      <c r="Q4914" s="83" t="str">
        <f aca="false">IF(O4914&lt;&gt;"",O4914+P4914,"")</f>
        <v/>
      </c>
      <c r="R4914" s="84"/>
    </row>
    <row r="4915" customFormat="false" ht="15" hidden="false" customHeight="true" outlineLevel="0" collapsed="false">
      <c r="A4915" s="103"/>
      <c r="B4915" s="85"/>
      <c r="C4915" s="86"/>
      <c r="D4915" s="87"/>
      <c r="E4915" s="46" t="str">
        <f aca="false">IF(D4915&lt;&gt;"",IFERROR(VLOOKUP(D4915,PROVEEDORES!$A:$B,2,0),"!COD NO ENCONTRADO"),"")</f>
        <v/>
      </c>
      <c r="F4915" s="88" t="str">
        <f aca="false">IF(D4915&lt;&gt;"",IFERROR(VLOOKUP(D4915,PROVEEDORES!$A:$C,3,0),""),"")</f>
        <v/>
      </c>
      <c r="G4915" s="87"/>
      <c r="H4915" s="46" t="str">
        <f aca="false">IF(G4915&lt;&gt;"",IFERROR(VLOOKUP(G4915,PRODUCTOS!$A:$B,2,0),"!COD NO ENCONTRADO"),"")</f>
        <v/>
      </c>
      <c r="I4915" s="89"/>
      <c r="J4915" s="90"/>
      <c r="K4915" s="91"/>
      <c r="L4915" s="80" t="str">
        <f aca="false">IF(AND(J4915&lt;&gt;"",K4915&lt;&gt;""),J4915*K4915,"")</f>
        <v/>
      </c>
      <c r="M4915" s="81" t="str">
        <f aca="false">IF(L4915&lt;&gt;"",L4915*1.1,"")</f>
        <v/>
      </c>
      <c r="N4915" s="47" t="n">
        <f aca="false">IF(F4915="S",L4915*0.02,0)</f>
        <v>0</v>
      </c>
      <c r="O4915" s="82" t="str">
        <f aca="false">IF(L4915&lt;&gt;"",L4915+N4915,"")</f>
        <v/>
      </c>
      <c r="P4915" s="47" t="str">
        <f aca="false">IF(O4915&lt;&gt;"",O4915*0.1,"")</f>
        <v/>
      </c>
      <c r="Q4915" s="83" t="str">
        <f aca="false">IF(O4915&lt;&gt;"",O4915+P4915,"")</f>
        <v/>
      </c>
      <c r="R4915" s="84"/>
    </row>
    <row r="4916" customFormat="false" ht="15" hidden="false" customHeight="true" outlineLevel="0" collapsed="false">
      <c r="A4916" s="103"/>
      <c r="B4916" s="73"/>
      <c r="C4916" s="74"/>
      <c r="D4916" s="75"/>
      <c r="E4916" s="52" t="str">
        <f aca="false">IF(D4916&lt;&gt;"",IFERROR(VLOOKUP(D4916,PROVEEDORES!$A:$B,2,0),"!COD NO ENCONTRADO"),"")</f>
        <v/>
      </c>
      <c r="F4916" s="76" t="str">
        <f aca="false">IF(D4916&lt;&gt;"",IFERROR(VLOOKUP(D4916,PROVEEDORES!$A:$C,3,0),""),"")</f>
        <v/>
      </c>
      <c r="G4916" s="75"/>
      <c r="H4916" s="52" t="str">
        <f aca="false">IF(G4916&lt;&gt;"",IFERROR(VLOOKUP(G4916,PRODUCTOS!$A:$B,2,0),"!COD NO ENCONTRADO"),"")</f>
        <v/>
      </c>
      <c r="I4916" s="77"/>
      <c r="J4916" s="78"/>
      <c r="K4916" s="79"/>
      <c r="L4916" s="80" t="str">
        <f aca="false">IF(AND(J4916&lt;&gt;"",K4916&lt;&gt;""),J4916*K4916,"")</f>
        <v/>
      </c>
      <c r="M4916" s="81" t="str">
        <f aca="false">IF(L4916&lt;&gt;"",L4916*1.1,"")</f>
        <v/>
      </c>
      <c r="N4916" s="53" t="n">
        <f aca="false">IF(F4916="S",L4916*0.02,0)</f>
        <v>0</v>
      </c>
      <c r="O4916" s="82" t="str">
        <f aca="false">IF(L4916&lt;&gt;"",L4916+N4916,"")</f>
        <v/>
      </c>
      <c r="P4916" s="53" t="str">
        <f aca="false">IF(O4916&lt;&gt;"",O4916*0.1,"")</f>
        <v/>
      </c>
      <c r="Q4916" s="83" t="str">
        <f aca="false">IF(O4916&lt;&gt;"",O4916+P4916,"")</f>
        <v/>
      </c>
      <c r="R4916" s="84"/>
    </row>
    <row r="4917" customFormat="false" ht="15" hidden="false" customHeight="true" outlineLevel="0" collapsed="false">
      <c r="A4917" s="103"/>
      <c r="B4917" s="85"/>
      <c r="C4917" s="86"/>
      <c r="D4917" s="87"/>
      <c r="E4917" s="46" t="str">
        <f aca="false">IF(D4917&lt;&gt;"",IFERROR(VLOOKUP(D4917,PROVEEDORES!$A:$B,2,0),"!COD NO ENCONTRADO"),"")</f>
        <v/>
      </c>
      <c r="F4917" s="88" t="str">
        <f aca="false">IF(D4917&lt;&gt;"",IFERROR(VLOOKUP(D4917,PROVEEDORES!$A:$C,3,0),""),"")</f>
        <v/>
      </c>
      <c r="G4917" s="87"/>
      <c r="H4917" s="46" t="str">
        <f aca="false">IF(G4917&lt;&gt;"",IFERROR(VLOOKUP(G4917,PRODUCTOS!$A:$B,2,0),"!COD NO ENCONTRADO"),"")</f>
        <v/>
      </c>
      <c r="I4917" s="89"/>
      <c r="J4917" s="90"/>
      <c r="K4917" s="91"/>
      <c r="L4917" s="80" t="str">
        <f aca="false">IF(AND(J4917&lt;&gt;"",K4917&lt;&gt;""),J4917*K4917,"")</f>
        <v/>
      </c>
      <c r="M4917" s="81" t="str">
        <f aca="false">IF(L4917&lt;&gt;"",L4917*1.1,"")</f>
        <v/>
      </c>
      <c r="N4917" s="47" t="n">
        <f aca="false">IF(F4917="S",L4917*0.02,0)</f>
        <v>0</v>
      </c>
      <c r="O4917" s="82" t="str">
        <f aca="false">IF(L4917&lt;&gt;"",L4917+N4917,"")</f>
        <v/>
      </c>
      <c r="P4917" s="47" t="str">
        <f aca="false">IF(O4917&lt;&gt;"",O4917*0.1,"")</f>
        <v/>
      </c>
      <c r="Q4917" s="83" t="str">
        <f aca="false">IF(O4917&lt;&gt;"",O4917+P4917,"")</f>
        <v/>
      </c>
      <c r="R4917" s="84"/>
    </row>
    <row r="4918" customFormat="false" ht="15" hidden="false" customHeight="true" outlineLevel="0" collapsed="false">
      <c r="A4918" s="103"/>
      <c r="B4918" s="73"/>
      <c r="C4918" s="74"/>
      <c r="D4918" s="75"/>
      <c r="E4918" s="52" t="str">
        <f aca="false">IF(D4918&lt;&gt;"",IFERROR(VLOOKUP(D4918,PROVEEDORES!$A:$B,2,0),"!COD NO ENCONTRADO"),"")</f>
        <v/>
      </c>
      <c r="F4918" s="76" t="str">
        <f aca="false">IF(D4918&lt;&gt;"",IFERROR(VLOOKUP(D4918,PROVEEDORES!$A:$C,3,0),""),"")</f>
        <v/>
      </c>
      <c r="G4918" s="75"/>
      <c r="H4918" s="52" t="str">
        <f aca="false">IF(G4918&lt;&gt;"",IFERROR(VLOOKUP(G4918,PRODUCTOS!$A:$B,2,0),"!COD NO ENCONTRADO"),"")</f>
        <v/>
      </c>
      <c r="I4918" s="77"/>
      <c r="J4918" s="78"/>
      <c r="K4918" s="79"/>
      <c r="L4918" s="80" t="str">
        <f aca="false">IF(AND(J4918&lt;&gt;"",K4918&lt;&gt;""),J4918*K4918,"")</f>
        <v/>
      </c>
      <c r="M4918" s="81" t="str">
        <f aca="false">IF(L4918&lt;&gt;"",L4918*1.1,"")</f>
        <v/>
      </c>
      <c r="N4918" s="53" t="n">
        <f aca="false">IF(F4918="S",L4918*0.02,0)</f>
        <v>0</v>
      </c>
      <c r="O4918" s="82" t="str">
        <f aca="false">IF(L4918&lt;&gt;"",L4918+N4918,"")</f>
        <v/>
      </c>
      <c r="P4918" s="53" t="str">
        <f aca="false">IF(O4918&lt;&gt;"",O4918*0.1,"")</f>
        <v/>
      </c>
      <c r="Q4918" s="83" t="str">
        <f aca="false">IF(O4918&lt;&gt;"",O4918+P4918,"")</f>
        <v/>
      </c>
      <c r="R4918" s="84"/>
    </row>
    <row r="4919" customFormat="false" ht="15" hidden="false" customHeight="true" outlineLevel="0" collapsed="false">
      <c r="A4919" s="103"/>
      <c r="B4919" s="85"/>
      <c r="C4919" s="86"/>
      <c r="D4919" s="87"/>
      <c r="E4919" s="46" t="str">
        <f aca="false">IF(D4919&lt;&gt;"",IFERROR(VLOOKUP(D4919,PROVEEDORES!$A:$B,2,0),"!COD NO ENCONTRADO"),"")</f>
        <v/>
      </c>
      <c r="F4919" s="88" t="str">
        <f aca="false">IF(D4919&lt;&gt;"",IFERROR(VLOOKUP(D4919,PROVEEDORES!$A:$C,3,0),""),"")</f>
        <v/>
      </c>
      <c r="G4919" s="87"/>
      <c r="H4919" s="46" t="str">
        <f aca="false">IF(G4919&lt;&gt;"",IFERROR(VLOOKUP(G4919,PRODUCTOS!$A:$B,2,0),"!COD NO ENCONTRADO"),"")</f>
        <v/>
      </c>
      <c r="I4919" s="89"/>
      <c r="J4919" s="90"/>
      <c r="K4919" s="91"/>
      <c r="L4919" s="80" t="str">
        <f aca="false">IF(AND(J4919&lt;&gt;"",K4919&lt;&gt;""),J4919*K4919,"")</f>
        <v/>
      </c>
      <c r="M4919" s="81" t="str">
        <f aca="false">IF(L4919&lt;&gt;"",L4919*1.1,"")</f>
        <v/>
      </c>
      <c r="N4919" s="47" t="n">
        <f aca="false">IF(F4919="S",L4919*0.02,0)</f>
        <v>0</v>
      </c>
      <c r="O4919" s="82" t="str">
        <f aca="false">IF(L4919&lt;&gt;"",L4919+N4919,"")</f>
        <v/>
      </c>
      <c r="P4919" s="47" t="str">
        <f aca="false">IF(O4919&lt;&gt;"",O4919*0.1,"")</f>
        <v/>
      </c>
      <c r="Q4919" s="83" t="str">
        <f aca="false">IF(O4919&lt;&gt;"",O4919+P4919,"")</f>
        <v/>
      </c>
      <c r="R4919" s="84"/>
    </row>
    <row r="4920" customFormat="false" ht="15" hidden="false" customHeight="true" outlineLevel="0" collapsed="false">
      <c r="A4920" s="103"/>
      <c r="B4920" s="73"/>
      <c r="C4920" s="74"/>
      <c r="D4920" s="75"/>
      <c r="E4920" s="52" t="str">
        <f aca="false">IF(D4920&lt;&gt;"",IFERROR(VLOOKUP(D4920,PROVEEDORES!$A:$B,2,0),"!COD NO ENCONTRADO"),"")</f>
        <v/>
      </c>
      <c r="F4920" s="76" t="str">
        <f aca="false">IF(D4920&lt;&gt;"",IFERROR(VLOOKUP(D4920,PROVEEDORES!$A:$C,3,0),""),"")</f>
        <v/>
      </c>
      <c r="G4920" s="75"/>
      <c r="H4920" s="52" t="str">
        <f aca="false">IF(G4920&lt;&gt;"",IFERROR(VLOOKUP(G4920,PRODUCTOS!$A:$B,2,0),"!COD NO ENCONTRADO"),"")</f>
        <v/>
      </c>
      <c r="I4920" s="77"/>
      <c r="J4920" s="78"/>
      <c r="K4920" s="79"/>
      <c r="L4920" s="80" t="str">
        <f aca="false">IF(AND(J4920&lt;&gt;"",K4920&lt;&gt;""),J4920*K4920,"")</f>
        <v/>
      </c>
      <c r="M4920" s="81" t="str">
        <f aca="false">IF(L4920&lt;&gt;"",L4920*1.1,"")</f>
        <v/>
      </c>
      <c r="N4920" s="53" t="n">
        <f aca="false">IF(F4920="S",L4920*0.02,0)</f>
        <v>0</v>
      </c>
      <c r="O4920" s="82" t="str">
        <f aca="false">IF(L4920&lt;&gt;"",L4920+N4920,"")</f>
        <v/>
      </c>
      <c r="P4920" s="53" t="str">
        <f aca="false">IF(O4920&lt;&gt;"",O4920*0.1,"")</f>
        <v/>
      </c>
      <c r="Q4920" s="83" t="str">
        <f aca="false">IF(O4920&lt;&gt;"",O4920+P4920,"")</f>
        <v/>
      </c>
      <c r="R4920" s="84"/>
    </row>
    <row r="4921" customFormat="false" ht="15" hidden="false" customHeight="true" outlineLevel="0" collapsed="false">
      <c r="A4921" s="103"/>
      <c r="B4921" s="85"/>
      <c r="C4921" s="86"/>
      <c r="D4921" s="87"/>
      <c r="E4921" s="46" t="str">
        <f aca="false">IF(D4921&lt;&gt;"",IFERROR(VLOOKUP(D4921,PROVEEDORES!$A:$B,2,0),"!COD NO ENCONTRADO"),"")</f>
        <v/>
      </c>
      <c r="F4921" s="88" t="str">
        <f aca="false">IF(D4921&lt;&gt;"",IFERROR(VLOOKUP(D4921,PROVEEDORES!$A:$C,3,0),""),"")</f>
        <v/>
      </c>
      <c r="G4921" s="87"/>
      <c r="H4921" s="46" t="str">
        <f aca="false">IF(G4921&lt;&gt;"",IFERROR(VLOOKUP(G4921,PRODUCTOS!$A:$B,2,0),"!COD NO ENCONTRADO"),"")</f>
        <v/>
      </c>
      <c r="I4921" s="89"/>
      <c r="J4921" s="90"/>
      <c r="K4921" s="91"/>
      <c r="L4921" s="80" t="str">
        <f aca="false">IF(AND(J4921&lt;&gt;"",K4921&lt;&gt;""),J4921*K4921,"")</f>
        <v/>
      </c>
      <c r="M4921" s="81" t="str">
        <f aca="false">IF(L4921&lt;&gt;"",L4921*1.1,"")</f>
        <v/>
      </c>
      <c r="N4921" s="47" t="n">
        <f aca="false">IF(F4921="S",L4921*0.02,0)</f>
        <v>0</v>
      </c>
      <c r="O4921" s="82" t="str">
        <f aca="false">IF(L4921&lt;&gt;"",L4921+N4921,"")</f>
        <v/>
      </c>
      <c r="P4921" s="47" t="str">
        <f aca="false">IF(O4921&lt;&gt;"",O4921*0.1,"")</f>
        <v/>
      </c>
      <c r="Q4921" s="83" t="str">
        <f aca="false">IF(O4921&lt;&gt;"",O4921+P4921,"")</f>
        <v/>
      </c>
      <c r="R4921" s="84"/>
    </row>
    <row r="4922" customFormat="false" ht="15" hidden="false" customHeight="true" outlineLevel="0" collapsed="false">
      <c r="A4922" s="103"/>
      <c r="B4922" s="73"/>
      <c r="C4922" s="74"/>
      <c r="D4922" s="75"/>
      <c r="E4922" s="52" t="str">
        <f aca="false">IF(D4922&lt;&gt;"",IFERROR(VLOOKUP(D4922,PROVEEDORES!$A:$B,2,0),"!COD NO ENCONTRADO"),"")</f>
        <v/>
      </c>
      <c r="F4922" s="76" t="str">
        <f aca="false">IF(D4922&lt;&gt;"",IFERROR(VLOOKUP(D4922,PROVEEDORES!$A:$C,3,0),""),"")</f>
        <v/>
      </c>
      <c r="G4922" s="75"/>
      <c r="H4922" s="52" t="str">
        <f aca="false">IF(G4922&lt;&gt;"",IFERROR(VLOOKUP(G4922,PRODUCTOS!$A:$B,2,0),"!COD NO ENCONTRADO"),"")</f>
        <v/>
      </c>
      <c r="I4922" s="77"/>
      <c r="J4922" s="78"/>
      <c r="K4922" s="79"/>
      <c r="L4922" s="80" t="str">
        <f aca="false">IF(AND(J4922&lt;&gt;"",K4922&lt;&gt;""),J4922*K4922,"")</f>
        <v/>
      </c>
      <c r="M4922" s="81" t="str">
        <f aca="false">IF(L4922&lt;&gt;"",L4922*1.1,"")</f>
        <v/>
      </c>
      <c r="N4922" s="53" t="n">
        <f aca="false">IF(F4922="S",L4922*0.02,0)</f>
        <v>0</v>
      </c>
      <c r="O4922" s="82" t="str">
        <f aca="false">IF(L4922&lt;&gt;"",L4922+N4922,"")</f>
        <v/>
      </c>
      <c r="P4922" s="53" t="str">
        <f aca="false">IF(O4922&lt;&gt;"",O4922*0.1,"")</f>
        <v/>
      </c>
      <c r="Q4922" s="83" t="str">
        <f aca="false">IF(O4922&lt;&gt;"",O4922+P4922,"")</f>
        <v/>
      </c>
      <c r="R4922" s="84"/>
    </row>
    <row r="4923" customFormat="false" ht="15" hidden="false" customHeight="true" outlineLevel="0" collapsed="false">
      <c r="A4923" s="103"/>
      <c r="B4923" s="85"/>
      <c r="C4923" s="86"/>
      <c r="D4923" s="87"/>
      <c r="E4923" s="46" t="str">
        <f aca="false">IF(D4923&lt;&gt;"",IFERROR(VLOOKUP(D4923,PROVEEDORES!$A:$B,2,0),"!COD NO ENCONTRADO"),"")</f>
        <v/>
      </c>
      <c r="F4923" s="88" t="str">
        <f aca="false">IF(D4923&lt;&gt;"",IFERROR(VLOOKUP(D4923,PROVEEDORES!$A:$C,3,0),""),"")</f>
        <v/>
      </c>
      <c r="G4923" s="87"/>
      <c r="H4923" s="46" t="str">
        <f aca="false">IF(G4923&lt;&gt;"",IFERROR(VLOOKUP(G4923,PRODUCTOS!$A:$B,2,0),"!COD NO ENCONTRADO"),"")</f>
        <v/>
      </c>
      <c r="I4923" s="89"/>
      <c r="J4923" s="90"/>
      <c r="K4923" s="91"/>
      <c r="L4923" s="80" t="str">
        <f aca="false">IF(AND(J4923&lt;&gt;"",K4923&lt;&gt;""),J4923*K4923,"")</f>
        <v/>
      </c>
      <c r="M4923" s="81" t="str">
        <f aca="false">IF(L4923&lt;&gt;"",L4923*1.1,"")</f>
        <v/>
      </c>
      <c r="N4923" s="47" t="n">
        <f aca="false">IF(F4923="S",L4923*0.02,0)</f>
        <v>0</v>
      </c>
      <c r="O4923" s="82" t="str">
        <f aca="false">IF(L4923&lt;&gt;"",L4923+N4923,"")</f>
        <v/>
      </c>
      <c r="P4923" s="47" t="str">
        <f aca="false">IF(O4923&lt;&gt;"",O4923*0.1,"")</f>
        <v/>
      </c>
      <c r="Q4923" s="83" t="str">
        <f aca="false">IF(O4923&lt;&gt;"",O4923+P4923,"")</f>
        <v/>
      </c>
      <c r="R4923" s="84"/>
    </row>
    <row r="4924" customFormat="false" ht="15" hidden="false" customHeight="true" outlineLevel="0" collapsed="false">
      <c r="A4924" s="103"/>
      <c r="B4924" s="73"/>
      <c r="C4924" s="74"/>
      <c r="D4924" s="75"/>
      <c r="E4924" s="52" t="str">
        <f aca="false">IF(D4924&lt;&gt;"",IFERROR(VLOOKUP(D4924,PROVEEDORES!$A:$B,2,0),"!COD NO ENCONTRADO"),"")</f>
        <v/>
      </c>
      <c r="F4924" s="76" t="str">
        <f aca="false">IF(D4924&lt;&gt;"",IFERROR(VLOOKUP(D4924,PROVEEDORES!$A:$C,3,0),""),"")</f>
        <v/>
      </c>
      <c r="G4924" s="75"/>
      <c r="H4924" s="52" t="str">
        <f aca="false">IF(G4924&lt;&gt;"",IFERROR(VLOOKUP(G4924,PRODUCTOS!$A:$B,2,0),"!COD NO ENCONTRADO"),"")</f>
        <v/>
      </c>
      <c r="I4924" s="77"/>
      <c r="J4924" s="78"/>
      <c r="K4924" s="79"/>
      <c r="L4924" s="80" t="str">
        <f aca="false">IF(AND(J4924&lt;&gt;"",K4924&lt;&gt;""),J4924*K4924,"")</f>
        <v/>
      </c>
      <c r="M4924" s="81" t="str">
        <f aca="false">IF(L4924&lt;&gt;"",L4924*1.1,"")</f>
        <v/>
      </c>
      <c r="N4924" s="53" t="n">
        <f aca="false">IF(F4924="S",L4924*0.02,0)</f>
        <v>0</v>
      </c>
      <c r="O4924" s="82" t="str">
        <f aca="false">IF(L4924&lt;&gt;"",L4924+N4924,"")</f>
        <v/>
      </c>
      <c r="P4924" s="53" t="str">
        <f aca="false">IF(O4924&lt;&gt;"",O4924*0.1,"")</f>
        <v/>
      </c>
      <c r="Q4924" s="83" t="str">
        <f aca="false">IF(O4924&lt;&gt;"",O4924+P4924,"")</f>
        <v/>
      </c>
      <c r="R4924" s="84"/>
    </row>
    <row r="4925" customFormat="false" ht="15" hidden="false" customHeight="true" outlineLevel="0" collapsed="false">
      <c r="A4925" s="103"/>
      <c r="B4925" s="85"/>
      <c r="C4925" s="86"/>
      <c r="D4925" s="87"/>
      <c r="E4925" s="46" t="str">
        <f aca="false">IF(D4925&lt;&gt;"",IFERROR(VLOOKUP(D4925,PROVEEDORES!$A:$B,2,0),"!COD NO ENCONTRADO"),"")</f>
        <v/>
      </c>
      <c r="F4925" s="88" t="str">
        <f aca="false">IF(D4925&lt;&gt;"",IFERROR(VLOOKUP(D4925,PROVEEDORES!$A:$C,3,0),""),"")</f>
        <v/>
      </c>
      <c r="G4925" s="87"/>
      <c r="H4925" s="46" t="str">
        <f aca="false">IF(G4925&lt;&gt;"",IFERROR(VLOOKUP(G4925,PRODUCTOS!$A:$B,2,0),"!COD NO ENCONTRADO"),"")</f>
        <v/>
      </c>
      <c r="I4925" s="89"/>
      <c r="J4925" s="90"/>
      <c r="K4925" s="91"/>
      <c r="L4925" s="80" t="str">
        <f aca="false">IF(AND(J4925&lt;&gt;"",K4925&lt;&gt;""),J4925*K4925,"")</f>
        <v/>
      </c>
      <c r="M4925" s="81" t="str">
        <f aca="false">IF(L4925&lt;&gt;"",L4925*1.1,"")</f>
        <v/>
      </c>
      <c r="N4925" s="47" t="n">
        <f aca="false">IF(F4925="S",L4925*0.02,0)</f>
        <v>0</v>
      </c>
      <c r="O4925" s="82" t="str">
        <f aca="false">IF(L4925&lt;&gt;"",L4925+N4925,"")</f>
        <v/>
      </c>
      <c r="P4925" s="47" t="str">
        <f aca="false">IF(O4925&lt;&gt;"",O4925*0.1,"")</f>
        <v/>
      </c>
      <c r="Q4925" s="83" t="str">
        <f aca="false">IF(O4925&lt;&gt;"",O4925+P4925,"")</f>
        <v/>
      </c>
      <c r="R4925" s="84"/>
    </row>
    <row r="4926" customFormat="false" ht="15" hidden="false" customHeight="true" outlineLevel="0" collapsed="false">
      <c r="A4926" s="103"/>
      <c r="B4926" s="73"/>
      <c r="C4926" s="74"/>
      <c r="D4926" s="75"/>
      <c r="E4926" s="52" t="str">
        <f aca="false">IF(D4926&lt;&gt;"",IFERROR(VLOOKUP(D4926,PROVEEDORES!$A:$B,2,0),"!COD NO ENCONTRADO"),"")</f>
        <v/>
      </c>
      <c r="F4926" s="76" t="str">
        <f aca="false">IF(D4926&lt;&gt;"",IFERROR(VLOOKUP(D4926,PROVEEDORES!$A:$C,3,0),""),"")</f>
        <v/>
      </c>
      <c r="G4926" s="75"/>
      <c r="H4926" s="52" t="str">
        <f aca="false">IF(G4926&lt;&gt;"",IFERROR(VLOOKUP(G4926,PRODUCTOS!$A:$B,2,0),"!COD NO ENCONTRADO"),"")</f>
        <v/>
      </c>
      <c r="I4926" s="77"/>
      <c r="J4926" s="78"/>
      <c r="K4926" s="79"/>
      <c r="L4926" s="80" t="str">
        <f aca="false">IF(AND(J4926&lt;&gt;"",K4926&lt;&gt;""),J4926*K4926,"")</f>
        <v/>
      </c>
      <c r="M4926" s="81" t="str">
        <f aca="false">IF(L4926&lt;&gt;"",L4926*1.1,"")</f>
        <v/>
      </c>
      <c r="N4926" s="53" t="n">
        <f aca="false">IF(F4926="S",L4926*0.02,0)</f>
        <v>0</v>
      </c>
      <c r="O4926" s="82" t="str">
        <f aca="false">IF(L4926&lt;&gt;"",L4926+N4926,"")</f>
        <v/>
      </c>
      <c r="P4926" s="53" t="str">
        <f aca="false">IF(O4926&lt;&gt;"",O4926*0.1,"")</f>
        <v/>
      </c>
      <c r="Q4926" s="83" t="str">
        <f aca="false">IF(O4926&lt;&gt;"",O4926+P4926,"")</f>
        <v/>
      </c>
      <c r="R4926" s="84"/>
    </row>
    <row r="4927" customFormat="false" ht="15" hidden="false" customHeight="true" outlineLevel="0" collapsed="false">
      <c r="A4927" s="103"/>
      <c r="B4927" s="85"/>
      <c r="C4927" s="86"/>
      <c r="D4927" s="87"/>
      <c r="E4927" s="46" t="str">
        <f aca="false">IF(D4927&lt;&gt;"",IFERROR(VLOOKUP(D4927,PROVEEDORES!$A:$B,2,0),"!COD NO ENCONTRADO"),"")</f>
        <v/>
      </c>
      <c r="F4927" s="88" t="str">
        <f aca="false">IF(D4927&lt;&gt;"",IFERROR(VLOOKUP(D4927,PROVEEDORES!$A:$C,3,0),""),"")</f>
        <v/>
      </c>
      <c r="G4927" s="87"/>
      <c r="H4927" s="46" t="str">
        <f aca="false">IF(G4927&lt;&gt;"",IFERROR(VLOOKUP(G4927,PRODUCTOS!$A:$B,2,0),"!COD NO ENCONTRADO"),"")</f>
        <v/>
      </c>
      <c r="I4927" s="89"/>
      <c r="J4927" s="90"/>
      <c r="K4927" s="91"/>
      <c r="L4927" s="80" t="str">
        <f aca="false">IF(AND(J4927&lt;&gt;"",K4927&lt;&gt;""),J4927*K4927,"")</f>
        <v/>
      </c>
      <c r="M4927" s="81" t="str">
        <f aca="false">IF(L4927&lt;&gt;"",L4927*1.1,"")</f>
        <v/>
      </c>
      <c r="N4927" s="47" t="n">
        <f aca="false">IF(F4927="S",L4927*0.02,0)</f>
        <v>0</v>
      </c>
      <c r="O4927" s="82" t="str">
        <f aca="false">IF(L4927&lt;&gt;"",L4927+N4927,"")</f>
        <v/>
      </c>
      <c r="P4927" s="47" t="str">
        <f aca="false">IF(O4927&lt;&gt;"",O4927*0.1,"")</f>
        <v/>
      </c>
      <c r="Q4927" s="83" t="str">
        <f aca="false">IF(O4927&lt;&gt;"",O4927+P4927,"")</f>
        <v/>
      </c>
      <c r="R4927" s="84"/>
    </row>
    <row r="4928" customFormat="false" ht="15" hidden="false" customHeight="true" outlineLevel="0" collapsed="false">
      <c r="A4928" s="103"/>
      <c r="B4928" s="73"/>
      <c r="C4928" s="74"/>
      <c r="D4928" s="75"/>
      <c r="E4928" s="52" t="str">
        <f aca="false">IF(D4928&lt;&gt;"",IFERROR(VLOOKUP(D4928,PROVEEDORES!$A:$B,2,0),"!COD NO ENCONTRADO"),"")</f>
        <v/>
      </c>
      <c r="F4928" s="76" t="str">
        <f aca="false">IF(D4928&lt;&gt;"",IFERROR(VLOOKUP(D4928,PROVEEDORES!$A:$C,3,0),""),"")</f>
        <v/>
      </c>
      <c r="G4928" s="75"/>
      <c r="H4928" s="52" t="str">
        <f aca="false">IF(G4928&lt;&gt;"",IFERROR(VLOOKUP(G4928,PRODUCTOS!$A:$B,2,0),"!COD NO ENCONTRADO"),"")</f>
        <v/>
      </c>
      <c r="I4928" s="77"/>
      <c r="J4928" s="78"/>
      <c r="K4928" s="79"/>
      <c r="L4928" s="80" t="str">
        <f aca="false">IF(AND(J4928&lt;&gt;"",K4928&lt;&gt;""),J4928*K4928,"")</f>
        <v/>
      </c>
      <c r="M4928" s="81" t="str">
        <f aca="false">IF(L4928&lt;&gt;"",L4928*1.1,"")</f>
        <v/>
      </c>
      <c r="N4928" s="53" t="n">
        <f aca="false">IF(F4928="S",L4928*0.02,0)</f>
        <v>0</v>
      </c>
      <c r="O4928" s="82" t="str">
        <f aca="false">IF(L4928&lt;&gt;"",L4928+N4928,"")</f>
        <v/>
      </c>
      <c r="P4928" s="53" t="str">
        <f aca="false">IF(O4928&lt;&gt;"",O4928*0.1,"")</f>
        <v/>
      </c>
      <c r="Q4928" s="83" t="str">
        <f aca="false">IF(O4928&lt;&gt;"",O4928+P4928,"")</f>
        <v/>
      </c>
      <c r="R4928" s="84"/>
    </row>
    <row r="4929" customFormat="false" ht="15" hidden="false" customHeight="true" outlineLevel="0" collapsed="false">
      <c r="A4929" s="103"/>
      <c r="B4929" s="85"/>
      <c r="C4929" s="86"/>
      <c r="D4929" s="87"/>
      <c r="E4929" s="46" t="str">
        <f aca="false">IF(D4929&lt;&gt;"",IFERROR(VLOOKUP(D4929,PROVEEDORES!$A:$B,2,0),"!COD NO ENCONTRADO"),"")</f>
        <v/>
      </c>
      <c r="F4929" s="88" t="str">
        <f aca="false">IF(D4929&lt;&gt;"",IFERROR(VLOOKUP(D4929,PROVEEDORES!$A:$C,3,0),""),"")</f>
        <v/>
      </c>
      <c r="G4929" s="87"/>
      <c r="H4929" s="46" t="str">
        <f aca="false">IF(G4929&lt;&gt;"",IFERROR(VLOOKUP(G4929,PRODUCTOS!$A:$B,2,0),"!COD NO ENCONTRADO"),"")</f>
        <v/>
      </c>
      <c r="I4929" s="89"/>
      <c r="J4929" s="90"/>
      <c r="K4929" s="91"/>
      <c r="L4929" s="80" t="str">
        <f aca="false">IF(AND(J4929&lt;&gt;"",K4929&lt;&gt;""),J4929*K4929,"")</f>
        <v/>
      </c>
      <c r="M4929" s="81" t="str">
        <f aca="false">IF(L4929&lt;&gt;"",L4929*1.1,"")</f>
        <v/>
      </c>
      <c r="N4929" s="47" t="n">
        <f aca="false">IF(F4929="S",L4929*0.02,0)</f>
        <v>0</v>
      </c>
      <c r="O4929" s="82" t="str">
        <f aca="false">IF(L4929&lt;&gt;"",L4929+N4929,"")</f>
        <v/>
      </c>
      <c r="P4929" s="47" t="str">
        <f aca="false">IF(O4929&lt;&gt;"",O4929*0.1,"")</f>
        <v/>
      </c>
      <c r="Q4929" s="83" t="str">
        <f aca="false">IF(O4929&lt;&gt;"",O4929+P4929,"")</f>
        <v/>
      </c>
      <c r="R4929" s="84"/>
    </row>
    <row r="4930" customFormat="false" ht="15" hidden="false" customHeight="true" outlineLevel="0" collapsed="false">
      <c r="A4930" s="103"/>
      <c r="B4930" s="73"/>
      <c r="C4930" s="74"/>
      <c r="D4930" s="75"/>
      <c r="E4930" s="52" t="str">
        <f aca="false">IF(D4930&lt;&gt;"",IFERROR(VLOOKUP(D4930,PROVEEDORES!$A:$B,2,0),"!COD NO ENCONTRADO"),"")</f>
        <v/>
      </c>
      <c r="F4930" s="76" t="str">
        <f aca="false">IF(D4930&lt;&gt;"",IFERROR(VLOOKUP(D4930,PROVEEDORES!$A:$C,3,0),""),"")</f>
        <v/>
      </c>
      <c r="G4930" s="75"/>
      <c r="H4930" s="52" t="str">
        <f aca="false">IF(G4930&lt;&gt;"",IFERROR(VLOOKUP(G4930,PRODUCTOS!$A:$B,2,0),"!COD NO ENCONTRADO"),"")</f>
        <v/>
      </c>
      <c r="I4930" s="77"/>
      <c r="J4930" s="78"/>
      <c r="K4930" s="79"/>
      <c r="L4930" s="80" t="str">
        <f aca="false">IF(AND(J4930&lt;&gt;"",K4930&lt;&gt;""),J4930*K4930,"")</f>
        <v/>
      </c>
      <c r="M4930" s="81" t="str">
        <f aca="false">IF(L4930&lt;&gt;"",L4930*1.1,"")</f>
        <v/>
      </c>
      <c r="N4930" s="53" t="n">
        <f aca="false">IF(F4930="S",L4930*0.02,0)</f>
        <v>0</v>
      </c>
      <c r="O4930" s="82" t="str">
        <f aca="false">IF(L4930&lt;&gt;"",L4930+N4930,"")</f>
        <v/>
      </c>
      <c r="P4930" s="53" t="str">
        <f aca="false">IF(O4930&lt;&gt;"",O4930*0.1,"")</f>
        <v/>
      </c>
      <c r="Q4930" s="83" t="str">
        <f aca="false">IF(O4930&lt;&gt;"",O4930+P4930,"")</f>
        <v/>
      </c>
      <c r="R4930" s="84"/>
    </row>
    <row r="4931" customFormat="false" ht="15" hidden="false" customHeight="true" outlineLevel="0" collapsed="false">
      <c r="A4931" s="103"/>
      <c r="B4931" s="85"/>
      <c r="C4931" s="86"/>
      <c r="D4931" s="87"/>
      <c r="E4931" s="46" t="str">
        <f aca="false">IF(D4931&lt;&gt;"",IFERROR(VLOOKUP(D4931,PROVEEDORES!$A:$B,2,0),"!COD NO ENCONTRADO"),"")</f>
        <v/>
      </c>
      <c r="F4931" s="88" t="str">
        <f aca="false">IF(D4931&lt;&gt;"",IFERROR(VLOOKUP(D4931,PROVEEDORES!$A:$C,3,0),""),"")</f>
        <v/>
      </c>
      <c r="G4931" s="87"/>
      <c r="H4931" s="46" t="str">
        <f aca="false">IF(G4931&lt;&gt;"",IFERROR(VLOOKUP(G4931,PRODUCTOS!$A:$B,2,0),"!COD NO ENCONTRADO"),"")</f>
        <v/>
      </c>
      <c r="I4931" s="89"/>
      <c r="J4931" s="90"/>
      <c r="K4931" s="91"/>
      <c r="L4931" s="80" t="str">
        <f aca="false">IF(AND(J4931&lt;&gt;"",K4931&lt;&gt;""),J4931*K4931,"")</f>
        <v/>
      </c>
      <c r="M4931" s="81" t="str">
        <f aca="false">IF(L4931&lt;&gt;"",L4931*1.1,"")</f>
        <v/>
      </c>
      <c r="N4931" s="47" t="n">
        <f aca="false">IF(F4931="S",L4931*0.02,0)</f>
        <v>0</v>
      </c>
      <c r="O4931" s="82" t="str">
        <f aca="false">IF(L4931&lt;&gt;"",L4931+N4931,"")</f>
        <v/>
      </c>
      <c r="P4931" s="47" t="str">
        <f aca="false">IF(O4931&lt;&gt;"",O4931*0.1,"")</f>
        <v/>
      </c>
      <c r="Q4931" s="83" t="str">
        <f aca="false">IF(O4931&lt;&gt;"",O4931+P4931,"")</f>
        <v/>
      </c>
      <c r="R4931" s="84"/>
    </row>
    <row r="4932" customFormat="false" ht="15" hidden="false" customHeight="true" outlineLevel="0" collapsed="false">
      <c r="A4932" s="103"/>
      <c r="B4932" s="73"/>
      <c r="C4932" s="74"/>
      <c r="D4932" s="75"/>
      <c r="E4932" s="52" t="str">
        <f aca="false">IF(D4932&lt;&gt;"",IFERROR(VLOOKUP(D4932,PROVEEDORES!$A:$B,2,0),"!COD NO ENCONTRADO"),"")</f>
        <v/>
      </c>
      <c r="F4932" s="76" t="str">
        <f aca="false">IF(D4932&lt;&gt;"",IFERROR(VLOOKUP(D4932,PROVEEDORES!$A:$C,3,0),""),"")</f>
        <v/>
      </c>
      <c r="G4932" s="75"/>
      <c r="H4932" s="52" t="str">
        <f aca="false">IF(G4932&lt;&gt;"",IFERROR(VLOOKUP(G4932,PRODUCTOS!$A:$B,2,0),"!COD NO ENCONTRADO"),"")</f>
        <v/>
      </c>
      <c r="I4932" s="77"/>
      <c r="J4932" s="78"/>
      <c r="K4932" s="79"/>
      <c r="L4932" s="80" t="str">
        <f aca="false">IF(AND(J4932&lt;&gt;"",K4932&lt;&gt;""),J4932*K4932,"")</f>
        <v/>
      </c>
      <c r="M4932" s="81" t="str">
        <f aca="false">IF(L4932&lt;&gt;"",L4932*1.1,"")</f>
        <v/>
      </c>
      <c r="N4932" s="53" t="n">
        <f aca="false">IF(F4932="S",L4932*0.02,0)</f>
        <v>0</v>
      </c>
      <c r="O4932" s="82" t="str">
        <f aca="false">IF(L4932&lt;&gt;"",L4932+N4932,"")</f>
        <v/>
      </c>
      <c r="P4932" s="53" t="str">
        <f aca="false">IF(O4932&lt;&gt;"",O4932*0.1,"")</f>
        <v/>
      </c>
      <c r="Q4932" s="83" t="str">
        <f aca="false">IF(O4932&lt;&gt;"",O4932+P4932,"")</f>
        <v/>
      </c>
      <c r="R4932" s="84"/>
    </row>
    <row r="4933" customFormat="false" ht="15" hidden="false" customHeight="true" outlineLevel="0" collapsed="false">
      <c r="A4933" s="103"/>
      <c r="B4933" s="85"/>
      <c r="C4933" s="86"/>
      <c r="D4933" s="87"/>
      <c r="E4933" s="46" t="str">
        <f aca="false">IF(D4933&lt;&gt;"",IFERROR(VLOOKUP(D4933,PROVEEDORES!$A:$B,2,0),"!COD NO ENCONTRADO"),"")</f>
        <v/>
      </c>
      <c r="F4933" s="88" t="str">
        <f aca="false">IF(D4933&lt;&gt;"",IFERROR(VLOOKUP(D4933,PROVEEDORES!$A:$C,3,0),""),"")</f>
        <v/>
      </c>
      <c r="G4933" s="87"/>
      <c r="H4933" s="46" t="str">
        <f aca="false">IF(G4933&lt;&gt;"",IFERROR(VLOOKUP(G4933,PRODUCTOS!$A:$B,2,0),"!COD NO ENCONTRADO"),"")</f>
        <v/>
      </c>
      <c r="I4933" s="89"/>
      <c r="J4933" s="90"/>
      <c r="K4933" s="91"/>
      <c r="L4933" s="80" t="str">
        <f aca="false">IF(AND(J4933&lt;&gt;"",K4933&lt;&gt;""),J4933*K4933,"")</f>
        <v/>
      </c>
      <c r="M4933" s="81" t="str">
        <f aca="false">IF(L4933&lt;&gt;"",L4933*1.1,"")</f>
        <v/>
      </c>
      <c r="N4933" s="47" t="n">
        <f aca="false">IF(F4933="S",L4933*0.02,0)</f>
        <v>0</v>
      </c>
      <c r="O4933" s="82" t="str">
        <f aca="false">IF(L4933&lt;&gt;"",L4933+N4933,"")</f>
        <v/>
      </c>
      <c r="P4933" s="47" t="str">
        <f aca="false">IF(O4933&lt;&gt;"",O4933*0.1,"")</f>
        <v/>
      </c>
      <c r="Q4933" s="83" t="str">
        <f aca="false">IF(O4933&lt;&gt;"",O4933+P4933,"")</f>
        <v/>
      </c>
      <c r="R4933" s="84"/>
    </row>
    <row r="4934" customFormat="false" ht="15" hidden="false" customHeight="true" outlineLevel="0" collapsed="false">
      <c r="A4934" s="103"/>
      <c r="B4934" s="73"/>
      <c r="C4934" s="74"/>
      <c r="D4934" s="75"/>
      <c r="E4934" s="52" t="str">
        <f aca="false">IF(D4934&lt;&gt;"",IFERROR(VLOOKUP(D4934,PROVEEDORES!$A:$B,2,0),"!COD NO ENCONTRADO"),"")</f>
        <v/>
      </c>
      <c r="F4934" s="76" t="str">
        <f aca="false">IF(D4934&lt;&gt;"",IFERROR(VLOOKUP(D4934,PROVEEDORES!$A:$C,3,0),""),"")</f>
        <v/>
      </c>
      <c r="G4934" s="75"/>
      <c r="H4934" s="52" t="str">
        <f aca="false">IF(G4934&lt;&gt;"",IFERROR(VLOOKUP(G4934,PRODUCTOS!$A:$B,2,0),"!COD NO ENCONTRADO"),"")</f>
        <v/>
      </c>
      <c r="I4934" s="77"/>
      <c r="J4934" s="78"/>
      <c r="K4934" s="79"/>
      <c r="L4934" s="80" t="str">
        <f aca="false">IF(AND(J4934&lt;&gt;"",K4934&lt;&gt;""),J4934*K4934,"")</f>
        <v/>
      </c>
      <c r="M4934" s="81" t="str">
        <f aca="false">IF(L4934&lt;&gt;"",L4934*1.1,"")</f>
        <v/>
      </c>
      <c r="N4934" s="53" t="n">
        <f aca="false">IF(F4934="S",L4934*0.02,0)</f>
        <v>0</v>
      </c>
      <c r="O4934" s="82" t="str">
        <f aca="false">IF(L4934&lt;&gt;"",L4934+N4934,"")</f>
        <v/>
      </c>
      <c r="P4934" s="53" t="str">
        <f aca="false">IF(O4934&lt;&gt;"",O4934*0.1,"")</f>
        <v/>
      </c>
      <c r="Q4934" s="83" t="str">
        <f aca="false">IF(O4934&lt;&gt;"",O4934+P4934,"")</f>
        <v/>
      </c>
      <c r="R4934" s="84"/>
    </row>
    <row r="4935" customFormat="false" ht="15" hidden="false" customHeight="true" outlineLevel="0" collapsed="false">
      <c r="A4935" s="103"/>
      <c r="B4935" s="85"/>
      <c r="C4935" s="86"/>
      <c r="D4935" s="87"/>
      <c r="E4935" s="46" t="str">
        <f aca="false">IF(D4935&lt;&gt;"",IFERROR(VLOOKUP(D4935,PROVEEDORES!$A:$B,2,0),"!COD NO ENCONTRADO"),"")</f>
        <v/>
      </c>
      <c r="F4935" s="88" t="str">
        <f aca="false">IF(D4935&lt;&gt;"",IFERROR(VLOOKUP(D4935,PROVEEDORES!$A:$C,3,0),""),"")</f>
        <v/>
      </c>
      <c r="G4935" s="87"/>
      <c r="H4935" s="46" t="str">
        <f aca="false">IF(G4935&lt;&gt;"",IFERROR(VLOOKUP(G4935,PRODUCTOS!$A:$B,2,0),"!COD NO ENCONTRADO"),"")</f>
        <v/>
      </c>
      <c r="I4935" s="89"/>
      <c r="J4935" s="90"/>
      <c r="K4935" s="91"/>
      <c r="L4935" s="80" t="str">
        <f aca="false">IF(AND(J4935&lt;&gt;"",K4935&lt;&gt;""),J4935*K4935,"")</f>
        <v/>
      </c>
      <c r="M4935" s="81" t="str">
        <f aca="false">IF(L4935&lt;&gt;"",L4935*1.1,"")</f>
        <v/>
      </c>
      <c r="N4935" s="47" t="n">
        <f aca="false">IF(F4935="S",L4935*0.02,0)</f>
        <v>0</v>
      </c>
      <c r="O4935" s="82" t="str">
        <f aca="false">IF(L4935&lt;&gt;"",L4935+N4935,"")</f>
        <v/>
      </c>
      <c r="P4935" s="47" t="str">
        <f aca="false">IF(O4935&lt;&gt;"",O4935*0.1,"")</f>
        <v/>
      </c>
      <c r="Q4935" s="83" t="str">
        <f aca="false">IF(O4935&lt;&gt;"",O4935+P4935,"")</f>
        <v/>
      </c>
      <c r="R4935" s="84"/>
    </row>
    <row r="4936" customFormat="false" ht="15" hidden="false" customHeight="true" outlineLevel="0" collapsed="false">
      <c r="A4936" s="103"/>
      <c r="B4936" s="73"/>
      <c r="C4936" s="74"/>
      <c r="D4936" s="75"/>
      <c r="E4936" s="52" t="str">
        <f aca="false">IF(D4936&lt;&gt;"",IFERROR(VLOOKUP(D4936,PROVEEDORES!$A:$B,2,0),"!COD NO ENCONTRADO"),"")</f>
        <v/>
      </c>
      <c r="F4936" s="76" t="str">
        <f aca="false">IF(D4936&lt;&gt;"",IFERROR(VLOOKUP(D4936,PROVEEDORES!$A:$C,3,0),""),"")</f>
        <v/>
      </c>
      <c r="G4936" s="75"/>
      <c r="H4936" s="52" t="str">
        <f aca="false">IF(G4936&lt;&gt;"",IFERROR(VLOOKUP(G4936,PRODUCTOS!$A:$B,2,0),"!COD NO ENCONTRADO"),"")</f>
        <v/>
      </c>
      <c r="I4936" s="77"/>
      <c r="J4936" s="78"/>
      <c r="K4936" s="79"/>
      <c r="L4936" s="80" t="str">
        <f aca="false">IF(AND(J4936&lt;&gt;"",K4936&lt;&gt;""),J4936*K4936,"")</f>
        <v/>
      </c>
      <c r="M4936" s="81" t="str">
        <f aca="false">IF(L4936&lt;&gt;"",L4936*1.1,"")</f>
        <v/>
      </c>
      <c r="N4936" s="53" t="n">
        <f aca="false">IF(F4936="S",L4936*0.02,0)</f>
        <v>0</v>
      </c>
      <c r="O4936" s="82" t="str">
        <f aca="false">IF(L4936&lt;&gt;"",L4936+N4936,"")</f>
        <v/>
      </c>
      <c r="P4936" s="53" t="str">
        <f aca="false">IF(O4936&lt;&gt;"",O4936*0.1,"")</f>
        <v/>
      </c>
      <c r="Q4936" s="83" t="str">
        <f aca="false">IF(O4936&lt;&gt;"",O4936+P4936,"")</f>
        <v/>
      </c>
      <c r="R4936" s="84"/>
    </row>
    <row r="4937" customFormat="false" ht="15" hidden="false" customHeight="true" outlineLevel="0" collapsed="false">
      <c r="A4937" s="103"/>
      <c r="B4937" s="85"/>
      <c r="C4937" s="86"/>
      <c r="D4937" s="87"/>
      <c r="E4937" s="46" t="str">
        <f aca="false">IF(D4937&lt;&gt;"",IFERROR(VLOOKUP(D4937,PROVEEDORES!$A:$B,2,0),"!COD NO ENCONTRADO"),"")</f>
        <v/>
      </c>
      <c r="F4937" s="88" t="str">
        <f aca="false">IF(D4937&lt;&gt;"",IFERROR(VLOOKUP(D4937,PROVEEDORES!$A:$C,3,0),""),"")</f>
        <v/>
      </c>
      <c r="G4937" s="87"/>
      <c r="H4937" s="46" t="str">
        <f aca="false">IF(G4937&lt;&gt;"",IFERROR(VLOOKUP(G4937,PRODUCTOS!$A:$B,2,0),"!COD NO ENCONTRADO"),"")</f>
        <v/>
      </c>
      <c r="I4937" s="89"/>
      <c r="J4937" s="90"/>
      <c r="K4937" s="91"/>
      <c r="L4937" s="80" t="str">
        <f aca="false">IF(AND(J4937&lt;&gt;"",K4937&lt;&gt;""),J4937*K4937,"")</f>
        <v/>
      </c>
      <c r="M4937" s="81" t="str">
        <f aca="false">IF(L4937&lt;&gt;"",L4937*1.1,"")</f>
        <v/>
      </c>
      <c r="N4937" s="47" t="n">
        <f aca="false">IF(F4937="S",L4937*0.02,0)</f>
        <v>0</v>
      </c>
      <c r="O4937" s="82" t="str">
        <f aca="false">IF(L4937&lt;&gt;"",L4937+N4937,"")</f>
        <v/>
      </c>
      <c r="P4937" s="47" t="str">
        <f aca="false">IF(O4937&lt;&gt;"",O4937*0.1,"")</f>
        <v/>
      </c>
      <c r="Q4937" s="83" t="str">
        <f aca="false">IF(O4937&lt;&gt;"",O4937+P4937,"")</f>
        <v/>
      </c>
      <c r="R4937" s="84"/>
    </row>
    <row r="4938" customFormat="false" ht="15" hidden="false" customHeight="true" outlineLevel="0" collapsed="false">
      <c r="A4938" s="103"/>
      <c r="B4938" s="73"/>
      <c r="C4938" s="74"/>
      <c r="D4938" s="75"/>
      <c r="E4938" s="52" t="str">
        <f aca="false">IF(D4938&lt;&gt;"",IFERROR(VLOOKUP(D4938,PROVEEDORES!$A:$B,2,0),"!COD NO ENCONTRADO"),"")</f>
        <v/>
      </c>
      <c r="F4938" s="76" t="str">
        <f aca="false">IF(D4938&lt;&gt;"",IFERROR(VLOOKUP(D4938,PROVEEDORES!$A:$C,3,0),""),"")</f>
        <v/>
      </c>
      <c r="G4938" s="75"/>
      <c r="H4938" s="52" t="str">
        <f aca="false">IF(G4938&lt;&gt;"",IFERROR(VLOOKUP(G4938,PRODUCTOS!$A:$B,2,0),"!COD NO ENCONTRADO"),"")</f>
        <v/>
      </c>
      <c r="I4938" s="77"/>
      <c r="J4938" s="78"/>
      <c r="K4938" s="79"/>
      <c r="L4938" s="80" t="str">
        <f aca="false">IF(AND(J4938&lt;&gt;"",K4938&lt;&gt;""),J4938*K4938,"")</f>
        <v/>
      </c>
      <c r="M4938" s="81" t="str">
        <f aca="false">IF(L4938&lt;&gt;"",L4938*1.1,"")</f>
        <v/>
      </c>
      <c r="N4938" s="53" t="n">
        <f aca="false">IF(F4938="S",L4938*0.02,0)</f>
        <v>0</v>
      </c>
      <c r="O4938" s="82" t="str">
        <f aca="false">IF(L4938&lt;&gt;"",L4938+N4938,"")</f>
        <v/>
      </c>
      <c r="P4938" s="53" t="str">
        <f aca="false">IF(O4938&lt;&gt;"",O4938*0.1,"")</f>
        <v/>
      </c>
      <c r="Q4938" s="83" t="str">
        <f aca="false">IF(O4938&lt;&gt;"",O4938+P4938,"")</f>
        <v/>
      </c>
      <c r="R4938" s="84"/>
    </row>
    <row r="4939" customFormat="false" ht="15" hidden="false" customHeight="true" outlineLevel="0" collapsed="false">
      <c r="A4939" s="103"/>
      <c r="B4939" s="85"/>
      <c r="C4939" s="86"/>
      <c r="D4939" s="87"/>
      <c r="E4939" s="46" t="str">
        <f aca="false">IF(D4939&lt;&gt;"",IFERROR(VLOOKUP(D4939,PROVEEDORES!$A:$B,2,0),"!COD NO ENCONTRADO"),"")</f>
        <v/>
      </c>
      <c r="F4939" s="88" t="str">
        <f aca="false">IF(D4939&lt;&gt;"",IFERROR(VLOOKUP(D4939,PROVEEDORES!$A:$C,3,0),""),"")</f>
        <v/>
      </c>
      <c r="G4939" s="87"/>
      <c r="H4939" s="46" t="str">
        <f aca="false">IF(G4939&lt;&gt;"",IFERROR(VLOOKUP(G4939,PRODUCTOS!$A:$B,2,0),"!COD NO ENCONTRADO"),"")</f>
        <v/>
      </c>
      <c r="I4939" s="89"/>
      <c r="J4939" s="90"/>
      <c r="K4939" s="91"/>
      <c r="L4939" s="80" t="str">
        <f aca="false">IF(AND(J4939&lt;&gt;"",K4939&lt;&gt;""),J4939*K4939,"")</f>
        <v/>
      </c>
      <c r="M4939" s="81" t="str">
        <f aca="false">IF(L4939&lt;&gt;"",L4939*1.1,"")</f>
        <v/>
      </c>
      <c r="N4939" s="47" t="n">
        <f aca="false">IF(F4939="S",L4939*0.02,0)</f>
        <v>0</v>
      </c>
      <c r="O4939" s="82" t="str">
        <f aca="false">IF(L4939&lt;&gt;"",L4939+N4939,"")</f>
        <v/>
      </c>
      <c r="P4939" s="47" t="str">
        <f aca="false">IF(O4939&lt;&gt;"",O4939*0.1,"")</f>
        <v/>
      </c>
      <c r="Q4939" s="83" t="str">
        <f aca="false">IF(O4939&lt;&gt;"",O4939+P4939,"")</f>
        <v/>
      </c>
      <c r="R4939" s="84"/>
    </row>
    <row r="4940" customFormat="false" ht="15" hidden="false" customHeight="true" outlineLevel="0" collapsed="false">
      <c r="A4940" s="103"/>
      <c r="B4940" s="73"/>
      <c r="C4940" s="74"/>
      <c r="D4940" s="75"/>
      <c r="E4940" s="52" t="str">
        <f aca="false">IF(D4940&lt;&gt;"",IFERROR(VLOOKUP(D4940,PROVEEDORES!$A:$B,2,0),"!COD NO ENCONTRADO"),"")</f>
        <v/>
      </c>
      <c r="F4940" s="76" t="str">
        <f aca="false">IF(D4940&lt;&gt;"",IFERROR(VLOOKUP(D4940,PROVEEDORES!$A:$C,3,0),""),"")</f>
        <v/>
      </c>
      <c r="G4940" s="75"/>
      <c r="H4940" s="52" t="str">
        <f aca="false">IF(G4940&lt;&gt;"",IFERROR(VLOOKUP(G4940,PRODUCTOS!$A:$B,2,0),"!COD NO ENCONTRADO"),"")</f>
        <v/>
      </c>
      <c r="I4940" s="77"/>
      <c r="J4940" s="78"/>
      <c r="K4940" s="79"/>
      <c r="L4940" s="80" t="str">
        <f aca="false">IF(AND(J4940&lt;&gt;"",K4940&lt;&gt;""),J4940*K4940,"")</f>
        <v/>
      </c>
      <c r="M4940" s="81" t="str">
        <f aca="false">IF(L4940&lt;&gt;"",L4940*1.1,"")</f>
        <v/>
      </c>
      <c r="N4940" s="53" t="n">
        <f aca="false">IF(F4940="S",L4940*0.02,0)</f>
        <v>0</v>
      </c>
      <c r="O4940" s="82" t="str">
        <f aca="false">IF(L4940&lt;&gt;"",L4940+N4940,"")</f>
        <v/>
      </c>
      <c r="P4940" s="53" t="str">
        <f aca="false">IF(O4940&lt;&gt;"",O4940*0.1,"")</f>
        <v/>
      </c>
      <c r="Q4940" s="83" t="str">
        <f aca="false">IF(O4940&lt;&gt;"",O4940+P4940,"")</f>
        <v/>
      </c>
      <c r="R4940" s="84"/>
    </row>
    <row r="4941" customFormat="false" ht="15" hidden="false" customHeight="true" outlineLevel="0" collapsed="false">
      <c r="A4941" s="103"/>
      <c r="B4941" s="85"/>
      <c r="C4941" s="86"/>
      <c r="D4941" s="87"/>
      <c r="E4941" s="46" t="str">
        <f aca="false">IF(D4941&lt;&gt;"",IFERROR(VLOOKUP(D4941,PROVEEDORES!$A:$B,2,0),"!COD NO ENCONTRADO"),"")</f>
        <v/>
      </c>
      <c r="F4941" s="88" t="str">
        <f aca="false">IF(D4941&lt;&gt;"",IFERROR(VLOOKUP(D4941,PROVEEDORES!$A:$C,3,0),""),"")</f>
        <v/>
      </c>
      <c r="G4941" s="87"/>
      <c r="H4941" s="46" t="str">
        <f aca="false">IF(G4941&lt;&gt;"",IFERROR(VLOOKUP(G4941,PRODUCTOS!$A:$B,2,0),"!COD NO ENCONTRADO"),"")</f>
        <v/>
      </c>
      <c r="I4941" s="89"/>
      <c r="J4941" s="90"/>
      <c r="K4941" s="91"/>
      <c r="L4941" s="80" t="str">
        <f aca="false">IF(AND(J4941&lt;&gt;"",K4941&lt;&gt;""),J4941*K4941,"")</f>
        <v/>
      </c>
      <c r="M4941" s="81" t="str">
        <f aca="false">IF(L4941&lt;&gt;"",L4941*1.1,"")</f>
        <v/>
      </c>
      <c r="N4941" s="47" t="n">
        <f aca="false">IF(F4941="S",L4941*0.02,0)</f>
        <v>0</v>
      </c>
      <c r="O4941" s="82" t="str">
        <f aca="false">IF(L4941&lt;&gt;"",L4941+N4941,"")</f>
        <v/>
      </c>
      <c r="P4941" s="47" t="str">
        <f aca="false">IF(O4941&lt;&gt;"",O4941*0.1,"")</f>
        <v/>
      </c>
      <c r="Q4941" s="83" t="str">
        <f aca="false">IF(O4941&lt;&gt;"",O4941+P4941,"")</f>
        <v/>
      </c>
      <c r="R4941" s="84"/>
    </row>
    <row r="4942" customFormat="false" ht="15" hidden="false" customHeight="true" outlineLevel="0" collapsed="false">
      <c r="A4942" s="103"/>
      <c r="B4942" s="73"/>
      <c r="C4942" s="74"/>
      <c r="D4942" s="75"/>
      <c r="E4942" s="52" t="str">
        <f aca="false">IF(D4942&lt;&gt;"",IFERROR(VLOOKUP(D4942,PROVEEDORES!$A:$B,2,0),"!COD NO ENCONTRADO"),"")</f>
        <v/>
      </c>
      <c r="F4942" s="76" t="str">
        <f aca="false">IF(D4942&lt;&gt;"",IFERROR(VLOOKUP(D4942,PROVEEDORES!$A:$C,3,0),""),"")</f>
        <v/>
      </c>
      <c r="G4942" s="75"/>
      <c r="H4942" s="52" t="str">
        <f aca="false">IF(G4942&lt;&gt;"",IFERROR(VLOOKUP(G4942,PRODUCTOS!$A:$B,2,0),"!COD NO ENCONTRADO"),"")</f>
        <v/>
      </c>
      <c r="I4942" s="77"/>
      <c r="J4942" s="78"/>
      <c r="K4942" s="79"/>
      <c r="L4942" s="80" t="str">
        <f aca="false">IF(AND(J4942&lt;&gt;"",K4942&lt;&gt;""),J4942*K4942,"")</f>
        <v/>
      </c>
      <c r="M4942" s="81" t="str">
        <f aca="false">IF(L4942&lt;&gt;"",L4942*1.1,"")</f>
        <v/>
      </c>
      <c r="N4942" s="53" t="n">
        <f aca="false">IF(F4942="S",L4942*0.02,0)</f>
        <v>0</v>
      </c>
      <c r="O4942" s="82" t="str">
        <f aca="false">IF(L4942&lt;&gt;"",L4942+N4942,"")</f>
        <v/>
      </c>
      <c r="P4942" s="53" t="str">
        <f aca="false">IF(O4942&lt;&gt;"",O4942*0.1,"")</f>
        <v/>
      </c>
      <c r="Q4942" s="83" t="str">
        <f aca="false">IF(O4942&lt;&gt;"",O4942+P4942,"")</f>
        <v/>
      </c>
      <c r="R4942" s="84"/>
    </row>
    <row r="4943" customFormat="false" ht="15" hidden="false" customHeight="true" outlineLevel="0" collapsed="false">
      <c r="A4943" s="103"/>
      <c r="B4943" s="85"/>
      <c r="C4943" s="86"/>
      <c r="D4943" s="87"/>
      <c r="E4943" s="46" t="str">
        <f aca="false">IF(D4943&lt;&gt;"",IFERROR(VLOOKUP(D4943,PROVEEDORES!$A:$B,2,0),"!COD NO ENCONTRADO"),"")</f>
        <v/>
      </c>
      <c r="F4943" s="88" t="str">
        <f aca="false">IF(D4943&lt;&gt;"",IFERROR(VLOOKUP(D4943,PROVEEDORES!$A:$C,3,0),""),"")</f>
        <v/>
      </c>
      <c r="G4943" s="87"/>
      <c r="H4943" s="46" t="str">
        <f aca="false">IF(G4943&lt;&gt;"",IFERROR(VLOOKUP(G4943,PRODUCTOS!$A:$B,2,0),"!COD NO ENCONTRADO"),"")</f>
        <v/>
      </c>
      <c r="I4943" s="89"/>
      <c r="J4943" s="90"/>
      <c r="K4943" s="91"/>
      <c r="L4943" s="80" t="str">
        <f aca="false">IF(AND(J4943&lt;&gt;"",K4943&lt;&gt;""),J4943*K4943,"")</f>
        <v/>
      </c>
      <c r="M4943" s="81" t="str">
        <f aca="false">IF(L4943&lt;&gt;"",L4943*1.1,"")</f>
        <v/>
      </c>
      <c r="N4943" s="47" t="n">
        <f aca="false">IF(F4943="S",L4943*0.02,0)</f>
        <v>0</v>
      </c>
      <c r="O4943" s="82" t="str">
        <f aca="false">IF(L4943&lt;&gt;"",L4943+N4943,"")</f>
        <v/>
      </c>
      <c r="P4943" s="47" t="str">
        <f aca="false">IF(O4943&lt;&gt;"",O4943*0.1,"")</f>
        <v/>
      </c>
      <c r="Q4943" s="83" t="str">
        <f aca="false">IF(O4943&lt;&gt;"",O4943+P4943,"")</f>
        <v/>
      </c>
      <c r="R4943" s="84"/>
    </row>
    <row r="4944" customFormat="false" ht="15" hidden="false" customHeight="true" outlineLevel="0" collapsed="false">
      <c r="A4944" s="103"/>
      <c r="B4944" s="73"/>
      <c r="C4944" s="74"/>
      <c r="D4944" s="75"/>
      <c r="E4944" s="52" t="str">
        <f aca="false">IF(D4944&lt;&gt;"",IFERROR(VLOOKUP(D4944,PROVEEDORES!$A:$B,2,0),"!COD NO ENCONTRADO"),"")</f>
        <v/>
      </c>
      <c r="F4944" s="76" t="str">
        <f aca="false">IF(D4944&lt;&gt;"",IFERROR(VLOOKUP(D4944,PROVEEDORES!$A:$C,3,0),""),"")</f>
        <v/>
      </c>
      <c r="G4944" s="75"/>
      <c r="H4944" s="52" t="str">
        <f aca="false">IF(G4944&lt;&gt;"",IFERROR(VLOOKUP(G4944,PRODUCTOS!$A:$B,2,0),"!COD NO ENCONTRADO"),"")</f>
        <v/>
      </c>
      <c r="I4944" s="77"/>
      <c r="J4944" s="78"/>
      <c r="K4944" s="79"/>
      <c r="L4944" s="80" t="str">
        <f aca="false">IF(AND(J4944&lt;&gt;"",K4944&lt;&gt;""),J4944*K4944,"")</f>
        <v/>
      </c>
      <c r="M4944" s="81" t="str">
        <f aca="false">IF(L4944&lt;&gt;"",L4944*1.1,"")</f>
        <v/>
      </c>
      <c r="N4944" s="53" t="n">
        <f aca="false">IF(F4944="S",L4944*0.02,0)</f>
        <v>0</v>
      </c>
      <c r="O4944" s="82" t="str">
        <f aca="false">IF(L4944&lt;&gt;"",L4944+N4944,"")</f>
        <v/>
      </c>
      <c r="P4944" s="53" t="str">
        <f aca="false">IF(O4944&lt;&gt;"",O4944*0.1,"")</f>
        <v/>
      </c>
      <c r="Q4944" s="83" t="str">
        <f aca="false">IF(O4944&lt;&gt;"",O4944+P4944,"")</f>
        <v/>
      </c>
      <c r="R4944" s="84"/>
    </row>
    <row r="4945" customFormat="false" ht="15" hidden="false" customHeight="true" outlineLevel="0" collapsed="false">
      <c r="A4945" s="103"/>
      <c r="B4945" s="85"/>
      <c r="C4945" s="86"/>
      <c r="D4945" s="87"/>
      <c r="E4945" s="46" t="str">
        <f aca="false">IF(D4945&lt;&gt;"",IFERROR(VLOOKUP(D4945,PROVEEDORES!$A:$B,2,0),"!COD NO ENCONTRADO"),"")</f>
        <v/>
      </c>
      <c r="F4945" s="88" t="str">
        <f aca="false">IF(D4945&lt;&gt;"",IFERROR(VLOOKUP(D4945,PROVEEDORES!$A:$C,3,0),""),"")</f>
        <v/>
      </c>
      <c r="G4945" s="87"/>
      <c r="H4945" s="46" t="str">
        <f aca="false">IF(G4945&lt;&gt;"",IFERROR(VLOOKUP(G4945,PRODUCTOS!$A:$B,2,0),"!COD NO ENCONTRADO"),"")</f>
        <v/>
      </c>
      <c r="I4945" s="89"/>
      <c r="J4945" s="90"/>
      <c r="K4945" s="91"/>
      <c r="L4945" s="80" t="str">
        <f aca="false">IF(AND(J4945&lt;&gt;"",K4945&lt;&gt;""),J4945*K4945,"")</f>
        <v/>
      </c>
      <c r="M4945" s="81" t="str">
        <f aca="false">IF(L4945&lt;&gt;"",L4945*1.1,"")</f>
        <v/>
      </c>
      <c r="N4945" s="47" t="n">
        <f aca="false">IF(F4945="S",L4945*0.02,0)</f>
        <v>0</v>
      </c>
      <c r="O4945" s="82" t="str">
        <f aca="false">IF(L4945&lt;&gt;"",L4945+N4945,"")</f>
        <v/>
      </c>
      <c r="P4945" s="47" t="str">
        <f aca="false">IF(O4945&lt;&gt;"",O4945*0.1,"")</f>
        <v/>
      </c>
      <c r="Q4945" s="83" t="str">
        <f aca="false">IF(O4945&lt;&gt;"",O4945+P4945,"")</f>
        <v/>
      </c>
      <c r="R4945" s="84"/>
    </row>
    <row r="4946" customFormat="false" ht="15" hidden="false" customHeight="true" outlineLevel="0" collapsed="false">
      <c r="A4946" s="103"/>
      <c r="B4946" s="73"/>
      <c r="C4946" s="74"/>
      <c r="D4946" s="75"/>
      <c r="E4946" s="52" t="str">
        <f aca="false">IF(D4946&lt;&gt;"",IFERROR(VLOOKUP(D4946,PROVEEDORES!$A:$B,2,0),"!COD NO ENCONTRADO"),"")</f>
        <v/>
      </c>
      <c r="F4946" s="76" t="str">
        <f aca="false">IF(D4946&lt;&gt;"",IFERROR(VLOOKUP(D4946,PROVEEDORES!$A:$C,3,0),""),"")</f>
        <v/>
      </c>
      <c r="G4946" s="75"/>
      <c r="H4946" s="52" t="str">
        <f aca="false">IF(G4946&lt;&gt;"",IFERROR(VLOOKUP(G4946,PRODUCTOS!$A:$B,2,0),"!COD NO ENCONTRADO"),"")</f>
        <v/>
      </c>
      <c r="I4946" s="77"/>
      <c r="J4946" s="78"/>
      <c r="K4946" s="79"/>
      <c r="L4946" s="80" t="str">
        <f aca="false">IF(AND(J4946&lt;&gt;"",K4946&lt;&gt;""),J4946*K4946,"")</f>
        <v/>
      </c>
      <c r="M4946" s="81" t="str">
        <f aca="false">IF(L4946&lt;&gt;"",L4946*1.1,"")</f>
        <v/>
      </c>
      <c r="N4946" s="53" t="n">
        <f aca="false">IF(F4946="S",L4946*0.02,0)</f>
        <v>0</v>
      </c>
      <c r="O4946" s="82" t="str">
        <f aca="false">IF(L4946&lt;&gt;"",L4946+N4946,"")</f>
        <v/>
      </c>
      <c r="P4946" s="53" t="str">
        <f aca="false">IF(O4946&lt;&gt;"",O4946*0.1,"")</f>
        <v/>
      </c>
      <c r="Q4946" s="83" t="str">
        <f aca="false">IF(O4946&lt;&gt;"",O4946+P4946,"")</f>
        <v/>
      </c>
      <c r="R4946" s="84"/>
    </row>
    <row r="4947" customFormat="false" ht="15" hidden="false" customHeight="true" outlineLevel="0" collapsed="false">
      <c r="A4947" s="103"/>
      <c r="B4947" s="85"/>
      <c r="C4947" s="86"/>
      <c r="D4947" s="87"/>
      <c r="E4947" s="46" t="str">
        <f aca="false">IF(D4947&lt;&gt;"",IFERROR(VLOOKUP(D4947,PROVEEDORES!$A:$B,2,0),"!COD NO ENCONTRADO"),"")</f>
        <v/>
      </c>
      <c r="F4947" s="88" t="str">
        <f aca="false">IF(D4947&lt;&gt;"",IFERROR(VLOOKUP(D4947,PROVEEDORES!$A:$C,3,0),""),"")</f>
        <v/>
      </c>
      <c r="G4947" s="87"/>
      <c r="H4947" s="46" t="str">
        <f aca="false">IF(G4947&lt;&gt;"",IFERROR(VLOOKUP(G4947,PRODUCTOS!$A:$B,2,0),"!COD NO ENCONTRADO"),"")</f>
        <v/>
      </c>
      <c r="I4947" s="89"/>
      <c r="J4947" s="90"/>
      <c r="K4947" s="91"/>
      <c r="L4947" s="80" t="str">
        <f aca="false">IF(AND(J4947&lt;&gt;"",K4947&lt;&gt;""),J4947*K4947,"")</f>
        <v/>
      </c>
      <c r="M4947" s="81" t="str">
        <f aca="false">IF(L4947&lt;&gt;"",L4947*1.1,"")</f>
        <v/>
      </c>
      <c r="N4947" s="47" t="n">
        <f aca="false">IF(F4947="S",L4947*0.02,0)</f>
        <v>0</v>
      </c>
      <c r="O4947" s="82" t="str">
        <f aca="false">IF(L4947&lt;&gt;"",L4947+N4947,"")</f>
        <v/>
      </c>
      <c r="P4947" s="47" t="str">
        <f aca="false">IF(O4947&lt;&gt;"",O4947*0.1,"")</f>
        <v/>
      </c>
      <c r="Q4947" s="83" t="str">
        <f aca="false">IF(O4947&lt;&gt;"",O4947+P4947,"")</f>
        <v/>
      </c>
      <c r="R4947" s="84"/>
    </row>
    <row r="4948" customFormat="false" ht="15" hidden="false" customHeight="true" outlineLevel="0" collapsed="false">
      <c r="A4948" s="103"/>
      <c r="B4948" s="73"/>
      <c r="C4948" s="74"/>
      <c r="D4948" s="75"/>
      <c r="E4948" s="52" t="str">
        <f aca="false">IF(D4948&lt;&gt;"",IFERROR(VLOOKUP(D4948,PROVEEDORES!$A:$B,2,0),"!COD NO ENCONTRADO"),"")</f>
        <v/>
      </c>
      <c r="F4948" s="76" t="str">
        <f aca="false">IF(D4948&lt;&gt;"",IFERROR(VLOOKUP(D4948,PROVEEDORES!$A:$C,3,0),""),"")</f>
        <v/>
      </c>
      <c r="G4948" s="75"/>
      <c r="H4948" s="52" t="str">
        <f aca="false">IF(G4948&lt;&gt;"",IFERROR(VLOOKUP(G4948,PRODUCTOS!$A:$B,2,0),"!COD NO ENCONTRADO"),"")</f>
        <v/>
      </c>
      <c r="I4948" s="77"/>
      <c r="J4948" s="78"/>
      <c r="K4948" s="79"/>
      <c r="L4948" s="80" t="str">
        <f aca="false">IF(AND(J4948&lt;&gt;"",K4948&lt;&gt;""),J4948*K4948,"")</f>
        <v/>
      </c>
      <c r="M4948" s="81" t="str">
        <f aca="false">IF(L4948&lt;&gt;"",L4948*1.1,"")</f>
        <v/>
      </c>
      <c r="N4948" s="53" t="n">
        <f aca="false">IF(F4948="S",L4948*0.02,0)</f>
        <v>0</v>
      </c>
      <c r="O4948" s="82" t="str">
        <f aca="false">IF(L4948&lt;&gt;"",L4948+N4948,"")</f>
        <v/>
      </c>
      <c r="P4948" s="53" t="str">
        <f aca="false">IF(O4948&lt;&gt;"",O4948*0.1,"")</f>
        <v/>
      </c>
      <c r="Q4948" s="83" t="str">
        <f aca="false">IF(O4948&lt;&gt;"",O4948+P4948,"")</f>
        <v/>
      </c>
      <c r="R4948" s="84"/>
    </row>
    <row r="4949" customFormat="false" ht="15" hidden="false" customHeight="true" outlineLevel="0" collapsed="false">
      <c r="A4949" s="103"/>
      <c r="B4949" s="85"/>
      <c r="C4949" s="86"/>
      <c r="D4949" s="87"/>
      <c r="E4949" s="46" t="str">
        <f aca="false">IF(D4949&lt;&gt;"",IFERROR(VLOOKUP(D4949,PROVEEDORES!$A:$B,2,0),"!COD NO ENCONTRADO"),"")</f>
        <v/>
      </c>
      <c r="F4949" s="88" t="str">
        <f aca="false">IF(D4949&lt;&gt;"",IFERROR(VLOOKUP(D4949,PROVEEDORES!$A:$C,3,0),""),"")</f>
        <v/>
      </c>
      <c r="G4949" s="87"/>
      <c r="H4949" s="46" t="str">
        <f aca="false">IF(G4949&lt;&gt;"",IFERROR(VLOOKUP(G4949,PRODUCTOS!$A:$B,2,0),"!COD NO ENCONTRADO"),"")</f>
        <v/>
      </c>
      <c r="I4949" s="89"/>
      <c r="J4949" s="90"/>
      <c r="K4949" s="91"/>
      <c r="L4949" s="80" t="str">
        <f aca="false">IF(AND(J4949&lt;&gt;"",K4949&lt;&gt;""),J4949*K4949,"")</f>
        <v/>
      </c>
      <c r="M4949" s="81" t="str">
        <f aca="false">IF(L4949&lt;&gt;"",L4949*1.1,"")</f>
        <v/>
      </c>
      <c r="N4949" s="47" t="n">
        <f aca="false">IF(F4949="S",L4949*0.02,0)</f>
        <v>0</v>
      </c>
      <c r="O4949" s="82" t="str">
        <f aca="false">IF(L4949&lt;&gt;"",L4949+N4949,"")</f>
        <v/>
      </c>
      <c r="P4949" s="47" t="str">
        <f aca="false">IF(O4949&lt;&gt;"",O4949*0.1,"")</f>
        <v/>
      </c>
      <c r="Q4949" s="83" t="str">
        <f aca="false">IF(O4949&lt;&gt;"",O4949+P4949,"")</f>
        <v/>
      </c>
      <c r="R4949" s="84"/>
    </row>
    <row r="4950" customFormat="false" ht="15" hidden="false" customHeight="true" outlineLevel="0" collapsed="false">
      <c r="A4950" s="103"/>
      <c r="B4950" s="73"/>
      <c r="C4950" s="74"/>
      <c r="D4950" s="75"/>
      <c r="E4950" s="52" t="str">
        <f aca="false">IF(D4950&lt;&gt;"",IFERROR(VLOOKUP(D4950,PROVEEDORES!$A:$B,2,0),"!COD NO ENCONTRADO"),"")</f>
        <v/>
      </c>
      <c r="F4950" s="76" t="str">
        <f aca="false">IF(D4950&lt;&gt;"",IFERROR(VLOOKUP(D4950,PROVEEDORES!$A:$C,3,0),""),"")</f>
        <v/>
      </c>
      <c r="G4950" s="75"/>
      <c r="H4950" s="52" t="str">
        <f aca="false">IF(G4950&lt;&gt;"",IFERROR(VLOOKUP(G4950,PRODUCTOS!$A:$B,2,0),"!COD NO ENCONTRADO"),"")</f>
        <v/>
      </c>
      <c r="I4950" s="77"/>
      <c r="J4950" s="78"/>
      <c r="K4950" s="79"/>
      <c r="L4950" s="80" t="str">
        <f aca="false">IF(AND(J4950&lt;&gt;"",K4950&lt;&gt;""),J4950*K4950,"")</f>
        <v/>
      </c>
      <c r="M4950" s="81" t="str">
        <f aca="false">IF(L4950&lt;&gt;"",L4950*1.1,"")</f>
        <v/>
      </c>
      <c r="N4950" s="53" t="n">
        <f aca="false">IF(F4950="S",L4950*0.02,0)</f>
        <v>0</v>
      </c>
      <c r="O4950" s="82" t="str">
        <f aca="false">IF(L4950&lt;&gt;"",L4950+N4950,"")</f>
        <v/>
      </c>
      <c r="P4950" s="53" t="str">
        <f aca="false">IF(O4950&lt;&gt;"",O4950*0.1,"")</f>
        <v/>
      </c>
      <c r="Q4950" s="83" t="str">
        <f aca="false">IF(O4950&lt;&gt;"",O4950+P4950,"")</f>
        <v/>
      </c>
      <c r="R4950" s="84"/>
    </row>
    <row r="4951" customFormat="false" ht="15" hidden="false" customHeight="true" outlineLevel="0" collapsed="false">
      <c r="A4951" s="103"/>
      <c r="B4951" s="85"/>
      <c r="C4951" s="86"/>
      <c r="D4951" s="87"/>
      <c r="E4951" s="46" t="str">
        <f aca="false">IF(D4951&lt;&gt;"",IFERROR(VLOOKUP(D4951,PROVEEDORES!$A:$B,2,0),"!COD NO ENCONTRADO"),"")</f>
        <v/>
      </c>
      <c r="F4951" s="88" t="str">
        <f aca="false">IF(D4951&lt;&gt;"",IFERROR(VLOOKUP(D4951,PROVEEDORES!$A:$C,3,0),""),"")</f>
        <v/>
      </c>
      <c r="G4951" s="87"/>
      <c r="H4951" s="46" t="str">
        <f aca="false">IF(G4951&lt;&gt;"",IFERROR(VLOOKUP(G4951,PRODUCTOS!$A:$B,2,0),"!COD NO ENCONTRADO"),"")</f>
        <v/>
      </c>
      <c r="I4951" s="89"/>
      <c r="J4951" s="90"/>
      <c r="K4951" s="91"/>
      <c r="L4951" s="80" t="str">
        <f aca="false">IF(AND(J4951&lt;&gt;"",K4951&lt;&gt;""),J4951*K4951,"")</f>
        <v/>
      </c>
      <c r="M4951" s="81" t="str">
        <f aca="false">IF(L4951&lt;&gt;"",L4951*1.1,"")</f>
        <v/>
      </c>
      <c r="N4951" s="47" t="n">
        <f aca="false">IF(F4951="S",L4951*0.02,0)</f>
        <v>0</v>
      </c>
      <c r="O4951" s="82" t="str">
        <f aca="false">IF(L4951&lt;&gt;"",L4951+N4951,"")</f>
        <v/>
      </c>
      <c r="P4951" s="47" t="str">
        <f aca="false">IF(O4951&lt;&gt;"",O4951*0.1,"")</f>
        <v/>
      </c>
      <c r="Q4951" s="83" t="str">
        <f aca="false">IF(O4951&lt;&gt;"",O4951+P4951,"")</f>
        <v/>
      </c>
      <c r="R4951" s="84"/>
    </row>
    <row r="4952" customFormat="false" ht="15" hidden="false" customHeight="true" outlineLevel="0" collapsed="false">
      <c r="A4952" s="103"/>
      <c r="B4952" s="73"/>
      <c r="C4952" s="74"/>
      <c r="D4952" s="75"/>
      <c r="E4952" s="52" t="str">
        <f aca="false">IF(D4952&lt;&gt;"",IFERROR(VLOOKUP(D4952,PROVEEDORES!$A:$B,2,0),"!COD NO ENCONTRADO"),"")</f>
        <v/>
      </c>
      <c r="F4952" s="76" t="str">
        <f aca="false">IF(D4952&lt;&gt;"",IFERROR(VLOOKUP(D4952,PROVEEDORES!$A:$C,3,0),""),"")</f>
        <v/>
      </c>
      <c r="G4952" s="75"/>
      <c r="H4952" s="52" t="str">
        <f aca="false">IF(G4952&lt;&gt;"",IFERROR(VLOOKUP(G4952,PRODUCTOS!$A:$B,2,0),"!COD NO ENCONTRADO"),"")</f>
        <v/>
      </c>
      <c r="I4952" s="77"/>
      <c r="J4952" s="78"/>
      <c r="K4952" s="79"/>
      <c r="L4952" s="80" t="str">
        <f aca="false">IF(AND(J4952&lt;&gt;"",K4952&lt;&gt;""),J4952*K4952,"")</f>
        <v/>
      </c>
      <c r="M4952" s="81" t="str">
        <f aca="false">IF(L4952&lt;&gt;"",L4952*1.1,"")</f>
        <v/>
      </c>
      <c r="N4952" s="53" t="n">
        <f aca="false">IF(F4952="S",L4952*0.02,0)</f>
        <v>0</v>
      </c>
      <c r="O4952" s="82" t="str">
        <f aca="false">IF(L4952&lt;&gt;"",L4952+N4952,"")</f>
        <v/>
      </c>
      <c r="P4952" s="53" t="str">
        <f aca="false">IF(O4952&lt;&gt;"",O4952*0.1,"")</f>
        <v/>
      </c>
      <c r="Q4952" s="83" t="str">
        <f aca="false">IF(O4952&lt;&gt;"",O4952+P4952,"")</f>
        <v/>
      </c>
      <c r="R4952" s="84"/>
    </row>
    <row r="4953" customFormat="false" ht="15" hidden="false" customHeight="true" outlineLevel="0" collapsed="false">
      <c r="A4953" s="103"/>
      <c r="B4953" s="85"/>
      <c r="C4953" s="86"/>
      <c r="D4953" s="87"/>
      <c r="E4953" s="46" t="str">
        <f aca="false">IF(D4953&lt;&gt;"",IFERROR(VLOOKUP(D4953,PROVEEDORES!$A:$B,2,0),"!COD NO ENCONTRADO"),"")</f>
        <v/>
      </c>
      <c r="F4953" s="88" t="str">
        <f aca="false">IF(D4953&lt;&gt;"",IFERROR(VLOOKUP(D4953,PROVEEDORES!$A:$C,3,0),""),"")</f>
        <v/>
      </c>
      <c r="G4953" s="87"/>
      <c r="H4953" s="46" t="str">
        <f aca="false">IF(G4953&lt;&gt;"",IFERROR(VLOOKUP(G4953,PRODUCTOS!$A:$B,2,0),"!COD NO ENCONTRADO"),"")</f>
        <v/>
      </c>
      <c r="I4953" s="89"/>
      <c r="J4953" s="90"/>
      <c r="K4953" s="91"/>
      <c r="L4953" s="80" t="str">
        <f aca="false">IF(AND(J4953&lt;&gt;"",K4953&lt;&gt;""),J4953*K4953,"")</f>
        <v/>
      </c>
      <c r="M4953" s="81" t="str">
        <f aca="false">IF(L4953&lt;&gt;"",L4953*1.1,"")</f>
        <v/>
      </c>
      <c r="N4953" s="47" t="n">
        <f aca="false">IF(F4953="S",L4953*0.02,0)</f>
        <v>0</v>
      </c>
      <c r="O4953" s="82" t="str">
        <f aca="false">IF(L4953&lt;&gt;"",L4953+N4953,"")</f>
        <v/>
      </c>
      <c r="P4953" s="47" t="str">
        <f aca="false">IF(O4953&lt;&gt;"",O4953*0.1,"")</f>
        <v/>
      </c>
      <c r="Q4953" s="83" t="str">
        <f aca="false">IF(O4953&lt;&gt;"",O4953+P4953,"")</f>
        <v/>
      </c>
      <c r="R4953" s="84"/>
    </row>
    <row r="4954" customFormat="false" ht="15" hidden="false" customHeight="true" outlineLevel="0" collapsed="false">
      <c r="A4954" s="103"/>
      <c r="B4954" s="73"/>
      <c r="C4954" s="74"/>
      <c r="D4954" s="75"/>
      <c r="E4954" s="52" t="str">
        <f aca="false">IF(D4954&lt;&gt;"",IFERROR(VLOOKUP(D4954,PROVEEDORES!$A:$B,2,0),"!COD NO ENCONTRADO"),"")</f>
        <v/>
      </c>
      <c r="F4954" s="76" t="str">
        <f aca="false">IF(D4954&lt;&gt;"",IFERROR(VLOOKUP(D4954,PROVEEDORES!$A:$C,3,0),""),"")</f>
        <v/>
      </c>
      <c r="G4954" s="75"/>
      <c r="H4954" s="52" t="str">
        <f aca="false">IF(G4954&lt;&gt;"",IFERROR(VLOOKUP(G4954,PRODUCTOS!$A:$B,2,0),"!COD NO ENCONTRADO"),"")</f>
        <v/>
      </c>
      <c r="I4954" s="77"/>
      <c r="J4954" s="78"/>
      <c r="K4954" s="79"/>
      <c r="L4954" s="80" t="str">
        <f aca="false">IF(AND(J4954&lt;&gt;"",K4954&lt;&gt;""),J4954*K4954,"")</f>
        <v/>
      </c>
      <c r="M4954" s="81" t="str">
        <f aca="false">IF(L4954&lt;&gt;"",L4954*1.1,"")</f>
        <v/>
      </c>
      <c r="N4954" s="53" t="n">
        <f aca="false">IF(F4954="S",L4954*0.02,0)</f>
        <v>0</v>
      </c>
      <c r="O4954" s="82" t="str">
        <f aca="false">IF(L4954&lt;&gt;"",L4954+N4954,"")</f>
        <v/>
      </c>
      <c r="P4954" s="53" t="str">
        <f aca="false">IF(O4954&lt;&gt;"",O4954*0.1,"")</f>
        <v/>
      </c>
      <c r="Q4954" s="83" t="str">
        <f aca="false">IF(O4954&lt;&gt;"",O4954+P4954,"")</f>
        <v/>
      </c>
      <c r="R4954" s="84"/>
    </row>
    <row r="4955" customFormat="false" ht="15" hidden="false" customHeight="true" outlineLevel="0" collapsed="false">
      <c r="A4955" s="103"/>
      <c r="B4955" s="85"/>
      <c r="C4955" s="86"/>
      <c r="D4955" s="87"/>
      <c r="E4955" s="46" t="str">
        <f aca="false">IF(D4955&lt;&gt;"",IFERROR(VLOOKUP(D4955,PROVEEDORES!$A:$B,2,0),"!COD NO ENCONTRADO"),"")</f>
        <v/>
      </c>
      <c r="F4955" s="88" t="str">
        <f aca="false">IF(D4955&lt;&gt;"",IFERROR(VLOOKUP(D4955,PROVEEDORES!$A:$C,3,0),""),"")</f>
        <v/>
      </c>
      <c r="G4955" s="87"/>
      <c r="H4955" s="46" t="str">
        <f aca="false">IF(G4955&lt;&gt;"",IFERROR(VLOOKUP(G4955,PRODUCTOS!$A:$B,2,0),"!COD NO ENCONTRADO"),"")</f>
        <v/>
      </c>
      <c r="I4955" s="89"/>
      <c r="J4955" s="90"/>
      <c r="K4955" s="91"/>
      <c r="L4955" s="80" t="str">
        <f aca="false">IF(AND(J4955&lt;&gt;"",K4955&lt;&gt;""),J4955*K4955,"")</f>
        <v/>
      </c>
      <c r="M4955" s="81" t="str">
        <f aca="false">IF(L4955&lt;&gt;"",L4955*1.1,"")</f>
        <v/>
      </c>
      <c r="N4955" s="47" t="n">
        <f aca="false">IF(F4955="S",L4955*0.02,0)</f>
        <v>0</v>
      </c>
      <c r="O4955" s="82" t="str">
        <f aca="false">IF(L4955&lt;&gt;"",L4955+N4955,"")</f>
        <v/>
      </c>
      <c r="P4955" s="47" t="str">
        <f aca="false">IF(O4955&lt;&gt;"",O4955*0.1,"")</f>
        <v/>
      </c>
      <c r="Q4955" s="83" t="str">
        <f aca="false">IF(O4955&lt;&gt;"",O4955+P4955,"")</f>
        <v/>
      </c>
      <c r="R4955" s="84"/>
    </row>
    <row r="4956" customFormat="false" ht="15" hidden="false" customHeight="true" outlineLevel="0" collapsed="false">
      <c r="A4956" s="103"/>
      <c r="B4956" s="73"/>
      <c r="C4956" s="74"/>
      <c r="D4956" s="75"/>
      <c r="E4956" s="52" t="str">
        <f aca="false">IF(D4956&lt;&gt;"",IFERROR(VLOOKUP(D4956,PROVEEDORES!$A:$B,2,0),"!COD NO ENCONTRADO"),"")</f>
        <v/>
      </c>
      <c r="F4956" s="76" t="str">
        <f aca="false">IF(D4956&lt;&gt;"",IFERROR(VLOOKUP(D4956,PROVEEDORES!$A:$C,3,0),""),"")</f>
        <v/>
      </c>
      <c r="G4956" s="75"/>
      <c r="H4956" s="52" t="str">
        <f aca="false">IF(G4956&lt;&gt;"",IFERROR(VLOOKUP(G4956,PRODUCTOS!$A:$B,2,0),"!COD NO ENCONTRADO"),"")</f>
        <v/>
      </c>
      <c r="I4956" s="77"/>
      <c r="J4956" s="78"/>
      <c r="K4956" s="79"/>
      <c r="L4956" s="80" t="str">
        <f aca="false">IF(AND(J4956&lt;&gt;"",K4956&lt;&gt;""),J4956*K4956,"")</f>
        <v/>
      </c>
      <c r="M4956" s="81" t="str">
        <f aca="false">IF(L4956&lt;&gt;"",L4956*1.1,"")</f>
        <v/>
      </c>
      <c r="N4956" s="53" t="n">
        <f aca="false">IF(F4956="S",L4956*0.02,0)</f>
        <v>0</v>
      </c>
      <c r="O4956" s="82" t="str">
        <f aca="false">IF(L4956&lt;&gt;"",L4956+N4956,"")</f>
        <v/>
      </c>
      <c r="P4956" s="53" t="str">
        <f aca="false">IF(O4956&lt;&gt;"",O4956*0.1,"")</f>
        <v/>
      </c>
      <c r="Q4956" s="83" t="str">
        <f aca="false">IF(O4956&lt;&gt;"",O4956+P4956,"")</f>
        <v/>
      </c>
      <c r="R4956" s="84"/>
    </row>
    <row r="4957" customFormat="false" ht="15" hidden="false" customHeight="true" outlineLevel="0" collapsed="false">
      <c r="A4957" s="103"/>
      <c r="B4957" s="85"/>
      <c r="C4957" s="86"/>
      <c r="D4957" s="87"/>
      <c r="E4957" s="46" t="str">
        <f aca="false">IF(D4957&lt;&gt;"",IFERROR(VLOOKUP(D4957,PROVEEDORES!$A:$B,2,0),"!COD NO ENCONTRADO"),"")</f>
        <v/>
      </c>
      <c r="F4957" s="88" t="str">
        <f aca="false">IF(D4957&lt;&gt;"",IFERROR(VLOOKUP(D4957,PROVEEDORES!$A:$C,3,0),""),"")</f>
        <v/>
      </c>
      <c r="G4957" s="87"/>
      <c r="H4957" s="46" t="str">
        <f aca="false">IF(G4957&lt;&gt;"",IFERROR(VLOOKUP(G4957,PRODUCTOS!$A:$B,2,0),"!COD NO ENCONTRADO"),"")</f>
        <v/>
      </c>
      <c r="I4957" s="89"/>
      <c r="J4957" s="90"/>
      <c r="K4957" s="91"/>
      <c r="L4957" s="80" t="str">
        <f aca="false">IF(AND(J4957&lt;&gt;"",K4957&lt;&gt;""),J4957*K4957,"")</f>
        <v/>
      </c>
      <c r="M4957" s="81" t="str">
        <f aca="false">IF(L4957&lt;&gt;"",L4957*1.1,"")</f>
        <v/>
      </c>
      <c r="N4957" s="47" t="n">
        <f aca="false">IF(F4957="S",L4957*0.02,0)</f>
        <v>0</v>
      </c>
      <c r="O4957" s="82" t="str">
        <f aca="false">IF(L4957&lt;&gt;"",L4957+N4957,"")</f>
        <v/>
      </c>
      <c r="P4957" s="47" t="str">
        <f aca="false">IF(O4957&lt;&gt;"",O4957*0.1,"")</f>
        <v/>
      </c>
      <c r="Q4957" s="83" t="str">
        <f aca="false">IF(O4957&lt;&gt;"",O4957+P4957,"")</f>
        <v/>
      </c>
      <c r="R4957" s="84"/>
    </row>
    <row r="4958" customFormat="false" ht="15" hidden="false" customHeight="true" outlineLevel="0" collapsed="false">
      <c r="A4958" s="103"/>
      <c r="B4958" s="73"/>
      <c r="C4958" s="74"/>
      <c r="D4958" s="75"/>
      <c r="E4958" s="52" t="str">
        <f aca="false">IF(D4958&lt;&gt;"",IFERROR(VLOOKUP(D4958,PROVEEDORES!$A:$B,2,0),"!COD NO ENCONTRADO"),"")</f>
        <v/>
      </c>
      <c r="F4958" s="76" t="str">
        <f aca="false">IF(D4958&lt;&gt;"",IFERROR(VLOOKUP(D4958,PROVEEDORES!$A:$C,3,0),""),"")</f>
        <v/>
      </c>
      <c r="G4958" s="75"/>
      <c r="H4958" s="52" t="str">
        <f aca="false">IF(G4958&lt;&gt;"",IFERROR(VLOOKUP(G4958,PRODUCTOS!$A:$B,2,0),"!COD NO ENCONTRADO"),"")</f>
        <v/>
      </c>
      <c r="I4958" s="77"/>
      <c r="J4958" s="78"/>
      <c r="K4958" s="79"/>
      <c r="L4958" s="80" t="str">
        <f aca="false">IF(AND(J4958&lt;&gt;"",K4958&lt;&gt;""),J4958*K4958,"")</f>
        <v/>
      </c>
      <c r="M4958" s="81" t="str">
        <f aca="false">IF(L4958&lt;&gt;"",L4958*1.1,"")</f>
        <v/>
      </c>
      <c r="N4958" s="53" t="n">
        <f aca="false">IF(F4958="S",L4958*0.02,0)</f>
        <v>0</v>
      </c>
      <c r="O4958" s="82" t="str">
        <f aca="false">IF(L4958&lt;&gt;"",L4958+N4958,"")</f>
        <v/>
      </c>
      <c r="P4958" s="53" t="str">
        <f aca="false">IF(O4958&lt;&gt;"",O4958*0.1,"")</f>
        <v/>
      </c>
      <c r="Q4958" s="83" t="str">
        <f aca="false">IF(O4958&lt;&gt;"",O4958+P4958,"")</f>
        <v/>
      </c>
      <c r="R4958" s="84"/>
    </row>
    <row r="4959" customFormat="false" ht="15" hidden="false" customHeight="true" outlineLevel="0" collapsed="false">
      <c r="A4959" s="103"/>
      <c r="B4959" s="85"/>
      <c r="C4959" s="86"/>
      <c r="D4959" s="87"/>
      <c r="E4959" s="46" t="str">
        <f aca="false">IF(D4959&lt;&gt;"",IFERROR(VLOOKUP(D4959,PROVEEDORES!$A:$B,2,0),"!COD NO ENCONTRADO"),"")</f>
        <v/>
      </c>
      <c r="F4959" s="88" t="str">
        <f aca="false">IF(D4959&lt;&gt;"",IFERROR(VLOOKUP(D4959,PROVEEDORES!$A:$C,3,0),""),"")</f>
        <v/>
      </c>
      <c r="G4959" s="87"/>
      <c r="H4959" s="46" t="str">
        <f aca="false">IF(G4959&lt;&gt;"",IFERROR(VLOOKUP(G4959,PRODUCTOS!$A:$B,2,0),"!COD NO ENCONTRADO"),"")</f>
        <v/>
      </c>
      <c r="I4959" s="89"/>
      <c r="J4959" s="90"/>
      <c r="K4959" s="91"/>
      <c r="L4959" s="80" t="str">
        <f aca="false">IF(AND(J4959&lt;&gt;"",K4959&lt;&gt;""),J4959*K4959,"")</f>
        <v/>
      </c>
      <c r="M4959" s="81" t="str">
        <f aca="false">IF(L4959&lt;&gt;"",L4959*1.1,"")</f>
        <v/>
      </c>
      <c r="N4959" s="47" t="n">
        <f aca="false">IF(F4959="S",L4959*0.02,0)</f>
        <v>0</v>
      </c>
      <c r="O4959" s="82" t="str">
        <f aca="false">IF(L4959&lt;&gt;"",L4959+N4959,"")</f>
        <v/>
      </c>
      <c r="P4959" s="47" t="str">
        <f aca="false">IF(O4959&lt;&gt;"",O4959*0.1,"")</f>
        <v/>
      </c>
      <c r="Q4959" s="83" t="str">
        <f aca="false">IF(O4959&lt;&gt;"",O4959+P4959,"")</f>
        <v/>
      </c>
      <c r="R4959" s="84"/>
    </row>
    <row r="4960" customFormat="false" ht="15" hidden="false" customHeight="true" outlineLevel="0" collapsed="false">
      <c r="A4960" s="103"/>
      <c r="B4960" s="73"/>
      <c r="C4960" s="74"/>
      <c r="D4960" s="75"/>
      <c r="E4960" s="52" t="str">
        <f aca="false">IF(D4960&lt;&gt;"",IFERROR(VLOOKUP(D4960,PROVEEDORES!$A:$B,2,0),"!COD NO ENCONTRADO"),"")</f>
        <v/>
      </c>
      <c r="F4960" s="76" t="str">
        <f aca="false">IF(D4960&lt;&gt;"",IFERROR(VLOOKUP(D4960,PROVEEDORES!$A:$C,3,0),""),"")</f>
        <v/>
      </c>
      <c r="G4960" s="75"/>
      <c r="H4960" s="52" t="str">
        <f aca="false">IF(G4960&lt;&gt;"",IFERROR(VLOOKUP(G4960,PRODUCTOS!$A:$B,2,0),"!COD NO ENCONTRADO"),"")</f>
        <v/>
      </c>
      <c r="I4960" s="77"/>
      <c r="J4960" s="78"/>
      <c r="K4960" s="79"/>
      <c r="L4960" s="80" t="str">
        <f aca="false">IF(AND(J4960&lt;&gt;"",K4960&lt;&gt;""),J4960*K4960,"")</f>
        <v/>
      </c>
      <c r="M4960" s="81" t="str">
        <f aca="false">IF(L4960&lt;&gt;"",L4960*1.1,"")</f>
        <v/>
      </c>
      <c r="N4960" s="53" t="n">
        <f aca="false">IF(F4960="S",L4960*0.02,0)</f>
        <v>0</v>
      </c>
      <c r="O4960" s="82" t="str">
        <f aca="false">IF(L4960&lt;&gt;"",L4960+N4960,"")</f>
        <v/>
      </c>
      <c r="P4960" s="53" t="str">
        <f aca="false">IF(O4960&lt;&gt;"",O4960*0.1,"")</f>
        <v/>
      </c>
      <c r="Q4960" s="83" t="str">
        <f aca="false">IF(O4960&lt;&gt;"",O4960+P4960,"")</f>
        <v/>
      </c>
      <c r="R4960" s="84"/>
    </row>
    <row r="4961" customFormat="false" ht="15" hidden="false" customHeight="true" outlineLevel="0" collapsed="false">
      <c r="A4961" s="103"/>
      <c r="B4961" s="85"/>
      <c r="C4961" s="86"/>
      <c r="D4961" s="87"/>
      <c r="E4961" s="46" t="str">
        <f aca="false">IF(D4961&lt;&gt;"",IFERROR(VLOOKUP(D4961,PROVEEDORES!$A:$B,2,0),"!COD NO ENCONTRADO"),"")</f>
        <v/>
      </c>
      <c r="F4961" s="88" t="str">
        <f aca="false">IF(D4961&lt;&gt;"",IFERROR(VLOOKUP(D4961,PROVEEDORES!$A:$C,3,0),""),"")</f>
        <v/>
      </c>
      <c r="G4961" s="87"/>
      <c r="H4961" s="46" t="str">
        <f aca="false">IF(G4961&lt;&gt;"",IFERROR(VLOOKUP(G4961,PRODUCTOS!$A:$B,2,0),"!COD NO ENCONTRADO"),"")</f>
        <v/>
      </c>
      <c r="I4961" s="89"/>
      <c r="J4961" s="90"/>
      <c r="K4961" s="91"/>
      <c r="L4961" s="80" t="str">
        <f aca="false">IF(AND(J4961&lt;&gt;"",K4961&lt;&gt;""),J4961*K4961,"")</f>
        <v/>
      </c>
      <c r="M4961" s="81" t="str">
        <f aca="false">IF(L4961&lt;&gt;"",L4961*1.1,"")</f>
        <v/>
      </c>
      <c r="N4961" s="47" t="n">
        <f aca="false">IF(F4961="S",L4961*0.02,0)</f>
        <v>0</v>
      </c>
      <c r="O4961" s="82" t="str">
        <f aca="false">IF(L4961&lt;&gt;"",L4961+N4961,"")</f>
        <v/>
      </c>
      <c r="P4961" s="47" t="str">
        <f aca="false">IF(O4961&lt;&gt;"",O4961*0.1,"")</f>
        <v/>
      </c>
      <c r="Q4961" s="83" t="str">
        <f aca="false">IF(O4961&lt;&gt;"",O4961+P4961,"")</f>
        <v/>
      </c>
      <c r="R4961" s="84"/>
    </row>
    <row r="4962" customFormat="false" ht="15" hidden="false" customHeight="true" outlineLevel="0" collapsed="false">
      <c r="A4962" s="103"/>
      <c r="B4962" s="73"/>
      <c r="C4962" s="74"/>
      <c r="D4962" s="75"/>
      <c r="E4962" s="52" t="str">
        <f aca="false">IF(D4962&lt;&gt;"",IFERROR(VLOOKUP(D4962,PROVEEDORES!$A:$B,2,0),"!COD NO ENCONTRADO"),"")</f>
        <v/>
      </c>
      <c r="F4962" s="76" t="str">
        <f aca="false">IF(D4962&lt;&gt;"",IFERROR(VLOOKUP(D4962,PROVEEDORES!$A:$C,3,0),""),"")</f>
        <v/>
      </c>
      <c r="G4962" s="75"/>
      <c r="H4962" s="52" t="str">
        <f aca="false">IF(G4962&lt;&gt;"",IFERROR(VLOOKUP(G4962,PRODUCTOS!$A:$B,2,0),"!COD NO ENCONTRADO"),"")</f>
        <v/>
      </c>
      <c r="I4962" s="77"/>
      <c r="J4962" s="78"/>
      <c r="K4962" s="79"/>
      <c r="L4962" s="80" t="str">
        <f aca="false">IF(AND(J4962&lt;&gt;"",K4962&lt;&gt;""),J4962*K4962,"")</f>
        <v/>
      </c>
      <c r="M4962" s="81" t="str">
        <f aca="false">IF(L4962&lt;&gt;"",L4962*1.1,"")</f>
        <v/>
      </c>
      <c r="N4962" s="53" t="n">
        <f aca="false">IF(F4962="S",L4962*0.02,0)</f>
        <v>0</v>
      </c>
      <c r="O4962" s="82" t="str">
        <f aca="false">IF(L4962&lt;&gt;"",L4962+N4962,"")</f>
        <v/>
      </c>
      <c r="P4962" s="53" t="str">
        <f aca="false">IF(O4962&lt;&gt;"",O4962*0.1,"")</f>
        <v/>
      </c>
      <c r="Q4962" s="83" t="str">
        <f aca="false">IF(O4962&lt;&gt;"",O4962+P4962,"")</f>
        <v/>
      </c>
      <c r="R4962" s="84"/>
    </row>
    <row r="4963" customFormat="false" ht="15" hidden="false" customHeight="true" outlineLevel="0" collapsed="false">
      <c r="A4963" s="103"/>
      <c r="B4963" s="85"/>
      <c r="C4963" s="86"/>
      <c r="D4963" s="87"/>
      <c r="E4963" s="46" t="str">
        <f aca="false">IF(D4963&lt;&gt;"",IFERROR(VLOOKUP(D4963,PROVEEDORES!$A:$B,2,0),"!COD NO ENCONTRADO"),"")</f>
        <v/>
      </c>
      <c r="F4963" s="88" t="str">
        <f aca="false">IF(D4963&lt;&gt;"",IFERROR(VLOOKUP(D4963,PROVEEDORES!$A:$C,3,0),""),"")</f>
        <v/>
      </c>
      <c r="G4963" s="87"/>
      <c r="H4963" s="46" t="str">
        <f aca="false">IF(G4963&lt;&gt;"",IFERROR(VLOOKUP(G4963,PRODUCTOS!$A:$B,2,0),"!COD NO ENCONTRADO"),"")</f>
        <v/>
      </c>
      <c r="I4963" s="89"/>
      <c r="J4963" s="90"/>
      <c r="K4963" s="91"/>
      <c r="L4963" s="80" t="str">
        <f aca="false">IF(AND(J4963&lt;&gt;"",K4963&lt;&gt;""),J4963*K4963,"")</f>
        <v/>
      </c>
      <c r="M4963" s="81" t="str">
        <f aca="false">IF(L4963&lt;&gt;"",L4963*1.1,"")</f>
        <v/>
      </c>
      <c r="N4963" s="47" t="n">
        <f aca="false">IF(F4963="S",L4963*0.02,0)</f>
        <v>0</v>
      </c>
      <c r="O4963" s="82" t="str">
        <f aca="false">IF(L4963&lt;&gt;"",L4963+N4963,"")</f>
        <v/>
      </c>
      <c r="P4963" s="47" t="str">
        <f aca="false">IF(O4963&lt;&gt;"",O4963*0.1,"")</f>
        <v/>
      </c>
      <c r="Q4963" s="83" t="str">
        <f aca="false">IF(O4963&lt;&gt;"",O4963+P4963,"")</f>
        <v/>
      </c>
      <c r="R4963" s="84"/>
    </row>
    <row r="4964" customFormat="false" ht="15" hidden="false" customHeight="true" outlineLevel="0" collapsed="false">
      <c r="A4964" s="103"/>
      <c r="B4964" s="73"/>
      <c r="C4964" s="74"/>
      <c r="D4964" s="75"/>
      <c r="E4964" s="52" t="str">
        <f aca="false">IF(D4964&lt;&gt;"",IFERROR(VLOOKUP(D4964,PROVEEDORES!$A:$B,2,0),"!COD NO ENCONTRADO"),"")</f>
        <v/>
      </c>
      <c r="F4964" s="76" t="str">
        <f aca="false">IF(D4964&lt;&gt;"",IFERROR(VLOOKUP(D4964,PROVEEDORES!$A:$C,3,0),""),"")</f>
        <v/>
      </c>
      <c r="G4964" s="75"/>
      <c r="H4964" s="52" t="str">
        <f aca="false">IF(G4964&lt;&gt;"",IFERROR(VLOOKUP(G4964,PRODUCTOS!$A:$B,2,0),"!COD NO ENCONTRADO"),"")</f>
        <v/>
      </c>
      <c r="I4964" s="77"/>
      <c r="J4964" s="78"/>
      <c r="K4964" s="79"/>
      <c r="L4964" s="80" t="str">
        <f aca="false">IF(AND(J4964&lt;&gt;"",K4964&lt;&gt;""),J4964*K4964,"")</f>
        <v/>
      </c>
      <c r="M4964" s="81" t="str">
        <f aca="false">IF(L4964&lt;&gt;"",L4964*1.1,"")</f>
        <v/>
      </c>
      <c r="N4964" s="53" t="n">
        <f aca="false">IF(F4964="S",L4964*0.02,0)</f>
        <v>0</v>
      </c>
      <c r="O4964" s="82" t="str">
        <f aca="false">IF(L4964&lt;&gt;"",L4964+N4964,"")</f>
        <v/>
      </c>
      <c r="P4964" s="53" t="str">
        <f aca="false">IF(O4964&lt;&gt;"",O4964*0.1,"")</f>
        <v/>
      </c>
      <c r="Q4964" s="83" t="str">
        <f aca="false">IF(O4964&lt;&gt;"",O4964+P4964,"")</f>
        <v/>
      </c>
      <c r="R4964" s="84"/>
    </row>
    <row r="4965" customFormat="false" ht="15" hidden="false" customHeight="true" outlineLevel="0" collapsed="false">
      <c r="A4965" s="103"/>
      <c r="B4965" s="85"/>
      <c r="C4965" s="86"/>
      <c r="D4965" s="87"/>
      <c r="E4965" s="46" t="str">
        <f aca="false">IF(D4965&lt;&gt;"",IFERROR(VLOOKUP(D4965,PROVEEDORES!$A:$B,2,0),"!COD NO ENCONTRADO"),"")</f>
        <v/>
      </c>
      <c r="F4965" s="88" t="str">
        <f aca="false">IF(D4965&lt;&gt;"",IFERROR(VLOOKUP(D4965,PROVEEDORES!$A:$C,3,0),""),"")</f>
        <v/>
      </c>
      <c r="G4965" s="87"/>
      <c r="H4965" s="46" t="str">
        <f aca="false">IF(G4965&lt;&gt;"",IFERROR(VLOOKUP(G4965,PRODUCTOS!$A:$B,2,0),"!COD NO ENCONTRADO"),"")</f>
        <v/>
      </c>
      <c r="I4965" s="89"/>
      <c r="J4965" s="90"/>
      <c r="K4965" s="91"/>
      <c r="L4965" s="80" t="str">
        <f aca="false">IF(AND(J4965&lt;&gt;"",K4965&lt;&gt;""),J4965*K4965,"")</f>
        <v/>
      </c>
      <c r="M4965" s="81" t="str">
        <f aca="false">IF(L4965&lt;&gt;"",L4965*1.1,"")</f>
        <v/>
      </c>
      <c r="N4965" s="47" t="n">
        <f aca="false">IF(F4965="S",L4965*0.02,0)</f>
        <v>0</v>
      </c>
      <c r="O4965" s="82" t="str">
        <f aca="false">IF(L4965&lt;&gt;"",L4965+N4965,"")</f>
        <v/>
      </c>
      <c r="P4965" s="47" t="str">
        <f aca="false">IF(O4965&lt;&gt;"",O4965*0.1,"")</f>
        <v/>
      </c>
      <c r="Q4965" s="83" t="str">
        <f aca="false">IF(O4965&lt;&gt;"",O4965+P4965,"")</f>
        <v/>
      </c>
      <c r="R4965" s="84"/>
    </row>
    <row r="4966" customFormat="false" ht="15" hidden="false" customHeight="true" outlineLevel="0" collapsed="false">
      <c r="A4966" s="103"/>
      <c r="B4966" s="73"/>
      <c r="C4966" s="74"/>
      <c r="D4966" s="75"/>
      <c r="E4966" s="52" t="str">
        <f aca="false">IF(D4966&lt;&gt;"",IFERROR(VLOOKUP(D4966,PROVEEDORES!$A:$B,2,0),"!COD NO ENCONTRADO"),"")</f>
        <v/>
      </c>
      <c r="F4966" s="76" t="str">
        <f aca="false">IF(D4966&lt;&gt;"",IFERROR(VLOOKUP(D4966,PROVEEDORES!$A:$C,3,0),""),"")</f>
        <v/>
      </c>
      <c r="G4966" s="75"/>
      <c r="H4966" s="52" t="str">
        <f aca="false">IF(G4966&lt;&gt;"",IFERROR(VLOOKUP(G4966,PRODUCTOS!$A:$B,2,0),"!COD NO ENCONTRADO"),"")</f>
        <v/>
      </c>
      <c r="I4966" s="77"/>
      <c r="J4966" s="78"/>
      <c r="K4966" s="79"/>
      <c r="L4966" s="80" t="str">
        <f aca="false">IF(AND(J4966&lt;&gt;"",K4966&lt;&gt;""),J4966*K4966,"")</f>
        <v/>
      </c>
      <c r="M4966" s="81" t="str">
        <f aca="false">IF(L4966&lt;&gt;"",L4966*1.1,"")</f>
        <v/>
      </c>
      <c r="N4966" s="53" t="n">
        <f aca="false">IF(F4966="S",L4966*0.02,0)</f>
        <v>0</v>
      </c>
      <c r="O4966" s="82" t="str">
        <f aca="false">IF(L4966&lt;&gt;"",L4966+N4966,"")</f>
        <v/>
      </c>
      <c r="P4966" s="53" t="str">
        <f aca="false">IF(O4966&lt;&gt;"",O4966*0.1,"")</f>
        <v/>
      </c>
      <c r="Q4966" s="83" t="str">
        <f aca="false">IF(O4966&lt;&gt;"",O4966+P4966,"")</f>
        <v/>
      </c>
      <c r="R4966" s="84"/>
    </row>
    <row r="4967" customFormat="false" ht="15" hidden="false" customHeight="true" outlineLevel="0" collapsed="false">
      <c r="A4967" s="103"/>
      <c r="B4967" s="85"/>
      <c r="C4967" s="86"/>
      <c r="D4967" s="87"/>
      <c r="E4967" s="46" t="str">
        <f aca="false">IF(D4967&lt;&gt;"",IFERROR(VLOOKUP(D4967,PROVEEDORES!$A:$B,2,0),"!COD NO ENCONTRADO"),"")</f>
        <v/>
      </c>
      <c r="F4967" s="88" t="str">
        <f aca="false">IF(D4967&lt;&gt;"",IFERROR(VLOOKUP(D4967,PROVEEDORES!$A:$C,3,0),""),"")</f>
        <v/>
      </c>
      <c r="G4967" s="87"/>
      <c r="H4967" s="46" t="str">
        <f aca="false">IF(G4967&lt;&gt;"",IFERROR(VLOOKUP(G4967,PRODUCTOS!$A:$B,2,0),"!COD NO ENCONTRADO"),"")</f>
        <v/>
      </c>
      <c r="I4967" s="89"/>
      <c r="J4967" s="90"/>
      <c r="K4967" s="91"/>
      <c r="L4967" s="80" t="str">
        <f aca="false">IF(AND(J4967&lt;&gt;"",K4967&lt;&gt;""),J4967*K4967,"")</f>
        <v/>
      </c>
      <c r="M4967" s="81" t="str">
        <f aca="false">IF(L4967&lt;&gt;"",L4967*1.1,"")</f>
        <v/>
      </c>
      <c r="N4967" s="47" t="n">
        <f aca="false">IF(F4967="S",L4967*0.02,0)</f>
        <v>0</v>
      </c>
      <c r="O4967" s="82" t="str">
        <f aca="false">IF(L4967&lt;&gt;"",L4967+N4967,"")</f>
        <v/>
      </c>
      <c r="P4967" s="47" t="str">
        <f aca="false">IF(O4967&lt;&gt;"",O4967*0.1,"")</f>
        <v/>
      </c>
      <c r="Q4967" s="83" t="str">
        <f aca="false">IF(O4967&lt;&gt;"",O4967+P4967,"")</f>
        <v/>
      </c>
      <c r="R4967" s="84"/>
    </row>
    <row r="4968" customFormat="false" ht="15" hidden="false" customHeight="true" outlineLevel="0" collapsed="false">
      <c r="A4968" s="103"/>
      <c r="B4968" s="73"/>
      <c r="C4968" s="74"/>
      <c r="D4968" s="75"/>
      <c r="E4968" s="52" t="str">
        <f aca="false">IF(D4968&lt;&gt;"",IFERROR(VLOOKUP(D4968,PROVEEDORES!$A:$B,2,0),"!COD NO ENCONTRADO"),"")</f>
        <v/>
      </c>
      <c r="F4968" s="76" t="str">
        <f aca="false">IF(D4968&lt;&gt;"",IFERROR(VLOOKUP(D4968,PROVEEDORES!$A:$C,3,0),""),"")</f>
        <v/>
      </c>
      <c r="G4968" s="75"/>
      <c r="H4968" s="52" t="str">
        <f aca="false">IF(G4968&lt;&gt;"",IFERROR(VLOOKUP(G4968,PRODUCTOS!$A:$B,2,0),"!COD NO ENCONTRADO"),"")</f>
        <v/>
      </c>
      <c r="I4968" s="77"/>
      <c r="J4968" s="78"/>
      <c r="K4968" s="79"/>
      <c r="L4968" s="80" t="str">
        <f aca="false">IF(AND(J4968&lt;&gt;"",K4968&lt;&gt;""),J4968*K4968,"")</f>
        <v/>
      </c>
      <c r="M4968" s="81" t="str">
        <f aca="false">IF(L4968&lt;&gt;"",L4968*1.1,"")</f>
        <v/>
      </c>
      <c r="N4968" s="53" t="n">
        <f aca="false">IF(F4968="S",L4968*0.02,0)</f>
        <v>0</v>
      </c>
      <c r="O4968" s="82" t="str">
        <f aca="false">IF(L4968&lt;&gt;"",L4968+N4968,"")</f>
        <v/>
      </c>
      <c r="P4968" s="53" t="str">
        <f aca="false">IF(O4968&lt;&gt;"",O4968*0.1,"")</f>
        <v/>
      </c>
      <c r="Q4968" s="83" t="str">
        <f aca="false">IF(O4968&lt;&gt;"",O4968+P4968,"")</f>
        <v/>
      </c>
      <c r="R4968" s="84"/>
    </row>
    <row r="4969" customFormat="false" ht="15" hidden="false" customHeight="true" outlineLevel="0" collapsed="false">
      <c r="A4969" s="103"/>
      <c r="B4969" s="85"/>
      <c r="C4969" s="86"/>
      <c r="D4969" s="87"/>
      <c r="E4969" s="46" t="str">
        <f aca="false">IF(D4969&lt;&gt;"",IFERROR(VLOOKUP(D4969,PROVEEDORES!$A:$B,2,0),"!COD NO ENCONTRADO"),"")</f>
        <v/>
      </c>
      <c r="F4969" s="88" t="str">
        <f aca="false">IF(D4969&lt;&gt;"",IFERROR(VLOOKUP(D4969,PROVEEDORES!$A:$C,3,0),""),"")</f>
        <v/>
      </c>
      <c r="G4969" s="87"/>
      <c r="H4969" s="46" t="str">
        <f aca="false">IF(G4969&lt;&gt;"",IFERROR(VLOOKUP(G4969,PRODUCTOS!$A:$B,2,0),"!COD NO ENCONTRADO"),"")</f>
        <v/>
      </c>
      <c r="I4969" s="89"/>
      <c r="J4969" s="90"/>
      <c r="K4969" s="91"/>
      <c r="L4969" s="80" t="str">
        <f aca="false">IF(AND(J4969&lt;&gt;"",K4969&lt;&gt;""),J4969*K4969,"")</f>
        <v/>
      </c>
      <c r="M4969" s="81" t="str">
        <f aca="false">IF(L4969&lt;&gt;"",L4969*1.1,"")</f>
        <v/>
      </c>
      <c r="N4969" s="47" t="n">
        <f aca="false">IF(F4969="S",L4969*0.02,0)</f>
        <v>0</v>
      </c>
      <c r="O4969" s="82" t="str">
        <f aca="false">IF(L4969&lt;&gt;"",L4969+N4969,"")</f>
        <v/>
      </c>
      <c r="P4969" s="47" t="str">
        <f aca="false">IF(O4969&lt;&gt;"",O4969*0.1,"")</f>
        <v/>
      </c>
      <c r="Q4969" s="83" t="str">
        <f aca="false">IF(O4969&lt;&gt;"",O4969+P4969,"")</f>
        <v/>
      </c>
      <c r="R4969" s="84"/>
    </row>
    <row r="4970" customFormat="false" ht="15" hidden="false" customHeight="true" outlineLevel="0" collapsed="false">
      <c r="A4970" s="103"/>
      <c r="B4970" s="73"/>
      <c r="C4970" s="74"/>
      <c r="D4970" s="75"/>
      <c r="E4970" s="52" t="str">
        <f aca="false">IF(D4970&lt;&gt;"",IFERROR(VLOOKUP(D4970,PROVEEDORES!$A:$B,2,0),"!COD NO ENCONTRADO"),"")</f>
        <v/>
      </c>
      <c r="F4970" s="76" t="str">
        <f aca="false">IF(D4970&lt;&gt;"",IFERROR(VLOOKUP(D4970,PROVEEDORES!$A:$C,3,0),""),"")</f>
        <v/>
      </c>
      <c r="G4970" s="75"/>
      <c r="H4970" s="52" t="str">
        <f aca="false">IF(G4970&lt;&gt;"",IFERROR(VLOOKUP(G4970,PRODUCTOS!$A:$B,2,0),"!COD NO ENCONTRADO"),"")</f>
        <v/>
      </c>
      <c r="I4970" s="77"/>
      <c r="J4970" s="78"/>
      <c r="K4970" s="79"/>
      <c r="L4970" s="80" t="str">
        <f aca="false">IF(AND(J4970&lt;&gt;"",K4970&lt;&gt;""),J4970*K4970,"")</f>
        <v/>
      </c>
      <c r="M4970" s="81" t="str">
        <f aca="false">IF(L4970&lt;&gt;"",L4970*1.1,"")</f>
        <v/>
      </c>
      <c r="N4970" s="53" t="n">
        <f aca="false">IF(F4970="S",L4970*0.02,0)</f>
        <v>0</v>
      </c>
      <c r="O4970" s="82" t="str">
        <f aca="false">IF(L4970&lt;&gt;"",L4970+N4970,"")</f>
        <v/>
      </c>
      <c r="P4970" s="53" t="str">
        <f aca="false">IF(O4970&lt;&gt;"",O4970*0.1,"")</f>
        <v/>
      </c>
      <c r="Q4970" s="83" t="str">
        <f aca="false">IF(O4970&lt;&gt;"",O4970+P4970,"")</f>
        <v/>
      </c>
      <c r="R4970" s="84"/>
    </row>
    <row r="4971" customFormat="false" ht="15" hidden="false" customHeight="true" outlineLevel="0" collapsed="false">
      <c r="A4971" s="103"/>
      <c r="B4971" s="85"/>
      <c r="C4971" s="86"/>
      <c r="D4971" s="87"/>
      <c r="E4971" s="46" t="str">
        <f aca="false">IF(D4971&lt;&gt;"",IFERROR(VLOOKUP(D4971,PROVEEDORES!$A:$B,2,0),"!COD NO ENCONTRADO"),"")</f>
        <v/>
      </c>
      <c r="F4971" s="88" t="str">
        <f aca="false">IF(D4971&lt;&gt;"",IFERROR(VLOOKUP(D4971,PROVEEDORES!$A:$C,3,0),""),"")</f>
        <v/>
      </c>
      <c r="G4971" s="87"/>
      <c r="H4971" s="46" t="str">
        <f aca="false">IF(G4971&lt;&gt;"",IFERROR(VLOOKUP(G4971,PRODUCTOS!$A:$B,2,0),"!COD NO ENCONTRADO"),"")</f>
        <v/>
      </c>
      <c r="I4971" s="89"/>
      <c r="J4971" s="90"/>
      <c r="K4971" s="91"/>
      <c r="L4971" s="80" t="str">
        <f aca="false">IF(AND(J4971&lt;&gt;"",K4971&lt;&gt;""),J4971*K4971,"")</f>
        <v/>
      </c>
      <c r="M4971" s="81" t="str">
        <f aca="false">IF(L4971&lt;&gt;"",L4971*1.1,"")</f>
        <v/>
      </c>
      <c r="N4971" s="47" t="n">
        <f aca="false">IF(F4971="S",L4971*0.02,0)</f>
        <v>0</v>
      </c>
      <c r="O4971" s="82" t="str">
        <f aca="false">IF(L4971&lt;&gt;"",L4971+N4971,"")</f>
        <v/>
      </c>
      <c r="P4971" s="47" t="str">
        <f aca="false">IF(O4971&lt;&gt;"",O4971*0.1,"")</f>
        <v/>
      </c>
      <c r="Q4971" s="83" t="str">
        <f aca="false">IF(O4971&lt;&gt;"",O4971+P4971,"")</f>
        <v/>
      </c>
      <c r="R4971" s="84"/>
    </row>
    <row r="4972" customFormat="false" ht="15" hidden="false" customHeight="true" outlineLevel="0" collapsed="false">
      <c r="A4972" s="103"/>
      <c r="B4972" s="73"/>
      <c r="C4972" s="74"/>
      <c r="D4972" s="75"/>
      <c r="E4972" s="52" t="str">
        <f aca="false">IF(D4972&lt;&gt;"",IFERROR(VLOOKUP(D4972,PROVEEDORES!$A:$B,2,0),"!COD NO ENCONTRADO"),"")</f>
        <v/>
      </c>
      <c r="F4972" s="76" t="str">
        <f aca="false">IF(D4972&lt;&gt;"",IFERROR(VLOOKUP(D4972,PROVEEDORES!$A:$C,3,0),""),"")</f>
        <v/>
      </c>
      <c r="G4972" s="75"/>
      <c r="H4972" s="52" t="str">
        <f aca="false">IF(G4972&lt;&gt;"",IFERROR(VLOOKUP(G4972,PRODUCTOS!$A:$B,2,0),"!COD NO ENCONTRADO"),"")</f>
        <v/>
      </c>
      <c r="I4972" s="77"/>
      <c r="J4972" s="78"/>
      <c r="K4972" s="79"/>
      <c r="L4972" s="80" t="str">
        <f aca="false">IF(AND(J4972&lt;&gt;"",K4972&lt;&gt;""),J4972*K4972,"")</f>
        <v/>
      </c>
      <c r="M4972" s="81" t="str">
        <f aca="false">IF(L4972&lt;&gt;"",L4972*1.1,"")</f>
        <v/>
      </c>
      <c r="N4972" s="53" t="n">
        <f aca="false">IF(F4972="S",L4972*0.02,0)</f>
        <v>0</v>
      </c>
      <c r="O4972" s="82" t="str">
        <f aca="false">IF(L4972&lt;&gt;"",L4972+N4972,"")</f>
        <v/>
      </c>
      <c r="P4972" s="53" t="str">
        <f aca="false">IF(O4972&lt;&gt;"",O4972*0.1,"")</f>
        <v/>
      </c>
      <c r="Q4972" s="83" t="str">
        <f aca="false">IF(O4972&lt;&gt;"",O4972+P4972,"")</f>
        <v/>
      </c>
      <c r="R4972" s="84"/>
    </row>
    <row r="4973" customFormat="false" ht="15" hidden="false" customHeight="true" outlineLevel="0" collapsed="false">
      <c r="A4973" s="103"/>
      <c r="B4973" s="85"/>
      <c r="C4973" s="86"/>
      <c r="D4973" s="87"/>
      <c r="E4973" s="46" t="str">
        <f aca="false">IF(D4973&lt;&gt;"",IFERROR(VLOOKUP(D4973,PROVEEDORES!$A:$B,2,0),"!COD NO ENCONTRADO"),"")</f>
        <v/>
      </c>
      <c r="F4973" s="88" t="str">
        <f aca="false">IF(D4973&lt;&gt;"",IFERROR(VLOOKUP(D4973,PROVEEDORES!$A:$C,3,0),""),"")</f>
        <v/>
      </c>
      <c r="G4973" s="87"/>
      <c r="H4973" s="46" t="str">
        <f aca="false">IF(G4973&lt;&gt;"",IFERROR(VLOOKUP(G4973,PRODUCTOS!$A:$B,2,0),"!COD NO ENCONTRADO"),"")</f>
        <v/>
      </c>
      <c r="I4973" s="89"/>
      <c r="J4973" s="90"/>
      <c r="K4973" s="91"/>
      <c r="L4973" s="80" t="str">
        <f aca="false">IF(AND(J4973&lt;&gt;"",K4973&lt;&gt;""),J4973*K4973,"")</f>
        <v/>
      </c>
      <c r="M4973" s="81" t="str">
        <f aca="false">IF(L4973&lt;&gt;"",L4973*1.1,"")</f>
        <v/>
      </c>
      <c r="N4973" s="47" t="n">
        <f aca="false">IF(F4973="S",L4973*0.02,0)</f>
        <v>0</v>
      </c>
      <c r="O4973" s="82" t="str">
        <f aca="false">IF(L4973&lt;&gt;"",L4973+N4973,"")</f>
        <v/>
      </c>
      <c r="P4973" s="47" t="str">
        <f aca="false">IF(O4973&lt;&gt;"",O4973*0.1,"")</f>
        <v/>
      </c>
      <c r="Q4973" s="83" t="str">
        <f aca="false">IF(O4973&lt;&gt;"",O4973+P4973,"")</f>
        <v/>
      </c>
      <c r="R4973" s="84"/>
    </row>
    <row r="4974" customFormat="false" ht="15" hidden="false" customHeight="true" outlineLevel="0" collapsed="false">
      <c r="A4974" s="103"/>
      <c r="B4974" s="73"/>
      <c r="C4974" s="74"/>
      <c r="D4974" s="75"/>
      <c r="E4974" s="52" t="str">
        <f aca="false">IF(D4974&lt;&gt;"",IFERROR(VLOOKUP(D4974,PROVEEDORES!$A:$B,2,0),"!COD NO ENCONTRADO"),"")</f>
        <v/>
      </c>
      <c r="F4974" s="76" t="str">
        <f aca="false">IF(D4974&lt;&gt;"",IFERROR(VLOOKUP(D4974,PROVEEDORES!$A:$C,3,0),""),"")</f>
        <v/>
      </c>
      <c r="G4974" s="75"/>
      <c r="H4974" s="52" t="str">
        <f aca="false">IF(G4974&lt;&gt;"",IFERROR(VLOOKUP(G4974,PRODUCTOS!$A:$B,2,0),"!COD NO ENCONTRADO"),"")</f>
        <v/>
      </c>
      <c r="I4974" s="77"/>
      <c r="J4974" s="78"/>
      <c r="K4974" s="79"/>
      <c r="L4974" s="80" t="str">
        <f aca="false">IF(AND(J4974&lt;&gt;"",K4974&lt;&gt;""),J4974*K4974,"")</f>
        <v/>
      </c>
      <c r="M4974" s="81" t="str">
        <f aca="false">IF(L4974&lt;&gt;"",L4974*1.1,"")</f>
        <v/>
      </c>
      <c r="N4974" s="53" t="n">
        <f aca="false">IF(F4974="S",L4974*0.02,0)</f>
        <v>0</v>
      </c>
      <c r="O4974" s="82" t="str">
        <f aca="false">IF(L4974&lt;&gt;"",L4974+N4974,"")</f>
        <v/>
      </c>
      <c r="P4974" s="53" t="str">
        <f aca="false">IF(O4974&lt;&gt;"",O4974*0.1,"")</f>
        <v/>
      </c>
      <c r="Q4974" s="83" t="str">
        <f aca="false">IF(O4974&lt;&gt;"",O4974+P4974,"")</f>
        <v/>
      </c>
      <c r="R4974" s="84"/>
    </row>
    <row r="4975" customFormat="false" ht="15" hidden="false" customHeight="true" outlineLevel="0" collapsed="false">
      <c r="A4975" s="103"/>
      <c r="B4975" s="85"/>
      <c r="C4975" s="86"/>
      <c r="D4975" s="87"/>
      <c r="E4975" s="46" t="str">
        <f aca="false">IF(D4975&lt;&gt;"",IFERROR(VLOOKUP(D4975,PROVEEDORES!$A:$B,2,0),"!COD NO ENCONTRADO"),"")</f>
        <v/>
      </c>
      <c r="F4975" s="88" t="str">
        <f aca="false">IF(D4975&lt;&gt;"",IFERROR(VLOOKUP(D4975,PROVEEDORES!$A:$C,3,0),""),"")</f>
        <v/>
      </c>
      <c r="G4975" s="87"/>
      <c r="H4975" s="46" t="str">
        <f aca="false">IF(G4975&lt;&gt;"",IFERROR(VLOOKUP(G4975,PRODUCTOS!$A:$B,2,0),"!COD NO ENCONTRADO"),"")</f>
        <v/>
      </c>
      <c r="I4975" s="89"/>
      <c r="J4975" s="90"/>
      <c r="K4975" s="91"/>
      <c r="L4975" s="80" t="str">
        <f aca="false">IF(AND(J4975&lt;&gt;"",K4975&lt;&gt;""),J4975*K4975,"")</f>
        <v/>
      </c>
      <c r="M4975" s="81" t="str">
        <f aca="false">IF(L4975&lt;&gt;"",L4975*1.1,"")</f>
        <v/>
      </c>
      <c r="N4975" s="47" t="n">
        <f aca="false">IF(F4975="S",L4975*0.02,0)</f>
        <v>0</v>
      </c>
      <c r="O4975" s="82" t="str">
        <f aca="false">IF(L4975&lt;&gt;"",L4975+N4975,"")</f>
        <v/>
      </c>
      <c r="P4975" s="47" t="str">
        <f aca="false">IF(O4975&lt;&gt;"",O4975*0.1,"")</f>
        <v/>
      </c>
      <c r="Q4975" s="83" t="str">
        <f aca="false">IF(O4975&lt;&gt;"",O4975+P4975,"")</f>
        <v/>
      </c>
      <c r="R4975" s="84"/>
    </row>
    <row r="4976" customFormat="false" ht="15" hidden="false" customHeight="true" outlineLevel="0" collapsed="false">
      <c r="A4976" s="103"/>
      <c r="B4976" s="73"/>
      <c r="C4976" s="74"/>
      <c r="D4976" s="75"/>
      <c r="E4976" s="52" t="str">
        <f aca="false">IF(D4976&lt;&gt;"",IFERROR(VLOOKUP(D4976,PROVEEDORES!$A:$B,2,0),"!COD NO ENCONTRADO"),"")</f>
        <v/>
      </c>
      <c r="F4976" s="76" t="str">
        <f aca="false">IF(D4976&lt;&gt;"",IFERROR(VLOOKUP(D4976,PROVEEDORES!$A:$C,3,0),""),"")</f>
        <v/>
      </c>
      <c r="G4976" s="75"/>
      <c r="H4976" s="52" t="str">
        <f aca="false">IF(G4976&lt;&gt;"",IFERROR(VLOOKUP(G4976,PRODUCTOS!$A:$B,2,0),"!COD NO ENCONTRADO"),"")</f>
        <v/>
      </c>
      <c r="I4976" s="77"/>
      <c r="J4976" s="78"/>
      <c r="K4976" s="79"/>
      <c r="L4976" s="80" t="str">
        <f aca="false">IF(AND(J4976&lt;&gt;"",K4976&lt;&gt;""),J4976*K4976,"")</f>
        <v/>
      </c>
      <c r="M4976" s="81" t="str">
        <f aca="false">IF(L4976&lt;&gt;"",L4976*1.1,"")</f>
        <v/>
      </c>
      <c r="N4976" s="53" t="n">
        <f aca="false">IF(F4976="S",L4976*0.02,0)</f>
        <v>0</v>
      </c>
      <c r="O4976" s="82" t="str">
        <f aca="false">IF(L4976&lt;&gt;"",L4976+N4976,"")</f>
        <v/>
      </c>
      <c r="P4976" s="53" t="str">
        <f aca="false">IF(O4976&lt;&gt;"",O4976*0.1,"")</f>
        <v/>
      </c>
      <c r="Q4976" s="83" t="str">
        <f aca="false">IF(O4976&lt;&gt;"",O4976+P4976,"")</f>
        <v/>
      </c>
      <c r="R4976" s="84"/>
    </row>
    <row r="4977" customFormat="false" ht="15" hidden="false" customHeight="true" outlineLevel="0" collapsed="false">
      <c r="A4977" s="103"/>
      <c r="B4977" s="85"/>
      <c r="C4977" s="86"/>
      <c r="D4977" s="87"/>
      <c r="E4977" s="46" t="str">
        <f aca="false">IF(D4977&lt;&gt;"",IFERROR(VLOOKUP(D4977,PROVEEDORES!$A:$B,2,0),"!COD NO ENCONTRADO"),"")</f>
        <v/>
      </c>
      <c r="F4977" s="88" t="str">
        <f aca="false">IF(D4977&lt;&gt;"",IFERROR(VLOOKUP(D4977,PROVEEDORES!$A:$C,3,0),""),"")</f>
        <v/>
      </c>
      <c r="G4977" s="87"/>
      <c r="H4977" s="46" t="str">
        <f aca="false">IF(G4977&lt;&gt;"",IFERROR(VLOOKUP(G4977,PRODUCTOS!$A:$B,2,0),"!COD NO ENCONTRADO"),"")</f>
        <v/>
      </c>
      <c r="I4977" s="89"/>
      <c r="J4977" s="90"/>
      <c r="K4977" s="91"/>
      <c r="L4977" s="80" t="str">
        <f aca="false">IF(AND(J4977&lt;&gt;"",K4977&lt;&gt;""),J4977*K4977,"")</f>
        <v/>
      </c>
      <c r="M4977" s="81" t="str">
        <f aca="false">IF(L4977&lt;&gt;"",L4977*1.1,"")</f>
        <v/>
      </c>
      <c r="N4977" s="47" t="n">
        <f aca="false">IF(F4977="S",L4977*0.02,0)</f>
        <v>0</v>
      </c>
      <c r="O4977" s="82" t="str">
        <f aca="false">IF(L4977&lt;&gt;"",L4977+N4977,"")</f>
        <v/>
      </c>
      <c r="P4977" s="47" t="str">
        <f aca="false">IF(O4977&lt;&gt;"",O4977*0.1,"")</f>
        <v/>
      </c>
      <c r="Q4977" s="83" t="str">
        <f aca="false">IF(O4977&lt;&gt;"",O4977+P4977,"")</f>
        <v/>
      </c>
      <c r="R4977" s="84"/>
    </row>
    <row r="4978" customFormat="false" ht="15" hidden="false" customHeight="true" outlineLevel="0" collapsed="false">
      <c r="A4978" s="103"/>
      <c r="B4978" s="73"/>
      <c r="C4978" s="74"/>
      <c r="D4978" s="75"/>
      <c r="E4978" s="52" t="str">
        <f aca="false">IF(D4978&lt;&gt;"",IFERROR(VLOOKUP(D4978,PROVEEDORES!$A:$B,2,0),"!COD NO ENCONTRADO"),"")</f>
        <v/>
      </c>
      <c r="F4978" s="76" t="str">
        <f aca="false">IF(D4978&lt;&gt;"",IFERROR(VLOOKUP(D4978,PROVEEDORES!$A:$C,3,0),""),"")</f>
        <v/>
      </c>
      <c r="G4978" s="75"/>
      <c r="H4978" s="52" t="str">
        <f aca="false">IF(G4978&lt;&gt;"",IFERROR(VLOOKUP(G4978,PRODUCTOS!$A:$B,2,0),"!COD NO ENCONTRADO"),"")</f>
        <v/>
      </c>
      <c r="I4978" s="77"/>
      <c r="J4978" s="78"/>
      <c r="K4978" s="79"/>
      <c r="L4978" s="80" t="str">
        <f aca="false">IF(AND(J4978&lt;&gt;"",K4978&lt;&gt;""),J4978*K4978,"")</f>
        <v/>
      </c>
      <c r="M4978" s="81" t="str">
        <f aca="false">IF(L4978&lt;&gt;"",L4978*1.1,"")</f>
        <v/>
      </c>
      <c r="N4978" s="53" t="n">
        <f aca="false">IF(F4978="S",L4978*0.02,0)</f>
        <v>0</v>
      </c>
      <c r="O4978" s="82" t="str">
        <f aca="false">IF(L4978&lt;&gt;"",L4978+N4978,"")</f>
        <v/>
      </c>
      <c r="P4978" s="53" t="str">
        <f aca="false">IF(O4978&lt;&gt;"",O4978*0.1,"")</f>
        <v/>
      </c>
      <c r="Q4978" s="83" t="str">
        <f aca="false">IF(O4978&lt;&gt;"",O4978+P4978,"")</f>
        <v/>
      </c>
      <c r="R4978" s="84"/>
    </row>
    <row r="4979" customFormat="false" ht="15" hidden="false" customHeight="true" outlineLevel="0" collapsed="false">
      <c r="A4979" s="103"/>
      <c r="B4979" s="85"/>
      <c r="C4979" s="86"/>
      <c r="D4979" s="87"/>
      <c r="E4979" s="46" t="str">
        <f aca="false">IF(D4979&lt;&gt;"",IFERROR(VLOOKUP(D4979,PROVEEDORES!$A:$B,2,0),"!COD NO ENCONTRADO"),"")</f>
        <v/>
      </c>
      <c r="F4979" s="88" t="str">
        <f aca="false">IF(D4979&lt;&gt;"",IFERROR(VLOOKUP(D4979,PROVEEDORES!$A:$C,3,0),""),"")</f>
        <v/>
      </c>
      <c r="G4979" s="87"/>
      <c r="H4979" s="46" t="str">
        <f aca="false">IF(G4979&lt;&gt;"",IFERROR(VLOOKUP(G4979,PRODUCTOS!$A:$B,2,0),"!COD NO ENCONTRADO"),"")</f>
        <v/>
      </c>
      <c r="I4979" s="89"/>
      <c r="J4979" s="90"/>
      <c r="K4979" s="91"/>
      <c r="L4979" s="80" t="str">
        <f aca="false">IF(AND(J4979&lt;&gt;"",K4979&lt;&gt;""),J4979*K4979,"")</f>
        <v/>
      </c>
      <c r="M4979" s="81" t="str">
        <f aca="false">IF(L4979&lt;&gt;"",L4979*1.1,"")</f>
        <v/>
      </c>
      <c r="N4979" s="47" t="n">
        <f aca="false">IF(F4979="S",L4979*0.02,0)</f>
        <v>0</v>
      </c>
      <c r="O4979" s="82" t="str">
        <f aca="false">IF(L4979&lt;&gt;"",L4979+N4979,"")</f>
        <v/>
      </c>
      <c r="P4979" s="47" t="str">
        <f aca="false">IF(O4979&lt;&gt;"",O4979*0.1,"")</f>
        <v/>
      </c>
      <c r="Q4979" s="83" t="str">
        <f aca="false">IF(O4979&lt;&gt;"",O4979+P4979,"")</f>
        <v/>
      </c>
      <c r="R4979" s="84"/>
    </row>
    <row r="4980" customFormat="false" ht="15" hidden="false" customHeight="true" outlineLevel="0" collapsed="false">
      <c r="A4980" s="103"/>
      <c r="B4980" s="73"/>
      <c r="C4980" s="74"/>
      <c r="D4980" s="75"/>
      <c r="E4980" s="52" t="str">
        <f aca="false">IF(D4980&lt;&gt;"",IFERROR(VLOOKUP(D4980,PROVEEDORES!$A:$B,2,0),"!COD NO ENCONTRADO"),"")</f>
        <v/>
      </c>
      <c r="F4980" s="76" t="str">
        <f aca="false">IF(D4980&lt;&gt;"",IFERROR(VLOOKUP(D4980,PROVEEDORES!$A:$C,3,0),""),"")</f>
        <v/>
      </c>
      <c r="G4980" s="75"/>
      <c r="H4980" s="52" t="str">
        <f aca="false">IF(G4980&lt;&gt;"",IFERROR(VLOOKUP(G4980,PRODUCTOS!$A:$B,2,0),"!COD NO ENCONTRADO"),"")</f>
        <v/>
      </c>
      <c r="I4980" s="77"/>
      <c r="J4980" s="78"/>
      <c r="K4980" s="79"/>
      <c r="L4980" s="80" t="str">
        <f aca="false">IF(AND(J4980&lt;&gt;"",K4980&lt;&gt;""),J4980*K4980,"")</f>
        <v/>
      </c>
      <c r="M4980" s="81" t="str">
        <f aca="false">IF(L4980&lt;&gt;"",L4980*1.1,"")</f>
        <v/>
      </c>
      <c r="N4980" s="53" t="n">
        <f aca="false">IF(F4980="S",L4980*0.02,0)</f>
        <v>0</v>
      </c>
      <c r="O4980" s="82" t="str">
        <f aca="false">IF(L4980&lt;&gt;"",L4980+N4980,"")</f>
        <v/>
      </c>
      <c r="P4980" s="53" t="str">
        <f aca="false">IF(O4980&lt;&gt;"",O4980*0.1,"")</f>
        <v/>
      </c>
      <c r="Q4980" s="83" t="str">
        <f aca="false">IF(O4980&lt;&gt;"",O4980+P4980,"")</f>
        <v/>
      </c>
      <c r="R4980" s="84"/>
    </row>
    <row r="4981" customFormat="false" ht="15" hidden="false" customHeight="true" outlineLevel="0" collapsed="false">
      <c r="A4981" s="103"/>
      <c r="B4981" s="85"/>
      <c r="C4981" s="86"/>
      <c r="D4981" s="87"/>
      <c r="E4981" s="46" t="str">
        <f aca="false">IF(D4981&lt;&gt;"",IFERROR(VLOOKUP(D4981,PROVEEDORES!$A:$B,2,0),"!COD NO ENCONTRADO"),"")</f>
        <v/>
      </c>
      <c r="F4981" s="88" t="str">
        <f aca="false">IF(D4981&lt;&gt;"",IFERROR(VLOOKUP(D4981,PROVEEDORES!$A:$C,3,0),""),"")</f>
        <v/>
      </c>
      <c r="G4981" s="87"/>
      <c r="H4981" s="46" t="str">
        <f aca="false">IF(G4981&lt;&gt;"",IFERROR(VLOOKUP(G4981,PRODUCTOS!$A:$B,2,0),"!COD NO ENCONTRADO"),"")</f>
        <v/>
      </c>
      <c r="I4981" s="89"/>
      <c r="J4981" s="90"/>
      <c r="K4981" s="91"/>
      <c r="L4981" s="80" t="str">
        <f aca="false">IF(AND(J4981&lt;&gt;"",K4981&lt;&gt;""),J4981*K4981,"")</f>
        <v/>
      </c>
      <c r="M4981" s="81" t="str">
        <f aca="false">IF(L4981&lt;&gt;"",L4981*1.1,"")</f>
        <v/>
      </c>
      <c r="N4981" s="47" t="n">
        <f aca="false">IF(F4981="S",L4981*0.02,0)</f>
        <v>0</v>
      </c>
      <c r="O4981" s="82" t="str">
        <f aca="false">IF(L4981&lt;&gt;"",L4981+N4981,"")</f>
        <v/>
      </c>
      <c r="P4981" s="47" t="str">
        <f aca="false">IF(O4981&lt;&gt;"",O4981*0.1,"")</f>
        <v/>
      </c>
      <c r="Q4981" s="83" t="str">
        <f aca="false">IF(O4981&lt;&gt;"",O4981+P4981,"")</f>
        <v/>
      </c>
      <c r="R4981" s="84"/>
    </row>
    <row r="4982" customFormat="false" ht="15" hidden="false" customHeight="true" outlineLevel="0" collapsed="false">
      <c r="A4982" s="103"/>
      <c r="B4982" s="73"/>
      <c r="C4982" s="74"/>
      <c r="D4982" s="75"/>
      <c r="E4982" s="52" t="str">
        <f aca="false">IF(D4982&lt;&gt;"",IFERROR(VLOOKUP(D4982,PROVEEDORES!$A:$B,2,0),"!COD NO ENCONTRADO"),"")</f>
        <v/>
      </c>
      <c r="F4982" s="76" t="str">
        <f aca="false">IF(D4982&lt;&gt;"",IFERROR(VLOOKUP(D4982,PROVEEDORES!$A:$C,3,0),""),"")</f>
        <v/>
      </c>
      <c r="G4982" s="75"/>
      <c r="H4982" s="52" t="str">
        <f aca="false">IF(G4982&lt;&gt;"",IFERROR(VLOOKUP(G4982,PRODUCTOS!$A:$B,2,0),"!COD NO ENCONTRADO"),"")</f>
        <v/>
      </c>
      <c r="I4982" s="77"/>
      <c r="J4982" s="78"/>
      <c r="K4982" s="79"/>
      <c r="L4982" s="80" t="str">
        <f aca="false">IF(AND(J4982&lt;&gt;"",K4982&lt;&gt;""),J4982*K4982,"")</f>
        <v/>
      </c>
      <c r="M4982" s="81" t="str">
        <f aca="false">IF(L4982&lt;&gt;"",L4982*1.1,"")</f>
        <v/>
      </c>
      <c r="N4982" s="53" t="n">
        <f aca="false">IF(F4982="S",L4982*0.02,0)</f>
        <v>0</v>
      </c>
      <c r="O4982" s="82" t="str">
        <f aca="false">IF(L4982&lt;&gt;"",L4982+N4982,"")</f>
        <v/>
      </c>
      <c r="P4982" s="53" t="str">
        <f aca="false">IF(O4982&lt;&gt;"",O4982*0.1,"")</f>
        <v/>
      </c>
      <c r="Q4982" s="83" t="str">
        <f aca="false">IF(O4982&lt;&gt;"",O4982+P4982,"")</f>
        <v/>
      </c>
      <c r="R4982" s="84"/>
    </row>
    <row r="4983" customFormat="false" ht="15" hidden="false" customHeight="true" outlineLevel="0" collapsed="false">
      <c r="A4983" s="103"/>
      <c r="B4983" s="85"/>
      <c r="C4983" s="86"/>
      <c r="D4983" s="87"/>
      <c r="E4983" s="46" t="str">
        <f aca="false">IF(D4983&lt;&gt;"",IFERROR(VLOOKUP(D4983,PROVEEDORES!$A:$B,2,0),"!COD NO ENCONTRADO"),"")</f>
        <v/>
      </c>
      <c r="F4983" s="88" t="str">
        <f aca="false">IF(D4983&lt;&gt;"",IFERROR(VLOOKUP(D4983,PROVEEDORES!$A:$C,3,0),""),"")</f>
        <v/>
      </c>
      <c r="G4983" s="87"/>
      <c r="H4983" s="46" t="str">
        <f aca="false">IF(G4983&lt;&gt;"",IFERROR(VLOOKUP(G4983,PRODUCTOS!$A:$B,2,0),"!COD NO ENCONTRADO"),"")</f>
        <v/>
      </c>
      <c r="I4983" s="89"/>
      <c r="J4983" s="90"/>
      <c r="K4983" s="91"/>
      <c r="L4983" s="80" t="str">
        <f aca="false">IF(AND(J4983&lt;&gt;"",K4983&lt;&gt;""),J4983*K4983,"")</f>
        <v/>
      </c>
      <c r="M4983" s="81" t="str">
        <f aca="false">IF(L4983&lt;&gt;"",L4983*1.1,"")</f>
        <v/>
      </c>
      <c r="N4983" s="47" t="n">
        <f aca="false">IF(F4983="S",L4983*0.02,0)</f>
        <v>0</v>
      </c>
      <c r="O4983" s="82" t="str">
        <f aca="false">IF(L4983&lt;&gt;"",L4983+N4983,"")</f>
        <v/>
      </c>
      <c r="P4983" s="47" t="str">
        <f aca="false">IF(O4983&lt;&gt;"",O4983*0.1,"")</f>
        <v/>
      </c>
      <c r="Q4983" s="83" t="str">
        <f aca="false">IF(O4983&lt;&gt;"",O4983+P4983,"")</f>
        <v/>
      </c>
      <c r="R4983" s="84"/>
    </row>
    <row r="4984" customFormat="false" ht="15" hidden="false" customHeight="true" outlineLevel="0" collapsed="false">
      <c r="A4984" s="103"/>
      <c r="B4984" s="73"/>
      <c r="C4984" s="74"/>
      <c r="D4984" s="75"/>
      <c r="E4984" s="52" t="str">
        <f aca="false">IF(D4984&lt;&gt;"",IFERROR(VLOOKUP(D4984,PROVEEDORES!$A:$B,2,0),"!COD NO ENCONTRADO"),"")</f>
        <v/>
      </c>
      <c r="F4984" s="76" t="str">
        <f aca="false">IF(D4984&lt;&gt;"",IFERROR(VLOOKUP(D4984,PROVEEDORES!$A:$C,3,0),""),"")</f>
        <v/>
      </c>
      <c r="G4984" s="75"/>
      <c r="H4984" s="52" t="str">
        <f aca="false">IF(G4984&lt;&gt;"",IFERROR(VLOOKUP(G4984,PRODUCTOS!$A:$B,2,0),"!COD NO ENCONTRADO"),"")</f>
        <v/>
      </c>
      <c r="I4984" s="77"/>
      <c r="J4984" s="78"/>
      <c r="K4984" s="79"/>
      <c r="L4984" s="80" t="str">
        <f aca="false">IF(AND(J4984&lt;&gt;"",K4984&lt;&gt;""),J4984*K4984,"")</f>
        <v/>
      </c>
      <c r="M4984" s="81" t="str">
        <f aca="false">IF(L4984&lt;&gt;"",L4984*1.1,"")</f>
        <v/>
      </c>
      <c r="N4984" s="53" t="n">
        <f aca="false">IF(F4984="S",L4984*0.02,0)</f>
        <v>0</v>
      </c>
      <c r="O4984" s="82" t="str">
        <f aca="false">IF(L4984&lt;&gt;"",L4984+N4984,"")</f>
        <v/>
      </c>
      <c r="P4984" s="53" t="str">
        <f aca="false">IF(O4984&lt;&gt;"",O4984*0.1,"")</f>
        <v/>
      </c>
      <c r="Q4984" s="83" t="str">
        <f aca="false">IF(O4984&lt;&gt;"",O4984+P4984,"")</f>
        <v/>
      </c>
      <c r="R4984" s="84"/>
    </row>
    <row r="4985" customFormat="false" ht="15" hidden="false" customHeight="true" outlineLevel="0" collapsed="false">
      <c r="A4985" s="103"/>
      <c r="B4985" s="85"/>
      <c r="C4985" s="86"/>
      <c r="D4985" s="87"/>
      <c r="E4985" s="46" t="str">
        <f aca="false">IF(D4985&lt;&gt;"",IFERROR(VLOOKUP(D4985,PROVEEDORES!$A:$B,2,0),"!COD NO ENCONTRADO"),"")</f>
        <v/>
      </c>
      <c r="F4985" s="88" t="str">
        <f aca="false">IF(D4985&lt;&gt;"",IFERROR(VLOOKUP(D4985,PROVEEDORES!$A:$C,3,0),""),"")</f>
        <v/>
      </c>
      <c r="G4985" s="87"/>
      <c r="H4985" s="46" t="str">
        <f aca="false">IF(G4985&lt;&gt;"",IFERROR(VLOOKUP(G4985,PRODUCTOS!$A:$B,2,0),"!COD NO ENCONTRADO"),"")</f>
        <v/>
      </c>
      <c r="I4985" s="89"/>
      <c r="J4985" s="90"/>
      <c r="K4985" s="91"/>
      <c r="L4985" s="80" t="str">
        <f aca="false">IF(AND(J4985&lt;&gt;"",K4985&lt;&gt;""),J4985*K4985,"")</f>
        <v/>
      </c>
      <c r="M4985" s="81" t="str">
        <f aca="false">IF(L4985&lt;&gt;"",L4985*1.1,"")</f>
        <v/>
      </c>
      <c r="N4985" s="47" t="n">
        <f aca="false">IF(F4985="S",L4985*0.02,0)</f>
        <v>0</v>
      </c>
      <c r="O4985" s="82" t="str">
        <f aca="false">IF(L4985&lt;&gt;"",L4985+N4985,"")</f>
        <v/>
      </c>
      <c r="P4985" s="47" t="str">
        <f aca="false">IF(O4985&lt;&gt;"",O4985*0.1,"")</f>
        <v/>
      </c>
      <c r="Q4985" s="83" t="str">
        <f aca="false">IF(O4985&lt;&gt;"",O4985+P4985,"")</f>
        <v/>
      </c>
      <c r="R4985" s="84"/>
    </row>
    <row r="4986" customFormat="false" ht="15" hidden="false" customHeight="true" outlineLevel="0" collapsed="false">
      <c r="A4986" s="103"/>
      <c r="B4986" s="73"/>
      <c r="C4986" s="74"/>
      <c r="D4986" s="75"/>
      <c r="E4986" s="52" t="str">
        <f aca="false">IF(D4986&lt;&gt;"",IFERROR(VLOOKUP(D4986,PROVEEDORES!$A:$B,2,0),"!COD NO ENCONTRADO"),"")</f>
        <v/>
      </c>
      <c r="F4986" s="76" t="str">
        <f aca="false">IF(D4986&lt;&gt;"",IFERROR(VLOOKUP(D4986,PROVEEDORES!$A:$C,3,0),""),"")</f>
        <v/>
      </c>
      <c r="G4986" s="75"/>
      <c r="H4986" s="52" t="str">
        <f aca="false">IF(G4986&lt;&gt;"",IFERROR(VLOOKUP(G4986,PRODUCTOS!$A:$B,2,0),"!COD NO ENCONTRADO"),"")</f>
        <v/>
      </c>
      <c r="I4986" s="77"/>
      <c r="J4986" s="78"/>
      <c r="K4986" s="79"/>
      <c r="L4986" s="80" t="str">
        <f aca="false">IF(AND(J4986&lt;&gt;"",K4986&lt;&gt;""),J4986*K4986,"")</f>
        <v/>
      </c>
      <c r="M4986" s="81" t="str">
        <f aca="false">IF(L4986&lt;&gt;"",L4986*1.1,"")</f>
        <v/>
      </c>
      <c r="N4986" s="53" t="n">
        <f aca="false">IF(F4986="S",L4986*0.02,0)</f>
        <v>0</v>
      </c>
      <c r="O4986" s="82" t="str">
        <f aca="false">IF(L4986&lt;&gt;"",L4986+N4986,"")</f>
        <v/>
      </c>
      <c r="P4986" s="53" t="str">
        <f aca="false">IF(O4986&lt;&gt;"",O4986*0.1,"")</f>
        <v/>
      </c>
      <c r="Q4986" s="83" t="str">
        <f aca="false">IF(O4986&lt;&gt;"",O4986+P4986,"")</f>
        <v/>
      </c>
      <c r="R4986" s="84"/>
    </row>
    <row r="4987" customFormat="false" ht="15" hidden="false" customHeight="true" outlineLevel="0" collapsed="false">
      <c r="A4987" s="103"/>
      <c r="B4987" s="85"/>
      <c r="C4987" s="86"/>
      <c r="D4987" s="87"/>
      <c r="E4987" s="46" t="str">
        <f aca="false">IF(D4987&lt;&gt;"",IFERROR(VLOOKUP(D4987,PROVEEDORES!$A:$B,2,0),"!COD NO ENCONTRADO"),"")</f>
        <v/>
      </c>
      <c r="F4987" s="88" t="str">
        <f aca="false">IF(D4987&lt;&gt;"",IFERROR(VLOOKUP(D4987,PROVEEDORES!$A:$C,3,0),""),"")</f>
        <v/>
      </c>
      <c r="G4987" s="87"/>
      <c r="H4987" s="46" t="str">
        <f aca="false">IF(G4987&lt;&gt;"",IFERROR(VLOOKUP(G4987,PRODUCTOS!$A:$B,2,0),"!COD NO ENCONTRADO"),"")</f>
        <v/>
      </c>
      <c r="I4987" s="89"/>
      <c r="J4987" s="90"/>
      <c r="K4987" s="91"/>
      <c r="L4987" s="80" t="str">
        <f aca="false">IF(AND(J4987&lt;&gt;"",K4987&lt;&gt;""),J4987*K4987,"")</f>
        <v/>
      </c>
      <c r="M4987" s="81" t="str">
        <f aca="false">IF(L4987&lt;&gt;"",L4987*1.1,"")</f>
        <v/>
      </c>
      <c r="N4987" s="47" t="n">
        <f aca="false">IF(F4987="S",L4987*0.02,0)</f>
        <v>0</v>
      </c>
      <c r="O4987" s="82" t="str">
        <f aca="false">IF(L4987&lt;&gt;"",L4987+N4987,"")</f>
        <v/>
      </c>
      <c r="P4987" s="47" t="str">
        <f aca="false">IF(O4987&lt;&gt;"",O4987*0.1,"")</f>
        <v/>
      </c>
      <c r="Q4987" s="83" t="str">
        <f aca="false">IF(O4987&lt;&gt;"",O4987+P4987,"")</f>
        <v/>
      </c>
      <c r="R4987" s="84"/>
    </row>
    <row r="4988" customFormat="false" ht="15" hidden="false" customHeight="true" outlineLevel="0" collapsed="false">
      <c r="A4988" s="103"/>
      <c r="B4988" s="73"/>
      <c r="C4988" s="74"/>
      <c r="D4988" s="75"/>
      <c r="E4988" s="52" t="str">
        <f aca="false">IF(D4988&lt;&gt;"",IFERROR(VLOOKUP(D4988,PROVEEDORES!$A:$B,2,0),"!COD NO ENCONTRADO"),"")</f>
        <v/>
      </c>
      <c r="F4988" s="76" t="str">
        <f aca="false">IF(D4988&lt;&gt;"",IFERROR(VLOOKUP(D4988,PROVEEDORES!$A:$C,3,0),""),"")</f>
        <v/>
      </c>
      <c r="G4988" s="75"/>
      <c r="H4988" s="52" t="str">
        <f aca="false">IF(G4988&lt;&gt;"",IFERROR(VLOOKUP(G4988,PRODUCTOS!$A:$B,2,0),"!COD NO ENCONTRADO"),"")</f>
        <v/>
      </c>
      <c r="I4988" s="77"/>
      <c r="J4988" s="78"/>
      <c r="K4988" s="79"/>
      <c r="L4988" s="80" t="str">
        <f aca="false">IF(AND(J4988&lt;&gt;"",K4988&lt;&gt;""),J4988*K4988,"")</f>
        <v/>
      </c>
      <c r="M4988" s="81" t="str">
        <f aca="false">IF(L4988&lt;&gt;"",L4988*1.1,"")</f>
        <v/>
      </c>
      <c r="N4988" s="53" t="n">
        <f aca="false">IF(F4988="S",L4988*0.02,0)</f>
        <v>0</v>
      </c>
      <c r="O4988" s="82" t="str">
        <f aca="false">IF(L4988&lt;&gt;"",L4988+N4988,"")</f>
        <v/>
      </c>
      <c r="P4988" s="53" t="str">
        <f aca="false">IF(O4988&lt;&gt;"",O4988*0.1,"")</f>
        <v/>
      </c>
      <c r="Q4988" s="83" t="str">
        <f aca="false">IF(O4988&lt;&gt;"",O4988+P4988,"")</f>
        <v/>
      </c>
      <c r="R4988" s="84"/>
    </row>
    <row r="4989" customFormat="false" ht="15" hidden="false" customHeight="true" outlineLevel="0" collapsed="false">
      <c r="A4989" s="103"/>
      <c r="B4989" s="85"/>
      <c r="C4989" s="86"/>
      <c r="D4989" s="87"/>
      <c r="E4989" s="46" t="str">
        <f aca="false">IF(D4989&lt;&gt;"",IFERROR(VLOOKUP(D4989,PROVEEDORES!$A:$B,2,0),"!COD NO ENCONTRADO"),"")</f>
        <v/>
      </c>
      <c r="F4989" s="88" t="str">
        <f aca="false">IF(D4989&lt;&gt;"",IFERROR(VLOOKUP(D4989,PROVEEDORES!$A:$C,3,0),""),"")</f>
        <v/>
      </c>
      <c r="G4989" s="87"/>
      <c r="H4989" s="46" t="str">
        <f aca="false">IF(G4989&lt;&gt;"",IFERROR(VLOOKUP(G4989,PRODUCTOS!$A:$B,2,0),"!COD NO ENCONTRADO"),"")</f>
        <v/>
      </c>
      <c r="I4989" s="89"/>
      <c r="J4989" s="90"/>
      <c r="K4989" s="91"/>
      <c r="L4989" s="80" t="str">
        <f aca="false">IF(AND(J4989&lt;&gt;"",K4989&lt;&gt;""),J4989*K4989,"")</f>
        <v/>
      </c>
      <c r="M4989" s="81" t="str">
        <f aca="false">IF(L4989&lt;&gt;"",L4989*1.1,"")</f>
        <v/>
      </c>
      <c r="N4989" s="47" t="n">
        <f aca="false">IF(F4989="S",L4989*0.02,0)</f>
        <v>0</v>
      </c>
      <c r="O4989" s="82" t="str">
        <f aca="false">IF(L4989&lt;&gt;"",L4989+N4989,"")</f>
        <v/>
      </c>
      <c r="P4989" s="47" t="str">
        <f aca="false">IF(O4989&lt;&gt;"",O4989*0.1,"")</f>
        <v/>
      </c>
      <c r="Q4989" s="83" t="str">
        <f aca="false">IF(O4989&lt;&gt;"",O4989+P4989,"")</f>
        <v/>
      </c>
      <c r="R4989" s="84"/>
    </row>
    <row r="4990" customFormat="false" ht="15" hidden="false" customHeight="true" outlineLevel="0" collapsed="false">
      <c r="A4990" s="103"/>
      <c r="B4990" s="73"/>
      <c r="C4990" s="74"/>
      <c r="D4990" s="75"/>
      <c r="E4990" s="52" t="str">
        <f aca="false">IF(D4990&lt;&gt;"",IFERROR(VLOOKUP(D4990,PROVEEDORES!$A:$B,2,0),"!COD NO ENCONTRADO"),"")</f>
        <v/>
      </c>
      <c r="F4990" s="76" t="str">
        <f aca="false">IF(D4990&lt;&gt;"",IFERROR(VLOOKUP(D4990,PROVEEDORES!$A:$C,3,0),""),"")</f>
        <v/>
      </c>
      <c r="G4990" s="75"/>
      <c r="H4990" s="52" t="str">
        <f aca="false">IF(G4990&lt;&gt;"",IFERROR(VLOOKUP(G4990,PRODUCTOS!$A:$B,2,0),"!COD NO ENCONTRADO"),"")</f>
        <v/>
      </c>
      <c r="I4990" s="77"/>
      <c r="J4990" s="78"/>
      <c r="K4990" s="79"/>
      <c r="L4990" s="80" t="str">
        <f aca="false">IF(AND(J4990&lt;&gt;"",K4990&lt;&gt;""),J4990*K4990,"")</f>
        <v/>
      </c>
      <c r="M4990" s="81" t="str">
        <f aca="false">IF(L4990&lt;&gt;"",L4990*1.1,"")</f>
        <v/>
      </c>
      <c r="N4990" s="53" t="n">
        <f aca="false">IF(F4990="S",L4990*0.02,0)</f>
        <v>0</v>
      </c>
      <c r="O4990" s="82" t="str">
        <f aca="false">IF(L4990&lt;&gt;"",L4990+N4990,"")</f>
        <v/>
      </c>
      <c r="P4990" s="53" t="str">
        <f aca="false">IF(O4990&lt;&gt;"",O4990*0.1,"")</f>
        <v/>
      </c>
      <c r="Q4990" s="83" t="str">
        <f aca="false">IF(O4990&lt;&gt;"",O4990+P4990,"")</f>
        <v/>
      </c>
      <c r="R4990" s="84"/>
    </row>
    <row r="4991" customFormat="false" ht="15" hidden="false" customHeight="true" outlineLevel="0" collapsed="false">
      <c r="A4991" s="103"/>
      <c r="B4991" s="85"/>
      <c r="C4991" s="86"/>
      <c r="D4991" s="87"/>
      <c r="E4991" s="46" t="str">
        <f aca="false">IF(D4991&lt;&gt;"",IFERROR(VLOOKUP(D4991,PROVEEDORES!$A:$B,2,0),"!COD NO ENCONTRADO"),"")</f>
        <v/>
      </c>
      <c r="F4991" s="88" t="str">
        <f aca="false">IF(D4991&lt;&gt;"",IFERROR(VLOOKUP(D4991,PROVEEDORES!$A:$C,3,0),""),"")</f>
        <v/>
      </c>
      <c r="G4991" s="87"/>
      <c r="H4991" s="46" t="str">
        <f aca="false">IF(G4991&lt;&gt;"",IFERROR(VLOOKUP(G4991,PRODUCTOS!$A:$B,2,0),"!COD NO ENCONTRADO"),"")</f>
        <v/>
      </c>
      <c r="I4991" s="89"/>
      <c r="J4991" s="90"/>
      <c r="K4991" s="91"/>
      <c r="L4991" s="80" t="str">
        <f aca="false">IF(AND(J4991&lt;&gt;"",K4991&lt;&gt;""),J4991*K4991,"")</f>
        <v/>
      </c>
      <c r="M4991" s="81" t="str">
        <f aca="false">IF(L4991&lt;&gt;"",L4991*1.1,"")</f>
        <v/>
      </c>
      <c r="N4991" s="47" t="n">
        <f aca="false">IF(F4991="S",L4991*0.02,0)</f>
        <v>0</v>
      </c>
      <c r="O4991" s="82" t="str">
        <f aca="false">IF(L4991&lt;&gt;"",L4991+N4991,"")</f>
        <v/>
      </c>
      <c r="P4991" s="47" t="str">
        <f aca="false">IF(O4991&lt;&gt;"",O4991*0.1,"")</f>
        <v/>
      </c>
      <c r="Q4991" s="83" t="str">
        <f aca="false">IF(O4991&lt;&gt;"",O4991+P4991,"")</f>
        <v/>
      </c>
      <c r="R4991" s="84"/>
    </row>
    <row r="4992" customFormat="false" ht="15" hidden="false" customHeight="true" outlineLevel="0" collapsed="false">
      <c r="A4992" s="103"/>
      <c r="B4992" s="73"/>
      <c r="C4992" s="74"/>
      <c r="D4992" s="75"/>
      <c r="E4992" s="52" t="str">
        <f aca="false">IF(D4992&lt;&gt;"",IFERROR(VLOOKUP(D4992,PROVEEDORES!$A:$B,2,0),"!COD NO ENCONTRADO"),"")</f>
        <v/>
      </c>
      <c r="F4992" s="76" t="str">
        <f aca="false">IF(D4992&lt;&gt;"",IFERROR(VLOOKUP(D4992,PROVEEDORES!$A:$C,3,0),""),"")</f>
        <v/>
      </c>
      <c r="G4992" s="75"/>
      <c r="H4992" s="52" t="str">
        <f aca="false">IF(G4992&lt;&gt;"",IFERROR(VLOOKUP(G4992,PRODUCTOS!$A:$B,2,0),"!COD NO ENCONTRADO"),"")</f>
        <v/>
      </c>
      <c r="I4992" s="77"/>
      <c r="J4992" s="78"/>
      <c r="K4992" s="79"/>
      <c r="L4992" s="80" t="str">
        <f aca="false">IF(AND(J4992&lt;&gt;"",K4992&lt;&gt;""),J4992*K4992,"")</f>
        <v/>
      </c>
      <c r="M4992" s="81" t="str">
        <f aca="false">IF(L4992&lt;&gt;"",L4992*1.1,"")</f>
        <v/>
      </c>
      <c r="N4992" s="53" t="n">
        <f aca="false">IF(F4992="S",L4992*0.02,0)</f>
        <v>0</v>
      </c>
      <c r="O4992" s="82" t="str">
        <f aca="false">IF(L4992&lt;&gt;"",L4992+N4992,"")</f>
        <v/>
      </c>
      <c r="P4992" s="53" t="str">
        <f aca="false">IF(O4992&lt;&gt;"",O4992*0.1,"")</f>
        <v/>
      </c>
      <c r="Q4992" s="83" t="str">
        <f aca="false">IF(O4992&lt;&gt;"",O4992+P4992,"")</f>
        <v/>
      </c>
      <c r="R4992" s="84"/>
    </row>
    <row r="4993" customFormat="false" ht="15" hidden="false" customHeight="true" outlineLevel="0" collapsed="false">
      <c r="A4993" s="103"/>
      <c r="B4993" s="85"/>
      <c r="C4993" s="86"/>
      <c r="D4993" s="87"/>
      <c r="E4993" s="46" t="str">
        <f aca="false">IF(D4993&lt;&gt;"",IFERROR(VLOOKUP(D4993,PROVEEDORES!$A:$B,2,0),"!COD NO ENCONTRADO"),"")</f>
        <v/>
      </c>
      <c r="F4993" s="88" t="str">
        <f aca="false">IF(D4993&lt;&gt;"",IFERROR(VLOOKUP(D4993,PROVEEDORES!$A:$C,3,0),""),"")</f>
        <v/>
      </c>
      <c r="G4993" s="87"/>
      <c r="H4993" s="46" t="str">
        <f aca="false">IF(G4993&lt;&gt;"",IFERROR(VLOOKUP(G4993,PRODUCTOS!$A:$B,2,0),"!COD NO ENCONTRADO"),"")</f>
        <v/>
      </c>
      <c r="I4993" s="89"/>
      <c r="J4993" s="90"/>
      <c r="K4993" s="91"/>
      <c r="L4993" s="80" t="str">
        <f aca="false">IF(AND(J4993&lt;&gt;"",K4993&lt;&gt;""),J4993*K4993,"")</f>
        <v/>
      </c>
      <c r="M4993" s="81" t="str">
        <f aca="false">IF(L4993&lt;&gt;"",L4993*1.1,"")</f>
        <v/>
      </c>
      <c r="N4993" s="47" t="n">
        <f aca="false">IF(F4993="S",L4993*0.02,0)</f>
        <v>0</v>
      </c>
      <c r="O4993" s="82" t="str">
        <f aca="false">IF(L4993&lt;&gt;"",L4993+N4993,"")</f>
        <v/>
      </c>
      <c r="P4993" s="47" t="str">
        <f aca="false">IF(O4993&lt;&gt;"",O4993*0.1,"")</f>
        <v/>
      </c>
      <c r="Q4993" s="83" t="str">
        <f aca="false">IF(O4993&lt;&gt;"",O4993+P4993,"")</f>
        <v/>
      </c>
      <c r="R4993" s="84"/>
    </row>
    <row r="4994" customFormat="false" ht="15" hidden="false" customHeight="true" outlineLevel="0" collapsed="false">
      <c r="A4994" s="103"/>
      <c r="B4994" s="73"/>
      <c r="C4994" s="74"/>
      <c r="D4994" s="75"/>
      <c r="E4994" s="52" t="str">
        <f aca="false">IF(D4994&lt;&gt;"",IFERROR(VLOOKUP(D4994,PROVEEDORES!$A:$B,2,0),"!COD NO ENCONTRADO"),"")</f>
        <v/>
      </c>
      <c r="F4994" s="76" t="str">
        <f aca="false">IF(D4994&lt;&gt;"",IFERROR(VLOOKUP(D4994,PROVEEDORES!$A:$C,3,0),""),"")</f>
        <v/>
      </c>
      <c r="G4994" s="75"/>
      <c r="H4994" s="52" t="str">
        <f aca="false">IF(G4994&lt;&gt;"",IFERROR(VLOOKUP(G4994,PRODUCTOS!$A:$B,2,0),"!COD NO ENCONTRADO"),"")</f>
        <v/>
      </c>
      <c r="I4994" s="77"/>
      <c r="J4994" s="78"/>
      <c r="K4994" s="79"/>
      <c r="L4994" s="80" t="str">
        <f aca="false">IF(AND(J4994&lt;&gt;"",K4994&lt;&gt;""),J4994*K4994,"")</f>
        <v/>
      </c>
      <c r="M4994" s="81" t="str">
        <f aca="false">IF(L4994&lt;&gt;"",L4994*1.1,"")</f>
        <v/>
      </c>
      <c r="N4994" s="53" t="n">
        <f aca="false">IF(F4994="S",L4994*0.02,0)</f>
        <v>0</v>
      </c>
      <c r="O4994" s="82" t="str">
        <f aca="false">IF(L4994&lt;&gt;"",L4994+N4994,"")</f>
        <v/>
      </c>
      <c r="P4994" s="53" t="str">
        <f aca="false">IF(O4994&lt;&gt;"",O4994*0.1,"")</f>
        <v/>
      </c>
      <c r="Q4994" s="83" t="str">
        <f aca="false">IF(O4994&lt;&gt;"",O4994+P4994,"")</f>
        <v/>
      </c>
      <c r="R4994" s="84"/>
    </row>
    <row r="4995" customFormat="false" ht="15" hidden="false" customHeight="true" outlineLevel="0" collapsed="false">
      <c r="A4995" s="103"/>
      <c r="B4995" s="85"/>
      <c r="C4995" s="86"/>
      <c r="D4995" s="87"/>
      <c r="E4995" s="46" t="str">
        <f aca="false">IF(D4995&lt;&gt;"",IFERROR(VLOOKUP(D4995,PROVEEDORES!$A:$B,2,0),"!COD NO ENCONTRADO"),"")</f>
        <v/>
      </c>
      <c r="F4995" s="88" t="str">
        <f aca="false">IF(D4995&lt;&gt;"",IFERROR(VLOOKUP(D4995,PROVEEDORES!$A:$C,3,0),""),"")</f>
        <v/>
      </c>
      <c r="G4995" s="87"/>
      <c r="H4995" s="46" t="str">
        <f aca="false">IF(G4995&lt;&gt;"",IFERROR(VLOOKUP(G4995,PRODUCTOS!$A:$B,2,0),"!COD NO ENCONTRADO"),"")</f>
        <v/>
      </c>
      <c r="I4995" s="89"/>
      <c r="J4995" s="90"/>
      <c r="K4995" s="91"/>
      <c r="L4995" s="80" t="str">
        <f aca="false">IF(AND(J4995&lt;&gt;"",K4995&lt;&gt;""),J4995*K4995,"")</f>
        <v/>
      </c>
      <c r="M4995" s="81" t="str">
        <f aca="false">IF(L4995&lt;&gt;"",L4995*1.1,"")</f>
        <v/>
      </c>
      <c r="N4995" s="47" t="n">
        <f aca="false">IF(F4995="S",L4995*0.02,0)</f>
        <v>0</v>
      </c>
      <c r="O4995" s="82" t="str">
        <f aca="false">IF(L4995&lt;&gt;"",L4995+N4995,"")</f>
        <v/>
      </c>
      <c r="P4995" s="47" t="str">
        <f aca="false">IF(O4995&lt;&gt;"",O4995*0.1,"")</f>
        <v/>
      </c>
      <c r="Q4995" s="83" t="str">
        <f aca="false">IF(O4995&lt;&gt;"",O4995+P4995,"")</f>
        <v/>
      </c>
      <c r="R4995" s="84"/>
    </row>
    <row r="4996" customFormat="false" ht="15" hidden="false" customHeight="true" outlineLevel="0" collapsed="false">
      <c r="A4996" s="103"/>
      <c r="B4996" s="73"/>
      <c r="C4996" s="74"/>
      <c r="D4996" s="75"/>
      <c r="E4996" s="52" t="str">
        <f aca="false">IF(D4996&lt;&gt;"",IFERROR(VLOOKUP(D4996,PROVEEDORES!$A:$B,2,0),"!COD NO ENCONTRADO"),"")</f>
        <v/>
      </c>
      <c r="F4996" s="76" t="str">
        <f aca="false">IF(D4996&lt;&gt;"",IFERROR(VLOOKUP(D4996,PROVEEDORES!$A:$C,3,0),""),"")</f>
        <v/>
      </c>
      <c r="G4996" s="75"/>
      <c r="H4996" s="52" t="str">
        <f aca="false">IF(G4996&lt;&gt;"",IFERROR(VLOOKUP(G4996,PRODUCTOS!$A:$B,2,0),"!COD NO ENCONTRADO"),"")</f>
        <v/>
      </c>
      <c r="I4996" s="77"/>
      <c r="J4996" s="78"/>
      <c r="K4996" s="79"/>
      <c r="L4996" s="80" t="str">
        <f aca="false">IF(AND(J4996&lt;&gt;"",K4996&lt;&gt;""),J4996*K4996,"")</f>
        <v/>
      </c>
      <c r="M4996" s="81" t="str">
        <f aca="false">IF(L4996&lt;&gt;"",L4996*1.1,"")</f>
        <v/>
      </c>
      <c r="N4996" s="53" t="n">
        <f aca="false">IF(F4996="S",L4996*0.02,0)</f>
        <v>0</v>
      </c>
      <c r="O4996" s="82" t="str">
        <f aca="false">IF(L4996&lt;&gt;"",L4996+N4996,"")</f>
        <v/>
      </c>
      <c r="P4996" s="53" t="str">
        <f aca="false">IF(O4996&lt;&gt;"",O4996*0.1,"")</f>
        <v/>
      </c>
      <c r="Q4996" s="83" t="str">
        <f aca="false">IF(O4996&lt;&gt;"",O4996+P4996,"")</f>
        <v/>
      </c>
      <c r="R4996" s="84"/>
    </row>
    <row r="4997" customFormat="false" ht="15" hidden="false" customHeight="true" outlineLevel="0" collapsed="false">
      <c r="A4997" s="103"/>
      <c r="B4997" s="85"/>
      <c r="C4997" s="86"/>
      <c r="D4997" s="87"/>
      <c r="E4997" s="46" t="str">
        <f aca="false">IF(D4997&lt;&gt;"",IFERROR(VLOOKUP(D4997,PROVEEDORES!$A:$B,2,0),"!COD NO ENCONTRADO"),"")</f>
        <v/>
      </c>
      <c r="F4997" s="88" t="str">
        <f aca="false">IF(D4997&lt;&gt;"",IFERROR(VLOOKUP(D4997,PROVEEDORES!$A:$C,3,0),""),"")</f>
        <v/>
      </c>
      <c r="G4997" s="87"/>
      <c r="H4997" s="46" t="str">
        <f aca="false">IF(G4997&lt;&gt;"",IFERROR(VLOOKUP(G4997,PRODUCTOS!$A:$B,2,0),"!COD NO ENCONTRADO"),"")</f>
        <v/>
      </c>
      <c r="I4997" s="89"/>
      <c r="J4997" s="90"/>
      <c r="K4997" s="91"/>
      <c r="L4997" s="80" t="str">
        <f aca="false">IF(AND(J4997&lt;&gt;"",K4997&lt;&gt;""),J4997*K4997,"")</f>
        <v/>
      </c>
      <c r="M4997" s="81" t="str">
        <f aca="false">IF(L4997&lt;&gt;"",L4997*1.1,"")</f>
        <v/>
      </c>
      <c r="N4997" s="47" t="n">
        <f aca="false">IF(F4997="S",L4997*0.02,0)</f>
        <v>0</v>
      </c>
      <c r="O4997" s="82" t="str">
        <f aca="false">IF(L4997&lt;&gt;"",L4997+N4997,"")</f>
        <v/>
      </c>
      <c r="P4997" s="47" t="str">
        <f aca="false">IF(O4997&lt;&gt;"",O4997*0.1,"")</f>
        <v/>
      </c>
      <c r="Q4997" s="83" t="str">
        <f aca="false">IF(O4997&lt;&gt;"",O4997+P4997,"")</f>
        <v/>
      </c>
      <c r="R4997" s="84"/>
    </row>
    <row r="4998" customFormat="false" ht="15" hidden="false" customHeight="true" outlineLevel="0" collapsed="false">
      <c r="A4998" s="161" t="s">
        <v>875</v>
      </c>
      <c r="B4998" s="161"/>
      <c r="C4998" s="161"/>
      <c r="D4998" s="161"/>
      <c r="E4998" s="161"/>
      <c r="F4998" s="161"/>
      <c r="G4998" s="161"/>
      <c r="H4998" s="161"/>
      <c r="I4998" s="161"/>
      <c r="J4998" s="161"/>
      <c r="K4998" s="161"/>
      <c r="L4998" s="162" t="n">
        <f aca="false">SUBTOTAL(9,L3:L4997)</f>
        <v>476721.058</v>
      </c>
      <c r="M4998" s="162" t="n">
        <f aca="false">SUBTOTAL(9,M3:M4997)</f>
        <v>524393.1638</v>
      </c>
      <c r="N4998" s="162" t="n">
        <f aca="false">SUBTOTAL(9,N3:N4997)</f>
        <v>7259.45621</v>
      </c>
      <c r="O4998" s="162" t="n">
        <f aca="false">SUBTOTAL(9,O3:O4997)</f>
        <v>483980.51421</v>
      </c>
      <c r="P4998" s="162" t="n">
        <f aca="false">SUBTOTAL(9,P3:P4997)</f>
        <v>48398.051421</v>
      </c>
      <c r="Q4998" s="162" t="n">
        <f aca="false">SUBTOTAL(9,Q3:Q4997)</f>
        <v>532378.565631</v>
      </c>
      <c r="R4998" s="163"/>
    </row>
  </sheetData>
  <autoFilter ref="A2:Q4997">
    <sortState ref="A3:Q4997">
      <sortCondition ref="A3:A4997" customList=""/>
    </sortState>
  </autoFilter>
  <mergeCells count="2">
    <mergeCell ref="A1:Q1"/>
    <mergeCell ref="A4998:K4998"/>
  </mergeCells>
  <conditionalFormatting sqref="C3:C4997">
    <cfRule type="expression" priority="2" aboveAverage="0" equalAverage="0" bottom="0" percent="0" rank="0" text="" dxfId="23">
      <formula>$R3="S"</formula>
    </cfRule>
    <cfRule type="expression" priority="3" aboveAverage="0" equalAverage="0" bottom="0" percent="0" rank="0" text="" dxfId="24">
      <formula>$R3&lt;&gt;"S"</formula>
    </cfRule>
  </conditionalFormatting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38" activeCellId="0" sqref="B38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50"/>
  </cols>
  <sheetData>
    <row r="1" customFormat="false" ht="27.75" hidden="false" customHeight="true" outlineLevel="0" collapsed="false">
      <c r="A1" s="164" t="s">
        <v>876</v>
      </c>
      <c r="B1" s="164"/>
      <c r="C1" s="164"/>
      <c r="D1" s="164"/>
    </row>
    <row r="2" customFormat="false" ht="15" hidden="false" customHeight="true" outlineLevel="0" collapsed="false">
      <c r="A2" s="165" t="s">
        <v>877</v>
      </c>
      <c r="B2" s="165" t="s">
        <v>878</v>
      </c>
      <c r="C2" s="165" t="s">
        <v>879</v>
      </c>
      <c r="D2" s="165" t="s">
        <v>880</v>
      </c>
      <c r="E2" s="28" t="s">
        <v>881</v>
      </c>
    </row>
    <row r="3" customFormat="false" ht="15" hidden="false" customHeight="true" outlineLevel="0" collapsed="false">
      <c r="A3" s="75" t="n">
        <v>50001</v>
      </c>
      <c r="B3" s="166" t="s">
        <v>382</v>
      </c>
      <c r="C3" s="167" t="s">
        <v>365</v>
      </c>
      <c r="D3" s="166" t="s">
        <v>882</v>
      </c>
      <c r="E3" s="104" t="str">
        <f aca="false">IF(A3&lt;&gt;"",A3&amp;" | "&amp;B3&amp;IF(C3="S"," [OP2%]",""),"")</f>
        <v>50001 | COPESA [OP2%]</v>
      </c>
    </row>
    <row r="4" customFormat="false" ht="15" hidden="false" customHeight="true" outlineLevel="0" collapsed="false">
      <c r="A4" s="87" t="n">
        <v>50010</v>
      </c>
      <c r="B4" s="168" t="s">
        <v>373</v>
      </c>
      <c r="C4" s="167" t="s">
        <v>365</v>
      </c>
      <c r="D4" s="166" t="s">
        <v>882</v>
      </c>
      <c r="E4" s="104" t="str">
        <f aca="false">IF(A4&lt;&gt;"",A4&amp;" | "&amp;B4&amp;IF(C4="S"," [OP2%]",""),"")</f>
        <v>50010 | PERFECTO MONTERO [OP2%]</v>
      </c>
    </row>
    <row r="5" customFormat="false" ht="15" hidden="false" customHeight="true" outlineLevel="0" collapsed="false">
      <c r="A5" s="75" t="n">
        <v>50019</v>
      </c>
      <c r="B5" s="166" t="s">
        <v>883</v>
      </c>
      <c r="C5" s="167" t="s">
        <v>365</v>
      </c>
      <c r="D5" s="166" t="s">
        <v>882</v>
      </c>
      <c r="E5" s="104" t="str">
        <f aca="false">IF(A5&lt;&gt;"",A5&amp;" | "&amp;B5&amp;IF(C5="S"," [OP2%]",""),"")</f>
        <v>50019 | ANGELITA VILLAR [OP2%]</v>
      </c>
    </row>
    <row r="6" customFormat="false" ht="15" hidden="false" customHeight="true" outlineLevel="0" collapsed="false">
      <c r="A6" s="87" t="n">
        <v>50020</v>
      </c>
      <c r="B6" s="168" t="s">
        <v>378</v>
      </c>
      <c r="C6" s="167" t="s">
        <v>365</v>
      </c>
      <c r="D6" s="166" t="s">
        <v>882</v>
      </c>
      <c r="E6" s="104" t="str">
        <f aca="false">IF(A6&lt;&gt;"",A6&amp;" | "&amp;B6&amp;IF(C6="S"," [OP2%]",""),"")</f>
        <v>50020 | PACO MOINELO [OP2%]</v>
      </c>
    </row>
    <row r="7" customFormat="false" ht="15" hidden="false" customHeight="true" outlineLevel="0" collapsed="false">
      <c r="A7" s="75" t="n">
        <v>50034</v>
      </c>
      <c r="B7" s="166" t="s">
        <v>884</v>
      </c>
      <c r="C7" s="167" t="s">
        <v>365</v>
      </c>
      <c r="D7" s="166" t="s">
        <v>882</v>
      </c>
      <c r="E7" s="104" t="str">
        <f aca="false">IF(A7&lt;&gt;"",A7&amp;" | "&amp;B7&amp;IF(C7="S"," [OP2%]",""),"")</f>
        <v>50034 | MANUEL CEBREIRA MELLA [OP2%]</v>
      </c>
    </row>
    <row r="8" customFormat="false" ht="15" hidden="false" customHeight="true" outlineLevel="0" collapsed="false">
      <c r="A8" s="87" t="n">
        <v>50035</v>
      </c>
      <c r="B8" s="168" t="s">
        <v>386</v>
      </c>
      <c r="C8" s="167" t="s">
        <v>381</v>
      </c>
      <c r="D8" s="166" t="s">
        <v>885</v>
      </c>
      <c r="E8" s="104" t="str">
        <f aca="false">IF(A8&lt;&gt;"",A8&amp;" | "&amp;B8&amp;IF(C8="S"," [OP2%]",""),"")</f>
        <v>50035 | SCANFISK SEAFFOD S,L</v>
      </c>
    </row>
    <row r="9" customFormat="false" ht="15" hidden="false" customHeight="true" outlineLevel="0" collapsed="false">
      <c r="A9" s="75" t="n">
        <v>50048</v>
      </c>
      <c r="B9" s="166" t="s">
        <v>380</v>
      </c>
      <c r="C9" s="167" t="s">
        <v>381</v>
      </c>
      <c r="D9" s="166" t="s">
        <v>885</v>
      </c>
      <c r="E9" s="104" t="str">
        <f aca="false">IF(A9&lt;&gt;"",A9&amp;" | "&amp;B9&amp;IF(C9="S"," [OP2%]",""),"")</f>
        <v>50048 | JOSE LUIS CORREA KESSLER S.L.</v>
      </c>
    </row>
    <row r="10" customFormat="false" ht="15" hidden="false" customHeight="true" outlineLevel="0" collapsed="false">
      <c r="A10" s="87" t="n">
        <v>50056</v>
      </c>
      <c r="B10" s="168" t="s">
        <v>886</v>
      </c>
      <c r="C10" s="167" t="s">
        <v>381</v>
      </c>
      <c r="D10" s="166" t="s">
        <v>885</v>
      </c>
      <c r="E10" s="104" t="str">
        <f aca="false">IF(A10&lt;&gt;"",A10&amp;" | "&amp;B10&amp;IF(C10="S"," [OP2%]",""),"")</f>
        <v>50056 | COTON Y SANCHEZ S.L.</v>
      </c>
    </row>
    <row r="11" customFormat="false" ht="15" hidden="false" customHeight="true" outlineLevel="0" collapsed="false">
      <c r="A11" s="87" t="n">
        <v>50064</v>
      </c>
      <c r="B11" s="166" t="s">
        <v>887</v>
      </c>
      <c r="C11" s="167" t="s">
        <v>381</v>
      </c>
      <c r="D11" s="166" t="s">
        <v>885</v>
      </c>
      <c r="E11" s="104" t="str">
        <f aca="false">IF(A11&lt;&gt;"",A11&amp;" | "&amp;B11&amp;IF(C11="S"," [OP2%]",""),"")</f>
        <v>50064 | PESCADOS CORCUBION</v>
      </c>
    </row>
    <row r="12" customFormat="false" ht="15" hidden="false" customHeight="true" outlineLevel="0" collapsed="false">
      <c r="A12" s="87" t="n">
        <v>50069</v>
      </c>
      <c r="B12" s="168" t="s">
        <v>888</v>
      </c>
      <c r="C12" s="167" t="s">
        <v>365</v>
      </c>
      <c r="D12" s="168" t="s">
        <v>882</v>
      </c>
      <c r="E12" s="104" t="str">
        <f aca="false">IF(A12&lt;&gt;"",A12&amp;" | "&amp;B12&amp;IF(C12="S"," [OP2%]",""),"")</f>
        <v>50069 | PESCADOS ILLANES S.L. [OP2%]</v>
      </c>
    </row>
    <row r="13" customFormat="false" ht="15" hidden="false" customHeight="true" outlineLevel="0" collapsed="false">
      <c r="A13" s="87" t="n">
        <v>50106</v>
      </c>
      <c r="B13" s="166" t="s">
        <v>377</v>
      </c>
      <c r="C13" s="167" t="s">
        <v>365</v>
      </c>
      <c r="D13" s="166" t="s">
        <v>882</v>
      </c>
      <c r="E13" s="104" t="str">
        <f aca="false">IF(A13&lt;&gt;"",A13&amp;" | "&amp;B13&amp;IF(C13="S"," [OP2%]",""),"")</f>
        <v>50106 | SONIA VENTAS S.L [OP2%]</v>
      </c>
    </row>
    <row r="14" customFormat="false" ht="15" hidden="false" customHeight="true" outlineLevel="0" collapsed="false">
      <c r="A14" s="87" t="n">
        <v>50146</v>
      </c>
      <c r="B14" s="168" t="s">
        <v>889</v>
      </c>
      <c r="C14" s="167" t="s">
        <v>365</v>
      </c>
      <c r="D14" s="168" t="s">
        <v>882</v>
      </c>
      <c r="E14" s="104" t="str">
        <f aca="false">IF(A14&lt;&gt;"",A14&amp;" | "&amp;B14&amp;IF(C14="S"," [OP2%]",""),"")</f>
        <v>50146 | MAR BERMEO S.L. [OP2%]</v>
      </c>
    </row>
    <row r="15" customFormat="false" ht="15" hidden="false" customHeight="true" outlineLevel="0" collapsed="false">
      <c r="A15" s="87" t="n">
        <v>50152</v>
      </c>
      <c r="B15" s="166" t="s">
        <v>890</v>
      </c>
      <c r="C15" s="167" t="s">
        <v>381</v>
      </c>
      <c r="D15" s="166" t="s">
        <v>885</v>
      </c>
      <c r="E15" s="104" t="str">
        <f aca="false">IF(A15&lt;&gt;"",A15&amp;" | "&amp;B15&amp;IF(C15="S"," [OP2%]",""),"")</f>
        <v>50152 | DOMAR CORUÑA S.L</v>
      </c>
    </row>
    <row r="16" customFormat="false" ht="15" hidden="false" customHeight="true" outlineLevel="0" collapsed="false">
      <c r="A16" s="87" t="n">
        <v>50158</v>
      </c>
      <c r="B16" s="168" t="s">
        <v>891</v>
      </c>
      <c r="C16" s="167" t="s">
        <v>381</v>
      </c>
      <c r="D16" s="168" t="s">
        <v>885</v>
      </c>
      <c r="E16" s="104" t="str">
        <f aca="false">IF(A16&lt;&gt;"",A16&amp;" | "&amp;B16&amp;IF(C16="S"," [OP2%]",""),"")</f>
        <v>50158 | FORO-MAREE</v>
      </c>
    </row>
    <row r="17" customFormat="false" ht="15" hidden="false" customHeight="true" outlineLevel="0" collapsed="false">
      <c r="A17" s="87" t="n">
        <v>50160</v>
      </c>
      <c r="B17" s="166" t="s">
        <v>379</v>
      </c>
      <c r="C17" s="167" t="s">
        <v>365</v>
      </c>
      <c r="D17" s="166" t="s">
        <v>882</v>
      </c>
      <c r="E17" s="104" t="str">
        <f aca="false">IF(A17&lt;&gt;"",A17&amp;" | "&amp;B17&amp;IF(C17="S"," [OP2%]",""),"")</f>
        <v>50160 | SUBASTAS CORUÑA S.L. [OP2%]</v>
      </c>
    </row>
    <row r="18" customFormat="false" ht="15" hidden="false" customHeight="true" outlineLevel="0" collapsed="false">
      <c r="A18" s="87" t="n">
        <v>50163</v>
      </c>
      <c r="B18" s="168" t="s">
        <v>375</v>
      </c>
      <c r="C18" s="167" t="s">
        <v>365</v>
      </c>
      <c r="D18" s="168" t="s">
        <v>882</v>
      </c>
      <c r="E18" s="104" t="str">
        <f aca="false">IF(A18&lt;&gt;"",A18&amp;" | "&amp;B18&amp;IF(C18="S"," [OP2%]",""),"")</f>
        <v>50163 | SUBASTAS RIVERA S.L. [OP2%]</v>
      </c>
    </row>
    <row r="19" customFormat="false" ht="15" hidden="false" customHeight="true" outlineLevel="0" collapsed="false">
      <c r="A19" s="87" t="n">
        <v>50164</v>
      </c>
      <c r="B19" s="166" t="s">
        <v>384</v>
      </c>
      <c r="C19" s="167" t="s">
        <v>381</v>
      </c>
      <c r="D19" s="166" t="s">
        <v>885</v>
      </c>
      <c r="E19" s="104" t="str">
        <f aca="false">IF(A19&lt;&gt;"",A19&amp;" | "&amp;B19&amp;IF(C19="S"," [OP2%]",""),"")</f>
        <v>50164 | ABRGO NORTE S.L.</v>
      </c>
    </row>
    <row r="20" customFormat="false" ht="15" hidden="false" customHeight="true" outlineLevel="0" collapsed="false">
      <c r="A20" s="87" t="n">
        <v>50190</v>
      </c>
      <c r="B20" s="168" t="s">
        <v>892</v>
      </c>
      <c r="C20" s="167" t="s">
        <v>381</v>
      </c>
      <c r="D20" s="168" t="s">
        <v>885</v>
      </c>
      <c r="E20" s="104" t="str">
        <f aca="false">IF(A20&lt;&gt;"",A20&amp;" | "&amp;B20&amp;IF(C20="S"," [OP2%]",""),"")</f>
        <v>50190 | PEIXES E MARISCOS ANEIROS S.L.</v>
      </c>
    </row>
    <row r="21" customFormat="false" ht="15" hidden="false" customHeight="true" outlineLevel="0" collapsed="false">
      <c r="A21" s="87" t="n">
        <v>50196</v>
      </c>
      <c r="B21" s="166" t="s">
        <v>893</v>
      </c>
      <c r="C21" s="167" t="s">
        <v>381</v>
      </c>
      <c r="D21" s="166" t="s">
        <v>885</v>
      </c>
      <c r="E21" s="104" t="str">
        <f aca="false">IF(A21&lt;&gt;"",A21&amp;" | "&amp;B21&amp;IF(C21="S"," [OP2%]",""),"")</f>
        <v>50196 | PORTABALES S.L.</v>
      </c>
    </row>
    <row r="22" customFormat="false" ht="15" hidden="false" customHeight="true" outlineLevel="0" collapsed="false">
      <c r="A22" s="87" t="n">
        <v>50201</v>
      </c>
      <c r="B22" s="168" t="s">
        <v>894</v>
      </c>
      <c r="C22" s="167" t="s">
        <v>381</v>
      </c>
      <c r="D22" s="168" t="s">
        <v>885</v>
      </c>
      <c r="E22" s="104" t="str">
        <f aca="false">IF(A22&lt;&gt;"",A22&amp;" | "&amp;B22&amp;IF(C22="S"," [OP2%]",""),"")</f>
        <v>50201 | PESCADOS MANUELA GARCIA S.L</v>
      </c>
    </row>
    <row r="23" customFormat="false" ht="15" hidden="false" customHeight="true" outlineLevel="0" collapsed="false">
      <c r="A23" s="87" t="n">
        <v>50207</v>
      </c>
      <c r="B23" s="166" t="s">
        <v>895</v>
      </c>
      <c r="C23" s="167" t="s">
        <v>365</v>
      </c>
      <c r="D23" s="166" t="s">
        <v>882</v>
      </c>
      <c r="E23" s="104" t="str">
        <f aca="false">IF(A23&lt;&gt;"",A23&amp;" | "&amp;B23&amp;IF(C23="S"," [OP2%]",""),"")</f>
        <v>50207 | MARLEDICIA S.L [OP2%]</v>
      </c>
    </row>
    <row r="24" customFormat="false" ht="15" hidden="false" customHeight="true" outlineLevel="0" collapsed="false">
      <c r="A24" s="87" t="n">
        <v>50213</v>
      </c>
      <c r="B24" s="168" t="s">
        <v>896</v>
      </c>
      <c r="C24" s="167" t="s">
        <v>381</v>
      </c>
      <c r="D24" s="168" t="s">
        <v>885</v>
      </c>
      <c r="E24" s="104" t="str">
        <f aca="false">IF(A24&lt;&gt;"",A24&amp;" | "&amp;B24&amp;IF(C24="S"," [OP2%]",""),"")</f>
        <v>50213 | PESCADOS OCEANO ATLANTICO S.L.</v>
      </c>
    </row>
    <row r="25" customFormat="false" ht="15" hidden="false" customHeight="true" outlineLevel="0" collapsed="false">
      <c r="A25" s="87" t="n">
        <v>50218</v>
      </c>
      <c r="B25" s="166" t="s">
        <v>897</v>
      </c>
      <c r="C25" s="167" t="s">
        <v>365</v>
      </c>
      <c r="D25" s="166" t="s">
        <v>882</v>
      </c>
      <c r="E25" s="104" t="str">
        <f aca="false">IF(A25&lt;&gt;"",A25&amp;" | "&amp;B25&amp;IF(C25="S"," [OP2%]",""),"")</f>
        <v>50218 | ACERGA  [OP2%]</v>
      </c>
    </row>
    <row r="26" customFormat="false" ht="15" hidden="false" customHeight="true" outlineLevel="0" collapsed="false">
      <c r="A26" s="87" t="n">
        <v>50227</v>
      </c>
      <c r="B26" s="168" t="s">
        <v>898</v>
      </c>
      <c r="C26" s="167" t="s">
        <v>381</v>
      </c>
      <c r="D26" s="168" t="s">
        <v>885</v>
      </c>
      <c r="E26" s="104" t="str">
        <f aca="false">IF(A26&lt;&gt;"",A26&amp;" | "&amp;B26&amp;IF(C26="S"," [OP2%]",""),"")</f>
        <v>50227 | BRISAMAR</v>
      </c>
    </row>
    <row r="27" customFormat="false" ht="15" hidden="false" customHeight="true" outlineLevel="0" collapsed="false">
      <c r="A27" s="87" t="n">
        <v>50229</v>
      </c>
      <c r="B27" s="166" t="s">
        <v>899</v>
      </c>
      <c r="C27" s="167" t="s">
        <v>381</v>
      </c>
      <c r="D27" s="166" t="s">
        <v>885</v>
      </c>
      <c r="E27" s="104" t="str">
        <f aca="false">IF(A27&lt;&gt;"",A27&amp;" | "&amp;B27&amp;IF(C27="S"," [OP2%]",""),"")</f>
        <v>50229 | DA LONXA O PRATO</v>
      </c>
    </row>
    <row r="28" customFormat="false" ht="15" hidden="false" customHeight="true" outlineLevel="0" collapsed="false">
      <c r="A28" s="87" t="n">
        <v>50231</v>
      </c>
      <c r="B28" s="168" t="s">
        <v>900</v>
      </c>
      <c r="C28" s="167" t="s">
        <v>381</v>
      </c>
      <c r="D28" s="168" t="s">
        <v>885</v>
      </c>
      <c r="E28" s="104" t="str">
        <f aca="false">IF(A28&lt;&gt;"",A28&amp;" | "&amp;B28&amp;IF(C28="S"," [OP2%]",""),"")</f>
        <v>50231 | PESCADOS ERNESTO Y MARIA S.L.</v>
      </c>
    </row>
    <row r="29" customFormat="false" ht="15" hidden="false" customHeight="true" outlineLevel="0" collapsed="false">
      <c r="A29" s="87" t="n">
        <v>50232</v>
      </c>
      <c r="B29" s="166" t="s">
        <v>437</v>
      </c>
      <c r="C29" s="167" t="s">
        <v>365</v>
      </c>
      <c r="D29" s="166" t="s">
        <v>885</v>
      </c>
      <c r="E29" s="104" t="str">
        <f aca="false">IF(A29&lt;&gt;"",A29&amp;" | "&amp;B29&amp;IF(C29="S"," [OP2%]",""),"")</f>
        <v>50232 | XESTION NOVA LONXA RIVEIRA S.L. [OP2%]</v>
      </c>
    </row>
    <row r="30" customFormat="false" ht="15" hidden="false" customHeight="true" outlineLevel="0" collapsed="false">
      <c r="A30" s="87" t="n">
        <v>50233</v>
      </c>
      <c r="B30" s="168" t="s">
        <v>901</v>
      </c>
      <c r="C30" s="167" t="s">
        <v>381</v>
      </c>
      <c r="D30" s="168" t="s">
        <v>885</v>
      </c>
      <c r="E30" s="104" t="str">
        <f aca="false">IF(A30&lt;&gt;"",A30&amp;" | "&amp;B30&amp;IF(C30="S"," [OP2%]",""),"")</f>
        <v>50233 | ANGELPESCA S.L.</v>
      </c>
    </row>
    <row r="31" customFormat="false" ht="15" hidden="false" customHeight="true" outlineLevel="0" collapsed="false">
      <c r="A31" s="87" t="n">
        <v>50235</v>
      </c>
      <c r="B31" s="166" t="s">
        <v>884</v>
      </c>
      <c r="C31" s="167" t="s">
        <v>365</v>
      </c>
      <c r="D31" s="166" t="s">
        <v>882</v>
      </c>
      <c r="E31" s="104" t="str">
        <f aca="false">IF(A31&lt;&gt;"",A31&amp;" | "&amp;B31&amp;IF(C31="S"," [OP2%]",""),"")</f>
        <v>50235 | MANUEL CEBREIRA MELLA [OP2%]</v>
      </c>
    </row>
    <row r="32" customFormat="false" ht="15" hidden="false" customHeight="true" outlineLevel="0" collapsed="false">
      <c r="A32" s="87" t="n">
        <v>50236</v>
      </c>
      <c r="B32" s="168" t="s">
        <v>902</v>
      </c>
      <c r="C32" s="167" t="s">
        <v>381</v>
      </c>
      <c r="D32" s="168" t="s">
        <v>885</v>
      </c>
      <c r="E32" s="104" t="str">
        <f aca="false">IF(A32&lt;&gt;"",A32&amp;" | "&amp;B32&amp;IF(C32="S"," [OP2%]",""),"")</f>
        <v>50236 | CASIMIRO PEREZ RODRIGUEZ</v>
      </c>
    </row>
    <row r="33" customFormat="false" ht="15" hidden="false" customHeight="true" outlineLevel="0" collapsed="false">
      <c r="A33" s="87" t="n">
        <v>50509</v>
      </c>
      <c r="B33" s="166" t="s">
        <v>387</v>
      </c>
      <c r="C33" s="167" t="s">
        <v>381</v>
      </c>
      <c r="D33" s="166" t="s">
        <v>885</v>
      </c>
      <c r="E33" s="104" t="str">
        <f aca="false">IF(A33&lt;&gt;"",A33&amp;" | "&amp;B33&amp;IF(C33="S"," [OP2%]",""),"")</f>
        <v>50509 | AZORFISK UNIPERSONAL LDA</v>
      </c>
    </row>
    <row r="34" customFormat="false" ht="15" hidden="false" customHeight="true" outlineLevel="0" collapsed="false">
      <c r="A34" s="87" t="n">
        <v>50510</v>
      </c>
      <c r="B34" s="168" t="s">
        <v>903</v>
      </c>
      <c r="C34" s="167" t="s">
        <v>381</v>
      </c>
      <c r="D34" s="168" t="s">
        <v>885</v>
      </c>
      <c r="E34" s="104" t="str">
        <f aca="false">IF(A34&lt;&gt;"",A34&amp;" | "&amp;B34&amp;IF(C34="S"," [OP2%]",""),"")</f>
        <v>50510 | PETACA CHICO S.L.</v>
      </c>
    </row>
    <row r="35" customFormat="false" ht="15" hidden="false" customHeight="true" outlineLevel="0" collapsed="false">
      <c r="A35" s="87" t="n">
        <v>50511</v>
      </c>
      <c r="B35" s="166" t="s">
        <v>904</v>
      </c>
      <c r="C35" s="167" t="s">
        <v>381</v>
      </c>
      <c r="D35" s="166" t="s">
        <v>885</v>
      </c>
      <c r="E35" s="104" t="str">
        <f aca="false">IF(A35&lt;&gt;"",A35&amp;" | "&amp;B35&amp;IF(C35="S"," [OP2%]",""),"")</f>
        <v>50511 | PESCADO JAMARDO S.L</v>
      </c>
    </row>
    <row r="36" customFormat="false" ht="15" hidden="false" customHeight="true" outlineLevel="0" collapsed="false">
      <c r="A36" s="87" t="n">
        <v>50512</v>
      </c>
      <c r="B36" s="168" t="s">
        <v>905</v>
      </c>
      <c r="C36" s="167" t="s">
        <v>381</v>
      </c>
      <c r="D36" s="168" t="s">
        <v>885</v>
      </c>
      <c r="E36" s="104" t="str">
        <f aca="false">IF(A36&lt;&gt;"",A36&amp;" | "&amp;B36&amp;IF(C36="S"," [OP2%]",""),"")</f>
        <v>50512 | MAR IMPORT VENTA S.L.</v>
      </c>
    </row>
    <row r="37" customFormat="false" ht="15" hidden="false" customHeight="true" outlineLevel="0" collapsed="false">
      <c r="A37" s="87" t="n">
        <v>50513</v>
      </c>
      <c r="B37" s="166" t="s">
        <v>906</v>
      </c>
      <c r="C37" s="167" t="s">
        <v>365</v>
      </c>
      <c r="D37" s="166" t="s">
        <v>882</v>
      </c>
      <c r="E37" s="104" t="str">
        <f aca="false">IF(A37&lt;&gt;"",A37&amp;" | "&amp;B37&amp;IF(C37="S"," [OP2%]",""),"")</f>
        <v>50513 | SUBASTAS CEBREIRA S.L. [OP2%]</v>
      </c>
    </row>
    <row r="38" customFormat="false" ht="15" hidden="false" customHeight="true" outlineLevel="0" collapsed="false">
      <c r="A38" s="87" t="n">
        <v>50514</v>
      </c>
      <c r="B38" s="168" t="s">
        <v>907</v>
      </c>
      <c r="C38" s="167" t="s">
        <v>381</v>
      </c>
      <c r="D38" s="168" t="s">
        <v>885</v>
      </c>
      <c r="E38" s="104" t="str">
        <f aca="false">IF(A38&lt;&gt;"",A38&amp;" | "&amp;B38&amp;IF(C38="S"," [OP2%]",""),"")</f>
        <v>50514 | PESCADO Y MARISCOS ADELAIDA S.L.</v>
      </c>
    </row>
    <row r="39" customFormat="false" ht="15" hidden="false" customHeight="true" outlineLevel="0" collapsed="false">
      <c r="A39" s="87" t="n">
        <v>50515</v>
      </c>
      <c r="B39" s="166" t="s">
        <v>908</v>
      </c>
      <c r="C39" s="167" t="s">
        <v>381</v>
      </c>
      <c r="D39" s="166" t="s">
        <v>885</v>
      </c>
      <c r="E39" s="104" t="str">
        <f aca="false">IF(A39&lt;&gt;"",A39&amp;" | "&amp;B39&amp;IF(C39="S"," [OP2%]",""),"")</f>
        <v>50515 | PESCADOS CHEMAER S.L.</v>
      </c>
    </row>
    <row r="40" customFormat="false" ht="15" hidden="false" customHeight="true" outlineLevel="0" collapsed="false">
      <c r="A40" s="87" t="n">
        <v>50516</v>
      </c>
      <c r="B40" s="168" t="s">
        <v>909</v>
      </c>
      <c r="C40" s="167" t="s">
        <v>381</v>
      </c>
      <c r="D40" s="168" t="s">
        <v>885</v>
      </c>
      <c r="E40" s="104" t="str">
        <f aca="false">IF(A40&lt;&gt;"",A40&amp;" | "&amp;B40&amp;IF(C40="S"," [OP2%]",""),"")</f>
        <v>50516 | PESLEIRAS S.L.</v>
      </c>
    </row>
    <row r="41" customFormat="false" ht="15" hidden="false" customHeight="true" outlineLevel="0" collapsed="false">
      <c r="A41" s="87" t="n">
        <v>50517</v>
      </c>
      <c r="B41" s="166" t="s">
        <v>910</v>
      </c>
      <c r="C41" s="167" t="s">
        <v>381</v>
      </c>
      <c r="D41" s="166" t="s">
        <v>885</v>
      </c>
      <c r="E41" s="104" t="str">
        <f aca="false">IF(A41&lt;&gt;"",A41&amp;" | "&amp;B41&amp;IF(C41="S"," [OP2%]",""),"")</f>
        <v>50517 | VELOMAR S.L.</v>
      </c>
    </row>
    <row r="42" customFormat="false" ht="15" hidden="false" customHeight="true" outlineLevel="0" collapsed="false">
      <c r="A42" s="87" t="n">
        <v>50518</v>
      </c>
      <c r="B42" s="168" t="s">
        <v>911</v>
      </c>
      <c r="C42" s="167" t="s">
        <v>381</v>
      </c>
      <c r="D42" s="168" t="s">
        <v>885</v>
      </c>
      <c r="E42" s="104" t="str">
        <f aca="false">IF(A42&lt;&gt;"",A42&amp;" | "&amp;B42&amp;IF(C42="S"," [OP2%]",""),"")</f>
        <v>50518 | NOVOMA DE CELEIRO S.L</v>
      </c>
    </row>
    <row r="43" customFormat="false" ht="15" hidden="false" customHeight="true" outlineLevel="0" collapsed="false">
      <c r="A43" s="87" t="n">
        <v>50519</v>
      </c>
      <c r="B43" s="166" t="s">
        <v>912</v>
      </c>
      <c r="C43" s="167" t="s">
        <v>381</v>
      </c>
      <c r="D43" s="166" t="s">
        <v>885</v>
      </c>
      <c r="E43" s="104" t="str">
        <f aca="false">IF(A43&lt;&gt;"",A43&amp;" | "&amp;B43&amp;IF(C43="S"," [OP2%]",""),"")</f>
        <v>50519 | SANTIAGO MONTENEGRO CAMPOS S.L.</v>
      </c>
    </row>
    <row r="44" customFormat="false" ht="15" hidden="false" customHeight="true" outlineLevel="0" collapsed="false">
      <c r="A44" s="87" t="n">
        <v>50520</v>
      </c>
      <c r="B44" s="168" t="s">
        <v>913</v>
      </c>
      <c r="C44" s="167" t="s">
        <v>381</v>
      </c>
      <c r="D44" s="168" t="s">
        <v>885</v>
      </c>
      <c r="E44" s="104" t="str">
        <f aca="false">IF(A44&lt;&gt;"",A44&amp;" | "&amp;B44&amp;IF(C44="S"," [OP2%]",""),"")</f>
        <v>50520 | GRUPO ENVIMAR NW S.L.</v>
      </c>
    </row>
    <row r="45" customFormat="false" ht="15" hidden="false" customHeight="true" outlineLevel="0" collapsed="false">
      <c r="A45" s="87" t="n">
        <v>50521</v>
      </c>
      <c r="B45" s="166" t="s">
        <v>914</v>
      </c>
      <c r="C45" s="167" t="s">
        <v>365</v>
      </c>
      <c r="D45" s="166" t="s">
        <v>885</v>
      </c>
      <c r="E45" s="104" t="str">
        <f aca="false">IF(A45&lt;&gt;"",A45&amp;" | "&amp;B45&amp;IF(C45="S"," [OP2%]",""),"")</f>
        <v>50521 | SUBASTAS DE ATLANTICO S.L [OP2%]</v>
      </c>
    </row>
    <row r="46" customFormat="false" ht="15" hidden="false" customHeight="true" outlineLevel="0" collapsed="false">
      <c r="A46" s="87" t="n">
        <v>50525</v>
      </c>
      <c r="B46" s="168" t="s">
        <v>915</v>
      </c>
      <c r="C46" s="167" t="s">
        <v>381</v>
      </c>
      <c r="D46" s="168" t="s">
        <v>885</v>
      </c>
      <c r="E46" s="104" t="str">
        <f aca="false">IF(A46&lt;&gt;"",A46&amp;" | "&amp;B46&amp;IF(C46="S"," [OP2%]",""),"")</f>
        <v>50525 | FURIC MAREE</v>
      </c>
    </row>
    <row r="47" customFormat="false" ht="15" hidden="false" customHeight="true" outlineLevel="0" collapsed="false">
      <c r="A47" s="87" t="n">
        <v>50523</v>
      </c>
      <c r="B47" s="166" t="s">
        <v>916</v>
      </c>
      <c r="C47" s="167" t="s">
        <v>381</v>
      </c>
      <c r="D47" s="166" t="s">
        <v>885</v>
      </c>
      <c r="E47" s="104" t="str">
        <f aca="false">IF(A47&lt;&gt;"",A47&amp;" | "&amp;B47&amp;IF(C47="S"," [OP2%]",""),"")</f>
        <v>50523 | URK-EXPORT B.V</v>
      </c>
    </row>
    <row r="48" customFormat="false" ht="15" hidden="false" customHeight="true" outlineLevel="0" collapsed="false">
      <c r="A48" s="87" t="n">
        <v>50522</v>
      </c>
      <c r="B48" s="168" t="s">
        <v>917</v>
      </c>
      <c r="C48" s="167" t="s">
        <v>381</v>
      </c>
      <c r="D48" s="168" t="s">
        <v>885</v>
      </c>
      <c r="E48" s="104" t="str">
        <f aca="false">IF(A48&lt;&gt;"",A48&amp;" | "&amp;B48&amp;IF(C48="S"," [OP2%]",""),"")</f>
        <v>50522 | CENOR QUEIJO CORUÑA</v>
      </c>
    </row>
    <row r="49" customFormat="false" ht="15" hidden="false" customHeight="true" outlineLevel="0" collapsed="false">
      <c r="A49" s="87" t="n">
        <v>50531</v>
      </c>
      <c r="B49" s="166" t="s">
        <v>918</v>
      </c>
      <c r="C49" s="167" t="s">
        <v>381</v>
      </c>
      <c r="D49" s="166" t="s">
        <v>885</v>
      </c>
      <c r="E49" s="104" t="str">
        <f aca="false">IF(A49&lt;&gt;"",A49&amp;" | "&amp;B49&amp;IF(C49="S"," [OP2%]",""),"")</f>
        <v>50531 | SANCHEZ LOPEZ MIGUEL</v>
      </c>
    </row>
    <row r="50" customFormat="false" ht="15" hidden="false" customHeight="true" outlineLevel="0" collapsed="false">
      <c r="A50" s="87" t="n">
        <v>50532</v>
      </c>
      <c r="B50" s="168" t="s">
        <v>919</v>
      </c>
      <c r="C50" s="167" t="s">
        <v>381</v>
      </c>
      <c r="D50" s="168" t="s">
        <v>885</v>
      </c>
      <c r="E50" s="104" t="str">
        <f aca="false">IF(A50&lt;&gt;"",A50&amp;" | "&amp;B50&amp;IF(C50="S"," [OP2%]",""),"")</f>
        <v>50532 | AITORPESCA S.L.</v>
      </c>
    </row>
    <row r="51" customFormat="false" ht="15" hidden="false" customHeight="true" outlineLevel="0" collapsed="false">
      <c r="A51" s="87" t="n">
        <v>50193</v>
      </c>
      <c r="B51" s="166" t="s">
        <v>920</v>
      </c>
      <c r="C51" s="167" t="s">
        <v>381</v>
      </c>
      <c r="D51" s="166" t="s">
        <v>885</v>
      </c>
      <c r="E51" s="104" t="str">
        <f aca="false">IF(A51&lt;&gt;"",A51&amp;" | "&amp;B51&amp;IF(C51="S"," [OP2%]",""),"")</f>
        <v>50193 | FRANCISCO JAVIER ARROJO SOUTO</v>
      </c>
    </row>
    <row r="52" customFormat="false" ht="15" hidden="false" customHeight="true" outlineLevel="0" collapsed="false">
      <c r="A52" s="87" t="n">
        <v>50526</v>
      </c>
      <c r="B52" s="168" t="s">
        <v>921</v>
      </c>
      <c r="C52" s="167" t="s">
        <v>381</v>
      </c>
      <c r="D52" s="168" t="s">
        <v>885</v>
      </c>
      <c r="E52" s="104" t="str">
        <f aca="false">IF(A52&lt;&gt;"",A52&amp;" | "&amp;B52&amp;IF(C52="S"," [OP2%]",""),"")</f>
        <v>50526 | BARROS PESCAGALICIA, S.L.</v>
      </c>
    </row>
    <row r="53" customFormat="false" ht="15" hidden="false" customHeight="true" outlineLevel="0" collapsed="false">
      <c r="A53" s="87" t="n">
        <v>50533</v>
      </c>
      <c r="B53" s="168" t="s">
        <v>922</v>
      </c>
      <c r="C53" s="167" t="s">
        <v>381</v>
      </c>
      <c r="D53" s="166" t="s">
        <v>885</v>
      </c>
      <c r="E53" s="104" t="str">
        <f aca="false">IF(A53&lt;&gt;"",A53&amp;" | "&amp;B53&amp;IF(C53="S"," [OP2%]",""),"")</f>
        <v>50533 | LURDES MARIÑO, S.L.</v>
      </c>
    </row>
    <row r="54" customFormat="false" ht="15" hidden="false" customHeight="true" outlineLevel="0" collapsed="false">
      <c r="A54" s="168"/>
      <c r="B54" s="168"/>
      <c r="C54" s="167"/>
      <c r="D54" s="168"/>
      <c r="E54" s="104" t="str">
        <f aca="false">IF(A54&lt;&gt;"",A54&amp;" | "&amp;B54&amp;IF(C54="S"," [OP2%]",""),"")</f>
        <v/>
      </c>
    </row>
    <row r="55" customFormat="false" ht="15" hidden="false" customHeight="true" outlineLevel="0" collapsed="false">
      <c r="A55" s="166"/>
      <c r="B55" s="166"/>
      <c r="C55" s="166"/>
      <c r="D55" s="166"/>
      <c r="E55" s="104" t="str">
        <f aca="false">IF(A55&lt;&gt;"",A55&amp;" | "&amp;B55&amp;IF(C55="S"," [OP2%]",""),"")</f>
        <v/>
      </c>
    </row>
    <row r="56" customFormat="false" ht="15" hidden="false" customHeight="true" outlineLevel="0" collapsed="false">
      <c r="A56" s="168"/>
      <c r="B56" s="168"/>
      <c r="C56" s="168"/>
      <c r="D56" s="168"/>
      <c r="E56" s="104" t="str">
        <f aca="false">IF(A56&lt;&gt;"",A56&amp;" | "&amp;B56&amp;IF(C56="S"," [OP2%]",""),"")</f>
        <v/>
      </c>
    </row>
    <row r="57" customFormat="false" ht="15" hidden="false" customHeight="true" outlineLevel="0" collapsed="false">
      <c r="A57" s="166"/>
      <c r="B57" s="166"/>
      <c r="C57" s="166"/>
      <c r="D57" s="166"/>
      <c r="E57" s="104" t="str">
        <f aca="false">IF(A57&lt;&gt;"",A57&amp;" | "&amp;B57&amp;IF(C57="S"," [OP2%]",""),"")</f>
        <v/>
      </c>
    </row>
    <row r="58" customFormat="false" ht="15" hidden="false" customHeight="true" outlineLevel="0" collapsed="false">
      <c r="A58" s="168"/>
      <c r="B58" s="168"/>
      <c r="C58" s="168"/>
      <c r="D58" s="168"/>
      <c r="E58" s="104" t="str">
        <f aca="false">IF(A58&lt;&gt;"",A58&amp;" | "&amp;B58&amp;IF(C58="S"," [OP2%]",""),"")</f>
        <v/>
      </c>
    </row>
    <row r="59" customFormat="false" ht="15" hidden="false" customHeight="true" outlineLevel="0" collapsed="false">
      <c r="A59" s="166"/>
      <c r="B59" s="166"/>
      <c r="C59" s="166"/>
      <c r="D59" s="166"/>
      <c r="E59" s="104" t="str">
        <f aca="false">IF(A59&lt;&gt;"",A59&amp;" | "&amp;B59&amp;IF(C59="S"," [OP2%]",""),"")</f>
        <v/>
      </c>
    </row>
    <row r="60" customFormat="false" ht="15" hidden="false" customHeight="true" outlineLevel="0" collapsed="false">
      <c r="A60" s="168"/>
      <c r="B60" s="168"/>
      <c r="C60" s="168"/>
      <c r="D60" s="168"/>
      <c r="E60" s="104" t="str">
        <f aca="false">IF(A60&lt;&gt;"",A60&amp;" | "&amp;B60&amp;IF(C60="S"," [OP2%]",""),"")</f>
        <v/>
      </c>
    </row>
    <row r="61" customFormat="false" ht="15" hidden="false" customHeight="true" outlineLevel="0" collapsed="false">
      <c r="A61" s="166"/>
      <c r="B61" s="166"/>
      <c r="C61" s="166"/>
      <c r="D61" s="166"/>
      <c r="E61" s="104" t="str">
        <f aca="false">IF(A61&lt;&gt;"",A61&amp;" | "&amp;B61&amp;IF(C61="S"," [OP2%]",""),"")</f>
        <v/>
      </c>
    </row>
    <row r="62" customFormat="false" ht="15" hidden="false" customHeight="true" outlineLevel="0" collapsed="false">
      <c r="A62" s="168"/>
      <c r="B62" s="168"/>
      <c r="C62" s="168"/>
      <c r="D62" s="168"/>
      <c r="E62" s="104" t="str">
        <f aca="false">IF(A62&lt;&gt;"",A62&amp;" | "&amp;B62&amp;IF(C62="S"," [OP2%]",""),"")</f>
        <v/>
      </c>
    </row>
    <row r="63" customFormat="false" ht="15" hidden="false" customHeight="true" outlineLevel="0" collapsed="false">
      <c r="A63" s="166"/>
      <c r="B63" s="166"/>
      <c r="C63" s="166"/>
      <c r="D63" s="166"/>
      <c r="E63" s="104" t="str">
        <f aca="false">IF(A63&lt;&gt;"",A63&amp;" | "&amp;B63&amp;IF(C63="S"," [OP2%]",""),"")</f>
        <v/>
      </c>
    </row>
    <row r="64" customFormat="false" ht="15" hidden="false" customHeight="true" outlineLevel="0" collapsed="false">
      <c r="A64" s="168"/>
      <c r="B64" s="168"/>
      <c r="C64" s="168"/>
      <c r="D64" s="168"/>
      <c r="E64" s="104" t="str">
        <f aca="false">IF(A64&lt;&gt;"",A64&amp;" | "&amp;B64&amp;IF(C64="S"," [OP2%]",""),"")</f>
        <v/>
      </c>
    </row>
    <row r="65" customFormat="false" ht="15" hidden="false" customHeight="true" outlineLevel="0" collapsed="false">
      <c r="A65" s="166"/>
      <c r="B65" s="166"/>
      <c r="C65" s="166"/>
      <c r="D65" s="166"/>
      <c r="E65" s="104" t="str">
        <f aca="false">IF(A65&lt;&gt;"",A65&amp;" | "&amp;B65&amp;IF(C65="S"," [OP2%]",""),"")</f>
        <v/>
      </c>
    </row>
    <row r="66" customFormat="false" ht="15" hidden="false" customHeight="true" outlineLevel="0" collapsed="false">
      <c r="A66" s="168"/>
      <c r="B66" s="168"/>
      <c r="C66" s="168"/>
      <c r="D66" s="168"/>
      <c r="E66" s="104" t="str">
        <f aca="false">IF(A66&lt;&gt;"",A66&amp;" | "&amp;B66&amp;IF(C66="S"," [OP2%]",""),"")</f>
        <v/>
      </c>
    </row>
    <row r="67" customFormat="false" ht="15" hidden="false" customHeight="true" outlineLevel="0" collapsed="false">
      <c r="A67" s="166"/>
      <c r="B67" s="166"/>
      <c r="C67" s="166"/>
      <c r="D67" s="166"/>
      <c r="E67" s="104" t="str">
        <f aca="false">IF(A67&lt;&gt;"",A67&amp;" | "&amp;B67&amp;IF(C67="S"," [OP2%]",""),"")</f>
        <v/>
      </c>
    </row>
    <row r="68" customFormat="false" ht="15" hidden="false" customHeight="true" outlineLevel="0" collapsed="false">
      <c r="A68" s="168"/>
      <c r="B68" s="168"/>
      <c r="C68" s="168"/>
      <c r="D68" s="168"/>
      <c r="E68" s="104" t="str">
        <f aca="false">IF(A68&lt;&gt;"",A68&amp;" | "&amp;B68&amp;IF(C68="S"," [OP2%]",""),"")</f>
        <v/>
      </c>
    </row>
    <row r="69" customFormat="false" ht="15" hidden="false" customHeight="true" outlineLevel="0" collapsed="false">
      <c r="A69" s="166"/>
      <c r="B69" s="166"/>
      <c r="C69" s="166"/>
      <c r="D69" s="166"/>
      <c r="E69" s="104" t="str">
        <f aca="false">IF(A69&lt;&gt;"",A69&amp;" | "&amp;B69&amp;IF(C69="S"," [OP2%]",""),"")</f>
        <v/>
      </c>
    </row>
    <row r="70" customFormat="false" ht="15" hidden="false" customHeight="true" outlineLevel="0" collapsed="false">
      <c r="A70" s="168"/>
      <c r="B70" s="168"/>
      <c r="C70" s="168"/>
      <c r="D70" s="168"/>
      <c r="E70" s="104" t="str">
        <f aca="false">IF(A70&lt;&gt;"",A70&amp;" | "&amp;B70&amp;IF(C70="S"," [OP2%]",""),"")</f>
        <v/>
      </c>
    </row>
    <row r="71" customFormat="false" ht="15" hidden="false" customHeight="true" outlineLevel="0" collapsed="false">
      <c r="A71" s="166"/>
      <c r="B71" s="166"/>
      <c r="C71" s="166"/>
      <c r="D71" s="166"/>
      <c r="E71" s="104" t="str">
        <f aca="false">IF(A71&lt;&gt;"",A71&amp;" | "&amp;B71&amp;IF(C71="S"," [OP2%]",""),"")</f>
        <v/>
      </c>
    </row>
    <row r="72" customFormat="false" ht="15" hidden="false" customHeight="true" outlineLevel="0" collapsed="false">
      <c r="A72" s="168"/>
      <c r="B72" s="168"/>
      <c r="C72" s="168"/>
      <c r="D72" s="168"/>
      <c r="E72" s="104" t="str">
        <f aca="false">IF(A72&lt;&gt;"",A72&amp;" | "&amp;B72&amp;IF(C72="S"," [OP2%]",""),"")</f>
        <v/>
      </c>
    </row>
    <row r="73" customFormat="false" ht="15" hidden="false" customHeight="true" outlineLevel="0" collapsed="false">
      <c r="A73" s="166"/>
      <c r="B73" s="166"/>
      <c r="C73" s="166"/>
      <c r="D73" s="166"/>
      <c r="E73" s="104" t="str">
        <f aca="false">IF(A73&lt;&gt;"",A73&amp;" | "&amp;B73&amp;IF(C73="S"," [OP2%]",""),"")</f>
        <v/>
      </c>
    </row>
    <row r="74" customFormat="false" ht="15" hidden="false" customHeight="true" outlineLevel="0" collapsed="false">
      <c r="A74" s="168"/>
      <c r="B74" s="168"/>
      <c r="C74" s="168"/>
      <c r="D74" s="168"/>
      <c r="E74" s="104" t="str">
        <f aca="false">IF(A74&lt;&gt;"",A74&amp;" | "&amp;B74&amp;IF(C74="S"," [OP2%]",""),"")</f>
        <v/>
      </c>
    </row>
    <row r="75" customFormat="false" ht="15" hidden="false" customHeight="true" outlineLevel="0" collapsed="false">
      <c r="A75" s="166"/>
      <c r="B75" s="166"/>
      <c r="C75" s="166"/>
      <c r="D75" s="166"/>
      <c r="E75" s="104" t="str">
        <f aca="false">IF(A75&lt;&gt;"",A75&amp;" | "&amp;B75&amp;IF(C75="S"," [OP2%]",""),"")</f>
        <v/>
      </c>
    </row>
    <row r="76" customFormat="false" ht="15" hidden="false" customHeight="true" outlineLevel="0" collapsed="false">
      <c r="A76" s="168"/>
      <c r="B76" s="168"/>
      <c r="C76" s="168"/>
      <c r="D76" s="168"/>
      <c r="E76" s="104" t="str">
        <f aca="false">IF(A76&lt;&gt;"",A76&amp;" | "&amp;B76&amp;IF(C76="S"," [OP2%]",""),"")</f>
        <v/>
      </c>
    </row>
    <row r="77" customFormat="false" ht="15" hidden="false" customHeight="true" outlineLevel="0" collapsed="false">
      <c r="A77" s="166"/>
      <c r="B77" s="166"/>
      <c r="C77" s="166"/>
      <c r="D77" s="166"/>
      <c r="E77" s="104" t="str">
        <f aca="false">IF(A77&lt;&gt;"",A77&amp;" | "&amp;B77&amp;IF(C77="S"," [OP2%]",""),"")</f>
        <v/>
      </c>
    </row>
    <row r="78" customFormat="false" ht="15" hidden="false" customHeight="true" outlineLevel="0" collapsed="false">
      <c r="A78" s="168"/>
      <c r="B78" s="168"/>
      <c r="C78" s="168"/>
      <c r="D78" s="168"/>
      <c r="E78" s="104" t="str">
        <f aca="false">IF(A78&lt;&gt;"",A78&amp;" | "&amp;B78&amp;IF(C78="S"," [OP2%]",""),"")</f>
        <v/>
      </c>
    </row>
    <row r="79" customFormat="false" ht="15" hidden="false" customHeight="true" outlineLevel="0" collapsed="false">
      <c r="A79" s="166"/>
      <c r="B79" s="166"/>
      <c r="C79" s="166"/>
      <c r="D79" s="166"/>
      <c r="E79" s="104" t="str">
        <f aca="false">IF(A79&lt;&gt;"",A79&amp;" | "&amp;B79&amp;IF(C79="S"," [OP2%]",""),"")</f>
        <v/>
      </c>
    </row>
    <row r="80" customFormat="false" ht="15" hidden="false" customHeight="true" outlineLevel="0" collapsed="false">
      <c r="A80" s="168"/>
      <c r="B80" s="168"/>
      <c r="C80" s="168"/>
      <c r="D80" s="168"/>
      <c r="E80" s="104" t="str">
        <f aca="false">IF(A80&lt;&gt;"",A80&amp;" | "&amp;B80&amp;IF(C80="S"," [OP2%]",""),"")</f>
        <v/>
      </c>
    </row>
    <row r="81" customFormat="false" ht="15" hidden="false" customHeight="true" outlineLevel="0" collapsed="false">
      <c r="A81" s="166"/>
      <c r="B81" s="166"/>
      <c r="C81" s="166"/>
      <c r="D81" s="166"/>
      <c r="E81" s="104" t="str">
        <f aca="false">IF(A81&lt;&gt;"",A81&amp;" | "&amp;B81&amp;IF(C81="S"," [OP2%]",""),"")</f>
        <v/>
      </c>
    </row>
    <row r="82" customFormat="false" ht="15" hidden="false" customHeight="true" outlineLevel="0" collapsed="false">
      <c r="A82" s="168"/>
      <c r="B82" s="168"/>
      <c r="C82" s="168"/>
      <c r="D82" s="168"/>
      <c r="E82" s="104" t="str">
        <f aca="false">IF(A82&lt;&gt;"",A82&amp;" | "&amp;B82&amp;IF(C82="S"," [OP2%]",""),"")</f>
        <v/>
      </c>
    </row>
    <row r="83" customFormat="false" ht="15" hidden="false" customHeight="true" outlineLevel="0" collapsed="false">
      <c r="A83" s="166"/>
      <c r="B83" s="166"/>
      <c r="C83" s="166"/>
      <c r="D83" s="166"/>
      <c r="E83" s="104" t="str">
        <f aca="false">IF(A83&lt;&gt;"",A83&amp;" | "&amp;B83&amp;IF(C83="S"," [OP2%]",""),"")</f>
        <v/>
      </c>
    </row>
    <row r="84" customFormat="false" ht="15" hidden="false" customHeight="true" outlineLevel="0" collapsed="false">
      <c r="A84" s="168"/>
      <c r="B84" s="168"/>
      <c r="C84" s="168"/>
      <c r="D84" s="168"/>
      <c r="E84" s="104" t="str">
        <f aca="false">IF(A84&lt;&gt;"",A84&amp;" | "&amp;B84&amp;IF(C84="S"," [OP2%]",""),"")</f>
        <v/>
      </c>
    </row>
    <row r="85" customFormat="false" ht="15" hidden="false" customHeight="true" outlineLevel="0" collapsed="false">
      <c r="A85" s="166"/>
      <c r="B85" s="166"/>
      <c r="C85" s="166"/>
      <c r="D85" s="166"/>
      <c r="E85" s="104" t="str">
        <f aca="false">IF(A85&lt;&gt;"",A85&amp;" | "&amp;B85&amp;IF(C85="S"," [OP2%]",""),"")</f>
        <v/>
      </c>
    </row>
    <row r="86" customFormat="false" ht="15" hidden="false" customHeight="true" outlineLevel="0" collapsed="false">
      <c r="A86" s="168"/>
      <c r="B86" s="168"/>
      <c r="C86" s="168"/>
      <c r="D86" s="168"/>
      <c r="E86" s="104" t="str">
        <f aca="false">IF(A86&lt;&gt;"",A86&amp;" | "&amp;B86&amp;IF(C86="S"," [OP2%]",""),"")</f>
        <v/>
      </c>
    </row>
    <row r="87" customFormat="false" ht="15" hidden="false" customHeight="true" outlineLevel="0" collapsed="false">
      <c r="A87" s="166"/>
      <c r="B87" s="166"/>
      <c r="C87" s="166"/>
      <c r="D87" s="166"/>
      <c r="E87" s="104" t="str">
        <f aca="false">IF(A87&lt;&gt;"",A87&amp;" | "&amp;B87&amp;IF(C87="S"," [OP2%]",""),"")</f>
        <v/>
      </c>
    </row>
    <row r="88" customFormat="false" ht="15" hidden="false" customHeight="true" outlineLevel="0" collapsed="false">
      <c r="A88" s="168"/>
      <c r="B88" s="168"/>
      <c r="C88" s="168"/>
      <c r="D88" s="168"/>
      <c r="E88" s="104" t="str">
        <f aca="false">IF(A88&lt;&gt;"",A88&amp;" | "&amp;B88&amp;IF(C88="S"," [OP2%]",""),"")</f>
        <v/>
      </c>
    </row>
    <row r="89" customFormat="false" ht="15" hidden="false" customHeight="true" outlineLevel="0" collapsed="false">
      <c r="A89" s="166"/>
      <c r="B89" s="166"/>
      <c r="C89" s="166"/>
      <c r="D89" s="166"/>
      <c r="E89" s="104" t="str">
        <f aca="false">IF(A89&lt;&gt;"",A89&amp;" | "&amp;B89&amp;IF(C89="S"," [OP2%]",""),"")</f>
        <v/>
      </c>
    </row>
    <row r="90" customFormat="false" ht="15" hidden="false" customHeight="true" outlineLevel="0" collapsed="false">
      <c r="A90" s="168"/>
      <c r="B90" s="168"/>
      <c r="C90" s="168"/>
      <c r="D90" s="168"/>
      <c r="E90" s="104" t="str">
        <f aca="false">IF(A90&lt;&gt;"",A90&amp;" | "&amp;B90&amp;IF(C90="S"," [OP2%]",""),"")</f>
        <v/>
      </c>
    </row>
    <row r="91" customFormat="false" ht="15" hidden="false" customHeight="true" outlineLevel="0" collapsed="false">
      <c r="A91" s="166"/>
      <c r="B91" s="166"/>
      <c r="C91" s="166"/>
      <c r="D91" s="166"/>
      <c r="E91" s="104" t="str">
        <f aca="false">IF(A91&lt;&gt;"",A91&amp;" | "&amp;B91&amp;IF(C91="S"," [OP2%]",""),"")</f>
        <v/>
      </c>
    </row>
    <row r="92" customFormat="false" ht="15" hidden="false" customHeight="true" outlineLevel="0" collapsed="false">
      <c r="A92" s="168"/>
      <c r="B92" s="168"/>
      <c r="C92" s="168"/>
      <c r="D92" s="168"/>
      <c r="E92" s="104" t="str">
        <f aca="false">IF(A92&lt;&gt;"",A92&amp;" | "&amp;B92&amp;IF(C92="S"," [OP2%]",""),"")</f>
        <v/>
      </c>
    </row>
    <row r="93" customFormat="false" ht="15" hidden="false" customHeight="true" outlineLevel="0" collapsed="false">
      <c r="A93" s="166"/>
      <c r="B93" s="166"/>
      <c r="C93" s="166"/>
      <c r="D93" s="166"/>
      <c r="E93" s="104" t="str">
        <f aca="false">IF(A93&lt;&gt;"",A93&amp;" | "&amp;B93&amp;IF(C93="S"," [OP2%]",""),"")</f>
        <v/>
      </c>
    </row>
    <row r="94" customFormat="false" ht="15" hidden="false" customHeight="true" outlineLevel="0" collapsed="false">
      <c r="A94" s="168"/>
      <c r="B94" s="168"/>
      <c r="C94" s="168"/>
      <c r="D94" s="168"/>
      <c r="E94" s="104" t="str">
        <f aca="false">IF(A94&lt;&gt;"",A94&amp;" | "&amp;B94&amp;IF(C94="S"," [OP2%]",""),"")</f>
        <v/>
      </c>
    </row>
    <row r="95" customFormat="false" ht="15" hidden="false" customHeight="true" outlineLevel="0" collapsed="false">
      <c r="A95" s="166"/>
      <c r="B95" s="166"/>
      <c r="C95" s="166"/>
      <c r="D95" s="166"/>
      <c r="E95" s="104" t="str">
        <f aca="false">IF(A95&lt;&gt;"",A95&amp;" | "&amp;B95&amp;IF(C95="S"," [OP2%]",""),"")</f>
        <v/>
      </c>
    </row>
    <row r="96" customFormat="false" ht="15" hidden="false" customHeight="true" outlineLevel="0" collapsed="false">
      <c r="A96" s="168"/>
      <c r="B96" s="168"/>
      <c r="C96" s="168"/>
      <c r="D96" s="168"/>
      <c r="E96" s="104" t="str">
        <f aca="false">IF(A96&lt;&gt;"",A96&amp;" | "&amp;B96&amp;IF(C96="S"," [OP2%]",""),"")</f>
        <v/>
      </c>
    </row>
    <row r="97" customFormat="false" ht="15" hidden="false" customHeight="true" outlineLevel="0" collapsed="false">
      <c r="A97" s="166"/>
      <c r="B97" s="166"/>
      <c r="C97" s="166"/>
      <c r="D97" s="166"/>
      <c r="E97" s="104" t="str">
        <f aca="false">IF(A97&lt;&gt;"",A97&amp;" | "&amp;B97&amp;IF(C97="S"," [OP2%]",""),"")</f>
        <v/>
      </c>
    </row>
    <row r="98" customFormat="false" ht="15" hidden="false" customHeight="true" outlineLevel="0" collapsed="false">
      <c r="A98" s="168"/>
      <c r="B98" s="168"/>
      <c r="C98" s="168"/>
      <c r="D98" s="168"/>
      <c r="E98" s="104" t="str">
        <f aca="false">IF(A98&lt;&gt;"",A98&amp;" | "&amp;B98&amp;IF(C98="S"," [OP2%]",""),"")</f>
        <v/>
      </c>
    </row>
    <row r="99" customFormat="false" ht="15" hidden="false" customHeight="true" outlineLevel="0" collapsed="false">
      <c r="A99" s="166"/>
      <c r="B99" s="166"/>
      <c r="C99" s="166"/>
      <c r="D99" s="166"/>
      <c r="E99" s="104" t="str">
        <f aca="false">IF(A99&lt;&gt;"",A99&amp;" | "&amp;B99&amp;IF(C99="S"," [OP2%]",""),"")</f>
        <v/>
      </c>
    </row>
    <row r="100" customFormat="false" ht="15" hidden="false" customHeight="true" outlineLevel="0" collapsed="false">
      <c r="A100" s="168"/>
      <c r="B100" s="168"/>
      <c r="C100" s="168"/>
      <c r="D100" s="168"/>
      <c r="E100" s="104" t="str">
        <f aca="false">IF(A100&lt;&gt;"",A100&amp;" | "&amp;B100&amp;IF(C100="S"," [OP2%]",""),"")</f>
        <v/>
      </c>
    </row>
    <row r="101" customFormat="false" ht="15" hidden="false" customHeight="true" outlineLevel="0" collapsed="false">
      <c r="A101" s="166"/>
      <c r="B101" s="166"/>
      <c r="C101" s="166"/>
      <c r="D101" s="166"/>
      <c r="E101" s="104" t="str">
        <f aca="false">IF(A101&lt;&gt;"",A101&amp;" | "&amp;B101&amp;IF(C101="S"," [OP2%]",""),"")</f>
        <v/>
      </c>
    </row>
    <row r="102" customFormat="false" ht="15" hidden="false" customHeight="true" outlineLevel="0" collapsed="false">
      <c r="A102" s="168"/>
      <c r="B102" s="168"/>
      <c r="C102" s="168"/>
      <c r="D102" s="168"/>
      <c r="E102" s="104" t="str">
        <f aca="false">IF(A102&lt;&gt;"",A102&amp;" | "&amp;B102&amp;IF(C102="S"," [OP2%]",""),"")</f>
        <v/>
      </c>
    </row>
    <row r="103" customFormat="false" ht="15" hidden="false" customHeight="true" outlineLevel="0" collapsed="false">
      <c r="A103" s="166"/>
      <c r="B103" s="166"/>
      <c r="C103" s="166"/>
      <c r="D103" s="166"/>
      <c r="E103" s="104" t="str">
        <f aca="false">IF(A103&lt;&gt;"",A103&amp;" | "&amp;B103&amp;IF(C103="S"," [OP2%]",""),"")</f>
        <v/>
      </c>
    </row>
    <row r="104" customFormat="false" ht="15" hidden="false" customHeight="true" outlineLevel="0" collapsed="false">
      <c r="A104" s="168"/>
      <c r="B104" s="168"/>
      <c r="C104" s="168"/>
      <c r="D104" s="168"/>
      <c r="E104" s="104" t="str">
        <f aca="false">IF(A104&lt;&gt;"",A104&amp;" | "&amp;B104&amp;IF(C104="S"," [OP2%]",""),"")</f>
        <v/>
      </c>
    </row>
    <row r="105" customFormat="false" ht="15" hidden="false" customHeight="true" outlineLevel="0" collapsed="false">
      <c r="A105" s="166"/>
      <c r="B105" s="166"/>
      <c r="C105" s="166"/>
      <c r="D105" s="166"/>
      <c r="E105" s="104" t="str">
        <f aca="false">IF(A105&lt;&gt;"",A105&amp;" | "&amp;B105&amp;IF(C105="S"," [OP2%]",""),"")</f>
        <v/>
      </c>
    </row>
    <row r="106" customFormat="false" ht="15" hidden="false" customHeight="true" outlineLevel="0" collapsed="false">
      <c r="A106" s="168"/>
      <c r="B106" s="168"/>
      <c r="C106" s="168"/>
      <c r="D106" s="168"/>
      <c r="E106" s="104" t="str">
        <f aca="false">IF(A106&lt;&gt;"",A106&amp;" | "&amp;B106&amp;IF(C106="S"," [OP2%]",""),"")</f>
        <v/>
      </c>
    </row>
    <row r="107" customFormat="false" ht="15" hidden="false" customHeight="true" outlineLevel="0" collapsed="false">
      <c r="A107" s="166"/>
      <c r="B107" s="166"/>
      <c r="C107" s="166"/>
      <c r="D107" s="166"/>
      <c r="E107" s="104" t="str">
        <f aca="false">IF(A107&lt;&gt;"",A107&amp;" | "&amp;B107&amp;IF(C107="S"," [OP2%]",""),"")</f>
        <v/>
      </c>
    </row>
    <row r="108" customFormat="false" ht="15" hidden="false" customHeight="true" outlineLevel="0" collapsed="false">
      <c r="A108" s="168"/>
      <c r="B108" s="168"/>
      <c r="C108" s="168"/>
      <c r="D108" s="168"/>
      <c r="E108" s="104" t="str">
        <f aca="false">IF(A108&lt;&gt;"",A108&amp;" | "&amp;B108&amp;IF(C108="S"," [OP2%]",""),"")</f>
        <v/>
      </c>
    </row>
    <row r="109" customFormat="false" ht="15" hidden="false" customHeight="true" outlineLevel="0" collapsed="false">
      <c r="A109" s="166"/>
      <c r="B109" s="166"/>
      <c r="C109" s="166"/>
      <c r="D109" s="166"/>
      <c r="E109" s="104" t="str">
        <f aca="false">IF(A109&lt;&gt;"",A109&amp;" | "&amp;B109&amp;IF(C109="S"," [OP2%]",""),"")</f>
        <v/>
      </c>
    </row>
    <row r="110" customFormat="false" ht="15" hidden="false" customHeight="true" outlineLevel="0" collapsed="false">
      <c r="A110" s="168"/>
      <c r="B110" s="168"/>
      <c r="C110" s="168"/>
      <c r="D110" s="168"/>
      <c r="E110" s="104" t="str">
        <f aca="false">IF(A110&lt;&gt;"",A110&amp;" | "&amp;B110&amp;IF(C110="S"," [OP2%]",""),"")</f>
        <v/>
      </c>
    </row>
    <row r="111" customFormat="false" ht="15" hidden="false" customHeight="true" outlineLevel="0" collapsed="false">
      <c r="A111" s="166"/>
      <c r="B111" s="166"/>
      <c r="C111" s="166"/>
      <c r="D111" s="166"/>
      <c r="E111" s="104" t="str">
        <f aca="false">IF(A111&lt;&gt;"",A111&amp;" | "&amp;B111&amp;IF(C111="S"," [OP2%]",""),"")</f>
        <v/>
      </c>
    </row>
    <row r="112" customFormat="false" ht="15" hidden="false" customHeight="true" outlineLevel="0" collapsed="false">
      <c r="A112" s="168"/>
      <c r="B112" s="168"/>
      <c r="C112" s="168"/>
      <c r="D112" s="168"/>
      <c r="E112" s="104" t="str">
        <f aca="false">IF(A112&lt;&gt;"",A112&amp;" | "&amp;B112&amp;IF(C112="S"," [OP2%]",""),"")</f>
        <v/>
      </c>
    </row>
    <row r="113" customFormat="false" ht="15" hidden="false" customHeight="true" outlineLevel="0" collapsed="false">
      <c r="A113" s="166"/>
      <c r="B113" s="166"/>
      <c r="C113" s="166"/>
      <c r="D113" s="166"/>
      <c r="E113" s="104" t="str">
        <f aca="false">IF(A113&lt;&gt;"",A113&amp;" | "&amp;B113&amp;IF(C113="S"," [OP2%]",""),"")</f>
        <v/>
      </c>
    </row>
    <row r="114" customFormat="false" ht="15" hidden="false" customHeight="true" outlineLevel="0" collapsed="false">
      <c r="A114" s="168"/>
      <c r="B114" s="168"/>
      <c r="C114" s="168"/>
      <c r="D114" s="168"/>
      <c r="E114" s="104" t="str">
        <f aca="false">IF(A114&lt;&gt;"",A114&amp;" | "&amp;B114&amp;IF(C114="S"," [OP2%]",""),"")</f>
        <v/>
      </c>
    </row>
    <row r="115" customFormat="false" ht="15" hidden="false" customHeight="true" outlineLevel="0" collapsed="false">
      <c r="A115" s="166"/>
      <c r="B115" s="166"/>
      <c r="C115" s="166"/>
      <c r="D115" s="166"/>
      <c r="E115" s="104" t="str">
        <f aca="false">IF(A115&lt;&gt;"",A115&amp;" | "&amp;B115&amp;IF(C115="S"," [OP2%]",""),"")</f>
        <v/>
      </c>
    </row>
    <row r="116" customFormat="false" ht="15" hidden="false" customHeight="true" outlineLevel="0" collapsed="false">
      <c r="A116" s="168"/>
      <c r="B116" s="168"/>
      <c r="C116" s="168"/>
      <c r="D116" s="168"/>
      <c r="E116" s="104" t="str">
        <f aca="false">IF(A116&lt;&gt;"",A116&amp;" | "&amp;B116&amp;IF(C116="S"," [OP2%]",""),"")</f>
        <v/>
      </c>
    </row>
    <row r="117" customFormat="false" ht="15" hidden="false" customHeight="true" outlineLevel="0" collapsed="false">
      <c r="A117" s="166"/>
      <c r="B117" s="166"/>
      <c r="C117" s="166"/>
      <c r="D117" s="166"/>
      <c r="E117" s="104" t="str">
        <f aca="false">IF(A117&lt;&gt;"",A117&amp;" | "&amp;B117&amp;IF(C117="S"," [OP2%]",""),"")</f>
        <v/>
      </c>
    </row>
    <row r="118" customFormat="false" ht="15" hidden="false" customHeight="true" outlineLevel="0" collapsed="false">
      <c r="A118" s="168"/>
      <c r="B118" s="168"/>
      <c r="C118" s="168"/>
      <c r="D118" s="168"/>
      <c r="E118" s="104" t="str">
        <f aca="false">IF(A118&lt;&gt;"",A118&amp;" | "&amp;B118&amp;IF(C118="S"," [OP2%]",""),"")</f>
        <v/>
      </c>
    </row>
    <row r="119" customFormat="false" ht="15" hidden="false" customHeight="true" outlineLevel="0" collapsed="false">
      <c r="A119" s="166"/>
      <c r="B119" s="166"/>
      <c r="C119" s="166"/>
      <c r="D119" s="166"/>
      <c r="E119" s="104" t="str">
        <f aca="false">IF(A119&lt;&gt;"",A119&amp;" | "&amp;B119&amp;IF(C119="S"," [OP2%]",""),"")</f>
        <v/>
      </c>
    </row>
    <row r="120" customFormat="false" ht="15" hidden="false" customHeight="true" outlineLevel="0" collapsed="false">
      <c r="A120" s="168"/>
      <c r="B120" s="168"/>
      <c r="C120" s="168"/>
      <c r="D120" s="168"/>
      <c r="E120" s="104" t="str">
        <f aca="false">IF(A120&lt;&gt;"",A120&amp;" | "&amp;B120&amp;IF(C120="S"," [OP2%]",""),"")</f>
        <v/>
      </c>
    </row>
    <row r="121" customFormat="false" ht="15" hidden="false" customHeight="true" outlineLevel="0" collapsed="false">
      <c r="A121" s="166"/>
      <c r="B121" s="166"/>
      <c r="C121" s="166"/>
      <c r="D121" s="166"/>
      <c r="E121" s="104" t="str">
        <f aca="false">IF(A121&lt;&gt;"",A121&amp;" | "&amp;B121&amp;IF(C121="S"," [OP2%]",""),"")</f>
        <v/>
      </c>
    </row>
    <row r="122" customFormat="false" ht="15" hidden="false" customHeight="true" outlineLevel="0" collapsed="false">
      <c r="A122" s="168"/>
      <c r="B122" s="168"/>
      <c r="C122" s="168"/>
      <c r="D122" s="168"/>
      <c r="E122" s="104" t="str">
        <f aca="false">IF(A122&lt;&gt;"",A122&amp;" | "&amp;B122&amp;IF(C122="S"," [OP2%]",""),"")</f>
        <v/>
      </c>
    </row>
    <row r="123" customFormat="false" ht="15" hidden="false" customHeight="true" outlineLevel="0" collapsed="false">
      <c r="A123" s="166"/>
      <c r="B123" s="166"/>
      <c r="C123" s="166"/>
      <c r="D123" s="166"/>
      <c r="E123" s="104" t="str">
        <f aca="false">IF(A123&lt;&gt;"",A123&amp;" | "&amp;B123&amp;IF(C123="S"," [OP2%]",""),"")</f>
        <v/>
      </c>
    </row>
    <row r="124" customFormat="false" ht="15" hidden="false" customHeight="true" outlineLevel="0" collapsed="false">
      <c r="A124" s="168"/>
      <c r="B124" s="168"/>
      <c r="C124" s="168"/>
      <c r="D124" s="168"/>
      <c r="E124" s="104" t="str">
        <f aca="false">IF(A124&lt;&gt;"",A124&amp;" | "&amp;B124&amp;IF(C124="S"," [OP2%]",""),"")</f>
        <v/>
      </c>
    </row>
    <row r="125" customFormat="false" ht="15" hidden="false" customHeight="true" outlineLevel="0" collapsed="false">
      <c r="A125" s="166"/>
      <c r="B125" s="166"/>
      <c r="C125" s="166"/>
      <c r="D125" s="166"/>
      <c r="E125" s="104" t="str">
        <f aca="false">IF(A125&lt;&gt;"",A125&amp;" | "&amp;B125&amp;IF(C125="S"," [OP2%]",""),"")</f>
        <v/>
      </c>
    </row>
    <row r="126" customFormat="false" ht="15" hidden="false" customHeight="true" outlineLevel="0" collapsed="false">
      <c r="A126" s="168"/>
      <c r="B126" s="168"/>
      <c r="C126" s="168"/>
      <c r="D126" s="168"/>
      <c r="E126" s="104" t="str">
        <f aca="false">IF(A126&lt;&gt;"",A126&amp;" | "&amp;B126&amp;IF(C126="S"," [OP2%]",""),"")</f>
        <v/>
      </c>
    </row>
    <row r="127" customFormat="false" ht="15" hidden="false" customHeight="true" outlineLevel="0" collapsed="false">
      <c r="A127" s="166"/>
      <c r="B127" s="166"/>
      <c r="C127" s="166"/>
      <c r="D127" s="166"/>
      <c r="E127" s="104" t="str">
        <f aca="false">IF(A127&lt;&gt;"",A127&amp;" | "&amp;B127&amp;IF(C127="S"," [OP2%]",""),"")</f>
        <v/>
      </c>
    </row>
    <row r="128" customFormat="false" ht="15" hidden="false" customHeight="true" outlineLevel="0" collapsed="false">
      <c r="A128" s="168"/>
      <c r="B128" s="168"/>
      <c r="C128" s="168"/>
      <c r="D128" s="168"/>
      <c r="E128" s="104" t="str">
        <f aca="false">IF(A128&lt;&gt;"",A128&amp;" | "&amp;B128&amp;IF(C128="S"," [OP2%]",""),"")</f>
        <v/>
      </c>
    </row>
    <row r="129" customFormat="false" ht="15" hidden="false" customHeight="true" outlineLevel="0" collapsed="false">
      <c r="A129" s="166"/>
      <c r="B129" s="166"/>
      <c r="C129" s="166"/>
      <c r="D129" s="166"/>
      <c r="E129" s="104" t="str">
        <f aca="false">IF(A129&lt;&gt;"",A129&amp;" | "&amp;B129&amp;IF(C129="S"," [OP2%]",""),"")</f>
        <v/>
      </c>
    </row>
    <row r="130" customFormat="false" ht="15" hidden="false" customHeight="true" outlineLevel="0" collapsed="false">
      <c r="A130" s="168"/>
      <c r="B130" s="168"/>
      <c r="C130" s="168"/>
      <c r="D130" s="168"/>
      <c r="E130" s="104" t="str">
        <f aca="false">IF(A130&lt;&gt;"",A130&amp;" | "&amp;B130&amp;IF(C130="S"," [OP2%]",""),"")</f>
        <v/>
      </c>
    </row>
    <row r="131" customFormat="false" ht="15" hidden="false" customHeight="true" outlineLevel="0" collapsed="false">
      <c r="A131" s="166"/>
      <c r="B131" s="166"/>
      <c r="C131" s="166"/>
      <c r="D131" s="166"/>
      <c r="E131" s="104" t="str">
        <f aca="false">IF(A131&lt;&gt;"",A131&amp;" | "&amp;B131&amp;IF(C131="S"," [OP2%]",""),"")</f>
        <v/>
      </c>
    </row>
    <row r="132" customFormat="false" ht="15" hidden="false" customHeight="true" outlineLevel="0" collapsed="false">
      <c r="A132" s="168"/>
      <c r="B132" s="168"/>
      <c r="C132" s="168"/>
      <c r="D132" s="168"/>
      <c r="E132" s="104" t="str">
        <f aca="false">IF(A132&lt;&gt;"",A132&amp;" | "&amp;B132&amp;IF(C132="S"," [OP2%]",""),"")</f>
        <v/>
      </c>
    </row>
    <row r="133" customFormat="false" ht="15" hidden="false" customHeight="true" outlineLevel="0" collapsed="false">
      <c r="A133" s="166"/>
      <c r="B133" s="166"/>
      <c r="C133" s="166"/>
      <c r="D133" s="166"/>
      <c r="E133" s="104" t="str">
        <f aca="false">IF(A133&lt;&gt;"",A133&amp;" | "&amp;B133&amp;IF(C133="S"," [OP2%]",""),"")</f>
        <v/>
      </c>
    </row>
    <row r="134" customFormat="false" ht="15" hidden="false" customHeight="true" outlineLevel="0" collapsed="false">
      <c r="A134" s="168"/>
      <c r="B134" s="168"/>
      <c r="C134" s="168"/>
      <c r="D134" s="168"/>
      <c r="E134" s="104" t="str">
        <f aca="false">IF(A134&lt;&gt;"",A134&amp;" | "&amp;B134&amp;IF(C134="S"," [OP2%]",""),"")</f>
        <v/>
      </c>
    </row>
    <row r="135" customFormat="false" ht="15" hidden="false" customHeight="true" outlineLevel="0" collapsed="false">
      <c r="A135" s="166"/>
      <c r="B135" s="166"/>
      <c r="C135" s="166"/>
      <c r="D135" s="166"/>
      <c r="E135" s="104" t="str">
        <f aca="false">IF(A135&lt;&gt;"",A135&amp;" | "&amp;B135&amp;IF(C135="S"," [OP2%]",""),"")</f>
        <v/>
      </c>
    </row>
    <row r="136" customFormat="false" ht="15" hidden="false" customHeight="true" outlineLevel="0" collapsed="false">
      <c r="A136" s="168"/>
      <c r="B136" s="168"/>
      <c r="C136" s="168"/>
      <c r="D136" s="168"/>
      <c r="E136" s="104" t="str">
        <f aca="false">IF(A136&lt;&gt;"",A136&amp;" | "&amp;B136&amp;IF(C136="S"," [OP2%]",""),"")</f>
        <v/>
      </c>
    </row>
    <row r="137" customFormat="false" ht="15" hidden="false" customHeight="true" outlineLevel="0" collapsed="false">
      <c r="A137" s="166"/>
      <c r="B137" s="166"/>
      <c r="C137" s="166"/>
      <c r="D137" s="166"/>
      <c r="E137" s="104" t="str">
        <f aca="false">IF(A137&lt;&gt;"",A137&amp;" | "&amp;B137&amp;IF(C137="S"," [OP2%]",""),"")</f>
        <v/>
      </c>
    </row>
    <row r="138" customFormat="false" ht="15" hidden="false" customHeight="true" outlineLevel="0" collapsed="false">
      <c r="A138" s="168"/>
      <c r="B138" s="168"/>
      <c r="C138" s="168"/>
      <c r="D138" s="168"/>
      <c r="E138" s="104" t="str">
        <f aca="false">IF(A138&lt;&gt;"",A138&amp;" | "&amp;B138&amp;IF(C138="S"," [OP2%]",""),"")</f>
        <v/>
      </c>
    </row>
    <row r="139" customFormat="false" ht="15" hidden="false" customHeight="true" outlineLevel="0" collapsed="false">
      <c r="A139" s="166"/>
      <c r="B139" s="166"/>
      <c r="C139" s="166"/>
      <c r="D139" s="166"/>
      <c r="E139" s="104" t="str">
        <f aca="false">IF(A139&lt;&gt;"",A139&amp;" | "&amp;B139&amp;IF(C139="S"," [OP2%]",""),"")</f>
        <v/>
      </c>
    </row>
    <row r="140" customFormat="false" ht="15" hidden="false" customHeight="true" outlineLevel="0" collapsed="false">
      <c r="A140" s="168"/>
      <c r="B140" s="168"/>
      <c r="C140" s="168"/>
      <c r="D140" s="168"/>
      <c r="E140" s="104" t="str">
        <f aca="false">IF(A140&lt;&gt;"",A140&amp;" | "&amp;B140&amp;IF(C140="S"," [OP2%]",""),"")</f>
        <v/>
      </c>
    </row>
    <row r="141" customFormat="false" ht="15" hidden="false" customHeight="true" outlineLevel="0" collapsed="false">
      <c r="A141" s="166"/>
      <c r="B141" s="166"/>
      <c r="C141" s="166"/>
      <c r="D141" s="166"/>
      <c r="E141" s="104" t="str">
        <f aca="false">IF(A141&lt;&gt;"",A141&amp;" | "&amp;B141&amp;IF(C141="S"," [OP2%]",""),"")</f>
        <v/>
      </c>
    </row>
    <row r="142" customFormat="false" ht="15" hidden="false" customHeight="true" outlineLevel="0" collapsed="false">
      <c r="A142" s="168"/>
      <c r="B142" s="168"/>
      <c r="C142" s="168"/>
      <c r="D142" s="168"/>
      <c r="E142" s="104" t="str">
        <f aca="false">IF(A142&lt;&gt;"",A142&amp;" | "&amp;B142&amp;IF(C142="S"," [OP2%]",""),"")</f>
        <v/>
      </c>
    </row>
    <row r="143" customFormat="false" ht="15" hidden="false" customHeight="true" outlineLevel="0" collapsed="false">
      <c r="A143" s="166"/>
      <c r="B143" s="166"/>
      <c r="C143" s="166"/>
      <c r="D143" s="166"/>
      <c r="E143" s="104" t="str">
        <f aca="false">IF(A143&lt;&gt;"",A143&amp;" | "&amp;B143&amp;IF(C143="S"," [OP2%]",""),"")</f>
        <v/>
      </c>
    </row>
    <row r="144" customFormat="false" ht="15" hidden="false" customHeight="true" outlineLevel="0" collapsed="false">
      <c r="A144" s="168"/>
      <c r="B144" s="168"/>
      <c r="C144" s="168"/>
      <c r="D144" s="168"/>
      <c r="E144" s="104" t="str">
        <f aca="false">IF(A144&lt;&gt;"",A144&amp;" | "&amp;B144&amp;IF(C144="S"," [OP2%]",""),"")</f>
        <v/>
      </c>
    </row>
    <row r="145" customFormat="false" ht="15" hidden="false" customHeight="true" outlineLevel="0" collapsed="false">
      <c r="A145" s="166"/>
      <c r="B145" s="166"/>
      <c r="C145" s="166"/>
      <c r="D145" s="166"/>
      <c r="E145" s="104" t="str">
        <f aca="false">IF(A145&lt;&gt;"",A145&amp;" | "&amp;B145&amp;IF(C145="S"," [OP2%]",""),"")</f>
        <v/>
      </c>
    </row>
    <row r="146" customFormat="false" ht="15" hidden="false" customHeight="true" outlineLevel="0" collapsed="false">
      <c r="A146" s="168"/>
      <c r="B146" s="168"/>
      <c r="C146" s="168"/>
      <c r="D146" s="168"/>
      <c r="E146" s="104" t="str">
        <f aca="false">IF(A146&lt;&gt;"",A146&amp;" | "&amp;B146&amp;IF(C146="S"," [OP2%]",""),"")</f>
        <v/>
      </c>
    </row>
    <row r="147" customFormat="false" ht="15" hidden="false" customHeight="true" outlineLevel="0" collapsed="false">
      <c r="A147" s="166"/>
      <c r="B147" s="166"/>
      <c r="C147" s="166"/>
      <c r="D147" s="166"/>
      <c r="E147" s="104" t="str">
        <f aca="false">IF(A147&lt;&gt;"",A147&amp;" | "&amp;B147&amp;IF(C147="S"," [OP2%]",""),"")</f>
        <v/>
      </c>
    </row>
    <row r="148" customFormat="false" ht="15" hidden="false" customHeight="true" outlineLevel="0" collapsed="false">
      <c r="A148" s="168"/>
      <c r="B148" s="168"/>
      <c r="C148" s="168"/>
      <c r="D148" s="168"/>
      <c r="E148" s="104" t="str">
        <f aca="false">IF(A148&lt;&gt;"",A148&amp;" | "&amp;B148&amp;IF(C148="S"," [OP2%]",""),"")</f>
        <v/>
      </c>
    </row>
    <row r="149" customFormat="false" ht="15" hidden="false" customHeight="true" outlineLevel="0" collapsed="false">
      <c r="A149" s="166"/>
      <c r="B149" s="166"/>
      <c r="C149" s="166"/>
      <c r="D149" s="166"/>
      <c r="E149" s="104" t="str">
        <f aca="false">IF(A149&lt;&gt;"",A149&amp;" | "&amp;B149&amp;IF(C149="S"," [OP2%]",""),"")</f>
        <v/>
      </c>
    </row>
    <row r="150" customFormat="false" ht="15" hidden="false" customHeight="true" outlineLevel="0" collapsed="false">
      <c r="A150" s="168"/>
      <c r="B150" s="168"/>
      <c r="C150" s="168"/>
      <c r="D150" s="168"/>
      <c r="E150" s="104" t="str">
        <f aca="false">IF(A150&lt;&gt;"",A150&amp;" | "&amp;B150&amp;IF(C150="S"," [OP2%]",""),"")</f>
        <v/>
      </c>
    </row>
    <row r="151" customFormat="false" ht="15" hidden="false" customHeight="true" outlineLevel="0" collapsed="false">
      <c r="A151" s="166"/>
      <c r="B151" s="166"/>
      <c r="C151" s="166"/>
      <c r="D151" s="166"/>
      <c r="E151" s="104" t="str">
        <f aca="false">IF(A151&lt;&gt;"",A151&amp;" | "&amp;B151&amp;IF(C151="S"," [OP2%]",""),"")</f>
        <v/>
      </c>
    </row>
    <row r="152" customFormat="false" ht="15" hidden="false" customHeight="true" outlineLevel="0" collapsed="false">
      <c r="A152" s="168"/>
      <c r="B152" s="168"/>
      <c r="C152" s="168"/>
      <c r="D152" s="168"/>
      <c r="E152" s="104" t="str">
        <f aca="false">IF(A152&lt;&gt;"",A152&amp;" | "&amp;B152&amp;IF(C152="S"," [OP2%]",""),"")</f>
        <v/>
      </c>
    </row>
    <row r="153" customFormat="false" ht="15" hidden="false" customHeight="true" outlineLevel="0" collapsed="false">
      <c r="A153" s="166"/>
      <c r="B153" s="166"/>
      <c r="C153" s="166"/>
      <c r="D153" s="166"/>
      <c r="E153" s="104" t="str">
        <f aca="false">IF(A153&lt;&gt;"",A153&amp;" | "&amp;B153&amp;IF(C153="S"," [OP2%]",""),"")</f>
        <v/>
      </c>
    </row>
    <row r="154" customFormat="false" ht="15" hidden="false" customHeight="true" outlineLevel="0" collapsed="false">
      <c r="A154" s="168"/>
      <c r="B154" s="168"/>
      <c r="C154" s="168"/>
      <c r="D154" s="168"/>
      <c r="E154" s="104" t="str">
        <f aca="false">IF(A154&lt;&gt;"",A154&amp;" | "&amp;B154&amp;IF(C154="S"," [OP2%]",""),"")</f>
        <v/>
      </c>
    </row>
    <row r="155" customFormat="false" ht="15" hidden="false" customHeight="true" outlineLevel="0" collapsed="false">
      <c r="A155" s="166"/>
      <c r="B155" s="166"/>
      <c r="C155" s="166"/>
      <c r="D155" s="166"/>
      <c r="E155" s="104" t="str">
        <f aca="false">IF(A155&lt;&gt;"",A155&amp;" | "&amp;B155&amp;IF(C155="S"," [OP2%]",""),"")</f>
        <v/>
      </c>
    </row>
    <row r="156" customFormat="false" ht="15" hidden="false" customHeight="true" outlineLevel="0" collapsed="false">
      <c r="A156" s="168"/>
      <c r="B156" s="168"/>
      <c r="C156" s="168"/>
      <c r="D156" s="168"/>
      <c r="E156" s="104" t="str">
        <f aca="false">IF(A156&lt;&gt;"",A156&amp;" | "&amp;B156&amp;IF(C156="S"," [OP2%]",""),"")</f>
        <v/>
      </c>
    </row>
    <row r="157" customFormat="false" ht="15" hidden="false" customHeight="true" outlineLevel="0" collapsed="false">
      <c r="A157" s="166"/>
      <c r="B157" s="166"/>
      <c r="C157" s="166"/>
      <c r="D157" s="166"/>
      <c r="E157" s="104" t="str">
        <f aca="false">IF(A157&lt;&gt;"",A157&amp;" | "&amp;B157&amp;IF(C157="S"," [OP2%]",""),"")</f>
        <v/>
      </c>
    </row>
    <row r="158" customFormat="false" ht="15" hidden="false" customHeight="true" outlineLevel="0" collapsed="false">
      <c r="A158" s="168"/>
      <c r="B158" s="168"/>
      <c r="C158" s="168"/>
      <c r="D158" s="168"/>
      <c r="E158" s="104" t="str">
        <f aca="false">IF(A158&lt;&gt;"",A158&amp;" | "&amp;B158&amp;IF(C158="S"," [OP2%]",""),"")</f>
        <v/>
      </c>
    </row>
    <row r="159" customFormat="false" ht="15" hidden="false" customHeight="true" outlineLevel="0" collapsed="false">
      <c r="A159" s="166"/>
      <c r="B159" s="166"/>
      <c r="C159" s="166"/>
      <c r="D159" s="166"/>
      <c r="E159" s="104" t="str">
        <f aca="false">IF(A159&lt;&gt;"",A159&amp;" | "&amp;B159&amp;IF(C159="S"," [OP2%]",""),"")</f>
        <v/>
      </c>
    </row>
    <row r="160" customFormat="false" ht="15" hidden="false" customHeight="true" outlineLevel="0" collapsed="false">
      <c r="A160" s="168"/>
      <c r="B160" s="168"/>
      <c r="C160" s="168"/>
      <c r="D160" s="168"/>
      <c r="E160" s="104" t="str">
        <f aca="false">IF(A160&lt;&gt;"",A160&amp;" | "&amp;B160&amp;IF(C160="S"," [OP2%]",""),"")</f>
        <v/>
      </c>
    </row>
    <row r="161" customFormat="false" ht="15" hidden="false" customHeight="true" outlineLevel="0" collapsed="false">
      <c r="A161" s="166"/>
      <c r="B161" s="166"/>
      <c r="C161" s="166"/>
      <c r="D161" s="166"/>
      <c r="E161" s="104" t="str">
        <f aca="false">IF(A161&lt;&gt;"",A161&amp;" | "&amp;B161&amp;IF(C161="S"," [OP2%]",""),"")</f>
        <v/>
      </c>
    </row>
    <row r="162" customFormat="false" ht="15" hidden="false" customHeight="true" outlineLevel="0" collapsed="false">
      <c r="A162" s="168"/>
      <c r="B162" s="168"/>
      <c r="C162" s="168"/>
      <c r="D162" s="168"/>
      <c r="E162" s="104" t="str">
        <f aca="false">IF(A162&lt;&gt;"",A162&amp;" | "&amp;B162&amp;IF(C162="S"," [OP2%]",""),"")</f>
        <v/>
      </c>
    </row>
    <row r="163" customFormat="false" ht="15" hidden="false" customHeight="true" outlineLevel="0" collapsed="false">
      <c r="A163" s="166"/>
      <c r="B163" s="166"/>
      <c r="C163" s="166"/>
      <c r="D163" s="166"/>
      <c r="E163" s="104" t="str">
        <f aca="false">IF(A163&lt;&gt;"",A163&amp;" | "&amp;B163&amp;IF(C163="S"," [OP2%]",""),"")</f>
        <v/>
      </c>
    </row>
    <row r="164" customFormat="false" ht="15" hidden="false" customHeight="true" outlineLevel="0" collapsed="false">
      <c r="A164" s="168"/>
      <c r="B164" s="168"/>
      <c r="C164" s="168"/>
      <c r="D164" s="168"/>
      <c r="E164" s="104" t="str">
        <f aca="false">IF(A164&lt;&gt;"",A164&amp;" | "&amp;B164&amp;IF(C164="S"," [OP2%]",""),"")</f>
        <v/>
      </c>
    </row>
    <row r="165" customFormat="false" ht="15" hidden="false" customHeight="true" outlineLevel="0" collapsed="false">
      <c r="A165" s="166"/>
      <c r="B165" s="166"/>
      <c r="C165" s="166"/>
      <c r="D165" s="166"/>
      <c r="E165" s="104" t="str">
        <f aca="false">IF(A165&lt;&gt;"",A165&amp;" | "&amp;B165&amp;IF(C165="S"," [OP2%]",""),"")</f>
        <v/>
      </c>
    </row>
    <row r="166" customFormat="false" ht="15" hidden="false" customHeight="true" outlineLevel="0" collapsed="false">
      <c r="A166" s="168"/>
      <c r="B166" s="168"/>
      <c r="C166" s="168"/>
      <c r="D166" s="168"/>
      <c r="E166" s="104" t="str">
        <f aca="false">IF(A166&lt;&gt;"",A166&amp;" | "&amp;B166&amp;IF(C166="S"," [OP2%]",""),"")</f>
        <v/>
      </c>
    </row>
    <row r="167" customFormat="false" ht="15" hidden="false" customHeight="true" outlineLevel="0" collapsed="false">
      <c r="A167" s="166"/>
      <c r="B167" s="166"/>
      <c r="C167" s="166"/>
      <c r="D167" s="166"/>
      <c r="E167" s="104" t="str">
        <f aca="false">IF(A167&lt;&gt;"",A167&amp;" | "&amp;B167&amp;IF(C167="S"," [OP2%]",""),"")</f>
        <v/>
      </c>
    </row>
    <row r="168" customFormat="false" ht="15" hidden="false" customHeight="true" outlineLevel="0" collapsed="false">
      <c r="A168" s="168"/>
      <c r="B168" s="168"/>
      <c r="C168" s="168"/>
      <c r="D168" s="168"/>
      <c r="E168" s="104" t="str">
        <f aca="false">IF(A168&lt;&gt;"",A168&amp;" | "&amp;B168&amp;IF(C168="S"," [OP2%]",""),"")</f>
        <v/>
      </c>
    </row>
    <row r="169" customFormat="false" ht="15" hidden="false" customHeight="true" outlineLevel="0" collapsed="false">
      <c r="A169" s="166"/>
      <c r="B169" s="166"/>
      <c r="C169" s="166"/>
      <c r="D169" s="166"/>
      <c r="E169" s="104" t="str">
        <f aca="false">IF(A169&lt;&gt;"",A169&amp;" | "&amp;B169&amp;IF(C169="S"," [OP2%]",""),"")</f>
        <v/>
      </c>
    </row>
    <row r="170" customFormat="false" ht="15" hidden="false" customHeight="true" outlineLevel="0" collapsed="false">
      <c r="A170" s="168"/>
      <c r="B170" s="168"/>
      <c r="C170" s="168"/>
      <c r="D170" s="168"/>
      <c r="E170" s="104" t="str">
        <f aca="false">IF(A170&lt;&gt;"",A170&amp;" | "&amp;B170&amp;IF(C170="S"," [OP2%]",""),"")</f>
        <v/>
      </c>
    </row>
    <row r="171" customFormat="false" ht="15" hidden="false" customHeight="true" outlineLevel="0" collapsed="false">
      <c r="A171" s="166"/>
      <c r="B171" s="166"/>
      <c r="C171" s="166"/>
      <c r="D171" s="166"/>
      <c r="E171" s="104" t="str">
        <f aca="false">IF(A171&lt;&gt;"",A171&amp;" | "&amp;B171&amp;IF(C171="S"," [OP2%]",""),"")</f>
        <v/>
      </c>
    </row>
    <row r="172" customFormat="false" ht="15" hidden="false" customHeight="true" outlineLevel="0" collapsed="false">
      <c r="A172" s="168"/>
      <c r="B172" s="168"/>
      <c r="C172" s="168"/>
      <c r="D172" s="168"/>
      <c r="E172" s="104" t="str">
        <f aca="false">IF(A172&lt;&gt;"",A172&amp;" | "&amp;B172&amp;IF(C172="S"," [OP2%]",""),"")</f>
        <v/>
      </c>
    </row>
    <row r="173" customFormat="false" ht="15" hidden="false" customHeight="true" outlineLevel="0" collapsed="false">
      <c r="A173" s="166"/>
      <c r="B173" s="166"/>
      <c r="C173" s="166"/>
      <c r="D173" s="166"/>
      <c r="E173" s="104" t="str">
        <f aca="false">IF(A173&lt;&gt;"",A173&amp;" | "&amp;B173&amp;IF(C173="S"," [OP2%]",""),"")</f>
        <v/>
      </c>
    </row>
    <row r="174" customFormat="false" ht="15" hidden="false" customHeight="true" outlineLevel="0" collapsed="false">
      <c r="A174" s="168"/>
      <c r="B174" s="168"/>
      <c r="C174" s="168"/>
      <c r="D174" s="168"/>
      <c r="E174" s="104" t="str">
        <f aca="false">IF(A174&lt;&gt;"",A174&amp;" | "&amp;B174&amp;IF(C174="S"," [OP2%]",""),"")</f>
        <v/>
      </c>
    </row>
    <row r="175" customFormat="false" ht="15" hidden="false" customHeight="true" outlineLevel="0" collapsed="false">
      <c r="A175" s="166"/>
      <c r="B175" s="166"/>
      <c r="C175" s="166"/>
      <c r="D175" s="166"/>
      <c r="E175" s="104" t="str">
        <f aca="false">IF(A175&lt;&gt;"",A175&amp;" | "&amp;B175&amp;IF(C175="S"," [OP2%]",""),"")</f>
        <v/>
      </c>
    </row>
    <row r="176" customFormat="false" ht="15" hidden="false" customHeight="true" outlineLevel="0" collapsed="false">
      <c r="A176" s="168"/>
      <c r="B176" s="168"/>
      <c r="C176" s="168"/>
      <c r="D176" s="168"/>
      <c r="E176" s="104" t="str">
        <f aca="false">IF(A176&lt;&gt;"",A176&amp;" | "&amp;B176&amp;IF(C176="S"," [OP2%]",""),"")</f>
        <v/>
      </c>
    </row>
    <row r="177" customFormat="false" ht="15" hidden="false" customHeight="true" outlineLevel="0" collapsed="false">
      <c r="A177" s="166"/>
      <c r="B177" s="166"/>
      <c r="C177" s="166"/>
      <c r="D177" s="166"/>
      <c r="E177" s="104" t="str">
        <f aca="false">IF(A177&lt;&gt;"",A177&amp;" | "&amp;B177&amp;IF(C177="S"," [OP2%]",""),"")</f>
        <v/>
      </c>
    </row>
    <row r="178" customFormat="false" ht="15" hidden="false" customHeight="true" outlineLevel="0" collapsed="false">
      <c r="A178" s="168"/>
      <c r="B178" s="168"/>
      <c r="C178" s="168"/>
      <c r="D178" s="168"/>
      <c r="E178" s="104" t="str">
        <f aca="false">IF(A178&lt;&gt;"",A178&amp;" | "&amp;B178&amp;IF(C178="S"," [OP2%]",""),"")</f>
        <v/>
      </c>
    </row>
    <row r="179" customFormat="false" ht="15" hidden="false" customHeight="true" outlineLevel="0" collapsed="false">
      <c r="A179" s="166"/>
      <c r="B179" s="166"/>
      <c r="C179" s="166"/>
      <c r="D179" s="166"/>
      <c r="E179" s="104" t="str">
        <f aca="false">IF(A179&lt;&gt;"",A179&amp;" | "&amp;B179&amp;IF(C179="S"," [OP2%]",""),"")</f>
        <v/>
      </c>
    </row>
    <row r="180" customFormat="false" ht="15" hidden="false" customHeight="true" outlineLevel="0" collapsed="false">
      <c r="A180" s="168"/>
      <c r="B180" s="168"/>
      <c r="C180" s="168"/>
      <c r="D180" s="168"/>
      <c r="E180" s="104" t="str">
        <f aca="false">IF(A180&lt;&gt;"",A180&amp;" | "&amp;B180&amp;IF(C180="S"," [OP2%]",""),"")</f>
        <v/>
      </c>
    </row>
    <row r="181" customFormat="false" ht="15" hidden="false" customHeight="true" outlineLevel="0" collapsed="false">
      <c r="A181" s="166"/>
      <c r="B181" s="166"/>
      <c r="C181" s="166"/>
      <c r="D181" s="166"/>
      <c r="E181" s="104" t="str">
        <f aca="false">IF(A181&lt;&gt;"",A181&amp;" | "&amp;B181&amp;IF(C181="S"," [OP2%]",""),"")</f>
        <v/>
      </c>
    </row>
    <row r="182" customFormat="false" ht="15" hidden="false" customHeight="true" outlineLevel="0" collapsed="false">
      <c r="A182" s="168"/>
      <c r="B182" s="168"/>
      <c r="C182" s="168"/>
      <c r="D182" s="168"/>
      <c r="E182" s="104" t="str">
        <f aca="false">IF(A182&lt;&gt;"",A182&amp;" | "&amp;B182&amp;IF(C182="S"," [OP2%]",""),"")</f>
        <v/>
      </c>
    </row>
    <row r="183" customFormat="false" ht="15" hidden="false" customHeight="true" outlineLevel="0" collapsed="false">
      <c r="A183" s="166"/>
      <c r="B183" s="166"/>
      <c r="C183" s="166"/>
      <c r="D183" s="166"/>
      <c r="E183" s="104" t="str">
        <f aca="false">IF(A183&lt;&gt;"",A183&amp;" | "&amp;B183&amp;IF(C183="S"," [OP2%]",""),"")</f>
        <v/>
      </c>
    </row>
    <row r="184" customFormat="false" ht="15" hidden="false" customHeight="true" outlineLevel="0" collapsed="false">
      <c r="A184" s="168"/>
      <c r="B184" s="168"/>
      <c r="C184" s="168"/>
      <c r="D184" s="168"/>
      <c r="E184" s="104" t="str">
        <f aca="false">IF(A184&lt;&gt;"",A184&amp;" | "&amp;B184&amp;IF(C184="S"," [OP2%]",""),"")</f>
        <v/>
      </c>
    </row>
    <row r="185" customFormat="false" ht="15" hidden="false" customHeight="true" outlineLevel="0" collapsed="false">
      <c r="A185" s="166"/>
      <c r="B185" s="166"/>
      <c r="C185" s="166"/>
      <c r="D185" s="166"/>
      <c r="E185" s="104" t="str">
        <f aca="false">IF(A185&lt;&gt;"",A185&amp;" | "&amp;B185&amp;IF(C185="S"," [OP2%]",""),"")</f>
        <v/>
      </c>
    </row>
    <row r="186" customFormat="false" ht="15" hidden="false" customHeight="true" outlineLevel="0" collapsed="false">
      <c r="A186" s="168"/>
      <c r="B186" s="168"/>
      <c r="C186" s="168"/>
      <c r="D186" s="168"/>
      <c r="E186" s="104" t="str">
        <f aca="false">IF(A186&lt;&gt;"",A186&amp;" | "&amp;B186&amp;IF(C186="S"," [OP2%]",""),"")</f>
        <v/>
      </c>
    </row>
    <row r="187" customFormat="false" ht="15" hidden="false" customHeight="true" outlineLevel="0" collapsed="false">
      <c r="A187" s="166"/>
      <c r="B187" s="166"/>
      <c r="C187" s="166"/>
      <c r="D187" s="166"/>
      <c r="E187" s="104" t="str">
        <f aca="false">IF(A187&lt;&gt;"",A187&amp;" | "&amp;B187&amp;IF(C187="S"," [OP2%]",""),"")</f>
        <v/>
      </c>
    </row>
    <row r="188" customFormat="false" ht="15" hidden="false" customHeight="true" outlineLevel="0" collapsed="false">
      <c r="A188" s="168"/>
      <c r="B188" s="168"/>
      <c r="C188" s="168"/>
      <c r="D188" s="168"/>
      <c r="E188" s="104" t="str">
        <f aca="false">IF(A188&lt;&gt;"",A188&amp;" | "&amp;B188&amp;IF(C188="S"," [OP2%]",""),"")</f>
        <v/>
      </c>
    </row>
    <row r="189" customFormat="false" ht="15" hidden="false" customHeight="true" outlineLevel="0" collapsed="false">
      <c r="A189" s="166"/>
      <c r="B189" s="166"/>
      <c r="C189" s="166"/>
      <c r="D189" s="166"/>
      <c r="E189" s="104" t="str">
        <f aca="false">IF(A189&lt;&gt;"",A189&amp;" | "&amp;B189&amp;IF(C189="S"," [OP2%]",""),"")</f>
        <v/>
      </c>
    </row>
    <row r="190" customFormat="false" ht="15" hidden="false" customHeight="true" outlineLevel="0" collapsed="false">
      <c r="A190" s="168"/>
      <c r="B190" s="168"/>
      <c r="C190" s="168"/>
      <c r="D190" s="168"/>
      <c r="E190" s="104" t="str">
        <f aca="false">IF(A190&lt;&gt;"",A190&amp;" | "&amp;B190&amp;IF(C190="S"," [OP2%]",""),"")</f>
        <v/>
      </c>
    </row>
    <row r="191" customFormat="false" ht="15" hidden="false" customHeight="true" outlineLevel="0" collapsed="false">
      <c r="A191" s="166"/>
      <c r="B191" s="166"/>
      <c r="C191" s="166"/>
      <c r="D191" s="166"/>
      <c r="E191" s="104" t="str">
        <f aca="false">IF(A191&lt;&gt;"",A191&amp;" | "&amp;B191&amp;IF(C191="S"," [OP2%]",""),"")</f>
        <v/>
      </c>
    </row>
    <row r="192" customFormat="false" ht="15" hidden="false" customHeight="true" outlineLevel="0" collapsed="false">
      <c r="A192" s="168"/>
      <c r="B192" s="168"/>
      <c r="C192" s="168"/>
      <c r="D192" s="168"/>
      <c r="E192" s="104" t="str">
        <f aca="false">IF(A192&lt;&gt;"",A192&amp;" | "&amp;B192&amp;IF(C192="S"," [OP2%]",""),"")</f>
        <v/>
      </c>
    </row>
    <row r="193" customFormat="false" ht="15" hidden="false" customHeight="true" outlineLevel="0" collapsed="false">
      <c r="A193" s="166"/>
      <c r="B193" s="166"/>
      <c r="C193" s="166"/>
      <c r="D193" s="166"/>
      <c r="E193" s="104" t="str">
        <f aca="false">IF(A193&lt;&gt;"",A193&amp;" | "&amp;B193&amp;IF(C193="S"," [OP2%]",""),"")</f>
        <v/>
      </c>
    </row>
    <row r="194" customFormat="false" ht="15" hidden="false" customHeight="true" outlineLevel="0" collapsed="false">
      <c r="A194" s="168"/>
      <c r="B194" s="168"/>
      <c r="C194" s="168"/>
      <c r="D194" s="168"/>
      <c r="E194" s="104" t="str">
        <f aca="false">IF(A194&lt;&gt;"",A194&amp;" | "&amp;B194&amp;IF(C194="S"," [OP2%]",""),"")</f>
        <v/>
      </c>
    </row>
    <row r="195" customFormat="false" ht="15" hidden="false" customHeight="true" outlineLevel="0" collapsed="false">
      <c r="A195" s="166"/>
      <c r="B195" s="166"/>
      <c r="C195" s="166"/>
      <c r="D195" s="166"/>
      <c r="E195" s="104" t="str">
        <f aca="false">IF(A195&lt;&gt;"",A195&amp;" | "&amp;B195&amp;IF(C195="S"," [OP2%]",""),"")</f>
        <v/>
      </c>
    </row>
    <row r="196" customFormat="false" ht="15" hidden="false" customHeight="true" outlineLevel="0" collapsed="false">
      <c r="A196" s="168"/>
      <c r="B196" s="168"/>
      <c r="C196" s="168"/>
      <c r="D196" s="168"/>
      <c r="E196" s="104" t="str">
        <f aca="false">IF(A196&lt;&gt;"",A196&amp;" | "&amp;B196&amp;IF(C196="S"," [OP2%]",""),"")</f>
        <v/>
      </c>
    </row>
    <row r="197" customFormat="false" ht="15" hidden="false" customHeight="true" outlineLevel="0" collapsed="false">
      <c r="A197" s="166"/>
      <c r="B197" s="166"/>
      <c r="C197" s="166"/>
      <c r="D197" s="166"/>
      <c r="E197" s="104" t="str">
        <f aca="false">IF(A197&lt;&gt;"",A197&amp;" | "&amp;B197&amp;IF(C197="S"," [OP2%]",""),"")</f>
        <v/>
      </c>
    </row>
    <row r="198" customFormat="false" ht="15" hidden="false" customHeight="true" outlineLevel="0" collapsed="false">
      <c r="A198" s="168"/>
      <c r="B198" s="168"/>
      <c r="C198" s="168"/>
      <c r="D198" s="168"/>
      <c r="E198" s="104" t="str">
        <f aca="false">IF(A198&lt;&gt;"",A198&amp;" | "&amp;B198&amp;IF(C198="S"," [OP2%]",""),"")</f>
        <v/>
      </c>
    </row>
    <row r="199" customFormat="false" ht="15" hidden="false" customHeight="true" outlineLevel="0" collapsed="false">
      <c r="A199" s="166"/>
      <c r="B199" s="166"/>
      <c r="C199" s="166"/>
      <c r="D199" s="166"/>
      <c r="E199" s="104" t="str">
        <f aca="false">IF(A199&lt;&gt;"",A199&amp;" | "&amp;B199&amp;IF(C199="S"," [OP2%]",""),"")</f>
        <v/>
      </c>
    </row>
    <row r="200" customFormat="false" ht="15" hidden="false" customHeight="true" outlineLevel="0" collapsed="false">
      <c r="A200" s="168"/>
      <c r="B200" s="168"/>
      <c r="C200" s="168"/>
      <c r="D200" s="168"/>
      <c r="E200" s="104" t="str">
        <f aca="false">IF(A200&lt;&gt;"",A200&amp;" | "&amp;B200&amp;IF(C200="S"," [OP2%]",""),"")</f>
        <v/>
      </c>
    </row>
    <row r="201" customFormat="false" ht="15" hidden="false" customHeight="true" outlineLevel="0" collapsed="false">
      <c r="A201" s="168"/>
      <c r="B201" s="168"/>
      <c r="C201" s="168"/>
      <c r="D201" s="166"/>
      <c r="E201" s="104" t="str">
        <f aca="false">IF(A201&lt;&gt;"",A201&amp;" | "&amp;B201&amp;IF(C201="S"," [OP2%]",""),"")</f>
        <v/>
      </c>
    </row>
    <row r="202" customFormat="false" ht="15" hidden="false" customHeight="true" outlineLevel="0" collapsed="false">
      <c r="A202" s="168"/>
      <c r="B202" s="168"/>
      <c r="C202" s="168"/>
      <c r="D202" s="168"/>
      <c r="E202" s="104" t="str">
        <f aca="false">IF(A202&lt;&gt;"",A202&amp;" | "&amp;B202&amp;IF(C202="S"," [OP2%]",""),"")</f>
        <v/>
      </c>
    </row>
    <row r="203" customFormat="false" ht="15" hidden="false" customHeight="true" outlineLevel="0" collapsed="false">
      <c r="A203" s="166"/>
      <c r="B203" s="166"/>
      <c r="C203" s="166"/>
      <c r="D203" s="166"/>
      <c r="E203" s="104" t="str">
        <f aca="false">IF(A203&lt;&gt;"",A203&amp;" | "&amp;B203&amp;IF(C203="S"," [OP2%]",""),"")</f>
        <v/>
      </c>
    </row>
    <row r="204" customFormat="false" ht="15" hidden="false" customHeight="true" outlineLevel="0" collapsed="false">
      <c r="A204" s="168"/>
      <c r="B204" s="168"/>
      <c r="C204" s="168"/>
      <c r="D204" s="168"/>
      <c r="E204" s="104" t="str">
        <f aca="false">IF(A204&lt;&gt;"",A204&amp;" | "&amp;B204&amp;IF(C204="S"," [OP2%]",""),"")</f>
        <v/>
      </c>
    </row>
    <row r="205" customFormat="false" ht="15" hidden="false" customHeight="true" outlineLevel="0" collapsed="false">
      <c r="A205" s="166"/>
      <c r="B205" s="166"/>
      <c r="C205" s="166"/>
      <c r="D205" s="166"/>
      <c r="E205" s="104" t="str">
        <f aca="false">IF(A205&lt;&gt;"",A205&amp;" | "&amp;B205&amp;IF(C205="S"," [OP2%]",""),"")</f>
        <v/>
      </c>
    </row>
    <row r="206" customFormat="false" ht="15" hidden="false" customHeight="true" outlineLevel="0" collapsed="false">
      <c r="A206" s="168"/>
      <c r="B206" s="168"/>
      <c r="C206" s="168"/>
      <c r="D206" s="168"/>
      <c r="E206" s="104" t="str">
        <f aca="false">IF(A206&lt;&gt;"",A206&amp;" | "&amp;B206&amp;IF(C206="S"," [OP2%]",""),"")</f>
        <v/>
      </c>
    </row>
    <row r="207" customFormat="false" ht="15" hidden="false" customHeight="true" outlineLevel="0" collapsed="false">
      <c r="A207" s="166"/>
      <c r="B207" s="166"/>
      <c r="C207" s="166"/>
      <c r="D207" s="166"/>
      <c r="E207" s="104" t="str">
        <f aca="false">IF(A207&lt;&gt;"",A207&amp;" | "&amp;B207&amp;IF(C207="S"," [OP2%]",""),"")</f>
        <v/>
      </c>
    </row>
  </sheetData>
  <sheetProtection sheet="true" formatCells="false" formatColumns="false" formatRows="false"/>
  <autoFilter ref="A2:D201">
    <sortState ref="A3:D201">
      <sortCondition ref="A3:A201" customList=""/>
    </sortState>
  </autoFilter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Y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46" activePane="bottomLeft" state="frozen"/>
      <selection pane="topLeft" activeCell="A1" activeCellId="0" sqref="A1"/>
      <selection pane="bottomLeft" activeCell="A144" activeCellId="0" sqref="A14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5"/>
    <col collapsed="false" customWidth="true" hidden="false" outlineLevel="0" max="3" min="3" style="1" width="11.43"/>
    <col collapsed="false" customWidth="true" hidden="true" outlineLevel="0" max="4" min="4" style="1" width="59.57"/>
    <col collapsed="false" customWidth="true" hidden="true" outlineLevel="0" max="5" min="5" style="1" width="21"/>
    <col collapsed="false" customWidth="true" hidden="true" outlineLevel="0" max="6" min="6" style="1" width="13"/>
    <col collapsed="false" customWidth="true" hidden="true" outlineLevel="0" max="7" min="7" style="1" width="15.71"/>
    <col collapsed="false" customWidth="true" hidden="true" outlineLevel="0" max="12" min="8" style="1" width="13"/>
    <col collapsed="false" customWidth="true" hidden="true" outlineLevel="0" max="13" min="13" style="1" width="31.57"/>
    <col collapsed="false" customWidth="true" hidden="false" outlineLevel="0" max="14" min="14" style="1" width="11.43"/>
    <col collapsed="false" customWidth="true" hidden="false" outlineLevel="0" max="15" min="15" style="1" width="19.14"/>
    <col collapsed="false" customWidth="true" hidden="false" outlineLevel="0" max="16" min="16" style="1" width="11.14"/>
    <col collapsed="false" customWidth="true" hidden="false" outlineLevel="0" max="17" min="17" style="1" width="10.71"/>
    <col collapsed="false" customWidth="true" hidden="false" outlineLevel="0" max="18" min="18" style="1" width="19.71"/>
  </cols>
  <sheetData>
    <row r="1" customFormat="false" ht="27.75" hidden="false" customHeight="true" outlineLevel="0" collapsed="false">
      <c r="A1" s="164" t="s">
        <v>923</v>
      </c>
      <c r="B1" s="164"/>
      <c r="C1" s="164"/>
      <c r="E1" s="67"/>
      <c r="K1" s="67"/>
      <c r="L1" s="67"/>
      <c r="O1" s="67"/>
      <c r="P1" s="67"/>
      <c r="Q1" s="67"/>
      <c r="R1" s="67"/>
      <c r="S1" s="67"/>
      <c r="T1" s="67"/>
      <c r="U1" s="67"/>
      <c r="V1" s="67"/>
      <c r="W1" s="67"/>
    </row>
    <row r="2" customFormat="false" ht="15.75" hidden="false" customHeight="true" outlineLevel="0" collapsed="false">
      <c r="A2" s="165" t="s">
        <v>877</v>
      </c>
      <c r="B2" s="165" t="s">
        <v>347</v>
      </c>
      <c r="C2" s="165" t="s">
        <v>924</v>
      </c>
      <c r="D2" s="28" t="s">
        <v>925</v>
      </c>
      <c r="E2" s="169" t="s">
        <v>926</v>
      </c>
      <c r="F2" s="170" t="s">
        <v>927</v>
      </c>
      <c r="G2" s="170" t="s">
        <v>928</v>
      </c>
      <c r="H2" s="171" t="s">
        <v>929</v>
      </c>
      <c r="I2" s="171" t="s">
        <v>930</v>
      </c>
      <c r="J2" s="171" t="s">
        <v>931</v>
      </c>
      <c r="K2" s="172" t="s">
        <v>932</v>
      </c>
      <c r="L2" s="172" t="s">
        <v>933</v>
      </c>
      <c r="M2" s="170" t="s">
        <v>934</v>
      </c>
      <c r="N2" s="170" t="s">
        <v>935</v>
      </c>
      <c r="O2" s="172" t="s">
        <v>936</v>
      </c>
      <c r="P2" s="172" t="s">
        <v>937</v>
      </c>
      <c r="Q2" s="172" t="s">
        <v>938</v>
      </c>
      <c r="R2" s="172" t="s">
        <v>939</v>
      </c>
      <c r="S2" s="172" t="s">
        <v>940</v>
      </c>
      <c r="T2" s="172" t="s">
        <v>941</v>
      </c>
      <c r="U2" s="172" t="s">
        <v>942</v>
      </c>
      <c r="V2" s="172" t="s">
        <v>943</v>
      </c>
      <c r="W2" s="172" t="s">
        <v>944</v>
      </c>
      <c r="X2" s="171" t="s">
        <v>945</v>
      </c>
      <c r="Y2" s="171" t="s">
        <v>946</v>
      </c>
    </row>
    <row r="3" customFormat="false" ht="15" hidden="true" customHeight="true" outlineLevel="0" collapsed="false">
      <c r="A3" s="75"/>
      <c r="B3" s="166"/>
      <c r="C3" s="173"/>
      <c r="D3" s="104" t="str">
        <f aca="false">IF(A3&lt;&gt;"",A3&amp;" | "&amp;B3&amp;" ["&amp;C3&amp;"]","")</f>
        <v/>
      </c>
      <c r="E3" s="67"/>
      <c r="K3" s="67"/>
      <c r="L3" s="67"/>
      <c r="O3" s="67"/>
      <c r="P3" s="67"/>
      <c r="Q3" s="67"/>
      <c r="R3" s="67"/>
      <c r="S3" s="67"/>
      <c r="T3" s="67"/>
      <c r="U3" s="67"/>
      <c r="V3" s="67"/>
      <c r="W3" s="67"/>
    </row>
    <row r="4" customFormat="false" ht="15" hidden="true" customHeight="true" outlineLevel="0" collapsed="false">
      <c r="A4" s="87"/>
      <c r="B4" s="168"/>
      <c r="C4" s="173"/>
      <c r="D4" s="104" t="str">
        <f aca="false">IF(A4&lt;&gt;"",A4&amp;" | "&amp;B4&amp;" ["&amp;C4&amp;"]","")</f>
        <v/>
      </c>
      <c r="E4" s="67"/>
      <c r="H4" s="174"/>
      <c r="I4" s="174"/>
      <c r="J4" s="174"/>
      <c r="K4" s="67"/>
      <c r="L4" s="67"/>
      <c r="O4" s="67"/>
      <c r="P4" s="67"/>
      <c r="Q4" s="67"/>
      <c r="R4" s="67"/>
      <c r="S4" s="67"/>
      <c r="T4" s="67"/>
      <c r="U4" s="67"/>
      <c r="V4" s="67"/>
      <c r="W4" s="67"/>
    </row>
    <row r="5" customFormat="false" ht="15" hidden="true" customHeight="true" outlineLevel="0" collapsed="false">
      <c r="A5" s="75"/>
      <c r="B5" s="166"/>
      <c r="C5" s="173"/>
      <c r="D5" s="104" t="str">
        <f aca="false">IF(A5&lt;&gt;"",A5&amp;" | "&amp;B5&amp;" ["&amp;C5&amp;"]","")</f>
        <v/>
      </c>
      <c r="E5" s="67"/>
      <c r="K5" s="67"/>
      <c r="L5" s="67"/>
      <c r="O5" s="67"/>
      <c r="P5" s="67"/>
      <c r="Q5" s="67"/>
      <c r="R5" s="67"/>
      <c r="S5" s="67"/>
      <c r="T5" s="67"/>
      <c r="U5" s="67"/>
      <c r="V5" s="67"/>
      <c r="W5" s="67"/>
    </row>
    <row r="6" customFormat="false" ht="15" hidden="true" customHeight="true" outlineLevel="0" collapsed="false">
      <c r="A6" s="87"/>
      <c r="B6" s="168"/>
      <c r="C6" s="173"/>
      <c r="D6" s="104" t="str">
        <f aca="false">IF(A6&lt;&gt;"",A6&amp;" | "&amp;B6&amp;" ["&amp;C6&amp;"]","")</f>
        <v/>
      </c>
      <c r="E6" s="67"/>
      <c r="K6" s="67"/>
      <c r="L6" s="67"/>
      <c r="O6" s="67"/>
      <c r="P6" s="67"/>
      <c r="Q6" s="67"/>
      <c r="R6" s="67"/>
      <c r="S6" s="67"/>
      <c r="T6" s="67"/>
      <c r="U6" s="67"/>
      <c r="V6" s="67"/>
      <c r="W6" s="67"/>
    </row>
    <row r="7" customFormat="false" ht="15" hidden="true" customHeight="true" outlineLevel="0" collapsed="false">
      <c r="A7" s="75"/>
      <c r="B7" s="166"/>
      <c r="C7" s="173"/>
      <c r="D7" s="104" t="str">
        <f aca="false">IF(A7&lt;&gt;"",A7&amp;" | "&amp;B7&amp;" ["&amp;C7&amp;"]","")</f>
        <v/>
      </c>
      <c r="E7" s="67"/>
      <c r="K7" s="67"/>
      <c r="L7" s="67"/>
      <c r="O7" s="67"/>
      <c r="P7" s="67"/>
      <c r="Q7" s="67"/>
      <c r="R7" s="67"/>
      <c r="S7" s="67"/>
      <c r="T7" s="67"/>
      <c r="U7" s="67"/>
      <c r="V7" s="67"/>
      <c r="W7" s="67"/>
    </row>
    <row r="8" customFormat="false" ht="15" hidden="true" customHeight="true" outlineLevel="0" collapsed="false">
      <c r="A8" s="87"/>
      <c r="B8" s="168"/>
      <c r="C8" s="173"/>
      <c r="D8" s="104" t="str">
        <f aca="false">IF(A8&lt;&gt;"",A8&amp;" | "&amp;B8&amp;" ["&amp;C8&amp;"]","")</f>
        <v/>
      </c>
      <c r="E8" s="67"/>
      <c r="K8" s="67"/>
      <c r="L8" s="67"/>
      <c r="O8" s="67"/>
      <c r="P8" s="67"/>
      <c r="Q8" s="67"/>
      <c r="R8" s="67"/>
      <c r="S8" s="67"/>
      <c r="T8" s="67"/>
      <c r="U8" s="67"/>
      <c r="V8" s="67"/>
      <c r="W8" s="67"/>
    </row>
    <row r="9" customFormat="false" ht="15" hidden="true" customHeight="true" outlineLevel="0" collapsed="false">
      <c r="A9" s="75"/>
      <c r="B9" s="166"/>
      <c r="C9" s="173"/>
      <c r="D9" s="104" t="str">
        <f aca="false">IF(A9&lt;&gt;"",A9&amp;" | "&amp;B9&amp;" ["&amp;C9&amp;"]","")</f>
        <v/>
      </c>
      <c r="E9" s="67"/>
      <c r="K9" s="67"/>
      <c r="L9" s="67"/>
      <c r="O9" s="67"/>
      <c r="P9" s="67"/>
      <c r="Q9" s="67"/>
      <c r="R9" s="67"/>
      <c r="S9" s="67"/>
      <c r="T9" s="67"/>
      <c r="U9" s="67"/>
      <c r="V9" s="67"/>
      <c r="W9" s="67"/>
    </row>
    <row r="10" customFormat="false" ht="15" hidden="true" customHeight="true" outlineLevel="0" collapsed="false">
      <c r="A10" s="87"/>
      <c r="B10" s="168"/>
      <c r="C10" s="173"/>
      <c r="D10" s="104" t="str">
        <f aca="false">IF(A10&lt;&gt;"",A10&amp;" | "&amp;B10&amp;" ["&amp;C10&amp;"]","")</f>
        <v/>
      </c>
      <c r="E10" s="67"/>
      <c r="K10" s="67"/>
      <c r="L10" s="67"/>
      <c r="O10" s="67"/>
      <c r="P10" s="67"/>
      <c r="Q10" s="67"/>
      <c r="R10" s="67"/>
      <c r="S10" s="67"/>
      <c r="T10" s="67"/>
      <c r="U10" s="67"/>
      <c r="V10" s="67"/>
      <c r="W10" s="67"/>
    </row>
    <row r="11" customFormat="false" ht="15" hidden="true" customHeight="true" outlineLevel="0" collapsed="false">
      <c r="A11" s="75"/>
      <c r="B11" s="166"/>
      <c r="C11" s="173"/>
      <c r="D11" s="104" t="str">
        <f aca="false">IF(A11&lt;&gt;"",A11&amp;" | "&amp;B11&amp;" ["&amp;C11&amp;"]","")</f>
        <v/>
      </c>
      <c r="E11" s="67"/>
      <c r="K11" s="67"/>
      <c r="L11" s="67"/>
      <c r="O11" s="67"/>
      <c r="P11" s="67"/>
      <c r="Q11" s="67"/>
      <c r="R11" s="67"/>
      <c r="S11" s="67"/>
      <c r="T11" s="67"/>
      <c r="U11" s="67"/>
      <c r="V11" s="67"/>
      <c r="W11" s="67"/>
    </row>
    <row r="12" customFormat="false" ht="15" hidden="true" customHeight="true" outlineLevel="0" collapsed="false">
      <c r="A12" s="87" t="s">
        <v>65</v>
      </c>
      <c r="B12" s="168" t="s">
        <v>66</v>
      </c>
      <c r="C12" s="173" t="s">
        <v>947</v>
      </c>
      <c r="D12" s="104" t="str">
        <f aca="false">IF(A12&lt;&gt;"",A12&amp;" | "&amp;B12&amp;" ["&amp;C12&amp;"]","")</f>
        <v>C650 | ABADEJO RIA (POL) [FRESCO]</v>
      </c>
      <c r="E12" s="67" t="s">
        <v>365</v>
      </c>
      <c r="F12" s="1" t="n">
        <f aca="false">IF(AND(E12="S",C12="FRESCO"),COUNTIFS($E$3:E12,"S",$C$3:C12,"FRESCO"),"")</f>
        <v>1</v>
      </c>
      <c r="G12" s="1" t="str">
        <f aca="false">IF(AND(E12="S",C12&lt;&gt;"FRESCO"),COUNTIFS($E$3:E12,"S",$C$3:C12,"&lt;&gt;FRESCO"),"")</f>
        <v/>
      </c>
      <c r="H12" s="1" t="str">
        <f aca="false">IF(N12="","",IFERROR(SUMIFS(COMPRAS!$O$3:$O$4997,COMPRAS!$G$3:$G$4997,A12,COMPRAS!$B$3:$B$4997,N12)/SUMIFS(COMPRAS!$J$3:$J$4997,COMPRAS!$G$3:$G$4997,A12,COMPRAS!$B$3:$B$4997,N12),""))</f>
        <v/>
      </c>
      <c r="I12" s="1" t="str">
        <f aca="false">IF(X12&lt;&gt;"",X12,IF(H12="","",ROUND(H12+1.7,2)))</f>
        <v/>
      </c>
      <c r="J12" s="1" t="str">
        <f aca="false">IF(Y12&lt;&gt;"",Y12,IF(H12="","",ROUND(H12+1.9,2)))</f>
        <v/>
      </c>
      <c r="K12" s="67"/>
      <c r="L12" s="67" t="s">
        <v>381</v>
      </c>
      <c r="M12" s="64" t="str">
        <f aca="false">IF(COUNTIF(COMPRAS!$G$3:$G$4997,A12)=0,"",SUMPRODUCT(MAX((COMPRAS!$G$3:$G$4997=A12)*COMPRAS!$B$3:$B$4997)))</f>
        <v/>
      </c>
      <c r="N12" s="64" t="str">
        <f aca="false">M12</f>
        <v/>
      </c>
      <c r="O12" s="67" t="s">
        <v>948</v>
      </c>
      <c r="P12" s="67" t="s">
        <v>949</v>
      </c>
      <c r="Q12" s="67" t="s">
        <v>950</v>
      </c>
      <c r="R12" s="67" t="s">
        <v>951</v>
      </c>
      <c r="S12" s="67" t="s">
        <v>952</v>
      </c>
      <c r="T12" s="67"/>
      <c r="U12" s="67" t="s">
        <v>953</v>
      </c>
      <c r="V12" s="67" t="s">
        <v>954</v>
      </c>
      <c r="W12" s="67" t="s">
        <v>955</v>
      </c>
    </row>
    <row r="13" customFormat="false" ht="15" hidden="true" customHeight="true" outlineLevel="0" collapsed="false">
      <c r="A13" s="75" t="s">
        <v>67</v>
      </c>
      <c r="B13" s="166" t="s">
        <v>68</v>
      </c>
      <c r="C13" s="173" t="s">
        <v>947</v>
      </c>
      <c r="D13" s="104" t="str">
        <f aca="false">IF(A13&lt;&gt;"",A13&amp;" | "&amp;B13&amp;" ["&amp;C13&amp;"]","")</f>
        <v>C620 | ACEDIA (CET) [FRESCO]</v>
      </c>
      <c r="E13" s="67" t="s">
        <v>365</v>
      </c>
      <c r="F13" s="1" t="n">
        <f aca="false">IF(AND(E13="S",C13="FRESCO"),COUNTIFS($E$3:E13,"S",$C$3:C13,"FRESCO"),"")</f>
        <v>2</v>
      </c>
      <c r="G13" s="1" t="str">
        <f aca="false">IF(AND(E13="S",C13&lt;&gt;"FRESCO"),COUNTIFS($E$3:E13,"S",$C$3:C13,"&lt;&gt;FRESCO"),"")</f>
        <v/>
      </c>
      <c r="H13" s="1" t="str">
        <f aca="false">IF(N13="","",IFERROR(SUMIFS(COMPRAS!$O$3:$O$4997,COMPRAS!$G$3:$G$4997,A13,COMPRAS!$B$3:$B$4997,N13)/SUMIFS(COMPRAS!$J$3:$J$4997,COMPRAS!$G$3:$G$4997,A13,COMPRAS!$B$3:$B$4997,N13),""))</f>
        <v/>
      </c>
      <c r="I13" s="1" t="str">
        <f aca="false">IF(X13&lt;&gt;"",X13,IF(H13="","",ROUND(H13+1.7,2)))</f>
        <v/>
      </c>
      <c r="J13" s="1" t="str">
        <f aca="false">IF(Y13&lt;&gt;"",Y13,IF(H13="","",ROUND(H13+1.9,2)))</f>
        <v/>
      </c>
      <c r="K13" s="67"/>
      <c r="L13" s="67" t="s">
        <v>381</v>
      </c>
      <c r="M13" s="64" t="str">
        <f aca="false">IF(COUNTIF(COMPRAS!$G$3:$G$4997,A13)=0,"",SUMPRODUCT(MAX((COMPRAS!$G$3:$G$4997=A13)*COMPRAS!$B$3:$B$4997)))</f>
        <v/>
      </c>
      <c r="N13" s="64" t="str">
        <f aca="false">M13</f>
        <v/>
      </c>
      <c r="O13" s="67" t="s">
        <v>956</v>
      </c>
      <c r="P13" s="67" t="s">
        <v>949</v>
      </c>
      <c r="Q13" s="67" t="s">
        <v>950</v>
      </c>
      <c r="R13" s="67" t="s">
        <v>957</v>
      </c>
      <c r="S13" s="67" t="s">
        <v>952</v>
      </c>
      <c r="T13" s="67"/>
      <c r="U13" s="67" t="s">
        <v>953</v>
      </c>
      <c r="V13" s="67" t="s">
        <v>954</v>
      </c>
      <c r="W13" s="67" t="s">
        <v>955</v>
      </c>
    </row>
    <row r="14" customFormat="false" ht="15" hidden="true" customHeight="true" outlineLevel="0" collapsed="false">
      <c r="A14" s="87" t="s">
        <v>69</v>
      </c>
      <c r="B14" s="168" t="s">
        <v>70</v>
      </c>
      <c r="C14" s="173" t="s">
        <v>947</v>
      </c>
      <c r="D14" s="104" t="str">
        <f aca="false">IF(A14&lt;&gt;"",A14&amp;" | "&amp;B14&amp;" ["&amp;C14&amp;"]","")</f>
        <v>C2555 | ALFONDIGA/RUBIO/ESCACHO (GUU) [FRESCO]</v>
      </c>
      <c r="E14" s="67" t="s">
        <v>365</v>
      </c>
      <c r="F14" s="1" t="n">
        <f aca="false">IF(AND(E14="S",C14="FRESCO"),COUNTIFS($E$3:E14,"S",$C$3:C14,"FRESCO"),"")</f>
        <v>3</v>
      </c>
      <c r="G14" s="1" t="str">
        <f aca="false">IF(AND(E14="S",C14&lt;&gt;"FRESCO"),COUNTIFS($E$3:E14,"S",$C$3:C14,"&lt;&gt;FRESCO"),"")</f>
        <v/>
      </c>
      <c r="H14" s="1" t="n">
        <f aca="false">IF(N14="","",IFERROR(SUMIFS(COMPRAS!$O$3:$O$4997,COMPRAS!$G$3:$G$4997,A14,COMPRAS!$B$3:$B$4997,N14)/SUMIFS(COMPRAS!$J$3:$J$4997,COMPRAS!$G$3:$G$4997,A14,COMPRAS!$B$3:$B$4997,N14),""))</f>
        <v>1.49932330827068</v>
      </c>
      <c r="I14" s="1" t="n">
        <f aca="false">IF(X14&lt;&gt;"",X14,IF(H14="","",ROUND(H14+1.7,2)))</f>
        <v>3.2</v>
      </c>
      <c r="J14" s="1" t="n">
        <f aca="false">IF(Y14&lt;&gt;"",Y14,IF(H14="","",ROUND(H14+1.9,2)))</f>
        <v>3.4</v>
      </c>
      <c r="K14" s="67"/>
      <c r="L14" s="67" t="s">
        <v>381</v>
      </c>
      <c r="M14" s="64" t="n">
        <f aca="false">IF(COUNTIF(COMPRAS!$G$3:$G$4997,A14)=0,"",SUMPRODUCT(MAX((COMPRAS!$G$3:$G$4997=A14)*COMPRAS!$B$3:$B$4997)))</f>
        <v>46200</v>
      </c>
      <c r="N14" s="64" t="n">
        <f aca="false">M14</f>
        <v>46200</v>
      </c>
      <c r="O14" s="67" t="s">
        <v>958</v>
      </c>
      <c r="P14" s="67" t="s">
        <v>949</v>
      </c>
      <c r="Q14" s="67" t="s">
        <v>950</v>
      </c>
      <c r="R14" s="67" t="s">
        <v>959</v>
      </c>
      <c r="S14" s="67" t="s">
        <v>952</v>
      </c>
      <c r="T14" s="67"/>
      <c r="U14" s="67" t="s">
        <v>953</v>
      </c>
      <c r="V14" s="67" t="s">
        <v>954</v>
      </c>
      <c r="W14" s="67" t="s">
        <v>955</v>
      </c>
    </row>
    <row r="15" customFormat="false" ht="15" hidden="true" customHeight="true" outlineLevel="0" collapsed="false">
      <c r="A15" s="75" t="s">
        <v>71</v>
      </c>
      <c r="B15" s="166" t="s">
        <v>72</v>
      </c>
      <c r="C15" s="173" t="s">
        <v>947</v>
      </c>
      <c r="D15" s="104" t="str">
        <f aca="false">IF(A15&lt;&gt;"",A15&amp;" | "&amp;B15&amp;" ["&amp;C15&amp;"]","")</f>
        <v>C3972 | ATUN PATUDO (BET) [FRESCO]</v>
      </c>
      <c r="E15" s="67" t="s">
        <v>365</v>
      </c>
      <c r="F15" s="1" t="n">
        <f aca="false">IF(AND(E15="S",C15="FRESCO"),COUNTIFS($E$3:E15,"S",$C$3:C15,"FRESCO"),"")</f>
        <v>4</v>
      </c>
      <c r="G15" s="1" t="str">
        <f aca="false">IF(AND(E15="S",C15&lt;&gt;"FRESCO"),COUNTIFS($E$3:E15,"S",$C$3:C15,"&lt;&gt;FRESCO"),"")</f>
        <v/>
      </c>
      <c r="H15" s="1" t="str">
        <f aca="false">IF(N15="","",IFERROR(SUMIFS(COMPRAS!$O$3:$O$4997,COMPRAS!$G$3:$G$4997,A15,COMPRAS!$B$3:$B$4997,N15)/SUMIFS(COMPRAS!$J$3:$J$4997,COMPRAS!$G$3:$G$4997,A15,COMPRAS!$B$3:$B$4997,N15),""))</f>
        <v/>
      </c>
      <c r="I15" s="1" t="str">
        <f aca="false">IF(X15&lt;&gt;"",X15,IF(H15="","",ROUND(H15+1.7,2)))</f>
        <v/>
      </c>
      <c r="J15" s="1" t="str">
        <f aca="false">IF(Y15&lt;&gt;"",Y15,IF(H15="","",ROUND(H15+1.9,2)))</f>
        <v/>
      </c>
      <c r="K15" s="67"/>
      <c r="L15" s="67" t="s">
        <v>381</v>
      </c>
      <c r="M15" s="64" t="str">
        <f aca="false">IF(COUNTIF(COMPRAS!$G$3:$G$4997,A15)=0,"",SUMPRODUCT(MAX((COMPRAS!$G$3:$G$4997=A15)*COMPRAS!$B$3:$B$4997)))</f>
        <v/>
      </c>
      <c r="N15" s="64" t="str">
        <f aca="false">M15</f>
        <v/>
      </c>
      <c r="O15" s="67" t="s">
        <v>960</v>
      </c>
      <c r="P15" s="67" t="s">
        <v>949</v>
      </c>
      <c r="Q15" s="67" t="s">
        <v>950</v>
      </c>
      <c r="R15" s="67" t="s">
        <v>951</v>
      </c>
      <c r="S15" s="67" t="s">
        <v>952</v>
      </c>
      <c r="T15" s="67"/>
      <c r="U15" s="67" t="s">
        <v>953</v>
      </c>
      <c r="V15" s="67" t="s">
        <v>954</v>
      </c>
      <c r="W15" s="67" t="s">
        <v>955</v>
      </c>
    </row>
    <row r="16" customFormat="false" ht="15" hidden="true" customHeight="true" outlineLevel="0" collapsed="false">
      <c r="A16" s="87" t="s">
        <v>73</v>
      </c>
      <c r="B16" s="168" t="s">
        <v>74</v>
      </c>
      <c r="C16" s="173" t="s">
        <v>947</v>
      </c>
      <c r="D16" s="104" t="str">
        <f aca="false">IF(A16&lt;&gt;"",A16&amp;" | "&amp;B16&amp;" ["&amp;C16&amp;"]","")</f>
        <v>C8020 | FILETE DE BACALO (COD) [FRESCO]</v>
      </c>
      <c r="E16" s="67" t="s">
        <v>365</v>
      </c>
      <c r="F16" s="1" t="n">
        <f aca="false">IF(AND(E16="S",C16="FRESCO"),COUNTIFS($E$3:E16,"S",$C$3:C16,"FRESCO"),"")</f>
        <v>5</v>
      </c>
      <c r="G16" s="1" t="str">
        <f aca="false">IF(AND(E16="S",C16&lt;&gt;"FRESCO"),COUNTIFS($E$3:E16,"S",$C$3:C16,"&lt;&gt;FRESCO"),"")</f>
        <v/>
      </c>
      <c r="H16" s="1" t="str">
        <f aca="false">IF(N16="","",IFERROR(SUMIFS(COMPRAS!$O$3:$O$4997,COMPRAS!$G$3:$G$4997,A16,COMPRAS!$B$3:$B$4997,N16)/SUMIFS(COMPRAS!$J$3:$J$4997,COMPRAS!$G$3:$G$4997,A16,COMPRAS!$B$3:$B$4997,N16),""))</f>
        <v/>
      </c>
      <c r="I16" s="1" t="str">
        <f aca="false">IF(X16&lt;&gt;"",X16,IF(H16="","",ROUND(H16+1.7,2)))</f>
        <v/>
      </c>
      <c r="J16" s="1" t="str">
        <f aca="false">IF(Y16&lt;&gt;"",Y16,IF(H16="","",ROUND(H16+1.9,2)))</f>
        <v/>
      </c>
      <c r="K16" s="67"/>
      <c r="L16" s="67" t="s">
        <v>381</v>
      </c>
      <c r="M16" s="64" t="str">
        <f aca="false">IF(COUNTIF(COMPRAS!$G$3:$G$4997,A16)=0,"",SUMPRODUCT(MAX((COMPRAS!$G$3:$G$4997=A16)*COMPRAS!$B$3:$B$4997)))</f>
        <v/>
      </c>
      <c r="N16" s="64" t="str">
        <f aca="false">M16</f>
        <v/>
      </c>
      <c r="O16" s="67" t="s">
        <v>961</v>
      </c>
      <c r="P16" s="67"/>
      <c r="Q16" s="67"/>
      <c r="R16" s="67" t="s">
        <v>951</v>
      </c>
      <c r="S16" s="67" t="s">
        <v>952</v>
      </c>
      <c r="T16" s="67"/>
      <c r="U16" s="67" t="s">
        <v>953</v>
      </c>
      <c r="V16" s="67" t="s">
        <v>954</v>
      </c>
      <c r="W16" s="67" t="s">
        <v>955</v>
      </c>
    </row>
    <row r="17" customFormat="false" ht="15" hidden="true" customHeight="true" outlineLevel="0" collapsed="false">
      <c r="A17" s="75" t="s">
        <v>962</v>
      </c>
      <c r="B17" s="166" t="s">
        <v>76</v>
      </c>
      <c r="C17" s="173" t="s">
        <v>947</v>
      </c>
      <c r="D17" s="104" t="str">
        <f aca="false">IF(A17&lt;&gt;"",A17&amp;" | "&amp;B17&amp;" ["&amp;C17&amp;"]","")</f>
        <v>C802  | BACALAO FRESCO (COD) [FRESCO]</v>
      </c>
      <c r="E17" s="67" t="s">
        <v>365</v>
      </c>
      <c r="F17" s="1" t="n">
        <f aca="false">IF(AND(E17="S",C17="FRESCO"),COUNTIFS($E$3:E17,"S",$C$3:C17,"FRESCO"),"")</f>
        <v>6</v>
      </c>
      <c r="G17" s="1" t="str">
        <f aca="false">IF(AND(E17="S",C17&lt;&gt;"FRESCO"),COUNTIFS($E$3:E17,"S",$C$3:C17,"&lt;&gt;FRESCO"),"")</f>
        <v/>
      </c>
      <c r="H17" s="1" t="str">
        <f aca="false">IF(N17="","",IFERROR(SUMIFS(COMPRAS!$O$3:$O$4997,COMPRAS!$G$3:$G$4997,A17,COMPRAS!$B$3:$B$4997,N17)/SUMIFS(COMPRAS!$J$3:$J$4997,COMPRAS!$G$3:$G$4997,A17,COMPRAS!$B$3:$B$4997,N17),""))</f>
        <v/>
      </c>
      <c r="I17" s="1" t="str">
        <f aca="false">IF(X17&lt;&gt;"",X17,IF(H17="","",ROUND(H17+1.7,2)))</f>
        <v/>
      </c>
      <c r="J17" s="1" t="str">
        <f aca="false">IF(Y17&lt;&gt;"",Y17,IF(H17="","",ROUND(H17+1.9,2)))</f>
        <v/>
      </c>
      <c r="K17" s="67"/>
      <c r="L17" s="67" t="s">
        <v>381</v>
      </c>
      <c r="M17" s="64" t="str">
        <f aca="false">IF(COUNTIF(COMPRAS!$G$3:$G$4997,A17)=0,"",SUMPRODUCT(MAX((COMPRAS!$G$3:$G$4997=A17)*COMPRAS!$B$3:$B$4997)))</f>
        <v/>
      </c>
      <c r="N17" s="64" t="str">
        <f aca="false">M17</f>
        <v/>
      </c>
      <c r="O17" s="67" t="s">
        <v>961</v>
      </c>
      <c r="P17" s="67"/>
      <c r="Q17" s="67"/>
      <c r="R17" s="67" t="s">
        <v>951</v>
      </c>
      <c r="S17" s="67" t="s">
        <v>952</v>
      </c>
      <c r="T17" s="67"/>
      <c r="U17" s="67" t="s">
        <v>953</v>
      </c>
      <c r="V17" s="67" t="s">
        <v>954</v>
      </c>
      <c r="W17" s="67" t="s">
        <v>955</v>
      </c>
    </row>
    <row r="18" customFormat="false" ht="15" hidden="true" customHeight="true" outlineLevel="0" collapsed="false">
      <c r="A18" s="87" t="s">
        <v>77</v>
      </c>
      <c r="B18" s="168" t="s">
        <v>78</v>
      </c>
      <c r="C18" s="173" t="s">
        <v>947</v>
      </c>
      <c r="D18" s="104" t="str">
        <f aca="false">IF(A18&lt;&gt;"",A18&amp;" | "&amp;B18&amp;" ["&amp;C18&amp;"]","")</f>
        <v>C8021 | COCOCHAS DE BACALAO (COD) [FRESCO]</v>
      </c>
      <c r="E18" s="67" t="s">
        <v>365</v>
      </c>
      <c r="F18" s="1" t="n">
        <f aca="false">IF(AND(E18="S",C18="FRESCO"),COUNTIFS($E$3:E18,"S",$C$3:C18,"FRESCO"),"")</f>
        <v>7</v>
      </c>
      <c r="G18" s="1" t="str">
        <f aca="false">IF(AND(E18="S",C18&lt;&gt;"FRESCO"),COUNTIFS($E$3:E18,"S",$C$3:C18,"&lt;&gt;FRESCO"),"")</f>
        <v/>
      </c>
      <c r="H18" s="1" t="str">
        <f aca="false">IF(N18="","",IFERROR(SUMIFS(COMPRAS!$O$3:$O$4997,COMPRAS!$G$3:$G$4997,A18,COMPRAS!$B$3:$B$4997,N18)/SUMIFS(COMPRAS!$J$3:$J$4997,COMPRAS!$G$3:$G$4997,A18,COMPRAS!$B$3:$B$4997,N18),""))</f>
        <v/>
      </c>
      <c r="I18" s="1" t="str">
        <f aca="false">IF(X18&lt;&gt;"",X18,IF(H18="","",ROUND(H18+1.7,2)))</f>
        <v/>
      </c>
      <c r="J18" s="1" t="str">
        <f aca="false">IF(Y18&lt;&gt;"",Y18,IF(H18="","",ROUND(H18+1.9,2)))</f>
        <v/>
      </c>
      <c r="K18" s="67"/>
      <c r="L18" s="67" t="s">
        <v>381</v>
      </c>
      <c r="M18" s="64" t="str">
        <f aca="false">IF(COUNTIF(COMPRAS!$G$3:$G$4997,A18)=0,"",SUMPRODUCT(MAX((COMPRAS!$G$3:$G$4997=A18)*COMPRAS!$B$3:$B$4997)))</f>
        <v/>
      </c>
      <c r="N18" s="64" t="str">
        <f aca="false">M18</f>
        <v/>
      </c>
      <c r="O18" s="67" t="s">
        <v>961</v>
      </c>
      <c r="P18" s="67"/>
      <c r="Q18" s="67"/>
      <c r="R18" s="67" t="s">
        <v>951</v>
      </c>
      <c r="S18" s="67" t="s">
        <v>952</v>
      </c>
      <c r="T18" s="67"/>
      <c r="U18" s="67" t="s">
        <v>953</v>
      </c>
      <c r="V18" s="67" t="s">
        <v>954</v>
      </c>
      <c r="W18" s="67" t="s">
        <v>955</v>
      </c>
    </row>
    <row r="19" customFormat="false" ht="15" hidden="true" customHeight="true" outlineLevel="0" collapsed="false">
      <c r="A19" s="75" t="s">
        <v>79</v>
      </c>
      <c r="B19" s="166" t="s">
        <v>80</v>
      </c>
      <c r="C19" s="173" t="s">
        <v>947</v>
      </c>
      <c r="D19" s="104" t="str">
        <f aca="false">IF(A19&lt;&gt;"",A19&amp;" | "&amp;B19&amp;" ["&amp;C19&amp;"]","")</f>
        <v>C1546 | BERTORELLA ROCA (FOR) [FRESCO]</v>
      </c>
      <c r="E19" s="67" t="s">
        <v>365</v>
      </c>
      <c r="F19" s="1" t="n">
        <f aca="false">IF(AND(E19="S",C19="FRESCO"),COUNTIFS($E$3:E19,"S",$C$3:C19,"FRESCO"),"")</f>
        <v>8</v>
      </c>
      <c r="G19" s="1" t="str">
        <f aca="false">IF(AND(E19="S",C19&lt;&gt;"FRESCO"),COUNTIFS($E$3:E19,"S",$C$3:C19,"&lt;&gt;FRESCO"),"")</f>
        <v/>
      </c>
      <c r="H19" s="1" t="n">
        <f aca="false">IF(N19="","",IFERROR(SUMIFS(COMPRAS!$O$3:$O$4997,COMPRAS!$G$3:$G$4997,A19,COMPRAS!$B$3:$B$4997,N19)/SUMIFS(COMPRAS!$J$3:$J$4997,COMPRAS!$G$3:$G$4997,A19,COMPRAS!$B$3:$B$4997,N19),""))</f>
        <v>2.28311404958678</v>
      </c>
      <c r="I19" s="1" t="n">
        <f aca="false">IF(X19&lt;&gt;"",X19,IF(H19="","",ROUND(H19+1.7,2)))</f>
        <v>3.98</v>
      </c>
      <c r="J19" s="1" t="n">
        <f aca="false">IF(Y19&lt;&gt;"",Y19,IF(H19="","",ROUND(H19+1.9,2)))</f>
        <v>4.18</v>
      </c>
      <c r="K19" s="67"/>
      <c r="L19" s="67" t="s">
        <v>381</v>
      </c>
      <c r="M19" s="64" t="n">
        <f aca="false">IF(COUNTIF(COMPRAS!$G$3:$G$4997,A19)=0,"",SUMPRODUCT(MAX((COMPRAS!$G$3:$G$4997=A19)*COMPRAS!$B$3:$B$4997)))</f>
        <v>46204</v>
      </c>
      <c r="N19" s="64" t="n">
        <f aca="false">M19</f>
        <v>46204</v>
      </c>
      <c r="O19" s="67" t="s">
        <v>963</v>
      </c>
      <c r="P19" s="67" t="s">
        <v>949</v>
      </c>
      <c r="Q19" s="67" t="s">
        <v>950</v>
      </c>
      <c r="R19" s="67" t="s">
        <v>951</v>
      </c>
      <c r="S19" s="67" t="s">
        <v>952</v>
      </c>
      <c r="T19" s="67"/>
      <c r="U19" s="67" t="s">
        <v>953</v>
      </c>
      <c r="V19" s="67" t="s">
        <v>954</v>
      </c>
      <c r="W19" s="67" t="s">
        <v>955</v>
      </c>
    </row>
    <row r="20" customFormat="false" ht="15" hidden="true" customHeight="true" outlineLevel="0" collapsed="false">
      <c r="A20" s="87" t="s">
        <v>81</v>
      </c>
      <c r="B20" s="168" t="s">
        <v>964</v>
      </c>
      <c r="C20" s="173" t="s">
        <v>947</v>
      </c>
      <c r="D20" s="104" t="str">
        <f aca="false">IF(A20&lt;&gt;"",A20&amp;" | "&amp;B20&amp;" ["&amp;C20&amp;"]","")</f>
        <v>C1545 | BERTORELLA (GFB) [FRESCO]</v>
      </c>
      <c r="E20" s="67" t="s">
        <v>365</v>
      </c>
      <c r="F20" s="1" t="n">
        <f aca="false">IF(AND(E20="S",C20="FRESCO"),COUNTIFS($E$3:E20,"S",$C$3:C20,"FRESCO"),"")</f>
        <v>9</v>
      </c>
      <c r="G20" s="1" t="str">
        <f aca="false">IF(AND(E20="S",C20&lt;&gt;"FRESCO"),COUNTIFS($E$3:E20,"S",$C$3:C20,"&lt;&gt;FRESCO"),"")</f>
        <v/>
      </c>
      <c r="H20" s="1" t="n">
        <f aca="false">IF(N20="","",IFERROR(SUMIFS(COMPRAS!$O$3:$O$4997,COMPRAS!$G$3:$G$4997,A20,COMPRAS!$B$3:$B$4997,N20)/SUMIFS(COMPRAS!$J$3:$J$4997,COMPRAS!$G$3:$G$4997,A20,COMPRAS!$B$3:$B$4997,N20),""))</f>
        <v>2.48688907148726</v>
      </c>
      <c r="I20" s="1" t="n">
        <f aca="false">IF(X20&lt;&gt;"",X20,IF(H20="","",ROUND(H20+1.7,2)))</f>
        <v>4.19</v>
      </c>
      <c r="J20" s="1" t="n">
        <f aca="false">IF(Y20&lt;&gt;"",Y20,IF(H20="","",ROUND(H20+1.9,2)))</f>
        <v>4.39</v>
      </c>
      <c r="K20" s="67"/>
      <c r="L20" s="67" t="s">
        <v>381</v>
      </c>
      <c r="M20" s="64" t="n">
        <f aca="false">IF(COUNTIF(COMPRAS!$G$3:$G$4997,A20)=0,"",SUMPRODUCT(MAX((COMPRAS!$G$3:$G$4997=A20)*COMPRAS!$B$3:$B$4997)))</f>
        <v>46252</v>
      </c>
      <c r="N20" s="64" t="n">
        <f aca="false">M20</f>
        <v>46252</v>
      </c>
      <c r="O20" s="67" t="s">
        <v>965</v>
      </c>
      <c r="P20" s="67" t="s">
        <v>949</v>
      </c>
      <c r="Q20" s="67" t="s">
        <v>950</v>
      </c>
      <c r="R20" s="67" t="s">
        <v>959</v>
      </c>
      <c r="S20" s="67" t="s">
        <v>952</v>
      </c>
      <c r="T20" s="67"/>
      <c r="U20" s="67" t="s">
        <v>953</v>
      </c>
      <c r="V20" s="67" t="s">
        <v>954</v>
      </c>
      <c r="W20" s="67" t="s">
        <v>955</v>
      </c>
    </row>
    <row r="21" customFormat="false" ht="15" hidden="true" customHeight="true" outlineLevel="0" collapsed="false">
      <c r="A21" s="75" t="s">
        <v>83</v>
      </c>
      <c r="B21" s="166" t="s">
        <v>84</v>
      </c>
      <c r="C21" s="173" t="s">
        <v>947</v>
      </c>
      <c r="D21" s="104" t="str">
        <f aca="false">IF(A21&lt;&gt;"",A21&amp;" | "&amp;B21&amp;" ["&amp;C21&amp;"]","")</f>
        <v>C365 | BESUGO (BSR) [FRESCO]</v>
      </c>
      <c r="E21" s="67" t="s">
        <v>365</v>
      </c>
      <c r="F21" s="1" t="n">
        <f aca="false">IF(AND(E21="S",C21="FRESCO"),COUNTIFS($E$3:E21,"S",$C$3:C21,"FRESCO"),"")</f>
        <v>10</v>
      </c>
      <c r="G21" s="1" t="str">
        <f aca="false">IF(AND(E21="S",C21&lt;&gt;"FRESCO"),COUNTIFS($E$3:E21,"S",$C$3:C21,"&lt;&gt;FRESCO"),"")</f>
        <v/>
      </c>
      <c r="H21" s="1" t="n">
        <f aca="false">IF(N21="","",IFERROR(SUMIFS(COMPRAS!$O$3:$O$4997,COMPRAS!$G$3:$G$4997,A21,COMPRAS!$B$3:$B$4997,N21)/SUMIFS(COMPRAS!$J$3:$J$4997,COMPRAS!$G$3:$G$4997,A21,COMPRAS!$B$3:$B$4997,N21),""))</f>
        <v>42.84</v>
      </c>
      <c r="I21" s="1" t="n">
        <f aca="false">IF(X21&lt;&gt;"",X21,IF(H21="","",ROUND(H21+1.7,2)))</f>
        <v>44.54</v>
      </c>
      <c r="J21" s="1" t="n">
        <f aca="false">IF(Y21&lt;&gt;"",Y21,IF(H21="","",ROUND(H21+1.9,2)))</f>
        <v>44.74</v>
      </c>
      <c r="K21" s="67"/>
      <c r="L21" s="67" t="s">
        <v>381</v>
      </c>
      <c r="M21" s="64" t="n">
        <f aca="false">IF(COUNTIF(COMPRAS!$G$3:$G$4997,A21)=0,"",SUMPRODUCT(MAX((COMPRAS!$G$3:$G$4997=A21)*COMPRAS!$B$3:$B$4997)))</f>
        <v>46274</v>
      </c>
      <c r="N21" s="64" t="n">
        <f aca="false">M21</f>
        <v>46274</v>
      </c>
      <c r="O21" s="67" t="s">
        <v>966</v>
      </c>
      <c r="P21" s="67" t="s">
        <v>949</v>
      </c>
      <c r="Q21" s="67" t="s">
        <v>950</v>
      </c>
      <c r="R21" s="67" t="s">
        <v>951</v>
      </c>
      <c r="S21" s="67" t="s">
        <v>952</v>
      </c>
      <c r="T21" s="67"/>
      <c r="U21" s="67" t="s">
        <v>953</v>
      </c>
      <c r="V21" s="67" t="s">
        <v>954</v>
      </c>
      <c r="W21" s="67" t="s">
        <v>955</v>
      </c>
    </row>
    <row r="22" customFormat="false" ht="15" hidden="true" customHeight="true" outlineLevel="0" collapsed="false">
      <c r="A22" s="87" t="s">
        <v>85</v>
      </c>
      <c r="B22" s="168" t="s">
        <v>86</v>
      </c>
      <c r="C22" s="173" t="s">
        <v>947</v>
      </c>
      <c r="D22" s="104" t="str">
        <f aca="false">IF(A22&lt;&gt;"",A22&amp;" | "&amp;B22&amp;" ["&amp;C22&amp;"]","")</f>
        <v>C562 | BICUDO/ALIGOTE (SBA) [FRESCO]</v>
      </c>
      <c r="E22" s="67" t="s">
        <v>365</v>
      </c>
      <c r="F22" s="1" t="n">
        <f aca="false">IF(AND(E22="S",C22="FRESCO"),COUNTIFS($E$3:E22,"S",$C$3:C22,"FRESCO"),"")</f>
        <v>11</v>
      </c>
      <c r="G22" s="1" t="str">
        <f aca="false">IF(AND(E22="S",C22&lt;&gt;"FRESCO"),COUNTIFS($E$3:E22,"S",$C$3:C22,"&lt;&gt;FRESCO"),"")</f>
        <v/>
      </c>
      <c r="H22" s="1" t="n">
        <f aca="false">IF(N22="","",IFERROR(SUMIFS(COMPRAS!$O$3:$O$4997,COMPRAS!$G$3:$G$4997,A22,COMPRAS!$B$3:$B$4997,N22)/SUMIFS(COMPRAS!$J$3:$J$4997,COMPRAS!$G$3:$G$4997,A22,COMPRAS!$B$3:$B$4997,N22),""))</f>
        <v>7.14</v>
      </c>
      <c r="I22" s="1" t="n">
        <f aca="false">IF(X22&lt;&gt;"",X22,IF(H22="","",ROUND(H22+1.7,2)))</f>
        <v>8.84</v>
      </c>
      <c r="J22" s="1" t="n">
        <f aca="false">IF(Y22&lt;&gt;"",Y22,IF(H22="","",ROUND(H22+1.9,2)))</f>
        <v>9.04</v>
      </c>
      <c r="K22" s="67"/>
      <c r="L22" s="67" t="s">
        <v>381</v>
      </c>
      <c r="M22" s="64" t="n">
        <f aca="false">IF(COUNTIF(COMPRAS!$G$3:$G$4997,A22)=0,"",SUMPRODUCT(MAX((COMPRAS!$G$3:$G$4997=A22)*COMPRAS!$B$3:$B$4997)))</f>
        <v>46204</v>
      </c>
      <c r="N22" s="64" t="n">
        <f aca="false">M22</f>
        <v>46204</v>
      </c>
      <c r="O22" s="67" t="s">
        <v>967</v>
      </c>
      <c r="P22" s="67" t="s">
        <v>949</v>
      </c>
      <c r="Q22" s="67" t="s">
        <v>950</v>
      </c>
      <c r="R22" s="67" t="s">
        <v>959</v>
      </c>
      <c r="S22" s="67" t="s">
        <v>952</v>
      </c>
      <c r="T22" s="67"/>
      <c r="U22" s="67" t="s">
        <v>953</v>
      </c>
      <c r="V22" s="67" t="s">
        <v>954</v>
      </c>
      <c r="W22" s="67" t="s">
        <v>955</v>
      </c>
    </row>
    <row r="23" customFormat="false" ht="15" hidden="true" customHeight="true" outlineLevel="0" collapsed="false">
      <c r="A23" s="75" t="s">
        <v>87</v>
      </c>
      <c r="B23" s="166" t="s">
        <v>88</v>
      </c>
      <c r="C23" s="173" t="s">
        <v>947</v>
      </c>
      <c r="D23" s="104" t="str">
        <f aca="false">IF(A23&lt;&gt;"",A23&amp;" | "&amp;B23&amp;" ["&amp;C23&amp;"]","")</f>
        <v>C601 | BOGAVANTE CANADIENSE CHIX (LBA) [FRESCO]</v>
      </c>
      <c r="E23" s="67" t="s">
        <v>365</v>
      </c>
      <c r="F23" s="1" t="n">
        <f aca="false">IF(AND(E23="S",C23="FRESCO"),COUNTIFS($E$3:E23,"S",$C$3:C23,"FRESCO"),"")</f>
        <v>12</v>
      </c>
      <c r="G23" s="1" t="str">
        <f aca="false">IF(AND(E23="S",C23&lt;&gt;"FRESCO"),COUNTIFS($E$3:E23,"S",$C$3:C23,"&lt;&gt;FRESCO"),"")</f>
        <v/>
      </c>
      <c r="H23" s="1" t="str">
        <f aca="false">IF(N23="","",IFERROR(SUMIFS(COMPRAS!$O$3:$O$4997,COMPRAS!$G$3:$G$4997,A23,COMPRAS!$B$3:$B$4997,N23)/SUMIFS(COMPRAS!$J$3:$J$4997,COMPRAS!$G$3:$G$4997,A23,COMPRAS!$B$3:$B$4997,N23),""))</f>
        <v/>
      </c>
      <c r="I23" s="1" t="str">
        <f aca="false">IF(X23&lt;&gt;"",X23,IF(H23="","",ROUND(H23+1.7,2)))</f>
        <v/>
      </c>
      <c r="J23" s="1" t="str">
        <f aca="false">IF(Y23&lt;&gt;"",Y23,IF(H23="","",ROUND(H23+1.9,2)))</f>
        <v/>
      </c>
      <c r="K23" s="67"/>
      <c r="L23" s="67" t="s">
        <v>381</v>
      </c>
      <c r="M23" s="64" t="str">
        <f aca="false">IF(COUNTIF(COMPRAS!$G$3:$G$4997,A23)=0,"",SUMPRODUCT(MAX((COMPRAS!$G$3:$G$4997=A23)*COMPRAS!$B$3:$B$4997)))</f>
        <v/>
      </c>
      <c r="N23" s="64" t="str">
        <f aca="false">M23</f>
        <v/>
      </c>
      <c r="O23" s="67" t="s">
        <v>968</v>
      </c>
      <c r="P23" s="67" t="s">
        <v>949</v>
      </c>
      <c r="Q23" s="67" t="s">
        <v>950</v>
      </c>
      <c r="R23" s="67" t="s">
        <v>969</v>
      </c>
      <c r="S23" s="67" t="s">
        <v>952</v>
      </c>
      <c r="T23" s="67"/>
      <c r="U23" s="67" t="s">
        <v>953</v>
      </c>
      <c r="V23" s="67" t="s">
        <v>954</v>
      </c>
      <c r="W23" s="67" t="s">
        <v>955</v>
      </c>
    </row>
    <row r="24" customFormat="false" ht="15" hidden="true" customHeight="true" outlineLevel="0" collapsed="false">
      <c r="A24" s="87" t="s">
        <v>89</v>
      </c>
      <c r="B24" s="168" t="s">
        <v>90</v>
      </c>
      <c r="C24" s="173" t="s">
        <v>947</v>
      </c>
      <c r="D24" s="104" t="str">
        <f aca="false">IF(A24&lt;&gt;"",A24&amp;" | "&amp;B24&amp;" ["&amp;C24&amp;"]","")</f>
        <v>C3979 | BONITO DEL NORTE 5/7 [FRESCO]</v>
      </c>
      <c r="E24" s="67" t="s">
        <v>365</v>
      </c>
      <c r="F24" s="1" t="n">
        <f aca="false">IF(AND(E24="S",C24="FRESCO"),COUNTIFS($E$3:E24,"S",$C$3:C24,"FRESCO"),"")</f>
        <v>13</v>
      </c>
      <c r="G24" s="1" t="str">
        <f aca="false">IF(AND(E24="S",C24&lt;&gt;"FRESCO"),COUNTIFS($E$3:E24,"S",$C$3:C24,"&lt;&gt;FRESCO"),"")</f>
        <v/>
      </c>
      <c r="H24" s="1" t="n">
        <f aca="false">IF(N24="","",IFERROR(SUMIFS(COMPRAS!$O$3:$O$4997,COMPRAS!$G$3:$G$4997,A24,COMPRAS!$B$3:$B$4997,N24)/SUMIFS(COMPRAS!$J$3:$J$4997,COMPRAS!$G$3:$G$4997,A24,COMPRAS!$B$3:$B$4997,N24),""))</f>
        <v>3.06</v>
      </c>
      <c r="I24" s="1" t="n">
        <f aca="false">IF(X24&lt;&gt;"",X24,IF(H24="","",ROUND(H24+1.7,2)))</f>
        <v>4.76</v>
      </c>
      <c r="J24" s="1" t="n">
        <f aca="false">IF(Y24&lt;&gt;"",Y24,IF(H24="","",ROUND(H24+1.9,2)))</f>
        <v>4.96</v>
      </c>
      <c r="K24" s="67"/>
      <c r="L24" s="67" t="s">
        <v>381</v>
      </c>
      <c r="M24" s="64" t="n">
        <f aca="false">IF(COUNTIF(COMPRAS!$G$3:$G$4997,A24)=0,"",SUMPRODUCT(MAX((COMPRAS!$G$3:$G$4997=A24)*COMPRAS!$B$3:$B$4997)))</f>
        <v>46246</v>
      </c>
      <c r="N24" s="64" t="n">
        <f aca="false">M24</f>
        <v>46246</v>
      </c>
      <c r="O24" s="67" t="s">
        <v>970</v>
      </c>
      <c r="P24" s="67" t="s">
        <v>949</v>
      </c>
      <c r="Q24" s="67" t="s">
        <v>950</v>
      </c>
      <c r="R24" s="67" t="s">
        <v>951</v>
      </c>
      <c r="S24" s="67" t="s">
        <v>952</v>
      </c>
      <c r="T24" s="67"/>
      <c r="U24" s="67" t="s">
        <v>953</v>
      </c>
      <c r="V24" s="67" t="s">
        <v>954</v>
      </c>
      <c r="W24" s="67" t="s">
        <v>955</v>
      </c>
    </row>
    <row r="25" customFormat="false" ht="15" hidden="true" customHeight="true" outlineLevel="0" collapsed="false">
      <c r="A25" s="75" t="s">
        <v>91</v>
      </c>
      <c r="B25" s="166" t="s">
        <v>90</v>
      </c>
      <c r="C25" s="173" t="s">
        <v>947</v>
      </c>
      <c r="D25" s="104" t="str">
        <f aca="false">IF(A25&lt;&gt;"",A25&amp;" | "&amp;B25&amp;" ["&amp;C25&amp;"]","")</f>
        <v>C397 | BONITO DEL NORTE 5/7 [FRESCO]</v>
      </c>
      <c r="E25" s="67" t="s">
        <v>365</v>
      </c>
      <c r="F25" s="1" t="n">
        <f aca="false">IF(AND(E25="S",C25="FRESCO"),COUNTIFS($E$3:E25,"S",$C$3:C25,"FRESCO"),"")</f>
        <v>14</v>
      </c>
      <c r="G25" s="1" t="str">
        <f aca="false">IF(AND(E25="S",C25&lt;&gt;"FRESCO"),COUNTIFS($E$3:E25,"S",$C$3:C25,"&lt;&gt;FRESCO"),"")</f>
        <v/>
      </c>
      <c r="H25" s="1" t="n">
        <f aca="false">IF(N25="","",IFERROR(SUMIFS(COMPRAS!$O$3:$O$4997,COMPRAS!$G$3:$G$4997,A25,COMPRAS!$B$3:$B$4997,N25)/SUMIFS(COMPRAS!$J$3:$J$4997,COMPRAS!$G$3:$G$4997,A25,COMPRAS!$B$3:$B$4997,N25),""))</f>
        <v>6.222</v>
      </c>
      <c r="I25" s="1" t="n">
        <f aca="false">IF(X25&lt;&gt;"",X25,IF(H25="","",ROUND(H25+1.7,2)))</f>
        <v>7.92</v>
      </c>
      <c r="J25" s="1" t="n">
        <f aca="false">IF(Y25&lt;&gt;"",Y25,IF(H25="","",ROUND(H25+1.9,2)))</f>
        <v>8.12</v>
      </c>
      <c r="K25" s="67"/>
      <c r="L25" s="67" t="s">
        <v>381</v>
      </c>
      <c r="M25" s="64" t="n">
        <f aca="false">IF(COUNTIF(COMPRAS!$G$3:$G$4997,A25)=0,"",SUMPRODUCT(MAX((COMPRAS!$G$3:$G$4997=A25)*COMPRAS!$B$3:$B$4997)))</f>
        <v>46274</v>
      </c>
      <c r="N25" s="64" t="n">
        <f aca="false">M25</f>
        <v>46274</v>
      </c>
      <c r="O25" s="67" t="s">
        <v>970</v>
      </c>
      <c r="P25" s="67" t="s">
        <v>949</v>
      </c>
      <c r="Q25" s="67" t="s">
        <v>950</v>
      </c>
      <c r="R25" s="67" t="s">
        <v>951</v>
      </c>
      <c r="S25" s="67" t="s">
        <v>952</v>
      </c>
      <c r="T25" s="67"/>
      <c r="U25" s="67" t="s">
        <v>953</v>
      </c>
      <c r="V25" s="67" t="s">
        <v>954</v>
      </c>
      <c r="W25" s="67" t="s">
        <v>955</v>
      </c>
    </row>
    <row r="26" customFormat="false" ht="15" hidden="true" customHeight="true" outlineLevel="0" collapsed="false">
      <c r="A26" s="87" t="s">
        <v>93</v>
      </c>
      <c r="B26" s="168" t="s">
        <v>94</v>
      </c>
      <c r="C26" s="173" t="s">
        <v>947</v>
      </c>
      <c r="D26" s="104" t="str">
        <f aca="false">IF(A26&lt;&gt;"",A26&amp;" | "&amp;B26&amp;" ["&amp;C26&amp;"]","")</f>
        <v>C387 | BOQUERON/ BOCARTE/ ANCHOA (ANE) [FRESCO]</v>
      </c>
      <c r="E26" s="67" t="s">
        <v>365</v>
      </c>
      <c r="F26" s="1" t="n">
        <f aca="false">IF(AND(E26="S",C26="FRESCO"),COUNTIFS($E$3:E26,"S",$C$3:C26,"FRESCO"),"")</f>
        <v>15</v>
      </c>
      <c r="G26" s="1" t="str">
        <f aca="false">IF(AND(E26="S",C26&lt;&gt;"FRESCO"),COUNTIFS($E$3:E26,"S",$C$3:C26,"&lt;&gt;FRESCO"),"")</f>
        <v/>
      </c>
      <c r="H26" s="1" t="n">
        <f aca="false">IF(N26="","",IFERROR(SUMIFS(COMPRAS!$O$3:$O$4997,COMPRAS!$G$3:$G$4997,A26,COMPRAS!$B$3:$B$4997,N26)/SUMIFS(COMPRAS!$J$3:$J$4997,COMPRAS!$G$3:$G$4997,A26,COMPRAS!$B$3:$B$4997,N26),""))</f>
        <v>2.193</v>
      </c>
      <c r="I26" s="1" t="n">
        <f aca="false">IF(X26&lt;&gt;"",X26,IF(H26="","",ROUND(H26+1.7,2)))</f>
        <v>3.89</v>
      </c>
      <c r="J26" s="1" t="n">
        <f aca="false">IF(Y26&lt;&gt;"",Y26,IF(H26="","",ROUND(H26+1.9,2)))</f>
        <v>4.09</v>
      </c>
      <c r="K26" s="67"/>
      <c r="L26" s="67" t="s">
        <v>381</v>
      </c>
      <c r="M26" s="64" t="n">
        <f aca="false">IF(COUNTIF(COMPRAS!$G$3:$G$4997,A26)=0,"",SUMPRODUCT(MAX((COMPRAS!$G$3:$G$4997=A26)*COMPRAS!$B$3:$B$4997)))</f>
        <v>46275</v>
      </c>
      <c r="N26" s="64" t="n">
        <f aca="false">M26</f>
        <v>46275</v>
      </c>
      <c r="O26" s="67" t="s">
        <v>971</v>
      </c>
      <c r="P26" s="67" t="s">
        <v>949</v>
      </c>
      <c r="Q26" s="67" t="s">
        <v>950</v>
      </c>
      <c r="R26" s="67" t="s">
        <v>972</v>
      </c>
      <c r="S26" s="67" t="s">
        <v>952</v>
      </c>
      <c r="T26" s="67"/>
      <c r="U26" s="67" t="s">
        <v>953</v>
      </c>
      <c r="V26" s="67" t="s">
        <v>954</v>
      </c>
      <c r="W26" s="67" t="s">
        <v>955</v>
      </c>
    </row>
    <row r="27" customFormat="false" ht="15" hidden="true" customHeight="true" outlineLevel="0" collapsed="false">
      <c r="A27" s="75" t="s">
        <v>95</v>
      </c>
      <c r="B27" s="166" t="s">
        <v>96</v>
      </c>
      <c r="C27" s="173" t="s">
        <v>947</v>
      </c>
      <c r="D27" s="104" t="str">
        <f aca="false">IF(A27&lt;&gt;"",A27&amp;" | "&amp;B27&amp;" ["&amp;C27&amp;"]","")</f>
        <v>C822 | BUEY FRANCES (CRE) [FRESCO]</v>
      </c>
      <c r="E27" s="67" t="s">
        <v>365</v>
      </c>
      <c r="F27" s="1" t="n">
        <f aca="false">IF(AND(E27="S",C27="FRESCO"),COUNTIFS($E$3:E27,"S",$C$3:C27,"FRESCO"),"")</f>
        <v>16</v>
      </c>
      <c r="G27" s="1" t="str">
        <f aca="false">IF(AND(E27="S",C27&lt;&gt;"FRESCO"),COUNTIFS($E$3:E27,"S",$C$3:C27,"&lt;&gt;FRESCO"),"")</f>
        <v/>
      </c>
      <c r="H27" s="1" t="str">
        <f aca="false">IF(N27="","",IFERROR(SUMIFS(COMPRAS!$O$3:$O$4997,COMPRAS!$G$3:$G$4997,A27,COMPRAS!$B$3:$B$4997,N27)/SUMIFS(COMPRAS!$J$3:$J$4997,COMPRAS!$G$3:$G$4997,A27,COMPRAS!$B$3:$B$4997,N27),""))</f>
        <v/>
      </c>
      <c r="I27" s="1" t="str">
        <f aca="false">IF(X27&lt;&gt;"",X27,IF(H27="","",ROUND(H27+1.7,2)))</f>
        <v/>
      </c>
      <c r="J27" s="1" t="str">
        <f aca="false">IF(Y27&lt;&gt;"",Y27,IF(H27="","",ROUND(H27+1.9,2)))</f>
        <v/>
      </c>
      <c r="K27" s="67"/>
      <c r="L27" s="67" t="s">
        <v>381</v>
      </c>
      <c r="M27" s="64" t="str">
        <f aca="false">IF(COUNTIF(COMPRAS!$G$3:$G$4997,A27)=0,"",SUMPRODUCT(MAX((COMPRAS!$G$3:$G$4997=A27)*COMPRAS!$B$3:$B$4997)))</f>
        <v/>
      </c>
      <c r="N27" s="64" t="str">
        <f aca="false">M27</f>
        <v/>
      </c>
      <c r="O27" s="67" t="s">
        <v>973</v>
      </c>
      <c r="P27" s="67"/>
      <c r="Q27" s="67"/>
      <c r="R27" s="67" t="s">
        <v>969</v>
      </c>
      <c r="S27" s="67" t="s">
        <v>952</v>
      </c>
      <c r="T27" s="67"/>
      <c r="U27" s="67" t="s">
        <v>953</v>
      </c>
      <c r="V27" s="67" t="s">
        <v>954</v>
      </c>
      <c r="W27" s="67" t="s">
        <v>955</v>
      </c>
    </row>
    <row r="28" customFormat="false" ht="15" hidden="true" customHeight="true" outlineLevel="0" collapsed="false">
      <c r="A28" s="87" t="s">
        <v>97</v>
      </c>
      <c r="B28" s="168" t="s">
        <v>98</v>
      </c>
      <c r="C28" s="173" t="s">
        <v>947</v>
      </c>
      <c r="D28" s="104" t="str">
        <f aca="false">IF(A28&lt;&gt;"",A28&amp;" | "&amp;B28&amp;" ["&amp;C28&amp;"]","")</f>
        <v>C395 | CABALL/ SARDA/ VERDEL (MAC) [FRESCO]</v>
      </c>
      <c r="E28" s="67" t="s">
        <v>365</v>
      </c>
      <c r="F28" s="1" t="n">
        <f aca="false">IF(AND(E28="S",C28="FRESCO"),COUNTIFS($E$3:E28,"S",$C$3:C28,"FRESCO"),"")</f>
        <v>17</v>
      </c>
      <c r="G28" s="1" t="str">
        <f aca="false">IF(AND(E28="S",C28&lt;&gt;"FRESCO"),COUNTIFS($E$3:E28,"S",$C$3:C28,"&lt;&gt;FRESCO"),"")</f>
        <v/>
      </c>
      <c r="H28" s="1" t="n">
        <f aca="false">IF(N28="","",IFERROR(SUMIFS(COMPRAS!$O$3:$O$4997,COMPRAS!$G$3:$G$4997,A28,COMPRAS!$B$3:$B$4997,N28)/SUMIFS(COMPRAS!$J$3:$J$4997,COMPRAS!$G$3:$G$4997,A28,COMPRAS!$B$3:$B$4997,N28),""))</f>
        <v>4.09853678474114</v>
      </c>
      <c r="I28" s="1" t="n">
        <f aca="false">IF(X28&lt;&gt;"",X28,IF(H28="","",ROUND(H28+1.7,2)))</f>
        <v>5.8</v>
      </c>
      <c r="J28" s="1" t="n">
        <f aca="false">IF(Y28&lt;&gt;"",Y28,IF(H28="","",ROUND(H28+1.9,2)))</f>
        <v>6</v>
      </c>
      <c r="K28" s="67"/>
      <c r="L28" s="67" t="s">
        <v>381</v>
      </c>
      <c r="M28" s="64" t="n">
        <f aca="false">IF(COUNTIF(COMPRAS!$G$3:$G$4997,A28)=0,"",SUMPRODUCT(MAX((COMPRAS!$G$3:$G$4997=A28)*COMPRAS!$B$3:$B$4997)))</f>
        <v>46274</v>
      </c>
      <c r="N28" s="64" t="n">
        <f aca="false">M28</f>
        <v>46274</v>
      </c>
      <c r="O28" s="67" t="s">
        <v>974</v>
      </c>
      <c r="P28" s="67" t="s">
        <v>949</v>
      </c>
      <c r="Q28" s="67" t="s">
        <v>950</v>
      </c>
      <c r="R28" s="67" t="s">
        <v>959</v>
      </c>
      <c r="S28" s="67" t="s">
        <v>952</v>
      </c>
      <c r="T28" s="67"/>
      <c r="U28" s="67" t="s">
        <v>953</v>
      </c>
      <c r="V28" s="67" t="s">
        <v>954</v>
      </c>
      <c r="W28" s="67" t="s">
        <v>955</v>
      </c>
    </row>
    <row r="29" customFormat="false" ht="15" hidden="true" customHeight="true" outlineLevel="0" collapsed="false">
      <c r="A29" s="75" t="s">
        <v>99</v>
      </c>
      <c r="B29" s="166" t="s">
        <v>100</v>
      </c>
      <c r="C29" s="173" t="s">
        <v>947</v>
      </c>
      <c r="D29" s="104" t="str">
        <f aca="false">IF(A29&lt;&gt;"",A29&amp;" | "&amp;B29&amp;" ["&amp;C29&amp;"]","")</f>
        <v>C2550 | CABRACHO/ ESCARAPOTE (RSE) [FRESCO]</v>
      </c>
      <c r="E29" s="67" t="s">
        <v>365</v>
      </c>
      <c r="F29" s="1" t="n">
        <f aca="false">IF(AND(E29="S",C29="FRESCO"),COUNTIFS($E$3:E29,"S",$C$3:C29,"FRESCO"),"")</f>
        <v>18</v>
      </c>
      <c r="G29" s="1" t="str">
        <f aca="false">IF(AND(E29="S",C29&lt;&gt;"FRESCO"),COUNTIFS($E$3:E29,"S",$C$3:C29,"&lt;&gt;FRESCO"),"")</f>
        <v/>
      </c>
      <c r="H29" s="1" t="n">
        <f aca="false">IF(N29="","",IFERROR(SUMIFS(COMPRAS!$O$3:$O$4997,COMPRAS!$G$3:$G$4997,A29,COMPRAS!$B$3:$B$4997,N29)/SUMIFS(COMPRAS!$J$3:$J$4997,COMPRAS!$G$3:$G$4997,A29,COMPRAS!$B$3:$B$4997,N29),""))</f>
        <v>10.0039745454545</v>
      </c>
      <c r="I29" s="1" t="n">
        <f aca="false">IF(X29&lt;&gt;"",X29,IF(H29="","",ROUND(H29+1.7,2)))</f>
        <v>11.7</v>
      </c>
      <c r="J29" s="1" t="n">
        <f aca="false">IF(Y29&lt;&gt;"",Y29,IF(H29="","",ROUND(H29+1.9,2)))</f>
        <v>11.9</v>
      </c>
      <c r="K29" s="67"/>
      <c r="L29" s="67" t="s">
        <v>381</v>
      </c>
      <c r="M29" s="64" t="n">
        <f aca="false">IF(COUNTIF(COMPRAS!$G$3:$G$4997,A29)=0,"",SUMPRODUCT(MAX((COMPRAS!$G$3:$G$4997=A29)*COMPRAS!$B$3:$B$4997)))</f>
        <v>46259</v>
      </c>
      <c r="N29" s="64" t="n">
        <f aca="false">M29</f>
        <v>46259</v>
      </c>
      <c r="O29" s="67" t="s">
        <v>975</v>
      </c>
      <c r="P29" s="67" t="s">
        <v>949</v>
      </c>
      <c r="Q29" s="67" t="s">
        <v>950</v>
      </c>
      <c r="R29" s="67" t="s">
        <v>951</v>
      </c>
      <c r="S29" s="67" t="s">
        <v>952</v>
      </c>
      <c r="T29" s="67"/>
      <c r="U29" s="67" t="s">
        <v>953</v>
      </c>
      <c r="V29" s="67" t="s">
        <v>954</v>
      </c>
      <c r="W29" s="67" t="s">
        <v>955</v>
      </c>
    </row>
    <row r="30" customFormat="false" ht="15" hidden="true" customHeight="true" outlineLevel="0" collapsed="false">
      <c r="A30" s="87" t="s">
        <v>101</v>
      </c>
      <c r="B30" s="168" t="s">
        <v>102</v>
      </c>
      <c r="C30" s="173" t="s">
        <v>947</v>
      </c>
      <c r="D30" s="104" t="str">
        <f aca="false">IF(A30&lt;&gt;"",A30&amp;" | "&amp;B30&amp;" ["&amp;C30&amp;"]","")</f>
        <v>C2552 | CABRACHO DE FONDO (TJX) [FRESCO]</v>
      </c>
      <c r="E30" s="67" t="s">
        <v>365</v>
      </c>
      <c r="F30" s="1" t="n">
        <f aca="false">IF(AND(E30="S",C30="FRESCO"),COUNTIFS($E$3:E30,"S",$C$3:C30,"FRESCO"),"")</f>
        <v>19</v>
      </c>
      <c r="G30" s="1" t="str">
        <f aca="false">IF(AND(E30="S",C30&lt;&gt;"FRESCO"),COUNTIFS($E$3:E30,"S",$C$3:C30,"&lt;&gt;FRESCO"),"")</f>
        <v/>
      </c>
      <c r="H30" s="1" t="n">
        <f aca="false">IF(N30="","",IFERROR(SUMIFS(COMPRAS!$O$3:$O$4997,COMPRAS!$G$3:$G$4997,A30,COMPRAS!$B$3:$B$4997,N30)/SUMIFS(COMPRAS!$J$3:$J$4997,COMPRAS!$G$3:$G$4997,A30,COMPRAS!$B$3:$B$4997,N30),""))</f>
        <v>5.1</v>
      </c>
      <c r="I30" s="1" t="n">
        <f aca="false">IF(X30&lt;&gt;"",X30,IF(H30="","",ROUND(H30+1.7,2)))</f>
        <v>6.8</v>
      </c>
      <c r="J30" s="1" t="n">
        <f aca="false">IF(Y30&lt;&gt;"",Y30,IF(H30="","",ROUND(H30+1.9,2)))</f>
        <v>7</v>
      </c>
      <c r="K30" s="67"/>
      <c r="L30" s="67" t="s">
        <v>381</v>
      </c>
      <c r="M30" s="64" t="n">
        <f aca="false">IF(COUNTIF(COMPRAS!$G$3:$G$4997,A30)=0,"",SUMPRODUCT(MAX((COMPRAS!$G$3:$G$4997=A30)*COMPRAS!$B$3:$B$4997)))</f>
        <v>46226</v>
      </c>
      <c r="N30" s="64" t="n">
        <f aca="false">M30</f>
        <v>46226</v>
      </c>
      <c r="O30" s="67" t="s">
        <v>976</v>
      </c>
      <c r="P30" s="67" t="s">
        <v>949</v>
      </c>
      <c r="Q30" s="67" t="s">
        <v>950</v>
      </c>
      <c r="R30" s="67" t="s">
        <v>951</v>
      </c>
      <c r="S30" s="67" t="s">
        <v>952</v>
      </c>
      <c r="T30" s="67"/>
      <c r="U30" s="67" t="s">
        <v>953</v>
      </c>
      <c r="V30" s="67" t="s">
        <v>954</v>
      </c>
      <c r="W30" s="67" t="s">
        <v>955</v>
      </c>
    </row>
    <row r="31" customFormat="false" ht="15" hidden="true" customHeight="true" outlineLevel="0" collapsed="false">
      <c r="A31" s="75" t="s">
        <v>103</v>
      </c>
      <c r="B31" s="166" t="s">
        <v>104</v>
      </c>
      <c r="C31" s="173" t="s">
        <v>947</v>
      </c>
      <c r="D31" s="104" t="str">
        <f aca="false">IF(A31&lt;&gt;"",A31&amp;" | "&amp;B31&amp;" ["&amp;C31&amp;"]","")</f>
        <v>C255 | CABRAS/ GALLINETA (BRF) [FRESCO]</v>
      </c>
      <c r="E31" s="67" t="s">
        <v>365</v>
      </c>
      <c r="F31" s="1" t="n">
        <f aca="false">IF(AND(E31="S",C31="FRESCO"),COUNTIFS($E$3:E31,"S",$C$3:C31,"FRESCO"),"")</f>
        <v>20</v>
      </c>
      <c r="G31" s="1" t="str">
        <f aca="false">IF(AND(E31="S",C31&lt;&gt;"FRESCO"),COUNTIFS($E$3:E31,"S",$C$3:C31,"&lt;&gt;FRESCO"),"")</f>
        <v/>
      </c>
      <c r="H31" s="1" t="n">
        <f aca="false">IF(N31="","",IFERROR(SUMIFS(COMPRAS!$O$3:$O$4997,COMPRAS!$G$3:$G$4997,A31,COMPRAS!$B$3:$B$4997,N31)/SUMIFS(COMPRAS!$J$3:$J$4997,COMPRAS!$G$3:$G$4997,A31,COMPRAS!$B$3:$B$4997,N31),""))</f>
        <v>15.3</v>
      </c>
      <c r="I31" s="1" t="n">
        <f aca="false">IF(X31&lt;&gt;"",X31,IF(H31="","",ROUND(H31+1.7,2)))</f>
        <v>17</v>
      </c>
      <c r="J31" s="1" t="n">
        <f aca="false">IF(Y31&lt;&gt;"",Y31,IF(H31="","",ROUND(H31+1.9,2)))</f>
        <v>17.2</v>
      </c>
      <c r="K31" s="67"/>
      <c r="L31" s="67" t="s">
        <v>381</v>
      </c>
      <c r="M31" s="64" t="n">
        <f aca="false">IF(COUNTIF(COMPRAS!$G$3:$G$4997,A31)=0,"",SUMPRODUCT(MAX((COMPRAS!$G$3:$G$4997=A31)*COMPRAS!$B$3:$B$4997)))</f>
        <v>46274</v>
      </c>
      <c r="N31" s="64" t="n">
        <f aca="false">M31</f>
        <v>46274</v>
      </c>
      <c r="O31" s="67" t="s">
        <v>977</v>
      </c>
      <c r="P31" s="67" t="s">
        <v>949</v>
      </c>
      <c r="Q31" s="67" t="s">
        <v>950</v>
      </c>
      <c r="R31" s="67" t="s">
        <v>951</v>
      </c>
      <c r="S31" s="67" t="s">
        <v>952</v>
      </c>
      <c r="T31" s="67"/>
      <c r="U31" s="67" t="s">
        <v>953</v>
      </c>
      <c r="V31" s="67" t="s">
        <v>954</v>
      </c>
      <c r="W31" s="67" t="s">
        <v>955</v>
      </c>
    </row>
    <row r="32" customFormat="false" ht="15" hidden="true" customHeight="true" outlineLevel="0" collapsed="false">
      <c r="A32" s="87" t="s">
        <v>105</v>
      </c>
      <c r="B32" s="168" t="s">
        <v>106</v>
      </c>
      <c r="C32" s="173" t="s">
        <v>947</v>
      </c>
      <c r="D32" s="104" t="str">
        <f aca="false">IF(A32&lt;&gt;"",A32&amp;" | "&amp;B32&amp;" ["&amp;C32&amp;"]","")</f>
        <v>C258 | CABRILLAS/ SERRANO (CBR) [FRESCO]</v>
      </c>
      <c r="E32" s="67" t="s">
        <v>365</v>
      </c>
      <c r="F32" s="1" t="n">
        <f aca="false">IF(AND(E32="S",C32="FRESCO"),COUNTIFS($E$3:E32,"S",$C$3:C32,"FRESCO"),"")</f>
        <v>21</v>
      </c>
      <c r="G32" s="1" t="str">
        <f aca="false">IF(AND(E32="S",C32&lt;&gt;"FRESCO"),COUNTIFS($E$3:E32,"S",$C$3:C32,"&lt;&gt;FRESCO"),"")</f>
        <v/>
      </c>
      <c r="H32" s="1" t="str">
        <f aca="false">IF(N32="","",IFERROR(SUMIFS(COMPRAS!$O$3:$O$4997,COMPRAS!$G$3:$G$4997,A32,COMPRAS!$B$3:$B$4997,N32)/SUMIFS(COMPRAS!$J$3:$J$4997,COMPRAS!$G$3:$G$4997,A32,COMPRAS!$B$3:$B$4997,N32),""))</f>
        <v/>
      </c>
      <c r="I32" s="1" t="str">
        <f aca="false">IF(X32&lt;&gt;"",X32,IF(H32="","",ROUND(H32+1.7,2)))</f>
        <v/>
      </c>
      <c r="J32" s="1" t="str">
        <f aca="false">IF(Y32&lt;&gt;"",Y32,IF(H32="","",ROUND(H32+1.9,2)))</f>
        <v/>
      </c>
      <c r="K32" s="67"/>
      <c r="L32" s="67" t="s">
        <v>381</v>
      </c>
      <c r="M32" s="64" t="str">
        <f aca="false">IF(COUNTIF(COMPRAS!$G$3:$G$4997,A32)=0,"",SUMPRODUCT(MAX((COMPRAS!$G$3:$G$4997=A32)*COMPRAS!$B$3:$B$4997)))</f>
        <v/>
      </c>
      <c r="N32" s="64" t="str">
        <f aca="false">M32</f>
        <v/>
      </c>
      <c r="O32" s="67" t="s">
        <v>978</v>
      </c>
      <c r="P32" s="67" t="s">
        <v>949</v>
      </c>
      <c r="Q32" s="67" t="s">
        <v>950</v>
      </c>
      <c r="R32" s="67" t="s">
        <v>959</v>
      </c>
      <c r="S32" s="67" t="s">
        <v>952</v>
      </c>
      <c r="T32" s="67"/>
      <c r="U32" s="67" t="s">
        <v>953</v>
      </c>
      <c r="V32" s="67" t="s">
        <v>954</v>
      </c>
      <c r="W32" s="67" t="s">
        <v>955</v>
      </c>
    </row>
    <row r="33" customFormat="false" ht="15" hidden="true" customHeight="true" outlineLevel="0" collapsed="false">
      <c r="A33" s="75" t="s">
        <v>107</v>
      </c>
      <c r="B33" s="166" t="s">
        <v>108</v>
      </c>
      <c r="C33" s="173" t="s">
        <v>947</v>
      </c>
      <c r="D33" s="104" t="str">
        <f aca="false">IF(A33&lt;&gt;"",A33&amp;" | "&amp;B33&amp;" ["&amp;C33&amp;"]","")</f>
        <v>C710 | CALAAMR COMUN (SQR) [FRESCO]</v>
      </c>
      <c r="E33" s="67" t="s">
        <v>365</v>
      </c>
      <c r="F33" s="1" t="n">
        <f aca="false">IF(AND(E33="S",C33="FRESCO"),COUNTIFS($E$3:E33,"S",$C$3:C33,"FRESCO"),"")</f>
        <v>22</v>
      </c>
      <c r="G33" s="1" t="str">
        <f aca="false">IF(AND(E33="S",C33&lt;&gt;"FRESCO"),COUNTIFS($E$3:E33,"S",$C$3:C33,"&lt;&gt;FRESCO"),"")</f>
        <v/>
      </c>
      <c r="H33" s="1" t="n">
        <f aca="false">IF(N33="","",IFERROR(SUMIFS(COMPRAS!$O$3:$O$4997,COMPRAS!$G$3:$G$4997,A33,COMPRAS!$B$3:$B$4997,N33)/SUMIFS(COMPRAS!$J$3:$J$4997,COMPRAS!$G$3:$G$4997,A33,COMPRAS!$B$3:$B$4997,N33),""))</f>
        <v>17.9</v>
      </c>
      <c r="I33" s="1" t="n">
        <f aca="false">IF(X33&lt;&gt;"",X33,IF(H33="","",ROUND(H33+1.7,2)))</f>
        <v>19.6</v>
      </c>
      <c r="J33" s="1" t="n">
        <f aca="false">IF(Y33&lt;&gt;"",Y33,IF(H33="","",ROUND(H33+1.9,2)))</f>
        <v>19.8</v>
      </c>
      <c r="K33" s="67"/>
      <c r="L33" s="67" t="s">
        <v>381</v>
      </c>
      <c r="M33" s="64" t="n">
        <f aca="false">IF(COUNTIF(COMPRAS!$G$3:$G$4997,A33)=0,"",SUMPRODUCT(MAX((COMPRAS!$G$3:$G$4997=A33)*COMPRAS!$B$3:$B$4997)))</f>
        <v>46273</v>
      </c>
      <c r="N33" s="64" t="n">
        <f aca="false">M33</f>
        <v>46273</v>
      </c>
      <c r="O33" s="67" t="s">
        <v>979</v>
      </c>
      <c r="P33" s="67"/>
      <c r="Q33" s="67"/>
      <c r="R33" s="67" t="s">
        <v>959</v>
      </c>
      <c r="S33" s="67" t="s">
        <v>952</v>
      </c>
      <c r="T33" s="67"/>
      <c r="U33" s="67" t="s">
        <v>953</v>
      </c>
      <c r="V33" s="67" t="s">
        <v>954</v>
      </c>
      <c r="W33" s="67" t="s">
        <v>955</v>
      </c>
    </row>
    <row r="34" customFormat="false" ht="15" hidden="true" customHeight="true" outlineLevel="0" collapsed="false">
      <c r="A34" s="87" t="s">
        <v>109</v>
      </c>
      <c r="B34" s="168" t="s">
        <v>110</v>
      </c>
      <c r="C34" s="173" t="s">
        <v>980</v>
      </c>
      <c r="D34" s="104" t="str">
        <f aca="false">IF(A34&lt;&gt;"",A34&amp;" | "&amp;B34&amp;" ["&amp;C34&amp;"]","")</f>
        <v>C730 | CALAMAR PATAGONICO (SQP) [ELABORADO]</v>
      </c>
      <c r="E34" s="67" t="s">
        <v>365</v>
      </c>
      <c r="F34" s="1" t="str">
        <f aca="false">IF(AND(E34="S",C34="FRESCO"),COUNTIFS($E$3:E34,"S",$C$3:C34,"FRESCO"),"")</f>
        <v/>
      </c>
      <c r="G34" s="1" t="n">
        <f aca="false">IF(AND(E34="S",C34&lt;&gt;"FRESCO"),COUNTIFS($E$3:E34,"S",$C$3:C34,"&lt;&gt;FRESCO"),"")</f>
        <v>1</v>
      </c>
      <c r="H34" s="1" t="str">
        <f aca="false">IF(N34="","",IFERROR(SUMIFS(COMPRAS!$O$3:$O$4997,COMPRAS!$G$3:$G$4997,A34,COMPRAS!$B$3:$B$4997,N34)/SUMIFS(COMPRAS!$J$3:$J$4997,COMPRAS!$G$3:$G$4997,A34,COMPRAS!$B$3:$B$4997,N34),""))</f>
        <v/>
      </c>
      <c r="I34" s="1" t="str">
        <f aca="false">IF(X34&lt;&gt;"",X34,IF(H34="","",ROUND(H34+1.7,2)))</f>
        <v/>
      </c>
      <c r="J34" s="1" t="str">
        <f aca="false">IF(Y34&lt;&gt;"",Y34,IF(H34="","",ROUND(H34+1.9,2)))</f>
        <v/>
      </c>
      <c r="K34" s="67"/>
      <c r="L34" s="67" t="s">
        <v>381</v>
      </c>
      <c r="M34" s="64" t="str">
        <f aca="false">IF(COUNTIF(COMPRAS!$G$3:$G$4997,A34)=0,"",SUMPRODUCT(MAX((COMPRAS!$G$3:$G$4997=A34)*COMPRAS!$B$3:$B$4997)))</f>
        <v/>
      </c>
      <c r="N34" s="64" t="str">
        <f aca="false">M34</f>
        <v/>
      </c>
      <c r="O34" s="67" t="s">
        <v>981</v>
      </c>
      <c r="P34" s="67"/>
      <c r="Q34" s="67"/>
      <c r="R34" s="67" t="s">
        <v>959</v>
      </c>
      <c r="S34" s="67" t="s">
        <v>952</v>
      </c>
      <c r="T34" s="67"/>
      <c r="U34" s="67" t="s">
        <v>953</v>
      </c>
      <c r="V34" s="67" t="s">
        <v>954</v>
      </c>
      <c r="W34" s="67" t="s">
        <v>955</v>
      </c>
    </row>
    <row r="35" customFormat="false" ht="15" hidden="true" customHeight="true" outlineLevel="0" collapsed="false">
      <c r="A35" s="75" t="s">
        <v>111</v>
      </c>
      <c r="B35" s="166" t="s">
        <v>112</v>
      </c>
      <c r="C35" s="173" t="s">
        <v>947</v>
      </c>
      <c r="D35" s="104" t="str">
        <f aca="false">IF(A35&lt;&gt;"",A35&amp;" | "&amp;B35&amp;" ["&amp;C35&amp;"]","")</f>
        <v>C720 | CALAMAR VETADO/ FORBES (SQF) [FRESCO]</v>
      </c>
      <c r="E35" s="67" t="s">
        <v>365</v>
      </c>
      <c r="F35" s="1" t="n">
        <f aca="false">IF(AND(E35="S",C35="FRESCO"),COUNTIFS($E$3:E35,"S",$C$3:C35,"FRESCO"),"")</f>
        <v>23</v>
      </c>
      <c r="G35" s="1" t="str">
        <f aca="false">IF(AND(E35="S",C35&lt;&gt;"FRESCO"),COUNTIFS($E$3:E35,"S",$C$3:C35,"&lt;&gt;FRESCO"),"")</f>
        <v/>
      </c>
      <c r="H35" s="1" t="n">
        <f aca="false">IF(N35="","",IFERROR(SUMIFS(COMPRAS!$O$3:$O$4997,COMPRAS!$G$3:$G$4997,A35,COMPRAS!$B$3:$B$4997,N35)/SUMIFS(COMPRAS!$J$3:$J$4997,COMPRAS!$G$3:$G$4997,A35,COMPRAS!$B$3:$B$4997,N35),""))</f>
        <v>15.95</v>
      </c>
      <c r="I35" s="1" t="n">
        <f aca="false">IF(X35&lt;&gt;"",X35,IF(H35="","",ROUND(H35+1.7,2)))</f>
        <v>17.65</v>
      </c>
      <c r="J35" s="1" t="n">
        <f aca="false">IF(Y35&lt;&gt;"",Y35,IF(H35="","",ROUND(H35+1.9,2)))</f>
        <v>17.85</v>
      </c>
      <c r="K35" s="67"/>
      <c r="L35" s="67" t="s">
        <v>381</v>
      </c>
      <c r="M35" s="64" t="n">
        <f aca="false">IF(COUNTIF(COMPRAS!$G$3:$G$4997,A35)=0,"",SUMPRODUCT(MAX((COMPRAS!$G$3:$G$4997=A35)*COMPRAS!$B$3:$B$4997)))</f>
        <v>46224</v>
      </c>
      <c r="N35" s="64" t="n">
        <f aca="false">M35</f>
        <v>46224</v>
      </c>
      <c r="O35" s="67" t="s">
        <v>982</v>
      </c>
      <c r="P35" s="67"/>
      <c r="Q35" s="67"/>
      <c r="R35" s="67" t="s">
        <v>959</v>
      </c>
      <c r="S35" s="67" t="s">
        <v>952</v>
      </c>
      <c r="T35" s="67"/>
      <c r="U35" s="67" t="s">
        <v>953</v>
      </c>
      <c r="V35" s="67" t="s">
        <v>954</v>
      </c>
      <c r="W35" s="67" t="s">
        <v>955</v>
      </c>
    </row>
    <row r="36" customFormat="false" ht="15" hidden="true" customHeight="true" outlineLevel="0" collapsed="false">
      <c r="A36" s="75" t="s">
        <v>113</v>
      </c>
      <c r="B36" s="168" t="s">
        <v>114</v>
      </c>
      <c r="C36" s="173" t="s">
        <v>983</v>
      </c>
      <c r="D36" s="104" t="str">
        <f aca="false">IF(A36&lt;&gt;"",A36&amp;" | "&amp;B36&amp;" ["&amp;C36&amp;"]","")</f>
        <v>C823 | CENTOLLA/ CENTOLLO (SCR) [MARISCO]</v>
      </c>
      <c r="E36" s="67" t="s">
        <v>365</v>
      </c>
      <c r="F36" s="1" t="str">
        <f aca="false">IF(AND(E36="S",C36="FRESCO"),COUNTIFS($E$3:E36,"S",$C$3:C36,"FRESCO"),"")</f>
        <v/>
      </c>
      <c r="G36" s="1" t="n">
        <f aca="false">IF(AND(E36="S",C36&lt;&gt;"FRESCO"),COUNTIFS($E$3:E36,"S",$C$3:C36,"&lt;&gt;FRESCO"),"")</f>
        <v>2</v>
      </c>
      <c r="H36" s="1" t="str">
        <f aca="false">IF(N36="","",IFERROR(SUMIFS(COMPRAS!$O$3:$O$4997,COMPRAS!$G$3:$G$4997,A36,COMPRAS!$B$3:$B$4997,N36)/SUMIFS(COMPRAS!$J$3:$J$4997,COMPRAS!$G$3:$G$4997,A36,COMPRAS!$B$3:$B$4997,N36),""))</f>
        <v/>
      </c>
      <c r="I36" s="1" t="str">
        <f aca="false">IF(X36&lt;&gt;"",X36,IF(H36="","",ROUND(H36+1.7,2)))</f>
        <v/>
      </c>
      <c r="J36" s="1" t="str">
        <f aca="false">IF(Y36&lt;&gt;"",Y36,IF(H36="","",ROUND(H36+1.9,2)))</f>
        <v/>
      </c>
      <c r="K36" s="67"/>
      <c r="L36" s="67" t="s">
        <v>381</v>
      </c>
      <c r="M36" s="64" t="str">
        <f aca="false">IF(COUNTIF(COMPRAS!$G$3:$G$4997,A36)=0,"",SUMPRODUCT(MAX((COMPRAS!$G$3:$G$4997=A36)*COMPRAS!$B$3:$B$4997)))</f>
        <v/>
      </c>
      <c r="N36" s="64" t="str">
        <f aca="false">M36</f>
        <v/>
      </c>
      <c r="O36" s="67" t="s">
        <v>984</v>
      </c>
      <c r="P36" s="67"/>
      <c r="Q36" s="67"/>
      <c r="R36" s="67" t="s">
        <v>969</v>
      </c>
      <c r="S36" s="67" t="s">
        <v>952</v>
      </c>
      <c r="T36" s="67"/>
      <c r="U36" s="67" t="s">
        <v>953</v>
      </c>
      <c r="V36" s="67" t="s">
        <v>954</v>
      </c>
      <c r="W36" s="67" t="s">
        <v>955</v>
      </c>
    </row>
    <row r="37" customFormat="false" ht="15" hidden="true" customHeight="true" outlineLevel="0" collapsed="false">
      <c r="A37" s="75" t="s">
        <v>115</v>
      </c>
      <c r="B37" s="166" t="s">
        <v>116</v>
      </c>
      <c r="C37" s="173" t="s">
        <v>947</v>
      </c>
      <c r="D37" s="104" t="str">
        <f aca="false">IF(A37&lt;&gt;"",A37&amp;" | "&amp;B37&amp;" ["&amp;C37&amp;"]","")</f>
        <v>C396 | CHICHARRO/ JUREL/ XURELO (HOM) [FRESCO]</v>
      </c>
      <c r="E37" s="67" t="s">
        <v>365</v>
      </c>
      <c r="F37" s="1" t="n">
        <f aca="false">IF(AND(E37="S",C37="FRESCO"),COUNTIFS($E$3:E37,"S",$C$3:C37,"FRESCO"),"")</f>
        <v>24</v>
      </c>
      <c r="G37" s="1" t="str">
        <f aca="false">IF(AND(E37="S",C37&lt;&gt;"FRESCO"),COUNTIFS($E$3:E37,"S",$C$3:C37,"&lt;&gt;FRESCO"),"")</f>
        <v/>
      </c>
      <c r="H37" s="1" t="n">
        <f aca="false">IF(N37="","",IFERROR(SUMIFS(COMPRAS!$O$3:$O$4997,COMPRAS!$G$3:$G$4997,A37,COMPRAS!$B$3:$B$4997,N37)/SUMIFS(COMPRAS!$J$3:$J$4997,COMPRAS!$G$3:$G$4997,A37,COMPRAS!$B$3:$B$4997,N37),""))</f>
        <v>4.59</v>
      </c>
      <c r="I37" s="1" t="n">
        <f aca="false">IF(X37&lt;&gt;"",X37,IF(H37="","",ROUND(H37+1.7,2)))</f>
        <v>6.29</v>
      </c>
      <c r="J37" s="1" t="n">
        <f aca="false">IF(Y37&lt;&gt;"",Y37,IF(H37="","",ROUND(H37+1.9,2)))</f>
        <v>6.49</v>
      </c>
      <c r="K37" s="67"/>
      <c r="L37" s="67" t="s">
        <v>381</v>
      </c>
      <c r="M37" s="64" t="n">
        <f aca="false">IF(COUNTIF(COMPRAS!$G$3:$G$4997,A37)=0,"",SUMPRODUCT(MAX((COMPRAS!$G$3:$G$4997=A37)*COMPRAS!$B$3:$B$4997)))</f>
        <v>46275</v>
      </c>
      <c r="N37" s="64" t="n">
        <f aca="false">M37</f>
        <v>46275</v>
      </c>
      <c r="O37" s="67" t="s">
        <v>985</v>
      </c>
      <c r="P37" s="67" t="s">
        <v>949</v>
      </c>
      <c r="Q37" s="67" t="s">
        <v>950</v>
      </c>
      <c r="R37" s="67" t="s">
        <v>959</v>
      </c>
      <c r="S37" s="67" t="s">
        <v>952</v>
      </c>
      <c r="T37" s="67"/>
      <c r="U37" s="67" t="s">
        <v>953</v>
      </c>
      <c r="V37" s="67" t="s">
        <v>954</v>
      </c>
      <c r="W37" s="67" t="s">
        <v>955</v>
      </c>
    </row>
    <row r="38" customFormat="false" ht="15" hidden="true" customHeight="true" outlineLevel="0" collapsed="false">
      <c r="A38" s="75" t="s">
        <v>117</v>
      </c>
      <c r="B38" s="168" t="s">
        <v>118</v>
      </c>
      <c r="C38" s="173" t="s">
        <v>947</v>
      </c>
      <c r="D38" s="104" t="str">
        <f aca="false">IF(A38&lt;&gt;"",A38&amp;" | "&amp;B38&amp;" ["&amp;C38&amp;"]","")</f>
        <v>C4301 | CHOPAS (BRB) [FRESCO]</v>
      </c>
      <c r="E38" s="67" t="s">
        <v>365</v>
      </c>
      <c r="F38" s="1" t="n">
        <f aca="false">IF(AND(E38="S",C38="FRESCO"),COUNTIFS($E$3:E38,"S",$C$3:C38,"FRESCO"),"")</f>
        <v>25</v>
      </c>
      <c r="G38" s="1" t="str">
        <f aca="false">IF(AND(E38="S",C38&lt;&gt;"FRESCO"),COUNTIFS($E$3:E38,"S",$C$3:C38,"&lt;&gt;FRESCO"),"")</f>
        <v/>
      </c>
      <c r="H38" s="1" t="str">
        <f aca="false">IF(N38="","",IFERROR(SUMIFS(COMPRAS!$O$3:$O$4997,COMPRAS!$G$3:$G$4997,A38,COMPRAS!$B$3:$B$4997,N38)/SUMIFS(COMPRAS!$J$3:$J$4997,COMPRAS!$G$3:$G$4997,A38,COMPRAS!$B$3:$B$4997,N38),""))</f>
        <v/>
      </c>
      <c r="I38" s="1" t="str">
        <f aca="false">IF(X38&lt;&gt;"",X38,IF(H38="","",ROUND(H38+1.7,2)))</f>
        <v/>
      </c>
      <c r="J38" s="1" t="str">
        <f aca="false">IF(Y38&lt;&gt;"",Y38,IF(H38="","",ROUND(H38+1.9,2)))</f>
        <v/>
      </c>
      <c r="K38" s="67"/>
      <c r="L38" s="67" t="s">
        <v>381</v>
      </c>
      <c r="M38" s="64" t="str">
        <f aca="false">IF(COUNTIF(COMPRAS!$G$3:$G$4997,A38)=0,"",SUMPRODUCT(MAX((COMPRAS!$G$3:$G$4997=A38)*COMPRAS!$B$3:$B$4997)))</f>
        <v/>
      </c>
      <c r="N38" s="64" t="str">
        <f aca="false">M38</f>
        <v/>
      </c>
      <c r="O38" s="67" t="s">
        <v>986</v>
      </c>
      <c r="P38" s="67" t="s">
        <v>949</v>
      </c>
      <c r="Q38" s="67" t="s">
        <v>950</v>
      </c>
      <c r="R38" s="67" t="s">
        <v>951</v>
      </c>
      <c r="S38" s="67" t="s">
        <v>952</v>
      </c>
      <c r="T38" s="67"/>
      <c r="U38" s="67" t="s">
        <v>953</v>
      </c>
      <c r="V38" s="67" t="s">
        <v>954</v>
      </c>
      <c r="W38" s="67" t="s">
        <v>955</v>
      </c>
    </row>
    <row r="39" customFormat="false" ht="15" hidden="true" customHeight="true" outlineLevel="0" collapsed="false">
      <c r="A39" s="75" t="s">
        <v>119</v>
      </c>
      <c r="B39" s="166" t="s">
        <v>987</v>
      </c>
      <c r="C39" s="173" t="s">
        <v>947</v>
      </c>
      <c r="D39" s="104" t="str">
        <f aca="false">IF(A39&lt;&gt;"",A39&amp;" | "&amp;B39&amp;" ["&amp;C39&amp;"]","")</f>
        <v>C2008 | CIGALAS EN COLAS  [FRESCO]</v>
      </c>
      <c r="E39" s="67" t="s">
        <v>365</v>
      </c>
      <c r="F39" s="1" t="n">
        <f aca="false">IF(AND(E39="S",C39="FRESCO"),COUNTIFS($E$3:E39,"S",$C$3:C39,"FRESCO"),"")</f>
        <v>26</v>
      </c>
      <c r="G39" s="1" t="str">
        <f aca="false">IF(AND(E39="S",C39&lt;&gt;"FRESCO"),COUNTIFS($E$3:E39,"S",$C$3:C39,"&lt;&gt;FRESCO"),"")</f>
        <v/>
      </c>
      <c r="H39" s="1" t="str">
        <f aca="false">IF(N39="","",IFERROR(SUMIFS(COMPRAS!$O$3:$O$4997,COMPRAS!$G$3:$G$4997,A39,COMPRAS!$B$3:$B$4997,N39)/SUMIFS(COMPRAS!$J$3:$J$4997,COMPRAS!$G$3:$G$4997,A39,COMPRAS!$B$3:$B$4997,N39),""))</f>
        <v/>
      </c>
      <c r="I39" s="1" t="str">
        <f aca="false">IF(X39&lt;&gt;"",X39,IF(H39="","",ROUND(H39+1.7,2)))</f>
        <v/>
      </c>
      <c r="J39" s="1" t="str">
        <f aca="false">IF(Y39&lt;&gt;"",Y39,IF(H39="","",ROUND(H39+1.9,2)))</f>
        <v/>
      </c>
      <c r="K39" s="67"/>
      <c r="L39" s="67" t="s">
        <v>381</v>
      </c>
      <c r="M39" s="64" t="str">
        <f aca="false">IF(COUNTIF(COMPRAS!$G$3:$G$4997,A39)=0,"",SUMPRODUCT(MAX((COMPRAS!$G$3:$G$4997=A39)*COMPRAS!$B$3:$B$4997)))</f>
        <v/>
      </c>
      <c r="N39" s="64" t="str">
        <f aca="false">M39</f>
        <v/>
      </c>
      <c r="O39" s="67" t="s">
        <v>988</v>
      </c>
      <c r="P39" s="67"/>
      <c r="Q39" s="67"/>
      <c r="R39" s="67" t="s">
        <v>959</v>
      </c>
      <c r="S39" s="67" t="s">
        <v>952</v>
      </c>
      <c r="T39" s="67"/>
      <c r="U39" s="67" t="s">
        <v>953</v>
      </c>
      <c r="V39" s="67" t="s">
        <v>954</v>
      </c>
      <c r="W39" s="67" t="s">
        <v>955</v>
      </c>
    </row>
    <row r="40" customFormat="false" ht="15" hidden="true" customHeight="true" outlineLevel="0" collapsed="false">
      <c r="A40" s="75" t="s">
        <v>121</v>
      </c>
      <c r="B40" s="168" t="s">
        <v>122</v>
      </c>
      <c r="C40" s="173" t="s">
        <v>947</v>
      </c>
      <c r="D40" s="104" t="str">
        <f aca="false">IF(A40&lt;&gt;"",A40&amp;" | "&amp;B40&amp;" ["&amp;C40&amp;"]","")</f>
        <v>C2101 | CIGALA "1" (NEP) [FRESCO]</v>
      </c>
      <c r="E40" s="67" t="s">
        <v>365</v>
      </c>
      <c r="F40" s="1" t="n">
        <f aca="false">IF(AND(E40="S",C40="FRESCO"),COUNTIFS($E$3:E40,"S",$C$3:C40,"FRESCO"),"")</f>
        <v>27</v>
      </c>
      <c r="G40" s="1" t="str">
        <f aca="false">IF(AND(E40="S",C40&lt;&gt;"FRESCO"),COUNTIFS($E$3:E40,"S",$C$3:C40,"&lt;&gt;FRESCO"),"")</f>
        <v/>
      </c>
      <c r="H40" s="1" t="str">
        <f aca="false">IF(N40="","",IFERROR(SUMIFS(COMPRAS!$O$3:$O$4997,COMPRAS!$G$3:$G$4997,A40,COMPRAS!$B$3:$B$4997,N40)/SUMIFS(COMPRAS!$J$3:$J$4997,COMPRAS!$G$3:$G$4997,A40,COMPRAS!$B$3:$B$4997,N40),""))</f>
        <v/>
      </c>
      <c r="I40" s="1" t="str">
        <f aca="false">IF(X40&lt;&gt;"",X40,IF(H40="","",ROUND(H40+1.7,2)))</f>
        <v/>
      </c>
      <c r="J40" s="1" t="str">
        <f aca="false">IF(Y40&lt;&gt;"",Y40,IF(H40="","",ROUND(H40+1.9,2)))</f>
        <v/>
      </c>
      <c r="K40" s="67"/>
      <c r="L40" s="67" t="s">
        <v>381</v>
      </c>
      <c r="M40" s="64" t="str">
        <f aca="false">IF(COUNTIF(COMPRAS!$G$3:$G$4997,A40)=0,"",SUMPRODUCT(MAX((COMPRAS!$G$3:$G$4997=A40)*COMPRAS!$B$3:$B$4997)))</f>
        <v/>
      </c>
      <c r="N40" s="64" t="str">
        <f aca="false">M40</f>
        <v/>
      </c>
      <c r="O40" s="67" t="s">
        <v>988</v>
      </c>
      <c r="P40" s="67"/>
      <c r="Q40" s="67"/>
      <c r="R40" s="67" t="s">
        <v>959</v>
      </c>
      <c r="S40" s="67" t="s">
        <v>952</v>
      </c>
      <c r="T40" s="67"/>
      <c r="U40" s="67" t="s">
        <v>953</v>
      </c>
      <c r="V40" s="67" t="s">
        <v>954</v>
      </c>
      <c r="W40" s="67" t="s">
        <v>955</v>
      </c>
    </row>
    <row r="41" customFormat="false" ht="15" hidden="true" customHeight="true" outlineLevel="0" collapsed="false">
      <c r="A41" s="75" t="s">
        <v>123</v>
      </c>
      <c r="B41" s="166" t="s">
        <v>124</v>
      </c>
      <c r="C41" s="173" t="s">
        <v>947</v>
      </c>
      <c r="D41" s="104" t="str">
        <f aca="false">IF(A41&lt;&gt;"",A41&amp;" | "&amp;B41&amp;" ["&amp;C41&amp;"]","")</f>
        <v>C2004 | CIGALA "2" (NEP) [FRESCO]</v>
      </c>
      <c r="E41" s="67" t="s">
        <v>365</v>
      </c>
      <c r="F41" s="1" t="n">
        <f aca="false">IF(AND(E41="S",C41="FRESCO"),COUNTIFS($E$3:E41,"S",$C$3:C41,"FRESCO"),"")</f>
        <v>28</v>
      </c>
      <c r="G41" s="1" t="str">
        <f aca="false">IF(AND(E41="S",C41&lt;&gt;"FRESCO"),COUNTIFS($E$3:E41,"S",$C$3:C41,"&lt;&gt;FRESCO"),"")</f>
        <v/>
      </c>
      <c r="H41" s="1" t="str">
        <f aca="false">IF(N41="","",IFERROR(SUMIFS(COMPRAS!$O$3:$O$4997,COMPRAS!$G$3:$G$4997,A41,COMPRAS!$B$3:$B$4997,N41)/SUMIFS(COMPRAS!$J$3:$J$4997,COMPRAS!$G$3:$G$4997,A41,COMPRAS!$B$3:$B$4997,N41),""))</f>
        <v/>
      </c>
      <c r="I41" s="1" t="str">
        <f aca="false">IF(X41&lt;&gt;"",X41,IF(H41="","",ROUND(H41+1.7,2)))</f>
        <v/>
      </c>
      <c r="J41" s="1" t="str">
        <f aca="false">IF(Y41&lt;&gt;"",Y41,IF(H41="","",ROUND(H41+1.9,2)))</f>
        <v/>
      </c>
      <c r="K41" s="67"/>
      <c r="L41" s="67" t="s">
        <v>381</v>
      </c>
      <c r="M41" s="64" t="str">
        <f aca="false">IF(COUNTIF(COMPRAS!$G$3:$G$4997,A41)=0,"",SUMPRODUCT(MAX((COMPRAS!$G$3:$G$4997=A41)*COMPRAS!$B$3:$B$4997)))</f>
        <v/>
      </c>
      <c r="N41" s="64" t="str">
        <f aca="false">M41</f>
        <v/>
      </c>
      <c r="O41" s="67" t="s">
        <v>988</v>
      </c>
      <c r="P41" s="67"/>
      <c r="Q41" s="67"/>
      <c r="R41" s="67" t="s">
        <v>959</v>
      </c>
      <c r="S41" s="67" t="s">
        <v>952</v>
      </c>
      <c r="T41" s="67"/>
      <c r="U41" s="67" t="s">
        <v>953</v>
      </c>
      <c r="V41" s="67" t="s">
        <v>954</v>
      </c>
      <c r="W41" s="67" t="s">
        <v>955</v>
      </c>
    </row>
    <row r="42" customFormat="false" ht="15" hidden="true" customHeight="true" outlineLevel="0" collapsed="false">
      <c r="A42" s="75" t="s">
        <v>125</v>
      </c>
      <c r="B42" s="168" t="s">
        <v>126</v>
      </c>
      <c r="C42" s="173" t="s">
        <v>947</v>
      </c>
      <c r="D42" s="104" t="str">
        <f aca="false">IF(A42&lt;&gt;"",A42&amp;" | "&amp;B42&amp;" ["&amp;C42&amp;"]","")</f>
        <v>C2104 | CIGALA "3P" (NEP) [FRESCO]</v>
      </c>
      <c r="E42" s="67" t="s">
        <v>365</v>
      </c>
      <c r="F42" s="1" t="n">
        <f aca="false">IF(AND(E42="S",C42="FRESCO"),COUNTIFS($E$3:E42,"S",$C$3:C42,"FRESCO"),"")</f>
        <v>29</v>
      </c>
      <c r="G42" s="1" t="str">
        <f aca="false">IF(AND(E42="S",C42&lt;&gt;"FRESCO"),COUNTIFS($E$3:E42,"S",$C$3:C42,"&lt;&gt;FRESCO"),"")</f>
        <v/>
      </c>
      <c r="H42" s="1" t="n">
        <f aca="false">IF(N42="","",IFERROR(SUMIFS(COMPRAS!$O$3:$O$4997,COMPRAS!$G$3:$G$4997,A42,COMPRAS!$B$3:$B$4997,N42)/SUMIFS(COMPRAS!$J$3:$J$4997,COMPRAS!$G$3:$G$4997,A42,COMPRAS!$B$3:$B$4997,N42),""))</f>
        <v>17.5</v>
      </c>
      <c r="I42" s="1" t="n">
        <f aca="false">IF(X42&lt;&gt;"",X42,IF(H42="","",ROUND(H42+1.7,2)))</f>
        <v>19.2</v>
      </c>
      <c r="J42" s="1" t="n">
        <f aca="false">IF(Y42&lt;&gt;"",Y42,IF(H42="","",ROUND(H42+1.9,2)))</f>
        <v>19.4</v>
      </c>
      <c r="K42" s="67"/>
      <c r="L42" s="67" t="s">
        <v>381</v>
      </c>
      <c r="M42" s="64" t="n">
        <f aca="false">IF(COUNTIF(COMPRAS!$G$3:$G$4997,A42)=0,"",SUMPRODUCT(MAX((COMPRAS!$G$3:$G$4997=A42)*COMPRAS!$B$3:$B$4997)))</f>
        <v>46274</v>
      </c>
      <c r="N42" s="64" t="n">
        <f aca="false">M42</f>
        <v>46274</v>
      </c>
      <c r="O42" s="67" t="s">
        <v>988</v>
      </c>
      <c r="P42" s="67"/>
      <c r="Q42" s="67"/>
      <c r="R42" s="67" t="s">
        <v>959</v>
      </c>
      <c r="S42" s="67" t="s">
        <v>952</v>
      </c>
      <c r="T42" s="67"/>
      <c r="U42" s="67" t="s">
        <v>953</v>
      </c>
      <c r="V42" s="67" t="s">
        <v>954</v>
      </c>
      <c r="W42" s="67" t="s">
        <v>955</v>
      </c>
    </row>
    <row r="43" customFormat="false" ht="15" hidden="true" customHeight="true" outlineLevel="0" collapsed="false">
      <c r="A43" s="75" t="s">
        <v>127</v>
      </c>
      <c r="B43" s="166" t="s">
        <v>128</v>
      </c>
      <c r="C43" s="173" t="s">
        <v>947</v>
      </c>
      <c r="D43" s="104" t="str">
        <f aca="false">IF(A43&lt;&gt;"",A43&amp;" | "&amp;B43&amp;" ["&amp;C43&amp;"]","")</f>
        <v>C2105 | CIGALA "3X" (NEP) [FRESCO]</v>
      </c>
      <c r="E43" s="67" t="s">
        <v>365</v>
      </c>
      <c r="F43" s="1" t="n">
        <f aca="false">IF(AND(E43="S",C43="FRESCO"),COUNTIFS($E$3:E43,"S",$C$3:C43,"FRESCO"),"")</f>
        <v>30</v>
      </c>
      <c r="G43" s="1" t="str">
        <f aca="false">IF(AND(E43="S",C43&lt;&gt;"FRESCO"),COUNTIFS($E$3:E43,"S",$C$3:C43,"&lt;&gt;FRESCO"),"")</f>
        <v/>
      </c>
      <c r="H43" s="1" t="str">
        <f aca="false">IF(N43="","",IFERROR(SUMIFS(COMPRAS!$O$3:$O$4997,COMPRAS!$G$3:$G$4997,A43,COMPRAS!$B$3:$B$4997,N43)/SUMIFS(COMPRAS!$J$3:$J$4997,COMPRAS!$G$3:$G$4997,A43,COMPRAS!$B$3:$B$4997,N43),""))</f>
        <v/>
      </c>
      <c r="I43" s="1" t="str">
        <f aca="false">IF(X43&lt;&gt;"",X43,IF(H43="","",ROUND(H43+1.7,2)))</f>
        <v/>
      </c>
      <c r="J43" s="1" t="str">
        <f aca="false">IF(Y43&lt;&gt;"",Y43,IF(H43="","",ROUND(H43+1.9,2)))</f>
        <v/>
      </c>
      <c r="K43" s="67"/>
      <c r="L43" s="67" t="s">
        <v>381</v>
      </c>
      <c r="M43" s="64" t="str">
        <f aca="false">IF(COUNTIF(COMPRAS!$G$3:$G$4997,A43)=0,"",SUMPRODUCT(MAX((COMPRAS!$G$3:$G$4997=A43)*COMPRAS!$B$3:$B$4997)))</f>
        <v/>
      </c>
      <c r="N43" s="64" t="str">
        <f aca="false">M43</f>
        <v/>
      </c>
      <c r="O43" s="67" t="s">
        <v>988</v>
      </c>
      <c r="P43" s="67"/>
      <c r="Q43" s="67"/>
      <c r="R43" s="67" t="s">
        <v>959</v>
      </c>
      <c r="S43" s="67" t="s">
        <v>952</v>
      </c>
      <c r="T43" s="67"/>
      <c r="U43" s="67" t="s">
        <v>953</v>
      </c>
      <c r="V43" s="67" t="s">
        <v>954</v>
      </c>
      <c r="W43" s="67" t="s">
        <v>955</v>
      </c>
    </row>
    <row r="44" customFormat="false" ht="15" hidden="true" customHeight="true" outlineLevel="0" collapsed="false">
      <c r="A44" s="75" t="s">
        <v>129</v>
      </c>
      <c r="B44" s="168" t="s">
        <v>130</v>
      </c>
      <c r="C44" s="173" t="s">
        <v>947</v>
      </c>
      <c r="D44" s="104" t="str">
        <f aca="false">IF(A44&lt;&gt;"",A44&amp;" | "&amp;B44&amp;" ["&amp;C44&amp;"]","")</f>
        <v>C2103 | CIGALA "3" (NEP) [FRESCO]</v>
      </c>
      <c r="E44" s="67" t="s">
        <v>365</v>
      </c>
      <c r="F44" s="1" t="n">
        <f aca="false">IF(AND(E44="S",C44="FRESCO"),COUNTIFS($E$3:E44,"S",$C$3:C44,"FRESCO"),"")</f>
        <v>31</v>
      </c>
      <c r="G44" s="1" t="str">
        <f aca="false">IF(AND(E44="S",C44&lt;&gt;"FRESCO"),COUNTIFS($E$3:E44,"S",$C$3:C44,"&lt;&gt;FRESCO"),"")</f>
        <v/>
      </c>
      <c r="H44" s="1" t="n">
        <f aca="false">IF(N44="","",IFERROR(SUMIFS(COMPRAS!$O$3:$O$4997,COMPRAS!$G$3:$G$4997,A44,COMPRAS!$B$3:$B$4997,N44)/SUMIFS(COMPRAS!$J$3:$J$4997,COMPRAS!$G$3:$G$4997,A44,COMPRAS!$B$3:$B$4997,N44),""))</f>
        <v>18</v>
      </c>
      <c r="I44" s="1" t="n">
        <f aca="false">IF(X44&lt;&gt;"",X44,IF(H44="","",ROUND(H44+1.7,2)))</f>
        <v>19.7</v>
      </c>
      <c r="J44" s="1" t="n">
        <f aca="false">IF(Y44&lt;&gt;"",Y44,IF(H44="","",ROUND(H44+1.9,2)))</f>
        <v>19.9</v>
      </c>
      <c r="K44" s="67"/>
      <c r="L44" s="67" t="s">
        <v>381</v>
      </c>
      <c r="M44" s="64" t="n">
        <f aca="false">IF(COUNTIF(COMPRAS!$G$3:$G$4997,A44)=0,"",SUMPRODUCT(MAX((COMPRAS!$G$3:$G$4997=A44)*COMPRAS!$B$3:$B$4997)))</f>
        <v>46274</v>
      </c>
      <c r="N44" s="64" t="n">
        <f aca="false">M44</f>
        <v>46274</v>
      </c>
      <c r="O44" s="67" t="s">
        <v>988</v>
      </c>
      <c r="P44" s="67"/>
      <c r="Q44" s="67"/>
      <c r="R44" s="67" t="s">
        <v>959</v>
      </c>
      <c r="S44" s="67" t="s">
        <v>952</v>
      </c>
      <c r="T44" s="67"/>
      <c r="U44" s="67" t="s">
        <v>953</v>
      </c>
      <c r="V44" s="67" t="s">
        <v>954</v>
      </c>
      <c r="W44" s="67" t="s">
        <v>955</v>
      </c>
    </row>
    <row r="45" customFormat="false" ht="15" hidden="true" customHeight="true" outlineLevel="0" collapsed="false">
      <c r="A45" s="75" t="s">
        <v>131</v>
      </c>
      <c r="B45" s="166" t="s">
        <v>132</v>
      </c>
      <c r="C45" s="173" t="s">
        <v>947</v>
      </c>
      <c r="D45" s="104" t="str">
        <f aca="false">IF(A45&lt;&gt;"",A45&amp;" | "&amp;B45&amp;" ["&amp;C45&amp;"]","")</f>
        <v>C2100 | CIGALA "0" (NEP) [FRESCO]</v>
      </c>
      <c r="E45" s="67" t="s">
        <v>365</v>
      </c>
      <c r="F45" s="1" t="n">
        <f aca="false">IF(AND(E45="S",C45="FRESCO"),COUNTIFS($E$3:E45,"S",$C$3:C45,"FRESCO"),"")</f>
        <v>32</v>
      </c>
      <c r="G45" s="1" t="str">
        <f aca="false">IF(AND(E45="S",C45&lt;&gt;"FRESCO"),COUNTIFS($E$3:E45,"S",$C$3:C45,"&lt;&gt;FRESCO"),"")</f>
        <v/>
      </c>
      <c r="H45" s="1" t="str">
        <f aca="false">IF(N45="","",IFERROR(SUMIFS(COMPRAS!$O$3:$O$4997,COMPRAS!$G$3:$G$4997,A45,COMPRAS!$B$3:$B$4997,N45)/SUMIFS(COMPRAS!$J$3:$J$4997,COMPRAS!$G$3:$G$4997,A45,COMPRAS!$B$3:$B$4997,N45),""))</f>
        <v/>
      </c>
      <c r="I45" s="1" t="str">
        <f aca="false">IF(X45&lt;&gt;"",X45,IF(H45="","",ROUND(H45+1.7,2)))</f>
        <v/>
      </c>
      <c r="J45" s="1" t="str">
        <f aca="false">IF(Y45&lt;&gt;"",Y45,IF(H45="","",ROUND(H45+1.9,2)))</f>
        <v/>
      </c>
      <c r="K45" s="67"/>
      <c r="L45" s="67" t="s">
        <v>381</v>
      </c>
      <c r="M45" s="64" t="str">
        <f aca="false">IF(COUNTIF(COMPRAS!$G$3:$G$4997,A45)=0,"",SUMPRODUCT(MAX((COMPRAS!$G$3:$G$4997=A45)*COMPRAS!$B$3:$B$4997)))</f>
        <v/>
      </c>
      <c r="N45" s="64" t="str">
        <f aca="false">M45</f>
        <v/>
      </c>
      <c r="O45" s="67" t="s">
        <v>988</v>
      </c>
      <c r="P45" s="67"/>
      <c r="Q45" s="67"/>
      <c r="R45" s="67" t="s">
        <v>959</v>
      </c>
      <c r="S45" s="67" t="s">
        <v>952</v>
      </c>
      <c r="T45" s="67"/>
      <c r="U45" s="67" t="s">
        <v>953</v>
      </c>
      <c r="V45" s="67" t="s">
        <v>954</v>
      </c>
      <c r="W45" s="67" t="s">
        <v>955</v>
      </c>
    </row>
    <row r="46" customFormat="false" ht="15" hidden="false" customHeight="true" outlineLevel="0" collapsed="false">
      <c r="A46" s="75" t="s">
        <v>133</v>
      </c>
      <c r="B46" s="168" t="s">
        <v>134</v>
      </c>
      <c r="C46" s="173" t="s">
        <v>947</v>
      </c>
      <c r="D46" s="104" t="str">
        <f aca="false">IF(A46&lt;&gt;"",A46&amp;" | "&amp;B46&amp;" ["&amp;C46&amp;"]","")</f>
        <v>C410 | CINTAS/ PEZ CINTA (CBC) [FRESCO]</v>
      </c>
      <c r="E46" s="67" t="s">
        <v>365</v>
      </c>
      <c r="F46" s="1" t="n">
        <f aca="false">IF(AND(E46="S",C46="FRESCO"),COUNTIFS($E$3:E46,"S",$C$3:C46,"FRESCO"),"")</f>
        <v>33</v>
      </c>
      <c r="G46" s="1" t="str">
        <f aca="false">IF(AND(E46="S",C46&lt;&gt;"FRESCO"),COUNTIFS($E$3:E46,"S",$C$3:C46,"&lt;&gt;FRESCO"),"")</f>
        <v/>
      </c>
      <c r="H46" s="1" t="n">
        <f aca="false">IF(N46="","",IFERROR(SUMIFS(COMPRAS!$O$3:$O$4997,COMPRAS!$G$3:$G$4997,A46,COMPRAS!$B$3:$B$4997,N46)/SUMIFS(COMPRAS!$J$3:$J$4997,COMPRAS!$G$3:$G$4997,A46,COMPRAS!$B$3:$B$4997,N46),""))</f>
        <v>2.55</v>
      </c>
      <c r="I46" s="1" t="n">
        <f aca="false">IF(X46&lt;&gt;"",X46,IF(H46="","",ROUND(H46+1.7,2)))</f>
        <v>4.25</v>
      </c>
      <c r="J46" s="1" t="n">
        <f aca="false">IF(Y46&lt;&gt;"",Y46,IF(H46="","",ROUND(H46+1.9,2)))</f>
        <v>4.45</v>
      </c>
      <c r="K46" s="67"/>
      <c r="L46" s="67" t="s">
        <v>381</v>
      </c>
      <c r="M46" s="64" t="n">
        <f aca="false">IF(COUNTIF(COMPRAS!$G$3:$G$4997,A46)=0,"",SUMPRODUCT(MAX((COMPRAS!$G$3:$G$4997=A46)*COMPRAS!$B$3:$B$4997)))</f>
        <v>46276</v>
      </c>
      <c r="N46" s="64" t="n">
        <f aca="false">M46</f>
        <v>46276</v>
      </c>
      <c r="O46" s="67" t="s">
        <v>989</v>
      </c>
      <c r="P46" s="67" t="s">
        <v>949</v>
      </c>
      <c r="Q46" s="67" t="s">
        <v>950</v>
      </c>
      <c r="R46" s="67" t="s">
        <v>959</v>
      </c>
      <c r="S46" s="67" t="s">
        <v>952</v>
      </c>
      <c r="T46" s="67"/>
      <c r="U46" s="67" t="s">
        <v>953</v>
      </c>
      <c r="V46" s="67" t="s">
        <v>954</v>
      </c>
      <c r="W46" s="67" t="s">
        <v>955</v>
      </c>
    </row>
    <row r="47" customFormat="false" ht="15" hidden="true" customHeight="true" outlineLevel="0" collapsed="false">
      <c r="A47" s="75" t="s">
        <v>135</v>
      </c>
      <c r="B47" s="166" t="s">
        <v>136</v>
      </c>
      <c r="C47" s="173" t="s">
        <v>947</v>
      </c>
      <c r="D47" s="104" t="str">
        <f aca="false">IF(A47&lt;&gt;"",A47&amp;" | "&amp;B47&amp;" ["&amp;C47&amp;"]","")</f>
        <v>C250 | CONGRIO 10+  (COE) [FRESCO]</v>
      </c>
      <c r="E47" s="67" t="s">
        <v>365</v>
      </c>
      <c r="F47" s="1" t="n">
        <f aca="false">IF(AND(E47="S",C47="FRESCO"),COUNTIFS($E$3:E47,"S",$C$3:C47,"FRESCO"),"")</f>
        <v>34</v>
      </c>
      <c r="G47" s="1" t="str">
        <f aca="false">IF(AND(E47="S",C47&lt;&gt;"FRESCO"),COUNTIFS($E$3:E47,"S",$C$3:C47,"&lt;&gt;FRESCO"),"")</f>
        <v/>
      </c>
      <c r="H47" s="1" t="n">
        <f aca="false">IF(N47="","",IFERROR(SUMIFS(COMPRAS!$O$3:$O$4997,COMPRAS!$G$3:$G$4997,A47,COMPRAS!$B$3:$B$4997,N47)/SUMIFS(COMPRAS!$J$3:$J$4997,COMPRAS!$G$3:$G$4997,A47,COMPRAS!$B$3:$B$4997,N47),""))</f>
        <v>3.9219</v>
      </c>
      <c r="I47" s="1" t="n">
        <f aca="false">IF(X47&lt;&gt;"",X47,IF(H47="","",ROUND(H47+1.7,2)))</f>
        <v>5.62</v>
      </c>
      <c r="J47" s="1" t="n">
        <f aca="false">IF(Y47&lt;&gt;"",Y47,IF(H47="","",ROUND(H47+1.9,2)))</f>
        <v>5.82</v>
      </c>
      <c r="K47" s="67"/>
      <c r="L47" s="67" t="s">
        <v>381</v>
      </c>
      <c r="M47" s="64" t="n">
        <f aca="false">IF(COUNTIF(COMPRAS!$G$3:$G$4997,A47)=0,"",SUMPRODUCT(MAX((COMPRAS!$G$3:$G$4997=A47)*COMPRAS!$B$3:$B$4997)))</f>
        <v>46276</v>
      </c>
      <c r="N47" s="64" t="n">
        <f aca="false">M47</f>
        <v>46276</v>
      </c>
      <c r="O47" s="67" t="s">
        <v>990</v>
      </c>
      <c r="P47" s="67" t="s">
        <v>949</v>
      </c>
      <c r="Q47" s="67" t="s">
        <v>950</v>
      </c>
      <c r="R47" s="67" t="s">
        <v>951</v>
      </c>
      <c r="S47" s="67" t="s">
        <v>952</v>
      </c>
      <c r="T47" s="67"/>
      <c r="U47" s="67" t="s">
        <v>953</v>
      </c>
      <c r="V47" s="67" t="s">
        <v>954</v>
      </c>
      <c r="W47" s="67" t="s">
        <v>955</v>
      </c>
    </row>
    <row r="48" customFormat="false" ht="15" hidden="true" customHeight="true" outlineLevel="0" collapsed="false">
      <c r="A48" s="75" t="s">
        <v>137</v>
      </c>
      <c r="B48" s="168" t="s">
        <v>138</v>
      </c>
      <c r="C48" s="173" t="s">
        <v>947</v>
      </c>
      <c r="D48" s="104" t="str">
        <f aca="false">IF(A48&lt;&gt;"",A48&amp;" | "&amp;B48&amp;" ["&amp;C48&amp;"]","")</f>
        <v>C2507 | CONGRIO 7/10 (COE) [FRESCO]</v>
      </c>
      <c r="E48" s="67" t="s">
        <v>365</v>
      </c>
      <c r="F48" s="1" t="n">
        <f aca="false">IF(AND(E48="S",C48="FRESCO"),COUNTIFS($E$3:E48,"S",$C$3:C48,"FRESCO"),"")</f>
        <v>35</v>
      </c>
      <c r="G48" s="1" t="str">
        <f aca="false">IF(AND(E48="S",C48&lt;&gt;"FRESCO"),COUNTIFS($E$3:E48,"S",$C$3:C48,"&lt;&gt;FRESCO"),"")</f>
        <v/>
      </c>
      <c r="H48" s="1" t="n">
        <f aca="false">IF(N48="","",IFERROR(SUMIFS(COMPRAS!$O$3:$O$4997,COMPRAS!$G$3:$G$4997,A48,COMPRAS!$B$3:$B$4997,N48)/SUMIFS(COMPRAS!$J$3:$J$4997,COMPRAS!$G$3:$G$4997,A48,COMPRAS!$B$3:$B$4997,N48),""))</f>
        <v>2.71014492753623</v>
      </c>
      <c r="I48" s="1" t="n">
        <f aca="false">IF(X48&lt;&gt;"",X48,IF(H48="","",ROUND(H48+1.7,2)))</f>
        <v>4.41</v>
      </c>
      <c r="J48" s="1" t="n">
        <f aca="false">IF(Y48&lt;&gt;"",Y48,IF(H48="","",ROUND(H48+1.9,2)))</f>
        <v>4.61</v>
      </c>
      <c r="K48" s="67"/>
      <c r="L48" s="67" t="s">
        <v>381</v>
      </c>
      <c r="M48" s="64" t="n">
        <f aca="false">IF(COUNTIF(COMPRAS!$G$3:$G$4997,A48)=0,"",SUMPRODUCT(MAX((COMPRAS!$G$3:$G$4997=A48)*COMPRAS!$B$3:$B$4997)))</f>
        <v>46262</v>
      </c>
      <c r="N48" s="64" t="n">
        <f aca="false">M48</f>
        <v>46262</v>
      </c>
      <c r="O48" s="67" t="s">
        <v>990</v>
      </c>
      <c r="P48" s="67" t="s">
        <v>949</v>
      </c>
      <c r="Q48" s="67" t="s">
        <v>950</v>
      </c>
      <c r="R48" s="67" t="s">
        <v>951</v>
      </c>
      <c r="S48" s="67" t="s">
        <v>952</v>
      </c>
      <c r="T48" s="67"/>
      <c r="U48" s="67" t="s">
        <v>953</v>
      </c>
      <c r="V48" s="67" t="s">
        <v>954</v>
      </c>
      <c r="W48" s="67" t="s">
        <v>955</v>
      </c>
    </row>
    <row r="49" customFormat="false" ht="15" hidden="true" customHeight="true" outlineLevel="0" collapsed="false">
      <c r="A49" s="75" t="s">
        <v>139</v>
      </c>
      <c r="B49" s="166" t="s">
        <v>140</v>
      </c>
      <c r="C49" s="173" t="s">
        <v>947</v>
      </c>
      <c r="D49" s="104" t="str">
        <f aca="false">IF(A49&lt;&gt;"",A49&amp;" | "&amp;B49&amp;" ["&amp;C49&amp;"]","")</f>
        <v>C2505 | CONGRIO 5/07 (COE) [FRESCO]</v>
      </c>
      <c r="E49" s="67" t="s">
        <v>365</v>
      </c>
      <c r="F49" s="1" t="n">
        <f aca="false">IF(AND(E49="S",C49="FRESCO"),COUNTIFS($E$3:E49,"S",$C$3:C49,"FRESCO"),"")</f>
        <v>36</v>
      </c>
      <c r="G49" s="1" t="str">
        <f aca="false">IF(AND(E49="S",C49&lt;&gt;"FRESCO"),COUNTIFS($E$3:E49,"S",$C$3:C49,"&lt;&gt;FRESCO"),"")</f>
        <v/>
      </c>
      <c r="H49" s="1" t="n">
        <f aca="false">IF(N49="","",IFERROR(SUMIFS(COMPRAS!$O$3:$O$4997,COMPRAS!$G$3:$G$4997,A49,COMPRAS!$B$3:$B$4997,N49)/SUMIFS(COMPRAS!$J$3:$J$4997,COMPRAS!$G$3:$G$4997,A49,COMPRAS!$B$3:$B$4997,N49),""))</f>
        <v>2.856</v>
      </c>
      <c r="I49" s="1" t="n">
        <f aca="false">IF(X49&lt;&gt;"",X49,IF(H49="","",ROUND(H49+1.7,2)))</f>
        <v>4.56</v>
      </c>
      <c r="J49" s="1" t="n">
        <f aca="false">IF(Y49&lt;&gt;"",Y49,IF(H49="","",ROUND(H49+1.9,2)))</f>
        <v>4.76</v>
      </c>
      <c r="K49" s="67"/>
      <c r="L49" s="67" t="s">
        <v>381</v>
      </c>
      <c r="M49" s="64" t="n">
        <f aca="false">IF(COUNTIF(COMPRAS!$G$3:$G$4997,A49)=0,"",SUMPRODUCT(MAX((COMPRAS!$G$3:$G$4997=A49)*COMPRAS!$B$3:$B$4997)))</f>
        <v>46259</v>
      </c>
      <c r="N49" s="64" t="n">
        <f aca="false">M49</f>
        <v>46259</v>
      </c>
      <c r="O49" s="67" t="s">
        <v>990</v>
      </c>
      <c r="P49" s="67" t="s">
        <v>949</v>
      </c>
      <c r="Q49" s="67" t="s">
        <v>950</v>
      </c>
      <c r="R49" s="67" t="s">
        <v>951</v>
      </c>
      <c r="S49" s="67" t="s">
        <v>952</v>
      </c>
      <c r="T49" s="67"/>
      <c r="U49" s="67" t="s">
        <v>953</v>
      </c>
      <c r="V49" s="67" t="s">
        <v>954</v>
      </c>
      <c r="W49" s="67" t="s">
        <v>955</v>
      </c>
    </row>
    <row r="50" customFormat="false" ht="15" hidden="true" customHeight="true" outlineLevel="0" collapsed="false">
      <c r="A50" s="75" t="s">
        <v>141</v>
      </c>
      <c r="B50" s="168" t="s">
        <v>142</v>
      </c>
      <c r="C50" s="173" t="s">
        <v>947</v>
      </c>
      <c r="D50" s="104" t="str">
        <f aca="false">IF(A50&lt;&gt;"",A50&amp;" | "&amp;B50&amp;" ["&amp;C50&amp;"]","")</f>
        <v>C6530 | CORENO/ MENDO (WYT) [FRESCO]</v>
      </c>
      <c r="E50" s="67" t="s">
        <v>365</v>
      </c>
      <c r="F50" s="1" t="n">
        <f aca="false">IF(AND(E50="S",C50="FRESCO"),COUNTIFS($E$3:E50,"S",$C$3:C50,"FRESCO"),"")</f>
        <v>37</v>
      </c>
      <c r="G50" s="1" t="str">
        <f aca="false">IF(AND(E50="S",C50&lt;&gt;"FRESCO"),COUNTIFS($E$3:E50,"S",$C$3:C50,"&lt;&gt;FRESCO"),"")</f>
        <v/>
      </c>
      <c r="H50" s="1" t="str">
        <f aca="false">IF(N50="","",IFERROR(SUMIFS(COMPRAS!$O$3:$O$4997,COMPRAS!$G$3:$G$4997,A50,COMPRAS!$B$3:$B$4997,N50)/SUMIFS(COMPRAS!$J$3:$J$4997,COMPRAS!$G$3:$G$4997,A50,COMPRAS!$B$3:$B$4997,N50),""))</f>
        <v/>
      </c>
      <c r="I50" s="1" t="str">
        <f aca="false">IF(X50&lt;&gt;"",X50,IF(H50="","",ROUND(H50+1.7,2)))</f>
        <v/>
      </c>
      <c r="J50" s="1" t="str">
        <f aca="false">IF(Y50&lt;&gt;"",Y50,IF(H50="","",ROUND(H50+1.9,2)))</f>
        <v/>
      </c>
      <c r="K50" s="67"/>
      <c r="L50" s="67" t="s">
        <v>381</v>
      </c>
      <c r="M50" s="64" t="str">
        <f aca="false">IF(COUNTIF(COMPRAS!$G$3:$G$4997,A50)=0,"",SUMPRODUCT(MAX((COMPRAS!$G$3:$G$4997=A50)*COMPRAS!$B$3:$B$4997)))</f>
        <v/>
      </c>
      <c r="N50" s="64" t="str">
        <f aca="false">M50</f>
        <v/>
      </c>
      <c r="O50" s="67" t="s">
        <v>991</v>
      </c>
      <c r="P50" s="67"/>
      <c r="Q50" s="67"/>
      <c r="R50" s="67" t="s">
        <v>959</v>
      </c>
      <c r="S50" s="67" t="s">
        <v>952</v>
      </c>
      <c r="T50" s="67"/>
      <c r="U50" s="67" t="s">
        <v>953</v>
      </c>
      <c r="V50" s="67" t="s">
        <v>954</v>
      </c>
      <c r="W50" s="67" t="s">
        <v>955</v>
      </c>
    </row>
    <row r="51" customFormat="false" ht="15" hidden="true" customHeight="true" outlineLevel="0" collapsed="false">
      <c r="A51" s="75" t="s">
        <v>143</v>
      </c>
      <c r="B51" s="166" t="s">
        <v>144</v>
      </c>
      <c r="C51" s="173" t="s">
        <v>947</v>
      </c>
      <c r="D51" s="104" t="str">
        <f aca="false">IF(A51&lt;&gt;"",A51&amp;" | "&amp;B51&amp;" ["&amp;C51&amp;"]","")</f>
        <v>C6301 | CORUXO/ SOLLO/ REMOL (BLL) [FRESCO]</v>
      </c>
      <c r="E51" s="67" t="s">
        <v>365</v>
      </c>
      <c r="F51" s="1" t="n">
        <f aca="false">IF(AND(E51="S",C51="FRESCO"),COUNTIFS($E$3:E51,"S",$C$3:C51,"FRESCO"),"")</f>
        <v>38</v>
      </c>
      <c r="G51" s="1" t="str">
        <f aca="false">IF(AND(E51="S",C51&lt;&gt;"FRESCO"),COUNTIFS($E$3:E51,"S",$C$3:C51,"&lt;&gt;FRESCO"),"")</f>
        <v/>
      </c>
      <c r="H51" s="1" t="n">
        <f aca="false">IF(N51="","",IFERROR(SUMIFS(COMPRAS!$O$3:$O$4997,COMPRAS!$G$3:$G$4997,A51,COMPRAS!$B$3:$B$4997,N51)/SUMIFS(COMPRAS!$J$3:$J$4997,COMPRAS!$G$3:$G$4997,A51,COMPRAS!$B$3:$B$4997,N51),""))</f>
        <v>27.8</v>
      </c>
      <c r="I51" s="1" t="n">
        <f aca="false">IF(X51&lt;&gt;"",X51,IF(H51="","",ROUND(H51+1.7,2)))</f>
        <v>29.5</v>
      </c>
      <c r="J51" s="1" t="n">
        <f aca="false">IF(Y51&lt;&gt;"",Y51,IF(H51="","",ROUND(H51+1.9,2)))</f>
        <v>29.7</v>
      </c>
      <c r="K51" s="67"/>
      <c r="L51" s="67" t="s">
        <v>381</v>
      </c>
      <c r="M51" s="64" t="n">
        <f aca="false">IF(COUNTIF(COMPRAS!$G$3:$G$4997,A51)=0,"",SUMPRODUCT(MAX((COMPRAS!$G$3:$G$4997=A51)*COMPRAS!$B$3:$B$4997)))</f>
        <v>46248</v>
      </c>
      <c r="N51" s="64" t="n">
        <f aca="false">M51</f>
        <v>46248</v>
      </c>
      <c r="O51" s="67" t="s">
        <v>992</v>
      </c>
      <c r="P51" s="67" t="s">
        <v>949</v>
      </c>
      <c r="Q51" s="67" t="s">
        <v>950</v>
      </c>
      <c r="R51" s="67" t="s">
        <v>951</v>
      </c>
      <c r="S51" s="67" t="s">
        <v>952</v>
      </c>
      <c r="T51" s="67"/>
      <c r="U51" s="67" t="s">
        <v>953</v>
      </c>
      <c r="V51" s="67" t="s">
        <v>954</v>
      </c>
      <c r="W51" s="67" t="s">
        <v>955</v>
      </c>
    </row>
    <row r="52" customFormat="false" ht="15" hidden="true" customHeight="true" outlineLevel="0" collapsed="false">
      <c r="A52" s="75" t="s">
        <v>145</v>
      </c>
      <c r="B52" s="168" t="s">
        <v>146</v>
      </c>
      <c r="C52" s="173" t="s">
        <v>947</v>
      </c>
      <c r="D52" s="104" t="str">
        <f aca="false">IF(A52&lt;&gt;"",A52&amp;" | "&amp;B52&amp;" ["&amp;C52&amp;"]","")</f>
        <v>C561 | DENTON (DEC) [FRESCO]</v>
      </c>
      <c r="E52" s="67" t="s">
        <v>365</v>
      </c>
      <c r="F52" s="1" t="n">
        <f aca="false">IF(AND(E52="S",C52="FRESCO"),COUNTIFS($E$3:E52,"S",$C$3:C52,"FRESCO"),"")</f>
        <v>39</v>
      </c>
      <c r="G52" s="1" t="str">
        <f aca="false">IF(AND(E52="S",C52&lt;&gt;"FRESCO"),COUNTIFS($E$3:E52,"S",$C$3:C52,"&lt;&gt;FRESCO"),"")</f>
        <v/>
      </c>
      <c r="H52" s="1" t="str">
        <f aca="false">IF(N52="","",IFERROR(SUMIFS(COMPRAS!$O$3:$O$4997,COMPRAS!$G$3:$G$4997,A52,COMPRAS!$B$3:$B$4997,N52)/SUMIFS(COMPRAS!$J$3:$J$4997,COMPRAS!$G$3:$G$4997,A52,COMPRAS!$B$3:$B$4997,N52),""))</f>
        <v/>
      </c>
      <c r="I52" s="1" t="str">
        <f aca="false">IF(X52&lt;&gt;"",X52,IF(H52="","",ROUND(H52+1.7,2)))</f>
        <v/>
      </c>
      <c r="J52" s="1" t="str">
        <f aca="false">IF(Y52&lt;&gt;"",Y52,IF(H52="","",ROUND(H52+1.9,2)))</f>
        <v/>
      </c>
      <c r="K52" s="67"/>
      <c r="L52" s="67" t="s">
        <v>381</v>
      </c>
      <c r="M52" s="64" t="str">
        <f aca="false">IF(COUNTIF(COMPRAS!$G$3:$G$4997,A52)=0,"",SUMPRODUCT(MAX((COMPRAS!$G$3:$G$4997=A52)*COMPRAS!$B$3:$B$4997)))</f>
        <v/>
      </c>
      <c r="N52" s="64" t="str">
        <f aca="false">M52</f>
        <v/>
      </c>
      <c r="O52" s="67" t="s">
        <v>993</v>
      </c>
      <c r="P52" s="67" t="s">
        <v>949</v>
      </c>
      <c r="Q52" s="67" t="s">
        <v>950</v>
      </c>
      <c r="R52" s="67" t="s">
        <v>951</v>
      </c>
      <c r="S52" s="67" t="s">
        <v>952</v>
      </c>
      <c r="T52" s="67"/>
      <c r="U52" s="67" t="s">
        <v>953</v>
      </c>
      <c r="V52" s="67" t="s">
        <v>954</v>
      </c>
      <c r="W52" s="67" t="s">
        <v>955</v>
      </c>
    </row>
    <row r="53" customFormat="false" ht="15" hidden="true" customHeight="true" outlineLevel="0" collapsed="false">
      <c r="A53" s="75" t="s">
        <v>147</v>
      </c>
      <c r="B53" s="166" t="s">
        <v>148</v>
      </c>
      <c r="C53" s="173" t="s">
        <v>947</v>
      </c>
      <c r="D53" s="104" t="str">
        <f aca="false">IF(A53&lt;&gt;"",A53&amp;" | "&amp;B53&amp;" ["&amp;C53&amp;"]","")</f>
        <v>C3500 | DORADA SALVAJE (SBG) [FRESCO]</v>
      </c>
      <c r="E53" s="67" t="s">
        <v>365</v>
      </c>
      <c r="F53" s="1" t="n">
        <f aca="false">IF(AND(E53="S",C53="FRESCO"),COUNTIFS($E$3:E53,"S",$C$3:C53,"FRESCO"),"")</f>
        <v>40</v>
      </c>
      <c r="G53" s="1" t="str">
        <f aca="false">IF(AND(E53="S",C53&lt;&gt;"FRESCO"),COUNTIFS($E$3:E53,"S",$C$3:C53,"&lt;&gt;FRESCO"),"")</f>
        <v/>
      </c>
      <c r="H53" s="1" t="str">
        <f aca="false">IF(N53="","",IFERROR(SUMIFS(COMPRAS!$O$3:$O$4997,COMPRAS!$G$3:$G$4997,A53,COMPRAS!$B$3:$B$4997,N53)/SUMIFS(COMPRAS!$J$3:$J$4997,COMPRAS!$G$3:$G$4997,A53,COMPRAS!$B$3:$B$4997,N53),""))</f>
        <v/>
      </c>
      <c r="I53" s="1" t="str">
        <f aca="false">IF(X53&lt;&gt;"",X53,IF(H53="","",ROUND(H53+1.7,2)))</f>
        <v/>
      </c>
      <c r="J53" s="1" t="str">
        <f aca="false">IF(Y53&lt;&gt;"",Y53,IF(H53="","",ROUND(H53+1.9,2)))</f>
        <v/>
      </c>
      <c r="K53" s="67"/>
      <c r="L53" s="67" t="s">
        <v>381</v>
      </c>
      <c r="M53" s="64" t="str">
        <f aca="false">IF(COUNTIF(COMPRAS!$G$3:$G$4997,A53)=0,"",SUMPRODUCT(MAX((COMPRAS!$G$3:$G$4997=A53)*COMPRAS!$B$3:$B$4997)))</f>
        <v/>
      </c>
      <c r="N53" s="64" t="str">
        <f aca="false">M53</f>
        <v/>
      </c>
      <c r="O53" s="67" t="s">
        <v>994</v>
      </c>
      <c r="P53" s="67" t="s">
        <v>949</v>
      </c>
      <c r="Q53" s="67" t="s">
        <v>950</v>
      </c>
      <c r="R53" s="67" t="s">
        <v>951</v>
      </c>
      <c r="S53" s="67" t="s">
        <v>952</v>
      </c>
      <c r="T53" s="67"/>
      <c r="U53" s="67" t="s">
        <v>953</v>
      </c>
      <c r="V53" s="67" t="s">
        <v>954</v>
      </c>
      <c r="W53" s="67" t="s">
        <v>955</v>
      </c>
    </row>
    <row r="54" customFormat="false" ht="15" hidden="true" customHeight="true" outlineLevel="0" collapsed="false">
      <c r="A54" s="75" t="s">
        <v>149</v>
      </c>
      <c r="B54" s="168" t="s">
        <v>150</v>
      </c>
      <c r="C54" s="173" t="s">
        <v>947</v>
      </c>
      <c r="D54" s="104" t="str">
        <f aca="false">IF(A54&lt;&gt;"",A54&amp;" | "&amp;B54&amp;" ["&amp;C54&amp;"]","")</f>
        <v>C867 | ERIZO DE MAR (URM) [FRESCO]</v>
      </c>
      <c r="E54" s="67" t="s">
        <v>365</v>
      </c>
      <c r="F54" s="1" t="n">
        <f aca="false">IF(AND(E54="S",C54="FRESCO"),COUNTIFS($E$3:E54,"S",$C$3:C54,"FRESCO"),"")</f>
        <v>41</v>
      </c>
      <c r="G54" s="1" t="str">
        <f aca="false">IF(AND(E54="S",C54&lt;&gt;"FRESCO"),COUNTIFS($E$3:E54,"S",$C$3:C54,"&lt;&gt;FRESCO"),"")</f>
        <v/>
      </c>
      <c r="H54" s="1" t="str">
        <f aca="false">IF(N54="","",IFERROR(SUMIFS(COMPRAS!$O$3:$O$4997,COMPRAS!$G$3:$G$4997,A54,COMPRAS!$B$3:$B$4997,N54)/SUMIFS(COMPRAS!$J$3:$J$4997,COMPRAS!$G$3:$G$4997,A54,COMPRAS!$B$3:$B$4997,N54),""))</f>
        <v/>
      </c>
      <c r="I54" s="1" t="str">
        <f aca="false">IF(X54&lt;&gt;"",X54,IF(H54="","",ROUND(H54+1.7,2)))</f>
        <v/>
      </c>
      <c r="J54" s="1" t="str">
        <f aca="false">IF(Y54&lt;&gt;"",Y54,IF(H54="","",ROUND(H54+1.9,2)))</f>
        <v/>
      </c>
      <c r="K54" s="67"/>
      <c r="L54" s="67" t="s">
        <v>381</v>
      </c>
      <c r="M54" s="64" t="str">
        <f aca="false">IF(COUNTIF(COMPRAS!$G$3:$G$4997,A54)=0,"",SUMPRODUCT(MAX((COMPRAS!$G$3:$G$4997=A54)*COMPRAS!$B$3:$B$4997)))</f>
        <v/>
      </c>
      <c r="N54" s="64" t="str">
        <f aca="false">M54</f>
        <v/>
      </c>
      <c r="O54" s="67" t="s">
        <v>995</v>
      </c>
      <c r="P54" s="67" t="s">
        <v>949</v>
      </c>
      <c r="Q54" s="67" t="s">
        <v>950</v>
      </c>
      <c r="R54" s="67" t="s">
        <v>969</v>
      </c>
      <c r="S54" s="67" t="s">
        <v>952</v>
      </c>
      <c r="T54" s="67"/>
      <c r="U54" s="67" t="s">
        <v>953</v>
      </c>
      <c r="V54" s="67" t="s">
        <v>954</v>
      </c>
      <c r="W54" s="67" t="s">
        <v>955</v>
      </c>
    </row>
    <row r="55" customFormat="false" ht="15" hidden="true" customHeight="true" outlineLevel="0" collapsed="false">
      <c r="A55" s="75" t="s">
        <v>151</v>
      </c>
      <c r="B55" s="166" t="s">
        <v>152</v>
      </c>
      <c r="C55" s="173" t="s">
        <v>947</v>
      </c>
      <c r="D55" s="104" t="str">
        <f aca="false">IF(A55&lt;&gt;"",A55&amp;" | "&amp;B55&amp;" ["&amp;C55&amp;"]","")</f>
        <v>C2566 | ESCACHO/ ARETE/ RUBIO (GUR) [FRESCO]</v>
      </c>
      <c r="E55" s="67" t="s">
        <v>365</v>
      </c>
      <c r="F55" s="1" t="n">
        <f aca="false">IF(AND(E55="S",C55="FRESCO"),COUNTIFS($E$3:E55,"S",$C$3:C55,"FRESCO"),"")</f>
        <v>42</v>
      </c>
      <c r="G55" s="1" t="str">
        <f aca="false">IF(AND(E55="S",C55&lt;&gt;"FRESCO"),COUNTIFS($E$3:E55,"S",$C$3:C55,"&lt;&gt;FRESCO"),"")</f>
        <v/>
      </c>
      <c r="H55" s="1" t="n">
        <f aca="false">IF(N55="","",IFERROR(SUMIFS(COMPRAS!$O$3:$O$4997,COMPRAS!$G$3:$G$4997,A55,COMPRAS!$B$3:$B$4997,N55)/SUMIFS(COMPRAS!$J$3:$J$4997,COMPRAS!$G$3:$G$4997,A55,COMPRAS!$B$3:$B$4997,N55),""))</f>
        <v>1.53</v>
      </c>
      <c r="I55" s="1" t="n">
        <f aca="false">IF(X55&lt;&gt;"",X55,IF(H55="","",ROUND(H55+1.7,2)))</f>
        <v>3.23</v>
      </c>
      <c r="J55" s="1" t="n">
        <f aca="false">IF(Y55&lt;&gt;"",Y55,IF(H55="","",ROUND(H55+1.9,2)))</f>
        <v>3.43</v>
      </c>
      <c r="K55" s="67"/>
      <c r="L55" s="67" t="s">
        <v>381</v>
      </c>
      <c r="M55" s="64" t="n">
        <f aca="false">IF(COUNTIF(COMPRAS!$G$3:$G$4997,A55)=0,"",SUMPRODUCT(MAX((COMPRAS!$G$3:$G$4997=A55)*COMPRAS!$B$3:$B$4997)))</f>
        <v>46270</v>
      </c>
      <c r="N55" s="64" t="n">
        <f aca="false">M55</f>
        <v>46270</v>
      </c>
      <c r="O55" s="67" t="s">
        <v>996</v>
      </c>
      <c r="P55" s="67" t="s">
        <v>949</v>
      </c>
      <c r="Q55" s="67" t="s">
        <v>950</v>
      </c>
      <c r="R55" s="67" t="s">
        <v>959</v>
      </c>
      <c r="S55" s="67" t="s">
        <v>952</v>
      </c>
      <c r="T55" s="67"/>
      <c r="U55" s="67" t="s">
        <v>953</v>
      </c>
      <c r="V55" s="67" t="s">
        <v>954</v>
      </c>
      <c r="W55" s="67" t="s">
        <v>955</v>
      </c>
    </row>
    <row r="56" customFormat="false" ht="15" hidden="true" customHeight="true" outlineLevel="0" collapsed="false">
      <c r="A56" s="75" t="s">
        <v>153</v>
      </c>
      <c r="B56" s="168" t="s">
        <v>154</v>
      </c>
      <c r="C56" s="173" t="s">
        <v>947</v>
      </c>
      <c r="D56" s="104" t="str">
        <f aca="false">IF(A56&lt;&gt;"",A56&amp;" | "&amp;B56&amp;" ["&amp;C56&amp;"]","")</f>
        <v>C495 | ESCARPON/ DRAGON [FRESCO]</v>
      </c>
      <c r="E56" s="67" t="s">
        <v>365</v>
      </c>
      <c r="F56" s="1" t="n">
        <f aca="false">IF(AND(E56="S",C56="FRESCO"),COUNTIFS($E$3:E56,"S",$C$3:C56,"FRESCO"),"")</f>
        <v>43</v>
      </c>
      <c r="G56" s="1" t="str">
        <f aca="false">IF(AND(E56="S",C56&lt;&gt;"FRESCO"),COUNTIFS($E$3:E56,"S",$C$3:C56,"&lt;&gt;FRESCO"),"")</f>
        <v/>
      </c>
      <c r="H56" s="1" t="str">
        <f aca="false">IF(N56="","",IFERROR(SUMIFS(COMPRAS!$O$3:$O$4997,COMPRAS!$G$3:$G$4997,A56,COMPRAS!$B$3:$B$4997,N56)/SUMIFS(COMPRAS!$J$3:$J$4997,COMPRAS!$G$3:$G$4997,A56,COMPRAS!$B$3:$B$4997,N56),""))</f>
        <v/>
      </c>
      <c r="I56" s="1" t="str">
        <f aca="false">IF(X56&lt;&gt;"",X56,IF(H56="","",ROUND(H56+1.7,2)))</f>
        <v/>
      </c>
      <c r="J56" s="1" t="str">
        <f aca="false">IF(Y56&lt;&gt;"",Y56,IF(H56="","",ROUND(H56+1.9,2)))</f>
        <v/>
      </c>
      <c r="K56" s="67"/>
      <c r="L56" s="67" t="s">
        <v>381</v>
      </c>
      <c r="M56" s="64" t="str">
        <f aca="false">IF(COUNTIF(COMPRAS!$G$3:$G$4997,A56)=0,"",SUMPRODUCT(MAX((COMPRAS!$G$3:$G$4997=A56)*COMPRAS!$B$3:$B$4997)))</f>
        <v/>
      </c>
      <c r="N56" s="64" t="str">
        <f aca="false">M56</f>
        <v/>
      </c>
      <c r="O56" s="67" t="s">
        <v>997</v>
      </c>
      <c r="P56" s="67" t="s">
        <v>949</v>
      </c>
      <c r="Q56" s="67" t="s">
        <v>950</v>
      </c>
      <c r="R56" s="67" t="s">
        <v>959</v>
      </c>
      <c r="S56" s="67" t="s">
        <v>952</v>
      </c>
      <c r="T56" s="67"/>
      <c r="U56" s="67" t="s">
        <v>953</v>
      </c>
      <c r="V56" s="67" t="s">
        <v>954</v>
      </c>
      <c r="W56" s="67" t="s">
        <v>955</v>
      </c>
    </row>
    <row r="57" customFormat="false" ht="15" hidden="true" customHeight="true" outlineLevel="0" collapsed="false">
      <c r="A57" s="75" t="s">
        <v>155</v>
      </c>
      <c r="B57" s="166" t="s">
        <v>156</v>
      </c>
      <c r="C57" s="173" t="s">
        <v>947</v>
      </c>
      <c r="D57" s="104" t="str">
        <f aca="false">IF(A57&lt;&gt;"",A57&amp;" | "&amp;B57&amp;" ["&amp;C57&amp;"]","")</f>
        <v>C214 | FANECA (BIB) [FRESCO]</v>
      </c>
      <c r="E57" s="67" t="s">
        <v>365</v>
      </c>
      <c r="F57" s="1" t="n">
        <f aca="false">IF(AND(E57="S",C57="FRESCO"),COUNTIFS($E$3:E57,"S",$C$3:C57,"FRESCO"),"")</f>
        <v>44</v>
      </c>
      <c r="G57" s="1" t="str">
        <f aca="false">IF(AND(E57="S",C57&lt;&gt;"FRESCO"),COUNTIFS($E$3:E57,"S",$C$3:C57,"&lt;&gt;FRESCO"),"")</f>
        <v/>
      </c>
      <c r="H57" s="1" t="n">
        <f aca="false">IF(N57="","",IFERROR(SUMIFS(COMPRAS!$O$3:$O$4997,COMPRAS!$G$3:$G$4997,A57,COMPRAS!$B$3:$B$4997,N57)/SUMIFS(COMPRAS!$J$3:$J$4997,COMPRAS!$G$3:$G$4997,A57,COMPRAS!$B$3:$B$4997,N57),""))</f>
        <v>1.3205035971223</v>
      </c>
      <c r="I57" s="1" t="n">
        <f aca="false">IF(X57&lt;&gt;"",X57,IF(H57="","",ROUND(H57+1.7,2)))</f>
        <v>3.02</v>
      </c>
      <c r="J57" s="1" t="n">
        <f aca="false">IF(Y57&lt;&gt;"",Y57,IF(H57="","",ROUND(H57+1.9,2)))</f>
        <v>3.22</v>
      </c>
      <c r="K57" s="67"/>
      <c r="L57" s="67" t="s">
        <v>381</v>
      </c>
      <c r="M57" s="64" t="n">
        <f aca="false">IF(COUNTIF(COMPRAS!$G$3:$G$4997,A57)=0,"",SUMPRODUCT(MAX((COMPRAS!$G$3:$G$4997=A57)*COMPRAS!$B$3:$B$4997)))</f>
        <v>46247</v>
      </c>
      <c r="N57" s="64" t="n">
        <f aca="false">M57</f>
        <v>46247</v>
      </c>
      <c r="O57" s="67" t="s">
        <v>998</v>
      </c>
      <c r="P57" s="67" t="s">
        <v>949</v>
      </c>
      <c r="Q57" s="67" t="s">
        <v>950</v>
      </c>
      <c r="R57" s="67" t="s">
        <v>959</v>
      </c>
      <c r="S57" s="67" t="s">
        <v>952</v>
      </c>
      <c r="T57" s="67"/>
      <c r="U57" s="67" t="s">
        <v>953</v>
      </c>
      <c r="V57" s="67" t="s">
        <v>954</v>
      </c>
      <c r="W57" s="67" t="s">
        <v>955</v>
      </c>
    </row>
    <row r="58" customFormat="false" ht="15" hidden="true" customHeight="true" outlineLevel="0" collapsed="false">
      <c r="A58" s="75" t="s">
        <v>157</v>
      </c>
      <c r="B58" s="168" t="s">
        <v>158</v>
      </c>
      <c r="C58" s="173" t="s">
        <v>947</v>
      </c>
      <c r="D58" s="104" t="str">
        <f aca="false">IF(A58&lt;&gt;"",A58&amp;" | "&amp;B58&amp;" ["&amp;C58&amp;"]","")</f>
        <v>C420 | GALLANO/ REI (USI) [FRESCO]</v>
      </c>
      <c r="E58" s="67" t="s">
        <v>365</v>
      </c>
      <c r="F58" s="1" t="n">
        <f aca="false">IF(AND(E58="S",C58="FRESCO"),COUNTIFS($E$3:E58,"S",$C$3:C58,"FRESCO"),"")</f>
        <v>45</v>
      </c>
      <c r="G58" s="1" t="str">
        <f aca="false">IF(AND(E58="S",C58&lt;&gt;"FRESCO"),COUNTIFS($E$3:E58,"S",$C$3:C58,"&lt;&gt;FRESCO"),"")</f>
        <v/>
      </c>
      <c r="H58" s="1" t="str">
        <f aca="false">IF(N58="","",IFERROR(SUMIFS(COMPRAS!$O$3:$O$4997,COMPRAS!$G$3:$G$4997,A58,COMPRAS!$B$3:$B$4997,N58)/SUMIFS(COMPRAS!$J$3:$J$4997,COMPRAS!$G$3:$G$4997,A58,COMPRAS!$B$3:$B$4997,N58),""))</f>
        <v/>
      </c>
      <c r="I58" s="1" t="str">
        <f aca="false">IF(X58&lt;&gt;"",X58,IF(H58="","",ROUND(H58+1.7,2)))</f>
        <v/>
      </c>
      <c r="J58" s="1" t="str">
        <f aca="false">IF(Y58&lt;&gt;"",Y58,IF(H58="","",ROUND(H58+1.9,2)))</f>
        <v/>
      </c>
      <c r="K58" s="67"/>
      <c r="L58" s="67" t="s">
        <v>381</v>
      </c>
      <c r="M58" s="64" t="str">
        <f aca="false">IF(COUNTIF(COMPRAS!$G$3:$G$4997,A58)=0,"",SUMPRODUCT(MAX((COMPRAS!$G$3:$G$4997=A58)*COMPRAS!$B$3:$B$4997)))</f>
        <v/>
      </c>
      <c r="N58" s="64" t="str">
        <f aca="false">M58</f>
        <v/>
      </c>
      <c r="O58" s="67" t="s">
        <v>999</v>
      </c>
      <c r="P58" s="67"/>
      <c r="Q58" s="67"/>
      <c r="R58" s="67" t="s">
        <v>959</v>
      </c>
      <c r="S58" s="67" t="s">
        <v>952</v>
      </c>
      <c r="T58" s="67"/>
      <c r="U58" s="67" t="s">
        <v>953</v>
      </c>
      <c r="V58" s="67" t="s">
        <v>954</v>
      </c>
      <c r="W58" s="67" t="s">
        <v>955</v>
      </c>
    </row>
    <row r="59" customFormat="false" ht="15" hidden="true" customHeight="true" outlineLevel="0" collapsed="false">
      <c r="A59" s="75" t="s">
        <v>159</v>
      </c>
      <c r="B59" s="166" t="s">
        <v>160</v>
      </c>
      <c r="C59" s="173" t="s">
        <v>980</v>
      </c>
      <c r="D59" s="104" t="str">
        <f aca="false">IF(A59&lt;&gt;"",A59&amp;" | "&amp;B59&amp;" ["&amp;C59&amp;"]","")</f>
        <v>C269 | GALLINETA NORTE OCEANICA (FILETES) [ELABORADO]</v>
      </c>
      <c r="E59" s="67" t="s">
        <v>365</v>
      </c>
      <c r="F59" s="1" t="str">
        <f aca="false">IF(AND(E59="S",C59="FRESCO"),COUNTIFS($E$3:E59,"S",$C$3:C59,"FRESCO"),"")</f>
        <v/>
      </c>
      <c r="G59" s="1" t="n">
        <f aca="false">IF(AND(E59="S",C59&lt;&gt;"FRESCO"),COUNTIFS($E$3:E59,"S",$C$3:C59,"&lt;&gt;FRESCO"),"")</f>
        <v>3</v>
      </c>
      <c r="H59" s="1" t="str">
        <f aca="false">IF(N59="","",IFERROR(SUMIFS(COMPRAS!$O$3:$O$4997,COMPRAS!$G$3:$G$4997,A59,COMPRAS!$B$3:$B$4997,N59)/SUMIFS(COMPRAS!$J$3:$J$4997,COMPRAS!$G$3:$G$4997,A59,COMPRAS!$B$3:$B$4997,N59),""))</f>
        <v/>
      </c>
      <c r="I59" s="1" t="str">
        <f aca="false">IF(X59&lt;&gt;"",X59,IF(H59="","",ROUND(H59+1.7,2)))</f>
        <v/>
      </c>
      <c r="J59" s="1" t="str">
        <f aca="false">IF(Y59&lt;&gt;"",Y59,IF(H59="","",ROUND(H59+1.9,2)))</f>
        <v/>
      </c>
      <c r="K59" s="67"/>
      <c r="L59" s="67" t="s">
        <v>381</v>
      </c>
      <c r="M59" s="64" t="str">
        <f aca="false">IF(COUNTIF(COMPRAS!$G$3:$G$4997,A59)=0,"",SUMPRODUCT(MAX((COMPRAS!$G$3:$G$4997=A59)*COMPRAS!$B$3:$B$4997)))</f>
        <v/>
      </c>
      <c r="N59" s="64" t="str">
        <f aca="false">M59</f>
        <v/>
      </c>
      <c r="O59" s="67" t="s">
        <v>1000</v>
      </c>
      <c r="P59" s="67"/>
      <c r="Q59" s="67"/>
      <c r="R59" s="67" t="s">
        <v>959</v>
      </c>
      <c r="S59" s="67" t="s">
        <v>952</v>
      </c>
      <c r="T59" s="67"/>
      <c r="U59" s="67" t="s">
        <v>953</v>
      </c>
      <c r="V59" s="67" t="s">
        <v>954</v>
      </c>
      <c r="W59" s="67" t="s">
        <v>955</v>
      </c>
    </row>
    <row r="60" customFormat="false" ht="15" hidden="true" customHeight="true" outlineLevel="0" collapsed="false">
      <c r="A60" s="75" t="s">
        <v>161</v>
      </c>
      <c r="B60" s="168" t="s">
        <v>1001</v>
      </c>
      <c r="C60" s="173" t="s">
        <v>947</v>
      </c>
      <c r="D60" s="104" t="str">
        <f aca="false">IF(A60&lt;&gt;"",A60&amp;" | "&amp;B60&amp;" ["&amp;C60&amp;"]","")</f>
        <v>C270 | GALLO  [FRESCO]</v>
      </c>
      <c r="E60" s="67" t="s">
        <v>365</v>
      </c>
      <c r="F60" s="1" t="n">
        <f aca="false">IF(AND(E60="S",C60="FRESCO"),COUNTIFS($E$3:E60,"S",$C$3:C60,"FRESCO"),"")</f>
        <v>46</v>
      </c>
      <c r="G60" s="1" t="str">
        <f aca="false">IF(AND(E60="S",C60&lt;&gt;"FRESCO"),COUNTIFS($E$3:E60,"S",$C$3:C60,"&lt;&gt;FRESCO"),"")</f>
        <v/>
      </c>
      <c r="H60" s="1" t="n">
        <f aca="false">IF(N60="","",IFERROR(SUMIFS(COMPRAS!$O$3:$O$4997,COMPRAS!$G$3:$G$4997,A60,COMPRAS!$B$3:$B$4997,N60)/SUMIFS(COMPRAS!$J$3:$J$4997,COMPRAS!$G$3:$G$4997,A60,COMPRAS!$B$3:$B$4997,N60),""))</f>
        <v>6.09243243243243</v>
      </c>
      <c r="I60" s="1" t="n">
        <f aca="false">IF(X60&lt;&gt;"",X60,IF(H60="","",ROUND(H60+1.7,2)))</f>
        <v>7.79</v>
      </c>
      <c r="J60" s="1" t="n">
        <f aca="false">IF(Y60&lt;&gt;"",Y60,IF(H60="","",ROUND(H60+1.9,2)))</f>
        <v>7.99</v>
      </c>
      <c r="K60" s="67"/>
      <c r="L60" s="67" t="s">
        <v>381</v>
      </c>
      <c r="M60" s="64" t="n">
        <f aca="false">IF(COUNTIF(COMPRAS!$G$3:$G$4997,A60)=0,"",SUMPRODUCT(MAX((COMPRAS!$G$3:$G$4997=A60)*COMPRAS!$B$3:$B$4997)))</f>
        <v>46275</v>
      </c>
      <c r="N60" s="64" t="n">
        <f aca="false">M60</f>
        <v>46275</v>
      </c>
      <c r="O60" s="67" t="s">
        <v>1002</v>
      </c>
      <c r="P60" s="67"/>
      <c r="Q60" s="67"/>
      <c r="R60" s="67" t="s">
        <v>959</v>
      </c>
      <c r="S60" s="67" t="s">
        <v>952</v>
      </c>
      <c r="T60" s="67"/>
      <c r="U60" s="67" t="s">
        <v>953</v>
      </c>
      <c r="V60" s="67" t="s">
        <v>954</v>
      </c>
      <c r="W60" s="67" t="s">
        <v>955</v>
      </c>
    </row>
    <row r="61" customFormat="false" ht="15" hidden="true" customHeight="true" outlineLevel="0" collapsed="false">
      <c r="A61" s="75" t="s">
        <v>163</v>
      </c>
      <c r="B61" s="166" t="s">
        <v>164</v>
      </c>
      <c r="C61" s="173" t="s">
        <v>947</v>
      </c>
      <c r="D61" s="104" t="str">
        <f aca="false">IF(A61&lt;&gt;"",A61&amp;" | "&amp;B61&amp;" ["&amp;C61&amp;"]","")</f>
        <v>C271 | GALLO RIA/ RAPANTE/ MEIGA (MEG) [FRESCO]</v>
      </c>
      <c r="E61" s="67" t="s">
        <v>365</v>
      </c>
      <c r="F61" s="1" t="n">
        <f aca="false">IF(AND(E61="S",C61="FRESCO"),COUNTIFS($E$3:E61,"S",$C$3:C61,"FRESCO"),"")</f>
        <v>47</v>
      </c>
      <c r="G61" s="1" t="str">
        <f aca="false">IF(AND(E61="S",C61&lt;&gt;"FRESCO"),COUNTIFS($E$3:E61,"S",$C$3:C61,"&lt;&gt;FRESCO"),"")</f>
        <v/>
      </c>
      <c r="H61" s="1" t="str">
        <f aca="false">IF(N61="","",IFERROR(SUMIFS(COMPRAS!$O$3:$O$4997,COMPRAS!$G$3:$G$4997,A61,COMPRAS!$B$3:$B$4997,N61)/SUMIFS(COMPRAS!$J$3:$J$4997,COMPRAS!$G$3:$G$4997,A61,COMPRAS!$B$3:$B$4997,N61),""))</f>
        <v/>
      </c>
      <c r="I61" s="1" t="str">
        <f aca="false">IF(X61&lt;&gt;"",X61,IF(H61="","",ROUND(H61+1.7,2)))</f>
        <v/>
      </c>
      <c r="J61" s="1" t="str">
        <f aca="false">IF(Y61&lt;&gt;"",Y61,IF(H61="","",ROUND(H61+1.9,2)))</f>
        <v/>
      </c>
      <c r="K61" s="67"/>
      <c r="L61" s="67" t="s">
        <v>381</v>
      </c>
      <c r="M61" s="64" t="str">
        <f aca="false">IF(COUNTIF(COMPRAS!$G$3:$G$4997,A61)=0,"",SUMPRODUCT(MAX((COMPRAS!$G$3:$G$4997=A61)*COMPRAS!$B$3:$B$4997)))</f>
        <v/>
      </c>
      <c r="N61" s="64" t="str">
        <f aca="false">M61</f>
        <v/>
      </c>
      <c r="O61" s="67" t="s">
        <v>1002</v>
      </c>
      <c r="P61" s="67"/>
      <c r="Q61" s="67"/>
      <c r="R61" s="67" t="s">
        <v>959</v>
      </c>
      <c r="S61" s="67" t="s">
        <v>952</v>
      </c>
      <c r="T61" s="67"/>
      <c r="U61" s="67" t="s">
        <v>953</v>
      </c>
      <c r="V61" s="67" t="s">
        <v>954</v>
      </c>
      <c r="W61" s="67" t="s">
        <v>955</v>
      </c>
    </row>
    <row r="62" customFormat="false" ht="15" hidden="true" customHeight="true" outlineLevel="0" collapsed="false">
      <c r="A62" s="75" t="s">
        <v>165</v>
      </c>
      <c r="B62" s="168" t="s">
        <v>166</v>
      </c>
      <c r="C62" s="173" t="s">
        <v>947</v>
      </c>
      <c r="D62" s="104" t="str">
        <f aca="false">IF(A62&lt;&gt;"",A62&amp;" | "&amp;B62&amp;" ["&amp;C62&amp;"]","")</f>
        <v>C5310 | GATA/ GALLUDO (QUB) [FRESCO]</v>
      </c>
      <c r="E62" s="67" t="s">
        <v>365</v>
      </c>
      <c r="F62" s="1" t="n">
        <f aca="false">IF(AND(E62="S",C62="FRESCO"),COUNTIFS($E$3:E62,"S",$C$3:C62,"FRESCO"),"")</f>
        <v>48</v>
      </c>
      <c r="G62" s="1" t="str">
        <f aca="false">IF(AND(E62="S",C62&lt;&gt;"FRESCO"),COUNTIFS($E$3:E62,"S",$C$3:C62,"&lt;&gt;FRESCO"),"")</f>
        <v/>
      </c>
      <c r="H62" s="1" t="str">
        <f aca="false">IF(N62="","",IFERROR(SUMIFS(COMPRAS!$O$3:$O$4997,COMPRAS!$G$3:$G$4997,A62,COMPRAS!$B$3:$B$4997,N62)/SUMIFS(COMPRAS!$J$3:$J$4997,COMPRAS!$G$3:$G$4997,A62,COMPRAS!$B$3:$B$4997,N62),""))</f>
        <v/>
      </c>
      <c r="I62" s="1" t="str">
        <f aca="false">IF(X62&lt;&gt;"",X62,IF(H62="","",ROUND(H62+1.7,2)))</f>
        <v/>
      </c>
      <c r="J62" s="1" t="str">
        <f aca="false">IF(Y62&lt;&gt;"",Y62,IF(H62="","",ROUND(H62+1.9,2)))</f>
        <v/>
      </c>
      <c r="K62" s="67"/>
      <c r="L62" s="67" t="s">
        <v>381</v>
      </c>
      <c r="M62" s="64" t="str">
        <f aca="false">IF(COUNTIF(COMPRAS!$G$3:$G$4997,A62)=0,"",SUMPRODUCT(MAX((COMPRAS!$G$3:$G$4997=A62)*COMPRAS!$B$3:$B$4997)))</f>
        <v/>
      </c>
      <c r="N62" s="64" t="str">
        <f aca="false">M62</f>
        <v/>
      </c>
      <c r="O62" s="67" t="s">
        <v>1003</v>
      </c>
      <c r="P62" s="67" t="s">
        <v>949</v>
      </c>
      <c r="Q62" s="67" t="s">
        <v>950</v>
      </c>
      <c r="R62" s="67" t="s">
        <v>959</v>
      </c>
      <c r="S62" s="67" t="s">
        <v>952</v>
      </c>
      <c r="T62" s="67"/>
      <c r="U62" s="67" t="s">
        <v>953</v>
      </c>
      <c r="V62" s="67" t="s">
        <v>954</v>
      </c>
      <c r="W62" s="67" t="s">
        <v>955</v>
      </c>
    </row>
    <row r="63" customFormat="false" ht="15" hidden="true" customHeight="true" outlineLevel="0" collapsed="false">
      <c r="A63" s="75" t="s">
        <v>167</v>
      </c>
      <c r="B63" s="166" t="s">
        <v>1004</v>
      </c>
      <c r="C63" s="173" t="s">
        <v>947</v>
      </c>
      <c r="D63" s="104" t="str">
        <f aca="false">IF(A63&lt;&gt;"",A63&amp;" | "&amp;B63&amp;" ["&amp;C63&amp;"]","")</f>
        <v>C116 | HUEVAS DE MERLUZA  [FRESCO]</v>
      </c>
      <c r="E63" s="67" t="s">
        <v>365</v>
      </c>
      <c r="F63" s="1" t="n">
        <f aca="false">IF(AND(E63="S",C63="FRESCO"),COUNTIFS($E$3:E63,"S",$C$3:C63,"FRESCO"),"")</f>
        <v>49</v>
      </c>
      <c r="G63" s="1" t="str">
        <f aca="false">IF(AND(E63="S",C63&lt;&gt;"FRESCO"),COUNTIFS($E$3:E63,"S",$C$3:C63,"&lt;&gt;FRESCO"),"")</f>
        <v/>
      </c>
      <c r="H63" s="1" t="n">
        <f aca="false">IF(N63="","",IFERROR(SUMIFS(COMPRAS!$O$3:$O$4997,COMPRAS!$G$3:$G$4997,A63,COMPRAS!$B$3:$B$4997,N63)/SUMIFS(COMPRAS!$J$3:$J$4997,COMPRAS!$G$3:$G$4997,A63,COMPRAS!$B$3:$B$4997,N63),""))</f>
        <v>13.872</v>
      </c>
      <c r="I63" s="1" t="n">
        <f aca="false">IF(X63&lt;&gt;"",X63,IF(H63="","",ROUND(H63+1.7,2)))</f>
        <v>15.57</v>
      </c>
      <c r="J63" s="1" t="n">
        <f aca="false">IF(Y63&lt;&gt;"",Y63,IF(H63="","",ROUND(H63+1.9,2)))</f>
        <v>15.77</v>
      </c>
      <c r="K63" s="67"/>
      <c r="L63" s="67" t="s">
        <v>381</v>
      </c>
      <c r="M63" s="64" t="n">
        <f aca="false">IF(COUNTIF(COMPRAS!$G$3:$G$4997,A63)=0,"",SUMPRODUCT(MAX((COMPRAS!$G$3:$G$4997=A63)*COMPRAS!$B$3:$B$4997)))</f>
        <v>46219</v>
      </c>
      <c r="N63" s="64" t="n">
        <f aca="false">M63</f>
        <v>46219</v>
      </c>
      <c r="O63" s="67" t="s">
        <v>1005</v>
      </c>
      <c r="P63" s="67" t="s">
        <v>949</v>
      </c>
      <c r="Q63" s="67" t="s">
        <v>950</v>
      </c>
      <c r="R63" s="67" t="s">
        <v>959</v>
      </c>
      <c r="S63" s="67" t="s">
        <v>952</v>
      </c>
      <c r="T63" s="67"/>
      <c r="U63" s="67" t="s">
        <v>953</v>
      </c>
      <c r="V63" s="67" t="s">
        <v>954</v>
      </c>
      <c r="W63" s="67" t="s">
        <v>955</v>
      </c>
    </row>
    <row r="64" customFormat="false" ht="15" hidden="true" customHeight="true" outlineLevel="0" collapsed="false">
      <c r="A64" s="75" t="s">
        <v>169</v>
      </c>
      <c r="B64" s="168" t="s">
        <v>170</v>
      </c>
      <c r="C64" s="173" t="s">
        <v>947</v>
      </c>
      <c r="D64" s="104" t="str">
        <f aca="false">IF(A64&lt;&gt;"",A64&amp;" | "&amp;B64&amp;" ["&amp;C64&amp;"]","")</f>
        <v>C3968 | JURELA BLANCA (HMY) [FRESCO]</v>
      </c>
      <c r="E64" s="67" t="s">
        <v>365</v>
      </c>
      <c r="F64" s="1" t="n">
        <f aca="false">IF(AND(E64="S",C64="FRESCO"),COUNTIFS($E$3:E64,"S",$C$3:C64,"FRESCO"),"")</f>
        <v>50</v>
      </c>
      <c r="G64" s="1" t="str">
        <f aca="false">IF(AND(E64="S",C64&lt;&gt;"FRESCO"),COUNTIFS($E$3:E64,"S",$C$3:C64,"&lt;&gt;FRESCO"),"")</f>
        <v/>
      </c>
      <c r="H64" s="1" t="n">
        <f aca="false">IF(N64="","",IFERROR(SUMIFS(COMPRAS!$O$3:$O$4997,COMPRAS!$G$3:$G$4997,A64,COMPRAS!$B$3:$B$4997,N64)/SUMIFS(COMPRAS!$J$3:$J$4997,COMPRAS!$G$3:$G$4997,A64,COMPRAS!$B$3:$B$4997,N64),""))</f>
        <v>7.854</v>
      </c>
      <c r="I64" s="1" t="n">
        <f aca="false">IF(X64&lt;&gt;"",X64,IF(H64="","",ROUND(H64+1.7,2)))</f>
        <v>9.55</v>
      </c>
      <c r="J64" s="1" t="n">
        <f aca="false">IF(Y64&lt;&gt;"",Y64,IF(H64="","",ROUND(H64+1.9,2)))</f>
        <v>9.75</v>
      </c>
      <c r="K64" s="67"/>
      <c r="L64" s="67" t="s">
        <v>381</v>
      </c>
      <c r="M64" s="64" t="n">
        <f aca="false">IF(COUNTIF(COMPRAS!$G$3:$G$4997,A64)=0,"",SUMPRODUCT(MAX((COMPRAS!$G$3:$G$4997=A64)*COMPRAS!$B$3:$B$4997)))</f>
        <v>46206</v>
      </c>
      <c r="N64" s="64" t="n">
        <f aca="false">M64</f>
        <v>46206</v>
      </c>
      <c r="O64" s="67" t="s">
        <v>1006</v>
      </c>
      <c r="P64" s="67" t="s">
        <v>949</v>
      </c>
      <c r="Q64" s="67" t="s">
        <v>950</v>
      </c>
      <c r="R64" s="67" t="s">
        <v>959</v>
      </c>
      <c r="S64" s="67" t="s">
        <v>952</v>
      </c>
      <c r="T64" s="67"/>
      <c r="U64" s="67" t="s">
        <v>953</v>
      </c>
      <c r="V64" s="67" t="s">
        <v>954</v>
      </c>
      <c r="W64" s="67" t="s">
        <v>955</v>
      </c>
    </row>
    <row r="65" customFormat="false" ht="15" hidden="true" customHeight="true" outlineLevel="0" collapsed="false">
      <c r="A65" s="75" t="s">
        <v>171</v>
      </c>
      <c r="B65" s="166" t="s">
        <v>172</v>
      </c>
      <c r="C65" s="173" t="s">
        <v>980</v>
      </c>
      <c r="D65" s="104" t="str">
        <f aca="false">IF(A65&lt;&gt;"",A65&amp;" | "&amp;B65&amp;" ["&amp;C65&amp;"]","")</f>
        <v>C740 | CALAMAR CALIFORNIA [ELABORADO]</v>
      </c>
      <c r="E65" s="67" t="s">
        <v>365</v>
      </c>
      <c r="F65" s="1" t="str">
        <f aca="false">IF(AND(E65="S",C65="FRESCO"),COUNTIFS($E$3:E65,"S",$C$3:C65,"FRESCO"),"")</f>
        <v/>
      </c>
      <c r="G65" s="1" t="n">
        <f aca="false">IF(AND(E65="S",C65&lt;&gt;"FRESCO"),COUNTIFS($E$3:E65,"S",$C$3:C65,"&lt;&gt;FRESCO"),"")</f>
        <v>4</v>
      </c>
      <c r="H65" s="1" t="str">
        <f aca="false">IF(N65="","",IFERROR(SUMIFS(COMPRAS!$O$3:$O$4997,COMPRAS!$G$3:$G$4997,A65,COMPRAS!$B$3:$B$4997,N65)/SUMIFS(COMPRAS!$J$3:$J$4997,COMPRAS!$G$3:$G$4997,A65,COMPRAS!$B$3:$B$4997,N65),""))</f>
        <v/>
      </c>
      <c r="I65" s="1" t="str">
        <f aca="false">IF(X65&lt;&gt;"",X65,IF(H65="","",ROUND(H65+1.7,2)))</f>
        <v/>
      </c>
      <c r="J65" s="1" t="str">
        <f aca="false">IF(Y65&lt;&gt;"",Y65,IF(H65="","",ROUND(H65+1.9,2)))</f>
        <v/>
      </c>
      <c r="K65" s="67"/>
      <c r="L65" s="67" t="s">
        <v>381</v>
      </c>
      <c r="M65" s="64" t="str">
        <f aca="false">IF(COUNTIF(COMPRAS!$G$3:$G$4997,A65)=0,"",SUMPRODUCT(MAX((COMPRAS!$G$3:$G$4997=A65)*COMPRAS!$B$3:$B$4997)))</f>
        <v/>
      </c>
      <c r="N65" s="64" t="str">
        <f aca="false">M65</f>
        <v/>
      </c>
      <c r="O65" s="67" t="s">
        <v>1007</v>
      </c>
      <c r="P65" s="67"/>
      <c r="Q65" s="67"/>
      <c r="R65" s="67" t="s">
        <v>959</v>
      </c>
      <c r="S65" s="67" t="s">
        <v>952</v>
      </c>
      <c r="T65" s="67"/>
      <c r="U65" s="67" t="s">
        <v>953</v>
      </c>
      <c r="V65" s="67" t="s">
        <v>954</v>
      </c>
      <c r="W65" s="67" t="s">
        <v>955</v>
      </c>
    </row>
    <row r="66" customFormat="false" ht="15" hidden="true" customHeight="true" outlineLevel="0" collapsed="false">
      <c r="A66" s="75" t="s">
        <v>173</v>
      </c>
      <c r="B66" s="168" t="s">
        <v>174</v>
      </c>
      <c r="C66" s="173" t="s">
        <v>947</v>
      </c>
      <c r="D66" s="104" t="str">
        <f aca="false">IF(A66&lt;&gt;"",A66&amp;" | "&amp;B66&amp;" ["&amp;C66&amp;"]","")</f>
        <v>C7582 | PANPANO/ RUFO IMPERIO [FRESCO]</v>
      </c>
      <c r="E66" s="67" t="s">
        <v>365</v>
      </c>
      <c r="F66" s="1" t="n">
        <f aca="false">IF(AND(E66="S",C66="FRESCO"),COUNTIFS($E$3:E66,"S",$C$3:C66,"FRESCO"),"")</f>
        <v>51</v>
      </c>
      <c r="G66" s="1" t="str">
        <f aca="false">IF(AND(E66="S",C66&lt;&gt;"FRESCO"),COUNTIFS($E$3:E66,"S",$C$3:C66,"&lt;&gt;FRESCO"),"")</f>
        <v/>
      </c>
      <c r="H66" s="1" t="str">
        <f aca="false">IF(N66="","",IFERROR(SUMIFS(COMPRAS!$O$3:$O$4997,COMPRAS!$G$3:$G$4997,A66,COMPRAS!$B$3:$B$4997,N66)/SUMIFS(COMPRAS!$J$3:$J$4997,COMPRAS!$G$3:$G$4997,A66,COMPRAS!$B$3:$B$4997,N66),""))</f>
        <v/>
      </c>
      <c r="I66" s="1" t="str">
        <f aca="false">IF(X66&lt;&gt;"",X66,IF(H66="","",ROUND(H66+1.7,2)))</f>
        <v/>
      </c>
      <c r="J66" s="1" t="str">
        <f aca="false">IF(Y66&lt;&gt;"",Y66,IF(H66="","",ROUND(H66+1.9,2)))</f>
        <v/>
      </c>
      <c r="K66" s="67"/>
      <c r="L66" s="67" t="s">
        <v>381</v>
      </c>
      <c r="M66" s="64" t="str">
        <f aca="false">IF(COUNTIF(COMPRAS!$G$3:$G$4997,A66)=0,"",SUMPRODUCT(MAX((COMPRAS!$G$3:$G$4997=A66)*COMPRAS!$B$3:$B$4997)))</f>
        <v/>
      </c>
      <c r="N66" s="64" t="str">
        <f aca="false">M66</f>
        <v/>
      </c>
      <c r="O66" s="67" t="s">
        <v>1008</v>
      </c>
      <c r="P66" s="67"/>
      <c r="Q66" s="67"/>
      <c r="R66" s="67" t="s">
        <v>951</v>
      </c>
      <c r="S66" s="67" t="s">
        <v>952</v>
      </c>
      <c r="T66" s="67"/>
      <c r="U66" s="67" t="s">
        <v>953</v>
      </c>
      <c r="V66" s="67" t="s">
        <v>954</v>
      </c>
      <c r="W66" s="67" t="s">
        <v>955</v>
      </c>
    </row>
    <row r="67" customFormat="false" ht="15" hidden="true" customHeight="true" outlineLevel="0" collapsed="false">
      <c r="A67" s="75" t="s">
        <v>175</v>
      </c>
      <c r="B67" s="166" t="s">
        <v>176</v>
      </c>
      <c r="C67" s="173" t="s">
        <v>947</v>
      </c>
      <c r="D67" s="104" t="str">
        <f aca="false">IF(A67&lt;&gt;"",A67&amp;" | "&amp;B67&amp;" ["&amp;C67&amp;"]","")</f>
        <v>C998 | JURELO MEDITERRANEO [FRESCO]</v>
      </c>
      <c r="E67" s="67" t="s">
        <v>365</v>
      </c>
      <c r="F67" s="1" t="n">
        <f aca="false">IF(AND(E67="S",C67="FRESCO"),COUNTIFS($E$3:E67,"S",$C$3:C67,"FRESCO"),"")</f>
        <v>52</v>
      </c>
      <c r="G67" s="1" t="str">
        <f aca="false">IF(AND(E67="S",C67&lt;&gt;"FRESCO"),COUNTIFS($E$3:E67,"S",$C$3:C67,"&lt;&gt;FRESCO"),"")</f>
        <v/>
      </c>
      <c r="H67" s="1" t="n">
        <f aca="false">IF(N67="","",IFERROR(SUMIFS(COMPRAS!$O$3:$O$4997,COMPRAS!$G$3:$G$4997,A67,COMPRAS!$B$3:$B$4997,N67)/SUMIFS(COMPRAS!$J$3:$J$4997,COMPRAS!$G$3:$G$4997,A67,COMPRAS!$B$3:$B$4997,N67),""))</f>
        <v>4.48908510638298</v>
      </c>
      <c r="I67" s="1" t="n">
        <f aca="false">IF(X67&lt;&gt;"",X67,IF(H67="","",ROUND(H67+1.7,2)))</f>
        <v>6.19</v>
      </c>
      <c r="J67" s="1" t="n">
        <f aca="false">IF(Y67&lt;&gt;"",Y67,IF(H67="","",ROUND(H67+1.9,2)))</f>
        <v>6.39</v>
      </c>
      <c r="K67" s="67"/>
      <c r="L67" s="67" t="s">
        <v>381</v>
      </c>
      <c r="M67" s="64" t="n">
        <f aca="false">IF(COUNTIF(COMPRAS!$G$3:$G$4997,A67)=0,"",SUMPRODUCT(MAX((COMPRAS!$G$3:$G$4997=A67)*COMPRAS!$B$3:$B$4997)))</f>
        <v>46219</v>
      </c>
      <c r="N67" s="64" t="n">
        <f aca="false">M67</f>
        <v>46219</v>
      </c>
      <c r="O67" s="67" t="s">
        <v>1009</v>
      </c>
      <c r="P67" s="67" t="s">
        <v>949</v>
      </c>
      <c r="Q67" s="67" t="s">
        <v>950</v>
      </c>
      <c r="R67" s="67" t="s">
        <v>959</v>
      </c>
      <c r="S67" s="67" t="s">
        <v>952</v>
      </c>
      <c r="T67" s="67"/>
      <c r="U67" s="67" t="s">
        <v>953</v>
      </c>
      <c r="V67" s="67" t="s">
        <v>954</v>
      </c>
      <c r="W67" s="67" t="s">
        <v>955</v>
      </c>
    </row>
    <row r="68" customFormat="false" ht="15" hidden="true" customHeight="true" outlineLevel="0" collapsed="false">
      <c r="A68" s="75" t="s">
        <v>177</v>
      </c>
      <c r="B68" s="168" t="s">
        <v>178</v>
      </c>
      <c r="C68" s="173" t="s">
        <v>947</v>
      </c>
      <c r="D68" s="104" t="str">
        <f aca="false">IF(A68&lt;&gt;"",A68&amp;" | "&amp;B68&amp;" ["&amp;C68&amp;"]","")</f>
        <v>C640 | LENGUADO RIA (SOL) [FRESCO]</v>
      </c>
      <c r="E68" s="67" t="s">
        <v>365</v>
      </c>
      <c r="F68" s="1" t="n">
        <f aca="false">IF(AND(E68="S",C68="FRESCO"),COUNTIFS($E$3:E68,"S",$C$3:C68,"FRESCO"),"")</f>
        <v>53</v>
      </c>
      <c r="G68" s="1" t="str">
        <f aca="false">IF(AND(E68="S",C68&lt;&gt;"FRESCO"),COUNTIFS($E$3:E68,"S",$C$3:C68,"&lt;&gt;FRESCO"),"")</f>
        <v/>
      </c>
      <c r="H68" s="1" t="n">
        <f aca="false">IF(N68="","",IFERROR(SUMIFS(COMPRAS!$O$3:$O$4997,COMPRAS!$G$3:$G$4997,A68,COMPRAS!$B$3:$B$4997,N68)/SUMIFS(COMPRAS!$J$3:$J$4997,COMPRAS!$G$3:$G$4997,A68,COMPRAS!$B$3:$B$4997,N68),""))</f>
        <v>27.3375338345865</v>
      </c>
      <c r="I68" s="1" t="n">
        <f aca="false">IF(X68&lt;&gt;"",X68,IF(H68="","",ROUND(H68+1.7,2)))</f>
        <v>29.04</v>
      </c>
      <c r="J68" s="1" t="n">
        <f aca="false">IF(Y68&lt;&gt;"",Y68,IF(H68="","",ROUND(H68+1.9,2)))</f>
        <v>29.24</v>
      </c>
      <c r="K68" s="67"/>
      <c r="L68" s="67" t="s">
        <v>381</v>
      </c>
      <c r="M68" s="64" t="n">
        <f aca="false">IF(COUNTIF(COMPRAS!$G$3:$G$4997,A68)=0,"",SUMPRODUCT(MAX((COMPRAS!$G$3:$G$4997=A68)*COMPRAS!$B$3:$B$4997)))</f>
        <v>46192</v>
      </c>
      <c r="N68" s="64" t="n">
        <f aca="false">M68</f>
        <v>46192</v>
      </c>
      <c r="O68" s="67" t="s">
        <v>1010</v>
      </c>
      <c r="P68" s="67" t="s">
        <v>949</v>
      </c>
      <c r="Q68" s="67" t="s">
        <v>950</v>
      </c>
      <c r="R68" s="67" t="s">
        <v>959</v>
      </c>
      <c r="S68" s="67" t="s">
        <v>952</v>
      </c>
      <c r="T68" s="67"/>
      <c r="U68" s="67" t="s">
        <v>953</v>
      </c>
      <c r="V68" s="67" t="s">
        <v>954</v>
      </c>
      <c r="W68" s="67" t="s">
        <v>955</v>
      </c>
    </row>
    <row r="69" customFormat="false" ht="15" hidden="true" customHeight="true" outlineLevel="0" collapsed="false">
      <c r="A69" s="75" t="s">
        <v>179</v>
      </c>
      <c r="B69" s="166" t="s">
        <v>180</v>
      </c>
      <c r="C69" s="173" t="s">
        <v>947</v>
      </c>
      <c r="D69" s="104" t="str">
        <f aca="false">IF(A69&lt;&gt;"",A69&amp;" | "&amp;B69&amp;" ["&amp;C69&amp;"]","")</f>
        <v>C221 | LIRIO/ BACALADILLA/ PERLA (WHB) [FRESCO]</v>
      </c>
      <c r="E69" s="67" t="s">
        <v>365</v>
      </c>
      <c r="F69" s="1" t="n">
        <f aca="false">IF(AND(E69="S",C69="FRESCO"),COUNTIFS($E$3:E69,"S",$C$3:C69,"FRESCO"),"")</f>
        <v>54</v>
      </c>
      <c r="G69" s="1" t="str">
        <f aca="false">IF(AND(E69="S",C69&lt;&gt;"FRESCO"),COUNTIFS($E$3:E69,"S",$C$3:C69,"&lt;&gt;FRESCO"),"")</f>
        <v/>
      </c>
      <c r="H69" s="1" t="n">
        <f aca="false">IF(N69="","",IFERROR(SUMIFS(COMPRAS!$O$3:$O$4997,COMPRAS!$G$3:$G$4997,A69,COMPRAS!$B$3:$B$4997,N69)/SUMIFS(COMPRAS!$J$3:$J$4997,COMPRAS!$G$3:$G$4997,A69,COMPRAS!$B$3:$B$4997,N69),""))</f>
        <v>1.977</v>
      </c>
      <c r="I69" s="1" t="n">
        <f aca="false">IF(X69&lt;&gt;"",X69,IF(H69="","",ROUND(H69+1.7,2)))</f>
        <v>3.68</v>
      </c>
      <c r="J69" s="1" t="n">
        <f aca="false">IF(Y69&lt;&gt;"",Y69,IF(H69="","",ROUND(H69+1.9,2)))</f>
        <v>3.88</v>
      </c>
      <c r="K69" s="67"/>
      <c r="L69" s="67" t="s">
        <v>381</v>
      </c>
      <c r="M69" s="64" t="n">
        <f aca="false">IF(COUNTIF(COMPRAS!$G$3:$G$4997,A69)=0,"",SUMPRODUCT(MAX((COMPRAS!$G$3:$G$4997=A69)*COMPRAS!$B$3:$B$4997)))</f>
        <v>46275</v>
      </c>
      <c r="N69" s="64" t="n">
        <f aca="false">M69</f>
        <v>46275</v>
      </c>
      <c r="O69" s="67" t="s">
        <v>1011</v>
      </c>
      <c r="P69" s="67" t="s">
        <v>949</v>
      </c>
      <c r="Q69" s="67" t="s">
        <v>950</v>
      </c>
      <c r="R69" s="67" t="s">
        <v>959</v>
      </c>
      <c r="S69" s="67" t="s">
        <v>952</v>
      </c>
      <c r="T69" s="67"/>
      <c r="U69" s="67" t="s">
        <v>953</v>
      </c>
      <c r="V69" s="67" t="s">
        <v>954</v>
      </c>
      <c r="W69" s="67" t="s">
        <v>955</v>
      </c>
    </row>
    <row r="70" customFormat="false" ht="15" hidden="true" customHeight="true" outlineLevel="0" collapsed="false">
      <c r="A70" s="75" t="s">
        <v>181</v>
      </c>
      <c r="B70" s="168" t="s">
        <v>182</v>
      </c>
      <c r="C70" s="173" t="s">
        <v>947</v>
      </c>
      <c r="D70" s="104" t="str">
        <f aca="false">IF(A70&lt;&gt;"",A70&amp;" | "&amp;B70&amp;" ["&amp;C70&amp;"]","")</f>
        <v>C220 | LIRIO EN FILETES [FRESCO]</v>
      </c>
      <c r="E70" s="67" t="s">
        <v>365</v>
      </c>
      <c r="F70" s="1" t="n">
        <f aca="false">IF(AND(E70="S",C70="FRESCO"),COUNTIFS($E$3:E70,"S",$C$3:C70,"FRESCO"),"")</f>
        <v>55</v>
      </c>
      <c r="G70" s="1" t="str">
        <f aca="false">IF(AND(E70="S",C70&lt;&gt;"FRESCO"),COUNTIFS($E$3:E70,"S",$C$3:C70,"&lt;&gt;FRESCO"),"")</f>
        <v/>
      </c>
      <c r="H70" s="1" t="n">
        <f aca="false">IF(N70="","",IFERROR(SUMIFS(COMPRAS!$O$3:$O$4997,COMPRAS!$G$3:$G$4997,A70,COMPRAS!$B$3:$B$4997,N70)/SUMIFS(COMPRAS!$J$3:$J$4997,COMPRAS!$G$3:$G$4997,A70,COMPRAS!$B$3:$B$4997,N70),""))</f>
        <v>4.4</v>
      </c>
      <c r="I70" s="1" t="n">
        <f aca="false">IF(X70&lt;&gt;"",X70,IF(H70="","",ROUND(H70+1.7,2)))</f>
        <v>6.1</v>
      </c>
      <c r="J70" s="1" t="n">
        <f aca="false">IF(Y70&lt;&gt;"",Y70,IF(H70="","",ROUND(H70+1.9,2)))</f>
        <v>6.3</v>
      </c>
      <c r="K70" s="67"/>
      <c r="L70" s="67" t="s">
        <v>381</v>
      </c>
      <c r="M70" s="64" t="n">
        <f aca="false">IF(COUNTIF(COMPRAS!$G$3:$G$4997,A70)=0,"",SUMPRODUCT(MAX((COMPRAS!$G$3:$G$4997=A70)*COMPRAS!$B$3:$B$4997)))</f>
        <v>46223</v>
      </c>
      <c r="N70" s="64" t="n">
        <f aca="false">M70</f>
        <v>46223</v>
      </c>
      <c r="O70" s="67" t="s">
        <v>1011</v>
      </c>
      <c r="P70" s="67" t="s">
        <v>949</v>
      </c>
      <c r="Q70" s="67" t="s">
        <v>950</v>
      </c>
      <c r="R70" s="67" t="s">
        <v>959</v>
      </c>
      <c r="S70" s="67" t="s">
        <v>952</v>
      </c>
      <c r="T70" s="67"/>
      <c r="U70" s="67" t="s">
        <v>953</v>
      </c>
      <c r="V70" s="67" t="s">
        <v>954</v>
      </c>
      <c r="W70" s="67" t="s">
        <v>955</v>
      </c>
    </row>
    <row r="71" customFormat="false" ht="15" hidden="true" customHeight="true" outlineLevel="0" collapsed="false">
      <c r="A71" s="75" t="s">
        <v>183</v>
      </c>
      <c r="B71" s="166" t="s">
        <v>184</v>
      </c>
      <c r="C71" s="173" t="s">
        <v>947</v>
      </c>
      <c r="D71" s="104" t="str">
        <f aca="false">IF(A71&lt;&gt;"",A71&amp;" | "&amp;B71&amp;" ["&amp;C71&amp;"]","")</f>
        <v>C336 | LUBINA RIA/ ROBALIZA (BSS) [FRESCO]</v>
      </c>
      <c r="E71" s="67" t="s">
        <v>365</v>
      </c>
      <c r="F71" s="1" t="n">
        <f aca="false">IF(AND(E71="S",C71="FRESCO"),COUNTIFS($E$3:E71,"S",$C$3:C71,"FRESCO"),"")</f>
        <v>56</v>
      </c>
      <c r="G71" s="1" t="str">
        <f aca="false">IF(AND(E71="S",C71&lt;&gt;"FRESCO"),COUNTIFS($E$3:E71,"S",$C$3:C71,"&lt;&gt;FRESCO"),"")</f>
        <v/>
      </c>
      <c r="H71" s="1" t="n">
        <f aca="false">IF(N71="","",IFERROR(SUMIFS(COMPRAS!$O$3:$O$4997,COMPRAS!$G$3:$G$4997,A71,COMPRAS!$B$3:$B$4997,N71)/SUMIFS(COMPRAS!$J$3:$J$4997,COMPRAS!$G$3:$G$4997,A71,COMPRAS!$B$3:$B$4997,N71),""))</f>
        <v>16.7</v>
      </c>
      <c r="I71" s="1" t="n">
        <f aca="false">IF(X71&lt;&gt;"",X71,IF(H71="","",ROUND(H71+1.7,2)))</f>
        <v>18.4</v>
      </c>
      <c r="J71" s="1" t="n">
        <f aca="false">IF(Y71&lt;&gt;"",Y71,IF(H71="","",ROUND(H71+1.9,2)))</f>
        <v>18.6</v>
      </c>
      <c r="K71" s="67"/>
      <c r="L71" s="67" t="s">
        <v>381</v>
      </c>
      <c r="M71" s="64" t="n">
        <f aca="false">IF(COUNTIF(COMPRAS!$G$3:$G$4997,A71)=0,"",SUMPRODUCT(MAX((COMPRAS!$G$3:$G$4997=A71)*COMPRAS!$B$3:$B$4997)))</f>
        <v>46274</v>
      </c>
      <c r="N71" s="64" t="n">
        <f aca="false">M71</f>
        <v>46274</v>
      </c>
      <c r="O71" s="67" t="s">
        <v>1012</v>
      </c>
      <c r="P71" s="67" t="s">
        <v>949</v>
      </c>
      <c r="Q71" s="67" t="s">
        <v>950</v>
      </c>
      <c r="R71" s="67" t="s">
        <v>951</v>
      </c>
      <c r="S71" s="67" t="s">
        <v>952</v>
      </c>
      <c r="T71" s="67"/>
      <c r="U71" s="67" t="s">
        <v>953</v>
      </c>
      <c r="V71" s="67" t="s">
        <v>954</v>
      </c>
      <c r="W71" s="67" t="s">
        <v>955</v>
      </c>
    </row>
    <row r="72" customFormat="false" ht="15" hidden="true" customHeight="true" outlineLevel="0" collapsed="false">
      <c r="A72" s="75" t="s">
        <v>185</v>
      </c>
      <c r="B72" s="168" t="s">
        <v>186</v>
      </c>
      <c r="C72" s="173" t="s">
        <v>947</v>
      </c>
      <c r="D72" s="104" t="str">
        <f aca="false">IF(A72&lt;&gt;"",A72&amp;" | "&amp;B72&amp;" ["&amp;C72&amp;"]","")</f>
        <v>C3110 | MACHOS/ REYES/ ALFONSINOS (BYS) [FRESCO]</v>
      </c>
      <c r="E72" s="67" t="s">
        <v>365</v>
      </c>
      <c r="F72" s="1" t="n">
        <f aca="false">IF(AND(E72="S",C72="FRESCO"),COUNTIFS($E$3:E72,"S",$C$3:C72,"FRESCO"),"")</f>
        <v>57</v>
      </c>
      <c r="G72" s="1" t="str">
        <f aca="false">IF(AND(E72="S",C72&lt;&gt;"FRESCO"),COUNTIFS($E$3:E72,"S",$C$3:C72,"&lt;&gt;FRESCO"),"")</f>
        <v/>
      </c>
      <c r="H72" s="1" t="n">
        <f aca="false">IF(N72="","",IFERROR(SUMIFS(COMPRAS!$O$3:$O$4997,COMPRAS!$G$3:$G$4997,A72,COMPRAS!$B$3:$B$4997,N72)/SUMIFS(COMPRAS!$J$3:$J$4997,COMPRAS!$G$3:$G$4997,A72,COMPRAS!$B$3:$B$4997,N72),""))</f>
        <v>9.129</v>
      </c>
      <c r="I72" s="1" t="n">
        <f aca="false">IF(X72&lt;&gt;"",X72,IF(H72="","",ROUND(H72+1.7,2)))</f>
        <v>10.83</v>
      </c>
      <c r="J72" s="1" t="n">
        <f aca="false">IF(Y72&lt;&gt;"",Y72,IF(H72="","",ROUND(H72+1.9,2)))</f>
        <v>11.03</v>
      </c>
      <c r="K72" s="67"/>
      <c r="L72" s="67" t="s">
        <v>381</v>
      </c>
      <c r="M72" s="64" t="n">
        <f aca="false">IF(COUNTIF(COMPRAS!$G$3:$G$4997,A72)=0,"",SUMPRODUCT(MAX((COMPRAS!$G$3:$G$4997=A72)*COMPRAS!$B$3:$B$4997)))</f>
        <v>46224</v>
      </c>
      <c r="N72" s="64" t="n">
        <f aca="false">M72</f>
        <v>46224</v>
      </c>
      <c r="O72" s="67" t="s">
        <v>1013</v>
      </c>
      <c r="P72" s="67" t="s">
        <v>949</v>
      </c>
      <c r="Q72" s="67" t="s">
        <v>950</v>
      </c>
      <c r="R72" s="67" t="s">
        <v>951</v>
      </c>
      <c r="S72" s="67" t="s">
        <v>952</v>
      </c>
      <c r="T72" s="67"/>
      <c r="U72" s="67" t="s">
        <v>953</v>
      </c>
      <c r="V72" s="67" t="s">
        <v>954</v>
      </c>
      <c r="W72" s="67" t="s">
        <v>955</v>
      </c>
    </row>
    <row r="73" customFormat="false" ht="15" hidden="true" customHeight="true" outlineLevel="0" collapsed="false">
      <c r="A73" s="75" t="s">
        <v>187</v>
      </c>
      <c r="B73" s="166" t="s">
        <v>188</v>
      </c>
      <c r="C73" s="173" t="s">
        <v>947</v>
      </c>
      <c r="D73" s="104" t="str">
        <f aca="false">IF(A73&lt;&gt;"",A73&amp;" | "&amp;B73&amp;" ["&amp;C73&amp;"]","")</f>
        <v>C755 | MARAGOTA/ PINTO (USB) [FRESCO]</v>
      </c>
      <c r="E73" s="67" t="s">
        <v>365</v>
      </c>
      <c r="F73" s="1" t="n">
        <f aca="false">IF(AND(E73="S",C73="FRESCO"),COUNTIFS($E$3:E73,"S",$C$3:C73,"FRESCO"),"")</f>
        <v>58</v>
      </c>
      <c r="G73" s="1" t="str">
        <f aca="false">IF(AND(E73="S",C73&lt;&gt;"FRESCO"),COUNTIFS($E$3:E73,"S",$C$3:C73,"&lt;&gt;FRESCO"),"")</f>
        <v/>
      </c>
      <c r="H73" s="1" t="str">
        <f aca="false">IF(N73="","",IFERROR(SUMIFS(COMPRAS!$O$3:$O$4997,COMPRAS!$G$3:$G$4997,A73,COMPRAS!$B$3:$B$4997,N73)/SUMIFS(COMPRAS!$J$3:$J$4997,COMPRAS!$G$3:$G$4997,A73,COMPRAS!$B$3:$B$4997,N73),""))</f>
        <v/>
      </c>
      <c r="I73" s="1" t="str">
        <f aca="false">IF(X73&lt;&gt;"",X73,IF(H73="","",ROUND(H73+1.7,2)))</f>
        <v/>
      </c>
      <c r="J73" s="1" t="str">
        <f aca="false">IF(Y73&lt;&gt;"",Y73,IF(H73="","",ROUND(H73+1.9,2)))</f>
        <v/>
      </c>
      <c r="K73" s="67"/>
      <c r="L73" s="67" t="s">
        <v>381</v>
      </c>
      <c r="M73" s="64" t="str">
        <f aca="false">IF(COUNTIF(COMPRAS!$G$3:$G$4997,A73)=0,"",SUMPRODUCT(MAX((COMPRAS!$G$3:$G$4997=A73)*COMPRAS!$B$3:$B$4997)))</f>
        <v/>
      </c>
      <c r="N73" s="64" t="str">
        <f aca="false">M73</f>
        <v/>
      </c>
      <c r="O73" s="67" t="s">
        <v>1014</v>
      </c>
      <c r="P73" s="67" t="s">
        <v>949</v>
      </c>
      <c r="Q73" s="67" t="s">
        <v>950</v>
      </c>
      <c r="R73" s="67" t="s">
        <v>951</v>
      </c>
      <c r="S73" s="67" t="s">
        <v>952</v>
      </c>
      <c r="T73" s="67"/>
      <c r="U73" s="67" t="s">
        <v>953</v>
      </c>
      <c r="V73" s="67" t="s">
        <v>954</v>
      </c>
      <c r="W73" s="67" t="s">
        <v>955</v>
      </c>
    </row>
    <row r="74" customFormat="false" ht="15" hidden="true" customHeight="true" outlineLevel="0" collapsed="false">
      <c r="A74" s="75" t="s">
        <v>189</v>
      </c>
      <c r="B74" s="168" t="s">
        <v>190</v>
      </c>
      <c r="C74" s="173" t="s">
        <v>947</v>
      </c>
      <c r="D74" s="104" t="str">
        <f aca="false">IF(A74&lt;&gt;"",A74&amp;" | "&amp;B74&amp;" ["&amp;C74&amp;"]","")</f>
        <v>C1400 | MERLUZA AMERICANA/ CARIOCA BOSTON (HKS) [FRESCO]</v>
      </c>
      <c r="E74" s="67" t="s">
        <v>365</v>
      </c>
      <c r="F74" s="1" t="n">
        <f aca="false">IF(AND(E74="S",C74="FRESCO"),COUNTIFS($E$3:E74,"S",$C$3:C74,"FRESCO"),"")</f>
        <v>59</v>
      </c>
      <c r="G74" s="1" t="str">
        <f aca="false">IF(AND(E74="S",C74&lt;&gt;"FRESCO"),COUNTIFS($E$3:E74,"S",$C$3:C74,"&lt;&gt;FRESCO"),"")</f>
        <v/>
      </c>
      <c r="H74" s="1" t="str">
        <f aca="false">IF(N74="","",IFERROR(SUMIFS(COMPRAS!$O$3:$O$4997,COMPRAS!$G$3:$G$4997,A74,COMPRAS!$B$3:$B$4997,N74)/SUMIFS(COMPRAS!$J$3:$J$4997,COMPRAS!$G$3:$G$4997,A74,COMPRAS!$B$3:$B$4997,N74),""))</f>
        <v/>
      </c>
      <c r="I74" s="1" t="str">
        <f aca="false">IF(X74&lt;&gt;"",X74,IF(H74="","",ROUND(H74+1.7,2)))</f>
        <v/>
      </c>
      <c r="J74" s="1" t="str">
        <f aca="false">IF(Y74&lt;&gt;"",Y74,IF(H74="","",ROUND(H74+1.9,2)))</f>
        <v/>
      </c>
      <c r="K74" s="67"/>
      <c r="L74" s="67" t="s">
        <v>381</v>
      </c>
      <c r="M74" s="64" t="str">
        <f aca="false">IF(COUNTIF(COMPRAS!$G$3:$G$4997,A74)=0,"",SUMPRODUCT(MAX((COMPRAS!$G$3:$G$4997=A74)*COMPRAS!$B$3:$B$4997)))</f>
        <v/>
      </c>
      <c r="N74" s="64" t="str">
        <f aca="false">M74</f>
        <v/>
      </c>
      <c r="O74" s="67" t="s">
        <v>1005</v>
      </c>
      <c r="P74" s="67"/>
      <c r="Q74" s="67"/>
      <c r="R74" s="67" t="s">
        <v>959</v>
      </c>
      <c r="S74" s="67" t="s">
        <v>952</v>
      </c>
      <c r="T74" s="67"/>
      <c r="U74" s="67" t="s">
        <v>953</v>
      </c>
      <c r="V74" s="67" t="s">
        <v>954</v>
      </c>
      <c r="W74" s="67" t="s">
        <v>955</v>
      </c>
    </row>
    <row r="75" customFormat="false" ht="15" hidden="true" customHeight="true" outlineLevel="0" collapsed="false">
      <c r="A75" s="75" t="s">
        <v>191</v>
      </c>
      <c r="B75" s="166" t="s">
        <v>192</v>
      </c>
      <c r="C75" s="173" t="s">
        <v>947</v>
      </c>
      <c r="D75" s="104" t="str">
        <f aca="false">IF(A75&lt;&gt;"",A75&amp;" | "&amp;B75&amp;" ["&amp;C75&amp;"]","")</f>
        <v>C1250 | MERLUZA DEL CABO (HKC) [FRESCO]</v>
      </c>
      <c r="E75" s="67" t="s">
        <v>365</v>
      </c>
      <c r="F75" s="1" t="n">
        <f aca="false">IF(AND(E75="S",C75="FRESCO"),COUNTIFS($E$3:E75,"S",$C$3:C75,"FRESCO"),"")</f>
        <v>60</v>
      </c>
      <c r="G75" s="1" t="str">
        <f aca="false">IF(AND(E75="S",C75&lt;&gt;"FRESCO"),COUNTIFS($E$3:E75,"S",$C$3:C75,"&lt;&gt;FRESCO"),"")</f>
        <v/>
      </c>
      <c r="H75" s="1" t="str">
        <f aca="false">IF(N75="","",IFERROR(SUMIFS(COMPRAS!$O$3:$O$4997,COMPRAS!$G$3:$G$4997,A75,COMPRAS!$B$3:$B$4997,N75)/SUMIFS(COMPRAS!$J$3:$J$4997,COMPRAS!$G$3:$G$4997,A75,COMPRAS!$B$3:$B$4997,N75),""))</f>
        <v/>
      </c>
      <c r="I75" s="1" t="str">
        <f aca="false">IF(X75&lt;&gt;"",X75,IF(H75="","",ROUND(H75+1.7,2)))</f>
        <v/>
      </c>
      <c r="J75" s="1" t="str">
        <f aca="false">IF(Y75&lt;&gt;"",Y75,IF(H75="","",ROUND(H75+1.9,2)))</f>
        <v/>
      </c>
      <c r="K75" s="67"/>
      <c r="L75" s="67" t="s">
        <v>381</v>
      </c>
      <c r="M75" s="64" t="str">
        <f aca="false">IF(COUNTIF(COMPRAS!$G$3:$G$4997,A75)=0,"",SUMPRODUCT(MAX((COMPRAS!$G$3:$G$4997=A75)*COMPRAS!$B$3:$B$4997)))</f>
        <v/>
      </c>
      <c r="N75" s="64" t="str">
        <f aca="false">M75</f>
        <v/>
      </c>
      <c r="O75" s="67" t="s">
        <v>1015</v>
      </c>
      <c r="P75" s="67"/>
      <c r="Q75" s="67"/>
      <c r="R75" s="67" t="s">
        <v>951</v>
      </c>
      <c r="S75" s="67" t="s">
        <v>952</v>
      </c>
      <c r="T75" s="67"/>
      <c r="U75" s="67" t="s">
        <v>953</v>
      </c>
      <c r="V75" s="67" t="s">
        <v>954</v>
      </c>
      <c r="W75" s="67" t="s">
        <v>955</v>
      </c>
    </row>
    <row r="76" customFormat="false" ht="15" hidden="true" customHeight="true" outlineLevel="0" collapsed="false">
      <c r="A76" s="75" t="s">
        <v>193</v>
      </c>
      <c r="B76" s="168" t="s">
        <v>376</v>
      </c>
      <c r="C76" s="173" t="s">
        <v>947</v>
      </c>
      <c r="D76" s="104" t="str">
        <f aca="false">IF(A76&lt;&gt;"",A76&amp;" | "&amp;B76&amp;" ["&amp;C76&amp;"]","")</f>
        <v>C1730 | MERLUZA EUROPEA ARRASTRE (HKE)  [FRESCO]</v>
      </c>
      <c r="E76" s="67" t="s">
        <v>365</v>
      </c>
      <c r="F76" s="1" t="n">
        <f aca="false">IF(AND(E76="S",C76="FRESCO"),COUNTIFS($E$3:E76,"S",$C$3:C76,"FRESCO"),"")</f>
        <v>61</v>
      </c>
      <c r="G76" s="1" t="str">
        <f aca="false">IF(AND(E76="S",C76&lt;&gt;"FRESCO"),COUNTIFS($E$3:E76,"S",$C$3:C76,"&lt;&gt;FRESCO"),"")</f>
        <v/>
      </c>
      <c r="H76" s="1" t="n">
        <f aca="false">IF(N76="","",IFERROR(SUMIFS(COMPRAS!$O$3:$O$4997,COMPRAS!$G$3:$G$4997,A76,COMPRAS!$B$3:$B$4997,N76)/SUMIFS(COMPRAS!$J$3:$J$4997,COMPRAS!$G$3:$G$4997,A76,COMPRAS!$B$3:$B$4997,N76),""))</f>
        <v>8.16</v>
      </c>
      <c r="I76" s="1" t="n">
        <f aca="false">IF(X76&lt;&gt;"",X76,IF(H76="","",ROUND(H76+1.7,2)))</f>
        <v>9.86</v>
      </c>
      <c r="J76" s="1" t="n">
        <f aca="false">IF(Y76&lt;&gt;"",Y76,IF(H76="","",ROUND(H76+1.9,2)))</f>
        <v>10.06</v>
      </c>
      <c r="K76" s="67"/>
      <c r="L76" s="67" t="s">
        <v>381</v>
      </c>
      <c r="M76" s="64" t="n">
        <f aca="false">IF(COUNTIF(COMPRAS!$G$3:$G$4997,A76)=0,"",SUMPRODUCT(MAX((COMPRAS!$G$3:$G$4997=A76)*COMPRAS!$B$3:$B$4997)))</f>
        <v>46273</v>
      </c>
      <c r="N76" s="64" t="n">
        <f aca="false">M76</f>
        <v>46273</v>
      </c>
      <c r="O76" s="67" t="s">
        <v>1005</v>
      </c>
      <c r="P76" s="67" t="s">
        <v>949</v>
      </c>
      <c r="Q76" s="67" t="s">
        <v>950</v>
      </c>
      <c r="R76" s="67" t="s">
        <v>959</v>
      </c>
      <c r="S76" s="67" t="s">
        <v>952</v>
      </c>
      <c r="T76" s="67"/>
      <c r="U76" s="67" t="s">
        <v>953</v>
      </c>
      <c r="V76" s="67" t="s">
        <v>954</v>
      </c>
      <c r="W76" s="67" t="s">
        <v>955</v>
      </c>
    </row>
    <row r="77" customFormat="false" ht="15" hidden="true" customHeight="true" outlineLevel="0" collapsed="false">
      <c r="A77" s="75" t="s">
        <v>195</v>
      </c>
      <c r="B77" s="168" t="s">
        <v>196</v>
      </c>
      <c r="C77" s="173" t="s">
        <v>947</v>
      </c>
      <c r="D77" s="104" t="str">
        <f aca="false">IF(A77&lt;&gt;"",A77&amp;" | "&amp;B77&amp;" ["&amp;C77&amp;"]","")</f>
        <v>C17308 | MERLUZA EUROPEA ARRASTRE (HKE) 800/1000 [FRESCO]</v>
      </c>
      <c r="E77" s="67" t="s">
        <v>365</v>
      </c>
      <c r="F77" s="1" t="n">
        <f aca="false">IF(AND(E77="S",C77="FRESCO"),COUNTIFS($E$3:E77,"S",$C$3:C77,"FRESCO"),"")</f>
        <v>62</v>
      </c>
      <c r="G77" s="1" t="str">
        <f aca="false">IF(AND(E77="S",C77&lt;&gt;"FRESCO"),COUNTIFS($E$3:E77,"S",$C$3:C77,"&lt;&gt;FRESCO"),"")</f>
        <v/>
      </c>
      <c r="H77" s="1" t="str">
        <f aca="false">IF(N77="","",IFERROR(SUMIFS(COMPRAS!$O$3:$O$4997,COMPRAS!$G$3:$G$4997,A77,COMPRAS!$B$3:$B$4997,N77)/SUMIFS(COMPRAS!$J$3:$J$4997,COMPRAS!$G$3:$G$4997,A77,COMPRAS!$B$3:$B$4997,N77),""))</f>
        <v/>
      </c>
      <c r="I77" s="1" t="str">
        <f aca="false">IF(X77&lt;&gt;"",X77,IF(H77="","",ROUND(H77+1.7,2)))</f>
        <v/>
      </c>
      <c r="J77" s="1" t="str">
        <f aca="false">IF(Y77&lt;&gt;"",Y77,IF(H77="","",ROUND(H77+1.9,2)))</f>
        <v/>
      </c>
      <c r="K77" s="67"/>
      <c r="L77" s="67" t="s">
        <v>381</v>
      </c>
      <c r="M77" s="64" t="str">
        <f aca="false">IF(COUNTIF(COMPRAS!$G$3:$G$4997,A77)=0,"",SUMPRODUCT(MAX((COMPRAS!$G$3:$G$4997=A77)*COMPRAS!$B$3:$B$4997)))</f>
        <v/>
      </c>
      <c r="N77" s="64" t="str">
        <f aca="false">M77</f>
        <v/>
      </c>
      <c r="O77" s="67" t="s">
        <v>1005</v>
      </c>
      <c r="P77" s="67" t="s">
        <v>949</v>
      </c>
      <c r="Q77" s="67" t="s">
        <v>950</v>
      </c>
      <c r="R77" s="67" t="s">
        <v>959</v>
      </c>
      <c r="S77" s="67" t="s">
        <v>952</v>
      </c>
      <c r="T77" s="67"/>
      <c r="U77" s="67" t="s">
        <v>953</v>
      </c>
      <c r="V77" s="67" t="s">
        <v>954</v>
      </c>
      <c r="W77" s="67" t="s">
        <v>955</v>
      </c>
    </row>
    <row r="78" customFormat="false" ht="15" hidden="true" customHeight="true" outlineLevel="0" collapsed="false">
      <c r="A78" s="75" t="s">
        <v>197</v>
      </c>
      <c r="B78" s="168" t="s">
        <v>198</v>
      </c>
      <c r="C78" s="173" t="s">
        <v>947</v>
      </c>
      <c r="D78" s="104" t="str">
        <f aca="false">IF(A78&lt;&gt;"",A78&amp;" | "&amp;B78&amp;" ["&amp;C78&amp;"]","")</f>
        <v>C17301 | MERLUZA EUROPEA ARRASTRE (HKE) 1000/1250 [FRESCO]</v>
      </c>
      <c r="E78" s="67" t="s">
        <v>365</v>
      </c>
      <c r="F78" s="1" t="n">
        <f aca="false">IF(AND(E78="S",C78="FRESCO"),COUNTIFS($E$3:E78,"S",$C$3:C78,"FRESCO"),"")</f>
        <v>63</v>
      </c>
      <c r="G78" s="1" t="str">
        <f aca="false">IF(AND(E78="S",C78&lt;&gt;"FRESCO"),COUNTIFS($E$3:E78,"S",$C$3:C78,"&lt;&gt;FRESCO"),"")</f>
        <v/>
      </c>
      <c r="H78" s="1" t="str">
        <f aca="false">IF(N78="","",IFERROR(SUMIFS(COMPRAS!$O$3:$O$4997,COMPRAS!$G$3:$G$4997,A78,COMPRAS!$B$3:$B$4997,N78)/SUMIFS(COMPRAS!$J$3:$J$4997,COMPRAS!$G$3:$G$4997,A78,COMPRAS!$B$3:$B$4997,N78),""))</f>
        <v/>
      </c>
      <c r="I78" s="1" t="str">
        <f aca="false">IF(X78&lt;&gt;"",X78,IF(H78="","",ROUND(H78+1.7,2)))</f>
        <v/>
      </c>
      <c r="J78" s="1" t="str">
        <f aca="false">IF(Y78&lt;&gt;"",Y78,IF(H78="","",ROUND(H78+1.9,2)))</f>
        <v/>
      </c>
      <c r="K78" s="67"/>
      <c r="L78" s="67" t="s">
        <v>381</v>
      </c>
      <c r="M78" s="64" t="str">
        <f aca="false">IF(COUNTIF(COMPRAS!$G$3:$G$4997,A78)=0,"",SUMPRODUCT(MAX((COMPRAS!$G$3:$G$4997=A78)*COMPRAS!$B$3:$B$4997)))</f>
        <v/>
      </c>
      <c r="N78" s="64" t="str">
        <f aca="false">M78</f>
        <v/>
      </c>
      <c r="O78" s="67" t="s">
        <v>1005</v>
      </c>
      <c r="P78" s="67" t="s">
        <v>949</v>
      </c>
      <c r="Q78" s="67" t="s">
        <v>950</v>
      </c>
      <c r="R78" s="67" t="s">
        <v>959</v>
      </c>
      <c r="S78" s="67" t="s">
        <v>952</v>
      </c>
      <c r="T78" s="67"/>
      <c r="U78" s="67" t="s">
        <v>953</v>
      </c>
      <c r="V78" s="67" t="s">
        <v>954</v>
      </c>
      <c r="W78" s="67" t="s">
        <v>955</v>
      </c>
    </row>
    <row r="79" customFormat="false" ht="15" hidden="true" customHeight="true" outlineLevel="0" collapsed="false">
      <c r="A79" s="75" t="s">
        <v>199</v>
      </c>
      <c r="B79" s="168" t="s">
        <v>200</v>
      </c>
      <c r="C79" s="173" t="s">
        <v>947</v>
      </c>
      <c r="D79" s="104" t="str">
        <f aca="false">IF(A79&lt;&gt;"",A79&amp;" | "&amp;B79&amp;" ["&amp;C79&amp;"]","")</f>
        <v>C17301+ | MERLUZA EUROPEA ARRASTRE (HKE) 1250/1500 [FRESCO]</v>
      </c>
      <c r="E79" s="67" t="s">
        <v>365</v>
      </c>
      <c r="F79" s="1" t="n">
        <f aca="false">IF(AND(E79="S",C79="FRESCO"),COUNTIFS($E$3:E79,"S",$C$3:C79,"FRESCO"),"")</f>
        <v>64</v>
      </c>
      <c r="G79" s="1" t="str">
        <f aca="false">IF(AND(E79="S",C79&lt;&gt;"FRESCO"),COUNTIFS($E$3:E79,"S",$C$3:C79,"&lt;&gt;FRESCO"),"")</f>
        <v/>
      </c>
      <c r="H79" s="1" t="str">
        <f aca="false">IF(N79="","",IFERROR(SUMIFS(COMPRAS!$O$3:$O$4997,COMPRAS!$G$3:$G$4997,A79,COMPRAS!$B$3:$B$4997,N79)/SUMIFS(COMPRAS!$J$3:$J$4997,COMPRAS!$G$3:$G$4997,A79,COMPRAS!$B$3:$B$4997,N79),""))</f>
        <v/>
      </c>
      <c r="I79" s="1" t="str">
        <f aca="false">IF(X79&lt;&gt;"",X79,IF(H79="","",ROUND(H79+1.7,2)))</f>
        <v/>
      </c>
      <c r="J79" s="1" t="str">
        <f aca="false">IF(Y79&lt;&gt;"",Y79,IF(H79="","",ROUND(H79+1.9,2)))</f>
        <v/>
      </c>
      <c r="K79" s="67"/>
      <c r="L79" s="67" t="s">
        <v>381</v>
      </c>
      <c r="M79" s="64" t="str">
        <f aca="false">IF(COUNTIF(COMPRAS!$G$3:$G$4997,A79)=0,"",SUMPRODUCT(MAX((COMPRAS!$G$3:$G$4997=A79)*COMPRAS!$B$3:$B$4997)))</f>
        <v/>
      </c>
      <c r="N79" s="64" t="str">
        <f aca="false">M79</f>
        <v/>
      </c>
      <c r="O79" s="67" t="s">
        <v>1005</v>
      </c>
      <c r="P79" s="67" t="s">
        <v>949</v>
      </c>
      <c r="Q79" s="67" t="s">
        <v>950</v>
      </c>
      <c r="R79" s="67" t="s">
        <v>959</v>
      </c>
      <c r="S79" s="67" t="s">
        <v>952</v>
      </c>
      <c r="T79" s="67"/>
      <c r="U79" s="67" t="s">
        <v>953</v>
      </c>
      <c r="V79" s="67" t="s">
        <v>954</v>
      </c>
      <c r="W79" s="67" t="s">
        <v>955</v>
      </c>
    </row>
    <row r="80" customFormat="false" ht="15" hidden="true" customHeight="true" outlineLevel="0" collapsed="false">
      <c r="A80" s="75" t="s">
        <v>201</v>
      </c>
      <c r="B80" s="168" t="s">
        <v>202</v>
      </c>
      <c r="C80" s="173" t="s">
        <v>947</v>
      </c>
      <c r="D80" s="104" t="str">
        <f aca="false">IF(A80&lt;&gt;"",A80&amp;" | "&amp;B80&amp;" ["&amp;C80&amp;"]","")</f>
        <v>C173015 | MERLUZA EUROPEA ARRASTRE (HKE) 1500/2000 [FRESCO]</v>
      </c>
      <c r="E80" s="67" t="s">
        <v>365</v>
      </c>
      <c r="F80" s="1" t="n">
        <f aca="false">IF(AND(E80="S",C80="FRESCO"),COUNTIFS($E$3:E80,"S",$C$3:C80,"FRESCO"),"")</f>
        <v>65</v>
      </c>
      <c r="G80" s="1" t="str">
        <f aca="false">IF(AND(E80="S",C80&lt;&gt;"FRESCO"),COUNTIFS($E$3:E80,"S",$C$3:C80,"&lt;&gt;FRESCO"),"")</f>
        <v/>
      </c>
      <c r="H80" s="1" t="str">
        <f aca="false">IF(N80="","",IFERROR(SUMIFS(COMPRAS!$O$3:$O$4997,COMPRAS!$G$3:$G$4997,A80,COMPRAS!$B$3:$B$4997,N80)/SUMIFS(COMPRAS!$J$3:$J$4997,COMPRAS!$G$3:$G$4997,A80,COMPRAS!$B$3:$B$4997,N80),""))</f>
        <v/>
      </c>
      <c r="I80" s="1" t="str">
        <f aca="false">IF(X80&lt;&gt;"",X80,IF(H80="","",ROUND(H80+1.7,2)))</f>
        <v/>
      </c>
      <c r="J80" s="1" t="str">
        <f aca="false">IF(Y80&lt;&gt;"",Y80,IF(H80="","",ROUND(H80+1.9,2)))</f>
        <v/>
      </c>
      <c r="K80" s="67"/>
      <c r="L80" s="67" t="s">
        <v>381</v>
      </c>
      <c r="M80" s="64" t="str">
        <f aca="false">IF(COUNTIF(COMPRAS!$G$3:$G$4997,A80)=0,"",SUMPRODUCT(MAX((COMPRAS!$G$3:$G$4997=A80)*COMPRAS!$B$3:$B$4997)))</f>
        <v/>
      </c>
      <c r="N80" s="64" t="str">
        <f aca="false">M80</f>
        <v/>
      </c>
      <c r="O80" s="67" t="s">
        <v>1005</v>
      </c>
      <c r="P80" s="67" t="s">
        <v>949</v>
      </c>
      <c r="Q80" s="67" t="s">
        <v>950</v>
      </c>
      <c r="R80" s="67" t="s">
        <v>959</v>
      </c>
      <c r="S80" s="67" t="s">
        <v>952</v>
      </c>
      <c r="T80" s="67"/>
      <c r="U80" s="67" t="s">
        <v>953</v>
      </c>
      <c r="V80" s="67" t="s">
        <v>954</v>
      </c>
      <c r="W80" s="67" t="s">
        <v>955</v>
      </c>
    </row>
    <row r="81" customFormat="false" ht="15" hidden="true" customHeight="true" outlineLevel="0" collapsed="false">
      <c r="A81" s="75" t="s">
        <v>203</v>
      </c>
      <c r="B81" s="168" t="s">
        <v>204</v>
      </c>
      <c r="C81" s="173" t="s">
        <v>947</v>
      </c>
      <c r="D81" s="104" t="str">
        <f aca="false">IF(A81&lt;&gt;"",A81&amp;" | "&amp;B81&amp;" ["&amp;C81&amp;"]","")</f>
        <v>C173020 | MERLUZA EUROPEA ARRASTRE (HKE) 2000/2500 [FRESCO]</v>
      </c>
      <c r="E81" s="67" t="s">
        <v>365</v>
      </c>
      <c r="F81" s="1" t="n">
        <f aca="false">IF(AND(E81="S",C81="FRESCO"),COUNTIFS($E$3:E81,"S",$C$3:C81,"FRESCO"),"")</f>
        <v>66</v>
      </c>
      <c r="G81" s="1" t="str">
        <f aca="false">IF(AND(E81="S",C81&lt;&gt;"FRESCO"),COUNTIFS($E$3:E81,"S",$C$3:C81,"&lt;&gt;FRESCO"),"")</f>
        <v/>
      </c>
      <c r="H81" s="1" t="str">
        <f aca="false">IF(N81="","",IFERROR(SUMIFS(COMPRAS!$O$3:$O$4997,COMPRAS!$G$3:$G$4997,A81,COMPRAS!$B$3:$B$4997,N81)/SUMIFS(COMPRAS!$J$3:$J$4997,COMPRAS!$G$3:$G$4997,A81,COMPRAS!$B$3:$B$4997,N81),""))</f>
        <v/>
      </c>
      <c r="I81" s="1" t="str">
        <f aca="false">IF(X81&lt;&gt;"",X81,IF(H81="","",ROUND(H81+1.7,2)))</f>
        <v/>
      </c>
      <c r="J81" s="1" t="str">
        <f aca="false">IF(Y81&lt;&gt;"",Y81,IF(H81="","",ROUND(H81+1.9,2)))</f>
        <v/>
      </c>
      <c r="K81" s="67"/>
      <c r="L81" s="67" t="s">
        <v>381</v>
      </c>
      <c r="M81" s="64" t="str">
        <f aca="false">IF(COUNTIF(COMPRAS!$G$3:$G$4997,A81)=0,"",SUMPRODUCT(MAX((COMPRAS!$G$3:$G$4997=A81)*COMPRAS!$B$3:$B$4997)))</f>
        <v/>
      </c>
      <c r="N81" s="64" t="str">
        <f aca="false">M81</f>
        <v/>
      </c>
      <c r="O81" s="67" t="s">
        <v>1005</v>
      </c>
      <c r="P81" s="67" t="s">
        <v>949</v>
      </c>
      <c r="Q81" s="67" t="s">
        <v>950</v>
      </c>
      <c r="R81" s="67" t="s">
        <v>959</v>
      </c>
      <c r="S81" s="67" t="s">
        <v>952</v>
      </c>
      <c r="T81" s="67"/>
      <c r="U81" s="67" t="s">
        <v>953</v>
      </c>
      <c r="V81" s="67" t="s">
        <v>954</v>
      </c>
      <c r="W81" s="67" t="s">
        <v>955</v>
      </c>
    </row>
    <row r="82" customFormat="false" ht="15" hidden="true" customHeight="true" outlineLevel="0" collapsed="false">
      <c r="A82" s="75" t="s">
        <v>205</v>
      </c>
      <c r="B82" s="168" t="s">
        <v>206</v>
      </c>
      <c r="C82" s="173" t="s">
        <v>947</v>
      </c>
      <c r="D82" s="104" t="str">
        <f aca="false">IF(A82&lt;&gt;"",A82&amp;" | "&amp;B82&amp;" ["&amp;C82&amp;"]","")</f>
        <v>C169 | MERLUZA EUROPEA GDA (HKE) [FRESCO]</v>
      </c>
      <c r="E82" s="67" t="s">
        <v>365</v>
      </c>
      <c r="F82" s="1" t="n">
        <f aca="false">IF(AND(E82="S",C82="FRESCO"),COUNTIFS($E$3:E82,"S",$C$3:C82,"FRESCO"),"")</f>
        <v>67</v>
      </c>
      <c r="G82" s="1" t="str">
        <f aca="false">IF(AND(E82="S",C82&lt;&gt;"FRESCO"),COUNTIFS($E$3:E82,"S",$C$3:C82,"&lt;&gt;FRESCO"),"")</f>
        <v/>
      </c>
      <c r="H82" s="1" t="n">
        <f aca="false">IF(N82="","",IFERROR(SUMIFS(COMPRAS!$O$3:$O$4997,COMPRAS!$G$3:$G$4997,A82,COMPRAS!$B$3:$B$4997,N82)/SUMIFS(COMPRAS!$J$3:$J$4997,COMPRAS!$G$3:$G$4997,A82,COMPRAS!$B$3:$B$4997,N82),""))</f>
        <v>15.7136930232558</v>
      </c>
      <c r="I82" s="1" t="n">
        <f aca="false">IF(X82&lt;&gt;"",X82,IF(H82="","",ROUND(H82+1.7,2)))</f>
        <v>17.41</v>
      </c>
      <c r="J82" s="1" t="n">
        <f aca="false">IF(Y82&lt;&gt;"",Y82,IF(H82="","",ROUND(H82+1.9,2)))</f>
        <v>17.61</v>
      </c>
      <c r="K82" s="67"/>
      <c r="L82" s="67" t="s">
        <v>381</v>
      </c>
      <c r="M82" s="64" t="n">
        <f aca="false">IF(COUNTIF(COMPRAS!$G$3:$G$4997,A82)=0,"",SUMPRODUCT(MAX((COMPRAS!$G$3:$G$4997=A82)*COMPRAS!$B$3:$B$4997)))</f>
        <v>46261</v>
      </c>
      <c r="N82" s="64" t="n">
        <f aca="false">M82</f>
        <v>46261</v>
      </c>
      <c r="O82" s="67" t="s">
        <v>1005</v>
      </c>
      <c r="P82" s="67" t="s">
        <v>949</v>
      </c>
      <c r="Q82" s="67" t="s">
        <v>950</v>
      </c>
      <c r="R82" s="67" t="s">
        <v>959</v>
      </c>
      <c r="S82" s="67" t="s">
        <v>952</v>
      </c>
      <c r="T82" s="67"/>
      <c r="U82" s="67" t="s">
        <v>953</v>
      </c>
      <c r="V82" s="67" t="s">
        <v>954</v>
      </c>
      <c r="W82" s="67" t="s">
        <v>955</v>
      </c>
    </row>
    <row r="83" customFormat="false" ht="15" hidden="true" customHeight="true" outlineLevel="0" collapsed="false">
      <c r="A83" s="75" t="s">
        <v>207</v>
      </c>
      <c r="B83" s="166" t="s">
        <v>208</v>
      </c>
      <c r="C83" s="173" t="s">
        <v>947</v>
      </c>
      <c r="D83" s="104" t="str">
        <f aca="false">IF(A83&lt;&gt;"",A83&amp;" | "&amp;B83&amp;" ["&amp;C83&amp;"]","")</f>
        <v>C1750 | MERLUZA EUROPEA PAREJA (HKE) [FRESCO]</v>
      </c>
      <c r="E83" s="67" t="s">
        <v>365</v>
      </c>
      <c r="F83" s="1" t="n">
        <f aca="false">IF(AND(E83="S",C83="FRESCO"),COUNTIFS($E$3:E83,"S",$C$3:C83,"FRESCO"),"")</f>
        <v>68</v>
      </c>
      <c r="G83" s="1" t="str">
        <f aca="false">IF(AND(E83="S",C83&lt;&gt;"FRESCO"),COUNTIFS($E$3:E83,"S",$C$3:C83,"&lt;&gt;FRESCO"),"")</f>
        <v/>
      </c>
      <c r="H83" s="1" t="n">
        <f aca="false">IF(N83="","",IFERROR(SUMIFS(COMPRAS!$O$3:$O$4997,COMPRAS!$G$3:$G$4997,A83,COMPRAS!$B$3:$B$4997,N83)/SUMIFS(COMPRAS!$J$3:$J$4997,COMPRAS!$G$3:$G$4997,A83,COMPRAS!$B$3:$B$4997,N83),""))</f>
        <v>1.65661070559611</v>
      </c>
      <c r="I83" s="1" t="n">
        <f aca="false">IF(X83&lt;&gt;"",X83,IF(H83="","",ROUND(H83+1.7,2)))</f>
        <v>3.36</v>
      </c>
      <c r="J83" s="1" t="n">
        <f aca="false">IF(Y83&lt;&gt;"",Y83,IF(H83="","",ROUND(H83+1.9,2)))</f>
        <v>3.56</v>
      </c>
      <c r="K83" s="67"/>
      <c r="L83" s="67" t="s">
        <v>381</v>
      </c>
      <c r="M83" s="64" t="n">
        <f aca="false">IF(COUNTIF(COMPRAS!$G$3:$G$4997,A83)=0,"",SUMPRODUCT(MAX((COMPRAS!$G$3:$G$4997=A83)*COMPRAS!$B$3:$B$4997)))</f>
        <v>46193</v>
      </c>
      <c r="N83" s="64" t="n">
        <f aca="false">M83</f>
        <v>46193</v>
      </c>
      <c r="O83" s="67" t="s">
        <v>1005</v>
      </c>
      <c r="P83" s="67" t="s">
        <v>949</v>
      </c>
      <c r="Q83" s="67" t="s">
        <v>950</v>
      </c>
      <c r="R83" s="67" t="s">
        <v>959</v>
      </c>
      <c r="S83" s="67" t="s">
        <v>952</v>
      </c>
      <c r="T83" s="67"/>
      <c r="U83" s="67" t="s">
        <v>953</v>
      </c>
      <c r="V83" s="67" t="s">
        <v>954</v>
      </c>
      <c r="W83" s="67" t="s">
        <v>955</v>
      </c>
    </row>
    <row r="84" customFormat="false" ht="15" hidden="true" customHeight="true" outlineLevel="0" collapsed="false">
      <c r="A84" s="75" t="s">
        <v>209</v>
      </c>
      <c r="B84" s="168" t="s">
        <v>210</v>
      </c>
      <c r="C84" s="173" t="s">
        <v>947</v>
      </c>
      <c r="D84" s="104" t="str">
        <f aca="false">IF(A84&lt;&gt;"",A84&amp;" | "&amp;B84&amp;" ["&amp;C84&amp;"]","")</f>
        <v>C1206 | MERLUZA EUROPEA PINCHO [FRESCO]</v>
      </c>
      <c r="E84" s="67" t="s">
        <v>365</v>
      </c>
      <c r="F84" s="1" t="n">
        <f aca="false">IF(AND(E84="S",C84="FRESCO"),COUNTIFS($E$3:E84,"S",$C$3:C84,"FRESCO"),"")</f>
        <v>69</v>
      </c>
      <c r="G84" s="1" t="str">
        <f aca="false">IF(AND(E84="S",C84&lt;&gt;"FRESCO"),COUNTIFS($E$3:E84,"S",$C$3:C84,"&lt;&gt;FRESCO"),"")</f>
        <v/>
      </c>
      <c r="H84" s="1" t="n">
        <f aca="false">IF(N84="","",IFERROR(SUMIFS(COMPRAS!$O$3:$O$4997,COMPRAS!$G$3:$G$4997,A84,COMPRAS!$B$3:$B$4997,N84)/SUMIFS(COMPRAS!$J$3:$J$4997,COMPRAS!$G$3:$G$4997,A84,COMPRAS!$B$3:$B$4997,N84),""))</f>
        <v>3.7218045112782</v>
      </c>
      <c r="I84" s="1" t="n">
        <f aca="false">IF(X84&lt;&gt;"",X84,IF(H84="","",ROUND(H84+1.7,2)))</f>
        <v>5.42</v>
      </c>
      <c r="J84" s="1" t="n">
        <f aca="false">IF(Y84&lt;&gt;"",Y84,IF(H84="","",ROUND(H84+1.9,2)))</f>
        <v>5.62</v>
      </c>
      <c r="K84" s="67"/>
      <c r="L84" s="67" t="s">
        <v>381</v>
      </c>
      <c r="M84" s="64" t="n">
        <f aca="false">IF(COUNTIF(COMPRAS!$G$3:$G$4997,A84)=0,"",SUMPRODUCT(MAX((COMPRAS!$G$3:$G$4997=A84)*COMPRAS!$B$3:$B$4997)))</f>
        <v>46260</v>
      </c>
      <c r="N84" s="64" t="n">
        <f aca="false">M84</f>
        <v>46260</v>
      </c>
      <c r="O84" s="67" t="s">
        <v>1005</v>
      </c>
      <c r="P84" s="67" t="s">
        <v>949</v>
      </c>
      <c r="Q84" s="67"/>
      <c r="R84" s="67" t="s">
        <v>951</v>
      </c>
      <c r="S84" s="67" t="s">
        <v>952</v>
      </c>
      <c r="T84" s="67"/>
      <c r="U84" s="67" t="s">
        <v>953</v>
      </c>
      <c r="V84" s="67" t="s">
        <v>954</v>
      </c>
      <c r="W84" s="67" t="s">
        <v>955</v>
      </c>
    </row>
    <row r="85" customFormat="false" ht="15" hidden="true" customHeight="true" outlineLevel="0" collapsed="false">
      <c r="A85" s="75" t="s">
        <v>211</v>
      </c>
      <c r="B85" s="168" t="s">
        <v>210</v>
      </c>
      <c r="C85" s="173" t="s">
        <v>947</v>
      </c>
      <c r="D85" s="104" t="str">
        <f aca="false">IF(A85&lt;&gt;"",A85&amp;" | "&amp;B85&amp;" ["&amp;C85&amp;"]","")</f>
        <v>C12068 | MERLUZA EUROPEA PINCHO [FRESCO]</v>
      </c>
      <c r="E85" s="67" t="s">
        <v>365</v>
      </c>
      <c r="F85" s="1" t="n">
        <f aca="false">IF(AND(E85="S",C85="FRESCO"),COUNTIFS($E$3:E85,"S",$C$3:C85,"FRESCO"),"")</f>
        <v>70</v>
      </c>
      <c r="G85" s="1" t="str">
        <f aca="false">IF(AND(E85="S",C85&lt;&gt;"FRESCO"),COUNTIFS($E$3:E85,"S",$C$3:C85,"&lt;&gt;FRESCO"),"")</f>
        <v/>
      </c>
      <c r="H85" s="1" t="n">
        <f aca="false">IF(N85="","",IFERROR(SUMIFS(COMPRAS!$O$3:$O$4997,COMPRAS!$G$3:$G$4997,A85,COMPRAS!$B$3:$B$4997,N85)/SUMIFS(COMPRAS!$J$3:$J$4997,COMPRAS!$G$3:$G$4997,A85,COMPRAS!$B$3:$B$4997,N85),""))</f>
        <v>7.65</v>
      </c>
      <c r="I85" s="1" t="n">
        <f aca="false">IF(X85&lt;&gt;"",X85,IF(H85="","",ROUND(H85+1.7,2)))</f>
        <v>9.35</v>
      </c>
      <c r="J85" s="1" t="n">
        <f aca="false">IF(Y85&lt;&gt;"",Y85,IF(H85="","",ROUND(H85+1.9,2)))</f>
        <v>9.55</v>
      </c>
      <c r="K85" s="67"/>
      <c r="L85" s="67" t="s">
        <v>381</v>
      </c>
      <c r="M85" s="64" t="n">
        <f aca="false">IF(COUNTIF(COMPRAS!$G$3:$G$4997,A85)=0,"",SUMPRODUCT(MAX((COMPRAS!$G$3:$G$4997=A85)*COMPRAS!$B$3:$B$4997)))</f>
        <v>46265</v>
      </c>
      <c r="N85" s="64" t="n">
        <f aca="false">M85</f>
        <v>46265</v>
      </c>
      <c r="O85" s="67" t="s">
        <v>1005</v>
      </c>
      <c r="P85" s="67" t="s">
        <v>949</v>
      </c>
      <c r="Q85" s="67"/>
      <c r="R85" s="67" t="s">
        <v>951</v>
      </c>
      <c r="S85" s="67" t="s">
        <v>952</v>
      </c>
      <c r="T85" s="67"/>
      <c r="U85" s="67" t="s">
        <v>953</v>
      </c>
      <c r="V85" s="67" t="s">
        <v>954</v>
      </c>
      <c r="W85" s="67" t="s">
        <v>955</v>
      </c>
    </row>
    <row r="86" customFormat="false" ht="15" hidden="true" customHeight="true" outlineLevel="0" collapsed="false">
      <c r="A86" s="75" t="s">
        <v>212</v>
      </c>
      <c r="B86" s="168" t="s">
        <v>210</v>
      </c>
      <c r="C86" s="173" t="s">
        <v>947</v>
      </c>
      <c r="D86" s="104" t="str">
        <f aca="false">IF(A86&lt;&gt;"",A86&amp;" | "&amp;B86&amp;" ["&amp;C86&amp;"]","")</f>
        <v>C12061 | MERLUZA EUROPEA PINCHO [FRESCO]</v>
      </c>
      <c r="E86" s="67" t="s">
        <v>365</v>
      </c>
      <c r="F86" s="1" t="n">
        <f aca="false">IF(AND(E86="S",C86="FRESCO"),COUNTIFS($E$3:E86,"S",$C$3:C86,"FRESCO"),"")</f>
        <v>71</v>
      </c>
      <c r="G86" s="1" t="str">
        <f aca="false">IF(AND(E86="S",C86&lt;&gt;"FRESCO"),COUNTIFS($E$3:E86,"S",$C$3:C86,"&lt;&gt;FRESCO"),"")</f>
        <v/>
      </c>
      <c r="H86" s="1" t="str">
        <f aca="false">IF(N86="","",IFERROR(SUMIFS(COMPRAS!$O$3:$O$4997,COMPRAS!$G$3:$G$4997,A86,COMPRAS!$B$3:$B$4997,N86)/SUMIFS(COMPRAS!$J$3:$J$4997,COMPRAS!$G$3:$G$4997,A86,COMPRAS!$B$3:$B$4997,N86),""))</f>
        <v/>
      </c>
      <c r="I86" s="1" t="str">
        <f aca="false">IF(X86&lt;&gt;"",X86,IF(H86="","",ROUND(H86+1.7,2)))</f>
        <v/>
      </c>
      <c r="J86" s="1" t="str">
        <f aca="false">IF(Y86&lt;&gt;"",Y86,IF(H86="","",ROUND(H86+1.9,2)))</f>
        <v/>
      </c>
      <c r="K86" s="67"/>
      <c r="L86" s="67" t="s">
        <v>381</v>
      </c>
      <c r="M86" s="64" t="str">
        <f aca="false">IF(COUNTIF(COMPRAS!$G$3:$G$4997,A86)=0,"",SUMPRODUCT(MAX((COMPRAS!$G$3:$G$4997=A86)*COMPRAS!$B$3:$B$4997)))</f>
        <v/>
      </c>
      <c r="N86" s="64" t="str">
        <f aca="false">M86</f>
        <v/>
      </c>
      <c r="O86" s="67" t="s">
        <v>1005</v>
      </c>
      <c r="P86" s="67" t="s">
        <v>949</v>
      </c>
      <c r="Q86" s="67"/>
      <c r="R86" s="67" t="s">
        <v>951</v>
      </c>
      <c r="S86" s="67" t="s">
        <v>952</v>
      </c>
      <c r="T86" s="67"/>
      <c r="U86" s="67" t="s">
        <v>953</v>
      </c>
      <c r="V86" s="67" t="s">
        <v>954</v>
      </c>
      <c r="W86" s="67" t="s">
        <v>955</v>
      </c>
    </row>
    <row r="87" customFormat="false" ht="15" hidden="true" customHeight="true" outlineLevel="0" collapsed="false">
      <c r="A87" s="75" t="s">
        <v>213</v>
      </c>
      <c r="B87" s="168" t="s">
        <v>210</v>
      </c>
      <c r="C87" s="173" t="s">
        <v>947</v>
      </c>
      <c r="D87" s="104" t="str">
        <f aca="false">IF(A87&lt;&gt;"",A87&amp;" | "&amp;B87&amp;" ["&amp;C87&amp;"]","")</f>
        <v>C12061+ | MERLUZA EUROPEA PINCHO [FRESCO]</v>
      </c>
      <c r="E87" s="67" t="s">
        <v>365</v>
      </c>
      <c r="F87" s="1" t="n">
        <f aca="false">IF(AND(E87="S",C87="FRESCO"),COUNTIFS($E$3:E87,"S",$C$3:C87,"FRESCO"),"")</f>
        <v>72</v>
      </c>
      <c r="G87" s="1" t="str">
        <f aca="false">IF(AND(E87="S",C87&lt;&gt;"FRESCO"),COUNTIFS($E$3:E87,"S",$C$3:C87,"&lt;&gt;FRESCO"),"")</f>
        <v/>
      </c>
      <c r="H87" s="1" t="str">
        <f aca="false">IF(N87="","",IFERROR(SUMIFS(COMPRAS!$O$3:$O$4997,COMPRAS!$G$3:$G$4997,A87,COMPRAS!$B$3:$B$4997,N87)/SUMIFS(COMPRAS!$J$3:$J$4997,COMPRAS!$G$3:$G$4997,A87,COMPRAS!$B$3:$B$4997,N87),""))</f>
        <v/>
      </c>
      <c r="I87" s="1" t="str">
        <f aca="false">IF(X87&lt;&gt;"",X87,IF(H87="","",ROUND(H87+1.7,2)))</f>
        <v/>
      </c>
      <c r="J87" s="1" t="str">
        <f aca="false">IF(Y87&lt;&gt;"",Y87,IF(H87="","",ROUND(H87+1.9,2)))</f>
        <v/>
      </c>
      <c r="K87" s="67"/>
      <c r="L87" s="67" t="s">
        <v>381</v>
      </c>
      <c r="M87" s="64" t="str">
        <f aca="false">IF(COUNTIF(COMPRAS!$G$3:$G$4997,A87)=0,"",SUMPRODUCT(MAX((COMPRAS!$G$3:$G$4997=A87)*COMPRAS!$B$3:$B$4997)))</f>
        <v/>
      </c>
      <c r="N87" s="64" t="str">
        <f aca="false">M87</f>
        <v/>
      </c>
      <c r="O87" s="67" t="s">
        <v>1005</v>
      </c>
      <c r="P87" s="67" t="s">
        <v>949</v>
      </c>
      <c r="Q87" s="67"/>
      <c r="R87" s="67" t="s">
        <v>951</v>
      </c>
      <c r="S87" s="67" t="s">
        <v>952</v>
      </c>
      <c r="T87" s="67"/>
      <c r="U87" s="67" t="s">
        <v>953</v>
      </c>
      <c r="V87" s="67" t="s">
        <v>954</v>
      </c>
      <c r="W87" s="67" t="s">
        <v>955</v>
      </c>
    </row>
    <row r="88" customFormat="false" ht="15" hidden="true" customHeight="true" outlineLevel="0" collapsed="false">
      <c r="A88" s="75" t="s">
        <v>214</v>
      </c>
      <c r="B88" s="168" t="s">
        <v>210</v>
      </c>
      <c r="C88" s="173" t="s">
        <v>947</v>
      </c>
      <c r="D88" s="104" t="str">
        <f aca="false">IF(A88&lt;&gt;"",A88&amp;" | "&amp;B88&amp;" ["&amp;C88&amp;"]","")</f>
        <v>C120615 | MERLUZA EUROPEA PINCHO [FRESCO]</v>
      </c>
      <c r="E88" s="67" t="s">
        <v>365</v>
      </c>
      <c r="F88" s="1" t="n">
        <f aca="false">IF(AND(E88="S",C88="FRESCO"),COUNTIFS($E$3:E88,"S",$C$3:C88,"FRESCO"),"")</f>
        <v>73</v>
      </c>
      <c r="G88" s="1" t="str">
        <f aca="false">IF(AND(E88="S",C88&lt;&gt;"FRESCO"),COUNTIFS($E$3:E88,"S",$C$3:C88,"&lt;&gt;FRESCO"),"")</f>
        <v/>
      </c>
      <c r="H88" s="1" t="str">
        <f aca="false">IF(N88="","",IFERROR(SUMIFS(COMPRAS!$O$3:$O$4997,COMPRAS!$G$3:$G$4997,A88,COMPRAS!$B$3:$B$4997,N88)/SUMIFS(COMPRAS!$J$3:$J$4997,COMPRAS!$G$3:$G$4997,A88,COMPRAS!$B$3:$B$4997,N88),""))</f>
        <v/>
      </c>
      <c r="I88" s="1" t="str">
        <f aca="false">IF(X88&lt;&gt;"",X88,IF(H88="","",ROUND(H88+1.7,2)))</f>
        <v/>
      </c>
      <c r="J88" s="1" t="str">
        <f aca="false">IF(Y88&lt;&gt;"",Y88,IF(H88="","",ROUND(H88+1.9,2)))</f>
        <v/>
      </c>
      <c r="K88" s="67"/>
      <c r="L88" s="67" t="s">
        <v>381</v>
      </c>
      <c r="M88" s="64" t="str">
        <f aca="false">IF(COUNTIF(COMPRAS!$G$3:$G$4997,A88)=0,"",SUMPRODUCT(MAX((COMPRAS!$G$3:$G$4997=A88)*COMPRAS!$B$3:$B$4997)))</f>
        <v/>
      </c>
      <c r="N88" s="64" t="str">
        <f aca="false">M88</f>
        <v/>
      </c>
      <c r="O88" s="67" t="s">
        <v>1005</v>
      </c>
      <c r="P88" s="67" t="s">
        <v>949</v>
      </c>
      <c r="Q88" s="67"/>
      <c r="R88" s="67" t="s">
        <v>951</v>
      </c>
      <c r="S88" s="67" t="s">
        <v>952</v>
      </c>
      <c r="T88" s="67"/>
      <c r="U88" s="67" t="s">
        <v>953</v>
      </c>
      <c r="V88" s="67" t="s">
        <v>954</v>
      </c>
      <c r="W88" s="67" t="s">
        <v>955</v>
      </c>
    </row>
    <row r="89" customFormat="false" ht="15" hidden="true" customHeight="true" outlineLevel="0" collapsed="false">
      <c r="A89" s="75" t="s">
        <v>215</v>
      </c>
      <c r="B89" s="168" t="s">
        <v>210</v>
      </c>
      <c r="C89" s="173" t="s">
        <v>947</v>
      </c>
      <c r="D89" s="104" t="str">
        <f aca="false">IF(A89&lt;&gt;"",A89&amp;" | "&amp;B89&amp;" ["&amp;C89&amp;"]","")</f>
        <v>C120620 | MERLUZA EUROPEA PINCHO [FRESCO]</v>
      </c>
      <c r="E89" s="67" t="s">
        <v>365</v>
      </c>
      <c r="F89" s="1" t="n">
        <f aca="false">IF(AND(E89="S",C89="FRESCO"),COUNTIFS($E$3:E89,"S",$C$3:C89,"FRESCO"),"")</f>
        <v>74</v>
      </c>
      <c r="G89" s="1" t="str">
        <f aca="false">IF(AND(E89="S",C89&lt;&gt;"FRESCO"),COUNTIFS($E$3:E89,"S",$C$3:C89,"&lt;&gt;FRESCO"),"")</f>
        <v/>
      </c>
      <c r="H89" s="1" t="str">
        <f aca="false">IF(N89="","",IFERROR(SUMIFS(COMPRAS!$O$3:$O$4997,COMPRAS!$G$3:$G$4997,A89,COMPRAS!$B$3:$B$4997,N89)/SUMIFS(COMPRAS!$J$3:$J$4997,COMPRAS!$G$3:$G$4997,A89,COMPRAS!$B$3:$B$4997,N89),""))</f>
        <v/>
      </c>
      <c r="I89" s="1" t="str">
        <f aca="false">IF(X89&lt;&gt;"",X89,IF(H89="","",ROUND(H89+1.7,2)))</f>
        <v/>
      </c>
      <c r="J89" s="1" t="str">
        <f aca="false">IF(Y89&lt;&gt;"",Y89,IF(H89="","",ROUND(H89+1.9,2)))</f>
        <v/>
      </c>
      <c r="K89" s="67"/>
      <c r="L89" s="67" t="s">
        <v>381</v>
      </c>
      <c r="M89" s="64" t="str">
        <f aca="false">IF(COUNTIF(COMPRAS!$G$3:$G$4997,A89)=0,"",SUMPRODUCT(MAX((COMPRAS!$G$3:$G$4997=A89)*COMPRAS!$B$3:$B$4997)))</f>
        <v/>
      </c>
      <c r="N89" s="64" t="str">
        <f aca="false">M89</f>
        <v/>
      </c>
      <c r="O89" s="67" t="s">
        <v>1005</v>
      </c>
      <c r="P89" s="67" t="s">
        <v>949</v>
      </c>
      <c r="Q89" s="67"/>
      <c r="R89" s="67" t="s">
        <v>951</v>
      </c>
      <c r="S89" s="67" t="s">
        <v>952</v>
      </c>
      <c r="T89" s="67"/>
      <c r="U89" s="67" t="s">
        <v>953</v>
      </c>
      <c r="V89" s="67" t="s">
        <v>954</v>
      </c>
      <c r="W89" s="67" t="s">
        <v>955</v>
      </c>
    </row>
    <row r="90" customFormat="false" ht="15" hidden="true" customHeight="true" outlineLevel="0" collapsed="false">
      <c r="A90" s="75" t="s">
        <v>216</v>
      </c>
      <c r="B90" s="168" t="s">
        <v>217</v>
      </c>
      <c r="C90" s="173" t="s">
        <v>947</v>
      </c>
      <c r="D90" s="104" t="str">
        <f aca="false">IF(A90&lt;&gt;"",A90&amp;" | "&amp;B90&amp;" ["&amp;C90&amp;"]","")</f>
        <v>C1300 | MERLUZA EUROPEA PINCHO COSTA [FRESCO]</v>
      </c>
      <c r="E90" s="67" t="s">
        <v>365</v>
      </c>
      <c r="F90" s="1" t="n">
        <f aca="false">IF(AND(E90="S",C90="FRESCO"),COUNTIFS($E$3:E90,"S",$C$3:C90,"FRESCO"),"")</f>
        <v>75</v>
      </c>
      <c r="G90" s="1" t="str">
        <f aca="false">IF(AND(E90="S",C90&lt;&gt;"FRESCO"),COUNTIFS($E$3:E90,"S",$C$3:C90,"&lt;&gt;FRESCO"),"")</f>
        <v/>
      </c>
      <c r="H90" s="1" t="n">
        <f aca="false">IF(N90="","",IFERROR(SUMIFS(COMPRAS!$O$3:$O$4997,COMPRAS!$G$3:$G$4997,A90,COMPRAS!$B$3:$B$4997,N90)/SUMIFS(COMPRAS!$J$3:$J$4997,COMPRAS!$G$3:$G$4997,A90,COMPRAS!$B$3:$B$4997,N90),""))</f>
        <v>9.28435838150289</v>
      </c>
      <c r="I90" s="1" t="n">
        <f aca="false">IF(X90&lt;&gt;"",X90,IF(H90="","",ROUND(H90+1.7,2)))</f>
        <v>10.98</v>
      </c>
      <c r="J90" s="1" t="n">
        <f aca="false">IF(Y90&lt;&gt;"",Y90,IF(H90="","",ROUND(H90+1.9,2)))</f>
        <v>11.18</v>
      </c>
      <c r="K90" s="67"/>
      <c r="L90" s="67" t="s">
        <v>381</v>
      </c>
      <c r="M90" s="64" t="n">
        <f aca="false">IF(COUNTIF(COMPRAS!$G$3:$G$4997,A90)=0,"",SUMPRODUCT(MAX((COMPRAS!$G$3:$G$4997=A90)*COMPRAS!$B$3:$B$4997)))</f>
        <v>46275</v>
      </c>
      <c r="N90" s="64" t="n">
        <f aca="false">M90</f>
        <v>46275</v>
      </c>
      <c r="O90" s="67" t="s">
        <v>1005</v>
      </c>
      <c r="P90" s="67" t="s">
        <v>949</v>
      </c>
      <c r="Q90" s="67" t="s">
        <v>950</v>
      </c>
      <c r="R90" s="67" t="s">
        <v>951</v>
      </c>
      <c r="S90" s="67" t="s">
        <v>952</v>
      </c>
      <c r="T90" s="67"/>
      <c r="U90" s="67" t="s">
        <v>953</v>
      </c>
      <c r="V90" s="67" t="s">
        <v>954</v>
      </c>
      <c r="W90" s="67" t="s">
        <v>955</v>
      </c>
    </row>
    <row r="91" customFormat="false" ht="15" hidden="true" customHeight="true" outlineLevel="0" collapsed="false">
      <c r="A91" s="75" t="s">
        <v>218</v>
      </c>
      <c r="B91" s="168" t="s">
        <v>1016</v>
      </c>
      <c r="C91" s="173" t="s">
        <v>947</v>
      </c>
      <c r="D91" s="104" t="str">
        <f aca="false">IF(A91&lt;&gt;"",A91&amp;" | "&amp;B91&amp;" ["&amp;C91&amp;"]","")</f>
        <v>C13004 | MERLUZA EUROPEA PINCHO COSTA 400 [FRESCO]</v>
      </c>
      <c r="E91" s="67" t="s">
        <v>365</v>
      </c>
      <c r="F91" s="1" t="n">
        <f aca="false">IF(AND(E91="S",C91="FRESCO"),COUNTIFS($E$3:E91,"S",$C$3:C91,"FRESCO"),"")</f>
        <v>76</v>
      </c>
      <c r="G91" s="1" t="str">
        <f aca="false">IF(AND(E91="S",C91&lt;&gt;"FRESCO"),COUNTIFS($E$3:E91,"S",$C$3:C91,"&lt;&gt;FRESCO"),"")</f>
        <v/>
      </c>
      <c r="H91" s="1" t="str">
        <f aca="false">IF(N91="","",IFERROR(SUMIFS(COMPRAS!$O$3:$O$4997,COMPRAS!$G$3:$G$4997,A91,COMPRAS!$B$3:$B$4997,N91)/SUMIFS(COMPRAS!$J$3:$J$4997,COMPRAS!$G$3:$G$4997,A91,COMPRAS!$B$3:$B$4997,N91),""))</f>
        <v/>
      </c>
      <c r="I91" s="1" t="str">
        <f aca="false">IF(X91&lt;&gt;"",X91,IF(H91="","",ROUND(H91+1.7,2)))</f>
        <v/>
      </c>
      <c r="J91" s="1" t="str">
        <f aca="false">IF(Y91&lt;&gt;"",Y91,IF(H91="","",ROUND(H91+1.9,2)))</f>
        <v/>
      </c>
      <c r="K91" s="67"/>
      <c r="L91" s="67" t="s">
        <v>381</v>
      </c>
      <c r="M91" s="64" t="str">
        <f aca="false">IF(COUNTIF(COMPRAS!$G$3:$G$4997,A91)=0,"",SUMPRODUCT(MAX((COMPRAS!$G$3:$G$4997=A91)*COMPRAS!$B$3:$B$4997)))</f>
        <v/>
      </c>
      <c r="N91" s="64" t="str">
        <f aca="false">M91</f>
        <v/>
      </c>
      <c r="O91" s="67" t="s">
        <v>1005</v>
      </c>
      <c r="P91" s="67" t="s">
        <v>949</v>
      </c>
      <c r="Q91" s="67" t="s">
        <v>950</v>
      </c>
      <c r="R91" s="67" t="s">
        <v>951</v>
      </c>
      <c r="S91" s="67" t="s">
        <v>952</v>
      </c>
      <c r="T91" s="67"/>
      <c r="U91" s="67" t="s">
        <v>953</v>
      </c>
      <c r="V91" s="67" t="s">
        <v>954</v>
      </c>
      <c r="W91" s="67" t="s">
        <v>955</v>
      </c>
    </row>
    <row r="92" customFormat="false" ht="15" hidden="true" customHeight="true" outlineLevel="0" collapsed="false">
      <c r="A92" s="75" t="s">
        <v>219</v>
      </c>
      <c r="B92" s="168" t="s">
        <v>220</v>
      </c>
      <c r="C92" s="173" t="s">
        <v>947</v>
      </c>
      <c r="D92" s="104" t="str">
        <f aca="false">IF(A92&lt;&gt;"",A92&amp;" | "&amp;B92&amp;" ["&amp;C92&amp;"]","")</f>
        <v>C13006 | MERLUZA EUROPEA PINCHO COSTA 600 [FRESCO]</v>
      </c>
      <c r="E92" s="67" t="s">
        <v>365</v>
      </c>
      <c r="F92" s="1" t="n">
        <f aca="false">IF(AND(E92="S",C92="FRESCO"),COUNTIFS($E$3:E92,"S",$C$3:C92,"FRESCO"),"")</f>
        <v>77</v>
      </c>
      <c r="G92" s="1" t="str">
        <f aca="false">IF(AND(E92="S",C92&lt;&gt;"FRESCO"),COUNTIFS($E$3:E92,"S",$C$3:C92,"&lt;&gt;FRESCO"),"")</f>
        <v/>
      </c>
      <c r="H92" s="1" t="n">
        <f aca="false">IF(N92="","",IFERROR(SUMIFS(COMPRAS!$O$3:$O$4997,COMPRAS!$G$3:$G$4997,A92,COMPRAS!$B$3:$B$4997,N92)/SUMIFS(COMPRAS!$J$3:$J$4997,COMPRAS!$G$3:$G$4997,A92,COMPRAS!$B$3:$B$4997,N92),""))</f>
        <v>4.21428440366973</v>
      </c>
      <c r="I92" s="1" t="n">
        <f aca="false">IF(X92&lt;&gt;"",X92,IF(H92="","",ROUND(H92+1.7,2)))</f>
        <v>5.91</v>
      </c>
      <c r="J92" s="1" t="n">
        <f aca="false">IF(Y92&lt;&gt;"",Y92,IF(H92="","",ROUND(H92+1.9,2)))</f>
        <v>6.11</v>
      </c>
      <c r="K92" s="67"/>
      <c r="L92" s="67" t="s">
        <v>381</v>
      </c>
      <c r="M92" s="64" t="n">
        <f aca="false">IF(COUNTIF(COMPRAS!$G$3:$G$4997,A92)=0,"",SUMPRODUCT(MAX((COMPRAS!$G$3:$G$4997=A92)*COMPRAS!$B$3:$B$4997)))</f>
        <v>46269</v>
      </c>
      <c r="N92" s="64" t="n">
        <f aca="false">M92</f>
        <v>46269</v>
      </c>
      <c r="O92" s="67" t="s">
        <v>1005</v>
      </c>
      <c r="P92" s="67" t="s">
        <v>949</v>
      </c>
      <c r="Q92" s="67" t="s">
        <v>950</v>
      </c>
      <c r="R92" s="67" t="s">
        <v>951</v>
      </c>
      <c r="S92" s="67" t="s">
        <v>952</v>
      </c>
      <c r="T92" s="67"/>
      <c r="U92" s="67" t="s">
        <v>953</v>
      </c>
      <c r="V92" s="67" t="s">
        <v>954</v>
      </c>
      <c r="W92" s="67" t="s">
        <v>955</v>
      </c>
    </row>
    <row r="93" customFormat="false" ht="15" hidden="true" customHeight="true" outlineLevel="0" collapsed="false">
      <c r="A93" s="75" t="s">
        <v>221</v>
      </c>
      <c r="B93" s="168" t="s">
        <v>222</v>
      </c>
      <c r="C93" s="173" t="s">
        <v>947</v>
      </c>
      <c r="D93" s="104" t="str">
        <f aca="false">IF(A93&lt;&gt;"",A93&amp;" | "&amp;B93&amp;" ["&amp;C93&amp;"]","")</f>
        <v>C13008 | MERLUZA EUROPEA PINCHO COSTA 800 [FRESCO]</v>
      </c>
      <c r="E93" s="67" t="s">
        <v>365</v>
      </c>
      <c r="F93" s="1" t="n">
        <f aca="false">IF(AND(E93="S",C93="FRESCO"),COUNTIFS($E$3:E93,"S",$C$3:C93,"FRESCO"),"")</f>
        <v>78</v>
      </c>
      <c r="G93" s="1" t="str">
        <f aca="false">IF(AND(E93="S",C93&lt;&gt;"FRESCO"),COUNTIFS($E$3:E93,"S",$C$3:C93,"&lt;&gt;FRESCO"),"")</f>
        <v/>
      </c>
      <c r="H93" s="1" t="n">
        <f aca="false">IF(N93="","",IFERROR(SUMIFS(COMPRAS!$O$3:$O$4997,COMPRAS!$G$3:$G$4997,A93,COMPRAS!$B$3:$B$4997,N93)/SUMIFS(COMPRAS!$J$3:$J$4997,COMPRAS!$G$3:$G$4997,A93,COMPRAS!$B$3:$B$4997,N93),""))</f>
        <v>6.68237466307278</v>
      </c>
      <c r="I93" s="1" t="n">
        <f aca="false">IF(X93&lt;&gt;"",X93,IF(H93="","",ROUND(H93+1.7,2)))</f>
        <v>8.38</v>
      </c>
      <c r="J93" s="1" t="n">
        <f aca="false">IF(Y93&lt;&gt;"",Y93,IF(H93="","",ROUND(H93+1.9,2)))</f>
        <v>8.58</v>
      </c>
      <c r="K93" s="67"/>
      <c r="L93" s="67" t="s">
        <v>381</v>
      </c>
      <c r="M93" s="64" t="n">
        <f aca="false">IF(COUNTIF(COMPRAS!$G$3:$G$4997,A93)=0,"",SUMPRODUCT(MAX((COMPRAS!$G$3:$G$4997=A93)*COMPRAS!$B$3:$B$4997)))</f>
        <v>46273</v>
      </c>
      <c r="N93" s="64" t="n">
        <f aca="false">M93</f>
        <v>46273</v>
      </c>
      <c r="O93" s="67" t="s">
        <v>1005</v>
      </c>
      <c r="P93" s="67" t="s">
        <v>949</v>
      </c>
      <c r="Q93" s="67" t="s">
        <v>950</v>
      </c>
      <c r="R93" s="67" t="s">
        <v>951</v>
      </c>
      <c r="S93" s="67" t="s">
        <v>952</v>
      </c>
      <c r="T93" s="67"/>
      <c r="U93" s="67" t="s">
        <v>953</v>
      </c>
      <c r="V93" s="67" t="s">
        <v>954</v>
      </c>
      <c r="W93" s="67" t="s">
        <v>955</v>
      </c>
    </row>
    <row r="94" customFormat="false" ht="15" hidden="true" customHeight="true" outlineLevel="0" collapsed="false">
      <c r="A94" s="75" t="s">
        <v>223</v>
      </c>
      <c r="B94" s="168" t="s">
        <v>224</v>
      </c>
      <c r="C94" s="173" t="s">
        <v>947</v>
      </c>
      <c r="D94" s="104" t="str">
        <f aca="false">IF(A94&lt;&gt;"",A94&amp;" | "&amp;B94&amp;" ["&amp;C94&amp;"]","")</f>
        <v>C13001 | MERLUZA EUROPEA PINCHO COSTA 1000 [FRESCO]</v>
      </c>
      <c r="E94" s="67" t="s">
        <v>365</v>
      </c>
      <c r="F94" s="1" t="n">
        <f aca="false">IF(AND(E94="S",C94="FRESCO"),COUNTIFS($E$3:E94,"S",$C$3:C94,"FRESCO"),"")</f>
        <v>79</v>
      </c>
      <c r="G94" s="1" t="str">
        <f aca="false">IF(AND(E94="S",C94&lt;&gt;"FRESCO"),COUNTIFS($E$3:E94,"S",$C$3:C94,"&lt;&gt;FRESCO"),"")</f>
        <v/>
      </c>
      <c r="H94" s="1" t="n">
        <f aca="false">IF(N94="","",IFERROR(SUMIFS(COMPRAS!$O$3:$O$4997,COMPRAS!$G$3:$G$4997,A94,COMPRAS!$B$3:$B$4997,N94)/SUMIFS(COMPRAS!$J$3:$J$4997,COMPRAS!$G$3:$G$4997,A94,COMPRAS!$B$3:$B$4997,N94),""))</f>
        <v>7.242</v>
      </c>
      <c r="I94" s="1" t="n">
        <f aca="false">IF(X94&lt;&gt;"",X94,IF(H94="","",ROUND(H94+1.7,2)))</f>
        <v>8.94</v>
      </c>
      <c r="J94" s="1" t="n">
        <f aca="false">IF(Y94&lt;&gt;"",Y94,IF(H94="","",ROUND(H94+1.9,2)))</f>
        <v>9.14</v>
      </c>
      <c r="K94" s="67"/>
      <c r="L94" s="67" t="s">
        <v>381</v>
      </c>
      <c r="M94" s="64" t="n">
        <f aca="false">IF(COUNTIF(COMPRAS!$G$3:$G$4997,A94)=0,"",SUMPRODUCT(MAX((COMPRAS!$G$3:$G$4997=A94)*COMPRAS!$B$3:$B$4997)))</f>
        <v>46273</v>
      </c>
      <c r="N94" s="64" t="n">
        <f aca="false">M94</f>
        <v>46273</v>
      </c>
      <c r="O94" s="67" t="s">
        <v>1005</v>
      </c>
      <c r="P94" s="67" t="s">
        <v>949</v>
      </c>
      <c r="Q94" s="67" t="s">
        <v>950</v>
      </c>
      <c r="R94" s="67" t="s">
        <v>951</v>
      </c>
      <c r="S94" s="67" t="s">
        <v>952</v>
      </c>
      <c r="T94" s="67"/>
      <c r="U94" s="67" t="s">
        <v>953</v>
      </c>
      <c r="V94" s="67" t="s">
        <v>954</v>
      </c>
      <c r="W94" s="67" t="s">
        <v>955</v>
      </c>
    </row>
    <row r="95" customFormat="false" ht="15" hidden="true" customHeight="true" outlineLevel="0" collapsed="false">
      <c r="A95" s="75" t="s">
        <v>225</v>
      </c>
      <c r="B95" s="168" t="s">
        <v>226</v>
      </c>
      <c r="C95" s="173" t="s">
        <v>947</v>
      </c>
      <c r="D95" s="104" t="str">
        <f aca="false">IF(A95&lt;&gt;"",A95&amp;" | "&amp;B95&amp;" ["&amp;C95&amp;"]","")</f>
        <v>C13001+ | MERLUZA EUROPEA PINCHO COSTA 1,251,5 [FRESCO]</v>
      </c>
      <c r="E95" s="67" t="s">
        <v>365</v>
      </c>
      <c r="F95" s="1" t="n">
        <f aca="false">IF(AND(E95="S",C95="FRESCO"),COUNTIFS($E$3:E95,"S",$C$3:C95,"FRESCO"),"")</f>
        <v>80</v>
      </c>
      <c r="G95" s="1" t="str">
        <f aca="false">IF(AND(E95="S",C95&lt;&gt;"FRESCO"),COUNTIFS($E$3:E95,"S",$C$3:C95,"&lt;&gt;FRESCO"),"")</f>
        <v/>
      </c>
      <c r="H95" s="1" t="n">
        <f aca="false">IF(N95="","",IFERROR(SUMIFS(COMPRAS!$O$3:$O$4997,COMPRAS!$G$3:$G$4997,A95,COMPRAS!$B$3:$B$4997,N95)/SUMIFS(COMPRAS!$J$3:$J$4997,COMPRAS!$G$3:$G$4997,A95,COMPRAS!$B$3:$B$4997,N95),""))</f>
        <v>10.71</v>
      </c>
      <c r="I95" s="1" t="n">
        <f aca="false">IF(X95&lt;&gt;"",X95,IF(H95="","",ROUND(H95+1.7,2)))</f>
        <v>12.41</v>
      </c>
      <c r="J95" s="1" t="n">
        <f aca="false">IF(Y95&lt;&gt;"",Y95,IF(H95="","",ROUND(H95+1.9,2)))</f>
        <v>12.61</v>
      </c>
      <c r="K95" s="67"/>
      <c r="L95" s="67" t="s">
        <v>381</v>
      </c>
      <c r="M95" s="64" t="n">
        <f aca="false">IF(COUNTIF(COMPRAS!$G$3:$G$4997,A95)=0,"",SUMPRODUCT(MAX((COMPRAS!$G$3:$G$4997=A95)*COMPRAS!$B$3:$B$4997)))</f>
        <v>46273</v>
      </c>
      <c r="N95" s="64" t="n">
        <f aca="false">M95</f>
        <v>46273</v>
      </c>
      <c r="O95" s="67" t="s">
        <v>1005</v>
      </c>
      <c r="P95" s="67" t="s">
        <v>949</v>
      </c>
      <c r="Q95" s="67" t="s">
        <v>950</v>
      </c>
      <c r="R95" s="67" t="s">
        <v>951</v>
      </c>
      <c r="S95" s="67" t="s">
        <v>952</v>
      </c>
      <c r="T95" s="67"/>
      <c r="U95" s="67" t="s">
        <v>953</v>
      </c>
      <c r="V95" s="67" t="s">
        <v>954</v>
      </c>
      <c r="W95" s="67" t="s">
        <v>955</v>
      </c>
    </row>
    <row r="96" customFormat="false" ht="15" hidden="true" customHeight="true" outlineLevel="0" collapsed="false">
      <c r="A96" s="75" t="s">
        <v>227</v>
      </c>
      <c r="B96" s="168" t="s">
        <v>228</v>
      </c>
      <c r="C96" s="173" t="s">
        <v>947</v>
      </c>
      <c r="D96" s="104" t="str">
        <f aca="false">IF(A96&lt;&gt;"",A96&amp;" | "&amp;B96&amp;" ["&amp;C96&amp;"]","")</f>
        <v>C130015 | MERLUZA EUROPEA PINCHO COSTA 1,5/2 [FRESCO]</v>
      </c>
      <c r="E96" s="67" t="s">
        <v>365</v>
      </c>
      <c r="F96" s="1" t="n">
        <f aca="false">IF(AND(E96="S",C96="FRESCO"),COUNTIFS($E$3:E96,"S",$C$3:C96,"FRESCO"),"")</f>
        <v>81</v>
      </c>
      <c r="G96" s="1" t="str">
        <f aca="false">IF(AND(E96="S",C96&lt;&gt;"FRESCO"),COUNTIFS($E$3:E96,"S",$C$3:C96,"&lt;&gt;FRESCO"),"")</f>
        <v/>
      </c>
      <c r="H96" s="1" t="n">
        <f aca="false">IF(N96="","",IFERROR(SUMIFS(COMPRAS!$O$3:$O$4997,COMPRAS!$G$3:$G$4997,A96,COMPRAS!$B$3:$B$4997,N96)/SUMIFS(COMPRAS!$J$3:$J$4997,COMPRAS!$G$3:$G$4997,A96,COMPRAS!$B$3:$B$4997,N96),""))</f>
        <v>12.3416091954023</v>
      </c>
      <c r="I96" s="1" t="n">
        <f aca="false">IF(X96&lt;&gt;"",X96,IF(H96="","",ROUND(H96+1.7,2)))</f>
        <v>14.04</v>
      </c>
      <c r="J96" s="1" t="n">
        <f aca="false">IF(Y96&lt;&gt;"",Y96,IF(H96="","",ROUND(H96+1.9,2)))</f>
        <v>14.24</v>
      </c>
      <c r="K96" s="67"/>
      <c r="L96" s="67" t="s">
        <v>381</v>
      </c>
      <c r="M96" s="64" t="n">
        <f aca="false">IF(COUNTIF(COMPRAS!$G$3:$G$4997,A96)=0,"",SUMPRODUCT(MAX((COMPRAS!$G$3:$G$4997=A96)*COMPRAS!$B$3:$B$4997)))</f>
        <v>46273</v>
      </c>
      <c r="N96" s="64" t="n">
        <f aca="false">M96</f>
        <v>46273</v>
      </c>
      <c r="O96" s="67" t="s">
        <v>1005</v>
      </c>
      <c r="P96" s="67" t="s">
        <v>949</v>
      </c>
      <c r="Q96" s="67" t="s">
        <v>950</v>
      </c>
      <c r="R96" s="67" t="s">
        <v>951</v>
      </c>
      <c r="S96" s="67" t="s">
        <v>952</v>
      </c>
      <c r="T96" s="67"/>
      <c r="U96" s="67" t="s">
        <v>953</v>
      </c>
      <c r="V96" s="67" t="s">
        <v>954</v>
      </c>
      <c r="W96" s="67" t="s">
        <v>955</v>
      </c>
    </row>
    <row r="97" customFormat="false" ht="15" hidden="true" customHeight="true" outlineLevel="0" collapsed="false">
      <c r="A97" s="75" t="s">
        <v>229</v>
      </c>
      <c r="B97" s="168" t="s">
        <v>230</v>
      </c>
      <c r="C97" s="173" t="s">
        <v>947</v>
      </c>
      <c r="D97" s="104" t="str">
        <f aca="false">IF(A97&lt;&gt;"",A97&amp;" | "&amp;B97&amp;" ["&amp;C97&amp;"]","")</f>
        <v>C130020 | MERLUZA EUROPEA PINCHO COSTA 2+ [FRESCO]</v>
      </c>
      <c r="E97" s="67" t="s">
        <v>365</v>
      </c>
      <c r="F97" s="1" t="n">
        <f aca="false">IF(AND(E97="S",C97="FRESCO"),COUNTIFS($E$3:E97,"S",$C$3:C97,"FRESCO"),"")</f>
        <v>82</v>
      </c>
      <c r="G97" s="1" t="str">
        <f aca="false">IF(AND(E97="S",C97&lt;&gt;"FRESCO"),COUNTIFS($E$3:E97,"S",$C$3:C97,"&lt;&gt;FRESCO"),"")</f>
        <v/>
      </c>
      <c r="H97" s="1" t="n">
        <f aca="false">IF(N97="","",IFERROR(SUMIFS(COMPRAS!$O$3:$O$4997,COMPRAS!$G$3:$G$4997,A97,COMPRAS!$B$3:$B$4997,N97)/SUMIFS(COMPRAS!$J$3:$J$4997,COMPRAS!$G$3:$G$4997,A97,COMPRAS!$B$3:$B$4997,N97),""))</f>
        <v>12.24</v>
      </c>
      <c r="I97" s="1" t="n">
        <f aca="false">IF(X97&lt;&gt;"",X97,IF(H97="","",ROUND(H97+1.7,2)))</f>
        <v>13.94</v>
      </c>
      <c r="J97" s="1" t="n">
        <f aca="false">IF(Y97&lt;&gt;"",Y97,IF(H97="","",ROUND(H97+1.9,2)))</f>
        <v>14.14</v>
      </c>
      <c r="K97" s="67"/>
      <c r="L97" s="67" t="s">
        <v>381</v>
      </c>
      <c r="M97" s="64" t="n">
        <f aca="false">IF(COUNTIF(COMPRAS!$G$3:$G$4997,A97)=0,"",SUMPRODUCT(MAX((COMPRAS!$G$3:$G$4997=A97)*COMPRAS!$B$3:$B$4997)))</f>
        <v>46254</v>
      </c>
      <c r="N97" s="64" t="n">
        <f aca="false">M97</f>
        <v>46254</v>
      </c>
      <c r="O97" s="67" t="s">
        <v>1005</v>
      </c>
      <c r="P97" s="67" t="s">
        <v>949</v>
      </c>
      <c r="Q97" s="67" t="s">
        <v>950</v>
      </c>
      <c r="R97" s="67" t="s">
        <v>951</v>
      </c>
      <c r="S97" s="67" t="s">
        <v>952</v>
      </c>
      <c r="T97" s="67"/>
      <c r="U97" s="67" t="s">
        <v>953</v>
      </c>
      <c r="V97" s="67" t="s">
        <v>954</v>
      </c>
      <c r="W97" s="67" t="s">
        <v>955</v>
      </c>
    </row>
    <row r="98" customFormat="false" ht="15" hidden="true" customHeight="true" outlineLevel="0" collapsed="false">
      <c r="A98" s="75" t="s">
        <v>231</v>
      </c>
      <c r="B98" s="168" t="s">
        <v>1017</v>
      </c>
      <c r="C98" s="173" t="s">
        <v>947</v>
      </c>
      <c r="D98" s="104" t="str">
        <f aca="false">IF(A98&lt;&gt;"",A98&amp;" | "&amp;B98&amp;" ["&amp;C98&amp;"]","")</f>
        <v>C130025 | MERLUZA EUROPEA PINCHO COSTA 2,5+ [FRESCO]</v>
      </c>
      <c r="E98" s="67" t="s">
        <v>365</v>
      </c>
      <c r="F98" s="1" t="n">
        <f aca="false">IF(AND(E98="S",C98="FRESCO"),COUNTIFS($E$3:E98,"S",$C$3:C98,"FRESCO"),"")</f>
        <v>83</v>
      </c>
      <c r="G98" s="1" t="str">
        <f aca="false">IF(AND(E98="S",C98&lt;&gt;"FRESCO"),COUNTIFS($E$3:E98,"S",$C$3:C98,"&lt;&gt;FRESCO"),"")</f>
        <v/>
      </c>
      <c r="H98" s="1" t="n">
        <f aca="false">IF(N98="","",IFERROR(SUMIFS(COMPRAS!$O$3:$O$4997,COMPRAS!$G$3:$G$4997,A98,COMPRAS!$B$3:$B$4997,N98)/SUMIFS(COMPRAS!$J$3:$J$4997,COMPRAS!$G$3:$G$4997,A98,COMPRAS!$B$3:$B$4997,N98),""))</f>
        <v>10.3</v>
      </c>
      <c r="I98" s="1" t="n">
        <f aca="false">IF(X98&lt;&gt;"",X98,IF(H98="","",ROUND(H98+1.7,2)))</f>
        <v>12</v>
      </c>
      <c r="J98" s="1" t="n">
        <f aca="false">IF(Y98&lt;&gt;"",Y98,IF(H98="","",ROUND(H98+1.9,2)))</f>
        <v>12.2</v>
      </c>
      <c r="K98" s="67"/>
      <c r="L98" s="67" t="s">
        <v>381</v>
      </c>
      <c r="M98" s="64" t="n">
        <f aca="false">IF(COUNTIF(COMPRAS!$G$3:$G$4997,A98)=0,"",SUMPRODUCT(MAX((COMPRAS!$G$3:$G$4997=A98)*COMPRAS!$B$3:$B$4997)))</f>
        <v>46252</v>
      </c>
      <c r="N98" s="64" t="n">
        <f aca="false">M98</f>
        <v>46252</v>
      </c>
      <c r="O98" s="67" t="s">
        <v>1005</v>
      </c>
      <c r="P98" s="67" t="s">
        <v>949</v>
      </c>
      <c r="Q98" s="67" t="s">
        <v>950</v>
      </c>
      <c r="R98" s="67" t="s">
        <v>951</v>
      </c>
      <c r="S98" s="67" t="s">
        <v>952</v>
      </c>
      <c r="T98" s="67"/>
      <c r="U98" s="67" t="s">
        <v>953</v>
      </c>
      <c r="V98" s="67" t="s">
        <v>954</v>
      </c>
      <c r="W98" s="67" t="s">
        <v>955</v>
      </c>
    </row>
    <row r="99" customFormat="false" ht="15" hidden="true" customHeight="true" outlineLevel="0" collapsed="false">
      <c r="A99" s="75" t="s">
        <v>232</v>
      </c>
      <c r="B99" s="168" t="s">
        <v>217</v>
      </c>
      <c r="C99" s="173" t="s">
        <v>947</v>
      </c>
      <c r="D99" s="104" t="str">
        <f aca="false">IF(A99&lt;&gt;"",A99&amp;" | "&amp;B99&amp;" ["&amp;C99&amp;"]","")</f>
        <v>C130030 | MERLUZA EUROPEA PINCHO COSTA [FRESCO]</v>
      </c>
      <c r="E99" s="67" t="s">
        <v>365</v>
      </c>
      <c r="F99" s="1" t="n">
        <f aca="false">IF(AND(E99="S",C99="FRESCO"),COUNTIFS($E$3:E99,"S",$C$3:C99,"FRESCO"),"")</f>
        <v>84</v>
      </c>
      <c r="G99" s="1" t="str">
        <f aca="false">IF(AND(E99="S",C99&lt;&gt;"FRESCO"),COUNTIFS($E$3:E99,"S",$C$3:C99,"&lt;&gt;FRESCO"),"")</f>
        <v/>
      </c>
      <c r="H99" s="1" t="str">
        <f aca="false">IF(N99="","",IFERROR(SUMIFS(COMPRAS!$O$3:$O$4997,COMPRAS!$G$3:$G$4997,A99,COMPRAS!$B$3:$B$4997,N99)/SUMIFS(COMPRAS!$J$3:$J$4997,COMPRAS!$G$3:$G$4997,A99,COMPRAS!$B$3:$B$4997,N99),""))</f>
        <v/>
      </c>
      <c r="I99" s="1" t="str">
        <f aca="false">IF(X99&lt;&gt;"",X99,IF(H99="","",ROUND(H99+1.7,2)))</f>
        <v/>
      </c>
      <c r="J99" s="1" t="str">
        <f aca="false">IF(Y99&lt;&gt;"",Y99,IF(H99="","",ROUND(H99+1.9,2)))</f>
        <v/>
      </c>
      <c r="K99" s="67"/>
      <c r="L99" s="67" t="s">
        <v>381</v>
      </c>
      <c r="M99" s="64" t="str">
        <f aca="false">IF(COUNTIF(COMPRAS!$G$3:$G$4997,A99)=0,"",SUMPRODUCT(MAX((COMPRAS!$G$3:$G$4997=A99)*COMPRAS!$B$3:$B$4997)))</f>
        <v/>
      </c>
      <c r="N99" s="64" t="str">
        <f aca="false">M99</f>
        <v/>
      </c>
      <c r="O99" s="67" t="s">
        <v>1005</v>
      </c>
      <c r="P99" s="67" t="s">
        <v>949</v>
      </c>
      <c r="Q99" s="67" t="s">
        <v>950</v>
      </c>
      <c r="R99" s="67" t="s">
        <v>951</v>
      </c>
      <c r="S99" s="67" t="s">
        <v>952</v>
      </c>
      <c r="T99" s="67"/>
      <c r="U99" s="67" t="s">
        <v>953</v>
      </c>
      <c r="V99" s="67" t="s">
        <v>954</v>
      </c>
      <c r="W99" s="67" t="s">
        <v>955</v>
      </c>
    </row>
    <row r="100" customFormat="false" ht="15" hidden="true" customHeight="true" outlineLevel="0" collapsed="false">
      <c r="A100" s="75" t="s">
        <v>233</v>
      </c>
      <c r="B100" s="168" t="s">
        <v>234</v>
      </c>
      <c r="C100" s="173" t="s">
        <v>947</v>
      </c>
      <c r="D100" s="104" t="str">
        <f aca="false">IF(A100&lt;&gt;"",A100&amp;" | "&amp;B100&amp;" ["&amp;C100&amp;"]","")</f>
        <v>C1401 | MERLUZA EUROPEA VOLANTA COSTA [FRESCO]</v>
      </c>
      <c r="E100" s="67" t="s">
        <v>365</v>
      </c>
      <c r="F100" s="1" t="n">
        <f aca="false">IF(AND(E100="S",C100="FRESCO"),COUNTIFS($E$3:E100,"S",$C$3:C100,"FRESCO"),"")</f>
        <v>85</v>
      </c>
      <c r="G100" s="1" t="str">
        <f aca="false">IF(AND(E100="S",C100&lt;&gt;"FRESCO"),COUNTIFS($E$3:E100,"S",$C$3:C100,"&lt;&gt;FRESCO"),"")</f>
        <v/>
      </c>
      <c r="H100" s="1" t="n">
        <f aca="false">IF(N100="","",IFERROR(SUMIFS(COMPRAS!$O$3:$O$4997,COMPRAS!$G$3:$G$4997,A100,COMPRAS!$B$3:$B$4997,N100)/SUMIFS(COMPRAS!$J$3:$J$4997,COMPRAS!$G$3:$G$4997,A100,COMPRAS!$B$3:$B$4997,N100),""))</f>
        <v>3.11933692920625</v>
      </c>
      <c r="I100" s="1" t="n">
        <f aca="false">IF(X100&lt;&gt;"",X100,IF(H100="","",ROUND(H100+1.7,2)))</f>
        <v>4.82</v>
      </c>
      <c r="J100" s="1" t="n">
        <f aca="false">IF(Y100&lt;&gt;"",Y100,IF(H100="","",ROUND(H100+1.9,2)))</f>
        <v>5.02</v>
      </c>
      <c r="K100" s="67"/>
      <c r="L100" s="67" t="s">
        <v>381</v>
      </c>
      <c r="M100" s="64" t="n">
        <f aca="false">IF(COUNTIF(COMPRAS!$G$3:$G$4997,A100)=0,"",SUMPRODUCT(MAX((COMPRAS!$G$3:$G$4997=A100)*COMPRAS!$B$3:$B$4997)))</f>
        <v>46275</v>
      </c>
      <c r="N100" s="64" t="n">
        <f aca="false">M100</f>
        <v>46275</v>
      </c>
      <c r="O100" s="67" t="s">
        <v>1005</v>
      </c>
      <c r="P100" s="67" t="s">
        <v>949</v>
      </c>
      <c r="Q100" s="67" t="s">
        <v>1018</v>
      </c>
      <c r="R100" s="67" t="s">
        <v>951</v>
      </c>
      <c r="S100" s="67" t="s">
        <v>952</v>
      </c>
      <c r="T100" s="67"/>
      <c r="U100" s="67" t="s">
        <v>953</v>
      </c>
      <c r="V100" s="67" t="s">
        <v>954</v>
      </c>
      <c r="W100" s="67" t="s">
        <v>955</v>
      </c>
    </row>
    <row r="101" customFormat="false" ht="15" hidden="true" customHeight="true" outlineLevel="0" collapsed="false">
      <c r="A101" s="75" t="s">
        <v>235</v>
      </c>
      <c r="B101" s="168" t="s">
        <v>234</v>
      </c>
      <c r="C101" s="173" t="s">
        <v>947</v>
      </c>
      <c r="D101" s="104" t="str">
        <f aca="false">IF(A101&lt;&gt;"",A101&amp;" | "&amp;B101&amp;" ["&amp;C101&amp;"]","")</f>
        <v>C1444 | MERLUZA EUROPEA VOLANTA COSTA [FRESCO]</v>
      </c>
      <c r="E101" s="67" t="s">
        <v>365</v>
      </c>
      <c r="F101" s="1" t="n">
        <f aca="false">IF(AND(E101="S",C101="FRESCO"),COUNTIFS($E$3:E101,"S",$C$3:C101,"FRESCO"),"")</f>
        <v>86</v>
      </c>
      <c r="G101" s="1" t="str">
        <f aca="false">IF(AND(E101="S",C101&lt;&gt;"FRESCO"),COUNTIFS($E$3:E101,"S",$C$3:C101,"&lt;&gt;FRESCO"),"")</f>
        <v/>
      </c>
      <c r="H101" s="1" t="n">
        <f aca="false">IF(N101="","",IFERROR(SUMIFS(COMPRAS!$O$3:$O$4997,COMPRAS!$G$3:$G$4997,A101,COMPRAS!$B$3:$B$4997,N101)/SUMIFS(COMPRAS!$J$3:$J$4997,COMPRAS!$G$3:$G$4997,A101,COMPRAS!$B$3:$B$4997,N101),""))</f>
        <v>7.34383111806099</v>
      </c>
      <c r="I101" s="1" t="n">
        <f aca="false">IF(X101&lt;&gt;"",X101,IF(H101="","",ROUND(H101+1.7,2)))</f>
        <v>9.04</v>
      </c>
      <c r="J101" s="1" t="n">
        <f aca="false">IF(Y101&lt;&gt;"",Y101,IF(H101="","",ROUND(H101+1.9,2)))</f>
        <v>9.24</v>
      </c>
      <c r="K101" s="67"/>
      <c r="L101" s="67" t="s">
        <v>381</v>
      </c>
      <c r="M101" s="64" t="n">
        <f aca="false">IF(COUNTIF(COMPRAS!$G$3:$G$4997,A101)=0,"",SUMPRODUCT(MAX((COMPRAS!$G$3:$G$4997=A101)*COMPRAS!$B$3:$B$4997)))</f>
        <v>46206</v>
      </c>
      <c r="N101" s="64" t="n">
        <f aca="false">M101</f>
        <v>46206</v>
      </c>
      <c r="O101" s="67" t="s">
        <v>1005</v>
      </c>
      <c r="P101" s="67" t="s">
        <v>949</v>
      </c>
      <c r="Q101" s="67" t="s">
        <v>1018</v>
      </c>
      <c r="R101" s="67" t="s">
        <v>951</v>
      </c>
      <c r="S101" s="67" t="s">
        <v>952</v>
      </c>
      <c r="T101" s="67"/>
      <c r="U101" s="67" t="s">
        <v>953</v>
      </c>
      <c r="V101" s="67" t="s">
        <v>954</v>
      </c>
      <c r="W101" s="67" t="s">
        <v>955</v>
      </c>
    </row>
    <row r="102" customFormat="false" ht="15" hidden="true" customHeight="true" outlineLevel="0" collapsed="false">
      <c r="A102" s="75" t="s">
        <v>237</v>
      </c>
      <c r="B102" s="168" t="s">
        <v>1019</v>
      </c>
      <c r="C102" s="173" t="s">
        <v>947</v>
      </c>
      <c r="D102" s="104" t="str">
        <f aca="false">IF(A102&lt;&gt;"",A102&amp;" | "&amp;B102&amp;" ["&amp;C102&amp;"]","")</f>
        <v>C1446 | MERLUZA EUROPEA VOLANTA COSTA 600/800 [FRESCO]</v>
      </c>
      <c r="E102" s="67" t="s">
        <v>365</v>
      </c>
      <c r="F102" s="1" t="n">
        <f aca="false">IF(AND(E102="S",C102="FRESCO"),COUNTIFS($E$3:E102,"S",$C$3:C102,"FRESCO"),"")</f>
        <v>87</v>
      </c>
      <c r="G102" s="1" t="str">
        <f aca="false">IF(AND(E102="S",C102&lt;&gt;"FRESCO"),COUNTIFS($E$3:E102,"S",$C$3:C102,"&lt;&gt;FRESCO"),"")</f>
        <v/>
      </c>
      <c r="H102" s="1" t="str">
        <f aca="false">IF(N102="","",IFERROR(SUMIFS(COMPRAS!$O$3:$O$4997,COMPRAS!$G$3:$G$4997,A102,COMPRAS!$B$3:$B$4997,N102)/SUMIFS(COMPRAS!$J$3:$J$4997,COMPRAS!$G$3:$G$4997,A102,COMPRAS!$B$3:$B$4997,N102),""))</f>
        <v/>
      </c>
      <c r="I102" s="1" t="str">
        <f aca="false">IF(X102&lt;&gt;"",X102,IF(H102="","",ROUND(H102+1.7,2)))</f>
        <v/>
      </c>
      <c r="J102" s="1" t="str">
        <f aca="false">IF(Y102&lt;&gt;"",Y102,IF(H102="","",ROUND(H102+1.9,2)))</f>
        <v/>
      </c>
      <c r="K102" s="67"/>
      <c r="L102" s="67" t="s">
        <v>381</v>
      </c>
      <c r="M102" s="64" t="str">
        <f aca="false">IF(COUNTIF(COMPRAS!$G$3:$G$4997,A102)=0,"",SUMPRODUCT(MAX((COMPRAS!$G$3:$G$4997=A102)*COMPRAS!$B$3:$B$4997)))</f>
        <v/>
      </c>
      <c r="N102" s="64" t="str">
        <f aca="false">M102</f>
        <v/>
      </c>
      <c r="O102" s="67" t="s">
        <v>1005</v>
      </c>
      <c r="P102" s="67" t="s">
        <v>949</v>
      </c>
      <c r="Q102" s="67" t="s">
        <v>1018</v>
      </c>
      <c r="R102" s="67" t="s">
        <v>951</v>
      </c>
      <c r="S102" s="67" t="s">
        <v>952</v>
      </c>
      <c r="T102" s="67"/>
      <c r="U102" s="67" t="s">
        <v>953</v>
      </c>
      <c r="V102" s="67" t="s">
        <v>954</v>
      </c>
      <c r="W102" s="67" t="s">
        <v>955</v>
      </c>
    </row>
    <row r="103" customFormat="false" ht="15" hidden="true" customHeight="true" outlineLevel="0" collapsed="false">
      <c r="A103" s="75" t="s">
        <v>238</v>
      </c>
      <c r="B103" s="168" t="s">
        <v>1020</v>
      </c>
      <c r="C103" s="173" t="s">
        <v>947</v>
      </c>
      <c r="D103" s="104" t="str">
        <f aca="false">IF(A103&lt;&gt;"",A103&amp;" | "&amp;B103&amp;" ["&amp;C103&amp;"]","")</f>
        <v>C1448 | MERLUZA EUROPEA VOLANTA COSTA 800/1000 [FRESCO]</v>
      </c>
      <c r="E103" s="67" t="s">
        <v>365</v>
      </c>
      <c r="F103" s="1" t="n">
        <f aca="false">IF(AND(E103="S",C103="FRESCO"),COUNTIFS($E$3:E103,"S",$C$3:C103,"FRESCO"),"")</f>
        <v>88</v>
      </c>
      <c r="G103" s="1" t="str">
        <f aca="false">IF(AND(E103="S",C103&lt;&gt;"FRESCO"),COUNTIFS($E$3:E103,"S",$C$3:C103,"&lt;&gt;FRESCO"),"")</f>
        <v/>
      </c>
      <c r="H103" s="1" t="n">
        <f aca="false">IF(N103="","",IFERROR(SUMIFS(COMPRAS!$O$3:$O$4997,COMPRAS!$G$3:$G$4997,A103,COMPRAS!$B$3:$B$4997,N103)/SUMIFS(COMPRAS!$J$3:$J$4997,COMPRAS!$G$3:$G$4997,A103,COMPRAS!$B$3:$B$4997,N103),""))</f>
        <v>3.978</v>
      </c>
      <c r="I103" s="1" t="n">
        <f aca="false">IF(X103&lt;&gt;"",X103,IF(H103="","",ROUND(H103+1.7,2)))</f>
        <v>5.68</v>
      </c>
      <c r="J103" s="1" t="n">
        <f aca="false">IF(Y103&lt;&gt;"",Y103,IF(H103="","",ROUND(H103+1.9,2)))</f>
        <v>5.88</v>
      </c>
      <c r="K103" s="67"/>
      <c r="L103" s="67" t="s">
        <v>381</v>
      </c>
      <c r="M103" s="64" t="n">
        <f aca="false">IF(COUNTIF(COMPRAS!$G$3:$G$4997,A103)=0,"",SUMPRODUCT(MAX((COMPRAS!$G$3:$G$4997=A103)*COMPRAS!$B$3:$B$4997)))</f>
        <v>46221</v>
      </c>
      <c r="N103" s="64" t="n">
        <f aca="false">M103</f>
        <v>46221</v>
      </c>
      <c r="O103" s="67" t="s">
        <v>1005</v>
      </c>
      <c r="P103" s="67" t="s">
        <v>949</v>
      </c>
      <c r="Q103" s="67" t="s">
        <v>1018</v>
      </c>
      <c r="R103" s="67" t="s">
        <v>951</v>
      </c>
      <c r="S103" s="67" t="s">
        <v>952</v>
      </c>
      <c r="T103" s="67"/>
      <c r="U103" s="67" t="s">
        <v>953</v>
      </c>
      <c r="V103" s="67" t="s">
        <v>954</v>
      </c>
      <c r="W103" s="67" t="s">
        <v>955</v>
      </c>
    </row>
    <row r="104" customFormat="false" ht="15" hidden="true" customHeight="true" outlineLevel="0" collapsed="false">
      <c r="A104" s="75" t="s">
        <v>242</v>
      </c>
      <c r="B104" s="168" t="s">
        <v>240</v>
      </c>
      <c r="C104" s="173" t="s">
        <v>947</v>
      </c>
      <c r="D104" s="104" t="str">
        <f aca="false">IF(A104&lt;&gt;"",A104&amp;" | "&amp;B104&amp;" ["&amp;C104&amp;"]","")</f>
        <v>C14415 | MERLUZA EUROPEA VOLANTA COSTA 1/1,25 [FRESCO]</v>
      </c>
      <c r="E104" s="67" t="s">
        <v>365</v>
      </c>
      <c r="F104" s="1" t="n">
        <f aca="false">IF(AND(E104="S",C104="FRESCO"),COUNTIFS($E$3:E104,"S",$C$3:C104,"FRESCO"),"")</f>
        <v>89</v>
      </c>
      <c r="G104" s="1" t="str">
        <f aca="false">IF(AND(E104="S",C104&lt;&gt;"FRESCO"),COUNTIFS($E$3:E104,"S",$C$3:C104,"&lt;&gt;FRESCO"),"")</f>
        <v/>
      </c>
      <c r="I104" s="1" t="str">
        <f aca="false">IF(X104&lt;&gt;"",X104,IF(H104="","",ROUND(H104+1.7,2)))</f>
        <v/>
      </c>
      <c r="J104" s="1" t="str">
        <f aca="false">IF(Y104&lt;&gt;"",Y104,IF(H104="","",ROUND(H104+1.9,2)))</f>
        <v/>
      </c>
      <c r="K104" s="67"/>
      <c r="L104" s="67" t="s">
        <v>381</v>
      </c>
      <c r="M104" s="64" t="n">
        <f aca="false">IF(COUNTIF(COMPRAS!$G$3:$G$4997,A104)=0,"",SUMPRODUCT(MAX((COMPRAS!$G$3:$G$4997=A104)*COMPRAS!$B$3:$B$4997)))</f>
        <v>46221</v>
      </c>
      <c r="N104" s="64" t="n">
        <f aca="false">M104</f>
        <v>46221</v>
      </c>
      <c r="O104" s="67" t="s">
        <v>1005</v>
      </c>
      <c r="P104" s="67" t="s">
        <v>949</v>
      </c>
      <c r="Q104" s="67" t="s">
        <v>1018</v>
      </c>
      <c r="R104" s="67" t="s">
        <v>951</v>
      </c>
      <c r="S104" s="67" t="s">
        <v>952</v>
      </c>
      <c r="T104" s="67"/>
      <c r="U104" s="67" t="s">
        <v>953</v>
      </c>
      <c r="V104" s="67" t="s">
        <v>954</v>
      </c>
      <c r="W104" s="67" t="s">
        <v>955</v>
      </c>
    </row>
    <row r="105" customFormat="false" ht="15" hidden="true" customHeight="true" outlineLevel="0" collapsed="false">
      <c r="A105" s="75" t="s">
        <v>241</v>
      </c>
      <c r="B105" s="168" t="s">
        <v>1021</v>
      </c>
      <c r="C105" s="173" t="s">
        <v>947</v>
      </c>
      <c r="D105" s="104" t="str">
        <f aca="false">IF(A105&lt;&gt;"",A105&amp;" | "&amp;B105&amp;" ["&amp;C105&amp;"]","")</f>
        <v>C144+ | MERLUZA EUROPEA VOLANTA COSTA 1,25/1,5 [FRESCO]</v>
      </c>
      <c r="E105" s="67" t="s">
        <v>365</v>
      </c>
      <c r="F105" s="1" t="n">
        <f aca="false">IF(AND(E105="S",C105="FRESCO"),COUNTIFS($E$3:E105,"S",$C$3:C105,"FRESCO"),"")</f>
        <v>90</v>
      </c>
      <c r="G105" s="1" t="str">
        <f aca="false">IF(AND(E105="S",C105&lt;&gt;"FRESCO"),COUNTIFS($E$3:E105,"S",$C$3:C105,"&lt;&gt;FRESCO"),"")</f>
        <v/>
      </c>
      <c r="H105" s="1" t="n">
        <f aca="false">IF(N105="","",IFERROR(SUMIFS(COMPRAS!$O$3:$O$4997,COMPRAS!$G$3:$G$4997,A105,COMPRAS!$B$3:$B$4997,N105)/SUMIFS(COMPRAS!$J$3:$J$4997,COMPRAS!$G$3:$G$4997,A105,COMPRAS!$B$3:$B$4997,N105),""))</f>
        <v>5.457</v>
      </c>
      <c r="I105" s="1" t="n">
        <f aca="false">IF(X105&lt;&gt;"",X105,IF(H105="","",ROUND(H105+1.7,2)))</f>
        <v>7.16</v>
      </c>
      <c r="J105" s="1" t="n">
        <f aca="false">IF(Y105&lt;&gt;"",Y105,IF(H105="","",ROUND(H105+1.9,2)))</f>
        <v>7.36</v>
      </c>
      <c r="K105" s="67"/>
      <c r="L105" s="67" t="s">
        <v>381</v>
      </c>
      <c r="M105" s="64" t="n">
        <f aca="false">IF(COUNTIF(COMPRAS!$G$3:$G$4997,A105)=0,"",SUMPRODUCT(MAX((COMPRAS!$G$3:$G$4997=A105)*COMPRAS!$B$3:$B$4997)))</f>
        <v>46219</v>
      </c>
      <c r="N105" s="64" t="n">
        <f aca="false">M105</f>
        <v>46219</v>
      </c>
      <c r="O105" s="67" t="s">
        <v>1005</v>
      </c>
      <c r="P105" s="67" t="s">
        <v>949</v>
      </c>
      <c r="Q105" s="67" t="s">
        <v>1018</v>
      </c>
      <c r="R105" s="67" t="s">
        <v>951</v>
      </c>
      <c r="S105" s="67" t="s">
        <v>952</v>
      </c>
      <c r="T105" s="67"/>
      <c r="U105" s="67" t="s">
        <v>953</v>
      </c>
      <c r="V105" s="67" t="s">
        <v>954</v>
      </c>
      <c r="W105" s="67" t="s">
        <v>955</v>
      </c>
    </row>
    <row r="106" customFormat="false" ht="15" hidden="true" customHeight="true" outlineLevel="0" collapsed="false">
      <c r="A106" s="75" t="n">
        <v>14441</v>
      </c>
      <c r="B106" s="168" t="s">
        <v>236</v>
      </c>
      <c r="C106" s="173" t="s">
        <v>947</v>
      </c>
      <c r="D106" s="104" t="str">
        <f aca="false">IF(A106&lt;&gt;"",A106&amp;" | "&amp;B106&amp;" ["&amp;C106&amp;"]","")</f>
        <v>14441 | MERLUZA EUROPEA VOLANTA [FRESCO]</v>
      </c>
      <c r="E106" s="67" t="s">
        <v>365</v>
      </c>
      <c r="F106" s="1" t="n">
        <f aca="false">IF(AND(E106="S",C106="FRESCO"),COUNTIFS($E$3:E106,"S",$C$3:C106,"FRESCO"),"")</f>
        <v>91</v>
      </c>
      <c r="G106" s="1" t="str">
        <f aca="false">IF(AND(E106="S",C106&lt;&gt;"FRESCO"),COUNTIFS($E$3:E106,"S",$C$3:C106,"&lt;&gt;FRESCO"),"")</f>
        <v/>
      </c>
      <c r="H106" s="1" t="str">
        <f aca="false">IF(N106="","",IFERROR(SUMIFS(COMPRAS!$O$3:$O$4997,COMPRAS!$G$3:$G$4997,A106,COMPRAS!$B$3:$B$4997,N106)/SUMIFS(COMPRAS!$J$3:$J$4997,COMPRAS!$G$3:$G$4997,A106,COMPRAS!$B$3:$B$4997,N106),""))</f>
        <v/>
      </c>
      <c r="I106" s="1" t="str">
        <f aca="false">IF(X106&lt;&gt;"",X106,IF(H106="","",ROUND(H106+1.7,2)))</f>
        <v/>
      </c>
      <c r="J106" s="1" t="str">
        <f aca="false">IF(Y106&lt;&gt;"",Y106,IF(H106="","",ROUND(H106+1.9,2)))</f>
        <v/>
      </c>
      <c r="K106" s="67"/>
      <c r="L106" s="67" t="s">
        <v>381</v>
      </c>
      <c r="M106" s="64" t="str">
        <f aca="false">IF(COUNTIF(COMPRAS!$G$3:$G$4997,A106)=0,"",SUMPRODUCT(MAX((COMPRAS!$G$3:$G$4997=A106)*COMPRAS!$B$3:$B$4997)))</f>
        <v/>
      </c>
      <c r="N106" s="64" t="str">
        <f aca="false">M106</f>
        <v/>
      </c>
      <c r="O106" s="67" t="s">
        <v>1005</v>
      </c>
      <c r="P106" s="67" t="s">
        <v>949</v>
      </c>
      <c r="Q106" s="67" t="s">
        <v>1022</v>
      </c>
      <c r="R106" s="67" t="s">
        <v>957</v>
      </c>
      <c r="S106" s="67" t="s">
        <v>952</v>
      </c>
      <c r="T106" s="67"/>
      <c r="U106" s="67" t="s">
        <v>953</v>
      </c>
      <c r="V106" s="67" t="s">
        <v>954</v>
      </c>
      <c r="W106" s="67" t="s">
        <v>955</v>
      </c>
    </row>
    <row r="107" customFormat="false" ht="15" hidden="true" customHeight="true" outlineLevel="0" collapsed="false">
      <c r="A107" s="75" t="s">
        <v>243</v>
      </c>
      <c r="B107" s="168" t="s">
        <v>1023</v>
      </c>
      <c r="C107" s="173" t="s">
        <v>947</v>
      </c>
      <c r="D107" s="104" t="str">
        <f aca="false">IF(A107&lt;&gt;"",A107&amp;" | "&amp;B107&amp;" ["&amp;C107&amp;"]","")</f>
        <v>C14420 | MERLUZA EUROPEA BAKA DIA TDA [FRESCO]</v>
      </c>
      <c r="E107" s="67" t="s">
        <v>365</v>
      </c>
      <c r="F107" s="1" t="n">
        <f aca="false">IF(AND(E107="S",C107="FRESCO"),COUNTIFS($E$3:E107,"S",$C$3:C107,"FRESCO"),"")</f>
        <v>92</v>
      </c>
      <c r="G107" s="1" t="str">
        <f aca="false">IF(AND(E107="S",C107&lt;&gt;"FRESCO"),COUNTIFS($E$3:E107,"S",$C$3:C107,"&lt;&gt;FRESCO"),"")</f>
        <v/>
      </c>
      <c r="H107" s="1" t="str">
        <f aca="false">IF(N107="","",IFERROR(SUMIFS(COMPRAS!$O$3:$O$4997,COMPRAS!$G$3:$G$4997,A107,COMPRAS!$B$3:$B$4997,N107)/SUMIFS(COMPRAS!$J$3:$J$4997,COMPRAS!$G$3:$G$4997,A107,COMPRAS!$B$3:$B$4997,N107),""))</f>
        <v/>
      </c>
      <c r="I107" s="1" t="str">
        <f aca="false">IF(X107&lt;&gt;"",X107,IF(H107="","",ROUND(H107+1.7,2)))</f>
        <v/>
      </c>
      <c r="J107" s="1" t="str">
        <f aca="false">IF(Y107&lt;&gt;"",Y107,IF(H107="","",ROUND(H107+1.9,2)))</f>
        <v/>
      </c>
      <c r="K107" s="67"/>
      <c r="L107" s="67" t="s">
        <v>381</v>
      </c>
      <c r="M107" s="64" t="str">
        <f aca="false">IF(COUNTIF(COMPRAS!$G$3:$G$4997,A107)=0,"",SUMPRODUCT(MAX((COMPRAS!$G$3:$G$4997=A107)*COMPRAS!$B$3:$B$4997)))</f>
        <v/>
      </c>
      <c r="N107" s="64" t="str">
        <f aca="false">M107</f>
        <v/>
      </c>
      <c r="O107" s="67" t="s">
        <v>1005</v>
      </c>
      <c r="P107" s="67" t="s">
        <v>949</v>
      </c>
      <c r="Q107" s="67" t="s">
        <v>950</v>
      </c>
      <c r="R107" s="67" t="s">
        <v>957</v>
      </c>
      <c r="S107" s="67" t="s">
        <v>952</v>
      </c>
      <c r="T107" s="67"/>
      <c r="U107" s="67" t="s">
        <v>953</v>
      </c>
      <c r="V107" s="67" t="s">
        <v>954</v>
      </c>
      <c r="W107" s="67" t="s">
        <v>955</v>
      </c>
    </row>
    <row r="108" customFormat="false" ht="15" hidden="true" customHeight="true" outlineLevel="0" collapsed="false">
      <c r="A108" s="75" t="s">
        <v>244</v>
      </c>
      <c r="B108" s="168" t="s">
        <v>1024</v>
      </c>
      <c r="C108" s="173" t="s">
        <v>947</v>
      </c>
      <c r="D108" s="104" t="str">
        <f aca="false">IF(A108&lt;&gt;"",A108&amp;" | "&amp;B108&amp;" ["&amp;C108&amp;"]","")</f>
        <v>C14425 | MERLUZA EUROPEA BAKA DIA GDA [FRESCO]</v>
      </c>
      <c r="E108" s="67" t="s">
        <v>365</v>
      </c>
      <c r="F108" s="1" t="n">
        <f aca="false">IF(AND(E108="S",C108="FRESCO"),COUNTIFS($E$3:E108,"S",$C$3:C108,"FRESCO"),"")</f>
        <v>93</v>
      </c>
      <c r="G108" s="1" t="str">
        <f aca="false">IF(AND(E108="S",C108&lt;&gt;"FRESCO"),COUNTIFS($E$3:E108,"S",$C$3:C108,"&lt;&gt;FRESCO"),"")</f>
        <v/>
      </c>
      <c r="H108" s="1" t="str">
        <f aca="false">IF(N108="","",IFERROR(SUMIFS(COMPRAS!$O$3:$O$4997,COMPRAS!$G$3:$G$4997,A108,COMPRAS!$B$3:$B$4997,N108)/SUMIFS(COMPRAS!$J$3:$J$4997,COMPRAS!$G$3:$G$4997,A108,COMPRAS!$B$3:$B$4997,N108),""))</f>
        <v/>
      </c>
      <c r="I108" s="1" t="str">
        <f aca="false">IF(X108&lt;&gt;"",X108,IF(H108="","",ROUND(H108+1.7,2)))</f>
        <v/>
      </c>
      <c r="J108" s="1" t="str">
        <f aca="false">IF(Y108&lt;&gt;"",Y108,IF(H108="","",ROUND(H108+1.9,2)))</f>
        <v/>
      </c>
      <c r="K108" s="67"/>
      <c r="L108" s="67" t="s">
        <v>381</v>
      </c>
      <c r="M108" s="64" t="str">
        <f aca="false">IF(COUNTIF(COMPRAS!$G$3:$G$4997,A108)=0,"",SUMPRODUCT(MAX((COMPRAS!$G$3:$G$4997=A108)*COMPRAS!$B$3:$B$4997)))</f>
        <v/>
      </c>
      <c r="N108" s="64" t="str">
        <f aca="false">M108</f>
        <v/>
      </c>
      <c r="O108" s="67" t="s">
        <v>1005</v>
      </c>
      <c r="P108" s="67" t="s">
        <v>949</v>
      </c>
      <c r="Q108" s="67" t="s">
        <v>950</v>
      </c>
      <c r="R108" s="67" t="s">
        <v>957</v>
      </c>
      <c r="S108" s="67" t="s">
        <v>952</v>
      </c>
      <c r="T108" s="67"/>
      <c r="U108" s="67" t="s">
        <v>953</v>
      </c>
      <c r="V108" s="67" t="s">
        <v>954</v>
      </c>
      <c r="W108" s="67" t="s">
        <v>955</v>
      </c>
    </row>
    <row r="109" customFormat="false" ht="15" hidden="true" customHeight="true" outlineLevel="0" collapsed="false">
      <c r="A109" s="75" t="s">
        <v>245</v>
      </c>
      <c r="B109" s="168" t="s">
        <v>236</v>
      </c>
      <c r="C109" s="173" t="s">
        <v>947</v>
      </c>
      <c r="D109" s="104" t="str">
        <f aca="false">IF(A109&lt;&gt;"",A109&amp;" | "&amp;B109&amp;" ["&amp;C109&amp;"]","")</f>
        <v>C14430 | MERLUZA EUROPEA VOLANTA [FRESCO]</v>
      </c>
      <c r="E109" s="67" t="s">
        <v>365</v>
      </c>
      <c r="F109" s="1" t="n">
        <f aca="false">IF(AND(E109="S",C109="FRESCO"),COUNTIFS($E$3:E109,"S",$C$3:C109,"FRESCO"),"")</f>
        <v>94</v>
      </c>
      <c r="G109" s="1" t="str">
        <f aca="false">IF(AND(E109="S",C109&lt;&gt;"FRESCO"),COUNTIFS($E$3:E109,"S",$C$3:C109,"&lt;&gt;FRESCO"),"")</f>
        <v/>
      </c>
      <c r="H109" s="1" t="str">
        <f aca="false">IF(N109="","",IFERROR(SUMIFS(COMPRAS!$O$3:$O$4997,COMPRAS!$G$3:$G$4997,A109,COMPRAS!$B$3:$B$4997,N109)/SUMIFS(COMPRAS!$J$3:$J$4997,COMPRAS!$G$3:$G$4997,A109,COMPRAS!$B$3:$B$4997,N109),""))</f>
        <v/>
      </c>
      <c r="I109" s="1" t="str">
        <f aca="false">IF(X109&lt;&gt;"",X109,IF(H109="","",ROUND(H109+1.7,2)))</f>
        <v/>
      </c>
      <c r="J109" s="1" t="str">
        <f aca="false">IF(Y109&lt;&gt;"",Y109,IF(H109="","",ROUND(H109+1.9,2)))</f>
        <v/>
      </c>
      <c r="K109" s="67"/>
      <c r="L109" s="67" t="s">
        <v>381</v>
      </c>
      <c r="M109" s="64" t="str">
        <f aca="false">IF(COUNTIF(COMPRAS!$G$3:$G$4997,A109)=0,"",SUMPRODUCT(MAX((COMPRAS!$G$3:$G$4997=A109)*COMPRAS!$B$3:$B$4997)))</f>
        <v/>
      </c>
      <c r="N109" s="64" t="str">
        <f aca="false">M109</f>
        <v/>
      </c>
      <c r="O109" s="67" t="s">
        <v>1005</v>
      </c>
      <c r="P109" s="67" t="s">
        <v>949</v>
      </c>
      <c r="Q109" s="67" t="s">
        <v>1022</v>
      </c>
      <c r="R109" s="67" t="s">
        <v>957</v>
      </c>
      <c r="S109" s="67" t="s">
        <v>952</v>
      </c>
      <c r="T109" s="67"/>
      <c r="U109" s="67" t="s">
        <v>953</v>
      </c>
      <c r="V109" s="67" t="s">
        <v>954</v>
      </c>
      <c r="W109" s="67" t="s">
        <v>955</v>
      </c>
    </row>
    <row r="110" customFormat="false" ht="15" hidden="true" customHeight="true" outlineLevel="0" collapsed="false">
      <c r="A110" s="75" t="s">
        <v>246</v>
      </c>
      <c r="B110" s="168" t="s">
        <v>249</v>
      </c>
      <c r="C110" s="173" t="s">
        <v>947</v>
      </c>
      <c r="D110" s="104" t="str">
        <f aca="false">IF(A110&lt;&gt;"",A110&amp;" | "&amp;B110&amp;" ["&amp;C110&amp;"]","")</f>
        <v>C142 | MERLUZA EUROPEA VOLANTA ALTURA [FRESCO]</v>
      </c>
      <c r="E110" s="67" t="s">
        <v>365</v>
      </c>
      <c r="F110" s="1" t="n">
        <f aca="false">IF(AND(E110="S",C110="FRESCO"),COUNTIFS($E$3:E110,"S",$C$3:C110,"FRESCO"),"")</f>
        <v>95</v>
      </c>
      <c r="G110" s="1" t="str">
        <f aca="false">IF(AND(E110="S",C110&lt;&gt;"FRESCO"),COUNTIFS($E$3:E110,"S",$C$3:C110,"&lt;&gt;FRESCO"),"")</f>
        <v/>
      </c>
      <c r="H110" s="1" t="n">
        <f aca="false">IF(N110="","",IFERROR(SUMIFS(COMPRAS!$O$3:$O$4997,COMPRAS!$G$3:$G$4997,A110,COMPRAS!$B$3:$B$4997,N110)/SUMIFS(COMPRAS!$J$3:$J$4997,COMPRAS!$G$3:$G$4997,A110,COMPRAS!$B$3:$B$4997,N110),""))</f>
        <v>10.8</v>
      </c>
      <c r="I110" s="1" t="n">
        <f aca="false">IF(X110&lt;&gt;"",X110,IF(H110="","",ROUND(H110+1.7,2)))</f>
        <v>12.5</v>
      </c>
      <c r="J110" s="1" t="n">
        <f aca="false">IF(Y110&lt;&gt;"",Y110,IF(H110="","",ROUND(H110+1.9,2)))</f>
        <v>12.7</v>
      </c>
      <c r="K110" s="67"/>
      <c r="L110" s="67" t="s">
        <v>381</v>
      </c>
      <c r="M110" s="64" t="n">
        <f aca="false">IF(COUNTIF(COMPRAS!$G$3:$G$4997,A110)=0,"",SUMPRODUCT(MAX((COMPRAS!$G$3:$G$4997=A110)*COMPRAS!$B$3:$B$4997)))</f>
        <v>46275</v>
      </c>
      <c r="N110" s="64" t="n">
        <f aca="false">M110</f>
        <v>46275</v>
      </c>
      <c r="O110" s="67" t="s">
        <v>1005</v>
      </c>
      <c r="P110" s="67" t="s">
        <v>949</v>
      </c>
      <c r="Q110" s="67" t="s">
        <v>1022</v>
      </c>
      <c r="R110" s="67" t="s">
        <v>957</v>
      </c>
      <c r="S110" s="67" t="s">
        <v>952</v>
      </c>
      <c r="T110" s="67"/>
      <c r="U110" s="67" t="s">
        <v>953</v>
      </c>
      <c r="V110" s="67" t="s">
        <v>954</v>
      </c>
      <c r="W110" s="67" t="s">
        <v>955</v>
      </c>
    </row>
    <row r="111" customFormat="false" ht="15" hidden="true" customHeight="true" outlineLevel="0" collapsed="false">
      <c r="A111" s="75" t="s">
        <v>248</v>
      </c>
      <c r="B111" s="168" t="s">
        <v>249</v>
      </c>
      <c r="C111" s="173" t="s">
        <v>947</v>
      </c>
      <c r="D111" s="104" t="str">
        <f aca="false">IF(A111&lt;&gt;"",A111&amp;" | "&amp;B111&amp;" ["&amp;C111&amp;"]","")</f>
        <v>C1428 | MERLUZA EUROPEA VOLANTA ALTURA [FRESCO]</v>
      </c>
      <c r="E111" s="67" t="s">
        <v>365</v>
      </c>
      <c r="F111" s="1" t="n">
        <f aca="false">IF(AND(E111="S",C111="FRESCO"),COUNTIFS($E$3:E111,"S",$C$3:C111,"FRESCO"),"")</f>
        <v>96</v>
      </c>
      <c r="G111" s="1" t="str">
        <f aca="false">IF(AND(E111="S",C111&lt;&gt;"FRESCO"),COUNTIFS($E$3:E111,"S",$C$3:C111,"&lt;&gt;FRESCO"),"")</f>
        <v/>
      </c>
      <c r="H111" s="1" t="str">
        <f aca="false">IF(N111="","",IFERROR(SUMIFS(COMPRAS!$O$3:$O$4997,COMPRAS!$G$3:$G$4997,A111,COMPRAS!$B$3:$B$4997,N111)/SUMIFS(COMPRAS!$J$3:$J$4997,COMPRAS!$G$3:$G$4997,A111,COMPRAS!$B$3:$B$4997,N111),""))</f>
        <v/>
      </c>
      <c r="I111" s="1" t="str">
        <f aca="false">IF(X111&lt;&gt;"",X111,IF(H111="","",ROUND(H111+1.7,2)))</f>
        <v/>
      </c>
      <c r="J111" s="1" t="str">
        <f aca="false">IF(Y111&lt;&gt;"",Y111,IF(H111="","",ROUND(H111+1.9,2)))</f>
        <v/>
      </c>
      <c r="K111" s="67"/>
      <c r="L111" s="67" t="s">
        <v>381</v>
      </c>
      <c r="M111" s="64" t="str">
        <f aca="false">IF(COUNTIF(COMPRAS!$G$3:$G$4997,A111)=0,"",SUMPRODUCT(MAX((COMPRAS!$G$3:$G$4997=A111)*COMPRAS!$B$3:$B$4997)))</f>
        <v/>
      </c>
      <c r="N111" s="64" t="str">
        <f aca="false">M111</f>
        <v/>
      </c>
      <c r="O111" s="67" t="s">
        <v>1005</v>
      </c>
      <c r="P111" s="67" t="s">
        <v>949</v>
      </c>
      <c r="Q111" s="67" t="s">
        <v>1022</v>
      </c>
      <c r="R111" s="67" t="s">
        <v>957</v>
      </c>
      <c r="S111" s="67" t="s">
        <v>952</v>
      </c>
      <c r="T111" s="67"/>
      <c r="U111" s="67" t="s">
        <v>953</v>
      </c>
      <c r="V111" s="67" t="s">
        <v>954</v>
      </c>
      <c r="W111" s="67" t="s">
        <v>955</v>
      </c>
    </row>
    <row r="112" customFormat="false" ht="15" hidden="true" customHeight="true" outlineLevel="0" collapsed="false">
      <c r="A112" s="75" t="s">
        <v>250</v>
      </c>
      <c r="B112" s="168" t="s">
        <v>249</v>
      </c>
      <c r="C112" s="173" t="s">
        <v>947</v>
      </c>
      <c r="D112" s="104" t="str">
        <f aca="false">IF(A112&lt;&gt;"",A112&amp;" | "&amp;B112&amp;" ["&amp;C112&amp;"]","")</f>
        <v>C1421 | MERLUZA EUROPEA VOLANTA ALTURA [FRESCO]</v>
      </c>
      <c r="E112" s="67" t="s">
        <v>365</v>
      </c>
      <c r="F112" s="1" t="n">
        <f aca="false">IF(AND(E112="S",C112="FRESCO"),COUNTIFS($E$3:E112,"S",$C$3:C112,"FRESCO"),"")</f>
        <v>97</v>
      </c>
      <c r="G112" s="1" t="str">
        <f aca="false">IF(AND(E112="S",C112&lt;&gt;"FRESCO"),COUNTIFS($E$3:E112,"S",$C$3:C112,"&lt;&gt;FRESCO"),"")</f>
        <v/>
      </c>
      <c r="H112" s="1" t="str">
        <f aca="false">IF(N112="","",IFERROR(SUMIFS(COMPRAS!$O$3:$O$4997,COMPRAS!$G$3:$G$4997,A112,COMPRAS!$B$3:$B$4997,N112)/SUMIFS(COMPRAS!$J$3:$J$4997,COMPRAS!$G$3:$G$4997,A112,COMPRAS!$B$3:$B$4997,N112),""))</f>
        <v/>
      </c>
      <c r="I112" s="1" t="str">
        <f aca="false">IF(X112&lt;&gt;"",X112,IF(H112="","",ROUND(H112+1.7,2)))</f>
        <v/>
      </c>
      <c r="J112" s="1" t="str">
        <f aca="false">IF(Y112&lt;&gt;"",Y112,IF(H112="","",ROUND(H112+1.9,2)))</f>
        <v/>
      </c>
      <c r="K112" s="67"/>
      <c r="L112" s="67" t="s">
        <v>381</v>
      </c>
      <c r="M112" s="64" t="str">
        <f aca="false">IF(COUNTIF(COMPRAS!$G$3:$G$4997,A112)=0,"",SUMPRODUCT(MAX((COMPRAS!$G$3:$G$4997=A112)*COMPRAS!$B$3:$B$4997)))</f>
        <v/>
      </c>
      <c r="N112" s="64" t="str">
        <f aca="false">M112</f>
        <v/>
      </c>
      <c r="O112" s="67" t="s">
        <v>1005</v>
      </c>
      <c r="P112" s="67" t="s">
        <v>949</v>
      </c>
      <c r="Q112" s="67" t="s">
        <v>1022</v>
      </c>
      <c r="R112" s="67" t="s">
        <v>957</v>
      </c>
      <c r="S112" s="67" t="s">
        <v>952</v>
      </c>
      <c r="T112" s="67"/>
      <c r="U112" s="67" t="s">
        <v>953</v>
      </c>
      <c r="V112" s="67" t="s">
        <v>954</v>
      </c>
      <c r="W112" s="67" t="s">
        <v>955</v>
      </c>
    </row>
    <row r="113" customFormat="false" ht="15" hidden="true" customHeight="true" outlineLevel="0" collapsed="false">
      <c r="A113" s="75" t="s">
        <v>251</v>
      </c>
      <c r="B113" s="168" t="s">
        <v>249</v>
      </c>
      <c r="C113" s="173" t="s">
        <v>947</v>
      </c>
      <c r="D113" s="104" t="str">
        <f aca="false">IF(A113&lt;&gt;"",A113&amp;" | "&amp;B113&amp;" ["&amp;C113&amp;"]","")</f>
        <v>C1421+ | MERLUZA EUROPEA VOLANTA ALTURA [FRESCO]</v>
      </c>
      <c r="E113" s="67" t="s">
        <v>365</v>
      </c>
      <c r="F113" s="1" t="n">
        <f aca="false">IF(AND(E113="S",C113="FRESCO"),COUNTIFS($E$3:E113,"S",$C$3:C113,"FRESCO"),"")</f>
        <v>98</v>
      </c>
      <c r="G113" s="1" t="str">
        <f aca="false">IF(AND(E113="S",C113&lt;&gt;"FRESCO"),COUNTIFS($E$3:E113,"S",$C$3:C113,"&lt;&gt;FRESCO"),"")</f>
        <v/>
      </c>
      <c r="H113" s="1" t="str">
        <f aca="false">IF(N113="","",IFERROR(SUMIFS(COMPRAS!$O$3:$O$4997,COMPRAS!$G$3:$G$4997,A113,COMPRAS!$B$3:$B$4997,N113)/SUMIFS(COMPRAS!$J$3:$J$4997,COMPRAS!$G$3:$G$4997,A113,COMPRAS!$B$3:$B$4997,N113),""))</f>
        <v/>
      </c>
      <c r="I113" s="1" t="str">
        <f aca="false">IF(X113&lt;&gt;"",X113,IF(H113="","",ROUND(H113+1.7,2)))</f>
        <v/>
      </c>
      <c r="J113" s="1" t="str">
        <f aca="false">IF(Y113&lt;&gt;"",Y113,IF(H113="","",ROUND(H113+1.9,2)))</f>
        <v/>
      </c>
      <c r="K113" s="67"/>
      <c r="L113" s="67" t="s">
        <v>381</v>
      </c>
      <c r="M113" s="64" t="str">
        <f aca="false">IF(COUNTIF(COMPRAS!$G$3:$G$4997,A113)=0,"",SUMPRODUCT(MAX((COMPRAS!$G$3:$G$4997=A113)*COMPRAS!$B$3:$B$4997)))</f>
        <v/>
      </c>
      <c r="N113" s="64" t="str">
        <f aca="false">M113</f>
        <v/>
      </c>
      <c r="O113" s="67" t="s">
        <v>1005</v>
      </c>
      <c r="P113" s="67" t="s">
        <v>949</v>
      </c>
      <c r="Q113" s="67" t="s">
        <v>1022</v>
      </c>
      <c r="R113" s="67" t="s">
        <v>957</v>
      </c>
      <c r="S113" s="67" t="s">
        <v>952</v>
      </c>
      <c r="T113" s="67"/>
      <c r="U113" s="67" t="s">
        <v>953</v>
      </c>
      <c r="V113" s="67" t="s">
        <v>954</v>
      </c>
      <c r="W113" s="67" t="s">
        <v>955</v>
      </c>
    </row>
    <row r="114" customFormat="false" ht="15" hidden="true" customHeight="true" outlineLevel="0" collapsed="false">
      <c r="A114" s="75" t="s">
        <v>252</v>
      </c>
      <c r="B114" s="168" t="s">
        <v>249</v>
      </c>
      <c r="C114" s="173" t="s">
        <v>947</v>
      </c>
      <c r="D114" s="104" t="str">
        <f aca="false">IF(A114&lt;&gt;"",A114&amp;" | "&amp;B114&amp;" ["&amp;C114&amp;"]","")</f>
        <v>C14215 | MERLUZA EUROPEA VOLANTA ALTURA [FRESCO]</v>
      </c>
      <c r="E114" s="67" t="s">
        <v>365</v>
      </c>
      <c r="F114" s="1" t="n">
        <f aca="false">IF(AND(E114="S",C114="FRESCO"),COUNTIFS($E$3:E114,"S",$C$3:C114,"FRESCO"),"")</f>
        <v>99</v>
      </c>
      <c r="G114" s="1" t="str">
        <f aca="false">IF(AND(E114="S",C114&lt;&gt;"FRESCO"),COUNTIFS($E$3:E114,"S",$C$3:C114,"&lt;&gt;FRESCO"),"")</f>
        <v/>
      </c>
      <c r="H114" s="1" t="str">
        <f aca="false">IF(N114="","",IFERROR(SUMIFS(COMPRAS!$O$3:$O$4997,COMPRAS!$G$3:$G$4997,A114,COMPRAS!$B$3:$B$4997,N114)/SUMIFS(COMPRAS!$J$3:$J$4997,COMPRAS!$G$3:$G$4997,A114,COMPRAS!$B$3:$B$4997,N114),""))</f>
        <v/>
      </c>
      <c r="I114" s="1" t="str">
        <f aca="false">IF(X114&lt;&gt;"",X114,IF(H114="","",ROUND(H114+1.7,2)))</f>
        <v/>
      </c>
      <c r="J114" s="1" t="str">
        <f aca="false">IF(Y114&lt;&gt;"",Y114,IF(H114="","",ROUND(H114+1.9,2)))</f>
        <v/>
      </c>
      <c r="K114" s="67"/>
      <c r="L114" s="67" t="s">
        <v>381</v>
      </c>
      <c r="M114" s="64" t="str">
        <f aca="false">IF(COUNTIF(COMPRAS!$G$3:$G$4997,A114)=0,"",SUMPRODUCT(MAX((COMPRAS!$G$3:$G$4997=A114)*COMPRAS!$B$3:$B$4997)))</f>
        <v/>
      </c>
      <c r="N114" s="64" t="str">
        <f aca="false">M114</f>
        <v/>
      </c>
      <c r="O114" s="67" t="s">
        <v>1005</v>
      </c>
      <c r="P114" s="67" t="s">
        <v>949</v>
      </c>
      <c r="Q114" s="67" t="s">
        <v>1022</v>
      </c>
      <c r="R114" s="67" t="s">
        <v>957</v>
      </c>
      <c r="S114" s="67" t="s">
        <v>952</v>
      </c>
      <c r="T114" s="67"/>
      <c r="U114" s="67" t="s">
        <v>953</v>
      </c>
      <c r="V114" s="67" t="s">
        <v>954</v>
      </c>
      <c r="W114" s="67" t="s">
        <v>955</v>
      </c>
    </row>
    <row r="115" customFormat="false" ht="15" hidden="true" customHeight="true" outlineLevel="0" collapsed="false">
      <c r="A115" s="75" t="s">
        <v>253</v>
      </c>
      <c r="B115" s="168" t="s">
        <v>249</v>
      </c>
      <c r="C115" s="173" t="s">
        <v>947</v>
      </c>
      <c r="D115" s="104" t="str">
        <f aca="false">IF(A115&lt;&gt;"",A115&amp;" | "&amp;B115&amp;" ["&amp;C115&amp;"]","")</f>
        <v>C1422 | MERLUZA EUROPEA VOLANTA ALTURA [FRESCO]</v>
      </c>
      <c r="E115" s="67" t="s">
        <v>365</v>
      </c>
      <c r="F115" s="1" t="n">
        <f aca="false">IF(AND(E115="S",C115="FRESCO"),COUNTIFS($E$3:E115,"S",$C$3:C115,"FRESCO"),"")</f>
        <v>100</v>
      </c>
      <c r="G115" s="1" t="str">
        <f aca="false">IF(AND(E115="S",C115&lt;&gt;"FRESCO"),COUNTIFS($E$3:E115,"S",$C$3:C115,"&lt;&gt;FRESCO"),"")</f>
        <v/>
      </c>
      <c r="H115" s="1" t="str">
        <f aca="false">IF(N115="","",IFERROR(SUMIFS(COMPRAS!$O$3:$O$4997,COMPRAS!$G$3:$G$4997,A115,COMPRAS!$B$3:$B$4997,N115)/SUMIFS(COMPRAS!$J$3:$J$4997,COMPRAS!$G$3:$G$4997,A115,COMPRAS!$B$3:$B$4997,N115),""))</f>
        <v/>
      </c>
      <c r="I115" s="1" t="str">
        <f aca="false">IF(X115&lt;&gt;"",X115,IF(H115="","",ROUND(H115+1.7,2)))</f>
        <v/>
      </c>
      <c r="J115" s="1" t="str">
        <f aca="false">IF(Y115&lt;&gt;"",Y115,IF(H115="","",ROUND(H115+1.9,2)))</f>
        <v/>
      </c>
      <c r="K115" s="67"/>
      <c r="L115" s="67" t="s">
        <v>381</v>
      </c>
      <c r="M115" s="64" t="str">
        <f aca="false">IF(COUNTIF(COMPRAS!$G$3:$G$4997,A115)=0,"",SUMPRODUCT(MAX((COMPRAS!$G$3:$G$4997=A115)*COMPRAS!$B$3:$B$4997)))</f>
        <v/>
      </c>
      <c r="N115" s="64" t="str">
        <f aca="false">M115</f>
        <v/>
      </c>
      <c r="O115" s="67" t="s">
        <v>1005</v>
      </c>
      <c r="P115" s="67" t="s">
        <v>949</v>
      </c>
      <c r="Q115" s="67" t="s">
        <v>1022</v>
      </c>
      <c r="R115" s="67" t="s">
        <v>957</v>
      </c>
      <c r="S115" s="67" t="s">
        <v>952</v>
      </c>
      <c r="T115" s="67"/>
      <c r="U115" s="67" t="s">
        <v>953</v>
      </c>
      <c r="V115" s="67" t="s">
        <v>954</v>
      </c>
      <c r="W115" s="67" t="s">
        <v>955</v>
      </c>
    </row>
    <row r="116" customFormat="false" ht="15" hidden="true" customHeight="true" outlineLevel="0" collapsed="false">
      <c r="A116" s="75" t="s">
        <v>254</v>
      </c>
      <c r="B116" s="168" t="s">
        <v>249</v>
      </c>
      <c r="C116" s="173" t="s">
        <v>947</v>
      </c>
      <c r="D116" s="104" t="str">
        <f aca="false">IF(A116&lt;&gt;"",A116&amp;" | "&amp;B116&amp;" ["&amp;C116&amp;"]","")</f>
        <v>C14225 | MERLUZA EUROPEA VOLANTA ALTURA [FRESCO]</v>
      </c>
      <c r="E116" s="67" t="s">
        <v>365</v>
      </c>
      <c r="F116" s="1" t="n">
        <f aca="false">IF(AND(E116="S",C116="FRESCO"),COUNTIFS($E$3:E116,"S",$C$3:C116,"FRESCO"),"")</f>
        <v>101</v>
      </c>
      <c r="G116" s="1" t="str">
        <f aca="false">IF(AND(E116="S",C116&lt;&gt;"FRESCO"),COUNTIFS($E$3:E116,"S",$C$3:C116,"&lt;&gt;FRESCO"),"")</f>
        <v/>
      </c>
      <c r="H116" s="1" t="str">
        <f aca="false">IF(N116="","",IFERROR(SUMIFS(COMPRAS!$O$3:$O$4997,COMPRAS!$G$3:$G$4997,A116,COMPRAS!$B$3:$B$4997,N116)/SUMIFS(COMPRAS!$J$3:$J$4997,COMPRAS!$G$3:$G$4997,A116,COMPRAS!$B$3:$B$4997,N116),""))</f>
        <v/>
      </c>
      <c r="I116" s="1" t="str">
        <f aca="false">IF(X116&lt;&gt;"",X116,IF(H116="","",ROUND(H116+1.7,2)))</f>
        <v/>
      </c>
      <c r="J116" s="1" t="str">
        <f aca="false">IF(Y116&lt;&gt;"",Y116,IF(H116="","",ROUND(H116+1.9,2)))</f>
        <v/>
      </c>
      <c r="K116" s="67"/>
      <c r="L116" s="67" t="s">
        <v>381</v>
      </c>
      <c r="M116" s="64" t="str">
        <f aca="false">IF(COUNTIF(COMPRAS!$G$3:$G$4997,A116)=0,"",SUMPRODUCT(MAX((COMPRAS!$G$3:$G$4997=A116)*COMPRAS!$B$3:$B$4997)))</f>
        <v/>
      </c>
      <c r="N116" s="64" t="str">
        <f aca="false">M116</f>
        <v/>
      </c>
      <c r="O116" s="67" t="s">
        <v>1005</v>
      </c>
      <c r="P116" s="67" t="s">
        <v>949</v>
      </c>
      <c r="Q116" s="67" t="s">
        <v>1022</v>
      </c>
      <c r="R116" s="67" t="s">
        <v>957</v>
      </c>
      <c r="S116" s="67" t="s">
        <v>952</v>
      </c>
      <c r="T116" s="67"/>
      <c r="U116" s="67" t="s">
        <v>953</v>
      </c>
      <c r="V116" s="67" t="s">
        <v>954</v>
      </c>
      <c r="W116" s="67" t="s">
        <v>955</v>
      </c>
    </row>
    <row r="117" customFormat="false" ht="15" hidden="true" customHeight="true" outlineLevel="0" collapsed="false">
      <c r="A117" s="75" t="s">
        <v>255</v>
      </c>
      <c r="B117" s="168" t="s">
        <v>249</v>
      </c>
      <c r="C117" s="173" t="s">
        <v>947</v>
      </c>
      <c r="D117" s="104" t="str">
        <f aca="false">IF(A117&lt;&gt;"",A117&amp;" | "&amp;B117&amp;" ["&amp;C117&amp;"]","")</f>
        <v>C14230 | MERLUZA EUROPEA VOLANTA ALTURA [FRESCO]</v>
      </c>
      <c r="E117" s="67" t="s">
        <v>365</v>
      </c>
      <c r="F117" s="1" t="n">
        <f aca="false">IF(AND(E117="S",C117="FRESCO"),COUNTIFS($E$3:E117,"S",$C$3:C117,"FRESCO"),"")</f>
        <v>102</v>
      </c>
      <c r="G117" s="1" t="str">
        <f aca="false">IF(AND(E117="S",C117&lt;&gt;"FRESCO"),COUNTIFS($E$3:E117,"S",$C$3:C117,"&lt;&gt;FRESCO"),"")</f>
        <v/>
      </c>
      <c r="H117" s="1" t="str">
        <f aca="false">IF(N117="","",IFERROR(SUMIFS(COMPRAS!$O$3:$O$4997,COMPRAS!$G$3:$G$4997,A117,COMPRAS!$B$3:$B$4997,N117)/SUMIFS(COMPRAS!$J$3:$J$4997,COMPRAS!$G$3:$G$4997,A117,COMPRAS!$B$3:$B$4997,N117),""))</f>
        <v/>
      </c>
      <c r="I117" s="1" t="str">
        <f aca="false">IF(X117&lt;&gt;"",X117,IF(H117="","",ROUND(H117+1.7,2)))</f>
        <v/>
      </c>
      <c r="J117" s="1" t="str">
        <f aca="false">IF(Y117&lt;&gt;"",Y117,IF(H117="","",ROUND(H117+1.9,2)))</f>
        <v/>
      </c>
      <c r="K117" s="67"/>
      <c r="L117" s="67" t="s">
        <v>381</v>
      </c>
      <c r="M117" s="64" t="str">
        <f aca="false">IF(COUNTIF(COMPRAS!$G$3:$G$4997,A117)=0,"",SUMPRODUCT(MAX((COMPRAS!$G$3:$G$4997=A117)*COMPRAS!$B$3:$B$4997)))</f>
        <v/>
      </c>
      <c r="N117" s="64" t="str">
        <f aca="false">M117</f>
        <v/>
      </c>
      <c r="O117" s="67" t="s">
        <v>1005</v>
      </c>
      <c r="P117" s="67" t="s">
        <v>949</v>
      </c>
      <c r="Q117" s="67" t="s">
        <v>1022</v>
      </c>
      <c r="R117" s="67" t="s">
        <v>957</v>
      </c>
      <c r="S117" s="67" t="s">
        <v>952</v>
      </c>
      <c r="T117" s="67"/>
      <c r="U117" s="67" t="s">
        <v>953</v>
      </c>
      <c r="V117" s="67" t="s">
        <v>954</v>
      </c>
      <c r="W117" s="67" t="s">
        <v>955</v>
      </c>
    </row>
    <row r="118" customFormat="false" ht="15" hidden="true" customHeight="true" outlineLevel="0" collapsed="false">
      <c r="A118" s="75" t="s">
        <v>256</v>
      </c>
      <c r="B118" s="168" t="s">
        <v>257</v>
      </c>
      <c r="C118" s="173" t="s">
        <v>947</v>
      </c>
      <c r="D118" s="104" t="str">
        <f aca="false">IF(A118&lt;&gt;"",A118&amp;" | "&amp;B118&amp;" ["&amp;C118&amp;"]","")</f>
        <v>C751 | MERO AMERICANO/ CHERNA (WRF) [FRESCO]</v>
      </c>
      <c r="E118" s="67" t="s">
        <v>365</v>
      </c>
      <c r="F118" s="1" t="n">
        <f aca="false">IF(AND(E118="S",C118="FRESCO"),COUNTIFS($E$3:E118,"S",$C$3:C118,"FRESCO"),"")</f>
        <v>103</v>
      </c>
      <c r="G118" s="1" t="str">
        <f aca="false">IF(AND(E118="S",C118&lt;&gt;"FRESCO"),COUNTIFS($E$3:E118,"S",$C$3:C118,"&lt;&gt;FRESCO"),"")</f>
        <v/>
      </c>
      <c r="H118" s="1" t="n">
        <f aca="false">IF(N118="","",IFERROR(SUMIFS(COMPRAS!$O$3:$O$4997,COMPRAS!$G$3:$G$4997,A118,COMPRAS!$B$3:$B$4997,N118)/SUMIFS(COMPRAS!$J$3:$J$4997,COMPRAS!$G$3:$G$4997,A118,COMPRAS!$B$3:$B$4997,N118),""))</f>
        <v>25.5</v>
      </c>
      <c r="I118" s="1" t="n">
        <f aca="false">IF(X118&lt;&gt;"",X118,IF(H118="","",ROUND(H118+1.7,2)))</f>
        <v>27.2</v>
      </c>
      <c r="J118" s="1" t="n">
        <f aca="false">IF(Y118&lt;&gt;"",Y118,IF(H118="","",ROUND(H118+1.9,2)))</f>
        <v>27.4</v>
      </c>
      <c r="K118" s="67"/>
      <c r="L118" s="67" t="s">
        <v>381</v>
      </c>
      <c r="M118" s="64" t="n">
        <f aca="false">IF(COUNTIF(COMPRAS!$G$3:$G$4997,A118)=0,"",SUMPRODUCT(MAX((COMPRAS!$G$3:$G$4997=A118)*COMPRAS!$B$3:$B$4997)))</f>
        <v>46237</v>
      </c>
      <c r="N118" s="64" t="n">
        <f aca="false">M118</f>
        <v>46237</v>
      </c>
      <c r="O118" s="67" t="s">
        <v>1025</v>
      </c>
      <c r="P118" s="67"/>
      <c r="Q118" s="67"/>
      <c r="R118" s="67" t="s">
        <v>951</v>
      </c>
      <c r="S118" s="67" t="s">
        <v>952</v>
      </c>
      <c r="T118" s="67"/>
      <c r="U118" s="67" t="s">
        <v>953</v>
      </c>
      <c r="V118" s="67" t="s">
        <v>954</v>
      </c>
      <c r="W118" s="67" t="s">
        <v>955</v>
      </c>
    </row>
    <row r="119" customFormat="false" ht="15" hidden="true" customHeight="true" outlineLevel="0" collapsed="false">
      <c r="A119" s="75" t="s">
        <v>258</v>
      </c>
      <c r="B119" s="166" t="s">
        <v>259</v>
      </c>
      <c r="C119" s="173" t="s">
        <v>947</v>
      </c>
      <c r="D119" s="104" t="str">
        <f aca="false">IF(A119&lt;&gt;"",A119&amp;" | "&amp;B119&amp;" ["&amp;C119&amp;"]","")</f>
        <v>C752 | MERO AMERICANO (WRF) [FRESCO]</v>
      </c>
      <c r="E119" s="67" t="s">
        <v>365</v>
      </c>
      <c r="F119" s="1" t="n">
        <f aca="false">IF(AND(E119="S",C119="FRESCO"),COUNTIFS($E$3:E119,"S",$C$3:C119,"FRESCO"),"")</f>
        <v>104</v>
      </c>
      <c r="G119" s="1" t="str">
        <f aca="false">IF(AND(E119="S",C119&lt;&gt;"FRESCO"),COUNTIFS($E$3:E119,"S",$C$3:C119,"&lt;&gt;FRESCO"),"")</f>
        <v/>
      </c>
      <c r="H119" s="1" t="str">
        <f aca="false">IF(N119="","",IFERROR(SUMIFS(COMPRAS!$O$3:$O$4997,COMPRAS!$G$3:$G$4997,A119,COMPRAS!$B$3:$B$4997,N119)/SUMIFS(COMPRAS!$J$3:$J$4997,COMPRAS!$G$3:$G$4997,A119,COMPRAS!$B$3:$B$4997,N119),""))</f>
        <v/>
      </c>
      <c r="I119" s="1" t="str">
        <f aca="false">IF(X119&lt;&gt;"",X119,IF(H119="","",ROUND(H119+1.7,2)))</f>
        <v/>
      </c>
      <c r="J119" s="1" t="str">
        <f aca="false">IF(Y119&lt;&gt;"",Y119,IF(H119="","",ROUND(H119+1.9,2)))</f>
        <v/>
      </c>
      <c r="K119" s="67"/>
      <c r="L119" s="67" t="s">
        <v>381</v>
      </c>
      <c r="M119" s="64" t="str">
        <f aca="false">IF(COUNTIF(COMPRAS!$G$3:$G$4997,A119)=0,"",SUMPRODUCT(MAX((COMPRAS!$G$3:$G$4997=A119)*COMPRAS!$B$3:$B$4997)))</f>
        <v/>
      </c>
      <c r="N119" s="64" t="str">
        <f aca="false">M119</f>
        <v/>
      </c>
      <c r="O119" s="67" t="s">
        <v>1025</v>
      </c>
      <c r="P119" s="67"/>
      <c r="Q119" s="67"/>
      <c r="R119" s="67" t="s">
        <v>951</v>
      </c>
      <c r="S119" s="67" t="s">
        <v>952</v>
      </c>
      <c r="T119" s="67"/>
      <c r="U119" s="67" t="s">
        <v>953</v>
      </c>
      <c r="V119" s="67" t="s">
        <v>954</v>
      </c>
      <c r="W119" s="67" t="s">
        <v>955</v>
      </c>
    </row>
    <row r="120" customFormat="false" ht="15" hidden="true" customHeight="true" outlineLevel="0" collapsed="false">
      <c r="A120" s="75" t="s">
        <v>260</v>
      </c>
      <c r="B120" s="168" t="s">
        <v>261</v>
      </c>
      <c r="C120" s="173" t="s">
        <v>947</v>
      </c>
      <c r="D120" s="104" t="str">
        <f aca="false">IF(A120&lt;&gt;"",A120&amp;" | "&amp;B120&amp;" ["&amp;C120&amp;"]","")</f>
        <v>C750 | MERO COMUN GENERICO (GPX) [FRESCO]</v>
      </c>
      <c r="E120" s="67" t="s">
        <v>365</v>
      </c>
      <c r="F120" s="1" t="n">
        <f aca="false">IF(AND(E120="S",C120="FRESCO"),COUNTIFS($E$3:E120,"S",$C$3:C120,"FRESCO"),"")</f>
        <v>105</v>
      </c>
      <c r="G120" s="1" t="str">
        <f aca="false">IF(AND(E120="S",C120&lt;&gt;"FRESCO"),COUNTIFS($E$3:E120,"S",$C$3:C120,"&lt;&gt;FRESCO"),"")</f>
        <v/>
      </c>
      <c r="H120" s="1" t="n">
        <f aca="false">IF(N120="","",IFERROR(SUMIFS(COMPRAS!$O$3:$O$4997,COMPRAS!$G$3:$G$4997,A120,COMPRAS!$B$3:$B$4997,N120)/SUMIFS(COMPRAS!$J$3:$J$4997,COMPRAS!$G$3:$G$4997,A120,COMPRAS!$B$3:$B$4997,N120),""))</f>
        <v>24.8</v>
      </c>
      <c r="I120" s="1" t="n">
        <f aca="false">IF(X120&lt;&gt;"",X120,IF(H120="","",ROUND(H120+1.7,2)))</f>
        <v>26.5</v>
      </c>
      <c r="J120" s="1" t="n">
        <f aca="false">IF(Y120&lt;&gt;"",Y120,IF(H120="","",ROUND(H120+1.9,2)))</f>
        <v>26.7</v>
      </c>
      <c r="K120" s="67"/>
      <c r="L120" s="67" t="s">
        <v>381</v>
      </c>
      <c r="M120" s="64" t="n">
        <f aca="false">IF(COUNTIF(COMPRAS!$G$3:$G$4997,A120)=0,"",SUMPRODUCT(MAX((COMPRAS!$G$3:$G$4997=A120)*COMPRAS!$B$3:$B$4997)))</f>
        <v>46223</v>
      </c>
      <c r="N120" s="64" t="n">
        <f aca="false">M120</f>
        <v>46223</v>
      </c>
      <c r="O120" s="67" t="s">
        <v>1026</v>
      </c>
      <c r="P120" s="67"/>
      <c r="Q120" s="67"/>
      <c r="R120" s="67" t="s">
        <v>951</v>
      </c>
      <c r="S120" s="67" t="s">
        <v>952</v>
      </c>
      <c r="T120" s="67"/>
      <c r="U120" s="67" t="s">
        <v>953</v>
      </c>
      <c r="V120" s="67" t="s">
        <v>954</v>
      </c>
      <c r="W120" s="67" t="s">
        <v>955</v>
      </c>
    </row>
    <row r="121" customFormat="false" ht="15" hidden="true" customHeight="true" outlineLevel="0" collapsed="false">
      <c r="A121" s="75" t="s">
        <v>262</v>
      </c>
      <c r="B121" s="166" t="s">
        <v>263</v>
      </c>
      <c r="C121" s="173" t="s">
        <v>947</v>
      </c>
      <c r="D121" s="104" t="str">
        <f aca="false">IF(A121&lt;&gt;"",A121&amp;" | "&amp;B121&amp;" ["&amp;C121&amp;"]","")</f>
        <v>C4081 | MORENA COMIN (MMH) [FRESCO]</v>
      </c>
      <c r="E121" s="67" t="s">
        <v>365</v>
      </c>
      <c r="F121" s="1" t="n">
        <f aca="false">IF(AND(E121="S",C121="FRESCO"),COUNTIFS($E$3:E121,"S",$C$3:C121,"FRESCO"),"")</f>
        <v>106</v>
      </c>
      <c r="G121" s="1" t="str">
        <f aca="false">IF(AND(E121="S",C121&lt;&gt;"FRESCO"),COUNTIFS($E$3:E121,"S",$C$3:C121,"&lt;&gt;FRESCO"),"")</f>
        <v/>
      </c>
      <c r="H121" s="1" t="str">
        <f aca="false">IF(N121="","",IFERROR(SUMIFS(COMPRAS!$O$3:$O$4997,COMPRAS!$G$3:$G$4997,A121,COMPRAS!$B$3:$B$4997,N121)/SUMIFS(COMPRAS!$J$3:$J$4997,COMPRAS!$G$3:$G$4997,A121,COMPRAS!$B$3:$B$4997,N121),""))</f>
        <v/>
      </c>
      <c r="I121" s="1" t="str">
        <f aca="false">IF(X121&lt;&gt;"",X121,IF(H121="","",ROUND(H121+1.7,2)))</f>
        <v/>
      </c>
      <c r="J121" s="1" t="str">
        <f aca="false">IF(Y121&lt;&gt;"",Y121,IF(H121="","",ROUND(H121+1.9,2)))</f>
        <v/>
      </c>
      <c r="K121" s="67"/>
      <c r="L121" s="67" t="s">
        <v>381</v>
      </c>
      <c r="M121" s="64" t="str">
        <f aca="false">IF(COUNTIF(COMPRAS!$G$3:$G$4997,A121)=0,"",SUMPRODUCT(MAX((COMPRAS!$G$3:$G$4997=A121)*COMPRAS!$B$3:$B$4997)))</f>
        <v/>
      </c>
      <c r="N121" s="64" t="str">
        <f aca="false">M121</f>
        <v/>
      </c>
      <c r="O121" s="67" t="s">
        <v>1027</v>
      </c>
      <c r="P121" s="67" t="s">
        <v>949</v>
      </c>
      <c r="Q121" s="67" t="s">
        <v>950</v>
      </c>
      <c r="R121" s="67" t="s">
        <v>959</v>
      </c>
      <c r="S121" s="67" t="s">
        <v>952</v>
      </c>
      <c r="T121" s="67"/>
      <c r="U121" s="67" t="s">
        <v>953</v>
      </c>
      <c r="V121" s="67" t="s">
        <v>954</v>
      </c>
      <c r="W121" s="67" t="s">
        <v>955</v>
      </c>
    </row>
    <row r="122" customFormat="false" ht="15" hidden="true" customHeight="true" outlineLevel="0" collapsed="false">
      <c r="A122" s="75" t="s">
        <v>264</v>
      </c>
      <c r="B122" s="168" t="s">
        <v>265</v>
      </c>
      <c r="C122" s="173" t="s">
        <v>947</v>
      </c>
      <c r="D122" s="104" t="str">
        <f aca="false">IF(A122&lt;&gt;"",A122&amp;" | "&amp;B122&amp;" ["&amp;C122&amp;"]","")</f>
        <v>C675 | MUJEL/ MUGIL/ MUNXE/ MUXE (MUF) [FRESCO]</v>
      </c>
      <c r="E122" s="67" t="s">
        <v>365</v>
      </c>
      <c r="F122" s="1" t="n">
        <f aca="false">IF(AND(E122="S",C122="FRESCO"),COUNTIFS($E$3:E122,"S",$C$3:C122,"FRESCO"),"")</f>
        <v>107</v>
      </c>
      <c r="G122" s="1" t="str">
        <f aca="false">IF(AND(E122="S",C122&lt;&gt;"FRESCO"),COUNTIFS($E$3:E122,"S",$C$3:C122,"&lt;&gt;FRESCO"),"")</f>
        <v/>
      </c>
      <c r="H122" s="1" t="str">
        <f aca="false">IF(N122="","",IFERROR(SUMIFS(COMPRAS!$O$3:$O$4997,COMPRAS!$G$3:$G$4997,A122,COMPRAS!$B$3:$B$4997,N122)/SUMIFS(COMPRAS!$J$3:$J$4997,COMPRAS!$G$3:$G$4997,A122,COMPRAS!$B$3:$B$4997,N122),""))</f>
        <v/>
      </c>
      <c r="I122" s="1" t="str">
        <f aca="false">IF(X122&lt;&gt;"",X122,IF(H122="","",ROUND(H122+1.7,2)))</f>
        <v/>
      </c>
      <c r="J122" s="1" t="str">
        <f aca="false">IF(Y122&lt;&gt;"",Y122,IF(H122="","",ROUND(H122+1.9,2)))</f>
        <v/>
      </c>
      <c r="K122" s="67"/>
      <c r="L122" s="67" t="s">
        <v>381</v>
      </c>
      <c r="M122" s="64" t="str">
        <f aca="false">IF(COUNTIF(COMPRAS!$G$3:$G$4997,A122)=0,"",SUMPRODUCT(MAX((COMPRAS!$G$3:$G$4997=A122)*COMPRAS!$B$3:$B$4997)))</f>
        <v/>
      </c>
      <c r="N122" s="64" t="str">
        <f aca="false">M122</f>
        <v/>
      </c>
      <c r="O122" s="67" t="s">
        <v>1028</v>
      </c>
      <c r="P122" s="67" t="s">
        <v>949</v>
      </c>
      <c r="Q122" s="67" t="s">
        <v>950</v>
      </c>
      <c r="R122" s="67" t="s">
        <v>957</v>
      </c>
      <c r="S122" s="67" t="s">
        <v>952</v>
      </c>
      <c r="T122" s="67"/>
      <c r="U122" s="67" t="s">
        <v>953</v>
      </c>
      <c r="V122" s="67" t="s">
        <v>954</v>
      </c>
      <c r="W122" s="67" t="s">
        <v>955</v>
      </c>
    </row>
    <row r="123" customFormat="false" ht="15" hidden="true" customHeight="true" outlineLevel="0" collapsed="false">
      <c r="A123" s="75" t="s">
        <v>266</v>
      </c>
      <c r="B123" s="166" t="s">
        <v>267</v>
      </c>
      <c r="C123" s="173" t="s">
        <v>947</v>
      </c>
      <c r="D123" s="104" t="str">
        <f aca="false">IF(A123&lt;&gt;"",A123&amp;" | "&amp;B123&amp;" ["&amp;C123&amp;"]","")</f>
        <v>C288 | PALO/ PEZ PALO/ MARUCA AZUL (BLI) [FRESCO]</v>
      </c>
      <c r="E123" s="67" t="s">
        <v>365</v>
      </c>
      <c r="F123" s="1" t="n">
        <f aca="false">IF(AND(E123="S",C123="FRESCO"),COUNTIFS($E$3:E123,"S",$C$3:C123,"FRESCO"),"")</f>
        <v>108</v>
      </c>
      <c r="G123" s="1" t="str">
        <f aca="false">IF(AND(E123="S",C123&lt;&gt;"FRESCO"),COUNTIFS($E$3:E123,"S",$C$3:C123,"&lt;&gt;FRESCO"),"")</f>
        <v/>
      </c>
      <c r="H123" s="1" t="str">
        <f aca="false">IF(N123="","",IFERROR(SUMIFS(COMPRAS!$O$3:$O$4997,COMPRAS!$G$3:$G$4997,A123,COMPRAS!$B$3:$B$4997,N123)/SUMIFS(COMPRAS!$J$3:$J$4997,COMPRAS!$G$3:$G$4997,A123,COMPRAS!$B$3:$B$4997,N123),""))</f>
        <v/>
      </c>
      <c r="I123" s="1" t="str">
        <f aca="false">IF(X123&lt;&gt;"",X123,IF(H123="","",ROUND(H123+1.7,2)))</f>
        <v/>
      </c>
      <c r="J123" s="1" t="str">
        <f aca="false">IF(Y123&lt;&gt;"",Y123,IF(H123="","",ROUND(H123+1.9,2)))</f>
        <v/>
      </c>
      <c r="K123" s="67"/>
      <c r="L123" s="67" t="s">
        <v>381</v>
      </c>
      <c r="M123" s="64" t="str">
        <f aca="false">IF(COUNTIF(COMPRAS!$G$3:$G$4997,A123)=0,"",SUMPRODUCT(MAX((COMPRAS!$G$3:$G$4997=A123)*COMPRAS!$B$3:$B$4997)))</f>
        <v/>
      </c>
      <c r="N123" s="64" t="str">
        <f aca="false">M123</f>
        <v/>
      </c>
      <c r="O123" s="67" t="s">
        <v>1029</v>
      </c>
      <c r="P123" s="67" t="s">
        <v>949</v>
      </c>
      <c r="Q123" s="67" t="s">
        <v>950</v>
      </c>
      <c r="R123" s="67" t="s">
        <v>959</v>
      </c>
      <c r="S123" s="67" t="s">
        <v>952</v>
      </c>
      <c r="T123" s="67"/>
      <c r="U123" s="67" t="s">
        <v>953</v>
      </c>
      <c r="V123" s="67" t="s">
        <v>954</v>
      </c>
      <c r="W123" s="67" t="s">
        <v>955</v>
      </c>
    </row>
    <row r="124" customFormat="false" ht="15" hidden="true" customHeight="true" outlineLevel="0" collapsed="false">
      <c r="A124" s="75" t="s">
        <v>268</v>
      </c>
      <c r="B124" s="168" t="s">
        <v>269</v>
      </c>
      <c r="C124" s="173" t="s">
        <v>947</v>
      </c>
      <c r="D124" s="104" t="str">
        <f aca="false">IF(A124&lt;&gt;"",A124&amp;" | "&amp;B124&amp;" ["&amp;C124&amp;"]","")</f>
        <v>C560 | PARGO (RPG) [FRESCO]</v>
      </c>
      <c r="E124" s="67" t="s">
        <v>365</v>
      </c>
      <c r="F124" s="1" t="n">
        <f aca="false">IF(AND(E124="S",C124="FRESCO"),COUNTIFS($E$3:E124,"S",$C$3:C124,"FRESCO"),"")</f>
        <v>109</v>
      </c>
      <c r="G124" s="1" t="str">
        <f aca="false">IF(AND(E124="S",C124&lt;&gt;"FRESCO"),COUNTIFS($E$3:E124,"S",$C$3:C124,"&lt;&gt;FRESCO"),"")</f>
        <v/>
      </c>
      <c r="H124" s="1" t="n">
        <f aca="false">IF(N124="","",IFERROR(SUMIFS(COMPRAS!$O$3:$O$4997,COMPRAS!$G$3:$G$4997,A124,COMPRAS!$B$3:$B$4997,N124)/SUMIFS(COMPRAS!$J$3:$J$4997,COMPRAS!$G$3:$G$4997,A124,COMPRAS!$B$3:$B$4997,N124),""))</f>
        <v>0</v>
      </c>
      <c r="I124" s="1" t="n">
        <f aca="false">IF(X124&lt;&gt;"",X124,IF(H124="","",ROUND(H124+1.7,2)))</f>
        <v>1.7</v>
      </c>
      <c r="J124" s="1" t="n">
        <f aca="false">IF(Y124&lt;&gt;"",Y124,IF(H124="","",ROUND(H124+1.9,2)))</f>
        <v>1.9</v>
      </c>
      <c r="K124" s="67"/>
      <c r="L124" s="67" t="s">
        <v>381</v>
      </c>
      <c r="M124" s="64" t="n">
        <f aca="false">IF(COUNTIF(COMPRAS!$G$3:$G$4997,A124)=0,"",SUMPRODUCT(MAX((COMPRAS!$G$3:$G$4997=A124)*COMPRAS!$B$3:$B$4997)))</f>
        <v>46199</v>
      </c>
      <c r="N124" s="64" t="n">
        <f aca="false">M124</f>
        <v>46199</v>
      </c>
      <c r="O124" s="67" t="s">
        <v>1030</v>
      </c>
      <c r="P124" s="67" t="s">
        <v>949</v>
      </c>
      <c r="Q124" s="67" t="s">
        <v>950</v>
      </c>
      <c r="R124" s="67" t="s">
        <v>951</v>
      </c>
      <c r="S124" s="67" t="s">
        <v>952</v>
      </c>
      <c r="T124" s="67"/>
      <c r="U124" s="67" t="s">
        <v>953</v>
      </c>
      <c r="V124" s="67" t="s">
        <v>954</v>
      </c>
      <c r="W124" s="67" t="s">
        <v>955</v>
      </c>
    </row>
    <row r="125" customFormat="false" ht="15" hidden="true" customHeight="true" outlineLevel="0" collapsed="false">
      <c r="A125" s="75" t="s">
        <v>270</v>
      </c>
      <c r="B125" s="166" t="s">
        <v>271</v>
      </c>
      <c r="C125" s="173" t="s">
        <v>947</v>
      </c>
      <c r="D125" s="104" t="str">
        <f aca="false">IF(A125&lt;&gt;"",A125&amp;" | "&amp;B125&amp;" ["&amp;C125&amp;"]","")</f>
        <v>C9860 | PEON/ PION (ATP) [FRESCO]</v>
      </c>
      <c r="E125" s="67" t="s">
        <v>365</v>
      </c>
      <c r="F125" s="1" t="n">
        <f aca="false">IF(AND(E125="S",C125="FRESCO"),COUNTIFS($E$3:E125,"S",$C$3:C125,"FRESCO"),"")</f>
        <v>110</v>
      </c>
      <c r="G125" s="1" t="str">
        <f aca="false">IF(AND(E125="S",C125&lt;&gt;"FRESCO"),COUNTIFS($E$3:E125,"S",$C$3:C125,"&lt;&gt;FRESCO"),"")</f>
        <v/>
      </c>
      <c r="H125" s="1" t="n">
        <f aca="false">IF(N125="","",IFERROR(SUMIFS(COMPRAS!$O$3:$O$4997,COMPRAS!$G$3:$G$4997,A125,COMPRAS!$B$3:$B$4997,N125)/SUMIFS(COMPRAS!$J$3:$J$4997,COMPRAS!$G$3:$G$4997,A125,COMPRAS!$B$3:$B$4997,N125),""))</f>
        <v>4.59</v>
      </c>
      <c r="I125" s="1" t="n">
        <f aca="false">IF(X125&lt;&gt;"",X125,IF(H125="","",ROUND(H125+1.7,2)))</f>
        <v>6.29</v>
      </c>
      <c r="J125" s="1" t="n">
        <f aca="false">IF(Y125&lt;&gt;"",Y125,IF(H125="","",ROUND(H125+1.9,2)))</f>
        <v>6.49</v>
      </c>
      <c r="K125" s="67"/>
      <c r="L125" s="67" t="s">
        <v>381</v>
      </c>
      <c r="M125" s="64" t="n">
        <f aca="false">IF(COUNTIF(COMPRAS!$G$3:$G$4997,A125)=0,"",SUMPRODUCT(MAX((COMPRAS!$G$3:$G$4997=A125)*COMPRAS!$B$3:$B$4997)))</f>
        <v>46275</v>
      </c>
      <c r="N125" s="64" t="n">
        <f aca="false">M125</f>
        <v>46275</v>
      </c>
      <c r="O125" s="67" t="s">
        <v>1031</v>
      </c>
      <c r="P125" s="67" t="s">
        <v>949</v>
      </c>
      <c r="Q125" s="67" t="s">
        <v>950</v>
      </c>
      <c r="R125" s="67" t="s">
        <v>959</v>
      </c>
      <c r="S125" s="67" t="s">
        <v>952</v>
      </c>
      <c r="T125" s="67"/>
      <c r="U125" s="67" t="s">
        <v>953</v>
      </c>
      <c r="V125" s="67" t="s">
        <v>954</v>
      </c>
      <c r="W125" s="67" t="s">
        <v>955</v>
      </c>
    </row>
    <row r="126" customFormat="false" ht="15" hidden="true" customHeight="true" outlineLevel="0" collapsed="false">
      <c r="A126" s="75" t="s">
        <v>272</v>
      </c>
      <c r="B126" s="168" t="s">
        <v>273</v>
      </c>
      <c r="C126" s="173" t="s">
        <v>947</v>
      </c>
      <c r="D126" s="104" t="str">
        <f aca="false">IF(A126&lt;&gt;"",A126&amp;" | "&amp;B126&amp;" ["&amp;C126&amp;"]","")</f>
        <v>C9861 | PEON DE ALTURA (ARY) [FRESCO]</v>
      </c>
      <c r="E126" s="67" t="s">
        <v>365</v>
      </c>
      <c r="F126" s="1" t="n">
        <f aca="false">IF(AND(E126="S",C126="FRESCO"),COUNTIFS($E$3:E126,"S",$C$3:C126,"FRESCO"),"")</f>
        <v>111</v>
      </c>
      <c r="G126" s="1" t="str">
        <f aca="false">IF(AND(E126="S",C126&lt;&gt;"FRESCO"),COUNTIFS($E$3:E126,"S",$C$3:C126,"&lt;&gt;FRESCO"),"")</f>
        <v/>
      </c>
      <c r="H126" s="1" t="str">
        <f aca="false">IF(N126="","",IFERROR(SUMIFS(COMPRAS!$O$3:$O$4997,COMPRAS!$G$3:$G$4997,A126,COMPRAS!$B$3:$B$4997,N126)/SUMIFS(COMPRAS!$J$3:$J$4997,COMPRAS!$G$3:$G$4997,A126,COMPRAS!$B$3:$B$4997,N126),""))</f>
        <v/>
      </c>
      <c r="I126" s="1" t="str">
        <f aca="false">IF(X126&lt;&gt;"",X126,IF(H126="","",ROUND(H126+1.7,2)))</f>
        <v/>
      </c>
      <c r="J126" s="1" t="str">
        <f aca="false">IF(Y126&lt;&gt;"",Y126,IF(H126="","",ROUND(H126+1.9,2)))</f>
        <v/>
      </c>
      <c r="K126" s="67"/>
      <c r="L126" s="67" t="s">
        <v>381</v>
      </c>
      <c r="M126" s="64" t="str">
        <f aca="false">IF(COUNTIF(COMPRAS!$G$3:$G$4997,A126)=0,"",SUMPRODUCT(MAX((COMPRAS!$G$3:$G$4997=A126)*COMPRAS!$B$3:$B$4997)))</f>
        <v/>
      </c>
      <c r="N126" s="64" t="str">
        <f aca="false">M126</f>
        <v/>
      </c>
      <c r="O126" s="67" t="s">
        <v>1032</v>
      </c>
      <c r="P126" s="67" t="s">
        <v>949</v>
      </c>
      <c r="Q126" s="67" t="s">
        <v>950</v>
      </c>
      <c r="R126" s="67" t="s">
        <v>959</v>
      </c>
      <c r="S126" s="67" t="s">
        <v>952</v>
      </c>
      <c r="T126" s="67"/>
      <c r="U126" s="67" t="s">
        <v>953</v>
      </c>
      <c r="V126" s="67" t="s">
        <v>954</v>
      </c>
      <c r="W126" s="67" t="s">
        <v>955</v>
      </c>
    </row>
    <row r="127" customFormat="false" ht="15" hidden="true" customHeight="true" outlineLevel="0" collapsed="false">
      <c r="A127" s="75" t="s">
        <v>274</v>
      </c>
      <c r="B127" s="166" t="s">
        <v>275</v>
      </c>
      <c r="C127" s="173" t="s">
        <v>947</v>
      </c>
      <c r="D127" s="104" t="str">
        <f aca="false">IF(A127&lt;&gt;"",A127&amp;" | "&amp;B127&amp;" ["&amp;C127&amp;"]","")</f>
        <v>C869 | PERCEBE (PCB) [FRESCO]</v>
      </c>
      <c r="E127" s="67" t="s">
        <v>365</v>
      </c>
      <c r="F127" s="1" t="n">
        <f aca="false">IF(AND(E127="S",C127="FRESCO"),COUNTIFS($E$3:E127,"S",$C$3:C127,"FRESCO"),"")</f>
        <v>112</v>
      </c>
      <c r="G127" s="1" t="str">
        <f aca="false">IF(AND(E127="S",C127&lt;&gt;"FRESCO"),COUNTIFS($E$3:E127,"S",$C$3:C127,"&lt;&gt;FRESCO"),"")</f>
        <v/>
      </c>
      <c r="H127" s="1" t="str">
        <f aca="false">IF(N127="","",IFERROR(SUMIFS(COMPRAS!$O$3:$O$4997,COMPRAS!$G$3:$G$4997,A127,COMPRAS!$B$3:$B$4997,N127)/SUMIFS(COMPRAS!$J$3:$J$4997,COMPRAS!$G$3:$G$4997,A127,COMPRAS!$B$3:$B$4997,N127),""))</f>
        <v/>
      </c>
      <c r="I127" s="1" t="str">
        <f aca="false">IF(X127&lt;&gt;"",X127,IF(H127="","",ROUND(H127+1.7,2)))</f>
        <v/>
      </c>
      <c r="J127" s="1" t="str">
        <f aca="false">IF(Y127&lt;&gt;"",Y127,IF(H127="","",ROUND(H127+1.9,2)))</f>
        <v/>
      </c>
      <c r="K127" s="67"/>
      <c r="L127" s="67" t="s">
        <v>381</v>
      </c>
      <c r="M127" s="64" t="str">
        <f aca="false">IF(COUNTIF(COMPRAS!$G$3:$G$4997,A127)=0,"",SUMPRODUCT(MAX((COMPRAS!$G$3:$G$4997=A127)*COMPRAS!$B$3:$B$4997)))</f>
        <v/>
      </c>
      <c r="N127" s="64" t="str">
        <f aca="false">M127</f>
        <v/>
      </c>
      <c r="O127" s="67" t="s">
        <v>1033</v>
      </c>
      <c r="P127" s="67" t="s">
        <v>949</v>
      </c>
      <c r="Q127" s="67" t="s">
        <v>950</v>
      </c>
      <c r="R127" s="67" t="s">
        <v>969</v>
      </c>
      <c r="S127" s="67" t="s">
        <v>952</v>
      </c>
      <c r="T127" s="67"/>
      <c r="U127" s="67" t="s">
        <v>953</v>
      </c>
      <c r="V127" s="67" t="s">
        <v>954</v>
      </c>
      <c r="W127" s="67" t="s">
        <v>955</v>
      </c>
    </row>
    <row r="128" customFormat="false" ht="15" hidden="true" customHeight="true" outlineLevel="0" collapsed="false">
      <c r="A128" s="75" t="s">
        <v>276</v>
      </c>
      <c r="B128" s="168" t="s">
        <v>1034</v>
      </c>
      <c r="C128" s="173" t="s">
        <v>947</v>
      </c>
      <c r="D128" s="104" t="str">
        <f aca="false">IF(A128&lt;&gt;"",A128&amp;" | "&amp;B128&amp;" ["&amp;C128&amp;"]","")</f>
        <v>C191 | MERLUZA EUROPEA/ FINA DIA  [FRESCO]</v>
      </c>
      <c r="E128" s="67" t="s">
        <v>365</v>
      </c>
      <c r="F128" s="1" t="n">
        <f aca="false">IF(AND(E128="S",C128="FRESCO"),COUNTIFS($E$3:E128,"S",$C$3:C128,"FRESCO"),"")</f>
        <v>113</v>
      </c>
      <c r="G128" s="1" t="str">
        <f aca="false">IF(AND(E128="S",C128&lt;&gt;"FRESCO"),COUNTIFS($E$3:E128,"S",$C$3:C128,"&lt;&gt;FRESCO"),"")</f>
        <v/>
      </c>
      <c r="H128" s="1" t="n">
        <f aca="false">IF(N128="","",IFERROR(SUMIFS(COMPRAS!$O$3:$O$4997,COMPRAS!$G$3:$G$4997,A128,COMPRAS!$B$3:$B$4997,N128)/SUMIFS(COMPRAS!$J$3:$J$4997,COMPRAS!$G$3:$G$4997,A128,COMPRAS!$B$3:$B$4997,N128),""))</f>
        <v>3.39614574898785</v>
      </c>
      <c r="I128" s="1" t="n">
        <f aca="false">IF(X128&lt;&gt;"",X128,IF(H128="","",ROUND(H128+1.7,2)))</f>
        <v>5.1</v>
      </c>
      <c r="J128" s="1" t="n">
        <f aca="false">IF(Y128&lt;&gt;"",Y128,IF(H128="","",ROUND(H128+1.9,2)))</f>
        <v>5.3</v>
      </c>
      <c r="K128" s="67"/>
      <c r="L128" s="67" t="s">
        <v>381</v>
      </c>
      <c r="M128" s="64" t="n">
        <f aca="false">IF(COUNTIF(COMPRAS!$G$3:$G$4997,A128)=0,"",SUMPRODUCT(MAX((COMPRAS!$G$3:$G$4997=A128)*COMPRAS!$B$3:$B$4997)))</f>
        <v>46276</v>
      </c>
      <c r="N128" s="64" t="n">
        <f aca="false">M128</f>
        <v>46276</v>
      </c>
      <c r="O128" s="67" t="s">
        <v>1005</v>
      </c>
      <c r="P128" s="67" t="s">
        <v>949</v>
      </c>
      <c r="Q128" s="67" t="s">
        <v>950</v>
      </c>
      <c r="R128" s="67" t="s">
        <v>959</v>
      </c>
      <c r="S128" s="67" t="s">
        <v>952</v>
      </c>
      <c r="T128" s="67"/>
      <c r="U128" s="67" t="n">
        <v>4</v>
      </c>
      <c r="V128" s="67" t="s">
        <v>954</v>
      </c>
      <c r="W128" s="67" t="s">
        <v>955</v>
      </c>
    </row>
    <row r="129" customFormat="false" ht="15" hidden="true" customHeight="true" outlineLevel="0" collapsed="false">
      <c r="A129" s="75" t="s">
        <v>278</v>
      </c>
      <c r="B129" s="166" t="s">
        <v>279</v>
      </c>
      <c r="C129" s="173" t="s">
        <v>947</v>
      </c>
      <c r="D129" s="104" t="str">
        <f aca="false">IF(A129&lt;&gt;"",A129&amp;" | "&amp;B129&amp;" ["&amp;C129&amp;"]","")</f>
        <v>C3600 | PEZ BALLESTA/ PEIXE RONDADOR (TRG) [FRESCO]</v>
      </c>
      <c r="E129" s="67" t="s">
        <v>365</v>
      </c>
      <c r="F129" s="1" t="n">
        <f aca="false">IF(AND(E129="S",C129="FRESCO"),COUNTIFS($E$3:E129,"S",$C$3:C129,"FRESCO"),"")</f>
        <v>114</v>
      </c>
      <c r="G129" s="1" t="str">
        <f aca="false">IF(AND(E129="S",C129&lt;&gt;"FRESCO"),COUNTIFS($E$3:E129,"S",$C$3:C129,"&lt;&gt;FRESCO"),"")</f>
        <v/>
      </c>
      <c r="H129" s="1" t="str">
        <f aca="false">IF(N129="","",IFERROR(SUMIFS(COMPRAS!$O$3:$O$4997,COMPRAS!$G$3:$G$4997,A129,COMPRAS!$B$3:$B$4997,N129)/SUMIFS(COMPRAS!$J$3:$J$4997,COMPRAS!$G$3:$G$4997,A129,COMPRAS!$B$3:$B$4997,N129),""))</f>
        <v/>
      </c>
      <c r="I129" s="1" t="str">
        <f aca="false">IF(X129&lt;&gt;"",X129,IF(H129="","",ROUND(H129+1.7,2)))</f>
        <v/>
      </c>
      <c r="J129" s="1" t="str">
        <f aca="false">IF(Y129&lt;&gt;"",Y129,IF(H129="","",ROUND(H129+1.9,2)))</f>
        <v/>
      </c>
      <c r="K129" s="67"/>
      <c r="L129" s="67" t="s">
        <v>381</v>
      </c>
      <c r="M129" s="64" t="str">
        <f aca="false">IF(COUNTIF(COMPRAS!$G$3:$G$4997,A129)=0,"",SUMPRODUCT(MAX((COMPRAS!$G$3:$G$4997=A129)*COMPRAS!$B$3:$B$4997)))</f>
        <v/>
      </c>
      <c r="N129" s="64" t="str">
        <f aca="false">M129</f>
        <v/>
      </c>
      <c r="O129" s="67" t="s">
        <v>1035</v>
      </c>
      <c r="P129" s="67" t="s">
        <v>949</v>
      </c>
      <c r="Q129" s="67" t="s">
        <v>950</v>
      </c>
      <c r="R129" s="67" t="s">
        <v>959</v>
      </c>
      <c r="S129" s="67" t="s">
        <v>952</v>
      </c>
      <c r="T129" s="67"/>
      <c r="U129" s="67" t="s">
        <v>953</v>
      </c>
      <c r="V129" s="67" t="s">
        <v>954</v>
      </c>
      <c r="W129" s="67" t="s">
        <v>955</v>
      </c>
    </row>
    <row r="130" customFormat="false" ht="15" hidden="true" customHeight="true" outlineLevel="0" collapsed="false">
      <c r="A130" s="75" t="s">
        <v>280</v>
      </c>
      <c r="B130" s="168" t="s">
        <v>281</v>
      </c>
      <c r="C130" s="173" t="s">
        <v>947</v>
      </c>
      <c r="D130" s="104" t="str">
        <f aca="false">IF(A130&lt;&gt;"",A130&amp;" | "&amp;B130&amp;" ["&amp;C130&amp;"]","")</f>
        <v>C811 | PEZ ESPADA (SWO) [FRESCO]</v>
      </c>
      <c r="E130" s="67" t="s">
        <v>365</v>
      </c>
      <c r="F130" s="1" t="n">
        <f aca="false">IF(AND(E130="S",C130="FRESCO"),COUNTIFS($E$3:E130,"S",$C$3:C130,"FRESCO"),"")</f>
        <v>115</v>
      </c>
      <c r="G130" s="1" t="str">
        <f aca="false">IF(AND(E130="S",C130&lt;&gt;"FRESCO"),COUNTIFS($E$3:E130,"S",$C$3:C130,"&lt;&gt;FRESCO"),"")</f>
        <v/>
      </c>
      <c r="H130" s="1" t="str">
        <f aca="false">IF(N130="","",IFERROR(SUMIFS(COMPRAS!$O$3:$O$4997,COMPRAS!$G$3:$G$4997,A130,COMPRAS!$B$3:$B$4997,N130)/SUMIFS(COMPRAS!$J$3:$J$4997,COMPRAS!$G$3:$G$4997,A130,COMPRAS!$B$3:$B$4997,N130),""))</f>
        <v/>
      </c>
      <c r="I130" s="1" t="str">
        <f aca="false">IF(X130&lt;&gt;"",X130,IF(H130="","",ROUND(H130+1.7,2)))</f>
        <v/>
      </c>
      <c r="J130" s="1" t="str">
        <f aca="false">IF(Y130&lt;&gt;"",Y130,IF(H130="","",ROUND(H130+1.9,2)))</f>
        <v/>
      </c>
      <c r="K130" s="67"/>
      <c r="L130" s="67" t="s">
        <v>381</v>
      </c>
      <c r="M130" s="64" t="str">
        <f aca="false">IF(COUNTIF(COMPRAS!$G$3:$G$4997,A130)=0,"",SUMPRODUCT(MAX((COMPRAS!$G$3:$G$4997=A130)*COMPRAS!$B$3:$B$4997)))</f>
        <v/>
      </c>
      <c r="N130" s="64" t="str">
        <f aca="false">M130</f>
        <v/>
      </c>
      <c r="O130" s="67" t="s">
        <v>1036</v>
      </c>
      <c r="P130" s="67" t="s">
        <v>949</v>
      </c>
      <c r="Q130" s="67" t="s">
        <v>950</v>
      </c>
      <c r="R130" s="67" t="s">
        <v>951</v>
      </c>
      <c r="S130" s="67" t="s">
        <v>952</v>
      </c>
      <c r="T130" s="67"/>
      <c r="U130" s="67" t="s">
        <v>953</v>
      </c>
      <c r="V130" s="67" t="s">
        <v>954</v>
      </c>
      <c r="W130" s="67" t="s">
        <v>955</v>
      </c>
    </row>
    <row r="131" customFormat="false" ht="15" hidden="true" customHeight="true" outlineLevel="0" collapsed="false">
      <c r="A131" s="75" t="s">
        <v>282</v>
      </c>
      <c r="B131" s="166" t="s">
        <v>283</v>
      </c>
      <c r="C131" s="173" t="s">
        <v>947</v>
      </c>
      <c r="D131" s="104" t="str">
        <f aca="false">IF(A131&lt;&gt;"",A131&amp;" | "&amp;B131&amp;" ["&amp;C131&amp;"]","")</f>
        <v>C211 | POTA (SQI) [FRESCO]</v>
      </c>
      <c r="E131" s="67" t="s">
        <v>365</v>
      </c>
      <c r="F131" s="1" t="n">
        <f aca="false">IF(AND(E131="S",C131="FRESCO"),COUNTIFS($E$3:E131,"S",$C$3:C131,"FRESCO"),"")</f>
        <v>116</v>
      </c>
      <c r="G131" s="1" t="str">
        <f aca="false">IF(AND(E131="S",C131&lt;&gt;"FRESCO"),COUNTIFS($E$3:E131,"S",$C$3:C131,"&lt;&gt;FRESCO"),"")</f>
        <v/>
      </c>
      <c r="H131" s="1" t="n">
        <f aca="false">IF(N131="","",IFERROR(SUMIFS(COMPRAS!$O$3:$O$4997,COMPRAS!$G$3:$G$4997,A131,COMPRAS!$B$3:$B$4997,N131)/SUMIFS(COMPRAS!$J$3:$J$4997,COMPRAS!$G$3:$G$4997,A131,COMPRAS!$B$3:$B$4997,N131),""))</f>
        <v>4.75</v>
      </c>
      <c r="I131" s="1" t="n">
        <f aca="false">IF(X131&lt;&gt;"",X131,IF(H131="","",ROUND(H131+1.7,2)))</f>
        <v>6.45</v>
      </c>
      <c r="J131" s="1" t="n">
        <f aca="false">IF(Y131&lt;&gt;"",Y131,IF(H131="","",ROUND(H131+1.9,2)))</f>
        <v>6.65</v>
      </c>
      <c r="K131" s="67"/>
      <c r="L131" s="67" t="s">
        <v>381</v>
      </c>
      <c r="M131" s="64" t="n">
        <f aca="false">IF(COUNTIF(COMPRAS!$G$3:$G$4997,A131)=0,"",SUMPRODUCT(MAX((COMPRAS!$G$3:$G$4997=A131)*COMPRAS!$B$3:$B$4997)))</f>
        <v>46238</v>
      </c>
      <c r="N131" s="64" t="n">
        <f aca="false">M131</f>
        <v>46238</v>
      </c>
      <c r="O131" s="67" t="s">
        <v>1037</v>
      </c>
      <c r="P131" s="67" t="s">
        <v>949</v>
      </c>
      <c r="Q131" s="67" t="s">
        <v>950</v>
      </c>
      <c r="R131" s="67" t="s">
        <v>959</v>
      </c>
      <c r="S131" s="67" t="s">
        <v>952</v>
      </c>
      <c r="T131" s="67"/>
      <c r="U131" s="67" t="s">
        <v>953</v>
      </c>
      <c r="V131" s="67" t="s">
        <v>954</v>
      </c>
      <c r="W131" s="67" t="s">
        <v>955</v>
      </c>
    </row>
    <row r="132" customFormat="false" ht="15" hidden="true" customHeight="true" outlineLevel="0" collapsed="false">
      <c r="A132" s="75" t="s">
        <v>284</v>
      </c>
      <c r="B132" s="168" t="s">
        <v>285</v>
      </c>
      <c r="C132" s="173" t="s">
        <v>947</v>
      </c>
      <c r="D132" s="104" t="str">
        <f aca="false">IF(A132&lt;&gt;"",A132&amp;" | "&amp;B132&amp;" ["&amp;C132&amp;"]","")</f>
        <v>C212 | POTA VOLADORA COMUN (SQM) [FRESCO]</v>
      </c>
      <c r="E132" s="67" t="s">
        <v>365</v>
      </c>
      <c r="F132" s="1" t="n">
        <f aca="false">IF(AND(E132="S",C132="FRESCO"),COUNTIFS($E$3:E132,"S",$C$3:C132,"FRESCO"),"")</f>
        <v>117</v>
      </c>
      <c r="G132" s="1" t="str">
        <f aca="false">IF(AND(E132="S",C132&lt;&gt;"FRESCO"),COUNTIFS($E$3:E132,"S",$C$3:C132,"&lt;&gt;FRESCO"),"")</f>
        <v/>
      </c>
      <c r="H132" s="1" t="str">
        <f aca="false">IF(N132="","",IFERROR(SUMIFS(COMPRAS!$O$3:$O$4997,COMPRAS!$G$3:$G$4997,A132,COMPRAS!$B$3:$B$4997,N132)/SUMIFS(COMPRAS!$J$3:$J$4997,COMPRAS!$G$3:$G$4997,A132,COMPRAS!$B$3:$B$4997,N132),""))</f>
        <v/>
      </c>
      <c r="I132" s="1" t="str">
        <f aca="false">IF(X132&lt;&gt;"",X132,IF(H132="","",ROUND(H132+1.7,2)))</f>
        <v/>
      </c>
      <c r="J132" s="1" t="str">
        <f aca="false">IF(Y132&lt;&gt;"",Y132,IF(H132="","",ROUND(H132+1.9,2)))</f>
        <v/>
      </c>
      <c r="K132" s="67"/>
      <c r="L132" s="67" t="s">
        <v>381</v>
      </c>
      <c r="M132" s="64" t="str">
        <f aca="false">IF(COUNTIF(COMPRAS!$G$3:$G$4997,A132)=0,"",SUMPRODUCT(MAX((COMPRAS!$G$3:$G$4997=A132)*COMPRAS!$B$3:$B$4997)))</f>
        <v/>
      </c>
      <c r="N132" s="64" t="str">
        <f aca="false">M132</f>
        <v/>
      </c>
      <c r="O132" s="67" t="s">
        <v>1038</v>
      </c>
      <c r="P132" s="67" t="s">
        <v>949</v>
      </c>
      <c r="Q132" s="67" t="s">
        <v>950</v>
      </c>
      <c r="R132" s="67" t="s">
        <v>959</v>
      </c>
      <c r="S132" s="67" t="s">
        <v>952</v>
      </c>
      <c r="T132" s="67"/>
      <c r="U132" s="67" t="s">
        <v>953</v>
      </c>
      <c r="V132" s="67" t="s">
        <v>954</v>
      </c>
      <c r="W132" s="67" t="s">
        <v>955</v>
      </c>
    </row>
    <row r="133" customFormat="false" ht="15" hidden="true" customHeight="true" outlineLevel="0" collapsed="false">
      <c r="A133" s="75" t="s">
        <v>286</v>
      </c>
      <c r="B133" s="166" t="s">
        <v>287</v>
      </c>
      <c r="C133" s="173" t="s">
        <v>947</v>
      </c>
      <c r="D133" s="104" t="str">
        <f aca="false">IF(A133&lt;&gt;"",A133&amp;" | "&amp;B133&amp;" ["&amp;C133&amp;"]","")</f>
        <v>C892 | PULPO (OCC) [FRESCO]</v>
      </c>
      <c r="E133" s="67" t="s">
        <v>365</v>
      </c>
      <c r="F133" s="1" t="n">
        <f aca="false">IF(AND(E133="S",C133="FRESCO"),COUNTIFS($E$3:E133,"S",$C$3:C133,"FRESCO"),"")</f>
        <v>118</v>
      </c>
      <c r="G133" s="1" t="str">
        <f aca="false">IF(AND(E133="S",C133&lt;&gt;"FRESCO"),COUNTIFS($E$3:E133,"S",$C$3:C133,"&lt;&gt;FRESCO"),"")</f>
        <v/>
      </c>
      <c r="H133" s="1" t="str">
        <f aca="false">IF(N133="","",IFERROR(SUMIFS(COMPRAS!$O$3:$O$4997,COMPRAS!$G$3:$G$4997,A133,COMPRAS!$B$3:$B$4997,N133)/SUMIFS(COMPRAS!$J$3:$J$4997,COMPRAS!$G$3:$G$4997,A133,COMPRAS!$B$3:$B$4997,N133),""))</f>
        <v/>
      </c>
      <c r="I133" s="1" t="str">
        <f aca="false">IF(X133&lt;&gt;"",X133,IF(H133="","",ROUND(H133+1.7,2)))</f>
        <v/>
      </c>
      <c r="J133" s="1" t="str">
        <f aca="false">IF(Y133&lt;&gt;"",Y133,IF(H133="","",ROUND(H133+1.9,2)))</f>
        <v/>
      </c>
      <c r="K133" s="67"/>
      <c r="L133" s="67" t="s">
        <v>381</v>
      </c>
      <c r="M133" s="64" t="str">
        <f aca="false">IF(COUNTIF(COMPRAS!$G$3:$G$4997,A133)=0,"",SUMPRODUCT(MAX((COMPRAS!$G$3:$G$4997=A133)*COMPRAS!$B$3:$B$4997)))</f>
        <v/>
      </c>
      <c r="N133" s="64" t="str">
        <f aca="false">M133</f>
        <v/>
      </c>
      <c r="O133" s="67" t="s">
        <v>1039</v>
      </c>
      <c r="P133" s="67" t="s">
        <v>949</v>
      </c>
      <c r="Q133" s="67" t="s">
        <v>950</v>
      </c>
      <c r="R133" s="67"/>
      <c r="S133" s="67" t="s">
        <v>952</v>
      </c>
      <c r="T133" s="67"/>
      <c r="U133" s="67" t="s">
        <v>953</v>
      </c>
      <c r="V133" s="67" t="s">
        <v>954</v>
      </c>
      <c r="W133" s="67" t="s">
        <v>955</v>
      </c>
    </row>
    <row r="134" customFormat="false" ht="15" hidden="true" customHeight="true" outlineLevel="0" collapsed="false">
      <c r="A134" s="75" t="s">
        <v>288</v>
      </c>
      <c r="B134" s="168" t="s">
        <v>289</v>
      </c>
      <c r="C134" s="173" t="s">
        <v>947</v>
      </c>
      <c r="D134" s="104" t="str">
        <f aca="false">IF(A134&lt;&gt;"",A134&amp;" | "&amp;B134&amp;" ["&amp;C134&amp;"]","")</f>
        <v>C5250 | RAPE BLANCO DIA (MON) [FRESCO]</v>
      </c>
      <c r="E134" s="67" t="s">
        <v>365</v>
      </c>
      <c r="F134" s="1" t="n">
        <f aca="false">IF(AND(E134="S",C134="FRESCO"),COUNTIFS($E$3:E134,"S",$C$3:C134,"FRESCO"),"")</f>
        <v>119</v>
      </c>
      <c r="G134" s="1" t="str">
        <f aca="false">IF(AND(E134="S",C134&lt;&gt;"FRESCO"),COUNTIFS($E$3:E134,"S",$C$3:C134,"&lt;&gt;FRESCO"),"")</f>
        <v/>
      </c>
      <c r="H134" s="1" t="n">
        <f aca="false">IF(N134="","",IFERROR(SUMIFS(COMPRAS!$O$3:$O$4997,COMPRAS!$G$3:$G$4997,A134,COMPRAS!$B$3:$B$4997,N134)/SUMIFS(COMPRAS!$J$3:$J$4997,COMPRAS!$G$3:$G$4997,A134,COMPRAS!$B$3:$B$4997,N134),""))</f>
        <v>3.57</v>
      </c>
      <c r="I134" s="1" t="n">
        <f aca="false">IF(X134&lt;&gt;"",X134,IF(H134="","",ROUND(H134+1.7,2)))</f>
        <v>5.27</v>
      </c>
      <c r="J134" s="1" t="n">
        <f aca="false">IF(Y134&lt;&gt;"",Y134,IF(H134="","",ROUND(H134+1.9,2)))</f>
        <v>5.47</v>
      </c>
      <c r="K134" s="67"/>
      <c r="L134" s="67" t="s">
        <v>381</v>
      </c>
      <c r="M134" s="64" t="n">
        <f aca="false">IF(COUNTIF(COMPRAS!$G$3:$G$4997,A134)=0,"",SUMPRODUCT(MAX((COMPRAS!$G$3:$G$4997=A134)*COMPRAS!$B$3:$B$4997)))</f>
        <v>46269</v>
      </c>
      <c r="N134" s="64" t="n">
        <f aca="false">M134</f>
        <v>46269</v>
      </c>
      <c r="O134" s="67" t="s">
        <v>1040</v>
      </c>
      <c r="P134" s="67" t="s">
        <v>949</v>
      </c>
      <c r="Q134" s="67" t="s">
        <v>950</v>
      </c>
      <c r="R134" s="67" t="s">
        <v>959</v>
      </c>
      <c r="S134" s="67" t="s">
        <v>952</v>
      </c>
      <c r="T134" s="67"/>
      <c r="U134" s="67" t="s">
        <v>953</v>
      </c>
      <c r="V134" s="67" t="s">
        <v>954</v>
      </c>
      <c r="W134" s="67" t="s">
        <v>955</v>
      </c>
    </row>
    <row r="135" customFormat="false" ht="15" hidden="true" customHeight="true" outlineLevel="0" collapsed="false">
      <c r="A135" s="75" t="s">
        <v>290</v>
      </c>
      <c r="B135" s="166" t="s">
        <v>291</v>
      </c>
      <c r="C135" s="173" t="s">
        <v>947</v>
      </c>
      <c r="D135" s="104" t="str">
        <f aca="false">IF(A135&lt;&gt;"",A135&amp;" | "&amp;B135&amp;" ["&amp;C135&amp;"]","")</f>
        <v>C516 | HUESOS DE RAPE (MON) [FRESCO]</v>
      </c>
      <c r="E135" s="67" t="s">
        <v>365</v>
      </c>
      <c r="F135" s="1" t="n">
        <f aca="false">IF(AND(E135="S",C135="FRESCO"),COUNTIFS($E$3:E135,"S",$C$3:C135,"FRESCO"),"")</f>
        <v>120</v>
      </c>
      <c r="G135" s="1" t="str">
        <f aca="false">IF(AND(E135="S",C135&lt;&gt;"FRESCO"),COUNTIFS($E$3:E135,"S",$C$3:C135,"&lt;&gt;FRESCO"),"")</f>
        <v/>
      </c>
      <c r="H135" s="1" t="n">
        <f aca="false">IF(N135="","",IFERROR(SUMIFS(COMPRAS!$O$3:$O$4997,COMPRAS!$G$3:$G$4997,A135,COMPRAS!$B$3:$B$4997,N135)/SUMIFS(COMPRAS!$J$3:$J$4997,COMPRAS!$G$3:$G$4997,A135,COMPRAS!$B$3:$B$4997,N135),""))</f>
        <v>3.80769230769231</v>
      </c>
      <c r="I135" s="1" t="n">
        <f aca="false">IF(X135&lt;&gt;"",X135,IF(H135="","",ROUND(H135+1.7,2)))</f>
        <v>5.51</v>
      </c>
      <c r="J135" s="1" t="n">
        <f aca="false">IF(Y135&lt;&gt;"",Y135,IF(H135="","",ROUND(H135+1.9,2)))</f>
        <v>5.71</v>
      </c>
      <c r="K135" s="67"/>
      <c r="L135" s="67" t="s">
        <v>381</v>
      </c>
      <c r="M135" s="64" t="n">
        <f aca="false">IF(COUNTIF(COMPRAS!$G$3:$G$4997,A135)=0,"",SUMPRODUCT(MAX((COMPRAS!$G$3:$G$4997=A135)*COMPRAS!$B$3:$B$4997)))</f>
        <v>46237</v>
      </c>
      <c r="N135" s="64" t="n">
        <f aca="false">M135</f>
        <v>46237</v>
      </c>
      <c r="O135" s="67" t="s">
        <v>1040</v>
      </c>
      <c r="P135" s="67" t="s">
        <v>949</v>
      </c>
      <c r="Q135" s="67" t="s">
        <v>950</v>
      </c>
      <c r="R135" s="67" t="s">
        <v>959</v>
      </c>
      <c r="S135" s="67" t="s">
        <v>952</v>
      </c>
      <c r="T135" s="67"/>
      <c r="U135" s="67" t="s">
        <v>953</v>
      </c>
      <c r="V135" s="67" t="s">
        <v>954</v>
      </c>
      <c r="W135" s="67" t="s">
        <v>955</v>
      </c>
    </row>
    <row r="136" customFormat="false" ht="15" hidden="true" customHeight="true" outlineLevel="0" collapsed="false">
      <c r="A136" s="75" t="s">
        <v>292</v>
      </c>
      <c r="B136" s="168" t="s">
        <v>293</v>
      </c>
      <c r="C136" s="173" t="s">
        <v>947</v>
      </c>
      <c r="D136" s="104" t="str">
        <f aca="false">IF(A136&lt;&gt;"",A136&amp;" | "&amp;B136&amp;" ["&amp;C136&amp;"]","")</f>
        <v>C5262 | RAPE BLANCO RASCO (MON) [FRESCO]</v>
      </c>
      <c r="E136" s="67" t="s">
        <v>365</v>
      </c>
      <c r="F136" s="1" t="n">
        <f aca="false">IF(AND(E136="S",C136="FRESCO"),COUNTIFS($E$3:E136,"S",$C$3:C136,"FRESCO"),"")</f>
        <v>121</v>
      </c>
      <c r="G136" s="1" t="str">
        <f aca="false">IF(AND(E136="S",C136&lt;&gt;"FRESCO"),COUNTIFS($E$3:E136,"S",$C$3:C136,"&lt;&gt;FRESCO"),"")</f>
        <v/>
      </c>
      <c r="H136" s="1" t="n">
        <f aca="false">IF(N136="","",IFERROR(SUMIFS(COMPRAS!$O$3:$O$4997,COMPRAS!$G$3:$G$4997,A136,COMPRAS!$B$3:$B$4997,N136)/SUMIFS(COMPRAS!$J$3:$J$4997,COMPRAS!$G$3:$G$4997,A136,COMPRAS!$B$3:$B$4997,N136),""))</f>
        <v>7.43473120728929</v>
      </c>
      <c r="I136" s="1" t="n">
        <f aca="false">IF(X136&lt;&gt;"",X136,IF(H136="","",ROUND(H136+1.7,2)))</f>
        <v>9.13</v>
      </c>
      <c r="J136" s="1" t="n">
        <f aca="false">IF(Y136&lt;&gt;"",Y136,IF(H136="","",ROUND(H136+1.9,2)))</f>
        <v>9.33</v>
      </c>
      <c r="K136" s="67"/>
      <c r="L136" s="67" t="s">
        <v>381</v>
      </c>
      <c r="M136" s="64" t="n">
        <f aca="false">IF(COUNTIF(COMPRAS!$G$3:$G$4997,A136)=0,"",SUMPRODUCT(MAX((COMPRAS!$G$3:$G$4997=A136)*COMPRAS!$B$3:$B$4997)))</f>
        <v>46275</v>
      </c>
      <c r="N136" s="64" t="n">
        <f aca="false">M136</f>
        <v>46275</v>
      </c>
      <c r="O136" s="67" t="s">
        <v>1040</v>
      </c>
      <c r="P136" s="67" t="s">
        <v>949</v>
      </c>
      <c r="Q136" s="67" t="s">
        <v>950</v>
      </c>
      <c r="R136" s="67" t="s">
        <v>959</v>
      </c>
      <c r="S136" s="67" t="s">
        <v>952</v>
      </c>
      <c r="T136" s="67"/>
      <c r="U136" s="67" t="s">
        <v>953</v>
      </c>
      <c r="V136" s="67" t="s">
        <v>954</v>
      </c>
      <c r="W136" s="67" t="s">
        <v>955</v>
      </c>
    </row>
    <row r="137" customFormat="false" ht="15" hidden="true" customHeight="true" outlineLevel="0" collapsed="false">
      <c r="A137" s="75" t="s">
        <v>294</v>
      </c>
      <c r="B137" s="166" t="s">
        <v>295</v>
      </c>
      <c r="C137" s="173" t="s">
        <v>947</v>
      </c>
      <c r="D137" s="104" t="str">
        <f aca="false">IF(A137&lt;&gt;"",A137&amp;" | "&amp;B137&amp;" ["&amp;C137&amp;"]","")</f>
        <v>C5260 | RAPE BLANCO ARRASTRE (MON) [FRESCO]</v>
      </c>
      <c r="E137" s="67" t="s">
        <v>365</v>
      </c>
      <c r="F137" s="1" t="n">
        <f aca="false">IF(AND(E137="S",C137="FRESCO"),COUNTIFS($E$3:E137,"S",$C$3:C137,"FRESCO"),"")</f>
        <v>122</v>
      </c>
      <c r="G137" s="1" t="str">
        <f aca="false">IF(AND(E137="S",C137&lt;&gt;"FRESCO"),COUNTIFS($E$3:E137,"S",$C$3:C137,"&lt;&gt;FRESCO"),"")</f>
        <v/>
      </c>
      <c r="H137" s="1" t="n">
        <f aca="false">IF(N137="","",IFERROR(SUMIFS(COMPRAS!$O$3:$O$4997,COMPRAS!$G$3:$G$4997,A137,COMPRAS!$B$3:$B$4997,N137)/SUMIFS(COMPRAS!$J$3:$J$4997,COMPRAS!$G$3:$G$4997,A137,COMPRAS!$B$3:$B$4997,N137),""))</f>
        <v>4.386</v>
      </c>
      <c r="I137" s="1" t="n">
        <f aca="false">IF(X137&lt;&gt;"",X137,IF(H137="","",ROUND(H137+1.7,2)))</f>
        <v>6.09</v>
      </c>
      <c r="J137" s="1" t="n">
        <f aca="false">IF(Y137&lt;&gt;"",Y137,IF(H137="","",ROUND(H137+1.9,2)))</f>
        <v>6.29</v>
      </c>
      <c r="K137" s="67"/>
      <c r="L137" s="67" t="s">
        <v>381</v>
      </c>
      <c r="M137" s="64" t="n">
        <f aca="false">IF(COUNTIF(COMPRAS!$G$3:$G$4997,A137)=0,"",SUMPRODUCT(MAX((COMPRAS!$G$3:$G$4997=A137)*COMPRAS!$B$3:$B$4997)))</f>
        <v>46216</v>
      </c>
      <c r="N137" s="64" t="n">
        <f aca="false">M137</f>
        <v>46216</v>
      </c>
      <c r="O137" s="67" t="s">
        <v>1040</v>
      </c>
      <c r="P137" s="67" t="s">
        <v>949</v>
      </c>
      <c r="Q137" s="67" t="s">
        <v>950</v>
      </c>
      <c r="R137" s="67" t="s">
        <v>959</v>
      </c>
      <c r="S137" s="67" t="s">
        <v>952</v>
      </c>
      <c r="T137" s="67"/>
      <c r="U137" s="67" t="s">
        <v>953</v>
      </c>
      <c r="V137" s="67" t="s">
        <v>954</v>
      </c>
      <c r="W137" s="67" t="s">
        <v>955</v>
      </c>
    </row>
    <row r="138" customFormat="false" ht="15" hidden="true" customHeight="true" outlineLevel="0" collapsed="false">
      <c r="A138" s="75" t="s">
        <v>296</v>
      </c>
      <c r="B138" s="168" t="s">
        <v>297</v>
      </c>
      <c r="C138" s="173" t="s">
        <v>947</v>
      </c>
      <c r="D138" s="104" t="str">
        <f aca="false">IF(A138&lt;&gt;"",A138&amp;" | "&amp;B138&amp;" ["&amp;C138&amp;"]","")</f>
        <v>C5240 | RAPE NEGRO (ANK) [FRESCO]</v>
      </c>
      <c r="E138" s="67" t="s">
        <v>365</v>
      </c>
      <c r="F138" s="1" t="n">
        <f aca="false">IF(AND(E138="S",C138="FRESCO"),COUNTIFS($E$3:E138,"S",$C$3:C138,"FRESCO"),"")</f>
        <v>123</v>
      </c>
      <c r="G138" s="1" t="str">
        <f aca="false">IF(AND(E138="S",C138&lt;&gt;"FRESCO"),COUNTIFS($E$3:E138,"S",$C$3:C138,"&lt;&gt;FRESCO"),"")</f>
        <v/>
      </c>
      <c r="H138" s="1" t="n">
        <f aca="false">IF(N138="","",IFERROR(SUMIFS(COMPRAS!$O$3:$O$4997,COMPRAS!$G$3:$G$4997,A138,COMPRAS!$B$3:$B$4997,N138)/SUMIFS(COMPRAS!$J$3:$J$4997,COMPRAS!$G$3:$G$4997,A138,COMPRAS!$B$3:$B$4997,N138),""))</f>
        <v>4.64705479452055</v>
      </c>
      <c r="I138" s="1" t="n">
        <f aca="false">IF(X138&lt;&gt;"",X138,IF(H138="","",ROUND(H138+1.7,2)))</f>
        <v>6.35</v>
      </c>
      <c r="J138" s="1" t="n">
        <f aca="false">IF(Y138&lt;&gt;"",Y138,IF(H138="","",ROUND(H138+1.9,2)))</f>
        <v>6.55</v>
      </c>
      <c r="K138" s="67"/>
      <c r="L138" s="67" t="s">
        <v>381</v>
      </c>
      <c r="M138" s="64" t="n">
        <f aca="false">IF(COUNTIF(COMPRAS!$G$3:$G$4997,A138)=0,"",SUMPRODUCT(MAX((COMPRAS!$G$3:$G$4997=A138)*COMPRAS!$B$3:$B$4997)))</f>
        <v>46274</v>
      </c>
      <c r="N138" s="64" t="n">
        <f aca="false">M138</f>
        <v>46274</v>
      </c>
      <c r="O138" s="67" t="s">
        <v>1041</v>
      </c>
      <c r="P138" s="67" t="s">
        <v>949</v>
      </c>
      <c r="Q138" s="67" t="s">
        <v>950</v>
      </c>
      <c r="R138" s="67" t="s">
        <v>959</v>
      </c>
      <c r="S138" s="67" t="s">
        <v>952</v>
      </c>
      <c r="T138" s="67"/>
      <c r="U138" s="67" t="s">
        <v>953</v>
      </c>
      <c r="V138" s="67" t="s">
        <v>954</v>
      </c>
      <c r="W138" s="67" t="s">
        <v>955</v>
      </c>
    </row>
    <row r="139" customFormat="false" ht="15" hidden="true" customHeight="true" outlineLevel="0" collapsed="false">
      <c r="A139" s="75" t="s">
        <v>298</v>
      </c>
      <c r="B139" s="166" t="s">
        <v>299</v>
      </c>
      <c r="C139" s="173" t="s">
        <v>947</v>
      </c>
      <c r="D139" s="104" t="str">
        <f aca="false">IF(A139&lt;&gt;"",A139&amp;" | "&amp;B139&amp;" ["&amp;C139&amp;"]","")</f>
        <v>C3061 | RAYA ROCAROSA (RJH) [FRESCO]</v>
      </c>
      <c r="E139" s="67" t="s">
        <v>365</v>
      </c>
      <c r="F139" s="1" t="n">
        <f aca="false">IF(AND(E139="S",C139="FRESCO"),COUNTIFS($E$3:E139,"S",$C$3:C139,"FRESCO"),"")</f>
        <v>124</v>
      </c>
      <c r="G139" s="1" t="str">
        <f aca="false">IF(AND(E139="S",C139&lt;&gt;"FRESCO"),COUNTIFS($E$3:E139,"S",$C$3:C139,"&lt;&gt;FRESCO"),"")</f>
        <v/>
      </c>
      <c r="H139" s="1" t="str">
        <f aca="false">IF(N139="","",IFERROR(SUMIFS(COMPRAS!$O$3:$O$4997,COMPRAS!$G$3:$G$4997,A139,COMPRAS!$B$3:$B$4997,N139)/SUMIFS(COMPRAS!$J$3:$J$4997,COMPRAS!$G$3:$G$4997,A139,COMPRAS!$B$3:$B$4997,N139),""))</f>
        <v/>
      </c>
      <c r="I139" s="1" t="str">
        <f aca="false">IF(X139&lt;&gt;"",X139,IF(H139="","",ROUND(H139+1.7,2)))</f>
        <v/>
      </c>
      <c r="J139" s="1" t="str">
        <f aca="false">IF(Y139&lt;&gt;"",Y139,IF(H139="","",ROUND(H139+1.9,2)))</f>
        <v/>
      </c>
      <c r="K139" s="67"/>
      <c r="L139" s="67" t="s">
        <v>381</v>
      </c>
      <c r="M139" s="64" t="str">
        <f aca="false">IF(COUNTIF(COMPRAS!$G$3:$G$4997,A139)=0,"",SUMPRODUCT(MAX((COMPRAS!$G$3:$G$4997=A139)*COMPRAS!$B$3:$B$4997)))</f>
        <v/>
      </c>
      <c r="N139" s="64" t="str">
        <f aca="false">M139</f>
        <v/>
      </c>
      <c r="O139" s="67" t="s">
        <v>1042</v>
      </c>
      <c r="P139" s="67" t="s">
        <v>949</v>
      </c>
      <c r="Q139" s="67" t="s">
        <v>950</v>
      </c>
      <c r="R139" s="67" t="s">
        <v>959</v>
      </c>
      <c r="S139" s="67" t="s">
        <v>952</v>
      </c>
      <c r="T139" s="67"/>
      <c r="U139" s="67" t="s">
        <v>953</v>
      </c>
      <c r="V139" s="67" t="s">
        <v>954</v>
      </c>
      <c r="W139" s="67" t="s">
        <v>955</v>
      </c>
    </row>
    <row r="140" customFormat="false" ht="15" hidden="true" customHeight="true" outlineLevel="0" collapsed="false">
      <c r="A140" s="75" t="s">
        <v>300</v>
      </c>
      <c r="B140" s="168" t="s">
        <v>301</v>
      </c>
      <c r="C140" s="173" t="s">
        <v>947</v>
      </c>
      <c r="D140" s="104" t="str">
        <f aca="false">IF(A140&lt;&gt;"",A140&amp;" | "&amp;B140&amp;" ["&amp;C140&amp;"]","")</f>
        <v>C3062 | RAYA COLORADA (RJE) [FRESCO]</v>
      </c>
      <c r="E140" s="67" t="s">
        <v>365</v>
      </c>
      <c r="F140" s="1" t="n">
        <f aca="false">IF(AND(E140="S",C140="FRESCO"),COUNTIFS($E$3:E140,"S",$C$3:C140,"FRESCO"),"")</f>
        <v>125</v>
      </c>
      <c r="G140" s="1" t="str">
        <f aca="false">IF(AND(E140="S",C140&lt;&gt;"FRESCO"),COUNTIFS($E$3:E140,"S",$C$3:C140,"&lt;&gt;FRESCO"),"")</f>
        <v/>
      </c>
      <c r="H140" s="1" t="str">
        <f aca="false">IF(N140="","",IFERROR(SUMIFS(COMPRAS!$O$3:$O$4997,COMPRAS!$G$3:$G$4997,A140,COMPRAS!$B$3:$B$4997,N140)/SUMIFS(COMPRAS!$J$3:$J$4997,COMPRAS!$G$3:$G$4997,A140,COMPRAS!$B$3:$B$4997,N140),""))</f>
        <v/>
      </c>
      <c r="I140" s="1" t="str">
        <f aca="false">IF(X140&lt;&gt;"",X140,IF(H140="","",ROUND(H140+1.7,2)))</f>
        <v/>
      </c>
      <c r="J140" s="1" t="str">
        <f aca="false">IF(Y140&lt;&gt;"",Y140,IF(H140="","",ROUND(H140+1.9,2)))</f>
        <v/>
      </c>
      <c r="K140" s="67"/>
      <c r="L140" s="67" t="s">
        <v>381</v>
      </c>
      <c r="M140" s="64" t="str">
        <f aca="false">IF(COUNTIF(COMPRAS!$G$3:$G$4997,A140)=0,"",SUMPRODUCT(MAX((COMPRAS!$G$3:$G$4997=A140)*COMPRAS!$B$3:$B$4997)))</f>
        <v/>
      </c>
      <c r="N140" s="64" t="str">
        <f aca="false">M140</f>
        <v/>
      </c>
      <c r="O140" s="67" t="s">
        <v>1043</v>
      </c>
      <c r="P140" s="67" t="s">
        <v>949</v>
      </c>
      <c r="Q140" s="67" t="s">
        <v>950</v>
      </c>
      <c r="R140" s="67" t="s">
        <v>959</v>
      </c>
      <c r="S140" s="67" t="s">
        <v>952</v>
      </c>
      <c r="T140" s="67"/>
      <c r="U140" s="67" t="s">
        <v>953</v>
      </c>
      <c r="V140" s="67" t="s">
        <v>954</v>
      </c>
      <c r="W140" s="67" t="s">
        <v>955</v>
      </c>
    </row>
    <row r="141" customFormat="false" ht="15" hidden="true" customHeight="true" outlineLevel="0" collapsed="false">
      <c r="A141" s="75" t="s">
        <v>302</v>
      </c>
      <c r="B141" s="166" t="s">
        <v>1044</v>
      </c>
      <c r="C141" s="173" t="s">
        <v>947</v>
      </c>
      <c r="D141" s="104" t="str">
        <f aca="false">IF(A141&lt;&gt;"",A141&amp;" | "&amp;B141&amp;" ["&amp;C141&amp;"]","")</f>
        <v>C3060 | RAYA COMUN (ALAS) [FRESCO]</v>
      </c>
      <c r="E141" s="67" t="s">
        <v>365</v>
      </c>
      <c r="F141" s="1" t="n">
        <f aca="false">IF(AND(E141="S",C141="FRESCO"),COUNTIFS($E$3:E141,"S",$C$3:C141,"FRESCO"),"")</f>
        <v>126</v>
      </c>
      <c r="G141" s="1" t="str">
        <f aca="false">IF(AND(E141="S",C141&lt;&gt;"FRESCO"),COUNTIFS($E$3:E141,"S",$C$3:C141,"&lt;&gt;FRESCO"),"")</f>
        <v/>
      </c>
      <c r="H141" s="1" t="n">
        <f aca="false">IF(N141="","",IFERROR(SUMIFS(COMPRAS!$O$3:$O$4997,COMPRAS!$G$3:$G$4997,A141,COMPRAS!$B$3:$B$4997,N141)/SUMIFS(COMPRAS!$J$3:$J$4997,COMPRAS!$G$3:$G$4997,A141,COMPRAS!$B$3:$B$4997,N141),""))</f>
        <v>9.3</v>
      </c>
      <c r="I141" s="1" t="n">
        <f aca="false">IF(X141&lt;&gt;"",X141,IF(H141="","",ROUND(H141+1.7,2)))</f>
        <v>11</v>
      </c>
      <c r="J141" s="1" t="n">
        <f aca="false">IF(Y141&lt;&gt;"",Y141,IF(H141="","",ROUND(H141+1.9,2)))</f>
        <v>11.2</v>
      </c>
      <c r="K141" s="67"/>
      <c r="L141" s="67" t="s">
        <v>381</v>
      </c>
      <c r="M141" s="64" t="n">
        <f aca="false">IF(COUNTIF(COMPRAS!$G$3:$G$4997,A141)=0,"",SUMPRODUCT(MAX((COMPRAS!$G$3:$G$4997=A141)*COMPRAS!$B$3:$B$4997)))</f>
        <v>46274</v>
      </c>
      <c r="N141" s="64" t="n">
        <f aca="false">M141</f>
        <v>46274</v>
      </c>
      <c r="O141" s="67" t="s">
        <v>1045</v>
      </c>
      <c r="P141" s="67" t="s">
        <v>949</v>
      </c>
      <c r="Q141" s="67" t="s">
        <v>950</v>
      </c>
      <c r="R141" s="67" t="s">
        <v>959</v>
      </c>
      <c r="S141" s="67" t="s">
        <v>952</v>
      </c>
      <c r="T141" s="67"/>
      <c r="U141" s="67" t="s">
        <v>953</v>
      </c>
      <c r="V141" s="67" t="s">
        <v>954</v>
      </c>
      <c r="W141" s="67" t="s">
        <v>955</v>
      </c>
    </row>
    <row r="142" customFormat="false" ht="15" hidden="true" customHeight="true" outlineLevel="0" collapsed="false">
      <c r="A142" s="75" t="s">
        <v>304</v>
      </c>
      <c r="B142" s="168" t="s">
        <v>305</v>
      </c>
      <c r="C142" s="173" t="s">
        <v>947</v>
      </c>
      <c r="D142" s="104" t="str">
        <f aca="false">IF(A142&lt;&gt;"",A142&amp;" | "&amp;B142&amp;" ["&amp;C142&amp;"]","")</f>
        <v>C306 | RAYA SPP (SKA) [FRESCO]</v>
      </c>
      <c r="E142" s="67" t="s">
        <v>365</v>
      </c>
      <c r="F142" s="1" t="n">
        <f aca="false">IF(AND(E142="S",C142="FRESCO"),COUNTIFS($E$3:E142,"S",$C$3:C142,"FRESCO"),"")</f>
        <v>127</v>
      </c>
      <c r="G142" s="1" t="str">
        <f aca="false">IF(AND(E142="S",C142&lt;&gt;"FRESCO"),COUNTIFS($E$3:E142,"S",$C$3:C142,"&lt;&gt;FRESCO"),"")</f>
        <v/>
      </c>
      <c r="H142" s="1" t="n">
        <f aca="false">IF(N142="","",IFERROR(SUMIFS(COMPRAS!$O$3:$O$4997,COMPRAS!$G$3:$G$4997,A142,COMPRAS!$B$3:$B$4997,N142)/SUMIFS(COMPRAS!$J$3:$J$4997,COMPRAS!$G$3:$G$4997,A142,COMPRAS!$B$3:$B$4997,N142),""))</f>
        <v>2.346</v>
      </c>
      <c r="I142" s="1" t="n">
        <f aca="false">IF(X142&lt;&gt;"",X142,IF(H142="","",ROUND(H142+1.7,2)))</f>
        <v>4.05</v>
      </c>
      <c r="J142" s="1" t="n">
        <f aca="false">IF(Y142&lt;&gt;"",Y142,IF(H142="","",ROUND(H142+1.9,2)))</f>
        <v>4.25</v>
      </c>
      <c r="K142" s="67"/>
      <c r="L142" s="67" t="s">
        <v>381</v>
      </c>
      <c r="M142" s="64" t="n">
        <f aca="false">IF(COUNTIF(COMPRAS!$G$3:$G$4997,A142)=0,"",SUMPRODUCT(MAX((COMPRAS!$G$3:$G$4997=A142)*COMPRAS!$B$3:$B$4997)))</f>
        <v>46275</v>
      </c>
      <c r="N142" s="64" t="n">
        <f aca="false">M142</f>
        <v>46275</v>
      </c>
      <c r="O142" s="67" t="s">
        <v>1045</v>
      </c>
      <c r="P142" s="67" t="s">
        <v>949</v>
      </c>
      <c r="Q142" s="67" t="s">
        <v>950</v>
      </c>
      <c r="R142" s="67" t="s">
        <v>959</v>
      </c>
      <c r="S142" s="67" t="s">
        <v>952</v>
      </c>
      <c r="T142" s="67"/>
      <c r="U142" s="67" t="s">
        <v>953</v>
      </c>
      <c r="V142" s="67" t="s">
        <v>954</v>
      </c>
      <c r="W142" s="67" t="s">
        <v>955</v>
      </c>
    </row>
    <row r="143" customFormat="false" ht="15" hidden="true" customHeight="true" outlineLevel="0" collapsed="false">
      <c r="A143" s="75" t="s">
        <v>306</v>
      </c>
      <c r="B143" s="166" t="s">
        <v>307</v>
      </c>
      <c r="C143" s="173" t="s">
        <v>947</v>
      </c>
      <c r="D143" s="104" t="str">
        <f aca="false">IF(A143&lt;&gt;"",A143&amp;" | "&amp;B143&amp;" ["&amp;C143&amp;"]","")</f>
        <v>C630 | RODABALLO (TUR) [FRESCO]</v>
      </c>
      <c r="E143" s="67" t="s">
        <v>365</v>
      </c>
      <c r="F143" s="1" t="n">
        <f aca="false">IF(AND(E143="S",C143="FRESCO"),COUNTIFS($E$3:E143,"S",$C$3:C143,"FRESCO"),"")</f>
        <v>128</v>
      </c>
      <c r="G143" s="1" t="str">
        <f aca="false">IF(AND(E143="S",C143&lt;&gt;"FRESCO"),COUNTIFS($E$3:E143,"S",$C$3:C143,"&lt;&gt;FRESCO"),"")</f>
        <v/>
      </c>
      <c r="H143" s="1" t="n">
        <f aca="false">IF(N143="","",IFERROR(SUMIFS(COMPRAS!$O$3:$O$4997,COMPRAS!$G$3:$G$4997,A143,COMPRAS!$B$3:$B$4997,N143)/SUMIFS(COMPRAS!$J$3:$J$4997,COMPRAS!$G$3:$G$4997,A143,COMPRAS!$B$3:$B$4997,N143),""))</f>
        <v>26.9</v>
      </c>
      <c r="I143" s="1" t="n">
        <f aca="false">IF(X143&lt;&gt;"",X143,IF(H143="","",ROUND(H143+1.7,2)))</f>
        <v>28.6</v>
      </c>
      <c r="J143" s="1" t="n">
        <f aca="false">IF(Y143&lt;&gt;"",Y143,IF(H143="","",ROUND(H143+1.9,2)))</f>
        <v>28.8</v>
      </c>
      <c r="K143" s="67"/>
      <c r="L143" s="67" t="s">
        <v>381</v>
      </c>
      <c r="M143" s="64" t="n">
        <f aca="false">IF(COUNTIF(COMPRAS!$G$3:$G$4997,A143)=0,"",SUMPRODUCT(MAX((COMPRAS!$G$3:$G$4997=A143)*COMPRAS!$B$3:$B$4997)))</f>
        <v>46219</v>
      </c>
      <c r="N143" s="64" t="n">
        <f aca="false">M143</f>
        <v>46219</v>
      </c>
      <c r="O143" s="67" t="s">
        <v>1046</v>
      </c>
      <c r="P143" s="67" t="s">
        <v>949</v>
      </c>
      <c r="Q143" s="67" t="s">
        <v>950</v>
      </c>
      <c r="R143" s="67" t="s">
        <v>951</v>
      </c>
      <c r="S143" s="67" t="s">
        <v>952</v>
      </c>
      <c r="T143" s="67"/>
      <c r="U143" s="67" t="s">
        <v>953</v>
      </c>
      <c r="V143" s="67" t="s">
        <v>954</v>
      </c>
      <c r="W143" s="67" t="s">
        <v>955</v>
      </c>
    </row>
    <row r="144" customFormat="false" ht="15" hidden="true" customHeight="true" outlineLevel="0" collapsed="false">
      <c r="A144" s="75" t="s">
        <v>308</v>
      </c>
      <c r="B144" s="168" t="s">
        <v>309</v>
      </c>
      <c r="C144" s="173" t="s">
        <v>947</v>
      </c>
      <c r="D144" s="104" t="str">
        <f aca="false">IF(A144&lt;&gt;"",A144&amp;" | "&amp;B144&amp;" ["&amp;C144&amp;"]","")</f>
        <v>C7599 | SABLE BLANCO (SFS) [FRESCO]</v>
      </c>
      <c r="E144" s="67" t="s">
        <v>365</v>
      </c>
      <c r="F144" s="1" t="n">
        <f aca="false">IF(AND(E144="S",C144="FRESCO"),COUNTIFS($E$3:E144,"S",$C$3:C144,"FRESCO"),"")</f>
        <v>129</v>
      </c>
      <c r="G144" s="1" t="str">
        <f aca="false">IF(AND(E144="S",C144&lt;&gt;"FRESCO"),COUNTIFS($E$3:E144,"S",$C$3:C144,"&lt;&gt;FRESCO"),"")</f>
        <v/>
      </c>
      <c r="H144" s="1" t="n">
        <f aca="false">IF(N144="","",IFERROR(SUMIFS(COMPRAS!$O$3:$O$4997,COMPRAS!$G$3:$G$4997,A144,COMPRAS!$B$3:$B$4997,N144)/SUMIFS(COMPRAS!$J$3:$J$4997,COMPRAS!$G$3:$G$4997,A144,COMPRAS!$B$3:$B$4997,N144),""))</f>
        <v>1.02</v>
      </c>
      <c r="I144" s="1" t="n">
        <f aca="false">IF(X144&lt;&gt;"",X144,IF(H144="","",ROUND(H144+1.7,2)))</f>
        <v>2.72</v>
      </c>
      <c r="J144" s="1" t="n">
        <f aca="false">IF(Y144&lt;&gt;"",Y144,IF(H144="","",ROUND(H144+1.9,2)))</f>
        <v>2.92</v>
      </c>
      <c r="K144" s="67"/>
      <c r="L144" s="67" t="s">
        <v>381</v>
      </c>
      <c r="M144" s="64" t="n">
        <f aca="false">IF(COUNTIF(COMPRAS!$G$3:$G$4997,A144)=0,"",SUMPRODUCT(MAX((COMPRAS!$G$3:$G$4997=A144)*COMPRAS!$B$3:$B$4997)))</f>
        <v>46275</v>
      </c>
      <c r="N144" s="64" t="n">
        <f aca="false">M144</f>
        <v>46275</v>
      </c>
      <c r="O144" s="67" t="s">
        <v>1047</v>
      </c>
      <c r="P144" s="67" t="s">
        <v>949</v>
      </c>
      <c r="Q144" s="67" t="s">
        <v>950</v>
      </c>
      <c r="R144" s="67" t="s">
        <v>951</v>
      </c>
      <c r="S144" s="67" t="s">
        <v>952</v>
      </c>
      <c r="T144" s="67"/>
      <c r="U144" s="67" t="s">
        <v>953</v>
      </c>
      <c r="V144" s="67" t="s">
        <v>954</v>
      </c>
      <c r="W144" s="67" t="s">
        <v>955</v>
      </c>
    </row>
    <row r="145" customFormat="false" ht="15" hidden="true" customHeight="true" outlineLevel="0" collapsed="false">
      <c r="A145" s="75" t="s">
        <v>310</v>
      </c>
      <c r="B145" s="166" t="s">
        <v>311</v>
      </c>
      <c r="C145" s="173" t="s">
        <v>947</v>
      </c>
      <c r="D145" s="104" t="str">
        <f aca="false">IF(A145&lt;&gt;"",A145&amp;" | "&amp;B145&amp;" ["&amp;C145&amp;"]","")</f>
        <v>C770 | SABOGA/ SALEMA/ SALMA (SLM) [FRESCO]</v>
      </c>
      <c r="E145" s="67" t="s">
        <v>365</v>
      </c>
      <c r="F145" s="1" t="n">
        <f aca="false">IF(AND(E145="S",C145="FRESCO"),COUNTIFS($E$3:E145,"S",$C$3:C145,"FRESCO"),"")</f>
        <v>130</v>
      </c>
      <c r="G145" s="1" t="str">
        <f aca="false">IF(AND(E145="S",C145&lt;&gt;"FRESCO"),COUNTIFS($E$3:E145,"S",$C$3:C145,"&lt;&gt;FRESCO"),"")</f>
        <v/>
      </c>
      <c r="H145" s="1" t="n">
        <f aca="false">IF(N145="","",IFERROR(SUMIFS(COMPRAS!$O$3:$O$4997,COMPRAS!$G$3:$G$4997,A145,COMPRAS!$B$3:$B$4997,N145)/SUMIFS(COMPRAS!$J$3:$J$4997,COMPRAS!$G$3:$G$4997,A145,COMPRAS!$B$3:$B$4997,N145),""))</f>
        <v>0.816</v>
      </c>
      <c r="I145" s="1" t="n">
        <f aca="false">IF(X145&lt;&gt;"",X145,IF(H145="","",ROUND(H145+1.7,2)))</f>
        <v>2.52</v>
      </c>
      <c r="J145" s="1" t="n">
        <f aca="false">IF(Y145&lt;&gt;"",Y145,IF(H145="","",ROUND(H145+1.9,2)))</f>
        <v>2.72</v>
      </c>
      <c r="K145" s="67"/>
      <c r="L145" s="67" t="s">
        <v>381</v>
      </c>
      <c r="M145" s="64" t="n">
        <f aca="false">IF(COUNTIF(COMPRAS!$G$3:$G$4997,A145)=0,"",SUMPRODUCT(MAX((COMPRAS!$G$3:$G$4997=A145)*COMPRAS!$B$3:$B$4997)))</f>
        <v>46254</v>
      </c>
      <c r="N145" s="64" t="n">
        <f aca="false">M145</f>
        <v>46254</v>
      </c>
      <c r="O145" s="67" t="s">
        <v>1048</v>
      </c>
      <c r="P145" s="67" t="s">
        <v>949</v>
      </c>
      <c r="Q145" s="67" t="s">
        <v>950</v>
      </c>
      <c r="R145" s="67" t="s">
        <v>951</v>
      </c>
      <c r="S145" s="67" t="s">
        <v>952</v>
      </c>
      <c r="T145" s="67"/>
      <c r="U145" s="67" t="s">
        <v>953</v>
      </c>
      <c r="V145" s="67" t="s">
        <v>954</v>
      </c>
      <c r="W145" s="67" t="s">
        <v>955</v>
      </c>
    </row>
    <row r="146" customFormat="false" ht="15" hidden="true" customHeight="true" outlineLevel="0" collapsed="false">
      <c r="A146" s="75" t="s">
        <v>312</v>
      </c>
      <c r="B146" s="168" t="s">
        <v>313</v>
      </c>
      <c r="C146" s="173" t="s">
        <v>947</v>
      </c>
      <c r="D146" s="104" t="str">
        <f aca="false">IF(A146&lt;&gt;"",A146&amp;" | "&amp;B146&amp;" ["&amp;C146&amp;"]","")</f>
        <v>C900 | SALMON (SAL) [FRESCO]</v>
      </c>
      <c r="E146" s="67" t="s">
        <v>365</v>
      </c>
      <c r="F146" s="1" t="n">
        <f aca="false">IF(AND(E146="S",C146="FRESCO"),COUNTIFS($E$3:E146,"S",$C$3:C146,"FRESCO"),"")</f>
        <v>131</v>
      </c>
      <c r="G146" s="1" t="str">
        <f aca="false">IF(AND(E146="S",C146&lt;&gt;"FRESCO"),COUNTIFS($E$3:E146,"S",$C$3:C146,"&lt;&gt;FRESCO"),"")</f>
        <v/>
      </c>
      <c r="H146" s="1" t="str">
        <f aca="false">IF(N146="","",IFERROR(SUMIFS(COMPRAS!$O$3:$O$4997,COMPRAS!$G$3:$G$4997,A146,COMPRAS!$B$3:$B$4997,N146)/SUMIFS(COMPRAS!$J$3:$J$4997,COMPRAS!$G$3:$G$4997,A146,COMPRAS!$B$3:$B$4997,N146),""))</f>
        <v/>
      </c>
      <c r="I146" s="1" t="str">
        <f aca="false">IF(X146&lt;&gt;"",X146,IF(H146="","",ROUND(H146+1.7,2)))</f>
        <v/>
      </c>
      <c r="J146" s="1" t="str">
        <f aca="false">IF(Y146&lt;&gt;"",Y146,IF(H146="","",ROUND(H146+1.9,2)))</f>
        <v/>
      </c>
      <c r="K146" s="67"/>
      <c r="L146" s="67" t="s">
        <v>381</v>
      </c>
      <c r="M146" s="64" t="str">
        <f aca="false">IF(COUNTIF(COMPRAS!$G$3:$G$4997,A146)=0,"",SUMPRODUCT(MAX((COMPRAS!$G$3:$G$4997=A146)*COMPRAS!$B$3:$B$4997)))</f>
        <v/>
      </c>
      <c r="N146" s="64" t="str">
        <f aca="false">M146</f>
        <v/>
      </c>
      <c r="O146" s="67" t="s">
        <v>1049</v>
      </c>
      <c r="P146" s="67" t="s">
        <v>949</v>
      </c>
      <c r="Q146" s="67" t="s">
        <v>950</v>
      </c>
      <c r="R146" s="67" t="s">
        <v>1050</v>
      </c>
      <c r="S146" s="67" t="s">
        <v>952</v>
      </c>
      <c r="T146" s="67"/>
      <c r="U146" s="67" t="s">
        <v>953</v>
      </c>
      <c r="V146" s="67" t="s">
        <v>954</v>
      </c>
      <c r="W146" s="67" t="s">
        <v>955</v>
      </c>
    </row>
    <row r="147" customFormat="false" ht="15" hidden="true" customHeight="true" outlineLevel="0" collapsed="false">
      <c r="A147" s="75" t="s">
        <v>314</v>
      </c>
      <c r="B147" s="166" t="s">
        <v>315</v>
      </c>
      <c r="C147" s="173" t="s">
        <v>947</v>
      </c>
      <c r="D147" s="104" t="str">
        <f aca="false">IF(A147&lt;&gt;"",A147&amp;" | "&amp;B147&amp;" ["&amp;C147&amp;"]","")</f>
        <v>C340 | SALMONETE [FRESCO]</v>
      </c>
      <c r="E147" s="67" t="s">
        <v>365</v>
      </c>
      <c r="F147" s="1" t="n">
        <f aca="false">IF(AND(E147="S",C147="FRESCO"),COUNTIFS($E$3:E147,"S",$C$3:C147,"FRESCO"),"")</f>
        <v>132</v>
      </c>
      <c r="G147" s="1" t="str">
        <f aca="false">IF(AND(E147="S",C147&lt;&gt;"FRESCO"),COUNTIFS($E$3:E147,"S",$C$3:C147,"&lt;&gt;FRESCO"),"")</f>
        <v/>
      </c>
      <c r="H147" s="1" t="n">
        <f aca="false">IF(N147="","",IFERROR(SUMIFS(COMPRAS!$O$3:$O$4997,COMPRAS!$G$3:$G$4997,A147,COMPRAS!$B$3:$B$4997,N147)/SUMIFS(COMPRAS!$J$3:$J$4997,COMPRAS!$G$3:$G$4997,A147,COMPRAS!$B$3:$B$4997,N147),""))</f>
        <v>12.0797142857143</v>
      </c>
      <c r="I147" s="1" t="n">
        <f aca="false">IF(X147&lt;&gt;"",X147,IF(H147="","",ROUND(H147+1.7,2)))</f>
        <v>13.78</v>
      </c>
      <c r="J147" s="1" t="n">
        <f aca="false">IF(Y147&lt;&gt;"",Y147,IF(H147="","",ROUND(H147+1.9,2)))</f>
        <v>13.98</v>
      </c>
      <c r="K147" s="67"/>
      <c r="L147" s="67" t="s">
        <v>381</v>
      </c>
      <c r="M147" s="64" t="n">
        <f aca="false">IF(COUNTIF(COMPRAS!$G$3:$G$4997,A147)=0,"",SUMPRODUCT(MAX((COMPRAS!$G$3:$G$4997=A147)*COMPRAS!$B$3:$B$4997)))</f>
        <v>46207</v>
      </c>
      <c r="N147" s="64" t="n">
        <f aca="false">M147</f>
        <v>46207</v>
      </c>
      <c r="O147" s="67" t="s">
        <v>1051</v>
      </c>
      <c r="P147" s="67" t="s">
        <v>949</v>
      </c>
      <c r="Q147" s="67" t="s">
        <v>950</v>
      </c>
      <c r="R147" s="67" t="s">
        <v>959</v>
      </c>
      <c r="S147" s="67" t="s">
        <v>952</v>
      </c>
      <c r="T147" s="67"/>
      <c r="U147" s="67" t="s">
        <v>953</v>
      </c>
      <c r="V147" s="67" t="s">
        <v>954</v>
      </c>
      <c r="W147" s="67" t="s">
        <v>955</v>
      </c>
    </row>
    <row r="148" customFormat="false" ht="15" hidden="true" customHeight="true" outlineLevel="0" collapsed="false">
      <c r="A148" s="75" t="s">
        <v>316</v>
      </c>
      <c r="B148" s="168" t="s">
        <v>317</v>
      </c>
      <c r="C148" s="173" t="s">
        <v>947</v>
      </c>
      <c r="D148" s="104" t="str">
        <f aca="false">IF(A148&lt;&gt;"",A148&amp;" | "&amp;B148&amp;" ["&amp;C148&amp;"]","")</f>
        <v>C341 | SALMONETE ROCA (MUR) [FRESCO]</v>
      </c>
      <c r="E148" s="67" t="s">
        <v>365</v>
      </c>
      <c r="F148" s="1" t="n">
        <f aca="false">IF(AND(E148="S",C148="FRESCO"),COUNTIFS($E$3:E148,"S",$C$3:C148,"FRESCO"),"")</f>
        <v>133</v>
      </c>
      <c r="G148" s="1" t="str">
        <f aca="false">IF(AND(E148="S",C148&lt;&gt;"FRESCO"),COUNTIFS($E$3:E148,"S",$C$3:C148,"&lt;&gt;FRESCO"),"")</f>
        <v/>
      </c>
      <c r="H148" s="1" t="n">
        <f aca="false">IF(N148="","",IFERROR(SUMIFS(COMPRAS!$O$3:$O$4997,COMPRAS!$G$3:$G$4997,A148,COMPRAS!$B$3:$B$4997,N148)/SUMIFS(COMPRAS!$J$3:$J$4997,COMPRAS!$G$3:$G$4997,A148,COMPRAS!$B$3:$B$4997,N148),""))</f>
        <v>14.28</v>
      </c>
      <c r="I148" s="1" t="n">
        <f aca="false">IF(X148&lt;&gt;"",X148,IF(H148="","",ROUND(H148+1.7,2)))</f>
        <v>15.98</v>
      </c>
      <c r="J148" s="1" t="n">
        <f aca="false">IF(Y148&lt;&gt;"",Y148,IF(H148="","",ROUND(H148+1.9,2)))</f>
        <v>16.18</v>
      </c>
      <c r="K148" s="67"/>
      <c r="L148" s="67" t="s">
        <v>381</v>
      </c>
      <c r="M148" s="64" t="n">
        <f aca="false">IF(COUNTIF(COMPRAS!$G$3:$G$4997,A148)=0,"",SUMPRODUCT(MAX((COMPRAS!$G$3:$G$4997=A148)*COMPRAS!$B$3:$B$4997)))</f>
        <v>46274</v>
      </c>
      <c r="N148" s="64" t="n">
        <f aca="false">M148</f>
        <v>46274</v>
      </c>
      <c r="O148" s="67" t="s">
        <v>1051</v>
      </c>
      <c r="P148" s="67" t="s">
        <v>949</v>
      </c>
      <c r="Q148" s="67" t="s">
        <v>950</v>
      </c>
      <c r="R148" s="67" t="s">
        <v>959</v>
      </c>
      <c r="S148" s="67" t="s">
        <v>952</v>
      </c>
      <c r="T148" s="67"/>
      <c r="U148" s="67" t="s">
        <v>953</v>
      </c>
      <c r="V148" s="67" t="s">
        <v>954</v>
      </c>
      <c r="W148" s="67" t="s">
        <v>955</v>
      </c>
    </row>
    <row r="149" customFormat="false" ht="15" hidden="true" customHeight="true" outlineLevel="0" collapsed="false">
      <c r="A149" s="75" t="s">
        <v>318</v>
      </c>
      <c r="B149" s="166" t="s">
        <v>319</v>
      </c>
      <c r="C149" s="173" t="s">
        <v>947</v>
      </c>
      <c r="D149" s="104" t="str">
        <f aca="false">IF(A149&lt;&gt;"",A149&amp;" | "&amp;B149&amp;" ["&amp;C149&amp;"]","")</f>
        <v>C8560 | SAN MARTIÑOS/ SAN PEDROS (JOD) [FRESCO]</v>
      </c>
      <c r="E149" s="67" t="s">
        <v>365</v>
      </c>
      <c r="F149" s="1" t="n">
        <f aca="false">IF(AND(E149="S",C149="FRESCO"),COUNTIFS($E$3:E149,"S",$C$3:C149,"FRESCO"),"")</f>
        <v>134</v>
      </c>
      <c r="G149" s="1" t="str">
        <f aca="false">IF(AND(E149="S",C149&lt;&gt;"FRESCO"),COUNTIFS($E$3:E149,"S",$C$3:C149,"&lt;&gt;FRESCO"),"")</f>
        <v/>
      </c>
      <c r="H149" s="1" t="n">
        <f aca="false">IF(N149="","",IFERROR(SUMIFS(COMPRAS!$O$3:$O$4997,COMPRAS!$G$3:$G$4997,A149,COMPRAS!$B$3:$B$4997,N149)/SUMIFS(COMPRAS!$J$3:$J$4997,COMPRAS!$G$3:$G$4997,A149,COMPRAS!$B$3:$B$4997,N149),""))</f>
        <v>16.5614379084967</v>
      </c>
      <c r="I149" s="1" t="n">
        <f aca="false">IF(X149&lt;&gt;"",X149,IF(H149="","",ROUND(H149+1.7,2)))</f>
        <v>18.26</v>
      </c>
      <c r="J149" s="1" t="n">
        <f aca="false">IF(Y149&lt;&gt;"",Y149,IF(H149="","",ROUND(H149+1.9,2)))</f>
        <v>18.46</v>
      </c>
      <c r="K149" s="67"/>
      <c r="L149" s="67" t="s">
        <v>381</v>
      </c>
      <c r="M149" s="64" t="n">
        <f aca="false">IF(COUNTIF(COMPRAS!$G$3:$G$4997,A149)=0,"",SUMPRODUCT(MAX((COMPRAS!$G$3:$G$4997=A149)*COMPRAS!$B$3:$B$4997)))</f>
        <v>46258</v>
      </c>
      <c r="N149" s="64" t="n">
        <f aca="false">M149</f>
        <v>46258</v>
      </c>
      <c r="O149" s="67" t="s">
        <v>1052</v>
      </c>
      <c r="P149" s="67" t="s">
        <v>949</v>
      </c>
      <c r="Q149" s="67" t="s">
        <v>950</v>
      </c>
      <c r="R149" s="67" t="s">
        <v>951</v>
      </c>
      <c r="S149" s="67" t="s">
        <v>952</v>
      </c>
      <c r="T149" s="67"/>
      <c r="U149" s="67" t="s">
        <v>953</v>
      </c>
      <c r="V149" s="67" t="s">
        <v>954</v>
      </c>
      <c r="W149" s="67" t="s">
        <v>955</v>
      </c>
    </row>
    <row r="150" customFormat="false" ht="15" hidden="true" customHeight="true" outlineLevel="0" collapsed="false">
      <c r="A150" s="75" t="s">
        <v>320</v>
      </c>
      <c r="B150" s="168" t="s">
        <v>321</v>
      </c>
      <c r="C150" s="173" t="s">
        <v>980</v>
      </c>
      <c r="D150" s="104" t="str">
        <f aca="false">IF(A150&lt;&gt;"",A150&amp;" | "&amp;B150&amp;" ["&amp;C150&amp;"]","")</f>
        <v>C440 | FILETE DE PLATIJA (FLE) [ELABORADO]</v>
      </c>
      <c r="E150" s="67" t="s">
        <v>365</v>
      </c>
      <c r="F150" s="1" t="str">
        <f aca="false">IF(AND(E150="S",C150="FRESCO"),COUNTIFS($E$3:E150,"S",$C$3:C150,"FRESCO"),"")</f>
        <v/>
      </c>
      <c r="G150" s="1" t="n">
        <f aca="false">IF(AND(E150="S",C150&lt;&gt;"FRESCO"),COUNTIFS($E$3:E150,"S",$C$3:C150,"&lt;&gt;FRESCO"),"")</f>
        <v>5</v>
      </c>
      <c r="H150" s="1" t="str">
        <f aca="false">IF(N150="","",IFERROR(SUMIFS(COMPRAS!$O$3:$O$4997,COMPRAS!$G$3:$G$4997,A150,COMPRAS!$B$3:$B$4997,N150)/SUMIFS(COMPRAS!$J$3:$J$4997,COMPRAS!$G$3:$G$4997,A150,COMPRAS!$B$3:$B$4997,N150),""))</f>
        <v/>
      </c>
      <c r="I150" s="1" t="str">
        <f aca="false">IF(X150&lt;&gt;"",X150,IF(H150="","",ROUND(H150+1.7,2)))</f>
        <v/>
      </c>
      <c r="J150" s="1" t="str">
        <f aca="false">IF(Y150&lt;&gt;"",Y150,IF(H150="","",ROUND(H150+1.9,2)))</f>
        <v/>
      </c>
      <c r="K150" s="67"/>
      <c r="L150" s="67" t="s">
        <v>381</v>
      </c>
      <c r="M150" s="64" t="str">
        <f aca="false">IF(COUNTIF(COMPRAS!$G$3:$G$4997,A150)=0,"",SUMPRODUCT(MAX((COMPRAS!$G$3:$G$4997=A150)*COMPRAS!$B$3:$B$4997)))</f>
        <v/>
      </c>
      <c r="N150" s="64" t="str">
        <f aca="false">M150</f>
        <v/>
      </c>
      <c r="O150" s="67" t="s">
        <v>1053</v>
      </c>
      <c r="P150" s="67" t="s">
        <v>949</v>
      </c>
      <c r="Q150" s="67" t="s">
        <v>950</v>
      </c>
      <c r="R150" s="67" t="s">
        <v>959</v>
      </c>
      <c r="S150" s="67" t="s">
        <v>952</v>
      </c>
      <c r="T150" s="67"/>
      <c r="U150" s="67" t="s">
        <v>953</v>
      </c>
      <c r="V150" s="67" t="s">
        <v>954</v>
      </c>
      <c r="W150" s="67" t="s">
        <v>955</v>
      </c>
    </row>
    <row r="151" customFormat="false" ht="15" hidden="true" customHeight="true" outlineLevel="0" collapsed="false">
      <c r="A151" s="75" t="s">
        <v>322</v>
      </c>
      <c r="B151" s="166" t="s">
        <v>323</v>
      </c>
      <c r="C151" s="173" t="s">
        <v>947</v>
      </c>
      <c r="D151" s="104" t="str">
        <f aca="false">IF(A151&lt;&gt;"",A151&amp;" | "&amp;B151&amp;" ["&amp;C151&amp;"]","")</f>
        <v>C391 | FILETE DE SARDINA (PIL) [FRESCO]</v>
      </c>
      <c r="E151" s="67" t="s">
        <v>365</v>
      </c>
      <c r="F151" s="1" t="n">
        <f aca="false">IF(AND(E151="S",C151="FRESCO"),COUNTIFS($E$3:E151,"S",$C$3:C151,"FRESCO"),"")</f>
        <v>135</v>
      </c>
      <c r="G151" s="1" t="str">
        <f aca="false">IF(AND(E151="S",C151&lt;&gt;"FRESCO"),COUNTIFS($E$3:E151,"S",$C$3:C151,"&lt;&gt;FRESCO"),"")</f>
        <v/>
      </c>
      <c r="H151" s="1" t="str">
        <f aca="false">IF(N151="","",IFERROR(SUMIFS(COMPRAS!$O$3:$O$4997,COMPRAS!$G$3:$G$4997,A151,COMPRAS!$B$3:$B$4997,N151)/SUMIFS(COMPRAS!$J$3:$J$4997,COMPRAS!$G$3:$G$4997,A151,COMPRAS!$B$3:$B$4997,N151),""))</f>
        <v/>
      </c>
      <c r="I151" s="1" t="str">
        <f aca="false">IF(X151&lt;&gt;"",X151,IF(H151="","",ROUND(H151+1.7,2)))</f>
        <v/>
      </c>
      <c r="J151" s="1" t="str">
        <f aca="false">IF(Y151&lt;&gt;"",Y151,IF(H151="","",ROUND(H151+1.9,2)))</f>
        <v/>
      </c>
      <c r="K151" s="67"/>
      <c r="L151" s="67" t="s">
        <v>381</v>
      </c>
      <c r="M151" s="64" t="str">
        <f aca="false">IF(COUNTIF(COMPRAS!$G$3:$G$4997,A151)=0,"",SUMPRODUCT(MAX((COMPRAS!$G$3:$G$4997=A151)*COMPRAS!$B$3:$B$4997)))</f>
        <v/>
      </c>
      <c r="N151" s="64" t="str">
        <f aca="false">M151</f>
        <v/>
      </c>
      <c r="O151" s="67" t="s">
        <v>1054</v>
      </c>
      <c r="P151" s="67" t="s">
        <v>949</v>
      </c>
      <c r="Q151" s="67" t="s">
        <v>950</v>
      </c>
      <c r="R151" s="67" t="s">
        <v>972</v>
      </c>
      <c r="S151" s="67" t="s">
        <v>952</v>
      </c>
      <c r="T151" s="67"/>
      <c r="U151" s="67" t="s">
        <v>953</v>
      </c>
      <c r="V151" s="67" t="s">
        <v>954</v>
      </c>
      <c r="W151" s="67" t="s">
        <v>955</v>
      </c>
    </row>
    <row r="152" customFormat="false" ht="15" hidden="true" customHeight="true" outlineLevel="0" collapsed="false">
      <c r="A152" s="75" t="s">
        <v>324</v>
      </c>
      <c r="B152" s="168" t="s">
        <v>325</v>
      </c>
      <c r="C152" s="173" t="s">
        <v>947</v>
      </c>
      <c r="D152" s="104" t="str">
        <f aca="false">IF(A152&lt;&gt;"",A152&amp;" | "&amp;B152&amp;" ["&amp;C152&amp;"]","")</f>
        <v>C390 | SARDINA    (PIL) [FRESCO]</v>
      </c>
      <c r="E152" s="67" t="s">
        <v>365</v>
      </c>
      <c r="F152" s="1" t="n">
        <f aca="false">IF(AND(E152="S",C152="FRESCO"),COUNTIFS($E$3:E152,"S",$C$3:C152,"FRESCO"),"")</f>
        <v>136</v>
      </c>
      <c r="G152" s="1" t="str">
        <f aca="false">IF(AND(E152="S",C152&lt;&gt;"FRESCO"),COUNTIFS($E$3:E152,"S",$C$3:C152,"&lt;&gt;FRESCO"),"")</f>
        <v/>
      </c>
      <c r="H152" s="1" t="n">
        <f aca="false">IF(N152="","",IFERROR(SUMIFS(COMPRAS!$O$3:$O$4997,COMPRAS!$G$3:$G$4997,A152,COMPRAS!$B$3:$B$4997,N152)/SUMIFS(COMPRAS!$J$3:$J$4997,COMPRAS!$G$3:$G$4997,A152,COMPRAS!$B$3:$B$4997,N152),""))</f>
        <v>2.95</v>
      </c>
      <c r="I152" s="1" t="n">
        <f aca="false">IF(X152&lt;&gt;"",X152,IF(H152="","",ROUND(H152+1.7,2)))</f>
        <v>4.65</v>
      </c>
      <c r="J152" s="1" t="n">
        <f aca="false">IF(Y152&lt;&gt;"",Y152,IF(H152="","",ROUND(H152+1.9,2)))</f>
        <v>4.85</v>
      </c>
      <c r="K152" s="67"/>
      <c r="L152" s="67" t="s">
        <v>381</v>
      </c>
      <c r="M152" s="64" t="n">
        <f aca="false">IF(COUNTIF(COMPRAS!$G$3:$G$4997,A152)=0,"",SUMPRODUCT(MAX((COMPRAS!$G$3:$G$4997=A152)*COMPRAS!$B$3:$B$4997)))</f>
        <v>46267</v>
      </c>
      <c r="N152" s="64" t="n">
        <f aca="false">M152</f>
        <v>46267</v>
      </c>
      <c r="O152" s="67" t="s">
        <v>1054</v>
      </c>
      <c r="P152" s="67" t="s">
        <v>949</v>
      </c>
      <c r="Q152" s="67" t="s">
        <v>950</v>
      </c>
      <c r="R152" s="67" t="s">
        <v>972</v>
      </c>
      <c r="S152" s="67" t="s">
        <v>952</v>
      </c>
      <c r="T152" s="67"/>
      <c r="U152" s="67" t="s">
        <v>953</v>
      </c>
      <c r="V152" s="67" t="s">
        <v>954</v>
      </c>
      <c r="W152" s="67" t="s">
        <v>955</v>
      </c>
    </row>
    <row r="153" customFormat="false" ht="15" hidden="true" customHeight="true" outlineLevel="0" collapsed="false">
      <c r="A153" s="75" t="s">
        <v>326</v>
      </c>
      <c r="B153" s="166" t="s">
        <v>327</v>
      </c>
      <c r="C153" s="173" t="s">
        <v>947</v>
      </c>
      <c r="D153" s="104" t="str">
        <f aca="false">IF(A153&lt;&gt;"",A153&amp;" | "&amp;B153&amp;" ["&amp;C153&amp;"]","")</f>
        <v>C430 | SARGO RIA (SWA) [FRESCO]</v>
      </c>
      <c r="E153" s="67" t="s">
        <v>365</v>
      </c>
      <c r="F153" s="1" t="n">
        <f aca="false">IF(AND(E153="S",C153="FRESCO"),COUNTIFS($E$3:E153,"S",$C$3:C153,"FRESCO"),"")</f>
        <v>137</v>
      </c>
      <c r="G153" s="1" t="str">
        <f aca="false">IF(AND(E153="S",C153&lt;&gt;"FRESCO"),COUNTIFS($E$3:E153,"S",$C$3:C153,"&lt;&gt;FRESCO"),"")</f>
        <v/>
      </c>
      <c r="H153" s="1" t="n">
        <f aca="false">IF(N153="","",IFERROR(SUMIFS(COMPRAS!$O$3:$O$4997,COMPRAS!$G$3:$G$4997,A153,COMPRAS!$B$3:$B$4997,N153)/SUMIFS(COMPRAS!$J$3:$J$4997,COMPRAS!$G$3:$G$4997,A153,COMPRAS!$B$3:$B$4997,N153),""))</f>
        <v>7.5</v>
      </c>
      <c r="I153" s="1" t="n">
        <f aca="false">IF(X153&lt;&gt;"",X153,IF(H153="","",ROUND(H153+1.7,2)))</f>
        <v>9.2</v>
      </c>
      <c r="J153" s="1" t="n">
        <f aca="false">IF(Y153&lt;&gt;"",Y153,IF(H153="","",ROUND(H153+1.9,2)))</f>
        <v>9.4</v>
      </c>
      <c r="K153" s="67"/>
      <c r="L153" s="67" t="s">
        <v>381</v>
      </c>
      <c r="M153" s="64" t="n">
        <f aca="false">IF(COUNTIF(COMPRAS!$G$3:$G$4997,A153)=0,"",SUMPRODUCT(MAX((COMPRAS!$G$3:$G$4997=A153)*COMPRAS!$B$3:$B$4997)))</f>
        <v>46269</v>
      </c>
      <c r="N153" s="64" t="n">
        <f aca="false">M153</f>
        <v>46269</v>
      </c>
      <c r="O153" s="67" t="s">
        <v>1055</v>
      </c>
      <c r="P153" s="67" t="s">
        <v>949</v>
      </c>
      <c r="Q153" s="67" t="s">
        <v>950</v>
      </c>
      <c r="R153" s="67" t="s">
        <v>951</v>
      </c>
      <c r="S153" s="67" t="s">
        <v>952</v>
      </c>
      <c r="T153" s="67"/>
      <c r="U153" s="67" t="s">
        <v>953</v>
      </c>
      <c r="V153" s="67" t="s">
        <v>954</v>
      </c>
      <c r="W153" s="67" t="s">
        <v>955</v>
      </c>
    </row>
    <row r="154" customFormat="false" ht="15" hidden="true" customHeight="true" outlineLevel="0" collapsed="false">
      <c r="A154" s="75" t="s">
        <v>328</v>
      </c>
      <c r="B154" s="168" t="s">
        <v>329</v>
      </c>
      <c r="C154" s="173" t="s">
        <v>947</v>
      </c>
      <c r="D154" s="104" t="str">
        <f aca="false">IF(A154&lt;&gt;"",A154&amp;" | "&amp;B154&amp;" ["&amp;C154&amp;"]","")</f>
        <v>C431 | SARGO ESCAMUDO (CTB) [FRESCO]</v>
      </c>
      <c r="E154" s="67" t="s">
        <v>365</v>
      </c>
      <c r="F154" s="1" t="n">
        <f aca="false">IF(AND(E154="S",C154="FRESCO"),COUNTIFS($E$3:E154,"S",$C$3:C154,"FRESCO"),"")</f>
        <v>138</v>
      </c>
      <c r="G154" s="1" t="str">
        <f aca="false">IF(AND(E154="S",C154&lt;&gt;"FRESCO"),COUNTIFS($E$3:E154,"S",$C$3:C154,"&lt;&gt;FRESCO"),"")</f>
        <v/>
      </c>
      <c r="H154" s="1" t="n">
        <f aca="false">IF(N154="","",IFERROR(SUMIFS(COMPRAS!$O$3:$O$4997,COMPRAS!$G$3:$G$4997,A154,COMPRAS!$B$3:$B$4997,N154)/SUMIFS(COMPRAS!$J$3:$J$4997,COMPRAS!$G$3:$G$4997,A154,COMPRAS!$B$3:$B$4997,N154),""))</f>
        <v>6.12</v>
      </c>
      <c r="I154" s="1" t="n">
        <f aca="false">IF(X154&lt;&gt;"",X154,IF(H154="","",ROUND(H154+1.7,2)))</f>
        <v>7.82</v>
      </c>
      <c r="J154" s="1" t="n">
        <f aca="false">IF(Y154&lt;&gt;"",Y154,IF(H154="","",ROUND(H154+1.9,2)))</f>
        <v>8.02</v>
      </c>
      <c r="K154" s="67"/>
      <c r="L154" s="67" t="s">
        <v>381</v>
      </c>
      <c r="M154" s="64" t="n">
        <f aca="false">IF(COUNTIF(COMPRAS!$G$3:$G$4997,A154)=0,"",SUMPRODUCT(MAX((COMPRAS!$G$3:$G$4997=A154)*COMPRAS!$B$3:$B$4997)))</f>
        <v>46275</v>
      </c>
      <c r="N154" s="64" t="n">
        <f aca="false">M154</f>
        <v>46275</v>
      </c>
      <c r="O154" s="67" t="s">
        <v>1056</v>
      </c>
      <c r="P154" s="67" t="s">
        <v>949</v>
      </c>
      <c r="Q154" s="67" t="s">
        <v>950</v>
      </c>
      <c r="R154" s="67" t="s">
        <v>951</v>
      </c>
      <c r="S154" s="67" t="s">
        <v>952</v>
      </c>
      <c r="T154" s="67"/>
      <c r="U154" s="67" t="s">
        <v>953</v>
      </c>
      <c r="V154" s="67" t="s">
        <v>954</v>
      </c>
      <c r="W154" s="67" t="s">
        <v>955</v>
      </c>
    </row>
    <row r="155" customFormat="false" ht="15" hidden="true" customHeight="true" outlineLevel="0" collapsed="false">
      <c r="A155" s="75" t="s">
        <v>330</v>
      </c>
      <c r="B155" s="166" t="s">
        <v>331</v>
      </c>
      <c r="C155" s="173" t="s">
        <v>947</v>
      </c>
      <c r="D155" s="104" t="str">
        <f aca="false">IF(A155&lt;&gt;"",A155&amp;" | "&amp;B155&amp;" ["&amp;C155&amp;"]","")</f>
        <v>C704 | SEPA/ CHOCO/ JIBIA (CTC) [FRESCO]</v>
      </c>
      <c r="E155" s="67" t="s">
        <v>365</v>
      </c>
      <c r="F155" s="1" t="n">
        <f aca="false">IF(AND(E155="S",C155="FRESCO"),COUNTIFS($E$3:E155,"S",$C$3:C155,"FRESCO"),"")</f>
        <v>139</v>
      </c>
      <c r="G155" s="1" t="str">
        <f aca="false">IF(AND(E155="S",C155&lt;&gt;"FRESCO"),COUNTIFS($E$3:E155,"S",$C$3:C155,"&lt;&gt;FRESCO"),"")</f>
        <v/>
      </c>
      <c r="H155" s="1" t="n">
        <f aca="false">IF(N155="","",IFERROR(SUMIFS(COMPRAS!$O$3:$O$4997,COMPRAS!$G$3:$G$4997,A155,COMPRAS!$B$3:$B$4997,N155)/SUMIFS(COMPRAS!$J$3:$J$4997,COMPRAS!$G$3:$G$4997,A155,COMPRAS!$B$3:$B$4997,N155),""))</f>
        <v>10.2</v>
      </c>
      <c r="I155" s="1" t="n">
        <f aca="false">IF(X155&lt;&gt;"",X155,IF(H155="","",ROUND(H155+1.7,2)))</f>
        <v>11.9</v>
      </c>
      <c r="J155" s="1" t="n">
        <f aca="false">IF(Y155&lt;&gt;"",Y155,IF(H155="","",ROUND(H155+1.9,2)))</f>
        <v>12.1</v>
      </c>
      <c r="K155" s="67"/>
      <c r="L155" s="67" t="s">
        <v>381</v>
      </c>
      <c r="M155" s="64" t="n">
        <f aca="false">IF(COUNTIF(COMPRAS!$G$3:$G$4997,A155)=0,"",SUMPRODUCT(MAX((COMPRAS!$G$3:$G$4997=A155)*COMPRAS!$B$3:$B$4997)))</f>
        <v>46191</v>
      </c>
      <c r="N155" s="64" t="n">
        <f aca="false">M155</f>
        <v>46191</v>
      </c>
      <c r="O155" s="67" t="s">
        <v>1057</v>
      </c>
      <c r="P155" s="67" t="s">
        <v>949</v>
      </c>
      <c r="Q155" s="67" t="s">
        <v>950</v>
      </c>
      <c r="R155" s="67" t="s">
        <v>951</v>
      </c>
      <c r="S155" s="67" t="s">
        <v>952</v>
      </c>
      <c r="T155" s="67"/>
      <c r="U155" s="67" t="s">
        <v>953</v>
      </c>
      <c r="V155" s="67" t="s">
        <v>954</v>
      </c>
      <c r="W155" s="67" t="s">
        <v>955</v>
      </c>
    </row>
    <row r="156" customFormat="false" ht="15" hidden="true" customHeight="true" outlineLevel="0" collapsed="false">
      <c r="A156" s="75" t="s">
        <v>332</v>
      </c>
      <c r="B156" s="168" t="s">
        <v>333</v>
      </c>
      <c r="C156" s="173" t="s">
        <v>947</v>
      </c>
      <c r="D156" s="104" t="str">
        <f aca="false">IF(A156&lt;&gt;"",A156&amp;" | "&amp;B156&amp;" ["&amp;C156&amp;"]","")</f>
        <v>C999 | VARIADO PEQUEÑO [FRESCO]</v>
      </c>
      <c r="E156" s="67" t="s">
        <v>365</v>
      </c>
      <c r="F156" s="1" t="n">
        <f aca="false">IF(AND(E156="S",C156="FRESCO"),COUNTIFS($E$3:E156,"S",$C$3:C156,"FRESCO"),"")</f>
        <v>140</v>
      </c>
      <c r="G156" s="1" t="str">
        <f aca="false">IF(AND(E156="S",C156&lt;&gt;"FRESCO"),COUNTIFS($E$3:E156,"S",$C$3:C156,"&lt;&gt;FRESCO"),"")</f>
        <v/>
      </c>
      <c r="H156" s="1" t="n">
        <f aca="false">IF(N156="","",IFERROR(SUMIFS(COMPRAS!$O$3:$O$4997,COMPRAS!$G$3:$G$4997,A156,COMPRAS!$B$3:$B$4997,N156)/SUMIFS(COMPRAS!$J$3:$J$4997,COMPRAS!$G$3:$G$4997,A156,COMPRAS!$B$3:$B$4997,N156),""))</f>
        <v>0.7082096069869</v>
      </c>
      <c r="I156" s="1" t="n">
        <f aca="false">IF(X156&lt;&gt;"",X156,IF(H156="","",ROUND(H156+1.7,2)))</f>
        <v>2.41</v>
      </c>
      <c r="J156" s="1" t="n">
        <f aca="false">IF(Y156&lt;&gt;"",Y156,IF(H156="","",ROUND(H156+1.9,2)))</f>
        <v>2.61</v>
      </c>
      <c r="K156" s="67"/>
      <c r="L156" s="67" t="s">
        <v>381</v>
      </c>
      <c r="M156" s="64" t="n">
        <f aca="false">IF(COUNTIF(COMPRAS!$G$3:$G$4997,A156)=0,"",SUMPRODUCT(MAX((COMPRAS!$G$3:$G$4997=A156)*COMPRAS!$B$3:$B$4997)))</f>
        <v>46276</v>
      </c>
      <c r="N156" s="64" t="n">
        <f aca="false">M156</f>
        <v>46276</v>
      </c>
      <c r="O156" s="67"/>
      <c r="P156" s="67" t="s">
        <v>949</v>
      </c>
      <c r="Q156" s="67" t="s">
        <v>950</v>
      </c>
      <c r="R156" s="67" t="s">
        <v>959</v>
      </c>
      <c r="S156" s="67" t="s">
        <v>952</v>
      </c>
      <c r="T156" s="67"/>
      <c r="U156" s="67" t="s">
        <v>953</v>
      </c>
      <c r="V156" s="67" t="s">
        <v>954</v>
      </c>
      <c r="W156" s="67" t="s">
        <v>955</v>
      </c>
    </row>
    <row r="157" customFormat="false" ht="15" hidden="true" customHeight="true" outlineLevel="0" collapsed="false">
      <c r="A157" s="75" t="s">
        <v>334</v>
      </c>
      <c r="B157" s="166" t="s">
        <v>335</v>
      </c>
      <c r="C157" s="173" t="s">
        <v>947</v>
      </c>
      <c r="D157" s="104" t="str">
        <f aca="false">IF(A157&lt;&gt;"",A157&amp;" | "&amp;B157&amp;" ["&amp;C157&amp;"]","")</f>
        <v>C2560 | VIEJA COLORADA (PRR) [FRESCO]</v>
      </c>
      <c r="E157" s="67" t="s">
        <v>365</v>
      </c>
      <c r="F157" s="1" t="n">
        <f aca="false">IF(AND(E157="S",C157="FRESCO"),COUNTIFS($E$3:E157,"S",$C$3:C157,"FRESCO"),"")</f>
        <v>141</v>
      </c>
      <c r="G157" s="1" t="str">
        <f aca="false">IF(AND(E157="S",C157&lt;&gt;"FRESCO"),COUNTIFS($E$3:E157,"S",$C$3:C157,"&lt;&gt;FRESCO"),"")</f>
        <v/>
      </c>
      <c r="H157" s="1" t="n">
        <f aca="false">IF(N157="","",IFERROR(SUMIFS(COMPRAS!$O$3:$O$4997,COMPRAS!$G$3:$G$4997,A157,COMPRAS!$B$3:$B$4997,N157)/SUMIFS(COMPRAS!$J$3:$J$4997,COMPRAS!$G$3:$G$4997,A157,COMPRAS!$B$3:$B$4997,N157),""))</f>
        <v>10.6528268551237</v>
      </c>
      <c r="I157" s="1" t="n">
        <f aca="false">IF(X157&lt;&gt;"",X157,IF(H157="","",ROUND(H157+1.7,2)))</f>
        <v>12.35</v>
      </c>
      <c r="J157" s="1" t="n">
        <f aca="false">IF(Y157&lt;&gt;"",Y157,IF(H157="","",ROUND(H157+1.9,2)))</f>
        <v>12.55</v>
      </c>
      <c r="K157" s="67"/>
      <c r="L157" s="67" t="s">
        <v>381</v>
      </c>
      <c r="M157" s="64" t="n">
        <f aca="false">IF(COUNTIF(COMPRAS!$G$3:$G$4997,A157)=0,"",SUMPRODUCT(MAX((COMPRAS!$G$3:$G$4997=A157)*COMPRAS!$B$3:$B$4997)))</f>
        <v>46200</v>
      </c>
      <c r="N157" s="64" t="n">
        <f aca="false">M157</f>
        <v>46200</v>
      </c>
      <c r="O157" s="67" t="s">
        <v>1058</v>
      </c>
      <c r="P157" s="67" t="s">
        <v>949</v>
      </c>
      <c r="Q157" s="67" t="s">
        <v>950</v>
      </c>
      <c r="R157" s="67" t="s">
        <v>959</v>
      </c>
      <c r="S157" s="67" t="s">
        <v>952</v>
      </c>
      <c r="T157" s="67"/>
      <c r="U157" s="67" t="s">
        <v>953</v>
      </c>
      <c r="V157" s="67" t="s">
        <v>954</v>
      </c>
      <c r="W157" s="67" t="s">
        <v>955</v>
      </c>
    </row>
    <row r="158" customFormat="false" ht="15" hidden="true" customHeight="true" outlineLevel="0" collapsed="false">
      <c r="A158" s="75" t="s">
        <v>336</v>
      </c>
      <c r="B158" s="168" t="s">
        <v>337</v>
      </c>
      <c r="C158" s="173" t="s">
        <v>947</v>
      </c>
      <c r="D158" s="104" t="str">
        <f aca="false">IF(A158&lt;&gt;"",A158&amp;" | "&amp;B158&amp;" ["&amp;C158&amp;"]","")</f>
        <v>C3111 | VIRREY/ PALOMETA ROJA [FRESCO]</v>
      </c>
      <c r="E158" s="67" t="s">
        <v>365</v>
      </c>
      <c r="F158" s="1" t="n">
        <f aca="false">IF(AND(E158="S",C158="FRESCO"),COUNTIFS($E$3:E158,"S",$C$3:C158,"FRESCO"),"")</f>
        <v>142</v>
      </c>
      <c r="G158" s="1" t="str">
        <f aca="false">IF(AND(E158="S",C158&lt;&gt;"FRESCO"),COUNTIFS($E$3:E158,"S",$C$3:C158,"&lt;&gt;FRESCO"),"")</f>
        <v/>
      </c>
      <c r="H158" s="1" t="n">
        <f aca="false">IF(N158="","",IFERROR(SUMIFS(COMPRAS!$O$3:$O$4997,COMPRAS!$G$3:$G$4997,A158,COMPRAS!$B$3:$B$4997,N158)/SUMIFS(COMPRAS!$J$3:$J$4997,COMPRAS!$G$3:$G$4997,A158,COMPRAS!$B$3:$B$4997,N158),""))</f>
        <v>57</v>
      </c>
      <c r="I158" s="1" t="n">
        <f aca="false">IF(X158&lt;&gt;"",X158,IF(H158="","",ROUND(H158+1.7,2)))</f>
        <v>58.7</v>
      </c>
      <c r="J158" s="1" t="n">
        <f aca="false">IF(Y158&lt;&gt;"",Y158,IF(H158="","",ROUND(H158+1.9,2)))</f>
        <v>58.9</v>
      </c>
      <c r="K158" s="67"/>
      <c r="L158" s="67" t="s">
        <v>381</v>
      </c>
      <c r="M158" s="64" t="n">
        <f aca="false">IF(COUNTIF(COMPRAS!$G$3:$G$4997,A158)=0,"",SUMPRODUCT(MAX((COMPRAS!$G$3:$G$4997=A158)*COMPRAS!$B$3:$B$4997)))</f>
        <v>46225</v>
      </c>
      <c r="N158" s="64" t="n">
        <f aca="false">M158</f>
        <v>46225</v>
      </c>
      <c r="O158" s="67" t="s">
        <v>1059</v>
      </c>
      <c r="P158" s="67" t="s">
        <v>949</v>
      </c>
      <c r="Q158" s="67" t="s">
        <v>950</v>
      </c>
      <c r="R158" s="67" t="s">
        <v>951</v>
      </c>
      <c r="S158" s="67" t="s">
        <v>952</v>
      </c>
      <c r="T158" s="67"/>
      <c r="U158" s="67" t="s">
        <v>953</v>
      </c>
      <c r="V158" s="67" t="s">
        <v>954</v>
      </c>
      <c r="W158" s="67" t="s">
        <v>955</v>
      </c>
    </row>
    <row r="159" customFormat="false" ht="15" hidden="true" customHeight="true" outlineLevel="0" collapsed="false">
      <c r="A159" s="75" t="s">
        <v>338</v>
      </c>
      <c r="B159" s="166" t="s">
        <v>339</v>
      </c>
      <c r="C159" s="173" t="s">
        <v>947</v>
      </c>
      <c r="D159" s="104" t="str">
        <f aca="false">IF(A159&lt;&gt;"",A159&amp;" | "&amp;B159&amp;" ["&amp;C159&amp;"]","")</f>
        <v>C2551 | VISPOS/ ESCORPORAS [FRESCO]</v>
      </c>
      <c r="E159" s="67" t="s">
        <v>365</v>
      </c>
      <c r="F159" s="1" t="n">
        <f aca="false">IF(AND(E159="S",C159="FRESCO"),COUNTIFS($E$3:E159,"S",$C$3:C159,"FRESCO"),"")</f>
        <v>143</v>
      </c>
      <c r="G159" s="1" t="str">
        <f aca="false">IF(AND(E159="S",C159&lt;&gt;"FRESCO"),COUNTIFS($E$3:E159,"S",$C$3:C159,"&lt;&gt;FRESCO"),"")</f>
        <v/>
      </c>
      <c r="H159" s="1" t="n">
        <f aca="false">IF(N159="","",IFERROR(SUMIFS(COMPRAS!$O$3:$O$4997,COMPRAS!$G$3:$G$4997,A159,COMPRAS!$B$3:$B$4997,N159)/SUMIFS(COMPRAS!$J$3:$J$4997,COMPRAS!$G$3:$G$4997,A159,COMPRAS!$B$3:$B$4997,N159),""))</f>
        <v>7.14</v>
      </c>
      <c r="I159" s="1" t="n">
        <f aca="false">IF(X159&lt;&gt;"",X159,IF(H159="","",ROUND(H159+1.7,2)))</f>
        <v>8.84</v>
      </c>
      <c r="J159" s="1" t="n">
        <f aca="false">IF(Y159&lt;&gt;"",Y159,IF(H159="","",ROUND(H159+1.9,2)))</f>
        <v>9.04</v>
      </c>
      <c r="K159" s="67"/>
      <c r="L159" s="67" t="s">
        <v>381</v>
      </c>
      <c r="M159" s="64" t="n">
        <f aca="false">IF(COUNTIF(COMPRAS!$G$3:$G$4997,A159)=0,"",SUMPRODUCT(MAX((COMPRAS!$G$3:$G$4997=A159)*COMPRAS!$B$3:$B$4997)))</f>
        <v>46276</v>
      </c>
      <c r="N159" s="64" t="n">
        <f aca="false">M159</f>
        <v>46276</v>
      </c>
      <c r="O159" s="67" t="s">
        <v>1060</v>
      </c>
      <c r="P159" s="67" t="s">
        <v>949</v>
      </c>
      <c r="Q159" s="67" t="s">
        <v>950</v>
      </c>
      <c r="R159" s="67" t="s">
        <v>951</v>
      </c>
      <c r="S159" s="67" t="s">
        <v>952</v>
      </c>
      <c r="T159" s="67"/>
      <c r="U159" s="67" t="s">
        <v>953</v>
      </c>
      <c r="V159" s="67" t="s">
        <v>954</v>
      </c>
      <c r="W159" s="67" t="s">
        <v>955</v>
      </c>
    </row>
    <row r="160" customFormat="false" ht="15" hidden="true" customHeight="true" outlineLevel="0" collapsed="false">
      <c r="A160" s="75" t="s">
        <v>53</v>
      </c>
      <c r="B160" s="168" t="s">
        <v>54</v>
      </c>
      <c r="C160" s="173" t="s">
        <v>947</v>
      </c>
      <c r="D160" s="104" t="str">
        <f aca="false">IF(A160&lt;&gt;"",A160&amp;" | "&amp;B160&amp;" ["&amp;C160&amp;"]","")</f>
        <v>C255P | CABRAS PÑA [FRESCO]</v>
      </c>
      <c r="E160" s="67" t="s">
        <v>365</v>
      </c>
      <c r="F160" s="1" t="n">
        <f aca="false">IF(AND(E160="S",C160="FRESCO"),COUNTIFS($E$3:E160,"S",$C$3:C160,"FRESCO"),"")</f>
        <v>144</v>
      </c>
      <c r="G160" s="1" t="str">
        <f aca="false">IF(AND(E160="S",C160&lt;&gt;"FRESCO"),COUNTIFS($E$3:E160,"S",$C$3:C160,"&lt;&gt;FRESCO"),"")</f>
        <v/>
      </c>
      <c r="H160" s="1" t="n">
        <f aca="false">IF(N160="","",IFERROR(SUMIFS(COMPRAS!$O$3:$O$4997,COMPRAS!$G$3:$G$4997,A160,COMPRAS!$B$3:$B$4997,N160)/SUMIFS(COMPRAS!$J$3:$J$4997,COMPRAS!$G$3:$G$4997,A160,COMPRAS!$B$3:$B$4997,N160),""))</f>
        <v>3.06</v>
      </c>
      <c r="I160" s="1" t="n">
        <f aca="false">IF(X160&lt;&gt;"",X160,IF(H160="","",ROUND(H160+1.7,2)))</f>
        <v>4.76</v>
      </c>
      <c r="J160" s="1" t="n">
        <f aca="false">IF(Y160&lt;&gt;"",Y160,IF(H160="","",ROUND(H160+1.9,2)))</f>
        <v>4.96</v>
      </c>
      <c r="K160" s="67"/>
      <c r="L160" s="67" t="s">
        <v>381</v>
      </c>
      <c r="M160" s="64" t="n">
        <f aca="false">IF(COUNTIF(COMPRAS!$G$3:$G$4997,A160)=0,"",SUMPRODUCT(MAX((COMPRAS!$G$3:$G$4997=A160)*COMPRAS!$B$3:$B$4997)))</f>
        <v>46213</v>
      </c>
      <c r="N160" s="64" t="n">
        <f aca="false">M160</f>
        <v>46213</v>
      </c>
      <c r="O160" s="67" t="s">
        <v>975</v>
      </c>
      <c r="P160" s="67" t="s">
        <v>949</v>
      </c>
      <c r="Q160" s="67" t="s">
        <v>950</v>
      </c>
      <c r="R160" s="67" t="s">
        <v>959</v>
      </c>
      <c r="S160" s="67" t="s">
        <v>952</v>
      </c>
      <c r="T160" s="67"/>
      <c r="U160" s="67" t="s">
        <v>953</v>
      </c>
      <c r="V160" s="67" t="s">
        <v>954</v>
      </c>
      <c r="W160" s="67" t="s">
        <v>955</v>
      </c>
    </row>
    <row r="161" customFormat="false" ht="15" hidden="true" customHeight="true" outlineLevel="0" collapsed="false">
      <c r="A161" s="75" t="s">
        <v>408</v>
      </c>
      <c r="B161" s="166" t="s">
        <v>1061</v>
      </c>
      <c r="C161" s="173" t="s">
        <v>947</v>
      </c>
      <c r="D161" s="104" t="str">
        <f aca="false">IF(A161&lt;&gt;"",A161&amp;" | "&amp;B161&amp;" ["&amp;C161&amp;"]","")</f>
        <v>C880 | MEJILLON SACO [FRESCO]</v>
      </c>
      <c r="E161" s="67" t="s">
        <v>365</v>
      </c>
      <c r="F161" s="1" t="n">
        <f aca="false">IF(AND(E161="S",C161="FRESCO"),COUNTIFS($E$3:E161,"S",$C$3:C161,"FRESCO"),"")</f>
        <v>145</v>
      </c>
      <c r="G161" s="1" t="str">
        <f aca="false">IF(AND(E161="S",C161&lt;&gt;"FRESCO"),COUNTIFS($E$3:E161,"S",$C$3:C161,"&lt;&gt;FRESCO"),"")</f>
        <v/>
      </c>
      <c r="H161" s="1" t="n">
        <f aca="false">IF(N161="","",IFERROR(SUMIFS(COMPRAS!$O$3:$O$4997,COMPRAS!$G$3:$G$4997,A161,COMPRAS!$B$3:$B$4997,N161)/SUMIFS(COMPRAS!$J$3:$J$4997,COMPRAS!$G$3:$G$4997,A161,COMPRAS!$B$3:$B$4997,N161),""))</f>
        <v>1.4</v>
      </c>
      <c r="I161" s="1" t="n">
        <f aca="false">IF(X161&lt;&gt;"",X161,IF(H161="","",ROUND(H161+1.7,2)))</f>
        <v>3.1</v>
      </c>
      <c r="J161" s="1" t="n">
        <f aca="false">IF(Y161&lt;&gt;"",Y161,IF(H161="","",ROUND(H161+1.9,2)))</f>
        <v>3.3</v>
      </c>
      <c r="K161" s="67"/>
      <c r="L161" s="67" t="s">
        <v>381</v>
      </c>
      <c r="M161" s="64" t="n">
        <f aca="false">IF(COUNTIF(COMPRAS!$G$3:$G$4997,A161)=0,"",SUMPRODUCT(MAX((COMPRAS!$G$3:$G$4997=A161)*COMPRAS!$B$3:$B$4997)))</f>
        <v>46233</v>
      </c>
      <c r="N161" s="64" t="n">
        <f aca="false">M161</f>
        <v>46233</v>
      </c>
      <c r="O161" s="67" t="s">
        <v>1062</v>
      </c>
      <c r="P161" s="67" t="s">
        <v>949</v>
      </c>
      <c r="Q161" s="67" t="s">
        <v>950</v>
      </c>
      <c r="R161" s="67" t="s">
        <v>969</v>
      </c>
      <c r="S161" s="67" t="s">
        <v>952</v>
      </c>
      <c r="T161" s="67"/>
      <c r="U161" s="67" t="s">
        <v>953</v>
      </c>
      <c r="V161" s="67" t="s">
        <v>954</v>
      </c>
      <c r="W161" s="67" t="s">
        <v>955</v>
      </c>
    </row>
    <row r="162" customFormat="false" ht="15" hidden="true" customHeight="true" outlineLevel="0" collapsed="false">
      <c r="A162" s="75" t="s">
        <v>367</v>
      </c>
      <c r="B162" s="168" t="s">
        <v>1063</v>
      </c>
      <c r="C162" s="173" t="s">
        <v>947</v>
      </c>
      <c r="D162" s="104" t="str">
        <f aca="false">IF(A162&lt;&gt;"",A162&amp;" | "&amp;B162&amp;" ["&amp;C162&amp;"]","")</f>
        <v>C144 | MERLUZA BAKA DIA [FRESCO]</v>
      </c>
      <c r="E162" s="67" t="s">
        <v>365</v>
      </c>
      <c r="F162" s="1" t="n">
        <f aca="false">IF(AND(E162="S",C162="FRESCO"),COUNTIFS($E$3:E162,"S",$C$3:C162,"FRESCO"),"")</f>
        <v>146</v>
      </c>
      <c r="G162" s="1" t="str">
        <f aca="false">IF(AND(E162="S",C162&lt;&gt;"FRESCO"),COUNTIFS($E$3:E162,"S",$C$3:C162,"&lt;&gt;FRESCO"),"")</f>
        <v/>
      </c>
      <c r="H162" s="1" t="n">
        <f aca="false">IF(N162="","",IFERROR(SUMIFS(COMPRAS!$O$3:$O$4997,COMPRAS!$G$3:$G$4997,A162,COMPRAS!$B$3:$B$4997,N162)/SUMIFS(COMPRAS!$J$3:$J$4997,COMPRAS!$G$3:$G$4997,A162,COMPRAS!$B$3:$B$4997,N162),""))</f>
        <v>5.4</v>
      </c>
      <c r="I162" s="1" t="n">
        <f aca="false">IF(X162&lt;&gt;"",X162,IF(H162="","",ROUND(H162+1.7,2)))</f>
        <v>7.1</v>
      </c>
      <c r="J162" s="1" t="n">
        <f aca="false">IF(Y162&lt;&gt;"",Y162,IF(H162="","",ROUND(H162+1.9,2)))</f>
        <v>7.3</v>
      </c>
      <c r="K162" s="67"/>
      <c r="L162" s="67" t="s">
        <v>381</v>
      </c>
      <c r="M162" s="64" t="n">
        <f aca="false">IF(COUNTIF(COMPRAS!$G$3:$G$4997,A162)=0,"",SUMPRODUCT(MAX((COMPRAS!$G$3:$G$4997=A162)*COMPRAS!$B$3:$B$4997)))</f>
        <v>46275</v>
      </c>
      <c r="N162" s="64" t="n">
        <f aca="false">M162</f>
        <v>46275</v>
      </c>
      <c r="O162" s="67" t="s">
        <v>1005</v>
      </c>
      <c r="P162" s="67" t="s">
        <v>949</v>
      </c>
      <c r="Q162" s="67" t="s">
        <v>950</v>
      </c>
      <c r="R162" s="67" t="s">
        <v>951</v>
      </c>
      <c r="S162" s="67" t="s">
        <v>952</v>
      </c>
      <c r="T162" s="67"/>
      <c r="U162" s="67" t="s">
        <v>953</v>
      </c>
      <c r="V162" s="67" t="s">
        <v>954</v>
      </c>
      <c r="W162" s="67" t="s">
        <v>955</v>
      </c>
    </row>
    <row r="163" customFormat="false" ht="15" hidden="true" customHeight="true" outlineLevel="0" collapsed="false">
      <c r="A163" s="75" t="s">
        <v>452</v>
      </c>
      <c r="B163" s="166" t="s">
        <v>1064</v>
      </c>
      <c r="C163" s="173" t="s">
        <v>947</v>
      </c>
      <c r="D163" s="104" t="str">
        <f aca="false">IF(A163&lt;&gt;"",A163&amp;" | "&amp;B163&amp;" ["&amp;C163&amp;"]","")</f>
        <v>C398 | BONITO DEL NORTE  +10 (ALB) [FRESCO]</v>
      </c>
      <c r="E163" s="67" t="s">
        <v>365</v>
      </c>
      <c r="F163" s="1" t="n">
        <f aca="false">IF(AND(E163="S",C163="FRESCO"),COUNTIFS($E$3:E163,"S",$C$3:C163,"FRESCO"),"")</f>
        <v>147</v>
      </c>
      <c r="G163" s="1" t="str">
        <f aca="false">IF(AND(E163="S",C163&lt;&gt;"FRESCO"),COUNTIFS($E$3:E163,"S",$C$3:C163,"&lt;&gt;FRESCO"),"")</f>
        <v/>
      </c>
      <c r="H163" s="1" t="n">
        <f aca="false">IF(N163="","",IFERROR(SUMIFS(COMPRAS!$O$3:$O$4997,COMPRAS!$G$3:$G$4997,A163,COMPRAS!$B$3:$B$4997,N163)/SUMIFS(COMPRAS!$J$3:$J$4997,COMPRAS!$G$3:$G$4997,A163,COMPRAS!$B$3:$B$4997,N163),""))</f>
        <v>4.692</v>
      </c>
      <c r="I163" s="1" t="n">
        <f aca="false">IF(X163&lt;&gt;"",X163,IF(H163="","",ROUND(H163+1.7,2)))</f>
        <v>6.39</v>
      </c>
      <c r="J163" s="1" t="n">
        <f aca="false">IF(Y163&lt;&gt;"",Y163,IF(H163="","",ROUND(H163+1.9,2)))</f>
        <v>6.59</v>
      </c>
      <c r="K163" s="67"/>
      <c r="L163" s="67" t="s">
        <v>381</v>
      </c>
      <c r="M163" s="64" t="n">
        <f aca="false">IF(COUNTIF(COMPRAS!$G$3:$G$4997,A163)=0,"",SUMPRODUCT(MAX((COMPRAS!$G$3:$G$4997=A163)*COMPRAS!$B$3:$B$4997)))</f>
        <v>46272</v>
      </c>
      <c r="N163" s="64" t="n">
        <f aca="false">M163</f>
        <v>46272</v>
      </c>
      <c r="O163" s="67" t="s">
        <v>970</v>
      </c>
      <c r="P163" s="67" t="s">
        <v>949</v>
      </c>
      <c r="Q163" s="67" t="s">
        <v>950</v>
      </c>
      <c r="R163" s="67" t="s">
        <v>959</v>
      </c>
      <c r="S163" s="67" t="s">
        <v>952</v>
      </c>
      <c r="T163" s="67"/>
      <c r="U163" s="67" t="s">
        <v>953</v>
      </c>
      <c r="V163" s="67" t="s">
        <v>954</v>
      </c>
      <c r="W163" s="67" t="s">
        <v>955</v>
      </c>
    </row>
    <row r="164" customFormat="false" ht="15" hidden="true" customHeight="true" outlineLevel="0" collapsed="false">
      <c r="A164" s="75" t="s">
        <v>631</v>
      </c>
      <c r="B164" s="168" t="s">
        <v>1065</v>
      </c>
      <c r="C164" s="173" t="s">
        <v>947</v>
      </c>
      <c r="D164" s="104" t="str">
        <f aca="false">IF(A164&lt;&gt;"",A164&amp;" | "&amp;B164&amp;" ["&amp;C164&amp;"]","")</f>
        <v>C3973 | ATUN ROJO (BFT) [FRESCO]</v>
      </c>
      <c r="E164" s="67" t="s">
        <v>381</v>
      </c>
      <c r="F164" s="1" t="str">
        <f aca="false">IF(AND(E164="S",C164="FRESCO"),COUNTIFS($E$3:E164,"S",$C$3:C164,"FRESCO"),"")</f>
        <v/>
      </c>
      <c r="G164" s="1" t="str">
        <f aca="false">IF(AND(E164="S",C164&lt;&gt;"FRESCO"),COUNTIFS($E$3:E164,"S",$C$3:C164,"&lt;&gt;FRESCO"),"")</f>
        <v/>
      </c>
      <c r="H164" s="1" t="n">
        <f aca="false">IF(N164="","",IFERROR(SUMIFS(COMPRAS!$O$3:$O$4997,COMPRAS!$G$3:$G$4997,A164,COMPRAS!$B$3:$B$4997,N164)/SUMIFS(COMPRAS!$J$3:$J$4997,COMPRAS!$G$3:$G$4997,A164,COMPRAS!$B$3:$B$4997,N164),""))</f>
        <v>10.404</v>
      </c>
      <c r="I164" s="1" t="n">
        <f aca="false">IF(X164&lt;&gt;"",X164,IF(H164="","",ROUND(H164+1.7,2)))</f>
        <v>12.1</v>
      </c>
      <c r="J164" s="1" t="n">
        <f aca="false">IF(Y164&lt;&gt;"",Y164,IF(H164="","",ROUND(H164+1.9,2)))</f>
        <v>12.3</v>
      </c>
      <c r="K164" s="67"/>
      <c r="L164" s="67" t="s">
        <v>381</v>
      </c>
      <c r="M164" s="64" t="n">
        <f aca="false">IF(COUNTIF(COMPRAS!$G$3:$G$4997,A164)=0,"",SUMPRODUCT(MAX((COMPRAS!$G$3:$G$4997=A164)*COMPRAS!$B$3:$B$4997)))</f>
        <v>46246</v>
      </c>
      <c r="N164" s="64" t="n">
        <f aca="false">M164</f>
        <v>46246</v>
      </c>
      <c r="O164" s="67" t="s">
        <v>1066</v>
      </c>
      <c r="P164" s="67" t="s">
        <v>949</v>
      </c>
      <c r="Q164" s="67" t="s">
        <v>1067</v>
      </c>
      <c r="R164" s="67" t="s">
        <v>1068</v>
      </c>
      <c r="S164" s="67" t="s">
        <v>952</v>
      </c>
      <c r="T164" s="67"/>
      <c r="U164" s="67" t="s">
        <v>953</v>
      </c>
      <c r="V164" s="67" t="s">
        <v>954</v>
      </c>
      <c r="W164" s="67" t="s">
        <v>955</v>
      </c>
    </row>
    <row r="165" customFormat="false" ht="15" hidden="true" customHeight="true" outlineLevel="0" collapsed="false">
      <c r="A165" s="75" t="s">
        <v>1069</v>
      </c>
      <c r="B165" s="166"/>
      <c r="C165" s="173" t="s">
        <v>947</v>
      </c>
      <c r="D165" s="104" t="str">
        <f aca="false">IF(A165&lt;&gt;"",A165&amp;" | "&amp;B165&amp;" ["&amp;C165&amp;"]","")</f>
        <v>C3087 |  [FRESCO]</v>
      </c>
      <c r="E165" s="67" t="s">
        <v>381</v>
      </c>
      <c r="F165" s="1" t="str">
        <f aca="false">IF(AND(E165="S",C165="FRESCO"),COUNTIFS($E$3:E165,"S",$C$3:C165,"FRESCO"),"")</f>
        <v/>
      </c>
      <c r="G165" s="1" t="str">
        <f aca="false">IF(AND(E165="S",C165&lt;&gt;"FRESCO"),COUNTIFS($E$3:E165,"S",$C$3:C165,"&lt;&gt;FRESCO"),"")</f>
        <v/>
      </c>
      <c r="H165" s="1" t="str">
        <f aca="false">IF(N165="","",IFERROR(SUMIFS(COMPRAS!$O$3:$O$4997,COMPRAS!$G$3:$G$4997,A165,COMPRAS!$B$3:$B$4997,N165)/SUMIFS(COMPRAS!$J$3:$J$4997,COMPRAS!$G$3:$G$4997,A165,COMPRAS!$B$3:$B$4997,N165),""))</f>
        <v/>
      </c>
      <c r="I165" s="1" t="str">
        <f aca="false">IF(X165&lt;&gt;"",X165,IF(H165="","",ROUND(H165+1.7,2)))</f>
        <v/>
      </c>
      <c r="J165" s="1" t="str">
        <f aca="false">IF(Y165&lt;&gt;"",Y165,IF(H165="","",ROUND(H165+1.9,2)))</f>
        <v/>
      </c>
      <c r="K165" s="67"/>
      <c r="L165" s="67" t="s">
        <v>381</v>
      </c>
      <c r="M165" s="64" t="str">
        <f aca="false">IF(COUNTIF(COMPRAS!$G$3:$G$4997,A165)=0,"",SUMPRODUCT(MAX((COMPRAS!$G$3:$G$4997=A165)*COMPRAS!$B$3:$B$4997)))</f>
        <v/>
      </c>
      <c r="N165" s="64" t="str">
        <f aca="false">M165</f>
        <v/>
      </c>
      <c r="O165" s="67"/>
      <c r="P165" s="67"/>
      <c r="Q165" s="67"/>
      <c r="R165" s="67"/>
      <c r="S165" s="67" t="s">
        <v>952</v>
      </c>
      <c r="T165" s="67"/>
      <c r="U165" s="67" t="s">
        <v>953</v>
      </c>
      <c r="V165" s="67" t="s">
        <v>954</v>
      </c>
      <c r="W165" s="67" t="s">
        <v>955</v>
      </c>
    </row>
    <row r="166" customFormat="false" ht="15" hidden="true" customHeight="true" outlineLevel="0" collapsed="false">
      <c r="A166" s="75" t="s">
        <v>1070</v>
      </c>
      <c r="B166" s="168"/>
      <c r="C166" s="173" t="s">
        <v>947</v>
      </c>
      <c r="D166" s="104" t="str">
        <f aca="false">IF(A166&lt;&gt;"",A166&amp;" | "&amp;B166&amp;" ["&amp;C166&amp;"]","")</f>
        <v>C3088 |  [FRESCO]</v>
      </c>
      <c r="E166" s="67" t="s">
        <v>381</v>
      </c>
      <c r="F166" s="1" t="str">
        <f aca="false">IF(AND(E166="S",C166="FRESCO"),COUNTIFS($E$3:E166,"S",$C$3:C166,"FRESCO"),"")</f>
        <v/>
      </c>
      <c r="G166" s="1" t="str">
        <f aca="false">IF(AND(E166="S",C166&lt;&gt;"FRESCO"),COUNTIFS($E$3:E166,"S",$C$3:C166,"&lt;&gt;FRESCO"),"")</f>
        <v/>
      </c>
      <c r="H166" s="1" t="str">
        <f aca="false">IF(N166="","",IFERROR(SUMIFS(COMPRAS!$O$3:$O$4997,COMPRAS!$G$3:$G$4997,A166,COMPRAS!$B$3:$B$4997,N166)/SUMIFS(COMPRAS!$J$3:$J$4997,COMPRAS!$G$3:$G$4997,A166,COMPRAS!$B$3:$B$4997,N166),""))</f>
        <v/>
      </c>
      <c r="I166" s="1" t="str">
        <f aca="false">IF(X166&lt;&gt;"",X166,IF(H166="","",ROUND(H166+1.7,2)))</f>
        <v/>
      </c>
      <c r="J166" s="1" t="str">
        <f aca="false">IF(Y166&lt;&gt;"",Y166,IF(H166="","",ROUND(H166+1.9,2)))</f>
        <v/>
      </c>
      <c r="K166" s="67"/>
      <c r="L166" s="67" t="s">
        <v>381</v>
      </c>
      <c r="M166" s="64" t="str">
        <f aca="false">IF(COUNTIF(COMPRAS!$G$3:$G$4997,A166)=0,"",SUMPRODUCT(MAX((COMPRAS!$G$3:$G$4997=A166)*COMPRAS!$B$3:$B$4997)))</f>
        <v/>
      </c>
      <c r="N166" s="64" t="str">
        <f aca="false">M166</f>
        <v/>
      </c>
      <c r="O166" s="67"/>
      <c r="P166" s="67"/>
      <c r="Q166" s="67"/>
      <c r="R166" s="67"/>
      <c r="S166" s="67" t="s">
        <v>952</v>
      </c>
      <c r="T166" s="67"/>
      <c r="U166" s="67" t="s">
        <v>953</v>
      </c>
      <c r="V166" s="67" t="s">
        <v>954</v>
      </c>
      <c r="W166" s="67" t="s">
        <v>955</v>
      </c>
    </row>
    <row r="167" customFormat="false" ht="15" hidden="true" customHeight="true" outlineLevel="0" collapsed="false">
      <c r="A167" s="75" t="s">
        <v>1071</v>
      </c>
      <c r="B167" s="166"/>
      <c r="C167" s="173" t="s">
        <v>947</v>
      </c>
      <c r="D167" s="104" t="str">
        <f aca="false">IF(A167&lt;&gt;"",A167&amp;" | "&amp;B167&amp;" ["&amp;C167&amp;"]","")</f>
        <v>C3089 |  [FRESCO]</v>
      </c>
      <c r="E167" s="67" t="s">
        <v>381</v>
      </c>
      <c r="F167" s="1" t="str">
        <f aca="false">IF(AND(E167="S",C167="FRESCO"),COUNTIFS($E$3:E167,"S",$C$3:C167,"FRESCO"),"")</f>
        <v/>
      </c>
      <c r="G167" s="1" t="str">
        <f aca="false">IF(AND(E167="S",C167&lt;&gt;"FRESCO"),COUNTIFS($E$3:E167,"S",$C$3:C167,"&lt;&gt;FRESCO"),"")</f>
        <v/>
      </c>
      <c r="H167" s="1" t="str">
        <f aca="false">IF(N167="","",IFERROR(SUMIFS(COMPRAS!$O$3:$O$4997,COMPRAS!$G$3:$G$4997,A167,COMPRAS!$B$3:$B$4997,N167)/SUMIFS(COMPRAS!$J$3:$J$4997,COMPRAS!$G$3:$G$4997,A167,COMPRAS!$B$3:$B$4997,N167),""))</f>
        <v/>
      </c>
      <c r="I167" s="1" t="str">
        <f aca="false">IF(X167&lt;&gt;"",X167,IF(H167="","",ROUND(H167+1.7,2)))</f>
        <v/>
      </c>
      <c r="J167" s="1" t="str">
        <f aca="false">IF(Y167&lt;&gt;"",Y167,IF(H167="","",ROUND(H167+1.9,2)))</f>
        <v/>
      </c>
      <c r="K167" s="67"/>
      <c r="L167" s="67" t="s">
        <v>381</v>
      </c>
      <c r="M167" s="64" t="str">
        <f aca="false">IF(COUNTIF(COMPRAS!$G$3:$G$4997,A167)=0,"",SUMPRODUCT(MAX((COMPRAS!$G$3:$G$4997=A167)*COMPRAS!$B$3:$B$4997)))</f>
        <v/>
      </c>
      <c r="N167" s="64" t="str">
        <f aca="false">M167</f>
        <v/>
      </c>
      <c r="O167" s="67"/>
      <c r="P167" s="67"/>
      <c r="Q167" s="67"/>
      <c r="R167" s="67"/>
      <c r="S167" s="67" t="s">
        <v>952</v>
      </c>
      <c r="T167" s="67"/>
      <c r="U167" s="67" t="s">
        <v>953</v>
      </c>
      <c r="V167" s="67" t="s">
        <v>954</v>
      </c>
      <c r="W167" s="67" t="s">
        <v>955</v>
      </c>
    </row>
    <row r="168" customFormat="false" ht="15" hidden="true" customHeight="true" outlineLevel="0" collapsed="false">
      <c r="A168" s="75" t="s">
        <v>1072</v>
      </c>
      <c r="B168" s="168"/>
      <c r="C168" s="173" t="s">
        <v>947</v>
      </c>
      <c r="D168" s="104" t="str">
        <f aca="false">IF(A168&lt;&gt;"",A168&amp;" | "&amp;B168&amp;" ["&amp;C168&amp;"]","")</f>
        <v>C3090 |  [FRESCO]</v>
      </c>
      <c r="E168" s="67" t="s">
        <v>381</v>
      </c>
      <c r="F168" s="1" t="str">
        <f aca="false">IF(AND(E168="S",C168="FRESCO"),COUNTIFS($E$3:E168,"S",$C$3:C168,"FRESCO"),"")</f>
        <v/>
      </c>
      <c r="G168" s="1" t="str">
        <f aca="false">IF(AND(E168="S",C168&lt;&gt;"FRESCO"),COUNTIFS($E$3:E168,"S",$C$3:C168,"&lt;&gt;FRESCO"),"")</f>
        <v/>
      </c>
      <c r="H168" s="1" t="str">
        <f aca="false">IF(N168="","",IFERROR(SUMIFS(COMPRAS!$O$3:$O$4997,COMPRAS!$G$3:$G$4997,A168,COMPRAS!$B$3:$B$4997,N168)/SUMIFS(COMPRAS!$J$3:$J$4997,COMPRAS!$G$3:$G$4997,A168,COMPRAS!$B$3:$B$4997,N168),""))</f>
        <v/>
      </c>
      <c r="I168" s="1" t="str">
        <f aca="false">IF(X168&lt;&gt;"",X168,IF(H168="","",ROUND(H168+1.7,2)))</f>
        <v/>
      </c>
      <c r="J168" s="1" t="str">
        <f aca="false">IF(Y168&lt;&gt;"",Y168,IF(H168="","",ROUND(H168+1.9,2)))</f>
        <v/>
      </c>
      <c r="K168" s="67"/>
      <c r="L168" s="67" t="s">
        <v>381</v>
      </c>
      <c r="M168" s="64" t="str">
        <f aca="false">IF(COUNTIF(COMPRAS!$G$3:$G$4997,A168)=0,"",SUMPRODUCT(MAX((COMPRAS!$G$3:$G$4997=A168)*COMPRAS!$B$3:$B$4997)))</f>
        <v/>
      </c>
      <c r="N168" s="64" t="str">
        <f aca="false">M168</f>
        <v/>
      </c>
      <c r="O168" s="67"/>
      <c r="P168" s="67"/>
      <c r="Q168" s="67"/>
      <c r="R168" s="67"/>
      <c r="S168" s="67" t="s">
        <v>952</v>
      </c>
      <c r="T168" s="67"/>
      <c r="U168" s="67" t="s">
        <v>953</v>
      </c>
      <c r="V168" s="67" t="s">
        <v>954</v>
      </c>
      <c r="W168" s="67" t="s">
        <v>955</v>
      </c>
    </row>
    <row r="169" customFormat="false" ht="15" hidden="true" customHeight="true" outlineLevel="0" collapsed="false">
      <c r="A169" s="75" t="s">
        <v>1073</v>
      </c>
      <c r="B169" s="166"/>
      <c r="C169" s="173" t="s">
        <v>947</v>
      </c>
      <c r="D169" s="104" t="str">
        <f aca="false">IF(A169&lt;&gt;"",A169&amp;" | "&amp;B169&amp;" ["&amp;C169&amp;"]","")</f>
        <v>C3091 |  [FRESCO]</v>
      </c>
      <c r="E169" s="67" t="s">
        <v>381</v>
      </c>
      <c r="F169" s="1" t="str">
        <f aca="false">IF(AND(E169="S",C169="FRESCO"),COUNTIFS($E$3:E169,"S",$C$3:C169,"FRESCO"),"")</f>
        <v/>
      </c>
      <c r="G169" s="1" t="str">
        <f aca="false">IF(AND(E169="S",C169&lt;&gt;"FRESCO"),COUNTIFS($E$3:E169,"S",$C$3:C169,"&lt;&gt;FRESCO"),"")</f>
        <v/>
      </c>
      <c r="H169" s="1" t="str">
        <f aca="false">IF(N169="","",IFERROR(SUMIFS(COMPRAS!$O$3:$O$4997,COMPRAS!$G$3:$G$4997,A169,COMPRAS!$B$3:$B$4997,N169)/SUMIFS(COMPRAS!$J$3:$J$4997,COMPRAS!$G$3:$G$4997,A169,COMPRAS!$B$3:$B$4997,N169),""))</f>
        <v/>
      </c>
      <c r="I169" s="1" t="str">
        <f aca="false">IF(X169&lt;&gt;"",X169,IF(H169="","",ROUND(H169+1.7,2)))</f>
        <v/>
      </c>
      <c r="J169" s="1" t="str">
        <f aca="false">IF(Y169&lt;&gt;"",Y169,IF(H169="","",ROUND(H169+1.9,2)))</f>
        <v/>
      </c>
      <c r="K169" s="67"/>
      <c r="L169" s="67" t="s">
        <v>381</v>
      </c>
      <c r="M169" s="64" t="str">
        <f aca="false">IF(COUNTIF(COMPRAS!$G$3:$G$4997,A169)=0,"",SUMPRODUCT(MAX((COMPRAS!$G$3:$G$4997=A169)*COMPRAS!$B$3:$B$4997)))</f>
        <v/>
      </c>
      <c r="N169" s="64" t="str">
        <f aca="false">M169</f>
        <v/>
      </c>
      <c r="O169" s="67"/>
      <c r="P169" s="67"/>
      <c r="Q169" s="67"/>
      <c r="R169" s="67"/>
      <c r="S169" s="67" t="s">
        <v>952</v>
      </c>
      <c r="T169" s="67"/>
      <c r="U169" s="67" t="s">
        <v>953</v>
      </c>
      <c r="V169" s="67" t="s">
        <v>954</v>
      </c>
      <c r="W169" s="67" t="s">
        <v>955</v>
      </c>
    </row>
    <row r="170" customFormat="false" ht="15" hidden="true" customHeight="true" outlineLevel="0" collapsed="false">
      <c r="A170" s="75" t="s">
        <v>1074</v>
      </c>
      <c r="B170" s="168"/>
      <c r="C170" s="173" t="s">
        <v>947</v>
      </c>
      <c r="D170" s="104" t="str">
        <f aca="false">IF(A170&lt;&gt;"",A170&amp;" | "&amp;B170&amp;" ["&amp;C170&amp;"]","")</f>
        <v>C3092 |  [FRESCO]</v>
      </c>
      <c r="E170" s="67" t="s">
        <v>381</v>
      </c>
      <c r="F170" s="1" t="str">
        <f aca="false">IF(AND(E170="S",C170="FRESCO"),COUNTIFS($E$3:E170,"S",$C$3:C170,"FRESCO"),"")</f>
        <v/>
      </c>
      <c r="G170" s="1" t="str">
        <f aca="false">IF(AND(E170="S",C170&lt;&gt;"FRESCO"),COUNTIFS($E$3:E170,"S",$C$3:C170,"&lt;&gt;FRESCO"),"")</f>
        <v/>
      </c>
      <c r="H170" s="1" t="str">
        <f aca="false">IF(N170="","",IFERROR(SUMIFS(COMPRAS!$O$3:$O$4997,COMPRAS!$G$3:$G$4997,A170,COMPRAS!$B$3:$B$4997,N170)/SUMIFS(COMPRAS!$J$3:$J$4997,COMPRAS!$G$3:$G$4997,A170,COMPRAS!$B$3:$B$4997,N170),""))</f>
        <v/>
      </c>
      <c r="I170" s="1" t="str">
        <f aca="false">IF(X170&lt;&gt;"",X170,IF(H170="","",ROUND(H170+1.7,2)))</f>
        <v/>
      </c>
      <c r="J170" s="1" t="str">
        <f aca="false">IF(Y170&lt;&gt;"",Y170,IF(H170="","",ROUND(H170+1.9,2)))</f>
        <v/>
      </c>
      <c r="K170" s="67"/>
      <c r="L170" s="67" t="s">
        <v>381</v>
      </c>
      <c r="M170" s="64" t="str">
        <f aca="false">IF(COUNTIF(COMPRAS!$G$3:$G$4997,A170)=0,"",SUMPRODUCT(MAX((COMPRAS!$G$3:$G$4997=A170)*COMPRAS!$B$3:$B$4997)))</f>
        <v/>
      </c>
      <c r="N170" s="64" t="str">
        <f aca="false">M170</f>
        <v/>
      </c>
      <c r="O170" s="67"/>
      <c r="P170" s="67"/>
      <c r="Q170" s="67"/>
      <c r="R170" s="67"/>
      <c r="S170" s="67" t="s">
        <v>952</v>
      </c>
      <c r="T170" s="67"/>
      <c r="U170" s="67" t="s">
        <v>953</v>
      </c>
      <c r="V170" s="67" t="s">
        <v>954</v>
      </c>
      <c r="W170" s="67" t="s">
        <v>955</v>
      </c>
    </row>
    <row r="171" customFormat="false" ht="15" hidden="true" customHeight="true" outlineLevel="0" collapsed="false">
      <c r="A171" s="75" t="s">
        <v>1075</v>
      </c>
      <c r="B171" s="166"/>
      <c r="C171" s="173" t="s">
        <v>947</v>
      </c>
      <c r="D171" s="104" t="str">
        <f aca="false">IF(A171&lt;&gt;"",A171&amp;" | "&amp;B171&amp;" ["&amp;C171&amp;"]","")</f>
        <v>C3093 |  [FRESCO]</v>
      </c>
      <c r="E171" s="67" t="s">
        <v>381</v>
      </c>
      <c r="F171" s="1" t="str">
        <f aca="false">IF(AND(E171="S",C171="FRESCO"),COUNTIFS($E$3:E171,"S",$C$3:C171,"FRESCO"),"")</f>
        <v/>
      </c>
      <c r="G171" s="1" t="str">
        <f aca="false">IF(AND(E171="S",C171&lt;&gt;"FRESCO"),COUNTIFS($E$3:E171,"S",$C$3:C171,"&lt;&gt;FRESCO"),"")</f>
        <v/>
      </c>
      <c r="H171" s="1" t="str">
        <f aca="false">IF(N171="","",IFERROR(SUMIFS(COMPRAS!$O$3:$O$4997,COMPRAS!$G$3:$G$4997,A171,COMPRAS!$B$3:$B$4997,N171)/SUMIFS(COMPRAS!$J$3:$J$4997,COMPRAS!$G$3:$G$4997,A171,COMPRAS!$B$3:$B$4997,N171),""))</f>
        <v/>
      </c>
      <c r="I171" s="1" t="str">
        <f aca="false">IF(X171&lt;&gt;"",X171,IF(H171="","",ROUND(H171+1.7,2)))</f>
        <v/>
      </c>
      <c r="J171" s="1" t="str">
        <f aca="false">IF(Y171&lt;&gt;"",Y171,IF(H171="","",ROUND(H171+1.9,2)))</f>
        <v/>
      </c>
      <c r="K171" s="67"/>
      <c r="L171" s="67" t="s">
        <v>381</v>
      </c>
      <c r="M171" s="64" t="str">
        <f aca="false">IF(COUNTIF(COMPRAS!$G$3:$G$4997,A171)=0,"",SUMPRODUCT(MAX((COMPRAS!$G$3:$G$4997=A171)*COMPRAS!$B$3:$B$4997)))</f>
        <v/>
      </c>
      <c r="N171" s="64" t="str">
        <f aca="false">M171</f>
        <v/>
      </c>
      <c r="O171" s="67"/>
      <c r="P171" s="67"/>
      <c r="Q171" s="67"/>
      <c r="R171" s="67"/>
      <c r="S171" s="67" t="s">
        <v>952</v>
      </c>
      <c r="T171" s="67"/>
      <c r="U171" s="67" t="s">
        <v>953</v>
      </c>
      <c r="V171" s="67" t="s">
        <v>954</v>
      </c>
      <c r="W171" s="67" t="s">
        <v>955</v>
      </c>
    </row>
    <row r="172" customFormat="false" ht="15" hidden="true" customHeight="true" outlineLevel="0" collapsed="false">
      <c r="A172" s="75" t="s">
        <v>1076</v>
      </c>
      <c r="B172" s="168"/>
      <c r="C172" s="173" t="s">
        <v>947</v>
      </c>
      <c r="D172" s="104" t="str">
        <f aca="false">IF(A172&lt;&gt;"",A172&amp;" | "&amp;B172&amp;" ["&amp;C172&amp;"]","")</f>
        <v>C3094 |  [FRESCO]</v>
      </c>
      <c r="E172" s="67" t="s">
        <v>381</v>
      </c>
      <c r="F172" s="1" t="str">
        <f aca="false">IF(AND(E172="S",C172="FRESCO"),COUNTIFS($E$3:E172,"S",$C$3:C172,"FRESCO"),"")</f>
        <v/>
      </c>
      <c r="G172" s="1" t="str">
        <f aca="false">IF(AND(E172="S",C172&lt;&gt;"FRESCO"),COUNTIFS($E$3:E172,"S",$C$3:C172,"&lt;&gt;FRESCO"),"")</f>
        <v/>
      </c>
      <c r="H172" s="1" t="str">
        <f aca="false">IF(N172="","",IFERROR(SUMIFS(COMPRAS!$O$3:$O$4997,COMPRAS!$G$3:$G$4997,A172,COMPRAS!$B$3:$B$4997,N172)/SUMIFS(COMPRAS!$J$3:$J$4997,COMPRAS!$G$3:$G$4997,A172,COMPRAS!$B$3:$B$4997,N172),""))</f>
        <v/>
      </c>
      <c r="I172" s="1" t="str">
        <f aca="false">IF(X172&lt;&gt;"",X172,IF(H172="","",ROUND(H172+1.7,2)))</f>
        <v/>
      </c>
      <c r="J172" s="1" t="str">
        <f aca="false">IF(Y172&lt;&gt;"",Y172,IF(H172="","",ROUND(H172+1.9,2)))</f>
        <v/>
      </c>
      <c r="K172" s="67"/>
      <c r="L172" s="67" t="s">
        <v>381</v>
      </c>
      <c r="M172" s="64" t="str">
        <f aca="false">IF(COUNTIF(COMPRAS!$G$3:$G$4997,A172)=0,"",SUMPRODUCT(MAX((COMPRAS!$G$3:$G$4997=A172)*COMPRAS!$B$3:$B$4997)))</f>
        <v/>
      </c>
      <c r="N172" s="64" t="str">
        <f aca="false">M172</f>
        <v/>
      </c>
      <c r="O172" s="67"/>
      <c r="P172" s="67"/>
      <c r="Q172" s="67"/>
      <c r="R172" s="67"/>
      <c r="S172" s="67" t="s">
        <v>952</v>
      </c>
      <c r="T172" s="67"/>
      <c r="U172" s="67" t="s">
        <v>953</v>
      </c>
      <c r="V172" s="67" t="s">
        <v>954</v>
      </c>
      <c r="W172" s="67" t="s">
        <v>955</v>
      </c>
    </row>
    <row r="173" customFormat="false" ht="15" hidden="true" customHeight="true" outlineLevel="0" collapsed="false">
      <c r="A173" s="75" t="s">
        <v>1077</v>
      </c>
      <c r="B173" s="166"/>
      <c r="C173" s="173" t="s">
        <v>947</v>
      </c>
      <c r="D173" s="104" t="str">
        <f aca="false">IF(A173&lt;&gt;"",A173&amp;" | "&amp;B173&amp;" ["&amp;C173&amp;"]","")</f>
        <v>C3095 |  [FRESCO]</v>
      </c>
      <c r="E173" s="67" t="s">
        <v>381</v>
      </c>
      <c r="F173" s="1" t="str">
        <f aca="false">IF(AND(E173="S",C173="FRESCO"),COUNTIFS($E$3:E173,"S",$C$3:C173,"FRESCO"),"")</f>
        <v/>
      </c>
      <c r="G173" s="1" t="str">
        <f aca="false">IF(AND(E173="S",C173&lt;&gt;"FRESCO"),COUNTIFS($E$3:E173,"S",$C$3:C173,"&lt;&gt;FRESCO"),"")</f>
        <v/>
      </c>
      <c r="H173" s="1" t="str">
        <f aca="false">IF(N173="","",IFERROR(SUMIFS(COMPRAS!$O$3:$O$4997,COMPRAS!$G$3:$G$4997,A173,COMPRAS!$B$3:$B$4997,N173)/SUMIFS(COMPRAS!$J$3:$J$4997,COMPRAS!$G$3:$G$4997,A173,COMPRAS!$B$3:$B$4997,N173),""))</f>
        <v/>
      </c>
      <c r="I173" s="1" t="str">
        <f aca="false">IF(X173&lt;&gt;"",X173,IF(H173="","",ROUND(H173+1.7,2)))</f>
        <v/>
      </c>
      <c r="J173" s="1" t="str">
        <f aca="false">IF(Y173&lt;&gt;"",Y173,IF(H173="","",ROUND(H173+1.9,2)))</f>
        <v/>
      </c>
      <c r="K173" s="67"/>
      <c r="L173" s="67" t="s">
        <v>381</v>
      </c>
      <c r="M173" s="64" t="str">
        <f aca="false">IF(COUNTIF(COMPRAS!$G$3:$G$4997,A173)=0,"",SUMPRODUCT(MAX((COMPRAS!$G$3:$G$4997=A173)*COMPRAS!$B$3:$B$4997)))</f>
        <v/>
      </c>
      <c r="N173" s="64" t="str">
        <f aca="false">M173</f>
        <v/>
      </c>
      <c r="O173" s="67"/>
      <c r="P173" s="67"/>
      <c r="Q173" s="67"/>
      <c r="R173" s="67"/>
      <c r="S173" s="67" t="s">
        <v>952</v>
      </c>
      <c r="T173" s="67"/>
      <c r="U173" s="67" t="s">
        <v>953</v>
      </c>
      <c r="V173" s="67" t="s">
        <v>954</v>
      </c>
      <c r="W173" s="67" t="s">
        <v>955</v>
      </c>
    </row>
    <row r="174" customFormat="false" ht="15" hidden="true" customHeight="true" outlineLevel="0" collapsed="false">
      <c r="A174" s="75" t="s">
        <v>1078</v>
      </c>
      <c r="B174" s="168"/>
      <c r="C174" s="173" t="s">
        <v>947</v>
      </c>
      <c r="D174" s="104" t="str">
        <f aca="false">IF(A174&lt;&gt;"",A174&amp;" | "&amp;B174&amp;" ["&amp;C174&amp;"]","")</f>
        <v>C3096 |  [FRESCO]</v>
      </c>
      <c r="E174" s="67" t="s">
        <v>381</v>
      </c>
      <c r="F174" s="1" t="str">
        <f aca="false">IF(AND(E174="S",C174="FRESCO"),COUNTIFS($E$3:E174,"S",$C$3:C174,"FRESCO"),"")</f>
        <v/>
      </c>
      <c r="G174" s="1" t="str">
        <f aca="false">IF(AND(E174="S",C174&lt;&gt;"FRESCO"),COUNTIFS($E$3:E174,"S",$C$3:C174,"&lt;&gt;FRESCO"),"")</f>
        <v/>
      </c>
      <c r="H174" s="1" t="str">
        <f aca="false">IF(N174="","",IFERROR(SUMIFS(COMPRAS!$O$3:$O$4997,COMPRAS!$G$3:$G$4997,A174,COMPRAS!$B$3:$B$4997,N174)/SUMIFS(COMPRAS!$J$3:$J$4997,COMPRAS!$G$3:$G$4997,A174,COMPRAS!$B$3:$B$4997,N174),""))</f>
        <v/>
      </c>
      <c r="I174" s="1" t="str">
        <f aca="false">IF(X174&lt;&gt;"",X174,IF(H174="","",ROUND(H174+1.7,2)))</f>
        <v/>
      </c>
      <c r="J174" s="1" t="str">
        <f aca="false">IF(Y174&lt;&gt;"",Y174,IF(H174="","",ROUND(H174+1.9,2)))</f>
        <v/>
      </c>
      <c r="K174" s="67"/>
      <c r="L174" s="67" t="s">
        <v>381</v>
      </c>
      <c r="M174" s="64" t="str">
        <f aca="false">IF(COUNTIF(COMPRAS!$G$3:$G$4997,A174)=0,"",SUMPRODUCT(MAX((COMPRAS!$G$3:$G$4997=A174)*COMPRAS!$B$3:$B$4997)))</f>
        <v/>
      </c>
      <c r="N174" s="64" t="str">
        <f aca="false">M174</f>
        <v/>
      </c>
      <c r="O174" s="67"/>
      <c r="P174" s="67"/>
      <c r="Q174" s="67"/>
      <c r="R174" s="67"/>
      <c r="S174" s="67" t="s">
        <v>952</v>
      </c>
      <c r="T174" s="67"/>
      <c r="U174" s="67" t="s">
        <v>953</v>
      </c>
      <c r="V174" s="67" t="s">
        <v>954</v>
      </c>
      <c r="W174" s="67" t="s">
        <v>955</v>
      </c>
    </row>
    <row r="175" customFormat="false" ht="15" hidden="true" customHeight="true" outlineLevel="0" collapsed="false">
      <c r="A175" s="75" t="s">
        <v>1079</v>
      </c>
      <c r="B175" s="166"/>
      <c r="C175" s="173" t="s">
        <v>947</v>
      </c>
      <c r="D175" s="104" t="str">
        <f aca="false">IF(A175&lt;&gt;"",A175&amp;" | "&amp;B175&amp;" ["&amp;C175&amp;"]","")</f>
        <v>C3097 |  [FRESCO]</v>
      </c>
      <c r="E175" s="67" t="s">
        <v>381</v>
      </c>
      <c r="F175" s="1" t="str">
        <f aca="false">IF(AND(E175="S",C175="FRESCO"),COUNTIFS($E$3:E175,"S",$C$3:C175,"FRESCO"),"")</f>
        <v/>
      </c>
      <c r="G175" s="1" t="str">
        <f aca="false">IF(AND(E175="S",C175&lt;&gt;"FRESCO"),COUNTIFS($E$3:E175,"S",$C$3:C175,"&lt;&gt;FRESCO"),"")</f>
        <v/>
      </c>
      <c r="H175" s="1" t="str">
        <f aca="false">IF(N175="","",IFERROR(SUMIFS(COMPRAS!$O$3:$O$4997,COMPRAS!$G$3:$G$4997,A175,COMPRAS!$B$3:$B$4997,N175)/SUMIFS(COMPRAS!$J$3:$J$4997,COMPRAS!$G$3:$G$4997,A175,COMPRAS!$B$3:$B$4997,N175),""))</f>
        <v/>
      </c>
      <c r="I175" s="1" t="str">
        <f aca="false">IF(X175&lt;&gt;"",X175,IF(H175="","",ROUND(H175+1.7,2)))</f>
        <v/>
      </c>
      <c r="J175" s="1" t="str">
        <f aca="false">IF(Y175&lt;&gt;"",Y175,IF(H175="","",ROUND(H175+1.9,2)))</f>
        <v/>
      </c>
      <c r="K175" s="67"/>
      <c r="L175" s="67" t="s">
        <v>381</v>
      </c>
      <c r="M175" s="64" t="str">
        <f aca="false">IF(COUNTIF(COMPRAS!$G$3:$G$4997,A175)=0,"",SUMPRODUCT(MAX((COMPRAS!$G$3:$G$4997=A175)*COMPRAS!$B$3:$B$4997)))</f>
        <v/>
      </c>
      <c r="N175" s="64" t="str">
        <f aca="false">M175</f>
        <v/>
      </c>
      <c r="O175" s="67"/>
      <c r="P175" s="67"/>
      <c r="Q175" s="67"/>
      <c r="R175" s="67"/>
      <c r="S175" s="67" t="s">
        <v>952</v>
      </c>
      <c r="T175" s="67"/>
      <c r="U175" s="67" t="s">
        <v>953</v>
      </c>
      <c r="V175" s="67" t="s">
        <v>954</v>
      </c>
      <c r="W175" s="67" t="s">
        <v>955</v>
      </c>
    </row>
    <row r="176" customFormat="false" ht="15" hidden="true" customHeight="true" outlineLevel="0" collapsed="false">
      <c r="A176" s="75" t="s">
        <v>1080</v>
      </c>
      <c r="B176" s="168"/>
      <c r="C176" s="173" t="s">
        <v>947</v>
      </c>
      <c r="D176" s="104" t="str">
        <f aca="false">IF(A176&lt;&gt;"",A176&amp;" | "&amp;B176&amp;" ["&amp;C176&amp;"]","")</f>
        <v>C3098 |  [FRESCO]</v>
      </c>
      <c r="E176" s="67" t="s">
        <v>381</v>
      </c>
      <c r="F176" s="1" t="str">
        <f aca="false">IF(AND(E176="S",C176="FRESCO"),COUNTIFS($E$3:E176,"S",$C$3:C176,"FRESCO"),"")</f>
        <v/>
      </c>
      <c r="G176" s="1" t="str">
        <f aca="false">IF(AND(E176="S",C176&lt;&gt;"FRESCO"),COUNTIFS($E$3:E176,"S",$C$3:C176,"&lt;&gt;FRESCO"),"")</f>
        <v/>
      </c>
      <c r="H176" s="1" t="str">
        <f aca="false">IF(N176="","",IFERROR(SUMIFS(COMPRAS!$O$3:$O$4997,COMPRAS!$G$3:$G$4997,A176,COMPRAS!$B$3:$B$4997,N176)/SUMIFS(COMPRAS!$J$3:$J$4997,COMPRAS!$G$3:$G$4997,A176,COMPRAS!$B$3:$B$4997,N176),""))</f>
        <v/>
      </c>
      <c r="I176" s="1" t="str">
        <f aca="false">IF(X176&lt;&gt;"",X176,IF(H176="","",ROUND(H176+1.7,2)))</f>
        <v/>
      </c>
      <c r="J176" s="1" t="str">
        <f aca="false">IF(Y176&lt;&gt;"",Y176,IF(H176="","",ROUND(H176+1.9,2)))</f>
        <v/>
      </c>
      <c r="K176" s="67"/>
      <c r="L176" s="67" t="s">
        <v>381</v>
      </c>
      <c r="M176" s="64" t="str">
        <f aca="false">IF(COUNTIF(COMPRAS!$G$3:$G$4997,A176)=0,"",SUMPRODUCT(MAX((COMPRAS!$G$3:$G$4997=A176)*COMPRAS!$B$3:$B$4997)))</f>
        <v/>
      </c>
      <c r="N176" s="64" t="str">
        <f aca="false">M176</f>
        <v/>
      </c>
      <c r="O176" s="67"/>
      <c r="P176" s="67"/>
      <c r="Q176" s="67"/>
      <c r="R176" s="67"/>
      <c r="S176" s="67" t="s">
        <v>952</v>
      </c>
      <c r="T176" s="67"/>
      <c r="U176" s="67" t="s">
        <v>953</v>
      </c>
      <c r="V176" s="67" t="s">
        <v>954</v>
      </c>
      <c r="W176" s="67" t="s">
        <v>955</v>
      </c>
    </row>
    <row r="177" customFormat="false" ht="15" hidden="true" customHeight="true" outlineLevel="0" collapsed="false">
      <c r="A177" s="75" t="s">
        <v>1081</v>
      </c>
      <c r="B177" s="166"/>
      <c r="C177" s="173" t="s">
        <v>947</v>
      </c>
      <c r="D177" s="104" t="str">
        <f aca="false">IF(A177&lt;&gt;"",A177&amp;" | "&amp;B177&amp;" ["&amp;C177&amp;"]","")</f>
        <v>C3099 |  [FRESCO]</v>
      </c>
      <c r="E177" s="67" t="s">
        <v>381</v>
      </c>
      <c r="F177" s="1" t="str">
        <f aca="false">IF(AND(E177="S",C177="FRESCO"),COUNTIFS($E$3:E177,"S",$C$3:C177,"FRESCO"),"")</f>
        <v/>
      </c>
      <c r="G177" s="1" t="str">
        <f aca="false">IF(AND(E177="S",C177&lt;&gt;"FRESCO"),COUNTIFS($E$3:E177,"S",$C$3:C177,"&lt;&gt;FRESCO"),"")</f>
        <v/>
      </c>
      <c r="H177" s="1" t="str">
        <f aca="false">IF(N177="","",IFERROR(SUMIFS(COMPRAS!$O$3:$O$4997,COMPRAS!$G$3:$G$4997,A177,COMPRAS!$B$3:$B$4997,N177)/SUMIFS(COMPRAS!$J$3:$J$4997,COMPRAS!$G$3:$G$4997,A177,COMPRAS!$B$3:$B$4997,N177),""))</f>
        <v/>
      </c>
      <c r="I177" s="1" t="str">
        <f aca="false">IF(X177&lt;&gt;"",X177,IF(H177="","",ROUND(H177+1.7,2)))</f>
        <v/>
      </c>
      <c r="J177" s="1" t="str">
        <f aca="false">IF(Y177&lt;&gt;"",Y177,IF(H177="","",ROUND(H177+1.9,2)))</f>
        <v/>
      </c>
      <c r="K177" s="67"/>
      <c r="L177" s="67" t="s">
        <v>381</v>
      </c>
      <c r="M177" s="64" t="str">
        <f aca="false">IF(COUNTIF(COMPRAS!$G$3:$G$4997,A177)=0,"",SUMPRODUCT(MAX((COMPRAS!$G$3:$G$4997=A177)*COMPRAS!$B$3:$B$4997)))</f>
        <v/>
      </c>
      <c r="N177" s="64" t="str">
        <f aca="false">M177</f>
        <v/>
      </c>
      <c r="O177" s="67"/>
      <c r="P177" s="67"/>
      <c r="Q177" s="67"/>
      <c r="R177" s="67"/>
      <c r="S177" s="67" t="s">
        <v>952</v>
      </c>
      <c r="T177" s="67"/>
      <c r="U177" s="67" t="s">
        <v>953</v>
      </c>
      <c r="V177" s="67" t="s">
        <v>954</v>
      </c>
      <c r="W177" s="67" t="s">
        <v>955</v>
      </c>
    </row>
    <row r="178" customFormat="false" ht="15" hidden="true" customHeight="true" outlineLevel="0" collapsed="false">
      <c r="A178" s="75" t="s">
        <v>1082</v>
      </c>
      <c r="B178" s="168"/>
      <c r="C178" s="173" t="s">
        <v>947</v>
      </c>
      <c r="D178" s="104" t="str">
        <f aca="false">IF(A178&lt;&gt;"",A178&amp;" | "&amp;B178&amp;" ["&amp;C178&amp;"]","")</f>
        <v>C3100 |  [FRESCO]</v>
      </c>
      <c r="E178" s="67" t="s">
        <v>381</v>
      </c>
      <c r="F178" s="1" t="str">
        <f aca="false">IF(AND(E178="S",C178="FRESCO"),COUNTIFS($E$3:E178,"S",$C$3:C178,"FRESCO"),"")</f>
        <v/>
      </c>
      <c r="G178" s="1" t="str">
        <f aca="false">IF(AND(E178="S",C178&lt;&gt;"FRESCO"),COUNTIFS($E$3:E178,"S",$C$3:C178,"&lt;&gt;FRESCO"),"")</f>
        <v/>
      </c>
      <c r="H178" s="1" t="str">
        <f aca="false">IF(N178="","",IFERROR(SUMIFS(COMPRAS!$O$3:$O$4997,COMPRAS!$G$3:$G$4997,A178,COMPRAS!$B$3:$B$4997,N178)/SUMIFS(COMPRAS!$J$3:$J$4997,COMPRAS!$G$3:$G$4997,A178,COMPRAS!$B$3:$B$4997,N178),""))</f>
        <v/>
      </c>
      <c r="I178" s="1" t="str">
        <f aca="false">IF(X178&lt;&gt;"",X178,IF(H178="","",ROUND(H178+1.7,2)))</f>
        <v/>
      </c>
      <c r="J178" s="1" t="str">
        <f aca="false">IF(Y178&lt;&gt;"",Y178,IF(H178="","",ROUND(H178+1.9,2)))</f>
        <v/>
      </c>
      <c r="K178" s="67"/>
      <c r="L178" s="67" t="s">
        <v>381</v>
      </c>
      <c r="M178" s="64" t="str">
        <f aca="false">IF(COUNTIF(COMPRAS!$G$3:$G$4997,A178)=0,"",SUMPRODUCT(MAX((COMPRAS!$G$3:$G$4997=A178)*COMPRAS!$B$3:$B$4997)))</f>
        <v/>
      </c>
      <c r="N178" s="64" t="str">
        <f aca="false">M178</f>
        <v/>
      </c>
      <c r="O178" s="67"/>
      <c r="P178" s="67"/>
      <c r="Q178" s="67"/>
      <c r="R178" s="67"/>
      <c r="S178" s="67" t="s">
        <v>952</v>
      </c>
      <c r="T178" s="67"/>
      <c r="U178" s="67" t="s">
        <v>953</v>
      </c>
      <c r="V178" s="67" t="s">
        <v>954</v>
      </c>
      <c r="W178" s="67" t="s">
        <v>955</v>
      </c>
    </row>
    <row r="179" customFormat="false" ht="15" hidden="true" customHeight="true" outlineLevel="0" collapsed="false">
      <c r="A179" s="75" t="s">
        <v>1083</v>
      </c>
      <c r="B179" s="166"/>
      <c r="C179" s="173" t="s">
        <v>947</v>
      </c>
      <c r="D179" s="104" t="str">
        <f aca="false">IF(A179&lt;&gt;"",A179&amp;" | "&amp;B179&amp;" ["&amp;C179&amp;"]","")</f>
        <v>C3101 |  [FRESCO]</v>
      </c>
      <c r="E179" s="67" t="s">
        <v>381</v>
      </c>
      <c r="F179" s="1" t="str">
        <f aca="false">IF(AND(E179="S",C179="FRESCO"),COUNTIFS($E$3:E179,"S",$C$3:C179,"FRESCO"),"")</f>
        <v/>
      </c>
      <c r="G179" s="1" t="str">
        <f aca="false">IF(AND(E179="S",C179&lt;&gt;"FRESCO"),COUNTIFS($E$3:E179,"S",$C$3:C179,"&lt;&gt;FRESCO"),"")</f>
        <v/>
      </c>
      <c r="H179" s="1" t="str">
        <f aca="false">IF(N179="","",IFERROR(SUMIFS(COMPRAS!$O$3:$O$4997,COMPRAS!$G$3:$G$4997,A179,COMPRAS!$B$3:$B$4997,N179)/SUMIFS(COMPRAS!$J$3:$J$4997,COMPRAS!$G$3:$G$4997,A179,COMPRAS!$B$3:$B$4997,N179),""))</f>
        <v/>
      </c>
      <c r="I179" s="1" t="str">
        <f aca="false">IF(X179&lt;&gt;"",X179,IF(H179="","",ROUND(H179+1.7,2)))</f>
        <v/>
      </c>
      <c r="J179" s="1" t="str">
        <f aca="false">IF(Y179&lt;&gt;"",Y179,IF(H179="","",ROUND(H179+1.9,2)))</f>
        <v/>
      </c>
      <c r="K179" s="67"/>
      <c r="L179" s="67" t="s">
        <v>381</v>
      </c>
      <c r="M179" s="64" t="str">
        <f aca="false">IF(COUNTIF(COMPRAS!$G$3:$G$4997,A179)=0,"",SUMPRODUCT(MAX((COMPRAS!$G$3:$G$4997=A179)*COMPRAS!$B$3:$B$4997)))</f>
        <v/>
      </c>
      <c r="N179" s="64" t="str">
        <f aca="false">M179</f>
        <v/>
      </c>
      <c r="O179" s="67"/>
      <c r="P179" s="67"/>
      <c r="Q179" s="67"/>
      <c r="R179" s="67"/>
      <c r="S179" s="67" t="s">
        <v>952</v>
      </c>
      <c r="T179" s="67"/>
      <c r="U179" s="67" t="s">
        <v>953</v>
      </c>
      <c r="V179" s="67" t="s">
        <v>954</v>
      </c>
      <c r="W179" s="67" t="s">
        <v>955</v>
      </c>
    </row>
    <row r="180" customFormat="false" ht="15" hidden="true" customHeight="true" outlineLevel="0" collapsed="false">
      <c r="A180" s="75" t="s">
        <v>1084</v>
      </c>
      <c r="B180" s="168"/>
      <c r="C180" s="173" t="s">
        <v>947</v>
      </c>
      <c r="D180" s="104" t="str">
        <f aca="false">IF(A180&lt;&gt;"",A180&amp;" | "&amp;B180&amp;" ["&amp;C180&amp;"]","")</f>
        <v>C3102 |  [FRESCO]</v>
      </c>
      <c r="E180" s="67" t="s">
        <v>381</v>
      </c>
      <c r="F180" s="1" t="str">
        <f aca="false">IF(AND(E180="S",C180="FRESCO"),COUNTIFS($E$3:E180,"S",$C$3:C180,"FRESCO"),"")</f>
        <v/>
      </c>
      <c r="G180" s="1" t="str">
        <f aca="false">IF(AND(E180="S",C180&lt;&gt;"FRESCO"),COUNTIFS($E$3:E180,"S",$C$3:C180,"&lt;&gt;FRESCO"),"")</f>
        <v/>
      </c>
      <c r="H180" s="1" t="str">
        <f aca="false">IF(N180="","",IFERROR(SUMIFS(COMPRAS!$O$3:$O$4997,COMPRAS!$G$3:$G$4997,A180,COMPRAS!$B$3:$B$4997,N180)/SUMIFS(COMPRAS!$J$3:$J$4997,COMPRAS!$G$3:$G$4997,A180,COMPRAS!$B$3:$B$4997,N180),""))</f>
        <v/>
      </c>
      <c r="I180" s="1" t="str">
        <f aca="false">IF(X180&lt;&gt;"",X180,IF(H180="","",ROUND(H180+1.7,2)))</f>
        <v/>
      </c>
      <c r="J180" s="1" t="str">
        <f aca="false">IF(Y180&lt;&gt;"",Y180,IF(H180="","",ROUND(H180+1.9,2)))</f>
        <v/>
      </c>
      <c r="K180" s="67"/>
      <c r="L180" s="67" t="s">
        <v>381</v>
      </c>
      <c r="M180" s="64" t="str">
        <f aca="false">IF(COUNTIF(COMPRAS!$G$3:$G$4997,A180)=0,"",SUMPRODUCT(MAX((COMPRAS!$G$3:$G$4997=A180)*COMPRAS!$B$3:$B$4997)))</f>
        <v/>
      </c>
      <c r="N180" s="64" t="str">
        <f aca="false">M180</f>
        <v/>
      </c>
      <c r="O180" s="67"/>
      <c r="P180" s="67"/>
      <c r="Q180" s="67"/>
      <c r="R180" s="67"/>
      <c r="S180" s="67" t="s">
        <v>952</v>
      </c>
      <c r="T180" s="67"/>
      <c r="U180" s="67" t="s">
        <v>953</v>
      </c>
      <c r="V180" s="67" t="s">
        <v>954</v>
      </c>
      <c r="W180" s="67" t="s">
        <v>955</v>
      </c>
    </row>
    <row r="181" customFormat="false" ht="15" hidden="true" customHeight="true" outlineLevel="0" collapsed="false">
      <c r="A181" s="75" t="s">
        <v>1085</v>
      </c>
      <c r="B181" s="166"/>
      <c r="C181" s="173" t="s">
        <v>947</v>
      </c>
      <c r="D181" s="104" t="str">
        <f aca="false">IF(A181&lt;&gt;"",A181&amp;" | "&amp;B181&amp;" ["&amp;C181&amp;"]","")</f>
        <v>C3103 |  [FRESCO]</v>
      </c>
      <c r="E181" s="67" t="s">
        <v>381</v>
      </c>
      <c r="F181" s="1" t="str">
        <f aca="false">IF(AND(E181="S",C181="FRESCO"),COUNTIFS($E$3:E181,"S",$C$3:C181,"FRESCO"),"")</f>
        <v/>
      </c>
      <c r="G181" s="1" t="str">
        <f aca="false">IF(AND(E181="S",C181&lt;&gt;"FRESCO"),COUNTIFS($E$3:E181,"S",$C$3:C181,"&lt;&gt;FRESCO"),"")</f>
        <v/>
      </c>
      <c r="H181" s="1" t="str">
        <f aca="false">IF(N181="","",IFERROR(SUMIFS(COMPRAS!$O$3:$O$4997,COMPRAS!$G$3:$G$4997,A181,COMPRAS!$B$3:$B$4997,N181)/SUMIFS(COMPRAS!$J$3:$J$4997,COMPRAS!$G$3:$G$4997,A181,COMPRAS!$B$3:$B$4997,N181),""))</f>
        <v/>
      </c>
      <c r="I181" s="1" t="str">
        <f aca="false">IF(X181&lt;&gt;"",X181,IF(H181="","",ROUND(H181+1.7,2)))</f>
        <v/>
      </c>
      <c r="J181" s="1" t="str">
        <f aca="false">IF(Y181&lt;&gt;"",Y181,IF(H181="","",ROUND(H181+1.9,2)))</f>
        <v/>
      </c>
      <c r="K181" s="67"/>
      <c r="L181" s="67" t="s">
        <v>381</v>
      </c>
      <c r="M181" s="64" t="str">
        <f aca="false">IF(COUNTIF(COMPRAS!$G$3:$G$4997,A181)=0,"",SUMPRODUCT(MAX((COMPRAS!$G$3:$G$4997=A181)*COMPRAS!$B$3:$B$4997)))</f>
        <v/>
      </c>
      <c r="N181" s="64" t="str">
        <f aca="false">M181</f>
        <v/>
      </c>
      <c r="O181" s="67"/>
      <c r="P181" s="67"/>
      <c r="Q181" s="67"/>
      <c r="R181" s="67"/>
      <c r="S181" s="67" t="s">
        <v>952</v>
      </c>
      <c r="T181" s="67"/>
      <c r="U181" s="67" t="s">
        <v>953</v>
      </c>
      <c r="V181" s="67" t="s">
        <v>954</v>
      </c>
      <c r="W181" s="67" t="s">
        <v>955</v>
      </c>
    </row>
    <row r="182" customFormat="false" ht="15" hidden="true" customHeight="true" outlineLevel="0" collapsed="false">
      <c r="A182" s="75" t="s">
        <v>1086</v>
      </c>
      <c r="B182" s="168"/>
      <c r="C182" s="173" t="s">
        <v>947</v>
      </c>
      <c r="D182" s="104" t="str">
        <f aca="false">IF(A182&lt;&gt;"",A182&amp;" | "&amp;B182&amp;" ["&amp;C182&amp;"]","")</f>
        <v>C3104 |  [FRESCO]</v>
      </c>
      <c r="E182" s="67" t="s">
        <v>381</v>
      </c>
      <c r="F182" s="1" t="str">
        <f aca="false">IF(AND(E182="S",C182="FRESCO"),COUNTIFS($E$3:E182,"S",$C$3:C182,"FRESCO"),"")</f>
        <v/>
      </c>
      <c r="G182" s="1" t="str">
        <f aca="false">IF(AND(E182="S",C182&lt;&gt;"FRESCO"),COUNTIFS($E$3:E182,"S",$C$3:C182,"&lt;&gt;FRESCO"),"")</f>
        <v/>
      </c>
      <c r="H182" s="1" t="str">
        <f aca="false">IF(N182="","",IFERROR(SUMIFS(COMPRAS!$O$3:$O$4997,COMPRAS!$G$3:$G$4997,A182,COMPRAS!$B$3:$B$4997,N182)/SUMIFS(COMPRAS!$J$3:$J$4997,COMPRAS!$G$3:$G$4997,A182,COMPRAS!$B$3:$B$4997,N182),""))</f>
        <v/>
      </c>
      <c r="I182" s="1" t="str">
        <f aca="false">IF(X182&lt;&gt;"",X182,IF(H182="","",ROUND(H182+1.7,2)))</f>
        <v/>
      </c>
      <c r="J182" s="1" t="str">
        <f aca="false">IF(Y182&lt;&gt;"",Y182,IF(H182="","",ROUND(H182+1.9,2)))</f>
        <v/>
      </c>
      <c r="K182" s="67"/>
      <c r="L182" s="67" t="s">
        <v>381</v>
      </c>
      <c r="M182" s="64" t="str">
        <f aca="false">IF(COUNTIF(COMPRAS!$G$3:$G$4997,A182)=0,"",SUMPRODUCT(MAX((COMPRAS!$G$3:$G$4997=A182)*COMPRAS!$B$3:$B$4997)))</f>
        <v/>
      </c>
      <c r="N182" s="64" t="str">
        <f aca="false">M182</f>
        <v/>
      </c>
      <c r="O182" s="67"/>
      <c r="P182" s="67"/>
      <c r="Q182" s="67"/>
      <c r="R182" s="67"/>
      <c r="S182" s="67" t="s">
        <v>952</v>
      </c>
      <c r="T182" s="67"/>
      <c r="U182" s="67" t="s">
        <v>953</v>
      </c>
      <c r="V182" s="67" t="s">
        <v>954</v>
      </c>
      <c r="W182" s="67" t="s">
        <v>955</v>
      </c>
    </row>
    <row r="183" customFormat="false" ht="15" hidden="true" customHeight="true" outlineLevel="0" collapsed="false">
      <c r="A183" s="75" t="s">
        <v>1087</v>
      </c>
      <c r="B183" s="166"/>
      <c r="C183" s="173" t="s">
        <v>947</v>
      </c>
      <c r="D183" s="104" t="str">
        <f aca="false">IF(A183&lt;&gt;"",A183&amp;" | "&amp;B183&amp;" ["&amp;C183&amp;"]","")</f>
        <v>C3105 |  [FRESCO]</v>
      </c>
      <c r="E183" s="67" t="s">
        <v>381</v>
      </c>
      <c r="F183" s="1" t="str">
        <f aca="false">IF(AND(E183="S",C183="FRESCO"),COUNTIFS($E$3:E183,"S",$C$3:C183,"FRESCO"),"")</f>
        <v/>
      </c>
      <c r="G183" s="1" t="str">
        <f aca="false">IF(AND(E183="S",C183&lt;&gt;"FRESCO"),COUNTIFS($E$3:E183,"S",$C$3:C183,"&lt;&gt;FRESCO"),"")</f>
        <v/>
      </c>
      <c r="H183" s="1" t="str">
        <f aca="false">IF(N183="","",IFERROR(SUMIFS(COMPRAS!$O$3:$O$4997,COMPRAS!$G$3:$G$4997,A183,COMPRAS!$B$3:$B$4997,N183)/SUMIFS(COMPRAS!$J$3:$J$4997,COMPRAS!$G$3:$G$4997,A183,COMPRAS!$B$3:$B$4997,N183),""))</f>
        <v/>
      </c>
      <c r="I183" s="1" t="str">
        <f aca="false">IF(X183&lt;&gt;"",X183,IF(H183="","",ROUND(H183+1.7,2)))</f>
        <v/>
      </c>
      <c r="J183" s="1" t="str">
        <f aca="false">IF(Y183&lt;&gt;"",Y183,IF(H183="","",ROUND(H183+1.9,2)))</f>
        <v/>
      </c>
      <c r="K183" s="67"/>
      <c r="L183" s="67" t="s">
        <v>381</v>
      </c>
      <c r="M183" s="64" t="str">
        <f aca="false">IF(COUNTIF(COMPRAS!$G$3:$G$4997,A183)=0,"",SUMPRODUCT(MAX((COMPRAS!$G$3:$G$4997=A183)*COMPRAS!$B$3:$B$4997)))</f>
        <v/>
      </c>
      <c r="N183" s="64" t="str">
        <f aca="false">M183</f>
        <v/>
      </c>
      <c r="O183" s="67"/>
      <c r="P183" s="67"/>
      <c r="Q183" s="67"/>
      <c r="R183" s="67"/>
      <c r="S183" s="67" t="s">
        <v>952</v>
      </c>
      <c r="T183" s="67"/>
      <c r="U183" s="67" t="s">
        <v>953</v>
      </c>
      <c r="V183" s="67" t="s">
        <v>954</v>
      </c>
      <c r="W183" s="67" t="s">
        <v>955</v>
      </c>
    </row>
    <row r="184" customFormat="false" ht="15" hidden="true" customHeight="true" outlineLevel="0" collapsed="false">
      <c r="A184" s="75" t="s">
        <v>581</v>
      </c>
      <c r="B184" s="168" t="s">
        <v>1088</v>
      </c>
      <c r="C184" s="173" t="s">
        <v>947</v>
      </c>
      <c r="D184" s="104" t="str">
        <f aca="false">IF(A184&lt;&gt;"",A184&amp;" | "&amp;B184&amp;" ["&amp;C184&amp;"]","")</f>
        <v>C2245 | ALCRIQUE-PAPARDA-AGULLA-AGUJA [FRESCO]</v>
      </c>
      <c r="E184" s="67" t="s">
        <v>381</v>
      </c>
      <c r="F184" s="1" t="str">
        <f aca="false">IF(AND(E184="S",C184="FRESCO"),COUNTIFS($E$3:E184,"S",$C$3:C184,"FRESCO"),"")</f>
        <v/>
      </c>
      <c r="G184" s="1" t="str">
        <f aca="false">IF(AND(E184="S",C184&lt;&gt;"FRESCO"),COUNTIFS($E$3:E184,"S",$C$3:C184,"&lt;&gt;FRESCO"),"")</f>
        <v/>
      </c>
      <c r="H184" s="1" t="n">
        <f aca="false">IF(N184="","",IFERROR(SUMIFS(COMPRAS!$O$3:$O$4997,COMPRAS!$G$3:$G$4997,A184,COMPRAS!$B$3:$B$4997,N184)/SUMIFS(COMPRAS!$J$3:$J$4997,COMPRAS!$G$3:$G$4997,A184,COMPRAS!$B$3:$B$4997,N184),""))</f>
        <v>1.173</v>
      </c>
      <c r="I184" s="1" t="n">
        <f aca="false">IF(X184&lt;&gt;"",X184,IF(H184="","",ROUND(H184+1.7,2)))</f>
        <v>2.87</v>
      </c>
      <c r="J184" s="1" t="n">
        <f aca="false">IF(Y184&lt;&gt;"",Y184,IF(H184="","",ROUND(H184+1.9,2)))</f>
        <v>3.07</v>
      </c>
      <c r="K184" s="67"/>
      <c r="L184" s="67" t="s">
        <v>381</v>
      </c>
      <c r="M184" s="64" t="n">
        <f aca="false">IF(COUNTIF(COMPRAS!$G$3:$G$4997,A184)=0,"",SUMPRODUCT(MAX((COMPRAS!$G$3:$G$4997=A184)*COMPRAS!$B$3:$B$4997)))</f>
        <v>46240</v>
      </c>
      <c r="N184" s="64" t="n">
        <f aca="false">M184</f>
        <v>46240</v>
      </c>
      <c r="O184" s="67"/>
      <c r="P184" s="67"/>
      <c r="Q184" s="67"/>
      <c r="R184" s="67"/>
      <c r="S184" s="67" t="s">
        <v>952</v>
      </c>
      <c r="T184" s="67"/>
      <c r="U184" s="67" t="s">
        <v>953</v>
      </c>
      <c r="V184" s="67" t="s">
        <v>954</v>
      </c>
      <c r="W184" s="67" t="s">
        <v>955</v>
      </c>
    </row>
    <row r="185" customFormat="false" ht="15" hidden="true" customHeight="true" outlineLevel="0" collapsed="false">
      <c r="A185" s="134"/>
      <c r="B185" s="175"/>
      <c r="C185" s="176"/>
    </row>
    <row r="186" customFormat="false" ht="15" hidden="true" customHeight="true" outlineLevel="0" collapsed="false">
      <c r="A186" s="175"/>
      <c r="B186" s="175"/>
      <c r="C186" s="175"/>
    </row>
    <row r="187" customFormat="false" ht="15" hidden="true" customHeight="true" outlineLevel="0" collapsed="false">
      <c r="A187" s="177"/>
      <c r="B187" s="177"/>
      <c r="C187" s="177"/>
    </row>
    <row r="188" customFormat="false" ht="15" hidden="true" customHeight="true" outlineLevel="0" collapsed="false">
      <c r="A188" s="175"/>
      <c r="B188" s="175"/>
      <c r="C188" s="175"/>
    </row>
    <row r="189" customFormat="false" ht="15" hidden="true" customHeight="true" outlineLevel="0" collapsed="false">
      <c r="A189" s="177"/>
      <c r="B189" s="177"/>
      <c r="C189" s="177"/>
    </row>
    <row r="190" customFormat="false" ht="15" hidden="true" customHeight="true" outlineLevel="0" collapsed="false">
      <c r="A190" s="175"/>
      <c r="B190" s="175"/>
      <c r="C190" s="175"/>
    </row>
    <row r="191" customFormat="false" ht="15" hidden="true" customHeight="true" outlineLevel="0" collapsed="false">
      <c r="A191" s="177"/>
      <c r="B191" s="177"/>
      <c r="C191" s="177"/>
    </row>
    <row r="192" customFormat="false" ht="15" hidden="true" customHeight="true" outlineLevel="0" collapsed="false">
      <c r="A192" s="175"/>
      <c r="B192" s="175"/>
      <c r="C192" s="175"/>
    </row>
    <row r="193" customFormat="false" ht="15" hidden="true" customHeight="true" outlineLevel="0" collapsed="false">
      <c r="A193" s="177"/>
      <c r="B193" s="177"/>
      <c r="C193" s="177"/>
    </row>
    <row r="194" customFormat="false" ht="15" hidden="true" customHeight="true" outlineLevel="0" collapsed="false">
      <c r="A194" s="175"/>
      <c r="B194" s="175"/>
      <c r="C194" s="175"/>
    </row>
    <row r="195" customFormat="false" ht="15" hidden="true" customHeight="true" outlineLevel="0" collapsed="false">
      <c r="A195" s="177"/>
      <c r="B195" s="177"/>
      <c r="C195" s="177"/>
    </row>
    <row r="196" customFormat="false" ht="15" hidden="true" customHeight="true" outlineLevel="0" collapsed="false">
      <c r="A196" s="175"/>
      <c r="B196" s="175"/>
      <c r="C196" s="175"/>
    </row>
    <row r="197" customFormat="false" ht="15" hidden="true" customHeight="true" outlineLevel="0" collapsed="false">
      <c r="A197" s="177"/>
      <c r="B197" s="177"/>
      <c r="C197" s="177"/>
    </row>
    <row r="198" customFormat="false" ht="15" hidden="true" customHeight="true" outlineLevel="0" collapsed="false">
      <c r="A198" s="175"/>
      <c r="B198" s="175"/>
      <c r="C198" s="175"/>
    </row>
    <row r="199" customFormat="false" ht="15" hidden="true" customHeight="true" outlineLevel="0" collapsed="false">
      <c r="A199" s="177"/>
      <c r="B199" s="177"/>
      <c r="C199" s="177"/>
    </row>
    <row r="200" customFormat="false" ht="15" hidden="true" customHeight="true" outlineLevel="0" collapsed="false">
      <c r="A200" s="175"/>
      <c r="B200" s="175"/>
      <c r="C200" s="175"/>
    </row>
    <row r="201" customFormat="false" ht="15" hidden="true" customHeight="true" outlineLevel="0" collapsed="false">
      <c r="A201" s="177"/>
      <c r="B201" s="177"/>
      <c r="C201" s="177"/>
    </row>
    <row r="202" customFormat="false" ht="15" hidden="true" customHeight="true" outlineLevel="0" collapsed="false">
      <c r="A202" s="175"/>
      <c r="B202" s="175"/>
      <c r="C202" s="175"/>
    </row>
    <row r="203" customFormat="false" ht="15" hidden="true" customHeight="true" outlineLevel="0" collapsed="false">
      <c r="A203" s="177"/>
      <c r="B203" s="177"/>
      <c r="C203" s="177"/>
    </row>
    <row r="204" customFormat="false" ht="15" hidden="true" customHeight="true" outlineLevel="0" collapsed="false">
      <c r="A204" s="175"/>
      <c r="B204" s="175"/>
      <c r="C204" s="175"/>
    </row>
    <row r="205" customFormat="false" ht="15" hidden="true" customHeight="true" outlineLevel="0" collapsed="false">
      <c r="A205" s="177"/>
      <c r="B205" s="177"/>
      <c r="C205" s="177"/>
    </row>
    <row r="206" customFormat="false" ht="15" hidden="true" customHeight="true" outlineLevel="0" collapsed="false">
      <c r="A206" s="175"/>
      <c r="B206" s="175"/>
      <c r="C206" s="175"/>
    </row>
    <row r="207" customFormat="false" ht="15" hidden="true" customHeight="true" outlineLevel="0" collapsed="false">
      <c r="A207" s="177"/>
      <c r="B207" s="177"/>
      <c r="C207" s="177"/>
    </row>
    <row r="208" customFormat="false" ht="15" hidden="true" customHeight="true" outlineLevel="0" collapsed="false">
      <c r="A208" s="175"/>
      <c r="B208" s="175"/>
      <c r="C208" s="175"/>
    </row>
    <row r="209" customFormat="false" ht="15" hidden="true" customHeight="true" outlineLevel="0" collapsed="false">
      <c r="A209" s="177"/>
      <c r="B209" s="177"/>
      <c r="C209" s="177"/>
    </row>
    <row r="210" customFormat="false" ht="15" hidden="true" customHeight="true" outlineLevel="0" collapsed="false">
      <c r="A210" s="175"/>
      <c r="B210" s="175"/>
      <c r="C210" s="175"/>
    </row>
    <row r="211" customFormat="false" ht="15" hidden="true" customHeight="true" outlineLevel="0" collapsed="false">
      <c r="A211" s="177"/>
      <c r="B211" s="177"/>
      <c r="C211" s="177"/>
    </row>
    <row r="212" customFormat="false" ht="15" hidden="true" customHeight="true" outlineLevel="0" collapsed="false">
      <c r="A212" s="175"/>
      <c r="B212" s="175"/>
      <c r="C212" s="175"/>
    </row>
    <row r="213" customFormat="false" ht="15" hidden="true" customHeight="true" outlineLevel="0" collapsed="false">
      <c r="A213" s="177"/>
      <c r="B213" s="177"/>
      <c r="C213" s="177"/>
    </row>
    <row r="214" customFormat="false" ht="15" hidden="true" customHeight="true" outlineLevel="0" collapsed="false">
      <c r="A214" s="175"/>
      <c r="B214" s="175"/>
      <c r="C214" s="175"/>
    </row>
    <row r="215" customFormat="false" ht="15" hidden="true" customHeight="true" outlineLevel="0" collapsed="false">
      <c r="A215" s="177"/>
      <c r="B215" s="177"/>
      <c r="C215" s="177"/>
    </row>
    <row r="216" customFormat="false" ht="15" hidden="true" customHeight="true" outlineLevel="0" collapsed="false">
      <c r="A216" s="175"/>
      <c r="B216" s="175"/>
      <c r="C216" s="175"/>
    </row>
    <row r="217" customFormat="false" ht="15" hidden="true" customHeight="true" outlineLevel="0" collapsed="false">
      <c r="A217" s="177"/>
      <c r="B217" s="177"/>
      <c r="C217" s="177"/>
    </row>
    <row r="218" customFormat="false" ht="15" hidden="true" customHeight="true" outlineLevel="0" collapsed="false">
      <c r="A218" s="175"/>
      <c r="B218" s="175"/>
      <c r="C218" s="175"/>
    </row>
    <row r="219" customFormat="false" ht="15" hidden="true" customHeight="true" outlineLevel="0" collapsed="false">
      <c r="A219" s="177"/>
      <c r="B219" s="177"/>
      <c r="C219" s="177"/>
    </row>
    <row r="220" customFormat="false" ht="15" hidden="true" customHeight="true" outlineLevel="0" collapsed="false">
      <c r="A220" s="175"/>
      <c r="B220" s="175"/>
      <c r="C220" s="175"/>
    </row>
    <row r="221" customFormat="false" ht="15" hidden="true" customHeight="true" outlineLevel="0" collapsed="false">
      <c r="A221" s="177"/>
      <c r="B221" s="177"/>
      <c r="C221" s="177"/>
    </row>
    <row r="222" customFormat="false" ht="15" hidden="true" customHeight="true" outlineLevel="0" collapsed="false">
      <c r="A222" s="175"/>
      <c r="B222" s="175"/>
      <c r="C222" s="175"/>
    </row>
    <row r="223" customFormat="false" ht="15" hidden="true" customHeight="true" outlineLevel="0" collapsed="false">
      <c r="A223" s="177"/>
      <c r="B223" s="177"/>
      <c r="C223" s="177"/>
    </row>
    <row r="224" customFormat="false" ht="15" hidden="true" customHeight="true" outlineLevel="0" collapsed="false">
      <c r="A224" s="175"/>
      <c r="B224" s="175"/>
      <c r="C224" s="175"/>
    </row>
    <row r="225" customFormat="false" ht="15" hidden="true" customHeight="true" outlineLevel="0" collapsed="false">
      <c r="A225" s="177"/>
      <c r="B225" s="177"/>
      <c r="C225" s="177"/>
    </row>
    <row r="226" customFormat="false" ht="15" hidden="true" customHeight="true" outlineLevel="0" collapsed="false">
      <c r="A226" s="175"/>
      <c r="B226" s="175"/>
      <c r="C226" s="175"/>
    </row>
    <row r="227" customFormat="false" ht="15" hidden="true" customHeight="true" outlineLevel="0" collapsed="false">
      <c r="A227" s="177"/>
      <c r="B227" s="177"/>
      <c r="C227" s="177"/>
    </row>
    <row r="228" customFormat="false" ht="15" hidden="true" customHeight="true" outlineLevel="0" collapsed="false">
      <c r="A228" s="175"/>
      <c r="B228" s="175"/>
      <c r="C228" s="175"/>
    </row>
    <row r="229" customFormat="false" ht="15" hidden="true" customHeight="true" outlineLevel="0" collapsed="false">
      <c r="A229" s="177"/>
      <c r="B229" s="177"/>
      <c r="C229" s="177"/>
    </row>
    <row r="230" customFormat="false" ht="15" hidden="true" customHeight="true" outlineLevel="0" collapsed="false">
      <c r="A230" s="175"/>
      <c r="B230" s="175"/>
      <c r="C230" s="175"/>
    </row>
    <row r="231" customFormat="false" ht="15" hidden="true" customHeight="true" outlineLevel="0" collapsed="false">
      <c r="A231" s="177"/>
      <c r="B231" s="177"/>
      <c r="C231" s="177"/>
    </row>
    <row r="232" customFormat="false" ht="15" hidden="true" customHeight="true" outlineLevel="0" collapsed="false">
      <c r="A232" s="175"/>
      <c r="B232" s="175"/>
      <c r="C232" s="175"/>
    </row>
    <row r="233" customFormat="false" ht="15" hidden="true" customHeight="true" outlineLevel="0" collapsed="false"/>
    <row r="234" customFormat="false" ht="15" hidden="true" customHeight="true" outlineLevel="0" collapsed="false"/>
    <row r="235" customFormat="false" ht="15" hidden="true" customHeight="true" outlineLevel="0" collapsed="false"/>
    <row r="236" customFormat="false" ht="15" hidden="true" customHeight="true" outlineLevel="0" collapsed="false"/>
    <row r="237" customFormat="false" ht="15" hidden="true" customHeight="true" outlineLevel="0" collapsed="false"/>
    <row r="238" customFormat="false" ht="15" hidden="true" customHeight="true" outlineLevel="0" collapsed="false"/>
    <row r="239" customFormat="false" ht="15" hidden="true" customHeight="true" outlineLevel="0" collapsed="false"/>
    <row r="240" customFormat="false" ht="15" hidden="true" customHeight="true" outlineLevel="0" collapsed="false"/>
    <row r="241" customFormat="false" ht="15" hidden="true" customHeight="true" outlineLevel="0" collapsed="false"/>
    <row r="242" customFormat="false" ht="15" hidden="true" customHeight="true" outlineLevel="0" collapsed="false"/>
    <row r="243" customFormat="false" ht="15" hidden="true" customHeight="true" outlineLevel="0" collapsed="false"/>
    <row r="244" customFormat="false" ht="15" hidden="true" customHeight="true" outlineLevel="0" collapsed="false"/>
    <row r="245" customFormat="false" ht="15" hidden="true" customHeight="true" outlineLevel="0" collapsed="false"/>
    <row r="246" customFormat="false" ht="15" hidden="true" customHeight="true" outlineLevel="0" collapsed="false"/>
    <row r="247" customFormat="false" ht="15" hidden="true" customHeight="true" outlineLevel="0" collapsed="false"/>
    <row r="248" customFormat="false" ht="15" hidden="true" customHeight="true" outlineLevel="0" collapsed="false"/>
    <row r="249" customFormat="false" ht="15" hidden="true" customHeight="true" outlineLevel="0" collapsed="false"/>
    <row r="250" customFormat="false" ht="15" hidden="true" customHeight="true" outlineLevel="0" collapsed="false"/>
    <row r="251" customFormat="false" ht="15" hidden="true" customHeight="true" outlineLevel="0" collapsed="false"/>
    <row r="252" customFormat="false" ht="15" hidden="true" customHeight="true" outlineLevel="0" collapsed="false"/>
    <row r="253" customFormat="false" ht="15" hidden="true" customHeight="true" outlineLevel="0" collapsed="false"/>
    <row r="254" customFormat="false" ht="15" hidden="true" customHeight="true" outlineLevel="0" collapsed="false"/>
    <row r="255" customFormat="false" ht="15" hidden="true" customHeight="true" outlineLevel="0" collapsed="false"/>
    <row r="256" customFormat="false" ht="15" hidden="true" customHeight="true" outlineLevel="0" collapsed="false"/>
    <row r="257" customFormat="false" ht="15" hidden="true" customHeight="true" outlineLevel="0" collapsed="false"/>
    <row r="258" customFormat="false" ht="15" hidden="true" customHeight="true" outlineLevel="0" collapsed="false"/>
    <row r="259" customFormat="false" ht="15" hidden="true" customHeight="true" outlineLevel="0" collapsed="false"/>
    <row r="260" customFormat="false" ht="15" hidden="true" customHeight="true" outlineLevel="0" collapsed="false"/>
    <row r="261" customFormat="false" ht="15" hidden="true" customHeight="true" outlineLevel="0" collapsed="false"/>
    <row r="262" customFormat="false" ht="15" hidden="true" customHeight="true" outlineLevel="0" collapsed="false"/>
    <row r="263" customFormat="false" ht="15" hidden="true" customHeight="true" outlineLevel="0" collapsed="false"/>
    <row r="264" customFormat="false" ht="15" hidden="true" customHeight="true" outlineLevel="0" collapsed="false"/>
    <row r="265" customFormat="false" ht="15" hidden="true" customHeight="true" outlineLevel="0" collapsed="false"/>
    <row r="266" customFormat="false" ht="15" hidden="true" customHeight="true" outlineLevel="0" collapsed="false"/>
    <row r="267" customFormat="false" ht="15" hidden="true" customHeight="true" outlineLevel="0" collapsed="false"/>
    <row r="268" customFormat="false" ht="15" hidden="true" customHeight="true" outlineLevel="0" collapsed="false"/>
    <row r="269" customFormat="false" ht="15" hidden="true" customHeight="true" outlineLevel="0" collapsed="false"/>
    <row r="270" customFormat="false" ht="15" hidden="true" customHeight="true" outlineLevel="0" collapsed="false"/>
    <row r="271" customFormat="false" ht="15" hidden="true" customHeight="true" outlineLevel="0" collapsed="false"/>
    <row r="272" customFormat="false" ht="15" hidden="true" customHeight="true" outlineLevel="0" collapsed="false"/>
    <row r="273" customFormat="false" ht="15" hidden="true" customHeight="true" outlineLevel="0" collapsed="false"/>
    <row r="274" customFormat="false" ht="15" hidden="true" customHeight="true" outlineLevel="0" collapsed="false"/>
    <row r="275" customFormat="false" ht="15" hidden="true" customHeight="true" outlineLevel="0" collapsed="false"/>
    <row r="276" customFormat="false" ht="15" hidden="true" customHeight="true" outlineLevel="0" collapsed="false"/>
    <row r="277" customFormat="false" ht="15" hidden="true" customHeight="true" outlineLevel="0" collapsed="false"/>
    <row r="278" customFormat="false" ht="15" hidden="true" customHeight="true" outlineLevel="0" collapsed="false"/>
    <row r="279" customFormat="false" ht="15" hidden="true" customHeight="true" outlineLevel="0" collapsed="false"/>
    <row r="280" customFormat="false" ht="15" hidden="true" customHeight="true" outlineLevel="0" collapsed="false"/>
    <row r="281" customFormat="false" ht="15" hidden="true" customHeight="true" outlineLevel="0" collapsed="false"/>
    <row r="282" customFormat="false" ht="15" hidden="true" customHeight="true" outlineLevel="0" collapsed="false"/>
    <row r="283" customFormat="false" ht="15" hidden="true" customHeight="true" outlineLevel="0" collapsed="false"/>
    <row r="284" customFormat="false" ht="15" hidden="true" customHeight="true" outlineLevel="0" collapsed="false"/>
    <row r="285" customFormat="false" ht="15" hidden="true" customHeight="true" outlineLevel="0" collapsed="false"/>
    <row r="286" customFormat="false" ht="15" hidden="true" customHeight="true" outlineLevel="0" collapsed="false"/>
    <row r="287" customFormat="false" ht="15" hidden="true" customHeight="true" outlineLevel="0" collapsed="false"/>
    <row r="288" customFormat="false" ht="15" hidden="true" customHeight="true" outlineLevel="0" collapsed="false"/>
    <row r="289" customFormat="false" ht="15" hidden="true" customHeight="true" outlineLevel="0" collapsed="false"/>
    <row r="290" customFormat="false" ht="15" hidden="true" customHeight="true" outlineLevel="0" collapsed="false"/>
    <row r="291" customFormat="false" ht="15" hidden="true" customHeight="true" outlineLevel="0" collapsed="false"/>
    <row r="292" customFormat="false" ht="15" hidden="true" customHeight="true" outlineLevel="0" collapsed="false"/>
    <row r="293" customFormat="false" ht="15" hidden="true" customHeight="true" outlineLevel="0" collapsed="false"/>
    <row r="294" customFormat="false" ht="15" hidden="true" customHeight="true" outlineLevel="0" collapsed="false"/>
    <row r="295" customFormat="false" ht="15" hidden="true" customHeight="true" outlineLevel="0" collapsed="false"/>
    <row r="296" customFormat="false" ht="15" hidden="true" customHeight="true" outlineLevel="0" collapsed="false"/>
    <row r="297" customFormat="false" ht="15" hidden="true" customHeight="true" outlineLevel="0" collapsed="false"/>
    <row r="298" customFormat="false" ht="15" hidden="true" customHeight="true" outlineLevel="0" collapsed="false"/>
    <row r="299" customFormat="false" ht="15" hidden="true" customHeight="true" outlineLevel="0" collapsed="false"/>
    <row r="300" customFormat="false" ht="15" hidden="true" customHeight="true" outlineLevel="0" collapsed="false"/>
  </sheetData>
  <sheetProtection sheet="true" formatCells="false" formatColumns="false" formatRows="false" autoFilter="false"/>
  <autoFilter ref="A2:C300">
    <filterColumn colId="1">
      <filters>
        <filter val="CINTAS/ PEZ CINTA (CBC)"/>
      </filters>
    </filterColumn>
  </autoFilter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J5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28" activePane="bottomLeft" state="frozen"/>
      <selection pane="topLeft" activeCell="A1" activeCellId="0" sqref="A1"/>
      <selection pane="bottomLeft" activeCell="A503" activeCellId="0" sqref="A50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.14"/>
    <col collapsed="false" customWidth="true" hidden="false" outlineLevel="0" max="3" min="3" style="1" width="12"/>
    <col collapsed="false" customWidth="true" hidden="false" outlineLevel="0" max="4" min="4" style="1" width="62.42"/>
    <col collapsed="false" customWidth="true" hidden="false" outlineLevel="0" max="5" min="5" style="1" width="7"/>
    <col collapsed="false" customWidth="true" hidden="false" outlineLevel="0" max="6" min="6" style="1" width="20"/>
    <col collapsed="false" customWidth="true" hidden="false" outlineLevel="0" max="7" min="7" style="1" width="15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27.75" hidden="false" customHeight="true" outlineLevel="0" collapsed="false">
      <c r="A1" s="178" t="s">
        <v>1089</v>
      </c>
      <c r="B1" s="178"/>
      <c r="C1" s="178"/>
      <c r="D1" s="178"/>
      <c r="E1" s="178"/>
      <c r="F1" s="178"/>
      <c r="G1" s="178"/>
      <c r="H1" s="178"/>
      <c r="I1" s="178"/>
      <c r="J1" s="178"/>
    </row>
    <row r="2" customFormat="false" ht="30" hidden="false" customHeight="true" outlineLevel="0" collapsed="false">
      <c r="A2" s="179" t="s">
        <v>877</v>
      </c>
      <c r="B2" s="179" t="s">
        <v>1090</v>
      </c>
      <c r="C2" s="179" t="s">
        <v>1091</v>
      </c>
      <c r="D2" s="179" t="s">
        <v>1092</v>
      </c>
      <c r="E2" s="179" t="s">
        <v>1093</v>
      </c>
      <c r="F2" s="179" t="s">
        <v>1094</v>
      </c>
      <c r="G2" s="179" t="s">
        <v>1095</v>
      </c>
      <c r="H2" s="179" t="s">
        <v>1096</v>
      </c>
      <c r="I2" s="179" t="s">
        <v>1097</v>
      </c>
      <c r="J2" s="179" t="s">
        <v>1098</v>
      </c>
    </row>
    <row r="3" customFormat="false" ht="15" hidden="true" customHeight="true" outlineLevel="0" collapsed="false">
      <c r="A3" s="52" t="s">
        <v>1099</v>
      </c>
      <c r="B3" s="52" t="s">
        <v>1100</v>
      </c>
      <c r="C3" s="52"/>
      <c r="D3" s="52"/>
      <c r="E3" s="52"/>
      <c r="F3" s="52"/>
      <c r="G3" s="52"/>
      <c r="H3" s="52"/>
      <c r="I3" s="52" t="s">
        <v>1101</v>
      </c>
      <c r="J3" s="52"/>
    </row>
    <row r="4" customFormat="false" ht="15" hidden="false" customHeight="true" outlineLevel="0" collapsed="false">
      <c r="A4" s="46" t="s">
        <v>1102</v>
      </c>
      <c r="B4" s="46" t="s">
        <v>1103</v>
      </c>
      <c r="C4" s="46" t="s">
        <v>1104</v>
      </c>
      <c r="D4" s="46" t="s">
        <v>1105</v>
      </c>
      <c r="E4" s="46" t="n">
        <v>50014</v>
      </c>
      <c r="F4" s="46" t="s">
        <v>1106</v>
      </c>
      <c r="G4" s="46" t="s">
        <v>1106</v>
      </c>
      <c r="H4" s="46" t="n">
        <v>699859744</v>
      </c>
      <c r="I4" s="46" t="s">
        <v>1101</v>
      </c>
      <c r="J4" s="46" t="s">
        <v>1107</v>
      </c>
    </row>
    <row r="5" customFormat="false" ht="15" hidden="true" customHeight="true" outlineLevel="0" collapsed="false">
      <c r="A5" s="52" t="s">
        <v>1108</v>
      </c>
      <c r="B5" s="52" t="s">
        <v>1109</v>
      </c>
      <c r="C5" s="52"/>
      <c r="D5" s="52"/>
      <c r="E5" s="52"/>
      <c r="F5" s="52"/>
      <c r="G5" s="52"/>
      <c r="H5" s="52"/>
      <c r="I5" s="52" t="s">
        <v>1101</v>
      </c>
      <c r="J5" s="52"/>
    </row>
    <row r="6" customFormat="false" ht="15" hidden="true" customHeight="true" outlineLevel="0" collapsed="false">
      <c r="A6" s="46" t="s">
        <v>1110</v>
      </c>
      <c r="B6" s="46" t="s">
        <v>1111</v>
      </c>
      <c r="C6" s="46"/>
      <c r="D6" s="46"/>
      <c r="E6" s="46"/>
      <c r="F6" s="46"/>
      <c r="G6" s="46"/>
      <c r="H6" s="46"/>
      <c r="I6" s="46" t="s">
        <v>1101</v>
      </c>
      <c r="J6" s="46"/>
    </row>
    <row r="7" customFormat="false" ht="15" hidden="false" customHeight="true" outlineLevel="0" collapsed="false">
      <c r="A7" s="52" t="s">
        <v>1112</v>
      </c>
      <c r="B7" s="52" t="s">
        <v>1113</v>
      </c>
      <c r="C7" s="52" t="s">
        <v>1114</v>
      </c>
      <c r="D7" s="52" t="s">
        <v>1115</v>
      </c>
      <c r="E7" s="52" t="n">
        <v>50500</v>
      </c>
      <c r="F7" s="52" t="s">
        <v>1116</v>
      </c>
      <c r="G7" s="52" t="s">
        <v>1106</v>
      </c>
      <c r="H7" s="52" t="n">
        <v>656882052</v>
      </c>
      <c r="I7" s="52" t="s">
        <v>1101</v>
      </c>
      <c r="J7" s="52" t="s">
        <v>1107</v>
      </c>
    </row>
    <row r="8" customFormat="false" ht="15" hidden="true" customHeight="true" outlineLevel="0" collapsed="false">
      <c r="A8" s="46" t="s">
        <v>1117</v>
      </c>
      <c r="B8" s="46" t="s">
        <v>1118</v>
      </c>
      <c r="C8" s="46"/>
      <c r="D8" s="46"/>
      <c r="E8" s="46"/>
      <c r="F8" s="46"/>
      <c r="G8" s="46"/>
      <c r="H8" s="46"/>
      <c r="I8" s="46" t="s">
        <v>1101</v>
      </c>
      <c r="J8" s="46"/>
    </row>
    <row r="9" customFormat="false" ht="15" hidden="true" customHeight="true" outlineLevel="0" collapsed="false">
      <c r="A9" s="52" t="s">
        <v>1119</v>
      </c>
      <c r="B9" s="52" t="s">
        <v>1120</v>
      </c>
      <c r="C9" s="52"/>
      <c r="D9" s="52"/>
      <c r="E9" s="52"/>
      <c r="F9" s="52"/>
      <c r="G9" s="52"/>
      <c r="H9" s="52"/>
      <c r="I9" s="52" t="s">
        <v>1101</v>
      </c>
      <c r="J9" s="52"/>
    </row>
    <row r="10" customFormat="false" ht="15" hidden="true" customHeight="true" outlineLevel="0" collapsed="false">
      <c r="A10" s="46" t="s">
        <v>1121</v>
      </c>
      <c r="B10" s="46" t="s">
        <v>1122</v>
      </c>
      <c r="C10" s="46"/>
      <c r="D10" s="46"/>
      <c r="E10" s="46"/>
      <c r="F10" s="46"/>
      <c r="G10" s="46"/>
      <c r="H10" s="46"/>
      <c r="I10" s="46" t="s">
        <v>1101</v>
      </c>
      <c r="J10" s="46"/>
    </row>
    <row r="11" customFormat="false" ht="15" hidden="false" customHeight="true" outlineLevel="0" collapsed="false">
      <c r="A11" s="52" t="s">
        <v>1123</v>
      </c>
      <c r="B11" s="52" t="s">
        <v>1124</v>
      </c>
      <c r="C11" s="52" t="s">
        <v>1125</v>
      </c>
      <c r="D11" s="52" t="s">
        <v>1126</v>
      </c>
      <c r="E11" s="52" t="n">
        <v>9400</v>
      </c>
      <c r="F11" s="52" t="s">
        <v>1127</v>
      </c>
      <c r="G11" s="52" t="s">
        <v>1128</v>
      </c>
      <c r="H11" s="52" t="n">
        <v>661443114</v>
      </c>
      <c r="I11" s="52" t="s">
        <v>1101</v>
      </c>
      <c r="J11" s="52" t="s">
        <v>1129</v>
      </c>
    </row>
    <row r="12" customFormat="false" ht="15" hidden="false" customHeight="true" outlineLevel="0" collapsed="false">
      <c r="A12" s="46" t="s">
        <v>1130</v>
      </c>
      <c r="B12" s="46" t="s">
        <v>1131</v>
      </c>
      <c r="C12" s="46" t="s">
        <v>1132</v>
      </c>
      <c r="D12" s="46" t="s">
        <v>1133</v>
      </c>
      <c r="E12" s="46" t="n">
        <v>10600</v>
      </c>
      <c r="F12" s="46" t="s">
        <v>1134</v>
      </c>
      <c r="G12" s="46" t="s">
        <v>1135</v>
      </c>
      <c r="H12" s="46" t="n">
        <v>616405850</v>
      </c>
      <c r="I12" s="46" t="s">
        <v>1101</v>
      </c>
      <c r="J12" s="46" t="s">
        <v>1129</v>
      </c>
    </row>
    <row r="13" customFormat="false" ht="15" hidden="false" customHeight="true" outlineLevel="0" collapsed="false">
      <c r="A13" s="52" t="s">
        <v>1136</v>
      </c>
      <c r="B13" s="52" t="s">
        <v>1137</v>
      </c>
      <c r="C13" s="52" t="s">
        <v>1138</v>
      </c>
      <c r="D13" s="52" t="s">
        <v>1139</v>
      </c>
      <c r="E13" s="52" t="n">
        <v>31160</v>
      </c>
      <c r="F13" s="52" t="s">
        <v>1140</v>
      </c>
      <c r="G13" s="52" t="s">
        <v>1141</v>
      </c>
      <c r="H13" s="52" t="n">
        <v>651864052</v>
      </c>
      <c r="I13" s="52" t="s">
        <v>1101</v>
      </c>
      <c r="J13" s="52" t="s">
        <v>1107</v>
      </c>
    </row>
    <row r="14" customFormat="false" ht="15" hidden="true" customHeight="true" outlineLevel="0" collapsed="false">
      <c r="A14" s="46" t="s">
        <v>1142</v>
      </c>
      <c r="B14" s="46" t="s">
        <v>1143</v>
      </c>
      <c r="C14" s="46"/>
      <c r="D14" s="46"/>
      <c r="E14" s="46"/>
      <c r="F14" s="46"/>
      <c r="G14" s="46"/>
      <c r="H14" s="46"/>
      <c r="I14" s="46" t="s">
        <v>1101</v>
      </c>
      <c r="J14" s="46"/>
    </row>
    <row r="15" customFormat="false" ht="15" hidden="true" customHeight="true" outlineLevel="0" collapsed="false">
      <c r="A15" s="52" t="s">
        <v>1144</v>
      </c>
      <c r="B15" s="52" t="s">
        <v>1145</v>
      </c>
      <c r="C15" s="52"/>
      <c r="D15" s="52"/>
      <c r="E15" s="52"/>
      <c r="F15" s="52"/>
      <c r="G15" s="52"/>
      <c r="H15" s="52"/>
      <c r="I15" s="52" t="s">
        <v>1101</v>
      </c>
      <c r="J15" s="52"/>
    </row>
    <row r="16" customFormat="false" ht="15" hidden="true" customHeight="true" outlineLevel="0" collapsed="false">
      <c r="A16" s="46" t="s">
        <v>1146</v>
      </c>
      <c r="B16" s="46" t="s">
        <v>1147</v>
      </c>
      <c r="C16" s="46"/>
      <c r="D16" s="46"/>
      <c r="E16" s="46"/>
      <c r="F16" s="46"/>
      <c r="G16" s="46"/>
      <c r="H16" s="46"/>
      <c r="I16" s="46" t="s">
        <v>1101</v>
      </c>
      <c r="J16" s="46"/>
    </row>
    <row r="17" customFormat="false" ht="15" hidden="false" customHeight="true" outlineLevel="0" collapsed="false">
      <c r="A17" s="52" t="s">
        <v>1148</v>
      </c>
      <c r="B17" s="52" t="s">
        <v>1149</v>
      </c>
      <c r="C17" s="52" t="s">
        <v>1150</v>
      </c>
      <c r="D17" s="52" t="s">
        <v>1151</v>
      </c>
      <c r="E17" s="52" t="n">
        <v>26009</v>
      </c>
      <c r="F17" s="52" t="s">
        <v>1152</v>
      </c>
      <c r="G17" s="52" t="s">
        <v>1153</v>
      </c>
      <c r="H17" s="52" t="n">
        <v>616794258</v>
      </c>
      <c r="I17" s="52" t="s">
        <v>1101</v>
      </c>
      <c r="J17" s="52" t="s">
        <v>1107</v>
      </c>
    </row>
    <row r="18" customFormat="false" ht="15" hidden="false" customHeight="true" outlineLevel="0" collapsed="false">
      <c r="A18" s="46" t="s">
        <v>1154</v>
      </c>
      <c r="B18" s="46" t="s">
        <v>1155</v>
      </c>
      <c r="C18" s="52" t="s">
        <v>1156</v>
      </c>
      <c r="D18" s="46" t="s">
        <v>1157</v>
      </c>
      <c r="E18" s="46" t="n">
        <v>9007</v>
      </c>
      <c r="F18" s="46" t="s">
        <v>1128</v>
      </c>
      <c r="G18" s="46" t="s">
        <v>1128</v>
      </c>
      <c r="H18" s="46" t="n">
        <v>667588801</v>
      </c>
      <c r="I18" s="46" t="s">
        <v>1101</v>
      </c>
      <c r="J18" s="46" t="s">
        <v>1107</v>
      </c>
    </row>
    <row r="19" customFormat="false" ht="15" hidden="false" customHeight="true" outlineLevel="0" collapsed="false">
      <c r="A19" s="52" t="s">
        <v>1158</v>
      </c>
      <c r="B19" s="52" t="s">
        <v>1159</v>
      </c>
      <c r="C19" s="52" t="s">
        <v>1160</v>
      </c>
      <c r="D19" s="52" t="s">
        <v>1161</v>
      </c>
      <c r="E19" s="52" t="n">
        <v>9002</v>
      </c>
      <c r="F19" s="52" t="s">
        <v>1128</v>
      </c>
      <c r="G19" s="52" t="s">
        <v>1128</v>
      </c>
      <c r="H19" s="52" t="n">
        <v>616143902</v>
      </c>
      <c r="I19" s="52" t="s">
        <v>1101</v>
      </c>
      <c r="J19" s="52" t="s">
        <v>1107</v>
      </c>
    </row>
    <row r="20" customFormat="false" ht="15" hidden="false" customHeight="true" outlineLevel="0" collapsed="false">
      <c r="A20" s="46" t="s">
        <v>1162</v>
      </c>
      <c r="B20" s="46" t="s">
        <v>1163</v>
      </c>
      <c r="C20" s="46" t="s">
        <v>1164</v>
      </c>
      <c r="D20" s="46" t="s">
        <v>1165</v>
      </c>
      <c r="E20" s="46" t="n">
        <v>8040</v>
      </c>
      <c r="F20" s="46" t="s">
        <v>1166</v>
      </c>
      <c r="G20" s="46" t="s">
        <v>1166</v>
      </c>
      <c r="H20" s="46" t="s">
        <v>1167</v>
      </c>
      <c r="I20" s="46" t="s">
        <v>1101</v>
      </c>
      <c r="J20" s="46" t="s">
        <v>1168</v>
      </c>
    </row>
    <row r="21" customFormat="false" ht="15" hidden="false" customHeight="true" outlineLevel="0" collapsed="false">
      <c r="A21" s="52" t="s">
        <v>1169</v>
      </c>
      <c r="B21" s="52" t="s">
        <v>1170</v>
      </c>
      <c r="C21" s="52" t="s">
        <v>1171</v>
      </c>
      <c r="D21" s="52" t="s">
        <v>1172</v>
      </c>
      <c r="E21" s="52" t="n">
        <v>1015</v>
      </c>
      <c r="F21" s="52" t="s">
        <v>1173</v>
      </c>
      <c r="G21" s="52" t="s">
        <v>1174</v>
      </c>
      <c r="H21" s="52" t="n">
        <v>666285277</v>
      </c>
      <c r="I21" s="52" t="s">
        <v>1101</v>
      </c>
      <c r="J21" s="52" t="s">
        <v>1107</v>
      </c>
    </row>
    <row r="22" customFormat="false" ht="15" hidden="false" customHeight="true" outlineLevel="0" collapsed="false">
      <c r="A22" s="46" t="s">
        <v>1175</v>
      </c>
      <c r="B22" s="46" t="s">
        <v>1176</v>
      </c>
      <c r="C22" s="46" t="s">
        <v>1177</v>
      </c>
      <c r="D22" s="46" t="s">
        <v>1178</v>
      </c>
      <c r="E22" s="46" t="n">
        <v>48970</v>
      </c>
      <c r="F22" s="46" t="s">
        <v>1179</v>
      </c>
      <c r="G22" s="46" t="s">
        <v>1180</v>
      </c>
      <c r="H22" s="46" t="n">
        <v>626496183</v>
      </c>
      <c r="I22" s="46" t="s">
        <v>1101</v>
      </c>
      <c r="J22" s="46" t="s">
        <v>1107</v>
      </c>
    </row>
    <row r="23" customFormat="false" ht="15" hidden="false" customHeight="true" outlineLevel="0" collapsed="false">
      <c r="A23" s="52" t="s">
        <v>1181</v>
      </c>
      <c r="B23" s="52" t="s">
        <v>1182</v>
      </c>
      <c r="C23" s="52" t="s">
        <v>1183</v>
      </c>
      <c r="D23" s="52" t="s">
        <v>1184</v>
      </c>
      <c r="E23" s="52" t="n">
        <v>47004</v>
      </c>
      <c r="F23" s="52" t="s">
        <v>1185</v>
      </c>
      <c r="G23" s="52" t="s">
        <v>1185</v>
      </c>
      <c r="H23" s="52" t="n">
        <v>647859709</v>
      </c>
      <c r="I23" s="52" t="s">
        <v>1101</v>
      </c>
      <c r="J23" s="52" t="s">
        <v>1107</v>
      </c>
    </row>
    <row r="24" customFormat="false" ht="15" hidden="true" customHeight="true" outlineLevel="0" collapsed="false">
      <c r="A24" s="46" t="s">
        <v>1186</v>
      </c>
      <c r="B24" s="46" t="s">
        <v>1187</v>
      </c>
      <c r="C24" s="46"/>
      <c r="D24" s="46"/>
      <c r="E24" s="46"/>
      <c r="F24" s="46"/>
      <c r="G24" s="46"/>
      <c r="H24" s="46"/>
      <c r="I24" s="46" t="s">
        <v>1101</v>
      </c>
      <c r="J24" s="46"/>
    </row>
    <row r="25" customFormat="false" ht="15" hidden="false" customHeight="true" outlineLevel="0" collapsed="false">
      <c r="A25" s="52" t="s">
        <v>1188</v>
      </c>
      <c r="B25" s="52" t="s">
        <v>1189</v>
      </c>
      <c r="C25" s="52" t="s">
        <v>1190</v>
      </c>
      <c r="D25" s="52" t="s">
        <v>1191</v>
      </c>
      <c r="E25" s="52" t="n">
        <v>3700</v>
      </c>
      <c r="F25" s="52" t="s">
        <v>1192</v>
      </c>
      <c r="G25" s="52" t="s">
        <v>1193</v>
      </c>
      <c r="H25" s="52"/>
      <c r="I25" s="52" t="s">
        <v>1101</v>
      </c>
      <c r="J25" s="52" t="s">
        <v>1129</v>
      </c>
    </row>
    <row r="26" customFormat="false" ht="15" hidden="true" customHeight="true" outlineLevel="0" collapsed="false">
      <c r="A26" s="46" t="s">
        <v>1194</v>
      </c>
      <c r="B26" s="46" t="s">
        <v>1195</v>
      </c>
      <c r="C26" s="46"/>
      <c r="D26" s="46"/>
      <c r="E26" s="46"/>
      <c r="F26" s="46"/>
      <c r="G26" s="46"/>
      <c r="H26" s="46"/>
      <c r="I26" s="46" t="s">
        <v>1101</v>
      </c>
      <c r="J26" s="46"/>
    </row>
    <row r="27" customFormat="false" ht="15" hidden="false" customHeight="true" outlineLevel="0" collapsed="false">
      <c r="A27" s="52" t="s">
        <v>1196</v>
      </c>
      <c r="B27" s="52" t="s">
        <v>1197</v>
      </c>
      <c r="C27" s="52" t="s">
        <v>1198</v>
      </c>
      <c r="D27" s="52" t="s">
        <v>1199</v>
      </c>
      <c r="E27" s="52" t="n">
        <v>7817</v>
      </c>
      <c r="F27" s="52" t="s">
        <v>1200</v>
      </c>
      <c r="G27" s="52" t="s">
        <v>1201</v>
      </c>
      <c r="H27" s="52"/>
      <c r="I27" s="52" t="s">
        <v>1101</v>
      </c>
      <c r="J27" s="52" t="s">
        <v>1129</v>
      </c>
    </row>
    <row r="28" customFormat="false" ht="15" hidden="false" customHeight="true" outlineLevel="0" collapsed="false">
      <c r="A28" s="46" t="s">
        <v>1202</v>
      </c>
      <c r="B28" s="46" t="s">
        <v>1203</v>
      </c>
      <c r="C28" s="46" t="s">
        <v>1204</v>
      </c>
      <c r="D28" s="46" t="s">
        <v>1205</v>
      </c>
      <c r="E28" s="46" t="n">
        <v>33212</v>
      </c>
      <c r="F28" s="46" t="s">
        <v>1206</v>
      </c>
      <c r="G28" s="46" t="s">
        <v>1207</v>
      </c>
      <c r="H28" s="46" t="n">
        <v>609817464</v>
      </c>
      <c r="I28" s="46" t="s">
        <v>1101</v>
      </c>
      <c r="J28" s="46" t="s">
        <v>1129</v>
      </c>
    </row>
    <row r="29" customFormat="false" ht="15" hidden="false" customHeight="true" outlineLevel="0" collapsed="false">
      <c r="A29" s="52" t="s">
        <v>1208</v>
      </c>
      <c r="B29" s="52" t="s">
        <v>1209</v>
      </c>
      <c r="C29" s="52" t="s">
        <v>1210</v>
      </c>
      <c r="D29" s="52" t="s">
        <v>1211</v>
      </c>
      <c r="E29" s="52" t="n">
        <v>39011</v>
      </c>
      <c r="F29" s="52" t="s">
        <v>1212</v>
      </c>
      <c r="G29" s="52" t="s">
        <v>1213</v>
      </c>
      <c r="H29" s="52" t="n">
        <v>609440366</v>
      </c>
      <c r="I29" s="52" t="s">
        <v>1101</v>
      </c>
      <c r="J29" s="52" t="s">
        <v>1107</v>
      </c>
    </row>
    <row r="30" customFormat="false" ht="15" hidden="false" customHeight="true" outlineLevel="0" collapsed="false">
      <c r="A30" s="46" t="s">
        <v>1214</v>
      </c>
      <c r="B30" s="46" t="s">
        <v>1215</v>
      </c>
      <c r="C30" s="46" t="n">
        <v>56552044992</v>
      </c>
      <c r="D30" s="46" t="s">
        <v>1216</v>
      </c>
      <c r="E30" s="46" t="n">
        <v>64075</v>
      </c>
      <c r="F30" s="46" t="s">
        <v>1217</v>
      </c>
      <c r="G30" s="46" t="s">
        <v>1217</v>
      </c>
      <c r="H30" s="46" t="n">
        <v>33623696725</v>
      </c>
      <c r="I30" s="46" t="s">
        <v>1101</v>
      </c>
      <c r="J30" s="46" t="s">
        <v>1129</v>
      </c>
    </row>
    <row r="31" customFormat="false" ht="15" hidden="true" customHeight="true" outlineLevel="0" collapsed="false">
      <c r="A31" s="52" t="s">
        <v>1218</v>
      </c>
      <c r="B31" s="52" t="s">
        <v>1219</v>
      </c>
      <c r="C31" s="52"/>
      <c r="D31" s="52"/>
      <c r="E31" s="52"/>
      <c r="F31" s="52"/>
      <c r="G31" s="52"/>
      <c r="H31" s="52"/>
      <c r="I31" s="52" t="s">
        <v>1101</v>
      </c>
      <c r="J31" s="52"/>
    </row>
    <row r="32" customFormat="false" ht="15" hidden="false" customHeight="true" outlineLevel="0" collapsed="false">
      <c r="A32" s="46" t="s">
        <v>1220</v>
      </c>
      <c r="B32" s="46" t="s">
        <v>1221</v>
      </c>
      <c r="C32" s="46" t="s">
        <v>1222</v>
      </c>
      <c r="D32" s="46" t="s">
        <v>1223</v>
      </c>
      <c r="E32" s="46" t="n">
        <v>25300</v>
      </c>
      <c r="F32" s="46" t="s">
        <v>1224</v>
      </c>
      <c r="G32" s="46" t="s">
        <v>1225</v>
      </c>
      <c r="H32" s="46" t="n">
        <v>669414117</v>
      </c>
      <c r="I32" s="46" t="s">
        <v>1101</v>
      </c>
      <c r="J32" s="46" t="s">
        <v>1107</v>
      </c>
    </row>
    <row r="33" customFormat="false" ht="15" hidden="false" customHeight="true" outlineLevel="0" collapsed="false">
      <c r="A33" s="52" t="s">
        <v>1226</v>
      </c>
      <c r="B33" s="52" t="s">
        <v>1227</v>
      </c>
      <c r="C33" s="52" t="s">
        <v>1228</v>
      </c>
      <c r="D33" s="52" t="s">
        <v>1229</v>
      </c>
      <c r="E33" s="52" t="n">
        <v>39011</v>
      </c>
      <c r="F33" s="52" t="s">
        <v>1212</v>
      </c>
      <c r="G33" s="52" t="s">
        <v>1213</v>
      </c>
      <c r="H33" s="52" t="n">
        <v>609226859</v>
      </c>
      <c r="I33" s="52" t="s">
        <v>1101</v>
      </c>
      <c r="J33" s="52" t="s">
        <v>1107</v>
      </c>
    </row>
    <row r="34" customFormat="false" ht="15" hidden="false" customHeight="true" outlineLevel="0" collapsed="false">
      <c r="A34" s="46" t="s">
        <v>1230</v>
      </c>
      <c r="B34" s="46" t="s">
        <v>1231</v>
      </c>
      <c r="C34" s="46" t="s">
        <v>1232</v>
      </c>
      <c r="D34" s="46" t="s">
        <v>1233</v>
      </c>
      <c r="E34" s="46" t="n">
        <v>33010</v>
      </c>
      <c r="F34" s="46" t="s">
        <v>1234</v>
      </c>
      <c r="G34" s="46" t="s">
        <v>1207</v>
      </c>
      <c r="H34" s="46" t="n">
        <v>656873159</v>
      </c>
      <c r="I34" s="46" t="s">
        <v>1101</v>
      </c>
      <c r="J34" s="46" t="s">
        <v>1107</v>
      </c>
    </row>
    <row r="35" customFormat="false" ht="15" hidden="true" customHeight="true" outlineLevel="0" collapsed="false">
      <c r="A35" s="52" t="s">
        <v>1235</v>
      </c>
      <c r="B35" s="52" t="s">
        <v>1236</v>
      </c>
      <c r="C35" s="52"/>
      <c r="D35" s="52"/>
      <c r="E35" s="52"/>
      <c r="F35" s="52"/>
      <c r="G35" s="52"/>
      <c r="H35" s="52"/>
      <c r="I35" s="52" t="s">
        <v>1101</v>
      </c>
      <c r="J35" s="52"/>
    </row>
    <row r="36" customFormat="false" ht="15" hidden="true" customHeight="true" outlineLevel="0" collapsed="false">
      <c r="A36" s="46" t="s">
        <v>1237</v>
      </c>
      <c r="B36" s="46" t="s">
        <v>1238</v>
      </c>
      <c r="C36" s="46"/>
      <c r="D36" s="46"/>
      <c r="E36" s="46"/>
      <c r="F36" s="46"/>
      <c r="G36" s="46"/>
      <c r="H36" s="46"/>
      <c r="I36" s="46" t="s">
        <v>1101</v>
      </c>
      <c r="J36" s="46"/>
    </row>
    <row r="37" customFormat="false" ht="15" hidden="true" customHeight="true" outlineLevel="0" collapsed="false">
      <c r="A37" s="52" t="s">
        <v>1239</v>
      </c>
      <c r="B37" s="52" t="s">
        <v>1240</v>
      </c>
      <c r="C37" s="52" t="s">
        <v>1241</v>
      </c>
      <c r="D37" s="52" t="s">
        <v>1242</v>
      </c>
      <c r="E37" s="52" t="n">
        <v>36163</v>
      </c>
      <c r="F37" s="52" t="s">
        <v>1243</v>
      </c>
      <c r="G37" s="52" t="s">
        <v>1244</v>
      </c>
      <c r="H37" s="52" t="n">
        <v>678435360</v>
      </c>
      <c r="I37" s="52" t="s">
        <v>1101</v>
      </c>
      <c r="J37" s="52"/>
    </row>
    <row r="38" customFormat="false" ht="15" hidden="false" customHeight="true" outlineLevel="0" collapsed="false">
      <c r="A38" s="46" t="s">
        <v>1245</v>
      </c>
      <c r="B38" s="46" t="s">
        <v>1246</v>
      </c>
      <c r="C38" s="46" t="s">
        <v>1247</v>
      </c>
      <c r="D38" s="46" t="s">
        <v>1248</v>
      </c>
      <c r="E38" s="46" t="n">
        <v>25191</v>
      </c>
      <c r="F38" s="46" t="s">
        <v>1225</v>
      </c>
      <c r="G38" s="46" t="s">
        <v>1225</v>
      </c>
      <c r="H38" s="46" t="n">
        <v>630953097</v>
      </c>
      <c r="I38" s="46" t="s">
        <v>1101</v>
      </c>
      <c r="J38" s="46" t="s">
        <v>1107</v>
      </c>
    </row>
    <row r="39" customFormat="false" ht="15" hidden="true" customHeight="true" outlineLevel="0" collapsed="false">
      <c r="A39" s="52" t="s">
        <v>1249</v>
      </c>
      <c r="B39" s="52" t="s">
        <v>1250</v>
      </c>
      <c r="C39" s="52"/>
      <c r="D39" s="52"/>
      <c r="E39" s="52"/>
      <c r="F39" s="52"/>
      <c r="G39" s="52"/>
      <c r="H39" s="52"/>
      <c r="I39" s="52" t="s">
        <v>1101</v>
      </c>
      <c r="J39" s="52"/>
    </row>
    <row r="40" customFormat="false" ht="15" hidden="true" customHeight="true" outlineLevel="0" collapsed="false">
      <c r="A40" s="46" t="s">
        <v>1251</v>
      </c>
      <c r="B40" s="46" t="s">
        <v>1252</v>
      </c>
      <c r="C40" s="46"/>
      <c r="D40" s="46"/>
      <c r="E40" s="46"/>
      <c r="F40" s="46"/>
      <c r="G40" s="46"/>
      <c r="H40" s="46"/>
      <c r="I40" s="46" t="s">
        <v>1101</v>
      </c>
      <c r="J40" s="46"/>
    </row>
    <row r="41" customFormat="false" ht="15" hidden="true" customHeight="true" outlineLevel="0" collapsed="false">
      <c r="A41" s="52" t="s">
        <v>1253</v>
      </c>
      <c r="B41" s="52" t="s">
        <v>1254</v>
      </c>
      <c r="C41" s="52"/>
      <c r="D41" s="52"/>
      <c r="E41" s="52"/>
      <c r="F41" s="52"/>
      <c r="G41" s="52"/>
      <c r="H41" s="52"/>
      <c r="I41" s="52" t="s">
        <v>1101</v>
      </c>
      <c r="J41" s="52"/>
    </row>
    <row r="42" customFormat="false" ht="15" hidden="true" customHeight="true" outlineLevel="0" collapsed="false">
      <c r="A42" s="46" t="s">
        <v>1255</v>
      </c>
      <c r="B42" s="46" t="s">
        <v>1256</v>
      </c>
      <c r="C42" s="46"/>
      <c r="D42" s="46"/>
      <c r="E42" s="46"/>
      <c r="F42" s="46"/>
      <c r="G42" s="46"/>
      <c r="H42" s="46"/>
      <c r="I42" s="46" t="s">
        <v>1101</v>
      </c>
      <c r="J42" s="46"/>
    </row>
    <row r="43" customFormat="false" ht="15" hidden="false" customHeight="true" outlineLevel="0" collapsed="false">
      <c r="A43" s="52" t="s">
        <v>1257</v>
      </c>
      <c r="B43" s="52" t="s">
        <v>1258</v>
      </c>
      <c r="C43" s="52" t="s">
        <v>1259</v>
      </c>
      <c r="D43" s="52" t="s">
        <v>1260</v>
      </c>
      <c r="E43" s="52" t="n">
        <v>12500</v>
      </c>
      <c r="F43" s="52" t="s">
        <v>1261</v>
      </c>
      <c r="G43" s="52" t="s">
        <v>1106</v>
      </c>
      <c r="H43" s="52" t="n">
        <v>619197787</v>
      </c>
      <c r="I43" s="52" t="s">
        <v>1101</v>
      </c>
      <c r="J43" s="52" t="s">
        <v>1129</v>
      </c>
    </row>
    <row r="44" customFormat="false" ht="15" hidden="true" customHeight="true" outlineLevel="0" collapsed="false">
      <c r="A44" s="46" t="s">
        <v>1262</v>
      </c>
      <c r="B44" s="46" t="s">
        <v>1263</v>
      </c>
      <c r="C44" s="46"/>
      <c r="D44" s="46"/>
      <c r="E44" s="46"/>
      <c r="F44" s="46"/>
      <c r="G44" s="46"/>
      <c r="H44" s="46"/>
      <c r="I44" s="46" t="s">
        <v>1101</v>
      </c>
      <c r="J44" s="46"/>
    </row>
    <row r="45" customFormat="false" ht="15" hidden="false" customHeight="true" outlineLevel="0" collapsed="false">
      <c r="A45" s="52" t="s">
        <v>1264</v>
      </c>
      <c r="B45" s="52" t="s">
        <v>1265</v>
      </c>
      <c r="C45" s="52" t="s">
        <v>1266</v>
      </c>
      <c r="D45" s="52" t="s">
        <v>1267</v>
      </c>
      <c r="E45" s="52" t="n">
        <v>33420</v>
      </c>
      <c r="F45" s="52" t="s">
        <v>1268</v>
      </c>
      <c r="G45" s="52" t="s">
        <v>1207</v>
      </c>
      <c r="H45" s="52" t="n">
        <v>650397321</v>
      </c>
      <c r="I45" s="52" t="s">
        <v>1101</v>
      </c>
      <c r="J45" s="52" t="s">
        <v>1129</v>
      </c>
    </row>
    <row r="46" customFormat="false" ht="15" hidden="true" customHeight="true" outlineLevel="0" collapsed="false">
      <c r="A46" s="46" t="s">
        <v>1269</v>
      </c>
      <c r="B46" s="46" t="s">
        <v>1270</v>
      </c>
      <c r="C46" s="46"/>
      <c r="D46" s="46"/>
      <c r="E46" s="46"/>
      <c r="F46" s="46"/>
      <c r="G46" s="46"/>
      <c r="H46" s="46"/>
      <c r="I46" s="46" t="s">
        <v>1101</v>
      </c>
      <c r="J46" s="46"/>
    </row>
    <row r="47" customFormat="false" ht="15" hidden="true" customHeight="true" outlineLevel="0" collapsed="false">
      <c r="A47" s="52" t="s">
        <v>1271</v>
      </c>
      <c r="B47" s="52" t="s">
        <v>1272</v>
      </c>
      <c r="C47" s="52"/>
      <c r="D47" s="52"/>
      <c r="E47" s="52"/>
      <c r="F47" s="52"/>
      <c r="G47" s="52"/>
      <c r="H47" s="52"/>
      <c r="I47" s="52" t="s">
        <v>1101</v>
      </c>
      <c r="J47" s="52"/>
    </row>
    <row r="48" customFormat="false" ht="15" hidden="true" customHeight="true" outlineLevel="0" collapsed="false">
      <c r="A48" s="46" t="s">
        <v>1273</v>
      </c>
      <c r="B48" s="46" t="s">
        <v>1274</v>
      </c>
      <c r="C48" s="46"/>
      <c r="D48" s="46"/>
      <c r="E48" s="46"/>
      <c r="F48" s="46"/>
      <c r="G48" s="46"/>
      <c r="H48" s="46"/>
      <c r="I48" s="46" t="s">
        <v>1101</v>
      </c>
      <c r="J48" s="46"/>
    </row>
    <row r="49" customFormat="false" ht="15" hidden="true" customHeight="true" outlineLevel="0" collapsed="false">
      <c r="A49" s="52" t="s">
        <v>1275</v>
      </c>
      <c r="B49" s="52" t="s">
        <v>1276</v>
      </c>
      <c r="C49" s="52"/>
      <c r="D49" s="52"/>
      <c r="E49" s="52"/>
      <c r="F49" s="52"/>
      <c r="G49" s="52"/>
      <c r="H49" s="52"/>
      <c r="I49" s="52" t="s">
        <v>1101</v>
      </c>
      <c r="J49" s="52"/>
    </row>
    <row r="50" customFormat="false" ht="15" hidden="false" customHeight="true" outlineLevel="0" collapsed="false">
      <c r="A50" s="46" t="s">
        <v>1277</v>
      </c>
      <c r="B50" s="46" t="s">
        <v>1278</v>
      </c>
      <c r="C50" s="46" t="s">
        <v>1279</v>
      </c>
      <c r="D50" s="46" t="s">
        <v>1280</v>
      </c>
      <c r="E50" s="46" t="n">
        <v>7007</v>
      </c>
      <c r="F50" s="46" t="s">
        <v>1281</v>
      </c>
      <c r="G50" s="46" t="s">
        <v>1282</v>
      </c>
      <c r="H50" s="46" t="n">
        <v>695920276</v>
      </c>
      <c r="I50" s="46" t="s">
        <v>1101</v>
      </c>
      <c r="J50" s="46" t="s">
        <v>1129</v>
      </c>
    </row>
    <row r="51" customFormat="false" ht="15" hidden="false" customHeight="true" outlineLevel="0" collapsed="false">
      <c r="A51" s="52" t="s">
        <v>1283</v>
      </c>
      <c r="B51" s="52" t="s">
        <v>1284</v>
      </c>
      <c r="C51" s="52"/>
      <c r="D51" s="52"/>
      <c r="E51" s="52"/>
      <c r="F51" s="52"/>
      <c r="G51" s="52"/>
      <c r="H51" s="52"/>
      <c r="I51" s="52" t="s">
        <v>1101</v>
      </c>
      <c r="J51" s="52" t="s">
        <v>1107</v>
      </c>
    </row>
    <row r="52" customFormat="false" ht="15" hidden="false" customHeight="true" outlineLevel="0" collapsed="false">
      <c r="A52" s="46" t="s">
        <v>1285</v>
      </c>
      <c r="B52" s="46" t="s">
        <v>1286</v>
      </c>
      <c r="C52" s="46"/>
      <c r="D52" s="46"/>
      <c r="E52" s="46"/>
      <c r="F52" s="46"/>
      <c r="G52" s="46"/>
      <c r="H52" s="46"/>
      <c r="I52" s="46" t="s">
        <v>1101</v>
      </c>
      <c r="J52" s="46" t="s">
        <v>1107</v>
      </c>
    </row>
    <row r="53" customFormat="false" ht="15" hidden="false" customHeight="true" outlineLevel="0" collapsed="false">
      <c r="A53" s="52" t="s">
        <v>1287</v>
      </c>
      <c r="B53" s="52" t="s">
        <v>1288</v>
      </c>
      <c r="C53" s="52"/>
      <c r="D53" s="52"/>
      <c r="E53" s="52"/>
      <c r="F53" s="52"/>
      <c r="G53" s="52"/>
      <c r="H53" s="52"/>
      <c r="I53" s="52" t="s">
        <v>1101</v>
      </c>
      <c r="J53" s="52" t="s">
        <v>1107</v>
      </c>
    </row>
    <row r="54" customFormat="false" ht="15" hidden="false" customHeight="true" outlineLevel="0" collapsed="false">
      <c r="A54" s="46" t="s">
        <v>1289</v>
      </c>
      <c r="B54" s="46" t="s">
        <v>1290</v>
      </c>
      <c r="C54" s="46"/>
      <c r="D54" s="46"/>
      <c r="E54" s="46"/>
      <c r="F54" s="46"/>
      <c r="G54" s="46"/>
      <c r="H54" s="46"/>
      <c r="I54" s="46" t="s">
        <v>1101</v>
      </c>
      <c r="J54" s="46" t="s">
        <v>1107</v>
      </c>
    </row>
    <row r="55" customFormat="false" ht="15" hidden="false" customHeight="true" outlineLevel="0" collapsed="false">
      <c r="A55" s="52" t="s">
        <v>1291</v>
      </c>
      <c r="B55" s="52" t="s">
        <v>1292</v>
      </c>
      <c r="C55" s="52"/>
      <c r="D55" s="52"/>
      <c r="E55" s="52"/>
      <c r="F55" s="52"/>
      <c r="G55" s="52"/>
      <c r="H55" s="52"/>
      <c r="I55" s="52" t="s">
        <v>1101</v>
      </c>
      <c r="J55" s="52" t="s">
        <v>1107</v>
      </c>
    </row>
    <row r="56" customFormat="false" ht="15" hidden="false" customHeight="true" outlineLevel="0" collapsed="false">
      <c r="A56" s="46" t="s">
        <v>1293</v>
      </c>
      <c r="B56" s="46" t="s">
        <v>1294</v>
      </c>
      <c r="C56" s="46"/>
      <c r="D56" s="46"/>
      <c r="E56" s="46"/>
      <c r="F56" s="46"/>
      <c r="G56" s="46"/>
      <c r="H56" s="46"/>
      <c r="I56" s="46" t="s">
        <v>1101</v>
      </c>
      <c r="J56" s="46" t="s">
        <v>1107</v>
      </c>
    </row>
    <row r="57" customFormat="false" ht="15" hidden="false" customHeight="true" outlineLevel="0" collapsed="false">
      <c r="A57" s="52" t="s">
        <v>1295</v>
      </c>
      <c r="B57" s="52" t="s">
        <v>1296</v>
      </c>
      <c r="C57" s="52"/>
      <c r="D57" s="52"/>
      <c r="E57" s="52"/>
      <c r="F57" s="52"/>
      <c r="G57" s="52"/>
      <c r="H57" s="52"/>
      <c r="I57" s="52" t="s">
        <v>1101</v>
      </c>
      <c r="J57" s="52" t="s">
        <v>1107</v>
      </c>
    </row>
    <row r="58" customFormat="false" ht="15" hidden="false" customHeight="true" outlineLevel="0" collapsed="false">
      <c r="A58" s="46" t="s">
        <v>1297</v>
      </c>
      <c r="B58" s="46" t="s">
        <v>1298</v>
      </c>
      <c r="C58" s="46"/>
      <c r="D58" s="46"/>
      <c r="E58" s="46"/>
      <c r="F58" s="46"/>
      <c r="G58" s="46"/>
      <c r="H58" s="46"/>
      <c r="I58" s="46" t="s">
        <v>1101</v>
      </c>
      <c r="J58" s="46" t="s">
        <v>1107</v>
      </c>
    </row>
    <row r="59" customFormat="false" ht="15" hidden="false" customHeight="true" outlineLevel="0" collapsed="false">
      <c r="A59" s="52" t="s">
        <v>1299</v>
      </c>
      <c r="B59" s="52" t="s">
        <v>1300</v>
      </c>
      <c r="C59" s="52"/>
      <c r="D59" s="52"/>
      <c r="E59" s="52"/>
      <c r="F59" s="52"/>
      <c r="G59" s="52"/>
      <c r="H59" s="52"/>
      <c r="I59" s="52" t="s">
        <v>1101</v>
      </c>
      <c r="J59" s="52" t="s">
        <v>1107</v>
      </c>
    </row>
    <row r="60" customFormat="false" ht="15" hidden="false" customHeight="true" outlineLevel="0" collapsed="false">
      <c r="A60" s="46" t="s">
        <v>1301</v>
      </c>
      <c r="B60" s="46" t="s">
        <v>1302</v>
      </c>
      <c r="C60" s="46"/>
      <c r="D60" s="46"/>
      <c r="E60" s="46"/>
      <c r="F60" s="46"/>
      <c r="G60" s="46"/>
      <c r="H60" s="46"/>
      <c r="I60" s="46" t="s">
        <v>1101</v>
      </c>
      <c r="J60" s="46" t="s">
        <v>1107</v>
      </c>
    </row>
    <row r="61" customFormat="false" ht="15" hidden="false" customHeight="true" outlineLevel="0" collapsed="false">
      <c r="A61" s="52" t="s">
        <v>1303</v>
      </c>
      <c r="B61" s="52" t="s">
        <v>1304</v>
      </c>
      <c r="C61" s="52"/>
      <c r="D61" s="52"/>
      <c r="E61" s="52"/>
      <c r="F61" s="52"/>
      <c r="G61" s="52"/>
      <c r="H61" s="52"/>
      <c r="I61" s="52" t="s">
        <v>1101</v>
      </c>
      <c r="J61" s="52" t="s">
        <v>1107</v>
      </c>
    </row>
    <row r="62" customFormat="false" ht="15" hidden="false" customHeight="true" outlineLevel="0" collapsed="false">
      <c r="A62" s="46" t="s">
        <v>1305</v>
      </c>
      <c r="B62" s="46" t="s">
        <v>1306</v>
      </c>
      <c r="C62" s="46"/>
      <c r="D62" s="46"/>
      <c r="E62" s="46"/>
      <c r="F62" s="46"/>
      <c r="G62" s="46"/>
      <c r="H62" s="46"/>
      <c r="I62" s="46" t="s">
        <v>1101</v>
      </c>
      <c r="J62" s="46" t="s">
        <v>1107</v>
      </c>
    </row>
    <row r="63" customFormat="false" ht="15" hidden="false" customHeight="true" outlineLevel="0" collapsed="false">
      <c r="A63" s="52" t="s">
        <v>1307</v>
      </c>
      <c r="B63" s="52" t="s">
        <v>1308</v>
      </c>
      <c r="C63" s="52"/>
      <c r="D63" s="52"/>
      <c r="E63" s="52"/>
      <c r="F63" s="52"/>
      <c r="G63" s="52"/>
      <c r="H63" s="52"/>
      <c r="I63" s="52" t="s">
        <v>1101</v>
      </c>
      <c r="J63" s="52" t="s">
        <v>1107</v>
      </c>
    </row>
    <row r="64" customFormat="false" ht="15" hidden="false" customHeight="true" outlineLevel="0" collapsed="false">
      <c r="A64" s="46" t="s">
        <v>1309</v>
      </c>
      <c r="B64" s="46" t="s">
        <v>1310</v>
      </c>
      <c r="C64" s="46"/>
      <c r="D64" s="46"/>
      <c r="E64" s="46"/>
      <c r="F64" s="46"/>
      <c r="G64" s="46"/>
      <c r="H64" s="46"/>
      <c r="I64" s="46" t="s">
        <v>1101</v>
      </c>
      <c r="J64" s="46" t="s">
        <v>1107</v>
      </c>
    </row>
    <row r="65" customFormat="false" ht="15" hidden="false" customHeight="true" outlineLevel="0" collapsed="false">
      <c r="A65" s="52" t="s">
        <v>1311</v>
      </c>
      <c r="B65" s="52" t="s">
        <v>1312</v>
      </c>
      <c r="C65" s="52"/>
      <c r="D65" s="52"/>
      <c r="E65" s="52"/>
      <c r="F65" s="52"/>
      <c r="G65" s="52"/>
      <c r="H65" s="52"/>
      <c r="I65" s="52" t="s">
        <v>1101</v>
      </c>
      <c r="J65" s="52" t="s">
        <v>1107</v>
      </c>
    </row>
    <row r="66" customFormat="false" ht="15" hidden="false" customHeight="true" outlineLevel="0" collapsed="false">
      <c r="A66" s="46" t="s">
        <v>1313</v>
      </c>
      <c r="B66" s="46" t="s">
        <v>1314</v>
      </c>
      <c r="C66" s="46"/>
      <c r="D66" s="46"/>
      <c r="E66" s="46"/>
      <c r="F66" s="46"/>
      <c r="G66" s="46"/>
      <c r="H66" s="46"/>
      <c r="I66" s="46" t="s">
        <v>1101</v>
      </c>
      <c r="J66" s="46" t="s">
        <v>1107</v>
      </c>
    </row>
    <row r="67" customFormat="false" ht="15" hidden="false" customHeight="true" outlineLevel="0" collapsed="false">
      <c r="A67" s="52" t="s">
        <v>1315</v>
      </c>
      <c r="B67" s="52" t="s">
        <v>1316</v>
      </c>
      <c r="C67" s="52"/>
      <c r="D67" s="52"/>
      <c r="E67" s="52"/>
      <c r="F67" s="52"/>
      <c r="G67" s="52"/>
      <c r="H67" s="52"/>
      <c r="I67" s="52" t="s">
        <v>1101</v>
      </c>
      <c r="J67" s="52" t="s">
        <v>1107</v>
      </c>
    </row>
    <row r="68" customFormat="false" ht="15" hidden="false" customHeight="true" outlineLevel="0" collapsed="false">
      <c r="A68" s="46" t="s">
        <v>1317</v>
      </c>
      <c r="B68" s="46" t="s">
        <v>1318</v>
      </c>
      <c r="C68" s="46"/>
      <c r="D68" s="46"/>
      <c r="E68" s="46"/>
      <c r="F68" s="46"/>
      <c r="G68" s="46"/>
      <c r="H68" s="46"/>
      <c r="I68" s="46" t="s">
        <v>1101</v>
      </c>
      <c r="J68" s="46" t="s">
        <v>1107</v>
      </c>
    </row>
    <row r="69" customFormat="false" ht="15" hidden="false" customHeight="true" outlineLevel="0" collapsed="false">
      <c r="A69" s="52" t="s">
        <v>1319</v>
      </c>
      <c r="B69" s="52" t="s">
        <v>1320</v>
      </c>
      <c r="C69" s="52"/>
      <c r="D69" s="52"/>
      <c r="E69" s="52"/>
      <c r="F69" s="52"/>
      <c r="G69" s="52"/>
      <c r="H69" s="52"/>
      <c r="I69" s="52" t="s">
        <v>1101</v>
      </c>
      <c r="J69" s="52" t="s">
        <v>1107</v>
      </c>
    </row>
    <row r="70" customFormat="false" ht="15" hidden="false" customHeight="true" outlineLevel="0" collapsed="false">
      <c r="A70" s="46" t="s">
        <v>1321</v>
      </c>
      <c r="B70" s="46" t="s">
        <v>1322</v>
      </c>
      <c r="C70" s="46"/>
      <c r="D70" s="46"/>
      <c r="E70" s="46"/>
      <c r="F70" s="46"/>
      <c r="G70" s="46"/>
      <c r="H70" s="46"/>
      <c r="I70" s="46" t="s">
        <v>1101</v>
      </c>
      <c r="J70" s="46" t="s">
        <v>1107</v>
      </c>
    </row>
    <row r="71" customFormat="false" ht="15" hidden="false" customHeight="true" outlineLevel="0" collapsed="false">
      <c r="A71" s="52" t="s">
        <v>1323</v>
      </c>
      <c r="B71" s="52" t="s">
        <v>1324</v>
      </c>
      <c r="C71" s="52" t="s">
        <v>1325</v>
      </c>
      <c r="D71" s="52" t="s">
        <v>1326</v>
      </c>
      <c r="E71" s="52"/>
      <c r="F71" s="52"/>
      <c r="G71" s="52"/>
      <c r="H71" s="52" t="s">
        <v>1327</v>
      </c>
      <c r="I71" s="52" t="s">
        <v>1101</v>
      </c>
      <c r="J71" s="52" t="s">
        <v>1107</v>
      </c>
    </row>
    <row r="72" customFormat="false" ht="15" hidden="false" customHeight="true" outlineLevel="0" collapsed="false">
      <c r="A72" s="46" t="s">
        <v>1328</v>
      </c>
      <c r="B72" s="46" t="s">
        <v>1329</v>
      </c>
      <c r="C72" s="46" t="s">
        <v>1330</v>
      </c>
      <c r="D72" s="46" t="s">
        <v>1331</v>
      </c>
      <c r="E72" s="46"/>
      <c r="F72" s="46"/>
      <c r="G72" s="46"/>
      <c r="H72" s="46" t="s">
        <v>1332</v>
      </c>
      <c r="I72" s="46" t="s">
        <v>1101</v>
      </c>
      <c r="J72" s="46" t="s">
        <v>1107</v>
      </c>
    </row>
    <row r="73" customFormat="false" ht="15" hidden="false" customHeight="true" outlineLevel="0" collapsed="false">
      <c r="A73" s="52" t="s">
        <v>1333</v>
      </c>
      <c r="B73" s="52" t="s">
        <v>1334</v>
      </c>
      <c r="C73" s="52" t="s">
        <v>1335</v>
      </c>
      <c r="D73" s="52" t="s">
        <v>1336</v>
      </c>
      <c r="E73" s="52"/>
      <c r="F73" s="52"/>
      <c r="G73" s="52"/>
      <c r="H73" s="52" t="s">
        <v>1337</v>
      </c>
      <c r="I73" s="52" t="s">
        <v>1101</v>
      </c>
      <c r="J73" s="52" t="s">
        <v>1107</v>
      </c>
    </row>
    <row r="74" customFormat="false" ht="15" hidden="false" customHeight="true" outlineLevel="0" collapsed="false">
      <c r="A74" s="46" t="s">
        <v>1338</v>
      </c>
      <c r="B74" s="46" t="s">
        <v>1339</v>
      </c>
      <c r="C74" s="46" t="s">
        <v>1340</v>
      </c>
      <c r="D74" s="46" t="s">
        <v>1341</v>
      </c>
      <c r="E74" s="46"/>
      <c r="F74" s="46"/>
      <c r="G74" s="46"/>
      <c r="H74" s="46" t="s">
        <v>1342</v>
      </c>
      <c r="I74" s="46" t="s">
        <v>1101</v>
      </c>
      <c r="J74" s="46" t="s">
        <v>1107</v>
      </c>
    </row>
    <row r="75" customFormat="false" ht="15" hidden="false" customHeight="true" outlineLevel="0" collapsed="false">
      <c r="A75" s="52" t="s">
        <v>1343</v>
      </c>
      <c r="B75" s="52" t="s">
        <v>1344</v>
      </c>
      <c r="C75" s="52" t="s">
        <v>1345</v>
      </c>
      <c r="D75" s="52" t="s">
        <v>1346</v>
      </c>
      <c r="E75" s="52"/>
      <c r="F75" s="52"/>
      <c r="G75" s="52"/>
      <c r="H75" s="52" t="s">
        <v>1347</v>
      </c>
      <c r="I75" s="52" t="s">
        <v>1101</v>
      </c>
      <c r="J75" s="52" t="s">
        <v>1107</v>
      </c>
    </row>
    <row r="76" customFormat="false" ht="15" hidden="false" customHeight="true" outlineLevel="0" collapsed="false">
      <c r="A76" s="46" t="s">
        <v>1348</v>
      </c>
      <c r="B76" s="46" t="s">
        <v>1349</v>
      </c>
      <c r="C76" s="46" t="s">
        <v>1350</v>
      </c>
      <c r="D76" s="46" t="s">
        <v>1351</v>
      </c>
      <c r="E76" s="46"/>
      <c r="F76" s="46"/>
      <c r="G76" s="46"/>
      <c r="H76" s="46" t="s">
        <v>1352</v>
      </c>
      <c r="I76" s="46" t="s">
        <v>1101</v>
      </c>
      <c r="J76" s="46" t="s">
        <v>1129</v>
      </c>
    </row>
    <row r="77" customFormat="false" ht="15" hidden="false" customHeight="true" outlineLevel="0" collapsed="false">
      <c r="A77" s="52" t="s">
        <v>1353</v>
      </c>
      <c r="B77" s="52" t="s">
        <v>1354</v>
      </c>
      <c r="C77" s="52" t="s">
        <v>1355</v>
      </c>
      <c r="D77" s="52" t="s">
        <v>1356</v>
      </c>
      <c r="E77" s="52"/>
      <c r="F77" s="52"/>
      <c r="G77" s="52"/>
      <c r="H77" s="52" t="s">
        <v>1357</v>
      </c>
      <c r="I77" s="52" t="s">
        <v>1101</v>
      </c>
      <c r="J77" s="52" t="s">
        <v>1107</v>
      </c>
    </row>
    <row r="78" customFormat="false" ht="15" hidden="false" customHeight="true" outlineLevel="0" collapsed="false">
      <c r="A78" s="46" t="s">
        <v>1358</v>
      </c>
      <c r="B78" s="46" t="s">
        <v>1359</v>
      </c>
      <c r="C78" s="46" t="s">
        <v>1360</v>
      </c>
      <c r="D78" s="46" t="s">
        <v>1361</v>
      </c>
      <c r="E78" s="46"/>
      <c r="F78" s="46"/>
      <c r="G78" s="46"/>
      <c r="H78" s="46" t="s">
        <v>1362</v>
      </c>
      <c r="I78" s="46" t="s">
        <v>1101</v>
      </c>
      <c r="J78" s="46" t="s">
        <v>1107</v>
      </c>
    </row>
    <row r="79" customFormat="false" ht="15" hidden="false" customHeight="true" outlineLevel="0" collapsed="false">
      <c r="A79" s="52" t="s">
        <v>1363</v>
      </c>
      <c r="B79" s="52" t="s">
        <v>1364</v>
      </c>
      <c r="C79" s="52" t="s">
        <v>1365</v>
      </c>
      <c r="D79" s="52" t="s">
        <v>1366</v>
      </c>
      <c r="E79" s="52"/>
      <c r="F79" s="52"/>
      <c r="G79" s="52"/>
      <c r="H79" s="52" t="s">
        <v>1367</v>
      </c>
      <c r="I79" s="52" t="s">
        <v>1101</v>
      </c>
      <c r="J79" s="52" t="s">
        <v>1107</v>
      </c>
    </row>
    <row r="80" customFormat="false" ht="15" hidden="false" customHeight="true" outlineLevel="0" collapsed="false">
      <c r="A80" s="46" t="s">
        <v>1368</v>
      </c>
      <c r="B80" s="46" t="s">
        <v>1369</v>
      </c>
      <c r="C80" s="46" t="s">
        <v>1370</v>
      </c>
      <c r="D80" s="46" t="s">
        <v>1371</v>
      </c>
      <c r="E80" s="46"/>
      <c r="F80" s="46"/>
      <c r="G80" s="46"/>
      <c r="H80" s="46" t="s">
        <v>1372</v>
      </c>
      <c r="I80" s="46" t="s">
        <v>1101</v>
      </c>
      <c r="J80" s="46" t="s">
        <v>1107</v>
      </c>
    </row>
    <row r="81" customFormat="false" ht="15" hidden="false" customHeight="true" outlineLevel="0" collapsed="false">
      <c r="A81" s="52" t="s">
        <v>1373</v>
      </c>
      <c r="B81" s="52" t="s">
        <v>1374</v>
      </c>
      <c r="C81" s="52" t="s">
        <v>1365</v>
      </c>
      <c r="D81" s="52" t="s">
        <v>1375</v>
      </c>
      <c r="E81" s="52"/>
      <c r="F81" s="52"/>
      <c r="G81" s="52"/>
      <c r="H81" s="52" t="s">
        <v>1376</v>
      </c>
      <c r="I81" s="52" t="s">
        <v>1101</v>
      </c>
      <c r="J81" s="52" t="s">
        <v>1107</v>
      </c>
    </row>
    <row r="82" customFormat="false" ht="15" hidden="false" customHeight="true" outlineLevel="0" collapsed="false">
      <c r="A82" s="46" t="s">
        <v>1377</v>
      </c>
      <c r="B82" s="46" t="s">
        <v>1378</v>
      </c>
      <c r="C82" s="46" t="s">
        <v>1379</v>
      </c>
      <c r="D82" s="46" t="s">
        <v>1380</v>
      </c>
      <c r="E82" s="46"/>
      <c r="F82" s="46"/>
      <c r="G82" s="46"/>
      <c r="H82" s="46" t="s">
        <v>1381</v>
      </c>
      <c r="I82" s="46" t="s">
        <v>1101</v>
      </c>
      <c r="J82" s="46" t="s">
        <v>1107</v>
      </c>
    </row>
    <row r="83" customFormat="false" ht="15" hidden="false" customHeight="true" outlineLevel="0" collapsed="false">
      <c r="A83" s="52" t="s">
        <v>1382</v>
      </c>
      <c r="B83" s="52" t="s">
        <v>1383</v>
      </c>
      <c r="C83" s="52" t="s">
        <v>1384</v>
      </c>
      <c r="D83" s="52" t="s">
        <v>1385</v>
      </c>
      <c r="E83" s="52"/>
      <c r="F83" s="52"/>
      <c r="G83" s="52"/>
      <c r="H83" s="52" t="s">
        <v>1386</v>
      </c>
      <c r="I83" s="52" t="s">
        <v>1101</v>
      </c>
      <c r="J83" s="52" t="s">
        <v>1107</v>
      </c>
    </row>
    <row r="84" customFormat="false" ht="15" hidden="false" customHeight="true" outlineLevel="0" collapsed="false">
      <c r="A84" s="46" t="s">
        <v>1387</v>
      </c>
      <c r="B84" s="46" t="s">
        <v>1388</v>
      </c>
      <c r="C84" s="46" t="s">
        <v>1389</v>
      </c>
      <c r="D84" s="46" t="s">
        <v>1390</v>
      </c>
      <c r="E84" s="46"/>
      <c r="F84" s="46"/>
      <c r="G84" s="46"/>
      <c r="H84" s="46" t="s">
        <v>1391</v>
      </c>
      <c r="I84" s="46" t="s">
        <v>1101</v>
      </c>
      <c r="J84" s="46" t="s">
        <v>1107</v>
      </c>
    </row>
    <row r="85" customFormat="false" ht="15" hidden="false" customHeight="true" outlineLevel="0" collapsed="false">
      <c r="A85" s="52" t="s">
        <v>1392</v>
      </c>
      <c r="B85" s="52" t="s">
        <v>1393</v>
      </c>
      <c r="C85" s="52" t="s">
        <v>1394</v>
      </c>
      <c r="D85" s="52" t="s">
        <v>1395</v>
      </c>
      <c r="E85" s="52"/>
      <c r="F85" s="52"/>
      <c r="G85" s="52"/>
      <c r="H85" s="52" t="s">
        <v>1396</v>
      </c>
      <c r="I85" s="52" t="s">
        <v>1101</v>
      </c>
      <c r="J85" s="52" t="s">
        <v>1107</v>
      </c>
    </row>
    <row r="86" customFormat="false" ht="15" hidden="false" customHeight="true" outlineLevel="0" collapsed="false">
      <c r="A86" s="46" t="s">
        <v>1397</v>
      </c>
      <c r="B86" s="46" t="s">
        <v>1398</v>
      </c>
      <c r="C86" s="46" t="s">
        <v>1399</v>
      </c>
      <c r="D86" s="46" t="s">
        <v>1400</v>
      </c>
      <c r="E86" s="46"/>
      <c r="F86" s="46"/>
      <c r="G86" s="46"/>
      <c r="H86" s="46" t="s">
        <v>1401</v>
      </c>
      <c r="I86" s="46" t="s">
        <v>1101</v>
      </c>
      <c r="J86" s="46" t="s">
        <v>1107</v>
      </c>
    </row>
    <row r="87" customFormat="false" ht="15" hidden="false" customHeight="true" outlineLevel="0" collapsed="false">
      <c r="A87" s="52" t="s">
        <v>1402</v>
      </c>
      <c r="B87" s="52" t="s">
        <v>1403</v>
      </c>
      <c r="C87" s="52" t="s">
        <v>1404</v>
      </c>
      <c r="D87" s="52" t="s">
        <v>1405</v>
      </c>
      <c r="E87" s="52"/>
      <c r="F87" s="52"/>
      <c r="G87" s="52"/>
      <c r="H87" s="52" t="s">
        <v>1406</v>
      </c>
      <c r="I87" s="52" t="s">
        <v>1101</v>
      </c>
      <c r="J87" s="52" t="s">
        <v>1107</v>
      </c>
    </row>
    <row r="88" customFormat="false" ht="15" hidden="false" customHeight="true" outlineLevel="0" collapsed="false">
      <c r="A88" s="46" t="s">
        <v>1407</v>
      </c>
      <c r="B88" s="46" t="s">
        <v>1408</v>
      </c>
      <c r="C88" s="46" t="s">
        <v>1409</v>
      </c>
      <c r="D88" s="46" t="s">
        <v>1410</v>
      </c>
      <c r="E88" s="46"/>
      <c r="F88" s="46"/>
      <c r="G88" s="46"/>
      <c r="H88" s="46" t="s">
        <v>1411</v>
      </c>
      <c r="I88" s="46" t="s">
        <v>1101</v>
      </c>
      <c r="J88" s="46" t="s">
        <v>1107</v>
      </c>
    </row>
    <row r="89" customFormat="false" ht="15" hidden="false" customHeight="true" outlineLevel="0" collapsed="false">
      <c r="A89" s="52" t="s">
        <v>1412</v>
      </c>
      <c r="B89" s="52" t="s">
        <v>1413</v>
      </c>
      <c r="C89" s="52" t="s">
        <v>1414</v>
      </c>
      <c r="D89" s="52" t="s">
        <v>1415</v>
      </c>
      <c r="E89" s="52"/>
      <c r="F89" s="52"/>
      <c r="G89" s="52"/>
      <c r="H89" s="52" t="s">
        <v>1416</v>
      </c>
      <c r="I89" s="52" t="s">
        <v>1101</v>
      </c>
      <c r="J89" s="52" t="s">
        <v>1107</v>
      </c>
    </row>
    <row r="90" customFormat="false" ht="15" hidden="false" customHeight="true" outlineLevel="0" collapsed="false">
      <c r="A90" s="46" t="s">
        <v>1417</v>
      </c>
      <c r="B90" s="46" t="s">
        <v>1418</v>
      </c>
      <c r="C90" s="46" t="s">
        <v>1419</v>
      </c>
      <c r="D90" s="46" t="s">
        <v>1420</v>
      </c>
      <c r="E90" s="46"/>
      <c r="F90" s="46"/>
      <c r="G90" s="46"/>
      <c r="H90" s="46" t="s">
        <v>1421</v>
      </c>
      <c r="I90" s="46" t="s">
        <v>1101</v>
      </c>
      <c r="J90" s="46" t="s">
        <v>1107</v>
      </c>
    </row>
    <row r="91" customFormat="false" ht="15" hidden="false" customHeight="true" outlineLevel="0" collapsed="false">
      <c r="A91" s="52" t="s">
        <v>1422</v>
      </c>
      <c r="B91" s="52" t="s">
        <v>1423</v>
      </c>
      <c r="C91" s="52" t="s">
        <v>1424</v>
      </c>
      <c r="D91" s="52" t="s">
        <v>1425</v>
      </c>
      <c r="E91" s="52"/>
      <c r="F91" s="52"/>
      <c r="G91" s="52"/>
      <c r="H91" s="52" t="s">
        <v>1426</v>
      </c>
      <c r="I91" s="52" t="s">
        <v>1101</v>
      </c>
      <c r="J91" s="52" t="s">
        <v>1107</v>
      </c>
    </row>
    <row r="92" customFormat="false" ht="15" hidden="false" customHeight="true" outlineLevel="0" collapsed="false">
      <c r="A92" s="46" t="s">
        <v>1427</v>
      </c>
      <c r="B92" s="46" t="s">
        <v>1428</v>
      </c>
      <c r="C92" s="46" t="s">
        <v>1429</v>
      </c>
      <c r="D92" s="46" t="s">
        <v>1430</v>
      </c>
      <c r="E92" s="46"/>
      <c r="F92" s="46"/>
      <c r="G92" s="46"/>
      <c r="H92" s="46"/>
      <c r="I92" s="46" t="s">
        <v>1101</v>
      </c>
      <c r="J92" s="46" t="s">
        <v>1107</v>
      </c>
    </row>
    <row r="93" customFormat="false" ht="15" hidden="false" customHeight="true" outlineLevel="0" collapsed="false">
      <c r="A93" s="52" t="s">
        <v>1431</v>
      </c>
      <c r="B93" s="52" t="s">
        <v>1432</v>
      </c>
      <c r="C93" s="52" t="s">
        <v>1433</v>
      </c>
      <c r="D93" s="52" t="s">
        <v>1434</v>
      </c>
      <c r="E93" s="52"/>
      <c r="F93" s="52"/>
      <c r="G93" s="52"/>
      <c r="H93" s="52" t="s">
        <v>1435</v>
      </c>
      <c r="I93" s="52" t="s">
        <v>1101</v>
      </c>
      <c r="J93" s="52" t="s">
        <v>1107</v>
      </c>
    </row>
    <row r="94" customFormat="false" ht="15" hidden="false" customHeight="true" outlineLevel="0" collapsed="false">
      <c r="A94" s="46" t="s">
        <v>1436</v>
      </c>
      <c r="B94" s="46" t="s">
        <v>1437</v>
      </c>
      <c r="C94" s="46" t="s">
        <v>1438</v>
      </c>
      <c r="D94" s="46" t="s">
        <v>1439</v>
      </c>
      <c r="E94" s="46"/>
      <c r="F94" s="46"/>
      <c r="G94" s="46"/>
      <c r="H94" s="46" t="s">
        <v>1440</v>
      </c>
      <c r="I94" s="46" t="s">
        <v>1101</v>
      </c>
      <c r="J94" s="46" t="s">
        <v>1107</v>
      </c>
    </row>
    <row r="95" customFormat="false" ht="15" hidden="false" customHeight="true" outlineLevel="0" collapsed="false">
      <c r="A95" s="52" t="s">
        <v>1441</v>
      </c>
      <c r="B95" s="52" t="s">
        <v>1442</v>
      </c>
      <c r="C95" s="52" t="s">
        <v>1443</v>
      </c>
      <c r="D95" s="52" t="s">
        <v>1444</v>
      </c>
      <c r="E95" s="52"/>
      <c r="F95" s="52"/>
      <c r="G95" s="52"/>
      <c r="H95" s="52" t="s">
        <v>1445</v>
      </c>
      <c r="I95" s="52" t="s">
        <v>1101</v>
      </c>
      <c r="J95" s="52" t="s">
        <v>1107</v>
      </c>
    </row>
    <row r="96" customFormat="false" ht="15" hidden="false" customHeight="true" outlineLevel="0" collapsed="false">
      <c r="A96" s="46" t="s">
        <v>1446</v>
      </c>
      <c r="B96" s="46" t="s">
        <v>1447</v>
      </c>
      <c r="C96" s="46" t="s">
        <v>1448</v>
      </c>
      <c r="D96" s="46" t="s">
        <v>1449</v>
      </c>
      <c r="E96" s="46"/>
      <c r="F96" s="46"/>
      <c r="G96" s="46"/>
      <c r="H96" s="46" t="s">
        <v>1450</v>
      </c>
      <c r="I96" s="46" t="s">
        <v>1101</v>
      </c>
      <c r="J96" s="46" t="s">
        <v>1107</v>
      </c>
    </row>
    <row r="97" customFormat="false" ht="15" hidden="false" customHeight="true" outlineLevel="0" collapsed="false">
      <c r="A97" s="52" t="s">
        <v>1451</v>
      </c>
      <c r="B97" s="52" t="s">
        <v>1452</v>
      </c>
      <c r="C97" s="52" t="s">
        <v>1453</v>
      </c>
      <c r="D97" s="52" t="s">
        <v>1454</v>
      </c>
      <c r="E97" s="52"/>
      <c r="F97" s="52"/>
      <c r="G97" s="52"/>
      <c r="H97" s="52" t="s">
        <v>1455</v>
      </c>
      <c r="I97" s="52" t="s">
        <v>1101</v>
      </c>
      <c r="J97" s="52" t="s">
        <v>1107</v>
      </c>
    </row>
    <row r="98" customFormat="false" ht="15" hidden="false" customHeight="true" outlineLevel="0" collapsed="false">
      <c r="A98" s="46" t="s">
        <v>1456</v>
      </c>
      <c r="B98" s="46" t="s">
        <v>1457</v>
      </c>
      <c r="C98" s="46" t="s">
        <v>1458</v>
      </c>
      <c r="D98" s="46" t="s">
        <v>1459</v>
      </c>
      <c r="E98" s="46"/>
      <c r="F98" s="46"/>
      <c r="G98" s="46"/>
      <c r="H98" s="46"/>
      <c r="I98" s="46" t="s">
        <v>1101</v>
      </c>
      <c r="J98" s="46" t="s">
        <v>1107</v>
      </c>
    </row>
    <row r="99" customFormat="false" ht="15" hidden="false" customHeight="true" outlineLevel="0" collapsed="false">
      <c r="A99" s="52" t="s">
        <v>1460</v>
      </c>
      <c r="B99" s="52" t="s">
        <v>1461</v>
      </c>
      <c r="C99" s="52" t="s">
        <v>1462</v>
      </c>
      <c r="D99" s="52" t="s">
        <v>1463</v>
      </c>
      <c r="E99" s="52"/>
      <c r="F99" s="52"/>
      <c r="G99" s="52"/>
      <c r="H99" s="52"/>
      <c r="I99" s="52" t="s">
        <v>1101</v>
      </c>
      <c r="J99" s="52" t="s">
        <v>1107</v>
      </c>
    </row>
    <row r="100" customFormat="false" ht="15" hidden="false" customHeight="true" outlineLevel="0" collapsed="false">
      <c r="A100" s="46" t="s">
        <v>1464</v>
      </c>
      <c r="B100" s="46" t="s">
        <v>1465</v>
      </c>
      <c r="C100" s="46" t="s">
        <v>1466</v>
      </c>
      <c r="D100" s="46" t="s">
        <v>1467</v>
      </c>
      <c r="E100" s="46"/>
      <c r="F100" s="46"/>
      <c r="G100" s="46"/>
      <c r="H100" s="46"/>
      <c r="I100" s="46" t="s">
        <v>1101</v>
      </c>
      <c r="J100" s="46" t="s">
        <v>1107</v>
      </c>
    </row>
    <row r="101" customFormat="false" ht="15" hidden="false" customHeight="true" outlineLevel="0" collapsed="false">
      <c r="A101" s="52" t="s">
        <v>1468</v>
      </c>
      <c r="B101" s="52" t="s">
        <v>1469</v>
      </c>
      <c r="C101" s="52"/>
      <c r="D101" s="52" t="s">
        <v>1470</v>
      </c>
      <c r="E101" s="52"/>
      <c r="F101" s="52"/>
      <c r="G101" s="52"/>
      <c r="H101" s="52" t="s">
        <v>1471</v>
      </c>
      <c r="I101" s="52" t="s">
        <v>1101</v>
      </c>
      <c r="J101" s="52" t="s">
        <v>1107</v>
      </c>
    </row>
    <row r="102" customFormat="false" ht="15" hidden="false" customHeight="true" outlineLevel="0" collapsed="false">
      <c r="A102" s="46" t="s">
        <v>1472</v>
      </c>
      <c r="B102" s="46" t="s">
        <v>1473</v>
      </c>
      <c r="C102" s="46" t="s">
        <v>1474</v>
      </c>
      <c r="D102" s="46" t="s">
        <v>1475</v>
      </c>
      <c r="E102" s="46"/>
      <c r="F102" s="46"/>
      <c r="G102" s="46"/>
      <c r="H102" s="46" t="s">
        <v>1476</v>
      </c>
      <c r="I102" s="46" t="s">
        <v>1101</v>
      </c>
      <c r="J102" s="46" t="s">
        <v>1107</v>
      </c>
    </row>
    <row r="103" customFormat="false" ht="15" hidden="false" customHeight="true" outlineLevel="0" collapsed="false">
      <c r="A103" s="52" t="s">
        <v>1477</v>
      </c>
      <c r="B103" s="52" t="s">
        <v>1478</v>
      </c>
      <c r="C103" s="52" t="s">
        <v>1479</v>
      </c>
      <c r="D103" s="52" t="s">
        <v>1480</v>
      </c>
      <c r="E103" s="52"/>
      <c r="F103" s="52"/>
      <c r="G103" s="52"/>
      <c r="H103" s="52" t="s">
        <v>1481</v>
      </c>
      <c r="I103" s="52" t="s">
        <v>1101</v>
      </c>
      <c r="J103" s="52" t="s">
        <v>1107</v>
      </c>
    </row>
    <row r="104" customFormat="false" ht="15" hidden="false" customHeight="true" outlineLevel="0" collapsed="false">
      <c r="A104" s="46" t="s">
        <v>1482</v>
      </c>
      <c r="B104" s="46" t="s">
        <v>1483</v>
      </c>
      <c r="C104" s="46" t="s">
        <v>1484</v>
      </c>
      <c r="D104" s="46" t="s">
        <v>1485</v>
      </c>
      <c r="E104" s="46"/>
      <c r="F104" s="46"/>
      <c r="G104" s="46"/>
      <c r="H104" s="46" t="s">
        <v>1486</v>
      </c>
      <c r="I104" s="46" t="s">
        <v>1101</v>
      </c>
      <c r="J104" s="46" t="s">
        <v>1107</v>
      </c>
    </row>
    <row r="105" customFormat="false" ht="15" hidden="false" customHeight="true" outlineLevel="0" collapsed="false">
      <c r="A105" s="52" t="s">
        <v>1487</v>
      </c>
      <c r="B105" s="52" t="s">
        <v>1488</v>
      </c>
      <c r="C105" s="52" t="s">
        <v>1489</v>
      </c>
      <c r="D105" s="52" t="s">
        <v>1490</v>
      </c>
      <c r="E105" s="52"/>
      <c r="F105" s="52"/>
      <c r="G105" s="52"/>
      <c r="H105" s="52" t="s">
        <v>1491</v>
      </c>
      <c r="I105" s="52" t="s">
        <v>1101</v>
      </c>
      <c r="J105" s="52" t="s">
        <v>1107</v>
      </c>
    </row>
    <row r="106" customFormat="false" ht="15" hidden="false" customHeight="true" outlineLevel="0" collapsed="false">
      <c r="A106" s="46" t="s">
        <v>1492</v>
      </c>
      <c r="B106" s="46" t="s">
        <v>1493</v>
      </c>
      <c r="C106" s="46"/>
      <c r="D106" s="46"/>
      <c r="E106" s="46"/>
      <c r="F106" s="46"/>
      <c r="G106" s="46"/>
      <c r="H106" s="46"/>
      <c r="I106" s="46" t="s">
        <v>1101</v>
      </c>
      <c r="J106" s="46" t="s">
        <v>1107</v>
      </c>
    </row>
    <row r="107" customFormat="false" ht="15" hidden="false" customHeight="true" outlineLevel="0" collapsed="false">
      <c r="A107" s="52" t="s">
        <v>1494</v>
      </c>
      <c r="B107" s="52" t="s">
        <v>1495</v>
      </c>
      <c r="C107" s="52"/>
      <c r="D107" s="52"/>
      <c r="E107" s="52"/>
      <c r="F107" s="52"/>
      <c r="G107" s="52"/>
      <c r="H107" s="52"/>
      <c r="I107" s="52" t="s">
        <v>1101</v>
      </c>
      <c r="J107" s="52" t="s">
        <v>1107</v>
      </c>
    </row>
    <row r="108" customFormat="false" ht="15" hidden="false" customHeight="true" outlineLevel="0" collapsed="false">
      <c r="A108" s="46" t="s">
        <v>1496</v>
      </c>
      <c r="B108" s="46" t="s">
        <v>1497</v>
      </c>
      <c r="C108" s="46"/>
      <c r="D108" s="46"/>
      <c r="E108" s="46"/>
      <c r="F108" s="46"/>
      <c r="G108" s="46"/>
      <c r="H108" s="46"/>
      <c r="I108" s="46" t="s">
        <v>1101</v>
      </c>
      <c r="J108" s="46" t="s">
        <v>1107</v>
      </c>
    </row>
    <row r="109" customFormat="false" ht="15" hidden="false" customHeight="true" outlineLevel="0" collapsed="false">
      <c r="A109" s="52" t="s">
        <v>1498</v>
      </c>
      <c r="B109" s="52" t="s">
        <v>1499</v>
      </c>
      <c r="C109" s="52"/>
      <c r="D109" s="52"/>
      <c r="E109" s="52"/>
      <c r="F109" s="52"/>
      <c r="G109" s="52"/>
      <c r="H109" s="52"/>
      <c r="I109" s="52" t="s">
        <v>1101</v>
      </c>
      <c r="J109" s="52" t="s">
        <v>1107</v>
      </c>
    </row>
    <row r="110" customFormat="false" ht="15" hidden="false" customHeight="true" outlineLevel="0" collapsed="false">
      <c r="A110" s="46" t="s">
        <v>1500</v>
      </c>
      <c r="B110" s="46" t="s">
        <v>1501</v>
      </c>
      <c r="C110" s="46"/>
      <c r="D110" s="46"/>
      <c r="E110" s="46"/>
      <c r="F110" s="46"/>
      <c r="G110" s="46"/>
      <c r="H110" s="46"/>
      <c r="I110" s="46" t="s">
        <v>1101</v>
      </c>
      <c r="J110" s="46" t="s">
        <v>1107</v>
      </c>
    </row>
    <row r="111" customFormat="false" ht="15" hidden="false" customHeight="true" outlineLevel="0" collapsed="false">
      <c r="A111" s="52" t="s">
        <v>1502</v>
      </c>
      <c r="B111" s="52" t="s">
        <v>1503</v>
      </c>
      <c r="C111" s="52" t="s">
        <v>1504</v>
      </c>
      <c r="D111" s="52" t="s">
        <v>1505</v>
      </c>
      <c r="E111" s="52"/>
      <c r="F111" s="52"/>
      <c r="G111" s="52"/>
      <c r="H111" s="52"/>
      <c r="I111" s="52" t="s">
        <v>1101</v>
      </c>
      <c r="J111" s="52" t="s">
        <v>1107</v>
      </c>
    </row>
    <row r="112" customFormat="false" ht="15" hidden="false" customHeight="true" outlineLevel="0" collapsed="false">
      <c r="A112" s="46" t="s">
        <v>1506</v>
      </c>
      <c r="B112" s="46" t="s">
        <v>1507</v>
      </c>
      <c r="C112" s="46" t="s">
        <v>1508</v>
      </c>
      <c r="D112" s="46" t="s">
        <v>1509</v>
      </c>
      <c r="E112" s="46"/>
      <c r="F112" s="46"/>
      <c r="G112" s="46"/>
      <c r="H112" s="46" t="s">
        <v>1510</v>
      </c>
      <c r="I112" s="46" t="s">
        <v>1101</v>
      </c>
      <c r="J112" s="46" t="s">
        <v>1107</v>
      </c>
    </row>
    <row r="113" customFormat="false" ht="15" hidden="false" customHeight="true" outlineLevel="0" collapsed="false">
      <c r="A113" s="52" t="s">
        <v>1511</v>
      </c>
      <c r="B113" s="52" t="s">
        <v>1512</v>
      </c>
      <c r="C113" s="52" t="s">
        <v>1513</v>
      </c>
      <c r="D113" s="52" t="s">
        <v>1514</v>
      </c>
      <c r="E113" s="52"/>
      <c r="F113" s="52"/>
      <c r="G113" s="52"/>
      <c r="H113" s="52" t="s">
        <v>1515</v>
      </c>
      <c r="I113" s="52" t="s">
        <v>1101</v>
      </c>
      <c r="J113" s="52" t="s">
        <v>1107</v>
      </c>
    </row>
    <row r="114" customFormat="false" ht="15" hidden="false" customHeight="true" outlineLevel="0" collapsed="false">
      <c r="A114" s="46" t="s">
        <v>1516</v>
      </c>
      <c r="B114" s="46" t="s">
        <v>1517</v>
      </c>
      <c r="C114" s="46" t="s">
        <v>1518</v>
      </c>
      <c r="D114" s="46" t="s">
        <v>1519</v>
      </c>
      <c r="E114" s="46"/>
      <c r="F114" s="46"/>
      <c r="G114" s="46"/>
      <c r="H114" s="46" t="s">
        <v>1520</v>
      </c>
      <c r="I114" s="46" t="s">
        <v>1101</v>
      </c>
      <c r="J114" s="46" t="s">
        <v>1107</v>
      </c>
    </row>
    <row r="115" customFormat="false" ht="15" hidden="false" customHeight="true" outlineLevel="0" collapsed="false">
      <c r="A115" s="52" t="s">
        <v>1521</v>
      </c>
      <c r="B115" s="52" t="s">
        <v>1522</v>
      </c>
      <c r="C115" s="52" t="s">
        <v>1523</v>
      </c>
      <c r="D115" s="52" t="s">
        <v>1524</v>
      </c>
      <c r="E115" s="52"/>
      <c r="F115" s="52"/>
      <c r="G115" s="52"/>
      <c r="H115" s="52"/>
      <c r="I115" s="52" t="s">
        <v>1101</v>
      </c>
      <c r="J115" s="52" t="s">
        <v>1107</v>
      </c>
    </row>
    <row r="116" customFormat="false" ht="15" hidden="false" customHeight="true" outlineLevel="0" collapsed="false">
      <c r="A116" s="46" t="s">
        <v>1525</v>
      </c>
      <c r="B116" s="46" t="s">
        <v>1526</v>
      </c>
      <c r="C116" s="46" t="s">
        <v>1527</v>
      </c>
      <c r="D116" s="46" t="s">
        <v>1528</v>
      </c>
      <c r="E116" s="46"/>
      <c r="F116" s="46"/>
      <c r="G116" s="46"/>
      <c r="H116" s="46" t="s">
        <v>1529</v>
      </c>
      <c r="I116" s="46" t="s">
        <v>1101</v>
      </c>
      <c r="J116" s="46" t="s">
        <v>1107</v>
      </c>
    </row>
    <row r="117" customFormat="false" ht="15" hidden="false" customHeight="true" outlineLevel="0" collapsed="false">
      <c r="A117" s="52" t="s">
        <v>1530</v>
      </c>
      <c r="B117" s="52" t="s">
        <v>1531</v>
      </c>
      <c r="C117" s="52" t="s">
        <v>1532</v>
      </c>
      <c r="D117" s="52" t="s">
        <v>1533</v>
      </c>
      <c r="E117" s="52"/>
      <c r="F117" s="52"/>
      <c r="G117" s="52"/>
      <c r="H117" s="52" t="s">
        <v>1534</v>
      </c>
      <c r="I117" s="52" t="s">
        <v>1101</v>
      </c>
      <c r="J117" s="52" t="s">
        <v>1107</v>
      </c>
    </row>
    <row r="118" customFormat="false" ht="15" hidden="false" customHeight="true" outlineLevel="0" collapsed="false">
      <c r="A118" s="46" t="s">
        <v>1535</v>
      </c>
      <c r="B118" s="46" t="s">
        <v>1536</v>
      </c>
      <c r="C118" s="46" t="s">
        <v>1537</v>
      </c>
      <c r="D118" s="46" t="s">
        <v>1538</v>
      </c>
      <c r="E118" s="46"/>
      <c r="F118" s="46"/>
      <c r="G118" s="46"/>
      <c r="H118" s="46" t="s">
        <v>1539</v>
      </c>
      <c r="I118" s="46" t="s">
        <v>1101</v>
      </c>
      <c r="J118" s="46" t="s">
        <v>1107</v>
      </c>
    </row>
    <row r="119" customFormat="false" ht="15" hidden="false" customHeight="true" outlineLevel="0" collapsed="false">
      <c r="A119" s="52" t="s">
        <v>1540</v>
      </c>
      <c r="B119" s="52" t="s">
        <v>1541</v>
      </c>
      <c r="C119" s="52" t="s">
        <v>1542</v>
      </c>
      <c r="D119" s="52" t="s">
        <v>1543</v>
      </c>
      <c r="E119" s="52"/>
      <c r="F119" s="52"/>
      <c r="G119" s="52"/>
      <c r="H119" s="52" t="s">
        <v>1544</v>
      </c>
      <c r="I119" s="52" t="s">
        <v>1101</v>
      </c>
      <c r="J119" s="52" t="s">
        <v>1107</v>
      </c>
    </row>
    <row r="120" customFormat="false" ht="15" hidden="false" customHeight="true" outlineLevel="0" collapsed="false">
      <c r="A120" s="46" t="s">
        <v>1545</v>
      </c>
      <c r="B120" s="46" t="s">
        <v>1546</v>
      </c>
      <c r="C120" s="46" t="s">
        <v>1547</v>
      </c>
      <c r="D120" s="46" t="s">
        <v>1548</v>
      </c>
      <c r="E120" s="46"/>
      <c r="F120" s="46"/>
      <c r="G120" s="46"/>
      <c r="H120" s="46"/>
      <c r="I120" s="46" t="s">
        <v>1101</v>
      </c>
      <c r="J120" s="46" t="s">
        <v>1107</v>
      </c>
    </row>
    <row r="121" customFormat="false" ht="15" hidden="false" customHeight="true" outlineLevel="0" collapsed="false">
      <c r="A121" s="52" t="s">
        <v>1549</v>
      </c>
      <c r="B121" s="52" t="s">
        <v>1550</v>
      </c>
      <c r="C121" s="52" t="s">
        <v>1551</v>
      </c>
      <c r="D121" s="52" t="s">
        <v>1552</v>
      </c>
      <c r="E121" s="52"/>
      <c r="F121" s="52"/>
      <c r="G121" s="52"/>
      <c r="H121" s="52"/>
      <c r="I121" s="52" t="s">
        <v>1101</v>
      </c>
      <c r="J121" s="52" t="s">
        <v>1107</v>
      </c>
    </row>
    <row r="122" customFormat="false" ht="15" hidden="false" customHeight="true" outlineLevel="0" collapsed="false">
      <c r="A122" s="46" t="s">
        <v>1553</v>
      </c>
      <c r="B122" s="46" t="s">
        <v>1554</v>
      </c>
      <c r="C122" s="46" t="s">
        <v>1433</v>
      </c>
      <c r="D122" s="46" t="s">
        <v>1555</v>
      </c>
      <c r="E122" s="46"/>
      <c r="F122" s="46"/>
      <c r="G122" s="46"/>
      <c r="H122" s="46"/>
      <c r="I122" s="46" t="s">
        <v>1101</v>
      </c>
      <c r="J122" s="46" t="s">
        <v>1107</v>
      </c>
    </row>
    <row r="123" customFormat="false" ht="15" hidden="false" customHeight="true" outlineLevel="0" collapsed="false">
      <c r="A123" s="52" t="s">
        <v>1556</v>
      </c>
      <c r="B123" s="52" t="s">
        <v>1557</v>
      </c>
      <c r="C123" s="52" t="s">
        <v>1558</v>
      </c>
      <c r="D123" s="52" t="s">
        <v>1559</v>
      </c>
      <c r="E123" s="52"/>
      <c r="F123" s="52"/>
      <c r="G123" s="52"/>
      <c r="H123" s="52"/>
      <c r="I123" s="52" t="s">
        <v>1101</v>
      </c>
      <c r="J123" s="52" t="s">
        <v>1107</v>
      </c>
    </row>
    <row r="124" customFormat="false" ht="15" hidden="false" customHeight="true" outlineLevel="0" collapsed="false">
      <c r="A124" s="46" t="s">
        <v>1560</v>
      </c>
      <c r="B124" s="46" t="s">
        <v>1561</v>
      </c>
      <c r="C124" s="46" t="s">
        <v>1562</v>
      </c>
      <c r="D124" s="46" t="s">
        <v>1563</v>
      </c>
      <c r="E124" s="46"/>
      <c r="F124" s="46"/>
      <c r="G124" s="46"/>
      <c r="H124" s="46" t="s">
        <v>1564</v>
      </c>
      <c r="I124" s="46" t="s">
        <v>1101</v>
      </c>
      <c r="J124" s="46" t="s">
        <v>1107</v>
      </c>
    </row>
    <row r="125" customFormat="false" ht="15" hidden="false" customHeight="true" outlineLevel="0" collapsed="false">
      <c r="A125" s="52" t="s">
        <v>1565</v>
      </c>
      <c r="B125" s="52" t="s">
        <v>1566</v>
      </c>
      <c r="C125" s="52" t="s">
        <v>1567</v>
      </c>
      <c r="D125" s="52" t="s">
        <v>1568</v>
      </c>
      <c r="E125" s="52"/>
      <c r="F125" s="52"/>
      <c r="G125" s="52"/>
      <c r="H125" s="52" t="s">
        <v>1569</v>
      </c>
      <c r="I125" s="52" t="s">
        <v>1101</v>
      </c>
      <c r="J125" s="52" t="s">
        <v>1107</v>
      </c>
    </row>
    <row r="126" customFormat="false" ht="15" hidden="false" customHeight="true" outlineLevel="0" collapsed="false">
      <c r="A126" s="46" t="s">
        <v>1570</v>
      </c>
      <c r="B126" s="46" t="s">
        <v>1571</v>
      </c>
      <c r="C126" s="46" t="s">
        <v>1572</v>
      </c>
      <c r="D126" s="46" t="s">
        <v>1573</v>
      </c>
      <c r="E126" s="46"/>
      <c r="F126" s="46"/>
      <c r="G126" s="46"/>
      <c r="H126" s="46"/>
      <c r="I126" s="46" t="s">
        <v>1101</v>
      </c>
      <c r="J126" s="46" t="s">
        <v>1107</v>
      </c>
    </row>
    <row r="127" customFormat="false" ht="15" hidden="false" customHeight="true" outlineLevel="0" collapsed="false">
      <c r="A127" s="52" t="s">
        <v>1574</v>
      </c>
      <c r="B127" s="52" t="s">
        <v>1575</v>
      </c>
      <c r="C127" s="52" t="s">
        <v>1576</v>
      </c>
      <c r="D127" s="52" t="s">
        <v>1577</v>
      </c>
      <c r="E127" s="52"/>
      <c r="F127" s="52"/>
      <c r="G127" s="52"/>
      <c r="H127" s="52" t="s">
        <v>1578</v>
      </c>
      <c r="I127" s="52" t="s">
        <v>1101</v>
      </c>
      <c r="J127" s="52" t="s">
        <v>1107</v>
      </c>
    </row>
    <row r="128" customFormat="false" ht="15" hidden="false" customHeight="true" outlineLevel="0" collapsed="false">
      <c r="A128" s="46" t="s">
        <v>1579</v>
      </c>
      <c r="B128" s="46" t="s">
        <v>1580</v>
      </c>
      <c r="C128" s="46" t="s">
        <v>1581</v>
      </c>
      <c r="D128" s="46" t="s">
        <v>1582</v>
      </c>
      <c r="E128" s="46"/>
      <c r="F128" s="46"/>
      <c r="G128" s="46"/>
      <c r="H128" s="46" t="s">
        <v>1583</v>
      </c>
      <c r="I128" s="46" t="s">
        <v>1101</v>
      </c>
      <c r="J128" s="46" t="s">
        <v>1107</v>
      </c>
    </row>
    <row r="129" customFormat="false" ht="15" hidden="false" customHeight="true" outlineLevel="0" collapsed="false">
      <c r="A129" s="52" t="s">
        <v>1584</v>
      </c>
      <c r="B129" s="52" t="s">
        <v>1585</v>
      </c>
      <c r="C129" s="52" t="s">
        <v>1586</v>
      </c>
      <c r="D129" s="52" t="s">
        <v>1587</v>
      </c>
      <c r="E129" s="52"/>
      <c r="F129" s="52"/>
      <c r="G129" s="52"/>
      <c r="H129" s="52"/>
      <c r="I129" s="52" t="s">
        <v>1101</v>
      </c>
      <c r="J129" s="52" t="s">
        <v>1107</v>
      </c>
    </row>
    <row r="130" customFormat="false" ht="15" hidden="false" customHeight="true" outlineLevel="0" collapsed="false">
      <c r="A130" s="46" t="s">
        <v>1588</v>
      </c>
      <c r="B130" s="46" t="s">
        <v>1589</v>
      </c>
      <c r="C130" s="46" t="s">
        <v>1590</v>
      </c>
      <c r="D130" s="46" t="s">
        <v>1591</v>
      </c>
      <c r="E130" s="46"/>
      <c r="F130" s="46"/>
      <c r="G130" s="46"/>
      <c r="H130" s="46"/>
      <c r="I130" s="46" t="s">
        <v>1101</v>
      </c>
      <c r="J130" s="46" t="s">
        <v>1107</v>
      </c>
    </row>
    <row r="131" customFormat="false" ht="15" hidden="false" customHeight="true" outlineLevel="0" collapsed="false">
      <c r="A131" s="52" t="s">
        <v>1592</v>
      </c>
      <c r="B131" s="52" t="s">
        <v>1593</v>
      </c>
      <c r="C131" s="52" t="s">
        <v>1594</v>
      </c>
      <c r="D131" s="52" t="s">
        <v>1595</v>
      </c>
      <c r="E131" s="52"/>
      <c r="F131" s="52"/>
      <c r="G131" s="52"/>
      <c r="H131" s="52"/>
      <c r="I131" s="52" t="s">
        <v>1101</v>
      </c>
      <c r="J131" s="52" t="s">
        <v>1107</v>
      </c>
    </row>
    <row r="132" customFormat="false" ht="15" hidden="false" customHeight="true" outlineLevel="0" collapsed="false">
      <c r="A132" s="46" t="s">
        <v>1596</v>
      </c>
      <c r="B132" s="46" t="s">
        <v>1597</v>
      </c>
      <c r="C132" s="46" t="s">
        <v>1598</v>
      </c>
      <c r="D132" s="46" t="s">
        <v>1599</v>
      </c>
      <c r="E132" s="46"/>
      <c r="F132" s="46"/>
      <c r="G132" s="46"/>
      <c r="H132" s="46" t="s">
        <v>1600</v>
      </c>
      <c r="I132" s="46" t="s">
        <v>1101</v>
      </c>
      <c r="J132" s="46" t="s">
        <v>1107</v>
      </c>
    </row>
    <row r="133" customFormat="false" ht="15" hidden="false" customHeight="true" outlineLevel="0" collapsed="false">
      <c r="A133" s="52" t="s">
        <v>1601</v>
      </c>
      <c r="B133" s="52" t="s">
        <v>1602</v>
      </c>
      <c r="C133" s="52" t="s">
        <v>1603</v>
      </c>
      <c r="D133" s="52" t="s">
        <v>1604</v>
      </c>
      <c r="E133" s="52"/>
      <c r="F133" s="52"/>
      <c r="G133" s="52"/>
      <c r="H133" s="52" t="s">
        <v>1605</v>
      </c>
      <c r="I133" s="52" t="s">
        <v>1101</v>
      </c>
      <c r="J133" s="52" t="s">
        <v>1107</v>
      </c>
    </row>
    <row r="134" customFormat="false" ht="15" hidden="false" customHeight="true" outlineLevel="0" collapsed="false">
      <c r="A134" s="46" t="s">
        <v>1606</v>
      </c>
      <c r="B134" s="46" t="s">
        <v>1607</v>
      </c>
      <c r="C134" s="46" t="s">
        <v>1608</v>
      </c>
      <c r="D134" s="46" t="s">
        <v>1609</v>
      </c>
      <c r="E134" s="46"/>
      <c r="F134" s="46"/>
      <c r="G134" s="46"/>
      <c r="H134" s="46" t="s">
        <v>1610</v>
      </c>
      <c r="I134" s="46" t="s">
        <v>1101</v>
      </c>
      <c r="J134" s="46" t="s">
        <v>1107</v>
      </c>
    </row>
    <row r="135" customFormat="false" ht="15" hidden="false" customHeight="true" outlineLevel="0" collapsed="false">
      <c r="A135" s="52" t="s">
        <v>1611</v>
      </c>
      <c r="B135" s="52" t="s">
        <v>1612</v>
      </c>
      <c r="C135" s="52" t="s">
        <v>1613</v>
      </c>
      <c r="D135" s="52" t="s">
        <v>1614</v>
      </c>
      <c r="E135" s="52"/>
      <c r="F135" s="52"/>
      <c r="G135" s="52"/>
      <c r="H135" s="52" t="s">
        <v>1615</v>
      </c>
      <c r="I135" s="52" t="s">
        <v>1101</v>
      </c>
      <c r="J135" s="52" t="s">
        <v>1107</v>
      </c>
    </row>
    <row r="136" customFormat="false" ht="15" hidden="false" customHeight="true" outlineLevel="0" collapsed="false">
      <c r="A136" s="46" t="s">
        <v>1616</v>
      </c>
      <c r="B136" s="46" t="s">
        <v>1617</v>
      </c>
      <c r="C136" s="46" t="s">
        <v>1618</v>
      </c>
      <c r="D136" s="46" t="s">
        <v>1619</v>
      </c>
      <c r="E136" s="46"/>
      <c r="F136" s="46"/>
      <c r="G136" s="46"/>
      <c r="H136" s="46" t="s">
        <v>1615</v>
      </c>
      <c r="I136" s="46" t="s">
        <v>1101</v>
      </c>
      <c r="J136" s="46" t="s">
        <v>1107</v>
      </c>
    </row>
    <row r="137" customFormat="false" ht="15" hidden="false" customHeight="true" outlineLevel="0" collapsed="false">
      <c r="A137" s="52" t="s">
        <v>1620</v>
      </c>
      <c r="B137" s="52" t="s">
        <v>1621</v>
      </c>
      <c r="C137" s="52" t="s">
        <v>1622</v>
      </c>
      <c r="D137" s="52" t="s">
        <v>1623</v>
      </c>
      <c r="E137" s="52"/>
      <c r="F137" s="52"/>
      <c r="G137" s="52"/>
      <c r="H137" s="52" t="s">
        <v>1624</v>
      </c>
      <c r="I137" s="52" t="s">
        <v>1101</v>
      </c>
      <c r="J137" s="52" t="s">
        <v>1107</v>
      </c>
    </row>
    <row r="138" customFormat="false" ht="15" hidden="false" customHeight="true" outlineLevel="0" collapsed="false">
      <c r="A138" s="46" t="s">
        <v>1625</v>
      </c>
      <c r="B138" s="46" t="s">
        <v>1626</v>
      </c>
      <c r="C138" s="46" t="s">
        <v>1627</v>
      </c>
      <c r="D138" s="46" t="s">
        <v>1628</v>
      </c>
      <c r="E138" s="46"/>
      <c r="F138" s="46"/>
      <c r="G138" s="46"/>
      <c r="H138" s="46"/>
      <c r="I138" s="46" t="s">
        <v>1101</v>
      </c>
      <c r="J138" s="46" t="s">
        <v>1107</v>
      </c>
    </row>
    <row r="139" customFormat="false" ht="15" hidden="false" customHeight="true" outlineLevel="0" collapsed="false">
      <c r="A139" s="52" t="s">
        <v>1629</v>
      </c>
      <c r="B139" s="52" t="s">
        <v>1630</v>
      </c>
      <c r="C139" s="52"/>
      <c r="D139" s="52"/>
      <c r="E139" s="52"/>
      <c r="F139" s="52"/>
      <c r="G139" s="52"/>
      <c r="H139" s="52"/>
      <c r="I139" s="52" t="s">
        <v>1101</v>
      </c>
      <c r="J139" s="52" t="s">
        <v>1107</v>
      </c>
    </row>
    <row r="140" customFormat="false" ht="15" hidden="false" customHeight="true" outlineLevel="0" collapsed="false">
      <c r="A140" s="46" t="s">
        <v>1631</v>
      </c>
      <c r="B140" s="46" t="s">
        <v>1632</v>
      </c>
      <c r="C140" s="46"/>
      <c r="D140" s="46"/>
      <c r="E140" s="46"/>
      <c r="F140" s="46"/>
      <c r="G140" s="46"/>
      <c r="H140" s="46"/>
      <c r="I140" s="46" t="s">
        <v>1101</v>
      </c>
      <c r="J140" s="46" t="s">
        <v>1107</v>
      </c>
    </row>
    <row r="141" customFormat="false" ht="15" hidden="false" customHeight="true" outlineLevel="0" collapsed="false">
      <c r="A141" s="52" t="s">
        <v>1633</v>
      </c>
      <c r="B141" s="52" t="s">
        <v>1634</v>
      </c>
      <c r="C141" s="52" t="s">
        <v>1635</v>
      </c>
      <c r="D141" s="52" t="s">
        <v>1636</v>
      </c>
      <c r="E141" s="52"/>
      <c r="F141" s="52"/>
      <c r="G141" s="52"/>
      <c r="H141" s="52"/>
      <c r="I141" s="52" t="s">
        <v>1101</v>
      </c>
      <c r="J141" s="52" t="s">
        <v>1107</v>
      </c>
    </row>
    <row r="142" customFormat="false" ht="15" hidden="false" customHeight="true" outlineLevel="0" collapsed="false">
      <c r="A142" s="46" t="s">
        <v>1637</v>
      </c>
      <c r="B142" s="46" t="s">
        <v>1638</v>
      </c>
      <c r="C142" s="46" t="s">
        <v>1639</v>
      </c>
      <c r="D142" s="46" t="s">
        <v>1640</v>
      </c>
      <c r="E142" s="46"/>
      <c r="F142" s="46"/>
      <c r="G142" s="46"/>
      <c r="H142" s="46"/>
      <c r="I142" s="46" t="s">
        <v>1101</v>
      </c>
      <c r="J142" s="46" t="s">
        <v>1107</v>
      </c>
    </row>
    <row r="143" customFormat="false" ht="15" hidden="false" customHeight="true" outlineLevel="0" collapsed="false">
      <c r="A143" s="52" t="s">
        <v>1641</v>
      </c>
      <c r="B143" s="52" t="s">
        <v>1642</v>
      </c>
      <c r="C143" s="52" t="s">
        <v>1643</v>
      </c>
      <c r="D143" s="52" t="s">
        <v>1644</v>
      </c>
      <c r="E143" s="52"/>
      <c r="F143" s="52"/>
      <c r="G143" s="52"/>
      <c r="H143" s="52" t="s">
        <v>1645</v>
      </c>
      <c r="I143" s="52" t="s">
        <v>1101</v>
      </c>
      <c r="J143" s="52" t="s">
        <v>1107</v>
      </c>
    </row>
    <row r="144" customFormat="false" ht="15" hidden="false" customHeight="true" outlineLevel="0" collapsed="false">
      <c r="A144" s="175" t="n">
        <v>50550</v>
      </c>
      <c r="B144" s="175" t="s">
        <v>1646</v>
      </c>
      <c r="C144" s="175" t="s">
        <v>1647</v>
      </c>
      <c r="D144" s="175" t="s">
        <v>1648</v>
      </c>
      <c r="E144" s="175"/>
      <c r="F144" s="175" t="s">
        <v>1649</v>
      </c>
      <c r="G144" s="175" t="s">
        <v>1649</v>
      </c>
      <c r="H144" s="175"/>
      <c r="I144" s="175" t="s">
        <v>1101</v>
      </c>
      <c r="J144" s="175" t="s">
        <v>1107</v>
      </c>
    </row>
    <row r="145" customFormat="false" ht="15" hidden="true" customHeight="true" outlineLevel="0" collapsed="false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</row>
    <row r="146" customFormat="false" ht="15" hidden="true" customHeight="true" outlineLevel="0" collapsed="false">
      <c r="A146" s="175"/>
      <c r="B146" s="175"/>
      <c r="C146" s="175"/>
      <c r="D146" s="175"/>
      <c r="E146" s="175"/>
      <c r="F146" s="175"/>
      <c r="G146" s="175"/>
      <c r="H146" s="175"/>
      <c r="I146" s="175"/>
      <c r="J146" s="175"/>
    </row>
    <row r="147" customFormat="false" ht="15" hidden="true" customHeight="true" outlineLevel="0" collapsed="false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</row>
    <row r="148" customFormat="false" ht="15" hidden="true" customHeight="true" outlineLevel="0" collapsed="false">
      <c r="A148" s="175"/>
      <c r="B148" s="175"/>
      <c r="C148" s="175"/>
      <c r="D148" s="175"/>
      <c r="E148" s="175"/>
      <c r="F148" s="175"/>
      <c r="G148" s="175"/>
      <c r="H148" s="175"/>
      <c r="I148" s="175"/>
      <c r="J148" s="175"/>
    </row>
    <row r="149" customFormat="false" ht="15" hidden="true" customHeight="true" outlineLevel="0" collapsed="false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</row>
    <row r="150" customFormat="false" ht="15" hidden="true" customHeight="true" outlineLevel="0" collapsed="false">
      <c r="A150" s="175"/>
      <c r="B150" s="175"/>
      <c r="C150" s="175"/>
      <c r="D150" s="175"/>
      <c r="E150" s="175"/>
      <c r="F150" s="175"/>
      <c r="G150" s="175"/>
      <c r="H150" s="175"/>
      <c r="I150" s="175"/>
      <c r="J150" s="175"/>
    </row>
    <row r="151" customFormat="false" ht="15" hidden="true" customHeight="true" outlineLevel="0" collapsed="false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</row>
    <row r="152" customFormat="false" ht="15" hidden="true" customHeight="true" outlineLevel="0" collapsed="false">
      <c r="A152" s="175"/>
      <c r="B152" s="175"/>
      <c r="C152" s="175"/>
      <c r="D152" s="175"/>
      <c r="E152" s="175"/>
      <c r="F152" s="175"/>
      <c r="G152" s="175"/>
      <c r="H152" s="175"/>
      <c r="I152" s="175"/>
      <c r="J152" s="175"/>
    </row>
    <row r="153" customFormat="false" ht="15" hidden="true" customHeight="true" outlineLevel="0" collapsed="false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</row>
    <row r="154" customFormat="false" ht="15" hidden="true" customHeight="true" outlineLevel="0" collapsed="false">
      <c r="A154" s="175"/>
      <c r="B154" s="175"/>
      <c r="C154" s="175"/>
      <c r="D154" s="175"/>
      <c r="E154" s="175"/>
      <c r="F154" s="175"/>
      <c r="G154" s="175"/>
      <c r="H154" s="175"/>
      <c r="I154" s="175"/>
      <c r="J154" s="175"/>
    </row>
    <row r="155" customFormat="false" ht="15" hidden="true" customHeight="true" outlineLevel="0" collapsed="false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</row>
    <row r="156" customFormat="false" ht="15" hidden="true" customHeight="true" outlineLevel="0" collapsed="false">
      <c r="A156" s="175"/>
      <c r="B156" s="175"/>
      <c r="C156" s="175"/>
      <c r="D156" s="175"/>
      <c r="E156" s="175"/>
      <c r="F156" s="175"/>
      <c r="G156" s="175"/>
      <c r="H156" s="175"/>
      <c r="I156" s="175"/>
      <c r="J156" s="175"/>
    </row>
    <row r="157" customFormat="false" ht="15" hidden="true" customHeight="true" outlineLevel="0" collapsed="false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</row>
    <row r="158" customFormat="false" ht="15" hidden="true" customHeight="true" outlineLevel="0" collapsed="false">
      <c r="A158" s="175"/>
      <c r="B158" s="175"/>
      <c r="C158" s="175"/>
      <c r="D158" s="175"/>
      <c r="E158" s="175"/>
      <c r="F158" s="175"/>
      <c r="G158" s="175"/>
      <c r="H158" s="175"/>
      <c r="I158" s="175"/>
      <c r="J158" s="175"/>
    </row>
    <row r="159" customFormat="false" ht="15" hidden="true" customHeight="true" outlineLevel="0" collapsed="false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</row>
    <row r="160" customFormat="false" ht="15" hidden="true" customHeight="true" outlineLevel="0" collapsed="false">
      <c r="A160" s="175"/>
      <c r="B160" s="175"/>
      <c r="C160" s="175"/>
      <c r="D160" s="175"/>
      <c r="E160" s="175"/>
      <c r="F160" s="175"/>
      <c r="G160" s="175"/>
      <c r="H160" s="175"/>
      <c r="I160" s="175"/>
      <c r="J160" s="175"/>
    </row>
    <row r="161" customFormat="false" ht="15" hidden="true" customHeight="true" outlineLevel="0" collapsed="false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</row>
    <row r="162" customFormat="false" ht="15" hidden="true" customHeight="true" outlineLevel="0" collapsed="false">
      <c r="A162" s="175"/>
      <c r="B162" s="175"/>
      <c r="C162" s="175"/>
      <c r="D162" s="175"/>
      <c r="E162" s="175"/>
      <c r="F162" s="175"/>
      <c r="G162" s="175"/>
      <c r="H162" s="175"/>
      <c r="I162" s="175"/>
      <c r="J162" s="175"/>
    </row>
    <row r="163" customFormat="false" ht="15" hidden="true" customHeight="true" outlineLevel="0" collapsed="false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</row>
    <row r="164" customFormat="false" ht="15" hidden="true" customHeight="true" outlineLevel="0" collapsed="false">
      <c r="A164" s="175"/>
      <c r="B164" s="175"/>
      <c r="C164" s="175"/>
      <c r="D164" s="175"/>
      <c r="E164" s="175"/>
      <c r="F164" s="175"/>
      <c r="G164" s="175"/>
      <c r="H164" s="175"/>
      <c r="I164" s="175"/>
      <c r="J164" s="175"/>
    </row>
    <row r="165" customFormat="false" ht="15" hidden="true" customHeight="true" outlineLevel="0" collapsed="false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</row>
    <row r="166" customFormat="false" ht="15" hidden="true" customHeight="true" outlineLevel="0" collapsed="false">
      <c r="A166" s="175"/>
      <c r="B166" s="175"/>
      <c r="C166" s="175"/>
      <c r="D166" s="175"/>
      <c r="E166" s="175"/>
      <c r="F166" s="175"/>
      <c r="G166" s="175"/>
      <c r="H166" s="175"/>
      <c r="I166" s="175"/>
      <c r="J166" s="175"/>
    </row>
    <row r="167" customFormat="false" ht="15" hidden="true" customHeight="true" outlineLevel="0" collapsed="false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</row>
    <row r="168" customFormat="false" ht="15" hidden="true" customHeight="true" outlineLevel="0" collapsed="false">
      <c r="A168" s="175"/>
      <c r="B168" s="175"/>
      <c r="C168" s="175"/>
      <c r="D168" s="175"/>
      <c r="E168" s="175"/>
      <c r="F168" s="175"/>
      <c r="G168" s="175"/>
      <c r="H168" s="175"/>
      <c r="I168" s="175"/>
      <c r="J168" s="175"/>
    </row>
    <row r="169" customFormat="false" ht="15" hidden="true" customHeight="true" outlineLevel="0" collapsed="false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</row>
    <row r="170" customFormat="false" ht="15" hidden="true" customHeight="true" outlineLevel="0" collapsed="false">
      <c r="A170" s="175"/>
      <c r="B170" s="175"/>
      <c r="C170" s="175"/>
      <c r="D170" s="175"/>
      <c r="E170" s="175"/>
      <c r="F170" s="175"/>
      <c r="G170" s="175"/>
      <c r="H170" s="175"/>
      <c r="I170" s="175"/>
      <c r="J170" s="175"/>
    </row>
    <row r="171" customFormat="false" ht="15" hidden="true" customHeight="true" outlineLevel="0" collapsed="false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</row>
    <row r="172" customFormat="false" ht="15" hidden="true" customHeight="true" outlineLevel="0" collapsed="false">
      <c r="A172" s="175"/>
      <c r="B172" s="175"/>
      <c r="C172" s="175"/>
      <c r="D172" s="175"/>
      <c r="E172" s="175"/>
      <c r="F172" s="175"/>
      <c r="G172" s="175"/>
      <c r="H172" s="175"/>
      <c r="I172" s="175"/>
      <c r="J172" s="175"/>
    </row>
    <row r="173" customFormat="false" ht="15" hidden="true" customHeight="true" outlineLevel="0" collapsed="false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</row>
    <row r="174" customFormat="false" ht="15" hidden="true" customHeight="true" outlineLevel="0" collapsed="false">
      <c r="A174" s="175"/>
      <c r="B174" s="175"/>
      <c r="C174" s="175"/>
      <c r="D174" s="175"/>
      <c r="E174" s="175"/>
      <c r="F174" s="175"/>
      <c r="G174" s="175"/>
      <c r="H174" s="175"/>
      <c r="I174" s="175"/>
      <c r="J174" s="175"/>
    </row>
    <row r="175" customFormat="false" ht="15" hidden="true" customHeight="true" outlineLevel="0" collapsed="false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</row>
    <row r="176" customFormat="false" ht="15" hidden="true" customHeight="true" outlineLevel="0" collapsed="false">
      <c r="A176" s="175"/>
      <c r="B176" s="175"/>
      <c r="C176" s="175"/>
      <c r="D176" s="175"/>
      <c r="E176" s="175"/>
      <c r="F176" s="175"/>
      <c r="G176" s="175"/>
      <c r="H176" s="175"/>
      <c r="I176" s="175"/>
      <c r="J176" s="175"/>
    </row>
    <row r="177" customFormat="false" ht="15" hidden="true" customHeight="true" outlineLevel="0" collapsed="false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</row>
    <row r="178" customFormat="false" ht="15" hidden="true" customHeight="true" outlineLevel="0" collapsed="false">
      <c r="A178" s="175"/>
      <c r="B178" s="175"/>
      <c r="C178" s="175"/>
      <c r="D178" s="175"/>
      <c r="E178" s="175"/>
      <c r="F178" s="175"/>
      <c r="G178" s="175"/>
      <c r="H178" s="175"/>
      <c r="I178" s="175"/>
      <c r="J178" s="175"/>
    </row>
    <row r="179" customFormat="false" ht="15" hidden="true" customHeight="true" outlineLevel="0" collapsed="false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</row>
    <row r="180" customFormat="false" ht="15" hidden="true" customHeight="true" outlineLevel="0" collapsed="false">
      <c r="A180" s="175"/>
      <c r="B180" s="175"/>
      <c r="C180" s="175"/>
      <c r="D180" s="175"/>
      <c r="E180" s="175"/>
      <c r="F180" s="175"/>
      <c r="G180" s="175"/>
      <c r="H180" s="175"/>
      <c r="I180" s="175"/>
      <c r="J180" s="175"/>
    </row>
    <row r="181" customFormat="false" ht="15" hidden="true" customHeight="true" outlineLevel="0" collapsed="false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</row>
    <row r="182" customFormat="false" ht="15" hidden="true" customHeight="true" outlineLevel="0" collapsed="false">
      <c r="A182" s="175"/>
      <c r="B182" s="175"/>
      <c r="C182" s="175"/>
      <c r="D182" s="175"/>
      <c r="E182" s="175"/>
      <c r="F182" s="175"/>
      <c r="G182" s="175"/>
      <c r="H182" s="175"/>
      <c r="I182" s="175"/>
      <c r="J182" s="175"/>
    </row>
    <row r="183" customFormat="false" ht="15" hidden="true" customHeight="true" outlineLevel="0" collapsed="false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</row>
    <row r="184" customFormat="false" ht="15" hidden="true" customHeight="true" outlineLevel="0" collapsed="false">
      <c r="A184" s="175"/>
      <c r="B184" s="175"/>
      <c r="C184" s="175"/>
      <c r="D184" s="175"/>
      <c r="E184" s="175"/>
      <c r="F184" s="175"/>
      <c r="G184" s="175"/>
      <c r="H184" s="175"/>
      <c r="I184" s="175"/>
      <c r="J184" s="175"/>
    </row>
    <row r="185" customFormat="false" ht="15" hidden="true" customHeight="true" outlineLevel="0" collapsed="false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</row>
    <row r="186" customFormat="false" ht="15" hidden="true" customHeight="true" outlineLevel="0" collapsed="false">
      <c r="A186" s="175"/>
      <c r="B186" s="175"/>
      <c r="C186" s="175"/>
      <c r="D186" s="175"/>
      <c r="E186" s="175"/>
      <c r="F186" s="175"/>
      <c r="G186" s="175"/>
      <c r="H186" s="175"/>
      <c r="I186" s="175"/>
      <c r="J186" s="175"/>
    </row>
    <row r="187" customFormat="false" ht="15" hidden="true" customHeight="true" outlineLevel="0" collapsed="false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</row>
    <row r="188" customFormat="false" ht="15" hidden="true" customHeight="true" outlineLevel="0" collapsed="false">
      <c r="A188" s="175"/>
      <c r="B188" s="175"/>
      <c r="C188" s="175"/>
      <c r="D188" s="175"/>
      <c r="E188" s="175"/>
      <c r="F188" s="175"/>
      <c r="G188" s="175"/>
      <c r="H188" s="175"/>
      <c r="I188" s="175"/>
      <c r="J188" s="175"/>
    </row>
    <row r="189" customFormat="false" ht="15" hidden="true" customHeight="true" outlineLevel="0" collapsed="false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</row>
    <row r="190" customFormat="false" ht="15" hidden="true" customHeight="true" outlineLevel="0" collapsed="false">
      <c r="A190" s="175"/>
      <c r="B190" s="175"/>
      <c r="C190" s="175"/>
      <c r="D190" s="175"/>
      <c r="E190" s="175"/>
      <c r="F190" s="175"/>
      <c r="G190" s="175"/>
      <c r="H190" s="175"/>
      <c r="I190" s="175"/>
      <c r="J190" s="175"/>
    </row>
    <row r="191" customFormat="false" ht="15" hidden="true" customHeight="true" outlineLevel="0" collapsed="false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</row>
    <row r="192" customFormat="false" ht="15" hidden="true" customHeight="true" outlineLevel="0" collapsed="false">
      <c r="A192" s="175"/>
      <c r="B192" s="175"/>
      <c r="C192" s="175"/>
      <c r="D192" s="175"/>
      <c r="E192" s="175"/>
      <c r="F192" s="175"/>
      <c r="G192" s="175"/>
      <c r="H192" s="175"/>
      <c r="I192" s="175"/>
      <c r="J192" s="175"/>
    </row>
    <row r="193" customFormat="false" ht="15" hidden="true" customHeight="true" outlineLevel="0" collapsed="false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</row>
    <row r="194" customFormat="false" ht="15" hidden="true" customHeight="true" outlineLevel="0" collapsed="false">
      <c r="A194" s="175"/>
      <c r="B194" s="175"/>
      <c r="C194" s="175"/>
      <c r="D194" s="175"/>
      <c r="E194" s="175"/>
      <c r="F194" s="175"/>
      <c r="G194" s="175"/>
      <c r="H194" s="175"/>
      <c r="I194" s="175"/>
      <c r="J194" s="175"/>
    </row>
    <row r="195" customFormat="false" ht="15" hidden="true" customHeight="true" outlineLevel="0" collapsed="false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</row>
    <row r="196" customFormat="false" ht="15" hidden="true" customHeight="true" outlineLevel="0" collapsed="false">
      <c r="A196" s="175"/>
      <c r="B196" s="175"/>
      <c r="C196" s="175"/>
      <c r="D196" s="175"/>
      <c r="E196" s="175"/>
      <c r="F196" s="175"/>
      <c r="G196" s="175"/>
      <c r="H196" s="175"/>
      <c r="I196" s="175"/>
      <c r="J196" s="175"/>
    </row>
    <row r="197" customFormat="false" ht="15" hidden="true" customHeight="true" outlineLevel="0" collapsed="false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</row>
    <row r="198" customFormat="false" ht="15" hidden="true" customHeight="true" outlineLevel="0" collapsed="false">
      <c r="A198" s="175"/>
      <c r="B198" s="175"/>
      <c r="C198" s="175"/>
      <c r="D198" s="175"/>
      <c r="E198" s="175"/>
      <c r="F198" s="175"/>
      <c r="G198" s="175"/>
      <c r="H198" s="175"/>
      <c r="I198" s="175"/>
      <c r="J198" s="175"/>
    </row>
    <row r="199" customFormat="false" ht="15" hidden="true" customHeight="true" outlineLevel="0" collapsed="false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</row>
    <row r="200" customFormat="false" ht="15" hidden="true" customHeight="true" outlineLevel="0" collapsed="false">
      <c r="A200" s="175"/>
      <c r="B200" s="175"/>
      <c r="C200" s="175"/>
      <c r="D200" s="175"/>
      <c r="E200" s="175"/>
      <c r="F200" s="175"/>
      <c r="G200" s="175"/>
      <c r="H200" s="175"/>
      <c r="I200" s="175"/>
      <c r="J200" s="175"/>
    </row>
    <row r="201" customFormat="false" ht="15" hidden="true" customHeight="true" outlineLevel="0" collapsed="false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</row>
    <row r="202" customFormat="false" ht="15" hidden="true" customHeight="true" outlineLevel="0" collapsed="false">
      <c r="A202" s="175"/>
      <c r="B202" s="175"/>
      <c r="C202" s="175"/>
      <c r="D202" s="175"/>
      <c r="E202" s="175"/>
      <c r="F202" s="175"/>
      <c r="G202" s="175"/>
      <c r="H202" s="175"/>
      <c r="I202" s="175"/>
      <c r="J202" s="175"/>
    </row>
    <row r="203" customFormat="false" ht="15" hidden="true" customHeight="true" outlineLevel="0" collapsed="false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</row>
    <row r="204" customFormat="false" ht="15" hidden="true" customHeight="true" outlineLevel="0" collapsed="false">
      <c r="A204" s="175"/>
      <c r="B204" s="175"/>
      <c r="C204" s="175"/>
      <c r="D204" s="175"/>
      <c r="E204" s="175"/>
      <c r="F204" s="175"/>
      <c r="G204" s="175"/>
      <c r="H204" s="175"/>
      <c r="I204" s="175"/>
      <c r="J204" s="175"/>
    </row>
    <row r="205" customFormat="false" ht="15" hidden="true" customHeight="true" outlineLevel="0" collapsed="false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</row>
    <row r="206" customFormat="false" ht="15" hidden="true" customHeight="true" outlineLevel="0" collapsed="false">
      <c r="A206" s="175"/>
      <c r="B206" s="175"/>
      <c r="C206" s="175"/>
      <c r="D206" s="175"/>
      <c r="E206" s="175"/>
      <c r="F206" s="175"/>
      <c r="G206" s="175"/>
      <c r="H206" s="175"/>
      <c r="I206" s="175"/>
      <c r="J206" s="175"/>
    </row>
    <row r="207" customFormat="false" ht="15" hidden="true" customHeight="true" outlineLevel="0" collapsed="false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</row>
    <row r="208" customFormat="false" ht="15" hidden="true" customHeight="true" outlineLevel="0" collapsed="false">
      <c r="A208" s="175"/>
      <c r="B208" s="175"/>
      <c r="C208" s="175"/>
      <c r="D208" s="175"/>
      <c r="E208" s="175"/>
      <c r="F208" s="175"/>
      <c r="G208" s="175"/>
      <c r="H208" s="175"/>
      <c r="I208" s="175"/>
      <c r="J208" s="175"/>
    </row>
    <row r="209" customFormat="false" ht="15" hidden="true" customHeight="true" outlineLevel="0" collapsed="false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</row>
    <row r="210" customFormat="false" ht="15" hidden="true" customHeight="true" outlineLevel="0" collapsed="false">
      <c r="A210" s="175"/>
      <c r="B210" s="175"/>
      <c r="C210" s="175"/>
      <c r="D210" s="175"/>
      <c r="E210" s="175"/>
      <c r="F210" s="175"/>
      <c r="G210" s="175"/>
      <c r="H210" s="175"/>
      <c r="I210" s="175"/>
      <c r="J210" s="175"/>
    </row>
    <row r="211" customFormat="false" ht="15" hidden="true" customHeight="true" outlineLevel="0" collapsed="false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</row>
    <row r="212" customFormat="false" ht="15" hidden="true" customHeight="true" outlineLevel="0" collapsed="false">
      <c r="A212" s="175"/>
      <c r="B212" s="175"/>
      <c r="C212" s="175"/>
      <c r="D212" s="175"/>
      <c r="E212" s="175"/>
      <c r="F212" s="175"/>
      <c r="G212" s="175"/>
      <c r="H212" s="175"/>
      <c r="I212" s="175"/>
      <c r="J212" s="175"/>
    </row>
    <row r="213" customFormat="false" ht="15" hidden="true" customHeight="true" outlineLevel="0" collapsed="false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</row>
    <row r="214" customFormat="false" ht="15" hidden="true" customHeight="true" outlineLevel="0" collapsed="false">
      <c r="A214" s="175"/>
      <c r="B214" s="175"/>
      <c r="C214" s="175"/>
      <c r="D214" s="175"/>
      <c r="E214" s="175"/>
      <c r="F214" s="175"/>
      <c r="G214" s="175"/>
      <c r="H214" s="175"/>
      <c r="I214" s="175"/>
      <c r="J214" s="175"/>
    </row>
    <row r="215" customFormat="false" ht="15" hidden="true" customHeight="true" outlineLevel="0" collapsed="false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</row>
    <row r="216" customFormat="false" ht="15" hidden="true" customHeight="true" outlineLevel="0" collapsed="false">
      <c r="A216" s="175"/>
      <c r="B216" s="175"/>
      <c r="C216" s="175"/>
      <c r="D216" s="175"/>
      <c r="E216" s="175"/>
      <c r="F216" s="175"/>
      <c r="G216" s="175"/>
      <c r="H216" s="175"/>
      <c r="I216" s="175"/>
      <c r="J216" s="175"/>
    </row>
    <row r="217" customFormat="false" ht="15" hidden="true" customHeight="true" outlineLevel="0" collapsed="false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</row>
    <row r="218" customFormat="false" ht="15" hidden="true" customHeight="true" outlineLevel="0" collapsed="false">
      <c r="A218" s="175"/>
      <c r="B218" s="175"/>
      <c r="C218" s="175"/>
      <c r="D218" s="175"/>
      <c r="E218" s="175"/>
      <c r="F218" s="175"/>
      <c r="G218" s="175"/>
      <c r="H218" s="175"/>
      <c r="I218" s="175"/>
      <c r="J218" s="175"/>
    </row>
    <row r="219" customFormat="false" ht="15" hidden="true" customHeight="true" outlineLevel="0" collapsed="false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</row>
    <row r="220" customFormat="false" ht="15" hidden="true" customHeight="true" outlineLevel="0" collapsed="false">
      <c r="A220" s="175"/>
      <c r="B220" s="175"/>
      <c r="C220" s="175"/>
      <c r="D220" s="175"/>
      <c r="E220" s="175"/>
      <c r="F220" s="175"/>
      <c r="G220" s="175"/>
      <c r="H220" s="175"/>
      <c r="I220" s="175"/>
      <c r="J220" s="175"/>
    </row>
    <row r="221" customFormat="false" ht="15" hidden="true" customHeight="true" outlineLevel="0" collapsed="false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</row>
    <row r="222" customFormat="false" ht="15" hidden="true" customHeight="true" outlineLevel="0" collapsed="false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</row>
    <row r="223" customFormat="false" ht="15" hidden="true" customHeight="true" outlineLevel="0" collapsed="false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</row>
    <row r="224" customFormat="false" ht="15" hidden="true" customHeight="true" outlineLevel="0" collapsed="false">
      <c r="A224" s="175"/>
      <c r="B224" s="175"/>
      <c r="C224" s="175"/>
      <c r="D224" s="175"/>
      <c r="E224" s="175"/>
      <c r="F224" s="175"/>
      <c r="G224" s="175"/>
      <c r="H224" s="175"/>
      <c r="I224" s="175"/>
      <c r="J224" s="175"/>
    </row>
    <row r="225" customFormat="false" ht="15" hidden="true" customHeight="true" outlineLevel="0" collapsed="false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</row>
    <row r="226" customFormat="false" ht="15" hidden="true" customHeight="true" outlineLevel="0" collapsed="false">
      <c r="A226" s="175"/>
      <c r="B226" s="175"/>
      <c r="C226" s="175"/>
      <c r="D226" s="175"/>
      <c r="E226" s="175"/>
      <c r="F226" s="175"/>
      <c r="G226" s="175"/>
      <c r="H226" s="175"/>
      <c r="I226" s="175"/>
      <c r="J226" s="175"/>
    </row>
    <row r="227" customFormat="false" ht="15" hidden="true" customHeight="true" outlineLevel="0" collapsed="false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</row>
    <row r="228" customFormat="false" ht="15" hidden="true" customHeight="true" outlineLevel="0" collapsed="false">
      <c r="A228" s="175"/>
      <c r="B228" s="175"/>
      <c r="C228" s="175"/>
      <c r="D228" s="175"/>
      <c r="E228" s="175"/>
      <c r="F228" s="175"/>
      <c r="G228" s="175"/>
      <c r="H228" s="175"/>
      <c r="I228" s="175"/>
      <c r="J228" s="175"/>
    </row>
    <row r="229" customFormat="false" ht="15" hidden="true" customHeight="true" outlineLevel="0" collapsed="false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</row>
    <row r="230" customFormat="false" ht="15" hidden="true" customHeight="true" outlineLevel="0" collapsed="false">
      <c r="A230" s="175"/>
      <c r="B230" s="175"/>
      <c r="C230" s="175"/>
      <c r="D230" s="175"/>
      <c r="E230" s="175"/>
      <c r="F230" s="175"/>
      <c r="G230" s="175"/>
      <c r="H230" s="175"/>
      <c r="I230" s="175"/>
      <c r="J230" s="175"/>
    </row>
    <row r="231" customFormat="false" ht="15" hidden="true" customHeight="true" outlineLevel="0" collapsed="false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</row>
    <row r="232" customFormat="false" ht="15" hidden="true" customHeight="true" outlineLevel="0" collapsed="false">
      <c r="A232" s="175"/>
      <c r="B232" s="175"/>
      <c r="C232" s="175"/>
      <c r="D232" s="175"/>
      <c r="E232" s="175"/>
      <c r="F232" s="175"/>
      <c r="G232" s="175"/>
      <c r="H232" s="175"/>
      <c r="I232" s="175"/>
      <c r="J232" s="175"/>
    </row>
    <row r="233" customFormat="false" ht="15" hidden="true" customHeight="true" outlineLevel="0" collapsed="false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</row>
    <row r="234" customFormat="false" ht="15" hidden="true" customHeight="true" outlineLevel="0" collapsed="false">
      <c r="A234" s="175"/>
      <c r="B234" s="175"/>
      <c r="C234" s="175"/>
      <c r="D234" s="175"/>
      <c r="E234" s="175"/>
      <c r="F234" s="175"/>
      <c r="G234" s="175"/>
      <c r="H234" s="175"/>
      <c r="I234" s="175"/>
      <c r="J234" s="175"/>
    </row>
    <row r="235" customFormat="false" ht="15" hidden="true" customHeight="true" outlineLevel="0" collapsed="false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</row>
    <row r="236" customFormat="false" ht="15" hidden="true" customHeight="true" outlineLevel="0" collapsed="false">
      <c r="A236" s="175"/>
      <c r="B236" s="175"/>
      <c r="C236" s="175"/>
      <c r="D236" s="175"/>
      <c r="E236" s="175"/>
      <c r="F236" s="175"/>
      <c r="G236" s="175"/>
      <c r="H236" s="175"/>
      <c r="I236" s="175"/>
      <c r="J236" s="175"/>
    </row>
    <row r="237" customFormat="false" ht="15" hidden="true" customHeight="true" outlineLevel="0" collapsed="false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</row>
    <row r="238" customFormat="false" ht="15" hidden="true" customHeight="true" outlineLevel="0" collapsed="false">
      <c r="A238" s="175"/>
      <c r="B238" s="175"/>
      <c r="C238" s="175"/>
      <c r="D238" s="175"/>
      <c r="E238" s="175"/>
      <c r="F238" s="175"/>
      <c r="G238" s="175"/>
      <c r="H238" s="175"/>
      <c r="I238" s="175"/>
      <c r="J238" s="175"/>
    </row>
    <row r="239" customFormat="false" ht="15" hidden="true" customHeight="true" outlineLevel="0" collapsed="false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</row>
    <row r="240" customFormat="false" ht="15" hidden="true" customHeight="true" outlineLevel="0" collapsed="false">
      <c r="A240" s="175"/>
      <c r="B240" s="175"/>
      <c r="C240" s="175"/>
      <c r="D240" s="175"/>
      <c r="E240" s="175"/>
      <c r="F240" s="175"/>
      <c r="G240" s="175"/>
      <c r="H240" s="175"/>
      <c r="I240" s="175"/>
      <c r="J240" s="175"/>
    </row>
    <row r="241" customFormat="false" ht="15" hidden="true" customHeight="true" outlineLevel="0" collapsed="false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</row>
    <row r="242" customFormat="false" ht="15" hidden="true" customHeight="true" outlineLevel="0" collapsed="false">
      <c r="A242" s="175"/>
      <c r="B242" s="175"/>
      <c r="C242" s="175"/>
      <c r="D242" s="175"/>
      <c r="E242" s="175"/>
      <c r="F242" s="175"/>
      <c r="G242" s="175"/>
      <c r="H242" s="175"/>
      <c r="I242" s="175"/>
      <c r="J242" s="175"/>
    </row>
    <row r="243" customFormat="false" ht="15" hidden="true" customHeight="true" outlineLevel="0" collapsed="false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</row>
    <row r="244" customFormat="false" ht="15" hidden="true" customHeight="true" outlineLevel="0" collapsed="false">
      <c r="A244" s="175"/>
      <c r="B244" s="175"/>
      <c r="C244" s="175"/>
      <c r="D244" s="175"/>
      <c r="E244" s="175"/>
      <c r="F244" s="175"/>
      <c r="G244" s="175"/>
      <c r="H244" s="175"/>
      <c r="I244" s="175"/>
      <c r="J244" s="175"/>
    </row>
    <row r="245" customFormat="false" ht="15" hidden="true" customHeight="true" outlineLevel="0" collapsed="false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</row>
    <row r="246" customFormat="false" ht="15" hidden="true" customHeight="true" outlineLevel="0" collapsed="false">
      <c r="A246" s="175"/>
      <c r="B246" s="175"/>
      <c r="C246" s="175"/>
      <c r="D246" s="175"/>
      <c r="E246" s="175"/>
      <c r="F246" s="175"/>
      <c r="G246" s="175"/>
      <c r="H246" s="175"/>
      <c r="I246" s="175"/>
      <c r="J246" s="175"/>
    </row>
    <row r="247" customFormat="false" ht="15" hidden="true" customHeight="true" outlineLevel="0" collapsed="false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</row>
    <row r="248" customFormat="false" ht="15" hidden="true" customHeight="true" outlineLevel="0" collapsed="false">
      <c r="A248" s="175"/>
      <c r="B248" s="175"/>
      <c r="C248" s="175"/>
      <c r="D248" s="175"/>
      <c r="E248" s="175"/>
      <c r="F248" s="175"/>
      <c r="G248" s="175"/>
      <c r="H248" s="175"/>
      <c r="I248" s="175"/>
      <c r="J248" s="175"/>
    </row>
    <row r="249" customFormat="false" ht="15" hidden="true" customHeight="true" outlineLevel="0" collapsed="false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</row>
    <row r="250" customFormat="false" ht="15" hidden="true" customHeight="true" outlineLevel="0" collapsed="false">
      <c r="A250" s="175"/>
      <c r="B250" s="175"/>
      <c r="C250" s="175"/>
      <c r="D250" s="175"/>
      <c r="E250" s="175"/>
      <c r="F250" s="175"/>
      <c r="G250" s="175"/>
      <c r="H250" s="175"/>
      <c r="I250" s="175"/>
      <c r="J250" s="175"/>
    </row>
    <row r="251" customFormat="false" ht="15" hidden="true" customHeight="true" outlineLevel="0" collapsed="false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</row>
    <row r="252" customFormat="false" ht="15" hidden="true" customHeight="true" outlineLevel="0" collapsed="false">
      <c r="A252" s="175"/>
      <c r="B252" s="175"/>
      <c r="C252" s="175"/>
      <c r="D252" s="175"/>
      <c r="E252" s="175"/>
      <c r="F252" s="175"/>
      <c r="G252" s="175"/>
      <c r="H252" s="175"/>
      <c r="I252" s="175"/>
      <c r="J252" s="175"/>
    </row>
    <row r="253" customFormat="false" ht="15" hidden="true" customHeight="true" outlineLevel="0" collapsed="false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</row>
    <row r="254" customFormat="false" ht="15" hidden="true" customHeight="true" outlineLevel="0" collapsed="false">
      <c r="A254" s="175"/>
      <c r="B254" s="175"/>
      <c r="C254" s="175"/>
      <c r="D254" s="175"/>
      <c r="E254" s="175"/>
      <c r="F254" s="175"/>
      <c r="G254" s="175"/>
      <c r="H254" s="175"/>
      <c r="I254" s="175"/>
      <c r="J254" s="175"/>
    </row>
    <row r="255" customFormat="false" ht="15" hidden="true" customHeight="true" outlineLevel="0" collapsed="false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</row>
    <row r="256" customFormat="false" ht="15" hidden="true" customHeight="true" outlineLevel="0" collapsed="false">
      <c r="A256" s="175"/>
      <c r="B256" s="175"/>
      <c r="C256" s="175"/>
      <c r="D256" s="175"/>
      <c r="E256" s="175"/>
      <c r="F256" s="175"/>
      <c r="G256" s="175"/>
      <c r="H256" s="175"/>
      <c r="I256" s="175"/>
      <c r="J256" s="175"/>
    </row>
    <row r="257" customFormat="false" ht="15" hidden="true" customHeight="true" outlineLevel="0" collapsed="false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</row>
    <row r="258" customFormat="false" ht="15" hidden="true" customHeight="true" outlineLevel="0" collapsed="false">
      <c r="A258" s="175"/>
      <c r="B258" s="175"/>
      <c r="C258" s="175"/>
      <c r="D258" s="175"/>
      <c r="E258" s="175"/>
      <c r="F258" s="175"/>
      <c r="G258" s="175"/>
      <c r="H258" s="175"/>
      <c r="I258" s="175"/>
      <c r="J258" s="175"/>
    </row>
    <row r="259" customFormat="false" ht="15" hidden="true" customHeight="true" outlineLevel="0" collapsed="false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</row>
    <row r="260" customFormat="false" ht="15" hidden="true" customHeight="true" outlineLevel="0" collapsed="false">
      <c r="A260" s="175"/>
      <c r="B260" s="175"/>
      <c r="C260" s="175"/>
      <c r="D260" s="175"/>
      <c r="E260" s="175"/>
      <c r="F260" s="175"/>
      <c r="G260" s="175"/>
      <c r="H260" s="175"/>
      <c r="I260" s="175"/>
      <c r="J260" s="175"/>
    </row>
    <row r="261" customFormat="false" ht="15" hidden="true" customHeight="true" outlineLevel="0" collapsed="false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</row>
    <row r="262" customFormat="false" ht="15" hidden="true" customHeight="true" outlineLevel="0" collapsed="false">
      <c r="A262" s="175"/>
      <c r="B262" s="175"/>
      <c r="C262" s="175"/>
      <c r="D262" s="175"/>
      <c r="E262" s="175"/>
      <c r="F262" s="175"/>
      <c r="G262" s="175"/>
      <c r="H262" s="175"/>
      <c r="I262" s="175"/>
      <c r="J262" s="175"/>
    </row>
    <row r="263" customFormat="false" ht="15" hidden="true" customHeight="true" outlineLevel="0" collapsed="false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</row>
    <row r="264" customFormat="false" ht="15" hidden="true" customHeight="true" outlineLevel="0" collapsed="false">
      <c r="A264" s="175"/>
      <c r="B264" s="175"/>
      <c r="C264" s="175"/>
      <c r="D264" s="175"/>
      <c r="E264" s="175"/>
      <c r="F264" s="175"/>
      <c r="G264" s="175"/>
      <c r="H264" s="175"/>
      <c r="I264" s="175"/>
      <c r="J264" s="175"/>
    </row>
    <row r="265" customFormat="false" ht="15" hidden="true" customHeight="true" outlineLevel="0" collapsed="false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</row>
    <row r="266" customFormat="false" ht="15" hidden="true" customHeight="true" outlineLevel="0" collapsed="false">
      <c r="A266" s="175"/>
      <c r="B266" s="175"/>
      <c r="C266" s="175"/>
      <c r="D266" s="175"/>
      <c r="E266" s="175"/>
      <c r="F266" s="175"/>
      <c r="G266" s="175"/>
      <c r="H266" s="175"/>
      <c r="I266" s="175"/>
      <c r="J266" s="175"/>
    </row>
    <row r="267" customFormat="false" ht="15" hidden="true" customHeight="true" outlineLevel="0" collapsed="false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</row>
    <row r="268" customFormat="false" ht="15" hidden="true" customHeight="true" outlineLevel="0" collapsed="false">
      <c r="A268" s="175"/>
      <c r="B268" s="175"/>
      <c r="C268" s="175"/>
      <c r="D268" s="175"/>
      <c r="E268" s="175"/>
      <c r="F268" s="175"/>
      <c r="G268" s="175"/>
      <c r="H268" s="175"/>
      <c r="I268" s="175"/>
      <c r="J268" s="175"/>
    </row>
    <row r="269" customFormat="false" ht="15" hidden="true" customHeight="true" outlineLevel="0" collapsed="false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</row>
    <row r="270" customFormat="false" ht="15" hidden="true" customHeight="true" outlineLevel="0" collapsed="false">
      <c r="A270" s="175"/>
      <c r="B270" s="175"/>
      <c r="C270" s="175"/>
      <c r="D270" s="175"/>
      <c r="E270" s="175"/>
      <c r="F270" s="175"/>
      <c r="G270" s="175"/>
      <c r="H270" s="175"/>
      <c r="I270" s="175"/>
      <c r="J270" s="175"/>
    </row>
    <row r="271" customFormat="false" ht="15" hidden="true" customHeight="true" outlineLevel="0" collapsed="false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</row>
    <row r="272" customFormat="false" ht="15" hidden="true" customHeight="true" outlineLevel="0" collapsed="false">
      <c r="A272" s="175"/>
      <c r="B272" s="175"/>
      <c r="C272" s="175"/>
      <c r="D272" s="175"/>
      <c r="E272" s="175"/>
      <c r="F272" s="175"/>
      <c r="G272" s="175"/>
      <c r="H272" s="175"/>
      <c r="I272" s="175"/>
      <c r="J272" s="175"/>
    </row>
    <row r="273" customFormat="false" ht="15" hidden="true" customHeight="true" outlineLevel="0" collapsed="false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</row>
    <row r="274" customFormat="false" ht="15" hidden="true" customHeight="true" outlineLevel="0" collapsed="false">
      <c r="A274" s="175"/>
      <c r="B274" s="175"/>
      <c r="C274" s="175"/>
      <c r="D274" s="175"/>
      <c r="E274" s="175"/>
      <c r="F274" s="175"/>
      <c r="G274" s="175"/>
      <c r="H274" s="175"/>
      <c r="I274" s="175"/>
      <c r="J274" s="175"/>
    </row>
    <row r="275" customFormat="false" ht="15" hidden="true" customHeight="true" outlineLevel="0" collapsed="false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</row>
    <row r="276" customFormat="false" ht="15" hidden="true" customHeight="true" outlineLevel="0" collapsed="false">
      <c r="A276" s="175"/>
      <c r="B276" s="175"/>
      <c r="C276" s="175"/>
      <c r="D276" s="175"/>
      <c r="E276" s="175"/>
      <c r="F276" s="175"/>
      <c r="G276" s="175"/>
      <c r="H276" s="175"/>
      <c r="I276" s="175"/>
      <c r="J276" s="175"/>
    </row>
    <row r="277" customFormat="false" ht="15" hidden="true" customHeight="true" outlineLevel="0" collapsed="false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</row>
    <row r="278" customFormat="false" ht="15" hidden="true" customHeight="true" outlineLevel="0" collapsed="false">
      <c r="A278" s="175"/>
      <c r="B278" s="175"/>
      <c r="C278" s="175"/>
      <c r="D278" s="175"/>
      <c r="E278" s="175"/>
      <c r="F278" s="175"/>
      <c r="G278" s="175"/>
      <c r="H278" s="175"/>
      <c r="I278" s="175"/>
      <c r="J278" s="175"/>
    </row>
    <row r="279" customFormat="false" ht="15" hidden="true" customHeight="true" outlineLevel="0" collapsed="false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</row>
    <row r="280" customFormat="false" ht="15" hidden="true" customHeight="true" outlineLevel="0" collapsed="false">
      <c r="A280" s="175"/>
      <c r="B280" s="175"/>
      <c r="C280" s="175"/>
      <c r="D280" s="175"/>
      <c r="E280" s="175"/>
      <c r="F280" s="175"/>
      <c r="G280" s="175"/>
      <c r="H280" s="175"/>
      <c r="I280" s="175"/>
      <c r="J280" s="175"/>
    </row>
    <row r="281" customFormat="false" ht="15" hidden="true" customHeight="true" outlineLevel="0" collapsed="false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</row>
    <row r="282" customFormat="false" ht="15" hidden="true" customHeight="true" outlineLevel="0" collapsed="false">
      <c r="A282" s="175"/>
      <c r="B282" s="175"/>
      <c r="C282" s="175"/>
      <c r="D282" s="175"/>
      <c r="E282" s="175"/>
      <c r="F282" s="175"/>
      <c r="G282" s="175"/>
      <c r="H282" s="175"/>
      <c r="I282" s="175"/>
      <c r="J282" s="175"/>
    </row>
    <row r="283" customFormat="false" ht="15" hidden="true" customHeight="true" outlineLevel="0" collapsed="false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</row>
    <row r="284" customFormat="false" ht="15" hidden="true" customHeight="true" outlineLevel="0" collapsed="false">
      <c r="A284" s="175"/>
      <c r="B284" s="175"/>
      <c r="C284" s="175"/>
      <c r="D284" s="175"/>
      <c r="E284" s="175"/>
      <c r="F284" s="175"/>
      <c r="G284" s="175"/>
      <c r="H284" s="175"/>
      <c r="I284" s="175"/>
      <c r="J284" s="175"/>
    </row>
    <row r="285" customFormat="false" ht="15" hidden="true" customHeight="true" outlineLevel="0" collapsed="false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</row>
    <row r="286" customFormat="false" ht="15" hidden="true" customHeight="true" outlineLevel="0" collapsed="false">
      <c r="A286" s="175"/>
      <c r="B286" s="175"/>
      <c r="C286" s="175"/>
      <c r="D286" s="175"/>
      <c r="E286" s="175"/>
      <c r="F286" s="175"/>
      <c r="G286" s="175"/>
      <c r="H286" s="175"/>
      <c r="I286" s="175"/>
      <c r="J286" s="175"/>
    </row>
    <row r="287" customFormat="false" ht="15" hidden="true" customHeight="true" outlineLevel="0" collapsed="false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</row>
    <row r="288" customFormat="false" ht="15" hidden="true" customHeight="true" outlineLevel="0" collapsed="false">
      <c r="A288" s="175"/>
      <c r="B288" s="175"/>
      <c r="C288" s="175"/>
      <c r="D288" s="175"/>
      <c r="E288" s="175"/>
      <c r="F288" s="175"/>
      <c r="G288" s="175"/>
      <c r="H288" s="175"/>
      <c r="I288" s="175"/>
      <c r="J288" s="175"/>
    </row>
    <row r="289" customFormat="false" ht="15" hidden="true" customHeight="true" outlineLevel="0" collapsed="false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</row>
    <row r="290" customFormat="false" ht="15" hidden="true" customHeight="true" outlineLevel="0" collapsed="false">
      <c r="A290" s="175"/>
      <c r="B290" s="175"/>
      <c r="C290" s="175"/>
      <c r="D290" s="175"/>
      <c r="E290" s="175"/>
      <c r="F290" s="175"/>
      <c r="G290" s="175"/>
      <c r="H290" s="175"/>
      <c r="I290" s="175"/>
      <c r="J290" s="175"/>
    </row>
    <row r="291" customFormat="false" ht="15" hidden="true" customHeight="true" outlineLevel="0" collapsed="false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</row>
    <row r="292" customFormat="false" ht="15" hidden="true" customHeight="true" outlineLevel="0" collapsed="false">
      <c r="A292" s="175"/>
      <c r="B292" s="175"/>
      <c r="C292" s="175"/>
      <c r="D292" s="175"/>
      <c r="E292" s="175"/>
      <c r="F292" s="175"/>
      <c r="G292" s="175"/>
      <c r="H292" s="175"/>
      <c r="I292" s="175"/>
      <c r="J292" s="175"/>
    </row>
    <row r="293" customFormat="false" ht="15" hidden="true" customHeight="true" outlineLevel="0" collapsed="false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</row>
    <row r="294" customFormat="false" ht="15" hidden="true" customHeight="true" outlineLevel="0" collapsed="false">
      <c r="A294" s="175"/>
      <c r="B294" s="175"/>
      <c r="C294" s="175"/>
      <c r="D294" s="175"/>
      <c r="E294" s="175"/>
      <c r="F294" s="175"/>
      <c r="G294" s="175"/>
      <c r="H294" s="175"/>
      <c r="I294" s="175"/>
      <c r="J294" s="175"/>
    </row>
    <row r="295" customFormat="false" ht="15" hidden="true" customHeight="true" outlineLevel="0" collapsed="false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</row>
    <row r="296" customFormat="false" ht="15" hidden="true" customHeight="true" outlineLevel="0" collapsed="false">
      <c r="A296" s="175"/>
      <c r="B296" s="175"/>
      <c r="C296" s="175"/>
      <c r="D296" s="175"/>
      <c r="E296" s="175"/>
      <c r="F296" s="175"/>
      <c r="G296" s="175"/>
      <c r="H296" s="175"/>
      <c r="I296" s="175"/>
      <c r="J296" s="175"/>
    </row>
    <row r="297" customFormat="false" ht="15" hidden="true" customHeight="true" outlineLevel="0" collapsed="false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</row>
    <row r="298" customFormat="false" ht="15" hidden="true" customHeight="true" outlineLevel="0" collapsed="false">
      <c r="A298" s="175"/>
      <c r="B298" s="175"/>
      <c r="C298" s="175"/>
      <c r="D298" s="175"/>
      <c r="E298" s="175"/>
      <c r="F298" s="175"/>
      <c r="G298" s="175"/>
      <c r="H298" s="175"/>
      <c r="I298" s="175"/>
      <c r="J298" s="175"/>
    </row>
    <row r="299" customFormat="false" ht="15" hidden="true" customHeight="true" outlineLevel="0" collapsed="false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</row>
    <row r="300" customFormat="false" ht="15" hidden="true" customHeight="true" outlineLevel="0" collapsed="false">
      <c r="A300" s="175"/>
      <c r="B300" s="175"/>
      <c r="C300" s="175"/>
      <c r="D300" s="175"/>
      <c r="E300" s="175"/>
      <c r="F300" s="175"/>
      <c r="G300" s="175"/>
      <c r="H300" s="175"/>
      <c r="I300" s="175"/>
      <c r="J300" s="175"/>
    </row>
    <row r="301" customFormat="false" ht="15" hidden="true" customHeight="true" outlineLevel="0" collapsed="false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</row>
    <row r="302" customFormat="false" ht="15" hidden="true" customHeight="true" outlineLevel="0" collapsed="false">
      <c r="A302" s="175"/>
      <c r="B302" s="175"/>
      <c r="C302" s="175"/>
      <c r="D302" s="175"/>
      <c r="E302" s="175"/>
      <c r="F302" s="175"/>
      <c r="G302" s="175"/>
      <c r="H302" s="175"/>
      <c r="I302" s="175"/>
      <c r="J302" s="175"/>
    </row>
    <row r="303" customFormat="false" ht="15" hidden="true" customHeight="true" outlineLevel="0" collapsed="false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</row>
    <row r="304" customFormat="false" ht="15" hidden="true" customHeight="true" outlineLevel="0" collapsed="false">
      <c r="A304" s="175"/>
      <c r="B304" s="175"/>
      <c r="C304" s="175"/>
      <c r="D304" s="175"/>
      <c r="E304" s="175"/>
      <c r="F304" s="175"/>
      <c r="G304" s="175"/>
      <c r="H304" s="175"/>
      <c r="I304" s="175"/>
      <c r="J304" s="175"/>
    </row>
    <row r="305" customFormat="false" ht="15" hidden="true" customHeight="true" outlineLevel="0" collapsed="false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</row>
    <row r="306" customFormat="false" ht="15" hidden="true" customHeight="true" outlineLevel="0" collapsed="false">
      <c r="A306" s="175"/>
      <c r="B306" s="175"/>
      <c r="C306" s="175"/>
      <c r="D306" s="175"/>
      <c r="E306" s="175"/>
      <c r="F306" s="175"/>
      <c r="G306" s="175"/>
      <c r="H306" s="175"/>
      <c r="I306" s="175"/>
      <c r="J306" s="175"/>
    </row>
    <row r="307" customFormat="false" ht="15" hidden="true" customHeight="true" outlineLevel="0" collapsed="false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</row>
    <row r="308" customFormat="false" ht="15" hidden="true" customHeight="true" outlineLevel="0" collapsed="false">
      <c r="A308" s="175"/>
      <c r="B308" s="175"/>
      <c r="C308" s="175"/>
      <c r="D308" s="175"/>
      <c r="E308" s="175"/>
      <c r="F308" s="175"/>
      <c r="G308" s="175"/>
      <c r="H308" s="175"/>
      <c r="I308" s="175"/>
      <c r="J308" s="175"/>
    </row>
    <row r="309" customFormat="false" ht="15" hidden="true" customHeight="true" outlineLevel="0" collapsed="false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</row>
    <row r="310" customFormat="false" ht="15" hidden="true" customHeight="true" outlineLevel="0" collapsed="false">
      <c r="A310" s="175"/>
      <c r="B310" s="175"/>
      <c r="C310" s="175"/>
      <c r="D310" s="175"/>
      <c r="E310" s="175"/>
      <c r="F310" s="175"/>
      <c r="G310" s="175"/>
      <c r="H310" s="175"/>
      <c r="I310" s="175"/>
      <c r="J310" s="175"/>
    </row>
    <row r="311" customFormat="false" ht="15" hidden="true" customHeight="true" outlineLevel="0" collapsed="false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</row>
    <row r="312" customFormat="false" ht="15" hidden="true" customHeight="true" outlineLevel="0" collapsed="false">
      <c r="A312" s="175"/>
      <c r="B312" s="175"/>
      <c r="C312" s="175"/>
      <c r="D312" s="175"/>
      <c r="E312" s="175"/>
      <c r="F312" s="175"/>
      <c r="G312" s="175"/>
      <c r="H312" s="175"/>
      <c r="I312" s="175"/>
      <c r="J312" s="175"/>
    </row>
    <row r="313" customFormat="false" ht="15" hidden="true" customHeight="true" outlineLevel="0" collapsed="false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</row>
    <row r="314" customFormat="false" ht="15" hidden="true" customHeight="true" outlineLevel="0" collapsed="false">
      <c r="A314" s="175"/>
      <c r="B314" s="175"/>
      <c r="C314" s="175"/>
      <c r="D314" s="175"/>
      <c r="E314" s="175"/>
      <c r="F314" s="175"/>
      <c r="G314" s="175"/>
      <c r="H314" s="175"/>
      <c r="I314" s="175"/>
      <c r="J314" s="175"/>
    </row>
    <row r="315" customFormat="false" ht="15" hidden="true" customHeight="true" outlineLevel="0" collapsed="false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</row>
    <row r="316" customFormat="false" ht="15" hidden="true" customHeight="true" outlineLevel="0" collapsed="false">
      <c r="A316" s="175"/>
      <c r="B316" s="175"/>
      <c r="C316" s="175"/>
      <c r="D316" s="175"/>
      <c r="E316" s="175"/>
      <c r="F316" s="175"/>
      <c r="G316" s="175"/>
      <c r="H316" s="175"/>
      <c r="I316" s="175"/>
      <c r="J316" s="175"/>
    </row>
    <row r="317" customFormat="false" ht="15" hidden="true" customHeight="true" outlineLevel="0" collapsed="false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</row>
    <row r="318" customFormat="false" ht="15" hidden="true" customHeight="true" outlineLevel="0" collapsed="false">
      <c r="A318" s="175"/>
      <c r="B318" s="175"/>
      <c r="C318" s="175"/>
      <c r="D318" s="175"/>
      <c r="E318" s="175"/>
      <c r="F318" s="175"/>
      <c r="G318" s="175"/>
      <c r="H318" s="175"/>
      <c r="I318" s="175"/>
      <c r="J318" s="175"/>
    </row>
    <row r="319" customFormat="false" ht="15" hidden="true" customHeight="true" outlineLevel="0" collapsed="false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</row>
    <row r="320" customFormat="false" ht="15" hidden="true" customHeight="true" outlineLevel="0" collapsed="false">
      <c r="A320" s="175"/>
      <c r="B320" s="175"/>
      <c r="C320" s="175"/>
      <c r="D320" s="175"/>
      <c r="E320" s="175"/>
      <c r="F320" s="175"/>
      <c r="G320" s="175"/>
      <c r="H320" s="175"/>
      <c r="I320" s="175"/>
      <c r="J320" s="175"/>
    </row>
    <row r="321" customFormat="false" ht="15" hidden="true" customHeight="true" outlineLevel="0" collapsed="false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</row>
    <row r="322" customFormat="false" ht="15" hidden="true" customHeight="true" outlineLevel="0" collapsed="false">
      <c r="A322" s="175"/>
      <c r="B322" s="175"/>
      <c r="C322" s="175"/>
      <c r="D322" s="175"/>
      <c r="E322" s="175"/>
      <c r="F322" s="175"/>
      <c r="G322" s="175"/>
      <c r="H322" s="175"/>
      <c r="I322" s="175"/>
      <c r="J322" s="175"/>
    </row>
    <row r="323" customFormat="false" ht="15" hidden="true" customHeight="true" outlineLevel="0" collapsed="false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</row>
    <row r="324" customFormat="false" ht="15" hidden="true" customHeight="true" outlineLevel="0" collapsed="false">
      <c r="A324" s="175"/>
      <c r="B324" s="175"/>
      <c r="C324" s="175"/>
      <c r="D324" s="175"/>
      <c r="E324" s="175"/>
      <c r="F324" s="175"/>
      <c r="G324" s="175"/>
      <c r="H324" s="175"/>
      <c r="I324" s="175"/>
      <c r="J324" s="175"/>
    </row>
    <row r="325" customFormat="false" ht="15" hidden="true" customHeight="true" outlineLevel="0" collapsed="false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</row>
    <row r="326" customFormat="false" ht="15" hidden="true" customHeight="true" outlineLevel="0" collapsed="false">
      <c r="A326" s="175"/>
      <c r="B326" s="175"/>
      <c r="C326" s="175"/>
      <c r="D326" s="175"/>
      <c r="E326" s="175"/>
      <c r="F326" s="175"/>
      <c r="G326" s="175"/>
      <c r="H326" s="175"/>
      <c r="I326" s="175"/>
      <c r="J326" s="175"/>
    </row>
    <row r="327" customFormat="false" ht="15" hidden="true" customHeight="true" outlineLevel="0" collapsed="false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</row>
    <row r="328" customFormat="false" ht="15" hidden="true" customHeight="true" outlineLevel="0" collapsed="false">
      <c r="A328" s="175"/>
      <c r="B328" s="175"/>
      <c r="C328" s="175"/>
      <c r="D328" s="175"/>
      <c r="E328" s="175"/>
      <c r="F328" s="175"/>
      <c r="G328" s="175"/>
      <c r="H328" s="175"/>
      <c r="I328" s="175"/>
      <c r="J328" s="175"/>
    </row>
    <row r="329" customFormat="false" ht="15" hidden="true" customHeight="true" outlineLevel="0" collapsed="false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</row>
    <row r="330" customFormat="false" ht="15" hidden="true" customHeight="true" outlineLevel="0" collapsed="false">
      <c r="A330" s="175"/>
      <c r="B330" s="175"/>
      <c r="C330" s="175"/>
      <c r="D330" s="175"/>
      <c r="E330" s="175"/>
      <c r="F330" s="175"/>
      <c r="G330" s="175"/>
      <c r="H330" s="175"/>
      <c r="I330" s="175"/>
      <c r="J330" s="175"/>
    </row>
    <row r="331" customFormat="false" ht="15" hidden="true" customHeight="true" outlineLevel="0" collapsed="false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</row>
    <row r="332" customFormat="false" ht="15" hidden="true" customHeight="true" outlineLevel="0" collapsed="false">
      <c r="A332" s="175"/>
      <c r="B332" s="175"/>
      <c r="C332" s="175"/>
      <c r="D332" s="175"/>
      <c r="E332" s="175"/>
      <c r="F332" s="175"/>
      <c r="G332" s="175"/>
      <c r="H332" s="175"/>
      <c r="I332" s="175"/>
      <c r="J332" s="175"/>
    </row>
    <row r="333" customFormat="false" ht="15" hidden="true" customHeight="true" outlineLevel="0" collapsed="false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</row>
    <row r="334" customFormat="false" ht="15" hidden="true" customHeight="true" outlineLevel="0" collapsed="false">
      <c r="A334" s="175"/>
      <c r="B334" s="175"/>
      <c r="C334" s="175"/>
      <c r="D334" s="175"/>
      <c r="E334" s="175"/>
      <c r="F334" s="175"/>
      <c r="G334" s="175"/>
      <c r="H334" s="175"/>
      <c r="I334" s="175"/>
      <c r="J334" s="175"/>
    </row>
    <row r="335" customFormat="false" ht="15" hidden="true" customHeight="true" outlineLevel="0" collapsed="false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</row>
    <row r="336" customFormat="false" ht="15" hidden="true" customHeight="true" outlineLevel="0" collapsed="false">
      <c r="A336" s="175"/>
      <c r="B336" s="175"/>
      <c r="C336" s="175"/>
      <c r="D336" s="175"/>
      <c r="E336" s="175"/>
      <c r="F336" s="175"/>
      <c r="G336" s="175"/>
      <c r="H336" s="175"/>
      <c r="I336" s="175"/>
      <c r="J336" s="175"/>
    </row>
    <row r="337" customFormat="false" ht="15" hidden="true" customHeight="true" outlineLevel="0" collapsed="false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</row>
    <row r="338" customFormat="false" ht="15" hidden="true" customHeight="true" outlineLevel="0" collapsed="false">
      <c r="A338" s="175"/>
      <c r="B338" s="175"/>
      <c r="C338" s="175"/>
      <c r="D338" s="175"/>
      <c r="E338" s="175"/>
      <c r="F338" s="175"/>
      <c r="G338" s="175"/>
      <c r="H338" s="175"/>
      <c r="I338" s="175"/>
      <c r="J338" s="175"/>
    </row>
    <row r="339" customFormat="false" ht="15" hidden="true" customHeight="true" outlineLevel="0" collapsed="false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</row>
    <row r="340" customFormat="false" ht="15" hidden="true" customHeight="true" outlineLevel="0" collapsed="false">
      <c r="A340" s="175"/>
      <c r="B340" s="175"/>
      <c r="C340" s="175"/>
      <c r="D340" s="175"/>
      <c r="E340" s="175"/>
      <c r="F340" s="175"/>
      <c r="G340" s="175"/>
      <c r="H340" s="175"/>
      <c r="I340" s="175"/>
      <c r="J340" s="175"/>
    </row>
    <row r="341" customFormat="false" ht="15" hidden="true" customHeight="true" outlineLevel="0" collapsed="false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</row>
    <row r="342" customFormat="false" ht="15" hidden="true" customHeight="true" outlineLevel="0" collapsed="false">
      <c r="A342" s="175"/>
      <c r="B342" s="175"/>
      <c r="C342" s="175"/>
      <c r="D342" s="175"/>
      <c r="E342" s="175"/>
      <c r="F342" s="175"/>
      <c r="G342" s="175"/>
      <c r="H342" s="175"/>
      <c r="I342" s="175"/>
      <c r="J342" s="175"/>
    </row>
    <row r="343" customFormat="false" ht="15" hidden="true" customHeight="true" outlineLevel="0" collapsed="false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</row>
    <row r="344" customFormat="false" ht="15" hidden="true" customHeight="true" outlineLevel="0" collapsed="false">
      <c r="A344" s="175"/>
      <c r="B344" s="175"/>
      <c r="C344" s="175"/>
      <c r="D344" s="175"/>
      <c r="E344" s="175"/>
      <c r="F344" s="175"/>
      <c r="G344" s="175"/>
      <c r="H344" s="175"/>
      <c r="I344" s="175"/>
      <c r="J344" s="175"/>
    </row>
    <row r="345" customFormat="false" ht="15" hidden="true" customHeight="true" outlineLevel="0" collapsed="false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</row>
    <row r="346" customFormat="false" ht="15" hidden="true" customHeight="true" outlineLevel="0" collapsed="false">
      <c r="A346" s="175"/>
      <c r="B346" s="175"/>
      <c r="C346" s="175"/>
      <c r="D346" s="175"/>
      <c r="E346" s="175"/>
      <c r="F346" s="175"/>
      <c r="G346" s="175"/>
      <c r="H346" s="175"/>
      <c r="I346" s="175"/>
      <c r="J346" s="175"/>
    </row>
    <row r="347" customFormat="false" ht="15" hidden="true" customHeight="true" outlineLevel="0" collapsed="false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</row>
    <row r="348" customFormat="false" ht="15" hidden="true" customHeight="true" outlineLevel="0" collapsed="false">
      <c r="A348" s="175"/>
      <c r="B348" s="175"/>
      <c r="C348" s="175"/>
      <c r="D348" s="175"/>
      <c r="E348" s="175"/>
      <c r="F348" s="175"/>
      <c r="G348" s="175"/>
      <c r="H348" s="175"/>
      <c r="I348" s="175"/>
      <c r="J348" s="175"/>
    </row>
    <row r="349" customFormat="false" ht="15" hidden="true" customHeight="true" outlineLevel="0" collapsed="false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</row>
    <row r="350" customFormat="false" ht="15" hidden="true" customHeight="true" outlineLevel="0" collapsed="false">
      <c r="A350" s="175"/>
      <c r="B350" s="175"/>
      <c r="C350" s="175"/>
      <c r="D350" s="175"/>
      <c r="E350" s="175"/>
      <c r="F350" s="175"/>
      <c r="G350" s="175"/>
      <c r="H350" s="175"/>
      <c r="I350" s="175"/>
      <c r="J350" s="175"/>
    </row>
    <row r="351" customFormat="false" ht="15" hidden="true" customHeight="true" outlineLevel="0" collapsed="false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</row>
    <row r="352" customFormat="false" ht="15" hidden="true" customHeight="true" outlineLevel="0" collapsed="false">
      <c r="A352" s="175"/>
      <c r="B352" s="175"/>
      <c r="C352" s="175"/>
      <c r="D352" s="175"/>
      <c r="E352" s="175"/>
      <c r="F352" s="175"/>
      <c r="G352" s="175"/>
      <c r="H352" s="175"/>
      <c r="I352" s="175"/>
      <c r="J352" s="175"/>
    </row>
    <row r="353" customFormat="false" ht="15" hidden="true" customHeight="true" outlineLevel="0" collapsed="false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</row>
    <row r="354" customFormat="false" ht="15" hidden="true" customHeight="true" outlineLevel="0" collapsed="false">
      <c r="A354" s="175"/>
      <c r="B354" s="175"/>
      <c r="C354" s="175"/>
      <c r="D354" s="175"/>
      <c r="E354" s="175"/>
      <c r="F354" s="175"/>
      <c r="G354" s="175"/>
      <c r="H354" s="175"/>
      <c r="I354" s="175"/>
      <c r="J354" s="175"/>
    </row>
    <row r="355" customFormat="false" ht="15" hidden="true" customHeight="true" outlineLevel="0" collapsed="false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</row>
    <row r="356" customFormat="false" ht="15" hidden="true" customHeight="true" outlineLevel="0" collapsed="false">
      <c r="A356" s="175"/>
      <c r="B356" s="175"/>
      <c r="C356" s="175"/>
      <c r="D356" s="175"/>
      <c r="E356" s="175"/>
      <c r="F356" s="175"/>
      <c r="G356" s="175"/>
      <c r="H356" s="175"/>
      <c r="I356" s="175"/>
      <c r="J356" s="175"/>
    </row>
    <row r="357" customFormat="false" ht="15" hidden="true" customHeight="true" outlineLevel="0" collapsed="false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</row>
    <row r="358" customFormat="false" ht="15" hidden="true" customHeight="true" outlineLevel="0" collapsed="false">
      <c r="A358" s="175"/>
      <c r="B358" s="175"/>
      <c r="C358" s="175"/>
      <c r="D358" s="175"/>
      <c r="E358" s="175"/>
      <c r="F358" s="175"/>
      <c r="G358" s="175"/>
      <c r="H358" s="175"/>
      <c r="I358" s="175"/>
      <c r="J358" s="175"/>
    </row>
    <row r="359" customFormat="false" ht="15" hidden="true" customHeight="true" outlineLevel="0" collapsed="false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</row>
    <row r="360" customFormat="false" ht="15" hidden="true" customHeight="true" outlineLevel="0" collapsed="false">
      <c r="A360" s="175"/>
      <c r="B360" s="175"/>
      <c r="C360" s="175"/>
      <c r="D360" s="175"/>
      <c r="E360" s="175"/>
      <c r="F360" s="175"/>
      <c r="G360" s="175"/>
      <c r="H360" s="175"/>
      <c r="I360" s="175"/>
      <c r="J360" s="175"/>
    </row>
    <row r="361" customFormat="false" ht="15" hidden="true" customHeight="true" outlineLevel="0" collapsed="false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</row>
    <row r="362" customFormat="false" ht="15" hidden="true" customHeight="true" outlineLevel="0" collapsed="false">
      <c r="A362" s="175"/>
      <c r="B362" s="175"/>
      <c r="C362" s="175"/>
      <c r="D362" s="175"/>
      <c r="E362" s="175"/>
      <c r="F362" s="175"/>
      <c r="G362" s="175"/>
      <c r="H362" s="175"/>
      <c r="I362" s="175"/>
      <c r="J362" s="175"/>
    </row>
    <row r="363" customFormat="false" ht="15" hidden="true" customHeight="true" outlineLevel="0" collapsed="false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</row>
    <row r="364" customFormat="false" ht="15" hidden="true" customHeight="true" outlineLevel="0" collapsed="false">
      <c r="A364" s="175"/>
      <c r="B364" s="175"/>
      <c r="C364" s="175"/>
      <c r="D364" s="175"/>
      <c r="E364" s="175"/>
      <c r="F364" s="175"/>
      <c r="G364" s="175"/>
      <c r="H364" s="175"/>
      <c r="I364" s="175"/>
      <c r="J364" s="175"/>
    </row>
    <row r="365" customFormat="false" ht="15" hidden="true" customHeight="true" outlineLevel="0" collapsed="false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</row>
    <row r="366" customFormat="false" ht="15" hidden="true" customHeight="true" outlineLevel="0" collapsed="false">
      <c r="A366" s="175"/>
      <c r="B366" s="175"/>
      <c r="C366" s="175"/>
      <c r="D366" s="175"/>
      <c r="E366" s="175"/>
      <c r="F366" s="175"/>
      <c r="G366" s="175"/>
      <c r="H366" s="175"/>
      <c r="I366" s="175"/>
      <c r="J366" s="175"/>
    </row>
    <row r="367" customFormat="false" ht="15" hidden="true" customHeight="true" outlineLevel="0" collapsed="false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</row>
    <row r="368" customFormat="false" ht="15" hidden="true" customHeight="true" outlineLevel="0" collapsed="false">
      <c r="A368" s="175"/>
      <c r="B368" s="175"/>
      <c r="C368" s="175"/>
      <c r="D368" s="175"/>
      <c r="E368" s="175"/>
      <c r="F368" s="175"/>
      <c r="G368" s="175"/>
      <c r="H368" s="175"/>
      <c r="I368" s="175"/>
      <c r="J368" s="175"/>
    </row>
    <row r="369" customFormat="false" ht="15" hidden="true" customHeight="true" outlineLevel="0" collapsed="false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</row>
    <row r="370" customFormat="false" ht="15" hidden="true" customHeight="true" outlineLevel="0" collapsed="false">
      <c r="A370" s="175"/>
      <c r="B370" s="175"/>
      <c r="C370" s="175"/>
      <c r="D370" s="175"/>
      <c r="E370" s="175"/>
      <c r="F370" s="175"/>
      <c r="G370" s="175"/>
      <c r="H370" s="175"/>
      <c r="I370" s="175"/>
      <c r="J370" s="175"/>
    </row>
    <row r="371" customFormat="false" ht="15" hidden="true" customHeight="true" outlineLevel="0" collapsed="false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</row>
    <row r="372" customFormat="false" ht="15" hidden="true" customHeight="true" outlineLevel="0" collapsed="false">
      <c r="A372" s="175"/>
      <c r="B372" s="175"/>
      <c r="C372" s="175"/>
      <c r="D372" s="175"/>
      <c r="E372" s="175"/>
      <c r="F372" s="175"/>
      <c r="G372" s="175"/>
      <c r="H372" s="175"/>
      <c r="I372" s="175"/>
      <c r="J372" s="175"/>
    </row>
    <row r="373" customFormat="false" ht="15" hidden="true" customHeight="true" outlineLevel="0" collapsed="false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</row>
    <row r="374" customFormat="false" ht="15" hidden="true" customHeight="true" outlineLevel="0" collapsed="false">
      <c r="A374" s="175"/>
      <c r="B374" s="175"/>
      <c r="C374" s="175"/>
      <c r="D374" s="175"/>
      <c r="E374" s="175"/>
      <c r="F374" s="175"/>
      <c r="G374" s="175"/>
      <c r="H374" s="175"/>
      <c r="I374" s="175"/>
      <c r="J374" s="175"/>
    </row>
    <row r="375" customFormat="false" ht="15" hidden="true" customHeight="true" outlineLevel="0" collapsed="false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</row>
    <row r="376" customFormat="false" ht="15" hidden="true" customHeight="true" outlineLevel="0" collapsed="false">
      <c r="A376" s="175"/>
      <c r="B376" s="175"/>
      <c r="C376" s="175"/>
      <c r="D376" s="175"/>
      <c r="E376" s="175"/>
      <c r="F376" s="175"/>
      <c r="G376" s="175"/>
      <c r="H376" s="175"/>
      <c r="I376" s="175"/>
      <c r="J376" s="175"/>
    </row>
    <row r="377" customFormat="false" ht="15" hidden="true" customHeight="true" outlineLevel="0" collapsed="false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</row>
    <row r="378" customFormat="false" ht="15" hidden="true" customHeight="true" outlineLevel="0" collapsed="false">
      <c r="A378" s="175"/>
      <c r="B378" s="175"/>
      <c r="C378" s="175"/>
      <c r="D378" s="175"/>
      <c r="E378" s="175"/>
      <c r="F378" s="175"/>
      <c r="G378" s="175"/>
      <c r="H378" s="175"/>
      <c r="I378" s="175"/>
      <c r="J378" s="175"/>
    </row>
    <row r="379" customFormat="false" ht="15" hidden="true" customHeight="true" outlineLevel="0" collapsed="false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</row>
    <row r="380" customFormat="false" ht="15" hidden="true" customHeight="true" outlineLevel="0" collapsed="false">
      <c r="A380" s="175"/>
      <c r="B380" s="175"/>
      <c r="C380" s="175"/>
      <c r="D380" s="175"/>
      <c r="E380" s="175"/>
      <c r="F380" s="175"/>
      <c r="G380" s="175"/>
      <c r="H380" s="175"/>
      <c r="I380" s="175"/>
      <c r="J380" s="175"/>
    </row>
    <row r="381" customFormat="false" ht="15" hidden="true" customHeight="true" outlineLevel="0" collapsed="false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</row>
    <row r="382" customFormat="false" ht="15" hidden="true" customHeight="true" outlineLevel="0" collapsed="false">
      <c r="A382" s="175"/>
      <c r="B382" s="175"/>
      <c r="C382" s="175"/>
      <c r="D382" s="175"/>
      <c r="E382" s="175"/>
      <c r="F382" s="175"/>
      <c r="G382" s="175"/>
      <c r="H382" s="175"/>
      <c r="I382" s="175"/>
      <c r="J382" s="175"/>
    </row>
    <row r="383" customFormat="false" ht="15" hidden="true" customHeight="true" outlineLevel="0" collapsed="false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</row>
    <row r="384" customFormat="false" ht="15" hidden="true" customHeight="true" outlineLevel="0" collapsed="false">
      <c r="A384" s="175"/>
      <c r="B384" s="175"/>
      <c r="C384" s="175"/>
      <c r="D384" s="175"/>
      <c r="E384" s="175"/>
      <c r="F384" s="175"/>
      <c r="G384" s="175"/>
      <c r="H384" s="175"/>
      <c r="I384" s="175"/>
      <c r="J384" s="175"/>
    </row>
    <row r="385" customFormat="false" ht="15" hidden="true" customHeight="true" outlineLevel="0" collapsed="false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</row>
    <row r="386" customFormat="false" ht="15" hidden="true" customHeight="true" outlineLevel="0" collapsed="false">
      <c r="A386" s="175"/>
      <c r="B386" s="175"/>
      <c r="C386" s="175"/>
      <c r="D386" s="175"/>
      <c r="E386" s="175"/>
      <c r="F386" s="175"/>
      <c r="G386" s="175"/>
      <c r="H386" s="175"/>
      <c r="I386" s="175"/>
      <c r="J386" s="175"/>
    </row>
    <row r="387" customFormat="false" ht="15" hidden="true" customHeight="true" outlineLevel="0" collapsed="false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</row>
    <row r="388" customFormat="false" ht="15" hidden="true" customHeight="true" outlineLevel="0" collapsed="false">
      <c r="A388" s="175"/>
      <c r="B388" s="175"/>
      <c r="C388" s="175"/>
      <c r="D388" s="175"/>
      <c r="E388" s="175"/>
      <c r="F388" s="175"/>
      <c r="G388" s="175"/>
      <c r="H388" s="175"/>
      <c r="I388" s="175"/>
      <c r="J388" s="175"/>
    </row>
    <row r="389" customFormat="false" ht="15" hidden="true" customHeight="true" outlineLevel="0" collapsed="false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</row>
    <row r="390" customFormat="false" ht="15" hidden="true" customHeight="true" outlineLevel="0" collapsed="false">
      <c r="A390" s="175"/>
      <c r="B390" s="175"/>
      <c r="C390" s="175"/>
      <c r="D390" s="175"/>
      <c r="E390" s="175"/>
      <c r="F390" s="175"/>
      <c r="G390" s="175"/>
      <c r="H390" s="175"/>
      <c r="I390" s="175"/>
      <c r="J390" s="175"/>
    </row>
    <row r="391" customFormat="false" ht="15" hidden="true" customHeight="true" outlineLevel="0" collapsed="false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</row>
    <row r="392" customFormat="false" ht="15" hidden="true" customHeight="true" outlineLevel="0" collapsed="false">
      <c r="A392" s="175"/>
      <c r="B392" s="175"/>
      <c r="C392" s="175"/>
      <c r="D392" s="175"/>
      <c r="E392" s="175"/>
      <c r="F392" s="175"/>
      <c r="G392" s="175"/>
      <c r="H392" s="175"/>
      <c r="I392" s="175"/>
      <c r="J392" s="175"/>
    </row>
    <row r="393" customFormat="false" ht="15" hidden="true" customHeight="true" outlineLevel="0" collapsed="false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</row>
    <row r="394" customFormat="false" ht="15" hidden="true" customHeight="true" outlineLevel="0" collapsed="false">
      <c r="A394" s="175"/>
      <c r="B394" s="175"/>
      <c r="C394" s="175"/>
      <c r="D394" s="175"/>
      <c r="E394" s="175"/>
      <c r="F394" s="175"/>
      <c r="G394" s="175"/>
      <c r="H394" s="175"/>
      <c r="I394" s="175"/>
      <c r="J394" s="175"/>
    </row>
    <row r="395" customFormat="false" ht="15" hidden="true" customHeight="true" outlineLevel="0" collapsed="false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</row>
    <row r="396" customFormat="false" ht="15" hidden="true" customHeight="true" outlineLevel="0" collapsed="false">
      <c r="A396" s="175"/>
      <c r="B396" s="175"/>
      <c r="C396" s="175"/>
      <c r="D396" s="175"/>
      <c r="E396" s="175"/>
      <c r="F396" s="175"/>
      <c r="G396" s="175"/>
      <c r="H396" s="175"/>
      <c r="I396" s="175"/>
      <c r="J396" s="175"/>
    </row>
    <row r="397" customFormat="false" ht="15" hidden="true" customHeight="true" outlineLevel="0" collapsed="false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</row>
    <row r="398" customFormat="false" ht="15" hidden="true" customHeight="true" outlineLevel="0" collapsed="false">
      <c r="A398" s="175"/>
      <c r="B398" s="175"/>
      <c r="C398" s="175"/>
      <c r="D398" s="175"/>
      <c r="E398" s="175"/>
      <c r="F398" s="175"/>
      <c r="G398" s="175"/>
      <c r="H398" s="175"/>
      <c r="I398" s="175"/>
      <c r="J398" s="175"/>
    </row>
    <row r="399" customFormat="false" ht="15" hidden="true" customHeight="true" outlineLevel="0" collapsed="false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</row>
    <row r="400" customFormat="false" ht="15" hidden="true" customHeight="true" outlineLevel="0" collapsed="false">
      <c r="A400" s="175"/>
      <c r="B400" s="175"/>
      <c r="C400" s="175"/>
      <c r="D400" s="175"/>
      <c r="E400" s="175"/>
      <c r="F400" s="175"/>
      <c r="G400" s="175"/>
      <c r="H400" s="175"/>
      <c r="I400" s="175"/>
      <c r="J400" s="175"/>
    </row>
    <row r="401" customFormat="false" ht="15" hidden="true" customHeight="true" outlineLevel="0" collapsed="false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</row>
    <row r="402" customFormat="false" ht="15" hidden="true" customHeight="true" outlineLevel="0" collapsed="false">
      <c r="A402" s="175"/>
      <c r="B402" s="175"/>
      <c r="C402" s="175"/>
      <c r="D402" s="175"/>
      <c r="E402" s="175"/>
      <c r="F402" s="175"/>
      <c r="G402" s="175"/>
      <c r="H402" s="175"/>
      <c r="I402" s="175"/>
      <c r="J402" s="175"/>
    </row>
    <row r="403" customFormat="false" ht="15" hidden="true" customHeight="true" outlineLevel="0" collapsed="false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</row>
    <row r="404" customFormat="false" ht="15" hidden="true" customHeight="true" outlineLevel="0" collapsed="false">
      <c r="A404" s="175"/>
      <c r="B404" s="175"/>
      <c r="C404" s="175"/>
      <c r="D404" s="175"/>
      <c r="E404" s="175"/>
      <c r="F404" s="175"/>
      <c r="G404" s="175"/>
      <c r="H404" s="175"/>
      <c r="I404" s="175"/>
      <c r="J404" s="175"/>
    </row>
    <row r="405" customFormat="false" ht="15" hidden="true" customHeight="true" outlineLevel="0" collapsed="false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</row>
    <row r="406" customFormat="false" ht="15" hidden="true" customHeight="true" outlineLevel="0" collapsed="false">
      <c r="A406" s="175"/>
      <c r="B406" s="175"/>
      <c r="C406" s="175"/>
      <c r="D406" s="175"/>
      <c r="E406" s="175"/>
      <c r="F406" s="175"/>
      <c r="G406" s="175"/>
      <c r="H406" s="175"/>
      <c r="I406" s="175"/>
      <c r="J406" s="175"/>
    </row>
    <row r="407" customFormat="false" ht="15" hidden="true" customHeight="true" outlineLevel="0" collapsed="false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</row>
    <row r="408" customFormat="false" ht="15" hidden="true" customHeight="true" outlineLevel="0" collapsed="false">
      <c r="A408" s="175"/>
      <c r="B408" s="175"/>
      <c r="C408" s="175"/>
      <c r="D408" s="175"/>
      <c r="E408" s="175"/>
      <c r="F408" s="175"/>
      <c r="G408" s="175"/>
      <c r="H408" s="175"/>
      <c r="I408" s="175"/>
      <c r="J408" s="175"/>
    </row>
    <row r="409" customFormat="false" ht="15" hidden="true" customHeight="true" outlineLevel="0" collapsed="false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</row>
    <row r="410" customFormat="false" ht="15" hidden="true" customHeight="true" outlineLevel="0" collapsed="false">
      <c r="A410" s="175"/>
      <c r="B410" s="175"/>
      <c r="C410" s="175"/>
      <c r="D410" s="175"/>
      <c r="E410" s="175"/>
      <c r="F410" s="175"/>
      <c r="G410" s="175"/>
      <c r="H410" s="175"/>
      <c r="I410" s="175"/>
      <c r="J410" s="175"/>
    </row>
    <row r="411" customFormat="false" ht="15" hidden="true" customHeight="true" outlineLevel="0" collapsed="false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</row>
    <row r="412" customFormat="false" ht="15" hidden="true" customHeight="true" outlineLevel="0" collapsed="false">
      <c r="A412" s="175"/>
      <c r="B412" s="175"/>
      <c r="C412" s="175"/>
      <c r="D412" s="175"/>
      <c r="E412" s="175"/>
      <c r="F412" s="175"/>
      <c r="G412" s="175"/>
      <c r="H412" s="175"/>
      <c r="I412" s="175"/>
      <c r="J412" s="175"/>
    </row>
    <row r="413" customFormat="false" ht="15" hidden="true" customHeight="true" outlineLevel="0" collapsed="false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</row>
    <row r="414" customFormat="false" ht="15" hidden="true" customHeight="true" outlineLevel="0" collapsed="false">
      <c r="A414" s="175"/>
      <c r="B414" s="175"/>
      <c r="C414" s="175"/>
      <c r="D414" s="175"/>
      <c r="E414" s="175"/>
      <c r="F414" s="175"/>
      <c r="G414" s="175"/>
      <c r="H414" s="175"/>
      <c r="I414" s="175"/>
      <c r="J414" s="175"/>
    </row>
    <row r="415" customFormat="false" ht="15" hidden="true" customHeight="true" outlineLevel="0" collapsed="false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</row>
    <row r="416" customFormat="false" ht="15" hidden="true" customHeight="true" outlineLevel="0" collapsed="false">
      <c r="A416" s="175"/>
      <c r="B416" s="175"/>
      <c r="C416" s="175"/>
      <c r="D416" s="175"/>
      <c r="E416" s="175"/>
      <c r="F416" s="175"/>
      <c r="G416" s="175"/>
      <c r="H416" s="175"/>
      <c r="I416" s="175"/>
      <c r="J416" s="175"/>
    </row>
    <row r="417" customFormat="false" ht="15" hidden="true" customHeight="true" outlineLevel="0" collapsed="false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</row>
    <row r="418" customFormat="false" ht="15" hidden="true" customHeight="true" outlineLevel="0" collapsed="false">
      <c r="A418" s="175"/>
      <c r="B418" s="175"/>
      <c r="C418" s="175"/>
      <c r="D418" s="175"/>
      <c r="E418" s="175"/>
      <c r="F418" s="175"/>
      <c r="G418" s="175"/>
      <c r="H418" s="175"/>
      <c r="I418" s="175"/>
      <c r="J418" s="175"/>
    </row>
    <row r="419" customFormat="false" ht="15" hidden="true" customHeight="true" outlineLevel="0" collapsed="false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</row>
    <row r="420" customFormat="false" ht="15" hidden="true" customHeight="true" outlineLevel="0" collapsed="false">
      <c r="A420" s="175"/>
      <c r="B420" s="175"/>
      <c r="C420" s="175"/>
      <c r="D420" s="175"/>
      <c r="E420" s="175"/>
      <c r="F420" s="175"/>
      <c r="G420" s="175"/>
      <c r="H420" s="175"/>
      <c r="I420" s="175"/>
      <c r="J420" s="175"/>
    </row>
    <row r="421" customFormat="false" ht="15" hidden="true" customHeight="true" outlineLevel="0" collapsed="false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</row>
    <row r="422" customFormat="false" ht="15" hidden="true" customHeight="true" outlineLevel="0" collapsed="false">
      <c r="A422" s="175"/>
      <c r="B422" s="175"/>
      <c r="C422" s="175"/>
      <c r="D422" s="175"/>
      <c r="E422" s="175"/>
      <c r="F422" s="175"/>
      <c r="G422" s="175"/>
      <c r="H422" s="175"/>
      <c r="I422" s="175"/>
      <c r="J422" s="175"/>
    </row>
    <row r="423" customFormat="false" ht="15" hidden="true" customHeight="true" outlineLevel="0" collapsed="false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</row>
    <row r="424" customFormat="false" ht="15" hidden="true" customHeight="true" outlineLevel="0" collapsed="false">
      <c r="A424" s="175"/>
      <c r="B424" s="175"/>
      <c r="C424" s="175"/>
      <c r="D424" s="175"/>
      <c r="E424" s="175"/>
      <c r="F424" s="175"/>
      <c r="G424" s="175"/>
      <c r="H424" s="175"/>
      <c r="I424" s="175"/>
      <c r="J424" s="175"/>
    </row>
    <row r="425" customFormat="false" ht="15" hidden="true" customHeight="true" outlineLevel="0" collapsed="false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</row>
    <row r="426" customFormat="false" ht="15" hidden="true" customHeight="true" outlineLevel="0" collapsed="false">
      <c r="A426" s="175"/>
      <c r="B426" s="175"/>
      <c r="C426" s="175"/>
      <c r="D426" s="175"/>
      <c r="E426" s="175"/>
      <c r="F426" s="175"/>
      <c r="G426" s="175"/>
      <c r="H426" s="175"/>
      <c r="I426" s="175"/>
      <c r="J426" s="175"/>
    </row>
    <row r="427" customFormat="false" ht="15" hidden="true" customHeight="true" outlineLevel="0" collapsed="false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</row>
    <row r="428" customFormat="false" ht="15" hidden="true" customHeight="true" outlineLevel="0" collapsed="false">
      <c r="A428" s="175"/>
      <c r="B428" s="175"/>
      <c r="C428" s="175"/>
      <c r="D428" s="175"/>
      <c r="E428" s="175"/>
      <c r="F428" s="175"/>
      <c r="G428" s="175"/>
      <c r="H428" s="175"/>
      <c r="I428" s="175"/>
      <c r="J428" s="175"/>
    </row>
    <row r="429" customFormat="false" ht="15" hidden="true" customHeight="true" outlineLevel="0" collapsed="false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</row>
    <row r="430" customFormat="false" ht="15" hidden="true" customHeight="true" outlineLevel="0" collapsed="false">
      <c r="A430" s="175"/>
      <c r="B430" s="175"/>
      <c r="C430" s="175"/>
      <c r="D430" s="175"/>
      <c r="E430" s="175"/>
      <c r="F430" s="175"/>
      <c r="G430" s="175"/>
      <c r="H430" s="175"/>
      <c r="I430" s="175"/>
      <c r="J430" s="175"/>
    </row>
    <row r="431" customFormat="false" ht="15" hidden="true" customHeight="true" outlineLevel="0" collapsed="false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</row>
    <row r="432" customFormat="false" ht="15" hidden="true" customHeight="true" outlineLevel="0" collapsed="false">
      <c r="A432" s="175"/>
      <c r="B432" s="175"/>
      <c r="C432" s="175"/>
      <c r="D432" s="175"/>
      <c r="E432" s="175"/>
      <c r="F432" s="175"/>
      <c r="G432" s="175"/>
      <c r="H432" s="175"/>
      <c r="I432" s="175"/>
      <c r="J432" s="175"/>
    </row>
    <row r="433" customFormat="false" ht="15" hidden="true" customHeight="true" outlineLevel="0" collapsed="false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</row>
    <row r="434" customFormat="false" ht="15" hidden="true" customHeight="true" outlineLevel="0" collapsed="false">
      <c r="A434" s="175"/>
      <c r="B434" s="175"/>
      <c r="C434" s="175"/>
      <c r="D434" s="175"/>
      <c r="E434" s="175"/>
      <c r="F434" s="175"/>
      <c r="G434" s="175"/>
      <c r="H434" s="175"/>
      <c r="I434" s="175"/>
      <c r="J434" s="175"/>
    </row>
    <row r="435" customFormat="false" ht="15" hidden="true" customHeight="true" outlineLevel="0" collapsed="false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</row>
    <row r="436" customFormat="false" ht="15" hidden="true" customHeight="true" outlineLevel="0" collapsed="false">
      <c r="A436" s="175"/>
      <c r="B436" s="175"/>
      <c r="C436" s="175"/>
      <c r="D436" s="175"/>
      <c r="E436" s="175"/>
      <c r="F436" s="175"/>
      <c r="G436" s="175"/>
      <c r="H436" s="175"/>
      <c r="I436" s="175"/>
      <c r="J436" s="175"/>
    </row>
    <row r="437" customFormat="false" ht="15" hidden="true" customHeight="true" outlineLevel="0" collapsed="false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</row>
    <row r="438" customFormat="false" ht="15" hidden="true" customHeight="true" outlineLevel="0" collapsed="false">
      <c r="A438" s="175"/>
      <c r="B438" s="175"/>
      <c r="C438" s="175"/>
      <c r="D438" s="175"/>
      <c r="E438" s="175"/>
      <c r="F438" s="175"/>
      <c r="G438" s="175"/>
      <c r="H438" s="175"/>
      <c r="I438" s="175"/>
      <c r="J438" s="175"/>
    </row>
    <row r="439" customFormat="false" ht="15" hidden="true" customHeight="true" outlineLevel="0" collapsed="false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</row>
    <row r="440" customFormat="false" ht="15" hidden="true" customHeight="true" outlineLevel="0" collapsed="false">
      <c r="A440" s="175"/>
      <c r="B440" s="175"/>
      <c r="C440" s="175"/>
      <c r="D440" s="175"/>
      <c r="E440" s="175"/>
      <c r="F440" s="175"/>
      <c r="G440" s="175"/>
      <c r="H440" s="175"/>
      <c r="I440" s="175"/>
      <c r="J440" s="175"/>
    </row>
    <row r="441" customFormat="false" ht="15" hidden="true" customHeight="true" outlineLevel="0" collapsed="false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</row>
    <row r="442" customFormat="false" ht="15" hidden="true" customHeight="true" outlineLevel="0" collapsed="false">
      <c r="A442" s="175"/>
      <c r="B442" s="175"/>
      <c r="C442" s="175"/>
      <c r="D442" s="175"/>
      <c r="E442" s="175"/>
      <c r="F442" s="175"/>
      <c r="G442" s="175"/>
      <c r="H442" s="175"/>
      <c r="I442" s="175"/>
      <c r="J442" s="175"/>
    </row>
    <row r="443" customFormat="false" ht="15" hidden="true" customHeight="true" outlineLevel="0" collapsed="false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</row>
    <row r="444" customFormat="false" ht="15" hidden="true" customHeight="true" outlineLevel="0" collapsed="false">
      <c r="A444" s="175"/>
      <c r="B444" s="175"/>
      <c r="C444" s="175"/>
      <c r="D444" s="175"/>
      <c r="E444" s="175"/>
      <c r="F444" s="175"/>
      <c r="G444" s="175"/>
      <c r="H444" s="175"/>
      <c r="I444" s="175"/>
      <c r="J444" s="175"/>
    </row>
    <row r="445" customFormat="false" ht="15" hidden="true" customHeight="true" outlineLevel="0" collapsed="false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</row>
    <row r="446" customFormat="false" ht="15" hidden="true" customHeight="true" outlineLevel="0" collapsed="false">
      <c r="A446" s="175"/>
      <c r="B446" s="175"/>
      <c r="C446" s="175"/>
      <c r="D446" s="175"/>
      <c r="E446" s="175"/>
      <c r="F446" s="175"/>
      <c r="G446" s="175"/>
      <c r="H446" s="175"/>
      <c r="I446" s="175"/>
      <c r="J446" s="175"/>
    </row>
    <row r="447" customFormat="false" ht="15" hidden="true" customHeight="true" outlineLevel="0" collapsed="false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</row>
    <row r="448" customFormat="false" ht="15" hidden="true" customHeight="true" outlineLevel="0" collapsed="false">
      <c r="A448" s="175"/>
      <c r="B448" s="175"/>
      <c r="C448" s="175"/>
      <c r="D448" s="175"/>
      <c r="E448" s="175"/>
      <c r="F448" s="175"/>
      <c r="G448" s="175"/>
      <c r="H448" s="175"/>
      <c r="I448" s="175"/>
      <c r="J448" s="175"/>
    </row>
    <row r="449" customFormat="false" ht="15" hidden="true" customHeight="true" outlineLevel="0" collapsed="false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</row>
    <row r="450" customFormat="false" ht="15" hidden="true" customHeight="true" outlineLevel="0" collapsed="false">
      <c r="A450" s="175"/>
      <c r="B450" s="175"/>
      <c r="C450" s="175"/>
      <c r="D450" s="175"/>
      <c r="E450" s="175"/>
      <c r="F450" s="175"/>
      <c r="G450" s="175"/>
      <c r="H450" s="175"/>
      <c r="I450" s="175"/>
      <c r="J450" s="175"/>
    </row>
    <row r="451" customFormat="false" ht="15" hidden="true" customHeight="true" outlineLevel="0" collapsed="false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</row>
    <row r="452" customFormat="false" ht="15" hidden="true" customHeight="true" outlineLevel="0" collapsed="false">
      <c r="A452" s="175"/>
      <c r="B452" s="175"/>
      <c r="C452" s="175"/>
      <c r="D452" s="175"/>
      <c r="E452" s="175"/>
      <c r="F452" s="175"/>
      <c r="G452" s="175"/>
      <c r="H452" s="175"/>
      <c r="I452" s="175"/>
      <c r="J452" s="175"/>
    </row>
    <row r="453" customFormat="false" ht="15" hidden="true" customHeight="true" outlineLevel="0" collapsed="false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</row>
    <row r="454" customFormat="false" ht="15" hidden="true" customHeight="true" outlineLevel="0" collapsed="false">
      <c r="A454" s="175"/>
      <c r="B454" s="175"/>
      <c r="C454" s="175"/>
      <c r="D454" s="175"/>
      <c r="E454" s="175"/>
      <c r="F454" s="175"/>
      <c r="G454" s="175"/>
      <c r="H454" s="175"/>
      <c r="I454" s="175"/>
      <c r="J454" s="175"/>
    </row>
    <row r="455" customFormat="false" ht="15" hidden="true" customHeight="true" outlineLevel="0" collapsed="false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</row>
    <row r="456" customFormat="false" ht="15" hidden="true" customHeight="true" outlineLevel="0" collapsed="false">
      <c r="A456" s="175"/>
      <c r="B456" s="175"/>
      <c r="C456" s="175"/>
      <c r="D456" s="175"/>
      <c r="E456" s="175"/>
      <c r="F456" s="175"/>
      <c r="G456" s="175"/>
      <c r="H456" s="175"/>
      <c r="I456" s="175"/>
      <c r="J456" s="175"/>
    </row>
    <row r="457" customFormat="false" ht="15" hidden="true" customHeight="true" outlineLevel="0" collapsed="false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</row>
    <row r="458" customFormat="false" ht="15" hidden="true" customHeight="true" outlineLevel="0" collapsed="false">
      <c r="A458" s="175"/>
      <c r="B458" s="175"/>
      <c r="C458" s="175"/>
      <c r="D458" s="175"/>
      <c r="E458" s="175"/>
      <c r="F458" s="175"/>
      <c r="G458" s="175"/>
      <c r="H458" s="175"/>
      <c r="I458" s="175"/>
      <c r="J458" s="175"/>
    </row>
    <row r="459" customFormat="false" ht="15" hidden="true" customHeight="true" outlineLevel="0" collapsed="false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</row>
    <row r="460" customFormat="false" ht="15" hidden="true" customHeight="true" outlineLevel="0" collapsed="false">
      <c r="A460" s="175"/>
      <c r="B460" s="175"/>
      <c r="C460" s="175"/>
      <c r="D460" s="175"/>
      <c r="E460" s="175"/>
      <c r="F460" s="175"/>
      <c r="G460" s="175"/>
      <c r="H460" s="175"/>
      <c r="I460" s="175"/>
      <c r="J460" s="175"/>
    </row>
    <row r="461" customFormat="false" ht="15" hidden="true" customHeight="true" outlineLevel="0" collapsed="false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</row>
    <row r="462" customFormat="false" ht="15" hidden="true" customHeight="true" outlineLevel="0" collapsed="false">
      <c r="A462" s="175"/>
      <c r="B462" s="175"/>
      <c r="C462" s="175"/>
      <c r="D462" s="175"/>
      <c r="E462" s="175"/>
      <c r="F462" s="175"/>
      <c r="G462" s="175"/>
      <c r="H462" s="175"/>
      <c r="I462" s="175"/>
      <c r="J462" s="175"/>
    </row>
    <row r="463" customFormat="false" ht="15" hidden="true" customHeight="true" outlineLevel="0" collapsed="false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</row>
    <row r="464" customFormat="false" ht="15" hidden="true" customHeight="true" outlineLevel="0" collapsed="false">
      <c r="A464" s="175"/>
      <c r="B464" s="175"/>
      <c r="C464" s="175"/>
      <c r="D464" s="175"/>
      <c r="E464" s="175"/>
      <c r="F464" s="175"/>
      <c r="G464" s="175"/>
      <c r="H464" s="175"/>
      <c r="I464" s="175"/>
      <c r="J464" s="175"/>
    </row>
    <row r="465" customFormat="false" ht="15" hidden="true" customHeight="true" outlineLevel="0" collapsed="false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</row>
    <row r="466" customFormat="false" ht="15" hidden="true" customHeight="true" outlineLevel="0" collapsed="false">
      <c r="A466" s="175"/>
      <c r="B466" s="175"/>
      <c r="C466" s="175"/>
      <c r="D466" s="175"/>
      <c r="E466" s="175"/>
      <c r="F466" s="175"/>
      <c r="G466" s="175"/>
      <c r="H466" s="175"/>
      <c r="I466" s="175"/>
      <c r="J466" s="175"/>
    </row>
    <row r="467" customFormat="false" ht="15" hidden="true" customHeight="true" outlineLevel="0" collapsed="false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</row>
    <row r="468" customFormat="false" ht="15" hidden="true" customHeight="true" outlineLevel="0" collapsed="false">
      <c r="A468" s="175"/>
      <c r="B468" s="175"/>
      <c r="C468" s="175"/>
      <c r="D468" s="175"/>
      <c r="E468" s="175"/>
      <c r="F468" s="175"/>
      <c r="G468" s="175"/>
      <c r="H468" s="175"/>
      <c r="I468" s="175"/>
      <c r="J468" s="175"/>
    </row>
    <row r="469" customFormat="false" ht="15" hidden="true" customHeight="true" outlineLevel="0" collapsed="false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</row>
    <row r="470" customFormat="false" ht="15" hidden="true" customHeight="true" outlineLevel="0" collapsed="false">
      <c r="A470" s="175"/>
      <c r="B470" s="175"/>
      <c r="C470" s="175"/>
      <c r="D470" s="175"/>
      <c r="E470" s="175"/>
      <c r="F470" s="175"/>
      <c r="G470" s="175"/>
      <c r="H470" s="175"/>
      <c r="I470" s="175"/>
      <c r="J470" s="175"/>
    </row>
    <row r="471" customFormat="false" ht="15" hidden="true" customHeight="true" outlineLevel="0" collapsed="false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</row>
    <row r="472" customFormat="false" ht="15" hidden="true" customHeight="true" outlineLevel="0" collapsed="false">
      <c r="A472" s="175"/>
      <c r="B472" s="175"/>
      <c r="C472" s="175"/>
      <c r="D472" s="175"/>
      <c r="E472" s="175"/>
      <c r="F472" s="175"/>
      <c r="G472" s="175"/>
      <c r="H472" s="175"/>
      <c r="I472" s="175"/>
      <c r="J472" s="175"/>
    </row>
    <row r="473" customFormat="false" ht="15" hidden="true" customHeight="true" outlineLevel="0" collapsed="false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</row>
    <row r="474" customFormat="false" ht="15" hidden="true" customHeight="true" outlineLevel="0" collapsed="false">
      <c r="A474" s="175"/>
      <c r="B474" s="175"/>
      <c r="C474" s="175"/>
      <c r="D474" s="175"/>
      <c r="E474" s="175"/>
      <c r="F474" s="175"/>
      <c r="G474" s="175"/>
      <c r="H474" s="175"/>
      <c r="I474" s="175"/>
      <c r="J474" s="175"/>
    </row>
    <row r="475" customFormat="false" ht="15" hidden="true" customHeight="true" outlineLevel="0" collapsed="false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</row>
    <row r="476" customFormat="false" ht="15" hidden="true" customHeight="true" outlineLevel="0" collapsed="false">
      <c r="A476" s="175"/>
      <c r="B476" s="175"/>
      <c r="C476" s="175"/>
      <c r="D476" s="175"/>
      <c r="E476" s="175"/>
      <c r="F476" s="175"/>
      <c r="G476" s="175"/>
      <c r="H476" s="175"/>
      <c r="I476" s="175"/>
      <c r="J476" s="175"/>
    </row>
    <row r="477" customFormat="false" ht="15" hidden="true" customHeight="true" outlineLevel="0" collapsed="false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</row>
    <row r="478" customFormat="false" ht="15" hidden="true" customHeight="true" outlineLevel="0" collapsed="false">
      <c r="A478" s="175"/>
      <c r="B478" s="175"/>
      <c r="C478" s="175"/>
      <c r="D478" s="175"/>
      <c r="E478" s="175"/>
      <c r="F478" s="175"/>
      <c r="G478" s="175"/>
      <c r="H478" s="175"/>
      <c r="I478" s="175"/>
      <c r="J478" s="175"/>
    </row>
    <row r="479" customFormat="false" ht="15" hidden="true" customHeight="true" outlineLevel="0" collapsed="false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</row>
    <row r="480" customFormat="false" ht="15" hidden="true" customHeight="true" outlineLevel="0" collapsed="false">
      <c r="A480" s="175"/>
      <c r="B480" s="175"/>
      <c r="C480" s="175"/>
      <c r="D480" s="175"/>
      <c r="E480" s="175"/>
      <c r="F480" s="175"/>
      <c r="G480" s="175"/>
      <c r="H480" s="175"/>
      <c r="I480" s="175"/>
      <c r="J480" s="175"/>
    </row>
    <row r="481" customFormat="false" ht="15" hidden="true" customHeight="true" outlineLevel="0" collapsed="false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</row>
    <row r="482" customFormat="false" ht="15" hidden="true" customHeight="true" outlineLevel="0" collapsed="false">
      <c r="A482" s="175"/>
      <c r="B482" s="175"/>
      <c r="C482" s="175"/>
      <c r="D482" s="175"/>
      <c r="E482" s="175"/>
      <c r="F482" s="175"/>
      <c r="G482" s="175"/>
      <c r="H482" s="175"/>
      <c r="I482" s="175"/>
      <c r="J482" s="175"/>
    </row>
    <row r="483" customFormat="false" ht="15" hidden="true" customHeight="true" outlineLevel="0" collapsed="false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</row>
    <row r="484" customFormat="false" ht="15" hidden="true" customHeight="true" outlineLevel="0" collapsed="false">
      <c r="A484" s="175"/>
      <c r="B484" s="175"/>
      <c r="C484" s="175"/>
      <c r="D484" s="175"/>
      <c r="E484" s="175"/>
      <c r="F484" s="175"/>
      <c r="G484" s="175"/>
      <c r="H484" s="175"/>
      <c r="I484" s="175"/>
      <c r="J484" s="175"/>
    </row>
    <row r="485" customFormat="false" ht="15" hidden="true" customHeight="true" outlineLevel="0" collapsed="false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</row>
    <row r="486" customFormat="false" ht="15" hidden="true" customHeight="true" outlineLevel="0" collapsed="false">
      <c r="A486" s="175"/>
      <c r="B486" s="175"/>
      <c r="C486" s="175"/>
      <c r="D486" s="175"/>
      <c r="E486" s="175"/>
      <c r="F486" s="175"/>
      <c r="G486" s="175"/>
      <c r="H486" s="175"/>
      <c r="I486" s="175"/>
      <c r="J486" s="175"/>
    </row>
    <row r="487" customFormat="false" ht="15" hidden="true" customHeight="true" outlineLevel="0" collapsed="false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</row>
    <row r="488" customFormat="false" ht="15" hidden="true" customHeight="true" outlineLevel="0" collapsed="false">
      <c r="A488" s="175"/>
      <c r="B488" s="175"/>
      <c r="C488" s="175"/>
      <c r="D488" s="175"/>
      <c r="E488" s="175"/>
      <c r="F488" s="175"/>
      <c r="G488" s="175"/>
      <c r="H488" s="175"/>
      <c r="I488" s="175"/>
      <c r="J488" s="175"/>
    </row>
    <row r="489" customFormat="false" ht="15" hidden="true" customHeight="true" outlineLevel="0" collapsed="false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</row>
    <row r="490" customFormat="false" ht="15" hidden="true" customHeight="true" outlineLevel="0" collapsed="false">
      <c r="A490" s="175"/>
      <c r="B490" s="175"/>
      <c r="C490" s="175"/>
      <c r="D490" s="175"/>
      <c r="E490" s="175"/>
      <c r="F490" s="175"/>
      <c r="G490" s="175"/>
      <c r="H490" s="175"/>
      <c r="I490" s="175"/>
      <c r="J490" s="175"/>
    </row>
    <row r="491" customFormat="false" ht="15" hidden="true" customHeight="true" outlineLevel="0" collapsed="false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</row>
    <row r="492" customFormat="false" ht="15" hidden="true" customHeight="true" outlineLevel="0" collapsed="false">
      <c r="A492" s="175"/>
      <c r="B492" s="175"/>
      <c r="C492" s="175"/>
      <c r="D492" s="175"/>
      <c r="E492" s="175"/>
      <c r="F492" s="175"/>
      <c r="G492" s="175"/>
      <c r="H492" s="175"/>
      <c r="I492" s="175"/>
      <c r="J492" s="175"/>
    </row>
    <row r="493" customFormat="false" ht="15" hidden="true" customHeight="true" outlineLevel="0" collapsed="false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</row>
    <row r="494" customFormat="false" ht="15" hidden="true" customHeight="true" outlineLevel="0" collapsed="false">
      <c r="A494" s="175"/>
      <c r="B494" s="175"/>
      <c r="C494" s="175"/>
      <c r="D494" s="175"/>
      <c r="E494" s="175"/>
      <c r="F494" s="175"/>
      <c r="G494" s="175"/>
      <c r="H494" s="175"/>
      <c r="I494" s="175"/>
      <c r="J494" s="175"/>
    </row>
    <row r="495" customFormat="false" ht="15" hidden="true" customHeight="true" outlineLevel="0" collapsed="false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</row>
    <row r="496" customFormat="false" ht="15" hidden="true" customHeight="true" outlineLevel="0" collapsed="false">
      <c r="A496" s="175"/>
      <c r="B496" s="175"/>
      <c r="C496" s="175"/>
      <c r="D496" s="175"/>
      <c r="E496" s="175"/>
      <c r="F496" s="175"/>
      <c r="G496" s="175"/>
      <c r="H496" s="175"/>
      <c r="I496" s="175"/>
      <c r="J496" s="175"/>
    </row>
    <row r="497" customFormat="false" ht="15" hidden="true" customHeight="true" outlineLevel="0" collapsed="false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</row>
    <row r="498" customFormat="false" ht="15" hidden="true" customHeight="true" outlineLevel="0" collapsed="false">
      <c r="A498" s="175"/>
      <c r="B498" s="175"/>
      <c r="C498" s="175"/>
      <c r="D498" s="175"/>
      <c r="E498" s="175"/>
      <c r="F498" s="175"/>
      <c r="G498" s="175"/>
      <c r="H498" s="175"/>
      <c r="I498" s="175"/>
      <c r="J498" s="175"/>
    </row>
    <row r="499" customFormat="false" ht="15" hidden="true" customHeight="true" outlineLevel="0" collapsed="false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</row>
    <row r="500" customFormat="false" ht="15" hidden="true" customHeight="true" outlineLevel="0" collapsed="false">
      <c r="A500" s="175"/>
      <c r="B500" s="175"/>
      <c r="C500" s="175"/>
      <c r="D500" s="175"/>
      <c r="E500" s="175"/>
      <c r="F500" s="175"/>
      <c r="G500" s="175"/>
      <c r="H500" s="175"/>
      <c r="I500" s="175"/>
      <c r="J500" s="175"/>
    </row>
    <row r="501" customFormat="false" ht="15" hidden="true" customHeight="true" outlineLevel="0" collapsed="false">
      <c r="A501" s="177" t="n">
        <v>50553</v>
      </c>
      <c r="B501" s="177" t="s">
        <v>1650</v>
      </c>
      <c r="C501" s="177" t="s">
        <v>1651</v>
      </c>
      <c r="D501" s="177" t="s">
        <v>1652</v>
      </c>
      <c r="E501" s="177" t="n">
        <v>15011</v>
      </c>
      <c r="F501" s="177" t="s">
        <v>1653</v>
      </c>
      <c r="G501" s="177" t="s">
        <v>1653</v>
      </c>
      <c r="H501" s="177" t="n">
        <v>629811841</v>
      </c>
      <c r="I501" s="177"/>
      <c r="J501" s="177"/>
    </row>
    <row r="502" customFormat="false" ht="15" hidden="false" customHeight="true" outlineLevel="0" collapsed="false">
      <c r="A502" s="175" t="n">
        <v>50553</v>
      </c>
      <c r="B502" s="175" t="s">
        <v>1650</v>
      </c>
      <c r="C502" s="175" t="s">
        <v>1651</v>
      </c>
      <c r="D502" s="175" t="s">
        <v>1654</v>
      </c>
      <c r="E502" s="175" t="n">
        <v>15011</v>
      </c>
      <c r="F502" s="175" t="s">
        <v>1653</v>
      </c>
      <c r="G502" s="175" t="s">
        <v>1653</v>
      </c>
      <c r="H502" s="175" t="n">
        <v>629811841</v>
      </c>
      <c r="I502" s="175" t="s">
        <v>1101</v>
      </c>
      <c r="J502" s="175"/>
    </row>
    <row r="503" customFormat="false" ht="15" hidden="false" customHeight="true" outlineLevel="0" collapsed="false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</row>
    <row r="504" customFormat="false" ht="15" hidden="false" customHeight="true" outlineLevel="0" collapsed="false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</row>
    <row r="505" customFormat="false" ht="15" hidden="false" customHeight="true" outlineLevel="0" collapsed="false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</row>
    <row r="506" customFormat="false" ht="15" hidden="false" customHeight="true" outlineLevel="0" collapsed="false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</row>
    <row r="507" customFormat="false" ht="15" hidden="false" customHeight="true" outlineLevel="0" collapsed="false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</row>
    <row r="508" customFormat="false" ht="15" hidden="false" customHeight="true" outlineLevel="0" collapsed="false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</row>
    <row r="509" customFormat="false" ht="15" hidden="false" customHeight="true" outlineLevel="0" collapsed="false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</row>
    <row r="510" customFormat="false" ht="15" hidden="false" customHeight="true" outlineLevel="0" collapsed="false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</row>
    <row r="511" customFormat="false" ht="15" hidden="false" customHeight="true" outlineLevel="0" collapsed="false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</row>
    <row r="512" customFormat="false" ht="15" hidden="false" customHeight="true" outlineLevel="0" collapsed="false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</row>
    <row r="513" customFormat="false" ht="15" hidden="false" customHeight="true" outlineLevel="0" collapsed="false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</row>
    <row r="514" customFormat="false" ht="15" hidden="false" customHeight="true" outlineLevel="0" collapsed="false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</row>
    <row r="515" customFormat="false" ht="15" hidden="false" customHeight="true" outlineLevel="0" collapsed="false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</row>
    <row r="516" customFormat="false" ht="15" hidden="false" customHeight="true" outlineLevel="0" collapsed="false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</row>
  </sheetData>
  <autoFilter ref="A2:J501"/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7F00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5"/>
    <col collapsed="false" customWidth="true" hidden="false" outlineLevel="0" max="3" min="3" style="1" width="15"/>
  </cols>
  <sheetData>
    <row r="1" customFormat="false" ht="27.75" hidden="false" customHeight="true" outlineLevel="0" collapsed="false">
      <c r="A1" s="181" t="s">
        <v>1655</v>
      </c>
      <c r="B1" s="181"/>
      <c r="C1" s="181"/>
    </row>
    <row r="2" customFormat="false" ht="15" hidden="false" customHeight="true" outlineLevel="0" collapsed="false">
      <c r="A2" s="182" t="s">
        <v>877</v>
      </c>
      <c r="B2" s="182" t="s">
        <v>1656</v>
      </c>
      <c r="C2" s="182" t="s">
        <v>1096</v>
      </c>
    </row>
    <row r="3" customFormat="false" ht="15" hidden="false" customHeight="true" outlineLevel="0" collapsed="false">
      <c r="A3" s="183" t="s">
        <v>1657</v>
      </c>
      <c r="B3" s="184" t="s">
        <v>1107</v>
      </c>
      <c r="C3" s="177"/>
    </row>
    <row r="4" customFormat="false" ht="15" hidden="false" customHeight="true" outlineLevel="0" collapsed="false">
      <c r="A4" s="185" t="s">
        <v>1658</v>
      </c>
      <c r="B4" s="186" t="s">
        <v>1129</v>
      </c>
      <c r="C4" s="175"/>
    </row>
    <row r="5" customFormat="false" ht="15" hidden="false" customHeight="true" outlineLevel="0" collapsed="false">
      <c r="A5" s="183" t="s">
        <v>953</v>
      </c>
      <c r="B5" s="184" t="s">
        <v>1168</v>
      </c>
      <c r="C5" s="177"/>
    </row>
    <row r="6" customFormat="false" ht="15" hidden="false" customHeight="true" outlineLevel="0" collapsed="false">
      <c r="A6" s="185" t="s">
        <v>1659</v>
      </c>
      <c r="B6" s="186" t="s">
        <v>1660</v>
      </c>
      <c r="C6" s="175"/>
    </row>
    <row r="7" customFormat="false" ht="15" hidden="false" customHeight="true" outlineLevel="0" collapsed="false">
      <c r="A7" s="183" t="s">
        <v>1661</v>
      </c>
      <c r="B7" s="184" t="s">
        <v>1662</v>
      </c>
      <c r="C7" s="17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13" activeCellId="0" sqref="B13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5"/>
    <col collapsed="false" customWidth="true" hidden="false" outlineLevel="0" max="3" min="3" style="1" width="10"/>
    <col collapsed="false" customWidth="true" hidden="false" outlineLevel="0" max="4" min="4" style="1" width="25"/>
  </cols>
  <sheetData>
    <row r="1" customFormat="false" ht="27.75" hidden="false" customHeight="true" outlineLevel="0" collapsed="false">
      <c r="A1" s="187" t="s">
        <v>1663</v>
      </c>
      <c r="B1" s="187"/>
      <c r="C1" s="187"/>
      <c r="D1" s="187"/>
    </row>
    <row r="2" customFormat="false" ht="15" hidden="false" customHeight="true" outlineLevel="0" collapsed="false">
      <c r="A2" s="188" t="s">
        <v>1664</v>
      </c>
      <c r="B2" s="188" t="s">
        <v>1665</v>
      </c>
      <c r="C2" s="189" t="s">
        <v>1666</v>
      </c>
      <c r="D2" s="189" t="s">
        <v>1667</v>
      </c>
    </row>
    <row r="3" customFormat="false" ht="15" hidden="false" customHeight="true" outlineLevel="0" collapsed="false">
      <c r="A3" s="183" t="s">
        <v>1668</v>
      </c>
      <c r="B3" s="177" t="s">
        <v>1669</v>
      </c>
      <c r="C3" s="183" t="s">
        <v>1670</v>
      </c>
      <c r="D3" s="177" t="s">
        <v>1671</v>
      </c>
    </row>
    <row r="4" customFormat="false" ht="15" hidden="false" customHeight="true" outlineLevel="0" collapsed="false">
      <c r="A4" s="185" t="s">
        <v>1672</v>
      </c>
      <c r="B4" s="175"/>
      <c r="C4" s="185" t="s">
        <v>1673</v>
      </c>
      <c r="D4" s="175" t="s">
        <v>1068</v>
      </c>
    </row>
    <row r="5" customFormat="false" ht="15" hidden="false" customHeight="true" outlineLevel="0" collapsed="false">
      <c r="A5" s="183" t="s">
        <v>1674</v>
      </c>
      <c r="B5" s="177"/>
      <c r="C5" s="183" t="s">
        <v>1675</v>
      </c>
      <c r="D5" s="177" t="s">
        <v>951</v>
      </c>
    </row>
    <row r="6" customFormat="false" ht="15" hidden="false" customHeight="true" outlineLevel="0" collapsed="false">
      <c r="A6" s="185" t="s">
        <v>1676</v>
      </c>
      <c r="B6" s="175" t="s">
        <v>1669</v>
      </c>
      <c r="C6" s="185" t="s">
        <v>1677</v>
      </c>
      <c r="D6" s="175" t="s">
        <v>957</v>
      </c>
    </row>
    <row r="7" customFormat="false" ht="15" hidden="false" customHeight="true" outlineLevel="0" collapsed="false">
      <c r="A7" s="183" t="s">
        <v>1678</v>
      </c>
      <c r="B7" s="177" t="s">
        <v>1679</v>
      </c>
      <c r="C7" s="183" t="s">
        <v>1680</v>
      </c>
      <c r="D7" s="177" t="s">
        <v>972</v>
      </c>
    </row>
    <row r="8" customFormat="false" ht="15" hidden="false" customHeight="true" outlineLevel="0" collapsed="false">
      <c r="A8" s="185" t="s">
        <v>1681</v>
      </c>
      <c r="B8" s="175"/>
      <c r="C8" s="185" t="s">
        <v>1682</v>
      </c>
      <c r="D8" s="175" t="s">
        <v>1671</v>
      </c>
    </row>
    <row r="9" customFormat="false" ht="15" hidden="false" customHeight="true" outlineLevel="0" collapsed="false">
      <c r="A9" s="183" t="s">
        <v>1683</v>
      </c>
      <c r="B9" s="177"/>
      <c r="C9" s="183" t="s">
        <v>1684</v>
      </c>
      <c r="D9" s="177" t="s">
        <v>969</v>
      </c>
    </row>
    <row r="10" customFormat="false" ht="15" hidden="false" customHeight="true" outlineLevel="0" collapsed="false">
      <c r="A10" s="185" t="s">
        <v>1685</v>
      </c>
      <c r="B10" s="175"/>
      <c r="C10" s="185" t="s">
        <v>1686</v>
      </c>
      <c r="D10" s="175" t="s">
        <v>1687</v>
      </c>
    </row>
    <row r="11" customFormat="false" ht="15" hidden="false" customHeight="true" outlineLevel="0" collapsed="false">
      <c r="A11" s="183" t="s">
        <v>1688</v>
      </c>
      <c r="B11" s="177"/>
      <c r="C11" s="183" t="s">
        <v>1689</v>
      </c>
      <c r="D11" s="177" t="s">
        <v>1690</v>
      </c>
    </row>
    <row r="12" customFormat="false" ht="15" hidden="false" customHeight="true" outlineLevel="0" collapsed="false">
      <c r="A12" s="185" t="s">
        <v>1691</v>
      </c>
      <c r="B12" s="175"/>
      <c r="C12" s="185" t="s">
        <v>1692</v>
      </c>
      <c r="D12" s="175"/>
    </row>
    <row r="13" customFormat="false" ht="15" hidden="false" customHeight="true" outlineLevel="0" collapsed="false">
      <c r="A13" s="183" t="s">
        <v>1693</v>
      </c>
      <c r="B13" s="177"/>
      <c r="C13" s="183" t="s">
        <v>1694</v>
      </c>
      <c r="D13" s="177"/>
    </row>
    <row r="14" customFormat="false" ht="15" hidden="false" customHeight="true" outlineLevel="0" collapsed="false">
      <c r="A14" s="185" t="s">
        <v>1695</v>
      </c>
      <c r="B14" s="175"/>
      <c r="C14" s="185" t="s">
        <v>1696</v>
      </c>
      <c r="D14" s="175"/>
    </row>
    <row r="15" customFormat="false" ht="15" hidden="false" customHeight="true" outlineLevel="0" collapsed="false">
      <c r="A15" s="183" t="s">
        <v>1697</v>
      </c>
      <c r="B15" s="177"/>
      <c r="C15" s="183" t="s">
        <v>1698</v>
      </c>
      <c r="D15" s="177"/>
    </row>
    <row r="16" customFormat="false" ht="15" hidden="false" customHeight="true" outlineLevel="0" collapsed="false">
      <c r="A16" s="185" t="s">
        <v>1699</v>
      </c>
      <c r="B16" s="175"/>
      <c r="C16" s="185" t="s">
        <v>1700</v>
      </c>
      <c r="D16" s="175"/>
    </row>
    <row r="17" customFormat="false" ht="15" hidden="false" customHeight="true" outlineLevel="0" collapsed="false">
      <c r="A17" s="183" t="s">
        <v>1701</v>
      </c>
      <c r="B17" s="177"/>
      <c r="C17" s="183" t="s">
        <v>1702</v>
      </c>
      <c r="D17" s="177"/>
    </row>
    <row r="18" customFormat="false" ht="15" hidden="false" customHeight="true" outlineLevel="0" collapsed="false">
      <c r="A18" s="185" t="s">
        <v>1703</v>
      </c>
      <c r="B18" s="175"/>
    </row>
    <row r="19" customFormat="false" ht="15" hidden="false" customHeight="true" outlineLevel="0" collapsed="false">
      <c r="A19" s="183" t="s">
        <v>1704</v>
      </c>
      <c r="B19" s="177"/>
    </row>
    <row r="20" customFormat="false" ht="15" hidden="false" customHeight="true" outlineLevel="0" collapsed="false">
      <c r="A20" s="185" t="s">
        <v>1705</v>
      </c>
      <c r="B20" s="175"/>
    </row>
    <row r="21" customFormat="false" ht="15" hidden="false" customHeight="true" outlineLevel="0" collapsed="false">
      <c r="A21" s="183" t="s">
        <v>1706</v>
      </c>
      <c r="B21" s="177"/>
    </row>
    <row r="22" customFormat="false" ht="15" hidden="false" customHeight="true" outlineLevel="0" collapsed="false">
      <c r="A22" s="185" t="s">
        <v>1707</v>
      </c>
      <c r="B22" s="175"/>
    </row>
    <row r="23" customFormat="false" ht="15" hidden="false" customHeight="true" outlineLevel="0" collapsed="false">
      <c r="A23" s="183" t="s">
        <v>1708</v>
      </c>
      <c r="B23" s="177"/>
    </row>
    <row r="24" customFormat="false" ht="15" hidden="false" customHeight="true" outlineLevel="0" collapsed="false">
      <c r="A24" s="185" t="s">
        <v>1709</v>
      </c>
      <c r="B24" s="175"/>
    </row>
    <row r="25" customFormat="false" ht="15" hidden="false" customHeight="true" outlineLevel="0" collapsed="false">
      <c r="A25" s="183" t="s">
        <v>1710</v>
      </c>
      <c r="B25" s="177"/>
    </row>
    <row r="26" customFormat="false" ht="15" hidden="false" customHeight="true" outlineLevel="0" collapsed="false">
      <c r="A26" s="185" t="s">
        <v>1711</v>
      </c>
      <c r="B26" s="175"/>
    </row>
    <row r="27" customFormat="false" ht="15" hidden="false" customHeight="true" outlineLevel="0" collapsed="false">
      <c r="A27" s="183" t="s">
        <v>1712</v>
      </c>
      <c r="B27" s="177"/>
    </row>
    <row r="28" customFormat="false" ht="15" hidden="false" customHeight="true" outlineLevel="0" collapsed="false">
      <c r="A28" s="190" t="s">
        <v>1713</v>
      </c>
      <c r="B28" s="190"/>
      <c r="C28" s="190"/>
      <c r="D28" s="190"/>
    </row>
  </sheetData>
  <mergeCells count="2">
    <mergeCell ref="A1:D1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14" activeCellId="0" sqref="B14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5"/>
    <col collapsed="false" customWidth="true" hidden="false" outlineLevel="0" max="3" min="3" style="1" width="30"/>
  </cols>
  <sheetData>
    <row r="1" customFormat="false" ht="27.75" hidden="false" customHeight="true" outlineLevel="0" collapsed="false">
      <c r="A1" s="191" t="s">
        <v>1714</v>
      </c>
      <c r="B1" s="191"/>
      <c r="C1" s="191"/>
    </row>
    <row r="2" customFormat="false" ht="15" hidden="false" customHeight="true" outlineLevel="0" collapsed="false">
      <c r="A2" s="192" t="s">
        <v>877</v>
      </c>
      <c r="B2" s="192" t="s">
        <v>1715</v>
      </c>
      <c r="C2" s="192" t="s">
        <v>1092</v>
      </c>
    </row>
    <row r="3" customFormat="false" ht="15" hidden="false" customHeight="true" outlineLevel="0" collapsed="false">
      <c r="A3" s="183" t="s">
        <v>1716</v>
      </c>
      <c r="B3" s="177" t="s">
        <v>1717</v>
      </c>
      <c r="C3" s="177" t="s">
        <v>1718</v>
      </c>
    </row>
    <row r="4" customFormat="false" ht="15" hidden="false" customHeight="true" outlineLevel="0" collapsed="false">
      <c r="A4" s="185" t="s">
        <v>1719</v>
      </c>
      <c r="B4" s="175" t="s">
        <v>1720</v>
      </c>
      <c r="C4" s="175" t="s">
        <v>1721</v>
      </c>
    </row>
    <row r="5" customFormat="false" ht="15" hidden="false" customHeight="true" outlineLevel="0" collapsed="false">
      <c r="A5" s="183" t="s">
        <v>1722</v>
      </c>
      <c r="B5" s="177" t="s">
        <v>1723</v>
      </c>
      <c r="C5" s="177" t="s">
        <v>1724</v>
      </c>
    </row>
    <row r="6" customFormat="false" ht="15" hidden="false" customHeight="true" outlineLevel="0" collapsed="false">
      <c r="A6" s="185" t="s">
        <v>1725</v>
      </c>
      <c r="B6" s="175" t="s">
        <v>1726</v>
      </c>
      <c r="C6" s="175" t="s">
        <v>1727</v>
      </c>
    </row>
    <row r="7" customFormat="false" ht="15" hidden="false" customHeight="true" outlineLevel="0" collapsed="false">
      <c r="A7" s="183" t="s">
        <v>1728</v>
      </c>
      <c r="B7" s="177" t="s">
        <v>1729</v>
      </c>
      <c r="C7" s="177" t="s">
        <v>1730</v>
      </c>
    </row>
    <row r="8" customFormat="false" ht="15" hidden="false" customHeight="true" outlineLevel="0" collapsed="false">
      <c r="A8" s="185" t="s">
        <v>1731</v>
      </c>
      <c r="B8" s="175" t="s">
        <v>1732</v>
      </c>
      <c r="C8" s="175" t="s">
        <v>1733</v>
      </c>
    </row>
    <row r="9" customFormat="false" ht="15" hidden="false" customHeight="true" outlineLevel="0" collapsed="false">
      <c r="A9" s="183" t="s">
        <v>1734</v>
      </c>
      <c r="B9" s="177" t="s">
        <v>1735</v>
      </c>
      <c r="C9" s="177" t="s">
        <v>1721</v>
      </c>
    </row>
    <row r="10" customFormat="false" ht="15" hidden="false" customHeight="true" outlineLevel="0" collapsed="false">
      <c r="A10" s="185" t="s">
        <v>1736</v>
      </c>
      <c r="B10" s="175" t="s">
        <v>1737</v>
      </c>
      <c r="C10" s="175" t="s">
        <v>1738</v>
      </c>
    </row>
    <row r="11" customFormat="false" ht="15" hidden="false" customHeight="true" outlineLevel="0" collapsed="false">
      <c r="A11" s="183" t="s">
        <v>1739</v>
      </c>
      <c r="B11" s="175" t="s">
        <v>1740</v>
      </c>
      <c r="C11" s="177" t="s">
        <v>1721</v>
      </c>
    </row>
    <row r="12" customFormat="false" ht="15" hidden="false" customHeight="true" outlineLevel="0" collapsed="false">
      <c r="A12" s="185" t="s">
        <v>1741</v>
      </c>
      <c r="B12" s="175" t="s">
        <v>1742</v>
      </c>
      <c r="C12" s="175" t="s">
        <v>1743</v>
      </c>
    </row>
    <row r="13" customFormat="false" ht="15" hidden="false" customHeight="true" outlineLevel="0" collapsed="false">
      <c r="A13" s="185" t="s">
        <v>1744</v>
      </c>
      <c r="B13" s="180" t="s">
        <v>1745</v>
      </c>
      <c r="C13" s="180" t="s">
        <v>1746</v>
      </c>
    </row>
    <row r="14" customFormat="false" ht="15" hidden="false" customHeight="true" outlineLevel="0" collapsed="false">
      <c r="A14" s="180"/>
      <c r="B14" s="180"/>
      <c r="C14" s="180"/>
    </row>
    <row r="15" customFormat="false" ht="15" hidden="false" customHeight="true" outlineLevel="0" collapsed="false">
      <c r="A15" s="180"/>
      <c r="B15" s="180"/>
      <c r="C15" s="180"/>
    </row>
    <row r="16" customFormat="false" ht="15" hidden="false" customHeight="true" outlineLevel="0" collapsed="false">
      <c r="A16" s="180"/>
      <c r="B16" s="180"/>
      <c r="C16" s="18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true" showRowColHeaders="true" showZeros="true" rightToLeft="false" tabSelected="false" showOutlineSymbols="true" defaultGridColor="true" view="normal" topLeftCell="A116" colorId="64" zoomScale="100" zoomScaleNormal="100" zoomScalePageLayoutView="100" workbookViewId="0">
      <selection pane="topLeft" activeCell="G27" activeCellId="0" sqref="G27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9.42"/>
    <col collapsed="false" customWidth="true" hidden="false" outlineLevel="0" max="6" min="6" style="1" width="8"/>
    <col collapsed="false" customWidth="true" hidden="false" outlineLevel="0" max="7" min="7" style="1" width="30"/>
    <col collapsed="false" customWidth="true" hidden="false" outlineLevel="0" max="8" min="8" style="1" width="9"/>
    <col collapsed="false" customWidth="true" hidden="false" outlineLevel="0" max="9" min="9" style="1" width="12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27.75" hidden="false" customHeight="true" outlineLevel="0" collapsed="false">
      <c r="A1" s="193" t="s">
        <v>1747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</row>
    <row r="2" customFormat="false" ht="15.75" hidden="true" customHeight="true" outlineLevel="0" collapsed="false">
      <c r="A2" s="194" t="s">
        <v>1748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</row>
    <row r="3" customFormat="false" ht="30" hidden="false" customHeight="true" outlineLevel="0" collapsed="false">
      <c r="A3" s="165" t="s">
        <v>1749</v>
      </c>
      <c r="B3" s="195" t="s">
        <v>1750</v>
      </c>
      <c r="C3" s="195" t="s">
        <v>929</v>
      </c>
      <c r="D3" s="195" t="s">
        <v>930</v>
      </c>
      <c r="E3" s="196" t="s">
        <v>931</v>
      </c>
      <c r="F3" s="197" t="s">
        <v>1749</v>
      </c>
      <c r="G3" s="198" t="s">
        <v>1751</v>
      </c>
      <c r="H3" s="198" t="s">
        <v>929</v>
      </c>
      <c r="I3" s="198" t="s">
        <v>930</v>
      </c>
      <c r="J3" s="198" t="s">
        <v>931</v>
      </c>
      <c r="K3" s="198" t="s">
        <v>932</v>
      </c>
    </row>
    <row r="4" customFormat="false" ht="13.5" hidden="false" customHeight="true" outlineLevel="0" collapsed="false">
      <c r="A4" s="88" t="str">
        <f aca="false">IFERROR(INDEX(PRODUCTOS!$A:$A,MATCH(1,PRODUCTOS!$F:$F,0)),"")</f>
        <v>C650</v>
      </c>
      <c r="B4" s="46" t="str">
        <f aca="false">IF($A4="","",IFERROR(VLOOKUP($A4,PRODUCTOS!$A:$B,2,0),""))</f>
        <v>ABADEJO RIA (POL)</v>
      </c>
      <c r="C4" s="82" t="str">
        <f aca="false">IF($A4="","",IFERROR(VLOOKUP($A4,PRODUCTOS!$A:$H,8,0),""))</f>
        <v/>
      </c>
      <c r="D4" s="199" t="str">
        <f aca="false">IF($A4="","",IFERROR(VLOOKUP($A4,PRODUCTOS!$A:$I,9,0),""))</f>
        <v/>
      </c>
      <c r="E4" s="200" t="str">
        <f aca="false">IF($A4="","",IFERROR(VLOOKUP($A4,PRODUCTOS!$A:$J,10,0),""))</f>
        <v/>
      </c>
      <c r="F4" s="88" t="str">
        <f aca="false">IFERROR(INDEX(PRODUCTOS!$A:$A,MATCH(1,PRODUCTOS!$G:$G,0)),"")</f>
        <v>C730</v>
      </c>
      <c r="G4" s="46" t="str">
        <f aca="false">IF($F4="","",IFERROR(VLOOKUP($F4,PRODUCTOS!$A:$B,2,0),""))</f>
        <v>CALAMAR PATAGONICO (SQP)</v>
      </c>
      <c r="H4" s="201" t="str">
        <f aca="false">IF($F4="","",IFERROR(VLOOKUP($F4,PRODUCTOS!$A:$H,8,0),""))</f>
        <v/>
      </c>
      <c r="I4" s="199" t="str">
        <f aca="false">IF($F4="","",IFERROR(VLOOKUP($F4,PRODUCTOS!$A:$I,9,0),""))</f>
        <v/>
      </c>
      <c r="J4" s="54" t="str">
        <f aca="false">IF($F4="","",IFERROR(VLOOKUP($F4,PRODUCTOS!$A:$J,10,0),""))</f>
        <v/>
      </c>
      <c r="K4" s="54" t="str">
        <f aca="false">IF($F4="","",IF(N(IFERROR(VLOOKUP($F4,PRODUCTOS!$A:$K,11,0),0))=0,"",VLOOKUP($F4,PRODUCTOS!$A:$K,11,0)))</f>
        <v/>
      </c>
    </row>
    <row r="5" customFormat="false" ht="13.5" hidden="false" customHeight="true" outlineLevel="0" collapsed="false">
      <c r="A5" s="76" t="str">
        <f aca="false">IFERROR(INDEX(PRODUCTOS!$A:$A,MATCH(2,PRODUCTOS!$F:$F,0)),"")</f>
        <v>C620</v>
      </c>
      <c r="B5" s="52" t="str">
        <f aca="false">IF($A5="","",IFERROR(VLOOKUP($A5,PRODUCTOS!$A:$B,2,0),""))</f>
        <v>ACEDIA (CET)</v>
      </c>
      <c r="C5" s="82" t="str">
        <f aca="false">IF($A5="","",IFERROR(VLOOKUP($A5,PRODUCTOS!$A:$H,8,0),""))</f>
        <v/>
      </c>
      <c r="D5" s="199" t="str">
        <f aca="false">IF($A5="","",IFERROR(VLOOKUP($A5,PRODUCTOS!$A:$I,9,0),""))</f>
        <v/>
      </c>
      <c r="E5" s="200" t="str">
        <f aca="false">IF($A5="","",IFERROR(VLOOKUP($A5,PRODUCTOS!$A:$J,10,0),""))</f>
        <v/>
      </c>
      <c r="F5" s="76" t="str">
        <f aca="false">IFERROR(INDEX(PRODUCTOS!$A:$A,MATCH(2,PRODUCTOS!$G:$G,0)),"")</f>
        <v>C823</v>
      </c>
      <c r="G5" s="52" t="str">
        <f aca="false">IF($F5="","",IFERROR(VLOOKUP($F5,PRODUCTOS!$A:$B,2,0),""))</f>
        <v>CENTOLLA/ CENTOLLO (SCR)</v>
      </c>
      <c r="H5" s="201" t="str">
        <f aca="false">IF($F5="","",IFERROR(VLOOKUP($F5,PRODUCTOS!$A:$H,8,0),""))</f>
        <v/>
      </c>
      <c r="I5" s="199" t="str">
        <f aca="false">IF($F5="","",IFERROR(VLOOKUP($F5,PRODUCTOS!$A:$I,9,0),""))</f>
        <v/>
      </c>
      <c r="J5" s="54" t="str">
        <f aca="false">IF($F5="","",IFERROR(VLOOKUP($F5,PRODUCTOS!$A:$J,10,0),""))</f>
        <v/>
      </c>
      <c r="K5" s="54" t="str">
        <f aca="false">IF($F5="","",IF(N(IFERROR(VLOOKUP($F5,PRODUCTOS!$A:$K,11,0),0))=0,"",VLOOKUP($F5,PRODUCTOS!$A:$K,11,0)))</f>
        <v/>
      </c>
    </row>
    <row r="6" customFormat="false" ht="13.5" hidden="false" customHeight="true" outlineLevel="0" collapsed="false">
      <c r="A6" s="88" t="str">
        <f aca="false">IFERROR(INDEX(PRODUCTOS!$A:$A,MATCH(3,PRODUCTOS!$F:$F,0)),"")</f>
        <v>C2555</v>
      </c>
      <c r="B6" s="46" t="str">
        <f aca="false">IF($A6="","",IFERROR(VLOOKUP($A6,PRODUCTOS!$A:$B,2,0),""))</f>
        <v>ALFONDIGA/RUBIO/ESCACHO (GUU)</v>
      </c>
      <c r="C6" s="82" t="n">
        <f aca="false">IF($A6="","",IFERROR(VLOOKUP($A6,PRODUCTOS!$A:$H,8,0),""))</f>
        <v>1.49932330827068</v>
      </c>
      <c r="D6" s="199" t="n">
        <f aca="false">IF($A6="","",IFERROR(VLOOKUP($A6,PRODUCTOS!$A:$I,9,0),""))</f>
        <v>3.2</v>
      </c>
      <c r="E6" s="200" t="n">
        <f aca="false">IF($A6="","",IFERROR(VLOOKUP($A6,PRODUCTOS!$A:$J,10,0),""))</f>
        <v>3.4</v>
      </c>
      <c r="F6" s="88" t="str">
        <f aca="false">IFERROR(INDEX(PRODUCTOS!$A:$A,MATCH(3,PRODUCTOS!$G:$G,0)),"")</f>
        <v>C269</v>
      </c>
      <c r="G6" s="46" t="str">
        <f aca="false">IF($F6="","",IFERROR(VLOOKUP($F6,PRODUCTOS!$A:$B,2,0),""))</f>
        <v>GALLINETA NORTE OCEANICA (FILETES)</v>
      </c>
      <c r="H6" s="201" t="str">
        <f aca="false">IF($F6="","",IFERROR(VLOOKUP($F6,PRODUCTOS!$A:$H,8,0),""))</f>
        <v/>
      </c>
      <c r="I6" s="199" t="str">
        <f aca="false">IF($F6="","",IFERROR(VLOOKUP($F6,PRODUCTOS!$A:$I,9,0),""))</f>
        <v/>
      </c>
      <c r="J6" s="54" t="str">
        <f aca="false">IF($F6="","",IFERROR(VLOOKUP($F6,PRODUCTOS!$A:$J,10,0),""))</f>
        <v/>
      </c>
      <c r="K6" s="54" t="str">
        <f aca="false">IF($F6="","",IF(N(IFERROR(VLOOKUP($F6,PRODUCTOS!$A:$K,11,0),0))=0,"",VLOOKUP($F6,PRODUCTOS!$A:$K,11,0)))</f>
        <v/>
      </c>
    </row>
    <row r="7" customFormat="false" ht="13.5" hidden="false" customHeight="true" outlineLevel="0" collapsed="false">
      <c r="A7" s="76" t="str">
        <f aca="false">IFERROR(INDEX(PRODUCTOS!$A:$A,MATCH(4,PRODUCTOS!$F:$F,0)),"")</f>
        <v>C3972</v>
      </c>
      <c r="B7" s="52" t="str">
        <f aca="false">IF($A7="","",IFERROR(VLOOKUP($A7,PRODUCTOS!$A:$B,2,0),""))</f>
        <v>ATUN PATUDO (BET)</v>
      </c>
      <c r="C7" s="82" t="str">
        <f aca="false">IF($A7="","",IFERROR(VLOOKUP($A7,PRODUCTOS!$A:$H,8,0),""))</f>
        <v/>
      </c>
      <c r="D7" s="199" t="str">
        <f aca="false">IF($A7="","",IFERROR(VLOOKUP($A7,PRODUCTOS!$A:$I,9,0),""))</f>
        <v/>
      </c>
      <c r="E7" s="200" t="str">
        <f aca="false">IF($A7="","",IFERROR(VLOOKUP($A7,PRODUCTOS!$A:$J,10,0),""))</f>
        <v/>
      </c>
      <c r="F7" s="76" t="str">
        <f aca="false">IFERROR(INDEX(PRODUCTOS!$A:$A,MATCH(4,PRODUCTOS!$G:$G,0)),"")</f>
        <v>C740</v>
      </c>
      <c r="G7" s="52" t="str">
        <f aca="false">IF($F7="","",IFERROR(VLOOKUP($F7,PRODUCTOS!$A:$B,2,0),""))</f>
        <v>CALAMAR CALIFORNIA</v>
      </c>
      <c r="H7" s="201" t="str">
        <f aca="false">IF($F7="","",IFERROR(VLOOKUP($F7,PRODUCTOS!$A:$H,8,0),""))</f>
        <v/>
      </c>
      <c r="I7" s="199" t="str">
        <f aca="false">IF($F7="","",IFERROR(VLOOKUP($F7,PRODUCTOS!$A:$I,9,0),""))</f>
        <v/>
      </c>
      <c r="J7" s="54" t="str">
        <f aca="false">IF($F7="","",IFERROR(VLOOKUP($F7,PRODUCTOS!$A:$J,10,0),""))</f>
        <v/>
      </c>
      <c r="K7" s="54" t="str">
        <f aca="false">IF($F7="","",IF(N(IFERROR(VLOOKUP($F7,PRODUCTOS!$A:$K,11,0),0))=0,"",VLOOKUP($F7,PRODUCTOS!$A:$K,11,0)))</f>
        <v/>
      </c>
    </row>
    <row r="8" customFormat="false" ht="13.5" hidden="false" customHeight="true" outlineLevel="0" collapsed="false">
      <c r="A8" s="88" t="str">
        <f aca="false">IFERROR(INDEX(PRODUCTOS!$A:$A,MATCH(5,PRODUCTOS!$F:$F,0)),"")</f>
        <v>C8020</v>
      </c>
      <c r="B8" s="46" t="str">
        <f aca="false">IF($A8="","",IFERROR(VLOOKUP($A8,PRODUCTOS!$A:$B,2,0),""))</f>
        <v>FILETE DE BACALO (COD)</v>
      </c>
      <c r="C8" s="82" t="str">
        <f aca="false">IF($A8="","",IFERROR(VLOOKUP($A8,PRODUCTOS!$A:$H,8,0),""))</f>
        <v/>
      </c>
      <c r="D8" s="199" t="str">
        <f aca="false">IF($A8="","",IFERROR(VLOOKUP($A8,PRODUCTOS!$A:$I,9,0),""))</f>
        <v/>
      </c>
      <c r="E8" s="200" t="str">
        <f aca="false">IF($A8="","",IFERROR(VLOOKUP($A8,PRODUCTOS!$A:$J,10,0),""))</f>
        <v/>
      </c>
      <c r="F8" s="88" t="str">
        <f aca="false">IFERROR(INDEX(PRODUCTOS!$A:$A,MATCH(5,PRODUCTOS!$G:$G,0)),"")</f>
        <v>C440</v>
      </c>
      <c r="G8" s="46" t="str">
        <f aca="false">IF($F8="","",IFERROR(VLOOKUP($F8,PRODUCTOS!$A:$B,2,0),""))</f>
        <v>FILETE DE PLATIJA (FLE)</v>
      </c>
      <c r="H8" s="201" t="str">
        <f aca="false">IF($F8="","",IFERROR(VLOOKUP($F8,PRODUCTOS!$A:$H,8,0),""))</f>
        <v/>
      </c>
      <c r="I8" s="202" t="str">
        <f aca="false">IF($F8="","",IFERROR(VLOOKUP($F8,PRODUCTOS!$A:$I,9,0),""))</f>
        <v/>
      </c>
      <c r="J8" s="54" t="str">
        <f aca="false">IF($F8="","",IFERROR(VLOOKUP($F8,PRODUCTOS!$A:$J,10,0),""))</f>
        <v/>
      </c>
      <c r="K8" s="54" t="str">
        <f aca="false">IF($F8="","",IF(N(IFERROR(VLOOKUP($F8,PRODUCTOS!$A:$K,11,0),0))=0,"",VLOOKUP($F8,PRODUCTOS!$A:$K,11,0)))</f>
        <v/>
      </c>
    </row>
    <row r="9" customFormat="false" ht="13.5" hidden="false" customHeight="true" outlineLevel="0" collapsed="false">
      <c r="A9" s="76" t="str">
        <f aca="false">IFERROR(INDEX(PRODUCTOS!$A:$A,MATCH(6,PRODUCTOS!$F:$F,0)),"")</f>
        <v>C802 </v>
      </c>
      <c r="B9" s="52" t="str">
        <f aca="false">IF($A9="","",IFERROR(VLOOKUP($A9,PRODUCTOS!$A:$B,2,0),""))</f>
        <v>BACALAO FRESCO (COD)</v>
      </c>
      <c r="C9" s="82" t="str">
        <f aca="false">IF($A9="","",IFERROR(VLOOKUP($A9,PRODUCTOS!$A:$H,8,0),""))</f>
        <v/>
      </c>
      <c r="D9" s="199" t="str">
        <f aca="false">IF($A9="","",IFERROR(VLOOKUP($A9,PRODUCTOS!$A:$I,9,0),""))</f>
        <v/>
      </c>
      <c r="E9" s="200" t="str">
        <f aca="false">IF($A9="","",IFERROR(VLOOKUP($A9,PRODUCTOS!$A:$J,10,0),""))</f>
        <v/>
      </c>
      <c r="F9" s="203" t="str">
        <f aca="false">IFERROR(INDEX(PRODUCTOS!$A:$A,MATCH(6,PRODUCTOS!$G:$G,0)),"")</f>
        <v/>
      </c>
      <c r="G9" s="52" t="str">
        <f aca="false">IF($F9="","",IFERROR(VLOOKUP($F9,PRODUCTOS!$A:$B,2,0),""))</f>
        <v/>
      </c>
      <c r="H9" s="201" t="str">
        <f aca="false">IF($F9="","",IFERROR(VLOOKUP($F9,PRODUCTOS!$A:$H,8,0),""))</f>
        <v/>
      </c>
      <c r="I9" s="202" t="str">
        <f aca="false">IF($F9="","",IFERROR(VLOOKUP($F9,PRODUCTOS!$A:$I,9,0),""))</f>
        <v/>
      </c>
      <c r="J9" s="54" t="str">
        <f aca="false">IF($F9="","",IFERROR(VLOOKUP($F9,PRODUCTOS!$A:$J,10,0),""))</f>
        <v/>
      </c>
      <c r="K9" s="54" t="str">
        <f aca="false">IF($F9="","",IF(N(IFERROR(VLOOKUP($F9,PRODUCTOS!$A:$K,11,0),0))=0,"",VLOOKUP($F9,PRODUCTOS!$A:$K,11,0)))</f>
        <v/>
      </c>
    </row>
    <row r="10" customFormat="false" ht="13.5" hidden="false" customHeight="true" outlineLevel="0" collapsed="false">
      <c r="A10" s="88" t="str">
        <f aca="false">IFERROR(INDEX(PRODUCTOS!$A:$A,MATCH(7,PRODUCTOS!$F:$F,0)),"")</f>
        <v>C8021</v>
      </c>
      <c r="B10" s="46" t="str">
        <f aca="false">IF($A10="","",IFERROR(VLOOKUP($A10,PRODUCTOS!$A:$B,2,0),""))</f>
        <v>COCOCHAS DE BACALAO (COD)</v>
      </c>
      <c r="C10" s="82" t="str">
        <f aca="false">IF($A10="","",IFERROR(VLOOKUP($A10,PRODUCTOS!$A:$H,8,0),""))</f>
        <v/>
      </c>
      <c r="D10" s="199" t="str">
        <f aca="false">IF($A10="","",IFERROR(VLOOKUP($A10,PRODUCTOS!$A:$I,9,0),""))</f>
        <v/>
      </c>
      <c r="E10" s="200" t="str">
        <f aca="false">IF($A10="","",IFERROR(VLOOKUP($A10,PRODUCTOS!$A:$J,10,0),""))</f>
        <v/>
      </c>
      <c r="F10" s="204" t="str">
        <f aca="false">IFERROR(INDEX(PRODUCTOS!$A:$A,MATCH(7,PRODUCTOS!$G:$G,0)),"")</f>
        <v/>
      </c>
      <c r="G10" s="205" t="str">
        <f aca="false">IF($F10="","",IFERROR(VLOOKUP($F10,PRODUCTOS!$A:$B,2,0),""))</f>
        <v/>
      </c>
      <c r="H10" s="201" t="str">
        <f aca="false">IF($F10="","",IFERROR(VLOOKUP($F10,PRODUCTOS!$A:$H,8,0),""))</f>
        <v/>
      </c>
      <c r="I10" s="202" t="str">
        <f aca="false">IF($F10="","",IFERROR(VLOOKUP($F10,PRODUCTOS!$A:$I,9,0),""))</f>
        <v/>
      </c>
      <c r="J10" s="54" t="str">
        <f aca="false">IF($F10="","",IFERROR(VLOOKUP($F10,PRODUCTOS!$A:$J,10,0),""))</f>
        <v/>
      </c>
      <c r="K10" s="54" t="str">
        <f aca="false">IF($F10="","",IF(N(IFERROR(VLOOKUP($F10,PRODUCTOS!$A:$K,11,0),0))=0,"",VLOOKUP($F10,PRODUCTOS!$A:$K,11,0)))</f>
        <v/>
      </c>
    </row>
    <row r="11" customFormat="false" ht="13.5" hidden="false" customHeight="true" outlineLevel="0" collapsed="false">
      <c r="A11" s="76" t="str">
        <f aca="false">IFERROR(INDEX(PRODUCTOS!$A:$A,MATCH(8,PRODUCTOS!$F:$F,0)),"")</f>
        <v>C1546</v>
      </c>
      <c r="B11" s="52" t="str">
        <f aca="false">IF($A11="","",IFERROR(VLOOKUP($A11,PRODUCTOS!$A:$B,2,0),""))</f>
        <v>BERTORELLA ROCA (FOR)</v>
      </c>
      <c r="C11" s="82" t="n">
        <f aca="false">IF($A11="","",IFERROR(VLOOKUP($A11,PRODUCTOS!$A:$H,8,0),""))</f>
        <v>2.28311404958678</v>
      </c>
      <c r="D11" s="199" t="n">
        <f aca="false">IF($A11="","",IFERROR(VLOOKUP($A11,PRODUCTOS!$A:$I,9,0),""))</f>
        <v>3.98</v>
      </c>
      <c r="E11" s="200" t="n">
        <f aca="false">IF($A11="","",IFERROR(VLOOKUP($A11,PRODUCTOS!$A:$J,10,0),""))</f>
        <v>4.18</v>
      </c>
      <c r="F11" s="203" t="str">
        <f aca="false">IFERROR(INDEX(PRODUCTOS!$A:$A,MATCH(8,PRODUCTOS!$G:$G,0)),"")</f>
        <v/>
      </c>
      <c r="G11" s="52" t="str">
        <f aca="false">IF($F11="","",IFERROR(VLOOKUP($F11,PRODUCTOS!$A:$B,2,0),""))</f>
        <v/>
      </c>
      <c r="H11" s="201" t="str">
        <f aca="false">IF($F11="","",IFERROR(VLOOKUP($F11,PRODUCTOS!$A:$H,8,0),""))</f>
        <v/>
      </c>
      <c r="I11" s="202" t="str">
        <f aca="false">IF($F11="","",IFERROR(VLOOKUP($F11,PRODUCTOS!$A:$I,9,0),""))</f>
        <v/>
      </c>
      <c r="J11" s="54" t="str">
        <f aca="false">IF($F11="","",IFERROR(VLOOKUP($F11,PRODUCTOS!$A:$J,10,0),""))</f>
        <v/>
      </c>
      <c r="K11" s="54" t="str">
        <f aca="false">IF($F11="","",IF(N(IFERROR(VLOOKUP($F11,PRODUCTOS!$A:$K,11,0),0))=0,"",VLOOKUP($F11,PRODUCTOS!$A:$K,11,0)))</f>
        <v/>
      </c>
    </row>
    <row r="12" customFormat="false" ht="13.5" hidden="false" customHeight="true" outlineLevel="0" collapsed="false">
      <c r="A12" s="88" t="str">
        <f aca="false">IFERROR(INDEX(PRODUCTOS!$A:$A,MATCH(9,PRODUCTOS!$F:$F,0)),"")</f>
        <v>C1545</v>
      </c>
      <c r="B12" s="46" t="str">
        <f aca="false">IF($A12="","",IFERROR(VLOOKUP($A12,PRODUCTOS!$A:$B,2,0),""))</f>
        <v>BERTORELLA (GFB)</v>
      </c>
      <c r="C12" s="82" t="n">
        <f aca="false">IF($A12="","",IFERROR(VLOOKUP($A12,PRODUCTOS!$A:$H,8,0),""))</f>
        <v>2.48688907148726</v>
      </c>
      <c r="D12" s="199" t="n">
        <f aca="false">IF($A12="","",IFERROR(VLOOKUP($A12,PRODUCTOS!$A:$I,9,0),""))</f>
        <v>4.19</v>
      </c>
      <c r="E12" s="200" t="n">
        <f aca="false">IF($A12="","",IFERROR(VLOOKUP($A12,PRODUCTOS!$A:$J,10,0),""))</f>
        <v>4.39</v>
      </c>
      <c r="F12" s="204" t="str">
        <f aca="false">IFERROR(INDEX(PRODUCTOS!$A:$A,MATCH(9,PRODUCTOS!$G:$G,0)),"")</f>
        <v/>
      </c>
      <c r="G12" s="206" t="str">
        <f aca="false">IF($F12="","",IFERROR(VLOOKUP($F12,PRODUCTOS!$A:$B,2,0),""))</f>
        <v/>
      </c>
      <c r="H12" s="201" t="str">
        <f aca="false">IF($F12="","",IFERROR(VLOOKUP($F12,PRODUCTOS!$A:$H,8,0),""))</f>
        <v/>
      </c>
      <c r="I12" s="202" t="str">
        <f aca="false">IF($F12="","",IFERROR(VLOOKUP($F12,PRODUCTOS!$A:$I,9,0),""))</f>
        <v/>
      </c>
      <c r="J12" s="54" t="str">
        <f aca="false">IF($F12="","",IFERROR(VLOOKUP($F12,PRODUCTOS!$A:$J,10,0),""))</f>
        <v/>
      </c>
      <c r="K12" s="54" t="str">
        <f aca="false">IF($F12="","",IF(N(IFERROR(VLOOKUP($F12,PRODUCTOS!$A:$K,11,0),0))=0,"",VLOOKUP($F12,PRODUCTOS!$A:$K,11,0)))</f>
        <v/>
      </c>
    </row>
    <row r="13" customFormat="false" ht="13.5" hidden="false" customHeight="true" outlineLevel="0" collapsed="false">
      <c r="A13" s="76" t="str">
        <f aca="false">IFERROR(INDEX(PRODUCTOS!$A:$A,MATCH(10,PRODUCTOS!$F:$F,0)),"")</f>
        <v>C365</v>
      </c>
      <c r="B13" s="52" t="str">
        <f aca="false">IF($A13="","",IFERROR(VLOOKUP($A13,PRODUCTOS!$A:$B,2,0),""))</f>
        <v>BESUGO (BSR)</v>
      </c>
      <c r="C13" s="82" t="n">
        <f aca="false">IF($A13="","",IFERROR(VLOOKUP($A13,PRODUCTOS!$A:$H,8,0),""))</f>
        <v>42.84</v>
      </c>
      <c r="D13" s="199" t="n">
        <f aca="false">IF($A13="","",IFERROR(VLOOKUP($A13,PRODUCTOS!$A:$I,9,0),""))</f>
        <v>44.54</v>
      </c>
      <c r="E13" s="200" t="n">
        <f aca="false">IF($A13="","",IFERROR(VLOOKUP($A13,PRODUCTOS!$A:$J,10,0),""))</f>
        <v>44.74</v>
      </c>
      <c r="F13" s="203" t="str">
        <f aca="false">IFERROR(INDEX(PRODUCTOS!$A:$A,MATCH(10,PRODUCTOS!$G:$G,0)),"")</f>
        <v/>
      </c>
      <c r="G13" s="207" t="str">
        <f aca="false">IF($F13="","",IFERROR(VLOOKUP($F13,PRODUCTOS!$A:$B,2,0),""))</f>
        <v/>
      </c>
      <c r="H13" s="201" t="str">
        <f aca="false">IF($F13="","",IFERROR(VLOOKUP($F13,PRODUCTOS!$A:$H,8,0),""))</f>
        <v/>
      </c>
      <c r="I13" s="202" t="str">
        <f aca="false">IF($F13="","",IFERROR(VLOOKUP($F13,PRODUCTOS!$A:$I,9,0),""))</f>
        <v/>
      </c>
      <c r="J13" s="54" t="str">
        <f aca="false">IF($F13="","",IFERROR(VLOOKUP($F13,PRODUCTOS!$A:$J,10,0),""))</f>
        <v/>
      </c>
      <c r="K13" s="54" t="str">
        <f aca="false">IF($F13="","",IF(N(IFERROR(VLOOKUP($F13,PRODUCTOS!$A:$K,11,0),0))=0,"",VLOOKUP($F13,PRODUCTOS!$A:$K,11,0)))</f>
        <v/>
      </c>
    </row>
    <row r="14" customFormat="false" ht="13.5" hidden="false" customHeight="true" outlineLevel="0" collapsed="false">
      <c r="A14" s="88" t="str">
        <f aca="false">IFERROR(INDEX(PRODUCTOS!$A:$A,MATCH(11,PRODUCTOS!$F:$F,0)),"")</f>
        <v>C562</v>
      </c>
      <c r="B14" s="46" t="str">
        <f aca="false">IF($A14="","",IFERROR(VLOOKUP($A14,PRODUCTOS!$A:$B,2,0),""))</f>
        <v>BICUDO/ALIGOTE (SBA)</v>
      </c>
      <c r="C14" s="82" t="n">
        <f aca="false">IF($A14="","",IFERROR(VLOOKUP($A14,PRODUCTOS!$A:$H,8,0),""))</f>
        <v>7.14</v>
      </c>
      <c r="D14" s="199" t="n">
        <f aca="false">IF($A14="","",IFERROR(VLOOKUP($A14,PRODUCTOS!$A:$I,9,0),""))</f>
        <v>8.84</v>
      </c>
      <c r="E14" s="200" t="n">
        <f aca="false">IF($A14="","",IFERROR(VLOOKUP($A14,PRODUCTOS!$A:$J,10,0),""))</f>
        <v>9.04</v>
      </c>
      <c r="F14" s="204" t="str">
        <f aca="false">IFERROR(INDEX(PRODUCTOS!$A:$A,MATCH(11,PRODUCTOS!$G:$G,0)),"")</f>
        <v/>
      </c>
      <c r="G14" s="206" t="str">
        <f aca="false">IF($F14="","",IFERROR(VLOOKUP($F14,PRODUCTOS!$A:$B,2,0),""))</f>
        <v/>
      </c>
      <c r="H14" s="201" t="str">
        <f aca="false">IF($F14="","",IFERROR(VLOOKUP($F14,PRODUCTOS!$A:$H,8,0),""))</f>
        <v/>
      </c>
      <c r="I14" s="202" t="str">
        <f aca="false">IF($F14="","",IFERROR(VLOOKUP($F14,PRODUCTOS!$A:$I,9,0),""))</f>
        <v/>
      </c>
      <c r="J14" s="54" t="str">
        <f aca="false">IF($F14="","",IFERROR(VLOOKUP($F14,PRODUCTOS!$A:$J,10,0),""))</f>
        <v/>
      </c>
      <c r="K14" s="54" t="str">
        <f aca="false">IF($F14="","",IF(N(IFERROR(VLOOKUP($F14,PRODUCTOS!$A:$K,11,0),0))=0,"",VLOOKUP($F14,PRODUCTOS!$A:$K,11,0)))</f>
        <v/>
      </c>
    </row>
    <row r="15" customFormat="false" ht="13.5" hidden="false" customHeight="true" outlineLevel="0" collapsed="false">
      <c r="A15" s="76" t="str">
        <f aca="false">IFERROR(INDEX(PRODUCTOS!$A:$A,MATCH(12,PRODUCTOS!$F:$F,0)),"")</f>
        <v>C601</v>
      </c>
      <c r="B15" s="52" t="str">
        <f aca="false">IF($A15="","",IFERROR(VLOOKUP($A15,PRODUCTOS!$A:$B,2,0),""))</f>
        <v>BOGAVANTE CANADIENSE CHIX (LBA)</v>
      </c>
      <c r="C15" s="82" t="str">
        <f aca="false">IF($A15="","",IFERROR(VLOOKUP($A15,PRODUCTOS!$A:$H,8,0),""))</f>
        <v/>
      </c>
      <c r="D15" s="199" t="str">
        <f aca="false">IF($A15="","",IFERROR(VLOOKUP($A15,PRODUCTOS!$A:$I,9,0),""))</f>
        <v/>
      </c>
      <c r="E15" s="200" t="str">
        <f aca="false">IF($A15="","",IFERROR(VLOOKUP($A15,PRODUCTOS!$A:$J,10,0),""))</f>
        <v/>
      </c>
      <c r="F15" s="203" t="str">
        <f aca="false">IFERROR(INDEX(PRODUCTOS!$A:$A,MATCH(12,PRODUCTOS!$G:$G,0)),"")</f>
        <v/>
      </c>
      <c r="G15" s="207" t="str">
        <f aca="false">IF($F15="","",IFERROR(VLOOKUP($F15,PRODUCTOS!$A:$B,2,0),""))</f>
        <v/>
      </c>
      <c r="H15" s="201" t="str">
        <f aca="false">IF($F15="","",IFERROR(VLOOKUP($F15,PRODUCTOS!$A:$H,8,0),""))</f>
        <v/>
      </c>
      <c r="I15" s="202" t="str">
        <f aca="false">IF($F15="","",IFERROR(VLOOKUP($F15,PRODUCTOS!$A:$I,9,0),""))</f>
        <v/>
      </c>
      <c r="J15" s="54" t="str">
        <f aca="false">IF($F15="","",IFERROR(VLOOKUP($F15,PRODUCTOS!$A:$J,10,0),""))</f>
        <v/>
      </c>
      <c r="K15" s="54" t="str">
        <f aca="false">IF($F15="","",IF(N(IFERROR(VLOOKUP($F15,PRODUCTOS!$A:$K,11,0),0))=0,"",VLOOKUP($F15,PRODUCTOS!$A:$K,11,0)))</f>
        <v/>
      </c>
    </row>
    <row r="16" customFormat="false" ht="13.5" hidden="false" customHeight="true" outlineLevel="0" collapsed="false">
      <c r="A16" s="88" t="str">
        <f aca="false">IFERROR(INDEX(PRODUCTOS!$A:$A,MATCH(13,PRODUCTOS!$F:$F,0)),"")</f>
        <v>C3979</v>
      </c>
      <c r="B16" s="46" t="str">
        <f aca="false">IF($A16="","",IFERROR(VLOOKUP($A16,PRODUCTOS!$A:$B,2,0),""))</f>
        <v>BONITO DEL NORTE 5/7</v>
      </c>
      <c r="C16" s="82" t="n">
        <f aca="false">IF($A16="","",IFERROR(VLOOKUP($A16,PRODUCTOS!$A:$H,8,0),""))</f>
        <v>3.06</v>
      </c>
      <c r="D16" s="199" t="n">
        <f aca="false">IF($A16="","",IFERROR(VLOOKUP($A16,PRODUCTOS!$A:$I,9,0),""))</f>
        <v>4.76</v>
      </c>
      <c r="E16" s="200" t="n">
        <f aca="false">IF($A16="","",IFERROR(VLOOKUP($A16,PRODUCTOS!$A:$J,10,0),""))</f>
        <v>4.96</v>
      </c>
      <c r="F16" s="204"/>
      <c r="G16" s="206"/>
      <c r="H16" s="201"/>
      <c r="I16" s="202"/>
      <c r="J16" s="54"/>
      <c r="K16" s="54"/>
    </row>
    <row r="17" customFormat="false" ht="13.5" hidden="false" customHeight="true" outlineLevel="0" collapsed="false">
      <c r="A17" s="76" t="str">
        <f aca="false">IFERROR(INDEX(PRODUCTOS!$A:$A,MATCH(14,PRODUCTOS!$F:$F,0)),"")</f>
        <v>C397</v>
      </c>
      <c r="B17" s="52" t="str">
        <f aca="false">IF($A17="","",IFERROR(VLOOKUP($A17,PRODUCTOS!$A:$B,2,0),""))</f>
        <v>BONITO DEL NORTE 5/7</v>
      </c>
      <c r="C17" s="82" t="n">
        <f aca="false">IF($A17="","",IFERROR(VLOOKUP($A17,PRODUCTOS!$A:$H,8,0),""))</f>
        <v>6.222</v>
      </c>
      <c r="D17" s="199" t="n">
        <f aca="false">IF($A17="","",IFERROR(VLOOKUP($A17,PRODUCTOS!$A:$I,9,0),""))</f>
        <v>7.92</v>
      </c>
      <c r="E17" s="200" t="n">
        <f aca="false">IF($A17="","",IFERROR(VLOOKUP($A17,PRODUCTOS!$A:$J,10,0),""))</f>
        <v>8.12</v>
      </c>
      <c r="F17" s="203"/>
      <c r="G17" s="207"/>
      <c r="H17" s="201"/>
      <c r="I17" s="202"/>
      <c r="J17" s="54"/>
      <c r="K17" s="54"/>
    </row>
    <row r="18" customFormat="false" ht="13.5" hidden="false" customHeight="true" outlineLevel="0" collapsed="false">
      <c r="A18" s="88" t="str">
        <f aca="false">IFERROR(INDEX(PRODUCTOS!$A:$A,MATCH(15,PRODUCTOS!$F:$F,0)),"")</f>
        <v>C387</v>
      </c>
      <c r="B18" s="46" t="str">
        <f aca="false">IF($A18="","",IFERROR(VLOOKUP($A18,PRODUCTOS!$A:$B,2,0),""))</f>
        <v>BOQUERON/ BOCARTE/ ANCHOA (ANE)</v>
      </c>
      <c r="C18" s="82" t="n">
        <f aca="false">IF($A18="","",IFERROR(VLOOKUP($A18,PRODUCTOS!$A:$H,8,0),""))</f>
        <v>2.193</v>
      </c>
      <c r="D18" s="199" t="n">
        <f aca="false">IF($A18="","",IFERROR(VLOOKUP($A18,PRODUCTOS!$A:$I,9,0),""))</f>
        <v>3.89</v>
      </c>
      <c r="E18" s="200" t="n">
        <f aca="false">IF($A18="","",IFERROR(VLOOKUP($A18,PRODUCTOS!$A:$J,10,0),""))</f>
        <v>4.09</v>
      </c>
      <c r="F18" s="204"/>
      <c r="G18" s="206"/>
      <c r="H18" s="201"/>
      <c r="I18" s="202"/>
      <c r="J18" s="54"/>
      <c r="K18" s="54"/>
    </row>
    <row r="19" customFormat="false" ht="13.5" hidden="false" customHeight="true" outlineLevel="0" collapsed="false">
      <c r="A19" s="76" t="str">
        <f aca="false">IFERROR(INDEX(PRODUCTOS!$A:$A,MATCH(16,PRODUCTOS!$F:$F,0)),"")</f>
        <v>C822</v>
      </c>
      <c r="B19" s="52" t="str">
        <f aca="false">IF($A19="","",IFERROR(VLOOKUP($A19,PRODUCTOS!$A:$B,2,0),""))</f>
        <v>BUEY FRANCES (CRE)</v>
      </c>
      <c r="C19" s="82" t="str">
        <f aca="false">IF($A19="","",IFERROR(VLOOKUP($A19,PRODUCTOS!$A:$H,8,0),""))</f>
        <v/>
      </c>
      <c r="D19" s="199" t="str">
        <f aca="false">IF($A19="","",IFERROR(VLOOKUP($A19,PRODUCTOS!$A:$I,9,0),""))</f>
        <v/>
      </c>
      <c r="E19" s="200" t="str">
        <f aca="false">IF($A19="","",IFERROR(VLOOKUP($A19,PRODUCTOS!$A:$J,10,0),""))</f>
        <v/>
      </c>
      <c r="F19" s="203"/>
      <c r="G19" s="207"/>
      <c r="H19" s="201"/>
      <c r="I19" s="202"/>
      <c r="J19" s="54"/>
      <c r="K19" s="54"/>
    </row>
    <row r="20" customFormat="false" ht="13.5" hidden="false" customHeight="true" outlineLevel="0" collapsed="false">
      <c r="A20" s="88" t="str">
        <f aca="false">IFERROR(INDEX(PRODUCTOS!$A:$A,MATCH(17,PRODUCTOS!$F:$F,0)),"")</f>
        <v>C395</v>
      </c>
      <c r="B20" s="46" t="str">
        <f aca="false">IF($A20="","",IFERROR(VLOOKUP($A20,PRODUCTOS!$A:$B,2,0),""))</f>
        <v>CABALL/ SARDA/ VERDEL (MAC)</v>
      </c>
      <c r="C20" s="82" t="n">
        <f aca="false">IF($A20="","",IFERROR(VLOOKUP($A20,PRODUCTOS!$A:$H,8,0),""))</f>
        <v>4.09853678474114</v>
      </c>
      <c r="D20" s="199" t="n">
        <f aca="false">IF($A20="","",IFERROR(VLOOKUP($A20,PRODUCTOS!$A:$I,9,0),""))</f>
        <v>5.8</v>
      </c>
      <c r="E20" s="200" t="n">
        <f aca="false">IF($A20="","",IFERROR(VLOOKUP($A20,PRODUCTOS!$A:$J,10,0),""))</f>
        <v>6</v>
      </c>
      <c r="F20" s="204"/>
      <c r="G20" s="206"/>
      <c r="H20" s="201"/>
      <c r="I20" s="202"/>
      <c r="J20" s="54"/>
      <c r="K20" s="54"/>
    </row>
    <row r="21" customFormat="false" ht="13.5" hidden="false" customHeight="true" outlineLevel="0" collapsed="false">
      <c r="A21" s="76" t="str">
        <f aca="false">IFERROR(INDEX(PRODUCTOS!$A:$A,MATCH(18,PRODUCTOS!$F:$F,0)),"")</f>
        <v>C2550</v>
      </c>
      <c r="B21" s="52" t="str">
        <f aca="false">IF($A21="","",IFERROR(VLOOKUP($A21,PRODUCTOS!$A:$B,2,0),""))</f>
        <v>CABRACHO/ ESCARAPOTE (RSE)</v>
      </c>
      <c r="C21" s="82" t="n">
        <f aca="false">IF($A21="","",IFERROR(VLOOKUP($A21,PRODUCTOS!$A:$H,8,0),""))</f>
        <v>10.0039745454545</v>
      </c>
      <c r="D21" s="199" t="n">
        <f aca="false">IF($A21="","",IFERROR(VLOOKUP($A21,PRODUCTOS!$A:$I,9,0),""))</f>
        <v>11.7</v>
      </c>
      <c r="E21" s="200" t="n">
        <f aca="false">IF($A21="","",IFERROR(VLOOKUP($A21,PRODUCTOS!$A:$J,10,0),""))</f>
        <v>11.9</v>
      </c>
      <c r="F21" s="203"/>
      <c r="G21" s="207"/>
      <c r="H21" s="201"/>
      <c r="I21" s="202"/>
      <c r="J21" s="54"/>
      <c r="K21" s="54"/>
    </row>
    <row r="22" customFormat="false" ht="13.5" hidden="false" customHeight="true" outlineLevel="0" collapsed="false">
      <c r="A22" s="88" t="str">
        <f aca="false">IFERROR(INDEX(PRODUCTOS!$A:$A,MATCH(19,PRODUCTOS!$F:$F,0)),"")</f>
        <v>C2552</v>
      </c>
      <c r="B22" s="46" t="str">
        <f aca="false">IF($A22="","",IFERROR(VLOOKUP($A22,PRODUCTOS!$A:$B,2,0),""))</f>
        <v>CABRACHO DE FONDO (TJX)</v>
      </c>
      <c r="C22" s="82" t="n">
        <f aca="false">IF($A22="","",IFERROR(VLOOKUP($A22,PRODUCTOS!$A:$H,8,0),""))</f>
        <v>5.1</v>
      </c>
      <c r="D22" s="199" t="n">
        <f aca="false">IF($A22="","",IFERROR(VLOOKUP($A22,PRODUCTOS!$A:$I,9,0),""))</f>
        <v>6.8</v>
      </c>
      <c r="E22" s="200" t="n">
        <f aca="false">IF($A22="","",IFERROR(VLOOKUP($A22,PRODUCTOS!$A:$J,10,0),""))</f>
        <v>7</v>
      </c>
      <c r="F22" s="204"/>
      <c r="G22" s="206"/>
      <c r="H22" s="201"/>
      <c r="I22" s="202"/>
      <c r="J22" s="54"/>
      <c r="K22" s="54"/>
    </row>
    <row r="23" customFormat="false" ht="13.5" hidden="false" customHeight="true" outlineLevel="0" collapsed="false">
      <c r="A23" s="76" t="str">
        <f aca="false">IFERROR(INDEX(PRODUCTOS!$A:$A,MATCH(20,PRODUCTOS!$F:$F,0)),"")</f>
        <v>C255</v>
      </c>
      <c r="B23" s="52" t="str">
        <f aca="false">IF($A23="","",IFERROR(VLOOKUP($A23,PRODUCTOS!$A:$B,2,0),""))</f>
        <v>CABRAS/ GALLINETA (BRF)</v>
      </c>
      <c r="C23" s="82" t="n">
        <f aca="false">IF($A23="","",IFERROR(VLOOKUP($A23,PRODUCTOS!$A:$H,8,0),""))</f>
        <v>15.3</v>
      </c>
      <c r="D23" s="199" t="n">
        <f aca="false">IF($A23="","",IFERROR(VLOOKUP($A23,PRODUCTOS!$A:$I,9,0),""))</f>
        <v>17</v>
      </c>
      <c r="E23" s="200" t="n">
        <f aca="false">IF($A23="","",IFERROR(VLOOKUP($A23,PRODUCTOS!$A:$J,10,0),""))</f>
        <v>17.2</v>
      </c>
      <c r="F23" s="203"/>
      <c r="G23" s="207"/>
      <c r="H23" s="201"/>
      <c r="I23" s="202"/>
      <c r="J23" s="54"/>
      <c r="K23" s="54"/>
    </row>
    <row r="24" customFormat="false" ht="13.5" hidden="false" customHeight="true" outlineLevel="0" collapsed="false">
      <c r="A24" s="88" t="str">
        <f aca="false">IFERROR(INDEX(PRODUCTOS!$A:$A,MATCH(21,PRODUCTOS!$F:$F,0)),"")</f>
        <v>C258</v>
      </c>
      <c r="B24" s="46" t="str">
        <f aca="false">IF($A24="","",IFERROR(VLOOKUP($A24,PRODUCTOS!$A:$B,2,0),""))</f>
        <v>CABRILLAS/ SERRANO (CBR)</v>
      </c>
      <c r="C24" s="82" t="str">
        <f aca="false">IF($A24="","",IFERROR(VLOOKUP($A24,PRODUCTOS!$A:$H,8,0),""))</f>
        <v/>
      </c>
      <c r="D24" s="199" t="str">
        <f aca="false">IF($A24="","",IFERROR(VLOOKUP($A24,PRODUCTOS!$A:$I,9,0),""))</f>
        <v/>
      </c>
      <c r="E24" s="200" t="str">
        <f aca="false">IF($A24="","",IFERROR(VLOOKUP($A24,PRODUCTOS!$A:$J,10,0),""))</f>
        <v/>
      </c>
      <c r="F24" s="204"/>
      <c r="G24" s="206"/>
      <c r="H24" s="201"/>
      <c r="I24" s="202"/>
      <c r="J24" s="54"/>
      <c r="K24" s="54"/>
    </row>
    <row r="25" customFormat="false" ht="13.5" hidden="false" customHeight="true" outlineLevel="0" collapsed="false">
      <c r="A25" s="76" t="str">
        <f aca="false">IFERROR(INDEX(PRODUCTOS!$A:$A,MATCH(22,PRODUCTOS!$F:$F,0)),"")</f>
        <v>C710</v>
      </c>
      <c r="B25" s="52" t="str">
        <f aca="false">IF($A25="","",IFERROR(VLOOKUP($A25,PRODUCTOS!$A:$B,2,0),""))</f>
        <v>CALAAMR COMUN (SQR)</v>
      </c>
      <c r="C25" s="82" t="n">
        <f aca="false">IF($A25="","",IFERROR(VLOOKUP($A25,PRODUCTOS!$A:$H,8,0),""))</f>
        <v>17.9</v>
      </c>
      <c r="D25" s="199" t="n">
        <f aca="false">IF($A25="","",IFERROR(VLOOKUP($A25,PRODUCTOS!$A:$I,9,0),""))</f>
        <v>19.6</v>
      </c>
      <c r="E25" s="200" t="n">
        <f aca="false">IF($A25="","",IFERROR(VLOOKUP($A25,PRODUCTOS!$A:$J,10,0),""))</f>
        <v>19.8</v>
      </c>
      <c r="F25" s="203"/>
      <c r="G25" s="207"/>
      <c r="H2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2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25" s="54"/>
      <c r="K25" s="54"/>
    </row>
    <row r="26" customFormat="false" ht="13.5" hidden="false" customHeight="true" outlineLevel="0" collapsed="false">
      <c r="A26" s="88" t="str">
        <f aca="false">IFERROR(INDEX(PRODUCTOS!$A:$A,MATCH(23,PRODUCTOS!$F:$F,0)),"")</f>
        <v>C720</v>
      </c>
      <c r="B26" s="46" t="str">
        <f aca="false">IF($A26="","",IFERROR(VLOOKUP($A26,PRODUCTOS!$A:$B,2,0),""))</f>
        <v>CALAMAR VETADO/ FORBES (SQF)</v>
      </c>
      <c r="C26" s="82" t="n">
        <f aca="false">IF($A26="","",IFERROR(VLOOKUP($A26,PRODUCTOS!$A:$H,8,0),""))</f>
        <v>15.95</v>
      </c>
      <c r="D26" s="199" t="n">
        <f aca="false">IF($A26="","",IFERROR(VLOOKUP($A26,PRODUCTOS!$A:$I,9,0),""))</f>
        <v>17.65</v>
      </c>
      <c r="E26" s="200" t="n">
        <f aca="false">IF($A26="","",IFERROR(VLOOKUP($A26,PRODUCTOS!$A:$J,10,0),""))</f>
        <v>17.85</v>
      </c>
      <c r="F26" s="204"/>
      <c r="G26" s="206"/>
      <c r="H2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2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26" s="54"/>
      <c r="K26" s="54"/>
    </row>
    <row r="27" customFormat="false" ht="13.5" hidden="false" customHeight="true" outlineLevel="0" collapsed="false">
      <c r="A27" s="76" t="str">
        <f aca="false">IFERROR(INDEX(PRODUCTOS!$A:$A,MATCH(24,PRODUCTOS!$F:$F,0)),"")</f>
        <v>C396</v>
      </c>
      <c r="B27" s="52" t="str">
        <f aca="false">IF($A27="","",IFERROR(VLOOKUP($A27,PRODUCTOS!$A:$B,2,0),""))</f>
        <v>CHICHARRO/ JUREL/ XURELO (HOM)</v>
      </c>
      <c r="C27" s="82" t="n">
        <f aca="false">IF($A27="","",IFERROR(VLOOKUP($A27,PRODUCTOS!$A:$H,8,0),""))</f>
        <v>4.59</v>
      </c>
      <c r="D27" s="199" t="n">
        <f aca="false">IF($A27="","",IFERROR(VLOOKUP($A27,PRODUCTOS!$A:$I,9,0),""))</f>
        <v>6.29</v>
      </c>
      <c r="E27" s="200" t="n">
        <f aca="false">IF($A27="","",IFERROR(VLOOKUP($A27,PRODUCTOS!$A:$J,10,0),""))</f>
        <v>6.49</v>
      </c>
      <c r="F27" s="203"/>
      <c r="G27" s="207"/>
      <c r="H2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2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27" s="54"/>
      <c r="K27" s="54"/>
    </row>
    <row r="28" customFormat="false" ht="13.5" hidden="false" customHeight="true" outlineLevel="0" collapsed="false">
      <c r="A28" s="88" t="str">
        <f aca="false">IFERROR(INDEX(PRODUCTOS!$A:$A,MATCH(25,PRODUCTOS!$F:$F,0)),"")</f>
        <v>C4301</v>
      </c>
      <c r="B28" s="46" t="str">
        <f aca="false">IF($A28="","",IFERROR(VLOOKUP($A28,PRODUCTOS!$A:$B,2,0),""))</f>
        <v>CHOPAS (BRB)</v>
      </c>
      <c r="C28" s="82" t="str">
        <f aca="false">IF($A28="","",IFERROR(VLOOKUP($A28,PRODUCTOS!$A:$H,8,0),""))</f>
        <v/>
      </c>
      <c r="D28" s="199" t="str">
        <f aca="false">IF($A28="","",IFERROR(VLOOKUP($A28,PRODUCTOS!$A:$I,9,0),""))</f>
        <v/>
      </c>
      <c r="E28" s="200" t="str">
        <f aca="false">IF($A28="","",IFERROR(VLOOKUP($A28,PRODUCTOS!$A:$J,10,0),""))</f>
        <v/>
      </c>
      <c r="F28" s="204"/>
      <c r="G28" s="206"/>
      <c r="H2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2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28" s="54"/>
      <c r="K28" s="54"/>
    </row>
    <row r="29" customFormat="false" ht="13.5" hidden="false" customHeight="true" outlineLevel="0" collapsed="false">
      <c r="A29" s="76" t="str">
        <f aca="false">IFERROR(INDEX(PRODUCTOS!$A:$A,MATCH(26,PRODUCTOS!$F:$F,0)),"")</f>
        <v>C2008</v>
      </c>
      <c r="B29" s="52" t="str">
        <f aca="false">IF($A29="","",IFERROR(VLOOKUP($A29,PRODUCTOS!$A:$B,2,0),""))</f>
        <v>CIGALAS EN COLAS </v>
      </c>
      <c r="C29" s="82" t="str">
        <f aca="false">IF($A29="","",IFERROR(VLOOKUP($A29,PRODUCTOS!$A:$H,8,0),""))</f>
        <v/>
      </c>
      <c r="D29" s="199" t="str">
        <f aca="false">IF($A29="","",IFERROR(VLOOKUP($A29,PRODUCTOS!$A:$I,9,0),""))</f>
        <v/>
      </c>
      <c r="E29" s="200" t="str">
        <f aca="false">IF($A29="","",IFERROR(VLOOKUP($A29,PRODUCTOS!$A:$J,10,0),""))</f>
        <v/>
      </c>
      <c r="F29" s="203"/>
      <c r="G29" s="207"/>
      <c r="H2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2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29" s="54"/>
      <c r="K29" s="54"/>
    </row>
    <row r="30" customFormat="false" ht="13.5" hidden="false" customHeight="true" outlineLevel="0" collapsed="false">
      <c r="A30" s="88" t="str">
        <f aca="false">IFERROR(INDEX(PRODUCTOS!$A:$A,MATCH(27,PRODUCTOS!$F:$F,0)),"")</f>
        <v>C2101</v>
      </c>
      <c r="B30" s="46" t="str">
        <f aca="false">IF($A30="","",IFERROR(VLOOKUP($A30,PRODUCTOS!$A:$B,2,0),""))</f>
        <v>CIGALA "1" (NEP)</v>
      </c>
      <c r="C30" s="82" t="str">
        <f aca="false">IF($A30="","",IFERROR(VLOOKUP($A30,PRODUCTOS!$A:$H,8,0),""))</f>
        <v/>
      </c>
      <c r="D30" s="199" t="str">
        <f aca="false">IF($A30="","",IFERROR(VLOOKUP($A30,PRODUCTOS!$A:$I,9,0),""))</f>
        <v/>
      </c>
      <c r="E30" s="200" t="str">
        <f aca="false">IF($A30="","",IFERROR(VLOOKUP($A30,PRODUCTOS!$A:$J,10,0),""))</f>
        <v/>
      </c>
      <c r="F30" s="204"/>
      <c r="G30" s="206"/>
      <c r="H3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0" s="54"/>
      <c r="K30" s="54"/>
    </row>
    <row r="31" customFormat="false" ht="13.5" hidden="false" customHeight="true" outlineLevel="0" collapsed="false">
      <c r="A31" s="76" t="str">
        <f aca="false">IFERROR(INDEX(PRODUCTOS!$A:$A,MATCH(28,PRODUCTOS!$F:$F,0)),"")</f>
        <v>C2004</v>
      </c>
      <c r="B31" s="52" t="str">
        <f aca="false">IF($A31="","",IFERROR(VLOOKUP($A31,PRODUCTOS!$A:$B,2,0),""))</f>
        <v>CIGALA "2" (NEP)</v>
      </c>
      <c r="C31" s="82" t="str">
        <f aca="false">IF($A31="","",IFERROR(VLOOKUP($A31,PRODUCTOS!$A:$H,8,0),""))</f>
        <v/>
      </c>
      <c r="D31" s="199" t="str">
        <f aca="false">IF($A31="","",IFERROR(VLOOKUP($A31,PRODUCTOS!$A:$I,9,0),""))</f>
        <v/>
      </c>
      <c r="E31" s="200" t="str">
        <f aca="false">IF($A31="","",IFERROR(VLOOKUP($A31,PRODUCTOS!$A:$J,10,0),""))</f>
        <v/>
      </c>
      <c r="F31" s="203"/>
      <c r="G31" s="207"/>
      <c r="H3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1" s="54"/>
      <c r="K31" s="54"/>
    </row>
    <row r="32" customFormat="false" ht="13.5" hidden="false" customHeight="true" outlineLevel="0" collapsed="false">
      <c r="A32" s="88" t="str">
        <f aca="false">IFERROR(INDEX(PRODUCTOS!$A:$A,MATCH(29,PRODUCTOS!$F:$F,0)),"")</f>
        <v>C2104</v>
      </c>
      <c r="B32" s="46" t="str">
        <f aca="false">IF($A32="","",IFERROR(VLOOKUP($A32,PRODUCTOS!$A:$B,2,0),""))</f>
        <v>CIGALA "3P" (NEP)</v>
      </c>
      <c r="C32" s="82" t="n">
        <f aca="false">IF($A32="","",IFERROR(VLOOKUP($A32,PRODUCTOS!$A:$H,8,0),""))</f>
        <v>17.5</v>
      </c>
      <c r="D32" s="199" t="n">
        <f aca="false">IF($A32="","",IFERROR(VLOOKUP($A32,PRODUCTOS!$A:$I,9,0),""))</f>
        <v>19.2</v>
      </c>
      <c r="E32" s="200" t="n">
        <f aca="false">IF($A32="","",IFERROR(VLOOKUP($A32,PRODUCTOS!$A:$J,10,0),""))</f>
        <v>19.4</v>
      </c>
      <c r="F32" s="204"/>
      <c r="G32" s="206"/>
      <c r="H3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2" s="54"/>
      <c r="K32" s="54"/>
    </row>
    <row r="33" customFormat="false" ht="13.5" hidden="false" customHeight="true" outlineLevel="0" collapsed="false">
      <c r="A33" s="76" t="str">
        <f aca="false">IFERROR(INDEX(PRODUCTOS!$A:$A,MATCH(30,PRODUCTOS!$F:$F,0)),"")</f>
        <v>C2105</v>
      </c>
      <c r="B33" s="52" t="str">
        <f aca="false">IF($A33="","",IFERROR(VLOOKUP($A33,PRODUCTOS!$A:$B,2,0),""))</f>
        <v>CIGALA "3X" (NEP)</v>
      </c>
      <c r="C33" s="82" t="str">
        <f aca="false">IF($A33="","",IFERROR(VLOOKUP($A33,PRODUCTOS!$A:$H,8,0),""))</f>
        <v/>
      </c>
      <c r="D33" s="199" t="str">
        <f aca="false">IF($A33="","",IFERROR(VLOOKUP($A33,PRODUCTOS!$A:$I,9,0),""))</f>
        <v/>
      </c>
      <c r="E33" s="200" t="str">
        <f aca="false">IF($A33="","",IFERROR(VLOOKUP($A33,PRODUCTOS!$A:$J,10,0),""))</f>
        <v/>
      </c>
      <c r="F33" s="203"/>
      <c r="G33" s="207"/>
      <c r="H3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3" s="54"/>
      <c r="K33" s="54"/>
    </row>
    <row r="34" customFormat="false" ht="13.5" hidden="false" customHeight="true" outlineLevel="0" collapsed="false">
      <c r="A34" s="88" t="str">
        <f aca="false">IFERROR(INDEX(PRODUCTOS!$A:$A,MATCH(31,PRODUCTOS!$F:$F,0)),"")</f>
        <v>C2103</v>
      </c>
      <c r="B34" s="46" t="str">
        <f aca="false">IF($A34="","",IFERROR(VLOOKUP($A34,PRODUCTOS!$A:$B,2,0),""))</f>
        <v>CIGALA "3" (NEP)</v>
      </c>
      <c r="C34" s="82" t="n">
        <f aca="false">IF($A34="","",IFERROR(VLOOKUP($A34,PRODUCTOS!$A:$H,8,0),""))</f>
        <v>18</v>
      </c>
      <c r="D34" s="199" t="n">
        <f aca="false">IF($A34="","",IFERROR(VLOOKUP($A34,PRODUCTOS!$A:$I,9,0),""))</f>
        <v>19.7</v>
      </c>
      <c r="E34" s="200" t="n">
        <f aca="false">IF($A34="","",IFERROR(VLOOKUP($A34,PRODUCTOS!$A:$J,10,0),""))</f>
        <v>19.9</v>
      </c>
      <c r="F34" s="204"/>
      <c r="G34" s="206"/>
      <c r="H3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4" s="54"/>
      <c r="K34" s="54"/>
    </row>
    <row r="35" customFormat="false" ht="13.5" hidden="false" customHeight="true" outlineLevel="0" collapsed="false">
      <c r="A35" s="76" t="str">
        <f aca="false">IFERROR(INDEX(PRODUCTOS!$A:$A,MATCH(32,PRODUCTOS!$F:$F,0)),"")</f>
        <v>C2100</v>
      </c>
      <c r="B35" s="52" t="str">
        <f aca="false">IF($A35="","",IFERROR(VLOOKUP($A35,PRODUCTOS!$A:$B,2,0),""))</f>
        <v>CIGALA "0" (NEP)</v>
      </c>
      <c r="C35" s="82" t="str">
        <f aca="false">IF($A35="","",IFERROR(VLOOKUP($A35,PRODUCTOS!$A:$H,8,0),""))</f>
        <v/>
      </c>
      <c r="D35" s="199" t="str">
        <f aca="false">IF($A35="","",IFERROR(VLOOKUP($A35,PRODUCTOS!$A:$I,9,0),""))</f>
        <v/>
      </c>
      <c r="E35" s="200" t="str">
        <f aca="false">IF($A35="","",IFERROR(VLOOKUP($A35,PRODUCTOS!$A:$J,10,0),""))</f>
        <v/>
      </c>
      <c r="F35" s="203"/>
      <c r="G35" s="207"/>
      <c r="H3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5" s="54"/>
      <c r="K35" s="54"/>
    </row>
    <row r="36" customFormat="false" ht="13.5" hidden="false" customHeight="true" outlineLevel="0" collapsed="false">
      <c r="A36" s="88" t="str">
        <f aca="false">IFERROR(INDEX(PRODUCTOS!$A:$A,MATCH(33,PRODUCTOS!$F:$F,0)),"")</f>
        <v>C410</v>
      </c>
      <c r="B36" s="46" t="str">
        <f aca="false">IF($A36="","",IFERROR(VLOOKUP($A36,PRODUCTOS!$A:$B,2,0),""))</f>
        <v>CINTAS/ PEZ CINTA (CBC)</v>
      </c>
      <c r="C36" s="82" t="n">
        <f aca="false">IF($A36="","",IFERROR(VLOOKUP($A36,PRODUCTOS!$A:$H,8,0),""))</f>
        <v>2.55</v>
      </c>
      <c r="D36" s="199" t="n">
        <f aca="false">IF($A36="","",IFERROR(VLOOKUP($A36,PRODUCTOS!$A:$I,9,0),""))</f>
        <v>4.25</v>
      </c>
      <c r="E36" s="200" t="n">
        <f aca="false">IF($A36="","",IFERROR(VLOOKUP($A36,PRODUCTOS!$A:$J,10,0),""))</f>
        <v>4.45</v>
      </c>
      <c r="F36" s="204"/>
      <c r="G36" s="206"/>
      <c r="H3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6" s="54"/>
      <c r="K36" s="54"/>
    </row>
    <row r="37" customFormat="false" ht="13.5" hidden="false" customHeight="true" outlineLevel="0" collapsed="false">
      <c r="A37" s="76" t="str">
        <f aca="false">IFERROR(INDEX(PRODUCTOS!$A:$A,MATCH(34,PRODUCTOS!$F:$F,0)),"")</f>
        <v>C250</v>
      </c>
      <c r="B37" s="52" t="str">
        <f aca="false">IF($A37="","",IFERROR(VLOOKUP($A37,PRODUCTOS!$A:$B,2,0),""))</f>
        <v>CONGRIO 10+  (COE)</v>
      </c>
      <c r="C37" s="82" t="n">
        <f aca="false">IF($A37="","",IFERROR(VLOOKUP($A37,PRODUCTOS!$A:$H,8,0),""))</f>
        <v>3.9219</v>
      </c>
      <c r="D37" s="199" t="n">
        <f aca="false">IF($A37="","",IFERROR(VLOOKUP($A37,PRODUCTOS!$A:$I,9,0),""))</f>
        <v>5.62</v>
      </c>
      <c r="E37" s="200" t="n">
        <f aca="false">IF($A37="","",IFERROR(VLOOKUP($A37,PRODUCTOS!$A:$J,10,0),""))</f>
        <v>5.82</v>
      </c>
      <c r="F37" s="203"/>
      <c r="G37" s="207"/>
      <c r="H3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7" s="54"/>
      <c r="K37" s="54"/>
    </row>
    <row r="38" customFormat="false" ht="13.5" hidden="false" customHeight="true" outlineLevel="0" collapsed="false">
      <c r="A38" s="88" t="str">
        <f aca="false">IFERROR(INDEX(PRODUCTOS!$A:$A,MATCH(35,PRODUCTOS!$F:$F,0)),"")</f>
        <v>C2507</v>
      </c>
      <c r="B38" s="46" t="str">
        <f aca="false">IF($A38="","",IFERROR(VLOOKUP($A38,PRODUCTOS!$A:$B,2,0),""))</f>
        <v>CONGRIO 7/10 (COE)</v>
      </c>
      <c r="C38" s="82" t="n">
        <f aca="false">IF($A38="","",IFERROR(VLOOKUP($A38,PRODUCTOS!$A:$H,8,0),""))</f>
        <v>2.71014492753623</v>
      </c>
      <c r="D38" s="199" t="n">
        <f aca="false">IF($A38="","",IFERROR(VLOOKUP($A38,PRODUCTOS!$A:$I,9,0),""))</f>
        <v>4.41</v>
      </c>
      <c r="E38" s="200" t="n">
        <f aca="false">IF($A38="","",IFERROR(VLOOKUP($A38,PRODUCTOS!$A:$J,10,0),""))</f>
        <v>4.61</v>
      </c>
      <c r="F38" s="204"/>
      <c r="G38" s="206"/>
      <c r="H3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8" s="54"/>
      <c r="K38" s="54"/>
    </row>
    <row r="39" customFormat="false" ht="13.5" hidden="false" customHeight="true" outlineLevel="0" collapsed="false">
      <c r="A39" s="76" t="str">
        <f aca="false">IFERROR(INDEX(PRODUCTOS!$A:$A,MATCH(36,PRODUCTOS!$F:$F,0)),"")</f>
        <v>C2505</v>
      </c>
      <c r="B39" s="52" t="str">
        <f aca="false">IF($A39="","",IFERROR(VLOOKUP($A39,PRODUCTOS!$A:$B,2,0),""))</f>
        <v>CONGRIO 5/07 (COE)</v>
      </c>
      <c r="C39" s="82" t="n">
        <f aca="false">IF($A39="","",IFERROR(VLOOKUP($A39,PRODUCTOS!$A:$H,8,0),""))</f>
        <v>2.856</v>
      </c>
      <c r="D39" s="199" t="n">
        <f aca="false">IF($A39="","",IFERROR(VLOOKUP($A39,PRODUCTOS!$A:$I,9,0),""))</f>
        <v>4.56</v>
      </c>
      <c r="E39" s="200" t="n">
        <f aca="false">IF($A39="","",IFERROR(VLOOKUP($A39,PRODUCTOS!$A:$J,10,0),""))</f>
        <v>4.76</v>
      </c>
      <c r="F39" s="203"/>
      <c r="G39" s="207"/>
      <c r="H3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3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39" s="54"/>
      <c r="K39" s="54"/>
    </row>
    <row r="40" customFormat="false" ht="13.5" hidden="false" customHeight="true" outlineLevel="0" collapsed="false">
      <c r="A40" s="88" t="str">
        <f aca="false">IFERROR(INDEX(PRODUCTOS!$A:$A,MATCH(37,PRODUCTOS!$F:$F,0)),"")</f>
        <v>C6530</v>
      </c>
      <c r="B40" s="46" t="str">
        <f aca="false">IF($A40="","",IFERROR(VLOOKUP($A40,PRODUCTOS!$A:$B,2,0),""))</f>
        <v>CORENO/ MENDO (WYT)</v>
      </c>
      <c r="C40" s="82" t="str">
        <f aca="false">IF($A40="","",IFERROR(VLOOKUP($A40,PRODUCTOS!$A:$H,8,0),""))</f>
        <v/>
      </c>
      <c r="D40" s="199" t="str">
        <f aca="false">IF($A40="","",IFERROR(VLOOKUP($A40,PRODUCTOS!$A:$I,9,0),""))</f>
        <v/>
      </c>
      <c r="E40" s="200" t="str">
        <f aca="false">IF($A40="","",IFERROR(VLOOKUP($A40,PRODUCTOS!$A:$J,10,0),""))</f>
        <v/>
      </c>
      <c r="F40" s="204"/>
      <c r="G40" s="206"/>
      <c r="H4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0" s="54"/>
      <c r="K40" s="54"/>
    </row>
    <row r="41" customFormat="false" ht="13.5" hidden="false" customHeight="true" outlineLevel="0" collapsed="false">
      <c r="A41" s="76" t="str">
        <f aca="false">IFERROR(INDEX(PRODUCTOS!$A:$A,MATCH(38,PRODUCTOS!$F:$F,0)),"")</f>
        <v>C6301</v>
      </c>
      <c r="B41" s="52" t="str">
        <f aca="false">IF($A41="","",IFERROR(VLOOKUP($A41,PRODUCTOS!$A:$B,2,0),""))</f>
        <v>CORUXO/ SOLLO/ REMOL (BLL)</v>
      </c>
      <c r="C41" s="82" t="n">
        <f aca="false">IF($A41="","",IFERROR(VLOOKUP($A41,PRODUCTOS!$A:$H,8,0),""))</f>
        <v>27.8</v>
      </c>
      <c r="D41" s="199" t="n">
        <f aca="false">IF($A41="","",IFERROR(VLOOKUP($A41,PRODUCTOS!$A:$I,9,0),""))</f>
        <v>29.5</v>
      </c>
      <c r="E41" s="200" t="n">
        <f aca="false">IF($A41="","",IFERROR(VLOOKUP($A41,PRODUCTOS!$A:$J,10,0),""))</f>
        <v>29.7</v>
      </c>
      <c r="F41" s="203"/>
      <c r="G41" s="207"/>
      <c r="H4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1" s="54"/>
      <c r="K41" s="54"/>
    </row>
    <row r="42" customFormat="false" ht="13.5" hidden="false" customHeight="true" outlineLevel="0" collapsed="false">
      <c r="A42" s="88" t="str">
        <f aca="false">IFERROR(INDEX(PRODUCTOS!$A:$A,MATCH(39,PRODUCTOS!$F:$F,0)),"")</f>
        <v>C561</v>
      </c>
      <c r="B42" s="46" t="str">
        <f aca="false">IF($A42="","",IFERROR(VLOOKUP($A42,PRODUCTOS!$A:$B,2,0),""))</f>
        <v>DENTON (DEC)</v>
      </c>
      <c r="C42" s="82" t="str">
        <f aca="false">IF($A42="","",IFERROR(VLOOKUP($A42,PRODUCTOS!$A:$H,8,0),""))</f>
        <v/>
      </c>
      <c r="D42" s="199" t="str">
        <f aca="false">IF($A42="","",IFERROR(VLOOKUP($A42,PRODUCTOS!$A:$I,9,0),""))</f>
        <v/>
      </c>
      <c r="E42" s="200" t="str">
        <f aca="false">IF($A42="","",IFERROR(VLOOKUP($A42,PRODUCTOS!$A:$J,10,0),""))</f>
        <v/>
      </c>
      <c r="F42" s="204"/>
      <c r="G42" s="206"/>
      <c r="H4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2" s="54"/>
      <c r="K42" s="54"/>
    </row>
    <row r="43" customFormat="false" ht="13.5" hidden="false" customHeight="true" outlineLevel="0" collapsed="false">
      <c r="A43" s="76" t="str">
        <f aca="false">IFERROR(INDEX(PRODUCTOS!$A:$A,MATCH(40,PRODUCTOS!$F:$F,0)),"")</f>
        <v>C3500</v>
      </c>
      <c r="B43" s="52" t="str">
        <f aca="false">IF($A43="","",IFERROR(VLOOKUP($A43,PRODUCTOS!$A:$B,2,0),""))</f>
        <v>DORADA SALVAJE (SBG)</v>
      </c>
      <c r="C43" s="82" t="str">
        <f aca="false">IF($A43="","",IFERROR(VLOOKUP($A43,PRODUCTOS!$A:$H,8,0),""))</f>
        <v/>
      </c>
      <c r="D43" s="199" t="str">
        <f aca="false">IF($A43="","",IFERROR(VLOOKUP($A43,PRODUCTOS!$A:$I,9,0),""))</f>
        <v/>
      </c>
      <c r="E43" s="200" t="str">
        <f aca="false">IF($A43="","",IFERROR(VLOOKUP($A43,PRODUCTOS!$A:$J,10,0),""))</f>
        <v/>
      </c>
      <c r="F43" s="203"/>
      <c r="G43" s="207"/>
      <c r="H4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3" s="54"/>
      <c r="K43" s="54"/>
    </row>
    <row r="44" customFormat="false" ht="13.5" hidden="false" customHeight="true" outlineLevel="0" collapsed="false">
      <c r="A44" s="88" t="str">
        <f aca="false">IFERROR(INDEX(PRODUCTOS!$A:$A,MATCH(41,PRODUCTOS!$F:$F,0)),"")</f>
        <v>C867</v>
      </c>
      <c r="B44" s="46" t="str">
        <f aca="false">IF($A44="","",IFERROR(VLOOKUP($A44,PRODUCTOS!$A:$B,2,0),""))</f>
        <v>ERIZO DE MAR (URM)</v>
      </c>
      <c r="C44" s="82" t="str">
        <f aca="false">IF($A44="","",IFERROR(VLOOKUP($A44,PRODUCTOS!$A:$H,8,0),""))</f>
        <v/>
      </c>
      <c r="D44" s="199" t="str">
        <f aca="false">IF($A44="","",IFERROR(VLOOKUP($A44,PRODUCTOS!$A:$I,9,0),""))</f>
        <v/>
      </c>
      <c r="E44" s="200" t="str">
        <f aca="false">IF($A44="","",IFERROR(VLOOKUP($A44,PRODUCTOS!$A:$J,10,0),""))</f>
        <v/>
      </c>
      <c r="F44" s="204"/>
      <c r="G44" s="206"/>
      <c r="H4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4" s="54"/>
      <c r="K44" s="54"/>
    </row>
    <row r="45" customFormat="false" ht="13.5" hidden="false" customHeight="true" outlineLevel="0" collapsed="false">
      <c r="A45" s="76" t="str">
        <f aca="false">IFERROR(INDEX(PRODUCTOS!$A:$A,MATCH(42,PRODUCTOS!$F:$F,0)),"")</f>
        <v>C2566</v>
      </c>
      <c r="B45" s="52" t="str">
        <f aca="false">IF($A45="","",IFERROR(VLOOKUP($A45,PRODUCTOS!$A:$B,2,0),""))</f>
        <v>ESCACHO/ ARETE/ RUBIO (GUR)</v>
      </c>
      <c r="C45" s="82" t="n">
        <f aca="false">IF($A45="","",IFERROR(VLOOKUP($A45,PRODUCTOS!$A:$H,8,0),""))</f>
        <v>1.53</v>
      </c>
      <c r="D45" s="199" t="n">
        <f aca="false">IF($A45="","",IFERROR(VLOOKUP($A45,PRODUCTOS!$A:$I,9,0),""))</f>
        <v>3.23</v>
      </c>
      <c r="E45" s="200" t="n">
        <f aca="false">IF($A45="","",IFERROR(VLOOKUP($A45,PRODUCTOS!$A:$J,10,0),""))</f>
        <v>3.43</v>
      </c>
      <c r="F45" s="203"/>
      <c r="G45" s="207"/>
      <c r="H4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5" s="54"/>
      <c r="K45" s="54"/>
    </row>
    <row r="46" customFormat="false" ht="13.5" hidden="false" customHeight="true" outlineLevel="0" collapsed="false">
      <c r="A46" s="88" t="str">
        <f aca="false">IFERROR(INDEX(PRODUCTOS!$A:$A,MATCH(43,PRODUCTOS!$F:$F,0)),"")</f>
        <v>C495</v>
      </c>
      <c r="B46" s="46" t="str">
        <f aca="false">IF($A46="","",IFERROR(VLOOKUP($A46,PRODUCTOS!$A:$B,2,0),""))</f>
        <v>ESCARPON/ DRAGON</v>
      </c>
      <c r="C46" s="82" t="str">
        <f aca="false">IF($A46="","",IFERROR(VLOOKUP($A46,PRODUCTOS!$A:$H,8,0),""))</f>
        <v/>
      </c>
      <c r="D46" s="199" t="str">
        <f aca="false">IF($A46="","",IFERROR(VLOOKUP($A46,PRODUCTOS!$A:$I,9,0),""))</f>
        <v/>
      </c>
      <c r="E46" s="200" t="str">
        <f aca="false">IF($A46="","",IFERROR(VLOOKUP($A46,PRODUCTOS!$A:$J,10,0),""))</f>
        <v/>
      </c>
      <c r="F46" s="204"/>
      <c r="G46" s="206"/>
      <c r="H4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6" s="54"/>
      <c r="K46" s="54"/>
    </row>
    <row r="47" customFormat="false" ht="13.5" hidden="false" customHeight="true" outlineLevel="0" collapsed="false">
      <c r="A47" s="76" t="str">
        <f aca="false">IFERROR(INDEX(PRODUCTOS!$A:$A,MATCH(44,PRODUCTOS!$F:$F,0)),"")</f>
        <v>C214</v>
      </c>
      <c r="B47" s="52" t="str">
        <f aca="false">IF($A47="","",IFERROR(VLOOKUP($A47,PRODUCTOS!$A:$B,2,0),""))</f>
        <v>FANECA (BIB)</v>
      </c>
      <c r="C47" s="82" t="n">
        <f aca="false">IF($A47="","",IFERROR(VLOOKUP($A47,PRODUCTOS!$A:$H,8,0),""))</f>
        <v>1.3205035971223</v>
      </c>
      <c r="D47" s="199" t="n">
        <f aca="false">IF($A47="","",IFERROR(VLOOKUP($A47,PRODUCTOS!$A:$I,9,0),""))</f>
        <v>3.02</v>
      </c>
      <c r="E47" s="200" t="n">
        <f aca="false">IF($A47="","",IFERROR(VLOOKUP($A47,PRODUCTOS!$A:$J,10,0),""))</f>
        <v>3.22</v>
      </c>
      <c r="F47" s="203"/>
      <c r="G47" s="207"/>
      <c r="H4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7" s="54"/>
      <c r="K47" s="54"/>
    </row>
    <row r="48" customFormat="false" ht="13.5" hidden="false" customHeight="true" outlineLevel="0" collapsed="false">
      <c r="A48" s="88" t="str">
        <f aca="false">IFERROR(INDEX(PRODUCTOS!$A:$A,MATCH(45,PRODUCTOS!$F:$F,0)),"")</f>
        <v>C420</v>
      </c>
      <c r="B48" s="46" t="str">
        <f aca="false">IF($A48="","",IFERROR(VLOOKUP($A48,PRODUCTOS!$A:$B,2,0),""))</f>
        <v>GALLANO/ REI (USI)</v>
      </c>
      <c r="C48" s="82" t="str">
        <f aca="false">IF($A48="","",IFERROR(VLOOKUP($A48,PRODUCTOS!$A:$H,8,0),""))</f>
        <v/>
      </c>
      <c r="D48" s="199" t="str">
        <f aca="false">IF($A48="","",IFERROR(VLOOKUP($A48,PRODUCTOS!$A:$I,9,0),""))</f>
        <v/>
      </c>
      <c r="E48" s="200" t="str">
        <f aca="false">IF($A48="","",IFERROR(VLOOKUP($A48,PRODUCTOS!$A:$J,10,0),""))</f>
        <v/>
      </c>
      <c r="F48" s="204"/>
      <c r="G48" s="206"/>
      <c r="H4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8" s="54"/>
      <c r="K48" s="54"/>
    </row>
    <row r="49" customFormat="false" ht="13.5" hidden="false" customHeight="true" outlineLevel="0" collapsed="false">
      <c r="A49" s="76" t="str">
        <f aca="false">IFERROR(INDEX(PRODUCTOS!$A:$A,MATCH(46,PRODUCTOS!$F:$F,0)),"")</f>
        <v>C270</v>
      </c>
      <c r="B49" s="52" t="str">
        <f aca="false">IF($A49="","",IFERROR(VLOOKUP($A49,PRODUCTOS!$A:$B,2,0),""))</f>
        <v>GALLO </v>
      </c>
      <c r="C49" s="82" t="n">
        <f aca="false">IF($A49="","",IFERROR(VLOOKUP($A49,PRODUCTOS!$A:$H,8,0),""))</f>
        <v>6.09243243243243</v>
      </c>
      <c r="D49" s="199" t="n">
        <f aca="false">IF($A49="","",IFERROR(VLOOKUP($A49,PRODUCTOS!$A:$I,9,0),""))</f>
        <v>7.79</v>
      </c>
      <c r="E49" s="200" t="n">
        <f aca="false">IF($A49="","",IFERROR(VLOOKUP($A49,PRODUCTOS!$A:$J,10,0),""))</f>
        <v>7.99</v>
      </c>
      <c r="F49" s="203"/>
      <c r="G49" s="207"/>
      <c r="H4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4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49" s="54"/>
      <c r="K49" s="54"/>
    </row>
    <row r="50" customFormat="false" ht="13.5" hidden="false" customHeight="true" outlineLevel="0" collapsed="false">
      <c r="A50" s="88" t="str">
        <f aca="false">IFERROR(INDEX(PRODUCTOS!$A:$A,MATCH(47,PRODUCTOS!$F:$F,0)),"")</f>
        <v>C271</v>
      </c>
      <c r="B50" s="46" t="str">
        <f aca="false">IF($A50="","",IFERROR(VLOOKUP($A50,PRODUCTOS!$A:$B,2,0),""))</f>
        <v>GALLO RIA/ RAPANTE/ MEIGA (MEG)</v>
      </c>
      <c r="C50" s="82" t="str">
        <f aca="false">IF($A50="","",IFERROR(VLOOKUP($A50,PRODUCTOS!$A:$H,8,0),""))</f>
        <v/>
      </c>
      <c r="D50" s="199" t="str">
        <f aca="false">IF($A50="","",IFERROR(VLOOKUP($A50,PRODUCTOS!$A:$I,9,0),""))</f>
        <v/>
      </c>
      <c r="E50" s="200" t="str">
        <f aca="false">IF($A50="","",IFERROR(VLOOKUP($A50,PRODUCTOS!$A:$J,10,0),""))</f>
        <v/>
      </c>
      <c r="F50" s="204"/>
      <c r="G50" s="206"/>
      <c r="H5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0" s="54"/>
      <c r="K50" s="54"/>
    </row>
    <row r="51" customFormat="false" ht="13.5" hidden="false" customHeight="true" outlineLevel="0" collapsed="false">
      <c r="A51" s="76" t="str">
        <f aca="false">IFERROR(INDEX(PRODUCTOS!$A:$A,MATCH(48,PRODUCTOS!$F:$F,0)),"")</f>
        <v>C5310</v>
      </c>
      <c r="B51" s="52" t="str">
        <f aca="false">IF($A51="","",IFERROR(VLOOKUP($A51,PRODUCTOS!$A:$B,2,0),""))</f>
        <v>GATA/ GALLUDO (QUB)</v>
      </c>
      <c r="C51" s="82" t="str">
        <f aca="false">IF($A51="","",IFERROR(VLOOKUP($A51,PRODUCTOS!$A:$H,8,0),""))</f>
        <v/>
      </c>
      <c r="D51" s="199" t="str">
        <f aca="false">IF($A51="","",IFERROR(VLOOKUP($A51,PRODUCTOS!$A:$I,9,0),""))</f>
        <v/>
      </c>
      <c r="E51" s="200" t="str">
        <f aca="false">IF($A51="","",IFERROR(VLOOKUP($A51,PRODUCTOS!$A:$J,10,0),""))</f>
        <v/>
      </c>
      <c r="F51" s="203"/>
      <c r="G51" s="207"/>
      <c r="H5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1" s="54"/>
      <c r="K51" s="54"/>
    </row>
    <row r="52" customFormat="false" ht="13.5" hidden="false" customHeight="true" outlineLevel="0" collapsed="false">
      <c r="A52" s="88" t="str">
        <f aca="false">IFERROR(INDEX(PRODUCTOS!$A:$A,MATCH(49,PRODUCTOS!$F:$F,0)),"")</f>
        <v>C116</v>
      </c>
      <c r="B52" s="46" t="str">
        <f aca="false">IF($A52="","",IFERROR(VLOOKUP($A52,PRODUCTOS!$A:$B,2,0),""))</f>
        <v>HUEVAS DE MERLUZA </v>
      </c>
      <c r="C52" s="82" t="n">
        <f aca="false">IF($A52="","",IFERROR(VLOOKUP($A52,PRODUCTOS!$A:$H,8,0),""))</f>
        <v>13.872</v>
      </c>
      <c r="D52" s="199" t="n">
        <f aca="false">IF($A52="","",IFERROR(VLOOKUP($A52,PRODUCTOS!$A:$I,9,0),""))</f>
        <v>15.57</v>
      </c>
      <c r="E52" s="200" t="n">
        <f aca="false">IF($A52="","",IFERROR(VLOOKUP($A52,PRODUCTOS!$A:$J,10,0),""))</f>
        <v>15.77</v>
      </c>
      <c r="F52" s="204"/>
      <c r="G52" s="206"/>
      <c r="H5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2" s="54"/>
      <c r="K52" s="54"/>
    </row>
    <row r="53" customFormat="false" ht="13.5" hidden="false" customHeight="true" outlineLevel="0" collapsed="false">
      <c r="A53" s="76" t="str">
        <f aca="false">IFERROR(INDEX(PRODUCTOS!$A:$A,MATCH(50,PRODUCTOS!$F:$F,0)),"")</f>
        <v>C3968</v>
      </c>
      <c r="B53" s="52" t="str">
        <f aca="false">IF($A53="","",IFERROR(VLOOKUP($A53,PRODUCTOS!$A:$B,2,0),""))</f>
        <v>JURELA BLANCA (HMY)</v>
      </c>
      <c r="C53" s="82" t="n">
        <f aca="false">IF($A53="","",IFERROR(VLOOKUP($A53,PRODUCTOS!$A:$H,8,0),""))</f>
        <v>7.854</v>
      </c>
      <c r="D53" s="199" t="n">
        <f aca="false">IF($A53="","",IFERROR(VLOOKUP($A53,PRODUCTOS!$A:$I,9,0),""))</f>
        <v>9.55</v>
      </c>
      <c r="E53" s="200" t="n">
        <f aca="false">IF($A53="","",IFERROR(VLOOKUP($A53,PRODUCTOS!$A:$J,10,0),""))</f>
        <v>9.75</v>
      </c>
      <c r="F53" s="203"/>
      <c r="G53" s="207"/>
      <c r="H5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3" s="54"/>
      <c r="K53" s="54"/>
    </row>
    <row r="54" customFormat="false" ht="13.5" hidden="false" customHeight="true" outlineLevel="0" collapsed="false">
      <c r="A54" s="88" t="str">
        <f aca="false">IFERROR(INDEX(PRODUCTOS!$A:$A,MATCH(51,PRODUCTOS!$F:$F,0)),"")</f>
        <v>C7582</v>
      </c>
      <c r="B54" s="46" t="str">
        <f aca="false">IF($A54="","",IFERROR(VLOOKUP($A54,PRODUCTOS!$A:$B,2,0),""))</f>
        <v>PANPANO/ RUFO IMPERIO</v>
      </c>
      <c r="C54" s="82" t="str">
        <f aca="false">IF($A54="","",IFERROR(VLOOKUP($A54,PRODUCTOS!$A:$H,8,0),""))</f>
        <v/>
      </c>
      <c r="D54" s="199" t="str">
        <f aca="false">IF($A54="","",IFERROR(VLOOKUP($A54,PRODUCTOS!$A:$I,9,0),""))</f>
        <v/>
      </c>
      <c r="E54" s="200" t="str">
        <f aca="false">IF($A54="","",IFERROR(VLOOKUP($A54,PRODUCTOS!$A:$J,10,0),""))</f>
        <v/>
      </c>
      <c r="F54" s="204"/>
      <c r="G54" s="206"/>
      <c r="H5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4" s="54"/>
      <c r="K54" s="54"/>
    </row>
    <row r="55" customFormat="false" ht="13.5" hidden="false" customHeight="true" outlineLevel="0" collapsed="false">
      <c r="A55" s="76" t="str">
        <f aca="false">IFERROR(INDEX(PRODUCTOS!$A:$A,MATCH(52,PRODUCTOS!$F:$F,0)),"")</f>
        <v>C998</v>
      </c>
      <c r="B55" s="52" t="str">
        <f aca="false">IF($A55="","",IFERROR(VLOOKUP($A55,PRODUCTOS!$A:$B,2,0),""))</f>
        <v>JURELO MEDITERRANEO</v>
      </c>
      <c r="C55" s="82" t="n">
        <f aca="false">IF($A55="","",IFERROR(VLOOKUP($A55,PRODUCTOS!$A:$H,8,0),""))</f>
        <v>4.48908510638298</v>
      </c>
      <c r="D55" s="199" t="n">
        <f aca="false">IF($A55="","",IFERROR(VLOOKUP($A55,PRODUCTOS!$A:$I,9,0),""))</f>
        <v>6.19</v>
      </c>
      <c r="E55" s="208" t="n">
        <f aca="false">IF($A55="","",IFERROR(VLOOKUP($A55,PRODUCTOS!$A:$J,10,0),""))</f>
        <v>6.39</v>
      </c>
      <c r="F55" s="203"/>
      <c r="G55" s="209"/>
      <c r="H5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5" s="203"/>
      <c r="K55" s="203"/>
    </row>
    <row r="56" customFormat="false" ht="13.5" hidden="false" customHeight="true" outlineLevel="0" collapsed="false">
      <c r="A56" s="88" t="str">
        <f aca="false">IFERROR(INDEX(PRODUCTOS!$A:$A,MATCH(53,PRODUCTOS!$F:$F,0)),"")</f>
        <v>C640</v>
      </c>
      <c r="B56" s="46" t="str">
        <f aca="false">IF($A56="","",IFERROR(VLOOKUP($A56,PRODUCTOS!$A:$B,2,0),""))</f>
        <v>LENGUADO RIA (SOL)</v>
      </c>
      <c r="C56" s="82" t="n">
        <f aca="false">IF($A56="","",IFERROR(VLOOKUP($A56,PRODUCTOS!$A:$H,8,0),""))</f>
        <v>27.3375338345865</v>
      </c>
      <c r="D56" s="199" t="n">
        <f aca="false">IF($A56="","",IFERROR(VLOOKUP($A56,PRODUCTOS!$A:$I,9,0),""))</f>
        <v>29.04</v>
      </c>
      <c r="E56" s="208" t="n">
        <f aca="false">IF($A56="","",IFERROR(VLOOKUP($A56,PRODUCTOS!$A:$J,10,0),""))</f>
        <v>29.24</v>
      </c>
      <c r="F56" s="204"/>
      <c r="G56" s="210"/>
      <c r="H5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6" s="203"/>
      <c r="K56" s="203"/>
    </row>
    <row r="57" customFormat="false" ht="13.5" hidden="false" customHeight="true" outlineLevel="0" collapsed="false">
      <c r="A57" s="76" t="str">
        <f aca="false">IFERROR(INDEX(PRODUCTOS!$A:$A,MATCH(54,PRODUCTOS!$F:$F,0)),"")</f>
        <v>C221</v>
      </c>
      <c r="B57" s="52" t="str">
        <f aca="false">IF($A57="","",IFERROR(VLOOKUP($A57,PRODUCTOS!$A:$B,2,0),""))</f>
        <v>LIRIO/ BACALADILLA/ PERLA (WHB)</v>
      </c>
      <c r="C57" s="82" t="n">
        <f aca="false">IF($A57="","",IFERROR(VLOOKUP($A57,PRODUCTOS!$A:$H,8,0),""))</f>
        <v>1.977</v>
      </c>
      <c r="D57" s="199" t="n">
        <f aca="false">IF($A57="","",IFERROR(VLOOKUP($A57,PRODUCTOS!$A:$I,9,0),""))</f>
        <v>3.68</v>
      </c>
      <c r="E57" s="208" t="n">
        <f aca="false">IF($A57="","",IFERROR(VLOOKUP($A57,PRODUCTOS!$A:$J,10,0),""))</f>
        <v>3.88</v>
      </c>
      <c r="F57" s="203"/>
      <c r="G57" s="209"/>
      <c r="H5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7" s="203"/>
      <c r="K57" s="203"/>
    </row>
    <row r="58" customFormat="false" ht="13.5" hidden="false" customHeight="true" outlineLevel="0" collapsed="false">
      <c r="A58" s="88" t="str">
        <f aca="false">IFERROR(INDEX(PRODUCTOS!$A:$A,MATCH(55,PRODUCTOS!$F:$F,0)),"")</f>
        <v>C220</v>
      </c>
      <c r="B58" s="46" t="str">
        <f aca="false">IF($A58="","",IFERROR(VLOOKUP($A58,PRODUCTOS!$A:$B,2,0),""))</f>
        <v>LIRIO EN FILETES</v>
      </c>
      <c r="C58" s="82" t="n">
        <f aca="false">IF($A58="","",IFERROR(VLOOKUP($A58,PRODUCTOS!$A:$H,8,0),""))</f>
        <v>4.4</v>
      </c>
      <c r="D58" s="199" t="n">
        <f aca="false">IF($A58="","",IFERROR(VLOOKUP($A58,PRODUCTOS!$A:$I,9,0),""))</f>
        <v>6.1</v>
      </c>
      <c r="E58" s="208" t="n">
        <f aca="false">IF($A58="","",IFERROR(VLOOKUP($A58,PRODUCTOS!$A:$J,10,0),""))</f>
        <v>6.3</v>
      </c>
      <c r="F58" s="204"/>
      <c r="G58" s="210"/>
      <c r="H5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8" s="203"/>
      <c r="K58" s="203"/>
    </row>
    <row r="59" customFormat="false" ht="13.5" hidden="false" customHeight="true" outlineLevel="0" collapsed="false">
      <c r="A59" s="76" t="str">
        <f aca="false">IFERROR(INDEX(PRODUCTOS!$A:$A,MATCH(56,PRODUCTOS!$F:$F,0)),"")</f>
        <v>C336</v>
      </c>
      <c r="B59" s="52" t="str">
        <f aca="false">IF($A59="","",IFERROR(VLOOKUP($A59,PRODUCTOS!$A:$B,2,0),""))</f>
        <v>LUBINA RIA/ ROBALIZA (BSS)</v>
      </c>
      <c r="C59" s="82" t="n">
        <f aca="false">IF($A59="","",IFERROR(VLOOKUP($A59,PRODUCTOS!$A:$H,8,0),""))</f>
        <v>16.7</v>
      </c>
      <c r="D59" s="199" t="n">
        <f aca="false">IF($A59="","",IFERROR(VLOOKUP($A59,PRODUCTOS!$A:$I,9,0),""))</f>
        <v>18.4</v>
      </c>
      <c r="E59" s="208" t="n">
        <f aca="false">IF($A59="","",IFERROR(VLOOKUP($A59,PRODUCTOS!$A:$J,10,0),""))</f>
        <v>18.6</v>
      </c>
      <c r="F59" s="203"/>
      <c r="G59" s="209"/>
      <c r="H5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5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59" s="203"/>
      <c r="K59" s="203"/>
    </row>
    <row r="60" customFormat="false" ht="13.5" hidden="false" customHeight="true" outlineLevel="0" collapsed="false">
      <c r="A60" s="88" t="str">
        <f aca="false">IFERROR(INDEX(PRODUCTOS!$A:$A,MATCH(57,PRODUCTOS!$F:$F,0)),"")</f>
        <v>C3110</v>
      </c>
      <c r="B60" s="46" t="str">
        <f aca="false">IF($A60="","",IFERROR(VLOOKUP($A60,PRODUCTOS!$A:$B,2,0),""))</f>
        <v>MACHOS/ REYES/ ALFONSINOS (BYS)</v>
      </c>
      <c r="C60" s="82" t="n">
        <f aca="false">IF($A60="","",IFERROR(VLOOKUP($A60,PRODUCTOS!$A:$H,8,0),""))</f>
        <v>9.129</v>
      </c>
      <c r="D60" s="199" t="n">
        <f aca="false">IF($A60="","",IFERROR(VLOOKUP($A60,PRODUCTOS!$A:$I,9,0),""))</f>
        <v>10.83</v>
      </c>
      <c r="E60" s="208" t="n">
        <f aca="false">IF($A60="","",IFERROR(VLOOKUP($A60,PRODUCTOS!$A:$J,10,0),""))</f>
        <v>11.03</v>
      </c>
      <c r="F60" s="204"/>
      <c r="G60" s="210"/>
      <c r="H6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0" s="203"/>
      <c r="K60" s="203"/>
    </row>
    <row r="61" customFormat="false" ht="13.5" hidden="false" customHeight="true" outlineLevel="0" collapsed="false">
      <c r="A61" s="76" t="str">
        <f aca="false">IFERROR(INDEX(PRODUCTOS!$A:$A,MATCH(58,PRODUCTOS!$F:$F,0)),"")</f>
        <v>C755</v>
      </c>
      <c r="B61" s="52" t="str">
        <f aca="false">IF($A61="","",IFERROR(VLOOKUP($A61,PRODUCTOS!$A:$B,2,0),""))</f>
        <v>MARAGOTA/ PINTO (USB)</v>
      </c>
      <c r="C61" s="82" t="str">
        <f aca="false">IF($A61="","",IFERROR(VLOOKUP($A61,PRODUCTOS!$A:$H,8,0),""))</f>
        <v/>
      </c>
      <c r="D61" s="199" t="str">
        <f aca="false">IF($A61="","",IFERROR(VLOOKUP($A61,PRODUCTOS!$A:$I,9,0),""))</f>
        <v/>
      </c>
      <c r="E61" s="208" t="str">
        <f aca="false">IF($A61="","",IFERROR(VLOOKUP($A61,PRODUCTOS!$A:$J,10,0),""))</f>
        <v/>
      </c>
      <c r="F61" s="203"/>
      <c r="G61" s="209"/>
      <c r="H6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1" s="203"/>
      <c r="K61" s="203"/>
    </row>
    <row r="62" customFormat="false" ht="13.5" hidden="false" customHeight="true" outlineLevel="0" collapsed="false">
      <c r="A62" s="88" t="str">
        <f aca="false">IFERROR(INDEX(PRODUCTOS!$A:$A,MATCH(59,PRODUCTOS!$F:$F,0)),"")</f>
        <v>C1400</v>
      </c>
      <c r="B62" s="46" t="str">
        <f aca="false">IF($A62="","",IFERROR(VLOOKUP($A62,PRODUCTOS!$A:$B,2,0),""))</f>
        <v>MERLUZA AMERICANA/ CARIOCA BOSTON (HKS)</v>
      </c>
      <c r="C62" s="82" t="str">
        <f aca="false">IF($A62="","",IFERROR(VLOOKUP($A62,PRODUCTOS!$A:$H,8,0),""))</f>
        <v/>
      </c>
      <c r="D62" s="199" t="str">
        <f aca="false">IF($A62="","",IFERROR(VLOOKUP($A62,PRODUCTOS!$A:$I,9,0),""))</f>
        <v/>
      </c>
      <c r="E62" s="208" t="str">
        <f aca="false">IF($A62="","",IFERROR(VLOOKUP($A62,PRODUCTOS!$A:$J,10,0),""))</f>
        <v/>
      </c>
      <c r="F62" s="204"/>
      <c r="G62" s="210"/>
      <c r="H6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2" s="203"/>
      <c r="K62" s="203"/>
    </row>
    <row r="63" customFormat="false" ht="13.5" hidden="false" customHeight="true" outlineLevel="0" collapsed="false">
      <c r="A63" s="76" t="str">
        <f aca="false">IFERROR(INDEX(PRODUCTOS!$A:$A,MATCH(60,PRODUCTOS!$F:$F,0)),"")</f>
        <v>C1250</v>
      </c>
      <c r="B63" s="52" t="str">
        <f aca="false">IF($A63="","",IFERROR(VLOOKUP($A63,PRODUCTOS!$A:$B,2,0),""))</f>
        <v>MERLUZA DEL CABO (HKC)</v>
      </c>
      <c r="C63" s="82" t="str">
        <f aca="false">IF($A63="","",IFERROR(VLOOKUP($A63,PRODUCTOS!$A:$H,8,0),""))</f>
        <v/>
      </c>
      <c r="D63" s="199" t="str">
        <f aca="false">IF($A63="","",IFERROR(VLOOKUP($A63,PRODUCTOS!$A:$I,9,0),""))</f>
        <v/>
      </c>
      <c r="E63" s="208" t="str">
        <f aca="false">IF($A63="","",IFERROR(VLOOKUP($A63,PRODUCTOS!$A:$J,10,0),""))</f>
        <v/>
      </c>
      <c r="F63" s="203"/>
      <c r="G63" s="209"/>
      <c r="H6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3" s="203"/>
      <c r="K63" s="203"/>
    </row>
    <row r="64" customFormat="false" ht="13.5" hidden="false" customHeight="true" outlineLevel="0" collapsed="false">
      <c r="A64" s="88" t="str">
        <f aca="false">IFERROR(INDEX(PRODUCTOS!$A:$A,MATCH(61,PRODUCTOS!$F:$F,0)),"")</f>
        <v>C1730</v>
      </c>
      <c r="B64" s="46" t="str">
        <f aca="false">IF($A64="","",IFERROR(VLOOKUP($A64,PRODUCTOS!$A:$B,2,0),""))</f>
        <v>MERLUZA EUROPEA ARRASTRE (HKE) </v>
      </c>
      <c r="C64" s="82" t="n">
        <f aca="false">IF($A64="","",IFERROR(VLOOKUP($A64,PRODUCTOS!$A:$H,8,0),""))</f>
        <v>8.16</v>
      </c>
      <c r="D64" s="199" t="n">
        <f aca="false">IF($A64="","",IFERROR(VLOOKUP($A64,PRODUCTOS!$A:$I,9,0),""))</f>
        <v>9.86</v>
      </c>
      <c r="E64" s="208" t="n">
        <f aca="false">IF($A64="","",IFERROR(VLOOKUP($A64,PRODUCTOS!$A:$J,10,0),""))</f>
        <v>10.06</v>
      </c>
      <c r="F64" s="204"/>
      <c r="G64" s="210"/>
      <c r="H6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4" s="203"/>
      <c r="K64" s="203"/>
    </row>
    <row r="65" customFormat="false" ht="13.5" hidden="false" customHeight="true" outlineLevel="0" collapsed="false">
      <c r="A65" s="76" t="str">
        <f aca="false">IFERROR(INDEX(PRODUCTOS!$A:$A,MATCH(62,PRODUCTOS!$F:$F,0)),"")</f>
        <v>C17308</v>
      </c>
      <c r="B65" s="52" t="str">
        <f aca="false">IF($A65="","",IFERROR(VLOOKUP($A65,PRODUCTOS!$A:$B,2,0),""))</f>
        <v>MERLUZA EUROPEA ARRASTRE (HKE) 800/1000</v>
      </c>
      <c r="C65" s="82" t="str">
        <f aca="false">IF($A65="","",IFERROR(VLOOKUP($A65,PRODUCTOS!$A:$H,8,0),""))</f>
        <v/>
      </c>
      <c r="D65" s="199" t="str">
        <f aca="false">IF($A65="","",IFERROR(VLOOKUP($A65,PRODUCTOS!$A:$I,9,0),""))</f>
        <v/>
      </c>
      <c r="E65" s="208" t="str">
        <f aca="false">IF($A65="","",IFERROR(VLOOKUP($A65,PRODUCTOS!$A:$J,10,0),""))</f>
        <v/>
      </c>
      <c r="F65" s="203"/>
      <c r="G65" s="209"/>
      <c r="H6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5" s="203"/>
      <c r="K65" s="203"/>
    </row>
    <row r="66" customFormat="false" ht="13.5" hidden="false" customHeight="true" outlineLevel="0" collapsed="false">
      <c r="A66" s="88" t="str">
        <f aca="false">IFERROR(INDEX(PRODUCTOS!$A:$A,MATCH(63,PRODUCTOS!$F:$F,0)),"")</f>
        <v>C17301</v>
      </c>
      <c r="B66" s="46" t="str">
        <f aca="false">IF($A66="","",IFERROR(VLOOKUP($A66,PRODUCTOS!$A:$B,2,0),""))</f>
        <v>MERLUZA EUROPEA ARRASTRE (HKE) 1000/1250</v>
      </c>
      <c r="C66" s="82" t="str">
        <f aca="false">IF($A66="","",IFERROR(VLOOKUP($A66,PRODUCTOS!$A:$H,8,0),""))</f>
        <v/>
      </c>
      <c r="D66" s="199" t="str">
        <f aca="false">IF($A66="","",IFERROR(VLOOKUP($A66,PRODUCTOS!$A:$I,9,0),""))</f>
        <v/>
      </c>
      <c r="E66" s="208" t="str">
        <f aca="false">IF($A66="","",IFERROR(VLOOKUP($A66,PRODUCTOS!$A:$J,10,0),""))</f>
        <v/>
      </c>
      <c r="F66" s="204"/>
      <c r="G66" s="210"/>
      <c r="H6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6" s="203"/>
      <c r="K66" s="203"/>
    </row>
    <row r="67" customFormat="false" ht="13.5" hidden="false" customHeight="true" outlineLevel="0" collapsed="false">
      <c r="A67" s="76" t="str">
        <f aca="false">IFERROR(INDEX(PRODUCTOS!$A:$A,MATCH(64,PRODUCTOS!$F:$F,0)),"")</f>
        <v>C17301+</v>
      </c>
      <c r="B67" s="52" t="str">
        <f aca="false">IF($A67="","",IFERROR(VLOOKUP($A67,PRODUCTOS!$A:$B,2,0),""))</f>
        <v>MERLUZA EUROPEA ARRASTRE (HKE) 1250/1500</v>
      </c>
      <c r="C67" s="82" t="str">
        <f aca="false">IF($A67="","",IFERROR(VLOOKUP($A67,PRODUCTOS!$A:$H,8,0),""))</f>
        <v/>
      </c>
      <c r="D67" s="199" t="str">
        <f aca="false">IF($A67="","",IFERROR(VLOOKUP($A67,PRODUCTOS!$A:$I,9,0),""))</f>
        <v/>
      </c>
      <c r="E67" s="208" t="str">
        <f aca="false">IF($A67="","",IFERROR(VLOOKUP($A67,PRODUCTOS!$A:$J,10,0),""))</f>
        <v/>
      </c>
      <c r="F67" s="203"/>
      <c r="G67" s="209"/>
      <c r="H6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7" s="203"/>
      <c r="K67" s="203"/>
    </row>
    <row r="68" customFormat="false" ht="13.5" hidden="false" customHeight="true" outlineLevel="0" collapsed="false">
      <c r="A68" s="88" t="str">
        <f aca="false">IFERROR(INDEX(PRODUCTOS!$A:$A,MATCH(65,PRODUCTOS!$F:$F,0)),"")</f>
        <v>C173015</v>
      </c>
      <c r="B68" s="46" t="str">
        <f aca="false">IF($A68="","",IFERROR(VLOOKUP($A68,PRODUCTOS!$A:$B,2,0),""))</f>
        <v>MERLUZA EUROPEA ARRASTRE (HKE) 1500/2000</v>
      </c>
      <c r="C68" s="82" t="str">
        <f aca="false">IF($A68="","",IFERROR(VLOOKUP($A68,PRODUCTOS!$A:$H,8,0),""))</f>
        <v/>
      </c>
      <c r="D68" s="199" t="str">
        <f aca="false">IF($A68="","",IFERROR(VLOOKUP($A68,PRODUCTOS!$A:$I,9,0),""))</f>
        <v/>
      </c>
      <c r="E68" s="208" t="str">
        <f aca="false">IF($A68="","",IFERROR(VLOOKUP($A68,PRODUCTOS!$A:$J,10,0),""))</f>
        <v/>
      </c>
      <c r="F68" s="204"/>
      <c r="G68" s="210"/>
      <c r="H6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8" s="203"/>
      <c r="K68" s="203"/>
    </row>
    <row r="69" customFormat="false" ht="13.5" hidden="false" customHeight="true" outlineLevel="0" collapsed="false">
      <c r="A69" s="76" t="str">
        <f aca="false">IFERROR(INDEX(PRODUCTOS!$A:$A,MATCH(66,PRODUCTOS!$F:$F,0)),"")</f>
        <v>C173020</v>
      </c>
      <c r="B69" s="52" t="str">
        <f aca="false">IF($A69="","",IFERROR(VLOOKUP($A69,PRODUCTOS!$A:$B,2,0),""))</f>
        <v>MERLUZA EUROPEA ARRASTRE (HKE) 2000/2500</v>
      </c>
      <c r="C69" s="82" t="str">
        <f aca="false">IF($A69="","",IFERROR(VLOOKUP($A69,PRODUCTOS!$A:$H,8,0),""))</f>
        <v/>
      </c>
      <c r="D69" s="199" t="str">
        <f aca="false">IF($A69="","",IFERROR(VLOOKUP($A69,PRODUCTOS!$A:$I,9,0),""))</f>
        <v/>
      </c>
      <c r="E69" s="208" t="str">
        <f aca="false">IF($A69="","",IFERROR(VLOOKUP($A69,PRODUCTOS!$A:$J,10,0),""))</f>
        <v/>
      </c>
      <c r="F69" s="203"/>
      <c r="G69" s="203"/>
      <c r="H6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6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69" s="203"/>
      <c r="K69" s="203"/>
    </row>
    <row r="70" customFormat="false" ht="13.5" hidden="false" customHeight="true" outlineLevel="0" collapsed="false">
      <c r="A70" s="88" t="str">
        <f aca="false">IFERROR(INDEX(PRODUCTOS!$A:$A,MATCH(67,PRODUCTOS!$F:$F,0)),"")</f>
        <v>C169</v>
      </c>
      <c r="B70" s="46" t="str">
        <f aca="false">IF($A70="","",IFERROR(VLOOKUP($A70,PRODUCTOS!$A:$B,2,0),""))</f>
        <v>MERLUZA EUROPEA GDA (HKE)</v>
      </c>
      <c r="C70" s="82" t="n">
        <f aca="false">IF($A70="","",IFERROR(VLOOKUP($A70,PRODUCTOS!$A:$H,8,0),""))</f>
        <v>15.7136930232558</v>
      </c>
      <c r="D70" s="199" t="n">
        <f aca="false">IF($A70="","",IFERROR(VLOOKUP($A70,PRODUCTOS!$A:$I,9,0),""))</f>
        <v>17.41</v>
      </c>
      <c r="E70" s="208" t="n">
        <f aca="false">IF($A70="","",IFERROR(VLOOKUP($A70,PRODUCTOS!$A:$J,10,0),""))</f>
        <v>17.61</v>
      </c>
      <c r="F70" s="204"/>
      <c r="G70" s="204"/>
      <c r="H7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0" s="203"/>
      <c r="K70" s="203"/>
    </row>
    <row r="71" customFormat="false" ht="13.5" hidden="false" customHeight="true" outlineLevel="0" collapsed="false">
      <c r="A71" s="76" t="str">
        <f aca="false">IFERROR(INDEX(PRODUCTOS!$A:$A,MATCH(68,PRODUCTOS!$F:$F,0)),"")</f>
        <v>C1750</v>
      </c>
      <c r="B71" s="52" t="str">
        <f aca="false">IF($A71="","",IFERROR(VLOOKUP($A71,PRODUCTOS!$A:$B,2,0),""))</f>
        <v>MERLUZA EUROPEA PAREJA (HKE)</v>
      </c>
      <c r="C71" s="82" t="n">
        <f aca="false">IF($A71="","",IFERROR(VLOOKUP($A71,PRODUCTOS!$A:$H,8,0),""))</f>
        <v>1.65661070559611</v>
      </c>
      <c r="D71" s="199" t="n">
        <f aca="false">IF($A71="","",IFERROR(VLOOKUP($A71,PRODUCTOS!$A:$I,9,0),""))</f>
        <v>3.36</v>
      </c>
      <c r="E71" s="208" t="n">
        <f aca="false">IF($A71="","",IFERROR(VLOOKUP($A71,PRODUCTOS!$A:$J,10,0),""))</f>
        <v>3.56</v>
      </c>
      <c r="F71" s="203"/>
      <c r="G71" s="203"/>
      <c r="H7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1" s="203"/>
      <c r="K71" s="203"/>
    </row>
    <row r="72" customFormat="false" ht="13.5" hidden="false" customHeight="true" outlineLevel="0" collapsed="false">
      <c r="A72" s="88" t="str">
        <f aca="false">IFERROR(INDEX(PRODUCTOS!$A:$A,MATCH(69,PRODUCTOS!$F:$F,0)),"")</f>
        <v>C1206</v>
      </c>
      <c r="B72" s="46" t="str">
        <f aca="false">IF($A72="","",IFERROR(VLOOKUP($A72,PRODUCTOS!$A:$B,2,0),""))</f>
        <v>MERLUZA EUROPEA PINCHO</v>
      </c>
      <c r="C72" s="82" t="n">
        <f aca="false">IF($A72="","",IFERROR(VLOOKUP($A72,PRODUCTOS!$A:$H,8,0),""))</f>
        <v>3.7218045112782</v>
      </c>
      <c r="D72" s="199" t="n">
        <f aca="false">IF($A72="","",IFERROR(VLOOKUP($A72,PRODUCTOS!$A:$I,9,0),""))</f>
        <v>5.42</v>
      </c>
      <c r="E72" s="208" t="n">
        <f aca="false">IF($A72="","",IFERROR(VLOOKUP($A72,PRODUCTOS!$A:$J,10,0),""))</f>
        <v>5.62</v>
      </c>
      <c r="F72" s="204"/>
      <c r="G72" s="204"/>
      <c r="H7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2" s="203"/>
      <c r="K72" s="203"/>
    </row>
    <row r="73" customFormat="false" ht="13.5" hidden="false" customHeight="true" outlineLevel="0" collapsed="false">
      <c r="A73" s="76" t="str">
        <f aca="false">IFERROR(INDEX(PRODUCTOS!$A:$A,MATCH(70,PRODUCTOS!$F:$F,0)),"")</f>
        <v>C12068</v>
      </c>
      <c r="B73" s="52" t="str">
        <f aca="false">IF($A73="","",IFERROR(VLOOKUP($A73,PRODUCTOS!$A:$B,2,0),""))</f>
        <v>MERLUZA EUROPEA PINCHO</v>
      </c>
      <c r="C73" s="82" t="n">
        <f aca="false">IF($A73="","",IFERROR(VLOOKUP($A73,PRODUCTOS!$A:$H,8,0),""))</f>
        <v>7.65</v>
      </c>
      <c r="D73" s="199" t="n">
        <f aca="false">IF($A73="","",IFERROR(VLOOKUP($A73,PRODUCTOS!$A:$I,9,0),""))</f>
        <v>9.35</v>
      </c>
      <c r="E73" s="208" t="n">
        <f aca="false">IF($A73="","",IFERROR(VLOOKUP($A73,PRODUCTOS!$A:$J,10,0),""))</f>
        <v>9.55</v>
      </c>
      <c r="F73" s="203"/>
      <c r="G73" s="203"/>
      <c r="H7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3" s="203"/>
      <c r="K73" s="203"/>
    </row>
    <row r="74" customFormat="false" ht="13.5" hidden="false" customHeight="true" outlineLevel="0" collapsed="false">
      <c r="A74" s="88" t="str">
        <f aca="false">IFERROR(INDEX(PRODUCTOS!$A:$A,MATCH(71,PRODUCTOS!$F:$F,0)),"")</f>
        <v>C12061</v>
      </c>
      <c r="B74" s="46" t="str">
        <f aca="false">IF($A74="","",IFERROR(VLOOKUP($A74,PRODUCTOS!$A:$B,2,0),""))</f>
        <v>MERLUZA EUROPEA PINCHO</v>
      </c>
      <c r="C74" s="82" t="str">
        <f aca="false">IF($A74="","",IFERROR(VLOOKUP($A74,PRODUCTOS!$A:$H,8,0),""))</f>
        <v/>
      </c>
      <c r="D74" s="199" t="str">
        <f aca="false">IF($A74="","",IFERROR(VLOOKUP($A74,PRODUCTOS!$A:$I,9,0),""))</f>
        <v/>
      </c>
      <c r="E74" s="208" t="str">
        <f aca="false">IF($A74="","",IFERROR(VLOOKUP($A74,PRODUCTOS!$A:$J,10,0),""))</f>
        <v/>
      </c>
      <c r="F74" s="204"/>
      <c r="G74" s="204"/>
      <c r="H7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4" s="203"/>
      <c r="K74" s="203"/>
    </row>
    <row r="75" customFormat="false" ht="13.5" hidden="false" customHeight="true" outlineLevel="0" collapsed="false">
      <c r="A75" s="76" t="str">
        <f aca="false">IFERROR(INDEX(PRODUCTOS!$A:$A,MATCH(72,PRODUCTOS!$F:$F,0)),"")</f>
        <v>C12061+</v>
      </c>
      <c r="B75" s="52" t="str">
        <f aca="false">IF($A75="","",IFERROR(VLOOKUP($A75,PRODUCTOS!$A:$B,2,0),""))</f>
        <v>MERLUZA EUROPEA PINCHO</v>
      </c>
      <c r="C75" s="82" t="str">
        <f aca="false">IF($A75="","",IFERROR(VLOOKUP($A75,PRODUCTOS!$A:$H,8,0),""))</f>
        <v/>
      </c>
      <c r="D75" s="199" t="str">
        <f aca="false">IF($A75="","",IFERROR(VLOOKUP($A75,PRODUCTOS!$A:$I,9,0),""))</f>
        <v/>
      </c>
      <c r="E75" s="208" t="str">
        <f aca="false">IF($A75="","",IFERROR(VLOOKUP($A75,PRODUCTOS!$A:$J,10,0),""))</f>
        <v/>
      </c>
      <c r="F75" s="203"/>
      <c r="G75" s="203"/>
      <c r="H7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5" s="203"/>
      <c r="K75" s="203"/>
    </row>
    <row r="76" customFormat="false" ht="13.5" hidden="false" customHeight="true" outlineLevel="0" collapsed="false">
      <c r="A76" s="88" t="str">
        <f aca="false">IFERROR(INDEX(PRODUCTOS!$A:$A,MATCH(73,PRODUCTOS!$F:$F,0)),"")</f>
        <v>C120615</v>
      </c>
      <c r="B76" s="46" t="str">
        <f aca="false">IF($A76="","",IFERROR(VLOOKUP($A76,PRODUCTOS!$A:$B,2,0),""))</f>
        <v>MERLUZA EUROPEA PINCHO</v>
      </c>
      <c r="C76" s="82" t="str">
        <f aca="false">IF($A76="","",IFERROR(VLOOKUP($A76,PRODUCTOS!$A:$H,8,0),""))</f>
        <v/>
      </c>
      <c r="D76" s="199" t="str">
        <f aca="false">IF($A76="","",IFERROR(VLOOKUP($A76,PRODUCTOS!$A:$I,9,0),""))</f>
        <v/>
      </c>
      <c r="E76" s="208" t="str">
        <f aca="false">IF($A76="","",IFERROR(VLOOKUP($A76,PRODUCTOS!$A:$J,10,0),""))</f>
        <v/>
      </c>
      <c r="F76" s="204"/>
      <c r="G76" s="204"/>
      <c r="H7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6" s="203"/>
      <c r="K76" s="203"/>
    </row>
    <row r="77" customFormat="false" ht="13.5" hidden="false" customHeight="true" outlineLevel="0" collapsed="false">
      <c r="A77" s="76" t="str">
        <f aca="false">IFERROR(INDEX(PRODUCTOS!$A:$A,MATCH(74,PRODUCTOS!$F:$F,0)),"")</f>
        <v>C120620</v>
      </c>
      <c r="B77" s="52" t="str">
        <f aca="false">IF($A77="","",IFERROR(VLOOKUP($A77,PRODUCTOS!$A:$B,2,0),""))</f>
        <v>MERLUZA EUROPEA PINCHO</v>
      </c>
      <c r="C77" s="82" t="str">
        <f aca="false">IF($A77="","",IFERROR(VLOOKUP($A77,PRODUCTOS!$A:$H,8,0),""))</f>
        <v/>
      </c>
      <c r="D77" s="199" t="str">
        <f aca="false">IF($A77="","",IFERROR(VLOOKUP($A77,PRODUCTOS!$A:$I,9,0),""))</f>
        <v/>
      </c>
      <c r="E77" s="208" t="str">
        <f aca="false">IF($A77="","",IFERROR(VLOOKUP($A77,PRODUCTOS!$A:$J,10,0),""))</f>
        <v/>
      </c>
      <c r="F77" s="203"/>
      <c r="G77" s="203"/>
      <c r="H7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7" s="203"/>
      <c r="K77" s="203"/>
    </row>
    <row r="78" customFormat="false" ht="13.5" hidden="false" customHeight="true" outlineLevel="0" collapsed="false">
      <c r="A78" s="88" t="str">
        <f aca="false">IFERROR(INDEX(PRODUCTOS!$A:$A,MATCH(75,PRODUCTOS!$F:$F,0)),"")</f>
        <v>C1300</v>
      </c>
      <c r="B78" s="46" t="str">
        <f aca="false">IF($A78="","",IFERROR(VLOOKUP($A78,PRODUCTOS!$A:$B,2,0),""))</f>
        <v>MERLUZA EUROPEA PINCHO COSTA</v>
      </c>
      <c r="C78" s="82" t="n">
        <f aca="false">IF($A78="","",IFERROR(VLOOKUP($A78,PRODUCTOS!$A:$H,8,0),""))</f>
        <v>9.28435838150289</v>
      </c>
      <c r="D78" s="199" t="n">
        <f aca="false">IF($A78="","",IFERROR(VLOOKUP($A78,PRODUCTOS!$A:$I,9,0),""))</f>
        <v>10.98</v>
      </c>
      <c r="E78" s="208" t="n">
        <f aca="false">IF($A78="","",IFERROR(VLOOKUP($A78,PRODUCTOS!$A:$J,10,0),""))</f>
        <v>11.18</v>
      </c>
      <c r="F78" s="204"/>
      <c r="G78" s="204"/>
      <c r="H7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8" s="203"/>
      <c r="K78" s="203"/>
    </row>
    <row r="79" customFormat="false" ht="13.5" hidden="false" customHeight="true" outlineLevel="0" collapsed="false">
      <c r="A79" s="76" t="str">
        <f aca="false">IFERROR(INDEX(PRODUCTOS!$A:$A,MATCH(76,PRODUCTOS!$F:$F,0)),"")</f>
        <v>C13004</v>
      </c>
      <c r="B79" s="52" t="str">
        <f aca="false">IF($A79="","",IFERROR(VLOOKUP($A79,PRODUCTOS!$A:$B,2,0),""))</f>
        <v>MERLUZA EUROPEA PINCHO COSTA 400</v>
      </c>
      <c r="C79" s="82" t="str">
        <f aca="false">IF($A79="","",IFERROR(VLOOKUP($A79,PRODUCTOS!$A:$H,8,0),""))</f>
        <v/>
      </c>
      <c r="D79" s="199" t="str">
        <f aca="false">IF($A79="","",IFERROR(VLOOKUP($A79,PRODUCTOS!$A:$I,9,0),""))</f>
        <v/>
      </c>
      <c r="E79" s="208" t="str">
        <f aca="false">IF($A79="","",IFERROR(VLOOKUP($A79,PRODUCTOS!$A:$J,10,0),""))</f>
        <v/>
      </c>
      <c r="F79" s="203"/>
      <c r="G79" s="203"/>
      <c r="H7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7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79" s="203"/>
      <c r="K79" s="203"/>
    </row>
    <row r="80" customFormat="false" ht="13.5" hidden="false" customHeight="true" outlineLevel="0" collapsed="false">
      <c r="A80" s="88" t="str">
        <f aca="false">IFERROR(INDEX(PRODUCTOS!$A:$A,MATCH(77,PRODUCTOS!$F:$F,0)),"")</f>
        <v>C13006</v>
      </c>
      <c r="B80" s="46" t="str">
        <f aca="false">IF($A80="","",IFERROR(VLOOKUP($A80,PRODUCTOS!$A:$B,2,0),""))</f>
        <v>MERLUZA EUROPEA PINCHO COSTA 600</v>
      </c>
      <c r="C80" s="82" t="n">
        <f aca="false">IF($A80="","",IFERROR(VLOOKUP($A80,PRODUCTOS!$A:$H,8,0),""))</f>
        <v>4.21428440366973</v>
      </c>
      <c r="D80" s="199" t="n">
        <f aca="false">IF($A80="","",IFERROR(VLOOKUP($A80,PRODUCTOS!$A:$I,9,0),""))</f>
        <v>5.91</v>
      </c>
      <c r="E80" s="211" t="n">
        <f aca="false">IF($A80="","",IFERROR(VLOOKUP($A80,PRODUCTOS!$A:$J,10,0),""))</f>
        <v>6.11</v>
      </c>
      <c r="F80" s="212"/>
      <c r="G80" s="212"/>
      <c r="H8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0" s="180"/>
      <c r="K80" s="180"/>
    </row>
    <row r="81" customFormat="false" ht="13.5" hidden="false" customHeight="true" outlineLevel="0" collapsed="false">
      <c r="A81" s="76" t="str">
        <f aca="false">IFERROR(INDEX(PRODUCTOS!$A:$A,MATCH(78,PRODUCTOS!$F:$F,0)),"")</f>
        <v>C13008</v>
      </c>
      <c r="B81" s="52" t="str">
        <f aca="false">IF($A81="","",IFERROR(VLOOKUP($A81,PRODUCTOS!$A:$B,2,0),""))</f>
        <v>MERLUZA EUROPEA PINCHO COSTA 800</v>
      </c>
      <c r="C81" s="82" t="n">
        <f aca="false">IF($A81="","",IFERROR(VLOOKUP($A81,PRODUCTOS!$A:$H,8,0),""))</f>
        <v>6.68237466307278</v>
      </c>
      <c r="D81" s="199" t="n">
        <f aca="false">IF($A81="","",IFERROR(VLOOKUP($A81,PRODUCTOS!$A:$I,9,0),""))</f>
        <v>8.38</v>
      </c>
      <c r="E81" s="211" t="n">
        <f aca="false">IF($A81="","",IFERROR(VLOOKUP($A81,PRODUCTOS!$A:$J,10,0),""))</f>
        <v>8.58</v>
      </c>
      <c r="F81" s="213"/>
      <c r="G81" s="213"/>
      <c r="H8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1" s="180"/>
      <c r="K81" s="180"/>
    </row>
    <row r="82" customFormat="false" ht="13.5" hidden="false" customHeight="true" outlineLevel="0" collapsed="false">
      <c r="A82" s="88" t="str">
        <f aca="false">IFERROR(INDEX(PRODUCTOS!$A:$A,MATCH(79,PRODUCTOS!$F:$F,0)),"")</f>
        <v>C13001</v>
      </c>
      <c r="B82" s="46" t="str">
        <f aca="false">IF($A82="","",IFERROR(VLOOKUP($A82,PRODUCTOS!$A:$B,2,0),""))</f>
        <v>MERLUZA EUROPEA PINCHO COSTA 1000</v>
      </c>
      <c r="C82" s="82" t="n">
        <f aca="false">IF($A82="","",IFERROR(VLOOKUP($A82,PRODUCTOS!$A:$H,8,0),""))</f>
        <v>7.242</v>
      </c>
      <c r="D82" s="199" t="n">
        <f aca="false">IF($A82="","",IFERROR(VLOOKUP($A82,PRODUCTOS!$A:$I,9,0),""))</f>
        <v>8.94</v>
      </c>
      <c r="E82" s="211" t="n">
        <f aca="false">IF($A82="","",IFERROR(VLOOKUP($A82,PRODUCTOS!$A:$J,10,0),""))</f>
        <v>9.14</v>
      </c>
      <c r="F82" s="212"/>
      <c r="G82" s="212"/>
      <c r="H8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2" s="180"/>
      <c r="K82" s="180"/>
    </row>
    <row r="83" customFormat="false" ht="13.5" hidden="false" customHeight="true" outlineLevel="0" collapsed="false">
      <c r="A83" s="76" t="str">
        <f aca="false">IFERROR(INDEX(PRODUCTOS!$A:$A,MATCH(80,PRODUCTOS!$F:$F,0)),"")</f>
        <v>C13001+</v>
      </c>
      <c r="B83" s="52" t="str">
        <f aca="false">IF($A83="","",IFERROR(VLOOKUP($A83,PRODUCTOS!$A:$B,2,0),""))</f>
        <v>MERLUZA EUROPEA PINCHO COSTA 1,251,5</v>
      </c>
      <c r="C83" s="82" t="n">
        <f aca="false">IF($A83="","",IFERROR(VLOOKUP($A83,PRODUCTOS!$A:$H,8,0),""))</f>
        <v>10.71</v>
      </c>
      <c r="D83" s="199" t="n">
        <f aca="false">IF($A83="","",IFERROR(VLOOKUP($A83,PRODUCTOS!$A:$I,9,0),""))</f>
        <v>12.41</v>
      </c>
      <c r="E83" s="211" t="n">
        <f aca="false">IF($A83="","",IFERROR(VLOOKUP($A83,PRODUCTOS!$A:$J,10,0),""))</f>
        <v>12.61</v>
      </c>
      <c r="F83" s="213"/>
      <c r="G83" s="213"/>
      <c r="H8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3" s="180"/>
      <c r="K83" s="180"/>
    </row>
    <row r="84" customFormat="false" ht="13.5" hidden="false" customHeight="true" outlineLevel="0" collapsed="false">
      <c r="A84" s="88" t="str">
        <f aca="false">IFERROR(INDEX(PRODUCTOS!$A:$A,MATCH(81,PRODUCTOS!$F:$F,0)),"")</f>
        <v>C130015</v>
      </c>
      <c r="B84" s="46" t="str">
        <f aca="false">IF($A84="","",IFERROR(VLOOKUP($A84,PRODUCTOS!$A:$B,2,0),""))</f>
        <v>MERLUZA EUROPEA PINCHO COSTA 1,5/2</v>
      </c>
      <c r="C84" s="82" t="n">
        <f aca="false">IF($A84="","",IFERROR(VLOOKUP($A84,PRODUCTOS!$A:$H,8,0),""))</f>
        <v>12.3416091954023</v>
      </c>
      <c r="D84" s="199" t="n">
        <f aca="false">IF($A84="","",IFERROR(VLOOKUP($A84,PRODUCTOS!$A:$I,9,0),""))</f>
        <v>14.04</v>
      </c>
      <c r="E84" s="211" t="n">
        <f aca="false">IF($A84="","",IFERROR(VLOOKUP($A84,PRODUCTOS!$A:$J,10,0),""))</f>
        <v>14.24</v>
      </c>
      <c r="F84" s="212"/>
      <c r="G84" s="212"/>
      <c r="H8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4" s="180"/>
      <c r="K84" s="180"/>
    </row>
    <row r="85" customFormat="false" ht="13.5" hidden="false" customHeight="true" outlineLevel="0" collapsed="false">
      <c r="A85" s="76" t="str">
        <f aca="false">IFERROR(INDEX(PRODUCTOS!$A:$A,MATCH(82,PRODUCTOS!$F:$F,0)),"")</f>
        <v>C130020</v>
      </c>
      <c r="B85" s="52" t="str">
        <f aca="false">IF($A85="","",IFERROR(VLOOKUP($A85,PRODUCTOS!$A:$B,2,0),""))</f>
        <v>MERLUZA EUROPEA PINCHO COSTA 2+</v>
      </c>
      <c r="C85" s="82" t="n">
        <f aca="false">IF($A85="","",IFERROR(VLOOKUP($A85,PRODUCTOS!$A:$H,8,0),""))</f>
        <v>12.24</v>
      </c>
      <c r="D85" s="199" t="n">
        <f aca="false">IF($A85="","",IFERROR(VLOOKUP($A85,PRODUCTOS!$A:$I,9,0),""))</f>
        <v>13.94</v>
      </c>
      <c r="E85" s="211" t="n">
        <f aca="false">IF($A85="","",IFERROR(VLOOKUP($A85,PRODUCTOS!$A:$J,10,0),""))</f>
        <v>14.14</v>
      </c>
      <c r="F85" s="213"/>
      <c r="G85" s="213"/>
      <c r="H8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5" s="180"/>
      <c r="K85" s="180"/>
    </row>
    <row r="86" customFormat="false" ht="13.5" hidden="false" customHeight="true" outlineLevel="0" collapsed="false">
      <c r="A86" s="88" t="str">
        <f aca="false">IFERROR(INDEX(PRODUCTOS!$A:$A,MATCH(83,PRODUCTOS!$F:$F,0)),"")</f>
        <v>C130025</v>
      </c>
      <c r="B86" s="46" t="str">
        <f aca="false">IF($A86="","",IFERROR(VLOOKUP($A86,PRODUCTOS!$A:$B,2,0),""))</f>
        <v>MERLUZA EUROPEA PINCHO COSTA 2,5+</v>
      </c>
      <c r="C86" s="82" t="n">
        <f aca="false">IF($A86="","",IFERROR(VLOOKUP($A86,PRODUCTOS!$A:$H,8,0),""))</f>
        <v>10.3</v>
      </c>
      <c r="D86" s="199" t="n">
        <f aca="false">IF($A86="","",IFERROR(VLOOKUP($A86,PRODUCTOS!$A:$I,9,0),""))</f>
        <v>12</v>
      </c>
      <c r="E86" s="211" t="n">
        <f aca="false">IF($A86="","",IFERROR(VLOOKUP($A86,PRODUCTOS!$A:$J,10,0),""))</f>
        <v>12.2</v>
      </c>
      <c r="F86" s="212"/>
      <c r="G86" s="212"/>
      <c r="H8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6" s="180"/>
      <c r="K86" s="180"/>
    </row>
    <row r="87" customFormat="false" ht="13.5" hidden="false" customHeight="true" outlineLevel="0" collapsed="false">
      <c r="A87" s="76" t="str">
        <f aca="false">IFERROR(INDEX(PRODUCTOS!$A:$A,MATCH(84,PRODUCTOS!$F:$F,0)),"")</f>
        <v>C130030</v>
      </c>
      <c r="B87" s="52" t="str">
        <f aca="false">IF($A87="","",IFERROR(VLOOKUP($A87,PRODUCTOS!$A:$B,2,0),""))</f>
        <v>MERLUZA EUROPEA PINCHO COSTA</v>
      </c>
      <c r="C87" s="82" t="str">
        <f aca="false">IF($A87="","",IFERROR(VLOOKUP($A87,PRODUCTOS!$A:$H,8,0),""))</f>
        <v/>
      </c>
      <c r="D87" s="199" t="str">
        <f aca="false">IF($A87="","",IFERROR(VLOOKUP($A87,PRODUCTOS!$A:$I,9,0),""))</f>
        <v/>
      </c>
      <c r="E87" s="211" t="str">
        <f aca="false">IF($A87="","",IFERROR(VLOOKUP($A87,PRODUCTOS!$A:$J,10,0),""))</f>
        <v/>
      </c>
      <c r="F87" s="213"/>
      <c r="G87" s="213"/>
      <c r="H8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7" s="180"/>
      <c r="K87" s="180"/>
    </row>
    <row r="88" customFormat="false" ht="13.5" hidden="false" customHeight="true" outlineLevel="0" collapsed="false">
      <c r="A88" s="88" t="str">
        <f aca="false">IFERROR(INDEX(PRODUCTOS!$A:$A,MATCH(85,PRODUCTOS!$F:$F,0)),"")</f>
        <v>C1401</v>
      </c>
      <c r="B88" s="46" t="str">
        <f aca="false">IF($A88="","",IFERROR(VLOOKUP($A88,PRODUCTOS!$A:$B,2,0),""))</f>
        <v>MERLUZA EUROPEA VOLANTA COSTA</v>
      </c>
      <c r="C88" s="82" t="n">
        <f aca="false">IF($A88="","",IFERROR(VLOOKUP($A88,PRODUCTOS!$A:$H,8,0),""))</f>
        <v>3.11933692920625</v>
      </c>
      <c r="D88" s="199" t="n">
        <f aca="false">IF($A88="","",IFERROR(VLOOKUP($A88,PRODUCTOS!$A:$I,9,0),""))</f>
        <v>4.82</v>
      </c>
      <c r="E88" s="211" t="n">
        <f aca="false">IF($A88="","",IFERROR(VLOOKUP($A88,PRODUCTOS!$A:$J,10,0),""))</f>
        <v>5.02</v>
      </c>
      <c r="F88" s="212"/>
      <c r="G88" s="212"/>
      <c r="H8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8" s="180"/>
      <c r="K88" s="180"/>
    </row>
    <row r="89" customFormat="false" ht="13.5" hidden="false" customHeight="true" outlineLevel="0" collapsed="false">
      <c r="A89" s="76" t="str">
        <f aca="false">IFERROR(INDEX(PRODUCTOS!$A:$A,MATCH(86,PRODUCTOS!$F:$F,0)),"")</f>
        <v>C1444</v>
      </c>
      <c r="B89" s="52" t="str">
        <f aca="false">IF($A89="","",IFERROR(VLOOKUP($A89,PRODUCTOS!$A:$B,2,0),""))</f>
        <v>MERLUZA EUROPEA VOLANTA COSTA</v>
      </c>
      <c r="C89" s="82" t="n">
        <f aca="false">IF($A89="","",IFERROR(VLOOKUP($A89,PRODUCTOS!$A:$H,8,0),""))</f>
        <v>7.34383111806099</v>
      </c>
      <c r="D89" s="199" t="n">
        <f aca="false">IF($A89="","",IFERROR(VLOOKUP($A89,PRODUCTOS!$A:$I,9,0),""))</f>
        <v>9.04</v>
      </c>
      <c r="E89" s="211" t="n">
        <f aca="false">IF($A89="","",IFERROR(VLOOKUP($A89,PRODUCTOS!$A:$J,10,0),""))</f>
        <v>9.24</v>
      </c>
      <c r="F89" s="213"/>
      <c r="G89" s="213"/>
      <c r="H8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8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89" s="180"/>
      <c r="K89" s="180"/>
    </row>
    <row r="90" customFormat="false" ht="13.5" hidden="false" customHeight="true" outlineLevel="0" collapsed="false">
      <c r="A90" s="88" t="str">
        <f aca="false">IFERROR(INDEX(PRODUCTOS!$A:$A,MATCH(87,PRODUCTOS!$F:$F,0)),"")</f>
        <v>C1446</v>
      </c>
      <c r="B90" s="46" t="str">
        <f aca="false">IF($A90="","",IFERROR(VLOOKUP($A90,PRODUCTOS!$A:$B,2,0),""))</f>
        <v>MERLUZA EUROPEA VOLANTA COSTA 600/800</v>
      </c>
      <c r="C90" s="82" t="str">
        <f aca="false">IF($A90="","",IFERROR(VLOOKUP($A90,PRODUCTOS!$A:$H,8,0),""))</f>
        <v/>
      </c>
      <c r="D90" s="199" t="str">
        <f aca="false">IF($A90="","",IFERROR(VLOOKUP($A90,PRODUCTOS!$A:$I,9,0),""))</f>
        <v/>
      </c>
      <c r="E90" s="211" t="str">
        <f aca="false">IF($A90="","",IFERROR(VLOOKUP($A90,PRODUCTOS!$A:$J,10,0),""))</f>
        <v/>
      </c>
      <c r="F90" s="212"/>
      <c r="G90" s="212"/>
      <c r="H9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0" s="180"/>
      <c r="K90" s="180"/>
    </row>
    <row r="91" customFormat="false" ht="13.5" hidden="false" customHeight="true" outlineLevel="0" collapsed="false">
      <c r="A91" s="76" t="str">
        <f aca="false">IFERROR(INDEX(PRODUCTOS!$A:$A,MATCH(88,PRODUCTOS!$F:$F,0)),"")</f>
        <v>C1448</v>
      </c>
      <c r="B91" s="52" t="str">
        <f aca="false">IF($A91="","",IFERROR(VLOOKUP($A91,PRODUCTOS!$A:$B,2,0),""))</f>
        <v>MERLUZA EUROPEA VOLANTA COSTA 800/1000</v>
      </c>
      <c r="C91" s="82" t="n">
        <f aca="false">IF($A91="","",IFERROR(VLOOKUP($A91,PRODUCTOS!$A:$H,8,0),""))</f>
        <v>3.978</v>
      </c>
      <c r="D91" s="199" t="n">
        <f aca="false">IF($A91="","",IFERROR(VLOOKUP($A91,PRODUCTOS!$A:$I,9,0),""))</f>
        <v>5.68</v>
      </c>
      <c r="E91" s="211" t="n">
        <f aca="false">IF($A91="","",IFERROR(VLOOKUP($A91,PRODUCTOS!$A:$J,10,0),""))</f>
        <v>5.88</v>
      </c>
      <c r="F91" s="213"/>
      <c r="G91" s="213"/>
      <c r="H9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1" s="180"/>
      <c r="K91" s="180"/>
    </row>
    <row r="92" customFormat="false" ht="13.5" hidden="false" customHeight="true" outlineLevel="0" collapsed="false">
      <c r="A92" s="88" t="str">
        <f aca="false">IFERROR(INDEX(PRODUCTOS!$A:$A,MATCH(89,PRODUCTOS!$F:$F,0)),"")</f>
        <v>C14415</v>
      </c>
      <c r="B92" s="46" t="str">
        <f aca="false">IF($A92="","",IFERROR(VLOOKUP($A92,PRODUCTOS!$A:$B,2,0),""))</f>
        <v>MERLUZA EUROPEA VOLANTA COSTA 1/1,25</v>
      </c>
      <c r="C92" s="82" t="n">
        <f aca="false">IF($A92="","",IFERROR(VLOOKUP($A92,PRODUCTOS!$A:$H,8,0),""))</f>
        <v>0</v>
      </c>
      <c r="D92" s="199" t="str">
        <f aca="false">IF($A92="","",IFERROR(VLOOKUP($A92,PRODUCTOS!$A:$I,9,0),""))</f>
        <v/>
      </c>
      <c r="E92" s="211" t="str">
        <f aca="false">IF($A92="","",IFERROR(VLOOKUP($A92,PRODUCTOS!$A:$J,10,0),""))</f>
        <v/>
      </c>
      <c r="F92" s="212"/>
      <c r="G92" s="212"/>
      <c r="H9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2" s="180"/>
      <c r="K92" s="180"/>
    </row>
    <row r="93" customFormat="false" ht="13.5" hidden="false" customHeight="true" outlineLevel="0" collapsed="false">
      <c r="A93" s="76" t="str">
        <f aca="false">IFERROR(INDEX(PRODUCTOS!$A:$A,MATCH(90,PRODUCTOS!$F:$F,0)),"")</f>
        <v>C144+</v>
      </c>
      <c r="B93" s="52" t="str">
        <f aca="false">IF($A93="","",IFERROR(VLOOKUP($A93,PRODUCTOS!$A:$B,2,0),""))</f>
        <v>MERLUZA EUROPEA VOLANTA COSTA 1,25/1,5</v>
      </c>
      <c r="C93" s="82" t="n">
        <f aca="false">IF($A93="","",IFERROR(VLOOKUP($A93,PRODUCTOS!$A:$H,8,0),""))</f>
        <v>5.457</v>
      </c>
      <c r="D93" s="199" t="n">
        <f aca="false">IF($A93="","",IFERROR(VLOOKUP($A93,PRODUCTOS!$A:$I,9,0),""))</f>
        <v>7.16</v>
      </c>
      <c r="E93" s="211" t="n">
        <f aca="false">IF($A93="","",IFERROR(VLOOKUP($A93,PRODUCTOS!$A:$J,10,0),""))</f>
        <v>7.36</v>
      </c>
      <c r="F93" s="213"/>
      <c r="G93" s="213"/>
      <c r="H9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3" s="180"/>
      <c r="K93" s="180"/>
    </row>
    <row r="94" customFormat="false" ht="13.5" hidden="false" customHeight="true" outlineLevel="0" collapsed="false">
      <c r="A94" s="88" t="n">
        <f aca="false">IFERROR(INDEX(PRODUCTOS!$A:$A,MATCH(91,PRODUCTOS!$F:$F,0)),"")</f>
        <v>14441</v>
      </c>
      <c r="B94" s="46" t="str">
        <f aca="false">IF($A94="","",IFERROR(VLOOKUP($A94,PRODUCTOS!$A:$B,2,0),""))</f>
        <v>MERLUZA EUROPEA VOLANTA</v>
      </c>
      <c r="C94" s="82" t="str">
        <f aca="false">IF($A94="","",IFERROR(VLOOKUP($A94,PRODUCTOS!$A:$H,8,0),""))</f>
        <v/>
      </c>
      <c r="D94" s="199" t="str">
        <f aca="false">IF($A94="","",IFERROR(VLOOKUP($A94,PRODUCTOS!$A:$I,9,0),""))</f>
        <v/>
      </c>
      <c r="E94" s="211" t="str">
        <f aca="false">IF($A94="","",IFERROR(VLOOKUP($A94,PRODUCTOS!$A:$J,10,0),""))</f>
        <v/>
      </c>
      <c r="F94" s="212"/>
      <c r="G94" s="212"/>
      <c r="H9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4" s="180"/>
      <c r="K94" s="180"/>
    </row>
    <row r="95" customFormat="false" ht="13.5" hidden="false" customHeight="true" outlineLevel="0" collapsed="false">
      <c r="A95" s="76" t="str">
        <f aca="false">IFERROR(INDEX(PRODUCTOS!$A:$A,MATCH(92,PRODUCTOS!$F:$F,0)),"")</f>
        <v>C14420</v>
      </c>
      <c r="B95" s="52" t="str">
        <f aca="false">IF($A95="","",IFERROR(VLOOKUP($A95,PRODUCTOS!$A:$B,2,0),""))</f>
        <v>MERLUZA EUROPEA BAKA DIA TDA</v>
      </c>
      <c r="C95" s="82" t="str">
        <f aca="false">IF($A95="","",IFERROR(VLOOKUP($A95,PRODUCTOS!$A:$H,8,0),""))</f>
        <v/>
      </c>
      <c r="D95" s="199" t="str">
        <f aca="false">IF($A95="","",IFERROR(VLOOKUP($A95,PRODUCTOS!$A:$I,9,0),""))</f>
        <v/>
      </c>
      <c r="E95" s="211" t="str">
        <f aca="false">IF($A95="","",IFERROR(VLOOKUP($A95,PRODUCTOS!$A:$J,10,0),""))</f>
        <v/>
      </c>
      <c r="F95" s="213"/>
      <c r="G95" s="213"/>
      <c r="H9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5" s="180"/>
      <c r="K95" s="180"/>
    </row>
    <row r="96" customFormat="false" ht="13.5" hidden="false" customHeight="true" outlineLevel="0" collapsed="false">
      <c r="A96" s="88" t="str">
        <f aca="false">IFERROR(INDEX(PRODUCTOS!$A:$A,MATCH(93,PRODUCTOS!$F:$F,0)),"")</f>
        <v>C14425</v>
      </c>
      <c r="B96" s="46" t="str">
        <f aca="false">IF($A96="","",IFERROR(VLOOKUP($A96,PRODUCTOS!$A:$B,2,0),""))</f>
        <v>MERLUZA EUROPEA BAKA DIA GDA</v>
      </c>
      <c r="C96" s="82" t="str">
        <f aca="false">IF($A96="","",IFERROR(VLOOKUP($A96,PRODUCTOS!$A:$H,8,0),""))</f>
        <v/>
      </c>
      <c r="D96" s="199" t="str">
        <f aca="false">IF($A96="","",IFERROR(VLOOKUP($A96,PRODUCTOS!$A:$I,9,0),""))</f>
        <v/>
      </c>
      <c r="E96" s="211" t="str">
        <f aca="false">IF($A96="","",IFERROR(VLOOKUP($A96,PRODUCTOS!$A:$J,10,0),""))</f>
        <v/>
      </c>
      <c r="F96" s="212"/>
      <c r="G96" s="212"/>
      <c r="H9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6" s="180"/>
      <c r="K96" s="180"/>
    </row>
    <row r="97" customFormat="false" ht="13.5" hidden="false" customHeight="true" outlineLevel="0" collapsed="false">
      <c r="A97" s="76" t="str">
        <f aca="false">IFERROR(INDEX(PRODUCTOS!$A:$A,MATCH(94,PRODUCTOS!$F:$F,0)),"")</f>
        <v>C14430</v>
      </c>
      <c r="B97" s="52" t="str">
        <f aca="false">IF($A97="","",IFERROR(VLOOKUP($A97,PRODUCTOS!$A:$B,2,0),""))</f>
        <v>MERLUZA EUROPEA VOLANTA</v>
      </c>
      <c r="C97" s="82" t="str">
        <f aca="false">IF($A97="","",IFERROR(VLOOKUP($A97,PRODUCTOS!$A:$H,8,0),""))</f>
        <v/>
      </c>
      <c r="D97" s="199" t="str">
        <f aca="false">IF($A97="","",IFERROR(VLOOKUP($A97,PRODUCTOS!$A:$I,9,0),""))</f>
        <v/>
      </c>
      <c r="E97" s="211" t="str">
        <f aca="false">IF($A97="","",IFERROR(VLOOKUP($A97,PRODUCTOS!$A:$J,10,0),""))</f>
        <v/>
      </c>
      <c r="F97" s="213"/>
      <c r="G97" s="213"/>
      <c r="H9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7" s="180"/>
      <c r="K97" s="180"/>
    </row>
    <row r="98" customFormat="false" ht="13.5" hidden="false" customHeight="true" outlineLevel="0" collapsed="false">
      <c r="A98" s="88" t="str">
        <f aca="false">IFERROR(INDEX(PRODUCTOS!$A:$A,MATCH(95,PRODUCTOS!$F:$F,0)),"")</f>
        <v>C142</v>
      </c>
      <c r="B98" s="46" t="str">
        <f aca="false">IF($A98="","",IFERROR(VLOOKUP($A98,PRODUCTOS!$A:$B,2,0),""))</f>
        <v>MERLUZA EUROPEA VOLANTA ALTURA</v>
      </c>
      <c r="C98" s="82" t="n">
        <f aca="false">IF($A98="","",IFERROR(VLOOKUP($A98,PRODUCTOS!$A:$H,8,0),""))</f>
        <v>10.8</v>
      </c>
      <c r="D98" s="199" t="n">
        <f aca="false">IF($A98="","",IFERROR(VLOOKUP($A98,PRODUCTOS!$A:$I,9,0),""))</f>
        <v>12.5</v>
      </c>
      <c r="E98" s="211" t="n">
        <f aca="false">IF($A98="","",IFERROR(VLOOKUP($A98,PRODUCTOS!$A:$J,10,0),""))</f>
        <v>12.7</v>
      </c>
      <c r="F98" s="212"/>
      <c r="G98" s="212"/>
      <c r="H9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8" s="180"/>
      <c r="K98" s="180"/>
    </row>
    <row r="99" customFormat="false" ht="13.5" hidden="false" customHeight="true" outlineLevel="0" collapsed="false">
      <c r="A99" s="76" t="str">
        <f aca="false">IFERROR(INDEX(PRODUCTOS!$A:$A,MATCH(96,PRODUCTOS!$F:$F,0)),"")</f>
        <v>C1428</v>
      </c>
      <c r="B99" s="52" t="str">
        <f aca="false">IF($A99="","",IFERROR(VLOOKUP($A99,PRODUCTOS!$A:$B,2,0),""))</f>
        <v>MERLUZA EUROPEA VOLANTA ALTURA</v>
      </c>
      <c r="C99" s="82" t="str">
        <f aca="false">IF($A99="","",IFERROR(VLOOKUP($A99,PRODUCTOS!$A:$H,8,0),""))</f>
        <v/>
      </c>
      <c r="D99" s="199" t="str">
        <f aca="false">IF($A99="","",IFERROR(VLOOKUP($A99,PRODUCTOS!$A:$I,9,0),""))</f>
        <v/>
      </c>
      <c r="E99" s="211" t="str">
        <f aca="false">IF($A99="","",IFERROR(VLOOKUP($A99,PRODUCTOS!$A:$J,10,0),""))</f>
        <v/>
      </c>
      <c r="F99" s="213"/>
      <c r="G99" s="213"/>
      <c r="H9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9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99" s="180"/>
      <c r="K99" s="180"/>
    </row>
    <row r="100" customFormat="false" ht="13.5" hidden="false" customHeight="true" outlineLevel="0" collapsed="false">
      <c r="A100" s="88" t="str">
        <f aca="false">IFERROR(INDEX(PRODUCTOS!$A:$A,MATCH(97,PRODUCTOS!$F:$F,0)),"")</f>
        <v>C1421</v>
      </c>
      <c r="B100" s="46" t="str">
        <f aca="false">IF($A100="","",IFERROR(VLOOKUP($A100,PRODUCTOS!$A:$B,2,0),""))</f>
        <v>MERLUZA EUROPEA VOLANTA ALTURA</v>
      </c>
      <c r="C100" s="82" t="str">
        <f aca="false">IF($A100="","",IFERROR(VLOOKUP($A100,PRODUCTOS!$A:$H,8,0),""))</f>
        <v/>
      </c>
      <c r="D100" s="199" t="str">
        <f aca="false">IF($A100="","",IFERROR(VLOOKUP($A100,PRODUCTOS!$A:$I,9,0),""))</f>
        <v/>
      </c>
      <c r="E100" s="211" t="str">
        <f aca="false">IF($A100="","",IFERROR(VLOOKUP($A100,PRODUCTOS!$A:$J,10,0),""))</f>
        <v/>
      </c>
      <c r="F100" s="212"/>
      <c r="G100" s="212"/>
      <c r="H10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0" s="180"/>
      <c r="K100" s="180"/>
    </row>
    <row r="101" customFormat="false" ht="13.5" hidden="false" customHeight="true" outlineLevel="0" collapsed="false">
      <c r="A101" s="76" t="str">
        <f aca="false">IFERROR(INDEX(PRODUCTOS!$A:$A,MATCH(98,PRODUCTOS!$F:$F,0)),"")</f>
        <v>C1421+</v>
      </c>
      <c r="B101" s="52" t="str">
        <f aca="false">IF($A101="","",IFERROR(VLOOKUP($A101,PRODUCTOS!$A:$B,2,0),""))</f>
        <v>MERLUZA EUROPEA VOLANTA ALTURA</v>
      </c>
      <c r="C101" s="82" t="str">
        <f aca="false">IF($A101="","",IFERROR(VLOOKUP($A101,PRODUCTOS!$A:$H,8,0),""))</f>
        <v/>
      </c>
      <c r="D101" s="199" t="str">
        <f aca="false">IF($A101="","",IFERROR(VLOOKUP($A101,PRODUCTOS!$A:$I,9,0),""))</f>
        <v/>
      </c>
      <c r="E101" s="211" t="str">
        <f aca="false">IF($A101="","",IFERROR(VLOOKUP($A101,PRODUCTOS!$A:$J,10,0),""))</f>
        <v/>
      </c>
      <c r="F101" s="213"/>
      <c r="G101" s="213"/>
      <c r="H10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1" s="180"/>
      <c r="K101" s="180"/>
    </row>
    <row r="102" customFormat="false" ht="13.5" hidden="false" customHeight="true" outlineLevel="0" collapsed="false">
      <c r="A102" s="88" t="str">
        <f aca="false">IFERROR(INDEX(PRODUCTOS!$A:$A,MATCH(99,PRODUCTOS!$F:$F,0)),"")</f>
        <v>C14215</v>
      </c>
      <c r="B102" s="46" t="str">
        <f aca="false">IF($A102="","",IFERROR(VLOOKUP($A102,PRODUCTOS!$A:$B,2,0),""))</f>
        <v>MERLUZA EUROPEA VOLANTA ALTURA</v>
      </c>
      <c r="C102" s="82" t="str">
        <f aca="false">IF($A102="","",IFERROR(VLOOKUP($A102,PRODUCTOS!$A:$H,8,0),""))</f>
        <v/>
      </c>
      <c r="D102" s="199" t="str">
        <f aca="false">IF($A102="","",IFERROR(VLOOKUP($A102,PRODUCTOS!$A:$I,9,0),""))</f>
        <v/>
      </c>
      <c r="E102" s="211" t="str">
        <f aca="false">IF($A102="","",IFERROR(VLOOKUP($A102,PRODUCTOS!$A:$J,10,0),""))</f>
        <v/>
      </c>
      <c r="F102" s="212"/>
      <c r="G102" s="212"/>
      <c r="H10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2" s="180"/>
      <c r="K102" s="180"/>
    </row>
    <row r="103" customFormat="false" ht="13.5" hidden="false" customHeight="true" outlineLevel="0" collapsed="false">
      <c r="A103" s="76" t="str">
        <f aca="false">IFERROR(INDEX(PRODUCTOS!$A:$A,MATCH(100,PRODUCTOS!$F:$F,0)),"")</f>
        <v>C1422</v>
      </c>
      <c r="B103" s="52" t="str">
        <f aca="false">IF($A103="","",IFERROR(VLOOKUP($A103,PRODUCTOS!$A:$B,2,0),""))</f>
        <v>MERLUZA EUROPEA VOLANTA ALTURA</v>
      </c>
      <c r="C103" s="82" t="str">
        <f aca="false">IF($A103="","",IFERROR(VLOOKUP($A103,PRODUCTOS!$A:$H,8,0),""))</f>
        <v/>
      </c>
      <c r="D103" s="199" t="str">
        <f aca="false">IF($A103="","",IFERROR(VLOOKUP($A103,PRODUCTOS!$A:$I,9,0),""))</f>
        <v/>
      </c>
      <c r="E103" s="211" t="str">
        <f aca="false">IF($A103="","",IFERROR(VLOOKUP($A103,PRODUCTOS!$A:$J,10,0),""))</f>
        <v/>
      </c>
      <c r="F103" s="213"/>
      <c r="G103" s="213"/>
      <c r="H10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3" s="180"/>
      <c r="K103" s="180"/>
    </row>
    <row r="104" customFormat="false" ht="13.5" hidden="false" customHeight="true" outlineLevel="0" collapsed="false">
      <c r="A104" s="88" t="str">
        <f aca="false">IFERROR(INDEX(PRODUCTOS!$A:$A,MATCH(101,PRODUCTOS!$F:$F,0)),"")</f>
        <v>C14225</v>
      </c>
      <c r="B104" s="46" t="str">
        <f aca="false">IF($A104="","",IFERROR(VLOOKUP($A104,PRODUCTOS!$A:$B,2,0),""))</f>
        <v>MERLUZA EUROPEA VOLANTA ALTURA</v>
      </c>
      <c r="C104" s="82" t="str">
        <f aca="false">IF($A104="","",IFERROR(VLOOKUP($A104,PRODUCTOS!$A:$H,8,0),""))</f>
        <v/>
      </c>
      <c r="D104" s="199" t="str">
        <f aca="false">IF($A104="","",IFERROR(VLOOKUP($A104,PRODUCTOS!$A:$I,9,0),""))</f>
        <v/>
      </c>
      <c r="E104" s="211" t="str">
        <f aca="false">IF($A104="","",IFERROR(VLOOKUP($A104,PRODUCTOS!$A:$J,10,0),""))</f>
        <v/>
      </c>
      <c r="F104" s="212"/>
      <c r="G104" s="212"/>
      <c r="H10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4" s="180"/>
      <c r="K104" s="180"/>
    </row>
    <row r="105" customFormat="false" ht="13.5" hidden="false" customHeight="true" outlineLevel="0" collapsed="false">
      <c r="A105" s="76" t="str">
        <f aca="false">IFERROR(INDEX(PRODUCTOS!$A:$A,MATCH(102,PRODUCTOS!$F:$F,0)),"")</f>
        <v>C14230</v>
      </c>
      <c r="B105" s="52" t="str">
        <f aca="false">IF($A105="","",IFERROR(VLOOKUP($A105,PRODUCTOS!$A:$B,2,0),""))</f>
        <v>MERLUZA EUROPEA VOLANTA ALTURA</v>
      </c>
      <c r="C105" s="82" t="str">
        <f aca="false">IF($A105="","",IFERROR(VLOOKUP($A105,PRODUCTOS!$A:$H,8,0),""))</f>
        <v/>
      </c>
      <c r="D105" s="199" t="str">
        <f aca="false">IF($A105="","",IFERROR(VLOOKUP($A105,PRODUCTOS!$A:$I,9,0),""))</f>
        <v/>
      </c>
      <c r="E105" s="211" t="str">
        <f aca="false">IF($A105="","",IFERROR(VLOOKUP($A105,PRODUCTOS!$A:$J,10,0),""))</f>
        <v/>
      </c>
      <c r="F105" s="213"/>
      <c r="G105" s="213"/>
      <c r="H10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5" s="180"/>
      <c r="K105" s="180"/>
    </row>
    <row r="106" customFormat="false" ht="13.5" hidden="false" customHeight="true" outlineLevel="0" collapsed="false">
      <c r="A106" s="88" t="str">
        <f aca="false">IFERROR(INDEX(PRODUCTOS!$A:$A,MATCH(103,PRODUCTOS!$F:$F,0)),"")</f>
        <v>C751</v>
      </c>
      <c r="B106" s="46" t="str">
        <f aca="false">IF($A106="","",IFERROR(VLOOKUP($A106,PRODUCTOS!$A:$B,2,0),""))</f>
        <v>MERO AMERICANO/ CHERNA (WRF)</v>
      </c>
      <c r="C106" s="82" t="n">
        <f aca="false">IF($A106="","",IFERROR(VLOOKUP($A106,PRODUCTOS!$A:$H,8,0),""))</f>
        <v>25.5</v>
      </c>
      <c r="D106" s="199" t="n">
        <f aca="false">IF($A106="","",IFERROR(VLOOKUP($A106,PRODUCTOS!$A:$I,9,0),""))</f>
        <v>27.2</v>
      </c>
      <c r="E106" s="211" t="n">
        <f aca="false">IF($A106="","",IFERROR(VLOOKUP($A106,PRODUCTOS!$A:$J,10,0),""))</f>
        <v>27.4</v>
      </c>
      <c r="F106" s="212"/>
      <c r="G106" s="212"/>
      <c r="H10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6" s="180"/>
      <c r="K106" s="180"/>
    </row>
    <row r="107" customFormat="false" ht="13.5" hidden="false" customHeight="true" outlineLevel="0" collapsed="false">
      <c r="A107" s="76" t="str">
        <f aca="false">IFERROR(INDEX(PRODUCTOS!$A:$A,MATCH(104,PRODUCTOS!$F:$F,0)),"")</f>
        <v>C752</v>
      </c>
      <c r="B107" s="52" t="str">
        <f aca="false">IF($A107="","",IFERROR(VLOOKUP($A107,PRODUCTOS!$A:$B,2,0),""))</f>
        <v>MERO AMERICANO (WRF)</v>
      </c>
      <c r="C107" s="82" t="str">
        <f aca="false">IF($A107="","",IFERROR(VLOOKUP($A107,PRODUCTOS!$A:$H,8,0),""))</f>
        <v/>
      </c>
      <c r="D107" s="199" t="str">
        <f aca="false">IF($A107="","",IFERROR(VLOOKUP($A107,PRODUCTOS!$A:$I,9,0),""))</f>
        <v/>
      </c>
      <c r="E107" s="211" t="str">
        <f aca="false">IF($A107="","",IFERROR(VLOOKUP($A107,PRODUCTOS!$A:$J,10,0),""))</f>
        <v/>
      </c>
      <c r="F107" s="213"/>
      <c r="G107" s="213"/>
      <c r="H10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7" s="180"/>
      <c r="K107" s="180"/>
    </row>
    <row r="108" customFormat="false" ht="13.5" hidden="false" customHeight="true" outlineLevel="0" collapsed="false">
      <c r="A108" s="88" t="str">
        <f aca="false">IFERROR(INDEX(PRODUCTOS!$A:$A,MATCH(105,PRODUCTOS!$F:$F,0)),"")</f>
        <v>C750</v>
      </c>
      <c r="B108" s="46" t="str">
        <f aca="false">IF($A108="","",IFERROR(VLOOKUP($A108,PRODUCTOS!$A:$B,2,0),""))</f>
        <v>MERO COMUN GENERICO (GPX)</v>
      </c>
      <c r="C108" s="82" t="n">
        <f aca="false">IF($A108="","",IFERROR(VLOOKUP($A108,PRODUCTOS!$A:$H,8,0),""))</f>
        <v>24.8</v>
      </c>
      <c r="D108" s="199" t="n">
        <f aca="false">IF($A108="","",IFERROR(VLOOKUP($A108,PRODUCTOS!$A:$I,9,0),""))</f>
        <v>26.5</v>
      </c>
      <c r="E108" s="211" t="n">
        <f aca="false">IF($A108="","",IFERROR(VLOOKUP($A108,PRODUCTOS!$A:$J,10,0),""))</f>
        <v>26.7</v>
      </c>
      <c r="F108" s="212"/>
      <c r="G108" s="212"/>
      <c r="H10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8" s="180"/>
      <c r="K108" s="180"/>
    </row>
    <row r="109" customFormat="false" ht="13.5" hidden="false" customHeight="true" outlineLevel="0" collapsed="false">
      <c r="A109" s="76" t="str">
        <f aca="false">IFERROR(INDEX(PRODUCTOS!$A:$A,MATCH(106,PRODUCTOS!$F:$F,0)),"")</f>
        <v>C4081</v>
      </c>
      <c r="B109" s="52" t="str">
        <f aca="false">IF($A109="","",IFERROR(VLOOKUP($A109,PRODUCTOS!$A:$B,2,0),""))</f>
        <v>MORENA COMIN (MMH)</v>
      </c>
      <c r="C109" s="82" t="str">
        <f aca="false">IF($A109="","",IFERROR(VLOOKUP($A109,PRODUCTOS!$A:$H,8,0),""))</f>
        <v/>
      </c>
      <c r="D109" s="199" t="str">
        <f aca="false">IF($A109="","",IFERROR(VLOOKUP($A109,PRODUCTOS!$A:$I,9,0),""))</f>
        <v/>
      </c>
      <c r="E109" s="211" t="str">
        <f aca="false">IF($A109="","",IFERROR(VLOOKUP($A109,PRODUCTOS!$A:$J,10,0),""))</f>
        <v/>
      </c>
      <c r="F109" s="213"/>
      <c r="G109" s="213"/>
      <c r="H10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0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09" s="180"/>
      <c r="K109" s="180"/>
    </row>
    <row r="110" customFormat="false" ht="13.5" hidden="false" customHeight="true" outlineLevel="0" collapsed="false">
      <c r="A110" s="88" t="str">
        <f aca="false">IFERROR(INDEX(PRODUCTOS!$A:$A,MATCH(107,PRODUCTOS!$F:$F,0)),"")</f>
        <v>C675</v>
      </c>
      <c r="B110" s="46" t="str">
        <f aca="false">IF($A110="","",IFERROR(VLOOKUP($A110,PRODUCTOS!$A:$B,2,0),""))</f>
        <v>MUJEL/ MUGIL/ MUNXE/ MUXE (MUF)</v>
      </c>
      <c r="C110" s="82" t="str">
        <f aca="false">IF($A110="","",IFERROR(VLOOKUP($A110,PRODUCTOS!$A:$H,8,0),""))</f>
        <v/>
      </c>
      <c r="D110" s="199" t="str">
        <f aca="false">IF($A110="","",IFERROR(VLOOKUP($A110,PRODUCTOS!$A:$I,9,0),""))</f>
        <v/>
      </c>
      <c r="E110" s="211" t="str">
        <f aca="false">IF($A110="","",IFERROR(VLOOKUP($A110,PRODUCTOS!$A:$J,10,0),""))</f>
        <v/>
      </c>
      <c r="F110" s="212"/>
      <c r="G110" s="212"/>
      <c r="H11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0" s="180"/>
      <c r="K110" s="180"/>
    </row>
    <row r="111" customFormat="false" ht="13.5" hidden="false" customHeight="true" outlineLevel="0" collapsed="false">
      <c r="A111" s="76" t="str">
        <f aca="false">IFERROR(INDEX(PRODUCTOS!$A:$A,MATCH(108,PRODUCTOS!$F:$F,0)),"")</f>
        <v>C288</v>
      </c>
      <c r="B111" s="52" t="str">
        <f aca="false">IF($A111="","",IFERROR(VLOOKUP($A111,PRODUCTOS!$A:$B,2,0),""))</f>
        <v>PALO/ PEZ PALO/ MARUCA AZUL (BLI)</v>
      </c>
      <c r="C111" s="82" t="str">
        <f aca="false">IF($A111="","",IFERROR(VLOOKUP($A111,PRODUCTOS!$A:$H,8,0),""))</f>
        <v/>
      </c>
      <c r="D111" s="199" t="str">
        <f aca="false">IF($A111="","",IFERROR(VLOOKUP($A111,PRODUCTOS!$A:$I,9,0),""))</f>
        <v/>
      </c>
      <c r="E111" s="211" t="str">
        <f aca="false">IF($A111="","",IFERROR(VLOOKUP($A111,PRODUCTOS!$A:$J,10,0),""))</f>
        <v/>
      </c>
      <c r="F111" s="213"/>
      <c r="G111" s="213"/>
      <c r="H11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1" s="180"/>
      <c r="K111" s="180"/>
    </row>
    <row r="112" customFormat="false" ht="13.5" hidden="false" customHeight="true" outlineLevel="0" collapsed="false">
      <c r="A112" s="88" t="str">
        <f aca="false">IFERROR(INDEX(PRODUCTOS!$A:$A,MATCH(109,PRODUCTOS!$F:$F,0)),"")</f>
        <v>C560</v>
      </c>
      <c r="B112" s="46" t="str">
        <f aca="false">IF($A112="","",IFERROR(VLOOKUP($A112,PRODUCTOS!$A:$B,2,0),""))</f>
        <v>PARGO (RPG)</v>
      </c>
      <c r="C112" s="82" t="n">
        <f aca="false">IF($A112="","",IFERROR(VLOOKUP($A112,PRODUCTOS!$A:$H,8,0),""))</f>
        <v>0</v>
      </c>
      <c r="D112" s="199" t="n">
        <f aca="false">IF($A112="","",IFERROR(VLOOKUP($A112,PRODUCTOS!$A:$I,9,0),""))</f>
        <v>1.7</v>
      </c>
      <c r="E112" s="211" t="n">
        <f aca="false">IF($A112="","",IFERROR(VLOOKUP($A112,PRODUCTOS!$A:$J,10,0),""))</f>
        <v>1.9</v>
      </c>
      <c r="F112" s="212"/>
      <c r="G112" s="212"/>
      <c r="H11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2" s="180"/>
      <c r="K112" s="180"/>
    </row>
    <row r="113" customFormat="false" ht="13.5" hidden="false" customHeight="true" outlineLevel="0" collapsed="false">
      <c r="A113" s="76" t="str">
        <f aca="false">IFERROR(INDEX(PRODUCTOS!$A:$A,MATCH(110,PRODUCTOS!$F:$F,0)),"")</f>
        <v>C9860</v>
      </c>
      <c r="B113" s="52" t="str">
        <f aca="false">IF($A113="","",IFERROR(VLOOKUP($A113,PRODUCTOS!$A:$B,2,0),""))</f>
        <v>PEON/ PION (ATP)</v>
      </c>
      <c r="C113" s="82" t="n">
        <f aca="false">IF($A113="","",IFERROR(VLOOKUP($A113,PRODUCTOS!$A:$H,8,0),""))</f>
        <v>4.59</v>
      </c>
      <c r="D113" s="199" t="n">
        <f aca="false">IF($A113="","",IFERROR(VLOOKUP($A113,PRODUCTOS!$A:$I,9,0),""))</f>
        <v>6.29</v>
      </c>
      <c r="E113" s="211" t="n">
        <f aca="false">IF($A113="","",IFERROR(VLOOKUP($A113,PRODUCTOS!$A:$J,10,0),""))</f>
        <v>6.49</v>
      </c>
      <c r="F113" s="213"/>
      <c r="G113" s="213"/>
      <c r="H11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3" s="180"/>
      <c r="K113" s="180"/>
    </row>
    <row r="114" customFormat="false" ht="13.5" hidden="false" customHeight="true" outlineLevel="0" collapsed="false">
      <c r="A114" s="88" t="str">
        <f aca="false">IFERROR(INDEX(PRODUCTOS!$A:$A,MATCH(111,PRODUCTOS!$F:$F,0)),"")</f>
        <v>C9861</v>
      </c>
      <c r="B114" s="46" t="str">
        <f aca="false">IF($A114="","",IFERROR(VLOOKUP($A114,PRODUCTOS!$A:$B,2,0),""))</f>
        <v>PEON DE ALTURA (ARY)</v>
      </c>
      <c r="C114" s="82" t="str">
        <f aca="false">IF($A114="","",IFERROR(VLOOKUP($A114,PRODUCTOS!$A:$H,8,0),""))</f>
        <v/>
      </c>
      <c r="D114" s="199" t="str">
        <f aca="false">IF($A114="","",IFERROR(VLOOKUP($A114,PRODUCTOS!$A:$I,9,0),""))</f>
        <v/>
      </c>
      <c r="E114" s="211" t="str">
        <f aca="false">IF($A114="","",IFERROR(VLOOKUP($A114,PRODUCTOS!$A:$J,10,0),""))</f>
        <v/>
      </c>
      <c r="F114" s="212"/>
      <c r="G114" s="212"/>
      <c r="H11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4" s="180"/>
      <c r="K114" s="180"/>
    </row>
    <row r="115" customFormat="false" ht="13.5" hidden="false" customHeight="true" outlineLevel="0" collapsed="false">
      <c r="A115" s="76" t="str">
        <f aca="false">IFERROR(INDEX(PRODUCTOS!$A:$A,MATCH(112,PRODUCTOS!$F:$F,0)),"")</f>
        <v>C869</v>
      </c>
      <c r="B115" s="52" t="str">
        <f aca="false">IF($A115="","",IFERROR(VLOOKUP($A115,PRODUCTOS!$A:$B,2,0),""))</f>
        <v>PERCEBE (PCB)</v>
      </c>
      <c r="C115" s="82" t="str">
        <f aca="false">IF($A115="","",IFERROR(VLOOKUP($A115,PRODUCTOS!$A:$H,8,0),""))</f>
        <v/>
      </c>
      <c r="D115" s="199" t="str">
        <f aca="false">IF($A115="","",IFERROR(VLOOKUP($A115,PRODUCTOS!$A:$I,9,0),""))</f>
        <v/>
      </c>
      <c r="E115" s="211" t="str">
        <f aca="false">IF($A115="","",IFERROR(VLOOKUP($A115,PRODUCTOS!$A:$J,10,0),""))</f>
        <v/>
      </c>
      <c r="F115" s="213"/>
      <c r="G115" s="213"/>
      <c r="H11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5" s="180"/>
      <c r="K115" s="180"/>
    </row>
    <row r="116" customFormat="false" ht="13.5" hidden="false" customHeight="true" outlineLevel="0" collapsed="false">
      <c r="A116" s="88" t="str">
        <f aca="false">IFERROR(INDEX(PRODUCTOS!$A:$A,MATCH(113,PRODUCTOS!$F:$F,0)),"")</f>
        <v>C191</v>
      </c>
      <c r="B116" s="46" t="str">
        <f aca="false">IF($A116="","",IFERROR(VLOOKUP($A116,PRODUCTOS!$A:$B,2,0),""))</f>
        <v>MERLUZA EUROPEA/ FINA DIA </v>
      </c>
      <c r="C116" s="82" t="n">
        <f aca="false">IF($A116="","",IFERROR(VLOOKUP($A116,PRODUCTOS!$A:$H,8,0),""))</f>
        <v>3.39614574898785</v>
      </c>
      <c r="D116" s="199" t="n">
        <f aca="false">IF($A116="","",IFERROR(VLOOKUP($A116,PRODUCTOS!$A:$I,9,0),""))</f>
        <v>5.1</v>
      </c>
      <c r="E116" s="211" t="n">
        <f aca="false">IF($A116="","",IFERROR(VLOOKUP($A116,PRODUCTOS!$A:$J,10,0),""))</f>
        <v>5.3</v>
      </c>
      <c r="F116" s="212"/>
      <c r="G116" s="212"/>
      <c r="H11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6" s="180"/>
      <c r="K116" s="180"/>
    </row>
    <row r="117" customFormat="false" ht="13.5" hidden="false" customHeight="true" outlineLevel="0" collapsed="false">
      <c r="A117" s="76" t="str">
        <f aca="false">IFERROR(INDEX(PRODUCTOS!$A:$A,MATCH(114,PRODUCTOS!$F:$F,0)),"")</f>
        <v>C3600</v>
      </c>
      <c r="B117" s="52" t="str">
        <f aca="false">IF($A117="","",IFERROR(VLOOKUP($A117,PRODUCTOS!$A:$B,2,0),""))</f>
        <v>PEZ BALLESTA/ PEIXE RONDADOR (TRG)</v>
      </c>
      <c r="C117" s="82" t="str">
        <f aca="false">IF($A117="","",IFERROR(VLOOKUP($A117,PRODUCTOS!$A:$H,8,0),""))</f>
        <v/>
      </c>
      <c r="D117" s="199" t="str">
        <f aca="false">IF($A117="","",IFERROR(VLOOKUP($A117,PRODUCTOS!$A:$I,9,0),""))</f>
        <v/>
      </c>
      <c r="E117" s="211" t="str">
        <f aca="false">IF($A117="","",IFERROR(VLOOKUP($A117,PRODUCTOS!$A:$J,10,0),""))</f>
        <v/>
      </c>
      <c r="F117" s="213"/>
      <c r="G117" s="213"/>
      <c r="H11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7" s="180"/>
      <c r="K117" s="180"/>
    </row>
    <row r="118" customFormat="false" ht="13.5" hidden="false" customHeight="true" outlineLevel="0" collapsed="false">
      <c r="A118" s="88" t="str">
        <f aca="false">IFERROR(INDEX(PRODUCTOS!$A:$A,MATCH(115,PRODUCTOS!$F:$F,0)),"")</f>
        <v>C811</v>
      </c>
      <c r="B118" s="46" t="str">
        <f aca="false">IF($A118="","",IFERROR(VLOOKUP($A118,PRODUCTOS!$A:$B,2,0),""))</f>
        <v>PEZ ESPADA (SWO)</v>
      </c>
      <c r="C118" s="82" t="str">
        <f aca="false">IF($A118="","",IFERROR(VLOOKUP($A118,PRODUCTOS!$A:$H,8,0),""))</f>
        <v/>
      </c>
      <c r="D118" s="199" t="str">
        <f aca="false">IF($A118="","",IFERROR(VLOOKUP($A118,PRODUCTOS!$A:$I,9,0),""))</f>
        <v/>
      </c>
      <c r="E118" s="211" t="str">
        <f aca="false">IF($A118="","",IFERROR(VLOOKUP($A118,PRODUCTOS!$A:$J,10,0),""))</f>
        <v/>
      </c>
      <c r="F118" s="212"/>
      <c r="G118" s="212"/>
      <c r="H11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8" s="180"/>
      <c r="K118" s="180"/>
    </row>
    <row r="119" customFormat="false" ht="13.5" hidden="false" customHeight="true" outlineLevel="0" collapsed="false">
      <c r="A119" s="76" t="str">
        <f aca="false">IFERROR(INDEX(PRODUCTOS!$A:$A,MATCH(116,PRODUCTOS!$F:$F,0)),"")</f>
        <v>C211</v>
      </c>
      <c r="B119" s="52" t="str">
        <f aca="false">IF($A119="","",IFERROR(VLOOKUP($A119,PRODUCTOS!$A:$B,2,0),""))</f>
        <v>POTA (SQI)</v>
      </c>
      <c r="C119" s="82" t="n">
        <f aca="false">IF($A119="","",IFERROR(VLOOKUP($A119,PRODUCTOS!$A:$H,8,0),""))</f>
        <v>4.75</v>
      </c>
      <c r="D119" s="199" t="n">
        <f aca="false">IF($A119="","",IFERROR(VLOOKUP($A119,PRODUCTOS!$A:$I,9,0),""))</f>
        <v>6.45</v>
      </c>
      <c r="E119" s="211" t="n">
        <f aca="false">IF($A119="","",IFERROR(VLOOKUP($A119,PRODUCTOS!$A:$J,10,0),""))</f>
        <v>6.65</v>
      </c>
      <c r="F119" s="213"/>
      <c r="G119" s="213"/>
      <c r="H11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1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19" s="180"/>
      <c r="K119" s="180"/>
    </row>
    <row r="120" customFormat="false" ht="13.5" hidden="false" customHeight="true" outlineLevel="0" collapsed="false">
      <c r="A120" s="88" t="str">
        <f aca="false">IFERROR(INDEX(PRODUCTOS!$A:$A,MATCH(117,PRODUCTOS!$F:$F,0)),"")</f>
        <v>C212</v>
      </c>
      <c r="B120" s="46" t="str">
        <f aca="false">IF($A120="","",IFERROR(VLOOKUP($A120,PRODUCTOS!$A:$B,2,0),""))</f>
        <v>POTA VOLADORA COMUN (SQM)</v>
      </c>
      <c r="C120" s="82" t="str">
        <f aca="false">IF($A120="","",IFERROR(VLOOKUP($A120,PRODUCTOS!$A:$H,8,0),""))</f>
        <v/>
      </c>
      <c r="D120" s="199" t="str">
        <f aca="false">IF($A120="","",IFERROR(VLOOKUP($A120,PRODUCTOS!$A:$I,9,0),""))</f>
        <v/>
      </c>
      <c r="E120" s="211" t="str">
        <f aca="false">IF($A120="","",IFERROR(VLOOKUP($A120,PRODUCTOS!$A:$J,10,0),""))</f>
        <v/>
      </c>
      <c r="F120" s="212"/>
      <c r="G120" s="212"/>
      <c r="H12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0" s="180"/>
      <c r="K120" s="180"/>
    </row>
    <row r="121" customFormat="false" ht="13.5" hidden="false" customHeight="true" outlineLevel="0" collapsed="false">
      <c r="A121" s="76" t="str">
        <f aca="false">IFERROR(INDEX(PRODUCTOS!$A:$A,MATCH(118,PRODUCTOS!$F:$F,0)),"")</f>
        <v>C892</v>
      </c>
      <c r="B121" s="52" t="str">
        <f aca="false">IF($A121="","",IFERROR(VLOOKUP($A121,PRODUCTOS!$A:$B,2,0),""))</f>
        <v>PULPO (OCC)</v>
      </c>
      <c r="C121" s="82" t="str">
        <f aca="false">IF($A121="","",IFERROR(VLOOKUP($A121,PRODUCTOS!$A:$H,8,0),""))</f>
        <v/>
      </c>
      <c r="D121" s="199" t="str">
        <f aca="false">IF($A121="","",IFERROR(VLOOKUP($A121,PRODUCTOS!$A:$I,9,0),""))</f>
        <v/>
      </c>
      <c r="E121" s="211" t="str">
        <f aca="false">IF($A121="","",IFERROR(VLOOKUP($A121,PRODUCTOS!$A:$J,10,0),""))</f>
        <v/>
      </c>
      <c r="F121" s="213"/>
      <c r="G121" s="213"/>
      <c r="H12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1" s="180"/>
      <c r="K121" s="180"/>
    </row>
    <row r="122" customFormat="false" ht="13.5" hidden="false" customHeight="true" outlineLevel="0" collapsed="false">
      <c r="A122" s="88" t="str">
        <f aca="false">IFERROR(INDEX(PRODUCTOS!$A:$A,MATCH(119,PRODUCTOS!$F:$F,0)),"")</f>
        <v>C5250</v>
      </c>
      <c r="B122" s="46" t="str">
        <f aca="false">IF($A122="","",IFERROR(VLOOKUP($A122,PRODUCTOS!$A:$B,2,0),""))</f>
        <v>RAPE BLANCO DIA (MON)</v>
      </c>
      <c r="C122" s="82" t="n">
        <f aca="false">IF($A122="","",IFERROR(VLOOKUP($A122,PRODUCTOS!$A:$H,8,0),""))</f>
        <v>3.57</v>
      </c>
      <c r="D122" s="199" t="n">
        <f aca="false">IF($A122="","",IFERROR(VLOOKUP($A122,PRODUCTOS!$A:$I,9,0),""))</f>
        <v>5.27</v>
      </c>
      <c r="E122" s="211" t="n">
        <f aca="false">IF($A122="","",IFERROR(VLOOKUP($A122,PRODUCTOS!$A:$J,10,0),""))</f>
        <v>5.47</v>
      </c>
      <c r="F122" s="212"/>
      <c r="G122" s="212"/>
      <c r="H12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2" s="180"/>
      <c r="K122" s="180"/>
    </row>
    <row r="123" customFormat="false" ht="13.5" hidden="false" customHeight="true" outlineLevel="0" collapsed="false">
      <c r="A123" s="76" t="str">
        <f aca="false">IFERROR(INDEX(PRODUCTOS!$A:$A,MATCH(120,PRODUCTOS!$F:$F,0)),"")</f>
        <v>C516</v>
      </c>
      <c r="B123" s="52" t="str">
        <f aca="false">IF($A123="","",IFERROR(VLOOKUP($A123,PRODUCTOS!$A:$B,2,0),""))</f>
        <v>HUESOS DE RAPE (MON)</v>
      </c>
      <c r="C123" s="82" t="n">
        <f aca="false">IF($A123="","",IFERROR(VLOOKUP($A123,PRODUCTOS!$A:$H,8,0),""))</f>
        <v>3.80769230769231</v>
      </c>
      <c r="D123" s="199" t="n">
        <f aca="false">IF($A123="","",IFERROR(VLOOKUP($A123,PRODUCTOS!$A:$I,9,0),""))</f>
        <v>5.51</v>
      </c>
      <c r="E123" s="211" t="n">
        <f aca="false">IF($A123="","",IFERROR(VLOOKUP($A123,PRODUCTOS!$A:$J,10,0),""))</f>
        <v>5.71</v>
      </c>
      <c r="F123" s="213"/>
      <c r="G123" s="213"/>
      <c r="H12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3" s="180"/>
      <c r="K123" s="180"/>
    </row>
    <row r="124" customFormat="false" ht="13.5" hidden="false" customHeight="true" outlineLevel="0" collapsed="false">
      <c r="A124" s="88" t="str">
        <f aca="false">IFERROR(INDEX(PRODUCTOS!$A:$A,MATCH(121,PRODUCTOS!$F:$F,0)),"")</f>
        <v>C5262</v>
      </c>
      <c r="B124" s="46" t="str">
        <f aca="false">IF($A124="","",IFERROR(VLOOKUP($A124,PRODUCTOS!$A:$B,2,0),""))</f>
        <v>RAPE BLANCO RASCO (MON)</v>
      </c>
      <c r="C124" s="82" t="n">
        <f aca="false">IF($A124="","",IFERROR(VLOOKUP($A124,PRODUCTOS!$A:$H,8,0),""))</f>
        <v>7.43473120728929</v>
      </c>
      <c r="D124" s="199" t="n">
        <f aca="false">IF($A124="","",IFERROR(VLOOKUP($A124,PRODUCTOS!$A:$I,9,0),""))</f>
        <v>9.13</v>
      </c>
      <c r="E124" s="211" t="n">
        <f aca="false">IF($A124="","",IFERROR(VLOOKUP($A124,PRODUCTOS!$A:$J,10,0),""))</f>
        <v>9.33</v>
      </c>
      <c r="F124" s="212"/>
      <c r="G124" s="212"/>
      <c r="H12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4" s="180"/>
      <c r="K124" s="180"/>
    </row>
    <row r="125" customFormat="false" ht="13.5" hidden="false" customHeight="true" outlineLevel="0" collapsed="false">
      <c r="A125" s="76" t="str">
        <f aca="false">IFERROR(INDEX(PRODUCTOS!$A:$A,MATCH(122,PRODUCTOS!$F:$F,0)),"")</f>
        <v>C5260</v>
      </c>
      <c r="B125" s="52" t="str">
        <f aca="false">IF($A125="","",IFERROR(VLOOKUP($A125,PRODUCTOS!$A:$B,2,0),""))</f>
        <v>RAPE BLANCO ARRASTRE (MON)</v>
      </c>
      <c r="C125" s="82" t="n">
        <f aca="false">IF($A125="","",IFERROR(VLOOKUP($A125,PRODUCTOS!$A:$H,8,0),""))</f>
        <v>4.386</v>
      </c>
      <c r="D125" s="199" t="n">
        <f aca="false">IF($A125="","",IFERROR(VLOOKUP($A125,PRODUCTOS!$A:$I,9,0),""))</f>
        <v>6.09</v>
      </c>
      <c r="E125" s="211" t="n">
        <f aca="false">IF($A125="","",IFERROR(VLOOKUP($A125,PRODUCTOS!$A:$J,10,0),""))</f>
        <v>6.29</v>
      </c>
      <c r="F125" s="213"/>
      <c r="G125" s="213"/>
      <c r="H12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5" s="180"/>
      <c r="K125" s="180"/>
    </row>
    <row r="126" customFormat="false" ht="13.5" hidden="false" customHeight="true" outlineLevel="0" collapsed="false">
      <c r="A126" s="88" t="str">
        <f aca="false">IFERROR(INDEX(PRODUCTOS!$A:$A,MATCH(123,PRODUCTOS!$F:$F,0)),"")</f>
        <v>C5240</v>
      </c>
      <c r="B126" s="46" t="str">
        <f aca="false">IF($A126="","",IFERROR(VLOOKUP($A126,PRODUCTOS!$A:$B,2,0),""))</f>
        <v>RAPE NEGRO (ANK)</v>
      </c>
      <c r="C126" s="82" t="n">
        <f aca="false">IF($A126="","",IFERROR(VLOOKUP($A126,PRODUCTOS!$A:$H,8,0),""))</f>
        <v>4.64705479452055</v>
      </c>
      <c r="D126" s="199" t="n">
        <f aca="false">IF($A126="","",IFERROR(VLOOKUP($A126,PRODUCTOS!$A:$I,9,0),""))</f>
        <v>6.35</v>
      </c>
      <c r="E126" s="211" t="n">
        <f aca="false">IF($A126="","",IFERROR(VLOOKUP($A126,PRODUCTOS!$A:$J,10,0),""))</f>
        <v>6.55</v>
      </c>
      <c r="F126" s="212"/>
      <c r="G126" s="212"/>
      <c r="H12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6" s="180"/>
      <c r="K126" s="180"/>
    </row>
    <row r="127" customFormat="false" ht="13.5" hidden="false" customHeight="true" outlineLevel="0" collapsed="false">
      <c r="A127" s="76" t="str">
        <f aca="false">IFERROR(INDEX(PRODUCTOS!$A:$A,MATCH(124,PRODUCTOS!$F:$F,0)),"")</f>
        <v>C3061</v>
      </c>
      <c r="B127" s="52" t="str">
        <f aca="false">IF($A127="","",IFERROR(VLOOKUP($A127,PRODUCTOS!$A:$B,2,0),""))</f>
        <v>RAYA ROCAROSA (RJH)</v>
      </c>
      <c r="C127" s="82" t="str">
        <f aca="false">IF($A127="","",IFERROR(VLOOKUP($A127,PRODUCTOS!$A:$H,8,0),""))</f>
        <v/>
      </c>
      <c r="D127" s="199" t="str">
        <f aca="false">IF($A127="","",IFERROR(VLOOKUP($A127,PRODUCTOS!$A:$I,9,0),""))</f>
        <v/>
      </c>
      <c r="E127" s="211" t="str">
        <f aca="false">IF($A127="","",IFERROR(VLOOKUP($A127,PRODUCTOS!$A:$J,10,0),""))</f>
        <v/>
      </c>
      <c r="F127" s="213"/>
      <c r="G127" s="213"/>
      <c r="H12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7" s="180"/>
      <c r="K127" s="180"/>
    </row>
    <row r="128" customFormat="false" ht="13.5" hidden="false" customHeight="true" outlineLevel="0" collapsed="false">
      <c r="A128" s="88" t="str">
        <f aca="false">IFERROR(INDEX(PRODUCTOS!$A:$A,MATCH(125,PRODUCTOS!$F:$F,0)),"")</f>
        <v>C3062</v>
      </c>
      <c r="B128" s="46" t="str">
        <f aca="false">IF($A128="","",IFERROR(VLOOKUP($A128,PRODUCTOS!$A:$B,2,0),""))</f>
        <v>RAYA COLORADA (RJE)</v>
      </c>
      <c r="C128" s="82" t="str">
        <f aca="false">IF($A128="","",IFERROR(VLOOKUP($A128,PRODUCTOS!$A:$H,8,0),""))</f>
        <v/>
      </c>
      <c r="D128" s="199" t="str">
        <f aca="false">IF($A128="","",IFERROR(VLOOKUP($A128,PRODUCTOS!$A:$I,9,0),""))</f>
        <v/>
      </c>
      <c r="E128" s="211" t="str">
        <f aca="false">IF($A128="","",IFERROR(VLOOKUP($A128,PRODUCTOS!$A:$J,10,0),""))</f>
        <v/>
      </c>
      <c r="F128" s="212"/>
      <c r="G128" s="212"/>
      <c r="H12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8" s="180"/>
      <c r="K128" s="180"/>
    </row>
    <row r="129" customFormat="false" ht="13.5" hidden="false" customHeight="true" outlineLevel="0" collapsed="false">
      <c r="A129" s="76" t="str">
        <f aca="false">IFERROR(INDEX(PRODUCTOS!$A:$A,MATCH(126,PRODUCTOS!$F:$F,0)),"")</f>
        <v>C3060</v>
      </c>
      <c r="B129" s="52" t="str">
        <f aca="false">IF($A129="","",IFERROR(VLOOKUP($A129,PRODUCTOS!$A:$B,2,0),""))</f>
        <v>RAYA COMUN (ALAS)</v>
      </c>
      <c r="C129" s="82" t="n">
        <f aca="false">IF($A129="","",IFERROR(VLOOKUP($A129,PRODUCTOS!$A:$H,8,0),""))</f>
        <v>9.3</v>
      </c>
      <c r="D129" s="199" t="n">
        <f aca="false">IF($A129="","",IFERROR(VLOOKUP($A129,PRODUCTOS!$A:$I,9,0),""))</f>
        <v>11</v>
      </c>
      <c r="E129" s="211" t="n">
        <f aca="false">IF($A129="","",IFERROR(VLOOKUP($A129,PRODUCTOS!$A:$J,10,0),""))</f>
        <v>11.2</v>
      </c>
      <c r="F129" s="213"/>
      <c r="G129" s="213"/>
      <c r="H12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2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29" s="180"/>
      <c r="K129" s="180"/>
    </row>
    <row r="130" customFormat="false" ht="13.5" hidden="false" customHeight="true" outlineLevel="0" collapsed="false">
      <c r="A130" s="88" t="str">
        <f aca="false">IFERROR(INDEX(PRODUCTOS!$A:$A,MATCH(127,PRODUCTOS!$F:$F,0)),"")</f>
        <v>C306</v>
      </c>
      <c r="B130" s="46" t="str">
        <f aca="false">IF($A130="","",IFERROR(VLOOKUP($A130,PRODUCTOS!$A:$B,2,0),""))</f>
        <v>RAYA SPP (SKA)</v>
      </c>
      <c r="C130" s="82" t="n">
        <f aca="false">IF($A130="","",IFERROR(VLOOKUP($A130,PRODUCTOS!$A:$H,8,0),""))</f>
        <v>2.346</v>
      </c>
      <c r="D130" s="199" t="n">
        <f aca="false">IF($A130="","",IFERROR(VLOOKUP($A130,PRODUCTOS!$A:$I,9,0),""))</f>
        <v>4.05</v>
      </c>
      <c r="E130" s="211" t="n">
        <f aca="false">IF($A130="","",IFERROR(VLOOKUP($A130,PRODUCTOS!$A:$J,10,0),""))</f>
        <v>4.25</v>
      </c>
      <c r="F130" s="212"/>
      <c r="G130" s="212"/>
      <c r="H13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0" s="180"/>
      <c r="K130" s="180"/>
    </row>
    <row r="131" customFormat="false" ht="13.5" hidden="false" customHeight="true" outlineLevel="0" collapsed="false">
      <c r="A131" s="76" t="str">
        <f aca="false">IFERROR(INDEX(PRODUCTOS!$A:$A,MATCH(128,PRODUCTOS!$F:$F,0)),"")</f>
        <v>C630</v>
      </c>
      <c r="B131" s="52" t="str">
        <f aca="false">IF($A131="","",IFERROR(VLOOKUP($A131,PRODUCTOS!$A:$B,2,0),""))</f>
        <v>RODABALLO (TUR)</v>
      </c>
      <c r="C131" s="82" t="n">
        <f aca="false">IF($A131="","",IFERROR(VLOOKUP($A131,PRODUCTOS!$A:$H,8,0),""))</f>
        <v>26.9</v>
      </c>
      <c r="D131" s="199" t="n">
        <f aca="false">IF($A131="","",IFERROR(VLOOKUP($A131,PRODUCTOS!$A:$I,9,0),""))</f>
        <v>28.6</v>
      </c>
      <c r="E131" s="211" t="n">
        <f aca="false">IF($A131="","",IFERROR(VLOOKUP($A131,PRODUCTOS!$A:$J,10,0),""))</f>
        <v>28.8</v>
      </c>
      <c r="F131" s="213"/>
      <c r="G131" s="213"/>
      <c r="H13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1" s="180"/>
      <c r="K131" s="180"/>
    </row>
    <row r="132" customFormat="false" ht="13.5" hidden="false" customHeight="true" outlineLevel="0" collapsed="false">
      <c r="A132" s="88" t="str">
        <f aca="false">IFERROR(INDEX(PRODUCTOS!$A:$A,MATCH(129,PRODUCTOS!$F:$F,0)),"")</f>
        <v>C7599</v>
      </c>
      <c r="B132" s="46" t="str">
        <f aca="false">IF($A132="","",IFERROR(VLOOKUP($A132,PRODUCTOS!$A:$B,2,0),""))</f>
        <v>SABLE BLANCO (SFS)</v>
      </c>
      <c r="C132" s="82" t="n">
        <f aca="false">IF($A132="","",IFERROR(VLOOKUP($A132,PRODUCTOS!$A:$H,8,0),""))</f>
        <v>1.02</v>
      </c>
      <c r="D132" s="199" t="n">
        <f aca="false">IF($A132="","",IFERROR(VLOOKUP($A132,PRODUCTOS!$A:$I,9,0),""))</f>
        <v>2.72</v>
      </c>
      <c r="E132" s="211" t="n">
        <f aca="false">IF($A132="","",IFERROR(VLOOKUP($A132,PRODUCTOS!$A:$J,10,0),""))</f>
        <v>2.92</v>
      </c>
      <c r="F132" s="212"/>
      <c r="G132" s="212"/>
      <c r="H13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2" s="180"/>
      <c r="K132" s="180"/>
    </row>
    <row r="133" customFormat="false" ht="13.5" hidden="false" customHeight="true" outlineLevel="0" collapsed="false">
      <c r="A133" s="76" t="str">
        <f aca="false">IFERROR(INDEX(PRODUCTOS!$A:$A,MATCH(130,PRODUCTOS!$F:$F,0)),"")</f>
        <v>C770</v>
      </c>
      <c r="B133" s="52" t="str">
        <f aca="false">IF($A133="","",IFERROR(VLOOKUP($A133,PRODUCTOS!$A:$B,2,0),""))</f>
        <v>SABOGA/ SALEMA/ SALMA (SLM)</v>
      </c>
      <c r="C133" s="82" t="n">
        <f aca="false">IF($A133="","",IFERROR(VLOOKUP($A133,PRODUCTOS!$A:$H,8,0),""))</f>
        <v>0.816</v>
      </c>
      <c r="D133" s="199" t="n">
        <f aca="false">IF($A133="","",IFERROR(VLOOKUP($A133,PRODUCTOS!$A:$I,9,0),""))</f>
        <v>2.52</v>
      </c>
      <c r="E133" s="211" t="n">
        <f aca="false">IF($A133="","",IFERROR(VLOOKUP($A133,PRODUCTOS!$A:$J,10,0),""))</f>
        <v>2.72</v>
      </c>
      <c r="F133" s="213"/>
      <c r="G133" s="213"/>
      <c r="H13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3" s="180"/>
      <c r="K133" s="180"/>
    </row>
    <row r="134" customFormat="false" ht="13.5" hidden="false" customHeight="true" outlineLevel="0" collapsed="false">
      <c r="A134" s="88" t="str">
        <f aca="false">IFERROR(INDEX(PRODUCTOS!$A:$A,MATCH(131,PRODUCTOS!$F:$F,0)),"")</f>
        <v>C900</v>
      </c>
      <c r="B134" s="46" t="str">
        <f aca="false">IF($A134="","",IFERROR(VLOOKUP($A134,PRODUCTOS!$A:$B,2,0),""))</f>
        <v>SALMON (SAL)</v>
      </c>
      <c r="C134" s="82" t="str">
        <f aca="false">IF($A134="","",IFERROR(VLOOKUP($A134,PRODUCTOS!$A:$H,8,0),""))</f>
        <v/>
      </c>
      <c r="D134" s="199" t="str">
        <f aca="false">IF($A134="","",IFERROR(VLOOKUP($A134,PRODUCTOS!$A:$I,9,0),""))</f>
        <v/>
      </c>
      <c r="E134" s="211" t="str">
        <f aca="false">IF($A134="","",IFERROR(VLOOKUP($A134,PRODUCTOS!$A:$J,10,0),""))</f>
        <v/>
      </c>
      <c r="F134" s="212"/>
      <c r="G134" s="212"/>
      <c r="H13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4" s="180"/>
      <c r="K134" s="180"/>
    </row>
    <row r="135" customFormat="false" ht="13.5" hidden="false" customHeight="true" outlineLevel="0" collapsed="false">
      <c r="A135" s="76" t="str">
        <f aca="false">IFERROR(INDEX(PRODUCTOS!$A:$A,MATCH(132,PRODUCTOS!$F:$F,0)),"")</f>
        <v>C340</v>
      </c>
      <c r="B135" s="52" t="str">
        <f aca="false">IF($A135="","",IFERROR(VLOOKUP($A135,PRODUCTOS!$A:$B,2,0),""))</f>
        <v>SALMONETE</v>
      </c>
      <c r="C135" s="82" t="n">
        <f aca="false">IF($A135="","",IFERROR(VLOOKUP($A135,PRODUCTOS!$A:$H,8,0),""))</f>
        <v>12.0797142857143</v>
      </c>
      <c r="D135" s="199" t="n">
        <f aca="false">IF($A135="","",IFERROR(VLOOKUP($A135,PRODUCTOS!$A:$I,9,0),""))</f>
        <v>13.78</v>
      </c>
      <c r="E135" s="211" t="n">
        <f aca="false">IF($A135="","",IFERROR(VLOOKUP($A135,PRODUCTOS!$A:$J,10,0),""))</f>
        <v>13.98</v>
      </c>
      <c r="F135" s="213"/>
      <c r="G135" s="213"/>
      <c r="H13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5" s="180"/>
      <c r="K135" s="180"/>
    </row>
    <row r="136" customFormat="false" ht="13.5" hidden="false" customHeight="true" outlineLevel="0" collapsed="false">
      <c r="A136" s="88" t="str">
        <f aca="false">IFERROR(INDEX(PRODUCTOS!$A:$A,MATCH(133,PRODUCTOS!$F:$F,0)),"")</f>
        <v>C341</v>
      </c>
      <c r="B136" s="46" t="str">
        <f aca="false">IF($A136="","",IFERROR(VLOOKUP($A136,PRODUCTOS!$A:$B,2,0),""))</f>
        <v>SALMONETE ROCA (MUR)</v>
      </c>
      <c r="C136" s="82" t="n">
        <f aca="false">IF($A136="","",IFERROR(VLOOKUP($A136,PRODUCTOS!$A:$H,8,0),""))</f>
        <v>14.28</v>
      </c>
      <c r="D136" s="199" t="n">
        <f aca="false">IF($A136="","",IFERROR(VLOOKUP($A136,PRODUCTOS!$A:$I,9,0),""))</f>
        <v>15.98</v>
      </c>
      <c r="E136" s="211" t="n">
        <f aca="false">IF($A136="","",IFERROR(VLOOKUP($A136,PRODUCTOS!$A:$J,10,0),""))</f>
        <v>16.18</v>
      </c>
      <c r="F136" s="212"/>
      <c r="G136" s="212"/>
      <c r="H13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6" s="180"/>
      <c r="K136" s="180"/>
    </row>
    <row r="137" customFormat="false" ht="13.5" hidden="false" customHeight="true" outlineLevel="0" collapsed="false">
      <c r="A137" s="76" t="str">
        <f aca="false">IFERROR(INDEX(PRODUCTOS!$A:$A,MATCH(134,PRODUCTOS!$F:$F,0)),"")</f>
        <v>C8560</v>
      </c>
      <c r="B137" s="52" t="str">
        <f aca="false">IF($A137="","",IFERROR(VLOOKUP($A137,PRODUCTOS!$A:$B,2,0),""))</f>
        <v>SAN MARTIÑOS/ SAN PEDROS (JOD)</v>
      </c>
      <c r="C137" s="82" t="n">
        <f aca="false">IF($A137="","",IFERROR(VLOOKUP($A137,PRODUCTOS!$A:$H,8,0),""))</f>
        <v>16.5614379084967</v>
      </c>
      <c r="D137" s="199" t="n">
        <f aca="false">IF($A137="","",IFERROR(VLOOKUP($A137,PRODUCTOS!$A:$I,9,0),""))</f>
        <v>18.26</v>
      </c>
      <c r="E137" s="211" t="n">
        <f aca="false">IF($A137="","",IFERROR(VLOOKUP($A137,PRODUCTOS!$A:$J,10,0),""))</f>
        <v>18.46</v>
      </c>
      <c r="F137" s="213"/>
      <c r="G137" s="213"/>
      <c r="H13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7" s="180"/>
      <c r="K137" s="180"/>
    </row>
    <row r="138" customFormat="false" ht="13.5" hidden="false" customHeight="true" outlineLevel="0" collapsed="false">
      <c r="A138" s="88" t="str">
        <f aca="false">IFERROR(INDEX(PRODUCTOS!$A:$A,MATCH(135,PRODUCTOS!$F:$F,0)),"")</f>
        <v>C391</v>
      </c>
      <c r="B138" s="46" t="str">
        <f aca="false">IF($A138="","",IFERROR(VLOOKUP($A138,PRODUCTOS!$A:$B,2,0),""))</f>
        <v>FILETE DE SARDINA (PIL)</v>
      </c>
      <c r="C138" s="82" t="str">
        <f aca="false">IF($A138="","",IFERROR(VLOOKUP($A138,PRODUCTOS!$A:$H,8,0),""))</f>
        <v/>
      </c>
      <c r="D138" s="199" t="str">
        <f aca="false">IF($A138="","",IFERROR(VLOOKUP($A138,PRODUCTOS!$A:$I,9,0),""))</f>
        <v/>
      </c>
      <c r="E138" s="211" t="str">
        <f aca="false">IF($A138="","",IFERROR(VLOOKUP($A138,PRODUCTOS!$A:$J,10,0),""))</f>
        <v/>
      </c>
      <c r="F138" s="212"/>
      <c r="G138" s="212"/>
      <c r="H13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8" s="180"/>
      <c r="K138" s="180"/>
    </row>
    <row r="139" customFormat="false" ht="13.5" hidden="false" customHeight="true" outlineLevel="0" collapsed="false">
      <c r="A139" s="76" t="str">
        <f aca="false">IFERROR(INDEX(PRODUCTOS!$A:$A,MATCH(136,PRODUCTOS!$F:$F,0)),"")</f>
        <v>C390</v>
      </c>
      <c r="B139" s="52" t="str">
        <f aca="false">IF($A139="","",IFERROR(VLOOKUP($A139,PRODUCTOS!$A:$B,2,0),""))</f>
        <v>SARDINA    (PIL)</v>
      </c>
      <c r="C139" s="82" t="n">
        <f aca="false">IF($A139="","",IFERROR(VLOOKUP($A139,PRODUCTOS!$A:$H,8,0),""))</f>
        <v>2.95</v>
      </c>
      <c r="D139" s="199" t="n">
        <f aca="false">IF($A139="","",IFERROR(VLOOKUP($A139,PRODUCTOS!$A:$I,9,0),""))</f>
        <v>4.65</v>
      </c>
      <c r="E139" s="211" t="n">
        <f aca="false">IF($A139="","",IFERROR(VLOOKUP($A139,PRODUCTOS!$A:$J,10,0),""))</f>
        <v>4.85</v>
      </c>
      <c r="F139" s="213"/>
      <c r="G139" s="213"/>
      <c r="H13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3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39" s="180"/>
      <c r="K139" s="180"/>
    </row>
    <row r="140" customFormat="false" ht="13.5" hidden="false" customHeight="true" outlineLevel="0" collapsed="false">
      <c r="A140" s="88" t="str">
        <f aca="false">IFERROR(INDEX(PRODUCTOS!$A:$A,MATCH(137,PRODUCTOS!$F:$F,0)),"")</f>
        <v>C430</v>
      </c>
      <c r="B140" s="46" t="str">
        <f aca="false">IF($A140="","",IFERROR(VLOOKUP($A140,PRODUCTOS!$A:$B,2,0),""))</f>
        <v>SARGO RIA (SWA)</v>
      </c>
      <c r="C140" s="82" t="n">
        <f aca="false">IF($A140="","",IFERROR(VLOOKUP($A140,PRODUCTOS!$A:$H,8,0),""))</f>
        <v>7.5</v>
      </c>
      <c r="D140" s="199" t="n">
        <f aca="false">IF($A140="","",IFERROR(VLOOKUP($A140,PRODUCTOS!$A:$I,9,0),""))</f>
        <v>9.2</v>
      </c>
      <c r="E140" s="211" t="n">
        <f aca="false">IF($A140="","",IFERROR(VLOOKUP($A140,PRODUCTOS!$A:$J,10,0),""))</f>
        <v>9.4</v>
      </c>
      <c r="F140" s="212"/>
      <c r="G140" s="212"/>
      <c r="H14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0" s="180"/>
      <c r="K140" s="180"/>
    </row>
    <row r="141" customFormat="false" ht="13.5" hidden="false" customHeight="true" outlineLevel="0" collapsed="false">
      <c r="A141" s="76" t="str">
        <f aca="false">IFERROR(INDEX(PRODUCTOS!$A:$A,MATCH(138,PRODUCTOS!$F:$F,0)),"")</f>
        <v>C431</v>
      </c>
      <c r="B141" s="52" t="str">
        <f aca="false">IF($A141="","",IFERROR(VLOOKUP($A141,PRODUCTOS!$A:$B,2,0),""))</f>
        <v>SARGO ESCAMUDO (CTB)</v>
      </c>
      <c r="C141" s="82" t="n">
        <f aca="false">IF($A141="","",IFERROR(VLOOKUP($A141,PRODUCTOS!$A:$H,8,0),""))</f>
        <v>6.12</v>
      </c>
      <c r="D141" s="199" t="n">
        <f aca="false">IF($A141="","",IFERROR(VLOOKUP($A141,PRODUCTOS!$A:$I,9,0),""))</f>
        <v>7.82</v>
      </c>
      <c r="E141" s="211" t="n">
        <f aca="false">IF($A141="","",IFERROR(VLOOKUP($A141,PRODUCTOS!$A:$J,10,0),""))</f>
        <v>8.02</v>
      </c>
      <c r="F141" s="213"/>
      <c r="G141" s="213"/>
      <c r="H14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1" s="180"/>
      <c r="K141" s="180"/>
    </row>
    <row r="142" customFormat="false" ht="13.5" hidden="false" customHeight="true" outlineLevel="0" collapsed="false">
      <c r="A142" s="88" t="str">
        <f aca="false">IFERROR(INDEX(PRODUCTOS!$A:$A,MATCH(139,PRODUCTOS!$F:$F,0)),"")</f>
        <v>C704</v>
      </c>
      <c r="B142" s="46" t="str">
        <f aca="false">IF($A142="","",IFERROR(VLOOKUP($A142,PRODUCTOS!$A:$B,2,0),""))</f>
        <v>SEPA/ CHOCO/ JIBIA (CTC)</v>
      </c>
      <c r="C142" s="82" t="n">
        <f aca="false">IF($A142="","",IFERROR(VLOOKUP($A142,PRODUCTOS!$A:$H,8,0),""))</f>
        <v>10.2</v>
      </c>
      <c r="D142" s="199" t="n">
        <f aca="false">IF($A142="","",IFERROR(VLOOKUP($A142,PRODUCTOS!$A:$I,9,0),""))</f>
        <v>11.9</v>
      </c>
      <c r="E142" s="211" t="n">
        <f aca="false">IF($A142="","",IFERROR(VLOOKUP($A142,PRODUCTOS!$A:$J,10,0),""))</f>
        <v>12.1</v>
      </c>
      <c r="F142" s="212"/>
      <c r="G142" s="212"/>
      <c r="H14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2" s="180"/>
      <c r="K142" s="180"/>
    </row>
    <row r="143" customFormat="false" ht="13.5" hidden="false" customHeight="true" outlineLevel="0" collapsed="false">
      <c r="A143" s="76" t="str">
        <f aca="false">IFERROR(INDEX(PRODUCTOS!$A:$A,MATCH(140,PRODUCTOS!$F:$F,0)),"")</f>
        <v>C999</v>
      </c>
      <c r="B143" s="52" t="str">
        <f aca="false">IF($A143="","",IFERROR(VLOOKUP($A143,PRODUCTOS!$A:$B,2,0),""))</f>
        <v>VARIADO PEQUEÑO</v>
      </c>
      <c r="C143" s="82" t="n">
        <f aca="false">IF($A143="","",IFERROR(VLOOKUP($A143,PRODUCTOS!$A:$H,8,0),""))</f>
        <v>0.7082096069869</v>
      </c>
      <c r="D143" s="199" t="n">
        <f aca="false">IF($A143="","",IFERROR(VLOOKUP($A143,PRODUCTOS!$A:$I,9,0),""))</f>
        <v>2.41</v>
      </c>
      <c r="E143" s="211" t="n">
        <f aca="false">IF($A143="","",IFERROR(VLOOKUP($A143,PRODUCTOS!$A:$J,10,0),""))</f>
        <v>2.61</v>
      </c>
      <c r="F143" s="213"/>
      <c r="G143" s="213"/>
      <c r="H14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3" s="180"/>
      <c r="K143" s="180"/>
    </row>
    <row r="144" customFormat="false" ht="13.5" hidden="false" customHeight="true" outlineLevel="0" collapsed="false">
      <c r="A144" s="88" t="str">
        <f aca="false">IFERROR(INDEX(PRODUCTOS!$A:$A,MATCH(141,PRODUCTOS!$F:$F,0)),"")</f>
        <v>C2560</v>
      </c>
      <c r="B144" s="46" t="str">
        <f aca="false">IF($A144="","",IFERROR(VLOOKUP($A144,PRODUCTOS!$A:$B,2,0),""))</f>
        <v>VIEJA COLORADA (PRR)</v>
      </c>
      <c r="C144" s="82" t="n">
        <f aca="false">IF($A144="","",IFERROR(VLOOKUP($A144,PRODUCTOS!$A:$H,8,0),""))</f>
        <v>10.6528268551237</v>
      </c>
      <c r="D144" s="199" t="n">
        <f aca="false">IF($A144="","",IFERROR(VLOOKUP($A144,PRODUCTOS!$A:$I,9,0),""))</f>
        <v>12.35</v>
      </c>
      <c r="E144" s="211" t="n">
        <f aca="false">IF($A144="","",IFERROR(VLOOKUP($A144,PRODUCTOS!$A:$J,10,0),""))</f>
        <v>12.55</v>
      </c>
      <c r="F144" s="212"/>
      <c r="G144" s="212"/>
      <c r="H14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4" s="180"/>
      <c r="K144" s="180"/>
    </row>
    <row r="145" customFormat="false" ht="13.5" hidden="false" customHeight="true" outlineLevel="0" collapsed="false">
      <c r="A145" s="76" t="str">
        <f aca="false">IFERROR(INDEX(PRODUCTOS!$A:$A,MATCH(142,PRODUCTOS!$F:$F,0)),"")</f>
        <v>C3111</v>
      </c>
      <c r="B145" s="52" t="str">
        <f aca="false">IF($A145="","",IFERROR(VLOOKUP($A145,PRODUCTOS!$A:$B,2,0),""))</f>
        <v>VIRREY/ PALOMETA ROJA</v>
      </c>
      <c r="C145" s="82" t="n">
        <f aca="false">IF($A145="","",IFERROR(VLOOKUP($A145,PRODUCTOS!$A:$H,8,0),""))</f>
        <v>57</v>
      </c>
      <c r="D145" s="199" t="n">
        <f aca="false">IF($A145="","",IFERROR(VLOOKUP($A145,PRODUCTOS!$A:$I,9,0),""))</f>
        <v>58.7</v>
      </c>
      <c r="E145" s="211" t="n">
        <f aca="false">IF($A145="","",IFERROR(VLOOKUP($A145,PRODUCTOS!$A:$J,10,0),""))</f>
        <v>58.9</v>
      </c>
      <c r="F145" s="213"/>
      <c r="G145" s="213"/>
      <c r="H14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5" s="180"/>
      <c r="K145" s="180"/>
    </row>
    <row r="146" customFormat="false" ht="13.5" hidden="false" customHeight="true" outlineLevel="0" collapsed="false">
      <c r="A146" s="88" t="str">
        <f aca="false">IFERROR(INDEX(PRODUCTOS!$A:$A,MATCH(143,PRODUCTOS!$F:$F,0)),"")</f>
        <v>C2551</v>
      </c>
      <c r="B146" s="46" t="str">
        <f aca="false">IF($A146="","",IFERROR(VLOOKUP($A146,PRODUCTOS!$A:$B,2,0),""))</f>
        <v>VISPOS/ ESCORPORAS</v>
      </c>
      <c r="C146" s="82" t="n">
        <f aca="false">IF($A146="","",IFERROR(VLOOKUP($A146,PRODUCTOS!$A:$H,8,0),""))</f>
        <v>7.14</v>
      </c>
      <c r="D146" s="199" t="n">
        <f aca="false">IF($A146="","",IFERROR(VLOOKUP($A146,PRODUCTOS!$A:$I,9,0),""))</f>
        <v>8.84</v>
      </c>
      <c r="E146" s="211" t="n">
        <f aca="false">IF($A146="","",IFERROR(VLOOKUP($A146,PRODUCTOS!$A:$J,10,0),""))</f>
        <v>9.04</v>
      </c>
      <c r="F146" s="212"/>
      <c r="G146" s="212"/>
      <c r="H14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6" s="180"/>
      <c r="K146" s="180"/>
    </row>
    <row r="147" customFormat="false" ht="13.5" hidden="false" customHeight="true" outlineLevel="0" collapsed="false">
      <c r="A147" s="76" t="str">
        <f aca="false">IFERROR(INDEX(PRODUCTOS!$A:$A,MATCH(144,PRODUCTOS!$F:$F,0)),"")</f>
        <v>C255P</v>
      </c>
      <c r="B147" s="52" t="str">
        <f aca="false">IF($A147="","",IFERROR(VLOOKUP($A147,PRODUCTOS!$A:$B,2,0),""))</f>
        <v>CABRAS PÑA</v>
      </c>
      <c r="C147" s="82" t="n">
        <f aca="false">IF($A147="","",IFERROR(VLOOKUP($A147,PRODUCTOS!$A:$H,8,0),""))</f>
        <v>3.06</v>
      </c>
      <c r="D147" s="199" t="n">
        <f aca="false">IF($A147="","",IFERROR(VLOOKUP($A147,PRODUCTOS!$A:$I,9,0),""))</f>
        <v>4.76</v>
      </c>
      <c r="E147" s="211" t="n">
        <f aca="false">IF($A147="","",IFERROR(VLOOKUP($A147,PRODUCTOS!$A:$J,10,0),""))</f>
        <v>4.96</v>
      </c>
      <c r="F147" s="213"/>
      <c r="G147" s="213"/>
      <c r="H147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7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7" s="180"/>
      <c r="K147" s="180"/>
    </row>
    <row r="148" customFormat="false" ht="13.5" hidden="false" customHeight="true" outlineLevel="0" collapsed="false">
      <c r="A148" s="88" t="str">
        <f aca="false">IFERROR(INDEX(PRODUCTOS!$A:$A,MATCH(145,PRODUCTOS!$F:$F,0)),"")</f>
        <v>C880</v>
      </c>
      <c r="B148" s="46" t="str">
        <f aca="false">IF($A148="","",IFERROR(VLOOKUP($A148,PRODUCTOS!$A:$B,2,0),""))</f>
        <v>MEJILLON SACO</v>
      </c>
      <c r="C148" s="82" t="n">
        <f aca="false">IF($A148="","",IFERROR(VLOOKUP($A148,PRODUCTOS!$A:$H,8,0),""))</f>
        <v>1.4</v>
      </c>
      <c r="D148" s="199" t="n">
        <f aca="false">IF($A148="","",IFERROR(VLOOKUP($A148,PRODUCTOS!$A:$I,9,0),""))</f>
        <v>3.1</v>
      </c>
      <c r="E148" s="211" t="n">
        <f aca="false">IF($A148="","",IFERROR(VLOOKUP($A148,PRODUCTOS!$A:$J,10,0),""))</f>
        <v>3.3</v>
      </c>
      <c r="F148" s="212"/>
      <c r="G148" s="212"/>
      <c r="H148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8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8" s="180"/>
      <c r="K148" s="180"/>
    </row>
    <row r="149" customFormat="false" ht="13.5" hidden="false" customHeight="true" outlineLevel="0" collapsed="false">
      <c r="A149" s="76" t="str">
        <f aca="false">IFERROR(INDEX(PRODUCTOS!$A:$A,MATCH(146,PRODUCTOS!$F:$F,0)),"")</f>
        <v>C144</v>
      </c>
      <c r="B149" s="52" t="str">
        <f aca="false">IF($A149="","",IFERROR(VLOOKUP($A149,PRODUCTOS!$A:$B,2,0),""))</f>
        <v>MERLUZA BAKA DIA</v>
      </c>
      <c r="C149" s="82" t="n">
        <f aca="false">IF($A149="","",IFERROR(VLOOKUP($A149,PRODUCTOS!$A:$H,8,0),""))</f>
        <v>5.4</v>
      </c>
      <c r="D149" s="199" t="n">
        <f aca="false">IF($A149="","",IFERROR(VLOOKUP($A149,PRODUCTOS!$A:$I,9,0),""))</f>
        <v>7.1</v>
      </c>
      <c r="E149" s="211" t="n">
        <f aca="false">IF($A149="","",IFERROR(VLOOKUP($A149,PRODUCTOS!$A:$J,10,0),""))</f>
        <v>7.3</v>
      </c>
      <c r="F149" s="213"/>
      <c r="G149" s="213"/>
      <c r="H149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49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49" s="180"/>
      <c r="K149" s="180"/>
    </row>
    <row r="150" customFormat="false" ht="13.5" hidden="false" customHeight="true" outlineLevel="0" collapsed="false">
      <c r="A150" s="88" t="str">
        <f aca="false">IFERROR(INDEX(PRODUCTOS!$A:$A,MATCH(147,PRODUCTOS!$F:$F,0)),"")</f>
        <v>C398</v>
      </c>
      <c r="B150" s="46" t="str">
        <f aca="false">IF($A150="","",IFERROR(VLOOKUP($A150,PRODUCTOS!$A:$B,2,0),""))</f>
        <v>BONITO DEL NORTE  +10 (ALB)</v>
      </c>
      <c r="C150" s="82" t="n">
        <f aca="false">IF($A150="","",IFERROR(VLOOKUP($A150,PRODUCTOS!$A:$H,8,0),""))</f>
        <v>4.692</v>
      </c>
      <c r="D150" s="199" t="n">
        <f aca="false">IF($A150="","",IFERROR(VLOOKUP($A150,PRODUCTOS!$A:$I,9,0),""))</f>
        <v>6.39</v>
      </c>
      <c r="E150" s="211" t="n">
        <f aca="false">IF($A150="","",IFERROR(VLOOKUP($A150,PRODUCTOS!$A:$J,10,0),""))</f>
        <v>6.59</v>
      </c>
      <c r="F150" s="212"/>
      <c r="G150" s="212"/>
      <c r="H150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0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0" s="180"/>
      <c r="K150" s="180"/>
    </row>
    <row r="151" customFormat="false" ht="13.5" hidden="false" customHeight="true" outlineLevel="0" collapsed="false">
      <c r="A151" s="76" t="str">
        <f aca="false">IFERROR(INDEX(PRODUCTOS!$A:$A,MATCH(148,PRODUCTOS!$F:$F,0)),"")</f>
        <v/>
      </c>
      <c r="B151" s="52" t="str">
        <f aca="false">IF($A151="","",IFERROR(VLOOKUP($A151,PRODUCTOS!$A:$B,2,0),""))</f>
        <v/>
      </c>
      <c r="C151" s="82" t="str">
        <f aca="false">IF($A151="","",IFERROR(VLOOKUP($A151,PRODUCTOS!$A:$H,8,0),""))</f>
        <v/>
      </c>
      <c r="D151" s="199" t="str">
        <f aca="false">IF($A151="","",IFERROR(VLOOKUP($A151,PRODUCTOS!$A:$I,9,0),""))</f>
        <v/>
      </c>
      <c r="E151" s="211" t="str">
        <f aca="false">IF($A151="","",IFERROR(VLOOKUP($A151,PRODUCTOS!$A:$J,10,0),""))</f>
        <v/>
      </c>
      <c r="F151" s="213"/>
      <c r="G151" s="213"/>
      <c r="H151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1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1" s="180"/>
      <c r="K151" s="180"/>
    </row>
    <row r="152" customFormat="false" ht="13.5" hidden="false" customHeight="true" outlineLevel="0" collapsed="false">
      <c r="A152" s="88" t="str">
        <f aca="false">IFERROR(INDEX(PRODUCTOS!$A:$A,MATCH(149,PRODUCTOS!$F:$F,0)),"")</f>
        <v/>
      </c>
      <c r="B152" s="46" t="str">
        <f aca="false">IF($A152="","",IFERROR(VLOOKUP($A152,PRODUCTOS!$A:$B,2,0),""))</f>
        <v/>
      </c>
      <c r="C152" s="82" t="str">
        <f aca="false">IF($A152="","",IFERROR(VLOOKUP($A152,PRODUCTOS!$A:$H,8,0),""))</f>
        <v/>
      </c>
      <c r="D152" s="199" t="str">
        <f aca="false">IF($A152="","",IFERROR(VLOOKUP($A152,PRODUCTOS!$A:$I,9,0),""))</f>
        <v/>
      </c>
      <c r="E152" s="211" t="str">
        <f aca="false">IF($A152="","",IFERROR(VLOOKUP($A152,PRODUCTOS!$A:$J,10,0),""))</f>
        <v/>
      </c>
      <c r="F152" s="212"/>
      <c r="G152" s="212"/>
      <c r="H152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2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2" s="180"/>
      <c r="K152" s="180"/>
    </row>
    <row r="153" customFormat="false" ht="13.5" hidden="false" customHeight="true" outlineLevel="0" collapsed="false">
      <c r="A153" s="76" t="str">
        <f aca="false">IFERROR(INDEX(PRODUCTOS!$A:$A,MATCH(150,PRODUCTOS!$F:$F,0)),"")</f>
        <v/>
      </c>
      <c r="B153" s="52" t="str">
        <f aca="false">IF($A153="","",IFERROR(VLOOKUP($A153,PRODUCTOS!$A:$B,2,0),""))</f>
        <v/>
      </c>
      <c r="C153" s="82" t="str">
        <f aca="false">IF($A153="","",IFERROR(VLOOKUP($A153,PRODUCTOS!$A:$H,8,0),""))</f>
        <v/>
      </c>
      <c r="D153" s="199" t="str">
        <f aca="false">IF($A153="","",IFERROR(VLOOKUP($A153,PRODUCTOS!$A:$I,9,0),""))</f>
        <v/>
      </c>
      <c r="E153" s="211" t="str">
        <f aca="false">IF($A153="","",IFERROR(VLOOKUP($A153,PRODUCTOS!$A:$J,10,0),""))</f>
        <v/>
      </c>
      <c r="F153" s="213"/>
      <c r="G153" s="213"/>
      <c r="H153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3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3" s="180"/>
      <c r="K153" s="180"/>
    </row>
    <row r="154" customFormat="false" ht="13.5" hidden="false" customHeight="true" outlineLevel="0" collapsed="false">
      <c r="A154" s="88" t="str">
        <f aca="false">IFERROR(INDEX(PRODUCTOS!$A:$A,MATCH(151,PRODUCTOS!$F:$F,0)),"")</f>
        <v/>
      </c>
      <c r="B154" s="46" t="str">
        <f aca="false">IF($A154="","",IFERROR(VLOOKUP($A154,PRODUCTOS!$A:$B,2,0),""))</f>
        <v/>
      </c>
      <c r="C154" s="82" t="str">
        <f aca="false">IF($A154="","",IFERROR(VLOOKUP($A154,PRODUCTOS!$A:$H,8,0),""))</f>
        <v/>
      </c>
      <c r="D154" s="199" t="str">
        <f aca="false">IF($A154="","",IFERROR(VLOOKUP($A154,PRODUCTOS!$A:$I,9,0),""))</f>
        <v/>
      </c>
      <c r="E154" s="211" t="str">
        <f aca="false">IF($A154="","",IFERROR(VLOOKUP($A154,PRODUCTOS!$A:$J,10,0),""))</f>
        <v/>
      </c>
      <c r="F154" s="212"/>
      <c r="G154" s="212"/>
      <c r="H154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4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4" s="180"/>
      <c r="K154" s="180"/>
    </row>
    <row r="155" customFormat="false" ht="13.5" hidden="false" customHeight="true" outlineLevel="0" collapsed="false">
      <c r="A155" s="76" t="str">
        <f aca="false">IFERROR(INDEX(PRODUCTOS!$A:$A,MATCH(152,PRODUCTOS!$F:$F,0)),"")</f>
        <v/>
      </c>
      <c r="B155" s="52" t="str">
        <f aca="false">IF($A155="","",IFERROR(VLOOKUP($A155,PRODUCTOS!$A:$B,2,0),""))</f>
        <v/>
      </c>
      <c r="C155" s="82" t="str">
        <f aca="false">IF($A155="","",IFERROR(VLOOKUP($A155,PRODUCTOS!$A:$H,8,0),""))</f>
        <v/>
      </c>
      <c r="D155" s="199" t="str">
        <f aca="false">IF($A155="","",IFERROR(VLOOKUP($A155,PRODUCTOS!$A:$I,9,0),""))</f>
        <v/>
      </c>
      <c r="E155" s="211" t="str">
        <f aca="false">IF($A155="","",IFERROR(VLOOKUP($A155,PRODUCTOS!$A:$J,10,0),""))</f>
        <v/>
      </c>
      <c r="F155" s="213"/>
      <c r="G155" s="213"/>
      <c r="H155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5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5" s="180"/>
      <c r="K155" s="180"/>
    </row>
    <row r="156" customFormat="false" ht="13.5" hidden="false" customHeight="true" outlineLevel="0" collapsed="false">
      <c r="A156" s="88" t="str">
        <f aca="false">IFERROR(INDEX(PRODUCTOS!$A:$A,MATCH(153,PRODUCTOS!$F:$F,0)),"")</f>
        <v/>
      </c>
      <c r="B156" s="46" t="str">
        <f aca="false">IF($A156="","",IFERROR(VLOOKUP($A156,PRODUCTOS!$A:$B,2,0),""))</f>
        <v/>
      </c>
      <c r="C156" s="82" t="str">
        <f aca="false">IF($A156="","",IFERROR(VLOOKUP($A156,PRODUCTOS!$A:$H,8,0),""))</f>
        <v/>
      </c>
      <c r="D156" s="199" t="str">
        <f aca="false">IF($A156="","",IFERROR(VLOOKUP($A156,PRODUCTOS!$A:$I,9,0),""))</f>
        <v/>
      </c>
      <c r="E156" s="211" t="str">
        <f aca="false">IF($A156="","",IFERROR(VLOOKUP($A156,PRODUCTOS!$A:$J,10,0),""))</f>
        <v/>
      </c>
      <c r="F156" s="212"/>
      <c r="G156" s="212"/>
      <c r="H156" s="201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1.7,2),"")</f>
        <v/>
      </c>
      <c r="I156" s="202" t="str">
        <f aca="true">IF(IFERROR(SUMIFS(COMPRAS!$O$3:$O$4997,COMPRAS!$G$3:$G$4997,"C440",COMPRAS!$B$3:$B$4997,TODAY())/SUMIFS(COMPRAS!$J$3:$J$4997,COMPRAS!$G$3:$G$4997,"C440",COMPRAS!$B$3:$B$4997,TODAY()),"")&lt;&gt;"",ROUND((IFERROR(SUMIFS(COMPRAS!$O$3:$O$4997,COMPRAS!$G$3:$G$4997,"C440",COMPRAS!$B$3:$B$4997,TODAY())/SUMIFS(COMPRAS!$J$3:$J$4997,COMPRAS!$G$3:$G$4997,"C440",COMPRAS!$B$3:$B$4997,TODAY()),""))*1.9,2),"")</f>
        <v/>
      </c>
      <c r="J156" s="180"/>
      <c r="K156" s="180"/>
    </row>
    <row r="157" customFormat="false" ht="15" hidden="false" customHeight="true" outlineLevel="0" collapsed="false">
      <c r="A157" s="1" t="str">
        <f aca="false">IFERROR(INDEX(PRODUCTOS!$A:$A,MATCH(154,PRODUCTOS!$F:$F,0)),"")</f>
        <v/>
      </c>
      <c r="B157" s="1" t="str">
        <f aca="false">IF($A157="","",IFERROR(VLOOKUP($A157,PRODUCTOS!$A:$B,2,0),""))</f>
        <v/>
      </c>
      <c r="C157" s="1" t="str">
        <f aca="false">IF($A157="","",IFERROR(VLOOKUP($A157,PRODUCTOS!$A:$H,8,0),""))</f>
        <v/>
      </c>
      <c r="D157" s="1" t="str">
        <f aca="false">IF($A157="","",IFERROR(VLOOKUP($A157,PRODUCTOS!$A:$I,9,0),""))</f>
        <v/>
      </c>
      <c r="E157" s="1" t="str">
        <f aca="false">IF($A157="","",IFERROR(VLOOKUP($A157,PRODUCTOS!$A:$J,10,0),""))</f>
        <v/>
      </c>
    </row>
    <row r="158" customFormat="false" ht="15" hidden="false" customHeight="true" outlineLevel="0" collapsed="false">
      <c r="A158" s="1" t="str">
        <f aca="false">IFERROR(INDEX(PRODUCTOS!$A:$A,MATCH(155,PRODUCTOS!$F:$F,0)),"")</f>
        <v/>
      </c>
      <c r="B158" s="1" t="str">
        <f aca="false">IF($A158="","",IFERROR(VLOOKUP($A158,PRODUCTOS!$A:$B,2,0),""))</f>
        <v/>
      </c>
      <c r="C158" s="1" t="str">
        <f aca="false">IF($A158="","",IFERROR(VLOOKUP($A158,PRODUCTOS!$A:$H,8,0),""))</f>
        <v/>
      </c>
      <c r="D158" s="1" t="str">
        <f aca="false">IF($A158="","",IFERROR(VLOOKUP($A158,PRODUCTOS!$A:$I,9,0),""))</f>
        <v/>
      </c>
      <c r="E158" s="1" t="str">
        <f aca="false">IF($A158="","",IFERROR(VLOOKUP($A158,PRODUCTOS!$A:$J,10,0),""))</f>
        <v/>
      </c>
    </row>
    <row r="159" customFormat="false" ht="15" hidden="false" customHeight="true" outlineLevel="0" collapsed="false">
      <c r="A159" s="1" t="str">
        <f aca="false">IFERROR(INDEX(PRODUCTOS!$A:$A,MATCH(156,PRODUCTOS!$F:$F,0)),"")</f>
        <v/>
      </c>
      <c r="B159" s="1" t="str">
        <f aca="false">IF($A159="","",IFERROR(VLOOKUP($A159,PRODUCTOS!$A:$B,2,0),""))</f>
        <v/>
      </c>
      <c r="C159" s="1" t="str">
        <f aca="false">IF($A159="","",IFERROR(VLOOKUP($A159,PRODUCTOS!$A:$H,8,0),""))</f>
        <v/>
      </c>
      <c r="D159" s="1" t="str">
        <f aca="false">IF($A159="","",IFERROR(VLOOKUP($A159,PRODUCTOS!$A:$I,9,0),""))</f>
        <v/>
      </c>
      <c r="E159" s="1" t="str">
        <f aca="false">IF($A159="","",IFERROR(VLOOKUP($A159,PRODUCTOS!$A:$J,10,0),""))</f>
        <v/>
      </c>
    </row>
    <row r="160" customFormat="false" ht="15" hidden="false" customHeight="true" outlineLevel="0" collapsed="false">
      <c r="A160" s="1" t="str">
        <f aca="false">IFERROR(INDEX(PRODUCTOS!$A:$A,MATCH(157,PRODUCTOS!$F:$F,0)),"")</f>
        <v/>
      </c>
      <c r="B160" s="1" t="str">
        <f aca="false">IF($A160="","",IFERROR(VLOOKUP($A160,PRODUCTOS!$A:$B,2,0),""))</f>
        <v/>
      </c>
      <c r="C160" s="1" t="str">
        <f aca="false">IF($A160="","",IFERROR(VLOOKUP($A160,PRODUCTOS!$A:$H,8,0),""))</f>
        <v/>
      </c>
      <c r="D160" s="1" t="str">
        <f aca="false">IF($A160="","",IFERROR(VLOOKUP($A160,PRODUCTOS!$A:$I,9,0),""))</f>
        <v/>
      </c>
      <c r="E160" s="1" t="str">
        <f aca="false">IF($A160="","",IFERROR(VLOOKUP($A160,PRODUCTOS!$A:$J,10,0),""))</f>
        <v/>
      </c>
    </row>
    <row r="161" customFormat="false" ht="15" hidden="false" customHeight="true" outlineLevel="0" collapsed="false">
      <c r="A161" s="1" t="str">
        <f aca="false">IFERROR(INDEX(PRODUCTOS!$A:$A,MATCH(158,PRODUCTOS!$F:$F,0)),"")</f>
        <v/>
      </c>
      <c r="B161" s="1" t="str">
        <f aca="false">IF($A161="","",IFERROR(VLOOKUP($A161,PRODUCTOS!$A:$B,2,0),""))</f>
        <v/>
      </c>
      <c r="C161" s="1" t="str">
        <f aca="false">IF($A161="","",IFERROR(VLOOKUP($A161,PRODUCTOS!$A:$H,8,0),""))</f>
        <v/>
      </c>
      <c r="D161" s="1" t="str">
        <f aca="false">IF($A161="","",IFERROR(VLOOKUP($A161,PRODUCTOS!$A:$I,9,0),""))</f>
        <v/>
      </c>
      <c r="E161" s="1" t="str">
        <f aca="false">IF($A161="","",IFERROR(VLOOKUP($A161,PRODUCTOS!$A:$J,10,0),""))</f>
        <v/>
      </c>
    </row>
    <row r="162" customFormat="false" ht="15" hidden="false" customHeight="true" outlineLevel="0" collapsed="false">
      <c r="A162" s="1" t="str">
        <f aca="false">IFERROR(INDEX(PRODUCTOS!$A:$A,MATCH(159,PRODUCTOS!$F:$F,0)),"")</f>
        <v/>
      </c>
      <c r="B162" s="1" t="str">
        <f aca="false">IF($A162="","",IFERROR(VLOOKUP($A162,PRODUCTOS!$A:$B,2,0),""))</f>
        <v/>
      </c>
      <c r="C162" s="1" t="str">
        <f aca="false">IF($A162="","",IFERROR(VLOOKUP($A162,PRODUCTOS!$A:$H,8,0),""))</f>
        <v/>
      </c>
      <c r="D162" s="1" t="str">
        <f aca="false">IF($A162="","",IFERROR(VLOOKUP($A162,PRODUCTOS!$A:$I,9,0),""))</f>
        <v/>
      </c>
      <c r="E162" s="1" t="str">
        <f aca="false">IF($A162="","",IFERROR(VLOOKUP($A162,PRODUCTOS!$A:$J,10,0),""))</f>
        <v/>
      </c>
    </row>
    <row r="163" customFormat="false" ht="15" hidden="false" customHeight="true" outlineLevel="0" collapsed="false">
      <c r="A163" s="1" t="str">
        <f aca="false">IFERROR(INDEX(PRODUCTOS!$A:$A,MATCH(160,PRODUCTOS!$F:$F,0)),"")</f>
        <v/>
      </c>
      <c r="B163" s="1" t="str">
        <f aca="false">IF($A163="","",IFERROR(VLOOKUP($A163,PRODUCTOS!$A:$B,2,0),""))</f>
        <v/>
      </c>
      <c r="C163" s="1" t="str">
        <f aca="false">IF($A163="","",IFERROR(VLOOKUP($A163,PRODUCTOS!$A:$H,8,0),""))</f>
        <v/>
      </c>
      <c r="D163" s="1" t="str">
        <f aca="false">IF($A163="","",IFERROR(VLOOKUP($A163,PRODUCTOS!$A:$I,9,0),""))</f>
        <v/>
      </c>
      <c r="E163" s="1" t="str">
        <f aca="false">IF($A163="","",IFERROR(VLOOKUP($A163,PRODUCTOS!$A:$J,10,0),""))</f>
        <v/>
      </c>
    </row>
    <row r="164" customFormat="false" ht="15" hidden="false" customHeight="true" outlineLevel="0" collapsed="false">
      <c r="A164" s="1" t="str">
        <f aca="false">IFERROR(INDEX(PRODUCTOS!$A:$A,MATCH(161,PRODUCTOS!$F:$F,0)),"")</f>
        <v/>
      </c>
      <c r="B164" s="1" t="str">
        <f aca="false">IF($A164="","",IFERROR(VLOOKUP($A164,PRODUCTOS!$A:$B,2,0),""))</f>
        <v/>
      </c>
      <c r="C164" s="1" t="str">
        <f aca="false">IF($A164="","",IFERROR(VLOOKUP($A164,PRODUCTOS!$A:$H,8,0),""))</f>
        <v/>
      </c>
      <c r="D164" s="1" t="str">
        <f aca="false">IF($A164="","",IFERROR(VLOOKUP($A164,PRODUCTOS!$A:$I,9,0),""))</f>
        <v/>
      </c>
      <c r="E164" s="1" t="str">
        <f aca="false">IF($A164="","",IFERROR(VLOOKUP($A164,PRODUCTOS!$A:$J,10,0),""))</f>
        <v/>
      </c>
    </row>
    <row r="165" customFormat="false" ht="15" hidden="false" customHeight="true" outlineLevel="0" collapsed="false">
      <c r="A165" s="1" t="str">
        <f aca="false">IFERROR(INDEX(PRODUCTOS!$A:$A,MATCH(162,PRODUCTOS!$F:$F,0)),"")</f>
        <v/>
      </c>
      <c r="B165" s="1" t="str">
        <f aca="false">IF($A165="","",IFERROR(VLOOKUP($A165,PRODUCTOS!$A:$B,2,0),""))</f>
        <v/>
      </c>
      <c r="C165" s="1" t="str">
        <f aca="false">IF($A165="","",IFERROR(VLOOKUP($A165,PRODUCTOS!$A:$H,8,0),""))</f>
        <v/>
      </c>
      <c r="D165" s="1" t="str">
        <f aca="false">IF($A165="","",IFERROR(VLOOKUP($A165,PRODUCTOS!$A:$I,9,0),""))</f>
        <v/>
      </c>
      <c r="E165" s="1" t="str">
        <f aca="false">IF($A165="","",IFERROR(VLOOKUP($A165,PRODUCTOS!$A:$J,10,0),""))</f>
        <v/>
      </c>
    </row>
    <row r="166" customFormat="false" ht="15" hidden="false" customHeight="true" outlineLevel="0" collapsed="false">
      <c r="A166" s="1" t="str">
        <f aca="false">IFERROR(INDEX(PRODUCTOS!$A:$A,MATCH(163,PRODUCTOS!$F:$F,0)),"")</f>
        <v/>
      </c>
      <c r="B166" s="1" t="str">
        <f aca="false">IF($A166="","",IFERROR(VLOOKUP($A166,PRODUCTOS!$A:$B,2,0),""))</f>
        <v/>
      </c>
      <c r="C166" s="1" t="str">
        <f aca="false">IF($A166="","",IFERROR(VLOOKUP($A166,PRODUCTOS!$A:$H,8,0),""))</f>
        <v/>
      </c>
      <c r="D166" s="1" t="str">
        <f aca="false">IF($A166="","",IFERROR(VLOOKUP($A166,PRODUCTOS!$A:$I,9,0),""))</f>
        <v/>
      </c>
      <c r="E166" s="1" t="str">
        <f aca="false">IF($A166="","",IFERROR(VLOOKUP($A166,PRODUCTOS!$A:$J,10,0),""))</f>
        <v/>
      </c>
    </row>
    <row r="167" customFormat="false" ht="15" hidden="false" customHeight="true" outlineLevel="0" collapsed="false">
      <c r="A167" s="1" t="str">
        <f aca="false">IFERROR(INDEX(PRODUCTOS!$A:$A,MATCH(164,PRODUCTOS!$F:$F,0)),"")</f>
        <v/>
      </c>
      <c r="B167" s="1" t="str">
        <f aca="false">IF($A167="","",IFERROR(VLOOKUP($A167,PRODUCTOS!$A:$B,2,0),""))</f>
        <v/>
      </c>
      <c r="C167" s="1" t="str">
        <f aca="false">IF($A167="","",IFERROR(VLOOKUP($A167,PRODUCTOS!$A:$H,8,0),""))</f>
        <v/>
      </c>
      <c r="D167" s="1" t="str">
        <f aca="false">IF($A167="","",IFERROR(VLOOKUP($A167,PRODUCTOS!$A:$I,9,0),""))</f>
        <v/>
      </c>
      <c r="E167" s="1" t="str">
        <f aca="false">IF($A167="","",IFERROR(VLOOKUP($A167,PRODUCTOS!$A:$J,10,0),""))</f>
        <v/>
      </c>
    </row>
    <row r="168" customFormat="false" ht="15" hidden="false" customHeight="true" outlineLevel="0" collapsed="false">
      <c r="A168" s="1" t="str">
        <f aca="false">IFERROR(INDEX(PRODUCTOS!$A:$A,MATCH(165,PRODUCTOS!$F:$F,0)),"")</f>
        <v/>
      </c>
      <c r="B168" s="1" t="str">
        <f aca="false">IF($A168="","",IFERROR(VLOOKUP($A168,PRODUCTOS!$A:$B,2,0),""))</f>
        <v/>
      </c>
      <c r="C168" s="1" t="str">
        <f aca="false">IF($A168="","",IFERROR(VLOOKUP($A168,PRODUCTOS!$A:$H,8,0),""))</f>
        <v/>
      </c>
      <c r="D168" s="1" t="str">
        <f aca="false">IF($A168="","",IFERROR(VLOOKUP($A168,PRODUCTOS!$A:$I,9,0),""))</f>
        <v/>
      </c>
      <c r="E168" s="1" t="str">
        <f aca="false">IF($A168="","",IFERROR(VLOOKUP($A168,PRODUCTOS!$A:$J,10,0),""))</f>
        <v/>
      </c>
    </row>
    <row r="169" customFormat="false" ht="15" hidden="false" customHeight="true" outlineLevel="0" collapsed="false">
      <c r="A169" s="1" t="str">
        <f aca="false">IFERROR(INDEX(PRODUCTOS!$A:$A,MATCH(166,PRODUCTOS!$F:$F,0)),"")</f>
        <v/>
      </c>
      <c r="B169" s="1" t="str">
        <f aca="false">IF($A169="","",IFERROR(VLOOKUP($A169,PRODUCTOS!$A:$B,2,0),""))</f>
        <v/>
      </c>
      <c r="C169" s="1" t="str">
        <f aca="false">IF($A169="","",IFERROR(VLOOKUP($A169,PRODUCTOS!$A:$H,8,0),""))</f>
        <v/>
      </c>
      <c r="D169" s="1" t="str">
        <f aca="false">IF($A169="","",IFERROR(VLOOKUP($A169,PRODUCTOS!$A:$I,9,0),""))</f>
        <v/>
      </c>
      <c r="E169" s="1" t="str">
        <f aca="false">IF($A169="","",IFERROR(VLOOKUP($A169,PRODUCTOS!$A:$J,10,0),""))</f>
        <v/>
      </c>
    </row>
    <row r="170" customFormat="false" ht="15" hidden="false" customHeight="true" outlineLevel="0" collapsed="false">
      <c r="A170" s="1" t="str">
        <f aca="false">IFERROR(INDEX(PRODUCTOS!$A:$A,MATCH(167,PRODUCTOS!$F:$F,0)),"")</f>
        <v/>
      </c>
      <c r="B170" s="1" t="str">
        <f aca="false">IF($A170="","",IFERROR(VLOOKUP($A170,PRODUCTOS!$A:$B,2,0),""))</f>
        <v/>
      </c>
      <c r="C170" s="1" t="str">
        <f aca="false">IF($A170="","",IFERROR(VLOOKUP($A170,PRODUCTOS!$A:$H,8,0),""))</f>
        <v/>
      </c>
      <c r="D170" s="1" t="str">
        <f aca="false">IF($A170="","",IFERROR(VLOOKUP($A170,PRODUCTOS!$A:$I,9,0),""))</f>
        <v/>
      </c>
      <c r="E170" s="1" t="str">
        <f aca="false">IF($A170="","",IFERROR(VLOOKUP($A170,PRODUCTOS!$A:$J,10,0),""))</f>
        <v/>
      </c>
    </row>
    <row r="171" customFormat="false" ht="15" hidden="false" customHeight="true" outlineLevel="0" collapsed="false">
      <c r="A171" s="1" t="str">
        <f aca="false">IFERROR(INDEX(PRODUCTOS!$A:$A,MATCH(168,PRODUCTOS!$F:$F,0)),"")</f>
        <v/>
      </c>
      <c r="B171" s="1" t="str">
        <f aca="false">IF($A171="","",IFERROR(VLOOKUP($A171,PRODUCTOS!$A:$B,2,0),""))</f>
        <v/>
      </c>
      <c r="C171" s="1" t="str">
        <f aca="false">IF($A171="","",IFERROR(VLOOKUP($A171,PRODUCTOS!$A:$H,8,0),""))</f>
        <v/>
      </c>
      <c r="D171" s="1" t="str">
        <f aca="false">IF($A171="","",IFERROR(VLOOKUP($A171,PRODUCTOS!$A:$I,9,0),""))</f>
        <v/>
      </c>
      <c r="E171" s="1" t="str">
        <f aca="false">IF($A171="","",IFERROR(VLOOKUP($A171,PRODUCTOS!$A:$J,10,0),""))</f>
        <v/>
      </c>
    </row>
    <row r="172" customFormat="false" ht="15" hidden="false" customHeight="true" outlineLevel="0" collapsed="false">
      <c r="A172" s="1" t="str">
        <f aca="false">IFERROR(INDEX(PRODUCTOS!$A:$A,MATCH(169,PRODUCTOS!$F:$F,0)),"")</f>
        <v/>
      </c>
      <c r="B172" s="1" t="str">
        <f aca="false">IF($A172="","",IFERROR(VLOOKUP($A172,PRODUCTOS!$A:$B,2,0),""))</f>
        <v/>
      </c>
      <c r="C172" s="1" t="str">
        <f aca="false">IF($A172="","",IFERROR(VLOOKUP($A172,PRODUCTOS!$A:$H,8,0),""))</f>
        <v/>
      </c>
      <c r="D172" s="1" t="str">
        <f aca="false">IF($A172="","",IFERROR(VLOOKUP($A172,PRODUCTOS!$A:$I,9,0),""))</f>
        <v/>
      </c>
      <c r="E172" s="1" t="str">
        <f aca="false">IF($A172="","",IFERROR(VLOOKUP($A172,PRODUCTOS!$A:$J,10,0),""))</f>
        <v/>
      </c>
    </row>
    <row r="173" customFormat="false" ht="15" hidden="false" customHeight="true" outlineLevel="0" collapsed="false">
      <c r="A173" s="1" t="str">
        <f aca="false">IFERROR(INDEX(PRODUCTOS!$A:$A,MATCH(170,PRODUCTOS!$F:$F,0)),"")</f>
        <v/>
      </c>
      <c r="B173" s="1" t="str">
        <f aca="false">IF($A173="","",IFERROR(VLOOKUP($A173,PRODUCTOS!$A:$B,2,0),""))</f>
        <v/>
      </c>
      <c r="C173" s="1" t="str">
        <f aca="false">IF($A173="","",IFERROR(VLOOKUP($A173,PRODUCTOS!$A:$H,8,0),""))</f>
        <v/>
      </c>
      <c r="D173" s="1" t="str">
        <f aca="false">IF($A173="","",IFERROR(VLOOKUP($A173,PRODUCTOS!$A:$I,9,0),""))</f>
        <v/>
      </c>
      <c r="E173" s="1" t="str">
        <f aca="false">IF($A173="","",IFERROR(VLOOKUP($A173,PRODUCTOS!$A:$J,10,0),""))</f>
        <v/>
      </c>
    </row>
  </sheetData>
  <sheetProtection sheet="true" formatCells="false" formatColumns="false" formatRows="false"/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2026-05-26T09:53:23Z</dcterms:created>
  <dc:creator>openpyxl</dc:creator>
  <dc:description/>
  <dc:language>en-US</dc:language>
  <cp:lastModifiedBy/>
  <cp:lastPrinted>2026-09-11T05:44:30Z</cp:lastPrinted>
  <dcterms:modified xsi:type="dcterms:W3CDTF">2026-09-11T17:31:43Z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